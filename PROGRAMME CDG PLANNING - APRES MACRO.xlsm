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main\Downloads\"/>
    </mc:Choice>
  </mc:AlternateContent>
  <xr:revisionPtr revIDLastSave="0" documentId="8_{FB35245E-6AC6-4714-9E89-38FBFCD528F3}" xr6:coauthVersionLast="45" xr6:coauthVersionMax="45" xr10:uidLastSave="{00000000-0000-0000-0000-000000000000}"/>
  <bookViews>
    <workbookView xWindow="-120" yWindow="-120" windowWidth="29040" windowHeight="16440" tabRatio="781" activeTab="2" xr2:uid="{00000000-000D-0000-FFFF-FFFF00000000}"/>
  </bookViews>
  <sheets>
    <sheet name="Modop" sheetId="150" r:id="rId1"/>
    <sheet name="PARAMETRES" sheetId="2" r:id="rId2"/>
    <sheet name="PLANNING" sheetId="7" r:id="rId3"/>
    <sheet name="ABSENCES PREVISIONNELLES" sheetId="385" r:id="rId4"/>
    <sheet name="MRP SANS PA" sheetId="386" r:id="rId5"/>
    <sheet name="ABSENCES A VALIDER" sheetId="387" r:id="rId6"/>
    <sheet name="JOURS SANS AFFECTATION" sheetId="384" r:id="rId7"/>
  </sheets>
  <definedNames>
    <definedName name="_xlnm._FilterDatabase" localSheetId="5" hidden="1">'ABSENCES A VALIDER'!$A$5:$CA$332</definedName>
    <definedName name="_xlnm._FilterDatabase" localSheetId="3" hidden="1">'ABSENCES PREVISIONNELLES'!$A$5:$CA$332</definedName>
    <definedName name="_xlnm._FilterDatabase" localSheetId="6" hidden="1">'JOURS SANS AFFECTATION'!$A$5:$CA$332</definedName>
    <definedName name="_xlnm._FilterDatabase" localSheetId="4" hidden="1">'MRP SANS PA'!$A$5:$CA$332</definedName>
    <definedName name="_xlnm._FilterDatabase" localSheetId="2" hidden="1">PLANNING!$A$6:$CA$6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O334" i="387" l="1"/>
  <c r="AN334" i="387"/>
  <c r="AM334" i="387"/>
  <c r="AL334" i="387"/>
  <c r="AK334" i="387"/>
  <c r="AJ334" i="387"/>
  <c r="AI334" i="387"/>
  <c r="AH334" i="387"/>
  <c r="AG334" i="387"/>
  <c r="AF334" i="387"/>
  <c r="AE334" i="387"/>
  <c r="AD334" i="387"/>
  <c r="AC334" i="387"/>
  <c r="AB334" i="387"/>
  <c r="AA334" i="387"/>
  <c r="Z334" i="387"/>
  <c r="Y334" i="387"/>
  <c r="X334" i="387"/>
  <c r="W334" i="387"/>
  <c r="V334" i="387"/>
  <c r="U334" i="387"/>
  <c r="T334" i="387"/>
  <c r="S334" i="387"/>
  <c r="R334" i="387"/>
  <c r="Q334" i="387"/>
  <c r="P334" i="387"/>
  <c r="O334" i="387"/>
  <c r="N334" i="387"/>
  <c r="M334" i="387"/>
  <c r="L334" i="387"/>
  <c r="AO332" i="387"/>
  <c r="AN332" i="387"/>
  <c r="AM332" i="387"/>
  <c r="AL332" i="387"/>
  <c r="AK332" i="387"/>
  <c r="AJ332" i="387"/>
  <c r="AI332" i="387"/>
  <c r="AH332" i="387"/>
  <c r="AG332" i="387"/>
  <c r="AF332" i="387"/>
  <c r="AE332" i="387"/>
  <c r="AD332" i="387"/>
  <c r="AC332" i="387"/>
  <c r="AB332" i="387"/>
  <c r="AA332" i="387"/>
  <c r="Z332" i="387"/>
  <c r="Y332" i="387"/>
  <c r="X332" i="387"/>
  <c r="W332" i="387"/>
  <c r="V332" i="387"/>
  <c r="U332" i="387"/>
  <c r="T332" i="387"/>
  <c r="S332" i="387"/>
  <c r="R332" i="387"/>
  <c r="Q332" i="387"/>
  <c r="P332" i="387"/>
  <c r="O332" i="387"/>
  <c r="N332" i="387"/>
  <c r="M332" i="387"/>
  <c r="L332" i="387"/>
  <c r="BN331" i="387"/>
  <c r="BK331" i="387"/>
  <c r="BJ331" i="387"/>
  <c r="BM331" i="387" s="1"/>
  <c r="BI331" i="387"/>
  <c r="BH331" i="387"/>
  <c r="BG331" i="387"/>
  <c r="BF331" i="387"/>
  <c r="BE331" i="387"/>
  <c r="BD331" i="387"/>
  <c r="BC331" i="387"/>
  <c r="BB331" i="387"/>
  <c r="BA331" i="387"/>
  <c r="AZ331" i="387"/>
  <c r="AY331" i="387"/>
  <c r="BL331" i="387" s="1"/>
  <c r="AW331" i="387"/>
  <c r="AV331" i="387"/>
  <c r="AU331" i="387"/>
  <c r="AT331" i="387"/>
  <c r="AS331" i="387"/>
  <c r="AR331" i="387"/>
  <c r="AQ331" i="387"/>
  <c r="AP331" i="387"/>
  <c r="BN330" i="387"/>
  <c r="BK330" i="387"/>
  <c r="BJ330" i="387"/>
  <c r="BM330" i="387" s="1"/>
  <c r="BI330" i="387"/>
  <c r="BH330" i="387"/>
  <c r="BG330" i="387"/>
  <c r="BF330" i="387"/>
  <c r="BE330" i="387"/>
  <c r="BD330" i="387"/>
  <c r="BC330" i="387"/>
  <c r="BB330" i="387"/>
  <c r="BA330" i="387"/>
  <c r="AZ330" i="387"/>
  <c r="AY330" i="387"/>
  <c r="BL330" i="387" s="1"/>
  <c r="AX330" i="387"/>
  <c r="AW330" i="387"/>
  <c r="AV330" i="387"/>
  <c r="AU330" i="387"/>
  <c r="AT330" i="387"/>
  <c r="AS330" i="387"/>
  <c r="AR330" i="387"/>
  <c r="AQ330" i="387"/>
  <c r="AP330" i="387"/>
  <c r="BN329" i="387"/>
  <c r="BL329" i="387"/>
  <c r="BK329" i="387"/>
  <c r="BJ329" i="387"/>
  <c r="BM329" i="387" s="1"/>
  <c r="BI329" i="387"/>
  <c r="BH329" i="387"/>
  <c r="BG329" i="387"/>
  <c r="BF329" i="387"/>
  <c r="BE329" i="387"/>
  <c r="BD329" i="387"/>
  <c r="BC329" i="387"/>
  <c r="BB329" i="387"/>
  <c r="BA329" i="387"/>
  <c r="AZ329" i="387"/>
  <c r="AX329" i="387"/>
  <c r="AW329" i="387"/>
  <c r="AV329" i="387"/>
  <c r="AU329" i="387"/>
  <c r="AT329" i="387"/>
  <c r="AS329" i="387"/>
  <c r="AR329" i="387"/>
  <c r="AQ329" i="387"/>
  <c r="AP329" i="387"/>
  <c r="BN328" i="387"/>
  <c r="BL328" i="387"/>
  <c r="BK328" i="387"/>
  <c r="BJ328" i="387"/>
  <c r="BM328" i="387" s="1"/>
  <c r="BI328" i="387"/>
  <c r="BH328" i="387"/>
  <c r="BG328" i="387"/>
  <c r="BF328" i="387"/>
  <c r="BE328" i="387"/>
  <c r="BD328" i="387"/>
  <c r="BC328" i="387"/>
  <c r="BB328" i="387"/>
  <c r="BA328" i="387"/>
  <c r="AZ328" i="387"/>
  <c r="AY328" i="387"/>
  <c r="AW328" i="387"/>
  <c r="AV328" i="387"/>
  <c r="AU328" i="387"/>
  <c r="AT328" i="387"/>
  <c r="AS328" i="387"/>
  <c r="AR328" i="387"/>
  <c r="AQ328" i="387"/>
  <c r="AP328" i="387"/>
  <c r="BN327" i="387"/>
  <c r="BL327" i="387"/>
  <c r="BK327" i="387"/>
  <c r="BJ327" i="387"/>
  <c r="BM327" i="387" s="1"/>
  <c r="BI327" i="387"/>
  <c r="BH327" i="387"/>
  <c r="BG327" i="387"/>
  <c r="BF327" i="387"/>
  <c r="BE327" i="387"/>
  <c r="BD327" i="387"/>
  <c r="BC327" i="387"/>
  <c r="BB327" i="387"/>
  <c r="BA327" i="387"/>
  <c r="AZ327" i="387"/>
  <c r="AY327" i="387"/>
  <c r="AW327" i="387"/>
  <c r="AV327" i="387"/>
  <c r="AU327" i="387"/>
  <c r="AT327" i="387"/>
  <c r="AS327" i="387"/>
  <c r="AR327" i="387"/>
  <c r="AQ327" i="387"/>
  <c r="AP327" i="387"/>
  <c r="BN326" i="387"/>
  <c r="BL326" i="387"/>
  <c r="BK326" i="387"/>
  <c r="BJ326" i="387"/>
  <c r="BM326" i="387" s="1"/>
  <c r="BI326" i="387"/>
  <c r="BH326" i="387"/>
  <c r="BG326" i="387"/>
  <c r="BF326" i="387"/>
  <c r="BE326" i="387"/>
  <c r="BD326" i="387"/>
  <c r="BC326" i="387"/>
  <c r="BB326" i="387"/>
  <c r="BA326" i="387"/>
  <c r="AZ326" i="387"/>
  <c r="AW326" i="387"/>
  <c r="AV326" i="387"/>
  <c r="AU326" i="387"/>
  <c r="AT326" i="387"/>
  <c r="AS326" i="387"/>
  <c r="AR326" i="387"/>
  <c r="AQ326" i="387"/>
  <c r="AP326" i="387"/>
  <c r="BN325" i="387"/>
  <c r="BK325" i="387"/>
  <c r="BJ325" i="387"/>
  <c r="BM325" i="387" s="1"/>
  <c r="BI325" i="387"/>
  <c r="BH325" i="387"/>
  <c r="BG325" i="387"/>
  <c r="BF325" i="387"/>
  <c r="BE325" i="387"/>
  <c r="BD325" i="387"/>
  <c r="BC325" i="387"/>
  <c r="BB325" i="387"/>
  <c r="BA325" i="387"/>
  <c r="AZ325" i="387"/>
  <c r="AY325" i="387"/>
  <c r="BL325" i="387" s="1"/>
  <c r="AX325" i="387"/>
  <c r="AW325" i="387"/>
  <c r="AV325" i="387"/>
  <c r="AU325" i="387"/>
  <c r="AT325" i="387"/>
  <c r="AS325" i="387"/>
  <c r="AR325" i="387"/>
  <c r="AQ325" i="387"/>
  <c r="AP325" i="387"/>
  <c r="BN324" i="387"/>
  <c r="BL324" i="387"/>
  <c r="BK324" i="387"/>
  <c r="BJ324" i="387"/>
  <c r="BM324" i="387" s="1"/>
  <c r="BI324" i="387"/>
  <c r="BH324" i="387"/>
  <c r="BG324" i="387"/>
  <c r="BF324" i="387"/>
  <c r="BE324" i="387"/>
  <c r="BD324" i="387"/>
  <c r="BC324" i="387"/>
  <c r="BB324" i="387"/>
  <c r="BA324" i="387"/>
  <c r="AZ324" i="387"/>
  <c r="AY324" i="387"/>
  <c r="AW324" i="387"/>
  <c r="AV324" i="387"/>
  <c r="AU324" i="387"/>
  <c r="AT324" i="387"/>
  <c r="AS324" i="387"/>
  <c r="AR324" i="387"/>
  <c r="AQ324" i="387"/>
  <c r="AP324" i="387"/>
  <c r="AO323" i="387"/>
  <c r="AN323" i="387"/>
  <c r="AM323" i="387"/>
  <c r="AL323" i="387"/>
  <c r="AK323" i="387"/>
  <c r="AJ323" i="387"/>
  <c r="AI323" i="387"/>
  <c r="AH323" i="387"/>
  <c r="AG323" i="387"/>
  <c r="AF323" i="387"/>
  <c r="AE323" i="387"/>
  <c r="AD323" i="387"/>
  <c r="AC323" i="387"/>
  <c r="AB323" i="387"/>
  <c r="AA323" i="387"/>
  <c r="Z323" i="387"/>
  <c r="Y323" i="387"/>
  <c r="X323" i="387"/>
  <c r="W323" i="387"/>
  <c r="V323" i="387"/>
  <c r="U323" i="387"/>
  <c r="T323" i="387"/>
  <c r="S323" i="387"/>
  <c r="R323" i="387"/>
  <c r="Q323" i="387"/>
  <c r="P323" i="387"/>
  <c r="O323" i="387"/>
  <c r="N323" i="387"/>
  <c r="M323" i="387"/>
  <c r="L323" i="387"/>
  <c r="BN322" i="387"/>
  <c r="BL322" i="387"/>
  <c r="BJ322" i="387"/>
  <c r="BM322" i="387" s="1"/>
  <c r="BI322" i="387"/>
  <c r="BH322" i="387"/>
  <c r="BG322" i="387"/>
  <c r="BF322" i="387"/>
  <c r="BE322" i="387"/>
  <c r="BD322" i="387"/>
  <c r="BC322" i="387"/>
  <c r="BB322" i="387"/>
  <c r="BA322" i="387"/>
  <c r="AZ322" i="387"/>
  <c r="AY322" i="387"/>
  <c r="AX322" i="387"/>
  <c r="BK322" i="387" s="1"/>
  <c r="AW322" i="387"/>
  <c r="AV322" i="387"/>
  <c r="AU322" i="387"/>
  <c r="AT322" i="387"/>
  <c r="AS322" i="387"/>
  <c r="AR322" i="387"/>
  <c r="AQ322" i="387"/>
  <c r="AP322" i="387"/>
  <c r="BN321" i="387"/>
  <c r="BK321" i="387"/>
  <c r="BJ321" i="387"/>
  <c r="BM321" i="387" s="1"/>
  <c r="BI321" i="387"/>
  <c r="BH321" i="387"/>
  <c r="BG321" i="387"/>
  <c r="BF321" i="387"/>
  <c r="BE321" i="387"/>
  <c r="BD321" i="387"/>
  <c r="BC321" i="387"/>
  <c r="BB321" i="387"/>
  <c r="BA321" i="387"/>
  <c r="AZ321" i="387"/>
  <c r="AY321" i="387"/>
  <c r="BL321" i="387" s="1"/>
  <c r="AX321" i="387"/>
  <c r="AW321" i="387"/>
  <c r="AV321" i="387"/>
  <c r="AU321" i="387"/>
  <c r="AT321" i="387"/>
  <c r="AS321" i="387"/>
  <c r="AR321" i="387"/>
  <c r="AQ321" i="387"/>
  <c r="AP321" i="387"/>
  <c r="AO320" i="387"/>
  <c r="AN320" i="387"/>
  <c r="AM320" i="387"/>
  <c r="AL320" i="387"/>
  <c r="AK320" i="387"/>
  <c r="AJ320" i="387"/>
  <c r="AI320" i="387"/>
  <c r="AH320" i="387"/>
  <c r="AG320" i="387"/>
  <c r="AF320" i="387"/>
  <c r="AE320" i="387"/>
  <c r="AD320" i="387"/>
  <c r="AC320" i="387"/>
  <c r="AB320" i="387"/>
  <c r="AA320" i="387"/>
  <c r="Z320" i="387"/>
  <c r="Y320" i="387"/>
  <c r="X320" i="387"/>
  <c r="W320" i="387"/>
  <c r="V320" i="387"/>
  <c r="U320" i="387"/>
  <c r="T320" i="387"/>
  <c r="S320" i="387"/>
  <c r="R320" i="387"/>
  <c r="Q320" i="387"/>
  <c r="P320" i="387"/>
  <c r="O320" i="387"/>
  <c r="N320" i="387"/>
  <c r="M320" i="387"/>
  <c r="L320" i="387"/>
  <c r="BN319" i="387"/>
  <c r="BL319" i="387"/>
  <c r="BJ319" i="387"/>
  <c r="BM319" i="387" s="1"/>
  <c r="BI319" i="387"/>
  <c r="BH319" i="387"/>
  <c r="BG319" i="387"/>
  <c r="BF319" i="387"/>
  <c r="BE319" i="387"/>
  <c r="BD319" i="387"/>
  <c r="BC319" i="387"/>
  <c r="BB319" i="387"/>
  <c r="BA319" i="387"/>
  <c r="AZ319" i="387"/>
  <c r="AY319" i="387"/>
  <c r="AX319" i="387"/>
  <c r="BK319" i="387" s="1"/>
  <c r="AW319" i="387"/>
  <c r="AV319" i="387"/>
  <c r="AU319" i="387"/>
  <c r="AT319" i="387"/>
  <c r="AS319" i="387"/>
  <c r="AR319" i="387"/>
  <c r="AQ319" i="387"/>
  <c r="AP319" i="387"/>
  <c r="BN318" i="387"/>
  <c r="BL318" i="387"/>
  <c r="BK318" i="387"/>
  <c r="BJ318" i="387"/>
  <c r="BM318" i="387" s="1"/>
  <c r="BI318" i="387"/>
  <c r="BH318" i="387"/>
  <c r="BG318" i="387"/>
  <c r="BF318" i="387"/>
  <c r="BE318" i="387"/>
  <c r="BD318" i="387"/>
  <c r="BC318" i="387"/>
  <c r="BB318" i="387"/>
  <c r="BA318" i="387"/>
  <c r="AZ318" i="387"/>
  <c r="AW318" i="387"/>
  <c r="AV318" i="387"/>
  <c r="AU318" i="387"/>
  <c r="AT318" i="387"/>
  <c r="AS318" i="387"/>
  <c r="AR318" i="387"/>
  <c r="AQ318" i="387"/>
  <c r="AP318" i="387"/>
  <c r="BN317" i="387"/>
  <c r="BL317" i="387"/>
  <c r="BK317" i="387"/>
  <c r="BJ317" i="387"/>
  <c r="BM317" i="387" s="1"/>
  <c r="BI317" i="387"/>
  <c r="BH317" i="387"/>
  <c r="BG317" i="387"/>
  <c r="BF317" i="387"/>
  <c r="BE317" i="387"/>
  <c r="BD317" i="387"/>
  <c r="BC317" i="387"/>
  <c r="BB317" i="387"/>
  <c r="BA317" i="387"/>
  <c r="AZ317" i="387"/>
  <c r="AW317" i="387"/>
  <c r="AV317" i="387"/>
  <c r="AU317" i="387"/>
  <c r="AT317" i="387"/>
  <c r="AS317" i="387"/>
  <c r="AR317" i="387"/>
  <c r="AQ317" i="387"/>
  <c r="AP317" i="387"/>
  <c r="BN316" i="387"/>
  <c r="BM316" i="387"/>
  <c r="BL316" i="387"/>
  <c r="BK316" i="387"/>
  <c r="BJ316" i="387"/>
  <c r="BI316" i="387"/>
  <c r="BH316" i="387"/>
  <c r="BG316" i="387"/>
  <c r="BF316" i="387"/>
  <c r="BE316" i="387"/>
  <c r="BD316" i="387"/>
  <c r="BC316" i="387"/>
  <c r="BB316" i="387"/>
  <c r="BA316" i="387"/>
  <c r="AZ316" i="387"/>
  <c r="AY316" i="387"/>
  <c r="AX316" i="387"/>
  <c r="AW316" i="387"/>
  <c r="AV316" i="387"/>
  <c r="AU316" i="387"/>
  <c r="AT316" i="387"/>
  <c r="AS316" i="387"/>
  <c r="AR316" i="387"/>
  <c r="AQ316" i="387"/>
  <c r="AP316" i="387"/>
  <c r="BN315" i="387"/>
  <c r="BL315" i="387"/>
  <c r="BK315" i="387"/>
  <c r="BJ315" i="387"/>
  <c r="BM315" i="387" s="1"/>
  <c r="BI315" i="387"/>
  <c r="BH315" i="387"/>
  <c r="BG315" i="387"/>
  <c r="BF315" i="387"/>
  <c r="BE315" i="387"/>
  <c r="BD315" i="387"/>
  <c r="BC315" i="387"/>
  <c r="BB315" i="387"/>
  <c r="BA315" i="387"/>
  <c r="AZ315" i="387"/>
  <c r="AY315" i="387"/>
  <c r="AW315" i="387"/>
  <c r="AV315" i="387"/>
  <c r="AU315" i="387"/>
  <c r="AT315" i="387"/>
  <c r="AS315" i="387"/>
  <c r="AR315" i="387"/>
  <c r="AQ315" i="387"/>
  <c r="AP315" i="387"/>
  <c r="BN314" i="387"/>
  <c r="BL314" i="387"/>
  <c r="BK314" i="387"/>
  <c r="BJ314" i="387"/>
  <c r="BM314" i="387" s="1"/>
  <c r="BI314" i="387"/>
  <c r="BH314" i="387"/>
  <c r="BG314" i="387"/>
  <c r="BF314" i="387"/>
  <c r="BE314" i="387"/>
  <c r="BD314" i="387"/>
  <c r="BC314" i="387"/>
  <c r="BB314" i="387"/>
  <c r="BA314" i="387"/>
  <c r="AZ314" i="387"/>
  <c r="AW314" i="387"/>
  <c r="AV314" i="387"/>
  <c r="AU314" i="387"/>
  <c r="AT314" i="387"/>
  <c r="AS314" i="387"/>
  <c r="AR314" i="387"/>
  <c r="AQ314" i="387"/>
  <c r="AP314" i="387"/>
  <c r="BN313" i="387"/>
  <c r="BL313" i="387"/>
  <c r="BK313" i="387"/>
  <c r="BJ313" i="387"/>
  <c r="BM313" i="387" s="1"/>
  <c r="BI313" i="387"/>
  <c r="BH313" i="387"/>
  <c r="BG313" i="387"/>
  <c r="BF313" i="387"/>
  <c r="BE313" i="387"/>
  <c r="BD313" i="387"/>
  <c r="BC313" i="387"/>
  <c r="BB313" i="387"/>
  <c r="BA313" i="387"/>
  <c r="AZ313" i="387"/>
  <c r="AW313" i="387"/>
  <c r="AV313" i="387"/>
  <c r="AU313" i="387"/>
  <c r="AT313" i="387"/>
  <c r="AS313" i="387"/>
  <c r="AR313" i="387"/>
  <c r="AQ313" i="387"/>
  <c r="AP313" i="387"/>
  <c r="BN312" i="387"/>
  <c r="BK312" i="387"/>
  <c r="BJ312" i="387"/>
  <c r="BM312" i="387" s="1"/>
  <c r="BI312" i="387"/>
  <c r="BH312" i="387"/>
  <c r="BG312" i="387"/>
  <c r="BF312" i="387"/>
  <c r="BE312" i="387"/>
  <c r="BD312" i="387"/>
  <c r="BC312" i="387"/>
  <c r="BB312" i="387"/>
  <c r="BA312" i="387"/>
  <c r="AZ312" i="387"/>
  <c r="AY312" i="387"/>
  <c r="BL312" i="387" s="1"/>
  <c r="AW312" i="387"/>
  <c r="AV312" i="387"/>
  <c r="AU312" i="387"/>
  <c r="AT312" i="387"/>
  <c r="AS312" i="387"/>
  <c r="AR312" i="387"/>
  <c r="AQ312" i="387"/>
  <c r="AP312" i="387"/>
  <c r="BN311" i="387"/>
  <c r="BK311" i="387"/>
  <c r="BJ311" i="387"/>
  <c r="BM311" i="387" s="1"/>
  <c r="BI311" i="387"/>
  <c r="BH311" i="387"/>
  <c r="BG311" i="387"/>
  <c r="BF311" i="387"/>
  <c r="BE311" i="387"/>
  <c r="BD311" i="387"/>
  <c r="BC311" i="387"/>
  <c r="BB311" i="387"/>
  <c r="BA311" i="387"/>
  <c r="AZ311" i="387"/>
  <c r="AY311" i="387"/>
  <c r="BL311" i="387" s="1"/>
  <c r="AW311" i="387"/>
  <c r="AV311" i="387"/>
  <c r="AU311" i="387"/>
  <c r="AT311" i="387"/>
  <c r="AS311" i="387"/>
  <c r="AR311" i="387"/>
  <c r="AQ311" i="387"/>
  <c r="AP311" i="387"/>
  <c r="BN310" i="387"/>
  <c r="BL310" i="387"/>
  <c r="BK310" i="387"/>
  <c r="BJ310" i="387"/>
  <c r="BM310" i="387" s="1"/>
  <c r="BI310" i="387"/>
  <c r="BH310" i="387"/>
  <c r="BG310" i="387"/>
  <c r="BF310" i="387"/>
  <c r="BE310" i="387"/>
  <c r="BD310" i="387"/>
  <c r="BC310" i="387"/>
  <c r="BB310" i="387"/>
  <c r="BA310" i="387"/>
  <c r="AZ310" i="387"/>
  <c r="AW310" i="387"/>
  <c r="AV310" i="387"/>
  <c r="AU310" i="387"/>
  <c r="AT310" i="387"/>
  <c r="AS310" i="387"/>
  <c r="AR310" i="387"/>
  <c r="AQ310" i="387"/>
  <c r="AP310" i="387"/>
  <c r="BN309" i="387"/>
  <c r="BL309" i="387"/>
  <c r="BK309" i="387"/>
  <c r="BJ309" i="387"/>
  <c r="BM309" i="387" s="1"/>
  <c r="BI309" i="387"/>
  <c r="BH309" i="387"/>
  <c r="BG309" i="387"/>
  <c r="BF309" i="387"/>
  <c r="BE309" i="387"/>
  <c r="BD309" i="387"/>
  <c r="BC309" i="387"/>
  <c r="BB309" i="387"/>
  <c r="BA309" i="387"/>
  <c r="AZ309" i="387"/>
  <c r="AW309" i="387"/>
  <c r="AV309" i="387"/>
  <c r="AU309" i="387"/>
  <c r="AT309" i="387"/>
  <c r="AS309" i="387"/>
  <c r="AR309" i="387"/>
  <c r="AQ309" i="387"/>
  <c r="AP309" i="387"/>
  <c r="BN308" i="387"/>
  <c r="BM308" i="387"/>
  <c r="BK308" i="387"/>
  <c r="BJ308" i="387"/>
  <c r="BI308" i="387"/>
  <c r="BH308" i="387"/>
  <c r="BG308" i="387"/>
  <c r="BF308" i="387"/>
  <c r="BE308" i="387"/>
  <c r="BD308" i="387"/>
  <c r="BC308" i="387"/>
  <c r="BB308" i="387"/>
  <c r="BA308" i="387"/>
  <c r="AZ308" i="387"/>
  <c r="AY308" i="387"/>
  <c r="BL308" i="387" s="1"/>
  <c r="AW308" i="387"/>
  <c r="AV308" i="387"/>
  <c r="AU308" i="387"/>
  <c r="AT308" i="387"/>
  <c r="AS308" i="387"/>
  <c r="AR308" i="387"/>
  <c r="AQ308" i="387"/>
  <c r="AP308" i="387"/>
  <c r="BN307" i="387"/>
  <c r="BM307" i="387"/>
  <c r="BL307" i="387"/>
  <c r="BK307" i="387"/>
  <c r="BJ307" i="387"/>
  <c r="BI307" i="387"/>
  <c r="BH307" i="387"/>
  <c r="BG307" i="387"/>
  <c r="BF307" i="387"/>
  <c r="BE307" i="387"/>
  <c r="BD307" i="387"/>
  <c r="BC307" i="387"/>
  <c r="BB307" i="387"/>
  <c r="BA307" i="387"/>
  <c r="AZ307" i="387"/>
  <c r="AW307" i="387"/>
  <c r="AV307" i="387"/>
  <c r="AU307" i="387"/>
  <c r="AT307" i="387"/>
  <c r="AS307" i="387"/>
  <c r="AR307" i="387"/>
  <c r="AQ307" i="387"/>
  <c r="AP307" i="387"/>
  <c r="BN306" i="387"/>
  <c r="BL306" i="387"/>
  <c r="BK306" i="387"/>
  <c r="BJ306" i="387"/>
  <c r="BM306" i="387" s="1"/>
  <c r="BI306" i="387"/>
  <c r="BH306" i="387"/>
  <c r="BG306" i="387"/>
  <c r="BF306" i="387"/>
  <c r="BE306" i="387"/>
  <c r="BD306" i="387"/>
  <c r="BC306" i="387"/>
  <c r="BB306" i="387"/>
  <c r="BA306" i="387"/>
  <c r="AZ306" i="387"/>
  <c r="AY306" i="387"/>
  <c r="AW306" i="387"/>
  <c r="AV306" i="387"/>
  <c r="AU306" i="387"/>
  <c r="AT306" i="387"/>
  <c r="AS306" i="387"/>
  <c r="AR306" i="387"/>
  <c r="AQ306" i="387"/>
  <c r="AP306" i="387"/>
  <c r="AO305" i="387"/>
  <c r="AN305" i="387"/>
  <c r="AM305" i="387"/>
  <c r="AL305" i="387"/>
  <c r="AK305" i="387"/>
  <c r="AJ305" i="387"/>
  <c r="AI305" i="387"/>
  <c r="AH305" i="387"/>
  <c r="AG305" i="387"/>
  <c r="AF305" i="387"/>
  <c r="AE305" i="387"/>
  <c r="AD305" i="387"/>
  <c r="AC305" i="387"/>
  <c r="AB305" i="387"/>
  <c r="AA305" i="387"/>
  <c r="Z305" i="387"/>
  <c r="Y305" i="387"/>
  <c r="X305" i="387"/>
  <c r="W305" i="387"/>
  <c r="V305" i="387"/>
  <c r="U305" i="387"/>
  <c r="T305" i="387"/>
  <c r="S305" i="387"/>
  <c r="R305" i="387"/>
  <c r="Q305" i="387"/>
  <c r="P305" i="387"/>
  <c r="O305" i="387"/>
  <c r="N305" i="387"/>
  <c r="M305" i="387"/>
  <c r="L305" i="387"/>
  <c r="BN304" i="387"/>
  <c r="BK304" i="387"/>
  <c r="BJ304" i="387"/>
  <c r="BM304" i="387" s="1"/>
  <c r="BI304" i="387"/>
  <c r="BH304" i="387"/>
  <c r="BG304" i="387"/>
  <c r="BF304" i="387"/>
  <c r="BE304" i="387"/>
  <c r="BD304" i="387"/>
  <c r="BC304" i="387"/>
  <c r="BB304" i="387"/>
  <c r="BA304" i="387"/>
  <c r="AZ304" i="387"/>
  <c r="AY304" i="387"/>
  <c r="BL304" i="387" s="1"/>
  <c r="AW304" i="387"/>
  <c r="AV304" i="387"/>
  <c r="AU304" i="387"/>
  <c r="AT304" i="387"/>
  <c r="AS304" i="387"/>
  <c r="AR304" i="387"/>
  <c r="AQ304" i="387"/>
  <c r="AP304" i="387"/>
  <c r="BN303" i="387"/>
  <c r="BK303" i="387"/>
  <c r="BJ303" i="387"/>
  <c r="BM303" i="387" s="1"/>
  <c r="BI303" i="387"/>
  <c r="BH303" i="387"/>
  <c r="BG303" i="387"/>
  <c r="BF303" i="387"/>
  <c r="BE303" i="387"/>
  <c r="BD303" i="387"/>
  <c r="BC303" i="387"/>
  <c r="BB303" i="387"/>
  <c r="BA303" i="387"/>
  <c r="AZ303" i="387"/>
  <c r="AY303" i="387"/>
  <c r="BL303" i="387" s="1"/>
  <c r="AX303" i="387"/>
  <c r="AW303" i="387"/>
  <c r="AV303" i="387"/>
  <c r="AU303" i="387"/>
  <c r="AT303" i="387"/>
  <c r="AS303" i="387"/>
  <c r="AR303" i="387"/>
  <c r="AQ303" i="387"/>
  <c r="AP303" i="387"/>
  <c r="BN302" i="387"/>
  <c r="BM302" i="387"/>
  <c r="BL302" i="387"/>
  <c r="BK302" i="387"/>
  <c r="BJ302" i="387"/>
  <c r="BI302" i="387"/>
  <c r="BH302" i="387"/>
  <c r="BG302" i="387"/>
  <c r="BF302" i="387"/>
  <c r="BE302" i="387"/>
  <c r="BD302" i="387"/>
  <c r="BC302" i="387"/>
  <c r="BB302" i="387"/>
  <c r="BA302" i="387"/>
  <c r="AZ302" i="387"/>
  <c r="AY302" i="387"/>
  <c r="AW302" i="387"/>
  <c r="AV302" i="387"/>
  <c r="AU302" i="387"/>
  <c r="AT302" i="387"/>
  <c r="AS302" i="387"/>
  <c r="AR302" i="387"/>
  <c r="AQ302" i="387"/>
  <c r="AP302" i="387"/>
  <c r="BN301" i="387"/>
  <c r="BM301" i="387"/>
  <c r="BL301" i="387"/>
  <c r="BK301" i="387"/>
  <c r="BJ301" i="387"/>
  <c r="BI301" i="387"/>
  <c r="BH301" i="387"/>
  <c r="BG301" i="387"/>
  <c r="BF301" i="387"/>
  <c r="BE301" i="387"/>
  <c r="BD301" i="387"/>
  <c r="BC301" i="387"/>
  <c r="BB301" i="387"/>
  <c r="BA301" i="387"/>
  <c r="AZ301" i="387"/>
  <c r="AW301" i="387"/>
  <c r="AV301" i="387"/>
  <c r="AU301" i="387"/>
  <c r="AT301" i="387"/>
  <c r="AS301" i="387"/>
  <c r="AR301" i="387"/>
  <c r="AQ301" i="387"/>
  <c r="AP301" i="387"/>
  <c r="BN300" i="387"/>
  <c r="BK300" i="387"/>
  <c r="BJ300" i="387"/>
  <c r="BM300" i="387" s="1"/>
  <c r="BI300" i="387"/>
  <c r="BH300" i="387"/>
  <c r="BG300" i="387"/>
  <c r="BF300" i="387"/>
  <c r="BE300" i="387"/>
  <c r="BD300" i="387"/>
  <c r="BC300" i="387"/>
  <c r="BB300" i="387"/>
  <c r="BA300" i="387"/>
  <c r="AZ300" i="387"/>
  <c r="AY300" i="387"/>
  <c r="BL300" i="387" s="1"/>
  <c r="AW300" i="387"/>
  <c r="AV300" i="387"/>
  <c r="AU300" i="387"/>
  <c r="AT300" i="387"/>
  <c r="AS300" i="387"/>
  <c r="AR300" i="387"/>
  <c r="AQ300" i="387"/>
  <c r="AP300" i="387"/>
  <c r="BN299" i="387"/>
  <c r="BK299" i="387"/>
  <c r="BJ299" i="387"/>
  <c r="BM299" i="387" s="1"/>
  <c r="BI299" i="387"/>
  <c r="BH299" i="387"/>
  <c r="BG299" i="387"/>
  <c r="BF299" i="387"/>
  <c r="BE299" i="387"/>
  <c r="BD299" i="387"/>
  <c r="BC299" i="387"/>
  <c r="BB299" i="387"/>
  <c r="BA299" i="387"/>
  <c r="AZ299" i="387"/>
  <c r="AY299" i="387"/>
  <c r="BL299" i="387" s="1"/>
  <c r="AX299" i="387"/>
  <c r="AW299" i="387"/>
  <c r="AV299" i="387"/>
  <c r="AU299" i="387"/>
  <c r="AT299" i="387"/>
  <c r="AS299" i="387"/>
  <c r="AR299" i="387"/>
  <c r="AQ299" i="387"/>
  <c r="AP299" i="387"/>
  <c r="BN298" i="387"/>
  <c r="BM298" i="387"/>
  <c r="BL298" i="387"/>
  <c r="BK298" i="387"/>
  <c r="BJ298" i="387"/>
  <c r="BI298" i="387"/>
  <c r="BH298" i="387"/>
  <c r="BG298" i="387"/>
  <c r="BF298" i="387"/>
  <c r="BE298" i="387"/>
  <c r="BD298" i="387"/>
  <c r="BC298" i="387"/>
  <c r="BB298" i="387"/>
  <c r="BA298" i="387"/>
  <c r="AZ298" i="387"/>
  <c r="AY298" i="387"/>
  <c r="AX298" i="387"/>
  <c r="AW298" i="387"/>
  <c r="AV298" i="387"/>
  <c r="AU298" i="387"/>
  <c r="AT298" i="387"/>
  <c r="AS298" i="387"/>
  <c r="AR298" i="387"/>
  <c r="AQ298" i="387"/>
  <c r="AP298" i="387"/>
  <c r="BN297" i="387"/>
  <c r="BM297" i="387"/>
  <c r="BL297" i="387"/>
  <c r="BK297" i="387"/>
  <c r="BJ297" i="387"/>
  <c r="BI297" i="387"/>
  <c r="BH297" i="387"/>
  <c r="BG297" i="387"/>
  <c r="BF297" i="387"/>
  <c r="BE297" i="387"/>
  <c r="BD297" i="387"/>
  <c r="BC297" i="387"/>
  <c r="BB297" i="387"/>
  <c r="BA297" i="387"/>
  <c r="AZ297" i="387"/>
  <c r="AW297" i="387"/>
  <c r="AV297" i="387"/>
  <c r="AU297" i="387"/>
  <c r="AT297" i="387"/>
  <c r="AS297" i="387"/>
  <c r="AR297" i="387"/>
  <c r="AQ297" i="387"/>
  <c r="AP297" i="387"/>
  <c r="BN296" i="387"/>
  <c r="BM296" i="387"/>
  <c r="BL296" i="387"/>
  <c r="BK296" i="387"/>
  <c r="BJ296" i="387"/>
  <c r="BI296" i="387"/>
  <c r="BH296" i="387"/>
  <c r="BG296" i="387"/>
  <c r="BF296" i="387"/>
  <c r="BE296" i="387"/>
  <c r="BD296" i="387"/>
  <c r="BC296" i="387"/>
  <c r="BB296" i="387"/>
  <c r="BA296" i="387"/>
  <c r="AZ296" i="387"/>
  <c r="AW296" i="387"/>
  <c r="AV296" i="387"/>
  <c r="AU296" i="387"/>
  <c r="AT296" i="387"/>
  <c r="AS296" i="387"/>
  <c r="AR296" i="387"/>
  <c r="AQ296" i="387"/>
  <c r="AP296" i="387"/>
  <c r="BN295" i="387"/>
  <c r="BL295" i="387"/>
  <c r="BJ295" i="387"/>
  <c r="BM295" i="387" s="1"/>
  <c r="BI295" i="387"/>
  <c r="BH295" i="387"/>
  <c r="BG295" i="387"/>
  <c r="BF295" i="387"/>
  <c r="BE295" i="387"/>
  <c r="BD295" i="387"/>
  <c r="BC295" i="387"/>
  <c r="BB295" i="387"/>
  <c r="BA295" i="387"/>
  <c r="AZ295" i="387"/>
  <c r="AX295" i="387"/>
  <c r="BK295" i="387" s="1"/>
  <c r="AW295" i="387"/>
  <c r="AV295" i="387"/>
  <c r="AU295" i="387"/>
  <c r="AT295" i="387"/>
  <c r="AS295" i="387"/>
  <c r="AR295" i="387"/>
  <c r="AQ295" i="387"/>
  <c r="AP295" i="387"/>
  <c r="BN294" i="387"/>
  <c r="BK294" i="387"/>
  <c r="BJ294" i="387"/>
  <c r="BM294" i="387" s="1"/>
  <c r="BI294" i="387"/>
  <c r="BH294" i="387"/>
  <c r="BG294" i="387"/>
  <c r="BF294" i="387"/>
  <c r="BE294" i="387"/>
  <c r="BD294" i="387"/>
  <c r="BC294" i="387"/>
  <c r="BB294" i="387"/>
  <c r="BA294" i="387"/>
  <c r="AZ294" i="387"/>
  <c r="AY294" i="387"/>
  <c r="BL294" i="387" s="1"/>
  <c r="AW294" i="387"/>
  <c r="AV294" i="387"/>
  <c r="AU294" i="387"/>
  <c r="AT294" i="387"/>
  <c r="AS294" i="387"/>
  <c r="AR294" i="387"/>
  <c r="AQ294" i="387"/>
  <c r="AP294" i="387"/>
  <c r="BN293" i="387"/>
  <c r="BL293" i="387"/>
  <c r="BK293" i="387"/>
  <c r="BJ293" i="387"/>
  <c r="BM293" i="387" s="1"/>
  <c r="BI293" i="387"/>
  <c r="BH293" i="387"/>
  <c r="BG293" i="387"/>
  <c r="BF293" i="387"/>
  <c r="BE293" i="387"/>
  <c r="BD293" i="387"/>
  <c r="BC293" i="387"/>
  <c r="BB293" i="387"/>
  <c r="BA293" i="387"/>
  <c r="AZ293" i="387"/>
  <c r="AW293" i="387"/>
  <c r="AV293" i="387"/>
  <c r="AU293" i="387"/>
  <c r="AT293" i="387"/>
  <c r="AS293" i="387"/>
  <c r="AR293" i="387"/>
  <c r="AQ293" i="387"/>
  <c r="AP293" i="387"/>
  <c r="BN292" i="387"/>
  <c r="BL292" i="387"/>
  <c r="BK292" i="387"/>
  <c r="BJ292" i="387"/>
  <c r="BM292" i="387" s="1"/>
  <c r="BI292" i="387"/>
  <c r="BH292" i="387"/>
  <c r="BG292" i="387"/>
  <c r="BF292" i="387"/>
  <c r="BE292" i="387"/>
  <c r="BD292" i="387"/>
  <c r="BC292" i="387"/>
  <c r="BB292" i="387"/>
  <c r="BA292" i="387"/>
  <c r="AZ292" i="387"/>
  <c r="AY292" i="387"/>
  <c r="AW292" i="387"/>
  <c r="AV292" i="387"/>
  <c r="AU292" i="387"/>
  <c r="AT292" i="387"/>
  <c r="AS292" i="387"/>
  <c r="AR292" i="387"/>
  <c r="AQ292" i="387"/>
  <c r="AP292" i="387"/>
  <c r="AO291" i="387"/>
  <c r="AN291" i="387"/>
  <c r="AM291" i="387"/>
  <c r="AL291" i="387"/>
  <c r="AK291" i="387"/>
  <c r="AJ291" i="387"/>
  <c r="AI291" i="387"/>
  <c r="AH291" i="387"/>
  <c r="AG291" i="387"/>
  <c r="AF291" i="387"/>
  <c r="AE291" i="387"/>
  <c r="AD291" i="387"/>
  <c r="AC291" i="387"/>
  <c r="AB291" i="387"/>
  <c r="AA291" i="387"/>
  <c r="Z291" i="387"/>
  <c r="Y291" i="387"/>
  <c r="X291" i="387"/>
  <c r="W291" i="387"/>
  <c r="V291" i="387"/>
  <c r="U291" i="387"/>
  <c r="T291" i="387"/>
  <c r="S291" i="387"/>
  <c r="R291" i="387"/>
  <c r="Q291" i="387"/>
  <c r="P291" i="387"/>
  <c r="O291" i="387"/>
  <c r="N291" i="387"/>
  <c r="M291" i="387"/>
  <c r="L291" i="387"/>
  <c r="BN290" i="387"/>
  <c r="BJ290" i="387"/>
  <c r="BM290" i="387" s="1"/>
  <c r="BI290" i="387"/>
  <c r="BH290" i="387"/>
  <c r="BG290" i="387"/>
  <c r="BF290" i="387"/>
  <c r="BE290" i="387"/>
  <c r="BD290" i="387"/>
  <c r="BC290" i="387"/>
  <c r="BB290" i="387"/>
  <c r="BA290" i="387"/>
  <c r="AZ290" i="387"/>
  <c r="AY290" i="387"/>
  <c r="BL290" i="387" s="1"/>
  <c r="AX290" i="387"/>
  <c r="BK290" i="387" s="1"/>
  <c r="AW290" i="387"/>
  <c r="AV290" i="387"/>
  <c r="AU290" i="387"/>
  <c r="AT290" i="387"/>
  <c r="AS290" i="387"/>
  <c r="AR290" i="387"/>
  <c r="AQ290" i="387"/>
  <c r="AP290" i="387"/>
  <c r="BN289" i="387"/>
  <c r="BK289" i="387"/>
  <c r="BJ289" i="387"/>
  <c r="BM289" i="387" s="1"/>
  <c r="BI289" i="387"/>
  <c r="BH289" i="387"/>
  <c r="BG289" i="387"/>
  <c r="BF289" i="387"/>
  <c r="BE289" i="387"/>
  <c r="BD289" i="387"/>
  <c r="BC289" i="387"/>
  <c r="BB289" i="387"/>
  <c r="BA289" i="387"/>
  <c r="AZ289" i="387"/>
  <c r="AY289" i="387"/>
  <c r="BL289" i="387" s="1"/>
  <c r="AX289" i="387"/>
  <c r="AW289" i="387"/>
  <c r="AV289" i="387"/>
  <c r="AU289" i="387"/>
  <c r="AT289" i="387"/>
  <c r="AS289" i="387"/>
  <c r="AR289" i="387"/>
  <c r="AQ289" i="387"/>
  <c r="AP289" i="387"/>
  <c r="BN288" i="387"/>
  <c r="BL288" i="387"/>
  <c r="BK288" i="387"/>
  <c r="BJ288" i="387"/>
  <c r="BM288" i="387" s="1"/>
  <c r="BI288" i="387"/>
  <c r="BH288" i="387"/>
  <c r="BG288" i="387"/>
  <c r="BF288" i="387"/>
  <c r="BE288" i="387"/>
  <c r="BD288" i="387"/>
  <c r="BC288" i="387"/>
  <c r="BB288" i="387"/>
  <c r="BA288" i="387"/>
  <c r="AZ288" i="387"/>
  <c r="AY288" i="387"/>
  <c r="AW288" i="387"/>
  <c r="AV288" i="387"/>
  <c r="AU288" i="387"/>
  <c r="AT288" i="387"/>
  <c r="AS288" i="387"/>
  <c r="AR288" i="387"/>
  <c r="AQ288" i="387"/>
  <c r="AP288" i="387"/>
  <c r="BN287" i="387"/>
  <c r="BL287" i="387"/>
  <c r="BK287" i="387"/>
  <c r="BJ287" i="387"/>
  <c r="BM287" i="387" s="1"/>
  <c r="BI287" i="387"/>
  <c r="BH287" i="387"/>
  <c r="BG287" i="387"/>
  <c r="BF287" i="387"/>
  <c r="BE287" i="387"/>
  <c r="BD287" i="387"/>
  <c r="BC287" i="387"/>
  <c r="BB287" i="387"/>
  <c r="BA287" i="387"/>
  <c r="AZ287" i="387"/>
  <c r="AY287" i="387"/>
  <c r="AW287" i="387"/>
  <c r="AV287" i="387"/>
  <c r="AU287" i="387"/>
  <c r="AT287" i="387"/>
  <c r="AS287" i="387"/>
  <c r="AR287" i="387"/>
  <c r="AQ287" i="387"/>
  <c r="AP287" i="387"/>
  <c r="BN286" i="387"/>
  <c r="BL286" i="387"/>
  <c r="BK286" i="387"/>
  <c r="BJ286" i="387"/>
  <c r="BM286" i="387" s="1"/>
  <c r="BI286" i="387"/>
  <c r="BH286" i="387"/>
  <c r="BG286" i="387"/>
  <c r="BF286" i="387"/>
  <c r="BE286" i="387"/>
  <c r="BD286" i="387"/>
  <c r="BC286" i="387"/>
  <c r="BB286" i="387"/>
  <c r="BA286" i="387"/>
  <c r="AZ286" i="387"/>
  <c r="AY286" i="387"/>
  <c r="AW286" i="387"/>
  <c r="AV286" i="387"/>
  <c r="AU286" i="387"/>
  <c r="AT286" i="387"/>
  <c r="AS286" i="387"/>
  <c r="AR286" i="387"/>
  <c r="AQ286" i="387"/>
  <c r="AP286" i="387"/>
  <c r="BN285" i="387"/>
  <c r="BL285" i="387"/>
  <c r="BK285" i="387"/>
  <c r="BJ285" i="387"/>
  <c r="BM285" i="387" s="1"/>
  <c r="BI285" i="387"/>
  <c r="BH285" i="387"/>
  <c r="BG285" i="387"/>
  <c r="BF285" i="387"/>
  <c r="BE285" i="387"/>
  <c r="BD285" i="387"/>
  <c r="BC285" i="387"/>
  <c r="BB285" i="387"/>
  <c r="BA285" i="387"/>
  <c r="AZ285" i="387"/>
  <c r="AY285" i="387"/>
  <c r="AX285" i="387"/>
  <c r="AW285" i="387"/>
  <c r="AV285" i="387"/>
  <c r="AU285" i="387"/>
  <c r="AT285" i="387"/>
  <c r="AS285" i="387"/>
  <c r="AR285" i="387"/>
  <c r="AQ285" i="387"/>
  <c r="AP285" i="387"/>
  <c r="BN284" i="387"/>
  <c r="BL284" i="387"/>
  <c r="BK284" i="387"/>
  <c r="BJ284" i="387"/>
  <c r="BM284" i="387" s="1"/>
  <c r="BI284" i="387"/>
  <c r="BH284" i="387"/>
  <c r="BG284" i="387"/>
  <c r="BF284" i="387"/>
  <c r="BE284" i="387"/>
  <c r="BD284" i="387"/>
  <c r="BC284" i="387"/>
  <c r="BB284" i="387"/>
  <c r="BA284" i="387"/>
  <c r="AZ284" i="387"/>
  <c r="AY284" i="387"/>
  <c r="AW284" i="387"/>
  <c r="AV284" i="387"/>
  <c r="AU284" i="387"/>
  <c r="AT284" i="387"/>
  <c r="AS284" i="387"/>
  <c r="AR284" i="387"/>
  <c r="AQ284" i="387"/>
  <c r="AP284" i="387"/>
  <c r="BN283" i="387"/>
  <c r="BL283" i="387"/>
  <c r="BK283" i="387"/>
  <c r="BJ283" i="387"/>
  <c r="BM283" i="387" s="1"/>
  <c r="BI283" i="387"/>
  <c r="BH283" i="387"/>
  <c r="BG283" i="387"/>
  <c r="BF283" i="387"/>
  <c r="BE283" i="387"/>
  <c r="BD283" i="387"/>
  <c r="BC283" i="387"/>
  <c r="BB283" i="387"/>
  <c r="BA283" i="387"/>
  <c r="AZ283" i="387"/>
  <c r="AY283" i="387"/>
  <c r="AW283" i="387"/>
  <c r="AV283" i="387"/>
  <c r="AU283" i="387"/>
  <c r="AT283" i="387"/>
  <c r="AS283" i="387"/>
  <c r="AR283" i="387"/>
  <c r="AQ283" i="387"/>
  <c r="AP283" i="387"/>
  <c r="BN282" i="387"/>
  <c r="BL282" i="387"/>
  <c r="BK282" i="387"/>
  <c r="BJ282" i="387"/>
  <c r="BM282" i="387" s="1"/>
  <c r="BI282" i="387"/>
  <c r="BH282" i="387"/>
  <c r="BG282" i="387"/>
  <c r="BF282" i="387"/>
  <c r="BE282" i="387"/>
  <c r="BD282" i="387"/>
  <c r="BC282" i="387"/>
  <c r="BB282" i="387"/>
  <c r="BA282" i="387"/>
  <c r="AZ282" i="387"/>
  <c r="AY282" i="387"/>
  <c r="AW282" i="387"/>
  <c r="AV282" i="387"/>
  <c r="AU282" i="387"/>
  <c r="AT282" i="387"/>
  <c r="AS282" i="387"/>
  <c r="AR282" i="387"/>
  <c r="AQ282" i="387"/>
  <c r="AP282" i="387"/>
  <c r="BN281" i="387"/>
  <c r="BL281" i="387"/>
  <c r="BK281" i="387"/>
  <c r="BJ281" i="387"/>
  <c r="BM281" i="387" s="1"/>
  <c r="BI281" i="387"/>
  <c r="BH281" i="387"/>
  <c r="BG281" i="387"/>
  <c r="BF281" i="387"/>
  <c r="BE281" i="387"/>
  <c r="BD281" i="387"/>
  <c r="BC281" i="387"/>
  <c r="BB281" i="387"/>
  <c r="BA281" i="387"/>
  <c r="AZ281" i="387"/>
  <c r="AW281" i="387"/>
  <c r="AV281" i="387"/>
  <c r="AU281" i="387"/>
  <c r="AT281" i="387"/>
  <c r="AS281" i="387"/>
  <c r="AR281" i="387"/>
  <c r="AQ281" i="387"/>
  <c r="AP281" i="387"/>
  <c r="BN280" i="387"/>
  <c r="BL280" i="387"/>
  <c r="BK280" i="387"/>
  <c r="BJ280" i="387"/>
  <c r="BM280" i="387" s="1"/>
  <c r="BI280" i="387"/>
  <c r="BH280" i="387"/>
  <c r="BG280" i="387"/>
  <c r="BF280" i="387"/>
  <c r="BE280" i="387"/>
  <c r="BD280" i="387"/>
  <c r="BC280" i="387"/>
  <c r="BB280" i="387"/>
  <c r="BA280" i="387"/>
  <c r="AZ280" i="387"/>
  <c r="AW280" i="387"/>
  <c r="AV280" i="387"/>
  <c r="AU280" i="387"/>
  <c r="AT280" i="387"/>
  <c r="AS280" i="387"/>
  <c r="AR280" i="387"/>
  <c r="AQ280" i="387"/>
  <c r="AP280" i="387"/>
  <c r="BN279" i="387"/>
  <c r="BL279" i="387"/>
  <c r="BK279" i="387"/>
  <c r="BJ279" i="387"/>
  <c r="BM279" i="387" s="1"/>
  <c r="BI279" i="387"/>
  <c r="BH279" i="387"/>
  <c r="BG279" i="387"/>
  <c r="BF279" i="387"/>
  <c r="BE279" i="387"/>
  <c r="BD279" i="387"/>
  <c r="BC279" i="387"/>
  <c r="BB279" i="387"/>
  <c r="BA279" i="387"/>
  <c r="AZ279" i="387"/>
  <c r="AY279" i="387"/>
  <c r="AW279" i="387"/>
  <c r="AV279" i="387"/>
  <c r="AU279" i="387"/>
  <c r="AT279" i="387"/>
  <c r="AS279" i="387"/>
  <c r="AR279" i="387"/>
  <c r="AQ279" i="387"/>
  <c r="AP279" i="387"/>
  <c r="BN278" i="387"/>
  <c r="BL278" i="387"/>
  <c r="BK278" i="387"/>
  <c r="BJ278" i="387"/>
  <c r="BM278" i="387" s="1"/>
  <c r="BI278" i="387"/>
  <c r="BH278" i="387"/>
  <c r="BG278" i="387"/>
  <c r="BF278" i="387"/>
  <c r="BE278" i="387"/>
  <c r="BD278" i="387"/>
  <c r="BC278" i="387"/>
  <c r="BB278" i="387"/>
  <c r="BA278" i="387"/>
  <c r="AZ278" i="387"/>
  <c r="AY278" i="387"/>
  <c r="AW278" i="387"/>
  <c r="AV278" i="387"/>
  <c r="AU278" i="387"/>
  <c r="AT278" i="387"/>
  <c r="AS278" i="387"/>
  <c r="AR278" i="387"/>
  <c r="AQ278" i="387"/>
  <c r="AP278" i="387"/>
  <c r="AO277" i="387"/>
  <c r="AN277" i="387"/>
  <c r="AM277" i="387"/>
  <c r="AL277" i="387"/>
  <c r="AK277" i="387"/>
  <c r="AJ277" i="387"/>
  <c r="AI277" i="387"/>
  <c r="AH277" i="387"/>
  <c r="AG277" i="387"/>
  <c r="AF277" i="387"/>
  <c r="AE277" i="387"/>
  <c r="AD277" i="387"/>
  <c r="AC277" i="387"/>
  <c r="AB277" i="387"/>
  <c r="AA277" i="387"/>
  <c r="Z277" i="387"/>
  <c r="Y277" i="387"/>
  <c r="X277" i="387"/>
  <c r="W277" i="387"/>
  <c r="V277" i="387"/>
  <c r="U277" i="387"/>
  <c r="T277" i="387"/>
  <c r="S277" i="387"/>
  <c r="R277" i="387"/>
  <c r="Q277" i="387"/>
  <c r="P277" i="387"/>
  <c r="O277" i="387"/>
  <c r="N277" i="387"/>
  <c r="M277" i="387"/>
  <c r="L277" i="387"/>
  <c r="BN276" i="387"/>
  <c r="BK276" i="387"/>
  <c r="BJ276" i="387"/>
  <c r="BM276" i="387" s="1"/>
  <c r="BI276" i="387"/>
  <c r="BH276" i="387"/>
  <c r="BG276" i="387"/>
  <c r="BF276" i="387"/>
  <c r="BE276" i="387"/>
  <c r="BD276" i="387"/>
  <c r="BC276" i="387"/>
  <c r="BB276" i="387"/>
  <c r="BA276" i="387"/>
  <c r="AZ276" i="387"/>
  <c r="AY276" i="387"/>
  <c r="BL276" i="387" s="1"/>
  <c r="AW276" i="387"/>
  <c r="AV276" i="387"/>
  <c r="AU276" i="387"/>
  <c r="AT276" i="387"/>
  <c r="AS276" i="387"/>
  <c r="AR276" i="387"/>
  <c r="AQ276" i="387"/>
  <c r="AP276" i="387"/>
  <c r="BN275" i="387"/>
  <c r="BL275" i="387"/>
  <c r="BK275" i="387"/>
  <c r="BJ275" i="387"/>
  <c r="BM275" i="387" s="1"/>
  <c r="BI275" i="387"/>
  <c r="BH275" i="387"/>
  <c r="BG275" i="387"/>
  <c r="BF275" i="387"/>
  <c r="BE275" i="387"/>
  <c r="BD275" i="387"/>
  <c r="BC275" i="387"/>
  <c r="BB275" i="387"/>
  <c r="BA275" i="387"/>
  <c r="AZ275" i="387"/>
  <c r="AW275" i="387"/>
  <c r="AV275" i="387"/>
  <c r="AU275" i="387"/>
  <c r="AT275" i="387"/>
  <c r="AS275" i="387"/>
  <c r="AR275" i="387"/>
  <c r="AQ275" i="387"/>
  <c r="AP275" i="387"/>
  <c r="BN274" i="387"/>
  <c r="BM274" i="387"/>
  <c r="BL274" i="387"/>
  <c r="BK274" i="387"/>
  <c r="BJ274" i="387"/>
  <c r="BI274" i="387"/>
  <c r="BH274" i="387"/>
  <c r="BG274" i="387"/>
  <c r="BF274" i="387"/>
  <c r="BE274" i="387"/>
  <c r="BD274" i="387"/>
  <c r="BC274" i="387"/>
  <c r="BB274" i="387"/>
  <c r="BA274" i="387"/>
  <c r="AZ274" i="387"/>
  <c r="AW274" i="387"/>
  <c r="AV274" i="387"/>
  <c r="AU274" i="387"/>
  <c r="AT274" i="387"/>
  <c r="AS274" i="387"/>
  <c r="AR274" i="387"/>
  <c r="AQ274" i="387"/>
  <c r="AP274" i="387"/>
  <c r="BN273" i="387"/>
  <c r="BM273" i="387"/>
  <c r="BL273" i="387"/>
  <c r="BJ273" i="387"/>
  <c r="BI273" i="387"/>
  <c r="BH273" i="387"/>
  <c r="BG273" i="387"/>
  <c r="BF273" i="387"/>
  <c r="BE273" i="387"/>
  <c r="BD273" i="387"/>
  <c r="BC273" i="387"/>
  <c r="BB273" i="387"/>
  <c r="BA273" i="387"/>
  <c r="AZ273" i="387"/>
  <c r="AY273" i="387"/>
  <c r="AX273" i="387"/>
  <c r="BK273" i="387" s="1"/>
  <c r="AW273" i="387"/>
  <c r="AV273" i="387"/>
  <c r="AU273" i="387"/>
  <c r="AT273" i="387"/>
  <c r="AS273" i="387"/>
  <c r="AR273" i="387"/>
  <c r="AQ273" i="387"/>
  <c r="AP273" i="387"/>
  <c r="AO272" i="387"/>
  <c r="AN272" i="387"/>
  <c r="AM272" i="387"/>
  <c r="AL272" i="387"/>
  <c r="AK272" i="387"/>
  <c r="AJ272" i="387"/>
  <c r="AI272" i="387"/>
  <c r="AH272" i="387"/>
  <c r="AG272" i="387"/>
  <c r="AF272" i="387"/>
  <c r="AE272" i="387"/>
  <c r="AD272" i="387"/>
  <c r="AC272" i="387"/>
  <c r="AB272" i="387"/>
  <c r="AA272" i="387"/>
  <c r="Z272" i="387"/>
  <c r="Y272" i="387"/>
  <c r="X272" i="387"/>
  <c r="W272" i="387"/>
  <c r="V272" i="387"/>
  <c r="U272" i="387"/>
  <c r="T272" i="387"/>
  <c r="S272" i="387"/>
  <c r="R272" i="387"/>
  <c r="Q272" i="387"/>
  <c r="P272" i="387"/>
  <c r="O272" i="387"/>
  <c r="N272" i="387"/>
  <c r="M272" i="387"/>
  <c r="L272" i="387"/>
  <c r="BN271" i="387"/>
  <c r="BM271" i="387"/>
  <c r="BL271" i="387"/>
  <c r="BK271" i="387"/>
  <c r="BJ271" i="387"/>
  <c r="BI271" i="387"/>
  <c r="BH271" i="387"/>
  <c r="BG271" i="387"/>
  <c r="BF271" i="387"/>
  <c r="BE271" i="387"/>
  <c r="BD271" i="387"/>
  <c r="BC271" i="387"/>
  <c r="BB271" i="387"/>
  <c r="BA271" i="387"/>
  <c r="AZ271" i="387"/>
  <c r="AW271" i="387"/>
  <c r="AV271" i="387"/>
  <c r="AU271" i="387"/>
  <c r="AT271" i="387"/>
  <c r="AS271" i="387"/>
  <c r="AR271" i="387"/>
  <c r="AQ271" i="387"/>
  <c r="AP271" i="387"/>
  <c r="AO270" i="387"/>
  <c r="AN270" i="387"/>
  <c r="AM270" i="387"/>
  <c r="AL270" i="387"/>
  <c r="AK270" i="387"/>
  <c r="AJ270" i="387"/>
  <c r="AI270" i="387"/>
  <c r="AH270" i="387"/>
  <c r="AG270" i="387"/>
  <c r="AF270" i="387"/>
  <c r="AE270" i="387"/>
  <c r="AD270" i="387"/>
  <c r="AC270" i="387"/>
  <c r="AB270" i="387"/>
  <c r="AA270" i="387"/>
  <c r="Z270" i="387"/>
  <c r="Y270" i="387"/>
  <c r="X270" i="387"/>
  <c r="W270" i="387"/>
  <c r="V270" i="387"/>
  <c r="U270" i="387"/>
  <c r="T270" i="387"/>
  <c r="S270" i="387"/>
  <c r="R270" i="387"/>
  <c r="Q270" i="387"/>
  <c r="P270" i="387"/>
  <c r="O270" i="387"/>
  <c r="N270" i="387"/>
  <c r="M270" i="387"/>
  <c r="L270" i="387"/>
  <c r="BN269" i="387"/>
  <c r="BL269" i="387"/>
  <c r="BK269" i="387"/>
  <c r="BJ269" i="387"/>
  <c r="BM269" i="387" s="1"/>
  <c r="BI269" i="387"/>
  <c r="BH269" i="387"/>
  <c r="BG269" i="387"/>
  <c r="BF269" i="387"/>
  <c r="BE269" i="387"/>
  <c r="BD269" i="387"/>
  <c r="BC269" i="387"/>
  <c r="BB269" i="387"/>
  <c r="BA269" i="387"/>
  <c r="AZ269" i="387"/>
  <c r="AW269" i="387"/>
  <c r="AV269" i="387"/>
  <c r="AU269" i="387"/>
  <c r="AT269" i="387"/>
  <c r="AS269" i="387"/>
  <c r="AR269" i="387"/>
  <c r="AQ269" i="387"/>
  <c r="AP269" i="387"/>
  <c r="BN268" i="387"/>
  <c r="BL268" i="387"/>
  <c r="BK268" i="387"/>
  <c r="BJ268" i="387"/>
  <c r="BM268" i="387" s="1"/>
  <c r="BI268" i="387"/>
  <c r="BH268" i="387"/>
  <c r="BG268" i="387"/>
  <c r="BF268" i="387"/>
  <c r="BE268" i="387"/>
  <c r="BD268" i="387"/>
  <c r="BC268" i="387"/>
  <c r="BB268" i="387"/>
  <c r="BA268" i="387"/>
  <c r="AZ268" i="387"/>
  <c r="AW268" i="387"/>
  <c r="AV268" i="387"/>
  <c r="AU268" i="387"/>
  <c r="AT268" i="387"/>
  <c r="AS268" i="387"/>
  <c r="AR268" i="387"/>
  <c r="AQ268" i="387"/>
  <c r="AP268" i="387"/>
  <c r="BN267" i="387"/>
  <c r="BM267" i="387"/>
  <c r="BJ267" i="387"/>
  <c r="BI267" i="387"/>
  <c r="BH267" i="387"/>
  <c r="BG267" i="387"/>
  <c r="BF267" i="387"/>
  <c r="BE267" i="387"/>
  <c r="BD267" i="387"/>
  <c r="BC267" i="387"/>
  <c r="BB267" i="387"/>
  <c r="BA267" i="387"/>
  <c r="AZ267" i="387"/>
  <c r="AY267" i="387"/>
  <c r="BL267" i="387" s="1"/>
  <c r="AX267" i="387"/>
  <c r="BK267" i="387" s="1"/>
  <c r="AW267" i="387"/>
  <c r="AV267" i="387"/>
  <c r="AU267" i="387"/>
  <c r="AT267" i="387"/>
  <c r="AS267" i="387"/>
  <c r="AR267" i="387"/>
  <c r="AQ267" i="387"/>
  <c r="AP267" i="387"/>
  <c r="BN266" i="387"/>
  <c r="BJ266" i="387"/>
  <c r="BM266" i="387" s="1"/>
  <c r="BI266" i="387"/>
  <c r="BH266" i="387"/>
  <c r="BG266" i="387"/>
  <c r="BF266" i="387"/>
  <c r="BE266" i="387"/>
  <c r="BD266" i="387"/>
  <c r="BC266" i="387"/>
  <c r="BB266" i="387"/>
  <c r="BA266" i="387"/>
  <c r="AZ266" i="387"/>
  <c r="AY266" i="387"/>
  <c r="BL266" i="387" s="1"/>
  <c r="AX266" i="387"/>
  <c r="BK266" i="387" s="1"/>
  <c r="AW266" i="387"/>
  <c r="AV266" i="387"/>
  <c r="AU266" i="387"/>
  <c r="AT266" i="387"/>
  <c r="AS266" i="387"/>
  <c r="AR266" i="387"/>
  <c r="AQ266" i="387"/>
  <c r="AP266" i="387"/>
  <c r="BN265" i="387"/>
  <c r="BM265" i="387"/>
  <c r="BK265" i="387"/>
  <c r="BJ265" i="387"/>
  <c r="BI265" i="387"/>
  <c r="BH265" i="387"/>
  <c r="BG265" i="387"/>
  <c r="BF265" i="387"/>
  <c r="BE265" i="387"/>
  <c r="BD265" i="387"/>
  <c r="BC265" i="387"/>
  <c r="BB265" i="387"/>
  <c r="BA265" i="387"/>
  <c r="AZ265" i="387"/>
  <c r="AY265" i="387"/>
  <c r="BL265" i="387" s="1"/>
  <c r="AW265" i="387"/>
  <c r="AV265" i="387"/>
  <c r="AU265" i="387"/>
  <c r="AT265" i="387"/>
  <c r="AS265" i="387"/>
  <c r="AR265" i="387"/>
  <c r="AQ265" i="387"/>
  <c r="AP265" i="387"/>
  <c r="BN264" i="387"/>
  <c r="BM264" i="387"/>
  <c r="BL264" i="387"/>
  <c r="BK264" i="387"/>
  <c r="BJ264" i="387"/>
  <c r="BI264" i="387"/>
  <c r="BH264" i="387"/>
  <c r="BG264" i="387"/>
  <c r="BF264" i="387"/>
  <c r="BE264" i="387"/>
  <c r="BD264" i="387"/>
  <c r="BC264" i="387"/>
  <c r="BB264" i="387"/>
  <c r="BA264" i="387"/>
  <c r="AZ264" i="387"/>
  <c r="AW264" i="387"/>
  <c r="AV264" i="387"/>
  <c r="AU264" i="387"/>
  <c r="AT264" i="387"/>
  <c r="AS264" i="387"/>
  <c r="AR264" i="387"/>
  <c r="AQ264" i="387"/>
  <c r="AP264" i="387"/>
  <c r="BN263" i="387"/>
  <c r="BJ263" i="387"/>
  <c r="BM263" i="387" s="1"/>
  <c r="BI263" i="387"/>
  <c r="BH263" i="387"/>
  <c r="BG263" i="387"/>
  <c r="BF263" i="387"/>
  <c r="BE263" i="387"/>
  <c r="BD263" i="387"/>
  <c r="BC263" i="387"/>
  <c r="BB263" i="387"/>
  <c r="BA263" i="387"/>
  <c r="AZ263" i="387"/>
  <c r="AY263" i="387"/>
  <c r="BL263" i="387" s="1"/>
  <c r="AX263" i="387"/>
  <c r="BK263" i="387" s="1"/>
  <c r="AW263" i="387"/>
  <c r="AV263" i="387"/>
  <c r="AU263" i="387"/>
  <c r="AT263" i="387"/>
  <c r="AS263" i="387"/>
  <c r="AR263" i="387"/>
  <c r="AQ263" i="387"/>
  <c r="AP263" i="387"/>
  <c r="BN262" i="387"/>
  <c r="BM262" i="387"/>
  <c r="BL262" i="387"/>
  <c r="BK262" i="387"/>
  <c r="BJ262" i="387"/>
  <c r="BI262" i="387"/>
  <c r="BH262" i="387"/>
  <c r="BG262" i="387"/>
  <c r="BF262" i="387"/>
  <c r="BE262" i="387"/>
  <c r="BD262" i="387"/>
  <c r="BC262" i="387"/>
  <c r="BB262" i="387"/>
  <c r="BA262" i="387"/>
  <c r="AZ262" i="387"/>
  <c r="AW262" i="387"/>
  <c r="AV262" i="387"/>
  <c r="AU262" i="387"/>
  <c r="AT262" i="387"/>
  <c r="AS262" i="387"/>
  <c r="AR262" i="387"/>
  <c r="AQ262" i="387"/>
  <c r="AP262" i="387"/>
  <c r="BN261" i="387"/>
  <c r="BL261" i="387"/>
  <c r="BK261" i="387"/>
  <c r="BJ261" i="387"/>
  <c r="BM261" i="387" s="1"/>
  <c r="BI261" i="387"/>
  <c r="BH261" i="387"/>
  <c r="BG261" i="387"/>
  <c r="BF261" i="387"/>
  <c r="BE261" i="387"/>
  <c r="BD261" i="387"/>
  <c r="BC261" i="387"/>
  <c r="BB261" i="387"/>
  <c r="BA261" i="387"/>
  <c r="AZ261" i="387"/>
  <c r="AW261" i="387"/>
  <c r="AV261" i="387"/>
  <c r="AU261" i="387"/>
  <c r="AT261" i="387"/>
  <c r="AS261" i="387"/>
  <c r="AR261" i="387"/>
  <c r="AQ261" i="387"/>
  <c r="AP261" i="387"/>
  <c r="BN260" i="387"/>
  <c r="BJ260" i="387"/>
  <c r="BM260" i="387" s="1"/>
  <c r="BI260" i="387"/>
  <c r="BH260" i="387"/>
  <c r="BG260" i="387"/>
  <c r="BF260" i="387"/>
  <c r="BE260" i="387"/>
  <c r="BD260" i="387"/>
  <c r="BC260" i="387"/>
  <c r="BB260" i="387"/>
  <c r="BA260" i="387"/>
  <c r="AZ260" i="387"/>
  <c r="AY260" i="387"/>
  <c r="BL260" i="387" s="1"/>
  <c r="AX260" i="387"/>
  <c r="BK260" i="387" s="1"/>
  <c r="AW260" i="387"/>
  <c r="AV260" i="387"/>
  <c r="AU260" i="387"/>
  <c r="AT260" i="387"/>
  <c r="AS260" i="387"/>
  <c r="AR260" i="387"/>
  <c r="AQ260" i="387"/>
  <c r="AP260" i="387"/>
  <c r="BN259" i="387"/>
  <c r="BL259" i="387"/>
  <c r="BK259" i="387"/>
  <c r="BJ259" i="387"/>
  <c r="BM259" i="387" s="1"/>
  <c r="BI259" i="387"/>
  <c r="BH259" i="387"/>
  <c r="BG259" i="387"/>
  <c r="BF259" i="387"/>
  <c r="BE259" i="387"/>
  <c r="BD259" i="387"/>
  <c r="BC259" i="387"/>
  <c r="BB259" i="387"/>
  <c r="BA259" i="387"/>
  <c r="AZ259" i="387"/>
  <c r="AW259" i="387"/>
  <c r="AV259" i="387"/>
  <c r="AU259" i="387"/>
  <c r="AT259" i="387"/>
  <c r="AS259" i="387"/>
  <c r="AR259" i="387"/>
  <c r="AQ259" i="387"/>
  <c r="AP259" i="387"/>
  <c r="BN258" i="387"/>
  <c r="BL258" i="387"/>
  <c r="BK258" i="387"/>
  <c r="BJ258" i="387"/>
  <c r="BM258" i="387" s="1"/>
  <c r="BI258" i="387"/>
  <c r="BH258" i="387"/>
  <c r="BG258" i="387"/>
  <c r="BF258" i="387"/>
  <c r="BE258" i="387"/>
  <c r="BD258" i="387"/>
  <c r="BC258" i="387"/>
  <c r="BB258" i="387"/>
  <c r="BA258" i="387"/>
  <c r="AZ258" i="387"/>
  <c r="AW258" i="387"/>
  <c r="AV258" i="387"/>
  <c r="AU258" i="387"/>
  <c r="AT258" i="387"/>
  <c r="AS258" i="387"/>
  <c r="AR258" i="387"/>
  <c r="AQ258" i="387"/>
  <c r="AP258" i="387"/>
  <c r="BN257" i="387"/>
  <c r="BK257" i="387"/>
  <c r="BJ257" i="387"/>
  <c r="BM257" i="387" s="1"/>
  <c r="BI257" i="387"/>
  <c r="BH257" i="387"/>
  <c r="BG257" i="387"/>
  <c r="BF257" i="387"/>
  <c r="BE257" i="387"/>
  <c r="BD257" i="387"/>
  <c r="BC257" i="387"/>
  <c r="BB257" i="387"/>
  <c r="BA257" i="387"/>
  <c r="AZ257" i="387"/>
  <c r="AY257" i="387"/>
  <c r="BL257" i="387" s="1"/>
  <c r="AW257" i="387"/>
  <c r="AV257" i="387"/>
  <c r="AU257" i="387"/>
  <c r="AT257" i="387"/>
  <c r="AS257" i="387"/>
  <c r="AR257" i="387"/>
  <c r="AQ257" i="387"/>
  <c r="AP257" i="387"/>
  <c r="AO256" i="387"/>
  <c r="AN256" i="387"/>
  <c r="AM256" i="387"/>
  <c r="AL256" i="387"/>
  <c r="AK256" i="387"/>
  <c r="AJ256" i="387"/>
  <c r="AI256" i="387"/>
  <c r="AH256" i="387"/>
  <c r="AG256" i="387"/>
  <c r="AF256" i="387"/>
  <c r="AE256" i="387"/>
  <c r="AD256" i="387"/>
  <c r="AC256" i="387"/>
  <c r="AB256" i="387"/>
  <c r="AA256" i="387"/>
  <c r="Z256" i="387"/>
  <c r="Y256" i="387"/>
  <c r="X256" i="387"/>
  <c r="W256" i="387"/>
  <c r="V256" i="387"/>
  <c r="U256" i="387"/>
  <c r="T256" i="387"/>
  <c r="S256" i="387"/>
  <c r="R256" i="387"/>
  <c r="Q256" i="387"/>
  <c r="P256" i="387"/>
  <c r="O256" i="387"/>
  <c r="N256" i="387"/>
  <c r="M256" i="387"/>
  <c r="L256" i="387"/>
  <c r="BN255" i="387"/>
  <c r="BM255" i="387"/>
  <c r="BK255" i="387"/>
  <c r="BJ255" i="387"/>
  <c r="BI255" i="387"/>
  <c r="BH255" i="387"/>
  <c r="BG255" i="387"/>
  <c r="BF255" i="387"/>
  <c r="BE255" i="387"/>
  <c r="BD255" i="387"/>
  <c r="BC255" i="387"/>
  <c r="BB255" i="387"/>
  <c r="BA255" i="387"/>
  <c r="AZ255" i="387"/>
  <c r="AY255" i="387"/>
  <c r="BL255" i="387" s="1"/>
  <c r="AW255" i="387"/>
  <c r="AV255" i="387"/>
  <c r="AU255" i="387"/>
  <c r="AT255" i="387"/>
  <c r="AS255" i="387"/>
  <c r="AR255" i="387"/>
  <c r="AQ255" i="387"/>
  <c r="AP255" i="387"/>
  <c r="BN254" i="387"/>
  <c r="BM254" i="387"/>
  <c r="BL254" i="387"/>
  <c r="BK254" i="387"/>
  <c r="BJ254" i="387"/>
  <c r="BI254" i="387"/>
  <c r="BH254" i="387"/>
  <c r="BG254" i="387"/>
  <c r="BF254" i="387"/>
  <c r="BE254" i="387"/>
  <c r="BD254" i="387"/>
  <c r="BC254" i="387"/>
  <c r="BB254" i="387"/>
  <c r="BA254" i="387"/>
  <c r="AZ254" i="387"/>
  <c r="AW254" i="387"/>
  <c r="AV254" i="387"/>
  <c r="AU254" i="387"/>
  <c r="AT254" i="387"/>
  <c r="AS254" i="387"/>
  <c r="AR254" i="387"/>
  <c r="AQ254" i="387"/>
  <c r="AP254" i="387"/>
  <c r="BN253" i="387"/>
  <c r="BK253" i="387"/>
  <c r="BJ253" i="387"/>
  <c r="BM253" i="387" s="1"/>
  <c r="BI253" i="387"/>
  <c r="BH253" i="387"/>
  <c r="BG253" i="387"/>
  <c r="BF253" i="387"/>
  <c r="BE253" i="387"/>
  <c r="BD253" i="387"/>
  <c r="BC253" i="387"/>
  <c r="BB253" i="387"/>
  <c r="BA253" i="387"/>
  <c r="AZ253" i="387"/>
  <c r="AY253" i="387"/>
  <c r="BL253" i="387" s="1"/>
  <c r="AW253" i="387"/>
  <c r="AV253" i="387"/>
  <c r="AU253" i="387"/>
  <c r="AT253" i="387"/>
  <c r="AS253" i="387"/>
  <c r="AR253" i="387"/>
  <c r="AQ253" i="387"/>
  <c r="AP253" i="387"/>
  <c r="BN252" i="387"/>
  <c r="BK252" i="387"/>
  <c r="BJ252" i="387"/>
  <c r="BM252" i="387" s="1"/>
  <c r="BI252" i="387"/>
  <c r="BH252" i="387"/>
  <c r="BG252" i="387"/>
  <c r="BF252" i="387"/>
  <c r="BE252" i="387"/>
  <c r="BD252" i="387"/>
  <c r="BC252" i="387"/>
  <c r="BB252" i="387"/>
  <c r="BA252" i="387"/>
  <c r="AZ252" i="387"/>
  <c r="AY252" i="387"/>
  <c r="BL252" i="387" s="1"/>
  <c r="AW252" i="387"/>
  <c r="AV252" i="387"/>
  <c r="AU252" i="387"/>
  <c r="AT252" i="387"/>
  <c r="AS252" i="387"/>
  <c r="AR252" i="387"/>
  <c r="AQ252" i="387"/>
  <c r="AP252" i="387"/>
  <c r="BN251" i="387"/>
  <c r="BL251" i="387"/>
  <c r="BK251" i="387"/>
  <c r="BJ251" i="387"/>
  <c r="BM251" i="387" s="1"/>
  <c r="BI251" i="387"/>
  <c r="BH251" i="387"/>
  <c r="BG251" i="387"/>
  <c r="BF251" i="387"/>
  <c r="BE251" i="387"/>
  <c r="BD251" i="387"/>
  <c r="BC251" i="387"/>
  <c r="BB251" i="387"/>
  <c r="BA251" i="387"/>
  <c r="AZ251" i="387"/>
  <c r="AW251" i="387"/>
  <c r="AV251" i="387"/>
  <c r="AU251" i="387"/>
  <c r="AT251" i="387"/>
  <c r="AS251" i="387"/>
  <c r="AR251" i="387"/>
  <c r="AQ251" i="387"/>
  <c r="AP251" i="387"/>
  <c r="BN250" i="387"/>
  <c r="BL250" i="387"/>
  <c r="BK250" i="387"/>
  <c r="BJ250" i="387"/>
  <c r="BM250" i="387" s="1"/>
  <c r="BI250" i="387"/>
  <c r="BH250" i="387"/>
  <c r="BG250" i="387"/>
  <c r="BF250" i="387"/>
  <c r="BE250" i="387"/>
  <c r="BD250" i="387"/>
  <c r="BC250" i="387"/>
  <c r="BB250" i="387"/>
  <c r="BA250" i="387"/>
  <c r="AZ250" i="387"/>
  <c r="AY250" i="387"/>
  <c r="AW250" i="387"/>
  <c r="AV250" i="387"/>
  <c r="AU250" i="387"/>
  <c r="AT250" i="387"/>
  <c r="AS250" i="387"/>
  <c r="AR250" i="387"/>
  <c r="AQ250" i="387"/>
  <c r="AP250" i="387"/>
  <c r="BN249" i="387"/>
  <c r="BL249" i="387"/>
  <c r="BK249" i="387"/>
  <c r="BJ249" i="387"/>
  <c r="BM249" i="387" s="1"/>
  <c r="BI249" i="387"/>
  <c r="BH249" i="387"/>
  <c r="BG249" i="387"/>
  <c r="BF249" i="387"/>
  <c r="BE249" i="387"/>
  <c r="BD249" i="387"/>
  <c r="BC249" i="387"/>
  <c r="BB249" i="387"/>
  <c r="BA249" i="387"/>
  <c r="AZ249" i="387"/>
  <c r="AW249" i="387"/>
  <c r="AV249" i="387"/>
  <c r="AU249" i="387"/>
  <c r="AT249" i="387"/>
  <c r="AS249" i="387"/>
  <c r="AR249" i="387"/>
  <c r="AQ249" i="387"/>
  <c r="AP249" i="387"/>
  <c r="BN248" i="387"/>
  <c r="BM248" i="387"/>
  <c r="BL248" i="387"/>
  <c r="BK248" i="387"/>
  <c r="BJ248" i="387"/>
  <c r="BI248" i="387"/>
  <c r="BH248" i="387"/>
  <c r="BG248" i="387"/>
  <c r="BF248" i="387"/>
  <c r="BE248" i="387"/>
  <c r="BD248" i="387"/>
  <c r="BC248" i="387"/>
  <c r="BB248" i="387"/>
  <c r="BA248" i="387"/>
  <c r="AZ248" i="387"/>
  <c r="AW248" i="387"/>
  <c r="AV248" i="387"/>
  <c r="AU248" i="387"/>
  <c r="AT248" i="387"/>
  <c r="AS248" i="387"/>
  <c r="AR248" i="387"/>
  <c r="AQ248" i="387"/>
  <c r="AP248" i="387"/>
  <c r="AO247" i="387"/>
  <c r="AN247" i="387"/>
  <c r="AM247" i="387"/>
  <c r="AL247" i="387"/>
  <c r="AK247" i="387"/>
  <c r="AJ247" i="387"/>
  <c r="AI247" i="387"/>
  <c r="AH247" i="387"/>
  <c r="AG247" i="387"/>
  <c r="AF247" i="387"/>
  <c r="AE247" i="387"/>
  <c r="AD247" i="387"/>
  <c r="AC247" i="387"/>
  <c r="AB247" i="387"/>
  <c r="AA247" i="387"/>
  <c r="Z247" i="387"/>
  <c r="Y247" i="387"/>
  <c r="X247" i="387"/>
  <c r="W247" i="387"/>
  <c r="V247" i="387"/>
  <c r="U247" i="387"/>
  <c r="T247" i="387"/>
  <c r="S247" i="387"/>
  <c r="R247" i="387"/>
  <c r="Q247" i="387"/>
  <c r="P247" i="387"/>
  <c r="O247" i="387"/>
  <c r="N247" i="387"/>
  <c r="M247" i="387"/>
  <c r="L247" i="387"/>
  <c r="BN246" i="387"/>
  <c r="BM246" i="387"/>
  <c r="BL246" i="387"/>
  <c r="BK246" i="387"/>
  <c r="BJ246" i="387"/>
  <c r="BI246" i="387"/>
  <c r="BH246" i="387"/>
  <c r="BG246" i="387"/>
  <c r="BF246" i="387"/>
  <c r="BE246" i="387"/>
  <c r="BD246" i="387"/>
  <c r="BC246" i="387"/>
  <c r="BB246" i="387"/>
  <c r="BA246" i="387"/>
  <c r="AZ246" i="387"/>
  <c r="AW246" i="387"/>
  <c r="AV246" i="387"/>
  <c r="AU246" i="387"/>
  <c r="AT246" i="387"/>
  <c r="AS246" i="387"/>
  <c r="AR246" i="387"/>
  <c r="AQ246" i="387"/>
  <c r="AP246" i="387"/>
  <c r="BN245" i="387"/>
  <c r="BM245" i="387"/>
  <c r="BL245" i="387"/>
  <c r="BK245" i="387"/>
  <c r="BJ245" i="387"/>
  <c r="BI245" i="387"/>
  <c r="BH245" i="387"/>
  <c r="BG245" i="387"/>
  <c r="BF245" i="387"/>
  <c r="BE245" i="387"/>
  <c r="BD245" i="387"/>
  <c r="BC245" i="387"/>
  <c r="BB245" i="387"/>
  <c r="BA245" i="387"/>
  <c r="AZ245" i="387"/>
  <c r="AW245" i="387"/>
  <c r="AV245" i="387"/>
  <c r="AU245" i="387"/>
  <c r="AT245" i="387"/>
  <c r="AS245" i="387"/>
  <c r="AR245" i="387"/>
  <c r="AQ245" i="387"/>
  <c r="AP245" i="387"/>
  <c r="BN244" i="387"/>
  <c r="BM244" i="387"/>
  <c r="BL244" i="387"/>
  <c r="BK244" i="387"/>
  <c r="BJ244" i="387"/>
  <c r="BI244" i="387"/>
  <c r="BH244" i="387"/>
  <c r="BG244" i="387"/>
  <c r="BF244" i="387"/>
  <c r="BE244" i="387"/>
  <c r="BD244" i="387"/>
  <c r="BC244" i="387"/>
  <c r="BB244" i="387"/>
  <c r="BA244" i="387"/>
  <c r="AZ244" i="387"/>
  <c r="AW244" i="387"/>
  <c r="AV244" i="387"/>
  <c r="AU244" i="387"/>
  <c r="AT244" i="387"/>
  <c r="AS244" i="387"/>
  <c r="AR244" i="387"/>
  <c r="AQ244" i="387"/>
  <c r="AP244" i="387"/>
  <c r="BN243" i="387"/>
  <c r="BM243" i="387"/>
  <c r="BL243" i="387"/>
  <c r="BK243" i="387"/>
  <c r="BJ243" i="387"/>
  <c r="BI243" i="387"/>
  <c r="BH243" i="387"/>
  <c r="BG243" i="387"/>
  <c r="BF243" i="387"/>
  <c r="BE243" i="387"/>
  <c r="BD243" i="387"/>
  <c r="BC243" i="387"/>
  <c r="BB243" i="387"/>
  <c r="BA243" i="387"/>
  <c r="AZ243" i="387"/>
  <c r="AW243" i="387"/>
  <c r="AV243" i="387"/>
  <c r="AU243" i="387"/>
  <c r="AT243" i="387"/>
  <c r="AS243" i="387"/>
  <c r="AR243" i="387"/>
  <c r="AQ243" i="387"/>
  <c r="AP243" i="387"/>
  <c r="BN242" i="387"/>
  <c r="BL242" i="387"/>
  <c r="BK242" i="387"/>
  <c r="BJ242" i="387"/>
  <c r="BM242" i="387" s="1"/>
  <c r="BI242" i="387"/>
  <c r="BH242" i="387"/>
  <c r="BG242" i="387"/>
  <c r="BF242" i="387"/>
  <c r="BE242" i="387"/>
  <c r="BD242" i="387"/>
  <c r="BC242" i="387"/>
  <c r="BB242" i="387"/>
  <c r="BA242" i="387"/>
  <c r="AZ242" i="387"/>
  <c r="AW242" i="387"/>
  <c r="AV242" i="387"/>
  <c r="AU242" i="387"/>
  <c r="AT242" i="387"/>
  <c r="AS242" i="387"/>
  <c r="AR242" i="387"/>
  <c r="AQ242" i="387"/>
  <c r="AP242" i="387"/>
  <c r="BN241" i="387"/>
  <c r="BM241" i="387"/>
  <c r="BL241" i="387"/>
  <c r="BK241" i="387"/>
  <c r="BJ241" i="387"/>
  <c r="BI241" i="387"/>
  <c r="BH241" i="387"/>
  <c r="BG241" i="387"/>
  <c r="BF241" i="387"/>
  <c r="BE241" i="387"/>
  <c r="BD241" i="387"/>
  <c r="BC241" i="387"/>
  <c r="BB241" i="387"/>
  <c r="BA241" i="387"/>
  <c r="AZ241" i="387"/>
  <c r="AW241" i="387"/>
  <c r="AV241" i="387"/>
  <c r="AU241" i="387"/>
  <c r="AT241" i="387"/>
  <c r="AS241" i="387"/>
  <c r="AR241" i="387"/>
  <c r="AQ241" i="387"/>
  <c r="AP241" i="387"/>
  <c r="BN240" i="387"/>
  <c r="BL240" i="387"/>
  <c r="BK240" i="387"/>
  <c r="BJ240" i="387"/>
  <c r="BM240" i="387" s="1"/>
  <c r="BI240" i="387"/>
  <c r="BH240" i="387"/>
  <c r="BG240" i="387"/>
  <c r="BF240" i="387"/>
  <c r="BE240" i="387"/>
  <c r="BD240" i="387"/>
  <c r="BC240" i="387"/>
  <c r="BB240" i="387"/>
  <c r="BA240" i="387"/>
  <c r="AZ240" i="387"/>
  <c r="AW240" i="387"/>
  <c r="AV240" i="387"/>
  <c r="AU240" i="387"/>
  <c r="AT240" i="387"/>
  <c r="AS240" i="387"/>
  <c r="AR240" i="387"/>
  <c r="AQ240" i="387"/>
  <c r="AP240" i="387"/>
  <c r="BN239" i="387"/>
  <c r="BL239" i="387"/>
  <c r="BK239" i="387"/>
  <c r="BJ239" i="387"/>
  <c r="BM239" i="387" s="1"/>
  <c r="BI239" i="387"/>
  <c r="BH239" i="387"/>
  <c r="BG239" i="387"/>
  <c r="BF239" i="387"/>
  <c r="BE239" i="387"/>
  <c r="BD239" i="387"/>
  <c r="BC239" i="387"/>
  <c r="BB239" i="387"/>
  <c r="BA239" i="387"/>
  <c r="AZ239" i="387"/>
  <c r="AW239" i="387"/>
  <c r="AV239" i="387"/>
  <c r="AU239" i="387"/>
  <c r="AT239" i="387"/>
  <c r="AS239" i="387"/>
  <c r="AR239" i="387"/>
  <c r="AQ239" i="387"/>
  <c r="AP239" i="387"/>
  <c r="BN238" i="387"/>
  <c r="BM238" i="387"/>
  <c r="BL238" i="387"/>
  <c r="BK238" i="387"/>
  <c r="BJ238" i="387"/>
  <c r="BI238" i="387"/>
  <c r="BH238" i="387"/>
  <c r="BG238" i="387"/>
  <c r="BF238" i="387"/>
  <c r="BE238" i="387"/>
  <c r="BD238" i="387"/>
  <c r="BC238" i="387"/>
  <c r="BB238" i="387"/>
  <c r="BA238" i="387"/>
  <c r="AZ238" i="387"/>
  <c r="AW238" i="387"/>
  <c r="AV238" i="387"/>
  <c r="AU238" i="387"/>
  <c r="AT238" i="387"/>
  <c r="AS238" i="387"/>
  <c r="AR238" i="387"/>
  <c r="AQ238" i="387"/>
  <c r="AP238" i="387"/>
  <c r="BN237" i="387"/>
  <c r="BL237" i="387"/>
  <c r="BK237" i="387"/>
  <c r="BJ237" i="387"/>
  <c r="BM237" i="387" s="1"/>
  <c r="BI237" i="387"/>
  <c r="BH237" i="387"/>
  <c r="BG237" i="387"/>
  <c r="BF237" i="387"/>
  <c r="BE237" i="387"/>
  <c r="BD237" i="387"/>
  <c r="BC237" i="387"/>
  <c r="BB237" i="387"/>
  <c r="BA237" i="387"/>
  <c r="AZ237" i="387"/>
  <c r="AW237" i="387"/>
  <c r="AV237" i="387"/>
  <c r="AU237" i="387"/>
  <c r="AT237" i="387"/>
  <c r="AS237" i="387"/>
  <c r="AR237" i="387"/>
  <c r="AQ237" i="387"/>
  <c r="AP237" i="387"/>
  <c r="BN236" i="387"/>
  <c r="BM236" i="387"/>
  <c r="BL236" i="387"/>
  <c r="BK236" i="387"/>
  <c r="BJ236" i="387"/>
  <c r="BI236" i="387"/>
  <c r="BH236" i="387"/>
  <c r="BG236" i="387"/>
  <c r="BF236" i="387"/>
  <c r="BE236" i="387"/>
  <c r="BD236" i="387"/>
  <c r="BC236" i="387"/>
  <c r="BB236" i="387"/>
  <c r="BA236" i="387"/>
  <c r="AZ236" i="387"/>
  <c r="AW236" i="387"/>
  <c r="AV236" i="387"/>
  <c r="AU236" i="387"/>
  <c r="AT236" i="387"/>
  <c r="AS236" i="387"/>
  <c r="AR236" i="387"/>
  <c r="AQ236" i="387"/>
  <c r="AP236" i="387"/>
  <c r="BN235" i="387"/>
  <c r="BL235" i="387"/>
  <c r="BK235" i="387"/>
  <c r="BJ235" i="387"/>
  <c r="BM235" i="387" s="1"/>
  <c r="BI235" i="387"/>
  <c r="BH235" i="387"/>
  <c r="BG235" i="387"/>
  <c r="BF235" i="387"/>
  <c r="BE235" i="387"/>
  <c r="BD235" i="387"/>
  <c r="BC235" i="387"/>
  <c r="BB235" i="387"/>
  <c r="BA235" i="387"/>
  <c r="AZ235" i="387"/>
  <c r="AW235" i="387"/>
  <c r="AV235" i="387"/>
  <c r="AU235" i="387"/>
  <c r="AT235" i="387"/>
  <c r="AS235" i="387"/>
  <c r="AR235" i="387"/>
  <c r="AQ235" i="387"/>
  <c r="AP235" i="387"/>
  <c r="AO234" i="387"/>
  <c r="AN234" i="387"/>
  <c r="AM234" i="387"/>
  <c r="AL234" i="387"/>
  <c r="AK234" i="387"/>
  <c r="AJ234" i="387"/>
  <c r="AI234" i="387"/>
  <c r="AH234" i="387"/>
  <c r="AG234" i="387"/>
  <c r="AF234" i="387"/>
  <c r="AE234" i="387"/>
  <c r="AD234" i="387"/>
  <c r="AC234" i="387"/>
  <c r="AB234" i="387"/>
  <c r="AA234" i="387"/>
  <c r="Z234" i="387"/>
  <c r="Y234" i="387"/>
  <c r="X234" i="387"/>
  <c r="W234" i="387"/>
  <c r="V234" i="387"/>
  <c r="U234" i="387"/>
  <c r="T234" i="387"/>
  <c r="S234" i="387"/>
  <c r="R234" i="387"/>
  <c r="Q234" i="387"/>
  <c r="P234" i="387"/>
  <c r="O234" i="387"/>
  <c r="N234" i="387"/>
  <c r="M234" i="387"/>
  <c r="L234" i="387"/>
  <c r="AO233" i="387"/>
  <c r="AN233" i="387"/>
  <c r="AM233" i="387"/>
  <c r="AL233" i="387"/>
  <c r="AK233" i="387"/>
  <c r="AJ233" i="387"/>
  <c r="AI233" i="387"/>
  <c r="AH233" i="387"/>
  <c r="AG233" i="387"/>
  <c r="AF233" i="387"/>
  <c r="AE233" i="387"/>
  <c r="AD233" i="387"/>
  <c r="AC233" i="387"/>
  <c r="AB233" i="387"/>
  <c r="AA233" i="387"/>
  <c r="Z233" i="387"/>
  <c r="Y233" i="387"/>
  <c r="X233" i="387"/>
  <c r="W233" i="387"/>
  <c r="V233" i="387"/>
  <c r="U233" i="387"/>
  <c r="T233" i="387"/>
  <c r="S233" i="387"/>
  <c r="R233" i="387"/>
  <c r="Q233" i="387"/>
  <c r="P233" i="387"/>
  <c r="O233" i="387"/>
  <c r="N233" i="387"/>
  <c r="M233" i="387"/>
  <c r="L233" i="387"/>
  <c r="AO232" i="387"/>
  <c r="AN232" i="387"/>
  <c r="AM232" i="387"/>
  <c r="AL232" i="387"/>
  <c r="AK232" i="387"/>
  <c r="AJ232" i="387"/>
  <c r="AI232" i="387"/>
  <c r="AH232" i="387"/>
  <c r="AG232" i="387"/>
  <c r="AF232" i="387"/>
  <c r="AE232" i="387"/>
  <c r="AD232" i="387"/>
  <c r="AC232" i="387"/>
  <c r="AB232" i="387"/>
  <c r="AA232" i="387"/>
  <c r="Z232" i="387"/>
  <c r="Y232" i="387"/>
  <c r="X232" i="387"/>
  <c r="W232" i="387"/>
  <c r="V232" i="387"/>
  <c r="U232" i="387"/>
  <c r="T232" i="387"/>
  <c r="S232" i="387"/>
  <c r="R232" i="387"/>
  <c r="Q232" i="387"/>
  <c r="P232" i="387"/>
  <c r="O232" i="387"/>
  <c r="N232" i="387"/>
  <c r="M232" i="387"/>
  <c r="L232" i="387"/>
  <c r="BN231" i="387"/>
  <c r="BM231" i="387"/>
  <c r="BL231" i="387"/>
  <c r="BK231" i="387"/>
  <c r="BJ231" i="387"/>
  <c r="BI231" i="387"/>
  <c r="BH231" i="387"/>
  <c r="BG231" i="387"/>
  <c r="BF231" i="387"/>
  <c r="BE231" i="387"/>
  <c r="BD231" i="387"/>
  <c r="BC231" i="387"/>
  <c r="BB231" i="387"/>
  <c r="BA231" i="387"/>
  <c r="AZ231" i="387"/>
  <c r="AY231" i="387"/>
  <c r="AW231" i="387"/>
  <c r="AV231" i="387"/>
  <c r="AU231" i="387"/>
  <c r="AT231" i="387"/>
  <c r="AS231" i="387"/>
  <c r="AR231" i="387"/>
  <c r="AQ231" i="387"/>
  <c r="AP231" i="387"/>
  <c r="BN230" i="387"/>
  <c r="BM230" i="387"/>
  <c r="BL230" i="387"/>
  <c r="BK230" i="387"/>
  <c r="BJ230" i="387"/>
  <c r="BI230" i="387"/>
  <c r="BH230" i="387"/>
  <c r="BG230" i="387"/>
  <c r="BF230" i="387"/>
  <c r="BE230" i="387"/>
  <c r="BD230" i="387"/>
  <c r="BC230" i="387"/>
  <c r="BB230" i="387"/>
  <c r="BA230" i="387"/>
  <c r="AZ230" i="387"/>
  <c r="AY230" i="387"/>
  <c r="AW230" i="387"/>
  <c r="AV230" i="387"/>
  <c r="AU230" i="387"/>
  <c r="AT230" i="387"/>
  <c r="AS230" i="387"/>
  <c r="AR230" i="387"/>
  <c r="AQ230" i="387"/>
  <c r="AP230" i="387"/>
  <c r="BN229" i="387"/>
  <c r="BM229" i="387"/>
  <c r="BL229" i="387"/>
  <c r="BK229" i="387"/>
  <c r="BJ229" i="387"/>
  <c r="BI229" i="387"/>
  <c r="BH229" i="387"/>
  <c r="BG229" i="387"/>
  <c r="BF229" i="387"/>
  <c r="BE229" i="387"/>
  <c r="BD229" i="387"/>
  <c r="BC229" i="387"/>
  <c r="BB229" i="387"/>
  <c r="BA229" i="387"/>
  <c r="AZ229" i="387"/>
  <c r="AY229" i="387"/>
  <c r="AW229" i="387"/>
  <c r="AV229" i="387"/>
  <c r="AU229" i="387"/>
  <c r="AT229" i="387"/>
  <c r="AS229" i="387"/>
  <c r="AR229" i="387"/>
  <c r="AQ229" i="387"/>
  <c r="AP229" i="387"/>
  <c r="BN228" i="387"/>
  <c r="BM228" i="387"/>
  <c r="BL228" i="387"/>
  <c r="BK228" i="387"/>
  <c r="BJ228" i="387"/>
  <c r="BI228" i="387"/>
  <c r="BH228" i="387"/>
  <c r="BG228" i="387"/>
  <c r="BF228" i="387"/>
  <c r="BE228" i="387"/>
  <c r="BD228" i="387"/>
  <c r="BC228" i="387"/>
  <c r="BB228" i="387"/>
  <c r="BA228" i="387"/>
  <c r="AZ228" i="387"/>
  <c r="AY228" i="387"/>
  <c r="AW228" i="387"/>
  <c r="AV228" i="387"/>
  <c r="AU228" i="387"/>
  <c r="AT228" i="387"/>
  <c r="AS228" i="387"/>
  <c r="AR228" i="387"/>
  <c r="AQ228" i="387"/>
  <c r="AP228" i="387"/>
  <c r="BN227" i="387"/>
  <c r="BM227" i="387"/>
  <c r="BL227" i="387"/>
  <c r="BK227" i="387"/>
  <c r="BJ227" i="387"/>
  <c r="BI227" i="387"/>
  <c r="BH227" i="387"/>
  <c r="BG227" i="387"/>
  <c r="BF227" i="387"/>
  <c r="BE227" i="387"/>
  <c r="BD227" i="387"/>
  <c r="BC227" i="387"/>
  <c r="BB227" i="387"/>
  <c r="BA227" i="387"/>
  <c r="AZ227" i="387"/>
  <c r="AY227" i="387"/>
  <c r="AW227" i="387"/>
  <c r="AV227" i="387"/>
  <c r="AU227" i="387"/>
  <c r="AT227" i="387"/>
  <c r="AS227" i="387"/>
  <c r="AR227" i="387"/>
  <c r="AQ227" i="387"/>
  <c r="AP227" i="387"/>
  <c r="BN226" i="387"/>
  <c r="BM226" i="387"/>
  <c r="BL226" i="387"/>
  <c r="BK226" i="387"/>
  <c r="BJ226" i="387"/>
  <c r="BI226" i="387"/>
  <c r="BH226" i="387"/>
  <c r="BG226" i="387"/>
  <c r="BF226" i="387"/>
  <c r="BE226" i="387"/>
  <c r="BD226" i="387"/>
  <c r="BC226" i="387"/>
  <c r="BB226" i="387"/>
  <c r="BA226" i="387"/>
  <c r="AZ226" i="387"/>
  <c r="AY226" i="387"/>
  <c r="AW226" i="387"/>
  <c r="AV226" i="387"/>
  <c r="AU226" i="387"/>
  <c r="AT226" i="387"/>
  <c r="AS226" i="387"/>
  <c r="AR226" i="387"/>
  <c r="AQ226" i="387"/>
  <c r="AP226" i="387"/>
  <c r="BN225" i="387"/>
  <c r="BM225" i="387"/>
  <c r="BL225" i="387"/>
  <c r="BK225" i="387"/>
  <c r="BJ225" i="387"/>
  <c r="BI225" i="387"/>
  <c r="BH225" i="387"/>
  <c r="BG225" i="387"/>
  <c r="BF225" i="387"/>
  <c r="BE225" i="387"/>
  <c r="BD225" i="387"/>
  <c r="BC225" i="387"/>
  <c r="BB225" i="387"/>
  <c r="BA225" i="387"/>
  <c r="AZ225" i="387"/>
  <c r="AY225" i="387"/>
  <c r="AW225" i="387"/>
  <c r="AV225" i="387"/>
  <c r="AU225" i="387"/>
  <c r="AT225" i="387"/>
  <c r="AS225" i="387"/>
  <c r="AR225" i="387"/>
  <c r="AQ225" i="387"/>
  <c r="AP225" i="387"/>
  <c r="BN224" i="387"/>
  <c r="BM224" i="387"/>
  <c r="BL224" i="387"/>
  <c r="BK224" i="387"/>
  <c r="BJ224" i="387"/>
  <c r="BI224" i="387"/>
  <c r="BH224" i="387"/>
  <c r="BG224" i="387"/>
  <c r="BF224" i="387"/>
  <c r="BE224" i="387"/>
  <c r="BD224" i="387"/>
  <c r="BC224" i="387"/>
  <c r="BB224" i="387"/>
  <c r="BA224" i="387"/>
  <c r="AZ224" i="387"/>
  <c r="AY224" i="387"/>
  <c r="AW224" i="387"/>
  <c r="AV224" i="387"/>
  <c r="AU224" i="387"/>
  <c r="AT224" i="387"/>
  <c r="AS224" i="387"/>
  <c r="AR224" i="387"/>
  <c r="AQ224" i="387"/>
  <c r="AP224" i="387"/>
  <c r="BN223" i="387"/>
  <c r="BM223" i="387"/>
  <c r="BL223" i="387"/>
  <c r="BK223" i="387"/>
  <c r="BJ223" i="387"/>
  <c r="BI223" i="387"/>
  <c r="BH223" i="387"/>
  <c r="BG223" i="387"/>
  <c r="BF223" i="387"/>
  <c r="BE223" i="387"/>
  <c r="BD223" i="387"/>
  <c r="BC223" i="387"/>
  <c r="BB223" i="387"/>
  <c r="BA223" i="387"/>
  <c r="AZ223" i="387"/>
  <c r="AY223" i="387"/>
  <c r="AW223" i="387"/>
  <c r="AV223" i="387"/>
  <c r="AU223" i="387"/>
  <c r="AT223" i="387"/>
  <c r="AS223" i="387"/>
  <c r="AR223" i="387"/>
  <c r="AQ223" i="387"/>
  <c r="AP223" i="387"/>
  <c r="BN222" i="387"/>
  <c r="BM222" i="387"/>
  <c r="BL222" i="387"/>
  <c r="BK222" i="387"/>
  <c r="BJ222" i="387"/>
  <c r="BI222" i="387"/>
  <c r="BH222" i="387"/>
  <c r="BG222" i="387"/>
  <c r="BF222" i="387"/>
  <c r="BE222" i="387"/>
  <c r="BD222" i="387"/>
  <c r="BC222" i="387"/>
  <c r="BB222" i="387"/>
  <c r="BA222" i="387"/>
  <c r="AZ222" i="387"/>
  <c r="AW222" i="387"/>
  <c r="AV222" i="387"/>
  <c r="AU222" i="387"/>
  <c r="AT222" i="387"/>
  <c r="AS222" i="387"/>
  <c r="AR222" i="387"/>
  <c r="AQ222" i="387"/>
  <c r="AP222" i="387"/>
  <c r="BN221" i="387"/>
  <c r="BK221" i="387"/>
  <c r="BJ221" i="387"/>
  <c r="BM221" i="387" s="1"/>
  <c r="BI221" i="387"/>
  <c r="BH221" i="387"/>
  <c r="BG221" i="387"/>
  <c r="BF221" i="387"/>
  <c r="BE221" i="387"/>
  <c r="BD221" i="387"/>
  <c r="BC221" i="387"/>
  <c r="BB221" i="387"/>
  <c r="BA221" i="387"/>
  <c r="AZ221" i="387"/>
  <c r="AY221" i="387"/>
  <c r="BL221" i="387" s="1"/>
  <c r="AW221" i="387"/>
  <c r="AV221" i="387"/>
  <c r="AU221" i="387"/>
  <c r="AT221" i="387"/>
  <c r="AS221" i="387"/>
  <c r="AR221" i="387"/>
  <c r="AQ221" i="387"/>
  <c r="AP221" i="387"/>
  <c r="BN220" i="387"/>
  <c r="BK220" i="387"/>
  <c r="BJ220" i="387"/>
  <c r="BM220" i="387" s="1"/>
  <c r="BI220" i="387"/>
  <c r="BH220" i="387"/>
  <c r="BG220" i="387"/>
  <c r="BF220" i="387"/>
  <c r="BE220" i="387"/>
  <c r="BD220" i="387"/>
  <c r="BC220" i="387"/>
  <c r="BB220" i="387"/>
  <c r="BA220" i="387"/>
  <c r="AZ220" i="387"/>
  <c r="AY220" i="387"/>
  <c r="BL220" i="387" s="1"/>
  <c r="AW220" i="387"/>
  <c r="AV220" i="387"/>
  <c r="AU220" i="387"/>
  <c r="AT220" i="387"/>
  <c r="AS220" i="387"/>
  <c r="AR220" i="387"/>
  <c r="AQ220" i="387"/>
  <c r="AP220" i="387"/>
  <c r="BN219" i="387"/>
  <c r="BK219" i="387"/>
  <c r="BJ219" i="387"/>
  <c r="BM219" i="387" s="1"/>
  <c r="BI219" i="387"/>
  <c r="BH219" i="387"/>
  <c r="BG219" i="387"/>
  <c r="BF219" i="387"/>
  <c r="BE219" i="387"/>
  <c r="BD219" i="387"/>
  <c r="BC219" i="387"/>
  <c r="BB219" i="387"/>
  <c r="BA219" i="387"/>
  <c r="AZ219" i="387"/>
  <c r="AY219" i="387"/>
  <c r="BL219" i="387" s="1"/>
  <c r="AW219" i="387"/>
  <c r="AV219" i="387"/>
  <c r="AU219" i="387"/>
  <c r="AT219" i="387"/>
  <c r="AS219" i="387"/>
  <c r="AR219" i="387"/>
  <c r="AQ219" i="387"/>
  <c r="AP219" i="387"/>
  <c r="BN218" i="387"/>
  <c r="BK218" i="387"/>
  <c r="BJ218" i="387"/>
  <c r="BM218" i="387" s="1"/>
  <c r="BI218" i="387"/>
  <c r="BH218" i="387"/>
  <c r="BG218" i="387"/>
  <c r="BF218" i="387"/>
  <c r="BE218" i="387"/>
  <c r="BD218" i="387"/>
  <c r="BC218" i="387"/>
  <c r="BB218" i="387"/>
  <c r="BA218" i="387"/>
  <c r="AZ218" i="387"/>
  <c r="AY218" i="387"/>
  <c r="BL218" i="387" s="1"/>
  <c r="AW218" i="387"/>
  <c r="AV218" i="387"/>
  <c r="AU218" i="387"/>
  <c r="AT218" i="387"/>
  <c r="AS218" i="387"/>
  <c r="AR218" i="387"/>
  <c r="AQ218" i="387"/>
  <c r="AP218" i="387"/>
  <c r="BN217" i="387"/>
  <c r="BL217" i="387"/>
  <c r="BK217" i="387"/>
  <c r="BJ217" i="387"/>
  <c r="BM217" i="387" s="1"/>
  <c r="BI217" i="387"/>
  <c r="BH217" i="387"/>
  <c r="BG217" i="387"/>
  <c r="BF217" i="387"/>
  <c r="BE217" i="387"/>
  <c r="BD217" i="387"/>
  <c r="BC217" i="387"/>
  <c r="BB217" i="387"/>
  <c r="BA217" i="387"/>
  <c r="AZ217" i="387"/>
  <c r="AW217" i="387"/>
  <c r="AV217" i="387"/>
  <c r="AU217" i="387"/>
  <c r="AT217" i="387"/>
  <c r="AS217" i="387"/>
  <c r="AR217" i="387"/>
  <c r="AQ217" i="387"/>
  <c r="AP217" i="387"/>
  <c r="BN216" i="387"/>
  <c r="BL216" i="387"/>
  <c r="BK216" i="387"/>
  <c r="BJ216" i="387"/>
  <c r="BM216" i="387" s="1"/>
  <c r="BI216" i="387"/>
  <c r="BH216" i="387"/>
  <c r="BG216" i="387"/>
  <c r="BF216" i="387"/>
  <c r="BE216" i="387"/>
  <c r="BD216" i="387"/>
  <c r="BC216" i="387"/>
  <c r="BB216" i="387"/>
  <c r="BA216" i="387"/>
  <c r="AZ216" i="387"/>
  <c r="AW216" i="387"/>
  <c r="AV216" i="387"/>
  <c r="AU216" i="387"/>
  <c r="AT216" i="387"/>
  <c r="AS216" i="387"/>
  <c r="AR216" i="387"/>
  <c r="AQ216" i="387"/>
  <c r="AP216" i="387"/>
  <c r="AO215" i="387"/>
  <c r="AN215" i="387"/>
  <c r="AM215" i="387"/>
  <c r="AL215" i="387"/>
  <c r="AK215" i="387"/>
  <c r="AJ215" i="387"/>
  <c r="AI215" i="387"/>
  <c r="AH215" i="387"/>
  <c r="AG215" i="387"/>
  <c r="AF215" i="387"/>
  <c r="AE215" i="387"/>
  <c r="AD215" i="387"/>
  <c r="AC215" i="387"/>
  <c r="AB215" i="387"/>
  <c r="AA215" i="387"/>
  <c r="Z215" i="387"/>
  <c r="Y215" i="387"/>
  <c r="X215" i="387"/>
  <c r="W215" i="387"/>
  <c r="V215" i="387"/>
  <c r="U215" i="387"/>
  <c r="T215" i="387"/>
  <c r="S215" i="387"/>
  <c r="R215" i="387"/>
  <c r="Q215" i="387"/>
  <c r="P215" i="387"/>
  <c r="O215" i="387"/>
  <c r="N215" i="387"/>
  <c r="M215" i="387"/>
  <c r="L215" i="387"/>
  <c r="BN214" i="387"/>
  <c r="BK214" i="387"/>
  <c r="BJ214" i="387"/>
  <c r="BM214" i="387" s="1"/>
  <c r="BI214" i="387"/>
  <c r="BH214" i="387"/>
  <c r="BG214" i="387"/>
  <c r="BF214" i="387"/>
  <c r="BE214" i="387"/>
  <c r="BD214" i="387"/>
  <c r="BC214" i="387"/>
  <c r="BB214" i="387"/>
  <c r="BA214" i="387"/>
  <c r="AZ214" i="387"/>
  <c r="AY214" i="387"/>
  <c r="BL214" i="387" s="1"/>
  <c r="AW214" i="387"/>
  <c r="AV214" i="387"/>
  <c r="AU214" i="387"/>
  <c r="AT214" i="387"/>
  <c r="AS214" i="387"/>
  <c r="AR214" i="387"/>
  <c r="AQ214" i="387"/>
  <c r="AP214" i="387"/>
  <c r="BN213" i="387"/>
  <c r="BL213" i="387"/>
  <c r="BK213" i="387"/>
  <c r="BJ213" i="387"/>
  <c r="BM213" i="387" s="1"/>
  <c r="BI213" i="387"/>
  <c r="BH213" i="387"/>
  <c r="BG213" i="387"/>
  <c r="BF213" i="387"/>
  <c r="BE213" i="387"/>
  <c r="BD213" i="387"/>
  <c r="BC213" i="387"/>
  <c r="BB213" i="387"/>
  <c r="BA213" i="387"/>
  <c r="AZ213" i="387"/>
  <c r="AW213" i="387"/>
  <c r="AV213" i="387"/>
  <c r="AU213" i="387"/>
  <c r="AT213" i="387"/>
  <c r="AS213" i="387"/>
  <c r="AR213" i="387"/>
  <c r="AQ213" i="387"/>
  <c r="AP213" i="387"/>
  <c r="BN212" i="387"/>
  <c r="BM212" i="387"/>
  <c r="BK212" i="387"/>
  <c r="BJ212" i="387"/>
  <c r="BI212" i="387"/>
  <c r="BH212" i="387"/>
  <c r="BG212" i="387"/>
  <c r="BF212" i="387"/>
  <c r="BE212" i="387"/>
  <c r="BD212" i="387"/>
  <c r="BC212" i="387"/>
  <c r="BB212" i="387"/>
  <c r="BA212" i="387"/>
  <c r="AZ212" i="387"/>
  <c r="AY212" i="387"/>
  <c r="BL212" i="387" s="1"/>
  <c r="AW212" i="387"/>
  <c r="AV212" i="387"/>
  <c r="AU212" i="387"/>
  <c r="AT212" i="387"/>
  <c r="AS212" i="387"/>
  <c r="AR212" i="387"/>
  <c r="AQ212" i="387"/>
  <c r="AP212" i="387"/>
  <c r="AO211" i="387"/>
  <c r="AN211" i="387"/>
  <c r="AM211" i="387"/>
  <c r="AL211" i="387"/>
  <c r="AK211" i="387"/>
  <c r="AJ211" i="387"/>
  <c r="AI211" i="387"/>
  <c r="AH211" i="387"/>
  <c r="AG211" i="387"/>
  <c r="AF211" i="387"/>
  <c r="AE211" i="387"/>
  <c r="AD211" i="387"/>
  <c r="AC211" i="387"/>
  <c r="AB211" i="387"/>
  <c r="AA211" i="387"/>
  <c r="Z211" i="387"/>
  <c r="Y211" i="387"/>
  <c r="X211" i="387"/>
  <c r="W211" i="387"/>
  <c r="V211" i="387"/>
  <c r="U211" i="387"/>
  <c r="T211" i="387"/>
  <c r="S211" i="387"/>
  <c r="R211" i="387"/>
  <c r="Q211" i="387"/>
  <c r="P211" i="387"/>
  <c r="O211" i="387"/>
  <c r="N211" i="387"/>
  <c r="M211" i="387"/>
  <c r="L211" i="387"/>
  <c r="BN210" i="387"/>
  <c r="BM210" i="387"/>
  <c r="BL210" i="387"/>
  <c r="BK210" i="387"/>
  <c r="BJ210" i="387"/>
  <c r="BI210" i="387"/>
  <c r="BH210" i="387"/>
  <c r="BG210" i="387"/>
  <c r="BF210" i="387"/>
  <c r="BE210" i="387"/>
  <c r="BD210" i="387"/>
  <c r="BC210" i="387"/>
  <c r="BB210" i="387"/>
  <c r="BA210" i="387"/>
  <c r="AZ210" i="387"/>
  <c r="AY210" i="387"/>
  <c r="AW210" i="387"/>
  <c r="AV210" i="387"/>
  <c r="AU210" i="387"/>
  <c r="AT210" i="387"/>
  <c r="AS210" i="387"/>
  <c r="AR210" i="387"/>
  <c r="AQ210" i="387"/>
  <c r="AP210" i="387"/>
  <c r="AO209" i="387"/>
  <c r="AN209" i="387"/>
  <c r="AM209" i="387"/>
  <c r="AL209" i="387"/>
  <c r="AK209" i="387"/>
  <c r="AJ209" i="387"/>
  <c r="AI209" i="387"/>
  <c r="AH209" i="387"/>
  <c r="AG209" i="387"/>
  <c r="AF209" i="387"/>
  <c r="AE209" i="387"/>
  <c r="AD209" i="387"/>
  <c r="AC209" i="387"/>
  <c r="AB209" i="387"/>
  <c r="AA209" i="387"/>
  <c r="Z209" i="387"/>
  <c r="Y209" i="387"/>
  <c r="X209" i="387"/>
  <c r="W209" i="387"/>
  <c r="V209" i="387"/>
  <c r="U209" i="387"/>
  <c r="T209" i="387"/>
  <c r="S209" i="387"/>
  <c r="R209" i="387"/>
  <c r="Q209" i="387"/>
  <c r="P209" i="387"/>
  <c r="O209" i="387"/>
  <c r="N209" i="387"/>
  <c r="M209" i="387"/>
  <c r="L209" i="387"/>
  <c r="BN208" i="387"/>
  <c r="BL208" i="387"/>
  <c r="BK208" i="387"/>
  <c r="BJ208" i="387"/>
  <c r="BM208" i="387" s="1"/>
  <c r="BI208" i="387"/>
  <c r="BH208" i="387"/>
  <c r="BG208" i="387"/>
  <c r="BF208" i="387"/>
  <c r="BE208" i="387"/>
  <c r="BD208" i="387"/>
  <c r="BC208" i="387"/>
  <c r="BB208" i="387"/>
  <c r="BA208" i="387"/>
  <c r="AZ208" i="387"/>
  <c r="AX208" i="387"/>
  <c r="AW208" i="387"/>
  <c r="AV208" i="387"/>
  <c r="AU208" i="387"/>
  <c r="AT208" i="387"/>
  <c r="AS208" i="387"/>
  <c r="AR208" i="387"/>
  <c r="AQ208" i="387"/>
  <c r="AP208" i="387"/>
  <c r="AO207" i="387"/>
  <c r="AN207" i="387"/>
  <c r="AM207" i="387"/>
  <c r="AL207" i="387"/>
  <c r="AK207" i="387"/>
  <c r="AJ207" i="387"/>
  <c r="AI207" i="387"/>
  <c r="AH207" i="387"/>
  <c r="AG207" i="387"/>
  <c r="AF207" i="387"/>
  <c r="AE207" i="387"/>
  <c r="AD207" i="387"/>
  <c r="AC207" i="387"/>
  <c r="AB207" i="387"/>
  <c r="AA207" i="387"/>
  <c r="Z207" i="387"/>
  <c r="Y207" i="387"/>
  <c r="X207" i="387"/>
  <c r="W207" i="387"/>
  <c r="V207" i="387"/>
  <c r="U207" i="387"/>
  <c r="T207" i="387"/>
  <c r="S207" i="387"/>
  <c r="R207" i="387"/>
  <c r="Q207" i="387"/>
  <c r="P207" i="387"/>
  <c r="O207" i="387"/>
  <c r="N207" i="387"/>
  <c r="M207" i="387"/>
  <c r="L207" i="387"/>
  <c r="BN206" i="387"/>
  <c r="BL206" i="387"/>
  <c r="BK206" i="387"/>
  <c r="BJ206" i="387"/>
  <c r="BM206" i="387" s="1"/>
  <c r="BI206" i="387"/>
  <c r="BH206" i="387"/>
  <c r="BG206" i="387"/>
  <c r="BF206" i="387"/>
  <c r="BE206" i="387"/>
  <c r="BD206" i="387"/>
  <c r="BC206" i="387"/>
  <c r="BB206" i="387"/>
  <c r="BA206" i="387"/>
  <c r="AZ206" i="387"/>
  <c r="AW206" i="387"/>
  <c r="AV206" i="387"/>
  <c r="AU206" i="387"/>
  <c r="AT206" i="387"/>
  <c r="AS206" i="387"/>
  <c r="AR206" i="387"/>
  <c r="AQ206" i="387"/>
  <c r="AP206" i="387"/>
  <c r="BN205" i="387"/>
  <c r="BL205" i="387"/>
  <c r="BK205" i="387"/>
  <c r="BJ205" i="387"/>
  <c r="BM205" i="387" s="1"/>
  <c r="BI205" i="387"/>
  <c r="BH205" i="387"/>
  <c r="BG205" i="387"/>
  <c r="BF205" i="387"/>
  <c r="BE205" i="387"/>
  <c r="BD205" i="387"/>
  <c r="BC205" i="387"/>
  <c r="BB205" i="387"/>
  <c r="BA205" i="387"/>
  <c r="AZ205" i="387"/>
  <c r="AW205" i="387"/>
  <c r="AV205" i="387"/>
  <c r="AU205" i="387"/>
  <c r="AT205" i="387"/>
  <c r="AS205" i="387"/>
  <c r="AR205" i="387"/>
  <c r="AQ205" i="387"/>
  <c r="AP205" i="387"/>
  <c r="BN204" i="387"/>
  <c r="BM204" i="387"/>
  <c r="BK204" i="387"/>
  <c r="BJ204" i="387"/>
  <c r="BI204" i="387"/>
  <c r="BH204" i="387"/>
  <c r="BG204" i="387"/>
  <c r="BF204" i="387"/>
  <c r="BE204" i="387"/>
  <c r="BD204" i="387"/>
  <c r="BC204" i="387"/>
  <c r="BB204" i="387"/>
  <c r="BA204" i="387"/>
  <c r="AZ204" i="387"/>
  <c r="AY204" i="387"/>
  <c r="BL204" i="387" s="1"/>
  <c r="AW204" i="387"/>
  <c r="AV204" i="387"/>
  <c r="AU204" i="387"/>
  <c r="AT204" i="387"/>
  <c r="AS204" i="387"/>
  <c r="AR204" i="387"/>
  <c r="AQ204" i="387"/>
  <c r="AP204" i="387"/>
  <c r="BN203" i="387"/>
  <c r="BM203" i="387"/>
  <c r="BL203" i="387"/>
  <c r="BK203" i="387"/>
  <c r="BJ203" i="387"/>
  <c r="BI203" i="387"/>
  <c r="BH203" i="387"/>
  <c r="BG203" i="387"/>
  <c r="BF203" i="387"/>
  <c r="BE203" i="387"/>
  <c r="BD203" i="387"/>
  <c r="BC203" i="387"/>
  <c r="BB203" i="387"/>
  <c r="BA203" i="387"/>
  <c r="AZ203" i="387"/>
  <c r="AW203" i="387"/>
  <c r="AV203" i="387"/>
  <c r="AU203" i="387"/>
  <c r="AT203" i="387"/>
  <c r="AS203" i="387"/>
  <c r="AR203" i="387"/>
  <c r="AQ203" i="387"/>
  <c r="AP203" i="387"/>
  <c r="BN202" i="387"/>
  <c r="BM202" i="387"/>
  <c r="BL202" i="387"/>
  <c r="BJ202" i="387"/>
  <c r="BI202" i="387"/>
  <c r="BH202" i="387"/>
  <c r="BG202" i="387"/>
  <c r="BF202" i="387"/>
  <c r="BE202" i="387"/>
  <c r="BD202" i="387"/>
  <c r="BC202" i="387"/>
  <c r="BB202" i="387"/>
  <c r="BA202" i="387"/>
  <c r="AZ202" i="387"/>
  <c r="AY202" i="387"/>
  <c r="AX202" i="387"/>
  <c r="BK202" i="387" s="1"/>
  <c r="AW202" i="387"/>
  <c r="AV202" i="387"/>
  <c r="AU202" i="387"/>
  <c r="AT202" i="387"/>
  <c r="AS202" i="387"/>
  <c r="AR202" i="387"/>
  <c r="AQ202" i="387"/>
  <c r="AP202" i="387"/>
  <c r="BN201" i="387"/>
  <c r="BM201" i="387"/>
  <c r="BK201" i="387"/>
  <c r="BJ201" i="387"/>
  <c r="BI201" i="387"/>
  <c r="BH201" i="387"/>
  <c r="BG201" i="387"/>
  <c r="BF201" i="387"/>
  <c r="BE201" i="387"/>
  <c r="BD201" i="387"/>
  <c r="BC201" i="387"/>
  <c r="BB201" i="387"/>
  <c r="BA201" i="387"/>
  <c r="AZ201" i="387"/>
  <c r="AY201" i="387"/>
  <c r="BL201" i="387" s="1"/>
  <c r="AW201" i="387"/>
  <c r="AV201" i="387"/>
  <c r="AU201" i="387"/>
  <c r="AT201" i="387"/>
  <c r="AS201" i="387"/>
  <c r="AR201" i="387"/>
  <c r="AQ201" i="387"/>
  <c r="AP201" i="387"/>
  <c r="BN200" i="387"/>
  <c r="BM200" i="387"/>
  <c r="BL200" i="387"/>
  <c r="BK200" i="387"/>
  <c r="BJ200" i="387"/>
  <c r="BI200" i="387"/>
  <c r="BH200" i="387"/>
  <c r="BG200" i="387"/>
  <c r="BF200" i="387"/>
  <c r="BE200" i="387"/>
  <c r="BD200" i="387"/>
  <c r="BC200" i="387"/>
  <c r="BB200" i="387"/>
  <c r="BA200" i="387"/>
  <c r="AZ200" i="387"/>
  <c r="AW200" i="387"/>
  <c r="AV200" i="387"/>
  <c r="AU200" i="387"/>
  <c r="AT200" i="387"/>
  <c r="AS200" i="387"/>
  <c r="AR200" i="387"/>
  <c r="AQ200" i="387"/>
  <c r="AP200" i="387"/>
  <c r="BN199" i="387"/>
  <c r="BL199" i="387"/>
  <c r="BK199" i="387"/>
  <c r="BJ199" i="387"/>
  <c r="BM199" i="387" s="1"/>
  <c r="BI199" i="387"/>
  <c r="BH199" i="387"/>
  <c r="BG199" i="387"/>
  <c r="BF199" i="387"/>
  <c r="BE199" i="387"/>
  <c r="BD199" i="387"/>
  <c r="BC199" i="387"/>
  <c r="BB199" i="387"/>
  <c r="BA199" i="387"/>
  <c r="AZ199" i="387"/>
  <c r="AY199" i="387"/>
  <c r="AW199" i="387"/>
  <c r="AV199" i="387"/>
  <c r="AU199" i="387"/>
  <c r="AT199" i="387"/>
  <c r="AS199" i="387"/>
  <c r="AR199" i="387"/>
  <c r="AQ199" i="387"/>
  <c r="AP199" i="387"/>
  <c r="BN198" i="387"/>
  <c r="BL198" i="387"/>
  <c r="BK198" i="387"/>
  <c r="BJ198" i="387"/>
  <c r="BM198" i="387" s="1"/>
  <c r="BI198" i="387"/>
  <c r="BH198" i="387"/>
  <c r="BG198" i="387"/>
  <c r="BF198" i="387"/>
  <c r="BE198" i="387"/>
  <c r="BD198" i="387"/>
  <c r="BC198" i="387"/>
  <c r="BB198" i="387"/>
  <c r="BA198" i="387"/>
  <c r="AZ198" i="387"/>
  <c r="AW198" i="387"/>
  <c r="AV198" i="387"/>
  <c r="AU198" i="387"/>
  <c r="AT198" i="387"/>
  <c r="AS198" i="387"/>
  <c r="AR198" i="387"/>
  <c r="AQ198" i="387"/>
  <c r="AP198" i="387"/>
  <c r="BN197" i="387"/>
  <c r="BM197" i="387"/>
  <c r="BL197" i="387"/>
  <c r="BK197" i="387"/>
  <c r="BJ197" i="387"/>
  <c r="BI197" i="387"/>
  <c r="BH197" i="387"/>
  <c r="BG197" i="387"/>
  <c r="BF197" i="387"/>
  <c r="BE197" i="387"/>
  <c r="BD197" i="387"/>
  <c r="BC197" i="387"/>
  <c r="BB197" i="387"/>
  <c r="BA197" i="387"/>
  <c r="AZ197" i="387"/>
  <c r="AY197" i="387"/>
  <c r="AX197" i="387"/>
  <c r="AW197" i="387"/>
  <c r="AV197" i="387"/>
  <c r="AU197" i="387"/>
  <c r="AT197" i="387"/>
  <c r="AS197" i="387"/>
  <c r="AR197" i="387"/>
  <c r="AQ197" i="387"/>
  <c r="AP197" i="387"/>
  <c r="BN196" i="387"/>
  <c r="BL196" i="387"/>
  <c r="BJ196" i="387"/>
  <c r="BM196" i="387" s="1"/>
  <c r="BI196" i="387"/>
  <c r="BH196" i="387"/>
  <c r="BG196" i="387"/>
  <c r="BF196" i="387"/>
  <c r="BE196" i="387"/>
  <c r="BD196" i="387"/>
  <c r="BC196" i="387"/>
  <c r="BB196" i="387"/>
  <c r="BA196" i="387"/>
  <c r="AZ196" i="387"/>
  <c r="AY196" i="387"/>
  <c r="AX196" i="387"/>
  <c r="BK196" i="387" s="1"/>
  <c r="AW196" i="387"/>
  <c r="AV196" i="387"/>
  <c r="AU196" i="387"/>
  <c r="AT196" i="387"/>
  <c r="AS196" i="387"/>
  <c r="AR196" i="387"/>
  <c r="AQ196" i="387"/>
  <c r="AP196" i="387"/>
  <c r="BN195" i="387"/>
  <c r="BM195" i="387"/>
  <c r="BK195" i="387"/>
  <c r="BJ195" i="387"/>
  <c r="BI195" i="387"/>
  <c r="BH195" i="387"/>
  <c r="BG195" i="387"/>
  <c r="BF195" i="387"/>
  <c r="BE195" i="387"/>
  <c r="BD195" i="387"/>
  <c r="BC195" i="387"/>
  <c r="BB195" i="387"/>
  <c r="BA195" i="387"/>
  <c r="AZ195" i="387"/>
  <c r="AY195" i="387"/>
  <c r="BL195" i="387" s="1"/>
  <c r="AW195" i="387"/>
  <c r="AV195" i="387"/>
  <c r="AU195" i="387"/>
  <c r="AT195" i="387"/>
  <c r="AS195" i="387"/>
  <c r="AR195" i="387"/>
  <c r="AQ195" i="387"/>
  <c r="AP195" i="387"/>
  <c r="BN194" i="387"/>
  <c r="BM194" i="387"/>
  <c r="BL194" i="387"/>
  <c r="BK194" i="387"/>
  <c r="BJ194" i="387"/>
  <c r="BI194" i="387"/>
  <c r="BH194" i="387"/>
  <c r="BG194" i="387"/>
  <c r="BF194" i="387"/>
  <c r="BE194" i="387"/>
  <c r="BD194" i="387"/>
  <c r="BC194" i="387"/>
  <c r="BB194" i="387"/>
  <c r="BA194" i="387"/>
  <c r="AZ194" i="387"/>
  <c r="AW194" i="387"/>
  <c r="AV194" i="387"/>
  <c r="AU194" i="387"/>
  <c r="AT194" i="387"/>
  <c r="AS194" i="387"/>
  <c r="AR194" i="387"/>
  <c r="AQ194" i="387"/>
  <c r="AP194" i="387"/>
  <c r="AO193" i="387"/>
  <c r="AN193" i="387"/>
  <c r="AM193" i="387"/>
  <c r="AL193" i="387"/>
  <c r="AK193" i="387"/>
  <c r="AJ193" i="387"/>
  <c r="AI193" i="387"/>
  <c r="AH193" i="387"/>
  <c r="AG193" i="387"/>
  <c r="AF193" i="387"/>
  <c r="AE193" i="387"/>
  <c r="AD193" i="387"/>
  <c r="AC193" i="387"/>
  <c r="AB193" i="387"/>
  <c r="AA193" i="387"/>
  <c r="Z193" i="387"/>
  <c r="Y193" i="387"/>
  <c r="X193" i="387"/>
  <c r="W193" i="387"/>
  <c r="V193" i="387"/>
  <c r="U193" i="387"/>
  <c r="T193" i="387"/>
  <c r="S193" i="387"/>
  <c r="R193" i="387"/>
  <c r="Q193" i="387"/>
  <c r="P193" i="387"/>
  <c r="O193" i="387"/>
  <c r="N193" i="387"/>
  <c r="M193" i="387"/>
  <c r="L193" i="387"/>
  <c r="BN192" i="387"/>
  <c r="BK192" i="387"/>
  <c r="BJ192" i="387"/>
  <c r="BM192" i="387" s="1"/>
  <c r="BI192" i="387"/>
  <c r="BH192" i="387"/>
  <c r="BG192" i="387"/>
  <c r="BF192" i="387"/>
  <c r="BE192" i="387"/>
  <c r="BD192" i="387"/>
  <c r="BC192" i="387"/>
  <c r="BB192" i="387"/>
  <c r="BA192" i="387"/>
  <c r="AZ192" i="387"/>
  <c r="AY192" i="387"/>
  <c r="BL192" i="387" s="1"/>
  <c r="AX192" i="387"/>
  <c r="AW192" i="387"/>
  <c r="AV192" i="387"/>
  <c r="AU192" i="387"/>
  <c r="AT192" i="387"/>
  <c r="AS192" i="387"/>
  <c r="AR192" i="387"/>
  <c r="AQ192" i="387"/>
  <c r="AP192" i="387"/>
  <c r="BN191" i="387"/>
  <c r="BM191" i="387"/>
  <c r="BL191" i="387"/>
  <c r="BK191" i="387"/>
  <c r="BJ191" i="387"/>
  <c r="BI191" i="387"/>
  <c r="BH191" i="387"/>
  <c r="BG191" i="387"/>
  <c r="BF191" i="387"/>
  <c r="BE191" i="387"/>
  <c r="BD191" i="387"/>
  <c r="BC191" i="387"/>
  <c r="BB191" i="387"/>
  <c r="BA191" i="387"/>
  <c r="AZ191" i="387"/>
  <c r="AY191" i="387"/>
  <c r="AX191" i="387"/>
  <c r="AW191" i="387"/>
  <c r="AV191" i="387"/>
  <c r="AU191" i="387"/>
  <c r="AT191" i="387"/>
  <c r="AS191" i="387"/>
  <c r="AR191" i="387"/>
  <c r="AQ191" i="387"/>
  <c r="AP191" i="387"/>
  <c r="BN190" i="387"/>
  <c r="BL190" i="387"/>
  <c r="BJ190" i="387"/>
  <c r="BM190" i="387" s="1"/>
  <c r="BI190" i="387"/>
  <c r="BH190" i="387"/>
  <c r="BG190" i="387"/>
  <c r="BF190" i="387"/>
  <c r="BE190" i="387"/>
  <c r="BD190" i="387"/>
  <c r="BC190" i="387"/>
  <c r="BB190" i="387"/>
  <c r="BA190" i="387"/>
  <c r="AZ190" i="387"/>
  <c r="AX190" i="387"/>
  <c r="BK190" i="387" s="1"/>
  <c r="AW190" i="387"/>
  <c r="AV190" i="387"/>
  <c r="AU190" i="387"/>
  <c r="AT190" i="387"/>
  <c r="AS190" i="387"/>
  <c r="AR190" i="387"/>
  <c r="AQ190" i="387"/>
  <c r="AP190" i="387"/>
  <c r="BN189" i="387"/>
  <c r="BL189" i="387"/>
  <c r="BK189" i="387"/>
  <c r="BJ189" i="387"/>
  <c r="BM189" i="387" s="1"/>
  <c r="BI189" i="387"/>
  <c r="BH189" i="387"/>
  <c r="BG189" i="387"/>
  <c r="BF189" i="387"/>
  <c r="BE189" i="387"/>
  <c r="BD189" i="387"/>
  <c r="BC189" i="387"/>
  <c r="BB189" i="387"/>
  <c r="BA189" i="387"/>
  <c r="AZ189" i="387"/>
  <c r="AW189" i="387"/>
  <c r="AV189" i="387"/>
  <c r="AU189" i="387"/>
  <c r="AT189" i="387"/>
  <c r="AS189" i="387"/>
  <c r="AR189" i="387"/>
  <c r="AQ189" i="387"/>
  <c r="AP189" i="387"/>
  <c r="BN188" i="387"/>
  <c r="BM188" i="387"/>
  <c r="BL188" i="387"/>
  <c r="BK188" i="387"/>
  <c r="BJ188" i="387"/>
  <c r="BI188" i="387"/>
  <c r="BH188" i="387"/>
  <c r="BG188" i="387"/>
  <c r="BF188" i="387"/>
  <c r="BE188" i="387"/>
  <c r="BD188" i="387"/>
  <c r="BC188" i="387"/>
  <c r="BB188" i="387"/>
  <c r="BA188" i="387"/>
  <c r="AZ188" i="387"/>
  <c r="AY188" i="387"/>
  <c r="AX188" i="387"/>
  <c r="AW188" i="387"/>
  <c r="AV188" i="387"/>
  <c r="AU188" i="387"/>
  <c r="AT188" i="387"/>
  <c r="AS188" i="387"/>
  <c r="AR188" i="387"/>
  <c r="AQ188" i="387"/>
  <c r="AP188" i="387"/>
  <c r="BN187" i="387"/>
  <c r="BL187" i="387"/>
  <c r="BJ187" i="387"/>
  <c r="BM187" i="387" s="1"/>
  <c r="BI187" i="387"/>
  <c r="BH187" i="387"/>
  <c r="BG187" i="387"/>
  <c r="BF187" i="387"/>
  <c r="BE187" i="387"/>
  <c r="BD187" i="387"/>
  <c r="BC187" i="387"/>
  <c r="BB187" i="387"/>
  <c r="BA187" i="387"/>
  <c r="AZ187" i="387"/>
  <c r="AX187" i="387"/>
  <c r="BK187" i="387" s="1"/>
  <c r="AW187" i="387"/>
  <c r="AV187" i="387"/>
  <c r="AU187" i="387"/>
  <c r="AT187" i="387"/>
  <c r="AS187" i="387"/>
  <c r="AR187" i="387"/>
  <c r="AQ187" i="387"/>
  <c r="AP187" i="387"/>
  <c r="BN186" i="387"/>
  <c r="BL186" i="387"/>
  <c r="BK186" i="387"/>
  <c r="BJ186" i="387"/>
  <c r="BM186" i="387" s="1"/>
  <c r="BI186" i="387"/>
  <c r="BH186" i="387"/>
  <c r="BG186" i="387"/>
  <c r="BF186" i="387"/>
  <c r="BE186" i="387"/>
  <c r="BD186" i="387"/>
  <c r="BC186" i="387"/>
  <c r="BB186" i="387"/>
  <c r="BA186" i="387"/>
  <c r="AZ186" i="387"/>
  <c r="AW186" i="387"/>
  <c r="AV186" i="387"/>
  <c r="AU186" i="387"/>
  <c r="AT186" i="387"/>
  <c r="AS186" i="387"/>
  <c r="AR186" i="387"/>
  <c r="AQ186" i="387"/>
  <c r="AP186" i="387"/>
  <c r="BN185" i="387"/>
  <c r="BM185" i="387"/>
  <c r="BL185" i="387"/>
  <c r="BK185" i="387"/>
  <c r="BJ185" i="387"/>
  <c r="BI185" i="387"/>
  <c r="BH185" i="387"/>
  <c r="BG185" i="387"/>
  <c r="BF185" i="387"/>
  <c r="BE185" i="387"/>
  <c r="BD185" i="387"/>
  <c r="BC185" i="387"/>
  <c r="BB185" i="387"/>
  <c r="BA185" i="387"/>
  <c r="AZ185" i="387"/>
  <c r="AY185" i="387"/>
  <c r="AW185" i="387"/>
  <c r="AV185" i="387"/>
  <c r="AU185" i="387"/>
  <c r="AT185" i="387"/>
  <c r="AS185" i="387"/>
  <c r="AR185" i="387"/>
  <c r="AQ185" i="387"/>
  <c r="AP185" i="387"/>
  <c r="BN184" i="387"/>
  <c r="BM184" i="387"/>
  <c r="BL184" i="387"/>
  <c r="BK184" i="387"/>
  <c r="BJ184" i="387"/>
  <c r="BI184" i="387"/>
  <c r="BH184" i="387"/>
  <c r="BG184" i="387"/>
  <c r="BF184" i="387"/>
  <c r="BE184" i="387"/>
  <c r="BD184" i="387"/>
  <c r="BC184" i="387"/>
  <c r="BB184" i="387"/>
  <c r="BA184" i="387"/>
  <c r="AZ184" i="387"/>
  <c r="AY184" i="387"/>
  <c r="AX184" i="387"/>
  <c r="AW184" i="387"/>
  <c r="AV184" i="387"/>
  <c r="AU184" i="387"/>
  <c r="AT184" i="387"/>
  <c r="AS184" i="387"/>
  <c r="AR184" i="387"/>
  <c r="AQ184" i="387"/>
  <c r="AP184" i="387"/>
  <c r="BN183" i="387"/>
  <c r="BL183" i="387"/>
  <c r="BK183" i="387"/>
  <c r="BJ183" i="387"/>
  <c r="BM183" i="387" s="1"/>
  <c r="BI183" i="387"/>
  <c r="BH183" i="387"/>
  <c r="BG183" i="387"/>
  <c r="BF183" i="387"/>
  <c r="BE183" i="387"/>
  <c r="BD183" i="387"/>
  <c r="BC183" i="387"/>
  <c r="BB183" i="387"/>
  <c r="BA183" i="387"/>
  <c r="AZ183" i="387"/>
  <c r="AY183" i="387"/>
  <c r="AW183" i="387"/>
  <c r="AV183" i="387"/>
  <c r="AU183" i="387"/>
  <c r="AT183" i="387"/>
  <c r="AS183" i="387"/>
  <c r="AR183" i="387"/>
  <c r="AQ183" i="387"/>
  <c r="AP183" i="387"/>
  <c r="BN182" i="387"/>
  <c r="BL182" i="387"/>
  <c r="BJ182" i="387"/>
  <c r="BM182" i="387" s="1"/>
  <c r="BI182" i="387"/>
  <c r="BH182" i="387"/>
  <c r="BG182" i="387"/>
  <c r="BF182" i="387"/>
  <c r="BE182" i="387"/>
  <c r="BD182" i="387"/>
  <c r="BC182" i="387"/>
  <c r="BB182" i="387"/>
  <c r="BA182" i="387"/>
  <c r="AZ182" i="387"/>
  <c r="AY182" i="387"/>
  <c r="AX182" i="387"/>
  <c r="BK182" i="387" s="1"/>
  <c r="AW182" i="387"/>
  <c r="AV182" i="387"/>
  <c r="AU182" i="387"/>
  <c r="AT182" i="387"/>
  <c r="AS182" i="387"/>
  <c r="AR182" i="387"/>
  <c r="AQ182" i="387"/>
  <c r="AP182" i="387"/>
  <c r="BN181" i="387"/>
  <c r="BM181" i="387"/>
  <c r="BL181" i="387"/>
  <c r="BK181" i="387"/>
  <c r="BJ181" i="387"/>
  <c r="BI181" i="387"/>
  <c r="BH181" i="387"/>
  <c r="BG181" i="387"/>
  <c r="BF181" i="387"/>
  <c r="BE181" i="387"/>
  <c r="BD181" i="387"/>
  <c r="BC181" i="387"/>
  <c r="BB181" i="387"/>
  <c r="BA181" i="387"/>
  <c r="AZ181" i="387"/>
  <c r="AW181" i="387"/>
  <c r="AV181" i="387"/>
  <c r="AU181" i="387"/>
  <c r="AT181" i="387"/>
  <c r="AS181" i="387"/>
  <c r="AR181" i="387"/>
  <c r="AQ181" i="387"/>
  <c r="AP181" i="387"/>
  <c r="BN180" i="387"/>
  <c r="BL180" i="387"/>
  <c r="BK180" i="387"/>
  <c r="BJ180" i="387"/>
  <c r="BM180" i="387" s="1"/>
  <c r="BI180" i="387"/>
  <c r="BH180" i="387"/>
  <c r="BG180" i="387"/>
  <c r="BF180" i="387"/>
  <c r="BE180" i="387"/>
  <c r="BD180" i="387"/>
  <c r="BC180" i="387"/>
  <c r="BB180" i="387"/>
  <c r="BA180" i="387"/>
  <c r="AZ180" i="387"/>
  <c r="AW180" i="387"/>
  <c r="AV180" i="387"/>
  <c r="AU180" i="387"/>
  <c r="AT180" i="387"/>
  <c r="AS180" i="387"/>
  <c r="AR180" i="387"/>
  <c r="AQ180" i="387"/>
  <c r="AP180" i="387"/>
  <c r="BN179" i="387"/>
  <c r="BL179" i="387"/>
  <c r="BK179" i="387"/>
  <c r="BJ179" i="387"/>
  <c r="BM179" i="387" s="1"/>
  <c r="BI179" i="387"/>
  <c r="BH179" i="387"/>
  <c r="BG179" i="387"/>
  <c r="BF179" i="387"/>
  <c r="BE179" i="387"/>
  <c r="BD179" i="387"/>
  <c r="BC179" i="387"/>
  <c r="BB179" i="387"/>
  <c r="BA179" i="387"/>
  <c r="AZ179" i="387"/>
  <c r="AW179" i="387"/>
  <c r="AV179" i="387"/>
  <c r="AU179" i="387"/>
  <c r="AT179" i="387"/>
  <c r="AS179" i="387"/>
  <c r="AR179" i="387"/>
  <c r="AQ179" i="387"/>
  <c r="AP179" i="387"/>
  <c r="BN178" i="387"/>
  <c r="BL178" i="387"/>
  <c r="BK178" i="387"/>
  <c r="BJ178" i="387"/>
  <c r="BM178" i="387" s="1"/>
  <c r="BI178" i="387"/>
  <c r="BH178" i="387"/>
  <c r="BG178" i="387"/>
  <c r="BF178" i="387"/>
  <c r="BE178" i="387"/>
  <c r="BD178" i="387"/>
  <c r="BC178" i="387"/>
  <c r="BB178" i="387"/>
  <c r="BA178" i="387"/>
  <c r="AZ178" i="387"/>
  <c r="AW178" i="387"/>
  <c r="AV178" i="387"/>
  <c r="AU178" i="387"/>
  <c r="AT178" i="387"/>
  <c r="AS178" i="387"/>
  <c r="AR178" i="387"/>
  <c r="AQ178" i="387"/>
  <c r="AP178" i="387"/>
  <c r="BN177" i="387"/>
  <c r="BL177" i="387"/>
  <c r="BJ177" i="387"/>
  <c r="BM177" i="387" s="1"/>
  <c r="BI177" i="387"/>
  <c r="BH177" i="387"/>
  <c r="BG177" i="387"/>
  <c r="BF177" i="387"/>
  <c r="BE177" i="387"/>
  <c r="BD177" i="387"/>
  <c r="BC177" i="387"/>
  <c r="BB177" i="387"/>
  <c r="BA177" i="387"/>
  <c r="AZ177" i="387"/>
  <c r="AY177" i="387"/>
  <c r="AX177" i="387"/>
  <c r="BK177" i="387" s="1"/>
  <c r="AW177" i="387"/>
  <c r="AV177" i="387"/>
  <c r="AU177" i="387"/>
  <c r="AT177" i="387"/>
  <c r="AS177" i="387"/>
  <c r="AR177" i="387"/>
  <c r="AQ177" i="387"/>
  <c r="AP177" i="387"/>
  <c r="AO176" i="387"/>
  <c r="AN176" i="387"/>
  <c r="AM176" i="387"/>
  <c r="AL176" i="387"/>
  <c r="AK176" i="387"/>
  <c r="AJ176" i="387"/>
  <c r="AI176" i="387"/>
  <c r="AH176" i="387"/>
  <c r="AG176" i="387"/>
  <c r="AF176" i="387"/>
  <c r="AE176" i="387"/>
  <c r="AD176" i="387"/>
  <c r="AC176" i="387"/>
  <c r="AB176" i="387"/>
  <c r="AA176" i="387"/>
  <c r="Z176" i="387"/>
  <c r="Y176" i="387"/>
  <c r="X176" i="387"/>
  <c r="W176" i="387"/>
  <c r="V176" i="387"/>
  <c r="U176" i="387"/>
  <c r="T176" i="387"/>
  <c r="S176" i="387"/>
  <c r="R176" i="387"/>
  <c r="Q176" i="387"/>
  <c r="P176" i="387"/>
  <c r="O176" i="387"/>
  <c r="N176" i="387"/>
  <c r="M176" i="387"/>
  <c r="L176" i="387"/>
  <c r="BN175" i="387"/>
  <c r="BM175" i="387"/>
  <c r="BK175" i="387"/>
  <c r="BJ175" i="387"/>
  <c r="BI175" i="387"/>
  <c r="BH175" i="387"/>
  <c r="BG175" i="387"/>
  <c r="BF175" i="387"/>
  <c r="BE175" i="387"/>
  <c r="BD175" i="387"/>
  <c r="BC175" i="387"/>
  <c r="BB175" i="387"/>
  <c r="BA175" i="387"/>
  <c r="AZ175" i="387"/>
  <c r="AY175" i="387"/>
  <c r="BL175" i="387" s="1"/>
  <c r="AX175" i="387"/>
  <c r="AW175" i="387"/>
  <c r="AV175" i="387"/>
  <c r="AU175" i="387"/>
  <c r="AT175" i="387"/>
  <c r="AS175" i="387"/>
  <c r="AR175" i="387"/>
  <c r="AQ175" i="387"/>
  <c r="AP175" i="387"/>
  <c r="BN174" i="387"/>
  <c r="BL174" i="387"/>
  <c r="BJ174" i="387"/>
  <c r="BM174" i="387" s="1"/>
  <c r="BI174" i="387"/>
  <c r="BH174" i="387"/>
  <c r="BG174" i="387"/>
  <c r="BF174" i="387"/>
  <c r="BE174" i="387"/>
  <c r="BD174" i="387"/>
  <c r="BC174" i="387"/>
  <c r="BB174" i="387"/>
  <c r="BA174" i="387"/>
  <c r="AZ174" i="387"/>
  <c r="AX174" i="387"/>
  <c r="BK174" i="387" s="1"/>
  <c r="AW174" i="387"/>
  <c r="AV174" i="387"/>
  <c r="AU174" i="387"/>
  <c r="AT174" i="387"/>
  <c r="AS174" i="387"/>
  <c r="AR174" i="387"/>
  <c r="AQ174" i="387"/>
  <c r="AP174" i="387"/>
  <c r="BN173" i="387"/>
  <c r="BL173" i="387"/>
  <c r="BJ173" i="387"/>
  <c r="BM173" i="387" s="1"/>
  <c r="BI173" i="387"/>
  <c r="BH173" i="387"/>
  <c r="BG173" i="387"/>
  <c r="BF173" i="387"/>
  <c r="BE173" i="387"/>
  <c r="BD173" i="387"/>
  <c r="BC173" i="387"/>
  <c r="BB173" i="387"/>
  <c r="BA173" i="387"/>
  <c r="AZ173" i="387"/>
  <c r="AY173" i="387"/>
  <c r="AX173" i="387"/>
  <c r="BK173" i="387" s="1"/>
  <c r="AW173" i="387"/>
  <c r="AV173" i="387"/>
  <c r="AU173" i="387"/>
  <c r="AT173" i="387"/>
  <c r="AS173" i="387"/>
  <c r="AR173" i="387"/>
  <c r="AQ173" i="387"/>
  <c r="AP173" i="387"/>
  <c r="BN172" i="387"/>
  <c r="BK172" i="387"/>
  <c r="BJ172" i="387"/>
  <c r="BM172" i="387" s="1"/>
  <c r="BI172" i="387"/>
  <c r="BH172" i="387"/>
  <c r="BG172" i="387"/>
  <c r="BF172" i="387"/>
  <c r="BE172" i="387"/>
  <c r="BD172" i="387"/>
  <c r="BC172" i="387"/>
  <c r="BB172" i="387"/>
  <c r="BA172" i="387"/>
  <c r="AZ172" i="387"/>
  <c r="AY172" i="387"/>
  <c r="BL172" i="387" s="1"/>
  <c r="AW172" i="387"/>
  <c r="AV172" i="387"/>
  <c r="AU172" i="387"/>
  <c r="AT172" i="387"/>
  <c r="AS172" i="387"/>
  <c r="AR172" i="387"/>
  <c r="AQ172" i="387"/>
  <c r="AP172" i="387"/>
  <c r="BN171" i="387"/>
  <c r="BL171" i="387"/>
  <c r="BK171" i="387"/>
  <c r="BJ171" i="387"/>
  <c r="BM171" i="387" s="1"/>
  <c r="BI171" i="387"/>
  <c r="BH171" i="387"/>
  <c r="BG171" i="387"/>
  <c r="BF171" i="387"/>
  <c r="BE171" i="387"/>
  <c r="BD171" i="387"/>
  <c r="BC171" i="387"/>
  <c r="BB171" i="387"/>
  <c r="BA171" i="387"/>
  <c r="AZ171" i="387"/>
  <c r="AW171" i="387"/>
  <c r="AV171" i="387"/>
  <c r="AU171" i="387"/>
  <c r="AT171" i="387"/>
  <c r="AS171" i="387"/>
  <c r="AR171" i="387"/>
  <c r="AQ171" i="387"/>
  <c r="AP171" i="387"/>
  <c r="BN170" i="387"/>
  <c r="BL170" i="387"/>
  <c r="BK170" i="387"/>
  <c r="BJ170" i="387"/>
  <c r="BM170" i="387" s="1"/>
  <c r="BI170" i="387"/>
  <c r="BH170" i="387"/>
  <c r="BG170" i="387"/>
  <c r="BF170" i="387"/>
  <c r="BE170" i="387"/>
  <c r="BD170" i="387"/>
  <c r="BC170" i="387"/>
  <c r="BB170" i="387"/>
  <c r="BA170" i="387"/>
  <c r="AZ170" i="387"/>
  <c r="AY170" i="387"/>
  <c r="AW170" i="387"/>
  <c r="AV170" i="387"/>
  <c r="AU170" i="387"/>
  <c r="AT170" i="387"/>
  <c r="AS170" i="387"/>
  <c r="AR170" i="387"/>
  <c r="AQ170" i="387"/>
  <c r="AP170" i="387"/>
  <c r="BN169" i="387"/>
  <c r="BL169" i="387"/>
  <c r="BK169" i="387"/>
  <c r="BJ169" i="387"/>
  <c r="BM169" i="387" s="1"/>
  <c r="BI169" i="387"/>
  <c r="BH169" i="387"/>
  <c r="BG169" i="387"/>
  <c r="BF169" i="387"/>
  <c r="BE169" i="387"/>
  <c r="BD169" i="387"/>
  <c r="BC169" i="387"/>
  <c r="BB169" i="387"/>
  <c r="BA169" i="387"/>
  <c r="AZ169" i="387"/>
  <c r="AY169" i="387"/>
  <c r="AW169" i="387"/>
  <c r="AV169" i="387"/>
  <c r="AU169" i="387"/>
  <c r="AT169" i="387"/>
  <c r="AS169" i="387"/>
  <c r="AR169" i="387"/>
  <c r="AQ169" i="387"/>
  <c r="AP169" i="387"/>
  <c r="BN168" i="387"/>
  <c r="BL168" i="387"/>
  <c r="BK168" i="387"/>
  <c r="BJ168" i="387"/>
  <c r="BM168" i="387" s="1"/>
  <c r="BI168" i="387"/>
  <c r="BH168" i="387"/>
  <c r="BG168" i="387"/>
  <c r="BF168" i="387"/>
  <c r="BE168" i="387"/>
  <c r="BD168" i="387"/>
  <c r="BC168" i="387"/>
  <c r="BB168" i="387"/>
  <c r="BA168" i="387"/>
  <c r="AZ168" i="387"/>
  <c r="AY168" i="387"/>
  <c r="AW168" i="387"/>
  <c r="AV168" i="387"/>
  <c r="AU168" i="387"/>
  <c r="AT168" i="387"/>
  <c r="AS168" i="387"/>
  <c r="AR168" i="387"/>
  <c r="AQ168" i="387"/>
  <c r="AP168" i="387"/>
  <c r="BN167" i="387"/>
  <c r="BL167" i="387"/>
  <c r="BK167" i="387"/>
  <c r="BJ167" i="387"/>
  <c r="BM167" i="387" s="1"/>
  <c r="BI167" i="387"/>
  <c r="BH167" i="387"/>
  <c r="BG167" i="387"/>
  <c r="BF167" i="387"/>
  <c r="BE167" i="387"/>
  <c r="BD167" i="387"/>
  <c r="BC167" i="387"/>
  <c r="BB167" i="387"/>
  <c r="BA167" i="387"/>
  <c r="AZ167" i="387"/>
  <c r="AY167" i="387"/>
  <c r="AW167" i="387"/>
  <c r="AV167" i="387"/>
  <c r="AU167" i="387"/>
  <c r="AT167" i="387"/>
  <c r="AS167" i="387"/>
  <c r="AR167" i="387"/>
  <c r="AQ167" i="387"/>
  <c r="AP167" i="387"/>
  <c r="BN166" i="387"/>
  <c r="BL166" i="387"/>
  <c r="BK166" i="387"/>
  <c r="BJ166" i="387"/>
  <c r="BM166" i="387" s="1"/>
  <c r="BI166" i="387"/>
  <c r="BH166" i="387"/>
  <c r="BG166" i="387"/>
  <c r="BF166" i="387"/>
  <c r="BE166" i="387"/>
  <c r="BD166" i="387"/>
  <c r="BC166" i="387"/>
  <c r="BB166" i="387"/>
  <c r="BA166" i="387"/>
  <c r="AZ166" i="387"/>
  <c r="AY166" i="387"/>
  <c r="AX166" i="387"/>
  <c r="AW166" i="387"/>
  <c r="AV166" i="387"/>
  <c r="AU166" i="387"/>
  <c r="AT166" i="387"/>
  <c r="AS166" i="387"/>
  <c r="AR166" i="387"/>
  <c r="AQ166" i="387"/>
  <c r="AP166" i="387"/>
  <c r="BN165" i="387"/>
  <c r="BL165" i="387"/>
  <c r="BK165" i="387"/>
  <c r="BJ165" i="387"/>
  <c r="BM165" i="387" s="1"/>
  <c r="BI165" i="387"/>
  <c r="BH165" i="387"/>
  <c r="BG165" i="387"/>
  <c r="BF165" i="387"/>
  <c r="BE165" i="387"/>
  <c r="BD165" i="387"/>
  <c r="BC165" i="387"/>
  <c r="BB165" i="387"/>
  <c r="BA165" i="387"/>
  <c r="AZ165" i="387"/>
  <c r="AY165" i="387"/>
  <c r="AX165" i="387"/>
  <c r="AW165" i="387"/>
  <c r="AV165" i="387"/>
  <c r="AU165" i="387"/>
  <c r="AT165" i="387"/>
  <c r="AS165" i="387"/>
  <c r="AR165" i="387"/>
  <c r="AQ165" i="387"/>
  <c r="AP165" i="387"/>
  <c r="BN164" i="387"/>
  <c r="BM164" i="387"/>
  <c r="BL164" i="387"/>
  <c r="BK164" i="387"/>
  <c r="BJ164" i="387"/>
  <c r="BI164" i="387"/>
  <c r="BH164" i="387"/>
  <c r="BG164" i="387"/>
  <c r="BF164" i="387"/>
  <c r="BE164" i="387"/>
  <c r="BD164" i="387"/>
  <c r="BC164" i="387"/>
  <c r="BB164" i="387"/>
  <c r="BA164" i="387"/>
  <c r="AZ164" i="387"/>
  <c r="AW164" i="387"/>
  <c r="AV164" i="387"/>
  <c r="AU164" i="387"/>
  <c r="AT164" i="387"/>
  <c r="AS164" i="387"/>
  <c r="AR164" i="387"/>
  <c r="AQ164" i="387"/>
  <c r="AP164" i="387"/>
  <c r="BN163" i="387"/>
  <c r="BL163" i="387"/>
  <c r="BK163" i="387"/>
  <c r="BJ163" i="387"/>
  <c r="BM163" i="387" s="1"/>
  <c r="BI163" i="387"/>
  <c r="BH163" i="387"/>
  <c r="BG163" i="387"/>
  <c r="BF163" i="387"/>
  <c r="BE163" i="387"/>
  <c r="BD163" i="387"/>
  <c r="BC163" i="387"/>
  <c r="BB163" i="387"/>
  <c r="BA163" i="387"/>
  <c r="AZ163" i="387"/>
  <c r="AW163" i="387"/>
  <c r="AV163" i="387"/>
  <c r="AU163" i="387"/>
  <c r="AT163" i="387"/>
  <c r="AS163" i="387"/>
  <c r="AR163" i="387"/>
  <c r="AQ163" i="387"/>
  <c r="AP163" i="387"/>
  <c r="BN162" i="387"/>
  <c r="BL162" i="387"/>
  <c r="BK162" i="387"/>
  <c r="BJ162" i="387"/>
  <c r="BM162" i="387" s="1"/>
  <c r="BI162" i="387"/>
  <c r="BH162" i="387"/>
  <c r="BG162" i="387"/>
  <c r="BF162" i="387"/>
  <c r="BE162" i="387"/>
  <c r="BD162" i="387"/>
  <c r="BC162" i="387"/>
  <c r="BB162" i="387"/>
  <c r="BA162" i="387"/>
  <c r="AZ162" i="387"/>
  <c r="AW162" i="387"/>
  <c r="AV162" i="387"/>
  <c r="AU162" i="387"/>
  <c r="AT162" i="387"/>
  <c r="AS162" i="387"/>
  <c r="AR162" i="387"/>
  <c r="AQ162" i="387"/>
  <c r="AP162" i="387"/>
  <c r="BN161" i="387"/>
  <c r="BK161" i="387"/>
  <c r="BJ161" i="387"/>
  <c r="BM161" i="387" s="1"/>
  <c r="BI161" i="387"/>
  <c r="BH161" i="387"/>
  <c r="BG161" i="387"/>
  <c r="BF161" i="387"/>
  <c r="BE161" i="387"/>
  <c r="BD161" i="387"/>
  <c r="BC161" i="387"/>
  <c r="BB161" i="387"/>
  <c r="BA161" i="387"/>
  <c r="AZ161" i="387"/>
  <c r="AY161" i="387"/>
  <c r="BL161" i="387" s="1"/>
  <c r="AW161" i="387"/>
  <c r="AV161" i="387"/>
  <c r="AU161" i="387"/>
  <c r="AT161" i="387"/>
  <c r="AS161" i="387"/>
  <c r="AR161" i="387"/>
  <c r="AQ161" i="387"/>
  <c r="AP161" i="387"/>
  <c r="BN160" i="387"/>
  <c r="BL160" i="387"/>
  <c r="BK160" i="387"/>
  <c r="BJ160" i="387"/>
  <c r="BM160" i="387" s="1"/>
  <c r="BI160" i="387"/>
  <c r="BH160" i="387"/>
  <c r="BG160" i="387"/>
  <c r="BF160" i="387"/>
  <c r="BE160" i="387"/>
  <c r="BD160" i="387"/>
  <c r="BC160" i="387"/>
  <c r="BB160" i="387"/>
  <c r="BA160" i="387"/>
  <c r="AZ160" i="387"/>
  <c r="AW160" i="387"/>
  <c r="AV160" i="387"/>
  <c r="AU160" i="387"/>
  <c r="AT160" i="387"/>
  <c r="AS160" i="387"/>
  <c r="AR160" i="387"/>
  <c r="AQ160" i="387"/>
  <c r="AP160" i="387"/>
  <c r="BN159" i="387"/>
  <c r="BL159" i="387"/>
  <c r="BK159" i="387"/>
  <c r="BJ159" i="387"/>
  <c r="BM159" i="387" s="1"/>
  <c r="BI159" i="387"/>
  <c r="BH159" i="387"/>
  <c r="BG159" i="387"/>
  <c r="BF159" i="387"/>
  <c r="BE159" i="387"/>
  <c r="BD159" i="387"/>
  <c r="BC159" i="387"/>
  <c r="BB159" i="387"/>
  <c r="BA159" i="387"/>
  <c r="AZ159" i="387"/>
  <c r="AW159" i="387"/>
  <c r="AV159" i="387"/>
  <c r="AU159" i="387"/>
  <c r="AT159" i="387"/>
  <c r="AS159" i="387"/>
  <c r="AR159" i="387"/>
  <c r="AQ159" i="387"/>
  <c r="AP159" i="387"/>
  <c r="BN158" i="387"/>
  <c r="BM158" i="387"/>
  <c r="BL158" i="387"/>
  <c r="BK158" i="387"/>
  <c r="BJ158" i="387"/>
  <c r="BI158" i="387"/>
  <c r="BH158" i="387"/>
  <c r="BG158" i="387"/>
  <c r="BF158" i="387"/>
  <c r="BE158" i="387"/>
  <c r="BD158" i="387"/>
  <c r="BC158" i="387"/>
  <c r="BB158" i="387"/>
  <c r="BA158" i="387"/>
  <c r="AZ158" i="387"/>
  <c r="AW158" i="387"/>
  <c r="AV158" i="387"/>
  <c r="AU158" i="387"/>
  <c r="AT158" i="387"/>
  <c r="AS158" i="387"/>
  <c r="AR158" i="387"/>
  <c r="AQ158" i="387"/>
  <c r="AP158" i="387"/>
  <c r="BN157" i="387"/>
  <c r="BM157" i="387"/>
  <c r="BL157" i="387"/>
  <c r="BJ157" i="387"/>
  <c r="BI157" i="387"/>
  <c r="BH157" i="387"/>
  <c r="BG157" i="387"/>
  <c r="BF157" i="387"/>
  <c r="BE157" i="387"/>
  <c r="BD157" i="387"/>
  <c r="BC157" i="387"/>
  <c r="BB157" i="387"/>
  <c r="BA157" i="387"/>
  <c r="AZ157" i="387"/>
  <c r="AX157" i="387"/>
  <c r="BK157" i="387" s="1"/>
  <c r="AW157" i="387"/>
  <c r="AV157" i="387"/>
  <c r="AU157" i="387"/>
  <c r="AT157" i="387"/>
  <c r="AS157" i="387"/>
  <c r="AR157" i="387"/>
  <c r="AQ157" i="387"/>
  <c r="AP157" i="387"/>
  <c r="BN156" i="387"/>
  <c r="BM156" i="387"/>
  <c r="BK156" i="387"/>
  <c r="BJ156" i="387"/>
  <c r="BI156" i="387"/>
  <c r="BH156" i="387"/>
  <c r="BG156" i="387"/>
  <c r="BF156" i="387"/>
  <c r="BE156" i="387"/>
  <c r="BD156" i="387"/>
  <c r="BC156" i="387"/>
  <c r="BB156" i="387"/>
  <c r="BA156" i="387"/>
  <c r="AZ156" i="387"/>
  <c r="AY156" i="387"/>
  <c r="BL156" i="387" s="1"/>
  <c r="AW156" i="387"/>
  <c r="AV156" i="387"/>
  <c r="AU156" i="387"/>
  <c r="AT156" i="387"/>
  <c r="AS156" i="387"/>
  <c r="AR156" i="387"/>
  <c r="AQ156" i="387"/>
  <c r="AP156" i="387"/>
  <c r="BN155" i="387"/>
  <c r="BM155" i="387"/>
  <c r="BJ155" i="387"/>
  <c r="BI155" i="387"/>
  <c r="BH155" i="387"/>
  <c r="BG155" i="387"/>
  <c r="BF155" i="387"/>
  <c r="BE155" i="387"/>
  <c r="BD155" i="387"/>
  <c r="BC155" i="387"/>
  <c r="BB155" i="387"/>
  <c r="BA155" i="387"/>
  <c r="AZ155" i="387"/>
  <c r="AY155" i="387"/>
  <c r="BL155" i="387" s="1"/>
  <c r="AX155" i="387"/>
  <c r="BK155" i="387" s="1"/>
  <c r="AW155" i="387"/>
  <c r="AV155" i="387"/>
  <c r="AU155" i="387"/>
  <c r="AT155" i="387"/>
  <c r="AS155" i="387"/>
  <c r="AR155" i="387"/>
  <c r="AQ155" i="387"/>
  <c r="AP155" i="387"/>
  <c r="BN154" i="387"/>
  <c r="BM154" i="387"/>
  <c r="BJ154" i="387"/>
  <c r="BI154" i="387"/>
  <c r="BH154" i="387"/>
  <c r="BG154" i="387"/>
  <c r="BF154" i="387"/>
  <c r="BE154" i="387"/>
  <c r="BD154" i="387"/>
  <c r="BC154" i="387"/>
  <c r="BB154" i="387"/>
  <c r="BA154" i="387"/>
  <c r="AZ154" i="387"/>
  <c r="AY154" i="387"/>
  <c r="BL154" i="387" s="1"/>
  <c r="AX154" i="387"/>
  <c r="BK154" i="387" s="1"/>
  <c r="AW154" i="387"/>
  <c r="AV154" i="387"/>
  <c r="AU154" i="387"/>
  <c r="AT154" i="387"/>
  <c r="AS154" i="387"/>
  <c r="AR154" i="387"/>
  <c r="AQ154" i="387"/>
  <c r="AP154" i="387"/>
  <c r="BN153" i="387"/>
  <c r="BL153" i="387"/>
  <c r="BK153" i="387"/>
  <c r="BJ153" i="387"/>
  <c r="BM153" i="387" s="1"/>
  <c r="BI153" i="387"/>
  <c r="BH153" i="387"/>
  <c r="BG153" i="387"/>
  <c r="BF153" i="387"/>
  <c r="BE153" i="387"/>
  <c r="BD153" i="387"/>
  <c r="BC153" i="387"/>
  <c r="BB153" i="387"/>
  <c r="BA153" i="387"/>
  <c r="AZ153" i="387"/>
  <c r="AW153" i="387"/>
  <c r="AV153" i="387"/>
  <c r="AU153" i="387"/>
  <c r="AT153" i="387"/>
  <c r="AS153" i="387"/>
  <c r="AR153" i="387"/>
  <c r="AQ153" i="387"/>
  <c r="AP153" i="387"/>
  <c r="BN152" i="387"/>
  <c r="BM152" i="387"/>
  <c r="BK152" i="387"/>
  <c r="BJ152" i="387"/>
  <c r="BI152" i="387"/>
  <c r="BH152" i="387"/>
  <c r="BG152" i="387"/>
  <c r="BF152" i="387"/>
  <c r="BE152" i="387"/>
  <c r="BD152" i="387"/>
  <c r="BC152" i="387"/>
  <c r="BB152" i="387"/>
  <c r="BA152" i="387"/>
  <c r="AZ152" i="387"/>
  <c r="AY152" i="387"/>
  <c r="BL152" i="387" s="1"/>
  <c r="AW152" i="387"/>
  <c r="AV152" i="387"/>
  <c r="AU152" i="387"/>
  <c r="AT152" i="387"/>
  <c r="AS152" i="387"/>
  <c r="AR152" i="387"/>
  <c r="AQ152" i="387"/>
  <c r="AP152" i="387"/>
  <c r="BN151" i="387"/>
  <c r="BM151" i="387"/>
  <c r="BL151" i="387"/>
  <c r="BK151" i="387"/>
  <c r="BJ151" i="387"/>
  <c r="BI151" i="387"/>
  <c r="BH151" i="387"/>
  <c r="BG151" i="387"/>
  <c r="BF151" i="387"/>
  <c r="BE151" i="387"/>
  <c r="BD151" i="387"/>
  <c r="BC151" i="387"/>
  <c r="BB151" i="387"/>
  <c r="BA151" i="387"/>
  <c r="AZ151" i="387"/>
  <c r="AW151" i="387"/>
  <c r="AV151" i="387"/>
  <c r="AU151" i="387"/>
  <c r="AT151" i="387"/>
  <c r="AS151" i="387"/>
  <c r="AR151" i="387"/>
  <c r="AQ151" i="387"/>
  <c r="AP151" i="387"/>
  <c r="AO150" i="387"/>
  <c r="AN150" i="387"/>
  <c r="AM150" i="387"/>
  <c r="AL150" i="387"/>
  <c r="AK150" i="387"/>
  <c r="AJ150" i="387"/>
  <c r="AI150" i="387"/>
  <c r="AH150" i="387"/>
  <c r="AG150" i="387"/>
  <c r="AF150" i="387"/>
  <c r="AE150" i="387"/>
  <c r="AD150" i="387"/>
  <c r="AC150" i="387"/>
  <c r="AB150" i="387"/>
  <c r="AA150" i="387"/>
  <c r="Z150" i="387"/>
  <c r="Y150" i="387"/>
  <c r="X150" i="387"/>
  <c r="W150" i="387"/>
  <c r="V150" i="387"/>
  <c r="U150" i="387"/>
  <c r="T150" i="387"/>
  <c r="S150" i="387"/>
  <c r="R150" i="387"/>
  <c r="Q150" i="387"/>
  <c r="P150" i="387"/>
  <c r="O150" i="387"/>
  <c r="N150" i="387"/>
  <c r="M150" i="387"/>
  <c r="L150" i="387"/>
  <c r="BN149" i="387"/>
  <c r="BM149" i="387"/>
  <c r="BL149" i="387"/>
  <c r="BK149" i="387"/>
  <c r="BJ149" i="387"/>
  <c r="BI149" i="387"/>
  <c r="BH149" i="387"/>
  <c r="BG149" i="387"/>
  <c r="BF149" i="387"/>
  <c r="BE149" i="387"/>
  <c r="BD149" i="387"/>
  <c r="BC149" i="387"/>
  <c r="BB149" i="387"/>
  <c r="BA149" i="387"/>
  <c r="AZ149" i="387"/>
  <c r="AY149" i="387"/>
  <c r="AW149" i="387"/>
  <c r="AV149" i="387"/>
  <c r="AU149" i="387"/>
  <c r="AT149" i="387"/>
  <c r="AS149" i="387"/>
  <c r="AR149" i="387"/>
  <c r="AQ149" i="387"/>
  <c r="AP149" i="387"/>
  <c r="BN148" i="387"/>
  <c r="BM148" i="387"/>
  <c r="BL148" i="387"/>
  <c r="BK148" i="387"/>
  <c r="BJ148" i="387"/>
  <c r="BI148" i="387"/>
  <c r="BH148" i="387"/>
  <c r="BG148" i="387"/>
  <c r="BF148" i="387"/>
  <c r="BE148" i="387"/>
  <c r="BD148" i="387"/>
  <c r="BC148" i="387"/>
  <c r="BB148" i="387"/>
  <c r="BA148" i="387"/>
  <c r="AZ148" i="387"/>
  <c r="AW148" i="387"/>
  <c r="AV148" i="387"/>
  <c r="AU148" i="387"/>
  <c r="AT148" i="387"/>
  <c r="AS148" i="387"/>
  <c r="AR148" i="387"/>
  <c r="AQ148" i="387"/>
  <c r="AP148" i="387"/>
  <c r="BN147" i="387"/>
  <c r="BL147" i="387"/>
  <c r="BK147" i="387"/>
  <c r="BJ147" i="387"/>
  <c r="BM147" i="387" s="1"/>
  <c r="BI147" i="387"/>
  <c r="BH147" i="387"/>
  <c r="BG147" i="387"/>
  <c r="BF147" i="387"/>
  <c r="BE147" i="387"/>
  <c r="BD147" i="387"/>
  <c r="BC147" i="387"/>
  <c r="BB147" i="387"/>
  <c r="BA147" i="387"/>
  <c r="AZ147" i="387"/>
  <c r="AW147" i="387"/>
  <c r="AV147" i="387"/>
  <c r="AU147" i="387"/>
  <c r="AT147" i="387"/>
  <c r="AS147" i="387"/>
  <c r="AR147" i="387"/>
  <c r="AQ147" i="387"/>
  <c r="AP147" i="387"/>
  <c r="BN146" i="387"/>
  <c r="BL146" i="387"/>
  <c r="BK146" i="387"/>
  <c r="BJ146" i="387"/>
  <c r="BM146" i="387" s="1"/>
  <c r="BI146" i="387"/>
  <c r="BH146" i="387"/>
  <c r="BG146" i="387"/>
  <c r="BF146" i="387"/>
  <c r="BE146" i="387"/>
  <c r="BD146" i="387"/>
  <c r="BC146" i="387"/>
  <c r="BB146" i="387"/>
  <c r="BA146" i="387"/>
  <c r="AZ146" i="387"/>
  <c r="AW146" i="387"/>
  <c r="AV146" i="387"/>
  <c r="AU146" i="387"/>
  <c r="AT146" i="387"/>
  <c r="AS146" i="387"/>
  <c r="AR146" i="387"/>
  <c r="AQ146" i="387"/>
  <c r="AP146" i="387"/>
  <c r="BN145" i="387"/>
  <c r="BM145" i="387"/>
  <c r="BK145" i="387"/>
  <c r="BJ145" i="387"/>
  <c r="BI145" i="387"/>
  <c r="BH145" i="387"/>
  <c r="BG145" i="387"/>
  <c r="BF145" i="387"/>
  <c r="BE145" i="387"/>
  <c r="BD145" i="387"/>
  <c r="BC145" i="387"/>
  <c r="BB145" i="387"/>
  <c r="BA145" i="387"/>
  <c r="AZ145" i="387"/>
  <c r="AY145" i="387"/>
  <c r="BL145" i="387" s="1"/>
  <c r="AW145" i="387"/>
  <c r="AV145" i="387"/>
  <c r="AU145" i="387"/>
  <c r="AT145" i="387"/>
  <c r="AS145" i="387"/>
  <c r="AR145" i="387"/>
  <c r="AQ145" i="387"/>
  <c r="AP145" i="387"/>
  <c r="BN144" i="387"/>
  <c r="BM144" i="387"/>
  <c r="BL144" i="387"/>
  <c r="BK144" i="387"/>
  <c r="BJ144" i="387"/>
  <c r="BI144" i="387"/>
  <c r="BH144" i="387"/>
  <c r="BG144" i="387"/>
  <c r="BF144" i="387"/>
  <c r="BE144" i="387"/>
  <c r="BD144" i="387"/>
  <c r="BC144" i="387"/>
  <c r="BB144" i="387"/>
  <c r="BA144" i="387"/>
  <c r="AZ144" i="387"/>
  <c r="AX144" i="387"/>
  <c r="AW144" i="387"/>
  <c r="AV144" i="387"/>
  <c r="AU144" i="387"/>
  <c r="AT144" i="387"/>
  <c r="AS144" i="387"/>
  <c r="AR144" i="387"/>
  <c r="AQ144" i="387"/>
  <c r="AP144" i="387"/>
  <c r="AO143" i="387"/>
  <c r="AN143" i="387"/>
  <c r="AM143" i="387"/>
  <c r="AL143" i="387"/>
  <c r="AK143" i="387"/>
  <c r="AJ143" i="387"/>
  <c r="AI143" i="387"/>
  <c r="AH143" i="387"/>
  <c r="AG143" i="387"/>
  <c r="AF143" i="387"/>
  <c r="AE143" i="387"/>
  <c r="AD143" i="387"/>
  <c r="AC143" i="387"/>
  <c r="AB143" i="387"/>
  <c r="AA143" i="387"/>
  <c r="Z143" i="387"/>
  <c r="Y143" i="387"/>
  <c r="X143" i="387"/>
  <c r="W143" i="387"/>
  <c r="V143" i="387"/>
  <c r="U143" i="387"/>
  <c r="T143" i="387"/>
  <c r="S143" i="387"/>
  <c r="R143" i="387"/>
  <c r="Q143" i="387"/>
  <c r="P143" i="387"/>
  <c r="O143" i="387"/>
  <c r="N143" i="387"/>
  <c r="M143" i="387"/>
  <c r="L143" i="387"/>
  <c r="BN142" i="387"/>
  <c r="BM142" i="387"/>
  <c r="BK142" i="387"/>
  <c r="BJ142" i="387"/>
  <c r="BI142" i="387"/>
  <c r="BH142" i="387"/>
  <c r="BG142" i="387"/>
  <c r="BF142" i="387"/>
  <c r="BE142" i="387"/>
  <c r="BD142" i="387"/>
  <c r="BC142" i="387"/>
  <c r="BB142" i="387"/>
  <c r="BA142" i="387"/>
  <c r="AZ142" i="387"/>
  <c r="AY142" i="387"/>
  <c r="BL142" i="387" s="1"/>
  <c r="AW142" i="387"/>
  <c r="AV142" i="387"/>
  <c r="AU142" i="387"/>
  <c r="AT142" i="387"/>
  <c r="AS142" i="387"/>
  <c r="AR142" i="387"/>
  <c r="AQ142" i="387"/>
  <c r="AP142" i="387"/>
  <c r="BN141" i="387"/>
  <c r="BM141" i="387"/>
  <c r="BL141" i="387"/>
  <c r="BK141" i="387"/>
  <c r="BJ141" i="387"/>
  <c r="BI141" i="387"/>
  <c r="BH141" i="387"/>
  <c r="BG141" i="387"/>
  <c r="BF141" i="387"/>
  <c r="BE141" i="387"/>
  <c r="BD141" i="387"/>
  <c r="BC141" i="387"/>
  <c r="BB141" i="387"/>
  <c r="BA141" i="387"/>
  <c r="AZ141" i="387"/>
  <c r="AW141" i="387"/>
  <c r="AV141" i="387"/>
  <c r="AU141" i="387"/>
  <c r="AT141" i="387"/>
  <c r="AS141" i="387"/>
  <c r="AR141" i="387"/>
  <c r="AQ141" i="387"/>
  <c r="AP141" i="387"/>
  <c r="BN140" i="387"/>
  <c r="BM140" i="387"/>
  <c r="BK140" i="387"/>
  <c r="BJ140" i="387"/>
  <c r="BI140" i="387"/>
  <c r="BH140" i="387"/>
  <c r="BG140" i="387"/>
  <c r="BF140" i="387"/>
  <c r="BE140" i="387"/>
  <c r="BD140" i="387"/>
  <c r="BC140" i="387"/>
  <c r="BB140" i="387"/>
  <c r="BA140" i="387"/>
  <c r="AZ140" i="387"/>
  <c r="AY140" i="387"/>
  <c r="BL140" i="387" s="1"/>
  <c r="AW140" i="387"/>
  <c r="AV140" i="387"/>
  <c r="AU140" i="387"/>
  <c r="AT140" i="387"/>
  <c r="AS140" i="387"/>
  <c r="AR140" i="387"/>
  <c r="AQ140" i="387"/>
  <c r="AP140" i="387"/>
  <c r="BN139" i="387"/>
  <c r="BM139" i="387"/>
  <c r="BJ139" i="387"/>
  <c r="BI139" i="387"/>
  <c r="BH139" i="387"/>
  <c r="BG139" i="387"/>
  <c r="BF139" i="387"/>
  <c r="BE139" i="387"/>
  <c r="BD139" i="387"/>
  <c r="BC139" i="387"/>
  <c r="BB139" i="387"/>
  <c r="BA139" i="387"/>
  <c r="AZ139" i="387"/>
  <c r="AY139" i="387"/>
  <c r="BL139" i="387" s="1"/>
  <c r="AX139" i="387"/>
  <c r="BK139" i="387" s="1"/>
  <c r="AW139" i="387"/>
  <c r="AV139" i="387"/>
  <c r="AU139" i="387"/>
  <c r="AT139" i="387"/>
  <c r="AS139" i="387"/>
  <c r="AR139" i="387"/>
  <c r="AQ139" i="387"/>
  <c r="AP139" i="387"/>
  <c r="BN138" i="387"/>
  <c r="BM138" i="387"/>
  <c r="BJ138" i="387"/>
  <c r="BI138" i="387"/>
  <c r="BH138" i="387"/>
  <c r="BG138" i="387"/>
  <c r="BF138" i="387"/>
  <c r="BE138" i="387"/>
  <c r="BD138" i="387"/>
  <c r="BC138" i="387"/>
  <c r="BB138" i="387"/>
  <c r="BA138" i="387"/>
  <c r="AZ138" i="387"/>
  <c r="AY138" i="387"/>
  <c r="BL138" i="387" s="1"/>
  <c r="AX138" i="387"/>
  <c r="BK138" i="387" s="1"/>
  <c r="AW138" i="387"/>
  <c r="AV138" i="387"/>
  <c r="AU138" i="387"/>
  <c r="AT138" i="387"/>
  <c r="AS138" i="387"/>
  <c r="AR138" i="387"/>
  <c r="AQ138" i="387"/>
  <c r="AP138" i="387"/>
  <c r="BN137" i="387"/>
  <c r="BK137" i="387"/>
  <c r="BJ137" i="387"/>
  <c r="BM137" i="387" s="1"/>
  <c r="BI137" i="387"/>
  <c r="BH137" i="387"/>
  <c r="BG137" i="387"/>
  <c r="BF137" i="387"/>
  <c r="BE137" i="387"/>
  <c r="BD137" i="387"/>
  <c r="BC137" i="387"/>
  <c r="BB137" i="387"/>
  <c r="BA137" i="387"/>
  <c r="AZ137" i="387"/>
  <c r="AY137" i="387"/>
  <c r="BL137" i="387" s="1"/>
  <c r="AW137" i="387"/>
  <c r="AV137" i="387"/>
  <c r="AU137" i="387"/>
  <c r="AT137" i="387"/>
  <c r="AS137" i="387"/>
  <c r="AR137" i="387"/>
  <c r="AQ137" i="387"/>
  <c r="AP137" i="387"/>
  <c r="BN136" i="387"/>
  <c r="BL136" i="387"/>
  <c r="BK136" i="387"/>
  <c r="BJ136" i="387"/>
  <c r="BM136" i="387" s="1"/>
  <c r="BI136" i="387"/>
  <c r="BH136" i="387"/>
  <c r="BG136" i="387"/>
  <c r="BF136" i="387"/>
  <c r="BE136" i="387"/>
  <c r="BD136" i="387"/>
  <c r="BC136" i="387"/>
  <c r="BB136" i="387"/>
  <c r="BA136" i="387"/>
  <c r="AZ136" i="387"/>
  <c r="AW136" i="387"/>
  <c r="AV136" i="387"/>
  <c r="AU136" i="387"/>
  <c r="AT136" i="387"/>
  <c r="AS136" i="387"/>
  <c r="AR136" i="387"/>
  <c r="AQ136" i="387"/>
  <c r="AP136" i="387"/>
  <c r="BN135" i="387"/>
  <c r="BM135" i="387"/>
  <c r="BK135" i="387"/>
  <c r="BJ135" i="387"/>
  <c r="BI135" i="387"/>
  <c r="BH135" i="387"/>
  <c r="BG135" i="387"/>
  <c r="BF135" i="387"/>
  <c r="BE135" i="387"/>
  <c r="BD135" i="387"/>
  <c r="BC135" i="387"/>
  <c r="BB135" i="387"/>
  <c r="BA135" i="387"/>
  <c r="AZ135" i="387"/>
  <c r="AY135" i="387"/>
  <c r="BL135" i="387" s="1"/>
  <c r="AW135" i="387"/>
  <c r="AV135" i="387"/>
  <c r="AU135" i="387"/>
  <c r="AT135" i="387"/>
  <c r="AS135" i="387"/>
  <c r="AR135" i="387"/>
  <c r="AQ135" i="387"/>
  <c r="AP135" i="387"/>
  <c r="BN134" i="387"/>
  <c r="BM134" i="387"/>
  <c r="BL134" i="387"/>
  <c r="BK134" i="387"/>
  <c r="BJ134" i="387"/>
  <c r="BI134" i="387"/>
  <c r="BH134" i="387"/>
  <c r="BG134" i="387"/>
  <c r="BF134" i="387"/>
  <c r="BE134" i="387"/>
  <c r="BD134" i="387"/>
  <c r="BC134" i="387"/>
  <c r="BB134" i="387"/>
  <c r="BA134" i="387"/>
  <c r="AZ134" i="387"/>
  <c r="AW134" i="387"/>
  <c r="AV134" i="387"/>
  <c r="AU134" i="387"/>
  <c r="AT134" i="387"/>
  <c r="AS134" i="387"/>
  <c r="AR134" i="387"/>
  <c r="AQ134" i="387"/>
  <c r="AP134" i="387"/>
  <c r="BN133" i="387"/>
  <c r="BM133" i="387"/>
  <c r="BJ133" i="387"/>
  <c r="BI133" i="387"/>
  <c r="BH133" i="387"/>
  <c r="BG133" i="387"/>
  <c r="BF133" i="387"/>
  <c r="BE133" i="387"/>
  <c r="BD133" i="387"/>
  <c r="BC133" i="387"/>
  <c r="BB133" i="387"/>
  <c r="BA133" i="387"/>
  <c r="AZ133" i="387"/>
  <c r="AY133" i="387"/>
  <c r="BL133" i="387" s="1"/>
  <c r="AX133" i="387"/>
  <c r="BK133" i="387" s="1"/>
  <c r="AW133" i="387"/>
  <c r="AV133" i="387"/>
  <c r="AU133" i="387"/>
  <c r="AT133" i="387"/>
  <c r="AS133" i="387"/>
  <c r="AR133" i="387"/>
  <c r="AQ133" i="387"/>
  <c r="AP133" i="387"/>
  <c r="BN132" i="387"/>
  <c r="BM132" i="387"/>
  <c r="BK132" i="387"/>
  <c r="BJ132" i="387"/>
  <c r="BI132" i="387"/>
  <c r="BH132" i="387"/>
  <c r="BG132" i="387"/>
  <c r="BF132" i="387"/>
  <c r="BE132" i="387"/>
  <c r="BD132" i="387"/>
  <c r="BC132" i="387"/>
  <c r="BB132" i="387"/>
  <c r="BA132" i="387"/>
  <c r="AZ132" i="387"/>
  <c r="AY132" i="387"/>
  <c r="BL132" i="387" s="1"/>
  <c r="AW132" i="387"/>
  <c r="AV132" i="387"/>
  <c r="AU132" i="387"/>
  <c r="AT132" i="387"/>
  <c r="AS132" i="387"/>
  <c r="AR132" i="387"/>
  <c r="AQ132" i="387"/>
  <c r="AP132" i="387"/>
  <c r="BN131" i="387"/>
  <c r="BM131" i="387"/>
  <c r="BL131" i="387"/>
  <c r="BK131" i="387"/>
  <c r="BJ131" i="387"/>
  <c r="BI131" i="387"/>
  <c r="BH131" i="387"/>
  <c r="BG131" i="387"/>
  <c r="BF131" i="387"/>
  <c r="BE131" i="387"/>
  <c r="BD131" i="387"/>
  <c r="BC131" i="387"/>
  <c r="BB131" i="387"/>
  <c r="BA131" i="387"/>
  <c r="AZ131" i="387"/>
  <c r="AW131" i="387"/>
  <c r="AV131" i="387"/>
  <c r="AU131" i="387"/>
  <c r="AT131" i="387"/>
  <c r="AS131" i="387"/>
  <c r="AR131" i="387"/>
  <c r="AQ131" i="387"/>
  <c r="AP131" i="387"/>
  <c r="BN130" i="387"/>
  <c r="BM130" i="387"/>
  <c r="BK130" i="387"/>
  <c r="BJ130" i="387"/>
  <c r="BI130" i="387"/>
  <c r="BH130" i="387"/>
  <c r="BG130" i="387"/>
  <c r="BF130" i="387"/>
  <c r="BE130" i="387"/>
  <c r="BD130" i="387"/>
  <c r="BC130" i="387"/>
  <c r="BB130" i="387"/>
  <c r="BA130" i="387"/>
  <c r="AZ130" i="387"/>
  <c r="AY130" i="387"/>
  <c r="BL130" i="387" s="1"/>
  <c r="AW130" i="387"/>
  <c r="AV130" i="387"/>
  <c r="AU130" i="387"/>
  <c r="AT130" i="387"/>
  <c r="AS130" i="387"/>
  <c r="AR130" i="387"/>
  <c r="AQ130" i="387"/>
  <c r="AP130" i="387"/>
  <c r="AO129" i="387"/>
  <c r="AN129" i="387"/>
  <c r="AM129" i="387"/>
  <c r="AL129" i="387"/>
  <c r="AK129" i="387"/>
  <c r="AJ129" i="387"/>
  <c r="AI129" i="387"/>
  <c r="AH129" i="387"/>
  <c r="AG129" i="387"/>
  <c r="AF129" i="387"/>
  <c r="AE129" i="387"/>
  <c r="AD129" i="387"/>
  <c r="AC129" i="387"/>
  <c r="AB129" i="387"/>
  <c r="AA129" i="387"/>
  <c r="Z129" i="387"/>
  <c r="Y129" i="387"/>
  <c r="X129" i="387"/>
  <c r="W129" i="387"/>
  <c r="V129" i="387"/>
  <c r="U129" i="387"/>
  <c r="T129" i="387"/>
  <c r="S129" i="387"/>
  <c r="R129" i="387"/>
  <c r="Q129" i="387"/>
  <c r="P129" i="387"/>
  <c r="O129" i="387"/>
  <c r="N129" i="387"/>
  <c r="M129" i="387"/>
  <c r="L129" i="387"/>
  <c r="BN128" i="387"/>
  <c r="BM128" i="387"/>
  <c r="BL128" i="387"/>
  <c r="BK128" i="387"/>
  <c r="BJ128" i="387"/>
  <c r="BI128" i="387"/>
  <c r="BH128" i="387"/>
  <c r="BG128" i="387"/>
  <c r="BF128" i="387"/>
  <c r="BE128" i="387"/>
  <c r="BD128" i="387"/>
  <c r="BC128" i="387"/>
  <c r="BB128" i="387"/>
  <c r="BA128" i="387"/>
  <c r="AZ128" i="387"/>
  <c r="AY128" i="387"/>
  <c r="AW128" i="387"/>
  <c r="AV128" i="387"/>
  <c r="AU128" i="387"/>
  <c r="AT128" i="387"/>
  <c r="AS128" i="387"/>
  <c r="AR128" i="387"/>
  <c r="AQ128" i="387"/>
  <c r="AP128" i="387"/>
  <c r="BN127" i="387"/>
  <c r="BM127" i="387"/>
  <c r="BL127" i="387"/>
  <c r="BK127" i="387"/>
  <c r="BJ127" i="387"/>
  <c r="BI127" i="387"/>
  <c r="BH127" i="387"/>
  <c r="BG127" i="387"/>
  <c r="BF127" i="387"/>
  <c r="BE127" i="387"/>
  <c r="BD127" i="387"/>
  <c r="BC127" i="387"/>
  <c r="BB127" i="387"/>
  <c r="BA127" i="387"/>
  <c r="AZ127" i="387"/>
  <c r="AY127" i="387"/>
  <c r="AW127" i="387"/>
  <c r="AV127" i="387"/>
  <c r="AU127" i="387"/>
  <c r="AT127" i="387"/>
  <c r="AS127" i="387"/>
  <c r="AR127" i="387"/>
  <c r="AQ127" i="387"/>
  <c r="AP127" i="387"/>
  <c r="BN126" i="387"/>
  <c r="BM126" i="387"/>
  <c r="BL126" i="387"/>
  <c r="BK126" i="387"/>
  <c r="BJ126" i="387"/>
  <c r="BI126" i="387"/>
  <c r="BH126" i="387"/>
  <c r="BG126" i="387"/>
  <c r="BF126" i="387"/>
  <c r="BE126" i="387"/>
  <c r="BD126" i="387"/>
  <c r="BC126" i="387"/>
  <c r="BB126" i="387"/>
  <c r="BA126" i="387"/>
  <c r="AZ126" i="387"/>
  <c r="AW126" i="387"/>
  <c r="AV126" i="387"/>
  <c r="AU126" i="387"/>
  <c r="AT126" i="387"/>
  <c r="AS126" i="387"/>
  <c r="AR126" i="387"/>
  <c r="AQ126" i="387"/>
  <c r="AP126" i="387"/>
  <c r="BN125" i="387"/>
  <c r="BL125" i="387"/>
  <c r="BK125" i="387"/>
  <c r="BJ125" i="387"/>
  <c r="BM125" i="387" s="1"/>
  <c r="BI125" i="387"/>
  <c r="BH125" i="387"/>
  <c r="BG125" i="387"/>
  <c r="BF125" i="387"/>
  <c r="BE125" i="387"/>
  <c r="BD125" i="387"/>
  <c r="BC125" i="387"/>
  <c r="BB125" i="387"/>
  <c r="BA125" i="387"/>
  <c r="AZ125" i="387"/>
  <c r="AW125" i="387"/>
  <c r="AV125" i="387"/>
  <c r="AU125" i="387"/>
  <c r="AT125" i="387"/>
  <c r="AS125" i="387"/>
  <c r="AR125" i="387"/>
  <c r="AQ125" i="387"/>
  <c r="AP125" i="387"/>
  <c r="AO124" i="387"/>
  <c r="AN124" i="387"/>
  <c r="AM124" i="387"/>
  <c r="AL124" i="387"/>
  <c r="AK124" i="387"/>
  <c r="AJ124" i="387"/>
  <c r="AI124" i="387"/>
  <c r="AH124" i="387"/>
  <c r="AG124" i="387"/>
  <c r="AF124" i="387"/>
  <c r="AE124" i="387"/>
  <c r="AD124" i="387"/>
  <c r="AC124" i="387"/>
  <c r="AB124" i="387"/>
  <c r="AA124" i="387"/>
  <c r="Z124" i="387"/>
  <c r="Y124" i="387"/>
  <c r="X124" i="387"/>
  <c r="W124" i="387"/>
  <c r="V124" i="387"/>
  <c r="U124" i="387"/>
  <c r="T124" i="387"/>
  <c r="S124" i="387"/>
  <c r="R124" i="387"/>
  <c r="Q124" i="387"/>
  <c r="P124" i="387"/>
  <c r="O124" i="387"/>
  <c r="N124" i="387"/>
  <c r="M124" i="387"/>
  <c r="L124" i="387"/>
  <c r="BN123" i="387"/>
  <c r="BL123" i="387"/>
  <c r="BK123" i="387"/>
  <c r="BJ123" i="387"/>
  <c r="BM123" i="387" s="1"/>
  <c r="BI123" i="387"/>
  <c r="BH123" i="387"/>
  <c r="BG123" i="387"/>
  <c r="BF123" i="387"/>
  <c r="BE123" i="387"/>
  <c r="BD123" i="387"/>
  <c r="BC123" i="387"/>
  <c r="BB123" i="387"/>
  <c r="BA123" i="387"/>
  <c r="AZ123" i="387"/>
  <c r="AW123" i="387"/>
  <c r="AV123" i="387"/>
  <c r="AU123" i="387"/>
  <c r="AT123" i="387"/>
  <c r="AS123" i="387"/>
  <c r="AR123" i="387"/>
  <c r="AQ123" i="387"/>
  <c r="AP123" i="387"/>
  <c r="BN122" i="387"/>
  <c r="BM122" i="387"/>
  <c r="BL122" i="387"/>
  <c r="BK122" i="387"/>
  <c r="BJ122" i="387"/>
  <c r="BI122" i="387"/>
  <c r="BH122" i="387"/>
  <c r="BG122" i="387"/>
  <c r="BF122" i="387"/>
  <c r="BE122" i="387"/>
  <c r="BD122" i="387"/>
  <c r="BC122" i="387"/>
  <c r="BB122" i="387"/>
  <c r="BA122" i="387"/>
  <c r="AZ122" i="387"/>
  <c r="AW122" i="387"/>
  <c r="AV122" i="387"/>
  <c r="AU122" i="387"/>
  <c r="AT122" i="387"/>
  <c r="AS122" i="387"/>
  <c r="AR122" i="387"/>
  <c r="AQ122" i="387"/>
  <c r="AP122" i="387"/>
  <c r="BN121" i="387"/>
  <c r="BM121" i="387"/>
  <c r="BL121" i="387"/>
  <c r="BK121" i="387"/>
  <c r="BJ121" i="387"/>
  <c r="BI121" i="387"/>
  <c r="BH121" i="387"/>
  <c r="BG121" i="387"/>
  <c r="BF121" i="387"/>
  <c r="BE121" i="387"/>
  <c r="BD121" i="387"/>
  <c r="BC121" i="387"/>
  <c r="BB121" i="387"/>
  <c r="BA121" i="387"/>
  <c r="AZ121" i="387"/>
  <c r="AW121" i="387"/>
  <c r="AV121" i="387"/>
  <c r="AU121" i="387"/>
  <c r="AT121" i="387"/>
  <c r="AS121" i="387"/>
  <c r="AR121" i="387"/>
  <c r="AQ121" i="387"/>
  <c r="AP121" i="387"/>
  <c r="BN120" i="387"/>
  <c r="BL120" i="387"/>
  <c r="BK120" i="387"/>
  <c r="BJ120" i="387"/>
  <c r="BM120" i="387" s="1"/>
  <c r="BI120" i="387"/>
  <c r="BH120" i="387"/>
  <c r="BG120" i="387"/>
  <c r="BF120" i="387"/>
  <c r="BE120" i="387"/>
  <c r="BD120" i="387"/>
  <c r="BC120" i="387"/>
  <c r="BB120" i="387"/>
  <c r="BA120" i="387"/>
  <c r="AZ120" i="387"/>
  <c r="AY120" i="387"/>
  <c r="AW120" i="387"/>
  <c r="AV120" i="387"/>
  <c r="AU120" i="387"/>
  <c r="AT120" i="387"/>
  <c r="AS120" i="387"/>
  <c r="AR120" i="387"/>
  <c r="AQ120" i="387"/>
  <c r="AP120" i="387"/>
  <c r="BN119" i="387"/>
  <c r="BL119" i="387"/>
  <c r="BK119" i="387"/>
  <c r="BJ119" i="387"/>
  <c r="BM119" i="387" s="1"/>
  <c r="BI119" i="387"/>
  <c r="BH119" i="387"/>
  <c r="BG119" i="387"/>
  <c r="BF119" i="387"/>
  <c r="BE119" i="387"/>
  <c r="BD119" i="387"/>
  <c r="BC119" i="387"/>
  <c r="BB119" i="387"/>
  <c r="BA119" i="387"/>
  <c r="AZ119" i="387"/>
  <c r="AW119" i="387"/>
  <c r="AV119" i="387"/>
  <c r="AU119" i="387"/>
  <c r="AT119" i="387"/>
  <c r="AS119" i="387"/>
  <c r="AR119" i="387"/>
  <c r="AQ119" i="387"/>
  <c r="AP119" i="387"/>
  <c r="BN118" i="387"/>
  <c r="BM118" i="387"/>
  <c r="BL118" i="387"/>
  <c r="BK118" i="387"/>
  <c r="BJ118" i="387"/>
  <c r="BI118" i="387"/>
  <c r="BH118" i="387"/>
  <c r="BG118" i="387"/>
  <c r="BF118" i="387"/>
  <c r="BE118" i="387"/>
  <c r="BD118" i="387"/>
  <c r="BC118" i="387"/>
  <c r="BB118" i="387"/>
  <c r="BA118" i="387"/>
  <c r="AZ118" i="387"/>
  <c r="AW118" i="387"/>
  <c r="AV118" i="387"/>
  <c r="AU118" i="387"/>
  <c r="AT118" i="387"/>
  <c r="AS118" i="387"/>
  <c r="AR118" i="387"/>
  <c r="AQ118" i="387"/>
  <c r="AP118" i="387"/>
  <c r="AO117" i="387"/>
  <c r="AN117" i="387"/>
  <c r="AM117" i="387"/>
  <c r="AL117" i="387"/>
  <c r="AK117" i="387"/>
  <c r="AJ117" i="387"/>
  <c r="AI117" i="387"/>
  <c r="AH117" i="387"/>
  <c r="AG117" i="387"/>
  <c r="AF117" i="387"/>
  <c r="AE117" i="387"/>
  <c r="AD117" i="387"/>
  <c r="AC117" i="387"/>
  <c r="AB117" i="387"/>
  <c r="AA117" i="387"/>
  <c r="Z117" i="387"/>
  <c r="Y117" i="387"/>
  <c r="X117" i="387"/>
  <c r="W117" i="387"/>
  <c r="V117" i="387"/>
  <c r="U117" i="387"/>
  <c r="T117" i="387"/>
  <c r="S117" i="387"/>
  <c r="R117" i="387"/>
  <c r="Q117" i="387"/>
  <c r="P117" i="387"/>
  <c r="O117" i="387"/>
  <c r="N117" i="387"/>
  <c r="M117" i="387"/>
  <c r="L117" i="387"/>
  <c r="AO116" i="387"/>
  <c r="AN116" i="387"/>
  <c r="AM116" i="387"/>
  <c r="AL116" i="387"/>
  <c r="AK116" i="387"/>
  <c r="AJ116" i="387"/>
  <c r="AI116" i="387"/>
  <c r="AH116" i="387"/>
  <c r="AG116" i="387"/>
  <c r="AF116" i="387"/>
  <c r="AE116" i="387"/>
  <c r="AD116" i="387"/>
  <c r="AC116" i="387"/>
  <c r="AB116" i="387"/>
  <c r="AA116" i="387"/>
  <c r="Z116" i="387"/>
  <c r="Y116" i="387"/>
  <c r="X116" i="387"/>
  <c r="W116" i="387"/>
  <c r="V116" i="387"/>
  <c r="U116" i="387"/>
  <c r="T116" i="387"/>
  <c r="S116" i="387"/>
  <c r="R116" i="387"/>
  <c r="Q116" i="387"/>
  <c r="P116" i="387"/>
  <c r="O116" i="387"/>
  <c r="N116" i="387"/>
  <c r="M116" i="387"/>
  <c r="L116" i="387"/>
  <c r="BN115" i="387"/>
  <c r="BM115" i="387"/>
  <c r="BK115" i="387"/>
  <c r="BJ115" i="387"/>
  <c r="BI115" i="387"/>
  <c r="BH115" i="387"/>
  <c r="BG115" i="387"/>
  <c r="BF115" i="387"/>
  <c r="BE115" i="387"/>
  <c r="BD115" i="387"/>
  <c r="BC115" i="387"/>
  <c r="BB115" i="387"/>
  <c r="BA115" i="387"/>
  <c r="AZ115" i="387"/>
  <c r="AY115" i="387"/>
  <c r="BL115" i="387" s="1"/>
  <c r="AW115" i="387"/>
  <c r="AV115" i="387"/>
  <c r="AU115" i="387"/>
  <c r="AT115" i="387"/>
  <c r="AS115" i="387"/>
  <c r="AR115" i="387"/>
  <c r="AQ115" i="387"/>
  <c r="AP115" i="387"/>
  <c r="BN114" i="387"/>
  <c r="BM114" i="387"/>
  <c r="BJ114" i="387"/>
  <c r="BI114" i="387"/>
  <c r="BH114" i="387"/>
  <c r="BG114" i="387"/>
  <c r="BF114" i="387"/>
  <c r="BE114" i="387"/>
  <c r="BD114" i="387"/>
  <c r="BC114" i="387"/>
  <c r="BB114" i="387"/>
  <c r="BA114" i="387"/>
  <c r="AZ114" i="387"/>
  <c r="AY114" i="387"/>
  <c r="BL114" i="387" s="1"/>
  <c r="AX114" i="387"/>
  <c r="BK114" i="387" s="1"/>
  <c r="AW114" i="387"/>
  <c r="AV114" i="387"/>
  <c r="AU114" i="387"/>
  <c r="AT114" i="387"/>
  <c r="AS114" i="387"/>
  <c r="AR114" i="387"/>
  <c r="AQ114" i="387"/>
  <c r="AP114" i="387"/>
  <c r="AO113" i="387"/>
  <c r="AN113" i="387"/>
  <c r="AM113" i="387"/>
  <c r="AL113" i="387"/>
  <c r="AK113" i="387"/>
  <c r="AJ113" i="387"/>
  <c r="AI113" i="387"/>
  <c r="AH113" i="387"/>
  <c r="AG113" i="387"/>
  <c r="AF113" i="387"/>
  <c r="AE113" i="387"/>
  <c r="AD113" i="387"/>
  <c r="AC113" i="387"/>
  <c r="AB113" i="387"/>
  <c r="AA113" i="387"/>
  <c r="Z113" i="387"/>
  <c r="Y113" i="387"/>
  <c r="X113" i="387"/>
  <c r="W113" i="387"/>
  <c r="V113" i="387"/>
  <c r="U113" i="387"/>
  <c r="T113" i="387"/>
  <c r="S113" i="387"/>
  <c r="R113" i="387"/>
  <c r="Q113" i="387"/>
  <c r="P113" i="387"/>
  <c r="O113" i="387"/>
  <c r="N113" i="387"/>
  <c r="M113" i="387"/>
  <c r="L113" i="387"/>
  <c r="BN112" i="387"/>
  <c r="BM112" i="387"/>
  <c r="BL112" i="387"/>
  <c r="BK112" i="387"/>
  <c r="BJ112" i="387"/>
  <c r="BI112" i="387"/>
  <c r="BH112" i="387"/>
  <c r="BG112" i="387"/>
  <c r="BF112" i="387"/>
  <c r="BE112" i="387"/>
  <c r="BD112" i="387"/>
  <c r="BC112" i="387"/>
  <c r="BB112" i="387"/>
  <c r="BA112" i="387"/>
  <c r="AZ112" i="387"/>
  <c r="AW112" i="387"/>
  <c r="AV112" i="387"/>
  <c r="AU112" i="387"/>
  <c r="AT112" i="387"/>
  <c r="AS112" i="387"/>
  <c r="AR112" i="387"/>
  <c r="AQ112" i="387"/>
  <c r="AP112" i="387"/>
  <c r="BN111" i="387"/>
  <c r="BL111" i="387"/>
  <c r="BK111" i="387"/>
  <c r="BJ111" i="387"/>
  <c r="BM111" i="387" s="1"/>
  <c r="BI111" i="387"/>
  <c r="BH111" i="387"/>
  <c r="BG111" i="387"/>
  <c r="BF111" i="387"/>
  <c r="BE111" i="387"/>
  <c r="BD111" i="387"/>
  <c r="BC111" i="387"/>
  <c r="BB111" i="387"/>
  <c r="BA111" i="387"/>
  <c r="AZ111" i="387"/>
  <c r="AY111" i="387"/>
  <c r="AW111" i="387"/>
  <c r="AV111" i="387"/>
  <c r="AU111" i="387"/>
  <c r="AT111" i="387"/>
  <c r="AS111" i="387"/>
  <c r="AR111" i="387"/>
  <c r="AQ111" i="387"/>
  <c r="AP111" i="387"/>
  <c r="BN110" i="387"/>
  <c r="BL110" i="387"/>
  <c r="BK110" i="387"/>
  <c r="BJ110" i="387"/>
  <c r="BM110" i="387" s="1"/>
  <c r="BI110" i="387"/>
  <c r="BH110" i="387"/>
  <c r="BG110" i="387"/>
  <c r="BF110" i="387"/>
  <c r="BE110" i="387"/>
  <c r="BD110" i="387"/>
  <c r="BC110" i="387"/>
  <c r="BB110" i="387"/>
  <c r="BA110" i="387"/>
  <c r="AZ110" i="387"/>
  <c r="AY110" i="387"/>
  <c r="AW110" i="387"/>
  <c r="AV110" i="387"/>
  <c r="AU110" i="387"/>
  <c r="AT110" i="387"/>
  <c r="AS110" i="387"/>
  <c r="AR110" i="387"/>
  <c r="AQ110" i="387"/>
  <c r="AP110" i="387"/>
  <c r="BN109" i="387"/>
  <c r="BL109" i="387"/>
  <c r="BK109" i="387"/>
  <c r="BJ109" i="387"/>
  <c r="BM109" i="387" s="1"/>
  <c r="BI109" i="387"/>
  <c r="BH109" i="387"/>
  <c r="BG109" i="387"/>
  <c r="BF109" i="387"/>
  <c r="BE109" i="387"/>
  <c r="BD109" i="387"/>
  <c r="BC109" i="387"/>
  <c r="BB109" i="387"/>
  <c r="BA109" i="387"/>
  <c r="AZ109" i="387"/>
  <c r="AY109" i="387"/>
  <c r="AW109" i="387"/>
  <c r="AV109" i="387"/>
  <c r="AU109" i="387"/>
  <c r="AT109" i="387"/>
  <c r="AS109" i="387"/>
  <c r="AR109" i="387"/>
  <c r="AQ109" i="387"/>
  <c r="AP109" i="387"/>
  <c r="AO108" i="387"/>
  <c r="AN108" i="387"/>
  <c r="AM108" i="387"/>
  <c r="AL108" i="387"/>
  <c r="AK108" i="387"/>
  <c r="AJ108" i="387"/>
  <c r="AI108" i="387"/>
  <c r="AH108" i="387"/>
  <c r="AG108" i="387"/>
  <c r="AF108" i="387"/>
  <c r="AE108" i="387"/>
  <c r="AD108" i="387"/>
  <c r="AC108" i="387"/>
  <c r="AB108" i="387"/>
  <c r="AA108" i="387"/>
  <c r="Z108" i="387"/>
  <c r="Y108" i="387"/>
  <c r="X108" i="387"/>
  <c r="W108" i="387"/>
  <c r="V108" i="387"/>
  <c r="U108" i="387"/>
  <c r="T108" i="387"/>
  <c r="S108" i="387"/>
  <c r="R108" i="387"/>
  <c r="Q108" i="387"/>
  <c r="P108" i="387"/>
  <c r="O108" i="387"/>
  <c r="N108" i="387"/>
  <c r="M108" i="387"/>
  <c r="L108" i="387"/>
  <c r="BN107" i="387"/>
  <c r="BK107" i="387"/>
  <c r="BJ107" i="387"/>
  <c r="BM107" i="387" s="1"/>
  <c r="BI107" i="387"/>
  <c r="BH107" i="387"/>
  <c r="BG107" i="387"/>
  <c r="BF107" i="387"/>
  <c r="BE107" i="387"/>
  <c r="BD107" i="387"/>
  <c r="BC107" i="387"/>
  <c r="BB107" i="387"/>
  <c r="BA107" i="387"/>
  <c r="AZ107" i="387"/>
  <c r="AY107" i="387"/>
  <c r="BL107" i="387" s="1"/>
  <c r="AW107" i="387"/>
  <c r="AV107" i="387"/>
  <c r="AU107" i="387"/>
  <c r="AT107" i="387"/>
  <c r="AS107" i="387"/>
  <c r="AR107" i="387"/>
  <c r="AQ107" i="387"/>
  <c r="AP107" i="387"/>
  <c r="BN106" i="387"/>
  <c r="BK106" i="387"/>
  <c r="BJ106" i="387"/>
  <c r="BM106" i="387" s="1"/>
  <c r="BI106" i="387"/>
  <c r="BH106" i="387"/>
  <c r="BG106" i="387"/>
  <c r="BF106" i="387"/>
  <c r="BE106" i="387"/>
  <c r="BD106" i="387"/>
  <c r="BC106" i="387"/>
  <c r="BB106" i="387"/>
  <c r="BA106" i="387"/>
  <c r="AZ106" i="387"/>
  <c r="AY106" i="387"/>
  <c r="BL106" i="387" s="1"/>
  <c r="AW106" i="387"/>
  <c r="AV106" i="387"/>
  <c r="AU106" i="387"/>
  <c r="AT106" i="387"/>
  <c r="AS106" i="387"/>
  <c r="AR106" i="387"/>
  <c r="AQ106" i="387"/>
  <c r="AP106" i="387"/>
  <c r="AO105" i="387"/>
  <c r="AN105" i="387"/>
  <c r="AM105" i="387"/>
  <c r="AL105" i="387"/>
  <c r="AK105" i="387"/>
  <c r="AJ105" i="387"/>
  <c r="AI105" i="387"/>
  <c r="AH105" i="387"/>
  <c r="AG105" i="387"/>
  <c r="AF105" i="387"/>
  <c r="AE105" i="387"/>
  <c r="AD105" i="387"/>
  <c r="AC105" i="387"/>
  <c r="AB105" i="387"/>
  <c r="AA105" i="387"/>
  <c r="Z105" i="387"/>
  <c r="Y105" i="387"/>
  <c r="X105" i="387"/>
  <c r="W105" i="387"/>
  <c r="V105" i="387"/>
  <c r="U105" i="387"/>
  <c r="T105" i="387"/>
  <c r="S105" i="387"/>
  <c r="R105" i="387"/>
  <c r="Q105" i="387"/>
  <c r="P105" i="387"/>
  <c r="O105" i="387"/>
  <c r="N105" i="387"/>
  <c r="M105" i="387"/>
  <c r="L105" i="387"/>
  <c r="BN104" i="387"/>
  <c r="BM104" i="387"/>
  <c r="BK104" i="387"/>
  <c r="BJ104" i="387"/>
  <c r="BI104" i="387"/>
  <c r="BH104" i="387"/>
  <c r="BG104" i="387"/>
  <c r="BF104" i="387"/>
  <c r="BE104" i="387"/>
  <c r="BD104" i="387"/>
  <c r="BC104" i="387"/>
  <c r="BB104" i="387"/>
  <c r="BA104" i="387"/>
  <c r="AZ104" i="387"/>
  <c r="AY104" i="387"/>
  <c r="BL104" i="387" s="1"/>
  <c r="AW104" i="387"/>
  <c r="AV104" i="387"/>
  <c r="AU104" i="387"/>
  <c r="AT104" i="387"/>
  <c r="AS104" i="387"/>
  <c r="AR104" i="387"/>
  <c r="AQ104" i="387"/>
  <c r="AP104" i="387"/>
  <c r="BN103" i="387"/>
  <c r="BM103" i="387"/>
  <c r="BJ103" i="387"/>
  <c r="BI103" i="387"/>
  <c r="BH103" i="387"/>
  <c r="BG103" i="387"/>
  <c r="BF103" i="387"/>
  <c r="BE103" i="387"/>
  <c r="BD103" i="387"/>
  <c r="BC103" i="387"/>
  <c r="BB103" i="387"/>
  <c r="BA103" i="387"/>
  <c r="AZ103" i="387"/>
  <c r="AY103" i="387"/>
  <c r="BL103" i="387" s="1"/>
  <c r="AX103" i="387"/>
  <c r="BK103" i="387" s="1"/>
  <c r="AW103" i="387"/>
  <c r="AV103" i="387"/>
  <c r="AU103" i="387"/>
  <c r="AT103" i="387"/>
  <c r="AS103" i="387"/>
  <c r="AR103" i="387"/>
  <c r="AQ103" i="387"/>
  <c r="AP103" i="387"/>
  <c r="AO102" i="387"/>
  <c r="AN102" i="387"/>
  <c r="AM102" i="387"/>
  <c r="AL102" i="387"/>
  <c r="AK102" i="387"/>
  <c r="AJ102" i="387"/>
  <c r="AI102" i="387"/>
  <c r="AH102" i="387"/>
  <c r="AG102" i="387"/>
  <c r="AF102" i="387"/>
  <c r="AE102" i="387"/>
  <c r="AD102" i="387"/>
  <c r="AC102" i="387"/>
  <c r="AB102" i="387"/>
  <c r="AA102" i="387"/>
  <c r="Z102" i="387"/>
  <c r="Y102" i="387"/>
  <c r="X102" i="387"/>
  <c r="W102" i="387"/>
  <c r="V102" i="387"/>
  <c r="U102" i="387"/>
  <c r="T102" i="387"/>
  <c r="S102" i="387"/>
  <c r="R102" i="387"/>
  <c r="Q102" i="387"/>
  <c r="P102" i="387"/>
  <c r="O102" i="387"/>
  <c r="N102" i="387"/>
  <c r="M102" i="387"/>
  <c r="L102" i="387"/>
  <c r="BN101" i="387"/>
  <c r="BM101" i="387"/>
  <c r="BK101" i="387"/>
  <c r="BJ101" i="387"/>
  <c r="BI101" i="387"/>
  <c r="BH101" i="387"/>
  <c r="BG101" i="387"/>
  <c r="BF101" i="387"/>
  <c r="BE101" i="387"/>
  <c r="BD101" i="387"/>
  <c r="BC101" i="387"/>
  <c r="BB101" i="387"/>
  <c r="BA101" i="387"/>
  <c r="AZ101" i="387"/>
  <c r="AY101" i="387"/>
  <c r="BL101" i="387" s="1"/>
  <c r="AW101" i="387"/>
  <c r="AV101" i="387"/>
  <c r="AU101" i="387"/>
  <c r="AT101" i="387"/>
  <c r="AS101" i="387"/>
  <c r="AR101" i="387"/>
  <c r="AQ101" i="387"/>
  <c r="AP101" i="387"/>
  <c r="AO100" i="387"/>
  <c r="AN100" i="387"/>
  <c r="AM100" i="387"/>
  <c r="AL100" i="387"/>
  <c r="AK100" i="387"/>
  <c r="AJ100" i="387"/>
  <c r="AI100" i="387"/>
  <c r="AH100" i="387"/>
  <c r="AG100" i="387"/>
  <c r="AF100" i="387"/>
  <c r="AE100" i="387"/>
  <c r="AD100" i="387"/>
  <c r="AC100" i="387"/>
  <c r="AB100" i="387"/>
  <c r="AA100" i="387"/>
  <c r="Z100" i="387"/>
  <c r="Y100" i="387"/>
  <c r="X100" i="387"/>
  <c r="W100" i="387"/>
  <c r="V100" i="387"/>
  <c r="U100" i="387"/>
  <c r="T100" i="387"/>
  <c r="S100" i="387"/>
  <c r="R100" i="387"/>
  <c r="Q100" i="387"/>
  <c r="P100" i="387"/>
  <c r="O100" i="387"/>
  <c r="N100" i="387"/>
  <c r="M100" i="387"/>
  <c r="L100" i="387"/>
  <c r="BN99" i="387"/>
  <c r="BM99" i="387"/>
  <c r="BL99" i="387"/>
  <c r="BK99" i="387"/>
  <c r="BJ99" i="387"/>
  <c r="BI99" i="387"/>
  <c r="BH99" i="387"/>
  <c r="BG99" i="387"/>
  <c r="BF99" i="387"/>
  <c r="BE99" i="387"/>
  <c r="BD99" i="387"/>
  <c r="BC99" i="387"/>
  <c r="BB99" i="387"/>
  <c r="BA99" i="387"/>
  <c r="AZ99" i="387"/>
  <c r="AW99" i="387"/>
  <c r="AV99" i="387"/>
  <c r="AU99" i="387"/>
  <c r="AT99" i="387"/>
  <c r="AS99" i="387"/>
  <c r="AR99" i="387"/>
  <c r="AQ99" i="387"/>
  <c r="AP99" i="387"/>
  <c r="BN98" i="387"/>
  <c r="BL98" i="387"/>
  <c r="BK98" i="387"/>
  <c r="BJ98" i="387"/>
  <c r="BM98" i="387" s="1"/>
  <c r="BI98" i="387"/>
  <c r="BH98" i="387"/>
  <c r="BG98" i="387"/>
  <c r="BF98" i="387"/>
  <c r="BE98" i="387"/>
  <c r="BD98" i="387"/>
  <c r="BC98" i="387"/>
  <c r="BB98" i="387"/>
  <c r="BA98" i="387"/>
  <c r="AZ98" i="387"/>
  <c r="AW98" i="387"/>
  <c r="AV98" i="387"/>
  <c r="AU98" i="387"/>
  <c r="AT98" i="387"/>
  <c r="AS98" i="387"/>
  <c r="AR98" i="387"/>
  <c r="AQ98" i="387"/>
  <c r="AP98" i="387"/>
  <c r="BN97" i="387"/>
  <c r="BL97" i="387"/>
  <c r="BK97" i="387"/>
  <c r="BJ97" i="387"/>
  <c r="BM97" i="387" s="1"/>
  <c r="BI97" i="387"/>
  <c r="BH97" i="387"/>
  <c r="BG97" i="387"/>
  <c r="BF97" i="387"/>
  <c r="BE97" i="387"/>
  <c r="BD97" i="387"/>
  <c r="BC97" i="387"/>
  <c r="BB97" i="387"/>
  <c r="BA97" i="387"/>
  <c r="AZ97" i="387"/>
  <c r="AW97" i="387"/>
  <c r="AV97" i="387"/>
  <c r="AU97" i="387"/>
  <c r="AT97" i="387"/>
  <c r="AS97" i="387"/>
  <c r="AR97" i="387"/>
  <c r="AQ97" i="387"/>
  <c r="AP97" i="387"/>
  <c r="BN96" i="387"/>
  <c r="BK96" i="387"/>
  <c r="BJ96" i="387"/>
  <c r="BM96" i="387" s="1"/>
  <c r="BI96" i="387"/>
  <c r="BH96" i="387"/>
  <c r="BG96" i="387"/>
  <c r="BF96" i="387"/>
  <c r="BE96" i="387"/>
  <c r="BD96" i="387"/>
  <c r="BC96" i="387"/>
  <c r="BB96" i="387"/>
  <c r="BA96" i="387"/>
  <c r="AZ96" i="387"/>
  <c r="AY96" i="387"/>
  <c r="BL96" i="387" s="1"/>
  <c r="AX96" i="387"/>
  <c r="AW96" i="387"/>
  <c r="AV96" i="387"/>
  <c r="AU96" i="387"/>
  <c r="AT96" i="387"/>
  <c r="AS96" i="387"/>
  <c r="AR96" i="387"/>
  <c r="AQ96" i="387"/>
  <c r="AP96" i="387"/>
  <c r="BN95" i="387"/>
  <c r="BL95" i="387"/>
  <c r="BK95" i="387"/>
  <c r="BJ95" i="387"/>
  <c r="BM95" i="387" s="1"/>
  <c r="BI95" i="387"/>
  <c r="BH95" i="387"/>
  <c r="BG95" i="387"/>
  <c r="BF95" i="387"/>
  <c r="BE95" i="387"/>
  <c r="BD95" i="387"/>
  <c r="BC95" i="387"/>
  <c r="BB95" i="387"/>
  <c r="BA95" i="387"/>
  <c r="AZ95" i="387"/>
  <c r="AY95" i="387"/>
  <c r="AW95" i="387"/>
  <c r="AV95" i="387"/>
  <c r="AU95" i="387"/>
  <c r="AT95" i="387"/>
  <c r="AS95" i="387"/>
  <c r="AR95" i="387"/>
  <c r="AQ95" i="387"/>
  <c r="AP95" i="387"/>
  <c r="BN94" i="387"/>
  <c r="BL94" i="387"/>
  <c r="BK94" i="387"/>
  <c r="BJ94" i="387"/>
  <c r="BM94" i="387" s="1"/>
  <c r="BI94" i="387"/>
  <c r="BH94" i="387"/>
  <c r="BG94" i="387"/>
  <c r="BF94" i="387"/>
  <c r="BE94" i="387"/>
  <c r="BD94" i="387"/>
  <c r="BC94" i="387"/>
  <c r="BB94" i="387"/>
  <c r="BA94" i="387"/>
  <c r="AZ94" i="387"/>
  <c r="AW94" i="387"/>
  <c r="AV94" i="387"/>
  <c r="AU94" i="387"/>
  <c r="AT94" i="387"/>
  <c r="AS94" i="387"/>
  <c r="AR94" i="387"/>
  <c r="AQ94" i="387"/>
  <c r="AP94" i="387"/>
  <c r="BN93" i="387"/>
  <c r="BL93" i="387"/>
  <c r="BK93" i="387"/>
  <c r="BJ93" i="387"/>
  <c r="BM93" i="387" s="1"/>
  <c r="BI93" i="387"/>
  <c r="BH93" i="387"/>
  <c r="BG93" i="387"/>
  <c r="BF93" i="387"/>
  <c r="BE93" i="387"/>
  <c r="BD93" i="387"/>
  <c r="BC93" i="387"/>
  <c r="BB93" i="387"/>
  <c r="BA93" i="387"/>
  <c r="AZ93" i="387"/>
  <c r="AW93" i="387"/>
  <c r="AV93" i="387"/>
  <c r="AU93" i="387"/>
  <c r="AT93" i="387"/>
  <c r="AS93" i="387"/>
  <c r="AR93" i="387"/>
  <c r="AQ93" i="387"/>
  <c r="AP93" i="387"/>
  <c r="AO92" i="387"/>
  <c r="AN92" i="387"/>
  <c r="AM92" i="387"/>
  <c r="AL92" i="387"/>
  <c r="AK92" i="387"/>
  <c r="AJ92" i="387"/>
  <c r="AI92" i="387"/>
  <c r="AH92" i="387"/>
  <c r="AG92" i="387"/>
  <c r="AF92" i="387"/>
  <c r="AE92" i="387"/>
  <c r="AD92" i="387"/>
  <c r="AC92" i="387"/>
  <c r="AB92" i="387"/>
  <c r="AA92" i="387"/>
  <c r="Z92" i="387"/>
  <c r="Y92" i="387"/>
  <c r="X92" i="387"/>
  <c r="W92" i="387"/>
  <c r="V92" i="387"/>
  <c r="U92" i="387"/>
  <c r="T92" i="387"/>
  <c r="S92" i="387"/>
  <c r="R92" i="387"/>
  <c r="Q92" i="387"/>
  <c r="P92" i="387"/>
  <c r="O92" i="387"/>
  <c r="N92" i="387"/>
  <c r="M92" i="387"/>
  <c r="L92" i="387"/>
  <c r="BN91" i="387"/>
  <c r="BM91" i="387"/>
  <c r="BL91" i="387"/>
  <c r="BK91" i="387"/>
  <c r="BJ91" i="387"/>
  <c r="BI91" i="387"/>
  <c r="BH91" i="387"/>
  <c r="BG91" i="387"/>
  <c r="BF91" i="387"/>
  <c r="BE91" i="387"/>
  <c r="BD91" i="387"/>
  <c r="BC91" i="387"/>
  <c r="BB91" i="387"/>
  <c r="BA91" i="387"/>
  <c r="AZ91" i="387"/>
  <c r="AW91" i="387"/>
  <c r="AV91" i="387"/>
  <c r="AU91" i="387"/>
  <c r="AT91" i="387"/>
  <c r="AS91" i="387"/>
  <c r="AR91" i="387"/>
  <c r="AQ91" i="387"/>
  <c r="AP91" i="387"/>
  <c r="BN90" i="387"/>
  <c r="BM90" i="387"/>
  <c r="BK90" i="387"/>
  <c r="BJ90" i="387"/>
  <c r="BI90" i="387"/>
  <c r="BH90" i="387"/>
  <c r="BG90" i="387"/>
  <c r="BF90" i="387"/>
  <c r="BE90" i="387"/>
  <c r="BD90" i="387"/>
  <c r="BC90" i="387"/>
  <c r="BB90" i="387"/>
  <c r="BA90" i="387"/>
  <c r="AZ90" i="387"/>
  <c r="AY90" i="387"/>
  <c r="BL90" i="387" s="1"/>
  <c r="AW90" i="387"/>
  <c r="AV90" i="387"/>
  <c r="AU90" i="387"/>
  <c r="AT90" i="387"/>
  <c r="AS90" i="387"/>
  <c r="AR90" i="387"/>
  <c r="AQ90" i="387"/>
  <c r="AP90" i="387"/>
  <c r="BN89" i="387"/>
  <c r="BM89" i="387"/>
  <c r="BL89" i="387"/>
  <c r="BK89" i="387"/>
  <c r="BJ89" i="387"/>
  <c r="BI89" i="387"/>
  <c r="BH89" i="387"/>
  <c r="BG89" i="387"/>
  <c r="BF89" i="387"/>
  <c r="BE89" i="387"/>
  <c r="BD89" i="387"/>
  <c r="BC89" i="387"/>
  <c r="BB89" i="387"/>
  <c r="BA89" i="387"/>
  <c r="AZ89" i="387"/>
  <c r="AW89" i="387"/>
  <c r="AV89" i="387"/>
  <c r="AU89" i="387"/>
  <c r="AT89" i="387"/>
  <c r="AS89" i="387"/>
  <c r="AR89" i="387"/>
  <c r="AQ89" i="387"/>
  <c r="AP89" i="387"/>
  <c r="BN88" i="387"/>
  <c r="BM88" i="387"/>
  <c r="BL88" i="387"/>
  <c r="BK88" i="387"/>
  <c r="BJ88" i="387"/>
  <c r="BI88" i="387"/>
  <c r="BH88" i="387"/>
  <c r="BG88" i="387"/>
  <c r="BF88" i="387"/>
  <c r="BE88" i="387"/>
  <c r="BD88" i="387"/>
  <c r="BC88" i="387"/>
  <c r="BB88" i="387"/>
  <c r="BA88" i="387"/>
  <c r="AZ88" i="387"/>
  <c r="AW88" i="387"/>
  <c r="AV88" i="387"/>
  <c r="AU88" i="387"/>
  <c r="AT88" i="387"/>
  <c r="AS88" i="387"/>
  <c r="AR88" i="387"/>
  <c r="AQ88" i="387"/>
  <c r="AP88" i="387"/>
  <c r="BN87" i="387"/>
  <c r="BM87" i="387"/>
  <c r="BL87" i="387"/>
  <c r="BK87" i="387"/>
  <c r="BJ87" i="387"/>
  <c r="BI87" i="387"/>
  <c r="BH87" i="387"/>
  <c r="BG87" i="387"/>
  <c r="BF87" i="387"/>
  <c r="BE87" i="387"/>
  <c r="BD87" i="387"/>
  <c r="BC87" i="387"/>
  <c r="BB87" i="387"/>
  <c r="BA87" i="387"/>
  <c r="AZ87" i="387"/>
  <c r="AY87" i="387"/>
  <c r="AW87" i="387"/>
  <c r="AV87" i="387"/>
  <c r="AU87" i="387"/>
  <c r="AT87" i="387"/>
  <c r="AS87" i="387"/>
  <c r="AR87" i="387"/>
  <c r="AQ87" i="387"/>
  <c r="AP87" i="387"/>
  <c r="BN86" i="387"/>
  <c r="BM86" i="387"/>
  <c r="BL86" i="387"/>
  <c r="BK86" i="387"/>
  <c r="BJ86" i="387"/>
  <c r="BI86" i="387"/>
  <c r="BH86" i="387"/>
  <c r="BG86" i="387"/>
  <c r="BF86" i="387"/>
  <c r="BE86" i="387"/>
  <c r="BD86" i="387"/>
  <c r="BC86" i="387"/>
  <c r="BB86" i="387"/>
  <c r="BA86" i="387"/>
  <c r="AZ86" i="387"/>
  <c r="AY86" i="387"/>
  <c r="AW86" i="387"/>
  <c r="AV86" i="387"/>
  <c r="AU86" i="387"/>
  <c r="AT86" i="387"/>
  <c r="AS86" i="387"/>
  <c r="AR86" i="387"/>
  <c r="AQ86" i="387"/>
  <c r="AP86" i="387"/>
  <c r="AO85" i="387"/>
  <c r="AN85" i="387"/>
  <c r="AM85" i="387"/>
  <c r="AL85" i="387"/>
  <c r="AK85" i="387"/>
  <c r="AJ85" i="387"/>
  <c r="AI85" i="387"/>
  <c r="AH85" i="387"/>
  <c r="AG85" i="387"/>
  <c r="AF85" i="387"/>
  <c r="AE85" i="387"/>
  <c r="AD85" i="387"/>
  <c r="AC85" i="387"/>
  <c r="AB85" i="387"/>
  <c r="AA85" i="387"/>
  <c r="Z85" i="387"/>
  <c r="Y85" i="387"/>
  <c r="X85" i="387"/>
  <c r="W85" i="387"/>
  <c r="V85" i="387"/>
  <c r="U85" i="387"/>
  <c r="T85" i="387"/>
  <c r="S85" i="387"/>
  <c r="R85" i="387"/>
  <c r="Q85" i="387"/>
  <c r="P85" i="387"/>
  <c r="O85" i="387"/>
  <c r="N85" i="387"/>
  <c r="M85" i="387"/>
  <c r="L85" i="387"/>
  <c r="BN84" i="387"/>
  <c r="BL84" i="387"/>
  <c r="BK84" i="387"/>
  <c r="BJ84" i="387"/>
  <c r="BM84" i="387" s="1"/>
  <c r="BI84" i="387"/>
  <c r="BH84" i="387"/>
  <c r="BG84" i="387"/>
  <c r="BF84" i="387"/>
  <c r="BE84" i="387"/>
  <c r="BD84" i="387"/>
  <c r="BC84" i="387"/>
  <c r="BB84" i="387"/>
  <c r="BA84" i="387"/>
  <c r="AZ84" i="387"/>
  <c r="AW84" i="387"/>
  <c r="AV84" i="387"/>
  <c r="AU84" i="387"/>
  <c r="AT84" i="387"/>
  <c r="AS84" i="387"/>
  <c r="AR84" i="387"/>
  <c r="AQ84" i="387"/>
  <c r="AP84" i="387"/>
  <c r="BN83" i="387"/>
  <c r="BL83" i="387"/>
  <c r="BK83" i="387"/>
  <c r="BJ83" i="387"/>
  <c r="BM83" i="387" s="1"/>
  <c r="BI83" i="387"/>
  <c r="BH83" i="387"/>
  <c r="BG83" i="387"/>
  <c r="BF83" i="387"/>
  <c r="BE83" i="387"/>
  <c r="BD83" i="387"/>
  <c r="BC83" i="387"/>
  <c r="BB83" i="387"/>
  <c r="BA83" i="387"/>
  <c r="AZ83" i="387"/>
  <c r="AW83" i="387"/>
  <c r="AV83" i="387"/>
  <c r="AU83" i="387"/>
  <c r="AT83" i="387"/>
  <c r="AS83" i="387"/>
  <c r="AR83" i="387"/>
  <c r="AQ83" i="387"/>
  <c r="AP83" i="387"/>
  <c r="BN82" i="387"/>
  <c r="BM82" i="387"/>
  <c r="BL82" i="387"/>
  <c r="BK82" i="387"/>
  <c r="BJ82" i="387"/>
  <c r="BI82" i="387"/>
  <c r="BH82" i="387"/>
  <c r="BG82" i="387"/>
  <c r="BF82" i="387"/>
  <c r="BE82" i="387"/>
  <c r="BD82" i="387"/>
  <c r="BC82" i="387"/>
  <c r="BB82" i="387"/>
  <c r="BA82" i="387"/>
  <c r="AZ82" i="387"/>
  <c r="AW82" i="387"/>
  <c r="AV82" i="387"/>
  <c r="AU82" i="387"/>
  <c r="AT82" i="387"/>
  <c r="AS82" i="387"/>
  <c r="AR82" i="387"/>
  <c r="AQ82" i="387"/>
  <c r="AP82" i="387"/>
  <c r="BN81" i="387"/>
  <c r="BM81" i="387"/>
  <c r="BL81" i="387"/>
  <c r="BK81" i="387"/>
  <c r="BJ81" i="387"/>
  <c r="BI81" i="387"/>
  <c r="BH81" i="387"/>
  <c r="BG81" i="387"/>
  <c r="BF81" i="387"/>
  <c r="BE81" i="387"/>
  <c r="BD81" i="387"/>
  <c r="BC81" i="387"/>
  <c r="BB81" i="387"/>
  <c r="BA81" i="387"/>
  <c r="AZ81" i="387"/>
  <c r="AW81" i="387"/>
  <c r="AV81" i="387"/>
  <c r="AU81" i="387"/>
  <c r="AT81" i="387"/>
  <c r="AS81" i="387"/>
  <c r="AR81" i="387"/>
  <c r="AQ81" i="387"/>
  <c r="AP81" i="387"/>
  <c r="BN80" i="387"/>
  <c r="BM80" i="387"/>
  <c r="BJ80" i="387"/>
  <c r="BI80" i="387"/>
  <c r="BH80" i="387"/>
  <c r="BG80" i="387"/>
  <c r="BF80" i="387"/>
  <c r="BE80" i="387"/>
  <c r="BD80" i="387"/>
  <c r="BC80" i="387"/>
  <c r="BB80" i="387"/>
  <c r="BA80" i="387"/>
  <c r="AZ80" i="387"/>
  <c r="AY80" i="387"/>
  <c r="BL80" i="387" s="1"/>
  <c r="AX80" i="387"/>
  <c r="BK80" i="387" s="1"/>
  <c r="AW80" i="387"/>
  <c r="AV80" i="387"/>
  <c r="AU80" i="387"/>
  <c r="AT80" i="387"/>
  <c r="AS80" i="387"/>
  <c r="AR80" i="387"/>
  <c r="AQ80" i="387"/>
  <c r="AP80" i="387"/>
  <c r="BN79" i="387"/>
  <c r="BM79" i="387"/>
  <c r="BL79" i="387"/>
  <c r="BK79" i="387"/>
  <c r="BJ79" i="387"/>
  <c r="BI79" i="387"/>
  <c r="BH79" i="387"/>
  <c r="BG79" i="387"/>
  <c r="BF79" i="387"/>
  <c r="BE79" i="387"/>
  <c r="BD79" i="387"/>
  <c r="BC79" i="387"/>
  <c r="BB79" i="387"/>
  <c r="BA79" i="387"/>
  <c r="AZ79" i="387"/>
  <c r="AW79" i="387"/>
  <c r="AV79" i="387"/>
  <c r="AU79" i="387"/>
  <c r="AT79" i="387"/>
  <c r="AS79" i="387"/>
  <c r="AR79" i="387"/>
  <c r="AQ79" i="387"/>
  <c r="AP79" i="387"/>
  <c r="BN78" i="387"/>
  <c r="BM78" i="387"/>
  <c r="BK78" i="387"/>
  <c r="BJ78" i="387"/>
  <c r="BI78" i="387"/>
  <c r="BH78" i="387"/>
  <c r="BG78" i="387"/>
  <c r="BF78" i="387"/>
  <c r="BE78" i="387"/>
  <c r="BD78" i="387"/>
  <c r="BC78" i="387"/>
  <c r="BB78" i="387"/>
  <c r="BA78" i="387"/>
  <c r="AZ78" i="387"/>
  <c r="AY78" i="387"/>
  <c r="BL78" i="387" s="1"/>
  <c r="AW78" i="387"/>
  <c r="AV78" i="387"/>
  <c r="AU78" i="387"/>
  <c r="AT78" i="387"/>
  <c r="AS78" i="387"/>
  <c r="AR78" i="387"/>
  <c r="AQ78" i="387"/>
  <c r="AP78" i="387"/>
  <c r="BN77" i="387"/>
  <c r="BM77" i="387"/>
  <c r="BL77" i="387"/>
  <c r="BK77" i="387"/>
  <c r="BJ77" i="387"/>
  <c r="BI77" i="387"/>
  <c r="BH77" i="387"/>
  <c r="BG77" i="387"/>
  <c r="BF77" i="387"/>
  <c r="BE77" i="387"/>
  <c r="BD77" i="387"/>
  <c r="BC77" i="387"/>
  <c r="BB77" i="387"/>
  <c r="BA77" i="387"/>
  <c r="AZ77" i="387"/>
  <c r="AW77" i="387"/>
  <c r="AV77" i="387"/>
  <c r="AU77" i="387"/>
  <c r="AT77" i="387"/>
  <c r="AS77" i="387"/>
  <c r="AR77" i="387"/>
  <c r="AQ77" i="387"/>
  <c r="AP77" i="387"/>
  <c r="BN76" i="387"/>
  <c r="BM76" i="387"/>
  <c r="BL76" i="387"/>
  <c r="BK76" i="387"/>
  <c r="BJ76" i="387"/>
  <c r="BI76" i="387"/>
  <c r="BH76" i="387"/>
  <c r="BG76" i="387"/>
  <c r="BF76" i="387"/>
  <c r="BE76" i="387"/>
  <c r="BD76" i="387"/>
  <c r="BC76" i="387"/>
  <c r="BB76" i="387"/>
  <c r="BA76" i="387"/>
  <c r="AZ76" i="387"/>
  <c r="AW76" i="387"/>
  <c r="AV76" i="387"/>
  <c r="AU76" i="387"/>
  <c r="AT76" i="387"/>
  <c r="AS76" i="387"/>
  <c r="AR76" i="387"/>
  <c r="AQ76" i="387"/>
  <c r="AP76" i="387"/>
  <c r="BN75" i="387"/>
  <c r="BL75" i="387"/>
  <c r="BK75" i="387"/>
  <c r="BJ75" i="387"/>
  <c r="BM75" i="387" s="1"/>
  <c r="BI75" i="387"/>
  <c r="BH75" i="387"/>
  <c r="BG75" i="387"/>
  <c r="BF75" i="387"/>
  <c r="BE75" i="387"/>
  <c r="BD75" i="387"/>
  <c r="BC75" i="387"/>
  <c r="BB75" i="387"/>
  <c r="BA75" i="387"/>
  <c r="AZ75" i="387"/>
  <c r="AW75" i="387"/>
  <c r="AV75" i="387"/>
  <c r="AU75" i="387"/>
  <c r="AT75" i="387"/>
  <c r="AS75" i="387"/>
  <c r="AR75" i="387"/>
  <c r="AQ75" i="387"/>
  <c r="AP75" i="387"/>
  <c r="AO74" i="387"/>
  <c r="AN74" i="387"/>
  <c r="AM74" i="387"/>
  <c r="AL74" i="387"/>
  <c r="AK74" i="387"/>
  <c r="AJ74" i="387"/>
  <c r="AI74" i="387"/>
  <c r="AH74" i="387"/>
  <c r="AG74" i="387"/>
  <c r="AF74" i="387"/>
  <c r="AE74" i="387"/>
  <c r="AD74" i="387"/>
  <c r="AC74" i="387"/>
  <c r="AB74" i="387"/>
  <c r="AA74" i="387"/>
  <c r="Z74" i="387"/>
  <c r="Y74" i="387"/>
  <c r="X74" i="387"/>
  <c r="W74" i="387"/>
  <c r="V74" i="387"/>
  <c r="U74" i="387"/>
  <c r="T74" i="387"/>
  <c r="S74" i="387"/>
  <c r="R74" i="387"/>
  <c r="Q74" i="387"/>
  <c r="P74" i="387"/>
  <c r="O74" i="387"/>
  <c r="N74" i="387"/>
  <c r="M74" i="387"/>
  <c r="L74" i="387"/>
  <c r="BN73" i="387"/>
  <c r="BK73" i="387"/>
  <c r="BJ73" i="387"/>
  <c r="BM73" i="387" s="1"/>
  <c r="BI73" i="387"/>
  <c r="BH73" i="387"/>
  <c r="BG73" i="387"/>
  <c r="BF73" i="387"/>
  <c r="BE73" i="387"/>
  <c r="BD73" i="387"/>
  <c r="BC73" i="387"/>
  <c r="BB73" i="387"/>
  <c r="BA73" i="387"/>
  <c r="AZ73" i="387"/>
  <c r="AY73" i="387"/>
  <c r="BL73" i="387" s="1"/>
  <c r="AW73" i="387"/>
  <c r="AV73" i="387"/>
  <c r="AU73" i="387"/>
  <c r="AT73" i="387"/>
  <c r="AS73" i="387"/>
  <c r="AR73" i="387"/>
  <c r="AQ73" i="387"/>
  <c r="AP73" i="387"/>
  <c r="BN72" i="387"/>
  <c r="BK72" i="387"/>
  <c r="BJ72" i="387"/>
  <c r="BM72" i="387" s="1"/>
  <c r="BI72" i="387"/>
  <c r="BH72" i="387"/>
  <c r="BG72" i="387"/>
  <c r="BF72" i="387"/>
  <c r="BE72" i="387"/>
  <c r="BD72" i="387"/>
  <c r="BC72" i="387"/>
  <c r="BB72" i="387"/>
  <c r="BA72" i="387"/>
  <c r="AZ72" i="387"/>
  <c r="AY72" i="387"/>
  <c r="BL72" i="387" s="1"/>
  <c r="AW72" i="387"/>
  <c r="AV72" i="387"/>
  <c r="AU72" i="387"/>
  <c r="AT72" i="387"/>
  <c r="AS72" i="387"/>
  <c r="AR72" i="387"/>
  <c r="AQ72" i="387"/>
  <c r="AP72" i="387"/>
  <c r="BN71" i="387"/>
  <c r="BK71" i="387"/>
  <c r="BJ71" i="387"/>
  <c r="BM71" i="387" s="1"/>
  <c r="BI71" i="387"/>
  <c r="BH71" i="387"/>
  <c r="BG71" i="387"/>
  <c r="BF71" i="387"/>
  <c r="BE71" i="387"/>
  <c r="BD71" i="387"/>
  <c r="BC71" i="387"/>
  <c r="BB71" i="387"/>
  <c r="BA71" i="387"/>
  <c r="AZ71" i="387"/>
  <c r="AY71" i="387"/>
  <c r="BL71" i="387" s="1"/>
  <c r="AW71" i="387"/>
  <c r="AV71" i="387"/>
  <c r="AU71" i="387"/>
  <c r="AT71" i="387"/>
  <c r="AS71" i="387"/>
  <c r="AR71" i="387"/>
  <c r="AQ71" i="387"/>
  <c r="AP71" i="387"/>
  <c r="BN70" i="387"/>
  <c r="BL70" i="387"/>
  <c r="BK70" i="387"/>
  <c r="BJ70" i="387"/>
  <c r="BM70" i="387" s="1"/>
  <c r="BI70" i="387"/>
  <c r="BH70" i="387"/>
  <c r="BG70" i="387"/>
  <c r="BF70" i="387"/>
  <c r="BE70" i="387"/>
  <c r="BD70" i="387"/>
  <c r="BC70" i="387"/>
  <c r="BB70" i="387"/>
  <c r="BA70" i="387"/>
  <c r="AZ70" i="387"/>
  <c r="AX70" i="387"/>
  <c r="AW70" i="387"/>
  <c r="AV70" i="387"/>
  <c r="AU70" i="387"/>
  <c r="AT70" i="387"/>
  <c r="AS70" i="387"/>
  <c r="AR70" i="387"/>
  <c r="AQ70" i="387"/>
  <c r="AP70" i="387"/>
  <c r="BN69" i="387"/>
  <c r="BJ69" i="387"/>
  <c r="BM69" i="387" s="1"/>
  <c r="BI69" i="387"/>
  <c r="BH69" i="387"/>
  <c r="BG69" i="387"/>
  <c r="BF69" i="387"/>
  <c r="BE69" i="387"/>
  <c r="BD69" i="387"/>
  <c r="BC69" i="387"/>
  <c r="BB69" i="387"/>
  <c r="BA69" i="387"/>
  <c r="AZ69" i="387"/>
  <c r="AY69" i="387"/>
  <c r="BL69" i="387" s="1"/>
  <c r="AX69" i="387"/>
  <c r="BK69" i="387" s="1"/>
  <c r="AW69" i="387"/>
  <c r="AV69" i="387"/>
  <c r="AU69" i="387"/>
  <c r="AT69" i="387"/>
  <c r="AS69" i="387"/>
  <c r="AR69" i="387"/>
  <c r="AQ69" i="387"/>
  <c r="AP69" i="387"/>
  <c r="BN68" i="387"/>
  <c r="BK68" i="387"/>
  <c r="BJ68" i="387"/>
  <c r="BM68" i="387" s="1"/>
  <c r="BI68" i="387"/>
  <c r="BH68" i="387"/>
  <c r="BG68" i="387"/>
  <c r="BF68" i="387"/>
  <c r="BE68" i="387"/>
  <c r="BD68" i="387"/>
  <c r="BC68" i="387"/>
  <c r="BB68" i="387"/>
  <c r="BA68" i="387"/>
  <c r="AZ68" i="387"/>
  <c r="AY68" i="387"/>
  <c r="BL68" i="387" s="1"/>
  <c r="AW68" i="387"/>
  <c r="AV68" i="387"/>
  <c r="AU68" i="387"/>
  <c r="AT68" i="387"/>
  <c r="AS68" i="387"/>
  <c r="AR68" i="387"/>
  <c r="AQ68" i="387"/>
  <c r="AP68" i="387"/>
  <c r="BN67" i="387"/>
  <c r="BK67" i="387"/>
  <c r="BJ67" i="387"/>
  <c r="BM67" i="387" s="1"/>
  <c r="BI67" i="387"/>
  <c r="BH67" i="387"/>
  <c r="BG67" i="387"/>
  <c r="BF67" i="387"/>
  <c r="BE67" i="387"/>
  <c r="BD67" i="387"/>
  <c r="BC67" i="387"/>
  <c r="BB67" i="387"/>
  <c r="BA67" i="387"/>
  <c r="AZ67" i="387"/>
  <c r="AY67" i="387"/>
  <c r="BL67" i="387" s="1"/>
  <c r="AW67" i="387"/>
  <c r="AV67" i="387"/>
  <c r="AU67" i="387"/>
  <c r="AT67" i="387"/>
  <c r="AS67" i="387"/>
  <c r="AR67" i="387"/>
  <c r="AQ67" i="387"/>
  <c r="AP67" i="387"/>
  <c r="BN66" i="387"/>
  <c r="BK66" i="387"/>
  <c r="BJ66" i="387"/>
  <c r="BM66" i="387" s="1"/>
  <c r="BI66" i="387"/>
  <c r="BH66" i="387"/>
  <c r="BG66" i="387"/>
  <c r="BF66" i="387"/>
  <c r="BE66" i="387"/>
  <c r="BD66" i="387"/>
  <c r="BC66" i="387"/>
  <c r="BB66" i="387"/>
  <c r="BA66" i="387"/>
  <c r="AZ66" i="387"/>
  <c r="AY66" i="387"/>
  <c r="BL66" i="387" s="1"/>
  <c r="AW66" i="387"/>
  <c r="AV66" i="387"/>
  <c r="AU66" i="387"/>
  <c r="AT66" i="387"/>
  <c r="AS66" i="387"/>
  <c r="AR66" i="387"/>
  <c r="AQ66" i="387"/>
  <c r="AP66" i="387"/>
  <c r="BN65" i="387"/>
  <c r="BL65" i="387"/>
  <c r="BK65" i="387"/>
  <c r="BJ65" i="387"/>
  <c r="BM65" i="387" s="1"/>
  <c r="BI65" i="387"/>
  <c r="BH65" i="387"/>
  <c r="BG65" i="387"/>
  <c r="BF65" i="387"/>
  <c r="BE65" i="387"/>
  <c r="BD65" i="387"/>
  <c r="BC65" i="387"/>
  <c r="BB65" i="387"/>
  <c r="BA65" i="387"/>
  <c r="AZ65" i="387"/>
  <c r="AW65" i="387"/>
  <c r="AV65" i="387"/>
  <c r="AU65" i="387"/>
  <c r="AT65" i="387"/>
  <c r="AS65" i="387"/>
  <c r="AR65" i="387"/>
  <c r="AQ65" i="387"/>
  <c r="AP65" i="387"/>
  <c r="BN64" i="387"/>
  <c r="BK64" i="387"/>
  <c r="BJ64" i="387"/>
  <c r="BM64" i="387" s="1"/>
  <c r="BI64" i="387"/>
  <c r="BH64" i="387"/>
  <c r="BG64" i="387"/>
  <c r="BF64" i="387"/>
  <c r="BE64" i="387"/>
  <c r="BD64" i="387"/>
  <c r="BC64" i="387"/>
  <c r="BB64" i="387"/>
  <c r="BA64" i="387"/>
  <c r="AZ64" i="387"/>
  <c r="AY64" i="387"/>
  <c r="BL64" i="387" s="1"/>
  <c r="AW64" i="387"/>
  <c r="AV64" i="387"/>
  <c r="AU64" i="387"/>
  <c r="AT64" i="387"/>
  <c r="AS64" i="387"/>
  <c r="AR64" i="387"/>
  <c r="AQ64" i="387"/>
  <c r="AP64" i="387"/>
  <c r="BN63" i="387"/>
  <c r="BL63" i="387"/>
  <c r="BK63" i="387"/>
  <c r="BJ63" i="387"/>
  <c r="BM63" i="387" s="1"/>
  <c r="BI63" i="387"/>
  <c r="BH63" i="387"/>
  <c r="BG63" i="387"/>
  <c r="BF63" i="387"/>
  <c r="BE63" i="387"/>
  <c r="BD63" i="387"/>
  <c r="BC63" i="387"/>
  <c r="BB63" i="387"/>
  <c r="BA63" i="387"/>
  <c r="AZ63" i="387"/>
  <c r="AW63" i="387"/>
  <c r="AV63" i="387"/>
  <c r="AU63" i="387"/>
  <c r="AT63" i="387"/>
  <c r="AS63" i="387"/>
  <c r="AR63" i="387"/>
  <c r="AQ63" i="387"/>
  <c r="AP63" i="387"/>
  <c r="BN62" i="387"/>
  <c r="BM62" i="387"/>
  <c r="BL62" i="387"/>
  <c r="BK62" i="387"/>
  <c r="BJ62" i="387"/>
  <c r="BI62" i="387"/>
  <c r="BH62" i="387"/>
  <c r="BG62" i="387"/>
  <c r="BF62" i="387"/>
  <c r="BE62" i="387"/>
  <c r="BD62" i="387"/>
  <c r="BC62" i="387"/>
  <c r="BB62" i="387"/>
  <c r="BA62" i="387"/>
  <c r="AZ62" i="387"/>
  <c r="AW62" i="387"/>
  <c r="AV62" i="387"/>
  <c r="AU62" i="387"/>
  <c r="AT62" i="387"/>
  <c r="AS62" i="387"/>
  <c r="AR62" i="387"/>
  <c r="AQ62" i="387"/>
  <c r="AP62" i="387"/>
  <c r="AO61" i="387"/>
  <c r="AN61" i="387"/>
  <c r="AM61" i="387"/>
  <c r="AL61" i="387"/>
  <c r="AK61" i="387"/>
  <c r="AJ61" i="387"/>
  <c r="AI61" i="387"/>
  <c r="AH61" i="387"/>
  <c r="AG61" i="387"/>
  <c r="AF61" i="387"/>
  <c r="AE61" i="387"/>
  <c r="AD61" i="387"/>
  <c r="AC61" i="387"/>
  <c r="AB61" i="387"/>
  <c r="AA61" i="387"/>
  <c r="Z61" i="387"/>
  <c r="Y61" i="387"/>
  <c r="X61" i="387"/>
  <c r="W61" i="387"/>
  <c r="V61" i="387"/>
  <c r="U61" i="387"/>
  <c r="T61" i="387"/>
  <c r="S61" i="387"/>
  <c r="R61" i="387"/>
  <c r="Q61" i="387"/>
  <c r="P61" i="387"/>
  <c r="O61" i="387"/>
  <c r="N61" i="387"/>
  <c r="M61" i="387"/>
  <c r="L61" i="387"/>
  <c r="BN60" i="387"/>
  <c r="BM60" i="387"/>
  <c r="BL60" i="387"/>
  <c r="BK60" i="387"/>
  <c r="BJ60" i="387"/>
  <c r="BI60" i="387"/>
  <c r="BH60" i="387"/>
  <c r="BG60" i="387"/>
  <c r="BF60" i="387"/>
  <c r="BE60" i="387"/>
  <c r="BD60" i="387"/>
  <c r="BC60" i="387"/>
  <c r="BB60" i="387"/>
  <c r="BA60" i="387"/>
  <c r="AZ60" i="387"/>
  <c r="AW60" i="387"/>
  <c r="AV60" i="387"/>
  <c r="AU60" i="387"/>
  <c r="AT60" i="387"/>
  <c r="AS60" i="387"/>
  <c r="AR60" i="387"/>
  <c r="AQ60" i="387"/>
  <c r="AP60" i="387"/>
  <c r="AO59" i="387"/>
  <c r="AN59" i="387"/>
  <c r="AM59" i="387"/>
  <c r="AL59" i="387"/>
  <c r="AK59" i="387"/>
  <c r="AJ59" i="387"/>
  <c r="AI59" i="387"/>
  <c r="AH59" i="387"/>
  <c r="AG59" i="387"/>
  <c r="AF59" i="387"/>
  <c r="AE59" i="387"/>
  <c r="AD59" i="387"/>
  <c r="AC59" i="387"/>
  <c r="AB59" i="387"/>
  <c r="AA59" i="387"/>
  <c r="Z59" i="387"/>
  <c r="Y59" i="387"/>
  <c r="X59" i="387"/>
  <c r="W59" i="387"/>
  <c r="V59" i="387"/>
  <c r="U59" i="387"/>
  <c r="T59" i="387"/>
  <c r="S59" i="387"/>
  <c r="R59" i="387"/>
  <c r="Q59" i="387"/>
  <c r="P59" i="387"/>
  <c r="O59" i="387"/>
  <c r="N59" i="387"/>
  <c r="M59" i="387"/>
  <c r="L59" i="387"/>
  <c r="BN58" i="387"/>
  <c r="BL58" i="387"/>
  <c r="BK58" i="387"/>
  <c r="BJ58" i="387"/>
  <c r="BM58" i="387" s="1"/>
  <c r="BI58" i="387"/>
  <c r="BH58" i="387"/>
  <c r="BG58" i="387"/>
  <c r="BF58" i="387"/>
  <c r="BE58" i="387"/>
  <c r="BD58" i="387"/>
  <c r="BC58" i="387"/>
  <c r="BB58" i="387"/>
  <c r="BA58" i="387"/>
  <c r="AZ58" i="387"/>
  <c r="AW58" i="387"/>
  <c r="AV58" i="387"/>
  <c r="AU58" i="387"/>
  <c r="AT58" i="387"/>
  <c r="AS58" i="387"/>
  <c r="AR58" i="387"/>
  <c r="AQ58" i="387"/>
  <c r="AP58" i="387"/>
  <c r="BN57" i="387"/>
  <c r="BL57" i="387"/>
  <c r="BK57" i="387"/>
  <c r="BJ57" i="387"/>
  <c r="BM57" i="387" s="1"/>
  <c r="BI57" i="387"/>
  <c r="BH57" i="387"/>
  <c r="BG57" i="387"/>
  <c r="BF57" i="387"/>
  <c r="BE57" i="387"/>
  <c r="BD57" i="387"/>
  <c r="BC57" i="387"/>
  <c r="BB57" i="387"/>
  <c r="BA57" i="387"/>
  <c r="AZ57" i="387"/>
  <c r="AW57" i="387"/>
  <c r="AV57" i="387"/>
  <c r="AU57" i="387"/>
  <c r="AT57" i="387"/>
  <c r="AS57" i="387"/>
  <c r="AR57" i="387"/>
  <c r="AQ57" i="387"/>
  <c r="AP57" i="387"/>
  <c r="BN56" i="387"/>
  <c r="BM56" i="387"/>
  <c r="BL56" i="387"/>
  <c r="BK56" i="387"/>
  <c r="BJ56" i="387"/>
  <c r="BI56" i="387"/>
  <c r="BH56" i="387"/>
  <c r="BG56" i="387"/>
  <c r="BF56" i="387"/>
  <c r="BE56" i="387"/>
  <c r="BD56" i="387"/>
  <c r="BC56" i="387"/>
  <c r="BB56" i="387"/>
  <c r="BA56" i="387"/>
  <c r="AZ56" i="387"/>
  <c r="AW56" i="387"/>
  <c r="AV56" i="387"/>
  <c r="AU56" i="387"/>
  <c r="AT56" i="387"/>
  <c r="AS56" i="387"/>
  <c r="AR56" i="387"/>
  <c r="AQ56" i="387"/>
  <c r="AP56" i="387"/>
  <c r="BN55" i="387"/>
  <c r="BK55" i="387"/>
  <c r="BJ55" i="387"/>
  <c r="BM55" i="387" s="1"/>
  <c r="BI55" i="387"/>
  <c r="BH55" i="387"/>
  <c r="BG55" i="387"/>
  <c r="BF55" i="387"/>
  <c r="BE55" i="387"/>
  <c r="BD55" i="387"/>
  <c r="BC55" i="387"/>
  <c r="BB55" i="387"/>
  <c r="BA55" i="387"/>
  <c r="AZ55" i="387"/>
  <c r="AY55" i="387"/>
  <c r="BL55" i="387" s="1"/>
  <c r="AW55" i="387"/>
  <c r="AV55" i="387"/>
  <c r="AU55" i="387"/>
  <c r="AT55" i="387"/>
  <c r="AS55" i="387"/>
  <c r="AR55" i="387"/>
  <c r="AQ55" i="387"/>
  <c r="AP55" i="387"/>
  <c r="BN54" i="387"/>
  <c r="BK54" i="387"/>
  <c r="BJ54" i="387"/>
  <c r="BM54" i="387" s="1"/>
  <c r="BI54" i="387"/>
  <c r="BH54" i="387"/>
  <c r="BG54" i="387"/>
  <c r="BF54" i="387"/>
  <c r="BE54" i="387"/>
  <c r="BD54" i="387"/>
  <c r="BC54" i="387"/>
  <c r="BB54" i="387"/>
  <c r="BA54" i="387"/>
  <c r="AZ54" i="387"/>
  <c r="AY54" i="387"/>
  <c r="BL54" i="387" s="1"/>
  <c r="AW54" i="387"/>
  <c r="AV54" i="387"/>
  <c r="AU54" i="387"/>
  <c r="AT54" i="387"/>
  <c r="AS54" i="387"/>
  <c r="AR54" i="387"/>
  <c r="AQ54" i="387"/>
  <c r="AP54" i="387"/>
  <c r="BN53" i="387"/>
  <c r="BK53" i="387"/>
  <c r="BJ53" i="387"/>
  <c r="BM53" i="387" s="1"/>
  <c r="BI53" i="387"/>
  <c r="BH53" i="387"/>
  <c r="BG53" i="387"/>
  <c r="BF53" i="387"/>
  <c r="BE53" i="387"/>
  <c r="BD53" i="387"/>
  <c r="BC53" i="387"/>
  <c r="BB53" i="387"/>
  <c r="BA53" i="387"/>
  <c r="AZ53" i="387"/>
  <c r="AY53" i="387"/>
  <c r="BL53" i="387" s="1"/>
  <c r="AW53" i="387"/>
  <c r="AV53" i="387"/>
  <c r="AU53" i="387"/>
  <c r="AT53" i="387"/>
  <c r="AS53" i="387"/>
  <c r="AR53" i="387"/>
  <c r="AQ53" i="387"/>
  <c r="AP53" i="387"/>
  <c r="BN52" i="387"/>
  <c r="BK52" i="387"/>
  <c r="BJ52" i="387"/>
  <c r="BM52" i="387" s="1"/>
  <c r="BI52" i="387"/>
  <c r="BH52" i="387"/>
  <c r="BG52" i="387"/>
  <c r="BF52" i="387"/>
  <c r="BE52" i="387"/>
  <c r="BD52" i="387"/>
  <c r="BC52" i="387"/>
  <c r="BB52" i="387"/>
  <c r="BA52" i="387"/>
  <c r="AZ52" i="387"/>
  <c r="AY52" i="387"/>
  <c r="BL52" i="387" s="1"/>
  <c r="AW52" i="387"/>
  <c r="AV52" i="387"/>
  <c r="AU52" i="387"/>
  <c r="AT52" i="387"/>
  <c r="AS52" i="387"/>
  <c r="AR52" i="387"/>
  <c r="AQ52" i="387"/>
  <c r="AP52" i="387"/>
  <c r="BN51" i="387"/>
  <c r="BK51" i="387"/>
  <c r="BJ51" i="387"/>
  <c r="BM51" i="387" s="1"/>
  <c r="BI51" i="387"/>
  <c r="BH51" i="387"/>
  <c r="BG51" i="387"/>
  <c r="BF51" i="387"/>
  <c r="BE51" i="387"/>
  <c r="BD51" i="387"/>
  <c r="BC51" i="387"/>
  <c r="BB51" i="387"/>
  <c r="BA51" i="387"/>
  <c r="AZ51" i="387"/>
  <c r="AY51" i="387"/>
  <c r="BL51" i="387" s="1"/>
  <c r="BL4" i="387" s="1"/>
  <c r="AW51" i="387"/>
  <c r="AV51" i="387"/>
  <c r="AU51" i="387"/>
  <c r="AT51" i="387"/>
  <c r="AS51" i="387"/>
  <c r="AR51" i="387"/>
  <c r="AQ51" i="387"/>
  <c r="AP51" i="387"/>
  <c r="AO50" i="387"/>
  <c r="AN50" i="387"/>
  <c r="AM50" i="387"/>
  <c r="AL50" i="387"/>
  <c r="AK50" i="387"/>
  <c r="AJ50" i="387"/>
  <c r="AI50" i="387"/>
  <c r="AH50" i="387"/>
  <c r="AG50" i="387"/>
  <c r="AF50" i="387"/>
  <c r="AE50" i="387"/>
  <c r="AD50" i="387"/>
  <c r="AC50" i="387"/>
  <c r="AB50" i="387"/>
  <c r="AA50" i="387"/>
  <c r="Z50" i="387"/>
  <c r="Y50" i="387"/>
  <c r="X50" i="387"/>
  <c r="W50" i="387"/>
  <c r="V50" i="387"/>
  <c r="U50" i="387"/>
  <c r="T50" i="387"/>
  <c r="S50" i="387"/>
  <c r="R50" i="387"/>
  <c r="Q50" i="387"/>
  <c r="P50" i="387"/>
  <c r="O50" i="387"/>
  <c r="N50" i="387"/>
  <c r="M50" i="387"/>
  <c r="L50" i="387"/>
  <c r="BN49" i="387"/>
  <c r="BM49" i="387"/>
  <c r="BK49" i="387"/>
  <c r="BJ49" i="387"/>
  <c r="BI49" i="387"/>
  <c r="BH49" i="387"/>
  <c r="BG49" i="387"/>
  <c r="BF49" i="387"/>
  <c r="BE49" i="387"/>
  <c r="BD49" i="387"/>
  <c r="BC49" i="387"/>
  <c r="BB49" i="387"/>
  <c r="BA49" i="387"/>
  <c r="AZ49" i="387"/>
  <c r="AY49" i="387"/>
  <c r="BL49" i="387" s="1"/>
  <c r="AW49" i="387"/>
  <c r="AV49" i="387"/>
  <c r="AU49" i="387"/>
  <c r="AT49" i="387"/>
  <c r="AS49" i="387"/>
  <c r="AR49" i="387"/>
  <c r="AQ49" i="387"/>
  <c r="AP49" i="387"/>
  <c r="BN48" i="387"/>
  <c r="BM48" i="387"/>
  <c r="BL48" i="387"/>
  <c r="BK48" i="387"/>
  <c r="BJ48" i="387"/>
  <c r="BI48" i="387"/>
  <c r="BH48" i="387"/>
  <c r="BG48" i="387"/>
  <c r="BF48" i="387"/>
  <c r="BE48" i="387"/>
  <c r="BD48" i="387"/>
  <c r="BC48" i="387"/>
  <c r="BB48" i="387"/>
  <c r="BA48" i="387"/>
  <c r="AZ48" i="387"/>
  <c r="AW48" i="387"/>
  <c r="AV48" i="387"/>
  <c r="AU48" i="387"/>
  <c r="AT48" i="387"/>
  <c r="AS48" i="387"/>
  <c r="AR48" i="387"/>
  <c r="AQ48" i="387"/>
  <c r="AP48" i="387"/>
  <c r="AO47" i="387"/>
  <c r="AN47" i="387"/>
  <c r="AM47" i="387"/>
  <c r="AL47" i="387"/>
  <c r="AK47" i="387"/>
  <c r="AJ47" i="387"/>
  <c r="AI47" i="387"/>
  <c r="AH47" i="387"/>
  <c r="AG47" i="387"/>
  <c r="AF47" i="387"/>
  <c r="AE47" i="387"/>
  <c r="AD47" i="387"/>
  <c r="AC47" i="387"/>
  <c r="AB47" i="387"/>
  <c r="AA47" i="387"/>
  <c r="Z47" i="387"/>
  <c r="Y47" i="387"/>
  <c r="X47" i="387"/>
  <c r="W47" i="387"/>
  <c r="V47" i="387"/>
  <c r="U47" i="387"/>
  <c r="T47" i="387"/>
  <c r="S47" i="387"/>
  <c r="R47" i="387"/>
  <c r="Q47" i="387"/>
  <c r="P47" i="387"/>
  <c r="O47" i="387"/>
  <c r="N47" i="387"/>
  <c r="M47" i="387"/>
  <c r="L47" i="387"/>
  <c r="BN46" i="387"/>
  <c r="BK46" i="387"/>
  <c r="BJ46" i="387"/>
  <c r="BM46" i="387" s="1"/>
  <c r="BI46" i="387"/>
  <c r="BH46" i="387"/>
  <c r="BG46" i="387"/>
  <c r="BF46" i="387"/>
  <c r="BE46" i="387"/>
  <c r="BD46" i="387"/>
  <c r="BC46" i="387"/>
  <c r="BB46" i="387"/>
  <c r="BA46" i="387"/>
  <c r="AZ46" i="387"/>
  <c r="AY46" i="387"/>
  <c r="BL46" i="387" s="1"/>
  <c r="AW46" i="387"/>
  <c r="AV46" i="387"/>
  <c r="AU46" i="387"/>
  <c r="AT46" i="387"/>
  <c r="AS46" i="387"/>
  <c r="AR46" i="387"/>
  <c r="AQ46" i="387"/>
  <c r="AP46" i="387"/>
  <c r="BN45" i="387"/>
  <c r="BK45" i="387"/>
  <c r="BJ45" i="387"/>
  <c r="BM45" i="387" s="1"/>
  <c r="BI45" i="387"/>
  <c r="BH45" i="387"/>
  <c r="BG45" i="387"/>
  <c r="BF45" i="387"/>
  <c r="BE45" i="387"/>
  <c r="BD45" i="387"/>
  <c r="BC45" i="387"/>
  <c r="BB45" i="387"/>
  <c r="BA45" i="387"/>
  <c r="AZ45" i="387"/>
  <c r="AY45" i="387"/>
  <c r="BL45" i="387" s="1"/>
  <c r="AW45" i="387"/>
  <c r="AV45" i="387"/>
  <c r="AU45" i="387"/>
  <c r="AT45" i="387"/>
  <c r="AS45" i="387"/>
  <c r="AR45" i="387"/>
  <c r="AQ45" i="387"/>
  <c r="AP45" i="387"/>
  <c r="BN44" i="387"/>
  <c r="BK44" i="387"/>
  <c r="BJ44" i="387"/>
  <c r="BM44" i="387" s="1"/>
  <c r="BI44" i="387"/>
  <c r="BH44" i="387"/>
  <c r="BG44" i="387"/>
  <c r="BF44" i="387"/>
  <c r="BE44" i="387"/>
  <c r="BD44" i="387"/>
  <c r="BC44" i="387"/>
  <c r="BB44" i="387"/>
  <c r="BA44" i="387"/>
  <c r="AZ44" i="387"/>
  <c r="AY44" i="387"/>
  <c r="BL44" i="387" s="1"/>
  <c r="AW44" i="387"/>
  <c r="AV44" i="387"/>
  <c r="AU44" i="387"/>
  <c r="AT44" i="387"/>
  <c r="AS44" i="387"/>
  <c r="AR44" i="387"/>
  <c r="AQ44" i="387"/>
  <c r="AP44" i="387"/>
  <c r="BN43" i="387"/>
  <c r="BK43" i="387"/>
  <c r="BJ43" i="387"/>
  <c r="BM43" i="387" s="1"/>
  <c r="BI43" i="387"/>
  <c r="BH43" i="387"/>
  <c r="BG43" i="387"/>
  <c r="BF43" i="387"/>
  <c r="BE43" i="387"/>
  <c r="BD43" i="387"/>
  <c r="BC43" i="387"/>
  <c r="BB43" i="387"/>
  <c r="BA43" i="387"/>
  <c r="AZ43" i="387"/>
  <c r="AY43" i="387"/>
  <c r="BL43" i="387" s="1"/>
  <c r="AW43" i="387"/>
  <c r="AV43" i="387"/>
  <c r="AU43" i="387"/>
  <c r="AT43" i="387"/>
  <c r="AS43" i="387"/>
  <c r="AR43" i="387"/>
  <c r="AQ43" i="387"/>
  <c r="AP43" i="387"/>
  <c r="BN42" i="387"/>
  <c r="BL42" i="387"/>
  <c r="BJ42" i="387"/>
  <c r="BM42" i="387" s="1"/>
  <c r="BI42" i="387"/>
  <c r="BH42" i="387"/>
  <c r="BG42" i="387"/>
  <c r="BF42" i="387"/>
  <c r="BE42" i="387"/>
  <c r="BD42" i="387"/>
  <c r="BC42" i="387"/>
  <c r="BB42" i="387"/>
  <c r="BA42" i="387"/>
  <c r="AZ42" i="387"/>
  <c r="AX42" i="387"/>
  <c r="BK42" i="387" s="1"/>
  <c r="AW42" i="387"/>
  <c r="AV42" i="387"/>
  <c r="AU42" i="387"/>
  <c r="AT42" i="387"/>
  <c r="AS42" i="387"/>
  <c r="AR42" i="387"/>
  <c r="AQ42" i="387"/>
  <c r="AP42" i="387"/>
  <c r="BN41" i="387"/>
  <c r="BK41" i="387"/>
  <c r="BJ41" i="387"/>
  <c r="BM41" i="387" s="1"/>
  <c r="BI41" i="387"/>
  <c r="BH41" i="387"/>
  <c r="BG41" i="387"/>
  <c r="BF41" i="387"/>
  <c r="BE41" i="387"/>
  <c r="BD41" i="387"/>
  <c r="BC41" i="387"/>
  <c r="BB41" i="387"/>
  <c r="BA41" i="387"/>
  <c r="AZ41" i="387"/>
  <c r="AY41" i="387"/>
  <c r="BL41" i="387" s="1"/>
  <c r="AW41" i="387"/>
  <c r="AV41" i="387"/>
  <c r="AU41" i="387"/>
  <c r="AT41" i="387"/>
  <c r="AS41" i="387"/>
  <c r="AR41" i="387"/>
  <c r="AQ41" i="387"/>
  <c r="AP41" i="387"/>
  <c r="BN40" i="387"/>
  <c r="BL40" i="387"/>
  <c r="BK40" i="387"/>
  <c r="BJ40" i="387"/>
  <c r="BM40" i="387" s="1"/>
  <c r="BI40" i="387"/>
  <c r="BH40" i="387"/>
  <c r="BG40" i="387"/>
  <c r="BF40" i="387"/>
  <c r="BE40" i="387"/>
  <c r="BD40" i="387"/>
  <c r="BC40" i="387"/>
  <c r="BB40" i="387"/>
  <c r="BA40" i="387"/>
  <c r="AZ40" i="387"/>
  <c r="AW40" i="387"/>
  <c r="AV40" i="387"/>
  <c r="AU40" i="387"/>
  <c r="AT40" i="387"/>
  <c r="AS40" i="387"/>
  <c r="AR40" i="387"/>
  <c r="AQ40" i="387"/>
  <c r="AP40" i="387"/>
  <c r="BN39" i="387"/>
  <c r="BL39" i="387"/>
  <c r="BK39" i="387"/>
  <c r="BJ39" i="387"/>
  <c r="BM39" i="387" s="1"/>
  <c r="BM4" i="387" s="1"/>
  <c r="BI39" i="387"/>
  <c r="BH39" i="387"/>
  <c r="BG39" i="387"/>
  <c r="BF39" i="387"/>
  <c r="BE39" i="387"/>
  <c r="BD39" i="387"/>
  <c r="BC39" i="387"/>
  <c r="BB39" i="387"/>
  <c r="BA39" i="387"/>
  <c r="AZ39" i="387"/>
  <c r="AW39" i="387"/>
  <c r="AV39" i="387"/>
  <c r="AU39" i="387"/>
  <c r="AT39" i="387"/>
  <c r="AS39" i="387"/>
  <c r="AR39" i="387"/>
  <c r="AQ39" i="387"/>
  <c r="AP39" i="387"/>
  <c r="BN38" i="387"/>
  <c r="BM38" i="387"/>
  <c r="BL38" i="387"/>
  <c r="BK38" i="387"/>
  <c r="BJ38" i="387"/>
  <c r="BI38" i="387"/>
  <c r="BH38" i="387"/>
  <c r="BG38" i="387"/>
  <c r="BF38" i="387"/>
  <c r="BE38" i="387"/>
  <c r="BD38" i="387"/>
  <c r="BC38" i="387"/>
  <c r="BB38" i="387"/>
  <c r="BA38" i="387"/>
  <c r="AZ38" i="387"/>
  <c r="AW38" i="387"/>
  <c r="AV38" i="387"/>
  <c r="AU38" i="387"/>
  <c r="AT38" i="387"/>
  <c r="AS38" i="387"/>
  <c r="AR38" i="387"/>
  <c r="AQ38" i="387"/>
  <c r="AP38" i="387"/>
  <c r="BN37" i="387"/>
  <c r="BL37" i="387"/>
  <c r="BK37" i="387"/>
  <c r="BJ37" i="387"/>
  <c r="BM37" i="387" s="1"/>
  <c r="BI37" i="387"/>
  <c r="BH37" i="387"/>
  <c r="BG37" i="387"/>
  <c r="BF37" i="387"/>
  <c r="BE37" i="387"/>
  <c r="BD37" i="387"/>
  <c r="BC37" i="387"/>
  <c r="BB37" i="387"/>
  <c r="BA37" i="387"/>
  <c r="AZ37" i="387"/>
  <c r="AW37" i="387"/>
  <c r="AV37" i="387"/>
  <c r="AU37" i="387"/>
  <c r="AT37" i="387"/>
  <c r="AS37" i="387"/>
  <c r="AR37" i="387"/>
  <c r="AQ37" i="387"/>
  <c r="AP37" i="387"/>
  <c r="BN36" i="387"/>
  <c r="BM36" i="387"/>
  <c r="BL36" i="387"/>
  <c r="BK36" i="387"/>
  <c r="BJ36" i="387"/>
  <c r="BI36" i="387"/>
  <c r="BH36" i="387"/>
  <c r="BG36" i="387"/>
  <c r="BF36" i="387"/>
  <c r="BE36" i="387"/>
  <c r="BD36" i="387"/>
  <c r="BC36" i="387"/>
  <c r="BB36" i="387"/>
  <c r="BA36" i="387"/>
  <c r="AZ36" i="387"/>
  <c r="AW36" i="387"/>
  <c r="AV36" i="387"/>
  <c r="AU36" i="387"/>
  <c r="AT36" i="387"/>
  <c r="AS36" i="387"/>
  <c r="AR36" i="387"/>
  <c r="AQ36" i="387"/>
  <c r="AP36" i="387"/>
  <c r="BN35" i="387"/>
  <c r="BM35" i="387"/>
  <c r="BJ35" i="387"/>
  <c r="BI35" i="387"/>
  <c r="BH35" i="387"/>
  <c r="BG35" i="387"/>
  <c r="BF35" i="387"/>
  <c r="BE35" i="387"/>
  <c r="BD35" i="387"/>
  <c r="BC35" i="387"/>
  <c r="BB35" i="387"/>
  <c r="BA35" i="387"/>
  <c r="AZ35" i="387"/>
  <c r="AY35" i="387"/>
  <c r="BL35" i="387" s="1"/>
  <c r="AX35" i="387"/>
  <c r="BK35" i="387" s="1"/>
  <c r="AW35" i="387"/>
  <c r="AV35" i="387"/>
  <c r="AU35" i="387"/>
  <c r="AT35" i="387"/>
  <c r="AS35" i="387"/>
  <c r="AR35" i="387"/>
  <c r="AQ35" i="387"/>
  <c r="AP35" i="387"/>
  <c r="BN34" i="387"/>
  <c r="BM34" i="387"/>
  <c r="BL34" i="387"/>
  <c r="BK34" i="387"/>
  <c r="BJ34" i="387"/>
  <c r="BI34" i="387"/>
  <c r="BH34" i="387"/>
  <c r="BG34" i="387"/>
  <c r="BF34" i="387"/>
  <c r="BE34" i="387"/>
  <c r="BD34" i="387"/>
  <c r="BC34" i="387"/>
  <c r="BB34" i="387"/>
  <c r="BA34" i="387"/>
  <c r="AZ34" i="387"/>
  <c r="AW34" i="387"/>
  <c r="AV34" i="387"/>
  <c r="AU34" i="387"/>
  <c r="AT34" i="387"/>
  <c r="AS34" i="387"/>
  <c r="AR34" i="387"/>
  <c r="AQ34" i="387"/>
  <c r="AP34" i="387"/>
  <c r="BN33" i="387"/>
  <c r="BM33" i="387"/>
  <c r="BL33" i="387"/>
  <c r="BK33" i="387"/>
  <c r="BJ33" i="387"/>
  <c r="BI33" i="387"/>
  <c r="BH33" i="387"/>
  <c r="BG33" i="387"/>
  <c r="BF33" i="387"/>
  <c r="BE33" i="387"/>
  <c r="BD33" i="387"/>
  <c r="BC33" i="387"/>
  <c r="BB33" i="387"/>
  <c r="BA33" i="387"/>
  <c r="AZ33" i="387"/>
  <c r="AY33" i="387"/>
  <c r="AW33" i="387"/>
  <c r="AV33" i="387"/>
  <c r="AU33" i="387"/>
  <c r="AT33" i="387"/>
  <c r="AS33" i="387"/>
  <c r="AR33" i="387"/>
  <c r="AQ33" i="387"/>
  <c r="AP33" i="387"/>
  <c r="BN32" i="387"/>
  <c r="BM32" i="387"/>
  <c r="BL32" i="387"/>
  <c r="BK32" i="387"/>
  <c r="BJ32" i="387"/>
  <c r="BI32" i="387"/>
  <c r="BH32" i="387"/>
  <c r="BG32" i="387"/>
  <c r="BF32" i="387"/>
  <c r="BE32" i="387"/>
  <c r="BD32" i="387"/>
  <c r="BC32" i="387"/>
  <c r="BB32" i="387"/>
  <c r="BA32" i="387"/>
  <c r="AZ32" i="387"/>
  <c r="AW32" i="387"/>
  <c r="AV32" i="387"/>
  <c r="AU32" i="387"/>
  <c r="AT32" i="387"/>
  <c r="AS32" i="387"/>
  <c r="AR32" i="387"/>
  <c r="AQ32" i="387"/>
  <c r="AP32" i="387"/>
  <c r="BN31" i="387"/>
  <c r="BM31" i="387"/>
  <c r="BK31" i="387"/>
  <c r="BJ31" i="387"/>
  <c r="BI31" i="387"/>
  <c r="BH31" i="387"/>
  <c r="BG31" i="387"/>
  <c r="BF31" i="387"/>
  <c r="BE31" i="387"/>
  <c r="BD31" i="387"/>
  <c r="BC31" i="387"/>
  <c r="BB31" i="387"/>
  <c r="BA31" i="387"/>
  <c r="AZ31" i="387"/>
  <c r="AY31" i="387"/>
  <c r="BL31" i="387" s="1"/>
  <c r="AW31" i="387"/>
  <c r="AV31" i="387"/>
  <c r="AU31" i="387"/>
  <c r="AT31" i="387"/>
  <c r="AS31" i="387"/>
  <c r="AR31" i="387"/>
  <c r="AQ31" i="387"/>
  <c r="AP31" i="387"/>
  <c r="BN30" i="387"/>
  <c r="BM30" i="387"/>
  <c r="BL30" i="387"/>
  <c r="BK30" i="387"/>
  <c r="BJ30" i="387"/>
  <c r="BI30" i="387"/>
  <c r="BH30" i="387"/>
  <c r="BG30" i="387"/>
  <c r="BF30" i="387"/>
  <c r="BE30" i="387"/>
  <c r="BD30" i="387"/>
  <c r="BC30" i="387"/>
  <c r="BB30" i="387"/>
  <c r="BA30" i="387"/>
  <c r="AZ30" i="387"/>
  <c r="AY30" i="387"/>
  <c r="AW30" i="387"/>
  <c r="AV30" i="387"/>
  <c r="AU30" i="387"/>
  <c r="AT30" i="387"/>
  <c r="AS30" i="387"/>
  <c r="AR30" i="387"/>
  <c r="AQ30" i="387"/>
  <c r="AP30" i="387"/>
  <c r="BN29" i="387"/>
  <c r="BM29" i="387"/>
  <c r="BL29" i="387"/>
  <c r="BK29" i="387"/>
  <c r="BJ29" i="387"/>
  <c r="BI29" i="387"/>
  <c r="BH29" i="387"/>
  <c r="BG29" i="387"/>
  <c r="BF29" i="387"/>
  <c r="BE29" i="387"/>
  <c r="BD29" i="387"/>
  <c r="BC29" i="387"/>
  <c r="BB29" i="387"/>
  <c r="BA29" i="387"/>
  <c r="AZ29" i="387"/>
  <c r="AW29" i="387"/>
  <c r="AV29" i="387"/>
  <c r="AU29" i="387"/>
  <c r="AT29" i="387"/>
  <c r="AS29" i="387"/>
  <c r="AR29" i="387"/>
  <c r="AQ29" i="387"/>
  <c r="AP29" i="387"/>
  <c r="BN28" i="387"/>
  <c r="BL28" i="387"/>
  <c r="BK28" i="387"/>
  <c r="BJ28" i="387"/>
  <c r="BM28" i="387" s="1"/>
  <c r="BI28" i="387"/>
  <c r="BH28" i="387"/>
  <c r="BG28" i="387"/>
  <c r="BF28" i="387"/>
  <c r="BE28" i="387"/>
  <c r="BD28" i="387"/>
  <c r="BC28" i="387"/>
  <c r="BB28" i="387"/>
  <c r="BA28" i="387"/>
  <c r="AZ28" i="387"/>
  <c r="AW28" i="387"/>
  <c r="AV28" i="387"/>
  <c r="AU28" i="387"/>
  <c r="AT28" i="387"/>
  <c r="AS28" i="387"/>
  <c r="AR28" i="387"/>
  <c r="AQ28" i="387"/>
  <c r="AP28" i="387"/>
  <c r="BN27" i="387"/>
  <c r="BL27" i="387"/>
  <c r="BK27" i="387"/>
  <c r="BJ27" i="387"/>
  <c r="BM27" i="387" s="1"/>
  <c r="BI27" i="387"/>
  <c r="BH27" i="387"/>
  <c r="BG27" i="387"/>
  <c r="BF27" i="387"/>
  <c r="BE27" i="387"/>
  <c r="BD27" i="387"/>
  <c r="BC27" i="387"/>
  <c r="BB27" i="387"/>
  <c r="BA27" i="387"/>
  <c r="AZ27" i="387"/>
  <c r="AW27" i="387"/>
  <c r="AV27" i="387"/>
  <c r="AU27" i="387"/>
  <c r="AT27" i="387"/>
  <c r="AS27" i="387"/>
  <c r="AR27" i="387"/>
  <c r="AQ27" i="387"/>
  <c r="AP27" i="387"/>
  <c r="AO26" i="387"/>
  <c r="AN26" i="387"/>
  <c r="AM26" i="387"/>
  <c r="AL26" i="387"/>
  <c r="AK26" i="387"/>
  <c r="AJ26" i="387"/>
  <c r="AI26" i="387"/>
  <c r="AH26" i="387"/>
  <c r="AG26" i="387"/>
  <c r="AF26" i="387"/>
  <c r="AE26" i="387"/>
  <c r="AD26" i="387"/>
  <c r="AC26" i="387"/>
  <c r="AB26" i="387"/>
  <c r="AA26" i="387"/>
  <c r="Z26" i="387"/>
  <c r="Y26" i="387"/>
  <c r="X26" i="387"/>
  <c r="W26" i="387"/>
  <c r="V26" i="387"/>
  <c r="U26" i="387"/>
  <c r="T26" i="387"/>
  <c r="S26" i="387"/>
  <c r="R26" i="387"/>
  <c r="Q26" i="387"/>
  <c r="P26" i="387"/>
  <c r="O26" i="387"/>
  <c r="N26" i="387"/>
  <c r="M26" i="387"/>
  <c r="L26" i="387"/>
  <c r="BN25" i="387"/>
  <c r="BK25" i="387"/>
  <c r="BJ25" i="387"/>
  <c r="BM25" i="387" s="1"/>
  <c r="BI25" i="387"/>
  <c r="BH25" i="387"/>
  <c r="BG25" i="387"/>
  <c r="BF25" i="387"/>
  <c r="BE25" i="387"/>
  <c r="BD25" i="387"/>
  <c r="BC25" i="387"/>
  <c r="BB25" i="387"/>
  <c r="BA25" i="387"/>
  <c r="AZ25" i="387"/>
  <c r="AY25" i="387"/>
  <c r="BL25" i="387" s="1"/>
  <c r="AW25" i="387"/>
  <c r="AV25" i="387"/>
  <c r="AU25" i="387"/>
  <c r="AT25" i="387"/>
  <c r="AS25" i="387"/>
  <c r="AR25" i="387"/>
  <c r="AQ25" i="387"/>
  <c r="AP25" i="387"/>
  <c r="BN24" i="387"/>
  <c r="BK24" i="387"/>
  <c r="BJ24" i="387"/>
  <c r="BM24" i="387" s="1"/>
  <c r="BI24" i="387"/>
  <c r="BH24" i="387"/>
  <c r="BG24" i="387"/>
  <c r="BF24" i="387"/>
  <c r="BE24" i="387"/>
  <c r="BD24" i="387"/>
  <c r="BC24" i="387"/>
  <c r="BB24" i="387"/>
  <c r="BA24" i="387"/>
  <c r="AZ24" i="387"/>
  <c r="AY24" i="387"/>
  <c r="BL24" i="387" s="1"/>
  <c r="AW24" i="387"/>
  <c r="AV24" i="387"/>
  <c r="AU24" i="387"/>
  <c r="AT24" i="387"/>
  <c r="AS24" i="387"/>
  <c r="AR24" i="387"/>
  <c r="AQ24" i="387"/>
  <c r="AP24" i="387"/>
  <c r="BN23" i="387"/>
  <c r="BK23" i="387"/>
  <c r="BJ23" i="387"/>
  <c r="BM23" i="387" s="1"/>
  <c r="BI23" i="387"/>
  <c r="BH23" i="387"/>
  <c r="BG23" i="387"/>
  <c r="BF23" i="387"/>
  <c r="BE23" i="387"/>
  <c r="BD23" i="387"/>
  <c r="BC23" i="387"/>
  <c r="BB23" i="387"/>
  <c r="BA23" i="387"/>
  <c r="AZ23" i="387"/>
  <c r="AY23" i="387"/>
  <c r="BL23" i="387" s="1"/>
  <c r="AW23" i="387"/>
  <c r="AV23" i="387"/>
  <c r="AU23" i="387"/>
  <c r="AT23" i="387"/>
  <c r="AS23" i="387"/>
  <c r="AR23" i="387"/>
  <c r="AQ23" i="387"/>
  <c r="AP23" i="387"/>
  <c r="BN22" i="387"/>
  <c r="BL22" i="387"/>
  <c r="BK22" i="387"/>
  <c r="BJ22" i="387"/>
  <c r="BM22" i="387" s="1"/>
  <c r="BI22" i="387"/>
  <c r="BH22" i="387"/>
  <c r="BG22" i="387"/>
  <c r="BF22" i="387"/>
  <c r="BE22" i="387"/>
  <c r="BD22" i="387"/>
  <c r="BC22" i="387"/>
  <c r="BB22" i="387"/>
  <c r="BA22" i="387"/>
  <c r="AZ22" i="387"/>
  <c r="AW22" i="387"/>
  <c r="AV22" i="387"/>
  <c r="AU22" i="387"/>
  <c r="AT22" i="387"/>
  <c r="AS22" i="387"/>
  <c r="AR22" i="387"/>
  <c r="AQ22" i="387"/>
  <c r="AP22" i="387"/>
  <c r="BN21" i="387"/>
  <c r="BM21" i="387"/>
  <c r="BK21" i="387"/>
  <c r="BJ21" i="387"/>
  <c r="BI21" i="387"/>
  <c r="BH21" i="387"/>
  <c r="BG21" i="387"/>
  <c r="BF21" i="387"/>
  <c r="BE21" i="387"/>
  <c r="BD21" i="387"/>
  <c r="BC21" i="387"/>
  <c r="BB21" i="387"/>
  <c r="BA21" i="387"/>
  <c r="AZ21" i="387"/>
  <c r="AY21" i="387"/>
  <c r="BL21" i="387" s="1"/>
  <c r="AW21" i="387"/>
  <c r="AV21" i="387"/>
  <c r="AU21" i="387"/>
  <c r="AT21" i="387"/>
  <c r="AS21" i="387"/>
  <c r="AR21" i="387"/>
  <c r="AQ21" i="387"/>
  <c r="AP21" i="387"/>
  <c r="BN20" i="387"/>
  <c r="BM20" i="387"/>
  <c r="BK20" i="387"/>
  <c r="BJ20" i="387"/>
  <c r="BI20" i="387"/>
  <c r="BH20" i="387"/>
  <c r="BG20" i="387"/>
  <c r="BF20" i="387"/>
  <c r="BE20" i="387"/>
  <c r="BD20" i="387"/>
  <c r="BC20" i="387"/>
  <c r="BB20" i="387"/>
  <c r="BA20" i="387"/>
  <c r="AZ20" i="387"/>
  <c r="AY20" i="387"/>
  <c r="BL20" i="387" s="1"/>
  <c r="AW20" i="387"/>
  <c r="AV20" i="387"/>
  <c r="AU20" i="387"/>
  <c r="AT20" i="387"/>
  <c r="AS20" i="387"/>
  <c r="AR20" i="387"/>
  <c r="AQ20" i="387"/>
  <c r="AP20" i="387"/>
  <c r="BN19" i="387"/>
  <c r="BM19" i="387"/>
  <c r="BK19" i="387"/>
  <c r="BJ19" i="387"/>
  <c r="BI19" i="387"/>
  <c r="BH19" i="387"/>
  <c r="BG19" i="387"/>
  <c r="BF19" i="387"/>
  <c r="BE19" i="387"/>
  <c r="BD19" i="387"/>
  <c r="BC19" i="387"/>
  <c r="BB19" i="387"/>
  <c r="BA19" i="387"/>
  <c r="AZ19" i="387"/>
  <c r="AY19" i="387"/>
  <c r="BL19" i="387" s="1"/>
  <c r="AW19" i="387"/>
  <c r="AV19" i="387"/>
  <c r="AU19" i="387"/>
  <c r="AT19" i="387"/>
  <c r="AS19" i="387"/>
  <c r="AR19" i="387"/>
  <c r="AQ19" i="387"/>
  <c r="AP19" i="387"/>
  <c r="BN18" i="387"/>
  <c r="BM18" i="387"/>
  <c r="BK18" i="387"/>
  <c r="BJ18" i="387"/>
  <c r="BI18" i="387"/>
  <c r="BH18" i="387"/>
  <c r="BG18" i="387"/>
  <c r="BF18" i="387"/>
  <c r="BE18" i="387"/>
  <c r="BD18" i="387"/>
  <c r="BC18" i="387"/>
  <c r="BB18" i="387"/>
  <c r="BA18" i="387"/>
  <c r="AZ18" i="387"/>
  <c r="AY18" i="387"/>
  <c r="BL18" i="387" s="1"/>
  <c r="AW18" i="387"/>
  <c r="AV18" i="387"/>
  <c r="AU18" i="387"/>
  <c r="AT18" i="387"/>
  <c r="AS18" i="387"/>
  <c r="AR18" i="387"/>
  <c r="AQ18" i="387"/>
  <c r="AP18" i="387"/>
  <c r="BN17" i="387"/>
  <c r="BM17" i="387"/>
  <c r="BK17" i="387"/>
  <c r="BJ17" i="387"/>
  <c r="BI17" i="387"/>
  <c r="BH17" i="387"/>
  <c r="BG17" i="387"/>
  <c r="BF17" i="387"/>
  <c r="BE17" i="387"/>
  <c r="BD17" i="387"/>
  <c r="BC17" i="387"/>
  <c r="BB17" i="387"/>
  <c r="BA17" i="387"/>
  <c r="AZ17" i="387"/>
  <c r="AY17" i="387"/>
  <c r="BL17" i="387" s="1"/>
  <c r="AW17" i="387"/>
  <c r="AV17" i="387"/>
  <c r="AU17" i="387"/>
  <c r="AT17" i="387"/>
  <c r="AS17" i="387"/>
  <c r="AR17" i="387"/>
  <c r="AQ17" i="387"/>
  <c r="AP17" i="387"/>
  <c r="BN16" i="387"/>
  <c r="BM16" i="387"/>
  <c r="BK16" i="387"/>
  <c r="BJ16" i="387"/>
  <c r="BI16" i="387"/>
  <c r="BH16" i="387"/>
  <c r="BG16" i="387"/>
  <c r="BF16" i="387"/>
  <c r="BE16" i="387"/>
  <c r="BD16" i="387"/>
  <c r="BC16" i="387"/>
  <c r="BB16" i="387"/>
  <c r="BA16" i="387"/>
  <c r="AZ16" i="387"/>
  <c r="AY16" i="387"/>
  <c r="BL16" i="387" s="1"/>
  <c r="AW16" i="387"/>
  <c r="AV16" i="387"/>
  <c r="AU16" i="387"/>
  <c r="AT16" i="387"/>
  <c r="AS16" i="387"/>
  <c r="AR16" i="387"/>
  <c r="AQ16" i="387"/>
  <c r="AP16" i="387"/>
  <c r="AO15" i="387"/>
  <c r="AN15" i="387"/>
  <c r="AM15" i="387"/>
  <c r="AL15" i="387"/>
  <c r="AK15" i="387"/>
  <c r="AJ15" i="387"/>
  <c r="AI15" i="387"/>
  <c r="AH15" i="387"/>
  <c r="AG15" i="387"/>
  <c r="AF15" i="387"/>
  <c r="AE15" i="387"/>
  <c r="AD15" i="387"/>
  <c r="AC15" i="387"/>
  <c r="AB15" i="387"/>
  <c r="AA15" i="387"/>
  <c r="Z15" i="387"/>
  <c r="Y15" i="387"/>
  <c r="X15" i="387"/>
  <c r="W15" i="387"/>
  <c r="V15" i="387"/>
  <c r="U15" i="387"/>
  <c r="T15" i="387"/>
  <c r="S15" i="387"/>
  <c r="R15" i="387"/>
  <c r="Q15" i="387"/>
  <c r="P15" i="387"/>
  <c r="O15" i="387"/>
  <c r="N15" i="387"/>
  <c r="M15" i="387"/>
  <c r="L15" i="387"/>
  <c r="BN14" i="387"/>
  <c r="BM14" i="387"/>
  <c r="BL14" i="387"/>
  <c r="BK14" i="387"/>
  <c r="BJ14" i="387"/>
  <c r="BI14" i="387"/>
  <c r="BH14" i="387"/>
  <c r="BG14" i="387"/>
  <c r="BF14" i="387"/>
  <c r="BE14" i="387"/>
  <c r="BD14" i="387"/>
  <c r="BC14" i="387"/>
  <c r="BB14" i="387"/>
  <c r="BA14" i="387"/>
  <c r="AZ14" i="387"/>
  <c r="AW14" i="387"/>
  <c r="AV14" i="387"/>
  <c r="AU14" i="387"/>
  <c r="AT14" i="387"/>
  <c r="AS14" i="387"/>
  <c r="AR14" i="387"/>
  <c r="AQ14" i="387"/>
  <c r="AP14" i="387"/>
  <c r="BN13" i="387"/>
  <c r="BL13" i="387"/>
  <c r="BK13" i="387"/>
  <c r="BJ13" i="387"/>
  <c r="BM13" i="387" s="1"/>
  <c r="BI13" i="387"/>
  <c r="BH13" i="387"/>
  <c r="BG13" i="387"/>
  <c r="BF13" i="387"/>
  <c r="BE13" i="387"/>
  <c r="BD13" i="387"/>
  <c r="BC13" i="387"/>
  <c r="BB13" i="387"/>
  <c r="BA13" i="387"/>
  <c r="AZ13" i="387"/>
  <c r="AW13" i="387"/>
  <c r="AV13" i="387"/>
  <c r="AU13" i="387"/>
  <c r="AT13" i="387"/>
  <c r="AS13" i="387"/>
  <c r="AR13" i="387"/>
  <c r="AQ13" i="387"/>
  <c r="AP13" i="387"/>
  <c r="BN12" i="387"/>
  <c r="BK12" i="387"/>
  <c r="BJ12" i="387"/>
  <c r="BM12" i="387" s="1"/>
  <c r="BI12" i="387"/>
  <c r="BH12" i="387"/>
  <c r="BG12" i="387"/>
  <c r="BF12" i="387"/>
  <c r="BE12" i="387"/>
  <c r="BD12" i="387"/>
  <c r="BC12" i="387"/>
  <c r="BB12" i="387"/>
  <c r="BA12" i="387"/>
  <c r="AZ12" i="387"/>
  <c r="AY12" i="387"/>
  <c r="BL12" i="387" s="1"/>
  <c r="AW12" i="387"/>
  <c r="AV12" i="387"/>
  <c r="AU12" i="387"/>
  <c r="AT12" i="387"/>
  <c r="AS12" i="387"/>
  <c r="AR12" i="387"/>
  <c r="AQ12" i="387"/>
  <c r="AP12" i="387"/>
  <c r="BN11" i="387"/>
  <c r="BK11" i="387"/>
  <c r="BJ11" i="387"/>
  <c r="BM11" i="387" s="1"/>
  <c r="BI11" i="387"/>
  <c r="BH11" i="387"/>
  <c r="BG11" i="387"/>
  <c r="BF11" i="387"/>
  <c r="BE11" i="387"/>
  <c r="BD11" i="387"/>
  <c r="BC11" i="387"/>
  <c r="BB11" i="387"/>
  <c r="BA11" i="387"/>
  <c r="AZ11" i="387"/>
  <c r="AY11" i="387"/>
  <c r="BL11" i="387" s="1"/>
  <c r="AX11" i="387"/>
  <c r="AW11" i="387"/>
  <c r="AV11" i="387"/>
  <c r="AU11" i="387"/>
  <c r="AT11" i="387"/>
  <c r="AS11" i="387"/>
  <c r="AR11" i="387"/>
  <c r="AQ11" i="387"/>
  <c r="AP11" i="387"/>
  <c r="BN10" i="387"/>
  <c r="BL10" i="387"/>
  <c r="BK10" i="387"/>
  <c r="BJ10" i="387"/>
  <c r="BM10" i="387" s="1"/>
  <c r="BI10" i="387"/>
  <c r="BH10" i="387"/>
  <c r="BG10" i="387"/>
  <c r="BF10" i="387"/>
  <c r="BE10" i="387"/>
  <c r="BD10" i="387"/>
  <c r="BC10" i="387"/>
  <c r="BB10" i="387"/>
  <c r="BA10" i="387"/>
  <c r="AZ10" i="387"/>
  <c r="AW10" i="387"/>
  <c r="AV10" i="387"/>
  <c r="AU10" i="387"/>
  <c r="AT10" i="387"/>
  <c r="AS10" i="387"/>
  <c r="AR10" i="387"/>
  <c r="AQ10" i="387"/>
  <c r="AP10" i="387"/>
  <c r="CC4" i="387"/>
  <c r="CB4" i="387"/>
  <c r="CA4" i="387"/>
  <c r="BZ4" i="387"/>
  <c r="BY4" i="387"/>
  <c r="BX4" i="387"/>
  <c r="BW4" i="387"/>
  <c r="BV4" i="387"/>
  <c r="BU4" i="387"/>
  <c r="BT4" i="387"/>
  <c r="BS4" i="387"/>
  <c r="BR4" i="387"/>
  <c r="BQ4" i="387"/>
  <c r="BP4" i="387"/>
  <c r="BO4" i="387"/>
  <c r="BN4" i="387"/>
  <c r="BK4" i="387"/>
  <c r="BJ4" i="387"/>
  <c r="BI4" i="387"/>
  <c r="BH4" i="387"/>
  <c r="BG4" i="387"/>
  <c r="BF4" i="387"/>
  <c r="BE4" i="387"/>
  <c r="BD4" i="387"/>
  <c r="BC4" i="387"/>
  <c r="BB4" i="387"/>
  <c r="BA4" i="387"/>
  <c r="AZ4" i="387"/>
  <c r="AY4" i="387"/>
  <c r="AX4" i="387"/>
  <c r="AW4" i="387"/>
  <c r="AU4" i="387"/>
  <c r="AT4" i="387"/>
  <c r="AS4" i="387"/>
  <c r="AR4" i="387"/>
  <c r="AQ4" i="387"/>
  <c r="AO334" i="386"/>
  <c r="AN334" i="386"/>
  <c r="AM334" i="386"/>
  <c r="AL334" i="386"/>
  <c r="AK334" i="386"/>
  <c r="AJ334" i="386"/>
  <c r="AI334" i="386"/>
  <c r="AH334" i="386"/>
  <c r="AG334" i="386"/>
  <c r="AF334" i="386"/>
  <c r="AE334" i="386"/>
  <c r="AD334" i="386"/>
  <c r="AC334" i="386"/>
  <c r="AB334" i="386"/>
  <c r="AA334" i="386"/>
  <c r="Z334" i="386"/>
  <c r="Y334" i="386"/>
  <c r="X334" i="386"/>
  <c r="W334" i="386"/>
  <c r="V334" i="386"/>
  <c r="U334" i="386"/>
  <c r="T334" i="386"/>
  <c r="S334" i="386"/>
  <c r="R334" i="386"/>
  <c r="Q334" i="386"/>
  <c r="P334" i="386"/>
  <c r="O334" i="386"/>
  <c r="N334" i="386"/>
  <c r="M334" i="386"/>
  <c r="L334" i="386"/>
  <c r="AO332" i="386"/>
  <c r="AN332" i="386"/>
  <c r="AM332" i="386"/>
  <c r="AL332" i="386"/>
  <c r="AK332" i="386"/>
  <c r="AJ332" i="386"/>
  <c r="AI332" i="386"/>
  <c r="AH332" i="386"/>
  <c r="AG332" i="386"/>
  <c r="AF332" i="386"/>
  <c r="AE332" i="386"/>
  <c r="AD332" i="386"/>
  <c r="AC332" i="386"/>
  <c r="AB332" i="386"/>
  <c r="AA332" i="386"/>
  <c r="Z332" i="386"/>
  <c r="Y332" i="386"/>
  <c r="X332" i="386"/>
  <c r="W332" i="386"/>
  <c r="V332" i="386"/>
  <c r="U332" i="386"/>
  <c r="T332" i="386"/>
  <c r="S332" i="386"/>
  <c r="R332" i="386"/>
  <c r="Q332" i="386"/>
  <c r="P332" i="386"/>
  <c r="O332" i="386"/>
  <c r="N332" i="386"/>
  <c r="M332" i="386"/>
  <c r="L332" i="386"/>
  <c r="BN331" i="386"/>
  <c r="BM331" i="386"/>
  <c r="BL331" i="386"/>
  <c r="BK331" i="386"/>
  <c r="BJ331" i="386"/>
  <c r="BI331" i="386"/>
  <c r="BH331" i="386"/>
  <c r="BG331" i="386"/>
  <c r="BF331" i="386"/>
  <c r="BE331" i="386"/>
  <c r="BD331" i="386"/>
  <c r="BC331" i="386"/>
  <c r="BB331" i="386"/>
  <c r="BA331" i="386"/>
  <c r="AZ331" i="386"/>
  <c r="AY331" i="386"/>
  <c r="AW331" i="386"/>
  <c r="AV331" i="386"/>
  <c r="AU331" i="386"/>
  <c r="AT331" i="386"/>
  <c r="AS331" i="386"/>
  <c r="AR331" i="386"/>
  <c r="AQ331" i="386"/>
  <c r="AP331" i="386"/>
  <c r="BN330" i="386"/>
  <c r="BM330" i="386"/>
  <c r="BL330" i="386"/>
  <c r="BK330" i="386"/>
  <c r="BJ330" i="386"/>
  <c r="BI330" i="386"/>
  <c r="BH330" i="386"/>
  <c r="BG330" i="386"/>
  <c r="BF330" i="386"/>
  <c r="BE330" i="386"/>
  <c r="BD330" i="386"/>
  <c r="BC330" i="386"/>
  <c r="BB330" i="386"/>
  <c r="BA330" i="386"/>
  <c r="AZ330" i="386"/>
  <c r="AY330" i="386"/>
  <c r="AX330" i="386"/>
  <c r="AW330" i="386"/>
  <c r="AV330" i="386"/>
  <c r="AU330" i="386"/>
  <c r="AT330" i="386"/>
  <c r="AS330" i="386"/>
  <c r="AR330" i="386"/>
  <c r="AQ330" i="386"/>
  <c r="AP330" i="386"/>
  <c r="BN329" i="386"/>
  <c r="BM329" i="386"/>
  <c r="BL329" i="386"/>
  <c r="BJ329" i="386"/>
  <c r="BI329" i="386"/>
  <c r="BH329" i="386"/>
  <c r="BG329" i="386"/>
  <c r="BF329" i="386"/>
  <c r="BE329" i="386"/>
  <c r="BD329" i="386"/>
  <c r="BC329" i="386"/>
  <c r="BB329" i="386"/>
  <c r="BA329" i="386"/>
  <c r="AZ329" i="386"/>
  <c r="AX329" i="386"/>
  <c r="BK329" i="386" s="1"/>
  <c r="AW329" i="386"/>
  <c r="AV329" i="386"/>
  <c r="AU329" i="386"/>
  <c r="AT329" i="386"/>
  <c r="AS329" i="386"/>
  <c r="AR329" i="386"/>
  <c r="AQ329" i="386"/>
  <c r="AP329" i="386"/>
  <c r="BN328" i="386"/>
  <c r="BM328" i="386"/>
  <c r="BL328" i="386"/>
  <c r="BK328" i="386"/>
  <c r="BJ328" i="386"/>
  <c r="BI328" i="386"/>
  <c r="BH328" i="386"/>
  <c r="BG328" i="386"/>
  <c r="BF328" i="386"/>
  <c r="BE328" i="386"/>
  <c r="BD328" i="386"/>
  <c r="BC328" i="386"/>
  <c r="BB328" i="386"/>
  <c r="BA328" i="386"/>
  <c r="AZ328" i="386"/>
  <c r="AY328" i="386"/>
  <c r="AW328" i="386"/>
  <c r="AV328" i="386"/>
  <c r="AU328" i="386"/>
  <c r="AT328" i="386"/>
  <c r="AS328" i="386"/>
  <c r="AR328" i="386"/>
  <c r="AQ328" i="386"/>
  <c r="AP328" i="386"/>
  <c r="BN327" i="386"/>
  <c r="BM327" i="386"/>
  <c r="BL327" i="386"/>
  <c r="BK327" i="386"/>
  <c r="BJ327" i="386"/>
  <c r="BI327" i="386"/>
  <c r="BH327" i="386"/>
  <c r="BG327" i="386"/>
  <c r="BF327" i="386"/>
  <c r="BE327" i="386"/>
  <c r="BD327" i="386"/>
  <c r="BC327" i="386"/>
  <c r="BB327" i="386"/>
  <c r="BA327" i="386"/>
  <c r="AZ327" i="386"/>
  <c r="AY327" i="386"/>
  <c r="AW327" i="386"/>
  <c r="AV327" i="386"/>
  <c r="AU327" i="386"/>
  <c r="AT327" i="386"/>
  <c r="AS327" i="386"/>
  <c r="AR327" i="386"/>
  <c r="AQ327" i="386"/>
  <c r="AP327" i="386"/>
  <c r="BN326" i="386"/>
  <c r="BM326" i="386"/>
  <c r="BL326" i="386"/>
  <c r="BK326" i="386"/>
  <c r="BJ326" i="386"/>
  <c r="BI326" i="386"/>
  <c r="BH326" i="386"/>
  <c r="BG326" i="386"/>
  <c r="BF326" i="386"/>
  <c r="BE326" i="386"/>
  <c r="BD326" i="386"/>
  <c r="BC326" i="386"/>
  <c r="BB326" i="386"/>
  <c r="BA326" i="386"/>
  <c r="AZ326" i="386"/>
  <c r="AW326" i="386"/>
  <c r="AV326" i="386"/>
  <c r="AU326" i="386"/>
  <c r="AT326" i="386"/>
  <c r="AS326" i="386"/>
  <c r="AR326" i="386"/>
  <c r="AQ326" i="386"/>
  <c r="AP326" i="386"/>
  <c r="BN325" i="386"/>
  <c r="BL325" i="386"/>
  <c r="BK325" i="386"/>
  <c r="BJ325" i="386"/>
  <c r="BM325" i="386" s="1"/>
  <c r="BI325" i="386"/>
  <c r="BH325" i="386"/>
  <c r="BG325" i="386"/>
  <c r="BF325" i="386"/>
  <c r="BE325" i="386"/>
  <c r="BD325" i="386"/>
  <c r="BC325" i="386"/>
  <c r="BB325" i="386"/>
  <c r="BA325" i="386"/>
  <c r="AZ325" i="386"/>
  <c r="AY325" i="386"/>
  <c r="AX325" i="386"/>
  <c r="AW325" i="386"/>
  <c r="AV325" i="386"/>
  <c r="AU325" i="386"/>
  <c r="AT325" i="386"/>
  <c r="AS325" i="386"/>
  <c r="AR325" i="386"/>
  <c r="AQ325" i="386"/>
  <c r="AP325" i="386"/>
  <c r="BN324" i="386"/>
  <c r="BM324" i="386"/>
  <c r="BL324" i="386"/>
  <c r="BK324" i="386"/>
  <c r="BJ324" i="386"/>
  <c r="BI324" i="386"/>
  <c r="BH324" i="386"/>
  <c r="BG324" i="386"/>
  <c r="BF324" i="386"/>
  <c r="BE324" i="386"/>
  <c r="BD324" i="386"/>
  <c r="BC324" i="386"/>
  <c r="BB324" i="386"/>
  <c r="BA324" i="386"/>
  <c r="AZ324" i="386"/>
  <c r="AY324" i="386"/>
  <c r="AW324" i="386"/>
  <c r="AV324" i="386"/>
  <c r="AU324" i="386"/>
  <c r="AT324" i="386"/>
  <c r="AS324" i="386"/>
  <c r="AR324" i="386"/>
  <c r="AQ324" i="386"/>
  <c r="AP324" i="386"/>
  <c r="AO323" i="386"/>
  <c r="AN323" i="386"/>
  <c r="AM323" i="386"/>
  <c r="AL323" i="386"/>
  <c r="AK323" i="386"/>
  <c r="AJ323" i="386"/>
  <c r="AI323" i="386"/>
  <c r="AH323" i="386"/>
  <c r="AG323" i="386"/>
  <c r="AF323" i="386"/>
  <c r="AE323" i="386"/>
  <c r="AD323" i="386"/>
  <c r="AC323" i="386"/>
  <c r="AB323" i="386"/>
  <c r="AA323" i="386"/>
  <c r="Z323" i="386"/>
  <c r="Y323" i="386"/>
  <c r="X323" i="386"/>
  <c r="W323" i="386"/>
  <c r="V323" i="386"/>
  <c r="U323" i="386"/>
  <c r="T323" i="386"/>
  <c r="S323" i="386"/>
  <c r="R323" i="386"/>
  <c r="Q323" i="386"/>
  <c r="P323" i="386"/>
  <c r="O323" i="386"/>
  <c r="N323" i="386"/>
  <c r="M323" i="386"/>
  <c r="L323" i="386"/>
  <c r="BN322" i="386"/>
  <c r="BL322" i="386"/>
  <c r="BK322" i="386"/>
  <c r="BJ322" i="386"/>
  <c r="BM322" i="386" s="1"/>
  <c r="BI322" i="386"/>
  <c r="BH322" i="386"/>
  <c r="BG322" i="386"/>
  <c r="BF322" i="386"/>
  <c r="BE322" i="386"/>
  <c r="BD322" i="386"/>
  <c r="BC322" i="386"/>
  <c r="BB322" i="386"/>
  <c r="BA322" i="386"/>
  <c r="AZ322" i="386"/>
  <c r="AY322" i="386"/>
  <c r="AX322" i="386"/>
  <c r="AW322" i="386"/>
  <c r="AV322" i="386"/>
  <c r="AU322" i="386"/>
  <c r="AT322" i="386"/>
  <c r="AS322" i="386"/>
  <c r="AR322" i="386"/>
  <c r="AQ322" i="386"/>
  <c r="AP322" i="386"/>
  <c r="BN321" i="386"/>
  <c r="BL321" i="386"/>
  <c r="BK321" i="386"/>
  <c r="BJ321" i="386"/>
  <c r="BM321" i="386" s="1"/>
  <c r="BI321" i="386"/>
  <c r="BH321" i="386"/>
  <c r="BG321" i="386"/>
  <c r="BF321" i="386"/>
  <c r="BE321" i="386"/>
  <c r="BD321" i="386"/>
  <c r="BC321" i="386"/>
  <c r="BB321" i="386"/>
  <c r="BA321" i="386"/>
  <c r="AZ321" i="386"/>
  <c r="AY321" i="386"/>
  <c r="AX321" i="386"/>
  <c r="AW321" i="386"/>
  <c r="AV321" i="386"/>
  <c r="AU321" i="386"/>
  <c r="AT321" i="386"/>
  <c r="AS321" i="386"/>
  <c r="AR321" i="386"/>
  <c r="AQ321" i="386"/>
  <c r="AP321" i="386"/>
  <c r="AO320" i="386"/>
  <c r="AN320" i="386"/>
  <c r="AM320" i="386"/>
  <c r="AL320" i="386"/>
  <c r="AK320" i="386"/>
  <c r="AJ320" i="386"/>
  <c r="AI320" i="386"/>
  <c r="AH320" i="386"/>
  <c r="AG320" i="386"/>
  <c r="AF320" i="386"/>
  <c r="AE320" i="386"/>
  <c r="AD320" i="386"/>
  <c r="AC320" i="386"/>
  <c r="AB320" i="386"/>
  <c r="AA320" i="386"/>
  <c r="Z320" i="386"/>
  <c r="Y320" i="386"/>
  <c r="X320" i="386"/>
  <c r="W320" i="386"/>
  <c r="V320" i="386"/>
  <c r="U320" i="386"/>
  <c r="T320" i="386"/>
  <c r="S320" i="386"/>
  <c r="R320" i="386"/>
  <c r="Q320" i="386"/>
  <c r="P320" i="386"/>
  <c r="O320" i="386"/>
  <c r="N320" i="386"/>
  <c r="M320" i="386"/>
  <c r="L320" i="386"/>
  <c r="BN319" i="386"/>
  <c r="BL319" i="386"/>
  <c r="BK319" i="386"/>
  <c r="BJ319" i="386"/>
  <c r="BM319" i="386" s="1"/>
  <c r="BI319" i="386"/>
  <c r="BH319" i="386"/>
  <c r="BG319" i="386"/>
  <c r="BF319" i="386"/>
  <c r="BE319" i="386"/>
  <c r="BD319" i="386"/>
  <c r="BC319" i="386"/>
  <c r="BB319" i="386"/>
  <c r="BA319" i="386"/>
  <c r="AZ319" i="386"/>
  <c r="AY319" i="386"/>
  <c r="AX319" i="386"/>
  <c r="AW319" i="386"/>
  <c r="AV319" i="386"/>
  <c r="AU319" i="386"/>
  <c r="AT319" i="386"/>
  <c r="AS319" i="386"/>
  <c r="AR319" i="386"/>
  <c r="AQ319" i="386"/>
  <c r="AP319" i="386"/>
  <c r="BN318" i="386"/>
  <c r="BL318" i="386"/>
  <c r="BK318" i="386"/>
  <c r="BJ318" i="386"/>
  <c r="BM318" i="386" s="1"/>
  <c r="BI318" i="386"/>
  <c r="BH318" i="386"/>
  <c r="BG318" i="386"/>
  <c r="BF318" i="386"/>
  <c r="BE318" i="386"/>
  <c r="BD318" i="386"/>
  <c r="BC318" i="386"/>
  <c r="BB318" i="386"/>
  <c r="BA318" i="386"/>
  <c r="AZ318" i="386"/>
  <c r="AW318" i="386"/>
  <c r="AV318" i="386"/>
  <c r="AU318" i="386"/>
  <c r="AT318" i="386"/>
  <c r="AS318" i="386"/>
  <c r="AR318" i="386"/>
  <c r="AQ318" i="386"/>
  <c r="AP318" i="386"/>
  <c r="BN317" i="386"/>
  <c r="BL317" i="386"/>
  <c r="BK317" i="386"/>
  <c r="BJ317" i="386"/>
  <c r="BM317" i="386" s="1"/>
  <c r="BI317" i="386"/>
  <c r="BH317" i="386"/>
  <c r="BG317" i="386"/>
  <c r="BF317" i="386"/>
  <c r="BE317" i="386"/>
  <c r="BD317" i="386"/>
  <c r="BC317" i="386"/>
  <c r="BB317" i="386"/>
  <c r="BA317" i="386"/>
  <c r="AZ317" i="386"/>
  <c r="AW317" i="386"/>
  <c r="AV317" i="386"/>
  <c r="AU317" i="386"/>
  <c r="AT317" i="386"/>
  <c r="AS317" i="386"/>
  <c r="AR317" i="386"/>
  <c r="AQ317" i="386"/>
  <c r="AP317" i="386"/>
  <c r="BN316" i="386"/>
  <c r="BL316" i="386"/>
  <c r="BK316" i="386"/>
  <c r="BJ316" i="386"/>
  <c r="BM316" i="386" s="1"/>
  <c r="BI316" i="386"/>
  <c r="BH316" i="386"/>
  <c r="BG316" i="386"/>
  <c r="BF316" i="386"/>
  <c r="BE316" i="386"/>
  <c r="BD316" i="386"/>
  <c r="BC316" i="386"/>
  <c r="BB316" i="386"/>
  <c r="BA316" i="386"/>
  <c r="AZ316" i="386"/>
  <c r="AY316" i="386"/>
  <c r="AX316" i="386"/>
  <c r="AW316" i="386"/>
  <c r="AV316" i="386"/>
  <c r="AU316" i="386"/>
  <c r="AT316" i="386"/>
  <c r="AS316" i="386"/>
  <c r="AR316" i="386"/>
  <c r="AQ316" i="386"/>
  <c r="AP316" i="386"/>
  <c r="BN315" i="386"/>
  <c r="BL315" i="386"/>
  <c r="BK315" i="386"/>
  <c r="BJ315" i="386"/>
  <c r="BM315" i="386" s="1"/>
  <c r="BI315" i="386"/>
  <c r="BH315" i="386"/>
  <c r="BG315" i="386"/>
  <c r="BF315" i="386"/>
  <c r="BE315" i="386"/>
  <c r="BD315" i="386"/>
  <c r="BC315" i="386"/>
  <c r="BB315" i="386"/>
  <c r="BA315" i="386"/>
  <c r="AZ315" i="386"/>
  <c r="AY315" i="386"/>
  <c r="AW315" i="386"/>
  <c r="AV315" i="386"/>
  <c r="AU315" i="386"/>
  <c r="AT315" i="386"/>
  <c r="AS315" i="386"/>
  <c r="AR315" i="386"/>
  <c r="AQ315" i="386"/>
  <c r="AP315" i="386"/>
  <c r="BN314" i="386"/>
  <c r="BL314" i="386"/>
  <c r="BK314" i="386"/>
  <c r="BJ314" i="386"/>
  <c r="BM314" i="386" s="1"/>
  <c r="BI314" i="386"/>
  <c r="BH314" i="386"/>
  <c r="BG314" i="386"/>
  <c r="BF314" i="386"/>
  <c r="BE314" i="386"/>
  <c r="BD314" i="386"/>
  <c r="BC314" i="386"/>
  <c r="BB314" i="386"/>
  <c r="BA314" i="386"/>
  <c r="AZ314" i="386"/>
  <c r="AW314" i="386"/>
  <c r="AV314" i="386"/>
  <c r="AU314" i="386"/>
  <c r="AT314" i="386"/>
  <c r="AS314" i="386"/>
  <c r="AR314" i="386"/>
  <c r="AQ314" i="386"/>
  <c r="AP314" i="386"/>
  <c r="BN313" i="386"/>
  <c r="BL313" i="386"/>
  <c r="BK313" i="386"/>
  <c r="BJ313" i="386"/>
  <c r="BM313" i="386" s="1"/>
  <c r="BI313" i="386"/>
  <c r="BH313" i="386"/>
  <c r="BG313" i="386"/>
  <c r="BF313" i="386"/>
  <c r="BE313" i="386"/>
  <c r="BD313" i="386"/>
  <c r="BC313" i="386"/>
  <c r="BB313" i="386"/>
  <c r="BA313" i="386"/>
  <c r="AZ313" i="386"/>
  <c r="AW313" i="386"/>
  <c r="AV313" i="386"/>
  <c r="AU313" i="386"/>
  <c r="AT313" i="386"/>
  <c r="AS313" i="386"/>
  <c r="AR313" i="386"/>
  <c r="AQ313" i="386"/>
  <c r="AP313" i="386"/>
  <c r="BN312" i="386"/>
  <c r="BK312" i="386"/>
  <c r="BJ312" i="386"/>
  <c r="BM312" i="386" s="1"/>
  <c r="BI312" i="386"/>
  <c r="BH312" i="386"/>
  <c r="BG312" i="386"/>
  <c r="BF312" i="386"/>
  <c r="BE312" i="386"/>
  <c r="BD312" i="386"/>
  <c r="BC312" i="386"/>
  <c r="BB312" i="386"/>
  <c r="BA312" i="386"/>
  <c r="AZ312" i="386"/>
  <c r="AY312" i="386"/>
  <c r="BL312" i="386" s="1"/>
  <c r="AW312" i="386"/>
  <c r="AV312" i="386"/>
  <c r="AU312" i="386"/>
  <c r="AT312" i="386"/>
  <c r="AS312" i="386"/>
  <c r="AR312" i="386"/>
  <c r="AQ312" i="386"/>
  <c r="AP312" i="386"/>
  <c r="BN311" i="386"/>
  <c r="BK311" i="386"/>
  <c r="BJ311" i="386"/>
  <c r="BM311" i="386" s="1"/>
  <c r="BI311" i="386"/>
  <c r="BH311" i="386"/>
  <c r="BG311" i="386"/>
  <c r="BF311" i="386"/>
  <c r="BE311" i="386"/>
  <c r="BD311" i="386"/>
  <c r="BC311" i="386"/>
  <c r="BB311" i="386"/>
  <c r="BA311" i="386"/>
  <c r="AZ311" i="386"/>
  <c r="AY311" i="386"/>
  <c r="BL311" i="386" s="1"/>
  <c r="AW311" i="386"/>
  <c r="AV311" i="386"/>
  <c r="AU311" i="386"/>
  <c r="AT311" i="386"/>
  <c r="AS311" i="386"/>
  <c r="AR311" i="386"/>
  <c r="AQ311" i="386"/>
  <c r="AP311" i="386"/>
  <c r="BN310" i="386"/>
  <c r="BL310" i="386"/>
  <c r="BK310" i="386"/>
  <c r="BJ310" i="386"/>
  <c r="BM310" i="386" s="1"/>
  <c r="BI310" i="386"/>
  <c r="BH310" i="386"/>
  <c r="BG310" i="386"/>
  <c r="BF310" i="386"/>
  <c r="BE310" i="386"/>
  <c r="BD310" i="386"/>
  <c r="BC310" i="386"/>
  <c r="BB310" i="386"/>
  <c r="BA310" i="386"/>
  <c r="AZ310" i="386"/>
  <c r="AW310" i="386"/>
  <c r="AV310" i="386"/>
  <c r="AU310" i="386"/>
  <c r="AT310" i="386"/>
  <c r="AS310" i="386"/>
  <c r="AR310" i="386"/>
  <c r="AQ310" i="386"/>
  <c r="AP310" i="386"/>
  <c r="BN309" i="386"/>
  <c r="BL309" i="386"/>
  <c r="BK309" i="386"/>
  <c r="BJ309" i="386"/>
  <c r="BM309" i="386" s="1"/>
  <c r="BI309" i="386"/>
  <c r="BH309" i="386"/>
  <c r="BG309" i="386"/>
  <c r="BF309" i="386"/>
  <c r="BE309" i="386"/>
  <c r="BD309" i="386"/>
  <c r="BC309" i="386"/>
  <c r="BB309" i="386"/>
  <c r="BA309" i="386"/>
  <c r="AZ309" i="386"/>
  <c r="AW309" i="386"/>
  <c r="AV309" i="386"/>
  <c r="AU309" i="386"/>
  <c r="AT309" i="386"/>
  <c r="AS309" i="386"/>
  <c r="AR309" i="386"/>
  <c r="AQ309" i="386"/>
  <c r="AP309" i="386"/>
  <c r="BN308" i="386"/>
  <c r="BM308" i="386"/>
  <c r="BK308" i="386"/>
  <c r="BJ308" i="386"/>
  <c r="BI308" i="386"/>
  <c r="BH308" i="386"/>
  <c r="BG308" i="386"/>
  <c r="BF308" i="386"/>
  <c r="BE308" i="386"/>
  <c r="BD308" i="386"/>
  <c r="BC308" i="386"/>
  <c r="BB308" i="386"/>
  <c r="BA308" i="386"/>
  <c r="AZ308" i="386"/>
  <c r="AY308" i="386"/>
  <c r="BL308" i="386" s="1"/>
  <c r="AW308" i="386"/>
  <c r="AV308" i="386"/>
  <c r="AU308" i="386"/>
  <c r="AT308" i="386"/>
  <c r="AS308" i="386"/>
  <c r="AR308" i="386"/>
  <c r="AQ308" i="386"/>
  <c r="AP308" i="386"/>
  <c r="BN307" i="386"/>
  <c r="BM307" i="386"/>
  <c r="BL307" i="386"/>
  <c r="BK307" i="386"/>
  <c r="BJ307" i="386"/>
  <c r="BI307" i="386"/>
  <c r="BH307" i="386"/>
  <c r="BG307" i="386"/>
  <c r="BF307" i="386"/>
  <c r="BE307" i="386"/>
  <c r="BD307" i="386"/>
  <c r="BC307" i="386"/>
  <c r="BB307" i="386"/>
  <c r="BA307" i="386"/>
  <c r="AZ307" i="386"/>
  <c r="AW307" i="386"/>
  <c r="AV307" i="386"/>
  <c r="AU307" i="386"/>
  <c r="AT307" i="386"/>
  <c r="AS307" i="386"/>
  <c r="AR307" i="386"/>
  <c r="AQ307" i="386"/>
  <c r="AP307" i="386"/>
  <c r="BN306" i="386"/>
  <c r="BM306" i="386"/>
  <c r="BK306" i="386"/>
  <c r="BJ306" i="386"/>
  <c r="BI306" i="386"/>
  <c r="BH306" i="386"/>
  <c r="BG306" i="386"/>
  <c r="BF306" i="386"/>
  <c r="BE306" i="386"/>
  <c r="BD306" i="386"/>
  <c r="BC306" i="386"/>
  <c r="BB306" i="386"/>
  <c r="BA306" i="386"/>
  <c r="AZ306" i="386"/>
  <c r="AY306" i="386"/>
  <c r="BL306" i="386" s="1"/>
  <c r="AW306" i="386"/>
  <c r="AV306" i="386"/>
  <c r="AU306" i="386"/>
  <c r="AT306" i="386"/>
  <c r="AS306" i="386"/>
  <c r="AR306" i="386"/>
  <c r="AQ306" i="386"/>
  <c r="AP306" i="386"/>
  <c r="AO305" i="386"/>
  <c r="AN305" i="386"/>
  <c r="AM305" i="386"/>
  <c r="AL305" i="386"/>
  <c r="AK305" i="386"/>
  <c r="AJ305" i="386"/>
  <c r="AI305" i="386"/>
  <c r="AH305" i="386"/>
  <c r="AG305" i="386"/>
  <c r="AF305" i="386"/>
  <c r="AE305" i="386"/>
  <c r="AD305" i="386"/>
  <c r="AC305" i="386"/>
  <c r="AB305" i="386"/>
  <c r="AA305" i="386"/>
  <c r="Z305" i="386"/>
  <c r="Y305" i="386"/>
  <c r="X305" i="386"/>
  <c r="W305" i="386"/>
  <c r="V305" i="386"/>
  <c r="U305" i="386"/>
  <c r="T305" i="386"/>
  <c r="S305" i="386"/>
  <c r="R305" i="386"/>
  <c r="Q305" i="386"/>
  <c r="P305" i="386"/>
  <c r="O305" i="386"/>
  <c r="N305" i="386"/>
  <c r="M305" i="386"/>
  <c r="L305" i="386"/>
  <c r="BN304" i="386"/>
  <c r="BM304" i="386"/>
  <c r="BL304" i="386"/>
  <c r="BK304" i="386"/>
  <c r="BJ304" i="386"/>
  <c r="BI304" i="386"/>
  <c r="BH304" i="386"/>
  <c r="BG304" i="386"/>
  <c r="BF304" i="386"/>
  <c r="BE304" i="386"/>
  <c r="BD304" i="386"/>
  <c r="BC304" i="386"/>
  <c r="BB304" i="386"/>
  <c r="BA304" i="386"/>
  <c r="AZ304" i="386"/>
  <c r="AY304" i="386"/>
  <c r="AW304" i="386"/>
  <c r="AV304" i="386"/>
  <c r="AU304" i="386"/>
  <c r="AT304" i="386"/>
  <c r="AS304" i="386"/>
  <c r="AR304" i="386"/>
  <c r="AQ304" i="386"/>
  <c r="AP304" i="386"/>
  <c r="BN303" i="386"/>
  <c r="BM303" i="386"/>
  <c r="BL303" i="386"/>
  <c r="BK303" i="386"/>
  <c r="BJ303" i="386"/>
  <c r="BI303" i="386"/>
  <c r="BH303" i="386"/>
  <c r="BG303" i="386"/>
  <c r="BF303" i="386"/>
  <c r="BE303" i="386"/>
  <c r="BD303" i="386"/>
  <c r="BC303" i="386"/>
  <c r="BB303" i="386"/>
  <c r="BA303" i="386"/>
  <c r="AZ303" i="386"/>
  <c r="AY303" i="386"/>
  <c r="AX303" i="386"/>
  <c r="AW303" i="386"/>
  <c r="AV303" i="386"/>
  <c r="AU303" i="386"/>
  <c r="AT303" i="386"/>
  <c r="AS303" i="386"/>
  <c r="AR303" i="386"/>
  <c r="AQ303" i="386"/>
  <c r="AP303" i="386"/>
  <c r="BN302" i="386"/>
  <c r="BM302" i="386"/>
  <c r="BL302" i="386"/>
  <c r="BK302" i="386"/>
  <c r="BJ302" i="386"/>
  <c r="BI302" i="386"/>
  <c r="BH302" i="386"/>
  <c r="BG302" i="386"/>
  <c r="BF302" i="386"/>
  <c r="BE302" i="386"/>
  <c r="BD302" i="386"/>
  <c r="BC302" i="386"/>
  <c r="BB302" i="386"/>
  <c r="BA302" i="386"/>
  <c r="AZ302" i="386"/>
  <c r="AY302" i="386"/>
  <c r="AW302" i="386"/>
  <c r="AV302" i="386"/>
  <c r="AU302" i="386"/>
  <c r="AT302" i="386"/>
  <c r="AS302" i="386"/>
  <c r="AR302" i="386"/>
  <c r="AQ302" i="386"/>
  <c r="AP302" i="386"/>
  <c r="BN301" i="386"/>
  <c r="BM301" i="386"/>
  <c r="BL301" i="386"/>
  <c r="BK301" i="386"/>
  <c r="BJ301" i="386"/>
  <c r="BI301" i="386"/>
  <c r="BH301" i="386"/>
  <c r="BG301" i="386"/>
  <c r="BF301" i="386"/>
  <c r="BE301" i="386"/>
  <c r="BD301" i="386"/>
  <c r="BC301" i="386"/>
  <c r="BB301" i="386"/>
  <c r="BA301" i="386"/>
  <c r="AZ301" i="386"/>
  <c r="AW301" i="386"/>
  <c r="AV301" i="386"/>
  <c r="AU301" i="386"/>
  <c r="AT301" i="386"/>
  <c r="AS301" i="386"/>
  <c r="AR301" i="386"/>
  <c r="AQ301" i="386"/>
  <c r="AP301" i="386"/>
  <c r="BN300" i="386"/>
  <c r="BM300" i="386"/>
  <c r="BL300" i="386"/>
  <c r="BK300" i="386"/>
  <c r="BJ300" i="386"/>
  <c r="BI300" i="386"/>
  <c r="BH300" i="386"/>
  <c r="BG300" i="386"/>
  <c r="BF300" i="386"/>
  <c r="BE300" i="386"/>
  <c r="BD300" i="386"/>
  <c r="BC300" i="386"/>
  <c r="BB300" i="386"/>
  <c r="BA300" i="386"/>
  <c r="AZ300" i="386"/>
  <c r="AY300" i="386"/>
  <c r="AW300" i="386"/>
  <c r="AV300" i="386"/>
  <c r="AU300" i="386"/>
  <c r="AT300" i="386"/>
  <c r="AS300" i="386"/>
  <c r="AR300" i="386"/>
  <c r="AQ300" i="386"/>
  <c r="AP300" i="386"/>
  <c r="BN299" i="386"/>
  <c r="BM299" i="386"/>
  <c r="BL299" i="386"/>
  <c r="BK299" i="386"/>
  <c r="BJ299" i="386"/>
  <c r="BI299" i="386"/>
  <c r="BH299" i="386"/>
  <c r="BG299" i="386"/>
  <c r="BF299" i="386"/>
  <c r="BE299" i="386"/>
  <c r="BD299" i="386"/>
  <c r="BC299" i="386"/>
  <c r="BB299" i="386"/>
  <c r="BA299" i="386"/>
  <c r="AZ299" i="386"/>
  <c r="AY299" i="386"/>
  <c r="AX299" i="386"/>
  <c r="AW299" i="386"/>
  <c r="AV299" i="386"/>
  <c r="AU299" i="386"/>
  <c r="AT299" i="386"/>
  <c r="AS299" i="386"/>
  <c r="AR299" i="386"/>
  <c r="AQ299" i="386"/>
  <c r="AP299" i="386"/>
  <c r="BN298" i="386"/>
  <c r="BM298" i="386"/>
  <c r="BL298" i="386"/>
  <c r="BJ298" i="386"/>
  <c r="BI298" i="386"/>
  <c r="BH298" i="386"/>
  <c r="BG298" i="386"/>
  <c r="BF298" i="386"/>
  <c r="BE298" i="386"/>
  <c r="BD298" i="386"/>
  <c r="BC298" i="386"/>
  <c r="BB298" i="386"/>
  <c r="BA298" i="386"/>
  <c r="AZ298" i="386"/>
  <c r="AY298" i="386"/>
  <c r="AX298" i="386"/>
  <c r="BK298" i="386" s="1"/>
  <c r="AW298" i="386"/>
  <c r="AV298" i="386"/>
  <c r="AU298" i="386"/>
  <c r="AT298" i="386"/>
  <c r="AS298" i="386"/>
  <c r="AR298" i="386"/>
  <c r="AQ298" i="386"/>
  <c r="AP298" i="386"/>
  <c r="BN297" i="386"/>
  <c r="BM297" i="386"/>
  <c r="BL297" i="386"/>
  <c r="BK297" i="386"/>
  <c r="BJ297" i="386"/>
  <c r="BI297" i="386"/>
  <c r="BH297" i="386"/>
  <c r="BG297" i="386"/>
  <c r="BF297" i="386"/>
  <c r="BE297" i="386"/>
  <c r="BD297" i="386"/>
  <c r="BC297" i="386"/>
  <c r="BB297" i="386"/>
  <c r="BA297" i="386"/>
  <c r="AZ297" i="386"/>
  <c r="AW297" i="386"/>
  <c r="AV297" i="386"/>
  <c r="AU297" i="386"/>
  <c r="AT297" i="386"/>
  <c r="AS297" i="386"/>
  <c r="AR297" i="386"/>
  <c r="AQ297" i="386"/>
  <c r="AP297" i="386"/>
  <c r="BN296" i="386"/>
  <c r="BM296" i="386"/>
  <c r="BL296" i="386"/>
  <c r="BK296" i="386"/>
  <c r="BJ296" i="386"/>
  <c r="BI296" i="386"/>
  <c r="BH296" i="386"/>
  <c r="BG296" i="386"/>
  <c r="BF296" i="386"/>
  <c r="BE296" i="386"/>
  <c r="BD296" i="386"/>
  <c r="BC296" i="386"/>
  <c r="BB296" i="386"/>
  <c r="BA296" i="386"/>
  <c r="AZ296" i="386"/>
  <c r="AW296" i="386"/>
  <c r="AV296" i="386"/>
  <c r="AU296" i="386"/>
  <c r="AT296" i="386"/>
  <c r="AS296" i="386"/>
  <c r="AR296" i="386"/>
  <c r="AQ296" i="386"/>
  <c r="AP296" i="386"/>
  <c r="BN295" i="386"/>
  <c r="BL295" i="386"/>
  <c r="BK295" i="386"/>
  <c r="BJ295" i="386"/>
  <c r="BM295" i="386" s="1"/>
  <c r="BI295" i="386"/>
  <c r="BH295" i="386"/>
  <c r="BG295" i="386"/>
  <c r="BF295" i="386"/>
  <c r="BE295" i="386"/>
  <c r="BD295" i="386"/>
  <c r="BC295" i="386"/>
  <c r="BB295" i="386"/>
  <c r="BA295" i="386"/>
  <c r="AZ295" i="386"/>
  <c r="AX295" i="386"/>
  <c r="AW295" i="386"/>
  <c r="AV295" i="386"/>
  <c r="AU295" i="386"/>
  <c r="AT295" i="386"/>
  <c r="AS295" i="386"/>
  <c r="AR295" i="386"/>
  <c r="AQ295" i="386"/>
  <c r="AP295" i="386"/>
  <c r="BN294" i="386"/>
  <c r="BL294" i="386"/>
  <c r="BK294" i="386"/>
  <c r="BJ294" i="386"/>
  <c r="BM294" i="386" s="1"/>
  <c r="BI294" i="386"/>
  <c r="BH294" i="386"/>
  <c r="BG294" i="386"/>
  <c r="BF294" i="386"/>
  <c r="BE294" i="386"/>
  <c r="BD294" i="386"/>
  <c r="BC294" i="386"/>
  <c r="BB294" i="386"/>
  <c r="BA294" i="386"/>
  <c r="AZ294" i="386"/>
  <c r="AY294" i="386"/>
  <c r="AW294" i="386"/>
  <c r="AV294" i="386"/>
  <c r="AU294" i="386"/>
  <c r="AT294" i="386"/>
  <c r="AS294" i="386"/>
  <c r="AR294" i="386"/>
  <c r="AQ294" i="386"/>
  <c r="AP294" i="386"/>
  <c r="BN293" i="386"/>
  <c r="BL293" i="386"/>
  <c r="BK293" i="386"/>
  <c r="BJ293" i="386"/>
  <c r="BM293" i="386" s="1"/>
  <c r="BI293" i="386"/>
  <c r="BH293" i="386"/>
  <c r="BG293" i="386"/>
  <c r="BF293" i="386"/>
  <c r="BE293" i="386"/>
  <c r="BD293" i="386"/>
  <c r="BC293" i="386"/>
  <c r="BB293" i="386"/>
  <c r="BA293" i="386"/>
  <c r="AZ293" i="386"/>
  <c r="AW293" i="386"/>
  <c r="AV293" i="386"/>
  <c r="AU293" i="386"/>
  <c r="AT293" i="386"/>
  <c r="AS293" i="386"/>
  <c r="AR293" i="386"/>
  <c r="AQ293" i="386"/>
  <c r="AP293" i="386"/>
  <c r="BN292" i="386"/>
  <c r="BL292" i="386"/>
  <c r="BK292" i="386"/>
  <c r="BJ292" i="386"/>
  <c r="BM292" i="386" s="1"/>
  <c r="BI292" i="386"/>
  <c r="BH292" i="386"/>
  <c r="BG292" i="386"/>
  <c r="BF292" i="386"/>
  <c r="BE292" i="386"/>
  <c r="BD292" i="386"/>
  <c r="BC292" i="386"/>
  <c r="BB292" i="386"/>
  <c r="BA292" i="386"/>
  <c r="AZ292" i="386"/>
  <c r="AY292" i="386"/>
  <c r="AW292" i="386"/>
  <c r="AV292" i="386"/>
  <c r="AU292" i="386"/>
  <c r="AT292" i="386"/>
  <c r="AS292" i="386"/>
  <c r="AR292" i="386"/>
  <c r="AQ292" i="386"/>
  <c r="AP292" i="386"/>
  <c r="AO291" i="386"/>
  <c r="AN291" i="386"/>
  <c r="AM291" i="386"/>
  <c r="AL291" i="386"/>
  <c r="AK291" i="386"/>
  <c r="AJ291" i="386"/>
  <c r="AI291" i="386"/>
  <c r="AH291" i="386"/>
  <c r="AG291" i="386"/>
  <c r="AF291" i="386"/>
  <c r="AE291" i="386"/>
  <c r="AD291" i="386"/>
  <c r="AC291" i="386"/>
  <c r="AB291" i="386"/>
  <c r="AA291" i="386"/>
  <c r="Z291" i="386"/>
  <c r="Y291" i="386"/>
  <c r="X291" i="386"/>
  <c r="W291" i="386"/>
  <c r="V291" i="386"/>
  <c r="U291" i="386"/>
  <c r="T291" i="386"/>
  <c r="S291" i="386"/>
  <c r="R291" i="386"/>
  <c r="Q291" i="386"/>
  <c r="P291" i="386"/>
  <c r="O291" i="386"/>
  <c r="N291" i="386"/>
  <c r="M291" i="386"/>
  <c r="L291" i="386"/>
  <c r="BN290" i="386"/>
  <c r="BK290" i="386"/>
  <c r="BJ290" i="386"/>
  <c r="BM290" i="386" s="1"/>
  <c r="BI290" i="386"/>
  <c r="BH290" i="386"/>
  <c r="BG290" i="386"/>
  <c r="BF290" i="386"/>
  <c r="BE290" i="386"/>
  <c r="BD290" i="386"/>
  <c r="BC290" i="386"/>
  <c r="BB290" i="386"/>
  <c r="BA290" i="386"/>
  <c r="AZ290" i="386"/>
  <c r="AY290" i="386"/>
  <c r="BL290" i="386" s="1"/>
  <c r="AX290" i="386"/>
  <c r="AW290" i="386"/>
  <c r="AV290" i="386"/>
  <c r="AU290" i="386"/>
  <c r="AT290" i="386"/>
  <c r="AS290" i="386"/>
  <c r="AR290" i="386"/>
  <c r="AQ290" i="386"/>
  <c r="AP290" i="386"/>
  <c r="BN289" i="386"/>
  <c r="BL289" i="386"/>
  <c r="BK289" i="386"/>
  <c r="BJ289" i="386"/>
  <c r="BM289" i="386" s="1"/>
  <c r="BI289" i="386"/>
  <c r="BH289" i="386"/>
  <c r="BG289" i="386"/>
  <c r="BF289" i="386"/>
  <c r="BE289" i="386"/>
  <c r="BD289" i="386"/>
  <c r="BC289" i="386"/>
  <c r="BB289" i="386"/>
  <c r="BA289" i="386"/>
  <c r="AZ289" i="386"/>
  <c r="AY289" i="386"/>
  <c r="AX289" i="386"/>
  <c r="AW289" i="386"/>
  <c r="AV289" i="386"/>
  <c r="AU289" i="386"/>
  <c r="AT289" i="386"/>
  <c r="AS289" i="386"/>
  <c r="AR289" i="386"/>
  <c r="AQ289" i="386"/>
  <c r="AP289" i="386"/>
  <c r="BN288" i="386"/>
  <c r="BL288" i="386"/>
  <c r="BK288" i="386"/>
  <c r="BJ288" i="386"/>
  <c r="BM288" i="386" s="1"/>
  <c r="BI288" i="386"/>
  <c r="BH288" i="386"/>
  <c r="BG288" i="386"/>
  <c r="BF288" i="386"/>
  <c r="BE288" i="386"/>
  <c r="BD288" i="386"/>
  <c r="BC288" i="386"/>
  <c r="BB288" i="386"/>
  <c r="BA288" i="386"/>
  <c r="AZ288" i="386"/>
  <c r="AY288" i="386"/>
  <c r="AW288" i="386"/>
  <c r="AV288" i="386"/>
  <c r="AU288" i="386"/>
  <c r="AT288" i="386"/>
  <c r="AS288" i="386"/>
  <c r="AR288" i="386"/>
  <c r="AQ288" i="386"/>
  <c r="AP288" i="386"/>
  <c r="BN287" i="386"/>
  <c r="BL287" i="386"/>
  <c r="BK287" i="386"/>
  <c r="BJ287" i="386"/>
  <c r="BM287" i="386" s="1"/>
  <c r="BI287" i="386"/>
  <c r="BH287" i="386"/>
  <c r="BG287" i="386"/>
  <c r="BF287" i="386"/>
  <c r="BE287" i="386"/>
  <c r="BD287" i="386"/>
  <c r="BC287" i="386"/>
  <c r="BB287" i="386"/>
  <c r="BA287" i="386"/>
  <c r="AZ287" i="386"/>
  <c r="AY287" i="386"/>
  <c r="AW287" i="386"/>
  <c r="AV287" i="386"/>
  <c r="AU287" i="386"/>
  <c r="AT287" i="386"/>
  <c r="AS287" i="386"/>
  <c r="AR287" i="386"/>
  <c r="AQ287" i="386"/>
  <c r="AP287" i="386"/>
  <c r="BN286" i="386"/>
  <c r="BL286" i="386"/>
  <c r="BK286" i="386"/>
  <c r="BJ286" i="386"/>
  <c r="BM286" i="386" s="1"/>
  <c r="BI286" i="386"/>
  <c r="BH286" i="386"/>
  <c r="BG286" i="386"/>
  <c r="BF286" i="386"/>
  <c r="BE286" i="386"/>
  <c r="BD286" i="386"/>
  <c r="BC286" i="386"/>
  <c r="BB286" i="386"/>
  <c r="BA286" i="386"/>
  <c r="AZ286" i="386"/>
  <c r="AY286" i="386"/>
  <c r="AW286" i="386"/>
  <c r="AV286" i="386"/>
  <c r="AU286" i="386"/>
  <c r="AT286" i="386"/>
  <c r="AS286" i="386"/>
  <c r="AR286" i="386"/>
  <c r="AQ286" i="386"/>
  <c r="AP286" i="386"/>
  <c r="BN285" i="386"/>
  <c r="BL285" i="386"/>
  <c r="BK285" i="386"/>
  <c r="BJ285" i="386"/>
  <c r="BM285" i="386" s="1"/>
  <c r="BI285" i="386"/>
  <c r="BH285" i="386"/>
  <c r="BG285" i="386"/>
  <c r="BF285" i="386"/>
  <c r="BE285" i="386"/>
  <c r="BD285" i="386"/>
  <c r="BC285" i="386"/>
  <c r="BB285" i="386"/>
  <c r="BA285" i="386"/>
  <c r="AZ285" i="386"/>
  <c r="AY285" i="386"/>
  <c r="AX285" i="386"/>
  <c r="AW285" i="386"/>
  <c r="AV285" i="386"/>
  <c r="AU285" i="386"/>
  <c r="AT285" i="386"/>
  <c r="AS285" i="386"/>
  <c r="AR285" i="386"/>
  <c r="AQ285" i="386"/>
  <c r="AP285" i="386"/>
  <c r="BN284" i="386"/>
  <c r="BL284" i="386"/>
  <c r="BK284" i="386"/>
  <c r="BJ284" i="386"/>
  <c r="BM284" i="386" s="1"/>
  <c r="BI284" i="386"/>
  <c r="BH284" i="386"/>
  <c r="BG284" i="386"/>
  <c r="BF284" i="386"/>
  <c r="BE284" i="386"/>
  <c r="BD284" i="386"/>
  <c r="BC284" i="386"/>
  <c r="BB284" i="386"/>
  <c r="BA284" i="386"/>
  <c r="AZ284" i="386"/>
  <c r="AY284" i="386"/>
  <c r="AW284" i="386"/>
  <c r="AV284" i="386"/>
  <c r="AU284" i="386"/>
  <c r="AT284" i="386"/>
  <c r="AS284" i="386"/>
  <c r="AR284" i="386"/>
  <c r="AQ284" i="386"/>
  <c r="AP284" i="386"/>
  <c r="BN283" i="386"/>
  <c r="BL283" i="386"/>
  <c r="BK283" i="386"/>
  <c r="BJ283" i="386"/>
  <c r="BM283" i="386" s="1"/>
  <c r="BI283" i="386"/>
  <c r="BH283" i="386"/>
  <c r="BG283" i="386"/>
  <c r="BF283" i="386"/>
  <c r="BE283" i="386"/>
  <c r="BD283" i="386"/>
  <c r="BC283" i="386"/>
  <c r="BB283" i="386"/>
  <c r="BA283" i="386"/>
  <c r="AZ283" i="386"/>
  <c r="AY283" i="386"/>
  <c r="AW283" i="386"/>
  <c r="AV283" i="386"/>
  <c r="AU283" i="386"/>
  <c r="AT283" i="386"/>
  <c r="AS283" i="386"/>
  <c r="AR283" i="386"/>
  <c r="AQ283" i="386"/>
  <c r="AP283" i="386"/>
  <c r="BN282" i="386"/>
  <c r="BL282" i="386"/>
  <c r="BK282" i="386"/>
  <c r="BJ282" i="386"/>
  <c r="BM282" i="386" s="1"/>
  <c r="BI282" i="386"/>
  <c r="BH282" i="386"/>
  <c r="BG282" i="386"/>
  <c r="BF282" i="386"/>
  <c r="BE282" i="386"/>
  <c r="BD282" i="386"/>
  <c r="BC282" i="386"/>
  <c r="BB282" i="386"/>
  <c r="BA282" i="386"/>
  <c r="AZ282" i="386"/>
  <c r="AY282" i="386"/>
  <c r="AW282" i="386"/>
  <c r="AV282" i="386"/>
  <c r="AU282" i="386"/>
  <c r="AT282" i="386"/>
  <c r="AS282" i="386"/>
  <c r="AR282" i="386"/>
  <c r="AQ282" i="386"/>
  <c r="AP282" i="386"/>
  <c r="BN281" i="386"/>
  <c r="BL281" i="386"/>
  <c r="BK281" i="386"/>
  <c r="BJ281" i="386"/>
  <c r="BM281" i="386" s="1"/>
  <c r="BI281" i="386"/>
  <c r="BH281" i="386"/>
  <c r="BG281" i="386"/>
  <c r="BF281" i="386"/>
  <c r="BE281" i="386"/>
  <c r="BD281" i="386"/>
  <c r="BC281" i="386"/>
  <c r="BB281" i="386"/>
  <c r="BA281" i="386"/>
  <c r="AZ281" i="386"/>
  <c r="AW281" i="386"/>
  <c r="AV281" i="386"/>
  <c r="AU281" i="386"/>
  <c r="AT281" i="386"/>
  <c r="AS281" i="386"/>
  <c r="AR281" i="386"/>
  <c r="AQ281" i="386"/>
  <c r="AP281" i="386"/>
  <c r="BN280" i="386"/>
  <c r="BL280" i="386"/>
  <c r="BK280" i="386"/>
  <c r="BJ280" i="386"/>
  <c r="BM280" i="386" s="1"/>
  <c r="BI280" i="386"/>
  <c r="BH280" i="386"/>
  <c r="BG280" i="386"/>
  <c r="BF280" i="386"/>
  <c r="BE280" i="386"/>
  <c r="BD280" i="386"/>
  <c r="BC280" i="386"/>
  <c r="BB280" i="386"/>
  <c r="BA280" i="386"/>
  <c r="AZ280" i="386"/>
  <c r="AW280" i="386"/>
  <c r="AV280" i="386"/>
  <c r="AU280" i="386"/>
  <c r="AT280" i="386"/>
  <c r="AS280" i="386"/>
  <c r="AR280" i="386"/>
  <c r="AQ280" i="386"/>
  <c r="AP280" i="386"/>
  <c r="BN279" i="386"/>
  <c r="BL279" i="386"/>
  <c r="BK279" i="386"/>
  <c r="BJ279" i="386"/>
  <c r="BM279" i="386" s="1"/>
  <c r="BI279" i="386"/>
  <c r="BH279" i="386"/>
  <c r="BG279" i="386"/>
  <c r="BF279" i="386"/>
  <c r="BE279" i="386"/>
  <c r="BD279" i="386"/>
  <c r="BC279" i="386"/>
  <c r="BB279" i="386"/>
  <c r="BA279" i="386"/>
  <c r="AZ279" i="386"/>
  <c r="AY279" i="386"/>
  <c r="AW279" i="386"/>
  <c r="AV279" i="386"/>
  <c r="AU279" i="386"/>
  <c r="AT279" i="386"/>
  <c r="AS279" i="386"/>
  <c r="AR279" i="386"/>
  <c r="AQ279" i="386"/>
  <c r="AP279" i="386"/>
  <c r="BN278" i="386"/>
  <c r="BL278" i="386"/>
  <c r="BK278" i="386"/>
  <c r="BJ278" i="386"/>
  <c r="BM278" i="386" s="1"/>
  <c r="BI278" i="386"/>
  <c r="BH278" i="386"/>
  <c r="BG278" i="386"/>
  <c r="BF278" i="386"/>
  <c r="BE278" i="386"/>
  <c r="BD278" i="386"/>
  <c r="BC278" i="386"/>
  <c r="BB278" i="386"/>
  <c r="BA278" i="386"/>
  <c r="AZ278" i="386"/>
  <c r="AY278" i="386"/>
  <c r="AW278" i="386"/>
  <c r="AV278" i="386"/>
  <c r="AU278" i="386"/>
  <c r="AT278" i="386"/>
  <c r="AS278" i="386"/>
  <c r="AR278" i="386"/>
  <c r="AQ278" i="386"/>
  <c r="AP278" i="386"/>
  <c r="AO277" i="386"/>
  <c r="AN277" i="386"/>
  <c r="AM277" i="386"/>
  <c r="AL277" i="386"/>
  <c r="AK277" i="386"/>
  <c r="AJ277" i="386"/>
  <c r="AI277" i="386"/>
  <c r="AH277" i="386"/>
  <c r="AG277" i="386"/>
  <c r="AF277" i="386"/>
  <c r="AE277" i="386"/>
  <c r="AD277" i="386"/>
  <c r="AC277" i="386"/>
  <c r="AB277" i="386"/>
  <c r="AA277" i="386"/>
  <c r="Z277" i="386"/>
  <c r="Y277" i="386"/>
  <c r="X277" i="386"/>
  <c r="W277" i="386"/>
  <c r="V277" i="386"/>
  <c r="U277" i="386"/>
  <c r="T277" i="386"/>
  <c r="S277" i="386"/>
  <c r="R277" i="386"/>
  <c r="Q277" i="386"/>
  <c r="P277" i="386"/>
  <c r="O277" i="386"/>
  <c r="N277" i="386"/>
  <c r="M277" i="386"/>
  <c r="L277" i="386"/>
  <c r="BN276" i="386"/>
  <c r="BK276" i="386"/>
  <c r="BJ276" i="386"/>
  <c r="BM276" i="386" s="1"/>
  <c r="BI276" i="386"/>
  <c r="BH276" i="386"/>
  <c r="BG276" i="386"/>
  <c r="BF276" i="386"/>
  <c r="BE276" i="386"/>
  <c r="BD276" i="386"/>
  <c r="BC276" i="386"/>
  <c r="BB276" i="386"/>
  <c r="BA276" i="386"/>
  <c r="AZ276" i="386"/>
  <c r="AY276" i="386"/>
  <c r="BL276" i="386" s="1"/>
  <c r="AW276" i="386"/>
  <c r="AV276" i="386"/>
  <c r="AU276" i="386"/>
  <c r="AT276" i="386"/>
  <c r="AS276" i="386"/>
  <c r="AR276" i="386"/>
  <c r="AQ276" i="386"/>
  <c r="AP276" i="386"/>
  <c r="BN275" i="386"/>
  <c r="BL275" i="386"/>
  <c r="BK275" i="386"/>
  <c r="BJ275" i="386"/>
  <c r="BM275" i="386" s="1"/>
  <c r="BI275" i="386"/>
  <c r="BH275" i="386"/>
  <c r="BG275" i="386"/>
  <c r="BF275" i="386"/>
  <c r="BE275" i="386"/>
  <c r="BD275" i="386"/>
  <c r="BC275" i="386"/>
  <c r="BB275" i="386"/>
  <c r="BA275" i="386"/>
  <c r="AZ275" i="386"/>
  <c r="AW275" i="386"/>
  <c r="AV275" i="386"/>
  <c r="AU275" i="386"/>
  <c r="AT275" i="386"/>
  <c r="AS275" i="386"/>
  <c r="AR275" i="386"/>
  <c r="AQ275" i="386"/>
  <c r="AP275" i="386"/>
  <c r="BN274" i="386"/>
  <c r="BM274" i="386"/>
  <c r="BL274" i="386"/>
  <c r="BK274" i="386"/>
  <c r="BJ274" i="386"/>
  <c r="BI274" i="386"/>
  <c r="BH274" i="386"/>
  <c r="BG274" i="386"/>
  <c r="BF274" i="386"/>
  <c r="BE274" i="386"/>
  <c r="BD274" i="386"/>
  <c r="BC274" i="386"/>
  <c r="BB274" i="386"/>
  <c r="BA274" i="386"/>
  <c r="AZ274" i="386"/>
  <c r="AW274" i="386"/>
  <c r="AV274" i="386"/>
  <c r="AU274" i="386"/>
  <c r="AT274" i="386"/>
  <c r="AS274" i="386"/>
  <c r="AR274" i="386"/>
  <c r="AQ274" i="386"/>
  <c r="AP274" i="386"/>
  <c r="BN273" i="386"/>
  <c r="BM273" i="386"/>
  <c r="BJ273" i="386"/>
  <c r="BI273" i="386"/>
  <c r="BH273" i="386"/>
  <c r="BG273" i="386"/>
  <c r="BF273" i="386"/>
  <c r="BE273" i="386"/>
  <c r="BD273" i="386"/>
  <c r="BC273" i="386"/>
  <c r="BB273" i="386"/>
  <c r="BA273" i="386"/>
  <c r="AZ273" i="386"/>
  <c r="AY273" i="386"/>
  <c r="BL273" i="386" s="1"/>
  <c r="AX273" i="386"/>
  <c r="BK273" i="386" s="1"/>
  <c r="AW273" i="386"/>
  <c r="AV273" i="386"/>
  <c r="AU273" i="386"/>
  <c r="AT273" i="386"/>
  <c r="AS273" i="386"/>
  <c r="AR273" i="386"/>
  <c r="AQ273" i="386"/>
  <c r="AP273" i="386"/>
  <c r="AO272" i="386"/>
  <c r="AN272" i="386"/>
  <c r="AM272" i="386"/>
  <c r="AL272" i="386"/>
  <c r="AK272" i="386"/>
  <c r="AJ272" i="386"/>
  <c r="AI272" i="386"/>
  <c r="AH272" i="386"/>
  <c r="AG272" i="386"/>
  <c r="AF272" i="386"/>
  <c r="AE272" i="386"/>
  <c r="AD272" i="386"/>
  <c r="AC272" i="386"/>
  <c r="AB272" i="386"/>
  <c r="AA272" i="386"/>
  <c r="Z272" i="386"/>
  <c r="Y272" i="386"/>
  <c r="X272" i="386"/>
  <c r="W272" i="386"/>
  <c r="V272" i="386"/>
  <c r="U272" i="386"/>
  <c r="T272" i="386"/>
  <c r="S272" i="386"/>
  <c r="R272" i="386"/>
  <c r="Q272" i="386"/>
  <c r="P272" i="386"/>
  <c r="O272" i="386"/>
  <c r="N272" i="386"/>
  <c r="M272" i="386"/>
  <c r="L272" i="386"/>
  <c r="BN271" i="386"/>
  <c r="BM271" i="386"/>
  <c r="BL271" i="386"/>
  <c r="BK271" i="386"/>
  <c r="BJ271" i="386"/>
  <c r="BI271" i="386"/>
  <c r="BH271" i="386"/>
  <c r="BG271" i="386"/>
  <c r="BF271" i="386"/>
  <c r="BE271" i="386"/>
  <c r="BD271" i="386"/>
  <c r="BC271" i="386"/>
  <c r="BB271" i="386"/>
  <c r="BA271" i="386"/>
  <c r="AZ271" i="386"/>
  <c r="AW271" i="386"/>
  <c r="AV271" i="386"/>
  <c r="AU271" i="386"/>
  <c r="AT271" i="386"/>
  <c r="AS271" i="386"/>
  <c r="AR271" i="386"/>
  <c r="AQ271" i="386"/>
  <c r="AP271" i="386"/>
  <c r="AO270" i="386"/>
  <c r="AN270" i="386"/>
  <c r="AM270" i="386"/>
  <c r="AL270" i="386"/>
  <c r="AK270" i="386"/>
  <c r="AJ270" i="386"/>
  <c r="AI270" i="386"/>
  <c r="AH270" i="386"/>
  <c r="AG270" i="386"/>
  <c r="AF270" i="386"/>
  <c r="AE270" i="386"/>
  <c r="AD270" i="386"/>
  <c r="AC270" i="386"/>
  <c r="AB270" i="386"/>
  <c r="AA270" i="386"/>
  <c r="Z270" i="386"/>
  <c r="Y270" i="386"/>
  <c r="X270" i="386"/>
  <c r="W270" i="386"/>
  <c r="V270" i="386"/>
  <c r="U270" i="386"/>
  <c r="T270" i="386"/>
  <c r="S270" i="386"/>
  <c r="R270" i="386"/>
  <c r="Q270" i="386"/>
  <c r="P270" i="386"/>
  <c r="O270" i="386"/>
  <c r="N270" i="386"/>
  <c r="M270" i="386"/>
  <c r="L270" i="386"/>
  <c r="BN269" i="386"/>
  <c r="BL269" i="386"/>
  <c r="BK269" i="386"/>
  <c r="BJ269" i="386"/>
  <c r="BM269" i="386" s="1"/>
  <c r="BI269" i="386"/>
  <c r="BH269" i="386"/>
  <c r="BG269" i="386"/>
  <c r="BF269" i="386"/>
  <c r="BE269" i="386"/>
  <c r="BD269" i="386"/>
  <c r="BC269" i="386"/>
  <c r="BB269" i="386"/>
  <c r="BA269" i="386"/>
  <c r="AZ269" i="386"/>
  <c r="AW269" i="386"/>
  <c r="AV269" i="386"/>
  <c r="AU269" i="386"/>
  <c r="AT269" i="386"/>
  <c r="AS269" i="386"/>
  <c r="AR269" i="386"/>
  <c r="AQ269" i="386"/>
  <c r="AP269" i="386"/>
  <c r="BN268" i="386"/>
  <c r="BL268" i="386"/>
  <c r="BK268" i="386"/>
  <c r="BJ268" i="386"/>
  <c r="BM268" i="386" s="1"/>
  <c r="BI268" i="386"/>
  <c r="BH268" i="386"/>
  <c r="BG268" i="386"/>
  <c r="BF268" i="386"/>
  <c r="BE268" i="386"/>
  <c r="BD268" i="386"/>
  <c r="BC268" i="386"/>
  <c r="BB268" i="386"/>
  <c r="BA268" i="386"/>
  <c r="AZ268" i="386"/>
  <c r="AW268" i="386"/>
  <c r="AV268" i="386"/>
  <c r="AU268" i="386"/>
  <c r="AT268" i="386"/>
  <c r="AS268" i="386"/>
  <c r="AR268" i="386"/>
  <c r="AQ268" i="386"/>
  <c r="AP268" i="386"/>
  <c r="BN267" i="386"/>
  <c r="BJ267" i="386"/>
  <c r="BM267" i="386" s="1"/>
  <c r="BI267" i="386"/>
  <c r="BH267" i="386"/>
  <c r="BG267" i="386"/>
  <c r="BF267" i="386"/>
  <c r="BE267" i="386"/>
  <c r="BD267" i="386"/>
  <c r="BC267" i="386"/>
  <c r="BB267" i="386"/>
  <c r="BA267" i="386"/>
  <c r="AZ267" i="386"/>
  <c r="AY267" i="386"/>
  <c r="BL267" i="386" s="1"/>
  <c r="AX267" i="386"/>
  <c r="BK267" i="386" s="1"/>
  <c r="AW267" i="386"/>
  <c r="AV267" i="386"/>
  <c r="AU267" i="386"/>
  <c r="AT267" i="386"/>
  <c r="AS267" i="386"/>
  <c r="AR267" i="386"/>
  <c r="AQ267" i="386"/>
  <c r="AP267" i="386"/>
  <c r="BN266" i="386"/>
  <c r="BK266" i="386"/>
  <c r="BJ266" i="386"/>
  <c r="BM266" i="386" s="1"/>
  <c r="BI266" i="386"/>
  <c r="BH266" i="386"/>
  <c r="BG266" i="386"/>
  <c r="BF266" i="386"/>
  <c r="BE266" i="386"/>
  <c r="BD266" i="386"/>
  <c r="BC266" i="386"/>
  <c r="BB266" i="386"/>
  <c r="BA266" i="386"/>
  <c r="AZ266" i="386"/>
  <c r="AY266" i="386"/>
  <c r="BL266" i="386" s="1"/>
  <c r="AX266" i="386"/>
  <c r="AW266" i="386"/>
  <c r="AV266" i="386"/>
  <c r="AU266" i="386"/>
  <c r="AT266" i="386"/>
  <c r="AS266" i="386"/>
  <c r="AR266" i="386"/>
  <c r="AQ266" i="386"/>
  <c r="AP266" i="386"/>
  <c r="BN265" i="386"/>
  <c r="BL265" i="386"/>
  <c r="BK265" i="386"/>
  <c r="BJ265" i="386"/>
  <c r="BM265" i="386" s="1"/>
  <c r="BI265" i="386"/>
  <c r="BH265" i="386"/>
  <c r="BG265" i="386"/>
  <c r="BF265" i="386"/>
  <c r="BE265" i="386"/>
  <c r="BD265" i="386"/>
  <c r="BC265" i="386"/>
  <c r="BB265" i="386"/>
  <c r="BA265" i="386"/>
  <c r="AZ265" i="386"/>
  <c r="AY265" i="386"/>
  <c r="AW265" i="386"/>
  <c r="AV265" i="386"/>
  <c r="AU265" i="386"/>
  <c r="AT265" i="386"/>
  <c r="AS265" i="386"/>
  <c r="AR265" i="386"/>
  <c r="AQ265" i="386"/>
  <c r="AP265" i="386"/>
  <c r="BN264" i="386"/>
  <c r="BL264" i="386"/>
  <c r="BK264" i="386"/>
  <c r="BJ264" i="386"/>
  <c r="BM264" i="386" s="1"/>
  <c r="BI264" i="386"/>
  <c r="BH264" i="386"/>
  <c r="BG264" i="386"/>
  <c r="BF264" i="386"/>
  <c r="BE264" i="386"/>
  <c r="BD264" i="386"/>
  <c r="BC264" i="386"/>
  <c r="BB264" i="386"/>
  <c r="BA264" i="386"/>
  <c r="AZ264" i="386"/>
  <c r="AW264" i="386"/>
  <c r="AV264" i="386"/>
  <c r="AU264" i="386"/>
  <c r="AT264" i="386"/>
  <c r="AS264" i="386"/>
  <c r="AR264" i="386"/>
  <c r="AQ264" i="386"/>
  <c r="AP264" i="386"/>
  <c r="BN263" i="386"/>
  <c r="BK263" i="386"/>
  <c r="BJ263" i="386"/>
  <c r="BM263" i="386" s="1"/>
  <c r="BI263" i="386"/>
  <c r="BH263" i="386"/>
  <c r="BG263" i="386"/>
  <c r="BF263" i="386"/>
  <c r="BE263" i="386"/>
  <c r="BD263" i="386"/>
  <c r="BC263" i="386"/>
  <c r="BB263" i="386"/>
  <c r="BA263" i="386"/>
  <c r="AZ263" i="386"/>
  <c r="AY263" i="386"/>
  <c r="BL263" i="386" s="1"/>
  <c r="AX263" i="386"/>
  <c r="AW263" i="386"/>
  <c r="AV263" i="386"/>
  <c r="AU263" i="386"/>
  <c r="AT263" i="386"/>
  <c r="AS263" i="386"/>
  <c r="AR263" i="386"/>
  <c r="AQ263" i="386"/>
  <c r="AP263" i="386"/>
  <c r="BN262" i="386"/>
  <c r="BL262" i="386"/>
  <c r="BK262" i="386"/>
  <c r="BJ262" i="386"/>
  <c r="BM262" i="386" s="1"/>
  <c r="BI262" i="386"/>
  <c r="BH262" i="386"/>
  <c r="BG262" i="386"/>
  <c r="BF262" i="386"/>
  <c r="BE262" i="386"/>
  <c r="BD262" i="386"/>
  <c r="BC262" i="386"/>
  <c r="BB262" i="386"/>
  <c r="BA262" i="386"/>
  <c r="AZ262" i="386"/>
  <c r="AW262" i="386"/>
  <c r="AV262" i="386"/>
  <c r="AU262" i="386"/>
  <c r="AT262" i="386"/>
  <c r="AS262" i="386"/>
  <c r="AR262" i="386"/>
  <c r="AQ262" i="386"/>
  <c r="AP262" i="386"/>
  <c r="BN261" i="386"/>
  <c r="BL261" i="386"/>
  <c r="BK261" i="386"/>
  <c r="BJ261" i="386"/>
  <c r="BM261" i="386" s="1"/>
  <c r="BI261" i="386"/>
  <c r="BH261" i="386"/>
  <c r="BG261" i="386"/>
  <c r="BF261" i="386"/>
  <c r="BE261" i="386"/>
  <c r="BD261" i="386"/>
  <c r="BC261" i="386"/>
  <c r="BB261" i="386"/>
  <c r="BA261" i="386"/>
  <c r="AZ261" i="386"/>
  <c r="AW261" i="386"/>
  <c r="AV261" i="386"/>
  <c r="AU261" i="386"/>
  <c r="AT261" i="386"/>
  <c r="AS261" i="386"/>
  <c r="AR261" i="386"/>
  <c r="AQ261" i="386"/>
  <c r="AP261" i="386"/>
  <c r="BN260" i="386"/>
  <c r="BJ260" i="386"/>
  <c r="BM260" i="386" s="1"/>
  <c r="BI260" i="386"/>
  <c r="BH260" i="386"/>
  <c r="BG260" i="386"/>
  <c r="BF260" i="386"/>
  <c r="BE260" i="386"/>
  <c r="BD260" i="386"/>
  <c r="BC260" i="386"/>
  <c r="BB260" i="386"/>
  <c r="BA260" i="386"/>
  <c r="AZ260" i="386"/>
  <c r="AY260" i="386"/>
  <c r="BL260" i="386" s="1"/>
  <c r="AX260" i="386"/>
  <c r="BK260" i="386" s="1"/>
  <c r="AW260" i="386"/>
  <c r="AV260" i="386"/>
  <c r="AU260" i="386"/>
  <c r="AT260" i="386"/>
  <c r="AS260" i="386"/>
  <c r="AR260" i="386"/>
  <c r="AQ260" i="386"/>
  <c r="AP260" i="386"/>
  <c r="BN259" i="386"/>
  <c r="BL259" i="386"/>
  <c r="BK259" i="386"/>
  <c r="BJ259" i="386"/>
  <c r="BM259" i="386" s="1"/>
  <c r="BI259" i="386"/>
  <c r="BH259" i="386"/>
  <c r="BG259" i="386"/>
  <c r="BF259" i="386"/>
  <c r="BE259" i="386"/>
  <c r="BD259" i="386"/>
  <c r="BC259" i="386"/>
  <c r="BB259" i="386"/>
  <c r="BA259" i="386"/>
  <c r="AZ259" i="386"/>
  <c r="AW259" i="386"/>
  <c r="AV259" i="386"/>
  <c r="AU259" i="386"/>
  <c r="AT259" i="386"/>
  <c r="AS259" i="386"/>
  <c r="AR259" i="386"/>
  <c r="AQ259" i="386"/>
  <c r="AP259" i="386"/>
  <c r="BN258" i="386"/>
  <c r="BL258" i="386"/>
  <c r="BK258" i="386"/>
  <c r="BJ258" i="386"/>
  <c r="BM258" i="386" s="1"/>
  <c r="BI258" i="386"/>
  <c r="BH258" i="386"/>
  <c r="BG258" i="386"/>
  <c r="BF258" i="386"/>
  <c r="BE258" i="386"/>
  <c r="BD258" i="386"/>
  <c r="BC258" i="386"/>
  <c r="BB258" i="386"/>
  <c r="BA258" i="386"/>
  <c r="AZ258" i="386"/>
  <c r="AW258" i="386"/>
  <c r="AV258" i="386"/>
  <c r="AU258" i="386"/>
  <c r="AT258" i="386"/>
  <c r="AS258" i="386"/>
  <c r="AR258" i="386"/>
  <c r="AQ258" i="386"/>
  <c r="AP258" i="386"/>
  <c r="BN257" i="386"/>
  <c r="BK257" i="386"/>
  <c r="BJ257" i="386"/>
  <c r="BM257" i="386" s="1"/>
  <c r="BI257" i="386"/>
  <c r="BH257" i="386"/>
  <c r="BG257" i="386"/>
  <c r="BF257" i="386"/>
  <c r="BE257" i="386"/>
  <c r="BD257" i="386"/>
  <c r="BC257" i="386"/>
  <c r="BB257" i="386"/>
  <c r="BA257" i="386"/>
  <c r="AZ257" i="386"/>
  <c r="AY257" i="386"/>
  <c r="BL257" i="386" s="1"/>
  <c r="AW257" i="386"/>
  <c r="AV257" i="386"/>
  <c r="AU257" i="386"/>
  <c r="AT257" i="386"/>
  <c r="AS257" i="386"/>
  <c r="AR257" i="386"/>
  <c r="AQ257" i="386"/>
  <c r="AP257" i="386"/>
  <c r="AO256" i="386"/>
  <c r="AN256" i="386"/>
  <c r="AM256" i="386"/>
  <c r="AL256" i="386"/>
  <c r="AK256" i="386"/>
  <c r="AJ256" i="386"/>
  <c r="AI256" i="386"/>
  <c r="AH256" i="386"/>
  <c r="AG256" i="386"/>
  <c r="AF256" i="386"/>
  <c r="AE256" i="386"/>
  <c r="AD256" i="386"/>
  <c r="AC256" i="386"/>
  <c r="AB256" i="386"/>
  <c r="AA256" i="386"/>
  <c r="Z256" i="386"/>
  <c r="Y256" i="386"/>
  <c r="X256" i="386"/>
  <c r="W256" i="386"/>
  <c r="V256" i="386"/>
  <c r="U256" i="386"/>
  <c r="T256" i="386"/>
  <c r="S256" i="386"/>
  <c r="R256" i="386"/>
  <c r="Q256" i="386"/>
  <c r="P256" i="386"/>
  <c r="O256" i="386"/>
  <c r="N256" i="386"/>
  <c r="M256" i="386"/>
  <c r="L256" i="386"/>
  <c r="BN255" i="386"/>
  <c r="BM255" i="386"/>
  <c r="BL255" i="386"/>
  <c r="BK255" i="386"/>
  <c r="BJ255" i="386"/>
  <c r="BI255" i="386"/>
  <c r="BH255" i="386"/>
  <c r="BG255" i="386"/>
  <c r="BF255" i="386"/>
  <c r="BE255" i="386"/>
  <c r="BD255" i="386"/>
  <c r="BC255" i="386"/>
  <c r="BB255" i="386"/>
  <c r="BA255" i="386"/>
  <c r="AZ255" i="386"/>
  <c r="AY255" i="386"/>
  <c r="AW255" i="386"/>
  <c r="AV255" i="386"/>
  <c r="AU255" i="386"/>
  <c r="AT255" i="386"/>
  <c r="AS255" i="386"/>
  <c r="AR255" i="386"/>
  <c r="AQ255" i="386"/>
  <c r="AP255" i="386"/>
  <c r="BN254" i="386"/>
  <c r="BM254" i="386"/>
  <c r="BL254" i="386"/>
  <c r="BK254" i="386"/>
  <c r="BJ254" i="386"/>
  <c r="BI254" i="386"/>
  <c r="BH254" i="386"/>
  <c r="BG254" i="386"/>
  <c r="BF254" i="386"/>
  <c r="BE254" i="386"/>
  <c r="BD254" i="386"/>
  <c r="BC254" i="386"/>
  <c r="BB254" i="386"/>
  <c r="BA254" i="386"/>
  <c r="AZ254" i="386"/>
  <c r="AW254" i="386"/>
  <c r="AV254" i="386"/>
  <c r="AU254" i="386"/>
  <c r="AT254" i="386"/>
  <c r="AS254" i="386"/>
  <c r="AR254" i="386"/>
  <c r="AQ254" i="386"/>
  <c r="AP254" i="386"/>
  <c r="BN253" i="386"/>
  <c r="BM253" i="386"/>
  <c r="BK253" i="386"/>
  <c r="BJ253" i="386"/>
  <c r="BI253" i="386"/>
  <c r="BH253" i="386"/>
  <c r="BG253" i="386"/>
  <c r="BF253" i="386"/>
  <c r="BE253" i="386"/>
  <c r="BD253" i="386"/>
  <c r="BC253" i="386"/>
  <c r="BB253" i="386"/>
  <c r="BA253" i="386"/>
  <c r="AZ253" i="386"/>
  <c r="AY253" i="386"/>
  <c r="BL253" i="386" s="1"/>
  <c r="AW253" i="386"/>
  <c r="AV253" i="386"/>
  <c r="AU253" i="386"/>
  <c r="AT253" i="386"/>
  <c r="AS253" i="386"/>
  <c r="AR253" i="386"/>
  <c r="AQ253" i="386"/>
  <c r="AP253" i="386"/>
  <c r="BN252" i="386"/>
  <c r="BM252" i="386"/>
  <c r="BK252" i="386"/>
  <c r="BJ252" i="386"/>
  <c r="BI252" i="386"/>
  <c r="BH252" i="386"/>
  <c r="BG252" i="386"/>
  <c r="BF252" i="386"/>
  <c r="BE252" i="386"/>
  <c r="BD252" i="386"/>
  <c r="BC252" i="386"/>
  <c r="BB252" i="386"/>
  <c r="BA252" i="386"/>
  <c r="AZ252" i="386"/>
  <c r="AY252" i="386"/>
  <c r="BL252" i="386" s="1"/>
  <c r="AW252" i="386"/>
  <c r="AV252" i="386"/>
  <c r="AU252" i="386"/>
  <c r="AT252" i="386"/>
  <c r="AS252" i="386"/>
  <c r="AR252" i="386"/>
  <c r="AQ252" i="386"/>
  <c r="AP252" i="386"/>
  <c r="BN251" i="386"/>
  <c r="BM251" i="386"/>
  <c r="BL251" i="386"/>
  <c r="BK251" i="386"/>
  <c r="BJ251" i="386"/>
  <c r="BI251" i="386"/>
  <c r="BH251" i="386"/>
  <c r="BG251" i="386"/>
  <c r="BF251" i="386"/>
  <c r="BE251" i="386"/>
  <c r="BD251" i="386"/>
  <c r="BC251" i="386"/>
  <c r="BB251" i="386"/>
  <c r="BA251" i="386"/>
  <c r="AZ251" i="386"/>
  <c r="AW251" i="386"/>
  <c r="AV251" i="386"/>
  <c r="AU251" i="386"/>
  <c r="AT251" i="386"/>
  <c r="AS251" i="386"/>
  <c r="AR251" i="386"/>
  <c r="AQ251" i="386"/>
  <c r="AP251" i="386"/>
  <c r="BN250" i="386"/>
  <c r="BL250" i="386"/>
  <c r="BK250" i="386"/>
  <c r="BJ250" i="386"/>
  <c r="BM250" i="386" s="1"/>
  <c r="BI250" i="386"/>
  <c r="BH250" i="386"/>
  <c r="BG250" i="386"/>
  <c r="BF250" i="386"/>
  <c r="BE250" i="386"/>
  <c r="BD250" i="386"/>
  <c r="BC250" i="386"/>
  <c r="BB250" i="386"/>
  <c r="BA250" i="386"/>
  <c r="AZ250" i="386"/>
  <c r="AY250" i="386"/>
  <c r="AW250" i="386"/>
  <c r="AV250" i="386"/>
  <c r="AU250" i="386"/>
  <c r="AT250" i="386"/>
  <c r="AS250" i="386"/>
  <c r="AR250" i="386"/>
  <c r="AQ250" i="386"/>
  <c r="AP250" i="386"/>
  <c r="BN249" i="386"/>
  <c r="BL249" i="386"/>
  <c r="BK249" i="386"/>
  <c r="BJ249" i="386"/>
  <c r="BM249" i="386" s="1"/>
  <c r="BI249" i="386"/>
  <c r="BH249" i="386"/>
  <c r="BG249" i="386"/>
  <c r="BF249" i="386"/>
  <c r="BE249" i="386"/>
  <c r="BD249" i="386"/>
  <c r="BC249" i="386"/>
  <c r="BB249" i="386"/>
  <c r="BA249" i="386"/>
  <c r="AZ249" i="386"/>
  <c r="AW249" i="386"/>
  <c r="AV249" i="386"/>
  <c r="AU249" i="386"/>
  <c r="AT249" i="386"/>
  <c r="AS249" i="386"/>
  <c r="AR249" i="386"/>
  <c r="AQ249" i="386"/>
  <c r="AP249" i="386"/>
  <c r="BN248" i="386"/>
  <c r="BL248" i="386"/>
  <c r="BK248" i="386"/>
  <c r="BJ248" i="386"/>
  <c r="BM248" i="386" s="1"/>
  <c r="BI248" i="386"/>
  <c r="BH248" i="386"/>
  <c r="BG248" i="386"/>
  <c r="BF248" i="386"/>
  <c r="BE248" i="386"/>
  <c r="BD248" i="386"/>
  <c r="BC248" i="386"/>
  <c r="BB248" i="386"/>
  <c r="BA248" i="386"/>
  <c r="AZ248" i="386"/>
  <c r="AW248" i="386"/>
  <c r="AV248" i="386"/>
  <c r="AU248" i="386"/>
  <c r="AT248" i="386"/>
  <c r="AS248" i="386"/>
  <c r="AR248" i="386"/>
  <c r="AQ248" i="386"/>
  <c r="AP248" i="386"/>
  <c r="AO247" i="386"/>
  <c r="AN247" i="386"/>
  <c r="AM247" i="386"/>
  <c r="AL247" i="386"/>
  <c r="AK247" i="386"/>
  <c r="AJ247" i="386"/>
  <c r="AI247" i="386"/>
  <c r="AH247" i="386"/>
  <c r="AG247" i="386"/>
  <c r="AF247" i="386"/>
  <c r="AE247" i="386"/>
  <c r="AD247" i="386"/>
  <c r="AC247" i="386"/>
  <c r="AB247" i="386"/>
  <c r="AA247" i="386"/>
  <c r="Z247" i="386"/>
  <c r="Y247" i="386"/>
  <c r="X247" i="386"/>
  <c r="W247" i="386"/>
  <c r="V247" i="386"/>
  <c r="U247" i="386"/>
  <c r="T247" i="386"/>
  <c r="S247" i="386"/>
  <c r="R247" i="386"/>
  <c r="Q247" i="386"/>
  <c r="P247" i="386"/>
  <c r="O247" i="386"/>
  <c r="N247" i="386"/>
  <c r="M247" i="386"/>
  <c r="L247" i="386"/>
  <c r="BN246" i="386"/>
  <c r="BM246" i="386"/>
  <c r="BL246" i="386"/>
  <c r="BK246" i="386"/>
  <c r="BJ246" i="386"/>
  <c r="BI246" i="386"/>
  <c r="BH246" i="386"/>
  <c r="BG246" i="386"/>
  <c r="BF246" i="386"/>
  <c r="BE246" i="386"/>
  <c r="BD246" i="386"/>
  <c r="BC246" i="386"/>
  <c r="BB246" i="386"/>
  <c r="BA246" i="386"/>
  <c r="AZ246" i="386"/>
  <c r="AW246" i="386"/>
  <c r="AV246" i="386"/>
  <c r="AU246" i="386"/>
  <c r="AT246" i="386"/>
  <c r="AS246" i="386"/>
  <c r="AR246" i="386"/>
  <c r="AQ246" i="386"/>
  <c r="AP246" i="386"/>
  <c r="BN245" i="386"/>
  <c r="BM245" i="386"/>
  <c r="BL245" i="386"/>
  <c r="BK245" i="386"/>
  <c r="BJ245" i="386"/>
  <c r="BI245" i="386"/>
  <c r="BH245" i="386"/>
  <c r="BG245" i="386"/>
  <c r="BF245" i="386"/>
  <c r="BE245" i="386"/>
  <c r="BD245" i="386"/>
  <c r="BC245" i="386"/>
  <c r="BB245" i="386"/>
  <c r="BA245" i="386"/>
  <c r="AZ245" i="386"/>
  <c r="AW245" i="386"/>
  <c r="AV245" i="386"/>
  <c r="AU245" i="386"/>
  <c r="AT245" i="386"/>
  <c r="AS245" i="386"/>
  <c r="AR245" i="386"/>
  <c r="AQ245" i="386"/>
  <c r="AP245" i="386"/>
  <c r="BN244" i="386"/>
  <c r="BM244" i="386"/>
  <c r="BL244" i="386"/>
  <c r="BK244" i="386"/>
  <c r="BJ244" i="386"/>
  <c r="BI244" i="386"/>
  <c r="BH244" i="386"/>
  <c r="BG244" i="386"/>
  <c r="BF244" i="386"/>
  <c r="BE244" i="386"/>
  <c r="BD244" i="386"/>
  <c r="BC244" i="386"/>
  <c r="BB244" i="386"/>
  <c r="BA244" i="386"/>
  <c r="AZ244" i="386"/>
  <c r="AW244" i="386"/>
  <c r="AV244" i="386"/>
  <c r="AU244" i="386"/>
  <c r="AT244" i="386"/>
  <c r="AS244" i="386"/>
  <c r="AR244" i="386"/>
  <c r="AQ244" i="386"/>
  <c r="AP244" i="386"/>
  <c r="BN243" i="386"/>
  <c r="BM243" i="386"/>
  <c r="BL243" i="386"/>
  <c r="BK243" i="386"/>
  <c r="BJ243" i="386"/>
  <c r="BI243" i="386"/>
  <c r="BH243" i="386"/>
  <c r="BG243" i="386"/>
  <c r="BF243" i="386"/>
  <c r="BE243" i="386"/>
  <c r="BD243" i="386"/>
  <c r="BC243" i="386"/>
  <c r="BB243" i="386"/>
  <c r="BA243" i="386"/>
  <c r="AZ243" i="386"/>
  <c r="AW243" i="386"/>
  <c r="AV243" i="386"/>
  <c r="AU243" i="386"/>
  <c r="AT243" i="386"/>
  <c r="AS243" i="386"/>
  <c r="AR243" i="386"/>
  <c r="AQ243" i="386"/>
  <c r="AP243" i="386"/>
  <c r="BN242" i="386"/>
  <c r="BL242" i="386"/>
  <c r="BK242" i="386"/>
  <c r="BJ242" i="386"/>
  <c r="BM242" i="386" s="1"/>
  <c r="BI242" i="386"/>
  <c r="BH242" i="386"/>
  <c r="BG242" i="386"/>
  <c r="BF242" i="386"/>
  <c r="BE242" i="386"/>
  <c r="BD242" i="386"/>
  <c r="BC242" i="386"/>
  <c r="BB242" i="386"/>
  <c r="BA242" i="386"/>
  <c r="AZ242" i="386"/>
  <c r="AW242" i="386"/>
  <c r="AV242" i="386"/>
  <c r="AU242" i="386"/>
  <c r="AT242" i="386"/>
  <c r="AS242" i="386"/>
  <c r="AR242" i="386"/>
  <c r="AQ242" i="386"/>
  <c r="AP242" i="386"/>
  <c r="BN241" i="386"/>
  <c r="BL241" i="386"/>
  <c r="BK241" i="386"/>
  <c r="BJ241" i="386"/>
  <c r="BM241" i="386" s="1"/>
  <c r="BI241" i="386"/>
  <c r="BH241" i="386"/>
  <c r="BG241" i="386"/>
  <c r="BF241" i="386"/>
  <c r="BE241" i="386"/>
  <c r="BD241" i="386"/>
  <c r="BC241" i="386"/>
  <c r="BB241" i="386"/>
  <c r="BA241" i="386"/>
  <c r="AZ241" i="386"/>
  <c r="AW241" i="386"/>
  <c r="AV241" i="386"/>
  <c r="AU241" i="386"/>
  <c r="AT241" i="386"/>
  <c r="AS241" i="386"/>
  <c r="AR241" i="386"/>
  <c r="AQ241" i="386"/>
  <c r="AP241" i="386"/>
  <c r="BN240" i="386"/>
  <c r="BL240" i="386"/>
  <c r="BK240" i="386"/>
  <c r="BJ240" i="386"/>
  <c r="BM240" i="386" s="1"/>
  <c r="BI240" i="386"/>
  <c r="BH240" i="386"/>
  <c r="BG240" i="386"/>
  <c r="BF240" i="386"/>
  <c r="BE240" i="386"/>
  <c r="BD240" i="386"/>
  <c r="BC240" i="386"/>
  <c r="BB240" i="386"/>
  <c r="BA240" i="386"/>
  <c r="AZ240" i="386"/>
  <c r="AW240" i="386"/>
  <c r="AV240" i="386"/>
  <c r="AU240" i="386"/>
  <c r="AT240" i="386"/>
  <c r="AS240" i="386"/>
  <c r="AR240" i="386"/>
  <c r="AQ240" i="386"/>
  <c r="AP240" i="386"/>
  <c r="BN239" i="386"/>
  <c r="BL239" i="386"/>
  <c r="BK239" i="386"/>
  <c r="BJ239" i="386"/>
  <c r="BM239" i="386" s="1"/>
  <c r="BI239" i="386"/>
  <c r="BH239" i="386"/>
  <c r="BG239" i="386"/>
  <c r="BF239" i="386"/>
  <c r="BE239" i="386"/>
  <c r="BD239" i="386"/>
  <c r="BC239" i="386"/>
  <c r="BB239" i="386"/>
  <c r="BA239" i="386"/>
  <c r="AZ239" i="386"/>
  <c r="AW239" i="386"/>
  <c r="AV239" i="386"/>
  <c r="AU239" i="386"/>
  <c r="AT239" i="386"/>
  <c r="AS239" i="386"/>
  <c r="AR239" i="386"/>
  <c r="AQ239" i="386"/>
  <c r="AP239" i="386"/>
  <c r="BN238" i="386"/>
  <c r="BM238" i="386"/>
  <c r="BL238" i="386"/>
  <c r="BK238" i="386"/>
  <c r="BJ238" i="386"/>
  <c r="BI238" i="386"/>
  <c r="BH238" i="386"/>
  <c r="BG238" i="386"/>
  <c r="BF238" i="386"/>
  <c r="BE238" i="386"/>
  <c r="BD238" i="386"/>
  <c r="BC238" i="386"/>
  <c r="BB238" i="386"/>
  <c r="BA238" i="386"/>
  <c r="AZ238" i="386"/>
  <c r="AW238" i="386"/>
  <c r="AV238" i="386"/>
  <c r="AU238" i="386"/>
  <c r="AT238" i="386"/>
  <c r="AS238" i="386"/>
  <c r="AR238" i="386"/>
  <c r="AQ238" i="386"/>
  <c r="AP238" i="386"/>
  <c r="BN237" i="386"/>
  <c r="BM237" i="386"/>
  <c r="BL237" i="386"/>
  <c r="BK237" i="386"/>
  <c r="BJ237" i="386"/>
  <c r="BI237" i="386"/>
  <c r="BH237" i="386"/>
  <c r="BG237" i="386"/>
  <c r="BF237" i="386"/>
  <c r="BE237" i="386"/>
  <c r="BD237" i="386"/>
  <c r="BC237" i="386"/>
  <c r="BB237" i="386"/>
  <c r="BA237" i="386"/>
  <c r="AZ237" i="386"/>
  <c r="AW237" i="386"/>
  <c r="AV237" i="386"/>
  <c r="AU237" i="386"/>
  <c r="AT237" i="386"/>
  <c r="AS237" i="386"/>
  <c r="AR237" i="386"/>
  <c r="AQ237" i="386"/>
  <c r="AP237" i="386"/>
  <c r="BN236" i="386"/>
  <c r="BM236" i="386"/>
  <c r="BL236" i="386"/>
  <c r="BK236" i="386"/>
  <c r="BJ236" i="386"/>
  <c r="BI236" i="386"/>
  <c r="BH236" i="386"/>
  <c r="BG236" i="386"/>
  <c r="BF236" i="386"/>
  <c r="BE236" i="386"/>
  <c r="BD236" i="386"/>
  <c r="BC236" i="386"/>
  <c r="BB236" i="386"/>
  <c r="BA236" i="386"/>
  <c r="AZ236" i="386"/>
  <c r="AW236" i="386"/>
  <c r="AV236" i="386"/>
  <c r="AU236" i="386"/>
  <c r="AT236" i="386"/>
  <c r="AS236" i="386"/>
  <c r="AR236" i="386"/>
  <c r="AQ236" i="386"/>
  <c r="AP236" i="386"/>
  <c r="BN235" i="386"/>
  <c r="BM235" i="386"/>
  <c r="BL235" i="386"/>
  <c r="BK235" i="386"/>
  <c r="BJ235" i="386"/>
  <c r="BI235" i="386"/>
  <c r="BH235" i="386"/>
  <c r="BG235" i="386"/>
  <c r="BF235" i="386"/>
  <c r="BE235" i="386"/>
  <c r="BD235" i="386"/>
  <c r="BC235" i="386"/>
  <c r="BB235" i="386"/>
  <c r="BA235" i="386"/>
  <c r="AZ235" i="386"/>
  <c r="AW235" i="386"/>
  <c r="AV235" i="386"/>
  <c r="AU235" i="386"/>
  <c r="AT235" i="386"/>
  <c r="AS235" i="386"/>
  <c r="AR235" i="386"/>
  <c r="AQ235" i="386"/>
  <c r="AP235" i="386"/>
  <c r="AO234" i="386"/>
  <c r="AN234" i="386"/>
  <c r="AM234" i="386"/>
  <c r="AL234" i="386"/>
  <c r="AK234" i="386"/>
  <c r="AJ234" i="386"/>
  <c r="AI234" i="386"/>
  <c r="AH234" i="386"/>
  <c r="AG234" i="386"/>
  <c r="AF234" i="386"/>
  <c r="AE234" i="386"/>
  <c r="AD234" i="386"/>
  <c r="AC234" i="386"/>
  <c r="AB234" i="386"/>
  <c r="AA234" i="386"/>
  <c r="Z234" i="386"/>
  <c r="Y234" i="386"/>
  <c r="X234" i="386"/>
  <c r="W234" i="386"/>
  <c r="V234" i="386"/>
  <c r="U234" i="386"/>
  <c r="T234" i="386"/>
  <c r="S234" i="386"/>
  <c r="R234" i="386"/>
  <c r="Q234" i="386"/>
  <c r="P234" i="386"/>
  <c r="O234" i="386"/>
  <c r="N234" i="386"/>
  <c r="M234" i="386"/>
  <c r="L234" i="386"/>
  <c r="AO233" i="386"/>
  <c r="AN233" i="386"/>
  <c r="AM233" i="386"/>
  <c r="AL233" i="386"/>
  <c r="AK233" i="386"/>
  <c r="AJ233" i="386"/>
  <c r="AI233" i="386"/>
  <c r="AH233" i="386"/>
  <c r="AG233" i="386"/>
  <c r="AF233" i="386"/>
  <c r="AE233" i="386"/>
  <c r="AD233" i="386"/>
  <c r="AC233" i="386"/>
  <c r="AB233" i="386"/>
  <c r="AA233" i="386"/>
  <c r="Z233" i="386"/>
  <c r="Y233" i="386"/>
  <c r="X233" i="386"/>
  <c r="W233" i="386"/>
  <c r="V233" i="386"/>
  <c r="U233" i="386"/>
  <c r="T233" i="386"/>
  <c r="S233" i="386"/>
  <c r="R233" i="386"/>
  <c r="Q233" i="386"/>
  <c r="P233" i="386"/>
  <c r="O233" i="386"/>
  <c r="N233" i="386"/>
  <c r="M233" i="386"/>
  <c r="L233" i="386"/>
  <c r="AO232" i="386"/>
  <c r="AN232" i="386"/>
  <c r="AM232" i="386"/>
  <c r="AL232" i="386"/>
  <c r="AK232" i="386"/>
  <c r="AJ232" i="386"/>
  <c r="AI232" i="386"/>
  <c r="AH232" i="386"/>
  <c r="AG232" i="386"/>
  <c r="AF232" i="386"/>
  <c r="AE232" i="386"/>
  <c r="AD232" i="386"/>
  <c r="AC232" i="386"/>
  <c r="AB232" i="386"/>
  <c r="AA232" i="386"/>
  <c r="Z232" i="386"/>
  <c r="Y232" i="386"/>
  <c r="X232" i="386"/>
  <c r="W232" i="386"/>
  <c r="V232" i="386"/>
  <c r="U232" i="386"/>
  <c r="T232" i="386"/>
  <c r="S232" i="386"/>
  <c r="R232" i="386"/>
  <c r="Q232" i="386"/>
  <c r="P232" i="386"/>
  <c r="O232" i="386"/>
  <c r="N232" i="386"/>
  <c r="M232" i="386"/>
  <c r="L232" i="386"/>
  <c r="BN231" i="386"/>
  <c r="BM231" i="386"/>
  <c r="BL231" i="386"/>
  <c r="BK231" i="386"/>
  <c r="BJ231" i="386"/>
  <c r="BI231" i="386"/>
  <c r="BH231" i="386"/>
  <c r="BG231" i="386"/>
  <c r="BF231" i="386"/>
  <c r="BE231" i="386"/>
  <c r="BD231" i="386"/>
  <c r="BC231" i="386"/>
  <c r="BB231" i="386"/>
  <c r="BA231" i="386"/>
  <c r="AZ231" i="386"/>
  <c r="AY231" i="386"/>
  <c r="AW231" i="386"/>
  <c r="AV231" i="386"/>
  <c r="AU231" i="386"/>
  <c r="AT231" i="386"/>
  <c r="AS231" i="386"/>
  <c r="AR231" i="386"/>
  <c r="AQ231" i="386"/>
  <c r="AP231" i="386"/>
  <c r="BN230" i="386"/>
  <c r="BM230" i="386"/>
  <c r="BL230" i="386"/>
  <c r="BK230" i="386"/>
  <c r="BJ230" i="386"/>
  <c r="BI230" i="386"/>
  <c r="BH230" i="386"/>
  <c r="BG230" i="386"/>
  <c r="BF230" i="386"/>
  <c r="BE230" i="386"/>
  <c r="BD230" i="386"/>
  <c r="BC230" i="386"/>
  <c r="BB230" i="386"/>
  <c r="BA230" i="386"/>
  <c r="AZ230" i="386"/>
  <c r="AY230" i="386"/>
  <c r="AW230" i="386"/>
  <c r="AV230" i="386"/>
  <c r="AU230" i="386"/>
  <c r="AT230" i="386"/>
  <c r="AS230" i="386"/>
  <c r="AR230" i="386"/>
  <c r="AQ230" i="386"/>
  <c r="AP230" i="386"/>
  <c r="BN229" i="386"/>
  <c r="BM229" i="386"/>
  <c r="BL229" i="386"/>
  <c r="BK229" i="386"/>
  <c r="BJ229" i="386"/>
  <c r="BI229" i="386"/>
  <c r="BH229" i="386"/>
  <c r="BG229" i="386"/>
  <c r="BF229" i="386"/>
  <c r="BE229" i="386"/>
  <c r="BD229" i="386"/>
  <c r="BC229" i="386"/>
  <c r="BB229" i="386"/>
  <c r="BA229" i="386"/>
  <c r="AZ229" i="386"/>
  <c r="AY229" i="386"/>
  <c r="AW229" i="386"/>
  <c r="AV229" i="386"/>
  <c r="AU229" i="386"/>
  <c r="AT229" i="386"/>
  <c r="AS229" i="386"/>
  <c r="AR229" i="386"/>
  <c r="AQ229" i="386"/>
  <c r="AP229" i="386"/>
  <c r="BN228" i="386"/>
  <c r="BM228" i="386"/>
  <c r="BL228" i="386"/>
  <c r="BK228" i="386"/>
  <c r="BJ228" i="386"/>
  <c r="BI228" i="386"/>
  <c r="BH228" i="386"/>
  <c r="BG228" i="386"/>
  <c r="BF228" i="386"/>
  <c r="BE228" i="386"/>
  <c r="BD228" i="386"/>
  <c r="BC228" i="386"/>
  <c r="BB228" i="386"/>
  <c r="BA228" i="386"/>
  <c r="AZ228" i="386"/>
  <c r="AY228" i="386"/>
  <c r="AW228" i="386"/>
  <c r="AV228" i="386"/>
  <c r="AU228" i="386"/>
  <c r="AT228" i="386"/>
  <c r="AS228" i="386"/>
  <c r="AR228" i="386"/>
  <c r="AQ228" i="386"/>
  <c r="AP228" i="386"/>
  <c r="BN227" i="386"/>
  <c r="BM227" i="386"/>
  <c r="BL227" i="386"/>
  <c r="BK227" i="386"/>
  <c r="BJ227" i="386"/>
  <c r="BI227" i="386"/>
  <c r="BH227" i="386"/>
  <c r="BG227" i="386"/>
  <c r="BF227" i="386"/>
  <c r="BE227" i="386"/>
  <c r="BD227" i="386"/>
  <c r="BC227" i="386"/>
  <c r="BB227" i="386"/>
  <c r="BA227" i="386"/>
  <c r="AZ227" i="386"/>
  <c r="AY227" i="386"/>
  <c r="AW227" i="386"/>
  <c r="AV227" i="386"/>
  <c r="AU227" i="386"/>
  <c r="AT227" i="386"/>
  <c r="AS227" i="386"/>
  <c r="AR227" i="386"/>
  <c r="AQ227" i="386"/>
  <c r="AP227" i="386"/>
  <c r="BN226" i="386"/>
  <c r="BM226" i="386"/>
  <c r="BL226" i="386"/>
  <c r="BK226" i="386"/>
  <c r="BJ226" i="386"/>
  <c r="BI226" i="386"/>
  <c r="BH226" i="386"/>
  <c r="BG226" i="386"/>
  <c r="BF226" i="386"/>
  <c r="BE226" i="386"/>
  <c r="BD226" i="386"/>
  <c r="BC226" i="386"/>
  <c r="BB226" i="386"/>
  <c r="BA226" i="386"/>
  <c r="AZ226" i="386"/>
  <c r="AY226" i="386"/>
  <c r="AW226" i="386"/>
  <c r="AV226" i="386"/>
  <c r="AU226" i="386"/>
  <c r="AT226" i="386"/>
  <c r="AS226" i="386"/>
  <c r="AR226" i="386"/>
  <c r="AQ226" i="386"/>
  <c r="AP226" i="386"/>
  <c r="BN225" i="386"/>
  <c r="BM225" i="386"/>
  <c r="BL225" i="386"/>
  <c r="BK225" i="386"/>
  <c r="BJ225" i="386"/>
  <c r="BI225" i="386"/>
  <c r="BH225" i="386"/>
  <c r="BG225" i="386"/>
  <c r="BF225" i="386"/>
  <c r="BE225" i="386"/>
  <c r="BD225" i="386"/>
  <c r="BC225" i="386"/>
  <c r="BB225" i="386"/>
  <c r="BA225" i="386"/>
  <c r="AZ225" i="386"/>
  <c r="AY225" i="386"/>
  <c r="AW225" i="386"/>
  <c r="AV225" i="386"/>
  <c r="AU225" i="386"/>
  <c r="AT225" i="386"/>
  <c r="AS225" i="386"/>
  <c r="AR225" i="386"/>
  <c r="AQ225" i="386"/>
  <c r="AP225" i="386"/>
  <c r="BN224" i="386"/>
  <c r="BM224" i="386"/>
  <c r="BL224" i="386"/>
  <c r="BK224" i="386"/>
  <c r="BJ224" i="386"/>
  <c r="BI224" i="386"/>
  <c r="BH224" i="386"/>
  <c r="BG224" i="386"/>
  <c r="BF224" i="386"/>
  <c r="BE224" i="386"/>
  <c r="BD224" i="386"/>
  <c r="BC224" i="386"/>
  <c r="BB224" i="386"/>
  <c r="BA224" i="386"/>
  <c r="AZ224" i="386"/>
  <c r="AY224" i="386"/>
  <c r="AW224" i="386"/>
  <c r="AV224" i="386"/>
  <c r="AU224" i="386"/>
  <c r="AT224" i="386"/>
  <c r="AS224" i="386"/>
  <c r="AR224" i="386"/>
  <c r="AQ224" i="386"/>
  <c r="AP224" i="386"/>
  <c r="BN223" i="386"/>
  <c r="BM223" i="386"/>
  <c r="BL223" i="386"/>
  <c r="BK223" i="386"/>
  <c r="BJ223" i="386"/>
  <c r="BI223" i="386"/>
  <c r="BH223" i="386"/>
  <c r="BG223" i="386"/>
  <c r="BF223" i="386"/>
  <c r="BE223" i="386"/>
  <c r="BD223" i="386"/>
  <c r="BC223" i="386"/>
  <c r="BB223" i="386"/>
  <c r="BA223" i="386"/>
  <c r="AZ223" i="386"/>
  <c r="AY223" i="386"/>
  <c r="AW223" i="386"/>
  <c r="AV223" i="386"/>
  <c r="AU223" i="386"/>
  <c r="AT223" i="386"/>
  <c r="AS223" i="386"/>
  <c r="AR223" i="386"/>
  <c r="AQ223" i="386"/>
  <c r="AP223" i="386"/>
  <c r="BN222" i="386"/>
  <c r="BM222" i="386"/>
  <c r="BL222" i="386"/>
  <c r="BK222" i="386"/>
  <c r="BJ222" i="386"/>
  <c r="BI222" i="386"/>
  <c r="BH222" i="386"/>
  <c r="BG222" i="386"/>
  <c r="BF222" i="386"/>
  <c r="BE222" i="386"/>
  <c r="BD222" i="386"/>
  <c r="BC222" i="386"/>
  <c r="BB222" i="386"/>
  <c r="BA222" i="386"/>
  <c r="AZ222" i="386"/>
  <c r="AW222" i="386"/>
  <c r="AV222" i="386"/>
  <c r="AU222" i="386"/>
  <c r="AT222" i="386"/>
  <c r="AS222" i="386"/>
  <c r="AR222" i="386"/>
  <c r="AQ222" i="386"/>
  <c r="AP222" i="386"/>
  <c r="BN221" i="386"/>
  <c r="BL221" i="386"/>
  <c r="BK221" i="386"/>
  <c r="BJ221" i="386"/>
  <c r="BM221" i="386" s="1"/>
  <c r="BI221" i="386"/>
  <c r="BH221" i="386"/>
  <c r="BG221" i="386"/>
  <c r="BF221" i="386"/>
  <c r="BE221" i="386"/>
  <c r="BD221" i="386"/>
  <c r="BC221" i="386"/>
  <c r="BB221" i="386"/>
  <c r="BA221" i="386"/>
  <c r="AZ221" i="386"/>
  <c r="AY221" i="386"/>
  <c r="AW221" i="386"/>
  <c r="AV221" i="386"/>
  <c r="AU221" i="386"/>
  <c r="AT221" i="386"/>
  <c r="AS221" i="386"/>
  <c r="AR221" i="386"/>
  <c r="AQ221" i="386"/>
  <c r="AP221" i="386"/>
  <c r="BN220" i="386"/>
  <c r="BL220" i="386"/>
  <c r="BK220" i="386"/>
  <c r="BJ220" i="386"/>
  <c r="BM220" i="386" s="1"/>
  <c r="BI220" i="386"/>
  <c r="BH220" i="386"/>
  <c r="BG220" i="386"/>
  <c r="BF220" i="386"/>
  <c r="BE220" i="386"/>
  <c r="BD220" i="386"/>
  <c r="BC220" i="386"/>
  <c r="BB220" i="386"/>
  <c r="BA220" i="386"/>
  <c r="AZ220" i="386"/>
  <c r="AY220" i="386"/>
  <c r="AW220" i="386"/>
  <c r="AV220" i="386"/>
  <c r="AU220" i="386"/>
  <c r="AT220" i="386"/>
  <c r="AS220" i="386"/>
  <c r="AR220" i="386"/>
  <c r="AQ220" i="386"/>
  <c r="AP220" i="386"/>
  <c r="BN219" i="386"/>
  <c r="BL219" i="386"/>
  <c r="BK219" i="386"/>
  <c r="BJ219" i="386"/>
  <c r="BM219" i="386" s="1"/>
  <c r="BI219" i="386"/>
  <c r="BH219" i="386"/>
  <c r="BG219" i="386"/>
  <c r="BF219" i="386"/>
  <c r="BE219" i="386"/>
  <c r="BD219" i="386"/>
  <c r="BC219" i="386"/>
  <c r="BB219" i="386"/>
  <c r="BA219" i="386"/>
  <c r="AZ219" i="386"/>
  <c r="AY219" i="386"/>
  <c r="AW219" i="386"/>
  <c r="AV219" i="386"/>
  <c r="AU219" i="386"/>
  <c r="AT219" i="386"/>
  <c r="AS219" i="386"/>
  <c r="AR219" i="386"/>
  <c r="AQ219" i="386"/>
  <c r="AP219" i="386"/>
  <c r="BN218" i="386"/>
  <c r="BL218" i="386"/>
  <c r="BK218" i="386"/>
  <c r="BJ218" i="386"/>
  <c r="BM218" i="386" s="1"/>
  <c r="BI218" i="386"/>
  <c r="BH218" i="386"/>
  <c r="BG218" i="386"/>
  <c r="BF218" i="386"/>
  <c r="BE218" i="386"/>
  <c r="BD218" i="386"/>
  <c r="BC218" i="386"/>
  <c r="BB218" i="386"/>
  <c r="BA218" i="386"/>
  <c r="AZ218" i="386"/>
  <c r="AY218" i="386"/>
  <c r="AW218" i="386"/>
  <c r="AV218" i="386"/>
  <c r="AU218" i="386"/>
  <c r="AT218" i="386"/>
  <c r="AS218" i="386"/>
  <c r="AR218" i="386"/>
  <c r="AQ218" i="386"/>
  <c r="AP218" i="386"/>
  <c r="BN217" i="386"/>
  <c r="BL217" i="386"/>
  <c r="BK217" i="386"/>
  <c r="BJ217" i="386"/>
  <c r="BM217" i="386" s="1"/>
  <c r="BI217" i="386"/>
  <c r="BH217" i="386"/>
  <c r="BG217" i="386"/>
  <c r="BF217" i="386"/>
  <c r="BE217" i="386"/>
  <c r="BD217" i="386"/>
  <c r="BC217" i="386"/>
  <c r="BB217" i="386"/>
  <c r="BA217" i="386"/>
  <c r="AZ217" i="386"/>
  <c r="AW217" i="386"/>
  <c r="AV217" i="386"/>
  <c r="AU217" i="386"/>
  <c r="AT217" i="386"/>
  <c r="AS217" i="386"/>
  <c r="AR217" i="386"/>
  <c r="AQ217" i="386"/>
  <c r="AP217" i="386"/>
  <c r="BN216" i="386"/>
  <c r="BL216" i="386"/>
  <c r="BK216" i="386"/>
  <c r="BJ216" i="386"/>
  <c r="BM216" i="386" s="1"/>
  <c r="BI216" i="386"/>
  <c r="BH216" i="386"/>
  <c r="BG216" i="386"/>
  <c r="BF216" i="386"/>
  <c r="BE216" i="386"/>
  <c r="BD216" i="386"/>
  <c r="BC216" i="386"/>
  <c r="BB216" i="386"/>
  <c r="BA216" i="386"/>
  <c r="AZ216" i="386"/>
  <c r="AW216" i="386"/>
  <c r="AV216" i="386"/>
  <c r="AU216" i="386"/>
  <c r="AT216" i="386"/>
  <c r="AS216" i="386"/>
  <c r="AR216" i="386"/>
  <c r="AQ216" i="386"/>
  <c r="AP216" i="386"/>
  <c r="AO215" i="386"/>
  <c r="AN215" i="386"/>
  <c r="AM215" i="386"/>
  <c r="AL215" i="386"/>
  <c r="AK215" i="386"/>
  <c r="AJ215" i="386"/>
  <c r="AI215" i="386"/>
  <c r="AH215" i="386"/>
  <c r="AG215" i="386"/>
  <c r="AF215" i="386"/>
  <c r="AE215" i="386"/>
  <c r="AD215" i="386"/>
  <c r="AC215" i="386"/>
  <c r="AB215" i="386"/>
  <c r="AA215" i="386"/>
  <c r="Z215" i="386"/>
  <c r="Y215" i="386"/>
  <c r="X215" i="386"/>
  <c r="W215" i="386"/>
  <c r="V215" i="386"/>
  <c r="U215" i="386"/>
  <c r="T215" i="386"/>
  <c r="S215" i="386"/>
  <c r="R215" i="386"/>
  <c r="Q215" i="386"/>
  <c r="P215" i="386"/>
  <c r="O215" i="386"/>
  <c r="N215" i="386"/>
  <c r="M215" i="386"/>
  <c r="L215" i="386"/>
  <c r="BN214" i="386"/>
  <c r="BK214" i="386"/>
  <c r="BJ214" i="386"/>
  <c r="BM214" i="386" s="1"/>
  <c r="BI214" i="386"/>
  <c r="BH214" i="386"/>
  <c r="BG214" i="386"/>
  <c r="BF214" i="386"/>
  <c r="BE214" i="386"/>
  <c r="BD214" i="386"/>
  <c r="BC214" i="386"/>
  <c r="BB214" i="386"/>
  <c r="BA214" i="386"/>
  <c r="AZ214" i="386"/>
  <c r="AY214" i="386"/>
  <c r="BL214" i="386" s="1"/>
  <c r="AW214" i="386"/>
  <c r="AV214" i="386"/>
  <c r="AU214" i="386"/>
  <c r="AT214" i="386"/>
  <c r="AS214" i="386"/>
  <c r="AR214" i="386"/>
  <c r="AQ214" i="386"/>
  <c r="AP214" i="386"/>
  <c r="BN213" i="386"/>
  <c r="BL213" i="386"/>
  <c r="BK213" i="386"/>
  <c r="BJ213" i="386"/>
  <c r="BM213" i="386" s="1"/>
  <c r="BI213" i="386"/>
  <c r="BH213" i="386"/>
  <c r="BG213" i="386"/>
  <c r="BF213" i="386"/>
  <c r="BE213" i="386"/>
  <c r="BD213" i="386"/>
  <c r="BC213" i="386"/>
  <c r="BB213" i="386"/>
  <c r="BA213" i="386"/>
  <c r="AZ213" i="386"/>
  <c r="AW213" i="386"/>
  <c r="AV213" i="386"/>
  <c r="AU213" i="386"/>
  <c r="AT213" i="386"/>
  <c r="AS213" i="386"/>
  <c r="AR213" i="386"/>
  <c r="AQ213" i="386"/>
  <c r="AP213" i="386"/>
  <c r="BN212" i="386"/>
  <c r="BM212" i="386"/>
  <c r="BK212" i="386"/>
  <c r="BJ212" i="386"/>
  <c r="BI212" i="386"/>
  <c r="BH212" i="386"/>
  <c r="BG212" i="386"/>
  <c r="BF212" i="386"/>
  <c r="BE212" i="386"/>
  <c r="BD212" i="386"/>
  <c r="BC212" i="386"/>
  <c r="BB212" i="386"/>
  <c r="BA212" i="386"/>
  <c r="AZ212" i="386"/>
  <c r="AY212" i="386"/>
  <c r="BL212" i="386" s="1"/>
  <c r="AW212" i="386"/>
  <c r="AV212" i="386"/>
  <c r="AU212" i="386"/>
  <c r="AT212" i="386"/>
  <c r="AS212" i="386"/>
  <c r="AR212" i="386"/>
  <c r="AQ212" i="386"/>
  <c r="AP212" i="386"/>
  <c r="AO211" i="386"/>
  <c r="AN211" i="386"/>
  <c r="AM211" i="386"/>
  <c r="AL211" i="386"/>
  <c r="AK211" i="386"/>
  <c r="AJ211" i="386"/>
  <c r="AI211" i="386"/>
  <c r="AH211" i="386"/>
  <c r="AG211" i="386"/>
  <c r="AF211" i="386"/>
  <c r="AE211" i="386"/>
  <c r="AD211" i="386"/>
  <c r="AC211" i="386"/>
  <c r="AB211" i="386"/>
  <c r="AA211" i="386"/>
  <c r="Z211" i="386"/>
  <c r="Y211" i="386"/>
  <c r="X211" i="386"/>
  <c r="W211" i="386"/>
  <c r="V211" i="386"/>
  <c r="U211" i="386"/>
  <c r="T211" i="386"/>
  <c r="S211" i="386"/>
  <c r="R211" i="386"/>
  <c r="Q211" i="386"/>
  <c r="P211" i="386"/>
  <c r="O211" i="386"/>
  <c r="N211" i="386"/>
  <c r="M211" i="386"/>
  <c r="L211" i="386"/>
  <c r="BN210" i="386"/>
  <c r="BM210" i="386"/>
  <c r="BL210" i="386"/>
  <c r="BK210" i="386"/>
  <c r="BJ210" i="386"/>
  <c r="BI210" i="386"/>
  <c r="BH210" i="386"/>
  <c r="BG210" i="386"/>
  <c r="BF210" i="386"/>
  <c r="BE210" i="386"/>
  <c r="BD210" i="386"/>
  <c r="BC210" i="386"/>
  <c r="BB210" i="386"/>
  <c r="BA210" i="386"/>
  <c r="AZ210" i="386"/>
  <c r="AY210" i="386"/>
  <c r="AW210" i="386"/>
  <c r="AV210" i="386"/>
  <c r="AU210" i="386"/>
  <c r="AT210" i="386"/>
  <c r="AS210" i="386"/>
  <c r="AR210" i="386"/>
  <c r="AQ210" i="386"/>
  <c r="AP210" i="386"/>
  <c r="AO209" i="386"/>
  <c r="AN209" i="386"/>
  <c r="AM209" i="386"/>
  <c r="AL209" i="386"/>
  <c r="AK209" i="386"/>
  <c r="AJ209" i="386"/>
  <c r="AI209" i="386"/>
  <c r="AH209" i="386"/>
  <c r="AG209" i="386"/>
  <c r="AF209" i="386"/>
  <c r="AE209" i="386"/>
  <c r="AD209" i="386"/>
  <c r="AC209" i="386"/>
  <c r="AB209" i="386"/>
  <c r="AA209" i="386"/>
  <c r="Z209" i="386"/>
  <c r="Y209" i="386"/>
  <c r="X209" i="386"/>
  <c r="W209" i="386"/>
  <c r="V209" i="386"/>
  <c r="U209" i="386"/>
  <c r="T209" i="386"/>
  <c r="S209" i="386"/>
  <c r="R209" i="386"/>
  <c r="Q209" i="386"/>
  <c r="P209" i="386"/>
  <c r="O209" i="386"/>
  <c r="N209" i="386"/>
  <c r="M209" i="386"/>
  <c r="L209" i="386"/>
  <c r="BN208" i="386"/>
  <c r="BL208" i="386"/>
  <c r="BK208" i="386"/>
  <c r="BJ208" i="386"/>
  <c r="BM208" i="386" s="1"/>
  <c r="BI208" i="386"/>
  <c r="BH208" i="386"/>
  <c r="BG208" i="386"/>
  <c r="BF208" i="386"/>
  <c r="BE208" i="386"/>
  <c r="BD208" i="386"/>
  <c r="BC208" i="386"/>
  <c r="BB208" i="386"/>
  <c r="BA208" i="386"/>
  <c r="AZ208" i="386"/>
  <c r="AX208" i="386"/>
  <c r="AW208" i="386"/>
  <c r="AV208" i="386"/>
  <c r="AU208" i="386"/>
  <c r="AT208" i="386"/>
  <c r="AS208" i="386"/>
  <c r="AR208" i="386"/>
  <c r="AQ208" i="386"/>
  <c r="AP208" i="386"/>
  <c r="AO207" i="386"/>
  <c r="AN207" i="386"/>
  <c r="AM207" i="386"/>
  <c r="AL207" i="386"/>
  <c r="AK207" i="386"/>
  <c r="AJ207" i="386"/>
  <c r="AI207" i="386"/>
  <c r="AH207" i="386"/>
  <c r="AG207" i="386"/>
  <c r="AF207" i="386"/>
  <c r="AE207" i="386"/>
  <c r="AD207" i="386"/>
  <c r="AC207" i="386"/>
  <c r="AB207" i="386"/>
  <c r="AA207" i="386"/>
  <c r="Z207" i="386"/>
  <c r="Y207" i="386"/>
  <c r="X207" i="386"/>
  <c r="W207" i="386"/>
  <c r="V207" i="386"/>
  <c r="U207" i="386"/>
  <c r="T207" i="386"/>
  <c r="S207" i="386"/>
  <c r="R207" i="386"/>
  <c r="Q207" i="386"/>
  <c r="P207" i="386"/>
  <c r="O207" i="386"/>
  <c r="N207" i="386"/>
  <c r="M207" i="386"/>
  <c r="L207" i="386"/>
  <c r="BN206" i="386"/>
  <c r="BL206" i="386"/>
  <c r="BK206" i="386"/>
  <c r="BJ206" i="386"/>
  <c r="BM206" i="386" s="1"/>
  <c r="BI206" i="386"/>
  <c r="BH206" i="386"/>
  <c r="BG206" i="386"/>
  <c r="BF206" i="386"/>
  <c r="BE206" i="386"/>
  <c r="BD206" i="386"/>
  <c r="BC206" i="386"/>
  <c r="BB206" i="386"/>
  <c r="BA206" i="386"/>
  <c r="AZ206" i="386"/>
  <c r="AW206" i="386"/>
  <c r="AV206" i="386"/>
  <c r="AU206" i="386"/>
  <c r="AT206" i="386"/>
  <c r="AS206" i="386"/>
  <c r="AR206" i="386"/>
  <c r="AQ206" i="386"/>
  <c r="AP206" i="386"/>
  <c r="BN205" i="386"/>
  <c r="BL205" i="386"/>
  <c r="BK205" i="386"/>
  <c r="BJ205" i="386"/>
  <c r="BM205" i="386" s="1"/>
  <c r="BI205" i="386"/>
  <c r="BH205" i="386"/>
  <c r="BG205" i="386"/>
  <c r="BF205" i="386"/>
  <c r="BE205" i="386"/>
  <c r="BD205" i="386"/>
  <c r="BC205" i="386"/>
  <c r="BB205" i="386"/>
  <c r="BA205" i="386"/>
  <c r="AZ205" i="386"/>
  <c r="AW205" i="386"/>
  <c r="AV205" i="386"/>
  <c r="AU205" i="386"/>
  <c r="AT205" i="386"/>
  <c r="AS205" i="386"/>
  <c r="AR205" i="386"/>
  <c r="AQ205" i="386"/>
  <c r="AP205" i="386"/>
  <c r="BN204" i="386"/>
  <c r="BM204" i="386"/>
  <c r="BK204" i="386"/>
  <c r="BJ204" i="386"/>
  <c r="BI204" i="386"/>
  <c r="BH204" i="386"/>
  <c r="BG204" i="386"/>
  <c r="BF204" i="386"/>
  <c r="BE204" i="386"/>
  <c r="BD204" i="386"/>
  <c r="BC204" i="386"/>
  <c r="BB204" i="386"/>
  <c r="BA204" i="386"/>
  <c r="AZ204" i="386"/>
  <c r="AY204" i="386"/>
  <c r="BL204" i="386" s="1"/>
  <c r="AW204" i="386"/>
  <c r="AV204" i="386"/>
  <c r="AU204" i="386"/>
  <c r="AT204" i="386"/>
  <c r="AS204" i="386"/>
  <c r="AR204" i="386"/>
  <c r="AQ204" i="386"/>
  <c r="AP204" i="386"/>
  <c r="BN203" i="386"/>
  <c r="BM203" i="386"/>
  <c r="BL203" i="386"/>
  <c r="BK203" i="386"/>
  <c r="BJ203" i="386"/>
  <c r="BI203" i="386"/>
  <c r="BH203" i="386"/>
  <c r="BG203" i="386"/>
  <c r="BF203" i="386"/>
  <c r="BE203" i="386"/>
  <c r="BD203" i="386"/>
  <c r="BC203" i="386"/>
  <c r="BB203" i="386"/>
  <c r="BA203" i="386"/>
  <c r="AZ203" i="386"/>
  <c r="AW203" i="386"/>
  <c r="AV203" i="386"/>
  <c r="AU203" i="386"/>
  <c r="AT203" i="386"/>
  <c r="AS203" i="386"/>
  <c r="AR203" i="386"/>
  <c r="AQ203" i="386"/>
  <c r="AP203" i="386"/>
  <c r="BN202" i="386"/>
  <c r="BM202" i="386"/>
  <c r="BL202" i="386"/>
  <c r="BJ202" i="386"/>
  <c r="BI202" i="386"/>
  <c r="BH202" i="386"/>
  <c r="BG202" i="386"/>
  <c r="BF202" i="386"/>
  <c r="BE202" i="386"/>
  <c r="BD202" i="386"/>
  <c r="BC202" i="386"/>
  <c r="BB202" i="386"/>
  <c r="BA202" i="386"/>
  <c r="AZ202" i="386"/>
  <c r="AY202" i="386"/>
  <c r="AX202" i="386"/>
  <c r="BK202" i="386" s="1"/>
  <c r="AW202" i="386"/>
  <c r="AV202" i="386"/>
  <c r="AU202" i="386"/>
  <c r="AT202" i="386"/>
  <c r="AS202" i="386"/>
  <c r="AR202" i="386"/>
  <c r="AQ202" i="386"/>
  <c r="AP202" i="386"/>
  <c r="BN201" i="386"/>
  <c r="BM201" i="386"/>
  <c r="BK201" i="386"/>
  <c r="BJ201" i="386"/>
  <c r="BI201" i="386"/>
  <c r="BH201" i="386"/>
  <c r="BG201" i="386"/>
  <c r="BF201" i="386"/>
  <c r="BE201" i="386"/>
  <c r="BD201" i="386"/>
  <c r="BC201" i="386"/>
  <c r="BB201" i="386"/>
  <c r="BA201" i="386"/>
  <c r="AZ201" i="386"/>
  <c r="AY201" i="386"/>
  <c r="BL201" i="386" s="1"/>
  <c r="AW201" i="386"/>
  <c r="AV201" i="386"/>
  <c r="AU201" i="386"/>
  <c r="AT201" i="386"/>
  <c r="AS201" i="386"/>
  <c r="AR201" i="386"/>
  <c r="AQ201" i="386"/>
  <c r="AP201" i="386"/>
  <c r="BN200" i="386"/>
  <c r="BM200" i="386"/>
  <c r="BL200" i="386"/>
  <c r="BK200" i="386"/>
  <c r="BJ200" i="386"/>
  <c r="BI200" i="386"/>
  <c r="BH200" i="386"/>
  <c r="BG200" i="386"/>
  <c r="BF200" i="386"/>
  <c r="BE200" i="386"/>
  <c r="BD200" i="386"/>
  <c r="BC200" i="386"/>
  <c r="BB200" i="386"/>
  <c r="BA200" i="386"/>
  <c r="AZ200" i="386"/>
  <c r="AW200" i="386"/>
  <c r="AV200" i="386"/>
  <c r="AU200" i="386"/>
  <c r="AT200" i="386"/>
  <c r="AS200" i="386"/>
  <c r="AR200" i="386"/>
  <c r="AQ200" i="386"/>
  <c r="AP200" i="386"/>
  <c r="BN199" i="386"/>
  <c r="BM199" i="386"/>
  <c r="BL199" i="386"/>
  <c r="BK199" i="386"/>
  <c r="BJ199" i="386"/>
  <c r="BI199" i="386"/>
  <c r="BH199" i="386"/>
  <c r="BG199" i="386"/>
  <c r="BF199" i="386"/>
  <c r="BE199" i="386"/>
  <c r="BD199" i="386"/>
  <c r="BC199" i="386"/>
  <c r="BB199" i="386"/>
  <c r="BA199" i="386"/>
  <c r="AZ199" i="386"/>
  <c r="AY199" i="386"/>
  <c r="AW199" i="386"/>
  <c r="AV199" i="386"/>
  <c r="AU199" i="386"/>
  <c r="AT199" i="386"/>
  <c r="AS199" i="386"/>
  <c r="AR199" i="386"/>
  <c r="AQ199" i="386"/>
  <c r="AP199" i="386"/>
  <c r="BN198" i="386"/>
  <c r="BM198" i="386"/>
  <c r="BL198" i="386"/>
  <c r="BK198" i="386"/>
  <c r="BJ198" i="386"/>
  <c r="BI198" i="386"/>
  <c r="BH198" i="386"/>
  <c r="BG198" i="386"/>
  <c r="BF198" i="386"/>
  <c r="BE198" i="386"/>
  <c r="BD198" i="386"/>
  <c r="BC198" i="386"/>
  <c r="BB198" i="386"/>
  <c r="BA198" i="386"/>
  <c r="AZ198" i="386"/>
  <c r="AW198" i="386"/>
  <c r="AV198" i="386"/>
  <c r="AU198" i="386"/>
  <c r="AT198" i="386"/>
  <c r="AS198" i="386"/>
  <c r="AR198" i="386"/>
  <c r="AQ198" i="386"/>
  <c r="AP198" i="386"/>
  <c r="BN197" i="386"/>
  <c r="BM197" i="386"/>
  <c r="BL197" i="386"/>
  <c r="BK197" i="386"/>
  <c r="BJ197" i="386"/>
  <c r="BI197" i="386"/>
  <c r="BH197" i="386"/>
  <c r="BG197" i="386"/>
  <c r="BF197" i="386"/>
  <c r="BE197" i="386"/>
  <c r="BD197" i="386"/>
  <c r="BC197" i="386"/>
  <c r="BB197" i="386"/>
  <c r="BA197" i="386"/>
  <c r="AZ197" i="386"/>
  <c r="AY197" i="386"/>
  <c r="AX197" i="386"/>
  <c r="AW197" i="386"/>
  <c r="AV197" i="386"/>
  <c r="AU197" i="386"/>
  <c r="AT197" i="386"/>
  <c r="AS197" i="386"/>
  <c r="AR197" i="386"/>
  <c r="AQ197" i="386"/>
  <c r="AP197" i="386"/>
  <c r="BN196" i="386"/>
  <c r="BM196" i="386"/>
  <c r="BL196" i="386"/>
  <c r="BJ196" i="386"/>
  <c r="BI196" i="386"/>
  <c r="BH196" i="386"/>
  <c r="BG196" i="386"/>
  <c r="BF196" i="386"/>
  <c r="BE196" i="386"/>
  <c r="BD196" i="386"/>
  <c r="BC196" i="386"/>
  <c r="BB196" i="386"/>
  <c r="BA196" i="386"/>
  <c r="AZ196" i="386"/>
  <c r="AY196" i="386"/>
  <c r="AX196" i="386"/>
  <c r="BK196" i="386" s="1"/>
  <c r="AW196" i="386"/>
  <c r="AV196" i="386"/>
  <c r="AU196" i="386"/>
  <c r="AT196" i="386"/>
  <c r="AS196" i="386"/>
  <c r="AR196" i="386"/>
  <c r="AQ196" i="386"/>
  <c r="AP196" i="386"/>
  <c r="BN195" i="386"/>
  <c r="BM195" i="386"/>
  <c r="BK195" i="386"/>
  <c r="BJ195" i="386"/>
  <c r="BI195" i="386"/>
  <c r="BH195" i="386"/>
  <c r="BG195" i="386"/>
  <c r="BF195" i="386"/>
  <c r="BE195" i="386"/>
  <c r="BD195" i="386"/>
  <c r="BC195" i="386"/>
  <c r="BB195" i="386"/>
  <c r="BA195" i="386"/>
  <c r="AZ195" i="386"/>
  <c r="AY195" i="386"/>
  <c r="BL195" i="386" s="1"/>
  <c r="AW195" i="386"/>
  <c r="AV195" i="386"/>
  <c r="AU195" i="386"/>
  <c r="AT195" i="386"/>
  <c r="AS195" i="386"/>
  <c r="AR195" i="386"/>
  <c r="AQ195" i="386"/>
  <c r="AP195" i="386"/>
  <c r="BN194" i="386"/>
  <c r="BM194" i="386"/>
  <c r="BL194" i="386"/>
  <c r="BK194" i="386"/>
  <c r="BJ194" i="386"/>
  <c r="BI194" i="386"/>
  <c r="BH194" i="386"/>
  <c r="BG194" i="386"/>
  <c r="BF194" i="386"/>
  <c r="BE194" i="386"/>
  <c r="BD194" i="386"/>
  <c r="BC194" i="386"/>
  <c r="BB194" i="386"/>
  <c r="BA194" i="386"/>
  <c r="AZ194" i="386"/>
  <c r="AW194" i="386"/>
  <c r="AV194" i="386"/>
  <c r="AU194" i="386"/>
  <c r="AT194" i="386"/>
  <c r="AS194" i="386"/>
  <c r="AR194" i="386"/>
  <c r="AQ194" i="386"/>
  <c r="AP194" i="386"/>
  <c r="AO193" i="386"/>
  <c r="AN193" i="386"/>
  <c r="AM193" i="386"/>
  <c r="AL193" i="386"/>
  <c r="AK193" i="386"/>
  <c r="AJ193" i="386"/>
  <c r="AI193" i="386"/>
  <c r="AH193" i="386"/>
  <c r="AG193" i="386"/>
  <c r="AF193" i="386"/>
  <c r="AE193" i="386"/>
  <c r="AD193" i="386"/>
  <c r="AC193" i="386"/>
  <c r="AB193" i="386"/>
  <c r="AA193" i="386"/>
  <c r="Z193" i="386"/>
  <c r="Y193" i="386"/>
  <c r="X193" i="386"/>
  <c r="W193" i="386"/>
  <c r="V193" i="386"/>
  <c r="U193" i="386"/>
  <c r="T193" i="386"/>
  <c r="S193" i="386"/>
  <c r="R193" i="386"/>
  <c r="Q193" i="386"/>
  <c r="P193" i="386"/>
  <c r="O193" i="386"/>
  <c r="N193" i="386"/>
  <c r="M193" i="386"/>
  <c r="L193" i="386"/>
  <c r="BN192" i="386"/>
  <c r="BL192" i="386"/>
  <c r="BK192" i="386"/>
  <c r="BJ192" i="386"/>
  <c r="BM192" i="386" s="1"/>
  <c r="BI192" i="386"/>
  <c r="BH192" i="386"/>
  <c r="BG192" i="386"/>
  <c r="BF192" i="386"/>
  <c r="BE192" i="386"/>
  <c r="BD192" i="386"/>
  <c r="BC192" i="386"/>
  <c r="BB192" i="386"/>
  <c r="BA192" i="386"/>
  <c r="AZ192" i="386"/>
  <c r="AY192" i="386"/>
  <c r="AX192" i="386"/>
  <c r="AW192" i="386"/>
  <c r="AV192" i="386"/>
  <c r="AU192" i="386"/>
  <c r="AT192" i="386"/>
  <c r="AS192" i="386"/>
  <c r="AR192" i="386"/>
  <c r="AQ192" i="386"/>
  <c r="AP192" i="386"/>
  <c r="BN191" i="386"/>
  <c r="BM191" i="386"/>
  <c r="BL191" i="386"/>
  <c r="BK191" i="386"/>
  <c r="BJ191" i="386"/>
  <c r="BI191" i="386"/>
  <c r="BH191" i="386"/>
  <c r="BG191" i="386"/>
  <c r="BF191" i="386"/>
  <c r="BE191" i="386"/>
  <c r="BD191" i="386"/>
  <c r="BC191" i="386"/>
  <c r="BB191" i="386"/>
  <c r="BA191" i="386"/>
  <c r="AZ191" i="386"/>
  <c r="AY191" i="386"/>
  <c r="AX191" i="386"/>
  <c r="AW191" i="386"/>
  <c r="AV191" i="386"/>
  <c r="AU191" i="386"/>
  <c r="AT191" i="386"/>
  <c r="AS191" i="386"/>
  <c r="AR191" i="386"/>
  <c r="AQ191" i="386"/>
  <c r="AP191" i="386"/>
  <c r="BN190" i="386"/>
  <c r="BM190" i="386"/>
  <c r="BL190" i="386"/>
  <c r="BJ190" i="386"/>
  <c r="BI190" i="386"/>
  <c r="BH190" i="386"/>
  <c r="BG190" i="386"/>
  <c r="BF190" i="386"/>
  <c r="BE190" i="386"/>
  <c r="BD190" i="386"/>
  <c r="BC190" i="386"/>
  <c r="BB190" i="386"/>
  <c r="BA190" i="386"/>
  <c r="AZ190" i="386"/>
  <c r="AX190" i="386"/>
  <c r="BK190" i="386" s="1"/>
  <c r="AW190" i="386"/>
  <c r="AV190" i="386"/>
  <c r="AU190" i="386"/>
  <c r="AT190" i="386"/>
  <c r="AS190" i="386"/>
  <c r="AR190" i="386"/>
  <c r="AQ190" i="386"/>
  <c r="AP190" i="386"/>
  <c r="BN189" i="386"/>
  <c r="BM189" i="386"/>
  <c r="BL189" i="386"/>
  <c r="BK189" i="386"/>
  <c r="BJ189" i="386"/>
  <c r="BI189" i="386"/>
  <c r="BH189" i="386"/>
  <c r="BG189" i="386"/>
  <c r="BF189" i="386"/>
  <c r="BE189" i="386"/>
  <c r="BD189" i="386"/>
  <c r="BC189" i="386"/>
  <c r="BB189" i="386"/>
  <c r="BA189" i="386"/>
  <c r="AZ189" i="386"/>
  <c r="AW189" i="386"/>
  <c r="AV189" i="386"/>
  <c r="AU189" i="386"/>
  <c r="AT189" i="386"/>
  <c r="AS189" i="386"/>
  <c r="AR189" i="386"/>
  <c r="AQ189" i="386"/>
  <c r="AP189" i="386"/>
  <c r="BN188" i="386"/>
  <c r="BM188" i="386"/>
  <c r="BL188" i="386"/>
  <c r="BK188" i="386"/>
  <c r="BJ188" i="386"/>
  <c r="BI188" i="386"/>
  <c r="BH188" i="386"/>
  <c r="BG188" i="386"/>
  <c r="BF188" i="386"/>
  <c r="BE188" i="386"/>
  <c r="BD188" i="386"/>
  <c r="BC188" i="386"/>
  <c r="BB188" i="386"/>
  <c r="BA188" i="386"/>
  <c r="AZ188" i="386"/>
  <c r="AY188" i="386"/>
  <c r="AX188" i="386"/>
  <c r="AW188" i="386"/>
  <c r="AV188" i="386"/>
  <c r="AU188" i="386"/>
  <c r="AT188" i="386"/>
  <c r="AS188" i="386"/>
  <c r="AR188" i="386"/>
  <c r="AQ188" i="386"/>
  <c r="AP188" i="386"/>
  <c r="BN187" i="386"/>
  <c r="BM187" i="386"/>
  <c r="BL187" i="386"/>
  <c r="BJ187" i="386"/>
  <c r="BI187" i="386"/>
  <c r="BH187" i="386"/>
  <c r="BG187" i="386"/>
  <c r="BF187" i="386"/>
  <c r="BE187" i="386"/>
  <c r="BD187" i="386"/>
  <c r="BC187" i="386"/>
  <c r="BB187" i="386"/>
  <c r="BA187" i="386"/>
  <c r="AZ187" i="386"/>
  <c r="AX187" i="386"/>
  <c r="BK187" i="386" s="1"/>
  <c r="AW187" i="386"/>
  <c r="AV187" i="386"/>
  <c r="AU187" i="386"/>
  <c r="AT187" i="386"/>
  <c r="AS187" i="386"/>
  <c r="AR187" i="386"/>
  <c r="AQ187" i="386"/>
  <c r="AP187" i="386"/>
  <c r="BN186" i="386"/>
  <c r="BM186" i="386"/>
  <c r="BL186" i="386"/>
  <c r="BK186" i="386"/>
  <c r="BJ186" i="386"/>
  <c r="BI186" i="386"/>
  <c r="BH186" i="386"/>
  <c r="BG186" i="386"/>
  <c r="BF186" i="386"/>
  <c r="BE186" i="386"/>
  <c r="BD186" i="386"/>
  <c r="BC186" i="386"/>
  <c r="BB186" i="386"/>
  <c r="BA186" i="386"/>
  <c r="AZ186" i="386"/>
  <c r="AW186" i="386"/>
  <c r="AV186" i="386"/>
  <c r="AU186" i="386"/>
  <c r="AT186" i="386"/>
  <c r="AS186" i="386"/>
  <c r="AR186" i="386"/>
  <c r="AQ186" i="386"/>
  <c r="AP186" i="386"/>
  <c r="BN185" i="386"/>
  <c r="BM185" i="386"/>
  <c r="BL185" i="386"/>
  <c r="BK185" i="386"/>
  <c r="BJ185" i="386"/>
  <c r="BI185" i="386"/>
  <c r="BH185" i="386"/>
  <c r="BG185" i="386"/>
  <c r="BF185" i="386"/>
  <c r="BE185" i="386"/>
  <c r="BD185" i="386"/>
  <c r="BC185" i="386"/>
  <c r="BB185" i="386"/>
  <c r="BA185" i="386"/>
  <c r="AZ185" i="386"/>
  <c r="AY185" i="386"/>
  <c r="AW185" i="386"/>
  <c r="AV185" i="386"/>
  <c r="AU185" i="386"/>
  <c r="AT185" i="386"/>
  <c r="AS185" i="386"/>
  <c r="AR185" i="386"/>
  <c r="AQ185" i="386"/>
  <c r="AP185" i="386"/>
  <c r="BN184" i="386"/>
  <c r="BM184" i="386"/>
  <c r="BL184" i="386"/>
  <c r="BK184" i="386"/>
  <c r="BJ184" i="386"/>
  <c r="BI184" i="386"/>
  <c r="BH184" i="386"/>
  <c r="BG184" i="386"/>
  <c r="BF184" i="386"/>
  <c r="BE184" i="386"/>
  <c r="BD184" i="386"/>
  <c r="BC184" i="386"/>
  <c r="BB184" i="386"/>
  <c r="BA184" i="386"/>
  <c r="AZ184" i="386"/>
  <c r="AY184" i="386"/>
  <c r="AX184" i="386"/>
  <c r="AW184" i="386"/>
  <c r="AV184" i="386"/>
  <c r="AU184" i="386"/>
  <c r="AT184" i="386"/>
  <c r="AS184" i="386"/>
  <c r="AR184" i="386"/>
  <c r="AQ184" i="386"/>
  <c r="AP184" i="386"/>
  <c r="BN183" i="386"/>
  <c r="BM183" i="386"/>
  <c r="BL183" i="386"/>
  <c r="BK183" i="386"/>
  <c r="BJ183" i="386"/>
  <c r="BI183" i="386"/>
  <c r="BH183" i="386"/>
  <c r="BG183" i="386"/>
  <c r="BF183" i="386"/>
  <c r="BE183" i="386"/>
  <c r="BD183" i="386"/>
  <c r="BC183" i="386"/>
  <c r="BB183" i="386"/>
  <c r="BA183" i="386"/>
  <c r="AZ183" i="386"/>
  <c r="AY183" i="386"/>
  <c r="AW183" i="386"/>
  <c r="AV183" i="386"/>
  <c r="AU183" i="386"/>
  <c r="AT183" i="386"/>
  <c r="AS183" i="386"/>
  <c r="AR183" i="386"/>
  <c r="AQ183" i="386"/>
  <c r="AP183" i="386"/>
  <c r="BN182" i="386"/>
  <c r="BM182" i="386"/>
  <c r="BL182" i="386"/>
  <c r="BJ182" i="386"/>
  <c r="BI182" i="386"/>
  <c r="BH182" i="386"/>
  <c r="BG182" i="386"/>
  <c r="BF182" i="386"/>
  <c r="BE182" i="386"/>
  <c r="BD182" i="386"/>
  <c r="BC182" i="386"/>
  <c r="BB182" i="386"/>
  <c r="BA182" i="386"/>
  <c r="AZ182" i="386"/>
  <c r="AY182" i="386"/>
  <c r="AX182" i="386"/>
  <c r="BK182" i="386" s="1"/>
  <c r="AW182" i="386"/>
  <c r="AV182" i="386"/>
  <c r="AU182" i="386"/>
  <c r="AT182" i="386"/>
  <c r="AS182" i="386"/>
  <c r="AR182" i="386"/>
  <c r="AQ182" i="386"/>
  <c r="AP182" i="386"/>
  <c r="BN181" i="386"/>
  <c r="BM181" i="386"/>
  <c r="BL181" i="386"/>
  <c r="BK181" i="386"/>
  <c r="BJ181" i="386"/>
  <c r="BI181" i="386"/>
  <c r="BH181" i="386"/>
  <c r="BG181" i="386"/>
  <c r="BF181" i="386"/>
  <c r="BE181" i="386"/>
  <c r="BD181" i="386"/>
  <c r="BC181" i="386"/>
  <c r="BB181" i="386"/>
  <c r="BA181" i="386"/>
  <c r="AZ181" i="386"/>
  <c r="AW181" i="386"/>
  <c r="AV181" i="386"/>
  <c r="AU181" i="386"/>
  <c r="AT181" i="386"/>
  <c r="AS181" i="386"/>
  <c r="AR181" i="386"/>
  <c r="AQ181" i="386"/>
  <c r="AP181" i="386"/>
  <c r="BN180" i="386"/>
  <c r="BM180" i="386"/>
  <c r="BL180" i="386"/>
  <c r="BK180" i="386"/>
  <c r="BJ180" i="386"/>
  <c r="BI180" i="386"/>
  <c r="BH180" i="386"/>
  <c r="BG180" i="386"/>
  <c r="BF180" i="386"/>
  <c r="BE180" i="386"/>
  <c r="BD180" i="386"/>
  <c r="BC180" i="386"/>
  <c r="BB180" i="386"/>
  <c r="BA180" i="386"/>
  <c r="AZ180" i="386"/>
  <c r="AW180" i="386"/>
  <c r="AV180" i="386"/>
  <c r="AU180" i="386"/>
  <c r="AT180" i="386"/>
  <c r="AS180" i="386"/>
  <c r="AR180" i="386"/>
  <c r="AQ180" i="386"/>
  <c r="AP180" i="386"/>
  <c r="BN179" i="386"/>
  <c r="BL179" i="386"/>
  <c r="BK179" i="386"/>
  <c r="BJ179" i="386"/>
  <c r="BM179" i="386" s="1"/>
  <c r="BI179" i="386"/>
  <c r="BH179" i="386"/>
  <c r="BG179" i="386"/>
  <c r="BF179" i="386"/>
  <c r="BE179" i="386"/>
  <c r="BD179" i="386"/>
  <c r="BC179" i="386"/>
  <c r="BB179" i="386"/>
  <c r="BA179" i="386"/>
  <c r="AZ179" i="386"/>
  <c r="AW179" i="386"/>
  <c r="AV179" i="386"/>
  <c r="AU179" i="386"/>
  <c r="AT179" i="386"/>
  <c r="AS179" i="386"/>
  <c r="AR179" i="386"/>
  <c r="AQ179" i="386"/>
  <c r="AP179" i="386"/>
  <c r="BN178" i="386"/>
  <c r="BL178" i="386"/>
  <c r="BK178" i="386"/>
  <c r="BJ178" i="386"/>
  <c r="BM178" i="386" s="1"/>
  <c r="BI178" i="386"/>
  <c r="BH178" i="386"/>
  <c r="BG178" i="386"/>
  <c r="BF178" i="386"/>
  <c r="BE178" i="386"/>
  <c r="BD178" i="386"/>
  <c r="BC178" i="386"/>
  <c r="BB178" i="386"/>
  <c r="BA178" i="386"/>
  <c r="AZ178" i="386"/>
  <c r="AW178" i="386"/>
  <c r="AV178" i="386"/>
  <c r="AU178" i="386"/>
  <c r="AT178" i="386"/>
  <c r="AS178" i="386"/>
  <c r="AR178" i="386"/>
  <c r="AQ178" i="386"/>
  <c r="AP178" i="386"/>
  <c r="BN177" i="386"/>
  <c r="BL177" i="386"/>
  <c r="BK177" i="386"/>
  <c r="BJ177" i="386"/>
  <c r="BM177" i="386" s="1"/>
  <c r="BI177" i="386"/>
  <c r="BH177" i="386"/>
  <c r="BG177" i="386"/>
  <c r="BF177" i="386"/>
  <c r="BE177" i="386"/>
  <c r="BD177" i="386"/>
  <c r="BC177" i="386"/>
  <c r="BB177" i="386"/>
  <c r="BA177" i="386"/>
  <c r="AZ177" i="386"/>
  <c r="AY177" i="386"/>
  <c r="AX177" i="386"/>
  <c r="AW177" i="386"/>
  <c r="AV177" i="386"/>
  <c r="AU177" i="386"/>
  <c r="AT177" i="386"/>
  <c r="AS177" i="386"/>
  <c r="AR177" i="386"/>
  <c r="AQ177" i="386"/>
  <c r="AP177" i="386"/>
  <c r="AO176" i="386"/>
  <c r="AN176" i="386"/>
  <c r="AM176" i="386"/>
  <c r="AL176" i="386"/>
  <c r="AK176" i="386"/>
  <c r="AJ176" i="386"/>
  <c r="AI176" i="386"/>
  <c r="AH176" i="386"/>
  <c r="AG176" i="386"/>
  <c r="AF176" i="386"/>
  <c r="AE176" i="386"/>
  <c r="AD176" i="386"/>
  <c r="AC176" i="386"/>
  <c r="AB176" i="386"/>
  <c r="AA176" i="386"/>
  <c r="Z176" i="386"/>
  <c r="Y176" i="386"/>
  <c r="X176" i="386"/>
  <c r="W176" i="386"/>
  <c r="V176" i="386"/>
  <c r="U176" i="386"/>
  <c r="T176" i="386"/>
  <c r="S176" i="386"/>
  <c r="R176" i="386"/>
  <c r="Q176" i="386"/>
  <c r="P176" i="386"/>
  <c r="O176" i="386"/>
  <c r="N176" i="386"/>
  <c r="M176" i="386"/>
  <c r="L176" i="386"/>
  <c r="BN175" i="386"/>
  <c r="BK175" i="386"/>
  <c r="BJ175" i="386"/>
  <c r="BM175" i="386" s="1"/>
  <c r="BI175" i="386"/>
  <c r="BH175" i="386"/>
  <c r="BG175" i="386"/>
  <c r="BF175" i="386"/>
  <c r="BE175" i="386"/>
  <c r="BD175" i="386"/>
  <c r="BC175" i="386"/>
  <c r="BB175" i="386"/>
  <c r="BA175" i="386"/>
  <c r="AZ175" i="386"/>
  <c r="AY175" i="386"/>
  <c r="BL175" i="386" s="1"/>
  <c r="AX175" i="386"/>
  <c r="AW175" i="386"/>
  <c r="AV175" i="386"/>
  <c r="AU175" i="386"/>
  <c r="AT175" i="386"/>
  <c r="AS175" i="386"/>
  <c r="AR175" i="386"/>
  <c r="AQ175" i="386"/>
  <c r="AP175" i="386"/>
  <c r="BN174" i="386"/>
  <c r="BL174" i="386"/>
  <c r="BK174" i="386"/>
  <c r="BJ174" i="386"/>
  <c r="BM174" i="386" s="1"/>
  <c r="BI174" i="386"/>
  <c r="BH174" i="386"/>
  <c r="BG174" i="386"/>
  <c r="BF174" i="386"/>
  <c r="BE174" i="386"/>
  <c r="BD174" i="386"/>
  <c r="BC174" i="386"/>
  <c r="BB174" i="386"/>
  <c r="BA174" i="386"/>
  <c r="AZ174" i="386"/>
  <c r="AX174" i="386"/>
  <c r="AW174" i="386"/>
  <c r="AV174" i="386"/>
  <c r="AU174" i="386"/>
  <c r="AT174" i="386"/>
  <c r="AS174" i="386"/>
  <c r="AR174" i="386"/>
  <c r="AQ174" i="386"/>
  <c r="AP174" i="386"/>
  <c r="BN173" i="386"/>
  <c r="BL173" i="386"/>
  <c r="BK173" i="386"/>
  <c r="BJ173" i="386"/>
  <c r="BM173" i="386" s="1"/>
  <c r="BI173" i="386"/>
  <c r="BH173" i="386"/>
  <c r="BG173" i="386"/>
  <c r="BF173" i="386"/>
  <c r="BE173" i="386"/>
  <c r="BD173" i="386"/>
  <c r="BC173" i="386"/>
  <c r="BB173" i="386"/>
  <c r="BA173" i="386"/>
  <c r="AZ173" i="386"/>
  <c r="AY173" i="386"/>
  <c r="AX173" i="386"/>
  <c r="AW173" i="386"/>
  <c r="AV173" i="386"/>
  <c r="AU173" i="386"/>
  <c r="AT173" i="386"/>
  <c r="AS173" i="386"/>
  <c r="AR173" i="386"/>
  <c r="AQ173" i="386"/>
  <c r="AP173" i="386"/>
  <c r="BN172" i="386"/>
  <c r="BL172" i="386"/>
  <c r="BK172" i="386"/>
  <c r="BJ172" i="386"/>
  <c r="BM172" i="386" s="1"/>
  <c r="BI172" i="386"/>
  <c r="BH172" i="386"/>
  <c r="BG172" i="386"/>
  <c r="BF172" i="386"/>
  <c r="BE172" i="386"/>
  <c r="BD172" i="386"/>
  <c r="BC172" i="386"/>
  <c r="BB172" i="386"/>
  <c r="BA172" i="386"/>
  <c r="AZ172" i="386"/>
  <c r="AY172" i="386"/>
  <c r="AW172" i="386"/>
  <c r="AV172" i="386"/>
  <c r="AU172" i="386"/>
  <c r="AT172" i="386"/>
  <c r="AS172" i="386"/>
  <c r="AR172" i="386"/>
  <c r="AQ172" i="386"/>
  <c r="AP172" i="386"/>
  <c r="BN171" i="386"/>
  <c r="BL171" i="386"/>
  <c r="BK171" i="386"/>
  <c r="BJ171" i="386"/>
  <c r="BM171" i="386" s="1"/>
  <c r="BI171" i="386"/>
  <c r="BH171" i="386"/>
  <c r="BG171" i="386"/>
  <c r="BF171" i="386"/>
  <c r="BE171" i="386"/>
  <c r="BD171" i="386"/>
  <c r="BC171" i="386"/>
  <c r="BB171" i="386"/>
  <c r="BA171" i="386"/>
  <c r="AZ171" i="386"/>
  <c r="AW171" i="386"/>
  <c r="AV171" i="386"/>
  <c r="AU171" i="386"/>
  <c r="AT171" i="386"/>
  <c r="AS171" i="386"/>
  <c r="AR171" i="386"/>
  <c r="AQ171" i="386"/>
  <c r="AP171" i="386"/>
  <c r="BN170" i="386"/>
  <c r="BL170" i="386"/>
  <c r="BK170" i="386"/>
  <c r="BJ170" i="386"/>
  <c r="BM170" i="386" s="1"/>
  <c r="BI170" i="386"/>
  <c r="BH170" i="386"/>
  <c r="BG170" i="386"/>
  <c r="BF170" i="386"/>
  <c r="BE170" i="386"/>
  <c r="BD170" i="386"/>
  <c r="BC170" i="386"/>
  <c r="BB170" i="386"/>
  <c r="BA170" i="386"/>
  <c r="AZ170" i="386"/>
  <c r="AY170" i="386"/>
  <c r="AW170" i="386"/>
  <c r="AV170" i="386"/>
  <c r="AU170" i="386"/>
  <c r="AT170" i="386"/>
  <c r="AS170" i="386"/>
  <c r="AR170" i="386"/>
  <c r="AQ170" i="386"/>
  <c r="AP170" i="386"/>
  <c r="BN169" i="386"/>
  <c r="BL169" i="386"/>
  <c r="BK169" i="386"/>
  <c r="BJ169" i="386"/>
  <c r="BM169" i="386" s="1"/>
  <c r="BI169" i="386"/>
  <c r="BH169" i="386"/>
  <c r="BG169" i="386"/>
  <c r="BF169" i="386"/>
  <c r="BE169" i="386"/>
  <c r="BD169" i="386"/>
  <c r="BC169" i="386"/>
  <c r="BB169" i="386"/>
  <c r="BA169" i="386"/>
  <c r="AZ169" i="386"/>
  <c r="AY169" i="386"/>
  <c r="AW169" i="386"/>
  <c r="AV169" i="386"/>
  <c r="AU169" i="386"/>
  <c r="AT169" i="386"/>
  <c r="AS169" i="386"/>
  <c r="AR169" i="386"/>
  <c r="AQ169" i="386"/>
  <c r="AP169" i="386"/>
  <c r="BN168" i="386"/>
  <c r="BL168" i="386"/>
  <c r="BK168" i="386"/>
  <c r="BJ168" i="386"/>
  <c r="BM168" i="386" s="1"/>
  <c r="BI168" i="386"/>
  <c r="BH168" i="386"/>
  <c r="BG168" i="386"/>
  <c r="BF168" i="386"/>
  <c r="BE168" i="386"/>
  <c r="BD168" i="386"/>
  <c r="BC168" i="386"/>
  <c r="BB168" i="386"/>
  <c r="BA168" i="386"/>
  <c r="AZ168" i="386"/>
  <c r="AY168" i="386"/>
  <c r="AW168" i="386"/>
  <c r="AV168" i="386"/>
  <c r="AU168" i="386"/>
  <c r="AT168" i="386"/>
  <c r="AS168" i="386"/>
  <c r="AR168" i="386"/>
  <c r="AQ168" i="386"/>
  <c r="AP168" i="386"/>
  <c r="BN167" i="386"/>
  <c r="BL167" i="386"/>
  <c r="BK167" i="386"/>
  <c r="BJ167" i="386"/>
  <c r="BM167" i="386" s="1"/>
  <c r="BI167" i="386"/>
  <c r="BH167" i="386"/>
  <c r="BG167" i="386"/>
  <c r="BF167" i="386"/>
  <c r="BE167" i="386"/>
  <c r="BD167" i="386"/>
  <c r="BC167" i="386"/>
  <c r="BB167" i="386"/>
  <c r="BA167" i="386"/>
  <c r="AZ167" i="386"/>
  <c r="AY167" i="386"/>
  <c r="AW167" i="386"/>
  <c r="AV167" i="386"/>
  <c r="AU167" i="386"/>
  <c r="AT167" i="386"/>
  <c r="AS167" i="386"/>
  <c r="AR167" i="386"/>
  <c r="AQ167" i="386"/>
  <c r="AP167" i="386"/>
  <c r="BN166" i="386"/>
  <c r="BL166" i="386"/>
  <c r="BK166" i="386"/>
  <c r="BJ166" i="386"/>
  <c r="BM166" i="386" s="1"/>
  <c r="BI166" i="386"/>
  <c r="BH166" i="386"/>
  <c r="BG166" i="386"/>
  <c r="BF166" i="386"/>
  <c r="BE166" i="386"/>
  <c r="BD166" i="386"/>
  <c r="BC166" i="386"/>
  <c r="BB166" i="386"/>
  <c r="BA166" i="386"/>
  <c r="AZ166" i="386"/>
  <c r="AY166" i="386"/>
  <c r="AX166" i="386"/>
  <c r="AW166" i="386"/>
  <c r="AV166" i="386"/>
  <c r="AU166" i="386"/>
  <c r="AT166" i="386"/>
  <c r="AS166" i="386"/>
  <c r="AR166" i="386"/>
  <c r="AQ166" i="386"/>
  <c r="AP166" i="386"/>
  <c r="BN165" i="386"/>
  <c r="BL165" i="386"/>
  <c r="BK165" i="386"/>
  <c r="BJ165" i="386"/>
  <c r="BM165" i="386" s="1"/>
  <c r="BI165" i="386"/>
  <c r="BH165" i="386"/>
  <c r="BG165" i="386"/>
  <c r="BF165" i="386"/>
  <c r="BE165" i="386"/>
  <c r="BD165" i="386"/>
  <c r="BC165" i="386"/>
  <c r="BB165" i="386"/>
  <c r="BA165" i="386"/>
  <c r="AZ165" i="386"/>
  <c r="AY165" i="386"/>
  <c r="AX165" i="386"/>
  <c r="AW165" i="386"/>
  <c r="AV165" i="386"/>
  <c r="AU165" i="386"/>
  <c r="AT165" i="386"/>
  <c r="AS165" i="386"/>
  <c r="AR165" i="386"/>
  <c r="AQ165" i="386"/>
  <c r="AP165" i="386"/>
  <c r="BN164" i="386"/>
  <c r="BM164" i="386"/>
  <c r="BL164" i="386"/>
  <c r="BK164" i="386"/>
  <c r="BJ164" i="386"/>
  <c r="BI164" i="386"/>
  <c r="BH164" i="386"/>
  <c r="BG164" i="386"/>
  <c r="BF164" i="386"/>
  <c r="BE164" i="386"/>
  <c r="BD164" i="386"/>
  <c r="BC164" i="386"/>
  <c r="BB164" i="386"/>
  <c r="BA164" i="386"/>
  <c r="AZ164" i="386"/>
  <c r="AW164" i="386"/>
  <c r="AV164" i="386"/>
  <c r="AU164" i="386"/>
  <c r="AT164" i="386"/>
  <c r="AS164" i="386"/>
  <c r="AR164" i="386"/>
  <c r="AQ164" i="386"/>
  <c r="AP164" i="386"/>
  <c r="BN163" i="386"/>
  <c r="BL163" i="386"/>
  <c r="BK163" i="386"/>
  <c r="BJ163" i="386"/>
  <c r="BM163" i="386" s="1"/>
  <c r="BI163" i="386"/>
  <c r="BH163" i="386"/>
  <c r="BG163" i="386"/>
  <c r="BF163" i="386"/>
  <c r="BE163" i="386"/>
  <c r="BD163" i="386"/>
  <c r="BC163" i="386"/>
  <c r="BB163" i="386"/>
  <c r="BA163" i="386"/>
  <c r="AZ163" i="386"/>
  <c r="AW163" i="386"/>
  <c r="AV163" i="386"/>
  <c r="AU163" i="386"/>
  <c r="AT163" i="386"/>
  <c r="AS163" i="386"/>
  <c r="AR163" i="386"/>
  <c r="AQ163" i="386"/>
  <c r="AP163" i="386"/>
  <c r="BN162" i="386"/>
  <c r="BL162" i="386"/>
  <c r="BK162" i="386"/>
  <c r="BJ162" i="386"/>
  <c r="BM162" i="386" s="1"/>
  <c r="BI162" i="386"/>
  <c r="BH162" i="386"/>
  <c r="BG162" i="386"/>
  <c r="BF162" i="386"/>
  <c r="BE162" i="386"/>
  <c r="BD162" i="386"/>
  <c r="BC162" i="386"/>
  <c r="BB162" i="386"/>
  <c r="BA162" i="386"/>
  <c r="AZ162" i="386"/>
  <c r="AW162" i="386"/>
  <c r="AV162" i="386"/>
  <c r="AU162" i="386"/>
  <c r="AT162" i="386"/>
  <c r="AS162" i="386"/>
  <c r="AR162" i="386"/>
  <c r="AQ162" i="386"/>
  <c r="AP162" i="386"/>
  <c r="BN161" i="386"/>
  <c r="BL161" i="386"/>
  <c r="BK161" i="386"/>
  <c r="BJ161" i="386"/>
  <c r="BM161" i="386" s="1"/>
  <c r="BI161" i="386"/>
  <c r="BH161" i="386"/>
  <c r="BG161" i="386"/>
  <c r="BF161" i="386"/>
  <c r="BE161" i="386"/>
  <c r="BD161" i="386"/>
  <c r="BC161" i="386"/>
  <c r="BB161" i="386"/>
  <c r="BA161" i="386"/>
  <c r="AZ161" i="386"/>
  <c r="AY161" i="386"/>
  <c r="AW161" i="386"/>
  <c r="AV161" i="386"/>
  <c r="AU161" i="386"/>
  <c r="AT161" i="386"/>
  <c r="AS161" i="386"/>
  <c r="AR161" i="386"/>
  <c r="AQ161" i="386"/>
  <c r="AP161" i="386"/>
  <c r="BN160" i="386"/>
  <c r="BL160" i="386"/>
  <c r="BK160" i="386"/>
  <c r="BJ160" i="386"/>
  <c r="BM160" i="386" s="1"/>
  <c r="BI160" i="386"/>
  <c r="BH160" i="386"/>
  <c r="BG160" i="386"/>
  <c r="BF160" i="386"/>
  <c r="BE160" i="386"/>
  <c r="BD160" i="386"/>
  <c r="BC160" i="386"/>
  <c r="BB160" i="386"/>
  <c r="BA160" i="386"/>
  <c r="AZ160" i="386"/>
  <c r="AW160" i="386"/>
  <c r="AV160" i="386"/>
  <c r="AU160" i="386"/>
  <c r="AT160" i="386"/>
  <c r="AS160" i="386"/>
  <c r="AR160" i="386"/>
  <c r="AQ160" i="386"/>
  <c r="AP160" i="386"/>
  <c r="BN159" i="386"/>
  <c r="BL159" i="386"/>
  <c r="BK159" i="386"/>
  <c r="BJ159" i="386"/>
  <c r="BM159" i="386" s="1"/>
  <c r="BI159" i="386"/>
  <c r="BH159" i="386"/>
  <c r="BG159" i="386"/>
  <c r="BF159" i="386"/>
  <c r="BE159" i="386"/>
  <c r="BD159" i="386"/>
  <c r="BC159" i="386"/>
  <c r="BB159" i="386"/>
  <c r="BA159" i="386"/>
  <c r="AZ159" i="386"/>
  <c r="AW159" i="386"/>
  <c r="AV159" i="386"/>
  <c r="AU159" i="386"/>
  <c r="AT159" i="386"/>
  <c r="AS159" i="386"/>
  <c r="AR159" i="386"/>
  <c r="AQ159" i="386"/>
  <c r="AP159" i="386"/>
  <c r="BN158" i="386"/>
  <c r="BL158" i="386"/>
  <c r="BK158" i="386"/>
  <c r="BJ158" i="386"/>
  <c r="BM158" i="386" s="1"/>
  <c r="BI158" i="386"/>
  <c r="BH158" i="386"/>
  <c r="BG158" i="386"/>
  <c r="BF158" i="386"/>
  <c r="BE158" i="386"/>
  <c r="BD158" i="386"/>
  <c r="BC158" i="386"/>
  <c r="BB158" i="386"/>
  <c r="BA158" i="386"/>
  <c r="AZ158" i="386"/>
  <c r="AW158" i="386"/>
  <c r="AV158" i="386"/>
  <c r="AU158" i="386"/>
  <c r="AT158" i="386"/>
  <c r="AS158" i="386"/>
  <c r="AR158" i="386"/>
  <c r="AQ158" i="386"/>
  <c r="AP158" i="386"/>
  <c r="BN157" i="386"/>
  <c r="BM157" i="386"/>
  <c r="BL157" i="386"/>
  <c r="BJ157" i="386"/>
  <c r="BI157" i="386"/>
  <c r="BH157" i="386"/>
  <c r="BG157" i="386"/>
  <c r="BF157" i="386"/>
  <c r="BE157" i="386"/>
  <c r="BD157" i="386"/>
  <c r="BC157" i="386"/>
  <c r="BB157" i="386"/>
  <c r="BA157" i="386"/>
  <c r="AZ157" i="386"/>
  <c r="AX157" i="386"/>
  <c r="BK157" i="386" s="1"/>
  <c r="AW157" i="386"/>
  <c r="AV157" i="386"/>
  <c r="AU157" i="386"/>
  <c r="AT157" i="386"/>
  <c r="AS157" i="386"/>
  <c r="AR157" i="386"/>
  <c r="AQ157" i="386"/>
  <c r="AP157" i="386"/>
  <c r="BN156" i="386"/>
  <c r="BM156" i="386"/>
  <c r="BK156" i="386"/>
  <c r="BJ156" i="386"/>
  <c r="BI156" i="386"/>
  <c r="BH156" i="386"/>
  <c r="BG156" i="386"/>
  <c r="BF156" i="386"/>
  <c r="BE156" i="386"/>
  <c r="BD156" i="386"/>
  <c r="BC156" i="386"/>
  <c r="BB156" i="386"/>
  <c r="BA156" i="386"/>
  <c r="AZ156" i="386"/>
  <c r="AY156" i="386"/>
  <c r="BL156" i="386" s="1"/>
  <c r="AW156" i="386"/>
  <c r="AV156" i="386"/>
  <c r="AU156" i="386"/>
  <c r="AT156" i="386"/>
  <c r="AS156" i="386"/>
  <c r="AR156" i="386"/>
  <c r="AQ156" i="386"/>
  <c r="AP156" i="386"/>
  <c r="BN155" i="386"/>
  <c r="BM155" i="386"/>
  <c r="BJ155" i="386"/>
  <c r="BI155" i="386"/>
  <c r="BH155" i="386"/>
  <c r="BG155" i="386"/>
  <c r="BF155" i="386"/>
  <c r="BE155" i="386"/>
  <c r="BD155" i="386"/>
  <c r="BC155" i="386"/>
  <c r="BB155" i="386"/>
  <c r="BA155" i="386"/>
  <c r="AZ155" i="386"/>
  <c r="AY155" i="386"/>
  <c r="BL155" i="386" s="1"/>
  <c r="AX155" i="386"/>
  <c r="BK155" i="386" s="1"/>
  <c r="AW155" i="386"/>
  <c r="AV155" i="386"/>
  <c r="AU155" i="386"/>
  <c r="AT155" i="386"/>
  <c r="AS155" i="386"/>
  <c r="AR155" i="386"/>
  <c r="AQ155" i="386"/>
  <c r="AP155" i="386"/>
  <c r="BN154" i="386"/>
  <c r="BJ154" i="386"/>
  <c r="BM154" i="386" s="1"/>
  <c r="BI154" i="386"/>
  <c r="BH154" i="386"/>
  <c r="BG154" i="386"/>
  <c r="BF154" i="386"/>
  <c r="BE154" i="386"/>
  <c r="BD154" i="386"/>
  <c r="BC154" i="386"/>
  <c r="BB154" i="386"/>
  <c r="BA154" i="386"/>
  <c r="AZ154" i="386"/>
  <c r="AY154" i="386"/>
  <c r="BL154" i="386" s="1"/>
  <c r="AX154" i="386"/>
  <c r="BK154" i="386" s="1"/>
  <c r="AW154" i="386"/>
  <c r="AV154" i="386"/>
  <c r="AU154" i="386"/>
  <c r="AT154" i="386"/>
  <c r="AS154" i="386"/>
  <c r="AR154" i="386"/>
  <c r="AQ154" i="386"/>
  <c r="AP154" i="386"/>
  <c r="BN153" i="386"/>
  <c r="BL153" i="386"/>
  <c r="BK153" i="386"/>
  <c r="BJ153" i="386"/>
  <c r="BM153" i="386" s="1"/>
  <c r="BI153" i="386"/>
  <c r="BH153" i="386"/>
  <c r="BG153" i="386"/>
  <c r="BF153" i="386"/>
  <c r="BE153" i="386"/>
  <c r="BD153" i="386"/>
  <c r="BC153" i="386"/>
  <c r="BB153" i="386"/>
  <c r="BA153" i="386"/>
  <c r="AZ153" i="386"/>
  <c r="AW153" i="386"/>
  <c r="AV153" i="386"/>
  <c r="AU153" i="386"/>
  <c r="AT153" i="386"/>
  <c r="AS153" i="386"/>
  <c r="AR153" i="386"/>
  <c r="AQ153" i="386"/>
  <c r="AP153" i="386"/>
  <c r="BN152" i="386"/>
  <c r="BK152" i="386"/>
  <c r="BJ152" i="386"/>
  <c r="BM152" i="386" s="1"/>
  <c r="BI152" i="386"/>
  <c r="BH152" i="386"/>
  <c r="BG152" i="386"/>
  <c r="BF152" i="386"/>
  <c r="BE152" i="386"/>
  <c r="BD152" i="386"/>
  <c r="BC152" i="386"/>
  <c r="BB152" i="386"/>
  <c r="BA152" i="386"/>
  <c r="AZ152" i="386"/>
  <c r="AY152" i="386"/>
  <c r="BL152" i="386" s="1"/>
  <c r="AW152" i="386"/>
  <c r="AV152" i="386"/>
  <c r="AU152" i="386"/>
  <c r="AT152" i="386"/>
  <c r="AS152" i="386"/>
  <c r="AR152" i="386"/>
  <c r="AQ152" i="386"/>
  <c r="AP152" i="386"/>
  <c r="BN151" i="386"/>
  <c r="BL151" i="386"/>
  <c r="BK151" i="386"/>
  <c r="BJ151" i="386"/>
  <c r="BM151" i="386" s="1"/>
  <c r="BI151" i="386"/>
  <c r="BH151" i="386"/>
  <c r="BG151" i="386"/>
  <c r="BF151" i="386"/>
  <c r="BE151" i="386"/>
  <c r="BD151" i="386"/>
  <c r="BC151" i="386"/>
  <c r="BB151" i="386"/>
  <c r="BA151" i="386"/>
  <c r="AZ151" i="386"/>
  <c r="AW151" i="386"/>
  <c r="AV151" i="386"/>
  <c r="AU151" i="386"/>
  <c r="AT151" i="386"/>
  <c r="AS151" i="386"/>
  <c r="AR151" i="386"/>
  <c r="AQ151" i="386"/>
  <c r="AP151" i="386"/>
  <c r="AO150" i="386"/>
  <c r="AN150" i="386"/>
  <c r="AM150" i="386"/>
  <c r="AL150" i="386"/>
  <c r="AK150" i="386"/>
  <c r="AJ150" i="386"/>
  <c r="AI150" i="386"/>
  <c r="AH150" i="386"/>
  <c r="AG150" i="386"/>
  <c r="AF150" i="386"/>
  <c r="AE150" i="386"/>
  <c r="AD150" i="386"/>
  <c r="AC150" i="386"/>
  <c r="AB150" i="386"/>
  <c r="AA150" i="386"/>
  <c r="Z150" i="386"/>
  <c r="Y150" i="386"/>
  <c r="X150" i="386"/>
  <c r="W150" i="386"/>
  <c r="V150" i="386"/>
  <c r="U150" i="386"/>
  <c r="T150" i="386"/>
  <c r="S150" i="386"/>
  <c r="R150" i="386"/>
  <c r="Q150" i="386"/>
  <c r="P150" i="386"/>
  <c r="O150" i="386"/>
  <c r="N150" i="386"/>
  <c r="M150" i="386"/>
  <c r="L150" i="386"/>
  <c r="BN149" i="386"/>
  <c r="BM149" i="386"/>
  <c r="BL149" i="386"/>
  <c r="BK149" i="386"/>
  <c r="BJ149" i="386"/>
  <c r="BI149" i="386"/>
  <c r="BH149" i="386"/>
  <c r="BG149" i="386"/>
  <c r="BF149" i="386"/>
  <c r="BE149" i="386"/>
  <c r="BD149" i="386"/>
  <c r="BC149" i="386"/>
  <c r="BB149" i="386"/>
  <c r="BA149" i="386"/>
  <c r="AZ149" i="386"/>
  <c r="AY149" i="386"/>
  <c r="AW149" i="386"/>
  <c r="AV149" i="386"/>
  <c r="AU149" i="386"/>
  <c r="AT149" i="386"/>
  <c r="AS149" i="386"/>
  <c r="AR149" i="386"/>
  <c r="AQ149" i="386"/>
  <c r="AP149" i="386"/>
  <c r="BN148" i="386"/>
  <c r="BM148" i="386"/>
  <c r="BL148" i="386"/>
  <c r="BK148" i="386"/>
  <c r="BJ148" i="386"/>
  <c r="BI148" i="386"/>
  <c r="BH148" i="386"/>
  <c r="BG148" i="386"/>
  <c r="BF148" i="386"/>
  <c r="BE148" i="386"/>
  <c r="BD148" i="386"/>
  <c r="BC148" i="386"/>
  <c r="BB148" i="386"/>
  <c r="BA148" i="386"/>
  <c r="AZ148" i="386"/>
  <c r="AW148" i="386"/>
  <c r="AV148" i="386"/>
  <c r="AU148" i="386"/>
  <c r="AT148" i="386"/>
  <c r="AS148" i="386"/>
  <c r="AR148" i="386"/>
  <c r="AQ148" i="386"/>
  <c r="AP148" i="386"/>
  <c r="BN147" i="386"/>
  <c r="BL147" i="386"/>
  <c r="BK147" i="386"/>
  <c r="BJ147" i="386"/>
  <c r="BM147" i="386" s="1"/>
  <c r="BI147" i="386"/>
  <c r="BH147" i="386"/>
  <c r="BG147" i="386"/>
  <c r="BF147" i="386"/>
  <c r="BE147" i="386"/>
  <c r="BD147" i="386"/>
  <c r="BC147" i="386"/>
  <c r="BB147" i="386"/>
  <c r="BA147" i="386"/>
  <c r="AZ147" i="386"/>
  <c r="AW147" i="386"/>
  <c r="AV147" i="386"/>
  <c r="AU147" i="386"/>
  <c r="AT147" i="386"/>
  <c r="AS147" i="386"/>
  <c r="AR147" i="386"/>
  <c r="AQ147" i="386"/>
  <c r="AP147" i="386"/>
  <c r="BN146" i="386"/>
  <c r="BL146" i="386"/>
  <c r="BK146" i="386"/>
  <c r="BJ146" i="386"/>
  <c r="BM146" i="386" s="1"/>
  <c r="BI146" i="386"/>
  <c r="BH146" i="386"/>
  <c r="BG146" i="386"/>
  <c r="BF146" i="386"/>
  <c r="BE146" i="386"/>
  <c r="BD146" i="386"/>
  <c r="BC146" i="386"/>
  <c r="BB146" i="386"/>
  <c r="BA146" i="386"/>
  <c r="AZ146" i="386"/>
  <c r="AW146" i="386"/>
  <c r="AV146" i="386"/>
  <c r="AU146" i="386"/>
  <c r="AT146" i="386"/>
  <c r="AS146" i="386"/>
  <c r="AR146" i="386"/>
  <c r="AQ146" i="386"/>
  <c r="AP146" i="386"/>
  <c r="BN145" i="386"/>
  <c r="BL145" i="386"/>
  <c r="BK145" i="386"/>
  <c r="BJ145" i="386"/>
  <c r="BM145" i="386" s="1"/>
  <c r="BI145" i="386"/>
  <c r="BH145" i="386"/>
  <c r="BG145" i="386"/>
  <c r="BF145" i="386"/>
  <c r="BE145" i="386"/>
  <c r="BD145" i="386"/>
  <c r="BC145" i="386"/>
  <c r="BB145" i="386"/>
  <c r="BA145" i="386"/>
  <c r="AZ145" i="386"/>
  <c r="AY145" i="386"/>
  <c r="AW145" i="386"/>
  <c r="AV145" i="386"/>
  <c r="AU145" i="386"/>
  <c r="AT145" i="386"/>
  <c r="AS145" i="386"/>
  <c r="AR145" i="386"/>
  <c r="AQ145" i="386"/>
  <c r="AP145" i="386"/>
  <c r="BN144" i="386"/>
  <c r="BL144" i="386"/>
  <c r="BK144" i="386"/>
  <c r="BJ144" i="386"/>
  <c r="BM144" i="386" s="1"/>
  <c r="BI144" i="386"/>
  <c r="BH144" i="386"/>
  <c r="BG144" i="386"/>
  <c r="BF144" i="386"/>
  <c r="BE144" i="386"/>
  <c r="BD144" i="386"/>
  <c r="BC144" i="386"/>
  <c r="BB144" i="386"/>
  <c r="BA144" i="386"/>
  <c r="AZ144" i="386"/>
  <c r="AX144" i="386"/>
  <c r="AW144" i="386"/>
  <c r="AV144" i="386"/>
  <c r="AU144" i="386"/>
  <c r="AT144" i="386"/>
  <c r="AS144" i="386"/>
  <c r="AR144" i="386"/>
  <c r="AQ144" i="386"/>
  <c r="AP144" i="386"/>
  <c r="AO143" i="386"/>
  <c r="AN143" i="386"/>
  <c r="AM143" i="386"/>
  <c r="AL143" i="386"/>
  <c r="AK143" i="386"/>
  <c r="AJ143" i="386"/>
  <c r="AI143" i="386"/>
  <c r="AH143" i="386"/>
  <c r="AG143" i="386"/>
  <c r="AF143" i="386"/>
  <c r="AE143" i="386"/>
  <c r="AD143" i="386"/>
  <c r="AC143" i="386"/>
  <c r="AB143" i="386"/>
  <c r="AA143" i="386"/>
  <c r="Z143" i="386"/>
  <c r="Y143" i="386"/>
  <c r="X143" i="386"/>
  <c r="W143" i="386"/>
  <c r="V143" i="386"/>
  <c r="U143" i="386"/>
  <c r="T143" i="386"/>
  <c r="S143" i="386"/>
  <c r="R143" i="386"/>
  <c r="Q143" i="386"/>
  <c r="P143" i="386"/>
  <c r="O143" i="386"/>
  <c r="N143" i="386"/>
  <c r="M143" i="386"/>
  <c r="L143" i="386"/>
  <c r="BN142" i="386"/>
  <c r="BK142" i="386"/>
  <c r="BJ142" i="386"/>
  <c r="BM142" i="386" s="1"/>
  <c r="BI142" i="386"/>
  <c r="BH142" i="386"/>
  <c r="BG142" i="386"/>
  <c r="BF142" i="386"/>
  <c r="BE142" i="386"/>
  <c r="BD142" i="386"/>
  <c r="BC142" i="386"/>
  <c r="BB142" i="386"/>
  <c r="BA142" i="386"/>
  <c r="AZ142" i="386"/>
  <c r="AY142" i="386"/>
  <c r="BL142" i="386" s="1"/>
  <c r="AW142" i="386"/>
  <c r="AV142" i="386"/>
  <c r="AU142" i="386"/>
  <c r="AT142" i="386"/>
  <c r="AS142" i="386"/>
  <c r="AR142" i="386"/>
  <c r="AQ142" i="386"/>
  <c r="AP142" i="386"/>
  <c r="BN141" i="386"/>
  <c r="BL141" i="386"/>
  <c r="BK141" i="386"/>
  <c r="BJ141" i="386"/>
  <c r="BM141" i="386" s="1"/>
  <c r="BI141" i="386"/>
  <c r="BH141" i="386"/>
  <c r="BG141" i="386"/>
  <c r="BF141" i="386"/>
  <c r="BE141" i="386"/>
  <c r="BD141" i="386"/>
  <c r="BC141" i="386"/>
  <c r="BB141" i="386"/>
  <c r="BA141" i="386"/>
  <c r="AZ141" i="386"/>
  <c r="AW141" i="386"/>
  <c r="AV141" i="386"/>
  <c r="AU141" i="386"/>
  <c r="AT141" i="386"/>
  <c r="AS141" i="386"/>
  <c r="AR141" i="386"/>
  <c r="AQ141" i="386"/>
  <c r="AP141" i="386"/>
  <c r="BN140" i="386"/>
  <c r="BM140" i="386"/>
  <c r="BK140" i="386"/>
  <c r="BJ140" i="386"/>
  <c r="BI140" i="386"/>
  <c r="BH140" i="386"/>
  <c r="BG140" i="386"/>
  <c r="BF140" i="386"/>
  <c r="BE140" i="386"/>
  <c r="BD140" i="386"/>
  <c r="BC140" i="386"/>
  <c r="BB140" i="386"/>
  <c r="BA140" i="386"/>
  <c r="AZ140" i="386"/>
  <c r="AY140" i="386"/>
  <c r="BL140" i="386" s="1"/>
  <c r="AW140" i="386"/>
  <c r="AV140" i="386"/>
  <c r="AU140" i="386"/>
  <c r="AT140" i="386"/>
  <c r="AS140" i="386"/>
  <c r="AR140" i="386"/>
  <c r="AQ140" i="386"/>
  <c r="AP140" i="386"/>
  <c r="BN139" i="386"/>
  <c r="BM139" i="386"/>
  <c r="BJ139" i="386"/>
  <c r="BI139" i="386"/>
  <c r="BH139" i="386"/>
  <c r="BG139" i="386"/>
  <c r="BF139" i="386"/>
  <c r="BE139" i="386"/>
  <c r="BD139" i="386"/>
  <c r="BC139" i="386"/>
  <c r="BB139" i="386"/>
  <c r="BA139" i="386"/>
  <c r="AZ139" i="386"/>
  <c r="AY139" i="386"/>
  <c r="BL139" i="386" s="1"/>
  <c r="AX139" i="386"/>
  <c r="BK139" i="386" s="1"/>
  <c r="AW139" i="386"/>
  <c r="AV139" i="386"/>
  <c r="AU139" i="386"/>
  <c r="AT139" i="386"/>
  <c r="AS139" i="386"/>
  <c r="AR139" i="386"/>
  <c r="AQ139" i="386"/>
  <c r="AP139" i="386"/>
  <c r="BN138" i="386"/>
  <c r="BJ138" i="386"/>
  <c r="BM138" i="386" s="1"/>
  <c r="BI138" i="386"/>
  <c r="BH138" i="386"/>
  <c r="BG138" i="386"/>
  <c r="BF138" i="386"/>
  <c r="BE138" i="386"/>
  <c r="BD138" i="386"/>
  <c r="BC138" i="386"/>
  <c r="BB138" i="386"/>
  <c r="BA138" i="386"/>
  <c r="AZ138" i="386"/>
  <c r="AY138" i="386"/>
  <c r="BL138" i="386" s="1"/>
  <c r="AX138" i="386"/>
  <c r="BK138" i="386" s="1"/>
  <c r="AW138" i="386"/>
  <c r="AV138" i="386"/>
  <c r="AU138" i="386"/>
  <c r="AT138" i="386"/>
  <c r="AS138" i="386"/>
  <c r="AR138" i="386"/>
  <c r="AQ138" i="386"/>
  <c r="AP138" i="386"/>
  <c r="BN137" i="386"/>
  <c r="BK137" i="386"/>
  <c r="BJ137" i="386"/>
  <c r="BM137" i="386" s="1"/>
  <c r="BI137" i="386"/>
  <c r="BH137" i="386"/>
  <c r="BG137" i="386"/>
  <c r="BF137" i="386"/>
  <c r="BE137" i="386"/>
  <c r="BD137" i="386"/>
  <c r="BC137" i="386"/>
  <c r="BB137" i="386"/>
  <c r="BA137" i="386"/>
  <c r="AZ137" i="386"/>
  <c r="AY137" i="386"/>
  <c r="BL137" i="386" s="1"/>
  <c r="AW137" i="386"/>
  <c r="AV137" i="386"/>
  <c r="AU137" i="386"/>
  <c r="AT137" i="386"/>
  <c r="AS137" i="386"/>
  <c r="AR137" i="386"/>
  <c r="AQ137" i="386"/>
  <c r="AP137" i="386"/>
  <c r="BN136" i="386"/>
  <c r="BL136" i="386"/>
  <c r="BK136" i="386"/>
  <c r="BJ136" i="386"/>
  <c r="BM136" i="386" s="1"/>
  <c r="BI136" i="386"/>
  <c r="BH136" i="386"/>
  <c r="BG136" i="386"/>
  <c r="BF136" i="386"/>
  <c r="BE136" i="386"/>
  <c r="BD136" i="386"/>
  <c r="BC136" i="386"/>
  <c r="BB136" i="386"/>
  <c r="BA136" i="386"/>
  <c r="AZ136" i="386"/>
  <c r="AW136" i="386"/>
  <c r="AV136" i="386"/>
  <c r="AU136" i="386"/>
  <c r="AT136" i="386"/>
  <c r="AS136" i="386"/>
  <c r="AR136" i="386"/>
  <c r="AQ136" i="386"/>
  <c r="AP136" i="386"/>
  <c r="BN135" i="386"/>
  <c r="BK135" i="386"/>
  <c r="BJ135" i="386"/>
  <c r="BM135" i="386" s="1"/>
  <c r="BI135" i="386"/>
  <c r="BH135" i="386"/>
  <c r="BG135" i="386"/>
  <c r="BF135" i="386"/>
  <c r="BE135" i="386"/>
  <c r="BD135" i="386"/>
  <c r="BC135" i="386"/>
  <c r="BB135" i="386"/>
  <c r="BA135" i="386"/>
  <c r="AZ135" i="386"/>
  <c r="AY135" i="386"/>
  <c r="BL135" i="386" s="1"/>
  <c r="AW135" i="386"/>
  <c r="AV135" i="386"/>
  <c r="AU135" i="386"/>
  <c r="AT135" i="386"/>
  <c r="AS135" i="386"/>
  <c r="AR135" i="386"/>
  <c r="AQ135" i="386"/>
  <c r="AP135" i="386"/>
  <c r="BN134" i="386"/>
  <c r="BL134" i="386"/>
  <c r="BK134" i="386"/>
  <c r="BJ134" i="386"/>
  <c r="BM134" i="386" s="1"/>
  <c r="BI134" i="386"/>
  <c r="BH134" i="386"/>
  <c r="BG134" i="386"/>
  <c r="BF134" i="386"/>
  <c r="BE134" i="386"/>
  <c r="BD134" i="386"/>
  <c r="BC134" i="386"/>
  <c r="BB134" i="386"/>
  <c r="BA134" i="386"/>
  <c r="AZ134" i="386"/>
  <c r="AW134" i="386"/>
  <c r="AV134" i="386"/>
  <c r="AU134" i="386"/>
  <c r="AT134" i="386"/>
  <c r="AS134" i="386"/>
  <c r="AR134" i="386"/>
  <c r="AQ134" i="386"/>
  <c r="AP134" i="386"/>
  <c r="BN133" i="386"/>
  <c r="BM133" i="386"/>
  <c r="BJ133" i="386"/>
  <c r="BI133" i="386"/>
  <c r="BH133" i="386"/>
  <c r="BG133" i="386"/>
  <c r="BF133" i="386"/>
  <c r="BE133" i="386"/>
  <c r="BD133" i="386"/>
  <c r="BC133" i="386"/>
  <c r="BB133" i="386"/>
  <c r="BA133" i="386"/>
  <c r="AZ133" i="386"/>
  <c r="AY133" i="386"/>
  <c r="BL133" i="386" s="1"/>
  <c r="AX133" i="386"/>
  <c r="BK133" i="386" s="1"/>
  <c r="AW133" i="386"/>
  <c r="AV133" i="386"/>
  <c r="AU133" i="386"/>
  <c r="AT133" i="386"/>
  <c r="AS133" i="386"/>
  <c r="AR133" i="386"/>
  <c r="AQ133" i="386"/>
  <c r="AP133" i="386"/>
  <c r="BN132" i="386"/>
  <c r="BK132" i="386"/>
  <c r="BJ132" i="386"/>
  <c r="BM132" i="386" s="1"/>
  <c r="BI132" i="386"/>
  <c r="BH132" i="386"/>
  <c r="BG132" i="386"/>
  <c r="BF132" i="386"/>
  <c r="BE132" i="386"/>
  <c r="BD132" i="386"/>
  <c r="BC132" i="386"/>
  <c r="BB132" i="386"/>
  <c r="BA132" i="386"/>
  <c r="AZ132" i="386"/>
  <c r="AY132" i="386"/>
  <c r="BL132" i="386" s="1"/>
  <c r="AW132" i="386"/>
  <c r="AV132" i="386"/>
  <c r="AU132" i="386"/>
  <c r="AT132" i="386"/>
  <c r="AS132" i="386"/>
  <c r="AR132" i="386"/>
  <c r="AQ132" i="386"/>
  <c r="AP132" i="386"/>
  <c r="BN131" i="386"/>
  <c r="BL131" i="386"/>
  <c r="BK131" i="386"/>
  <c r="BJ131" i="386"/>
  <c r="BM131" i="386" s="1"/>
  <c r="BI131" i="386"/>
  <c r="BH131" i="386"/>
  <c r="BG131" i="386"/>
  <c r="BF131" i="386"/>
  <c r="BE131" i="386"/>
  <c r="BD131" i="386"/>
  <c r="BC131" i="386"/>
  <c r="BB131" i="386"/>
  <c r="BA131" i="386"/>
  <c r="AZ131" i="386"/>
  <c r="AW131" i="386"/>
  <c r="AV131" i="386"/>
  <c r="AU131" i="386"/>
  <c r="AT131" i="386"/>
  <c r="AS131" i="386"/>
  <c r="AR131" i="386"/>
  <c r="AQ131" i="386"/>
  <c r="AP131" i="386"/>
  <c r="BN130" i="386"/>
  <c r="BM130" i="386"/>
  <c r="BK130" i="386"/>
  <c r="BJ130" i="386"/>
  <c r="BI130" i="386"/>
  <c r="BH130" i="386"/>
  <c r="BG130" i="386"/>
  <c r="BF130" i="386"/>
  <c r="BE130" i="386"/>
  <c r="BD130" i="386"/>
  <c r="BC130" i="386"/>
  <c r="BB130" i="386"/>
  <c r="BA130" i="386"/>
  <c r="AZ130" i="386"/>
  <c r="AY130" i="386"/>
  <c r="BL130" i="386" s="1"/>
  <c r="AW130" i="386"/>
  <c r="AV130" i="386"/>
  <c r="AU130" i="386"/>
  <c r="AT130" i="386"/>
  <c r="AS130" i="386"/>
  <c r="AR130" i="386"/>
  <c r="AQ130" i="386"/>
  <c r="AP130" i="386"/>
  <c r="AO129" i="386"/>
  <c r="AN129" i="386"/>
  <c r="AM129" i="386"/>
  <c r="AL129" i="386"/>
  <c r="AK129" i="386"/>
  <c r="AJ129" i="386"/>
  <c r="AI129" i="386"/>
  <c r="AH129" i="386"/>
  <c r="AG129" i="386"/>
  <c r="AF129" i="386"/>
  <c r="AE129" i="386"/>
  <c r="AD129" i="386"/>
  <c r="AC129" i="386"/>
  <c r="AB129" i="386"/>
  <c r="AA129" i="386"/>
  <c r="Z129" i="386"/>
  <c r="Y129" i="386"/>
  <c r="X129" i="386"/>
  <c r="W129" i="386"/>
  <c r="V129" i="386"/>
  <c r="U129" i="386"/>
  <c r="T129" i="386"/>
  <c r="S129" i="386"/>
  <c r="R129" i="386"/>
  <c r="Q129" i="386"/>
  <c r="P129" i="386"/>
  <c r="O129" i="386"/>
  <c r="N129" i="386"/>
  <c r="M129" i="386"/>
  <c r="L129" i="386"/>
  <c r="BN128" i="386"/>
  <c r="BM128" i="386"/>
  <c r="BL128" i="386"/>
  <c r="BK128" i="386"/>
  <c r="BJ128" i="386"/>
  <c r="BI128" i="386"/>
  <c r="BH128" i="386"/>
  <c r="BG128" i="386"/>
  <c r="BF128" i="386"/>
  <c r="BE128" i="386"/>
  <c r="BD128" i="386"/>
  <c r="BC128" i="386"/>
  <c r="BB128" i="386"/>
  <c r="BA128" i="386"/>
  <c r="AZ128" i="386"/>
  <c r="AY128" i="386"/>
  <c r="AW128" i="386"/>
  <c r="AV128" i="386"/>
  <c r="AU128" i="386"/>
  <c r="AT128" i="386"/>
  <c r="AS128" i="386"/>
  <c r="AR128" i="386"/>
  <c r="AQ128" i="386"/>
  <c r="AP128" i="386"/>
  <c r="BN127" i="386"/>
  <c r="BM127" i="386"/>
  <c r="BL127" i="386"/>
  <c r="BK127" i="386"/>
  <c r="BJ127" i="386"/>
  <c r="BI127" i="386"/>
  <c r="BH127" i="386"/>
  <c r="BG127" i="386"/>
  <c r="BF127" i="386"/>
  <c r="BE127" i="386"/>
  <c r="BD127" i="386"/>
  <c r="BC127" i="386"/>
  <c r="BB127" i="386"/>
  <c r="BA127" i="386"/>
  <c r="AZ127" i="386"/>
  <c r="AY127" i="386"/>
  <c r="AW127" i="386"/>
  <c r="AV127" i="386"/>
  <c r="AU127" i="386"/>
  <c r="AT127" i="386"/>
  <c r="AS127" i="386"/>
  <c r="AR127" i="386"/>
  <c r="AQ127" i="386"/>
  <c r="AP127" i="386"/>
  <c r="BN126" i="386"/>
  <c r="BM126" i="386"/>
  <c r="BL126" i="386"/>
  <c r="BK126" i="386"/>
  <c r="BJ126" i="386"/>
  <c r="BI126" i="386"/>
  <c r="BH126" i="386"/>
  <c r="BG126" i="386"/>
  <c r="BF126" i="386"/>
  <c r="BE126" i="386"/>
  <c r="BD126" i="386"/>
  <c r="BC126" i="386"/>
  <c r="BB126" i="386"/>
  <c r="BA126" i="386"/>
  <c r="AZ126" i="386"/>
  <c r="AW126" i="386"/>
  <c r="AV126" i="386"/>
  <c r="AU126" i="386"/>
  <c r="AT126" i="386"/>
  <c r="AS126" i="386"/>
  <c r="AR126" i="386"/>
  <c r="AQ126" i="386"/>
  <c r="AP126" i="386"/>
  <c r="BN125" i="386"/>
  <c r="BL125" i="386"/>
  <c r="BK125" i="386"/>
  <c r="BJ125" i="386"/>
  <c r="BM125" i="386" s="1"/>
  <c r="BI125" i="386"/>
  <c r="BH125" i="386"/>
  <c r="BG125" i="386"/>
  <c r="BF125" i="386"/>
  <c r="BE125" i="386"/>
  <c r="BD125" i="386"/>
  <c r="BC125" i="386"/>
  <c r="BB125" i="386"/>
  <c r="BA125" i="386"/>
  <c r="AZ125" i="386"/>
  <c r="AW125" i="386"/>
  <c r="AV125" i="386"/>
  <c r="AU125" i="386"/>
  <c r="AT125" i="386"/>
  <c r="AS125" i="386"/>
  <c r="AR125" i="386"/>
  <c r="AQ125" i="386"/>
  <c r="AP125" i="386"/>
  <c r="AO124" i="386"/>
  <c r="AN124" i="386"/>
  <c r="AM124" i="386"/>
  <c r="AL124" i="386"/>
  <c r="AK124" i="386"/>
  <c r="AJ124" i="386"/>
  <c r="AI124" i="386"/>
  <c r="AH124" i="386"/>
  <c r="AG124" i="386"/>
  <c r="AF124" i="386"/>
  <c r="AE124" i="386"/>
  <c r="AD124" i="386"/>
  <c r="AC124" i="386"/>
  <c r="AB124" i="386"/>
  <c r="AA124" i="386"/>
  <c r="Z124" i="386"/>
  <c r="Y124" i="386"/>
  <c r="X124" i="386"/>
  <c r="W124" i="386"/>
  <c r="V124" i="386"/>
  <c r="U124" i="386"/>
  <c r="T124" i="386"/>
  <c r="S124" i="386"/>
  <c r="R124" i="386"/>
  <c r="Q124" i="386"/>
  <c r="P124" i="386"/>
  <c r="O124" i="386"/>
  <c r="N124" i="386"/>
  <c r="M124" i="386"/>
  <c r="L124" i="386"/>
  <c r="BN123" i="386"/>
  <c r="BL123" i="386"/>
  <c r="BK123" i="386"/>
  <c r="BJ123" i="386"/>
  <c r="BM123" i="386" s="1"/>
  <c r="BI123" i="386"/>
  <c r="BH123" i="386"/>
  <c r="BG123" i="386"/>
  <c r="BF123" i="386"/>
  <c r="BE123" i="386"/>
  <c r="BD123" i="386"/>
  <c r="BC123" i="386"/>
  <c r="BB123" i="386"/>
  <c r="BA123" i="386"/>
  <c r="AZ123" i="386"/>
  <c r="AW123" i="386"/>
  <c r="AV123" i="386"/>
  <c r="AU123" i="386"/>
  <c r="AT123" i="386"/>
  <c r="AS123" i="386"/>
  <c r="AR123" i="386"/>
  <c r="AQ123" i="386"/>
  <c r="AP123" i="386"/>
  <c r="BN122" i="386"/>
  <c r="BL122" i="386"/>
  <c r="BK122" i="386"/>
  <c r="BJ122" i="386"/>
  <c r="BM122" i="386" s="1"/>
  <c r="BI122" i="386"/>
  <c r="BH122" i="386"/>
  <c r="BG122" i="386"/>
  <c r="BF122" i="386"/>
  <c r="BE122" i="386"/>
  <c r="BD122" i="386"/>
  <c r="BC122" i="386"/>
  <c r="BB122" i="386"/>
  <c r="BA122" i="386"/>
  <c r="AZ122" i="386"/>
  <c r="AW122" i="386"/>
  <c r="AV122" i="386"/>
  <c r="AU122" i="386"/>
  <c r="AT122" i="386"/>
  <c r="AS122" i="386"/>
  <c r="AR122" i="386"/>
  <c r="AQ122" i="386"/>
  <c r="AP122" i="386"/>
  <c r="BN121" i="386"/>
  <c r="BM121" i="386"/>
  <c r="BL121" i="386"/>
  <c r="BK121" i="386"/>
  <c r="BJ121" i="386"/>
  <c r="BI121" i="386"/>
  <c r="BH121" i="386"/>
  <c r="BG121" i="386"/>
  <c r="BF121" i="386"/>
  <c r="BE121" i="386"/>
  <c r="BD121" i="386"/>
  <c r="BC121" i="386"/>
  <c r="BB121" i="386"/>
  <c r="BA121" i="386"/>
  <c r="AZ121" i="386"/>
  <c r="AW121" i="386"/>
  <c r="AV121" i="386"/>
  <c r="AU121" i="386"/>
  <c r="AT121" i="386"/>
  <c r="AS121" i="386"/>
  <c r="AR121" i="386"/>
  <c r="AQ121" i="386"/>
  <c r="AP121" i="386"/>
  <c r="BN120" i="386"/>
  <c r="BM120" i="386"/>
  <c r="BL120" i="386"/>
  <c r="BK120" i="386"/>
  <c r="BJ120" i="386"/>
  <c r="BI120" i="386"/>
  <c r="BH120" i="386"/>
  <c r="BG120" i="386"/>
  <c r="BF120" i="386"/>
  <c r="BE120" i="386"/>
  <c r="BD120" i="386"/>
  <c r="BC120" i="386"/>
  <c r="BB120" i="386"/>
  <c r="BA120" i="386"/>
  <c r="AZ120" i="386"/>
  <c r="AY120" i="386"/>
  <c r="AW120" i="386"/>
  <c r="AV120" i="386"/>
  <c r="AU120" i="386"/>
  <c r="AT120" i="386"/>
  <c r="AS120" i="386"/>
  <c r="AR120" i="386"/>
  <c r="AQ120" i="386"/>
  <c r="AP120" i="386"/>
  <c r="BN119" i="386"/>
  <c r="BM119" i="386"/>
  <c r="BL119" i="386"/>
  <c r="BK119" i="386"/>
  <c r="BJ119" i="386"/>
  <c r="BI119" i="386"/>
  <c r="BH119" i="386"/>
  <c r="BG119" i="386"/>
  <c r="BF119" i="386"/>
  <c r="BE119" i="386"/>
  <c r="BD119" i="386"/>
  <c r="BC119" i="386"/>
  <c r="BB119" i="386"/>
  <c r="BA119" i="386"/>
  <c r="AZ119" i="386"/>
  <c r="AW119" i="386"/>
  <c r="AV119" i="386"/>
  <c r="AU119" i="386"/>
  <c r="AT119" i="386"/>
  <c r="AS119" i="386"/>
  <c r="AR119" i="386"/>
  <c r="AQ119" i="386"/>
  <c r="AP119" i="386"/>
  <c r="BN118" i="386"/>
  <c r="BM118" i="386"/>
  <c r="BL118" i="386"/>
  <c r="BK118" i="386"/>
  <c r="BJ118" i="386"/>
  <c r="BI118" i="386"/>
  <c r="BH118" i="386"/>
  <c r="BG118" i="386"/>
  <c r="BF118" i="386"/>
  <c r="BE118" i="386"/>
  <c r="BD118" i="386"/>
  <c r="BC118" i="386"/>
  <c r="BB118" i="386"/>
  <c r="BA118" i="386"/>
  <c r="AZ118" i="386"/>
  <c r="AW118" i="386"/>
  <c r="AV118" i="386"/>
  <c r="AU118" i="386"/>
  <c r="AT118" i="386"/>
  <c r="AS118" i="386"/>
  <c r="AR118" i="386"/>
  <c r="AQ118" i="386"/>
  <c r="AP118" i="386"/>
  <c r="AO117" i="386"/>
  <c r="AN117" i="386"/>
  <c r="AM117" i="386"/>
  <c r="AL117" i="386"/>
  <c r="AK117" i="386"/>
  <c r="AJ117" i="386"/>
  <c r="AI117" i="386"/>
  <c r="AH117" i="386"/>
  <c r="AG117" i="386"/>
  <c r="AF117" i="386"/>
  <c r="AE117" i="386"/>
  <c r="AD117" i="386"/>
  <c r="AC117" i="386"/>
  <c r="AB117" i="386"/>
  <c r="AA117" i="386"/>
  <c r="Z117" i="386"/>
  <c r="Y117" i="386"/>
  <c r="X117" i="386"/>
  <c r="W117" i="386"/>
  <c r="V117" i="386"/>
  <c r="U117" i="386"/>
  <c r="T117" i="386"/>
  <c r="S117" i="386"/>
  <c r="R117" i="386"/>
  <c r="Q117" i="386"/>
  <c r="P117" i="386"/>
  <c r="O117" i="386"/>
  <c r="N117" i="386"/>
  <c r="M117" i="386"/>
  <c r="L117" i="386"/>
  <c r="AO116" i="386"/>
  <c r="AN116" i="386"/>
  <c r="AM116" i="386"/>
  <c r="AL116" i="386"/>
  <c r="AK116" i="386"/>
  <c r="AJ116" i="386"/>
  <c r="AI116" i="386"/>
  <c r="AH116" i="386"/>
  <c r="AG116" i="386"/>
  <c r="AF116" i="386"/>
  <c r="AE116" i="386"/>
  <c r="AD116" i="386"/>
  <c r="AC116" i="386"/>
  <c r="AB116" i="386"/>
  <c r="AA116" i="386"/>
  <c r="Z116" i="386"/>
  <c r="Y116" i="386"/>
  <c r="X116" i="386"/>
  <c r="W116" i="386"/>
  <c r="V116" i="386"/>
  <c r="U116" i="386"/>
  <c r="T116" i="386"/>
  <c r="S116" i="386"/>
  <c r="R116" i="386"/>
  <c r="Q116" i="386"/>
  <c r="P116" i="386"/>
  <c r="O116" i="386"/>
  <c r="N116" i="386"/>
  <c r="M116" i="386"/>
  <c r="L116" i="386"/>
  <c r="BN115" i="386"/>
  <c r="BK115" i="386"/>
  <c r="BJ115" i="386"/>
  <c r="BM115" i="386" s="1"/>
  <c r="BI115" i="386"/>
  <c r="BH115" i="386"/>
  <c r="BG115" i="386"/>
  <c r="BF115" i="386"/>
  <c r="BE115" i="386"/>
  <c r="BD115" i="386"/>
  <c r="BC115" i="386"/>
  <c r="BB115" i="386"/>
  <c r="BA115" i="386"/>
  <c r="AZ115" i="386"/>
  <c r="AY115" i="386"/>
  <c r="BL115" i="386" s="1"/>
  <c r="AW115" i="386"/>
  <c r="AV115" i="386"/>
  <c r="AU115" i="386"/>
  <c r="AT115" i="386"/>
  <c r="AS115" i="386"/>
  <c r="AR115" i="386"/>
  <c r="AQ115" i="386"/>
  <c r="AP115" i="386"/>
  <c r="BN114" i="386"/>
  <c r="BJ114" i="386"/>
  <c r="BM114" i="386" s="1"/>
  <c r="BI114" i="386"/>
  <c r="BH114" i="386"/>
  <c r="BG114" i="386"/>
  <c r="BF114" i="386"/>
  <c r="BE114" i="386"/>
  <c r="BD114" i="386"/>
  <c r="BC114" i="386"/>
  <c r="BB114" i="386"/>
  <c r="BA114" i="386"/>
  <c r="AZ114" i="386"/>
  <c r="AY114" i="386"/>
  <c r="BL114" i="386" s="1"/>
  <c r="AX114" i="386"/>
  <c r="BK114" i="386" s="1"/>
  <c r="AW114" i="386"/>
  <c r="AV114" i="386"/>
  <c r="AU114" i="386"/>
  <c r="AT114" i="386"/>
  <c r="AS114" i="386"/>
  <c r="AR114" i="386"/>
  <c r="AQ114" i="386"/>
  <c r="AP114" i="386"/>
  <c r="AO113" i="386"/>
  <c r="AN113" i="386"/>
  <c r="AM113" i="386"/>
  <c r="AL113" i="386"/>
  <c r="AK113" i="386"/>
  <c r="AJ113" i="386"/>
  <c r="AI113" i="386"/>
  <c r="AH113" i="386"/>
  <c r="AG113" i="386"/>
  <c r="AF113" i="386"/>
  <c r="AE113" i="386"/>
  <c r="AD113" i="386"/>
  <c r="AC113" i="386"/>
  <c r="AB113" i="386"/>
  <c r="AA113" i="386"/>
  <c r="Z113" i="386"/>
  <c r="Y113" i="386"/>
  <c r="X113" i="386"/>
  <c r="W113" i="386"/>
  <c r="V113" i="386"/>
  <c r="U113" i="386"/>
  <c r="T113" i="386"/>
  <c r="S113" i="386"/>
  <c r="R113" i="386"/>
  <c r="Q113" i="386"/>
  <c r="P113" i="386"/>
  <c r="O113" i="386"/>
  <c r="N113" i="386"/>
  <c r="M113" i="386"/>
  <c r="L113" i="386"/>
  <c r="BN112" i="386"/>
  <c r="BM112" i="386"/>
  <c r="BL112" i="386"/>
  <c r="BK112" i="386"/>
  <c r="BJ112" i="386"/>
  <c r="BI112" i="386"/>
  <c r="BH112" i="386"/>
  <c r="BG112" i="386"/>
  <c r="BF112" i="386"/>
  <c r="BE112" i="386"/>
  <c r="BD112" i="386"/>
  <c r="BC112" i="386"/>
  <c r="BB112" i="386"/>
  <c r="BA112" i="386"/>
  <c r="AZ112" i="386"/>
  <c r="AW112" i="386"/>
  <c r="AV112" i="386"/>
  <c r="AU112" i="386"/>
  <c r="AT112" i="386"/>
  <c r="AS112" i="386"/>
  <c r="AR112" i="386"/>
  <c r="AQ112" i="386"/>
  <c r="AP112" i="386"/>
  <c r="BN111" i="386"/>
  <c r="BM111" i="386"/>
  <c r="BL111" i="386"/>
  <c r="BK111" i="386"/>
  <c r="BJ111" i="386"/>
  <c r="BI111" i="386"/>
  <c r="BH111" i="386"/>
  <c r="BG111" i="386"/>
  <c r="BF111" i="386"/>
  <c r="BE111" i="386"/>
  <c r="BD111" i="386"/>
  <c r="BC111" i="386"/>
  <c r="BB111" i="386"/>
  <c r="BA111" i="386"/>
  <c r="AZ111" i="386"/>
  <c r="AY111" i="386"/>
  <c r="AW111" i="386"/>
  <c r="AV111" i="386"/>
  <c r="AU111" i="386"/>
  <c r="AT111" i="386"/>
  <c r="AS111" i="386"/>
  <c r="AR111" i="386"/>
  <c r="AQ111" i="386"/>
  <c r="AP111" i="386"/>
  <c r="BN110" i="386"/>
  <c r="BM110" i="386"/>
  <c r="BL110" i="386"/>
  <c r="BK110" i="386"/>
  <c r="BJ110" i="386"/>
  <c r="BI110" i="386"/>
  <c r="BH110" i="386"/>
  <c r="BG110" i="386"/>
  <c r="BF110" i="386"/>
  <c r="BE110" i="386"/>
  <c r="BD110" i="386"/>
  <c r="BC110" i="386"/>
  <c r="BB110" i="386"/>
  <c r="BA110" i="386"/>
  <c r="AZ110" i="386"/>
  <c r="AY110" i="386"/>
  <c r="AW110" i="386"/>
  <c r="AV110" i="386"/>
  <c r="AU110" i="386"/>
  <c r="AT110" i="386"/>
  <c r="AS110" i="386"/>
  <c r="AR110" i="386"/>
  <c r="AQ110" i="386"/>
  <c r="AP110" i="386"/>
  <c r="BN109" i="386"/>
  <c r="BM109" i="386"/>
  <c r="BL109" i="386"/>
  <c r="BK109" i="386"/>
  <c r="BJ109" i="386"/>
  <c r="BI109" i="386"/>
  <c r="BH109" i="386"/>
  <c r="BG109" i="386"/>
  <c r="BF109" i="386"/>
  <c r="BE109" i="386"/>
  <c r="BD109" i="386"/>
  <c r="BC109" i="386"/>
  <c r="BB109" i="386"/>
  <c r="BA109" i="386"/>
  <c r="AZ109" i="386"/>
  <c r="AY109" i="386"/>
  <c r="AW109" i="386"/>
  <c r="AV109" i="386"/>
  <c r="AU109" i="386"/>
  <c r="AT109" i="386"/>
  <c r="AS109" i="386"/>
  <c r="AR109" i="386"/>
  <c r="AQ109" i="386"/>
  <c r="AP109" i="386"/>
  <c r="AO108" i="386"/>
  <c r="AN108" i="386"/>
  <c r="AM108" i="386"/>
  <c r="AL108" i="386"/>
  <c r="AK108" i="386"/>
  <c r="AJ108" i="386"/>
  <c r="AI108" i="386"/>
  <c r="AH108" i="386"/>
  <c r="AG108" i="386"/>
  <c r="AF108" i="386"/>
  <c r="AE108" i="386"/>
  <c r="AD108" i="386"/>
  <c r="AC108" i="386"/>
  <c r="AB108" i="386"/>
  <c r="AA108" i="386"/>
  <c r="Z108" i="386"/>
  <c r="Y108" i="386"/>
  <c r="X108" i="386"/>
  <c r="W108" i="386"/>
  <c r="V108" i="386"/>
  <c r="U108" i="386"/>
  <c r="T108" i="386"/>
  <c r="S108" i="386"/>
  <c r="R108" i="386"/>
  <c r="Q108" i="386"/>
  <c r="P108" i="386"/>
  <c r="O108" i="386"/>
  <c r="N108" i="386"/>
  <c r="M108" i="386"/>
  <c r="L108" i="386"/>
  <c r="BN107" i="386"/>
  <c r="BK107" i="386"/>
  <c r="BJ107" i="386"/>
  <c r="BM107" i="386" s="1"/>
  <c r="BI107" i="386"/>
  <c r="BH107" i="386"/>
  <c r="BG107" i="386"/>
  <c r="BF107" i="386"/>
  <c r="BE107" i="386"/>
  <c r="BD107" i="386"/>
  <c r="BC107" i="386"/>
  <c r="BB107" i="386"/>
  <c r="BA107" i="386"/>
  <c r="AZ107" i="386"/>
  <c r="AY107" i="386"/>
  <c r="BL107" i="386" s="1"/>
  <c r="AW107" i="386"/>
  <c r="AV107" i="386"/>
  <c r="AU107" i="386"/>
  <c r="AT107" i="386"/>
  <c r="AS107" i="386"/>
  <c r="AR107" i="386"/>
  <c r="AQ107" i="386"/>
  <c r="AP107" i="386"/>
  <c r="BN106" i="386"/>
  <c r="BK106" i="386"/>
  <c r="BJ106" i="386"/>
  <c r="BM106" i="386" s="1"/>
  <c r="BI106" i="386"/>
  <c r="BH106" i="386"/>
  <c r="BG106" i="386"/>
  <c r="BF106" i="386"/>
  <c r="BE106" i="386"/>
  <c r="BD106" i="386"/>
  <c r="BC106" i="386"/>
  <c r="BB106" i="386"/>
  <c r="BA106" i="386"/>
  <c r="AZ106" i="386"/>
  <c r="AY106" i="386"/>
  <c r="BL106" i="386" s="1"/>
  <c r="AW106" i="386"/>
  <c r="AV106" i="386"/>
  <c r="AU106" i="386"/>
  <c r="AT106" i="386"/>
  <c r="AS106" i="386"/>
  <c r="AR106" i="386"/>
  <c r="AQ106" i="386"/>
  <c r="AP106" i="386"/>
  <c r="AO105" i="386"/>
  <c r="AN105" i="386"/>
  <c r="AM105" i="386"/>
  <c r="AL105" i="386"/>
  <c r="AK105" i="386"/>
  <c r="AJ105" i="386"/>
  <c r="AI105" i="386"/>
  <c r="AH105" i="386"/>
  <c r="AG105" i="386"/>
  <c r="AF105" i="386"/>
  <c r="AE105" i="386"/>
  <c r="AD105" i="386"/>
  <c r="AC105" i="386"/>
  <c r="AB105" i="386"/>
  <c r="AA105" i="386"/>
  <c r="Z105" i="386"/>
  <c r="Y105" i="386"/>
  <c r="X105" i="386"/>
  <c r="W105" i="386"/>
  <c r="V105" i="386"/>
  <c r="U105" i="386"/>
  <c r="T105" i="386"/>
  <c r="S105" i="386"/>
  <c r="R105" i="386"/>
  <c r="Q105" i="386"/>
  <c r="P105" i="386"/>
  <c r="O105" i="386"/>
  <c r="N105" i="386"/>
  <c r="M105" i="386"/>
  <c r="L105" i="386"/>
  <c r="BN104" i="386"/>
  <c r="BM104" i="386"/>
  <c r="BK104" i="386"/>
  <c r="BJ104" i="386"/>
  <c r="BI104" i="386"/>
  <c r="BH104" i="386"/>
  <c r="BG104" i="386"/>
  <c r="BF104" i="386"/>
  <c r="BE104" i="386"/>
  <c r="BD104" i="386"/>
  <c r="BC104" i="386"/>
  <c r="BB104" i="386"/>
  <c r="BA104" i="386"/>
  <c r="AZ104" i="386"/>
  <c r="AY104" i="386"/>
  <c r="BL104" i="386" s="1"/>
  <c r="AW104" i="386"/>
  <c r="AV104" i="386"/>
  <c r="AU104" i="386"/>
  <c r="AT104" i="386"/>
  <c r="AS104" i="386"/>
  <c r="AR104" i="386"/>
  <c r="AQ104" i="386"/>
  <c r="AP104" i="386"/>
  <c r="BN103" i="386"/>
  <c r="BM103" i="386"/>
  <c r="BK103" i="386"/>
  <c r="BJ103" i="386"/>
  <c r="BI103" i="386"/>
  <c r="BH103" i="386"/>
  <c r="BG103" i="386"/>
  <c r="BF103" i="386"/>
  <c r="BE103" i="386"/>
  <c r="BD103" i="386"/>
  <c r="BC103" i="386"/>
  <c r="BB103" i="386"/>
  <c r="BA103" i="386"/>
  <c r="AZ103" i="386"/>
  <c r="AY103" i="386"/>
  <c r="BL103" i="386" s="1"/>
  <c r="AX103" i="386"/>
  <c r="AW103" i="386"/>
  <c r="AV103" i="386"/>
  <c r="AU103" i="386"/>
  <c r="AT103" i="386"/>
  <c r="AS103" i="386"/>
  <c r="AR103" i="386"/>
  <c r="AQ103" i="386"/>
  <c r="AP103" i="386"/>
  <c r="AO102" i="386"/>
  <c r="AN102" i="386"/>
  <c r="AM102" i="386"/>
  <c r="AL102" i="386"/>
  <c r="AK102" i="386"/>
  <c r="AJ102" i="386"/>
  <c r="AI102" i="386"/>
  <c r="AH102" i="386"/>
  <c r="AG102" i="386"/>
  <c r="AF102" i="386"/>
  <c r="AE102" i="386"/>
  <c r="AD102" i="386"/>
  <c r="AC102" i="386"/>
  <c r="AB102" i="386"/>
  <c r="AA102" i="386"/>
  <c r="Z102" i="386"/>
  <c r="Y102" i="386"/>
  <c r="X102" i="386"/>
  <c r="W102" i="386"/>
  <c r="V102" i="386"/>
  <c r="U102" i="386"/>
  <c r="T102" i="386"/>
  <c r="S102" i="386"/>
  <c r="R102" i="386"/>
  <c r="Q102" i="386"/>
  <c r="P102" i="386"/>
  <c r="O102" i="386"/>
  <c r="N102" i="386"/>
  <c r="M102" i="386"/>
  <c r="L102" i="386"/>
  <c r="BN101" i="386"/>
  <c r="BK101" i="386"/>
  <c r="BJ101" i="386"/>
  <c r="BM101" i="386" s="1"/>
  <c r="BI101" i="386"/>
  <c r="BH101" i="386"/>
  <c r="BG101" i="386"/>
  <c r="BF101" i="386"/>
  <c r="BE101" i="386"/>
  <c r="BD101" i="386"/>
  <c r="BC101" i="386"/>
  <c r="BB101" i="386"/>
  <c r="BA101" i="386"/>
  <c r="AZ101" i="386"/>
  <c r="AY101" i="386"/>
  <c r="BL101" i="386" s="1"/>
  <c r="AW101" i="386"/>
  <c r="AV101" i="386"/>
  <c r="AU101" i="386"/>
  <c r="AT101" i="386"/>
  <c r="AS101" i="386"/>
  <c r="AR101" i="386"/>
  <c r="AQ101" i="386"/>
  <c r="AP101" i="386"/>
  <c r="AO100" i="386"/>
  <c r="AN100" i="386"/>
  <c r="AM100" i="386"/>
  <c r="AL100" i="386"/>
  <c r="AK100" i="386"/>
  <c r="AJ100" i="386"/>
  <c r="AI100" i="386"/>
  <c r="AH100" i="386"/>
  <c r="AG100" i="386"/>
  <c r="AF100" i="386"/>
  <c r="AE100" i="386"/>
  <c r="AD100" i="386"/>
  <c r="AC100" i="386"/>
  <c r="AB100" i="386"/>
  <c r="AA100" i="386"/>
  <c r="Z100" i="386"/>
  <c r="Y100" i="386"/>
  <c r="X100" i="386"/>
  <c r="W100" i="386"/>
  <c r="V100" i="386"/>
  <c r="U100" i="386"/>
  <c r="T100" i="386"/>
  <c r="S100" i="386"/>
  <c r="R100" i="386"/>
  <c r="Q100" i="386"/>
  <c r="P100" i="386"/>
  <c r="O100" i="386"/>
  <c r="N100" i="386"/>
  <c r="M100" i="386"/>
  <c r="L100" i="386"/>
  <c r="BN99" i="386"/>
  <c r="BM99" i="386"/>
  <c r="BL99" i="386"/>
  <c r="BK99" i="386"/>
  <c r="BJ99" i="386"/>
  <c r="BI99" i="386"/>
  <c r="BH99" i="386"/>
  <c r="BG99" i="386"/>
  <c r="BF99" i="386"/>
  <c r="BE99" i="386"/>
  <c r="BD99" i="386"/>
  <c r="BC99" i="386"/>
  <c r="BB99" i="386"/>
  <c r="BA99" i="386"/>
  <c r="AZ99" i="386"/>
  <c r="AW99" i="386"/>
  <c r="AV99" i="386"/>
  <c r="AU99" i="386"/>
  <c r="AT99" i="386"/>
  <c r="AS99" i="386"/>
  <c r="AR99" i="386"/>
  <c r="AQ99" i="386"/>
  <c r="AP99" i="386"/>
  <c r="BN98" i="386"/>
  <c r="BM98" i="386"/>
  <c r="BL98" i="386"/>
  <c r="BK98" i="386"/>
  <c r="BJ98" i="386"/>
  <c r="BI98" i="386"/>
  <c r="BH98" i="386"/>
  <c r="BG98" i="386"/>
  <c r="BF98" i="386"/>
  <c r="BE98" i="386"/>
  <c r="BD98" i="386"/>
  <c r="BC98" i="386"/>
  <c r="BB98" i="386"/>
  <c r="BA98" i="386"/>
  <c r="AZ98" i="386"/>
  <c r="AW98" i="386"/>
  <c r="AV98" i="386"/>
  <c r="AU98" i="386"/>
  <c r="AT98" i="386"/>
  <c r="AS98" i="386"/>
  <c r="AR98" i="386"/>
  <c r="AQ98" i="386"/>
  <c r="AP98" i="386"/>
  <c r="BN97" i="386"/>
  <c r="BL97" i="386"/>
  <c r="BK97" i="386"/>
  <c r="BJ97" i="386"/>
  <c r="BM97" i="386" s="1"/>
  <c r="BI97" i="386"/>
  <c r="BH97" i="386"/>
  <c r="BG97" i="386"/>
  <c r="BF97" i="386"/>
  <c r="BE97" i="386"/>
  <c r="BD97" i="386"/>
  <c r="BC97" i="386"/>
  <c r="BB97" i="386"/>
  <c r="BA97" i="386"/>
  <c r="AZ97" i="386"/>
  <c r="AW97" i="386"/>
  <c r="AV97" i="386"/>
  <c r="AU97" i="386"/>
  <c r="AT97" i="386"/>
  <c r="AS97" i="386"/>
  <c r="AR97" i="386"/>
  <c r="AQ97" i="386"/>
  <c r="AP97" i="386"/>
  <c r="BN96" i="386"/>
  <c r="BK96" i="386"/>
  <c r="BJ96" i="386"/>
  <c r="BM96" i="386" s="1"/>
  <c r="BI96" i="386"/>
  <c r="BH96" i="386"/>
  <c r="BG96" i="386"/>
  <c r="BF96" i="386"/>
  <c r="BE96" i="386"/>
  <c r="BD96" i="386"/>
  <c r="BC96" i="386"/>
  <c r="BB96" i="386"/>
  <c r="BA96" i="386"/>
  <c r="AZ96" i="386"/>
  <c r="AY96" i="386"/>
  <c r="BL96" i="386" s="1"/>
  <c r="AX96" i="386"/>
  <c r="AW96" i="386"/>
  <c r="AV96" i="386"/>
  <c r="AU96" i="386"/>
  <c r="AT96" i="386"/>
  <c r="AS96" i="386"/>
  <c r="AR96" i="386"/>
  <c r="AQ96" i="386"/>
  <c r="AP96" i="386"/>
  <c r="BN95" i="386"/>
  <c r="BL95" i="386"/>
  <c r="BK95" i="386"/>
  <c r="BJ95" i="386"/>
  <c r="BM95" i="386" s="1"/>
  <c r="BI95" i="386"/>
  <c r="BH95" i="386"/>
  <c r="BG95" i="386"/>
  <c r="BF95" i="386"/>
  <c r="BE95" i="386"/>
  <c r="BD95" i="386"/>
  <c r="BC95" i="386"/>
  <c r="BB95" i="386"/>
  <c r="BA95" i="386"/>
  <c r="AZ95" i="386"/>
  <c r="AY95" i="386"/>
  <c r="AW95" i="386"/>
  <c r="AV95" i="386"/>
  <c r="AU95" i="386"/>
  <c r="AT95" i="386"/>
  <c r="AS95" i="386"/>
  <c r="AR95" i="386"/>
  <c r="AQ95" i="386"/>
  <c r="AP95" i="386"/>
  <c r="BN94" i="386"/>
  <c r="BL94" i="386"/>
  <c r="BK94" i="386"/>
  <c r="BJ94" i="386"/>
  <c r="BM94" i="386" s="1"/>
  <c r="BI94" i="386"/>
  <c r="BH94" i="386"/>
  <c r="BG94" i="386"/>
  <c r="BF94" i="386"/>
  <c r="BE94" i="386"/>
  <c r="BD94" i="386"/>
  <c r="BC94" i="386"/>
  <c r="BB94" i="386"/>
  <c r="BA94" i="386"/>
  <c r="AZ94" i="386"/>
  <c r="AW94" i="386"/>
  <c r="AV94" i="386"/>
  <c r="AU94" i="386"/>
  <c r="AT94" i="386"/>
  <c r="AS94" i="386"/>
  <c r="AR94" i="386"/>
  <c r="AQ94" i="386"/>
  <c r="AP94" i="386"/>
  <c r="BN93" i="386"/>
  <c r="BL93" i="386"/>
  <c r="BK93" i="386"/>
  <c r="BJ93" i="386"/>
  <c r="BM93" i="386" s="1"/>
  <c r="BI93" i="386"/>
  <c r="BH93" i="386"/>
  <c r="BG93" i="386"/>
  <c r="BF93" i="386"/>
  <c r="BE93" i="386"/>
  <c r="BD93" i="386"/>
  <c r="BC93" i="386"/>
  <c r="BB93" i="386"/>
  <c r="BA93" i="386"/>
  <c r="AZ93" i="386"/>
  <c r="AW93" i="386"/>
  <c r="AV93" i="386"/>
  <c r="AU93" i="386"/>
  <c r="AT93" i="386"/>
  <c r="AS93" i="386"/>
  <c r="AR93" i="386"/>
  <c r="AQ93" i="386"/>
  <c r="AP93" i="386"/>
  <c r="AO92" i="386"/>
  <c r="AN92" i="386"/>
  <c r="AM92" i="386"/>
  <c r="AL92" i="386"/>
  <c r="AK92" i="386"/>
  <c r="AJ92" i="386"/>
  <c r="AI92" i="386"/>
  <c r="AH92" i="386"/>
  <c r="AG92" i="386"/>
  <c r="AF92" i="386"/>
  <c r="AE92" i="386"/>
  <c r="AD92" i="386"/>
  <c r="AC92" i="386"/>
  <c r="AB92" i="386"/>
  <c r="AA92" i="386"/>
  <c r="Z92" i="386"/>
  <c r="Y92" i="386"/>
  <c r="X92" i="386"/>
  <c r="W92" i="386"/>
  <c r="V92" i="386"/>
  <c r="U92" i="386"/>
  <c r="T92" i="386"/>
  <c r="S92" i="386"/>
  <c r="R92" i="386"/>
  <c r="Q92" i="386"/>
  <c r="P92" i="386"/>
  <c r="O92" i="386"/>
  <c r="N92" i="386"/>
  <c r="M92" i="386"/>
  <c r="L92" i="386"/>
  <c r="BN91" i="386"/>
  <c r="BL91" i="386"/>
  <c r="BK91" i="386"/>
  <c r="BJ91" i="386"/>
  <c r="BM91" i="386" s="1"/>
  <c r="BI91" i="386"/>
  <c r="BH91" i="386"/>
  <c r="BG91" i="386"/>
  <c r="BF91" i="386"/>
  <c r="BE91" i="386"/>
  <c r="BD91" i="386"/>
  <c r="BC91" i="386"/>
  <c r="BB91" i="386"/>
  <c r="BA91" i="386"/>
  <c r="AZ91" i="386"/>
  <c r="AW91" i="386"/>
  <c r="AV91" i="386"/>
  <c r="AU91" i="386"/>
  <c r="AT91" i="386"/>
  <c r="AS91" i="386"/>
  <c r="AR91" i="386"/>
  <c r="AQ91" i="386"/>
  <c r="AP91" i="386"/>
  <c r="BN90" i="386"/>
  <c r="BM90" i="386"/>
  <c r="BK90" i="386"/>
  <c r="BJ90" i="386"/>
  <c r="BI90" i="386"/>
  <c r="BH90" i="386"/>
  <c r="BG90" i="386"/>
  <c r="BF90" i="386"/>
  <c r="BE90" i="386"/>
  <c r="BD90" i="386"/>
  <c r="BC90" i="386"/>
  <c r="BB90" i="386"/>
  <c r="BA90" i="386"/>
  <c r="AZ90" i="386"/>
  <c r="AY90" i="386"/>
  <c r="BL90" i="386" s="1"/>
  <c r="AW90" i="386"/>
  <c r="AV90" i="386"/>
  <c r="AU90" i="386"/>
  <c r="AT90" i="386"/>
  <c r="AS90" i="386"/>
  <c r="AR90" i="386"/>
  <c r="AQ90" i="386"/>
  <c r="AP90" i="386"/>
  <c r="BN89" i="386"/>
  <c r="BM89" i="386"/>
  <c r="BL89" i="386"/>
  <c r="BK89" i="386"/>
  <c r="BJ89" i="386"/>
  <c r="BI89" i="386"/>
  <c r="BH89" i="386"/>
  <c r="BG89" i="386"/>
  <c r="BF89" i="386"/>
  <c r="BE89" i="386"/>
  <c r="BD89" i="386"/>
  <c r="BC89" i="386"/>
  <c r="BB89" i="386"/>
  <c r="BA89" i="386"/>
  <c r="AZ89" i="386"/>
  <c r="AW89" i="386"/>
  <c r="AV89" i="386"/>
  <c r="AU89" i="386"/>
  <c r="AT89" i="386"/>
  <c r="AS89" i="386"/>
  <c r="AR89" i="386"/>
  <c r="AQ89" i="386"/>
  <c r="AP89" i="386"/>
  <c r="BN88" i="386"/>
  <c r="BM88" i="386"/>
  <c r="BL88" i="386"/>
  <c r="BK88" i="386"/>
  <c r="BJ88" i="386"/>
  <c r="BI88" i="386"/>
  <c r="BH88" i="386"/>
  <c r="BG88" i="386"/>
  <c r="BF88" i="386"/>
  <c r="BE88" i="386"/>
  <c r="BD88" i="386"/>
  <c r="BC88" i="386"/>
  <c r="BB88" i="386"/>
  <c r="BA88" i="386"/>
  <c r="AZ88" i="386"/>
  <c r="AW88" i="386"/>
  <c r="AV88" i="386"/>
  <c r="AU88" i="386"/>
  <c r="AT88" i="386"/>
  <c r="AS88" i="386"/>
  <c r="AR88" i="386"/>
  <c r="AQ88" i="386"/>
  <c r="AP88" i="386"/>
  <c r="BN87" i="386"/>
  <c r="BM87" i="386"/>
  <c r="BL87" i="386"/>
  <c r="BK87" i="386"/>
  <c r="BJ87" i="386"/>
  <c r="BI87" i="386"/>
  <c r="BH87" i="386"/>
  <c r="BG87" i="386"/>
  <c r="BF87" i="386"/>
  <c r="BE87" i="386"/>
  <c r="BD87" i="386"/>
  <c r="BC87" i="386"/>
  <c r="BB87" i="386"/>
  <c r="BA87" i="386"/>
  <c r="AZ87" i="386"/>
  <c r="AY87" i="386"/>
  <c r="AW87" i="386"/>
  <c r="AV87" i="386"/>
  <c r="AU87" i="386"/>
  <c r="AT87" i="386"/>
  <c r="AS87" i="386"/>
  <c r="AR87" i="386"/>
  <c r="AQ87" i="386"/>
  <c r="AP87" i="386"/>
  <c r="BN86" i="386"/>
  <c r="BM86" i="386"/>
  <c r="BL86" i="386"/>
  <c r="BK86" i="386"/>
  <c r="BJ86" i="386"/>
  <c r="BI86" i="386"/>
  <c r="BH86" i="386"/>
  <c r="BG86" i="386"/>
  <c r="BF86" i="386"/>
  <c r="BE86" i="386"/>
  <c r="BD86" i="386"/>
  <c r="BC86" i="386"/>
  <c r="BB86" i="386"/>
  <c r="BA86" i="386"/>
  <c r="AZ86" i="386"/>
  <c r="AY86" i="386"/>
  <c r="AW86" i="386"/>
  <c r="AV86" i="386"/>
  <c r="AU86" i="386"/>
  <c r="AT86" i="386"/>
  <c r="AS86" i="386"/>
  <c r="AR86" i="386"/>
  <c r="AQ86" i="386"/>
  <c r="AP86" i="386"/>
  <c r="AO85" i="386"/>
  <c r="AN85" i="386"/>
  <c r="AM85" i="386"/>
  <c r="AL85" i="386"/>
  <c r="AK85" i="386"/>
  <c r="AJ85" i="386"/>
  <c r="AI85" i="386"/>
  <c r="AH85" i="386"/>
  <c r="AG85" i="386"/>
  <c r="AF85" i="386"/>
  <c r="AE85" i="386"/>
  <c r="AD85" i="386"/>
  <c r="AC85" i="386"/>
  <c r="AB85" i="386"/>
  <c r="AA85" i="386"/>
  <c r="Z85" i="386"/>
  <c r="Y85" i="386"/>
  <c r="X85" i="386"/>
  <c r="W85" i="386"/>
  <c r="V85" i="386"/>
  <c r="U85" i="386"/>
  <c r="T85" i="386"/>
  <c r="S85" i="386"/>
  <c r="R85" i="386"/>
  <c r="Q85" i="386"/>
  <c r="P85" i="386"/>
  <c r="O85" i="386"/>
  <c r="N85" i="386"/>
  <c r="M85" i="386"/>
  <c r="L85" i="386"/>
  <c r="BN84" i="386"/>
  <c r="BL84" i="386"/>
  <c r="BK84" i="386"/>
  <c r="BJ84" i="386"/>
  <c r="BM84" i="386" s="1"/>
  <c r="BI84" i="386"/>
  <c r="BH84" i="386"/>
  <c r="BG84" i="386"/>
  <c r="BF84" i="386"/>
  <c r="BE84" i="386"/>
  <c r="BD84" i="386"/>
  <c r="BC84" i="386"/>
  <c r="BB84" i="386"/>
  <c r="BA84" i="386"/>
  <c r="AZ84" i="386"/>
  <c r="AW84" i="386"/>
  <c r="AV84" i="386"/>
  <c r="AU84" i="386"/>
  <c r="AT84" i="386"/>
  <c r="AS84" i="386"/>
  <c r="AR84" i="386"/>
  <c r="AQ84" i="386"/>
  <c r="AP84" i="386"/>
  <c r="BN83" i="386"/>
  <c r="BL83" i="386"/>
  <c r="BK83" i="386"/>
  <c r="BJ83" i="386"/>
  <c r="BM83" i="386" s="1"/>
  <c r="BI83" i="386"/>
  <c r="BH83" i="386"/>
  <c r="BG83" i="386"/>
  <c r="BF83" i="386"/>
  <c r="BE83" i="386"/>
  <c r="BD83" i="386"/>
  <c r="BC83" i="386"/>
  <c r="BB83" i="386"/>
  <c r="BA83" i="386"/>
  <c r="AZ83" i="386"/>
  <c r="AW83" i="386"/>
  <c r="AV83" i="386"/>
  <c r="AU83" i="386"/>
  <c r="AT83" i="386"/>
  <c r="AS83" i="386"/>
  <c r="AR83" i="386"/>
  <c r="AQ83" i="386"/>
  <c r="AP83" i="386"/>
  <c r="BN82" i="386"/>
  <c r="BM82" i="386"/>
  <c r="BL82" i="386"/>
  <c r="BK82" i="386"/>
  <c r="BJ82" i="386"/>
  <c r="BI82" i="386"/>
  <c r="BH82" i="386"/>
  <c r="BG82" i="386"/>
  <c r="BF82" i="386"/>
  <c r="BE82" i="386"/>
  <c r="BD82" i="386"/>
  <c r="BC82" i="386"/>
  <c r="BB82" i="386"/>
  <c r="BA82" i="386"/>
  <c r="AZ82" i="386"/>
  <c r="AW82" i="386"/>
  <c r="AV82" i="386"/>
  <c r="AU82" i="386"/>
  <c r="AT82" i="386"/>
  <c r="AS82" i="386"/>
  <c r="AR82" i="386"/>
  <c r="AQ82" i="386"/>
  <c r="AP82" i="386"/>
  <c r="BN81" i="386"/>
  <c r="BL81" i="386"/>
  <c r="BK81" i="386"/>
  <c r="BJ81" i="386"/>
  <c r="BM81" i="386" s="1"/>
  <c r="BI81" i="386"/>
  <c r="BH81" i="386"/>
  <c r="BG81" i="386"/>
  <c r="BF81" i="386"/>
  <c r="BE81" i="386"/>
  <c r="BD81" i="386"/>
  <c r="BC81" i="386"/>
  <c r="BB81" i="386"/>
  <c r="BA81" i="386"/>
  <c r="AZ81" i="386"/>
  <c r="AW81" i="386"/>
  <c r="AV81" i="386"/>
  <c r="AU81" i="386"/>
  <c r="AT81" i="386"/>
  <c r="AS81" i="386"/>
  <c r="AR81" i="386"/>
  <c r="AQ81" i="386"/>
  <c r="AP81" i="386"/>
  <c r="BN80" i="386"/>
  <c r="BM80" i="386"/>
  <c r="BJ80" i="386"/>
  <c r="BI80" i="386"/>
  <c r="BH80" i="386"/>
  <c r="BG80" i="386"/>
  <c r="BF80" i="386"/>
  <c r="BE80" i="386"/>
  <c r="BD80" i="386"/>
  <c r="BC80" i="386"/>
  <c r="BB80" i="386"/>
  <c r="BA80" i="386"/>
  <c r="AZ80" i="386"/>
  <c r="AY80" i="386"/>
  <c r="BL80" i="386" s="1"/>
  <c r="AX80" i="386"/>
  <c r="BK80" i="386" s="1"/>
  <c r="AW80" i="386"/>
  <c r="AV80" i="386"/>
  <c r="AU80" i="386"/>
  <c r="AT80" i="386"/>
  <c r="AS80" i="386"/>
  <c r="AR80" i="386"/>
  <c r="AQ80" i="386"/>
  <c r="AP80" i="386"/>
  <c r="BN79" i="386"/>
  <c r="BL79" i="386"/>
  <c r="BK79" i="386"/>
  <c r="BJ79" i="386"/>
  <c r="BM79" i="386" s="1"/>
  <c r="BI79" i="386"/>
  <c r="BH79" i="386"/>
  <c r="BG79" i="386"/>
  <c r="BF79" i="386"/>
  <c r="BE79" i="386"/>
  <c r="BD79" i="386"/>
  <c r="BC79" i="386"/>
  <c r="BB79" i="386"/>
  <c r="BA79" i="386"/>
  <c r="AZ79" i="386"/>
  <c r="AW79" i="386"/>
  <c r="AV79" i="386"/>
  <c r="AU79" i="386"/>
  <c r="AT79" i="386"/>
  <c r="AS79" i="386"/>
  <c r="AR79" i="386"/>
  <c r="AQ79" i="386"/>
  <c r="AP79" i="386"/>
  <c r="BN78" i="386"/>
  <c r="BM78" i="386"/>
  <c r="BK78" i="386"/>
  <c r="BJ78" i="386"/>
  <c r="BI78" i="386"/>
  <c r="BH78" i="386"/>
  <c r="BG78" i="386"/>
  <c r="BF78" i="386"/>
  <c r="BE78" i="386"/>
  <c r="BD78" i="386"/>
  <c r="BC78" i="386"/>
  <c r="BB78" i="386"/>
  <c r="BA78" i="386"/>
  <c r="AZ78" i="386"/>
  <c r="AY78" i="386"/>
  <c r="BL78" i="386" s="1"/>
  <c r="AW78" i="386"/>
  <c r="AV78" i="386"/>
  <c r="AU78" i="386"/>
  <c r="AT78" i="386"/>
  <c r="AS78" i="386"/>
  <c r="AR78" i="386"/>
  <c r="AQ78" i="386"/>
  <c r="AP78" i="386"/>
  <c r="BN77" i="386"/>
  <c r="BM77" i="386"/>
  <c r="BL77" i="386"/>
  <c r="BK77" i="386"/>
  <c r="BJ77" i="386"/>
  <c r="BI77" i="386"/>
  <c r="BH77" i="386"/>
  <c r="BG77" i="386"/>
  <c r="BF77" i="386"/>
  <c r="BE77" i="386"/>
  <c r="BD77" i="386"/>
  <c r="BC77" i="386"/>
  <c r="BB77" i="386"/>
  <c r="BA77" i="386"/>
  <c r="AZ77" i="386"/>
  <c r="AW77" i="386"/>
  <c r="AV77" i="386"/>
  <c r="AU77" i="386"/>
  <c r="AT77" i="386"/>
  <c r="AS77" i="386"/>
  <c r="AR77" i="386"/>
  <c r="AQ77" i="386"/>
  <c r="AP77" i="386"/>
  <c r="BN76" i="386"/>
  <c r="BM76" i="386"/>
  <c r="BL76" i="386"/>
  <c r="BK76" i="386"/>
  <c r="BJ76" i="386"/>
  <c r="BI76" i="386"/>
  <c r="BH76" i="386"/>
  <c r="BG76" i="386"/>
  <c r="BF76" i="386"/>
  <c r="BE76" i="386"/>
  <c r="BD76" i="386"/>
  <c r="BC76" i="386"/>
  <c r="BB76" i="386"/>
  <c r="BA76" i="386"/>
  <c r="AZ76" i="386"/>
  <c r="AW76" i="386"/>
  <c r="AV76" i="386"/>
  <c r="AU76" i="386"/>
  <c r="AT76" i="386"/>
  <c r="AS76" i="386"/>
  <c r="AR76" i="386"/>
  <c r="AQ76" i="386"/>
  <c r="AP76" i="386"/>
  <c r="BN75" i="386"/>
  <c r="BM75" i="386"/>
  <c r="BL75" i="386"/>
  <c r="BK75" i="386"/>
  <c r="BJ75" i="386"/>
  <c r="BI75" i="386"/>
  <c r="BH75" i="386"/>
  <c r="BG75" i="386"/>
  <c r="BF75" i="386"/>
  <c r="BE75" i="386"/>
  <c r="BD75" i="386"/>
  <c r="BC75" i="386"/>
  <c r="BB75" i="386"/>
  <c r="BA75" i="386"/>
  <c r="AZ75" i="386"/>
  <c r="AW75" i="386"/>
  <c r="AV75" i="386"/>
  <c r="AU75" i="386"/>
  <c r="AT75" i="386"/>
  <c r="AS75" i="386"/>
  <c r="AR75" i="386"/>
  <c r="AQ75" i="386"/>
  <c r="AP75" i="386"/>
  <c r="AO74" i="386"/>
  <c r="AN74" i="386"/>
  <c r="AM74" i="386"/>
  <c r="AL74" i="386"/>
  <c r="AK74" i="386"/>
  <c r="AJ74" i="386"/>
  <c r="AI74" i="386"/>
  <c r="AH74" i="386"/>
  <c r="AG74" i="386"/>
  <c r="AF74" i="386"/>
  <c r="AE74" i="386"/>
  <c r="AD74" i="386"/>
  <c r="AC74" i="386"/>
  <c r="AB74" i="386"/>
  <c r="AA74" i="386"/>
  <c r="Z74" i="386"/>
  <c r="Y74" i="386"/>
  <c r="X74" i="386"/>
  <c r="W74" i="386"/>
  <c r="V74" i="386"/>
  <c r="U74" i="386"/>
  <c r="T74" i="386"/>
  <c r="S74" i="386"/>
  <c r="R74" i="386"/>
  <c r="Q74" i="386"/>
  <c r="P74" i="386"/>
  <c r="O74" i="386"/>
  <c r="N74" i="386"/>
  <c r="M74" i="386"/>
  <c r="L74" i="386"/>
  <c r="BN73" i="386"/>
  <c r="BL73" i="386"/>
  <c r="BK73" i="386"/>
  <c r="BJ73" i="386"/>
  <c r="BM73" i="386" s="1"/>
  <c r="BI73" i="386"/>
  <c r="BH73" i="386"/>
  <c r="BG73" i="386"/>
  <c r="BF73" i="386"/>
  <c r="BE73" i="386"/>
  <c r="BD73" i="386"/>
  <c r="BC73" i="386"/>
  <c r="BB73" i="386"/>
  <c r="BA73" i="386"/>
  <c r="AZ73" i="386"/>
  <c r="AY73" i="386"/>
  <c r="AW73" i="386"/>
  <c r="AV73" i="386"/>
  <c r="AU73" i="386"/>
  <c r="AT73" i="386"/>
  <c r="AS73" i="386"/>
  <c r="AR73" i="386"/>
  <c r="AQ73" i="386"/>
  <c r="AP73" i="386"/>
  <c r="BN72" i="386"/>
  <c r="BL72" i="386"/>
  <c r="BK72" i="386"/>
  <c r="BJ72" i="386"/>
  <c r="BM72" i="386" s="1"/>
  <c r="BI72" i="386"/>
  <c r="BH72" i="386"/>
  <c r="BG72" i="386"/>
  <c r="BF72" i="386"/>
  <c r="BE72" i="386"/>
  <c r="BD72" i="386"/>
  <c r="BC72" i="386"/>
  <c r="BB72" i="386"/>
  <c r="BA72" i="386"/>
  <c r="AZ72" i="386"/>
  <c r="AY72" i="386"/>
  <c r="AW72" i="386"/>
  <c r="AV72" i="386"/>
  <c r="AU72" i="386"/>
  <c r="AT72" i="386"/>
  <c r="AS72" i="386"/>
  <c r="AR72" i="386"/>
  <c r="AQ72" i="386"/>
  <c r="AP72" i="386"/>
  <c r="BN71" i="386"/>
  <c r="BL71" i="386"/>
  <c r="BK71" i="386"/>
  <c r="BJ71" i="386"/>
  <c r="BM71" i="386" s="1"/>
  <c r="BI71" i="386"/>
  <c r="BH71" i="386"/>
  <c r="BG71" i="386"/>
  <c r="BF71" i="386"/>
  <c r="BE71" i="386"/>
  <c r="BD71" i="386"/>
  <c r="BC71" i="386"/>
  <c r="BB71" i="386"/>
  <c r="BA71" i="386"/>
  <c r="AZ71" i="386"/>
  <c r="AY71" i="386"/>
  <c r="AW71" i="386"/>
  <c r="AV71" i="386"/>
  <c r="AU71" i="386"/>
  <c r="AT71" i="386"/>
  <c r="AS71" i="386"/>
  <c r="AR71" i="386"/>
  <c r="AQ71" i="386"/>
  <c r="AP71" i="386"/>
  <c r="BN70" i="386"/>
  <c r="BL70" i="386"/>
  <c r="BK70" i="386"/>
  <c r="BJ70" i="386"/>
  <c r="BM70" i="386" s="1"/>
  <c r="BI70" i="386"/>
  <c r="BH70" i="386"/>
  <c r="BG70" i="386"/>
  <c r="BF70" i="386"/>
  <c r="BE70" i="386"/>
  <c r="BD70" i="386"/>
  <c r="BC70" i="386"/>
  <c r="BB70" i="386"/>
  <c r="BA70" i="386"/>
  <c r="AZ70" i="386"/>
  <c r="AX70" i="386"/>
  <c r="AW70" i="386"/>
  <c r="AV70" i="386"/>
  <c r="AU70" i="386"/>
  <c r="AT70" i="386"/>
  <c r="AS70" i="386"/>
  <c r="AR70" i="386"/>
  <c r="AQ70" i="386"/>
  <c r="AP70" i="386"/>
  <c r="BN69" i="386"/>
  <c r="BL69" i="386"/>
  <c r="BJ69" i="386"/>
  <c r="BM69" i="386" s="1"/>
  <c r="BI69" i="386"/>
  <c r="BH69" i="386"/>
  <c r="BG69" i="386"/>
  <c r="BF69" i="386"/>
  <c r="BE69" i="386"/>
  <c r="BD69" i="386"/>
  <c r="BC69" i="386"/>
  <c r="BB69" i="386"/>
  <c r="BA69" i="386"/>
  <c r="AZ69" i="386"/>
  <c r="AY69" i="386"/>
  <c r="AX69" i="386"/>
  <c r="BK69" i="386" s="1"/>
  <c r="AW69" i="386"/>
  <c r="AV69" i="386"/>
  <c r="AU69" i="386"/>
  <c r="AT69" i="386"/>
  <c r="AS69" i="386"/>
  <c r="AR69" i="386"/>
  <c r="AQ69" i="386"/>
  <c r="AP69" i="386"/>
  <c r="BN68" i="386"/>
  <c r="BK68" i="386"/>
  <c r="BJ68" i="386"/>
  <c r="BM68" i="386" s="1"/>
  <c r="BI68" i="386"/>
  <c r="BH68" i="386"/>
  <c r="BG68" i="386"/>
  <c r="BF68" i="386"/>
  <c r="BE68" i="386"/>
  <c r="BD68" i="386"/>
  <c r="BC68" i="386"/>
  <c r="BB68" i="386"/>
  <c r="BA68" i="386"/>
  <c r="AZ68" i="386"/>
  <c r="AY68" i="386"/>
  <c r="BL68" i="386" s="1"/>
  <c r="AW68" i="386"/>
  <c r="AV68" i="386"/>
  <c r="AU68" i="386"/>
  <c r="AT68" i="386"/>
  <c r="AS68" i="386"/>
  <c r="AR68" i="386"/>
  <c r="AQ68" i="386"/>
  <c r="AP68" i="386"/>
  <c r="BN67" i="386"/>
  <c r="BK67" i="386"/>
  <c r="BJ67" i="386"/>
  <c r="BM67" i="386" s="1"/>
  <c r="BI67" i="386"/>
  <c r="BH67" i="386"/>
  <c r="BG67" i="386"/>
  <c r="BF67" i="386"/>
  <c r="BE67" i="386"/>
  <c r="BD67" i="386"/>
  <c r="BC67" i="386"/>
  <c r="BB67" i="386"/>
  <c r="BA67" i="386"/>
  <c r="AZ67" i="386"/>
  <c r="AY67" i="386"/>
  <c r="BL67" i="386" s="1"/>
  <c r="AW67" i="386"/>
  <c r="AV67" i="386"/>
  <c r="AU67" i="386"/>
  <c r="AT67" i="386"/>
  <c r="AS67" i="386"/>
  <c r="AR67" i="386"/>
  <c r="AQ67" i="386"/>
  <c r="AP67" i="386"/>
  <c r="BN66" i="386"/>
  <c r="BK66" i="386"/>
  <c r="BJ66" i="386"/>
  <c r="BM66" i="386" s="1"/>
  <c r="BI66" i="386"/>
  <c r="BH66" i="386"/>
  <c r="BG66" i="386"/>
  <c r="BF66" i="386"/>
  <c r="BE66" i="386"/>
  <c r="BD66" i="386"/>
  <c r="BC66" i="386"/>
  <c r="BB66" i="386"/>
  <c r="BA66" i="386"/>
  <c r="AZ66" i="386"/>
  <c r="AY66" i="386"/>
  <c r="BL66" i="386" s="1"/>
  <c r="AW66" i="386"/>
  <c r="AV66" i="386"/>
  <c r="AU66" i="386"/>
  <c r="AT66" i="386"/>
  <c r="AS66" i="386"/>
  <c r="AR66" i="386"/>
  <c r="AQ66" i="386"/>
  <c r="AP66" i="386"/>
  <c r="BN65" i="386"/>
  <c r="BL65" i="386"/>
  <c r="BK65" i="386"/>
  <c r="BJ65" i="386"/>
  <c r="BM65" i="386" s="1"/>
  <c r="BI65" i="386"/>
  <c r="BH65" i="386"/>
  <c r="BG65" i="386"/>
  <c r="BF65" i="386"/>
  <c r="BE65" i="386"/>
  <c r="BD65" i="386"/>
  <c r="BC65" i="386"/>
  <c r="BB65" i="386"/>
  <c r="BA65" i="386"/>
  <c r="AZ65" i="386"/>
  <c r="AW65" i="386"/>
  <c r="AV65" i="386"/>
  <c r="AU65" i="386"/>
  <c r="AT65" i="386"/>
  <c r="AS65" i="386"/>
  <c r="AR65" i="386"/>
  <c r="AQ65" i="386"/>
  <c r="AP65" i="386"/>
  <c r="BN64" i="386"/>
  <c r="BL64" i="386"/>
  <c r="BK64" i="386"/>
  <c r="BJ64" i="386"/>
  <c r="BM64" i="386" s="1"/>
  <c r="BI64" i="386"/>
  <c r="BH64" i="386"/>
  <c r="BG64" i="386"/>
  <c r="BF64" i="386"/>
  <c r="BE64" i="386"/>
  <c r="BD64" i="386"/>
  <c r="BC64" i="386"/>
  <c r="BB64" i="386"/>
  <c r="BA64" i="386"/>
  <c r="AZ64" i="386"/>
  <c r="AY64" i="386"/>
  <c r="AW64" i="386"/>
  <c r="AV64" i="386"/>
  <c r="AU64" i="386"/>
  <c r="AT64" i="386"/>
  <c r="AS64" i="386"/>
  <c r="AR64" i="386"/>
  <c r="AQ64" i="386"/>
  <c r="AP64" i="386"/>
  <c r="BN63" i="386"/>
  <c r="BL63" i="386"/>
  <c r="BK63" i="386"/>
  <c r="BJ63" i="386"/>
  <c r="BM63" i="386" s="1"/>
  <c r="BI63" i="386"/>
  <c r="BH63" i="386"/>
  <c r="BG63" i="386"/>
  <c r="BF63" i="386"/>
  <c r="BE63" i="386"/>
  <c r="BD63" i="386"/>
  <c r="BC63" i="386"/>
  <c r="BB63" i="386"/>
  <c r="BA63" i="386"/>
  <c r="AZ63" i="386"/>
  <c r="AW63" i="386"/>
  <c r="AV63" i="386"/>
  <c r="AU63" i="386"/>
  <c r="AT63" i="386"/>
  <c r="AS63" i="386"/>
  <c r="AR63" i="386"/>
  <c r="AQ63" i="386"/>
  <c r="AP63" i="386"/>
  <c r="BN62" i="386"/>
  <c r="BM62" i="386"/>
  <c r="BL62" i="386"/>
  <c r="BK62" i="386"/>
  <c r="BJ62" i="386"/>
  <c r="BI62" i="386"/>
  <c r="BH62" i="386"/>
  <c r="BG62" i="386"/>
  <c r="BF62" i="386"/>
  <c r="BE62" i="386"/>
  <c r="BD62" i="386"/>
  <c r="BC62" i="386"/>
  <c r="BB62" i="386"/>
  <c r="BA62" i="386"/>
  <c r="AZ62" i="386"/>
  <c r="AW62" i="386"/>
  <c r="AV62" i="386"/>
  <c r="AU62" i="386"/>
  <c r="AT62" i="386"/>
  <c r="AS62" i="386"/>
  <c r="AR62" i="386"/>
  <c r="AQ62" i="386"/>
  <c r="AP62" i="386"/>
  <c r="AO61" i="386"/>
  <c r="AN61" i="386"/>
  <c r="AM61" i="386"/>
  <c r="AL61" i="386"/>
  <c r="AK61" i="386"/>
  <c r="AJ61" i="386"/>
  <c r="AI61" i="386"/>
  <c r="AH61" i="386"/>
  <c r="AG61" i="386"/>
  <c r="AF61" i="386"/>
  <c r="AE61" i="386"/>
  <c r="AD61" i="386"/>
  <c r="AC61" i="386"/>
  <c r="AB61" i="386"/>
  <c r="AA61" i="386"/>
  <c r="Z61" i="386"/>
  <c r="Y61" i="386"/>
  <c r="X61" i="386"/>
  <c r="W61" i="386"/>
  <c r="V61" i="386"/>
  <c r="U61" i="386"/>
  <c r="T61" i="386"/>
  <c r="S61" i="386"/>
  <c r="R61" i="386"/>
  <c r="Q61" i="386"/>
  <c r="P61" i="386"/>
  <c r="O61" i="386"/>
  <c r="N61" i="386"/>
  <c r="M61" i="386"/>
  <c r="L61" i="386"/>
  <c r="BN60" i="386"/>
  <c r="BM60" i="386"/>
  <c r="BL60" i="386"/>
  <c r="BK60" i="386"/>
  <c r="BJ60" i="386"/>
  <c r="BI60" i="386"/>
  <c r="BH60" i="386"/>
  <c r="BG60" i="386"/>
  <c r="BF60" i="386"/>
  <c r="BE60" i="386"/>
  <c r="BD60" i="386"/>
  <c r="BC60" i="386"/>
  <c r="BB60" i="386"/>
  <c r="BA60" i="386"/>
  <c r="AZ60" i="386"/>
  <c r="AW60" i="386"/>
  <c r="AV60" i="386"/>
  <c r="AU60" i="386"/>
  <c r="AT60" i="386"/>
  <c r="AS60" i="386"/>
  <c r="AR60" i="386"/>
  <c r="AQ60" i="386"/>
  <c r="AP60" i="386"/>
  <c r="AO59" i="386"/>
  <c r="AN59" i="386"/>
  <c r="AM59" i="386"/>
  <c r="AL59" i="386"/>
  <c r="AK59" i="386"/>
  <c r="AJ59" i="386"/>
  <c r="AI59" i="386"/>
  <c r="AH59" i="386"/>
  <c r="AG59" i="386"/>
  <c r="AF59" i="386"/>
  <c r="AE59" i="386"/>
  <c r="AD59" i="386"/>
  <c r="AC59" i="386"/>
  <c r="AB59" i="386"/>
  <c r="AA59" i="386"/>
  <c r="Z59" i="386"/>
  <c r="Y59" i="386"/>
  <c r="X59" i="386"/>
  <c r="W59" i="386"/>
  <c r="V59" i="386"/>
  <c r="U59" i="386"/>
  <c r="T59" i="386"/>
  <c r="S59" i="386"/>
  <c r="R59" i="386"/>
  <c r="Q59" i="386"/>
  <c r="P59" i="386"/>
  <c r="O59" i="386"/>
  <c r="N59" i="386"/>
  <c r="M59" i="386"/>
  <c r="L59" i="386"/>
  <c r="BN58" i="386"/>
  <c r="BL58" i="386"/>
  <c r="BK58" i="386"/>
  <c r="BJ58" i="386"/>
  <c r="BM58" i="386" s="1"/>
  <c r="BI58" i="386"/>
  <c r="BH58" i="386"/>
  <c r="BG58" i="386"/>
  <c r="BF58" i="386"/>
  <c r="BE58" i="386"/>
  <c r="BD58" i="386"/>
  <c r="BC58" i="386"/>
  <c r="BB58" i="386"/>
  <c r="BA58" i="386"/>
  <c r="AZ58" i="386"/>
  <c r="AW58" i="386"/>
  <c r="AV58" i="386"/>
  <c r="AU58" i="386"/>
  <c r="AT58" i="386"/>
  <c r="AS58" i="386"/>
  <c r="AR58" i="386"/>
  <c r="AQ58" i="386"/>
  <c r="AP58" i="386"/>
  <c r="BN57" i="386"/>
  <c r="BL57" i="386"/>
  <c r="BK57" i="386"/>
  <c r="BJ57" i="386"/>
  <c r="BM57" i="386" s="1"/>
  <c r="BI57" i="386"/>
  <c r="BH57" i="386"/>
  <c r="BG57" i="386"/>
  <c r="BF57" i="386"/>
  <c r="BE57" i="386"/>
  <c r="BD57" i="386"/>
  <c r="BC57" i="386"/>
  <c r="BB57" i="386"/>
  <c r="BA57" i="386"/>
  <c r="AZ57" i="386"/>
  <c r="AW57" i="386"/>
  <c r="AV57" i="386"/>
  <c r="AU57" i="386"/>
  <c r="AT57" i="386"/>
  <c r="AS57" i="386"/>
  <c r="AR57" i="386"/>
  <c r="AQ57" i="386"/>
  <c r="AP57" i="386"/>
  <c r="BN56" i="386"/>
  <c r="BL56" i="386"/>
  <c r="BK56" i="386"/>
  <c r="BJ56" i="386"/>
  <c r="BM56" i="386" s="1"/>
  <c r="BI56" i="386"/>
  <c r="BH56" i="386"/>
  <c r="BG56" i="386"/>
  <c r="BF56" i="386"/>
  <c r="BE56" i="386"/>
  <c r="BD56" i="386"/>
  <c r="BC56" i="386"/>
  <c r="BB56" i="386"/>
  <c r="BA56" i="386"/>
  <c r="AZ56" i="386"/>
  <c r="AW56" i="386"/>
  <c r="AV56" i="386"/>
  <c r="AU56" i="386"/>
  <c r="AT56" i="386"/>
  <c r="AS56" i="386"/>
  <c r="AR56" i="386"/>
  <c r="AQ56" i="386"/>
  <c r="AP56" i="386"/>
  <c r="BN55" i="386"/>
  <c r="BK55" i="386"/>
  <c r="BJ55" i="386"/>
  <c r="BM55" i="386" s="1"/>
  <c r="BI55" i="386"/>
  <c r="BH55" i="386"/>
  <c r="BG55" i="386"/>
  <c r="BF55" i="386"/>
  <c r="BE55" i="386"/>
  <c r="BD55" i="386"/>
  <c r="BC55" i="386"/>
  <c r="BB55" i="386"/>
  <c r="BA55" i="386"/>
  <c r="AZ55" i="386"/>
  <c r="AY55" i="386"/>
  <c r="BL55" i="386" s="1"/>
  <c r="AW55" i="386"/>
  <c r="AV55" i="386"/>
  <c r="AU55" i="386"/>
  <c r="AT55" i="386"/>
  <c r="AS55" i="386"/>
  <c r="AR55" i="386"/>
  <c r="AQ55" i="386"/>
  <c r="AP55" i="386"/>
  <c r="BN54" i="386"/>
  <c r="BK54" i="386"/>
  <c r="BJ54" i="386"/>
  <c r="BM54" i="386" s="1"/>
  <c r="BI54" i="386"/>
  <c r="BH54" i="386"/>
  <c r="BG54" i="386"/>
  <c r="BF54" i="386"/>
  <c r="BE54" i="386"/>
  <c r="BD54" i="386"/>
  <c r="BC54" i="386"/>
  <c r="BB54" i="386"/>
  <c r="BA54" i="386"/>
  <c r="AZ54" i="386"/>
  <c r="AY54" i="386"/>
  <c r="BL54" i="386" s="1"/>
  <c r="AW54" i="386"/>
  <c r="AV54" i="386"/>
  <c r="AU54" i="386"/>
  <c r="AT54" i="386"/>
  <c r="AS54" i="386"/>
  <c r="AR54" i="386"/>
  <c r="AQ54" i="386"/>
  <c r="AP54" i="386"/>
  <c r="BN53" i="386"/>
  <c r="BK53" i="386"/>
  <c r="BJ53" i="386"/>
  <c r="BM53" i="386" s="1"/>
  <c r="BI53" i="386"/>
  <c r="BH53" i="386"/>
  <c r="BG53" i="386"/>
  <c r="BF53" i="386"/>
  <c r="BE53" i="386"/>
  <c r="BD53" i="386"/>
  <c r="BC53" i="386"/>
  <c r="BB53" i="386"/>
  <c r="BA53" i="386"/>
  <c r="AZ53" i="386"/>
  <c r="AY53" i="386"/>
  <c r="BL53" i="386" s="1"/>
  <c r="AW53" i="386"/>
  <c r="AV53" i="386"/>
  <c r="AU53" i="386"/>
  <c r="AT53" i="386"/>
  <c r="AS53" i="386"/>
  <c r="AR53" i="386"/>
  <c r="AQ53" i="386"/>
  <c r="AP53" i="386"/>
  <c r="BN52" i="386"/>
  <c r="BK52" i="386"/>
  <c r="BJ52" i="386"/>
  <c r="BM52" i="386" s="1"/>
  <c r="BI52" i="386"/>
  <c r="BH52" i="386"/>
  <c r="BG52" i="386"/>
  <c r="BF52" i="386"/>
  <c r="BE52" i="386"/>
  <c r="BD52" i="386"/>
  <c r="BC52" i="386"/>
  <c r="BB52" i="386"/>
  <c r="BA52" i="386"/>
  <c r="AZ52" i="386"/>
  <c r="AY52" i="386"/>
  <c r="BL52" i="386" s="1"/>
  <c r="AW52" i="386"/>
  <c r="AV52" i="386"/>
  <c r="AU52" i="386"/>
  <c r="AT52" i="386"/>
  <c r="AS52" i="386"/>
  <c r="AR52" i="386"/>
  <c r="AQ52" i="386"/>
  <c r="AP52" i="386"/>
  <c r="BN51" i="386"/>
  <c r="BK51" i="386"/>
  <c r="BJ51" i="386"/>
  <c r="BM51" i="386" s="1"/>
  <c r="BI51" i="386"/>
  <c r="BH51" i="386"/>
  <c r="BG51" i="386"/>
  <c r="BF51" i="386"/>
  <c r="BE51" i="386"/>
  <c r="BD51" i="386"/>
  <c r="BC51" i="386"/>
  <c r="BB51" i="386"/>
  <c r="BA51" i="386"/>
  <c r="AZ51" i="386"/>
  <c r="AY51" i="386"/>
  <c r="BL51" i="386" s="1"/>
  <c r="AW51" i="386"/>
  <c r="AV51" i="386"/>
  <c r="AU51" i="386"/>
  <c r="AT51" i="386"/>
  <c r="AS51" i="386"/>
  <c r="AR51" i="386"/>
  <c r="AQ51" i="386"/>
  <c r="AP51" i="386"/>
  <c r="AO50" i="386"/>
  <c r="AN50" i="386"/>
  <c r="AM50" i="386"/>
  <c r="AL50" i="386"/>
  <c r="AK50" i="386"/>
  <c r="AJ50" i="386"/>
  <c r="AI50" i="386"/>
  <c r="AH50" i="386"/>
  <c r="AG50" i="386"/>
  <c r="AF50" i="386"/>
  <c r="AE50" i="386"/>
  <c r="AD50" i="386"/>
  <c r="AC50" i="386"/>
  <c r="AB50" i="386"/>
  <c r="AA50" i="386"/>
  <c r="Z50" i="386"/>
  <c r="Y50" i="386"/>
  <c r="X50" i="386"/>
  <c r="W50" i="386"/>
  <c r="V50" i="386"/>
  <c r="U50" i="386"/>
  <c r="T50" i="386"/>
  <c r="S50" i="386"/>
  <c r="R50" i="386"/>
  <c r="Q50" i="386"/>
  <c r="P50" i="386"/>
  <c r="O50" i="386"/>
  <c r="N50" i="386"/>
  <c r="M50" i="386"/>
  <c r="L50" i="386"/>
  <c r="BN49" i="386"/>
  <c r="BM49" i="386"/>
  <c r="BK49" i="386"/>
  <c r="BJ49" i="386"/>
  <c r="BI49" i="386"/>
  <c r="BH49" i="386"/>
  <c r="BG49" i="386"/>
  <c r="BF49" i="386"/>
  <c r="BE49" i="386"/>
  <c r="BD49" i="386"/>
  <c r="BC49" i="386"/>
  <c r="BB49" i="386"/>
  <c r="BA49" i="386"/>
  <c r="AZ49" i="386"/>
  <c r="AY49" i="386"/>
  <c r="BL49" i="386" s="1"/>
  <c r="AW49" i="386"/>
  <c r="AV49" i="386"/>
  <c r="AU49" i="386"/>
  <c r="AT49" i="386"/>
  <c r="AS49" i="386"/>
  <c r="AR49" i="386"/>
  <c r="AQ49" i="386"/>
  <c r="AP49" i="386"/>
  <c r="BN48" i="386"/>
  <c r="BM48" i="386"/>
  <c r="BL48" i="386"/>
  <c r="BK48" i="386"/>
  <c r="BJ48" i="386"/>
  <c r="BI48" i="386"/>
  <c r="BH48" i="386"/>
  <c r="BG48" i="386"/>
  <c r="BF48" i="386"/>
  <c r="BE48" i="386"/>
  <c r="BD48" i="386"/>
  <c r="BC48" i="386"/>
  <c r="BB48" i="386"/>
  <c r="BA48" i="386"/>
  <c r="AZ48" i="386"/>
  <c r="AW48" i="386"/>
  <c r="AV48" i="386"/>
  <c r="AU48" i="386"/>
  <c r="AT48" i="386"/>
  <c r="AS48" i="386"/>
  <c r="AR48" i="386"/>
  <c r="AQ48" i="386"/>
  <c r="AP48" i="386"/>
  <c r="AO47" i="386"/>
  <c r="AN47" i="386"/>
  <c r="AM47" i="386"/>
  <c r="AL47" i="386"/>
  <c r="AK47" i="386"/>
  <c r="AJ47" i="386"/>
  <c r="AI47" i="386"/>
  <c r="AH47" i="386"/>
  <c r="AG47" i="386"/>
  <c r="AF47" i="386"/>
  <c r="AE47" i="386"/>
  <c r="AD47" i="386"/>
  <c r="AC47" i="386"/>
  <c r="AB47" i="386"/>
  <c r="AA47" i="386"/>
  <c r="Z47" i="386"/>
  <c r="Y47" i="386"/>
  <c r="X47" i="386"/>
  <c r="W47" i="386"/>
  <c r="V47" i="386"/>
  <c r="U47" i="386"/>
  <c r="T47" i="386"/>
  <c r="S47" i="386"/>
  <c r="R47" i="386"/>
  <c r="Q47" i="386"/>
  <c r="P47" i="386"/>
  <c r="O47" i="386"/>
  <c r="N47" i="386"/>
  <c r="M47" i="386"/>
  <c r="L47" i="386"/>
  <c r="BN46" i="386"/>
  <c r="BK46" i="386"/>
  <c r="BJ46" i="386"/>
  <c r="BM46" i="386" s="1"/>
  <c r="BI46" i="386"/>
  <c r="BH46" i="386"/>
  <c r="BG46" i="386"/>
  <c r="BF46" i="386"/>
  <c r="BE46" i="386"/>
  <c r="BD46" i="386"/>
  <c r="BC46" i="386"/>
  <c r="BB46" i="386"/>
  <c r="BA46" i="386"/>
  <c r="AZ46" i="386"/>
  <c r="AY46" i="386"/>
  <c r="BL46" i="386" s="1"/>
  <c r="AW46" i="386"/>
  <c r="AV46" i="386"/>
  <c r="AU46" i="386"/>
  <c r="AT46" i="386"/>
  <c r="AS46" i="386"/>
  <c r="AR46" i="386"/>
  <c r="AQ46" i="386"/>
  <c r="AP46" i="386"/>
  <c r="BN45" i="386"/>
  <c r="BK45" i="386"/>
  <c r="BJ45" i="386"/>
  <c r="BM45" i="386" s="1"/>
  <c r="BI45" i="386"/>
  <c r="BH45" i="386"/>
  <c r="BG45" i="386"/>
  <c r="BF45" i="386"/>
  <c r="BE45" i="386"/>
  <c r="BD45" i="386"/>
  <c r="BC45" i="386"/>
  <c r="BB45" i="386"/>
  <c r="BA45" i="386"/>
  <c r="AZ45" i="386"/>
  <c r="AY45" i="386"/>
  <c r="BL45" i="386" s="1"/>
  <c r="AW45" i="386"/>
  <c r="AV45" i="386"/>
  <c r="AU45" i="386"/>
  <c r="AT45" i="386"/>
  <c r="AS45" i="386"/>
  <c r="AR45" i="386"/>
  <c r="AQ45" i="386"/>
  <c r="AP45" i="386"/>
  <c r="BN44" i="386"/>
  <c r="BK44" i="386"/>
  <c r="BJ44" i="386"/>
  <c r="BM44" i="386" s="1"/>
  <c r="BI44" i="386"/>
  <c r="BH44" i="386"/>
  <c r="BG44" i="386"/>
  <c r="BF44" i="386"/>
  <c r="BE44" i="386"/>
  <c r="BD44" i="386"/>
  <c r="BC44" i="386"/>
  <c r="BB44" i="386"/>
  <c r="BA44" i="386"/>
  <c r="AZ44" i="386"/>
  <c r="AY44" i="386"/>
  <c r="BL44" i="386" s="1"/>
  <c r="AW44" i="386"/>
  <c r="AV44" i="386"/>
  <c r="AU44" i="386"/>
  <c r="AT44" i="386"/>
  <c r="AS44" i="386"/>
  <c r="AR44" i="386"/>
  <c r="AQ44" i="386"/>
  <c r="AP44" i="386"/>
  <c r="BN43" i="386"/>
  <c r="BK43" i="386"/>
  <c r="BJ43" i="386"/>
  <c r="BM43" i="386" s="1"/>
  <c r="BI43" i="386"/>
  <c r="BH43" i="386"/>
  <c r="BG43" i="386"/>
  <c r="BF43" i="386"/>
  <c r="BE43" i="386"/>
  <c r="BD43" i="386"/>
  <c r="BC43" i="386"/>
  <c r="BB43" i="386"/>
  <c r="BA43" i="386"/>
  <c r="AZ43" i="386"/>
  <c r="AY43" i="386"/>
  <c r="BL43" i="386" s="1"/>
  <c r="AW43" i="386"/>
  <c r="AV43" i="386"/>
  <c r="AU43" i="386"/>
  <c r="AT43" i="386"/>
  <c r="AS43" i="386"/>
  <c r="AR43" i="386"/>
  <c r="AQ43" i="386"/>
  <c r="AP43" i="386"/>
  <c r="BN42" i="386"/>
  <c r="BL42" i="386"/>
  <c r="BK42" i="386"/>
  <c r="BJ42" i="386"/>
  <c r="BM42" i="386" s="1"/>
  <c r="BI42" i="386"/>
  <c r="BH42" i="386"/>
  <c r="BG42" i="386"/>
  <c r="BF42" i="386"/>
  <c r="BE42" i="386"/>
  <c r="BD42" i="386"/>
  <c r="BC42" i="386"/>
  <c r="BB42" i="386"/>
  <c r="BA42" i="386"/>
  <c r="AZ42" i="386"/>
  <c r="AX42" i="386"/>
  <c r="AW42" i="386"/>
  <c r="AV42" i="386"/>
  <c r="AU42" i="386"/>
  <c r="AT42" i="386"/>
  <c r="AS42" i="386"/>
  <c r="AR42" i="386"/>
  <c r="AQ42" i="386"/>
  <c r="AP42" i="386"/>
  <c r="BN41" i="386"/>
  <c r="BL41" i="386"/>
  <c r="BK41" i="386"/>
  <c r="BJ41" i="386"/>
  <c r="BM41" i="386" s="1"/>
  <c r="BI41" i="386"/>
  <c r="BH41" i="386"/>
  <c r="BG41" i="386"/>
  <c r="BF41" i="386"/>
  <c r="BE41" i="386"/>
  <c r="BD41" i="386"/>
  <c r="BC41" i="386"/>
  <c r="BB41" i="386"/>
  <c r="BA41" i="386"/>
  <c r="AZ41" i="386"/>
  <c r="AY41" i="386"/>
  <c r="AW41" i="386"/>
  <c r="AV41" i="386"/>
  <c r="AU41" i="386"/>
  <c r="AT41" i="386"/>
  <c r="AS41" i="386"/>
  <c r="AR41" i="386"/>
  <c r="AQ41" i="386"/>
  <c r="AP41" i="386"/>
  <c r="BN40" i="386"/>
  <c r="BL40" i="386"/>
  <c r="BK40" i="386"/>
  <c r="BJ40" i="386"/>
  <c r="BM40" i="386" s="1"/>
  <c r="BI40" i="386"/>
  <c r="BH40" i="386"/>
  <c r="BG40" i="386"/>
  <c r="BF40" i="386"/>
  <c r="BE40" i="386"/>
  <c r="BD40" i="386"/>
  <c r="BC40" i="386"/>
  <c r="BB40" i="386"/>
  <c r="BA40" i="386"/>
  <c r="AZ40" i="386"/>
  <c r="AW40" i="386"/>
  <c r="AV40" i="386"/>
  <c r="AU40" i="386"/>
  <c r="AT40" i="386"/>
  <c r="AS40" i="386"/>
  <c r="AR40" i="386"/>
  <c r="AQ40" i="386"/>
  <c r="AP40" i="386"/>
  <c r="BN39" i="386"/>
  <c r="BL39" i="386"/>
  <c r="BK39" i="386"/>
  <c r="BJ39" i="386"/>
  <c r="BM39" i="386" s="1"/>
  <c r="BI39" i="386"/>
  <c r="BH39" i="386"/>
  <c r="BG39" i="386"/>
  <c r="BF39" i="386"/>
  <c r="BE39" i="386"/>
  <c r="BD39" i="386"/>
  <c r="BC39" i="386"/>
  <c r="BB39" i="386"/>
  <c r="BA39" i="386"/>
  <c r="AZ39" i="386"/>
  <c r="AW39" i="386"/>
  <c r="AV39" i="386"/>
  <c r="AU39" i="386"/>
  <c r="AT39" i="386"/>
  <c r="AS39" i="386"/>
  <c r="AR39" i="386"/>
  <c r="AQ39" i="386"/>
  <c r="AP39" i="386"/>
  <c r="BN38" i="386"/>
  <c r="BL38" i="386"/>
  <c r="BK38" i="386"/>
  <c r="BJ38" i="386"/>
  <c r="BM38" i="386" s="1"/>
  <c r="BI38" i="386"/>
  <c r="BH38" i="386"/>
  <c r="BG38" i="386"/>
  <c r="BF38" i="386"/>
  <c r="BE38" i="386"/>
  <c r="BD38" i="386"/>
  <c r="BC38" i="386"/>
  <c r="BB38" i="386"/>
  <c r="BA38" i="386"/>
  <c r="AZ38" i="386"/>
  <c r="AW38" i="386"/>
  <c r="AV38" i="386"/>
  <c r="AU38" i="386"/>
  <c r="AT38" i="386"/>
  <c r="AS38" i="386"/>
  <c r="AR38" i="386"/>
  <c r="AQ38" i="386"/>
  <c r="AP38" i="386"/>
  <c r="BN37" i="386"/>
  <c r="BL37" i="386"/>
  <c r="BK37" i="386"/>
  <c r="BJ37" i="386"/>
  <c r="BM37" i="386" s="1"/>
  <c r="BI37" i="386"/>
  <c r="BH37" i="386"/>
  <c r="BG37" i="386"/>
  <c r="BF37" i="386"/>
  <c r="BE37" i="386"/>
  <c r="BD37" i="386"/>
  <c r="BC37" i="386"/>
  <c r="BB37" i="386"/>
  <c r="BA37" i="386"/>
  <c r="AZ37" i="386"/>
  <c r="AW37" i="386"/>
  <c r="AV37" i="386"/>
  <c r="AU37" i="386"/>
  <c r="AT37" i="386"/>
  <c r="AS37" i="386"/>
  <c r="AR37" i="386"/>
  <c r="AQ37" i="386"/>
  <c r="AP37" i="386"/>
  <c r="BN36" i="386"/>
  <c r="BL36" i="386"/>
  <c r="BK36" i="386"/>
  <c r="BJ36" i="386"/>
  <c r="BM36" i="386" s="1"/>
  <c r="BI36" i="386"/>
  <c r="BH36" i="386"/>
  <c r="BG36" i="386"/>
  <c r="BF36" i="386"/>
  <c r="BE36" i="386"/>
  <c r="BD36" i="386"/>
  <c r="BC36" i="386"/>
  <c r="BB36" i="386"/>
  <c r="BA36" i="386"/>
  <c r="AZ36" i="386"/>
  <c r="AW36" i="386"/>
  <c r="AV36" i="386"/>
  <c r="AU36" i="386"/>
  <c r="AT36" i="386"/>
  <c r="AS36" i="386"/>
  <c r="AR36" i="386"/>
  <c r="AQ36" i="386"/>
  <c r="AP36" i="386"/>
  <c r="BN35" i="386"/>
  <c r="BM35" i="386"/>
  <c r="BJ35" i="386"/>
  <c r="BI35" i="386"/>
  <c r="BH35" i="386"/>
  <c r="BG35" i="386"/>
  <c r="BF35" i="386"/>
  <c r="BE35" i="386"/>
  <c r="BD35" i="386"/>
  <c r="BC35" i="386"/>
  <c r="BB35" i="386"/>
  <c r="BA35" i="386"/>
  <c r="AZ35" i="386"/>
  <c r="AY35" i="386"/>
  <c r="BL35" i="386" s="1"/>
  <c r="AX35" i="386"/>
  <c r="BK35" i="386" s="1"/>
  <c r="AW35" i="386"/>
  <c r="AV35" i="386"/>
  <c r="AU35" i="386"/>
  <c r="AT35" i="386"/>
  <c r="AS35" i="386"/>
  <c r="AR35" i="386"/>
  <c r="AQ35" i="386"/>
  <c r="AP35" i="386"/>
  <c r="BN34" i="386"/>
  <c r="BL34" i="386"/>
  <c r="BK34" i="386"/>
  <c r="BJ34" i="386"/>
  <c r="BM34" i="386" s="1"/>
  <c r="BI34" i="386"/>
  <c r="BH34" i="386"/>
  <c r="BG34" i="386"/>
  <c r="BF34" i="386"/>
  <c r="BE34" i="386"/>
  <c r="BD34" i="386"/>
  <c r="BC34" i="386"/>
  <c r="BB34" i="386"/>
  <c r="BA34" i="386"/>
  <c r="AZ34" i="386"/>
  <c r="AW34" i="386"/>
  <c r="AV34" i="386"/>
  <c r="AU34" i="386"/>
  <c r="AT34" i="386"/>
  <c r="AS34" i="386"/>
  <c r="AR34" i="386"/>
  <c r="AQ34" i="386"/>
  <c r="AP34" i="386"/>
  <c r="BN33" i="386"/>
  <c r="BM33" i="386"/>
  <c r="BK33" i="386"/>
  <c r="BJ33" i="386"/>
  <c r="BI33" i="386"/>
  <c r="BH33" i="386"/>
  <c r="BG33" i="386"/>
  <c r="BF33" i="386"/>
  <c r="BE33" i="386"/>
  <c r="BD33" i="386"/>
  <c r="BC33" i="386"/>
  <c r="BB33" i="386"/>
  <c r="BA33" i="386"/>
  <c r="AZ33" i="386"/>
  <c r="AY33" i="386"/>
  <c r="BL33" i="386" s="1"/>
  <c r="AW33" i="386"/>
  <c r="AV33" i="386"/>
  <c r="AU33" i="386"/>
  <c r="AT33" i="386"/>
  <c r="AS33" i="386"/>
  <c r="AR33" i="386"/>
  <c r="AQ33" i="386"/>
  <c r="AP33" i="386"/>
  <c r="BN32" i="386"/>
  <c r="BM32" i="386"/>
  <c r="BL32" i="386"/>
  <c r="BK32" i="386"/>
  <c r="BJ32" i="386"/>
  <c r="BI32" i="386"/>
  <c r="BH32" i="386"/>
  <c r="BG32" i="386"/>
  <c r="BF32" i="386"/>
  <c r="BE32" i="386"/>
  <c r="BD32" i="386"/>
  <c r="BC32" i="386"/>
  <c r="BB32" i="386"/>
  <c r="BA32" i="386"/>
  <c r="AZ32" i="386"/>
  <c r="AW32" i="386"/>
  <c r="AV32" i="386"/>
  <c r="AU32" i="386"/>
  <c r="AT32" i="386"/>
  <c r="AS32" i="386"/>
  <c r="AR32" i="386"/>
  <c r="AQ32" i="386"/>
  <c r="AP32" i="386"/>
  <c r="BN31" i="386"/>
  <c r="BM31" i="386"/>
  <c r="BL31" i="386"/>
  <c r="BK31" i="386"/>
  <c r="BJ31" i="386"/>
  <c r="BI31" i="386"/>
  <c r="BH31" i="386"/>
  <c r="BG31" i="386"/>
  <c r="BF31" i="386"/>
  <c r="BE31" i="386"/>
  <c r="BD31" i="386"/>
  <c r="BC31" i="386"/>
  <c r="BB31" i="386"/>
  <c r="BA31" i="386"/>
  <c r="AZ31" i="386"/>
  <c r="AY31" i="386"/>
  <c r="AW31" i="386"/>
  <c r="AV31" i="386"/>
  <c r="AU31" i="386"/>
  <c r="AT31" i="386"/>
  <c r="AS31" i="386"/>
  <c r="AR31" i="386"/>
  <c r="AQ31" i="386"/>
  <c r="AP31" i="386"/>
  <c r="BN30" i="386"/>
  <c r="BM30" i="386"/>
  <c r="BL30" i="386"/>
  <c r="BK30" i="386"/>
  <c r="BJ30" i="386"/>
  <c r="BI30" i="386"/>
  <c r="BH30" i="386"/>
  <c r="BG30" i="386"/>
  <c r="BF30" i="386"/>
  <c r="BE30" i="386"/>
  <c r="BD30" i="386"/>
  <c r="BC30" i="386"/>
  <c r="BB30" i="386"/>
  <c r="BA30" i="386"/>
  <c r="AZ30" i="386"/>
  <c r="AY30" i="386"/>
  <c r="AW30" i="386"/>
  <c r="AV30" i="386"/>
  <c r="AU30" i="386"/>
  <c r="AT30" i="386"/>
  <c r="AS30" i="386"/>
  <c r="AR30" i="386"/>
  <c r="AQ30" i="386"/>
  <c r="AP30" i="386"/>
  <c r="BN29" i="386"/>
  <c r="BM29" i="386"/>
  <c r="BL29" i="386"/>
  <c r="BK29" i="386"/>
  <c r="BJ29" i="386"/>
  <c r="BI29" i="386"/>
  <c r="BH29" i="386"/>
  <c r="BG29" i="386"/>
  <c r="BF29" i="386"/>
  <c r="BE29" i="386"/>
  <c r="BD29" i="386"/>
  <c r="BC29" i="386"/>
  <c r="BB29" i="386"/>
  <c r="BA29" i="386"/>
  <c r="AZ29" i="386"/>
  <c r="AW29" i="386"/>
  <c r="AV29" i="386"/>
  <c r="AU29" i="386"/>
  <c r="AT29" i="386"/>
  <c r="AS29" i="386"/>
  <c r="AR29" i="386"/>
  <c r="AQ29" i="386"/>
  <c r="AP29" i="386"/>
  <c r="BN28" i="386"/>
  <c r="BL28" i="386"/>
  <c r="BK28" i="386"/>
  <c r="BJ28" i="386"/>
  <c r="BM28" i="386" s="1"/>
  <c r="BI28" i="386"/>
  <c r="BH28" i="386"/>
  <c r="BG28" i="386"/>
  <c r="BF28" i="386"/>
  <c r="BE28" i="386"/>
  <c r="BD28" i="386"/>
  <c r="BC28" i="386"/>
  <c r="BB28" i="386"/>
  <c r="BA28" i="386"/>
  <c r="AZ28" i="386"/>
  <c r="AW28" i="386"/>
  <c r="AV28" i="386"/>
  <c r="AU28" i="386"/>
  <c r="AT28" i="386"/>
  <c r="AS28" i="386"/>
  <c r="AR28" i="386"/>
  <c r="AQ28" i="386"/>
  <c r="AP28" i="386"/>
  <c r="BN27" i="386"/>
  <c r="BL27" i="386"/>
  <c r="BK27" i="386"/>
  <c r="BJ27" i="386"/>
  <c r="BM27" i="386" s="1"/>
  <c r="BI27" i="386"/>
  <c r="BH27" i="386"/>
  <c r="BG27" i="386"/>
  <c r="BF27" i="386"/>
  <c r="BE27" i="386"/>
  <c r="BD27" i="386"/>
  <c r="BC27" i="386"/>
  <c r="BB27" i="386"/>
  <c r="BA27" i="386"/>
  <c r="AZ27" i="386"/>
  <c r="AW27" i="386"/>
  <c r="AV27" i="386"/>
  <c r="AU27" i="386"/>
  <c r="AT27" i="386"/>
  <c r="AS27" i="386"/>
  <c r="AR27" i="386"/>
  <c r="AQ27" i="386"/>
  <c r="AP27" i="386"/>
  <c r="AO26" i="386"/>
  <c r="AN26" i="386"/>
  <c r="AM26" i="386"/>
  <c r="AL26" i="386"/>
  <c r="AK26" i="386"/>
  <c r="AJ26" i="386"/>
  <c r="AI26" i="386"/>
  <c r="AH26" i="386"/>
  <c r="AG26" i="386"/>
  <c r="AF26" i="386"/>
  <c r="AE26" i="386"/>
  <c r="AD26" i="386"/>
  <c r="AC26" i="386"/>
  <c r="AB26" i="386"/>
  <c r="AA26" i="386"/>
  <c r="Z26" i="386"/>
  <c r="Y26" i="386"/>
  <c r="X26" i="386"/>
  <c r="W26" i="386"/>
  <c r="V26" i="386"/>
  <c r="U26" i="386"/>
  <c r="T26" i="386"/>
  <c r="S26" i="386"/>
  <c r="R26" i="386"/>
  <c r="Q26" i="386"/>
  <c r="P26" i="386"/>
  <c r="O26" i="386"/>
  <c r="N26" i="386"/>
  <c r="M26" i="386"/>
  <c r="L26" i="386"/>
  <c r="BN25" i="386"/>
  <c r="BK25" i="386"/>
  <c r="BJ25" i="386"/>
  <c r="BM25" i="386" s="1"/>
  <c r="BI25" i="386"/>
  <c r="BH25" i="386"/>
  <c r="BG25" i="386"/>
  <c r="BF25" i="386"/>
  <c r="BE25" i="386"/>
  <c r="BD25" i="386"/>
  <c r="BC25" i="386"/>
  <c r="BB25" i="386"/>
  <c r="BA25" i="386"/>
  <c r="AZ25" i="386"/>
  <c r="AY25" i="386"/>
  <c r="BL25" i="386" s="1"/>
  <c r="AW25" i="386"/>
  <c r="AV25" i="386"/>
  <c r="AU25" i="386"/>
  <c r="AT25" i="386"/>
  <c r="AS25" i="386"/>
  <c r="AR25" i="386"/>
  <c r="AQ25" i="386"/>
  <c r="AP25" i="386"/>
  <c r="BN24" i="386"/>
  <c r="BK24" i="386"/>
  <c r="BJ24" i="386"/>
  <c r="BM24" i="386" s="1"/>
  <c r="BI24" i="386"/>
  <c r="BH24" i="386"/>
  <c r="BG24" i="386"/>
  <c r="BF24" i="386"/>
  <c r="BE24" i="386"/>
  <c r="BD24" i="386"/>
  <c r="BC24" i="386"/>
  <c r="BB24" i="386"/>
  <c r="BA24" i="386"/>
  <c r="AZ24" i="386"/>
  <c r="AY24" i="386"/>
  <c r="BL24" i="386" s="1"/>
  <c r="AW24" i="386"/>
  <c r="AV24" i="386"/>
  <c r="AU24" i="386"/>
  <c r="AT24" i="386"/>
  <c r="AS24" i="386"/>
  <c r="AR24" i="386"/>
  <c r="AQ24" i="386"/>
  <c r="AP24" i="386"/>
  <c r="BN23" i="386"/>
  <c r="BK23" i="386"/>
  <c r="BJ23" i="386"/>
  <c r="BM23" i="386" s="1"/>
  <c r="BI23" i="386"/>
  <c r="BH23" i="386"/>
  <c r="BG23" i="386"/>
  <c r="BF23" i="386"/>
  <c r="BE23" i="386"/>
  <c r="BD23" i="386"/>
  <c r="BC23" i="386"/>
  <c r="BB23" i="386"/>
  <c r="BA23" i="386"/>
  <c r="AZ23" i="386"/>
  <c r="AY23" i="386"/>
  <c r="BL23" i="386" s="1"/>
  <c r="AW23" i="386"/>
  <c r="AV23" i="386"/>
  <c r="AU23" i="386"/>
  <c r="AT23" i="386"/>
  <c r="AS23" i="386"/>
  <c r="AR23" i="386"/>
  <c r="AQ23" i="386"/>
  <c r="AP23" i="386"/>
  <c r="BN22" i="386"/>
  <c r="BL22" i="386"/>
  <c r="BK22" i="386"/>
  <c r="BJ22" i="386"/>
  <c r="BM22" i="386" s="1"/>
  <c r="BI22" i="386"/>
  <c r="BH22" i="386"/>
  <c r="BG22" i="386"/>
  <c r="BF22" i="386"/>
  <c r="BE22" i="386"/>
  <c r="BD22" i="386"/>
  <c r="BC22" i="386"/>
  <c r="BB22" i="386"/>
  <c r="BA22" i="386"/>
  <c r="AZ22" i="386"/>
  <c r="AW22" i="386"/>
  <c r="AV22" i="386"/>
  <c r="AU22" i="386"/>
  <c r="AT22" i="386"/>
  <c r="AS22" i="386"/>
  <c r="AR22" i="386"/>
  <c r="AQ22" i="386"/>
  <c r="AP22" i="386"/>
  <c r="BN21" i="386"/>
  <c r="BK21" i="386"/>
  <c r="BJ21" i="386"/>
  <c r="BM21" i="386" s="1"/>
  <c r="BI21" i="386"/>
  <c r="BH21" i="386"/>
  <c r="BG21" i="386"/>
  <c r="BF21" i="386"/>
  <c r="BE21" i="386"/>
  <c r="BD21" i="386"/>
  <c r="BC21" i="386"/>
  <c r="BB21" i="386"/>
  <c r="BA21" i="386"/>
  <c r="AZ21" i="386"/>
  <c r="AY21" i="386"/>
  <c r="BL21" i="386" s="1"/>
  <c r="AW21" i="386"/>
  <c r="AV21" i="386"/>
  <c r="AU21" i="386"/>
  <c r="AT21" i="386"/>
  <c r="AS21" i="386"/>
  <c r="AR21" i="386"/>
  <c r="AQ21" i="386"/>
  <c r="AP21" i="386"/>
  <c r="BN20" i="386"/>
  <c r="BK20" i="386"/>
  <c r="BJ20" i="386"/>
  <c r="BM20" i="386" s="1"/>
  <c r="BI20" i="386"/>
  <c r="BH20" i="386"/>
  <c r="BG20" i="386"/>
  <c r="BF20" i="386"/>
  <c r="BE20" i="386"/>
  <c r="BD20" i="386"/>
  <c r="BC20" i="386"/>
  <c r="BB20" i="386"/>
  <c r="BA20" i="386"/>
  <c r="AZ20" i="386"/>
  <c r="AY20" i="386"/>
  <c r="BL20" i="386" s="1"/>
  <c r="AW20" i="386"/>
  <c r="AV20" i="386"/>
  <c r="AU20" i="386"/>
  <c r="AT20" i="386"/>
  <c r="AS20" i="386"/>
  <c r="AR20" i="386"/>
  <c r="AQ20" i="386"/>
  <c r="AP20" i="386"/>
  <c r="BN19" i="386"/>
  <c r="BK19" i="386"/>
  <c r="BJ19" i="386"/>
  <c r="BM19" i="386" s="1"/>
  <c r="BI19" i="386"/>
  <c r="BH19" i="386"/>
  <c r="BG19" i="386"/>
  <c r="BF19" i="386"/>
  <c r="BE19" i="386"/>
  <c r="BD19" i="386"/>
  <c r="BC19" i="386"/>
  <c r="BB19" i="386"/>
  <c r="BA19" i="386"/>
  <c r="AZ19" i="386"/>
  <c r="AY19" i="386"/>
  <c r="BL19" i="386" s="1"/>
  <c r="AW19" i="386"/>
  <c r="AV19" i="386"/>
  <c r="AU19" i="386"/>
  <c r="AT19" i="386"/>
  <c r="AS19" i="386"/>
  <c r="AR19" i="386"/>
  <c r="AQ19" i="386"/>
  <c r="AP19" i="386"/>
  <c r="BN18" i="386"/>
  <c r="BK18" i="386"/>
  <c r="BJ18" i="386"/>
  <c r="BM18" i="386" s="1"/>
  <c r="BI18" i="386"/>
  <c r="BH18" i="386"/>
  <c r="BG18" i="386"/>
  <c r="BF18" i="386"/>
  <c r="BE18" i="386"/>
  <c r="BD18" i="386"/>
  <c r="BC18" i="386"/>
  <c r="BB18" i="386"/>
  <c r="BA18" i="386"/>
  <c r="AZ18" i="386"/>
  <c r="AY18" i="386"/>
  <c r="BL18" i="386" s="1"/>
  <c r="AW18" i="386"/>
  <c r="AV18" i="386"/>
  <c r="AU18" i="386"/>
  <c r="AT18" i="386"/>
  <c r="AS18" i="386"/>
  <c r="AR18" i="386"/>
  <c r="AQ18" i="386"/>
  <c r="AP18" i="386"/>
  <c r="BN17" i="386"/>
  <c r="BK17" i="386"/>
  <c r="BJ17" i="386"/>
  <c r="BM17" i="386" s="1"/>
  <c r="BM4" i="386" s="1"/>
  <c r="BI17" i="386"/>
  <c r="BH17" i="386"/>
  <c r="BG17" i="386"/>
  <c r="BG4" i="386" s="1"/>
  <c r="BF17" i="386"/>
  <c r="BE17" i="386"/>
  <c r="BD17" i="386"/>
  <c r="BC17" i="386"/>
  <c r="BB17" i="386"/>
  <c r="BA17" i="386"/>
  <c r="AZ17" i="386"/>
  <c r="AY17" i="386"/>
  <c r="BL17" i="386" s="1"/>
  <c r="BL4" i="386" s="1"/>
  <c r="AW17" i="386"/>
  <c r="AV17" i="386"/>
  <c r="AU17" i="386"/>
  <c r="AT17" i="386"/>
  <c r="AS17" i="386"/>
  <c r="AR17" i="386"/>
  <c r="AQ17" i="386"/>
  <c r="AP17" i="386"/>
  <c r="BN16" i="386"/>
  <c r="BK16" i="386"/>
  <c r="BJ16" i="386"/>
  <c r="BM16" i="386" s="1"/>
  <c r="BI16" i="386"/>
  <c r="BH16" i="386"/>
  <c r="BG16" i="386"/>
  <c r="BF16" i="386"/>
  <c r="BE16" i="386"/>
  <c r="BD16" i="386"/>
  <c r="BC16" i="386"/>
  <c r="BB16" i="386"/>
  <c r="BA16" i="386"/>
  <c r="AZ16" i="386"/>
  <c r="AY16" i="386"/>
  <c r="BL16" i="386" s="1"/>
  <c r="AW16" i="386"/>
  <c r="AV16" i="386"/>
  <c r="AU16" i="386"/>
  <c r="AT16" i="386"/>
  <c r="AS16" i="386"/>
  <c r="AR16" i="386"/>
  <c r="AQ16" i="386"/>
  <c r="AP16" i="386"/>
  <c r="AO15" i="386"/>
  <c r="AN15" i="386"/>
  <c r="AM15" i="386"/>
  <c r="AL15" i="386"/>
  <c r="AK15" i="386"/>
  <c r="AJ15" i="386"/>
  <c r="AI15" i="386"/>
  <c r="AH15" i="386"/>
  <c r="AG15" i="386"/>
  <c r="AF15" i="386"/>
  <c r="AE15" i="386"/>
  <c r="AD15" i="386"/>
  <c r="AC15" i="386"/>
  <c r="AB15" i="386"/>
  <c r="AA15" i="386"/>
  <c r="Z15" i="386"/>
  <c r="Y15" i="386"/>
  <c r="X15" i="386"/>
  <c r="W15" i="386"/>
  <c r="V15" i="386"/>
  <c r="U15" i="386"/>
  <c r="T15" i="386"/>
  <c r="S15" i="386"/>
  <c r="R15" i="386"/>
  <c r="Q15" i="386"/>
  <c r="P15" i="386"/>
  <c r="O15" i="386"/>
  <c r="N15" i="386"/>
  <c r="M15" i="386"/>
  <c r="L15" i="386"/>
  <c r="BN14" i="386"/>
  <c r="BM14" i="386"/>
  <c r="BL14" i="386"/>
  <c r="BK14" i="386"/>
  <c r="BJ14" i="386"/>
  <c r="BI14" i="386"/>
  <c r="BH14" i="386"/>
  <c r="BG14" i="386"/>
  <c r="BF14" i="386"/>
  <c r="BE14" i="386"/>
  <c r="BD14" i="386"/>
  <c r="BC14" i="386"/>
  <c r="BB14" i="386"/>
  <c r="BA14" i="386"/>
  <c r="AZ14" i="386"/>
  <c r="AW14" i="386"/>
  <c r="AV14" i="386"/>
  <c r="AU14" i="386"/>
  <c r="AT14" i="386"/>
  <c r="AS14" i="386"/>
  <c r="AR14" i="386"/>
  <c r="AQ14" i="386"/>
  <c r="AP14" i="386"/>
  <c r="BN13" i="386"/>
  <c r="BL13" i="386"/>
  <c r="BK13" i="386"/>
  <c r="BJ13" i="386"/>
  <c r="BM13" i="386" s="1"/>
  <c r="BI13" i="386"/>
  <c r="BH13" i="386"/>
  <c r="BG13" i="386"/>
  <c r="BF13" i="386"/>
  <c r="BE13" i="386"/>
  <c r="BD13" i="386"/>
  <c r="BC13" i="386"/>
  <c r="BB13" i="386"/>
  <c r="BA13" i="386"/>
  <c r="AZ13" i="386"/>
  <c r="AW13" i="386"/>
  <c r="AV13" i="386"/>
  <c r="AU13" i="386"/>
  <c r="AT13" i="386"/>
  <c r="AS13" i="386"/>
  <c r="AR13" i="386"/>
  <c r="AQ13" i="386"/>
  <c r="AP13" i="386"/>
  <c r="BN12" i="386"/>
  <c r="BK12" i="386"/>
  <c r="BJ12" i="386"/>
  <c r="BM12" i="386" s="1"/>
  <c r="BI12" i="386"/>
  <c r="BH12" i="386"/>
  <c r="BG12" i="386"/>
  <c r="BF12" i="386"/>
  <c r="BE12" i="386"/>
  <c r="BD12" i="386"/>
  <c r="BC12" i="386"/>
  <c r="BB12" i="386"/>
  <c r="BA12" i="386"/>
  <c r="AZ12" i="386"/>
  <c r="AY12" i="386"/>
  <c r="BL12" i="386" s="1"/>
  <c r="AW12" i="386"/>
  <c r="AV12" i="386"/>
  <c r="AU12" i="386"/>
  <c r="AT12" i="386"/>
  <c r="AS12" i="386"/>
  <c r="AR12" i="386"/>
  <c r="AQ12" i="386"/>
  <c r="AP12" i="386"/>
  <c r="BN11" i="386"/>
  <c r="BK11" i="386"/>
  <c r="BJ11" i="386"/>
  <c r="BM11" i="386" s="1"/>
  <c r="BI11" i="386"/>
  <c r="BH11" i="386"/>
  <c r="BG11" i="386"/>
  <c r="BF11" i="386"/>
  <c r="BE11" i="386"/>
  <c r="BD11" i="386"/>
  <c r="BC11" i="386"/>
  <c r="BB11" i="386"/>
  <c r="BA11" i="386"/>
  <c r="AZ11" i="386"/>
  <c r="AY11" i="386"/>
  <c r="BL11" i="386" s="1"/>
  <c r="AX11" i="386"/>
  <c r="AW11" i="386"/>
  <c r="AV11" i="386"/>
  <c r="AU11" i="386"/>
  <c r="AT11" i="386"/>
  <c r="AS11" i="386"/>
  <c r="AR11" i="386"/>
  <c r="AQ11" i="386"/>
  <c r="AP11" i="386"/>
  <c r="BN10" i="386"/>
  <c r="BL10" i="386"/>
  <c r="BK10" i="386"/>
  <c r="BJ10" i="386"/>
  <c r="BM10" i="386" s="1"/>
  <c r="BI10" i="386"/>
  <c r="BH10" i="386"/>
  <c r="BG10" i="386"/>
  <c r="BF10" i="386"/>
  <c r="BE10" i="386"/>
  <c r="BD10" i="386"/>
  <c r="BC10" i="386"/>
  <c r="BB10" i="386"/>
  <c r="BA10" i="386"/>
  <c r="AZ10" i="386"/>
  <c r="AW10" i="386"/>
  <c r="AV10" i="386"/>
  <c r="AU10" i="386"/>
  <c r="AT10" i="386"/>
  <c r="AS10" i="386"/>
  <c r="AR10" i="386"/>
  <c r="AQ10" i="386"/>
  <c r="AP10" i="386"/>
  <c r="CC4" i="386"/>
  <c r="CB4" i="386"/>
  <c r="CA4" i="386"/>
  <c r="BZ4" i="386"/>
  <c r="BY4" i="386"/>
  <c r="BX4" i="386"/>
  <c r="BW4" i="386"/>
  <c r="BV4" i="386"/>
  <c r="BU4" i="386"/>
  <c r="BT4" i="386"/>
  <c r="BS4" i="386"/>
  <c r="BR4" i="386"/>
  <c r="BQ4" i="386"/>
  <c r="BP4" i="386"/>
  <c r="BO4" i="386"/>
  <c r="BN4" i="386"/>
  <c r="BK4" i="386"/>
  <c r="BJ4" i="386"/>
  <c r="BI4" i="386"/>
  <c r="BH4" i="386"/>
  <c r="BF4" i="386"/>
  <c r="BE4" i="386"/>
  <c r="BD4" i="386"/>
  <c r="BC4" i="386"/>
  <c r="BB4" i="386"/>
  <c r="BA4" i="386"/>
  <c r="AZ4" i="386"/>
  <c r="AX4" i="386"/>
  <c r="AW4" i="386"/>
  <c r="AU4" i="386"/>
  <c r="AT4" i="386"/>
  <c r="AS4" i="386"/>
  <c r="AR4" i="386"/>
  <c r="AQ4" i="386"/>
  <c r="AO334" i="385"/>
  <c r="AN334" i="385"/>
  <c r="AM334" i="385"/>
  <c r="AL334" i="385"/>
  <c r="AK334" i="385"/>
  <c r="AJ334" i="385"/>
  <c r="AI334" i="385"/>
  <c r="AH334" i="385"/>
  <c r="AG334" i="385"/>
  <c r="AF334" i="385"/>
  <c r="AE334" i="385"/>
  <c r="AD334" i="385"/>
  <c r="AC334" i="385"/>
  <c r="AB334" i="385"/>
  <c r="AA334" i="385"/>
  <c r="Z334" i="385"/>
  <c r="Y334" i="385"/>
  <c r="X334" i="385"/>
  <c r="W334" i="385"/>
  <c r="V334" i="385"/>
  <c r="U334" i="385"/>
  <c r="T334" i="385"/>
  <c r="S334" i="385"/>
  <c r="R334" i="385"/>
  <c r="Q334" i="385"/>
  <c r="P334" i="385"/>
  <c r="O334" i="385"/>
  <c r="N334" i="385"/>
  <c r="M334" i="385"/>
  <c r="L334" i="385"/>
  <c r="AO332" i="385"/>
  <c r="AN332" i="385"/>
  <c r="AM332" i="385"/>
  <c r="AL332" i="385"/>
  <c r="AK332" i="385"/>
  <c r="AJ332" i="385"/>
  <c r="AI332" i="385"/>
  <c r="AH332" i="385"/>
  <c r="AG332" i="385"/>
  <c r="AF332" i="385"/>
  <c r="AE332" i="385"/>
  <c r="AD332" i="385"/>
  <c r="AC332" i="385"/>
  <c r="AB332" i="385"/>
  <c r="AA332" i="385"/>
  <c r="Z332" i="385"/>
  <c r="Y332" i="385"/>
  <c r="X332" i="385"/>
  <c r="W332" i="385"/>
  <c r="V332" i="385"/>
  <c r="U332" i="385"/>
  <c r="T332" i="385"/>
  <c r="S332" i="385"/>
  <c r="R332" i="385"/>
  <c r="Q332" i="385"/>
  <c r="P332" i="385"/>
  <c r="O332" i="385"/>
  <c r="N332" i="385"/>
  <c r="M332" i="385"/>
  <c r="L332" i="385"/>
  <c r="BN331" i="385"/>
  <c r="BK331" i="385"/>
  <c r="BJ331" i="385"/>
  <c r="BM331" i="385" s="1"/>
  <c r="BI331" i="385"/>
  <c r="BH331" i="385"/>
  <c r="BG331" i="385"/>
  <c r="BF331" i="385"/>
  <c r="BE331" i="385"/>
  <c r="BD331" i="385"/>
  <c r="BC331" i="385"/>
  <c r="BB331" i="385"/>
  <c r="BA331" i="385"/>
  <c r="AZ331" i="385"/>
  <c r="AY331" i="385"/>
  <c r="BL331" i="385" s="1"/>
  <c r="AW331" i="385"/>
  <c r="AV331" i="385"/>
  <c r="AU331" i="385"/>
  <c r="AT331" i="385"/>
  <c r="AS331" i="385"/>
  <c r="AR331" i="385"/>
  <c r="AQ331" i="385"/>
  <c r="AP331" i="385"/>
  <c r="BN330" i="385"/>
  <c r="BM330" i="385"/>
  <c r="BK330" i="385"/>
  <c r="BJ330" i="385"/>
  <c r="BI330" i="385"/>
  <c r="BH330" i="385"/>
  <c r="BG330" i="385"/>
  <c r="BF330" i="385"/>
  <c r="BE330" i="385"/>
  <c r="BD330" i="385"/>
  <c r="BC330" i="385"/>
  <c r="BB330" i="385"/>
  <c r="BA330" i="385"/>
  <c r="AZ330" i="385"/>
  <c r="AY330" i="385"/>
  <c r="BL330" i="385" s="1"/>
  <c r="AX330" i="385"/>
  <c r="AW330" i="385"/>
  <c r="AV330" i="385"/>
  <c r="AU330" i="385"/>
  <c r="AT330" i="385"/>
  <c r="AS330" i="385"/>
  <c r="AR330" i="385"/>
  <c r="AQ330" i="385"/>
  <c r="AP330" i="385"/>
  <c r="BN329" i="385"/>
  <c r="BL329" i="385"/>
  <c r="BJ329" i="385"/>
  <c r="BM329" i="385" s="1"/>
  <c r="BI329" i="385"/>
  <c r="BH329" i="385"/>
  <c r="BG329" i="385"/>
  <c r="BF329" i="385"/>
  <c r="BE329" i="385"/>
  <c r="BD329" i="385"/>
  <c r="BC329" i="385"/>
  <c r="BB329" i="385"/>
  <c r="BA329" i="385"/>
  <c r="AZ329" i="385"/>
  <c r="AX329" i="385"/>
  <c r="BK329" i="385" s="1"/>
  <c r="AW329" i="385"/>
  <c r="AV329" i="385"/>
  <c r="AU329" i="385"/>
  <c r="AT329" i="385"/>
  <c r="AS329" i="385"/>
  <c r="AR329" i="385"/>
  <c r="AQ329" i="385"/>
  <c r="AP329" i="385"/>
  <c r="BN328" i="385"/>
  <c r="BL328" i="385"/>
  <c r="BK328" i="385"/>
  <c r="BJ328" i="385"/>
  <c r="BM328" i="385" s="1"/>
  <c r="BI328" i="385"/>
  <c r="BH328" i="385"/>
  <c r="BG328" i="385"/>
  <c r="BF328" i="385"/>
  <c r="BE328" i="385"/>
  <c r="BD328" i="385"/>
  <c r="BC328" i="385"/>
  <c r="BB328" i="385"/>
  <c r="BA328" i="385"/>
  <c r="AZ328" i="385"/>
  <c r="AY328" i="385"/>
  <c r="AW328" i="385"/>
  <c r="AV328" i="385"/>
  <c r="AU328" i="385"/>
  <c r="AT328" i="385"/>
  <c r="AS328" i="385"/>
  <c r="AR328" i="385"/>
  <c r="AQ328" i="385"/>
  <c r="AP328" i="385"/>
  <c r="BN327" i="385"/>
  <c r="BL327" i="385"/>
  <c r="BK327" i="385"/>
  <c r="BJ327" i="385"/>
  <c r="BM327" i="385" s="1"/>
  <c r="BI327" i="385"/>
  <c r="BH327" i="385"/>
  <c r="BG327" i="385"/>
  <c r="BF327" i="385"/>
  <c r="BE327" i="385"/>
  <c r="BD327" i="385"/>
  <c r="BC327" i="385"/>
  <c r="BB327" i="385"/>
  <c r="BA327" i="385"/>
  <c r="AZ327" i="385"/>
  <c r="AY327" i="385"/>
  <c r="AW327" i="385"/>
  <c r="AV327" i="385"/>
  <c r="AU327" i="385"/>
  <c r="AT327" i="385"/>
  <c r="AS327" i="385"/>
  <c r="AR327" i="385"/>
  <c r="AQ327" i="385"/>
  <c r="AP327" i="385"/>
  <c r="BN326" i="385"/>
  <c r="BL326" i="385"/>
  <c r="BK326" i="385"/>
  <c r="BJ326" i="385"/>
  <c r="BM326" i="385" s="1"/>
  <c r="BI326" i="385"/>
  <c r="BH326" i="385"/>
  <c r="BG326" i="385"/>
  <c r="BF326" i="385"/>
  <c r="BE326" i="385"/>
  <c r="BD326" i="385"/>
  <c r="BC326" i="385"/>
  <c r="BB326" i="385"/>
  <c r="BA326" i="385"/>
  <c r="AZ326" i="385"/>
  <c r="AW326" i="385"/>
  <c r="AV326" i="385"/>
  <c r="AU326" i="385"/>
  <c r="AT326" i="385"/>
  <c r="AS326" i="385"/>
  <c r="AR326" i="385"/>
  <c r="AQ326" i="385"/>
  <c r="AP326" i="385"/>
  <c r="BN325" i="385"/>
  <c r="BK325" i="385"/>
  <c r="BJ325" i="385"/>
  <c r="BM325" i="385" s="1"/>
  <c r="BI325" i="385"/>
  <c r="BH325" i="385"/>
  <c r="BG325" i="385"/>
  <c r="BF325" i="385"/>
  <c r="BE325" i="385"/>
  <c r="BD325" i="385"/>
  <c r="BC325" i="385"/>
  <c r="BB325" i="385"/>
  <c r="BA325" i="385"/>
  <c r="AZ325" i="385"/>
  <c r="AY325" i="385"/>
  <c r="BL325" i="385" s="1"/>
  <c r="AX325" i="385"/>
  <c r="AW325" i="385"/>
  <c r="AV325" i="385"/>
  <c r="AU325" i="385"/>
  <c r="AT325" i="385"/>
  <c r="AS325" i="385"/>
  <c r="AR325" i="385"/>
  <c r="AQ325" i="385"/>
  <c r="AP325" i="385"/>
  <c r="BN324" i="385"/>
  <c r="BL324" i="385"/>
  <c r="BK324" i="385"/>
  <c r="BJ324" i="385"/>
  <c r="BM324" i="385" s="1"/>
  <c r="BI324" i="385"/>
  <c r="BH324" i="385"/>
  <c r="BG324" i="385"/>
  <c r="BF324" i="385"/>
  <c r="BE324" i="385"/>
  <c r="BD324" i="385"/>
  <c r="BC324" i="385"/>
  <c r="BB324" i="385"/>
  <c r="BA324" i="385"/>
  <c r="AZ324" i="385"/>
  <c r="AY324" i="385"/>
  <c r="AW324" i="385"/>
  <c r="AV324" i="385"/>
  <c r="AU324" i="385"/>
  <c r="AT324" i="385"/>
  <c r="AS324" i="385"/>
  <c r="AR324" i="385"/>
  <c r="AQ324" i="385"/>
  <c r="AP324" i="385"/>
  <c r="AO323" i="385"/>
  <c r="AN323" i="385"/>
  <c r="AM323" i="385"/>
  <c r="AL323" i="385"/>
  <c r="AK323" i="385"/>
  <c r="AJ323" i="385"/>
  <c r="AI323" i="385"/>
  <c r="AH323" i="385"/>
  <c r="AG323" i="385"/>
  <c r="AF323" i="385"/>
  <c r="AE323" i="385"/>
  <c r="AD323" i="385"/>
  <c r="AC323" i="385"/>
  <c r="AB323" i="385"/>
  <c r="AA323" i="385"/>
  <c r="Z323" i="385"/>
  <c r="Y323" i="385"/>
  <c r="X323" i="385"/>
  <c r="W323" i="385"/>
  <c r="V323" i="385"/>
  <c r="U323" i="385"/>
  <c r="T323" i="385"/>
  <c r="S323" i="385"/>
  <c r="R323" i="385"/>
  <c r="Q323" i="385"/>
  <c r="P323" i="385"/>
  <c r="O323" i="385"/>
  <c r="N323" i="385"/>
  <c r="M323" i="385"/>
  <c r="L323" i="385"/>
  <c r="BN322" i="385"/>
  <c r="BL322" i="385"/>
  <c r="BJ322" i="385"/>
  <c r="BM322" i="385" s="1"/>
  <c r="BI322" i="385"/>
  <c r="BH322" i="385"/>
  <c r="BG322" i="385"/>
  <c r="BF322" i="385"/>
  <c r="BE322" i="385"/>
  <c r="BD322" i="385"/>
  <c r="BC322" i="385"/>
  <c r="BB322" i="385"/>
  <c r="BA322" i="385"/>
  <c r="AZ322" i="385"/>
  <c r="AY322" i="385"/>
  <c r="AX322" i="385"/>
  <c r="BK322" i="385" s="1"/>
  <c r="AW322" i="385"/>
  <c r="AV322" i="385"/>
  <c r="AU322" i="385"/>
  <c r="AT322" i="385"/>
  <c r="AS322" i="385"/>
  <c r="AR322" i="385"/>
  <c r="AQ322" i="385"/>
  <c r="AP322" i="385"/>
  <c r="BN321" i="385"/>
  <c r="BK321" i="385"/>
  <c r="BJ321" i="385"/>
  <c r="BM321" i="385" s="1"/>
  <c r="BI321" i="385"/>
  <c r="BH321" i="385"/>
  <c r="BG321" i="385"/>
  <c r="BF321" i="385"/>
  <c r="BE321" i="385"/>
  <c r="BD321" i="385"/>
  <c r="BC321" i="385"/>
  <c r="BB321" i="385"/>
  <c r="BA321" i="385"/>
  <c r="AZ321" i="385"/>
  <c r="AY321" i="385"/>
  <c r="BL321" i="385" s="1"/>
  <c r="AX321" i="385"/>
  <c r="AW321" i="385"/>
  <c r="AV321" i="385"/>
  <c r="AU321" i="385"/>
  <c r="AT321" i="385"/>
  <c r="AS321" i="385"/>
  <c r="AR321" i="385"/>
  <c r="AQ321" i="385"/>
  <c r="AP321" i="385"/>
  <c r="AO320" i="385"/>
  <c r="AN320" i="385"/>
  <c r="AM320" i="385"/>
  <c r="AL320" i="385"/>
  <c r="AK320" i="385"/>
  <c r="AJ320" i="385"/>
  <c r="AI320" i="385"/>
  <c r="AH320" i="385"/>
  <c r="AG320" i="385"/>
  <c r="AF320" i="385"/>
  <c r="AE320" i="385"/>
  <c r="AD320" i="385"/>
  <c r="AC320" i="385"/>
  <c r="AB320" i="385"/>
  <c r="AA320" i="385"/>
  <c r="Z320" i="385"/>
  <c r="Y320" i="385"/>
  <c r="X320" i="385"/>
  <c r="W320" i="385"/>
  <c r="V320" i="385"/>
  <c r="U320" i="385"/>
  <c r="T320" i="385"/>
  <c r="S320" i="385"/>
  <c r="R320" i="385"/>
  <c r="Q320" i="385"/>
  <c r="P320" i="385"/>
  <c r="O320" i="385"/>
  <c r="N320" i="385"/>
  <c r="M320" i="385"/>
  <c r="L320" i="385"/>
  <c r="BN319" i="385"/>
  <c r="BL319" i="385"/>
  <c r="BJ319" i="385"/>
  <c r="BM319" i="385" s="1"/>
  <c r="BI319" i="385"/>
  <c r="BH319" i="385"/>
  <c r="BG319" i="385"/>
  <c r="BF319" i="385"/>
  <c r="BE319" i="385"/>
  <c r="BD319" i="385"/>
  <c r="BC319" i="385"/>
  <c r="BB319" i="385"/>
  <c r="BA319" i="385"/>
  <c r="AZ319" i="385"/>
  <c r="AY319" i="385"/>
  <c r="AX319" i="385"/>
  <c r="BK319" i="385" s="1"/>
  <c r="AW319" i="385"/>
  <c r="AV319" i="385"/>
  <c r="AU319" i="385"/>
  <c r="AT319" i="385"/>
  <c r="AS319" i="385"/>
  <c r="AR319" i="385"/>
  <c r="AQ319" i="385"/>
  <c r="AP319" i="385"/>
  <c r="BN318" i="385"/>
  <c r="BL318" i="385"/>
  <c r="BK318" i="385"/>
  <c r="BJ318" i="385"/>
  <c r="BM318" i="385" s="1"/>
  <c r="BI318" i="385"/>
  <c r="BH318" i="385"/>
  <c r="BG318" i="385"/>
  <c r="BF318" i="385"/>
  <c r="BE318" i="385"/>
  <c r="BD318" i="385"/>
  <c r="BC318" i="385"/>
  <c r="BB318" i="385"/>
  <c r="BA318" i="385"/>
  <c r="AZ318" i="385"/>
  <c r="AW318" i="385"/>
  <c r="AV318" i="385"/>
  <c r="AU318" i="385"/>
  <c r="AT318" i="385"/>
  <c r="AS318" i="385"/>
  <c r="AR318" i="385"/>
  <c r="AQ318" i="385"/>
  <c r="AP318" i="385"/>
  <c r="BN317" i="385"/>
  <c r="BL317" i="385"/>
  <c r="BK317" i="385"/>
  <c r="BJ317" i="385"/>
  <c r="BM317" i="385" s="1"/>
  <c r="BI317" i="385"/>
  <c r="BH317" i="385"/>
  <c r="BG317" i="385"/>
  <c r="BF317" i="385"/>
  <c r="BE317" i="385"/>
  <c r="BD317" i="385"/>
  <c r="BC317" i="385"/>
  <c r="BB317" i="385"/>
  <c r="BA317" i="385"/>
  <c r="AZ317" i="385"/>
  <c r="AW317" i="385"/>
  <c r="AV317" i="385"/>
  <c r="AU317" i="385"/>
  <c r="AT317" i="385"/>
  <c r="AS317" i="385"/>
  <c r="AR317" i="385"/>
  <c r="AQ317" i="385"/>
  <c r="AP317" i="385"/>
  <c r="BN316" i="385"/>
  <c r="BM316" i="385"/>
  <c r="BL316" i="385"/>
  <c r="BK316" i="385"/>
  <c r="BJ316" i="385"/>
  <c r="BI316" i="385"/>
  <c r="BH316" i="385"/>
  <c r="BG316" i="385"/>
  <c r="BF316" i="385"/>
  <c r="BE316" i="385"/>
  <c r="BD316" i="385"/>
  <c r="BC316" i="385"/>
  <c r="BB316" i="385"/>
  <c r="BA316" i="385"/>
  <c r="AZ316" i="385"/>
  <c r="AY316" i="385"/>
  <c r="AX316" i="385"/>
  <c r="AW316" i="385"/>
  <c r="AV316" i="385"/>
  <c r="AU316" i="385"/>
  <c r="AT316" i="385"/>
  <c r="AS316" i="385"/>
  <c r="AR316" i="385"/>
  <c r="AQ316" i="385"/>
  <c r="AP316" i="385"/>
  <c r="BN315" i="385"/>
  <c r="BL315" i="385"/>
  <c r="BK315" i="385"/>
  <c r="BJ315" i="385"/>
  <c r="BM315" i="385" s="1"/>
  <c r="BI315" i="385"/>
  <c r="BH315" i="385"/>
  <c r="BG315" i="385"/>
  <c r="BF315" i="385"/>
  <c r="BE315" i="385"/>
  <c r="BD315" i="385"/>
  <c r="BC315" i="385"/>
  <c r="BB315" i="385"/>
  <c r="BA315" i="385"/>
  <c r="AZ315" i="385"/>
  <c r="AY315" i="385"/>
  <c r="AW315" i="385"/>
  <c r="AV315" i="385"/>
  <c r="AU315" i="385"/>
  <c r="AT315" i="385"/>
  <c r="AS315" i="385"/>
  <c r="AR315" i="385"/>
  <c r="AQ315" i="385"/>
  <c r="AP315" i="385"/>
  <c r="BN314" i="385"/>
  <c r="BL314" i="385"/>
  <c r="BK314" i="385"/>
  <c r="BJ314" i="385"/>
  <c r="BM314" i="385" s="1"/>
  <c r="BI314" i="385"/>
  <c r="BH314" i="385"/>
  <c r="BG314" i="385"/>
  <c r="BF314" i="385"/>
  <c r="BE314" i="385"/>
  <c r="BD314" i="385"/>
  <c r="BC314" i="385"/>
  <c r="BB314" i="385"/>
  <c r="BA314" i="385"/>
  <c r="AZ314" i="385"/>
  <c r="AW314" i="385"/>
  <c r="AV314" i="385"/>
  <c r="AU314" i="385"/>
  <c r="AT314" i="385"/>
  <c r="AS314" i="385"/>
  <c r="AR314" i="385"/>
  <c r="AQ314" i="385"/>
  <c r="AP314" i="385"/>
  <c r="BN313" i="385"/>
  <c r="BM313" i="385"/>
  <c r="BL313" i="385"/>
  <c r="BK313" i="385"/>
  <c r="BJ313" i="385"/>
  <c r="BI313" i="385"/>
  <c r="BH313" i="385"/>
  <c r="BG313" i="385"/>
  <c r="BF313" i="385"/>
  <c r="BE313" i="385"/>
  <c r="BD313" i="385"/>
  <c r="BC313" i="385"/>
  <c r="BB313" i="385"/>
  <c r="BA313" i="385"/>
  <c r="AZ313" i="385"/>
  <c r="AW313" i="385"/>
  <c r="AV313" i="385"/>
  <c r="AU313" i="385"/>
  <c r="AT313" i="385"/>
  <c r="AS313" i="385"/>
  <c r="AR313" i="385"/>
  <c r="AQ313" i="385"/>
  <c r="AP313" i="385"/>
  <c r="BN312" i="385"/>
  <c r="BK312" i="385"/>
  <c r="BJ312" i="385"/>
  <c r="BM312" i="385" s="1"/>
  <c r="BI312" i="385"/>
  <c r="BH312" i="385"/>
  <c r="BG312" i="385"/>
  <c r="BF312" i="385"/>
  <c r="BE312" i="385"/>
  <c r="BD312" i="385"/>
  <c r="BC312" i="385"/>
  <c r="BB312" i="385"/>
  <c r="BA312" i="385"/>
  <c r="AZ312" i="385"/>
  <c r="AY312" i="385"/>
  <c r="BL312" i="385" s="1"/>
  <c r="AW312" i="385"/>
  <c r="AV312" i="385"/>
  <c r="AU312" i="385"/>
  <c r="AT312" i="385"/>
  <c r="AS312" i="385"/>
  <c r="AR312" i="385"/>
  <c r="AQ312" i="385"/>
  <c r="AP312" i="385"/>
  <c r="BN311" i="385"/>
  <c r="BK311" i="385"/>
  <c r="BJ311" i="385"/>
  <c r="BM311" i="385" s="1"/>
  <c r="BI311" i="385"/>
  <c r="BH311" i="385"/>
  <c r="BG311" i="385"/>
  <c r="BF311" i="385"/>
  <c r="BE311" i="385"/>
  <c r="BD311" i="385"/>
  <c r="BC311" i="385"/>
  <c r="BB311" i="385"/>
  <c r="BA311" i="385"/>
  <c r="AZ311" i="385"/>
  <c r="AY311" i="385"/>
  <c r="BL311" i="385" s="1"/>
  <c r="AW311" i="385"/>
  <c r="AV311" i="385"/>
  <c r="AU311" i="385"/>
  <c r="AT311" i="385"/>
  <c r="AS311" i="385"/>
  <c r="AR311" i="385"/>
  <c r="AQ311" i="385"/>
  <c r="AP311" i="385"/>
  <c r="BN310" i="385"/>
  <c r="BL310" i="385"/>
  <c r="BK310" i="385"/>
  <c r="BJ310" i="385"/>
  <c r="BM310" i="385" s="1"/>
  <c r="BI310" i="385"/>
  <c r="BH310" i="385"/>
  <c r="BG310" i="385"/>
  <c r="BF310" i="385"/>
  <c r="BE310" i="385"/>
  <c r="BD310" i="385"/>
  <c r="BC310" i="385"/>
  <c r="BB310" i="385"/>
  <c r="BA310" i="385"/>
  <c r="AZ310" i="385"/>
  <c r="AW310" i="385"/>
  <c r="AV310" i="385"/>
  <c r="AU310" i="385"/>
  <c r="AT310" i="385"/>
  <c r="AS310" i="385"/>
  <c r="AR310" i="385"/>
  <c r="AQ310" i="385"/>
  <c r="AP310" i="385"/>
  <c r="BN309" i="385"/>
  <c r="BL309" i="385"/>
  <c r="BK309" i="385"/>
  <c r="BJ309" i="385"/>
  <c r="BM309" i="385" s="1"/>
  <c r="BI309" i="385"/>
  <c r="BH309" i="385"/>
  <c r="BG309" i="385"/>
  <c r="BF309" i="385"/>
  <c r="BE309" i="385"/>
  <c r="BD309" i="385"/>
  <c r="BC309" i="385"/>
  <c r="BB309" i="385"/>
  <c r="BA309" i="385"/>
  <c r="AZ309" i="385"/>
  <c r="AW309" i="385"/>
  <c r="AV309" i="385"/>
  <c r="AU309" i="385"/>
  <c r="AT309" i="385"/>
  <c r="AS309" i="385"/>
  <c r="AR309" i="385"/>
  <c r="AQ309" i="385"/>
  <c r="AP309" i="385"/>
  <c r="BN308" i="385"/>
  <c r="BK308" i="385"/>
  <c r="BJ308" i="385"/>
  <c r="BM308" i="385" s="1"/>
  <c r="BI308" i="385"/>
  <c r="BH308" i="385"/>
  <c r="BG308" i="385"/>
  <c r="BF308" i="385"/>
  <c r="BE308" i="385"/>
  <c r="BD308" i="385"/>
  <c r="BC308" i="385"/>
  <c r="BB308" i="385"/>
  <c r="BA308" i="385"/>
  <c r="AZ308" i="385"/>
  <c r="AY308" i="385"/>
  <c r="BL308" i="385" s="1"/>
  <c r="AW308" i="385"/>
  <c r="AV308" i="385"/>
  <c r="AU308" i="385"/>
  <c r="AT308" i="385"/>
  <c r="AS308" i="385"/>
  <c r="AR308" i="385"/>
  <c r="AQ308" i="385"/>
  <c r="AP308" i="385"/>
  <c r="BN307" i="385"/>
  <c r="BL307" i="385"/>
  <c r="BK307" i="385"/>
  <c r="BJ307" i="385"/>
  <c r="BM307" i="385" s="1"/>
  <c r="BI307" i="385"/>
  <c r="BH307" i="385"/>
  <c r="BG307" i="385"/>
  <c r="BF307" i="385"/>
  <c r="BE307" i="385"/>
  <c r="BD307" i="385"/>
  <c r="BC307" i="385"/>
  <c r="BB307" i="385"/>
  <c r="BA307" i="385"/>
  <c r="AZ307" i="385"/>
  <c r="AW307" i="385"/>
  <c r="AV307" i="385"/>
  <c r="AU307" i="385"/>
  <c r="AT307" i="385"/>
  <c r="AS307" i="385"/>
  <c r="AR307" i="385"/>
  <c r="AQ307" i="385"/>
  <c r="AP307" i="385"/>
  <c r="BN306" i="385"/>
  <c r="BM306" i="385"/>
  <c r="BL306" i="385"/>
  <c r="BK306" i="385"/>
  <c r="BJ306" i="385"/>
  <c r="BI306" i="385"/>
  <c r="BH306" i="385"/>
  <c r="BG306" i="385"/>
  <c r="BF306" i="385"/>
  <c r="BE306" i="385"/>
  <c r="BD306" i="385"/>
  <c r="BC306" i="385"/>
  <c r="BB306" i="385"/>
  <c r="BA306" i="385"/>
  <c r="AZ306" i="385"/>
  <c r="AY306" i="385"/>
  <c r="AW306" i="385"/>
  <c r="AV306" i="385"/>
  <c r="AU306" i="385"/>
  <c r="AT306" i="385"/>
  <c r="AS306" i="385"/>
  <c r="AR306" i="385"/>
  <c r="AQ306" i="385"/>
  <c r="AP306" i="385"/>
  <c r="AO305" i="385"/>
  <c r="AN305" i="385"/>
  <c r="AM305" i="385"/>
  <c r="AL305" i="385"/>
  <c r="AK305" i="385"/>
  <c r="AJ305" i="385"/>
  <c r="AI305" i="385"/>
  <c r="AH305" i="385"/>
  <c r="AG305" i="385"/>
  <c r="AF305" i="385"/>
  <c r="AE305" i="385"/>
  <c r="AD305" i="385"/>
  <c r="AC305" i="385"/>
  <c r="AB305" i="385"/>
  <c r="AA305" i="385"/>
  <c r="Z305" i="385"/>
  <c r="Y305" i="385"/>
  <c r="X305" i="385"/>
  <c r="W305" i="385"/>
  <c r="V305" i="385"/>
  <c r="U305" i="385"/>
  <c r="T305" i="385"/>
  <c r="S305" i="385"/>
  <c r="R305" i="385"/>
  <c r="Q305" i="385"/>
  <c r="P305" i="385"/>
  <c r="O305" i="385"/>
  <c r="N305" i="385"/>
  <c r="M305" i="385"/>
  <c r="L305" i="385"/>
  <c r="BN304" i="385"/>
  <c r="BK304" i="385"/>
  <c r="BJ304" i="385"/>
  <c r="BM304" i="385" s="1"/>
  <c r="BI304" i="385"/>
  <c r="BH304" i="385"/>
  <c r="BG304" i="385"/>
  <c r="BF304" i="385"/>
  <c r="BE304" i="385"/>
  <c r="BD304" i="385"/>
  <c r="BC304" i="385"/>
  <c r="BB304" i="385"/>
  <c r="BA304" i="385"/>
  <c r="AZ304" i="385"/>
  <c r="AY304" i="385"/>
  <c r="BL304" i="385" s="1"/>
  <c r="AW304" i="385"/>
  <c r="AV304" i="385"/>
  <c r="AU304" i="385"/>
  <c r="AT304" i="385"/>
  <c r="AS304" i="385"/>
  <c r="AR304" i="385"/>
  <c r="AQ304" i="385"/>
  <c r="AP304" i="385"/>
  <c r="BN303" i="385"/>
  <c r="BK303" i="385"/>
  <c r="BJ303" i="385"/>
  <c r="BM303" i="385" s="1"/>
  <c r="BI303" i="385"/>
  <c r="BH303" i="385"/>
  <c r="BG303" i="385"/>
  <c r="BF303" i="385"/>
  <c r="BE303" i="385"/>
  <c r="BD303" i="385"/>
  <c r="BC303" i="385"/>
  <c r="BB303" i="385"/>
  <c r="BA303" i="385"/>
  <c r="AZ303" i="385"/>
  <c r="AY303" i="385"/>
  <c r="BL303" i="385" s="1"/>
  <c r="AX303" i="385"/>
  <c r="AW303" i="385"/>
  <c r="AV303" i="385"/>
  <c r="AU303" i="385"/>
  <c r="AT303" i="385"/>
  <c r="AS303" i="385"/>
  <c r="AR303" i="385"/>
  <c r="AQ303" i="385"/>
  <c r="AP303" i="385"/>
  <c r="BN302" i="385"/>
  <c r="BL302" i="385"/>
  <c r="BK302" i="385"/>
  <c r="BJ302" i="385"/>
  <c r="BM302" i="385" s="1"/>
  <c r="BI302" i="385"/>
  <c r="BH302" i="385"/>
  <c r="BG302" i="385"/>
  <c r="BF302" i="385"/>
  <c r="BE302" i="385"/>
  <c r="BD302" i="385"/>
  <c r="BC302" i="385"/>
  <c r="BB302" i="385"/>
  <c r="BA302" i="385"/>
  <c r="AZ302" i="385"/>
  <c r="AY302" i="385"/>
  <c r="AW302" i="385"/>
  <c r="AV302" i="385"/>
  <c r="AU302" i="385"/>
  <c r="AT302" i="385"/>
  <c r="AS302" i="385"/>
  <c r="AR302" i="385"/>
  <c r="AQ302" i="385"/>
  <c r="AP302" i="385"/>
  <c r="BN301" i="385"/>
  <c r="BL301" i="385"/>
  <c r="BK301" i="385"/>
  <c r="BJ301" i="385"/>
  <c r="BM301" i="385" s="1"/>
  <c r="BI301" i="385"/>
  <c r="BH301" i="385"/>
  <c r="BG301" i="385"/>
  <c r="BF301" i="385"/>
  <c r="BE301" i="385"/>
  <c r="BD301" i="385"/>
  <c r="BC301" i="385"/>
  <c r="BB301" i="385"/>
  <c r="BA301" i="385"/>
  <c r="AZ301" i="385"/>
  <c r="AW301" i="385"/>
  <c r="AV301" i="385"/>
  <c r="AU301" i="385"/>
  <c r="AT301" i="385"/>
  <c r="AS301" i="385"/>
  <c r="AR301" i="385"/>
  <c r="AQ301" i="385"/>
  <c r="AP301" i="385"/>
  <c r="BN300" i="385"/>
  <c r="BK300" i="385"/>
  <c r="BJ300" i="385"/>
  <c r="BM300" i="385" s="1"/>
  <c r="BI300" i="385"/>
  <c r="BH300" i="385"/>
  <c r="BG300" i="385"/>
  <c r="BF300" i="385"/>
  <c r="BE300" i="385"/>
  <c r="BD300" i="385"/>
  <c r="BC300" i="385"/>
  <c r="BB300" i="385"/>
  <c r="BA300" i="385"/>
  <c r="AZ300" i="385"/>
  <c r="AY300" i="385"/>
  <c r="BL300" i="385" s="1"/>
  <c r="AW300" i="385"/>
  <c r="AV300" i="385"/>
  <c r="AU300" i="385"/>
  <c r="AT300" i="385"/>
  <c r="AS300" i="385"/>
  <c r="AR300" i="385"/>
  <c r="AQ300" i="385"/>
  <c r="AP300" i="385"/>
  <c r="BN299" i="385"/>
  <c r="BK299" i="385"/>
  <c r="BJ299" i="385"/>
  <c r="BM299" i="385" s="1"/>
  <c r="BI299" i="385"/>
  <c r="BH299" i="385"/>
  <c r="BG299" i="385"/>
  <c r="BF299" i="385"/>
  <c r="BE299" i="385"/>
  <c r="BD299" i="385"/>
  <c r="BC299" i="385"/>
  <c r="BB299" i="385"/>
  <c r="BA299" i="385"/>
  <c r="AZ299" i="385"/>
  <c r="AY299" i="385"/>
  <c r="BL299" i="385" s="1"/>
  <c r="AX299" i="385"/>
  <c r="AW299" i="385"/>
  <c r="AV299" i="385"/>
  <c r="AU299" i="385"/>
  <c r="AT299" i="385"/>
  <c r="AS299" i="385"/>
  <c r="AR299" i="385"/>
  <c r="AQ299" i="385"/>
  <c r="AP299" i="385"/>
  <c r="BN298" i="385"/>
  <c r="BL298" i="385"/>
  <c r="BK298" i="385"/>
  <c r="BJ298" i="385"/>
  <c r="BM298" i="385" s="1"/>
  <c r="BI298" i="385"/>
  <c r="BH298" i="385"/>
  <c r="BG298" i="385"/>
  <c r="BF298" i="385"/>
  <c r="BE298" i="385"/>
  <c r="BD298" i="385"/>
  <c r="BC298" i="385"/>
  <c r="BB298" i="385"/>
  <c r="BA298" i="385"/>
  <c r="AZ298" i="385"/>
  <c r="AY298" i="385"/>
  <c r="AX298" i="385"/>
  <c r="AW298" i="385"/>
  <c r="AV298" i="385"/>
  <c r="AU298" i="385"/>
  <c r="AT298" i="385"/>
  <c r="AS298" i="385"/>
  <c r="AR298" i="385"/>
  <c r="AQ298" i="385"/>
  <c r="AP298" i="385"/>
  <c r="BN297" i="385"/>
  <c r="BM297" i="385"/>
  <c r="BL297" i="385"/>
  <c r="BK297" i="385"/>
  <c r="BJ297" i="385"/>
  <c r="BI297" i="385"/>
  <c r="BH297" i="385"/>
  <c r="BG297" i="385"/>
  <c r="BF297" i="385"/>
  <c r="BE297" i="385"/>
  <c r="BD297" i="385"/>
  <c r="BC297" i="385"/>
  <c r="BB297" i="385"/>
  <c r="BA297" i="385"/>
  <c r="AZ297" i="385"/>
  <c r="AW297" i="385"/>
  <c r="AV297" i="385"/>
  <c r="AU297" i="385"/>
  <c r="AT297" i="385"/>
  <c r="AS297" i="385"/>
  <c r="AR297" i="385"/>
  <c r="AQ297" i="385"/>
  <c r="AP297" i="385"/>
  <c r="BN296" i="385"/>
  <c r="BL296" i="385"/>
  <c r="BK296" i="385"/>
  <c r="BJ296" i="385"/>
  <c r="BM296" i="385" s="1"/>
  <c r="BI296" i="385"/>
  <c r="BH296" i="385"/>
  <c r="BG296" i="385"/>
  <c r="BF296" i="385"/>
  <c r="BE296" i="385"/>
  <c r="BD296" i="385"/>
  <c r="BC296" i="385"/>
  <c r="BB296" i="385"/>
  <c r="BA296" i="385"/>
  <c r="AZ296" i="385"/>
  <c r="AW296" i="385"/>
  <c r="AV296" i="385"/>
  <c r="AU296" i="385"/>
  <c r="AT296" i="385"/>
  <c r="AS296" i="385"/>
  <c r="AR296" i="385"/>
  <c r="AQ296" i="385"/>
  <c r="AP296" i="385"/>
  <c r="BN295" i="385"/>
  <c r="BL295" i="385"/>
  <c r="BK295" i="385"/>
  <c r="BJ295" i="385"/>
  <c r="BM295" i="385" s="1"/>
  <c r="BI295" i="385"/>
  <c r="BH295" i="385"/>
  <c r="BG295" i="385"/>
  <c r="BF295" i="385"/>
  <c r="BE295" i="385"/>
  <c r="BD295" i="385"/>
  <c r="BC295" i="385"/>
  <c r="BB295" i="385"/>
  <c r="BA295" i="385"/>
  <c r="AZ295" i="385"/>
  <c r="AX295" i="385"/>
  <c r="AW295" i="385"/>
  <c r="AV295" i="385"/>
  <c r="AU295" i="385"/>
  <c r="AT295" i="385"/>
  <c r="AS295" i="385"/>
  <c r="AR295" i="385"/>
  <c r="AQ295" i="385"/>
  <c r="AP295" i="385"/>
  <c r="BN294" i="385"/>
  <c r="BK294" i="385"/>
  <c r="BJ294" i="385"/>
  <c r="BM294" i="385" s="1"/>
  <c r="BI294" i="385"/>
  <c r="BH294" i="385"/>
  <c r="BG294" i="385"/>
  <c r="BF294" i="385"/>
  <c r="BE294" i="385"/>
  <c r="BD294" i="385"/>
  <c r="BC294" i="385"/>
  <c r="BB294" i="385"/>
  <c r="BA294" i="385"/>
  <c r="AZ294" i="385"/>
  <c r="AY294" i="385"/>
  <c r="BL294" i="385" s="1"/>
  <c r="AW294" i="385"/>
  <c r="AV294" i="385"/>
  <c r="AU294" i="385"/>
  <c r="AT294" i="385"/>
  <c r="AS294" i="385"/>
  <c r="AR294" i="385"/>
  <c r="AQ294" i="385"/>
  <c r="AP294" i="385"/>
  <c r="BN293" i="385"/>
  <c r="BL293" i="385"/>
  <c r="BK293" i="385"/>
  <c r="BJ293" i="385"/>
  <c r="BM293" i="385" s="1"/>
  <c r="BI293" i="385"/>
  <c r="BH293" i="385"/>
  <c r="BG293" i="385"/>
  <c r="BF293" i="385"/>
  <c r="BE293" i="385"/>
  <c r="BD293" i="385"/>
  <c r="BC293" i="385"/>
  <c r="BB293" i="385"/>
  <c r="BA293" i="385"/>
  <c r="AZ293" i="385"/>
  <c r="AW293" i="385"/>
  <c r="AV293" i="385"/>
  <c r="AU293" i="385"/>
  <c r="AT293" i="385"/>
  <c r="AS293" i="385"/>
  <c r="AR293" i="385"/>
  <c r="AQ293" i="385"/>
  <c r="AP293" i="385"/>
  <c r="BN292" i="385"/>
  <c r="BL292" i="385"/>
  <c r="BK292" i="385"/>
  <c r="BJ292" i="385"/>
  <c r="BM292" i="385" s="1"/>
  <c r="BI292" i="385"/>
  <c r="BH292" i="385"/>
  <c r="BG292" i="385"/>
  <c r="BF292" i="385"/>
  <c r="BE292" i="385"/>
  <c r="BD292" i="385"/>
  <c r="BC292" i="385"/>
  <c r="BB292" i="385"/>
  <c r="BA292" i="385"/>
  <c r="AZ292" i="385"/>
  <c r="AY292" i="385"/>
  <c r="AW292" i="385"/>
  <c r="AV292" i="385"/>
  <c r="AU292" i="385"/>
  <c r="AT292" i="385"/>
  <c r="AS292" i="385"/>
  <c r="AR292" i="385"/>
  <c r="AQ292" i="385"/>
  <c r="AP292" i="385"/>
  <c r="AO291" i="385"/>
  <c r="AN291" i="385"/>
  <c r="AM291" i="385"/>
  <c r="AL291" i="385"/>
  <c r="AK291" i="385"/>
  <c r="AJ291" i="385"/>
  <c r="AI291" i="385"/>
  <c r="AH291" i="385"/>
  <c r="AG291" i="385"/>
  <c r="AF291" i="385"/>
  <c r="AE291" i="385"/>
  <c r="AD291" i="385"/>
  <c r="AC291" i="385"/>
  <c r="AB291" i="385"/>
  <c r="AA291" i="385"/>
  <c r="Z291" i="385"/>
  <c r="Y291" i="385"/>
  <c r="X291" i="385"/>
  <c r="W291" i="385"/>
  <c r="V291" i="385"/>
  <c r="U291" i="385"/>
  <c r="T291" i="385"/>
  <c r="S291" i="385"/>
  <c r="R291" i="385"/>
  <c r="Q291" i="385"/>
  <c r="P291" i="385"/>
  <c r="O291" i="385"/>
  <c r="N291" i="385"/>
  <c r="M291" i="385"/>
  <c r="L291" i="385"/>
  <c r="BN290" i="385"/>
  <c r="BK290" i="385"/>
  <c r="BJ290" i="385"/>
  <c r="BM290" i="385" s="1"/>
  <c r="BI290" i="385"/>
  <c r="BH290" i="385"/>
  <c r="BG290" i="385"/>
  <c r="BF290" i="385"/>
  <c r="BE290" i="385"/>
  <c r="BD290" i="385"/>
  <c r="BC290" i="385"/>
  <c r="BB290" i="385"/>
  <c r="BA290" i="385"/>
  <c r="AZ290" i="385"/>
  <c r="AY290" i="385"/>
  <c r="BL290" i="385" s="1"/>
  <c r="AX290" i="385"/>
  <c r="AW290" i="385"/>
  <c r="AV290" i="385"/>
  <c r="AU290" i="385"/>
  <c r="AT290" i="385"/>
  <c r="AS290" i="385"/>
  <c r="AR290" i="385"/>
  <c r="AQ290" i="385"/>
  <c r="AP290" i="385"/>
  <c r="BN289" i="385"/>
  <c r="BM289" i="385"/>
  <c r="BL289" i="385"/>
  <c r="BK289" i="385"/>
  <c r="BJ289" i="385"/>
  <c r="BI289" i="385"/>
  <c r="BH289" i="385"/>
  <c r="BG289" i="385"/>
  <c r="BF289" i="385"/>
  <c r="BE289" i="385"/>
  <c r="BD289" i="385"/>
  <c r="BC289" i="385"/>
  <c r="BB289" i="385"/>
  <c r="BA289" i="385"/>
  <c r="AZ289" i="385"/>
  <c r="AY289" i="385"/>
  <c r="AX289" i="385"/>
  <c r="AW289" i="385"/>
  <c r="AV289" i="385"/>
  <c r="AU289" i="385"/>
  <c r="AT289" i="385"/>
  <c r="AS289" i="385"/>
  <c r="AR289" i="385"/>
  <c r="AQ289" i="385"/>
  <c r="AP289" i="385"/>
  <c r="BN288" i="385"/>
  <c r="BL288" i="385"/>
  <c r="BK288" i="385"/>
  <c r="BJ288" i="385"/>
  <c r="BM288" i="385" s="1"/>
  <c r="BI288" i="385"/>
  <c r="BH288" i="385"/>
  <c r="BG288" i="385"/>
  <c r="BF288" i="385"/>
  <c r="BE288" i="385"/>
  <c r="BD288" i="385"/>
  <c r="BC288" i="385"/>
  <c r="BB288" i="385"/>
  <c r="BA288" i="385"/>
  <c r="AZ288" i="385"/>
  <c r="AY288" i="385"/>
  <c r="AW288" i="385"/>
  <c r="AV288" i="385"/>
  <c r="AU288" i="385"/>
  <c r="AT288" i="385"/>
  <c r="AS288" i="385"/>
  <c r="AR288" i="385"/>
  <c r="AQ288" i="385"/>
  <c r="AP288" i="385"/>
  <c r="BN287" i="385"/>
  <c r="BL287" i="385"/>
  <c r="BK287" i="385"/>
  <c r="BJ287" i="385"/>
  <c r="BM287" i="385" s="1"/>
  <c r="BI287" i="385"/>
  <c r="BH287" i="385"/>
  <c r="BG287" i="385"/>
  <c r="BF287" i="385"/>
  <c r="BE287" i="385"/>
  <c r="BD287" i="385"/>
  <c r="BC287" i="385"/>
  <c r="BB287" i="385"/>
  <c r="BA287" i="385"/>
  <c r="AZ287" i="385"/>
  <c r="AY287" i="385"/>
  <c r="AW287" i="385"/>
  <c r="AV287" i="385"/>
  <c r="AU287" i="385"/>
  <c r="AT287" i="385"/>
  <c r="AS287" i="385"/>
  <c r="AR287" i="385"/>
  <c r="AQ287" i="385"/>
  <c r="AP287" i="385"/>
  <c r="BN286" i="385"/>
  <c r="BL286" i="385"/>
  <c r="BK286" i="385"/>
  <c r="BJ286" i="385"/>
  <c r="BM286" i="385" s="1"/>
  <c r="BI286" i="385"/>
  <c r="BH286" i="385"/>
  <c r="BG286" i="385"/>
  <c r="BF286" i="385"/>
  <c r="BE286" i="385"/>
  <c r="BD286" i="385"/>
  <c r="BC286" i="385"/>
  <c r="BB286" i="385"/>
  <c r="BA286" i="385"/>
  <c r="AZ286" i="385"/>
  <c r="AY286" i="385"/>
  <c r="AW286" i="385"/>
  <c r="AV286" i="385"/>
  <c r="AU286" i="385"/>
  <c r="AT286" i="385"/>
  <c r="AS286" i="385"/>
  <c r="AR286" i="385"/>
  <c r="AQ286" i="385"/>
  <c r="AP286" i="385"/>
  <c r="BN285" i="385"/>
  <c r="BL285" i="385"/>
  <c r="BJ285" i="385"/>
  <c r="BM285" i="385" s="1"/>
  <c r="BI285" i="385"/>
  <c r="BH285" i="385"/>
  <c r="BG285" i="385"/>
  <c r="BF285" i="385"/>
  <c r="BE285" i="385"/>
  <c r="BD285" i="385"/>
  <c r="BC285" i="385"/>
  <c r="BB285" i="385"/>
  <c r="BA285" i="385"/>
  <c r="AZ285" i="385"/>
  <c r="AY285" i="385"/>
  <c r="AX285" i="385"/>
  <c r="BK285" i="385" s="1"/>
  <c r="AW285" i="385"/>
  <c r="AV285" i="385"/>
  <c r="AU285" i="385"/>
  <c r="AT285" i="385"/>
  <c r="AS285" i="385"/>
  <c r="AR285" i="385"/>
  <c r="AQ285" i="385"/>
  <c r="AP285" i="385"/>
  <c r="BN284" i="385"/>
  <c r="BK284" i="385"/>
  <c r="BJ284" i="385"/>
  <c r="BM284" i="385" s="1"/>
  <c r="BI284" i="385"/>
  <c r="BH284" i="385"/>
  <c r="BG284" i="385"/>
  <c r="BF284" i="385"/>
  <c r="BE284" i="385"/>
  <c r="BD284" i="385"/>
  <c r="BC284" i="385"/>
  <c r="BB284" i="385"/>
  <c r="BA284" i="385"/>
  <c r="AZ284" i="385"/>
  <c r="AY284" i="385"/>
  <c r="BL284" i="385" s="1"/>
  <c r="AW284" i="385"/>
  <c r="AV284" i="385"/>
  <c r="AU284" i="385"/>
  <c r="AT284" i="385"/>
  <c r="AS284" i="385"/>
  <c r="AR284" i="385"/>
  <c r="AQ284" i="385"/>
  <c r="AP284" i="385"/>
  <c r="BN283" i="385"/>
  <c r="BK283" i="385"/>
  <c r="BJ283" i="385"/>
  <c r="BM283" i="385" s="1"/>
  <c r="BI283" i="385"/>
  <c r="BH283" i="385"/>
  <c r="BG283" i="385"/>
  <c r="BF283" i="385"/>
  <c r="BE283" i="385"/>
  <c r="BD283" i="385"/>
  <c r="BC283" i="385"/>
  <c r="BB283" i="385"/>
  <c r="BA283" i="385"/>
  <c r="AZ283" i="385"/>
  <c r="AY283" i="385"/>
  <c r="BL283" i="385" s="1"/>
  <c r="AW283" i="385"/>
  <c r="AV283" i="385"/>
  <c r="AU283" i="385"/>
  <c r="AT283" i="385"/>
  <c r="AS283" i="385"/>
  <c r="AR283" i="385"/>
  <c r="AQ283" i="385"/>
  <c r="AP283" i="385"/>
  <c r="BN282" i="385"/>
  <c r="BK282" i="385"/>
  <c r="BJ282" i="385"/>
  <c r="BM282" i="385" s="1"/>
  <c r="BI282" i="385"/>
  <c r="BH282" i="385"/>
  <c r="BG282" i="385"/>
  <c r="BF282" i="385"/>
  <c r="BE282" i="385"/>
  <c r="BD282" i="385"/>
  <c r="BC282" i="385"/>
  <c r="BB282" i="385"/>
  <c r="BA282" i="385"/>
  <c r="AZ282" i="385"/>
  <c r="AY282" i="385"/>
  <c r="BL282" i="385" s="1"/>
  <c r="AW282" i="385"/>
  <c r="AV282" i="385"/>
  <c r="AU282" i="385"/>
  <c r="AT282" i="385"/>
  <c r="AS282" i="385"/>
  <c r="AR282" i="385"/>
  <c r="AQ282" i="385"/>
  <c r="AP282" i="385"/>
  <c r="BN281" i="385"/>
  <c r="BL281" i="385"/>
  <c r="BK281" i="385"/>
  <c r="BJ281" i="385"/>
  <c r="BM281" i="385" s="1"/>
  <c r="BI281" i="385"/>
  <c r="BH281" i="385"/>
  <c r="BG281" i="385"/>
  <c r="BF281" i="385"/>
  <c r="BE281" i="385"/>
  <c r="BD281" i="385"/>
  <c r="BC281" i="385"/>
  <c r="BB281" i="385"/>
  <c r="BA281" i="385"/>
  <c r="AZ281" i="385"/>
  <c r="AW281" i="385"/>
  <c r="AV281" i="385"/>
  <c r="AU281" i="385"/>
  <c r="AT281" i="385"/>
  <c r="AS281" i="385"/>
  <c r="AR281" i="385"/>
  <c r="AQ281" i="385"/>
  <c r="AP281" i="385"/>
  <c r="BN280" i="385"/>
  <c r="BL280" i="385"/>
  <c r="BK280" i="385"/>
  <c r="BJ280" i="385"/>
  <c r="BM280" i="385" s="1"/>
  <c r="BI280" i="385"/>
  <c r="BH280" i="385"/>
  <c r="BG280" i="385"/>
  <c r="BF280" i="385"/>
  <c r="BE280" i="385"/>
  <c r="BD280" i="385"/>
  <c r="BC280" i="385"/>
  <c r="BB280" i="385"/>
  <c r="BA280" i="385"/>
  <c r="AZ280" i="385"/>
  <c r="AW280" i="385"/>
  <c r="AV280" i="385"/>
  <c r="AU280" i="385"/>
  <c r="AT280" i="385"/>
  <c r="AS280" i="385"/>
  <c r="AR280" i="385"/>
  <c r="AQ280" i="385"/>
  <c r="AP280" i="385"/>
  <c r="BN279" i="385"/>
  <c r="BL279" i="385"/>
  <c r="BK279" i="385"/>
  <c r="BJ279" i="385"/>
  <c r="BM279" i="385" s="1"/>
  <c r="BI279" i="385"/>
  <c r="BH279" i="385"/>
  <c r="BG279" i="385"/>
  <c r="BF279" i="385"/>
  <c r="BE279" i="385"/>
  <c r="BD279" i="385"/>
  <c r="BC279" i="385"/>
  <c r="BB279" i="385"/>
  <c r="BA279" i="385"/>
  <c r="AZ279" i="385"/>
  <c r="AY279" i="385"/>
  <c r="AW279" i="385"/>
  <c r="AV279" i="385"/>
  <c r="AU279" i="385"/>
  <c r="AT279" i="385"/>
  <c r="AS279" i="385"/>
  <c r="AR279" i="385"/>
  <c r="AQ279" i="385"/>
  <c r="AP279" i="385"/>
  <c r="BN278" i="385"/>
  <c r="BL278" i="385"/>
  <c r="BK278" i="385"/>
  <c r="BJ278" i="385"/>
  <c r="BM278" i="385" s="1"/>
  <c r="BI278" i="385"/>
  <c r="BH278" i="385"/>
  <c r="BG278" i="385"/>
  <c r="BF278" i="385"/>
  <c r="BE278" i="385"/>
  <c r="BD278" i="385"/>
  <c r="BC278" i="385"/>
  <c r="BB278" i="385"/>
  <c r="BA278" i="385"/>
  <c r="AZ278" i="385"/>
  <c r="AY278" i="385"/>
  <c r="AW278" i="385"/>
  <c r="AV278" i="385"/>
  <c r="AU278" i="385"/>
  <c r="AT278" i="385"/>
  <c r="AS278" i="385"/>
  <c r="AR278" i="385"/>
  <c r="AQ278" i="385"/>
  <c r="AP278" i="385"/>
  <c r="AO277" i="385"/>
  <c r="AN277" i="385"/>
  <c r="AM277" i="385"/>
  <c r="AL277" i="385"/>
  <c r="AK277" i="385"/>
  <c r="AJ277" i="385"/>
  <c r="AI277" i="385"/>
  <c r="AH277" i="385"/>
  <c r="AG277" i="385"/>
  <c r="AF277" i="385"/>
  <c r="AE277" i="385"/>
  <c r="AD277" i="385"/>
  <c r="AC277" i="385"/>
  <c r="AB277" i="385"/>
  <c r="AA277" i="385"/>
  <c r="Z277" i="385"/>
  <c r="Y277" i="385"/>
  <c r="X277" i="385"/>
  <c r="W277" i="385"/>
  <c r="V277" i="385"/>
  <c r="U277" i="385"/>
  <c r="T277" i="385"/>
  <c r="S277" i="385"/>
  <c r="R277" i="385"/>
  <c r="Q277" i="385"/>
  <c r="P277" i="385"/>
  <c r="O277" i="385"/>
  <c r="N277" i="385"/>
  <c r="M277" i="385"/>
  <c r="L277" i="385"/>
  <c r="BN276" i="385"/>
  <c r="BK276" i="385"/>
  <c r="BJ276" i="385"/>
  <c r="BM276" i="385" s="1"/>
  <c r="BI276" i="385"/>
  <c r="BH276" i="385"/>
  <c r="BG276" i="385"/>
  <c r="BF276" i="385"/>
  <c r="BE276" i="385"/>
  <c r="BD276" i="385"/>
  <c r="BC276" i="385"/>
  <c r="BB276" i="385"/>
  <c r="BA276" i="385"/>
  <c r="AZ276" i="385"/>
  <c r="AY276" i="385"/>
  <c r="BL276" i="385" s="1"/>
  <c r="AW276" i="385"/>
  <c r="AV276" i="385"/>
  <c r="AU276" i="385"/>
  <c r="AT276" i="385"/>
  <c r="AS276" i="385"/>
  <c r="AR276" i="385"/>
  <c r="AQ276" i="385"/>
  <c r="AP276" i="385"/>
  <c r="BN275" i="385"/>
  <c r="BL275" i="385"/>
  <c r="BK275" i="385"/>
  <c r="BJ275" i="385"/>
  <c r="BM275" i="385" s="1"/>
  <c r="BI275" i="385"/>
  <c r="BH275" i="385"/>
  <c r="BG275" i="385"/>
  <c r="BF275" i="385"/>
  <c r="BE275" i="385"/>
  <c r="BD275" i="385"/>
  <c r="BC275" i="385"/>
  <c r="BB275" i="385"/>
  <c r="BA275" i="385"/>
  <c r="AZ275" i="385"/>
  <c r="AW275" i="385"/>
  <c r="AV275" i="385"/>
  <c r="AU275" i="385"/>
  <c r="AT275" i="385"/>
  <c r="AS275" i="385"/>
  <c r="AR275" i="385"/>
  <c r="AQ275" i="385"/>
  <c r="AP275" i="385"/>
  <c r="BN274" i="385"/>
  <c r="BL274" i="385"/>
  <c r="BK274" i="385"/>
  <c r="BJ274" i="385"/>
  <c r="BM274" i="385" s="1"/>
  <c r="BI274" i="385"/>
  <c r="BH274" i="385"/>
  <c r="BG274" i="385"/>
  <c r="BF274" i="385"/>
  <c r="BE274" i="385"/>
  <c r="BD274" i="385"/>
  <c r="BC274" i="385"/>
  <c r="BB274" i="385"/>
  <c r="BA274" i="385"/>
  <c r="AZ274" i="385"/>
  <c r="AW274" i="385"/>
  <c r="AV274" i="385"/>
  <c r="AU274" i="385"/>
  <c r="AT274" i="385"/>
  <c r="AS274" i="385"/>
  <c r="AR274" i="385"/>
  <c r="AQ274" i="385"/>
  <c r="AP274" i="385"/>
  <c r="BN273" i="385"/>
  <c r="BM273" i="385"/>
  <c r="BJ273" i="385"/>
  <c r="BI273" i="385"/>
  <c r="BH273" i="385"/>
  <c r="BG273" i="385"/>
  <c r="BF273" i="385"/>
  <c r="BE273" i="385"/>
  <c r="BD273" i="385"/>
  <c r="BC273" i="385"/>
  <c r="BB273" i="385"/>
  <c r="BA273" i="385"/>
  <c r="AZ273" i="385"/>
  <c r="AY273" i="385"/>
  <c r="BL273" i="385" s="1"/>
  <c r="AX273" i="385"/>
  <c r="BK273" i="385" s="1"/>
  <c r="AW273" i="385"/>
  <c r="AV273" i="385"/>
  <c r="AU273" i="385"/>
  <c r="AT273" i="385"/>
  <c r="AS273" i="385"/>
  <c r="AR273" i="385"/>
  <c r="AQ273" i="385"/>
  <c r="AP273" i="385"/>
  <c r="AO272" i="385"/>
  <c r="AN272" i="385"/>
  <c r="AM272" i="385"/>
  <c r="AL272" i="385"/>
  <c r="AK272" i="385"/>
  <c r="AJ272" i="385"/>
  <c r="AI272" i="385"/>
  <c r="AH272" i="385"/>
  <c r="AG272" i="385"/>
  <c r="AF272" i="385"/>
  <c r="AE272" i="385"/>
  <c r="AD272" i="385"/>
  <c r="AC272" i="385"/>
  <c r="AB272" i="385"/>
  <c r="AA272" i="385"/>
  <c r="Z272" i="385"/>
  <c r="Y272" i="385"/>
  <c r="X272" i="385"/>
  <c r="W272" i="385"/>
  <c r="V272" i="385"/>
  <c r="U272" i="385"/>
  <c r="T272" i="385"/>
  <c r="S272" i="385"/>
  <c r="R272" i="385"/>
  <c r="Q272" i="385"/>
  <c r="P272" i="385"/>
  <c r="O272" i="385"/>
  <c r="N272" i="385"/>
  <c r="M272" i="385"/>
  <c r="L272" i="385"/>
  <c r="BN271" i="385"/>
  <c r="BM271" i="385"/>
  <c r="BL271" i="385"/>
  <c r="BK271" i="385"/>
  <c r="BJ271" i="385"/>
  <c r="BI271" i="385"/>
  <c r="BH271" i="385"/>
  <c r="BG271" i="385"/>
  <c r="BF271" i="385"/>
  <c r="BE271" i="385"/>
  <c r="BD271" i="385"/>
  <c r="BC271" i="385"/>
  <c r="BB271" i="385"/>
  <c r="BA271" i="385"/>
  <c r="AZ271" i="385"/>
  <c r="AW271" i="385"/>
  <c r="AV271" i="385"/>
  <c r="AU271" i="385"/>
  <c r="AT271" i="385"/>
  <c r="AS271" i="385"/>
  <c r="AR271" i="385"/>
  <c r="AQ271" i="385"/>
  <c r="AP271" i="385"/>
  <c r="AO270" i="385"/>
  <c r="AN270" i="385"/>
  <c r="AM270" i="385"/>
  <c r="AL270" i="385"/>
  <c r="AK270" i="385"/>
  <c r="AJ270" i="385"/>
  <c r="AI270" i="385"/>
  <c r="AH270" i="385"/>
  <c r="AG270" i="385"/>
  <c r="AF270" i="385"/>
  <c r="AE270" i="385"/>
  <c r="AD270" i="385"/>
  <c r="AC270" i="385"/>
  <c r="AB270" i="385"/>
  <c r="AA270" i="385"/>
  <c r="Z270" i="385"/>
  <c r="Y270" i="385"/>
  <c r="X270" i="385"/>
  <c r="W270" i="385"/>
  <c r="V270" i="385"/>
  <c r="U270" i="385"/>
  <c r="T270" i="385"/>
  <c r="S270" i="385"/>
  <c r="R270" i="385"/>
  <c r="Q270" i="385"/>
  <c r="P270" i="385"/>
  <c r="O270" i="385"/>
  <c r="N270" i="385"/>
  <c r="M270" i="385"/>
  <c r="L270" i="385"/>
  <c r="BN269" i="385"/>
  <c r="BM269" i="385"/>
  <c r="BL269" i="385"/>
  <c r="BK269" i="385"/>
  <c r="BJ269" i="385"/>
  <c r="BI269" i="385"/>
  <c r="BH269" i="385"/>
  <c r="BG269" i="385"/>
  <c r="BF269" i="385"/>
  <c r="BE269" i="385"/>
  <c r="BD269" i="385"/>
  <c r="BC269" i="385"/>
  <c r="BB269" i="385"/>
  <c r="BA269" i="385"/>
  <c r="AZ269" i="385"/>
  <c r="AW269" i="385"/>
  <c r="AV269" i="385"/>
  <c r="AU269" i="385"/>
  <c r="AT269" i="385"/>
  <c r="AS269" i="385"/>
  <c r="AR269" i="385"/>
  <c r="AQ269" i="385"/>
  <c r="AP269" i="385"/>
  <c r="BN268" i="385"/>
  <c r="BL268" i="385"/>
  <c r="BK268" i="385"/>
  <c r="BJ268" i="385"/>
  <c r="BM268" i="385" s="1"/>
  <c r="BI268" i="385"/>
  <c r="BH268" i="385"/>
  <c r="BG268" i="385"/>
  <c r="BF268" i="385"/>
  <c r="BE268" i="385"/>
  <c r="BD268" i="385"/>
  <c r="BC268" i="385"/>
  <c r="BB268" i="385"/>
  <c r="BA268" i="385"/>
  <c r="AZ268" i="385"/>
  <c r="AW268" i="385"/>
  <c r="AV268" i="385"/>
  <c r="AU268" i="385"/>
  <c r="AT268" i="385"/>
  <c r="AS268" i="385"/>
  <c r="AR268" i="385"/>
  <c r="AQ268" i="385"/>
  <c r="AP268" i="385"/>
  <c r="BN267" i="385"/>
  <c r="BJ267" i="385"/>
  <c r="BM267" i="385" s="1"/>
  <c r="BI267" i="385"/>
  <c r="BH267" i="385"/>
  <c r="BG267" i="385"/>
  <c r="BF267" i="385"/>
  <c r="BE267" i="385"/>
  <c r="BD267" i="385"/>
  <c r="BC267" i="385"/>
  <c r="BB267" i="385"/>
  <c r="BA267" i="385"/>
  <c r="AZ267" i="385"/>
  <c r="AY267" i="385"/>
  <c r="BL267" i="385" s="1"/>
  <c r="AX267" i="385"/>
  <c r="BK267" i="385" s="1"/>
  <c r="AW267" i="385"/>
  <c r="AV267" i="385"/>
  <c r="AU267" i="385"/>
  <c r="AT267" i="385"/>
  <c r="AS267" i="385"/>
  <c r="AR267" i="385"/>
  <c r="AQ267" i="385"/>
  <c r="AP267" i="385"/>
  <c r="BN266" i="385"/>
  <c r="BK266" i="385"/>
  <c r="BJ266" i="385"/>
  <c r="BM266" i="385" s="1"/>
  <c r="BI266" i="385"/>
  <c r="BH266" i="385"/>
  <c r="BG266" i="385"/>
  <c r="BF266" i="385"/>
  <c r="BE266" i="385"/>
  <c r="BD266" i="385"/>
  <c r="BC266" i="385"/>
  <c r="BB266" i="385"/>
  <c r="BA266" i="385"/>
  <c r="AZ266" i="385"/>
  <c r="AY266" i="385"/>
  <c r="BL266" i="385" s="1"/>
  <c r="AX266" i="385"/>
  <c r="AW266" i="385"/>
  <c r="AV266" i="385"/>
  <c r="AU266" i="385"/>
  <c r="AT266" i="385"/>
  <c r="AS266" i="385"/>
  <c r="AR266" i="385"/>
  <c r="AQ266" i="385"/>
  <c r="AP266" i="385"/>
  <c r="BN265" i="385"/>
  <c r="BM265" i="385"/>
  <c r="BL265" i="385"/>
  <c r="BK265" i="385"/>
  <c r="BJ265" i="385"/>
  <c r="BI265" i="385"/>
  <c r="BH265" i="385"/>
  <c r="BG265" i="385"/>
  <c r="BF265" i="385"/>
  <c r="BE265" i="385"/>
  <c r="BD265" i="385"/>
  <c r="BC265" i="385"/>
  <c r="BB265" i="385"/>
  <c r="BA265" i="385"/>
  <c r="AZ265" i="385"/>
  <c r="AY265" i="385"/>
  <c r="AW265" i="385"/>
  <c r="AV265" i="385"/>
  <c r="AU265" i="385"/>
  <c r="AT265" i="385"/>
  <c r="AS265" i="385"/>
  <c r="AR265" i="385"/>
  <c r="AQ265" i="385"/>
  <c r="AP265" i="385"/>
  <c r="BN264" i="385"/>
  <c r="BM264" i="385"/>
  <c r="BL264" i="385"/>
  <c r="BK264" i="385"/>
  <c r="BJ264" i="385"/>
  <c r="BI264" i="385"/>
  <c r="BH264" i="385"/>
  <c r="BG264" i="385"/>
  <c r="BF264" i="385"/>
  <c r="BE264" i="385"/>
  <c r="BD264" i="385"/>
  <c r="BC264" i="385"/>
  <c r="BB264" i="385"/>
  <c r="BA264" i="385"/>
  <c r="AZ264" i="385"/>
  <c r="AW264" i="385"/>
  <c r="AV264" i="385"/>
  <c r="AU264" i="385"/>
  <c r="AT264" i="385"/>
  <c r="AS264" i="385"/>
  <c r="AR264" i="385"/>
  <c r="AQ264" i="385"/>
  <c r="AP264" i="385"/>
  <c r="BN263" i="385"/>
  <c r="BL263" i="385"/>
  <c r="BK263" i="385"/>
  <c r="BJ263" i="385"/>
  <c r="BM263" i="385" s="1"/>
  <c r="BI263" i="385"/>
  <c r="BH263" i="385"/>
  <c r="BG263" i="385"/>
  <c r="BF263" i="385"/>
  <c r="BE263" i="385"/>
  <c r="BD263" i="385"/>
  <c r="BC263" i="385"/>
  <c r="BB263" i="385"/>
  <c r="BA263" i="385"/>
  <c r="AZ263" i="385"/>
  <c r="AY263" i="385"/>
  <c r="AX263" i="385"/>
  <c r="AW263" i="385"/>
  <c r="AV263" i="385"/>
  <c r="AU263" i="385"/>
  <c r="AT263" i="385"/>
  <c r="AS263" i="385"/>
  <c r="AR263" i="385"/>
  <c r="AQ263" i="385"/>
  <c r="AP263" i="385"/>
  <c r="BN262" i="385"/>
  <c r="BM262" i="385"/>
  <c r="BL262" i="385"/>
  <c r="BK262" i="385"/>
  <c r="BJ262" i="385"/>
  <c r="BI262" i="385"/>
  <c r="BH262" i="385"/>
  <c r="BG262" i="385"/>
  <c r="BF262" i="385"/>
  <c r="BE262" i="385"/>
  <c r="BD262" i="385"/>
  <c r="BC262" i="385"/>
  <c r="BB262" i="385"/>
  <c r="BA262" i="385"/>
  <c r="AZ262" i="385"/>
  <c r="AW262" i="385"/>
  <c r="AV262" i="385"/>
  <c r="AU262" i="385"/>
  <c r="AT262" i="385"/>
  <c r="AS262" i="385"/>
  <c r="AR262" i="385"/>
  <c r="AQ262" i="385"/>
  <c r="AP262" i="385"/>
  <c r="BN261" i="385"/>
  <c r="BL261" i="385"/>
  <c r="BK261" i="385"/>
  <c r="BJ261" i="385"/>
  <c r="BM261" i="385" s="1"/>
  <c r="BI261" i="385"/>
  <c r="BH261" i="385"/>
  <c r="BG261" i="385"/>
  <c r="BF261" i="385"/>
  <c r="BE261" i="385"/>
  <c r="BD261" i="385"/>
  <c r="BC261" i="385"/>
  <c r="BB261" i="385"/>
  <c r="BA261" i="385"/>
  <c r="AZ261" i="385"/>
  <c r="AW261" i="385"/>
  <c r="AV261" i="385"/>
  <c r="AU261" i="385"/>
  <c r="AT261" i="385"/>
  <c r="AS261" i="385"/>
  <c r="AR261" i="385"/>
  <c r="AQ261" i="385"/>
  <c r="AP261" i="385"/>
  <c r="BN260" i="385"/>
  <c r="BK260" i="385"/>
  <c r="BJ260" i="385"/>
  <c r="BM260" i="385" s="1"/>
  <c r="BI260" i="385"/>
  <c r="BH260" i="385"/>
  <c r="BG260" i="385"/>
  <c r="BF260" i="385"/>
  <c r="BE260" i="385"/>
  <c r="BD260" i="385"/>
  <c r="BC260" i="385"/>
  <c r="BB260" i="385"/>
  <c r="BA260" i="385"/>
  <c r="AZ260" i="385"/>
  <c r="AY260" i="385"/>
  <c r="BL260" i="385" s="1"/>
  <c r="AX260" i="385"/>
  <c r="AW260" i="385"/>
  <c r="AV260" i="385"/>
  <c r="AU260" i="385"/>
  <c r="AT260" i="385"/>
  <c r="AS260" i="385"/>
  <c r="AR260" i="385"/>
  <c r="AQ260" i="385"/>
  <c r="AP260" i="385"/>
  <c r="BN259" i="385"/>
  <c r="BL259" i="385"/>
  <c r="BK259" i="385"/>
  <c r="BJ259" i="385"/>
  <c r="BM259" i="385" s="1"/>
  <c r="BI259" i="385"/>
  <c r="BH259" i="385"/>
  <c r="BG259" i="385"/>
  <c r="BF259" i="385"/>
  <c r="BE259" i="385"/>
  <c r="BD259" i="385"/>
  <c r="BC259" i="385"/>
  <c r="BB259" i="385"/>
  <c r="BA259" i="385"/>
  <c r="AZ259" i="385"/>
  <c r="AW259" i="385"/>
  <c r="AV259" i="385"/>
  <c r="AU259" i="385"/>
  <c r="AT259" i="385"/>
  <c r="AS259" i="385"/>
  <c r="AR259" i="385"/>
  <c r="AQ259" i="385"/>
  <c r="AP259" i="385"/>
  <c r="BN258" i="385"/>
  <c r="BL258" i="385"/>
  <c r="BK258" i="385"/>
  <c r="BJ258" i="385"/>
  <c r="BM258" i="385" s="1"/>
  <c r="BI258" i="385"/>
  <c r="BH258" i="385"/>
  <c r="BG258" i="385"/>
  <c r="BF258" i="385"/>
  <c r="BE258" i="385"/>
  <c r="BD258" i="385"/>
  <c r="BC258" i="385"/>
  <c r="BB258" i="385"/>
  <c r="BA258" i="385"/>
  <c r="AZ258" i="385"/>
  <c r="AW258" i="385"/>
  <c r="AV258" i="385"/>
  <c r="AU258" i="385"/>
  <c r="AT258" i="385"/>
  <c r="AS258" i="385"/>
  <c r="AR258" i="385"/>
  <c r="AQ258" i="385"/>
  <c r="AP258" i="385"/>
  <c r="BN257" i="385"/>
  <c r="BL257" i="385"/>
  <c r="BK257" i="385"/>
  <c r="BJ257" i="385"/>
  <c r="BM257" i="385" s="1"/>
  <c r="BI257" i="385"/>
  <c r="BH257" i="385"/>
  <c r="BG257" i="385"/>
  <c r="BF257" i="385"/>
  <c r="BE257" i="385"/>
  <c r="BD257" i="385"/>
  <c r="BC257" i="385"/>
  <c r="BB257" i="385"/>
  <c r="BA257" i="385"/>
  <c r="AZ257" i="385"/>
  <c r="AY257" i="385"/>
  <c r="AW257" i="385"/>
  <c r="AV257" i="385"/>
  <c r="AU257" i="385"/>
  <c r="AT257" i="385"/>
  <c r="AS257" i="385"/>
  <c r="AR257" i="385"/>
  <c r="AQ257" i="385"/>
  <c r="AP257" i="385"/>
  <c r="AO256" i="385"/>
  <c r="AN256" i="385"/>
  <c r="AM256" i="385"/>
  <c r="AL256" i="385"/>
  <c r="AK256" i="385"/>
  <c r="AJ256" i="385"/>
  <c r="AI256" i="385"/>
  <c r="AH256" i="385"/>
  <c r="AG256" i="385"/>
  <c r="AF256" i="385"/>
  <c r="AE256" i="385"/>
  <c r="AD256" i="385"/>
  <c r="AC256" i="385"/>
  <c r="AB256" i="385"/>
  <c r="AA256" i="385"/>
  <c r="Z256" i="385"/>
  <c r="Y256" i="385"/>
  <c r="X256" i="385"/>
  <c r="W256" i="385"/>
  <c r="V256" i="385"/>
  <c r="U256" i="385"/>
  <c r="T256" i="385"/>
  <c r="S256" i="385"/>
  <c r="R256" i="385"/>
  <c r="Q256" i="385"/>
  <c r="P256" i="385"/>
  <c r="O256" i="385"/>
  <c r="N256" i="385"/>
  <c r="M256" i="385"/>
  <c r="L256" i="385"/>
  <c r="BN255" i="385"/>
  <c r="BL255" i="385"/>
  <c r="BK255" i="385"/>
  <c r="BJ255" i="385"/>
  <c r="BM255" i="385" s="1"/>
  <c r="BI255" i="385"/>
  <c r="BH255" i="385"/>
  <c r="BG255" i="385"/>
  <c r="BF255" i="385"/>
  <c r="BE255" i="385"/>
  <c r="BD255" i="385"/>
  <c r="BC255" i="385"/>
  <c r="BB255" i="385"/>
  <c r="BA255" i="385"/>
  <c r="AZ255" i="385"/>
  <c r="AY255" i="385"/>
  <c r="AW255" i="385"/>
  <c r="AV255" i="385"/>
  <c r="AU255" i="385"/>
  <c r="AT255" i="385"/>
  <c r="AS255" i="385"/>
  <c r="AR255" i="385"/>
  <c r="AQ255" i="385"/>
  <c r="AP255" i="385"/>
  <c r="BN254" i="385"/>
  <c r="BL254" i="385"/>
  <c r="BK254" i="385"/>
  <c r="BJ254" i="385"/>
  <c r="BM254" i="385" s="1"/>
  <c r="BI254" i="385"/>
  <c r="BH254" i="385"/>
  <c r="BG254" i="385"/>
  <c r="BF254" i="385"/>
  <c r="BE254" i="385"/>
  <c r="BD254" i="385"/>
  <c r="BC254" i="385"/>
  <c r="BB254" i="385"/>
  <c r="BA254" i="385"/>
  <c r="AZ254" i="385"/>
  <c r="AW254" i="385"/>
  <c r="AV254" i="385"/>
  <c r="AU254" i="385"/>
  <c r="AT254" i="385"/>
  <c r="AS254" i="385"/>
  <c r="AR254" i="385"/>
  <c r="AQ254" i="385"/>
  <c r="AP254" i="385"/>
  <c r="BN253" i="385"/>
  <c r="BM253" i="385"/>
  <c r="BK253" i="385"/>
  <c r="BJ253" i="385"/>
  <c r="BI253" i="385"/>
  <c r="BH253" i="385"/>
  <c r="BG253" i="385"/>
  <c r="BF253" i="385"/>
  <c r="BE253" i="385"/>
  <c r="BD253" i="385"/>
  <c r="BC253" i="385"/>
  <c r="BB253" i="385"/>
  <c r="BA253" i="385"/>
  <c r="AZ253" i="385"/>
  <c r="AY253" i="385"/>
  <c r="BL253" i="385" s="1"/>
  <c r="AW253" i="385"/>
  <c r="AV253" i="385"/>
  <c r="AU253" i="385"/>
  <c r="AT253" i="385"/>
  <c r="AS253" i="385"/>
  <c r="AR253" i="385"/>
  <c r="AQ253" i="385"/>
  <c r="AP253" i="385"/>
  <c r="BN252" i="385"/>
  <c r="BM252" i="385"/>
  <c r="BK252" i="385"/>
  <c r="BJ252" i="385"/>
  <c r="BI252" i="385"/>
  <c r="BH252" i="385"/>
  <c r="BG252" i="385"/>
  <c r="BF252" i="385"/>
  <c r="BE252" i="385"/>
  <c r="BD252" i="385"/>
  <c r="BC252" i="385"/>
  <c r="BB252" i="385"/>
  <c r="BA252" i="385"/>
  <c r="AZ252" i="385"/>
  <c r="AY252" i="385"/>
  <c r="BL252" i="385" s="1"/>
  <c r="AW252" i="385"/>
  <c r="AV252" i="385"/>
  <c r="AU252" i="385"/>
  <c r="AT252" i="385"/>
  <c r="AS252" i="385"/>
  <c r="AR252" i="385"/>
  <c r="AQ252" i="385"/>
  <c r="AP252" i="385"/>
  <c r="BN251" i="385"/>
  <c r="BM251" i="385"/>
  <c r="BL251" i="385"/>
  <c r="BK251" i="385"/>
  <c r="BJ251" i="385"/>
  <c r="BI251" i="385"/>
  <c r="BH251" i="385"/>
  <c r="BG251" i="385"/>
  <c r="BF251" i="385"/>
  <c r="BE251" i="385"/>
  <c r="BD251" i="385"/>
  <c r="BC251" i="385"/>
  <c r="BB251" i="385"/>
  <c r="BA251" i="385"/>
  <c r="AZ251" i="385"/>
  <c r="AW251" i="385"/>
  <c r="AV251" i="385"/>
  <c r="AU251" i="385"/>
  <c r="AT251" i="385"/>
  <c r="AS251" i="385"/>
  <c r="AR251" i="385"/>
  <c r="AQ251" i="385"/>
  <c r="AP251" i="385"/>
  <c r="BN250" i="385"/>
  <c r="BL250" i="385"/>
  <c r="BK250" i="385"/>
  <c r="BJ250" i="385"/>
  <c r="BM250" i="385" s="1"/>
  <c r="BI250" i="385"/>
  <c r="BH250" i="385"/>
  <c r="BG250" i="385"/>
  <c r="BF250" i="385"/>
  <c r="BE250" i="385"/>
  <c r="BD250" i="385"/>
  <c r="BC250" i="385"/>
  <c r="BB250" i="385"/>
  <c r="BA250" i="385"/>
  <c r="AZ250" i="385"/>
  <c r="AY250" i="385"/>
  <c r="AW250" i="385"/>
  <c r="AV250" i="385"/>
  <c r="AU250" i="385"/>
  <c r="AT250" i="385"/>
  <c r="AS250" i="385"/>
  <c r="AR250" i="385"/>
  <c r="AQ250" i="385"/>
  <c r="AP250" i="385"/>
  <c r="BN249" i="385"/>
  <c r="BL249" i="385"/>
  <c r="BK249" i="385"/>
  <c r="BJ249" i="385"/>
  <c r="BM249" i="385" s="1"/>
  <c r="BI249" i="385"/>
  <c r="BH249" i="385"/>
  <c r="BG249" i="385"/>
  <c r="BF249" i="385"/>
  <c r="BE249" i="385"/>
  <c r="BD249" i="385"/>
  <c r="BC249" i="385"/>
  <c r="BB249" i="385"/>
  <c r="BA249" i="385"/>
  <c r="AZ249" i="385"/>
  <c r="AW249" i="385"/>
  <c r="AV249" i="385"/>
  <c r="AU249" i="385"/>
  <c r="AT249" i="385"/>
  <c r="AS249" i="385"/>
  <c r="AR249" i="385"/>
  <c r="AQ249" i="385"/>
  <c r="AP249" i="385"/>
  <c r="BN248" i="385"/>
  <c r="BM248" i="385"/>
  <c r="BL248" i="385"/>
  <c r="BK248" i="385"/>
  <c r="BJ248" i="385"/>
  <c r="BI248" i="385"/>
  <c r="BH248" i="385"/>
  <c r="BG248" i="385"/>
  <c r="BF248" i="385"/>
  <c r="BE248" i="385"/>
  <c r="BD248" i="385"/>
  <c r="BC248" i="385"/>
  <c r="BB248" i="385"/>
  <c r="BA248" i="385"/>
  <c r="AZ248" i="385"/>
  <c r="AW248" i="385"/>
  <c r="AV248" i="385"/>
  <c r="AU248" i="385"/>
  <c r="AT248" i="385"/>
  <c r="AS248" i="385"/>
  <c r="AR248" i="385"/>
  <c r="AQ248" i="385"/>
  <c r="AP248" i="385"/>
  <c r="AO247" i="385"/>
  <c r="AN247" i="385"/>
  <c r="AM247" i="385"/>
  <c r="AL247" i="385"/>
  <c r="AK247" i="385"/>
  <c r="AJ247" i="385"/>
  <c r="AI247" i="385"/>
  <c r="AH247" i="385"/>
  <c r="AG247" i="385"/>
  <c r="AF247" i="385"/>
  <c r="AE247" i="385"/>
  <c r="AD247" i="385"/>
  <c r="AC247" i="385"/>
  <c r="AB247" i="385"/>
  <c r="AA247" i="385"/>
  <c r="Z247" i="385"/>
  <c r="Y247" i="385"/>
  <c r="X247" i="385"/>
  <c r="W247" i="385"/>
  <c r="V247" i="385"/>
  <c r="U247" i="385"/>
  <c r="T247" i="385"/>
  <c r="S247" i="385"/>
  <c r="R247" i="385"/>
  <c r="Q247" i="385"/>
  <c r="P247" i="385"/>
  <c r="O247" i="385"/>
  <c r="N247" i="385"/>
  <c r="M247" i="385"/>
  <c r="L247" i="385"/>
  <c r="BN246" i="385"/>
  <c r="BL246" i="385"/>
  <c r="BK246" i="385"/>
  <c r="BJ246" i="385"/>
  <c r="BM246" i="385" s="1"/>
  <c r="BI246" i="385"/>
  <c r="BH246" i="385"/>
  <c r="BG246" i="385"/>
  <c r="BF246" i="385"/>
  <c r="BE246" i="385"/>
  <c r="BD246" i="385"/>
  <c r="BC246" i="385"/>
  <c r="BB246" i="385"/>
  <c r="BA246" i="385"/>
  <c r="AZ246" i="385"/>
  <c r="AW246" i="385"/>
  <c r="AV246" i="385"/>
  <c r="AU246" i="385"/>
  <c r="AT246" i="385"/>
  <c r="AS246" i="385"/>
  <c r="AR246" i="385"/>
  <c r="AQ246" i="385"/>
  <c r="AP246" i="385"/>
  <c r="BN245" i="385"/>
  <c r="BM245" i="385"/>
  <c r="BL245" i="385"/>
  <c r="BK245" i="385"/>
  <c r="BJ245" i="385"/>
  <c r="BI245" i="385"/>
  <c r="BH245" i="385"/>
  <c r="BG245" i="385"/>
  <c r="BF245" i="385"/>
  <c r="BE245" i="385"/>
  <c r="BD245" i="385"/>
  <c r="BC245" i="385"/>
  <c r="BB245" i="385"/>
  <c r="BA245" i="385"/>
  <c r="AZ245" i="385"/>
  <c r="AW245" i="385"/>
  <c r="AV245" i="385"/>
  <c r="AU245" i="385"/>
  <c r="AT245" i="385"/>
  <c r="AS245" i="385"/>
  <c r="AR245" i="385"/>
  <c r="AQ245" i="385"/>
  <c r="AP245" i="385"/>
  <c r="BN244" i="385"/>
  <c r="BM244" i="385"/>
  <c r="BL244" i="385"/>
  <c r="BK244" i="385"/>
  <c r="BJ244" i="385"/>
  <c r="BI244" i="385"/>
  <c r="BH244" i="385"/>
  <c r="BG244" i="385"/>
  <c r="BF244" i="385"/>
  <c r="BE244" i="385"/>
  <c r="BD244" i="385"/>
  <c r="BC244" i="385"/>
  <c r="BB244" i="385"/>
  <c r="BA244" i="385"/>
  <c r="AZ244" i="385"/>
  <c r="AW244" i="385"/>
  <c r="AV244" i="385"/>
  <c r="AU244" i="385"/>
  <c r="AT244" i="385"/>
  <c r="AS244" i="385"/>
  <c r="AR244" i="385"/>
  <c r="AQ244" i="385"/>
  <c r="AP244" i="385"/>
  <c r="BN243" i="385"/>
  <c r="BM243" i="385"/>
  <c r="BL243" i="385"/>
  <c r="BK243" i="385"/>
  <c r="BJ243" i="385"/>
  <c r="BI243" i="385"/>
  <c r="BH243" i="385"/>
  <c r="BG243" i="385"/>
  <c r="BF243" i="385"/>
  <c r="BE243" i="385"/>
  <c r="BD243" i="385"/>
  <c r="BC243" i="385"/>
  <c r="BB243" i="385"/>
  <c r="BA243" i="385"/>
  <c r="AZ243" i="385"/>
  <c r="AW243" i="385"/>
  <c r="AV243" i="385"/>
  <c r="AU243" i="385"/>
  <c r="AT243" i="385"/>
  <c r="AS243" i="385"/>
  <c r="AR243" i="385"/>
  <c r="AQ243" i="385"/>
  <c r="AP243" i="385"/>
  <c r="BN242" i="385"/>
  <c r="BL242" i="385"/>
  <c r="BK242" i="385"/>
  <c r="BJ242" i="385"/>
  <c r="BM242" i="385" s="1"/>
  <c r="BI242" i="385"/>
  <c r="BH242" i="385"/>
  <c r="BG242" i="385"/>
  <c r="BF242" i="385"/>
  <c r="BE242" i="385"/>
  <c r="BD242" i="385"/>
  <c r="BC242" i="385"/>
  <c r="BB242" i="385"/>
  <c r="BA242" i="385"/>
  <c r="AZ242" i="385"/>
  <c r="AW242" i="385"/>
  <c r="AV242" i="385"/>
  <c r="AU242" i="385"/>
  <c r="AT242" i="385"/>
  <c r="AS242" i="385"/>
  <c r="AR242" i="385"/>
  <c r="AQ242" i="385"/>
  <c r="AP242" i="385"/>
  <c r="BN241" i="385"/>
  <c r="BM241" i="385"/>
  <c r="BL241" i="385"/>
  <c r="BK241" i="385"/>
  <c r="BJ241" i="385"/>
  <c r="BI241" i="385"/>
  <c r="BH241" i="385"/>
  <c r="BG241" i="385"/>
  <c r="BF241" i="385"/>
  <c r="BE241" i="385"/>
  <c r="BD241" i="385"/>
  <c r="BC241" i="385"/>
  <c r="BB241" i="385"/>
  <c r="BA241" i="385"/>
  <c r="AZ241" i="385"/>
  <c r="AW241" i="385"/>
  <c r="AV241" i="385"/>
  <c r="AU241" i="385"/>
  <c r="AT241" i="385"/>
  <c r="AS241" i="385"/>
  <c r="AR241" i="385"/>
  <c r="AQ241" i="385"/>
  <c r="AP241" i="385"/>
  <c r="BN240" i="385"/>
  <c r="BL240" i="385"/>
  <c r="BK240" i="385"/>
  <c r="BJ240" i="385"/>
  <c r="BM240" i="385" s="1"/>
  <c r="BI240" i="385"/>
  <c r="BH240" i="385"/>
  <c r="BG240" i="385"/>
  <c r="BF240" i="385"/>
  <c r="BE240" i="385"/>
  <c r="BD240" i="385"/>
  <c r="BC240" i="385"/>
  <c r="BB240" i="385"/>
  <c r="BA240" i="385"/>
  <c r="AZ240" i="385"/>
  <c r="AW240" i="385"/>
  <c r="AV240" i="385"/>
  <c r="AU240" i="385"/>
  <c r="AT240" i="385"/>
  <c r="AS240" i="385"/>
  <c r="AR240" i="385"/>
  <c r="AQ240" i="385"/>
  <c r="AP240" i="385"/>
  <c r="BN239" i="385"/>
  <c r="BL239" i="385"/>
  <c r="BK239" i="385"/>
  <c r="BJ239" i="385"/>
  <c r="BM239" i="385" s="1"/>
  <c r="BI239" i="385"/>
  <c r="BH239" i="385"/>
  <c r="BG239" i="385"/>
  <c r="BF239" i="385"/>
  <c r="BE239" i="385"/>
  <c r="BD239" i="385"/>
  <c r="BC239" i="385"/>
  <c r="BB239" i="385"/>
  <c r="BA239" i="385"/>
  <c r="AZ239" i="385"/>
  <c r="AW239" i="385"/>
  <c r="AV239" i="385"/>
  <c r="AU239" i="385"/>
  <c r="AT239" i="385"/>
  <c r="AS239" i="385"/>
  <c r="AR239" i="385"/>
  <c r="AQ239" i="385"/>
  <c r="AP239" i="385"/>
  <c r="BN238" i="385"/>
  <c r="BL238" i="385"/>
  <c r="BK238" i="385"/>
  <c r="BJ238" i="385"/>
  <c r="BM238" i="385" s="1"/>
  <c r="BI238" i="385"/>
  <c r="BH238" i="385"/>
  <c r="BG238" i="385"/>
  <c r="BF238" i="385"/>
  <c r="BE238" i="385"/>
  <c r="BD238" i="385"/>
  <c r="BC238" i="385"/>
  <c r="BB238" i="385"/>
  <c r="BA238" i="385"/>
  <c r="AZ238" i="385"/>
  <c r="AW238" i="385"/>
  <c r="AV238" i="385"/>
  <c r="AU238" i="385"/>
  <c r="AT238" i="385"/>
  <c r="AS238" i="385"/>
  <c r="AR238" i="385"/>
  <c r="AQ238" i="385"/>
  <c r="AP238" i="385"/>
  <c r="BN237" i="385"/>
  <c r="BM237" i="385"/>
  <c r="BL237" i="385"/>
  <c r="BK237" i="385"/>
  <c r="BJ237" i="385"/>
  <c r="BI237" i="385"/>
  <c r="BH237" i="385"/>
  <c r="BG237" i="385"/>
  <c r="BF237" i="385"/>
  <c r="BE237" i="385"/>
  <c r="BD237" i="385"/>
  <c r="BC237" i="385"/>
  <c r="BB237" i="385"/>
  <c r="BA237" i="385"/>
  <c r="AZ237" i="385"/>
  <c r="AW237" i="385"/>
  <c r="AV237" i="385"/>
  <c r="AU237" i="385"/>
  <c r="AT237" i="385"/>
  <c r="AS237" i="385"/>
  <c r="AR237" i="385"/>
  <c r="AQ237" i="385"/>
  <c r="AP237" i="385"/>
  <c r="BN236" i="385"/>
  <c r="BM236" i="385"/>
  <c r="BL236" i="385"/>
  <c r="BK236" i="385"/>
  <c r="BJ236" i="385"/>
  <c r="BI236" i="385"/>
  <c r="BH236" i="385"/>
  <c r="BG236" i="385"/>
  <c r="BF236" i="385"/>
  <c r="BE236" i="385"/>
  <c r="BD236" i="385"/>
  <c r="BC236" i="385"/>
  <c r="BB236" i="385"/>
  <c r="BA236" i="385"/>
  <c r="AZ236" i="385"/>
  <c r="AW236" i="385"/>
  <c r="AV236" i="385"/>
  <c r="AU236" i="385"/>
  <c r="AT236" i="385"/>
  <c r="AS236" i="385"/>
  <c r="AR236" i="385"/>
  <c r="AQ236" i="385"/>
  <c r="AP236" i="385"/>
  <c r="BN235" i="385"/>
  <c r="BM235" i="385"/>
  <c r="BL235" i="385"/>
  <c r="BK235" i="385"/>
  <c r="BJ235" i="385"/>
  <c r="BI235" i="385"/>
  <c r="BH235" i="385"/>
  <c r="BG235" i="385"/>
  <c r="BF235" i="385"/>
  <c r="BE235" i="385"/>
  <c r="BD235" i="385"/>
  <c r="BC235" i="385"/>
  <c r="BB235" i="385"/>
  <c r="BA235" i="385"/>
  <c r="AZ235" i="385"/>
  <c r="AW235" i="385"/>
  <c r="AV235" i="385"/>
  <c r="AU235" i="385"/>
  <c r="AT235" i="385"/>
  <c r="AS235" i="385"/>
  <c r="AR235" i="385"/>
  <c r="AQ235" i="385"/>
  <c r="AP235" i="385"/>
  <c r="AO234" i="385"/>
  <c r="AN234" i="385"/>
  <c r="AM234" i="385"/>
  <c r="AL234" i="385"/>
  <c r="AK234" i="385"/>
  <c r="AJ234" i="385"/>
  <c r="AI234" i="385"/>
  <c r="AH234" i="385"/>
  <c r="AG234" i="385"/>
  <c r="AF234" i="385"/>
  <c r="AE234" i="385"/>
  <c r="AD234" i="385"/>
  <c r="AC234" i="385"/>
  <c r="AB234" i="385"/>
  <c r="AA234" i="385"/>
  <c r="Z234" i="385"/>
  <c r="Y234" i="385"/>
  <c r="X234" i="385"/>
  <c r="W234" i="385"/>
  <c r="V234" i="385"/>
  <c r="U234" i="385"/>
  <c r="T234" i="385"/>
  <c r="S234" i="385"/>
  <c r="R234" i="385"/>
  <c r="Q234" i="385"/>
  <c r="P234" i="385"/>
  <c r="O234" i="385"/>
  <c r="N234" i="385"/>
  <c r="M234" i="385"/>
  <c r="L234" i="385"/>
  <c r="AO233" i="385"/>
  <c r="AN233" i="385"/>
  <c r="AM233" i="385"/>
  <c r="AL233" i="385"/>
  <c r="AK233" i="385"/>
  <c r="AJ233" i="385"/>
  <c r="AI233" i="385"/>
  <c r="AH233" i="385"/>
  <c r="AG233" i="385"/>
  <c r="AF233" i="385"/>
  <c r="AE233" i="385"/>
  <c r="AD233" i="385"/>
  <c r="AC233" i="385"/>
  <c r="AB233" i="385"/>
  <c r="AA233" i="385"/>
  <c r="Z233" i="385"/>
  <c r="Y233" i="385"/>
  <c r="X233" i="385"/>
  <c r="W233" i="385"/>
  <c r="V233" i="385"/>
  <c r="U233" i="385"/>
  <c r="T233" i="385"/>
  <c r="S233" i="385"/>
  <c r="R233" i="385"/>
  <c r="Q233" i="385"/>
  <c r="P233" i="385"/>
  <c r="O233" i="385"/>
  <c r="N233" i="385"/>
  <c r="M233" i="385"/>
  <c r="L233" i="385"/>
  <c r="AO232" i="385"/>
  <c r="AN232" i="385"/>
  <c r="AM232" i="385"/>
  <c r="AL232" i="385"/>
  <c r="AK232" i="385"/>
  <c r="AJ232" i="385"/>
  <c r="AI232" i="385"/>
  <c r="AH232" i="385"/>
  <c r="AG232" i="385"/>
  <c r="AF232" i="385"/>
  <c r="AE232" i="385"/>
  <c r="AD232" i="385"/>
  <c r="AC232" i="385"/>
  <c r="AB232" i="385"/>
  <c r="AA232" i="385"/>
  <c r="Z232" i="385"/>
  <c r="Y232" i="385"/>
  <c r="X232" i="385"/>
  <c r="W232" i="385"/>
  <c r="V232" i="385"/>
  <c r="U232" i="385"/>
  <c r="T232" i="385"/>
  <c r="S232" i="385"/>
  <c r="R232" i="385"/>
  <c r="Q232" i="385"/>
  <c r="P232" i="385"/>
  <c r="O232" i="385"/>
  <c r="N232" i="385"/>
  <c r="M232" i="385"/>
  <c r="L232" i="385"/>
  <c r="BN231" i="385"/>
  <c r="BM231" i="385"/>
  <c r="BL231" i="385"/>
  <c r="BK231" i="385"/>
  <c r="BJ231" i="385"/>
  <c r="BI231" i="385"/>
  <c r="BH231" i="385"/>
  <c r="BG231" i="385"/>
  <c r="BF231" i="385"/>
  <c r="BE231" i="385"/>
  <c r="BD231" i="385"/>
  <c r="BC231" i="385"/>
  <c r="BB231" i="385"/>
  <c r="BA231" i="385"/>
  <c r="AZ231" i="385"/>
  <c r="AY231" i="385"/>
  <c r="AW231" i="385"/>
  <c r="AV231" i="385"/>
  <c r="AU231" i="385"/>
  <c r="AT231" i="385"/>
  <c r="AS231" i="385"/>
  <c r="AR231" i="385"/>
  <c r="AQ231" i="385"/>
  <c r="AP231" i="385"/>
  <c r="BN230" i="385"/>
  <c r="BM230" i="385"/>
  <c r="BL230" i="385"/>
  <c r="BK230" i="385"/>
  <c r="BJ230" i="385"/>
  <c r="BI230" i="385"/>
  <c r="BH230" i="385"/>
  <c r="BG230" i="385"/>
  <c r="BF230" i="385"/>
  <c r="BE230" i="385"/>
  <c r="BD230" i="385"/>
  <c r="BC230" i="385"/>
  <c r="BB230" i="385"/>
  <c r="BA230" i="385"/>
  <c r="AZ230" i="385"/>
  <c r="AY230" i="385"/>
  <c r="AW230" i="385"/>
  <c r="AV230" i="385"/>
  <c r="AU230" i="385"/>
  <c r="AT230" i="385"/>
  <c r="AS230" i="385"/>
  <c r="AR230" i="385"/>
  <c r="AQ230" i="385"/>
  <c r="AP230" i="385"/>
  <c r="BN229" i="385"/>
  <c r="BM229" i="385"/>
  <c r="BL229" i="385"/>
  <c r="BK229" i="385"/>
  <c r="BJ229" i="385"/>
  <c r="BI229" i="385"/>
  <c r="BH229" i="385"/>
  <c r="BG229" i="385"/>
  <c r="BF229" i="385"/>
  <c r="BE229" i="385"/>
  <c r="BD229" i="385"/>
  <c r="BC229" i="385"/>
  <c r="BB229" i="385"/>
  <c r="BA229" i="385"/>
  <c r="AZ229" i="385"/>
  <c r="AY229" i="385"/>
  <c r="AW229" i="385"/>
  <c r="AV229" i="385"/>
  <c r="AU229" i="385"/>
  <c r="AT229" i="385"/>
  <c r="AS229" i="385"/>
  <c r="AR229" i="385"/>
  <c r="AQ229" i="385"/>
  <c r="AP229" i="385"/>
  <c r="BN228" i="385"/>
  <c r="BM228" i="385"/>
  <c r="BL228" i="385"/>
  <c r="BK228" i="385"/>
  <c r="BJ228" i="385"/>
  <c r="BI228" i="385"/>
  <c r="BH228" i="385"/>
  <c r="BG228" i="385"/>
  <c r="BF228" i="385"/>
  <c r="BE228" i="385"/>
  <c r="BD228" i="385"/>
  <c r="BC228" i="385"/>
  <c r="BB228" i="385"/>
  <c r="BA228" i="385"/>
  <c r="AZ228" i="385"/>
  <c r="AY228" i="385"/>
  <c r="AW228" i="385"/>
  <c r="AV228" i="385"/>
  <c r="AU228" i="385"/>
  <c r="AT228" i="385"/>
  <c r="AS228" i="385"/>
  <c r="AR228" i="385"/>
  <c r="AQ228" i="385"/>
  <c r="AP228" i="385"/>
  <c r="BN227" i="385"/>
  <c r="BM227" i="385"/>
  <c r="BL227" i="385"/>
  <c r="BK227" i="385"/>
  <c r="BJ227" i="385"/>
  <c r="BI227" i="385"/>
  <c r="BH227" i="385"/>
  <c r="BG227" i="385"/>
  <c r="BF227" i="385"/>
  <c r="BE227" i="385"/>
  <c r="BD227" i="385"/>
  <c r="BC227" i="385"/>
  <c r="BB227" i="385"/>
  <c r="BA227" i="385"/>
  <c r="AZ227" i="385"/>
  <c r="AY227" i="385"/>
  <c r="AW227" i="385"/>
  <c r="AV227" i="385"/>
  <c r="AU227" i="385"/>
  <c r="AT227" i="385"/>
  <c r="AS227" i="385"/>
  <c r="AR227" i="385"/>
  <c r="AQ227" i="385"/>
  <c r="AP227" i="385"/>
  <c r="BN226" i="385"/>
  <c r="BM226" i="385"/>
  <c r="BL226" i="385"/>
  <c r="BK226" i="385"/>
  <c r="BJ226" i="385"/>
  <c r="BI226" i="385"/>
  <c r="BH226" i="385"/>
  <c r="BG226" i="385"/>
  <c r="BF226" i="385"/>
  <c r="BE226" i="385"/>
  <c r="BD226" i="385"/>
  <c r="BC226" i="385"/>
  <c r="BB226" i="385"/>
  <c r="BA226" i="385"/>
  <c r="AZ226" i="385"/>
  <c r="AY226" i="385"/>
  <c r="AW226" i="385"/>
  <c r="AV226" i="385"/>
  <c r="AU226" i="385"/>
  <c r="AT226" i="385"/>
  <c r="AS226" i="385"/>
  <c r="AR226" i="385"/>
  <c r="AQ226" i="385"/>
  <c r="AP226" i="385"/>
  <c r="BN225" i="385"/>
  <c r="BM225" i="385"/>
  <c r="BL225" i="385"/>
  <c r="BK225" i="385"/>
  <c r="BJ225" i="385"/>
  <c r="BI225" i="385"/>
  <c r="BH225" i="385"/>
  <c r="BG225" i="385"/>
  <c r="BF225" i="385"/>
  <c r="BE225" i="385"/>
  <c r="BD225" i="385"/>
  <c r="BC225" i="385"/>
  <c r="BB225" i="385"/>
  <c r="BA225" i="385"/>
  <c r="AZ225" i="385"/>
  <c r="AY225" i="385"/>
  <c r="AW225" i="385"/>
  <c r="AV225" i="385"/>
  <c r="AU225" i="385"/>
  <c r="AT225" i="385"/>
  <c r="AS225" i="385"/>
  <c r="AR225" i="385"/>
  <c r="AQ225" i="385"/>
  <c r="AP225" i="385"/>
  <c r="BN224" i="385"/>
  <c r="BM224" i="385"/>
  <c r="BL224" i="385"/>
  <c r="BK224" i="385"/>
  <c r="BJ224" i="385"/>
  <c r="BI224" i="385"/>
  <c r="BH224" i="385"/>
  <c r="BG224" i="385"/>
  <c r="BF224" i="385"/>
  <c r="BE224" i="385"/>
  <c r="BD224" i="385"/>
  <c r="BC224" i="385"/>
  <c r="BB224" i="385"/>
  <c r="BA224" i="385"/>
  <c r="AZ224" i="385"/>
  <c r="AY224" i="385"/>
  <c r="AW224" i="385"/>
  <c r="AV224" i="385"/>
  <c r="AU224" i="385"/>
  <c r="AT224" i="385"/>
  <c r="AS224" i="385"/>
  <c r="AR224" i="385"/>
  <c r="AQ224" i="385"/>
  <c r="AP224" i="385"/>
  <c r="BN223" i="385"/>
  <c r="BM223" i="385"/>
  <c r="BL223" i="385"/>
  <c r="BK223" i="385"/>
  <c r="BJ223" i="385"/>
  <c r="BI223" i="385"/>
  <c r="BH223" i="385"/>
  <c r="BG223" i="385"/>
  <c r="BF223" i="385"/>
  <c r="BE223" i="385"/>
  <c r="BD223" i="385"/>
  <c r="BC223" i="385"/>
  <c r="BB223" i="385"/>
  <c r="BA223" i="385"/>
  <c r="AZ223" i="385"/>
  <c r="AY223" i="385"/>
  <c r="AW223" i="385"/>
  <c r="AV223" i="385"/>
  <c r="AU223" i="385"/>
  <c r="AT223" i="385"/>
  <c r="AS223" i="385"/>
  <c r="AR223" i="385"/>
  <c r="AQ223" i="385"/>
  <c r="AP223" i="385"/>
  <c r="BN222" i="385"/>
  <c r="BM222" i="385"/>
  <c r="BL222" i="385"/>
  <c r="BK222" i="385"/>
  <c r="BJ222" i="385"/>
  <c r="BI222" i="385"/>
  <c r="BH222" i="385"/>
  <c r="BG222" i="385"/>
  <c r="BF222" i="385"/>
  <c r="BE222" i="385"/>
  <c r="BD222" i="385"/>
  <c r="BC222" i="385"/>
  <c r="BB222" i="385"/>
  <c r="BA222" i="385"/>
  <c r="AZ222" i="385"/>
  <c r="AW222" i="385"/>
  <c r="AV222" i="385"/>
  <c r="AU222" i="385"/>
  <c r="AT222" i="385"/>
  <c r="AS222" i="385"/>
  <c r="AR222" i="385"/>
  <c r="AQ222" i="385"/>
  <c r="AP222" i="385"/>
  <c r="BN221" i="385"/>
  <c r="BK221" i="385"/>
  <c r="BJ221" i="385"/>
  <c r="BM221" i="385" s="1"/>
  <c r="BI221" i="385"/>
  <c r="BH221" i="385"/>
  <c r="BG221" i="385"/>
  <c r="BF221" i="385"/>
  <c r="BE221" i="385"/>
  <c r="BD221" i="385"/>
  <c r="BC221" i="385"/>
  <c r="BB221" i="385"/>
  <c r="BA221" i="385"/>
  <c r="AZ221" i="385"/>
  <c r="AY221" i="385"/>
  <c r="BL221" i="385" s="1"/>
  <c r="AW221" i="385"/>
  <c r="AV221" i="385"/>
  <c r="AU221" i="385"/>
  <c r="AT221" i="385"/>
  <c r="AS221" i="385"/>
  <c r="AR221" i="385"/>
  <c r="AQ221" i="385"/>
  <c r="AP221" i="385"/>
  <c r="BN220" i="385"/>
  <c r="BK220" i="385"/>
  <c r="BJ220" i="385"/>
  <c r="BM220" i="385" s="1"/>
  <c r="BI220" i="385"/>
  <c r="BH220" i="385"/>
  <c r="BG220" i="385"/>
  <c r="BF220" i="385"/>
  <c r="BE220" i="385"/>
  <c r="BD220" i="385"/>
  <c r="BC220" i="385"/>
  <c r="BB220" i="385"/>
  <c r="BA220" i="385"/>
  <c r="AZ220" i="385"/>
  <c r="AY220" i="385"/>
  <c r="BL220" i="385" s="1"/>
  <c r="AW220" i="385"/>
  <c r="AV220" i="385"/>
  <c r="AU220" i="385"/>
  <c r="AT220" i="385"/>
  <c r="AS220" i="385"/>
  <c r="AR220" i="385"/>
  <c r="AQ220" i="385"/>
  <c r="AP220" i="385"/>
  <c r="BN219" i="385"/>
  <c r="BK219" i="385"/>
  <c r="BJ219" i="385"/>
  <c r="BM219" i="385" s="1"/>
  <c r="BI219" i="385"/>
  <c r="BH219" i="385"/>
  <c r="BG219" i="385"/>
  <c r="BF219" i="385"/>
  <c r="BE219" i="385"/>
  <c r="BD219" i="385"/>
  <c r="BC219" i="385"/>
  <c r="BB219" i="385"/>
  <c r="BA219" i="385"/>
  <c r="AZ219" i="385"/>
  <c r="AY219" i="385"/>
  <c r="BL219" i="385" s="1"/>
  <c r="AW219" i="385"/>
  <c r="AV219" i="385"/>
  <c r="AU219" i="385"/>
  <c r="AT219" i="385"/>
  <c r="AS219" i="385"/>
  <c r="AR219" i="385"/>
  <c r="AQ219" i="385"/>
  <c r="AP219" i="385"/>
  <c r="BN218" i="385"/>
  <c r="BK218" i="385"/>
  <c r="BJ218" i="385"/>
  <c r="BM218" i="385" s="1"/>
  <c r="BI218" i="385"/>
  <c r="BH218" i="385"/>
  <c r="BG218" i="385"/>
  <c r="BF218" i="385"/>
  <c r="BE218" i="385"/>
  <c r="BD218" i="385"/>
  <c r="BC218" i="385"/>
  <c r="BB218" i="385"/>
  <c r="BA218" i="385"/>
  <c r="AZ218" i="385"/>
  <c r="AY218" i="385"/>
  <c r="BL218" i="385" s="1"/>
  <c r="AW218" i="385"/>
  <c r="AV218" i="385"/>
  <c r="AU218" i="385"/>
  <c r="AT218" i="385"/>
  <c r="AS218" i="385"/>
  <c r="AR218" i="385"/>
  <c r="AQ218" i="385"/>
  <c r="AP218" i="385"/>
  <c r="BN217" i="385"/>
  <c r="BL217" i="385"/>
  <c r="BK217" i="385"/>
  <c r="BJ217" i="385"/>
  <c r="BM217" i="385" s="1"/>
  <c r="BI217" i="385"/>
  <c r="BH217" i="385"/>
  <c r="BG217" i="385"/>
  <c r="BF217" i="385"/>
  <c r="BE217" i="385"/>
  <c r="BD217" i="385"/>
  <c r="BC217" i="385"/>
  <c r="BB217" i="385"/>
  <c r="BA217" i="385"/>
  <c r="AZ217" i="385"/>
  <c r="AW217" i="385"/>
  <c r="AV217" i="385"/>
  <c r="AU217" i="385"/>
  <c r="AT217" i="385"/>
  <c r="AS217" i="385"/>
  <c r="AR217" i="385"/>
  <c r="AQ217" i="385"/>
  <c r="AP217" i="385"/>
  <c r="BN216" i="385"/>
  <c r="BL216" i="385"/>
  <c r="BK216" i="385"/>
  <c r="BJ216" i="385"/>
  <c r="BM216" i="385" s="1"/>
  <c r="BI216" i="385"/>
  <c r="BH216" i="385"/>
  <c r="BG216" i="385"/>
  <c r="BF216" i="385"/>
  <c r="BE216" i="385"/>
  <c r="BD216" i="385"/>
  <c r="BC216" i="385"/>
  <c r="BB216" i="385"/>
  <c r="BA216" i="385"/>
  <c r="AZ216" i="385"/>
  <c r="AW216" i="385"/>
  <c r="AV216" i="385"/>
  <c r="AU216" i="385"/>
  <c r="AT216" i="385"/>
  <c r="AS216" i="385"/>
  <c r="AR216" i="385"/>
  <c r="AQ216" i="385"/>
  <c r="AP216" i="385"/>
  <c r="AO215" i="385"/>
  <c r="AN215" i="385"/>
  <c r="AM215" i="385"/>
  <c r="AL215" i="385"/>
  <c r="AK215" i="385"/>
  <c r="AJ215" i="385"/>
  <c r="AI215" i="385"/>
  <c r="AH215" i="385"/>
  <c r="AG215" i="385"/>
  <c r="AF215" i="385"/>
  <c r="AE215" i="385"/>
  <c r="AD215" i="385"/>
  <c r="AC215" i="385"/>
  <c r="AB215" i="385"/>
  <c r="AA215" i="385"/>
  <c r="Z215" i="385"/>
  <c r="Y215" i="385"/>
  <c r="X215" i="385"/>
  <c r="W215" i="385"/>
  <c r="V215" i="385"/>
  <c r="U215" i="385"/>
  <c r="T215" i="385"/>
  <c r="S215" i="385"/>
  <c r="R215" i="385"/>
  <c r="Q215" i="385"/>
  <c r="P215" i="385"/>
  <c r="O215" i="385"/>
  <c r="N215" i="385"/>
  <c r="M215" i="385"/>
  <c r="L215" i="385"/>
  <c r="BN214" i="385"/>
  <c r="BK214" i="385"/>
  <c r="BJ214" i="385"/>
  <c r="BM214" i="385" s="1"/>
  <c r="BI214" i="385"/>
  <c r="BH214" i="385"/>
  <c r="BG214" i="385"/>
  <c r="BF214" i="385"/>
  <c r="BE214" i="385"/>
  <c r="BD214" i="385"/>
  <c r="BC214" i="385"/>
  <c r="BB214" i="385"/>
  <c r="BA214" i="385"/>
  <c r="AZ214" i="385"/>
  <c r="AY214" i="385"/>
  <c r="BL214" i="385" s="1"/>
  <c r="AW214" i="385"/>
  <c r="AV214" i="385"/>
  <c r="AU214" i="385"/>
  <c r="AT214" i="385"/>
  <c r="AS214" i="385"/>
  <c r="AR214" i="385"/>
  <c r="AQ214" i="385"/>
  <c r="AP214" i="385"/>
  <c r="BN213" i="385"/>
  <c r="BL213" i="385"/>
  <c r="BK213" i="385"/>
  <c r="BJ213" i="385"/>
  <c r="BM213" i="385" s="1"/>
  <c r="BI213" i="385"/>
  <c r="BH213" i="385"/>
  <c r="BG213" i="385"/>
  <c r="BF213" i="385"/>
  <c r="BE213" i="385"/>
  <c r="BD213" i="385"/>
  <c r="BC213" i="385"/>
  <c r="BB213" i="385"/>
  <c r="BA213" i="385"/>
  <c r="AZ213" i="385"/>
  <c r="AW213" i="385"/>
  <c r="AV213" i="385"/>
  <c r="AU213" i="385"/>
  <c r="AT213" i="385"/>
  <c r="AS213" i="385"/>
  <c r="AR213" i="385"/>
  <c r="AQ213" i="385"/>
  <c r="AP213" i="385"/>
  <c r="BN212" i="385"/>
  <c r="BM212" i="385"/>
  <c r="BK212" i="385"/>
  <c r="BJ212" i="385"/>
  <c r="BI212" i="385"/>
  <c r="BH212" i="385"/>
  <c r="BG212" i="385"/>
  <c r="BF212" i="385"/>
  <c r="BE212" i="385"/>
  <c r="BD212" i="385"/>
  <c r="BC212" i="385"/>
  <c r="BB212" i="385"/>
  <c r="BA212" i="385"/>
  <c r="AZ212" i="385"/>
  <c r="AY212" i="385"/>
  <c r="BL212" i="385" s="1"/>
  <c r="AW212" i="385"/>
  <c r="AV212" i="385"/>
  <c r="AU212" i="385"/>
  <c r="AT212" i="385"/>
  <c r="AS212" i="385"/>
  <c r="AR212" i="385"/>
  <c r="AQ212" i="385"/>
  <c r="AP212" i="385"/>
  <c r="AO211" i="385"/>
  <c r="AN211" i="385"/>
  <c r="AM211" i="385"/>
  <c r="AL211" i="385"/>
  <c r="AK211" i="385"/>
  <c r="AJ211" i="385"/>
  <c r="AI211" i="385"/>
  <c r="AH211" i="385"/>
  <c r="AG211" i="385"/>
  <c r="AF211" i="385"/>
  <c r="AE211" i="385"/>
  <c r="AD211" i="385"/>
  <c r="AC211" i="385"/>
  <c r="AB211" i="385"/>
  <c r="AA211" i="385"/>
  <c r="Z211" i="385"/>
  <c r="Y211" i="385"/>
  <c r="X211" i="385"/>
  <c r="W211" i="385"/>
  <c r="V211" i="385"/>
  <c r="U211" i="385"/>
  <c r="T211" i="385"/>
  <c r="S211" i="385"/>
  <c r="R211" i="385"/>
  <c r="Q211" i="385"/>
  <c r="P211" i="385"/>
  <c r="O211" i="385"/>
  <c r="N211" i="385"/>
  <c r="M211" i="385"/>
  <c r="L211" i="385"/>
  <c r="BN210" i="385"/>
  <c r="BM210" i="385"/>
  <c r="BL210" i="385"/>
  <c r="BK210" i="385"/>
  <c r="BJ210" i="385"/>
  <c r="BI210" i="385"/>
  <c r="BH210" i="385"/>
  <c r="BG210" i="385"/>
  <c r="BF210" i="385"/>
  <c r="BE210" i="385"/>
  <c r="BD210" i="385"/>
  <c r="BC210" i="385"/>
  <c r="BB210" i="385"/>
  <c r="BA210" i="385"/>
  <c r="AZ210" i="385"/>
  <c r="AY210" i="385"/>
  <c r="AW210" i="385"/>
  <c r="AV210" i="385"/>
  <c r="AU210" i="385"/>
  <c r="AT210" i="385"/>
  <c r="AS210" i="385"/>
  <c r="AR210" i="385"/>
  <c r="AQ210" i="385"/>
  <c r="AP210" i="385"/>
  <c r="AO209" i="385"/>
  <c r="AN209" i="385"/>
  <c r="AM209" i="385"/>
  <c r="AL209" i="385"/>
  <c r="AK209" i="385"/>
  <c r="AJ209" i="385"/>
  <c r="AI209" i="385"/>
  <c r="AH209" i="385"/>
  <c r="AG209" i="385"/>
  <c r="AF209" i="385"/>
  <c r="AE209" i="385"/>
  <c r="AD209" i="385"/>
  <c r="AC209" i="385"/>
  <c r="AB209" i="385"/>
  <c r="AA209" i="385"/>
  <c r="Z209" i="385"/>
  <c r="Y209" i="385"/>
  <c r="X209" i="385"/>
  <c r="W209" i="385"/>
  <c r="V209" i="385"/>
  <c r="U209" i="385"/>
  <c r="T209" i="385"/>
  <c r="S209" i="385"/>
  <c r="R209" i="385"/>
  <c r="Q209" i="385"/>
  <c r="P209" i="385"/>
  <c r="O209" i="385"/>
  <c r="N209" i="385"/>
  <c r="M209" i="385"/>
  <c r="L209" i="385"/>
  <c r="BN208" i="385"/>
  <c r="BL208" i="385"/>
  <c r="BK208" i="385"/>
  <c r="BJ208" i="385"/>
  <c r="BM208" i="385" s="1"/>
  <c r="BI208" i="385"/>
  <c r="BH208" i="385"/>
  <c r="BG208" i="385"/>
  <c r="BF208" i="385"/>
  <c r="BE208" i="385"/>
  <c r="BD208" i="385"/>
  <c r="BC208" i="385"/>
  <c r="BB208" i="385"/>
  <c r="BA208" i="385"/>
  <c r="AZ208" i="385"/>
  <c r="AX208" i="385"/>
  <c r="AW208" i="385"/>
  <c r="AV208" i="385"/>
  <c r="AU208" i="385"/>
  <c r="AT208" i="385"/>
  <c r="AS208" i="385"/>
  <c r="AR208" i="385"/>
  <c r="AQ208" i="385"/>
  <c r="AP208" i="385"/>
  <c r="AO207" i="385"/>
  <c r="AN207" i="385"/>
  <c r="AM207" i="385"/>
  <c r="AL207" i="385"/>
  <c r="AK207" i="385"/>
  <c r="AJ207" i="385"/>
  <c r="AI207" i="385"/>
  <c r="AH207" i="385"/>
  <c r="AG207" i="385"/>
  <c r="AF207" i="385"/>
  <c r="AE207" i="385"/>
  <c r="AD207" i="385"/>
  <c r="AC207" i="385"/>
  <c r="AB207" i="385"/>
  <c r="AA207" i="385"/>
  <c r="Z207" i="385"/>
  <c r="Y207" i="385"/>
  <c r="X207" i="385"/>
  <c r="W207" i="385"/>
  <c r="V207" i="385"/>
  <c r="U207" i="385"/>
  <c r="T207" i="385"/>
  <c r="S207" i="385"/>
  <c r="R207" i="385"/>
  <c r="Q207" i="385"/>
  <c r="P207" i="385"/>
  <c r="O207" i="385"/>
  <c r="N207" i="385"/>
  <c r="M207" i="385"/>
  <c r="L207" i="385"/>
  <c r="BN206" i="385"/>
  <c r="BL206" i="385"/>
  <c r="BK206" i="385"/>
  <c r="BJ206" i="385"/>
  <c r="BM206" i="385" s="1"/>
  <c r="BI206" i="385"/>
  <c r="BH206" i="385"/>
  <c r="BG206" i="385"/>
  <c r="BF206" i="385"/>
  <c r="BE206" i="385"/>
  <c r="BD206" i="385"/>
  <c r="BC206" i="385"/>
  <c r="BB206" i="385"/>
  <c r="BA206" i="385"/>
  <c r="AZ206" i="385"/>
  <c r="AW206" i="385"/>
  <c r="AV206" i="385"/>
  <c r="AU206" i="385"/>
  <c r="AT206" i="385"/>
  <c r="AS206" i="385"/>
  <c r="AR206" i="385"/>
  <c r="AQ206" i="385"/>
  <c r="AP206" i="385"/>
  <c r="BN205" i="385"/>
  <c r="BL205" i="385"/>
  <c r="BK205" i="385"/>
  <c r="BJ205" i="385"/>
  <c r="BM205" i="385" s="1"/>
  <c r="BI205" i="385"/>
  <c r="BH205" i="385"/>
  <c r="BG205" i="385"/>
  <c r="BF205" i="385"/>
  <c r="BE205" i="385"/>
  <c r="BD205" i="385"/>
  <c r="BC205" i="385"/>
  <c r="BB205" i="385"/>
  <c r="BA205" i="385"/>
  <c r="AZ205" i="385"/>
  <c r="AW205" i="385"/>
  <c r="AV205" i="385"/>
  <c r="AU205" i="385"/>
  <c r="AT205" i="385"/>
  <c r="AS205" i="385"/>
  <c r="AR205" i="385"/>
  <c r="AQ205" i="385"/>
  <c r="AP205" i="385"/>
  <c r="BN204" i="385"/>
  <c r="BM204" i="385"/>
  <c r="BK204" i="385"/>
  <c r="BJ204" i="385"/>
  <c r="BI204" i="385"/>
  <c r="BH204" i="385"/>
  <c r="BG204" i="385"/>
  <c r="BF204" i="385"/>
  <c r="BE204" i="385"/>
  <c r="BD204" i="385"/>
  <c r="BC204" i="385"/>
  <c r="BB204" i="385"/>
  <c r="BA204" i="385"/>
  <c r="AZ204" i="385"/>
  <c r="AY204" i="385"/>
  <c r="BL204" i="385" s="1"/>
  <c r="AW204" i="385"/>
  <c r="AV204" i="385"/>
  <c r="AU204" i="385"/>
  <c r="AT204" i="385"/>
  <c r="AS204" i="385"/>
  <c r="AR204" i="385"/>
  <c r="AQ204" i="385"/>
  <c r="AP204" i="385"/>
  <c r="BN203" i="385"/>
  <c r="BM203" i="385"/>
  <c r="BL203" i="385"/>
  <c r="BK203" i="385"/>
  <c r="BJ203" i="385"/>
  <c r="BI203" i="385"/>
  <c r="BH203" i="385"/>
  <c r="BG203" i="385"/>
  <c r="BF203" i="385"/>
  <c r="BE203" i="385"/>
  <c r="BD203" i="385"/>
  <c r="BC203" i="385"/>
  <c r="BB203" i="385"/>
  <c r="BA203" i="385"/>
  <c r="AZ203" i="385"/>
  <c r="AW203" i="385"/>
  <c r="AV203" i="385"/>
  <c r="AU203" i="385"/>
  <c r="AT203" i="385"/>
  <c r="AS203" i="385"/>
  <c r="AR203" i="385"/>
  <c r="AQ203" i="385"/>
  <c r="AP203" i="385"/>
  <c r="BN202" i="385"/>
  <c r="BM202" i="385"/>
  <c r="BL202" i="385"/>
  <c r="BJ202" i="385"/>
  <c r="BI202" i="385"/>
  <c r="BH202" i="385"/>
  <c r="BG202" i="385"/>
  <c r="BF202" i="385"/>
  <c r="BE202" i="385"/>
  <c r="BD202" i="385"/>
  <c r="BC202" i="385"/>
  <c r="BB202" i="385"/>
  <c r="BA202" i="385"/>
  <c r="AZ202" i="385"/>
  <c r="AY202" i="385"/>
  <c r="AX202" i="385"/>
  <c r="BK202" i="385" s="1"/>
  <c r="AW202" i="385"/>
  <c r="AV202" i="385"/>
  <c r="AU202" i="385"/>
  <c r="AT202" i="385"/>
  <c r="AS202" i="385"/>
  <c r="AR202" i="385"/>
  <c r="AQ202" i="385"/>
  <c r="AP202" i="385"/>
  <c r="BN201" i="385"/>
  <c r="BM201" i="385"/>
  <c r="BK201" i="385"/>
  <c r="BJ201" i="385"/>
  <c r="BI201" i="385"/>
  <c r="BH201" i="385"/>
  <c r="BG201" i="385"/>
  <c r="BF201" i="385"/>
  <c r="BE201" i="385"/>
  <c r="BD201" i="385"/>
  <c r="BC201" i="385"/>
  <c r="BB201" i="385"/>
  <c r="BA201" i="385"/>
  <c r="AZ201" i="385"/>
  <c r="AY201" i="385"/>
  <c r="BL201" i="385" s="1"/>
  <c r="AW201" i="385"/>
  <c r="AV201" i="385"/>
  <c r="AU201" i="385"/>
  <c r="AT201" i="385"/>
  <c r="AS201" i="385"/>
  <c r="AR201" i="385"/>
  <c r="AQ201" i="385"/>
  <c r="AP201" i="385"/>
  <c r="BN200" i="385"/>
  <c r="BM200" i="385"/>
  <c r="BL200" i="385"/>
  <c r="BK200" i="385"/>
  <c r="BJ200" i="385"/>
  <c r="BI200" i="385"/>
  <c r="BH200" i="385"/>
  <c r="BG200" i="385"/>
  <c r="BF200" i="385"/>
  <c r="BE200" i="385"/>
  <c r="BD200" i="385"/>
  <c r="BC200" i="385"/>
  <c r="BB200" i="385"/>
  <c r="BA200" i="385"/>
  <c r="AZ200" i="385"/>
  <c r="AW200" i="385"/>
  <c r="AV200" i="385"/>
  <c r="AU200" i="385"/>
  <c r="AT200" i="385"/>
  <c r="AS200" i="385"/>
  <c r="AR200" i="385"/>
  <c r="AQ200" i="385"/>
  <c r="AP200" i="385"/>
  <c r="BN199" i="385"/>
  <c r="BM199" i="385"/>
  <c r="BL199" i="385"/>
  <c r="BK199" i="385"/>
  <c r="BJ199" i="385"/>
  <c r="BI199" i="385"/>
  <c r="BH199" i="385"/>
  <c r="BG199" i="385"/>
  <c r="BF199" i="385"/>
  <c r="BE199" i="385"/>
  <c r="BD199" i="385"/>
  <c r="BC199" i="385"/>
  <c r="BB199" i="385"/>
  <c r="BA199" i="385"/>
  <c r="AZ199" i="385"/>
  <c r="AY199" i="385"/>
  <c r="AW199" i="385"/>
  <c r="AV199" i="385"/>
  <c r="AU199" i="385"/>
  <c r="AT199" i="385"/>
  <c r="AS199" i="385"/>
  <c r="AR199" i="385"/>
  <c r="AQ199" i="385"/>
  <c r="AP199" i="385"/>
  <c r="BN198" i="385"/>
  <c r="BM198" i="385"/>
  <c r="BL198" i="385"/>
  <c r="BK198" i="385"/>
  <c r="BJ198" i="385"/>
  <c r="BI198" i="385"/>
  <c r="BH198" i="385"/>
  <c r="BG198" i="385"/>
  <c r="BF198" i="385"/>
  <c r="BE198" i="385"/>
  <c r="BD198" i="385"/>
  <c r="BC198" i="385"/>
  <c r="BB198" i="385"/>
  <c r="BA198" i="385"/>
  <c r="AZ198" i="385"/>
  <c r="AW198" i="385"/>
  <c r="AV198" i="385"/>
  <c r="AU198" i="385"/>
  <c r="AT198" i="385"/>
  <c r="AS198" i="385"/>
  <c r="AR198" i="385"/>
  <c r="AQ198" i="385"/>
  <c r="AP198" i="385"/>
  <c r="BN197" i="385"/>
  <c r="BL197" i="385"/>
  <c r="BK197" i="385"/>
  <c r="BJ197" i="385"/>
  <c r="BM197" i="385" s="1"/>
  <c r="BI197" i="385"/>
  <c r="BH197" i="385"/>
  <c r="BG197" i="385"/>
  <c r="BF197" i="385"/>
  <c r="BE197" i="385"/>
  <c r="BD197" i="385"/>
  <c r="BC197" i="385"/>
  <c r="BB197" i="385"/>
  <c r="BA197" i="385"/>
  <c r="AZ197" i="385"/>
  <c r="AY197" i="385"/>
  <c r="AX197" i="385"/>
  <c r="AW197" i="385"/>
  <c r="AV197" i="385"/>
  <c r="AU197" i="385"/>
  <c r="AT197" i="385"/>
  <c r="AS197" i="385"/>
  <c r="AR197" i="385"/>
  <c r="AQ197" i="385"/>
  <c r="AP197" i="385"/>
  <c r="BN196" i="385"/>
  <c r="BM196" i="385"/>
  <c r="BL196" i="385"/>
  <c r="BJ196" i="385"/>
  <c r="BI196" i="385"/>
  <c r="BH196" i="385"/>
  <c r="BG196" i="385"/>
  <c r="BF196" i="385"/>
  <c r="BE196" i="385"/>
  <c r="BD196" i="385"/>
  <c r="BC196" i="385"/>
  <c r="BB196" i="385"/>
  <c r="BA196" i="385"/>
  <c r="AZ196" i="385"/>
  <c r="AY196" i="385"/>
  <c r="AX196" i="385"/>
  <c r="BK196" i="385" s="1"/>
  <c r="AW196" i="385"/>
  <c r="AV196" i="385"/>
  <c r="AU196" i="385"/>
  <c r="AT196" i="385"/>
  <c r="AS196" i="385"/>
  <c r="AR196" i="385"/>
  <c r="AQ196" i="385"/>
  <c r="AP196" i="385"/>
  <c r="BN195" i="385"/>
  <c r="BM195" i="385"/>
  <c r="BK195" i="385"/>
  <c r="BJ195" i="385"/>
  <c r="BI195" i="385"/>
  <c r="BH195" i="385"/>
  <c r="BG195" i="385"/>
  <c r="BF195" i="385"/>
  <c r="BE195" i="385"/>
  <c r="BD195" i="385"/>
  <c r="BC195" i="385"/>
  <c r="BB195" i="385"/>
  <c r="BA195" i="385"/>
  <c r="AZ195" i="385"/>
  <c r="AY195" i="385"/>
  <c r="BL195" i="385" s="1"/>
  <c r="AW195" i="385"/>
  <c r="AV195" i="385"/>
  <c r="AU195" i="385"/>
  <c r="AT195" i="385"/>
  <c r="AS195" i="385"/>
  <c r="AR195" i="385"/>
  <c r="AQ195" i="385"/>
  <c r="AP195" i="385"/>
  <c r="BN194" i="385"/>
  <c r="BM194" i="385"/>
  <c r="BL194" i="385"/>
  <c r="BK194" i="385"/>
  <c r="BJ194" i="385"/>
  <c r="BI194" i="385"/>
  <c r="BH194" i="385"/>
  <c r="BG194" i="385"/>
  <c r="BF194" i="385"/>
  <c r="BE194" i="385"/>
  <c r="BD194" i="385"/>
  <c r="BC194" i="385"/>
  <c r="BB194" i="385"/>
  <c r="BA194" i="385"/>
  <c r="AZ194" i="385"/>
  <c r="AW194" i="385"/>
  <c r="AV194" i="385"/>
  <c r="AU194" i="385"/>
  <c r="AT194" i="385"/>
  <c r="AS194" i="385"/>
  <c r="AR194" i="385"/>
  <c r="AQ194" i="385"/>
  <c r="AP194" i="385"/>
  <c r="AO193" i="385"/>
  <c r="AN193" i="385"/>
  <c r="AM193" i="385"/>
  <c r="AL193" i="385"/>
  <c r="AK193" i="385"/>
  <c r="AJ193" i="385"/>
  <c r="AI193" i="385"/>
  <c r="AH193" i="385"/>
  <c r="AG193" i="385"/>
  <c r="AF193" i="385"/>
  <c r="AE193" i="385"/>
  <c r="AD193" i="385"/>
  <c r="AC193" i="385"/>
  <c r="AB193" i="385"/>
  <c r="AA193" i="385"/>
  <c r="Z193" i="385"/>
  <c r="Y193" i="385"/>
  <c r="X193" i="385"/>
  <c r="W193" i="385"/>
  <c r="V193" i="385"/>
  <c r="U193" i="385"/>
  <c r="T193" i="385"/>
  <c r="S193" i="385"/>
  <c r="R193" i="385"/>
  <c r="Q193" i="385"/>
  <c r="P193" i="385"/>
  <c r="O193" i="385"/>
  <c r="N193" i="385"/>
  <c r="M193" i="385"/>
  <c r="L193" i="385"/>
  <c r="BN192" i="385"/>
  <c r="BK192" i="385"/>
  <c r="BJ192" i="385"/>
  <c r="BM192" i="385" s="1"/>
  <c r="BI192" i="385"/>
  <c r="BH192" i="385"/>
  <c r="BG192" i="385"/>
  <c r="BF192" i="385"/>
  <c r="BE192" i="385"/>
  <c r="BD192" i="385"/>
  <c r="BC192" i="385"/>
  <c r="BB192" i="385"/>
  <c r="BA192" i="385"/>
  <c r="AZ192" i="385"/>
  <c r="AY192" i="385"/>
  <c r="BL192" i="385" s="1"/>
  <c r="AX192" i="385"/>
  <c r="AW192" i="385"/>
  <c r="AV192" i="385"/>
  <c r="AU192" i="385"/>
  <c r="AT192" i="385"/>
  <c r="AS192" i="385"/>
  <c r="AR192" i="385"/>
  <c r="AQ192" i="385"/>
  <c r="AP192" i="385"/>
  <c r="BN191" i="385"/>
  <c r="BL191" i="385"/>
  <c r="BK191" i="385"/>
  <c r="BJ191" i="385"/>
  <c r="BM191" i="385" s="1"/>
  <c r="BI191" i="385"/>
  <c r="BH191" i="385"/>
  <c r="BG191" i="385"/>
  <c r="BF191" i="385"/>
  <c r="BE191" i="385"/>
  <c r="BD191" i="385"/>
  <c r="BC191" i="385"/>
  <c r="BB191" i="385"/>
  <c r="BA191" i="385"/>
  <c r="AZ191" i="385"/>
  <c r="AY191" i="385"/>
  <c r="AX191" i="385"/>
  <c r="AW191" i="385"/>
  <c r="AV191" i="385"/>
  <c r="AU191" i="385"/>
  <c r="AT191" i="385"/>
  <c r="AS191" i="385"/>
  <c r="AR191" i="385"/>
  <c r="AQ191" i="385"/>
  <c r="AP191" i="385"/>
  <c r="BN190" i="385"/>
  <c r="BM190" i="385"/>
  <c r="BL190" i="385"/>
  <c r="BJ190" i="385"/>
  <c r="BI190" i="385"/>
  <c r="BH190" i="385"/>
  <c r="BG190" i="385"/>
  <c r="BF190" i="385"/>
  <c r="BE190" i="385"/>
  <c r="BD190" i="385"/>
  <c r="BC190" i="385"/>
  <c r="BB190" i="385"/>
  <c r="BA190" i="385"/>
  <c r="AZ190" i="385"/>
  <c r="AX190" i="385"/>
  <c r="BK190" i="385" s="1"/>
  <c r="AW190" i="385"/>
  <c r="AV190" i="385"/>
  <c r="AU190" i="385"/>
  <c r="AT190" i="385"/>
  <c r="AS190" i="385"/>
  <c r="AR190" i="385"/>
  <c r="AQ190" i="385"/>
  <c r="AP190" i="385"/>
  <c r="BN189" i="385"/>
  <c r="BM189" i="385"/>
  <c r="BL189" i="385"/>
  <c r="BK189" i="385"/>
  <c r="BJ189" i="385"/>
  <c r="BI189" i="385"/>
  <c r="BH189" i="385"/>
  <c r="BG189" i="385"/>
  <c r="BF189" i="385"/>
  <c r="BE189" i="385"/>
  <c r="BD189" i="385"/>
  <c r="BC189" i="385"/>
  <c r="BB189" i="385"/>
  <c r="BA189" i="385"/>
  <c r="AZ189" i="385"/>
  <c r="AW189" i="385"/>
  <c r="AV189" i="385"/>
  <c r="AU189" i="385"/>
  <c r="AT189" i="385"/>
  <c r="AS189" i="385"/>
  <c r="AR189" i="385"/>
  <c r="AQ189" i="385"/>
  <c r="AP189" i="385"/>
  <c r="BN188" i="385"/>
  <c r="BL188" i="385"/>
  <c r="BK188" i="385"/>
  <c r="BJ188" i="385"/>
  <c r="BM188" i="385" s="1"/>
  <c r="BI188" i="385"/>
  <c r="BH188" i="385"/>
  <c r="BG188" i="385"/>
  <c r="BF188" i="385"/>
  <c r="BE188" i="385"/>
  <c r="BD188" i="385"/>
  <c r="BC188" i="385"/>
  <c r="BB188" i="385"/>
  <c r="BA188" i="385"/>
  <c r="AZ188" i="385"/>
  <c r="AY188" i="385"/>
  <c r="AX188" i="385"/>
  <c r="AW188" i="385"/>
  <c r="AV188" i="385"/>
  <c r="AU188" i="385"/>
  <c r="AT188" i="385"/>
  <c r="AS188" i="385"/>
  <c r="AR188" i="385"/>
  <c r="AQ188" i="385"/>
  <c r="AP188" i="385"/>
  <c r="BN187" i="385"/>
  <c r="BM187" i="385"/>
  <c r="BL187" i="385"/>
  <c r="BJ187" i="385"/>
  <c r="BI187" i="385"/>
  <c r="BH187" i="385"/>
  <c r="BG187" i="385"/>
  <c r="BF187" i="385"/>
  <c r="BE187" i="385"/>
  <c r="BD187" i="385"/>
  <c r="BC187" i="385"/>
  <c r="BB187" i="385"/>
  <c r="BA187" i="385"/>
  <c r="AZ187" i="385"/>
  <c r="AX187" i="385"/>
  <c r="BK187" i="385" s="1"/>
  <c r="AW187" i="385"/>
  <c r="AV187" i="385"/>
  <c r="AU187" i="385"/>
  <c r="AT187" i="385"/>
  <c r="AS187" i="385"/>
  <c r="AR187" i="385"/>
  <c r="AQ187" i="385"/>
  <c r="AP187" i="385"/>
  <c r="BN186" i="385"/>
  <c r="BM186" i="385"/>
  <c r="BL186" i="385"/>
  <c r="BK186" i="385"/>
  <c r="BJ186" i="385"/>
  <c r="BI186" i="385"/>
  <c r="BH186" i="385"/>
  <c r="BG186" i="385"/>
  <c r="BF186" i="385"/>
  <c r="BE186" i="385"/>
  <c r="BD186" i="385"/>
  <c r="BC186" i="385"/>
  <c r="BB186" i="385"/>
  <c r="BA186" i="385"/>
  <c r="AZ186" i="385"/>
  <c r="AW186" i="385"/>
  <c r="AV186" i="385"/>
  <c r="AU186" i="385"/>
  <c r="AT186" i="385"/>
  <c r="AS186" i="385"/>
  <c r="AR186" i="385"/>
  <c r="AQ186" i="385"/>
  <c r="AP186" i="385"/>
  <c r="BN185" i="385"/>
  <c r="BL185" i="385"/>
  <c r="BK185" i="385"/>
  <c r="BJ185" i="385"/>
  <c r="BM185" i="385" s="1"/>
  <c r="BI185" i="385"/>
  <c r="BH185" i="385"/>
  <c r="BG185" i="385"/>
  <c r="BF185" i="385"/>
  <c r="BE185" i="385"/>
  <c r="BD185" i="385"/>
  <c r="BC185" i="385"/>
  <c r="BB185" i="385"/>
  <c r="BA185" i="385"/>
  <c r="AZ185" i="385"/>
  <c r="AY185" i="385"/>
  <c r="AW185" i="385"/>
  <c r="AV185" i="385"/>
  <c r="AU185" i="385"/>
  <c r="AT185" i="385"/>
  <c r="AS185" i="385"/>
  <c r="AR185" i="385"/>
  <c r="AQ185" i="385"/>
  <c r="AP185" i="385"/>
  <c r="BN184" i="385"/>
  <c r="BL184" i="385"/>
  <c r="BK184" i="385"/>
  <c r="BJ184" i="385"/>
  <c r="BM184" i="385" s="1"/>
  <c r="BI184" i="385"/>
  <c r="BH184" i="385"/>
  <c r="BG184" i="385"/>
  <c r="BF184" i="385"/>
  <c r="BE184" i="385"/>
  <c r="BD184" i="385"/>
  <c r="BC184" i="385"/>
  <c r="BB184" i="385"/>
  <c r="BA184" i="385"/>
  <c r="AZ184" i="385"/>
  <c r="AY184" i="385"/>
  <c r="AX184" i="385"/>
  <c r="AW184" i="385"/>
  <c r="AV184" i="385"/>
  <c r="AU184" i="385"/>
  <c r="AT184" i="385"/>
  <c r="AS184" i="385"/>
  <c r="AR184" i="385"/>
  <c r="AQ184" i="385"/>
  <c r="AP184" i="385"/>
  <c r="BN183" i="385"/>
  <c r="BM183" i="385"/>
  <c r="BL183" i="385"/>
  <c r="BK183" i="385"/>
  <c r="BJ183" i="385"/>
  <c r="BI183" i="385"/>
  <c r="BH183" i="385"/>
  <c r="BG183" i="385"/>
  <c r="BF183" i="385"/>
  <c r="BE183" i="385"/>
  <c r="BD183" i="385"/>
  <c r="BC183" i="385"/>
  <c r="BB183" i="385"/>
  <c r="BA183" i="385"/>
  <c r="AZ183" i="385"/>
  <c r="AY183" i="385"/>
  <c r="AW183" i="385"/>
  <c r="AV183" i="385"/>
  <c r="AU183" i="385"/>
  <c r="AT183" i="385"/>
  <c r="AS183" i="385"/>
  <c r="AR183" i="385"/>
  <c r="AQ183" i="385"/>
  <c r="AP183" i="385"/>
  <c r="BN182" i="385"/>
  <c r="BM182" i="385"/>
  <c r="BL182" i="385"/>
  <c r="BK182" i="385"/>
  <c r="BJ182" i="385"/>
  <c r="BI182" i="385"/>
  <c r="BH182" i="385"/>
  <c r="BG182" i="385"/>
  <c r="BF182" i="385"/>
  <c r="BE182" i="385"/>
  <c r="BD182" i="385"/>
  <c r="BC182" i="385"/>
  <c r="BB182" i="385"/>
  <c r="BA182" i="385"/>
  <c r="AZ182" i="385"/>
  <c r="AY182" i="385"/>
  <c r="AX182" i="385"/>
  <c r="AW182" i="385"/>
  <c r="AV182" i="385"/>
  <c r="AU182" i="385"/>
  <c r="AT182" i="385"/>
  <c r="AS182" i="385"/>
  <c r="AR182" i="385"/>
  <c r="AQ182" i="385"/>
  <c r="AP182" i="385"/>
  <c r="BN181" i="385"/>
  <c r="BM181" i="385"/>
  <c r="BL181" i="385"/>
  <c r="BK181" i="385"/>
  <c r="BJ181" i="385"/>
  <c r="BI181" i="385"/>
  <c r="BH181" i="385"/>
  <c r="BG181" i="385"/>
  <c r="BF181" i="385"/>
  <c r="BE181" i="385"/>
  <c r="BD181" i="385"/>
  <c r="BC181" i="385"/>
  <c r="BB181" i="385"/>
  <c r="BA181" i="385"/>
  <c r="AZ181" i="385"/>
  <c r="AW181" i="385"/>
  <c r="AV181" i="385"/>
  <c r="AU181" i="385"/>
  <c r="AT181" i="385"/>
  <c r="AS181" i="385"/>
  <c r="AR181" i="385"/>
  <c r="AQ181" i="385"/>
  <c r="AP181" i="385"/>
  <c r="BN180" i="385"/>
  <c r="BM180" i="385"/>
  <c r="BL180" i="385"/>
  <c r="BK180" i="385"/>
  <c r="BJ180" i="385"/>
  <c r="BI180" i="385"/>
  <c r="BH180" i="385"/>
  <c r="BG180" i="385"/>
  <c r="BF180" i="385"/>
  <c r="BE180" i="385"/>
  <c r="BD180" i="385"/>
  <c r="BC180" i="385"/>
  <c r="BB180" i="385"/>
  <c r="BA180" i="385"/>
  <c r="AZ180" i="385"/>
  <c r="AW180" i="385"/>
  <c r="AV180" i="385"/>
  <c r="AU180" i="385"/>
  <c r="AT180" i="385"/>
  <c r="AS180" i="385"/>
  <c r="AR180" i="385"/>
  <c r="AQ180" i="385"/>
  <c r="AP180" i="385"/>
  <c r="BN179" i="385"/>
  <c r="BL179" i="385"/>
  <c r="BK179" i="385"/>
  <c r="BJ179" i="385"/>
  <c r="BM179" i="385" s="1"/>
  <c r="BI179" i="385"/>
  <c r="BH179" i="385"/>
  <c r="BG179" i="385"/>
  <c r="BF179" i="385"/>
  <c r="BE179" i="385"/>
  <c r="BD179" i="385"/>
  <c r="BC179" i="385"/>
  <c r="BB179" i="385"/>
  <c r="BA179" i="385"/>
  <c r="AZ179" i="385"/>
  <c r="AW179" i="385"/>
  <c r="AV179" i="385"/>
  <c r="AU179" i="385"/>
  <c r="AT179" i="385"/>
  <c r="AS179" i="385"/>
  <c r="AR179" i="385"/>
  <c r="AQ179" i="385"/>
  <c r="AP179" i="385"/>
  <c r="BN178" i="385"/>
  <c r="BL178" i="385"/>
  <c r="BK178" i="385"/>
  <c r="BJ178" i="385"/>
  <c r="BM178" i="385" s="1"/>
  <c r="BI178" i="385"/>
  <c r="BH178" i="385"/>
  <c r="BG178" i="385"/>
  <c r="BF178" i="385"/>
  <c r="BE178" i="385"/>
  <c r="BD178" i="385"/>
  <c r="BC178" i="385"/>
  <c r="BB178" i="385"/>
  <c r="BA178" i="385"/>
  <c r="AZ178" i="385"/>
  <c r="AW178" i="385"/>
  <c r="AV178" i="385"/>
  <c r="AU178" i="385"/>
  <c r="AT178" i="385"/>
  <c r="AS178" i="385"/>
  <c r="AR178" i="385"/>
  <c r="AQ178" i="385"/>
  <c r="AP178" i="385"/>
  <c r="BN177" i="385"/>
  <c r="BL177" i="385"/>
  <c r="BJ177" i="385"/>
  <c r="BM177" i="385" s="1"/>
  <c r="BI177" i="385"/>
  <c r="BH177" i="385"/>
  <c r="BG177" i="385"/>
  <c r="BF177" i="385"/>
  <c r="BE177" i="385"/>
  <c r="BD177" i="385"/>
  <c r="BC177" i="385"/>
  <c r="BB177" i="385"/>
  <c r="BA177" i="385"/>
  <c r="AZ177" i="385"/>
  <c r="AY177" i="385"/>
  <c r="AX177" i="385"/>
  <c r="BK177" i="385" s="1"/>
  <c r="AW177" i="385"/>
  <c r="AV177" i="385"/>
  <c r="AU177" i="385"/>
  <c r="AT177" i="385"/>
  <c r="AS177" i="385"/>
  <c r="AR177" i="385"/>
  <c r="AQ177" i="385"/>
  <c r="AP177" i="385"/>
  <c r="AO176" i="385"/>
  <c r="AN176" i="385"/>
  <c r="AM176" i="385"/>
  <c r="AL176" i="385"/>
  <c r="AK176" i="385"/>
  <c r="AJ176" i="385"/>
  <c r="AI176" i="385"/>
  <c r="AH176" i="385"/>
  <c r="AG176" i="385"/>
  <c r="AF176" i="385"/>
  <c r="AE176" i="385"/>
  <c r="AD176" i="385"/>
  <c r="AC176" i="385"/>
  <c r="AB176" i="385"/>
  <c r="AA176" i="385"/>
  <c r="Z176" i="385"/>
  <c r="Y176" i="385"/>
  <c r="X176" i="385"/>
  <c r="W176" i="385"/>
  <c r="V176" i="385"/>
  <c r="U176" i="385"/>
  <c r="T176" i="385"/>
  <c r="S176" i="385"/>
  <c r="R176" i="385"/>
  <c r="Q176" i="385"/>
  <c r="P176" i="385"/>
  <c r="O176" i="385"/>
  <c r="N176" i="385"/>
  <c r="M176" i="385"/>
  <c r="L176" i="385"/>
  <c r="BN175" i="385"/>
  <c r="BK175" i="385"/>
  <c r="BJ175" i="385"/>
  <c r="BM175" i="385" s="1"/>
  <c r="BI175" i="385"/>
  <c r="BH175" i="385"/>
  <c r="BG175" i="385"/>
  <c r="BF175" i="385"/>
  <c r="BE175" i="385"/>
  <c r="BD175" i="385"/>
  <c r="BC175" i="385"/>
  <c r="BB175" i="385"/>
  <c r="BA175" i="385"/>
  <c r="AZ175" i="385"/>
  <c r="AY175" i="385"/>
  <c r="BL175" i="385" s="1"/>
  <c r="AX175" i="385"/>
  <c r="AW175" i="385"/>
  <c r="AV175" i="385"/>
  <c r="AU175" i="385"/>
  <c r="AT175" i="385"/>
  <c r="AS175" i="385"/>
  <c r="AR175" i="385"/>
  <c r="AQ175" i="385"/>
  <c r="AP175" i="385"/>
  <c r="BN174" i="385"/>
  <c r="BL174" i="385"/>
  <c r="BK174" i="385"/>
  <c r="BJ174" i="385"/>
  <c r="BM174" i="385" s="1"/>
  <c r="BI174" i="385"/>
  <c r="BH174" i="385"/>
  <c r="BG174" i="385"/>
  <c r="BF174" i="385"/>
  <c r="BE174" i="385"/>
  <c r="BD174" i="385"/>
  <c r="BC174" i="385"/>
  <c r="BB174" i="385"/>
  <c r="BA174" i="385"/>
  <c r="AZ174" i="385"/>
  <c r="AX174" i="385"/>
  <c r="AW174" i="385"/>
  <c r="AV174" i="385"/>
  <c r="AU174" i="385"/>
  <c r="AT174" i="385"/>
  <c r="AS174" i="385"/>
  <c r="AR174" i="385"/>
  <c r="AQ174" i="385"/>
  <c r="AP174" i="385"/>
  <c r="BN173" i="385"/>
  <c r="BL173" i="385"/>
  <c r="BJ173" i="385"/>
  <c r="BM173" i="385" s="1"/>
  <c r="BI173" i="385"/>
  <c r="BH173" i="385"/>
  <c r="BG173" i="385"/>
  <c r="BF173" i="385"/>
  <c r="BE173" i="385"/>
  <c r="BD173" i="385"/>
  <c r="BC173" i="385"/>
  <c r="BB173" i="385"/>
  <c r="BA173" i="385"/>
  <c r="AZ173" i="385"/>
  <c r="AY173" i="385"/>
  <c r="AX173" i="385"/>
  <c r="BK173" i="385" s="1"/>
  <c r="AW173" i="385"/>
  <c r="AV173" i="385"/>
  <c r="AU173" i="385"/>
  <c r="AT173" i="385"/>
  <c r="AS173" i="385"/>
  <c r="AR173" i="385"/>
  <c r="AQ173" i="385"/>
  <c r="AP173" i="385"/>
  <c r="BN172" i="385"/>
  <c r="BK172" i="385"/>
  <c r="BJ172" i="385"/>
  <c r="BM172" i="385" s="1"/>
  <c r="BI172" i="385"/>
  <c r="BH172" i="385"/>
  <c r="BG172" i="385"/>
  <c r="BF172" i="385"/>
  <c r="BE172" i="385"/>
  <c r="BD172" i="385"/>
  <c r="BC172" i="385"/>
  <c r="BB172" i="385"/>
  <c r="BA172" i="385"/>
  <c r="AZ172" i="385"/>
  <c r="AY172" i="385"/>
  <c r="BL172" i="385" s="1"/>
  <c r="AW172" i="385"/>
  <c r="AV172" i="385"/>
  <c r="AU172" i="385"/>
  <c r="AT172" i="385"/>
  <c r="AS172" i="385"/>
  <c r="AR172" i="385"/>
  <c r="AQ172" i="385"/>
  <c r="AP172" i="385"/>
  <c r="BN171" i="385"/>
  <c r="BL171" i="385"/>
  <c r="BK171" i="385"/>
  <c r="BJ171" i="385"/>
  <c r="BM171" i="385" s="1"/>
  <c r="BI171" i="385"/>
  <c r="BH171" i="385"/>
  <c r="BG171" i="385"/>
  <c r="BF171" i="385"/>
  <c r="BE171" i="385"/>
  <c r="BD171" i="385"/>
  <c r="BC171" i="385"/>
  <c r="BB171" i="385"/>
  <c r="BA171" i="385"/>
  <c r="AZ171" i="385"/>
  <c r="AW171" i="385"/>
  <c r="AV171" i="385"/>
  <c r="AU171" i="385"/>
  <c r="AT171" i="385"/>
  <c r="AS171" i="385"/>
  <c r="AR171" i="385"/>
  <c r="AQ171" i="385"/>
  <c r="AP171" i="385"/>
  <c r="BN170" i="385"/>
  <c r="BL170" i="385"/>
  <c r="BK170" i="385"/>
  <c r="BJ170" i="385"/>
  <c r="BM170" i="385" s="1"/>
  <c r="BI170" i="385"/>
  <c r="BH170" i="385"/>
  <c r="BG170" i="385"/>
  <c r="BF170" i="385"/>
  <c r="BE170" i="385"/>
  <c r="BD170" i="385"/>
  <c r="BC170" i="385"/>
  <c r="BB170" i="385"/>
  <c r="BA170" i="385"/>
  <c r="AZ170" i="385"/>
  <c r="AY170" i="385"/>
  <c r="AW170" i="385"/>
  <c r="AV170" i="385"/>
  <c r="AU170" i="385"/>
  <c r="AT170" i="385"/>
  <c r="AS170" i="385"/>
  <c r="AR170" i="385"/>
  <c r="AQ170" i="385"/>
  <c r="AP170" i="385"/>
  <c r="BN169" i="385"/>
  <c r="BL169" i="385"/>
  <c r="BK169" i="385"/>
  <c r="BJ169" i="385"/>
  <c r="BM169" i="385" s="1"/>
  <c r="BI169" i="385"/>
  <c r="BH169" i="385"/>
  <c r="BG169" i="385"/>
  <c r="BF169" i="385"/>
  <c r="BE169" i="385"/>
  <c r="BD169" i="385"/>
  <c r="BC169" i="385"/>
  <c r="BB169" i="385"/>
  <c r="BA169" i="385"/>
  <c r="AZ169" i="385"/>
  <c r="AY169" i="385"/>
  <c r="AW169" i="385"/>
  <c r="AV169" i="385"/>
  <c r="AU169" i="385"/>
  <c r="AT169" i="385"/>
  <c r="AS169" i="385"/>
  <c r="AR169" i="385"/>
  <c r="AQ169" i="385"/>
  <c r="AP169" i="385"/>
  <c r="BN168" i="385"/>
  <c r="BL168" i="385"/>
  <c r="BK168" i="385"/>
  <c r="BJ168" i="385"/>
  <c r="BM168" i="385" s="1"/>
  <c r="BI168" i="385"/>
  <c r="BH168" i="385"/>
  <c r="BG168" i="385"/>
  <c r="BF168" i="385"/>
  <c r="BE168" i="385"/>
  <c r="BD168" i="385"/>
  <c r="BC168" i="385"/>
  <c r="BB168" i="385"/>
  <c r="BA168" i="385"/>
  <c r="AZ168" i="385"/>
  <c r="AY168" i="385"/>
  <c r="AW168" i="385"/>
  <c r="AV168" i="385"/>
  <c r="AU168" i="385"/>
  <c r="AT168" i="385"/>
  <c r="AS168" i="385"/>
  <c r="AR168" i="385"/>
  <c r="AQ168" i="385"/>
  <c r="AP168" i="385"/>
  <c r="BN167" i="385"/>
  <c r="BL167" i="385"/>
  <c r="BK167" i="385"/>
  <c r="BJ167" i="385"/>
  <c r="BM167" i="385" s="1"/>
  <c r="BI167" i="385"/>
  <c r="BH167" i="385"/>
  <c r="BG167" i="385"/>
  <c r="BF167" i="385"/>
  <c r="BE167" i="385"/>
  <c r="BD167" i="385"/>
  <c r="BC167" i="385"/>
  <c r="BB167" i="385"/>
  <c r="BA167" i="385"/>
  <c r="AZ167" i="385"/>
  <c r="AY167" i="385"/>
  <c r="AW167" i="385"/>
  <c r="AV167" i="385"/>
  <c r="AU167" i="385"/>
  <c r="AT167" i="385"/>
  <c r="AS167" i="385"/>
  <c r="AR167" i="385"/>
  <c r="AQ167" i="385"/>
  <c r="AP167" i="385"/>
  <c r="BN166" i="385"/>
  <c r="BL166" i="385"/>
  <c r="BK166" i="385"/>
  <c r="BJ166" i="385"/>
  <c r="BM166" i="385" s="1"/>
  <c r="BI166" i="385"/>
  <c r="BH166" i="385"/>
  <c r="BG166" i="385"/>
  <c r="BF166" i="385"/>
  <c r="BE166" i="385"/>
  <c r="BD166" i="385"/>
  <c r="BC166" i="385"/>
  <c r="BB166" i="385"/>
  <c r="BA166" i="385"/>
  <c r="AZ166" i="385"/>
  <c r="AY166" i="385"/>
  <c r="AX166" i="385"/>
  <c r="AW166" i="385"/>
  <c r="AV166" i="385"/>
  <c r="AU166" i="385"/>
  <c r="AT166" i="385"/>
  <c r="AS166" i="385"/>
  <c r="AR166" i="385"/>
  <c r="AQ166" i="385"/>
  <c r="AP166" i="385"/>
  <c r="BN165" i="385"/>
  <c r="BL165" i="385"/>
  <c r="BK165" i="385"/>
  <c r="BJ165" i="385"/>
  <c r="BM165" i="385" s="1"/>
  <c r="BI165" i="385"/>
  <c r="BH165" i="385"/>
  <c r="BG165" i="385"/>
  <c r="BF165" i="385"/>
  <c r="BE165" i="385"/>
  <c r="BD165" i="385"/>
  <c r="BC165" i="385"/>
  <c r="BB165" i="385"/>
  <c r="BA165" i="385"/>
  <c r="AZ165" i="385"/>
  <c r="AY165" i="385"/>
  <c r="AX165" i="385"/>
  <c r="AW165" i="385"/>
  <c r="AV165" i="385"/>
  <c r="AU165" i="385"/>
  <c r="AT165" i="385"/>
  <c r="AS165" i="385"/>
  <c r="AR165" i="385"/>
  <c r="AQ165" i="385"/>
  <c r="AP165" i="385"/>
  <c r="BN164" i="385"/>
  <c r="BM164" i="385"/>
  <c r="BL164" i="385"/>
  <c r="BK164" i="385"/>
  <c r="BJ164" i="385"/>
  <c r="BI164" i="385"/>
  <c r="BH164" i="385"/>
  <c r="BG164" i="385"/>
  <c r="BF164" i="385"/>
  <c r="BE164" i="385"/>
  <c r="BD164" i="385"/>
  <c r="BC164" i="385"/>
  <c r="BB164" i="385"/>
  <c r="BA164" i="385"/>
  <c r="AZ164" i="385"/>
  <c r="AW164" i="385"/>
  <c r="AV164" i="385"/>
  <c r="AU164" i="385"/>
  <c r="AT164" i="385"/>
  <c r="AS164" i="385"/>
  <c r="AR164" i="385"/>
  <c r="AQ164" i="385"/>
  <c r="AP164" i="385"/>
  <c r="BN163" i="385"/>
  <c r="BL163" i="385"/>
  <c r="BK163" i="385"/>
  <c r="BJ163" i="385"/>
  <c r="BM163" i="385" s="1"/>
  <c r="BI163" i="385"/>
  <c r="BH163" i="385"/>
  <c r="BG163" i="385"/>
  <c r="BF163" i="385"/>
  <c r="BE163" i="385"/>
  <c r="BD163" i="385"/>
  <c r="BC163" i="385"/>
  <c r="BB163" i="385"/>
  <c r="BA163" i="385"/>
  <c r="AZ163" i="385"/>
  <c r="AW163" i="385"/>
  <c r="AV163" i="385"/>
  <c r="AU163" i="385"/>
  <c r="AT163" i="385"/>
  <c r="AS163" i="385"/>
  <c r="AR163" i="385"/>
  <c r="AQ163" i="385"/>
  <c r="AP163" i="385"/>
  <c r="BN162" i="385"/>
  <c r="BL162" i="385"/>
  <c r="BK162" i="385"/>
  <c r="BJ162" i="385"/>
  <c r="BM162" i="385" s="1"/>
  <c r="BI162" i="385"/>
  <c r="BH162" i="385"/>
  <c r="BG162" i="385"/>
  <c r="BF162" i="385"/>
  <c r="BE162" i="385"/>
  <c r="BD162" i="385"/>
  <c r="BC162" i="385"/>
  <c r="BB162" i="385"/>
  <c r="BA162" i="385"/>
  <c r="AZ162" i="385"/>
  <c r="AW162" i="385"/>
  <c r="AV162" i="385"/>
  <c r="AU162" i="385"/>
  <c r="AT162" i="385"/>
  <c r="AS162" i="385"/>
  <c r="AR162" i="385"/>
  <c r="AQ162" i="385"/>
  <c r="AP162" i="385"/>
  <c r="BN161" i="385"/>
  <c r="BK161" i="385"/>
  <c r="BJ161" i="385"/>
  <c r="BM161" i="385" s="1"/>
  <c r="BI161" i="385"/>
  <c r="BH161" i="385"/>
  <c r="BG161" i="385"/>
  <c r="BF161" i="385"/>
  <c r="BE161" i="385"/>
  <c r="BD161" i="385"/>
  <c r="BC161" i="385"/>
  <c r="BB161" i="385"/>
  <c r="BA161" i="385"/>
  <c r="AZ161" i="385"/>
  <c r="AY161" i="385"/>
  <c r="BL161" i="385" s="1"/>
  <c r="AW161" i="385"/>
  <c r="AV161" i="385"/>
  <c r="AU161" i="385"/>
  <c r="AT161" i="385"/>
  <c r="AS161" i="385"/>
  <c r="AR161" i="385"/>
  <c r="AQ161" i="385"/>
  <c r="AP161" i="385"/>
  <c r="BN160" i="385"/>
  <c r="BL160" i="385"/>
  <c r="BK160" i="385"/>
  <c r="BJ160" i="385"/>
  <c r="BM160" i="385" s="1"/>
  <c r="BI160" i="385"/>
  <c r="BH160" i="385"/>
  <c r="BG160" i="385"/>
  <c r="BF160" i="385"/>
  <c r="BE160" i="385"/>
  <c r="BD160" i="385"/>
  <c r="BC160" i="385"/>
  <c r="BB160" i="385"/>
  <c r="BA160" i="385"/>
  <c r="AZ160" i="385"/>
  <c r="AW160" i="385"/>
  <c r="AV160" i="385"/>
  <c r="AU160" i="385"/>
  <c r="AT160" i="385"/>
  <c r="AS160" i="385"/>
  <c r="AR160" i="385"/>
  <c r="AQ160" i="385"/>
  <c r="AP160" i="385"/>
  <c r="BN159" i="385"/>
  <c r="BL159" i="385"/>
  <c r="BK159" i="385"/>
  <c r="BJ159" i="385"/>
  <c r="BM159" i="385" s="1"/>
  <c r="BI159" i="385"/>
  <c r="BH159" i="385"/>
  <c r="BG159" i="385"/>
  <c r="BF159" i="385"/>
  <c r="BE159" i="385"/>
  <c r="BD159" i="385"/>
  <c r="BC159" i="385"/>
  <c r="BB159" i="385"/>
  <c r="BA159" i="385"/>
  <c r="AZ159" i="385"/>
  <c r="AW159" i="385"/>
  <c r="AV159" i="385"/>
  <c r="AU159" i="385"/>
  <c r="AT159" i="385"/>
  <c r="AS159" i="385"/>
  <c r="AR159" i="385"/>
  <c r="AQ159" i="385"/>
  <c r="AP159" i="385"/>
  <c r="BN158" i="385"/>
  <c r="BL158" i="385"/>
  <c r="BK158" i="385"/>
  <c r="BJ158" i="385"/>
  <c r="BM158" i="385" s="1"/>
  <c r="BI158" i="385"/>
  <c r="BH158" i="385"/>
  <c r="BG158" i="385"/>
  <c r="BF158" i="385"/>
  <c r="BE158" i="385"/>
  <c r="BD158" i="385"/>
  <c r="BC158" i="385"/>
  <c r="BB158" i="385"/>
  <c r="BA158" i="385"/>
  <c r="AZ158" i="385"/>
  <c r="AW158" i="385"/>
  <c r="AV158" i="385"/>
  <c r="AU158" i="385"/>
  <c r="AT158" i="385"/>
  <c r="AS158" i="385"/>
  <c r="AR158" i="385"/>
  <c r="AQ158" i="385"/>
  <c r="AP158" i="385"/>
  <c r="BN157" i="385"/>
  <c r="BM157" i="385"/>
  <c r="BL157" i="385"/>
  <c r="BJ157" i="385"/>
  <c r="BI157" i="385"/>
  <c r="BH157" i="385"/>
  <c r="BG157" i="385"/>
  <c r="BF157" i="385"/>
  <c r="BE157" i="385"/>
  <c r="BD157" i="385"/>
  <c r="BC157" i="385"/>
  <c r="BB157" i="385"/>
  <c r="BA157" i="385"/>
  <c r="AZ157" i="385"/>
  <c r="AX157" i="385"/>
  <c r="BK157" i="385" s="1"/>
  <c r="AW157" i="385"/>
  <c r="AV157" i="385"/>
  <c r="AU157" i="385"/>
  <c r="AT157" i="385"/>
  <c r="AS157" i="385"/>
  <c r="AR157" i="385"/>
  <c r="AQ157" i="385"/>
  <c r="AP157" i="385"/>
  <c r="BN156" i="385"/>
  <c r="BM156" i="385"/>
  <c r="BK156" i="385"/>
  <c r="BJ156" i="385"/>
  <c r="BI156" i="385"/>
  <c r="BH156" i="385"/>
  <c r="BG156" i="385"/>
  <c r="BF156" i="385"/>
  <c r="BE156" i="385"/>
  <c r="BD156" i="385"/>
  <c r="BC156" i="385"/>
  <c r="BB156" i="385"/>
  <c r="BA156" i="385"/>
  <c r="AZ156" i="385"/>
  <c r="AY156" i="385"/>
  <c r="BL156" i="385" s="1"/>
  <c r="AW156" i="385"/>
  <c r="AV156" i="385"/>
  <c r="AU156" i="385"/>
  <c r="AT156" i="385"/>
  <c r="AS156" i="385"/>
  <c r="AR156" i="385"/>
  <c r="AQ156" i="385"/>
  <c r="AP156" i="385"/>
  <c r="BN155" i="385"/>
  <c r="BM155" i="385"/>
  <c r="BJ155" i="385"/>
  <c r="BI155" i="385"/>
  <c r="BH155" i="385"/>
  <c r="BG155" i="385"/>
  <c r="BF155" i="385"/>
  <c r="BE155" i="385"/>
  <c r="BD155" i="385"/>
  <c r="BC155" i="385"/>
  <c r="BB155" i="385"/>
  <c r="BA155" i="385"/>
  <c r="AZ155" i="385"/>
  <c r="AY155" i="385"/>
  <c r="BL155" i="385" s="1"/>
  <c r="AX155" i="385"/>
  <c r="BK155" i="385" s="1"/>
  <c r="AW155" i="385"/>
  <c r="AV155" i="385"/>
  <c r="AU155" i="385"/>
  <c r="AT155" i="385"/>
  <c r="AS155" i="385"/>
  <c r="AR155" i="385"/>
  <c r="AQ155" i="385"/>
  <c r="AP155" i="385"/>
  <c r="BN154" i="385"/>
  <c r="BM154" i="385"/>
  <c r="BJ154" i="385"/>
  <c r="BI154" i="385"/>
  <c r="BH154" i="385"/>
  <c r="BG154" i="385"/>
  <c r="BF154" i="385"/>
  <c r="BE154" i="385"/>
  <c r="BD154" i="385"/>
  <c r="BC154" i="385"/>
  <c r="BB154" i="385"/>
  <c r="BA154" i="385"/>
  <c r="AZ154" i="385"/>
  <c r="AY154" i="385"/>
  <c r="BL154" i="385" s="1"/>
  <c r="AX154" i="385"/>
  <c r="BK154" i="385" s="1"/>
  <c r="AW154" i="385"/>
  <c r="AV154" i="385"/>
  <c r="AU154" i="385"/>
  <c r="AT154" i="385"/>
  <c r="AS154" i="385"/>
  <c r="AR154" i="385"/>
  <c r="AQ154" i="385"/>
  <c r="AP154" i="385"/>
  <c r="BN153" i="385"/>
  <c r="BL153" i="385"/>
  <c r="BK153" i="385"/>
  <c r="BJ153" i="385"/>
  <c r="BM153" i="385" s="1"/>
  <c r="BI153" i="385"/>
  <c r="BH153" i="385"/>
  <c r="BG153" i="385"/>
  <c r="BF153" i="385"/>
  <c r="BE153" i="385"/>
  <c r="BD153" i="385"/>
  <c r="BC153" i="385"/>
  <c r="BB153" i="385"/>
  <c r="BA153" i="385"/>
  <c r="AZ153" i="385"/>
  <c r="AW153" i="385"/>
  <c r="AV153" i="385"/>
  <c r="AU153" i="385"/>
  <c r="AT153" i="385"/>
  <c r="AS153" i="385"/>
  <c r="AR153" i="385"/>
  <c r="AQ153" i="385"/>
  <c r="AP153" i="385"/>
  <c r="BN152" i="385"/>
  <c r="BM152" i="385"/>
  <c r="BK152" i="385"/>
  <c r="BJ152" i="385"/>
  <c r="BI152" i="385"/>
  <c r="BH152" i="385"/>
  <c r="BG152" i="385"/>
  <c r="BF152" i="385"/>
  <c r="BE152" i="385"/>
  <c r="BD152" i="385"/>
  <c r="BC152" i="385"/>
  <c r="BB152" i="385"/>
  <c r="BA152" i="385"/>
  <c r="AZ152" i="385"/>
  <c r="AY152" i="385"/>
  <c r="BL152" i="385" s="1"/>
  <c r="AW152" i="385"/>
  <c r="AV152" i="385"/>
  <c r="AU152" i="385"/>
  <c r="AT152" i="385"/>
  <c r="AS152" i="385"/>
  <c r="AR152" i="385"/>
  <c r="AQ152" i="385"/>
  <c r="AP152" i="385"/>
  <c r="BN151" i="385"/>
  <c r="BM151" i="385"/>
  <c r="BL151" i="385"/>
  <c r="BK151" i="385"/>
  <c r="BJ151" i="385"/>
  <c r="BI151" i="385"/>
  <c r="BH151" i="385"/>
  <c r="BG151" i="385"/>
  <c r="BF151" i="385"/>
  <c r="BE151" i="385"/>
  <c r="BD151" i="385"/>
  <c r="BC151" i="385"/>
  <c r="BB151" i="385"/>
  <c r="BA151" i="385"/>
  <c r="AZ151" i="385"/>
  <c r="AW151" i="385"/>
  <c r="AV151" i="385"/>
  <c r="AU151" i="385"/>
  <c r="AT151" i="385"/>
  <c r="AS151" i="385"/>
  <c r="AR151" i="385"/>
  <c r="AQ151" i="385"/>
  <c r="AP151" i="385"/>
  <c r="AO150" i="385"/>
  <c r="AN150" i="385"/>
  <c r="AM150" i="385"/>
  <c r="AL150" i="385"/>
  <c r="AK150" i="385"/>
  <c r="AJ150" i="385"/>
  <c r="AI150" i="385"/>
  <c r="AH150" i="385"/>
  <c r="AG150" i="385"/>
  <c r="AF150" i="385"/>
  <c r="AE150" i="385"/>
  <c r="AD150" i="385"/>
  <c r="AC150" i="385"/>
  <c r="AB150" i="385"/>
  <c r="AA150" i="385"/>
  <c r="Z150" i="385"/>
  <c r="Y150" i="385"/>
  <c r="X150" i="385"/>
  <c r="W150" i="385"/>
  <c r="V150" i="385"/>
  <c r="U150" i="385"/>
  <c r="T150" i="385"/>
  <c r="S150" i="385"/>
  <c r="R150" i="385"/>
  <c r="Q150" i="385"/>
  <c r="P150" i="385"/>
  <c r="O150" i="385"/>
  <c r="N150" i="385"/>
  <c r="M150" i="385"/>
  <c r="L150" i="385"/>
  <c r="BN149" i="385"/>
  <c r="BM149" i="385"/>
  <c r="BL149" i="385"/>
  <c r="BK149" i="385"/>
  <c r="BJ149" i="385"/>
  <c r="BI149" i="385"/>
  <c r="BH149" i="385"/>
  <c r="BG149" i="385"/>
  <c r="BF149" i="385"/>
  <c r="BE149" i="385"/>
  <c r="BD149" i="385"/>
  <c r="BC149" i="385"/>
  <c r="BB149" i="385"/>
  <c r="BA149" i="385"/>
  <c r="AZ149" i="385"/>
  <c r="AY149" i="385"/>
  <c r="AW149" i="385"/>
  <c r="AV149" i="385"/>
  <c r="AU149" i="385"/>
  <c r="AT149" i="385"/>
  <c r="AS149" i="385"/>
  <c r="AR149" i="385"/>
  <c r="AQ149" i="385"/>
  <c r="AP149" i="385"/>
  <c r="BN148" i="385"/>
  <c r="BM148" i="385"/>
  <c r="BL148" i="385"/>
  <c r="BK148" i="385"/>
  <c r="BJ148" i="385"/>
  <c r="BI148" i="385"/>
  <c r="BH148" i="385"/>
  <c r="BG148" i="385"/>
  <c r="BF148" i="385"/>
  <c r="BE148" i="385"/>
  <c r="BD148" i="385"/>
  <c r="BC148" i="385"/>
  <c r="BB148" i="385"/>
  <c r="BA148" i="385"/>
  <c r="AZ148" i="385"/>
  <c r="AW148" i="385"/>
  <c r="AV148" i="385"/>
  <c r="AU148" i="385"/>
  <c r="AT148" i="385"/>
  <c r="AS148" i="385"/>
  <c r="AR148" i="385"/>
  <c r="AQ148" i="385"/>
  <c r="AP148" i="385"/>
  <c r="BN147" i="385"/>
  <c r="BL147" i="385"/>
  <c r="BK147" i="385"/>
  <c r="BJ147" i="385"/>
  <c r="BM147" i="385" s="1"/>
  <c r="BI147" i="385"/>
  <c r="BH147" i="385"/>
  <c r="BG147" i="385"/>
  <c r="BF147" i="385"/>
  <c r="BE147" i="385"/>
  <c r="BD147" i="385"/>
  <c r="BC147" i="385"/>
  <c r="BB147" i="385"/>
  <c r="BA147" i="385"/>
  <c r="AZ147" i="385"/>
  <c r="AW147" i="385"/>
  <c r="AV147" i="385"/>
  <c r="AU147" i="385"/>
  <c r="AT147" i="385"/>
  <c r="AS147" i="385"/>
  <c r="AR147" i="385"/>
  <c r="AQ147" i="385"/>
  <c r="AP147" i="385"/>
  <c r="BN146" i="385"/>
  <c r="BL146" i="385"/>
  <c r="BK146" i="385"/>
  <c r="BJ146" i="385"/>
  <c r="BM146" i="385" s="1"/>
  <c r="BI146" i="385"/>
  <c r="BH146" i="385"/>
  <c r="BG146" i="385"/>
  <c r="BF146" i="385"/>
  <c r="BE146" i="385"/>
  <c r="BD146" i="385"/>
  <c r="BC146" i="385"/>
  <c r="BB146" i="385"/>
  <c r="BA146" i="385"/>
  <c r="AZ146" i="385"/>
  <c r="AW146" i="385"/>
  <c r="AV146" i="385"/>
  <c r="AU146" i="385"/>
  <c r="AT146" i="385"/>
  <c r="AS146" i="385"/>
  <c r="AR146" i="385"/>
  <c r="AQ146" i="385"/>
  <c r="AP146" i="385"/>
  <c r="BN145" i="385"/>
  <c r="BM145" i="385"/>
  <c r="BL145" i="385"/>
  <c r="BK145" i="385"/>
  <c r="BJ145" i="385"/>
  <c r="BI145" i="385"/>
  <c r="BI4" i="385" s="1"/>
  <c r="BH145" i="385"/>
  <c r="BG145" i="385"/>
  <c r="BF145" i="385"/>
  <c r="BE145" i="385"/>
  <c r="BD145" i="385"/>
  <c r="BC145" i="385"/>
  <c r="BB145" i="385"/>
  <c r="BA145" i="385"/>
  <c r="BA4" i="385" s="1"/>
  <c r="AZ145" i="385"/>
  <c r="AY145" i="385"/>
  <c r="AW145" i="385"/>
  <c r="AV145" i="385"/>
  <c r="AU145" i="385"/>
  <c r="AT145" i="385"/>
  <c r="AS145" i="385"/>
  <c r="AR145" i="385"/>
  <c r="AR4" i="385" s="1"/>
  <c r="AQ145" i="385"/>
  <c r="AP145" i="385"/>
  <c r="BN144" i="385"/>
  <c r="BM144" i="385"/>
  <c r="BL144" i="385"/>
  <c r="BK144" i="385"/>
  <c r="BJ144" i="385"/>
  <c r="BI144" i="385"/>
  <c r="BH144" i="385"/>
  <c r="BG144" i="385"/>
  <c r="BF144" i="385"/>
  <c r="BE144" i="385"/>
  <c r="BD144" i="385"/>
  <c r="BC144" i="385"/>
  <c r="BB144" i="385"/>
  <c r="BA144" i="385"/>
  <c r="AZ144" i="385"/>
  <c r="AX144" i="385"/>
  <c r="AW144" i="385"/>
  <c r="AV144" i="385"/>
  <c r="AU144" i="385"/>
  <c r="AT144" i="385"/>
  <c r="AS144" i="385"/>
  <c r="AR144" i="385"/>
  <c r="AQ144" i="385"/>
  <c r="AP144" i="385"/>
  <c r="AO143" i="385"/>
  <c r="AN143" i="385"/>
  <c r="AM143" i="385"/>
  <c r="AL143" i="385"/>
  <c r="AK143" i="385"/>
  <c r="AJ143" i="385"/>
  <c r="AI143" i="385"/>
  <c r="AH143" i="385"/>
  <c r="AG143" i="385"/>
  <c r="AF143" i="385"/>
  <c r="AE143" i="385"/>
  <c r="AD143" i="385"/>
  <c r="AC143" i="385"/>
  <c r="AB143" i="385"/>
  <c r="AA143" i="385"/>
  <c r="Z143" i="385"/>
  <c r="Y143" i="385"/>
  <c r="X143" i="385"/>
  <c r="W143" i="385"/>
  <c r="V143" i="385"/>
  <c r="U143" i="385"/>
  <c r="T143" i="385"/>
  <c r="S143" i="385"/>
  <c r="R143" i="385"/>
  <c r="Q143" i="385"/>
  <c r="P143" i="385"/>
  <c r="O143" i="385"/>
  <c r="N143" i="385"/>
  <c r="M143" i="385"/>
  <c r="L143" i="385"/>
  <c r="BN142" i="385"/>
  <c r="BK142" i="385"/>
  <c r="BJ142" i="385"/>
  <c r="BM142" i="385" s="1"/>
  <c r="BI142" i="385"/>
  <c r="BH142" i="385"/>
  <c r="BG142" i="385"/>
  <c r="BF142" i="385"/>
  <c r="BE142" i="385"/>
  <c r="BD142" i="385"/>
  <c r="BC142" i="385"/>
  <c r="BB142" i="385"/>
  <c r="BA142" i="385"/>
  <c r="AZ142" i="385"/>
  <c r="AY142" i="385"/>
  <c r="BL142" i="385" s="1"/>
  <c r="AW142" i="385"/>
  <c r="AV142" i="385"/>
  <c r="AU142" i="385"/>
  <c r="AT142" i="385"/>
  <c r="AS142" i="385"/>
  <c r="AR142" i="385"/>
  <c r="AQ142" i="385"/>
  <c r="AP142" i="385"/>
  <c r="BN141" i="385"/>
  <c r="BL141" i="385"/>
  <c r="BK141" i="385"/>
  <c r="BJ141" i="385"/>
  <c r="BM141" i="385" s="1"/>
  <c r="BI141" i="385"/>
  <c r="BH141" i="385"/>
  <c r="BG141" i="385"/>
  <c r="BF141" i="385"/>
  <c r="BE141" i="385"/>
  <c r="BD141" i="385"/>
  <c r="BC141" i="385"/>
  <c r="BB141" i="385"/>
  <c r="BA141" i="385"/>
  <c r="AZ141" i="385"/>
  <c r="AW141" i="385"/>
  <c r="AV141" i="385"/>
  <c r="AU141" i="385"/>
  <c r="AT141" i="385"/>
  <c r="AS141" i="385"/>
  <c r="AR141" i="385"/>
  <c r="AQ141" i="385"/>
  <c r="AP141" i="385"/>
  <c r="BN140" i="385"/>
  <c r="BM140" i="385"/>
  <c r="BK140" i="385"/>
  <c r="BJ140" i="385"/>
  <c r="BI140" i="385"/>
  <c r="BH140" i="385"/>
  <c r="BG140" i="385"/>
  <c r="BF140" i="385"/>
  <c r="BE140" i="385"/>
  <c r="BD140" i="385"/>
  <c r="BC140" i="385"/>
  <c r="BB140" i="385"/>
  <c r="BA140" i="385"/>
  <c r="AZ140" i="385"/>
  <c r="AY140" i="385"/>
  <c r="BL140" i="385" s="1"/>
  <c r="AW140" i="385"/>
  <c r="AV140" i="385"/>
  <c r="AU140" i="385"/>
  <c r="AT140" i="385"/>
  <c r="AS140" i="385"/>
  <c r="AR140" i="385"/>
  <c r="AQ140" i="385"/>
  <c r="AP140" i="385"/>
  <c r="BN139" i="385"/>
  <c r="BM139" i="385"/>
  <c r="BJ139" i="385"/>
  <c r="BI139" i="385"/>
  <c r="BH139" i="385"/>
  <c r="BG139" i="385"/>
  <c r="BF139" i="385"/>
  <c r="BE139" i="385"/>
  <c r="BD139" i="385"/>
  <c r="BC139" i="385"/>
  <c r="BB139" i="385"/>
  <c r="BA139" i="385"/>
  <c r="AZ139" i="385"/>
  <c r="AY139" i="385"/>
  <c r="BL139" i="385" s="1"/>
  <c r="AX139" i="385"/>
  <c r="BK139" i="385" s="1"/>
  <c r="AW139" i="385"/>
  <c r="AV139" i="385"/>
  <c r="AU139" i="385"/>
  <c r="AT139" i="385"/>
  <c r="AS139" i="385"/>
  <c r="AR139" i="385"/>
  <c r="AQ139" i="385"/>
  <c r="AP139" i="385"/>
  <c r="BN138" i="385"/>
  <c r="BJ138" i="385"/>
  <c r="BM138" i="385" s="1"/>
  <c r="BI138" i="385"/>
  <c r="BH138" i="385"/>
  <c r="BG138" i="385"/>
  <c r="BF138" i="385"/>
  <c r="BE138" i="385"/>
  <c r="BD138" i="385"/>
  <c r="BC138" i="385"/>
  <c r="BB138" i="385"/>
  <c r="BA138" i="385"/>
  <c r="AZ138" i="385"/>
  <c r="AY138" i="385"/>
  <c r="BL138" i="385" s="1"/>
  <c r="AX138" i="385"/>
  <c r="BK138" i="385" s="1"/>
  <c r="AW138" i="385"/>
  <c r="AV138" i="385"/>
  <c r="AU138" i="385"/>
  <c r="AT138" i="385"/>
  <c r="AS138" i="385"/>
  <c r="AR138" i="385"/>
  <c r="AQ138" i="385"/>
  <c r="AP138" i="385"/>
  <c r="BN137" i="385"/>
  <c r="BK137" i="385"/>
  <c r="BJ137" i="385"/>
  <c r="BM137" i="385" s="1"/>
  <c r="BI137" i="385"/>
  <c r="BH137" i="385"/>
  <c r="BG137" i="385"/>
  <c r="BF137" i="385"/>
  <c r="BE137" i="385"/>
  <c r="BD137" i="385"/>
  <c r="BC137" i="385"/>
  <c r="BB137" i="385"/>
  <c r="BA137" i="385"/>
  <c r="AZ137" i="385"/>
  <c r="AY137" i="385"/>
  <c r="BL137" i="385" s="1"/>
  <c r="AW137" i="385"/>
  <c r="AV137" i="385"/>
  <c r="AU137" i="385"/>
  <c r="AT137" i="385"/>
  <c r="AS137" i="385"/>
  <c r="AR137" i="385"/>
  <c r="AQ137" i="385"/>
  <c r="AP137" i="385"/>
  <c r="BN136" i="385"/>
  <c r="BL136" i="385"/>
  <c r="BK136" i="385"/>
  <c r="BJ136" i="385"/>
  <c r="BM136" i="385" s="1"/>
  <c r="BI136" i="385"/>
  <c r="BH136" i="385"/>
  <c r="BG136" i="385"/>
  <c r="BF136" i="385"/>
  <c r="BE136" i="385"/>
  <c r="BD136" i="385"/>
  <c r="BC136" i="385"/>
  <c r="BB136" i="385"/>
  <c r="BA136" i="385"/>
  <c r="AZ136" i="385"/>
  <c r="AW136" i="385"/>
  <c r="AV136" i="385"/>
  <c r="AU136" i="385"/>
  <c r="AT136" i="385"/>
  <c r="AS136" i="385"/>
  <c r="AR136" i="385"/>
  <c r="AQ136" i="385"/>
  <c r="AP136" i="385"/>
  <c r="BN135" i="385"/>
  <c r="BK135" i="385"/>
  <c r="BJ135" i="385"/>
  <c r="BM135" i="385" s="1"/>
  <c r="BI135" i="385"/>
  <c r="BH135" i="385"/>
  <c r="BG135" i="385"/>
  <c r="BF135" i="385"/>
  <c r="BE135" i="385"/>
  <c r="BD135" i="385"/>
  <c r="BC135" i="385"/>
  <c r="BB135" i="385"/>
  <c r="BA135" i="385"/>
  <c r="AZ135" i="385"/>
  <c r="AY135" i="385"/>
  <c r="BL135" i="385" s="1"/>
  <c r="AW135" i="385"/>
  <c r="AV135" i="385"/>
  <c r="AU135" i="385"/>
  <c r="AT135" i="385"/>
  <c r="AS135" i="385"/>
  <c r="AR135" i="385"/>
  <c r="AQ135" i="385"/>
  <c r="AP135" i="385"/>
  <c r="BN134" i="385"/>
  <c r="BL134" i="385"/>
  <c r="BK134" i="385"/>
  <c r="BJ134" i="385"/>
  <c r="BM134" i="385" s="1"/>
  <c r="BI134" i="385"/>
  <c r="BH134" i="385"/>
  <c r="BG134" i="385"/>
  <c r="BF134" i="385"/>
  <c r="BE134" i="385"/>
  <c r="BD134" i="385"/>
  <c r="BC134" i="385"/>
  <c r="BB134" i="385"/>
  <c r="BA134" i="385"/>
  <c r="AZ134" i="385"/>
  <c r="AW134" i="385"/>
  <c r="AV134" i="385"/>
  <c r="AU134" i="385"/>
  <c r="AT134" i="385"/>
  <c r="AS134" i="385"/>
  <c r="AR134" i="385"/>
  <c r="AQ134" i="385"/>
  <c r="AP134" i="385"/>
  <c r="BN133" i="385"/>
  <c r="BM133" i="385"/>
  <c r="BJ133" i="385"/>
  <c r="BI133" i="385"/>
  <c r="BH133" i="385"/>
  <c r="BG133" i="385"/>
  <c r="BF133" i="385"/>
  <c r="BE133" i="385"/>
  <c r="BD133" i="385"/>
  <c r="BC133" i="385"/>
  <c r="BB133" i="385"/>
  <c r="BA133" i="385"/>
  <c r="AZ133" i="385"/>
  <c r="AY133" i="385"/>
  <c r="BL133" i="385" s="1"/>
  <c r="AX133" i="385"/>
  <c r="BK133" i="385" s="1"/>
  <c r="AW133" i="385"/>
  <c r="AV133" i="385"/>
  <c r="AU133" i="385"/>
  <c r="AT133" i="385"/>
  <c r="AS133" i="385"/>
  <c r="AR133" i="385"/>
  <c r="AQ133" i="385"/>
  <c r="AP133" i="385"/>
  <c r="BN132" i="385"/>
  <c r="BK132" i="385"/>
  <c r="BJ132" i="385"/>
  <c r="BM132" i="385" s="1"/>
  <c r="BI132" i="385"/>
  <c r="BH132" i="385"/>
  <c r="BG132" i="385"/>
  <c r="BF132" i="385"/>
  <c r="BE132" i="385"/>
  <c r="BD132" i="385"/>
  <c r="BC132" i="385"/>
  <c r="BB132" i="385"/>
  <c r="BA132" i="385"/>
  <c r="AZ132" i="385"/>
  <c r="AY132" i="385"/>
  <c r="BL132" i="385" s="1"/>
  <c r="AW132" i="385"/>
  <c r="AV132" i="385"/>
  <c r="AU132" i="385"/>
  <c r="AT132" i="385"/>
  <c r="AS132" i="385"/>
  <c r="AR132" i="385"/>
  <c r="AQ132" i="385"/>
  <c r="AP132" i="385"/>
  <c r="BN131" i="385"/>
  <c r="BL131" i="385"/>
  <c r="BK131" i="385"/>
  <c r="BJ131" i="385"/>
  <c r="BM131" i="385" s="1"/>
  <c r="BI131" i="385"/>
  <c r="BH131" i="385"/>
  <c r="BG131" i="385"/>
  <c r="BF131" i="385"/>
  <c r="BE131" i="385"/>
  <c r="BD131" i="385"/>
  <c r="BC131" i="385"/>
  <c r="BB131" i="385"/>
  <c r="BA131" i="385"/>
  <c r="AZ131" i="385"/>
  <c r="AW131" i="385"/>
  <c r="AV131" i="385"/>
  <c r="AU131" i="385"/>
  <c r="AT131" i="385"/>
  <c r="AS131" i="385"/>
  <c r="AR131" i="385"/>
  <c r="AQ131" i="385"/>
  <c r="AP131" i="385"/>
  <c r="BN130" i="385"/>
  <c r="BM130" i="385"/>
  <c r="BK130" i="385"/>
  <c r="BJ130" i="385"/>
  <c r="BI130" i="385"/>
  <c r="BH130" i="385"/>
  <c r="BG130" i="385"/>
  <c r="BF130" i="385"/>
  <c r="BE130" i="385"/>
  <c r="BD130" i="385"/>
  <c r="BC130" i="385"/>
  <c r="BB130" i="385"/>
  <c r="BA130" i="385"/>
  <c r="AZ130" i="385"/>
  <c r="AY130" i="385"/>
  <c r="BL130" i="385" s="1"/>
  <c r="AW130" i="385"/>
  <c r="AV130" i="385"/>
  <c r="AU130" i="385"/>
  <c r="AT130" i="385"/>
  <c r="AS130" i="385"/>
  <c r="AR130" i="385"/>
  <c r="AQ130" i="385"/>
  <c r="AP130" i="385"/>
  <c r="AO129" i="385"/>
  <c r="AN129" i="385"/>
  <c r="AM129" i="385"/>
  <c r="AL129" i="385"/>
  <c r="AK129" i="385"/>
  <c r="AJ129" i="385"/>
  <c r="AI129" i="385"/>
  <c r="AH129" i="385"/>
  <c r="AG129" i="385"/>
  <c r="AF129" i="385"/>
  <c r="AE129" i="385"/>
  <c r="AD129" i="385"/>
  <c r="AC129" i="385"/>
  <c r="AB129" i="385"/>
  <c r="AA129" i="385"/>
  <c r="Z129" i="385"/>
  <c r="Y129" i="385"/>
  <c r="X129" i="385"/>
  <c r="W129" i="385"/>
  <c r="V129" i="385"/>
  <c r="U129" i="385"/>
  <c r="T129" i="385"/>
  <c r="S129" i="385"/>
  <c r="R129" i="385"/>
  <c r="Q129" i="385"/>
  <c r="P129" i="385"/>
  <c r="O129" i="385"/>
  <c r="N129" i="385"/>
  <c r="M129" i="385"/>
  <c r="L129" i="385"/>
  <c r="BN128" i="385"/>
  <c r="BM128" i="385"/>
  <c r="BL128" i="385"/>
  <c r="BK128" i="385"/>
  <c r="BJ128" i="385"/>
  <c r="BI128" i="385"/>
  <c r="BH128" i="385"/>
  <c r="BG128" i="385"/>
  <c r="BF128" i="385"/>
  <c r="BE128" i="385"/>
  <c r="BD128" i="385"/>
  <c r="BC128" i="385"/>
  <c r="BB128" i="385"/>
  <c r="BA128" i="385"/>
  <c r="AZ128" i="385"/>
  <c r="AY128" i="385"/>
  <c r="AW128" i="385"/>
  <c r="AV128" i="385"/>
  <c r="AU128" i="385"/>
  <c r="AT128" i="385"/>
  <c r="AS128" i="385"/>
  <c r="AR128" i="385"/>
  <c r="AQ128" i="385"/>
  <c r="AP128" i="385"/>
  <c r="BN127" i="385"/>
  <c r="BM127" i="385"/>
  <c r="BL127" i="385"/>
  <c r="BK127" i="385"/>
  <c r="BJ127" i="385"/>
  <c r="BI127" i="385"/>
  <c r="BH127" i="385"/>
  <c r="BG127" i="385"/>
  <c r="BF127" i="385"/>
  <c r="BE127" i="385"/>
  <c r="BD127" i="385"/>
  <c r="BC127" i="385"/>
  <c r="BB127" i="385"/>
  <c r="BA127" i="385"/>
  <c r="AZ127" i="385"/>
  <c r="AY127" i="385"/>
  <c r="AW127" i="385"/>
  <c r="AV127" i="385"/>
  <c r="AU127" i="385"/>
  <c r="AT127" i="385"/>
  <c r="AS127" i="385"/>
  <c r="AR127" i="385"/>
  <c r="AQ127" i="385"/>
  <c r="AP127" i="385"/>
  <c r="BN126" i="385"/>
  <c r="BM126" i="385"/>
  <c r="BL126" i="385"/>
  <c r="BK126" i="385"/>
  <c r="BJ126" i="385"/>
  <c r="BI126" i="385"/>
  <c r="BH126" i="385"/>
  <c r="BG126" i="385"/>
  <c r="BF126" i="385"/>
  <c r="BE126" i="385"/>
  <c r="BD126" i="385"/>
  <c r="BC126" i="385"/>
  <c r="BB126" i="385"/>
  <c r="BA126" i="385"/>
  <c r="AZ126" i="385"/>
  <c r="AW126" i="385"/>
  <c r="AV126" i="385"/>
  <c r="AU126" i="385"/>
  <c r="AT126" i="385"/>
  <c r="AS126" i="385"/>
  <c r="AR126" i="385"/>
  <c r="AQ126" i="385"/>
  <c r="AP126" i="385"/>
  <c r="BN125" i="385"/>
  <c r="BL125" i="385"/>
  <c r="BK125" i="385"/>
  <c r="BJ125" i="385"/>
  <c r="BM125" i="385" s="1"/>
  <c r="BI125" i="385"/>
  <c r="BH125" i="385"/>
  <c r="BG125" i="385"/>
  <c r="BF125" i="385"/>
  <c r="BE125" i="385"/>
  <c r="BD125" i="385"/>
  <c r="BC125" i="385"/>
  <c r="BB125" i="385"/>
  <c r="BA125" i="385"/>
  <c r="AZ125" i="385"/>
  <c r="AW125" i="385"/>
  <c r="AV125" i="385"/>
  <c r="AU125" i="385"/>
  <c r="AT125" i="385"/>
  <c r="AS125" i="385"/>
  <c r="AR125" i="385"/>
  <c r="AQ125" i="385"/>
  <c r="AP125" i="385"/>
  <c r="AO124" i="385"/>
  <c r="AN124" i="385"/>
  <c r="AM124" i="385"/>
  <c r="AL124" i="385"/>
  <c r="AK124" i="385"/>
  <c r="AJ124" i="385"/>
  <c r="AI124" i="385"/>
  <c r="AH124" i="385"/>
  <c r="AG124" i="385"/>
  <c r="AF124" i="385"/>
  <c r="AE124" i="385"/>
  <c r="AD124" i="385"/>
  <c r="AC124" i="385"/>
  <c r="AB124" i="385"/>
  <c r="AA124" i="385"/>
  <c r="Z124" i="385"/>
  <c r="Y124" i="385"/>
  <c r="X124" i="385"/>
  <c r="W124" i="385"/>
  <c r="V124" i="385"/>
  <c r="U124" i="385"/>
  <c r="T124" i="385"/>
  <c r="S124" i="385"/>
  <c r="R124" i="385"/>
  <c r="Q124" i="385"/>
  <c r="P124" i="385"/>
  <c r="O124" i="385"/>
  <c r="N124" i="385"/>
  <c r="M124" i="385"/>
  <c r="L124" i="385"/>
  <c r="BN123" i="385"/>
  <c r="BL123" i="385"/>
  <c r="BK123" i="385"/>
  <c r="BJ123" i="385"/>
  <c r="BM123" i="385" s="1"/>
  <c r="BI123" i="385"/>
  <c r="BH123" i="385"/>
  <c r="BG123" i="385"/>
  <c r="BF123" i="385"/>
  <c r="BE123" i="385"/>
  <c r="BD123" i="385"/>
  <c r="BC123" i="385"/>
  <c r="BB123" i="385"/>
  <c r="BA123" i="385"/>
  <c r="AZ123" i="385"/>
  <c r="AW123" i="385"/>
  <c r="AV123" i="385"/>
  <c r="AU123" i="385"/>
  <c r="AT123" i="385"/>
  <c r="AS123" i="385"/>
  <c r="AR123" i="385"/>
  <c r="AQ123" i="385"/>
  <c r="AP123" i="385"/>
  <c r="BN122" i="385"/>
  <c r="BL122" i="385"/>
  <c r="BK122" i="385"/>
  <c r="BJ122" i="385"/>
  <c r="BM122" i="385" s="1"/>
  <c r="BI122" i="385"/>
  <c r="BH122" i="385"/>
  <c r="BG122" i="385"/>
  <c r="BF122" i="385"/>
  <c r="BE122" i="385"/>
  <c r="BD122" i="385"/>
  <c r="BC122" i="385"/>
  <c r="BB122" i="385"/>
  <c r="BA122" i="385"/>
  <c r="AZ122" i="385"/>
  <c r="AW122" i="385"/>
  <c r="AV122" i="385"/>
  <c r="AU122" i="385"/>
  <c r="AT122" i="385"/>
  <c r="AS122" i="385"/>
  <c r="AR122" i="385"/>
  <c r="AQ122" i="385"/>
  <c r="AP122" i="385"/>
  <c r="BN121" i="385"/>
  <c r="BM121" i="385"/>
  <c r="BL121" i="385"/>
  <c r="BK121" i="385"/>
  <c r="BJ121" i="385"/>
  <c r="BI121" i="385"/>
  <c r="BH121" i="385"/>
  <c r="BG121" i="385"/>
  <c r="BF121" i="385"/>
  <c r="BE121" i="385"/>
  <c r="BD121" i="385"/>
  <c r="BC121" i="385"/>
  <c r="BB121" i="385"/>
  <c r="BA121" i="385"/>
  <c r="AZ121" i="385"/>
  <c r="AW121" i="385"/>
  <c r="AV121" i="385"/>
  <c r="AU121" i="385"/>
  <c r="AT121" i="385"/>
  <c r="AS121" i="385"/>
  <c r="AR121" i="385"/>
  <c r="AQ121" i="385"/>
  <c r="AP121" i="385"/>
  <c r="BN120" i="385"/>
  <c r="BM120" i="385"/>
  <c r="BL120" i="385"/>
  <c r="BK120" i="385"/>
  <c r="BJ120" i="385"/>
  <c r="BI120" i="385"/>
  <c r="BH120" i="385"/>
  <c r="BG120" i="385"/>
  <c r="BF120" i="385"/>
  <c r="BE120" i="385"/>
  <c r="BD120" i="385"/>
  <c r="BC120" i="385"/>
  <c r="BB120" i="385"/>
  <c r="BA120" i="385"/>
  <c r="AZ120" i="385"/>
  <c r="AY120" i="385"/>
  <c r="AW120" i="385"/>
  <c r="AV120" i="385"/>
  <c r="AU120" i="385"/>
  <c r="AT120" i="385"/>
  <c r="AS120" i="385"/>
  <c r="AR120" i="385"/>
  <c r="AQ120" i="385"/>
  <c r="AP120" i="385"/>
  <c r="BN119" i="385"/>
  <c r="BM119" i="385"/>
  <c r="BL119" i="385"/>
  <c r="BK119" i="385"/>
  <c r="BJ119" i="385"/>
  <c r="BI119" i="385"/>
  <c r="BH119" i="385"/>
  <c r="BG119" i="385"/>
  <c r="BF119" i="385"/>
  <c r="BE119" i="385"/>
  <c r="BD119" i="385"/>
  <c r="BC119" i="385"/>
  <c r="BB119" i="385"/>
  <c r="BA119" i="385"/>
  <c r="AZ119" i="385"/>
  <c r="AW119" i="385"/>
  <c r="AV119" i="385"/>
  <c r="AU119" i="385"/>
  <c r="AT119" i="385"/>
  <c r="AS119" i="385"/>
  <c r="AR119" i="385"/>
  <c r="AQ119" i="385"/>
  <c r="AP119" i="385"/>
  <c r="BN118" i="385"/>
  <c r="BM118" i="385"/>
  <c r="BL118" i="385"/>
  <c r="BK118" i="385"/>
  <c r="BJ118" i="385"/>
  <c r="BI118" i="385"/>
  <c r="BH118" i="385"/>
  <c r="BG118" i="385"/>
  <c r="BF118" i="385"/>
  <c r="BE118" i="385"/>
  <c r="BD118" i="385"/>
  <c r="BC118" i="385"/>
  <c r="BB118" i="385"/>
  <c r="BA118" i="385"/>
  <c r="AZ118" i="385"/>
  <c r="AW118" i="385"/>
  <c r="AV118" i="385"/>
  <c r="AU118" i="385"/>
  <c r="AT118" i="385"/>
  <c r="AS118" i="385"/>
  <c r="AR118" i="385"/>
  <c r="AQ118" i="385"/>
  <c r="AP118" i="385"/>
  <c r="AO117" i="385"/>
  <c r="AN117" i="385"/>
  <c r="AM117" i="385"/>
  <c r="AL117" i="385"/>
  <c r="AK117" i="385"/>
  <c r="AJ117" i="385"/>
  <c r="AI117" i="385"/>
  <c r="AH117" i="385"/>
  <c r="AG117" i="385"/>
  <c r="AF117" i="385"/>
  <c r="AE117" i="385"/>
  <c r="AD117" i="385"/>
  <c r="AC117" i="385"/>
  <c r="AB117" i="385"/>
  <c r="AA117" i="385"/>
  <c r="Z117" i="385"/>
  <c r="Y117" i="385"/>
  <c r="X117" i="385"/>
  <c r="W117" i="385"/>
  <c r="V117" i="385"/>
  <c r="U117" i="385"/>
  <c r="T117" i="385"/>
  <c r="S117" i="385"/>
  <c r="R117" i="385"/>
  <c r="Q117" i="385"/>
  <c r="P117" i="385"/>
  <c r="O117" i="385"/>
  <c r="N117" i="385"/>
  <c r="M117" i="385"/>
  <c r="L117" i="385"/>
  <c r="AO116" i="385"/>
  <c r="AN116" i="385"/>
  <c r="AM116" i="385"/>
  <c r="AL116" i="385"/>
  <c r="AK116" i="385"/>
  <c r="AJ116" i="385"/>
  <c r="AI116" i="385"/>
  <c r="AH116" i="385"/>
  <c r="AG116" i="385"/>
  <c r="AF116" i="385"/>
  <c r="AE116" i="385"/>
  <c r="AD116" i="385"/>
  <c r="AC116" i="385"/>
  <c r="AB116" i="385"/>
  <c r="AA116" i="385"/>
  <c r="Z116" i="385"/>
  <c r="Y116" i="385"/>
  <c r="X116" i="385"/>
  <c r="W116" i="385"/>
  <c r="V116" i="385"/>
  <c r="U116" i="385"/>
  <c r="T116" i="385"/>
  <c r="S116" i="385"/>
  <c r="R116" i="385"/>
  <c r="Q116" i="385"/>
  <c r="P116" i="385"/>
  <c r="O116" i="385"/>
  <c r="N116" i="385"/>
  <c r="M116" i="385"/>
  <c r="L116" i="385"/>
  <c r="BN115" i="385"/>
  <c r="BK115" i="385"/>
  <c r="BJ115" i="385"/>
  <c r="BM115" i="385" s="1"/>
  <c r="BI115" i="385"/>
  <c r="BH115" i="385"/>
  <c r="BG115" i="385"/>
  <c r="BF115" i="385"/>
  <c r="BE115" i="385"/>
  <c r="BD115" i="385"/>
  <c r="BC115" i="385"/>
  <c r="BB115" i="385"/>
  <c r="BA115" i="385"/>
  <c r="AZ115" i="385"/>
  <c r="AY115" i="385"/>
  <c r="BL115" i="385" s="1"/>
  <c r="AW115" i="385"/>
  <c r="AV115" i="385"/>
  <c r="AU115" i="385"/>
  <c r="AT115" i="385"/>
  <c r="AS115" i="385"/>
  <c r="AR115" i="385"/>
  <c r="AQ115" i="385"/>
  <c r="AP115" i="385"/>
  <c r="BN114" i="385"/>
  <c r="BJ114" i="385"/>
  <c r="BM114" i="385" s="1"/>
  <c r="BI114" i="385"/>
  <c r="BH114" i="385"/>
  <c r="BG114" i="385"/>
  <c r="BF114" i="385"/>
  <c r="BE114" i="385"/>
  <c r="BD114" i="385"/>
  <c r="BC114" i="385"/>
  <c r="BB114" i="385"/>
  <c r="BA114" i="385"/>
  <c r="AZ114" i="385"/>
  <c r="AY114" i="385"/>
  <c r="BL114" i="385" s="1"/>
  <c r="AX114" i="385"/>
  <c r="BK114" i="385" s="1"/>
  <c r="AW114" i="385"/>
  <c r="AV114" i="385"/>
  <c r="AU114" i="385"/>
  <c r="AT114" i="385"/>
  <c r="AS114" i="385"/>
  <c r="AR114" i="385"/>
  <c r="AQ114" i="385"/>
  <c r="AP114" i="385"/>
  <c r="AO113" i="385"/>
  <c r="AN113" i="385"/>
  <c r="AM113" i="385"/>
  <c r="AL113" i="385"/>
  <c r="AK113" i="385"/>
  <c r="AJ113" i="385"/>
  <c r="AI113" i="385"/>
  <c r="AH113" i="385"/>
  <c r="AG113" i="385"/>
  <c r="AF113" i="385"/>
  <c r="AE113" i="385"/>
  <c r="AD113" i="385"/>
  <c r="AC113" i="385"/>
  <c r="AB113" i="385"/>
  <c r="AA113" i="385"/>
  <c r="Z113" i="385"/>
  <c r="Y113" i="385"/>
  <c r="X113" i="385"/>
  <c r="W113" i="385"/>
  <c r="V113" i="385"/>
  <c r="U113" i="385"/>
  <c r="T113" i="385"/>
  <c r="S113" i="385"/>
  <c r="R113" i="385"/>
  <c r="Q113" i="385"/>
  <c r="P113" i="385"/>
  <c r="O113" i="385"/>
  <c r="N113" i="385"/>
  <c r="M113" i="385"/>
  <c r="L113" i="385"/>
  <c r="BN112" i="385"/>
  <c r="BM112" i="385"/>
  <c r="BL112" i="385"/>
  <c r="BK112" i="385"/>
  <c r="BJ112" i="385"/>
  <c r="BI112" i="385"/>
  <c r="BH112" i="385"/>
  <c r="BG112" i="385"/>
  <c r="BF112" i="385"/>
  <c r="BE112" i="385"/>
  <c r="BD112" i="385"/>
  <c r="BC112" i="385"/>
  <c r="BB112" i="385"/>
  <c r="BA112" i="385"/>
  <c r="AZ112" i="385"/>
  <c r="AW112" i="385"/>
  <c r="AV112" i="385"/>
  <c r="AU112" i="385"/>
  <c r="AT112" i="385"/>
  <c r="AS112" i="385"/>
  <c r="AR112" i="385"/>
  <c r="AQ112" i="385"/>
  <c r="AP112" i="385"/>
  <c r="BN111" i="385"/>
  <c r="BM111" i="385"/>
  <c r="BL111" i="385"/>
  <c r="BK111" i="385"/>
  <c r="BJ111" i="385"/>
  <c r="BI111" i="385"/>
  <c r="BH111" i="385"/>
  <c r="BG111" i="385"/>
  <c r="BF111" i="385"/>
  <c r="BE111" i="385"/>
  <c r="BD111" i="385"/>
  <c r="BC111" i="385"/>
  <c r="BB111" i="385"/>
  <c r="BA111" i="385"/>
  <c r="AZ111" i="385"/>
  <c r="AY111" i="385"/>
  <c r="AW111" i="385"/>
  <c r="AV111" i="385"/>
  <c r="AU111" i="385"/>
  <c r="AT111" i="385"/>
  <c r="AS111" i="385"/>
  <c r="AR111" i="385"/>
  <c r="AQ111" i="385"/>
  <c r="AP111" i="385"/>
  <c r="BN110" i="385"/>
  <c r="BM110" i="385"/>
  <c r="BL110" i="385"/>
  <c r="BK110" i="385"/>
  <c r="BJ110" i="385"/>
  <c r="BI110" i="385"/>
  <c r="BH110" i="385"/>
  <c r="BG110" i="385"/>
  <c r="BF110" i="385"/>
  <c r="BE110" i="385"/>
  <c r="BD110" i="385"/>
  <c r="BC110" i="385"/>
  <c r="BB110" i="385"/>
  <c r="BA110" i="385"/>
  <c r="AZ110" i="385"/>
  <c r="AY110" i="385"/>
  <c r="AW110" i="385"/>
  <c r="AV110" i="385"/>
  <c r="AU110" i="385"/>
  <c r="AT110" i="385"/>
  <c r="AS110" i="385"/>
  <c r="AR110" i="385"/>
  <c r="AQ110" i="385"/>
  <c r="AP110" i="385"/>
  <c r="BN109" i="385"/>
  <c r="BM109" i="385"/>
  <c r="BL109" i="385"/>
  <c r="BK109" i="385"/>
  <c r="BJ109" i="385"/>
  <c r="BI109" i="385"/>
  <c r="BH109" i="385"/>
  <c r="BG109" i="385"/>
  <c r="BF109" i="385"/>
  <c r="BE109" i="385"/>
  <c r="BD109" i="385"/>
  <c r="BC109" i="385"/>
  <c r="BB109" i="385"/>
  <c r="BA109" i="385"/>
  <c r="AZ109" i="385"/>
  <c r="AY109" i="385"/>
  <c r="AW109" i="385"/>
  <c r="AV109" i="385"/>
  <c r="AU109" i="385"/>
  <c r="AT109" i="385"/>
  <c r="AS109" i="385"/>
  <c r="AR109" i="385"/>
  <c r="AQ109" i="385"/>
  <c r="AP109" i="385"/>
  <c r="AO108" i="385"/>
  <c r="AN108" i="385"/>
  <c r="AM108" i="385"/>
  <c r="AL108" i="385"/>
  <c r="AK108" i="385"/>
  <c r="AJ108" i="385"/>
  <c r="AI108" i="385"/>
  <c r="AH108" i="385"/>
  <c r="AG108" i="385"/>
  <c r="AF108" i="385"/>
  <c r="AE108" i="385"/>
  <c r="AD108" i="385"/>
  <c r="AC108" i="385"/>
  <c r="AB108" i="385"/>
  <c r="AA108" i="385"/>
  <c r="Z108" i="385"/>
  <c r="Y108" i="385"/>
  <c r="X108" i="385"/>
  <c r="W108" i="385"/>
  <c r="V108" i="385"/>
  <c r="U108" i="385"/>
  <c r="T108" i="385"/>
  <c r="S108" i="385"/>
  <c r="R108" i="385"/>
  <c r="Q108" i="385"/>
  <c r="P108" i="385"/>
  <c r="O108" i="385"/>
  <c r="N108" i="385"/>
  <c r="M108" i="385"/>
  <c r="L108" i="385"/>
  <c r="BN107" i="385"/>
  <c r="BK107" i="385"/>
  <c r="BJ107" i="385"/>
  <c r="BM107" i="385" s="1"/>
  <c r="BI107" i="385"/>
  <c r="BH107" i="385"/>
  <c r="BG107" i="385"/>
  <c r="BF107" i="385"/>
  <c r="BE107" i="385"/>
  <c r="BD107" i="385"/>
  <c r="BC107" i="385"/>
  <c r="BB107" i="385"/>
  <c r="BA107" i="385"/>
  <c r="AZ107" i="385"/>
  <c r="AY107" i="385"/>
  <c r="BL107" i="385" s="1"/>
  <c r="AW107" i="385"/>
  <c r="AV107" i="385"/>
  <c r="AU107" i="385"/>
  <c r="AT107" i="385"/>
  <c r="AS107" i="385"/>
  <c r="AR107" i="385"/>
  <c r="AQ107" i="385"/>
  <c r="AP107" i="385"/>
  <c r="BN106" i="385"/>
  <c r="BK106" i="385"/>
  <c r="BJ106" i="385"/>
  <c r="BM106" i="385" s="1"/>
  <c r="BI106" i="385"/>
  <c r="BH106" i="385"/>
  <c r="BG106" i="385"/>
  <c r="BF106" i="385"/>
  <c r="BE106" i="385"/>
  <c r="BD106" i="385"/>
  <c r="BC106" i="385"/>
  <c r="BB106" i="385"/>
  <c r="BA106" i="385"/>
  <c r="AZ106" i="385"/>
  <c r="AY106" i="385"/>
  <c r="BL106" i="385" s="1"/>
  <c r="AW106" i="385"/>
  <c r="AV106" i="385"/>
  <c r="AU106" i="385"/>
  <c r="AT106" i="385"/>
  <c r="AS106" i="385"/>
  <c r="AR106" i="385"/>
  <c r="AQ106" i="385"/>
  <c r="AP106" i="385"/>
  <c r="AO105" i="385"/>
  <c r="AN105" i="385"/>
  <c r="AM105" i="385"/>
  <c r="AL105" i="385"/>
  <c r="AK105" i="385"/>
  <c r="AJ105" i="385"/>
  <c r="AI105" i="385"/>
  <c r="AH105" i="385"/>
  <c r="AG105" i="385"/>
  <c r="AF105" i="385"/>
  <c r="AE105" i="385"/>
  <c r="AD105" i="385"/>
  <c r="AC105" i="385"/>
  <c r="AB105" i="385"/>
  <c r="AA105" i="385"/>
  <c r="Z105" i="385"/>
  <c r="Y105" i="385"/>
  <c r="X105" i="385"/>
  <c r="W105" i="385"/>
  <c r="V105" i="385"/>
  <c r="U105" i="385"/>
  <c r="T105" i="385"/>
  <c r="S105" i="385"/>
  <c r="R105" i="385"/>
  <c r="Q105" i="385"/>
  <c r="P105" i="385"/>
  <c r="O105" i="385"/>
  <c r="N105" i="385"/>
  <c r="M105" i="385"/>
  <c r="L105" i="385"/>
  <c r="BN104" i="385"/>
  <c r="BM104" i="385"/>
  <c r="BK104" i="385"/>
  <c r="BJ104" i="385"/>
  <c r="BI104" i="385"/>
  <c r="BH104" i="385"/>
  <c r="BG104" i="385"/>
  <c r="BF104" i="385"/>
  <c r="BE104" i="385"/>
  <c r="BD104" i="385"/>
  <c r="BC104" i="385"/>
  <c r="BB104" i="385"/>
  <c r="BA104" i="385"/>
  <c r="AZ104" i="385"/>
  <c r="AY104" i="385"/>
  <c r="BL104" i="385" s="1"/>
  <c r="AW104" i="385"/>
  <c r="AV104" i="385"/>
  <c r="AU104" i="385"/>
  <c r="AT104" i="385"/>
  <c r="AS104" i="385"/>
  <c r="AR104" i="385"/>
  <c r="AQ104" i="385"/>
  <c r="AP104" i="385"/>
  <c r="BN103" i="385"/>
  <c r="BM103" i="385"/>
  <c r="BK103" i="385"/>
  <c r="BJ103" i="385"/>
  <c r="BI103" i="385"/>
  <c r="BH103" i="385"/>
  <c r="BG103" i="385"/>
  <c r="BF103" i="385"/>
  <c r="BE103" i="385"/>
  <c r="BD103" i="385"/>
  <c r="BC103" i="385"/>
  <c r="BB103" i="385"/>
  <c r="BA103" i="385"/>
  <c r="AZ103" i="385"/>
  <c r="AY103" i="385"/>
  <c r="BL103" i="385" s="1"/>
  <c r="AX103" i="385"/>
  <c r="AW103" i="385"/>
  <c r="AV103" i="385"/>
  <c r="AU103" i="385"/>
  <c r="AT103" i="385"/>
  <c r="AS103" i="385"/>
  <c r="AR103" i="385"/>
  <c r="AQ103" i="385"/>
  <c r="AP103" i="385"/>
  <c r="AO102" i="385"/>
  <c r="AN102" i="385"/>
  <c r="AM102" i="385"/>
  <c r="AL102" i="385"/>
  <c r="AK102" i="385"/>
  <c r="AJ102" i="385"/>
  <c r="AI102" i="385"/>
  <c r="AH102" i="385"/>
  <c r="AG102" i="385"/>
  <c r="AF102" i="385"/>
  <c r="AE102" i="385"/>
  <c r="AD102" i="385"/>
  <c r="AC102" i="385"/>
  <c r="AB102" i="385"/>
  <c r="AA102" i="385"/>
  <c r="Z102" i="385"/>
  <c r="Y102" i="385"/>
  <c r="X102" i="385"/>
  <c r="W102" i="385"/>
  <c r="V102" i="385"/>
  <c r="U102" i="385"/>
  <c r="T102" i="385"/>
  <c r="S102" i="385"/>
  <c r="R102" i="385"/>
  <c r="Q102" i="385"/>
  <c r="P102" i="385"/>
  <c r="O102" i="385"/>
  <c r="N102" i="385"/>
  <c r="M102" i="385"/>
  <c r="L102" i="385"/>
  <c r="BN101" i="385"/>
  <c r="BK101" i="385"/>
  <c r="BJ101" i="385"/>
  <c r="BM101" i="385" s="1"/>
  <c r="BI101" i="385"/>
  <c r="BH101" i="385"/>
  <c r="BG101" i="385"/>
  <c r="BF101" i="385"/>
  <c r="BE101" i="385"/>
  <c r="BD101" i="385"/>
  <c r="BC101" i="385"/>
  <c r="BB101" i="385"/>
  <c r="BA101" i="385"/>
  <c r="AZ101" i="385"/>
  <c r="AY101" i="385"/>
  <c r="BL101" i="385" s="1"/>
  <c r="AW101" i="385"/>
  <c r="AV101" i="385"/>
  <c r="AU101" i="385"/>
  <c r="AT101" i="385"/>
  <c r="AS101" i="385"/>
  <c r="AR101" i="385"/>
  <c r="AQ101" i="385"/>
  <c r="AP101" i="385"/>
  <c r="AO100" i="385"/>
  <c r="AN100" i="385"/>
  <c r="AM100" i="385"/>
  <c r="AL100" i="385"/>
  <c r="AK100" i="385"/>
  <c r="AJ100" i="385"/>
  <c r="AI100" i="385"/>
  <c r="AH100" i="385"/>
  <c r="AG100" i="385"/>
  <c r="AF100" i="385"/>
  <c r="AE100" i="385"/>
  <c r="AD100" i="385"/>
  <c r="AC100" i="385"/>
  <c r="AB100" i="385"/>
  <c r="AA100" i="385"/>
  <c r="Z100" i="385"/>
  <c r="Y100" i="385"/>
  <c r="X100" i="385"/>
  <c r="W100" i="385"/>
  <c r="V100" i="385"/>
  <c r="U100" i="385"/>
  <c r="T100" i="385"/>
  <c r="S100" i="385"/>
  <c r="R100" i="385"/>
  <c r="Q100" i="385"/>
  <c r="P100" i="385"/>
  <c r="O100" i="385"/>
  <c r="N100" i="385"/>
  <c r="M100" i="385"/>
  <c r="L100" i="385"/>
  <c r="BN99" i="385"/>
  <c r="BM99" i="385"/>
  <c r="BL99" i="385"/>
  <c r="BK99" i="385"/>
  <c r="BJ99" i="385"/>
  <c r="BI99" i="385"/>
  <c r="BH99" i="385"/>
  <c r="BG99" i="385"/>
  <c r="BF99" i="385"/>
  <c r="BE99" i="385"/>
  <c r="BD99" i="385"/>
  <c r="BC99" i="385"/>
  <c r="BB99" i="385"/>
  <c r="BA99" i="385"/>
  <c r="AZ99" i="385"/>
  <c r="AW99" i="385"/>
  <c r="AV99" i="385"/>
  <c r="AU99" i="385"/>
  <c r="AT99" i="385"/>
  <c r="AS99" i="385"/>
  <c r="AR99" i="385"/>
  <c r="AQ99" i="385"/>
  <c r="AP99" i="385"/>
  <c r="BN98" i="385"/>
  <c r="BM98" i="385"/>
  <c r="BL98" i="385"/>
  <c r="BK98" i="385"/>
  <c r="BJ98" i="385"/>
  <c r="BI98" i="385"/>
  <c r="BH98" i="385"/>
  <c r="BG98" i="385"/>
  <c r="BF98" i="385"/>
  <c r="BE98" i="385"/>
  <c r="BD98" i="385"/>
  <c r="BC98" i="385"/>
  <c r="BB98" i="385"/>
  <c r="BA98" i="385"/>
  <c r="AZ98" i="385"/>
  <c r="AW98" i="385"/>
  <c r="AV98" i="385"/>
  <c r="AU98" i="385"/>
  <c r="AT98" i="385"/>
  <c r="AS98" i="385"/>
  <c r="AR98" i="385"/>
  <c r="AQ98" i="385"/>
  <c r="AP98" i="385"/>
  <c r="BN97" i="385"/>
  <c r="BL97" i="385"/>
  <c r="BK97" i="385"/>
  <c r="BJ97" i="385"/>
  <c r="BM97" i="385" s="1"/>
  <c r="BI97" i="385"/>
  <c r="BH97" i="385"/>
  <c r="BG97" i="385"/>
  <c r="BF97" i="385"/>
  <c r="BE97" i="385"/>
  <c r="BD97" i="385"/>
  <c r="BC97" i="385"/>
  <c r="BB97" i="385"/>
  <c r="BA97" i="385"/>
  <c r="AZ97" i="385"/>
  <c r="AW97" i="385"/>
  <c r="AV97" i="385"/>
  <c r="AU97" i="385"/>
  <c r="AT97" i="385"/>
  <c r="AS97" i="385"/>
  <c r="AR97" i="385"/>
  <c r="AQ97" i="385"/>
  <c r="AP97" i="385"/>
  <c r="BN96" i="385"/>
  <c r="BK96" i="385"/>
  <c r="BJ96" i="385"/>
  <c r="BM96" i="385" s="1"/>
  <c r="BI96" i="385"/>
  <c r="BH96" i="385"/>
  <c r="BG96" i="385"/>
  <c r="BF96" i="385"/>
  <c r="BE96" i="385"/>
  <c r="BD96" i="385"/>
  <c r="BC96" i="385"/>
  <c r="BB96" i="385"/>
  <c r="BA96" i="385"/>
  <c r="AZ96" i="385"/>
  <c r="AY96" i="385"/>
  <c r="BL96" i="385" s="1"/>
  <c r="AX96" i="385"/>
  <c r="AW96" i="385"/>
  <c r="AV96" i="385"/>
  <c r="AU96" i="385"/>
  <c r="AT96" i="385"/>
  <c r="AS96" i="385"/>
  <c r="AR96" i="385"/>
  <c r="AQ96" i="385"/>
  <c r="AP96" i="385"/>
  <c r="BN95" i="385"/>
  <c r="BL95" i="385"/>
  <c r="BK95" i="385"/>
  <c r="BJ95" i="385"/>
  <c r="BM95" i="385" s="1"/>
  <c r="BI95" i="385"/>
  <c r="BH95" i="385"/>
  <c r="BG95" i="385"/>
  <c r="BF95" i="385"/>
  <c r="BE95" i="385"/>
  <c r="BD95" i="385"/>
  <c r="BC95" i="385"/>
  <c r="BB95" i="385"/>
  <c r="BA95" i="385"/>
  <c r="AZ95" i="385"/>
  <c r="AY95" i="385"/>
  <c r="AW95" i="385"/>
  <c r="AV95" i="385"/>
  <c r="AU95" i="385"/>
  <c r="AU4" i="385" s="1"/>
  <c r="AT95" i="385"/>
  <c r="AS95" i="385"/>
  <c r="AR95" i="385"/>
  <c r="AQ95" i="385"/>
  <c r="AP95" i="385"/>
  <c r="BN94" i="385"/>
  <c r="BL94" i="385"/>
  <c r="BK94" i="385"/>
  <c r="BJ94" i="385"/>
  <c r="BM94" i="385" s="1"/>
  <c r="BI94" i="385"/>
  <c r="BH94" i="385"/>
  <c r="BG94" i="385"/>
  <c r="BF94" i="385"/>
  <c r="BE94" i="385"/>
  <c r="BD94" i="385"/>
  <c r="BC94" i="385"/>
  <c r="BB94" i="385"/>
  <c r="BA94" i="385"/>
  <c r="AZ94" i="385"/>
  <c r="AW94" i="385"/>
  <c r="AV94" i="385"/>
  <c r="AU94" i="385"/>
  <c r="AT94" i="385"/>
  <c r="AS94" i="385"/>
  <c r="AR94" i="385"/>
  <c r="AQ94" i="385"/>
  <c r="AP94" i="385"/>
  <c r="BN93" i="385"/>
  <c r="BL93" i="385"/>
  <c r="BK93" i="385"/>
  <c r="BJ93" i="385"/>
  <c r="BM93" i="385" s="1"/>
  <c r="BI93" i="385"/>
  <c r="BH93" i="385"/>
  <c r="BG93" i="385"/>
  <c r="BF93" i="385"/>
  <c r="BE93" i="385"/>
  <c r="BD93" i="385"/>
  <c r="BC93" i="385"/>
  <c r="BB93" i="385"/>
  <c r="BA93" i="385"/>
  <c r="AZ93" i="385"/>
  <c r="AW93" i="385"/>
  <c r="AV93" i="385"/>
  <c r="AU93" i="385"/>
  <c r="AT93" i="385"/>
  <c r="AS93" i="385"/>
  <c r="AR93" i="385"/>
  <c r="AQ93" i="385"/>
  <c r="AP93" i="385"/>
  <c r="AO92" i="385"/>
  <c r="AN92" i="385"/>
  <c r="AM92" i="385"/>
  <c r="AL92" i="385"/>
  <c r="AK92" i="385"/>
  <c r="AJ92" i="385"/>
  <c r="AI92" i="385"/>
  <c r="AH92" i="385"/>
  <c r="AG92" i="385"/>
  <c r="AF92" i="385"/>
  <c r="AE92" i="385"/>
  <c r="AD92" i="385"/>
  <c r="AC92" i="385"/>
  <c r="AB92" i="385"/>
  <c r="AA92" i="385"/>
  <c r="Z92" i="385"/>
  <c r="Y92" i="385"/>
  <c r="X92" i="385"/>
  <c r="W92" i="385"/>
  <c r="V92" i="385"/>
  <c r="U92" i="385"/>
  <c r="T92" i="385"/>
  <c r="S92" i="385"/>
  <c r="R92" i="385"/>
  <c r="Q92" i="385"/>
  <c r="P92" i="385"/>
  <c r="O92" i="385"/>
  <c r="N92" i="385"/>
  <c r="M92" i="385"/>
  <c r="L92" i="385"/>
  <c r="BN91" i="385"/>
  <c r="BL91" i="385"/>
  <c r="BK91" i="385"/>
  <c r="BJ91" i="385"/>
  <c r="BM91" i="385" s="1"/>
  <c r="BI91" i="385"/>
  <c r="BH91" i="385"/>
  <c r="BG91" i="385"/>
  <c r="BF91" i="385"/>
  <c r="BE91" i="385"/>
  <c r="BD91" i="385"/>
  <c r="BC91" i="385"/>
  <c r="BB91" i="385"/>
  <c r="BA91" i="385"/>
  <c r="AZ91" i="385"/>
  <c r="AW91" i="385"/>
  <c r="AV91" i="385"/>
  <c r="AU91" i="385"/>
  <c r="AT91" i="385"/>
  <c r="AS91" i="385"/>
  <c r="AR91" i="385"/>
  <c r="AQ91" i="385"/>
  <c r="AP91" i="385"/>
  <c r="BN90" i="385"/>
  <c r="BM90" i="385"/>
  <c r="BK90" i="385"/>
  <c r="BJ90" i="385"/>
  <c r="BI90" i="385"/>
  <c r="BH90" i="385"/>
  <c r="BG90" i="385"/>
  <c r="BF90" i="385"/>
  <c r="BE90" i="385"/>
  <c r="BD90" i="385"/>
  <c r="BC90" i="385"/>
  <c r="BB90" i="385"/>
  <c r="BA90" i="385"/>
  <c r="AZ90" i="385"/>
  <c r="AY90" i="385"/>
  <c r="BL90" i="385" s="1"/>
  <c r="AW90" i="385"/>
  <c r="AV90" i="385"/>
  <c r="AU90" i="385"/>
  <c r="AT90" i="385"/>
  <c r="AS90" i="385"/>
  <c r="AR90" i="385"/>
  <c r="AQ90" i="385"/>
  <c r="AP90" i="385"/>
  <c r="BN89" i="385"/>
  <c r="BL89" i="385"/>
  <c r="BK89" i="385"/>
  <c r="BJ89" i="385"/>
  <c r="BM89" i="385" s="1"/>
  <c r="BI89" i="385"/>
  <c r="BH89" i="385"/>
  <c r="BG89" i="385"/>
  <c r="BF89" i="385"/>
  <c r="BE89" i="385"/>
  <c r="BD89" i="385"/>
  <c r="BC89" i="385"/>
  <c r="BB89" i="385"/>
  <c r="BA89" i="385"/>
  <c r="AZ89" i="385"/>
  <c r="AW89" i="385"/>
  <c r="AV89" i="385"/>
  <c r="AU89" i="385"/>
  <c r="AT89" i="385"/>
  <c r="AS89" i="385"/>
  <c r="AR89" i="385"/>
  <c r="AQ89" i="385"/>
  <c r="AP89" i="385"/>
  <c r="BN88" i="385"/>
  <c r="BM88" i="385"/>
  <c r="BL88" i="385"/>
  <c r="BK88" i="385"/>
  <c r="BJ88" i="385"/>
  <c r="BI88" i="385"/>
  <c r="BH88" i="385"/>
  <c r="BG88" i="385"/>
  <c r="BF88" i="385"/>
  <c r="BE88" i="385"/>
  <c r="BD88" i="385"/>
  <c r="BC88" i="385"/>
  <c r="BB88" i="385"/>
  <c r="BA88" i="385"/>
  <c r="AZ88" i="385"/>
  <c r="AW88" i="385"/>
  <c r="AV88" i="385"/>
  <c r="AU88" i="385"/>
  <c r="AT88" i="385"/>
  <c r="AS88" i="385"/>
  <c r="AR88" i="385"/>
  <c r="AQ88" i="385"/>
  <c r="AP88" i="385"/>
  <c r="BN87" i="385"/>
  <c r="BM87" i="385"/>
  <c r="BL87" i="385"/>
  <c r="BK87" i="385"/>
  <c r="BJ87" i="385"/>
  <c r="BI87" i="385"/>
  <c r="BH87" i="385"/>
  <c r="BG87" i="385"/>
  <c r="BF87" i="385"/>
  <c r="BE87" i="385"/>
  <c r="BD87" i="385"/>
  <c r="BC87" i="385"/>
  <c r="BB87" i="385"/>
  <c r="BA87" i="385"/>
  <c r="AZ87" i="385"/>
  <c r="AY87" i="385"/>
  <c r="AW87" i="385"/>
  <c r="AV87" i="385"/>
  <c r="AU87" i="385"/>
  <c r="AT87" i="385"/>
  <c r="AS87" i="385"/>
  <c r="AR87" i="385"/>
  <c r="AQ87" i="385"/>
  <c r="AP87" i="385"/>
  <c r="BN86" i="385"/>
  <c r="BM86" i="385"/>
  <c r="BL86" i="385"/>
  <c r="BK86" i="385"/>
  <c r="BJ86" i="385"/>
  <c r="BI86" i="385"/>
  <c r="BH86" i="385"/>
  <c r="BG86" i="385"/>
  <c r="BF86" i="385"/>
  <c r="BE86" i="385"/>
  <c r="BD86" i="385"/>
  <c r="BC86" i="385"/>
  <c r="BB86" i="385"/>
  <c r="BA86" i="385"/>
  <c r="AZ86" i="385"/>
  <c r="AY86" i="385"/>
  <c r="AW86" i="385"/>
  <c r="AV86" i="385"/>
  <c r="AU86" i="385"/>
  <c r="AT86" i="385"/>
  <c r="AS86" i="385"/>
  <c r="AR86" i="385"/>
  <c r="AQ86" i="385"/>
  <c r="AP86" i="385"/>
  <c r="AO85" i="385"/>
  <c r="AN85" i="385"/>
  <c r="AM85" i="385"/>
  <c r="AL85" i="385"/>
  <c r="AK85" i="385"/>
  <c r="AJ85" i="385"/>
  <c r="AI85" i="385"/>
  <c r="AH85" i="385"/>
  <c r="AG85" i="385"/>
  <c r="AF85" i="385"/>
  <c r="AE85" i="385"/>
  <c r="AD85" i="385"/>
  <c r="AC85" i="385"/>
  <c r="AB85" i="385"/>
  <c r="AA85" i="385"/>
  <c r="Z85" i="385"/>
  <c r="Y85" i="385"/>
  <c r="X85" i="385"/>
  <c r="W85" i="385"/>
  <c r="V85" i="385"/>
  <c r="U85" i="385"/>
  <c r="T85" i="385"/>
  <c r="S85" i="385"/>
  <c r="R85" i="385"/>
  <c r="Q85" i="385"/>
  <c r="P85" i="385"/>
  <c r="O85" i="385"/>
  <c r="N85" i="385"/>
  <c r="M85" i="385"/>
  <c r="L85" i="385"/>
  <c r="BN84" i="385"/>
  <c r="BL84" i="385"/>
  <c r="BK84" i="385"/>
  <c r="BJ84" i="385"/>
  <c r="BM84" i="385" s="1"/>
  <c r="BI84" i="385"/>
  <c r="BH84" i="385"/>
  <c r="BG84" i="385"/>
  <c r="BF84" i="385"/>
  <c r="BE84" i="385"/>
  <c r="BD84" i="385"/>
  <c r="BC84" i="385"/>
  <c r="BB84" i="385"/>
  <c r="BA84" i="385"/>
  <c r="AZ84" i="385"/>
  <c r="AW84" i="385"/>
  <c r="AV84" i="385"/>
  <c r="AU84" i="385"/>
  <c r="AT84" i="385"/>
  <c r="AS84" i="385"/>
  <c r="AR84" i="385"/>
  <c r="AQ84" i="385"/>
  <c r="AP84" i="385"/>
  <c r="BN83" i="385"/>
  <c r="BL83" i="385"/>
  <c r="BK83" i="385"/>
  <c r="BJ83" i="385"/>
  <c r="BM83" i="385" s="1"/>
  <c r="BI83" i="385"/>
  <c r="BH83" i="385"/>
  <c r="BG83" i="385"/>
  <c r="BF83" i="385"/>
  <c r="BE83" i="385"/>
  <c r="BD83" i="385"/>
  <c r="BC83" i="385"/>
  <c r="BB83" i="385"/>
  <c r="BA83" i="385"/>
  <c r="AZ83" i="385"/>
  <c r="AW83" i="385"/>
  <c r="AV83" i="385"/>
  <c r="AU83" i="385"/>
  <c r="AT83" i="385"/>
  <c r="AS83" i="385"/>
  <c r="AR83" i="385"/>
  <c r="AQ83" i="385"/>
  <c r="AP83" i="385"/>
  <c r="BN82" i="385"/>
  <c r="BM82" i="385"/>
  <c r="BL82" i="385"/>
  <c r="BK82" i="385"/>
  <c r="BJ82" i="385"/>
  <c r="BI82" i="385"/>
  <c r="BH82" i="385"/>
  <c r="BG82" i="385"/>
  <c r="BF82" i="385"/>
  <c r="BE82" i="385"/>
  <c r="BD82" i="385"/>
  <c r="BC82" i="385"/>
  <c r="BB82" i="385"/>
  <c r="BA82" i="385"/>
  <c r="AZ82" i="385"/>
  <c r="AW82" i="385"/>
  <c r="AV82" i="385"/>
  <c r="AU82" i="385"/>
  <c r="AT82" i="385"/>
  <c r="AS82" i="385"/>
  <c r="AR82" i="385"/>
  <c r="AQ82" i="385"/>
  <c r="AP82" i="385"/>
  <c r="BN81" i="385"/>
  <c r="BL81" i="385"/>
  <c r="BK81" i="385"/>
  <c r="BJ81" i="385"/>
  <c r="BM81" i="385" s="1"/>
  <c r="BI81" i="385"/>
  <c r="BH81" i="385"/>
  <c r="BG81" i="385"/>
  <c r="BF81" i="385"/>
  <c r="BE81" i="385"/>
  <c r="BD81" i="385"/>
  <c r="BC81" i="385"/>
  <c r="BB81" i="385"/>
  <c r="BA81" i="385"/>
  <c r="AZ81" i="385"/>
  <c r="AW81" i="385"/>
  <c r="AV81" i="385"/>
  <c r="AU81" i="385"/>
  <c r="AT81" i="385"/>
  <c r="AS81" i="385"/>
  <c r="AR81" i="385"/>
  <c r="AQ81" i="385"/>
  <c r="AP81" i="385"/>
  <c r="BN80" i="385"/>
  <c r="BM80" i="385"/>
  <c r="BJ80" i="385"/>
  <c r="BI80" i="385"/>
  <c r="BH80" i="385"/>
  <c r="BG80" i="385"/>
  <c r="BF80" i="385"/>
  <c r="BE80" i="385"/>
  <c r="BD80" i="385"/>
  <c r="BC80" i="385"/>
  <c r="BB80" i="385"/>
  <c r="BA80" i="385"/>
  <c r="AZ80" i="385"/>
  <c r="AY80" i="385"/>
  <c r="BL80" i="385" s="1"/>
  <c r="AX80" i="385"/>
  <c r="BK80" i="385" s="1"/>
  <c r="AW80" i="385"/>
  <c r="AV80" i="385"/>
  <c r="AU80" i="385"/>
  <c r="AT80" i="385"/>
  <c r="AS80" i="385"/>
  <c r="AR80" i="385"/>
  <c r="AQ80" i="385"/>
  <c r="AP80" i="385"/>
  <c r="BN79" i="385"/>
  <c r="BL79" i="385"/>
  <c r="BK79" i="385"/>
  <c r="BJ79" i="385"/>
  <c r="BM79" i="385" s="1"/>
  <c r="BI79" i="385"/>
  <c r="BH79" i="385"/>
  <c r="BG79" i="385"/>
  <c r="BF79" i="385"/>
  <c r="BE79" i="385"/>
  <c r="BD79" i="385"/>
  <c r="BC79" i="385"/>
  <c r="BB79" i="385"/>
  <c r="BA79" i="385"/>
  <c r="AZ79" i="385"/>
  <c r="AW79" i="385"/>
  <c r="AV79" i="385"/>
  <c r="AU79" i="385"/>
  <c r="AT79" i="385"/>
  <c r="AS79" i="385"/>
  <c r="AR79" i="385"/>
  <c r="AQ79" i="385"/>
  <c r="AP79" i="385"/>
  <c r="BN78" i="385"/>
  <c r="BM78" i="385"/>
  <c r="BK78" i="385"/>
  <c r="BJ78" i="385"/>
  <c r="BI78" i="385"/>
  <c r="BH78" i="385"/>
  <c r="BG78" i="385"/>
  <c r="BF78" i="385"/>
  <c r="BE78" i="385"/>
  <c r="BD78" i="385"/>
  <c r="BC78" i="385"/>
  <c r="BB78" i="385"/>
  <c r="BA78" i="385"/>
  <c r="AZ78" i="385"/>
  <c r="AY78" i="385"/>
  <c r="BL78" i="385" s="1"/>
  <c r="AW78" i="385"/>
  <c r="AV78" i="385"/>
  <c r="AU78" i="385"/>
  <c r="AT78" i="385"/>
  <c r="AS78" i="385"/>
  <c r="AR78" i="385"/>
  <c r="AQ78" i="385"/>
  <c r="AP78" i="385"/>
  <c r="BN77" i="385"/>
  <c r="BM77" i="385"/>
  <c r="BL77" i="385"/>
  <c r="BK77" i="385"/>
  <c r="BJ77" i="385"/>
  <c r="BI77" i="385"/>
  <c r="BH77" i="385"/>
  <c r="BG77" i="385"/>
  <c r="BF77" i="385"/>
  <c r="BE77" i="385"/>
  <c r="BD77" i="385"/>
  <c r="BC77" i="385"/>
  <c r="BB77" i="385"/>
  <c r="BA77" i="385"/>
  <c r="AZ77" i="385"/>
  <c r="AW77" i="385"/>
  <c r="AV77" i="385"/>
  <c r="AU77" i="385"/>
  <c r="AT77" i="385"/>
  <c r="AS77" i="385"/>
  <c r="AR77" i="385"/>
  <c r="AQ77" i="385"/>
  <c r="AP77" i="385"/>
  <c r="BN76" i="385"/>
  <c r="BN4" i="385" s="1"/>
  <c r="BM76" i="385"/>
  <c r="BL76" i="385"/>
  <c r="BK76" i="385"/>
  <c r="BK4" i="385" s="1"/>
  <c r="BJ76" i="385"/>
  <c r="BI76" i="385"/>
  <c r="BH76" i="385"/>
  <c r="BG76" i="385"/>
  <c r="BF76" i="385"/>
  <c r="BF4" i="385" s="1"/>
  <c r="BE76" i="385"/>
  <c r="BD76" i="385"/>
  <c r="BC76" i="385"/>
  <c r="BC4" i="385" s="1"/>
  <c r="BB76" i="385"/>
  <c r="BA76" i="385"/>
  <c r="AZ76" i="385"/>
  <c r="AW76" i="385"/>
  <c r="AV76" i="385"/>
  <c r="AU76" i="385"/>
  <c r="AT76" i="385"/>
  <c r="AS76" i="385"/>
  <c r="AR76" i="385"/>
  <c r="AQ76" i="385"/>
  <c r="AP76" i="385"/>
  <c r="BN75" i="385"/>
  <c r="BM75" i="385"/>
  <c r="BL75" i="385"/>
  <c r="BK75" i="385"/>
  <c r="BJ75" i="385"/>
  <c r="BI75" i="385"/>
  <c r="BH75" i="385"/>
  <c r="BG75" i="385"/>
  <c r="BF75" i="385"/>
  <c r="BE75" i="385"/>
  <c r="BD75" i="385"/>
  <c r="BC75" i="385"/>
  <c r="BB75" i="385"/>
  <c r="BA75" i="385"/>
  <c r="AZ75" i="385"/>
  <c r="AW75" i="385"/>
  <c r="AV75" i="385"/>
  <c r="AU75" i="385"/>
  <c r="AT75" i="385"/>
  <c r="AS75" i="385"/>
  <c r="AR75" i="385"/>
  <c r="AQ75" i="385"/>
  <c r="AP75" i="385"/>
  <c r="AO74" i="385"/>
  <c r="AN74" i="385"/>
  <c r="AM74" i="385"/>
  <c r="AL74" i="385"/>
  <c r="AK74" i="385"/>
  <c r="AJ74" i="385"/>
  <c r="AI74" i="385"/>
  <c r="AH74" i="385"/>
  <c r="AG74" i="385"/>
  <c r="AF74" i="385"/>
  <c r="AE74" i="385"/>
  <c r="AD74" i="385"/>
  <c r="AC74" i="385"/>
  <c r="AB74" i="385"/>
  <c r="AA74" i="385"/>
  <c r="Z74" i="385"/>
  <c r="Y74" i="385"/>
  <c r="X74" i="385"/>
  <c r="W74" i="385"/>
  <c r="V74" i="385"/>
  <c r="U74" i="385"/>
  <c r="T74" i="385"/>
  <c r="S74" i="385"/>
  <c r="R74" i="385"/>
  <c r="Q74" i="385"/>
  <c r="P74" i="385"/>
  <c r="O74" i="385"/>
  <c r="N74" i="385"/>
  <c r="M74" i="385"/>
  <c r="L74" i="385"/>
  <c r="BN73" i="385"/>
  <c r="BK73" i="385"/>
  <c r="BJ73" i="385"/>
  <c r="BM73" i="385" s="1"/>
  <c r="BI73" i="385"/>
  <c r="BH73" i="385"/>
  <c r="BG73" i="385"/>
  <c r="BF73" i="385"/>
  <c r="BE73" i="385"/>
  <c r="BD73" i="385"/>
  <c r="BC73" i="385"/>
  <c r="BB73" i="385"/>
  <c r="BA73" i="385"/>
  <c r="AZ73" i="385"/>
  <c r="AY73" i="385"/>
  <c r="BL73" i="385" s="1"/>
  <c r="AW73" i="385"/>
  <c r="AV73" i="385"/>
  <c r="AU73" i="385"/>
  <c r="AT73" i="385"/>
  <c r="AS73" i="385"/>
  <c r="AR73" i="385"/>
  <c r="AQ73" i="385"/>
  <c r="AP73" i="385"/>
  <c r="BN72" i="385"/>
  <c r="BK72" i="385"/>
  <c r="BJ72" i="385"/>
  <c r="BM72" i="385" s="1"/>
  <c r="BI72" i="385"/>
  <c r="BH72" i="385"/>
  <c r="BG72" i="385"/>
  <c r="BF72" i="385"/>
  <c r="BE72" i="385"/>
  <c r="BD72" i="385"/>
  <c r="BC72" i="385"/>
  <c r="BB72" i="385"/>
  <c r="BA72" i="385"/>
  <c r="AZ72" i="385"/>
  <c r="AY72" i="385"/>
  <c r="BL72" i="385" s="1"/>
  <c r="AW72" i="385"/>
  <c r="AV72" i="385"/>
  <c r="AU72" i="385"/>
  <c r="AT72" i="385"/>
  <c r="AS72" i="385"/>
  <c r="AR72" i="385"/>
  <c r="AQ72" i="385"/>
  <c r="AP72" i="385"/>
  <c r="BN71" i="385"/>
  <c r="BK71" i="385"/>
  <c r="BJ71" i="385"/>
  <c r="BM71" i="385" s="1"/>
  <c r="BI71" i="385"/>
  <c r="BH71" i="385"/>
  <c r="BG71" i="385"/>
  <c r="BF71" i="385"/>
  <c r="BE71" i="385"/>
  <c r="BD71" i="385"/>
  <c r="BC71" i="385"/>
  <c r="BB71" i="385"/>
  <c r="BA71" i="385"/>
  <c r="AZ71" i="385"/>
  <c r="AY71" i="385"/>
  <c r="BL71" i="385" s="1"/>
  <c r="AW71" i="385"/>
  <c r="AV71" i="385"/>
  <c r="AU71" i="385"/>
  <c r="AT71" i="385"/>
  <c r="AS71" i="385"/>
  <c r="AR71" i="385"/>
  <c r="AQ71" i="385"/>
  <c r="AP71" i="385"/>
  <c r="BN70" i="385"/>
  <c r="BL70" i="385"/>
  <c r="BJ70" i="385"/>
  <c r="BM70" i="385" s="1"/>
  <c r="BI70" i="385"/>
  <c r="BH70" i="385"/>
  <c r="BG70" i="385"/>
  <c r="BF70" i="385"/>
  <c r="BE70" i="385"/>
  <c r="BD70" i="385"/>
  <c r="BC70" i="385"/>
  <c r="BB70" i="385"/>
  <c r="BA70" i="385"/>
  <c r="AZ70" i="385"/>
  <c r="AX70" i="385"/>
  <c r="BK70" i="385" s="1"/>
  <c r="AW70" i="385"/>
  <c r="AV70" i="385"/>
  <c r="AU70" i="385"/>
  <c r="AT70" i="385"/>
  <c r="AS70" i="385"/>
  <c r="AR70" i="385"/>
  <c r="AQ70" i="385"/>
  <c r="AP70" i="385"/>
  <c r="BN69" i="385"/>
  <c r="BJ69" i="385"/>
  <c r="BM69" i="385" s="1"/>
  <c r="BI69" i="385"/>
  <c r="BH69" i="385"/>
  <c r="BG69" i="385"/>
  <c r="BF69" i="385"/>
  <c r="BE69" i="385"/>
  <c r="BD69" i="385"/>
  <c r="BC69" i="385"/>
  <c r="BB69" i="385"/>
  <c r="BA69" i="385"/>
  <c r="AZ69" i="385"/>
  <c r="AY69" i="385"/>
  <c r="BL69" i="385" s="1"/>
  <c r="AX69" i="385"/>
  <c r="BK69" i="385" s="1"/>
  <c r="AW69" i="385"/>
  <c r="AV69" i="385"/>
  <c r="AU69" i="385"/>
  <c r="AT69" i="385"/>
  <c r="AS69" i="385"/>
  <c r="AR69" i="385"/>
  <c r="AQ69" i="385"/>
  <c r="AP69" i="385"/>
  <c r="BN68" i="385"/>
  <c r="BM68" i="385"/>
  <c r="BK68" i="385"/>
  <c r="BJ68" i="385"/>
  <c r="BI68" i="385"/>
  <c r="BH68" i="385"/>
  <c r="BG68" i="385"/>
  <c r="BF68" i="385"/>
  <c r="BE68" i="385"/>
  <c r="BD68" i="385"/>
  <c r="BC68" i="385"/>
  <c r="BB68" i="385"/>
  <c r="BA68" i="385"/>
  <c r="AZ68" i="385"/>
  <c r="AY68" i="385"/>
  <c r="BL68" i="385" s="1"/>
  <c r="AW68" i="385"/>
  <c r="AV68" i="385"/>
  <c r="AU68" i="385"/>
  <c r="AT68" i="385"/>
  <c r="AS68" i="385"/>
  <c r="AR68" i="385"/>
  <c r="AQ68" i="385"/>
  <c r="AP68" i="385"/>
  <c r="BN67" i="385"/>
  <c r="BM67" i="385"/>
  <c r="BK67" i="385"/>
  <c r="BJ67" i="385"/>
  <c r="BI67" i="385"/>
  <c r="BH67" i="385"/>
  <c r="BG67" i="385"/>
  <c r="BF67" i="385"/>
  <c r="BE67" i="385"/>
  <c r="BD67" i="385"/>
  <c r="BC67" i="385"/>
  <c r="BB67" i="385"/>
  <c r="BA67" i="385"/>
  <c r="AZ67" i="385"/>
  <c r="AY67" i="385"/>
  <c r="BL67" i="385" s="1"/>
  <c r="AW67" i="385"/>
  <c r="AV67" i="385"/>
  <c r="AU67" i="385"/>
  <c r="AT67" i="385"/>
  <c r="AS67" i="385"/>
  <c r="AR67" i="385"/>
  <c r="AQ67" i="385"/>
  <c r="AP67" i="385"/>
  <c r="BN66" i="385"/>
  <c r="BM66" i="385"/>
  <c r="BK66" i="385"/>
  <c r="BJ66" i="385"/>
  <c r="BI66" i="385"/>
  <c r="BH66" i="385"/>
  <c r="BG66" i="385"/>
  <c r="BF66" i="385"/>
  <c r="BE66" i="385"/>
  <c r="BD66" i="385"/>
  <c r="BC66" i="385"/>
  <c r="BB66" i="385"/>
  <c r="BA66" i="385"/>
  <c r="AZ66" i="385"/>
  <c r="AY66" i="385"/>
  <c r="BL66" i="385" s="1"/>
  <c r="AW66" i="385"/>
  <c r="AV66" i="385"/>
  <c r="AU66" i="385"/>
  <c r="AT66" i="385"/>
  <c r="AS66" i="385"/>
  <c r="AR66" i="385"/>
  <c r="AQ66" i="385"/>
  <c r="AP66" i="385"/>
  <c r="BN65" i="385"/>
  <c r="BM65" i="385"/>
  <c r="BL65" i="385"/>
  <c r="BK65" i="385"/>
  <c r="BJ65" i="385"/>
  <c r="BI65" i="385"/>
  <c r="BH65" i="385"/>
  <c r="BG65" i="385"/>
  <c r="BF65" i="385"/>
  <c r="BE65" i="385"/>
  <c r="BD65" i="385"/>
  <c r="BC65" i="385"/>
  <c r="BB65" i="385"/>
  <c r="BA65" i="385"/>
  <c r="AZ65" i="385"/>
  <c r="AW65" i="385"/>
  <c r="AV65" i="385"/>
  <c r="AU65" i="385"/>
  <c r="AT65" i="385"/>
  <c r="AS65" i="385"/>
  <c r="AR65" i="385"/>
  <c r="AQ65" i="385"/>
  <c r="AP65" i="385"/>
  <c r="BN64" i="385"/>
  <c r="BK64" i="385"/>
  <c r="BJ64" i="385"/>
  <c r="BM64" i="385" s="1"/>
  <c r="BI64" i="385"/>
  <c r="BH64" i="385"/>
  <c r="BG64" i="385"/>
  <c r="BF64" i="385"/>
  <c r="BE64" i="385"/>
  <c r="BD64" i="385"/>
  <c r="BC64" i="385"/>
  <c r="BB64" i="385"/>
  <c r="BA64" i="385"/>
  <c r="AZ64" i="385"/>
  <c r="AY64" i="385"/>
  <c r="BL64" i="385" s="1"/>
  <c r="AW64" i="385"/>
  <c r="AV64" i="385"/>
  <c r="AU64" i="385"/>
  <c r="AT64" i="385"/>
  <c r="AS64" i="385"/>
  <c r="AR64" i="385"/>
  <c r="AQ64" i="385"/>
  <c r="AP64" i="385"/>
  <c r="BN63" i="385"/>
  <c r="BL63" i="385"/>
  <c r="BK63" i="385"/>
  <c r="BJ63" i="385"/>
  <c r="BM63" i="385" s="1"/>
  <c r="BI63" i="385"/>
  <c r="BH63" i="385"/>
  <c r="BG63" i="385"/>
  <c r="BF63" i="385"/>
  <c r="BE63" i="385"/>
  <c r="BD63" i="385"/>
  <c r="BC63" i="385"/>
  <c r="BB63" i="385"/>
  <c r="BA63" i="385"/>
  <c r="AZ63" i="385"/>
  <c r="AW63" i="385"/>
  <c r="AV63" i="385"/>
  <c r="AU63" i="385"/>
  <c r="AT63" i="385"/>
  <c r="AS63" i="385"/>
  <c r="AR63" i="385"/>
  <c r="AQ63" i="385"/>
  <c r="AP63" i="385"/>
  <c r="BN62" i="385"/>
  <c r="BM62" i="385"/>
  <c r="BL62" i="385"/>
  <c r="BK62" i="385"/>
  <c r="BJ62" i="385"/>
  <c r="BI62" i="385"/>
  <c r="BH62" i="385"/>
  <c r="BG62" i="385"/>
  <c r="BF62" i="385"/>
  <c r="BE62" i="385"/>
  <c r="BD62" i="385"/>
  <c r="BC62" i="385"/>
  <c r="BB62" i="385"/>
  <c r="BA62" i="385"/>
  <c r="AZ62" i="385"/>
  <c r="AW62" i="385"/>
  <c r="AV62" i="385"/>
  <c r="AU62" i="385"/>
  <c r="AT62" i="385"/>
  <c r="AS62" i="385"/>
  <c r="AR62" i="385"/>
  <c r="AQ62" i="385"/>
  <c r="AP62" i="385"/>
  <c r="AO61" i="385"/>
  <c r="AN61" i="385"/>
  <c r="AM61" i="385"/>
  <c r="AL61" i="385"/>
  <c r="AK61" i="385"/>
  <c r="AJ61" i="385"/>
  <c r="AI61" i="385"/>
  <c r="AH61" i="385"/>
  <c r="AG61" i="385"/>
  <c r="AF61" i="385"/>
  <c r="AE61" i="385"/>
  <c r="AD61" i="385"/>
  <c r="AC61" i="385"/>
  <c r="AB61" i="385"/>
  <c r="AA61" i="385"/>
  <c r="Z61" i="385"/>
  <c r="Y61" i="385"/>
  <c r="X61" i="385"/>
  <c r="W61" i="385"/>
  <c r="V61" i="385"/>
  <c r="U61" i="385"/>
  <c r="T61" i="385"/>
  <c r="S61" i="385"/>
  <c r="R61" i="385"/>
  <c r="Q61" i="385"/>
  <c r="P61" i="385"/>
  <c r="O61" i="385"/>
  <c r="N61" i="385"/>
  <c r="M61" i="385"/>
  <c r="L61" i="385"/>
  <c r="BN60" i="385"/>
  <c r="BM60" i="385"/>
  <c r="BL60" i="385"/>
  <c r="BK60" i="385"/>
  <c r="BJ60" i="385"/>
  <c r="BI60" i="385"/>
  <c r="BH60" i="385"/>
  <c r="BG60" i="385"/>
  <c r="BF60" i="385"/>
  <c r="BE60" i="385"/>
  <c r="BD60" i="385"/>
  <c r="BC60" i="385"/>
  <c r="BB60" i="385"/>
  <c r="BA60" i="385"/>
  <c r="AZ60" i="385"/>
  <c r="AW60" i="385"/>
  <c r="AV60" i="385"/>
  <c r="AU60" i="385"/>
  <c r="AT60" i="385"/>
  <c r="AS60" i="385"/>
  <c r="AR60" i="385"/>
  <c r="AQ60" i="385"/>
  <c r="AP60" i="385"/>
  <c r="AO59" i="385"/>
  <c r="AN59" i="385"/>
  <c r="AM59" i="385"/>
  <c r="AL59" i="385"/>
  <c r="AK59" i="385"/>
  <c r="AJ59" i="385"/>
  <c r="AI59" i="385"/>
  <c r="AH59" i="385"/>
  <c r="AG59" i="385"/>
  <c r="AF59" i="385"/>
  <c r="AE59" i="385"/>
  <c r="AD59" i="385"/>
  <c r="AC59" i="385"/>
  <c r="AB59" i="385"/>
  <c r="AA59" i="385"/>
  <c r="Z59" i="385"/>
  <c r="Y59" i="385"/>
  <c r="X59" i="385"/>
  <c r="W59" i="385"/>
  <c r="V59" i="385"/>
  <c r="U59" i="385"/>
  <c r="T59" i="385"/>
  <c r="S59" i="385"/>
  <c r="R59" i="385"/>
  <c r="Q59" i="385"/>
  <c r="P59" i="385"/>
  <c r="O59" i="385"/>
  <c r="N59" i="385"/>
  <c r="M59" i="385"/>
  <c r="L59" i="385"/>
  <c r="BN58" i="385"/>
  <c r="BM58" i="385"/>
  <c r="BL58" i="385"/>
  <c r="BK58" i="385"/>
  <c r="BJ58" i="385"/>
  <c r="BI58" i="385"/>
  <c r="BH58" i="385"/>
  <c r="BG58" i="385"/>
  <c r="BF58" i="385"/>
  <c r="BE58" i="385"/>
  <c r="BD58" i="385"/>
  <c r="BC58" i="385"/>
  <c r="BB58" i="385"/>
  <c r="BA58" i="385"/>
  <c r="AZ58" i="385"/>
  <c r="AW58" i="385"/>
  <c r="AV58" i="385"/>
  <c r="AU58" i="385"/>
  <c r="AT58" i="385"/>
  <c r="AS58" i="385"/>
  <c r="AR58" i="385"/>
  <c r="AQ58" i="385"/>
  <c r="AP58" i="385"/>
  <c r="BN57" i="385"/>
  <c r="BL57" i="385"/>
  <c r="BK57" i="385"/>
  <c r="BJ57" i="385"/>
  <c r="BM57" i="385" s="1"/>
  <c r="BI57" i="385"/>
  <c r="BH57" i="385"/>
  <c r="BG57" i="385"/>
  <c r="BF57" i="385"/>
  <c r="BE57" i="385"/>
  <c r="BD57" i="385"/>
  <c r="BC57" i="385"/>
  <c r="BB57" i="385"/>
  <c r="BA57" i="385"/>
  <c r="AZ57" i="385"/>
  <c r="AW57" i="385"/>
  <c r="AV57" i="385"/>
  <c r="AU57" i="385"/>
  <c r="AT57" i="385"/>
  <c r="AS57" i="385"/>
  <c r="AR57" i="385"/>
  <c r="AQ57" i="385"/>
  <c r="AP57" i="385"/>
  <c r="BN56" i="385"/>
  <c r="BM56" i="385"/>
  <c r="BL56" i="385"/>
  <c r="BK56" i="385"/>
  <c r="BJ56" i="385"/>
  <c r="BI56" i="385"/>
  <c r="BH56" i="385"/>
  <c r="BG56" i="385"/>
  <c r="BF56" i="385"/>
  <c r="BE56" i="385"/>
  <c r="BD56" i="385"/>
  <c r="BC56" i="385"/>
  <c r="BB56" i="385"/>
  <c r="BA56" i="385"/>
  <c r="AZ56" i="385"/>
  <c r="AW56" i="385"/>
  <c r="AV56" i="385"/>
  <c r="AU56" i="385"/>
  <c r="AT56" i="385"/>
  <c r="AS56" i="385"/>
  <c r="AR56" i="385"/>
  <c r="AQ56" i="385"/>
  <c r="AP56" i="385"/>
  <c r="BN55" i="385"/>
  <c r="BM55" i="385"/>
  <c r="BK55" i="385"/>
  <c r="BJ55" i="385"/>
  <c r="BI55" i="385"/>
  <c r="BH55" i="385"/>
  <c r="BG55" i="385"/>
  <c r="BF55" i="385"/>
  <c r="BE55" i="385"/>
  <c r="BD55" i="385"/>
  <c r="BC55" i="385"/>
  <c r="BB55" i="385"/>
  <c r="BA55" i="385"/>
  <c r="AZ55" i="385"/>
  <c r="AY55" i="385"/>
  <c r="BL55" i="385" s="1"/>
  <c r="AW55" i="385"/>
  <c r="AV55" i="385"/>
  <c r="AU55" i="385"/>
  <c r="AT55" i="385"/>
  <c r="AS55" i="385"/>
  <c r="AR55" i="385"/>
  <c r="AQ55" i="385"/>
  <c r="AP55" i="385"/>
  <c r="BN54" i="385"/>
  <c r="BM54" i="385"/>
  <c r="BK54" i="385"/>
  <c r="BJ54" i="385"/>
  <c r="BI54" i="385"/>
  <c r="BH54" i="385"/>
  <c r="BG54" i="385"/>
  <c r="BF54" i="385"/>
  <c r="BE54" i="385"/>
  <c r="BD54" i="385"/>
  <c r="BC54" i="385"/>
  <c r="BB54" i="385"/>
  <c r="BA54" i="385"/>
  <c r="AZ54" i="385"/>
  <c r="AY54" i="385"/>
  <c r="BL54" i="385" s="1"/>
  <c r="AW54" i="385"/>
  <c r="AV54" i="385"/>
  <c r="AU54" i="385"/>
  <c r="AT54" i="385"/>
  <c r="AS54" i="385"/>
  <c r="AR54" i="385"/>
  <c r="AQ54" i="385"/>
  <c r="AP54" i="385"/>
  <c r="BN53" i="385"/>
  <c r="BM53" i="385"/>
  <c r="BK53" i="385"/>
  <c r="BJ53" i="385"/>
  <c r="BI53" i="385"/>
  <c r="BH53" i="385"/>
  <c r="BG53" i="385"/>
  <c r="BF53" i="385"/>
  <c r="BE53" i="385"/>
  <c r="BD53" i="385"/>
  <c r="BC53" i="385"/>
  <c r="BB53" i="385"/>
  <c r="BA53" i="385"/>
  <c r="AZ53" i="385"/>
  <c r="AY53" i="385"/>
  <c r="BL53" i="385" s="1"/>
  <c r="AW53" i="385"/>
  <c r="AV53" i="385"/>
  <c r="AU53" i="385"/>
  <c r="AT53" i="385"/>
  <c r="AS53" i="385"/>
  <c r="AR53" i="385"/>
  <c r="AQ53" i="385"/>
  <c r="AP53" i="385"/>
  <c r="BN52" i="385"/>
  <c r="BM52" i="385"/>
  <c r="BK52" i="385"/>
  <c r="BJ52" i="385"/>
  <c r="BI52" i="385"/>
  <c r="BH52" i="385"/>
  <c r="BG52" i="385"/>
  <c r="BF52" i="385"/>
  <c r="BE52" i="385"/>
  <c r="BD52" i="385"/>
  <c r="BC52" i="385"/>
  <c r="BB52" i="385"/>
  <c r="BA52" i="385"/>
  <c r="AZ52" i="385"/>
  <c r="AY52" i="385"/>
  <c r="BL52" i="385" s="1"/>
  <c r="AW52" i="385"/>
  <c r="AV52" i="385"/>
  <c r="AU52" i="385"/>
  <c r="AT52" i="385"/>
  <c r="AS52" i="385"/>
  <c r="AR52" i="385"/>
  <c r="AQ52" i="385"/>
  <c r="AP52" i="385"/>
  <c r="BN51" i="385"/>
  <c r="BM51" i="385"/>
  <c r="BK51" i="385"/>
  <c r="BJ51" i="385"/>
  <c r="BI51" i="385"/>
  <c r="BH51" i="385"/>
  <c r="BG51" i="385"/>
  <c r="BF51" i="385"/>
  <c r="BE51" i="385"/>
  <c r="BD51" i="385"/>
  <c r="BC51" i="385"/>
  <c r="BB51" i="385"/>
  <c r="BA51" i="385"/>
  <c r="AZ51" i="385"/>
  <c r="AY51" i="385"/>
  <c r="BL51" i="385" s="1"/>
  <c r="AW51" i="385"/>
  <c r="AV51" i="385"/>
  <c r="AU51" i="385"/>
  <c r="AT51" i="385"/>
  <c r="AS51" i="385"/>
  <c r="AR51" i="385"/>
  <c r="AQ51" i="385"/>
  <c r="AP51" i="385"/>
  <c r="AO50" i="385"/>
  <c r="AN50" i="385"/>
  <c r="AM50" i="385"/>
  <c r="AL50" i="385"/>
  <c r="AK50" i="385"/>
  <c r="AJ50" i="385"/>
  <c r="AI50" i="385"/>
  <c r="AH50" i="385"/>
  <c r="AG50" i="385"/>
  <c r="AF50" i="385"/>
  <c r="AE50" i="385"/>
  <c r="AD50" i="385"/>
  <c r="AC50" i="385"/>
  <c r="AB50" i="385"/>
  <c r="AA50" i="385"/>
  <c r="Z50" i="385"/>
  <c r="Y50" i="385"/>
  <c r="X50" i="385"/>
  <c r="W50" i="385"/>
  <c r="V50" i="385"/>
  <c r="U50" i="385"/>
  <c r="T50" i="385"/>
  <c r="S50" i="385"/>
  <c r="R50" i="385"/>
  <c r="Q50" i="385"/>
  <c r="P50" i="385"/>
  <c r="O50" i="385"/>
  <c r="N50" i="385"/>
  <c r="M50" i="385"/>
  <c r="L50" i="385"/>
  <c r="BN49" i="385"/>
  <c r="BM49" i="385"/>
  <c r="BL49" i="385"/>
  <c r="BK49" i="385"/>
  <c r="BJ49" i="385"/>
  <c r="BI49" i="385"/>
  <c r="BH49" i="385"/>
  <c r="BG49" i="385"/>
  <c r="BF49" i="385"/>
  <c r="BE49" i="385"/>
  <c r="BD49" i="385"/>
  <c r="BC49" i="385"/>
  <c r="BB49" i="385"/>
  <c r="BA49" i="385"/>
  <c r="AZ49" i="385"/>
  <c r="AY49" i="385"/>
  <c r="AW49" i="385"/>
  <c r="AV49" i="385"/>
  <c r="AU49" i="385"/>
  <c r="AT49" i="385"/>
  <c r="AS49" i="385"/>
  <c r="AR49" i="385"/>
  <c r="AQ49" i="385"/>
  <c r="AP49" i="385"/>
  <c r="BN48" i="385"/>
  <c r="BM48" i="385"/>
  <c r="BL48" i="385"/>
  <c r="BK48" i="385"/>
  <c r="BJ48" i="385"/>
  <c r="BI48" i="385"/>
  <c r="BH48" i="385"/>
  <c r="BG48" i="385"/>
  <c r="BF48" i="385"/>
  <c r="BE48" i="385"/>
  <c r="BD48" i="385"/>
  <c r="BC48" i="385"/>
  <c r="BB48" i="385"/>
  <c r="BA48" i="385"/>
  <c r="AZ48" i="385"/>
  <c r="AW48" i="385"/>
  <c r="AV48" i="385"/>
  <c r="AU48" i="385"/>
  <c r="AT48" i="385"/>
  <c r="AS48" i="385"/>
  <c r="AR48" i="385"/>
  <c r="AQ48" i="385"/>
  <c r="AP48" i="385"/>
  <c r="AO47" i="385"/>
  <c r="AN47" i="385"/>
  <c r="AM47" i="385"/>
  <c r="AL47" i="385"/>
  <c r="AK47" i="385"/>
  <c r="AJ47" i="385"/>
  <c r="AI47" i="385"/>
  <c r="AH47" i="385"/>
  <c r="AG47" i="385"/>
  <c r="AF47" i="385"/>
  <c r="AE47" i="385"/>
  <c r="AD47" i="385"/>
  <c r="AC47" i="385"/>
  <c r="AB47" i="385"/>
  <c r="AA47" i="385"/>
  <c r="Z47" i="385"/>
  <c r="Y47" i="385"/>
  <c r="X47" i="385"/>
  <c r="W47" i="385"/>
  <c r="V47" i="385"/>
  <c r="U47" i="385"/>
  <c r="T47" i="385"/>
  <c r="S47" i="385"/>
  <c r="R47" i="385"/>
  <c r="Q47" i="385"/>
  <c r="P47" i="385"/>
  <c r="O47" i="385"/>
  <c r="N47" i="385"/>
  <c r="M47" i="385"/>
  <c r="L47" i="385"/>
  <c r="BN46" i="385"/>
  <c r="BM46" i="385"/>
  <c r="BK46" i="385"/>
  <c r="BJ46" i="385"/>
  <c r="BI46" i="385"/>
  <c r="BH46" i="385"/>
  <c r="BG46" i="385"/>
  <c r="BF46" i="385"/>
  <c r="BE46" i="385"/>
  <c r="BD46" i="385"/>
  <c r="BC46" i="385"/>
  <c r="BB46" i="385"/>
  <c r="BA46" i="385"/>
  <c r="AZ46" i="385"/>
  <c r="AY46" i="385"/>
  <c r="BL46" i="385" s="1"/>
  <c r="AW46" i="385"/>
  <c r="AV46" i="385"/>
  <c r="AU46" i="385"/>
  <c r="AT46" i="385"/>
  <c r="AS46" i="385"/>
  <c r="AR46" i="385"/>
  <c r="AQ46" i="385"/>
  <c r="AP46" i="385"/>
  <c r="BN45" i="385"/>
  <c r="BM45" i="385"/>
  <c r="BK45" i="385"/>
  <c r="BJ45" i="385"/>
  <c r="BI45" i="385"/>
  <c r="BH45" i="385"/>
  <c r="BG45" i="385"/>
  <c r="BF45" i="385"/>
  <c r="BE45" i="385"/>
  <c r="BD45" i="385"/>
  <c r="BC45" i="385"/>
  <c r="BB45" i="385"/>
  <c r="BA45" i="385"/>
  <c r="AZ45" i="385"/>
  <c r="AY45" i="385"/>
  <c r="BL45" i="385" s="1"/>
  <c r="AW45" i="385"/>
  <c r="AV45" i="385"/>
  <c r="AU45" i="385"/>
  <c r="AT45" i="385"/>
  <c r="AS45" i="385"/>
  <c r="AR45" i="385"/>
  <c r="AQ45" i="385"/>
  <c r="AP45" i="385"/>
  <c r="BN44" i="385"/>
  <c r="BM44" i="385"/>
  <c r="BK44" i="385"/>
  <c r="BJ44" i="385"/>
  <c r="BI44" i="385"/>
  <c r="BH44" i="385"/>
  <c r="BG44" i="385"/>
  <c r="BF44" i="385"/>
  <c r="BE44" i="385"/>
  <c r="BD44" i="385"/>
  <c r="BC44" i="385"/>
  <c r="BB44" i="385"/>
  <c r="BA44" i="385"/>
  <c r="AZ44" i="385"/>
  <c r="AY44" i="385"/>
  <c r="BL44" i="385" s="1"/>
  <c r="AW44" i="385"/>
  <c r="AV44" i="385"/>
  <c r="AU44" i="385"/>
  <c r="AT44" i="385"/>
  <c r="AS44" i="385"/>
  <c r="AR44" i="385"/>
  <c r="AQ44" i="385"/>
  <c r="AP44" i="385"/>
  <c r="BN43" i="385"/>
  <c r="BM43" i="385"/>
  <c r="BK43" i="385"/>
  <c r="BJ43" i="385"/>
  <c r="BI43" i="385"/>
  <c r="BH43" i="385"/>
  <c r="BG43" i="385"/>
  <c r="BF43" i="385"/>
  <c r="BE43" i="385"/>
  <c r="BD43" i="385"/>
  <c r="BC43" i="385"/>
  <c r="BB43" i="385"/>
  <c r="BA43" i="385"/>
  <c r="AZ43" i="385"/>
  <c r="AY43" i="385"/>
  <c r="BL43" i="385" s="1"/>
  <c r="AW43" i="385"/>
  <c r="AV43" i="385"/>
  <c r="AU43" i="385"/>
  <c r="AT43" i="385"/>
  <c r="AS43" i="385"/>
  <c r="AR43" i="385"/>
  <c r="AQ43" i="385"/>
  <c r="AP43" i="385"/>
  <c r="BN42" i="385"/>
  <c r="BM42" i="385"/>
  <c r="BL42" i="385"/>
  <c r="BK42" i="385"/>
  <c r="BJ42" i="385"/>
  <c r="BI42" i="385"/>
  <c r="BH42" i="385"/>
  <c r="BG42" i="385"/>
  <c r="BF42" i="385"/>
  <c r="BE42" i="385"/>
  <c r="BD42" i="385"/>
  <c r="BC42" i="385"/>
  <c r="BB42" i="385"/>
  <c r="BA42" i="385"/>
  <c r="AZ42" i="385"/>
  <c r="AX42" i="385"/>
  <c r="AW42" i="385"/>
  <c r="AV42" i="385"/>
  <c r="AU42" i="385"/>
  <c r="AT42" i="385"/>
  <c r="AS42" i="385"/>
  <c r="AR42" i="385"/>
  <c r="AQ42" i="385"/>
  <c r="AP42" i="385"/>
  <c r="BN41" i="385"/>
  <c r="BM41" i="385"/>
  <c r="BK41" i="385"/>
  <c r="BJ41" i="385"/>
  <c r="BI41" i="385"/>
  <c r="BH41" i="385"/>
  <c r="BG41" i="385"/>
  <c r="BF41" i="385"/>
  <c r="BE41" i="385"/>
  <c r="BD41" i="385"/>
  <c r="BC41" i="385"/>
  <c r="BB41" i="385"/>
  <c r="BA41" i="385"/>
  <c r="AZ41" i="385"/>
  <c r="AY41" i="385"/>
  <c r="BL41" i="385" s="1"/>
  <c r="AW41" i="385"/>
  <c r="AV41" i="385"/>
  <c r="AU41" i="385"/>
  <c r="AT41" i="385"/>
  <c r="AS41" i="385"/>
  <c r="AR41" i="385"/>
  <c r="AQ41" i="385"/>
  <c r="AP41" i="385"/>
  <c r="BN40" i="385"/>
  <c r="BM40" i="385"/>
  <c r="BL40" i="385"/>
  <c r="BK40" i="385"/>
  <c r="BJ40" i="385"/>
  <c r="BI40" i="385"/>
  <c r="BH40" i="385"/>
  <c r="BG40" i="385"/>
  <c r="BF40" i="385"/>
  <c r="BE40" i="385"/>
  <c r="BD40" i="385"/>
  <c r="BC40" i="385"/>
  <c r="BB40" i="385"/>
  <c r="BA40" i="385"/>
  <c r="AZ40" i="385"/>
  <c r="AW40" i="385"/>
  <c r="AV40" i="385"/>
  <c r="AU40" i="385"/>
  <c r="AT40" i="385"/>
  <c r="AS40" i="385"/>
  <c r="AR40" i="385"/>
  <c r="AQ40" i="385"/>
  <c r="AP40" i="385"/>
  <c r="BN39" i="385"/>
  <c r="BL39" i="385"/>
  <c r="BK39" i="385"/>
  <c r="BJ39" i="385"/>
  <c r="BM39" i="385" s="1"/>
  <c r="BI39" i="385"/>
  <c r="BH39" i="385"/>
  <c r="BG39" i="385"/>
  <c r="BF39" i="385"/>
  <c r="BE39" i="385"/>
  <c r="BD39" i="385"/>
  <c r="BC39" i="385"/>
  <c r="BB39" i="385"/>
  <c r="BA39" i="385"/>
  <c r="AZ39" i="385"/>
  <c r="AW39" i="385"/>
  <c r="AV39" i="385"/>
  <c r="AU39" i="385"/>
  <c r="AT39" i="385"/>
  <c r="AS39" i="385"/>
  <c r="AR39" i="385"/>
  <c r="AQ39" i="385"/>
  <c r="AP39" i="385"/>
  <c r="BN38" i="385"/>
  <c r="BM38" i="385"/>
  <c r="BL38" i="385"/>
  <c r="BK38" i="385"/>
  <c r="BJ38" i="385"/>
  <c r="BI38" i="385"/>
  <c r="BH38" i="385"/>
  <c r="BG38" i="385"/>
  <c r="BF38" i="385"/>
  <c r="BE38" i="385"/>
  <c r="BD38" i="385"/>
  <c r="BC38" i="385"/>
  <c r="BB38" i="385"/>
  <c r="BA38" i="385"/>
  <c r="AZ38" i="385"/>
  <c r="AW38" i="385"/>
  <c r="AV38" i="385"/>
  <c r="AU38" i="385"/>
  <c r="AT38" i="385"/>
  <c r="AS38" i="385"/>
  <c r="AR38" i="385"/>
  <c r="AQ38" i="385"/>
  <c r="AP38" i="385"/>
  <c r="BN37" i="385"/>
  <c r="BM37" i="385"/>
  <c r="BL37" i="385"/>
  <c r="BK37" i="385"/>
  <c r="BJ37" i="385"/>
  <c r="BI37" i="385"/>
  <c r="BH37" i="385"/>
  <c r="BG37" i="385"/>
  <c r="BF37" i="385"/>
  <c r="BE37" i="385"/>
  <c r="BD37" i="385"/>
  <c r="BC37" i="385"/>
  <c r="BB37" i="385"/>
  <c r="BA37" i="385"/>
  <c r="AZ37" i="385"/>
  <c r="AW37" i="385"/>
  <c r="AV37" i="385"/>
  <c r="AU37" i="385"/>
  <c r="AT37" i="385"/>
  <c r="AS37" i="385"/>
  <c r="AR37" i="385"/>
  <c r="AQ37" i="385"/>
  <c r="AP37" i="385"/>
  <c r="BN36" i="385"/>
  <c r="BL36" i="385"/>
  <c r="BK36" i="385"/>
  <c r="BJ36" i="385"/>
  <c r="BM36" i="385" s="1"/>
  <c r="BI36" i="385"/>
  <c r="BH36" i="385"/>
  <c r="BG36" i="385"/>
  <c r="BF36" i="385"/>
  <c r="BE36" i="385"/>
  <c r="BD36" i="385"/>
  <c r="BC36" i="385"/>
  <c r="BB36" i="385"/>
  <c r="BA36" i="385"/>
  <c r="AZ36" i="385"/>
  <c r="AW36" i="385"/>
  <c r="AV36" i="385"/>
  <c r="AU36" i="385"/>
  <c r="AT36" i="385"/>
  <c r="AS36" i="385"/>
  <c r="AR36" i="385"/>
  <c r="AQ36" i="385"/>
  <c r="AP36" i="385"/>
  <c r="BN35" i="385"/>
  <c r="BL35" i="385"/>
  <c r="BJ35" i="385"/>
  <c r="BM35" i="385" s="1"/>
  <c r="BI35" i="385"/>
  <c r="BH35" i="385"/>
  <c r="BG35" i="385"/>
  <c r="BF35" i="385"/>
  <c r="BE35" i="385"/>
  <c r="BD35" i="385"/>
  <c r="BC35" i="385"/>
  <c r="BB35" i="385"/>
  <c r="BA35" i="385"/>
  <c r="AZ35" i="385"/>
  <c r="AY35" i="385"/>
  <c r="AX35" i="385"/>
  <c r="BK35" i="385" s="1"/>
  <c r="AW35" i="385"/>
  <c r="AV35" i="385"/>
  <c r="AU35" i="385"/>
  <c r="AT35" i="385"/>
  <c r="AS35" i="385"/>
  <c r="AR35" i="385"/>
  <c r="AQ35" i="385"/>
  <c r="AP35" i="385"/>
  <c r="BN34" i="385"/>
  <c r="BL34" i="385"/>
  <c r="BK34" i="385"/>
  <c r="BJ34" i="385"/>
  <c r="BM34" i="385" s="1"/>
  <c r="BI34" i="385"/>
  <c r="BH34" i="385"/>
  <c r="BG34" i="385"/>
  <c r="BG4" i="385" s="1"/>
  <c r="BF34" i="385"/>
  <c r="BE34" i="385"/>
  <c r="BD34" i="385"/>
  <c r="BD4" i="385" s="1"/>
  <c r="BC34" i="385"/>
  <c r="BB34" i="385"/>
  <c r="BA34" i="385"/>
  <c r="AZ34" i="385"/>
  <c r="AW34" i="385"/>
  <c r="AW4" i="385" s="1"/>
  <c r="AV34" i="385"/>
  <c r="AU34" i="385"/>
  <c r="AT34" i="385"/>
  <c r="AT4" i="385" s="1"/>
  <c r="AS34" i="385"/>
  <c r="AR34" i="385"/>
  <c r="AQ34" i="385"/>
  <c r="AP34" i="385"/>
  <c r="BN33" i="385"/>
  <c r="BL33" i="385"/>
  <c r="BK33" i="385"/>
  <c r="BJ33" i="385"/>
  <c r="BM33" i="385" s="1"/>
  <c r="BI33" i="385"/>
  <c r="BH33" i="385"/>
  <c r="BG33" i="385"/>
  <c r="BF33" i="385"/>
  <c r="BE33" i="385"/>
  <c r="BD33" i="385"/>
  <c r="BC33" i="385"/>
  <c r="BB33" i="385"/>
  <c r="BA33" i="385"/>
  <c r="AZ33" i="385"/>
  <c r="AY33" i="385"/>
  <c r="AW33" i="385"/>
  <c r="AV33" i="385"/>
  <c r="AU33" i="385"/>
  <c r="AT33" i="385"/>
  <c r="AS33" i="385"/>
  <c r="AR33" i="385"/>
  <c r="AQ33" i="385"/>
  <c r="AP33" i="385"/>
  <c r="BN32" i="385"/>
  <c r="BL32" i="385"/>
  <c r="BK32" i="385"/>
  <c r="BJ32" i="385"/>
  <c r="BM32" i="385" s="1"/>
  <c r="BI32" i="385"/>
  <c r="BH32" i="385"/>
  <c r="BG32" i="385"/>
  <c r="BF32" i="385"/>
  <c r="BE32" i="385"/>
  <c r="BD32" i="385"/>
  <c r="BC32" i="385"/>
  <c r="BB32" i="385"/>
  <c r="BA32" i="385"/>
  <c r="AZ32" i="385"/>
  <c r="AW32" i="385"/>
  <c r="AV32" i="385"/>
  <c r="AU32" i="385"/>
  <c r="AT32" i="385"/>
  <c r="AS32" i="385"/>
  <c r="AR32" i="385"/>
  <c r="AQ32" i="385"/>
  <c r="AP32" i="385"/>
  <c r="BN31" i="385"/>
  <c r="BM31" i="385"/>
  <c r="BK31" i="385"/>
  <c r="BJ31" i="385"/>
  <c r="BI31" i="385"/>
  <c r="BH31" i="385"/>
  <c r="BG31" i="385"/>
  <c r="BF31" i="385"/>
  <c r="BE31" i="385"/>
  <c r="BD31" i="385"/>
  <c r="BC31" i="385"/>
  <c r="BB31" i="385"/>
  <c r="BA31" i="385"/>
  <c r="AZ31" i="385"/>
  <c r="AY31" i="385"/>
  <c r="BL31" i="385" s="1"/>
  <c r="AW31" i="385"/>
  <c r="AV31" i="385"/>
  <c r="AU31" i="385"/>
  <c r="AT31" i="385"/>
  <c r="AS31" i="385"/>
  <c r="AR31" i="385"/>
  <c r="AQ31" i="385"/>
  <c r="AP31" i="385"/>
  <c r="BN30" i="385"/>
  <c r="BM30" i="385"/>
  <c r="BK30" i="385"/>
  <c r="BJ30" i="385"/>
  <c r="BI30" i="385"/>
  <c r="BH30" i="385"/>
  <c r="BG30" i="385"/>
  <c r="BF30" i="385"/>
  <c r="BE30" i="385"/>
  <c r="BD30" i="385"/>
  <c r="BC30" i="385"/>
  <c r="BB30" i="385"/>
  <c r="BA30" i="385"/>
  <c r="AZ30" i="385"/>
  <c r="AY30" i="385"/>
  <c r="BL30" i="385" s="1"/>
  <c r="AW30" i="385"/>
  <c r="AV30" i="385"/>
  <c r="AU30" i="385"/>
  <c r="AT30" i="385"/>
  <c r="AS30" i="385"/>
  <c r="AR30" i="385"/>
  <c r="AQ30" i="385"/>
  <c r="AP30" i="385"/>
  <c r="BN29" i="385"/>
  <c r="BM29" i="385"/>
  <c r="BL29" i="385"/>
  <c r="BK29" i="385"/>
  <c r="BJ29" i="385"/>
  <c r="BI29" i="385"/>
  <c r="BH29" i="385"/>
  <c r="BG29" i="385"/>
  <c r="BF29" i="385"/>
  <c r="BE29" i="385"/>
  <c r="BD29" i="385"/>
  <c r="BC29" i="385"/>
  <c r="BB29" i="385"/>
  <c r="BA29" i="385"/>
  <c r="AZ29" i="385"/>
  <c r="AW29" i="385"/>
  <c r="AV29" i="385"/>
  <c r="AU29" i="385"/>
  <c r="AT29" i="385"/>
  <c r="AS29" i="385"/>
  <c r="AR29" i="385"/>
  <c r="AQ29" i="385"/>
  <c r="AP29" i="385"/>
  <c r="BN28" i="385"/>
  <c r="BL28" i="385"/>
  <c r="BK28" i="385"/>
  <c r="BJ28" i="385"/>
  <c r="BM28" i="385" s="1"/>
  <c r="BI28" i="385"/>
  <c r="BH28" i="385"/>
  <c r="BG28" i="385"/>
  <c r="BF28" i="385"/>
  <c r="BE28" i="385"/>
  <c r="BD28" i="385"/>
  <c r="BC28" i="385"/>
  <c r="BB28" i="385"/>
  <c r="BA28" i="385"/>
  <c r="AZ28" i="385"/>
  <c r="AW28" i="385"/>
  <c r="AV28" i="385"/>
  <c r="AU28" i="385"/>
  <c r="AT28" i="385"/>
  <c r="AS28" i="385"/>
  <c r="AR28" i="385"/>
  <c r="AQ28" i="385"/>
  <c r="AP28" i="385"/>
  <c r="BN27" i="385"/>
  <c r="BM27" i="385"/>
  <c r="BL27" i="385"/>
  <c r="BK27" i="385"/>
  <c r="BJ27" i="385"/>
  <c r="BI27" i="385"/>
  <c r="BH27" i="385"/>
  <c r="BG27" i="385"/>
  <c r="BF27" i="385"/>
  <c r="BE27" i="385"/>
  <c r="BD27" i="385"/>
  <c r="BC27" i="385"/>
  <c r="BB27" i="385"/>
  <c r="BA27" i="385"/>
  <c r="AZ27" i="385"/>
  <c r="AW27" i="385"/>
  <c r="AV27" i="385"/>
  <c r="AU27" i="385"/>
  <c r="AT27" i="385"/>
  <c r="AS27" i="385"/>
  <c r="AR27" i="385"/>
  <c r="AQ27" i="385"/>
  <c r="AP27" i="385"/>
  <c r="AO26" i="385"/>
  <c r="AN26" i="385"/>
  <c r="AM26" i="385"/>
  <c r="AL26" i="385"/>
  <c r="AK26" i="385"/>
  <c r="AJ26" i="385"/>
  <c r="AI26" i="385"/>
  <c r="AH26" i="385"/>
  <c r="AG26" i="385"/>
  <c r="AF26" i="385"/>
  <c r="AE26" i="385"/>
  <c r="AD26" i="385"/>
  <c r="AC26" i="385"/>
  <c r="AB26" i="385"/>
  <c r="AA26" i="385"/>
  <c r="Z26" i="385"/>
  <c r="Y26" i="385"/>
  <c r="X26" i="385"/>
  <c r="W26" i="385"/>
  <c r="V26" i="385"/>
  <c r="U26" i="385"/>
  <c r="T26" i="385"/>
  <c r="S26" i="385"/>
  <c r="R26" i="385"/>
  <c r="Q26" i="385"/>
  <c r="P26" i="385"/>
  <c r="O26" i="385"/>
  <c r="N26" i="385"/>
  <c r="M26" i="385"/>
  <c r="L26" i="385"/>
  <c r="BN25" i="385"/>
  <c r="BM25" i="385"/>
  <c r="BM4" i="385" s="1"/>
  <c r="BK25" i="385"/>
  <c r="BJ25" i="385"/>
  <c r="BI25" i="385"/>
  <c r="BH25" i="385"/>
  <c r="BH4" i="385" s="1"/>
  <c r="BG25" i="385"/>
  <c r="BF25" i="385"/>
  <c r="BE25" i="385"/>
  <c r="BE4" i="385" s="1"/>
  <c r="BD25" i="385"/>
  <c r="BC25" i="385"/>
  <c r="BB25" i="385"/>
  <c r="BA25" i="385"/>
  <c r="AZ25" i="385"/>
  <c r="AZ4" i="385" s="1"/>
  <c r="AY25" i="385"/>
  <c r="BL25" i="385" s="1"/>
  <c r="BL4" i="385" s="1"/>
  <c r="AW25" i="385"/>
  <c r="AV25" i="385"/>
  <c r="AU25" i="385"/>
  <c r="AT25" i="385"/>
  <c r="AS25" i="385"/>
  <c r="AR25" i="385"/>
  <c r="AQ25" i="385"/>
  <c r="AQ4" i="385" s="1"/>
  <c r="AP25" i="385"/>
  <c r="BN24" i="385"/>
  <c r="BM24" i="385"/>
  <c r="BK24" i="385"/>
  <c r="BJ24" i="385"/>
  <c r="BI24" i="385"/>
  <c r="BH24" i="385"/>
  <c r="BG24" i="385"/>
  <c r="BF24" i="385"/>
  <c r="BE24" i="385"/>
  <c r="BD24" i="385"/>
  <c r="BC24" i="385"/>
  <c r="BB24" i="385"/>
  <c r="BA24" i="385"/>
  <c r="AZ24" i="385"/>
  <c r="AY24" i="385"/>
  <c r="BL24" i="385" s="1"/>
  <c r="AW24" i="385"/>
  <c r="AV24" i="385"/>
  <c r="AU24" i="385"/>
  <c r="AT24" i="385"/>
  <c r="AS24" i="385"/>
  <c r="AR24" i="385"/>
  <c r="AQ24" i="385"/>
  <c r="AP24" i="385"/>
  <c r="BN23" i="385"/>
  <c r="BM23" i="385"/>
  <c r="BK23" i="385"/>
  <c r="BJ23" i="385"/>
  <c r="BI23" i="385"/>
  <c r="BH23" i="385"/>
  <c r="BG23" i="385"/>
  <c r="BF23" i="385"/>
  <c r="BE23" i="385"/>
  <c r="BD23" i="385"/>
  <c r="BC23" i="385"/>
  <c r="BB23" i="385"/>
  <c r="BA23" i="385"/>
  <c r="AZ23" i="385"/>
  <c r="AY23" i="385"/>
  <c r="BL23" i="385" s="1"/>
  <c r="AW23" i="385"/>
  <c r="AV23" i="385"/>
  <c r="AU23" i="385"/>
  <c r="AT23" i="385"/>
  <c r="AS23" i="385"/>
  <c r="AR23" i="385"/>
  <c r="AQ23" i="385"/>
  <c r="AP23" i="385"/>
  <c r="BN22" i="385"/>
  <c r="BM22" i="385"/>
  <c r="BL22" i="385"/>
  <c r="BK22" i="385"/>
  <c r="BJ22" i="385"/>
  <c r="BI22" i="385"/>
  <c r="BH22" i="385"/>
  <c r="BG22" i="385"/>
  <c r="BF22" i="385"/>
  <c r="BE22" i="385"/>
  <c r="BD22" i="385"/>
  <c r="BC22" i="385"/>
  <c r="BB22" i="385"/>
  <c r="BA22" i="385"/>
  <c r="AZ22" i="385"/>
  <c r="AW22" i="385"/>
  <c r="AV22" i="385"/>
  <c r="AU22" i="385"/>
  <c r="AT22" i="385"/>
  <c r="AS22" i="385"/>
  <c r="AR22" i="385"/>
  <c r="AQ22" i="385"/>
  <c r="AP22" i="385"/>
  <c r="BN21" i="385"/>
  <c r="BK21" i="385"/>
  <c r="BJ21" i="385"/>
  <c r="BM21" i="385" s="1"/>
  <c r="BI21" i="385"/>
  <c r="BH21" i="385"/>
  <c r="BG21" i="385"/>
  <c r="BF21" i="385"/>
  <c r="BE21" i="385"/>
  <c r="BD21" i="385"/>
  <c r="BC21" i="385"/>
  <c r="BB21" i="385"/>
  <c r="BA21" i="385"/>
  <c r="AZ21" i="385"/>
  <c r="AY21" i="385"/>
  <c r="BL21" i="385" s="1"/>
  <c r="AW21" i="385"/>
  <c r="AV21" i="385"/>
  <c r="AU21" i="385"/>
  <c r="AT21" i="385"/>
  <c r="AS21" i="385"/>
  <c r="AR21" i="385"/>
  <c r="AQ21" i="385"/>
  <c r="AP21" i="385"/>
  <c r="BN20" i="385"/>
  <c r="BM20" i="385"/>
  <c r="BK20" i="385"/>
  <c r="BJ20" i="385"/>
  <c r="BI20" i="385"/>
  <c r="BH20" i="385"/>
  <c r="BG20" i="385"/>
  <c r="BF20" i="385"/>
  <c r="BE20" i="385"/>
  <c r="BD20" i="385"/>
  <c r="BC20" i="385"/>
  <c r="BB20" i="385"/>
  <c r="BA20" i="385"/>
  <c r="AZ20" i="385"/>
  <c r="AY20" i="385"/>
  <c r="BL20" i="385" s="1"/>
  <c r="AW20" i="385"/>
  <c r="AV20" i="385"/>
  <c r="AU20" i="385"/>
  <c r="AT20" i="385"/>
  <c r="AS20" i="385"/>
  <c r="AR20" i="385"/>
  <c r="AQ20" i="385"/>
  <c r="AP20" i="385"/>
  <c r="BN19" i="385"/>
  <c r="BM19" i="385"/>
  <c r="BK19" i="385"/>
  <c r="BJ19" i="385"/>
  <c r="BI19" i="385"/>
  <c r="BH19" i="385"/>
  <c r="BG19" i="385"/>
  <c r="BF19" i="385"/>
  <c r="BE19" i="385"/>
  <c r="BD19" i="385"/>
  <c r="BC19" i="385"/>
  <c r="BB19" i="385"/>
  <c r="BA19" i="385"/>
  <c r="AZ19" i="385"/>
  <c r="AY19" i="385"/>
  <c r="BL19" i="385" s="1"/>
  <c r="AW19" i="385"/>
  <c r="AV19" i="385"/>
  <c r="AU19" i="385"/>
  <c r="AT19" i="385"/>
  <c r="AS19" i="385"/>
  <c r="AR19" i="385"/>
  <c r="AQ19" i="385"/>
  <c r="AP19" i="385"/>
  <c r="BN18" i="385"/>
  <c r="BM18" i="385"/>
  <c r="BK18" i="385"/>
  <c r="BJ18" i="385"/>
  <c r="BI18" i="385"/>
  <c r="BH18" i="385"/>
  <c r="BG18" i="385"/>
  <c r="BF18" i="385"/>
  <c r="BE18" i="385"/>
  <c r="BD18" i="385"/>
  <c r="BC18" i="385"/>
  <c r="BB18" i="385"/>
  <c r="BA18" i="385"/>
  <c r="AZ18" i="385"/>
  <c r="AY18" i="385"/>
  <c r="BL18" i="385" s="1"/>
  <c r="AW18" i="385"/>
  <c r="AV18" i="385"/>
  <c r="AU18" i="385"/>
  <c r="AT18" i="385"/>
  <c r="AS18" i="385"/>
  <c r="AR18" i="385"/>
  <c r="AQ18" i="385"/>
  <c r="AP18" i="385"/>
  <c r="BN17" i="385"/>
  <c r="BM17" i="385"/>
  <c r="BK17" i="385"/>
  <c r="BJ17" i="385"/>
  <c r="BI17" i="385"/>
  <c r="BH17" i="385"/>
  <c r="BG17" i="385"/>
  <c r="BF17" i="385"/>
  <c r="BE17" i="385"/>
  <c r="BD17" i="385"/>
  <c r="BC17" i="385"/>
  <c r="BB17" i="385"/>
  <c r="BA17" i="385"/>
  <c r="AZ17" i="385"/>
  <c r="AY17" i="385"/>
  <c r="BL17" i="385" s="1"/>
  <c r="AW17" i="385"/>
  <c r="AV17" i="385"/>
  <c r="AU17" i="385"/>
  <c r="AT17" i="385"/>
  <c r="AS17" i="385"/>
  <c r="AR17" i="385"/>
  <c r="AQ17" i="385"/>
  <c r="AP17" i="385"/>
  <c r="BN16" i="385"/>
  <c r="BM16" i="385"/>
  <c r="BK16" i="385"/>
  <c r="BJ16" i="385"/>
  <c r="BI16" i="385"/>
  <c r="BH16" i="385"/>
  <c r="BG16" i="385"/>
  <c r="BF16" i="385"/>
  <c r="BE16" i="385"/>
  <c r="BD16" i="385"/>
  <c r="BC16" i="385"/>
  <c r="BB16" i="385"/>
  <c r="BA16" i="385"/>
  <c r="AZ16" i="385"/>
  <c r="AY16" i="385"/>
  <c r="BL16" i="385" s="1"/>
  <c r="AW16" i="385"/>
  <c r="AV16" i="385"/>
  <c r="AU16" i="385"/>
  <c r="AT16" i="385"/>
  <c r="AS16" i="385"/>
  <c r="AR16" i="385"/>
  <c r="AQ16" i="385"/>
  <c r="AP16" i="385"/>
  <c r="AO15" i="385"/>
  <c r="AN15" i="385"/>
  <c r="AM15" i="385"/>
  <c r="AL15" i="385"/>
  <c r="AK15" i="385"/>
  <c r="AJ15" i="385"/>
  <c r="AI15" i="385"/>
  <c r="AH15" i="385"/>
  <c r="AG15" i="385"/>
  <c r="AF15" i="385"/>
  <c r="AE15" i="385"/>
  <c r="AD15" i="385"/>
  <c r="AC15" i="385"/>
  <c r="AB15" i="385"/>
  <c r="AA15" i="385"/>
  <c r="Z15" i="385"/>
  <c r="Y15" i="385"/>
  <c r="X15" i="385"/>
  <c r="W15" i="385"/>
  <c r="V15" i="385"/>
  <c r="U15" i="385"/>
  <c r="T15" i="385"/>
  <c r="S15" i="385"/>
  <c r="R15" i="385"/>
  <c r="Q15" i="385"/>
  <c r="P15" i="385"/>
  <c r="O15" i="385"/>
  <c r="N15" i="385"/>
  <c r="M15" i="385"/>
  <c r="L15" i="385"/>
  <c r="BN14" i="385"/>
  <c r="BM14" i="385"/>
  <c r="BL14" i="385"/>
  <c r="BK14" i="385"/>
  <c r="BJ14" i="385"/>
  <c r="BI14" i="385"/>
  <c r="BH14" i="385"/>
  <c r="BG14" i="385"/>
  <c r="BF14" i="385"/>
  <c r="BE14" i="385"/>
  <c r="BD14" i="385"/>
  <c r="BC14" i="385"/>
  <c r="BB14" i="385"/>
  <c r="BA14" i="385"/>
  <c r="AZ14" i="385"/>
  <c r="AW14" i="385"/>
  <c r="AV14" i="385"/>
  <c r="AU14" i="385"/>
  <c r="AT14" i="385"/>
  <c r="AS14" i="385"/>
  <c r="AR14" i="385"/>
  <c r="AQ14" i="385"/>
  <c r="AP14" i="385"/>
  <c r="BN13" i="385"/>
  <c r="BL13" i="385"/>
  <c r="BK13" i="385"/>
  <c r="BJ13" i="385"/>
  <c r="BM13" i="385" s="1"/>
  <c r="BI13" i="385"/>
  <c r="BH13" i="385"/>
  <c r="BG13" i="385"/>
  <c r="BF13" i="385"/>
  <c r="BE13" i="385"/>
  <c r="BD13" i="385"/>
  <c r="BC13" i="385"/>
  <c r="BB13" i="385"/>
  <c r="BA13" i="385"/>
  <c r="AZ13" i="385"/>
  <c r="AW13" i="385"/>
  <c r="AV13" i="385"/>
  <c r="AU13" i="385"/>
  <c r="AT13" i="385"/>
  <c r="AS13" i="385"/>
  <c r="AR13" i="385"/>
  <c r="AQ13" i="385"/>
  <c r="AP13" i="385"/>
  <c r="BN12" i="385"/>
  <c r="BK12" i="385"/>
  <c r="BJ12" i="385"/>
  <c r="BM12" i="385" s="1"/>
  <c r="BI12" i="385"/>
  <c r="BH12" i="385"/>
  <c r="BG12" i="385"/>
  <c r="BF12" i="385"/>
  <c r="BE12" i="385"/>
  <c r="BD12" i="385"/>
  <c r="BC12" i="385"/>
  <c r="BB12" i="385"/>
  <c r="BA12" i="385"/>
  <c r="AZ12" i="385"/>
  <c r="AY12" i="385"/>
  <c r="BL12" i="385" s="1"/>
  <c r="AW12" i="385"/>
  <c r="AV12" i="385"/>
  <c r="AU12" i="385"/>
  <c r="AT12" i="385"/>
  <c r="AS12" i="385"/>
  <c r="AR12" i="385"/>
  <c r="AQ12" i="385"/>
  <c r="AP12" i="385"/>
  <c r="BN11" i="385"/>
  <c r="BK11" i="385"/>
  <c r="BJ11" i="385"/>
  <c r="BM11" i="385" s="1"/>
  <c r="BI11" i="385"/>
  <c r="BH11" i="385"/>
  <c r="BG11" i="385"/>
  <c r="BF11" i="385"/>
  <c r="BE11" i="385"/>
  <c r="BD11" i="385"/>
  <c r="BC11" i="385"/>
  <c r="BB11" i="385"/>
  <c r="BA11" i="385"/>
  <c r="AZ11" i="385"/>
  <c r="AY11" i="385"/>
  <c r="BL11" i="385" s="1"/>
  <c r="AX11" i="385"/>
  <c r="AW11" i="385"/>
  <c r="AV11" i="385"/>
  <c r="AU11" i="385"/>
  <c r="AT11" i="385"/>
  <c r="AS11" i="385"/>
  <c r="AR11" i="385"/>
  <c r="AQ11" i="385"/>
  <c r="AP11" i="385"/>
  <c r="BN10" i="385"/>
  <c r="BL10" i="385"/>
  <c r="BK10" i="385"/>
  <c r="BJ10" i="385"/>
  <c r="BM10" i="385" s="1"/>
  <c r="BI10" i="385"/>
  <c r="BH10" i="385"/>
  <c r="BG10" i="385"/>
  <c r="BF10" i="385"/>
  <c r="BE10" i="385"/>
  <c r="BD10" i="385"/>
  <c r="BC10" i="385"/>
  <c r="BB10" i="385"/>
  <c r="BA10" i="385"/>
  <c r="AZ10" i="385"/>
  <c r="AW10" i="385"/>
  <c r="AV10" i="385"/>
  <c r="AU10" i="385"/>
  <c r="AT10" i="385"/>
  <c r="AS10" i="385"/>
  <c r="AR10" i="385"/>
  <c r="AQ10" i="385"/>
  <c r="AP10" i="385"/>
  <c r="CC4" i="385"/>
  <c r="CB4" i="385"/>
  <c r="CA4" i="385"/>
  <c r="BZ4" i="385"/>
  <c r="BY4" i="385"/>
  <c r="BX4" i="385"/>
  <c r="BW4" i="385"/>
  <c r="BV4" i="385"/>
  <c r="BU4" i="385"/>
  <c r="BT4" i="385"/>
  <c r="BS4" i="385"/>
  <c r="BR4" i="385"/>
  <c r="BQ4" i="385"/>
  <c r="BP4" i="385"/>
  <c r="BO4" i="385"/>
  <c r="BJ4" i="385"/>
  <c r="BB4" i="385"/>
  <c r="AY4" i="385"/>
  <c r="AX4" i="385"/>
  <c r="AS4" i="385"/>
  <c r="AO334" i="384"/>
  <c r="AN334" i="384"/>
  <c r="AM334" i="384"/>
  <c r="AL334" i="384"/>
  <c r="AK334" i="384"/>
  <c r="AJ334" i="384"/>
  <c r="AI334" i="384"/>
  <c r="AH334" i="384"/>
  <c r="AG334" i="384"/>
  <c r="AF334" i="384"/>
  <c r="AE334" i="384"/>
  <c r="AD334" i="384"/>
  <c r="AC334" i="384"/>
  <c r="AB334" i="384"/>
  <c r="AA334" i="384"/>
  <c r="Z334" i="384"/>
  <c r="Y334" i="384"/>
  <c r="X334" i="384"/>
  <c r="W334" i="384"/>
  <c r="V334" i="384"/>
  <c r="U334" i="384"/>
  <c r="T334" i="384"/>
  <c r="S334" i="384"/>
  <c r="R334" i="384"/>
  <c r="Q334" i="384"/>
  <c r="P334" i="384"/>
  <c r="O334" i="384"/>
  <c r="N334" i="384"/>
  <c r="M334" i="384"/>
  <c r="L334" i="384"/>
  <c r="AO332" i="384"/>
  <c r="AN332" i="384"/>
  <c r="AM332" i="384"/>
  <c r="AL332" i="384"/>
  <c r="AK332" i="384"/>
  <c r="AJ332" i="384"/>
  <c r="AI332" i="384"/>
  <c r="AH332" i="384"/>
  <c r="AG332" i="384"/>
  <c r="AF332" i="384"/>
  <c r="AE332" i="384"/>
  <c r="AD332" i="384"/>
  <c r="AC332" i="384"/>
  <c r="AB332" i="384"/>
  <c r="AA332" i="384"/>
  <c r="Z332" i="384"/>
  <c r="Y332" i="384"/>
  <c r="X332" i="384"/>
  <c r="W332" i="384"/>
  <c r="V332" i="384"/>
  <c r="U332" i="384"/>
  <c r="T332" i="384"/>
  <c r="S332" i="384"/>
  <c r="R332" i="384"/>
  <c r="Q332" i="384"/>
  <c r="P332" i="384"/>
  <c r="O332" i="384"/>
  <c r="N332" i="384"/>
  <c r="M332" i="384"/>
  <c r="L332" i="384"/>
  <c r="BN331" i="384"/>
  <c r="BM331" i="384"/>
  <c r="BK331" i="384"/>
  <c r="BJ331" i="384"/>
  <c r="BI331" i="384"/>
  <c r="BH331" i="384"/>
  <c r="BG331" i="384"/>
  <c r="BF331" i="384"/>
  <c r="BE331" i="384"/>
  <c r="BD331" i="384"/>
  <c r="BC331" i="384"/>
  <c r="BB331" i="384"/>
  <c r="BA331" i="384"/>
  <c r="AZ331" i="384"/>
  <c r="AY331" i="384"/>
  <c r="BL331" i="384" s="1"/>
  <c r="AW331" i="384"/>
  <c r="AV331" i="384"/>
  <c r="AU331" i="384"/>
  <c r="AT331" i="384"/>
  <c r="AS331" i="384"/>
  <c r="AR331" i="384"/>
  <c r="AQ331" i="384"/>
  <c r="AP331" i="384"/>
  <c r="BN330" i="384"/>
  <c r="BM330" i="384"/>
  <c r="BK330" i="384"/>
  <c r="BJ330" i="384"/>
  <c r="BI330" i="384"/>
  <c r="BH330" i="384"/>
  <c r="BG330" i="384"/>
  <c r="BF330" i="384"/>
  <c r="BE330" i="384"/>
  <c r="BD330" i="384"/>
  <c r="BC330" i="384"/>
  <c r="BB330" i="384"/>
  <c r="BA330" i="384"/>
  <c r="AZ330" i="384"/>
  <c r="AY330" i="384"/>
  <c r="BL330" i="384" s="1"/>
  <c r="AX330" i="384"/>
  <c r="AW330" i="384"/>
  <c r="AV330" i="384"/>
  <c r="AU330" i="384"/>
  <c r="AT330" i="384"/>
  <c r="AS330" i="384"/>
  <c r="AR330" i="384"/>
  <c r="AQ330" i="384"/>
  <c r="AP330" i="384"/>
  <c r="BN329" i="384"/>
  <c r="BL329" i="384"/>
  <c r="BJ329" i="384"/>
  <c r="BM329" i="384" s="1"/>
  <c r="BI329" i="384"/>
  <c r="BH329" i="384"/>
  <c r="BG329" i="384"/>
  <c r="BF329" i="384"/>
  <c r="BE329" i="384"/>
  <c r="BD329" i="384"/>
  <c r="BC329" i="384"/>
  <c r="BB329" i="384"/>
  <c r="BA329" i="384"/>
  <c r="AZ329" i="384"/>
  <c r="AX329" i="384"/>
  <c r="BK329" i="384" s="1"/>
  <c r="AW329" i="384"/>
  <c r="AV329" i="384"/>
  <c r="AU329" i="384"/>
  <c r="AT329" i="384"/>
  <c r="AS329" i="384"/>
  <c r="AR329" i="384"/>
  <c r="AQ329" i="384"/>
  <c r="AP329" i="384"/>
  <c r="BN328" i="384"/>
  <c r="BL328" i="384"/>
  <c r="BK328" i="384"/>
  <c r="BJ328" i="384"/>
  <c r="BM328" i="384" s="1"/>
  <c r="BI328" i="384"/>
  <c r="BH328" i="384"/>
  <c r="BG328" i="384"/>
  <c r="BF328" i="384"/>
  <c r="BE328" i="384"/>
  <c r="BD328" i="384"/>
  <c r="BC328" i="384"/>
  <c r="BB328" i="384"/>
  <c r="BA328" i="384"/>
  <c r="AZ328" i="384"/>
  <c r="AY328" i="384"/>
  <c r="AW328" i="384"/>
  <c r="AV328" i="384"/>
  <c r="AU328" i="384"/>
  <c r="AT328" i="384"/>
  <c r="AS328" i="384"/>
  <c r="AR328" i="384"/>
  <c r="AQ328" i="384"/>
  <c r="AP328" i="384"/>
  <c r="BN327" i="384"/>
  <c r="BL327" i="384"/>
  <c r="BK327" i="384"/>
  <c r="BJ327" i="384"/>
  <c r="BM327" i="384" s="1"/>
  <c r="BI327" i="384"/>
  <c r="BH327" i="384"/>
  <c r="BG327" i="384"/>
  <c r="BF327" i="384"/>
  <c r="BE327" i="384"/>
  <c r="BD327" i="384"/>
  <c r="BC327" i="384"/>
  <c r="BB327" i="384"/>
  <c r="BA327" i="384"/>
  <c r="AZ327" i="384"/>
  <c r="AY327" i="384"/>
  <c r="AW327" i="384"/>
  <c r="AV327" i="384"/>
  <c r="AU327" i="384"/>
  <c r="AT327" i="384"/>
  <c r="AS327" i="384"/>
  <c r="AR327" i="384"/>
  <c r="AQ327" i="384"/>
  <c r="AP327" i="384"/>
  <c r="BN326" i="384"/>
  <c r="BL326" i="384"/>
  <c r="BK326" i="384"/>
  <c r="BJ326" i="384"/>
  <c r="BM326" i="384" s="1"/>
  <c r="BI326" i="384"/>
  <c r="BH326" i="384"/>
  <c r="BG326" i="384"/>
  <c r="BF326" i="384"/>
  <c r="BE326" i="384"/>
  <c r="BD326" i="384"/>
  <c r="BC326" i="384"/>
  <c r="BB326" i="384"/>
  <c r="BA326" i="384"/>
  <c r="AZ326" i="384"/>
  <c r="AW326" i="384"/>
  <c r="AV326" i="384"/>
  <c r="AU326" i="384"/>
  <c r="AT326" i="384"/>
  <c r="AS326" i="384"/>
  <c r="AR326" i="384"/>
  <c r="AQ326" i="384"/>
  <c r="AP326" i="384"/>
  <c r="BN325" i="384"/>
  <c r="BK325" i="384"/>
  <c r="BJ325" i="384"/>
  <c r="BM325" i="384" s="1"/>
  <c r="BI325" i="384"/>
  <c r="BH325" i="384"/>
  <c r="BG325" i="384"/>
  <c r="BF325" i="384"/>
  <c r="BE325" i="384"/>
  <c r="BD325" i="384"/>
  <c r="BC325" i="384"/>
  <c r="BB325" i="384"/>
  <c r="BA325" i="384"/>
  <c r="AZ325" i="384"/>
  <c r="AY325" i="384"/>
  <c r="BL325" i="384" s="1"/>
  <c r="AX325" i="384"/>
  <c r="AW325" i="384"/>
  <c r="AV325" i="384"/>
  <c r="AU325" i="384"/>
  <c r="AT325" i="384"/>
  <c r="AS325" i="384"/>
  <c r="AR325" i="384"/>
  <c r="AQ325" i="384"/>
  <c r="AP325" i="384"/>
  <c r="BN324" i="384"/>
  <c r="BL324" i="384"/>
  <c r="BK324" i="384"/>
  <c r="BJ324" i="384"/>
  <c r="BM324" i="384" s="1"/>
  <c r="BI324" i="384"/>
  <c r="BH324" i="384"/>
  <c r="BG324" i="384"/>
  <c r="BF324" i="384"/>
  <c r="BE324" i="384"/>
  <c r="BD324" i="384"/>
  <c r="BC324" i="384"/>
  <c r="BB324" i="384"/>
  <c r="BA324" i="384"/>
  <c r="AZ324" i="384"/>
  <c r="AY324" i="384"/>
  <c r="AW324" i="384"/>
  <c r="AV324" i="384"/>
  <c r="AU324" i="384"/>
  <c r="AT324" i="384"/>
  <c r="AS324" i="384"/>
  <c r="AR324" i="384"/>
  <c r="AQ324" i="384"/>
  <c r="AP324" i="384"/>
  <c r="AO323" i="384"/>
  <c r="AN323" i="384"/>
  <c r="AM323" i="384"/>
  <c r="AL323" i="384"/>
  <c r="AK323" i="384"/>
  <c r="AJ323" i="384"/>
  <c r="AI323" i="384"/>
  <c r="AH323" i="384"/>
  <c r="AG323" i="384"/>
  <c r="AF323" i="384"/>
  <c r="AE323" i="384"/>
  <c r="AD323" i="384"/>
  <c r="AC323" i="384"/>
  <c r="AB323" i="384"/>
  <c r="AA323" i="384"/>
  <c r="Z323" i="384"/>
  <c r="Y323" i="384"/>
  <c r="X323" i="384"/>
  <c r="W323" i="384"/>
  <c r="V323" i="384"/>
  <c r="U323" i="384"/>
  <c r="T323" i="384"/>
  <c r="S323" i="384"/>
  <c r="R323" i="384"/>
  <c r="Q323" i="384"/>
  <c r="P323" i="384"/>
  <c r="O323" i="384"/>
  <c r="N323" i="384"/>
  <c r="M323" i="384"/>
  <c r="L323" i="384"/>
  <c r="BN322" i="384"/>
  <c r="BL322" i="384"/>
  <c r="BJ322" i="384"/>
  <c r="BM322" i="384" s="1"/>
  <c r="BI322" i="384"/>
  <c r="BH322" i="384"/>
  <c r="BG322" i="384"/>
  <c r="BF322" i="384"/>
  <c r="BE322" i="384"/>
  <c r="BD322" i="384"/>
  <c r="BC322" i="384"/>
  <c r="BB322" i="384"/>
  <c r="BA322" i="384"/>
  <c r="AZ322" i="384"/>
  <c r="AY322" i="384"/>
  <c r="AX322" i="384"/>
  <c r="BK322" i="384" s="1"/>
  <c r="AW322" i="384"/>
  <c r="AV322" i="384"/>
  <c r="AU322" i="384"/>
  <c r="AT322" i="384"/>
  <c r="AS322" i="384"/>
  <c r="AR322" i="384"/>
  <c r="AQ322" i="384"/>
  <c r="AP322" i="384"/>
  <c r="BN321" i="384"/>
  <c r="BK321" i="384"/>
  <c r="BJ321" i="384"/>
  <c r="BM321" i="384" s="1"/>
  <c r="BI321" i="384"/>
  <c r="BH321" i="384"/>
  <c r="BG321" i="384"/>
  <c r="BF321" i="384"/>
  <c r="BE321" i="384"/>
  <c r="BD321" i="384"/>
  <c r="BC321" i="384"/>
  <c r="BB321" i="384"/>
  <c r="BA321" i="384"/>
  <c r="AZ321" i="384"/>
  <c r="AY321" i="384"/>
  <c r="BL321" i="384" s="1"/>
  <c r="AX321" i="384"/>
  <c r="AW321" i="384"/>
  <c r="AV321" i="384"/>
  <c r="AU321" i="384"/>
  <c r="AT321" i="384"/>
  <c r="AS321" i="384"/>
  <c r="AR321" i="384"/>
  <c r="AQ321" i="384"/>
  <c r="AP321" i="384"/>
  <c r="AO320" i="384"/>
  <c r="AN320" i="384"/>
  <c r="AM320" i="384"/>
  <c r="AL320" i="384"/>
  <c r="AK320" i="384"/>
  <c r="AJ320" i="384"/>
  <c r="AI320" i="384"/>
  <c r="AH320" i="384"/>
  <c r="AG320" i="384"/>
  <c r="AF320" i="384"/>
  <c r="AE320" i="384"/>
  <c r="AD320" i="384"/>
  <c r="AC320" i="384"/>
  <c r="AB320" i="384"/>
  <c r="AA320" i="384"/>
  <c r="Z320" i="384"/>
  <c r="Y320" i="384"/>
  <c r="X320" i="384"/>
  <c r="W320" i="384"/>
  <c r="V320" i="384"/>
  <c r="U320" i="384"/>
  <c r="T320" i="384"/>
  <c r="S320" i="384"/>
  <c r="R320" i="384"/>
  <c r="Q320" i="384"/>
  <c r="P320" i="384"/>
  <c r="O320" i="384"/>
  <c r="N320" i="384"/>
  <c r="M320" i="384"/>
  <c r="L320" i="384"/>
  <c r="BN319" i="384"/>
  <c r="BL319" i="384"/>
  <c r="BJ319" i="384"/>
  <c r="BM319" i="384" s="1"/>
  <c r="BI319" i="384"/>
  <c r="BH319" i="384"/>
  <c r="BG319" i="384"/>
  <c r="BF319" i="384"/>
  <c r="BE319" i="384"/>
  <c r="BD319" i="384"/>
  <c r="BC319" i="384"/>
  <c r="BB319" i="384"/>
  <c r="BA319" i="384"/>
  <c r="AZ319" i="384"/>
  <c r="AY319" i="384"/>
  <c r="AX319" i="384"/>
  <c r="BK319" i="384" s="1"/>
  <c r="AW319" i="384"/>
  <c r="AV319" i="384"/>
  <c r="AU319" i="384"/>
  <c r="AT319" i="384"/>
  <c r="AS319" i="384"/>
  <c r="AR319" i="384"/>
  <c r="AQ319" i="384"/>
  <c r="AP319" i="384"/>
  <c r="BN318" i="384"/>
  <c r="BL318" i="384"/>
  <c r="BK318" i="384"/>
  <c r="BJ318" i="384"/>
  <c r="BM318" i="384" s="1"/>
  <c r="BI318" i="384"/>
  <c r="BH318" i="384"/>
  <c r="BG318" i="384"/>
  <c r="BF318" i="384"/>
  <c r="BE318" i="384"/>
  <c r="BD318" i="384"/>
  <c r="BC318" i="384"/>
  <c r="BB318" i="384"/>
  <c r="BA318" i="384"/>
  <c r="AZ318" i="384"/>
  <c r="AW318" i="384"/>
  <c r="AV318" i="384"/>
  <c r="AU318" i="384"/>
  <c r="AT318" i="384"/>
  <c r="AS318" i="384"/>
  <c r="AR318" i="384"/>
  <c r="AQ318" i="384"/>
  <c r="AP318" i="384"/>
  <c r="BN317" i="384"/>
  <c r="BL317" i="384"/>
  <c r="BK317" i="384"/>
  <c r="BJ317" i="384"/>
  <c r="BM317" i="384" s="1"/>
  <c r="BI317" i="384"/>
  <c r="BH317" i="384"/>
  <c r="BG317" i="384"/>
  <c r="BF317" i="384"/>
  <c r="BE317" i="384"/>
  <c r="BD317" i="384"/>
  <c r="BC317" i="384"/>
  <c r="BB317" i="384"/>
  <c r="BA317" i="384"/>
  <c r="AZ317" i="384"/>
  <c r="AW317" i="384"/>
  <c r="AV317" i="384"/>
  <c r="AU317" i="384"/>
  <c r="AT317" i="384"/>
  <c r="AS317" i="384"/>
  <c r="AR317" i="384"/>
  <c r="AQ317" i="384"/>
  <c r="AP317" i="384"/>
  <c r="BN316" i="384"/>
  <c r="BL316" i="384"/>
  <c r="BK316" i="384"/>
  <c r="BJ316" i="384"/>
  <c r="BM316" i="384" s="1"/>
  <c r="BI316" i="384"/>
  <c r="BH316" i="384"/>
  <c r="BG316" i="384"/>
  <c r="BF316" i="384"/>
  <c r="BE316" i="384"/>
  <c r="BD316" i="384"/>
  <c r="BC316" i="384"/>
  <c r="BB316" i="384"/>
  <c r="BA316" i="384"/>
  <c r="AZ316" i="384"/>
  <c r="AY316" i="384"/>
  <c r="AX316" i="384"/>
  <c r="AW316" i="384"/>
  <c r="AV316" i="384"/>
  <c r="AU316" i="384"/>
  <c r="AT316" i="384"/>
  <c r="AS316" i="384"/>
  <c r="AR316" i="384"/>
  <c r="AQ316" i="384"/>
  <c r="AP316" i="384"/>
  <c r="BN315" i="384"/>
  <c r="BL315" i="384"/>
  <c r="BK315" i="384"/>
  <c r="BJ315" i="384"/>
  <c r="BM315" i="384" s="1"/>
  <c r="BI315" i="384"/>
  <c r="BH315" i="384"/>
  <c r="BG315" i="384"/>
  <c r="BF315" i="384"/>
  <c r="BE315" i="384"/>
  <c r="BD315" i="384"/>
  <c r="BC315" i="384"/>
  <c r="BB315" i="384"/>
  <c r="BA315" i="384"/>
  <c r="AZ315" i="384"/>
  <c r="AY315" i="384"/>
  <c r="AW315" i="384"/>
  <c r="AV315" i="384"/>
  <c r="AU315" i="384"/>
  <c r="AT315" i="384"/>
  <c r="AS315" i="384"/>
  <c r="AR315" i="384"/>
  <c r="AQ315" i="384"/>
  <c r="AP315" i="384"/>
  <c r="BN314" i="384"/>
  <c r="BL314" i="384"/>
  <c r="BK314" i="384"/>
  <c r="BJ314" i="384"/>
  <c r="BM314" i="384" s="1"/>
  <c r="BI314" i="384"/>
  <c r="BH314" i="384"/>
  <c r="BG314" i="384"/>
  <c r="BF314" i="384"/>
  <c r="BE314" i="384"/>
  <c r="BD314" i="384"/>
  <c r="BC314" i="384"/>
  <c r="BB314" i="384"/>
  <c r="BA314" i="384"/>
  <c r="AZ314" i="384"/>
  <c r="AW314" i="384"/>
  <c r="AV314" i="384"/>
  <c r="AU314" i="384"/>
  <c r="AT314" i="384"/>
  <c r="AS314" i="384"/>
  <c r="AR314" i="384"/>
  <c r="AQ314" i="384"/>
  <c r="AP314" i="384"/>
  <c r="BN313" i="384"/>
  <c r="BL313" i="384"/>
  <c r="BK313" i="384"/>
  <c r="BJ313" i="384"/>
  <c r="BM313" i="384" s="1"/>
  <c r="BI313" i="384"/>
  <c r="BH313" i="384"/>
  <c r="BG313" i="384"/>
  <c r="BF313" i="384"/>
  <c r="BE313" i="384"/>
  <c r="BD313" i="384"/>
  <c r="BC313" i="384"/>
  <c r="BB313" i="384"/>
  <c r="BA313" i="384"/>
  <c r="AZ313" i="384"/>
  <c r="AW313" i="384"/>
  <c r="AV313" i="384"/>
  <c r="AU313" i="384"/>
  <c r="AT313" i="384"/>
  <c r="AS313" i="384"/>
  <c r="AR313" i="384"/>
  <c r="AQ313" i="384"/>
  <c r="AP313" i="384"/>
  <c r="BN312" i="384"/>
  <c r="BK312" i="384"/>
  <c r="BJ312" i="384"/>
  <c r="BM312" i="384" s="1"/>
  <c r="BI312" i="384"/>
  <c r="BH312" i="384"/>
  <c r="BG312" i="384"/>
  <c r="BF312" i="384"/>
  <c r="BE312" i="384"/>
  <c r="BD312" i="384"/>
  <c r="BC312" i="384"/>
  <c r="BB312" i="384"/>
  <c r="BA312" i="384"/>
  <c r="AZ312" i="384"/>
  <c r="AY312" i="384"/>
  <c r="BL312" i="384" s="1"/>
  <c r="AW312" i="384"/>
  <c r="AV312" i="384"/>
  <c r="AU312" i="384"/>
  <c r="AT312" i="384"/>
  <c r="AS312" i="384"/>
  <c r="AR312" i="384"/>
  <c r="AQ312" i="384"/>
  <c r="AP312" i="384"/>
  <c r="BN311" i="384"/>
  <c r="BK311" i="384"/>
  <c r="BJ311" i="384"/>
  <c r="BM311" i="384" s="1"/>
  <c r="BI311" i="384"/>
  <c r="BH311" i="384"/>
  <c r="BG311" i="384"/>
  <c r="BF311" i="384"/>
  <c r="BE311" i="384"/>
  <c r="BD311" i="384"/>
  <c r="BC311" i="384"/>
  <c r="BB311" i="384"/>
  <c r="BA311" i="384"/>
  <c r="AZ311" i="384"/>
  <c r="AY311" i="384"/>
  <c r="BL311" i="384" s="1"/>
  <c r="AW311" i="384"/>
  <c r="AV311" i="384"/>
  <c r="AU311" i="384"/>
  <c r="AT311" i="384"/>
  <c r="AS311" i="384"/>
  <c r="AR311" i="384"/>
  <c r="AQ311" i="384"/>
  <c r="AP311" i="384"/>
  <c r="BN310" i="384"/>
  <c r="BL310" i="384"/>
  <c r="BK310" i="384"/>
  <c r="BJ310" i="384"/>
  <c r="BM310" i="384" s="1"/>
  <c r="BI310" i="384"/>
  <c r="BH310" i="384"/>
  <c r="BG310" i="384"/>
  <c r="BF310" i="384"/>
  <c r="BE310" i="384"/>
  <c r="BD310" i="384"/>
  <c r="BC310" i="384"/>
  <c r="BB310" i="384"/>
  <c r="BA310" i="384"/>
  <c r="AZ310" i="384"/>
  <c r="AW310" i="384"/>
  <c r="AV310" i="384"/>
  <c r="AU310" i="384"/>
  <c r="AT310" i="384"/>
  <c r="AS310" i="384"/>
  <c r="AR310" i="384"/>
  <c r="AQ310" i="384"/>
  <c r="AP310" i="384"/>
  <c r="BN309" i="384"/>
  <c r="BL309" i="384"/>
  <c r="BK309" i="384"/>
  <c r="BJ309" i="384"/>
  <c r="BM309" i="384" s="1"/>
  <c r="BI309" i="384"/>
  <c r="BH309" i="384"/>
  <c r="BG309" i="384"/>
  <c r="BF309" i="384"/>
  <c r="BE309" i="384"/>
  <c r="BD309" i="384"/>
  <c r="BC309" i="384"/>
  <c r="BB309" i="384"/>
  <c r="BA309" i="384"/>
  <c r="AZ309" i="384"/>
  <c r="AW309" i="384"/>
  <c r="AV309" i="384"/>
  <c r="AU309" i="384"/>
  <c r="AT309" i="384"/>
  <c r="AS309" i="384"/>
  <c r="AR309" i="384"/>
  <c r="AQ309" i="384"/>
  <c r="AP309" i="384"/>
  <c r="BN308" i="384"/>
  <c r="BM308" i="384"/>
  <c r="BK308" i="384"/>
  <c r="BJ308" i="384"/>
  <c r="BI308" i="384"/>
  <c r="BH308" i="384"/>
  <c r="BG308" i="384"/>
  <c r="BF308" i="384"/>
  <c r="BE308" i="384"/>
  <c r="BD308" i="384"/>
  <c r="BC308" i="384"/>
  <c r="BB308" i="384"/>
  <c r="BA308" i="384"/>
  <c r="AZ308" i="384"/>
  <c r="AY308" i="384"/>
  <c r="BL308" i="384" s="1"/>
  <c r="AW308" i="384"/>
  <c r="AV308" i="384"/>
  <c r="AU308" i="384"/>
  <c r="AT308" i="384"/>
  <c r="AS308" i="384"/>
  <c r="AR308" i="384"/>
  <c r="AQ308" i="384"/>
  <c r="AP308" i="384"/>
  <c r="BN307" i="384"/>
  <c r="BM307" i="384"/>
  <c r="BL307" i="384"/>
  <c r="BK307" i="384"/>
  <c r="BJ307" i="384"/>
  <c r="BI307" i="384"/>
  <c r="BH307" i="384"/>
  <c r="BG307" i="384"/>
  <c r="BF307" i="384"/>
  <c r="BE307" i="384"/>
  <c r="BD307" i="384"/>
  <c r="BC307" i="384"/>
  <c r="BB307" i="384"/>
  <c r="BA307" i="384"/>
  <c r="AZ307" i="384"/>
  <c r="AW307" i="384"/>
  <c r="AV307" i="384"/>
  <c r="AU307" i="384"/>
  <c r="AT307" i="384"/>
  <c r="AS307" i="384"/>
  <c r="AR307" i="384"/>
  <c r="AQ307" i="384"/>
  <c r="AP307" i="384"/>
  <c r="BN306" i="384"/>
  <c r="BM306" i="384"/>
  <c r="BK306" i="384"/>
  <c r="BJ306" i="384"/>
  <c r="BI306" i="384"/>
  <c r="BH306" i="384"/>
  <c r="BG306" i="384"/>
  <c r="BF306" i="384"/>
  <c r="BE306" i="384"/>
  <c r="BD306" i="384"/>
  <c r="BC306" i="384"/>
  <c r="BB306" i="384"/>
  <c r="BA306" i="384"/>
  <c r="AZ306" i="384"/>
  <c r="AY306" i="384"/>
  <c r="BL306" i="384" s="1"/>
  <c r="AW306" i="384"/>
  <c r="AV306" i="384"/>
  <c r="AU306" i="384"/>
  <c r="AT306" i="384"/>
  <c r="AS306" i="384"/>
  <c r="AR306" i="384"/>
  <c r="AQ306" i="384"/>
  <c r="AP306" i="384"/>
  <c r="AO305" i="384"/>
  <c r="AN305" i="384"/>
  <c r="AM305" i="384"/>
  <c r="AL305" i="384"/>
  <c r="AK305" i="384"/>
  <c r="AJ305" i="384"/>
  <c r="AI305" i="384"/>
  <c r="AH305" i="384"/>
  <c r="AG305" i="384"/>
  <c r="AF305" i="384"/>
  <c r="AE305" i="384"/>
  <c r="AD305" i="384"/>
  <c r="AC305" i="384"/>
  <c r="AB305" i="384"/>
  <c r="AA305" i="384"/>
  <c r="Z305" i="384"/>
  <c r="Y305" i="384"/>
  <c r="X305" i="384"/>
  <c r="W305" i="384"/>
  <c r="V305" i="384"/>
  <c r="U305" i="384"/>
  <c r="T305" i="384"/>
  <c r="S305" i="384"/>
  <c r="R305" i="384"/>
  <c r="Q305" i="384"/>
  <c r="P305" i="384"/>
  <c r="O305" i="384"/>
  <c r="N305" i="384"/>
  <c r="M305" i="384"/>
  <c r="L305" i="384"/>
  <c r="BN304" i="384"/>
  <c r="BM304" i="384"/>
  <c r="BK304" i="384"/>
  <c r="BJ304" i="384"/>
  <c r="BI304" i="384"/>
  <c r="BH304" i="384"/>
  <c r="BG304" i="384"/>
  <c r="BF304" i="384"/>
  <c r="BE304" i="384"/>
  <c r="BD304" i="384"/>
  <c r="BC304" i="384"/>
  <c r="BB304" i="384"/>
  <c r="BA304" i="384"/>
  <c r="AZ304" i="384"/>
  <c r="AY304" i="384"/>
  <c r="BL304" i="384" s="1"/>
  <c r="AW304" i="384"/>
  <c r="AV304" i="384"/>
  <c r="AU304" i="384"/>
  <c r="AT304" i="384"/>
  <c r="AS304" i="384"/>
  <c r="AR304" i="384"/>
  <c r="AQ304" i="384"/>
  <c r="AP304" i="384"/>
  <c r="BN303" i="384"/>
  <c r="BM303" i="384"/>
  <c r="BK303" i="384"/>
  <c r="BJ303" i="384"/>
  <c r="BI303" i="384"/>
  <c r="BH303" i="384"/>
  <c r="BG303" i="384"/>
  <c r="BF303" i="384"/>
  <c r="BE303" i="384"/>
  <c r="BD303" i="384"/>
  <c r="BC303" i="384"/>
  <c r="BB303" i="384"/>
  <c r="BA303" i="384"/>
  <c r="AZ303" i="384"/>
  <c r="AY303" i="384"/>
  <c r="BL303" i="384" s="1"/>
  <c r="AX303" i="384"/>
  <c r="AW303" i="384"/>
  <c r="AV303" i="384"/>
  <c r="AU303" i="384"/>
  <c r="AT303" i="384"/>
  <c r="AS303" i="384"/>
  <c r="AR303" i="384"/>
  <c r="AQ303" i="384"/>
  <c r="AP303" i="384"/>
  <c r="BN302" i="384"/>
  <c r="BL302" i="384"/>
  <c r="BK302" i="384"/>
  <c r="BJ302" i="384"/>
  <c r="BM302" i="384" s="1"/>
  <c r="BI302" i="384"/>
  <c r="BH302" i="384"/>
  <c r="BG302" i="384"/>
  <c r="BF302" i="384"/>
  <c r="BE302" i="384"/>
  <c r="BD302" i="384"/>
  <c r="BC302" i="384"/>
  <c r="BB302" i="384"/>
  <c r="BA302" i="384"/>
  <c r="AZ302" i="384"/>
  <c r="AY302" i="384"/>
  <c r="AW302" i="384"/>
  <c r="AV302" i="384"/>
  <c r="AU302" i="384"/>
  <c r="AT302" i="384"/>
  <c r="AS302" i="384"/>
  <c r="AR302" i="384"/>
  <c r="AQ302" i="384"/>
  <c r="AP302" i="384"/>
  <c r="BN301" i="384"/>
  <c r="BL301" i="384"/>
  <c r="BK301" i="384"/>
  <c r="BJ301" i="384"/>
  <c r="BM301" i="384" s="1"/>
  <c r="BI301" i="384"/>
  <c r="BH301" i="384"/>
  <c r="BG301" i="384"/>
  <c r="BF301" i="384"/>
  <c r="BE301" i="384"/>
  <c r="BD301" i="384"/>
  <c r="BC301" i="384"/>
  <c r="BB301" i="384"/>
  <c r="BA301" i="384"/>
  <c r="AZ301" i="384"/>
  <c r="AW301" i="384"/>
  <c r="AV301" i="384"/>
  <c r="AU301" i="384"/>
  <c r="AT301" i="384"/>
  <c r="AS301" i="384"/>
  <c r="AR301" i="384"/>
  <c r="AQ301" i="384"/>
  <c r="AP301" i="384"/>
  <c r="BN300" i="384"/>
  <c r="BM300" i="384"/>
  <c r="BK300" i="384"/>
  <c r="BJ300" i="384"/>
  <c r="BI300" i="384"/>
  <c r="BH300" i="384"/>
  <c r="BG300" i="384"/>
  <c r="BF300" i="384"/>
  <c r="BE300" i="384"/>
  <c r="BD300" i="384"/>
  <c r="BC300" i="384"/>
  <c r="BB300" i="384"/>
  <c r="BA300" i="384"/>
  <c r="AZ300" i="384"/>
  <c r="AY300" i="384"/>
  <c r="BL300" i="384" s="1"/>
  <c r="AW300" i="384"/>
  <c r="AV300" i="384"/>
  <c r="AU300" i="384"/>
  <c r="AT300" i="384"/>
  <c r="AS300" i="384"/>
  <c r="AR300" i="384"/>
  <c r="AQ300" i="384"/>
  <c r="AP300" i="384"/>
  <c r="BN299" i="384"/>
  <c r="BM299" i="384"/>
  <c r="BK299" i="384"/>
  <c r="BJ299" i="384"/>
  <c r="BI299" i="384"/>
  <c r="BH299" i="384"/>
  <c r="BG299" i="384"/>
  <c r="BF299" i="384"/>
  <c r="BE299" i="384"/>
  <c r="BD299" i="384"/>
  <c r="BC299" i="384"/>
  <c r="BB299" i="384"/>
  <c r="BA299" i="384"/>
  <c r="AZ299" i="384"/>
  <c r="AY299" i="384"/>
  <c r="BL299" i="384" s="1"/>
  <c r="AX299" i="384"/>
  <c r="AW299" i="384"/>
  <c r="AV299" i="384"/>
  <c r="AU299" i="384"/>
  <c r="AT299" i="384"/>
  <c r="AS299" i="384"/>
  <c r="AR299" i="384"/>
  <c r="AQ299" i="384"/>
  <c r="AP299" i="384"/>
  <c r="BN298" i="384"/>
  <c r="BL298" i="384"/>
  <c r="BJ298" i="384"/>
  <c r="BM298" i="384" s="1"/>
  <c r="BI298" i="384"/>
  <c r="BH298" i="384"/>
  <c r="BG298" i="384"/>
  <c r="BF298" i="384"/>
  <c r="BE298" i="384"/>
  <c r="BD298" i="384"/>
  <c r="BC298" i="384"/>
  <c r="BB298" i="384"/>
  <c r="BA298" i="384"/>
  <c r="AZ298" i="384"/>
  <c r="AY298" i="384"/>
  <c r="AX298" i="384"/>
  <c r="BK298" i="384" s="1"/>
  <c r="AW298" i="384"/>
  <c r="AV298" i="384"/>
  <c r="AU298" i="384"/>
  <c r="AT298" i="384"/>
  <c r="AS298" i="384"/>
  <c r="AR298" i="384"/>
  <c r="AQ298" i="384"/>
  <c r="AP298" i="384"/>
  <c r="BN297" i="384"/>
  <c r="BM297" i="384"/>
  <c r="BL297" i="384"/>
  <c r="BK297" i="384"/>
  <c r="BJ297" i="384"/>
  <c r="BI297" i="384"/>
  <c r="BH297" i="384"/>
  <c r="BG297" i="384"/>
  <c r="BF297" i="384"/>
  <c r="BE297" i="384"/>
  <c r="BD297" i="384"/>
  <c r="BC297" i="384"/>
  <c r="BB297" i="384"/>
  <c r="BA297" i="384"/>
  <c r="AZ297" i="384"/>
  <c r="AW297" i="384"/>
  <c r="AV297" i="384"/>
  <c r="AU297" i="384"/>
  <c r="AT297" i="384"/>
  <c r="AS297" i="384"/>
  <c r="AR297" i="384"/>
  <c r="AQ297" i="384"/>
  <c r="AP297" i="384"/>
  <c r="BN296" i="384"/>
  <c r="BL296" i="384"/>
  <c r="BK296" i="384"/>
  <c r="BJ296" i="384"/>
  <c r="BM296" i="384" s="1"/>
  <c r="BI296" i="384"/>
  <c r="BH296" i="384"/>
  <c r="BG296" i="384"/>
  <c r="BF296" i="384"/>
  <c r="BE296" i="384"/>
  <c r="BD296" i="384"/>
  <c r="BC296" i="384"/>
  <c r="BB296" i="384"/>
  <c r="BA296" i="384"/>
  <c r="AZ296" i="384"/>
  <c r="AW296" i="384"/>
  <c r="AV296" i="384"/>
  <c r="AU296" i="384"/>
  <c r="AT296" i="384"/>
  <c r="AS296" i="384"/>
  <c r="AR296" i="384"/>
  <c r="AQ296" i="384"/>
  <c r="AP296" i="384"/>
  <c r="BN295" i="384"/>
  <c r="BM295" i="384"/>
  <c r="BL295" i="384"/>
  <c r="BK295" i="384"/>
  <c r="BJ295" i="384"/>
  <c r="BI295" i="384"/>
  <c r="BH295" i="384"/>
  <c r="BG295" i="384"/>
  <c r="BF295" i="384"/>
  <c r="BE295" i="384"/>
  <c r="BD295" i="384"/>
  <c r="BC295" i="384"/>
  <c r="BB295" i="384"/>
  <c r="BA295" i="384"/>
  <c r="AZ295" i="384"/>
  <c r="AX295" i="384"/>
  <c r="AW295" i="384"/>
  <c r="AV295" i="384"/>
  <c r="AU295" i="384"/>
  <c r="AT295" i="384"/>
  <c r="AS295" i="384"/>
  <c r="AR295" i="384"/>
  <c r="AQ295" i="384"/>
  <c r="AP295" i="384"/>
  <c r="BN294" i="384"/>
  <c r="BM294" i="384"/>
  <c r="BL294" i="384"/>
  <c r="BK294" i="384"/>
  <c r="BJ294" i="384"/>
  <c r="BI294" i="384"/>
  <c r="BH294" i="384"/>
  <c r="BG294" i="384"/>
  <c r="BF294" i="384"/>
  <c r="BE294" i="384"/>
  <c r="BD294" i="384"/>
  <c r="BC294" i="384"/>
  <c r="BB294" i="384"/>
  <c r="BA294" i="384"/>
  <c r="AZ294" i="384"/>
  <c r="AY294" i="384"/>
  <c r="AW294" i="384"/>
  <c r="AV294" i="384"/>
  <c r="AU294" i="384"/>
  <c r="AT294" i="384"/>
  <c r="AS294" i="384"/>
  <c r="AR294" i="384"/>
  <c r="AQ294" i="384"/>
  <c r="AP294" i="384"/>
  <c r="BN293" i="384"/>
  <c r="BM293" i="384"/>
  <c r="BL293" i="384"/>
  <c r="BK293" i="384"/>
  <c r="BJ293" i="384"/>
  <c r="BI293" i="384"/>
  <c r="BH293" i="384"/>
  <c r="BG293" i="384"/>
  <c r="BF293" i="384"/>
  <c r="BE293" i="384"/>
  <c r="BD293" i="384"/>
  <c r="BC293" i="384"/>
  <c r="BB293" i="384"/>
  <c r="BA293" i="384"/>
  <c r="AZ293" i="384"/>
  <c r="AW293" i="384"/>
  <c r="AV293" i="384"/>
  <c r="AU293" i="384"/>
  <c r="AT293" i="384"/>
  <c r="AS293" i="384"/>
  <c r="AR293" i="384"/>
  <c r="AQ293" i="384"/>
  <c r="AP293" i="384"/>
  <c r="BN292" i="384"/>
  <c r="BL292" i="384"/>
  <c r="BK292" i="384"/>
  <c r="BJ292" i="384"/>
  <c r="BM292" i="384" s="1"/>
  <c r="BI292" i="384"/>
  <c r="BH292" i="384"/>
  <c r="BG292" i="384"/>
  <c r="BF292" i="384"/>
  <c r="BE292" i="384"/>
  <c r="BD292" i="384"/>
  <c r="BC292" i="384"/>
  <c r="BB292" i="384"/>
  <c r="BA292" i="384"/>
  <c r="AZ292" i="384"/>
  <c r="AY292" i="384"/>
  <c r="AW292" i="384"/>
  <c r="AV292" i="384"/>
  <c r="AU292" i="384"/>
  <c r="AT292" i="384"/>
  <c r="AS292" i="384"/>
  <c r="AR292" i="384"/>
  <c r="AQ292" i="384"/>
  <c r="AP292" i="384"/>
  <c r="AO291" i="384"/>
  <c r="AN291" i="384"/>
  <c r="AM291" i="384"/>
  <c r="AL291" i="384"/>
  <c r="AK291" i="384"/>
  <c r="AJ291" i="384"/>
  <c r="AI291" i="384"/>
  <c r="AH291" i="384"/>
  <c r="AG291" i="384"/>
  <c r="AF291" i="384"/>
  <c r="AE291" i="384"/>
  <c r="AD291" i="384"/>
  <c r="AC291" i="384"/>
  <c r="AB291" i="384"/>
  <c r="AA291" i="384"/>
  <c r="Z291" i="384"/>
  <c r="Y291" i="384"/>
  <c r="X291" i="384"/>
  <c r="W291" i="384"/>
  <c r="V291" i="384"/>
  <c r="U291" i="384"/>
  <c r="T291" i="384"/>
  <c r="S291" i="384"/>
  <c r="R291" i="384"/>
  <c r="Q291" i="384"/>
  <c r="P291" i="384"/>
  <c r="O291" i="384"/>
  <c r="N291" i="384"/>
  <c r="M291" i="384"/>
  <c r="L291" i="384"/>
  <c r="BN290" i="384"/>
  <c r="BK290" i="384"/>
  <c r="BJ290" i="384"/>
  <c r="BM290" i="384" s="1"/>
  <c r="BI290" i="384"/>
  <c r="BH290" i="384"/>
  <c r="BG290" i="384"/>
  <c r="BF290" i="384"/>
  <c r="BE290" i="384"/>
  <c r="BD290" i="384"/>
  <c r="BC290" i="384"/>
  <c r="BB290" i="384"/>
  <c r="BA290" i="384"/>
  <c r="AZ290" i="384"/>
  <c r="AY290" i="384"/>
  <c r="BL290" i="384" s="1"/>
  <c r="AX290" i="384"/>
  <c r="AW290" i="384"/>
  <c r="AV290" i="384"/>
  <c r="AU290" i="384"/>
  <c r="AT290" i="384"/>
  <c r="AS290" i="384"/>
  <c r="AR290" i="384"/>
  <c r="AQ290" i="384"/>
  <c r="AP290" i="384"/>
  <c r="BN289" i="384"/>
  <c r="BL289" i="384"/>
  <c r="BK289" i="384"/>
  <c r="BJ289" i="384"/>
  <c r="BM289" i="384" s="1"/>
  <c r="BI289" i="384"/>
  <c r="BH289" i="384"/>
  <c r="BG289" i="384"/>
  <c r="BF289" i="384"/>
  <c r="BE289" i="384"/>
  <c r="BD289" i="384"/>
  <c r="BC289" i="384"/>
  <c r="BB289" i="384"/>
  <c r="BA289" i="384"/>
  <c r="AZ289" i="384"/>
  <c r="AY289" i="384"/>
  <c r="AX289" i="384"/>
  <c r="AW289" i="384"/>
  <c r="AV289" i="384"/>
  <c r="AU289" i="384"/>
  <c r="AT289" i="384"/>
  <c r="AS289" i="384"/>
  <c r="AR289" i="384"/>
  <c r="AQ289" i="384"/>
  <c r="AP289" i="384"/>
  <c r="BN288" i="384"/>
  <c r="BL288" i="384"/>
  <c r="BK288" i="384"/>
  <c r="BJ288" i="384"/>
  <c r="BM288" i="384" s="1"/>
  <c r="BI288" i="384"/>
  <c r="BH288" i="384"/>
  <c r="BG288" i="384"/>
  <c r="BF288" i="384"/>
  <c r="BE288" i="384"/>
  <c r="BD288" i="384"/>
  <c r="BC288" i="384"/>
  <c r="BB288" i="384"/>
  <c r="BA288" i="384"/>
  <c r="AZ288" i="384"/>
  <c r="AY288" i="384"/>
  <c r="AW288" i="384"/>
  <c r="AV288" i="384"/>
  <c r="AU288" i="384"/>
  <c r="AT288" i="384"/>
  <c r="AS288" i="384"/>
  <c r="AR288" i="384"/>
  <c r="AQ288" i="384"/>
  <c r="AP288" i="384"/>
  <c r="BN287" i="384"/>
  <c r="BL287" i="384"/>
  <c r="BK287" i="384"/>
  <c r="BJ287" i="384"/>
  <c r="BM287" i="384" s="1"/>
  <c r="BI287" i="384"/>
  <c r="BH287" i="384"/>
  <c r="BG287" i="384"/>
  <c r="BF287" i="384"/>
  <c r="BE287" i="384"/>
  <c r="BD287" i="384"/>
  <c r="BC287" i="384"/>
  <c r="BB287" i="384"/>
  <c r="BA287" i="384"/>
  <c r="AZ287" i="384"/>
  <c r="AY287" i="384"/>
  <c r="AW287" i="384"/>
  <c r="AV287" i="384"/>
  <c r="AU287" i="384"/>
  <c r="AT287" i="384"/>
  <c r="AS287" i="384"/>
  <c r="AR287" i="384"/>
  <c r="AQ287" i="384"/>
  <c r="AP287" i="384"/>
  <c r="BN286" i="384"/>
  <c r="BL286" i="384"/>
  <c r="BK286" i="384"/>
  <c r="BJ286" i="384"/>
  <c r="BM286" i="384" s="1"/>
  <c r="BI286" i="384"/>
  <c r="BH286" i="384"/>
  <c r="BG286" i="384"/>
  <c r="BF286" i="384"/>
  <c r="BE286" i="384"/>
  <c r="BD286" i="384"/>
  <c r="BC286" i="384"/>
  <c r="BB286" i="384"/>
  <c r="BA286" i="384"/>
  <c r="AZ286" i="384"/>
  <c r="AY286" i="384"/>
  <c r="AW286" i="384"/>
  <c r="AV286" i="384"/>
  <c r="AU286" i="384"/>
  <c r="AT286" i="384"/>
  <c r="AS286" i="384"/>
  <c r="AR286" i="384"/>
  <c r="AQ286" i="384"/>
  <c r="AP286" i="384"/>
  <c r="BN285" i="384"/>
  <c r="BL285" i="384"/>
  <c r="BK285" i="384"/>
  <c r="BJ285" i="384"/>
  <c r="BM285" i="384" s="1"/>
  <c r="BI285" i="384"/>
  <c r="BH285" i="384"/>
  <c r="BG285" i="384"/>
  <c r="BF285" i="384"/>
  <c r="BE285" i="384"/>
  <c r="BD285" i="384"/>
  <c r="BC285" i="384"/>
  <c r="BB285" i="384"/>
  <c r="BA285" i="384"/>
  <c r="AZ285" i="384"/>
  <c r="AY285" i="384"/>
  <c r="AX285" i="384"/>
  <c r="AW285" i="384"/>
  <c r="AV285" i="384"/>
  <c r="AU285" i="384"/>
  <c r="AT285" i="384"/>
  <c r="AS285" i="384"/>
  <c r="AR285" i="384"/>
  <c r="AQ285" i="384"/>
  <c r="AP285" i="384"/>
  <c r="BN284" i="384"/>
  <c r="BM284" i="384"/>
  <c r="BL284" i="384"/>
  <c r="BK284" i="384"/>
  <c r="BJ284" i="384"/>
  <c r="BI284" i="384"/>
  <c r="BH284" i="384"/>
  <c r="BG284" i="384"/>
  <c r="BF284" i="384"/>
  <c r="BE284" i="384"/>
  <c r="BD284" i="384"/>
  <c r="BC284" i="384"/>
  <c r="BB284" i="384"/>
  <c r="BA284" i="384"/>
  <c r="AZ284" i="384"/>
  <c r="AY284" i="384"/>
  <c r="AW284" i="384"/>
  <c r="AV284" i="384"/>
  <c r="AU284" i="384"/>
  <c r="AT284" i="384"/>
  <c r="AS284" i="384"/>
  <c r="AR284" i="384"/>
  <c r="AQ284" i="384"/>
  <c r="AP284" i="384"/>
  <c r="BN283" i="384"/>
  <c r="BM283" i="384"/>
  <c r="BL283" i="384"/>
  <c r="BK283" i="384"/>
  <c r="BJ283" i="384"/>
  <c r="BI283" i="384"/>
  <c r="BH283" i="384"/>
  <c r="BG283" i="384"/>
  <c r="BF283" i="384"/>
  <c r="BE283" i="384"/>
  <c r="BD283" i="384"/>
  <c r="BC283" i="384"/>
  <c r="BB283" i="384"/>
  <c r="BA283" i="384"/>
  <c r="AZ283" i="384"/>
  <c r="AY283" i="384"/>
  <c r="AW283" i="384"/>
  <c r="AV283" i="384"/>
  <c r="AU283" i="384"/>
  <c r="AT283" i="384"/>
  <c r="AS283" i="384"/>
  <c r="AR283" i="384"/>
  <c r="AQ283" i="384"/>
  <c r="AP283" i="384"/>
  <c r="BN282" i="384"/>
  <c r="BM282" i="384"/>
  <c r="BL282" i="384"/>
  <c r="BK282" i="384"/>
  <c r="BJ282" i="384"/>
  <c r="BI282" i="384"/>
  <c r="BH282" i="384"/>
  <c r="BG282" i="384"/>
  <c r="BF282" i="384"/>
  <c r="BE282" i="384"/>
  <c r="BD282" i="384"/>
  <c r="BC282" i="384"/>
  <c r="BB282" i="384"/>
  <c r="BA282" i="384"/>
  <c r="AZ282" i="384"/>
  <c r="AY282" i="384"/>
  <c r="AW282" i="384"/>
  <c r="AV282" i="384"/>
  <c r="AU282" i="384"/>
  <c r="AT282" i="384"/>
  <c r="AS282" i="384"/>
  <c r="AR282" i="384"/>
  <c r="AQ282" i="384"/>
  <c r="AP282" i="384"/>
  <c r="BN281" i="384"/>
  <c r="BM281" i="384"/>
  <c r="BL281" i="384"/>
  <c r="BK281" i="384"/>
  <c r="BJ281" i="384"/>
  <c r="BI281" i="384"/>
  <c r="BH281" i="384"/>
  <c r="BG281" i="384"/>
  <c r="BF281" i="384"/>
  <c r="BE281" i="384"/>
  <c r="BD281" i="384"/>
  <c r="BC281" i="384"/>
  <c r="BB281" i="384"/>
  <c r="BA281" i="384"/>
  <c r="AZ281" i="384"/>
  <c r="AW281" i="384"/>
  <c r="AV281" i="384"/>
  <c r="AU281" i="384"/>
  <c r="AT281" i="384"/>
  <c r="AS281" i="384"/>
  <c r="AR281" i="384"/>
  <c r="AQ281" i="384"/>
  <c r="AP281" i="384"/>
  <c r="BN280" i="384"/>
  <c r="BL280" i="384"/>
  <c r="BK280" i="384"/>
  <c r="BJ280" i="384"/>
  <c r="BM280" i="384" s="1"/>
  <c r="BI280" i="384"/>
  <c r="BH280" i="384"/>
  <c r="BG280" i="384"/>
  <c r="BF280" i="384"/>
  <c r="BE280" i="384"/>
  <c r="BD280" i="384"/>
  <c r="BC280" i="384"/>
  <c r="BB280" i="384"/>
  <c r="BA280" i="384"/>
  <c r="AZ280" i="384"/>
  <c r="AW280" i="384"/>
  <c r="AV280" i="384"/>
  <c r="AU280" i="384"/>
  <c r="AT280" i="384"/>
  <c r="AS280" i="384"/>
  <c r="AR280" i="384"/>
  <c r="AQ280" i="384"/>
  <c r="AP280" i="384"/>
  <c r="BN279" i="384"/>
  <c r="BL279" i="384"/>
  <c r="BK279" i="384"/>
  <c r="BJ279" i="384"/>
  <c r="BM279" i="384" s="1"/>
  <c r="BI279" i="384"/>
  <c r="BH279" i="384"/>
  <c r="BG279" i="384"/>
  <c r="BF279" i="384"/>
  <c r="BE279" i="384"/>
  <c r="BD279" i="384"/>
  <c r="BC279" i="384"/>
  <c r="BB279" i="384"/>
  <c r="BA279" i="384"/>
  <c r="AZ279" i="384"/>
  <c r="AY279" i="384"/>
  <c r="AW279" i="384"/>
  <c r="AV279" i="384"/>
  <c r="AU279" i="384"/>
  <c r="AT279" i="384"/>
  <c r="AS279" i="384"/>
  <c r="AR279" i="384"/>
  <c r="AQ279" i="384"/>
  <c r="AP279" i="384"/>
  <c r="BN278" i="384"/>
  <c r="BL278" i="384"/>
  <c r="BK278" i="384"/>
  <c r="BJ278" i="384"/>
  <c r="BM278" i="384" s="1"/>
  <c r="BI278" i="384"/>
  <c r="BH278" i="384"/>
  <c r="BG278" i="384"/>
  <c r="BF278" i="384"/>
  <c r="BE278" i="384"/>
  <c r="BD278" i="384"/>
  <c r="BC278" i="384"/>
  <c r="BB278" i="384"/>
  <c r="BA278" i="384"/>
  <c r="AZ278" i="384"/>
  <c r="AY278" i="384"/>
  <c r="AW278" i="384"/>
  <c r="AV278" i="384"/>
  <c r="AU278" i="384"/>
  <c r="AT278" i="384"/>
  <c r="AS278" i="384"/>
  <c r="AR278" i="384"/>
  <c r="AQ278" i="384"/>
  <c r="AP278" i="384"/>
  <c r="AO277" i="384"/>
  <c r="AN277" i="384"/>
  <c r="AM277" i="384"/>
  <c r="AL277" i="384"/>
  <c r="AK277" i="384"/>
  <c r="AJ277" i="384"/>
  <c r="AI277" i="384"/>
  <c r="AH277" i="384"/>
  <c r="AG277" i="384"/>
  <c r="AF277" i="384"/>
  <c r="AE277" i="384"/>
  <c r="AD277" i="384"/>
  <c r="AC277" i="384"/>
  <c r="AB277" i="384"/>
  <c r="AA277" i="384"/>
  <c r="Z277" i="384"/>
  <c r="Y277" i="384"/>
  <c r="X277" i="384"/>
  <c r="W277" i="384"/>
  <c r="V277" i="384"/>
  <c r="U277" i="384"/>
  <c r="T277" i="384"/>
  <c r="S277" i="384"/>
  <c r="R277" i="384"/>
  <c r="Q277" i="384"/>
  <c r="P277" i="384"/>
  <c r="O277" i="384"/>
  <c r="N277" i="384"/>
  <c r="M277" i="384"/>
  <c r="L277" i="384"/>
  <c r="BN276" i="384"/>
  <c r="BK276" i="384"/>
  <c r="BJ276" i="384"/>
  <c r="BM276" i="384" s="1"/>
  <c r="BI276" i="384"/>
  <c r="BH276" i="384"/>
  <c r="BG276" i="384"/>
  <c r="BF276" i="384"/>
  <c r="BE276" i="384"/>
  <c r="BD276" i="384"/>
  <c r="BC276" i="384"/>
  <c r="BB276" i="384"/>
  <c r="BA276" i="384"/>
  <c r="AZ276" i="384"/>
  <c r="AY276" i="384"/>
  <c r="BL276" i="384" s="1"/>
  <c r="AW276" i="384"/>
  <c r="AV276" i="384"/>
  <c r="AU276" i="384"/>
  <c r="AT276" i="384"/>
  <c r="AS276" i="384"/>
  <c r="AR276" i="384"/>
  <c r="AQ276" i="384"/>
  <c r="AP276" i="384"/>
  <c r="BN275" i="384"/>
  <c r="BL275" i="384"/>
  <c r="BK275" i="384"/>
  <c r="BJ275" i="384"/>
  <c r="BM275" i="384" s="1"/>
  <c r="BI275" i="384"/>
  <c r="BH275" i="384"/>
  <c r="BG275" i="384"/>
  <c r="BF275" i="384"/>
  <c r="BE275" i="384"/>
  <c r="BD275" i="384"/>
  <c r="BC275" i="384"/>
  <c r="BB275" i="384"/>
  <c r="BA275" i="384"/>
  <c r="AZ275" i="384"/>
  <c r="AW275" i="384"/>
  <c r="AV275" i="384"/>
  <c r="AU275" i="384"/>
  <c r="AT275" i="384"/>
  <c r="AS275" i="384"/>
  <c r="AR275" i="384"/>
  <c r="AQ275" i="384"/>
  <c r="AP275" i="384"/>
  <c r="BN274" i="384"/>
  <c r="BM274" i="384"/>
  <c r="BL274" i="384"/>
  <c r="BK274" i="384"/>
  <c r="BJ274" i="384"/>
  <c r="BI274" i="384"/>
  <c r="BH274" i="384"/>
  <c r="BG274" i="384"/>
  <c r="BF274" i="384"/>
  <c r="BE274" i="384"/>
  <c r="BD274" i="384"/>
  <c r="BC274" i="384"/>
  <c r="BB274" i="384"/>
  <c r="BA274" i="384"/>
  <c r="AZ274" i="384"/>
  <c r="AW274" i="384"/>
  <c r="AV274" i="384"/>
  <c r="AU274" i="384"/>
  <c r="AT274" i="384"/>
  <c r="AS274" i="384"/>
  <c r="AR274" i="384"/>
  <c r="AQ274" i="384"/>
  <c r="AP274" i="384"/>
  <c r="BN273" i="384"/>
  <c r="BM273" i="384"/>
  <c r="BJ273" i="384"/>
  <c r="BI273" i="384"/>
  <c r="BH273" i="384"/>
  <c r="BG273" i="384"/>
  <c r="BF273" i="384"/>
  <c r="BE273" i="384"/>
  <c r="BD273" i="384"/>
  <c r="BC273" i="384"/>
  <c r="BB273" i="384"/>
  <c r="BA273" i="384"/>
  <c r="AZ273" i="384"/>
  <c r="AY273" i="384"/>
  <c r="BL273" i="384" s="1"/>
  <c r="AX273" i="384"/>
  <c r="BK273" i="384" s="1"/>
  <c r="AW273" i="384"/>
  <c r="AV273" i="384"/>
  <c r="AU273" i="384"/>
  <c r="AT273" i="384"/>
  <c r="AS273" i="384"/>
  <c r="AR273" i="384"/>
  <c r="AQ273" i="384"/>
  <c r="AP273" i="384"/>
  <c r="AO272" i="384"/>
  <c r="AN272" i="384"/>
  <c r="AM272" i="384"/>
  <c r="AL272" i="384"/>
  <c r="AK272" i="384"/>
  <c r="AJ272" i="384"/>
  <c r="AI272" i="384"/>
  <c r="AH272" i="384"/>
  <c r="AG272" i="384"/>
  <c r="AF272" i="384"/>
  <c r="AE272" i="384"/>
  <c r="AD272" i="384"/>
  <c r="AC272" i="384"/>
  <c r="AB272" i="384"/>
  <c r="AA272" i="384"/>
  <c r="Z272" i="384"/>
  <c r="Y272" i="384"/>
  <c r="X272" i="384"/>
  <c r="W272" i="384"/>
  <c r="V272" i="384"/>
  <c r="U272" i="384"/>
  <c r="T272" i="384"/>
  <c r="S272" i="384"/>
  <c r="R272" i="384"/>
  <c r="Q272" i="384"/>
  <c r="P272" i="384"/>
  <c r="O272" i="384"/>
  <c r="N272" i="384"/>
  <c r="M272" i="384"/>
  <c r="L272" i="384"/>
  <c r="BN271" i="384"/>
  <c r="BM271" i="384"/>
  <c r="BL271" i="384"/>
  <c r="BK271" i="384"/>
  <c r="BJ271" i="384"/>
  <c r="BI271" i="384"/>
  <c r="BH271" i="384"/>
  <c r="BG271" i="384"/>
  <c r="BF271" i="384"/>
  <c r="BE271" i="384"/>
  <c r="BD271" i="384"/>
  <c r="BC271" i="384"/>
  <c r="BB271" i="384"/>
  <c r="BA271" i="384"/>
  <c r="AZ271" i="384"/>
  <c r="AW271" i="384"/>
  <c r="AV271" i="384"/>
  <c r="AU271" i="384"/>
  <c r="AT271" i="384"/>
  <c r="AS271" i="384"/>
  <c r="AR271" i="384"/>
  <c r="AQ271" i="384"/>
  <c r="AP271" i="384"/>
  <c r="AO270" i="384"/>
  <c r="AN270" i="384"/>
  <c r="AM270" i="384"/>
  <c r="AL270" i="384"/>
  <c r="AK270" i="384"/>
  <c r="AJ270" i="384"/>
  <c r="AI270" i="384"/>
  <c r="AH270" i="384"/>
  <c r="AG270" i="384"/>
  <c r="AF270" i="384"/>
  <c r="AE270" i="384"/>
  <c r="AD270" i="384"/>
  <c r="AC270" i="384"/>
  <c r="AB270" i="384"/>
  <c r="AA270" i="384"/>
  <c r="Z270" i="384"/>
  <c r="Y270" i="384"/>
  <c r="X270" i="384"/>
  <c r="W270" i="384"/>
  <c r="V270" i="384"/>
  <c r="U270" i="384"/>
  <c r="T270" i="384"/>
  <c r="S270" i="384"/>
  <c r="R270" i="384"/>
  <c r="Q270" i="384"/>
  <c r="P270" i="384"/>
  <c r="O270" i="384"/>
  <c r="N270" i="384"/>
  <c r="M270" i="384"/>
  <c r="L270" i="384"/>
  <c r="BN269" i="384"/>
  <c r="BL269" i="384"/>
  <c r="BK269" i="384"/>
  <c r="BJ269" i="384"/>
  <c r="BM269" i="384" s="1"/>
  <c r="BI269" i="384"/>
  <c r="BH269" i="384"/>
  <c r="BG269" i="384"/>
  <c r="BF269" i="384"/>
  <c r="BE269" i="384"/>
  <c r="BD269" i="384"/>
  <c r="BC269" i="384"/>
  <c r="BB269" i="384"/>
  <c r="BA269" i="384"/>
  <c r="AZ269" i="384"/>
  <c r="AW269" i="384"/>
  <c r="AV269" i="384"/>
  <c r="AU269" i="384"/>
  <c r="AT269" i="384"/>
  <c r="AS269" i="384"/>
  <c r="AR269" i="384"/>
  <c r="AQ269" i="384"/>
  <c r="AP269" i="384"/>
  <c r="BN268" i="384"/>
  <c r="BL268" i="384"/>
  <c r="BK268" i="384"/>
  <c r="BJ268" i="384"/>
  <c r="BM268" i="384" s="1"/>
  <c r="BI268" i="384"/>
  <c r="BH268" i="384"/>
  <c r="BG268" i="384"/>
  <c r="BF268" i="384"/>
  <c r="BE268" i="384"/>
  <c r="BD268" i="384"/>
  <c r="BC268" i="384"/>
  <c r="BB268" i="384"/>
  <c r="BA268" i="384"/>
  <c r="AZ268" i="384"/>
  <c r="AW268" i="384"/>
  <c r="AV268" i="384"/>
  <c r="AU268" i="384"/>
  <c r="AT268" i="384"/>
  <c r="AS268" i="384"/>
  <c r="AR268" i="384"/>
  <c r="AQ268" i="384"/>
  <c r="AP268" i="384"/>
  <c r="BN267" i="384"/>
  <c r="BJ267" i="384"/>
  <c r="BM267" i="384" s="1"/>
  <c r="BI267" i="384"/>
  <c r="BH267" i="384"/>
  <c r="BG267" i="384"/>
  <c r="BF267" i="384"/>
  <c r="BE267" i="384"/>
  <c r="BD267" i="384"/>
  <c r="BC267" i="384"/>
  <c r="BB267" i="384"/>
  <c r="BA267" i="384"/>
  <c r="AZ267" i="384"/>
  <c r="AY267" i="384"/>
  <c r="BL267" i="384" s="1"/>
  <c r="AX267" i="384"/>
  <c r="BK267" i="384" s="1"/>
  <c r="AW267" i="384"/>
  <c r="AV267" i="384"/>
  <c r="AU267" i="384"/>
  <c r="AT267" i="384"/>
  <c r="AS267" i="384"/>
  <c r="AR267" i="384"/>
  <c r="AQ267" i="384"/>
  <c r="AP267" i="384"/>
  <c r="BN266" i="384"/>
  <c r="BK266" i="384"/>
  <c r="BJ266" i="384"/>
  <c r="BM266" i="384" s="1"/>
  <c r="BI266" i="384"/>
  <c r="BH266" i="384"/>
  <c r="BG266" i="384"/>
  <c r="BF266" i="384"/>
  <c r="BE266" i="384"/>
  <c r="BD266" i="384"/>
  <c r="BC266" i="384"/>
  <c r="BB266" i="384"/>
  <c r="BA266" i="384"/>
  <c r="AZ266" i="384"/>
  <c r="AY266" i="384"/>
  <c r="BL266" i="384" s="1"/>
  <c r="AX266" i="384"/>
  <c r="AW266" i="384"/>
  <c r="AV266" i="384"/>
  <c r="AU266" i="384"/>
  <c r="AT266" i="384"/>
  <c r="AS266" i="384"/>
  <c r="AR266" i="384"/>
  <c r="AQ266" i="384"/>
  <c r="AP266" i="384"/>
  <c r="BN265" i="384"/>
  <c r="BL265" i="384"/>
  <c r="BK265" i="384"/>
  <c r="BJ265" i="384"/>
  <c r="BM265" i="384" s="1"/>
  <c r="BI265" i="384"/>
  <c r="BH265" i="384"/>
  <c r="BG265" i="384"/>
  <c r="BF265" i="384"/>
  <c r="BE265" i="384"/>
  <c r="BD265" i="384"/>
  <c r="BC265" i="384"/>
  <c r="BB265" i="384"/>
  <c r="BA265" i="384"/>
  <c r="AZ265" i="384"/>
  <c r="AY265" i="384"/>
  <c r="AW265" i="384"/>
  <c r="AV265" i="384"/>
  <c r="AU265" i="384"/>
  <c r="AT265" i="384"/>
  <c r="AS265" i="384"/>
  <c r="AR265" i="384"/>
  <c r="AQ265" i="384"/>
  <c r="AP265" i="384"/>
  <c r="BN264" i="384"/>
  <c r="BL264" i="384"/>
  <c r="BK264" i="384"/>
  <c r="BJ264" i="384"/>
  <c r="BM264" i="384" s="1"/>
  <c r="BI264" i="384"/>
  <c r="BH264" i="384"/>
  <c r="BG264" i="384"/>
  <c r="BF264" i="384"/>
  <c r="BE264" i="384"/>
  <c r="BD264" i="384"/>
  <c r="BC264" i="384"/>
  <c r="BB264" i="384"/>
  <c r="BA264" i="384"/>
  <c r="AZ264" i="384"/>
  <c r="AW264" i="384"/>
  <c r="AV264" i="384"/>
  <c r="AU264" i="384"/>
  <c r="AT264" i="384"/>
  <c r="AS264" i="384"/>
  <c r="AR264" i="384"/>
  <c r="AQ264" i="384"/>
  <c r="AP264" i="384"/>
  <c r="BN263" i="384"/>
  <c r="BK263" i="384"/>
  <c r="BJ263" i="384"/>
  <c r="BM263" i="384" s="1"/>
  <c r="BI263" i="384"/>
  <c r="BH263" i="384"/>
  <c r="BG263" i="384"/>
  <c r="BF263" i="384"/>
  <c r="BE263" i="384"/>
  <c r="BD263" i="384"/>
  <c r="BC263" i="384"/>
  <c r="BB263" i="384"/>
  <c r="BA263" i="384"/>
  <c r="AZ263" i="384"/>
  <c r="AY263" i="384"/>
  <c r="BL263" i="384" s="1"/>
  <c r="AX263" i="384"/>
  <c r="AW263" i="384"/>
  <c r="AV263" i="384"/>
  <c r="AU263" i="384"/>
  <c r="AT263" i="384"/>
  <c r="AS263" i="384"/>
  <c r="AR263" i="384"/>
  <c r="AQ263" i="384"/>
  <c r="AP263" i="384"/>
  <c r="BN262" i="384"/>
  <c r="BL262" i="384"/>
  <c r="BK262" i="384"/>
  <c r="BJ262" i="384"/>
  <c r="BM262" i="384" s="1"/>
  <c r="BI262" i="384"/>
  <c r="BH262" i="384"/>
  <c r="BG262" i="384"/>
  <c r="BF262" i="384"/>
  <c r="BE262" i="384"/>
  <c r="BD262" i="384"/>
  <c r="BC262" i="384"/>
  <c r="BB262" i="384"/>
  <c r="BA262" i="384"/>
  <c r="AZ262" i="384"/>
  <c r="AW262" i="384"/>
  <c r="AV262" i="384"/>
  <c r="AU262" i="384"/>
  <c r="AT262" i="384"/>
  <c r="AS262" i="384"/>
  <c r="AR262" i="384"/>
  <c r="AQ262" i="384"/>
  <c r="AP262" i="384"/>
  <c r="BN261" i="384"/>
  <c r="BL261" i="384"/>
  <c r="BK261" i="384"/>
  <c r="BJ261" i="384"/>
  <c r="BM261" i="384" s="1"/>
  <c r="BI261" i="384"/>
  <c r="BH261" i="384"/>
  <c r="BG261" i="384"/>
  <c r="BF261" i="384"/>
  <c r="BE261" i="384"/>
  <c r="BD261" i="384"/>
  <c r="BC261" i="384"/>
  <c r="BB261" i="384"/>
  <c r="BA261" i="384"/>
  <c r="AZ261" i="384"/>
  <c r="AW261" i="384"/>
  <c r="AV261" i="384"/>
  <c r="AU261" i="384"/>
  <c r="AT261" i="384"/>
  <c r="AS261" i="384"/>
  <c r="AR261" i="384"/>
  <c r="AQ261" i="384"/>
  <c r="AP261" i="384"/>
  <c r="BN260" i="384"/>
  <c r="BJ260" i="384"/>
  <c r="BM260" i="384" s="1"/>
  <c r="BI260" i="384"/>
  <c r="BH260" i="384"/>
  <c r="BG260" i="384"/>
  <c r="BF260" i="384"/>
  <c r="BE260" i="384"/>
  <c r="BD260" i="384"/>
  <c r="BC260" i="384"/>
  <c r="BB260" i="384"/>
  <c r="BA260" i="384"/>
  <c r="AZ260" i="384"/>
  <c r="AY260" i="384"/>
  <c r="BL260" i="384" s="1"/>
  <c r="AX260" i="384"/>
  <c r="BK260" i="384" s="1"/>
  <c r="AW260" i="384"/>
  <c r="AV260" i="384"/>
  <c r="AU260" i="384"/>
  <c r="AT260" i="384"/>
  <c r="AS260" i="384"/>
  <c r="AR260" i="384"/>
  <c r="AQ260" i="384"/>
  <c r="AP260" i="384"/>
  <c r="BN259" i="384"/>
  <c r="BL259" i="384"/>
  <c r="BK259" i="384"/>
  <c r="BJ259" i="384"/>
  <c r="BM259" i="384" s="1"/>
  <c r="BI259" i="384"/>
  <c r="BH259" i="384"/>
  <c r="BG259" i="384"/>
  <c r="BF259" i="384"/>
  <c r="BE259" i="384"/>
  <c r="BD259" i="384"/>
  <c r="BC259" i="384"/>
  <c r="BB259" i="384"/>
  <c r="BA259" i="384"/>
  <c r="AZ259" i="384"/>
  <c r="AW259" i="384"/>
  <c r="AV259" i="384"/>
  <c r="AU259" i="384"/>
  <c r="AT259" i="384"/>
  <c r="AS259" i="384"/>
  <c r="AR259" i="384"/>
  <c r="AQ259" i="384"/>
  <c r="AP259" i="384"/>
  <c r="BN258" i="384"/>
  <c r="BL258" i="384"/>
  <c r="BK258" i="384"/>
  <c r="BJ258" i="384"/>
  <c r="BM258" i="384" s="1"/>
  <c r="BI258" i="384"/>
  <c r="BH258" i="384"/>
  <c r="BG258" i="384"/>
  <c r="BF258" i="384"/>
  <c r="BE258" i="384"/>
  <c r="BD258" i="384"/>
  <c r="BC258" i="384"/>
  <c r="BB258" i="384"/>
  <c r="BA258" i="384"/>
  <c r="AZ258" i="384"/>
  <c r="AW258" i="384"/>
  <c r="AV258" i="384"/>
  <c r="AU258" i="384"/>
  <c r="AT258" i="384"/>
  <c r="AS258" i="384"/>
  <c r="AR258" i="384"/>
  <c r="AQ258" i="384"/>
  <c r="AP258" i="384"/>
  <c r="BN257" i="384"/>
  <c r="BM257" i="384"/>
  <c r="BK257" i="384"/>
  <c r="BJ257" i="384"/>
  <c r="BI257" i="384"/>
  <c r="BH257" i="384"/>
  <c r="BG257" i="384"/>
  <c r="BF257" i="384"/>
  <c r="BE257" i="384"/>
  <c r="BD257" i="384"/>
  <c r="BC257" i="384"/>
  <c r="BB257" i="384"/>
  <c r="BA257" i="384"/>
  <c r="AZ257" i="384"/>
  <c r="AY257" i="384"/>
  <c r="BL257" i="384" s="1"/>
  <c r="AW257" i="384"/>
  <c r="AV257" i="384"/>
  <c r="AU257" i="384"/>
  <c r="AT257" i="384"/>
  <c r="AS257" i="384"/>
  <c r="AR257" i="384"/>
  <c r="AQ257" i="384"/>
  <c r="AP257" i="384"/>
  <c r="AO256" i="384"/>
  <c r="AN256" i="384"/>
  <c r="AM256" i="384"/>
  <c r="AL256" i="384"/>
  <c r="AK256" i="384"/>
  <c r="AJ256" i="384"/>
  <c r="AI256" i="384"/>
  <c r="AH256" i="384"/>
  <c r="AG256" i="384"/>
  <c r="AF256" i="384"/>
  <c r="AE256" i="384"/>
  <c r="AD256" i="384"/>
  <c r="AC256" i="384"/>
  <c r="AB256" i="384"/>
  <c r="AA256" i="384"/>
  <c r="Z256" i="384"/>
  <c r="Y256" i="384"/>
  <c r="X256" i="384"/>
  <c r="W256" i="384"/>
  <c r="V256" i="384"/>
  <c r="U256" i="384"/>
  <c r="T256" i="384"/>
  <c r="S256" i="384"/>
  <c r="R256" i="384"/>
  <c r="Q256" i="384"/>
  <c r="P256" i="384"/>
  <c r="O256" i="384"/>
  <c r="N256" i="384"/>
  <c r="M256" i="384"/>
  <c r="L256" i="384"/>
  <c r="BN255" i="384"/>
  <c r="BL255" i="384"/>
  <c r="BK255" i="384"/>
  <c r="BJ255" i="384"/>
  <c r="BM255" i="384" s="1"/>
  <c r="BI255" i="384"/>
  <c r="BH255" i="384"/>
  <c r="BG255" i="384"/>
  <c r="BF255" i="384"/>
  <c r="BE255" i="384"/>
  <c r="BD255" i="384"/>
  <c r="BC255" i="384"/>
  <c r="BB255" i="384"/>
  <c r="BA255" i="384"/>
  <c r="AZ255" i="384"/>
  <c r="AY255" i="384"/>
  <c r="AW255" i="384"/>
  <c r="AV255" i="384"/>
  <c r="AU255" i="384"/>
  <c r="AT255" i="384"/>
  <c r="AS255" i="384"/>
  <c r="AR255" i="384"/>
  <c r="AQ255" i="384"/>
  <c r="AP255" i="384"/>
  <c r="BN254" i="384"/>
  <c r="BL254" i="384"/>
  <c r="BK254" i="384"/>
  <c r="BJ254" i="384"/>
  <c r="BM254" i="384" s="1"/>
  <c r="BI254" i="384"/>
  <c r="BH254" i="384"/>
  <c r="BG254" i="384"/>
  <c r="BF254" i="384"/>
  <c r="BE254" i="384"/>
  <c r="BD254" i="384"/>
  <c r="BC254" i="384"/>
  <c r="BB254" i="384"/>
  <c r="BA254" i="384"/>
  <c r="AZ254" i="384"/>
  <c r="AW254" i="384"/>
  <c r="AV254" i="384"/>
  <c r="AU254" i="384"/>
  <c r="AT254" i="384"/>
  <c r="AS254" i="384"/>
  <c r="AR254" i="384"/>
  <c r="AQ254" i="384"/>
  <c r="AP254" i="384"/>
  <c r="BN253" i="384"/>
  <c r="BM253" i="384"/>
  <c r="BL253" i="384"/>
  <c r="BK253" i="384"/>
  <c r="BJ253" i="384"/>
  <c r="BI253" i="384"/>
  <c r="BH253" i="384"/>
  <c r="BG253" i="384"/>
  <c r="BF253" i="384"/>
  <c r="BE253" i="384"/>
  <c r="BD253" i="384"/>
  <c r="BC253" i="384"/>
  <c r="BB253" i="384"/>
  <c r="BA253" i="384"/>
  <c r="AZ253" i="384"/>
  <c r="AY253" i="384"/>
  <c r="AW253" i="384"/>
  <c r="AV253" i="384"/>
  <c r="AU253" i="384"/>
  <c r="AT253" i="384"/>
  <c r="AS253" i="384"/>
  <c r="AR253" i="384"/>
  <c r="AQ253" i="384"/>
  <c r="AP253" i="384"/>
  <c r="BN252" i="384"/>
  <c r="BM252" i="384"/>
  <c r="BL252" i="384"/>
  <c r="BK252" i="384"/>
  <c r="BJ252" i="384"/>
  <c r="BI252" i="384"/>
  <c r="BH252" i="384"/>
  <c r="BG252" i="384"/>
  <c r="BF252" i="384"/>
  <c r="BE252" i="384"/>
  <c r="BD252" i="384"/>
  <c r="BC252" i="384"/>
  <c r="BB252" i="384"/>
  <c r="BA252" i="384"/>
  <c r="AZ252" i="384"/>
  <c r="AY252" i="384"/>
  <c r="AW252" i="384"/>
  <c r="AV252" i="384"/>
  <c r="AU252" i="384"/>
  <c r="AT252" i="384"/>
  <c r="AS252" i="384"/>
  <c r="AR252" i="384"/>
  <c r="AQ252" i="384"/>
  <c r="AP252" i="384"/>
  <c r="BN251" i="384"/>
  <c r="BM251" i="384"/>
  <c r="BL251" i="384"/>
  <c r="BK251" i="384"/>
  <c r="BJ251" i="384"/>
  <c r="BI251" i="384"/>
  <c r="BH251" i="384"/>
  <c r="BG251" i="384"/>
  <c r="BF251" i="384"/>
  <c r="BE251" i="384"/>
  <c r="BD251" i="384"/>
  <c r="BC251" i="384"/>
  <c r="BB251" i="384"/>
  <c r="BA251" i="384"/>
  <c r="AZ251" i="384"/>
  <c r="AW251" i="384"/>
  <c r="AV251" i="384"/>
  <c r="AU251" i="384"/>
  <c r="AT251" i="384"/>
  <c r="AS251" i="384"/>
  <c r="AR251" i="384"/>
  <c r="AQ251" i="384"/>
  <c r="AP251" i="384"/>
  <c r="BN250" i="384"/>
  <c r="BL250" i="384"/>
  <c r="BK250" i="384"/>
  <c r="BJ250" i="384"/>
  <c r="BM250" i="384" s="1"/>
  <c r="BI250" i="384"/>
  <c r="BH250" i="384"/>
  <c r="BG250" i="384"/>
  <c r="BF250" i="384"/>
  <c r="BE250" i="384"/>
  <c r="BD250" i="384"/>
  <c r="BC250" i="384"/>
  <c r="BB250" i="384"/>
  <c r="BA250" i="384"/>
  <c r="AZ250" i="384"/>
  <c r="AY250" i="384"/>
  <c r="AW250" i="384"/>
  <c r="AV250" i="384"/>
  <c r="AU250" i="384"/>
  <c r="AT250" i="384"/>
  <c r="AS250" i="384"/>
  <c r="AR250" i="384"/>
  <c r="AQ250" i="384"/>
  <c r="AP250" i="384"/>
  <c r="BN249" i="384"/>
  <c r="BL249" i="384"/>
  <c r="BK249" i="384"/>
  <c r="BJ249" i="384"/>
  <c r="BM249" i="384" s="1"/>
  <c r="BI249" i="384"/>
  <c r="BH249" i="384"/>
  <c r="BG249" i="384"/>
  <c r="BF249" i="384"/>
  <c r="BE249" i="384"/>
  <c r="BD249" i="384"/>
  <c r="BC249" i="384"/>
  <c r="BB249" i="384"/>
  <c r="BA249" i="384"/>
  <c r="AZ249" i="384"/>
  <c r="AW249" i="384"/>
  <c r="AV249" i="384"/>
  <c r="AU249" i="384"/>
  <c r="AT249" i="384"/>
  <c r="AS249" i="384"/>
  <c r="AR249" i="384"/>
  <c r="AQ249" i="384"/>
  <c r="AP249" i="384"/>
  <c r="BN248" i="384"/>
  <c r="BL248" i="384"/>
  <c r="BK248" i="384"/>
  <c r="BJ248" i="384"/>
  <c r="BM248" i="384" s="1"/>
  <c r="BI248" i="384"/>
  <c r="BH248" i="384"/>
  <c r="BG248" i="384"/>
  <c r="BF248" i="384"/>
  <c r="BE248" i="384"/>
  <c r="BD248" i="384"/>
  <c r="BC248" i="384"/>
  <c r="BB248" i="384"/>
  <c r="BA248" i="384"/>
  <c r="AZ248" i="384"/>
  <c r="AW248" i="384"/>
  <c r="AV248" i="384"/>
  <c r="AU248" i="384"/>
  <c r="AT248" i="384"/>
  <c r="AS248" i="384"/>
  <c r="AR248" i="384"/>
  <c r="AQ248" i="384"/>
  <c r="AP248" i="384"/>
  <c r="AO247" i="384"/>
  <c r="AN247" i="384"/>
  <c r="AM247" i="384"/>
  <c r="AL247" i="384"/>
  <c r="AK247" i="384"/>
  <c r="AJ247" i="384"/>
  <c r="AI247" i="384"/>
  <c r="AH247" i="384"/>
  <c r="AG247" i="384"/>
  <c r="AF247" i="384"/>
  <c r="AE247" i="384"/>
  <c r="AD247" i="384"/>
  <c r="AC247" i="384"/>
  <c r="AB247" i="384"/>
  <c r="AA247" i="384"/>
  <c r="Z247" i="384"/>
  <c r="Y247" i="384"/>
  <c r="X247" i="384"/>
  <c r="W247" i="384"/>
  <c r="V247" i="384"/>
  <c r="U247" i="384"/>
  <c r="T247" i="384"/>
  <c r="S247" i="384"/>
  <c r="R247" i="384"/>
  <c r="Q247" i="384"/>
  <c r="P247" i="384"/>
  <c r="O247" i="384"/>
  <c r="N247" i="384"/>
  <c r="M247" i="384"/>
  <c r="L247" i="384"/>
  <c r="BN246" i="384"/>
  <c r="BM246" i="384"/>
  <c r="BL246" i="384"/>
  <c r="BK246" i="384"/>
  <c r="BJ246" i="384"/>
  <c r="BI246" i="384"/>
  <c r="BH246" i="384"/>
  <c r="BG246" i="384"/>
  <c r="BF246" i="384"/>
  <c r="BE246" i="384"/>
  <c r="BD246" i="384"/>
  <c r="BC246" i="384"/>
  <c r="BB246" i="384"/>
  <c r="BA246" i="384"/>
  <c r="AZ246" i="384"/>
  <c r="AW246" i="384"/>
  <c r="AV246" i="384"/>
  <c r="AU246" i="384"/>
  <c r="AT246" i="384"/>
  <c r="AS246" i="384"/>
  <c r="AR246" i="384"/>
  <c r="AQ246" i="384"/>
  <c r="AP246" i="384"/>
  <c r="BN245" i="384"/>
  <c r="BM245" i="384"/>
  <c r="BL245" i="384"/>
  <c r="BK245" i="384"/>
  <c r="BJ245" i="384"/>
  <c r="BI245" i="384"/>
  <c r="BH245" i="384"/>
  <c r="BG245" i="384"/>
  <c r="BF245" i="384"/>
  <c r="BE245" i="384"/>
  <c r="BD245" i="384"/>
  <c r="BC245" i="384"/>
  <c r="BB245" i="384"/>
  <c r="BA245" i="384"/>
  <c r="AZ245" i="384"/>
  <c r="AW245" i="384"/>
  <c r="AV245" i="384"/>
  <c r="AU245" i="384"/>
  <c r="AT245" i="384"/>
  <c r="AS245" i="384"/>
  <c r="AR245" i="384"/>
  <c r="AQ245" i="384"/>
  <c r="AP245" i="384"/>
  <c r="BN244" i="384"/>
  <c r="BM244" i="384"/>
  <c r="BL244" i="384"/>
  <c r="BK244" i="384"/>
  <c r="BJ244" i="384"/>
  <c r="BI244" i="384"/>
  <c r="BH244" i="384"/>
  <c r="BG244" i="384"/>
  <c r="BF244" i="384"/>
  <c r="BE244" i="384"/>
  <c r="BD244" i="384"/>
  <c r="BC244" i="384"/>
  <c r="BB244" i="384"/>
  <c r="BA244" i="384"/>
  <c r="AZ244" i="384"/>
  <c r="AW244" i="384"/>
  <c r="AV244" i="384"/>
  <c r="AU244" i="384"/>
  <c r="AT244" i="384"/>
  <c r="AS244" i="384"/>
  <c r="AR244" i="384"/>
  <c r="AQ244" i="384"/>
  <c r="AP244" i="384"/>
  <c r="BN243" i="384"/>
  <c r="BM243" i="384"/>
  <c r="BL243" i="384"/>
  <c r="BK243" i="384"/>
  <c r="BJ243" i="384"/>
  <c r="BI243" i="384"/>
  <c r="BH243" i="384"/>
  <c r="BG243" i="384"/>
  <c r="BF243" i="384"/>
  <c r="BE243" i="384"/>
  <c r="BD243" i="384"/>
  <c r="BC243" i="384"/>
  <c r="BB243" i="384"/>
  <c r="BA243" i="384"/>
  <c r="AZ243" i="384"/>
  <c r="AW243" i="384"/>
  <c r="AV243" i="384"/>
  <c r="AU243" i="384"/>
  <c r="AT243" i="384"/>
  <c r="AS243" i="384"/>
  <c r="AR243" i="384"/>
  <c r="AQ243" i="384"/>
  <c r="AP243" i="384"/>
  <c r="BN242" i="384"/>
  <c r="BL242" i="384"/>
  <c r="BK242" i="384"/>
  <c r="BJ242" i="384"/>
  <c r="BM242" i="384" s="1"/>
  <c r="BI242" i="384"/>
  <c r="BH242" i="384"/>
  <c r="BG242" i="384"/>
  <c r="BF242" i="384"/>
  <c r="BE242" i="384"/>
  <c r="BD242" i="384"/>
  <c r="BC242" i="384"/>
  <c r="BB242" i="384"/>
  <c r="BA242" i="384"/>
  <c r="AZ242" i="384"/>
  <c r="AW242" i="384"/>
  <c r="AV242" i="384"/>
  <c r="AU242" i="384"/>
  <c r="AT242" i="384"/>
  <c r="AS242" i="384"/>
  <c r="AR242" i="384"/>
  <c r="AQ242" i="384"/>
  <c r="AP242" i="384"/>
  <c r="BN241" i="384"/>
  <c r="BL241" i="384"/>
  <c r="BK241" i="384"/>
  <c r="BJ241" i="384"/>
  <c r="BM241" i="384" s="1"/>
  <c r="BI241" i="384"/>
  <c r="BH241" i="384"/>
  <c r="BG241" i="384"/>
  <c r="BF241" i="384"/>
  <c r="BE241" i="384"/>
  <c r="BD241" i="384"/>
  <c r="BC241" i="384"/>
  <c r="BB241" i="384"/>
  <c r="BA241" i="384"/>
  <c r="AZ241" i="384"/>
  <c r="AW241" i="384"/>
  <c r="AV241" i="384"/>
  <c r="AU241" i="384"/>
  <c r="AT241" i="384"/>
  <c r="AS241" i="384"/>
  <c r="AR241" i="384"/>
  <c r="AQ241" i="384"/>
  <c r="AP241" i="384"/>
  <c r="BN240" i="384"/>
  <c r="BL240" i="384"/>
  <c r="BK240" i="384"/>
  <c r="BJ240" i="384"/>
  <c r="BM240" i="384" s="1"/>
  <c r="BI240" i="384"/>
  <c r="BH240" i="384"/>
  <c r="BG240" i="384"/>
  <c r="BF240" i="384"/>
  <c r="BE240" i="384"/>
  <c r="BD240" i="384"/>
  <c r="BC240" i="384"/>
  <c r="BB240" i="384"/>
  <c r="BA240" i="384"/>
  <c r="AZ240" i="384"/>
  <c r="AW240" i="384"/>
  <c r="AV240" i="384"/>
  <c r="AU240" i="384"/>
  <c r="AT240" i="384"/>
  <c r="AS240" i="384"/>
  <c r="AR240" i="384"/>
  <c r="AQ240" i="384"/>
  <c r="AP240" i="384"/>
  <c r="BN239" i="384"/>
  <c r="BL239" i="384"/>
  <c r="BK239" i="384"/>
  <c r="BJ239" i="384"/>
  <c r="BM239" i="384" s="1"/>
  <c r="BI239" i="384"/>
  <c r="BH239" i="384"/>
  <c r="BG239" i="384"/>
  <c r="BF239" i="384"/>
  <c r="BE239" i="384"/>
  <c r="BD239" i="384"/>
  <c r="BC239" i="384"/>
  <c r="BB239" i="384"/>
  <c r="BA239" i="384"/>
  <c r="AZ239" i="384"/>
  <c r="AW239" i="384"/>
  <c r="AV239" i="384"/>
  <c r="AU239" i="384"/>
  <c r="AT239" i="384"/>
  <c r="AS239" i="384"/>
  <c r="AR239" i="384"/>
  <c r="AQ239" i="384"/>
  <c r="AP239" i="384"/>
  <c r="BN238" i="384"/>
  <c r="BM238" i="384"/>
  <c r="BL238" i="384"/>
  <c r="BK238" i="384"/>
  <c r="BJ238" i="384"/>
  <c r="BI238" i="384"/>
  <c r="BH238" i="384"/>
  <c r="BG238" i="384"/>
  <c r="BF238" i="384"/>
  <c r="BE238" i="384"/>
  <c r="BD238" i="384"/>
  <c r="BC238" i="384"/>
  <c r="BB238" i="384"/>
  <c r="BA238" i="384"/>
  <c r="AZ238" i="384"/>
  <c r="AW238" i="384"/>
  <c r="AV238" i="384"/>
  <c r="AU238" i="384"/>
  <c r="AT238" i="384"/>
  <c r="AS238" i="384"/>
  <c r="AR238" i="384"/>
  <c r="AQ238" i="384"/>
  <c r="AP238" i="384"/>
  <c r="BN237" i="384"/>
  <c r="BM237" i="384"/>
  <c r="BL237" i="384"/>
  <c r="BK237" i="384"/>
  <c r="BJ237" i="384"/>
  <c r="BI237" i="384"/>
  <c r="BH237" i="384"/>
  <c r="BG237" i="384"/>
  <c r="BF237" i="384"/>
  <c r="BE237" i="384"/>
  <c r="BD237" i="384"/>
  <c r="BC237" i="384"/>
  <c r="BB237" i="384"/>
  <c r="BA237" i="384"/>
  <c r="AZ237" i="384"/>
  <c r="AW237" i="384"/>
  <c r="AV237" i="384"/>
  <c r="AU237" i="384"/>
  <c r="AT237" i="384"/>
  <c r="AS237" i="384"/>
  <c r="AR237" i="384"/>
  <c r="AQ237" i="384"/>
  <c r="AP237" i="384"/>
  <c r="BN236" i="384"/>
  <c r="BM236" i="384"/>
  <c r="BL236" i="384"/>
  <c r="BK236" i="384"/>
  <c r="BJ236" i="384"/>
  <c r="BI236" i="384"/>
  <c r="BH236" i="384"/>
  <c r="BG236" i="384"/>
  <c r="BF236" i="384"/>
  <c r="BE236" i="384"/>
  <c r="BD236" i="384"/>
  <c r="BC236" i="384"/>
  <c r="BB236" i="384"/>
  <c r="BA236" i="384"/>
  <c r="AZ236" i="384"/>
  <c r="AW236" i="384"/>
  <c r="AV236" i="384"/>
  <c r="AU236" i="384"/>
  <c r="AT236" i="384"/>
  <c r="AS236" i="384"/>
  <c r="AR236" i="384"/>
  <c r="AQ236" i="384"/>
  <c r="AP236" i="384"/>
  <c r="BN235" i="384"/>
  <c r="BM235" i="384"/>
  <c r="BL235" i="384"/>
  <c r="BK235" i="384"/>
  <c r="BJ235" i="384"/>
  <c r="BI235" i="384"/>
  <c r="BH235" i="384"/>
  <c r="BG235" i="384"/>
  <c r="BF235" i="384"/>
  <c r="BE235" i="384"/>
  <c r="BD235" i="384"/>
  <c r="BC235" i="384"/>
  <c r="BB235" i="384"/>
  <c r="BA235" i="384"/>
  <c r="AZ235" i="384"/>
  <c r="AW235" i="384"/>
  <c r="AV235" i="384"/>
  <c r="AU235" i="384"/>
  <c r="AT235" i="384"/>
  <c r="AS235" i="384"/>
  <c r="AR235" i="384"/>
  <c r="AQ235" i="384"/>
  <c r="AP235" i="384"/>
  <c r="AO234" i="384"/>
  <c r="AN234" i="384"/>
  <c r="AM234" i="384"/>
  <c r="AL234" i="384"/>
  <c r="AK234" i="384"/>
  <c r="AJ234" i="384"/>
  <c r="AI234" i="384"/>
  <c r="AH234" i="384"/>
  <c r="AG234" i="384"/>
  <c r="AF234" i="384"/>
  <c r="AE234" i="384"/>
  <c r="AD234" i="384"/>
  <c r="AC234" i="384"/>
  <c r="AB234" i="384"/>
  <c r="AA234" i="384"/>
  <c r="Z234" i="384"/>
  <c r="Y234" i="384"/>
  <c r="X234" i="384"/>
  <c r="W234" i="384"/>
  <c r="V234" i="384"/>
  <c r="U234" i="384"/>
  <c r="T234" i="384"/>
  <c r="S234" i="384"/>
  <c r="R234" i="384"/>
  <c r="Q234" i="384"/>
  <c r="P234" i="384"/>
  <c r="O234" i="384"/>
  <c r="N234" i="384"/>
  <c r="M234" i="384"/>
  <c r="L234" i="384"/>
  <c r="AO233" i="384"/>
  <c r="AN233" i="384"/>
  <c r="AM233" i="384"/>
  <c r="AL233" i="384"/>
  <c r="AK233" i="384"/>
  <c r="AJ233" i="384"/>
  <c r="AI233" i="384"/>
  <c r="AH233" i="384"/>
  <c r="AG233" i="384"/>
  <c r="AF233" i="384"/>
  <c r="AE233" i="384"/>
  <c r="AD233" i="384"/>
  <c r="AC233" i="384"/>
  <c r="AB233" i="384"/>
  <c r="AA233" i="384"/>
  <c r="Z233" i="384"/>
  <c r="Y233" i="384"/>
  <c r="X233" i="384"/>
  <c r="W233" i="384"/>
  <c r="V233" i="384"/>
  <c r="U233" i="384"/>
  <c r="T233" i="384"/>
  <c r="S233" i="384"/>
  <c r="R233" i="384"/>
  <c r="Q233" i="384"/>
  <c r="P233" i="384"/>
  <c r="O233" i="384"/>
  <c r="N233" i="384"/>
  <c r="M233" i="384"/>
  <c r="L233" i="384"/>
  <c r="AO232" i="384"/>
  <c r="AN232" i="384"/>
  <c r="AM232" i="384"/>
  <c r="AL232" i="384"/>
  <c r="AK232" i="384"/>
  <c r="AJ232" i="384"/>
  <c r="AI232" i="384"/>
  <c r="AH232" i="384"/>
  <c r="AG232" i="384"/>
  <c r="AF232" i="384"/>
  <c r="AE232" i="384"/>
  <c r="AD232" i="384"/>
  <c r="AC232" i="384"/>
  <c r="AB232" i="384"/>
  <c r="AA232" i="384"/>
  <c r="Z232" i="384"/>
  <c r="Y232" i="384"/>
  <c r="X232" i="384"/>
  <c r="W232" i="384"/>
  <c r="V232" i="384"/>
  <c r="U232" i="384"/>
  <c r="T232" i="384"/>
  <c r="S232" i="384"/>
  <c r="R232" i="384"/>
  <c r="Q232" i="384"/>
  <c r="P232" i="384"/>
  <c r="O232" i="384"/>
  <c r="N232" i="384"/>
  <c r="M232" i="384"/>
  <c r="L232" i="384"/>
  <c r="BN231" i="384"/>
  <c r="BM231" i="384"/>
  <c r="BL231" i="384"/>
  <c r="BK231" i="384"/>
  <c r="BJ231" i="384"/>
  <c r="BI231" i="384"/>
  <c r="BH231" i="384"/>
  <c r="BG231" i="384"/>
  <c r="BF231" i="384"/>
  <c r="BE231" i="384"/>
  <c r="BD231" i="384"/>
  <c r="BC231" i="384"/>
  <c r="BB231" i="384"/>
  <c r="BA231" i="384"/>
  <c r="AZ231" i="384"/>
  <c r="AY231" i="384"/>
  <c r="AW231" i="384"/>
  <c r="AV231" i="384"/>
  <c r="AU231" i="384"/>
  <c r="AT231" i="384"/>
  <c r="AS231" i="384"/>
  <c r="AR231" i="384"/>
  <c r="AQ231" i="384"/>
  <c r="AP231" i="384"/>
  <c r="BN230" i="384"/>
  <c r="BM230" i="384"/>
  <c r="BL230" i="384"/>
  <c r="BK230" i="384"/>
  <c r="BJ230" i="384"/>
  <c r="BI230" i="384"/>
  <c r="BH230" i="384"/>
  <c r="BG230" i="384"/>
  <c r="BF230" i="384"/>
  <c r="BE230" i="384"/>
  <c r="BD230" i="384"/>
  <c r="BC230" i="384"/>
  <c r="BB230" i="384"/>
  <c r="BA230" i="384"/>
  <c r="AZ230" i="384"/>
  <c r="AY230" i="384"/>
  <c r="AW230" i="384"/>
  <c r="AV230" i="384"/>
  <c r="AU230" i="384"/>
  <c r="AT230" i="384"/>
  <c r="AS230" i="384"/>
  <c r="AR230" i="384"/>
  <c r="AQ230" i="384"/>
  <c r="AP230" i="384"/>
  <c r="BN229" i="384"/>
  <c r="BM229" i="384"/>
  <c r="BL229" i="384"/>
  <c r="BK229" i="384"/>
  <c r="BJ229" i="384"/>
  <c r="BI229" i="384"/>
  <c r="BH229" i="384"/>
  <c r="BG229" i="384"/>
  <c r="BF229" i="384"/>
  <c r="BE229" i="384"/>
  <c r="BD229" i="384"/>
  <c r="BC229" i="384"/>
  <c r="BB229" i="384"/>
  <c r="BA229" i="384"/>
  <c r="AZ229" i="384"/>
  <c r="AY229" i="384"/>
  <c r="AW229" i="384"/>
  <c r="AV229" i="384"/>
  <c r="AU229" i="384"/>
  <c r="AT229" i="384"/>
  <c r="AS229" i="384"/>
  <c r="AR229" i="384"/>
  <c r="AQ229" i="384"/>
  <c r="AP229" i="384"/>
  <c r="BN228" i="384"/>
  <c r="BM228" i="384"/>
  <c r="BL228" i="384"/>
  <c r="BK228" i="384"/>
  <c r="BJ228" i="384"/>
  <c r="BI228" i="384"/>
  <c r="BH228" i="384"/>
  <c r="BG228" i="384"/>
  <c r="BF228" i="384"/>
  <c r="BE228" i="384"/>
  <c r="BD228" i="384"/>
  <c r="BC228" i="384"/>
  <c r="BB228" i="384"/>
  <c r="BA228" i="384"/>
  <c r="AZ228" i="384"/>
  <c r="AY228" i="384"/>
  <c r="AW228" i="384"/>
  <c r="AV228" i="384"/>
  <c r="AU228" i="384"/>
  <c r="AT228" i="384"/>
  <c r="AS228" i="384"/>
  <c r="AR228" i="384"/>
  <c r="AQ228" i="384"/>
  <c r="AP228" i="384"/>
  <c r="BN227" i="384"/>
  <c r="BM227" i="384"/>
  <c r="BL227" i="384"/>
  <c r="BK227" i="384"/>
  <c r="BJ227" i="384"/>
  <c r="BI227" i="384"/>
  <c r="BH227" i="384"/>
  <c r="BG227" i="384"/>
  <c r="BF227" i="384"/>
  <c r="BE227" i="384"/>
  <c r="BD227" i="384"/>
  <c r="BC227" i="384"/>
  <c r="BB227" i="384"/>
  <c r="BA227" i="384"/>
  <c r="AZ227" i="384"/>
  <c r="AY227" i="384"/>
  <c r="AW227" i="384"/>
  <c r="AV227" i="384"/>
  <c r="AU227" i="384"/>
  <c r="AT227" i="384"/>
  <c r="AS227" i="384"/>
  <c r="AR227" i="384"/>
  <c r="AQ227" i="384"/>
  <c r="AP227" i="384"/>
  <c r="BN226" i="384"/>
  <c r="BM226" i="384"/>
  <c r="BL226" i="384"/>
  <c r="BK226" i="384"/>
  <c r="BJ226" i="384"/>
  <c r="BI226" i="384"/>
  <c r="BH226" i="384"/>
  <c r="BG226" i="384"/>
  <c r="BF226" i="384"/>
  <c r="BE226" i="384"/>
  <c r="BD226" i="384"/>
  <c r="BC226" i="384"/>
  <c r="BB226" i="384"/>
  <c r="BA226" i="384"/>
  <c r="AZ226" i="384"/>
  <c r="AY226" i="384"/>
  <c r="AW226" i="384"/>
  <c r="AV226" i="384"/>
  <c r="AU226" i="384"/>
  <c r="AT226" i="384"/>
  <c r="AS226" i="384"/>
  <c r="AR226" i="384"/>
  <c r="AQ226" i="384"/>
  <c r="AP226" i="384"/>
  <c r="BN225" i="384"/>
  <c r="BM225" i="384"/>
  <c r="BL225" i="384"/>
  <c r="BK225" i="384"/>
  <c r="BJ225" i="384"/>
  <c r="BI225" i="384"/>
  <c r="BH225" i="384"/>
  <c r="BG225" i="384"/>
  <c r="BF225" i="384"/>
  <c r="BE225" i="384"/>
  <c r="BD225" i="384"/>
  <c r="BC225" i="384"/>
  <c r="BB225" i="384"/>
  <c r="BA225" i="384"/>
  <c r="AZ225" i="384"/>
  <c r="AY225" i="384"/>
  <c r="AW225" i="384"/>
  <c r="AV225" i="384"/>
  <c r="AU225" i="384"/>
  <c r="AT225" i="384"/>
  <c r="AS225" i="384"/>
  <c r="AR225" i="384"/>
  <c r="AQ225" i="384"/>
  <c r="AP225" i="384"/>
  <c r="BN224" i="384"/>
  <c r="BM224" i="384"/>
  <c r="BL224" i="384"/>
  <c r="BK224" i="384"/>
  <c r="BJ224" i="384"/>
  <c r="BI224" i="384"/>
  <c r="BH224" i="384"/>
  <c r="BG224" i="384"/>
  <c r="BF224" i="384"/>
  <c r="BE224" i="384"/>
  <c r="BD224" i="384"/>
  <c r="BC224" i="384"/>
  <c r="BB224" i="384"/>
  <c r="BA224" i="384"/>
  <c r="AZ224" i="384"/>
  <c r="AY224" i="384"/>
  <c r="AW224" i="384"/>
  <c r="AV224" i="384"/>
  <c r="AU224" i="384"/>
  <c r="AT224" i="384"/>
  <c r="AS224" i="384"/>
  <c r="AR224" i="384"/>
  <c r="AQ224" i="384"/>
  <c r="AP224" i="384"/>
  <c r="BN223" i="384"/>
  <c r="BM223" i="384"/>
  <c r="BL223" i="384"/>
  <c r="BK223" i="384"/>
  <c r="BJ223" i="384"/>
  <c r="BI223" i="384"/>
  <c r="BH223" i="384"/>
  <c r="BG223" i="384"/>
  <c r="BF223" i="384"/>
  <c r="BE223" i="384"/>
  <c r="BD223" i="384"/>
  <c r="BC223" i="384"/>
  <c r="BB223" i="384"/>
  <c r="BA223" i="384"/>
  <c r="AZ223" i="384"/>
  <c r="AY223" i="384"/>
  <c r="AW223" i="384"/>
  <c r="AV223" i="384"/>
  <c r="AU223" i="384"/>
  <c r="AT223" i="384"/>
  <c r="AS223" i="384"/>
  <c r="AR223" i="384"/>
  <c r="AQ223" i="384"/>
  <c r="AP223" i="384"/>
  <c r="BN222" i="384"/>
  <c r="BM222" i="384"/>
  <c r="BL222" i="384"/>
  <c r="BK222" i="384"/>
  <c r="BJ222" i="384"/>
  <c r="BI222" i="384"/>
  <c r="BH222" i="384"/>
  <c r="BG222" i="384"/>
  <c r="BF222" i="384"/>
  <c r="BE222" i="384"/>
  <c r="BD222" i="384"/>
  <c r="BC222" i="384"/>
  <c r="BB222" i="384"/>
  <c r="BA222" i="384"/>
  <c r="AZ222" i="384"/>
  <c r="AW222" i="384"/>
  <c r="AV222" i="384"/>
  <c r="AU222" i="384"/>
  <c r="AT222" i="384"/>
  <c r="AS222" i="384"/>
  <c r="AR222" i="384"/>
  <c r="AQ222" i="384"/>
  <c r="AP222" i="384"/>
  <c r="BN221" i="384"/>
  <c r="BL221" i="384"/>
  <c r="BK221" i="384"/>
  <c r="BJ221" i="384"/>
  <c r="BM221" i="384" s="1"/>
  <c r="BI221" i="384"/>
  <c r="BH221" i="384"/>
  <c r="BG221" i="384"/>
  <c r="BF221" i="384"/>
  <c r="BE221" i="384"/>
  <c r="BD221" i="384"/>
  <c r="BC221" i="384"/>
  <c r="BB221" i="384"/>
  <c r="BA221" i="384"/>
  <c r="AZ221" i="384"/>
  <c r="AY221" i="384"/>
  <c r="AW221" i="384"/>
  <c r="AV221" i="384"/>
  <c r="AU221" i="384"/>
  <c r="AT221" i="384"/>
  <c r="AS221" i="384"/>
  <c r="AR221" i="384"/>
  <c r="AQ221" i="384"/>
  <c r="AP221" i="384"/>
  <c r="BN220" i="384"/>
  <c r="BL220" i="384"/>
  <c r="BK220" i="384"/>
  <c r="BJ220" i="384"/>
  <c r="BM220" i="384" s="1"/>
  <c r="BI220" i="384"/>
  <c r="BH220" i="384"/>
  <c r="BG220" i="384"/>
  <c r="BF220" i="384"/>
  <c r="BE220" i="384"/>
  <c r="BD220" i="384"/>
  <c r="BC220" i="384"/>
  <c r="BB220" i="384"/>
  <c r="BA220" i="384"/>
  <c r="AZ220" i="384"/>
  <c r="AY220" i="384"/>
  <c r="AW220" i="384"/>
  <c r="AV220" i="384"/>
  <c r="AU220" i="384"/>
  <c r="AT220" i="384"/>
  <c r="AS220" i="384"/>
  <c r="AR220" i="384"/>
  <c r="AQ220" i="384"/>
  <c r="AP220" i="384"/>
  <c r="BN219" i="384"/>
  <c r="BL219" i="384"/>
  <c r="BK219" i="384"/>
  <c r="BJ219" i="384"/>
  <c r="BM219" i="384" s="1"/>
  <c r="BI219" i="384"/>
  <c r="BH219" i="384"/>
  <c r="BG219" i="384"/>
  <c r="BF219" i="384"/>
  <c r="BE219" i="384"/>
  <c r="BD219" i="384"/>
  <c r="BC219" i="384"/>
  <c r="BB219" i="384"/>
  <c r="BA219" i="384"/>
  <c r="AZ219" i="384"/>
  <c r="AY219" i="384"/>
  <c r="AW219" i="384"/>
  <c r="AV219" i="384"/>
  <c r="AU219" i="384"/>
  <c r="AT219" i="384"/>
  <c r="AS219" i="384"/>
  <c r="AR219" i="384"/>
  <c r="AQ219" i="384"/>
  <c r="AP219" i="384"/>
  <c r="BN218" i="384"/>
  <c r="BL218" i="384"/>
  <c r="BK218" i="384"/>
  <c r="BJ218" i="384"/>
  <c r="BM218" i="384" s="1"/>
  <c r="BI218" i="384"/>
  <c r="BH218" i="384"/>
  <c r="BG218" i="384"/>
  <c r="BF218" i="384"/>
  <c r="BE218" i="384"/>
  <c r="BD218" i="384"/>
  <c r="BC218" i="384"/>
  <c r="BB218" i="384"/>
  <c r="BA218" i="384"/>
  <c r="AZ218" i="384"/>
  <c r="AY218" i="384"/>
  <c r="AW218" i="384"/>
  <c r="AV218" i="384"/>
  <c r="AU218" i="384"/>
  <c r="AT218" i="384"/>
  <c r="AS218" i="384"/>
  <c r="AR218" i="384"/>
  <c r="AQ218" i="384"/>
  <c r="AP218" i="384"/>
  <c r="BN217" i="384"/>
  <c r="BL217" i="384"/>
  <c r="BK217" i="384"/>
  <c r="BJ217" i="384"/>
  <c r="BM217" i="384" s="1"/>
  <c r="BI217" i="384"/>
  <c r="BH217" i="384"/>
  <c r="BG217" i="384"/>
  <c r="BF217" i="384"/>
  <c r="BE217" i="384"/>
  <c r="BD217" i="384"/>
  <c r="BC217" i="384"/>
  <c r="BB217" i="384"/>
  <c r="BA217" i="384"/>
  <c r="AZ217" i="384"/>
  <c r="AW217" i="384"/>
  <c r="AV217" i="384"/>
  <c r="AU217" i="384"/>
  <c r="AT217" i="384"/>
  <c r="AS217" i="384"/>
  <c r="AR217" i="384"/>
  <c r="AQ217" i="384"/>
  <c r="AP217" i="384"/>
  <c r="BN216" i="384"/>
  <c r="BL216" i="384"/>
  <c r="BK216" i="384"/>
  <c r="BJ216" i="384"/>
  <c r="BM216" i="384" s="1"/>
  <c r="BI216" i="384"/>
  <c r="BH216" i="384"/>
  <c r="BG216" i="384"/>
  <c r="BF216" i="384"/>
  <c r="BE216" i="384"/>
  <c r="BD216" i="384"/>
  <c r="BC216" i="384"/>
  <c r="BB216" i="384"/>
  <c r="BA216" i="384"/>
  <c r="AZ216" i="384"/>
  <c r="AW216" i="384"/>
  <c r="AV216" i="384"/>
  <c r="AU216" i="384"/>
  <c r="AT216" i="384"/>
  <c r="AS216" i="384"/>
  <c r="AR216" i="384"/>
  <c r="AQ216" i="384"/>
  <c r="AP216" i="384"/>
  <c r="AO215" i="384"/>
  <c r="AN215" i="384"/>
  <c r="AM215" i="384"/>
  <c r="AL215" i="384"/>
  <c r="AK215" i="384"/>
  <c r="AJ215" i="384"/>
  <c r="AI215" i="384"/>
  <c r="AH215" i="384"/>
  <c r="AG215" i="384"/>
  <c r="AF215" i="384"/>
  <c r="AE215" i="384"/>
  <c r="AD215" i="384"/>
  <c r="AC215" i="384"/>
  <c r="AB215" i="384"/>
  <c r="AA215" i="384"/>
  <c r="Z215" i="384"/>
  <c r="Y215" i="384"/>
  <c r="X215" i="384"/>
  <c r="W215" i="384"/>
  <c r="V215" i="384"/>
  <c r="U215" i="384"/>
  <c r="T215" i="384"/>
  <c r="S215" i="384"/>
  <c r="R215" i="384"/>
  <c r="Q215" i="384"/>
  <c r="P215" i="384"/>
  <c r="O215" i="384"/>
  <c r="N215" i="384"/>
  <c r="M215" i="384"/>
  <c r="L215" i="384"/>
  <c r="BN214" i="384"/>
  <c r="BK214" i="384"/>
  <c r="BJ214" i="384"/>
  <c r="BM214" i="384" s="1"/>
  <c r="BI214" i="384"/>
  <c r="BH214" i="384"/>
  <c r="BG214" i="384"/>
  <c r="BF214" i="384"/>
  <c r="BE214" i="384"/>
  <c r="BD214" i="384"/>
  <c r="BC214" i="384"/>
  <c r="BB214" i="384"/>
  <c r="BA214" i="384"/>
  <c r="AZ214" i="384"/>
  <c r="AY214" i="384"/>
  <c r="BL214" i="384" s="1"/>
  <c r="AW214" i="384"/>
  <c r="AV214" i="384"/>
  <c r="AU214" i="384"/>
  <c r="AT214" i="384"/>
  <c r="AS214" i="384"/>
  <c r="AR214" i="384"/>
  <c r="AQ214" i="384"/>
  <c r="AP214" i="384"/>
  <c r="BN213" i="384"/>
  <c r="BL213" i="384"/>
  <c r="BK213" i="384"/>
  <c r="BJ213" i="384"/>
  <c r="BM213" i="384" s="1"/>
  <c r="BI213" i="384"/>
  <c r="BH213" i="384"/>
  <c r="BG213" i="384"/>
  <c r="BF213" i="384"/>
  <c r="BE213" i="384"/>
  <c r="BD213" i="384"/>
  <c r="BC213" i="384"/>
  <c r="BB213" i="384"/>
  <c r="BA213" i="384"/>
  <c r="AZ213" i="384"/>
  <c r="AW213" i="384"/>
  <c r="AV213" i="384"/>
  <c r="AU213" i="384"/>
  <c r="AT213" i="384"/>
  <c r="AS213" i="384"/>
  <c r="AR213" i="384"/>
  <c r="AQ213" i="384"/>
  <c r="AP213" i="384"/>
  <c r="BN212" i="384"/>
  <c r="BM212" i="384"/>
  <c r="BK212" i="384"/>
  <c r="BJ212" i="384"/>
  <c r="BI212" i="384"/>
  <c r="BH212" i="384"/>
  <c r="BG212" i="384"/>
  <c r="BF212" i="384"/>
  <c r="BE212" i="384"/>
  <c r="BD212" i="384"/>
  <c r="BC212" i="384"/>
  <c r="BB212" i="384"/>
  <c r="BA212" i="384"/>
  <c r="AZ212" i="384"/>
  <c r="AY212" i="384"/>
  <c r="BL212" i="384" s="1"/>
  <c r="AW212" i="384"/>
  <c r="AV212" i="384"/>
  <c r="AU212" i="384"/>
  <c r="AT212" i="384"/>
  <c r="AS212" i="384"/>
  <c r="AR212" i="384"/>
  <c r="AQ212" i="384"/>
  <c r="AP212" i="384"/>
  <c r="AO211" i="384"/>
  <c r="AN211" i="384"/>
  <c r="AM211" i="384"/>
  <c r="AL211" i="384"/>
  <c r="AK211" i="384"/>
  <c r="AJ211" i="384"/>
  <c r="AI211" i="384"/>
  <c r="AH211" i="384"/>
  <c r="AG211" i="384"/>
  <c r="AF211" i="384"/>
  <c r="AE211" i="384"/>
  <c r="AD211" i="384"/>
  <c r="AC211" i="384"/>
  <c r="AB211" i="384"/>
  <c r="AA211" i="384"/>
  <c r="Z211" i="384"/>
  <c r="Y211" i="384"/>
  <c r="X211" i="384"/>
  <c r="W211" i="384"/>
  <c r="V211" i="384"/>
  <c r="U211" i="384"/>
  <c r="T211" i="384"/>
  <c r="S211" i="384"/>
  <c r="R211" i="384"/>
  <c r="Q211" i="384"/>
  <c r="P211" i="384"/>
  <c r="O211" i="384"/>
  <c r="N211" i="384"/>
  <c r="M211" i="384"/>
  <c r="L211" i="384"/>
  <c r="BN210" i="384"/>
  <c r="BM210" i="384"/>
  <c r="BL210" i="384"/>
  <c r="BK210" i="384"/>
  <c r="BJ210" i="384"/>
  <c r="BI210" i="384"/>
  <c r="BH210" i="384"/>
  <c r="BG210" i="384"/>
  <c r="BF210" i="384"/>
  <c r="BE210" i="384"/>
  <c r="BD210" i="384"/>
  <c r="BC210" i="384"/>
  <c r="BB210" i="384"/>
  <c r="BA210" i="384"/>
  <c r="AZ210" i="384"/>
  <c r="AY210" i="384"/>
  <c r="AW210" i="384"/>
  <c r="AV210" i="384"/>
  <c r="AU210" i="384"/>
  <c r="AT210" i="384"/>
  <c r="AS210" i="384"/>
  <c r="AR210" i="384"/>
  <c r="AQ210" i="384"/>
  <c r="AP210" i="384"/>
  <c r="AO209" i="384"/>
  <c r="AN209" i="384"/>
  <c r="AM209" i="384"/>
  <c r="AL209" i="384"/>
  <c r="AK209" i="384"/>
  <c r="AJ209" i="384"/>
  <c r="AI209" i="384"/>
  <c r="AH209" i="384"/>
  <c r="AG209" i="384"/>
  <c r="AF209" i="384"/>
  <c r="AE209" i="384"/>
  <c r="AD209" i="384"/>
  <c r="AC209" i="384"/>
  <c r="AB209" i="384"/>
  <c r="AA209" i="384"/>
  <c r="Z209" i="384"/>
  <c r="Y209" i="384"/>
  <c r="X209" i="384"/>
  <c r="W209" i="384"/>
  <c r="V209" i="384"/>
  <c r="U209" i="384"/>
  <c r="T209" i="384"/>
  <c r="S209" i="384"/>
  <c r="R209" i="384"/>
  <c r="Q209" i="384"/>
  <c r="P209" i="384"/>
  <c r="O209" i="384"/>
  <c r="N209" i="384"/>
  <c r="M209" i="384"/>
  <c r="L209" i="384"/>
  <c r="BN208" i="384"/>
  <c r="BL208" i="384"/>
  <c r="BK208" i="384"/>
  <c r="BJ208" i="384"/>
  <c r="BM208" i="384" s="1"/>
  <c r="BI208" i="384"/>
  <c r="BH208" i="384"/>
  <c r="BG208" i="384"/>
  <c r="BF208" i="384"/>
  <c r="BE208" i="384"/>
  <c r="BD208" i="384"/>
  <c r="BC208" i="384"/>
  <c r="BB208" i="384"/>
  <c r="BA208" i="384"/>
  <c r="AZ208" i="384"/>
  <c r="AX208" i="384"/>
  <c r="AW208" i="384"/>
  <c r="AV208" i="384"/>
  <c r="AU208" i="384"/>
  <c r="AT208" i="384"/>
  <c r="AS208" i="384"/>
  <c r="AR208" i="384"/>
  <c r="AQ208" i="384"/>
  <c r="AP208" i="384"/>
  <c r="AO207" i="384"/>
  <c r="AN207" i="384"/>
  <c r="AM207" i="384"/>
  <c r="AL207" i="384"/>
  <c r="AK207" i="384"/>
  <c r="AJ207" i="384"/>
  <c r="AI207" i="384"/>
  <c r="AH207" i="384"/>
  <c r="AG207" i="384"/>
  <c r="AF207" i="384"/>
  <c r="AE207" i="384"/>
  <c r="AD207" i="384"/>
  <c r="AC207" i="384"/>
  <c r="AB207" i="384"/>
  <c r="AA207" i="384"/>
  <c r="Z207" i="384"/>
  <c r="Y207" i="384"/>
  <c r="X207" i="384"/>
  <c r="W207" i="384"/>
  <c r="V207" i="384"/>
  <c r="U207" i="384"/>
  <c r="T207" i="384"/>
  <c r="S207" i="384"/>
  <c r="R207" i="384"/>
  <c r="Q207" i="384"/>
  <c r="P207" i="384"/>
  <c r="O207" i="384"/>
  <c r="N207" i="384"/>
  <c r="M207" i="384"/>
  <c r="L207" i="384"/>
  <c r="BN206" i="384"/>
  <c r="BL206" i="384"/>
  <c r="BK206" i="384"/>
  <c r="BJ206" i="384"/>
  <c r="BM206" i="384" s="1"/>
  <c r="BI206" i="384"/>
  <c r="BH206" i="384"/>
  <c r="BG206" i="384"/>
  <c r="BF206" i="384"/>
  <c r="BE206" i="384"/>
  <c r="BD206" i="384"/>
  <c r="BC206" i="384"/>
  <c r="BB206" i="384"/>
  <c r="BA206" i="384"/>
  <c r="AZ206" i="384"/>
  <c r="AW206" i="384"/>
  <c r="AV206" i="384"/>
  <c r="AU206" i="384"/>
  <c r="AT206" i="384"/>
  <c r="AS206" i="384"/>
  <c r="AR206" i="384"/>
  <c r="AQ206" i="384"/>
  <c r="AP206" i="384"/>
  <c r="BN205" i="384"/>
  <c r="BL205" i="384"/>
  <c r="BK205" i="384"/>
  <c r="BJ205" i="384"/>
  <c r="BM205" i="384" s="1"/>
  <c r="BI205" i="384"/>
  <c r="BH205" i="384"/>
  <c r="BG205" i="384"/>
  <c r="BF205" i="384"/>
  <c r="BE205" i="384"/>
  <c r="BD205" i="384"/>
  <c r="BC205" i="384"/>
  <c r="BB205" i="384"/>
  <c r="BA205" i="384"/>
  <c r="AZ205" i="384"/>
  <c r="AW205" i="384"/>
  <c r="AV205" i="384"/>
  <c r="AU205" i="384"/>
  <c r="AT205" i="384"/>
  <c r="AS205" i="384"/>
  <c r="AR205" i="384"/>
  <c r="AQ205" i="384"/>
  <c r="AP205" i="384"/>
  <c r="BN204" i="384"/>
  <c r="BM204" i="384"/>
  <c r="BK204" i="384"/>
  <c r="BJ204" i="384"/>
  <c r="BI204" i="384"/>
  <c r="BH204" i="384"/>
  <c r="BG204" i="384"/>
  <c r="BF204" i="384"/>
  <c r="BE204" i="384"/>
  <c r="BD204" i="384"/>
  <c r="BC204" i="384"/>
  <c r="BB204" i="384"/>
  <c r="BA204" i="384"/>
  <c r="AZ204" i="384"/>
  <c r="AY204" i="384"/>
  <c r="BL204" i="384" s="1"/>
  <c r="AW204" i="384"/>
  <c r="AV204" i="384"/>
  <c r="AU204" i="384"/>
  <c r="AT204" i="384"/>
  <c r="AS204" i="384"/>
  <c r="AR204" i="384"/>
  <c r="AQ204" i="384"/>
  <c r="AP204" i="384"/>
  <c r="BN203" i="384"/>
  <c r="BM203" i="384"/>
  <c r="BL203" i="384"/>
  <c r="BK203" i="384"/>
  <c r="BJ203" i="384"/>
  <c r="BI203" i="384"/>
  <c r="BH203" i="384"/>
  <c r="BG203" i="384"/>
  <c r="BF203" i="384"/>
  <c r="BE203" i="384"/>
  <c r="BD203" i="384"/>
  <c r="BC203" i="384"/>
  <c r="BB203" i="384"/>
  <c r="BA203" i="384"/>
  <c r="AZ203" i="384"/>
  <c r="AW203" i="384"/>
  <c r="AV203" i="384"/>
  <c r="AU203" i="384"/>
  <c r="AT203" i="384"/>
  <c r="AS203" i="384"/>
  <c r="AR203" i="384"/>
  <c r="AQ203" i="384"/>
  <c r="AP203" i="384"/>
  <c r="BN202" i="384"/>
  <c r="BM202" i="384"/>
  <c r="BL202" i="384"/>
  <c r="BJ202" i="384"/>
  <c r="BI202" i="384"/>
  <c r="BH202" i="384"/>
  <c r="BG202" i="384"/>
  <c r="BF202" i="384"/>
  <c r="BE202" i="384"/>
  <c r="BD202" i="384"/>
  <c r="BC202" i="384"/>
  <c r="BB202" i="384"/>
  <c r="BA202" i="384"/>
  <c r="AZ202" i="384"/>
  <c r="AY202" i="384"/>
  <c r="AX202" i="384"/>
  <c r="BK202" i="384" s="1"/>
  <c r="AW202" i="384"/>
  <c r="AV202" i="384"/>
  <c r="AU202" i="384"/>
  <c r="AT202" i="384"/>
  <c r="AS202" i="384"/>
  <c r="AR202" i="384"/>
  <c r="AQ202" i="384"/>
  <c r="AP202" i="384"/>
  <c r="BN201" i="384"/>
  <c r="BM201" i="384"/>
  <c r="BK201" i="384"/>
  <c r="BJ201" i="384"/>
  <c r="BI201" i="384"/>
  <c r="BH201" i="384"/>
  <c r="BG201" i="384"/>
  <c r="BF201" i="384"/>
  <c r="BE201" i="384"/>
  <c r="BD201" i="384"/>
  <c r="BC201" i="384"/>
  <c r="BB201" i="384"/>
  <c r="BA201" i="384"/>
  <c r="AZ201" i="384"/>
  <c r="AY201" i="384"/>
  <c r="BL201" i="384" s="1"/>
  <c r="AW201" i="384"/>
  <c r="AV201" i="384"/>
  <c r="AU201" i="384"/>
  <c r="AT201" i="384"/>
  <c r="AS201" i="384"/>
  <c r="AR201" i="384"/>
  <c r="AQ201" i="384"/>
  <c r="AP201" i="384"/>
  <c r="BN200" i="384"/>
  <c r="BM200" i="384"/>
  <c r="BL200" i="384"/>
  <c r="BK200" i="384"/>
  <c r="BJ200" i="384"/>
  <c r="BI200" i="384"/>
  <c r="BH200" i="384"/>
  <c r="BG200" i="384"/>
  <c r="BF200" i="384"/>
  <c r="BE200" i="384"/>
  <c r="BD200" i="384"/>
  <c r="BC200" i="384"/>
  <c r="BB200" i="384"/>
  <c r="BA200" i="384"/>
  <c r="AZ200" i="384"/>
  <c r="AW200" i="384"/>
  <c r="AV200" i="384"/>
  <c r="AU200" i="384"/>
  <c r="AT200" i="384"/>
  <c r="AS200" i="384"/>
  <c r="AR200" i="384"/>
  <c r="AQ200" i="384"/>
  <c r="AP200" i="384"/>
  <c r="BN199" i="384"/>
  <c r="BM199" i="384"/>
  <c r="BL199" i="384"/>
  <c r="BK199" i="384"/>
  <c r="BJ199" i="384"/>
  <c r="BI199" i="384"/>
  <c r="BH199" i="384"/>
  <c r="BG199" i="384"/>
  <c r="BF199" i="384"/>
  <c r="BE199" i="384"/>
  <c r="BD199" i="384"/>
  <c r="BC199" i="384"/>
  <c r="BB199" i="384"/>
  <c r="BA199" i="384"/>
  <c r="AZ199" i="384"/>
  <c r="AY199" i="384"/>
  <c r="AW199" i="384"/>
  <c r="AV199" i="384"/>
  <c r="AU199" i="384"/>
  <c r="AT199" i="384"/>
  <c r="AS199" i="384"/>
  <c r="AR199" i="384"/>
  <c r="AQ199" i="384"/>
  <c r="AP199" i="384"/>
  <c r="BN198" i="384"/>
  <c r="BM198" i="384"/>
  <c r="BL198" i="384"/>
  <c r="BK198" i="384"/>
  <c r="BJ198" i="384"/>
  <c r="BI198" i="384"/>
  <c r="BH198" i="384"/>
  <c r="BG198" i="384"/>
  <c r="BF198" i="384"/>
  <c r="BE198" i="384"/>
  <c r="BD198" i="384"/>
  <c r="BC198" i="384"/>
  <c r="BB198" i="384"/>
  <c r="BA198" i="384"/>
  <c r="AZ198" i="384"/>
  <c r="AW198" i="384"/>
  <c r="AV198" i="384"/>
  <c r="AU198" i="384"/>
  <c r="AT198" i="384"/>
  <c r="AS198" i="384"/>
  <c r="AR198" i="384"/>
  <c r="AQ198" i="384"/>
  <c r="AP198" i="384"/>
  <c r="BN197" i="384"/>
  <c r="BL197" i="384"/>
  <c r="BK197" i="384"/>
  <c r="BJ197" i="384"/>
  <c r="BM197" i="384" s="1"/>
  <c r="BI197" i="384"/>
  <c r="BH197" i="384"/>
  <c r="BG197" i="384"/>
  <c r="BF197" i="384"/>
  <c r="BE197" i="384"/>
  <c r="BD197" i="384"/>
  <c r="BC197" i="384"/>
  <c r="BB197" i="384"/>
  <c r="BA197" i="384"/>
  <c r="AZ197" i="384"/>
  <c r="AY197" i="384"/>
  <c r="AX197" i="384"/>
  <c r="AW197" i="384"/>
  <c r="AV197" i="384"/>
  <c r="AU197" i="384"/>
  <c r="AT197" i="384"/>
  <c r="AS197" i="384"/>
  <c r="AR197" i="384"/>
  <c r="AQ197" i="384"/>
  <c r="AP197" i="384"/>
  <c r="BN196" i="384"/>
  <c r="BM196" i="384"/>
  <c r="BL196" i="384"/>
  <c r="BK196" i="384"/>
  <c r="BJ196" i="384"/>
  <c r="BI196" i="384"/>
  <c r="BH196" i="384"/>
  <c r="BG196" i="384"/>
  <c r="BF196" i="384"/>
  <c r="BE196" i="384"/>
  <c r="BD196" i="384"/>
  <c r="BC196" i="384"/>
  <c r="BB196" i="384"/>
  <c r="BA196" i="384"/>
  <c r="AZ196" i="384"/>
  <c r="AY196" i="384"/>
  <c r="AX196" i="384"/>
  <c r="AW196" i="384"/>
  <c r="AV196" i="384"/>
  <c r="AU196" i="384"/>
  <c r="AT196" i="384"/>
  <c r="AS196" i="384"/>
  <c r="AR196" i="384"/>
  <c r="AQ196" i="384"/>
  <c r="AP196" i="384"/>
  <c r="BN195" i="384"/>
  <c r="BM195" i="384"/>
  <c r="BL195" i="384"/>
  <c r="BK195" i="384"/>
  <c r="BJ195" i="384"/>
  <c r="BI195" i="384"/>
  <c r="BH195" i="384"/>
  <c r="BG195" i="384"/>
  <c r="BF195" i="384"/>
  <c r="BE195" i="384"/>
  <c r="BD195" i="384"/>
  <c r="BC195" i="384"/>
  <c r="BB195" i="384"/>
  <c r="BA195" i="384"/>
  <c r="AZ195" i="384"/>
  <c r="AY195" i="384"/>
  <c r="AW195" i="384"/>
  <c r="AV195" i="384"/>
  <c r="AU195" i="384"/>
  <c r="AT195" i="384"/>
  <c r="AS195" i="384"/>
  <c r="AR195" i="384"/>
  <c r="AQ195" i="384"/>
  <c r="AP195" i="384"/>
  <c r="BN194" i="384"/>
  <c r="BM194" i="384"/>
  <c r="BL194" i="384"/>
  <c r="BK194" i="384"/>
  <c r="BJ194" i="384"/>
  <c r="BI194" i="384"/>
  <c r="BH194" i="384"/>
  <c r="BG194" i="384"/>
  <c r="BF194" i="384"/>
  <c r="BE194" i="384"/>
  <c r="BD194" i="384"/>
  <c r="BC194" i="384"/>
  <c r="BB194" i="384"/>
  <c r="BA194" i="384"/>
  <c r="AZ194" i="384"/>
  <c r="AW194" i="384"/>
  <c r="AV194" i="384"/>
  <c r="AU194" i="384"/>
  <c r="AT194" i="384"/>
  <c r="AS194" i="384"/>
  <c r="AR194" i="384"/>
  <c r="AQ194" i="384"/>
  <c r="AP194" i="384"/>
  <c r="AO193" i="384"/>
  <c r="AN193" i="384"/>
  <c r="AM193" i="384"/>
  <c r="AL193" i="384"/>
  <c r="AK193" i="384"/>
  <c r="AJ193" i="384"/>
  <c r="AI193" i="384"/>
  <c r="AH193" i="384"/>
  <c r="AG193" i="384"/>
  <c r="AF193" i="384"/>
  <c r="AE193" i="384"/>
  <c r="AD193" i="384"/>
  <c r="AC193" i="384"/>
  <c r="AB193" i="384"/>
  <c r="AA193" i="384"/>
  <c r="Z193" i="384"/>
  <c r="Y193" i="384"/>
  <c r="X193" i="384"/>
  <c r="W193" i="384"/>
  <c r="V193" i="384"/>
  <c r="U193" i="384"/>
  <c r="T193" i="384"/>
  <c r="S193" i="384"/>
  <c r="R193" i="384"/>
  <c r="Q193" i="384"/>
  <c r="P193" i="384"/>
  <c r="O193" i="384"/>
  <c r="N193" i="384"/>
  <c r="M193" i="384"/>
  <c r="L193" i="384"/>
  <c r="BN192" i="384"/>
  <c r="BL192" i="384"/>
  <c r="BK192" i="384"/>
  <c r="BJ192" i="384"/>
  <c r="BM192" i="384" s="1"/>
  <c r="BI192" i="384"/>
  <c r="BH192" i="384"/>
  <c r="BG192" i="384"/>
  <c r="BF192" i="384"/>
  <c r="BE192" i="384"/>
  <c r="BD192" i="384"/>
  <c r="BC192" i="384"/>
  <c r="BB192" i="384"/>
  <c r="BA192" i="384"/>
  <c r="AZ192" i="384"/>
  <c r="AY192" i="384"/>
  <c r="AX192" i="384"/>
  <c r="AW192" i="384"/>
  <c r="AV192" i="384"/>
  <c r="AU192" i="384"/>
  <c r="AT192" i="384"/>
  <c r="AS192" i="384"/>
  <c r="AR192" i="384"/>
  <c r="AQ192" i="384"/>
  <c r="AP192" i="384"/>
  <c r="BN191" i="384"/>
  <c r="BL191" i="384"/>
  <c r="BK191" i="384"/>
  <c r="BJ191" i="384"/>
  <c r="BM191" i="384" s="1"/>
  <c r="BI191" i="384"/>
  <c r="BH191" i="384"/>
  <c r="BG191" i="384"/>
  <c r="BF191" i="384"/>
  <c r="BE191" i="384"/>
  <c r="BD191" i="384"/>
  <c r="BC191" i="384"/>
  <c r="BB191" i="384"/>
  <c r="BA191" i="384"/>
  <c r="AZ191" i="384"/>
  <c r="AY191" i="384"/>
  <c r="AX191" i="384"/>
  <c r="AW191" i="384"/>
  <c r="AV191" i="384"/>
  <c r="AU191" i="384"/>
  <c r="AT191" i="384"/>
  <c r="AS191" i="384"/>
  <c r="AR191" i="384"/>
  <c r="AQ191" i="384"/>
  <c r="AP191" i="384"/>
  <c r="BN190" i="384"/>
  <c r="BM190" i="384"/>
  <c r="BL190" i="384"/>
  <c r="BJ190" i="384"/>
  <c r="BI190" i="384"/>
  <c r="BH190" i="384"/>
  <c r="BG190" i="384"/>
  <c r="BF190" i="384"/>
  <c r="BE190" i="384"/>
  <c r="BD190" i="384"/>
  <c r="BC190" i="384"/>
  <c r="BB190" i="384"/>
  <c r="BA190" i="384"/>
  <c r="AZ190" i="384"/>
  <c r="AX190" i="384"/>
  <c r="BK190" i="384" s="1"/>
  <c r="AW190" i="384"/>
  <c r="AV190" i="384"/>
  <c r="AU190" i="384"/>
  <c r="AT190" i="384"/>
  <c r="AS190" i="384"/>
  <c r="AR190" i="384"/>
  <c r="AQ190" i="384"/>
  <c r="AP190" i="384"/>
  <c r="BN189" i="384"/>
  <c r="BM189" i="384"/>
  <c r="BL189" i="384"/>
  <c r="BK189" i="384"/>
  <c r="BJ189" i="384"/>
  <c r="BI189" i="384"/>
  <c r="BH189" i="384"/>
  <c r="BG189" i="384"/>
  <c r="BF189" i="384"/>
  <c r="BE189" i="384"/>
  <c r="BD189" i="384"/>
  <c r="BC189" i="384"/>
  <c r="BB189" i="384"/>
  <c r="BA189" i="384"/>
  <c r="AZ189" i="384"/>
  <c r="AW189" i="384"/>
  <c r="AV189" i="384"/>
  <c r="AU189" i="384"/>
  <c r="AT189" i="384"/>
  <c r="AS189" i="384"/>
  <c r="AR189" i="384"/>
  <c r="AQ189" i="384"/>
  <c r="AP189" i="384"/>
  <c r="BN188" i="384"/>
  <c r="BL188" i="384"/>
  <c r="BK188" i="384"/>
  <c r="BJ188" i="384"/>
  <c r="BM188" i="384" s="1"/>
  <c r="BI188" i="384"/>
  <c r="BH188" i="384"/>
  <c r="BG188" i="384"/>
  <c r="BF188" i="384"/>
  <c r="BE188" i="384"/>
  <c r="BD188" i="384"/>
  <c r="BC188" i="384"/>
  <c r="BB188" i="384"/>
  <c r="BA188" i="384"/>
  <c r="AZ188" i="384"/>
  <c r="AY188" i="384"/>
  <c r="AX188" i="384"/>
  <c r="AW188" i="384"/>
  <c r="AV188" i="384"/>
  <c r="AU188" i="384"/>
  <c r="AT188" i="384"/>
  <c r="AS188" i="384"/>
  <c r="AR188" i="384"/>
  <c r="AQ188" i="384"/>
  <c r="AP188" i="384"/>
  <c r="BN187" i="384"/>
  <c r="BM187" i="384"/>
  <c r="BL187" i="384"/>
  <c r="BJ187" i="384"/>
  <c r="BI187" i="384"/>
  <c r="BH187" i="384"/>
  <c r="BG187" i="384"/>
  <c r="BF187" i="384"/>
  <c r="BE187" i="384"/>
  <c r="BD187" i="384"/>
  <c r="BC187" i="384"/>
  <c r="BB187" i="384"/>
  <c r="BA187" i="384"/>
  <c r="AZ187" i="384"/>
  <c r="AX187" i="384"/>
  <c r="BK187" i="384" s="1"/>
  <c r="AW187" i="384"/>
  <c r="AV187" i="384"/>
  <c r="AU187" i="384"/>
  <c r="AT187" i="384"/>
  <c r="AS187" i="384"/>
  <c r="AR187" i="384"/>
  <c r="AQ187" i="384"/>
  <c r="AP187" i="384"/>
  <c r="BN186" i="384"/>
  <c r="BM186" i="384"/>
  <c r="BL186" i="384"/>
  <c r="BK186" i="384"/>
  <c r="BJ186" i="384"/>
  <c r="BI186" i="384"/>
  <c r="BH186" i="384"/>
  <c r="BG186" i="384"/>
  <c r="BF186" i="384"/>
  <c r="BE186" i="384"/>
  <c r="BD186" i="384"/>
  <c r="BC186" i="384"/>
  <c r="BB186" i="384"/>
  <c r="BA186" i="384"/>
  <c r="AZ186" i="384"/>
  <c r="AW186" i="384"/>
  <c r="AV186" i="384"/>
  <c r="AU186" i="384"/>
  <c r="AT186" i="384"/>
  <c r="AS186" i="384"/>
  <c r="AR186" i="384"/>
  <c r="AQ186" i="384"/>
  <c r="AP186" i="384"/>
  <c r="BN185" i="384"/>
  <c r="BL185" i="384"/>
  <c r="BK185" i="384"/>
  <c r="BJ185" i="384"/>
  <c r="BM185" i="384" s="1"/>
  <c r="BI185" i="384"/>
  <c r="BH185" i="384"/>
  <c r="BG185" i="384"/>
  <c r="BF185" i="384"/>
  <c r="BE185" i="384"/>
  <c r="BD185" i="384"/>
  <c r="BC185" i="384"/>
  <c r="BB185" i="384"/>
  <c r="BA185" i="384"/>
  <c r="AZ185" i="384"/>
  <c r="AY185" i="384"/>
  <c r="AW185" i="384"/>
  <c r="AV185" i="384"/>
  <c r="AU185" i="384"/>
  <c r="AT185" i="384"/>
  <c r="AS185" i="384"/>
  <c r="AR185" i="384"/>
  <c r="AQ185" i="384"/>
  <c r="AP185" i="384"/>
  <c r="BN184" i="384"/>
  <c r="BL184" i="384"/>
  <c r="BK184" i="384"/>
  <c r="BJ184" i="384"/>
  <c r="BM184" i="384" s="1"/>
  <c r="BI184" i="384"/>
  <c r="BH184" i="384"/>
  <c r="BG184" i="384"/>
  <c r="BF184" i="384"/>
  <c r="BE184" i="384"/>
  <c r="BD184" i="384"/>
  <c r="BC184" i="384"/>
  <c r="BB184" i="384"/>
  <c r="BA184" i="384"/>
  <c r="AZ184" i="384"/>
  <c r="AY184" i="384"/>
  <c r="AX184" i="384"/>
  <c r="AW184" i="384"/>
  <c r="AV184" i="384"/>
  <c r="AU184" i="384"/>
  <c r="AT184" i="384"/>
  <c r="AS184" i="384"/>
  <c r="AR184" i="384"/>
  <c r="AQ184" i="384"/>
  <c r="AP184" i="384"/>
  <c r="BN183" i="384"/>
  <c r="BM183" i="384"/>
  <c r="BL183" i="384"/>
  <c r="BK183" i="384"/>
  <c r="BJ183" i="384"/>
  <c r="BI183" i="384"/>
  <c r="BH183" i="384"/>
  <c r="BG183" i="384"/>
  <c r="BF183" i="384"/>
  <c r="BE183" i="384"/>
  <c r="BD183" i="384"/>
  <c r="BC183" i="384"/>
  <c r="BB183" i="384"/>
  <c r="BA183" i="384"/>
  <c r="AZ183" i="384"/>
  <c r="AY183" i="384"/>
  <c r="AW183" i="384"/>
  <c r="AV183" i="384"/>
  <c r="AU183" i="384"/>
  <c r="AT183" i="384"/>
  <c r="AS183" i="384"/>
  <c r="AR183" i="384"/>
  <c r="AQ183" i="384"/>
  <c r="AP183" i="384"/>
  <c r="BN182" i="384"/>
  <c r="BM182" i="384"/>
  <c r="BL182" i="384"/>
  <c r="BK182" i="384"/>
  <c r="BJ182" i="384"/>
  <c r="BI182" i="384"/>
  <c r="BH182" i="384"/>
  <c r="BG182" i="384"/>
  <c r="BF182" i="384"/>
  <c r="BE182" i="384"/>
  <c r="BD182" i="384"/>
  <c r="BC182" i="384"/>
  <c r="BB182" i="384"/>
  <c r="BA182" i="384"/>
  <c r="AZ182" i="384"/>
  <c r="AY182" i="384"/>
  <c r="AX182" i="384"/>
  <c r="AW182" i="384"/>
  <c r="AV182" i="384"/>
  <c r="AU182" i="384"/>
  <c r="AT182" i="384"/>
  <c r="AS182" i="384"/>
  <c r="AR182" i="384"/>
  <c r="AQ182" i="384"/>
  <c r="AP182" i="384"/>
  <c r="BN181" i="384"/>
  <c r="BM181" i="384"/>
  <c r="BL181" i="384"/>
  <c r="BK181" i="384"/>
  <c r="BJ181" i="384"/>
  <c r="BI181" i="384"/>
  <c r="BH181" i="384"/>
  <c r="BG181" i="384"/>
  <c r="BF181" i="384"/>
  <c r="BE181" i="384"/>
  <c r="BD181" i="384"/>
  <c r="BC181" i="384"/>
  <c r="BB181" i="384"/>
  <c r="BA181" i="384"/>
  <c r="AZ181" i="384"/>
  <c r="AW181" i="384"/>
  <c r="AV181" i="384"/>
  <c r="AU181" i="384"/>
  <c r="AT181" i="384"/>
  <c r="AS181" i="384"/>
  <c r="AR181" i="384"/>
  <c r="AQ181" i="384"/>
  <c r="AP181" i="384"/>
  <c r="BN180" i="384"/>
  <c r="BM180" i="384"/>
  <c r="BL180" i="384"/>
  <c r="BK180" i="384"/>
  <c r="BJ180" i="384"/>
  <c r="BI180" i="384"/>
  <c r="BH180" i="384"/>
  <c r="BG180" i="384"/>
  <c r="BF180" i="384"/>
  <c r="BE180" i="384"/>
  <c r="BD180" i="384"/>
  <c r="BC180" i="384"/>
  <c r="BB180" i="384"/>
  <c r="BA180" i="384"/>
  <c r="AZ180" i="384"/>
  <c r="AW180" i="384"/>
  <c r="AV180" i="384"/>
  <c r="AU180" i="384"/>
  <c r="AT180" i="384"/>
  <c r="AS180" i="384"/>
  <c r="AR180" i="384"/>
  <c r="AQ180" i="384"/>
  <c r="AP180" i="384"/>
  <c r="BN179" i="384"/>
  <c r="BL179" i="384"/>
  <c r="BK179" i="384"/>
  <c r="BJ179" i="384"/>
  <c r="BM179" i="384" s="1"/>
  <c r="BI179" i="384"/>
  <c r="BH179" i="384"/>
  <c r="BG179" i="384"/>
  <c r="BF179" i="384"/>
  <c r="BE179" i="384"/>
  <c r="BD179" i="384"/>
  <c r="BC179" i="384"/>
  <c r="BB179" i="384"/>
  <c r="BA179" i="384"/>
  <c r="AZ179" i="384"/>
  <c r="AW179" i="384"/>
  <c r="AV179" i="384"/>
  <c r="AU179" i="384"/>
  <c r="AT179" i="384"/>
  <c r="AS179" i="384"/>
  <c r="AR179" i="384"/>
  <c r="AQ179" i="384"/>
  <c r="AP179" i="384"/>
  <c r="BN178" i="384"/>
  <c r="BL178" i="384"/>
  <c r="BK178" i="384"/>
  <c r="BJ178" i="384"/>
  <c r="BM178" i="384" s="1"/>
  <c r="BI178" i="384"/>
  <c r="BH178" i="384"/>
  <c r="BG178" i="384"/>
  <c r="BF178" i="384"/>
  <c r="BE178" i="384"/>
  <c r="BD178" i="384"/>
  <c r="BC178" i="384"/>
  <c r="BB178" i="384"/>
  <c r="BA178" i="384"/>
  <c r="AZ178" i="384"/>
  <c r="AW178" i="384"/>
  <c r="AV178" i="384"/>
  <c r="AU178" i="384"/>
  <c r="AT178" i="384"/>
  <c r="AS178" i="384"/>
  <c r="AR178" i="384"/>
  <c r="AQ178" i="384"/>
  <c r="AP178" i="384"/>
  <c r="BN177" i="384"/>
  <c r="BL177" i="384"/>
  <c r="BK177" i="384"/>
  <c r="BJ177" i="384"/>
  <c r="BM177" i="384" s="1"/>
  <c r="BI177" i="384"/>
  <c r="BH177" i="384"/>
  <c r="BG177" i="384"/>
  <c r="BF177" i="384"/>
  <c r="BE177" i="384"/>
  <c r="BD177" i="384"/>
  <c r="BC177" i="384"/>
  <c r="BB177" i="384"/>
  <c r="BA177" i="384"/>
  <c r="AZ177" i="384"/>
  <c r="AY177" i="384"/>
  <c r="AX177" i="384"/>
  <c r="AW177" i="384"/>
  <c r="AV177" i="384"/>
  <c r="AU177" i="384"/>
  <c r="AT177" i="384"/>
  <c r="AS177" i="384"/>
  <c r="AR177" i="384"/>
  <c r="AQ177" i="384"/>
  <c r="AP177" i="384"/>
  <c r="AO176" i="384"/>
  <c r="AN176" i="384"/>
  <c r="AM176" i="384"/>
  <c r="AL176" i="384"/>
  <c r="AK176" i="384"/>
  <c r="AJ176" i="384"/>
  <c r="AI176" i="384"/>
  <c r="AH176" i="384"/>
  <c r="AG176" i="384"/>
  <c r="AF176" i="384"/>
  <c r="AE176" i="384"/>
  <c r="AD176" i="384"/>
  <c r="AC176" i="384"/>
  <c r="AB176" i="384"/>
  <c r="AA176" i="384"/>
  <c r="Z176" i="384"/>
  <c r="Y176" i="384"/>
  <c r="X176" i="384"/>
  <c r="W176" i="384"/>
  <c r="V176" i="384"/>
  <c r="U176" i="384"/>
  <c r="T176" i="384"/>
  <c r="S176" i="384"/>
  <c r="R176" i="384"/>
  <c r="Q176" i="384"/>
  <c r="P176" i="384"/>
  <c r="O176" i="384"/>
  <c r="N176" i="384"/>
  <c r="M176" i="384"/>
  <c r="L176" i="384"/>
  <c r="BN175" i="384"/>
  <c r="BK175" i="384"/>
  <c r="BJ175" i="384"/>
  <c r="BM175" i="384" s="1"/>
  <c r="BI175" i="384"/>
  <c r="BH175" i="384"/>
  <c r="BG175" i="384"/>
  <c r="BF175" i="384"/>
  <c r="BE175" i="384"/>
  <c r="BD175" i="384"/>
  <c r="BC175" i="384"/>
  <c r="BB175" i="384"/>
  <c r="BA175" i="384"/>
  <c r="AZ175" i="384"/>
  <c r="AY175" i="384"/>
  <c r="BL175" i="384" s="1"/>
  <c r="AX175" i="384"/>
  <c r="AW175" i="384"/>
  <c r="AV175" i="384"/>
  <c r="AU175" i="384"/>
  <c r="AT175" i="384"/>
  <c r="AS175" i="384"/>
  <c r="AR175" i="384"/>
  <c r="AQ175" i="384"/>
  <c r="AP175" i="384"/>
  <c r="BN174" i="384"/>
  <c r="BL174" i="384"/>
  <c r="BJ174" i="384"/>
  <c r="BM174" i="384" s="1"/>
  <c r="BI174" i="384"/>
  <c r="BH174" i="384"/>
  <c r="BG174" i="384"/>
  <c r="BF174" i="384"/>
  <c r="BE174" i="384"/>
  <c r="BD174" i="384"/>
  <c r="BC174" i="384"/>
  <c r="BB174" i="384"/>
  <c r="BA174" i="384"/>
  <c r="AZ174" i="384"/>
  <c r="AX174" i="384"/>
  <c r="BK174" i="384" s="1"/>
  <c r="AW174" i="384"/>
  <c r="AV174" i="384"/>
  <c r="AU174" i="384"/>
  <c r="AT174" i="384"/>
  <c r="AS174" i="384"/>
  <c r="AR174" i="384"/>
  <c r="AQ174" i="384"/>
  <c r="AP174" i="384"/>
  <c r="BN173" i="384"/>
  <c r="BL173" i="384"/>
  <c r="BK173" i="384"/>
  <c r="BJ173" i="384"/>
  <c r="BM173" i="384" s="1"/>
  <c r="BI173" i="384"/>
  <c r="BH173" i="384"/>
  <c r="BG173" i="384"/>
  <c r="BF173" i="384"/>
  <c r="BE173" i="384"/>
  <c r="BD173" i="384"/>
  <c r="BC173" i="384"/>
  <c r="BB173" i="384"/>
  <c r="BA173" i="384"/>
  <c r="AZ173" i="384"/>
  <c r="AY173" i="384"/>
  <c r="AX173" i="384"/>
  <c r="AW173" i="384"/>
  <c r="AV173" i="384"/>
  <c r="AU173" i="384"/>
  <c r="AT173" i="384"/>
  <c r="AS173" i="384"/>
  <c r="AR173" i="384"/>
  <c r="AQ173" i="384"/>
  <c r="AP173" i="384"/>
  <c r="BN172" i="384"/>
  <c r="BL172" i="384"/>
  <c r="BK172" i="384"/>
  <c r="BJ172" i="384"/>
  <c r="BM172" i="384" s="1"/>
  <c r="BI172" i="384"/>
  <c r="BH172" i="384"/>
  <c r="BG172" i="384"/>
  <c r="BF172" i="384"/>
  <c r="BE172" i="384"/>
  <c r="BD172" i="384"/>
  <c r="BC172" i="384"/>
  <c r="BB172" i="384"/>
  <c r="BA172" i="384"/>
  <c r="AZ172" i="384"/>
  <c r="AY172" i="384"/>
  <c r="AW172" i="384"/>
  <c r="AV172" i="384"/>
  <c r="AU172" i="384"/>
  <c r="AT172" i="384"/>
  <c r="AS172" i="384"/>
  <c r="AR172" i="384"/>
  <c r="AQ172" i="384"/>
  <c r="AP172" i="384"/>
  <c r="BN171" i="384"/>
  <c r="BL171" i="384"/>
  <c r="BK171" i="384"/>
  <c r="BJ171" i="384"/>
  <c r="BM171" i="384" s="1"/>
  <c r="BI171" i="384"/>
  <c r="BH171" i="384"/>
  <c r="BG171" i="384"/>
  <c r="BF171" i="384"/>
  <c r="BE171" i="384"/>
  <c r="BD171" i="384"/>
  <c r="BC171" i="384"/>
  <c r="BB171" i="384"/>
  <c r="BA171" i="384"/>
  <c r="AZ171" i="384"/>
  <c r="AW171" i="384"/>
  <c r="AV171" i="384"/>
  <c r="AU171" i="384"/>
  <c r="AT171" i="384"/>
  <c r="AS171" i="384"/>
  <c r="AR171" i="384"/>
  <c r="AQ171" i="384"/>
  <c r="AP171" i="384"/>
  <c r="BN170" i="384"/>
  <c r="BL170" i="384"/>
  <c r="BK170" i="384"/>
  <c r="BJ170" i="384"/>
  <c r="BM170" i="384" s="1"/>
  <c r="BI170" i="384"/>
  <c r="BH170" i="384"/>
  <c r="BG170" i="384"/>
  <c r="BF170" i="384"/>
  <c r="BE170" i="384"/>
  <c r="BD170" i="384"/>
  <c r="BC170" i="384"/>
  <c r="BB170" i="384"/>
  <c r="BA170" i="384"/>
  <c r="AZ170" i="384"/>
  <c r="AY170" i="384"/>
  <c r="AW170" i="384"/>
  <c r="AV170" i="384"/>
  <c r="AU170" i="384"/>
  <c r="AT170" i="384"/>
  <c r="AS170" i="384"/>
  <c r="AR170" i="384"/>
  <c r="AQ170" i="384"/>
  <c r="AP170" i="384"/>
  <c r="BN169" i="384"/>
  <c r="BL169" i="384"/>
  <c r="BK169" i="384"/>
  <c r="BJ169" i="384"/>
  <c r="BM169" i="384" s="1"/>
  <c r="BI169" i="384"/>
  <c r="BH169" i="384"/>
  <c r="BG169" i="384"/>
  <c r="BF169" i="384"/>
  <c r="BE169" i="384"/>
  <c r="BD169" i="384"/>
  <c r="BC169" i="384"/>
  <c r="BB169" i="384"/>
  <c r="BA169" i="384"/>
  <c r="AZ169" i="384"/>
  <c r="AY169" i="384"/>
  <c r="AW169" i="384"/>
  <c r="AV169" i="384"/>
  <c r="AU169" i="384"/>
  <c r="AT169" i="384"/>
  <c r="AS169" i="384"/>
  <c r="AR169" i="384"/>
  <c r="AQ169" i="384"/>
  <c r="AP169" i="384"/>
  <c r="BN168" i="384"/>
  <c r="BL168" i="384"/>
  <c r="BK168" i="384"/>
  <c r="BJ168" i="384"/>
  <c r="BM168" i="384" s="1"/>
  <c r="BI168" i="384"/>
  <c r="BH168" i="384"/>
  <c r="BG168" i="384"/>
  <c r="BF168" i="384"/>
  <c r="BE168" i="384"/>
  <c r="BD168" i="384"/>
  <c r="BC168" i="384"/>
  <c r="BB168" i="384"/>
  <c r="BA168" i="384"/>
  <c r="AZ168" i="384"/>
  <c r="AY168" i="384"/>
  <c r="AW168" i="384"/>
  <c r="AV168" i="384"/>
  <c r="AU168" i="384"/>
  <c r="AT168" i="384"/>
  <c r="AS168" i="384"/>
  <c r="AR168" i="384"/>
  <c r="AQ168" i="384"/>
  <c r="AP168" i="384"/>
  <c r="BN167" i="384"/>
  <c r="BL167" i="384"/>
  <c r="BK167" i="384"/>
  <c r="BJ167" i="384"/>
  <c r="BM167" i="384" s="1"/>
  <c r="BI167" i="384"/>
  <c r="BH167" i="384"/>
  <c r="BG167" i="384"/>
  <c r="BF167" i="384"/>
  <c r="BE167" i="384"/>
  <c r="BD167" i="384"/>
  <c r="BC167" i="384"/>
  <c r="BB167" i="384"/>
  <c r="BA167" i="384"/>
  <c r="AZ167" i="384"/>
  <c r="AY167" i="384"/>
  <c r="AW167" i="384"/>
  <c r="AV167" i="384"/>
  <c r="AU167" i="384"/>
  <c r="AT167" i="384"/>
  <c r="AS167" i="384"/>
  <c r="AR167" i="384"/>
  <c r="AQ167" i="384"/>
  <c r="AP167" i="384"/>
  <c r="BN166" i="384"/>
  <c r="BL166" i="384"/>
  <c r="BK166" i="384"/>
  <c r="BJ166" i="384"/>
  <c r="BM166" i="384" s="1"/>
  <c r="BI166" i="384"/>
  <c r="BH166" i="384"/>
  <c r="BG166" i="384"/>
  <c r="BF166" i="384"/>
  <c r="BE166" i="384"/>
  <c r="BD166" i="384"/>
  <c r="BC166" i="384"/>
  <c r="BB166" i="384"/>
  <c r="BA166" i="384"/>
  <c r="AZ166" i="384"/>
  <c r="AY166" i="384"/>
  <c r="AX166" i="384"/>
  <c r="AW166" i="384"/>
  <c r="AV166" i="384"/>
  <c r="AU166" i="384"/>
  <c r="AT166" i="384"/>
  <c r="AS166" i="384"/>
  <c r="AR166" i="384"/>
  <c r="AQ166" i="384"/>
  <c r="AP166" i="384"/>
  <c r="BN165" i="384"/>
  <c r="BL165" i="384"/>
  <c r="BK165" i="384"/>
  <c r="BJ165" i="384"/>
  <c r="BM165" i="384" s="1"/>
  <c r="BI165" i="384"/>
  <c r="BH165" i="384"/>
  <c r="BG165" i="384"/>
  <c r="BF165" i="384"/>
  <c r="BE165" i="384"/>
  <c r="BD165" i="384"/>
  <c r="BC165" i="384"/>
  <c r="BB165" i="384"/>
  <c r="BA165" i="384"/>
  <c r="AZ165" i="384"/>
  <c r="AY165" i="384"/>
  <c r="AX165" i="384"/>
  <c r="AW165" i="384"/>
  <c r="AV165" i="384"/>
  <c r="AU165" i="384"/>
  <c r="AT165" i="384"/>
  <c r="AS165" i="384"/>
  <c r="AR165" i="384"/>
  <c r="AQ165" i="384"/>
  <c r="AP165" i="384"/>
  <c r="BN164" i="384"/>
  <c r="BM164" i="384"/>
  <c r="BL164" i="384"/>
  <c r="BK164" i="384"/>
  <c r="BJ164" i="384"/>
  <c r="BI164" i="384"/>
  <c r="BH164" i="384"/>
  <c r="BG164" i="384"/>
  <c r="BF164" i="384"/>
  <c r="BE164" i="384"/>
  <c r="BD164" i="384"/>
  <c r="BC164" i="384"/>
  <c r="BB164" i="384"/>
  <c r="BA164" i="384"/>
  <c r="AZ164" i="384"/>
  <c r="AW164" i="384"/>
  <c r="AV164" i="384"/>
  <c r="AU164" i="384"/>
  <c r="AT164" i="384"/>
  <c r="AS164" i="384"/>
  <c r="AR164" i="384"/>
  <c r="AQ164" i="384"/>
  <c r="AP164" i="384"/>
  <c r="BN163" i="384"/>
  <c r="BL163" i="384"/>
  <c r="BK163" i="384"/>
  <c r="BJ163" i="384"/>
  <c r="BM163" i="384" s="1"/>
  <c r="BI163" i="384"/>
  <c r="BH163" i="384"/>
  <c r="BG163" i="384"/>
  <c r="BF163" i="384"/>
  <c r="BE163" i="384"/>
  <c r="BD163" i="384"/>
  <c r="BC163" i="384"/>
  <c r="BB163" i="384"/>
  <c r="BA163" i="384"/>
  <c r="AZ163" i="384"/>
  <c r="AW163" i="384"/>
  <c r="AV163" i="384"/>
  <c r="AU163" i="384"/>
  <c r="AT163" i="384"/>
  <c r="AS163" i="384"/>
  <c r="AR163" i="384"/>
  <c r="AQ163" i="384"/>
  <c r="AP163" i="384"/>
  <c r="BN162" i="384"/>
  <c r="BL162" i="384"/>
  <c r="BK162" i="384"/>
  <c r="BJ162" i="384"/>
  <c r="BM162" i="384" s="1"/>
  <c r="BI162" i="384"/>
  <c r="BH162" i="384"/>
  <c r="BG162" i="384"/>
  <c r="BF162" i="384"/>
  <c r="BE162" i="384"/>
  <c r="BD162" i="384"/>
  <c r="BC162" i="384"/>
  <c r="BB162" i="384"/>
  <c r="BA162" i="384"/>
  <c r="AZ162" i="384"/>
  <c r="AW162" i="384"/>
  <c r="AV162" i="384"/>
  <c r="AU162" i="384"/>
  <c r="AT162" i="384"/>
  <c r="AS162" i="384"/>
  <c r="AR162" i="384"/>
  <c r="AQ162" i="384"/>
  <c r="AP162" i="384"/>
  <c r="BN161" i="384"/>
  <c r="BK161" i="384"/>
  <c r="BJ161" i="384"/>
  <c r="BM161" i="384" s="1"/>
  <c r="BI161" i="384"/>
  <c r="BH161" i="384"/>
  <c r="BG161" i="384"/>
  <c r="BF161" i="384"/>
  <c r="BE161" i="384"/>
  <c r="BD161" i="384"/>
  <c r="BC161" i="384"/>
  <c r="BB161" i="384"/>
  <c r="BA161" i="384"/>
  <c r="AZ161" i="384"/>
  <c r="AY161" i="384"/>
  <c r="BL161" i="384" s="1"/>
  <c r="AW161" i="384"/>
  <c r="AV161" i="384"/>
  <c r="AU161" i="384"/>
  <c r="AT161" i="384"/>
  <c r="AS161" i="384"/>
  <c r="AR161" i="384"/>
  <c r="AQ161" i="384"/>
  <c r="AP161" i="384"/>
  <c r="BN160" i="384"/>
  <c r="BL160" i="384"/>
  <c r="BK160" i="384"/>
  <c r="BJ160" i="384"/>
  <c r="BM160" i="384" s="1"/>
  <c r="BI160" i="384"/>
  <c r="BH160" i="384"/>
  <c r="BG160" i="384"/>
  <c r="BF160" i="384"/>
  <c r="BE160" i="384"/>
  <c r="BD160" i="384"/>
  <c r="BC160" i="384"/>
  <c r="BB160" i="384"/>
  <c r="BA160" i="384"/>
  <c r="AZ160" i="384"/>
  <c r="AW160" i="384"/>
  <c r="AV160" i="384"/>
  <c r="AU160" i="384"/>
  <c r="AT160" i="384"/>
  <c r="AS160" i="384"/>
  <c r="AR160" i="384"/>
  <c r="AQ160" i="384"/>
  <c r="AP160" i="384"/>
  <c r="BN159" i="384"/>
  <c r="BL159" i="384"/>
  <c r="BK159" i="384"/>
  <c r="BJ159" i="384"/>
  <c r="BM159" i="384" s="1"/>
  <c r="BI159" i="384"/>
  <c r="BH159" i="384"/>
  <c r="BG159" i="384"/>
  <c r="BF159" i="384"/>
  <c r="BE159" i="384"/>
  <c r="BD159" i="384"/>
  <c r="BC159" i="384"/>
  <c r="BB159" i="384"/>
  <c r="BA159" i="384"/>
  <c r="AZ159" i="384"/>
  <c r="AW159" i="384"/>
  <c r="AV159" i="384"/>
  <c r="AU159" i="384"/>
  <c r="AT159" i="384"/>
  <c r="AS159" i="384"/>
  <c r="AR159" i="384"/>
  <c r="AQ159" i="384"/>
  <c r="AP159" i="384"/>
  <c r="BN158" i="384"/>
  <c r="BM158" i="384"/>
  <c r="BL158" i="384"/>
  <c r="BK158" i="384"/>
  <c r="BJ158" i="384"/>
  <c r="BI158" i="384"/>
  <c r="BH158" i="384"/>
  <c r="BG158" i="384"/>
  <c r="BF158" i="384"/>
  <c r="BE158" i="384"/>
  <c r="BD158" i="384"/>
  <c r="BC158" i="384"/>
  <c r="BB158" i="384"/>
  <c r="BA158" i="384"/>
  <c r="AZ158" i="384"/>
  <c r="AW158" i="384"/>
  <c r="AV158" i="384"/>
  <c r="AU158" i="384"/>
  <c r="AT158" i="384"/>
  <c r="AS158" i="384"/>
  <c r="AR158" i="384"/>
  <c r="AQ158" i="384"/>
  <c r="AP158" i="384"/>
  <c r="BN157" i="384"/>
  <c r="BM157" i="384"/>
  <c r="BL157" i="384"/>
  <c r="BJ157" i="384"/>
  <c r="BI157" i="384"/>
  <c r="BH157" i="384"/>
  <c r="BG157" i="384"/>
  <c r="BF157" i="384"/>
  <c r="BE157" i="384"/>
  <c r="BD157" i="384"/>
  <c r="BC157" i="384"/>
  <c r="BB157" i="384"/>
  <c r="BA157" i="384"/>
  <c r="AZ157" i="384"/>
  <c r="AX157" i="384"/>
  <c r="BK157" i="384" s="1"/>
  <c r="AW157" i="384"/>
  <c r="AV157" i="384"/>
  <c r="AU157" i="384"/>
  <c r="AT157" i="384"/>
  <c r="AS157" i="384"/>
  <c r="AR157" i="384"/>
  <c r="AQ157" i="384"/>
  <c r="AP157" i="384"/>
  <c r="BN156" i="384"/>
  <c r="BM156" i="384"/>
  <c r="BK156" i="384"/>
  <c r="BJ156" i="384"/>
  <c r="BI156" i="384"/>
  <c r="BH156" i="384"/>
  <c r="BG156" i="384"/>
  <c r="BF156" i="384"/>
  <c r="BE156" i="384"/>
  <c r="BD156" i="384"/>
  <c r="BC156" i="384"/>
  <c r="BB156" i="384"/>
  <c r="BA156" i="384"/>
  <c r="AZ156" i="384"/>
  <c r="AY156" i="384"/>
  <c r="BL156" i="384" s="1"/>
  <c r="AW156" i="384"/>
  <c r="AV156" i="384"/>
  <c r="AU156" i="384"/>
  <c r="AT156" i="384"/>
  <c r="AS156" i="384"/>
  <c r="AR156" i="384"/>
  <c r="AQ156" i="384"/>
  <c r="AP156" i="384"/>
  <c r="BN155" i="384"/>
  <c r="BM155" i="384"/>
  <c r="BJ155" i="384"/>
  <c r="BI155" i="384"/>
  <c r="BH155" i="384"/>
  <c r="BG155" i="384"/>
  <c r="BF155" i="384"/>
  <c r="BE155" i="384"/>
  <c r="BD155" i="384"/>
  <c r="BC155" i="384"/>
  <c r="BB155" i="384"/>
  <c r="BA155" i="384"/>
  <c r="AZ155" i="384"/>
  <c r="AY155" i="384"/>
  <c r="BL155" i="384" s="1"/>
  <c r="AX155" i="384"/>
  <c r="BK155" i="384" s="1"/>
  <c r="AW155" i="384"/>
  <c r="AV155" i="384"/>
  <c r="AU155" i="384"/>
  <c r="AT155" i="384"/>
  <c r="AS155" i="384"/>
  <c r="AR155" i="384"/>
  <c r="AQ155" i="384"/>
  <c r="AP155" i="384"/>
  <c r="BN154" i="384"/>
  <c r="BM154" i="384"/>
  <c r="BJ154" i="384"/>
  <c r="BI154" i="384"/>
  <c r="BH154" i="384"/>
  <c r="BG154" i="384"/>
  <c r="BF154" i="384"/>
  <c r="BE154" i="384"/>
  <c r="BD154" i="384"/>
  <c r="BC154" i="384"/>
  <c r="BB154" i="384"/>
  <c r="BA154" i="384"/>
  <c r="AZ154" i="384"/>
  <c r="AY154" i="384"/>
  <c r="BL154" i="384" s="1"/>
  <c r="AX154" i="384"/>
  <c r="BK154" i="384" s="1"/>
  <c r="AW154" i="384"/>
  <c r="AV154" i="384"/>
  <c r="AU154" i="384"/>
  <c r="AT154" i="384"/>
  <c r="AS154" i="384"/>
  <c r="AR154" i="384"/>
  <c r="AQ154" i="384"/>
  <c r="AP154" i="384"/>
  <c r="BN153" i="384"/>
  <c r="BL153" i="384"/>
  <c r="BK153" i="384"/>
  <c r="BJ153" i="384"/>
  <c r="BM153" i="384" s="1"/>
  <c r="BI153" i="384"/>
  <c r="BH153" i="384"/>
  <c r="BG153" i="384"/>
  <c r="BF153" i="384"/>
  <c r="BE153" i="384"/>
  <c r="BD153" i="384"/>
  <c r="BC153" i="384"/>
  <c r="BB153" i="384"/>
  <c r="BA153" i="384"/>
  <c r="AZ153" i="384"/>
  <c r="AW153" i="384"/>
  <c r="AV153" i="384"/>
  <c r="AU153" i="384"/>
  <c r="AT153" i="384"/>
  <c r="AS153" i="384"/>
  <c r="AR153" i="384"/>
  <c r="AQ153" i="384"/>
  <c r="AP153" i="384"/>
  <c r="BN152" i="384"/>
  <c r="BM152" i="384"/>
  <c r="BK152" i="384"/>
  <c r="BJ152" i="384"/>
  <c r="BI152" i="384"/>
  <c r="BH152" i="384"/>
  <c r="BG152" i="384"/>
  <c r="BF152" i="384"/>
  <c r="BE152" i="384"/>
  <c r="BD152" i="384"/>
  <c r="BC152" i="384"/>
  <c r="BB152" i="384"/>
  <c r="BA152" i="384"/>
  <c r="AZ152" i="384"/>
  <c r="AY152" i="384"/>
  <c r="BL152" i="384" s="1"/>
  <c r="AW152" i="384"/>
  <c r="AV152" i="384"/>
  <c r="AU152" i="384"/>
  <c r="AT152" i="384"/>
  <c r="AS152" i="384"/>
  <c r="AR152" i="384"/>
  <c r="AQ152" i="384"/>
  <c r="AP152" i="384"/>
  <c r="BN151" i="384"/>
  <c r="BM151" i="384"/>
  <c r="BL151" i="384"/>
  <c r="BK151" i="384"/>
  <c r="BJ151" i="384"/>
  <c r="BI151" i="384"/>
  <c r="BH151" i="384"/>
  <c r="BG151" i="384"/>
  <c r="BF151" i="384"/>
  <c r="BE151" i="384"/>
  <c r="BD151" i="384"/>
  <c r="BC151" i="384"/>
  <c r="BB151" i="384"/>
  <c r="BA151" i="384"/>
  <c r="AZ151" i="384"/>
  <c r="AW151" i="384"/>
  <c r="AV151" i="384"/>
  <c r="AU151" i="384"/>
  <c r="AT151" i="384"/>
  <c r="AS151" i="384"/>
  <c r="AR151" i="384"/>
  <c r="AQ151" i="384"/>
  <c r="AP151" i="384"/>
  <c r="AO150" i="384"/>
  <c r="AN150" i="384"/>
  <c r="AM150" i="384"/>
  <c r="AL150" i="384"/>
  <c r="AK150" i="384"/>
  <c r="AJ150" i="384"/>
  <c r="AI150" i="384"/>
  <c r="AH150" i="384"/>
  <c r="AG150" i="384"/>
  <c r="AF150" i="384"/>
  <c r="AE150" i="384"/>
  <c r="AD150" i="384"/>
  <c r="AC150" i="384"/>
  <c r="AB150" i="384"/>
  <c r="AA150" i="384"/>
  <c r="Z150" i="384"/>
  <c r="Y150" i="384"/>
  <c r="X150" i="384"/>
  <c r="W150" i="384"/>
  <c r="V150" i="384"/>
  <c r="U150" i="384"/>
  <c r="T150" i="384"/>
  <c r="S150" i="384"/>
  <c r="R150" i="384"/>
  <c r="Q150" i="384"/>
  <c r="P150" i="384"/>
  <c r="O150" i="384"/>
  <c r="N150" i="384"/>
  <c r="M150" i="384"/>
  <c r="L150" i="384"/>
  <c r="BN149" i="384"/>
  <c r="BL149" i="384"/>
  <c r="BK149" i="384"/>
  <c r="BJ149" i="384"/>
  <c r="BM149" i="384" s="1"/>
  <c r="BI149" i="384"/>
  <c r="BH149" i="384"/>
  <c r="BG149" i="384"/>
  <c r="BF149" i="384"/>
  <c r="BE149" i="384"/>
  <c r="BD149" i="384"/>
  <c r="BC149" i="384"/>
  <c r="BB149" i="384"/>
  <c r="BA149" i="384"/>
  <c r="AZ149" i="384"/>
  <c r="AY149" i="384"/>
  <c r="AW149" i="384"/>
  <c r="AV149" i="384"/>
  <c r="AU149" i="384"/>
  <c r="AT149" i="384"/>
  <c r="AS149" i="384"/>
  <c r="AR149" i="384"/>
  <c r="AQ149" i="384"/>
  <c r="AP149" i="384"/>
  <c r="BN148" i="384"/>
  <c r="BL148" i="384"/>
  <c r="BK148" i="384"/>
  <c r="BJ148" i="384"/>
  <c r="BM148" i="384" s="1"/>
  <c r="BI148" i="384"/>
  <c r="BH148" i="384"/>
  <c r="BG148" i="384"/>
  <c r="BF148" i="384"/>
  <c r="BE148" i="384"/>
  <c r="BD148" i="384"/>
  <c r="BC148" i="384"/>
  <c r="BB148" i="384"/>
  <c r="BA148" i="384"/>
  <c r="AZ148" i="384"/>
  <c r="AW148" i="384"/>
  <c r="AV148" i="384"/>
  <c r="AU148" i="384"/>
  <c r="AT148" i="384"/>
  <c r="AS148" i="384"/>
  <c r="AR148" i="384"/>
  <c r="AQ148" i="384"/>
  <c r="AP148" i="384"/>
  <c r="BN147" i="384"/>
  <c r="BL147" i="384"/>
  <c r="BK147" i="384"/>
  <c r="BJ147" i="384"/>
  <c r="BM147" i="384" s="1"/>
  <c r="BI147" i="384"/>
  <c r="BH147" i="384"/>
  <c r="BG147" i="384"/>
  <c r="BF147" i="384"/>
  <c r="BE147" i="384"/>
  <c r="BD147" i="384"/>
  <c r="BC147" i="384"/>
  <c r="BB147" i="384"/>
  <c r="BA147" i="384"/>
  <c r="AZ147" i="384"/>
  <c r="AW147" i="384"/>
  <c r="AV147" i="384"/>
  <c r="AU147" i="384"/>
  <c r="AT147" i="384"/>
  <c r="AS147" i="384"/>
  <c r="AR147" i="384"/>
  <c r="AQ147" i="384"/>
  <c r="AP147" i="384"/>
  <c r="BN146" i="384"/>
  <c r="BL146" i="384"/>
  <c r="BK146" i="384"/>
  <c r="BJ146" i="384"/>
  <c r="BM146" i="384" s="1"/>
  <c r="BI146" i="384"/>
  <c r="BH146" i="384"/>
  <c r="BG146" i="384"/>
  <c r="BF146" i="384"/>
  <c r="BE146" i="384"/>
  <c r="BD146" i="384"/>
  <c r="BC146" i="384"/>
  <c r="BB146" i="384"/>
  <c r="BA146" i="384"/>
  <c r="AZ146" i="384"/>
  <c r="AW146" i="384"/>
  <c r="AV146" i="384"/>
  <c r="AU146" i="384"/>
  <c r="AT146" i="384"/>
  <c r="AS146" i="384"/>
  <c r="AR146" i="384"/>
  <c r="AQ146" i="384"/>
  <c r="AP146" i="384"/>
  <c r="BN145" i="384"/>
  <c r="BK145" i="384"/>
  <c r="BJ145" i="384"/>
  <c r="BM145" i="384" s="1"/>
  <c r="BI145" i="384"/>
  <c r="BH145" i="384"/>
  <c r="BG145" i="384"/>
  <c r="BF145" i="384"/>
  <c r="BE145" i="384"/>
  <c r="BD145" i="384"/>
  <c r="BC145" i="384"/>
  <c r="BB145" i="384"/>
  <c r="BA145" i="384"/>
  <c r="AZ145" i="384"/>
  <c r="AY145" i="384"/>
  <c r="BL145" i="384" s="1"/>
  <c r="AW145" i="384"/>
  <c r="AV145" i="384"/>
  <c r="AU145" i="384"/>
  <c r="AT145" i="384"/>
  <c r="AS145" i="384"/>
  <c r="AR145" i="384"/>
  <c r="AQ145" i="384"/>
  <c r="AP145" i="384"/>
  <c r="BN144" i="384"/>
  <c r="BL144" i="384"/>
  <c r="BK144" i="384"/>
  <c r="BJ144" i="384"/>
  <c r="BM144" i="384" s="1"/>
  <c r="BI144" i="384"/>
  <c r="BH144" i="384"/>
  <c r="BG144" i="384"/>
  <c r="BF144" i="384"/>
  <c r="BE144" i="384"/>
  <c r="BD144" i="384"/>
  <c r="BC144" i="384"/>
  <c r="BB144" i="384"/>
  <c r="BA144" i="384"/>
  <c r="AZ144" i="384"/>
  <c r="AX144" i="384"/>
  <c r="AW144" i="384"/>
  <c r="AV144" i="384"/>
  <c r="AU144" i="384"/>
  <c r="AT144" i="384"/>
  <c r="AS144" i="384"/>
  <c r="AR144" i="384"/>
  <c r="AQ144" i="384"/>
  <c r="AP144" i="384"/>
  <c r="AO143" i="384"/>
  <c r="AN143" i="384"/>
  <c r="AM143" i="384"/>
  <c r="AL143" i="384"/>
  <c r="AK143" i="384"/>
  <c r="AJ143" i="384"/>
  <c r="AI143" i="384"/>
  <c r="AH143" i="384"/>
  <c r="AG143" i="384"/>
  <c r="AF143" i="384"/>
  <c r="AE143" i="384"/>
  <c r="AD143" i="384"/>
  <c r="AC143" i="384"/>
  <c r="AB143" i="384"/>
  <c r="AA143" i="384"/>
  <c r="Z143" i="384"/>
  <c r="Y143" i="384"/>
  <c r="X143" i="384"/>
  <c r="W143" i="384"/>
  <c r="V143" i="384"/>
  <c r="U143" i="384"/>
  <c r="T143" i="384"/>
  <c r="S143" i="384"/>
  <c r="R143" i="384"/>
  <c r="Q143" i="384"/>
  <c r="P143" i="384"/>
  <c r="O143" i="384"/>
  <c r="N143" i="384"/>
  <c r="M143" i="384"/>
  <c r="L143" i="384"/>
  <c r="BN142" i="384"/>
  <c r="BK142" i="384"/>
  <c r="BJ142" i="384"/>
  <c r="BM142" i="384" s="1"/>
  <c r="BI142" i="384"/>
  <c r="BH142" i="384"/>
  <c r="BG142" i="384"/>
  <c r="BF142" i="384"/>
  <c r="BE142" i="384"/>
  <c r="BD142" i="384"/>
  <c r="BC142" i="384"/>
  <c r="BB142" i="384"/>
  <c r="BA142" i="384"/>
  <c r="AZ142" i="384"/>
  <c r="AY142" i="384"/>
  <c r="BL142" i="384" s="1"/>
  <c r="AW142" i="384"/>
  <c r="AV142" i="384"/>
  <c r="AU142" i="384"/>
  <c r="AT142" i="384"/>
  <c r="AS142" i="384"/>
  <c r="AR142" i="384"/>
  <c r="AQ142" i="384"/>
  <c r="AP142" i="384"/>
  <c r="BN141" i="384"/>
  <c r="BL141" i="384"/>
  <c r="BK141" i="384"/>
  <c r="BJ141" i="384"/>
  <c r="BM141" i="384" s="1"/>
  <c r="BI141" i="384"/>
  <c r="BH141" i="384"/>
  <c r="BG141" i="384"/>
  <c r="BF141" i="384"/>
  <c r="BE141" i="384"/>
  <c r="BD141" i="384"/>
  <c r="BC141" i="384"/>
  <c r="BB141" i="384"/>
  <c r="BA141" i="384"/>
  <c r="AZ141" i="384"/>
  <c r="AW141" i="384"/>
  <c r="AV141" i="384"/>
  <c r="AU141" i="384"/>
  <c r="AT141" i="384"/>
  <c r="AS141" i="384"/>
  <c r="AR141" i="384"/>
  <c r="AQ141" i="384"/>
  <c r="AP141" i="384"/>
  <c r="BN140" i="384"/>
  <c r="BM140" i="384"/>
  <c r="BK140" i="384"/>
  <c r="BJ140" i="384"/>
  <c r="BI140" i="384"/>
  <c r="BH140" i="384"/>
  <c r="BG140" i="384"/>
  <c r="BF140" i="384"/>
  <c r="BE140" i="384"/>
  <c r="BD140" i="384"/>
  <c r="BC140" i="384"/>
  <c r="BB140" i="384"/>
  <c r="BA140" i="384"/>
  <c r="AZ140" i="384"/>
  <c r="AY140" i="384"/>
  <c r="BL140" i="384" s="1"/>
  <c r="AW140" i="384"/>
  <c r="AV140" i="384"/>
  <c r="AU140" i="384"/>
  <c r="AT140" i="384"/>
  <c r="AS140" i="384"/>
  <c r="AR140" i="384"/>
  <c r="AQ140" i="384"/>
  <c r="AP140" i="384"/>
  <c r="BN139" i="384"/>
  <c r="BM139" i="384"/>
  <c r="BJ139" i="384"/>
  <c r="BI139" i="384"/>
  <c r="BH139" i="384"/>
  <c r="BG139" i="384"/>
  <c r="BF139" i="384"/>
  <c r="BE139" i="384"/>
  <c r="BD139" i="384"/>
  <c r="BC139" i="384"/>
  <c r="BB139" i="384"/>
  <c r="BA139" i="384"/>
  <c r="AZ139" i="384"/>
  <c r="AY139" i="384"/>
  <c r="BL139" i="384" s="1"/>
  <c r="AX139" i="384"/>
  <c r="BK139" i="384" s="1"/>
  <c r="AW139" i="384"/>
  <c r="AV139" i="384"/>
  <c r="AU139" i="384"/>
  <c r="AT139" i="384"/>
  <c r="AS139" i="384"/>
  <c r="AR139" i="384"/>
  <c r="AQ139" i="384"/>
  <c r="AP139" i="384"/>
  <c r="BN138" i="384"/>
  <c r="BJ138" i="384"/>
  <c r="BM138" i="384" s="1"/>
  <c r="BI138" i="384"/>
  <c r="BH138" i="384"/>
  <c r="BG138" i="384"/>
  <c r="BF138" i="384"/>
  <c r="BE138" i="384"/>
  <c r="BD138" i="384"/>
  <c r="BC138" i="384"/>
  <c r="BB138" i="384"/>
  <c r="BA138" i="384"/>
  <c r="AZ138" i="384"/>
  <c r="AY138" i="384"/>
  <c r="BL138" i="384" s="1"/>
  <c r="AX138" i="384"/>
  <c r="BK138" i="384" s="1"/>
  <c r="AW138" i="384"/>
  <c r="AV138" i="384"/>
  <c r="AU138" i="384"/>
  <c r="AT138" i="384"/>
  <c r="AS138" i="384"/>
  <c r="AR138" i="384"/>
  <c r="AQ138" i="384"/>
  <c r="AP138" i="384"/>
  <c r="BN137" i="384"/>
  <c r="BK137" i="384"/>
  <c r="BJ137" i="384"/>
  <c r="BM137" i="384" s="1"/>
  <c r="BI137" i="384"/>
  <c r="BH137" i="384"/>
  <c r="BG137" i="384"/>
  <c r="BF137" i="384"/>
  <c r="BE137" i="384"/>
  <c r="BD137" i="384"/>
  <c r="BC137" i="384"/>
  <c r="BB137" i="384"/>
  <c r="BA137" i="384"/>
  <c r="AZ137" i="384"/>
  <c r="AY137" i="384"/>
  <c r="BL137" i="384" s="1"/>
  <c r="AW137" i="384"/>
  <c r="AV137" i="384"/>
  <c r="AU137" i="384"/>
  <c r="AT137" i="384"/>
  <c r="AS137" i="384"/>
  <c r="AR137" i="384"/>
  <c r="AQ137" i="384"/>
  <c r="AP137" i="384"/>
  <c r="BN136" i="384"/>
  <c r="BL136" i="384"/>
  <c r="BK136" i="384"/>
  <c r="BJ136" i="384"/>
  <c r="BM136" i="384" s="1"/>
  <c r="BI136" i="384"/>
  <c r="BH136" i="384"/>
  <c r="BG136" i="384"/>
  <c r="BF136" i="384"/>
  <c r="BE136" i="384"/>
  <c r="BD136" i="384"/>
  <c r="BC136" i="384"/>
  <c r="BB136" i="384"/>
  <c r="BA136" i="384"/>
  <c r="AZ136" i="384"/>
  <c r="AW136" i="384"/>
  <c r="AV136" i="384"/>
  <c r="AU136" i="384"/>
  <c r="AT136" i="384"/>
  <c r="AS136" i="384"/>
  <c r="AR136" i="384"/>
  <c r="AQ136" i="384"/>
  <c r="AP136" i="384"/>
  <c r="BN135" i="384"/>
  <c r="BK135" i="384"/>
  <c r="BJ135" i="384"/>
  <c r="BM135" i="384" s="1"/>
  <c r="BI135" i="384"/>
  <c r="BH135" i="384"/>
  <c r="BG135" i="384"/>
  <c r="BF135" i="384"/>
  <c r="BE135" i="384"/>
  <c r="BD135" i="384"/>
  <c r="BC135" i="384"/>
  <c r="BB135" i="384"/>
  <c r="BA135" i="384"/>
  <c r="AZ135" i="384"/>
  <c r="AY135" i="384"/>
  <c r="BL135" i="384" s="1"/>
  <c r="AW135" i="384"/>
  <c r="AV135" i="384"/>
  <c r="AU135" i="384"/>
  <c r="AT135" i="384"/>
  <c r="AS135" i="384"/>
  <c r="AR135" i="384"/>
  <c r="AQ135" i="384"/>
  <c r="AP135" i="384"/>
  <c r="BN134" i="384"/>
  <c r="BL134" i="384"/>
  <c r="BK134" i="384"/>
  <c r="BJ134" i="384"/>
  <c r="BM134" i="384" s="1"/>
  <c r="BI134" i="384"/>
  <c r="BH134" i="384"/>
  <c r="BG134" i="384"/>
  <c r="BF134" i="384"/>
  <c r="BE134" i="384"/>
  <c r="BD134" i="384"/>
  <c r="BC134" i="384"/>
  <c r="BB134" i="384"/>
  <c r="BA134" i="384"/>
  <c r="AZ134" i="384"/>
  <c r="AW134" i="384"/>
  <c r="AV134" i="384"/>
  <c r="AU134" i="384"/>
  <c r="AT134" i="384"/>
  <c r="AS134" i="384"/>
  <c r="AR134" i="384"/>
  <c r="AQ134" i="384"/>
  <c r="AP134" i="384"/>
  <c r="BN133" i="384"/>
  <c r="BM133" i="384"/>
  <c r="BL133" i="384"/>
  <c r="BJ133" i="384"/>
  <c r="BI133" i="384"/>
  <c r="BH133" i="384"/>
  <c r="BG133" i="384"/>
  <c r="BF133" i="384"/>
  <c r="BE133" i="384"/>
  <c r="BD133" i="384"/>
  <c r="BC133" i="384"/>
  <c r="BB133" i="384"/>
  <c r="BA133" i="384"/>
  <c r="AZ133" i="384"/>
  <c r="AY133" i="384"/>
  <c r="AX133" i="384"/>
  <c r="BK133" i="384" s="1"/>
  <c r="AW133" i="384"/>
  <c r="AV133" i="384"/>
  <c r="AU133" i="384"/>
  <c r="AT133" i="384"/>
  <c r="AS133" i="384"/>
  <c r="AR133" i="384"/>
  <c r="AQ133" i="384"/>
  <c r="AP133" i="384"/>
  <c r="BN132" i="384"/>
  <c r="BK132" i="384"/>
  <c r="BJ132" i="384"/>
  <c r="BM132" i="384" s="1"/>
  <c r="BI132" i="384"/>
  <c r="BH132" i="384"/>
  <c r="BG132" i="384"/>
  <c r="BF132" i="384"/>
  <c r="BE132" i="384"/>
  <c r="BD132" i="384"/>
  <c r="BC132" i="384"/>
  <c r="BB132" i="384"/>
  <c r="BA132" i="384"/>
  <c r="AZ132" i="384"/>
  <c r="AY132" i="384"/>
  <c r="BL132" i="384" s="1"/>
  <c r="AW132" i="384"/>
  <c r="AV132" i="384"/>
  <c r="AU132" i="384"/>
  <c r="AT132" i="384"/>
  <c r="AS132" i="384"/>
  <c r="AR132" i="384"/>
  <c r="AQ132" i="384"/>
  <c r="AP132" i="384"/>
  <c r="BN131" i="384"/>
  <c r="BL131" i="384"/>
  <c r="BK131" i="384"/>
  <c r="BJ131" i="384"/>
  <c r="BM131" i="384" s="1"/>
  <c r="BI131" i="384"/>
  <c r="BH131" i="384"/>
  <c r="BG131" i="384"/>
  <c r="BF131" i="384"/>
  <c r="BE131" i="384"/>
  <c r="BD131" i="384"/>
  <c r="BC131" i="384"/>
  <c r="BB131" i="384"/>
  <c r="BA131" i="384"/>
  <c r="AZ131" i="384"/>
  <c r="AW131" i="384"/>
  <c r="AV131" i="384"/>
  <c r="AU131" i="384"/>
  <c r="AT131" i="384"/>
  <c r="AS131" i="384"/>
  <c r="AR131" i="384"/>
  <c r="AQ131" i="384"/>
  <c r="AP131" i="384"/>
  <c r="BN130" i="384"/>
  <c r="BM130" i="384"/>
  <c r="BL130" i="384"/>
  <c r="BK130" i="384"/>
  <c r="BJ130" i="384"/>
  <c r="BI130" i="384"/>
  <c r="BH130" i="384"/>
  <c r="BG130" i="384"/>
  <c r="BF130" i="384"/>
  <c r="BE130" i="384"/>
  <c r="BD130" i="384"/>
  <c r="BC130" i="384"/>
  <c r="BB130" i="384"/>
  <c r="BA130" i="384"/>
  <c r="AZ130" i="384"/>
  <c r="AY130" i="384"/>
  <c r="AW130" i="384"/>
  <c r="AV130" i="384"/>
  <c r="AU130" i="384"/>
  <c r="AT130" i="384"/>
  <c r="AS130" i="384"/>
  <c r="AR130" i="384"/>
  <c r="AQ130" i="384"/>
  <c r="AP130" i="384"/>
  <c r="AO129" i="384"/>
  <c r="AN129" i="384"/>
  <c r="AM129" i="384"/>
  <c r="AL129" i="384"/>
  <c r="AK129" i="384"/>
  <c r="AJ129" i="384"/>
  <c r="AI129" i="384"/>
  <c r="AH129" i="384"/>
  <c r="AG129" i="384"/>
  <c r="AF129" i="384"/>
  <c r="AE129" i="384"/>
  <c r="AD129" i="384"/>
  <c r="AC129" i="384"/>
  <c r="AB129" i="384"/>
  <c r="AA129" i="384"/>
  <c r="Z129" i="384"/>
  <c r="Y129" i="384"/>
  <c r="X129" i="384"/>
  <c r="W129" i="384"/>
  <c r="V129" i="384"/>
  <c r="U129" i="384"/>
  <c r="T129" i="384"/>
  <c r="S129" i="384"/>
  <c r="R129" i="384"/>
  <c r="Q129" i="384"/>
  <c r="P129" i="384"/>
  <c r="O129" i="384"/>
  <c r="N129" i="384"/>
  <c r="M129" i="384"/>
  <c r="L129" i="384"/>
  <c r="BN128" i="384"/>
  <c r="BL128" i="384"/>
  <c r="BK128" i="384"/>
  <c r="BJ128" i="384"/>
  <c r="BM128" i="384" s="1"/>
  <c r="BI128" i="384"/>
  <c r="BH128" i="384"/>
  <c r="BG128" i="384"/>
  <c r="BF128" i="384"/>
  <c r="BE128" i="384"/>
  <c r="BD128" i="384"/>
  <c r="BC128" i="384"/>
  <c r="BB128" i="384"/>
  <c r="BA128" i="384"/>
  <c r="AZ128" i="384"/>
  <c r="AY128" i="384"/>
  <c r="AW128" i="384"/>
  <c r="AV128" i="384"/>
  <c r="AU128" i="384"/>
  <c r="AT128" i="384"/>
  <c r="AS128" i="384"/>
  <c r="AR128" i="384"/>
  <c r="AQ128" i="384"/>
  <c r="AP128" i="384"/>
  <c r="BN127" i="384"/>
  <c r="BL127" i="384"/>
  <c r="BK127" i="384"/>
  <c r="BJ127" i="384"/>
  <c r="BM127" i="384" s="1"/>
  <c r="BI127" i="384"/>
  <c r="BH127" i="384"/>
  <c r="BG127" i="384"/>
  <c r="BF127" i="384"/>
  <c r="BE127" i="384"/>
  <c r="BD127" i="384"/>
  <c r="BC127" i="384"/>
  <c r="BB127" i="384"/>
  <c r="BA127" i="384"/>
  <c r="AZ127" i="384"/>
  <c r="AY127" i="384"/>
  <c r="AW127" i="384"/>
  <c r="AV127" i="384"/>
  <c r="AU127" i="384"/>
  <c r="AT127" i="384"/>
  <c r="AS127" i="384"/>
  <c r="AR127" i="384"/>
  <c r="AQ127" i="384"/>
  <c r="AP127" i="384"/>
  <c r="BN126" i="384"/>
  <c r="BL126" i="384"/>
  <c r="BK126" i="384"/>
  <c r="BJ126" i="384"/>
  <c r="BM126" i="384" s="1"/>
  <c r="BI126" i="384"/>
  <c r="BH126" i="384"/>
  <c r="BG126" i="384"/>
  <c r="BF126" i="384"/>
  <c r="BE126" i="384"/>
  <c r="BD126" i="384"/>
  <c r="BC126" i="384"/>
  <c r="BB126" i="384"/>
  <c r="BA126" i="384"/>
  <c r="AZ126" i="384"/>
  <c r="AW126" i="384"/>
  <c r="AV126" i="384"/>
  <c r="AU126" i="384"/>
  <c r="AT126" i="384"/>
  <c r="AS126" i="384"/>
  <c r="AR126" i="384"/>
  <c r="AQ126" i="384"/>
  <c r="AP126" i="384"/>
  <c r="BN125" i="384"/>
  <c r="BL125" i="384"/>
  <c r="BK125" i="384"/>
  <c r="BJ125" i="384"/>
  <c r="BM125" i="384" s="1"/>
  <c r="BI125" i="384"/>
  <c r="BH125" i="384"/>
  <c r="BG125" i="384"/>
  <c r="BF125" i="384"/>
  <c r="BE125" i="384"/>
  <c r="BD125" i="384"/>
  <c r="BC125" i="384"/>
  <c r="BB125" i="384"/>
  <c r="BA125" i="384"/>
  <c r="AZ125" i="384"/>
  <c r="AW125" i="384"/>
  <c r="AV125" i="384"/>
  <c r="AU125" i="384"/>
  <c r="AT125" i="384"/>
  <c r="AS125" i="384"/>
  <c r="AR125" i="384"/>
  <c r="AQ125" i="384"/>
  <c r="AP125" i="384"/>
  <c r="AO124" i="384"/>
  <c r="AN124" i="384"/>
  <c r="AM124" i="384"/>
  <c r="AL124" i="384"/>
  <c r="AK124" i="384"/>
  <c r="AJ124" i="384"/>
  <c r="AI124" i="384"/>
  <c r="AH124" i="384"/>
  <c r="AG124" i="384"/>
  <c r="AF124" i="384"/>
  <c r="AE124" i="384"/>
  <c r="AD124" i="384"/>
  <c r="AC124" i="384"/>
  <c r="AB124" i="384"/>
  <c r="AA124" i="384"/>
  <c r="Z124" i="384"/>
  <c r="Y124" i="384"/>
  <c r="X124" i="384"/>
  <c r="W124" i="384"/>
  <c r="V124" i="384"/>
  <c r="U124" i="384"/>
  <c r="T124" i="384"/>
  <c r="S124" i="384"/>
  <c r="R124" i="384"/>
  <c r="Q124" i="384"/>
  <c r="P124" i="384"/>
  <c r="O124" i="384"/>
  <c r="N124" i="384"/>
  <c r="M124" i="384"/>
  <c r="L124" i="384"/>
  <c r="BN123" i="384"/>
  <c r="BL123" i="384"/>
  <c r="BK123" i="384"/>
  <c r="BJ123" i="384"/>
  <c r="BM123" i="384" s="1"/>
  <c r="BI123" i="384"/>
  <c r="BH123" i="384"/>
  <c r="BG123" i="384"/>
  <c r="BF123" i="384"/>
  <c r="BE123" i="384"/>
  <c r="BD123" i="384"/>
  <c r="BC123" i="384"/>
  <c r="BB123" i="384"/>
  <c r="BA123" i="384"/>
  <c r="AZ123" i="384"/>
  <c r="AW123" i="384"/>
  <c r="AV123" i="384"/>
  <c r="AU123" i="384"/>
  <c r="AT123" i="384"/>
  <c r="AS123" i="384"/>
  <c r="AR123" i="384"/>
  <c r="AQ123" i="384"/>
  <c r="AP123" i="384"/>
  <c r="BN122" i="384"/>
  <c r="BL122" i="384"/>
  <c r="BK122" i="384"/>
  <c r="BJ122" i="384"/>
  <c r="BM122" i="384" s="1"/>
  <c r="BI122" i="384"/>
  <c r="BH122" i="384"/>
  <c r="BG122" i="384"/>
  <c r="BF122" i="384"/>
  <c r="BE122" i="384"/>
  <c r="BD122" i="384"/>
  <c r="BC122" i="384"/>
  <c r="BB122" i="384"/>
  <c r="BA122" i="384"/>
  <c r="AZ122" i="384"/>
  <c r="AW122" i="384"/>
  <c r="AV122" i="384"/>
  <c r="AU122" i="384"/>
  <c r="AT122" i="384"/>
  <c r="AS122" i="384"/>
  <c r="AR122" i="384"/>
  <c r="AQ122" i="384"/>
  <c r="AP122" i="384"/>
  <c r="BN121" i="384"/>
  <c r="BM121" i="384"/>
  <c r="BL121" i="384"/>
  <c r="BK121" i="384"/>
  <c r="BJ121" i="384"/>
  <c r="BI121" i="384"/>
  <c r="BH121" i="384"/>
  <c r="BG121" i="384"/>
  <c r="BF121" i="384"/>
  <c r="BE121" i="384"/>
  <c r="BD121" i="384"/>
  <c r="BC121" i="384"/>
  <c r="BB121" i="384"/>
  <c r="BA121" i="384"/>
  <c r="AZ121" i="384"/>
  <c r="AW121" i="384"/>
  <c r="AV121" i="384"/>
  <c r="AU121" i="384"/>
  <c r="AT121" i="384"/>
  <c r="AS121" i="384"/>
  <c r="AR121" i="384"/>
  <c r="AQ121" i="384"/>
  <c r="AP121" i="384"/>
  <c r="BN120" i="384"/>
  <c r="BM120" i="384"/>
  <c r="BL120" i="384"/>
  <c r="BK120" i="384"/>
  <c r="BJ120" i="384"/>
  <c r="BI120" i="384"/>
  <c r="BH120" i="384"/>
  <c r="BG120" i="384"/>
  <c r="BF120" i="384"/>
  <c r="BE120" i="384"/>
  <c r="BD120" i="384"/>
  <c r="BC120" i="384"/>
  <c r="BB120" i="384"/>
  <c r="BA120" i="384"/>
  <c r="AZ120" i="384"/>
  <c r="AY120" i="384"/>
  <c r="AW120" i="384"/>
  <c r="AV120" i="384"/>
  <c r="AU120" i="384"/>
  <c r="AT120" i="384"/>
  <c r="AS120" i="384"/>
  <c r="AR120" i="384"/>
  <c r="AQ120" i="384"/>
  <c r="AP120" i="384"/>
  <c r="BN119" i="384"/>
  <c r="BM119" i="384"/>
  <c r="BL119" i="384"/>
  <c r="BK119" i="384"/>
  <c r="BJ119" i="384"/>
  <c r="BI119" i="384"/>
  <c r="BH119" i="384"/>
  <c r="BG119" i="384"/>
  <c r="BF119" i="384"/>
  <c r="BE119" i="384"/>
  <c r="BD119" i="384"/>
  <c r="BC119" i="384"/>
  <c r="BB119" i="384"/>
  <c r="BA119" i="384"/>
  <c r="AZ119" i="384"/>
  <c r="AW119" i="384"/>
  <c r="AV119" i="384"/>
  <c r="AU119" i="384"/>
  <c r="AT119" i="384"/>
  <c r="AS119" i="384"/>
  <c r="AR119" i="384"/>
  <c r="AQ119" i="384"/>
  <c r="AP119" i="384"/>
  <c r="BN118" i="384"/>
  <c r="BL118" i="384"/>
  <c r="BK118" i="384"/>
  <c r="BJ118" i="384"/>
  <c r="BM118" i="384" s="1"/>
  <c r="BI118" i="384"/>
  <c r="BH118" i="384"/>
  <c r="BG118" i="384"/>
  <c r="BF118" i="384"/>
  <c r="BE118" i="384"/>
  <c r="BD118" i="384"/>
  <c r="BC118" i="384"/>
  <c r="BB118" i="384"/>
  <c r="BA118" i="384"/>
  <c r="AZ118" i="384"/>
  <c r="AW118" i="384"/>
  <c r="AV118" i="384"/>
  <c r="AU118" i="384"/>
  <c r="AT118" i="384"/>
  <c r="AS118" i="384"/>
  <c r="AR118" i="384"/>
  <c r="AQ118" i="384"/>
  <c r="AP118" i="384"/>
  <c r="AO117" i="384"/>
  <c r="AN117" i="384"/>
  <c r="AM117" i="384"/>
  <c r="AL117" i="384"/>
  <c r="AK117" i="384"/>
  <c r="AJ117" i="384"/>
  <c r="AI117" i="384"/>
  <c r="AH117" i="384"/>
  <c r="AG117" i="384"/>
  <c r="AF117" i="384"/>
  <c r="AE117" i="384"/>
  <c r="AD117" i="384"/>
  <c r="AC117" i="384"/>
  <c r="AB117" i="384"/>
  <c r="AA117" i="384"/>
  <c r="Z117" i="384"/>
  <c r="Y117" i="384"/>
  <c r="X117" i="384"/>
  <c r="W117" i="384"/>
  <c r="V117" i="384"/>
  <c r="U117" i="384"/>
  <c r="T117" i="384"/>
  <c r="S117" i="384"/>
  <c r="R117" i="384"/>
  <c r="Q117" i="384"/>
  <c r="P117" i="384"/>
  <c r="O117" i="384"/>
  <c r="N117" i="384"/>
  <c r="M117" i="384"/>
  <c r="L117" i="384"/>
  <c r="AO116" i="384"/>
  <c r="AN116" i="384"/>
  <c r="AM116" i="384"/>
  <c r="AL116" i="384"/>
  <c r="AK116" i="384"/>
  <c r="AJ116" i="384"/>
  <c r="AI116" i="384"/>
  <c r="AH116" i="384"/>
  <c r="AG116" i="384"/>
  <c r="AF116" i="384"/>
  <c r="AE116" i="384"/>
  <c r="AD116" i="384"/>
  <c r="AC116" i="384"/>
  <c r="AB116" i="384"/>
  <c r="AA116" i="384"/>
  <c r="Z116" i="384"/>
  <c r="Y116" i="384"/>
  <c r="X116" i="384"/>
  <c r="W116" i="384"/>
  <c r="V116" i="384"/>
  <c r="U116" i="384"/>
  <c r="T116" i="384"/>
  <c r="S116" i="384"/>
  <c r="R116" i="384"/>
  <c r="Q116" i="384"/>
  <c r="P116" i="384"/>
  <c r="O116" i="384"/>
  <c r="N116" i="384"/>
  <c r="M116" i="384"/>
  <c r="L116" i="384"/>
  <c r="BN115" i="384"/>
  <c r="BM115" i="384"/>
  <c r="BK115" i="384"/>
  <c r="BJ115" i="384"/>
  <c r="BI115" i="384"/>
  <c r="BH115" i="384"/>
  <c r="BG115" i="384"/>
  <c r="BF115" i="384"/>
  <c r="BE115" i="384"/>
  <c r="BD115" i="384"/>
  <c r="BC115" i="384"/>
  <c r="BB115" i="384"/>
  <c r="BA115" i="384"/>
  <c r="AZ115" i="384"/>
  <c r="AY115" i="384"/>
  <c r="BL115" i="384" s="1"/>
  <c r="AW115" i="384"/>
  <c r="AV115" i="384"/>
  <c r="AU115" i="384"/>
  <c r="AT115" i="384"/>
  <c r="AS115" i="384"/>
  <c r="AR115" i="384"/>
  <c r="AQ115" i="384"/>
  <c r="AP115" i="384"/>
  <c r="BN114" i="384"/>
  <c r="BM114" i="384"/>
  <c r="BJ114" i="384"/>
  <c r="BI114" i="384"/>
  <c r="BH114" i="384"/>
  <c r="BG114" i="384"/>
  <c r="BF114" i="384"/>
  <c r="BE114" i="384"/>
  <c r="BD114" i="384"/>
  <c r="BC114" i="384"/>
  <c r="BB114" i="384"/>
  <c r="BA114" i="384"/>
  <c r="AZ114" i="384"/>
  <c r="AY114" i="384"/>
  <c r="BL114" i="384" s="1"/>
  <c r="AX114" i="384"/>
  <c r="BK114" i="384" s="1"/>
  <c r="AW114" i="384"/>
  <c r="AV114" i="384"/>
  <c r="AU114" i="384"/>
  <c r="AT114" i="384"/>
  <c r="AS114" i="384"/>
  <c r="AR114" i="384"/>
  <c r="AQ114" i="384"/>
  <c r="AP114" i="384"/>
  <c r="AO113" i="384"/>
  <c r="AN113" i="384"/>
  <c r="AM113" i="384"/>
  <c r="AL113" i="384"/>
  <c r="AK113" i="384"/>
  <c r="AJ113" i="384"/>
  <c r="AI113" i="384"/>
  <c r="AH113" i="384"/>
  <c r="AG113" i="384"/>
  <c r="AF113" i="384"/>
  <c r="AE113" i="384"/>
  <c r="AD113" i="384"/>
  <c r="AC113" i="384"/>
  <c r="AB113" i="384"/>
  <c r="AA113" i="384"/>
  <c r="Z113" i="384"/>
  <c r="Y113" i="384"/>
  <c r="X113" i="384"/>
  <c r="W113" i="384"/>
  <c r="V113" i="384"/>
  <c r="U113" i="384"/>
  <c r="T113" i="384"/>
  <c r="S113" i="384"/>
  <c r="R113" i="384"/>
  <c r="Q113" i="384"/>
  <c r="P113" i="384"/>
  <c r="O113" i="384"/>
  <c r="N113" i="384"/>
  <c r="M113" i="384"/>
  <c r="L113" i="384"/>
  <c r="BN112" i="384"/>
  <c r="BM112" i="384"/>
  <c r="BL112" i="384"/>
  <c r="BK112" i="384"/>
  <c r="BJ112" i="384"/>
  <c r="BI112" i="384"/>
  <c r="BH112" i="384"/>
  <c r="BG112" i="384"/>
  <c r="BF112" i="384"/>
  <c r="BE112" i="384"/>
  <c r="BD112" i="384"/>
  <c r="BC112" i="384"/>
  <c r="BB112" i="384"/>
  <c r="BA112" i="384"/>
  <c r="AZ112" i="384"/>
  <c r="AW112" i="384"/>
  <c r="AV112" i="384"/>
  <c r="AU112" i="384"/>
  <c r="AT112" i="384"/>
  <c r="AS112" i="384"/>
  <c r="AR112" i="384"/>
  <c r="AQ112" i="384"/>
  <c r="AP112" i="384"/>
  <c r="BN111" i="384"/>
  <c r="BM111" i="384"/>
  <c r="BL111" i="384"/>
  <c r="BK111" i="384"/>
  <c r="BJ111" i="384"/>
  <c r="BI111" i="384"/>
  <c r="BH111" i="384"/>
  <c r="BG111" i="384"/>
  <c r="BF111" i="384"/>
  <c r="BE111" i="384"/>
  <c r="BD111" i="384"/>
  <c r="BC111" i="384"/>
  <c r="BB111" i="384"/>
  <c r="BA111" i="384"/>
  <c r="AZ111" i="384"/>
  <c r="AY111" i="384"/>
  <c r="AW111" i="384"/>
  <c r="AV111" i="384"/>
  <c r="AU111" i="384"/>
  <c r="AT111" i="384"/>
  <c r="AS111" i="384"/>
  <c r="AR111" i="384"/>
  <c r="AQ111" i="384"/>
  <c r="AP111" i="384"/>
  <c r="BN110" i="384"/>
  <c r="BM110" i="384"/>
  <c r="BL110" i="384"/>
  <c r="BK110" i="384"/>
  <c r="BJ110" i="384"/>
  <c r="BI110" i="384"/>
  <c r="BH110" i="384"/>
  <c r="BG110" i="384"/>
  <c r="BF110" i="384"/>
  <c r="BE110" i="384"/>
  <c r="BD110" i="384"/>
  <c r="BC110" i="384"/>
  <c r="BB110" i="384"/>
  <c r="BA110" i="384"/>
  <c r="AZ110" i="384"/>
  <c r="AY110" i="384"/>
  <c r="AW110" i="384"/>
  <c r="AV110" i="384"/>
  <c r="AU110" i="384"/>
  <c r="AT110" i="384"/>
  <c r="AS110" i="384"/>
  <c r="AR110" i="384"/>
  <c r="AQ110" i="384"/>
  <c r="AP110" i="384"/>
  <c r="BN109" i="384"/>
  <c r="BM109" i="384"/>
  <c r="BL109" i="384"/>
  <c r="BK109" i="384"/>
  <c r="BJ109" i="384"/>
  <c r="BI109" i="384"/>
  <c r="BH109" i="384"/>
  <c r="BG109" i="384"/>
  <c r="BF109" i="384"/>
  <c r="BE109" i="384"/>
  <c r="BD109" i="384"/>
  <c r="BC109" i="384"/>
  <c r="BB109" i="384"/>
  <c r="BA109" i="384"/>
  <c r="AZ109" i="384"/>
  <c r="AY109" i="384"/>
  <c r="AW109" i="384"/>
  <c r="AV109" i="384"/>
  <c r="AU109" i="384"/>
  <c r="AT109" i="384"/>
  <c r="AS109" i="384"/>
  <c r="AR109" i="384"/>
  <c r="AQ109" i="384"/>
  <c r="AP109" i="384"/>
  <c r="AO108" i="384"/>
  <c r="AN108" i="384"/>
  <c r="AM108" i="384"/>
  <c r="AL108" i="384"/>
  <c r="AK108" i="384"/>
  <c r="AJ108" i="384"/>
  <c r="AI108" i="384"/>
  <c r="AH108" i="384"/>
  <c r="AG108" i="384"/>
  <c r="AF108" i="384"/>
  <c r="AE108" i="384"/>
  <c r="AD108" i="384"/>
  <c r="AC108" i="384"/>
  <c r="AB108" i="384"/>
  <c r="AA108" i="384"/>
  <c r="Z108" i="384"/>
  <c r="Y108" i="384"/>
  <c r="X108" i="384"/>
  <c r="W108" i="384"/>
  <c r="V108" i="384"/>
  <c r="U108" i="384"/>
  <c r="T108" i="384"/>
  <c r="S108" i="384"/>
  <c r="R108" i="384"/>
  <c r="Q108" i="384"/>
  <c r="P108" i="384"/>
  <c r="O108" i="384"/>
  <c r="N108" i="384"/>
  <c r="M108" i="384"/>
  <c r="L108" i="384"/>
  <c r="BN107" i="384"/>
  <c r="BL107" i="384"/>
  <c r="BK107" i="384"/>
  <c r="BJ107" i="384"/>
  <c r="BM107" i="384" s="1"/>
  <c r="BI107" i="384"/>
  <c r="BH107" i="384"/>
  <c r="BG107" i="384"/>
  <c r="BF107" i="384"/>
  <c r="BE107" i="384"/>
  <c r="BD107" i="384"/>
  <c r="BC107" i="384"/>
  <c r="BB107" i="384"/>
  <c r="BA107" i="384"/>
  <c r="AZ107" i="384"/>
  <c r="AY107" i="384"/>
  <c r="AW107" i="384"/>
  <c r="AV107" i="384"/>
  <c r="AU107" i="384"/>
  <c r="AT107" i="384"/>
  <c r="AS107" i="384"/>
  <c r="AR107" i="384"/>
  <c r="AQ107" i="384"/>
  <c r="AP107" i="384"/>
  <c r="BN106" i="384"/>
  <c r="BL106" i="384"/>
  <c r="BK106" i="384"/>
  <c r="BJ106" i="384"/>
  <c r="BM106" i="384" s="1"/>
  <c r="BI106" i="384"/>
  <c r="BH106" i="384"/>
  <c r="BG106" i="384"/>
  <c r="BF106" i="384"/>
  <c r="BE106" i="384"/>
  <c r="BD106" i="384"/>
  <c r="BC106" i="384"/>
  <c r="BB106" i="384"/>
  <c r="BA106" i="384"/>
  <c r="AZ106" i="384"/>
  <c r="AY106" i="384"/>
  <c r="AW106" i="384"/>
  <c r="AV106" i="384"/>
  <c r="AU106" i="384"/>
  <c r="AT106" i="384"/>
  <c r="AS106" i="384"/>
  <c r="AR106" i="384"/>
  <c r="AQ106" i="384"/>
  <c r="AP106" i="384"/>
  <c r="AO105" i="384"/>
  <c r="AN105" i="384"/>
  <c r="AM105" i="384"/>
  <c r="AL105" i="384"/>
  <c r="AK105" i="384"/>
  <c r="AJ105" i="384"/>
  <c r="AI105" i="384"/>
  <c r="AH105" i="384"/>
  <c r="AG105" i="384"/>
  <c r="AF105" i="384"/>
  <c r="AE105" i="384"/>
  <c r="AD105" i="384"/>
  <c r="AC105" i="384"/>
  <c r="AB105" i="384"/>
  <c r="AA105" i="384"/>
  <c r="Z105" i="384"/>
  <c r="Y105" i="384"/>
  <c r="X105" i="384"/>
  <c r="W105" i="384"/>
  <c r="V105" i="384"/>
  <c r="U105" i="384"/>
  <c r="T105" i="384"/>
  <c r="S105" i="384"/>
  <c r="R105" i="384"/>
  <c r="Q105" i="384"/>
  <c r="P105" i="384"/>
  <c r="O105" i="384"/>
  <c r="N105" i="384"/>
  <c r="M105" i="384"/>
  <c r="L105" i="384"/>
  <c r="BN104" i="384"/>
  <c r="BK104" i="384"/>
  <c r="BJ104" i="384"/>
  <c r="BM104" i="384" s="1"/>
  <c r="BI104" i="384"/>
  <c r="BH104" i="384"/>
  <c r="BG104" i="384"/>
  <c r="BF104" i="384"/>
  <c r="BE104" i="384"/>
  <c r="BD104" i="384"/>
  <c r="BC104" i="384"/>
  <c r="BB104" i="384"/>
  <c r="BA104" i="384"/>
  <c r="AZ104" i="384"/>
  <c r="AY104" i="384"/>
  <c r="BL104" i="384" s="1"/>
  <c r="AW104" i="384"/>
  <c r="AV104" i="384"/>
  <c r="AU104" i="384"/>
  <c r="AT104" i="384"/>
  <c r="AS104" i="384"/>
  <c r="AR104" i="384"/>
  <c r="AQ104" i="384"/>
  <c r="AP104" i="384"/>
  <c r="BN103" i="384"/>
  <c r="BJ103" i="384"/>
  <c r="BM103" i="384" s="1"/>
  <c r="BI103" i="384"/>
  <c r="BH103" i="384"/>
  <c r="BG103" i="384"/>
  <c r="BF103" i="384"/>
  <c r="BE103" i="384"/>
  <c r="BD103" i="384"/>
  <c r="BC103" i="384"/>
  <c r="BB103" i="384"/>
  <c r="BA103" i="384"/>
  <c r="AZ103" i="384"/>
  <c r="AY103" i="384"/>
  <c r="BL103" i="384" s="1"/>
  <c r="AX103" i="384"/>
  <c r="BK103" i="384" s="1"/>
  <c r="AW103" i="384"/>
  <c r="AV103" i="384"/>
  <c r="AU103" i="384"/>
  <c r="AT103" i="384"/>
  <c r="AS103" i="384"/>
  <c r="AR103" i="384"/>
  <c r="AQ103" i="384"/>
  <c r="AP103" i="384"/>
  <c r="AO102" i="384"/>
  <c r="AN102" i="384"/>
  <c r="AM102" i="384"/>
  <c r="AL102" i="384"/>
  <c r="AK102" i="384"/>
  <c r="AJ102" i="384"/>
  <c r="AI102" i="384"/>
  <c r="AH102" i="384"/>
  <c r="AG102" i="384"/>
  <c r="AF102" i="384"/>
  <c r="AE102" i="384"/>
  <c r="AD102" i="384"/>
  <c r="AC102" i="384"/>
  <c r="AB102" i="384"/>
  <c r="AA102" i="384"/>
  <c r="Z102" i="384"/>
  <c r="Y102" i="384"/>
  <c r="X102" i="384"/>
  <c r="W102" i="384"/>
  <c r="V102" i="384"/>
  <c r="U102" i="384"/>
  <c r="T102" i="384"/>
  <c r="S102" i="384"/>
  <c r="R102" i="384"/>
  <c r="Q102" i="384"/>
  <c r="P102" i="384"/>
  <c r="O102" i="384"/>
  <c r="N102" i="384"/>
  <c r="M102" i="384"/>
  <c r="L102" i="384"/>
  <c r="BN101" i="384"/>
  <c r="BM101" i="384"/>
  <c r="BK101" i="384"/>
  <c r="BJ101" i="384"/>
  <c r="BI101" i="384"/>
  <c r="BH101" i="384"/>
  <c r="BG101" i="384"/>
  <c r="BF101" i="384"/>
  <c r="BE101" i="384"/>
  <c r="BD101" i="384"/>
  <c r="BC101" i="384"/>
  <c r="BB101" i="384"/>
  <c r="BA101" i="384"/>
  <c r="AZ101" i="384"/>
  <c r="AY101" i="384"/>
  <c r="BL101" i="384" s="1"/>
  <c r="AW101" i="384"/>
  <c r="AV101" i="384"/>
  <c r="AU101" i="384"/>
  <c r="AT101" i="384"/>
  <c r="AS101" i="384"/>
  <c r="AR101" i="384"/>
  <c r="AQ101" i="384"/>
  <c r="AP101" i="384"/>
  <c r="AO100" i="384"/>
  <c r="AN100" i="384"/>
  <c r="AM100" i="384"/>
  <c r="AL100" i="384"/>
  <c r="AK100" i="384"/>
  <c r="AJ100" i="384"/>
  <c r="AI100" i="384"/>
  <c r="AH100" i="384"/>
  <c r="AG100" i="384"/>
  <c r="AF100" i="384"/>
  <c r="AE100" i="384"/>
  <c r="AD100" i="384"/>
  <c r="AC100" i="384"/>
  <c r="AB100" i="384"/>
  <c r="AA100" i="384"/>
  <c r="Z100" i="384"/>
  <c r="Y100" i="384"/>
  <c r="X100" i="384"/>
  <c r="W100" i="384"/>
  <c r="V100" i="384"/>
  <c r="U100" i="384"/>
  <c r="T100" i="384"/>
  <c r="S100" i="384"/>
  <c r="R100" i="384"/>
  <c r="Q100" i="384"/>
  <c r="P100" i="384"/>
  <c r="O100" i="384"/>
  <c r="N100" i="384"/>
  <c r="M100" i="384"/>
  <c r="L100" i="384"/>
  <c r="BN99" i="384"/>
  <c r="BM99" i="384"/>
  <c r="BL99" i="384"/>
  <c r="BK99" i="384"/>
  <c r="BJ99" i="384"/>
  <c r="BI99" i="384"/>
  <c r="BH99" i="384"/>
  <c r="BG99" i="384"/>
  <c r="BF99" i="384"/>
  <c r="BE99" i="384"/>
  <c r="BD99" i="384"/>
  <c r="BC99" i="384"/>
  <c r="BB99" i="384"/>
  <c r="BA99" i="384"/>
  <c r="AZ99" i="384"/>
  <c r="AW99" i="384"/>
  <c r="AV99" i="384"/>
  <c r="AU99" i="384"/>
  <c r="AT99" i="384"/>
  <c r="AS99" i="384"/>
  <c r="AR99" i="384"/>
  <c r="AQ99" i="384"/>
  <c r="AP99" i="384"/>
  <c r="BN98" i="384"/>
  <c r="BM98" i="384"/>
  <c r="BL98" i="384"/>
  <c r="BK98" i="384"/>
  <c r="BJ98" i="384"/>
  <c r="BI98" i="384"/>
  <c r="BH98" i="384"/>
  <c r="BG98" i="384"/>
  <c r="BF98" i="384"/>
  <c r="BE98" i="384"/>
  <c r="BD98" i="384"/>
  <c r="BC98" i="384"/>
  <c r="BB98" i="384"/>
  <c r="BA98" i="384"/>
  <c r="AZ98" i="384"/>
  <c r="AW98" i="384"/>
  <c r="AV98" i="384"/>
  <c r="AU98" i="384"/>
  <c r="AT98" i="384"/>
  <c r="AS98" i="384"/>
  <c r="AR98" i="384"/>
  <c r="AQ98" i="384"/>
  <c r="AP98" i="384"/>
  <c r="BN97" i="384"/>
  <c r="BL97" i="384"/>
  <c r="BK97" i="384"/>
  <c r="BJ97" i="384"/>
  <c r="BM97" i="384" s="1"/>
  <c r="BI97" i="384"/>
  <c r="BH97" i="384"/>
  <c r="BG97" i="384"/>
  <c r="BF97" i="384"/>
  <c r="BE97" i="384"/>
  <c r="BD97" i="384"/>
  <c r="BC97" i="384"/>
  <c r="BB97" i="384"/>
  <c r="BA97" i="384"/>
  <c r="AZ97" i="384"/>
  <c r="AW97" i="384"/>
  <c r="AV97" i="384"/>
  <c r="AU97" i="384"/>
  <c r="AT97" i="384"/>
  <c r="AS97" i="384"/>
  <c r="AR97" i="384"/>
  <c r="AQ97" i="384"/>
  <c r="AP97" i="384"/>
  <c r="BN96" i="384"/>
  <c r="BL96" i="384"/>
  <c r="BK96" i="384"/>
  <c r="BJ96" i="384"/>
  <c r="BM96" i="384" s="1"/>
  <c r="BI96" i="384"/>
  <c r="BH96" i="384"/>
  <c r="BG96" i="384"/>
  <c r="BF96" i="384"/>
  <c r="BE96" i="384"/>
  <c r="BD96" i="384"/>
  <c r="BC96" i="384"/>
  <c r="BB96" i="384"/>
  <c r="BA96" i="384"/>
  <c r="AZ96" i="384"/>
  <c r="AY96" i="384"/>
  <c r="AX96" i="384"/>
  <c r="AW96" i="384"/>
  <c r="AV96" i="384"/>
  <c r="AU96" i="384"/>
  <c r="AT96" i="384"/>
  <c r="AS96" i="384"/>
  <c r="AR96" i="384"/>
  <c r="AQ96" i="384"/>
  <c r="AP96" i="384"/>
  <c r="BN95" i="384"/>
  <c r="BL95" i="384"/>
  <c r="BK95" i="384"/>
  <c r="BJ95" i="384"/>
  <c r="BM95" i="384" s="1"/>
  <c r="BI95" i="384"/>
  <c r="BH95" i="384"/>
  <c r="BG95" i="384"/>
  <c r="BF95" i="384"/>
  <c r="BE95" i="384"/>
  <c r="BD95" i="384"/>
  <c r="BC95" i="384"/>
  <c r="BB95" i="384"/>
  <c r="BA95" i="384"/>
  <c r="AZ95" i="384"/>
  <c r="AY95" i="384"/>
  <c r="AW95" i="384"/>
  <c r="AV95" i="384"/>
  <c r="AU95" i="384"/>
  <c r="AT95" i="384"/>
  <c r="AS95" i="384"/>
  <c r="AR95" i="384"/>
  <c r="AQ95" i="384"/>
  <c r="AP95" i="384"/>
  <c r="BN94" i="384"/>
  <c r="BL94" i="384"/>
  <c r="BK94" i="384"/>
  <c r="BJ94" i="384"/>
  <c r="BM94" i="384" s="1"/>
  <c r="BI94" i="384"/>
  <c r="BH94" i="384"/>
  <c r="BG94" i="384"/>
  <c r="BF94" i="384"/>
  <c r="BE94" i="384"/>
  <c r="BD94" i="384"/>
  <c r="BC94" i="384"/>
  <c r="BB94" i="384"/>
  <c r="BA94" i="384"/>
  <c r="AZ94" i="384"/>
  <c r="AW94" i="384"/>
  <c r="AV94" i="384"/>
  <c r="AU94" i="384"/>
  <c r="AT94" i="384"/>
  <c r="AS94" i="384"/>
  <c r="AR94" i="384"/>
  <c r="AQ94" i="384"/>
  <c r="AP94" i="384"/>
  <c r="BN93" i="384"/>
  <c r="BL93" i="384"/>
  <c r="BK93" i="384"/>
  <c r="BJ93" i="384"/>
  <c r="BM93" i="384" s="1"/>
  <c r="BI93" i="384"/>
  <c r="BH93" i="384"/>
  <c r="BG93" i="384"/>
  <c r="BF93" i="384"/>
  <c r="BE93" i="384"/>
  <c r="BD93" i="384"/>
  <c r="BC93" i="384"/>
  <c r="BB93" i="384"/>
  <c r="BA93" i="384"/>
  <c r="AZ93" i="384"/>
  <c r="AW93" i="384"/>
  <c r="AV93" i="384"/>
  <c r="AU93" i="384"/>
  <c r="AT93" i="384"/>
  <c r="AS93" i="384"/>
  <c r="AR93" i="384"/>
  <c r="AQ93" i="384"/>
  <c r="AP93" i="384"/>
  <c r="AO92" i="384"/>
  <c r="AN92" i="384"/>
  <c r="AM92" i="384"/>
  <c r="AL92" i="384"/>
  <c r="AK92" i="384"/>
  <c r="AJ92" i="384"/>
  <c r="AI92" i="384"/>
  <c r="AH92" i="384"/>
  <c r="AG92" i="384"/>
  <c r="AF92" i="384"/>
  <c r="AE92" i="384"/>
  <c r="AD92" i="384"/>
  <c r="AC92" i="384"/>
  <c r="AB92" i="384"/>
  <c r="AA92" i="384"/>
  <c r="Z92" i="384"/>
  <c r="Y92" i="384"/>
  <c r="X92" i="384"/>
  <c r="W92" i="384"/>
  <c r="V92" i="384"/>
  <c r="U92" i="384"/>
  <c r="T92" i="384"/>
  <c r="S92" i="384"/>
  <c r="R92" i="384"/>
  <c r="Q92" i="384"/>
  <c r="P92" i="384"/>
  <c r="O92" i="384"/>
  <c r="N92" i="384"/>
  <c r="M92" i="384"/>
  <c r="L92" i="384"/>
  <c r="BN91" i="384"/>
  <c r="BM91" i="384"/>
  <c r="BL91" i="384"/>
  <c r="BK91" i="384"/>
  <c r="BJ91" i="384"/>
  <c r="BI91" i="384"/>
  <c r="BH91" i="384"/>
  <c r="BG91" i="384"/>
  <c r="BF91" i="384"/>
  <c r="BE91" i="384"/>
  <c r="BD91" i="384"/>
  <c r="BC91" i="384"/>
  <c r="BB91" i="384"/>
  <c r="BA91" i="384"/>
  <c r="AZ91" i="384"/>
  <c r="AW91" i="384"/>
  <c r="AV91" i="384"/>
  <c r="AU91" i="384"/>
  <c r="AT91" i="384"/>
  <c r="AS91" i="384"/>
  <c r="AR91" i="384"/>
  <c r="AQ91" i="384"/>
  <c r="AP91" i="384"/>
  <c r="BN90" i="384"/>
  <c r="BM90" i="384"/>
  <c r="BK90" i="384"/>
  <c r="BJ90" i="384"/>
  <c r="BI90" i="384"/>
  <c r="BH90" i="384"/>
  <c r="BG90" i="384"/>
  <c r="BF90" i="384"/>
  <c r="BE90" i="384"/>
  <c r="BD90" i="384"/>
  <c r="BC90" i="384"/>
  <c r="BB90" i="384"/>
  <c r="BA90" i="384"/>
  <c r="AZ90" i="384"/>
  <c r="AY90" i="384"/>
  <c r="BL90" i="384" s="1"/>
  <c r="AW90" i="384"/>
  <c r="AV90" i="384"/>
  <c r="AU90" i="384"/>
  <c r="AT90" i="384"/>
  <c r="AS90" i="384"/>
  <c r="AR90" i="384"/>
  <c r="AQ90" i="384"/>
  <c r="AP90" i="384"/>
  <c r="BN89" i="384"/>
  <c r="BM89" i="384"/>
  <c r="BL89" i="384"/>
  <c r="BK89" i="384"/>
  <c r="BJ89" i="384"/>
  <c r="BI89" i="384"/>
  <c r="BH89" i="384"/>
  <c r="BG89" i="384"/>
  <c r="BF89" i="384"/>
  <c r="BE89" i="384"/>
  <c r="BD89" i="384"/>
  <c r="BC89" i="384"/>
  <c r="BB89" i="384"/>
  <c r="BA89" i="384"/>
  <c r="AZ89" i="384"/>
  <c r="AW89" i="384"/>
  <c r="AV89" i="384"/>
  <c r="AU89" i="384"/>
  <c r="AT89" i="384"/>
  <c r="AS89" i="384"/>
  <c r="AR89" i="384"/>
  <c r="AQ89" i="384"/>
  <c r="AP89" i="384"/>
  <c r="BN88" i="384"/>
  <c r="BM88" i="384"/>
  <c r="BL88" i="384"/>
  <c r="BK88" i="384"/>
  <c r="BJ88" i="384"/>
  <c r="BI88" i="384"/>
  <c r="BH88" i="384"/>
  <c r="BG88" i="384"/>
  <c r="BF88" i="384"/>
  <c r="BE88" i="384"/>
  <c r="BD88" i="384"/>
  <c r="BC88" i="384"/>
  <c r="BB88" i="384"/>
  <c r="BA88" i="384"/>
  <c r="AZ88" i="384"/>
  <c r="AW88" i="384"/>
  <c r="AV88" i="384"/>
  <c r="AU88" i="384"/>
  <c r="AT88" i="384"/>
  <c r="AS88" i="384"/>
  <c r="AR88" i="384"/>
  <c r="AQ88" i="384"/>
  <c r="AP88" i="384"/>
  <c r="BN87" i="384"/>
  <c r="BM87" i="384"/>
  <c r="BL87" i="384"/>
  <c r="BK87" i="384"/>
  <c r="BJ87" i="384"/>
  <c r="BI87" i="384"/>
  <c r="BH87" i="384"/>
  <c r="BG87" i="384"/>
  <c r="BF87" i="384"/>
  <c r="BE87" i="384"/>
  <c r="BD87" i="384"/>
  <c r="BC87" i="384"/>
  <c r="BB87" i="384"/>
  <c r="BA87" i="384"/>
  <c r="AZ87" i="384"/>
  <c r="AY87" i="384"/>
  <c r="AW87" i="384"/>
  <c r="AV87" i="384"/>
  <c r="AU87" i="384"/>
  <c r="AT87" i="384"/>
  <c r="AS87" i="384"/>
  <c r="AR87" i="384"/>
  <c r="AQ87" i="384"/>
  <c r="AP87" i="384"/>
  <c r="BN86" i="384"/>
  <c r="BM86" i="384"/>
  <c r="BL86" i="384"/>
  <c r="BK86" i="384"/>
  <c r="BJ86" i="384"/>
  <c r="BI86" i="384"/>
  <c r="BH86" i="384"/>
  <c r="BG86" i="384"/>
  <c r="BF86" i="384"/>
  <c r="BE86" i="384"/>
  <c r="BD86" i="384"/>
  <c r="BC86" i="384"/>
  <c r="BB86" i="384"/>
  <c r="BA86" i="384"/>
  <c r="AZ86" i="384"/>
  <c r="AY86" i="384"/>
  <c r="AW86" i="384"/>
  <c r="AV86" i="384"/>
  <c r="AU86" i="384"/>
  <c r="AT86" i="384"/>
  <c r="AS86" i="384"/>
  <c r="AR86" i="384"/>
  <c r="AQ86" i="384"/>
  <c r="AP86" i="384"/>
  <c r="AO85" i="384"/>
  <c r="AN85" i="384"/>
  <c r="AM85" i="384"/>
  <c r="AL85" i="384"/>
  <c r="AK85" i="384"/>
  <c r="AJ85" i="384"/>
  <c r="AI85" i="384"/>
  <c r="AH85" i="384"/>
  <c r="AG85" i="384"/>
  <c r="AF85" i="384"/>
  <c r="AE85" i="384"/>
  <c r="AD85" i="384"/>
  <c r="AC85" i="384"/>
  <c r="AB85" i="384"/>
  <c r="AA85" i="384"/>
  <c r="Z85" i="384"/>
  <c r="Y85" i="384"/>
  <c r="X85" i="384"/>
  <c r="W85" i="384"/>
  <c r="V85" i="384"/>
  <c r="U85" i="384"/>
  <c r="T85" i="384"/>
  <c r="S85" i="384"/>
  <c r="R85" i="384"/>
  <c r="Q85" i="384"/>
  <c r="P85" i="384"/>
  <c r="O85" i="384"/>
  <c r="N85" i="384"/>
  <c r="M85" i="384"/>
  <c r="L85" i="384"/>
  <c r="BN84" i="384"/>
  <c r="BL84" i="384"/>
  <c r="BK84" i="384"/>
  <c r="BJ84" i="384"/>
  <c r="BM84" i="384" s="1"/>
  <c r="BI84" i="384"/>
  <c r="BH84" i="384"/>
  <c r="BG84" i="384"/>
  <c r="BF84" i="384"/>
  <c r="BE84" i="384"/>
  <c r="BD84" i="384"/>
  <c r="BC84" i="384"/>
  <c r="BB84" i="384"/>
  <c r="BA84" i="384"/>
  <c r="AZ84" i="384"/>
  <c r="AW84" i="384"/>
  <c r="AV84" i="384"/>
  <c r="AU84" i="384"/>
  <c r="AT84" i="384"/>
  <c r="AS84" i="384"/>
  <c r="AR84" i="384"/>
  <c r="AQ84" i="384"/>
  <c r="AP84" i="384"/>
  <c r="BN83" i="384"/>
  <c r="BL83" i="384"/>
  <c r="BK83" i="384"/>
  <c r="BJ83" i="384"/>
  <c r="BM83" i="384" s="1"/>
  <c r="BI83" i="384"/>
  <c r="BH83" i="384"/>
  <c r="BG83" i="384"/>
  <c r="BF83" i="384"/>
  <c r="BE83" i="384"/>
  <c r="BD83" i="384"/>
  <c r="BC83" i="384"/>
  <c r="BB83" i="384"/>
  <c r="BA83" i="384"/>
  <c r="AZ83" i="384"/>
  <c r="AW83" i="384"/>
  <c r="AV83" i="384"/>
  <c r="AU83" i="384"/>
  <c r="AT83" i="384"/>
  <c r="AS83" i="384"/>
  <c r="AR83" i="384"/>
  <c r="AQ83" i="384"/>
  <c r="AP83" i="384"/>
  <c r="BN82" i="384"/>
  <c r="BL82" i="384"/>
  <c r="BK82" i="384"/>
  <c r="BJ82" i="384"/>
  <c r="BM82" i="384" s="1"/>
  <c r="BI82" i="384"/>
  <c r="BH82" i="384"/>
  <c r="BG82" i="384"/>
  <c r="BF82" i="384"/>
  <c r="BE82" i="384"/>
  <c r="BD82" i="384"/>
  <c r="BC82" i="384"/>
  <c r="BB82" i="384"/>
  <c r="BA82" i="384"/>
  <c r="AZ82" i="384"/>
  <c r="AW82" i="384"/>
  <c r="AV82" i="384"/>
  <c r="AU82" i="384"/>
  <c r="AT82" i="384"/>
  <c r="AS82" i="384"/>
  <c r="AR82" i="384"/>
  <c r="AQ82" i="384"/>
  <c r="AP82" i="384"/>
  <c r="BN81" i="384"/>
  <c r="BM81" i="384"/>
  <c r="BL81" i="384"/>
  <c r="BK81" i="384"/>
  <c r="BJ81" i="384"/>
  <c r="BI81" i="384"/>
  <c r="BH81" i="384"/>
  <c r="BG81" i="384"/>
  <c r="BF81" i="384"/>
  <c r="BE81" i="384"/>
  <c r="BD81" i="384"/>
  <c r="BC81" i="384"/>
  <c r="BB81" i="384"/>
  <c r="BA81" i="384"/>
  <c r="AZ81" i="384"/>
  <c r="AW81" i="384"/>
  <c r="AV81" i="384"/>
  <c r="AU81" i="384"/>
  <c r="AT81" i="384"/>
  <c r="AS81" i="384"/>
  <c r="AR81" i="384"/>
  <c r="AQ81" i="384"/>
  <c r="AP81" i="384"/>
  <c r="BN80" i="384"/>
  <c r="BM80" i="384"/>
  <c r="BJ80" i="384"/>
  <c r="BI80" i="384"/>
  <c r="BH80" i="384"/>
  <c r="BG80" i="384"/>
  <c r="BF80" i="384"/>
  <c r="BE80" i="384"/>
  <c r="BD80" i="384"/>
  <c r="BC80" i="384"/>
  <c r="BB80" i="384"/>
  <c r="BA80" i="384"/>
  <c r="AZ80" i="384"/>
  <c r="AY80" i="384"/>
  <c r="BL80" i="384" s="1"/>
  <c r="AX80" i="384"/>
  <c r="BK80" i="384" s="1"/>
  <c r="AW80" i="384"/>
  <c r="AV80" i="384"/>
  <c r="AU80" i="384"/>
  <c r="AT80" i="384"/>
  <c r="AS80" i="384"/>
  <c r="AR80" i="384"/>
  <c r="AQ80" i="384"/>
  <c r="AP80" i="384"/>
  <c r="BN79" i="384"/>
  <c r="BM79" i="384"/>
  <c r="BL79" i="384"/>
  <c r="BK79" i="384"/>
  <c r="BJ79" i="384"/>
  <c r="BI79" i="384"/>
  <c r="BH79" i="384"/>
  <c r="BG79" i="384"/>
  <c r="BF79" i="384"/>
  <c r="BE79" i="384"/>
  <c r="BD79" i="384"/>
  <c r="BC79" i="384"/>
  <c r="BB79" i="384"/>
  <c r="BA79" i="384"/>
  <c r="AZ79" i="384"/>
  <c r="AW79" i="384"/>
  <c r="AV79" i="384"/>
  <c r="AU79" i="384"/>
  <c r="AT79" i="384"/>
  <c r="AS79" i="384"/>
  <c r="AR79" i="384"/>
  <c r="AQ79" i="384"/>
  <c r="AP79" i="384"/>
  <c r="BN78" i="384"/>
  <c r="BM78" i="384"/>
  <c r="BK78" i="384"/>
  <c r="BJ78" i="384"/>
  <c r="BI78" i="384"/>
  <c r="BH78" i="384"/>
  <c r="BG78" i="384"/>
  <c r="BF78" i="384"/>
  <c r="BE78" i="384"/>
  <c r="BD78" i="384"/>
  <c r="BC78" i="384"/>
  <c r="BB78" i="384"/>
  <c r="BA78" i="384"/>
  <c r="AZ78" i="384"/>
  <c r="AY78" i="384"/>
  <c r="BL78" i="384" s="1"/>
  <c r="AW78" i="384"/>
  <c r="AV78" i="384"/>
  <c r="AU78" i="384"/>
  <c r="AT78" i="384"/>
  <c r="AS78" i="384"/>
  <c r="AR78" i="384"/>
  <c r="AQ78" i="384"/>
  <c r="AP78" i="384"/>
  <c r="BN77" i="384"/>
  <c r="BM77" i="384"/>
  <c r="BL77" i="384"/>
  <c r="BK77" i="384"/>
  <c r="BJ77" i="384"/>
  <c r="BI77" i="384"/>
  <c r="BH77" i="384"/>
  <c r="BG77" i="384"/>
  <c r="BF77" i="384"/>
  <c r="BE77" i="384"/>
  <c r="BD77" i="384"/>
  <c r="BC77" i="384"/>
  <c r="BB77" i="384"/>
  <c r="BA77" i="384"/>
  <c r="AZ77" i="384"/>
  <c r="AW77" i="384"/>
  <c r="AV77" i="384"/>
  <c r="AU77" i="384"/>
  <c r="AT77" i="384"/>
  <c r="AS77" i="384"/>
  <c r="AR77" i="384"/>
  <c r="AQ77" i="384"/>
  <c r="AP77" i="384"/>
  <c r="BN76" i="384"/>
  <c r="BM76" i="384"/>
  <c r="BL76" i="384"/>
  <c r="BK76" i="384"/>
  <c r="BJ76" i="384"/>
  <c r="BI76" i="384"/>
  <c r="BH76" i="384"/>
  <c r="BG76" i="384"/>
  <c r="BF76" i="384"/>
  <c r="BE76" i="384"/>
  <c r="BD76" i="384"/>
  <c r="BC76" i="384"/>
  <c r="BB76" i="384"/>
  <c r="BA76" i="384"/>
  <c r="AZ76" i="384"/>
  <c r="AW76" i="384"/>
  <c r="AV76" i="384"/>
  <c r="AU76" i="384"/>
  <c r="AT76" i="384"/>
  <c r="AS76" i="384"/>
  <c r="AR76" i="384"/>
  <c r="AQ76" i="384"/>
  <c r="AP76" i="384"/>
  <c r="BN75" i="384"/>
  <c r="BM75" i="384"/>
  <c r="BL75" i="384"/>
  <c r="BK75" i="384"/>
  <c r="BJ75" i="384"/>
  <c r="BI75" i="384"/>
  <c r="BH75" i="384"/>
  <c r="BG75" i="384"/>
  <c r="BF75" i="384"/>
  <c r="BE75" i="384"/>
  <c r="BD75" i="384"/>
  <c r="BC75" i="384"/>
  <c r="BB75" i="384"/>
  <c r="BA75" i="384"/>
  <c r="AZ75" i="384"/>
  <c r="AW75" i="384"/>
  <c r="AV75" i="384"/>
  <c r="AU75" i="384"/>
  <c r="AT75" i="384"/>
  <c r="AS75" i="384"/>
  <c r="AR75" i="384"/>
  <c r="AQ75" i="384"/>
  <c r="AP75" i="384"/>
  <c r="AO74" i="384"/>
  <c r="AN74" i="384"/>
  <c r="AM74" i="384"/>
  <c r="AL74" i="384"/>
  <c r="AK74" i="384"/>
  <c r="AJ74" i="384"/>
  <c r="AI74" i="384"/>
  <c r="AH74" i="384"/>
  <c r="AG74" i="384"/>
  <c r="AF74" i="384"/>
  <c r="AE74" i="384"/>
  <c r="AD74" i="384"/>
  <c r="AC74" i="384"/>
  <c r="AB74" i="384"/>
  <c r="AA74" i="384"/>
  <c r="Z74" i="384"/>
  <c r="Y74" i="384"/>
  <c r="X74" i="384"/>
  <c r="W74" i="384"/>
  <c r="V74" i="384"/>
  <c r="U74" i="384"/>
  <c r="T74" i="384"/>
  <c r="S74" i="384"/>
  <c r="R74" i="384"/>
  <c r="Q74" i="384"/>
  <c r="P74" i="384"/>
  <c r="O74" i="384"/>
  <c r="N74" i="384"/>
  <c r="M74" i="384"/>
  <c r="L74" i="384"/>
  <c r="BN73" i="384"/>
  <c r="BK73" i="384"/>
  <c r="BJ73" i="384"/>
  <c r="BM73" i="384" s="1"/>
  <c r="BI73" i="384"/>
  <c r="BH73" i="384"/>
  <c r="BG73" i="384"/>
  <c r="BF73" i="384"/>
  <c r="BE73" i="384"/>
  <c r="BD73" i="384"/>
  <c r="BC73" i="384"/>
  <c r="BB73" i="384"/>
  <c r="BA73" i="384"/>
  <c r="AZ73" i="384"/>
  <c r="AY73" i="384"/>
  <c r="BL73" i="384" s="1"/>
  <c r="AW73" i="384"/>
  <c r="AV73" i="384"/>
  <c r="AU73" i="384"/>
  <c r="AT73" i="384"/>
  <c r="AS73" i="384"/>
  <c r="AR73" i="384"/>
  <c r="AQ73" i="384"/>
  <c r="AP73" i="384"/>
  <c r="BN72" i="384"/>
  <c r="BK72" i="384"/>
  <c r="BJ72" i="384"/>
  <c r="BM72" i="384" s="1"/>
  <c r="BI72" i="384"/>
  <c r="BH72" i="384"/>
  <c r="BG72" i="384"/>
  <c r="BF72" i="384"/>
  <c r="BE72" i="384"/>
  <c r="BD72" i="384"/>
  <c r="BC72" i="384"/>
  <c r="BB72" i="384"/>
  <c r="BA72" i="384"/>
  <c r="AZ72" i="384"/>
  <c r="AY72" i="384"/>
  <c r="BL72" i="384" s="1"/>
  <c r="AW72" i="384"/>
  <c r="AV72" i="384"/>
  <c r="AU72" i="384"/>
  <c r="AT72" i="384"/>
  <c r="AS72" i="384"/>
  <c r="AR72" i="384"/>
  <c r="AQ72" i="384"/>
  <c r="AP72" i="384"/>
  <c r="BN71" i="384"/>
  <c r="BK71" i="384"/>
  <c r="BJ71" i="384"/>
  <c r="BM71" i="384" s="1"/>
  <c r="BI71" i="384"/>
  <c r="BH71" i="384"/>
  <c r="BG71" i="384"/>
  <c r="BF71" i="384"/>
  <c r="BE71" i="384"/>
  <c r="BD71" i="384"/>
  <c r="BC71" i="384"/>
  <c r="BB71" i="384"/>
  <c r="BA71" i="384"/>
  <c r="AZ71" i="384"/>
  <c r="AY71" i="384"/>
  <c r="BL71" i="384" s="1"/>
  <c r="AW71" i="384"/>
  <c r="AV71" i="384"/>
  <c r="AU71" i="384"/>
  <c r="AT71" i="384"/>
  <c r="AS71" i="384"/>
  <c r="AR71" i="384"/>
  <c r="AQ71" i="384"/>
  <c r="AP71" i="384"/>
  <c r="BN70" i="384"/>
  <c r="BL70" i="384"/>
  <c r="BJ70" i="384"/>
  <c r="BM70" i="384" s="1"/>
  <c r="BI70" i="384"/>
  <c r="BH70" i="384"/>
  <c r="BG70" i="384"/>
  <c r="BF70" i="384"/>
  <c r="BE70" i="384"/>
  <c r="BD70" i="384"/>
  <c r="BC70" i="384"/>
  <c r="BB70" i="384"/>
  <c r="BA70" i="384"/>
  <c r="AZ70" i="384"/>
  <c r="AX70" i="384"/>
  <c r="BK70" i="384" s="1"/>
  <c r="AW70" i="384"/>
  <c r="AV70" i="384"/>
  <c r="AU70" i="384"/>
  <c r="AT70" i="384"/>
  <c r="AS70" i="384"/>
  <c r="AR70" i="384"/>
  <c r="AQ70" i="384"/>
  <c r="AP70" i="384"/>
  <c r="BN69" i="384"/>
  <c r="BK69" i="384"/>
  <c r="BJ69" i="384"/>
  <c r="BM69" i="384" s="1"/>
  <c r="BI69" i="384"/>
  <c r="BH69" i="384"/>
  <c r="BG69" i="384"/>
  <c r="BF69" i="384"/>
  <c r="BE69" i="384"/>
  <c r="BD69" i="384"/>
  <c r="BC69" i="384"/>
  <c r="BB69" i="384"/>
  <c r="BA69" i="384"/>
  <c r="AZ69" i="384"/>
  <c r="AY69" i="384"/>
  <c r="BL69" i="384" s="1"/>
  <c r="AX69" i="384"/>
  <c r="AW69" i="384"/>
  <c r="AV69" i="384"/>
  <c r="AU69" i="384"/>
  <c r="AT69" i="384"/>
  <c r="AS69" i="384"/>
  <c r="AR69" i="384"/>
  <c r="AQ69" i="384"/>
  <c r="AP69" i="384"/>
  <c r="BN68" i="384"/>
  <c r="BL68" i="384"/>
  <c r="BK68" i="384"/>
  <c r="BJ68" i="384"/>
  <c r="BM68" i="384" s="1"/>
  <c r="BI68" i="384"/>
  <c r="BH68" i="384"/>
  <c r="BG68" i="384"/>
  <c r="BF68" i="384"/>
  <c r="BE68" i="384"/>
  <c r="BD68" i="384"/>
  <c r="BC68" i="384"/>
  <c r="BB68" i="384"/>
  <c r="BA68" i="384"/>
  <c r="AZ68" i="384"/>
  <c r="AY68" i="384"/>
  <c r="AW68" i="384"/>
  <c r="AV68" i="384"/>
  <c r="AU68" i="384"/>
  <c r="AT68" i="384"/>
  <c r="AS68" i="384"/>
  <c r="AR68" i="384"/>
  <c r="AQ68" i="384"/>
  <c r="AP68" i="384"/>
  <c r="BN67" i="384"/>
  <c r="BL67" i="384"/>
  <c r="BK67" i="384"/>
  <c r="BJ67" i="384"/>
  <c r="BM67" i="384" s="1"/>
  <c r="BI67" i="384"/>
  <c r="BH67" i="384"/>
  <c r="BG67" i="384"/>
  <c r="BF67" i="384"/>
  <c r="BE67" i="384"/>
  <c r="BD67" i="384"/>
  <c r="BC67" i="384"/>
  <c r="BB67" i="384"/>
  <c r="BA67" i="384"/>
  <c r="AZ67" i="384"/>
  <c r="AY67" i="384"/>
  <c r="AW67" i="384"/>
  <c r="AV67" i="384"/>
  <c r="AU67" i="384"/>
  <c r="AT67" i="384"/>
  <c r="AS67" i="384"/>
  <c r="AR67" i="384"/>
  <c r="AQ67" i="384"/>
  <c r="AP67" i="384"/>
  <c r="BN66" i="384"/>
  <c r="BL66" i="384"/>
  <c r="BK66" i="384"/>
  <c r="BJ66" i="384"/>
  <c r="BM66" i="384" s="1"/>
  <c r="BI66" i="384"/>
  <c r="BH66" i="384"/>
  <c r="BG66" i="384"/>
  <c r="BF66" i="384"/>
  <c r="BE66" i="384"/>
  <c r="BD66" i="384"/>
  <c r="BC66" i="384"/>
  <c r="BB66" i="384"/>
  <c r="BA66" i="384"/>
  <c r="AZ66" i="384"/>
  <c r="AY66" i="384"/>
  <c r="AW66" i="384"/>
  <c r="AV66" i="384"/>
  <c r="AU66" i="384"/>
  <c r="AT66" i="384"/>
  <c r="AS66" i="384"/>
  <c r="AR66" i="384"/>
  <c r="AQ66" i="384"/>
  <c r="AP66" i="384"/>
  <c r="BN65" i="384"/>
  <c r="BL65" i="384"/>
  <c r="BK65" i="384"/>
  <c r="BJ65" i="384"/>
  <c r="BM65" i="384" s="1"/>
  <c r="BI65" i="384"/>
  <c r="BH65" i="384"/>
  <c r="BG65" i="384"/>
  <c r="BF65" i="384"/>
  <c r="BE65" i="384"/>
  <c r="BD65" i="384"/>
  <c r="BC65" i="384"/>
  <c r="BB65" i="384"/>
  <c r="BA65" i="384"/>
  <c r="AZ65" i="384"/>
  <c r="AW65" i="384"/>
  <c r="AV65" i="384"/>
  <c r="AU65" i="384"/>
  <c r="AT65" i="384"/>
  <c r="AS65" i="384"/>
  <c r="AR65" i="384"/>
  <c r="AQ65" i="384"/>
  <c r="AP65" i="384"/>
  <c r="BN64" i="384"/>
  <c r="BK64" i="384"/>
  <c r="BJ64" i="384"/>
  <c r="BM64" i="384" s="1"/>
  <c r="BI64" i="384"/>
  <c r="BH64" i="384"/>
  <c r="BG64" i="384"/>
  <c r="BF64" i="384"/>
  <c r="BE64" i="384"/>
  <c r="BD64" i="384"/>
  <c r="BC64" i="384"/>
  <c r="BB64" i="384"/>
  <c r="BA64" i="384"/>
  <c r="AZ64" i="384"/>
  <c r="AY64" i="384"/>
  <c r="BL64" i="384" s="1"/>
  <c r="AW64" i="384"/>
  <c r="AV64" i="384"/>
  <c r="AU64" i="384"/>
  <c r="AT64" i="384"/>
  <c r="AS64" i="384"/>
  <c r="AR64" i="384"/>
  <c r="AQ64" i="384"/>
  <c r="AP64" i="384"/>
  <c r="BN63" i="384"/>
  <c r="BL63" i="384"/>
  <c r="BK63" i="384"/>
  <c r="BJ63" i="384"/>
  <c r="BM63" i="384" s="1"/>
  <c r="BI63" i="384"/>
  <c r="BH63" i="384"/>
  <c r="BG63" i="384"/>
  <c r="BF63" i="384"/>
  <c r="BE63" i="384"/>
  <c r="BD63" i="384"/>
  <c r="BC63" i="384"/>
  <c r="BB63" i="384"/>
  <c r="BA63" i="384"/>
  <c r="AZ63" i="384"/>
  <c r="AW63" i="384"/>
  <c r="AV63" i="384"/>
  <c r="AU63" i="384"/>
  <c r="AT63" i="384"/>
  <c r="AS63" i="384"/>
  <c r="AR63" i="384"/>
  <c r="AQ63" i="384"/>
  <c r="AP63" i="384"/>
  <c r="BN62" i="384"/>
  <c r="BL62" i="384"/>
  <c r="BK62" i="384"/>
  <c r="BJ62" i="384"/>
  <c r="BM62" i="384" s="1"/>
  <c r="BI62" i="384"/>
  <c r="BH62" i="384"/>
  <c r="BG62" i="384"/>
  <c r="BF62" i="384"/>
  <c r="BE62" i="384"/>
  <c r="BD62" i="384"/>
  <c r="BC62" i="384"/>
  <c r="BB62" i="384"/>
  <c r="BA62" i="384"/>
  <c r="AZ62" i="384"/>
  <c r="AW62" i="384"/>
  <c r="AV62" i="384"/>
  <c r="AU62" i="384"/>
  <c r="AT62" i="384"/>
  <c r="AS62" i="384"/>
  <c r="AR62" i="384"/>
  <c r="AQ62" i="384"/>
  <c r="AP62" i="384"/>
  <c r="AO61" i="384"/>
  <c r="AN61" i="384"/>
  <c r="AM61" i="384"/>
  <c r="AL61" i="384"/>
  <c r="AK61" i="384"/>
  <c r="AJ61" i="384"/>
  <c r="AI61" i="384"/>
  <c r="AH61" i="384"/>
  <c r="AG61" i="384"/>
  <c r="AF61" i="384"/>
  <c r="AE61" i="384"/>
  <c r="AD61" i="384"/>
  <c r="AC61" i="384"/>
  <c r="AB61" i="384"/>
  <c r="AA61" i="384"/>
  <c r="Z61" i="384"/>
  <c r="Y61" i="384"/>
  <c r="X61" i="384"/>
  <c r="W61" i="384"/>
  <c r="V61" i="384"/>
  <c r="U61" i="384"/>
  <c r="T61" i="384"/>
  <c r="S61" i="384"/>
  <c r="R61" i="384"/>
  <c r="Q61" i="384"/>
  <c r="P61" i="384"/>
  <c r="O61" i="384"/>
  <c r="N61" i="384"/>
  <c r="M61" i="384"/>
  <c r="L61" i="384"/>
  <c r="BN60" i="384"/>
  <c r="BM60" i="384"/>
  <c r="BL60" i="384"/>
  <c r="BK60" i="384"/>
  <c r="BJ60" i="384"/>
  <c r="BI60" i="384"/>
  <c r="BH60" i="384"/>
  <c r="BG60" i="384"/>
  <c r="BF60" i="384"/>
  <c r="BE60" i="384"/>
  <c r="BD60" i="384"/>
  <c r="BC60" i="384"/>
  <c r="BB60" i="384"/>
  <c r="BA60" i="384"/>
  <c r="AZ60" i="384"/>
  <c r="AW60" i="384"/>
  <c r="AV60" i="384"/>
  <c r="AU60" i="384"/>
  <c r="AT60" i="384"/>
  <c r="AS60" i="384"/>
  <c r="AR60" i="384"/>
  <c r="AQ60" i="384"/>
  <c r="AP60" i="384"/>
  <c r="AO59" i="384"/>
  <c r="AN59" i="384"/>
  <c r="AM59" i="384"/>
  <c r="AL59" i="384"/>
  <c r="AK59" i="384"/>
  <c r="AJ59" i="384"/>
  <c r="AI59" i="384"/>
  <c r="AH59" i="384"/>
  <c r="AG59" i="384"/>
  <c r="AF59" i="384"/>
  <c r="AE59" i="384"/>
  <c r="AD59" i="384"/>
  <c r="AC59" i="384"/>
  <c r="AB59" i="384"/>
  <c r="AA59" i="384"/>
  <c r="Z59" i="384"/>
  <c r="Y59" i="384"/>
  <c r="X59" i="384"/>
  <c r="W59" i="384"/>
  <c r="V59" i="384"/>
  <c r="U59" i="384"/>
  <c r="T59" i="384"/>
  <c r="S59" i="384"/>
  <c r="R59" i="384"/>
  <c r="Q59" i="384"/>
  <c r="P59" i="384"/>
  <c r="O59" i="384"/>
  <c r="N59" i="384"/>
  <c r="M59" i="384"/>
  <c r="L59" i="384"/>
  <c r="BN58" i="384"/>
  <c r="BL58" i="384"/>
  <c r="BK58" i="384"/>
  <c r="BJ58" i="384"/>
  <c r="BM58" i="384" s="1"/>
  <c r="BI58" i="384"/>
  <c r="BH58" i="384"/>
  <c r="BG58" i="384"/>
  <c r="BF58" i="384"/>
  <c r="BE58" i="384"/>
  <c r="BD58" i="384"/>
  <c r="BC58" i="384"/>
  <c r="BB58" i="384"/>
  <c r="BA58" i="384"/>
  <c r="AZ58" i="384"/>
  <c r="AW58" i="384"/>
  <c r="AV58" i="384"/>
  <c r="AU58" i="384"/>
  <c r="AT58" i="384"/>
  <c r="AS58" i="384"/>
  <c r="AR58" i="384"/>
  <c r="AQ58" i="384"/>
  <c r="AP58" i="384"/>
  <c r="BN57" i="384"/>
  <c r="BM57" i="384"/>
  <c r="BL57" i="384"/>
  <c r="BK57" i="384"/>
  <c r="BJ57" i="384"/>
  <c r="BI57" i="384"/>
  <c r="BH57" i="384"/>
  <c r="BG57" i="384"/>
  <c r="BF57" i="384"/>
  <c r="BE57" i="384"/>
  <c r="BD57" i="384"/>
  <c r="BC57" i="384"/>
  <c r="BB57" i="384"/>
  <c r="BA57" i="384"/>
  <c r="AZ57" i="384"/>
  <c r="AW57" i="384"/>
  <c r="AV57" i="384"/>
  <c r="AU57" i="384"/>
  <c r="AT57" i="384"/>
  <c r="AS57" i="384"/>
  <c r="AR57" i="384"/>
  <c r="AQ57" i="384"/>
  <c r="AP57" i="384"/>
  <c r="BN56" i="384"/>
  <c r="BL56" i="384"/>
  <c r="BK56" i="384"/>
  <c r="BJ56" i="384"/>
  <c r="BM56" i="384" s="1"/>
  <c r="BI56" i="384"/>
  <c r="BH56" i="384"/>
  <c r="BG56" i="384"/>
  <c r="BF56" i="384"/>
  <c r="BE56" i="384"/>
  <c r="BD56" i="384"/>
  <c r="BC56" i="384"/>
  <c r="BB56" i="384"/>
  <c r="BA56" i="384"/>
  <c r="AZ56" i="384"/>
  <c r="AW56" i="384"/>
  <c r="AV56" i="384"/>
  <c r="AU56" i="384"/>
  <c r="AT56" i="384"/>
  <c r="AS56" i="384"/>
  <c r="AR56" i="384"/>
  <c r="AQ56" i="384"/>
  <c r="AP56" i="384"/>
  <c r="BN55" i="384"/>
  <c r="BK55" i="384"/>
  <c r="BJ55" i="384"/>
  <c r="BM55" i="384" s="1"/>
  <c r="BI55" i="384"/>
  <c r="BH55" i="384"/>
  <c r="BG55" i="384"/>
  <c r="BF55" i="384"/>
  <c r="BE55" i="384"/>
  <c r="BD55" i="384"/>
  <c r="BC55" i="384"/>
  <c r="BB55" i="384"/>
  <c r="BA55" i="384"/>
  <c r="AZ55" i="384"/>
  <c r="AY55" i="384"/>
  <c r="BL55" i="384" s="1"/>
  <c r="AW55" i="384"/>
  <c r="AV55" i="384"/>
  <c r="AU55" i="384"/>
  <c r="AT55" i="384"/>
  <c r="AS55" i="384"/>
  <c r="AR55" i="384"/>
  <c r="AQ55" i="384"/>
  <c r="AP55" i="384"/>
  <c r="BN54" i="384"/>
  <c r="BK54" i="384"/>
  <c r="BJ54" i="384"/>
  <c r="BM54" i="384" s="1"/>
  <c r="BI54" i="384"/>
  <c r="BH54" i="384"/>
  <c r="BG54" i="384"/>
  <c r="BF54" i="384"/>
  <c r="BE54" i="384"/>
  <c r="BD54" i="384"/>
  <c r="BC54" i="384"/>
  <c r="BB54" i="384"/>
  <c r="BA54" i="384"/>
  <c r="AZ54" i="384"/>
  <c r="AY54" i="384"/>
  <c r="BL54" i="384" s="1"/>
  <c r="AW54" i="384"/>
  <c r="AV54" i="384"/>
  <c r="AU54" i="384"/>
  <c r="AT54" i="384"/>
  <c r="AS54" i="384"/>
  <c r="AR54" i="384"/>
  <c r="AQ54" i="384"/>
  <c r="AP54" i="384"/>
  <c r="BN53" i="384"/>
  <c r="BK53" i="384"/>
  <c r="BJ53" i="384"/>
  <c r="BM53" i="384" s="1"/>
  <c r="BI53" i="384"/>
  <c r="BH53" i="384"/>
  <c r="BG53" i="384"/>
  <c r="BF53" i="384"/>
  <c r="BE53" i="384"/>
  <c r="BD53" i="384"/>
  <c r="BC53" i="384"/>
  <c r="BB53" i="384"/>
  <c r="BA53" i="384"/>
  <c r="AZ53" i="384"/>
  <c r="AY53" i="384"/>
  <c r="BL53" i="384" s="1"/>
  <c r="AW53" i="384"/>
  <c r="AV53" i="384"/>
  <c r="AU53" i="384"/>
  <c r="AT53" i="384"/>
  <c r="AS53" i="384"/>
  <c r="AR53" i="384"/>
  <c r="AQ53" i="384"/>
  <c r="AP53" i="384"/>
  <c r="BN52" i="384"/>
  <c r="BK52" i="384"/>
  <c r="BJ52" i="384"/>
  <c r="BM52" i="384" s="1"/>
  <c r="BI52" i="384"/>
  <c r="BH52" i="384"/>
  <c r="BG52" i="384"/>
  <c r="BF52" i="384"/>
  <c r="BE52" i="384"/>
  <c r="BD52" i="384"/>
  <c r="BC52" i="384"/>
  <c r="BB52" i="384"/>
  <c r="BA52" i="384"/>
  <c r="AZ52" i="384"/>
  <c r="AY52" i="384"/>
  <c r="BL52" i="384" s="1"/>
  <c r="AW52" i="384"/>
  <c r="AV52" i="384"/>
  <c r="AU52" i="384"/>
  <c r="AT52" i="384"/>
  <c r="AS52" i="384"/>
  <c r="AR52" i="384"/>
  <c r="AQ52" i="384"/>
  <c r="AP52" i="384"/>
  <c r="BN51" i="384"/>
  <c r="BK51" i="384"/>
  <c r="BJ51" i="384"/>
  <c r="BM51" i="384" s="1"/>
  <c r="BI51" i="384"/>
  <c r="BH51" i="384"/>
  <c r="BG51" i="384"/>
  <c r="BF51" i="384"/>
  <c r="BE51" i="384"/>
  <c r="BD51" i="384"/>
  <c r="BC51" i="384"/>
  <c r="BB51" i="384"/>
  <c r="BA51" i="384"/>
  <c r="AZ51" i="384"/>
  <c r="AY51" i="384"/>
  <c r="BL51" i="384" s="1"/>
  <c r="AW51" i="384"/>
  <c r="AV51" i="384"/>
  <c r="AU51" i="384"/>
  <c r="AT51" i="384"/>
  <c r="AS51" i="384"/>
  <c r="AR51" i="384"/>
  <c r="AQ51" i="384"/>
  <c r="AP51" i="384"/>
  <c r="AO50" i="384"/>
  <c r="AN50" i="384"/>
  <c r="AM50" i="384"/>
  <c r="AL50" i="384"/>
  <c r="AK50" i="384"/>
  <c r="AJ50" i="384"/>
  <c r="AI50" i="384"/>
  <c r="AH50" i="384"/>
  <c r="AG50" i="384"/>
  <c r="AF50" i="384"/>
  <c r="AE50" i="384"/>
  <c r="AD50" i="384"/>
  <c r="AC50" i="384"/>
  <c r="AB50" i="384"/>
  <c r="AA50" i="384"/>
  <c r="Z50" i="384"/>
  <c r="Y50" i="384"/>
  <c r="X50" i="384"/>
  <c r="W50" i="384"/>
  <c r="V50" i="384"/>
  <c r="U50" i="384"/>
  <c r="T50" i="384"/>
  <c r="S50" i="384"/>
  <c r="R50" i="384"/>
  <c r="Q50" i="384"/>
  <c r="P50" i="384"/>
  <c r="O50" i="384"/>
  <c r="N50" i="384"/>
  <c r="M50" i="384"/>
  <c r="L50" i="384"/>
  <c r="BN49" i="384"/>
  <c r="BM49" i="384"/>
  <c r="BK49" i="384"/>
  <c r="BJ49" i="384"/>
  <c r="BI49" i="384"/>
  <c r="BH49" i="384"/>
  <c r="BG49" i="384"/>
  <c r="BF49" i="384"/>
  <c r="BE49" i="384"/>
  <c r="BD49" i="384"/>
  <c r="BC49" i="384"/>
  <c r="BB49" i="384"/>
  <c r="BA49" i="384"/>
  <c r="AZ49" i="384"/>
  <c r="AY49" i="384"/>
  <c r="BL49" i="384" s="1"/>
  <c r="AW49" i="384"/>
  <c r="AV49" i="384"/>
  <c r="AU49" i="384"/>
  <c r="AT49" i="384"/>
  <c r="AS49" i="384"/>
  <c r="AR49" i="384"/>
  <c r="AQ49" i="384"/>
  <c r="AP49" i="384"/>
  <c r="BN48" i="384"/>
  <c r="BM48" i="384"/>
  <c r="BL48" i="384"/>
  <c r="BK48" i="384"/>
  <c r="BJ48" i="384"/>
  <c r="BI48" i="384"/>
  <c r="BH48" i="384"/>
  <c r="BG48" i="384"/>
  <c r="BF48" i="384"/>
  <c r="BE48" i="384"/>
  <c r="BD48" i="384"/>
  <c r="BC48" i="384"/>
  <c r="BB48" i="384"/>
  <c r="BA48" i="384"/>
  <c r="AZ48" i="384"/>
  <c r="AW48" i="384"/>
  <c r="AV48" i="384"/>
  <c r="AU48" i="384"/>
  <c r="AT48" i="384"/>
  <c r="AS48" i="384"/>
  <c r="AR48" i="384"/>
  <c r="AQ48" i="384"/>
  <c r="AP48" i="384"/>
  <c r="AO47" i="384"/>
  <c r="AN47" i="384"/>
  <c r="AM47" i="384"/>
  <c r="AL47" i="384"/>
  <c r="AK47" i="384"/>
  <c r="AJ47" i="384"/>
  <c r="AI47" i="384"/>
  <c r="AH47" i="384"/>
  <c r="AG47" i="384"/>
  <c r="AF47" i="384"/>
  <c r="AE47" i="384"/>
  <c r="AD47" i="384"/>
  <c r="AC47" i="384"/>
  <c r="AB47" i="384"/>
  <c r="AA47" i="384"/>
  <c r="Z47" i="384"/>
  <c r="Y47" i="384"/>
  <c r="X47" i="384"/>
  <c r="W47" i="384"/>
  <c r="V47" i="384"/>
  <c r="U47" i="384"/>
  <c r="T47" i="384"/>
  <c r="S47" i="384"/>
  <c r="R47" i="384"/>
  <c r="Q47" i="384"/>
  <c r="P47" i="384"/>
  <c r="O47" i="384"/>
  <c r="N47" i="384"/>
  <c r="M47" i="384"/>
  <c r="L47" i="384"/>
  <c r="BN46" i="384"/>
  <c r="BL46" i="384"/>
  <c r="BK46" i="384"/>
  <c r="BJ46" i="384"/>
  <c r="BM46" i="384" s="1"/>
  <c r="BI46" i="384"/>
  <c r="BH46" i="384"/>
  <c r="BG46" i="384"/>
  <c r="BF46" i="384"/>
  <c r="BE46" i="384"/>
  <c r="BD46" i="384"/>
  <c r="BC46" i="384"/>
  <c r="BB46" i="384"/>
  <c r="BA46" i="384"/>
  <c r="AZ46" i="384"/>
  <c r="AY46" i="384"/>
  <c r="AW46" i="384"/>
  <c r="AV46" i="384"/>
  <c r="AU46" i="384"/>
  <c r="AT46" i="384"/>
  <c r="AS46" i="384"/>
  <c r="AR46" i="384"/>
  <c r="AQ46" i="384"/>
  <c r="AP46" i="384"/>
  <c r="BN45" i="384"/>
  <c r="BL45" i="384"/>
  <c r="BK45" i="384"/>
  <c r="BJ45" i="384"/>
  <c r="BM45" i="384" s="1"/>
  <c r="BI45" i="384"/>
  <c r="BH45" i="384"/>
  <c r="BG45" i="384"/>
  <c r="BF45" i="384"/>
  <c r="BE45" i="384"/>
  <c r="BD45" i="384"/>
  <c r="BC45" i="384"/>
  <c r="BB45" i="384"/>
  <c r="BA45" i="384"/>
  <c r="AZ45" i="384"/>
  <c r="AY45" i="384"/>
  <c r="AW45" i="384"/>
  <c r="AV45" i="384"/>
  <c r="AU45" i="384"/>
  <c r="AT45" i="384"/>
  <c r="AS45" i="384"/>
  <c r="AR45" i="384"/>
  <c r="AQ45" i="384"/>
  <c r="AP45" i="384"/>
  <c r="BN44" i="384"/>
  <c r="BL44" i="384"/>
  <c r="BK44" i="384"/>
  <c r="BJ44" i="384"/>
  <c r="BM44" i="384" s="1"/>
  <c r="BI44" i="384"/>
  <c r="BH44" i="384"/>
  <c r="BG44" i="384"/>
  <c r="BF44" i="384"/>
  <c r="BE44" i="384"/>
  <c r="BD44" i="384"/>
  <c r="BC44" i="384"/>
  <c r="BB44" i="384"/>
  <c r="BA44" i="384"/>
  <c r="AZ44" i="384"/>
  <c r="AY44" i="384"/>
  <c r="AW44" i="384"/>
  <c r="AV44" i="384"/>
  <c r="AU44" i="384"/>
  <c r="AT44" i="384"/>
  <c r="AS44" i="384"/>
  <c r="AR44" i="384"/>
  <c r="AQ44" i="384"/>
  <c r="AP44" i="384"/>
  <c r="BN43" i="384"/>
  <c r="BL43" i="384"/>
  <c r="BK43" i="384"/>
  <c r="BJ43" i="384"/>
  <c r="BM43" i="384" s="1"/>
  <c r="BI43" i="384"/>
  <c r="BH43" i="384"/>
  <c r="BG43" i="384"/>
  <c r="BF43" i="384"/>
  <c r="BE43" i="384"/>
  <c r="BD43" i="384"/>
  <c r="BC43" i="384"/>
  <c r="BB43" i="384"/>
  <c r="BA43" i="384"/>
  <c r="AZ43" i="384"/>
  <c r="AY43" i="384"/>
  <c r="AW43" i="384"/>
  <c r="AV43" i="384"/>
  <c r="AU43" i="384"/>
  <c r="AT43" i="384"/>
  <c r="AS43" i="384"/>
  <c r="AR43" i="384"/>
  <c r="AQ43" i="384"/>
  <c r="AP43" i="384"/>
  <c r="BN42" i="384"/>
  <c r="BL42" i="384"/>
  <c r="BK42" i="384"/>
  <c r="BJ42" i="384"/>
  <c r="BM42" i="384" s="1"/>
  <c r="BI42" i="384"/>
  <c r="BH42" i="384"/>
  <c r="BG42" i="384"/>
  <c r="BF42" i="384"/>
  <c r="BE42" i="384"/>
  <c r="BD42" i="384"/>
  <c r="BC42" i="384"/>
  <c r="BB42" i="384"/>
  <c r="BA42" i="384"/>
  <c r="AZ42" i="384"/>
  <c r="AX42" i="384"/>
  <c r="AW42" i="384"/>
  <c r="AV42" i="384"/>
  <c r="AU42" i="384"/>
  <c r="AT42" i="384"/>
  <c r="AS42" i="384"/>
  <c r="AR42" i="384"/>
  <c r="AQ42" i="384"/>
  <c r="AP42" i="384"/>
  <c r="BN41" i="384"/>
  <c r="BL41" i="384"/>
  <c r="BK41" i="384"/>
  <c r="BJ41" i="384"/>
  <c r="BM41" i="384" s="1"/>
  <c r="BI41" i="384"/>
  <c r="BH41" i="384"/>
  <c r="BG41" i="384"/>
  <c r="BF41" i="384"/>
  <c r="BE41" i="384"/>
  <c r="BD41" i="384"/>
  <c r="BC41" i="384"/>
  <c r="BB41" i="384"/>
  <c r="BA41" i="384"/>
  <c r="AZ41" i="384"/>
  <c r="AY41" i="384"/>
  <c r="AW41" i="384"/>
  <c r="AV41" i="384"/>
  <c r="AU41" i="384"/>
  <c r="AT41" i="384"/>
  <c r="AS41" i="384"/>
  <c r="AR41" i="384"/>
  <c r="AQ41" i="384"/>
  <c r="AP41" i="384"/>
  <c r="BN40" i="384"/>
  <c r="BL40" i="384"/>
  <c r="BK40" i="384"/>
  <c r="BJ40" i="384"/>
  <c r="BM40" i="384" s="1"/>
  <c r="BI40" i="384"/>
  <c r="BH40" i="384"/>
  <c r="BG40" i="384"/>
  <c r="BF40" i="384"/>
  <c r="BE40" i="384"/>
  <c r="BD40" i="384"/>
  <c r="BC40" i="384"/>
  <c r="BB40" i="384"/>
  <c r="BA40" i="384"/>
  <c r="AZ40" i="384"/>
  <c r="AW40" i="384"/>
  <c r="AV40" i="384"/>
  <c r="AU40" i="384"/>
  <c r="AT40" i="384"/>
  <c r="AS40" i="384"/>
  <c r="AR40" i="384"/>
  <c r="AQ40" i="384"/>
  <c r="AP40" i="384"/>
  <c r="BN39" i="384"/>
  <c r="BM39" i="384"/>
  <c r="BL39" i="384"/>
  <c r="BK39" i="384"/>
  <c r="BJ39" i="384"/>
  <c r="BI39" i="384"/>
  <c r="BH39" i="384"/>
  <c r="BG39" i="384"/>
  <c r="BF39" i="384"/>
  <c r="BE39" i="384"/>
  <c r="BD39" i="384"/>
  <c r="BC39" i="384"/>
  <c r="BB39" i="384"/>
  <c r="BA39" i="384"/>
  <c r="AZ39" i="384"/>
  <c r="AW39" i="384"/>
  <c r="AV39" i="384"/>
  <c r="AU39" i="384"/>
  <c r="AT39" i="384"/>
  <c r="AS39" i="384"/>
  <c r="AR39" i="384"/>
  <c r="AQ39" i="384"/>
  <c r="AP39" i="384"/>
  <c r="BN38" i="384"/>
  <c r="BL38" i="384"/>
  <c r="BK38" i="384"/>
  <c r="BJ38" i="384"/>
  <c r="BM38" i="384" s="1"/>
  <c r="BI38" i="384"/>
  <c r="BH38" i="384"/>
  <c r="BG38" i="384"/>
  <c r="BF38" i="384"/>
  <c r="BE38" i="384"/>
  <c r="BD38" i="384"/>
  <c r="BC38" i="384"/>
  <c r="BB38" i="384"/>
  <c r="BA38" i="384"/>
  <c r="AZ38" i="384"/>
  <c r="AW38" i="384"/>
  <c r="AV38" i="384"/>
  <c r="AU38" i="384"/>
  <c r="AT38" i="384"/>
  <c r="AS38" i="384"/>
  <c r="AR38" i="384"/>
  <c r="AQ38" i="384"/>
  <c r="AP38" i="384"/>
  <c r="BN37" i="384"/>
  <c r="BL37" i="384"/>
  <c r="BK37" i="384"/>
  <c r="BJ37" i="384"/>
  <c r="BM37" i="384" s="1"/>
  <c r="BI37" i="384"/>
  <c r="BH37" i="384"/>
  <c r="BG37" i="384"/>
  <c r="BF37" i="384"/>
  <c r="BE37" i="384"/>
  <c r="BD37" i="384"/>
  <c r="BC37" i="384"/>
  <c r="BB37" i="384"/>
  <c r="BA37" i="384"/>
  <c r="AZ37" i="384"/>
  <c r="AW37" i="384"/>
  <c r="AV37" i="384"/>
  <c r="AU37" i="384"/>
  <c r="AT37" i="384"/>
  <c r="AS37" i="384"/>
  <c r="AR37" i="384"/>
  <c r="AQ37" i="384"/>
  <c r="AP37" i="384"/>
  <c r="BN36" i="384"/>
  <c r="BL36" i="384"/>
  <c r="BK36" i="384"/>
  <c r="BJ36" i="384"/>
  <c r="BM36" i="384" s="1"/>
  <c r="BI36" i="384"/>
  <c r="BH36" i="384"/>
  <c r="BG36" i="384"/>
  <c r="BF36" i="384"/>
  <c r="BE36" i="384"/>
  <c r="BD36" i="384"/>
  <c r="BC36" i="384"/>
  <c r="BB36" i="384"/>
  <c r="BA36" i="384"/>
  <c r="AZ36" i="384"/>
  <c r="AW36" i="384"/>
  <c r="AV36" i="384"/>
  <c r="AU36" i="384"/>
  <c r="AT36" i="384"/>
  <c r="AS36" i="384"/>
  <c r="AR36" i="384"/>
  <c r="AQ36" i="384"/>
  <c r="AP36" i="384"/>
  <c r="BN35" i="384"/>
  <c r="BM35" i="384"/>
  <c r="BJ35" i="384"/>
  <c r="BI35" i="384"/>
  <c r="BH35" i="384"/>
  <c r="BG35" i="384"/>
  <c r="BF35" i="384"/>
  <c r="BE35" i="384"/>
  <c r="BD35" i="384"/>
  <c r="BC35" i="384"/>
  <c r="BB35" i="384"/>
  <c r="BA35" i="384"/>
  <c r="AZ35" i="384"/>
  <c r="AY35" i="384"/>
  <c r="BL35" i="384" s="1"/>
  <c r="AX35" i="384"/>
  <c r="BK35" i="384" s="1"/>
  <c r="AW35" i="384"/>
  <c r="AV35" i="384"/>
  <c r="AU35" i="384"/>
  <c r="AT35" i="384"/>
  <c r="AS35" i="384"/>
  <c r="AR35" i="384"/>
  <c r="AQ35" i="384"/>
  <c r="AP35" i="384"/>
  <c r="BN34" i="384"/>
  <c r="BL34" i="384"/>
  <c r="BK34" i="384"/>
  <c r="BJ34" i="384"/>
  <c r="BM34" i="384" s="1"/>
  <c r="BI34" i="384"/>
  <c r="BH34" i="384"/>
  <c r="BG34" i="384"/>
  <c r="BF34" i="384"/>
  <c r="BE34" i="384"/>
  <c r="BD34" i="384"/>
  <c r="BC34" i="384"/>
  <c r="BB34" i="384"/>
  <c r="BA34" i="384"/>
  <c r="AZ34" i="384"/>
  <c r="AW34" i="384"/>
  <c r="AV34" i="384"/>
  <c r="AU34" i="384"/>
  <c r="AT34" i="384"/>
  <c r="AS34" i="384"/>
  <c r="AR34" i="384"/>
  <c r="AQ34" i="384"/>
  <c r="AP34" i="384"/>
  <c r="BN33" i="384"/>
  <c r="BM33" i="384"/>
  <c r="BK33" i="384"/>
  <c r="BJ33" i="384"/>
  <c r="BI33" i="384"/>
  <c r="BH33" i="384"/>
  <c r="BG33" i="384"/>
  <c r="BF33" i="384"/>
  <c r="BE33" i="384"/>
  <c r="BD33" i="384"/>
  <c r="BC33" i="384"/>
  <c r="BB33" i="384"/>
  <c r="BA33" i="384"/>
  <c r="AZ33" i="384"/>
  <c r="AY33" i="384"/>
  <c r="BL33" i="384" s="1"/>
  <c r="AW33" i="384"/>
  <c r="AV33" i="384"/>
  <c r="AU33" i="384"/>
  <c r="AT33" i="384"/>
  <c r="AS33" i="384"/>
  <c r="AR33" i="384"/>
  <c r="AQ33" i="384"/>
  <c r="AP33" i="384"/>
  <c r="BN32" i="384"/>
  <c r="BM32" i="384"/>
  <c r="BL32" i="384"/>
  <c r="BK32" i="384"/>
  <c r="BJ32" i="384"/>
  <c r="BI32" i="384"/>
  <c r="BH32" i="384"/>
  <c r="BG32" i="384"/>
  <c r="BF32" i="384"/>
  <c r="BE32" i="384"/>
  <c r="BD32" i="384"/>
  <c r="BC32" i="384"/>
  <c r="BB32" i="384"/>
  <c r="BA32" i="384"/>
  <c r="AZ32" i="384"/>
  <c r="AW32" i="384"/>
  <c r="AV32" i="384"/>
  <c r="AU32" i="384"/>
  <c r="AT32" i="384"/>
  <c r="AS32" i="384"/>
  <c r="AR32" i="384"/>
  <c r="AQ32" i="384"/>
  <c r="AP32" i="384"/>
  <c r="BN31" i="384"/>
  <c r="BM31" i="384"/>
  <c r="BL31" i="384"/>
  <c r="BK31" i="384"/>
  <c r="BJ31" i="384"/>
  <c r="BI31" i="384"/>
  <c r="BH31" i="384"/>
  <c r="BG31" i="384"/>
  <c r="BF31" i="384"/>
  <c r="BE31" i="384"/>
  <c r="BD31" i="384"/>
  <c r="BC31" i="384"/>
  <c r="BB31" i="384"/>
  <c r="BA31" i="384"/>
  <c r="AZ31" i="384"/>
  <c r="AY31" i="384"/>
  <c r="AW31" i="384"/>
  <c r="AV31" i="384"/>
  <c r="AU31" i="384"/>
  <c r="AT31" i="384"/>
  <c r="AS31" i="384"/>
  <c r="AR31" i="384"/>
  <c r="AQ31" i="384"/>
  <c r="AP31" i="384"/>
  <c r="BN30" i="384"/>
  <c r="BM30" i="384"/>
  <c r="BL30" i="384"/>
  <c r="BK30" i="384"/>
  <c r="BJ30" i="384"/>
  <c r="BI30" i="384"/>
  <c r="BH30" i="384"/>
  <c r="BG30" i="384"/>
  <c r="BF30" i="384"/>
  <c r="BE30" i="384"/>
  <c r="BD30" i="384"/>
  <c r="BC30" i="384"/>
  <c r="BB30" i="384"/>
  <c r="BA30" i="384"/>
  <c r="AZ30" i="384"/>
  <c r="AY30" i="384"/>
  <c r="AW30" i="384"/>
  <c r="AV30" i="384"/>
  <c r="AU30" i="384"/>
  <c r="AT30" i="384"/>
  <c r="AS30" i="384"/>
  <c r="AR30" i="384"/>
  <c r="AQ30" i="384"/>
  <c r="AP30" i="384"/>
  <c r="BN29" i="384"/>
  <c r="BM29" i="384"/>
  <c r="BL29" i="384"/>
  <c r="BK29" i="384"/>
  <c r="BJ29" i="384"/>
  <c r="BI29" i="384"/>
  <c r="BH29" i="384"/>
  <c r="BG29" i="384"/>
  <c r="BF29" i="384"/>
  <c r="BE29" i="384"/>
  <c r="BD29" i="384"/>
  <c r="BC29" i="384"/>
  <c r="BB29" i="384"/>
  <c r="BA29" i="384"/>
  <c r="AZ29" i="384"/>
  <c r="AW29" i="384"/>
  <c r="AV29" i="384"/>
  <c r="AU29" i="384"/>
  <c r="AT29" i="384"/>
  <c r="AS29" i="384"/>
  <c r="AR29" i="384"/>
  <c r="AQ29" i="384"/>
  <c r="AP29" i="384"/>
  <c r="BN28" i="384"/>
  <c r="BL28" i="384"/>
  <c r="BK28" i="384"/>
  <c r="BJ28" i="384"/>
  <c r="BM28" i="384" s="1"/>
  <c r="BI28" i="384"/>
  <c r="BH28" i="384"/>
  <c r="BG28" i="384"/>
  <c r="BF28" i="384"/>
  <c r="BE28" i="384"/>
  <c r="BD28" i="384"/>
  <c r="BC28" i="384"/>
  <c r="BB28" i="384"/>
  <c r="BA28" i="384"/>
  <c r="AZ28" i="384"/>
  <c r="AW28" i="384"/>
  <c r="AV28" i="384"/>
  <c r="AU28" i="384"/>
  <c r="AT28" i="384"/>
  <c r="AS28" i="384"/>
  <c r="AR28" i="384"/>
  <c r="AQ28" i="384"/>
  <c r="AP28" i="384"/>
  <c r="BN27" i="384"/>
  <c r="BL27" i="384"/>
  <c r="BK27" i="384"/>
  <c r="BJ27" i="384"/>
  <c r="BM27" i="384" s="1"/>
  <c r="BI27" i="384"/>
  <c r="BH27" i="384"/>
  <c r="BG27" i="384"/>
  <c r="BF27" i="384"/>
  <c r="BE27" i="384"/>
  <c r="BD27" i="384"/>
  <c r="BC27" i="384"/>
  <c r="BB27" i="384"/>
  <c r="BA27" i="384"/>
  <c r="AZ27" i="384"/>
  <c r="AW27" i="384"/>
  <c r="AV27" i="384"/>
  <c r="AU27" i="384"/>
  <c r="AT27" i="384"/>
  <c r="AS27" i="384"/>
  <c r="AR27" i="384"/>
  <c r="AQ27" i="384"/>
  <c r="AP27" i="384"/>
  <c r="AO26" i="384"/>
  <c r="AN26" i="384"/>
  <c r="AM26" i="384"/>
  <c r="AL26" i="384"/>
  <c r="AK26" i="384"/>
  <c r="AJ26" i="384"/>
  <c r="AI26" i="384"/>
  <c r="AH26" i="384"/>
  <c r="AG26" i="384"/>
  <c r="AF26" i="384"/>
  <c r="AE26" i="384"/>
  <c r="AD26" i="384"/>
  <c r="AC26" i="384"/>
  <c r="AB26" i="384"/>
  <c r="AA26" i="384"/>
  <c r="Z26" i="384"/>
  <c r="Y26" i="384"/>
  <c r="X26" i="384"/>
  <c r="W26" i="384"/>
  <c r="V26" i="384"/>
  <c r="U26" i="384"/>
  <c r="T26" i="384"/>
  <c r="S26" i="384"/>
  <c r="R26" i="384"/>
  <c r="Q26" i="384"/>
  <c r="P26" i="384"/>
  <c r="O26" i="384"/>
  <c r="N26" i="384"/>
  <c r="M26" i="384"/>
  <c r="L26" i="384"/>
  <c r="BN25" i="384"/>
  <c r="BM25" i="384"/>
  <c r="BK25" i="384"/>
  <c r="BJ25" i="384"/>
  <c r="BI25" i="384"/>
  <c r="BH25" i="384"/>
  <c r="BG25" i="384"/>
  <c r="BF25" i="384"/>
  <c r="BE25" i="384"/>
  <c r="BD25" i="384"/>
  <c r="BC25" i="384"/>
  <c r="BB25" i="384"/>
  <c r="BA25" i="384"/>
  <c r="AZ25" i="384"/>
  <c r="AY25" i="384"/>
  <c r="BL25" i="384" s="1"/>
  <c r="AW25" i="384"/>
  <c r="AV25" i="384"/>
  <c r="AU25" i="384"/>
  <c r="AT25" i="384"/>
  <c r="AS25" i="384"/>
  <c r="AR25" i="384"/>
  <c r="AQ25" i="384"/>
  <c r="AP25" i="384"/>
  <c r="BN24" i="384"/>
  <c r="BM24" i="384"/>
  <c r="BK24" i="384"/>
  <c r="BJ24" i="384"/>
  <c r="BI24" i="384"/>
  <c r="BH24" i="384"/>
  <c r="BG24" i="384"/>
  <c r="BF24" i="384"/>
  <c r="BE24" i="384"/>
  <c r="BD24" i="384"/>
  <c r="BC24" i="384"/>
  <c r="BB24" i="384"/>
  <c r="BA24" i="384"/>
  <c r="AZ24" i="384"/>
  <c r="AY24" i="384"/>
  <c r="BL24" i="384" s="1"/>
  <c r="AW24" i="384"/>
  <c r="AV24" i="384"/>
  <c r="AU24" i="384"/>
  <c r="AT24" i="384"/>
  <c r="AS24" i="384"/>
  <c r="AR24" i="384"/>
  <c r="AQ24" i="384"/>
  <c r="AP24" i="384"/>
  <c r="BN23" i="384"/>
  <c r="BM23" i="384"/>
  <c r="BK23" i="384"/>
  <c r="BJ23" i="384"/>
  <c r="BI23" i="384"/>
  <c r="BH23" i="384"/>
  <c r="BG23" i="384"/>
  <c r="BF23" i="384"/>
  <c r="BE23" i="384"/>
  <c r="BD23" i="384"/>
  <c r="BC23" i="384"/>
  <c r="BB23" i="384"/>
  <c r="BA23" i="384"/>
  <c r="AZ23" i="384"/>
  <c r="AY23" i="384"/>
  <c r="BL23" i="384" s="1"/>
  <c r="AW23" i="384"/>
  <c r="AV23" i="384"/>
  <c r="AU23" i="384"/>
  <c r="AT23" i="384"/>
  <c r="AS23" i="384"/>
  <c r="AR23" i="384"/>
  <c r="AQ23" i="384"/>
  <c r="AP23" i="384"/>
  <c r="BN22" i="384"/>
  <c r="BM22" i="384"/>
  <c r="BL22" i="384"/>
  <c r="BK22" i="384"/>
  <c r="BJ22" i="384"/>
  <c r="BI22" i="384"/>
  <c r="BH22" i="384"/>
  <c r="BG22" i="384"/>
  <c r="BF22" i="384"/>
  <c r="BE22" i="384"/>
  <c r="BD22" i="384"/>
  <c r="BC22" i="384"/>
  <c r="BB22" i="384"/>
  <c r="BA22" i="384"/>
  <c r="AZ22" i="384"/>
  <c r="AW22" i="384"/>
  <c r="AV22" i="384"/>
  <c r="AU22" i="384"/>
  <c r="AT22" i="384"/>
  <c r="AS22" i="384"/>
  <c r="AR22" i="384"/>
  <c r="AQ22" i="384"/>
  <c r="AP22" i="384"/>
  <c r="BN21" i="384"/>
  <c r="BK21" i="384"/>
  <c r="BJ21" i="384"/>
  <c r="BM21" i="384" s="1"/>
  <c r="BI21" i="384"/>
  <c r="BH21" i="384"/>
  <c r="BG21" i="384"/>
  <c r="BF21" i="384"/>
  <c r="BE21" i="384"/>
  <c r="BD21" i="384"/>
  <c r="BC21" i="384"/>
  <c r="BB21" i="384"/>
  <c r="BA21" i="384"/>
  <c r="AZ21" i="384"/>
  <c r="AY21" i="384"/>
  <c r="BL21" i="384" s="1"/>
  <c r="AW21" i="384"/>
  <c r="AV21" i="384"/>
  <c r="AU21" i="384"/>
  <c r="AT21" i="384"/>
  <c r="AS21" i="384"/>
  <c r="AR21" i="384"/>
  <c r="AQ21" i="384"/>
  <c r="AP21" i="384"/>
  <c r="BN20" i="384"/>
  <c r="BK20" i="384"/>
  <c r="BJ20" i="384"/>
  <c r="BM20" i="384" s="1"/>
  <c r="BI20" i="384"/>
  <c r="BH20" i="384"/>
  <c r="BG20" i="384"/>
  <c r="BF20" i="384"/>
  <c r="BE20" i="384"/>
  <c r="BD20" i="384"/>
  <c r="BC20" i="384"/>
  <c r="BB20" i="384"/>
  <c r="BA20" i="384"/>
  <c r="AZ20" i="384"/>
  <c r="AY20" i="384"/>
  <c r="BL20" i="384" s="1"/>
  <c r="AW20" i="384"/>
  <c r="AV20" i="384"/>
  <c r="AU20" i="384"/>
  <c r="AT20" i="384"/>
  <c r="AS20" i="384"/>
  <c r="AR20" i="384"/>
  <c r="AQ20" i="384"/>
  <c r="AP20" i="384"/>
  <c r="BN19" i="384"/>
  <c r="BK19" i="384"/>
  <c r="BJ19" i="384"/>
  <c r="BM19" i="384" s="1"/>
  <c r="BI19" i="384"/>
  <c r="BH19" i="384"/>
  <c r="BG19" i="384"/>
  <c r="BF19" i="384"/>
  <c r="BE19" i="384"/>
  <c r="BD19" i="384"/>
  <c r="BC19" i="384"/>
  <c r="BB19" i="384"/>
  <c r="BA19" i="384"/>
  <c r="AZ19" i="384"/>
  <c r="AY19" i="384"/>
  <c r="BL19" i="384" s="1"/>
  <c r="AW19" i="384"/>
  <c r="AV19" i="384"/>
  <c r="AU19" i="384"/>
  <c r="AT19" i="384"/>
  <c r="AS19" i="384"/>
  <c r="AR19" i="384"/>
  <c r="AQ19" i="384"/>
  <c r="AP19" i="384"/>
  <c r="BN18" i="384"/>
  <c r="BN4" i="384" s="1"/>
  <c r="BK18" i="384"/>
  <c r="BJ18" i="384"/>
  <c r="BM18" i="384" s="1"/>
  <c r="BM4" i="384" s="1"/>
  <c r="BI18" i="384"/>
  <c r="BH18" i="384"/>
  <c r="BG18" i="384"/>
  <c r="BF18" i="384"/>
  <c r="BF4" i="384" s="1"/>
  <c r="BE18" i="384"/>
  <c r="BD18" i="384"/>
  <c r="BC18" i="384"/>
  <c r="BB18" i="384"/>
  <c r="BB4" i="384" s="1"/>
  <c r="BA18" i="384"/>
  <c r="AZ18" i="384"/>
  <c r="AY18" i="384"/>
  <c r="BL18" i="384" s="1"/>
  <c r="BL4" i="384" s="1"/>
  <c r="AW18" i="384"/>
  <c r="AV18" i="384"/>
  <c r="AU18" i="384"/>
  <c r="AT18" i="384"/>
  <c r="AS18" i="384"/>
  <c r="AS4" i="384" s="1"/>
  <c r="AR18" i="384"/>
  <c r="AQ18" i="384"/>
  <c r="AP18" i="384"/>
  <c r="BN17" i="384"/>
  <c r="BK17" i="384"/>
  <c r="BJ17" i="384"/>
  <c r="BM17" i="384" s="1"/>
  <c r="BI17" i="384"/>
  <c r="BH17" i="384"/>
  <c r="BG17" i="384"/>
  <c r="BF17" i="384"/>
  <c r="BE17" i="384"/>
  <c r="BD17" i="384"/>
  <c r="BC17" i="384"/>
  <c r="BB17" i="384"/>
  <c r="BA17" i="384"/>
  <c r="AZ17" i="384"/>
  <c r="AY17" i="384"/>
  <c r="BL17" i="384" s="1"/>
  <c r="AW17" i="384"/>
  <c r="AV17" i="384"/>
  <c r="AU17" i="384"/>
  <c r="AT17" i="384"/>
  <c r="AS17" i="384"/>
  <c r="AR17" i="384"/>
  <c r="AQ17" i="384"/>
  <c r="AP17" i="384"/>
  <c r="BN16" i="384"/>
  <c r="BK16" i="384"/>
  <c r="BJ16" i="384"/>
  <c r="BM16" i="384" s="1"/>
  <c r="BI16" i="384"/>
  <c r="BH16" i="384"/>
  <c r="BG16" i="384"/>
  <c r="BF16" i="384"/>
  <c r="BE16" i="384"/>
  <c r="BD16" i="384"/>
  <c r="BC16" i="384"/>
  <c r="BB16" i="384"/>
  <c r="BA16" i="384"/>
  <c r="AZ16" i="384"/>
  <c r="AY16" i="384"/>
  <c r="BL16" i="384" s="1"/>
  <c r="AW16" i="384"/>
  <c r="AV16" i="384"/>
  <c r="AU16" i="384"/>
  <c r="AT16" i="384"/>
  <c r="AS16" i="384"/>
  <c r="AR16" i="384"/>
  <c r="AQ16" i="384"/>
  <c r="AP16" i="384"/>
  <c r="AO15" i="384"/>
  <c r="AN15" i="384"/>
  <c r="AM15" i="384"/>
  <c r="AL15" i="384"/>
  <c r="AK15" i="384"/>
  <c r="AJ15" i="384"/>
  <c r="AI15" i="384"/>
  <c r="AH15" i="384"/>
  <c r="AG15" i="384"/>
  <c r="AF15" i="384"/>
  <c r="AE15" i="384"/>
  <c r="AD15" i="384"/>
  <c r="AC15" i="384"/>
  <c r="AB15" i="384"/>
  <c r="AA15" i="384"/>
  <c r="Z15" i="384"/>
  <c r="Y15" i="384"/>
  <c r="X15" i="384"/>
  <c r="W15" i="384"/>
  <c r="V15" i="384"/>
  <c r="U15" i="384"/>
  <c r="T15" i="384"/>
  <c r="S15" i="384"/>
  <c r="R15" i="384"/>
  <c r="Q15" i="384"/>
  <c r="P15" i="384"/>
  <c r="O15" i="384"/>
  <c r="N15" i="384"/>
  <c r="M15" i="384"/>
  <c r="L15" i="384"/>
  <c r="BN14" i="384"/>
  <c r="BM14" i="384"/>
  <c r="BL14" i="384"/>
  <c r="BK14" i="384"/>
  <c r="BJ14" i="384"/>
  <c r="BI14" i="384"/>
  <c r="BH14" i="384"/>
  <c r="BG14" i="384"/>
  <c r="BF14" i="384"/>
  <c r="BE14" i="384"/>
  <c r="BD14" i="384"/>
  <c r="BC14" i="384"/>
  <c r="BB14" i="384"/>
  <c r="BA14" i="384"/>
  <c r="AZ14" i="384"/>
  <c r="AW14" i="384"/>
  <c r="AV14" i="384"/>
  <c r="AU14" i="384"/>
  <c r="AT14" i="384"/>
  <c r="AS14" i="384"/>
  <c r="AR14" i="384"/>
  <c r="AQ14" i="384"/>
  <c r="AP14" i="384"/>
  <c r="BN13" i="384"/>
  <c r="BL13" i="384"/>
  <c r="BK13" i="384"/>
  <c r="BJ13" i="384"/>
  <c r="BM13" i="384" s="1"/>
  <c r="BI13" i="384"/>
  <c r="BH13" i="384"/>
  <c r="BG13" i="384"/>
  <c r="BF13" i="384"/>
  <c r="BE13" i="384"/>
  <c r="BD13" i="384"/>
  <c r="BC13" i="384"/>
  <c r="BB13" i="384"/>
  <c r="BA13" i="384"/>
  <c r="AZ13" i="384"/>
  <c r="AW13" i="384"/>
  <c r="AV13" i="384"/>
  <c r="AU13" i="384"/>
  <c r="AT13" i="384"/>
  <c r="AS13" i="384"/>
  <c r="AR13" i="384"/>
  <c r="AQ13" i="384"/>
  <c r="AP13" i="384"/>
  <c r="BN12" i="384"/>
  <c r="BL12" i="384"/>
  <c r="BK12" i="384"/>
  <c r="BJ12" i="384"/>
  <c r="BM12" i="384" s="1"/>
  <c r="BI12" i="384"/>
  <c r="BH12" i="384"/>
  <c r="BG12" i="384"/>
  <c r="BF12" i="384"/>
  <c r="BE12" i="384"/>
  <c r="BD12" i="384"/>
  <c r="BC12" i="384"/>
  <c r="BB12" i="384"/>
  <c r="BA12" i="384"/>
  <c r="AZ12" i="384"/>
  <c r="AY12" i="384"/>
  <c r="AW12" i="384"/>
  <c r="AV12" i="384"/>
  <c r="AU12" i="384"/>
  <c r="AT12" i="384"/>
  <c r="AS12" i="384"/>
  <c r="AR12" i="384"/>
  <c r="AQ12" i="384"/>
  <c r="AP12" i="384"/>
  <c r="BN11" i="384"/>
  <c r="BL11" i="384"/>
  <c r="BJ11" i="384"/>
  <c r="BM11" i="384" s="1"/>
  <c r="BI11" i="384"/>
  <c r="BH11" i="384"/>
  <c r="BG11" i="384"/>
  <c r="BF11" i="384"/>
  <c r="BE11" i="384"/>
  <c r="BD11" i="384"/>
  <c r="BC11" i="384"/>
  <c r="BB11" i="384"/>
  <c r="BA11" i="384"/>
  <c r="AZ11" i="384"/>
  <c r="AY11" i="384"/>
  <c r="AX11" i="384"/>
  <c r="BK11" i="384" s="1"/>
  <c r="AW11" i="384"/>
  <c r="AV11" i="384"/>
  <c r="AU11" i="384"/>
  <c r="AT11" i="384"/>
  <c r="AS11" i="384"/>
  <c r="AR11" i="384"/>
  <c r="AQ11" i="384"/>
  <c r="AP11" i="384"/>
  <c r="BN10" i="384"/>
  <c r="BL10" i="384"/>
  <c r="BK10" i="384"/>
  <c r="BJ10" i="384"/>
  <c r="BM10" i="384" s="1"/>
  <c r="BI10" i="384"/>
  <c r="BH10" i="384"/>
  <c r="BG10" i="384"/>
  <c r="BF10" i="384"/>
  <c r="BE10" i="384"/>
  <c r="BD10" i="384"/>
  <c r="BC10" i="384"/>
  <c r="BB10" i="384"/>
  <c r="BA10" i="384"/>
  <c r="AZ10" i="384"/>
  <c r="AW10" i="384"/>
  <c r="AV10" i="384"/>
  <c r="AU10" i="384"/>
  <c r="AT10" i="384"/>
  <c r="AS10" i="384"/>
  <c r="AR10" i="384"/>
  <c r="AQ10" i="384"/>
  <c r="AP10" i="384"/>
  <c r="CC4" i="384"/>
  <c r="CB4" i="384"/>
  <c r="CA4" i="384"/>
  <c r="BZ4" i="384"/>
  <c r="BY4" i="384"/>
  <c r="BX4" i="384"/>
  <c r="BW4" i="384"/>
  <c r="BV4" i="384"/>
  <c r="BU4" i="384"/>
  <c r="BT4" i="384"/>
  <c r="BS4" i="384"/>
  <c r="BR4" i="384"/>
  <c r="BQ4" i="384"/>
  <c r="BP4" i="384"/>
  <c r="BO4" i="384"/>
  <c r="BK4" i="384"/>
  <c r="BI4" i="384"/>
  <c r="BH4" i="384"/>
  <c r="BG4" i="384"/>
  <c r="BE4" i="384"/>
  <c r="BD4" i="384"/>
  <c r="BC4" i="384"/>
  <c r="BA4" i="384"/>
  <c r="AZ4" i="384"/>
  <c r="AY4" i="384"/>
  <c r="AX4" i="384"/>
  <c r="AW4" i="384"/>
  <c r="AU4" i="384"/>
  <c r="AT4" i="384"/>
  <c r="AR4" i="384"/>
  <c r="AQ4" i="384"/>
  <c r="CA4" i="7"/>
  <c r="BZ4" i="7"/>
  <c r="BY4" i="7"/>
  <c r="AO332" i="7"/>
  <c r="AN332" i="7"/>
  <c r="AM332" i="7"/>
  <c r="AL332" i="7"/>
  <c r="AK332" i="7"/>
  <c r="AJ332" i="7"/>
  <c r="AI332" i="7"/>
  <c r="AH332" i="7"/>
  <c r="AG332" i="7"/>
  <c r="AF332" i="7"/>
  <c r="AE332" i="7"/>
  <c r="AD332" i="7"/>
  <c r="AC332" i="7"/>
  <c r="AB332" i="7"/>
  <c r="AA332" i="7"/>
  <c r="Z332" i="7"/>
  <c r="Y332" i="7"/>
  <c r="X332" i="7"/>
  <c r="W332" i="7"/>
  <c r="V332" i="7"/>
  <c r="U332" i="7"/>
  <c r="T332" i="7"/>
  <c r="S332" i="7"/>
  <c r="R332" i="7"/>
  <c r="Q332" i="7"/>
  <c r="P332" i="7"/>
  <c r="O332" i="7"/>
  <c r="N332" i="7"/>
  <c r="M332" i="7"/>
  <c r="L332" i="7"/>
  <c r="AO323" i="7"/>
  <c r="AN323" i="7"/>
  <c r="AM323" i="7"/>
  <c r="AL323" i="7"/>
  <c r="AK323" i="7"/>
  <c r="AJ323" i="7"/>
  <c r="AI323" i="7"/>
  <c r="AH323" i="7"/>
  <c r="AG323" i="7"/>
  <c r="AF323" i="7"/>
  <c r="AE323" i="7"/>
  <c r="AD323" i="7"/>
  <c r="AC323" i="7"/>
  <c r="AB323" i="7"/>
  <c r="AA323" i="7"/>
  <c r="Z323" i="7"/>
  <c r="Y323" i="7"/>
  <c r="X323" i="7"/>
  <c r="W323" i="7"/>
  <c r="V323" i="7"/>
  <c r="U323" i="7"/>
  <c r="T323" i="7"/>
  <c r="S323" i="7"/>
  <c r="R323" i="7"/>
  <c r="Q323" i="7"/>
  <c r="P323" i="7"/>
  <c r="O323" i="7"/>
  <c r="N323" i="7"/>
  <c r="M323" i="7"/>
  <c r="L323" i="7"/>
  <c r="AO320" i="7"/>
  <c r="AN320" i="7"/>
  <c r="AM320" i="7"/>
  <c r="AL320" i="7"/>
  <c r="AK320" i="7"/>
  <c r="AJ320" i="7"/>
  <c r="AI320" i="7"/>
  <c r="AH320" i="7"/>
  <c r="AG320" i="7"/>
  <c r="AF320" i="7"/>
  <c r="AE320" i="7"/>
  <c r="AD320" i="7"/>
  <c r="AC320" i="7"/>
  <c r="AB320" i="7"/>
  <c r="AA320" i="7"/>
  <c r="Z320" i="7"/>
  <c r="Y320" i="7"/>
  <c r="X320" i="7"/>
  <c r="W320" i="7"/>
  <c r="V320" i="7"/>
  <c r="U320" i="7"/>
  <c r="T320" i="7"/>
  <c r="S320" i="7"/>
  <c r="R320" i="7"/>
  <c r="Q320" i="7"/>
  <c r="P320" i="7"/>
  <c r="O320" i="7"/>
  <c r="N320" i="7"/>
  <c r="M320" i="7"/>
  <c r="L320" i="7"/>
  <c r="AO305" i="7"/>
  <c r="AN305" i="7"/>
  <c r="AM305" i="7"/>
  <c r="AL305" i="7"/>
  <c r="AK305" i="7"/>
  <c r="AJ305" i="7"/>
  <c r="AI305" i="7"/>
  <c r="AH305" i="7"/>
  <c r="AG305" i="7"/>
  <c r="AF305" i="7"/>
  <c r="AE305" i="7"/>
  <c r="AD305" i="7"/>
  <c r="AC305" i="7"/>
  <c r="AB305" i="7"/>
  <c r="AA305" i="7"/>
  <c r="Z305" i="7"/>
  <c r="Y305" i="7"/>
  <c r="X305" i="7"/>
  <c r="W305" i="7"/>
  <c r="V305" i="7"/>
  <c r="U305" i="7"/>
  <c r="T305" i="7"/>
  <c r="S305" i="7"/>
  <c r="R305" i="7"/>
  <c r="Q305" i="7"/>
  <c r="P305" i="7"/>
  <c r="O305" i="7"/>
  <c r="N305" i="7"/>
  <c r="M305" i="7"/>
  <c r="L305" i="7"/>
  <c r="AO291" i="7"/>
  <c r="AN291" i="7"/>
  <c r="AM291" i="7"/>
  <c r="AL291" i="7"/>
  <c r="AK291" i="7"/>
  <c r="AJ291" i="7"/>
  <c r="AI291" i="7"/>
  <c r="AH291" i="7"/>
  <c r="AG291" i="7"/>
  <c r="AF291" i="7"/>
  <c r="AE291" i="7"/>
  <c r="AD291" i="7"/>
  <c r="AC291" i="7"/>
  <c r="AB291" i="7"/>
  <c r="AA291" i="7"/>
  <c r="Z291" i="7"/>
  <c r="Y291" i="7"/>
  <c r="X291" i="7"/>
  <c r="W291" i="7"/>
  <c r="V291" i="7"/>
  <c r="U291" i="7"/>
  <c r="T291" i="7"/>
  <c r="S291" i="7"/>
  <c r="R291" i="7"/>
  <c r="Q291" i="7"/>
  <c r="P291" i="7"/>
  <c r="O291" i="7"/>
  <c r="N291" i="7"/>
  <c r="M291" i="7"/>
  <c r="L291" i="7"/>
  <c r="AO277" i="7"/>
  <c r="AN277" i="7"/>
  <c r="AM277" i="7"/>
  <c r="AL277" i="7"/>
  <c r="AK277" i="7"/>
  <c r="AJ277" i="7"/>
  <c r="AI277" i="7"/>
  <c r="AH277" i="7"/>
  <c r="AG277" i="7"/>
  <c r="AF277" i="7"/>
  <c r="AE277" i="7"/>
  <c r="AD277" i="7"/>
  <c r="AC277" i="7"/>
  <c r="AB277" i="7"/>
  <c r="AA277" i="7"/>
  <c r="Z277" i="7"/>
  <c r="Y277" i="7"/>
  <c r="X277" i="7"/>
  <c r="W277" i="7"/>
  <c r="V277" i="7"/>
  <c r="U277" i="7"/>
  <c r="T277" i="7"/>
  <c r="S277" i="7"/>
  <c r="R277" i="7"/>
  <c r="Q277" i="7"/>
  <c r="P277" i="7"/>
  <c r="O277" i="7"/>
  <c r="N277" i="7"/>
  <c r="M277" i="7"/>
  <c r="L277" i="7"/>
  <c r="AO272" i="7"/>
  <c r="AN272" i="7"/>
  <c r="AM272" i="7"/>
  <c r="AL272" i="7"/>
  <c r="AK272" i="7"/>
  <c r="AJ272" i="7"/>
  <c r="AI272" i="7"/>
  <c r="AH272" i="7"/>
  <c r="AG272" i="7"/>
  <c r="AF272" i="7"/>
  <c r="AE272" i="7"/>
  <c r="AD272" i="7"/>
  <c r="AC272" i="7"/>
  <c r="AB272" i="7"/>
  <c r="AA272" i="7"/>
  <c r="Z272" i="7"/>
  <c r="Y272" i="7"/>
  <c r="X272" i="7"/>
  <c r="W272" i="7"/>
  <c r="V272" i="7"/>
  <c r="U272" i="7"/>
  <c r="T272" i="7"/>
  <c r="S272" i="7"/>
  <c r="R272" i="7"/>
  <c r="Q272" i="7"/>
  <c r="P272" i="7"/>
  <c r="O272" i="7"/>
  <c r="N272" i="7"/>
  <c r="M272" i="7"/>
  <c r="L272" i="7"/>
  <c r="AO270" i="7"/>
  <c r="AN270" i="7"/>
  <c r="AM270" i="7"/>
  <c r="AL270" i="7"/>
  <c r="AK270" i="7"/>
  <c r="AJ270" i="7"/>
  <c r="AI270" i="7"/>
  <c r="AH270" i="7"/>
  <c r="AG270" i="7"/>
  <c r="AF270" i="7"/>
  <c r="AE270" i="7"/>
  <c r="AD270" i="7"/>
  <c r="AC270" i="7"/>
  <c r="AB270" i="7"/>
  <c r="AA270" i="7"/>
  <c r="Z270" i="7"/>
  <c r="Y270" i="7"/>
  <c r="X270" i="7"/>
  <c r="W270" i="7"/>
  <c r="V270" i="7"/>
  <c r="U270" i="7"/>
  <c r="T270" i="7"/>
  <c r="S270" i="7"/>
  <c r="R270" i="7"/>
  <c r="Q270" i="7"/>
  <c r="P270" i="7"/>
  <c r="O270" i="7"/>
  <c r="N270" i="7"/>
  <c r="M270" i="7"/>
  <c r="L270" i="7"/>
  <c r="AO256" i="7"/>
  <c r="AN256" i="7"/>
  <c r="AM256" i="7"/>
  <c r="AL256" i="7"/>
  <c r="AK256" i="7"/>
  <c r="AJ256" i="7"/>
  <c r="AI256" i="7"/>
  <c r="AH256" i="7"/>
  <c r="AG256" i="7"/>
  <c r="AF256" i="7"/>
  <c r="AE256" i="7"/>
  <c r="AD256" i="7"/>
  <c r="AC256" i="7"/>
  <c r="AB256" i="7"/>
  <c r="AA256" i="7"/>
  <c r="Z256" i="7"/>
  <c r="Y256" i="7"/>
  <c r="X256" i="7"/>
  <c r="W256" i="7"/>
  <c r="V256" i="7"/>
  <c r="U256" i="7"/>
  <c r="T256" i="7"/>
  <c r="S256" i="7"/>
  <c r="R256" i="7"/>
  <c r="Q256" i="7"/>
  <c r="P256" i="7"/>
  <c r="O256" i="7"/>
  <c r="N256" i="7"/>
  <c r="M256" i="7"/>
  <c r="L256" i="7"/>
  <c r="AO247" i="7"/>
  <c r="AN247" i="7"/>
  <c r="AM247" i="7"/>
  <c r="AL247" i="7"/>
  <c r="AK247" i="7"/>
  <c r="AJ247" i="7"/>
  <c r="AI247" i="7"/>
  <c r="AH247" i="7"/>
  <c r="AG247" i="7"/>
  <c r="AF247" i="7"/>
  <c r="AE247" i="7"/>
  <c r="AD247" i="7"/>
  <c r="AC247" i="7"/>
  <c r="AB247" i="7"/>
  <c r="AA247" i="7"/>
  <c r="Z247" i="7"/>
  <c r="Y247" i="7"/>
  <c r="X247" i="7"/>
  <c r="W247" i="7"/>
  <c r="V247" i="7"/>
  <c r="U247" i="7"/>
  <c r="T247" i="7"/>
  <c r="S247" i="7"/>
  <c r="R247" i="7"/>
  <c r="Q247" i="7"/>
  <c r="P247" i="7"/>
  <c r="O247" i="7"/>
  <c r="N247" i="7"/>
  <c r="M247" i="7"/>
  <c r="L247" i="7"/>
  <c r="AO234" i="7"/>
  <c r="AN234" i="7"/>
  <c r="AM234" i="7"/>
  <c r="AL234" i="7"/>
  <c r="AK234" i="7"/>
  <c r="AJ234" i="7"/>
  <c r="AI234" i="7"/>
  <c r="AH234" i="7"/>
  <c r="AG234" i="7"/>
  <c r="AF234" i="7"/>
  <c r="AE234" i="7"/>
  <c r="AD234" i="7"/>
  <c r="AC234" i="7"/>
  <c r="AB234" i="7"/>
  <c r="AA234" i="7"/>
  <c r="Z234" i="7"/>
  <c r="Y234" i="7"/>
  <c r="X234" i="7"/>
  <c r="W234" i="7"/>
  <c r="V234" i="7"/>
  <c r="U234" i="7"/>
  <c r="T234" i="7"/>
  <c r="S234" i="7"/>
  <c r="R234" i="7"/>
  <c r="Q234" i="7"/>
  <c r="P234" i="7"/>
  <c r="O234" i="7"/>
  <c r="N234" i="7"/>
  <c r="M234" i="7"/>
  <c r="L234" i="7"/>
  <c r="AO233" i="7"/>
  <c r="AN233" i="7"/>
  <c r="AM233" i="7"/>
  <c r="AL233" i="7"/>
  <c r="AK233" i="7"/>
  <c r="AJ233" i="7"/>
  <c r="AI233" i="7"/>
  <c r="AH233" i="7"/>
  <c r="AG233" i="7"/>
  <c r="AF233" i="7"/>
  <c r="AE233" i="7"/>
  <c r="AD233" i="7"/>
  <c r="AC233" i="7"/>
  <c r="AB233" i="7"/>
  <c r="AA233" i="7"/>
  <c r="Z233" i="7"/>
  <c r="Y233" i="7"/>
  <c r="X233" i="7"/>
  <c r="W233" i="7"/>
  <c r="V233" i="7"/>
  <c r="U233" i="7"/>
  <c r="T233" i="7"/>
  <c r="S233" i="7"/>
  <c r="R233" i="7"/>
  <c r="Q233" i="7"/>
  <c r="P233" i="7"/>
  <c r="O233" i="7"/>
  <c r="N233" i="7"/>
  <c r="M233" i="7"/>
  <c r="L233" i="7"/>
  <c r="AO232" i="7"/>
  <c r="AN232" i="7"/>
  <c r="AM232" i="7"/>
  <c r="AL232" i="7"/>
  <c r="AK232" i="7"/>
  <c r="AJ232" i="7"/>
  <c r="AI232" i="7"/>
  <c r="AH232" i="7"/>
  <c r="AG232" i="7"/>
  <c r="AF232" i="7"/>
  <c r="AE232" i="7"/>
  <c r="AD232" i="7"/>
  <c r="AC232" i="7"/>
  <c r="AB232" i="7"/>
  <c r="AA232" i="7"/>
  <c r="Z232" i="7"/>
  <c r="Y232" i="7"/>
  <c r="X232" i="7"/>
  <c r="W232" i="7"/>
  <c r="V232" i="7"/>
  <c r="U232" i="7"/>
  <c r="T232" i="7"/>
  <c r="S232" i="7"/>
  <c r="R232" i="7"/>
  <c r="Q232" i="7"/>
  <c r="P232" i="7"/>
  <c r="O232" i="7"/>
  <c r="N232" i="7"/>
  <c r="M232" i="7"/>
  <c r="L232" i="7"/>
  <c r="AO215" i="7"/>
  <c r="AN215" i="7"/>
  <c r="AM215" i="7"/>
  <c r="AL215" i="7"/>
  <c r="AK215" i="7"/>
  <c r="AJ215" i="7"/>
  <c r="AI215" i="7"/>
  <c r="AH215" i="7"/>
  <c r="AG215" i="7"/>
  <c r="AF215" i="7"/>
  <c r="AE215" i="7"/>
  <c r="AD215" i="7"/>
  <c r="AC215" i="7"/>
  <c r="AB215" i="7"/>
  <c r="AA215" i="7"/>
  <c r="Z215" i="7"/>
  <c r="Y215" i="7"/>
  <c r="X215" i="7"/>
  <c r="W215" i="7"/>
  <c r="V215" i="7"/>
  <c r="U215" i="7"/>
  <c r="T215" i="7"/>
  <c r="S215" i="7"/>
  <c r="R215" i="7"/>
  <c r="Q215" i="7"/>
  <c r="P215" i="7"/>
  <c r="O215" i="7"/>
  <c r="N215" i="7"/>
  <c r="M215" i="7"/>
  <c r="L215" i="7"/>
  <c r="AO211" i="7"/>
  <c r="AN211" i="7"/>
  <c r="AM211" i="7"/>
  <c r="AL211" i="7"/>
  <c r="AK211" i="7"/>
  <c r="AJ211" i="7"/>
  <c r="AI211" i="7"/>
  <c r="AH211" i="7"/>
  <c r="AG211" i="7"/>
  <c r="AF211" i="7"/>
  <c r="AE211" i="7"/>
  <c r="AD211" i="7"/>
  <c r="AC211" i="7"/>
  <c r="AB211" i="7"/>
  <c r="AA211" i="7"/>
  <c r="Z211" i="7"/>
  <c r="Y211" i="7"/>
  <c r="X211" i="7"/>
  <c r="W211" i="7"/>
  <c r="V211" i="7"/>
  <c r="U211" i="7"/>
  <c r="T211" i="7"/>
  <c r="S211" i="7"/>
  <c r="R211" i="7"/>
  <c r="Q211" i="7"/>
  <c r="P211" i="7"/>
  <c r="O211" i="7"/>
  <c r="N211" i="7"/>
  <c r="M211" i="7"/>
  <c r="L211" i="7"/>
  <c r="AO209" i="7"/>
  <c r="AN209" i="7"/>
  <c r="AM209" i="7"/>
  <c r="AL209" i="7"/>
  <c r="AK209" i="7"/>
  <c r="AJ209" i="7"/>
  <c r="AI209" i="7"/>
  <c r="AH209" i="7"/>
  <c r="AG209" i="7"/>
  <c r="AF209" i="7"/>
  <c r="AE209" i="7"/>
  <c r="AD209" i="7"/>
  <c r="AC209" i="7"/>
  <c r="AB209" i="7"/>
  <c r="AA209" i="7"/>
  <c r="Z209" i="7"/>
  <c r="Y209" i="7"/>
  <c r="X209" i="7"/>
  <c r="W209" i="7"/>
  <c r="V209" i="7"/>
  <c r="U209" i="7"/>
  <c r="T209" i="7"/>
  <c r="S209" i="7"/>
  <c r="R209" i="7"/>
  <c r="Q209" i="7"/>
  <c r="P209" i="7"/>
  <c r="O209" i="7"/>
  <c r="N209" i="7"/>
  <c r="M209" i="7"/>
  <c r="L209" i="7"/>
  <c r="AO207" i="7"/>
  <c r="AN207" i="7"/>
  <c r="AM207" i="7"/>
  <c r="AL207" i="7"/>
  <c r="AK207" i="7"/>
  <c r="AJ207" i="7"/>
  <c r="AI207" i="7"/>
  <c r="AH207" i="7"/>
  <c r="AG207" i="7"/>
  <c r="AF207" i="7"/>
  <c r="AE207" i="7"/>
  <c r="AD207" i="7"/>
  <c r="AC207" i="7"/>
  <c r="AB207" i="7"/>
  <c r="AA207" i="7"/>
  <c r="Z207" i="7"/>
  <c r="Y207" i="7"/>
  <c r="X207" i="7"/>
  <c r="W207" i="7"/>
  <c r="V207" i="7"/>
  <c r="U207" i="7"/>
  <c r="T207" i="7"/>
  <c r="S207" i="7"/>
  <c r="R207" i="7"/>
  <c r="Q207" i="7"/>
  <c r="P207" i="7"/>
  <c r="O207" i="7"/>
  <c r="N207" i="7"/>
  <c r="M207" i="7"/>
  <c r="L207" i="7"/>
  <c r="AO193" i="7"/>
  <c r="AN193" i="7"/>
  <c r="AM193" i="7"/>
  <c r="AL193" i="7"/>
  <c r="AK193" i="7"/>
  <c r="AJ193" i="7"/>
  <c r="AI193" i="7"/>
  <c r="AH193" i="7"/>
  <c r="AG193" i="7"/>
  <c r="AF193" i="7"/>
  <c r="AE193" i="7"/>
  <c r="AD193" i="7"/>
  <c r="AC193" i="7"/>
  <c r="AB193" i="7"/>
  <c r="AA193" i="7"/>
  <c r="Z193" i="7"/>
  <c r="Y193" i="7"/>
  <c r="X193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AO176" i="7"/>
  <c r="AN176" i="7"/>
  <c r="AM176" i="7"/>
  <c r="AL176" i="7"/>
  <c r="AK176" i="7"/>
  <c r="AJ176" i="7"/>
  <c r="AI176" i="7"/>
  <c r="AH176" i="7"/>
  <c r="AG176" i="7"/>
  <c r="AF176" i="7"/>
  <c r="AE176" i="7"/>
  <c r="AD176" i="7"/>
  <c r="AC176" i="7"/>
  <c r="AB176" i="7"/>
  <c r="AA176" i="7"/>
  <c r="Z176" i="7"/>
  <c r="Y176" i="7"/>
  <c r="X176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AO150" i="7"/>
  <c r="AN150" i="7"/>
  <c r="AM150" i="7"/>
  <c r="AL150" i="7"/>
  <c r="AK150" i="7"/>
  <c r="AJ150" i="7"/>
  <c r="AI150" i="7"/>
  <c r="AH150" i="7"/>
  <c r="AG150" i="7"/>
  <c r="AF150" i="7"/>
  <c r="AE150" i="7"/>
  <c r="AD150" i="7"/>
  <c r="AC150" i="7"/>
  <c r="AB150" i="7"/>
  <c r="AA150" i="7"/>
  <c r="Z150" i="7"/>
  <c r="Y150" i="7"/>
  <c r="X150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AO143" i="7"/>
  <c r="AN143" i="7"/>
  <c r="AM143" i="7"/>
  <c r="AL143" i="7"/>
  <c r="AK143" i="7"/>
  <c r="AJ143" i="7"/>
  <c r="AI143" i="7"/>
  <c r="AH143" i="7"/>
  <c r="AG143" i="7"/>
  <c r="AF143" i="7"/>
  <c r="AE143" i="7"/>
  <c r="AD143" i="7"/>
  <c r="AC143" i="7"/>
  <c r="AB143" i="7"/>
  <c r="AA143" i="7"/>
  <c r="Z143" i="7"/>
  <c r="Y143" i="7"/>
  <c r="X143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AO129" i="7"/>
  <c r="AN129" i="7"/>
  <c r="AM129" i="7"/>
  <c r="AL129" i="7"/>
  <c r="AK129" i="7"/>
  <c r="AJ129" i="7"/>
  <c r="AI129" i="7"/>
  <c r="AH129" i="7"/>
  <c r="AG129" i="7"/>
  <c r="AF129" i="7"/>
  <c r="AE129" i="7"/>
  <c r="AD129" i="7"/>
  <c r="AC129" i="7"/>
  <c r="AB129" i="7"/>
  <c r="AA129" i="7"/>
  <c r="Z129" i="7"/>
  <c r="Y129" i="7"/>
  <c r="X129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AO124" i="7"/>
  <c r="AN124" i="7"/>
  <c r="AM124" i="7"/>
  <c r="AL124" i="7"/>
  <c r="AK124" i="7"/>
  <c r="AJ124" i="7"/>
  <c r="AI124" i="7"/>
  <c r="AH124" i="7"/>
  <c r="AG124" i="7"/>
  <c r="AF124" i="7"/>
  <c r="AE124" i="7"/>
  <c r="AD124" i="7"/>
  <c r="AC124" i="7"/>
  <c r="AB124" i="7"/>
  <c r="AA124" i="7"/>
  <c r="Z124" i="7"/>
  <c r="Y124" i="7"/>
  <c r="X124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AO117" i="7"/>
  <c r="AN117" i="7"/>
  <c r="AM117" i="7"/>
  <c r="AL117" i="7"/>
  <c r="AK117" i="7"/>
  <c r="AJ117" i="7"/>
  <c r="AI117" i="7"/>
  <c r="AH117" i="7"/>
  <c r="AG117" i="7"/>
  <c r="AF117" i="7"/>
  <c r="AE117" i="7"/>
  <c r="AD117" i="7"/>
  <c r="AC117" i="7"/>
  <c r="AB117" i="7"/>
  <c r="AA117" i="7"/>
  <c r="Z117" i="7"/>
  <c r="Y117" i="7"/>
  <c r="X117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AO116" i="7"/>
  <c r="AN116" i="7"/>
  <c r="AM116" i="7"/>
  <c r="AL116" i="7"/>
  <c r="AK116" i="7"/>
  <c r="AJ116" i="7"/>
  <c r="AI116" i="7"/>
  <c r="AH116" i="7"/>
  <c r="AG116" i="7"/>
  <c r="AF116" i="7"/>
  <c r="AE116" i="7"/>
  <c r="AD116" i="7"/>
  <c r="AC116" i="7"/>
  <c r="AB116" i="7"/>
  <c r="AA116" i="7"/>
  <c r="Z116" i="7"/>
  <c r="Y116" i="7"/>
  <c r="X116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AO113" i="7"/>
  <c r="AN113" i="7"/>
  <c r="AM113" i="7"/>
  <c r="AL113" i="7"/>
  <c r="AK113" i="7"/>
  <c r="AJ113" i="7"/>
  <c r="AI113" i="7"/>
  <c r="AH113" i="7"/>
  <c r="AG113" i="7"/>
  <c r="AF113" i="7"/>
  <c r="AE113" i="7"/>
  <c r="AD113" i="7"/>
  <c r="AC113" i="7"/>
  <c r="AB113" i="7"/>
  <c r="AA113" i="7"/>
  <c r="Z113" i="7"/>
  <c r="Y113" i="7"/>
  <c r="X113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AO108" i="7"/>
  <c r="AN108" i="7"/>
  <c r="AM108" i="7"/>
  <c r="AL108" i="7"/>
  <c r="AK108" i="7"/>
  <c r="AJ108" i="7"/>
  <c r="AI108" i="7"/>
  <c r="AH108" i="7"/>
  <c r="AG108" i="7"/>
  <c r="AF108" i="7"/>
  <c r="AE108" i="7"/>
  <c r="AD108" i="7"/>
  <c r="AC108" i="7"/>
  <c r="AB108" i="7"/>
  <c r="AA108" i="7"/>
  <c r="Z108" i="7"/>
  <c r="Y108" i="7"/>
  <c r="X108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AO105" i="7"/>
  <c r="AN105" i="7"/>
  <c r="AM105" i="7"/>
  <c r="AL105" i="7"/>
  <c r="AK105" i="7"/>
  <c r="AJ105" i="7"/>
  <c r="AI105" i="7"/>
  <c r="AH105" i="7"/>
  <c r="AG105" i="7"/>
  <c r="AF105" i="7"/>
  <c r="AE105" i="7"/>
  <c r="AD105" i="7"/>
  <c r="AC105" i="7"/>
  <c r="AB105" i="7"/>
  <c r="AA105" i="7"/>
  <c r="Z105" i="7"/>
  <c r="Y105" i="7"/>
  <c r="X105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AO102" i="7"/>
  <c r="AN102" i="7"/>
  <c r="AM102" i="7"/>
  <c r="AL102" i="7"/>
  <c r="AK102" i="7"/>
  <c r="AJ102" i="7"/>
  <c r="AI102" i="7"/>
  <c r="AH102" i="7"/>
  <c r="AG102" i="7"/>
  <c r="AF102" i="7"/>
  <c r="AE102" i="7"/>
  <c r="AD102" i="7"/>
  <c r="AC102" i="7"/>
  <c r="AB102" i="7"/>
  <c r="AA102" i="7"/>
  <c r="Z102" i="7"/>
  <c r="Y102" i="7"/>
  <c r="X102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AO100" i="7"/>
  <c r="AN100" i="7"/>
  <c r="AM100" i="7"/>
  <c r="AL100" i="7"/>
  <c r="AK100" i="7"/>
  <c r="AJ100" i="7"/>
  <c r="AI100" i="7"/>
  <c r="AH100" i="7"/>
  <c r="AG100" i="7"/>
  <c r="AF100" i="7"/>
  <c r="AE100" i="7"/>
  <c r="AD100" i="7"/>
  <c r="AC100" i="7"/>
  <c r="AB100" i="7"/>
  <c r="AA100" i="7"/>
  <c r="Z100" i="7"/>
  <c r="Y100" i="7"/>
  <c r="X100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AO92" i="7"/>
  <c r="AN92" i="7"/>
  <c r="AM92" i="7"/>
  <c r="AL92" i="7"/>
  <c r="AK92" i="7"/>
  <c r="AJ92" i="7"/>
  <c r="AI92" i="7"/>
  <c r="AH92" i="7"/>
  <c r="AG92" i="7"/>
  <c r="AF92" i="7"/>
  <c r="AE92" i="7"/>
  <c r="AD92" i="7"/>
  <c r="AC92" i="7"/>
  <c r="AB92" i="7"/>
  <c r="AA92" i="7"/>
  <c r="Z92" i="7"/>
  <c r="Y92" i="7"/>
  <c r="X92" i="7"/>
  <c r="W92" i="7"/>
  <c r="V92" i="7"/>
  <c r="U92" i="7"/>
  <c r="T92" i="7"/>
  <c r="S92" i="7"/>
  <c r="R92" i="7"/>
  <c r="Q92" i="7"/>
  <c r="P92" i="7"/>
  <c r="O92" i="7"/>
  <c r="N92" i="7"/>
  <c r="M92" i="7"/>
  <c r="L92" i="7"/>
  <c r="AO85" i="7"/>
  <c r="AN85" i="7"/>
  <c r="AM85" i="7"/>
  <c r="AL85" i="7"/>
  <c r="AK85" i="7"/>
  <c r="AJ85" i="7"/>
  <c r="AI85" i="7"/>
  <c r="AH85" i="7"/>
  <c r="AG85" i="7"/>
  <c r="AF85" i="7"/>
  <c r="AE85" i="7"/>
  <c r="AD85" i="7"/>
  <c r="AC85" i="7"/>
  <c r="AB85" i="7"/>
  <c r="AA85" i="7"/>
  <c r="Z85" i="7"/>
  <c r="Y85" i="7"/>
  <c r="X85" i="7"/>
  <c r="W85" i="7"/>
  <c r="V85" i="7"/>
  <c r="U85" i="7"/>
  <c r="T85" i="7"/>
  <c r="S85" i="7"/>
  <c r="R85" i="7"/>
  <c r="Q85" i="7"/>
  <c r="P85" i="7"/>
  <c r="O85" i="7"/>
  <c r="N85" i="7"/>
  <c r="M85" i="7"/>
  <c r="L85" i="7"/>
  <c r="AO74" i="7"/>
  <c r="AN74" i="7"/>
  <c r="AM74" i="7"/>
  <c r="AL74" i="7"/>
  <c r="AK74" i="7"/>
  <c r="AJ74" i="7"/>
  <c r="AI74" i="7"/>
  <c r="AH74" i="7"/>
  <c r="AG74" i="7"/>
  <c r="AF74" i="7"/>
  <c r="AE74" i="7"/>
  <c r="AD74" i="7"/>
  <c r="AC74" i="7"/>
  <c r="AB74" i="7"/>
  <c r="AA74" i="7"/>
  <c r="Z74" i="7"/>
  <c r="Y74" i="7"/>
  <c r="X74" i="7"/>
  <c r="W74" i="7"/>
  <c r="V74" i="7"/>
  <c r="U74" i="7"/>
  <c r="T74" i="7"/>
  <c r="S74" i="7"/>
  <c r="R74" i="7"/>
  <c r="Q74" i="7"/>
  <c r="P74" i="7"/>
  <c r="O74" i="7"/>
  <c r="N74" i="7"/>
  <c r="M74" i="7"/>
  <c r="L74" i="7"/>
  <c r="AO61" i="7"/>
  <c r="AN61" i="7"/>
  <c r="AM61" i="7"/>
  <c r="AL61" i="7"/>
  <c r="AK61" i="7"/>
  <c r="AJ61" i="7"/>
  <c r="AI61" i="7"/>
  <c r="AH61" i="7"/>
  <c r="AG61" i="7"/>
  <c r="AF61" i="7"/>
  <c r="AE61" i="7"/>
  <c r="AD61" i="7"/>
  <c r="AC61" i="7"/>
  <c r="AB61" i="7"/>
  <c r="AA61" i="7"/>
  <c r="Z61" i="7"/>
  <c r="Y61" i="7"/>
  <c r="X61" i="7"/>
  <c r="W61" i="7"/>
  <c r="V61" i="7"/>
  <c r="U61" i="7"/>
  <c r="T61" i="7"/>
  <c r="S61" i="7"/>
  <c r="R61" i="7"/>
  <c r="Q61" i="7"/>
  <c r="P61" i="7"/>
  <c r="O61" i="7"/>
  <c r="N61" i="7"/>
  <c r="M61" i="7"/>
  <c r="L61" i="7"/>
  <c r="AO59" i="7"/>
  <c r="AN59" i="7"/>
  <c r="AM59" i="7"/>
  <c r="AL59" i="7"/>
  <c r="AK59" i="7"/>
  <c r="AJ59" i="7"/>
  <c r="AI59" i="7"/>
  <c r="AH59" i="7"/>
  <c r="AG59" i="7"/>
  <c r="AF59" i="7"/>
  <c r="AE59" i="7"/>
  <c r="AD59" i="7"/>
  <c r="AC59" i="7"/>
  <c r="AB59" i="7"/>
  <c r="AA59" i="7"/>
  <c r="Z59" i="7"/>
  <c r="Y59" i="7"/>
  <c r="X59" i="7"/>
  <c r="W59" i="7"/>
  <c r="V59" i="7"/>
  <c r="U59" i="7"/>
  <c r="T59" i="7"/>
  <c r="S59" i="7"/>
  <c r="R59" i="7"/>
  <c r="Q59" i="7"/>
  <c r="P59" i="7"/>
  <c r="O59" i="7"/>
  <c r="N59" i="7"/>
  <c r="M59" i="7"/>
  <c r="L59" i="7"/>
  <c r="AO50" i="7"/>
  <c r="AN50" i="7"/>
  <c r="AM50" i="7"/>
  <c r="AL50" i="7"/>
  <c r="AK50" i="7"/>
  <c r="AJ50" i="7"/>
  <c r="AI50" i="7"/>
  <c r="AI334" i="7" s="1"/>
  <c r="AH50" i="7"/>
  <c r="AH334" i="7" s="1"/>
  <c r="AG50" i="7"/>
  <c r="AF50" i="7"/>
  <c r="AE50" i="7"/>
  <c r="AD50" i="7"/>
  <c r="AC50" i="7"/>
  <c r="AB50" i="7"/>
  <c r="AA50" i="7"/>
  <c r="AA334" i="7" s="1"/>
  <c r="Z50" i="7"/>
  <c r="Z334" i="7" s="1"/>
  <c r="Y50" i="7"/>
  <c r="X50" i="7"/>
  <c r="W50" i="7"/>
  <c r="V50" i="7"/>
  <c r="U50" i="7"/>
  <c r="T50" i="7"/>
  <c r="S50" i="7"/>
  <c r="S334" i="7" s="1"/>
  <c r="R50" i="7"/>
  <c r="R334" i="7" s="1"/>
  <c r="Q50" i="7"/>
  <c r="P50" i="7"/>
  <c r="O50" i="7"/>
  <c r="N50" i="7"/>
  <c r="M50" i="7"/>
  <c r="L50" i="7"/>
  <c r="AO47" i="7"/>
  <c r="AN47" i="7"/>
  <c r="AM47" i="7"/>
  <c r="AL47" i="7"/>
  <c r="AK47" i="7"/>
  <c r="AJ47" i="7"/>
  <c r="AI47" i="7"/>
  <c r="AH47" i="7"/>
  <c r="AG47" i="7"/>
  <c r="AF47" i="7"/>
  <c r="AE47" i="7"/>
  <c r="AD47" i="7"/>
  <c r="AC47" i="7"/>
  <c r="AB47" i="7"/>
  <c r="AA47" i="7"/>
  <c r="Z47" i="7"/>
  <c r="Y47" i="7"/>
  <c r="X47" i="7"/>
  <c r="W47" i="7"/>
  <c r="V47" i="7"/>
  <c r="U47" i="7"/>
  <c r="T47" i="7"/>
  <c r="S47" i="7"/>
  <c r="R47" i="7"/>
  <c r="Q47" i="7"/>
  <c r="P47" i="7"/>
  <c r="O47" i="7"/>
  <c r="N47" i="7"/>
  <c r="M47" i="7"/>
  <c r="L47" i="7"/>
  <c r="AO26" i="7"/>
  <c r="AN26" i="7"/>
  <c r="AM26" i="7"/>
  <c r="AL26" i="7"/>
  <c r="AK26" i="7"/>
  <c r="AJ26" i="7"/>
  <c r="AI26" i="7"/>
  <c r="AH26" i="7"/>
  <c r="AG26" i="7"/>
  <c r="AF26" i="7"/>
  <c r="AE26" i="7"/>
  <c r="AD26" i="7"/>
  <c r="AC26" i="7"/>
  <c r="AB26" i="7"/>
  <c r="AA26" i="7"/>
  <c r="Z26" i="7"/>
  <c r="Y26" i="7"/>
  <c r="X26" i="7"/>
  <c r="W26" i="7"/>
  <c r="V26" i="7"/>
  <c r="U26" i="7"/>
  <c r="T26" i="7"/>
  <c r="S26" i="7"/>
  <c r="R26" i="7"/>
  <c r="Q26" i="7"/>
  <c r="P26" i="7"/>
  <c r="O26" i="7"/>
  <c r="N26" i="7"/>
  <c r="M26" i="7"/>
  <c r="L26" i="7"/>
  <c r="AO15" i="7"/>
  <c r="AO334" i="7" s="1"/>
  <c r="AN15" i="7"/>
  <c r="AN334" i="7" s="1"/>
  <c r="AM15" i="7"/>
  <c r="AM334" i="7" s="1"/>
  <c r="AL15" i="7"/>
  <c r="AL334" i="7" s="1"/>
  <c r="AK15" i="7"/>
  <c r="AK334" i="7" s="1"/>
  <c r="AJ15" i="7"/>
  <c r="AJ334" i="7" s="1"/>
  <c r="AI15" i="7"/>
  <c r="AH15" i="7"/>
  <c r="AG15" i="7"/>
  <c r="AG334" i="7" s="1"/>
  <c r="AF15" i="7"/>
  <c r="AF334" i="7" s="1"/>
  <c r="AE15" i="7"/>
  <c r="AE334" i="7" s="1"/>
  <c r="AD15" i="7"/>
  <c r="AD334" i="7" s="1"/>
  <c r="AC15" i="7"/>
  <c r="AC334" i="7" s="1"/>
  <c r="AB15" i="7"/>
  <c r="AB334" i="7" s="1"/>
  <c r="AA15" i="7"/>
  <c r="Z15" i="7"/>
  <c r="Y15" i="7"/>
  <c r="Y334" i="7" s="1"/>
  <c r="X15" i="7"/>
  <c r="X334" i="7" s="1"/>
  <c r="W15" i="7"/>
  <c r="W334" i="7" s="1"/>
  <c r="V15" i="7"/>
  <c r="V334" i="7" s="1"/>
  <c r="U15" i="7"/>
  <c r="U334" i="7" s="1"/>
  <c r="T15" i="7"/>
  <c r="T334" i="7" s="1"/>
  <c r="S15" i="7"/>
  <c r="R15" i="7"/>
  <c r="Q15" i="7"/>
  <c r="Q334" i="7" s="1"/>
  <c r="P15" i="7"/>
  <c r="P334" i="7" s="1"/>
  <c r="O15" i="7"/>
  <c r="O334" i="7" s="1"/>
  <c r="N15" i="7"/>
  <c r="N334" i="7" s="1"/>
  <c r="M15" i="7"/>
  <c r="M334" i="7" s="1"/>
  <c r="L15" i="7"/>
  <c r="L334" i="7" s="1"/>
  <c r="BN331" i="7"/>
  <c r="BN330" i="7"/>
  <c r="BN329" i="7"/>
  <c r="BN328" i="7"/>
  <c r="BN327" i="7"/>
  <c r="BN326" i="7"/>
  <c r="BN325" i="7"/>
  <c r="BN324" i="7"/>
  <c r="BN322" i="7"/>
  <c r="BN321" i="7"/>
  <c r="BN319" i="7"/>
  <c r="BN318" i="7"/>
  <c r="BN317" i="7"/>
  <c r="BN316" i="7"/>
  <c r="BN315" i="7"/>
  <c r="BN314" i="7"/>
  <c r="BN313" i="7"/>
  <c r="BN312" i="7"/>
  <c r="BN311" i="7"/>
  <c r="BN310" i="7"/>
  <c r="BN309" i="7"/>
  <c r="BN308" i="7"/>
  <c r="BN307" i="7"/>
  <c r="BN306" i="7"/>
  <c r="BN304" i="7"/>
  <c r="BN303" i="7"/>
  <c r="BN302" i="7"/>
  <c r="BN301" i="7"/>
  <c r="BN300" i="7"/>
  <c r="BN299" i="7"/>
  <c r="BN298" i="7"/>
  <c r="BN297" i="7"/>
  <c r="BN296" i="7"/>
  <c r="BN295" i="7"/>
  <c r="BN294" i="7"/>
  <c r="BN293" i="7"/>
  <c r="BN292" i="7"/>
  <c r="BN290" i="7"/>
  <c r="BN289" i="7"/>
  <c r="BN288" i="7"/>
  <c r="BN287" i="7"/>
  <c r="BN286" i="7"/>
  <c r="BN285" i="7"/>
  <c r="BN284" i="7"/>
  <c r="BN283" i="7"/>
  <c r="BN282" i="7"/>
  <c r="BN281" i="7"/>
  <c r="BN280" i="7"/>
  <c r="BN279" i="7"/>
  <c r="BN278" i="7"/>
  <c r="BN276" i="7"/>
  <c r="BN275" i="7"/>
  <c r="BN274" i="7"/>
  <c r="BN273" i="7"/>
  <c r="BN271" i="7"/>
  <c r="BN269" i="7"/>
  <c r="BN268" i="7"/>
  <c r="BN267" i="7"/>
  <c r="BN266" i="7"/>
  <c r="BN265" i="7"/>
  <c r="BN264" i="7"/>
  <c r="BN263" i="7"/>
  <c r="BN262" i="7"/>
  <c r="BN261" i="7"/>
  <c r="BN260" i="7"/>
  <c r="BN259" i="7"/>
  <c r="BN258" i="7"/>
  <c r="BN257" i="7"/>
  <c r="BN255" i="7"/>
  <c r="BN254" i="7"/>
  <c r="BN253" i="7"/>
  <c r="BN252" i="7"/>
  <c r="BN251" i="7"/>
  <c r="BN250" i="7"/>
  <c r="BN249" i="7"/>
  <c r="BN248" i="7"/>
  <c r="BN246" i="7"/>
  <c r="BN245" i="7"/>
  <c r="BN244" i="7"/>
  <c r="BN243" i="7"/>
  <c r="BN242" i="7"/>
  <c r="BN241" i="7"/>
  <c r="BN240" i="7"/>
  <c r="BN239" i="7"/>
  <c r="BN238" i="7"/>
  <c r="BN237" i="7"/>
  <c r="BN236" i="7"/>
  <c r="BN235" i="7"/>
  <c r="BN231" i="7"/>
  <c r="BN230" i="7"/>
  <c r="BN229" i="7"/>
  <c r="BN228" i="7"/>
  <c r="BN227" i="7"/>
  <c r="BN226" i="7"/>
  <c r="BN225" i="7"/>
  <c r="BN224" i="7"/>
  <c r="BN223" i="7"/>
  <c r="BN222" i="7"/>
  <c r="BN221" i="7"/>
  <c r="BN220" i="7"/>
  <c r="BN219" i="7"/>
  <c r="BN218" i="7"/>
  <c r="BN217" i="7"/>
  <c r="BN216" i="7"/>
  <c r="BN214" i="7"/>
  <c r="BN213" i="7"/>
  <c r="BN212" i="7"/>
  <c r="BN210" i="7"/>
  <c r="BN208" i="7"/>
  <c r="BN206" i="7"/>
  <c r="BN205" i="7"/>
  <c r="BN204" i="7"/>
  <c r="BN203" i="7"/>
  <c r="BN202" i="7"/>
  <c r="BN201" i="7"/>
  <c r="BN200" i="7"/>
  <c r="BN199" i="7"/>
  <c r="BN198" i="7"/>
  <c r="BN197" i="7"/>
  <c r="BN196" i="7"/>
  <c r="BN195" i="7"/>
  <c r="BN194" i="7"/>
  <c r="BN192" i="7"/>
  <c r="BN191" i="7"/>
  <c r="BN190" i="7"/>
  <c r="BN189" i="7"/>
  <c r="BN188" i="7"/>
  <c r="BN187" i="7"/>
  <c r="BN186" i="7"/>
  <c r="BN185" i="7"/>
  <c r="BN184" i="7"/>
  <c r="BN183" i="7"/>
  <c r="BN182" i="7"/>
  <c r="BN181" i="7"/>
  <c r="BN180" i="7"/>
  <c r="BN179" i="7"/>
  <c r="BN178" i="7"/>
  <c r="BN177" i="7"/>
  <c r="BN175" i="7"/>
  <c r="BN174" i="7"/>
  <c r="BN173" i="7"/>
  <c r="BN172" i="7"/>
  <c r="BN171" i="7"/>
  <c r="BN170" i="7"/>
  <c r="BN169" i="7"/>
  <c r="BN168" i="7"/>
  <c r="BN167" i="7"/>
  <c r="BN166" i="7"/>
  <c r="BN165" i="7"/>
  <c r="BN164" i="7"/>
  <c r="BN163" i="7"/>
  <c r="BN162" i="7"/>
  <c r="BN161" i="7"/>
  <c r="BN160" i="7"/>
  <c r="BN159" i="7"/>
  <c r="BN158" i="7"/>
  <c r="BN157" i="7"/>
  <c r="BN156" i="7"/>
  <c r="BN155" i="7"/>
  <c r="BN154" i="7"/>
  <c r="BN153" i="7"/>
  <c r="BN152" i="7"/>
  <c r="BN151" i="7"/>
  <c r="BN149" i="7"/>
  <c r="BN148" i="7"/>
  <c r="BN147" i="7"/>
  <c r="BN146" i="7"/>
  <c r="BN145" i="7"/>
  <c r="BN144" i="7"/>
  <c r="BN142" i="7"/>
  <c r="BN141" i="7"/>
  <c r="BN140" i="7"/>
  <c r="BN139" i="7"/>
  <c r="BN138" i="7"/>
  <c r="BN137" i="7"/>
  <c r="BN136" i="7"/>
  <c r="BN135" i="7"/>
  <c r="BN134" i="7"/>
  <c r="BN133" i="7"/>
  <c r="BN132" i="7"/>
  <c r="BN131" i="7"/>
  <c r="BN130" i="7"/>
  <c r="BN128" i="7"/>
  <c r="BN127" i="7"/>
  <c r="BN126" i="7"/>
  <c r="BN125" i="7"/>
  <c r="BN123" i="7"/>
  <c r="BN122" i="7"/>
  <c r="BN121" i="7"/>
  <c r="BN120" i="7"/>
  <c r="BN119" i="7"/>
  <c r="BN118" i="7"/>
  <c r="BN115" i="7"/>
  <c r="BN114" i="7"/>
  <c r="BN112" i="7"/>
  <c r="BN111" i="7"/>
  <c r="BN110" i="7"/>
  <c r="BN109" i="7"/>
  <c r="BN107" i="7"/>
  <c r="BN106" i="7"/>
  <c r="BN104" i="7"/>
  <c r="BN103" i="7"/>
  <c r="BN101" i="7"/>
  <c r="BN99" i="7"/>
  <c r="BN98" i="7"/>
  <c r="BN97" i="7"/>
  <c r="BN96" i="7"/>
  <c r="BN95" i="7"/>
  <c r="BN94" i="7"/>
  <c r="BN93" i="7"/>
  <c r="BN91" i="7"/>
  <c r="BN90" i="7"/>
  <c r="BN89" i="7"/>
  <c r="BN88" i="7"/>
  <c r="BN87" i="7"/>
  <c r="BN86" i="7"/>
  <c r="BN84" i="7"/>
  <c r="BN83" i="7"/>
  <c r="BN82" i="7"/>
  <c r="BN81" i="7"/>
  <c r="BN80" i="7"/>
  <c r="BN79" i="7"/>
  <c r="BN78" i="7"/>
  <c r="BN77" i="7"/>
  <c r="BN76" i="7"/>
  <c r="BN75" i="7"/>
  <c r="BN73" i="7"/>
  <c r="BN72" i="7"/>
  <c r="BN71" i="7"/>
  <c r="BN70" i="7"/>
  <c r="BN69" i="7"/>
  <c r="BN68" i="7"/>
  <c r="BN67" i="7"/>
  <c r="BN66" i="7"/>
  <c r="BN65" i="7"/>
  <c r="BN64" i="7"/>
  <c r="BN63" i="7"/>
  <c r="BN62" i="7"/>
  <c r="BN60" i="7"/>
  <c r="BN58" i="7"/>
  <c r="BN57" i="7"/>
  <c r="BN56" i="7"/>
  <c r="BN55" i="7"/>
  <c r="BN54" i="7"/>
  <c r="BN53" i="7"/>
  <c r="BN52" i="7"/>
  <c r="BN51" i="7"/>
  <c r="BN49" i="7"/>
  <c r="BN48" i="7"/>
  <c r="BN46" i="7"/>
  <c r="BN45" i="7"/>
  <c r="BN44" i="7"/>
  <c r="BN43" i="7"/>
  <c r="BN42" i="7"/>
  <c r="BN41" i="7"/>
  <c r="BN40" i="7"/>
  <c r="BN39" i="7"/>
  <c r="BN38" i="7"/>
  <c r="BN37" i="7"/>
  <c r="BN36" i="7"/>
  <c r="BN35" i="7"/>
  <c r="BN34" i="7"/>
  <c r="BN33" i="7"/>
  <c r="BN32" i="7"/>
  <c r="BN31" i="7"/>
  <c r="BN30" i="7"/>
  <c r="BN29" i="7"/>
  <c r="BN28" i="7"/>
  <c r="BN27" i="7"/>
  <c r="BN25" i="7"/>
  <c r="BN24" i="7"/>
  <c r="BN23" i="7"/>
  <c r="BN22" i="7"/>
  <c r="BN21" i="7"/>
  <c r="BN20" i="7"/>
  <c r="BN19" i="7"/>
  <c r="BN18" i="7"/>
  <c r="BN17" i="7"/>
  <c r="BN16" i="7"/>
  <c r="BN14" i="7"/>
  <c r="BN13" i="7"/>
  <c r="BN12" i="7"/>
  <c r="BN11" i="7"/>
  <c r="BN10" i="7"/>
  <c r="BM328" i="7"/>
  <c r="BM319" i="7"/>
  <c r="BM318" i="7"/>
  <c r="BM310" i="7"/>
  <c r="BM302" i="7"/>
  <c r="BM301" i="7"/>
  <c r="BM294" i="7"/>
  <c r="BM285" i="7"/>
  <c r="BM284" i="7"/>
  <c r="BM276" i="7"/>
  <c r="BM266" i="7"/>
  <c r="BM265" i="7"/>
  <c r="BM257" i="7"/>
  <c r="BM249" i="7"/>
  <c r="BM240" i="7"/>
  <c r="BM228" i="7"/>
  <c r="BM221" i="7"/>
  <c r="BM220" i="7"/>
  <c r="BM212" i="7"/>
  <c r="BM210" i="7"/>
  <c r="BM201" i="7"/>
  <c r="BM200" i="7"/>
  <c r="BM191" i="7"/>
  <c r="BM184" i="7"/>
  <c r="BM183" i="7"/>
  <c r="BM174" i="7"/>
  <c r="BM167" i="7"/>
  <c r="BM166" i="7"/>
  <c r="BM158" i="7"/>
  <c r="BM151" i="7"/>
  <c r="BM149" i="7"/>
  <c r="BM141" i="7"/>
  <c r="BM140" i="7"/>
  <c r="BM133" i="7"/>
  <c r="BM132" i="7"/>
  <c r="BM122" i="7"/>
  <c r="BM112" i="7"/>
  <c r="BM111" i="7"/>
  <c r="BM101" i="7"/>
  <c r="BM99" i="7"/>
  <c r="BM90" i="7"/>
  <c r="BM82" i="7"/>
  <c r="BM81" i="7"/>
  <c r="BM73" i="7"/>
  <c r="BM72" i="7"/>
  <c r="BM65" i="7"/>
  <c r="BM64" i="7"/>
  <c r="BM54" i="7"/>
  <c r="BM45" i="7"/>
  <c r="BM44" i="7"/>
  <c r="BM37" i="7"/>
  <c r="BM36" i="7"/>
  <c r="BM28" i="7"/>
  <c r="BM20" i="7"/>
  <c r="BM11" i="7"/>
  <c r="BM10" i="7"/>
  <c r="BL329" i="7"/>
  <c r="BL326" i="7"/>
  <c r="BL325" i="7"/>
  <c r="BL324" i="7"/>
  <c r="BL318" i="7"/>
  <c r="BL317" i="7"/>
  <c r="BL315" i="7"/>
  <c r="BL314" i="7"/>
  <c r="BL313" i="7"/>
  <c r="BL310" i="7"/>
  <c r="BL309" i="7"/>
  <c r="BL307" i="7"/>
  <c r="BL306" i="7"/>
  <c r="BL301" i="7"/>
  <c r="BL297" i="7"/>
  <c r="BL296" i="7"/>
  <c r="BL295" i="7"/>
  <c r="BL293" i="7"/>
  <c r="BL288" i="7"/>
  <c r="BL281" i="7"/>
  <c r="BL280" i="7"/>
  <c r="BL275" i="7"/>
  <c r="BL274" i="7"/>
  <c r="BL271" i="7"/>
  <c r="BL269" i="7"/>
  <c r="BL268" i="7"/>
  <c r="BL264" i="7"/>
  <c r="BL262" i="7"/>
  <c r="BL261" i="7"/>
  <c r="BL259" i="7"/>
  <c r="BL258" i="7"/>
  <c r="BL254" i="7"/>
  <c r="BL253" i="7"/>
  <c r="BL252" i="7"/>
  <c r="BL251" i="7"/>
  <c r="BL249" i="7"/>
  <c r="BL248" i="7"/>
  <c r="BL246" i="7"/>
  <c r="BL245" i="7"/>
  <c r="BL244" i="7"/>
  <c r="BL243" i="7"/>
  <c r="BL242" i="7"/>
  <c r="BL241" i="7"/>
  <c r="BL240" i="7"/>
  <c r="BL239" i="7"/>
  <c r="BL238" i="7"/>
  <c r="BL237" i="7"/>
  <c r="BL236" i="7"/>
  <c r="BL235" i="7"/>
  <c r="BL225" i="7"/>
  <c r="BL224" i="7"/>
  <c r="BL222" i="7"/>
  <c r="BL217" i="7"/>
  <c r="BL216" i="7"/>
  <c r="BL213" i="7"/>
  <c r="BL208" i="7"/>
  <c r="BL206" i="7"/>
  <c r="BL205" i="7"/>
  <c r="BL203" i="7"/>
  <c r="BL200" i="7"/>
  <c r="BL198" i="7"/>
  <c r="BL197" i="7"/>
  <c r="BL196" i="7"/>
  <c r="BL194" i="7"/>
  <c r="BL190" i="7"/>
  <c r="BL189" i="7"/>
  <c r="BL188" i="7"/>
  <c r="BL187" i="7"/>
  <c r="BL186" i="7"/>
  <c r="BL181" i="7"/>
  <c r="BL180" i="7"/>
  <c r="BL179" i="7"/>
  <c r="BL178" i="7"/>
  <c r="BL174" i="7"/>
  <c r="BL171" i="7"/>
  <c r="BL164" i="7"/>
  <c r="BL163" i="7"/>
  <c r="BL162" i="7"/>
  <c r="BL160" i="7"/>
  <c r="BL159" i="7"/>
  <c r="BL158" i="7"/>
  <c r="BL157" i="7"/>
  <c r="BL154" i="7"/>
  <c r="BL153" i="7"/>
  <c r="BL151" i="7"/>
  <c r="BL148" i="7"/>
  <c r="BL147" i="7"/>
  <c r="BL146" i="7"/>
  <c r="BL145" i="7"/>
  <c r="BL144" i="7"/>
  <c r="BL141" i="7"/>
  <c r="BL137" i="7"/>
  <c r="BL136" i="7"/>
  <c r="BL134" i="7"/>
  <c r="BL131" i="7"/>
  <c r="BL128" i="7"/>
  <c r="BL126" i="7"/>
  <c r="BL125" i="7"/>
  <c r="BL123" i="7"/>
  <c r="BL122" i="7"/>
  <c r="BL121" i="7"/>
  <c r="BL119" i="7"/>
  <c r="BL118" i="7"/>
  <c r="BL112" i="7"/>
  <c r="BL107" i="7"/>
  <c r="BL106" i="7"/>
  <c r="BL99" i="7"/>
  <c r="BL98" i="7"/>
  <c r="BL97" i="7"/>
  <c r="BL96" i="7"/>
  <c r="BL94" i="7"/>
  <c r="BL93" i="7"/>
  <c r="BL91" i="7"/>
  <c r="BL89" i="7"/>
  <c r="BL88" i="7"/>
  <c r="BL86" i="7"/>
  <c r="BL84" i="7"/>
  <c r="BL83" i="7"/>
  <c r="BL82" i="7"/>
  <c r="BL81" i="7"/>
  <c r="BL79" i="7"/>
  <c r="BL78" i="7"/>
  <c r="BL77" i="7"/>
  <c r="BL76" i="7"/>
  <c r="BL75" i="7"/>
  <c r="BL70" i="7"/>
  <c r="BL68" i="7"/>
  <c r="BL65" i="7"/>
  <c r="BL63" i="7"/>
  <c r="BL62" i="7"/>
  <c r="BL60" i="7"/>
  <c r="BL58" i="7"/>
  <c r="BL57" i="7"/>
  <c r="BL56" i="7"/>
  <c r="BL51" i="7"/>
  <c r="BL49" i="7"/>
  <c r="BL48" i="7"/>
  <c r="BL42" i="7"/>
  <c r="BL41" i="7"/>
  <c r="BL40" i="7"/>
  <c r="BL39" i="7"/>
  <c r="BL38" i="7"/>
  <c r="BL37" i="7"/>
  <c r="BL36" i="7"/>
  <c r="BL34" i="7"/>
  <c r="BL33" i="7"/>
  <c r="BL32" i="7"/>
  <c r="BL29" i="7"/>
  <c r="BL28" i="7"/>
  <c r="BL27" i="7"/>
  <c r="BL23" i="7"/>
  <c r="BL22" i="7"/>
  <c r="BL14" i="7"/>
  <c r="BL13" i="7"/>
  <c r="BL10" i="7"/>
  <c r="BK331" i="7"/>
  <c r="BK329" i="7"/>
  <c r="BK328" i="7"/>
  <c r="BK327" i="7"/>
  <c r="BK326" i="7"/>
  <c r="BK324" i="7"/>
  <c r="BK319" i="7"/>
  <c r="BK318" i="7"/>
  <c r="BK317" i="7"/>
  <c r="BK315" i="7"/>
  <c r="BK314" i="7"/>
  <c r="BK313" i="7"/>
  <c r="BK312" i="7"/>
  <c r="BK311" i="7"/>
  <c r="BK310" i="7"/>
  <c r="BK309" i="7"/>
  <c r="BK308" i="7"/>
  <c r="BK307" i="7"/>
  <c r="BK306" i="7"/>
  <c r="BK304" i="7"/>
  <c r="BK302" i="7"/>
  <c r="BK301" i="7"/>
  <c r="BK300" i="7"/>
  <c r="BK297" i="7"/>
  <c r="BK296" i="7"/>
  <c r="BK294" i="7"/>
  <c r="BK293" i="7"/>
  <c r="BK292" i="7"/>
  <c r="BK288" i="7"/>
  <c r="BK287" i="7"/>
  <c r="BK286" i="7"/>
  <c r="BK285" i="7"/>
  <c r="BK284" i="7"/>
  <c r="BK283" i="7"/>
  <c r="BK282" i="7"/>
  <c r="BK281" i="7"/>
  <c r="BK280" i="7"/>
  <c r="BK279" i="7"/>
  <c r="BK278" i="7"/>
  <c r="BK276" i="7"/>
  <c r="BK275" i="7"/>
  <c r="BK274" i="7"/>
  <c r="BK271" i="7"/>
  <c r="BK269" i="7"/>
  <c r="BK268" i="7"/>
  <c r="BK266" i="7"/>
  <c r="BK265" i="7"/>
  <c r="BK264" i="7"/>
  <c r="BK262" i="7"/>
  <c r="BK261" i="7"/>
  <c r="BK259" i="7"/>
  <c r="BK258" i="7"/>
  <c r="BK257" i="7"/>
  <c r="BK255" i="7"/>
  <c r="BK254" i="7"/>
  <c r="BK253" i="7"/>
  <c r="BK252" i="7"/>
  <c r="BK251" i="7"/>
  <c r="BK250" i="7"/>
  <c r="BK249" i="7"/>
  <c r="BK248" i="7"/>
  <c r="BK246" i="7"/>
  <c r="BK245" i="7"/>
  <c r="BK244" i="7"/>
  <c r="BK243" i="7"/>
  <c r="BK242" i="7"/>
  <c r="BK241" i="7"/>
  <c r="BK240" i="7"/>
  <c r="BK239" i="7"/>
  <c r="BK238" i="7"/>
  <c r="BK237" i="7"/>
  <c r="BK236" i="7"/>
  <c r="BK235" i="7"/>
  <c r="BK231" i="7"/>
  <c r="BK230" i="7"/>
  <c r="BK229" i="7"/>
  <c r="BK228" i="7"/>
  <c r="BK227" i="7"/>
  <c r="BK226" i="7"/>
  <c r="BK225" i="7"/>
  <c r="BK224" i="7"/>
  <c r="BK223" i="7"/>
  <c r="BK222" i="7"/>
  <c r="BK221" i="7"/>
  <c r="BK220" i="7"/>
  <c r="BK219" i="7"/>
  <c r="BK218" i="7"/>
  <c r="BK217" i="7"/>
  <c r="BK216" i="7"/>
  <c r="BK214" i="7"/>
  <c r="BK213" i="7"/>
  <c r="BK212" i="7"/>
  <c r="BK210" i="7"/>
  <c r="BK206" i="7"/>
  <c r="BK205" i="7"/>
  <c r="BK204" i="7"/>
  <c r="BK203" i="7"/>
  <c r="BK201" i="7"/>
  <c r="BK200" i="7"/>
  <c r="BK199" i="7"/>
  <c r="BK198" i="7"/>
  <c r="BK195" i="7"/>
  <c r="BK194" i="7"/>
  <c r="BK192" i="7"/>
  <c r="BK191" i="7"/>
  <c r="BK189" i="7"/>
  <c r="BK186" i="7"/>
  <c r="BK185" i="7"/>
  <c r="BK184" i="7"/>
  <c r="BK183" i="7"/>
  <c r="BK181" i="7"/>
  <c r="BK180" i="7"/>
  <c r="BK179" i="7"/>
  <c r="BK178" i="7"/>
  <c r="BK175" i="7"/>
  <c r="BK172" i="7"/>
  <c r="BK171" i="7"/>
  <c r="BK170" i="7"/>
  <c r="BK169" i="7"/>
  <c r="BK168" i="7"/>
  <c r="BK167" i="7"/>
  <c r="BK166" i="7"/>
  <c r="BK164" i="7"/>
  <c r="BK163" i="7"/>
  <c r="BK162" i="7"/>
  <c r="BK161" i="7"/>
  <c r="BK160" i="7"/>
  <c r="BK159" i="7"/>
  <c r="BK158" i="7"/>
  <c r="BK156" i="7"/>
  <c r="BK153" i="7"/>
  <c r="BK152" i="7"/>
  <c r="BK151" i="7"/>
  <c r="BK149" i="7"/>
  <c r="BK148" i="7"/>
  <c r="BK147" i="7"/>
  <c r="BK146" i="7"/>
  <c r="BK145" i="7"/>
  <c r="BK142" i="7"/>
  <c r="BK141" i="7"/>
  <c r="BK140" i="7"/>
  <c r="BK137" i="7"/>
  <c r="BK136" i="7"/>
  <c r="BK135" i="7"/>
  <c r="BK134" i="7"/>
  <c r="BK133" i="7"/>
  <c r="BK132" i="7"/>
  <c r="BK131" i="7"/>
  <c r="BK130" i="7"/>
  <c r="BK128" i="7"/>
  <c r="BK127" i="7"/>
  <c r="BK126" i="7"/>
  <c r="BK125" i="7"/>
  <c r="BK123" i="7"/>
  <c r="BK122" i="7"/>
  <c r="BK121" i="7"/>
  <c r="BK120" i="7"/>
  <c r="BK119" i="7"/>
  <c r="BK118" i="7"/>
  <c r="BK115" i="7"/>
  <c r="BK112" i="7"/>
  <c r="BK111" i="7"/>
  <c r="BK110" i="7"/>
  <c r="BK109" i="7"/>
  <c r="BK107" i="7"/>
  <c r="BK106" i="7"/>
  <c r="BK104" i="7"/>
  <c r="BK101" i="7"/>
  <c r="BK99" i="7"/>
  <c r="BK98" i="7"/>
  <c r="BK97" i="7"/>
  <c r="BK95" i="7"/>
  <c r="BK94" i="7"/>
  <c r="BK93" i="7"/>
  <c r="BK91" i="7"/>
  <c r="BK90" i="7"/>
  <c r="BK89" i="7"/>
  <c r="BK88" i="7"/>
  <c r="BK87" i="7"/>
  <c r="BK86" i="7"/>
  <c r="BK84" i="7"/>
  <c r="BK83" i="7"/>
  <c r="BK82" i="7"/>
  <c r="BK81" i="7"/>
  <c r="BK79" i="7"/>
  <c r="BK78" i="7"/>
  <c r="BK77" i="7"/>
  <c r="BK76" i="7"/>
  <c r="BK75" i="7"/>
  <c r="BK73" i="7"/>
  <c r="BK72" i="7"/>
  <c r="BK71" i="7"/>
  <c r="BK68" i="7"/>
  <c r="BK67" i="7"/>
  <c r="BK66" i="7"/>
  <c r="BK65" i="7"/>
  <c r="BK64" i="7"/>
  <c r="BK63" i="7"/>
  <c r="BK62" i="7"/>
  <c r="BK60" i="7"/>
  <c r="BK58" i="7"/>
  <c r="BK57" i="7"/>
  <c r="BK56" i="7"/>
  <c r="BK55" i="7"/>
  <c r="BK54" i="7"/>
  <c r="BK53" i="7"/>
  <c r="BK52" i="7"/>
  <c r="BK51" i="7"/>
  <c r="BK49" i="7"/>
  <c r="BK48" i="7"/>
  <c r="BK46" i="7"/>
  <c r="BK45" i="7"/>
  <c r="BK44" i="7"/>
  <c r="BK43" i="7"/>
  <c r="BK41" i="7"/>
  <c r="BK40" i="7"/>
  <c r="BK39" i="7"/>
  <c r="BK38" i="7"/>
  <c r="BK37" i="7"/>
  <c r="BK36" i="7"/>
  <c r="BK34" i="7"/>
  <c r="BK33" i="7"/>
  <c r="BK32" i="7"/>
  <c r="BK31" i="7"/>
  <c r="BK30" i="7"/>
  <c r="BK29" i="7"/>
  <c r="BK28" i="7"/>
  <c r="BK27" i="7"/>
  <c r="BK25" i="7"/>
  <c r="BK24" i="7"/>
  <c r="BK23" i="7"/>
  <c r="BK22" i="7"/>
  <c r="BK21" i="7"/>
  <c r="BK20" i="7"/>
  <c r="BK19" i="7"/>
  <c r="BK18" i="7"/>
  <c r="BK17" i="7"/>
  <c r="BK16" i="7"/>
  <c r="BK14" i="7"/>
  <c r="BK13" i="7"/>
  <c r="BK12" i="7"/>
  <c r="BK11" i="7"/>
  <c r="BK10" i="7"/>
  <c r="BX4" i="7"/>
  <c r="BW4" i="7"/>
  <c r="BV4" i="7"/>
  <c r="BU4" i="7"/>
  <c r="BT4" i="7"/>
  <c r="BS4" i="7"/>
  <c r="BR4" i="7"/>
  <c r="BQ4" i="7"/>
  <c r="BP4" i="7"/>
  <c r="BO4" i="7"/>
  <c r="BJ331" i="7"/>
  <c r="BM331" i="7" s="1"/>
  <c r="BI331" i="7"/>
  <c r="BH331" i="7"/>
  <c r="BG331" i="7"/>
  <c r="BF331" i="7"/>
  <c r="BE331" i="7"/>
  <c r="BD331" i="7"/>
  <c r="BC331" i="7"/>
  <c r="BB331" i="7"/>
  <c r="BA331" i="7"/>
  <c r="AZ331" i="7"/>
  <c r="AY331" i="7"/>
  <c r="BL331" i="7" s="1"/>
  <c r="AW331" i="7"/>
  <c r="AV331" i="7"/>
  <c r="AU331" i="7"/>
  <c r="AT331" i="7"/>
  <c r="AS331" i="7"/>
  <c r="AR331" i="7"/>
  <c r="AQ331" i="7"/>
  <c r="AP331" i="7"/>
  <c r="BJ330" i="7"/>
  <c r="BM330" i="7" s="1"/>
  <c r="BI330" i="7"/>
  <c r="BH330" i="7"/>
  <c r="BG330" i="7"/>
  <c r="BF330" i="7"/>
  <c r="BE330" i="7"/>
  <c r="BD330" i="7"/>
  <c r="BC330" i="7"/>
  <c r="BB330" i="7"/>
  <c r="BA330" i="7"/>
  <c r="AZ330" i="7"/>
  <c r="AY330" i="7"/>
  <c r="BL330" i="7" s="1"/>
  <c r="AX330" i="7"/>
  <c r="BK330" i="7" s="1"/>
  <c r="AW330" i="7"/>
  <c r="AV330" i="7"/>
  <c r="AU330" i="7"/>
  <c r="AT330" i="7"/>
  <c r="AS330" i="7"/>
  <c r="AR330" i="7"/>
  <c r="AQ330" i="7"/>
  <c r="AP330" i="7"/>
  <c r="BJ329" i="7"/>
  <c r="BM329" i="7" s="1"/>
  <c r="BI329" i="7"/>
  <c r="BH329" i="7"/>
  <c r="BG329" i="7"/>
  <c r="BF329" i="7"/>
  <c r="BE329" i="7"/>
  <c r="BD329" i="7"/>
  <c r="BC329" i="7"/>
  <c r="BB329" i="7"/>
  <c r="BA329" i="7"/>
  <c r="AZ329" i="7"/>
  <c r="AX329" i="7"/>
  <c r="AW329" i="7"/>
  <c r="AV329" i="7"/>
  <c r="AU329" i="7"/>
  <c r="AT329" i="7"/>
  <c r="AS329" i="7"/>
  <c r="AR329" i="7"/>
  <c r="AQ329" i="7"/>
  <c r="AP329" i="7"/>
  <c r="BJ328" i="7"/>
  <c r="BI328" i="7"/>
  <c r="BH328" i="7"/>
  <c r="BG328" i="7"/>
  <c r="BF328" i="7"/>
  <c r="BE328" i="7"/>
  <c r="BD328" i="7"/>
  <c r="BC328" i="7"/>
  <c r="BB328" i="7"/>
  <c r="BA328" i="7"/>
  <c r="AZ328" i="7"/>
  <c r="AY328" i="7"/>
  <c r="BL328" i="7" s="1"/>
  <c r="AW328" i="7"/>
  <c r="AV328" i="7"/>
  <c r="AU328" i="7"/>
  <c r="AT328" i="7"/>
  <c r="AS328" i="7"/>
  <c r="AR328" i="7"/>
  <c r="AQ328" i="7"/>
  <c r="AP328" i="7"/>
  <c r="BJ327" i="7"/>
  <c r="BM327" i="7" s="1"/>
  <c r="BI327" i="7"/>
  <c r="BH327" i="7"/>
  <c r="BG327" i="7"/>
  <c r="BF327" i="7"/>
  <c r="BE327" i="7"/>
  <c r="BD327" i="7"/>
  <c r="BC327" i="7"/>
  <c r="BB327" i="7"/>
  <c r="BA327" i="7"/>
  <c r="AZ327" i="7"/>
  <c r="AY327" i="7"/>
  <c r="BL327" i="7" s="1"/>
  <c r="AW327" i="7"/>
  <c r="AV327" i="7"/>
  <c r="AU327" i="7"/>
  <c r="AT327" i="7"/>
  <c r="AS327" i="7"/>
  <c r="AR327" i="7"/>
  <c r="AQ327" i="7"/>
  <c r="AP327" i="7"/>
  <c r="BJ326" i="7"/>
  <c r="BM326" i="7" s="1"/>
  <c r="BI326" i="7"/>
  <c r="BH326" i="7"/>
  <c r="BG326" i="7"/>
  <c r="BF326" i="7"/>
  <c r="BE326" i="7"/>
  <c r="BD326" i="7"/>
  <c r="BC326" i="7"/>
  <c r="BB326" i="7"/>
  <c r="BA326" i="7"/>
  <c r="AZ326" i="7"/>
  <c r="AW326" i="7"/>
  <c r="AV326" i="7"/>
  <c r="AU326" i="7"/>
  <c r="AT326" i="7"/>
  <c r="AS326" i="7"/>
  <c r="AR326" i="7"/>
  <c r="AQ326" i="7"/>
  <c r="AP326" i="7"/>
  <c r="BJ325" i="7"/>
  <c r="BM325" i="7" s="1"/>
  <c r="BI325" i="7"/>
  <c r="BH325" i="7"/>
  <c r="BG325" i="7"/>
  <c r="BF325" i="7"/>
  <c r="BE325" i="7"/>
  <c r="BD325" i="7"/>
  <c r="BC325" i="7"/>
  <c r="BB325" i="7"/>
  <c r="BA325" i="7"/>
  <c r="AZ325" i="7"/>
  <c r="AY325" i="7"/>
  <c r="AX325" i="7"/>
  <c r="BK325" i="7" s="1"/>
  <c r="AW325" i="7"/>
  <c r="AV325" i="7"/>
  <c r="AU325" i="7"/>
  <c r="AT325" i="7"/>
  <c r="AS325" i="7"/>
  <c r="AR325" i="7"/>
  <c r="AQ325" i="7"/>
  <c r="AP325" i="7"/>
  <c r="BJ324" i="7"/>
  <c r="BM324" i="7" s="1"/>
  <c r="BI324" i="7"/>
  <c r="BH324" i="7"/>
  <c r="BG324" i="7"/>
  <c r="BF324" i="7"/>
  <c r="BE324" i="7"/>
  <c r="BD324" i="7"/>
  <c r="BC324" i="7"/>
  <c r="BB324" i="7"/>
  <c r="BA324" i="7"/>
  <c r="AZ324" i="7"/>
  <c r="AY324" i="7"/>
  <c r="AW324" i="7"/>
  <c r="AV324" i="7"/>
  <c r="AU324" i="7"/>
  <c r="AT324" i="7"/>
  <c r="AS324" i="7"/>
  <c r="AR324" i="7"/>
  <c r="AQ324" i="7"/>
  <c r="AP324" i="7"/>
  <c r="BJ322" i="7"/>
  <c r="BM322" i="7" s="1"/>
  <c r="BI322" i="7"/>
  <c r="BH322" i="7"/>
  <c r="BG322" i="7"/>
  <c r="BF322" i="7"/>
  <c r="BE322" i="7"/>
  <c r="BD322" i="7"/>
  <c r="BC322" i="7"/>
  <c r="BB322" i="7"/>
  <c r="BA322" i="7"/>
  <c r="AZ322" i="7"/>
  <c r="AY322" i="7"/>
  <c r="BL322" i="7" s="1"/>
  <c r="AX322" i="7"/>
  <c r="BK322" i="7" s="1"/>
  <c r="AW322" i="7"/>
  <c r="AV322" i="7"/>
  <c r="AU322" i="7"/>
  <c r="AT322" i="7"/>
  <c r="AS322" i="7"/>
  <c r="AR322" i="7"/>
  <c r="AQ322" i="7"/>
  <c r="AP322" i="7"/>
  <c r="BJ321" i="7"/>
  <c r="BM321" i="7" s="1"/>
  <c r="BI321" i="7"/>
  <c r="BH321" i="7"/>
  <c r="BG321" i="7"/>
  <c r="BF321" i="7"/>
  <c r="BE321" i="7"/>
  <c r="BD321" i="7"/>
  <c r="BC321" i="7"/>
  <c r="BB321" i="7"/>
  <c r="BA321" i="7"/>
  <c r="AZ321" i="7"/>
  <c r="AY321" i="7"/>
  <c r="BL321" i="7" s="1"/>
  <c r="AX321" i="7"/>
  <c r="BK321" i="7" s="1"/>
  <c r="AW321" i="7"/>
  <c r="AV321" i="7"/>
  <c r="AU321" i="7"/>
  <c r="AT321" i="7"/>
  <c r="AS321" i="7"/>
  <c r="AR321" i="7"/>
  <c r="AQ321" i="7"/>
  <c r="AP321" i="7"/>
  <c r="BJ319" i="7"/>
  <c r="BI319" i="7"/>
  <c r="BH319" i="7"/>
  <c r="BG319" i="7"/>
  <c r="BF319" i="7"/>
  <c r="BE319" i="7"/>
  <c r="BD319" i="7"/>
  <c r="BC319" i="7"/>
  <c r="BB319" i="7"/>
  <c r="BA319" i="7"/>
  <c r="AZ319" i="7"/>
  <c r="AY319" i="7"/>
  <c r="BL319" i="7" s="1"/>
  <c r="AX319" i="7"/>
  <c r="AW319" i="7"/>
  <c r="AV319" i="7"/>
  <c r="AU319" i="7"/>
  <c r="AT319" i="7"/>
  <c r="AS319" i="7"/>
  <c r="AR319" i="7"/>
  <c r="AQ319" i="7"/>
  <c r="AP319" i="7"/>
  <c r="BJ318" i="7"/>
  <c r="BI318" i="7"/>
  <c r="BH318" i="7"/>
  <c r="BG318" i="7"/>
  <c r="BF318" i="7"/>
  <c r="BE318" i="7"/>
  <c r="BD318" i="7"/>
  <c r="BC318" i="7"/>
  <c r="BB318" i="7"/>
  <c r="BA318" i="7"/>
  <c r="AZ318" i="7"/>
  <c r="AW318" i="7"/>
  <c r="AV318" i="7"/>
  <c r="AU318" i="7"/>
  <c r="AT318" i="7"/>
  <c r="AS318" i="7"/>
  <c r="AR318" i="7"/>
  <c r="AQ318" i="7"/>
  <c r="AP318" i="7"/>
  <c r="BJ317" i="7"/>
  <c r="BM317" i="7" s="1"/>
  <c r="BI317" i="7"/>
  <c r="BH317" i="7"/>
  <c r="BG317" i="7"/>
  <c r="BF317" i="7"/>
  <c r="BE317" i="7"/>
  <c r="BD317" i="7"/>
  <c r="BC317" i="7"/>
  <c r="BB317" i="7"/>
  <c r="BA317" i="7"/>
  <c r="AZ317" i="7"/>
  <c r="AW317" i="7"/>
  <c r="AV317" i="7"/>
  <c r="AU317" i="7"/>
  <c r="AT317" i="7"/>
  <c r="AS317" i="7"/>
  <c r="AR317" i="7"/>
  <c r="AQ317" i="7"/>
  <c r="AP317" i="7"/>
  <c r="BJ316" i="7"/>
  <c r="BM316" i="7" s="1"/>
  <c r="BI316" i="7"/>
  <c r="BH316" i="7"/>
  <c r="BG316" i="7"/>
  <c r="BF316" i="7"/>
  <c r="BE316" i="7"/>
  <c r="BD316" i="7"/>
  <c r="BC316" i="7"/>
  <c r="BB316" i="7"/>
  <c r="BA316" i="7"/>
  <c r="AZ316" i="7"/>
  <c r="AY316" i="7"/>
  <c r="BL316" i="7" s="1"/>
  <c r="AX316" i="7"/>
  <c r="BK316" i="7" s="1"/>
  <c r="AW316" i="7"/>
  <c r="AV316" i="7"/>
  <c r="AU316" i="7"/>
  <c r="AT316" i="7"/>
  <c r="AS316" i="7"/>
  <c r="AR316" i="7"/>
  <c r="AQ316" i="7"/>
  <c r="AP316" i="7"/>
  <c r="BJ315" i="7"/>
  <c r="BM315" i="7" s="1"/>
  <c r="BI315" i="7"/>
  <c r="BH315" i="7"/>
  <c r="BG315" i="7"/>
  <c r="BF315" i="7"/>
  <c r="BE315" i="7"/>
  <c r="BD315" i="7"/>
  <c r="BC315" i="7"/>
  <c r="BB315" i="7"/>
  <c r="BA315" i="7"/>
  <c r="AZ315" i="7"/>
  <c r="AY315" i="7"/>
  <c r="AW315" i="7"/>
  <c r="AV315" i="7"/>
  <c r="AU315" i="7"/>
  <c r="AT315" i="7"/>
  <c r="AS315" i="7"/>
  <c r="AR315" i="7"/>
  <c r="AQ315" i="7"/>
  <c r="AP315" i="7"/>
  <c r="BJ314" i="7"/>
  <c r="BM314" i="7" s="1"/>
  <c r="BI314" i="7"/>
  <c r="BH314" i="7"/>
  <c r="BG314" i="7"/>
  <c r="BF314" i="7"/>
  <c r="BE314" i="7"/>
  <c r="BD314" i="7"/>
  <c r="BC314" i="7"/>
  <c r="BB314" i="7"/>
  <c r="BA314" i="7"/>
  <c r="AZ314" i="7"/>
  <c r="AW314" i="7"/>
  <c r="AV314" i="7"/>
  <c r="AU314" i="7"/>
  <c r="AT314" i="7"/>
  <c r="AS314" i="7"/>
  <c r="AR314" i="7"/>
  <c r="AQ314" i="7"/>
  <c r="AP314" i="7"/>
  <c r="BJ313" i="7"/>
  <c r="BM313" i="7" s="1"/>
  <c r="BI313" i="7"/>
  <c r="BH313" i="7"/>
  <c r="BG313" i="7"/>
  <c r="BF313" i="7"/>
  <c r="BE313" i="7"/>
  <c r="BD313" i="7"/>
  <c r="BC313" i="7"/>
  <c r="BB313" i="7"/>
  <c r="BA313" i="7"/>
  <c r="AZ313" i="7"/>
  <c r="AW313" i="7"/>
  <c r="AV313" i="7"/>
  <c r="AU313" i="7"/>
  <c r="AT313" i="7"/>
  <c r="AS313" i="7"/>
  <c r="AR313" i="7"/>
  <c r="AQ313" i="7"/>
  <c r="AP313" i="7"/>
  <c r="BJ312" i="7"/>
  <c r="BM312" i="7" s="1"/>
  <c r="BI312" i="7"/>
  <c r="BH312" i="7"/>
  <c r="BG312" i="7"/>
  <c r="BF312" i="7"/>
  <c r="BE312" i="7"/>
  <c r="BD312" i="7"/>
  <c r="BC312" i="7"/>
  <c r="BB312" i="7"/>
  <c r="BA312" i="7"/>
  <c r="AZ312" i="7"/>
  <c r="AY312" i="7"/>
  <c r="BL312" i="7" s="1"/>
  <c r="AW312" i="7"/>
  <c r="AV312" i="7"/>
  <c r="AU312" i="7"/>
  <c r="AT312" i="7"/>
  <c r="AS312" i="7"/>
  <c r="AR312" i="7"/>
  <c r="AQ312" i="7"/>
  <c r="AP312" i="7"/>
  <c r="BJ311" i="7"/>
  <c r="BM311" i="7" s="1"/>
  <c r="BI311" i="7"/>
  <c r="BH311" i="7"/>
  <c r="BG311" i="7"/>
  <c r="BF311" i="7"/>
  <c r="BE311" i="7"/>
  <c r="BD311" i="7"/>
  <c r="BC311" i="7"/>
  <c r="BB311" i="7"/>
  <c r="BA311" i="7"/>
  <c r="AZ311" i="7"/>
  <c r="AY311" i="7"/>
  <c r="BL311" i="7" s="1"/>
  <c r="AW311" i="7"/>
  <c r="AV311" i="7"/>
  <c r="AU311" i="7"/>
  <c r="AT311" i="7"/>
  <c r="AS311" i="7"/>
  <c r="AR311" i="7"/>
  <c r="AQ311" i="7"/>
  <c r="AP311" i="7"/>
  <c r="BJ310" i="7"/>
  <c r="BI310" i="7"/>
  <c r="BH310" i="7"/>
  <c r="BG310" i="7"/>
  <c r="BF310" i="7"/>
  <c r="BE310" i="7"/>
  <c r="BD310" i="7"/>
  <c r="BC310" i="7"/>
  <c r="BB310" i="7"/>
  <c r="BA310" i="7"/>
  <c r="AZ310" i="7"/>
  <c r="AW310" i="7"/>
  <c r="AV310" i="7"/>
  <c r="AU310" i="7"/>
  <c r="AT310" i="7"/>
  <c r="AS310" i="7"/>
  <c r="AR310" i="7"/>
  <c r="AQ310" i="7"/>
  <c r="AP310" i="7"/>
  <c r="BJ309" i="7"/>
  <c r="BM309" i="7" s="1"/>
  <c r="BI309" i="7"/>
  <c r="BH309" i="7"/>
  <c r="BG309" i="7"/>
  <c r="BF309" i="7"/>
  <c r="BE309" i="7"/>
  <c r="BD309" i="7"/>
  <c r="BC309" i="7"/>
  <c r="BB309" i="7"/>
  <c r="BA309" i="7"/>
  <c r="AZ309" i="7"/>
  <c r="AW309" i="7"/>
  <c r="AV309" i="7"/>
  <c r="AU309" i="7"/>
  <c r="AT309" i="7"/>
  <c r="AS309" i="7"/>
  <c r="AR309" i="7"/>
  <c r="AQ309" i="7"/>
  <c r="AP309" i="7"/>
  <c r="BJ308" i="7"/>
  <c r="BM308" i="7" s="1"/>
  <c r="BI308" i="7"/>
  <c r="BH308" i="7"/>
  <c r="BG308" i="7"/>
  <c r="BF308" i="7"/>
  <c r="BE308" i="7"/>
  <c r="BD308" i="7"/>
  <c r="BC308" i="7"/>
  <c r="BB308" i="7"/>
  <c r="BA308" i="7"/>
  <c r="AZ308" i="7"/>
  <c r="AY308" i="7"/>
  <c r="BL308" i="7" s="1"/>
  <c r="AW308" i="7"/>
  <c r="AV308" i="7"/>
  <c r="AU308" i="7"/>
  <c r="AT308" i="7"/>
  <c r="AS308" i="7"/>
  <c r="AR308" i="7"/>
  <c r="AQ308" i="7"/>
  <c r="AP308" i="7"/>
  <c r="BJ307" i="7"/>
  <c r="BM307" i="7" s="1"/>
  <c r="BI307" i="7"/>
  <c r="BH307" i="7"/>
  <c r="BG307" i="7"/>
  <c r="BF307" i="7"/>
  <c r="BE307" i="7"/>
  <c r="BD307" i="7"/>
  <c r="BC307" i="7"/>
  <c r="BB307" i="7"/>
  <c r="BA307" i="7"/>
  <c r="AZ307" i="7"/>
  <c r="AW307" i="7"/>
  <c r="AV307" i="7"/>
  <c r="AU307" i="7"/>
  <c r="AT307" i="7"/>
  <c r="AS307" i="7"/>
  <c r="AR307" i="7"/>
  <c r="AQ307" i="7"/>
  <c r="AP307" i="7"/>
  <c r="BJ306" i="7"/>
  <c r="BM306" i="7" s="1"/>
  <c r="BI306" i="7"/>
  <c r="BH306" i="7"/>
  <c r="BG306" i="7"/>
  <c r="BF306" i="7"/>
  <c r="BE306" i="7"/>
  <c r="BD306" i="7"/>
  <c r="BC306" i="7"/>
  <c r="BB306" i="7"/>
  <c r="BA306" i="7"/>
  <c r="AZ306" i="7"/>
  <c r="AY306" i="7"/>
  <c r="AW306" i="7"/>
  <c r="AV306" i="7"/>
  <c r="AU306" i="7"/>
  <c r="AT306" i="7"/>
  <c r="AS306" i="7"/>
  <c r="AR306" i="7"/>
  <c r="AQ306" i="7"/>
  <c r="AP306" i="7"/>
  <c r="BJ304" i="7"/>
  <c r="BM304" i="7" s="1"/>
  <c r="BI304" i="7"/>
  <c r="BH304" i="7"/>
  <c r="BG304" i="7"/>
  <c r="BF304" i="7"/>
  <c r="BE304" i="7"/>
  <c r="BD304" i="7"/>
  <c r="BC304" i="7"/>
  <c r="BB304" i="7"/>
  <c r="BA304" i="7"/>
  <c r="AZ304" i="7"/>
  <c r="AY304" i="7"/>
  <c r="BL304" i="7" s="1"/>
  <c r="AW304" i="7"/>
  <c r="AV304" i="7"/>
  <c r="AU304" i="7"/>
  <c r="AT304" i="7"/>
  <c r="AS304" i="7"/>
  <c r="AR304" i="7"/>
  <c r="AQ304" i="7"/>
  <c r="AP304" i="7"/>
  <c r="BJ303" i="7"/>
  <c r="BM303" i="7" s="1"/>
  <c r="BI303" i="7"/>
  <c r="BH303" i="7"/>
  <c r="BG303" i="7"/>
  <c r="BF303" i="7"/>
  <c r="BE303" i="7"/>
  <c r="BD303" i="7"/>
  <c r="BC303" i="7"/>
  <c r="BB303" i="7"/>
  <c r="BA303" i="7"/>
  <c r="AZ303" i="7"/>
  <c r="AY303" i="7"/>
  <c r="BL303" i="7" s="1"/>
  <c r="AX303" i="7"/>
  <c r="BK303" i="7" s="1"/>
  <c r="AW303" i="7"/>
  <c r="AV303" i="7"/>
  <c r="AU303" i="7"/>
  <c r="AT303" i="7"/>
  <c r="AS303" i="7"/>
  <c r="AR303" i="7"/>
  <c r="AQ303" i="7"/>
  <c r="AP303" i="7"/>
  <c r="BJ302" i="7"/>
  <c r="BI302" i="7"/>
  <c r="BH302" i="7"/>
  <c r="BG302" i="7"/>
  <c r="BF302" i="7"/>
  <c r="BE302" i="7"/>
  <c r="BD302" i="7"/>
  <c r="BC302" i="7"/>
  <c r="BB302" i="7"/>
  <c r="BA302" i="7"/>
  <c r="AZ302" i="7"/>
  <c r="AY302" i="7"/>
  <c r="BL302" i="7" s="1"/>
  <c r="AW302" i="7"/>
  <c r="AV302" i="7"/>
  <c r="AU302" i="7"/>
  <c r="AT302" i="7"/>
  <c r="AS302" i="7"/>
  <c r="AR302" i="7"/>
  <c r="AQ302" i="7"/>
  <c r="AP302" i="7"/>
  <c r="BJ301" i="7"/>
  <c r="BI301" i="7"/>
  <c r="BH301" i="7"/>
  <c r="BG301" i="7"/>
  <c r="BF301" i="7"/>
  <c r="BE301" i="7"/>
  <c r="BD301" i="7"/>
  <c r="BC301" i="7"/>
  <c r="BB301" i="7"/>
  <c r="BA301" i="7"/>
  <c r="AZ301" i="7"/>
  <c r="AW301" i="7"/>
  <c r="AV301" i="7"/>
  <c r="AU301" i="7"/>
  <c r="AT301" i="7"/>
  <c r="AS301" i="7"/>
  <c r="AR301" i="7"/>
  <c r="AQ301" i="7"/>
  <c r="AP301" i="7"/>
  <c r="BJ300" i="7"/>
  <c r="BM300" i="7" s="1"/>
  <c r="BI300" i="7"/>
  <c r="BH300" i="7"/>
  <c r="BG300" i="7"/>
  <c r="BF300" i="7"/>
  <c r="BE300" i="7"/>
  <c r="BD300" i="7"/>
  <c r="BC300" i="7"/>
  <c r="BB300" i="7"/>
  <c r="BA300" i="7"/>
  <c r="AZ300" i="7"/>
  <c r="AY300" i="7"/>
  <c r="BL300" i="7" s="1"/>
  <c r="AW300" i="7"/>
  <c r="AV300" i="7"/>
  <c r="AU300" i="7"/>
  <c r="AT300" i="7"/>
  <c r="AS300" i="7"/>
  <c r="AR300" i="7"/>
  <c r="AQ300" i="7"/>
  <c r="AP300" i="7"/>
  <c r="BJ299" i="7"/>
  <c r="BM299" i="7" s="1"/>
  <c r="BI299" i="7"/>
  <c r="BH299" i="7"/>
  <c r="BG299" i="7"/>
  <c r="BF299" i="7"/>
  <c r="BE299" i="7"/>
  <c r="BD299" i="7"/>
  <c r="BC299" i="7"/>
  <c r="BB299" i="7"/>
  <c r="BA299" i="7"/>
  <c r="AZ299" i="7"/>
  <c r="AY299" i="7"/>
  <c r="BL299" i="7" s="1"/>
  <c r="AX299" i="7"/>
  <c r="BK299" i="7" s="1"/>
  <c r="AW299" i="7"/>
  <c r="AV299" i="7"/>
  <c r="AU299" i="7"/>
  <c r="AT299" i="7"/>
  <c r="AS299" i="7"/>
  <c r="AR299" i="7"/>
  <c r="AQ299" i="7"/>
  <c r="AP299" i="7"/>
  <c r="BJ298" i="7"/>
  <c r="BM298" i="7" s="1"/>
  <c r="BI298" i="7"/>
  <c r="BH298" i="7"/>
  <c r="BG298" i="7"/>
  <c r="BF298" i="7"/>
  <c r="BE298" i="7"/>
  <c r="BD298" i="7"/>
  <c r="BC298" i="7"/>
  <c r="BB298" i="7"/>
  <c r="BA298" i="7"/>
  <c r="AZ298" i="7"/>
  <c r="AY298" i="7"/>
  <c r="BL298" i="7" s="1"/>
  <c r="AX298" i="7"/>
  <c r="BK298" i="7" s="1"/>
  <c r="AW298" i="7"/>
  <c r="AV298" i="7"/>
  <c r="AU298" i="7"/>
  <c r="AT298" i="7"/>
  <c r="AS298" i="7"/>
  <c r="AR298" i="7"/>
  <c r="AQ298" i="7"/>
  <c r="AP298" i="7"/>
  <c r="BJ297" i="7"/>
  <c r="BM297" i="7" s="1"/>
  <c r="BI297" i="7"/>
  <c r="BH297" i="7"/>
  <c r="BG297" i="7"/>
  <c r="BF297" i="7"/>
  <c r="BE297" i="7"/>
  <c r="BD297" i="7"/>
  <c r="BC297" i="7"/>
  <c r="BB297" i="7"/>
  <c r="BA297" i="7"/>
  <c r="AZ297" i="7"/>
  <c r="AW297" i="7"/>
  <c r="AV297" i="7"/>
  <c r="AU297" i="7"/>
  <c r="AT297" i="7"/>
  <c r="AS297" i="7"/>
  <c r="AR297" i="7"/>
  <c r="AQ297" i="7"/>
  <c r="AP297" i="7"/>
  <c r="BJ296" i="7"/>
  <c r="BM296" i="7" s="1"/>
  <c r="BI296" i="7"/>
  <c r="BH296" i="7"/>
  <c r="BG296" i="7"/>
  <c r="BF296" i="7"/>
  <c r="BE296" i="7"/>
  <c r="BD296" i="7"/>
  <c r="BC296" i="7"/>
  <c r="BB296" i="7"/>
  <c r="BA296" i="7"/>
  <c r="AZ296" i="7"/>
  <c r="AW296" i="7"/>
  <c r="AV296" i="7"/>
  <c r="AU296" i="7"/>
  <c r="AT296" i="7"/>
  <c r="AS296" i="7"/>
  <c r="AR296" i="7"/>
  <c r="AQ296" i="7"/>
  <c r="AP296" i="7"/>
  <c r="BJ295" i="7"/>
  <c r="BM295" i="7" s="1"/>
  <c r="BI295" i="7"/>
  <c r="BH295" i="7"/>
  <c r="BG295" i="7"/>
  <c r="BF295" i="7"/>
  <c r="BE295" i="7"/>
  <c r="BD295" i="7"/>
  <c r="BC295" i="7"/>
  <c r="BB295" i="7"/>
  <c r="BA295" i="7"/>
  <c r="AZ295" i="7"/>
  <c r="AX295" i="7"/>
  <c r="BK295" i="7" s="1"/>
  <c r="AW295" i="7"/>
  <c r="AV295" i="7"/>
  <c r="AU295" i="7"/>
  <c r="AT295" i="7"/>
  <c r="AS295" i="7"/>
  <c r="AR295" i="7"/>
  <c r="AQ295" i="7"/>
  <c r="AP295" i="7"/>
  <c r="BJ294" i="7"/>
  <c r="BI294" i="7"/>
  <c r="BH294" i="7"/>
  <c r="BG294" i="7"/>
  <c r="BF294" i="7"/>
  <c r="BE294" i="7"/>
  <c r="BD294" i="7"/>
  <c r="BC294" i="7"/>
  <c r="BB294" i="7"/>
  <c r="BA294" i="7"/>
  <c r="AZ294" i="7"/>
  <c r="AY294" i="7"/>
  <c r="BL294" i="7" s="1"/>
  <c r="AW294" i="7"/>
  <c r="AV294" i="7"/>
  <c r="AU294" i="7"/>
  <c r="AT294" i="7"/>
  <c r="AS294" i="7"/>
  <c r="AR294" i="7"/>
  <c r="AQ294" i="7"/>
  <c r="AP294" i="7"/>
  <c r="BJ293" i="7"/>
  <c r="BM293" i="7" s="1"/>
  <c r="BI293" i="7"/>
  <c r="BH293" i="7"/>
  <c r="BG293" i="7"/>
  <c r="BF293" i="7"/>
  <c r="BE293" i="7"/>
  <c r="BD293" i="7"/>
  <c r="BC293" i="7"/>
  <c r="BB293" i="7"/>
  <c r="BA293" i="7"/>
  <c r="AZ293" i="7"/>
  <c r="AW293" i="7"/>
  <c r="AV293" i="7"/>
  <c r="AU293" i="7"/>
  <c r="AT293" i="7"/>
  <c r="AS293" i="7"/>
  <c r="AR293" i="7"/>
  <c r="AQ293" i="7"/>
  <c r="AP293" i="7"/>
  <c r="BJ292" i="7"/>
  <c r="BM292" i="7" s="1"/>
  <c r="BI292" i="7"/>
  <c r="BH292" i="7"/>
  <c r="BG292" i="7"/>
  <c r="BF292" i="7"/>
  <c r="BE292" i="7"/>
  <c r="BD292" i="7"/>
  <c r="BC292" i="7"/>
  <c r="BB292" i="7"/>
  <c r="BA292" i="7"/>
  <c r="AZ292" i="7"/>
  <c r="AY292" i="7"/>
  <c r="BL292" i="7" s="1"/>
  <c r="AW292" i="7"/>
  <c r="AV292" i="7"/>
  <c r="AU292" i="7"/>
  <c r="AT292" i="7"/>
  <c r="AS292" i="7"/>
  <c r="AR292" i="7"/>
  <c r="AQ292" i="7"/>
  <c r="AP292" i="7"/>
  <c r="BJ290" i="7"/>
  <c r="BM290" i="7" s="1"/>
  <c r="BI290" i="7"/>
  <c r="BH290" i="7"/>
  <c r="BG290" i="7"/>
  <c r="BF290" i="7"/>
  <c r="BE290" i="7"/>
  <c r="BD290" i="7"/>
  <c r="BC290" i="7"/>
  <c r="BB290" i="7"/>
  <c r="BA290" i="7"/>
  <c r="AZ290" i="7"/>
  <c r="AY290" i="7"/>
  <c r="BL290" i="7" s="1"/>
  <c r="AX290" i="7"/>
  <c r="BK290" i="7" s="1"/>
  <c r="AW290" i="7"/>
  <c r="AV290" i="7"/>
  <c r="AU290" i="7"/>
  <c r="AT290" i="7"/>
  <c r="AS290" i="7"/>
  <c r="AR290" i="7"/>
  <c r="AQ290" i="7"/>
  <c r="AP290" i="7"/>
  <c r="BJ289" i="7"/>
  <c r="BM289" i="7" s="1"/>
  <c r="BI289" i="7"/>
  <c r="BH289" i="7"/>
  <c r="BG289" i="7"/>
  <c r="BF289" i="7"/>
  <c r="BE289" i="7"/>
  <c r="BD289" i="7"/>
  <c r="BC289" i="7"/>
  <c r="BB289" i="7"/>
  <c r="BA289" i="7"/>
  <c r="AZ289" i="7"/>
  <c r="AY289" i="7"/>
  <c r="BL289" i="7" s="1"/>
  <c r="AX289" i="7"/>
  <c r="BK289" i="7" s="1"/>
  <c r="AW289" i="7"/>
  <c r="AV289" i="7"/>
  <c r="AU289" i="7"/>
  <c r="AT289" i="7"/>
  <c r="AS289" i="7"/>
  <c r="AR289" i="7"/>
  <c r="AQ289" i="7"/>
  <c r="AP289" i="7"/>
  <c r="BJ288" i="7"/>
  <c r="BM288" i="7" s="1"/>
  <c r="BI288" i="7"/>
  <c r="BH288" i="7"/>
  <c r="BG288" i="7"/>
  <c r="BF288" i="7"/>
  <c r="BE288" i="7"/>
  <c r="BD288" i="7"/>
  <c r="BC288" i="7"/>
  <c r="BB288" i="7"/>
  <c r="BA288" i="7"/>
  <c r="AZ288" i="7"/>
  <c r="AY288" i="7"/>
  <c r="AW288" i="7"/>
  <c r="AV288" i="7"/>
  <c r="AU288" i="7"/>
  <c r="AT288" i="7"/>
  <c r="AS288" i="7"/>
  <c r="AR288" i="7"/>
  <c r="AQ288" i="7"/>
  <c r="AP288" i="7"/>
  <c r="BJ287" i="7"/>
  <c r="BM287" i="7" s="1"/>
  <c r="BI287" i="7"/>
  <c r="BH287" i="7"/>
  <c r="BG287" i="7"/>
  <c r="BF287" i="7"/>
  <c r="BE287" i="7"/>
  <c r="BD287" i="7"/>
  <c r="BC287" i="7"/>
  <c r="BB287" i="7"/>
  <c r="BA287" i="7"/>
  <c r="AZ287" i="7"/>
  <c r="AY287" i="7"/>
  <c r="BL287" i="7" s="1"/>
  <c r="AW287" i="7"/>
  <c r="AV287" i="7"/>
  <c r="AU287" i="7"/>
  <c r="AT287" i="7"/>
  <c r="AS287" i="7"/>
  <c r="AR287" i="7"/>
  <c r="AQ287" i="7"/>
  <c r="AP287" i="7"/>
  <c r="BJ286" i="7"/>
  <c r="BM286" i="7" s="1"/>
  <c r="BI286" i="7"/>
  <c r="BH286" i="7"/>
  <c r="BG286" i="7"/>
  <c r="BF286" i="7"/>
  <c r="BE286" i="7"/>
  <c r="BD286" i="7"/>
  <c r="BC286" i="7"/>
  <c r="BB286" i="7"/>
  <c r="BA286" i="7"/>
  <c r="AZ286" i="7"/>
  <c r="AY286" i="7"/>
  <c r="BL286" i="7" s="1"/>
  <c r="AW286" i="7"/>
  <c r="AV286" i="7"/>
  <c r="AU286" i="7"/>
  <c r="AT286" i="7"/>
  <c r="AS286" i="7"/>
  <c r="AR286" i="7"/>
  <c r="AQ286" i="7"/>
  <c r="AP286" i="7"/>
  <c r="BJ285" i="7"/>
  <c r="BI285" i="7"/>
  <c r="BH285" i="7"/>
  <c r="BG285" i="7"/>
  <c r="BF285" i="7"/>
  <c r="BE285" i="7"/>
  <c r="BD285" i="7"/>
  <c r="BC285" i="7"/>
  <c r="BB285" i="7"/>
  <c r="BA285" i="7"/>
  <c r="AZ285" i="7"/>
  <c r="AY285" i="7"/>
  <c r="BL285" i="7" s="1"/>
  <c r="AX285" i="7"/>
  <c r="AW285" i="7"/>
  <c r="AV285" i="7"/>
  <c r="AU285" i="7"/>
  <c r="AT285" i="7"/>
  <c r="AS285" i="7"/>
  <c r="AR285" i="7"/>
  <c r="AQ285" i="7"/>
  <c r="AP285" i="7"/>
  <c r="BJ284" i="7"/>
  <c r="BI284" i="7"/>
  <c r="BH284" i="7"/>
  <c r="BG284" i="7"/>
  <c r="BF284" i="7"/>
  <c r="BE284" i="7"/>
  <c r="BD284" i="7"/>
  <c r="BC284" i="7"/>
  <c r="BB284" i="7"/>
  <c r="BA284" i="7"/>
  <c r="AZ284" i="7"/>
  <c r="AY284" i="7"/>
  <c r="BL284" i="7" s="1"/>
  <c r="AW284" i="7"/>
  <c r="AV284" i="7"/>
  <c r="AU284" i="7"/>
  <c r="AT284" i="7"/>
  <c r="AS284" i="7"/>
  <c r="AR284" i="7"/>
  <c r="AQ284" i="7"/>
  <c r="AP284" i="7"/>
  <c r="BJ283" i="7"/>
  <c r="BM283" i="7" s="1"/>
  <c r="BI283" i="7"/>
  <c r="BH283" i="7"/>
  <c r="BG283" i="7"/>
  <c r="BF283" i="7"/>
  <c r="BE283" i="7"/>
  <c r="BD283" i="7"/>
  <c r="BC283" i="7"/>
  <c r="BB283" i="7"/>
  <c r="BA283" i="7"/>
  <c r="AZ283" i="7"/>
  <c r="AY283" i="7"/>
  <c r="BL283" i="7" s="1"/>
  <c r="AW283" i="7"/>
  <c r="AV283" i="7"/>
  <c r="AU283" i="7"/>
  <c r="AT283" i="7"/>
  <c r="AS283" i="7"/>
  <c r="AR283" i="7"/>
  <c r="AQ283" i="7"/>
  <c r="AP283" i="7"/>
  <c r="BJ282" i="7"/>
  <c r="BM282" i="7" s="1"/>
  <c r="BI282" i="7"/>
  <c r="BH282" i="7"/>
  <c r="BG282" i="7"/>
  <c r="BF282" i="7"/>
  <c r="BE282" i="7"/>
  <c r="BD282" i="7"/>
  <c r="BC282" i="7"/>
  <c r="BB282" i="7"/>
  <c r="BA282" i="7"/>
  <c r="AZ282" i="7"/>
  <c r="AY282" i="7"/>
  <c r="BL282" i="7" s="1"/>
  <c r="AW282" i="7"/>
  <c r="AV282" i="7"/>
  <c r="AU282" i="7"/>
  <c r="AT282" i="7"/>
  <c r="AS282" i="7"/>
  <c r="AR282" i="7"/>
  <c r="AQ282" i="7"/>
  <c r="AP282" i="7"/>
  <c r="BJ281" i="7"/>
  <c r="BM281" i="7" s="1"/>
  <c r="BI281" i="7"/>
  <c r="BH281" i="7"/>
  <c r="BG281" i="7"/>
  <c r="BF281" i="7"/>
  <c r="BE281" i="7"/>
  <c r="BD281" i="7"/>
  <c r="BC281" i="7"/>
  <c r="BB281" i="7"/>
  <c r="BA281" i="7"/>
  <c r="AZ281" i="7"/>
  <c r="AW281" i="7"/>
  <c r="AV281" i="7"/>
  <c r="AU281" i="7"/>
  <c r="AT281" i="7"/>
  <c r="AS281" i="7"/>
  <c r="AR281" i="7"/>
  <c r="AQ281" i="7"/>
  <c r="AP281" i="7"/>
  <c r="BJ280" i="7"/>
  <c r="BM280" i="7" s="1"/>
  <c r="BI280" i="7"/>
  <c r="BH280" i="7"/>
  <c r="BG280" i="7"/>
  <c r="BF280" i="7"/>
  <c r="BE280" i="7"/>
  <c r="BD280" i="7"/>
  <c r="BC280" i="7"/>
  <c r="BB280" i="7"/>
  <c r="BA280" i="7"/>
  <c r="AZ280" i="7"/>
  <c r="AW280" i="7"/>
  <c r="AV280" i="7"/>
  <c r="AU280" i="7"/>
  <c r="AT280" i="7"/>
  <c r="AS280" i="7"/>
  <c r="AR280" i="7"/>
  <c r="AQ280" i="7"/>
  <c r="AP280" i="7"/>
  <c r="BJ279" i="7"/>
  <c r="BM279" i="7" s="1"/>
  <c r="BI279" i="7"/>
  <c r="BH279" i="7"/>
  <c r="BG279" i="7"/>
  <c r="BF279" i="7"/>
  <c r="BE279" i="7"/>
  <c r="BD279" i="7"/>
  <c r="BC279" i="7"/>
  <c r="BB279" i="7"/>
  <c r="BA279" i="7"/>
  <c r="AZ279" i="7"/>
  <c r="AY279" i="7"/>
  <c r="BL279" i="7" s="1"/>
  <c r="AW279" i="7"/>
  <c r="AV279" i="7"/>
  <c r="AU279" i="7"/>
  <c r="AT279" i="7"/>
  <c r="AS279" i="7"/>
  <c r="AR279" i="7"/>
  <c r="AQ279" i="7"/>
  <c r="AP279" i="7"/>
  <c r="BJ278" i="7"/>
  <c r="BM278" i="7" s="1"/>
  <c r="BI278" i="7"/>
  <c r="BH278" i="7"/>
  <c r="BG278" i="7"/>
  <c r="BF278" i="7"/>
  <c r="BE278" i="7"/>
  <c r="BD278" i="7"/>
  <c r="BC278" i="7"/>
  <c r="BB278" i="7"/>
  <c r="BA278" i="7"/>
  <c r="AZ278" i="7"/>
  <c r="AY278" i="7"/>
  <c r="BL278" i="7" s="1"/>
  <c r="AW278" i="7"/>
  <c r="AV278" i="7"/>
  <c r="AU278" i="7"/>
  <c r="AT278" i="7"/>
  <c r="AS278" i="7"/>
  <c r="AR278" i="7"/>
  <c r="AQ278" i="7"/>
  <c r="AP278" i="7"/>
  <c r="BJ276" i="7"/>
  <c r="BI276" i="7"/>
  <c r="BH276" i="7"/>
  <c r="BG276" i="7"/>
  <c r="BF276" i="7"/>
  <c r="BE276" i="7"/>
  <c r="BD276" i="7"/>
  <c r="BC276" i="7"/>
  <c r="BB276" i="7"/>
  <c r="BA276" i="7"/>
  <c r="AZ276" i="7"/>
  <c r="AY276" i="7"/>
  <c r="BL276" i="7" s="1"/>
  <c r="AW276" i="7"/>
  <c r="AV276" i="7"/>
  <c r="AU276" i="7"/>
  <c r="AT276" i="7"/>
  <c r="AS276" i="7"/>
  <c r="AR276" i="7"/>
  <c r="AQ276" i="7"/>
  <c r="AP276" i="7"/>
  <c r="BJ275" i="7"/>
  <c r="BM275" i="7" s="1"/>
  <c r="BI275" i="7"/>
  <c r="BH275" i="7"/>
  <c r="BG275" i="7"/>
  <c r="BF275" i="7"/>
  <c r="BE275" i="7"/>
  <c r="BD275" i="7"/>
  <c r="BC275" i="7"/>
  <c r="BB275" i="7"/>
  <c r="BA275" i="7"/>
  <c r="AZ275" i="7"/>
  <c r="AW275" i="7"/>
  <c r="AV275" i="7"/>
  <c r="AU275" i="7"/>
  <c r="AT275" i="7"/>
  <c r="AS275" i="7"/>
  <c r="AR275" i="7"/>
  <c r="AQ275" i="7"/>
  <c r="AP275" i="7"/>
  <c r="BJ274" i="7"/>
  <c r="BM274" i="7" s="1"/>
  <c r="BI274" i="7"/>
  <c r="BH274" i="7"/>
  <c r="BG274" i="7"/>
  <c r="BF274" i="7"/>
  <c r="BE274" i="7"/>
  <c r="BD274" i="7"/>
  <c r="BC274" i="7"/>
  <c r="BB274" i="7"/>
  <c r="BA274" i="7"/>
  <c r="AZ274" i="7"/>
  <c r="AW274" i="7"/>
  <c r="AV274" i="7"/>
  <c r="AU274" i="7"/>
  <c r="AT274" i="7"/>
  <c r="AS274" i="7"/>
  <c r="AR274" i="7"/>
  <c r="AQ274" i="7"/>
  <c r="AP274" i="7"/>
  <c r="BJ273" i="7"/>
  <c r="BM273" i="7" s="1"/>
  <c r="BI273" i="7"/>
  <c r="BH273" i="7"/>
  <c r="BG273" i="7"/>
  <c r="BF273" i="7"/>
  <c r="BE273" i="7"/>
  <c r="BD273" i="7"/>
  <c r="BC273" i="7"/>
  <c r="BB273" i="7"/>
  <c r="BA273" i="7"/>
  <c r="AZ273" i="7"/>
  <c r="AY273" i="7"/>
  <c r="BL273" i="7" s="1"/>
  <c r="AX273" i="7"/>
  <c r="BK273" i="7" s="1"/>
  <c r="AW273" i="7"/>
  <c r="AV273" i="7"/>
  <c r="AU273" i="7"/>
  <c r="AT273" i="7"/>
  <c r="AS273" i="7"/>
  <c r="AR273" i="7"/>
  <c r="AQ273" i="7"/>
  <c r="AP273" i="7"/>
  <c r="BJ271" i="7"/>
  <c r="BM271" i="7" s="1"/>
  <c r="BI271" i="7"/>
  <c r="BH271" i="7"/>
  <c r="BG271" i="7"/>
  <c r="BF271" i="7"/>
  <c r="BE271" i="7"/>
  <c r="BD271" i="7"/>
  <c r="BC271" i="7"/>
  <c r="BB271" i="7"/>
  <c r="BA271" i="7"/>
  <c r="AZ271" i="7"/>
  <c r="AW271" i="7"/>
  <c r="AV271" i="7"/>
  <c r="AU271" i="7"/>
  <c r="AT271" i="7"/>
  <c r="AS271" i="7"/>
  <c r="AR271" i="7"/>
  <c r="AQ271" i="7"/>
  <c r="AP271" i="7"/>
  <c r="BJ269" i="7"/>
  <c r="BM269" i="7" s="1"/>
  <c r="BI269" i="7"/>
  <c r="BH269" i="7"/>
  <c r="BG269" i="7"/>
  <c r="BF269" i="7"/>
  <c r="BE269" i="7"/>
  <c r="BD269" i="7"/>
  <c r="BC269" i="7"/>
  <c r="BB269" i="7"/>
  <c r="BA269" i="7"/>
  <c r="AZ269" i="7"/>
  <c r="AW269" i="7"/>
  <c r="AV269" i="7"/>
  <c r="AU269" i="7"/>
  <c r="AT269" i="7"/>
  <c r="AS269" i="7"/>
  <c r="AR269" i="7"/>
  <c r="AQ269" i="7"/>
  <c r="AP269" i="7"/>
  <c r="BJ268" i="7"/>
  <c r="BM268" i="7" s="1"/>
  <c r="BI268" i="7"/>
  <c r="BH268" i="7"/>
  <c r="BG268" i="7"/>
  <c r="BF268" i="7"/>
  <c r="BE268" i="7"/>
  <c r="BD268" i="7"/>
  <c r="BC268" i="7"/>
  <c r="BB268" i="7"/>
  <c r="BA268" i="7"/>
  <c r="AZ268" i="7"/>
  <c r="AW268" i="7"/>
  <c r="AV268" i="7"/>
  <c r="AU268" i="7"/>
  <c r="AT268" i="7"/>
  <c r="AS268" i="7"/>
  <c r="AR268" i="7"/>
  <c r="AQ268" i="7"/>
  <c r="AP268" i="7"/>
  <c r="BJ267" i="7"/>
  <c r="BM267" i="7" s="1"/>
  <c r="BI267" i="7"/>
  <c r="BH267" i="7"/>
  <c r="BG267" i="7"/>
  <c r="BF267" i="7"/>
  <c r="BE267" i="7"/>
  <c r="BD267" i="7"/>
  <c r="BC267" i="7"/>
  <c r="BB267" i="7"/>
  <c r="BA267" i="7"/>
  <c r="AZ267" i="7"/>
  <c r="AY267" i="7"/>
  <c r="BL267" i="7" s="1"/>
  <c r="AX267" i="7"/>
  <c r="BK267" i="7" s="1"/>
  <c r="AW267" i="7"/>
  <c r="AV267" i="7"/>
  <c r="AU267" i="7"/>
  <c r="AT267" i="7"/>
  <c r="AS267" i="7"/>
  <c r="AR267" i="7"/>
  <c r="AQ267" i="7"/>
  <c r="AP267" i="7"/>
  <c r="BJ266" i="7"/>
  <c r="BI266" i="7"/>
  <c r="BH266" i="7"/>
  <c r="BG266" i="7"/>
  <c r="BF266" i="7"/>
  <c r="BE266" i="7"/>
  <c r="BD266" i="7"/>
  <c r="BC266" i="7"/>
  <c r="BB266" i="7"/>
  <c r="BA266" i="7"/>
  <c r="AZ266" i="7"/>
  <c r="AY266" i="7"/>
  <c r="BL266" i="7" s="1"/>
  <c r="AX266" i="7"/>
  <c r="AW266" i="7"/>
  <c r="AV266" i="7"/>
  <c r="AU266" i="7"/>
  <c r="AT266" i="7"/>
  <c r="AS266" i="7"/>
  <c r="AR266" i="7"/>
  <c r="AQ266" i="7"/>
  <c r="AP266" i="7"/>
  <c r="BJ265" i="7"/>
  <c r="BI265" i="7"/>
  <c r="BH265" i="7"/>
  <c r="BG265" i="7"/>
  <c r="BF265" i="7"/>
  <c r="BE265" i="7"/>
  <c r="BD265" i="7"/>
  <c r="BC265" i="7"/>
  <c r="BB265" i="7"/>
  <c r="BA265" i="7"/>
  <c r="AZ265" i="7"/>
  <c r="AY265" i="7"/>
  <c r="BL265" i="7" s="1"/>
  <c r="AW265" i="7"/>
  <c r="AV265" i="7"/>
  <c r="AU265" i="7"/>
  <c r="AT265" i="7"/>
  <c r="AS265" i="7"/>
  <c r="AR265" i="7"/>
  <c r="AQ265" i="7"/>
  <c r="AP265" i="7"/>
  <c r="BJ264" i="7"/>
  <c r="BM264" i="7" s="1"/>
  <c r="BI264" i="7"/>
  <c r="BH264" i="7"/>
  <c r="BG264" i="7"/>
  <c r="BF264" i="7"/>
  <c r="BE264" i="7"/>
  <c r="BD264" i="7"/>
  <c r="BC264" i="7"/>
  <c r="BB264" i="7"/>
  <c r="BA264" i="7"/>
  <c r="AZ264" i="7"/>
  <c r="AW264" i="7"/>
  <c r="AV264" i="7"/>
  <c r="AU264" i="7"/>
  <c r="AT264" i="7"/>
  <c r="AS264" i="7"/>
  <c r="AR264" i="7"/>
  <c r="AQ264" i="7"/>
  <c r="AP264" i="7"/>
  <c r="BJ263" i="7"/>
  <c r="BM263" i="7" s="1"/>
  <c r="BI263" i="7"/>
  <c r="BH263" i="7"/>
  <c r="BG263" i="7"/>
  <c r="BF263" i="7"/>
  <c r="BE263" i="7"/>
  <c r="BD263" i="7"/>
  <c r="BC263" i="7"/>
  <c r="BB263" i="7"/>
  <c r="BA263" i="7"/>
  <c r="AZ263" i="7"/>
  <c r="AY263" i="7"/>
  <c r="BL263" i="7" s="1"/>
  <c r="AX263" i="7"/>
  <c r="BK263" i="7" s="1"/>
  <c r="AW263" i="7"/>
  <c r="AV263" i="7"/>
  <c r="AU263" i="7"/>
  <c r="AT263" i="7"/>
  <c r="AS263" i="7"/>
  <c r="AR263" i="7"/>
  <c r="AQ263" i="7"/>
  <c r="AP263" i="7"/>
  <c r="BJ262" i="7"/>
  <c r="BM262" i="7" s="1"/>
  <c r="BI262" i="7"/>
  <c r="BH262" i="7"/>
  <c r="BG262" i="7"/>
  <c r="BF262" i="7"/>
  <c r="BE262" i="7"/>
  <c r="BD262" i="7"/>
  <c r="BC262" i="7"/>
  <c r="BB262" i="7"/>
  <c r="BA262" i="7"/>
  <c r="AZ262" i="7"/>
  <c r="AW262" i="7"/>
  <c r="AV262" i="7"/>
  <c r="AU262" i="7"/>
  <c r="AT262" i="7"/>
  <c r="AS262" i="7"/>
  <c r="AR262" i="7"/>
  <c r="AQ262" i="7"/>
  <c r="AP262" i="7"/>
  <c r="BJ261" i="7"/>
  <c r="BM261" i="7" s="1"/>
  <c r="BI261" i="7"/>
  <c r="BH261" i="7"/>
  <c r="BG261" i="7"/>
  <c r="BF261" i="7"/>
  <c r="BE261" i="7"/>
  <c r="BD261" i="7"/>
  <c r="BC261" i="7"/>
  <c r="BB261" i="7"/>
  <c r="BA261" i="7"/>
  <c r="AZ261" i="7"/>
  <c r="AW261" i="7"/>
  <c r="AV261" i="7"/>
  <c r="AU261" i="7"/>
  <c r="AT261" i="7"/>
  <c r="AS261" i="7"/>
  <c r="AR261" i="7"/>
  <c r="AQ261" i="7"/>
  <c r="AP261" i="7"/>
  <c r="BJ260" i="7"/>
  <c r="BM260" i="7" s="1"/>
  <c r="BI260" i="7"/>
  <c r="BH260" i="7"/>
  <c r="BG260" i="7"/>
  <c r="BF260" i="7"/>
  <c r="BE260" i="7"/>
  <c r="BD260" i="7"/>
  <c r="BC260" i="7"/>
  <c r="BB260" i="7"/>
  <c r="BA260" i="7"/>
  <c r="AZ260" i="7"/>
  <c r="AY260" i="7"/>
  <c r="BL260" i="7" s="1"/>
  <c r="AX260" i="7"/>
  <c r="BK260" i="7" s="1"/>
  <c r="AW260" i="7"/>
  <c r="AV260" i="7"/>
  <c r="AU260" i="7"/>
  <c r="AT260" i="7"/>
  <c r="AS260" i="7"/>
  <c r="AR260" i="7"/>
  <c r="AQ260" i="7"/>
  <c r="AP260" i="7"/>
  <c r="BJ259" i="7"/>
  <c r="BM259" i="7" s="1"/>
  <c r="BI259" i="7"/>
  <c r="BH259" i="7"/>
  <c r="BG259" i="7"/>
  <c r="BF259" i="7"/>
  <c r="BE259" i="7"/>
  <c r="BD259" i="7"/>
  <c r="BC259" i="7"/>
  <c r="BB259" i="7"/>
  <c r="BA259" i="7"/>
  <c r="AZ259" i="7"/>
  <c r="AW259" i="7"/>
  <c r="AV259" i="7"/>
  <c r="AU259" i="7"/>
  <c r="AT259" i="7"/>
  <c r="AS259" i="7"/>
  <c r="AR259" i="7"/>
  <c r="AQ259" i="7"/>
  <c r="AP259" i="7"/>
  <c r="BJ258" i="7"/>
  <c r="BM258" i="7" s="1"/>
  <c r="BI258" i="7"/>
  <c r="BH258" i="7"/>
  <c r="BG258" i="7"/>
  <c r="BF258" i="7"/>
  <c r="BE258" i="7"/>
  <c r="BD258" i="7"/>
  <c r="BC258" i="7"/>
  <c r="BB258" i="7"/>
  <c r="BA258" i="7"/>
  <c r="AZ258" i="7"/>
  <c r="AW258" i="7"/>
  <c r="AV258" i="7"/>
  <c r="AU258" i="7"/>
  <c r="AT258" i="7"/>
  <c r="AS258" i="7"/>
  <c r="AR258" i="7"/>
  <c r="AQ258" i="7"/>
  <c r="AP258" i="7"/>
  <c r="BJ257" i="7"/>
  <c r="BI257" i="7"/>
  <c r="BH257" i="7"/>
  <c r="BG257" i="7"/>
  <c r="BF257" i="7"/>
  <c r="BE257" i="7"/>
  <c r="BD257" i="7"/>
  <c r="BC257" i="7"/>
  <c r="BB257" i="7"/>
  <c r="BA257" i="7"/>
  <c r="AZ257" i="7"/>
  <c r="AY257" i="7"/>
  <c r="BL257" i="7" s="1"/>
  <c r="AW257" i="7"/>
  <c r="AV257" i="7"/>
  <c r="AU257" i="7"/>
  <c r="AT257" i="7"/>
  <c r="AS257" i="7"/>
  <c r="AR257" i="7"/>
  <c r="AQ257" i="7"/>
  <c r="AP257" i="7"/>
  <c r="BJ255" i="7"/>
  <c r="BM255" i="7" s="1"/>
  <c r="BI255" i="7"/>
  <c r="BH255" i="7"/>
  <c r="BG255" i="7"/>
  <c r="BF255" i="7"/>
  <c r="BE255" i="7"/>
  <c r="BD255" i="7"/>
  <c r="BC255" i="7"/>
  <c r="BB255" i="7"/>
  <c r="BA255" i="7"/>
  <c r="AZ255" i="7"/>
  <c r="AY255" i="7"/>
  <c r="BL255" i="7" s="1"/>
  <c r="AW255" i="7"/>
  <c r="AV255" i="7"/>
  <c r="AU255" i="7"/>
  <c r="AT255" i="7"/>
  <c r="AS255" i="7"/>
  <c r="AR255" i="7"/>
  <c r="AQ255" i="7"/>
  <c r="AP255" i="7"/>
  <c r="BJ254" i="7"/>
  <c r="BM254" i="7" s="1"/>
  <c r="BI254" i="7"/>
  <c r="BH254" i="7"/>
  <c r="BG254" i="7"/>
  <c r="BF254" i="7"/>
  <c r="BE254" i="7"/>
  <c r="BD254" i="7"/>
  <c r="BC254" i="7"/>
  <c r="BB254" i="7"/>
  <c r="BA254" i="7"/>
  <c r="AZ254" i="7"/>
  <c r="AW254" i="7"/>
  <c r="AV254" i="7"/>
  <c r="AU254" i="7"/>
  <c r="AT254" i="7"/>
  <c r="AS254" i="7"/>
  <c r="AR254" i="7"/>
  <c r="AQ254" i="7"/>
  <c r="AP254" i="7"/>
  <c r="BJ253" i="7"/>
  <c r="BM253" i="7" s="1"/>
  <c r="BI253" i="7"/>
  <c r="BH253" i="7"/>
  <c r="BG253" i="7"/>
  <c r="BF253" i="7"/>
  <c r="BE253" i="7"/>
  <c r="BD253" i="7"/>
  <c r="BC253" i="7"/>
  <c r="BB253" i="7"/>
  <c r="BA253" i="7"/>
  <c r="AZ253" i="7"/>
  <c r="AY253" i="7"/>
  <c r="AW253" i="7"/>
  <c r="AV253" i="7"/>
  <c r="AU253" i="7"/>
  <c r="AT253" i="7"/>
  <c r="AS253" i="7"/>
  <c r="AR253" i="7"/>
  <c r="AQ253" i="7"/>
  <c r="AP253" i="7"/>
  <c r="BJ252" i="7"/>
  <c r="BM252" i="7" s="1"/>
  <c r="BI252" i="7"/>
  <c r="BH252" i="7"/>
  <c r="BG252" i="7"/>
  <c r="BF252" i="7"/>
  <c r="BE252" i="7"/>
  <c r="BD252" i="7"/>
  <c r="BC252" i="7"/>
  <c r="BB252" i="7"/>
  <c r="BA252" i="7"/>
  <c r="AZ252" i="7"/>
  <c r="AY252" i="7"/>
  <c r="AW252" i="7"/>
  <c r="AV252" i="7"/>
  <c r="AU252" i="7"/>
  <c r="AT252" i="7"/>
  <c r="AS252" i="7"/>
  <c r="AR252" i="7"/>
  <c r="AQ252" i="7"/>
  <c r="AP252" i="7"/>
  <c r="BJ251" i="7"/>
  <c r="BM251" i="7" s="1"/>
  <c r="BI251" i="7"/>
  <c r="BH251" i="7"/>
  <c r="BG251" i="7"/>
  <c r="BF251" i="7"/>
  <c r="BE251" i="7"/>
  <c r="BD251" i="7"/>
  <c r="BC251" i="7"/>
  <c r="BB251" i="7"/>
  <c r="BA251" i="7"/>
  <c r="AZ251" i="7"/>
  <c r="AW251" i="7"/>
  <c r="AV251" i="7"/>
  <c r="AU251" i="7"/>
  <c r="AT251" i="7"/>
  <c r="AS251" i="7"/>
  <c r="AR251" i="7"/>
  <c r="AQ251" i="7"/>
  <c r="AP251" i="7"/>
  <c r="BJ250" i="7"/>
  <c r="BM250" i="7" s="1"/>
  <c r="BI250" i="7"/>
  <c r="BH250" i="7"/>
  <c r="BG250" i="7"/>
  <c r="BF250" i="7"/>
  <c r="BE250" i="7"/>
  <c r="BD250" i="7"/>
  <c r="BC250" i="7"/>
  <c r="BB250" i="7"/>
  <c r="BA250" i="7"/>
  <c r="AZ250" i="7"/>
  <c r="AY250" i="7"/>
  <c r="BL250" i="7" s="1"/>
  <c r="AW250" i="7"/>
  <c r="AV250" i="7"/>
  <c r="AU250" i="7"/>
  <c r="AT250" i="7"/>
  <c r="AS250" i="7"/>
  <c r="AR250" i="7"/>
  <c r="AQ250" i="7"/>
  <c r="AP250" i="7"/>
  <c r="BJ249" i="7"/>
  <c r="BI249" i="7"/>
  <c r="BH249" i="7"/>
  <c r="BG249" i="7"/>
  <c r="BF249" i="7"/>
  <c r="BE249" i="7"/>
  <c r="BD249" i="7"/>
  <c r="BC249" i="7"/>
  <c r="BB249" i="7"/>
  <c r="BA249" i="7"/>
  <c r="AZ249" i="7"/>
  <c r="AW249" i="7"/>
  <c r="AV249" i="7"/>
  <c r="AU249" i="7"/>
  <c r="AT249" i="7"/>
  <c r="AS249" i="7"/>
  <c r="AR249" i="7"/>
  <c r="AQ249" i="7"/>
  <c r="AP249" i="7"/>
  <c r="BJ248" i="7"/>
  <c r="BM248" i="7" s="1"/>
  <c r="BI248" i="7"/>
  <c r="BH248" i="7"/>
  <c r="BG248" i="7"/>
  <c r="BF248" i="7"/>
  <c r="BE248" i="7"/>
  <c r="BD248" i="7"/>
  <c r="BC248" i="7"/>
  <c r="BB248" i="7"/>
  <c r="BA248" i="7"/>
  <c r="AZ248" i="7"/>
  <c r="AW248" i="7"/>
  <c r="AV248" i="7"/>
  <c r="AU248" i="7"/>
  <c r="AT248" i="7"/>
  <c r="AS248" i="7"/>
  <c r="AR248" i="7"/>
  <c r="AQ248" i="7"/>
  <c r="AP248" i="7"/>
  <c r="BJ246" i="7"/>
  <c r="BM246" i="7" s="1"/>
  <c r="BI246" i="7"/>
  <c r="BH246" i="7"/>
  <c r="BG246" i="7"/>
  <c r="BF246" i="7"/>
  <c r="BE246" i="7"/>
  <c r="BD246" i="7"/>
  <c r="BC246" i="7"/>
  <c r="BB246" i="7"/>
  <c r="BA246" i="7"/>
  <c r="AZ246" i="7"/>
  <c r="AW246" i="7"/>
  <c r="AV246" i="7"/>
  <c r="AU246" i="7"/>
  <c r="AT246" i="7"/>
  <c r="AS246" i="7"/>
  <c r="AR246" i="7"/>
  <c r="AQ246" i="7"/>
  <c r="AP246" i="7"/>
  <c r="BJ245" i="7"/>
  <c r="BM245" i="7" s="1"/>
  <c r="BI245" i="7"/>
  <c r="BH245" i="7"/>
  <c r="BG245" i="7"/>
  <c r="BF245" i="7"/>
  <c r="BE245" i="7"/>
  <c r="BD245" i="7"/>
  <c r="BC245" i="7"/>
  <c r="BB245" i="7"/>
  <c r="BA245" i="7"/>
  <c r="AZ245" i="7"/>
  <c r="AW245" i="7"/>
  <c r="AV245" i="7"/>
  <c r="AU245" i="7"/>
  <c r="AT245" i="7"/>
  <c r="AS245" i="7"/>
  <c r="AR245" i="7"/>
  <c r="AQ245" i="7"/>
  <c r="AP245" i="7"/>
  <c r="BJ244" i="7"/>
  <c r="BM244" i="7" s="1"/>
  <c r="BI244" i="7"/>
  <c r="BH244" i="7"/>
  <c r="BG244" i="7"/>
  <c r="BF244" i="7"/>
  <c r="BE244" i="7"/>
  <c r="BD244" i="7"/>
  <c r="BC244" i="7"/>
  <c r="BB244" i="7"/>
  <c r="BA244" i="7"/>
  <c r="AZ244" i="7"/>
  <c r="AW244" i="7"/>
  <c r="AV244" i="7"/>
  <c r="AU244" i="7"/>
  <c r="AT244" i="7"/>
  <c r="AS244" i="7"/>
  <c r="AR244" i="7"/>
  <c r="AQ244" i="7"/>
  <c r="AP244" i="7"/>
  <c r="BJ243" i="7"/>
  <c r="BM243" i="7" s="1"/>
  <c r="BI243" i="7"/>
  <c r="BH243" i="7"/>
  <c r="BG243" i="7"/>
  <c r="BF243" i="7"/>
  <c r="BE243" i="7"/>
  <c r="BD243" i="7"/>
  <c r="BC243" i="7"/>
  <c r="BB243" i="7"/>
  <c r="BA243" i="7"/>
  <c r="AZ243" i="7"/>
  <c r="AW243" i="7"/>
  <c r="AV243" i="7"/>
  <c r="AU243" i="7"/>
  <c r="AT243" i="7"/>
  <c r="AS243" i="7"/>
  <c r="AR243" i="7"/>
  <c r="AQ243" i="7"/>
  <c r="AP243" i="7"/>
  <c r="BJ242" i="7"/>
  <c r="BM242" i="7" s="1"/>
  <c r="BI242" i="7"/>
  <c r="BH242" i="7"/>
  <c r="BG242" i="7"/>
  <c r="BF242" i="7"/>
  <c r="BE242" i="7"/>
  <c r="BD242" i="7"/>
  <c r="BC242" i="7"/>
  <c r="BB242" i="7"/>
  <c r="BA242" i="7"/>
  <c r="AZ242" i="7"/>
  <c r="AW242" i="7"/>
  <c r="AV242" i="7"/>
  <c r="AU242" i="7"/>
  <c r="AT242" i="7"/>
  <c r="AS242" i="7"/>
  <c r="AR242" i="7"/>
  <c r="AQ242" i="7"/>
  <c r="AP242" i="7"/>
  <c r="BJ241" i="7"/>
  <c r="BM241" i="7" s="1"/>
  <c r="BI241" i="7"/>
  <c r="BH241" i="7"/>
  <c r="BG241" i="7"/>
  <c r="BF241" i="7"/>
  <c r="BE241" i="7"/>
  <c r="BD241" i="7"/>
  <c r="BC241" i="7"/>
  <c r="BB241" i="7"/>
  <c r="BA241" i="7"/>
  <c r="AZ241" i="7"/>
  <c r="AW241" i="7"/>
  <c r="AV241" i="7"/>
  <c r="AU241" i="7"/>
  <c r="AT241" i="7"/>
  <c r="AS241" i="7"/>
  <c r="AR241" i="7"/>
  <c r="AQ241" i="7"/>
  <c r="AP241" i="7"/>
  <c r="BJ240" i="7"/>
  <c r="BI240" i="7"/>
  <c r="BH240" i="7"/>
  <c r="BG240" i="7"/>
  <c r="BF240" i="7"/>
  <c r="BE240" i="7"/>
  <c r="BD240" i="7"/>
  <c r="BC240" i="7"/>
  <c r="BB240" i="7"/>
  <c r="BA240" i="7"/>
  <c r="AZ240" i="7"/>
  <c r="AW240" i="7"/>
  <c r="AV240" i="7"/>
  <c r="AU240" i="7"/>
  <c r="AT240" i="7"/>
  <c r="AS240" i="7"/>
  <c r="AR240" i="7"/>
  <c r="AQ240" i="7"/>
  <c r="AP240" i="7"/>
  <c r="BJ239" i="7"/>
  <c r="BM239" i="7" s="1"/>
  <c r="BI239" i="7"/>
  <c r="BH239" i="7"/>
  <c r="BG239" i="7"/>
  <c r="BF239" i="7"/>
  <c r="BE239" i="7"/>
  <c r="BD239" i="7"/>
  <c r="BC239" i="7"/>
  <c r="BB239" i="7"/>
  <c r="BA239" i="7"/>
  <c r="AZ239" i="7"/>
  <c r="AW239" i="7"/>
  <c r="AV239" i="7"/>
  <c r="AU239" i="7"/>
  <c r="AT239" i="7"/>
  <c r="AS239" i="7"/>
  <c r="AR239" i="7"/>
  <c r="AQ239" i="7"/>
  <c r="AP239" i="7"/>
  <c r="BJ238" i="7"/>
  <c r="BM238" i="7" s="1"/>
  <c r="BI238" i="7"/>
  <c r="BH238" i="7"/>
  <c r="BG238" i="7"/>
  <c r="BF238" i="7"/>
  <c r="BE238" i="7"/>
  <c r="BD238" i="7"/>
  <c r="BC238" i="7"/>
  <c r="BB238" i="7"/>
  <c r="BA238" i="7"/>
  <c r="AZ238" i="7"/>
  <c r="AW238" i="7"/>
  <c r="AV238" i="7"/>
  <c r="AU238" i="7"/>
  <c r="AT238" i="7"/>
  <c r="AS238" i="7"/>
  <c r="AR238" i="7"/>
  <c r="AQ238" i="7"/>
  <c r="AP238" i="7"/>
  <c r="BJ237" i="7"/>
  <c r="BM237" i="7" s="1"/>
  <c r="BI237" i="7"/>
  <c r="BH237" i="7"/>
  <c r="BG237" i="7"/>
  <c r="BF237" i="7"/>
  <c r="BE237" i="7"/>
  <c r="BD237" i="7"/>
  <c r="BC237" i="7"/>
  <c r="BB237" i="7"/>
  <c r="BA237" i="7"/>
  <c r="AZ237" i="7"/>
  <c r="AW237" i="7"/>
  <c r="AV237" i="7"/>
  <c r="AU237" i="7"/>
  <c r="AT237" i="7"/>
  <c r="AS237" i="7"/>
  <c r="AR237" i="7"/>
  <c r="AQ237" i="7"/>
  <c r="AP237" i="7"/>
  <c r="BJ236" i="7"/>
  <c r="BM236" i="7" s="1"/>
  <c r="BI236" i="7"/>
  <c r="BH236" i="7"/>
  <c r="BG236" i="7"/>
  <c r="BF236" i="7"/>
  <c r="BE236" i="7"/>
  <c r="BD236" i="7"/>
  <c r="BC236" i="7"/>
  <c r="BB236" i="7"/>
  <c r="BA236" i="7"/>
  <c r="AZ236" i="7"/>
  <c r="AW236" i="7"/>
  <c r="AV236" i="7"/>
  <c r="AU236" i="7"/>
  <c r="AT236" i="7"/>
  <c r="AS236" i="7"/>
  <c r="AR236" i="7"/>
  <c r="AQ236" i="7"/>
  <c r="AP236" i="7"/>
  <c r="BJ235" i="7"/>
  <c r="BM235" i="7" s="1"/>
  <c r="BI235" i="7"/>
  <c r="BH235" i="7"/>
  <c r="BG235" i="7"/>
  <c r="BF235" i="7"/>
  <c r="BE235" i="7"/>
  <c r="BD235" i="7"/>
  <c r="BC235" i="7"/>
  <c r="BB235" i="7"/>
  <c r="BA235" i="7"/>
  <c r="AZ235" i="7"/>
  <c r="AW235" i="7"/>
  <c r="AV235" i="7"/>
  <c r="AU235" i="7"/>
  <c r="AT235" i="7"/>
  <c r="AS235" i="7"/>
  <c r="AR235" i="7"/>
  <c r="AQ235" i="7"/>
  <c r="AP235" i="7"/>
  <c r="BJ231" i="7"/>
  <c r="BM231" i="7" s="1"/>
  <c r="BI231" i="7"/>
  <c r="BH231" i="7"/>
  <c r="BG231" i="7"/>
  <c r="BF231" i="7"/>
  <c r="BE231" i="7"/>
  <c r="BD231" i="7"/>
  <c r="BC231" i="7"/>
  <c r="BB231" i="7"/>
  <c r="BA231" i="7"/>
  <c r="AZ231" i="7"/>
  <c r="AY231" i="7"/>
  <c r="BL231" i="7" s="1"/>
  <c r="AW231" i="7"/>
  <c r="AV231" i="7"/>
  <c r="AU231" i="7"/>
  <c r="AT231" i="7"/>
  <c r="AS231" i="7"/>
  <c r="AR231" i="7"/>
  <c r="AQ231" i="7"/>
  <c r="AP231" i="7"/>
  <c r="BJ230" i="7"/>
  <c r="BM230" i="7" s="1"/>
  <c r="BI230" i="7"/>
  <c r="BH230" i="7"/>
  <c r="BG230" i="7"/>
  <c r="BF230" i="7"/>
  <c r="BE230" i="7"/>
  <c r="BD230" i="7"/>
  <c r="BC230" i="7"/>
  <c r="BB230" i="7"/>
  <c r="BA230" i="7"/>
  <c r="AZ230" i="7"/>
  <c r="AY230" i="7"/>
  <c r="BL230" i="7" s="1"/>
  <c r="AW230" i="7"/>
  <c r="AV230" i="7"/>
  <c r="AU230" i="7"/>
  <c r="AT230" i="7"/>
  <c r="AS230" i="7"/>
  <c r="AR230" i="7"/>
  <c r="AQ230" i="7"/>
  <c r="AP230" i="7"/>
  <c r="BJ229" i="7"/>
  <c r="BM229" i="7" s="1"/>
  <c r="BI229" i="7"/>
  <c r="BH229" i="7"/>
  <c r="BG229" i="7"/>
  <c r="BF229" i="7"/>
  <c r="BE229" i="7"/>
  <c r="BD229" i="7"/>
  <c r="BC229" i="7"/>
  <c r="BB229" i="7"/>
  <c r="BA229" i="7"/>
  <c r="AZ229" i="7"/>
  <c r="AY229" i="7"/>
  <c r="BL229" i="7" s="1"/>
  <c r="AW229" i="7"/>
  <c r="AV229" i="7"/>
  <c r="AU229" i="7"/>
  <c r="AT229" i="7"/>
  <c r="AS229" i="7"/>
  <c r="AR229" i="7"/>
  <c r="AQ229" i="7"/>
  <c r="AP229" i="7"/>
  <c r="BJ228" i="7"/>
  <c r="BI228" i="7"/>
  <c r="BH228" i="7"/>
  <c r="BG228" i="7"/>
  <c r="BF228" i="7"/>
  <c r="BE228" i="7"/>
  <c r="BD228" i="7"/>
  <c r="BC228" i="7"/>
  <c r="BB228" i="7"/>
  <c r="BA228" i="7"/>
  <c r="AZ228" i="7"/>
  <c r="AY228" i="7"/>
  <c r="BL228" i="7" s="1"/>
  <c r="AW228" i="7"/>
  <c r="AV228" i="7"/>
  <c r="AU228" i="7"/>
  <c r="AT228" i="7"/>
  <c r="AS228" i="7"/>
  <c r="AR228" i="7"/>
  <c r="AQ228" i="7"/>
  <c r="AP228" i="7"/>
  <c r="BJ227" i="7"/>
  <c r="BM227" i="7" s="1"/>
  <c r="BI227" i="7"/>
  <c r="BH227" i="7"/>
  <c r="BG227" i="7"/>
  <c r="BF227" i="7"/>
  <c r="BE227" i="7"/>
  <c r="BD227" i="7"/>
  <c r="BC227" i="7"/>
  <c r="BB227" i="7"/>
  <c r="BA227" i="7"/>
  <c r="AZ227" i="7"/>
  <c r="AY227" i="7"/>
  <c r="BL227" i="7" s="1"/>
  <c r="AW227" i="7"/>
  <c r="AV227" i="7"/>
  <c r="AU227" i="7"/>
  <c r="AT227" i="7"/>
  <c r="AS227" i="7"/>
  <c r="AR227" i="7"/>
  <c r="AQ227" i="7"/>
  <c r="AP227" i="7"/>
  <c r="BJ226" i="7"/>
  <c r="BM226" i="7" s="1"/>
  <c r="BI226" i="7"/>
  <c r="BH226" i="7"/>
  <c r="BG226" i="7"/>
  <c r="BF226" i="7"/>
  <c r="BE226" i="7"/>
  <c r="BD226" i="7"/>
  <c r="BC226" i="7"/>
  <c r="BB226" i="7"/>
  <c r="BA226" i="7"/>
  <c r="AZ226" i="7"/>
  <c r="AY226" i="7"/>
  <c r="BL226" i="7" s="1"/>
  <c r="AW226" i="7"/>
  <c r="AV226" i="7"/>
  <c r="AU226" i="7"/>
  <c r="AT226" i="7"/>
  <c r="AS226" i="7"/>
  <c r="AR226" i="7"/>
  <c r="AQ226" i="7"/>
  <c r="AP226" i="7"/>
  <c r="BJ225" i="7"/>
  <c r="BM225" i="7" s="1"/>
  <c r="BI225" i="7"/>
  <c r="BH225" i="7"/>
  <c r="BG225" i="7"/>
  <c r="BF225" i="7"/>
  <c r="BE225" i="7"/>
  <c r="BD225" i="7"/>
  <c r="BC225" i="7"/>
  <c r="BB225" i="7"/>
  <c r="BA225" i="7"/>
  <c r="AZ225" i="7"/>
  <c r="AY225" i="7"/>
  <c r="AW225" i="7"/>
  <c r="AV225" i="7"/>
  <c r="AU225" i="7"/>
  <c r="AT225" i="7"/>
  <c r="AS225" i="7"/>
  <c r="AR225" i="7"/>
  <c r="AQ225" i="7"/>
  <c r="AP225" i="7"/>
  <c r="BJ224" i="7"/>
  <c r="BM224" i="7" s="1"/>
  <c r="BI224" i="7"/>
  <c r="BH224" i="7"/>
  <c r="BG224" i="7"/>
  <c r="BF224" i="7"/>
  <c r="BE224" i="7"/>
  <c r="BD224" i="7"/>
  <c r="BC224" i="7"/>
  <c r="BB224" i="7"/>
  <c r="BA224" i="7"/>
  <c r="AZ224" i="7"/>
  <c r="AY224" i="7"/>
  <c r="AW224" i="7"/>
  <c r="AV224" i="7"/>
  <c r="AU224" i="7"/>
  <c r="AT224" i="7"/>
  <c r="AS224" i="7"/>
  <c r="AR224" i="7"/>
  <c r="AQ224" i="7"/>
  <c r="AP224" i="7"/>
  <c r="BJ223" i="7"/>
  <c r="BM223" i="7" s="1"/>
  <c r="BI223" i="7"/>
  <c r="BH223" i="7"/>
  <c r="BG223" i="7"/>
  <c r="BF223" i="7"/>
  <c r="BE223" i="7"/>
  <c r="BD223" i="7"/>
  <c r="BC223" i="7"/>
  <c r="BB223" i="7"/>
  <c r="BA223" i="7"/>
  <c r="AZ223" i="7"/>
  <c r="AY223" i="7"/>
  <c r="BL223" i="7" s="1"/>
  <c r="AW223" i="7"/>
  <c r="AV223" i="7"/>
  <c r="AU223" i="7"/>
  <c r="AT223" i="7"/>
  <c r="AS223" i="7"/>
  <c r="AR223" i="7"/>
  <c r="AQ223" i="7"/>
  <c r="AP223" i="7"/>
  <c r="BJ222" i="7"/>
  <c r="BM222" i="7" s="1"/>
  <c r="BI222" i="7"/>
  <c r="BH222" i="7"/>
  <c r="BG222" i="7"/>
  <c r="BF222" i="7"/>
  <c r="BE222" i="7"/>
  <c r="BD222" i="7"/>
  <c r="BC222" i="7"/>
  <c r="BB222" i="7"/>
  <c r="BA222" i="7"/>
  <c r="AZ222" i="7"/>
  <c r="AW222" i="7"/>
  <c r="AV222" i="7"/>
  <c r="AU222" i="7"/>
  <c r="AT222" i="7"/>
  <c r="AS222" i="7"/>
  <c r="AR222" i="7"/>
  <c r="AQ222" i="7"/>
  <c r="AP222" i="7"/>
  <c r="BJ221" i="7"/>
  <c r="BI221" i="7"/>
  <c r="BH221" i="7"/>
  <c r="BG221" i="7"/>
  <c r="BF221" i="7"/>
  <c r="BE221" i="7"/>
  <c r="BD221" i="7"/>
  <c r="BC221" i="7"/>
  <c r="BB221" i="7"/>
  <c r="BA221" i="7"/>
  <c r="AZ221" i="7"/>
  <c r="AY221" i="7"/>
  <c r="BL221" i="7" s="1"/>
  <c r="AW221" i="7"/>
  <c r="AV221" i="7"/>
  <c r="AU221" i="7"/>
  <c r="AT221" i="7"/>
  <c r="AS221" i="7"/>
  <c r="AR221" i="7"/>
  <c r="AQ221" i="7"/>
  <c r="AP221" i="7"/>
  <c r="BJ220" i="7"/>
  <c r="BI220" i="7"/>
  <c r="BH220" i="7"/>
  <c r="BG220" i="7"/>
  <c r="BF220" i="7"/>
  <c r="BE220" i="7"/>
  <c r="BD220" i="7"/>
  <c r="BC220" i="7"/>
  <c r="BB220" i="7"/>
  <c r="BA220" i="7"/>
  <c r="AZ220" i="7"/>
  <c r="AY220" i="7"/>
  <c r="BL220" i="7" s="1"/>
  <c r="AW220" i="7"/>
  <c r="AV220" i="7"/>
  <c r="AU220" i="7"/>
  <c r="AT220" i="7"/>
  <c r="AS220" i="7"/>
  <c r="AR220" i="7"/>
  <c r="AQ220" i="7"/>
  <c r="AP220" i="7"/>
  <c r="BJ219" i="7"/>
  <c r="BM219" i="7" s="1"/>
  <c r="BI219" i="7"/>
  <c r="BH219" i="7"/>
  <c r="BG219" i="7"/>
  <c r="BF219" i="7"/>
  <c r="BE219" i="7"/>
  <c r="BD219" i="7"/>
  <c r="BC219" i="7"/>
  <c r="BB219" i="7"/>
  <c r="BA219" i="7"/>
  <c r="AZ219" i="7"/>
  <c r="AY219" i="7"/>
  <c r="BL219" i="7" s="1"/>
  <c r="AW219" i="7"/>
  <c r="AV219" i="7"/>
  <c r="AU219" i="7"/>
  <c r="AT219" i="7"/>
  <c r="AS219" i="7"/>
  <c r="AR219" i="7"/>
  <c r="AQ219" i="7"/>
  <c r="AP219" i="7"/>
  <c r="BJ218" i="7"/>
  <c r="BM218" i="7" s="1"/>
  <c r="BI218" i="7"/>
  <c r="BH218" i="7"/>
  <c r="BG218" i="7"/>
  <c r="BF218" i="7"/>
  <c r="BE218" i="7"/>
  <c r="BD218" i="7"/>
  <c r="BC218" i="7"/>
  <c r="BB218" i="7"/>
  <c r="BA218" i="7"/>
  <c r="AZ218" i="7"/>
  <c r="AY218" i="7"/>
  <c r="BL218" i="7" s="1"/>
  <c r="AW218" i="7"/>
  <c r="AV218" i="7"/>
  <c r="AU218" i="7"/>
  <c r="AT218" i="7"/>
  <c r="AS218" i="7"/>
  <c r="AR218" i="7"/>
  <c r="AQ218" i="7"/>
  <c r="AP218" i="7"/>
  <c r="BJ217" i="7"/>
  <c r="BM217" i="7" s="1"/>
  <c r="BI217" i="7"/>
  <c r="BH217" i="7"/>
  <c r="BG217" i="7"/>
  <c r="BF217" i="7"/>
  <c r="BE217" i="7"/>
  <c r="BD217" i="7"/>
  <c r="BC217" i="7"/>
  <c r="BB217" i="7"/>
  <c r="BA217" i="7"/>
  <c r="AZ217" i="7"/>
  <c r="AW217" i="7"/>
  <c r="AV217" i="7"/>
  <c r="AU217" i="7"/>
  <c r="AT217" i="7"/>
  <c r="AS217" i="7"/>
  <c r="AR217" i="7"/>
  <c r="AQ217" i="7"/>
  <c r="AP217" i="7"/>
  <c r="BJ216" i="7"/>
  <c r="BM216" i="7" s="1"/>
  <c r="BI216" i="7"/>
  <c r="BH216" i="7"/>
  <c r="BG216" i="7"/>
  <c r="BF216" i="7"/>
  <c r="BE216" i="7"/>
  <c r="BD216" i="7"/>
  <c r="BC216" i="7"/>
  <c r="BB216" i="7"/>
  <c r="BA216" i="7"/>
  <c r="AZ216" i="7"/>
  <c r="AW216" i="7"/>
  <c r="AV216" i="7"/>
  <c r="AU216" i="7"/>
  <c r="AT216" i="7"/>
  <c r="AS216" i="7"/>
  <c r="AR216" i="7"/>
  <c r="AQ216" i="7"/>
  <c r="AP216" i="7"/>
  <c r="BJ214" i="7"/>
  <c r="BM214" i="7" s="1"/>
  <c r="BI214" i="7"/>
  <c r="BH214" i="7"/>
  <c r="BG214" i="7"/>
  <c r="BF214" i="7"/>
  <c r="BE214" i="7"/>
  <c r="BD214" i="7"/>
  <c r="BC214" i="7"/>
  <c r="BB214" i="7"/>
  <c r="BA214" i="7"/>
  <c r="AZ214" i="7"/>
  <c r="AY214" i="7"/>
  <c r="BL214" i="7" s="1"/>
  <c r="AW214" i="7"/>
  <c r="AV214" i="7"/>
  <c r="AU214" i="7"/>
  <c r="AT214" i="7"/>
  <c r="AS214" i="7"/>
  <c r="AR214" i="7"/>
  <c r="AQ214" i="7"/>
  <c r="AP214" i="7"/>
  <c r="BJ213" i="7"/>
  <c r="BM213" i="7" s="1"/>
  <c r="BI213" i="7"/>
  <c r="BH213" i="7"/>
  <c r="BG213" i="7"/>
  <c r="BF213" i="7"/>
  <c r="BE213" i="7"/>
  <c r="BD213" i="7"/>
  <c r="BC213" i="7"/>
  <c r="BB213" i="7"/>
  <c r="BA213" i="7"/>
  <c r="AZ213" i="7"/>
  <c r="AW213" i="7"/>
  <c r="AV213" i="7"/>
  <c r="AU213" i="7"/>
  <c r="AT213" i="7"/>
  <c r="AS213" i="7"/>
  <c r="AR213" i="7"/>
  <c r="AQ213" i="7"/>
  <c r="AP213" i="7"/>
  <c r="BJ212" i="7"/>
  <c r="BI212" i="7"/>
  <c r="BH212" i="7"/>
  <c r="BG212" i="7"/>
  <c r="BF212" i="7"/>
  <c r="BE212" i="7"/>
  <c r="BD212" i="7"/>
  <c r="BC212" i="7"/>
  <c r="BB212" i="7"/>
  <c r="BA212" i="7"/>
  <c r="AZ212" i="7"/>
  <c r="AY212" i="7"/>
  <c r="BL212" i="7" s="1"/>
  <c r="AW212" i="7"/>
  <c r="AV212" i="7"/>
  <c r="AU212" i="7"/>
  <c r="AT212" i="7"/>
  <c r="AS212" i="7"/>
  <c r="AR212" i="7"/>
  <c r="AQ212" i="7"/>
  <c r="AP212" i="7"/>
  <c r="BJ210" i="7"/>
  <c r="BI210" i="7"/>
  <c r="BH210" i="7"/>
  <c r="BG210" i="7"/>
  <c r="BF210" i="7"/>
  <c r="BE210" i="7"/>
  <c r="BD210" i="7"/>
  <c r="BC210" i="7"/>
  <c r="BB210" i="7"/>
  <c r="BA210" i="7"/>
  <c r="AZ210" i="7"/>
  <c r="AY210" i="7"/>
  <c r="BL210" i="7" s="1"/>
  <c r="AW210" i="7"/>
  <c r="AV210" i="7"/>
  <c r="AU210" i="7"/>
  <c r="AT210" i="7"/>
  <c r="AS210" i="7"/>
  <c r="AR210" i="7"/>
  <c r="AQ210" i="7"/>
  <c r="AP210" i="7"/>
  <c r="BJ208" i="7"/>
  <c r="BM208" i="7" s="1"/>
  <c r="BI208" i="7"/>
  <c r="BH208" i="7"/>
  <c r="BG208" i="7"/>
  <c r="BF208" i="7"/>
  <c r="BE208" i="7"/>
  <c r="BD208" i="7"/>
  <c r="BC208" i="7"/>
  <c r="BB208" i="7"/>
  <c r="BA208" i="7"/>
  <c r="AZ208" i="7"/>
  <c r="AX208" i="7"/>
  <c r="BK208" i="7" s="1"/>
  <c r="AW208" i="7"/>
  <c r="AV208" i="7"/>
  <c r="AU208" i="7"/>
  <c r="AT208" i="7"/>
  <c r="AS208" i="7"/>
  <c r="AR208" i="7"/>
  <c r="AQ208" i="7"/>
  <c r="AP208" i="7"/>
  <c r="BJ206" i="7"/>
  <c r="BM206" i="7" s="1"/>
  <c r="BI206" i="7"/>
  <c r="BH206" i="7"/>
  <c r="BG206" i="7"/>
  <c r="BF206" i="7"/>
  <c r="BE206" i="7"/>
  <c r="BD206" i="7"/>
  <c r="BC206" i="7"/>
  <c r="BB206" i="7"/>
  <c r="BA206" i="7"/>
  <c r="AZ206" i="7"/>
  <c r="AW206" i="7"/>
  <c r="AV206" i="7"/>
  <c r="AU206" i="7"/>
  <c r="AT206" i="7"/>
  <c r="AS206" i="7"/>
  <c r="AR206" i="7"/>
  <c r="AQ206" i="7"/>
  <c r="AP206" i="7"/>
  <c r="BJ205" i="7"/>
  <c r="BM205" i="7" s="1"/>
  <c r="BI205" i="7"/>
  <c r="BH205" i="7"/>
  <c r="BG205" i="7"/>
  <c r="BF205" i="7"/>
  <c r="BE205" i="7"/>
  <c r="BD205" i="7"/>
  <c r="BC205" i="7"/>
  <c r="BB205" i="7"/>
  <c r="BA205" i="7"/>
  <c r="AZ205" i="7"/>
  <c r="AW205" i="7"/>
  <c r="AV205" i="7"/>
  <c r="AU205" i="7"/>
  <c r="AT205" i="7"/>
  <c r="AS205" i="7"/>
  <c r="AR205" i="7"/>
  <c r="AQ205" i="7"/>
  <c r="AP205" i="7"/>
  <c r="BJ204" i="7"/>
  <c r="BM204" i="7" s="1"/>
  <c r="BI204" i="7"/>
  <c r="BH204" i="7"/>
  <c r="BG204" i="7"/>
  <c r="BF204" i="7"/>
  <c r="BE204" i="7"/>
  <c r="BD204" i="7"/>
  <c r="BC204" i="7"/>
  <c r="BB204" i="7"/>
  <c r="BA204" i="7"/>
  <c r="AZ204" i="7"/>
  <c r="AY204" i="7"/>
  <c r="BL204" i="7" s="1"/>
  <c r="AW204" i="7"/>
  <c r="AV204" i="7"/>
  <c r="AU204" i="7"/>
  <c r="AT204" i="7"/>
  <c r="AS204" i="7"/>
  <c r="AR204" i="7"/>
  <c r="AQ204" i="7"/>
  <c r="AP204" i="7"/>
  <c r="BJ203" i="7"/>
  <c r="BM203" i="7" s="1"/>
  <c r="BI203" i="7"/>
  <c r="BH203" i="7"/>
  <c r="BG203" i="7"/>
  <c r="BF203" i="7"/>
  <c r="BE203" i="7"/>
  <c r="BD203" i="7"/>
  <c r="BC203" i="7"/>
  <c r="BB203" i="7"/>
  <c r="BA203" i="7"/>
  <c r="AZ203" i="7"/>
  <c r="AW203" i="7"/>
  <c r="AV203" i="7"/>
  <c r="AU203" i="7"/>
  <c r="AT203" i="7"/>
  <c r="AS203" i="7"/>
  <c r="AR203" i="7"/>
  <c r="AQ203" i="7"/>
  <c r="AP203" i="7"/>
  <c r="BJ202" i="7"/>
  <c r="BM202" i="7" s="1"/>
  <c r="BI202" i="7"/>
  <c r="BH202" i="7"/>
  <c r="BG202" i="7"/>
  <c r="BF202" i="7"/>
  <c r="BE202" i="7"/>
  <c r="BD202" i="7"/>
  <c r="BC202" i="7"/>
  <c r="BB202" i="7"/>
  <c r="BA202" i="7"/>
  <c r="AZ202" i="7"/>
  <c r="AY202" i="7"/>
  <c r="BL202" i="7" s="1"/>
  <c r="AX202" i="7"/>
  <c r="BK202" i="7" s="1"/>
  <c r="AW202" i="7"/>
  <c r="AV202" i="7"/>
  <c r="AU202" i="7"/>
  <c r="AT202" i="7"/>
  <c r="AS202" i="7"/>
  <c r="AR202" i="7"/>
  <c r="AQ202" i="7"/>
  <c r="AP202" i="7"/>
  <c r="BJ201" i="7"/>
  <c r="BI201" i="7"/>
  <c r="BH201" i="7"/>
  <c r="BG201" i="7"/>
  <c r="BF201" i="7"/>
  <c r="BE201" i="7"/>
  <c r="BD201" i="7"/>
  <c r="BC201" i="7"/>
  <c r="BB201" i="7"/>
  <c r="BA201" i="7"/>
  <c r="AZ201" i="7"/>
  <c r="AY201" i="7"/>
  <c r="BL201" i="7" s="1"/>
  <c r="AW201" i="7"/>
  <c r="AV201" i="7"/>
  <c r="AU201" i="7"/>
  <c r="AT201" i="7"/>
  <c r="AS201" i="7"/>
  <c r="AR201" i="7"/>
  <c r="AQ201" i="7"/>
  <c r="AP201" i="7"/>
  <c r="BJ200" i="7"/>
  <c r="BI200" i="7"/>
  <c r="BH200" i="7"/>
  <c r="BG200" i="7"/>
  <c r="BF200" i="7"/>
  <c r="BE200" i="7"/>
  <c r="BD200" i="7"/>
  <c r="BC200" i="7"/>
  <c r="BB200" i="7"/>
  <c r="BA200" i="7"/>
  <c r="AZ200" i="7"/>
  <c r="AW200" i="7"/>
  <c r="AV200" i="7"/>
  <c r="AU200" i="7"/>
  <c r="AT200" i="7"/>
  <c r="AS200" i="7"/>
  <c r="AR200" i="7"/>
  <c r="AQ200" i="7"/>
  <c r="AP200" i="7"/>
  <c r="BJ199" i="7"/>
  <c r="BM199" i="7" s="1"/>
  <c r="BI199" i="7"/>
  <c r="BH199" i="7"/>
  <c r="BG199" i="7"/>
  <c r="BF199" i="7"/>
  <c r="BE199" i="7"/>
  <c r="BD199" i="7"/>
  <c r="BC199" i="7"/>
  <c r="BB199" i="7"/>
  <c r="BA199" i="7"/>
  <c r="AZ199" i="7"/>
  <c r="AY199" i="7"/>
  <c r="BL199" i="7" s="1"/>
  <c r="AW199" i="7"/>
  <c r="AV199" i="7"/>
  <c r="AU199" i="7"/>
  <c r="AT199" i="7"/>
  <c r="AS199" i="7"/>
  <c r="AR199" i="7"/>
  <c r="AQ199" i="7"/>
  <c r="AP199" i="7"/>
  <c r="BJ198" i="7"/>
  <c r="BM198" i="7" s="1"/>
  <c r="BI198" i="7"/>
  <c r="BH198" i="7"/>
  <c r="BG198" i="7"/>
  <c r="BF198" i="7"/>
  <c r="BE198" i="7"/>
  <c r="BD198" i="7"/>
  <c r="BC198" i="7"/>
  <c r="BB198" i="7"/>
  <c r="BA198" i="7"/>
  <c r="AZ198" i="7"/>
  <c r="AW198" i="7"/>
  <c r="AV198" i="7"/>
  <c r="AU198" i="7"/>
  <c r="AT198" i="7"/>
  <c r="AS198" i="7"/>
  <c r="AR198" i="7"/>
  <c r="AQ198" i="7"/>
  <c r="AP198" i="7"/>
  <c r="BJ197" i="7"/>
  <c r="BM197" i="7" s="1"/>
  <c r="BI197" i="7"/>
  <c r="BH197" i="7"/>
  <c r="BG197" i="7"/>
  <c r="BF197" i="7"/>
  <c r="BE197" i="7"/>
  <c r="BD197" i="7"/>
  <c r="BC197" i="7"/>
  <c r="BB197" i="7"/>
  <c r="BA197" i="7"/>
  <c r="AZ197" i="7"/>
  <c r="AY197" i="7"/>
  <c r="AX197" i="7"/>
  <c r="BK197" i="7" s="1"/>
  <c r="AW197" i="7"/>
  <c r="AV197" i="7"/>
  <c r="AU197" i="7"/>
  <c r="AT197" i="7"/>
  <c r="AS197" i="7"/>
  <c r="AR197" i="7"/>
  <c r="AQ197" i="7"/>
  <c r="AP197" i="7"/>
  <c r="BJ196" i="7"/>
  <c r="BM196" i="7" s="1"/>
  <c r="BI196" i="7"/>
  <c r="BH196" i="7"/>
  <c r="BG196" i="7"/>
  <c r="BF196" i="7"/>
  <c r="BE196" i="7"/>
  <c r="BD196" i="7"/>
  <c r="BC196" i="7"/>
  <c r="BB196" i="7"/>
  <c r="BA196" i="7"/>
  <c r="AZ196" i="7"/>
  <c r="AY196" i="7"/>
  <c r="AX196" i="7"/>
  <c r="BK196" i="7" s="1"/>
  <c r="AW196" i="7"/>
  <c r="AV196" i="7"/>
  <c r="AU196" i="7"/>
  <c r="AT196" i="7"/>
  <c r="AS196" i="7"/>
  <c r="AR196" i="7"/>
  <c r="AQ196" i="7"/>
  <c r="AP196" i="7"/>
  <c r="BJ195" i="7"/>
  <c r="BM195" i="7" s="1"/>
  <c r="BI195" i="7"/>
  <c r="BH195" i="7"/>
  <c r="BG195" i="7"/>
  <c r="BF195" i="7"/>
  <c r="BE195" i="7"/>
  <c r="BD195" i="7"/>
  <c r="BC195" i="7"/>
  <c r="BB195" i="7"/>
  <c r="BA195" i="7"/>
  <c r="AZ195" i="7"/>
  <c r="AY195" i="7"/>
  <c r="BL195" i="7" s="1"/>
  <c r="AW195" i="7"/>
  <c r="AV195" i="7"/>
  <c r="AU195" i="7"/>
  <c r="AT195" i="7"/>
  <c r="AS195" i="7"/>
  <c r="AR195" i="7"/>
  <c r="AQ195" i="7"/>
  <c r="AP195" i="7"/>
  <c r="BJ194" i="7"/>
  <c r="BM194" i="7" s="1"/>
  <c r="BI194" i="7"/>
  <c r="BH194" i="7"/>
  <c r="BG194" i="7"/>
  <c r="BF194" i="7"/>
  <c r="BE194" i="7"/>
  <c r="BD194" i="7"/>
  <c r="BC194" i="7"/>
  <c r="BB194" i="7"/>
  <c r="BA194" i="7"/>
  <c r="AZ194" i="7"/>
  <c r="AW194" i="7"/>
  <c r="AV194" i="7"/>
  <c r="AU194" i="7"/>
  <c r="AT194" i="7"/>
  <c r="AS194" i="7"/>
  <c r="AR194" i="7"/>
  <c r="AQ194" i="7"/>
  <c r="AP194" i="7"/>
  <c r="BJ192" i="7"/>
  <c r="BM192" i="7" s="1"/>
  <c r="BI192" i="7"/>
  <c r="BH192" i="7"/>
  <c r="BG192" i="7"/>
  <c r="BF192" i="7"/>
  <c r="BE192" i="7"/>
  <c r="BD192" i="7"/>
  <c r="BC192" i="7"/>
  <c r="BB192" i="7"/>
  <c r="BA192" i="7"/>
  <c r="AZ192" i="7"/>
  <c r="AY192" i="7"/>
  <c r="BL192" i="7" s="1"/>
  <c r="AX192" i="7"/>
  <c r="AW192" i="7"/>
  <c r="AV192" i="7"/>
  <c r="AU192" i="7"/>
  <c r="AT192" i="7"/>
  <c r="AS192" i="7"/>
  <c r="AR192" i="7"/>
  <c r="AQ192" i="7"/>
  <c r="AP192" i="7"/>
  <c r="BJ191" i="7"/>
  <c r="BI191" i="7"/>
  <c r="BH191" i="7"/>
  <c r="BG191" i="7"/>
  <c r="BF191" i="7"/>
  <c r="BE191" i="7"/>
  <c r="BD191" i="7"/>
  <c r="BC191" i="7"/>
  <c r="BB191" i="7"/>
  <c r="BA191" i="7"/>
  <c r="AZ191" i="7"/>
  <c r="AY191" i="7"/>
  <c r="BL191" i="7" s="1"/>
  <c r="AX191" i="7"/>
  <c r="AW191" i="7"/>
  <c r="AV191" i="7"/>
  <c r="AU191" i="7"/>
  <c r="AT191" i="7"/>
  <c r="AS191" i="7"/>
  <c r="AR191" i="7"/>
  <c r="AQ191" i="7"/>
  <c r="AP191" i="7"/>
  <c r="BJ190" i="7"/>
  <c r="BM190" i="7" s="1"/>
  <c r="BI190" i="7"/>
  <c r="BH190" i="7"/>
  <c r="BG190" i="7"/>
  <c r="BF190" i="7"/>
  <c r="BE190" i="7"/>
  <c r="BD190" i="7"/>
  <c r="BC190" i="7"/>
  <c r="BB190" i="7"/>
  <c r="BA190" i="7"/>
  <c r="AZ190" i="7"/>
  <c r="AX190" i="7"/>
  <c r="BK190" i="7" s="1"/>
  <c r="AW190" i="7"/>
  <c r="AV190" i="7"/>
  <c r="AU190" i="7"/>
  <c r="AT190" i="7"/>
  <c r="AS190" i="7"/>
  <c r="AR190" i="7"/>
  <c r="AQ190" i="7"/>
  <c r="AP190" i="7"/>
  <c r="BJ189" i="7"/>
  <c r="BM189" i="7" s="1"/>
  <c r="BI189" i="7"/>
  <c r="BH189" i="7"/>
  <c r="BG189" i="7"/>
  <c r="BF189" i="7"/>
  <c r="BE189" i="7"/>
  <c r="BD189" i="7"/>
  <c r="BC189" i="7"/>
  <c r="BB189" i="7"/>
  <c r="BA189" i="7"/>
  <c r="AZ189" i="7"/>
  <c r="AW189" i="7"/>
  <c r="AV189" i="7"/>
  <c r="AU189" i="7"/>
  <c r="AT189" i="7"/>
  <c r="AS189" i="7"/>
  <c r="AR189" i="7"/>
  <c r="AQ189" i="7"/>
  <c r="AP189" i="7"/>
  <c r="BJ188" i="7"/>
  <c r="BM188" i="7" s="1"/>
  <c r="BI188" i="7"/>
  <c r="BH188" i="7"/>
  <c r="BG188" i="7"/>
  <c r="BF188" i="7"/>
  <c r="BE188" i="7"/>
  <c r="BD188" i="7"/>
  <c r="BC188" i="7"/>
  <c r="BB188" i="7"/>
  <c r="BA188" i="7"/>
  <c r="AZ188" i="7"/>
  <c r="AY188" i="7"/>
  <c r="AX188" i="7"/>
  <c r="BK188" i="7" s="1"/>
  <c r="AW188" i="7"/>
  <c r="AV188" i="7"/>
  <c r="AU188" i="7"/>
  <c r="AT188" i="7"/>
  <c r="AS188" i="7"/>
  <c r="AR188" i="7"/>
  <c r="AQ188" i="7"/>
  <c r="AP188" i="7"/>
  <c r="BJ187" i="7"/>
  <c r="BM187" i="7" s="1"/>
  <c r="BI187" i="7"/>
  <c r="BH187" i="7"/>
  <c r="BG187" i="7"/>
  <c r="BF187" i="7"/>
  <c r="BE187" i="7"/>
  <c r="BD187" i="7"/>
  <c r="BC187" i="7"/>
  <c r="BB187" i="7"/>
  <c r="BA187" i="7"/>
  <c r="AZ187" i="7"/>
  <c r="AX187" i="7"/>
  <c r="BK187" i="7" s="1"/>
  <c r="AW187" i="7"/>
  <c r="AV187" i="7"/>
  <c r="AU187" i="7"/>
  <c r="AT187" i="7"/>
  <c r="AS187" i="7"/>
  <c r="AR187" i="7"/>
  <c r="AQ187" i="7"/>
  <c r="AP187" i="7"/>
  <c r="BJ186" i="7"/>
  <c r="BM186" i="7" s="1"/>
  <c r="BI186" i="7"/>
  <c r="BH186" i="7"/>
  <c r="BG186" i="7"/>
  <c r="BF186" i="7"/>
  <c r="BE186" i="7"/>
  <c r="BD186" i="7"/>
  <c r="BC186" i="7"/>
  <c r="BB186" i="7"/>
  <c r="BA186" i="7"/>
  <c r="AZ186" i="7"/>
  <c r="AW186" i="7"/>
  <c r="AV186" i="7"/>
  <c r="AU186" i="7"/>
  <c r="AT186" i="7"/>
  <c r="AS186" i="7"/>
  <c r="AR186" i="7"/>
  <c r="AQ186" i="7"/>
  <c r="AP186" i="7"/>
  <c r="BJ185" i="7"/>
  <c r="BM185" i="7" s="1"/>
  <c r="BI185" i="7"/>
  <c r="BH185" i="7"/>
  <c r="BG185" i="7"/>
  <c r="BF185" i="7"/>
  <c r="BE185" i="7"/>
  <c r="BD185" i="7"/>
  <c r="BC185" i="7"/>
  <c r="BB185" i="7"/>
  <c r="BA185" i="7"/>
  <c r="AZ185" i="7"/>
  <c r="AY185" i="7"/>
  <c r="BL185" i="7" s="1"/>
  <c r="AW185" i="7"/>
  <c r="AV185" i="7"/>
  <c r="AU185" i="7"/>
  <c r="AT185" i="7"/>
  <c r="AS185" i="7"/>
  <c r="AR185" i="7"/>
  <c r="AQ185" i="7"/>
  <c r="AP185" i="7"/>
  <c r="BJ184" i="7"/>
  <c r="BI184" i="7"/>
  <c r="BH184" i="7"/>
  <c r="BG184" i="7"/>
  <c r="BF184" i="7"/>
  <c r="BE184" i="7"/>
  <c r="BD184" i="7"/>
  <c r="BC184" i="7"/>
  <c r="BB184" i="7"/>
  <c r="BA184" i="7"/>
  <c r="AZ184" i="7"/>
  <c r="AY184" i="7"/>
  <c r="BL184" i="7" s="1"/>
  <c r="AX184" i="7"/>
  <c r="AW184" i="7"/>
  <c r="AV184" i="7"/>
  <c r="AU184" i="7"/>
  <c r="AT184" i="7"/>
  <c r="AS184" i="7"/>
  <c r="AR184" i="7"/>
  <c r="AQ184" i="7"/>
  <c r="AP184" i="7"/>
  <c r="BJ183" i="7"/>
  <c r="BI183" i="7"/>
  <c r="BH183" i="7"/>
  <c r="BG183" i="7"/>
  <c r="BF183" i="7"/>
  <c r="BE183" i="7"/>
  <c r="BD183" i="7"/>
  <c r="BC183" i="7"/>
  <c r="BB183" i="7"/>
  <c r="BA183" i="7"/>
  <c r="AZ183" i="7"/>
  <c r="AY183" i="7"/>
  <c r="BL183" i="7" s="1"/>
  <c r="AW183" i="7"/>
  <c r="AV183" i="7"/>
  <c r="AU183" i="7"/>
  <c r="AT183" i="7"/>
  <c r="AS183" i="7"/>
  <c r="AR183" i="7"/>
  <c r="AQ183" i="7"/>
  <c r="AP183" i="7"/>
  <c r="BJ182" i="7"/>
  <c r="BM182" i="7" s="1"/>
  <c r="BI182" i="7"/>
  <c r="BH182" i="7"/>
  <c r="BG182" i="7"/>
  <c r="BF182" i="7"/>
  <c r="BE182" i="7"/>
  <c r="BD182" i="7"/>
  <c r="BC182" i="7"/>
  <c r="BB182" i="7"/>
  <c r="BA182" i="7"/>
  <c r="AZ182" i="7"/>
  <c r="AY182" i="7"/>
  <c r="BL182" i="7" s="1"/>
  <c r="AX182" i="7"/>
  <c r="BK182" i="7" s="1"/>
  <c r="AW182" i="7"/>
  <c r="AV182" i="7"/>
  <c r="AU182" i="7"/>
  <c r="AT182" i="7"/>
  <c r="AS182" i="7"/>
  <c r="AR182" i="7"/>
  <c r="AQ182" i="7"/>
  <c r="AP182" i="7"/>
  <c r="BJ181" i="7"/>
  <c r="BM181" i="7" s="1"/>
  <c r="BI181" i="7"/>
  <c r="BH181" i="7"/>
  <c r="BG181" i="7"/>
  <c r="BF181" i="7"/>
  <c r="BE181" i="7"/>
  <c r="BD181" i="7"/>
  <c r="BC181" i="7"/>
  <c r="BB181" i="7"/>
  <c r="BA181" i="7"/>
  <c r="AZ181" i="7"/>
  <c r="AW181" i="7"/>
  <c r="AV181" i="7"/>
  <c r="AU181" i="7"/>
  <c r="AT181" i="7"/>
  <c r="AS181" i="7"/>
  <c r="AR181" i="7"/>
  <c r="AQ181" i="7"/>
  <c r="AP181" i="7"/>
  <c r="BJ180" i="7"/>
  <c r="BM180" i="7" s="1"/>
  <c r="BI180" i="7"/>
  <c r="BH180" i="7"/>
  <c r="BG180" i="7"/>
  <c r="BF180" i="7"/>
  <c r="BE180" i="7"/>
  <c r="BD180" i="7"/>
  <c r="BC180" i="7"/>
  <c r="BB180" i="7"/>
  <c r="BA180" i="7"/>
  <c r="AZ180" i="7"/>
  <c r="AW180" i="7"/>
  <c r="AV180" i="7"/>
  <c r="AU180" i="7"/>
  <c r="AT180" i="7"/>
  <c r="AS180" i="7"/>
  <c r="AR180" i="7"/>
  <c r="AQ180" i="7"/>
  <c r="AP180" i="7"/>
  <c r="BJ179" i="7"/>
  <c r="BM179" i="7" s="1"/>
  <c r="BI179" i="7"/>
  <c r="BH179" i="7"/>
  <c r="BG179" i="7"/>
  <c r="BF179" i="7"/>
  <c r="BE179" i="7"/>
  <c r="BD179" i="7"/>
  <c r="BC179" i="7"/>
  <c r="BB179" i="7"/>
  <c r="BA179" i="7"/>
  <c r="AZ179" i="7"/>
  <c r="AW179" i="7"/>
  <c r="AV179" i="7"/>
  <c r="AU179" i="7"/>
  <c r="AT179" i="7"/>
  <c r="AS179" i="7"/>
  <c r="AR179" i="7"/>
  <c r="AQ179" i="7"/>
  <c r="AP179" i="7"/>
  <c r="BJ178" i="7"/>
  <c r="BM178" i="7" s="1"/>
  <c r="BI178" i="7"/>
  <c r="BH178" i="7"/>
  <c r="BG178" i="7"/>
  <c r="BF178" i="7"/>
  <c r="BE178" i="7"/>
  <c r="BD178" i="7"/>
  <c r="BC178" i="7"/>
  <c r="BB178" i="7"/>
  <c r="BA178" i="7"/>
  <c r="AZ178" i="7"/>
  <c r="AW178" i="7"/>
  <c r="AV178" i="7"/>
  <c r="AU178" i="7"/>
  <c r="AT178" i="7"/>
  <c r="AS178" i="7"/>
  <c r="AR178" i="7"/>
  <c r="AQ178" i="7"/>
  <c r="AP178" i="7"/>
  <c r="BJ177" i="7"/>
  <c r="BM177" i="7" s="1"/>
  <c r="BI177" i="7"/>
  <c r="BH177" i="7"/>
  <c r="BG177" i="7"/>
  <c r="BF177" i="7"/>
  <c r="BE177" i="7"/>
  <c r="BD177" i="7"/>
  <c r="BC177" i="7"/>
  <c r="BB177" i="7"/>
  <c r="BA177" i="7"/>
  <c r="AZ177" i="7"/>
  <c r="AY177" i="7"/>
  <c r="BL177" i="7" s="1"/>
  <c r="AX177" i="7"/>
  <c r="BK177" i="7" s="1"/>
  <c r="AW177" i="7"/>
  <c r="AV177" i="7"/>
  <c r="AU177" i="7"/>
  <c r="AT177" i="7"/>
  <c r="AS177" i="7"/>
  <c r="AR177" i="7"/>
  <c r="AQ177" i="7"/>
  <c r="AP177" i="7"/>
  <c r="BJ175" i="7"/>
  <c r="BM175" i="7" s="1"/>
  <c r="BI175" i="7"/>
  <c r="BH175" i="7"/>
  <c r="BG175" i="7"/>
  <c r="BF175" i="7"/>
  <c r="BE175" i="7"/>
  <c r="BD175" i="7"/>
  <c r="BC175" i="7"/>
  <c r="BB175" i="7"/>
  <c r="BA175" i="7"/>
  <c r="AZ175" i="7"/>
  <c r="AY175" i="7"/>
  <c r="BL175" i="7" s="1"/>
  <c r="AX175" i="7"/>
  <c r="AW175" i="7"/>
  <c r="AV175" i="7"/>
  <c r="AU175" i="7"/>
  <c r="AT175" i="7"/>
  <c r="AS175" i="7"/>
  <c r="AR175" i="7"/>
  <c r="AQ175" i="7"/>
  <c r="AP175" i="7"/>
  <c r="BJ174" i="7"/>
  <c r="BI174" i="7"/>
  <c r="BH174" i="7"/>
  <c r="BG174" i="7"/>
  <c r="BF174" i="7"/>
  <c r="BE174" i="7"/>
  <c r="BD174" i="7"/>
  <c r="BC174" i="7"/>
  <c r="BB174" i="7"/>
  <c r="BA174" i="7"/>
  <c r="AZ174" i="7"/>
  <c r="AX174" i="7"/>
  <c r="BK174" i="7" s="1"/>
  <c r="AW174" i="7"/>
  <c r="AV174" i="7"/>
  <c r="AU174" i="7"/>
  <c r="AT174" i="7"/>
  <c r="AS174" i="7"/>
  <c r="AR174" i="7"/>
  <c r="AQ174" i="7"/>
  <c r="AP174" i="7"/>
  <c r="BJ173" i="7"/>
  <c r="BM173" i="7" s="1"/>
  <c r="BI173" i="7"/>
  <c r="BH173" i="7"/>
  <c r="BG173" i="7"/>
  <c r="BF173" i="7"/>
  <c r="BE173" i="7"/>
  <c r="BD173" i="7"/>
  <c r="BC173" i="7"/>
  <c r="BB173" i="7"/>
  <c r="BA173" i="7"/>
  <c r="AZ173" i="7"/>
  <c r="AY173" i="7"/>
  <c r="BL173" i="7" s="1"/>
  <c r="AX173" i="7"/>
  <c r="BK173" i="7" s="1"/>
  <c r="AW173" i="7"/>
  <c r="AV173" i="7"/>
  <c r="AU173" i="7"/>
  <c r="AT173" i="7"/>
  <c r="AS173" i="7"/>
  <c r="AR173" i="7"/>
  <c r="AQ173" i="7"/>
  <c r="AP173" i="7"/>
  <c r="BJ172" i="7"/>
  <c r="BM172" i="7" s="1"/>
  <c r="BI172" i="7"/>
  <c r="BH172" i="7"/>
  <c r="BG172" i="7"/>
  <c r="BF172" i="7"/>
  <c r="BE172" i="7"/>
  <c r="BD172" i="7"/>
  <c r="BC172" i="7"/>
  <c r="BB172" i="7"/>
  <c r="BA172" i="7"/>
  <c r="AZ172" i="7"/>
  <c r="AY172" i="7"/>
  <c r="BL172" i="7" s="1"/>
  <c r="AW172" i="7"/>
  <c r="AV172" i="7"/>
  <c r="AU172" i="7"/>
  <c r="AT172" i="7"/>
  <c r="AS172" i="7"/>
  <c r="AR172" i="7"/>
  <c r="AQ172" i="7"/>
  <c r="AP172" i="7"/>
  <c r="BJ171" i="7"/>
  <c r="BM171" i="7" s="1"/>
  <c r="BI171" i="7"/>
  <c r="BH171" i="7"/>
  <c r="BG171" i="7"/>
  <c r="BF171" i="7"/>
  <c r="BE171" i="7"/>
  <c r="BD171" i="7"/>
  <c r="BC171" i="7"/>
  <c r="BB171" i="7"/>
  <c r="BA171" i="7"/>
  <c r="AZ171" i="7"/>
  <c r="AW171" i="7"/>
  <c r="AV171" i="7"/>
  <c r="AU171" i="7"/>
  <c r="AT171" i="7"/>
  <c r="AS171" i="7"/>
  <c r="AR171" i="7"/>
  <c r="AQ171" i="7"/>
  <c r="AP171" i="7"/>
  <c r="BJ170" i="7"/>
  <c r="BM170" i="7" s="1"/>
  <c r="BI170" i="7"/>
  <c r="BH170" i="7"/>
  <c r="BG170" i="7"/>
  <c r="BF170" i="7"/>
  <c r="BE170" i="7"/>
  <c r="BD170" i="7"/>
  <c r="BC170" i="7"/>
  <c r="BB170" i="7"/>
  <c r="BA170" i="7"/>
  <c r="AZ170" i="7"/>
  <c r="AY170" i="7"/>
  <c r="BL170" i="7" s="1"/>
  <c r="AW170" i="7"/>
  <c r="AV170" i="7"/>
  <c r="AU170" i="7"/>
  <c r="AT170" i="7"/>
  <c r="AS170" i="7"/>
  <c r="AR170" i="7"/>
  <c r="AQ170" i="7"/>
  <c r="AP170" i="7"/>
  <c r="BJ169" i="7"/>
  <c r="BM169" i="7" s="1"/>
  <c r="BI169" i="7"/>
  <c r="BH169" i="7"/>
  <c r="BG169" i="7"/>
  <c r="BF169" i="7"/>
  <c r="BE169" i="7"/>
  <c r="BD169" i="7"/>
  <c r="BC169" i="7"/>
  <c r="BB169" i="7"/>
  <c r="BA169" i="7"/>
  <c r="AZ169" i="7"/>
  <c r="AY169" i="7"/>
  <c r="BL169" i="7" s="1"/>
  <c r="AW169" i="7"/>
  <c r="AV169" i="7"/>
  <c r="AU169" i="7"/>
  <c r="AT169" i="7"/>
  <c r="AS169" i="7"/>
  <c r="AR169" i="7"/>
  <c r="AQ169" i="7"/>
  <c r="AP169" i="7"/>
  <c r="BJ168" i="7"/>
  <c r="BM168" i="7" s="1"/>
  <c r="BI168" i="7"/>
  <c r="BH168" i="7"/>
  <c r="BG168" i="7"/>
  <c r="BF168" i="7"/>
  <c r="BE168" i="7"/>
  <c r="BD168" i="7"/>
  <c r="BC168" i="7"/>
  <c r="BB168" i="7"/>
  <c r="BA168" i="7"/>
  <c r="AZ168" i="7"/>
  <c r="AY168" i="7"/>
  <c r="BL168" i="7" s="1"/>
  <c r="AW168" i="7"/>
  <c r="AV168" i="7"/>
  <c r="AU168" i="7"/>
  <c r="AT168" i="7"/>
  <c r="AS168" i="7"/>
  <c r="AR168" i="7"/>
  <c r="AQ168" i="7"/>
  <c r="AP168" i="7"/>
  <c r="BJ167" i="7"/>
  <c r="BI167" i="7"/>
  <c r="BH167" i="7"/>
  <c r="BG167" i="7"/>
  <c r="BF167" i="7"/>
  <c r="BE167" i="7"/>
  <c r="BD167" i="7"/>
  <c r="BC167" i="7"/>
  <c r="BB167" i="7"/>
  <c r="BA167" i="7"/>
  <c r="AZ167" i="7"/>
  <c r="AY167" i="7"/>
  <c r="BL167" i="7" s="1"/>
  <c r="AW167" i="7"/>
  <c r="AV167" i="7"/>
  <c r="AU167" i="7"/>
  <c r="AT167" i="7"/>
  <c r="AS167" i="7"/>
  <c r="AR167" i="7"/>
  <c r="AQ167" i="7"/>
  <c r="AP167" i="7"/>
  <c r="BJ166" i="7"/>
  <c r="BI166" i="7"/>
  <c r="BH166" i="7"/>
  <c r="BG166" i="7"/>
  <c r="BF166" i="7"/>
  <c r="BE166" i="7"/>
  <c r="BD166" i="7"/>
  <c r="BC166" i="7"/>
  <c r="BB166" i="7"/>
  <c r="BA166" i="7"/>
  <c r="AZ166" i="7"/>
  <c r="AY166" i="7"/>
  <c r="BL166" i="7" s="1"/>
  <c r="AX166" i="7"/>
  <c r="AW166" i="7"/>
  <c r="AV166" i="7"/>
  <c r="AU166" i="7"/>
  <c r="AT166" i="7"/>
  <c r="AS166" i="7"/>
  <c r="AR166" i="7"/>
  <c r="AQ166" i="7"/>
  <c r="AP166" i="7"/>
  <c r="BJ165" i="7"/>
  <c r="BM165" i="7" s="1"/>
  <c r="BI165" i="7"/>
  <c r="BH165" i="7"/>
  <c r="BG165" i="7"/>
  <c r="BF165" i="7"/>
  <c r="BE165" i="7"/>
  <c r="BD165" i="7"/>
  <c r="BC165" i="7"/>
  <c r="BB165" i="7"/>
  <c r="BA165" i="7"/>
  <c r="AZ165" i="7"/>
  <c r="AY165" i="7"/>
  <c r="BL165" i="7" s="1"/>
  <c r="AX165" i="7"/>
  <c r="BK165" i="7" s="1"/>
  <c r="AW165" i="7"/>
  <c r="AV165" i="7"/>
  <c r="AU165" i="7"/>
  <c r="AT165" i="7"/>
  <c r="AS165" i="7"/>
  <c r="AR165" i="7"/>
  <c r="AQ165" i="7"/>
  <c r="AP165" i="7"/>
  <c r="BJ164" i="7"/>
  <c r="BM164" i="7" s="1"/>
  <c r="BI164" i="7"/>
  <c r="BH164" i="7"/>
  <c r="BG164" i="7"/>
  <c r="BF164" i="7"/>
  <c r="BE164" i="7"/>
  <c r="BD164" i="7"/>
  <c r="BC164" i="7"/>
  <c r="BB164" i="7"/>
  <c r="BA164" i="7"/>
  <c r="AZ164" i="7"/>
  <c r="AW164" i="7"/>
  <c r="AV164" i="7"/>
  <c r="AU164" i="7"/>
  <c r="AT164" i="7"/>
  <c r="AS164" i="7"/>
  <c r="AR164" i="7"/>
  <c r="AQ164" i="7"/>
  <c r="AP164" i="7"/>
  <c r="BJ163" i="7"/>
  <c r="BM163" i="7" s="1"/>
  <c r="BI163" i="7"/>
  <c r="BH163" i="7"/>
  <c r="BG163" i="7"/>
  <c r="BF163" i="7"/>
  <c r="BE163" i="7"/>
  <c r="BD163" i="7"/>
  <c r="BC163" i="7"/>
  <c r="BB163" i="7"/>
  <c r="BA163" i="7"/>
  <c r="AZ163" i="7"/>
  <c r="AW163" i="7"/>
  <c r="AV163" i="7"/>
  <c r="AU163" i="7"/>
  <c r="AT163" i="7"/>
  <c r="AS163" i="7"/>
  <c r="AR163" i="7"/>
  <c r="AQ163" i="7"/>
  <c r="AP163" i="7"/>
  <c r="BJ162" i="7"/>
  <c r="BM162" i="7" s="1"/>
  <c r="BI162" i="7"/>
  <c r="BH162" i="7"/>
  <c r="BG162" i="7"/>
  <c r="BF162" i="7"/>
  <c r="BE162" i="7"/>
  <c r="BD162" i="7"/>
  <c r="BC162" i="7"/>
  <c r="BB162" i="7"/>
  <c r="BA162" i="7"/>
  <c r="AZ162" i="7"/>
  <c r="AW162" i="7"/>
  <c r="AV162" i="7"/>
  <c r="AU162" i="7"/>
  <c r="AT162" i="7"/>
  <c r="AS162" i="7"/>
  <c r="AR162" i="7"/>
  <c r="AQ162" i="7"/>
  <c r="AP162" i="7"/>
  <c r="BJ161" i="7"/>
  <c r="BM161" i="7" s="1"/>
  <c r="BI161" i="7"/>
  <c r="BH161" i="7"/>
  <c r="BG161" i="7"/>
  <c r="BF161" i="7"/>
  <c r="BE161" i="7"/>
  <c r="BD161" i="7"/>
  <c r="BC161" i="7"/>
  <c r="BB161" i="7"/>
  <c r="BA161" i="7"/>
  <c r="AZ161" i="7"/>
  <c r="AY161" i="7"/>
  <c r="BL161" i="7" s="1"/>
  <c r="AW161" i="7"/>
  <c r="AV161" i="7"/>
  <c r="AU161" i="7"/>
  <c r="AT161" i="7"/>
  <c r="AS161" i="7"/>
  <c r="AR161" i="7"/>
  <c r="AQ161" i="7"/>
  <c r="AP161" i="7"/>
  <c r="BJ160" i="7"/>
  <c r="BM160" i="7" s="1"/>
  <c r="BI160" i="7"/>
  <c r="BH160" i="7"/>
  <c r="BG160" i="7"/>
  <c r="BF160" i="7"/>
  <c r="BE160" i="7"/>
  <c r="BD160" i="7"/>
  <c r="BC160" i="7"/>
  <c r="BB160" i="7"/>
  <c r="BA160" i="7"/>
  <c r="AZ160" i="7"/>
  <c r="AW160" i="7"/>
  <c r="AV160" i="7"/>
  <c r="AU160" i="7"/>
  <c r="AT160" i="7"/>
  <c r="AS160" i="7"/>
  <c r="AR160" i="7"/>
  <c r="AQ160" i="7"/>
  <c r="AP160" i="7"/>
  <c r="BJ159" i="7"/>
  <c r="BM159" i="7" s="1"/>
  <c r="BI159" i="7"/>
  <c r="BH159" i="7"/>
  <c r="BG159" i="7"/>
  <c r="BF159" i="7"/>
  <c r="BE159" i="7"/>
  <c r="BD159" i="7"/>
  <c r="BC159" i="7"/>
  <c r="BB159" i="7"/>
  <c r="BA159" i="7"/>
  <c r="AZ159" i="7"/>
  <c r="AW159" i="7"/>
  <c r="AV159" i="7"/>
  <c r="AU159" i="7"/>
  <c r="AT159" i="7"/>
  <c r="AS159" i="7"/>
  <c r="AR159" i="7"/>
  <c r="AQ159" i="7"/>
  <c r="AP159" i="7"/>
  <c r="BJ158" i="7"/>
  <c r="BI158" i="7"/>
  <c r="BH158" i="7"/>
  <c r="BG158" i="7"/>
  <c r="BF158" i="7"/>
  <c r="BE158" i="7"/>
  <c r="BD158" i="7"/>
  <c r="BC158" i="7"/>
  <c r="BB158" i="7"/>
  <c r="BA158" i="7"/>
  <c r="AZ158" i="7"/>
  <c r="AW158" i="7"/>
  <c r="AV158" i="7"/>
  <c r="AU158" i="7"/>
  <c r="AT158" i="7"/>
  <c r="AS158" i="7"/>
  <c r="AR158" i="7"/>
  <c r="AQ158" i="7"/>
  <c r="AP158" i="7"/>
  <c r="BJ157" i="7"/>
  <c r="BM157" i="7" s="1"/>
  <c r="BI157" i="7"/>
  <c r="BH157" i="7"/>
  <c r="BG157" i="7"/>
  <c r="BF157" i="7"/>
  <c r="BE157" i="7"/>
  <c r="BD157" i="7"/>
  <c r="BC157" i="7"/>
  <c r="BB157" i="7"/>
  <c r="BA157" i="7"/>
  <c r="AZ157" i="7"/>
  <c r="AX157" i="7"/>
  <c r="AX4" i="7" s="1"/>
  <c r="AW157" i="7"/>
  <c r="AV157" i="7"/>
  <c r="AU157" i="7"/>
  <c r="AT157" i="7"/>
  <c r="AS157" i="7"/>
  <c r="AR157" i="7"/>
  <c r="AQ157" i="7"/>
  <c r="AP157" i="7"/>
  <c r="BJ156" i="7"/>
  <c r="BM156" i="7" s="1"/>
  <c r="BI156" i="7"/>
  <c r="BH156" i="7"/>
  <c r="BG156" i="7"/>
  <c r="BF156" i="7"/>
  <c r="BE156" i="7"/>
  <c r="BD156" i="7"/>
  <c r="BC156" i="7"/>
  <c r="BB156" i="7"/>
  <c r="BA156" i="7"/>
  <c r="AZ156" i="7"/>
  <c r="AY156" i="7"/>
  <c r="BL156" i="7" s="1"/>
  <c r="AW156" i="7"/>
  <c r="AV156" i="7"/>
  <c r="AU156" i="7"/>
  <c r="AT156" i="7"/>
  <c r="AS156" i="7"/>
  <c r="AR156" i="7"/>
  <c r="AQ156" i="7"/>
  <c r="AP156" i="7"/>
  <c r="BJ155" i="7"/>
  <c r="BM155" i="7" s="1"/>
  <c r="BI155" i="7"/>
  <c r="BH155" i="7"/>
  <c r="BG155" i="7"/>
  <c r="BF155" i="7"/>
  <c r="BE155" i="7"/>
  <c r="BD155" i="7"/>
  <c r="BC155" i="7"/>
  <c r="BB155" i="7"/>
  <c r="BA155" i="7"/>
  <c r="AZ155" i="7"/>
  <c r="AY155" i="7"/>
  <c r="BL155" i="7" s="1"/>
  <c r="AX155" i="7"/>
  <c r="BK155" i="7" s="1"/>
  <c r="AW155" i="7"/>
  <c r="AV155" i="7"/>
  <c r="AU155" i="7"/>
  <c r="AT155" i="7"/>
  <c r="AS155" i="7"/>
  <c r="AR155" i="7"/>
  <c r="AQ155" i="7"/>
  <c r="AP155" i="7"/>
  <c r="BJ154" i="7"/>
  <c r="BM154" i="7" s="1"/>
  <c r="BI154" i="7"/>
  <c r="BH154" i="7"/>
  <c r="BG154" i="7"/>
  <c r="BF154" i="7"/>
  <c r="BE154" i="7"/>
  <c r="BD154" i="7"/>
  <c r="BC154" i="7"/>
  <c r="BB154" i="7"/>
  <c r="BA154" i="7"/>
  <c r="AZ154" i="7"/>
  <c r="AY154" i="7"/>
  <c r="AX154" i="7"/>
  <c r="BK154" i="7" s="1"/>
  <c r="AW154" i="7"/>
  <c r="AV154" i="7"/>
  <c r="AU154" i="7"/>
  <c r="AT154" i="7"/>
  <c r="AS154" i="7"/>
  <c r="AR154" i="7"/>
  <c r="AQ154" i="7"/>
  <c r="AP154" i="7"/>
  <c r="BJ153" i="7"/>
  <c r="BM153" i="7" s="1"/>
  <c r="BI153" i="7"/>
  <c r="BH153" i="7"/>
  <c r="BG153" i="7"/>
  <c r="BF153" i="7"/>
  <c r="BE153" i="7"/>
  <c r="BD153" i="7"/>
  <c r="BC153" i="7"/>
  <c r="BB153" i="7"/>
  <c r="BA153" i="7"/>
  <c r="AZ153" i="7"/>
  <c r="AW153" i="7"/>
  <c r="AV153" i="7"/>
  <c r="AU153" i="7"/>
  <c r="AT153" i="7"/>
  <c r="AS153" i="7"/>
  <c r="AR153" i="7"/>
  <c r="AQ153" i="7"/>
  <c r="AP153" i="7"/>
  <c r="BJ152" i="7"/>
  <c r="BM152" i="7" s="1"/>
  <c r="BI152" i="7"/>
  <c r="BH152" i="7"/>
  <c r="BG152" i="7"/>
  <c r="BF152" i="7"/>
  <c r="BE152" i="7"/>
  <c r="BD152" i="7"/>
  <c r="BC152" i="7"/>
  <c r="BB152" i="7"/>
  <c r="BA152" i="7"/>
  <c r="AZ152" i="7"/>
  <c r="AY152" i="7"/>
  <c r="BL152" i="7" s="1"/>
  <c r="AW152" i="7"/>
  <c r="AV152" i="7"/>
  <c r="AU152" i="7"/>
  <c r="AT152" i="7"/>
  <c r="AS152" i="7"/>
  <c r="AR152" i="7"/>
  <c r="AQ152" i="7"/>
  <c r="AP152" i="7"/>
  <c r="BJ151" i="7"/>
  <c r="BI151" i="7"/>
  <c r="BH151" i="7"/>
  <c r="BG151" i="7"/>
  <c r="BF151" i="7"/>
  <c r="BE151" i="7"/>
  <c r="BD151" i="7"/>
  <c r="BC151" i="7"/>
  <c r="BB151" i="7"/>
  <c r="BA151" i="7"/>
  <c r="AZ151" i="7"/>
  <c r="AW151" i="7"/>
  <c r="AV151" i="7"/>
  <c r="AU151" i="7"/>
  <c r="AT151" i="7"/>
  <c r="AS151" i="7"/>
  <c r="AR151" i="7"/>
  <c r="AQ151" i="7"/>
  <c r="AP151" i="7"/>
  <c r="BJ149" i="7"/>
  <c r="BI149" i="7"/>
  <c r="BH149" i="7"/>
  <c r="BG149" i="7"/>
  <c r="BF149" i="7"/>
  <c r="BE149" i="7"/>
  <c r="BD149" i="7"/>
  <c r="BC149" i="7"/>
  <c r="BB149" i="7"/>
  <c r="BA149" i="7"/>
  <c r="AZ149" i="7"/>
  <c r="AY149" i="7"/>
  <c r="BL149" i="7" s="1"/>
  <c r="AW149" i="7"/>
  <c r="AV149" i="7"/>
  <c r="AU149" i="7"/>
  <c r="AT149" i="7"/>
  <c r="AS149" i="7"/>
  <c r="AR149" i="7"/>
  <c r="AQ149" i="7"/>
  <c r="AP149" i="7"/>
  <c r="BJ148" i="7"/>
  <c r="BM148" i="7" s="1"/>
  <c r="BI148" i="7"/>
  <c r="BH148" i="7"/>
  <c r="BG148" i="7"/>
  <c r="BF148" i="7"/>
  <c r="BE148" i="7"/>
  <c r="BD148" i="7"/>
  <c r="BC148" i="7"/>
  <c r="BB148" i="7"/>
  <c r="BA148" i="7"/>
  <c r="AZ148" i="7"/>
  <c r="AW148" i="7"/>
  <c r="AV148" i="7"/>
  <c r="AU148" i="7"/>
  <c r="AT148" i="7"/>
  <c r="AS148" i="7"/>
  <c r="AR148" i="7"/>
  <c r="AQ148" i="7"/>
  <c r="AP148" i="7"/>
  <c r="BJ147" i="7"/>
  <c r="BM147" i="7" s="1"/>
  <c r="BI147" i="7"/>
  <c r="BH147" i="7"/>
  <c r="BG147" i="7"/>
  <c r="BF147" i="7"/>
  <c r="BE147" i="7"/>
  <c r="BD147" i="7"/>
  <c r="BC147" i="7"/>
  <c r="BB147" i="7"/>
  <c r="BA147" i="7"/>
  <c r="AZ147" i="7"/>
  <c r="AW147" i="7"/>
  <c r="AV147" i="7"/>
  <c r="AU147" i="7"/>
  <c r="AT147" i="7"/>
  <c r="AS147" i="7"/>
  <c r="AR147" i="7"/>
  <c r="AQ147" i="7"/>
  <c r="AP147" i="7"/>
  <c r="BJ146" i="7"/>
  <c r="BM146" i="7" s="1"/>
  <c r="BI146" i="7"/>
  <c r="BH146" i="7"/>
  <c r="BG146" i="7"/>
  <c r="BF146" i="7"/>
  <c r="BE146" i="7"/>
  <c r="BD146" i="7"/>
  <c r="BC146" i="7"/>
  <c r="BB146" i="7"/>
  <c r="BA146" i="7"/>
  <c r="AZ146" i="7"/>
  <c r="AW146" i="7"/>
  <c r="AV146" i="7"/>
  <c r="AU146" i="7"/>
  <c r="AT146" i="7"/>
  <c r="AS146" i="7"/>
  <c r="AR146" i="7"/>
  <c r="AQ146" i="7"/>
  <c r="AP146" i="7"/>
  <c r="BJ145" i="7"/>
  <c r="BM145" i="7" s="1"/>
  <c r="BI145" i="7"/>
  <c r="BH145" i="7"/>
  <c r="BG145" i="7"/>
  <c r="BF145" i="7"/>
  <c r="BE145" i="7"/>
  <c r="BD145" i="7"/>
  <c r="BC145" i="7"/>
  <c r="BB145" i="7"/>
  <c r="BA145" i="7"/>
  <c r="AZ145" i="7"/>
  <c r="AY145" i="7"/>
  <c r="AW145" i="7"/>
  <c r="AV145" i="7"/>
  <c r="AU145" i="7"/>
  <c r="AT145" i="7"/>
  <c r="AS145" i="7"/>
  <c r="AR145" i="7"/>
  <c r="AQ145" i="7"/>
  <c r="AP145" i="7"/>
  <c r="BJ144" i="7"/>
  <c r="BM144" i="7" s="1"/>
  <c r="BI144" i="7"/>
  <c r="BH144" i="7"/>
  <c r="BG144" i="7"/>
  <c r="BF144" i="7"/>
  <c r="BE144" i="7"/>
  <c r="BD144" i="7"/>
  <c r="BC144" i="7"/>
  <c r="BB144" i="7"/>
  <c r="BA144" i="7"/>
  <c r="AZ144" i="7"/>
  <c r="AX144" i="7"/>
  <c r="BK144" i="7" s="1"/>
  <c r="AW144" i="7"/>
  <c r="AV144" i="7"/>
  <c r="AU144" i="7"/>
  <c r="AT144" i="7"/>
  <c r="AS144" i="7"/>
  <c r="AR144" i="7"/>
  <c r="AQ144" i="7"/>
  <c r="AP144" i="7"/>
  <c r="BJ142" i="7"/>
  <c r="BM142" i="7" s="1"/>
  <c r="BI142" i="7"/>
  <c r="BH142" i="7"/>
  <c r="BG142" i="7"/>
  <c r="BF142" i="7"/>
  <c r="BE142" i="7"/>
  <c r="BD142" i="7"/>
  <c r="BC142" i="7"/>
  <c r="BB142" i="7"/>
  <c r="BA142" i="7"/>
  <c r="AZ142" i="7"/>
  <c r="AY142" i="7"/>
  <c r="BL142" i="7" s="1"/>
  <c r="AW142" i="7"/>
  <c r="AV142" i="7"/>
  <c r="AU142" i="7"/>
  <c r="AT142" i="7"/>
  <c r="AS142" i="7"/>
  <c r="AR142" i="7"/>
  <c r="AQ142" i="7"/>
  <c r="AP142" i="7"/>
  <c r="BJ141" i="7"/>
  <c r="BI141" i="7"/>
  <c r="BH141" i="7"/>
  <c r="BG141" i="7"/>
  <c r="BF141" i="7"/>
  <c r="BE141" i="7"/>
  <c r="BD141" i="7"/>
  <c r="BC141" i="7"/>
  <c r="BB141" i="7"/>
  <c r="BA141" i="7"/>
  <c r="AZ141" i="7"/>
  <c r="AW141" i="7"/>
  <c r="AV141" i="7"/>
  <c r="AU141" i="7"/>
  <c r="AT141" i="7"/>
  <c r="AS141" i="7"/>
  <c r="AR141" i="7"/>
  <c r="AQ141" i="7"/>
  <c r="AP141" i="7"/>
  <c r="BJ140" i="7"/>
  <c r="BI140" i="7"/>
  <c r="BH140" i="7"/>
  <c r="BG140" i="7"/>
  <c r="BF140" i="7"/>
  <c r="BE140" i="7"/>
  <c r="BD140" i="7"/>
  <c r="BC140" i="7"/>
  <c r="BB140" i="7"/>
  <c r="BA140" i="7"/>
  <c r="AZ140" i="7"/>
  <c r="AY140" i="7"/>
  <c r="BL140" i="7" s="1"/>
  <c r="AW140" i="7"/>
  <c r="AV140" i="7"/>
  <c r="AU140" i="7"/>
  <c r="AT140" i="7"/>
  <c r="AS140" i="7"/>
  <c r="AR140" i="7"/>
  <c r="AQ140" i="7"/>
  <c r="AP140" i="7"/>
  <c r="BJ139" i="7"/>
  <c r="BM139" i="7" s="1"/>
  <c r="BI139" i="7"/>
  <c r="BH139" i="7"/>
  <c r="BG139" i="7"/>
  <c r="BF139" i="7"/>
  <c r="BE139" i="7"/>
  <c r="BD139" i="7"/>
  <c r="BC139" i="7"/>
  <c r="BB139" i="7"/>
  <c r="BA139" i="7"/>
  <c r="AZ139" i="7"/>
  <c r="AY139" i="7"/>
  <c r="BL139" i="7" s="1"/>
  <c r="AX139" i="7"/>
  <c r="BK139" i="7" s="1"/>
  <c r="AW139" i="7"/>
  <c r="AV139" i="7"/>
  <c r="AU139" i="7"/>
  <c r="AT139" i="7"/>
  <c r="AS139" i="7"/>
  <c r="AR139" i="7"/>
  <c r="AQ139" i="7"/>
  <c r="AP139" i="7"/>
  <c r="BJ138" i="7"/>
  <c r="BM138" i="7" s="1"/>
  <c r="BI138" i="7"/>
  <c r="BH138" i="7"/>
  <c r="BG138" i="7"/>
  <c r="BF138" i="7"/>
  <c r="BE138" i="7"/>
  <c r="BD138" i="7"/>
  <c r="BC138" i="7"/>
  <c r="BB138" i="7"/>
  <c r="BA138" i="7"/>
  <c r="AZ138" i="7"/>
  <c r="AY138" i="7"/>
  <c r="BL138" i="7" s="1"/>
  <c r="AX138" i="7"/>
  <c r="BK138" i="7" s="1"/>
  <c r="AW138" i="7"/>
  <c r="AV138" i="7"/>
  <c r="AU138" i="7"/>
  <c r="AT138" i="7"/>
  <c r="AS138" i="7"/>
  <c r="AR138" i="7"/>
  <c r="AQ138" i="7"/>
  <c r="AP138" i="7"/>
  <c r="BJ137" i="7"/>
  <c r="BM137" i="7" s="1"/>
  <c r="BI137" i="7"/>
  <c r="BH137" i="7"/>
  <c r="BG137" i="7"/>
  <c r="BF137" i="7"/>
  <c r="BE137" i="7"/>
  <c r="BD137" i="7"/>
  <c r="BC137" i="7"/>
  <c r="BB137" i="7"/>
  <c r="BA137" i="7"/>
  <c r="AZ137" i="7"/>
  <c r="AY137" i="7"/>
  <c r="AW137" i="7"/>
  <c r="AV137" i="7"/>
  <c r="AU137" i="7"/>
  <c r="AT137" i="7"/>
  <c r="AS137" i="7"/>
  <c r="AR137" i="7"/>
  <c r="AQ137" i="7"/>
  <c r="AP137" i="7"/>
  <c r="BJ136" i="7"/>
  <c r="BM136" i="7" s="1"/>
  <c r="BI136" i="7"/>
  <c r="BH136" i="7"/>
  <c r="BG136" i="7"/>
  <c r="BF136" i="7"/>
  <c r="BE136" i="7"/>
  <c r="BD136" i="7"/>
  <c r="BC136" i="7"/>
  <c r="BB136" i="7"/>
  <c r="BA136" i="7"/>
  <c r="AZ136" i="7"/>
  <c r="AW136" i="7"/>
  <c r="AV136" i="7"/>
  <c r="AU136" i="7"/>
  <c r="AT136" i="7"/>
  <c r="AS136" i="7"/>
  <c r="AR136" i="7"/>
  <c r="AQ136" i="7"/>
  <c r="AP136" i="7"/>
  <c r="BJ135" i="7"/>
  <c r="BM135" i="7" s="1"/>
  <c r="BI135" i="7"/>
  <c r="BH135" i="7"/>
  <c r="BG135" i="7"/>
  <c r="BF135" i="7"/>
  <c r="BE135" i="7"/>
  <c r="BD135" i="7"/>
  <c r="BC135" i="7"/>
  <c r="BB135" i="7"/>
  <c r="BA135" i="7"/>
  <c r="AZ135" i="7"/>
  <c r="AY135" i="7"/>
  <c r="BL135" i="7" s="1"/>
  <c r="AW135" i="7"/>
  <c r="AV135" i="7"/>
  <c r="AU135" i="7"/>
  <c r="AT135" i="7"/>
  <c r="AS135" i="7"/>
  <c r="AR135" i="7"/>
  <c r="AQ135" i="7"/>
  <c r="AP135" i="7"/>
  <c r="BJ134" i="7"/>
  <c r="BM134" i="7" s="1"/>
  <c r="BI134" i="7"/>
  <c r="BH134" i="7"/>
  <c r="BG134" i="7"/>
  <c r="BF134" i="7"/>
  <c r="BE134" i="7"/>
  <c r="BD134" i="7"/>
  <c r="BC134" i="7"/>
  <c r="BB134" i="7"/>
  <c r="BA134" i="7"/>
  <c r="AZ134" i="7"/>
  <c r="AW134" i="7"/>
  <c r="AV134" i="7"/>
  <c r="AU134" i="7"/>
  <c r="AT134" i="7"/>
  <c r="AS134" i="7"/>
  <c r="AR134" i="7"/>
  <c r="AQ134" i="7"/>
  <c r="AP134" i="7"/>
  <c r="BJ133" i="7"/>
  <c r="BI133" i="7"/>
  <c r="BH133" i="7"/>
  <c r="BG133" i="7"/>
  <c r="BF133" i="7"/>
  <c r="BE133" i="7"/>
  <c r="BD133" i="7"/>
  <c r="BC133" i="7"/>
  <c r="BB133" i="7"/>
  <c r="BA133" i="7"/>
  <c r="AZ133" i="7"/>
  <c r="AY133" i="7"/>
  <c r="BL133" i="7" s="1"/>
  <c r="AX133" i="7"/>
  <c r="AW133" i="7"/>
  <c r="AV133" i="7"/>
  <c r="AU133" i="7"/>
  <c r="AT133" i="7"/>
  <c r="AS133" i="7"/>
  <c r="AR133" i="7"/>
  <c r="AQ133" i="7"/>
  <c r="AP133" i="7"/>
  <c r="BJ132" i="7"/>
  <c r="BI132" i="7"/>
  <c r="BH132" i="7"/>
  <c r="BG132" i="7"/>
  <c r="BF132" i="7"/>
  <c r="BE132" i="7"/>
  <c r="BD132" i="7"/>
  <c r="BC132" i="7"/>
  <c r="BB132" i="7"/>
  <c r="BA132" i="7"/>
  <c r="AZ132" i="7"/>
  <c r="AY132" i="7"/>
  <c r="BL132" i="7" s="1"/>
  <c r="AW132" i="7"/>
  <c r="AV132" i="7"/>
  <c r="AU132" i="7"/>
  <c r="AT132" i="7"/>
  <c r="AS132" i="7"/>
  <c r="AR132" i="7"/>
  <c r="AQ132" i="7"/>
  <c r="AP132" i="7"/>
  <c r="BJ131" i="7"/>
  <c r="BM131" i="7" s="1"/>
  <c r="BI131" i="7"/>
  <c r="BH131" i="7"/>
  <c r="BG131" i="7"/>
  <c r="BF131" i="7"/>
  <c r="BE131" i="7"/>
  <c r="BD131" i="7"/>
  <c r="BC131" i="7"/>
  <c r="BB131" i="7"/>
  <c r="BA131" i="7"/>
  <c r="AZ131" i="7"/>
  <c r="AW131" i="7"/>
  <c r="AV131" i="7"/>
  <c r="AU131" i="7"/>
  <c r="AT131" i="7"/>
  <c r="AS131" i="7"/>
  <c r="AR131" i="7"/>
  <c r="AQ131" i="7"/>
  <c r="AP131" i="7"/>
  <c r="BJ130" i="7"/>
  <c r="BM130" i="7" s="1"/>
  <c r="BI130" i="7"/>
  <c r="BH130" i="7"/>
  <c r="BG130" i="7"/>
  <c r="BF130" i="7"/>
  <c r="BE130" i="7"/>
  <c r="BD130" i="7"/>
  <c r="BC130" i="7"/>
  <c r="BB130" i="7"/>
  <c r="BA130" i="7"/>
  <c r="AZ130" i="7"/>
  <c r="AY130" i="7"/>
  <c r="BL130" i="7" s="1"/>
  <c r="AW130" i="7"/>
  <c r="AV130" i="7"/>
  <c r="AU130" i="7"/>
  <c r="AT130" i="7"/>
  <c r="AS130" i="7"/>
  <c r="AR130" i="7"/>
  <c r="AQ130" i="7"/>
  <c r="AP130" i="7"/>
  <c r="BJ128" i="7"/>
  <c r="BM128" i="7" s="1"/>
  <c r="BI128" i="7"/>
  <c r="BH128" i="7"/>
  <c r="BG128" i="7"/>
  <c r="BF128" i="7"/>
  <c r="BE128" i="7"/>
  <c r="BD128" i="7"/>
  <c r="BC128" i="7"/>
  <c r="BB128" i="7"/>
  <c r="BA128" i="7"/>
  <c r="AZ128" i="7"/>
  <c r="AY128" i="7"/>
  <c r="AW128" i="7"/>
  <c r="AV128" i="7"/>
  <c r="AU128" i="7"/>
  <c r="AT128" i="7"/>
  <c r="AS128" i="7"/>
  <c r="AR128" i="7"/>
  <c r="AQ128" i="7"/>
  <c r="AP128" i="7"/>
  <c r="BJ127" i="7"/>
  <c r="BM127" i="7" s="1"/>
  <c r="BI127" i="7"/>
  <c r="BH127" i="7"/>
  <c r="BG127" i="7"/>
  <c r="BF127" i="7"/>
  <c r="BE127" i="7"/>
  <c r="BD127" i="7"/>
  <c r="BC127" i="7"/>
  <c r="BB127" i="7"/>
  <c r="BA127" i="7"/>
  <c r="AZ127" i="7"/>
  <c r="AY127" i="7"/>
  <c r="BL127" i="7" s="1"/>
  <c r="AW127" i="7"/>
  <c r="AV127" i="7"/>
  <c r="AU127" i="7"/>
  <c r="AT127" i="7"/>
  <c r="AS127" i="7"/>
  <c r="AR127" i="7"/>
  <c r="AQ127" i="7"/>
  <c r="AP127" i="7"/>
  <c r="BJ126" i="7"/>
  <c r="BM126" i="7" s="1"/>
  <c r="BI126" i="7"/>
  <c r="BH126" i="7"/>
  <c r="BG126" i="7"/>
  <c r="BF126" i="7"/>
  <c r="BE126" i="7"/>
  <c r="BD126" i="7"/>
  <c r="BC126" i="7"/>
  <c r="BB126" i="7"/>
  <c r="BA126" i="7"/>
  <c r="AZ126" i="7"/>
  <c r="AW126" i="7"/>
  <c r="AV126" i="7"/>
  <c r="AU126" i="7"/>
  <c r="AT126" i="7"/>
  <c r="AS126" i="7"/>
  <c r="AR126" i="7"/>
  <c r="AQ126" i="7"/>
  <c r="AP126" i="7"/>
  <c r="BJ125" i="7"/>
  <c r="BM125" i="7" s="1"/>
  <c r="BI125" i="7"/>
  <c r="BH125" i="7"/>
  <c r="BG125" i="7"/>
  <c r="BF125" i="7"/>
  <c r="BE125" i="7"/>
  <c r="BD125" i="7"/>
  <c r="BC125" i="7"/>
  <c r="BB125" i="7"/>
  <c r="BA125" i="7"/>
  <c r="AZ125" i="7"/>
  <c r="AW125" i="7"/>
  <c r="AV125" i="7"/>
  <c r="AU125" i="7"/>
  <c r="AT125" i="7"/>
  <c r="AS125" i="7"/>
  <c r="AR125" i="7"/>
  <c r="AQ125" i="7"/>
  <c r="AP125" i="7"/>
  <c r="BJ123" i="7"/>
  <c r="BM123" i="7" s="1"/>
  <c r="BI123" i="7"/>
  <c r="BH123" i="7"/>
  <c r="BG123" i="7"/>
  <c r="BF123" i="7"/>
  <c r="BE123" i="7"/>
  <c r="BD123" i="7"/>
  <c r="BC123" i="7"/>
  <c r="BB123" i="7"/>
  <c r="BA123" i="7"/>
  <c r="AZ123" i="7"/>
  <c r="AW123" i="7"/>
  <c r="AV123" i="7"/>
  <c r="AU123" i="7"/>
  <c r="AT123" i="7"/>
  <c r="AS123" i="7"/>
  <c r="AR123" i="7"/>
  <c r="AQ123" i="7"/>
  <c r="AP123" i="7"/>
  <c r="BJ122" i="7"/>
  <c r="BI122" i="7"/>
  <c r="BH122" i="7"/>
  <c r="BG122" i="7"/>
  <c r="BF122" i="7"/>
  <c r="BE122" i="7"/>
  <c r="BD122" i="7"/>
  <c r="BC122" i="7"/>
  <c r="BB122" i="7"/>
  <c r="BA122" i="7"/>
  <c r="AZ122" i="7"/>
  <c r="AW122" i="7"/>
  <c r="AV122" i="7"/>
  <c r="AU122" i="7"/>
  <c r="AT122" i="7"/>
  <c r="AS122" i="7"/>
  <c r="AR122" i="7"/>
  <c r="AQ122" i="7"/>
  <c r="AP122" i="7"/>
  <c r="BJ121" i="7"/>
  <c r="BM121" i="7" s="1"/>
  <c r="BI121" i="7"/>
  <c r="BH121" i="7"/>
  <c r="BG121" i="7"/>
  <c r="BF121" i="7"/>
  <c r="BE121" i="7"/>
  <c r="BD121" i="7"/>
  <c r="BC121" i="7"/>
  <c r="BB121" i="7"/>
  <c r="BA121" i="7"/>
  <c r="AZ121" i="7"/>
  <c r="AW121" i="7"/>
  <c r="AV121" i="7"/>
  <c r="AU121" i="7"/>
  <c r="AT121" i="7"/>
  <c r="AS121" i="7"/>
  <c r="AR121" i="7"/>
  <c r="AQ121" i="7"/>
  <c r="AP121" i="7"/>
  <c r="BJ120" i="7"/>
  <c r="BM120" i="7" s="1"/>
  <c r="BI120" i="7"/>
  <c r="BH120" i="7"/>
  <c r="BG120" i="7"/>
  <c r="BF120" i="7"/>
  <c r="BE120" i="7"/>
  <c r="BD120" i="7"/>
  <c r="BC120" i="7"/>
  <c r="BB120" i="7"/>
  <c r="BA120" i="7"/>
  <c r="AZ120" i="7"/>
  <c r="AY120" i="7"/>
  <c r="BL120" i="7" s="1"/>
  <c r="AW120" i="7"/>
  <c r="AV120" i="7"/>
  <c r="AU120" i="7"/>
  <c r="AT120" i="7"/>
  <c r="AS120" i="7"/>
  <c r="AR120" i="7"/>
  <c r="AQ120" i="7"/>
  <c r="AP120" i="7"/>
  <c r="BJ119" i="7"/>
  <c r="BM119" i="7" s="1"/>
  <c r="BI119" i="7"/>
  <c r="BH119" i="7"/>
  <c r="BG119" i="7"/>
  <c r="BF119" i="7"/>
  <c r="BE119" i="7"/>
  <c r="BD119" i="7"/>
  <c r="BC119" i="7"/>
  <c r="BB119" i="7"/>
  <c r="BA119" i="7"/>
  <c r="AZ119" i="7"/>
  <c r="AW119" i="7"/>
  <c r="AV119" i="7"/>
  <c r="AU119" i="7"/>
  <c r="AT119" i="7"/>
  <c r="AS119" i="7"/>
  <c r="AR119" i="7"/>
  <c r="AQ119" i="7"/>
  <c r="AP119" i="7"/>
  <c r="BJ118" i="7"/>
  <c r="BM118" i="7" s="1"/>
  <c r="BI118" i="7"/>
  <c r="BH118" i="7"/>
  <c r="BG118" i="7"/>
  <c r="BF118" i="7"/>
  <c r="BE118" i="7"/>
  <c r="BD118" i="7"/>
  <c r="BC118" i="7"/>
  <c r="BB118" i="7"/>
  <c r="BA118" i="7"/>
  <c r="AZ118" i="7"/>
  <c r="AW118" i="7"/>
  <c r="AV118" i="7"/>
  <c r="AU118" i="7"/>
  <c r="AT118" i="7"/>
  <c r="AS118" i="7"/>
  <c r="AR118" i="7"/>
  <c r="AQ118" i="7"/>
  <c r="AP118" i="7"/>
  <c r="BJ115" i="7"/>
  <c r="BM115" i="7" s="1"/>
  <c r="BI115" i="7"/>
  <c r="BH115" i="7"/>
  <c r="BG115" i="7"/>
  <c r="BF115" i="7"/>
  <c r="BE115" i="7"/>
  <c r="BD115" i="7"/>
  <c r="BC115" i="7"/>
  <c r="BB115" i="7"/>
  <c r="BA115" i="7"/>
  <c r="AZ115" i="7"/>
  <c r="AY115" i="7"/>
  <c r="BL115" i="7" s="1"/>
  <c r="AW115" i="7"/>
  <c r="AV115" i="7"/>
  <c r="AU115" i="7"/>
  <c r="AT115" i="7"/>
  <c r="AS115" i="7"/>
  <c r="AR115" i="7"/>
  <c r="AQ115" i="7"/>
  <c r="AP115" i="7"/>
  <c r="BJ114" i="7"/>
  <c r="BM114" i="7" s="1"/>
  <c r="BI114" i="7"/>
  <c r="BH114" i="7"/>
  <c r="BG114" i="7"/>
  <c r="BF114" i="7"/>
  <c r="BE114" i="7"/>
  <c r="BD114" i="7"/>
  <c r="BC114" i="7"/>
  <c r="BB114" i="7"/>
  <c r="BA114" i="7"/>
  <c r="AZ114" i="7"/>
  <c r="AY114" i="7"/>
  <c r="BL114" i="7" s="1"/>
  <c r="AX114" i="7"/>
  <c r="BK114" i="7" s="1"/>
  <c r="AW114" i="7"/>
  <c r="AV114" i="7"/>
  <c r="AU114" i="7"/>
  <c r="AT114" i="7"/>
  <c r="AS114" i="7"/>
  <c r="AR114" i="7"/>
  <c r="AQ114" i="7"/>
  <c r="AP114" i="7"/>
  <c r="BJ112" i="7"/>
  <c r="BI112" i="7"/>
  <c r="BH112" i="7"/>
  <c r="BG112" i="7"/>
  <c r="BF112" i="7"/>
  <c r="BE112" i="7"/>
  <c r="BD112" i="7"/>
  <c r="BC112" i="7"/>
  <c r="BB112" i="7"/>
  <c r="BA112" i="7"/>
  <c r="AZ112" i="7"/>
  <c r="AW112" i="7"/>
  <c r="AV112" i="7"/>
  <c r="AU112" i="7"/>
  <c r="AT112" i="7"/>
  <c r="AS112" i="7"/>
  <c r="AR112" i="7"/>
  <c r="AQ112" i="7"/>
  <c r="AP112" i="7"/>
  <c r="BJ111" i="7"/>
  <c r="BI111" i="7"/>
  <c r="BH111" i="7"/>
  <c r="BG111" i="7"/>
  <c r="BF111" i="7"/>
  <c r="BE111" i="7"/>
  <c r="BD111" i="7"/>
  <c r="BC111" i="7"/>
  <c r="BB111" i="7"/>
  <c r="BA111" i="7"/>
  <c r="AZ111" i="7"/>
  <c r="AY111" i="7"/>
  <c r="BL111" i="7" s="1"/>
  <c r="AW111" i="7"/>
  <c r="AV111" i="7"/>
  <c r="AU111" i="7"/>
  <c r="AT111" i="7"/>
  <c r="AS111" i="7"/>
  <c r="AR111" i="7"/>
  <c r="AQ111" i="7"/>
  <c r="AP111" i="7"/>
  <c r="BJ110" i="7"/>
  <c r="BM110" i="7" s="1"/>
  <c r="BI110" i="7"/>
  <c r="BH110" i="7"/>
  <c r="BG110" i="7"/>
  <c r="BF110" i="7"/>
  <c r="BE110" i="7"/>
  <c r="BD110" i="7"/>
  <c r="BC110" i="7"/>
  <c r="BB110" i="7"/>
  <c r="BA110" i="7"/>
  <c r="AZ110" i="7"/>
  <c r="AY110" i="7"/>
  <c r="BL110" i="7" s="1"/>
  <c r="AW110" i="7"/>
  <c r="AV110" i="7"/>
  <c r="AU110" i="7"/>
  <c r="AT110" i="7"/>
  <c r="AS110" i="7"/>
  <c r="AR110" i="7"/>
  <c r="AQ110" i="7"/>
  <c r="AP110" i="7"/>
  <c r="BJ109" i="7"/>
  <c r="BM109" i="7" s="1"/>
  <c r="BI109" i="7"/>
  <c r="BH109" i="7"/>
  <c r="BG109" i="7"/>
  <c r="BF109" i="7"/>
  <c r="BE109" i="7"/>
  <c r="BD109" i="7"/>
  <c r="BC109" i="7"/>
  <c r="BB109" i="7"/>
  <c r="BA109" i="7"/>
  <c r="AZ109" i="7"/>
  <c r="AY109" i="7"/>
  <c r="BL109" i="7" s="1"/>
  <c r="AW109" i="7"/>
  <c r="AV109" i="7"/>
  <c r="AU109" i="7"/>
  <c r="AT109" i="7"/>
  <c r="AS109" i="7"/>
  <c r="AR109" i="7"/>
  <c r="AQ109" i="7"/>
  <c r="AP109" i="7"/>
  <c r="BJ107" i="7"/>
  <c r="BM107" i="7" s="1"/>
  <c r="BI107" i="7"/>
  <c r="BH107" i="7"/>
  <c r="BG107" i="7"/>
  <c r="BF107" i="7"/>
  <c r="BE107" i="7"/>
  <c r="BD107" i="7"/>
  <c r="BC107" i="7"/>
  <c r="BB107" i="7"/>
  <c r="BA107" i="7"/>
  <c r="AZ107" i="7"/>
  <c r="AY107" i="7"/>
  <c r="AW107" i="7"/>
  <c r="AV107" i="7"/>
  <c r="AU107" i="7"/>
  <c r="AT107" i="7"/>
  <c r="AS107" i="7"/>
  <c r="AR107" i="7"/>
  <c r="AQ107" i="7"/>
  <c r="AP107" i="7"/>
  <c r="BJ106" i="7"/>
  <c r="BM106" i="7" s="1"/>
  <c r="BI106" i="7"/>
  <c r="BH106" i="7"/>
  <c r="BG106" i="7"/>
  <c r="BF106" i="7"/>
  <c r="BE106" i="7"/>
  <c r="BD106" i="7"/>
  <c r="BC106" i="7"/>
  <c r="BB106" i="7"/>
  <c r="BA106" i="7"/>
  <c r="AZ106" i="7"/>
  <c r="AY106" i="7"/>
  <c r="AW106" i="7"/>
  <c r="AV106" i="7"/>
  <c r="AU106" i="7"/>
  <c r="AT106" i="7"/>
  <c r="AS106" i="7"/>
  <c r="AR106" i="7"/>
  <c r="AQ106" i="7"/>
  <c r="AP106" i="7"/>
  <c r="BJ104" i="7"/>
  <c r="BM104" i="7" s="1"/>
  <c r="BI104" i="7"/>
  <c r="BH104" i="7"/>
  <c r="BG104" i="7"/>
  <c r="BF104" i="7"/>
  <c r="BE104" i="7"/>
  <c r="BD104" i="7"/>
  <c r="BC104" i="7"/>
  <c r="BB104" i="7"/>
  <c r="BA104" i="7"/>
  <c r="AZ104" i="7"/>
  <c r="AY104" i="7"/>
  <c r="BL104" i="7" s="1"/>
  <c r="AW104" i="7"/>
  <c r="AV104" i="7"/>
  <c r="AU104" i="7"/>
  <c r="AT104" i="7"/>
  <c r="AS104" i="7"/>
  <c r="AR104" i="7"/>
  <c r="AQ104" i="7"/>
  <c r="AP104" i="7"/>
  <c r="BJ103" i="7"/>
  <c r="BM103" i="7" s="1"/>
  <c r="BI103" i="7"/>
  <c r="BH103" i="7"/>
  <c r="BG103" i="7"/>
  <c r="BF103" i="7"/>
  <c r="BE103" i="7"/>
  <c r="BD103" i="7"/>
  <c r="BC103" i="7"/>
  <c r="BB103" i="7"/>
  <c r="BA103" i="7"/>
  <c r="AZ103" i="7"/>
  <c r="AY103" i="7"/>
  <c r="BL103" i="7" s="1"/>
  <c r="AX103" i="7"/>
  <c r="BK103" i="7" s="1"/>
  <c r="AW103" i="7"/>
  <c r="AV103" i="7"/>
  <c r="AU103" i="7"/>
  <c r="AT103" i="7"/>
  <c r="AS103" i="7"/>
  <c r="AR103" i="7"/>
  <c r="AQ103" i="7"/>
  <c r="AP103" i="7"/>
  <c r="BJ101" i="7"/>
  <c r="BI101" i="7"/>
  <c r="BH101" i="7"/>
  <c r="BG101" i="7"/>
  <c r="BF101" i="7"/>
  <c r="BE101" i="7"/>
  <c r="BD101" i="7"/>
  <c r="BC101" i="7"/>
  <c r="BB101" i="7"/>
  <c r="BA101" i="7"/>
  <c r="AZ101" i="7"/>
  <c r="AY101" i="7"/>
  <c r="BL101" i="7" s="1"/>
  <c r="AW101" i="7"/>
  <c r="AV101" i="7"/>
  <c r="AU101" i="7"/>
  <c r="AT101" i="7"/>
  <c r="AS101" i="7"/>
  <c r="AR101" i="7"/>
  <c r="AQ101" i="7"/>
  <c r="AP101" i="7"/>
  <c r="BJ99" i="7"/>
  <c r="BI99" i="7"/>
  <c r="BH99" i="7"/>
  <c r="BG99" i="7"/>
  <c r="BF99" i="7"/>
  <c r="BE99" i="7"/>
  <c r="BD99" i="7"/>
  <c r="BC99" i="7"/>
  <c r="BB99" i="7"/>
  <c r="BA99" i="7"/>
  <c r="AZ99" i="7"/>
  <c r="AW99" i="7"/>
  <c r="AV99" i="7"/>
  <c r="AU99" i="7"/>
  <c r="AT99" i="7"/>
  <c r="AS99" i="7"/>
  <c r="AR99" i="7"/>
  <c r="AQ99" i="7"/>
  <c r="AP99" i="7"/>
  <c r="BJ98" i="7"/>
  <c r="BM98" i="7" s="1"/>
  <c r="BI98" i="7"/>
  <c r="BH98" i="7"/>
  <c r="BG98" i="7"/>
  <c r="BF98" i="7"/>
  <c r="BE98" i="7"/>
  <c r="BD98" i="7"/>
  <c r="BC98" i="7"/>
  <c r="BB98" i="7"/>
  <c r="BA98" i="7"/>
  <c r="AZ98" i="7"/>
  <c r="AW98" i="7"/>
  <c r="AV98" i="7"/>
  <c r="AU98" i="7"/>
  <c r="AT98" i="7"/>
  <c r="AS98" i="7"/>
  <c r="AR98" i="7"/>
  <c r="AQ98" i="7"/>
  <c r="AP98" i="7"/>
  <c r="BJ97" i="7"/>
  <c r="BM97" i="7" s="1"/>
  <c r="BI97" i="7"/>
  <c r="BH97" i="7"/>
  <c r="BG97" i="7"/>
  <c r="BF97" i="7"/>
  <c r="BE97" i="7"/>
  <c r="BD97" i="7"/>
  <c r="BC97" i="7"/>
  <c r="BB97" i="7"/>
  <c r="BA97" i="7"/>
  <c r="AZ97" i="7"/>
  <c r="AW97" i="7"/>
  <c r="AV97" i="7"/>
  <c r="AU97" i="7"/>
  <c r="AT97" i="7"/>
  <c r="AS97" i="7"/>
  <c r="AR97" i="7"/>
  <c r="AQ97" i="7"/>
  <c r="AP97" i="7"/>
  <c r="BJ96" i="7"/>
  <c r="BM96" i="7" s="1"/>
  <c r="BI96" i="7"/>
  <c r="BH96" i="7"/>
  <c r="BG96" i="7"/>
  <c r="BF96" i="7"/>
  <c r="BE96" i="7"/>
  <c r="BD96" i="7"/>
  <c r="BC96" i="7"/>
  <c r="BB96" i="7"/>
  <c r="BA96" i="7"/>
  <c r="AZ96" i="7"/>
  <c r="AY96" i="7"/>
  <c r="AX96" i="7"/>
  <c r="BK96" i="7" s="1"/>
  <c r="AW96" i="7"/>
  <c r="AV96" i="7"/>
  <c r="AU96" i="7"/>
  <c r="AT96" i="7"/>
  <c r="AS96" i="7"/>
  <c r="AR96" i="7"/>
  <c r="AQ96" i="7"/>
  <c r="AP96" i="7"/>
  <c r="BJ95" i="7"/>
  <c r="BM95" i="7" s="1"/>
  <c r="BI95" i="7"/>
  <c r="BH95" i="7"/>
  <c r="BG95" i="7"/>
  <c r="BF95" i="7"/>
  <c r="BE95" i="7"/>
  <c r="BD95" i="7"/>
  <c r="BC95" i="7"/>
  <c r="BB95" i="7"/>
  <c r="BA95" i="7"/>
  <c r="AZ95" i="7"/>
  <c r="AY95" i="7"/>
  <c r="BL95" i="7" s="1"/>
  <c r="AW95" i="7"/>
  <c r="AV95" i="7"/>
  <c r="AU95" i="7"/>
  <c r="AT95" i="7"/>
  <c r="AS95" i="7"/>
  <c r="AR95" i="7"/>
  <c r="AQ95" i="7"/>
  <c r="AP95" i="7"/>
  <c r="BJ94" i="7"/>
  <c r="BM94" i="7" s="1"/>
  <c r="BI94" i="7"/>
  <c r="BH94" i="7"/>
  <c r="BG94" i="7"/>
  <c r="BF94" i="7"/>
  <c r="BE94" i="7"/>
  <c r="BD94" i="7"/>
  <c r="BC94" i="7"/>
  <c r="BB94" i="7"/>
  <c r="BA94" i="7"/>
  <c r="AZ94" i="7"/>
  <c r="AW94" i="7"/>
  <c r="AV94" i="7"/>
  <c r="AU94" i="7"/>
  <c r="AT94" i="7"/>
  <c r="AS94" i="7"/>
  <c r="AR94" i="7"/>
  <c r="AQ94" i="7"/>
  <c r="AP94" i="7"/>
  <c r="BJ93" i="7"/>
  <c r="BM93" i="7" s="1"/>
  <c r="BI93" i="7"/>
  <c r="BH93" i="7"/>
  <c r="BG93" i="7"/>
  <c r="BF93" i="7"/>
  <c r="BE93" i="7"/>
  <c r="BD93" i="7"/>
  <c r="BC93" i="7"/>
  <c r="BB93" i="7"/>
  <c r="BA93" i="7"/>
  <c r="AZ93" i="7"/>
  <c r="AW93" i="7"/>
  <c r="AV93" i="7"/>
  <c r="AU93" i="7"/>
  <c r="AT93" i="7"/>
  <c r="AS93" i="7"/>
  <c r="AR93" i="7"/>
  <c r="AQ93" i="7"/>
  <c r="AP93" i="7"/>
  <c r="BJ91" i="7"/>
  <c r="BM91" i="7" s="1"/>
  <c r="BI91" i="7"/>
  <c r="BH91" i="7"/>
  <c r="BG91" i="7"/>
  <c r="BF91" i="7"/>
  <c r="BE91" i="7"/>
  <c r="BD91" i="7"/>
  <c r="BC91" i="7"/>
  <c r="BB91" i="7"/>
  <c r="BA91" i="7"/>
  <c r="AZ91" i="7"/>
  <c r="AW91" i="7"/>
  <c r="AV91" i="7"/>
  <c r="AU91" i="7"/>
  <c r="AT91" i="7"/>
  <c r="AS91" i="7"/>
  <c r="AR91" i="7"/>
  <c r="AQ91" i="7"/>
  <c r="AP91" i="7"/>
  <c r="BJ90" i="7"/>
  <c r="BI90" i="7"/>
  <c r="BH90" i="7"/>
  <c r="BG90" i="7"/>
  <c r="BF90" i="7"/>
  <c r="BE90" i="7"/>
  <c r="BD90" i="7"/>
  <c r="BC90" i="7"/>
  <c r="BB90" i="7"/>
  <c r="BA90" i="7"/>
  <c r="AZ90" i="7"/>
  <c r="AY90" i="7"/>
  <c r="BL90" i="7" s="1"/>
  <c r="AW90" i="7"/>
  <c r="AV90" i="7"/>
  <c r="AU90" i="7"/>
  <c r="AT90" i="7"/>
  <c r="AS90" i="7"/>
  <c r="AR90" i="7"/>
  <c r="AQ90" i="7"/>
  <c r="AP90" i="7"/>
  <c r="BJ89" i="7"/>
  <c r="BM89" i="7" s="1"/>
  <c r="BI89" i="7"/>
  <c r="BH89" i="7"/>
  <c r="BG89" i="7"/>
  <c r="BF89" i="7"/>
  <c r="BE89" i="7"/>
  <c r="BD89" i="7"/>
  <c r="BC89" i="7"/>
  <c r="BB89" i="7"/>
  <c r="BA89" i="7"/>
  <c r="AZ89" i="7"/>
  <c r="AW89" i="7"/>
  <c r="AV89" i="7"/>
  <c r="AU89" i="7"/>
  <c r="AT89" i="7"/>
  <c r="AS89" i="7"/>
  <c r="AR89" i="7"/>
  <c r="AQ89" i="7"/>
  <c r="AP89" i="7"/>
  <c r="BJ88" i="7"/>
  <c r="BM88" i="7" s="1"/>
  <c r="BI88" i="7"/>
  <c r="BH88" i="7"/>
  <c r="BG88" i="7"/>
  <c r="BF88" i="7"/>
  <c r="BE88" i="7"/>
  <c r="BD88" i="7"/>
  <c r="BC88" i="7"/>
  <c r="BB88" i="7"/>
  <c r="BA88" i="7"/>
  <c r="AZ88" i="7"/>
  <c r="AW88" i="7"/>
  <c r="AV88" i="7"/>
  <c r="AU88" i="7"/>
  <c r="AT88" i="7"/>
  <c r="AS88" i="7"/>
  <c r="AR88" i="7"/>
  <c r="AQ88" i="7"/>
  <c r="AP88" i="7"/>
  <c r="BJ87" i="7"/>
  <c r="BM87" i="7" s="1"/>
  <c r="BI87" i="7"/>
  <c r="BH87" i="7"/>
  <c r="BG87" i="7"/>
  <c r="BF87" i="7"/>
  <c r="BE87" i="7"/>
  <c r="BD87" i="7"/>
  <c r="BC87" i="7"/>
  <c r="BB87" i="7"/>
  <c r="BA87" i="7"/>
  <c r="AZ87" i="7"/>
  <c r="AY87" i="7"/>
  <c r="BL87" i="7" s="1"/>
  <c r="AW87" i="7"/>
  <c r="AV87" i="7"/>
  <c r="AU87" i="7"/>
  <c r="AT87" i="7"/>
  <c r="AS87" i="7"/>
  <c r="AR87" i="7"/>
  <c r="AQ87" i="7"/>
  <c r="AP87" i="7"/>
  <c r="BJ86" i="7"/>
  <c r="BM86" i="7" s="1"/>
  <c r="BI86" i="7"/>
  <c r="BH86" i="7"/>
  <c r="BG86" i="7"/>
  <c r="BF86" i="7"/>
  <c r="BE86" i="7"/>
  <c r="BD86" i="7"/>
  <c r="BC86" i="7"/>
  <c r="BB86" i="7"/>
  <c r="BA86" i="7"/>
  <c r="AZ86" i="7"/>
  <c r="AY86" i="7"/>
  <c r="AW86" i="7"/>
  <c r="AV86" i="7"/>
  <c r="AU86" i="7"/>
  <c r="AT86" i="7"/>
  <c r="AS86" i="7"/>
  <c r="AR86" i="7"/>
  <c r="AQ86" i="7"/>
  <c r="AP86" i="7"/>
  <c r="BJ84" i="7"/>
  <c r="BM84" i="7" s="1"/>
  <c r="BI84" i="7"/>
  <c r="BH84" i="7"/>
  <c r="BG84" i="7"/>
  <c r="BF84" i="7"/>
  <c r="BE84" i="7"/>
  <c r="BD84" i="7"/>
  <c r="BC84" i="7"/>
  <c r="BB84" i="7"/>
  <c r="BA84" i="7"/>
  <c r="AZ84" i="7"/>
  <c r="AW84" i="7"/>
  <c r="AV84" i="7"/>
  <c r="AU84" i="7"/>
  <c r="AT84" i="7"/>
  <c r="AS84" i="7"/>
  <c r="AR84" i="7"/>
  <c r="AQ84" i="7"/>
  <c r="AP84" i="7"/>
  <c r="BJ83" i="7"/>
  <c r="BM83" i="7" s="1"/>
  <c r="BI83" i="7"/>
  <c r="BH83" i="7"/>
  <c r="BG83" i="7"/>
  <c r="BF83" i="7"/>
  <c r="BE83" i="7"/>
  <c r="BD83" i="7"/>
  <c r="BC83" i="7"/>
  <c r="BB83" i="7"/>
  <c r="BA83" i="7"/>
  <c r="AZ83" i="7"/>
  <c r="AW83" i="7"/>
  <c r="AV83" i="7"/>
  <c r="AU83" i="7"/>
  <c r="AT83" i="7"/>
  <c r="AS83" i="7"/>
  <c r="AR83" i="7"/>
  <c r="AQ83" i="7"/>
  <c r="AP83" i="7"/>
  <c r="BJ82" i="7"/>
  <c r="BI82" i="7"/>
  <c r="BH82" i="7"/>
  <c r="BG82" i="7"/>
  <c r="BF82" i="7"/>
  <c r="BE82" i="7"/>
  <c r="BD82" i="7"/>
  <c r="BC82" i="7"/>
  <c r="BB82" i="7"/>
  <c r="BA82" i="7"/>
  <c r="AZ82" i="7"/>
  <c r="AW82" i="7"/>
  <c r="AV82" i="7"/>
  <c r="AU82" i="7"/>
  <c r="AT82" i="7"/>
  <c r="AS82" i="7"/>
  <c r="AR82" i="7"/>
  <c r="AQ82" i="7"/>
  <c r="AP82" i="7"/>
  <c r="BJ81" i="7"/>
  <c r="BI81" i="7"/>
  <c r="BH81" i="7"/>
  <c r="BG81" i="7"/>
  <c r="BF81" i="7"/>
  <c r="BE81" i="7"/>
  <c r="BD81" i="7"/>
  <c r="BC81" i="7"/>
  <c r="BB81" i="7"/>
  <c r="BA81" i="7"/>
  <c r="AZ81" i="7"/>
  <c r="AW81" i="7"/>
  <c r="AV81" i="7"/>
  <c r="AU81" i="7"/>
  <c r="AT81" i="7"/>
  <c r="AS81" i="7"/>
  <c r="AR81" i="7"/>
  <c r="AQ81" i="7"/>
  <c r="AP81" i="7"/>
  <c r="BJ80" i="7"/>
  <c r="BM80" i="7" s="1"/>
  <c r="BI80" i="7"/>
  <c r="BH80" i="7"/>
  <c r="BG80" i="7"/>
  <c r="BF80" i="7"/>
  <c r="BE80" i="7"/>
  <c r="BD80" i="7"/>
  <c r="BC80" i="7"/>
  <c r="BB80" i="7"/>
  <c r="BA80" i="7"/>
  <c r="AZ80" i="7"/>
  <c r="AY80" i="7"/>
  <c r="BL80" i="7" s="1"/>
  <c r="AX80" i="7"/>
  <c r="BK80" i="7" s="1"/>
  <c r="AW80" i="7"/>
  <c r="AV80" i="7"/>
  <c r="AU80" i="7"/>
  <c r="AT80" i="7"/>
  <c r="AS80" i="7"/>
  <c r="AR80" i="7"/>
  <c r="AQ80" i="7"/>
  <c r="AP80" i="7"/>
  <c r="BJ79" i="7"/>
  <c r="BM79" i="7" s="1"/>
  <c r="BI79" i="7"/>
  <c r="BH79" i="7"/>
  <c r="BG79" i="7"/>
  <c r="BF79" i="7"/>
  <c r="BE79" i="7"/>
  <c r="BD79" i="7"/>
  <c r="BC79" i="7"/>
  <c r="BB79" i="7"/>
  <c r="BA79" i="7"/>
  <c r="AZ79" i="7"/>
  <c r="AW79" i="7"/>
  <c r="AV79" i="7"/>
  <c r="AU79" i="7"/>
  <c r="AT79" i="7"/>
  <c r="AS79" i="7"/>
  <c r="AR79" i="7"/>
  <c r="AQ79" i="7"/>
  <c r="AP79" i="7"/>
  <c r="BJ78" i="7"/>
  <c r="BM78" i="7" s="1"/>
  <c r="BI78" i="7"/>
  <c r="BH78" i="7"/>
  <c r="BG78" i="7"/>
  <c r="BF78" i="7"/>
  <c r="BE78" i="7"/>
  <c r="BD78" i="7"/>
  <c r="BC78" i="7"/>
  <c r="BB78" i="7"/>
  <c r="BA78" i="7"/>
  <c r="AZ78" i="7"/>
  <c r="AY78" i="7"/>
  <c r="AW78" i="7"/>
  <c r="AV78" i="7"/>
  <c r="AU78" i="7"/>
  <c r="AT78" i="7"/>
  <c r="AS78" i="7"/>
  <c r="AR78" i="7"/>
  <c r="AQ78" i="7"/>
  <c r="AP78" i="7"/>
  <c r="BJ77" i="7"/>
  <c r="BM77" i="7" s="1"/>
  <c r="BI77" i="7"/>
  <c r="BH77" i="7"/>
  <c r="BG77" i="7"/>
  <c r="BF77" i="7"/>
  <c r="BE77" i="7"/>
  <c r="BD77" i="7"/>
  <c r="BC77" i="7"/>
  <c r="BB77" i="7"/>
  <c r="BA77" i="7"/>
  <c r="AZ77" i="7"/>
  <c r="AW77" i="7"/>
  <c r="AV77" i="7"/>
  <c r="AU77" i="7"/>
  <c r="AT77" i="7"/>
  <c r="AS77" i="7"/>
  <c r="AR77" i="7"/>
  <c r="AQ77" i="7"/>
  <c r="AP77" i="7"/>
  <c r="BJ76" i="7"/>
  <c r="BM76" i="7" s="1"/>
  <c r="BI76" i="7"/>
  <c r="BH76" i="7"/>
  <c r="BG76" i="7"/>
  <c r="BF76" i="7"/>
  <c r="BE76" i="7"/>
  <c r="BD76" i="7"/>
  <c r="BC76" i="7"/>
  <c r="BB76" i="7"/>
  <c r="BA76" i="7"/>
  <c r="AZ76" i="7"/>
  <c r="AW76" i="7"/>
  <c r="AV76" i="7"/>
  <c r="AU76" i="7"/>
  <c r="AT76" i="7"/>
  <c r="AS76" i="7"/>
  <c r="AR76" i="7"/>
  <c r="AQ76" i="7"/>
  <c r="AP76" i="7"/>
  <c r="BJ75" i="7"/>
  <c r="BM75" i="7" s="1"/>
  <c r="BI75" i="7"/>
  <c r="BH75" i="7"/>
  <c r="BG75" i="7"/>
  <c r="BF75" i="7"/>
  <c r="BE75" i="7"/>
  <c r="BD75" i="7"/>
  <c r="BC75" i="7"/>
  <c r="BB75" i="7"/>
  <c r="BA75" i="7"/>
  <c r="AZ75" i="7"/>
  <c r="AW75" i="7"/>
  <c r="AV75" i="7"/>
  <c r="AU75" i="7"/>
  <c r="AT75" i="7"/>
  <c r="AS75" i="7"/>
  <c r="AR75" i="7"/>
  <c r="AQ75" i="7"/>
  <c r="AP75" i="7"/>
  <c r="BJ73" i="7"/>
  <c r="BI73" i="7"/>
  <c r="BH73" i="7"/>
  <c r="BG73" i="7"/>
  <c r="BF73" i="7"/>
  <c r="BE73" i="7"/>
  <c r="BD73" i="7"/>
  <c r="BC73" i="7"/>
  <c r="BB73" i="7"/>
  <c r="BA73" i="7"/>
  <c r="AZ73" i="7"/>
  <c r="AY73" i="7"/>
  <c r="BL73" i="7" s="1"/>
  <c r="AW73" i="7"/>
  <c r="AV73" i="7"/>
  <c r="AU73" i="7"/>
  <c r="AT73" i="7"/>
  <c r="AS73" i="7"/>
  <c r="AR73" i="7"/>
  <c r="AQ73" i="7"/>
  <c r="AP73" i="7"/>
  <c r="BJ72" i="7"/>
  <c r="BI72" i="7"/>
  <c r="BH72" i="7"/>
  <c r="BG72" i="7"/>
  <c r="BF72" i="7"/>
  <c r="BE72" i="7"/>
  <c r="BD72" i="7"/>
  <c r="BC72" i="7"/>
  <c r="BB72" i="7"/>
  <c r="BA72" i="7"/>
  <c r="AZ72" i="7"/>
  <c r="AY72" i="7"/>
  <c r="BL72" i="7" s="1"/>
  <c r="AW72" i="7"/>
  <c r="AV72" i="7"/>
  <c r="AU72" i="7"/>
  <c r="AT72" i="7"/>
  <c r="AS72" i="7"/>
  <c r="AR72" i="7"/>
  <c r="AQ72" i="7"/>
  <c r="AP72" i="7"/>
  <c r="BJ71" i="7"/>
  <c r="BM71" i="7" s="1"/>
  <c r="BI71" i="7"/>
  <c r="BH71" i="7"/>
  <c r="BG71" i="7"/>
  <c r="BF71" i="7"/>
  <c r="BE71" i="7"/>
  <c r="BD71" i="7"/>
  <c r="BC71" i="7"/>
  <c r="BB71" i="7"/>
  <c r="BA71" i="7"/>
  <c r="AZ71" i="7"/>
  <c r="AY71" i="7"/>
  <c r="BL71" i="7" s="1"/>
  <c r="AW71" i="7"/>
  <c r="AV71" i="7"/>
  <c r="AU71" i="7"/>
  <c r="AT71" i="7"/>
  <c r="AS71" i="7"/>
  <c r="AR71" i="7"/>
  <c r="AQ71" i="7"/>
  <c r="AP71" i="7"/>
  <c r="BJ70" i="7"/>
  <c r="BM70" i="7" s="1"/>
  <c r="BI70" i="7"/>
  <c r="BH70" i="7"/>
  <c r="BG70" i="7"/>
  <c r="BF70" i="7"/>
  <c r="BE70" i="7"/>
  <c r="BD70" i="7"/>
  <c r="BC70" i="7"/>
  <c r="BB70" i="7"/>
  <c r="BA70" i="7"/>
  <c r="AZ70" i="7"/>
  <c r="AX70" i="7"/>
  <c r="BK70" i="7" s="1"/>
  <c r="AW70" i="7"/>
  <c r="AV70" i="7"/>
  <c r="AU70" i="7"/>
  <c r="AT70" i="7"/>
  <c r="AS70" i="7"/>
  <c r="AR70" i="7"/>
  <c r="AQ70" i="7"/>
  <c r="AP70" i="7"/>
  <c r="BJ69" i="7"/>
  <c r="BM69" i="7" s="1"/>
  <c r="BI69" i="7"/>
  <c r="BH69" i="7"/>
  <c r="BG69" i="7"/>
  <c r="BF69" i="7"/>
  <c r="BE69" i="7"/>
  <c r="BD69" i="7"/>
  <c r="BC69" i="7"/>
  <c r="BB69" i="7"/>
  <c r="BA69" i="7"/>
  <c r="AZ69" i="7"/>
  <c r="AY69" i="7"/>
  <c r="BL69" i="7" s="1"/>
  <c r="AX69" i="7"/>
  <c r="BK69" i="7" s="1"/>
  <c r="AW69" i="7"/>
  <c r="AV69" i="7"/>
  <c r="AU69" i="7"/>
  <c r="AT69" i="7"/>
  <c r="AS69" i="7"/>
  <c r="AR69" i="7"/>
  <c r="AQ69" i="7"/>
  <c r="AP69" i="7"/>
  <c r="BJ68" i="7"/>
  <c r="BM68" i="7" s="1"/>
  <c r="BI68" i="7"/>
  <c r="BH68" i="7"/>
  <c r="BG68" i="7"/>
  <c r="BF68" i="7"/>
  <c r="BE68" i="7"/>
  <c r="BD68" i="7"/>
  <c r="BC68" i="7"/>
  <c r="BB68" i="7"/>
  <c r="BA68" i="7"/>
  <c r="AZ68" i="7"/>
  <c r="AY68" i="7"/>
  <c r="AW68" i="7"/>
  <c r="AV68" i="7"/>
  <c r="AU68" i="7"/>
  <c r="AT68" i="7"/>
  <c r="AS68" i="7"/>
  <c r="AR68" i="7"/>
  <c r="AQ68" i="7"/>
  <c r="AP68" i="7"/>
  <c r="BJ67" i="7"/>
  <c r="BM67" i="7" s="1"/>
  <c r="BI67" i="7"/>
  <c r="BH67" i="7"/>
  <c r="BG67" i="7"/>
  <c r="BF67" i="7"/>
  <c r="BE67" i="7"/>
  <c r="BD67" i="7"/>
  <c r="BC67" i="7"/>
  <c r="BB67" i="7"/>
  <c r="BA67" i="7"/>
  <c r="AZ67" i="7"/>
  <c r="AY67" i="7"/>
  <c r="BL67" i="7" s="1"/>
  <c r="AW67" i="7"/>
  <c r="AV67" i="7"/>
  <c r="AU67" i="7"/>
  <c r="AT67" i="7"/>
  <c r="AS67" i="7"/>
  <c r="AR67" i="7"/>
  <c r="AQ67" i="7"/>
  <c r="AP67" i="7"/>
  <c r="BJ66" i="7"/>
  <c r="BM66" i="7" s="1"/>
  <c r="BI66" i="7"/>
  <c r="BH66" i="7"/>
  <c r="BG66" i="7"/>
  <c r="BF66" i="7"/>
  <c r="BE66" i="7"/>
  <c r="BD66" i="7"/>
  <c r="BC66" i="7"/>
  <c r="BB66" i="7"/>
  <c r="BA66" i="7"/>
  <c r="AZ66" i="7"/>
  <c r="AY66" i="7"/>
  <c r="BL66" i="7" s="1"/>
  <c r="AW66" i="7"/>
  <c r="AV66" i="7"/>
  <c r="AU66" i="7"/>
  <c r="AT66" i="7"/>
  <c r="AS66" i="7"/>
  <c r="AR66" i="7"/>
  <c r="AQ66" i="7"/>
  <c r="AP66" i="7"/>
  <c r="BJ65" i="7"/>
  <c r="BI65" i="7"/>
  <c r="BH65" i="7"/>
  <c r="BG65" i="7"/>
  <c r="BF65" i="7"/>
  <c r="BE65" i="7"/>
  <c r="BD65" i="7"/>
  <c r="BC65" i="7"/>
  <c r="BB65" i="7"/>
  <c r="BA65" i="7"/>
  <c r="AZ65" i="7"/>
  <c r="AW65" i="7"/>
  <c r="AV65" i="7"/>
  <c r="AU65" i="7"/>
  <c r="AT65" i="7"/>
  <c r="AS65" i="7"/>
  <c r="AR65" i="7"/>
  <c r="AQ65" i="7"/>
  <c r="AP65" i="7"/>
  <c r="BJ64" i="7"/>
  <c r="BI64" i="7"/>
  <c r="BH64" i="7"/>
  <c r="BG64" i="7"/>
  <c r="BF64" i="7"/>
  <c r="BE64" i="7"/>
  <c r="BD64" i="7"/>
  <c r="BC64" i="7"/>
  <c r="BB64" i="7"/>
  <c r="BA64" i="7"/>
  <c r="AZ64" i="7"/>
  <c r="AY64" i="7"/>
  <c r="BL64" i="7" s="1"/>
  <c r="AW64" i="7"/>
  <c r="AV64" i="7"/>
  <c r="AU64" i="7"/>
  <c r="AT64" i="7"/>
  <c r="AS64" i="7"/>
  <c r="AR64" i="7"/>
  <c r="AQ64" i="7"/>
  <c r="AP64" i="7"/>
  <c r="BJ63" i="7"/>
  <c r="BM63" i="7" s="1"/>
  <c r="BI63" i="7"/>
  <c r="BH63" i="7"/>
  <c r="BG63" i="7"/>
  <c r="BF63" i="7"/>
  <c r="BE63" i="7"/>
  <c r="BD63" i="7"/>
  <c r="BC63" i="7"/>
  <c r="BB63" i="7"/>
  <c r="BA63" i="7"/>
  <c r="AZ63" i="7"/>
  <c r="AW63" i="7"/>
  <c r="AV63" i="7"/>
  <c r="AU63" i="7"/>
  <c r="AT63" i="7"/>
  <c r="AS63" i="7"/>
  <c r="AR63" i="7"/>
  <c r="AQ63" i="7"/>
  <c r="AP63" i="7"/>
  <c r="BJ62" i="7"/>
  <c r="BM62" i="7" s="1"/>
  <c r="BI62" i="7"/>
  <c r="BH62" i="7"/>
  <c r="BG62" i="7"/>
  <c r="BF62" i="7"/>
  <c r="BE62" i="7"/>
  <c r="BD62" i="7"/>
  <c r="BC62" i="7"/>
  <c r="BB62" i="7"/>
  <c r="BA62" i="7"/>
  <c r="AZ62" i="7"/>
  <c r="AW62" i="7"/>
  <c r="AV62" i="7"/>
  <c r="AU62" i="7"/>
  <c r="AT62" i="7"/>
  <c r="AS62" i="7"/>
  <c r="AR62" i="7"/>
  <c r="AQ62" i="7"/>
  <c r="AP62" i="7"/>
  <c r="BJ60" i="7"/>
  <c r="BM60" i="7" s="1"/>
  <c r="BI60" i="7"/>
  <c r="BH60" i="7"/>
  <c r="BG60" i="7"/>
  <c r="BF60" i="7"/>
  <c r="BE60" i="7"/>
  <c r="BD60" i="7"/>
  <c r="BC60" i="7"/>
  <c r="BB60" i="7"/>
  <c r="BA60" i="7"/>
  <c r="AZ60" i="7"/>
  <c r="AW60" i="7"/>
  <c r="AV60" i="7"/>
  <c r="AU60" i="7"/>
  <c r="AT60" i="7"/>
  <c r="AS60" i="7"/>
  <c r="AR60" i="7"/>
  <c r="AQ60" i="7"/>
  <c r="AP60" i="7"/>
  <c r="BJ58" i="7"/>
  <c r="BM58" i="7" s="1"/>
  <c r="BI58" i="7"/>
  <c r="BH58" i="7"/>
  <c r="BG58" i="7"/>
  <c r="BF58" i="7"/>
  <c r="BE58" i="7"/>
  <c r="BD58" i="7"/>
  <c r="BC58" i="7"/>
  <c r="BB58" i="7"/>
  <c r="BA58" i="7"/>
  <c r="AZ58" i="7"/>
  <c r="AW58" i="7"/>
  <c r="AV58" i="7"/>
  <c r="AU58" i="7"/>
  <c r="AT58" i="7"/>
  <c r="AS58" i="7"/>
  <c r="AR58" i="7"/>
  <c r="AQ58" i="7"/>
  <c r="AP58" i="7"/>
  <c r="BJ57" i="7"/>
  <c r="BM57" i="7" s="1"/>
  <c r="BI57" i="7"/>
  <c r="BH57" i="7"/>
  <c r="BG57" i="7"/>
  <c r="BF57" i="7"/>
  <c r="BE57" i="7"/>
  <c r="BD57" i="7"/>
  <c r="BC57" i="7"/>
  <c r="BB57" i="7"/>
  <c r="BA57" i="7"/>
  <c r="AZ57" i="7"/>
  <c r="AW57" i="7"/>
  <c r="AV57" i="7"/>
  <c r="AU57" i="7"/>
  <c r="AT57" i="7"/>
  <c r="AS57" i="7"/>
  <c r="AR57" i="7"/>
  <c r="AQ57" i="7"/>
  <c r="AP57" i="7"/>
  <c r="BJ56" i="7"/>
  <c r="BM56" i="7" s="1"/>
  <c r="BI56" i="7"/>
  <c r="BH56" i="7"/>
  <c r="BG56" i="7"/>
  <c r="BF56" i="7"/>
  <c r="BE56" i="7"/>
  <c r="BD56" i="7"/>
  <c r="BC56" i="7"/>
  <c r="BB56" i="7"/>
  <c r="BA56" i="7"/>
  <c r="AZ56" i="7"/>
  <c r="AW56" i="7"/>
  <c r="AV56" i="7"/>
  <c r="AU56" i="7"/>
  <c r="AT56" i="7"/>
  <c r="AS56" i="7"/>
  <c r="AR56" i="7"/>
  <c r="AQ56" i="7"/>
  <c r="AP56" i="7"/>
  <c r="BJ55" i="7"/>
  <c r="BM55" i="7" s="1"/>
  <c r="BI55" i="7"/>
  <c r="BH55" i="7"/>
  <c r="BG55" i="7"/>
  <c r="BF55" i="7"/>
  <c r="BE55" i="7"/>
  <c r="BD55" i="7"/>
  <c r="BC55" i="7"/>
  <c r="BB55" i="7"/>
  <c r="BA55" i="7"/>
  <c r="AZ55" i="7"/>
  <c r="AY55" i="7"/>
  <c r="BL55" i="7" s="1"/>
  <c r="AW55" i="7"/>
  <c r="AV55" i="7"/>
  <c r="AU55" i="7"/>
  <c r="AT55" i="7"/>
  <c r="AS55" i="7"/>
  <c r="AR55" i="7"/>
  <c r="AQ55" i="7"/>
  <c r="AP55" i="7"/>
  <c r="BJ54" i="7"/>
  <c r="BI54" i="7"/>
  <c r="BH54" i="7"/>
  <c r="BG54" i="7"/>
  <c r="BF54" i="7"/>
  <c r="BE54" i="7"/>
  <c r="BD54" i="7"/>
  <c r="BC54" i="7"/>
  <c r="BB54" i="7"/>
  <c r="BA54" i="7"/>
  <c r="AZ54" i="7"/>
  <c r="AY54" i="7"/>
  <c r="BL54" i="7" s="1"/>
  <c r="AW54" i="7"/>
  <c r="AV54" i="7"/>
  <c r="AU54" i="7"/>
  <c r="AT54" i="7"/>
  <c r="AS54" i="7"/>
  <c r="AR54" i="7"/>
  <c r="AQ54" i="7"/>
  <c r="AP54" i="7"/>
  <c r="BJ53" i="7"/>
  <c r="BM53" i="7" s="1"/>
  <c r="BI53" i="7"/>
  <c r="BH53" i="7"/>
  <c r="BG53" i="7"/>
  <c r="BF53" i="7"/>
  <c r="BE53" i="7"/>
  <c r="BD53" i="7"/>
  <c r="BC53" i="7"/>
  <c r="BB53" i="7"/>
  <c r="BA53" i="7"/>
  <c r="AZ53" i="7"/>
  <c r="AY53" i="7"/>
  <c r="BL53" i="7" s="1"/>
  <c r="AW53" i="7"/>
  <c r="AV53" i="7"/>
  <c r="AU53" i="7"/>
  <c r="AT53" i="7"/>
  <c r="AS53" i="7"/>
  <c r="AR53" i="7"/>
  <c r="AQ53" i="7"/>
  <c r="AP53" i="7"/>
  <c r="BJ52" i="7"/>
  <c r="BM52" i="7" s="1"/>
  <c r="BI52" i="7"/>
  <c r="BH52" i="7"/>
  <c r="BG52" i="7"/>
  <c r="BF52" i="7"/>
  <c r="BE52" i="7"/>
  <c r="BD52" i="7"/>
  <c r="BC52" i="7"/>
  <c r="BB52" i="7"/>
  <c r="BA52" i="7"/>
  <c r="AZ52" i="7"/>
  <c r="AY52" i="7"/>
  <c r="BL52" i="7" s="1"/>
  <c r="AW52" i="7"/>
  <c r="AV52" i="7"/>
  <c r="AU52" i="7"/>
  <c r="AT52" i="7"/>
  <c r="AS52" i="7"/>
  <c r="AR52" i="7"/>
  <c r="AQ52" i="7"/>
  <c r="AP52" i="7"/>
  <c r="BJ51" i="7"/>
  <c r="BM51" i="7" s="1"/>
  <c r="BI51" i="7"/>
  <c r="BH51" i="7"/>
  <c r="BG51" i="7"/>
  <c r="BF51" i="7"/>
  <c r="BE51" i="7"/>
  <c r="BD51" i="7"/>
  <c r="BC51" i="7"/>
  <c r="BB51" i="7"/>
  <c r="BA51" i="7"/>
  <c r="AZ51" i="7"/>
  <c r="AY51" i="7"/>
  <c r="AW51" i="7"/>
  <c r="AV51" i="7"/>
  <c r="AU51" i="7"/>
  <c r="AT51" i="7"/>
  <c r="AS51" i="7"/>
  <c r="AR51" i="7"/>
  <c r="AQ51" i="7"/>
  <c r="AP51" i="7"/>
  <c r="BJ49" i="7"/>
  <c r="BM49" i="7" s="1"/>
  <c r="BI49" i="7"/>
  <c r="BH49" i="7"/>
  <c r="BG49" i="7"/>
  <c r="BF49" i="7"/>
  <c r="BE49" i="7"/>
  <c r="BD49" i="7"/>
  <c r="BC49" i="7"/>
  <c r="BB49" i="7"/>
  <c r="BA49" i="7"/>
  <c r="AZ49" i="7"/>
  <c r="AY49" i="7"/>
  <c r="AW49" i="7"/>
  <c r="AV49" i="7"/>
  <c r="AU49" i="7"/>
  <c r="AT49" i="7"/>
  <c r="AS49" i="7"/>
  <c r="AR49" i="7"/>
  <c r="AQ49" i="7"/>
  <c r="AP49" i="7"/>
  <c r="BJ48" i="7"/>
  <c r="BM48" i="7" s="1"/>
  <c r="BI48" i="7"/>
  <c r="BH48" i="7"/>
  <c r="BG48" i="7"/>
  <c r="BF48" i="7"/>
  <c r="BE48" i="7"/>
  <c r="BD48" i="7"/>
  <c r="BC48" i="7"/>
  <c r="BB48" i="7"/>
  <c r="BA48" i="7"/>
  <c r="AZ48" i="7"/>
  <c r="AW48" i="7"/>
  <c r="AV48" i="7"/>
  <c r="AU48" i="7"/>
  <c r="AT48" i="7"/>
  <c r="AS48" i="7"/>
  <c r="AR48" i="7"/>
  <c r="AQ48" i="7"/>
  <c r="AP48" i="7"/>
  <c r="BJ46" i="7"/>
  <c r="BM46" i="7" s="1"/>
  <c r="BI46" i="7"/>
  <c r="BH46" i="7"/>
  <c r="BG46" i="7"/>
  <c r="BF46" i="7"/>
  <c r="BE46" i="7"/>
  <c r="BD46" i="7"/>
  <c r="BC46" i="7"/>
  <c r="BB46" i="7"/>
  <c r="BA46" i="7"/>
  <c r="AZ46" i="7"/>
  <c r="AY46" i="7"/>
  <c r="BL46" i="7" s="1"/>
  <c r="AW46" i="7"/>
  <c r="AV46" i="7"/>
  <c r="AU46" i="7"/>
  <c r="AT46" i="7"/>
  <c r="AS46" i="7"/>
  <c r="AR46" i="7"/>
  <c r="AQ46" i="7"/>
  <c r="AP46" i="7"/>
  <c r="BJ45" i="7"/>
  <c r="BI45" i="7"/>
  <c r="BH45" i="7"/>
  <c r="BG45" i="7"/>
  <c r="BF45" i="7"/>
  <c r="BE45" i="7"/>
  <c r="BD45" i="7"/>
  <c r="BC45" i="7"/>
  <c r="BB45" i="7"/>
  <c r="BA45" i="7"/>
  <c r="AZ45" i="7"/>
  <c r="AY45" i="7"/>
  <c r="BL45" i="7" s="1"/>
  <c r="AW45" i="7"/>
  <c r="AV45" i="7"/>
  <c r="AU45" i="7"/>
  <c r="AT45" i="7"/>
  <c r="AS45" i="7"/>
  <c r="AR45" i="7"/>
  <c r="AQ45" i="7"/>
  <c r="AP45" i="7"/>
  <c r="BJ44" i="7"/>
  <c r="BI44" i="7"/>
  <c r="BH44" i="7"/>
  <c r="BG44" i="7"/>
  <c r="BF44" i="7"/>
  <c r="BE44" i="7"/>
  <c r="BD44" i="7"/>
  <c r="BC44" i="7"/>
  <c r="BB44" i="7"/>
  <c r="BA44" i="7"/>
  <c r="AZ44" i="7"/>
  <c r="AY44" i="7"/>
  <c r="BL44" i="7" s="1"/>
  <c r="AW44" i="7"/>
  <c r="AV44" i="7"/>
  <c r="AU44" i="7"/>
  <c r="AT44" i="7"/>
  <c r="AS44" i="7"/>
  <c r="AR44" i="7"/>
  <c r="AQ44" i="7"/>
  <c r="AP44" i="7"/>
  <c r="BJ43" i="7"/>
  <c r="BM43" i="7" s="1"/>
  <c r="BI43" i="7"/>
  <c r="BH43" i="7"/>
  <c r="BG43" i="7"/>
  <c r="BF43" i="7"/>
  <c r="BE43" i="7"/>
  <c r="BD43" i="7"/>
  <c r="BC43" i="7"/>
  <c r="BB43" i="7"/>
  <c r="BA43" i="7"/>
  <c r="AZ43" i="7"/>
  <c r="AY43" i="7"/>
  <c r="BL43" i="7" s="1"/>
  <c r="AW43" i="7"/>
  <c r="AV43" i="7"/>
  <c r="AU43" i="7"/>
  <c r="AT43" i="7"/>
  <c r="AS43" i="7"/>
  <c r="AR43" i="7"/>
  <c r="AQ43" i="7"/>
  <c r="AP43" i="7"/>
  <c r="BJ42" i="7"/>
  <c r="BM42" i="7" s="1"/>
  <c r="BI42" i="7"/>
  <c r="BH42" i="7"/>
  <c r="BG42" i="7"/>
  <c r="BF42" i="7"/>
  <c r="BE42" i="7"/>
  <c r="BD42" i="7"/>
  <c r="BC42" i="7"/>
  <c r="BB42" i="7"/>
  <c r="BA42" i="7"/>
  <c r="AZ42" i="7"/>
  <c r="AX42" i="7"/>
  <c r="BK42" i="7" s="1"/>
  <c r="AW42" i="7"/>
  <c r="AV42" i="7"/>
  <c r="AU42" i="7"/>
  <c r="AT42" i="7"/>
  <c r="AS42" i="7"/>
  <c r="AR42" i="7"/>
  <c r="AQ42" i="7"/>
  <c r="AP42" i="7"/>
  <c r="BJ41" i="7"/>
  <c r="BM41" i="7" s="1"/>
  <c r="BI41" i="7"/>
  <c r="BH41" i="7"/>
  <c r="BG41" i="7"/>
  <c r="BF41" i="7"/>
  <c r="BE41" i="7"/>
  <c r="BD41" i="7"/>
  <c r="BC41" i="7"/>
  <c r="BB41" i="7"/>
  <c r="BA41" i="7"/>
  <c r="AZ41" i="7"/>
  <c r="AY41" i="7"/>
  <c r="AW41" i="7"/>
  <c r="AV41" i="7"/>
  <c r="AU41" i="7"/>
  <c r="AT41" i="7"/>
  <c r="AS41" i="7"/>
  <c r="AR41" i="7"/>
  <c r="AQ41" i="7"/>
  <c r="AP41" i="7"/>
  <c r="BJ40" i="7"/>
  <c r="BM40" i="7" s="1"/>
  <c r="BI40" i="7"/>
  <c r="BH40" i="7"/>
  <c r="BG40" i="7"/>
  <c r="BF40" i="7"/>
  <c r="BE40" i="7"/>
  <c r="BD40" i="7"/>
  <c r="BC40" i="7"/>
  <c r="BB40" i="7"/>
  <c r="BA40" i="7"/>
  <c r="AZ40" i="7"/>
  <c r="AW40" i="7"/>
  <c r="AV40" i="7"/>
  <c r="AU40" i="7"/>
  <c r="AT40" i="7"/>
  <c r="AS40" i="7"/>
  <c r="AR40" i="7"/>
  <c r="AQ40" i="7"/>
  <c r="AP40" i="7"/>
  <c r="BJ39" i="7"/>
  <c r="BM39" i="7" s="1"/>
  <c r="BI39" i="7"/>
  <c r="BH39" i="7"/>
  <c r="BG39" i="7"/>
  <c r="BF39" i="7"/>
  <c r="BE39" i="7"/>
  <c r="BD39" i="7"/>
  <c r="BC39" i="7"/>
  <c r="BB39" i="7"/>
  <c r="BA39" i="7"/>
  <c r="AZ39" i="7"/>
  <c r="AW39" i="7"/>
  <c r="AV39" i="7"/>
  <c r="AU39" i="7"/>
  <c r="AT39" i="7"/>
  <c r="AS39" i="7"/>
  <c r="AR39" i="7"/>
  <c r="AQ39" i="7"/>
  <c r="AP39" i="7"/>
  <c r="BJ38" i="7"/>
  <c r="BM38" i="7" s="1"/>
  <c r="BI38" i="7"/>
  <c r="BH38" i="7"/>
  <c r="BG38" i="7"/>
  <c r="BF38" i="7"/>
  <c r="BE38" i="7"/>
  <c r="BD38" i="7"/>
  <c r="BC38" i="7"/>
  <c r="BB38" i="7"/>
  <c r="BA38" i="7"/>
  <c r="AZ38" i="7"/>
  <c r="AW38" i="7"/>
  <c r="AV38" i="7"/>
  <c r="AU38" i="7"/>
  <c r="AT38" i="7"/>
  <c r="AS38" i="7"/>
  <c r="AR38" i="7"/>
  <c r="AQ38" i="7"/>
  <c r="AP38" i="7"/>
  <c r="BJ37" i="7"/>
  <c r="BI37" i="7"/>
  <c r="BH37" i="7"/>
  <c r="BG37" i="7"/>
  <c r="BF37" i="7"/>
  <c r="BE37" i="7"/>
  <c r="BD37" i="7"/>
  <c r="BC37" i="7"/>
  <c r="BB37" i="7"/>
  <c r="BA37" i="7"/>
  <c r="AZ37" i="7"/>
  <c r="AW37" i="7"/>
  <c r="AV37" i="7"/>
  <c r="AU37" i="7"/>
  <c r="AT37" i="7"/>
  <c r="AS37" i="7"/>
  <c r="AR37" i="7"/>
  <c r="AQ37" i="7"/>
  <c r="AP37" i="7"/>
  <c r="BJ36" i="7"/>
  <c r="BI36" i="7"/>
  <c r="BH36" i="7"/>
  <c r="BG36" i="7"/>
  <c r="BF36" i="7"/>
  <c r="BE36" i="7"/>
  <c r="BD36" i="7"/>
  <c r="BC36" i="7"/>
  <c r="BB36" i="7"/>
  <c r="BA36" i="7"/>
  <c r="AZ36" i="7"/>
  <c r="AW36" i="7"/>
  <c r="AV36" i="7"/>
  <c r="AU36" i="7"/>
  <c r="AT36" i="7"/>
  <c r="AS36" i="7"/>
  <c r="AR36" i="7"/>
  <c r="AQ36" i="7"/>
  <c r="AP36" i="7"/>
  <c r="BJ35" i="7"/>
  <c r="BM35" i="7" s="1"/>
  <c r="BI35" i="7"/>
  <c r="BH35" i="7"/>
  <c r="BG35" i="7"/>
  <c r="BF35" i="7"/>
  <c r="BE35" i="7"/>
  <c r="BD35" i="7"/>
  <c r="BC35" i="7"/>
  <c r="BB35" i="7"/>
  <c r="BA35" i="7"/>
  <c r="AZ35" i="7"/>
  <c r="AY35" i="7"/>
  <c r="BL35" i="7" s="1"/>
  <c r="AX35" i="7"/>
  <c r="BK35" i="7" s="1"/>
  <c r="AW35" i="7"/>
  <c r="AV35" i="7"/>
  <c r="AU35" i="7"/>
  <c r="AT35" i="7"/>
  <c r="AS35" i="7"/>
  <c r="AR35" i="7"/>
  <c r="AQ35" i="7"/>
  <c r="AP35" i="7"/>
  <c r="BJ34" i="7"/>
  <c r="BM34" i="7" s="1"/>
  <c r="BI34" i="7"/>
  <c r="BH34" i="7"/>
  <c r="BG34" i="7"/>
  <c r="BF34" i="7"/>
  <c r="BE34" i="7"/>
  <c r="BD34" i="7"/>
  <c r="BC34" i="7"/>
  <c r="BB34" i="7"/>
  <c r="BA34" i="7"/>
  <c r="AZ34" i="7"/>
  <c r="AW34" i="7"/>
  <c r="AV34" i="7"/>
  <c r="AU34" i="7"/>
  <c r="AT34" i="7"/>
  <c r="AS34" i="7"/>
  <c r="AR34" i="7"/>
  <c r="AQ34" i="7"/>
  <c r="AP34" i="7"/>
  <c r="BJ33" i="7"/>
  <c r="BM33" i="7" s="1"/>
  <c r="BI33" i="7"/>
  <c r="BH33" i="7"/>
  <c r="BG33" i="7"/>
  <c r="BF33" i="7"/>
  <c r="BE33" i="7"/>
  <c r="BD33" i="7"/>
  <c r="BC33" i="7"/>
  <c r="BB33" i="7"/>
  <c r="BA33" i="7"/>
  <c r="AZ33" i="7"/>
  <c r="AY33" i="7"/>
  <c r="AW33" i="7"/>
  <c r="AV33" i="7"/>
  <c r="AU33" i="7"/>
  <c r="AT33" i="7"/>
  <c r="AS33" i="7"/>
  <c r="AR33" i="7"/>
  <c r="AQ33" i="7"/>
  <c r="AP33" i="7"/>
  <c r="BJ32" i="7"/>
  <c r="BM32" i="7" s="1"/>
  <c r="BI32" i="7"/>
  <c r="BH32" i="7"/>
  <c r="BG32" i="7"/>
  <c r="BF32" i="7"/>
  <c r="BE32" i="7"/>
  <c r="BD32" i="7"/>
  <c r="BC32" i="7"/>
  <c r="BB32" i="7"/>
  <c r="BA32" i="7"/>
  <c r="AZ32" i="7"/>
  <c r="AW32" i="7"/>
  <c r="AV32" i="7"/>
  <c r="AU32" i="7"/>
  <c r="AT32" i="7"/>
  <c r="AS32" i="7"/>
  <c r="AR32" i="7"/>
  <c r="AQ32" i="7"/>
  <c r="AP32" i="7"/>
  <c r="BJ31" i="7"/>
  <c r="BM31" i="7" s="1"/>
  <c r="BI31" i="7"/>
  <c r="BH31" i="7"/>
  <c r="BG31" i="7"/>
  <c r="BF31" i="7"/>
  <c r="BE31" i="7"/>
  <c r="BD31" i="7"/>
  <c r="BC31" i="7"/>
  <c r="BB31" i="7"/>
  <c r="BA31" i="7"/>
  <c r="AZ31" i="7"/>
  <c r="AY31" i="7"/>
  <c r="BL31" i="7" s="1"/>
  <c r="AW31" i="7"/>
  <c r="AV31" i="7"/>
  <c r="AU31" i="7"/>
  <c r="AT31" i="7"/>
  <c r="AS31" i="7"/>
  <c r="AR31" i="7"/>
  <c r="AQ31" i="7"/>
  <c r="AP31" i="7"/>
  <c r="BJ30" i="7"/>
  <c r="BM30" i="7" s="1"/>
  <c r="BI30" i="7"/>
  <c r="BH30" i="7"/>
  <c r="BG30" i="7"/>
  <c r="BF30" i="7"/>
  <c r="BE30" i="7"/>
  <c r="BD30" i="7"/>
  <c r="BC30" i="7"/>
  <c r="BB30" i="7"/>
  <c r="BA30" i="7"/>
  <c r="AZ30" i="7"/>
  <c r="AY30" i="7"/>
  <c r="BL30" i="7" s="1"/>
  <c r="AW30" i="7"/>
  <c r="AV30" i="7"/>
  <c r="AU30" i="7"/>
  <c r="AT30" i="7"/>
  <c r="AS30" i="7"/>
  <c r="AR30" i="7"/>
  <c r="AQ30" i="7"/>
  <c r="AP30" i="7"/>
  <c r="BJ29" i="7"/>
  <c r="BM29" i="7" s="1"/>
  <c r="BI29" i="7"/>
  <c r="BH29" i="7"/>
  <c r="BG29" i="7"/>
  <c r="BF29" i="7"/>
  <c r="BE29" i="7"/>
  <c r="BD29" i="7"/>
  <c r="BC29" i="7"/>
  <c r="BB29" i="7"/>
  <c r="BA29" i="7"/>
  <c r="AZ29" i="7"/>
  <c r="AW29" i="7"/>
  <c r="AV29" i="7"/>
  <c r="AU29" i="7"/>
  <c r="AT29" i="7"/>
  <c r="AS29" i="7"/>
  <c r="AR29" i="7"/>
  <c r="AQ29" i="7"/>
  <c r="AP29" i="7"/>
  <c r="BJ28" i="7"/>
  <c r="BI28" i="7"/>
  <c r="BH28" i="7"/>
  <c r="BG28" i="7"/>
  <c r="BF28" i="7"/>
  <c r="BE28" i="7"/>
  <c r="BD28" i="7"/>
  <c r="BC28" i="7"/>
  <c r="BB28" i="7"/>
  <c r="BA28" i="7"/>
  <c r="AZ28" i="7"/>
  <c r="AW28" i="7"/>
  <c r="AV28" i="7"/>
  <c r="AU28" i="7"/>
  <c r="AT28" i="7"/>
  <c r="AS28" i="7"/>
  <c r="AR28" i="7"/>
  <c r="AQ28" i="7"/>
  <c r="AP28" i="7"/>
  <c r="BJ27" i="7"/>
  <c r="BM27" i="7" s="1"/>
  <c r="BI27" i="7"/>
  <c r="BH27" i="7"/>
  <c r="BG27" i="7"/>
  <c r="BF27" i="7"/>
  <c r="BE27" i="7"/>
  <c r="BD27" i="7"/>
  <c r="BC27" i="7"/>
  <c r="BB27" i="7"/>
  <c r="BA27" i="7"/>
  <c r="AZ27" i="7"/>
  <c r="AW27" i="7"/>
  <c r="AV27" i="7"/>
  <c r="AU27" i="7"/>
  <c r="AT27" i="7"/>
  <c r="AS27" i="7"/>
  <c r="AR27" i="7"/>
  <c r="AQ27" i="7"/>
  <c r="AP27" i="7"/>
  <c r="BJ25" i="7"/>
  <c r="BM25" i="7" s="1"/>
  <c r="BI25" i="7"/>
  <c r="BH25" i="7"/>
  <c r="BG25" i="7"/>
  <c r="BF25" i="7"/>
  <c r="BE25" i="7"/>
  <c r="BD25" i="7"/>
  <c r="BC25" i="7"/>
  <c r="BB25" i="7"/>
  <c r="BA25" i="7"/>
  <c r="AZ25" i="7"/>
  <c r="AY25" i="7"/>
  <c r="BL25" i="7" s="1"/>
  <c r="AW25" i="7"/>
  <c r="AV25" i="7"/>
  <c r="AU25" i="7"/>
  <c r="AT25" i="7"/>
  <c r="AS25" i="7"/>
  <c r="AR25" i="7"/>
  <c r="AQ25" i="7"/>
  <c r="AP25" i="7"/>
  <c r="BJ24" i="7"/>
  <c r="BM24" i="7" s="1"/>
  <c r="BI24" i="7"/>
  <c r="BH24" i="7"/>
  <c r="BG24" i="7"/>
  <c r="BF24" i="7"/>
  <c r="BE24" i="7"/>
  <c r="BD24" i="7"/>
  <c r="BC24" i="7"/>
  <c r="BB24" i="7"/>
  <c r="BA24" i="7"/>
  <c r="AZ24" i="7"/>
  <c r="AY24" i="7"/>
  <c r="BL24" i="7" s="1"/>
  <c r="AW24" i="7"/>
  <c r="AV24" i="7"/>
  <c r="AU24" i="7"/>
  <c r="AT24" i="7"/>
  <c r="AS24" i="7"/>
  <c r="AR24" i="7"/>
  <c r="AQ24" i="7"/>
  <c r="AP24" i="7"/>
  <c r="BJ23" i="7"/>
  <c r="BM23" i="7" s="1"/>
  <c r="BI23" i="7"/>
  <c r="BH23" i="7"/>
  <c r="BG23" i="7"/>
  <c r="BF23" i="7"/>
  <c r="BE23" i="7"/>
  <c r="BD23" i="7"/>
  <c r="BC23" i="7"/>
  <c r="BB23" i="7"/>
  <c r="BA23" i="7"/>
  <c r="AZ23" i="7"/>
  <c r="AY23" i="7"/>
  <c r="AW23" i="7"/>
  <c r="AV23" i="7"/>
  <c r="AU23" i="7"/>
  <c r="AT23" i="7"/>
  <c r="AS23" i="7"/>
  <c r="AR23" i="7"/>
  <c r="AQ23" i="7"/>
  <c r="AP23" i="7"/>
  <c r="BJ22" i="7"/>
  <c r="BM22" i="7" s="1"/>
  <c r="BI22" i="7"/>
  <c r="BH22" i="7"/>
  <c r="BG22" i="7"/>
  <c r="BF22" i="7"/>
  <c r="BE22" i="7"/>
  <c r="BD22" i="7"/>
  <c r="BC22" i="7"/>
  <c r="BB22" i="7"/>
  <c r="BA22" i="7"/>
  <c r="AZ22" i="7"/>
  <c r="AW22" i="7"/>
  <c r="AV22" i="7"/>
  <c r="AU22" i="7"/>
  <c r="AT22" i="7"/>
  <c r="AS22" i="7"/>
  <c r="AR22" i="7"/>
  <c r="AQ22" i="7"/>
  <c r="AP22" i="7"/>
  <c r="BJ21" i="7"/>
  <c r="BM21" i="7" s="1"/>
  <c r="BI21" i="7"/>
  <c r="BH21" i="7"/>
  <c r="BG21" i="7"/>
  <c r="BF21" i="7"/>
  <c r="BE21" i="7"/>
  <c r="BD21" i="7"/>
  <c r="BC21" i="7"/>
  <c r="BB21" i="7"/>
  <c r="BA21" i="7"/>
  <c r="AZ21" i="7"/>
  <c r="AY21" i="7"/>
  <c r="BL21" i="7" s="1"/>
  <c r="AW21" i="7"/>
  <c r="AV21" i="7"/>
  <c r="AU21" i="7"/>
  <c r="AT21" i="7"/>
  <c r="AS21" i="7"/>
  <c r="AR21" i="7"/>
  <c r="AQ21" i="7"/>
  <c r="AP21" i="7"/>
  <c r="BJ20" i="7"/>
  <c r="BI20" i="7"/>
  <c r="BH20" i="7"/>
  <c r="BG20" i="7"/>
  <c r="BF20" i="7"/>
  <c r="BE20" i="7"/>
  <c r="BD20" i="7"/>
  <c r="BC20" i="7"/>
  <c r="BB20" i="7"/>
  <c r="BA20" i="7"/>
  <c r="AZ20" i="7"/>
  <c r="AY20" i="7"/>
  <c r="BL20" i="7" s="1"/>
  <c r="AW20" i="7"/>
  <c r="AV20" i="7"/>
  <c r="AU20" i="7"/>
  <c r="AT20" i="7"/>
  <c r="AS20" i="7"/>
  <c r="AR20" i="7"/>
  <c r="AQ20" i="7"/>
  <c r="AP20" i="7"/>
  <c r="BJ19" i="7"/>
  <c r="BM19" i="7" s="1"/>
  <c r="BI19" i="7"/>
  <c r="BH19" i="7"/>
  <c r="BG19" i="7"/>
  <c r="BF19" i="7"/>
  <c r="BE19" i="7"/>
  <c r="BD19" i="7"/>
  <c r="BC19" i="7"/>
  <c r="BB19" i="7"/>
  <c r="BA19" i="7"/>
  <c r="AZ19" i="7"/>
  <c r="AY19" i="7"/>
  <c r="BL19" i="7" s="1"/>
  <c r="AW19" i="7"/>
  <c r="AV19" i="7"/>
  <c r="AU19" i="7"/>
  <c r="AT19" i="7"/>
  <c r="AS19" i="7"/>
  <c r="AR19" i="7"/>
  <c r="AQ19" i="7"/>
  <c r="AP19" i="7"/>
  <c r="BJ18" i="7"/>
  <c r="BM18" i="7" s="1"/>
  <c r="BI18" i="7"/>
  <c r="BH18" i="7"/>
  <c r="BG18" i="7"/>
  <c r="BF18" i="7"/>
  <c r="BE18" i="7"/>
  <c r="BD18" i="7"/>
  <c r="BC18" i="7"/>
  <c r="BB18" i="7"/>
  <c r="BA18" i="7"/>
  <c r="AZ18" i="7"/>
  <c r="AY18" i="7"/>
  <c r="BL18" i="7" s="1"/>
  <c r="AW18" i="7"/>
  <c r="AV18" i="7"/>
  <c r="AU18" i="7"/>
  <c r="AT18" i="7"/>
  <c r="AS18" i="7"/>
  <c r="AR18" i="7"/>
  <c r="AQ18" i="7"/>
  <c r="AP18" i="7"/>
  <c r="BJ17" i="7"/>
  <c r="BM17" i="7" s="1"/>
  <c r="BI17" i="7"/>
  <c r="BH17" i="7"/>
  <c r="BG17" i="7"/>
  <c r="BF17" i="7"/>
  <c r="BE17" i="7"/>
  <c r="BD17" i="7"/>
  <c r="BC17" i="7"/>
  <c r="BB17" i="7"/>
  <c r="BA17" i="7"/>
  <c r="AZ17" i="7"/>
  <c r="AY17" i="7"/>
  <c r="BL17" i="7" s="1"/>
  <c r="AW17" i="7"/>
  <c r="AV17" i="7"/>
  <c r="AU17" i="7"/>
  <c r="AT17" i="7"/>
  <c r="AS17" i="7"/>
  <c r="AR17" i="7"/>
  <c r="AQ17" i="7"/>
  <c r="AP17" i="7"/>
  <c r="BJ16" i="7"/>
  <c r="BM16" i="7" s="1"/>
  <c r="BI16" i="7"/>
  <c r="BH16" i="7"/>
  <c r="BG16" i="7"/>
  <c r="BF16" i="7"/>
  <c r="BE16" i="7"/>
  <c r="BD16" i="7"/>
  <c r="BC16" i="7"/>
  <c r="BB16" i="7"/>
  <c r="BA16" i="7"/>
  <c r="AZ16" i="7"/>
  <c r="AY16" i="7"/>
  <c r="BL16" i="7" s="1"/>
  <c r="AW16" i="7"/>
  <c r="AW4" i="7" s="1"/>
  <c r="AV16" i="7"/>
  <c r="AU16" i="7"/>
  <c r="AT16" i="7"/>
  <c r="AS16" i="7"/>
  <c r="AR16" i="7"/>
  <c r="AQ16" i="7"/>
  <c r="AP16" i="7"/>
  <c r="BJ14" i="7"/>
  <c r="BM14" i="7" s="1"/>
  <c r="BI14" i="7"/>
  <c r="BH14" i="7"/>
  <c r="BG14" i="7"/>
  <c r="BF14" i="7"/>
  <c r="BE14" i="7"/>
  <c r="BD14" i="7"/>
  <c r="BC14" i="7"/>
  <c r="BB14" i="7"/>
  <c r="BA14" i="7"/>
  <c r="AZ14" i="7"/>
  <c r="AW14" i="7"/>
  <c r="AV14" i="7"/>
  <c r="AU14" i="7"/>
  <c r="AT14" i="7"/>
  <c r="AS14" i="7"/>
  <c r="AR14" i="7"/>
  <c r="AQ14" i="7"/>
  <c r="AP14" i="7"/>
  <c r="BJ13" i="7"/>
  <c r="BM13" i="7" s="1"/>
  <c r="BI13" i="7"/>
  <c r="BH13" i="7"/>
  <c r="BG13" i="7"/>
  <c r="BF13" i="7"/>
  <c r="BF4" i="7" s="1"/>
  <c r="BE13" i="7"/>
  <c r="BE4" i="7" s="1"/>
  <c r="BD13" i="7"/>
  <c r="BC13" i="7"/>
  <c r="BB13" i="7"/>
  <c r="BA13" i="7"/>
  <c r="AZ13" i="7"/>
  <c r="AW13" i="7"/>
  <c r="AV13" i="7"/>
  <c r="AU13" i="7"/>
  <c r="AT13" i="7"/>
  <c r="AS13" i="7"/>
  <c r="AR13" i="7"/>
  <c r="AQ13" i="7"/>
  <c r="AP13" i="7"/>
  <c r="BJ12" i="7"/>
  <c r="BM12" i="7" s="1"/>
  <c r="BI12" i="7"/>
  <c r="BH12" i="7"/>
  <c r="BG12" i="7"/>
  <c r="BF12" i="7"/>
  <c r="BE12" i="7"/>
  <c r="BD12" i="7"/>
  <c r="BC12" i="7"/>
  <c r="BB12" i="7"/>
  <c r="BA12" i="7"/>
  <c r="AZ12" i="7"/>
  <c r="AY12" i="7"/>
  <c r="BL12" i="7" s="1"/>
  <c r="AW12" i="7"/>
  <c r="AV12" i="7"/>
  <c r="AU12" i="7"/>
  <c r="AT12" i="7"/>
  <c r="AS12" i="7"/>
  <c r="AR12" i="7"/>
  <c r="AQ12" i="7"/>
  <c r="AP12" i="7"/>
  <c r="BJ11" i="7"/>
  <c r="BI11" i="7"/>
  <c r="BH11" i="7"/>
  <c r="BG11" i="7"/>
  <c r="BF11" i="7"/>
  <c r="BE11" i="7"/>
  <c r="BD11" i="7"/>
  <c r="BC11" i="7"/>
  <c r="BB11" i="7"/>
  <c r="BA11" i="7"/>
  <c r="AZ11" i="7"/>
  <c r="AY11" i="7"/>
  <c r="BL11" i="7" s="1"/>
  <c r="AX11" i="7"/>
  <c r="AW11" i="7"/>
  <c r="AV11" i="7"/>
  <c r="AU11" i="7"/>
  <c r="AT11" i="7"/>
  <c r="AS11" i="7"/>
  <c r="AR11" i="7"/>
  <c r="AQ11" i="7"/>
  <c r="AP11" i="7"/>
  <c r="BJ10" i="7"/>
  <c r="BJ4" i="7" s="1"/>
  <c r="BI10" i="7"/>
  <c r="BI4" i="7" s="1"/>
  <c r="BH10" i="7"/>
  <c r="BH4" i="7" s="1"/>
  <c r="BG10" i="7"/>
  <c r="BG4" i="7" s="1"/>
  <c r="BF10" i="7"/>
  <c r="BE10" i="7"/>
  <c r="BD10" i="7"/>
  <c r="BD4" i="7" s="1"/>
  <c r="BC10" i="7"/>
  <c r="BC4" i="7" s="1"/>
  <c r="BB10" i="7"/>
  <c r="BB4" i="7" s="1"/>
  <c r="BA10" i="7"/>
  <c r="BA4" i="7" s="1"/>
  <c r="AZ10" i="7"/>
  <c r="AZ4" i="7" s="1"/>
  <c r="AW10" i="7"/>
  <c r="AV10" i="7"/>
  <c r="AU10" i="7"/>
  <c r="AU4" i="7" s="1"/>
  <c r="AT10" i="7"/>
  <c r="AT4" i="7" s="1"/>
  <c r="AS10" i="7"/>
  <c r="AS4" i="7" s="1"/>
  <c r="AR10" i="7"/>
  <c r="AR4" i="7" s="1"/>
  <c r="AQ10" i="7"/>
  <c r="AQ4" i="7" s="1"/>
  <c r="AP10" i="7"/>
  <c r="BK157" i="7" l="1"/>
  <c r="AY4" i="7"/>
  <c r="AY4" i="386"/>
  <c r="BL4" i="7"/>
  <c r="BJ4" i="384"/>
  <c r="BN4" i="7"/>
  <c r="BM4" i="7"/>
  <c r="BK4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F24" authorId="0" shapeId="0" xr:uid="{7A631948-CB43-4AEC-9CFB-CBF6B9116F4B}">
      <text>
        <r>
          <rPr>
            <sz val="9"/>
            <color indexed="8"/>
            <rFont val="Calibri"/>
            <family val="2"/>
            <scheme val="minor"/>
          </rPr>
          <t>INVENTAIRE</t>
        </r>
      </text>
    </comment>
    <comment ref="AG24" authorId="0" shapeId="0" xr:uid="{668040E7-C0BB-4A52-A5E5-DC060B74A220}">
      <text>
        <r>
          <rPr>
            <sz val="9"/>
            <color indexed="8"/>
            <rFont val="Calibri"/>
            <family val="2"/>
            <scheme val="minor"/>
          </rPr>
          <t>INVENTAIRE</t>
        </r>
      </text>
    </comment>
    <comment ref="AJ24" authorId="0" shapeId="0" xr:uid="{8BE2E90C-B642-4CFD-A400-F32ACADA5772}">
      <text>
        <r>
          <rPr>
            <sz val="9"/>
            <color indexed="8"/>
            <rFont val="Calibri"/>
            <family val="2"/>
            <scheme val="minor"/>
          </rPr>
          <t>INVENTAIRE</t>
        </r>
      </text>
    </comment>
    <comment ref="AK24" authorId="0" shapeId="0" xr:uid="{884807C3-EC0C-4A18-BB66-BFC9808260DD}">
      <text>
        <r>
          <rPr>
            <sz val="9"/>
            <color indexed="8"/>
            <rFont val="Calibri"/>
            <family val="2"/>
            <scheme val="minor"/>
          </rPr>
          <t>INVENTAIRE</t>
        </r>
      </text>
    </comment>
    <comment ref="P31" authorId="0" shapeId="0" xr:uid="{EF3BCCED-B738-461E-9096-5BC849BFF890}">
      <text>
        <r>
          <rPr>
            <sz val="9"/>
            <color indexed="8"/>
            <rFont val="Calibri"/>
            <family val="2"/>
            <scheme val="minor"/>
          </rPr>
          <t>CHSCT PEAK PERIODE</t>
        </r>
      </text>
    </comment>
    <comment ref="Q31" authorId="0" shapeId="0" xr:uid="{63420D5C-1E50-4F8B-A071-B6C727E3AF88}">
      <text>
        <r>
          <rPr>
            <sz val="9"/>
            <color indexed="8"/>
            <rFont val="Calibri"/>
            <family val="2"/>
            <scheme val="minor"/>
          </rPr>
          <t>BON DE DELEGATION CHSCT</t>
        </r>
      </text>
    </comment>
    <comment ref="Y31" authorId="0" shapeId="0" xr:uid="{1DB3F39B-40E3-410F-A87B-942EAF80704E}">
      <text>
        <r>
          <rPr>
            <sz val="9"/>
            <color indexed="8"/>
            <rFont val="Calibri"/>
            <family val="2"/>
            <scheme val="minor"/>
          </rPr>
          <t>CONVOCATION ET POUVOIR</t>
        </r>
      </text>
    </comment>
    <comment ref="AE31" authorId="0" shapeId="0" xr:uid="{202D25DB-273A-431A-93A3-3B14F35B7721}">
      <text>
        <r>
          <rPr>
            <sz val="9"/>
            <color indexed="8"/>
            <rFont val="Calibri"/>
            <family val="2"/>
            <scheme val="minor"/>
          </rPr>
          <t>JAS</t>
        </r>
      </text>
    </comment>
    <comment ref="AG31" authorId="0" shapeId="0" xr:uid="{51E72A06-F780-49F2-870D-29B0B99C165E}">
      <text>
        <r>
          <rPr>
            <sz val="9"/>
            <color indexed="8"/>
            <rFont val="Calibri"/>
            <family val="2"/>
            <scheme val="minor"/>
          </rPr>
          <t>CHSCT PEAK PERIODE</t>
        </r>
      </text>
    </comment>
    <comment ref="AL31" authorId="0" shapeId="0" xr:uid="{1A26CD80-22D8-4CDB-891A-D7BCD338F865}">
      <text>
        <r>
          <rPr>
            <sz val="9"/>
            <color indexed="8"/>
            <rFont val="Calibri"/>
            <family val="2"/>
            <scheme val="minor"/>
          </rPr>
          <t>JAS</t>
        </r>
      </text>
    </comment>
    <comment ref="Z89" authorId="0" shapeId="0" xr:uid="{8109E3BF-FBFA-4D0C-B81C-5C9E00922239}">
      <text>
        <r>
          <rPr>
            <sz val="9"/>
            <color indexed="8"/>
            <rFont val="Calibri"/>
            <family val="2"/>
            <scheme val="minor"/>
          </rPr>
          <t>ABSENCE SYNDICALE PREVUE : JAS</t>
        </r>
      </text>
    </comment>
    <comment ref="O145" authorId="0" shapeId="0" xr:uid="{C98C4887-A860-4825-87B0-6D34EA9E17C5}">
      <text>
        <r>
          <rPr>
            <sz val="9"/>
            <color indexed="8"/>
            <rFont val="Calibri"/>
            <family val="2"/>
            <scheme val="minor"/>
          </rPr>
          <t>INSTANCES CARMAUX</t>
        </r>
      </text>
    </comment>
    <comment ref="P145" authorId="0" shapeId="0" xr:uid="{174AF5DB-F306-4BA4-BF8E-AEB4889DC6FD}">
      <text>
        <r>
          <rPr>
            <sz val="9"/>
            <color indexed="8"/>
            <rFont val="Calibri"/>
            <family val="2"/>
            <scheme val="minor"/>
          </rPr>
          <t>INSTANCES CARMAUX</t>
        </r>
      </text>
    </comment>
    <comment ref="AG145" authorId="0" shapeId="0" xr:uid="{4C846A8C-3BE4-44AF-B3B1-C7AC93A78001}">
      <text>
        <r>
          <rPr>
            <sz val="9"/>
            <color indexed="8"/>
            <rFont val="Calibri"/>
            <family val="2"/>
            <scheme val="minor"/>
          </rPr>
          <t>INSTANCES CARMAUX</t>
        </r>
      </text>
    </comment>
    <comment ref="W178" authorId="0" shapeId="0" xr:uid="{B0A76545-A68E-4969-B824-A8DF45A654BD}">
      <text>
        <r>
          <rPr>
            <sz val="9"/>
            <color indexed="8"/>
            <rFont val="Calibri"/>
            <family val="2"/>
            <scheme val="minor"/>
          </rPr>
          <t>Formation Toulouse (prendre infos) pour Facteur Guichetier</t>
        </r>
      </text>
    </comment>
    <comment ref="T235" authorId="0" shapeId="0" xr:uid="{149D1D62-1219-40AB-AADA-30BF91D8520F}">
      <text>
        <r>
          <rPr>
            <sz val="9"/>
            <color indexed="8"/>
            <rFont val="Calibri"/>
            <family val="2"/>
            <scheme val="minor"/>
          </rPr>
          <t>+CAB</t>
        </r>
      </text>
    </comment>
    <comment ref="X235" authorId="0" shapeId="0" xr:uid="{4002ED68-091E-4A58-AD3C-9538DB50E24F}">
      <text>
        <r>
          <rPr>
            <sz val="9"/>
            <color indexed="8"/>
            <rFont val="Calibri"/>
            <family val="2"/>
            <scheme val="minor"/>
          </rPr>
          <t>RENCONTRE MANAGERIALE</t>
        </r>
      </text>
    </comment>
    <comment ref="AF235" authorId="0" shapeId="0" xr:uid="{63EA77CE-A016-4A9C-9625-067354383B8C}">
      <text>
        <r>
          <rPr>
            <sz val="9"/>
            <color indexed="8"/>
            <rFont val="Calibri"/>
            <family val="2"/>
            <scheme val="minor"/>
          </rPr>
          <t>CONTRAT D'OBJECTIFS 2020 14h-15h30</t>
        </r>
      </text>
    </comment>
    <comment ref="S251" authorId="0" shapeId="0" xr:uid="{BC09104B-CBF3-41FE-B465-41D22D9892EC}">
      <text>
        <r>
          <rPr>
            <sz val="9"/>
            <color indexed="8"/>
            <rFont val="Calibri"/>
            <family val="2"/>
            <scheme val="minor"/>
          </rPr>
          <t>PNT reporté au 27/11</t>
        </r>
      </text>
    </comment>
    <comment ref="T251" authorId="0" shapeId="0" xr:uid="{429BE039-3CFF-467D-BF0A-17BA047D4158}">
      <text>
        <r>
          <rPr>
            <sz val="9"/>
            <color indexed="8"/>
            <rFont val="Calibri"/>
            <family val="2"/>
            <scheme val="minor"/>
          </rPr>
          <t>PNT reporté au 28/11</t>
        </r>
      </text>
    </comment>
    <comment ref="M252" authorId="0" shapeId="0" xr:uid="{77026E35-8E1A-4853-8E8E-5DF51787F1A9}">
      <text>
        <r>
          <rPr>
            <sz val="9"/>
            <color indexed="8"/>
            <rFont val="Calibri"/>
            <family val="2"/>
            <scheme val="minor"/>
          </rPr>
          <t>PNT reporter au 16/11</t>
        </r>
      </text>
    </comment>
    <comment ref="AJ253" authorId="0" shapeId="0" xr:uid="{80A65154-DDEC-4458-AAA3-C265F211E470}">
      <text>
        <r>
          <rPr>
            <sz val="9"/>
            <color indexed="8"/>
            <rFont val="Calibri"/>
            <family val="2"/>
            <scheme val="minor"/>
          </rPr>
          <t>t32</t>
        </r>
      </text>
    </comment>
    <comment ref="AK253" authorId="0" shapeId="0" xr:uid="{17470731-C9A6-4556-8020-448432E953C9}">
      <text>
        <r>
          <rPr>
            <sz val="9"/>
            <color indexed="8"/>
            <rFont val="Calibri"/>
            <family val="2"/>
            <scheme val="minor"/>
          </rPr>
          <t>T32</t>
        </r>
      </text>
    </comment>
    <comment ref="AN257" authorId="0" shapeId="0" xr:uid="{D6894085-6C3A-4F16-9FE9-ACBE7DC6E07B}">
      <text>
        <r>
          <rPr>
            <sz val="9"/>
            <color indexed="8"/>
            <rFont val="Calibri"/>
            <family val="2"/>
            <scheme val="minor"/>
          </rPr>
          <t>PNT du 20/09</t>
        </r>
      </text>
    </comment>
    <comment ref="AO257" authorId="0" shapeId="0" xr:uid="{35547491-EC2F-42F6-BC4A-53FF34493111}">
      <text>
        <r>
          <rPr>
            <sz val="9"/>
            <color indexed="8"/>
            <rFont val="Calibri"/>
            <family val="2"/>
            <scheme val="minor"/>
          </rPr>
          <t>PNT du 21/09</t>
        </r>
      </text>
    </comment>
    <comment ref="AE261" authorId="0" shapeId="0" xr:uid="{FDBB4198-6251-4034-8695-EB6E009B8549}">
      <text>
        <r>
          <rPr>
            <sz val="9"/>
            <color indexed="8"/>
            <rFont val="Calibri"/>
            <family val="2"/>
            <scheme val="minor"/>
          </rPr>
          <t>PNT reporté au 4/12</t>
        </r>
      </text>
    </comment>
    <comment ref="AF261" authorId="0" shapeId="0" xr:uid="{3E8ACB09-1284-4F3A-8582-E705136F9F6A}">
      <text>
        <r>
          <rPr>
            <sz val="9"/>
            <color indexed="8"/>
            <rFont val="Calibri"/>
            <family val="2"/>
            <scheme val="minor"/>
          </rPr>
          <t>PNT reporté au 5/12</t>
        </r>
      </text>
    </comment>
    <comment ref="Q267" authorId="0" shapeId="0" xr:uid="{2180B3C2-61EF-4719-A569-471B698DE86F}">
      <text>
        <r>
          <rPr>
            <sz val="9"/>
            <color indexed="8"/>
            <rFont val="Calibri"/>
            <family val="2"/>
            <scheme val="minor"/>
          </rPr>
          <t>PNT</t>
        </r>
      </text>
    </comment>
    <comment ref="R267" authorId="0" shapeId="0" xr:uid="{A851697D-3086-4556-B45D-66BCD4695F2F}">
      <text>
        <r>
          <rPr>
            <sz val="9"/>
            <color indexed="8"/>
            <rFont val="Calibri"/>
            <family val="2"/>
            <scheme val="minor"/>
          </rPr>
          <t>PNT</t>
        </r>
      </text>
    </comment>
    <comment ref="AN267" authorId="0" shapeId="0" xr:uid="{6AC43241-AD5D-427A-9F3A-1FC92DEFD579}">
      <text>
        <r>
          <rPr>
            <sz val="9"/>
            <color indexed="8"/>
            <rFont val="Calibri"/>
            <family val="2"/>
            <scheme val="minor"/>
          </rPr>
          <t>PNT</t>
        </r>
      </text>
    </comment>
    <comment ref="AO267" authorId="0" shapeId="0" xr:uid="{DB16AD5D-149B-4C9F-BF5B-2566A78815A3}">
      <text>
        <r>
          <rPr>
            <sz val="9"/>
            <color indexed="8"/>
            <rFont val="Calibri"/>
            <family val="2"/>
            <scheme val="minor"/>
          </rPr>
          <t>PNT</t>
        </r>
      </text>
    </comment>
    <comment ref="O300" authorId="0" shapeId="0" xr:uid="{A6A1CF31-48F1-49EB-91B7-F407F9C51FC5}">
      <text>
        <r>
          <rPr>
            <sz val="9"/>
            <color indexed="8"/>
            <rFont val="Calibri"/>
            <family val="2"/>
            <scheme val="minor"/>
          </rPr>
          <t>RCYC ANNULE.</t>
        </r>
      </text>
    </comment>
    <comment ref="P300" authorId="0" shapeId="0" xr:uid="{7C62119B-4834-4D70-9725-7BF73B4158C1}">
      <text>
        <r>
          <rPr>
            <sz val="9"/>
            <color indexed="8"/>
            <rFont val="Calibri"/>
            <family val="2"/>
            <scheme val="minor"/>
          </rPr>
          <t>RCYC ANNULE.</t>
        </r>
      </text>
    </comment>
    <comment ref="M301" authorId="0" shapeId="0" xr:uid="{08C257B9-9B9B-431E-9133-93783C12D747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O301" authorId="0" shapeId="0" xr:uid="{5FD104BC-43A3-4124-89ED-40D1A237484B}">
      <text>
        <r>
          <rPr>
            <sz val="9"/>
            <color indexed="8"/>
            <rFont val="Calibri"/>
            <family val="2"/>
            <scheme val="minor"/>
          </rPr>
          <t>ASAI  (Instances liées à la Peack Période et à la réorganisation de Carmaux).</t>
        </r>
      </text>
    </comment>
    <comment ref="P301" authorId="0" shapeId="0" xr:uid="{D5D59740-B04F-4C16-94C0-A3C005E4114D}">
      <text>
        <r>
          <rPr>
            <sz val="9"/>
            <color indexed="8"/>
            <rFont val="Calibri"/>
            <family val="2"/>
            <scheme val="minor"/>
          </rPr>
          <t>ASAI (Instances liées à la Peack Période et à la réorganisation de Carmaux).</t>
        </r>
      </text>
    </comment>
    <comment ref="AC301" authorId="0" shapeId="0" xr:uid="{5DA67552-3930-40FB-878B-ABCF45A20450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D301" authorId="0" shapeId="0" xr:uid="{7E014EEF-E637-4E34-98DF-00BAA7003E49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E301" authorId="0" shapeId="0" xr:uid="{D5E044E7-E688-4FA9-80E6-1564374A7A8C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F301" authorId="0" shapeId="0" xr:uid="{65C815F0-67EA-4C92-8F8A-83A0D93F8B9A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G301" authorId="0" shapeId="0" xr:uid="{971EA4F7-B38C-4EA3-A01E-3F56F60EE63A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H301" authorId="0" shapeId="0" xr:uid="{D48777B5-7594-450D-AD0F-CF102B3A82BF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J301" authorId="0" shapeId="0" xr:uid="{4AA263FF-9925-4305-AB4C-58A81223B859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K301" authorId="0" shapeId="0" xr:uid="{CF622530-4A95-432C-BC5A-F02E12799CFB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L301" authorId="0" shapeId="0" xr:uid="{58E82BD0-92D9-4D15-8EDB-CCB76FF11370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M301" authorId="0" shapeId="0" xr:uid="{AB298B79-C9FC-4598-A1C8-E69E49F703B9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N301" authorId="0" shapeId="0" xr:uid="{A7D83A9E-5F5F-49C1-A324-49ACF39BD197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O301" authorId="0" shapeId="0" xr:uid="{513BE3D3-65E2-473B-A0DA-5CFFAE35F421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Z306" authorId="0" shapeId="0" xr:uid="{A8E09009-F6BF-44F7-8BF3-2D234C2CDDD3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F24" authorId="0" shapeId="0" xr:uid="{B130F6E4-6709-440D-AC5D-3B81120797F0}">
      <text>
        <r>
          <rPr>
            <sz val="9"/>
            <color indexed="8"/>
            <rFont val="Calibri"/>
            <family val="2"/>
            <scheme val="minor"/>
          </rPr>
          <t>INVENTAIRE</t>
        </r>
      </text>
    </comment>
    <comment ref="AG24" authorId="0" shapeId="0" xr:uid="{7D2E8988-CA78-424B-8461-598A9D04D9BF}">
      <text>
        <r>
          <rPr>
            <sz val="9"/>
            <color indexed="8"/>
            <rFont val="Calibri"/>
            <family val="2"/>
            <scheme val="minor"/>
          </rPr>
          <t>INVENTAIRE</t>
        </r>
      </text>
    </comment>
    <comment ref="AJ24" authorId="0" shapeId="0" xr:uid="{6FE3E27C-FC2B-45C5-BD6D-50B0B1E28C0C}">
      <text>
        <r>
          <rPr>
            <sz val="9"/>
            <color indexed="8"/>
            <rFont val="Calibri"/>
            <family val="2"/>
            <scheme val="minor"/>
          </rPr>
          <t>INVENTAIRE</t>
        </r>
      </text>
    </comment>
    <comment ref="AK24" authorId="0" shapeId="0" xr:uid="{70B9F8A5-9EAE-4C2F-AB73-95400B3044E2}">
      <text>
        <r>
          <rPr>
            <sz val="9"/>
            <color indexed="8"/>
            <rFont val="Calibri"/>
            <family val="2"/>
            <scheme val="minor"/>
          </rPr>
          <t>INVENTAIRE</t>
        </r>
      </text>
    </comment>
    <comment ref="P31" authorId="0" shapeId="0" xr:uid="{F54D08EB-281A-450A-8BD5-510A6A91F197}">
      <text>
        <r>
          <rPr>
            <sz val="9"/>
            <color indexed="8"/>
            <rFont val="Calibri"/>
            <family val="2"/>
            <scheme val="minor"/>
          </rPr>
          <t>CHSCT PEAK PERIODE</t>
        </r>
      </text>
    </comment>
    <comment ref="Q31" authorId="0" shapeId="0" xr:uid="{0F69641E-ACC7-433C-92B7-0414E6A558E8}">
      <text>
        <r>
          <rPr>
            <sz val="9"/>
            <color indexed="8"/>
            <rFont val="Calibri"/>
            <family val="2"/>
            <scheme val="minor"/>
          </rPr>
          <t>BON DE DELEGATION CHSCT</t>
        </r>
      </text>
    </comment>
    <comment ref="Y31" authorId="0" shapeId="0" xr:uid="{D3F3A883-39A4-476B-B879-CE0F1A9D5C9C}">
      <text>
        <r>
          <rPr>
            <sz val="9"/>
            <color indexed="8"/>
            <rFont val="Calibri"/>
            <family val="2"/>
            <scheme val="minor"/>
          </rPr>
          <t>CONVOCATION ET POUVOIR</t>
        </r>
      </text>
    </comment>
    <comment ref="AE31" authorId="0" shapeId="0" xr:uid="{7705F1C4-7A51-4355-B404-C431390AA0D9}">
      <text>
        <r>
          <rPr>
            <sz val="9"/>
            <color indexed="8"/>
            <rFont val="Calibri"/>
            <family val="2"/>
            <scheme val="minor"/>
          </rPr>
          <t>JAS</t>
        </r>
      </text>
    </comment>
    <comment ref="AG31" authorId="0" shapeId="0" xr:uid="{C04E4A3A-A3A0-44D6-A5F9-157B4F376C24}">
      <text>
        <r>
          <rPr>
            <sz val="9"/>
            <color indexed="8"/>
            <rFont val="Calibri"/>
            <family val="2"/>
            <scheme val="minor"/>
          </rPr>
          <t>CHSCT PEAK PERIODE</t>
        </r>
      </text>
    </comment>
    <comment ref="AL31" authorId="0" shapeId="0" xr:uid="{E8F41E0F-76DE-4549-9C81-072C2A72E6EE}">
      <text>
        <r>
          <rPr>
            <sz val="9"/>
            <color indexed="8"/>
            <rFont val="Calibri"/>
            <family val="2"/>
            <scheme val="minor"/>
          </rPr>
          <t>JAS</t>
        </r>
      </text>
    </comment>
    <comment ref="Z89" authorId="0" shapeId="0" xr:uid="{21174298-0A61-478A-9A1F-8C243A96B7CB}">
      <text>
        <r>
          <rPr>
            <sz val="9"/>
            <color indexed="8"/>
            <rFont val="Calibri"/>
            <family val="2"/>
            <scheme val="minor"/>
          </rPr>
          <t>ABSENCE SYNDICALE PREVUE : JAS</t>
        </r>
      </text>
    </comment>
    <comment ref="O145" authorId="0" shapeId="0" xr:uid="{7A16B413-48F9-4B69-B37E-99B5A10D7610}">
      <text>
        <r>
          <rPr>
            <sz val="9"/>
            <color indexed="8"/>
            <rFont val="Calibri"/>
            <family val="2"/>
            <scheme val="minor"/>
          </rPr>
          <t>INSTANCES CARMAUX</t>
        </r>
      </text>
    </comment>
    <comment ref="P145" authorId="0" shapeId="0" xr:uid="{BECCF86E-FE0D-4C51-99D7-FE3E1F48DF40}">
      <text>
        <r>
          <rPr>
            <sz val="9"/>
            <color indexed="8"/>
            <rFont val="Calibri"/>
            <family val="2"/>
            <scheme val="minor"/>
          </rPr>
          <t>INSTANCES CARMAUX</t>
        </r>
      </text>
    </comment>
    <comment ref="AG145" authorId="0" shapeId="0" xr:uid="{D9F5EC8D-70C6-410C-8FF6-CFFFB039FFE0}">
      <text>
        <r>
          <rPr>
            <sz val="9"/>
            <color indexed="8"/>
            <rFont val="Calibri"/>
            <family val="2"/>
            <scheme val="minor"/>
          </rPr>
          <t>INSTANCES CARMAUX</t>
        </r>
      </text>
    </comment>
    <comment ref="W178" authorId="0" shapeId="0" xr:uid="{411E3725-17CF-48D8-84F0-07A3E9950CC9}">
      <text>
        <r>
          <rPr>
            <sz val="9"/>
            <color indexed="8"/>
            <rFont val="Calibri"/>
            <family val="2"/>
            <scheme val="minor"/>
          </rPr>
          <t>Formation Toulouse (prendre infos) pour Facteur Guichetier</t>
        </r>
      </text>
    </comment>
    <comment ref="T235" authorId="0" shapeId="0" xr:uid="{966D293C-39C7-42AA-96C0-C2832438409E}">
      <text>
        <r>
          <rPr>
            <sz val="9"/>
            <color indexed="8"/>
            <rFont val="Calibri"/>
            <family val="2"/>
            <scheme val="minor"/>
          </rPr>
          <t>+CAB</t>
        </r>
      </text>
    </comment>
    <comment ref="X235" authorId="0" shapeId="0" xr:uid="{D30E4B4E-E3A0-4F54-B979-1A53E33B9D42}">
      <text>
        <r>
          <rPr>
            <sz val="9"/>
            <color indexed="8"/>
            <rFont val="Calibri"/>
            <family val="2"/>
            <scheme val="minor"/>
          </rPr>
          <t>RENCONTRE MANAGERIALE</t>
        </r>
      </text>
    </comment>
    <comment ref="AF235" authorId="0" shapeId="0" xr:uid="{905290C7-EEB9-4E7F-A154-9F620A82A768}">
      <text>
        <r>
          <rPr>
            <sz val="9"/>
            <color indexed="8"/>
            <rFont val="Calibri"/>
            <family val="2"/>
            <scheme val="minor"/>
          </rPr>
          <t>CONTRAT D'OBJECTIFS 2020 14h-15h30</t>
        </r>
      </text>
    </comment>
    <comment ref="S251" authorId="0" shapeId="0" xr:uid="{94F80F3A-271B-40D7-8149-25953E6EC95D}">
      <text>
        <r>
          <rPr>
            <sz val="9"/>
            <color indexed="8"/>
            <rFont val="Calibri"/>
            <family val="2"/>
            <scheme val="minor"/>
          </rPr>
          <t>PNT reporté au 27/11</t>
        </r>
      </text>
    </comment>
    <comment ref="T251" authorId="0" shapeId="0" xr:uid="{B8DB0802-1DB1-49A9-8D34-29018C663008}">
      <text>
        <r>
          <rPr>
            <sz val="9"/>
            <color indexed="8"/>
            <rFont val="Calibri"/>
            <family val="2"/>
            <scheme val="minor"/>
          </rPr>
          <t>PNT reporté au 28/11</t>
        </r>
      </text>
    </comment>
    <comment ref="M252" authorId="0" shapeId="0" xr:uid="{856F794B-824D-4CF0-9225-C358555779B9}">
      <text>
        <r>
          <rPr>
            <sz val="9"/>
            <color indexed="8"/>
            <rFont val="Calibri"/>
            <family val="2"/>
            <scheme val="minor"/>
          </rPr>
          <t>PNT reporter au 16/11</t>
        </r>
      </text>
    </comment>
    <comment ref="AJ253" authorId="0" shapeId="0" xr:uid="{8825F779-4198-4EB7-83DD-D5888874B968}">
      <text>
        <r>
          <rPr>
            <sz val="9"/>
            <color indexed="8"/>
            <rFont val="Calibri"/>
            <family val="2"/>
            <scheme val="minor"/>
          </rPr>
          <t>t32</t>
        </r>
      </text>
    </comment>
    <comment ref="AK253" authorId="0" shapeId="0" xr:uid="{AFB23101-3087-40A9-B540-DABEDFC25522}">
      <text>
        <r>
          <rPr>
            <sz val="9"/>
            <color indexed="8"/>
            <rFont val="Calibri"/>
            <family val="2"/>
            <scheme val="minor"/>
          </rPr>
          <t>T32</t>
        </r>
      </text>
    </comment>
    <comment ref="AN257" authorId="0" shapeId="0" xr:uid="{5CCEBE33-A244-4F21-8CCB-5D9FF89D7D40}">
      <text>
        <r>
          <rPr>
            <sz val="9"/>
            <color indexed="8"/>
            <rFont val="Calibri"/>
            <family val="2"/>
            <scheme val="minor"/>
          </rPr>
          <t>PNT du 20/09</t>
        </r>
      </text>
    </comment>
    <comment ref="AO257" authorId="0" shapeId="0" xr:uid="{DC3F3937-EE9F-4066-9330-856A52735A77}">
      <text>
        <r>
          <rPr>
            <sz val="9"/>
            <color indexed="8"/>
            <rFont val="Calibri"/>
            <family val="2"/>
            <scheme val="minor"/>
          </rPr>
          <t>PNT du 21/09</t>
        </r>
      </text>
    </comment>
    <comment ref="AE261" authorId="0" shapeId="0" xr:uid="{E5754083-3BEC-4EEF-A788-8E80147CD576}">
      <text>
        <r>
          <rPr>
            <sz val="9"/>
            <color indexed="8"/>
            <rFont val="Calibri"/>
            <family val="2"/>
            <scheme val="minor"/>
          </rPr>
          <t>PNT reporté au 4/12</t>
        </r>
      </text>
    </comment>
    <comment ref="AF261" authorId="0" shapeId="0" xr:uid="{C1A4F338-3992-438A-9C17-EB204A18B581}">
      <text>
        <r>
          <rPr>
            <sz val="9"/>
            <color indexed="8"/>
            <rFont val="Calibri"/>
            <family val="2"/>
            <scheme val="minor"/>
          </rPr>
          <t>PNT reporté au 5/12</t>
        </r>
      </text>
    </comment>
    <comment ref="Q267" authorId="0" shapeId="0" xr:uid="{78F14BDA-428C-44CF-84E7-94E9950F1ADA}">
      <text>
        <r>
          <rPr>
            <sz val="9"/>
            <color indexed="8"/>
            <rFont val="Calibri"/>
            <family val="2"/>
            <scheme val="minor"/>
          </rPr>
          <t>PNT</t>
        </r>
      </text>
    </comment>
    <comment ref="R267" authorId="0" shapeId="0" xr:uid="{97CEBB7B-0E66-421A-B25D-DAF62AFE578C}">
      <text>
        <r>
          <rPr>
            <sz val="9"/>
            <color indexed="8"/>
            <rFont val="Calibri"/>
            <family val="2"/>
            <scheme val="minor"/>
          </rPr>
          <t>PNT</t>
        </r>
      </text>
    </comment>
    <comment ref="AN267" authorId="0" shapeId="0" xr:uid="{84752AF6-6844-4A03-9FD4-17304C3E4D24}">
      <text>
        <r>
          <rPr>
            <sz val="9"/>
            <color indexed="8"/>
            <rFont val="Calibri"/>
            <family val="2"/>
            <scheme val="minor"/>
          </rPr>
          <t>PNT</t>
        </r>
      </text>
    </comment>
    <comment ref="AO267" authorId="0" shapeId="0" xr:uid="{ED9DC210-B6C8-4CF8-877A-11E06D354A68}">
      <text>
        <r>
          <rPr>
            <sz val="9"/>
            <color indexed="8"/>
            <rFont val="Calibri"/>
            <family val="2"/>
            <scheme val="minor"/>
          </rPr>
          <t>PNT</t>
        </r>
      </text>
    </comment>
    <comment ref="O300" authorId="0" shapeId="0" xr:uid="{16D157DF-00E1-4FBB-8B88-F1CC0D9126B0}">
      <text>
        <r>
          <rPr>
            <sz val="9"/>
            <color indexed="8"/>
            <rFont val="Calibri"/>
            <family val="2"/>
            <scheme val="minor"/>
          </rPr>
          <t>RCYC ANNULE.</t>
        </r>
      </text>
    </comment>
    <comment ref="P300" authorId="0" shapeId="0" xr:uid="{D940FE8C-9D67-45AE-A7AD-837EEB7BEA1D}">
      <text>
        <r>
          <rPr>
            <sz val="9"/>
            <color indexed="8"/>
            <rFont val="Calibri"/>
            <family val="2"/>
            <scheme val="minor"/>
          </rPr>
          <t>RCYC ANNULE.</t>
        </r>
      </text>
    </comment>
    <comment ref="M301" authorId="0" shapeId="0" xr:uid="{7188895D-CA2F-43AF-9F32-EE7056D4C023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O301" authorId="0" shapeId="0" xr:uid="{FCBA659B-C9E4-436B-88FA-38AE9C24E8ED}">
      <text>
        <r>
          <rPr>
            <sz val="9"/>
            <color indexed="8"/>
            <rFont val="Calibri"/>
            <family val="2"/>
            <scheme val="minor"/>
          </rPr>
          <t>ASAI  (Instances liées à la Peack Période et à la réorganisation de Carmaux).</t>
        </r>
      </text>
    </comment>
    <comment ref="P301" authorId="0" shapeId="0" xr:uid="{7800114B-DA4A-41AC-B014-19F063F7E4AA}">
      <text>
        <r>
          <rPr>
            <sz val="9"/>
            <color indexed="8"/>
            <rFont val="Calibri"/>
            <family val="2"/>
            <scheme val="minor"/>
          </rPr>
          <t>ASAI (Instances liées à la Peack Période et à la réorganisation de Carmaux).</t>
        </r>
      </text>
    </comment>
    <comment ref="AC301" authorId="0" shapeId="0" xr:uid="{882924B0-6F75-4DFB-BFA7-3633C635D045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D301" authorId="0" shapeId="0" xr:uid="{20E237AA-604C-4D19-8264-311F7BA448A8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E301" authorId="0" shapeId="0" xr:uid="{550CCC4C-83E4-41DD-8D0A-DCCF192002B5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F301" authorId="0" shapeId="0" xr:uid="{7FC2088D-6630-44EE-AC87-175E77271A0C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G301" authorId="0" shapeId="0" xr:uid="{6707AC9C-B4B2-4738-A3EA-D8D6E5944549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H301" authorId="0" shapeId="0" xr:uid="{25DA0580-1052-40E7-9449-50FC7DFA01CD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J301" authorId="0" shapeId="0" xr:uid="{10077949-CC34-4573-BBE4-55FFD3D5BB54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K301" authorId="0" shapeId="0" xr:uid="{7F114272-C84E-4193-82E9-47210CDF626A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L301" authorId="0" shapeId="0" xr:uid="{F53C375A-D749-4802-8B2D-1D71BDFDD2D2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M301" authorId="0" shapeId="0" xr:uid="{BA30BE5F-8442-485D-AABE-B7902C9E158A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N301" authorId="0" shapeId="0" xr:uid="{F0310DD7-ED2E-48ED-BB76-73B0600414D1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O301" authorId="0" shapeId="0" xr:uid="{B3CBE10C-22AD-4516-B98B-C1D5AC404136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Z306" authorId="0" shapeId="0" xr:uid="{85A49E2F-C671-4D05-8841-466C127271F6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F24" authorId="0" shapeId="0" xr:uid="{2D76021A-9731-439E-B4F8-BEDFA43B705B}">
      <text>
        <r>
          <rPr>
            <sz val="9"/>
            <color indexed="8"/>
            <rFont val="Calibri"/>
            <family val="2"/>
            <scheme val="minor"/>
          </rPr>
          <t>INVENTAIRE</t>
        </r>
      </text>
    </comment>
    <comment ref="AG24" authorId="0" shapeId="0" xr:uid="{4B55DBFB-F1FA-4FDC-ABBF-A504F8CDE154}">
      <text>
        <r>
          <rPr>
            <sz val="9"/>
            <color indexed="8"/>
            <rFont val="Calibri"/>
            <family val="2"/>
            <scheme val="minor"/>
          </rPr>
          <t>INVENTAIRE</t>
        </r>
      </text>
    </comment>
    <comment ref="AJ24" authorId="0" shapeId="0" xr:uid="{E2DDD391-9D31-4DAD-B3E9-9E6F15ACDBC1}">
      <text>
        <r>
          <rPr>
            <sz val="9"/>
            <color indexed="8"/>
            <rFont val="Calibri"/>
            <family val="2"/>
            <scheme val="minor"/>
          </rPr>
          <t>INVENTAIRE</t>
        </r>
      </text>
    </comment>
    <comment ref="AK24" authorId="0" shapeId="0" xr:uid="{F63C114F-5ADA-4FD4-AB1D-187089672395}">
      <text>
        <r>
          <rPr>
            <sz val="9"/>
            <color indexed="8"/>
            <rFont val="Calibri"/>
            <family val="2"/>
            <scheme val="minor"/>
          </rPr>
          <t>INVENTAIRE</t>
        </r>
      </text>
    </comment>
    <comment ref="P31" authorId="0" shapeId="0" xr:uid="{2ABB73E8-89AA-4189-BAC1-17E67DB6440E}">
      <text>
        <r>
          <rPr>
            <sz val="9"/>
            <color indexed="8"/>
            <rFont val="Calibri"/>
            <family val="2"/>
            <scheme val="minor"/>
          </rPr>
          <t>CHSCT PEAK PERIODE</t>
        </r>
      </text>
    </comment>
    <comment ref="Q31" authorId="0" shapeId="0" xr:uid="{FF67D1ED-C195-4BD4-A97B-0110703DB4AA}">
      <text>
        <r>
          <rPr>
            <sz val="9"/>
            <color indexed="8"/>
            <rFont val="Calibri"/>
            <family val="2"/>
            <scheme val="minor"/>
          </rPr>
          <t>BON DE DELEGATION CHSCT</t>
        </r>
      </text>
    </comment>
    <comment ref="Y31" authorId="0" shapeId="0" xr:uid="{13E48653-B8AD-4B9D-A5D1-B360A68703F7}">
      <text>
        <r>
          <rPr>
            <sz val="9"/>
            <color indexed="8"/>
            <rFont val="Calibri"/>
            <family val="2"/>
            <scheme val="minor"/>
          </rPr>
          <t>CONVOCATION ET POUVOIR</t>
        </r>
      </text>
    </comment>
    <comment ref="AE31" authorId="0" shapeId="0" xr:uid="{7FBE1B16-AC59-44CB-88B1-946EE6126732}">
      <text>
        <r>
          <rPr>
            <sz val="9"/>
            <color indexed="8"/>
            <rFont val="Calibri"/>
            <family val="2"/>
            <scheme val="minor"/>
          </rPr>
          <t>JAS</t>
        </r>
      </text>
    </comment>
    <comment ref="AG31" authorId="0" shapeId="0" xr:uid="{4DF838A2-495F-4FA6-A46C-3028A71D2BB1}">
      <text>
        <r>
          <rPr>
            <sz val="9"/>
            <color indexed="8"/>
            <rFont val="Calibri"/>
            <family val="2"/>
            <scheme val="minor"/>
          </rPr>
          <t>CHSCT PEAK PERIODE</t>
        </r>
      </text>
    </comment>
    <comment ref="AL31" authorId="0" shapeId="0" xr:uid="{E8ABDE06-7F51-4BB2-BCED-093A9508340B}">
      <text>
        <r>
          <rPr>
            <sz val="9"/>
            <color indexed="8"/>
            <rFont val="Calibri"/>
            <family val="2"/>
            <scheme val="minor"/>
          </rPr>
          <t>JAS</t>
        </r>
      </text>
    </comment>
    <comment ref="Z89" authorId="0" shapeId="0" xr:uid="{C92B77E5-9A65-4A06-A9D9-D4DAD19D7646}">
      <text>
        <r>
          <rPr>
            <sz val="9"/>
            <color indexed="8"/>
            <rFont val="Calibri"/>
            <family val="2"/>
            <scheme val="minor"/>
          </rPr>
          <t>ABSENCE SYNDICALE PREVUE : JAS</t>
        </r>
      </text>
    </comment>
    <comment ref="O145" authorId="0" shapeId="0" xr:uid="{C25DAEE3-5C44-4736-A240-11226CFE9775}">
      <text>
        <r>
          <rPr>
            <sz val="9"/>
            <color indexed="8"/>
            <rFont val="Calibri"/>
            <family val="2"/>
            <scheme val="minor"/>
          </rPr>
          <t>INSTANCES CARMAUX</t>
        </r>
      </text>
    </comment>
    <comment ref="P145" authorId="0" shapeId="0" xr:uid="{A9EC0D0A-02D0-4062-AD4A-42FC5D771130}">
      <text>
        <r>
          <rPr>
            <sz val="9"/>
            <color indexed="8"/>
            <rFont val="Calibri"/>
            <family val="2"/>
            <scheme val="minor"/>
          </rPr>
          <t>INSTANCES CARMAUX</t>
        </r>
      </text>
    </comment>
    <comment ref="AG145" authorId="0" shapeId="0" xr:uid="{091381C8-8EE7-49D6-8408-2C87ADBD0AEC}">
      <text>
        <r>
          <rPr>
            <sz val="9"/>
            <color indexed="8"/>
            <rFont val="Calibri"/>
            <family val="2"/>
            <scheme val="minor"/>
          </rPr>
          <t>INSTANCES CARMAUX</t>
        </r>
      </text>
    </comment>
    <comment ref="W178" authorId="0" shapeId="0" xr:uid="{52322384-BF86-4CC2-A663-65DEBBF90C05}">
      <text>
        <r>
          <rPr>
            <sz val="9"/>
            <color indexed="8"/>
            <rFont val="Calibri"/>
            <family val="2"/>
            <scheme val="minor"/>
          </rPr>
          <t>Formation Toulouse (prendre infos) pour Facteur Guichetier</t>
        </r>
      </text>
    </comment>
    <comment ref="T235" authorId="0" shapeId="0" xr:uid="{D6321970-7BCF-47AE-A5FF-4FFB9CF6D815}">
      <text>
        <r>
          <rPr>
            <sz val="9"/>
            <color indexed="8"/>
            <rFont val="Calibri"/>
            <family val="2"/>
            <scheme val="minor"/>
          </rPr>
          <t>+CAB</t>
        </r>
      </text>
    </comment>
    <comment ref="X235" authorId="0" shapeId="0" xr:uid="{681EB8A6-672B-487B-85EB-AEBC8CEADC53}">
      <text>
        <r>
          <rPr>
            <sz val="9"/>
            <color indexed="8"/>
            <rFont val="Calibri"/>
            <family val="2"/>
            <scheme val="minor"/>
          </rPr>
          <t>RENCONTRE MANAGERIALE</t>
        </r>
      </text>
    </comment>
    <comment ref="AF235" authorId="0" shapeId="0" xr:uid="{5D6A88C2-467F-4377-BFB1-D6F85BC434B1}">
      <text>
        <r>
          <rPr>
            <sz val="9"/>
            <color indexed="8"/>
            <rFont val="Calibri"/>
            <family val="2"/>
            <scheme val="minor"/>
          </rPr>
          <t>CONTRAT D'OBJECTIFS 2020 14h-15h30</t>
        </r>
      </text>
    </comment>
    <comment ref="S251" authorId="0" shapeId="0" xr:uid="{462357A5-E9D7-4DC9-8162-14E3C6A4A181}">
      <text>
        <r>
          <rPr>
            <sz val="9"/>
            <color indexed="8"/>
            <rFont val="Calibri"/>
            <family val="2"/>
            <scheme val="minor"/>
          </rPr>
          <t>PNT reporté au 27/11</t>
        </r>
      </text>
    </comment>
    <comment ref="T251" authorId="0" shapeId="0" xr:uid="{051DBA77-A34B-4CA6-A866-67B9B0E90E54}">
      <text>
        <r>
          <rPr>
            <sz val="9"/>
            <color indexed="8"/>
            <rFont val="Calibri"/>
            <family val="2"/>
            <scheme val="minor"/>
          </rPr>
          <t>PNT reporté au 28/11</t>
        </r>
      </text>
    </comment>
    <comment ref="M252" authorId="0" shapeId="0" xr:uid="{AC903AD6-7F65-425D-BB9C-FFF72146B39F}">
      <text>
        <r>
          <rPr>
            <sz val="9"/>
            <color indexed="8"/>
            <rFont val="Calibri"/>
            <family val="2"/>
            <scheme val="minor"/>
          </rPr>
          <t>PNT reporter au 16/11</t>
        </r>
      </text>
    </comment>
    <comment ref="AJ253" authorId="0" shapeId="0" xr:uid="{FE031612-CF89-47A6-BD98-C7334038938A}">
      <text>
        <r>
          <rPr>
            <sz val="9"/>
            <color indexed="8"/>
            <rFont val="Calibri"/>
            <family val="2"/>
            <scheme val="minor"/>
          </rPr>
          <t>t32</t>
        </r>
      </text>
    </comment>
    <comment ref="AK253" authorId="0" shapeId="0" xr:uid="{641330BB-6904-4447-BF1A-846529AE84F4}">
      <text>
        <r>
          <rPr>
            <sz val="9"/>
            <color indexed="8"/>
            <rFont val="Calibri"/>
            <family val="2"/>
            <scheme val="minor"/>
          </rPr>
          <t>T32</t>
        </r>
      </text>
    </comment>
    <comment ref="AN257" authorId="0" shapeId="0" xr:uid="{9E519A81-2437-4120-A62E-A026270E9B9B}">
      <text>
        <r>
          <rPr>
            <sz val="9"/>
            <color indexed="8"/>
            <rFont val="Calibri"/>
            <family val="2"/>
            <scheme val="minor"/>
          </rPr>
          <t>PNT du 20/09</t>
        </r>
      </text>
    </comment>
    <comment ref="AO257" authorId="0" shapeId="0" xr:uid="{14310979-905A-46FE-8C65-0BBFFC2250FF}">
      <text>
        <r>
          <rPr>
            <sz val="9"/>
            <color indexed="8"/>
            <rFont val="Calibri"/>
            <family val="2"/>
            <scheme val="minor"/>
          </rPr>
          <t>PNT du 21/09</t>
        </r>
      </text>
    </comment>
    <comment ref="AE261" authorId="0" shapeId="0" xr:uid="{E0222AA9-047C-4B73-97D0-3631B1CBEC4D}">
      <text>
        <r>
          <rPr>
            <sz val="9"/>
            <color indexed="8"/>
            <rFont val="Calibri"/>
            <family val="2"/>
            <scheme val="minor"/>
          </rPr>
          <t>PNT reporté au 4/12</t>
        </r>
      </text>
    </comment>
    <comment ref="AF261" authorId="0" shapeId="0" xr:uid="{C99060CE-EE47-4350-800F-5747F1F351B8}">
      <text>
        <r>
          <rPr>
            <sz val="9"/>
            <color indexed="8"/>
            <rFont val="Calibri"/>
            <family val="2"/>
            <scheme val="minor"/>
          </rPr>
          <t>PNT reporté au 5/12</t>
        </r>
      </text>
    </comment>
    <comment ref="Q267" authorId="0" shapeId="0" xr:uid="{64A3489D-1BC9-493F-936B-488D6E7F1891}">
      <text>
        <r>
          <rPr>
            <sz val="9"/>
            <color indexed="8"/>
            <rFont val="Calibri"/>
            <family val="2"/>
            <scheme val="minor"/>
          </rPr>
          <t>PNT</t>
        </r>
      </text>
    </comment>
    <comment ref="R267" authorId="0" shapeId="0" xr:uid="{963E8977-17EB-48C4-8C95-FF3CE17FE076}">
      <text>
        <r>
          <rPr>
            <sz val="9"/>
            <color indexed="8"/>
            <rFont val="Calibri"/>
            <family val="2"/>
            <scheme val="minor"/>
          </rPr>
          <t>PNT</t>
        </r>
      </text>
    </comment>
    <comment ref="AN267" authorId="0" shapeId="0" xr:uid="{0B477525-EFEF-4F47-A3C0-C2A6C22D01C4}">
      <text>
        <r>
          <rPr>
            <sz val="9"/>
            <color indexed="8"/>
            <rFont val="Calibri"/>
            <family val="2"/>
            <scheme val="minor"/>
          </rPr>
          <t>PNT</t>
        </r>
      </text>
    </comment>
    <comment ref="AO267" authorId="0" shapeId="0" xr:uid="{676E439D-BF7A-48E0-AE81-9BA85E40B6F8}">
      <text>
        <r>
          <rPr>
            <sz val="9"/>
            <color indexed="8"/>
            <rFont val="Calibri"/>
            <family val="2"/>
            <scheme val="minor"/>
          </rPr>
          <t>PNT</t>
        </r>
      </text>
    </comment>
    <comment ref="O300" authorId="0" shapeId="0" xr:uid="{9F6957C5-7DCE-48E3-B9D4-01E3932CA770}">
      <text>
        <r>
          <rPr>
            <sz val="9"/>
            <color indexed="8"/>
            <rFont val="Calibri"/>
            <family val="2"/>
            <scheme val="minor"/>
          </rPr>
          <t>RCYC ANNULE.</t>
        </r>
      </text>
    </comment>
    <comment ref="P300" authorId="0" shapeId="0" xr:uid="{A7B91DB1-473A-4048-8734-710CA46E4C4C}">
      <text>
        <r>
          <rPr>
            <sz val="9"/>
            <color indexed="8"/>
            <rFont val="Calibri"/>
            <family val="2"/>
            <scheme val="minor"/>
          </rPr>
          <t>RCYC ANNULE.</t>
        </r>
      </text>
    </comment>
    <comment ref="M301" authorId="0" shapeId="0" xr:uid="{653B5125-EE5B-4D2B-BF8B-A98B954383C3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O301" authorId="0" shapeId="0" xr:uid="{E13D33C2-A45B-471A-9F7E-33E470CBCEA4}">
      <text>
        <r>
          <rPr>
            <sz val="9"/>
            <color indexed="8"/>
            <rFont val="Calibri"/>
            <family val="2"/>
            <scheme val="minor"/>
          </rPr>
          <t>ASAI  (Instances liées à la Peack Période et à la réorganisation de Carmaux).</t>
        </r>
      </text>
    </comment>
    <comment ref="P301" authorId="0" shapeId="0" xr:uid="{C3ACC2C0-FD5A-4381-B76D-319246FF95F3}">
      <text>
        <r>
          <rPr>
            <sz val="9"/>
            <color indexed="8"/>
            <rFont val="Calibri"/>
            <family val="2"/>
            <scheme val="minor"/>
          </rPr>
          <t>ASAI (Instances liées à la Peack Période et à la réorganisation de Carmaux).</t>
        </r>
      </text>
    </comment>
    <comment ref="AC301" authorId="0" shapeId="0" xr:uid="{EBB5C080-716B-4B20-AA7C-4C2858393328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D301" authorId="0" shapeId="0" xr:uid="{DD1BBE7B-3745-4E5A-AA33-B7A7FA0D192F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E301" authorId="0" shapeId="0" xr:uid="{21C70BC3-1E04-48E3-B102-F2072E143B21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F301" authorId="0" shapeId="0" xr:uid="{ECEEE867-95E3-4755-9E37-0E16124C7BEC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G301" authorId="0" shapeId="0" xr:uid="{113068D5-3E5A-4331-A9F4-D93005E98779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H301" authorId="0" shapeId="0" xr:uid="{08BE2677-067E-41C3-ABF6-65BE0B092ED3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J301" authorId="0" shapeId="0" xr:uid="{D110EDE0-C576-4E15-86D9-AAEF175A48C2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K301" authorId="0" shapeId="0" xr:uid="{AA02E122-972F-4EC6-9DD4-A57C1066DD5F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L301" authorId="0" shapeId="0" xr:uid="{7725B1CB-D9FD-447C-AECD-B92E3CEF3471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M301" authorId="0" shapeId="0" xr:uid="{1E47556A-C566-4C89-8625-BE17422456D6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N301" authorId="0" shapeId="0" xr:uid="{EE8BC639-9780-4F01-861D-2794D25A8F97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O301" authorId="0" shapeId="0" xr:uid="{E877DB1B-7E51-4270-96BE-509830B48458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Z306" authorId="0" shapeId="0" xr:uid="{4ABA4DFD-4FB4-40F7-9798-380F7DBF7058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F24" authorId="0" shapeId="0" xr:uid="{6DC14E17-2132-4B2C-B07E-F99F810403BE}">
      <text>
        <r>
          <rPr>
            <sz val="9"/>
            <color indexed="8"/>
            <rFont val="Calibri"/>
            <family val="2"/>
            <scheme val="minor"/>
          </rPr>
          <t>INVENTAIRE</t>
        </r>
      </text>
    </comment>
    <comment ref="AG24" authorId="0" shapeId="0" xr:uid="{C3CBB2D1-2138-457A-985B-1EECBB143A83}">
      <text>
        <r>
          <rPr>
            <sz val="9"/>
            <color indexed="8"/>
            <rFont val="Calibri"/>
            <family val="2"/>
            <scheme val="minor"/>
          </rPr>
          <t>INVENTAIRE</t>
        </r>
      </text>
    </comment>
    <comment ref="AJ24" authorId="0" shapeId="0" xr:uid="{029F3D40-797A-4468-88CA-38CDC6604335}">
      <text>
        <r>
          <rPr>
            <sz val="9"/>
            <color indexed="8"/>
            <rFont val="Calibri"/>
            <family val="2"/>
            <scheme val="minor"/>
          </rPr>
          <t>INVENTAIRE</t>
        </r>
      </text>
    </comment>
    <comment ref="AK24" authorId="0" shapeId="0" xr:uid="{58384626-98E5-4154-87CA-B405346298FB}">
      <text>
        <r>
          <rPr>
            <sz val="9"/>
            <color indexed="8"/>
            <rFont val="Calibri"/>
            <family val="2"/>
            <scheme val="minor"/>
          </rPr>
          <t>INVENTAIRE</t>
        </r>
      </text>
    </comment>
    <comment ref="P31" authorId="0" shapeId="0" xr:uid="{11203380-F5BE-4275-9A71-F7897F9EE407}">
      <text>
        <r>
          <rPr>
            <sz val="9"/>
            <color indexed="8"/>
            <rFont val="Calibri"/>
            <family val="2"/>
            <scheme val="minor"/>
          </rPr>
          <t>CHSCT PEAK PERIODE</t>
        </r>
      </text>
    </comment>
    <comment ref="Q31" authorId="0" shapeId="0" xr:uid="{7726F80C-57C6-473C-B9A5-65A2485476E3}">
      <text>
        <r>
          <rPr>
            <sz val="9"/>
            <color indexed="8"/>
            <rFont val="Calibri"/>
            <family val="2"/>
            <scheme val="minor"/>
          </rPr>
          <t>BON DE DELEGATION CHSCT</t>
        </r>
      </text>
    </comment>
    <comment ref="Y31" authorId="0" shapeId="0" xr:uid="{82783D96-7D00-494A-90CF-75DDEE50B23B}">
      <text>
        <r>
          <rPr>
            <sz val="9"/>
            <color indexed="8"/>
            <rFont val="Calibri"/>
            <family val="2"/>
            <scheme val="minor"/>
          </rPr>
          <t>CONVOCATION ET POUVOIR</t>
        </r>
      </text>
    </comment>
    <comment ref="AE31" authorId="0" shapeId="0" xr:uid="{9C509DDA-2E95-4816-AB8A-A9B53B65C283}">
      <text>
        <r>
          <rPr>
            <sz val="9"/>
            <color indexed="8"/>
            <rFont val="Calibri"/>
            <family val="2"/>
            <scheme val="minor"/>
          </rPr>
          <t>JAS</t>
        </r>
      </text>
    </comment>
    <comment ref="AG31" authorId="0" shapeId="0" xr:uid="{CDE07D4E-F36C-4526-9EA0-EE5D46879890}">
      <text>
        <r>
          <rPr>
            <sz val="9"/>
            <color indexed="8"/>
            <rFont val="Calibri"/>
            <family val="2"/>
            <scheme val="minor"/>
          </rPr>
          <t>CHSCT PEAK PERIODE</t>
        </r>
      </text>
    </comment>
    <comment ref="AL31" authorId="0" shapeId="0" xr:uid="{29754B94-93A9-44CC-8A7C-F3C56E9E6F95}">
      <text>
        <r>
          <rPr>
            <sz val="9"/>
            <color indexed="8"/>
            <rFont val="Calibri"/>
            <family val="2"/>
            <scheme val="minor"/>
          </rPr>
          <t>JAS</t>
        </r>
      </text>
    </comment>
    <comment ref="Z89" authorId="0" shapeId="0" xr:uid="{3F79539C-87EA-4D3C-80BC-00BF1D65676D}">
      <text>
        <r>
          <rPr>
            <sz val="9"/>
            <color indexed="8"/>
            <rFont val="Calibri"/>
            <family val="2"/>
            <scheme val="minor"/>
          </rPr>
          <t>ABSENCE SYNDICALE PREVUE : JAS</t>
        </r>
      </text>
    </comment>
    <comment ref="O145" authorId="0" shapeId="0" xr:uid="{19E406D7-88DF-4251-83B6-39D7C50AF032}">
      <text>
        <r>
          <rPr>
            <sz val="9"/>
            <color indexed="8"/>
            <rFont val="Calibri"/>
            <family val="2"/>
            <scheme val="minor"/>
          </rPr>
          <t>INSTANCES CARMAUX</t>
        </r>
      </text>
    </comment>
    <comment ref="P145" authorId="0" shapeId="0" xr:uid="{8CD8A401-0516-45B6-A68E-4F7D1D01D5E2}">
      <text>
        <r>
          <rPr>
            <sz val="9"/>
            <color indexed="8"/>
            <rFont val="Calibri"/>
            <family val="2"/>
            <scheme val="minor"/>
          </rPr>
          <t>INSTANCES CARMAUX</t>
        </r>
      </text>
    </comment>
    <comment ref="AG145" authorId="0" shapeId="0" xr:uid="{8DFA3B3D-A24E-45C2-9F81-753C4721AAD7}">
      <text>
        <r>
          <rPr>
            <sz val="9"/>
            <color indexed="8"/>
            <rFont val="Calibri"/>
            <family val="2"/>
            <scheme val="minor"/>
          </rPr>
          <t>INSTANCES CARMAUX</t>
        </r>
      </text>
    </comment>
    <comment ref="W178" authorId="0" shapeId="0" xr:uid="{81A5854A-C73C-4EEA-933F-564BE997F57F}">
      <text>
        <r>
          <rPr>
            <sz val="9"/>
            <color indexed="8"/>
            <rFont val="Calibri"/>
            <family val="2"/>
            <scheme val="minor"/>
          </rPr>
          <t>Formation Toulouse (prendre infos) pour Facteur Guichetier</t>
        </r>
      </text>
    </comment>
    <comment ref="T235" authorId="0" shapeId="0" xr:uid="{0BB198D2-7477-4C67-A5A7-075A46DAE775}">
      <text>
        <r>
          <rPr>
            <sz val="9"/>
            <color indexed="8"/>
            <rFont val="Calibri"/>
            <family val="2"/>
            <scheme val="minor"/>
          </rPr>
          <t>+CAB</t>
        </r>
      </text>
    </comment>
    <comment ref="X235" authorId="0" shapeId="0" xr:uid="{16E17727-797B-43D3-A858-67A3A7091F08}">
      <text>
        <r>
          <rPr>
            <sz val="9"/>
            <color indexed="8"/>
            <rFont val="Calibri"/>
            <family val="2"/>
            <scheme val="minor"/>
          </rPr>
          <t>RENCONTRE MANAGERIALE</t>
        </r>
      </text>
    </comment>
    <comment ref="AF235" authorId="0" shapeId="0" xr:uid="{1EB8E72C-7779-40C6-9B3E-F2B59C362F41}">
      <text>
        <r>
          <rPr>
            <sz val="9"/>
            <color indexed="8"/>
            <rFont val="Calibri"/>
            <family val="2"/>
            <scheme val="minor"/>
          </rPr>
          <t>CONTRAT D'OBJECTIFS 2020 14h-15h30</t>
        </r>
      </text>
    </comment>
    <comment ref="S251" authorId="0" shapeId="0" xr:uid="{8114929F-1369-4D97-BDAB-F36B79FA78A7}">
      <text>
        <r>
          <rPr>
            <sz val="9"/>
            <color indexed="8"/>
            <rFont val="Calibri"/>
            <family val="2"/>
            <scheme val="minor"/>
          </rPr>
          <t>PNT reporté au 27/11</t>
        </r>
      </text>
    </comment>
    <comment ref="T251" authorId="0" shapeId="0" xr:uid="{657FAF8F-64C9-45BB-BC06-DCEAD7B2BE2D}">
      <text>
        <r>
          <rPr>
            <sz val="9"/>
            <color indexed="8"/>
            <rFont val="Calibri"/>
            <family val="2"/>
            <scheme val="minor"/>
          </rPr>
          <t>PNT reporté au 28/11</t>
        </r>
      </text>
    </comment>
    <comment ref="M252" authorId="0" shapeId="0" xr:uid="{B4128670-2643-428A-9F0D-BDD8BA8928B7}">
      <text>
        <r>
          <rPr>
            <sz val="9"/>
            <color indexed="8"/>
            <rFont val="Calibri"/>
            <family val="2"/>
            <scheme val="minor"/>
          </rPr>
          <t>PNT reporter au 16/11</t>
        </r>
      </text>
    </comment>
    <comment ref="AJ253" authorId="0" shapeId="0" xr:uid="{93002A1D-5D40-4221-BAFE-720F971C2775}">
      <text>
        <r>
          <rPr>
            <sz val="9"/>
            <color indexed="8"/>
            <rFont val="Calibri"/>
            <family val="2"/>
            <scheme val="minor"/>
          </rPr>
          <t>t32</t>
        </r>
      </text>
    </comment>
    <comment ref="AK253" authorId="0" shapeId="0" xr:uid="{142A5A1F-D250-4AD5-A9C5-FA443C267003}">
      <text>
        <r>
          <rPr>
            <sz val="9"/>
            <color indexed="8"/>
            <rFont val="Calibri"/>
            <family val="2"/>
            <scheme val="minor"/>
          </rPr>
          <t>T32</t>
        </r>
      </text>
    </comment>
    <comment ref="AN257" authorId="0" shapeId="0" xr:uid="{752C3E49-04B2-4D29-8DA3-C8CBF336DC68}">
      <text>
        <r>
          <rPr>
            <sz val="9"/>
            <color indexed="8"/>
            <rFont val="Calibri"/>
            <family val="2"/>
            <scheme val="minor"/>
          </rPr>
          <t>PNT du 20/09</t>
        </r>
      </text>
    </comment>
    <comment ref="AO257" authorId="0" shapeId="0" xr:uid="{B88328A3-3DA1-430F-9A3D-AD44521F81BF}">
      <text>
        <r>
          <rPr>
            <sz val="9"/>
            <color indexed="8"/>
            <rFont val="Calibri"/>
            <family val="2"/>
            <scheme val="minor"/>
          </rPr>
          <t>PNT du 21/09</t>
        </r>
      </text>
    </comment>
    <comment ref="AE261" authorId="0" shapeId="0" xr:uid="{65D572C2-9AF1-4561-BFAA-31B31B2B2DBF}">
      <text>
        <r>
          <rPr>
            <sz val="9"/>
            <color indexed="8"/>
            <rFont val="Calibri"/>
            <family val="2"/>
            <scheme val="minor"/>
          </rPr>
          <t>PNT reporté au 4/12</t>
        </r>
      </text>
    </comment>
    <comment ref="AF261" authorId="0" shapeId="0" xr:uid="{508A5A00-68C9-4127-AC87-5318C2686E08}">
      <text>
        <r>
          <rPr>
            <sz val="9"/>
            <color indexed="8"/>
            <rFont val="Calibri"/>
            <family val="2"/>
            <scheme val="minor"/>
          </rPr>
          <t>PNT reporté au 5/12</t>
        </r>
      </text>
    </comment>
    <comment ref="Q267" authorId="0" shapeId="0" xr:uid="{9291061C-46D1-4501-953D-0FE87A047E74}">
      <text>
        <r>
          <rPr>
            <sz val="9"/>
            <color indexed="8"/>
            <rFont val="Calibri"/>
            <family val="2"/>
            <scheme val="minor"/>
          </rPr>
          <t>PNT</t>
        </r>
      </text>
    </comment>
    <comment ref="R267" authorId="0" shapeId="0" xr:uid="{D255867D-D619-46BB-8D86-424124CAF432}">
      <text>
        <r>
          <rPr>
            <sz val="9"/>
            <color indexed="8"/>
            <rFont val="Calibri"/>
            <family val="2"/>
            <scheme val="minor"/>
          </rPr>
          <t>PNT</t>
        </r>
      </text>
    </comment>
    <comment ref="AN267" authorId="0" shapeId="0" xr:uid="{AACD111B-7C49-415B-9CED-DF8DD88FFC3B}">
      <text>
        <r>
          <rPr>
            <sz val="9"/>
            <color indexed="8"/>
            <rFont val="Calibri"/>
            <family val="2"/>
            <scheme val="minor"/>
          </rPr>
          <t>PNT</t>
        </r>
      </text>
    </comment>
    <comment ref="AO267" authorId="0" shapeId="0" xr:uid="{EDEA4A65-9BD0-4DBE-8F76-EB03621BEC19}">
      <text>
        <r>
          <rPr>
            <sz val="9"/>
            <color indexed="8"/>
            <rFont val="Calibri"/>
            <family val="2"/>
            <scheme val="minor"/>
          </rPr>
          <t>PNT</t>
        </r>
      </text>
    </comment>
    <comment ref="O300" authorId="0" shapeId="0" xr:uid="{1DC88E7C-2C08-47A4-B53A-19B811E9535A}">
      <text>
        <r>
          <rPr>
            <sz val="9"/>
            <color indexed="8"/>
            <rFont val="Calibri"/>
            <family val="2"/>
            <scheme val="minor"/>
          </rPr>
          <t>RCYC ANNULE.</t>
        </r>
      </text>
    </comment>
    <comment ref="P300" authorId="0" shapeId="0" xr:uid="{B9AF37B1-54D3-48EE-AE4D-3F39F941872A}">
      <text>
        <r>
          <rPr>
            <sz val="9"/>
            <color indexed="8"/>
            <rFont val="Calibri"/>
            <family val="2"/>
            <scheme val="minor"/>
          </rPr>
          <t>RCYC ANNULE.</t>
        </r>
      </text>
    </comment>
    <comment ref="M301" authorId="0" shapeId="0" xr:uid="{73F95CB8-82F7-4E1E-AD24-B336323C4356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O301" authorId="0" shapeId="0" xr:uid="{1FD840F1-9C81-491A-AA88-EED9DFA82D65}">
      <text>
        <r>
          <rPr>
            <sz val="9"/>
            <color indexed="8"/>
            <rFont val="Calibri"/>
            <family val="2"/>
            <scheme val="minor"/>
          </rPr>
          <t>ASAI  (Instances liées à la Peack Période et à la réorganisation de Carmaux).</t>
        </r>
      </text>
    </comment>
    <comment ref="P301" authorId="0" shapeId="0" xr:uid="{36C852DF-59CC-4F9B-B333-D4B2EC42714E}">
      <text>
        <r>
          <rPr>
            <sz val="9"/>
            <color indexed="8"/>
            <rFont val="Calibri"/>
            <family val="2"/>
            <scheme val="minor"/>
          </rPr>
          <t>ASAI (Instances liées à la Peack Période et à la réorganisation de Carmaux).</t>
        </r>
      </text>
    </comment>
    <comment ref="AC301" authorId="0" shapeId="0" xr:uid="{C14AB5E2-481D-43F8-9262-9FCDF311CE13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D301" authorId="0" shapeId="0" xr:uid="{A22DE7C9-F7B8-4DA4-A385-2EB07B84C512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E301" authorId="0" shapeId="0" xr:uid="{2E1F2894-36CF-4FA8-B75C-F19F7D07FB07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F301" authorId="0" shapeId="0" xr:uid="{F884BB87-0799-47BA-A3A7-04BC0B2FE706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G301" authorId="0" shapeId="0" xr:uid="{FB366507-B2A5-41EB-ADB4-98CFAE069633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H301" authorId="0" shapeId="0" xr:uid="{BE7F9451-E08D-497D-AE3A-2CE107C2B5B6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J301" authorId="0" shapeId="0" xr:uid="{D6AA8CCC-9C8B-4CD1-9C86-EDA4898B0377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K301" authorId="0" shapeId="0" xr:uid="{1F96A60A-8380-42FF-AF4D-3AF235B53422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L301" authorId="0" shapeId="0" xr:uid="{B1842B75-147D-415D-AF66-A1A13831BD27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M301" authorId="0" shapeId="0" xr:uid="{B730B8C4-E222-453A-8842-ABDEDCACE49F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N301" authorId="0" shapeId="0" xr:uid="{6F874CF1-0763-44AC-8274-E624D75EE407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O301" authorId="0" shapeId="0" xr:uid="{C0381ECC-AFED-4547-B04D-B6C6D7CEC197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Z306" authorId="0" shapeId="0" xr:uid="{0DDA5359-BD43-4577-A274-26C974864AD3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F24" authorId="0" shapeId="0" xr:uid="{6A315A47-3144-4DE7-8244-21B3732F6D30}">
      <text>
        <r>
          <rPr>
            <sz val="9"/>
            <color indexed="8"/>
            <rFont val="Calibri"/>
            <family val="2"/>
            <scheme val="minor"/>
          </rPr>
          <t>INVENTAIRE</t>
        </r>
      </text>
    </comment>
    <comment ref="AG24" authorId="0" shapeId="0" xr:uid="{ED1740F4-0A1F-4829-8F58-778B8DD7359C}">
      <text>
        <r>
          <rPr>
            <sz val="9"/>
            <color indexed="8"/>
            <rFont val="Calibri"/>
            <family val="2"/>
            <scheme val="minor"/>
          </rPr>
          <t>INVENTAIRE</t>
        </r>
      </text>
    </comment>
    <comment ref="AJ24" authorId="0" shapeId="0" xr:uid="{2959B25E-9A18-413C-91E3-6ED0F10C75F9}">
      <text>
        <r>
          <rPr>
            <sz val="9"/>
            <color indexed="8"/>
            <rFont val="Calibri"/>
            <family val="2"/>
            <scheme val="minor"/>
          </rPr>
          <t>INVENTAIRE</t>
        </r>
      </text>
    </comment>
    <comment ref="AK24" authorId="0" shapeId="0" xr:uid="{0B04724C-53F6-440F-A75C-28BC944DA7DA}">
      <text>
        <r>
          <rPr>
            <sz val="9"/>
            <color indexed="8"/>
            <rFont val="Calibri"/>
            <family val="2"/>
            <scheme val="minor"/>
          </rPr>
          <t>INVENTAIRE</t>
        </r>
      </text>
    </comment>
    <comment ref="P31" authorId="0" shapeId="0" xr:uid="{3EB06BA5-E2A0-4AB9-BD5A-3E2389F33B19}">
      <text>
        <r>
          <rPr>
            <sz val="9"/>
            <color indexed="8"/>
            <rFont val="Calibri"/>
            <family val="2"/>
            <scheme val="minor"/>
          </rPr>
          <t>CHSCT PEAK PERIODE</t>
        </r>
      </text>
    </comment>
    <comment ref="Q31" authorId="0" shapeId="0" xr:uid="{89332357-EA9D-4367-A27A-61486FB37973}">
      <text>
        <r>
          <rPr>
            <sz val="9"/>
            <color indexed="8"/>
            <rFont val="Calibri"/>
            <family val="2"/>
            <scheme val="minor"/>
          </rPr>
          <t>BON DE DELEGATION CHSCT</t>
        </r>
      </text>
    </comment>
    <comment ref="Y31" authorId="0" shapeId="0" xr:uid="{1E007C2F-C29A-4167-A30C-D21CCF277439}">
      <text>
        <r>
          <rPr>
            <sz val="9"/>
            <color indexed="8"/>
            <rFont val="Calibri"/>
            <family val="2"/>
            <scheme val="minor"/>
          </rPr>
          <t>CONVOCATION ET POUVOIR</t>
        </r>
      </text>
    </comment>
    <comment ref="AE31" authorId="0" shapeId="0" xr:uid="{B20D2316-CC14-4C00-8613-8E81CA27BDB2}">
      <text>
        <r>
          <rPr>
            <sz val="9"/>
            <color indexed="8"/>
            <rFont val="Calibri"/>
            <family val="2"/>
            <scheme val="minor"/>
          </rPr>
          <t>JAS</t>
        </r>
      </text>
    </comment>
    <comment ref="AG31" authorId="0" shapeId="0" xr:uid="{6D8D6191-14F2-452E-9F55-9F7E29AF67C2}">
      <text>
        <r>
          <rPr>
            <sz val="9"/>
            <color indexed="8"/>
            <rFont val="Calibri"/>
            <family val="2"/>
            <scheme val="minor"/>
          </rPr>
          <t>CHSCT PEAK PERIODE</t>
        </r>
      </text>
    </comment>
    <comment ref="AL31" authorId="0" shapeId="0" xr:uid="{04D20C67-5131-4FD9-A336-B3A34D107D92}">
      <text>
        <r>
          <rPr>
            <sz val="9"/>
            <color indexed="8"/>
            <rFont val="Calibri"/>
            <family val="2"/>
            <scheme val="minor"/>
          </rPr>
          <t>JAS</t>
        </r>
      </text>
    </comment>
    <comment ref="Z89" authorId="0" shapeId="0" xr:uid="{E557950E-732C-489F-BDFE-D8568FC66116}">
      <text>
        <r>
          <rPr>
            <sz val="9"/>
            <color indexed="8"/>
            <rFont val="Calibri"/>
            <family val="2"/>
            <scheme val="minor"/>
          </rPr>
          <t>ABSENCE SYNDICALE PREVUE : JAS</t>
        </r>
      </text>
    </comment>
    <comment ref="O145" authorId="0" shapeId="0" xr:uid="{8A3CBBFB-4EAB-4474-8584-0FF8A52FDC2F}">
      <text>
        <r>
          <rPr>
            <sz val="9"/>
            <color indexed="8"/>
            <rFont val="Calibri"/>
            <family val="2"/>
            <scheme val="minor"/>
          </rPr>
          <t>INSTANCES CARMAUX</t>
        </r>
      </text>
    </comment>
    <comment ref="P145" authorId="0" shapeId="0" xr:uid="{3ED67A3D-DFE6-4472-905F-F05DE0D10CDA}">
      <text>
        <r>
          <rPr>
            <sz val="9"/>
            <color indexed="8"/>
            <rFont val="Calibri"/>
            <family val="2"/>
            <scheme val="minor"/>
          </rPr>
          <t>INSTANCES CARMAUX</t>
        </r>
      </text>
    </comment>
    <comment ref="AG145" authorId="0" shapeId="0" xr:uid="{66E37337-2548-4D5A-8759-C7B56929F7A2}">
      <text>
        <r>
          <rPr>
            <sz val="9"/>
            <color indexed="8"/>
            <rFont val="Calibri"/>
            <family val="2"/>
            <scheme val="minor"/>
          </rPr>
          <t>INSTANCES CARMAUX</t>
        </r>
      </text>
    </comment>
    <comment ref="W178" authorId="0" shapeId="0" xr:uid="{D135B122-B4BB-4432-ADA3-FB988E09DC62}">
      <text>
        <r>
          <rPr>
            <sz val="9"/>
            <color indexed="8"/>
            <rFont val="Calibri"/>
            <family val="2"/>
            <scheme val="minor"/>
          </rPr>
          <t>Formation Toulouse (prendre infos) pour Facteur Guichetier</t>
        </r>
      </text>
    </comment>
    <comment ref="T235" authorId="0" shapeId="0" xr:uid="{D2476BDD-5946-486A-B09E-26FB54CA7320}">
      <text>
        <r>
          <rPr>
            <sz val="9"/>
            <color indexed="8"/>
            <rFont val="Calibri"/>
            <family val="2"/>
            <scheme val="minor"/>
          </rPr>
          <t>+CAB</t>
        </r>
      </text>
    </comment>
    <comment ref="X235" authorId="0" shapeId="0" xr:uid="{A9543C13-2767-4513-8D70-01DAA24C413C}">
      <text>
        <r>
          <rPr>
            <sz val="9"/>
            <color indexed="8"/>
            <rFont val="Calibri"/>
            <family val="2"/>
            <scheme val="minor"/>
          </rPr>
          <t>RENCONTRE MANAGERIALE</t>
        </r>
      </text>
    </comment>
    <comment ref="AF235" authorId="0" shapeId="0" xr:uid="{DE16CE8C-753C-4EE5-94B8-5E2CA357122C}">
      <text>
        <r>
          <rPr>
            <sz val="9"/>
            <color indexed="8"/>
            <rFont val="Calibri"/>
            <family val="2"/>
            <scheme val="minor"/>
          </rPr>
          <t>CONTRAT D'OBJECTIFS 2020 14h-15h30</t>
        </r>
      </text>
    </comment>
    <comment ref="S251" authorId="0" shapeId="0" xr:uid="{249888A6-B18C-47F4-A9F2-24C7A23DAFDD}">
      <text>
        <r>
          <rPr>
            <sz val="9"/>
            <color indexed="8"/>
            <rFont val="Calibri"/>
            <family val="2"/>
            <scheme val="minor"/>
          </rPr>
          <t>PNT reporté au 27/11</t>
        </r>
      </text>
    </comment>
    <comment ref="T251" authorId="0" shapeId="0" xr:uid="{A06546E8-8CF1-40ED-AAEC-49B8C67B6BF9}">
      <text>
        <r>
          <rPr>
            <sz val="9"/>
            <color indexed="8"/>
            <rFont val="Calibri"/>
            <family val="2"/>
            <scheme val="minor"/>
          </rPr>
          <t>PNT reporté au 28/11</t>
        </r>
      </text>
    </comment>
    <comment ref="M252" authorId="0" shapeId="0" xr:uid="{EE546462-DD6D-453D-A324-388D58188488}">
      <text>
        <r>
          <rPr>
            <sz val="9"/>
            <color indexed="8"/>
            <rFont val="Calibri"/>
            <family val="2"/>
            <scheme val="minor"/>
          </rPr>
          <t>PNT reporter au 16/11</t>
        </r>
      </text>
    </comment>
    <comment ref="AJ253" authorId="0" shapeId="0" xr:uid="{8B76421B-EB5F-405F-AE05-5F5AA6CCF033}">
      <text>
        <r>
          <rPr>
            <sz val="9"/>
            <color indexed="8"/>
            <rFont val="Calibri"/>
            <family val="2"/>
            <scheme val="minor"/>
          </rPr>
          <t>t32</t>
        </r>
      </text>
    </comment>
    <comment ref="AK253" authorId="0" shapeId="0" xr:uid="{77084FEE-DE25-4A46-B0F9-F388C13E80D4}">
      <text>
        <r>
          <rPr>
            <sz val="9"/>
            <color indexed="8"/>
            <rFont val="Calibri"/>
            <family val="2"/>
            <scheme val="minor"/>
          </rPr>
          <t>T32</t>
        </r>
      </text>
    </comment>
    <comment ref="AN257" authorId="0" shapeId="0" xr:uid="{2B28FD85-A5DF-4139-8F53-5DD40A19DCBE}">
      <text>
        <r>
          <rPr>
            <sz val="9"/>
            <color indexed="8"/>
            <rFont val="Calibri"/>
            <family val="2"/>
            <scheme val="minor"/>
          </rPr>
          <t>PNT du 20/09</t>
        </r>
      </text>
    </comment>
    <comment ref="AO257" authorId="0" shapeId="0" xr:uid="{EA9D5910-056C-4023-A6C9-1AABD47A0BF5}">
      <text>
        <r>
          <rPr>
            <sz val="9"/>
            <color indexed="8"/>
            <rFont val="Calibri"/>
            <family val="2"/>
            <scheme val="minor"/>
          </rPr>
          <t>PNT du 21/09</t>
        </r>
      </text>
    </comment>
    <comment ref="AE261" authorId="0" shapeId="0" xr:uid="{CA2647A9-EFF2-40DC-A53A-22F8BBCDD555}">
      <text>
        <r>
          <rPr>
            <sz val="9"/>
            <color indexed="8"/>
            <rFont val="Calibri"/>
            <family val="2"/>
            <scheme val="minor"/>
          </rPr>
          <t>PNT reporté au 4/12</t>
        </r>
      </text>
    </comment>
    <comment ref="AF261" authorId="0" shapeId="0" xr:uid="{340E9577-E115-4DB2-A212-6D0B5D26C604}">
      <text>
        <r>
          <rPr>
            <sz val="9"/>
            <color indexed="8"/>
            <rFont val="Calibri"/>
            <family val="2"/>
            <scheme val="minor"/>
          </rPr>
          <t>PNT reporté au 5/12</t>
        </r>
      </text>
    </comment>
    <comment ref="Q267" authorId="0" shapeId="0" xr:uid="{38047D9C-F9F7-49D8-A5C7-08F48BE4ACD2}">
      <text>
        <r>
          <rPr>
            <sz val="9"/>
            <color indexed="8"/>
            <rFont val="Calibri"/>
            <family val="2"/>
            <scheme val="minor"/>
          </rPr>
          <t>PNT</t>
        </r>
      </text>
    </comment>
    <comment ref="R267" authorId="0" shapeId="0" xr:uid="{82098D13-570A-43B8-9D2E-7C48FF237ADF}">
      <text>
        <r>
          <rPr>
            <sz val="9"/>
            <color indexed="8"/>
            <rFont val="Calibri"/>
            <family val="2"/>
            <scheme val="minor"/>
          </rPr>
          <t>PNT</t>
        </r>
      </text>
    </comment>
    <comment ref="AN267" authorId="0" shapeId="0" xr:uid="{2E782EB3-9495-4954-A608-0A0C1184C8EC}">
      <text>
        <r>
          <rPr>
            <sz val="9"/>
            <color indexed="8"/>
            <rFont val="Calibri"/>
            <family val="2"/>
            <scheme val="minor"/>
          </rPr>
          <t>PNT</t>
        </r>
      </text>
    </comment>
    <comment ref="AO267" authorId="0" shapeId="0" xr:uid="{430EE134-9210-4E48-8FFF-C3EFA355DAB2}">
      <text>
        <r>
          <rPr>
            <sz val="9"/>
            <color indexed="8"/>
            <rFont val="Calibri"/>
            <family val="2"/>
            <scheme val="minor"/>
          </rPr>
          <t>PNT</t>
        </r>
      </text>
    </comment>
    <comment ref="O300" authorId="0" shapeId="0" xr:uid="{249EE22F-A970-43FF-9A73-380BC85F3F7B}">
      <text>
        <r>
          <rPr>
            <sz val="9"/>
            <color indexed="8"/>
            <rFont val="Calibri"/>
            <family val="2"/>
            <scheme val="minor"/>
          </rPr>
          <t>RCYC ANNULE.</t>
        </r>
      </text>
    </comment>
    <comment ref="P300" authorId="0" shapeId="0" xr:uid="{02D1C8EC-905B-4A9E-8724-14A12B70B596}">
      <text>
        <r>
          <rPr>
            <sz val="9"/>
            <color indexed="8"/>
            <rFont val="Calibri"/>
            <family val="2"/>
            <scheme val="minor"/>
          </rPr>
          <t>RCYC ANNULE.</t>
        </r>
      </text>
    </comment>
    <comment ref="M301" authorId="0" shapeId="0" xr:uid="{C4322DC7-36F4-4737-B42F-D7A6A8563187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O301" authorId="0" shapeId="0" xr:uid="{DA84B410-457F-4651-9D59-F59CE2F748F9}">
      <text>
        <r>
          <rPr>
            <sz val="9"/>
            <color indexed="8"/>
            <rFont val="Calibri"/>
            <family val="2"/>
            <scheme val="minor"/>
          </rPr>
          <t>ASAI  (Instances liées à la Peack Période et à la réorganisation de Carmaux).</t>
        </r>
      </text>
    </comment>
    <comment ref="P301" authorId="0" shapeId="0" xr:uid="{2B534D85-BD04-4713-B96F-1AE4DCFE26D5}">
      <text>
        <r>
          <rPr>
            <sz val="9"/>
            <color indexed="8"/>
            <rFont val="Calibri"/>
            <family val="2"/>
            <scheme val="minor"/>
          </rPr>
          <t>ASAI (Instances liées à la Peack Période et à la réorganisation de Carmaux).</t>
        </r>
      </text>
    </comment>
    <comment ref="AC301" authorId="0" shapeId="0" xr:uid="{29CE6704-F442-4881-AC29-D7E34CB5D4D3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D301" authorId="0" shapeId="0" xr:uid="{1698217B-290C-4F70-8C2F-6DB6056587EF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E301" authorId="0" shapeId="0" xr:uid="{5947A92B-EF58-4E60-ABE6-3446FB565772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F301" authorId="0" shapeId="0" xr:uid="{331C58A4-1BE3-4CAF-A4B7-E6A04B070128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G301" authorId="0" shapeId="0" xr:uid="{AA441A4D-B5FC-4C8F-AF89-D27AF6BA6AD2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H301" authorId="0" shapeId="0" xr:uid="{06130A1C-043C-4E10-B6FC-FC722512148E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J301" authorId="0" shapeId="0" xr:uid="{7A416F35-A782-4C9B-96B7-F9F307A883AB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K301" authorId="0" shapeId="0" xr:uid="{34497E11-96AD-47B2-BCC5-5A51E27DE44F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L301" authorId="0" shapeId="0" xr:uid="{FDC9075D-1238-467C-8138-DDC029195400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M301" authorId="0" shapeId="0" xr:uid="{3E6B94F5-99CC-4A58-B239-988F6A919C4E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N301" authorId="0" shapeId="0" xr:uid="{C2DBF624-2FC3-4D83-917E-46992ABAB879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AO301" authorId="0" shapeId="0" xr:uid="{EE8A773C-D5BC-4519-BC34-AA26A7874A0E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  <comment ref="Z306" authorId="0" shapeId="0" xr:uid="{83DA9818-0A97-49E4-A0A6-C809252F3A91}">
      <text>
        <r>
          <rPr>
            <sz val="9"/>
            <color indexed="8"/>
            <rFont val="Calibri"/>
            <family val="2"/>
            <scheme val="minor"/>
          </rPr>
          <t>JAS.</t>
        </r>
      </text>
    </comment>
  </commentList>
</comments>
</file>

<file path=xl/sharedStrings.xml><?xml version="1.0" encoding="utf-8"?>
<sst xmlns="http://schemas.openxmlformats.org/spreadsheetml/2006/main" count="62890" uniqueCount="1321">
  <si>
    <t>EQUIPES GA</t>
  </si>
  <si>
    <t>SITE</t>
  </si>
  <si>
    <t>SERVICE</t>
  </si>
  <si>
    <t>EQUIPE</t>
  </si>
  <si>
    <t>Exporter un planning depuis GA ( bien penser à laisser  l'IDRH de l'agent)</t>
  </si>
  <si>
    <t xml:space="preserve">Cliquer sur le bouton rouge "Maj onglet paramètres" sur l'onglet Planning  </t>
  </si>
  <si>
    <t>Cliquer sur mettre en forme le planning (Bouton Bleu)</t>
  </si>
  <si>
    <t xml:space="preserve">Répondre Ok à tous les messages suite au déroulement de la MACRO </t>
  </si>
  <si>
    <t xml:space="preserve">Cliquer sur Afficher les anomalies (Bouton Jaune) sur l'onglet Planning. </t>
  </si>
  <si>
    <t>Afin d'effacer le planning cliquer sur le bouton vert ( sur l'onglet PLANNING)</t>
  </si>
  <si>
    <t xml:space="preserve">Si vous souhaitez traiter d'autres équipes bien penser à modifier l'onglet paramètres: pour cela il vous suffit de coller un </t>
  </si>
  <si>
    <t>nouveau planning et de cliquer à nouveau sur le bouton rouge ( il faut cliquer sur le bouton rouge avant de retraiter</t>
  </si>
  <si>
    <t>le format du planning</t>
  </si>
  <si>
    <t>PA</t>
  </si>
  <si>
    <t>Type</t>
  </si>
  <si>
    <t>Nom prénom</t>
  </si>
  <si>
    <t>IDRH</t>
  </si>
  <si>
    <t>Type de 
contrat</t>
  </si>
  <si>
    <t>Quotité
agent</t>
  </si>
  <si>
    <t>Métier PA</t>
  </si>
  <si>
    <t>Equipe</t>
  </si>
  <si>
    <t>Sécabilité</t>
  </si>
  <si>
    <t>Jours sans affectation</t>
  </si>
  <si>
    <t>Abs. prévisionnelles</t>
  </si>
  <si>
    <t>MRP sans PA exceptionnelle</t>
  </si>
  <si>
    <t>Absences en attente de validation</t>
  </si>
  <si>
    <t>CA/RE/Boni</t>
  </si>
  <si>
    <t>Solde CA/RE/Boni</t>
  </si>
  <si>
    <t>JPS</t>
  </si>
  <si>
    <t>RC</t>
  </si>
  <si>
    <t>RCE/COR</t>
  </si>
  <si>
    <t>Arrêt maladie</t>
  </si>
  <si>
    <t>Arrêt accident</t>
  </si>
  <si>
    <t>ASA Synd</t>
  </si>
  <si>
    <t>Autres ASA</t>
  </si>
  <si>
    <t>Doublure</t>
  </si>
  <si>
    <t>Formation</t>
  </si>
  <si>
    <t>Abs. non rém.</t>
  </si>
  <si>
    <t>Maternité</t>
  </si>
  <si>
    <t>Longue maladie</t>
  </si>
  <si>
    <t>CET</t>
  </si>
  <si>
    <t>HE</t>
  </si>
  <si>
    <t>Site</t>
  </si>
  <si>
    <t>Service</t>
  </si>
  <si>
    <t>RC heures</t>
  </si>
  <si>
    <t>RCE/COR Heures</t>
  </si>
  <si>
    <t>HE heures</t>
  </si>
  <si>
    <t>FTP Brute</t>
  </si>
  <si>
    <t>Séca du Mois</t>
  </si>
  <si>
    <t>AMR du Mois</t>
  </si>
  <si>
    <t>JPS du Mois</t>
  </si>
  <si>
    <t>Doublures du Mois</t>
  </si>
  <si>
    <t>ABSENCES PREVISIONNELLES</t>
  </si>
  <si>
    <t>MRP SANS PA</t>
  </si>
  <si>
    <t>ABSENCES A VALIDER</t>
  </si>
  <si>
    <t>Asa Prev</t>
  </si>
  <si>
    <t>CA Prev</t>
  </si>
  <si>
    <t>Formation Prev</t>
  </si>
  <si>
    <t>AT Prev</t>
  </si>
  <si>
    <t>JPS Prev</t>
  </si>
  <si>
    <t>Absence Prev CDI Int</t>
  </si>
  <si>
    <t>CA à Valider</t>
  </si>
  <si>
    <t>ASA à Valider</t>
  </si>
  <si>
    <t>Autres à valider</t>
  </si>
  <si>
    <t>ALBAN 01.07.2019 (ALBI PPDC &gt; ALBI PAYS CATHARES PPDC)</t>
  </si>
  <si>
    <t>CABINE 15.01.2019 (ALBI PPDC &gt; ALBI PAYS CATHARES PPDC)</t>
  </si>
  <si>
    <t>CONCENTRATION 03.06.2019 (ALBI PPDC &gt; ALBI PAYS CATHARES PPDC)</t>
  </si>
  <si>
    <t>DETACHES PERMANENTS (ALBI PPDC &gt; ALBI PAYS CATHARES PPDC)</t>
  </si>
  <si>
    <t>ENCADREMENT (ALBI PPDC &gt; ALBI PAYS CATHARES PPDC)</t>
  </si>
  <si>
    <t>FSE DEX (ALBI PPDC &gt; ALBI PAYS CATHARES PPDC)</t>
  </si>
  <si>
    <t>MATIN CEDEX 01.06.2019 (ALBI PPDC &gt; ALBI PAYS CATHARES PPDC)</t>
  </si>
  <si>
    <t>MESSAGERIE 09.07.2018 (ALBI PPDC &gt; ALBI PAYS CATHARES PPDC)</t>
  </si>
  <si>
    <t>S3C 15.01.2019 (ALBI PPDC &gt; ALBI PAYS CATHARES PPDC)</t>
  </si>
  <si>
    <t>VILLEFRANCHE 01.07.2019 (ALBI PPDC &gt; ALBI PAYS CATHARES PPDC)</t>
  </si>
  <si>
    <t>ACTION COMMERCIALE (1)CODIR &gt; ALBI PPDC &gt; ALBI PAYS CATHARES PPDC)</t>
  </si>
  <si>
    <t>DIRECTION (1)CODIR &gt; ALBI PPDC &gt; ALBI PAYS CATHARES PPDC)</t>
  </si>
  <si>
    <t>GESTION (1)CODIR &gt; ALBI PPDC &gt; ALBI PAYS CATHARES PPDC)</t>
  </si>
  <si>
    <t>ORGANISATION (1)CODIR &gt; ALBI PPDC &gt; ALBI PAYS CATHARES PPDC)</t>
  </si>
  <si>
    <t>PRODUCTION (1)CODIR &gt; ALBI PPDC &gt; ALBI PAYS CATHARES PPDC)</t>
  </si>
  <si>
    <t>RESSOURCES HUMAINES (1)CODIR &gt; ALBI PPDC &gt; ALBI PAYS CATHARES PPDC)</t>
  </si>
  <si>
    <t>ALBI COMMERCIALE - EQUIPE I - COMMERCIALE - Organisation normale (DISTRIBUTION 15.01.2019 &gt; ALBI PPDC &gt; ALBI PAYS CATHARES PPDC)</t>
  </si>
  <si>
    <t>ALBI FACTEURS POLYVALENTS &amp; FSE - ALBI FP &amp; FSE - Organisation normale (DISTRIBUTION 15.01.2019 &gt; ALBI PPDC &gt; ALBI PAYS CATHARES PPDC)</t>
  </si>
  <si>
    <t>ALBI ILOTS MEDIAPOST - ALBI ILOTS MEDIAPOST - Organisation normale (DISTRIBUTION 15.01.2019 &gt; ALBI PPDC &gt; ALBI PAYS CATHARES PPDC)</t>
  </si>
  <si>
    <t>ALBI PREPARATION - ALBI PREPARATION - Organisation normale (DISTRIBUTION 15.01.2019 &gt; ALBI PPDC &gt; ALBI PAYS CATHARES PPDC)</t>
  </si>
  <si>
    <t>ALBI RURAL 1000 - ALBI RURAL 1000 - Organisation normale (DISTRIBUTION 15.01.2019 &gt; ALBI PPDC &gt; ALBI PAYS CATHARES PPDC)</t>
  </si>
  <si>
    <t>ALBI RURAL 800 - ALBI RURAL 800 - Organisation normale (DISTRIBUTION 15.01.2019 &gt; ALBI PPDC &gt; ALBI PAYS CATHARES PPDC)</t>
  </si>
  <si>
    <t>AGENTS EN CONGE INVALIDITE (EQUIPE TPAS &amp; HORS FONCTION &gt; ALBI PPDC &gt; ALBI PAYS CATHARES PPDC)</t>
  </si>
  <si>
    <t>AGENTS EN CONGE LONGUE MALADIE (EQUIPE TPAS &amp; HORS FONCTION &gt; ALBI PPDC &gt; ALBI PAYS CATHARES PPDC)</t>
  </si>
  <si>
    <t>AGENTS EN DISPONIBILITE (EQUIPE TPAS &amp; HORS FONCTION &gt; ALBI PPDC &gt; ALBI PAYS CATHARES PPDC)</t>
  </si>
  <si>
    <t>AGENTS TPAS (EQUIPE TPAS &amp; HORS FONCTION &gt; ALBI PPDC &gt; ALBI PAYS CATHARES PPDC)</t>
  </si>
  <si>
    <t>FSE MPN (FSE OCCITANIE MP &gt; ALBI PAYS CATHARES PPDC)</t>
  </si>
  <si>
    <t>FSE MPS (FSE OCCITANIE MP &gt; ALBI PAYS CATHARES PPDC)</t>
  </si>
  <si>
    <t>EQUIPE 1 - Organisation normale (MARSSAC 30.10.2018 &gt; ALBI PAYS CATHARES PPDC)</t>
  </si>
  <si>
    <t>EQUIPE 1 REALMONT (REALMONT 10.07.2018 &gt; ALBI PAYS CATHARES PPDC)</t>
  </si>
  <si>
    <t>EQUIPE 2 REALMONT (REALMONT 10.07.2018 &gt; ALBI PAYS CATHARES PPDC)</t>
  </si>
  <si>
    <t>FSE REALMONT (REALMONT 10.07.2018 &gt; ALBI PAYS CATHARES PPDC)</t>
  </si>
  <si>
    <t>CABINE (SAINT BENOIT DE CARMAUX PDC 1 &gt; ALBI PAYS CATHARES PPDC)</t>
  </si>
  <si>
    <t>EQUIPE 100 (SAINT BENOIT DE CARMAUX PDC 1 &gt; ALBI PAYS CATHARES PPDC)</t>
  </si>
  <si>
    <t>EQUIPE 200 (SAINT BENOIT DE CARMAUX PDC 1 &gt; ALBI PAYS CATHARES PPDC)</t>
  </si>
  <si>
    <t>EQUIPE 300 (SAINT BENOIT DE CARMAUX PDC 1 &gt; ALBI PAYS CATHARES PPDC)</t>
  </si>
  <si>
    <t>INTER EQUIPES (SAINT BENOIT DE CARMAUX PDC 1 &gt; ALBI PAYS CATHARES PPDC)</t>
  </si>
  <si>
    <t>EQUIPE VALENCE 01.07.2019 (VALENCE D'ALBIGEOIS &gt; ALBI PAYS CATHARES PPDC)</t>
  </si>
  <si>
    <t xml:space="preserve">ALBI PPDC </t>
  </si>
  <si>
    <t xml:space="preserve">ALBAN 01.07.2019 </t>
  </si>
  <si>
    <t xml:space="preserve">CABINE 15.01.2019 </t>
  </si>
  <si>
    <t xml:space="preserve">CONCENTRATION 03.06.2019 </t>
  </si>
  <si>
    <t xml:space="preserve">DETACHES PERMANENTS </t>
  </si>
  <si>
    <t xml:space="preserve">ENCADREMENT </t>
  </si>
  <si>
    <t xml:space="preserve">FSE DEX </t>
  </si>
  <si>
    <t xml:space="preserve">MATIN CEDEX 01.06.2019 </t>
  </si>
  <si>
    <t xml:space="preserve">MESSAGERIE 09.07.2018 </t>
  </si>
  <si>
    <t xml:space="preserve">S3C 15.01.2019 </t>
  </si>
  <si>
    <t xml:space="preserve">VILLEFRANCHE 01.07.2019 </t>
  </si>
  <si>
    <t xml:space="preserve">1)CODIR </t>
  </si>
  <si>
    <t xml:space="preserve">ACTION COMMERCIALE </t>
  </si>
  <si>
    <t xml:space="preserve">DIRECTION </t>
  </si>
  <si>
    <t xml:space="preserve">GESTION </t>
  </si>
  <si>
    <t xml:space="preserve">ORGANISATION </t>
  </si>
  <si>
    <t xml:space="preserve">PRODUCTION </t>
  </si>
  <si>
    <t xml:space="preserve">RESSOURCES HUMAINES </t>
  </si>
  <si>
    <t xml:space="preserve">DISTRIBUTION 15.01.2019 </t>
  </si>
  <si>
    <t xml:space="preserve">ALBI COMMERCIALE - EQUIPE I - COMMERCIALE - Organisation normale </t>
  </si>
  <si>
    <t xml:space="preserve">ALBI FACTEURS POLYVALENTS &amp; FSE - ALBI FP &amp; FSE - Organisation normale </t>
  </si>
  <si>
    <t xml:space="preserve">ALBI ILOTS MEDIAPOST - ALBI ILOTS MEDIAPOST - Organisation normale </t>
  </si>
  <si>
    <t xml:space="preserve">ALBI PREPARATION - ALBI PREPARATION - Organisation normale </t>
  </si>
  <si>
    <t xml:space="preserve">ALBI RURAL 1000 - ALBI RURAL 1000 - Organisation normale </t>
  </si>
  <si>
    <t xml:space="preserve">ALBI RURAL 800 - ALBI RURAL 800 - Organisation normale </t>
  </si>
  <si>
    <t xml:space="preserve">EQUIPE TPAS &amp; HORS FONCTION </t>
  </si>
  <si>
    <t xml:space="preserve">AGENTS EN CONGE INVALIDITE </t>
  </si>
  <si>
    <t xml:space="preserve">AGENTS EN CONGE LONGUE MALADIE </t>
  </si>
  <si>
    <t xml:space="preserve">AGENTS EN DISPONIBILITE </t>
  </si>
  <si>
    <t xml:space="preserve">AGENTS TPAS </t>
  </si>
  <si>
    <t xml:space="preserve">FSE OCCITANIE MP </t>
  </si>
  <si>
    <t xml:space="preserve">FSE MPN </t>
  </si>
  <si>
    <t xml:space="preserve">FSE MPS </t>
  </si>
  <si>
    <t xml:space="preserve">MARSSAC 30.10.2018 </t>
  </si>
  <si>
    <t xml:space="preserve">EQUIPE 1 - Organisation normale </t>
  </si>
  <si>
    <t xml:space="preserve">REALMONT 10.07.2018 </t>
  </si>
  <si>
    <t xml:space="preserve">EQUIPE 1 REALMONT </t>
  </si>
  <si>
    <t xml:space="preserve">EQUIPE 2 REALMONT </t>
  </si>
  <si>
    <t xml:space="preserve">FSE REALMONT </t>
  </si>
  <si>
    <t xml:space="preserve">SAINT BENOIT DE CARMAUX PDC 1 </t>
  </si>
  <si>
    <t xml:space="preserve">CABINE </t>
  </si>
  <si>
    <t xml:space="preserve">EQUIPE 100 </t>
  </si>
  <si>
    <t xml:space="preserve">EQUIPE 200 </t>
  </si>
  <si>
    <t xml:space="preserve">EQUIPE 300 </t>
  </si>
  <si>
    <t xml:space="preserve">INTER EQUIPES </t>
  </si>
  <si>
    <t xml:space="preserve">VALENCE D'ALBIGEOIS </t>
  </si>
  <si>
    <t xml:space="preserve">EQUIPE VALENCE 01.07.2019 </t>
  </si>
  <si>
    <t>PTNR</t>
  </si>
  <si>
    <t>CDI droit privé</t>
  </si>
  <si>
    <t>100</t>
  </si>
  <si>
    <t>ENCADRANT DE PRODUCTION COLLECTE DISTRIBUTION</t>
  </si>
  <si>
    <t xml:space="preserve"> </t>
  </si>
  <si>
    <t>T1V</t>
  </si>
  <si>
    <t/>
  </si>
  <si>
    <t>REP</t>
  </si>
  <si>
    <t>T3V</t>
  </si>
  <si>
    <t>11:40</t>
  </si>
  <si>
    <t>MRP</t>
  </si>
  <si>
    <t>T4A</t>
  </si>
  <si>
    <t>PTR</t>
  </si>
  <si>
    <t>FACTEUR</t>
  </si>
  <si>
    <t>CA</t>
  </si>
  <si>
    <t>01:10</t>
  </si>
  <si>
    <t>T3A</t>
  </si>
  <si>
    <t>Fonctionnaire</t>
  </si>
  <si>
    <t>T2A</t>
  </si>
  <si>
    <t>18:03</t>
  </si>
  <si>
    <t>T1A</t>
  </si>
  <si>
    <t>FORM</t>
  </si>
  <si>
    <t>05:50</t>
  </si>
  <si>
    <t>06:56</t>
  </si>
  <si>
    <t>Hors Cref</t>
  </si>
  <si>
    <t>5 Agents</t>
  </si>
  <si>
    <t>Nb agents présents</t>
  </si>
  <si>
    <t>00:00</t>
  </si>
  <si>
    <t>COMPTA</t>
  </si>
  <si>
    <t>COMPTABLE</t>
  </si>
  <si>
    <t>06:28</t>
  </si>
  <si>
    <t>CABROU</t>
  </si>
  <si>
    <t>AGENT COURRIER</t>
  </si>
  <si>
    <t>CAB2</t>
  </si>
  <si>
    <t>CAB4</t>
  </si>
  <si>
    <t>CAB3</t>
  </si>
  <si>
    <t>CAB1</t>
  </si>
  <si>
    <t>CABREN</t>
  </si>
  <si>
    <t>06:11</t>
  </si>
  <si>
    <t>ATM</t>
  </si>
  <si>
    <t>11:46</t>
  </si>
  <si>
    <t>CDD droit privé</t>
  </si>
  <si>
    <t>CDD TMP</t>
  </si>
  <si>
    <t>CABPAR</t>
  </si>
  <si>
    <t>05:02</t>
  </si>
  <si>
    <t>80</t>
  </si>
  <si>
    <t>TP</t>
  </si>
  <si>
    <t>08:06</t>
  </si>
  <si>
    <t>06:08</t>
  </si>
  <si>
    <t>04:26</t>
  </si>
  <si>
    <t>GCP</t>
  </si>
  <si>
    <t>GESTIONNAIRE MIDDLE OFFICE</t>
  </si>
  <si>
    <t>JAS</t>
  </si>
  <si>
    <t>13 Agents</t>
  </si>
  <si>
    <t>ENCADRANT DE PRODUCTION TRAITEMENT</t>
  </si>
  <si>
    <t>PT11</t>
  </si>
  <si>
    <t>PT13</t>
  </si>
  <si>
    <t>PT06</t>
  </si>
  <si>
    <t>PT03</t>
  </si>
  <si>
    <t>PT09</t>
  </si>
  <si>
    <t>PT02</t>
  </si>
  <si>
    <t>PT14</t>
  </si>
  <si>
    <t>PT15</t>
  </si>
  <si>
    <t>PILOTE DE PRODUCTION TRAITEMENT</t>
  </si>
  <si>
    <t>07:25</t>
  </si>
  <si>
    <t>02:24</t>
  </si>
  <si>
    <t>01:24</t>
  </si>
  <si>
    <t>PT08</t>
  </si>
  <si>
    <t>00:20</t>
  </si>
  <si>
    <t>ASA</t>
  </si>
  <si>
    <t>01:14</t>
  </si>
  <si>
    <t>PT01</t>
  </si>
  <si>
    <t>PT15
FG15</t>
  </si>
  <si>
    <t>FG15</t>
  </si>
  <si>
    <t>PT16</t>
  </si>
  <si>
    <t>T25</t>
  </si>
  <si>
    <t>T25
PT16</t>
  </si>
  <si>
    <t>42</t>
  </si>
  <si>
    <t>02:50</t>
  </si>
  <si>
    <t>PT12</t>
  </si>
  <si>
    <t>PT10</t>
  </si>
  <si>
    <t>02:20</t>
  </si>
  <si>
    <t>PT04</t>
  </si>
  <si>
    <t>PT07</t>
  </si>
  <si>
    <t>20:36</t>
  </si>
  <si>
    <t>PT05</t>
  </si>
  <si>
    <t>02:48</t>
  </si>
  <si>
    <t>12:40</t>
  </si>
  <si>
    <t>MRP3</t>
  </si>
  <si>
    <t>MRP2</t>
  </si>
  <si>
    <t>17:57</t>
  </si>
  <si>
    <t>MRP1</t>
  </si>
  <si>
    <t>24:08</t>
  </si>
  <si>
    <t>Intérimaire</t>
  </si>
  <si>
    <t>DPOS</t>
  </si>
  <si>
    <t>00:14</t>
  </si>
  <si>
    <t>92:23</t>
  </si>
  <si>
    <t>2 Agents</t>
  </si>
  <si>
    <t>REV</t>
  </si>
  <si>
    <t>16:20</t>
  </si>
  <si>
    <t>RER</t>
  </si>
  <si>
    <t>RED6</t>
  </si>
  <si>
    <t>RED5</t>
  </si>
  <si>
    <t>07:15</t>
  </si>
  <si>
    <t>RED4</t>
  </si>
  <si>
    <t>RECMV</t>
  </si>
  <si>
    <t>02:30</t>
  </si>
  <si>
    <t>REC</t>
  </si>
  <si>
    <t>REP?</t>
  </si>
  <si>
    <t>REBO</t>
  </si>
  <si>
    <t>06:30</t>
  </si>
  <si>
    <t>FSEDEX</t>
  </si>
  <si>
    <t>23:20</t>
  </si>
  <si>
    <t>1 Agents</t>
  </si>
  <si>
    <t>CEDEX5</t>
  </si>
  <si>
    <t>PILOTE DE PRODUCTION COLLECTE DISTRIBUTION</t>
  </si>
  <si>
    <t>05:46</t>
  </si>
  <si>
    <t>PRESS2</t>
  </si>
  <si>
    <t>PRESS2
PRESS2</t>
  </si>
  <si>
    <t>05:32</t>
  </si>
  <si>
    <t>02:15</t>
  </si>
  <si>
    <t>PRESS1</t>
  </si>
  <si>
    <t>13:47</t>
  </si>
  <si>
    <t>11:50</t>
  </si>
  <si>
    <t>DISP3</t>
  </si>
  <si>
    <t>DISP2</t>
  </si>
  <si>
    <t>04:13</t>
  </si>
  <si>
    <t>DISP1</t>
  </si>
  <si>
    <t>28:43</t>
  </si>
  <si>
    <t>CEDEX4</t>
  </si>
  <si>
    <t>CDI Intérimaire</t>
  </si>
  <si>
    <t>CEDEX3</t>
  </si>
  <si>
    <t>06:43</t>
  </si>
  <si>
    <t>05:59</t>
  </si>
  <si>
    <t>CEDEX2</t>
  </si>
  <si>
    <t>12:58</t>
  </si>
  <si>
    <t>CEDEX1</t>
  </si>
  <si>
    <t>08:44</t>
  </si>
  <si>
    <t>T9002</t>
  </si>
  <si>
    <t>T9006</t>
  </si>
  <si>
    <t>05:35</t>
  </si>
  <si>
    <t>04:24</t>
  </si>
  <si>
    <t>T9010</t>
  </si>
  <si>
    <t>03:39</t>
  </si>
  <si>
    <t>T9009</t>
  </si>
  <si>
    <t>02:10</t>
  </si>
  <si>
    <t>00:44</t>
  </si>
  <si>
    <t>T9004</t>
  </si>
  <si>
    <t>02:27</t>
  </si>
  <si>
    <t>T9003</t>
  </si>
  <si>
    <t>01:39</t>
  </si>
  <si>
    <t>T9001</t>
  </si>
  <si>
    <t>25:13</t>
  </si>
  <si>
    <t>ROUL2</t>
  </si>
  <si>
    <t>RIGAUD CLEMENT</t>
  </si>
  <si>
    <t>VDR463</t>
  </si>
  <si>
    <t>9007PP</t>
  </si>
  <si>
    <t>06:33</t>
  </si>
  <si>
    <t>CYC1</t>
  </si>
  <si>
    <t>03:47</t>
  </si>
  <si>
    <t>04:35</t>
  </si>
  <si>
    <t>S3CROU</t>
  </si>
  <si>
    <t>TECHNICIEN CONSEIL CONTROLE CLIENT</t>
  </si>
  <si>
    <t>S3C3PY</t>
  </si>
  <si>
    <t>S3CREN</t>
  </si>
  <si>
    <t>S3C4</t>
  </si>
  <si>
    <t>08:28</t>
  </si>
  <si>
    <t>S3C3FG
S3C3PY</t>
  </si>
  <si>
    <t>01:05</t>
  </si>
  <si>
    <t>04:01</t>
  </si>
  <si>
    <t>S3C1</t>
  </si>
  <si>
    <t>08:25</t>
  </si>
  <si>
    <t>FACTU</t>
  </si>
  <si>
    <t>16:10</t>
  </si>
  <si>
    <t>6 Agents</t>
  </si>
  <si>
    <t>T4V</t>
  </si>
  <si>
    <t>31:32</t>
  </si>
  <si>
    <t>11:38</t>
  </si>
  <si>
    <t>T2V</t>
  </si>
  <si>
    <t>28:41</t>
  </si>
  <si>
    <t>RENMRP</t>
  </si>
  <si>
    <t>22:54</t>
  </si>
  <si>
    <t>16:25</t>
  </si>
  <si>
    <t>Cycleur</t>
  </si>
  <si>
    <t>8 Agents</t>
  </si>
  <si>
    <t>RAC</t>
  </si>
  <si>
    <t>RESPONSABLE RELATION CLIENTS</t>
  </si>
  <si>
    <t>DIR</t>
  </si>
  <si>
    <t>DIRECTEUR D'ETABLISSEMENT TERRAIN</t>
  </si>
  <si>
    <t>CA?</t>
  </si>
  <si>
    <t>ASDIR</t>
  </si>
  <si>
    <t>ASSISTANT DE DIRECTION</t>
  </si>
  <si>
    <t>00:47</t>
  </si>
  <si>
    <t>RCG</t>
  </si>
  <si>
    <t>70</t>
  </si>
  <si>
    <t>RESPONSABLE CONTROLE DE GESTION</t>
  </si>
  <si>
    <t>00:15</t>
  </si>
  <si>
    <t>RORGA</t>
  </si>
  <si>
    <t>RESPONSABLE ORGANISATIONS ET PROCESS</t>
  </si>
  <si>
    <t>AORGA</t>
  </si>
  <si>
    <t>APPRENTISSAGE</t>
  </si>
  <si>
    <t>RET</t>
  </si>
  <si>
    <t>TECHNICIEN ORGANISATION ET PROCESS</t>
  </si>
  <si>
    <t>12:11</t>
  </si>
  <si>
    <t>DATA</t>
  </si>
  <si>
    <t>35:33</t>
  </si>
  <si>
    <t>4 Agents</t>
  </si>
  <si>
    <t>RPROD</t>
  </si>
  <si>
    <t>RESPONSABLE PRODUCTION COLLECTE DISTRIBUTION</t>
  </si>
  <si>
    <t>AOC</t>
  </si>
  <si>
    <t>CHARGE DE LA QUALITE</t>
  </si>
  <si>
    <t>GUI-CO</t>
  </si>
  <si>
    <t>T802D</t>
  </si>
  <si>
    <t>T802G
T802D</t>
  </si>
  <si>
    <t>20:02</t>
  </si>
  <si>
    <t>T8001</t>
  </si>
  <si>
    <t>05:19</t>
  </si>
  <si>
    <t>FSECO</t>
  </si>
  <si>
    <t>FG1008
FG1008</t>
  </si>
  <si>
    <t>03:33</t>
  </si>
  <si>
    <t>FP7-HC</t>
  </si>
  <si>
    <t>FP7-TE
FP7-HC</t>
  </si>
  <si>
    <t>06:13</t>
  </si>
  <si>
    <t>FG1008</t>
  </si>
  <si>
    <t>12:10</t>
  </si>
  <si>
    <t>FSETIE</t>
  </si>
  <si>
    <t>T4011</t>
  </si>
  <si>
    <t>T2202</t>
  </si>
  <si>
    <t>FSETI</t>
  </si>
  <si>
    <t>T104</t>
  </si>
  <si>
    <t>T102</t>
  </si>
  <si>
    <t>T107</t>
  </si>
  <si>
    <t>T4013</t>
  </si>
  <si>
    <t>T114</t>
  </si>
  <si>
    <t>T4005</t>
  </si>
  <si>
    <t>T111</t>
  </si>
  <si>
    <t>T105</t>
  </si>
  <si>
    <t>T3007</t>
  </si>
  <si>
    <t>03:21</t>
  </si>
  <si>
    <t>T9998</t>
  </si>
  <si>
    <t>T103</t>
  </si>
  <si>
    <t>T112</t>
  </si>
  <si>
    <t>T4009</t>
  </si>
  <si>
    <t>T3009</t>
  </si>
  <si>
    <t>#9997</t>
  </si>
  <si>
    <t>09:20</t>
  </si>
  <si>
    <t>12:02</t>
  </si>
  <si>
    <t>FSETE</t>
  </si>
  <si>
    <t>T4003</t>
  </si>
  <si>
    <t>T4001</t>
  </si>
  <si>
    <t>FP8-HC</t>
  </si>
  <si>
    <t>T4017</t>
  </si>
  <si>
    <t>T4015</t>
  </si>
  <si>
    <t>20:27</t>
  </si>
  <si>
    <t>02:06</t>
  </si>
  <si>
    <t>04:51</t>
  </si>
  <si>
    <t>T4007</t>
  </si>
  <si>
    <t>09:54</t>
  </si>
  <si>
    <t>01:13</t>
  </si>
  <si>
    <t>10:45</t>
  </si>
  <si>
    <t>T3005</t>
  </si>
  <si>
    <t>05:33</t>
  </si>
  <si>
    <t>T3003</t>
  </si>
  <si>
    <t>03:58</t>
  </si>
  <si>
    <t>T3001</t>
  </si>
  <si>
    <t>36:24</t>
  </si>
  <si>
    <t>50</t>
  </si>
  <si>
    <t>ATA</t>
  </si>
  <si>
    <t>16:32</t>
  </si>
  <si>
    <t>T2205</t>
  </si>
  <si>
    <t>T2203</t>
  </si>
  <si>
    <t>T113</t>
  </si>
  <si>
    <t>05:51</t>
  </si>
  <si>
    <t>03:49</t>
  </si>
  <si>
    <t>T110</t>
  </si>
  <si>
    <t>02:28</t>
  </si>
  <si>
    <t>01:25</t>
  </si>
  <si>
    <t>T106</t>
  </si>
  <si>
    <t>09:03</t>
  </si>
  <si>
    <t>08:46</t>
  </si>
  <si>
    <t>T101</t>
  </si>
  <si>
    <t>28:13</t>
  </si>
  <si>
    <t>FP6-TE</t>
  </si>
  <si>
    <t>03:00</t>
  </si>
  <si>
    <t>CYCTIE</t>
  </si>
  <si>
    <t>CYC-TI</t>
  </si>
  <si>
    <t>#ROUL</t>
  </si>
  <si>
    <t>12:32</t>
  </si>
  <si>
    <t>T9999</t>
  </si>
  <si>
    <t>T1010</t>
  </si>
  <si>
    <t>00:05</t>
  </si>
  <si>
    <t>T1009</t>
  </si>
  <si>
    <t>16:11</t>
  </si>
  <si>
    <t>T1007</t>
  </si>
  <si>
    <t>05:26</t>
  </si>
  <si>
    <t>T1006</t>
  </si>
  <si>
    <t>17:30</t>
  </si>
  <si>
    <t>21:26</t>
  </si>
  <si>
    <t>T1005</t>
  </si>
  <si>
    <t>T807</t>
  </si>
  <si>
    <t>T809</t>
  </si>
  <si>
    <t>T806</t>
  </si>
  <si>
    <t>T1004</t>
  </si>
  <si>
    <t>21:16</t>
  </si>
  <si>
    <t>T1003</t>
  </si>
  <si>
    <t>T1002</t>
  </si>
  <si>
    <t>03:14</t>
  </si>
  <si>
    <t>T1001</t>
  </si>
  <si>
    <t>26:46</t>
  </si>
  <si>
    <t>FS1011</t>
  </si>
  <si>
    <t>(3)</t>
  </si>
  <si>
    <t>04:22</t>
  </si>
  <si>
    <t>CY1000</t>
  </si>
  <si>
    <t>T810</t>
  </si>
  <si>
    <t>11:19</t>
  </si>
  <si>
    <t>T801</t>
  </si>
  <si>
    <t>06:15</t>
  </si>
  <si>
    <t>T805</t>
  </si>
  <si>
    <t>T804</t>
  </si>
  <si>
    <t>T803</t>
  </si>
  <si>
    <t>FSE813</t>
  </si>
  <si>
    <t>10:00</t>
  </si>
  <si>
    <t>04:19</t>
  </si>
  <si>
    <t>CYC800</t>
  </si>
  <si>
    <t>03:41</t>
  </si>
  <si>
    <t>CI</t>
  </si>
  <si>
    <t>AUT</t>
  </si>
  <si>
    <t>05:17</t>
  </si>
  <si>
    <t>CLM</t>
  </si>
  <si>
    <t>DISPO</t>
  </si>
  <si>
    <t>04:36</t>
  </si>
  <si>
    <t>TPAS</t>
  </si>
  <si>
    <t>08:10</t>
  </si>
  <si>
    <t>02:51</t>
  </si>
  <si>
    <t>04:44</t>
  </si>
  <si>
    <t>12:45</t>
  </si>
  <si>
    <t>03:50</t>
  </si>
  <si>
    <t>08:34</t>
  </si>
  <si>
    <t>04:05</t>
  </si>
  <si>
    <t>0 Agents</t>
  </si>
  <si>
    <t>T002</t>
  </si>
  <si>
    <t>T008</t>
  </si>
  <si>
    <t>T006</t>
  </si>
  <si>
    <t>T004</t>
  </si>
  <si>
    <t>CAB</t>
  </si>
  <si>
    <t>T010</t>
  </si>
  <si>
    <t>T009</t>
  </si>
  <si>
    <t>00:43</t>
  </si>
  <si>
    <t>T007</t>
  </si>
  <si>
    <t>T005</t>
  </si>
  <si>
    <t>16:43</t>
  </si>
  <si>
    <t>T003</t>
  </si>
  <si>
    <t>78:32</t>
  </si>
  <si>
    <t>ROUL4</t>
  </si>
  <si>
    <t>ROUL1</t>
  </si>
  <si>
    <t>23:47</t>
  </si>
  <si>
    <t>CYC</t>
  </si>
  <si>
    <t>04:00</t>
  </si>
  <si>
    <t>01:56</t>
  </si>
  <si>
    <t>06:21</t>
  </si>
  <si>
    <t>05:57</t>
  </si>
  <si>
    <t>T001</t>
  </si>
  <si>
    <t>T012</t>
  </si>
  <si>
    <t>T011</t>
  </si>
  <si>
    <t>FSEQS</t>
  </si>
  <si>
    <t>T013</t>
  </si>
  <si>
    <t>05:07</t>
  </si>
  <si>
    <t>11:53</t>
  </si>
  <si>
    <t>01:18</t>
  </si>
  <si>
    <t>03:51</t>
  </si>
  <si>
    <t>ROU3</t>
  </si>
  <si>
    <t>09:29</t>
  </si>
  <si>
    <t>CYC2</t>
  </si>
  <si>
    <t>FSEMRP</t>
  </si>
  <si>
    <t>04:23</t>
  </si>
  <si>
    <t>FACTEUR QUALITE</t>
  </si>
  <si>
    <t>REL1</t>
  </si>
  <si>
    <t>CAB2
CAB2</t>
  </si>
  <si>
    <t>CAB1
CAB1</t>
  </si>
  <si>
    <t>FQMRP</t>
  </si>
  <si>
    <t>T108</t>
  </si>
  <si>
    <t>FACTEUR D EQUIPE</t>
  </si>
  <si>
    <t>FE 111
FE 111</t>
  </si>
  <si>
    <t>11:39</t>
  </si>
  <si>
    <t>01:01</t>
  </si>
  <si>
    <t>ROU100</t>
  </si>
  <si>
    <t>MARTY DEBORAH</t>
  </si>
  <si>
    <t>CYCMRP</t>
  </si>
  <si>
    <t>T207</t>
  </si>
  <si>
    <t>T203</t>
  </si>
  <si>
    <t>T206</t>
  </si>
  <si>
    <t>T202</t>
  </si>
  <si>
    <t>FE 211</t>
  </si>
  <si>
    <t>T208</t>
  </si>
  <si>
    <t>33:07</t>
  </si>
  <si>
    <t>21:56</t>
  </si>
  <si>
    <t>T205</t>
  </si>
  <si>
    <t>T204</t>
  </si>
  <si>
    <t>T201</t>
  </si>
  <si>
    <t>04:37</t>
  </si>
  <si>
    <t>CYCHC</t>
  </si>
  <si>
    <t>FG301
FG301</t>
  </si>
  <si>
    <t>20:17</t>
  </si>
  <si>
    <t>T303</t>
  </si>
  <si>
    <t>T308</t>
  </si>
  <si>
    <t>T306</t>
  </si>
  <si>
    <t>T309</t>
  </si>
  <si>
    <t>FE311 (S)</t>
  </si>
  <si>
    <t>78</t>
  </si>
  <si>
    <t>T305</t>
  </si>
  <si>
    <t>T310</t>
  </si>
  <si>
    <t>01:19</t>
  </si>
  <si>
    <t>07:04</t>
  </si>
  <si>
    <t>T307</t>
  </si>
  <si>
    <t>77</t>
  </si>
  <si>
    <t>05:48</t>
  </si>
  <si>
    <t>24:36</t>
  </si>
  <si>
    <t>76</t>
  </si>
  <si>
    <t>02:35</t>
  </si>
  <si>
    <t>T302</t>
  </si>
  <si>
    <t>07:17</t>
  </si>
  <si>
    <t>FG301</t>
  </si>
  <si>
    <t>03:06</t>
  </si>
  <si>
    <t>ROUINT</t>
  </si>
  <si>
    <t>T5</t>
  </si>
  <si>
    <t>T4</t>
  </si>
  <si>
    <t>T3</t>
  </si>
  <si>
    <t>T2</t>
  </si>
  <si>
    <t>T1</t>
  </si>
  <si>
    <t>02:46</t>
  </si>
  <si>
    <t>04:45</t>
  </si>
  <si>
    <t>du 01/02/2020 au 29/02/2020</t>
  </si>
  <si>
    <t>25 Agents</t>
  </si>
  <si>
    <t>10 Agents</t>
  </si>
  <si>
    <t>ROPMRP</t>
  </si>
  <si>
    <t>FQHC</t>
  </si>
  <si>
    <t>12 Agents</t>
  </si>
  <si>
    <t>06:14</t>
  </si>
  <si>
    <t>FP3-HC</t>
  </si>
  <si>
    <t>T012D</t>
  </si>
  <si>
    <t>FP2-HC</t>
  </si>
  <si>
    <t>7 Agents</t>
  </si>
  <si>
    <t>FSETIE
FSETIE</t>
  </si>
  <si>
    <t>Planning des EQUIPES</t>
  </si>
  <si>
    <t>NOM Prénom 10</t>
  </si>
  <si>
    <t>IDRH10</t>
  </si>
  <si>
    <t>NOM Prénom 11</t>
  </si>
  <si>
    <t>IDRH11</t>
  </si>
  <si>
    <t>NOM Prénom 12</t>
  </si>
  <si>
    <t>IDRH12</t>
  </si>
  <si>
    <t>NOM Prénom 13</t>
  </si>
  <si>
    <t>IDRH13</t>
  </si>
  <si>
    <t>NOM Prénom 14</t>
  </si>
  <si>
    <t>IDRH14</t>
  </si>
  <si>
    <t>NOM Prénom 15</t>
  </si>
  <si>
    <t>IDRH15</t>
  </si>
  <si>
    <t>NOM Prénom 16</t>
  </si>
  <si>
    <t>IDRH16</t>
  </si>
  <si>
    <t>NOM Prénom 17</t>
  </si>
  <si>
    <t>IDRH17</t>
  </si>
  <si>
    <t>NOM Prénom 18</t>
  </si>
  <si>
    <t>IDRH18</t>
  </si>
  <si>
    <t>NOM Prénom 19</t>
  </si>
  <si>
    <t>IDRH19</t>
  </si>
  <si>
    <t>NOM Prénom 20</t>
  </si>
  <si>
    <t>IDRH20</t>
  </si>
  <si>
    <t>NOM Prénom 21</t>
  </si>
  <si>
    <t>IDRH21</t>
  </si>
  <si>
    <t>NOM Prénom 22</t>
  </si>
  <si>
    <t>IDRH22</t>
  </si>
  <si>
    <t>NOM Prénom 23</t>
  </si>
  <si>
    <t>IDRH23</t>
  </si>
  <si>
    <t>NOM Prénom 24</t>
  </si>
  <si>
    <t>IDRH24</t>
  </si>
  <si>
    <t>NOM Prénom 25</t>
  </si>
  <si>
    <t>IDRH25</t>
  </si>
  <si>
    <t>NOM Prénom 26</t>
  </si>
  <si>
    <t>IDRH26</t>
  </si>
  <si>
    <t>NOM Prénom 27</t>
  </si>
  <si>
    <t>IDRH27</t>
  </si>
  <si>
    <t>NOM Prénom 28</t>
  </si>
  <si>
    <t>IDRH28</t>
  </si>
  <si>
    <t>NOM Prénom 29</t>
  </si>
  <si>
    <t>IDRH29</t>
  </si>
  <si>
    <t>NOM Prénom 30</t>
  </si>
  <si>
    <t>IDRH30</t>
  </si>
  <si>
    <t>NOM Prénom 31</t>
  </si>
  <si>
    <t>IDRH31</t>
  </si>
  <si>
    <t>NOM Prénom 32</t>
  </si>
  <si>
    <t>IDRH32</t>
  </si>
  <si>
    <t>NOM Prénom 33</t>
  </si>
  <si>
    <t>IDRH33</t>
  </si>
  <si>
    <t>NOM Prénom 34</t>
  </si>
  <si>
    <t>IDRH34</t>
  </si>
  <si>
    <t>IDRH35</t>
  </si>
  <si>
    <t>NOM Prénom 36</t>
  </si>
  <si>
    <t>IDRH36</t>
  </si>
  <si>
    <t>NOM Prénom 37</t>
  </si>
  <si>
    <t>IDRH37</t>
  </si>
  <si>
    <t>NOM Prénom 38</t>
  </si>
  <si>
    <t>IDRH38</t>
  </si>
  <si>
    <t>NOM Prénom 39</t>
  </si>
  <si>
    <t>IDRH39</t>
  </si>
  <si>
    <t>NOM Prénom 40</t>
  </si>
  <si>
    <t>IDRH40</t>
  </si>
  <si>
    <t>NOM Prénom 41</t>
  </si>
  <si>
    <t>IDRH41</t>
  </si>
  <si>
    <t>NOM Prénom 42</t>
  </si>
  <si>
    <t>IDRH42</t>
  </si>
  <si>
    <t>NOM Prénom 43</t>
  </si>
  <si>
    <t>IDRH43</t>
  </si>
  <si>
    <t>NOM Prénom 44</t>
  </si>
  <si>
    <t>IDRH44</t>
  </si>
  <si>
    <t>NOM Prénom 45</t>
  </si>
  <si>
    <t>IDRH45</t>
  </si>
  <si>
    <t>IDRH46</t>
  </si>
  <si>
    <t>NOM Prénom 47</t>
  </si>
  <si>
    <t>IDRH47</t>
  </si>
  <si>
    <t>NOM Prénom 48</t>
  </si>
  <si>
    <t>IDRH48</t>
  </si>
  <si>
    <t>NOM Prénom 49</t>
  </si>
  <si>
    <t>IDRH49</t>
  </si>
  <si>
    <t>NOM Prénom 50</t>
  </si>
  <si>
    <t>IDRH50</t>
  </si>
  <si>
    <t>NOM Prénom 51</t>
  </si>
  <si>
    <t>IDRH51</t>
  </si>
  <si>
    <t>NOM Prénom 52</t>
  </si>
  <si>
    <t>IDRH52</t>
  </si>
  <si>
    <t>NOM Prénom 53</t>
  </si>
  <si>
    <t>IDRH53</t>
  </si>
  <si>
    <t>NOM Prénom 54</t>
  </si>
  <si>
    <t>IDRH54</t>
  </si>
  <si>
    <t>NOM Prénom 55</t>
  </si>
  <si>
    <t>IDRH55</t>
  </si>
  <si>
    <t>NOM Prénom 56</t>
  </si>
  <si>
    <t>IDRH56</t>
  </si>
  <si>
    <t>NOM Prénom 57</t>
  </si>
  <si>
    <t>IDRH57</t>
  </si>
  <si>
    <t>NOM Prénom 59</t>
  </si>
  <si>
    <t>IDRH59</t>
  </si>
  <si>
    <t>NOM Prénom 60</t>
  </si>
  <si>
    <t>IDRH60</t>
  </si>
  <si>
    <t>NOM Prénom 61</t>
  </si>
  <si>
    <t>IDRH61</t>
  </si>
  <si>
    <t>NOM Prénom 62</t>
  </si>
  <si>
    <t>IDRH62</t>
  </si>
  <si>
    <t>NOM Prénom 63</t>
  </si>
  <si>
    <t>IDRH63</t>
  </si>
  <si>
    <t>NOM Prénom 64</t>
  </si>
  <si>
    <t>IDRH64</t>
  </si>
  <si>
    <t>NOM Prénom 65</t>
  </si>
  <si>
    <t>IDRH65</t>
  </si>
  <si>
    <t>NOM Prénom 66</t>
  </si>
  <si>
    <t>IDRH66</t>
  </si>
  <si>
    <t>NOM Prénom 67</t>
  </si>
  <si>
    <t>IDRH67</t>
  </si>
  <si>
    <t>NOM Prénom 68</t>
  </si>
  <si>
    <t>IDRH68</t>
  </si>
  <si>
    <t>NOM Prénom 69</t>
  </si>
  <si>
    <t>IDRH69</t>
  </si>
  <si>
    <t>NOM Prénom 70</t>
  </si>
  <si>
    <t>IDRH70</t>
  </si>
  <si>
    <t>NOM Prénom 71</t>
  </si>
  <si>
    <t>IDRH71</t>
  </si>
  <si>
    <t>NOM Prénom 72</t>
  </si>
  <si>
    <t>IDRH72</t>
  </si>
  <si>
    <t>NOM Prénom 73</t>
  </si>
  <si>
    <t>IDRH73</t>
  </si>
  <si>
    <t>NOM Prénom 74</t>
  </si>
  <si>
    <t>IDRH74</t>
  </si>
  <si>
    <t>NOM Prénom 75</t>
  </si>
  <si>
    <t>IDRH75</t>
  </si>
  <si>
    <t>NOM Prénom 76</t>
  </si>
  <si>
    <t>IDRH76</t>
  </si>
  <si>
    <t>NOM Prénom 77</t>
  </si>
  <si>
    <t>IDRH77</t>
  </si>
  <si>
    <t>NOM Prénom 79</t>
  </si>
  <si>
    <t>IDRH79</t>
  </si>
  <si>
    <t>NOM Prénom 80</t>
  </si>
  <si>
    <t>IDRH80</t>
  </si>
  <si>
    <t>NOM Prénom 81</t>
  </si>
  <si>
    <t>IDRH81</t>
  </si>
  <si>
    <t>NOM Prénom 82</t>
  </si>
  <si>
    <t>IDRH82</t>
  </si>
  <si>
    <t>NOM Prénom 83</t>
  </si>
  <si>
    <t>IDRH83</t>
  </si>
  <si>
    <t>NOM Prénom 84</t>
  </si>
  <si>
    <t>IDRH84</t>
  </si>
  <si>
    <t>NOM Prénom 85</t>
  </si>
  <si>
    <t>IDRH85</t>
  </si>
  <si>
    <t>NOM Prénom 86</t>
  </si>
  <si>
    <t>IDRH86</t>
  </si>
  <si>
    <t>NOM Prénom 87</t>
  </si>
  <si>
    <t>IDRH87</t>
  </si>
  <si>
    <t>NOM Prénom 88</t>
  </si>
  <si>
    <t>IDRH88</t>
  </si>
  <si>
    <t>NOM Prénom 89</t>
  </si>
  <si>
    <t>IDRH89</t>
  </si>
  <si>
    <t>NOM Prénom 90</t>
  </si>
  <si>
    <t>IDRH90</t>
  </si>
  <si>
    <t>NOM Prénom 93</t>
  </si>
  <si>
    <t>IDRH93</t>
  </si>
  <si>
    <t>IDRH94</t>
  </si>
  <si>
    <t>NOM Prénom 95</t>
  </si>
  <si>
    <t>IDRH95</t>
  </si>
  <si>
    <t>NOM Prénom 96</t>
  </si>
  <si>
    <t>IDRH96</t>
  </si>
  <si>
    <t>NOM Prénom 97</t>
  </si>
  <si>
    <t>IDRH97</t>
  </si>
  <si>
    <t>NOM Prénom 98</t>
  </si>
  <si>
    <t>IDRH98</t>
  </si>
  <si>
    <t>NOM Prénom 99</t>
  </si>
  <si>
    <t>IDRH99</t>
  </si>
  <si>
    <t>NOM Prénom 100</t>
  </si>
  <si>
    <t>IDRH100</t>
  </si>
  <si>
    <t>NOM Prénom 101</t>
  </si>
  <si>
    <t>IDRH101</t>
  </si>
  <si>
    <t>NOM Prénom 102</t>
  </si>
  <si>
    <t>IDRH102</t>
  </si>
  <si>
    <t>NOM Prénom 103</t>
  </si>
  <si>
    <t>IDRH103</t>
  </si>
  <si>
    <t>NOM Prénom 104</t>
  </si>
  <si>
    <t>IDRH104</t>
  </si>
  <si>
    <t>NOM Prénom 105</t>
  </si>
  <si>
    <t>IDRH105</t>
  </si>
  <si>
    <t>NOM Prénom 106</t>
  </si>
  <si>
    <t>IDRH106</t>
  </si>
  <si>
    <t>NOM Prénom 108</t>
  </si>
  <si>
    <t>IDRH108</t>
  </si>
  <si>
    <t>NOM Prénom 109</t>
  </si>
  <si>
    <t>IDRH109</t>
  </si>
  <si>
    <t>NOM Prénom 110</t>
  </si>
  <si>
    <t>IDRH110</t>
  </si>
  <si>
    <t>NOM Prénom 111</t>
  </si>
  <si>
    <t>IDRH111</t>
  </si>
  <si>
    <t>NOM Prénom 112</t>
  </si>
  <si>
    <t>IDRH112</t>
  </si>
  <si>
    <t>NOM Prénom 114</t>
  </si>
  <si>
    <t>IDRH114</t>
  </si>
  <si>
    <t>NOM Prénom 116</t>
  </si>
  <si>
    <t>IDRH116</t>
  </si>
  <si>
    <t>NOM Prénom 117</t>
  </si>
  <si>
    <t>IDRH117</t>
  </si>
  <si>
    <t>NOM Prénom 118</t>
  </si>
  <si>
    <t>IDRH118</t>
  </si>
  <si>
    <t>NOM Prénom 119</t>
  </si>
  <si>
    <t>IDRH119</t>
  </si>
  <si>
    <t>NOM Prénom 120</t>
  </si>
  <si>
    <t>IDRH120</t>
  </si>
  <si>
    <t>NOM Prénom 121</t>
  </si>
  <si>
    <t>IDRH121</t>
  </si>
  <si>
    <t>NOM Prénom 122</t>
  </si>
  <si>
    <t>IDRH122</t>
  </si>
  <si>
    <t>NOM Prénom 123</t>
  </si>
  <si>
    <t>IDRH123</t>
  </si>
  <si>
    <t>NOM Prénom 124</t>
  </si>
  <si>
    <t>IDRH124</t>
  </si>
  <si>
    <t>NOM Prénom 125</t>
  </si>
  <si>
    <t>IDRH125</t>
  </si>
  <si>
    <t>NOM Prénom 126</t>
  </si>
  <si>
    <t>IDRH126</t>
  </si>
  <si>
    <t>NOM Prénom 127</t>
  </si>
  <si>
    <t>IDRH127</t>
  </si>
  <si>
    <t>NOM Prénom 128</t>
  </si>
  <si>
    <t>IDRH128</t>
  </si>
  <si>
    <t>NOM Prénom 131</t>
  </si>
  <si>
    <t>IDRH131</t>
  </si>
  <si>
    <t>NOM Prénom 132</t>
  </si>
  <si>
    <t>IDRH132</t>
  </si>
  <si>
    <t>NOM Prénom 133</t>
  </si>
  <si>
    <t>IDRH133</t>
  </si>
  <si>
    <t>NOM Prénom 134</t>
  </si>
  <si>
    <t>IDRH134</t>
  </si>
  <si>
    <t>NOM Prénom 135</t>
  </si>
  <si>
    <t>IDRH135</t>
  </si>
  <si>
    <t>NOM Prénom 136</t>
  </si>
  <si>
    <t>IDRH136</t>
  </si>
  <si>
    <t>NOM Prénom 137</t>
  </si>
  <si>
    <t>IDRH137</t>
  </si>
  <si>
    <t>NOM Prénom 138</t>
  </si>
  <si>
    <t>IDRH138</t>
  </si>
  <si>
    <t>IDRH139</t>
  </si>
  <si>
    <t>NOM Prénom 140</t>
  </si>
  <si>
    <t>IDRH140</t>
  </si>
  <si>
    <t>IDRH141</t>
  </si>
  <si>
    <t>NOM Prénom 142</t>
  </si>
  <si>
    <t>IDRH142</t>
  </si>
  <si>
    <t>IDRH143</t>
  </si>
  <si>
    <t>NOM Prénom 144</t>
  </si>
  <si>
    <t>IDRH144</t>
  </si>
  <si>
    <t>NOM Prénom 145</t>
  </si>
  <si>
    <t>IDRH145</t>
  </si>
  <si>
    <t>IDRH146</t>
  </si>
  <si>
    <t>NOM Prénom 147</t>
  </si>
  <si>
    <t>IDRH147</t>
  </si>
  <si>
    <t>NOM Prénom 148</t>
  </si>
  <si>
    <t>IDRH148</t>
  </si>
  <si>
    <t>NOM Prénom 149</t>
  </si>
  <si>
    <t>IDRH149</t>
  </si>
  <si>
    <t>NOM Prénom 150</t>
  </si>
  <si>
    <t>IDRH150</t>
  </si>
  <si>
    <t>IDRH151</t>
  </si>
  <si>
    <t>NOM Prénom 152</t>
  </si>
  <si>
    <t>IDRH152</t>
  </si>
  <si>
    <t>NOM Prénom 153</t>
  </si>
  <si>
    <t>IDRH153</t>
  </si>
  <si>
    <t>IDRH154</t>
  </si>
  <si>
    <t>NOM Prénom 155</t>
  </si>
  <si>
    <t>IDRH155</t>
  </si>
  <si>
    <t>NOM Prénom 156</t>
  </si>
  <si>
    <t>IDRH156</t>
  </si>
  <si>
    <t>NOM Prénom 157</t>
  </si>
  <si>
    <t>IDRH157</t>
  </si>
  <si>
    <t>NOM Prénom 158</t>
  </si>
  <si>
    <t>IDRH158</t>
  </si>
  <si>
    <t>IDRH159</t>
  </si>
  <si>
    <t>NOM Prénom 160</t>
  </si>
  <si>
    <t>IDRH160</t>
  </si>
  <si>
    <t>NOM Prénom 161</t>
  </si>
  <si>
    <t>IDRH161</t>
  </si>
  <si>
    <t>NOM Prénom 162</t>
  </si>
  <si>
    <t>IDRH162</t>
  </si>
  <si>
    <t>NOM Prénom 163</t>
  </si>
  <si>
    <t>IDRH163</t>
  </si>
  <si>
    <t>NOM Prénom 164</t>
  </si>
  <si>
    <t>IDRH164</t>
  </si>
  <si>
    <t>NOM Prénom 165</t>
  </si>
  <si>
    <t>IDRH165</t>
  </si>
  <si>
    <t>NOM Prénom 166</t>
  </si>
  <si>
    <t>IDRH166</t>
  </si>
  <si>
    <t>NOM Prénom 167</t>
  </si>
  <si>
    <t>IDRH167</t>
  </si>
  <si>
    <t>NOM Prénom 168</t>
  </si>
  <si>
    <t>IDRH168</t>
  </si>
  <si>
    <t>IDRH169</t>
  </si>
  <si>
    <t>NOM Prénom 170</t>
  </si>
  <si>
    <t>IDRH170</t>
  </si>
  <si>
    <t>IDRH171</t>
  </si>
  <si>
    <t>NOM Prénom 172</t>
  </si>
  <si>
    <t>IDRH172</t>
  </si>
  <si>
    <t>IDRH173</t>
  </si>
  <si>
    <t>NOM Prénom 174</t>
  </si>
  <si>
    <t>IDRH174</t>
  </si>
  <si>
    <t>NOM Prénom 175</t>
  </si>
  <si>
    <t>IDRH175</t>
  </si>
  <si>
    <t>NOM Prénom 176</t>
  </si>
  <si>
    <t>IDRH176</t>
  </si>
  <si>
    <t>NOM Prénom 177</t>
  </si>
  <si>
    <t>IDRH177</t>
  </si>
  <si>
    <t>NOM Prénom 178</t>
  </si>
  <si>
    <t>IDRH178</t>
  </si>
  <si>
    <t>NOM Prénom 179</t>
  </si>
  <si>
    <t>IDRH179</t>
  </si>
  <si>
    <t>NOM Prénom 180</t>
  </si>
  <si>
    <t>IDRH180</t>
  </si>
  <si>
    <t>NOM Prénom 181</t>
  </si>
  <si>
    <t>IDRH181</t>
  </si>
  <si>
    <t>NOM Prénom 182</t>
  </si>
  <si>
    <t>IDRH182</t>
  </si>
  <si>
    <t>NOM Prénom 183</t>
  </si>
  <si>
    <t>IDRH183</t>
  </si>
  <si>
    <t>NOM Prénom 184</t>
  </si>
  <si>
    <t>IDRH184</t>
  </si>
  <si>
    <t>NOM Prénom 185</t>
  </si>
  <si>
    <t>IDRH185</t>
  </si>
  <si>
    <t>NOM Prénom 187</t>
  </si>
  <si>
    <t>IDRH187</t>
  </si>
  <si>
    <t>NOM Prénom 188</t>
  </si>
  <si>
    <t>IDRH188</t>
  </si>
  <si>
    <t>NOM Prénom 189</t>
  </si>
  <si>
    <t>IDRH189</t>
  </si>
  <si>
    <t>NOM Prénom 190</t>
  </si>
  <si>
    <t>IDRH190</t>
  </si>
  <si>
    <t>NOM Prénom 191</t>
  </si>
  <si>
    <t>IDRH191</t>
  </si>
  <si>
    <t>NOM Prénom 192</t>
  </si>
  <si>
    <t>IDRH192</t>
  </si>
  <si>
    <t>NOM Prénom 194</t>
  </si>
  <si>
    <t>IDRH194</t>
  </si>
  <si>
    <t>NOM Prénom 195</t>
  </si>
  <si>
    <t>IDRH195</t>
  </si>
  <si>
    <t>IDRH196</t>
  </si>
  <si>
    <t>NOM Prénom 197</t>
  </si>
  <si>
    <t>IDRH197</t>
  </si>
  <si>
    <t>NOM Prénom 198</t>
  </si>
  <si>
    <t>IDRH198</t>
  </si>
  <si>
    <t>NOM Prénom 199</t>
  </si>
  <si>
    <t>IDRH199</t>
  </si>
  <si>
    <t>NOM Prénom 200</t>
  </si>
  <si>
    <t>IDRH200</t>
  </si>
  <si>
    <t>NOM Prénom 201</t>
  </si>
  <si>
    <t>IDRH201</t>
  </si>
  <si>
    <t>NOM Prénom 202</t>
  </si>
  <si>
    <t>IDRH202</t>
  </si>
  <si>
    <t>NOM Prénom 203</t>
  </si>
  <si>
    <t>IDRH203</t>
  </si>
  <si>
    <t>NOM Prénom 204</t>
  </si>
  <si>
    <t>IDRH204</t>
  </si>
  <si>
    <t>NOM Prénom 205</t>
  </si>
  <si>
    <t>IDRH205</t>
  </si>
  <si>
    <t>NOM Prénom 206</t>
  </si>
  <si>
    <t>IDRH206</t>
  </si>
  <si>
    <t>NOM Prénom 207</t>
  </si>
  <si>
    <t>IDRH207</t>
  </si>
  <si>
    <t>IDRH208</t>
  </si>
  <si>
    <t>NOM Prénom 209</t>
  </si>
  <si>
    <t>IDRH209</t>
  </si>
  <si>
    <t>NOM Prénom 210</t>
  </si>
  <si>
    <t>IDRH210</t>
  </si>
  <si>
    <t>NOM Prénom 211</t>
  </si>
  <si>
    <t>IDRH211</t>
  </si>
  <si>
    <t>NOM Prénom 212</t>
  </si>
  <si>
    <t>IDRH212</t>
  </si>
  <si>
    <t>NOM Prénom 213</t>
  </si>
  <si>
    <t>IDRH213</t>
  </si>
  <si>
    <t>NOM Prénom 214</t>
  </si>
  <si>
    <t>IDRH214</t>
  </si>
  <si>
    <t>NOM Prénom 215</t>
  </si>
  <si>
    <t>IDRH215</t>
  </si>
  <si>
    <t>NOM Prénom 217</t>
  </si>
  <si>
    <t>IDRH217</t>
  </si>
  <si>
    <t>NOM Prénom 218</t>
  </si>
  <si>
    <t>IDRH218</t>
  </si>
  <si>
    <t>NOM Prénom 219</t>
  </si>
  <si>
    <t>IDRH219</t>
  </si>
  <si>
    <t>NOM Prénom 220</t>
  </si>
  <si>
    <t>IDRH220</t>
  </si>
  <si>
    <t>NOM Prénom 221</t>
  </si>
  <si>
    <t>IDRH221</t>
  </si>
  <si>
    <t>NOM Prénom 222</t>
  </si>
  <si>
    <t>IDRH222</t>
  </si>
  <si>
    <t>NOM Prénom 223</t>
  </si>
  <si>
    <t>IDRH223</t>
  </si>
  <si>
    <t>NOM Prénom 224</t>
  </si>
  <si>
    <t>IDRH224</t>
  </si>
  <si>
    <t>NOM Prénom 225</t>
  </si>
  <si>
    <t>IDRH225</t>
  </si>
  <si>
    <t>NOM Prénom 226</t>
  </si>
  <si>
    <t>IDRH226</t>
  </si>
  <si>
    <t>NOM Prénom 227</t>
  </si>
  <si>
    <t>IDRH227</t>
  </si>
  <si>
    <t>IDRH228</t>
  </si>
  <si>
    <t>NOM Prénom 229</t>
  </si>
  <si>
    <t>IDRH229</t>
  </si>
  <si>
    <t>NOM Prénom 230</t>
  </si>
  <si>
    <t>IDRH230</t>
  </si>
  <si>
    <t>NOM Prénom 231</t>
  </si>
  <si>
    <t>IDRH231</t>
  </si>
  <si>
    <t>NOM Prénom 232</t>
  </si>
  <si>
    <t>IDRH232</t>
  </si>
  <si>
    <t>NOM Prénom 233</t>
  </si>
  <si>
    <t>IDRH233</t>
  </si>
  <si>
    <t>NOM Prénom 234</t>
  </si>
  <si>
    <t>IDRH234</t>
  </si>
  <si>
    <t>NOM Prénom 235</t>
  </si>
  <si>
    <t>IDRH235</t>
  </si>
  <si>
    <t>NOM Prénom 236</t>
  </si>
  <si>
    <t>IDRH236</t>
  </si>
  <si>
    <t>NOM Prénom 237</t>
  </si>
  <si>
    <t>IDRH237</t>
  </si>
  <si>
    <t>NOM Prénom 238</t>
  </si>
  <si>
    <t>IDRH238</t>
  </si>
  <si>
    <t>NOM Prénom 239</t>
  </si>
  <si>
    <t>IDRH239</t>
  </si>
  <si>
    <t>NOM Prénom 240</t>
  </si>
  <si>
    <t>IDRH240</t>
  </si>
  <si>
    <t>NOM Prénom 241</t>
  </si>
  <si>
    <t>IDRH241</t>
  </si>
  <si>
    <t>IDRH242</t>
  </si>
  <si>
    <t>NOM Prénom 243</t>
  </si>
  <si>
    <t>IDRH243</t>
  </si>
  <si>
    <t>NOM Prénom 244</t>
  </si>
  <si>
    <t>IDRH244</t>
  </si>
  <si>
    <t>NOM Prénom 245</t>
  </si>
  <si>
    <t>IDRH245</t>
  </si>
  <si>
    <t>NOM Prénom 246</t>
  </si>
  <si>
    <t>IDRH246</t>
  </si>
  <si>
    <t>NOM Prénom 247</t>
  </si>
  <si>
    <t>IDRH247</t>
  </si>
  <si>
    <t>NOM Prénom 248</t>
  </si>
  <si>
    <t>IDRH248</t>
  </si>
  <si>
    <t>NOM Prénom 249</t>
  </si>
  <si>
    <t>IDRH249</t>
  </si>
  <si>
    <t>NOM Prénom 250</t>
  </si>
  <si>
    <t>IDRH250</t>
  </si>
  <si>
    <t>IDRH251</t>
  </si>
  <si>
    <t>NOM Prénom 252</t>
  </si>
  <si>
    <t>IDRH252</t>
  </si>
  <si>
    <t>NOM Prénom 253</t>
  </si>
  <si>
    <t>IDRH253</t>
  </si>
  <si>
    <t>NOM Prénom 254</t>
  </si>
  <si>
    <t>IDRH254</t>
  </si>
  <si>
    <t>NOM Prénom 255</t>
  </si>
  <si>
    <t>IDRH255</t>
  </si>
  <si>
    <t>NOM Prénom 256</t>
  </si>
  <si>
    <t>IDRH256</t>
  </si>
  <si>
    <t>NOM Prénom 257</t>
  </si>
  <si>
    <t>IDRH257</t>
  </si>
  <si>
    <t>IDRH258</t>
  </si>
  <si>
    <t>NOM Prénom 259</t>
  </si>
  <si>
    <t>IDRH259</t>
  </si>
  <si>
    <t>NOM Prénom 260</t>
  </si>
  <si>
    <t>IDRH260</t>
  </si>
  <si>
    <t>NOM Prénom 261</t>
  </si>
  <si>
    <t>IDRH261</t>
  </si>
  <si>
    <t>IDRH262</t>
  </si>
  <si>
    <t>NOM Prénom 263</t>
  </si>
  <si>
    <t>IDRH263</t>
  </si>
  <si>
    <t>NOM Prénom 264</t>
  </si>
  <si>
    <t>IDRH264</t>
  </si>
  <si>
    <t>NOM Prénom 265</t>
  </si>
  <si>
    <t>IDRH265</t>
  </si>
  <si>
    <t>NOM Prénom 266</t>
  </si>
  <si>
    <t>IDRH266</t>
  </si>
  <si>
    <t>NOM Prénom 267</t>
  </si>
  <si>
    <t>IDRH267</t>
  </si>
  <si>
    <t>NOM Prénom 268</t>
  </si>
  <si>
    <t>IDRH268</t>
  </si>
  <si>
    <t>IDRH269</t>
  </si>
  <si>
    <t>NOM Prénom 270</t>
  </si>
  <si>
    <t>IDRH270</t>
  </si>
  <si>
    <t>NOM Prénom 271</t>
  </si>
  <si>
    <t>IDRH271</t>
  </si>
  <si>
    <t>IDRH272</t>
  </si>
  <si>
    <t>NOM Prénom 273</t>
  </si>
  <si>
    <t>IDRH273</t>
  </si>
  <si>
    <t>NOM Prénom 274</t>
  </si>
  <si>
    <t>IDRH274</t>
  </si>
  <si>
    <t>IDRH275</t>
  </si>
  <si>
    <t>NOM Prénom 276</t>
  </si>
  <si>
    <t>IDRH276</t>
  </si>
  <si>
    <t>NOM Prénom 277</t>
  </si>
  <si>
    <t>IDRH277</t>
  </si>
  <si>
    <t>NOM Prénom 278</t>
  </si>
  <si>
    <t>IDRH278</t>
  </si>
  <si>
    <t>NOM Prénom 279</t>
  </si>
  <si>
    <t>IDRH279</t>
  </si>
  <si>
    <t>NOM Prénom 280</t>
  </si>
  <si>
    <t>IDRH280</t>
  </si>
  <si>
    <t>NOM Prénom 281</t>
  </si>
  <si>
    <t>IDRH281</t>
  </si>
  <si>
    <t>IDRH282</t>
  </si>
  <si>
    <t>NOM Prénom 283</t>
  </si>
  <si>
    <t>IDRH283</t>
  </si>
  <si>
    <t>NOM Prénom 284</t>
  </si>
  <si>
    <t>IDRH284</t>
  </si>
  <si>
    <t>NOM Prénom 285</t>
  </si>
  <si>
    <t>IDRH285</t>
  </si>
  <si>
    <t>NOM Prénom 286</t>
  </si>
  <si>
    <t>IDRH286</t>
  </si>
  <si>
    <t>NOM Prénom 287</t>
  </si>
  <si>
    <t>IDRH287</t>
  </si>
  <si>
    <t>NOM Prénom 288</t>
  </si>
  <si>
    <t>IDRH288</t>
  </si>
  <si>
    <t>NOM Prénom 289</t>
  </si>
  <si>
    <t>IDRH289</t>
  </si>
  <si>
    <t>NOM Prénom 291</t>
  </si>
  <si>
    <t>IDRH291</t>
  </si>
  <si>
    <t>NOM Prénom 292</t>
  </si>
  <si>
    <t>IDRH292</t>
  </si>
  <si>
    <t>NOM Prénom 293</t>
  </si>
  <si>
    <t>IDRH293</t>
  </si>
  <si>
    <t>NOM Prénom 294</t>
  </si>
  <si>
    <t>IDRH294</t>
  </si>
  <si>
    <t>NOM Prénom 298</t>
  </si>
  <si>
    <t>IDRH298</t>
  </si>
  <si>
    <t>NOM Prénom 299</t>
  </si>
  <si>
    <t>IDRH299</t>
  </si>
  <si>
    <t>IDRH300</t>
  </si>
  <si>
    <t>IDRH301</t>
  </si>
  <si>
    <t>NOM Prénom 302</t>
  </si>
  <si>
    <t>IDRH302</t>
  </si>
  <si>
    <t>NOM Prénom 303</t>
  </si>
  <si>
    <t>IDRH303</t>
  </si>
  <si>
    <t>NOM Prénom 304</t>
  </si>
  <si>
    <t>IDRH304</t>
  </si>
  <si>
    <t>NOM Prénom 305</t>
  </si>
  <si>
    <t>IDRH305</t>
  </si>
  <si>
    <t>Semaine 44</t>
  </si>
  <si>
    <t>Novembre 2019 - Semaine 45</t>
  </si>
  <si>
    <t>Novembre 2019 - Semaine 46</t>
  </si>
  <si>
    <t>Novembre 2019 - Semaine 47</t>
  </si>
  <si>
    <t>Novembre 2019 - Semaine 48</t>
  </si>
  <si>
    <t>Ven
01</t>
  </si>
  <si>
    <t>Sam
02</t>
  </si>
  <si>
    <t>Dim
03</t>
  </si>
  <si>
    <t>Lun
04</t>
  </si>
  <si>
    <t>Mar
05</t>
  </si>
  <si>
    <t>Mer
06</t>
  </si>
  <si>
    <t>Jeu
07</t>
  </si>
  <si>
    <t>Ven
08</t>
  </si>
  <si>
    <t>Sam
09</t>
  </si>
  <si>
    <t>Dim
10</t>
  </si>
  <si>
    <t>Lun
11</t>
  </si>
  <si>
    <t>Mar
12</t>
  </si>
  <si>
    <t>Mer
13</t>
  </si>
  <si>
    <t>Jeu
14</t>
  </si>
  <si>
    <t>Ven
15</t>
  </si>
  <si>
    <t>Sam
16</t>
  </si>
  <si>
    <t>Dim
17</t>
  </si>
  <si>
    <t>Lun
18</t>
  </si>
  <si>
    <t>Mar
19</t>
  </si>
  <si>
    <t>Mer
20</t>
  </si>
  <si>
    <t>Jeu
21</t>
  </si>
  <si>
    <t>Ven
22</t>
  </si>
  <si>
    <t>Sam
23</t>
  </si>
  <si>
    <t>Dim
24</t>
  </si>
  <si>
    <t>Lun
25</t>
  </si>
  <si>
    <t>Mar
26</t>
  </si>
  <si>
    <t>Mer
27</t>
  </si>
  <si>
    <t>Jeu
28</t>
  </si>
  <si>
    <t>Ven
29</t>
  </si>
  <si>
    <t>Sam
30</t>
  </si>
  <si>
    <t>ROPQS</t>
  </si>
  <si>
    <t>ROPQS
ROPMRP</t>
  </si>
  <si>
    <t>T3VD</t>
  </si>
  <si>
    <t>122:20</t>
  </si>
  <si>
    <t>30:28</t>
  </si>
  <si>
    <t>11:15</t>
  </si>
  <si>
    <t>18:45</t>
  </si>
  <si>
    <t>17:42</t>
  </si>
  <si>
    <t>ROPPTN</t>
  </si>
  <si>
    <t>ROPPTN
ROPMRP</t>
  </si>
  <si>
    <t>36:42</t>
  </si>
  <si>
    <t>17:41</t>
  </si>
  <si>
    <t>30:14</t>
  </si>
  <si>
    <t>AT</t>
  </si>
  <si>
    <t>09:35</t>
  </si>
  <si>
    <t>05:04</t>
  </si>
  <si>
    <t>NOM Prénom 35</t>
  </si>
  <si>
    <t>13:42</t>
  </si>
  <si>
    <t>10:23</t>
  </si>
  <si>
    <t>MRP3
MRP3</t>
  </si>
  <si>
    <t>78:07</t>
  </si>
  <si>
    <t>20 Agents</t>
  </si>
  <si>
    <t>NOM Prénom 46</t>
  </si>
  <si>
    <t>88:45</t>
  </si>
  <si>
    <t>04:50</t>
  </si>
  <si>
    <t>08:51</t>
  </si>
  <si>
    <t>24:30</t>
  </si>
  <si>
    <t>142:00</t>
  </si>
  <si>
    <t>9007PP (S)</t>
  </si>
  <si>
    <t>9007PP
9007QS</t>
  </si>
  <si>
    <t>61:27</t>
  </si>
  <si>
    <t>04:30</t>
  </si>
  <si>
    <t>20:40</t>
  </si>
  <si>
    <t>11:47</t>
  </si>
  <si>
    <t>T1VD</t>
  </si>
  <si>
    <t>RENHC
RENMRP</t>
  </si>
  <si>
    <t>CYC-AV</t>
  </si>
  <si>
    <t>07:00</t>
  </si>
  <si>
    <t>NOM Prénom 94</t>
  </si>
  <si>
    <t>77:34</t>
  </si>
  <si>
    <t>ACG</t>
  </si>
  <si>
    <t>ASSISTANT DE GESTION</t>
  </si>
  <si>
    <t>04:52</t>
  </si>
  <si>
    <t>JRS</t>
  </si>
  <si>
    <t>07:48</t>
  </si>
  <si>
    <t>74:07</t>
  </si>
  <si>
    <t>T802DD</t>
  </si>
  <si>
    <t>FG1008
FG1008D</t>
  </si>
  <si>
    <t>FSETI
FSETI</t>
  </si>
  <si>
    <t>53:17</t>
  </si>
  <si>
    <t>ALBI ILOTS CIRON - ALBI ILOTS CIRON - Organisation normale 2 (DISTRIBUTION 15.01.2019 &gt; ALBI PPDC &gt; ALBI PAYS CATHARES PPDC)</t>
  </si>
  <si>
    <t>ROPMRP
ROPPTN</t>
  </si>
  <si>
    <t>18:01</t>
  </si>
  <si>
    <t>27:00</t>
  </si>
  <si>
    <t>13:50</t>
  </si>
  <si>
    <t>FP5-TE</t>
  </si>
  <si>
    <t>CYC-TE</t>
  </si>
  <si>
    <t>T4015D</t>
  </si>
  <si>
    <t>FP4</t>
  </si>
  <si>
    <t>47:51</t>
  </si>
  <si>
    <t>NOM Prénom 139</t>
  </si>
  <si>
    <t>58:18</t>
  </si>
  <si>
    <t>NOM Prénom 141</t>
  </si>
  <si>
    <t>31:58</t>
  </si>
  <si>
    <t>NOM Prénom 143</t>
  </si>
  <si>
    <t>44:54</t>
  </si>
  <si>
    <t>NOM Prénom 146</t>
  </si>
  <si>
    <t>55:21</t>
  </si>
  <si>
    <t>22:02</t>
  </si>
  <si>
    <t>NOM Prénom 151</t>
  </si>
  <si>
    <t>T104D</t>
  </si>
  <si>
    <t>T107D</t>
  </si>
  <si>
    <t>09:53</t>
  </si>
  <si>
    <t>NOM Prénom 154</t>
  </si>
  <si>
    <t>T105D</t>
  </si>
  <si>
    <t>12:52</t>
  </si>
  <si>
    <t>T106D</t>
  </si>
  <si>
    <t>NOM Prénom 159</t>
  </si>
  <si>
    <t>#9997F</t>
  </si>
  <si>
    <t>AMR</t>
  </si>
  <si>
    <t>20:10</t>
  </si>
  <si>
    <t>NOM Prénom 169</t>
  </si>
  <si>
    <t>NOM Prénom 171</t>
  </si>
  <si>
    <t>NOM Prénom 173</t>
  </si>
  <si>
    <t>T1010D</t>
  </si>
  <si>
    <t>T1004D</t>
  </si>
  <si>
    <t>16 Agents</t>
  </si>
  <si>
    <t>56:21</t>
  </si>
  <si>
    <t>18:33</t>
  </si>
  <si>
    <t>32:36</t>
  </si>
  <si>
    <t>39:34</t>
  </si>
  <si>
    <t>T803D</t>
  </si>
  <si>
    <t>FP1</t>
  </si>
  <si>
    <t>08:23</t>
  </si>
  <si>
    <t>22:30</t>
  </si>
  <si>
    <t>NOM Prénom 196</t>
  </si>
  <si>
    <t>3 Agents</t>
  </si>
  <si>
    <t>12:15</t>
  </si>
  <si>
    <t>11:44</t>
  </si>
  <si>
    <t>16:21</t>
  </si>
  <si>
    <t>NOM Prénom 208</t>
  </si>
  <si>
    <t>ROP70</t>
  </si>
  <si>
    <t>ROP30
ROP70</t>
  </si>
  <si>
    <t>T006D</t>
  </si>
  <si>
    <t>38:27</t>
  </si>
  <si>
    <t>ROU3HC</t>
  </si>
  <si>
    <t>68</t>
  </si>
  <si>
    <t>NOM Prénom 228</t>
  </si>
  <si>
    <t>02:00</t>
  </si>
  <si>
    <t>ROU1</t>
  </si>
  <si>
    <t>18:39</t>
  </si>
  <si>
    <t>11:35</t>
  </si>
  <si>
    <t>06:44</t>
  </si>
  <si>
    <t>T011D</t>
  </si>
  <si>
    <t>NOM Prénom 242</t>
  </si>
  <si>
    <t>AAR</t>
  </si>
  <si>
    <t>06:19</t>
  </si>
  <si>
    <t>ROU2HC</t>
  </si>
  <si>
    <t>ROU2
ROU2HC</t>
  </si>
  <si>
    <t>33:09</t>
  </si>
  <si>
    <t>01:50</t>
  </si>
  <si>
    <t>REL1
REL1</t>
  </si>
  <si>
    <t>NOM Prénom 251</t>
  </si>
  <si>
    <t>17:01</t>
  </si>
  <si>
    <t>FQQS</t>
  </si>
  <si>
    <t>01:09</t>
  </si>
  <si>
    <t>FE 111 (S)</t>
  </si>
  <si>
    <t>79</t>
  </si>
  <si>
    <t>03:56</t>
  </si>
  <si>
    <t>04:47</t>
  </si>
  <si>
    <t>NOM Prénom 258</t>
  </si>
  <si>
    <t>35:20</t>
  </si>
  <si>
    <t>12:08</t>
  </si>
  <si>
    <t>04:32</t>
  </si>
  <si>
    <t>35:42</t>
  </si>
  <si>
    <t>96:29</t>
  </si>
  <si>
    <t>FE 211 (S)</t>
  </si>
  <si>
    <t>FE 211
FE 211</t>
  </si>
  <si>
    <t>05:42</t>
  </si>
  <si>
    <t>18:49</t>
  </si>
  <si>
    <t>NOM Prénom 269</t>
  </si>
  <si>
    <t>NOM Prénom 272</t>
  </si>
  <si>
    <t>NOM Prénom 275</t>
  </si>
  <si>
    <t>T207D</t>
  </si>
  <si>
    <t>FQMRP
FQQS</t>
  </si>
  <si>
    <t>T304</t>
  </si>
  <si>
    <t>FE311</t>
  </si>
  <si>
    <t>36:06</t>
  </si>
  <si>
    <t>NOM Prénom 282</t>
  </si>
  <si>
    <t>10:54</t>
  </si>
  <si>
    <t>CYCPTR</t>
  </si>
  <si>
    <t>18:32</t>
  </si>
  <si>
    <t>ROUHC
ROUINT</t>
  </si>
  <si>
    <t>NOM Prénom 300</t>
  </si>
  <si>
    <t>NOM Prénom 301</t>
  </si>
  <si>
    <t>33:00</t>
  </si>
  <si>
    <t>33:36</t>
  </si>
  <si>
    <t>FSET6 (S)</t>
  </si>
  <si>
    <t xml:space="preserve">ALBI ILOTS CIRON - ALBI ILOTS CIRON - Organisation normale 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</si>
</sst>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2" x14ac:knownFonts="1">
    <font>
      <sz val="9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9"/>
      <color rgb="FF0070C0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70C0"/>
      <name val="Calibri"/>
      <family val="2"/>
    </font>
    <font>
      <sz val="8"/>
      <color rgb="FF000000"/>
      <name val="Segoe UI"/>
      <family val="2"/>
    </font>
    <font>
      <b/>
      <sz val="18"/>
      <color indexed="8"/>
      <name val="Calibri"/>
      <family val="2"/>
      <scheme val="minor"/>
    </font>
    <font>
      <b/>
      <sz val="9"/>
      <color indexed="8"/>
      <name val="Calibri"/>
      <family val="2"/>
      <scheme val="minor"/>
    </font>
    <font>
      <sz val="9"/>
      <color rgb="FFFFFFFF"/>
      <name val="Calibri"/>
      <family val="2"/>
    </font>
    <font>
      <b/>
      <sz val="9"/>
      <color rgb="FFFF0000"/>
      <name val="Calibri"/>
      <family val="2"/>
    </font>
    <font>
      <sz val="5"/>
      <color indexed="8"/>
      <name val="Calibri"/>
      <family val="2"/>
    </font>
    <font>
      <b/>
      <sz val="11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CCCFF"/>
      </patternFill>
    </fill>
    <fill>
      <patternFill patternType="solid">
        <fgColor rgb="FFB8B8B8"/>
      </patternFill>
    </fill>
    <fill>
      <patternFill patternType="solid">
        <fgColor rgb="FF00A5FF"/>
      </patternFill>
    </fill>
    <fill>
      <patternFill patternType="solid">
        <fgColor rgb="FFAB9674"/>
      </patternFill>
    </fill>
    <fill>
      <patternFill patternType="solid">
        <fgColor rgb="FFB0C32B"/>
      </patternFill>
    </fill>
    <fill>
      <patternFill patternType="solid">
        <fgColor rgb="FFB0D5FF"/>
      </patternFill>
    </fill>
    <fill>
      <patternFill patternType="solid">
        <fgColor rgb="FF4BD098"/>
      </patternFill>
    </fill>
    <fill>
      <patternFill patternType="solid">
        <fgColor rgb="FFFF9E8C"/>
      </patternFill>
    </fill>
    <fill>
      <patternFill patternType="solid">
        <fgColor rgb="FFFF8E28"/>
      </patternFill>
    </fill>
    <fill>
      <patternFill patternType="solid">
        <fgColor rgb="FF6B6B6B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A219"/>
      </patternFill>
    </fill>
    <fill>
      <patternFill patternType="solid">
        <fgColor rgb="FF5EB7FF"/>
      </patternFill>
    </fill>
    <fill>
      <patternFill patternType="solid">
        <fgColor rgb="FF739900"/>
      </patternFill>
    </fill>
    <fill>
      <patternFill patternType="solid">
        <fgColor indexed="40"/>
        <bgColor indexed="64"/>
      </patternFill>
    </fill>
    <fill>
      <patternFill patternType="solid">
        <fgColor rgb="FFF0F0F0"/>
      </patternFill>
    </fill>
    <fill>
      <patternFill patternType="solid">
        <fgColor rgb="FFFFFFFF"/>
      </patternFill>
    </fill>
    <fill>
      <patternFill patternType="solid">
        <fgColor rgb="FFDBDBDB"/>
      </patternFill>
    </fill>
  </fills>
  <borders count="17">
    <border>
      <left/>
      <right/>
      <top/>
      <bottom/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1" fillId="0" borderId="1"/>
  </cellStyleXfs>
  <cellXfs count="59">
    <xf numFmtId="0" fontId="0" fillId="0" borderId="0" xfId="0"/>
    <xf numFmtId="0" fontId="0" fillId="0" borderId="1" xfId="0" applyBorder="1" applyAlignment="1">
      <alignment horizontal="left" vertical="center"/>
    </xf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0" borderId="10" xfId="0" applyBorder="1"/>
    <xf numFmtId="0" fontId="3" fillId="0" borderId="1" xfId="0" applyFont="1" applyBorder="1" applyAlignment="1">
      <alignment horizontal="center"/>
    </xf>
    <xf numFmtId="164" fontId="0" fillId="0" borderId="0" xfId="0" applyNumberFormat="1"/>
    <xf numFmtId="0" fontId="6" fillId="15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0" fontId="6" fillId="16" borderId="0" xfId="0" applyFont="1" applyFill="1" applyAlignment="1">
      <alignment horizontal="center" vertical="center"/>
    </xf>
    <xf numFmtId="0" fontId="3" fillId="18" borderId="12" xfId="0" applyFont="1" applyFill="1" applyBorder="1" applyAlignment="1">
      <alignment horizontal="center"/>
    </xf>
    <xf numFmtId="0" fontId="3" fillId="19" borderId="12" xfId="0" applyFont="1" applyFill="1" applyBorder="1" applyAlignment="1">
      <alignment horizontal="center"/>
    </xf>
    <xf numFmtId="0" fontId="3" fillId="20" borderId="12" xfId="0" applyFont="1" applyFill="1" applyBorder="1" applyAlignment="1">
      <alignment horizontal="center"/>
    </xf>
    <xf numFmtId="0" fontId="6" fillId="21" borderId="0" xfId="0" applyFont="1" applyFill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9" fillId="23" borderId="10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 wrapText="1"/>
    </xf>
    <xf numFmtId="0" fontId="8" fillId="24" borderId="10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11" borderId="10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11" fillId="22" borderId="12" xfId="0" applyFont="1" applyFill="1" applyBorder="1" applyAlignment="1">
      <alignment horizontal="center"/>
    </xf>
    <xf numFmtId="0" fontId="8" fillId="9" borderId="10" xfId="0" applyFont="1" applyFill="1" applyBorder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8" fillId="6" borderId="10" xfId="0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0" fontId="2" fillId="13" borderId="0" xfId="0" applyFont="1" applyFill="1" applyAlignment="1">
      <alignment horizontal="left" indent="3"/>
    </xf>
    <xf numFmtId="0" fontId="3" fillId="3" borderId="11" xfId="0" applyFont="1" applyFill="1" applyBorder="1" applyAlignment="1">
      <alignment horizontal="center" vertical="center" wrapText="1"/>
    </xf>
    <xf numFmtId="0" fontId="0" fillId="0" borderId="0" xfId="0"/>
    <xf numFmtId="0" fontId="3" fillId="14" borderId="10" xfId="0" applyFont="1" applyFill="1" applyBorder="1" applyAlignment="1">
      <alignment vertical="center" wrapText="1"/>
    </xf>
    <xf numFmtId="0" fontId="3" fillId="3" borderId="10" xfId="0" applyFont="1" applyFill="1" applyBorder="1" applyAlignment="1">
      <alignment vertical="center" wrapText="1"/>
    </xf>
    <xf numFmtId="0" fontId="4" fillId="13" borderId="0" xfId="0" applyFont="1" applyFill="1" applyAlignment="1">
      <alignment horizontal="left" indent="3"/>
    </xf>
    <xf numFmtId="0" fontId="2" fillId="13" borderId="0" xfId="0" applyFont="1" applyFill="1" applyAlignment="1">
      <alignment horizontal="left" indent="3"/>
    </xf>
    <xf numFmtId="0" fontId="3" fillId="3" borderId="11" xfId="0" applyFont="1" applyFill="1" applyBorder="1" applyAlignment="1">
      <alignment horizontal="center" vertical="center" wrapText="1"/>
    </xf>
    <xf numFmtId="0" fontId="7" fillId="17" borderId="0" xfId="0" applyFont="1" applyFill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0" fillId="15" borderId="10" xfId="0" applyFill="1" applyBorder="1" applyAlignment="1">
      <alignment horizontal="center" vertical="center"/>
    </xf>
    <xf numFmtId="0" fontId="0" fillId="21" borderId="10" xfId="0" applyFill="1" applyBorder="1" applyAlignment="1">
      <alignment horizontal="center" vertical="center"/>
    </xf>
    <xf numFmtId="0" fontId="0" fillId="16" borderId="13" xfId="0" applyFill="1" applyBorder="1" applyAlignment="1">
      <alignment horizontal="center" vertical="center"/>
    </xf>
    <xf numFmtId="0" fontId="0" fillId="16" borderId="14" xfId="0" applyFill="1" applyBorder="1" applyAlignment="1">
      <alignment horizontal="center" vertical="center"/>
    </xf>
    <xf numFmtId="0" fontId="0" fillId="16" borderId="15" xfId="0" applyFill="1" applyBorder="1" applyAlignment="1">
      <alignment horizontal="center" vertical="center"/>
    </xf>
    <xf numFmtId="0" fontId="2" fillId="13" borderId="0" xfId="0" applyFont="1" applyFill="1" applyAlignment="1">
      <alignment horizontal="left"/>
    </xf>
    <xf numFmtId="0" fontId="8" fillId="12" borderId="10" xfId="0" applyFont="1" applyFill="1" applyBorder="1" applyAlignment="1">
      <alignment horizontal="center" vertical="center"/>
    </xf>
    <xf numFmtId="0" fontId="8" fillId="10" borderId="10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" fillId="13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V$1" lockText="1" noThreeD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1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Conserver les lignes avec les agents non affectés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164328</xdr:colOff>
      <xdr:row>0</xdr:row>
      <xdr:rowOff>0</xdr:rowOff>
    </xdr:from>
    <xdr:to>
      <xdr:col>2</xdr:col>
      <xdr:colOff>1834193</xdr:colOff>
      <xdr:row>1</xdr:row>
      <xdr:rowOff>95250</xdr:rowOff>
    </xdr:to>
    <xdr:sp macro="[0]!EffacerPlanning" textlink="">
      <xdr:nvSpPr>
        <xdr:cNvPr id="2275" name="new">
          <a:extLst>
            <a:ext uri="{FF2B5EF4-FFF2-40B4-BE49-F238E27FC236}">
              <a16:creationId xmlns:a16="http://schemas.microsoft.com/office/drawing/2014/main" id="{00000000-0008-0000-0200-0000E3080000}"/>
            </a:ext>
          </a:extLst>
        </xdr:cNvPr>
        <xdr:cNvSpPr/>
      </xdr:nvSpPr>
      <xdr:spPr>
        <a:xfrm>
          <a:off x="4343400" y="0"/>
          <a:ext cx="1762125" cy="247650"/>
        </a:xfrm>
        <a:prstGeom prst="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aseline="0"/>
            <a:t>Effacer Onglet planning</a:t>
          </a:r>
          <a:endParaRPr lang="fr-FR" sz="1100"/>
        </a:p>
      </xdr:txBody>
    </xdr:sp>
    <xdr:clientData/>
  </xdr:twoCellAnchor>
  <xdr:twoCellAnchor editAs="absolute">
    <xdr:from>
      <xdr:col>2</xdr:col>
      <xdr:colOff>1853243</xdr:colOff>
      <xdr:row>0</xdr:row>
      <xdr:rowOff>0</xdr:rowOff>
    </xdr:from>
    <xdr:to>
      <xdr:col>4</xdr:col>
      <xdr:colOff>656347</xdr:colOff>
      <xdr:row>1</xdr:row>
      <xdr:rowOff>123825</xdr:rowOff>
    </xdr:to>
    <xdr:sp macro="[0]!ToutLancer" textlink="">
      <xdr:nvSpPr>
        <xdr:cNvPr id="2277" name="forme">
          <a:extLst>
            <a:ext uri="{FF2B5EF4-FFF2-40B4-BE49-F238E27FC236}">
              <a16:creationId xmlns:a16="http://schemas.microsoft.com/office/drawing/2014/main" id="{00000000-0008-0000-0200-0000E5080000}"/>
            </a:ext>
          </a:extLst>
        </xdr:cNvPr>
        <xdr:cNvSpPr/>
      </xdr:nvSpPr>
      <xdr:spPr>
        <a:xfrm>
          <a:off x="6124575" y="0"/>
          <a:ext cx="1762125" cy="27622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Mettre</a:t>
          </a:r>
          <a:r>
            <a:rPr lang="fr-FR" sz="1100" baseline="0"/>
            <a:t> en forme planning</a:t>
          </a:r>
          <a:endParaRPr lang="fr-FR" sz="1100"/>
        </a:p>
      </xdr:txBody>
    </xdr:sp>
    <xdr:clientData/>
  </xdr:twoCellAnchor>
  <xdr:twoCellAnchor editAs="absolute">
    <xdr:from>
      <xdr:col>1</xdr:col>
      <xdr:colOff>561512</xdr:colOff>
      <xdr:row>0</xdr:row>
      <xdr:rowOff>0</xdr:rowOff>
    </xdr:from>
    <xdr:to>
      <xdr:col>2</xdr:col>
      <xdr:colOff>154803</xdr:colOff>
      <xdr:row>1</xdr:row>
      <xdr:rowOff>95250</xdr:rowOff>
    </xdr:to>
    <xdr:sp macro="[0]!RecupEquipe" textlink="">
      <xdr:nvSpPr>
        <xdr:cNvPr id="347" name="Param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SpPr/>
      </xdr:nvSpPr>
      <xdr:spPr>
        <a:xfrm>
          <a:off x="2571750" y="0"/>
          <a:ext cx="1762125" cy="2476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MAJ Onglet PARAMETRES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14</xdr:col>
      <xdr:colOff>362139</xdr:colOff>
      <xdr:row>4</xdr:row>
      <xdr:rowOff>0</xdr:rowOff>
    </xdr:to>
    <xdr:sp macro="" textlink="">
      <xdr:nvSpPr>
        <xdr:cNvPr id="1702" name="AutoShape 34">
          <a:extLst>
            <a:ext uri="{FF2B5EF4-FFF2-40B4-BE49-F238E27FC236}">
              <a16:creationId xmlns:a16="http://schemas.microsoft.com/office/drawing/2014/main" id="{00000000-0008-0000-0200-0000A606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053466" cy="905346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120000</xdr:colOff>
      <xdr:row>16</xdr:row>
      <xdr:rowOff>0</xdr:rowOff>
    </xdr:from>
    <xdr:to>
      <xdr:col>14</xdr:col>
      <xdr:colOff>290512</xdr:colOff>
      <xdr:row>17</xdr:row>
      <xdr:rowOff>0</xdr:rowOff>
    </xdr:to>
    <xdr:pic>
      <xdr:nvPicPr>
        <xdr:cNvPr id="397" name="Picture 1" descr="Picture">
          <a:extLst>
            <a:ext uri="{FF2B5EF4-FFF2-40B4-BE49-F238E27FC236}">
              <a16:creationId xmlns:a16="http://schemas.microsoft.com/office/drawing/2014/main" id="{86ADDDA7-6EA8-43AD-A0F3-8A30FBE80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741750" y="3962400"/>
          <a:ext cx="170512" cy="171450"/>
        </a:xfrm>
        <a:prstGeom prst="rect">
          <a:avLst/>
        </a:prstGeom>
      </xdr:spPr>
    </xdr:pic>
    <xdr:clientData/>
  </xdr:twoCellAnchor>
  <xdr:twoCellAnchor>
    <xdr:from>
      <xdr:col>15</xdr:col>
      <xdr:colOff>120000</xdr:colOff>
      <xdr:row>16</xdr:row>
      <xdr:rowOff>0</xdr:rowOff>
    </xdr:from>
    <xdr:to>
      <xdr:col>15</xdr:col>
      <xdr:colOff>290512</xdr:colOff>
      <xdr:row>17</xdr:row>
      <xdr:rowOff>0</xdr:rowOff>
    </xdr:to>
    <xdr:pic>
      <xdr:nvPicPr>
        <xdr:cNvPr id="398" name="Picture 1" descr="Picture">
          <a:extLst>
            <a:ext uri="{FF2B5EF4-FFF2-40B4-BE49-F238E27FC236}">
              <a16:creationId xmlns:a16="http://schemas.microsoft.com/office/drawing/2014/main" id="{3F9413FD-4EAC-4A7E-AAA2-73810015D7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41800" y="3962400"/>
          <a:ext cx="170512" cy="171450"/>
        </a:xfrm>
        <a:prstGeom prst="rect">
          <a:avLst/>
        </a:prstGeom>
      </xdr:spPr>
    </xdr:pic>
    <xdr:clientData/>
  </xdr:twoCellAnchor>
  <xdr:twoCellAnchor>
    <xdr:from>
      <xdr:col>16</xdr:col>
      <xdr:colOff>120000</xdr:colOff>
      <xdr:row>16</xdr:row>
      <xdr:rowOff>0</xdr:rowOff>
    </xdr:from>
    <xdr:to>
      <xdr:col>16</xdr:col>
      <xdr:colOff>290512</xdr:colOff>
      <xdr:row>17</xdr:row>
      <xdr:rowOff>0</xdr:rowOff>
    </xdr:to>
    <xdr:pic>
      <xdr:nvPicPr>
        <xdr:cNvPr id="399" name="Picture 1" descr="Picture">
          <a:extLst>
            <a:ext uri="{FF2B5EF4-FFF2-40B4-BE49-F238E27FC236}">
              <a16:creationId xmlns:a16="http://schemas.microsoft.com/office/drawing/2014/main" id="{B4D4A17A-F6F9-4C5A-AAFA-AB3C490E1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41850" y="3962400"/>
          <a:ext cx="170512" cy="171450"/>
        </a:xfrm>
        <a:prstGeom prst="rect">
          <a:avLst/>
        </a:prstGeom>
      </xdr:spPr>
    </xdr:pic>
    <xdr:clientData/>
  </xdr:twoCellAnchor>
  <xdr:twoCellAnchor>
    <xdr:from>
      <xdr:col>17</xdr:col>
      <xdr:colOff>120000</xdr:colOff>
      <xdr:row>16</xdr:row>
      <xdr:rowOff>0</xdr:rowOff>
    </xdr:from>
    <xdr:to>
      <xdr:col>17</xdr:col>
      <xdr:colOff>290512</xdr:colOff>
      <xdr:row>17</xdr:row>
      <xdr:rowOff>0</xdr:rowOff>
    </xdr:to>
    <xdr:pic>
      <xdr:nvPicPr>
        <xdr:cNvPr id="400" name="Picture 1" descr="Picture">
          <a:extLst>
            <a:ext uri="{FF2B5EF4-FFF2-40B4-BE49-F238E27FC236}">
              <a16:creationId xmlns:a16="http://schemas.microsoft.com/office/drawing/2014/main" id="{AB9882B4-2AF8-4E9C-93AF-71CE5793B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41900" y="3962400"/>
          <a:ext cx="170512" cy="171450"/>
        </a:xfrm>
        <a:prstGeom prst="rect">
          <a:avLst/>
        </a:prstGeom>
      </xdr:spPr>
    </xdr:pic>
    <xdr:clientData/>
  </xdr:twoCellAnchor>
  <xdr:twoCellAnchor>
    <xdr:from>
      <xdr:col>18</xdr:col>
      <xdr:colOff>120000</xdr:colOff>
      <xdr:row>16</xdr:row>
      <xdr:rowOff>0</xdr:rowOff>
    </xdr:from>
    <xdr:to>
      <xdr:col>18</xdr:col>
      <xdr:colOff>290512</xdr:colOff>
      <xdr:row>17</xdr:row>
      <xdr:rowOff>0</xdr:rowOff>
    </xdr:to>
    <xdr:pic>
      <xdr:nvPicPr>
        <xdr:cNvPr id="401" name="Picture 1" descr="Picture">
          <a:extLst>
            <a:ext uri="{FF2B5EF4-FFF2-40B4-BE49-F238E27FC236}">
              <a16:creationId xmlns:a16="http://schemas.microsoft.com/office/drawing/2014/main" id="{AA2740AF-7501-4421-8E35-6E4D6DBE7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341950" y="3962400"/>
          <a:ext cx="170512" cy="171450"/>
        </a:xfrm>
        <a:prstGeom prst="rect">
          <a:avLst/>
        </a:prstGeom>
      </xdr:spPr>
    </xdr:pic>
    <xdr:clientData/>
  </xdr:twoCellAnchor>
  <xdr:twoCellAnchor>
    <xdr:from>
      <xdr:col>19</xdr:col>
      <xdr:colOff>120000</xdr:colOff>
      <xdr:row>16</xdr:row>
      <xdr:rowOff>0</xdr:rowOff>
    </xdr:from>
    <xdr:to>
      <xdr:col>19</xdr:col>
      <xdr:colOff>290512</xdr:colOff>
      <xdr:row>17</xdr:row>
      <xdr:rowOff>0</xdr:rowOff>
    </xdr:to>
    <xdr:pic>
      <xdr:nvPicPr>
        <xdr:cNvPr id="402" name="Picture 1" descr="Picture">
          <a:extLst>
            <a:ext uri="{FF2B5EF4-FFF2-40B4-BE49-F238E27FC236}">
              <a16:creationId xmlns:a16="http://schemas.microsoft.com/office/drawing/2014/main" id="{64CE5027-18F9-4EA8-B055-CF73B5B61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742000" y="3962400"/>
          <a:ext cx="170512" cy="17145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16</xdr:row>
      <xdr:rowOff>0</xdr:rowOff>
    </xdr:from>
    <xdr:to>
      <xdr:col>26</xdr:col>
      <xdr:colOff>290512</xdr:colOff>
      <xdr:row>17</xdr:row>
      <xdr:rowOff>0</xdr:rowOff>
    </xdr:to>
    <xdr:pic>
      <xdr:nvPicPr>
        <xdr:cNvPr id="403" name="Picture 1" descr="Picture">
          <a:extLst>
            <a:ext uri="{FF2B5EF4-FFF2-40B4-BE49-F238E27FC236}">
              <a16:creationId xmlns:a16="http://schemas.microsoft.com/office/drawing/2014/main" id="{3A612FA3-DB02-41AB-BCCD-74C36CD1B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42350" y="3962400"/>
          <a:ext cx="170512" cy="17145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16</xdr:row>
      <xdr:rowOff>0</xdr:rowOff>
    </xdr:from>
    <xdr:to>
      <xdr:col>33</xdr:col>
      <xdr:colOff>290512</xdr:colOff>
      <xdr:row>17</xdr:row>
      <xdr:rowOff>0</xdr:rowOff>
    </xdr:to>
    <xdr:pic>
      <xdr:nvPicPr>
        <xdr:cNvPr id="404" name="Picture 1" descr="Picture">
          <a:extLst>
            <a:ext uri="{FF2B5EF4-FFF2-40B4-BE49-F238E27FC236}">
              <a16:creationId xmlns:a16="http://schemas.microsoft.com/office/drawing/2014/main" id="{2C4C6CED-EBF9-4EFB-A4CE-E009FDFC30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42700" y="3962400"/>
          <a:ext cx="170512" cy="17145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16</xdr:row>
      <xdr:rowOff>0</xdr:rowOff>
    </xdr:from>
    <xdr:to>
      <xdr:col>37</xdr:col>
      <xdr:colOff>290512</xdr:colOff>
      <xdr:row>17</xdr:row>
      <xdr:rowOff>0</xdr:rowOff>
    </xdr:to>
    <xdr:pic>
      <xdr:nvPicPr>
        <xdr:cNvPr id="405" name="Picture 1" descr="Picture">
          <a:extLst>
            <a:ext uri="{FF2B5EF4-FFF2-40B4-BE49-F238E27FC236}">
              <a16:creationId xmlns:a16="http://schemas.microsoft.com/office/drawing/2014/main" id="{ED94107E-35D3-495B-A456-5A05D187D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942900" y="3962400"/>
          <a:ext cx="170512" cy="17145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16</xdr:row>
      <xdr:rowOff>0</xdr:rowOff>
    </xdr:from>
    <xdr:to>
      <xdr:col>38</xdr:col>
      <xdr:colOff>290512</xdr:colOff>
      <xdr:row>17</xdr:row>
      <xdr:rowOff>0</xdr:rowOff>
    </xdr:to>
    <xdr:pic>
      <xdr:nvPicPr>
        <xdr:cNvPr id="406" name="Picture 1" descr="Picture">
          <a:extLst>
            <a:ext uri="{FF2B5EF4-FFF2-40B4-BE49-F238E27FC236}">
              <a16:creationId xmlns:a16="http://schemas.microsoft.com/office/drawing/2014/main" id="{F04B6632-B88B-4711-B42A-799ED1F38E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342950" y="3962400"/>
          <a:ext cx="170512" cy="17145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16</xdr:row>
      <xdr:rowOff>0</xdr:rowOff>
    </xdr:from>
    <xdr:to>
      <xdr:col>39</xdr:col>
      <xdr:colOff>290512</xdr:colOff>
      <xdr:row>17</xdr:row>
      <xdr:rowOff>0</xdr:rowOff>
    </xdr:to>
    <xdr:pic>
      <xdr:nvPicPr>
        <xdr:cNvPr id="407" name="Picture 1" descr="Picture">
          <a:extLst>
            <a:ext uri="{FF2B5EF4-FFF2-40B4-BE49-F238E27FC236}">
              <a16:creationId xmlns:a16="http://schemas.microsoft.com/office/drawing/2014/main" id="{021F415C-87D9-4CFB-A983-992C5FD41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43000" y="3962400"/>
          <a:ext cx="170512" cy="17145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16</xdr:row>
      <xdr:rowOff>0</xdr:rowOff>
    </xdr:from>
    <xdr:to>
      <xdr:col>40</xdr:col>
      <xdr:colOff>290512</xdr:colOff>
      <xdr:row>17</xdr:row>
      <xdr:rowOff>0</xdr:rowOff>
    </xdr:to>
    <xdr:pic>
      <xdr:nvPicPr>
        <xdr:cNvPr id="408" name="Picture 1" descr="Picture">
          <a:extLst>
            <a:ext uri="{FF2B5EF4-FFF2-40B4-BE49-F238E27FC236}">
              <a16:creationId xmlns:a16="http://schemas.microsoft.com/office/drawing/2014/main" id="{E65C2679-291A-42A9-AE5E-521F73C44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143050" y="3962400"/>
          <a:ext cx="170512" cy="17145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17</xdr:row>
      <xdr:rowOff>0</xdr:rowOff>
    </xdr:from>
    <xdr:to>
      <xdr:col>33</xdr:col>
      <xdr:colOff>290512</xdr:colOff>
      <xdr:row>18</xdr:row>
      <xdr:rowOff>0</xdr:rowOff>
    </xdr:to>
    <xdr:pic>
      <xdr:nvPicPr>
        <xdr:cNvPr id="409" name="Picture 1" descr="Picture">
          <a:extLst>
            <a:ext uri="{FF2B5EF4-FFF2-40B4-BE49-F238E27FC236}">
              <a16:creationId xmlns:a16="http://schemas.microsoft.com/office/drawing/2014/main" id="{06ED63AF-477F-45EB-B671-6CD0A27D9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42700" y="4133850"/>
          <a:ext cx="170512" cy="17145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24</xdr:row>
      <xdr:rowOff>0</xdr:rowOff>
    </xdr:from>
    <xdr:to>
      <xdr:col>35</xdr:col>
      <xdr:colOff>290512</xdr:colOff>
      <xdr:row>25</xdr:row>
      <xdr:rowOff>0</xdr:rowOff>
    </xdr:to>
    <xdr:pic>
      <xdr:nvPicPr>
        <xdr:cNvPr id="410" name="Picture 1" descr="Picture">
          <a:extLst>
            <a:ext uri="{FF2B5EF4-FFF2-40B4-BE49-F238E27FC236}">
              <a16:creationId xmlns:a16="http://schemas.microsoft.com/office/drawing/2014/main" id="{D26AAAC7-884F-4A04-AF19-27C665F80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142800" y="5334000"/>
          <a:ext cx="170512" cy="17145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38</xdr:row>
      <xdr:rowOff>0</xdr:rowOff>
    </xdr:from>
    <xdr:to>
      <xdr:col>35</xdr:col>
      <xdr:colOff>290512</xdr:colOff>
      <xdr:row>39</xdr:row>
      <xdr:rowOff>0</xdr:rowOff>
    </xdr:to>
    <xdr:pic>
      <xdr:nvPicPr>
        <xdr:cNvPr id="411" name="Picture 1" descr="Picture">
          <a:extLst>
            <a:ext uri="{FF2B5EF4-FFF2-40B4-BE49-F238E27FC236}">
              <a16:creationId xmlns:a16="http://schemas.microsoft.com/office/drawing/2014/main" id="{1941702C-4323-4795-AAEF-11455C9CE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142800" y="8639175"/>
          <a:ext cx="170512" cy="17145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38</xdr:row>
      <xdr:rowOff>0</xdr:rowOff>
    </xdr:from>
    <xdr:to>
      <xdr:col>36</xdr:col>
      <xdr:colOff>290512</xdr:colOff>
      <xdr:row>39</xdr:row>
      <xdr:rowOff>0</xdr:rowOff>
    </xdr:to>
    <xdr:pic>
      <xdr:nvPicPr>
        <xdr:cNvPr id="412" name="Picture 1" descr="Picture">
          <a:extLst>
            <a:ext uri="{FF2B5EF4-FFF2-40B4-BE49-F238E27FC236}">
              <a16:creationId xmlns:a16="http://schemas.microsoft.com/office/drawing/2014/main" id="{AF24F4A5-9035-4AD9-B6C9-625F9BF5C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542850" y="8639175"/>
          <a:ext cx="170512" cy="17145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38</xdr:row>
      <xdr:rowOff>0</xdr:rowOff>
    </xdr:from>
    <xdr:to>
      <xdr:col>37</xdr:col>
      <xdr:colOff>290512</xdr:colOff>
      <xdr:row>39</xdr:row>
      <xdr:rowOff>0</xdr:rowOff>
    </xdr:to>
    <xdr:pic>
      <xdr:nvPicPr>
        <xdr:cNvPr id="413" name="Picture 1" descr="Picture">
          <a:extLst>
            <a:ext uri="{FF2B5EF4-FFF2-40B4-BE49-F238E27FC236}">
              <a16:creationId xmlns:a16="http://schemas.microsoft.com/office/drawing/2014/main" id="{D8752FFF-6E1F-42F4-B133-2F6D936E07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942900" y="8639175"/>
          <a:ext cx="170512" cy="17145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45</xdr:row>
      <xdr:rowOff>0</xdr:rowOff>
    </xdr:from>
    <xdr:to>
      <xdr:col>28</xdr:col>
      <xdr:colOff>290512</xdr:colOff>
      <xdr:row>46</xdr:row>
      <xdr:rowOff>0</xdr:rowOff>
    </xdr:to>
    <xdr:pic>
      <xdr:nvPicPr>
        <xdr:cNvPr id="414" name="Picture 1" descr="Picture">
          <a:extLst>
            <a:ext uri="{FF2B5EF4-FFF2-40B4-BE49-F238E27FC236}">
              <a16:creationId xmlns:a16="http://schemas.microsoft.com/office/drawing/2014/main" id="{B566A5B4-B826-4F64-8EE7-D31F8CE70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342450" y="10010775"/>
          <a:ext cx="170512" cy="17145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45</xdr:row>
      <xdr:rowOff>0</xdr:rowOff>
    </xdr:from>
    <xdr:to>
      <xdr:col>29</xdr:col>
      <xdr:colOff>290512</xdr:colOff>
      <xdr:row>46</xdr:row>
      <xdr:rowOff>0</xdr:rowOff>
    </xdr:to>
    <xdr:pic>
      <xdr:nvPicPr>
        <xdr:cNvPr id="415" name="Picture 1" descr="Picture">
          <a:extLst>
            <a:ext uri="{FF2B5EF4-FFF2-40B4-BE49-F238E27FC236}">
              <a16:creationId xmlns:a16="http://schemas.microsoft.com/office/drawing/2014/main" id="{FE95182B-DF93-4999-BDE6-8DAD67FE1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742500" y="10010775"/>
          <a:ext cx="170512" cy="17145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45</xdr:row>
      <xdr:rowOff>0</xdr:rowOff>
    </xdr:from>
    <xdr:to>
      <xdr:col>30</xdr:col>
      <xdr:colOff>290512</xdr:colOff>
      <xdr:row>46</xdr:row>
      <xdr:rowOff>0</xdr:rowOff>
    </xdr:to>
    <xdr:pic>
      <xdr:nvPicPr>
        <xdr:cNvPr id="416" name="Picture 1" descr="Picture">
          <a:extLst>
            <a:ext uri="{FF2B5EF4-FFF2-40B4-BE49-F238E27FC236}">
              <a16:creationId xmlns:a16="http://schemas.microsoft.com/office/drawing/2014/main" id="{7AD23DD2-A18E-462E-B28B-4893E8DB8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42550" y="10010775"/>
          <a:ext cx="170512" cy="17145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45</xdr:row>
      <xdr:rowOff>0</xdr:rowOff>
    </xdr:from>
    <xdr:to>
      <xdr:col>31</xdr:col>
      <xdr:colOff>290512</xdr:colOff>
      <xdr:row>46</xdr:row>
      <xdr:rowOff>0</xdr:rowOff>
    </xdr:to>
    <xdr:pic>
      <xdr:nvPicPr>
        <xdr:cNvPr id="417" name="Picture 1" descr="Picture">
          <a:extLst>
            <a:ext uri="{FF2B5EF4-FFF2-40B4-BE49-F238E27FC236}">
              <a16:creationId xmlns:a16="http://schemas.microsoft.com/office/drawing/2014/main" id="{FCF147F5-B8B8-4B96-8988-23C70C872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42600" y="10010775"/>
          <a:ext cx="170512" cy="17145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45</xdr:row>
      <xdr:rowOff>0</xdr:rowOff>
    </xdr:from>
    <xdr:to>
      <xdr:col>32</xdr:col>
      <xdr:colOff>290512</xdr:colOff>
      <xdr:row>46</xdr:row>
      <xdr:rowOff>0</xdr:rowOff>
    </xdr:to>
    <xdr:pic>
      <xdr:nvPicPr>
        <xdr:cNvPr id="418" name="Picture 1" descr="Picture">
          <a:extLst>
            <a:ext uri="{FF2B5EF4-FFF2-40B4-BE49-F238E27FC236}">
              <a16:creationId xmlns:a16="http://schemas.microsoft.com/office/drawing/2014/main" id="{E2C32D5D-1DCB-49E5-BA17-42893A1E3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42650" y="10010775"/>
          <a:ext cx="170512" cy="17145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45</xdr:row>
      <xdr:rowOff>0</xdr:rowOff>
    </xdr:from>
    <xdr:to>
      <xdr:col>33</xdr:col>
      <xdr:colOff>290512</xdr:colOff>
      <xdr:row>46</xdr:row>
      <xdr:rowOff>0</xdr:rowOff>
    </xdr:to>
    <xdr:pic>
      <xdr:nvPicPr>
        <xdr:cNvPr id="419" name="Picture 1" descr="Picture">
          <a:extLst>
            <a:ext uri="{FF2B5EF4-FFF2-40B4-BE49-F238E27FC236}">
              <a16:creationId xmlns:a16="http://schemas.microsoft.com/office/drawing/2014/main" id="{FD24E0AF-9BAD-47B1-8051-5B5C46566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42700" y="10010775"/>
          <a:ext cx="170512" cy="17145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45</xdr:row>
      <xdr:rowOff>0</xdr:rowOff>
    </xdr:from>
    <xdr:to>
      <xdr:col>35</xdr:col>
      <xdr:colOff>290512</xdr:colOff>
      <xdr:row>46</xdr:row>
      <xdr:rowOff>0</xdr:rowOff>
    </xdr:to>
    <xdr:pic>
      <xdr:nvPicPr>
        <xdr:cNvPr id="420" name="Picture 1" descr="Picture">
          <a:extLst>
            <a:ext uri="{FF2B5EF4-FFF2-40B4-BE49-F238E27FC236}">
              <a16:creationId xmlns:a16="http://schemas.microsoft.com/office/drawing/2014/main" id="{34C7C0EE-306C-47FF-B040-5E3EBD8C9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142800" y="10010775"/>
          <a:ext cx="170512" cy="17145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45</xdr:row>
      <xdr:rowOff>0</xdr:rowOff>
    </xdr:from>
    <xdr:to>
      <xdr:col>36</xdr:col>
      <xdr:colOff>290512</xdr:colOff>
      <xdr:row>46</xdr:row>
      <xdr:rowOff>0</xdr:rowOff>
    </xdr:to>
    <xdr:pic>
      <xdr:nvPicPr>
        <xdr:cNvPr id="421" name="Picture 1" descr="Picture">
          <a:extLst>
            <a:ext uri="{FF2B5EF4-FFF2-40B4-BE49-F238E27FC236}">
              <a16:creationId xmlns:a16="http://schemas.microsoft.com/office/drawing/2014/main" id="{7EC31FB8-3DB0-4868-B607-7580D7AD1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42850" y="10010775"/>
          <a:ext cx="170512" cy="17145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45</xdr:row>
      <xdr:rowOff>0</xdr:rowOff>
    </xdr:from>
    <xdr:to>
      <xdr:col>37</xdr:col>
      <xdr:colOff>290512</xdr:colOff>
      <xdr:row>46</xdr:row>
      <xdr:rowOff>0</xdr:rowOff>
    </xdr:to>
    <xdr:pic>
      <xdr:nvPicPr>
        <xdr:cNvPr id="422" name="Picture 1" descr="Picture">
          <a:extLst>
            <a:ext uri="{FF2B5EF4-FFF2-40B4-BE49-F238E27FC236}">
              <a16:creationId xmlns:a16="http://schemas.microsoft.com/office/drawing/2014/main" id="{88504D97-EDBA-42B1-8A62-CEB900808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942900" y="10010775"/>
          <a:ext cx="170512" cy="17145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45</xdr:row>
      <xdr:rowOff>0</xdr:rowOff>
    </xdr:from>
    <xdr:to>
      <xdr:col>38</xdr:col>
      <xdr:colOff>290512</xdr:colOff>
      <xdr:row>46</xdr:row>
      <xdr:rowOff>0</xdr:rowOff>
    </xdr:to>
    <xdr:pic>
      <xdr:nvPicPr>
        <xdr:cNvPr id="423" name="Picture 1" descr="Picture">
          <a:extLst>
            <a:ext uri="{FF2B5EF4-FFF2-40B4-BE49-F238E27FC236}">
              <a16:creationId xmlns:a16="http://schemas.microsoft.com/office/drawing/2014/main" id="{E0C6BE3C-E632-4D4E-ACD3-9844004D0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342950" y="10010775"/>
          <a:ext cx="170512" cy="17145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45</xdr:row>
      <xdr:rowOff>0</xdr:rowOff>
    </xdr:from>
    <xdr:to>
      <xdr:col>39</xdr:col>
      <xdr:colOff>290512</xdr:colOff>
      <xdr:row>46</xdr:row>
      <xdr:rowOff>0</xdr:rowOff>
    </xdr:to>
    <xdr:pic>
      <xdr:nvPicPr>
        <xdr:cNvPr id="424" name="Picture 1" descr="Picture">
          <a:extLst>
            <a:ext uri="{FF2B5EF4-FFF2-40B4-BE49-F238E27FC236}">
              <a16:creationId xmlns:a16="http://schemas.microsoft.com/office/drawing/2014/main" id="{0424F301-2EF5-4AB7-BC16-BC8BFB49D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43000" y="10010775"/>
          <a:ext cx="170512" cy="171450"/>
        </a:xfrm>
        <a:prstGeom prst="rect">
          <a:avLst/>
        </a:prstGeom>
      </xdr:spPr>
    </xdr:pic>
    <xdr:clientData/>
  </xdr:twoCellAnchor>
  <xdr:twoCellAnchor>
    <xdr:from>
      <xdr:col>22</xdr:col>
      <xdr:colOff>120000</xdr:colOff>
      <xdr:row>50</xdr:row>
      <xdr:rowOff>0</xdr:rowOff>
    </xdr:from>
    <xdr:to>
      <xdr:col>22</xdr:col>
      <xdr:colOff>290512</xdr:colOff>
      <xdr:row>51</xdr:row>
      <xdr:rowOff>0</xdr:rowOff>
    </xdr:to>
    <xdr:pic>
      <xdr:nvPicPr>
        <xdr:cNvPr id="425" name="Picture 1" descr="Picture">
          <a:extLst>
            <a:ext uri="{FF2B5EF4-FFF2-40B4-BE49-F238E27FC236}">
              <a16:creationId xmlns:a16="http://schemas.microsoft.com/office/drawing/2014/main" id="{0E77A15B-AC93-45A9-8434-737068E79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4942150" y="13020675"/>
          <a:ext cx="170512" cy="171450"/>
        </a:xfrm>
        <a:prstGeom prst="rect">
          <a:avLst/>
        </a:prstGeom>
      </xdr:spPr>
    </xdr:pic>
    <xdr:clientData/>
  </xdr:twoCellAnchor>
  <xdr:twoCellAnchor>
    <xdr:from>
      <xdr:col>23</xdr:col>
      <xdr:colOff>120000</xdr:colOff>
      <xdr:row>50</xdr:row>
      <xdr:rowOff>0</xdr:rowOff>
    </xdr:from>
    <xdr:to>
      <xdr:col>23</xdr:col>
      <xdr:colOff>290512</xdr:colOff>
      <xdr:row>51</xdr:row>
      <xdr:rowOff>0</xdr:rowOff>
    </xdr:to>
    <xdr:pic>
      <xdr:nvPicPr>
        <xdr:cNvPr id="426" name="Picture 1" descr="Picture">
          <a:extLst>
            <a:ext uri="{FF2B5EF4-FFF2-40B4-BE49-F238E27FC236}">
              <a16:creationId xmlns:a16="http://schemas.microsoft.com/office/drawing/2014/main" id="{5AD62D9D-C7F3-412D-8A6E-C52E7544E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342200" y="13020675"/>
          <a:ext cx="170512" cy="17145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55</xdr:row>
      <xdr:rowOff>0</xdr:rowOff>
    </xdr:from>
    <xdr:to>
      <xdr:col>26</xdr:col>
      <xdr:colOff>290512</xdr:colOff>
      <xdr:row>56</xdr:row>
      <xdr:rowOff>0</xdr:rowOff>
    </xdr:to>
    <xdr:pic>
      <xdr:nvPicPr>
        <xdr:cNvPr id="427" name="Picture 1" descr="Picture">
          <a:extLst>
            <a:ext uri="{FF2B5EF4-FFF2-40B4-BE49-F238E27FC236}">
              <a16:creationId xmlns:a16="http://schemas.microsoft.com/office/drawing/2014/main" id="{CC8D199A-2D2F-4F59-A5A2-CC85959483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542350" y="13877925"/>
          <a:ext cx="170512" cy="171450"/>
        </a:xfrm>
        <a:prstGeom prst="rect">
          <a:avLst/>
        </a:prstGeom>
      </xdr:spPr>
    </xdr:pic>
    <xdr:clientData/>
  </xdr:twoCellAnchor>
  <xdr:twoCellAnchor>
    <xdr:from>
      <xdr:col>14</xdr:col>
      <xdr:colOff>120000</xdr:colOff>
      <xdr:row>64</xdr:row>
      <xdr:rowOff>0</xdr:rowOff>
    </xdr:from>
    <xdr:to>
      <xdr:col>14</xdr:col>
      <xdr:colOff>290512</xdr:colOff>
      <xdr:row>65</xdr:row>
      <xdr:rowOff>0</xdr:rowOff>
    </xdr:to>
    <xdr:pic>
      <xdr:nvPicPr>
        <xdr:cNvPr id="428" name="Picture 1" descr="Picture">
          <a:extLst>
            <a:ext uri="{FF2B5EF4-FFF2-40B4-BE49-F238E27FC236}">
              <a16:creationId xmlns:a16="http://schemas.microsoft.com/office/drawing/2014/main" id="{80FBAE54-3FDF-4674-99D0-B09F51C6C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741750" y="17916525"/>
          <a:ext cx="170512" cy="171450"/>
        </a:xfrm>
        <a:prstGeom prst="rect">
          <a:avLst/>
        </a:prstGeom>
      </xdr:spPr>
    </xdr:pic>
    <xdr:clientData/>
  </xdr:twoCellAnchor>
  <xdr:twoCellAnchor>
    <xdr:from>
      <xdr:col>15</xdr:col>
      <xdr:colOff>120000</xdr:colOff>
      <xdr:row>64</xdr:row>
      <xdr:rowOff>0</xdr:rowOff>
    </xdr:from>
    <xdr:to>
      <xdr:col>15</xdr:col>
      <xdr:colOff>290512</xdr:colOff>
      <xdr:row>65</xdr:row>
      <xdr:rowOff>0</xdr:rowOff>
    </xdr:to>
    <xdr:pic>
      <xdr:nvPicPr>
        <xdr:cNvPr id="429" name="Picture 1" descr="Picture">
          <a:extLst>
            <a:ext uri="{FF2B5EF4-FFF2-40B4-BE49-F238E27FC236}">
              <a16:creationId xmlns:a16="http://schemas.microsoft.com/office/drawing/2014/main" id="{F266C694-0D02-4B85-862E-3F916AD20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41800" y="17916525"/>
          <a:ext cx="170512" cy="171450"/>
        </a:xfrm>
        <a:prstGeom prst="rect">
          <a:avLst/>
        </a:prstGeom>
      </xdr:spPr>
    </xdr:pic>
    <xdr:clientData/>
  </xdr:twoCellAnchor>
  <xdr:twoCellAnchor>
    <xdr:from>
      <xdr:col>16</xdr:col>
      <xdr:colOff>120000</xdr:colOff>
      <xdr:row>64</xdr:row>
      <xdr:rowOff>0</xdr:rowOff>
    </xdr:from>
    <xdr:to>
      <xdr:col>16</xdr:col>
      <xdr:colOff>290512</xdr:colOff>
      <xdr:row>65</xdr:row>
      <xdr:rowOff>0</xdr:rowOff>
    </xdr:to>
    <xdr:pic>
      <xdr:nvPicPr>
        <xdr:cNvPr id="430" name="Picture 1" descr="Picture">
          <a:extLst>
            <a:ext uri="{FF2B5EF4-FFF2-40B4-BE49-F238E27FC236}">
              <a16:creationId xmlns:a16="http://schemas.microsoft.com/office/drawing/2014/main" id="{48447B96-C79C-4419-AE1B-7AAEE7DC6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41850" y="17916525"/>
          <a:ext cx="170512" cy="171450"/>
        </a:xfrm>
        <a:prstGeom prst="rect">
          <a:avLst/>
        </a:prstGeom>
      </xdr:spPr>
    </xdr:pic>
    <xdr:clientData/>
  </xdr:twoCellAnchor>
  <xdr:twoCellAnchor>
    <xdr:from>
      <xdr:col>17</xdr:col>
      <xdr:colOff>120000</xdr:colOff>
      <xdr:row>64</xdr:row>
      <xdr:rowOff>0</xdr:rowOff>
    </xdr:from>
    <xdr:to>
      <xdr:col>17</xdr:col>
      <xdr:colOff>290512</xdr:colOff>
      <xdr:row>65</xdr:row>
      <xdr:rowOff>0</xdr:rowOff>
    </xdr:to>
    <xdr:pic>
      <xdr:nvPicPr>
        <xdr:cNvPr id="431" name="Picture 1" descr="Picture">
          <a:extLst>
            <a:ext uri="{FF2B5EF4-FFF2-40B4-BE49-F238E27FC236}">
              <a16:creationId xmlns:a16="http://schemas.microsoft.com/office/drawing/2014/main" id="{6D7B5F64-C929-4293-B8BB-4DB055D50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41900" y="17916525"/>
          <a:ext cx="170512" cy="171450"/>
        </a:xfrm>
        <a:prstGeom prst="rect">
          <a:avLst/>
        </a:prstGeom>
      </xdr:spPr>
    </xdr:pic>
    <xdr:clientData/>
  </xdr:twoCellAnchor>
  <xdr:twoCellAnchor>
    <xdr:from>
      <xdr:col>18</xdr:col>
      <xdr:colOff>120000</xdr:colOff>
      <xdr:row>64</xdr:row>
      <xdr:rowOff>0</xdr:rowOff>
    </xdr:from>
    <xdr:to>
      <xdr:col>18</xdr:col>
      <xdr:colOff>290512</xdr:colOff>
      <xdr:row>65</xdr:row>
      <xdr:rowOff>0</xdr:rowOff>
    </xdr:to>
    <xdr:pic>
      <xdr:nvPicPr>
        <xdr:cNvPr id="432" name="Picture 1" descr="Picture">
          <a:extLst>
            <a:ext uri="{FF2B5EF4-FFF2-40B4-BE49-F238E27FC236}">
              <a16:creationId xmlns:a16="http://schemas.microsoft.com/office/drawing/2014/main" id="{5EF4E96B-C9AA-42BA-96C4-9573E2E80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341950" y="17916525"/>
          <a:ext cx="170512" cy="171450"/>
        </a:xfrm>
        <a:prstGeom prst="rect">
          <a:avLst/>
        </a:prstGeom>
      </xdr:spPr>
    </xdr:pic>
    <xdr:clientData/>
  </xdr:twoCellAnchor>
  <xdr:twoCellAnchor>
    <xdr:from>
      <xdr:col>19</xdr:col>
      <xdr:colOff>120000</xdr:colOff>
      <xdr:row>64</xdr:row>
      <xdr:rowOff>0</xdr:rowOff>
    </xdr:from>
    <xdr:to>
      <xdr:col>19</xdr:col>
      <xdr:colOff>290512</xdr:colOff>
      <xdr:row>65</xdr:row>
      <xdr:rowOff>0</xdr:rowOff>
    </xdr:to>
    <xdr:pic>
      <xdr:nvPicPr>
        <xdr:cNvPr id="433" name="Picture 1" descr="Picture">
          <a:extLst>
            <a:ext uri="{FF2B5EF4-FFF2-40B4-BE49-F238E27FC236}">
              <a16:creationId xmlns:a16="http://schemas.microsoft.com/office/drawing/2014/main" id="{97C39DCF-472A-4E65-B8C4-8D08579B55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742000" y="17916525"/>
          <a:ext cx="170512" cy="17145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64</xdr:row>
      <xdr:rowOff>0</xdr:rowOff>
    </xdr:from>
    <xdr:to>
      <xdr:col>28</xdr:col>
      <xdr:colOff>290512</xdr:colOff>
      <xdr:row>65</xdr:row>
      <xdr:rowOff>0</xdr:rowOff>
    </xdr:to>
    <xdr:pic>
      <xdr:nvPicPr>
        <xdr:cNvPr id="434" name="Picture 1" descr="Picture">
          <a:extLst>
            <a:ext uri="{FF2B5EF4-FFF2-40B4-BE49-F238E27FC236}">
              <a16:creationId xmlns:a16="http://schemas.microsoft.com/office/drawing/2014/main" id="{0373F674-418D-478D-8BD3-9DFDE50509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342450" y="17916525"/>
          <a:ext cx="170512" cy="17145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64</xdr:row>
      <xdr:rowOff>0</xdr:rowOff>
    </xdr:from>
    <xdr:to>
      <xdr:col>29</xdr:col>
      <xdr:colOff>290512</xdr:colOff>
      <xdr:row>65</xdr:row>
      <xdr:rowOff>0</xdr:rowOff>
    </xdr:to>
    <xdr:pic>
      <xdr:nvPicPr>
        <xdr:cNvPr id="435" name="Picture 1" descr="Picture">
          <a:extLst>
            <a:ext uri="{FF2B5EF4-FFF2-40B4-BE49-F238E27FC236}">
              <a16:creationId xmlns:a16="http://schemas.microsoft.com/office/drawing/2014/main" id="{E3EF46A2-788E-450A-8285-C64303071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742500" y="17916525"/>
          <a:ext cx="170512" cy="17145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64</xdr:row>
      <xdr:rowOff>0</xdr:rowOff>
    </xdr:from>
    <xdr:to>
      <xdr:col>30</xdr:col>
      <xdr:colOff>290512</xdr:colOff>
      <xdr:row>65</xdr:row>
      <xdr:rowOff>0</xdr:rowOff>
    </xdr:to>
    <xdr:pic>
      <xdr:nvPicPr>
        <xdr:cNvPr id="436" name="Picture 1" descr="Picture">
          <a:extLst>
            <a:ext uri="{FF2B5EF4-FFF2-40B4-BE49-F238E27FC236}">
              <a16:creationId xmlns:a16="http://schemas.microsoft.com/office/drawing/2014/main" id="{B0ECF9E4-B1E2-48E0-B6A6-4B2E283BF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42550" y="17916525"/>
          <a:ext cx="170512" cy="17145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64</xdr:row>
      <xdr:rowOff>0</xdr:rowOff>
    </xdr:from>
    <xdr:to>
      <xdr:col>31</xdr:col>
      <xdr:colOff>290512</xdr:colOff>
      <xdr:row>65</xdr:row>
      <xdr:rowOff>0</xdr:rowOff>
    </xdr:to>
    <xdr:pic>
      <xdr:nvPicPr>
        <xdr:cNvPr id="437" name="Picture 1" descr="Picture">
          <a:extLst>
            <a:ext uri="{FF2B5EF4-FFF2-40B4-BE49-F238E27FC236}">
              <a16:creationId xmlns:a16="http://schemas.microsoft.com/office/drawing/2014/main" id="{D77C1884-DEEA-4440-861E-628B2350B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42600" y="17916525"/>
          <a:ext cx="170512" cy="17145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64</xdr:row>
      <xdr:rowOff>0</xdr:rowOff>
    </xdr:from>
    <xdr:to>
      <xdr:col>32</xdr:col>
      <xdr:colOff>290512</xdr:colOff>
      <xdr:row>65</xdr:row>
      <xdr:rowOff>0</xdr:rowOff>
    </xdr:to>
    <xdr:pic>
      <xdr:nvPicPr>
        <xdr:cNvPr id="438" name="Picture 1" descr="Picture">
          <a:extLst>
            <a:ext uri="{FF2B5EF4-FFF2-40B4-BE49-F238E27FC236}">
              <a16:creationId xmlns:a16="http://schemas.microsoft.com/office/drawing/2014/main" id="{7E23C566-24C7-43EB-B3F5-B3A024177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42650" y="17916525"/>
          <a:ext cx="170512" cy="17145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64</xdr:row>
      <xdr:rowOff>0</xdr:rowOff>
    </xdr:from>
    <xdr:to>
      <xdr:col>33</xdr:col>
      <xdr:colOff>290512</xdr:colOff>
      <xdr:row>65</xdr:row>
      <xdr:rowOff>0</xdr:rowOff>
    </xdr:to>
    <xdr:pic>
      <xdr:nvPicPr>
        <xdr:cNvPr id="439" name="Picture 1" descr="Picture">
          <a:extLst>
            <a:ext uri="{FF2B5EF4-FFF2-40B4-BE49-F238E27FC236}">
              <a16:creationId xmlns:a16="http://schemas.microsoft.com/office/drawing/2014/main" id="{EE73D51E-BB73-4699-9E7C-FEA8C1D4E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42700" y="17916525"/>
          <a:ext cx="170512" cy="17145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64</xdr:row>
      <xdr:rowOff>0</xdr:rowOff>
    </xdr:from>
    <xdr:to>
      <xdr:col>35</xdr:col>
      <xdr:colOff>290512</xdr:colOff>
      <xdr:row>65</xdr:row>
      <xdr:rowOff>0</xdr:rowOff>
    </xdr:to>
    <xdr:pic>
      <xdr:nvPicPr>
        <xdr:cNvPr id="440" name="Picture 1" descr="Picture">
          <a:extLst>
            <a:ext uri="{FF2B5EF4-FFF2-40B4-BE49-F238E27FC236}">
              <a16:creationId xmlns:a16="http://schemas.microsoft.com/office/drawing/2014/main" id="{47353FB0-9EBC-4067-BC79-C29E3FF17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142800" y="17916525"/>
          <a:ext cx="170512" cy="17145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64</xdr:row>
      <xdr:rowOff>0</xdr:rowOff>
    </xdr:from>
    <xdr:to>
      <xdr:col>36</xdr:col>
      <xdr:colOff>290512</xdr:colOff>
      <xdr:row>65</xdr:row>
      <xdr:rowOff>0</xdr:rowOff>
    </xdr:to>
    <xdr:pic>
      <xdr:nvPicPr>
        <xdr:cNvPr id="441" name="Picture 1" descr="Picture">
          <a:extLst>
            <a:ext uri="{FF2B5EF4-FFF2-40B4-BE49-F238E27FC236}">
              <a16:creationId xmlns:a16="http://schemas.microsoft.com/office/drawing/2014/main" id="{D56F0C35-5B58-4D2A-A757-FE0B5C314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42850" y="17916525"/>
          <a:ext cx="170512" cy="17145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64</xdr:row>
      <xdr:rowOff>0</xdr:rowOff>
    </xdr:from>
    <xdr:to>
      <xdr:col>37</xdr:col>
      <xdr:colOff>290512</xdr:colOff>
      <xdr:row>65</xdr:row>
      <xdr:rowOff>0</xdr:rowOff>
    </xdr:to>
    <xdr:pic>
      <xdr:nvPicPr>
        <xdr:cNvPr id="442" name="Picture 1" descr="Picture">
          <a:extLst>
            <a:ext uri="{FF2B5EF4-FFF2-40B4-BE49-F238E27FC236}">
              <a16:creationId xmlns:a16="http://schemas.microsoft.com/office/drawing/2014/main" id="{7EEA6143-F986-4DA6-97D6-7BF726B82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942900" y="17916525"/>
          <a:ext cx="170512" cy="17145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64</xdr:row>
      <xdr:rowOff>0</xdr:rowOff>
    </xdr:from>
    <xdr:to>
      <xdr:col>38</xdr:col>
      <xdr:colOff>290512</xdr:colOff>
      <xdr:row>65</xdr:row>
      <xdr:rowOff>0</xdr:rowOff>
    </xdr:to>
    <xdr:pic>
      <xdr:nvPicPr>
        <xdr:cNvPr id="443" name="Picture 1" descr="Picture">
          <a:extLst>
            <a:ext uri="{FF2B5EF4-FFF2-40B4-BE49-F238E27FC236}">
              <a16:creationId xmlns:a16="http://schemas.microsoft.com/office/drawing/2014/main" id="{91B87000-6C37-4AB5-9F0C-58B5313DB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342950" y="17916525"/>
          <a:ext cx="170512" cy="17145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64</xdr:row>
      <xdr:rowOff>0</xdr:rowOff>
    </xdr:from>
    <xdr:to>
      <xdr:col>39</xdr:col>
      <xdr:colOff>290512</xdr:colOff>
      <xdr:row>65</xdr:row>
      <xdr:rowOff>0</xdr:rowOff>
    </xdr:to>
    <xdr:pic>
      <xdr:nvPicPr>
        <xdr:cNvPr id="444" name="Picture 1" descr="Picture">
          <a:extLst>
            <a:ext uri="{FF2B5EF4-FFF2-40B4-BE49-F238E27FC236}">
              <a16:creationId xmlns:a16="http://schemas.microsoft.com/office/drawing/2014/main" id="{BA248F95-CBBB-438A-A9CD-5CD318830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43000" y="17916525"/>
          <a:ext cx="170512" cy="171450"/>
        </a:xfrm>
        <a:prstGeom prst="rect">
          <a:avLst/>
        </a:prstGeom>
      </xdr:spPr>
    </xdr:pic>
    <xdr:clientData/>
  </xdr:twoCellAnchor>
  <xdr:twoCellAnchor>
    <xdr:from>
      <xdr:col>14</xdr:col>
      <xdr:colOff>120000</xdr:colOff>
      <xdr:row>65</xdr:row>
      <xdr:rowOff>0</xdr:rowOff>
    </xdr:from>
    <xdr:to>
      <xdr:col>14</xdr:col>
      <xdr:colOff>290512</xdr:colOff>
      <xdr:row>66</xdr:row>
      <xdr:rowOff>0</xdr:rowOff>
    </xdr:to>
    <xdr:pic>
      <xdr:nvPicPr>
        <xdr:cNvPr id="445" name="Picture 1" descr="Picture">
          <a:extLst>
            <a:ext uri="{FF2B5EF4-FFF2-40B4-BE49-F238E27FC236}">
              <a16:creationId xmlns:a16="http://schemas.microsoft.com/office/drawing/2014/main" id="{165BA87B-3513-4F6B-B52B-79E6897D3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741750" y="18259425"/>
          <a:ext cx="170512" cy="17145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74</xdr:row>
      <xdr:rowOff>120000</xdr:rowOff>
    </xdr:from>
    <xdr:to>
      <xdr:col>12</xdr:col>
      <xdr:colOff>400050</xdr:colOff>
      <xdr:row>75</xdr:row>
      <xdr:rowOff>0</xdr:rowOff>
    </xdr:to>
    <xdr:pic>
      <xdr:nvPicPr>
        <xdr:cNvPr id="446" name="Picture 1" descr="Picture">
          <a:extLst>
            <a:ext uri="{FF2B5EF4-FFF2-40B4-BE49-F238E27FC236}">
              <a16:creationId xmlns:a16="http://schemas.microsoft.com/office/drawing/2014/main" id="{CC6B2005-50DB-4184-B4C5-11957D9154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171650" y="20998800"/>
          <a:ext cx="50050" cy="5145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74</xdr:row>
      <xdr:rowOff>120000</xdr:rowOff>
    </xdr:from>
    <xdr:to>
      <xdr:col>24</xdr:col>
      <xdr:colOff>400050</xdr:colOff>
      <xdr:row>75</xdr:row>
      <xdr:rowOff>0</xdr:rowOff>
    </xdr:to>
    <xdr:pic>
      <xdr:nvPicPr>
        <xdr:cNvPr id="447" name="Picture 1" descr="Picture">
          <a:extLst>
            <a:ext uri="{FF2B5EF4-FFF2-40B4-BE49-F238E27FC236}">
              <a16:creationId xmlns:a16="http://schemas.microsoft.com/office/drawing/2014/main" id="{54CC7BEE-A240-4420-A116-5164E160D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972250" y="20998800"/>
          <a:ext cx="50050" cy="5145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74</xdr:row>
      <xdr:rowOff>120000</xdr:rowOff>
    </xdr:from>
    <xdr:to>
      <xdr:col>25</xdr:col>
      <xdr:colOff>400050</xdr:colOff>
      <xdr:row>75</xdr:row>
      <xdr:rowOff>0</xdr:rowOff>
    </xdr:to>
    <xdr:pic>
      <xdr:nvPicPr>
        <xdr:cNvPr id="448" name="Picture 1" descr="Picture">
          <a:extLst>
            <a:ext uri="{FF2B5EF4-FFF2-40B4-BE49-F238E27FC236}">
              <a16:creationId xmlns:a16="http://schemas.microsoft.com/office/drawing/2014/main" id="{52E9C8CD-7B6C-492E-A63E-5E123C791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372300" y="20998800"/>
          <a:ext cx="50050" cy="5145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75</xdr:row>
      <xdr:rowOff>120000</xdr:rowOff>
    </xdr:from>
    <xdr:to>
      <xdr:col>12</xdr:col>
      <xdr:colOff>400050</xdr:colOff>
      <xdr:row>76</xdr:row>
      <xdr:rowOff>0</xdr:rowOff>
    </xdr:to>
    <xdr:pic>
      <xdr:nvPicPr>
        <xdr:cNvPr id="449" name="Picture 1" descr="Picture">
          <a:extLst>
            <a:ext uri="{FF2B5EF4-FFF2-40B4-BE49-F238E27FC236}">
              <a16:creationId xmlns:a16="http://schemas.microsoft.com/office/drawing/2014/main" id="{6CF417AA-80AA-4D6B-B980-C0D28F915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171650" y="21170250"/>
          <a:ext cx="50050" cy="51450"/>
        </a:xfrm>
        <a:prstGeom prst="rect">
          <a:avLst/>
        </a:prstGeom>
      </xdr:spPr>
    </xdr:pic>
    <xdr:clientData/>
  </xdr:twoCellAnchor>
  <xdr:twoCellAnchor>
    <xdr:from>
      <xdr:col>38</xdr:col>
      <xdr:colOff>350000</xdr:colOff>
      <xdr:row>76</xdr:row>
      <xdr:rowOff>120000</xdr:rowOff>
    </xdr:from>
    <xdr:to>
      <xdr:col>38</xdr:col>
      <xdr:colOff>400050</xdr:colOff>
      <xdr:row>77</xdr:row>
      <xdr:rowOff>0</xdr:rowOff>
    </xdr:to>
    <xdr:pic>
      <xdr:nvPicPr>
        <xdr:cNvPr id="450" name="Picture 1" descr="Picture">
          <a:extLst>
            <a:ext uri="{FF2B5EF4-FFF2-40B4-BE49-F238E27FC236}">
              <a16:creationId xmlns:a16="http://schemas.microsoft.com/office/drawing/2014/main" id="{29350D0F-E48C-48E9-84EE-5C7D3EAF12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572950" y="21341700"/>
          <a:ext cx="50050" cy="51450"/>
        </a:xfrm>
        <a:prstGeom prst="rect">
          <a:avLst/>
        </a:prstGeom>
      </xdr:spPr>
    </xdr:pic>
    <xdr:clientData/>
  </xdr:twoCellAnchor>
  <xdr:twoCellAnchor>
    <xdr:from>
      <xdr:col>39</xdr:col>
      <xdr:colOff>350000</xdr:colOff>
      <xdr:row>76</xdr:row>
      <xdr:rowOff>120000</xdr:rowOff>
    </xdr:from>
    <xdr:to>
      <xdr:col>39</xdr:col>
      <xdr:colOff>400050</xdr:colOff>
      <xdr:row>77</xdr:row>
      <xdr:rowOff>0</xdr:rowOff>
    </xdr:to>
    <xdr:pic>
      <xdr:nvPicPr>
        <xdr:cNvPr id="451" name="Picture 1" descr="Picture">
          <a:extLst>
            <a:ext uri="{FF2B5EF4-FFF2-40B4-BE49-F238E27FC236}">
              <a16:creationId xmlns:a16="http://schemas.microsoft.com/office/drawing/2014/main" id="{501BCA89-88F7-46EB-B63D-202A407B9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973000" y="21341700"/>
          <a:ext cx="50050" cy="51450"/>
        </a:xfrm>
        <a:prstGeom prst="rect">
          <a:avLst/>
        </a:prstGeom>
      </xdr:spPr>
    </xdr:pic>
    <xdr:clientData/>
  </xdr:twoCellAnchor>
  <xdr:twoCellAnchor>
    <xdr:from>
      <xdr:col>40</xdr:col>
      <xdr:colOff>350000</xdr:colOff>
      <xdr:row>76</xdr:row>
      <xdr:rowOff>120000</xdr:rowOff>
    </xdr:from>
    <xdr:to>
      <xdr:col>40</xdr:col>
      <xdr:colOff>400050</xdr:colOff>
      <xdr:row>77</xdr:row>
      <xdr:rowOff>0</xdr:rowOff>
    </xdr:to>
    <xdr:pic>
      <xdr:nvPicPr>
        <xdr:cNvPr id="452" name="Picture 1" descr="Picture">
          <a:extLst>
            <a:ext uri="{FF2B5EF4-FFF2-40B4-BE49-F238E27FC236}">
              <a16:creationId xmlns:a16="http://schemas.microsoft.com/office/drawing/2014/main" id="{EA0978A4-B9E5-4FA1-B9DA-3B8241B35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373050" y="21341700"/>
          <a:ext cx="50050" cy="5145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77</xdr:row>
      <xdr:rowOff>120000</xdr:rowOff>
    </xdr:from>
    <xdr:to>
      <xdr:col>17</xdr:col>
      <xdr:colOff>400050</xdr:colOff>
      <xdr:row>78</xdr:row>
      <xdr:rowOff>0</xdr:rowOff>
    </xdr:to>
    <xdr:pic>
      <xdr:nvPicPr>
        <xdr:cNvPr id="453" name="Picture 1" descr="Picture">
          <a:extLst>
            <a:ext uri="{FF2B5EF4-FFF2-40B4-BE49-F238E27FC236}">
              <a16:creationId xmlns:a16="http://schemas.microsoft.com/office/drawing/2014/main" id="{4188BF16-D005-4E84-B1E8-75C3606DA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71900" y="21513150"/>
          <a:ext cx="50050" cy="5145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77</xdr:row>
      <xdr:rowOff>120000</xdr:rowOff>
    </xdr:from>
    <xdr:to>
      <xdr:col>18</xdr:col>
      <xdr:colOff>400050</xdr:colOff>
      <xdr:row>78</xdr:row>
      <xdr:rowOff>0</xdr:rowOff>
    </xdr:to>
    <xdr:pic>
      <xdr:nvPicPr>
        <xdr:cNvPr id="454" name="Picture 1" descr="Picture">
          <a:extLst>
            <a:ext uri="{FF2B5EF4-FFF2-40B4-BE49-F238E27FC236}">
              <a16:creationId xmlns:a16="http://schemas.microsoft.com/office/drawing/2014/main" id="{5F16EFD9-B532-4722-AE27-19DCF473F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571950" y="21513150"/>
          <a:ext cx="50050" cy="5145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77</xdr:row>
      <xdr:rowOff>120000</xdr:rowOff>
    </xdr:from>
    <xdr:to>
      <xdr:col>24</xdr:col>
      <xdr:colOff>400050</xdr:colOff>
      <xdr:row>78</xdr:row>
      <xdr:rowOff>0</xdr:rowOff>
    </xdr:to>
    <xdr:pic>
      <xdr:nvPicPr>
        <xdr:cNvPr id="455" name="Picture 1" descr="Picture">
          <a:extLst>
            <a:ext uri="{FF2B5EF4-FFF2-40B4-BE49-F238E27FC236}">
              <a16:creationId xmlns:a16="http://schemas.microsoft.com/office/drawing/2014/main" id="{475B092E-1C4C-45FE-884D-C8ECBFBA6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972250" y="21513150"/>
          <a:ext cx="50050" cy="5145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77</xdr:row>
      <xdr:rowOff>120000</xdr:rowOff>
    </xdr:from>
    <xdr:to>
      <xdr:col>25</xdr:col>
      <xdr:colOff>400050</xdr:colOff>
      <xdr:row>78</xdr:row>
      <xdr:rowOff>0</xdr:rowOff>
    </xdr:to>
    <xdr:pic>
      <xdr:nvPicPr>
        <xdr:cNvPr id="456" name="Picture 1" descr="Picture">
          <a:extLst>
            <a:ext uri="{FF2B5EF4-FFF2-40B4-BE49-F238E27FC236}">
              <a16:creationId xmlns:a16="http://schemas.microsoft.com/office/drawing/2014/main" id="{0821139E-EFB2-438E-B221-906B9DEA80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372300" y="21513150"/>
          <a:ext cx="50050" cy="5145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78</xdr:row>
      <xdr:rowOff>120000</xdr:rowOff>
    </xdr:from>
    <xdr:to>
      <xdr:col>12</xdr:col>
      <xdr:colOff>400050</xdr:colOff>
      <xdr:row>79</xdr:row>
      <xdr:rowOff>0</xdr:rowOff>
    </xdr:to>
    <xdr:pic>
      <xdr:nvPicPr>
        <xdr:cNvPr id="457" name="Picture 1" descr="Picture">
          <a:extLst>
            <a:ext uri="{FF2B5EF4-FFF2-40B4-BE49-F238E27FC236}">
              <a16:creationId xmlns:a16="http://schemas.microsoft.com/office/drawing/2014/main" id="{919BCFE1-820E-43E2-9A78-5DC565942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171650" y="21684600"/>
          <a:ext cx="50050" cy="5145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78</xdr:row>
      <xdr:rowOff>120000</xdr:rowOff>
    </xdr:from>
    <xdr:to>
      <xdr:col>17</xdr:col>
      <xdr:colOff>400050</xdr:colOff>
      <xdr:row>79</xdr:row>
      <xdr:rowOff>0</xdr:rowOff>
    </xdr:to>
    <xdr:pic>
      <xdr:nvPicPr>
        <xdr:cNvPr id="458" name="Picture 1" descr="Picture">
          <a:extLst>
            <a:ext uri="{FF2B5EF4-FFF2-40B4-BE49-F238E27FC236}">
              <a16:creationId xmlns:a16="http://schemas.microsoft.com/office/drawing/2014/main" id="{AD1E590B-3165-4858-AAC0-9B6605EEE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71900" y="21684600"/>
          <a:ext cx="50050" cy="5145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78</xdr:row>
      <xdr:rowOff>120000</xdr:rowOff>
    </xdr:from>
    <xdr:to>
      <xdr:col>18</xdr:col>
      <xdr:colOff>400050</xdr:colOff>
      <xdr:row>79</xdr:row>
      <xdr:rowOff>0</xdr:rowOff>
    </xdr:to>
    <xdr:pic>
      <xdr:nvPicPr>
        <xdr:cNvPr id="459" name="Picture 1" descr="Picture">
          <a:extLst>
            <a:ext uri="{FF2B5EF4-FFF2-40B4-BE49-F238E27FC236}">
              <a16:creationId xmlns:a16="http://schemas.microsoft.com/office/drawing/2014/main" id="{073ABB79-4201-4AEC-B50A-ACD8CC42D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571950" y="21684600"/>
          <a:ext cx="50050" cy="51450"/>
        </a:xfrm>
        <a:prstGeom prst="rect">
          <a:avLst/>
        </a:prstGeom>
      </xdr:spPr>
    </xdr:pic>
    <xdr:clientData/>
  </xdr:twoCellAnchor>
  <xdr:twoCellAnchor>
    <xdr:from>
      <xdr:col>38</xdr:col>
      <xdr:colOff>350000</xdr:colOff>
      <xdr:row>78</xdr:row>
      <xdr:rowOff>120000</xdr:rowOff>
    </xdr:from>
    <xdr:to>
      <xdr:col>38</xdr:col>
      <xdr:colOff>400050</xdr:colOff>
      <xdr:row>79</xdr:row>
      <xdr:rowOff>0</xdr:rowOff>
    </xdr:to>
    <xdr:pic>
      <xdr:nvPicPr>
        <xdr:cNvPr id="460" name="Picture 1" descr="Picture">
          <a:extLst>
            <a:ext uri="{FF2B5EF4-FFF2-40B4-BE49-F238E27FC236}">
              <a16:creationId xmlns:a16="http://schemas.microsoft.com/office/drawing/2014/main" id="{E325EA4E-F088-48CE-B65C-E62B5A92D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572950" y="21684600"/>
          <a:ext cx="50050" cy="51450"/>
        </a:xfrm>
        <a:prstGeom prst="rect">
          <a:avLst/>
        </a:prstGeom>
      </xdr:spPr>
    </xdr:pic>
    <xdr:clientData/>
  </xdr:twoCellAnchor>
  <xdr:twoCellAnchor>
    <xdr:from>
      <xdr:col>39</xdr:col>
      <xdr:colOff>350000</xdr:colOff>
      <xdr:row>78</xdr:row>
      <xdr:rowOff>120000</xdr:rowOff>
    </xdr:from>
    <xdr:to>
      <xdr:col>39</xdr:col>
      <xdr:colOff>400050</xdr:colOff>
      <xdr:row>79</xdr:row>
      <xdr:rowOff>0</xdr:rowOff>
    </xdr:to>
    <xdr:pic>
      <xdr:nvPicPr>
        <xdr:cNvPr id="461" name="Picture 1" descr="Picture">
          <a:extLst>
            <a:ext uri="{FF2B5EF4-FFF2-40B4-BE49-F238E27FC236}">
              <a16:creationId xmlns:a16="http://schemas.microsoft.com/office/drawing/2014/main" id="{FB1A382F-6D78-4CE0-B28F-C4C9E556C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973000" y="21684600"/>
          <a:ext cx="50050" cy="51450"/>
        </a:xfrm>
        <a:prstGeom prst="rect">
          <a:avLst/>
        </a:prstGeom>
      </xdr:spPr>
    </xdr:pic>
    <xdr:clientData/>
  </xdr:twoCellAnchor>
  <xdr:twoCellAnchor>
    <xdr:from>
      <xdr:col>40</xdr:col>
      <xdr:colOff>350000</xdr:colOff>
      <xdr:row>78</xdr:row>
      <xdr:rowOff>120000</xdr:rowOff>
    </xdr:from>
    <xdr:to>
      <xdr:col>40</xdr:col>
      <xdr:colOff>400050</xdr:colOff>
      <xdr:row>79</xdr:row>
      <xdr:rowOff>0</xdr:rowOff>
    </xdr:to>
    <xdr:pic>
      <xdr:nvPicPr>
        <xdr:cNvPr id="462" name="Picture 1" descr="Picture">
          <a:extLst>
            <a:ext uri="{FF2B5EF4-FFF2-40B4-BE49-F238E27FC236}">
              <a16:creationId xmlns:a16="http://schemas.microsoft.com/office/drawing/2014/main" id="{E5560AF4-3BB3-4CAD-9501-7E4A479B1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373050" y="21684600"/>
          <a:ext cx="50050" cy="5145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79</xdr:row>
      <xdr:rowOff>120000</xdr:rowOff>
    </xdr:from>
    <xdr:to>
      <xdr:col>12</xdr:col>
      <xdr:colOff>400050</xdr:colOff>
      <xdr:row>80</xdr:row>
      <xdr:rowOff>0</xdr:rowOff>
    </xdr:to>
    <xdr:pic>
      <xdr:nvPicPr>
        <xdr:cNvPr id="463" name="Picture 1" descr="Picture">
          <a:extLst>
            <a:ext uri="{FF2B5EF4-FFF2-40B4-BE49-F238E27FC236}">
              <a16:creationId xmlns:a16="http://schemas.microsoft.com/office/drawing/2014/main" id="{8A346D48-7DE5-4A31-A5CC-558540A41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171650" y="21856050"/>
          <a:ext cx="50050" cy="5145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79</xdr:row>
      <xdr:rowOff>120000</xdr:rowOff>
    </xdr:from>
    <xdr:to>
      <xdr:col>17</xdr:col>
      <xdr:colOff>400050</xdr:colOff>
      <xdr:row>80</xdr:row>
      <xdr:rowOff>0</xdr:rowOff>
    </xdr:to>
    <xdr:pic>
      <xdr:nvPicPr>
        <xdr:cNvPr id="464" name="Picture 1" descr="Picture">
          <a:extLst>
            <a:ext uri="{FF2B5EF4-FFF2-40B4-BE49-F238E27FC236}">
              <a16:creationId xmlns:a16="http://schemas.microsoft.com/office/drawing/2014/main" id="{A8361F83-3322-4E6E-AD4C-77903B413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71900" y="21856050"/>
          <a:ext cx="50050" cy="5145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79</xdr:row>
      <xdr:rowOff>120000</xdr:rowOff>
    </xdr:from>
    <xdr:to>
      <xdr:col>18</xdr:col>
      <xdr:colOff>400050</xdr:colOff>
      <xdr:row>80</xdr:row>
      <xdr:rowOff>0</xdr:rowOff>
    </xdr:to>
    <xdr:pic>
      <xdr:nvPicPr>
        <xdr:cNvPr id="465" name="Picture 1" descr="Picture">
          <a:extLst>
            <a:ext uri="{FF2B5EF4-FFF2-40B4-BE49-F238E27FC236}">
              <a16:creationId xmlns:a16="http://schemas.microsoft.com/office/drawing/2014/main" id="{D89D33B8-F328-4EFA-AE3D-9611DDD5B5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571950" y="21856050"/>
          <a:ext cx="50050" cy="5145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79</xdr:row>
      <xdr:rowOff>120000</xdr:rowOff>
    </xdr:from>
    <xdr:to>
      <xdr:col>24</xdr:col>
      <xdr:colOff>400050</xdr:colOff>
      <xdr:row>80</xdr:row>
      <xdr:rowOff>0</xdr:rowOff>
    </xdr:to>
    <xdr:pic>
      <xdr:nvPicPr>
        <xdr:cNvPr id="466" name="Picture 1" descr="Picture">
          <a:extLst>
            <a:ext uri="{FF2B5EF4-FFF2-40B4-BE49-F238E27FC236}">
              <a16:creationId xmlns:a16="http://schemas.microsoft.com/office/drawing/2014/main" id="{2128F467-E8F2-466F-BA13-4E49D3498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972250" y="21856050"/>
          <a:ext cx="50050" cy="5145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79</xdr:row>
      <xdr:rowOff>120000</xdr:rowOff>
    </xdr:from>
    <xdr:to>
      <xdr:col>25</xdr:col>
      <xdr:colOff>400050</xdr:colOff>
      <xdr:row>80</xdr:row>
      <xdr:rowOff>0</xdr:rowOff>
    </xdr:to>
    <xdr:pic>
      <xdr:nvPicPr>
        <xdr:cNvPr id="467" name="Picture 1" descr="Picture">
          <a:extLst>
            <a:ext uri="{FF2B5EF4-FFF2-40B4-BE49-F238E27FC236}">
              <a16:creationId xmlns:a16="http://schemas.microsoft.com/office/drawing/2014/main" id="{339494B8-9B78-4590-8EC9-74079E18D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372300" y="21856050"/>
          <a:ext cx="50050" cy="51450"/>
        </a:xfrm>
        <a:prstGeom prst="rect">
          <a:avLst/>
        </a:prstGeom>
      </xdr:spPr>
    </xdr:pic>
    <xdr:clientData/>
  </xdr:twoCellAnchor>
  <xdr:twoCellAnchor>
    <xdr:from>
      <xdr:col>38</xdr:col>
      <xdr:colOff>350000</xdr:colOff>
      <xdr:row>79</xdr:row>
      <xdr:rowOff>120000</xdr:rowOff>
    </xdr:from>
    <xdr:to>
      <xdr:col>38</xdr:col>
      <xdr:colOff>400050</xdr:colOff>
      <xdr:row>80</xdr:row>
      <xdr:rowOff>0</xdr:rowOff>
    </xdr:to>
    <xdr:pic>
      <xdr:nvPicPr>
        <xdr:cNvPr id="468" name="Picture 1" descr="Picture">
          <a:extLst>
            <a:ext uri="{FF2B5EF4-FFF2-40B4-BE49-F238E27FC236}">
              <a16:creationId xmlns:a16="http://schemas.microsoft.com/office/drawing/2014/main" id="{290A4F7F-ACE6-4461-BDD3-8E34B99FC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572950" y="21856050"/>
          <a:ext cx="50050" cy="51450"/>
        </a:xfrm>
        <a:prstGeom prst="rect">
          <a:avLst/>
        </a:prstGeom>
      </xdr:spPr>
    </xdr:pic>
    <xdr:clientData/>
  </xdr:twoCellAnchor>
  <xdr:twoCellAnchor>
    <xdr:from>
      <xdr:col>39</xdr:col>
      <xdr:colOff>350000</xdr:colOff>
      <xdr:row>79</xdr:row>
      <xdr:rowOff>120000</xdr:rowOff>
    </xdr:from>
    <xdr:to>
      <xdr:col>39</xdr:col>
      <xdr:colOff>400050</xdr:colOff>
      <xdr:row>80</xdr:row>
      <xdr:rowOff>0</xdr:rowOff>
    </xdr:to>
    <xdr:pic>
      <xdr:nvPicPr>
        <xdr:cNvPr id="469" name="Picture 1" descr="Picture">
          <a:extLst>
            <a:ext uri="{FF2B5EF4-FFF2-40B4-BE49-F238E27FC236}">
              <a16:creationId xmlns:a16="http://schemas.microsoft.com/office/drawing/2014/main" id="{1A06445D-2282-49C1-9A5E-6741826CA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973000" y="21856050"/>
          <a:ext cx="50050" cy="51450"/>
        </a:xfrm>
        <a:prstGeom prst="rect">
          <a:avLst/>
        </a:prstGeom>
      </xdr:spPr>
    </xdr:pic>
    <xdr:clientData/>
  </xdr:twoCellAnchor>
  <xdr:twoCellAnchor>
    <xdr:from>
      <xdr:col>40</xdr:col>
      <xdr:colOff>350000</xdr:colOff>
      <xdr:row>79</xdr:row>
      <xdr:rowOff>120000</xdr:rowOff>
    </xdr:from>
    <xdr:to>
      <xdr:col>40</xdr:col>
      <xdr:colOff>400050</xdr:colOff>
      <xdr:row>80</xdr:row>
      <xdr:rowOff>0</xdr:rowOff>
    </xdr:to>
    <xdr:pic>
      <xdr:nvPicPr>
        <xdr:cNvPr id="470" name="Picture 1" descr="Picture">
          <a:extLst>
            <a:ext uri="{FF2B5EF4-FFF2-40B4-BE49-F238E27FC236}">
              <a16:creationId xmlns:a16="http://schemas.microsoft.com/office/drawing/2014/main" id="{7AB2C4CB-D84A-450F-BA8F-760DE7F94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373050" y="21856050"/>
          <a:ext cx="50050" cy="5145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80</xdr:row>
      <xdr:rowOff>120000</xdr:rowOff>
    </xdr:from>
    <xdr:to>
      <xdr:col>17</xdr:col>
      <xdr:colOff>400050</xdr:colOff>
      <xdr:row>81</xdr:row>
      <xdr:rowOff>0</xdr:rowOff>
    </xdr:to>
    <xdr:pic>
      <xdr:nvPicPr>
        <xdr:cNvPr id="471" name="Picture 1" descr="Picture">
          <a:extLst>
            <a:ext uri="{FF2B5EF4-FFF2-40B4-BE49-F238E27FC236}">
              <a16:creationId xmlns:a16="http://schemas.microsoft.com/office/drawing/2014/main" id="{D87AD591-AC20-4D31-B053-FFDB5A11F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71900" y="22027500"/>
          <a:ext cx="50050" cy="5145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80</xdr:row>
      <xdr:rowOff>120000</xdr:rowOff>
    </xdr:from>
    <xdr:to>
      <xdr:col>18</xdr:col>
      <xdr:colOff>400050</xdr:colOff>
      <xdr:row>81</xdr:row>
      <xdr:rowOff>0</xdr:rowOff>
    </xdr:to>
    <xdr:pic>
      <xdr:nvPicPr>
        <xdr:cNvPr id="472" name="Picture 1" descr="Picture">
          <a:extLst>
            <a:ext uri="{FF2B5EF4-FFF2-40B4-BE49-F238E27FC236}">
              <a16:creationId xmlns:a16="http://schemas.microsoft.com/office/drawing/2014/main" id="{0F441B9D-D313-40B2-970D-E404C57E4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571950" y="22027500"/>
          <a:ext cx="50050" cy="5145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80</xdr:row>
      <xdr:rowOff>120000</xdr:rowOff>
    </xdr:from>
    <xdr:to>
      <xdr:col>24</xdr:col>
      <xdr:colOff>400050</xdr:colOff>
      <xdr:row>81</xdr:row>
      <xdr:rowOff>0</xdr:rowOff>
    </xdr:to>
    <xdr:pic>
      <xdr:nvPicPr>
        <xdr:cNvPr id="473" name="Picture 1" descr="Picture">
          <a:extLst>
            <a:ext uri="{FF2B5EF4-FFF2-40B4-BE49-F238E27FC236}">
              <a16:creationId xmlns:a16="http://schemas.microsoft.com/office/drawing/2014/main" id="{C9ED2DC3-DF8F-4758-869D-F1A7CCE677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972250" y="22027500"/>
          <a:ext cx="50050" cy="5145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80</xdr:row>
      <xdr:rowOff>120000</xdr:rowOff>
    </xdr:from>
    <xdr:to>
      <xdr:col>25</xdr:col>
      <xdr:colOff>400050</xdr:colOff>
      <xdr:row>81</xdr:row>
      <xdr:rowOff>0</xdr:rowOff>
    </xdr:to>
    <xdr:pic>
      <xdr:nvPicPr>
        <xdr:cNvPr id="474" name="Picture 1" descr="Picture">
          <a:extLst>
            <a:ext uri="{FF2B5EF4-FFF2-40B4-BE49-F238E27FC236}">
              <a16:creationId xmlns:a16="http://schemas.microsoft.com/office/drawing/2014/main" id="{685DD31B-4D32-4EFC-A3B8-3A9FD93B3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372300" y="22027500"/>
          <a:ext cx="50050" cy="5145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81</xdr:row>
      <xdr:rowOff>120000</xdr:rowOff>
    </xdr:from>
    <xdr:to>
      <xdr:col>12</xdr:col>
      <xdr:colOff>400050</xdr:colOff>
      <xdr:row>82</xdr:row>
      <xdr:rowOff>0</xdr:rowOff>
    </xdr:to>
    <xdr:pic>
      <xdr:nvPicPr>
        <xdr:cNvPr id="475" name="Picture 1" descr="Picture">
          <a:extLst>
            <a:ext uri="{FF2B5EF4-FFF2-40B4-BE49-F238E27FC236}">
              <a16:creationId xmlns:a16="http://schemas.microsoft.com/office/drawing/2014/main" id="{3E02B90F-CD19-4B58-803D-93FA82E28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171650" y="22198950"/>
          <a:ext cx="50050" cy="5145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81</xdr:row>
      <xdr:rowOff>120000</xdr:rowOff>
    </xdr:from>
    <xdr:to>
      <xdr:col>17</xdr:col>
      <xdr:colOff>400050</xdr:colOff>
      <xdr:row>82</xdr:row>
      <xdr:rowOff>0</xdr:rowOff>
    </xdr:to>
    <xdr:pic>
      <xdr:nvPicPr>
        <xdr:cNvPr id="476" name="Picture 1" descr="Picture">
          <a:extLst>
            <a:ext uri="{FF2B5EF4-FFF2-40B4-BE49-F238E27FC236}">
              <a16:creationId xmlns:a16="http://schemas.microsoft.com/office/drawing/2014/main" id="{32737287-E93A-40BF-B6F7-32E10FA261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71900" y="22198950"/>
          <a:ext cx="50050" cy="5145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81</xdr:row>
      <xdr:rowOff>120000</xdr:rowOff>
    </xdr:from>
    <xdr:to>
      <xdr:col>18</xdr:col>
      <xdr:colOff>400050</xdr:colOff>
      <xdr:row>82</xdr:row>
      <xdr:rowOff>0</xdr:rowOff>
    </xdr:to>
    <xdr:pic>
      <xdr:nvPicPr>
        <xdr:cNvPr id="477" name="Picture 1" descr="Picture">
          <a:extLst>
            <a:ext uri="{FF2B5EF4-FFF2-40B4-BE49-F238E27FC236}">
              <a16:creationId xmlns:a16="http://schemas.microsoft.com/office/drawing/2014/main" id="{8CE648B7-197D-4E1B-B75F-03B1C72DE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571950" y="22198950"/>
          <a:ext cx="50050" cy="5145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81</xdr:row>
      <xdr:rowOff>120000</xdr:rowOff>
    </xdr:from>
    <xdr:to>
      <xdr:col>24</xdr:col>
      <xdr:colOff>400050</xdr:colOff>
      <xdr:row>82</xdr:row>
      <xdr:rowOff>0</xdr:rowOff>
    </xdr:to>
    <xdr:pic>
      <xdr:nvPicPr>
        <xdr:cNvPr id="478" name="Picture 1" descr="Picture">
          <a:extLst>
            <a:ext uri="{FF2B5EF4-FFF2-40B4-BE49-F238E27FC236}">
              <a16:creationId xmlns:a16="http://schemas.microsoft.com/office/drawing/2014/main" id="{3605E922-E8AE-488A-AC72-379F65DDB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972250" y="22198950"/>
          <a:ext cx="50050" cy="5145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81</xdr:row>
      <xdr:rowOff>120000</xdr:rowOff>
    </xdr:from>
    <xdr:to>
      <xdr:col>25</xdr:col>
      <xdr:colOff>400050</xdr:colOff>
      <xdr:row>82</xdr:row>
      <xdr:rowOff>0</xdr:rowOff>
    </xdr:to>
    <xdr:pic>
      <xdr:nvPicPr>
        <xdr:cNvPr id="479" name="Picture 1" descr="Picture">
          <a:extLst>
            <a:ext uri="{FF2B5EF4-FFF2-40B4-BE49-F238E27FC236}">
              <a16:creationId xmlns:a16="http://schemas.microsoft.com/office/drawing/2014/main" id="{44A82E53-FA9C-4C61-9C16-343AE1F25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372300" y="22198950"/>
          <a:ext cx="50050" cy="5145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82</xdr:row>
      <xdr:rowOff>120000</xdr:rowOff>
    </xdr:from>
    <xdr:to>
      <xdr:col>12</xdr:col>
      <xdr:colOff>400050</xdr:colOff>
      <xdr:row>83</xdr:row>
      <xdr:rowOff>0</xdr:rowOff>
    </xdr:to>
    <xdr:pic>
      <xdr:nvPicPr>
        <xdr:cNvPr id="480" name="Picture 1" descr="Picture">
          <a:extLst>
            <a:ext uri="{FF2B5EF4-FFF2-40B4-BE49-F238E27FC236}">
              <a16:creationId xmlns:a16="http://schemas.microsoft.com/office/drawing/2014/main" id="{549AFA33-CDE2-46FC-A981-8AC20F159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171650" y="22713300"/>
          <a:ext cx="50050" cy="5145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82</xdr:row>
      <xdr:rowOff>120000</xdr:rowOff>
    </xdr:from>
    <xdr:to>
      <xdr:col>17</xdr:col>
      <xdr:colOff>400050</xdr:colOff>
      <xdr:row>83</xdr:row>
      <xdr:rowOff>0</xdr:rowOff>
    </xdr:to>
    <xdr:pic>
      <xdr:nvPicPr>
        <xdr:cNvPr id="481" name="Picture 1" descr="Picture">
          <a:extLst>
            <a:ext uri="{FF2B5EF4-FFF2-40B4-BE49-F238E27FC236}">
              <a16:creationId xmlns:a16="http://schemas.microsoft.com/office/drawing/2014/main" id="{938379F9-61A2-4F86-BF27-3CBF528D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71900" y="22713300"/>
          <a:ext cx="50050" cy="5145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82</xdr:row>
      <xdr:rowOff>120000</xdr:rowOff>
    </xdr:from>
    <xdr:to>
      <xdr:col>18</xdr:col>
      <xdr:colOff>400050</xdr:colOff>
      <xdr:row>83</xdr:row>
      <xdr:rowOff>0</xdr:rowOff>
    </xdr:to>
    <xdr:pic>
      <xdr:nvPicPr>
        <xdr:cNvPr id="482" name="Picture 1" descr="Picture">
          <a:extLst>
            <a:ext uri="{FF2B5EF4-FFF2-40B4-BE49-F238E27FC236}">
              <a16:creationId xmlns:a16="http://schemas.microsoft.com/office/drawing/2014/main" id="{DD891611-6EB4-4397-9D1B-F7C755AF1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571950" y="22713300"/>
          <a:ext cx="50050" cy="5145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82</xdr:row>
      <xdr:rowOff>120000</xdr:rowOff>
    </xdr:from>
    <xdr:to>
      <xdr:col>24</xdr:col>
      <xdr:colOff>400050</xdr:colOff>
      <xdr:row>83</xdr:row>
      <xdr:rowOff>0</xdr:rowOff>
    </xdr:to>
    <xdr:pic>
      <xdr:nvPicPr>
        <xdr:cNvPr id="483" name="Picture 1" descr="Picture">
          <a:extLst>
            <a:ext uri="{FF2B5EF4-FFF2-40B4-BE49-F238E27FC236}">
              <a16:creationId xmlns:a16="http://schemas.microsoft.com/office/drawing/2014/main" id="{2EE9A260-E1DE-43EA-AC41-ADA8958F6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972250" y="22713300"/>
          <a:ext cx="50050" cy="5145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82</xdr:row>
      <xdr:rowOff>120000</xdr:rowOff>
    </xdr:from>
    <xdr:to>
      <xdr:col>25</xdr:col>
      <xdr:colOff>400050</xdr:colOff>
      <xdr:row>83</xdr:row>
      <xdr:rowOff>0</xdr:rowOff>
    </xdr:to>
    <xdr:pic>
      <xdr:nvPicPr>
        <xdr:cNvPr id="484" name="Picture 1" descr="Picture">
          <a:extLst>
            <a:ext uri="{FF2B5EF4-FFF2-40B4-BE49-F238E27FC236}">
              <a16:creationId xmlns:a16="http://schemas.microsoft.com/office/drawing/2014/main" id="{BDD155D7-0A08-4208-ADB5-7D2099A07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372300" y="22713300"/>
          <a:ext cx="50050" cy="5145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83</xdr:row>
      <xdr:rowOff>120000</xdr:rowOff>
    </xdr:from>
    <xdr:to>
      <xdr:col>12</xdr:col>
      <xdr:colOff>400050</xdr:colOff>
      <xdr:row>84</xdr:row>
      <xdr:rowOff>0</xdr:rowOff>
    </xdr:to>
    <xdr:pic>
      <xdr:nvPicPr>
        <xdr:cNvPr id="485" name="Picture 1" descr="Picture">
          <a:extLst>
            <a:ext uri="{FF2B5EF4-FFF2-40B4-BE49-F238E27FC236}">
              <a16:creationId xmlns:a16="http://schemas.microsoft.com/office/drawing/2014/main" id="{B35F62AE-B990-415E-B30E-2F2CEEF58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171650" y="23399100"/>
          <a:ext cx="50050" cy="5145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83</xdr:row>
      <xdr:rowOff>120000</xdr:rowOff>
    </xdr:from>
    <xdr:to>
      <xdr:col>17</xdr:col>
      <xdr:colOff>400050</xdr:colOff>
      <xdr:row>84</xdr:row>
      <xdr:rowOff>0</xdr:rowOff>
    </xdr:to>
    <xdr:pic>
      <xdr:nvPicPr>
        <xdr:cNvPr id="486" name="Picture 1" descr="Picture">
          <a:extLst>
            <a:ext uri="{FF2B5EF4-FFF2-40B4-BE49-F238E27FC236}">
              <a16:creationId xmlns:a16="http://schemas.microsoft.com/office/drawing/2014/main" id="{52783EDA-7801-4BEE-B2E9-51899F3EF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71900" y="23399100"/>
          <a:ext cx="50050" cy="5145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83</xdr:row>
      <xdr:rowOff>120000</xdr:rowOff>
    </xdr:from>
    <xdr:to>
      <xdr:col>18</xdr:col>
      <xdr:colOff>400050</xdr:colOff>
      <xdr:row>84</xdr:row>
      <xdr:rowOff>0</xdr:rowOff>
    </xdr:to>
    <xdr:pic>
      <xdr:nvPicPr>
        <xdr:cNvPr id="487" name="Picture 1" descr="Picture">
          <a:extLst>
            <a:ext uri="{FF2B5EF4-FFF2-40B4-BE49-F238E27FC236}">
              <a16:creationId xmlns:a16="http://schemas.microsoft.com/office/drawing/2014/main" id="{2C245DC8-5356-467F-8839-32DEAB31E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571950" y="23399100"/>
          <a:ext cx="50050" cy="5145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83</xdr:row>
      <xdr:rowOff>120000</xdr:rowOff>
    </xdr:from>
    <xdr:to>
      <xdr:col>24</xdr:col>
      <xdr:colOff>400050</xdr:colOff>
      <xdr:row>84</xdr:row>
      <xdr:rowOff>0</xdr:rowOff>
    </xdr:to>
    <xdr:pic>
      <xdr:nvPicPr>
        <xdr:cNvPr id="488" name="Picture 1" descr="Picture">
          <a:extLst>
            <a:ext uri="{FF2B5EF4-FFF2-40B4-BE49-F238E27FC236}">
              <a16:creationId xmlns:a16="http://schemas.microsoft.com/office/drawing/2014/main" id="{79DE6428-A238-44D1-B732-58A989AC4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972250" y="23399100"/>
          <a:ext cx="50050" cy="5145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83</xdr:row>
      <xdr:rowOff>120000</xdr:rowOff>
    </xdr:from>
    <xdr:to>
      <xdr:col>25</xdr:col>
      <xdr:colOff>400050</xdr:colOff>
      <xdr:row>84</xdr:row>
      <xdr:rowOff>0</xdr:rowOff>
    </xdr:to>
    <xdr:pic>
      <xdr:nvPicPr>
        <xdr:cNvPr id="489" name="Picture 1" descr="Picture">
          <a:extLst>
            <a:ext uri="{FF2B5EF4-FFF2-40B4-BE49-F238E27FC236}">
              <a16:creationId xmlns:a16="http://schemas.microsoft.com/office/drawing/2014/main" id="{E77010CE-D582-4462-8500-A816F8670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372300" y="23399100"/>
          <a:ext cx="50050" cy="51450"/>
        </a:xfrm>
        <a:prstGeom prst="rect">
          <a:avLst/>
        </a:prstGeom>
      </xdr:spPr>
    </xdr:pic>
    <xdr:clientData/>
  </xdr:twoCellAnchor>
  <xdr:twoCellAnchor>
    <xdr:from>
      <xdr:col>38</xdr:col>
      <xdr:colOff>350000</xdr:colOff>
      <xdr:row>83</xdr:row>
      <xdr:rowOff>120000</xdr:rowOff>
    </xdr:from>
    <xdr:to>
      <xdr:col>38</xdr:col>
      <xdr:colOff>400050</xdr:colOff>
      <xdr:row>84</xdr:row>
      <xdr:rowOff>0</xdr:rowOff>
    </xdr:to>
    <xdr:pic>
      <xdr:nvPicPr>
        <xdr:cNvPr id="490" name="Picture 1" descr="Picture">
          <a:extLst>
            <a:ext uri="{FF2B5EF4-FFF2-40B4-BE49-F238E27FC236}">
              <a16:creationId xmlns:a16="http://schemas.microsoft.com/office/drawing/2014/main" id="{167EC409-E4D3-4CC3-BB5C-69D631C1D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572950" y="23399100"/>
          <a:ext cx="50050" cy="51450"/>
        </a:xfrm>
        <a:prstGeom prst="rect">
          <a:avLst/>
        </a:prstGeom>
      </xdr:spPr>
    </xdr:pic>
    <xdr:clientData/>
  </xdr:twoCellAnchor>
  <xdr:twoCellAnchor>
    <xdr:from>
      <xdr:col>39</xdr:col>
      <xdr:colOff>350000</xdr:colOff>
      <xdr:row>83</xdr:row>
      <xdr:rowOff>120000</xdr:rowOff>
    </xdr:from>
    <xdr:to>
      <xdr:col>39</xdr:col>
      <xdr:colOff>400050</xdr:colOff>
      <xdr:row>84</xdr:row>
      <xdr:rowOff>0</xdr:rowOff>
    </xdr:to>
    <xdr:pic>
      <xdr:nvPicPr>
        <xdr:cNvPr id="491" name="Picture 1" descr="Picture">
          <a:extLst>
            <a:ext uri="{FF2B5EF4-FFF2-40B4-BE49-F238E27FC236}">
              <a16:creationId xmlns:a16="http://schemas.microsoft.com/office/drawing/2014/main" id="{4041819F-81EF-4057-8DB1-AE3CA3411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973000" y="23399100"/>
          <a:ext cx="50050" cy="51450"/>
        </a:xfrm>
        <a:prstGeom prst="rect">
          <a:avLst/>
        </a:prstGeom>
      </xdr:spPr>
    </xdr:pic>
    <xdr:clientData/>
  </xdr:twoCellAnchor>
  <xdr:twoCellAnchor>
    <xdr:from>
      <xdr:col>40</xdr:col>
      <xdr:colOff>350000</xdr:colOff>
      <xdr:row>83</xdr:row>
      <xdr:rowOff>120000</xdr:rowOff>
    </xdr:from>
    <xdr:to>
      <xdr:col>40</xdr:col>
      <xdr:colOff>400050</xdr:colOff>
      <xdr:row>84</xdr:row>
      <xdr:rowOff>0</xdr:rowOff>
    </xdr:to>
    <xdr:pic>
      <xdr:nvPicPr>
        <xdr:cNvPr id="492" name="Picture 1" descr="Picture">
          <a:extLst>
            <a:ext uri="{FF2B5EF4-FFF2-40B4-BE49-F238E27FC236}">
              <a16:creationId xmlns:a16="http://schemas.microsoft.com/office/drawing/2014/main" id="{02030FB2-10DF-4018-A4FC-0EFC0C831C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373050" y="23399100"/>
          <a:ext cx="50050" cy="51450"/>
        </a:xfrm>
        <a:prstGeom prst="rect">
          <a:avLst/>
        </a:prstGeom>
      </xdr:spPr>
    </xdr:pic>
    <xdr:clientData/>
  </xdr:twoCellAnchor>
  <xdr:twoCellAnchor>
    <xdr:from>
      <xdr:col>12</xdr:col>
      <xdr:colOff>120000</xdr:colOff>
      <xdr:row>85</xdr:row>
      <xdr:rowOff>0</xdr:rowOff>
    </xdr:from>
    <xdr:to>
      <xdr:col>12</xdr:col>
      <xdr:colOff>290512</xdr:colOff>
      <xdr:row>86</xdr:row>
      <xdr:rowOff>0</xdr:rowOff>
    </xdr:to>
    <xdr:pic>
      <xdr:nvPicPr>
        <xdr:cNvPr id="493" name="Picture 1" descr="Picture">
          <a:extLst>
            <a:ext uri="{FF2B5EF4-FFF2-40B4-BE49-F238E27FC236}">
              <a16:creationId xmlns:a16="http://schemas.microsoft.com/office/drawing/2014/main" id="{024FF215-FA1C-4B22-A380-5D0B1AFD6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41650" y="24526875"/>
          <a:ext cx="170512" cy="171450"/>
        </a:xfrm>
        <a:prstGeom prst="rect">
          <a:avLst/>
        </a:prstGeom>
      </xdr:spPr>
    </xdr:pic>
    <xdr:clientData/>
  </xdr:twoCellAnchor>
  <xdr:twoCellAnchor>
    <xdr:from>
      <xdr:col>14</xdr:col>
      <xdr:colOff>120000</xdr:colOff>
      <xdr:row>85</xdr:row>
      <xdr:rowOff>0</xdr:rowOff>
    </xdr:from>
    <xdr:to>
      <xdr:col>14</xdr:col>
      <xdr:colOff>290512</xdr:colOff>
      <xdr:row>86</xdr:row>
      <xdr:rowOff>0</xdr:rowOff>
    </xdr:to>
    <xdr:pic>
      <xdr:nvPicPr>
        <xdr:cNvPr id="494" name="Picture 1" descr="Picture">
          <a:extLst>
            <a:ext uri="{FF2B5EF4-FFF2-40B4-BE49-F238E27FC236}">
              <a16:creationId xmlns:a16="http://schemas.microsoft.com/office/drawing/2014/main" id="{644C5326-A316-4CB4-97A8-423694382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741750" y="24526875"/>
          <a:ext cx="170512" cy="171450"/>
        </a:xfrm>
        <a:prstGeom prst="rect">
          <a:avLst/>
        </a:prstGeom>
      </xdr:spPr>
    </xdr:pic>
    <xdr:clientData/>
  </xdr:twoCellAnchor>
  <xdr:twoCellAnchor>
    <xdr:from>
      <xdr:col>15</xdr:col>
      <xdr:colOff>120000</xdr:colOff>
      <xdr:row>85</xdr:row>
      <xdr:rowOff>0</xdr:rowOff>
    </xdr:from>
    <xdr:to>
      <xdr:col>15</xdr:col>
      <xdr:colOff>290512</xdr:colOff>
      <xdr:row>86</xdr:row>
      <xdr:rowOff>0</xdr:rowOff>
    </xdr:to>
    <xdr:pic>
      <xdr:nvPicPr>
        <xdr:cNvPr id="495" name="Picture 1" descr="Picture">
          <a:extLst>
            <a:ext uri="{FF2B5EF4-FFF2-40B4-BE49-F238E27FC236}">
              <a16:creationId xmlns:a16="http://schemas.microsoft.com/office/drawing/2014/main" id="{BE349277-7B84-4C60-9C99-39570470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41800" y="24526875"/>
          <a:ext cx="170512" cy="171450"/>
        </a:xfrm>
        <a:prstGeom prst="rect">
          <a:avLst/>
        </a:prstGeom>
      </xdr:spPr>
    </xdr:pic>
    <xdr:clientData/>
  </xdr:twoCellAnchor>
  <xdr:twoCellAnchor>
    <xdr:from>
      <xdr:col>17</xdr:col>
      <xdr:colOff>120000</xdr:colOff>
      <xdr:row>85</xdr:row>
      <xdr:rowOff>0</xdr:rowOff>
    </xdr:from>
    <xdr:to>
      <xdr:col>17</xdr:col>
      <xdr:colOff>290512</xdr:colOff>
      <xdr:row>86</xdr:row>
      <xdr:rowOff>0</xdr:rowOff>
    </xdr:to>
    <xdr:pic>
      <xdr:nvPicPr>
        <xdr:cNvPr id="496" name="Picture 1" descr="Picture">
          <a:extLst>
            <a:ext uri="{FF2B5EF4-FFF2-40B4-BE49-F238E27FC236}">
              <a16:creationId xmlns:a16="http://schemas.microsoft.com/office/drawing/2014/main" id="{B034E6DE-2772-473C-B755-09D6E3FAD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41900" y="24526875"/>
          <a:ext cx="170512" cy="171450"/>
        </a:xfrm>
        <a:prstGeom prst="rect">
          <a:avLst/>
        </a:prstGeom>
      </xdr:spPr>
    </xdr:pic>
    <xdr:clientData/>
  </xdr:twoCellAnchor>
  <xdr:twoCellAnchor>
    <xdr:from>
      <xdr:col>18</xdr:col>
      <xdr:colOff>120000</xdr:colOff>
      <xdr:row>85</xdr:row>
      <xdr:rowOff>0</xdr:rowOff>
    </xdr:from>
    <xdr:to>
      <xdr:col>18</xdr:col>
      <xdr:colOff>290512</xdr:colOff>
      <xdr:row>86</xdr:row>
      <xdr:rowOff>0</xdr:rowOff>
    </xdr:to>
    <xdr:pic>
      <xdr:nvPicPr>
        <xdr:cNvPr id="497" name="Picture 1" descr="Picture">
          <a:extLst>
            <a:ext uri="{FF2B5EF4-FFF2-40B4-BE49-F238E27FC236}">
              <a16:creationId xmlns:a16="http://schemas.microsoft.com/office/drawing/2014/main" id="{208FFCEE-AF85-41CF-91CE-E1A32A83D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341950" y="24526875"/>
          <a:ext cx="170512" cy="171450"/>
        </a:xfrm>
        <a:prstGeom prst="rect">
          <a:avLst/>
        </a:prstGeom>
      </xdr:spPr>
    </xdr:pic>
    <xdr:clientData/>
  </xdr:twoCellAnchor>
  <xdr:twoCellAnchor>
    <xdr:from>
      <xdr:col>19</xdr:col>
      <xdr:colOff>120000</xdr:colOff>
      <xdr:row>85</xdr:row>
      <xdr:rowOff>0</xdr:rowOff>
    </xdr:from>
    <xdr:to>
      <xdr:col>19</xdr:col>
      <xdr:colOff>290512</xdr:colOff>
      <xdr:row>86</xdr:row>
      <xdr:rowOff>0</xdr:rowOff>
    </xdr:to>
    <xdr:pic>
      <xdr:nvPicPr>
        <xdr:cNvPr id="498" name="Picture 1" descr="Picture">
          <a:extLst>
            <a:ext uri="{FF2B5EF4-FFF2-40B4-BE49-F238E27FC236}">
              <a16:creationId xmlns:a16="http://schemas.microsoft.com/office/drawing/2014/main" id="{F2BA7F07-741F-42F1-B092-6EC45872E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742000" y="24526875"/>
          <a:ext cx="170512" cy="17145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85</xdr:row>
      <xdr:rowOff>0</xdr:rowOff>
    </xdr:from>
    <xdr:to>
      <xdr:col>28</xdr:col>
      <xdr:colOff>290512</xdr:colOff>
      <xdr:row>86</xdr:row>
      <xdr:rowOff>0</xdr:rowOff>
    </xdr:to>
    <xdr:pic>
      <xdr:nvPicPr>
        <xdr:cNvPr id="499" name="Picture 1" descr="Picture">
          <a:extLst>
            <a:ext uri="{FF2B5EF4-FFF2-40B4-BE49-F238E27FC236}">
              <a16:creationId xmlns:a16="http://schemas.microsoft.com/office/drawing/2014/main" id="{BF0A39A4-2F2C-401E-A24B-A2A730DE28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342450" y="24526875"/>
          <a:ext cx="170512" cy="17145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85</xdr:row>
      <xdr:rowOff>0</xdr:rowOff>
    </xdr:from>
    <xdr:to>
      <xdr:col>29</xdr:col>
      <xdr:colOff>290512</xdr:colOff>
      <xdr:row>86</xdr:row>
      <xdr:rowOff>0</xdr:rowOff>
    </xdr:to>
    <xdr:pic>
      <xdr:nvPicPr>
        <xdr:cNvPr id="500" name="Picture 1" descr="Picture">
          <a:extLst>
            <a:ext uri="{FF2B5EF4-FFF2-40B4-BE49-F238E27FC236}">
              <a16:creationId xmlns:a16="http://schemas.microsoft.com/office/drawing/2014/main" id="{2AC47BB7-348D-4E92-A5BE-CEC0D4276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742500" y="24526875"/>
          <a:ext cx="170512" cy="17145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85</xdr:row>
      <xdr:rowOff>0</xdr:rowOff>
    </xdr:from>
    <xdr:to>
      <xdr:col>31</xdr:col>
      <xdr:colOff>290512</xdr:colOff>
      <xdr:row>86</xdr:row>
      <xdr:rowOff>0</xdr:rowOff>
    </xdr:to>
    <xdr:pic>
      <xdr:nvPicPr>
        <xdr:cNvPr id="501" name="Picture 1" descr="Picture">
          <a:extLst>
            <a:ext uri="{FF2B5EF4-FFF2-40B4-BE49-F238E27FC236}">
              <a16:creationId xmlns:a16="http://schemas.microsoft.com/office/drawing/2014/main" id="{818921E2-96B3-4CB5-9BA5-5A23A0DF8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42600" y="24526875"/>
          <a:ext cx="170512" cy="17145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85</xdr:row>
      <xdr:rowOff>0</xdr:rowOff>
    </xdr:from>
    <xdr:to>
      <xdr:col>32</xdr:col>
      <xdr:colOff>290512</xdr:colOff>
      <xdr:row>86</xdr:row>
      <xdr:rowOff>0</xdr:rowOff>
    </xdr:to>
    <xdr:pic>
      <xdr:nvPicPr>
        <xdr:cNvPr id="502" name="Picture 1" descr="Picture">
          <a:extLst>
            <a:ext uri="{FF2B5EF4-FFF2-40B4-BE49-F238E27FC236}">
              <a16:creationId xmlns:a16="http://schemas.microsoft.com/office/drawing/2014/main" id="{89CC44E8-E520-4A03-8A39-EBF99B1FA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42650" y="24526875"/>
          <a:ext cx="170512" cy="17145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85</xdr:row>
      <xdr:rowOff>0</xdr:rowOff>
    </xdr:from>
    <xdr:to>
      <xdr:col>33</xdr:col>
      <xdr:colOff>290512</xdr:colOff>
      <xdr:row>86</xdr:row>
      <xdr:rowOff>0</xdr:rowOff>
    </xdr:to>
    <xdr:pic>
      <xdr:nvPicPr>
        <xdr:cNvPr id="503" name="Picture 1" descr="Picture">
          <a:extLst>
            <a:ext uri="{FF2B5EF4-FFF2-40B4-BE49-F238E27FC236}">
              <a16:creationId xmlns:a16="http://schemas.microsoft.com/office/drawing/2014/main" id="{A634754F-C6D3-4402-B538-759D05BA9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42700" y="24526875"/>
          <a:ext cx="170512" cy="17145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85</xdr:row>
      <xdr:rowOff>0</xdr:rowOff>
    </xdr:from>
    <xdr:to>
      <xdr:col>40</xdr:col>
      <xdr:colOff>290512</xdr:colOff>
      <xdr:row>86</xdr:row>
      <xdr:rowOff>0</xdr:rowOff>
    </xdr:to>
    <xdr:pic>
      <xdr:nvPicPr>
        <xdr:cNvPr id="504" name="Picture 1" descr="Picture">
          <a:extLst>
            <a:ext uri="{FF2B5EF4-FFF2-40B4-BE49-F238E27FC236}">
              <a16:creationId xmlns:a16="http://schemas.microsoft.com/office/drawing/2014/main" id="{344DC5AF-52B2-4438-9C5B-F7BF297B6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143050" y="24526875"/>
          <a:ext cx="170512" cy="17145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98</xdr:row>
      <xdr:rowOff>0</xdr:rowOff>
    </xdr:from>
    <xdr:to>
      <xdr:col>31</xdr:col>
      <xdr:colOff>290512</xdr:colOff>
      <xdr:row>99</xdr:row>
      <xdr:rowOff>0</xdr:rowOff>
    </xdr:to>
    <xdr:pic>
      <xdr:nvPicPr>
        <xdr:cNvPr id="505" name="Picture 1" descr="Picture">
          <a:extLst>
            <a:ext uri="{FF2B5EF4-FFF2-40B4-BE49-F238E27FC236}">
              <a16:creationId xmlns:a16="http://schemas.microsoft.com/office/drawing/2014/main" id="{089C0E94-89B7-4BD0-8172-3054A12CBF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42600" y="28003500"/>
          <a:ext cx="170512" cy="17145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98</xdr:row>
      <xdr:rowOff>0</xdr:rowOff>
    </xdr:from>
    <xdr:to>
      <xdr:col>32</xdr:col>
      <xdr:colOff>290512</xdr:colOff>
      <xdr:row>99</xdr:row>
      <xdr:rowOff>0</xdr:rowOff>
    </xdr:to>
    <xdr:pic>
      <xdr:nvPicPr>
        <xdr:cNvPr id="506" name="Picture 1" descr="Picture">
          <a:extLst>
            <a:ext uri="{FF2B5EF4-FFF2-40B4-BE49-F238E27FC236}">
              <a16:creationId xmlns:a16="http://schemas.microsoft.com/office/drawing/2014/main" id="{A98116FB-06DD-4157-882E-A663BDF14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42650" y="28003500"/>
          <a:ext cx="170512" cy="17145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98</xdr:row>
      <xdr:rowOff>0</xdr:rowOff>
    </xdr:from>
    <xdr:to>
      <xdr:col>33</xdr:col>
      <xdr:colOff>290512</xdr:colOff>
      <xdr:row>99</xdr:row>
      <xdr:rowOff>0</xdr:rowOff>
    </xdr:to>
    <xdr:pic>
      <xdr:nvPicPr>
        <xdr:cNvPr id="507" name="Picture 1" descr="Picture">
          <a:extLst>
            <a:ext uri="{FF2B5EF4-FFF2-40B4-BE49-F238E27FC236}">
              <a16:creationId xmlns:a16="http://schemas.microsoft.com/office/drawing/2014/main" id="{62401B70-ECDC-42ED-B3E6-A0BBBE439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42700" y="28003500"/>
          <a:ext cx="170512" cy="171450"/>
        </a:xfrm>
        <a:prstGeom prst="rect">
          <a:avLst/>
        </a:prstGeom>
      </xdr:spPr>
    </xdr:pic>
    <xdr:clientData/>
  </xdr:twoCellAnchor>
  <xdr:twoCellAnchor>
    <xdr:from>
      <xdr:col>14</xdr:col>
      <xdr:colOff>120000</xdr:colOff>
      <xdr:row>120</xdr:row>
      <xdr:rowOff>0</xdr:rowOff>
    </xdr:from>
    <xdr:to>
      <xdr:col>14</xdr:col>
      <xdr:colOff>290512</xdr:colOff>
      <xdr:row>121</xdr:row>
      <xdr:rowOff>0</xdr:rowOff>
    </xdr:to>
    <xdr:pic>
      <xdr:nvPicPr>
        <xdr:cNvPr id="508" name="Picture 1" descr="Picture">
          <a:extLst>
            <a:ext uri="{FF2B5EF4-FFF2-40B4-BE49-F238E27FC236}">
              <a16:creationId xmlns:a16="http://schemas.microsoft.com/office/drawing/2014/main" id="{F74BF34A-4B60-45E5-AE9B-2ACC39B51F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741750" y="37938075"/>
          <a:ext cx="170512" cy="171450"/>
        </a:xfrm>
        <a:prstGeom prst="rect">
          <a:avLst/>
        </a:prstGeom>
      </xdr:spPr>
    </xdr:pic>
    <xdr:clientData/>
  </xdr:twoCellAnchor>
  <xdr:twoCellAnchor>
    <xdr:from>
      <xdr:col>15</xdr:col>
      <xdr:colOff>120000</xdr:colOff>
      <xdr:row>120</xdr:row>
      <xdr:rowOff>0</xdr:rowOff>
    </xdr:from>
    <xdr:to>
      <xdr:col>15</xdr:col>
      <xdr:colOff>290512</xdr:colOff>
      <xdr:row>121</xdr:row>
      <xdr:rowOff>0</xdr:rowOff>
    </xdr:to>
    <xdr:pic>
      <xdr:nvPicPr>
        <xdr:cNvPr id="509" name="Picture 1" descr="Picture">
          <a:extLst>
            <a:ext uri="{FF2B5EF4-FFF2-40B4-BE49-F238E27FC236}">
              <a16:creationId xmlns:a16="http://schemas.microsoft.com/office/drawing/2014/main" id="{27F2A12A-EE9F-40E1-B834-63CEDCE16F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141800" y="37938075"/>
          <a:ext cx="170512" cy="17145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120</xdr:row>
      <xdr:rowOff>0</xdr:rowOff>
    </xdr:from>
    <xdr:to>
      <xdr:col>29</xdr:col>
      <xdr:colOff>290512</xdr:colOff>
      <xdr:row>121</xdr:row>
      <xdr:rowOff>0</xdr:rowOff>
    </xdr:to>
    <xdr:pic>
      <xdr:nvPicPr>
        <xdr:cNvPr id="510" name="Picture 1" descr="Picture">
          <a:extLst>
            <a:ext uri="{FF2B5EF4-FFF2-40B4-BE49-F238E27FC236}">
              <a16:creationId xmlns:a16="http://schemas.microsoft.com/office/drawing/2014/main" id="{E9FDC8F2-BDAD-49DE-AFF3-4D46BAE65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742500" y="37938075"/>
          <a:ext cx="170512" cy="17145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120</xdr:row>
      <xdr:rowOff>0</xdr:rowOff>
    </xdr:from>
    <xdr:to>
      <xdr:col>30</xdr:col>
      <xdr:colOff>290512</xdr:colOff>
      <xdr:row>121</xdr:row>
      <xdr:rowOff>0</xdr:rowOff>
    </xdr:to>
    <xdr:pic>
      <xdr:nvPicPr>
        <xdr:cNvPr id="511" name="Picture 1" descr="Picture">
          <a:extLst>
            <a:ext uri="{FF2B5EF4-FFF2-40B4-BE49-F238E27FC236}">
              <a16:creationId xmlns:a16="http://schemas.microsoft.com/office/drawing/2014/main" id="{E101C78E-ECFD-410C-A651-3A97707EB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42550" y="37938075"/>
          <a:ext cx="170512" cy="17145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120</xdr:row>
      <xdr:rowOff>0</xdr:rowOff>
    </xdr:from>
    <xdr:to>
      <xdr:col>31</xdr:col>
      <xdr:colOff>290512</xdr:colOff>
      <xdr:row>121</xdr:row>
      <xdr:rowOff>0</xdr:rowOff>
    </xdr:to>
    <xdr:pic>
      <xdr:nvPicPr>
        <xdr:cNvPr id="512" name="Picture 1" descr="Picture">
          <a:extLst>
            <a:ext uri="{FF2B5EF4-FFF2-40B4-BE49-F238E27FC236}">
              <a16:creationId xmlns:a16="http://schemas.microsoft.com/office/drawing/2014/main" id="{9CF8EF4A-9AFB-4684-AA16-67695CD11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42600" y="37938075"/>
          <a:ext cx="170512" cy="17145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120</xdr:row>
      <xdr:rowOff>0</xdr:rowOff>
    </xdr:from>
    <xdr:to>
      <xdr:col>35</xdr:col>
      <xdr:colOff>290512</xdr:colOff>
      <xdr:row>121</xdr:row>
      <xdr:rowOff>0</xdr:rowOff>
    </xdr:to>
    <xdr:pic>
      <xdr:nvPicPr>
        <xdr:cNvPr id="513" name="Picture 1" descr="Picture">
          <a:extLst>
            <a:ext uri="{FF2B5EF4-FFF2-40B4-BE49-F238E27FC236}">
              <a16:creationId xmlns:a16="http://schemas.microsoft.com/office/drawing/2014/main" id="{512A9765-D6BD-40AF-809A-AE0CD7A9F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142800" y="37938075"/>
          <a:ext cx="170512" cy="17145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120</xdr:row>
      <xdr:rowOff>0</xdr:rowOff>
    </xdr:from>
    <xdr:to>
      <xdr:col>36</xdr:col>
      <xdr:colOff>290512</xdr:colOff>
      <xdr:row>121</xdr:row>
      <xdr:rowOff>0</xdr:rowOff>
    </xdr:to>
    <xdr:pic>
      <xdr:nvPicPr>
        <xdr:cNvPr id="514" name="Picture 1" descr="Picture">
          <a:extLst>
            <a:ext uri="{FF2B5EF4-FFF2-40B4-BE49-F238E27FC236}">
              <a16:creationId xmlns:a16="http://schemas.microsoft.com/office/drawing/2014/main" id="{FFC45642-4D3F-4891-B533-DEC040773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42850" y="37938075"/>
          <a:ext cx="170512" cy="17145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120</xdr:row>
      <xdr:rowOff>0</xdr:rowOff>
    </xdr:from>
    <xdr:to>
      <xdr:col>37</xdr:col>
      <xdr:colOff>290512</xdr:colOff>
      <xdr:row>121</xdr:row>
      <xdr:rowOff>0</xdr:rowOff>
    </xdr:to>
    <xdr:pic>
      <xdr:nvPicPr>
        <xdr:cNvPr id="515" name="Picture 1" descr="Picture">
          <a:extLst>
            <a:ext uri="{FF2B5EF4-FFF2-40B4-BE49-F238E27FC236}">
              <a16:creationId xmlns:a16="http://schemas.microsoft.com/office/drawing/2014/main" id="{32B83D8B-0240-4FF5-97CB-587A3259B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942900" y="37938075"/>
          <a:ext cx="170512" cy="17145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120</xdr:row>
      <xdr:rowOff>0</xdr:rowOff>
    </xdr:from>
    <xdr:to>
      <xdr:col>38</xdr:col>
      <xdr:colOff>290512</xdr:colOff>
      <xdr:row>121</xdr:row>
      <xdr:rowOff>0</xdr:rowOff>
    </xdr:to>
    <xdr:pic>
      <xdr:nvPicPr>
        <xdr:cNvPr id="516" name="Picture 1" descr="Picture">
          <a:extLst>
            <a:ext uri="{FF2B5EF4-FFF2-40B4-BE49-F238E27FC236}">
              <a16:creationId xmlns:a16="http://schemas.microsoft.com/office/drawing/2014/main" id="{8D63CF47-F7A5-442A-BB4B-1ED889395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342950" y="37938075"/>
          <a:ext cx="170512" cy="17145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120</xdr:row>
      <xdr:rowOff>0</xdr:rowOff>
    </xdr:from>
    <xdr:to>
      <xdr:col>39</xdr:col>
      <xdr:colOff>290512</xdr:colOff>
      <xdr:row>121</xdr:row>
      <xdr:rowOff>0</xdr:rowOff>
    </xdr:to>
    <xdr:pic>
      <xdr:nvPicPr>
        <xdr:cNvPr id="517" name="Picture 1" descr="Picture">
          <a:extLst>
            <a:ext uri="{FF2B5EF4-FFF2-40B4-BE49-F238E27FC236}">
              <a16:creationId xmlns:a16="http://schemas.microsoft.com/office/drawing/2014/main" id="{1B4E1B3A-44CF-4990-9205-8BC7FA617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43000" y="37938075"/>
          <a:ext cx="170512" cy="17145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120</xdr:row>
      <xdr:rowOff>0</xdr:rowOff>
    </xdr:from>
    <xdr:to>
      <xdr:col>40</xdr:col>
      <xdr:colOff>290512</xdr:colOff>
      <xdr:row>121</xdr:row>
      <xdr:rowOff>0</xdr:rowOff>
    </xdr:to>
    <xdr:pic>
      <xdr:nvPicPr>
        <xdr:cNvPr id="518" name="Picture 1" descr="Picture">
          <a:extLst>
            <a:ext uri="{FF2B5EF4-FFF2-40B4-BE49-F238E27FC236}">
              <a16:creationId xmlns:a16="http://schemas.microsoft.com/office/drawing/2014/main" id="{8A44B461-2A47-47EE-932A-A9B3A62A1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143050" y="37938075"/>
          <a:ext cx="170512" cy="171450"/>
        </a:xfrm>
        <a:prstGeom prst="rect">
          <a:avLst/>
        </a:prstGeom>
      </xdr:spPr>
    </xdr:pic>
    <xdr:clientData/>
  </xdr:twoCellAnchor>
  <xdr:twoCellAnchor>
    <xdr:from>
      <xdr:col>16</xdr:col>
      <xdr:colOff>120000</xdr:colOff>
      <xdr:row>125</xdr:row>
      <xdr:rowOff>0</xdr:rowOff>
    </xdr:from>
    <xdr:to>
      <xdr:col>16</xdr:col>
      <xdr:colOff>290512</xdr:colOff>
      <xdr:row>126</xdr:row>
      <xdr:rowOff>0</xdr:rowOff>
    </xdr:to>
    <xdr:pic>
      <xdr:nvPicPr>
        <xdr:cNvPr id="519" name="Picture 1" descr="Picture">
          <a:extLst>
            <a:ext uri="{FF2B5EF4-FFF2-40B4-BE49-F238E27FC236}">
              <a16:creationId xmlns:a16="http://schemas.microsoft.com/office/drawing/2014/main" id="{D1B12D8E-4FBE-4195-8CE6-60CE74E6B2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41850" y="40214550"/>
          <a:ext cx="170512" cy="171450"/>
        </a:xfrm>
        <a:prstGeom prst="rect">
          <a:avLst/>
        </a:prstGeom>
      </xdr:spPr>
    </xdr:pic>
    <xdr:clientData/>
  </xdr:twoCellAnchor>
  <xdr:twoCellAnchor>
    <xdr:from>
      <xdr:col>17</xdr:col>
      <xdr:colOff>120000</xdr:colOff>
      <xdr:row>125</xdr:row>
      <xdr:rowOff>0</xdr:rowOff>
    </xdr:from>
    <xdr:to>
      <xdr:col>17</xdr:col>
      <xdr:colOff>290512</xdr:colOff>
      <xdr:row>126</xdr:row>
      <xdr:rowOff>0</xdr:rowOff>
    </xdr:to>
    <xdr:pic>
      <xdr:nvPicPr>
        <xdr:cNvPr id="520" name="Picture 1" descr="Picture">
          <a:extLst>
            <a:ext uri="{FF2B5EF4-FFF2-40B4-BE49-F238E27FC236}">
              <a16:creationId xmlns:a16="http://schemas.microsoft.com/office/drawing/2014/main" id="{16CE1809-FE16-4FD9-B7A6-A1A15CC0A5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41900" y="40214550"/>
          <a:ext cx="170512" cy="171450"/>
        </a:xfrm>
        <a:prstGeom prst="rect">
          <a:avLst/>
        </a:prstGeom>
      </xdr:spPr>
    </xdr:pic>
    <xdr:clientData/>
  </xdr:twoCellAnchor>
  <xdr:twoCellAnchor>
    <xdr:from>
      <xdr:col>18</xdr:col>
      <xdr:colOff>120000</xdr:colOff>
      <xdr:row>125</xdr:row>
      <xdr:rowOff>0</xdr:rowOff>
    </xdr:from>
    <xdr:to>
      <xdr:col>18</xdr:col>
      <xdr:colOff>290512</xdr:colOff>
      <xdr:row>126</xdr:row>
      <xdr:rowOff>0</xdr:rowOff>
    </xdr:to>
    <xdr:pic>
      <xdr:nvPicPr>
        <xdr:cNvPr id="521" name="Picture 1" descr="Picture">
          <a:extLst>
            <a:ext uri="{FF2B5EF4-FFF2-40B4-BE49-F238E27FC236}">
              <a16:creationId xmlns:a16="http://schemas.microsoft.com/office/drawing/2014/main" id="{E72B6FE2-C3AD-404E-9DCB-363CF7203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341950" y="40214550"/>
          <a:ext cx="170512" cy="171450"/>
        </a:xfrm>
        <a:prstGeom prst="rect">
          <a:avLst/>
        </a:prstGeom>
      </xdr:spPr>
    </xdr:pic>
    <xdr:clientData/>
  </xdr:twoCellAnchor>
  <xdr:twoCellAnchor>
    <xdr:from>
      <xdr:col>19</xdr:col>
      <xdr:colOff>120000</xdr:colOff>
      <xdr:row>125</xdr:row>
      <xdr:rowOff>0</xdr:rowOff>
    </xdr:from>
    <xdr:to>
      <xdr:col>19</xdr:col>
      <xdr:colOff>290512</xdr:colOff>
      <xdr:row>126</xdr:row>
      <xdr:rowOff>0</xdr:rowOff>
    </xdr:to>
    <xdr:pic>
      <xdr:nvPicPr>
        <xdr:cNvPr id="522" name="Picture 1" descr="Picture">
          <a:extLst>
            <a:ext uri="{FF2B5EF4-FFF2-40B4-BE49-F238E27FC236}">
              <a16:creationId xmlns:a16="http://schemas.microsoft.com/office/drawing/2014/main" id="{F894A8B7-4CB2-42D5-8512-097F3561C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742000" y="40214550"/>
          <a:ext cx="170512" cy="171450"/>
        </a:xfrm>
        <a:prstGeom prst="rect">
          <a:avLst/>
        </a:prstGeom>
      </xdr:spPr>
    </xdr:pic>
    <xdr:clientData/>
  </xdr:twoCellAnchor>
  <xdr:twoCellAnchor>
    <xdr:from>
      <xdr:col>22</xdr:col>
      <xdr:colOff>120000</xdr:colOff>
      <xdr:row>125</xdr:row>
      <xdr:rowOff>0</xdr:rowOff>
    </xdr:from>
    <xdr:to>
      <xdr:col>22</xdr:col>
      <xdr:colOff>290512</xdr:colOff>
      <xdr:row>126</xdr:row>
      <xdr:rowOff>0</xdr:rowOff>
    </xdr:to>
    <xdr:pic>
      <xdr:nvPicPr>
        <xdr:cNvPr id="523" name="Picture 1" descr="Picture">
          <a:extLst>
            <a:ext uri="{FF2B5EF4-FFF2-40B4-BE49-F238E27FC236}">
              <a16:creationId xmlns:a16="http://schemas.microsoft.com/office/drawing/2014/main" id="{7AA3968A-A68E-4339-B021-00AAEC5EA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42150" y="40214550"/>
          <a:ext cx="170512" cy="171450"/>
        </a:xfrm>
        <a:prstGeom prst="rect">
          <a:avLst/>
        </a:prstGeom>
      </xdr:spPr>
    </xdr:pic>
    <xdr:clientData/>
  </xdr:twoCellAnchor>
  <xdr:twoCellAnchor>
    <xdr:from>
      <xdr:col>23</xdr:col>
      <xdr:colOff>120000</xdr:colOff>
      <xdr:row>125</xdr:row>
      <xdr:rowOff>0</xdr:rowOff>
    </xdr:from>
    <xdr:to>
      <xdr:col>23</xdr:col>
      <xdr:colOff>290512</xdr:colOff>
      <xdr:row>126</xdr:row>
      <xdr:rowOff>0</xdr:rowOff>
    </xdr:to>
    <xdr:pic>
      <xdr:nvPicPr>
        <xdr:cNvPr id="524" name="Picture 1" descr="Picture">
          <a:extLst>
            <a:ext uri="{FF2B5EF4-FFF2-40B4-BE49-F238E27FC236}">
              <a16:creationId xmlns:a16="http://schemas.microsoft.com/office/drawing/2014/main" id="{1D7473F1-6B61-4BEA-A766-82EEFCAAF8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342200" y="40214550"/>
          <a:ext cx="170512" cy="171450"/>
        </a:xfrm>
        <a:prstGeom prst="rect">
          <a:avLst/>
        </a:prstGeom>
      </xdr:spPr>
    </xdr:pic>
    <xdr:clientData/>
  </xdr:twoCellAnchor>
  <xdr:twoCellAnchor>
    <xdr:from>
      <xdr:col>24</xdr:col>
      <xdr:colOff>120000</xdr:colOff>
      <xdr:row>125</xdr:row>
      <xdr:rowOff>0</xdr:rowOff>
    </xdr:from>
    <xdr:to>
      <xdr:col>24</xdr:col>
      <xdr:colOff>290512</xdr:colOff>
      <xdr:row>126</xdr:row>
      <xdr:rowOff>0</xdr:rowOff>
    </xdr:to>
    <xdr:pic>
      <xdr:nvPicPr>
        <xdr:cNvPr id="525" name="Picture 1" descr="Picture">
          <a:extLst>
            <a:ext uri="{FF2B5EF4-FFF2-40B4-BE49-F238E27FC236}">
              <a16:creationId xmlns:a16="http://schemas.microsoft.com/office/drawing/2014/main" id="{958B6571-EB4C-49CA-9DD2-C54900CD7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42250" y="40214550"/>
          <a:ext cx="170512" cy="171450"/>
        </a:xfrm>
        <a:prstGeom prst="rect">
          <a:avLst/>
        </a:prstGeom>
      </xdr:spPr>
    </xdr:pic>
    <xdr:clientData/>
  </xdr:twoCellAnchor>
  <xdr:twoCellAnchor>
    <xdr:from>
      <xdr:col>25</xdr:col>
      <xdr:colOff>120000</xdr:colOff>
      <xdr:row>125</xdr:row>
      <xdr:rowOff>0</xdr:rowOff>
    </xdr:from>
    <xdr:to>
      <xdr:col>25</xdr:col>
      <xdr:colOff>290512</xdr:colOff>
      <xdr:row>126</xdr:row>
      <xdr:rowOff>0</xdr:rowOff>
    </xdr:to>
    <xdr:pic>
      <xdr:nvPicPr>
        <xdr:cNvPr id="526" name="Picture 1" descr="Picture">
          <a:extLst>
            <a:ext uri="{FF2B5EF4-FFF2-40B4-BE49-F238E27FC236}">
              <a16:creationId xmlns:a16="http://schemas.microsoft.com/office/drawing/2014/main" id="{FA012535-BCFF-4CD8-859B-2963BDDEC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2300" y="40214550"/>
          <a:ext cx="170512" cy="17145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125</xdr:row>
      <xdr:rowOff>0</xdr:rowOff>
    </xdr:from>
    <xdr:to>
      <xdr:col>26</xdr:col>
      <xdr:colOff>290512</xdr:colOff>
      <xdr:row>126</xdr:row>
      <xdr:rowOff>0</xdr:rowOff>
    </xdr:to>
    <xdr:pic>
      <xdr:nvPicPr>
        <xdr:cNvPr id="527" name="Picture 1" descr="Picture">
          <a:extLst>
            <a:ext uri="{FF2B5EF4-FFF2-40B4-BE49-F238E27FC236}">
              <a16:creationId xmlns:a16="http://schemas.microsoft.com/office/drawing/2014/main" id="{D0810940-9753-425F-BA20-24EAC4473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42350" y="40214550"/>
          <a:ext cx="170512" cy="17145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125</xdr:row>
      <xdr:rowOff>0</xdr:rowOff>
    </xdr:from>
    <xdr:to>
      <xdr:col>28</xdr:col>
      <xdr:colOff>290512</xdr:colOff>
      <xdr:row>126</xdr:row>
      <xdr:rowOff>0</xdr:rowOff>
    </xdr:to>
    <xdr:pic>
      <xdr:nvPicPr>
        <xdr:cNvPr id="528" name="Picture 1" descr="Picture">
          <a:extLst>
            <a:ext uri="{FF2B5EF4-FFF2-40B4-BE49-F238E27FC236}">
              <a16:creationId xmlns:a16="http://schemas.microsoft.com/office/drawing/2014/main" id="{6D686389-7FDF-4F2E-88FC-DE46ACB2D9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342450" y="40214550"/>
          <a:ext cx="170512" cy="17145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125</xdr:row>
      <xdr:rowOff>0</xdr:rowOff>
    </xdr:from>
    <xdr:to>
      <xdr:col>29</xdr:col>
      <xdr:colOff>290512</xdr:colOff>
      <xdr:row>126</xdr:row>
      <xdr:rowOff>0</xdr:rowOff>
    </xdr:to>
    <xdr:pic>
      <xdr:nvPicPr>
        <xdr:cNvPr id="529" name="Picture 1" descr="Picture">
          <a:extLst>
            <a:ext uri="{FF2B5EF4-FFF2-40B4-BE49-F238E27FC236}">
              <a16:creationId xmlns:a16="http://schemas.microsoft.com/office/drawing/2014/main" id="{3223E04B-F782-42CA-BE52-2508DA075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742500" y="40214550"/>
          <a:ext cx="170512" cy="17145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125</xdr:row>
      <xdr:rowOff>0</xdr:rowOff>
    </xdr:from>
    <xdr:to>
      <xdr:col>35</xdr:col>
      <xdr:colOff>290512</xdr:colOff>
      <xdr:row>126</xdr:row>
      <xdr:rowOff>0</xdr:rowOff>
    </xdr:to>
    <xdr:pic>
      <xdr:nvPicPr>
        <xdr:cNvPr id="530" name="Picture 1" descr="Picture">
          <a:extLst>
            <a:ext uri="{FF2B5EF4-FFF2-40B4-BE49-F238E27FC236}">
              <a16:creationId xmlns:a16="http://schemas.microsoft.com/office/drawing/2014/main" id="{CA4CFBE5-32E6-4117-9E3E-7F46F1DC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142800" y="40214550"/>
          <a:ext cx="170512" cy="17145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125</xdr:row>
      <xdr:rowOff>0</xdr:rowOff>
    </xdr:from>
    <xdr:to>
      <xdr:col>36</xdr:col>
      <xdr:colOff>290512</xdr:colOff>
      <xdr:row>126</xdr:row>
      <xdr:rowOff>0</xdr:rowOff>
    </xdr:to>
    <xdr:pic>
      <xdr:nvPicPr>
        <xdr:cNvPr id="531" name="Picture 1" descr="Picture">
          <a:extLst>
            <a:ext uri="{FF2B5EF4-FFF2-40B4-BE49-F238E27FC236}">
              <a16:creationId xmlns:a16="http://schemas.microsoft.com/office/drawing/2014/main" id="{17E7A3D1-81AA-419E-896A-A39314105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42850" y="40214550"/>
          <a:ext cx="170512" cy="17145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125</xdr:row>
      <xdr:rowOff>0</xdr:rowOff>
    </xdr:from>
    <xdr:to>
      <xdr:col>37</xdr:col>
      <xdr:colOff>290512</xdr:colOff>
      <xdr:row>126</xdr:row>
      <xdr:rowOff>0</xdr:rowOff>
    </xdr:to>
    <xdr:pic>
      <xdr:nvPicPr>
        <xdr:cNvPr id="532" name="Picture 1" descr="Picture">
          <a:extLst>
            <a:ext uri="{FF2B5EF4-FFF2-40B4-BE49-F238E27FC236}">
              <a16:creationId xmlns:a16="http://schemas.microsoft.com/office/drawing/2014/main" id="{3E825874-D910-4872-9F4B-CA999D18C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942900" y="40214550"/>
          <a:ext cx="170512" cy="17145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125</xdr:row>
      <xdr:rowOff>0</xdr:rowOff>
    </xdr:from>
    <xdr:to>
      <xdr:col>38</xdr:col>
      <xdr:colOff>290512</xdr:colOff>
      <xdr:row>126</xdr:row>
      <xdr:rowOff>0</xdr:rowOff>
    </xdr:to>
    <xdr:pic>
      <xdr:nvPicPr>
        <xdr:cNvPr id="533" name="Picture 1" descr="Picture">
          <a:extLst>
            <a:ext uri="{FF2B5EF4-FFF2-40B4-BE49-F238E27FC236}">
              <a16:creationId xmlns:a16="http://schemas.microsoft.com/office/drawing/2014/main" id="{BFF93B96-24CA-477E-AFE4-849161B47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342950" y="40214550"/>
          <a:ext cx="170512" cy="17145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125</xdr:row>
      <xdr:rowOff>0</xdr:rowOff>
    </xdr:from>
    <xdr:to>
      <xdr:col>39</xdr:col>
      <xdr:colOff>290512</xdr:colOff>
      <xdr:row>126</xdr:row>
      <xdr:rowOff>0</xdr:rowOff>
    </xdr:to>
    <xdr:pic>
      <xdr:nvPicPr>
        <xdr:cNvPr id="534" name="Picture 1" descr="Picture">
          <a:extLst>
            <a:ext uri="{FF2B5EF4-FFF2-40B4-BE49-F238E27FC236}">
              <a16:creationId xmlns:a16="http://schemas.microsoft.com/office/drawing/2014/main" id="{B2E93D42-DD20-46FC-99D9-259F3B9C5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43000" y="40214550"/>
          <a:ext cx="170512" cy="17145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125</xdr:row>
      <xdr:rowOff>0</xdr:rowOff>
    </xdr:from>
    <xdr:to>
      <xdr:col>40</xdr:col>
      <xdr:colOff>290512</xdr:colOff>
      <xdr:row>126</xdr:row>
      <xdr:rowOff>0</xdr:rowOff>
    </xdr:to>
    <xdr:pic>
      <xdr:nvPicPr>
        <xdr:cNvPr id="535" name="Picture 1" descr="Picture">
          <a:extLst>
            <a:ext uri="{FF2B5EF4-FFF2-40B4-BE49-F238E27FC236}">
              <a16:creationId xmlns:a16="http://schemas.microsoft.com/office/drawing/2014/main" id="{E16CA3BD-083D-4700-886B-26D3CA0D9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143050" y="40214550"/>
          <a:ext cx="170512" cy="17145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126</xdr:row>
      <xdr:rowOff>0</xdr:rowOff>
    </xdr:from>
    <xdr:to>
      <xdr:col>35</xdr:col>
      <xdr:colOff>290512</xdr:colOff>
      <xdr:row>127</xdr:row>
      <xdr:rowOff>0</xdr:rowOff>
    </xdr:to>
    <xdr:pic>
      <xdr:nvPicPr>
        <xdr:cNvPr id="536" name="Picture 1" descr="Picture">
          <a:extLst>
            <a:ext uri="{FF2B5EF4-FFF2-40B4-BE49-F238E27FC236}">
              <a16:creationId xmlns:a16="http://schemas.microsoft.com/office/drawing/2014/main" id="{ADAF700B-8F62-415E-B137-B2CAC5816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142800" y="40557450"/>
          <a:ext cx="170512" cy="17145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126</xdr:row>
      <xdr:rowOff>0</xdr:rowOff>
    </xdr:from>
    <xdr:to>
      <xdr:col>36</xdr:col>
      <xdr:colOff>290512</xdr:colOff>
      <xdr:row>127</xdr:row>
      <xdr:rowOff>0</xdr:rowOff>
    </xdr:to>
    <xdr:pic>
      <xdr:nvPicPr>
        <xdr:cNvPr id="537" name="Picture 1" descr="Picture">
          <a:extLst>
            <a:ext uri="{FF2B5EF4-FFF2-40B4-BE49-F238E27FC236}">
              <a16:creationId xmlns:a16="http://schemas.microsoft.com/office/drawing/2014/main" id="{05538E12-3A62-49EE-ADD3-68DD59BB3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42850" y="40557450"/>
          <a:ext cx="170512" cy="17145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126</xdr:row>
      <xdr:rowOff>0</xdr:rowOff>
    </xdr:from>
    <xdr:to>
      <xdr:col>38</xdr:col>
      <xdr:colOff>290512</xdr:colOff>
      <xdr:row>127</xdr:row>
      <xdr:rowOff>0</xdr:rowOff>
    </xdr:to>
    <xdr:pic>
      <xdr:nvPicPr>
        <xdr:cNvPr id="538" name="Picture 1" descr="Picture">
          <a:extLst>
            <a:ext uri="{FF2B5EF4-FFF2-40B4-BE49-F238E27FC236}">
              <a16:creationId xmlns:a16="http://schemas.microsoft.com/office/drawing/2014/main" id="{99E2D653-F567-41DD-B17C-C16091764D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342950" y="40557450"/>
          <a:ext cx="170512" cy="17145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126</xdr:row>
      <xdr:rowOff>0</xdr:rowOff>
    </xdr:from>
    <xdr:to>
      <xdr:col>39</xdr:col>
      <xdr:colOff>290512</xdr:colOff>
      <xdr:row>127</xdr:row>
      <xdr:rowOff>0</xdr:rowOff>
    </xdr:to>
    <xdr:pic>
      <xdr:nvPicPr>
        <xdr:cNvPr id="539" name="Picture 1" descr="Picture">
          <a:extLst>
            <a:ext uri="{FF2B5EF4-FFF2-40B4-BE49-F238E27FC236}">
              <a16:creationId xmlns:a16="http://schemas.microsoft.com/office/drawing/2014/main" id="{3D645E39-75A5-41D7-B900-7BF262110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43000" y="40557450"/>
          <a:ext cx="170512" cy="17145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126</xdr:row>
      <xdr:rowOff>0</xdr:rowOff>
    </xdr:from>
    <xdr:to>
      <xdr:col>40</xdr:col>
      <xdr:colOff>290512</xdr:colOff>
      <xdr:row>127</xdr:row>
      <xdr:rowOff>0</xdr:rowOff>
    </xdr:to>
    <xdr:pic>
      <xdr:nvPicPr>
        <xdr:cNvPr id="540" name="Picture 1" descr="Picture">
          <a:extLst>
            <a:ext uri="{FF2B5EF4-FFF2-40B4-BE49-F238E27FC236}">
              <a16:creationId xmlns:a16="http://schemas.microsoft.com/office/drawing/2014/main" id="{3414D006-B3DB-4D6E-AAC8-C40B53814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143050" y="40557450"/>
          <a:ext cx="170512" cy="171450"/>
        </a:xfrm>
        <a:prstGeom prst="rect">
          <a:avLst/>
        </a:prstGeom>
      </xdr:spPr>
    </xdr:pic>
    <xdr:clientData/>
  </xdr:twoCellAnchor>
  <xdr:twoCellAnchor>
    <xdr:from>
      <xdr:col>23</xdr:col>
      <xdr:colOff>10000</xdr:colOff>
      <xdr:row>129</xdr:row>
      <xdr:rowOff>10000</xdr:rowOff>
    </xdr:from>
    <xdr:to>
      <xdr:col>23</xdr:col>
      <xdr:colOff>466725</xdr:colOff>
      <xdr:row>130</xdr:row>
      <xdr:rowOff>0</xdr:rowOff>
    </xdr:to>
    <xdr:pic>
      <xdr:nvPicPr>
        <xdr:cNvPr id="541" name="Picture 1" descr="Picture">
          <a:extLst>
            <a:ext uri="{FF2B5EF4-FFF2-40B4-BE49-F238E27FC236}">
              <a16:creationId xmlns:a16="http://schemas.microsoft.com/office/drawing/2014/main" id="{673B6688-F3AA-4DB7-9071-F5F4BF41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232200" y="42329575"/>
          <a:ext cx="390050" cy="161450"/>
        </a:xfrm>
        <a:prstGeom prst="rect">
          <a:avLst/>
        </a:prstGeom>
      </xdr:spPr>
    </xdr:pic>
    <xdr:clientData/>
  </xdr:twoCellAnchor>
  <xdr:twoCellAnchor>
    <xdr:from>
      <xdr:col>24</xdr:col>
      <xdr:colOff>10000</xdr:colOff>
      <xdr:row>129</xdr:row>
      <xdr:rowOff>10000</xdr:rowOff>
    </xdr:from>
    <xdr:to>
      <xdr:col>24</xdr:col>
      <xdr:colOff>466725</xdr:colOff>
      <xdr:row>130</xdr:row>
      <xdr:rowOff>0</xdr:rowOff>
    </xdr:to>
    <xdr:pic>
      <xdr:nvPicPr>
        <xdr:cNvPr id="542" name="Picture 1" descr="Picture">
          <a:extLst>
            <a:ext uri="{FF2B5EF4-FFF2-40B4-BE49-F238E27FC236}">
              <a16:creationId xmlns:a16="http://schemas.microsoft.com/office/drawing/2014/main" id="{F514BEE7-8DC7-4D0E-9420-604CA17AE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632250" y="42329575"/>
          <a:ext cx="390050" cy="161450"/>
        </a:xfrm>
        <a:prstGeom prst="rect">
          <a:avLst/>
        </a:prstGeom>
      </xdr:spPr>
    </xdr:pic>
    <xdr:clientData/>
  </xdr:twoCellAnchor>
  <xdr:twoCellAnchor>
    <xdr:from>
      <xdr:col>12</xdr:col>
      <xdr:colOff>120000</xdr:colOff>
      <xdr:row>148</xdr:row>
      <xdr:rowOff>0</xdr:rowOff>
    </xdr:from>
    <xdr:to>
      <xdr:col>12</xdr:col>
      <xdr:colOff>290512</xdr:colOff>
      <xdr:row>149</xdr:row>
      <xdr:rowOff>0</xdr:rowOff>
    </xdr:to>
    <xdr:pic>
      <xdr:nvPicPr>
        <xdr:cNvPr id="543" name="Picture 1" descr="Picture">
          <a:extLst>
            <a:ext uri="{FF2B5EF4-FFF2-40B4-BE49-F238E27FC236}">
              <a16:creationId xmlns:a16="http://schemas.microsoft.com/office/drawing/2014/main" id="{B530434D-F5CD-4D03-BCB7-9FA608204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41650" y="47167800"/>
          <a:ext cx="170512" cy="171450"/>
        </a:xfrm>
        <a:prstGeom prst="rect">
          <a:avLst/>
        </a:prstGeom>
      </xdr:spPr>
    </xdr:pic>
    <xdr:clientData/>
  </xdr:twoCellAnchor>
  <xdr:twoCellAnchor>
    <xdr:from>
      <xdr:col>14</xdr:col>
      <xdr:colOff>120000</xdr:colOff>
      <xdr:row>148</xdr:row>
      <xdr:rowOff>0</xdr:rowOff>
    </xdr:from>
    <xdr:to>
      <xdr:col>14</xdr:col>
      <xdr:colOff>290512</xdr:colOff>
      <xdr:row>149</xdr:row>
      <xdr:rowOff>0</xdr:rowOff>
    </xdr:to>
    <xdr:pic>
      <xdr:nvPicPr>
        <xdr:cNvPr id="544" name="Picture 1" descr="Picture">
          <a:extLst>
            <a:ext uri="{FF2B5EF4-FFF2-40B4-BE49-F238E27FC236}">
              <a16:creationId xmlns:a16="http://schemas.microsoft.com/office/drawing/2014/main" id="{AA66637E-06CC-46DF-9619-29A738BB4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741750" y="47167800"/>
          <a:ext cx="170512" cy="171450"/>
        </a:xfrm>
        <a:prstGeom prst="rect">
          <a:avLst/>
        </a:prstGeom>
      </xdr:spPr>
    </xdr:pic>
    <xdr:clientData/>
  </xdr:twoCellAnchor>
  <xdr:twoCellAnchor>
    <xdr:from>
      <xdr:col>15</xdr:col>
      <xdr:colOff>120000</xdr:colOff>
      <xdr:row>148</xdr:row>
      <xdr:rowOff>0</xdr:rowOff>
    </xdr:from>
    <xdr:to>
      <xdr:col>15</xdr:col>
      <xdr:colOff>290512</xdr:colOff>
      <xdr:row>149</xdr:row>
      <xdr:rowOff>0</xdr:rowOff>
    </xdr:to>
    <xdr:pic>
      <xdr:nvPicPr>
        <xdr:cNvPr id="545" name="Picture 1" descr="Picture">
          <a:extLst>
            <a:ext uri="{FF2B5EF4-FFF2-40B4-BE49-F238E27FC236}">
              <a16:creationId xmlns:a16="http://schemas.microsoft.com/office/drawing/2014/main" id="{C0B2DA19-97B4-404E-86A5-92FD3F90B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41800" y="47167800"/>
          <a:ext cx="170512" cy="171450"/>
        </a:xfrm>
        <a:prstGeom prst="rect">
          <a:avLst/>
        </a:prstGeom>
      </xdr:spPr>
    </xdr:pic>
    <xdr:clientData/>
  </xdr:twoCellAnchor>
  <xdr:twoCellAnchor>
    <xdr:from>
      <xdr:col>16</xdr:col>
      <xdr:colOff>120000</xdr:colOff>
      <xdr:row>148</xdr:row>
      <xdr:rowOff>0</xdr:rowOff>
    </xdr:from>
    <xdr:to>
      <xdr:col>16</xdr:col>
      <xdr:colOff>290512</xdr:colOff>
      <xdr:row>149</xdr:row>
      <xdr:rowOff>0</xdr:rowOff>
    </xdr:to>
    <xdr:pic>
      <xdr:nvPicPr>
        <xdr:cNvPr id="546" name="Picture 1" descr="Picture">
          <a:extLst>
            <a:ext uri="{FF2B5EF4-FFF2-40B4-BE49-F238E27FC236}">
              <a16:creationId xmlns:a16="http://schemas.microsoft.com/office/drawing/2014/main" id="{3C8ECAD9-1128-48B7-A72D-A2F07329D3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41850" y="47167800"/>
          <a:ext cx="170512" cy="171450"/>
        </a:xfrm>
        <a:prstGeom prst="rect">
          <a:avLst/>
        </a:prstGeom>
      </xdr:spPr>
    </xdr:pic>
    <xdr:clientData/>
  </xdr:twoCellAnchor>
  <xdr:twoCellAnchor>
    <xdr:from>
      <xdr:col>17</xdr:col>
      <xdr:colOff>120000</xdr:colOff>
      <xdr:row>148</xdr:row>
      <xdr:rowOff>0</xdr:rowOff>
    </xdr:from>
    <xdr:to>
      <xdr:col>17</xdr:col>
      <xdr:colOff>290512</xdr:colOff>
      <xdr:row>149</xdr:row>
      <xdr:rowOff>0</xdr:rowOff>
    </xdr:to>
    <xdr:pic>
      <xdr:nvPicPr>
        <xdr:cNvPr id="547" name="Picture 1" descr="Picture">
          <a:extLst>
            <a:ext uri="{FF2B5EF4-FFF2-40B4-BE49-F238E27FC236}">
              <a16:creationId xmlns:a16="http://schemas.microsoft.com/office/drawing/2014/main" id="{0F409783-7811-4682-902E-8F2D916B7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41900" y="47167800"/>
          <a:ext cx="170512" cy="171450"/>
        </a:xfrm>
        <a:prstGeom prst="rect">
          <a:avLst/>
        </a:prstGeom>
      </xdr:spPr>
    </xdr:pic>
    <xdr:clientData/>
  </xdr:twoCellAnchor>
  <xdr:twoCellAnchor>
    <xdr:from>
      <xdr:col>22</xdr:col>
      <xdr:colOff>120000</xdr:colOff>
      <xdr:row>148</xdr:row>
      <xdr:rowOff>0</xdr:rowOff>
    </xdr:from>
    <xdr:to>
      <xdr:col>22</xdr:col>
      <xdr:colOff>290512</xdr:colOff>
      <xdr:row>149</xdr:row>
      <xdr:rowOff>0</xdr:rowOff>
    </xdr:to>
    <xdr:pic>
      <xdr:nvPicPr>
        <xdr:cNvPr id="548" name="Picture 1" descr="Picture">
          <a:extLst>
            <a:ext uri="{FF2B5EF4-FFF2-40B4-BE49-F238E27FC236}">
              <a16:creationId xmlns:a16="http://schemas.microsoft.com/office/drawing/2014/main" id="{5819D81B-46A0-449B-B72A-AEC4A961D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42150" y="47167800"/>
          <a:ext cx="170512" cy="171450"/>
        </a:xfrm>
        <a:prstGeom prst="rect">
          <a:avLst/>
        </a:prstGeom>
      </xdr:spPr>
    </xdr:pic>
    <xdr:clientData/>
  </xdr:twoCellAnchor>
  <xdr:twoCellAnchor>
    <xdr:from>
      <xdr:col>23</xdr:col>
      <xdr:colOff>120000</xdr:colOff>
      <xdr:row>148</xdr:row>
      <xdr:rowOff>0</xdr:rowOff>
    </xdr:from>
    <xdr:to>
      <xdr:col>23</xdr:col>
      <xdr:colOff>290512</xdr:colOff>
      <xdr:row>149</xdr:row>
      <xdr:rowOff>0</xdr:rowOff>
    </xdr:to>
    <xdr:pic>
      <xdr:nvPicPr>
        <xdr:cNvPr id="549" name="Picture 1" descr="Picture">
          <a:extLst>
            <a:ext uri="{FF2B5EF4-FFF2-40B4-BE49-F238E27FC236}">
              <a16:creationId xmlns:a16="http://schemas.microsoft.com/office/drawing/2014/main" id="{5CFB4B41-5C55-4FF6-B242-F1C9901C4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342200" y="47167800"/>
          <a:ext cx="170512" cy="171450"/>
        </a:xfrm>
        <a:prstGeom prst="rect">
          <a:avLst/>
        </a:prstGeom>
      </xdr:spPr>
    </xdr:pic>
    <xdr:clientData/>
  </xdr:twoCellAnchor>
  <xdr:twoCellAnchor>
    <xdr:from>
      <xdr:col>24</xdr:col>
      <xdr:colOff>120000</xdr:colOff>
      <xdr:row>148</xdr:row>
      <xdr:rowOff>0</xdr:rowOff>
    </xdr:from>
    <xdr:to>
      <xdr:col>24</xdr:col>
      <xdr:colOff>290512</xdr:colOff>
      <xdr:row>149</xdr:row>
      <xdr:rowOff>0</xdr:rowOff>
    </xdr:to>
    <xdr:pic>
      <xdr:nvPicPr>
        <xdr:cNvPr id="550" name="Picture 1" descr="Picture">
          <a:extLst>
            <a:ext uri="{FF2B5EF4-FFF2-40B4-BE49-F238E27FC236}">
              <a16:creationId xmlns:a16="http://schemas.microsoft.com/office/drawing/2014/main" id="{4301217C-18E7-4E94-8A0D-6A81C3103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42250" y="47167800"/>
          <a:ext cx="170512" cy="171450"/>
        </a:xfrm>
        <a:prstGeom prst="rect">
          <a:avLst/>
        </a:prstGeom>
      </xdr:spPr>
    </xdr:pic>
    <xdr:clientData/>
  </xdr:twoCellAnchor>
  <xdr:twoCellAnchor>
    <xdr:from>
      <xdr:col>25</xdr:col>
      <xdr:colOff>120000</xdr:colOff>
      <xdr:row>148</xdr:row>
      <xdr:rowOff>0</xdr:rowOff>
    </xdr:from>
    <xdr:to>
      <xdr:col>25</xdr:col>
      <xdr:colOff>290512</xdr:colOff>
      <xdr:row>149</xdr:row>
      <xdr:rowOff>0</xdr:rowOff>
    </xdr:to>
    <xdr:pic>
      <xdr:nvPicPr>
        <xdr:cNvPr id="551" name="Picture 1" descr="Picture">
          <a:extLst>
            <a:ext uri="{FF2B5EF4-FFF2-40B4-BE49-F238E27FC236}">
              <a16:creationId xmlns:a16="http://schemas.microsoft.com/office/drawing/2014/main" id="{BA60857B-B123-4D57-B816-C1C4F8899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2300" y="47167800"/>
          <a:ext cx="170512" cy="17145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148</xdr:row>
      <xdr:rowOff>0</xdr:rowOff>
    </xdr:from>
    <xdr:to>
      <xdr:col>26</xdr:col>
      <xdr:colOff>290512</xdr:colOff>
      <xdr:row>149</xdr:row>
      <xdr:rowOff>0</xdr:rowOff>
    </xdr:to>
    <xdr:pic>
      <xdr:nvPicPr>
        <xdr:cNvPr id="552" name="Picture 1" descr="Picture">
          <a:extLst>
            <a:ext uri="{FF2B5EF4-FFF2-40B4-BE49-F238E27FC236}">
              <a16:creationId xmlns:a16="http://schemas.microsoft.com/office/drawing/2014/main" id="{74DB12D3-8B8B-45F8-99A1-9C3EF228D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42350" y="47167800"/>
          <a:ext cx="170512" cy="17145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148</xdr:row>
      <xdr:rowOff>0</xdr:rowOff>
    </xdr:from>
    <xdr:to>
      <xdr:col>28</xdr:col>
      <xdr:colOff>290512</xdr:colOff>
      <xdr:row>149</xdr:row>
      <xdr:rowOff>0</xdr:rowOff>
    </xdr:to>
    <xdr:pic>
      <xdr:nvPicPr>
        <xdr:cNvPr id="553" name="Picture 1" descr="Picture">
          <a:extLst>
            <a:ext uri="{FF2B5EF4-FFF2-40B4-BE49-F238E27FC236}">
              <a16:creationId xmlns:a16="http://schemas.microsoft.com/office/drawing/2014/main" id="{4EF1F6BD-1F1C-4F4C-8657-30B1EB0D7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342450" y="47167800"/>
          <a:ext cx="170512" cy="17145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148</xdr:row>
      <xdr:rowOff>0</xdr:rowOff>
    </xdr:from>
    <xdr:to>
      <xdr:col>29</xdr:col>
      <xdr:colOff>290512</xdr:colOff>
      <xdr:row>149</xdr:row>
      <xdr:rowOff>0</xdr:rowOff>
    </xdr:to>
    <xdr:pic>
      <xdr:nvPicPr>
        <xdr:cNvPr id="554" name="Picture 1" descr="Picture">
          <a:extLst>
            <a:ext uri="{FF2B5EF4-FFF2-40B4-BE49-F238E27FC236}">
              <a16:creationId xmlns:a16="http://schemas.microsoft.com/office/drawing/2014/main" id="{8EB98E65-9E66-4502-9E9A-E6FF990DE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742500" y="47167800"/>
          <a:ext cx="170512" cy="17145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148</xdr:row>
      <xdr:rowOff>0</xdr:rowOff>
    </xdr:from>
    <xdr:to>
      <xdr:col>30</xdr:col>
      <xdr:colOff>290512</xdr:colOff>
      <xdr:row>149</xdr:row>
      <xdr:rowOff>0</xdr:rowOff>
    </xdr:to>
    <xdr:pic>
      <xdr:nvPicPr>
        <xdr:cNvPr id="555" name="Picture 1" descr="Picture">
          <a:extLst>
            <a:ext uri="{FF2B5EF4-FFF2-40B4-BE49-F238E27FC236}">
              <a16:creationId xmlns:a16="http://schemas.microsoft.com/office/drawing/2014/main" id="{10CCD6B8-E164-4946-A8AB-11E25ED1C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42550" y="47167800"/>
          <a:ext cx="170512" cy="17145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148</xdr:row>
      <xdr:rowOff>0</xdr:rowOff>
    </xdr:from>
    <xdr:to>
      <xdr:col>31</xdr:col>
      <xdr:colOff>290512</xdr:colOff>
      <xdr:row>149</xdr:row>
      <xdr:rowOff>0</xdr:rowOff>
    </xdr:to>
    <xdr:pic>
      <xdr:nvPicPr>
        <xdr:cNvPr id="556" name="Picture 1" descr="Picture">
          <a:extLst>
            <a:ext uri="{FF2B5EF4-FFF2-40B4-BE49-F238E27FC236}">
              <a16:creationId xmlns:a16="http://schemas.microsoft.com/office/drawing/2014/main" id="{E214954B-465B-4122-B7A3-78A2BAA59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42600" y="47167800"/>
          <a:ext cx="170512" cy="17145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148</xdr:row>
      <xdr:rowOff>0</xdr:rowOff>
    </xdr:from>
    <xdr:to>
      <xdr:col>32</xdr:col>
      <xdr:colOff>290512</xdr:colOff>
      <xdr:row>149</xdr:row>
      <xdr:rowOff>0</xdr:rowOff>
    </xdr:to>
    <xdr:pic>
      <xdr:nvPicPr>
        <xdr:cNvPr id="557" name="Picture 1" descr="Picture">
          <a:extLst>
            <a:ext uri="{FF2B5EF4-FFF2-40B4-BE49-F238E27FC236}">
              <a16:creationId xmlns:a16="http://schemas.microsoft.com/office/drawing/2014/main" id="{2C9734EC-AF41-4F43-8A84-D9038B3C9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42650" y="47167800"/>
          <a:ext cx="170512" cy="17145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148</xdr:row>
      <xdr:rowOff>0</xdr:rowOff>
    </xdr:from>
    <xdr:to>
      <xdr:col>33</xdr:col>
      <xdr:colOff>290512</xdr:colOff>
      <xdr:row>149</xdr:row>
      <xdr:rowOff>0</xdr:rowOff>
    </xdr:to>
    <xdr:pic>
      <xdr:nvPicPr>
        <xdr:cNvPr id="558" name="Picture 1" descr="Picture">
          <a:extLst>
            <a:ext uri="{FF2B5EF4-FFF2-40B4-BE49-F238E27FC236}">
              <a16:creationId xmlns:a16="http://schemas.microsoft.com/office/drawing/2014/main" id="{F3F3B87C-E513-41A2-9E46-992B48521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42700" y="47167800"/>
          <a:ext cx="170512" cy="17145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148</xdr:row>
      <xdr:rowOff>0</xdr:rowOff>
    </xdr:from>
    <xdr:to>
      <xdr:col>35</xdr:col>
      <xdr:colOff>290512</xdr:colOff>
      <xdr:row>149</xdr:row>
      <xdr:rowOff>0</xdr:rowOff>
    </xdr:to>
    <xdr:pic>
      <xdr:nvPicPr>
        <xdr:cNvPr id="559" name="Picture 1" descr="Picture">
          <a:extLst>
            <a:ext uri="{FF2B5EF4-FFF2-40B4-BE49-F238E27FC236}">
              <a16:creationId xmlns:a16="http://schemas.microsoft.com/office/drawing/2014/main" id="{78AB3EBF-70D5-47D2-91F8-EF486CF19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142800" y="47167800"/>
          <a:ext cx="170512" cy="17145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148</xdr:row>
      <xdr:rowOff>0</xdr:rowOff>
    </xdr:from>
    <xdr:to>
      <xdr:col>36</xdr:col>
      <xdr:colOff>290512</xdr:colOff>
      <xdr:row>149</xdr:row>
      <xdr:rowOff>0</xdr:rowOff>
    </xdr:to>
    <xdr:pic>
      <xdr:nvPicPr>
        <xdr:cNvPr id="560" name="Picture 1" descr="Picture">
          <a:extLst>
            <a:ext uri="{FF2B5EF4-FFF2-40B4-BE49-F238E27FC236}">
              <a16:creationId xmlns:a16="http://schemas.microsoft.com/office/drawing/2014/main" id="{016DC4D9-89F3-4641-BB15-AA425C95B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42850" y="47167800"/>
          <a:ext cx="170512" cy="17145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148</xdr:row>
      <xdr:rowOff>0</xdr:rowOff>
    </xdr:from>
    <xdr:to>
      <xdr:col>37</xdr:col>
      <xdr:colOff>290512</xdr:colOff>
      <xdr:row>149</xdr:row>
      <xdr:rowOff>0</xdr:rowOff>
    </xdr:to>
    <xdr:pic>
      <xdr:nvPicPr>
        <xdr:cNvPr id="561" name="Picture 1" descr="Picture">
          <a:extLst>
            <a:ext uri="{FF2B5EF4-FFF2-40B4-BE49-F238E27FC236}">
              <a16:creationId xmlns:a16="http://schemas.microsoft.com/office/drawing/2014/main" id="{A368D661-EC5D-47D2-9E7E-910CB1147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942900" y="47167800"/>
          <a:ext cx="170512" cy="17145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148</xdr:row>
      <xdr:rowOff>0</xdr:rowOff>
    </xdr:from>
    <xdr:to>
      <xdr:col>38</xdr:col>
      <xdr:colOff>290512</xdr:colOff>
      <xdr:row>149</xdr:row>
      <xdr:rowOff>0</xdr:rowOff>
    </xdr:to>
    <xdr:pic>
      <xdr:nvPicPr>
        <xdr:cNvPr id="562" name="Picture 1" descr="Picture">
          <a:extLst>
            <a:ext uri="{FF2B5EF4-FFF2-40B4-BE49-F238E27FC236}">
              <a16:creationId xmlns:a16="http://schemas.microsoft.com/office/drawing/2014/main" id="{62D6557A-1E71-4954-9C26-E44095104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342950" y="47167800"/>
          <a:ext cx="170512" cy="17145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148</xdr:row>
      <xdr:rowOff>0</xdr:rowOff>
    </xdr:from>
    <xdr:to>
      <xdr:col>39</xdr:col>
      <xdr:colOff>290512</xdr:colOff>
      <xdr:row>149</xdr:row>
      <xdr:rowOff>0</xdr:rowOff>
    </xdr:to>
    <xdr:pic>
      <xdr:nvPicPr>
        <xdr:cNvPr id="563" name="Picture 1" descr="Picture">
          <a:extLst>
            <a:ext uri="{FF2B5EF4-FFF2-40B4-BE49-F238E27FC236}">
              <a16:creationId xmlns:a16="http://schemas.microsoft.com/office/drawing/2014/main" id="{401F841C-0AC0-4235-A88C-170D7C2DA3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43000" y="47167800"/>
          <a:ext cx="170512" cy="17145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148</xdr:row>
      <xdr:rowOff>0</xdr:rowOff>
    </xdr:from>
    <xdr:to>
      <xdr:col>40</xdr:col>
      <xdr:colOff>290512</xdr:colOff>
      <xdr:row>149</xdr:row>
      <xdr:rowOff>0</xdr:rowOff>
    </xdr:to>
    <xdr:pic>
      <xdr:nvPicPr>
        <xdr:cNvPr id="564" name="Picture 1" descr="Picture">
          <a:extLst>
            <a:ext uri="{FF2B5EF4-FFF2-40B4-BE49-F238E27FC236}">
              <a16:creationId xmlns:a16="http://schemas.microsoft.com/office/drawing/2014/main" id="{5A7E5201-CFEF-4C38-B10F-4AAB949BA7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143050" y="47167800"/>
          <a:ext cx="170512" cy="171450"/>
        </a:xfrm>
        <a:prstGeom prst="rect">
          <a:avLst/>
        </a:prstGeom>
      </xdr:spPr>
    </xdr:pic>
    <xdr:clientData/>
  </xdr:twoCellAnchor>
  <xdr:twoCellAnchor>
    <xdr:from>
      <xdr:col>24</xdr:col>
      <xdr:colOff>120000</xdr:colOff>
      <xdr:row>205</xdr:row>
      <xdr:rowOff>0</xdr:rowOff>
    </xdr:from>
    <xdr:to>
      <xdr:col>24</xdr:col>
      <xdr:colOff>290512</xdr:colOff>
      <xdr:row>206</xdr:row>
      <xdr:rowOff>0</xdr:rowOff>
    </xdr:to>
    <xdr:pic>
      <xdr:nvPicPr>
        <xdr:cNvPr id="565" name="Picture 1" descr="Picture">
          <a:extLst>
            <a:ext uri="{FF2B5EF4-FFF2-40B4-BE49-F238E27FC236}">
              <a16:creationId xmlns:a16="http://schemas.microsoft.com/office/drawing/2014/main" id="{F33AC7CD-D619-43B8-8FD3-AB0478A7F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42250" y="61198125"/>
          <a:ext cx="170512" cy="171450"/>
        </a:xfrm>
        <a:prstGeom prst="rect">
          <a:avLst/>
        </a:prstGeom>
      </xdr:spPr>
    </xdr:pic>
    <xdr:clientData/>
  </xdr:twoCellAnchor>
  <xdr:twoCellAnchor>
    <xdr:from>
      <xdr:col>25</xdr:col>
      <xdr:colOff>120000</xdr:colOff>
      <xdr:row>205</xdr:row>
      <xdr:rowOff>0</xdr:rowOff>
    </xdr:from>
    <xdr:to>
      <xdr:col>25</xdr:col>
      <xdr:colOff>290512</xdr:colOff>
      <xdr:row>206</xdr:row>
      <xdr:rowOff>0</xdr:rowOff>
    </xdr:to>
    <xdr:pic>
      <xdr:nvPicPr>
        <xdr:cNvPr id="566" name="Picture 1" descr="Picture">
          <a:extLst>
            <a:ext uri="{FF2B5EF4-FFF2-40B4-BE49-F238E27FC236}">
              <a16:creationId xmlns:a16="http://schemas.microsoft.com/office/drawing/2014/main" id="{8A6F7B6F-8FCE-470D-BE02-AF970870B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2300" y="61198125"/>
          <a:ext cx="170512" cy="17145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205</xdr:row>
      <xdr:rowOff>0</xdr:rowOff>
    </xdr:from>
    <xdr:to>
      <xdr:col>26</xdr:col>
      <xdr:colOff>290512</xdr:colOff>
      <xdr:row>206</xdr:row>
      <xdr:rowOff>0</xdr:rowOff>
    </xdr:to>
    <xdr:pic>
      <xdr:nvPicPr>
        <xdr:cNvPr id="567" name="Picture 1" descr="Picture">
          <a:extLst>
            <a:ext uri="{FF2B5EF4-FFF2-40B4-BE49-F238E27FC236}">
              <a16:creationId xmlns:a16="http://schemas.microsoft.com/office/drawing/2014/main" id="{FB97F4F0-EFE6-453D-82E1-A3FF7F18D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42350" y="61198125"/>
          <a:ext cx="170512" cy="17145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205</xdr:row>
      <xdr:rowOff>0</xdr:rowOff>
    </xdr:from>
    <xdr:to>
      <xdr:col>35</xdr:col>
      <xdr:colOff>290512</xdr:colOff>
      <xdr:row>206</xdr:row>
      <xdr:rowOff>0</xdr:rowOff>
    </xdr:to>
    <xdr:pic>
      <xdr:nvPicPr>
        <xdr:cNvPr id="568" name="Picture 1" descr="Picture">
          <a:extLst>
            <a:ext uri="{FF2B5EF4-FFF2-40B4-BE49-F238E27FC236}">
              <a16:creationId xmlns:a16="http://schemas.microsoft.com/office/drawing/2014/main" id="{685E4C21-7F31-4255-A9F6-09D037119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142800" y="61198125"/>
          <a:ext cx="170512" cy="17145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205</xdr:row>
      <xdr:rowOff>0</xdr:rowOff>
    </xdr:from>
    <xdr:to>
      <xdr:col>36</xdr:col>
      <xdr:colOff>290512</xdr:colOff>
      <xdr:row>206</xdr:row>
      <xdr:rowOff>0</xdr:rowOff>
    </xdr:to>
    <xdr:pic>
      <xdr:nvPicPr>
        <xdr:cNvPr id="569" name="Picture 1" descr="Picture">
          <a:extLst>
            <a:ext uri="{FF2B5EF4-FFF2-40B4-BE49-F238E27FC236}">
              <a16:creationId xmlns:a16="http://schemas.microsoft.com/office/drawing/2014/main" id="{F36B7509-F59B-4C51-B7D4-AAF9AA2A7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42850" y="61198125"/>
          <a:ext cx="170512" cy="17145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205</xdr:row>
      <xdr:rowOff>0</xdr:rowOff>
    </xdr:from>
    <xdr:to>
      <xdr:col>37</xdr:col>
      <xdr:colOff>290512</xdr:colOff>
      <xdr:row>206</xdr:row>
      <xdr:rowOff>0</xdr:rowOff>
    </xdr:to>
    <xdr:pic>
      <xdr:nvPicPr>
        <xdr:cNvPr id="570" name="Picture 1" descr="Picture">
          <a:extLst>
            <a:ext uri="{FF2B5EF4-FFF2-40B4-BE49-F238E27FC236}">
              <a16:creationId xmlns:a16="http://schemas.microsoft.com/office/drawing/2014/main" id="{70F44F94-962C-480F-8F69-E522E7E29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942900" y="61198125"/>
          <a:ext cx="170512" cy="171450"/>
        </a:xfrm>
        <a:prstGeom prst="rect">
          <a:avLst/>
        </a:prstGeom>
      </xdr:spPr>
    </xdr:pic>
    <xdr:clientData/>
  </xdr:twoCellAnchor>
  <xdr:twoCellAnchor>
    <xdr:from>
      <xdr:col>23</xdr:col>
      <xdr:colOff>10000</xdr:colOff>
      <xdr:row>234</xdr:row>
      <xdr:rowOff>10000</xdr:rowOff>
    </xdr:from>
    <xdr:to>
      <xdr:col>23</xdr:col>
      <xdr:colOff>466725</xdr:colOff>
      <xdr:row>235</xdr:row>
      <xdr:rowOff>0</xdr:rowOff>
    </xdr:to>
    <xdr:pic>
      <xdr:nvPicPr>
        <xdr:cNvPr id="571" name="Picture 1" descr="Picture">
          <a:extLst>
            <a:ext uri="{FF2B5EF4-FFF2-40B4-BE49-F238E27FC236}">
              <a16:creationId xmlns:a16="http://schemas.microsoft.com/office/drawing/2014/main" id="{161656CF-2CE5-4EB4-B57F-4D7FC51AB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232200" y="76800550"/>
          <a:ext cx="390050" cy="161450"/>
        </a:xfrm>
        <a:prstGeom prst="rect">
          <a:avLst/>
        </a:prstGeom>
      </xdr:spPr>
    </xdr:pic>
    <xdr:clientData/>
  </xdr:twoCellAnchor>
  <xdr:twoCellAnchor>
    <xdr:from>
      <xdr:col>24</xdr:col>
      <xdr:colOff>10000</xdr:colOff>
      <xdr:row>234</xdr:row>
      <xdr:rowOff>10000</xdr:rowOff>
    </xdr:from>
    <xdr:to>
      <xdr:col>24</xdr:col>
      <xdr:colOff>466725</xdr:colOff>
      <xdr:row>235</xdr:row>
      <xdr:rowOff>0</xdr:rowOff>
    </xdr:to>
    <xdr:pic>
      <xdr:nvPicPr>
        <xdr:cNvPr id="572" name="Picture 1" descr="Picture">
          <a:extLst>
            <a:ext uri="{FF2B5EF4-FFF2-40B4-BE49-F238E27FC236}">
              <a16:creationId xmlns:a16="http://schemas.microsoft.com/office/drawing/2014/main" id="{AA9543C6-E6A3-4FA7-8125-9EE30225D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632250" y="76800550"/>
          <a:ext cx="390050" cy="161450"/>
        </a:xfrm>
        <a:prstGeom prst="rect">
          <a:avLst/>
        </a:prstGeom>
      </xdr:spPr>
    </xdr:pic>
    <xdr:clientData/>
  </xdr:twoCellAnchor>
  <xdr:twoCellAnchor>
    <xdr:from>
      <xdr:col>22</xdr:col>
      <xdr:colOff>120000</xdr:colOff>
      <xdr:row>235</xdr:row>
      <xdr:rowOff>0</xdr:rowOff>
    </xdr:from>
    <xdr:to>
      <xdr:col>22</xdr:col>
      <xdr:colOff>290512</xdr:colOff>
      <xdr:row>236</xdr:row>
      <xdr:rowOff>0</xdr:rowOff>
    </xdr:to>
    <xdr:pic>
      <xdr:nvPicPr>
        <xdr:cNvPr id="573" name="Picture 1" descr="Picture">
          <a:extLst>
            <a:ext uri="{FF2B5EF4-FFF2-40B4-BE49-F238E27FC236}">
              <a16:creationId xmlns:a16="http://schemas.microsoft.com/office/drawing/2014/main" id="{268167A2-3A30-4931-A21A-CA32E8F9F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4942150" y="77133450"/>
          <a:ext cx="170512" cy="171450"/>
        </a:xfrm>
        <a:prstGeom prst="rect">
          <a:avLst/>
        </a:prstGeom>
      </xdr:spPr>
    </xdr:pic>
    <xdr:clientData/>
  </xdr:twoCellAnchor>
  <xdr:twoCellAnchor>
    <xdr:from>
      <xdr:col>23</xdr:col>
      <xdr:colOff>120000</xdr:colOff>
      <xdr:row>235</xdr:row>
      <xdr:rowOff>0</xdr:rowOff>
    </xdr:from>
    <xdr:to>
      <xdr:col>23</xdr:col>
      <xdr:colOff>290512</xdr:colOff>
      <xdr:row>236</xdr:row>
      <xdr:rowOff>0</xdr:rowOff>
    </xdr:to>
    <xdr:pic>
      <xdr:nvPicPr>
        <xdr:cNvPr id="574" name="Picture 1" descr="Picture">
          <a:extLst>
            <a:ext uri="{FF2B5EF4-FFF2-40B4-BE49-F238E27FC236}">
              <a16:creationId xmlns:a16="http://schemas.microsoft.com/office/drawing/2014/main" id="{C55D08DB-C31C-4EDA-9DC1-A8D666E99A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342200" y="77133450"/>
          <a:ext cx="170512" cy="171450"/>
        </a:xfrm>
        <a:prstGeom prst="rect">
          <a:avLst/>
        </a:prstGeom>
      </xdr:spPr>
    </xdr:pic>
    <xdr:clientData/>
  </xdr:twoCellAnchor>
  <xdr:twoCellAnchor>
    <xdr:from>
      <xdr:col>24</xdr:col>
      <xdr:colOff>120000</xdr:colOff>
      <xdr:row>235</xdr:row>
      <xdr:rowOff>0</xdr:rowOff>
    </xdr:from>
    <xdr:to>
      <xdr:col>24</xdr:col>
      <xdr:colOff>290512</xdr:colOff>
      <xdr:row>236</xdr:row>
      <xdr:rowOff>0</xdr:rowOff>
    </xdr:to>
    <xdr:pic>
      <xdr:nvPicPr>
        <xdr:cNvPr id="575" name="Picture 1" descr="Picture">
          <a:extLst>
            <a:ext uri="{FF2B5EF4-FFF2-40B4-BE49-F238E27FC236}">
              <a16:creationId xmlns:a16="http://schemas.microsoft.com/office/drawing/2014/main" id="{E9C442E0-77C8-4427-B01E-6FFC82D8C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742250" y="77133450"/>
          <a:ext cx="170512" cy="171450"/>
        </a:xfrm>
        <a:prstGeom prst="rect">
          <a:avLst/>
        </a:prstGeom>
      </xdr:spPr>
    </xdr:pic>
    <xdr:clientData/>
  </xdr:twoCellAnchor>
  <xdr:twoCellAnchor>
    <xdr:from>
      <xdr:col>25</xdr:col>
      <xdr:colOff>120000</xdr:colOff>
      <xdr:row>235</xdr:row>
      <xdr:rowOff>0</xdr:rowOff>
    </xdr:from>
    <xdr:to>
      <xdr:col>25</xdr:col>
      <xdr:colOff>290512</xdr:colOff>
      <xdr:row>236</xdr:row>
      <xdr:rowOff>0</xdr:rowOff>
    </xdr:to>
    <xdr:pic>
      <xdr:nvPicPr>
        <xdr:cNvPr id="576" name="Picture 1" descr="Picture">
          <a:extLst>
            <a:ext uri="{FF2B5EF4-FFF2-40B4-BE49-F238E27FC236}">
              <a16:creationId xmlns:a16="http://schemas.microsoft.com/office/drawing/2014/main" id="{4FD54F55-C15B-43CF-849E-B4A65543BD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142300" y="77133450"/>
          <a:ext cx="170512" cy="17145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235</xdr:row>
      <xdr:rowOff>0</xdr:rowOff>
    </xdr:from>
    <xdr:to>
      <xdr:col>26</xdr:col>
      <xdr:colOff>290512</xdr:colOff>
      <xdr:row>236</xdr:row>
      <xdr:rowOff>0</xdr:rowOff>
    </xdr:to>
    <xdr:pic>
      <xdr:nvPicPr>
        <xdr:cNvPr id="577" name="Picture 1" descr="Picture">
          <a:extLst>
            <a:ext uri="{FF2B5EF4-FFF2-40B4-BE49-F238E27FC236}">
              <a16:creationId xmlns:a16="http://schemas.microsoft.com/office/drawing/2014/main" id="{C1D6DCA8-3438-4F90-B25D-C9DEF2CBC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542350" y="77133450"/>
          <a:ext cx="170512" cy="171450"/>
        </a:xfrm>
        <a:prstGeom prst="rect">
          <a:avLst/>
        </a:prstGeom>
      </xdr:spPr>
    </xdr:pic>
    <xdr:clientData/>
  </xdr:twoCellAnchor>
  <xdr:twoCellAnchor>
    <xdr:from>
      <xdr:col>11</xdr:col>
      <xdr:colOff>120000</xdr:colOff>
      <xdr:row>237</xdr:row>
      <xdr:rowOff>0</xdr:rowOff>
    </xdr:from>
    <xdr:to>
      <xdr:col>11</xdr:col>
      <xdr:colOff>290512</xdr:colOff>
      <xdr:row>238</xdr:row>
      <xdr:rowOff>0</xdr:rowOff>
    </xdr:to>
    <xdr:pic>
      <xdr:nvPicPr>
        <xdr:cNvPr id="578" name="Picture 1" descr="Picture">
          <a:extLst>
            <a:ext uri="{FF2B5EF4-FFF2-40B4-BE49-F238E27FC236}">
              <a16:creationId xmlns:a16="http://schemas.microsoft.com/office/drawing/2014/main" id="{9230E385-5102-435C-A889-8430A6E81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541600" y="77647800"/>
          <a:ext cx="170512" cy="171450"/>
        </a:xfrm>
        <a:prstGeom prst="rect">
          <a:avLst/>
        </a:prstGeom>
      </xdr:spPr>
    </xdr:pic>
    <xdr:clientData/>
  </xdr:twoCellAnchor>
  <xdr:twoCellAnchor>
    <xdr:from>
      <xdr:col>12</xdr:col>
      <xdr:colOff>120000</xdr:colOff>
      <xdr:row>237</xdr:row>
      <xdr:rowOff>0</xdr:rowOff>
    </xdr:from>
    <xdr:to>
      <xdr:col>12</xdr:col>
      <xdr:colOff>290512</xdr:colOff>
      <xdr:row>238</xdr:row>
      <xdr:rowOff>0</xdr:rowOff>
    </xdr:to>
    <xdr:pic>
      <xdr:nvPicPr>
        <xdr:cNvPr id="579" name="Picture 1" descr="Picture">
          <a:extLst>
            <a:ext uri="{FF2B5EF4-FFF2-40B4-BE49-F238E27FC236}">
              <a16:creationId xmlns:a16="http://schemas.microsoft.com/office/drawing/2014/main" id="{4B195393-CD25-45B9-ADF0-E6326C19E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941650" y="77647800"/>
          <a:ext cx="170512" cy="17145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239</xdr:row>
      <xdr:rowOff>0</xdr:rowOff>
    </xdr:from>
    <xdr:to>
      <xdr:col>28</xdr:col>
      <xdr:colOff>290512</xdr:colOff>
      <xdr:row>240</xdr:row>
      <xdr:rowOff>0</xdr:rowOff>
    </xdr:to>
    <xdr:pic>
      <xdr:nvPicPr>
        <xdr:cNvPr id="580" name="Picture 1" descr="Picture">
          <a:extLst>
            <a:ext uri="{FF2B5EF4-FFF2-40B4-BE49-F238E27FC236}">
              <a16:creationId xmlns:a16="http://schemas.microsoft.com/office/drawing/2014/main" id="{D11824E5-8FC7-46A1-AEDE-CC02D237A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342450" y="77990700"/>
          <a:ext cx="170512" cy="17145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239</xdr:row>
      <xdr:rowOff>0</xdr:rowOff>
    </xdr:from>
    <xdr:to>
      <xdr:col>29</xdr:col>
      <xdr:colOff>290512</xdr:colOff>
      <xdr:row>240</xdr:row>
      <xdr:rowOff>0</xdr:rowOff>
    </xdr:to>
    <xdr:pic>
      <xdr:nvPicPr>
        <xdr:cNvPr id="581" name="Picture 1" descr="Picture">
          <a:extLst>
            <a:ext uri="{FF2B5EF4-FFF2-40B4-BE49-F238E27FC236}">
              <a16:creationId xmlns:a16="http://schemas.microsoft.com/office/drawing/2014/main" id="{8FDFF23D-EC63-4C53-9153-3E7A10552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742500" y="77990700"/>
          <a:ext cx="170512" cy="17145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239</xdr:row>
      <xdr:rowOff>0</xdr:rowOff>
    </xdr:from>
    <xdr:to>
      <xdr:col>30</xdr:col>
      <xdr:colOff>290512</xdr:colOff>
      <xdr:row>240</xdr:row>
      <xdr:rowOff>0</xdr:rowOff>
    </xdr:to>
    <xdr:pic>
      <xdr:nvPicPr>
        <xdr:cNvPr id="582" name="Picture 1" descr="Picture">
          <a:extLst>
            <a:ext uri="{FF2B5EF4-FFF2-40B4-BE49-F238E27FC236}">
              <a16:creationId xmlns:a16="http://schemas.microsoft.com/office/drawing/2014/main" id="{ACD587DB-E5C1-4CCC-AF66-62C1C2F55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142550" y="77990700"/>
          <a:ext cx="170512" cy="17145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323</xdr:row>
      <xdr:rowOff>0</xdr:rowOff>
    </xdr:from>
    <xdr:to>
      <xdr:col>35</xdr:col>
      <xdr:colOff>290512</xdr:colOff>
      <xdr:row>324</xdr:row>
      <xdr:rowOff>0</xdr:rowOff>
    </xdr:to>
    <xdr:pic>
      <xdr:nvPicPr>
        <xdr:cNvPr id="583" name="Picture 1" descr="Picture">
          <a:extLst>
            <a:ext uri="{FF2B5EF4-FFF2-40B4-BE49-F238E27FC236}">
              <a16:creationId xmlns:a16="http://schemas.microsoft.com/office/drawing/2014/main" id="{CA1687C4-4612-487D-9F4B-43635BF2F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142800" y="107222925"/>
          <a:ext cx="170512" cy="17145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323</xdr:row>
      <xdr:rowOff>0</xdr:rowOff>
    </xdr:from>
    <xdr:to>
      <xdr:col>36</xdr:col>
      <xdr:colOff>290512</xdr:colOff>
      <xdr:row>324</xdr:row>
      <xdr:rowOff>0</xdr:rowOff>
    </xdr:to>
    <xdr:pic>
      <xdr:nvPicPr>
        <xdr:cNvPr id="584" name="Picture 1" descr="Picture">
          <a:extLst>
            <a:ext uri="{FF2B5EF4-FFF2-40B4-BE49-F238E27FC236}">
              <a16:creationId xmlns:a16="http://schemas.microsoft.com/office/drawing/2014/main" id="{3F46EA2C-9568-41EA-A926-F4A7BCE9F1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542850" y="107222925"/>
          <a:ext cx="170512" cy="17145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323</xdr:row>
      <xdr:rowOff>0</xdr:rowOff>
    </xdr:from>
    <xdr:to>
      <xdr:col>37</xdr:col>
      <xdr:colOff>290512</xdr:colOff>
      <xdr:row>324</xdr:row>
      <xdr:rowOff>0</xdr:rowOff>
    </xdr:to>
    <xdr:pic>
      <xdr:nvPicPr>
        <xdr:cNvPr id="585" name="Picture 1" descr="Picture">
          <a:extLst>
            <a:ext uri="{FF2B5EF4-FFF2-40B4-BE49-F238E27FC236}">
              <a16:creationId xmlns:a16="http://schemas.microsoft.com/office/drawing/2014/main" id="{7E0502DD-AA69-438E-BCBA-7DB3B670F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942900" y="107222925"/>
          <a:ext cx="170512" cy="17145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327</xdr:row>
      <xdr:rowOff>0</xdr:rowOff>
    </xdr:from>
    <xdr:to>
      <xdr:col>28</xdr:col>
      <xdr:colOff>290512</xdr:colOff>
      <xdr:row>328</xdr:row>
      <xdr:rowOff>0</xdr:rowOff>
    </xdr:to>
    <xdr:pic>
      <xdr:nvPicPr>
        <xdr:cNvPr id="586" name="Picture 1" descr="Picture">
          <a:extLst>
            <a:ext uri="{FF2B5EF4-FFF2-40B4-BE49-F238E27FC236}">
              <a16:creationId xmlns:a16="http://schemas.microsoft.com/office/drawing/2014/main" id="{976284AD-91C2-42C4-A259-9CADAE663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7342450" y="107908725"/>
          <a:ext cx="170512" cy="17145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327</xdr:row>
      <xdr:rowOff>0</xdr:rowOff>
    </xdr:from>
    <xdr:to>
      <xdr:col>29</xdr:col>
      <xdr:colOff>290512</xdr:colOff>
      <xdr:row>328</xdr:row>
      <xdr:rowOff>0</xdr:rowOff>
    </xdr:to>
    <xdr:pic>
      <xdr:nvPicPr>
        <xdr:cNvPr id="587" name="Picture 1" descr="Picture">
          <a:extLst>
            <a:ext uri="{FF2B5EF4-FFF2-40B4-BE49-F238E27FC236}">
              <a16:creationId xmlns:a16="http://schemas.microsoft.com/office/drawing/2014/main" id="{5609B90B-638C-453E-B980-EC434A432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7742500" y="107908725"/>
          <a:ext cx="170512" cy="17145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327</xdr:row>
      <xdr:rowOff>0</xdr:rowOff>
    </xdr:from>
    <xdr:to>
      <xdr:col>30</xdr:col>
      <xdr:colOff>290512</xdr:colOff>
      <xdr:row>328</xdr:row>
      <xdr:rowOff>0</xdr:rowOff>
    </xdr:to>
    <xdr:pic>
      <xdr:nvPicPr>
        <xdr:cNvPr id="588" name="Picture 1" descr="Picture">
          <a:extLst>
            <a:ext uri="{FF2B5EF4-FFF2-40B4-BE49-F238E27FC236}">
              <a16:creationId xmlns:a16="http://schemas.microsoft.com/office/drawing/2014/main" id="{646892B0-2580-4E5F-9CEA-A802394BA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8142550" y="107908725"/>
          <a:ext cx="170512" cy="17145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327</xdr:row>
      <xdr:rowOff>0</xdr:rowOff>
    </xdr:from>
    <xdr:to>
      <xdr:col>31</xdr:col>
      <xdr:colOff>290512</xdr:colOff>
      <xdr:row>328</xdr:row>
      <xdr:rowOff>0</xdr:rowOff>
    </xdr:to>
    <xdr:pic>
      <xdr:nvPicPr>
        <xdr:cNvPr id="589" name="Picture 1" descr="Picture">
          <a:extLst>
            <a:ext uri="{FF2B5EF4-FFF2-40B4-BE49-F238E27FC236}">
              <a16:creationId xmlns:a16="http://schemas.microsoft.com/office/drawing/2014/main" id="{139578E5-712E-446C-89AA-59F77477C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8542600" y="107908725"/>
          <a:ext cx="170512" cy="17145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327</xdr:row>
      <xdr:rowOff>0</xdr:rowOff>
    </xdr:from>
    <xdr:to>
      <xdr:col>32</xdr:col>
      <xdr:colOff>290512</xdr:colOff>
      <xdr:row>328</xdr:row>
      <xdr:rowOff>0</xdr:rowOff>
    </xdr:to>
    <xdr:pic>
      <xdr:nvPicPr>
        <xdr:cNvPr id="590" name="Picture 1" descr="Picture">
          <a:extLst>
            <a:ext uri="{FF2B5EF4-FFF2-40B4-BE49-F238E27FC236}">
              <a16:creationId xmlns:a16="http://schemas.microsoft.com/office/drawing/2014/main" id="{04D13477-692F-41CA-B397-27AEAAF744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8942650" y="107908725"/>
          <a:ext cx="170512" cy="17145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327</xdr:row>
      <xdr:rowOff>0</xdr:rowOff>
    </xdr:from>
    <xdr:to>
      <xdr:col>33</xdr:col>
      <xdr:colOff>290512</xdr:colOff>
      <xdr:row>328</xdr:row>
      <xdr:rowOff>0</xdr:rowOff>
    </xdr:to>
    <xdr:pic>
      <xdr:nvPicPr>
        <xdr:cNvPr id="591" name="Picture 1" descr="Picture">
          <a:extLst>
            <a:ext uri="{FF2B5EF4-FFF2-40B4-BE49-F238E27FC236}">
              <a16:creationId xmlns:a16="http://schemas.microsoft.com/office/drawing/2014/main" id="{5F553106-AF9A-434D-A43C-3C71E7F84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9342700" y="107908725"/>
          <a:ext cx="170512" cy="1714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14</xdr:col>
      <xdr:colOff>362139</xdr:colOff>
      <xdr:row>4</xdr:row>
      <xdr:rowOff>0</xdr:rowOff>
    </xdr:to>
    <xdr:sp macro="" textlink="">
      <xdr:nvSpPr>
        <xdr:cNvPr id="5" name="AutoShape 34">
          <a:extLst>
            <a:ext uri="{FF2B5EF4-FFF2-40B4-BE49-F238E27FC236}">
              <a16:creationId xmlns:a16="http://schemas.microsoft.com/office/drawing/2014/main" id="{387B299A-670C-4531-8717-86DADDA46904}"/>
            </a:ext>
          </a:extLst>
        </xdr:cNvPr>
        <xdr:cNvSpPr>
          <a:spLocks noChangeArrowheads="1"/>
        </xdr:cNvSpPr>
      </xdr:nvSpPr>
      <xdr:spPr bwMode="auto">
        <a:xfrm>
          <a:off x="16640175" y="0"/>
          <a:ext cx="7143939" cy="1066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120000</xdr:colOff>
      <xdr:row>16</xdr:row>
      <xdr:rowOff>0</xdr:rowOff>
    </xdr:from>
    <xdr:to>
      <xdr:col>14</xdr:col>
      <xdr:colOff>290512</xdr:colOff>
      <xdr:row>17</xdr:row>
      <xdr:rowOff>0</xdr:rowOff>
    </xdr:to>
    <xdr:pic>
      <xdr:nvPicPr>
        <xdr:cNvPr id="6" name="Picture 1" descr="Picture">
          <a:extLst>
            <a:ext uri="{FF2B5EF4-FFF2-40B4-BE49-F238E27FC236}">
              <a16:creationId xmlns:a16="http://schemas.microsoft.com/office/drawing/2014/main" id="{38D85409-0300-4F17-BB36-6853ECC7D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541975" y="1400175"/>
          <a:ext cx="170512" cy="0"/>
        </a:xfrm>
        <a:prstGeom prst="rect">
          <a:avLst/>
        </a:prstGeom>
      </xdr:spPr>
    </xdr:pic>
    <xdr:clientData/>
  </xdr:twoCellAnchor>
  <xdr:twoCellAnchor>
    <xdr:from>
      <xdr:col>15</xdr:col>
      <xdr:colOff>120000</xdr:colOff>
      <xdr:row>16</xdr:row>
      <xdr:rowOff>0</xdr:rowOff>
    </xdr:from>
    <xdr:to>
      <xdr:col>15</xdr:col>
      <xdr:colOff>290512</xdr:colOff>
      <xdr:row>17</xdr:row>
      <xdr:rowOff>0</xdr:rowOff>
    </xdr:to>
    <xdr:pic>
      <xdr:nvPicPr>
        <xdr:cNvPr id="7" name="Picture 1" descr="Picture">
          <a:extLst>
            <a:ext uri="{FF2B5EF4-FFF2-40B4-BE49-F238E27FC236}">
              <a16:creationId xmlns:a16="http://schemas.microsoft.com/office/drawing/2014/main" id="{896B9754-FAED-44B5-A076-B12058088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561150" y="1400175"/>
          <a:ext cx="170512" cy="0"/>
        </a:xfrm>
        <a:prstGeom prst="rect">
          <a:avLst/>
        </a:prstGeom>
      </xdr:spPr>
    </xdr:pic>
    <xdr:clientData/>
  </xdr:twoCellAnchor>
  <xdr:twoCellAnchor>
    <xdr:from>
      <xdr:col>16</xdr:col>
      <xdr:colOff>120000</xdr:colOff>
      <xdr:row>16</xdr:row>
      <xdr:rowOff>0</xdr:rowOff>
    </xdr:from>
    <xdr:to>
      <xdr:col>16</xdr:col>
      <xdr:colOff>290512</xdr:colOff>
      <xdr:row>17</xdr:row>
      <xdr:rowOff>0</xdr:rowOff>
    </xdr:to>
    <xdr:pic>
      <xdr:nvPicPr>
        <xdr:cNvPr id="8" name="Picture 1" descr="Picture">
          <a:extLst>
            <a:ext uri="{FF2B5EF4-FFF2-40B4-BE49-F238E27FC236}">
              <a16:creationId xmlns:a16="http://schemas.microsoft.com/office/drawing/2014/main" id="{F3D0A984-214F-425B-A1FD-EB9B95F7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80325" y="1400175"/>
          <a:ext cx="170512" cy="0"/>
        </a:xfrm>
        <a:prstGeom prst="rect">
          <a:avLst/>
        </a:prstGeom>
      </xdr:spPr>
    </xdr:pic>
    <xdr:clientData/>
  </xdr:twoCellAnchor>
  <xdr:twoCellAnchor>
    <xdr:from>
      <xdr:col>17</xdr:col>
      <xdr:colOff>120000</xdr:colOff>
      <xdr:row>16</xdr:row>
      <xdr:rowOff>0</xdr:rowOff>
    </xdr:from>
    <xdr:to>
      <xdr:col>17</xdr:col>
      <xdr:colOff>290512</xdr:colOff>
      <xdr:row>17</xdr:row>
      <xdr:rowOff>0</xdr:rowOff>
    </xdr:to>
    <xdr:pic>
      <xdr:nvPicPr>
        <xdr:cNvPr id="9" name="Picture 1" descr="Picture">
          <a:extLst>
            <a:ext uri="{FF2B5EF4-FFF2-40B4-BE49-F238E27FC236}">
              <a16:creationId xmlns:a16="http://schemas.microsoft.com/office/drawing/2014/main" id="{0C8FF553-73CC-4721-B001-BB5019859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99500" y="1400175"/>
          <a:ext cx="170512" cy="0"/>
        </a:xfrm>
        <a:prstGeom prst="rect">
          <a:avLst/>
        </a:prstGeom>
      </xdr:spPr>
    </xdr:pic>
    <xdr:clientData/>
  </xdr:twoCellAnchor>
  <xdr:twoCellAnchor>
    <xdr:from>
      <xdr:col>18</xdr:col>
      <xdr:colOff>120000</xdr:colOff>
      <xdr:row>16</xdr:row>
      <xdr:rowOff>0</xdr:rowOff>
    </xdr:from>
    <xdr:to>
      <xdr:col>18</xdr:col>
      <xdr:colOff>290512</xdr:colOff>
      <xdr:row>17</xdr:row>
      <xdr:rowOff>0</xdr:rowOff>
    </xdr:to>
    <xdr:pic>
      <xdr:nvPicPr>
        <xdr:cNvPr id="10" name="Picture 1" descr="Picture">
          <a:extLst>
            <a:ext uri="{FF2B5EF4-FFF2-40B4-BE49-F238E27FC236}">
              <a16:creationId xmlns:a16="http://schemas.microsoft.com/office/drawing/2014/main" id="{F9100B43-61A2-4C59-BB05-77070FC55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18675" y="1400175"/>
          <a:ext cx="170512" cy="0"/>
        </a:xfrm>
        <a:prstGeom prst="rect">
          <a:avLst/>
        </a:prstGeom>
      </xdr:spPr>
    </xdr:pic>
    <xdr:clientData/>
  </xdr:twoCellAnchor>
  <xdr:twoCellAnchor>
    <xdr:from>
      <xdr:col>19</xdr:col>
      <xdr:colOff>120000</xdr:colOff>
      <xdr:row>16</xdr:row>
      <xdr:rowOff>0</xdr:rowOff>
    </xdr:from>
    <xdr:to>
      <xdr:col>19</xdr:col>
      <xdr:colOff>290512</xdr:colOff>
      <xdr:row>17</xdr:row>
      <xdr:rowOff>0</xdr:rowOff>
    </xdr:to>
    <xdr:pic>
      <xdr:nvPicPr>
        <xdr:cNvPr id="11" name="Picture 1" descr="Picture">
          <a:extLst>
            <a:ext uri="{FF2B5EF4-FFF2-40B4-BE49-F238E27FC236}">
              <a16:creationId xmlns:a16="http://schemas.microsoft.com/office/drawing/2014/main" id="{482AF82F-1649-4D8F-A798-7FC9082AA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37850" y="1400175"/>
          <a:ext cx="170512" cy="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16</xdr:row>
      <xdr:rowOff>0</xdr:rowOff>
    </xdr:from>
    <xdr:to>
      <xdr:col>26</xdr:col>
      <xdr:colOff>290512</xdr:colOff>
      <xdr:row>17</xdr:row>
      <xdr:rowOff>0</xdr:rowOff>
    </xdr:to>
    <xdr:pic>
      <xdr:nvPicPr>
        <xdr:cNvPr id="12" name="Picture 1" descr="Picture">
          <a:extLst>
            <a:ext uri="{FF2B5EF4-FFF2-40B4-BE49-F238E27FC236}">
              <a16:creationId xmlns:a16="http://schemas.microsoft.com/office/drawing/2014/main" id="{6A13D260-AF79-4146-9059-216E39A083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72075" y="1400175"/>
          <a:ext cx="170512" cy="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16</xdr:row>
      <xdr:rowOff>0</xdr:rowOff>
    </xdr:from>
    <xdr:to>
      <xdr:col>33</xdr:col>
      <xdr:colOff>290512</xdr:colOff>
      <xdr:row>17</xdr:row>
      <xdr:rowOff>0</xdr:rowOff>
    </xdr:to>
    <xdr:pic>
      <xdr:nvPicPr>
        <xdr:cNvPr id="13" name="Picture 1" descr="Picture">
          <a:extLst>
            <a:ext uri="{FF2B5EF4-FFF2-40B4-BE49-F238E27FC236}">
              <a16:creationId xmlns:a16="http://schemas.microsoft.com/office/drawing/2014/main" id="{BC915E16-2273-40B6-8897-1491BD516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06300" y="140017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16</xdr:row>
      <xdr:rowOff>0</xdr:rowOff>
    </xdr:from>
    <xdr:to>
      <xdr:col>37</xdr:col>
      <xdr:colOff>290512</xdr:colOff>
      <xdr:row>17</xdr:row>
      <xdr:rowOff>0</xdr:rowOff>
    </xdr:to>
    <xdr:pic>
      <xdr:nvPicPr>
        <xdr:cNvPr id="14" name="Picture 1" descr="Picture">
          <a:extLst>
            <a:ext uri="{FF2B5EF4-FFF2-40B4-BE49-F238E27FC236}">
              <a16:creationId xmlns:a16="http://schemas.microsoft.com/office/drawing/2014/main" id="{812A37F7-F913-4CDB-842E-637A3B479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1400175"/>
          <a:ext cx="170512" cy="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16</xdr:row>
      <xdr:rowOff>0</xdr:rowOff>
    </xdr:from>
    <xdr:to>
      <xdr:col>38</xdr:col>
      <xdr:colOff>290512</xdr:colOff>
      <xdr:row>17</xdr:row>
      <xdr:rowOff>0</xdr:rowOff>
    </xdr:to>
    <xdr:pic>
      <xdr:nvPicPr>
        <xdr:cNvPr id="15" name="Picture 1" descr="Picture">
          <a:extLst>
            <a:ext uri="{FF2B5EF4-FFF2-40B4-BE49-F238E27FC236}">
              <a16:creationId xmlns:a16="http://schemas.microsoft.com/office/drawing/2014/main" id="{2C5B3650-891C-4F92-B797-C50AFE290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1400175"/>
          <a:ext cx="170512" cy="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16</xdr:row>
      <xdr:rowOff>0</xdr:rowOff>
    </xdr:from>
    <xdr:to>
      <xdr:col>39</xdr:col>
      <xdr:colOff>290512</xdr:colOff>
      <xdr:row>17</xdr:row>
      <xdr:rowOff>0</xdr:rowOff>
    </xdr:to>
    <xdr:pic>
      <xdr:nvPicPr>
        <xdr:cNvPr id="16" name="Picture 1" descr="Picture">
          <a:extLst>
            <a:ext uri="{FF2B5EF4-FFF2-40B4-BE49-F238E27FC236}">
              <a16:creationId xmlns:a16="http://schemas.microsoft.com/office/drawing/2014/main" id="{FEA4E614-B832-4AE1-8A03-9B683B930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1350" y="1400175"/>
          <a:ext cx="170512" cy="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16</xdr:row>
      <xdr:rowOff>0</xdr:rowOff>
    </xdr:from>
    <xdr:to>
      <xdr:col>40</xdr:col>
      <xdr:colOff>290512</xdr:colOff>
      <xdr:row>17</xdr:row>
      <xdr:rowOff>0</xdr:rowOff>
    </xdr:to>
    <xdr:pic>
      <xdr:nvPicPr>
        <xdr:cNvPr id="17" name="Picture 1" descr="Picture">
          <a:extLst>
            <a:ext uri="{FF2B5EF4-FFF2-40B4-BE49-F238E27FC236}">
              <a16:creationId xmlns:a16="http://schemas.microsoft.com/office/drawing/2014/main" id="{2D875B5D-4C0E-40D5-A94D-1F5D590B0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40525" y="1400175"/>
          <a:ext cx="170512" cy="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17</xdr:row>
      <xdr:rowOff>0</xdr:rowOff>
    </xdr:from>
    <xdr:to>
      <xdr:col>33</xdr:col>
      <xdr:colOff>290512</xdr:colOff>
      <xdr:row>18</xdr:row>
      <xdr:rowOff>0</xdr:rowOff>
    </xdr:to>
    <xdr:pic>
      <xdr:nvPicPr>
        <xdr:cNvPr id="18" name="Picture 1" descr="Picture">
          <a:extLst>
            <a:ext uri="{FF2B5EF4-FFF2-40B4-BE49-F238E27FC236}">
              <a16:creationId xmlns:a16="http://schemas.microsoft.com/office/drawing/2014/main" id="{61158F90-75B8-4A42-A5AE-85D5586749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906300" y="140017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24</xdr:row>
      <xdr:rowOff>0</xdr:rowOff>
    </xdr:from>
    <xdr:to>
      <xdr:col>35</xdr:col>
      <xdr:colOff>290512</xdr:colOff>
      <xdr:row>25</xdr:row>
      <xdr:rowOff>0</xdr:rowOff>
    </xdr:to>
    <xdr:pic>
      <xdr:nvPicPr>
        <xdr:cNvPr id="19" name="Picture 1" descr="Picture">
          <a:extLst>
            <a:ext uri="{FF2B5EF4-FFF2-40B4-BE49-F238E27FC236}">
              <a16:creationId xmlns:a16="http://schemas.microsoft.com/office/drawing/2014/main" id="{383DE3E8-509B-4E61-91A8-B12A05016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944650" y="1400175"/>
          <a:ext cx="170512" cy="15240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38</xdr:row>
      <xdr:rowOff>0</xdr:rowOff>
    </xdr:from>
    <xdr:to>
      <xdr:col>35</xdr:col>
      <xdr:colOff>290512</xdr:colOff>
      <xdr:row>39</xdr:row>
      <xdr:rowOff>0</xdr:rowOff>
    </xdr:to>
    <xdr:pic>
      <xdr:nvPicPr>
        <xdr:cNvPr id="20" name="Picture 1" descr="Picture">
          <a:extLst>
            <a:ext uri="{FF2B5EF4-FFF2-40B4-BE49-F238E27FC236}">
              <a16:creationId xmlns:a16="http://schemas.microsoft.com/office/drawing/2014/main" id="{ED635996-B8F8-4671-9BC2-B0C740383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944650" y="1914525"/>
          <a:ext cx="170512" cy="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38</xdr:row>
      <xdr:rowOff>0</xdr:rowOff>
    </xdr:from>
    <xdr:to>
      <xdr:col>36</xdr:col>
      <xdr:colOff>290512</xdr:colOff>
      <xdr:row>39</xdr:row>
      <xdr:rowOff>0</xdr:rowOff>
    </xdr:to>
    <xdr:pic>
      <xdr:nvPicPr>
        <xdr:cNvPr id="21" name="Picture 1" descr="Picture">
          <a:extLst>
            <a:ext uri="{FF2B5EF4-FFF2-40B4-BE49-F238E27FC236}">
              <a16:creationId xmlns:a16="http://schemas.microsoft.com/office/drawing/2014/main" id="{8497D857-A3FE-48BD-ADFD-C28FD0E95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963825" y="191452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38</xdr:row>
      <xdr:rowOff>0</xdr:rowOff>
    </xdr:from>
    <xdr:to>
      <xdr:col>37</xdr:col>
      <xdr:colOff>290512</xdr:colOff>
      <xdr:row>39</xdr:row>
      <xdr:rowOff>0</xdr:rowOff>
    </xdr:to>
    <xdr:pic>
      <xdr:nvPicPr>
        <xdr:cNvPr id="22" name="Picture 1" descr="Picture">
          <a:extLst>
            <a:ext uri="{FF2B5EF4-FFF2-40B4-BE49-F238E27FC236}">
              <a16:creationId xmlns:a16="http://schemas.microsoft.com/office/drawing/2014/main" id="{01BFDE41-3B0C-4631-85CB-F4F21D32B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983000" y="1914525"/>
          <a:ext cx="170512" cy="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45</xdr:row>
      <xdr:rowOff>0</xdr:rowOff>
    </xdr:from>
    <xdr:to>
      <xdr:col>28</xdr:col>
      <xdr:colOff>290512</xdr:colOff>
      <xdr:row>46</xdr:row>
      <xdr:rowOff>0</xdr:rowOff>
    </xdr:to>
    <xdr:pic>
      <xdr:nvPicPr>
        <xdr:cNvPr id="23" name="Picture 1" descr="Picture">
          <a:extLst>
            <a:ext uri="{FF2B5EF4-FFF2-40B4-BE49-F238E27FC236}">
              <a16:creationId xmlns:a16="http://schemas.microsoft.com/office/drawing/2014/main" id="{850E76AF-8D50-4D1A-A4A4-BC9420DFC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810425" y="1914525"/>
          <a:ext cx="170512" cy="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45</xdr:row>
      <xdr:rowOff>0</xdr:rowOff>
    </xdr:from>
    <xdr:to>
      <xdr:col>29</xdr:col>
      <xdr:colOff>290512</xdr:colOff>
      <xdr:row>46</xdr:row>
      <xdr:rowOff>0</xdr:rowOff>
    </xdr:to>
    <xdr:pic>
      <xdr:nvPicPr>
        <xdr:cNvPr id="24" name="Picture 1" descr="Picture">
          <a:extLst>
            <a:ext uri="{FF2B5EF4-FFF2-40B4-BE49-F238E27FC236}">
              <a16:creationId xmlns:a16="http://schemas.microsoft.com/office/drawing/2014/main" id="{F9FFE3A7-FBBF-4D07-8734-DF84D346C4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29600" y="1914525"/>
          <a:ext cx="170512" cy="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45</xdr:row>
      <xdr:rowOff>0</xdr:rowOff>
    </xdr:from>
    <xdr:to>
      <xdr:col>30</xdr:col>
      <xdr:colOff>290512</xdr:colOff>
      <xdr:row>46</xdr:row>
      <xdr:rowOff>0</xdr:rowOff>
    </xdr:to>
    <xdr:pic>
      <xdr:nvPicPr>
        <xdr:cNvPr id="25" name="Picture 1" descr="Picture">
          <a:extLst>
            <a:ext uri="{FF2B5EF4-FFF2-40B4-BE49-F238E27FC236}">
              <a16:creationId xmlns:a16="http://schemas.microsoft.com/office/drawing/2014/main" id="{73E5E7CA-A483-4955-8191-C7A63C584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848775" y="1914525"/>
          <a:ext cx="170512" cy="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45</xdr:row>
      <xdr:rowOff>0</xdr:rowOff>
    </xdr:from>
    <xdr:to>
      <xdr:col>31</xdr:col>
      <xdr:colOff>290512</xdr:colOff>
      <xdr:row>46</xdr:row>
      <xdr:rowOff>0</xdr:rowOff>
    </xdr:to>
    <xdr:pic>
      <xdr:nvPicPr>
        <xdr:cNvPr id="26" name="Picture 1" descr="Picture">
          <a:extLst>
            <a:ext uri="{FF2B5EF4-FFF2-40B4-BE49-F238E27FC236}">
              <a16:creationId xmlns:a16="http://schemas.microsoft.com/office/drawing/2014/main" id="{50E80660-1982-4E43-9CCE-FD4CA7E9F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67950" y="1914525"/>
          <a:ext cx="170512" cy="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45</xdr:row>
      <xdr:rowOff>0</xdr:rowOff>
    </xdr:from>
    <xdr:to>
      <xdr:col>32</xdr:col>
      <xdr:colOff>290512</xdr:colOff>
      <xdr:row>46</xdr:row>
      <xdr:rowOff>0</xdr:rowOff>
    </xdr:to>
    <xdr:pic>
      <xdr:nvPicPr>
        <xdr:cNvPr id="27" name="Picture 1" descr="Picture">
          <a:extLst>
            <a:ext uri="{FF2B5EF4-FFF2-40B4-BE49-F238E27FC236}">
              <a16:creationId xmlns:a16="http://schemas.microsoft.com/office/drawing/2014/main" id="{A391F5D0-BF94-4ED9-A547-EB808689B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887125" y="1914525"/>
          <a:ext cx="170512" cy="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45</xdr:row>
      <xdr:rowOff>0</xdr:rowOff>
    </xdr:from>
    <xdr:to>
      <xdr:col>33</xdr:col>
      <xdr:colOff>290512</xdr:colOff>
      <xdr:row>46</xdr:row>
      <xdr:rowOff>0</xdr:rowOff>
    </xdr:to>
    <xdr:pic>
      <xdr:nvPicPr>
        <xdr:cNvPr id="28" name="Picture 1" descr="Picture">
          <a:extLst>
            <a:ext uri="{FF2B5EF4-FFF2-40B4-BE49-F238E27FC236}">
              <a16:creationId xmlns:a16="http://schemas.microsoft.com/office/drawing/2014/main" id="{135A86E8-4753-44A0-B762-476C6212A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06300" y="191452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45</xdr:row>
      <xdr:rowOff>0</xdr:rowOff>
    </xdr:from>
    <xdr:to>
      <xdr:col>35</xdr:col>
      <xdr:colOff>290512</xdr:colOff>
      <xdr:row>46</xdr:row>
      <xdr:rowOff>0</xdr:rowOff>
    </xdr:to>
    <xdr:pic>
      <xdr:nvPicPr>
        <xdr:cNvPr id="29" name="Picture 1" descr="Picture">
          <a:extLst>
            <a:ext uri="{FF2B5EF4-FFF2-40B4-BE49-F238E27FC236}">
              <a16:creationId xmlns:a16="http://schemas.microsoft.com/office/drawing/2014/main" id="{A0CB5B3A-4846-446F-A752-EB60202733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1914525"/>
          <a:ext cx="170512" cy="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45</xdr:row>
      <xdr:rowOff>0</xdr:rowOff>
    </xdr:from>
    <xdr:to>
      <xdr:col>36</xdr:col>
      <xdr:colOff>290512</xdr:colOff>
      <xdr:row>46</xdr:row>
      <xdr:rowOff>0</xdr:rowOff>
    </xdr:to>
    <xdr:pic>
      <xdr:nvPicPr>
        <xdr:cNvPr id="30" name="Picture 1" descr="Picture">
          <a:extLst>
            <a:ext uri="{FF2B5EF4-FFF2-40B4-BE49-F238E27FC236}">
              <a16:creationId xmlns:a16="http://schemas.microsoft.com/office/drawing/2014/main" id="{D6754646-1A68-4A8C-B91D-8F6B586C0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191452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45</xdr:row>
      <xdr:rowOff>0</xdr:rowOff>
    </xdr:from>
    <xdr:to>
      <xdr:col>37</xdr:col>
      <xdr:colOff>290512</xdr:colOff>
      <xdr:row>46</xdr:row>
      <xdr:rowOff>0</xdr:rowOff>
    </xdr:to>
    <xdr:pic>
      <xdr:nvPicPr>
        <xdr:cNvPr id="31" name="Picture 1" descr="Picture">
          <a:extLst>
            <a:ext uri="{FF2B5EF4-FFF2-40B4-BE49-F238E27FC236}">
              <a16:creationId xmlns:a16="http://schemas.microsoft.com/office/drawing/2014/main" id="{8BF3873F-11DC-4ADC-9C7F-3BE6B68CD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1914525"/>
          <a:ext cx="170512" cy="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45</xdr:row>
      <xdr:rowOff>0</xdr:rowOff>
    </xdr:from>
    <xdr:to>
      <xdr:col>38</xdr:col>
      <xdr:colOff>290512</xdr:colOff>
      <xdr:row>46</xdr:row>
      <xdr:rowOff>0</xdr:rowOff>
    </xdr:to>
    <xdr:pic>
      <xdr:nvPicPr>
        <xdr:cNvPr id="32" name="Picture 1" descr="Picture">
          <a:extLst>
            <a:ext uri="{FF2B5EF4-FFF2-40B4-BE49-F238E27FC236}">
              <a16:creationId xmlns:a16="http://schemas.microsoft.com/office/drawing/2014/main" id="{E15594A6-0EE5-451F-9571-99B316273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1914525"/>
          <a:ext cx="170512" cy="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45</xdr:row>
      <xdr:rowOff>0</xdr:rowOff>
    </xdr:from>
    <xdr:to>
      <xdr:col>39</xdr:col>
      <xdr:colOff>290512</xdr:colOff>
      <xdr:row>46</xdr:row>
      <xdr:rowOff>0</xdr:rowOff>
    </xdr:to>
    <xdr:pic>
      <xdr:nvPicPr>
        <xdr:cNvPr id="33" name="Picture 1" descr="Picture">
          <a:extLst>
            <a:ext uri="{FF2B5EF4-FFF2-40B4-BE49-F238E27FC236}">
              <a16:creationId xmlns:a16="http://schemas.microsoft.com/office/drawing/2014/main" id="{4A09967A-8684-44C9-A3F1-87E555639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1350" y="1914525"/>
          <a:ext cx="170512" cy="0"/>
        </a:xfrm>
        <a:prstGeom prst="rect">
          <a:avLst/>
        </a:prstGeom>
      </xdr:spPr>
    </xdr:pic>
    <xdr:clientData/>
  </xdr:twoCellAnchor>
  <xdr:twoCellAnchor>
    <xdr:from>
      <xdr:col>22</xdr:col>
      <xdr:colOff>120000</xdr:colOff>
      <xdr:row>50</xdr:row>
      <xdr:rowOff>0</xdr:rowOff>
    </xdr:from>
    <xdr:to>
      <xdr:col>22</xdr:col>
      <xdr:colOff>290512</xdr:colOff>
      <xdr:row>51</xdr:row>
      <xdr:rowOff>0</xdr:rowOff>
    </xdr:to>
    <xdr:pic>
      <xdr:nvPicPr>
        <xdr:cNvPr id="34" name="Picture 1" descr="Picture">
          <a:extLst>
            <a:ext uri="{FF2B5EF4-FFF2-40B4-BE49-F238E27FC236}">
              <a16:creationId xmlns:a16="http://schemas.microsoft.com/office/drawing/2014/main" id="{9B851987-1E4A-42FA-8595-5C9CBC90E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695375" y="1914525"/>
          <a:ext cx="170512" cy="0"/>
        </a:xfrm>
        <a:prstGeom prst="rect">
          <a:avLst/>
        </a:prstGeom>
      </xdr:spPr>
    </xdr:pic>
    <xdr:clientData/>
  </xdr:twoCellAnchor>
  <xdr:twoCellAnchor>
    <xdr:from>
      <xdr:col>23</xdr:col>
      <xdr:colOff>120000</xdr:colOff>
      <xdr:row>50</xdr:row>
      <xdr:rowOff>0</xdr:rowOff>
    </xdr:from>
    <xdr:to>
      <xdr:col>23</xdr:col>
      <xdr:colOff>290512</xdr:colOff>
      <xdr:row>51</xdr:row>
      <xdr:rowOff>0</xdr:rowOff>
    </xdr:to>
    <xdr:pic>
      <xdr:nvPicPr>
        <xdr:cNvPr id="35" name="Picture 1" descr="Picture">
          <a:extLst>
            <a:ext uri="{FF2B5EF4-FFF2-40B4-BE49-F238E27FC236}">
              <a16:creationId xmlns:a16="http://schemas.microsoft.com/office/drawing/2014/main" id="{622C7A87-9B81-46A5-9098-35D83A298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714550" y="1914525"/>
          <a:ext cx="170512" cy="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55</xdr:row>
      <xdr:rowOff>0</xdr:rowOff>
    </xdr:from>
    <xdr:to>
      <xdr:col>26</xdr:col>
      <xdr:colOff>290512</xdr:colOff>
      <xdr:row>56</xdr:row>
      <xdr:rowOff>0</xdr:rowOff>
    </xdr:to>
    <xdr:pic>
      <xdr:nvPicPr>
        <xdr:cNvPr id="36" name="Picture 1" descr="Picture">
          <a:extLst>
            <a:ext uri="{FF2B5EF4-FFF2-40B4-BE49-F238E27FC236}">
              <a16:creationId xmlns:a16="http://schemas.microsoft.com/office/drawing/2014/main" id="{CA88B26C-5951-42AF-A6EA-EA6A79074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772075" y="1914525"/>
          <a:ext cx="170512" cy="0"/>
        </a:xfrm>
        <a:prstGeom prst="rect">
          <a:avLst/>
        </a:prstGeom>
      </xdr:spPr>
    </xdr:pic>
    <xdr:clientData/>
  </xdr:twoCellAnchor>
  <xdr:twoCellAnchor>
    <xdr:from>
      <xdr:col>14</xdr:col>
      <xdr:colOff>120000</xdr:colOff>
      <xdr:row>64</xdr:row>
      <xdr:rowOff>0</xdr:rowOff>
    </xdr:from>
    <xdr:to>
      <xdr:col>14</xdr:col>
      <xdr:colOff>290512</xdr:colOff>
      <xdr:row>65</xdr:row>
      <xdr:rowOff>0</xdr:rowOff>
    </xdr:to>
    <xdr:pic>
      <xdr:nvPicPr>
        <xdr:cNvPr id="37" name="Picture 1" descr="Picture">
          <a:extLst>
            <a:ext uri="{FF2B5EF4-FFF2-40B4-BE49-F238E27FC236}">
              <a16:creationId xmlns:a16="http://schemas.microsoft.com/office/drawing/2014/main" id="{17ED20F9-134A-466E-8D12-EC0866DDB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541975" y="1914525"/>
          <a:ext cx="170512" cy="0"/>
        </a:xfrm>
        <a:prstGeom prst="rect">
          <a:avLst/>
        </a:prstGeom>
      </xdr:spPr>
    </xdr:pic>
    <xdr:clientData/>
  </xdr:twoCellAnchor>
  <xdr:twoCellAnchor>
    <xdr:from>
      <xdr:col>15</xdr:col>
      <xdr:colOff>120000</xdr:colOff>
      <xdr:row>64</xdr:row>
      <xdr:rowOff>0</xdr:rowOff>
    </xdr:from>
    <xdr:to>
      <xdr:col>15</xdr:col>
      <xdr:colOff>290512</xdr:colOff>
      <xdr:row>65</xdr:row>
      <xdr:rowOff>0</xdr:rowOff>
    </xdr:to>
    <xdr:pic>
      <xdr:nvPicPr>
        <xdr:cNvPr id="38" name="Picture 1" descr="Picture">
          <a:extLst>
            <a:ext uri="{FF2B5EF4-FFF2-40B4-BE49-F238E27FC236}">
              <a16:creationId xmlns:a16="http://schemas.microsoft.com/office/drawing/2014/main" id="{00B9EBF9-5678-4644-BE88-B37D6B170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561150" y="1914525"/>
          <a:ext cx="170512" cy="0"/>
        </a:xfrm>
        <a:prstGeom prst="rect">
          <a:avLst/>
        </a:prstGeom>
      </xdr:spPr>
    </xdr:pic>
    <xdr:clientData/>
  </xdr:twoCellAnchor>
  <xdr:twoCellAnchor>
    <xdr:from>
      <xdr:col>16</xdr:col>
      <xdr:colOff>120000</xdr:colOff>
      <xdr:row>64</xdr:row>
      <xdr:rowOff>0</xdr:rowOff>
    </xdr:from>
    <xdr:to>
      <xdr:col>16</xdr:col>
      <xdr:colOff>290512</xdr:colOff>
      <xdr:row>65</xdr:row>
      <xdr:rowOff>0</xdr:rowOff>
    </xdr:to>
    <xdr:pic>
      <xdr:nvPicPr>
        <xdr:cNvPr id="39" name="Picture 1" descr="Picture">
          <a:extLst>
            <a:ext uri="{FF2B5EF4-FFF2-40B4-BE49-F238E27FC236}">
              <a16:creationId xmlns:a16="http://schemas.microsoft.com/office/drawing/2014/main" id="{A24E77E0-00D7-401B-AA99-1877198FF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80325" y="1914525"/>
          <a:ext cx="170512" cy="0"/>
        </a:xfrm>
        <a:prstGeom prst="rect">
          <a:avLst/>
        </a:prstGeom>
      </xdr:spPr>
    </xdr:pic>
    <xdr:clientData/>
  </xdr:twoCellAnchor>
  <xdr:twoCellAnchor>
    <xdr:from>
      <xdr:col>17</xdr:col>
      <xdr:colOff>120000</xdr:colOff>
      <xdr:row>64</xdr:row>
      <xdr:rowOff>0</xdr:rowOff>
    </xdr:from>
    <xdr:to>
      <xdr:col>17</xdr:col>
      <xdr:colOff>290512</xdr:colOff>
      <xdr:row>65</xdr:row>
      <xdr:rowOff>0</xdr:rowOff>
    </xdr:to>
    <xdr:pic>
      <xdr:nvPicPr>
        <xdr:cNvPr id="40" name="Picture 1" descr="Picture">
          <a:extLst>
            <a:ext uri="{FF2B5EF4-FFF2-40B4-BE49-F238E27FC236}">
              <a16:creationId xmlns:a16="http://schemas.microsoft.com/office/drawing/2014/main" id="{A87899EB-455E-4DCE-BB68-ECD64CD4F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99500" y="1914525"/>
          <a:ext cx="170512" cy="0"/>
        </a:xfrm>
        <a:prstGeom prst="rect">
          <a:avLst/>
        </a:prstGeom>
      </xdr:spPr>
    </xdr:pic>
    <xdr:clientData/>
  </xdr:twoCellAnchor>
  <xdr:twoCellAnchor>
    <xdr:from>
      <xdr:col>18</xdr:col>
      <xdr:colOff>120000</xdr:colOff>
      <xdr:row>64</xdr:row>
      <xdr:rowOff>0</xdr:rowOff>
    </xdr:from>
    <xdr:to>
      <xdr:col>18</xdr:col>
      <xdr:colOff>290512</xdr:colOff>
      <xdr:row>65</xdr:row>
      <xdr:rowOff>0</xdr:rowOff>
    </xdr:to>
    <xdr:pic>
      <xdr:nvPicPr>
        <xdr:cNvPr id="41" name="Picture 1" descr="Picture">
          <a:extLst>
            <a:ext uri="{FF2B5EF4-FFF2-40B4-BE49-F238E27FC236}">
              <a16:creationId xmlns:a16="http://schemas.microsoft.com/office/drawing/2014/main" id="{7E4D71F8-0288-4EC6-A8A7-DD396CA0C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18675" y="1914525"/>
          <a:ext cx="170512" cy="0"/>
        </a:xfrm>
        <a:prstGeom prst="rect">
          <a:avLst/>
        </a:prstGeom>
      </xdr:spPr>
    </xdr:pic>
    <xdr:clientData/>
  </xdr:twoCellAnchor>
  <xdr:twoCellAnchor>
    <xdr:from>
      <xdr:col>19</xdr:col>
      <xdr:colOff>120000</xdr:colOff>
      <xdr:row>64</xdr:row>
      <xdr:rowOff>0</xdr:rowOff>
    </xdr:from>
    <xdr:to>
      <xdr:col>19</xdr:col>
      <xdr:colOff>290512</xdr:colOff>
      <xdr:row>65</xdr:row>
      <xdr:rowOff>0</xdr:rowOff>
    </xdr:to>
    <xdr:pic>
      <xdr:nvPicPr>
        <xdr:cNvPr id="42" name="Picture 1" descr="Picture">
          <a:extLst>
            <a:ext uri="{FF2B5EF4-FFF2-40B4-BE49-F238E27FC236}">
              <a16:creationId xmlns:a16="http://schemas.microsoft.com/office/drawing/2014/main" id="{AF20EFD3-DD4F-42CE-8F60-60537B22F2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37850" y="1914525"/>
          <a:ext cx="170512" cy="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64</xdr:row>
      <xdr:rowOff>0</xdr:rowOff>
    </xdr:from>
    <xdr:to>
      <xdr:col>28</xdr:col>
      <xdr:colOff>290512</xdr:colOff>
      <xdr:row>65</xdr:row>
      <xdr:rowOff>0</xdr:rowOff>
    </xdr:to>
    <xdr:pic>
      <xdr:nvPicPr>
        <xdr:cNvPr id="43" name="Picture 1" descr="Picture">
          <a:extLst>
            <a:ext uri="{FF2B5EF4-FFF2-40B4-BE49-F238E27FC236}">
              <a16:creationId xmlns:a16="http://schemas.microsoft.com/office/drawing/2014/main" id="{93FA7550-4404-47C3-9A86-FEDFBB3DB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810425" y="1914525"/>
          <a:ext cx="170512" cy="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64</xdr:row>
      <xdr:rowOff>0</xdr:rowOff>
    </xdr:from>
    <xdr:to>
      <xdr:col>29</xdr:col>
      <xdr:colOff>290512</xdr:colOff>
      <xdr:row>65</xdr:row>
      <xdr:rowOff>0</xdr:rowOff>
    </xdr:to>
    <xdr:pic>
      <xdr:nvPicPr>
        <xdr:cNvPr id="44" name="Picture 1" descr="Picture">
          <a:extLst>
            <a:ext uri="{FF2B5EF4-FFF2-40B4-BE49-F238E27FC236}">
              <a16:creationId xmlns:a16="http://schemas.microsoft.com/office/drawing/2014/main" id="{D69376C4-62FF-4F19-863E-257B47EBB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29600" y="1914525"/>
          <a:ext cx="170512" cy="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64</xdr:row>
      <xdr:rowOff>0</xdr:rowOff>
    </xdr:from>
    <xdr:to>
      <xdr:col>30</xdr:col>
      <xdr:colOff>290512</xdr:colOff>
      <xdr:row>65</xdr:row>
      <xdr:rowOff>0</xdr:rowOff>
    </xdr:to>
    <xdr:pic>
      <xdr:nvPicPr>
        <xdr:cNvPr id="45" name="Picture 1" descr="Picture">
          <a:extLst>
            <a:ext uri="{FF2B5EF4-FFF2-40B4-BE49-F238E27FC236}">
              <a16:creationId xmlns:a16="http://schemas.microsoft.com/office/drawing/2014/main" id="{F688BC7B-F315-4A1C-A8BD-D444EB0FB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848775" y="1914525"/>
          <a:ext cx="170512" cy="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64</xdr:row>
      <xdr:rowOff>0</xdr:rowOff>
    </xdr:from>
    <xdr:to>
      <xdr:col>31</xdr:col>
      <xdr:colOff>290512</xdr:colOff>
      <xdr:row>65</xdr:row>
      <xdr:rowOff>0</xdr:rowOff>
    </xdr:to>
    <xdr:pic>
      <xdr:nvPicPr>
        <xdr:cNvPr id="46" name="Picture 1" descr="Picture">
          <a:extLst>
            <a:ext uri="{FF2B5EF4-FFF2-40B4-BE49-F238E27FC236}">
              <a16:creationId xmlns:a16="http://schemas.microsoft.com/office/drawing/2014/main" id="{1B786D22-B4FF-4D40-9104-165EA2E3F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67950" y="1914525"/>
          <a:ext cx="170512" cy="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64</xdr:row>
      <xdr:rowOff>0</xdr:rowOff>
    </xdr:from>
    <xdr:to>
      <xdr:col>32</xdr:col>
      <xdr:colOff>290512</xdr:colOff>
      <xdr:row>65</xdr:row>
      <xdr:rowOff>0</xdr:rowOff>
    </xdr:to>
    <xdr:pic>
      <xdr:nvPicPr>
        <xdr:cNvPr id="47" name="Picture 1" descr="Picture">
          <a:extLst>
            <a:ext uri="{FF2B5EF4-FFF2-40B4-BE49-F238E27FC236}">
              <a16:creationId xmlns:a16="http://schemas.microsoft.com/office/drawing/2014/main" id="{217EE0C4-8194-490C-81B3-8BC0CD57DD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887125" y="1914525"/>
          <a:ext cx="170512" cy="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64</xdr:row>
      <xdr:rowOff>0</xdr:rowOff>
    </xdr:from>
    <xdr:to>
      <xdr:col>33</xdr:col>
      <xdr:colOff>290512</xdr:colOff>
      <xdr:row>65</xdr:row>
      <xdr:rowOff>0</xdr:rowOff>
    </xdr:to>
    <xdr:pic>
      <xdr:nvPicPr>
        <xdr:cNvPr id="48" name="Picture 1" descr="Picture">
          <a:extLst>
            <a:ext uri="{FF2B5EF4-FFF2-40B4-BE49-F238E27FC236}">
              <a16:creationId xmlns:a16="http://schemas.microsoft.com/office/drawing/2014/main" id="{D6EC9E49-809A-476E-A67B-674189039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06300" y="191452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64</xdr:row>
      <xdr:rowOff>0</xdr:rowOff>
    </xdr:from>
    <xdr:to>
      <xdr:col>35</xdr:col>
      <xdr:colOff>290512</xdr:colOff>
      <xdr:row>65</xdr:row>
      <xdr:rowOff>0</xdr:rowOff>
    </xdr:to>
    <xdr:pic>
      <xdr:nvPicPr>
        <xdr:cNvPr id="49" name="Picture 1" descr="Picture">
          <a:extLst>
            <a:ext uri="{FF2B5EF4-FFF2-40B4-BE49-F238E27FC236}">
              <a16:creationId xmlns:a16="http://schemas.microsoft.com/office/drawing/2014/main" id="{44EBC4D8-FEE1-4826-87CD-2E5B59D91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1914525"/>
          <a:ext cx="170512" cy="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64</xdr:row>
      <xdr:rowOff>0</xdr:rowOff>
    </xdr:from>
    <xdr:to>
      <xdr:col>36</xdr:col>
      <xdr:colOff>290512</xdr:colOff>
      <xdr:row>65</xdr:row>
      <xdr:rowOff>0</xdr:rowOff>
    </xdr:to>
    <xdr:pic>
      <xdr:nvPicPr>
        <xdr:cNvPr id="50" name="Picture 1" descr="Picture">
          <a:extLst>
            <a:ext uri="{FF2B5EF4-FFF2-40B4-BE49-F238E27FC236}">
              <a16:creationId xmlns:a16="http://schemas.microsoft.com/office/drawing/2014/main" id="{4D8A321B-3DFB-43F6-B018-D47E1AA652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191452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64</xdr:row>
      <xdr:rowOff>0</xdr:rowOff>
    </xdr:from>
    <xdr:to>
      <xdr:col>37</xdr:col>
      <xdr:colOff>290512</xdr:colOff>
      <xdr:row>65</xdr:row>
      <xdr:rowOff>0</xdr:rowOff>
    </xdr:to>
    <xdr:pic>
      <xdr:nvPicPr>
        <xdr:cNvPr id="51" name="Picture 1" descr="Picture">
          <a:extLst>
            <a:ext uri="{FF2B5EF4-FFF2-40B4-BE49-F238E27FC236}">
              <a16:creationId xmlns:a16="http://schemas.microsoft.com/office/drawing/2014/main" id="{E38B00B3-930B-4B49-BF3B-A9F7441FA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1914525"/>
          <a:ext cx="170512" cy="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64</xdr:row>
      <xdr:rowOff>0</xdr:rowOff>
    </xdr:from>
    <xdr:to>
      <xdr:col>38</xdr:col>
      <xdr:colOff>290512</xdr:colOff>
      <xdr:row>65</xdr:row>
      <xdr:rowOff>0</xdr:rowOff>
    </xdr:to>
    <xdr:pic>
      <xdr:nvPicPr>
        <xdr:cNvPr id="52" name="Picture 1" descr="Picture">
          <a:extLst>
            <a:ext uri="{FF2B5EF4-FFF2-40B4-BE49-F238E27FC236}">
              <a16:creationId xmlns:a16="http://schemas.microsoft.com/office/drawing/2014/main" id="{06A20E93-3EA3-4C4D-AD75-5F39C3AB8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1914525"/>
          <a:ext cx="170512" cy="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64</xdr:row>
      <xdr:rowOff>0</xdr:rowOff>
    </xdr:from>
    <xdr:to>
      <xdr:col>39</xdr:col>
      <xdr:colOff>290512</xdr:colOff>
      <xdr:row>65</xdr:row>
      <xdr:rowOff>0</xdr:rowOff>
    </xdr:to>
    <xdr:pic>
      <xdr:nvPicPr>
        <xdr:cNvPr id="53" name="Picture 1" descr="Picture">
          <a:extLst>
            <a:ext uri="{FF2B5EF4-FFF2-40B4-BE49-F238E27FC236}">
              <a16:creationId xmlns:a16="http://schemas.microsoft.com/office/drawing/2014/main" id="{0D4DAC97-1F1F-4AF0-AE6B-8CBE7DF60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1350" y="1914525"/>
          <a:ext cx="170512" cy="0"/>
        </a:xfrm>
        <a:prstGeom prst="rect">
          <a:avLst/>
        </a:prstGeom>
      </xdr:spPr>
    </xdr:pic>
    <xdr:clientData/>
  </xdr:twoCellAnchor>
  <xdr:twoCellAnchor>
    <xdr:from>
      <xdr:col>14</xdr:col>
      <xdr:colOff>120000</xdr:colOff>
      <xdr:row>65</xdr:row>
      <xdr:rowOff>0</xdr:rowOff>
    </xdr:from>
    <xdr:to>
      <xdr:col>14</xdr:col>
      <xdr:colOff>290512</xdr:colOff>
      <xdr:row>66</xdr:row>
      <xdr:rowOff>0</xdr:rowOff>
    </xdr:to>
    <xdr:pic>
      <xdr:nvPicPr>
        <xdr:cNvPr id="54" name="Picture 1" descr="Picture">
          <a:extLst>
            <a:ext uri="{FF2B5EF4-FFF2-40B4-BE49-F238E27FC236}">
              <a16:creationId xmlns:a16="http://schemas.microsoft.com/office/drawing/2014/main" id="{FA643087-BF91-4CF7-BBF6-94E944838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541975" y="1914525"/>
          <a:ext cx="170512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74</xdr:row>
      <xdr:rowOff>120000</xdr:rowOff>
    </xdr:from>
    <xdr:to>
      <xdr:col>12</xdr:col>
      <xdr:colOff>400050</xdr:colOff>
      <xdr:row>75</xdr:row>
      <xdr:rowOff>0</xdr:rowOff>
    </xdr:to>
    <xdr:pic>
      <xdr:nvPicPr>
        <xdr:cNvPr id="55" name="Picture 1" descr="Picture">
          <a:extLst>
            <a:ext uri="{FF2B5EF4-FFF2-40B4-BE49-F238E27FC236}">
              <a16:creationId xmlns:a16="http://schemas.microsoft.com/office/drawing/2014/main" id="{82EFAF93-1053-4B21-8AF2-D7E48B309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191452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74</xdr:row>
      <xdr:rowOff>120000</xdr:rowOff>
    </xdr:from>
    <xdr:to>
      <xdr:col>24</xdr:col>
      <xdr:colOff>400050</xdr:colOff>
      <xdr:row>75</xdr:row>
      <xdr:rowOff>0</xdr:rowOff>
    </xdr:to>
    <xdr:pic>
      <xdr:nvPicPr>
        <xdr:cNvPr id="56" name="Picture 1" descr="Picture">
          <a:extLst>
            <a:ext uri="{FF2B5EF4-FFF2-40B4-BE49-F238E27FC236}">
              <a16:creationId xmlns:a16="http://schemas.microsoft.com/office/drawing/2014/main" id="{8EBCA3F9-FED0-4FB8-BD3C-8FB249EC6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191452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74</xdr:row>
      <xdr:rowOff>120000</xdr:rowOff>
    </xdr:from>
    <xdr:to>
      <xdr:col>25</xdr:col>
      <xdr:colOff>400050</xdr:colOff>
      <xdr:row>75</xdr:row>
      <xdr:rowOff>0</xdr:rowOff>
    </xdr:to>
    <xdr:pic>
      <xdr:nvPicPr>
        <xdr:cNvPr id="57" name="Picture 1" descr="Picture">
          <a:extLst>
            <a:ext uri="{FF2B5EF4-FFF2-40B4-BE49-F238E27FC236}">
              <a16:creationId xmlns:a16="http://schemas.microsoft.com/office/drawing/2014/main" id="{DBEC7F08-C5E8-428B-AEC7-32051176D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191452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75</xdr:row>
      <xdr:rowOff>120000</xdr:rowOff>
    </xdr:from>
    <xdr:to>
      <xdr:col>12</xdr:col>
      <xdr:colOff>400050</xdr:colOff>
      <xdr:row>76</xdr:row>
      <xdr:rowOff>0</xdr:rowOff>
    </xdr:to>
    <xdr:pic>
      <xdr:nvPicPr>
        <xdr:cNvPr id="58" name="Picture 1" descr="Picture">
          <a:extLst>
            <a:ext uri="{FF2B5EF4-FFF2-40B4-BE49-F238E27FC236}">
              <a16:creationId xmlns:a16="http://schemas.microsoft.com/office/drawing/2014/main" id="{B263E0EF-A918-45A8-8F18-AD9CFA1AB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2034525"/>
          <a:ext cx="50050" cy="32400"/>
        </a:xfrm>
        <a:prstGeom prst="rect">
          <a:avLst/>
        </a:prstGeom>
      </xdr:spPr>
    </xdr:pic>
    <xdr:clientData/>
  </xdr:twoCellAnchor>
  <xdr:twoCellAnchor>
    <xdr:from>
      <xdr:col>38</xdr:col>
      <xdr:colOff>350000</xdr:colOff>
      <xdr:row>76</xdr:row>
      <xdr:rowOff>120000</xdr:rowOff>
    </xdr:from>
    <xdr:to>
      <xdr:col>38</xdr:col>
      <xdr:colOff>400050</xdr:colOff>
      <xdr:row>77</xdr:row>
      <xdr:rowOff>0</xdr:rowOff>
    </xdr:to>
    <xdr:pic>
      <xdr:nvPicPr>
        <xdr:cNvPr id="59" name="Picture 1" descr="Picture">
          <a:extLst>
            <a:ext uri="{FF2B5EF4-FFF2-40B4-BE49-F238E27FC236}">
              <a16:creationId xmlns:a16="http://schemas.microsoft.com/office/drawing/2014/main" id="{0CCFD264-1BEF-4F4D-B14C-BC34D339D6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232175" y="2066925"/>
          <a:ext cx="50050" cy="0"/>
        </a:xfrm>
        <a:prstGeom prst="rect">
          <a:avLst/>
        </a:prstGeom>
      </xdr:spPr>
    </xdr:pic>
    <xdr:clientData/>
  </xdr:twoCellAnchor>
  <xdr:twoCellAnchor>
    <xdr:from>
      <xdr:col>39</xdr:col>
      <xdr:colOff>350000</xdr:colOff>
      <xdr:row>76</xdr:row>
      <xdr:rowOff>120000</xdr:rowOff>
    </xdr:from>
    <xdr:to>
      <xdr:col>39</xdr:col>
      <xdr:colOff>400050</xdr:colOff>
      <xdr:row>77</xdr:row>
      <xdr:rowOff>0</xdr:rowOff>
    </xdr:to>
    <xdr:pic>
      <xdr:nvPicPr>
        <xdr:cNvPr id="60" name="Picture 1" descr="Picture">
          <a:extLst>
            <a:ext uri="{FF2B5EF4-FFF2-40B4-BE49-F238E27FC236}">
              <a16:creationId xmlns:a16="http://schemas.microsoft.com/office/drawing/2014/main" id="{9447138D-285B-491B-A6C3-15FFA3AE0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251350" y="2066925"/>
          <a:ext cx="50050" cy="0"/>
        </a:xfrm>
        <a:prstGeom prst="rect">
          <a:avLst/>
        </a:prstGeom>
      </xdr:spPr>
    </xdr:pic>
    <xdr:clientData/>
  </xdr:twoCellAnchor>
  <xdr:twoCellAnchor>
    <xdr:from>
      <xdr:col>40</xdr:col>
      <xdr:colOff>350000</xdr:colOff>
      <xdr:row>76</xdr:row>
      <xdr:rowOff>120000</xdr:rowOff>
    </xdr:from>
    <xdr:to>
      <xdr:col>40</xdr:col>
      <xdr:colOff>400050</xdr:colOff>
      <xdr:row>77</xdr:row>
      <xdr:rowOff>0</xdr:rowOff>
    </xdr:to>
    <xdr:pic>
      <xdr:nvPicPr>
        <xdr:cNvPr id="61" name="Picture 1" descr="Picture">
          <a:extLst>
            <a:ext uri="{FF2B5EF4-FFF2-40B4-BE49-F238E27FC236}">
              <a16:creationId xmlns:a16="http://schemas.microsoft.com/office/drawing/2014/main" id="{A526F743-3D5D-45F5-9E4E-2D530DB4E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270525" y="206692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77</xdr:row>
      <xdr:rowOff>120000</xdr:rowOff>
    </xdr:from>
    <xdr:to>
      <xdr:col>17</xdr:col>
      <xdr:colOff>400050</xdr:colOff>
      <xdr:row>78</xdr:row>
      <xdr:rowOff>0</xdr:rowOff>
    </xdr:to>
    <xdr:pic>
      <xdr:nvPicPr>
        <xdr:cNvPr id="62" name="Picture 1" descr="Picture">
          <a:extLst>
            <a:ext uri="{FF2B5EF4-FFF2-40B4-BE49-F238E27FC236}">
              <a16:creationId xmlns:a16="http://schemas.microsoft.com/office/drawing/2014/main" id="{AE0597DF-9C77-4E9F-AEDC-47DD2C005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206692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77</xdr:row>
      <xdr:rowOff>120000</xdr:rowOff>
    </xdr:from>
    <xdr:to>
      <xdr:col>18</xdr:col>
      <xdr:colOff>400050</xdr:colOff>
      <xdr:row>78</xdr:row>
      <xdr:rowOff>0</xdr:rowOff>
    </xdr:to>
    <xdr:pic>
      <xdr:nvPicPr>
        <xdr:cNvPr id="63" name="Picture 1" descr="Picture">
          <a:extLst>
            <a:ext uri="{FF2B5EF4-FFF2-40B4-BE49-F238E27FC236}">
              <a16:creationId xmlns:a16="http://schemas.microsoft.com/office/drawing/2014/main" id="{C26DE941-7C82-4306-8854-E351B20F5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206692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77</xdr:row>
      <xdr:rowOff>120000</xdr:rowOff>
    </xdr:from>
    <xdr:to>
      <xdr:col>24</xdr:col>
      <xdr:colOff>400050</xdr:colOff>
      <xdr:row>78</xdr:row>
      <xdr:rowOff>0</xdr:rowOff>
    </xdr:to>
    <xdr:pic>
      <xdr:nvPicPr>
        <xdr:cNvPr id="64" name="Picture 1" descr="Picture">
          <a:extLst>
            <a:ext uri="{FF2B5EF4-FFF2-40B4-BE49-F238E27FC236}">
              <a16:creationId xmlns:a16="http://schemas.microsoft.com/office/drawing/2014/main" id="{7897CCC9-86AF-4F6A-98C5-A4C722E3A6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206692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77</xdr:row>
      <xdr:rowOff>120000</xdr:rowOff>
    </xdr:from>
    <xdr:to>
      <xdr:col>25</xdr:col>
      <xdr:colOff>400050</xdr:colOff>
      <xdr:row>78</xdr:row>
      <xdr:rowOff>0</xdr:rowOff>
    </xdr:to>
    <xdr:pic>
      <xdr:nvPicPr>
        <xdr:cNvPr id="65" name="Picture 1" descr="Picture">
          <a:extLst>
            <a:ext uri="{FF2B5EF4-FFF2-40B4-BE49-F238E27FC236}">
              <a16:creationId xmlns:a16="http://schemas.microsoft.com/office/drawing/2014/main" id="{601BC61A-AB2F-4C36-91D9-E267F00F5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206692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78</xdr:row>
      <xdr:rowOff>120000</xdr:rowOff>
    </xdr:from>
    <xdr:to>
      <xdr:col>12</xdr:col>
      <xdr:colOff>400050</xdr:colOff>
      <xdr:row>79</xdr:row>
      <xdr:rowOff>0</xdr:rowOff>
    </xdr:to>
    <xdr:pic>
      <xdr:nvPicPr>
        <xdr:cNvPr id="66" name="Picture 1" descr="Picture">
          <a:extLst>
            <a:ext uri="{FF2B5EF4-FFF2-40B4-BE49-F238E27FC236}">
              <a16:creationId xmlns:a16="http://schemas.microsoft.com/office/drawing/2014/main" id="{5AA0EB53-2DC0-45E4-B339-EB6B30408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206692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78</xdr:row>
      <xdr:rowOff>120000</xdr:rowOff>
    </xdr:from>
    <xdr:to>
      <xdr:col>17</xdr:col>
      <xdr:colOff>400050</xdr:colOff>
      <xdr:row>79</xdr:row>
      <xdr:rowOff>0</xdr:rowOff>
    </xdr:to>
    <xdr:pic>
      <xdr:nvPicPr>
        <xdr:cNvPr id="67" name="Picture 1" descr="Picture">
          <a:extLst>
            <a:ext uri="{FF2B5EF4-FFF2-40B4-BE49-F238E27FC236}">
              <a16:creationId xmlns:a16="http://schemas.microsoft.com/office/drawing/2014/main" id="{30DD143E-96ED-419B-92AC-4C9B538A3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206692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78</xdr:row>
      <xdr:rowOff>120000</xdr:rowOff>
    </xdr:from>
    <xdr:to>
      <xdr:col>18</xdr:col>
      <xdr:colOff>400050</xdr:colOff>
      <xdr:row>79</xdr:row>
      <xdr:rowOff>0</xdr:rowOff>
    </xdr:to>
    <xdr:pic>
      <xdr:nvPicPr>
        <xdr:cNvPr id="68" name="Picture 1" descr="Picture">
          <a:extLst>
            <a:ext uri="{FF2B5EF4-FFF2-40B4-BE49-F238E27FC236}">
              <a16:creationId xmlns:a16="http://schemas.microsoft.com/office/drawing/2014/main" id="{936CEA30-55DB-4D34-93BC-B42AFF1F5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2066925"/>
          <a:ext cx="50050" cy="0"/>
        </a:xfrm>
        <a:prstGeom prst="rect">
          <a:avLst/>
        </a:prstGeom>
      </xdr:spPr>
    </xdr:pic>
    <xdr:clientData/>
  </xdr:twoCellAnchor>
  <xdr:twoCellAnchor>
    <xdr:from>
      <xdr:col>38</xdr:col>
      <xdr:colOff>350000</xdr:colOff>
      <xdr:row>78</xdr:row>
      <xdr:rowOff>120000</xdr:rowOff>
    </xdr:from>
    <xdr:to>
      <xdr:col>38</xdr:col>
      <xdr:colOff>400050</xdr:colOff>
      <xdr:row>79</xdr:row>
      <xdr:rowOff>0</xdr:rowOff>
    </xdr:to>
    <xdr:pic>
      <xdr:nvPicPr>
        <xdr:cNvPr id="69" name="Picture 1" descr="Picture">
          <a:extLst>
            <a:ext uri="{FF2B5EF4-FFF2-40B4-BE49-F238E27FC236}">
              <a16:creationId xmlns:a16="http://schemas.microsoft.com/office/drawing/2014/main" id="{4C4C76B8-DAED-46DF-B00F-87113D525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232175" y="2066925"/>
          <a:ext cx="50050" cy="0"/>
        </a:xfrm>
        <a:prstGeom prst="rect">
          <a:avLst/>
        </a:prstGeom>
      </xdr:spPr>
    </xdr:pic>
    <xdr:clientData/>
  </xdr:twoCellAnchor>
  <xdr:twoCellAnchor>
    <xdr:from>
      <xdr:col>39</xdr:col>
      <xdr:colOff>350000</xdr:colOff>
      <xdr:row>78</xdr:row>
      <xdr:rowOff>120000</xdr:rowOff>
    </xdr:from>
    <xdr:to>
      <xdr:col>39</xdr:col>
      <xdr:colOff>400050</xdr:colOff>
      <xdr:row>79</xdr:row>
      <xdr:rowOff>0</xdr:rowOff>
    </xdr:to>
    <xdr:pic>
      <xdr:nvPicPr>
        <xdr:cNvPr id="70" name="Picture 1" descr="Picture">
          <a:extLst>
            <a:ext uri="{FF2B5EF4-FFF2-40B4-BE49-F238E27FC236}">
              <a16:creationId xmlns:a16="http://schemas.microsoft.com/office/drawing/2014/main" id="{AEAE97B8-7397-4241-B69D-D31A628A7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251350" y="2066925"/>
          <a:ext cx="50050" cy="0"/>
        </a:xfrm>
        <a:prstGeom prst="rect">
          <a:avLst/>
        </a:prstGeom>
      </xdr:spPr>
    </xdr:pic>
    <xdr:clientData/>
  </xdr:twoCellAnchor>
  <xdr:twoCellAnchor>
    <xdr:from>
      <xdr:col>40</xdr:col>
      <xdr:colOff>350000</xdr:colOff>
      <xdr:row>78</xdr:row>
      <xdr:rowOff>120000</xdr:rowOff>
    </xdr:from>
    <xdr:to>
      <xdr:col>40</xdr:col>
      <xdr:colOff>400050</xdr:colOff>
      <xdr:row>79</xdr:row>
      <xdr:rowOff>0</xdr:rowOff>
    </xdr:to>
    <xdr:pic>
      <xdr:nvPicPr>
        <xdr:cNvPr id="71" name="Picture 1" descr="Picture">
          <a:extLst>
            <a:ext uri="{FF2B5EF4-FFF2-40B4-BE49-F238E27FC236}">
              <a16:creationId xmlns:a16="http://schemas.microsoft.com/office/drawing/2014/main" id="{BD1A02B4-B77D-49E9-9960-395448483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270525" y="206692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79</xdr:row>
      <xdr:rowOff>120000</xdr:rowOff>
    </xdr:from>
    <xdr:to>
      <xdr:col>12</xdr:col>
      <xdr:colOff>400050</xdr:colOff>
      <xdr:row>80</xdr:row>
      <xdr:rowOff>0</xdr:rowOff>
    </xdr:to>
    <xdr:pic>
      <xdr:nvPicPr>
        <xdr:cNvPr id="72" name="Picture 1" descr="Picture">
          <a:extLst>
            <a:ext uri="{FF2B5EF4-FFF2-40B4-BE49-F238E27FC236}">
              <a16:creationId xmlns:a16="http://schemas.microsoft.com/office/drawing/2014/main" id="{02BB035A-4599-4499-8E04-C008A931FA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206692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79</xdr:row>
      <xdr:rowOff>120000</xdr:rowOff>
    </xdr:from>
    <xdr:to>
      <xdr:col>17</xdr:col>
      <xdr:colOff>400050</xdr:colOff>
      <xdr:row>80</xdr:row>
      <xdr:rowOff>0</xdr:rowOff>
    </xdr:to>
    <xdr:pic>
      <xdr:nvPicPr>
        <xdr:cNvPr id="73" name="Picture 1" descr="Picture">
          <a:extLst>
            <a:ext uri="{FF2B5EF4-FFF2-40B4-BE49-F238E27FC236}">
              <a16:creationId xmlns:a16="http://schemas.microsoft.com/office/drawing/2014/main" id="{DC947962-DAF6-45A5-9D3B-5C2CB61B9A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206692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79</xdr:row>
      <xdr:rowOff>120000</xdr:rowOff>
    </xdr:from>
    <xdr:to>
      <xdr:col>18</xdr:col>
      <xdr:colOff>400050</xdr:colOff>
      <xdr:row>80</xdr:row>
      <xdr:rowOff>0</xdr:rowOff>
    </xdr:to>
    <xdr:pic>
      <xdr:nvPicPr>
        <xdr:cNvPr id="74" name="Picture 1" descr="Picture">
          <a:extLst>
            <a:ext uri="{FF2B5EF4-FFF2-40B4-BE49-F238E27FC236}">
              <a16:creationId xmlns:a16="http://schemas.microsoft.com/office/drawing/2014/main" id="{F1E21647-1245-4378-8021-43F82AE5E5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206692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79</xdr:row>
      <xdr:rowOff>120000</xdr:rowOff>
    </xdr:from>
    <xdr:to>
      <xdr:col>24</xdr:col>
      <xdr:colOff>400050</xdr:colOff>
      <xdr:row>80</xdr:row>
      <xdr:rowOff>0</xdr:rowOff>
    </xdr:to>
    <xdr:pic>
      <xdr:nvPicPr>
        <xdr:cNvPr id="75" name="Picture 1" descr="Picture">
          <a:extLst>
            <a:ext uri="{FF2B5EF4-FFF2-40B4-BE49-F238E27FC236}">
              <a16:creationId xmlns:a16="http://schemas.microsoft.com/office/drawing/2014/main" id="{2CC13EE1-D71A-4AF0-8A6C-B446FA7CC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206692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79</xdr:row>
      <xdr:rowOff>120000</xdr:rowOff>
    </xdr:from>
    <xdr:to>
      <xdr:col>25</xdr:col>
      <xdr:colOff>400050</xdr:colOff>
      <xdr:row>80</xdr:row>
      <xdr:rowOff>0</xdr:rowOff>
    </xdr:to>
    <xdr:pic>
      <xdr:nvPicPr>
        <xdr:cNvPr id="76" name="Picture 1" descr="Picture">
          <a:extLst>
            <a:ext uri="{FF2B5EF4-FFF2-40B4-BE49-F238E27FC236}">
              <a16:creationId xmlns:a16="http://schemas.microsoft.com/office/drawing/2014/main" id="{04E8F361-99A7-4BF3-8581-CDD9B74A9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2066925"/>
          <a:ext cx="50050" cy="0"/>
        </a:xfrm>
        <a:prstGeom prst="rect">
          <a:avLst/>
        </a:prstGeom>
      </xdr:spPr>
    </xdr:pic>
    <xdr:clientData/>
  </xdr:twoCellAnchor>
  <xdr:twoCellAnchor>
    <xdr:from>
      <xdr:col>38</xdr:col>
      <xdr:colOff>350000</xdr:colOff>
      <xdr:row>79</xdr:row>
      <xdr:rowOff>120000</xdr:rowOff>
    </xdr:from>
    <xdr:to>
      <xdr:col>38</xdr:col>
      <xdr:colOff>400050</xdr:colOff>
      <xdr:row>80</xdr:row>
      <xdr:rowOff>0</xdr:rowOff>
    </xdr:to>
    <xdr:pic>
      <xdr:nvPicPr>
        <xdr:cNvPr id="77" name="Picture 1" descr="Picture">
          <a:extLst>
            <a:ext uri="{FF2B5EF4-FFF2-40B4-BE49-F238E27FC236}">
              <a16:creationId xmlns:a16="http://schemas.microsoft.com/office/drawing/2014/main" id="{B931F525-DB31-4F11-AC28-DE3185396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232175" y="2066925"/>
          <a:ext cx="50050" cy="0"/>
        </a:xfrm>
        <a:prstGeom prst="rect">
          <a:avLst/>
        </a:prstGeom>
      </xdr:spPr>
    </xdr:pic>
    <xdr:clientData/>
  </xdr:twoCellAnchor>
  <xdr:twoCellAnchor>
    <xdr:from>
      <xdr:col>39</xdr:col>
      <xdr:colOff>350000</xdr:colOff>
      <xdr:row>79</xdr:row>
      <xdr:rowOff>120000</xdr:rowOff>
    </xdr:from>
    <xdr:to>
      <xdr:col>39</xdr:col>
      <xdr:colOff>400050</xdr:colOff>
      <xdr:row>80</xdr:row>
      <xdr:rowOff>0</xdr:rowOff>
    </xdr:to>
    <xdr:pic>
      <xdr:nvPicPr>
        <xdr:cNvPr id="78" name="Picture 1" descr="Picture">
          <a:extLst>
            <a:ext uri="{FF2B5EF4-FFF2-40B4-BE49-F238E27FC236}">
              <a16:creationId xmlns:a16="http://schemas.microsoft.com/office/drawing/2014/main" id="{383760A4-60AE-4E03-AB74-5C52862E7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251350" y="2066925"/>
          <a:ext cx="50050" cy="0"/>
        </a:xfrm>
        <a:prstGeom prst="rect">
          <a:avLst/>
        </a:prstGeom>
      </xdr:spPr>
    </xdr:pic>
    <xdr:clientData/>
  </xdr:twoCellAnchor>
  <xdr:twoCellAnchor>
    <xdr:from>
      <xdr:col>40</xdr:col>
      <xdr:colOff>350000</xdr:colOff>
      <xdr:row>79</xdr:row>
      <xdr:rowOff>120000</xdr:rowOff>
    </xdr:from>
    <xdr:to>
      <xdr:col>40</xdr:col>
      <xdr:colOff>400050</xdr:colOff>
      <xdr:row>80</xdr:row>
      <xdr:rowOff>0</xdr:rowOff>
    </xdr:to>
    <xdr:pic>
      <xdr:nvPicPr>
        <xdr:cNvPr id="79" name="Picture 1" descr="Picture">
          <a:extLst>
            <a:ext uri="{FF2B5EF4-FFF2-40B4-BE49-F238E27FC236}">
              <a16:creationId xmlns:a16="http://schemas.microsoft.com/office/drawing/2014/main" id="{27A983C5-5C9E-4C28-869A-85A7EB492A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270525" y="206692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80</xdr:row>
      <xdr:rowOff>120000</xdr:rowOff>
    </xdr:from>
    <xdr:to>
      <xdr:col>17</xdr:col>
      <xdr:colOff>400050</xdr:colOff>
      <xdr:row>81</xdr:row>
      <xdr:rowOff>0</xdr:rowOff>
    </xdr:to>
    <xdr:pic>
      <xdr:nvPicPr>
        <xdr:cNvPr id="80" name="Picture 1" descr="Picture">
          <a:extLst>
            <a:ext uri="{FF2B5EF4-FFF2-40B4-BE49-F238E27FC236}">
              <a16:creationId xmlns:a16="http://schemas.microsoft.com/office/drawing/2014/main" id="{89B962F9-EA7B-42A6-9A73-86676CCA1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206692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80</xdr:row>
      <xdr:rowOff>120000</xdr:rowOff>
    </xdr:from>
    <xdr:to>
      <xdr:col>18</xdr:col>
      <xdr:colOff>400050</xdr:colOff>
      <xdr:row>81</xdr:row>
      <xdr:rowOff>0</xdr:rowOff>
    </xdr:to>
    <xdr:pic>
      <xdr:nvPicPr>
        <xdr:cNvPr id="81" name="Picture 1" descr="Picture">
          <a:extLst>
            <a:ext uri="{FF2B5EF4-FFF2-40B4-BE49-F238E27FC236}">
              <a16:creationId xmlns:a16="http://schemas.microsoft.com/office/drawing/2014/main" id="{F45AB270-D209-4F64-9B13-6BC7A73D7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206692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80</xdr:row>
      <xdr:rowOff>120000</xdr:rowOff>
    </xdr:from>
    <xdr:to>
      <xdr:col>24</xdr:col>
      <xdr:colOff>400050</xdr:colOff>
      <xdr:row>81</xdr:row>
      <xdr:rowOff>0</xdr:rowOff>
    </xdr:to>
    <xdr:pic>
      <xdr:nvPicPr>
        <xdr:cNvPr id="82" name="Picture 1" descr="Picture">
          <a:extLst>
            <a:ext uri="{FF2B5EF4-FFF2-40B4-BE49-F238E27FC236}">
              <a16:creationId xmlns:a16="http://schemas.microsoft.com/office/drawing/2014/main" id="{A7893B5D-B4E3-4AA4-94B4-65D8B618A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206692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80</xdr:row>
      <xdr:rowOff>120000</xdr:rowOff>
    </xdr:from>
    <xdr:to>
      <xdr:col>25</xdr:col>
      <xdr:colOff>400050</xdr:colOff>
      <xdr:row>81</xdr:row>
      <xdr:rowOff>0</xdr:rowOff>
    </xdr:to>
    <xdr:pic>
      <xdr:nvPicPr>
        <xdr:cNvPr id="83" name="Picture 1" descr="Picture">
          <a:extLst>
            <a:ext uri="{FF2B5EF4-FFF2-40B4-BE49-F238E27FC236}">
              <a16:creationId xmlns:a16="http://schemas.microsoft.com/office/drawing/2014/main" id="{629B9DFD-5F3C-441F-86AF-5587733E3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206692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81</xdr:row>
      <xdr:rowOff>120000</xdr:rowOff>
    </xdr:from>
    <xdr:to>
      <xdr:col>12</xdr:col>
      <xdr:colOff>400050</xdr:colOff>
      <xdr:row>82</xdr:row>
      <xdr:rowOff>0</xdr:rowOff>
    </xdr:to>
    <xdr:pic>
      <xdr:nvPicPr>
        <xdr:cNvPr id="84" name="Picture 1" descr="Picture">
          <a:extLst>
            <a:ext uri="{FF2B5EF4-FFF2-40B4-BE49-F238E27FC236}">
              <a16:creationId xmlns:a16="http://schemas.microsoft.com/office/drawing/2014/main" id="{A9EEB187-DC47-45EF-89AC-91F1D3A51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206692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81</xdr:row>
      <xdr:rowOff>120000</xdr:rowOff>
    </xdr:from>
    <xdr:to>
      <xdr:col>17</xdr:col>
      <xdr:colOff>400050</xdr:colOff>
      <xdr:row>82</xdr:row>
      <xdr:rowOff>0</xdr:rowOff>
    </xdr:to>
    <xdr:pic>
      <xdr:nvPicPr>
        <xdr:cNvPr id="85" name="Picture 1" descr="Picture">
          <a:extLst>
            <a:ext uri="{FF2B5EF4-FFF2-40B4-BE49-F238E27FC236}">
              <a16:creationId xmlns:a16="http://schemas.microsoft.com/office/drawing/2014/main" id="{3137B725-5526-4E20-9BC5-6D284257B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206692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81</xdr:row>
      <xdr:rowOff>120000</xdr:rowOff>
    </xdr:from>
    <xdr:to>
      <xdr:col>18</xdr:col>
      <xdr:colOff>400050</xdr:colOff>
      <xdr:row>82</xdr:row>
      <xdr:rowOff>0</xdr:rowOff>
    </xdr:to>
    <xdr:pic>
      <xdr:nvPicPr>
        <xdr:cNvPr id="86" name="Picture 1" descr="Picture">
          <a:extLst>
            <a:ext uri="{FF2B5EF4-FFF2-40B4-BE49-F238E27FC236}">
              <a16:creationId xmlns:a16="http://schemas.microsoft.com/office/drawing/2014/main" id="{CF2D8992-5953-48B6-BF32-B85A4765D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206692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81</xdr:row>
      <xdr:rowOff>120000</xdr:rowOff>
    </xdr:from>
    <xdr:to>
      <xdr:col>24</xdr:col>
      <xdr:colOff>400050</xdr:colOff>
      <xdr:row>82</xdr:row>
      <xdr:rowOff>0</xdr:rowOff>
    </xdr:to>
    <xdr:pic>
      <xdr:nvPicPr>
        <xdr:cNvPr id="87" name="Picture 1" descr="Picture">
          <a:extLst>
            <a:ext uri="{FF2B5EF4-FFF2-40B4-BE49-F238E27FC236}">
              <a16:creationId xmlns:a16="http://schemas.microsoft.com/office/drawing/2014/main" id="{DA2135EB-82BB-4BD0-B51F-31792BA17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206692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81</xdr:row>
      <xdr:rowOff>120000</xdr:rowOff>
    </xdr:from>
    <xdr:to>
      <xdr:col>25</xdr:col>
      <xdr:colOff>400050</xdr:colOff>
      <xdr:row>82</xdr:row>
      <xdr:rowOff>0</xdr:rowOff>
    </xdr:to>
    <xdr:pic>
      <xdr:nvPicPr>
        <xdr:cNvPr id="88" name="Picture 1" descr="Picture">
          <a:extLst>
            <a:ext uri="{FF2B5EF4-FFF2-40B4-BE49-F238E27FC236}">
              <a16:creationId xmlns:a16="http://schemas.microsoft.com/office/drawing/2014/main" id="{D64195C3-EE2B-452E-94AA-5D1289FBD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206692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82</xdr:row>
      <xdr:rowOff>120000</xdr:rowOff>
    </xdr:from>
    <xdr:to>
      <xdr:col>12</xdr:col>
      <xdr:colOff>400050</xdr:colOff>
      <xdr:row>83</xdr:row>
      <xdr:rowOff>0</xdr:rowOff>
    </xdr:to>
    <xdr:pic>
      <xdr:nvPicPr>
        <xdr:cNvPr id="89" name="Picture 1" descr="Picture">
          <a:extLst>
            <a:ext uri="{FF2B5EF4-FFF2-40B4-BE49-F238E27FC236}">
              <a16:creationId xmlns:a16="http://schemas.microsoft.com/office/drawing/2014/main" id="{41429FF7-2CBC-4BF2-9D67-0D11CDD931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206692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82</xdr:row>
      <xdr:rowOff>120000</xdr:rowOff>
    </xdr:from>
    <xdr:to>
      <xdr:col>17</xdr:col>
      <xdr:colOff>400050</xdr:colOff>
      <xdr:row>83</xdr:row>
      <xdr:rowOff>0</xdr:rowOff>
    </xdr:to>
    <xdr:pic>
      <xdr:nvPicPr>
        <xdr:cNvPr id="90" name="Picture 1" descr="Picture">
          <a:extLst>
            <a:ext uri="{FF2B5EF4-FFF2-40B4-BE49-F238E27FC236}">
              <a16:creationId xmlns:a16="http://schemas.microsoft.com/office/drawing/2014/main" id="{D2C70303-2F06-4521-8C59-8ED2FA193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206692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82</xdr:row>
      <xdr:rowOff>120000</xdr:rowOff>
    </xdr:from>
    <xdr:to>
      <xdr:col>18</xdr:col>
      <xdr:colOff>400050</xdr:colOff>
      <xdr:row>83</xdr:row>
      <xdr:rowOff>0</xdr:rowOff>
    </xdr:to>
    <xdr:pic>
      <xdr:nvPicPr>
        <xdr:cNvPr id="91" name="Picture 1" descr="Picture">
          <a:extLst>
            <a:ext uri="{FF2B5EF4-FFF2-40B4-BE49-F238E27FC236}">
              <a16:creationId xmlns:a16="http://schemas.microsoft.com/office/drawing/2014/main" id="{637BC210-14A1-4479-8270-BDFDD0AD1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206692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82</xdr:row>
      <xdr:rowOff>120000</xdr:rowOff>
    </xdr:from>
    <xdr:to>
      <xdr:col>24</xdr:col>
      <xdr:colOff>400050</xdr:colOff>
      <xdr:row>83</xdr:row>
      <xdr:rowOff>0</xdr:rowOff>
    </xdr:to>
    <xdr:pic>
      <xdr:nvPicPr>
        <xdr:cNvPr id="92" name="Picture 1" descr="Picture">
          <a:extLst>
            <a:ext uri="{FF2B5EF4-FFF2-40B4-BE49-F238E27FC236}">
              <a16:creationId xmlns:a16="http://schemas.microsoft.com/office/drawing/2014/main" id="{C2F2C683-BDA6-489B-8EC7-5EFD40531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206692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82</xdr:row>
      <xdr:rowOff>120000</xdr:rowOff>
    </xdr:from>
    <xdr:to>
      <xdr:col>25</xdr:col>
      <xdr:colOff>400050</xdr:colOff>
      <xdr:row>83</xdr:row>
      <xdr:rowOff>0</xdr:rowOff>
    </xdr:to>
    <xdr:pic>
      <xdr:nvPicPr>
        <xdr:cNvPr id="93" name="Picture 1" descr="Picture">
          <a:extLst>
            <a:ext uri="{FF2B5EF4-FFF2-40B4-BE49-F238E27FC236}">
              <a16:creationId xmlns:a16="http://schemas.microsoft.com/office/drawing/2014/main" id="{AA3BFA06-6DB8-405B-B7E3-D4DF49F84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206692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83</xdr:row>
      <xdr:rowOff>120000</xdr:rowOff>
    </xdr:from>
    <xdr:to>
      <xdr:col>12</xdr:col>
      <xdr:colOff>400050</xdr:colOff>
      <xdr:row>84</xdr:row>
      <xdr:rowOff>0</xdr:rowOff>
    </xdr:to>
    <xdr:pic>
      <xdr:nvPicPr>
        <xdr:cNvPr id="94" name="Picture 1" descr="Picture">
          <a:extLst>
            <a:ext uri="{FF2B5EF4-FFF2-40B4-BE49-F238E27FC236}">
              <a16:creationId xmlns:a16="http://schemas.microsoft.com/office/drawing/2014/main" id="{3FB87BB2-AEFA-468E-AB43-9D558B06D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206692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83</xdr:row>
      <xdr:rowOff>120000</xdr:rowOff>
    </xdr:from>
    <xdr:to>
      <xdr:col>17</xdr:col>
      <xdr:colOff>400050</xdr:colOff>
      <xdr:row>84</xdr:row>
      <xdr:rowOff>0</xdr:rowOff>
    </xdr:to>
    <xdr:pic>
      <xdr:nvPicPr>
        <xdr:cNvPr id="95" name="Picture 1" descr="Picture">
          <a:extLst>
            <a:ext uri="{FF2B5EF4-FFF2-40B4-BE49-F238E27FC236}">
              <a16:creationId xmlns:a16="http://schemas.microsoft.com/office/drawing/2014/main" id="{6E2EF042-DABB-41A1-B35F-FE150C7B4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206692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83</xdr:row>
      <xdr:rowOff>120000</xdr:rowOff>
    </xdr:from>
    <xdr:to>
      <xdr:col>18</xdr:col>
      <xdr:colOff>400050</xdr:colOff>
      <xdr:row>84</xdr:row>
      <xdr:rowOff>0</xdr:rowOff>
    </xdr:to>
    <xdr:pic>
      <xdr:nvPicPr>
        <xdr:cNvPr id="96" name="Picture 1" descr="Picture">
          <a:extLst>
            <a:ext uri="{FF2B5EF4-FFF2-40B4-BE49-F238E27FC236}">
              <a16:creationId xmlns:a16="http://schemas.microsoft.com/office/drawing/2014/main" id="{CA0120D7-11C2-489F-8C42-6995F54CF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206692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83</xdr:row>
      <xdr:rowOff>120000</xdr:rowOff>
    </xdr:from>
    <xdr:to>
      <xdr:col>24</xdr:col>
      <xdr:colOff>400050</xdr:colOff>
      <xdr:row>84</xdr:row>
      <xdr:rowOff>0</xdr:rowOff>
    </xdr:to>
    <xdr:pic>
      <xdr:nvPicPr>
        <xdr:cNvPr id="97" name="Picture 1" descr="Picture">
          <a:extLst>
            <a:ext uri="{FF2B5EF4-FFF2-40B4-BE49-F238E27FC236}">
              <a16:creationId xmlns:a16="http://schemas.microsoft.com/office/drawing/2014/main" id="{8911CB76-6F61-486C-BE4E-BC81C4E93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206692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83</xdr:row>
      <xdr:rowOff>120000</xdr:rowOff>
    </xdr:from>
    <xdr:to>
      <xdr:col>25</xdr:col>
      <xdr:colOff>400050</xdr:colOff>
      <xdr:row>84</xdr:row>
      <xdr:rowOff>0</xdr:rowOff>
    </xdr:to>
    <xdr:pic>
      <xdr:nvPicPr>
        <xdr:cNvPr id="98" name="Picture 1" descr="Picture">
          <a:extLst>
            <a:ext uri="{FF2B5EF4-FFF2-40B4-BE49-F238E27FC236}">
              <a16:creationId xmlns:a16="http://schemas.microsoft.com/office/drawing/2014/main" id="{CCE4F96E-CCF1-4B89-BFF9-66804F124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2066925"/>
          <a:ext cx="50050" cy="0"/>
        </a:xfrm>
        <a:prstGeom prst="rect">
          <a:avLst/>
        </a:prstGeom>
      </xdr:spPr>
    </xdr:pic>
    <xdr:clientData/>
  </xdr:twoCellAnchor>
  <xdr:twoCellAnchor>
    <xdr:from>
      <xdr:col>38</xdr:col>
      <xdr:colOff>350000</xdr:colOff>
      <xdr:row>83</xdr:row>
      <xdr:rowOff>120000</xdr:rowOff>
    </xdr:from>
    <xdr:to>
      <xdr:col>38</xdr:col>
      <xdr:colOff>400050</xdr:colOff>
      <xdr:row>84</xdr:row>
      <xdr:rowOff>0</xdr:rowOff>
    </xdr:to>
    <xdr:pic>
      <xdr:nvPicPr>
        <xdr:cNvPr id="99" name="Picture 1" descr="Picture">
          <a:extLst>
            <a:ext uri="{FF2B5EF4-FFF2-40B4-BE49-F238E27FC236}">
              <a16:creationId xmlns:a16="http://schemas.microsoft.com/office/drawing/2014/main" id="{8D30AAD3-A9D2-4C5A-BAC7-F98F07C80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232175" y="2066925"/>
          <a:ext cx="50050" cy="0"/>
        </a:xfrm>
        <a:prstGeom prst="rect">
          <a:avLst/>
        </a:prstGeom>
      </xdr:spPr>
    </xdr:pic>
    <xdr:clientData/>
  </xdr:twoCellAnchor>
  <xdr:twoCellAnchor>
    <xdr:from>
      <xdr:col>39</xdr:col>
      <xdr:colOff>350000</xdr:colOff>
      <xdr:row>83</xdr:row>
      <xdr:rowOff>120000</xdr:rowOff>
    </xdr:from>
    <xdr:to>
      <xdr:col>39</xdr:col>
      <xdr:colOff>400050</xdr:colOff>
      <xdr:row>84</xdr:row>
      <xdr:rowOff>0</xdr:rowOff>
    </xdr:to>
    <xdr:pic>
      <xdr:nvPicPr>
        <xdr:cNvPr id="100" name="Picture 1" descr="Picture">
          <a:extLst>
            <a:ext uri="{FF2B5EF4-FFF2-40B4-BE49-F238E27FC236}">
              <a16:creationId xmlns:a16="http://schemas.microsoft.com/office/drawing/2014/main" id="{26086AF8-83FC-4ED0-A773-79C758333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251350" y="2066925"/>
          <a:ext cx="50050" cy="0"/>
        </a:xfrm>
        <a:prstGeom prst="rect">
          <a:avLst/>
        </a:prstGeom>
      </xdr:spPr>
    </xdr:pic>
    <xdr:clientData/>
  </xdr:twoCellAnchor>
  <xdr:twoCellAnchor>
    <xdr:from>
      <xdr:col>40</xdr:col>
      <xdr:colOff>350000</xdr:colOff>
      <xdr:row>83</xdr:row>
      <xdr:rowOff>120000</xdr:rowOff>
    </xdr:from>
    <xdr:to>
      <xdr:col>40</xdr:col>
      <xdr:colOff>400050</xdr:colOff>
      <xdr:row>84</xdr:row>
      <xdr:rowOff>0</xdr:rowOff>
    </xdr:to>
    <xdr:pic>
      <xdr:nvPicPr>
        <xdr:cNvPr id="101" name="Picture 1" descr="Picture">
          <a:extLst>
            <a:ext uri="{FF2B5EF4-FFF2-40B4-BE49-F238E27FC236}">
              <a16:creationId xmlns:a16="http://schemas.microsoft.com/office/drawing/2014/main" id="{167505F9-5434-431E-AEB5-811C542E35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270525" y="206692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120000</xdr:colOff>
      <xdr:row>85</xdr:row>
      <xdr:rowOff>0</xdr:rowOff>
    </xdr:from>
    <xdr:to>
      <xdr:col>12</xdr:col>
      <xdr:colOff>290512</xdr:colOff>
      <xdr:row>86</xdr:row>
      <xdr:rowOff>0</xdr:rowOff>
    </xdr:to>
    <xdr:pic>
      <xdr:nvPicPr>
        <xdr:cNvPr id="102" name="Picture 1" descr="Picture">
          <a:extLst>
            <a:ext uri="{FF2B5EF4-FFF2-40B4-BE49-F238E27FC236}">
              <a16:creationId xmlns:a16="http://schemas.microsoft.com/office/drawing/2014/main" id="{EFAFA943-D303-4E99-9E4D-5DFC1B88E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75225" y="2066925"/>
          <a:ext cx="170512" cy="152400"/>
        </a:xfrm>
        <a:prstGeom prst="rect">
          <a:avLst/>
        </a:prstGeom>
      </xdr:spPr>
    </xdr:pic>
    <xdr:clientData/>
  </xdr:twoCellAnchor>
  <xdr:twoCellAnchor>
    <xdr:from>
      <xdr:col>14</xdr:col>
      <xdr:colOff>120000</xdr:colOff>
      <xdr:row>85</xdr:row>
      <xdr:rowOff>0</xdr:rowOff>
    </xdr:from>
    <xdr:to>
      <xdr:col>14</xdr:col>
      <xdr:colOff>290512</xdr:colOff>
      <xdr:row>86</xdr:row>
      <xdr:rowOff>0</xdr:rowOff>
    </xdr:to>
    <xdr:pic>
      <xdr:nvPicPr>
        <xdr:cNvPr id="103" name="Picture 1" descr="Picture">
          <a:extLst>
            <a:ext uri="{FF2B5EF4-FFF2-40B4-BE49-F238E27FC236}">
              <a16:creationId xmlns:a16="http://schemas.microsoft.com/office/drawing/2014/main" id="{50F57BC5-A22A-471D-918D-8A88528F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541975" y="2066925"/>
          <a:ext cx="170512" cy="152400"/>
        </a:xfrm>
        <a:prstGeom prst="rect">
          <a:avLst/>
        </a:prstGeom>
      </xdr:spPr>
    </xdr:pic>
    <xdr:clientData/>
  </xdr:twoCellAnchor>
  <xdr:twoCellAnchor>
    <xdr:from>
      <xdr:col>15</xdr:col>
      <xdr:colOff>120000</xdr:colOff>
      <xdr:row>85</xdr:row>
      <xdr:rowOff>0</xdr:rowOff>
    </xdr:from>
    <xdr:to>
      <xdr:col>15</xdr:col>
      <xdr:colOff>290512</xdr:colOff>
      <xdr:row>86</xdr:row>
      <xdr:rowOff>0</xdr:rowOff>
    </xdr:to>
    <xdr:pic>
      <xdr:nvPicPr>
        <xdr:cNvPr id="104" name="Picture 1" descr="Picture">
          <a:extLst>
            <a:ext uri="{FF2B5EF4-FFF2-40B4-BE49-F238E27FC236}">
              <a16:creationId xmlns:a16="http://schemas.microsoft.com/office/drawing/2014/main" id="{85AD5893-D465-4A1A-975B-E242A971C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561150" y="2066925"/>
          <a:ext cx="170512" cy="152400"/>
        </a:xfrm>
        <a:prstGeom prst="rect">
          <a:avLst/>
        </a:prstGeom>
      </xdr:spPr>
    </xdr:pic>
    <xdr:clientData/>
  </xdr:twoCellAnchor>
  <xdr:twoCellAnchor>
    <xdr:from>
      <xdr:col>17</xdr:col>
      <xdr:colOff>120000</xdr:colOff>
      <xdr:row>85</xdr:row>
      <xdr:rowOff>0</xdr:rowOff>
    </xdr:from>
    <xdr:to>
      <xdr:col>17</xdr:col>
      <xdr:colOff>290512</xdr:colOff>
      <xdr:row>86</xdr:row>
      <xdr:rowOff>0</xdr:rowOff>
    </xdr:to>
    <xdr:pic>
      <xdr:nvPicPr>
        <xdr:cNvPr id="105" name="Picture 1" descr="Picture">
          <a:extLst>
            <a:ext uri="{FF2B5EF4-FFF2-40B4-BE49-F238E27FC236}">
              <a16:creationId xmlns:a16="http://schemas.microsoft.com/office/drawing/2014/main" id="{CE116105-C55E-4169-9510-A1D167DC3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99500" y="2066925"/>
          <a:ext cx="170512" cy="152400"/>
        </a:xfrm>
        <a:prstGeom prst="rect">
          <a:avLst/>
        </a:prstGeom>
      </xdr:spPr>
    </xdr:pic>
    <xdr:clientData/>
  </xdr:twoCellAnchor>
  <xdr:twoCellAnchor>
    <xdr:from>
      <xdr:col>18</xdr:col>
      <xdr:colOff>120000</xdr:colOff>
      <xdr:row>85</xdr:row>
      <xdr:rowOff>0</xdr:rowOff>
    </xdr:from>
    <xdr:to>
      <xdr:col>18</xdr:col>
      <xdr:colOff>290512</xdr:colOff>
      <xdr:row>86</xdr:row>
      <xdr:rowOff>0</xdr:rowOff>
    </xdr:to>
    <xdr:pic>
      <xdr:nvPicPr>
        <xdr:cNvPr id="106" name="Picture 1" descr="Picture">
          <a:extLst>
            <a:ext uri="{FF2B5EF4-FFF2-40B4-BE49-F238E27FC236}">
              <a16:creationId xmlns:a16="http://schemas.microsoft.com/office/drawing/2014/main" id="{ECCAAFFB-6D38-4DB6-9465-803F523207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18675" y="2066925"/>
          <a:ext cx="170512" cy="152400"/>
        </a:xfrm>
        <a:prstGeom prst="rect">
          <a:avLst/>
        </a:prstGeom>
      </xdr:spPr>
    </xdr:pic>
    <xdr:clientData/>
  </xdr:twoCellAnchor>
  <xdr:twoCellAnchor>
    <xdr:from>
      <xdr:col>19</xdr:col>
      <xdr:colOff>120000</xdr:colOff>
      <xdr:row>85</xdr:row>
      <xdr:rowOff>0</xdr:rowOff>
    </xdr:from>
    <xdr:to>
      <xdr:col>19</xdr:col>
      <xdr:colOff>290512</xdr:colOff>
      <xdr:row>86</xdr:row>
      <xdr:rowOff>0</xdr:rowOff>
    </xdr:to>
    <xdr:pic>
      <xdr:nvPicPr>
        <xdr:cNvPr id="107" name="Picture 1" descr="Picture">
          <a:extLst>
            <a:ext uri="{FF2B5EF4-FFF2-40B4-BE49-F238E27FC236}">
              <a16:creationId xmlns:a16="http://schemas.microsoft.com/office/drawing/2014/main" id="{A2A13975-96EA-4E06-9CED-62B254D2F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37850" y="2066925"/>
          <a:ext cx="170512" cy="15240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85</xdr:row>
      <xdr:rowOff>0</xdr:rowOff>
    </xdr:from>
    <xdr:to>
      <xdr:col>28</xdr:col>
      <xdr:colOff>290512</xdr:colOff>
      <xdr:row>86</xdr:row>
      <xdr:rowOff>0</xdr:rowOff>
    </xdr:to>
    <xdr:pic>
      <xdr:nvPicPr>
        <xdr:cNvPr id="108" name="Picture 1" descr="Picture">
          <a:extLst>
            <a:ext uri="{FF2B5EF4-FFF2-40B4-BE49-F238E27FC236}">
              <a16:creationId xmlns:a16="http://schemas.microsoft.com/office/drawing/2014/main" id="{743F2532-B7D8-4E31-9DE6-831FBFF74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810425" y="2066925"/>
          <a:ext cx="170512" cy="15240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85</xdr:row>
      <xdr:rowOff>0</xdr:rowOff>
    </xdr:from>
    <xdr:to>
      <xdr:col>29</xdr:col>
      <xdr:colOff>290512</xdr:colOff>
      <xdr:row>86</xdr:row>
      <xdr:rowOff>0</xdr:rowOff>
    </xdr:to>
    <xdr:pic>
      <xdr:nvPicPr>
        <xdr:cNvPr id="109" name="Picture 1" descr="Picture">
          <a:extLst>
            <a:ext uri="{FF2B5EF4-FFF2-40B4-BE49-F238E27FC236}">
              <a16:creationId xmlns:a16="http://schemas.microsoft.com/office/drawing/2014/main" id="{A3A7C8F9-BAAC-498B-A286-36C5C65459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29600" y="2066925"/>
          <a:ext cx="170512" cy="15240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85</xdr:row>
      <xdr:rowOff>0</xdr:rowOff>
    </xdr:from>
    <xdr:to>
      <xdr:col>31</xdr:col>
      <xdr:colOff>290512</xdr:colOff>
      <xdr:row>86</xdr:row>
      <xdr:rowOff>0</xdr:rowOff>
    </xdr:to>
    <xdr:pic>
      <xdr:nvPicPr>
        <xdr:cNvPr id="110" name="Picture 1" descr="Picture">
          <a:extLst>
            <a:ext uri="{FF2B5EF4-FFF2-40B4-BE49-F238E27FC236}">
              <a16:creationId xmlns:a16="http://schemas.microsoft.com/office/drawing/2014/main" id="{D2EEA2FE-BD46-4A23-9221-C0935F04C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67950" y="2066925"/>
          <a:ext cx="170512" cy="15240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85</xdr:row>
      <xdr:rowOff>0</xdr:rowOff>
    </xdr:from>
    <xdr:to>
      <xdr:col>32</xdr:col>
      <xdr:colOff>290512</xdr:colOff>
      <xdr:row>86</xdr:row>
      <xdr:rowOff>0</xdr:rowOff>
    </xdr:to>
    <xdr:pic>
      <xdr:nvPicPr>
        <xdr:cNvPr id="111" name="Picture 1" descr="Picture">
          <a:extLst>
            <a:ext uri="{FF2B5EF4-FFF2-40B4-BE49-F238E27FC236}">
              <a16:creationId xmlns:a16="http://schemas.microsoft.com/office/drawing/2014/main" id="{88F7C408-542F-4FDF-B8EB-8D3D7396A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887125" y="2066925"/>
          <a:ext cx="170512" cy="15240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85</xdr:row>
      <xdr:rowOff>0</xdr:rowOff>
    </xdr:from>
    <xdr:to>
      <xdr:col>33</xdr:col>
      <xdr:colOff>290512</xdr:colOff>
      <xdr:row>86</xdr:row>
      <xdr:rowOff>0</xdr:rowOff>
    </xdr:to>
    <xdr:pic>
      <xdr:nvPicPr>
        <xdr:cNvPr id="112" name="Picture 1" descr="Picture">
          <a:extLst>
            <a:ext uri="{FF2B5EF4-FFF2-40B4-BE49-F238E27FC236}">
              <a16:creationId xmlns:a16="http://schemas.microsoft.com/office/drawing/2014/main" id="{A794A2FB-78FC-4F4F-A9E6-55720C0B4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06300" y="2066925"/>
          <a:ext cx="170512" cy="15240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85</xdr:row>
      <xdr:rowOff>0</xdr:rowOff>
    </xdr:from>
    <xdr:to>
      <xdr:col>40</xdr:col>
      <xdr:colOff>290512</xdr:colOff>
      <xdr:row>86</xdr:row>
      <xdr:rowOff>0</xdr:rowOff>
    </xdr:to>
    <xdr:pic>
      <xdr:nvPicPr>
        <xdr:cNvPr id="113" name="Picture 1" descr="Picture">
          <a:extLst>
            <a:ext uri="{FF2B5EF4-FFF2-40B4-BE49-F238E27FC236}">
              <a16:creationId xmlns:a16="http://schemas.microsoft.com/office/drawing/2014/main" id="{A7DA2EB1-7F86-48FD-992B-7D9B97B67B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40525" y="2066925"/>
          <a:ext cx="170512" cy="15240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98</xdr:row>
      <xdr:rowOff>0</xdr:rowOff>
    </xdr:from>
    <xdr:to>
      <xdr:col>31</xdr:col>
      <xdr:colOff>290512</xdr:colOff>
      <xdr:row>99</xdr:row>
      <xdr:rowOff>0</xdr:rowOff>
    </xdr:to>
    <xdr:pic>
      <xdr:nvPicPr>
        <xdr:cNvPr id="114" name="Picture 1" descr="Picture">
          <a:extLst>
            <a:ext uri="{FF2B5EF4-FFF2-40B4-BE49-F238E27FC236}">
              <a16:creationId xmlns:a16="http://schemas.microsoft.com/office/drawing/2014/main" id="{59B30208-5C35-4AFE-B25E-12DF84899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67950" y="2733675"/>
          <a:ext cx="170512" cy="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98</xdr:row>
      <xdr:rowOff>0</xdr:rowOff>
    </xdr:from>
    <xdr:to>
      <xdr:col>32</xdr:col>
      <xdr:colOff>290512</xdr:colOff>
      <xdr:row>99</xdr:row>
      <xdr:rowOff>0</xdr:rowOff>
    </xdr:to>
    <xdr:pic>
      <xdr:nvPicPr>
        <xdr:cNvPr id="115" name="Picture 1" descr="Picture">
          <a:extLst>
            <a:ext uri="{FF2B5EF4-FFF2-40B4-BE49-F238E27FC236}">
              <a16:creationId xmlns:a16="http://schemas.microsoft.com/office/drawing/2014/main" id="{BC7A66DF-C638-41FB-A35F-853926092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887125" y="2733675"/>
          <a:ext cx="170512" cy="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98</xdr:row>
      <xdr:rowOff>0</xdr:rowOff>
    </xdr:from>
    <xdr:to>
      <xdr:col>33</xdr:col>
      <xdr:colOff>290512</xdr:colOff>
      <xdr:row>99</xdr:row>
      <xdr:rowOff>0</xdr:rowOff>
    </xdr:to>
    <xdr:pic>
      <xdr:nvPicPr>
        <xdr:cNvPr id="116" name="Picture 1" descr="Picture">
          <a:extLst>
            <a:ext uri="{FF2B5EF4-FFF2-40B4-BE49-F238E27FC236}">
              <a16:creationId xmlns:a16="http://schemas.microsoft.com/office/drawing/2014/main" id="{24CCEEB1-0478-4CDE-8E6A-858334836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06300" y="2733675"/>
          <a:ext cx="170512" cy="0"/>
        </a:xfrm>
        <a:prstGeom prst="rect">
          <a:avLst/>
        </a:prstGeom>
      </xdr:spPr>
    </xdr:pic>
    <xdr:clientData/>
  </xdr:twoCellAnchor>
  <xdr:twoCellAnchor>
    <xdr:from>
      <xdr:col>14</xdr:col>
      <xdr:colOff>120000</xdr:colOff>
      <xdr:row>120</xdr:row>
      <xdr:rowOff>0</xdr:rowOff>
    </xdr:from>
    <xdr:to>
      <xdr:col>14</xdr:col>
      <xdr:colOff>290512</xdr:colOff>
      <xdr:row>121</xdr:row>
      <xdr:rowOff>0</xdr:rowOff>
    </xdr:to>
    <xdr:pic>
      <xdr:nvPicPr>
        <xdr:cNvPr id="117" name="Picture 1" descr="Picture">
          <a:extLst>
            <a:ext uri="{FF2B5EF4-FFF2-40B4-BE49-F238E27FC236}">
              <a16:creationId xmlns:a16="http://schemas.microsoft.com/office/drawing/2014/main" id="{286EC429-2AF1-42E7-B785-5A1EE7F0B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3541975" y="2733675"/>
          <a:ext cx="170512" cy="0"/>
        </a:xfrm>
        <a:prstGeom prst="rect">
          <a:avLst/>
        </a:prstGeom>
      </xdr:spPr>
    </xdr:pic>
    <xdr:clientData/>
  </xdr:twoCellAnchor>
  <xdr:twoCellAnchor>
    <xdr:from>
      <xdr:col>15</xdr:col>
      <xdr:colOff>120000</xdr:colOff>
      <xdr:row>120</xdr:row>
      <xdr:rowOff>0</xdr:rowOff>
    </xdr:from>
    <xdr:to>
      <xdr:col>15</xdr:col>
      <xdr:colOff>290512</xdr:colOff>
      <xdr:row>121</xdr:row>
      <xdr:rowOff>0</xdr:rowOff>
    </xdr:to>
    <xdr:pic>
      <xdr:nvPicPr>
        <xdr:cNvPr id="118" name="Picture 1" descr="Picture">
          <a:extLst>
            <a:ext uri="{FF2B5EF4-FFF2-40B4-BE49-F238E27FC236}">
              <a16:creationId xmlns:a16="http://schemas.microsoft.com/office/drawing/2014/main" id="{A57E6C81-83F7-4366-88A3-04188B464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61150" y="2733675"/>
          <a:ext cx="170512" cy="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120</xdr:row>
      <xdr:rowOff>0</xdr:rowOff>
    </xdr:from>
    <xdr:to>
      <xdr:col>29</xdr:col>
      <xdr:colOff>290512</xdr:colOff>
      <xdr:row>121</xdr:row>
      <xdr:rowOff>0</xdr:rowOff>
    </xdr:to>
    <xdr:pic>
      <xdr:nvPicPr>
        <xdr:cNvPr id="119" name="Picture 1" descr="Picture">
          <a:extLst>
            <a:ext uri="{FF2B5EF4-FFF2-40B4-BE49-F238E27FC236}">
              <a16:creationId xmlns:a16="http://schemas.microsoft.com/office/drawing/2014/main" id="{51B3E370-91CB-4142-B94E-EB9B76544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29600" y="2733675"/>
          <a:ext cx="170512" cy="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120</xdr:row>
      <xdr:rowOff>0</xdr:rowOff>
    </xdr:from>
    <xdr:to>
      <xdr:col>30</xdr:col>
      <xdr:colOff>290512</xdr:colOff>
      <xdr:row>121</xdr:row>
      <xdr:rowOff>0</xdr:rowOff>
    </xdr:to>
    <xdr:pic>
      <xdr:nvPicPr>
        <xdr:cNvPr id="120" name="Picture 1" descr="Picture">
          <a:extLst>
            <a:ext uri="{FF2B5EF4-FFF2-40B4-BE49-F238E27FC236}">
              <a16:creationId xmlns:a16="http://schemas.microsoft.com/office/drawing/2014/main" id="{520710FF-A2F8-4836-B851-F7BFC3788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848775" y="2733675"/>
          <a:ext cx="170512" cy="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120</xdr:row>
      <xdr:rowOff>0</xdr:rowOff>
    </xdr:from>
    <xdr:to>
      <xdr:col>31</xdr:col>
      <xdr:colOff>290512</xdr:colOff>
      <xdr:row>121</xdr:row>
      <xdr:rowOff>0</xdr:rowOff>
    </xdr:to>
    <xdr:pic>
      <xdr:nvPicPr>
        <xdr:cNvPr id="121" name="Picture 1" descr="Picture">
          <a:extLst>
            <a:ext uri="{FF2B5EF4-FFF2-40B4-BE49-F238E27FC236}">
              <a16:creationId xmlns:a16="http://schemas.microsoft.com/office/drawing/2014/main" id="{B2039481-7B11-4405-B674-B7ECB3140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67950" y="273367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120</xdr:row>
      <xdr:rowOff>0</xdr:rowOff>
    </xdr:from>
    <xdr:to>
      <xdr:col>35</xdr:col>
      <xdr:colOff>290512</xdr:colOff>
      <xdr:row>121</xdr:row>
      <xdr:rowOff>0</xdr:rowOff>
    </xdr:to>
    <xdr:pic>
      <xdr:nvPicPr>
        <xdr:cNvPr id="122" name="Picture 1" descr="Picture">
          <a:extLst>
            <a:ext uri="{FF2B5EF4-FFF2-40B4-BE49-F238E27FC236}">
              <a16:creationId xmlns:a16="http://schemas.microsoft.com/office/drawing/2014/main" id="{F4D0BC54-4F50-46BC-A9DE-F2626974B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2733675"/>
          <a:ext cx="170512" cy="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120</xdr:row>
      <xdr:rowOff>0</xdr:rowOff>
    </xdr:from>
    <xdr:to>
      <xdr:col>36</xdr:col>
      <xdr:colOff>290512</xdr:colOff>
      <xdr:row>121</xdr:row>
      <xdr:rowOff>0</xdr:rowOff>
    </xdr:to>
    <xdr:pic>
      <xdr:nvPicPr>
        <xdr:cNvPr id="123" name="Picture 1" descr="Picture">
          <a:extLst>
            <a:ext uri="{FF2B5EF4-FFF2-40B4-BE49-F238E27FC236}">
              <a16:creationId xmlns:a16="http://schemas.microsoft.com/office/drawing/2014/main" id="{E7055C80-ABD0-4D04-B4BB-49499CEBA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273367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120</xdr:row>
      <xdr:rowOff>0</xdr:rowOff>
    </xdr:from>
    <xdr:to>
      <xdr:col>37</xdr:col>
      <xdr:colOff>290512</xdr:colOff>
      <xdr:row>121</xdr:row>
      <xdr:rowOff>0</xdr:rowOff>
    </xdr:to>
    <xdr:pic>
      <xdr:nvPicPr>
        <xdr:cNvPr id="124" name="Picture 1" descr="Picture">
          <a:extLst>
            <a:ext uri="{FF2B5EF4-FFF2-40B4-BE49-F238E27FC236}">
              <a16:creationId xmlns:a16="http://schemas.microsoft.com/office/drawing/2014/main" id="{4ECF7EC1-DD1A-4FA9-AE84-60D4DDD92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2733675"/>
          <a:ext cx="170512" cy="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120</xdr:row>
      <xdr:rowOff>0</xdr:rowOff>
    </xdr:from>
    <xdr:to>
      <xdr:col>38</xdr:col>
      <xdr:colOff>290512</xdr:colOff>
      <xdr:row>121</xdr:row>
      <xdr:rowOff>0</xdr:rowOff>
    </xdr:to>
    <xdr:pic>
      <xdr:nvPicPr>
        <xdr:cNvPr id="125" name="Picture 1" descr="Picture">
          <a:extLst>
            <a:ext uri="{FF2B5EF4-FFF2-40B4-BE49-F238E27FC236}">
              <a16:creationId xmlns:a16="http://schemas.microsoft.com/office/drawing/2014/main" id="{F2B1076E-3B66-471E-94AA-190767F6A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2733675"/>
          <a:ext cx="170512" cy="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120</xdr:row>
      <xdr:rowOff>0</xdr:rowOff>
    </xdr:from>
    <xdr:to>
      <xdr:col>39</xdr:col>
      <xdr:colOff>290512</xdr:colOff>
      <xdr:row>121</xdr:row>
      <xdr:rowOff>0</xdr:rowOff>
    </xdr:to>
    <xdr:pic>
      <xdr:nvPicPr>
        <xdr:cNvPr id="126" name="Picture 1" descr="Picture">
          <a:extLst>
            <a:ext uri="{FF2B5EF4-FFF2-40B4-BE49-F238E27FC236}">
              <a16:creationId xmlns:a16="http://schemas.microsoft.com/office/drawing/2014/main" id="{56552052-EB0C-447E-8DA2-A81C64D58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21350" y="2733675"/>
          <a:ext cx="170512" cy="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120</xdr:row>
      <xdr:rowOff>0</xdr:rowOff>
    </xdr:from>
    <xdr:to>
      <xdr:col>40</xdr:col>
      <xdr:colOff>290512</xdr:colOff>
      <xdr:row>121</xdr:row>
      <xdr:rowOff>0</xdr:rowOff>
    </xdr:to>
    <xdr:pic>
      <xdr:nvPicPr>
        <xdr:cNvPr id="127" name="Picture 1" descr="Picture">
          <a:extLst>
            <a:ext uri="{FF2B5EF4-FFF2-40B4-BE49-F238E27FC236}">
              <a16:creationId xmlns:a16="http://schemas.microsoft.com/office/drawing/2014/main" id="{2440316C-1CD9-43A1-908B-9AF3EF16AB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040525" y="2733675"/>
          <a:ext cx="170512" cy="0"/>
        </a:xfrm>
        <a:prstGeom prst="rect">
          <a:avLst/>
        </a:prstGeom>
      </xdr:spPr>
    </xdr:pic>
    <xdr:clientData/>
  </xdr:twoCellAnchor>
  <xdr:twoCellAnchor>
    <xdr:from>
      <xdr:col>16</xdr:col>
      <xdr:colOff>120000</xdr:colOff>
      <xdr:row>125</xdr:row>
      <xdr:rowOff>0</xdr:rowOff>
    </xdr:from>
    <xdr:to>
      <xdr:col>16</xdr:col>
      <xdr:colOff>290512</xdr:colOff>
      <xdr:row>126</xdr:row>
      <xdr:rowOff>0</xdr:rowOff>
    </xdr:to>
    <xdr:pic>
      <xdr:nvPicPr>
        <xdr:cNvPr id="128" name="Picture 1" descr="Picture">
          <a:extLst>
            <a:ext uri="{FF2B5EF4-FFF2-40B4-BE49-F238E27FC236}">
              <a16:creationId xmlns:a16="http://schemas.microsoft.com/office/drawing/2014/main" id="{1E282EFB-0DE3-4657-9D4C-C746478F2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80325" y="2943225"/>
          <a:ext cx="170512" cy="0"/>
        </a:xfrm>
        <a:prstGeom prst="rect">
          <a:avLst/>
        </a:prstGeom>
      </xdr:spPr>
    </xdr:pic>
    <xdr:clientData/>
  </xdr:twoCellAnchor>
  <xdr:twoCellAnchor>
    <xdr:from>
      <xdr:col>17</xdr:col>
      <xdr:colOff>120000</xdr:colOff>
      <xdr:row>125</xdr:row>
      <xdr:rowOff>0</xdr:rowOff>
    </xdr:from>
    <xdr:to>
      <xdr:col>17</xdr:col>
      <xdr:colOff>290512</xdr:colOff>
      <xdr:row>126</xdr:row>
      <xdr:rowOff>0</xdr:rowOff>
    </xdr:to>
    <xdr:pic>
      <xdr:nvPicPr>
        <xdr:cNvPr id="129" name="Picture 1" descr="Picture">
          <a:extLst>
            <a:ext uri="{FF2B5EF4-FFF2-40B4-BE49-F238E27FC236}">
              <a16:creationId xmlns:a16="http://schemas.microsoft.com/office/drawing/2014/main" id="{FF0E1567-3028-4DF8-8A7A-C6CF5831C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99500" y="2943225"/>
          <a:ext cx="170512" cy="0"/>
        </a:xfrm>
        <a:prstGeom prst="rect">
          <a:avLst/>
        </a:prstGeom>
      </xdr:spPr>
    </xdr:pic>
    <xdr:clientData/>
  </xdr:twoCellAnchor>
  <xdr:twoCellAnchor>
    <xdr:from>
      <xdr:col>18</xdr:col>
      <xdr:colOff>120000</xdr:colOff>
      <xdr:row>125</xdr:row>
      <xdr:rowOff>0</xdr:rowOff>
    </xdr:from>
    <xdr:to>
      <xdr:col>18</xdr:col>
      <xdr:colOff>290512</xdr:colOff>
      <xdr:row>126</xdr:row>
      <xdr:rowOff>0</xdr:rowOff>
    </xdr:to>
    <xdr:pic>
      <xdr:nvPicPr>
        <xdr:cNvPr id="130" name="Picture 1" descr="Picture">
          <a:extLst>
            <a:ext uri="{FF2B5EF4-FFF2-40B4-BE49-F238E27FC236}">
              <a16:creationId xmlns:a16="http://schemas.microsoft.com/office/drawing/2014/main" id="{5E73A4D0-E5BE-44DF-B854-F8CFA1269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18675" y="2943225"/>
          <a:ext cx="170512" cy="0"/>
        </a:xfrm>
        <a:prstGeom prst="rect">
          <a:avLst/>
        </a:prstGeom>
      </xdr:spPr>
    </xdr:pic>
    <xdr:clientData/>
  </xdr:twoCellAnchor>
  <xdr:twoCellAnchor>
    <xdr:from>
      <xdr:col>19</xdr:col>
      <xdr:colOff>120000</xdr:colOff>
      <xdr:row>125</xdr:row>
      <xdr:rowOff>0</xdr:rowOff>
    </xdr:from>
    <xdr:to>
      <xdr:col>19</xdr:col>
      <xdr:colOff>290512</xdr:colOff>
      <xdr:row>126</xdr:row>
      <xdr:rowOff>0</xdr:rowOff>
    </xdr:to>
    <xdr:pic>
      <xdr:nvPicPr>
        <xdr:cNvPr id="131" name="Picture 1" descr="Picture">
          <a:extLst>
            <a:ext uri="{FF2B5EF4-FFF2-40B4-BE49-F238E27FC236}">
              <a16:creationId xmlns:a16="http://schemas.microsoft.com/office/drawing/2014/main" id="{7CBA2251-7FA0-47A4-9178-E18E140B6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37850" y="2943225"/>
          <a:ext cx="170512" cy="0"/>
        </a:xfrm>
        <a:prstGeom prst="rect">
          <a:avLst/>
        </a:prstGeom>
      </xdr:spPr>
    </xdr:pic>
    <xdr:clientData/>
  </xdr:twoCellAnchor>
  <xdr:twoCellAnchor>
    <xdr:from>
      <xdr:col>22</xdr:col>
      <xdr:colOff>120000</xdr:colOff>
      <xdr:row>125</xdr:row>
      <xdr:rowOff>0</xdr:rowOff>
    </xdr:from>
    <xdr:to>
      <xdr:col>22</xdr:col>
      <xdr:colOff>290512</xdr:colOff>
      <xdr:row>126</xdr:row>
      <xdr:rowOff>0</xdr:rowOff>
    </xdr:to>
    <xdr:pic>
      <xdr:nvPicPr>
        <xdr:cNvPr id="132" name="Picture 1" descr="Picture">
          <a:extLst>
            <a:ext uri="{FF2B5EF4-FFF2-40B4-BE49-F238E27FC236}">
              <a16:creationId xmlns:a16="http://schemas.microsoft.com/office/drawing/2014/main" id="{9882AE2F-4DFF-4D1E-B946-20E086EAC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695375" y="2943225"/>
          <a:ext cx="170512" cy="0"/>
        </a:xfrm>
        <a:prstGeom prst="rect">
          <a:avLst/>
        </a:prstGeom>
      </xdr:spPr>
    </xdr:pic>
    <xdr:clientData/>
  </xdr:twoCellAnchor>
  <xdr:twoCellAnchor>
    <xdr:from>
      <xdr:col>23</xdr:col>
      <xdr:colOff>120000</xdr:colOff>
      <xdr:row>125</xdr:row>
      <xdr:rowOff>0</xdr:rowOff>
    </xdr:from>
    <xdr:to>
      <xdr:col>23</xdr:col>
      <xdr:colOff>290512</xdr:colOff>
      <xdr:row>126</xdr:row>
      <xdr:rowOff>0</xdr:rowOff>
    </xdr:to>
    <xdr:pic>
      <xdr:nvPicPr>
        <xdr:cNvPr id="133" name="Picture 1" descr="Picture">
          <a:extLst>
            <a:ext uri="{FF2B5EF4-FFF2-40B4-BE49-F238E27FC236}">
              <a16:creationId xmlns:a16="http://schemas.microsoft.com/office/drawing/2014/main" id="{0E28F4B8-92C3-42CE-A4A0-E483B8A4F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14550" y="2943225"/>
          <a:ext cx="170512" cy="0"/>
        </a:xfrm>
        <a:prstGeom prst="rect">
          <a:avLst/>
        </a:prstGeom>
      </xdr:spPr>
    </xdr:pic>
    <xdr:clientData/>
  </xdr:twoCellAnchor>
  <xdr:twoCellAnchor>
    <xdr:from>
      <xdr:col>24</xdr:col>
      <xdr:colOff>120000</xdr:colOff>
      <xdr:row>125</xdr:row>
      <xdr:rowOff>0</xdr:rowOff>
    </xdr:from>
    <xdr:to>
      <xdr:col>24</xdr:col>
      <xdr:colOff>290512</xdr:colOff>
      <xdr:row>126</xdr:row>
      <xdr:rowOff>0</xdr:rowOff>
    </xdr:to>
    <xdr:pic>
      <xdr:nvPicPr>
        <xdr:cNvPr id="134" name="Picture 1" descr="Picture">
          <a:extLst>
            <a:ext uri="{FF2B5EF4-FFF2-40B4-BE49-F238E27FC236}">
              <a16:creationId xmlns:a16="http://schemas.microsoft.com/office/drawing/2014/main" id="{3DD24ECD-0B4A-4117-9F78-3FC3B9A75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33725" y="2943225"/>
          <a:ext cx="170512" cy="0"/>
        </a:xfrm>
        <a:prstGeom prst="rect">
          <a:avLst/>
        </a:prstGeom>
      </xdr:spPr>
    </xdr:pic>
    <xdr:clientData/>
  </xdr:twoCellAnchor>
  <xdr:twoCellAnchor>
    <xdr:from>
      <xdr:col>25</xdr:col>
      <xdr:colOff>120000</xdr:colOff>
      <xdr:row>125</xdr:row>
      <xdr:rowOff>0</xdr:rowOff>
    </xdr:from>
    <xdr:to>
      <xdr:col>25</xdr:col>
      <xdr:colOff>290512</xdr:colOff>
      <xdr:row>126</xdr:row>
      <xdr:rowOff>0</xdr:rowOff>
    </xdr:to>
    <xdr:pic>
      <xdr:nvPicPr>
        <xdr:cNvPr id="135" name="Picture 1" descr="Picture">
          <a:extLst>
            <a:ext uri="{FF2B5EF4-FFF2-40B4-BE49-F238E27FC236}">
              <a16:creationId xmlns:a16="http://schemas.microsoft.com/office/drawing/2014/main" id="{62B5D061-99AE-4E6B-B8A2-DE5866FC6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752900" y="2943225"/>
          <a:ext cx="170512" cy="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125</xdr:row>
      <xdr:rowOff>0</xdr:rowOff>
    </xdr:from>
    <xdr:to>
      <xdr:col>26</xdr:col>
      <xdr:colOff>290512</xdr:colOff>
      <xdr:row>126</xdr:row>
      <xdr:rowOff>0</xdr:rowOff>
    </xdr:to>
    <xdr:pic>
      <xdr:nvPicPr>
        <xdr:cNvPr id="136" name="Picture 1" descr="Picture">
          <a:extLst>
            <a:ext uri="{FF2B5EF4-FFF2-40B4-BE49-F238E27FC236}">
              <a16:creationId xmlns:a16="http://schemas.microsoft.com/office/drawing/2014/main" id="{59222786-90E1-440B-AAEA-97847048E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72075" y="2943225"/>
          <a:ext cx="170512" cy="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125</xdr:row>
      <xdr:rowOff>0</xdr:rowOff>
    </xdr:from>
    <xdr:to>
      <xdr:col>28</xdr:col>
      <xdr:colOff>290512</xdr:colOff>
      <xdr:row>126</xdr:row>
      <xdr:rowOff>0</xdr:rowOff>
    </xdr:to>
    <xdr:pic>
      <xdr:nvPicPr>
        <xdr:cNvPr id="137" name="Picture 1" descr="Picture">
          <a:extLst>
            <a:ext uri="{FF2B5EF4-FFF2-40B4-BE49-F238E27FC236}">
              <a16:creationId xmlns:a16="http://schemas.microsoft.com/office/drawing/2014/main" id="{11CBF07D-8D50-439C-924C-17E474577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810425" y="2943225"/>
          <a:ext cx="170512" cy="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125</xdr:row>
      <xdr:rowOff>0</xdr:rowOff>
    </xdr:from>
    <xdr:to>
      <xdr:col>29</xdr:col>
      <xdr:colOff>290512</xdr:colOff>
      <xdr:row>126</xdr:row>
      <xdr:rowOff>0</xdr:rowOff>
    </xdr:to>
    <xdr:pic>
      <xdr:nvPicPr>
        <xdr:cNvPr id="138" name="Picture 1" descr="Picture">
          <a:extLst>
            <a:ext uri="{FF2B5EF4-FFF2-40B4-BE49-F238E27FC236}">
              <a16:creationId xmlns:a16="http://schemas.microsoft.com/office/drawing/2014/main" id="{10197501-2904-4A66-8ABE-2FBA748861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29600" y="294322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125</xdr:row>
      <xdr:rowOff>0</xdr:rowOff>
    </xdr:from>
    <xdr:to>
      <xdr:col>35</xdr:col>
      <xdr:colOff>290512</xdr:colOff>
      <xdr:row>126</xdr:row>
      <xdr:rowOff>0</xdr:rowOff>
    </xdr:to>
    <xdr:pic>
      <xdr:nvPicPr>
        <xdr:cNvPr id="139" name="Picture 1" descr="Picture">
          <a:extLst>
            <a:ext uri="{FF2B5EF4-FFF2-40B4-BE49-F238E27FC236}">
              <a16:creationId xmlns:a16="http://schemas.microsoft.com/office/drawing/2014/main" id="{FBA40ACC-1A69-4CD0-9807-2124D293E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2943225"/>
          <a:ext cx="170512" cy="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125</xdr:row>
      <xdr:rowOff>0</xdr:rowOff>
    </xdr:from>
    <xdr:to>
      <xdr:col>36</xdr:col>
      <xdr:colOff>290512</xdr:colOff>
      <xdr:row>126</xdr:row>
      <xdr:rowOff>0</xdr:rowOff>
    </xdr:to>
    <xdr:pic>
      <xdr:nvPicPr>
        <xdr:cNvPr id="140" name="Picture 1" descr="Picture">
          <a:extLst>
            <a:ext uri="{FF2B5EF4-FFF2-40B4-BE49-F238E27FC236}">
              <a16:creationId xmlns:a16="http://schemas.microsoft.com/office/drawing/2014/main" id="{F8949B92-F4F2-46B3-BA9A-15216C5DC2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294322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125</xdr:row>
      <xdr:rowOff>0</xdr:rowOff>
    </xdr:from>
    <xdr:to>
      <xdr:col>37</xdr:col>
      <xdr:colOff>290512</xdr:colOff>
      <xdr:row>126</xdr:row>
      <xdr:rowOff>0</xdr:rowOff>
    </xdr:to>
    <xdr:pic>
      <xdr:nvPicPr>
        <xdr:cNvPr id="141" name="Picture 1" descr="Picture">
          <a:extLst>
            <a:ext uri="{FF2B5EF4-FFF2-40B4-BE49-F238E27FC236}">
              <a16:creationId xmlns:a16="http://schemas.microsoft.com/office/drawing/2014/main" id="{361A288C-75D6-4661-86F4-B93D3CC9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2943225"/>
          <a:ext cx="170512" cy="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125</xdr:row>
      <xdr:rowOff>0</xdr:rowOff>
    </xdr:from>
    <xdr:to>
      <xdr:col>38</xdr:col>
      <xdr:colOff>290512</xdr:colOff>
      <xdr:row>126</xdr:row>
      <xdr:rowOff>0</xdr:rowOff>
    </xdr:to>
    <xdr:pic>
      <xdr:nvPicPr>
        <xdr:cNvPr id="142" name="Picture 1" descr="Picture">
          <a:extLst>
            <a:ext uri="{FF2B5EF4-FFF2-40B4-BE49-F238E27FC236}">
              <a16:creationId xmlns:a16="http://schemas.microsoft.com/office/drawing/2014/main" id="{F6BC7382-3583-421F-801F-B1933F2E8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2943225"/>
          <a:ext cx="170512" cy="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125</xdr:row>
      <xdr:rowOff>0</xdr:rowOff>
    </xdr:from>
    <xdr:to>
      <xdr:col>39</xdr:col>
      <xdr:colOff>290512</xdr:colOff>
      <xdr:row>126</xdr:row>
      <xdr:rowOff>0</xdr:rowOff>
    </xdr:to>
    <xdr:pic>
      <xdr:nvPicPr>
        <xdr:cNvPr id="143" name="Picture 1" descr="Picture">
          <a:extLst>
            <a:ext uri="{FF2B5EF4-FFF2-40B4-BE49-F238E27FC236}">
              <a16:creationId xmlns:a16="http://schemas.microsoft.com/office/drawing/2014/main" id="{3D2DDFD8-3E44-4C01-A572-3796E6132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1350" y="2943225"/>
          <a:ext cx="170512" cy="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125</xdr:row>
      <xdr:rowOff>0</xdr:rowOff>
    </xdr:from>
    <xdr:to>
      <xdr:col>40</xdr:col>
      <xdr:colOff>290512</xdr:colOff>
      <xdr:row>126</xdr:row>
      <xdr:rowOff>0</xdr:rowOff>
    </xdr:to>
    <xdr:pic>
      <xdr:nvPicPr>
        <xdr:cNvPr id="144" name="Picture 1" descr="Picture">
          <a:extLst>
            <a:ext uri="{FF2B5EF4-FFF2-40B4-BE49-F238E27FC236}">
              <a16:creationId xmlns:a16="http://schemas.microsoft.com/office/drawing/2014/main" id="{10EE4C88-6D48-4CBA-9DBF-E50CAF606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40525" y="294322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126</xdr:row>
      <xdr:rowOff>0</xdr:rowOff>
    </xdr:from>
    <xdr:to>
      <xdr:col>35</xdr:col>
      <xdr:colOff>290512</xdr:colOff>
      <xdr:row>127</xdr:row>
      <xdr:rowOff>0</xdr:rowOff>
    </xdr:to>
    <xdr:pic>
      <xdr:nvPicPr>
        <xdr:cNvPr id="145" name="Picture 1" descr="Picture">
          <a:extLst>
            <a:ext uri="{FF2B5EF4-FFF2-40B4-BE49-F238E27FC236}">
              <a16:creationId xmlns:a16="http://schemas.microsoft.com/office/drawing/2014/main" id="{9AA91CC3-DAB5-4DF5-BDAE-75A06F776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2943225"/>
          <a:ext cx="170512" cy="15240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126</xdr:row>
      <xdr:rowOff>0</xdr:rowOff>
    </xdr:from>
    <xdr:to>
      <xdr:col>36</xdr:col>
      <xdr:colOff>290512</xdr:colOff>
      <xdr:row>127</xdr:row>
      <xdr:rowOff>0</xdr:rowOff>
    </xdr:to>
    <xdr:pic>
      <xdr:nvPicPr>
        <xdr:cNvPr id="146" name="Picture 1" descr="Picture">
          <a:extLst>
            <a:ext uri="{FF2B5EF4-FFF2-40B4-BE49-F238E27FC236}">
              <a16:creationId xmlns:a16="http://schemas.microsoft.com/office/drawing/2014/main" id="{251CEBDE-E68D-4617-8C6D-FD88EF881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2943225"/>
          <a:ext cx="170512" cy="15240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126</xdr:row>
      <xdr:rowOff>0</xdr:rowOff>
    </xdr:from>
    <xdr:to>
      <xdr:col>38</xdr:col>
      <xdr:colOff>290512</xdr:colOff>
      <xdr:row>127</xdr:row>
      <xdr:rowOff>0</xdr:rowOff>
    </xdr:to>
    <xdr:pic>
      <xdr:nvPicPr>
        <xdr:cNvPr id="147" name="Picture 1" descr="Picture">
          <a:extLst>
            <a:ext uri="{FF2B5EF4-FFF2-40B4-BE49-F238E27FC236}">
              <a16:creationId xmlns:a16="http://schemas.microsoft.com/office/drawing/2014/main" id="{B3250D3A-8E28-4413-9751-5AE1FF282D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2943225"/>
          <a:ext cx="170512" cy="15240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126</xdr:row>
      <xdr:rowOff>0</xdr:rowOff>
    </xdr:from>
    <xdr:to>
      <xdr:col>39</xdr:col>
      <xdr:colOff>290512</xdr:colOff>
      <xdr:row>127</xdr:row>
      <xdr:rowOff>0</xdr:rowOff>
    </xdr:to>
    <xdr:pic>
      <xdr:nvPicPr>
        <xdr:cNvPr id="148" name="Picture 1" descr="Picture">
          <a:extLst>
            <a:ext uri="{FF2B5EF4-FFF2-40B4-BE49-F238E27FC236}">
              <a16:creationId xmlns:a16="http://schemas.microsoft.com/office/drawing/2014/main" id="{D71647BB-0ACE-421C-AABD-E4A52B88F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1350" y="2943225"/>
          <a:ext cx="170512" cy="15240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126</xdr:row>
      <xdr:rowOff>0</xdr:rowOff>
    </xdr:from>
    <xdr:to>
      <xdr:col>40</xdr:col>
      <xdr:colOff>290512</xdr:colOff>
      <xdr:row>127</xdr:row>
      <xdr:rowOff>0</xdr:rowOff>
    </xdr:to>
    <xdr:pic>
      <xdr:nvPicPr>
        <xdr:cNvPr id="149" name="Picture 1" descr="Picture">
          <a:extLst>
            <a:ext uri="{FF2B5EF4-FFF2-40B4-BE49-F238E27FC236}">
              <a16:creationId xmlns:a16="http://schemas.microsoft.com/office/drawing/2014/main" id="{D5F66E71-DCE8-4000-BEEF-3B6EDDC3D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40525" y="2943225"/>
          <a:ext cx="170512" cy="152400"/>
        </a:xfrm>
        <a:prstGeom prst="rect">
          <a:avLst/>
        </a:prstGeom>
      </xdr:spPr>
    </xdr:pic>
    <xdr:clientData/>
  </xdr:twoCellAnchor>
  <xdr:twoCellAnchor>
    <xdr:from>
      <xdr:col>23</xdr:col>
      <xdr:colOff>10000</xdr:colOff>
      <xdr:row>129</xdr:row>
      <xdr:rowOff>10000</xdr:rowOff>
    </xdr:from>
    <xdr:to>
      <xdr:col>23</xdr:col>
      <xdr:colOff>466725</xdr:colOff>
      <xdr:row>130</xdr:row>
      <xdr:rowOff>0</xdr:rowOff>
    </xdr:to>
    <xdr:pic>
      <xdr:nvPicPr>
        <xdr:cNvPr id="150" name="Picture 1" descr="Picture">
          <a:extLst>
            <a:ext uri="{FF2B5EF4-FFF2-40B4-BE49-F238E27FC236}">
              <a16:creationId xmlns:a16="http://schemas.microsoft.com/office/drawing/2014/main" id="{A938A0BC-8A66-40DD-AD3E-0AEDE181D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604550" y="3095625"/>
          <a:ext cx="456725" cy="0"/>
        </a:xfrm>
        <a:prstGeom prst="rect">
          <a:avLst/>
        </a:prstGeom>
      </xdr:spPr>
    </xdr:pic>
    <xdr:clientData/>
  </xdr:twoCellAnchor>
  <xdr:twoCellAnchor>
    <xdr:from>
      <xdr:col>24</xdr:col>
      <xdr:colOff>10000</xdr:colOff>
      <xdr:row>129</xdr:row>
      <xdr:rowOff>10000</xdr:rowOff>
    </xdr:from>
    <xdr:to>
      <xdr:col>24</xdr:col>
      <xdr:colOff>466725</xdr:colOff>
      <xdr:row>130</xdr:row>
      <xdr:rowOff>0</xdr:rowOff>
    </xdr:to>
    <xdr:pic>
      <xdr:nvPicPr>
        <xdr:cNvPr id="151" name="Picture 1" descr="Picture">
          <a:extLst>
            <a:ext uri="{FF2B5EF4-FFF2-40B4-BE49-F238E27FC236}">
              <a16:creationId xmlns:a16="http://schemas.microsoft.com/office/drawing/2014/main" id="{255F53F4-6525-4850-9953-3CA7482168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623725" y="3095625"/>
          <a:ext cx="456725" cy="0"/>
        </a:xfrm>
        <a:prstGeom prst="rect">
          <a:avLst/>
        </a:prstGeom>
      </xdr:spPr>
    </xdr:pic>
    <xdr:clientData/>
  </xdr:twoCellAnchor>
  <xdr:twoCellAnchor>
    <xdr:from>
      <xdr:col>12</xdr:col>
      <xdr:colOff>120000</xdr:colOff>
      <xdr:row>148</xdr:row>
      <xdr:rowOff>0</xdr:rowOff>
    </xdr:from>
    <xdr:to>
      <xdr:col>12</xdr:col>
      <xdr:colOff>290512</xdr:colOff>
      <xdr:row>149</xdr:row>
      <xdr:rowOff>0</xdr:rowOff>
    </xdr:to>
    <xdr:pic>
      <xdr:nvPicPr>
        <xdr:cNvPr id="152" name="Picture 1" descr="Picture">
          <a:extLst>
            <a:ext uri="{FF2B5EF4-FFF2-40B4-BE49-F238E27FC236}">
              <a16:creationId xmlns:a16="http://schemas.microsoft.com/office/drawing/2014/main" id="{EE3D6488-D30B-4A2D-97D4-260E08164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75225" y="3400425"/>
          <a:ext cx="170512" cy="0"/>
        </a:xfrm>
        <a:prstGeom prst="rect">
          <a:avLst/>
        </a:prstGeom>
      </xdr:spPr>
    </xdr:pic>
    <xdr:clientData/>
  </xdr:twoCellAnchor>
  <xdr:twoCellAnchor>
    <xdr:from>
      <xdr:col>14</xdr:col>
      <xdr:colOff>120000</xdr:colOff>
      <xdr:row>148</xdr:row>
      <xdr:rowOff>0</xdr:rowOff>
    </xdr:from>
    <xdr:to>
      <xdr:col>14</xdr:col>
      <xdr:colOff>290512</xdr:colOff>
      <xdr:row>149</xdr:row>
      <xdr:rowOff>0</xdr:rowOff>
    </xdr:to>
    <xdr:pic>
      <xdr:nvPicPr>
        <xdr:cNvPr id="153" name="Picture 1" descr="Picture">
          <a:extLst>
            <a:ext uri="{FF2B5EF4-FFF2-40B4-BE49-F238E27FC236}">
              <a16:creationId xmlns:a16="http://schemas.microsoft.com/office/drawing/2014/main" id="{288286BF-A57D-45F9-80D4-91470A6EEE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541975" y="3400425"/>
          <a:ext cx="170512" cy="0"/>
        </a:xfrm>
        <a:prstGeom prst="rect">
          <a:avLst/>
        </a:prstGeom>
      </xdr:spPr>
    </xdr:pic>
    <xdr:clientData/>
  </xdr:twoCellAnchor>
  <xdr:twoCellAnchor>
    <xdr:from>
      <xdr:col>15</xdr:col>
      <xdr:colOff>120000</xdr:colOff>
      <xdr:row>148</xdr:row>
      <xdr:rowOff>0</xdr:rowOff>
    </xdr:from>
    <xdr:to>
      <xdr:col>15</xdr:col>
      <xdr:colOff>290512</xdr:colOff>
      <xdr:row>149</xdr:row>
      <xdr:rowOff>0</xdr:rowOff>
    </xdr:to>
    <xdr:pic>
      <xdr:nvPicPr>
        <xdr:cNvPr id="154" name="Picture 1" descr="Picture">
          <a:extLst>
            <a:ext uri="{FF2B5EF4-FFF2-40B4-BE49-F238E27FC236}">
              <a16:creationId xmlns:a16="http://schemas.microsoft.com/office/drawing/2014/main" id="{74984826-3EA3-4840-A9EE-2DD6A947D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561150" y="3400425"/>
          <a:ext cx="170512" cy="0"/>
        </a:xfrm>
        <a:prstGeom prst="rect">
          <a:avLst/>
        </a:prstGeom>
      </xdr:spPr>
    </xdr:pic>
    <xdr:clientData/>
  </xdr:twoCellAnchor>
  <xdr:twoCellAnchor>
    <xdr:from>
      <xdr:col>16</xdr:col>
      <xdr:colOff>120000</xdr:colOff>
      <xdr:row>148</xdr:row>
      <xdr:rowOff>0</xdr:rowOff>
    </xdr:from>
    <xdr:to>
      <xdr:col>16</xdr:col>
      <xdr:colOff>290512</xdr:colOff>
      <xdr:row>149</xdr:row>
      <xdr:rowOff>0</xdr:rowOff>
    </xdr:to>
    <xdr:pic>
      <xdr:nvPicPr>
        <xdr:cNvPr id="155" name="Picture 1" descr="Picture">
          <a:extLst>
            <a:ext uri="{FF2B5EF4-FFF2-40B4-BE49-F238E27FC236}">
              <a16:creationId xmlns:a16="http://schemas.microsoft.com/office/drawing/2014/main" id="{9E7E4950-642E-4158-8135-88CB4E5A2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80325" y="3400425"/>
          <a:ext cx="170512" cy="0"/>
        </a:xfrm>
        <a:prstGeom prst="rect">
          <a:avLst/>
        </a:prstGeom>
      </xdr:spPr>
    </xdr:pic>
    <xdr:clientData/>
  </xdr:twoCellAnchor>
  <xdr:twoCellAnchor>
    <xdr:from>
      <xdr:col>17</xdr:col>
      <xdr:colOff>120000</xdr:colOff>
      <xdr:row>148</xdr:row>
      <xdr:rowOff>0</xdr:rowOff>
    </xdr:from>
    <xdr:to>
      <xdr:col>17</xdr:col>
      <xdr:colOff>290512</xdr:colOff>
      <xdr:row>149</xdr:row>
      <xdr:rowOff>0</xdr:rowOff>
    </xdr:to>
    <xdr:pic>
      <xdr:nvPicPr>
        <xdr:cNvPr id="156" name="Picture 1" descr="Picture">
          <a:extLst>
            <a:ext uri="{FF2B5EF4-FFF2-40B4-BE49-F238E27FC236}">
              <a16:creationId xmlns:a16="http://schemas.microsoft.com/office/drawing/2014/main" id="{784E3981-06C6-4A3B-AD2E-54D76BF81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99500" y="3400425"/>
          <a:ext cx="170512" cy="0"/>
        </a:xfrm>
        <a:prstGeom prst="rect">
          <a:avLst/>
        </a:prstGeom>
      </xdr:spPr>
    </xdr:pic>
    <xdr:clientData/>
  </xdr:twoCellAnchor>
  <xdr:twoCellAnchor>
    <xdr:from>
      <xdr:col>22</xdr:col>
      <xdr:colOff>120000</xdr:colOff>
      <xdr:row>148</xdr:row>
      <xdr:rowOff>0</xdr:rowOff>
    </xdr:from>
    <xdr:to>
      <xdr:col>22</xdr:col>
      <xdr:colOff>290512</xdr:colOff>
      <xdr:row>149</xdr:row>
      <xdr:rowOff>0</xdr:rowOff>
    </xdr:to>
    <xdr:pic>
      <xdr:nvPicPr>
        <xdr:cNvPr id="157" name="Picture 1" descr="Picture">
          <a:extLst>
            <a:ext uri="{FF2B5EF4-FFF2-40B4-BE49-F238E27FC236}">
              <a16:creationId xmlns:a16="http://schemas.microsoft.com/office/drawing/2014/main" id="{5FD69F0B-3873-44DC-B2D4-BF6CD387F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695375" y="3400425"/>
          <a:ext cx="170512" cy="0"/>
        </a:xfrm>
        <a:prstGeom prst="rect">
          <a:avLst/>
        </a:prstGeom>
      </xdr:spPr>
    </xdr:pic>
    <xdr:clientData/>
  </xdr:twoCellAnchor>
  <xdr:twoCellAnchor>
    <xdr:from>
      <xdr:col>23</xdr:col>
      <xdr:colOff>120000</xdr:colOff>
      <xdr:row>148</xdr:row>
      <xdr:rowOff>0</xdr:rowOff>
    </xdr:from>
    <xdr:to>
      <xdr:col>23</xdr:col>
      <xdr:colOff>290512</xdr:colOff>
      <xdr:row>149</xdr:row>
      <xdr:rowOff>0</xdr:rowOff>
    </xdr:to>
    <xdr:pic>
      <xdr:nvPicPr>
        <xdr:cNvPr id="158" name="Picture 1" descr="Picture">
          <a:extLst>
            <a:ext uri="{FF2B5EF4-FFF2-40B4-BE49-F238E27FC236}">
              <a16:creationId xmlns:a16="http://schemas.microsoft.com/office/drawing/2014/main" id="{99B2D008-8AD8-4FEC-BA6F-378F440D6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14550" y="3400425"/>
          <a:ext cx="170512" cy="0"/>
        </a:xfrm>
        <a:prstGeom prst="rect">
          <a:avLst/>
        </a:prstGeom>
      </xdr:spPr>
    </xdr:pic>
    <xdr:clientData/>
  </xdr:twoCellAnchor>
  <xdr:twoCellAnchor>
    <xdr:from>
      <xdr:col>24</xdr:col>
      <xdr:colOff>120000</xdr:colOff>
      <xdr:row>148</xdr:row>
      <xdr:rowOff>0</xdr:rowOff>
    </xdr:from>
    <xdr:to>
      <xdr:col>24</xdr:col>
      <xdr:colOff>290512</xdr:colOff>
      <xdr:row>149</xdr:row>
      <xdr:rowOff>0</xdr:rowOff>
    </xdr:to>
    <xdr:pic>
      <xdr:nvPicPr>
        <xdr:cNvPr id="159" name="Picture 1" descr="Picture">
          <a:extLst>
            <a:ext uri="{FF2B5EF4-FFF2-40B4-BE49-F238E27FC236}">
              <a16:creationId xmlns:a16="http://schemas.microsoft.com/office/drawing/2014/main" id="{4B2A5D74-43E8-4FED-9735-D03C6F4D9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33725" y="3400425"/>
          <a:ext cx="170512" cy="0"/>
        </a:xfrm>
        <a:prstGeom prst="rect">
          <a:avLst/>
        </a:prstGeom>
      </xdr:spPr>
    </xdr:pic>
    <xdr:clientData/>
  </xdr:twoCellAnchor>
  <xdr:twoCellAnchor>
    <xdr:from>
      <xdr:col>25</xdr:col>
      <xdr:colOff>120000</xdr:colOff>
      <xdr:row>148</xdr:row>
      <xdr:rowOff>0</xdr:rowOff>
    </xdr:from>
    <xdr:to>
      <xdr:col>25</xdr:col>
      <xdr:colOff>290512</xdr:colOff>
      <xdr:row>149</xdr:row>
      <xdr:rowOff>0</xdr:rowOff>
    </xdr:to>
    <xdr:pic>
      <xdr:nvPicPr>
        <xdr:cNvPr id="160" name="Picture 1" descr="Picture">
          <a:extLst>
            <a:ext uri="{FF2B5EF4-FFF2-40B4-BE49-F238E27FC236}">
              <a16:creationId xmlns:a16="http://schemas.microsoft.com/office/drawing/2014/main" id="{4E82D437-EB08-4917-A224-A2D902C88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752900" y="3400425"/>
          <a:ext cx="170512" cy="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148</xdr:row>
      <xdr:rowOff>0</xdr:rowOff>
    </xdr:from>
    <xdr:to>
      <xdr:col>26</xdr:col>
      <xdr:colOff>290512</xdr:colOff>
      <xdr:row>149</xdr:row>
      <xdr:rowOff>0</xdr:rowOff>
    </xdr:to>
    <xdr:pic>
      <xdr:nvPicPr>
        <xdr:cNvPr id="161" name="Picture 1" descr="Picture">
          <a:extLst>
            <a:ext uri="{FF2B5EF4-FFF2-40B4-BE49-F238E27FC236}">
              <a16:creationId xmlns:a16="http://schemas.microsoft.com/office/drawing/2014/main" id="{DE4A7B25-6148-438D-96E7-267836A3F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72075" y="3400425"/>
          <a:ext cx="170512" cy="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148</xdr:row>
      <xdr:rowOff>0</xdr:rowOff>
    </xdr:from>
    <xdr:to>
      <xdr:col>28</xdr:col>
      <xdr:colOff>290512</xdr:colOff>
      <xdr:row>149</xdr:row>
      <xdr:rowOff>0</xdr:rowOff>
    </xdr:to>
    <xdr:pic>
      <xdr:nvPicPr>
        <xdr:cNvPr id="162" name="Picture 1" descr="Picture">
          <a:extLst>
            <a:ext uri="{FF2B5EF4-FFF2-40B4-BE49-F238E27FC236}">
              <a16:creationId xmlns:a16="http://schemas.microsoft.com/office/drawing/2014/main" id="{92750550-A468-4CC5-92B4-45531C3C3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810425" y="3400425"/>
          <a:ext cx="170512" cy="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148</xdr:row>
      <xdr:rowOff>0</xdr:rowOff>
    </xdr:from>
    <xdr:to>
      <xdr:col>29</xdr:col>
      <xdr:colOff>290512</xdr:colOff>
      <xdr:row>149</xdr:row>
      <xdr:rowOff>0</xdr:rowOff>
    </xdr:to>
    <xdr:pic>
      <xdr:nvPicPr>
        <xdr:cNvPr id="163" name="Picture 1" descr="Picture">
          <a:extLst>
            <a:ext uri="{FF2B5EF4-FFF2-40B4-BE49-F238E27FC236}">
              <a16:creationId xmlns:a16="http://schemas.microsoft.com/office/drawing/2014/main" id="{84004DDC-3D95-411C-8238-2C23D8A80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29600" y="3400425"/>
          <a:ext cx="170512" cy="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148</xdr:row>
      <xdr:rowOff>0</xdr:rowOff>
    </xdr:from>
    <xdr:to>
      <xdr:col>30</xdr:col>
      <xdr:colOff>290512</xdr:colOff>
      <xdr:row>149</xdr:row>
      <xdr:rowOff>0</xdr:rowOff>
    </xdr:to>
    <xdr:pic>
      <xdr:nvPicPr>
        <xdr:cNvPr id="164" name="Picture 1" descr="Picture">
          <a:extLst>
            <a:ext uri="{FF2B5EF4-FFF2-40B4-BE49-F238E27FC236}">
              <a16:creationId xmlns:a16="http://schemas.microsoft.com/office/drawing/2014/main" id="{97AC5B87-386F-45E6-B2A0-5F98C31CD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848775" y="3400425"/>
          <a:ext cx="170512" cy="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148</xdr:row>
      <xdr:rowOff>0</xdr:rowOff>
    </xdr:from>
    <xdr:to>
      <xdr:col>31</xdr:col>
      <xdr:colOff>290512</xdr:colOff>
      <xdr:row>149</xdr:row>
      <xdr:rowOff>0</xdr:rowOff>
    </xdr:to>
    <xdr:pic>
      <xdr:nvPicPr>
        <xdr:cNvPr id="165" name="Picture 1" descr="Picture">
          <a:extLst>
            <a:ext uri="{FF2B5EF4-FFF2-40B4-BE49-F238E27FC236}">
              <a16:creationId xmlns:a16="http://schemas.microsoft.com/office/drawing/2014/main" id="{4F704A34-DEC8-4EDE-9AF8-4CDEB7B0F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67950" y="3400425"/>
          <a:ext cx="170512" cy="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148</xdr:row>
      <xdr:rowOff>0</xdr:rowOff>
    </xdr:from>
    <xdr:to>
      <xdr:col>32</xdr:col>
      <xdr:colOff>290512</xdr:colOff>
      <xdr:row>149</xdr:row>
      <xdr:rowOff>0</xdr:rowOff>
    </xdr:to>
    <xdr:pic>
      <xdr:nvPicPr>
        <xdr:cNvPr id="166" name="Picture 1" descr="Picture">
          <a:extLst>
            <a:ext uri="{FF2B5EF4-FFF2-40B4-BE49-F238E27FC236}">
              <a16:creationId xmlns:a16="http://schemas.microsoft.com/office/drawing/2014/main" id="{6101921D-CCAB-4977-9A1E-389FCE8B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887125" y="3400425"/>
          <a:ext cx="170512" cy="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148</xdr:row>
      <xdr:rowOff>0</xdr:rowOff>
    </xdr:from>
    <xdr:to>
      <xdr:col>33</xdr:col>
      <xdr:colOff>290512</xdr:colOff>
      <xdr:row>149</xdr:row>
      <xdr:rowOff>0</xdr:rowOff>
    </xdr:to>
    <xdr:pic>
      <xdr:nvPicPr>
        <xdr:cNvPr id="167" name="Picture 1" descr="Picture">
          <a:extLst>
            <a:ext uri="{FF2B5EF4-FFF2-40B4-BE49-F238E27FC236}">
              <a16:creationId xmlns:a16="http://schemas.microsoft.com/office/drawing/2014/main" id="{5FC2181F-6787-4E6C-8488-331BE8786D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06300" y="340042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148</xdr:row>
      <xdr:rowOff>0</xdr:rowOff>
    </xdr:from>
    <xdr:to>
      <xdr:col>35</xdr:col>
      <xdr:colOff>290512</xdr:colOff>
      <xdr:row>149</xdr:row>
      <xdr:rowOff>0</xdr:rowOff>
    </xdr:to>
    <xdr:pic>
      <xdr:nvPicPr>
        <xdr:cNvPr id="168" name="Picture 1" descr="Picture">
          <a:extLst>
            <a:ext uri="{FF2B5EF4-FFF2-40B4-BE49-F238E27FC236}">
              <a16:creationId xmlns:a16="http://schemas.microsoft.com/office/drawing/2014/main" id="{5BC47552-BB48-4EF2-8E2C-355B0FD9E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3400425"/>
          <a:ext cx="170512" cy="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148</xdr:row>
      <xdr:rowOff>0</xdr:rowOff>
    </xdr:from>
    <xdr:to>
      <xdr:col>36</xdr:col>
      <xdr:colOff>290512</xdr:colOff>
      <xdr:row>149</xdr:row>
      <xdr:rowOff>0</xdr:rowOff>
    </xdr:to>
    <xdr:pic>
      <xdr:nvPicPr>
        <xdr:cNvPr id="169" name="Picture 1" descr="Picture">
          <a:extLst>
            <a:ext uri="{FF2B5EF4-FFF2-40B4-BE49-F238E27FC236}">
              <a16:creationId xmlns:a16="http://schemas.microsoft.com/office/drawing/2014/main" id="{445AA904-A566-47D4-86F4-27E8EF8B4D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340042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148</xdr:row>
      <xdr:rowOff>0</xdr:rowOff>
    </xdr:from>
    <xdr:to>
      <xdr:col>37</xdr:col>
      <xdr:colOff>290512</xdr:colOff>
      <xdr:row>149</xdr:row>
      <xdr:rowOff>0</xdr:rowOff>
    </xdr:to>
    <xdr:pic>
      <xdr:nvPicPr>
        <xdr:cNvPr id="170" name="Picture 1" descr="Picture">
          <a:extLst>
            <a:ext uri="{FF2B5EF4-FFF2-40B4-BE49-F238E27FC236}">
              <a16:creationId xmlns:a16="http://schemas.microsoft.com/office/drawing/2014/main" id="{7E83DD2F-9807-4C9A-AEA7-BBFF85822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3400425"/>
          <a:ext cx="170512" cy="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148</xdr:row>
      <xdr:rowOff>0</xdr:rowOff>
    </xdr:from>
    <xdr:to>
      <xdr:col>38</xdr:col>
      <xdr:colOff>290512</xdr:colOff>
      <xdr:row>149</xdr:row>
      <xdr:rowOff>0</xdr:rowOff>
    </xdr:to>
    <xdr:pic>
      <xdr:nvPicPr>
        <xdr:cNvPr id="171" name="Picture 1" descr="Picture">
          <a:extLst>
            <a:ext uri="{FF2B5EF4-FFF2-40B4-BE49-F238E27FC236}">
              <a16:creationId xmlns:a16="http://schemas.microsoft.com/office/drawing/2014/main" id="{B6A3AFDA-C83F-4CE2-AB50-254BBF482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3400425"/>
          <a:ext cx="170512" cy="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148</xdr:row>
      <xdr:rowOff>0</xdr:rowOff>
    </xdr:from>
    <xdr:to>
      <xdr:col>39</xdr:col>
      <xdr:colOff>290512</xdr:colOff>
      <xdr:row>149</xdr:row>
      <xdr:rowOff>0</xdr:rowOff>
    </xdr:to>
    <xdr:pic>
      <xdr:nvPicPr>
        <xdr:cNvPr id="172" name="Picture 1" descr="Picture">
          <a:extLst>
            <a:ext uri="{FF2B5EF4-FFF2-40B4-BE49-F238E27FC236}">
              <a16:creationId xmlns:a16="http://schemas.microsoft.com/office/drawing/2014/main" id="{B67BE6DC-24A8-432B-AC67-0605900C30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1350" y="3400425"/>
          <a:ext cx="170512" cy="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148</xdr:row>
      <xdr:rowOff>0</xdr:rowOff>
    </xdr:from>
    <xdr:to>
      <xdr:col>40</xdr:col>
      <xdr:colOff>290512</xdr:colOff>
      <xdr:row>149</xdr:row>
      <xdr:rowOff>0</xdr:rowOff>
    </xdr:to>
    <xdr:pic>
      <xdr:nvPicPr>
        <xdr:cNvPr id="173" name="Picture 1" descr="Picture">
          <a:extLst>
            <a:ext uri="{FF2B5EF4-FFF2-40B4-BE49-F238E27FC236}">
              <a16:creationId xmlns:a16="http://schemas.microsoft.com/office/drawing/2014/main" id="{C69767B4-64B2-4B0C-8446-C02C59E74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40525" y="3400425"/>
          <a:ext cx="170512" cy="0"/>
        </a:xfrm>
        <a:prstGeom prst="rect">
          <a:avLst/>
        </a:prstGeom>
      </xdr:spPr>
    </xdr:pic>
    <xdr:clientData/>
  </xdr:twoCellAnchor>
  <xdr:twoCellAnchor>
    <xdr:from>
      <xdr:col>24</xdr:col>
      <xdr:colOff>120000</xdr:colOff>
      <xdr:row>205</xdr:row>
      <xdr:rowOff>0</xdr:rowOff>
    </xdr:from>
    <xdr:to>
      <xdr:col>24</xdr:col>
      <xdr:colOff>290512</xdr:colOff>
      <xdr:row>206</xdr:row>
      <xdr:rowOff>0</xdr:rowOff>
    </xdr:to>
    <xdr:pic>
      <xdr:nvPicPr>
        <xdr:cNvPr id="174" name="Picture 1" descr="Picture">
          <a:extLst>
            <a:ext uri="{FF2B5EF4-FFF2-40B4-BE49-F238E27FC236}">
              <a16:creationId xmlns:a16="http://schemas.microsoft.com/office/drawing/2014/main" id="{0CA7A53F-298A-4AD6-A485-650A9B5AB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33725" y="4314825"/>
          <a:ext cx="170512" cy="0"/>
        </a:xfrm>
        <a:prstGeom prst="rect">
          <a:avLst/>
        </a:prstGeom>
      </xdr:spPr>
    </xdr:pic>
    <xdr:clientData/>
  </xdr:twoCellAnchor>
  <xdr:twoCellAnchor>
    <xdr:from>
      <xdr:col>25</xdr:col>
      <xdr:colOff>120000</xdr:colOff>
      <xdr:row>205</xdr:row>
      <xdr:rowOff>0</xdr:rowOff>
    </xdr:from>
    <xdr:to>
      <xdr:col>25</xdr:col>
      <xdr:colOff>290512</xdr:colOff>
      <xdr:row>206</xdr:row>
      <xdr:rowOff>0</xdr:rowOff>
    </xdr:to>
    <xdr:pic>
      <xdr:nvPicPr>
        <xdr:cNvPr id="175" name="Picture 1" descr="Picture">
          <a:extLst>
            <a:ext uri="{FF2B5EF4-FFF2-40B4-BE49-F238E27FC236}">
              <a16:creationId xmlns:a16="http://schemas.microsoft.com/office/drawing/2014/main" id="{43406A00-B2DB-4430-8B76-DBA9ABD2B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752900" y="4314825"/>
          <a:ext cx="170512" cy="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205</xdr:row>
      <xdr:rowOff>0</xdr:rowOff>
    </xdr:from>
    <xdr:to>
      <xdr:col>26</xdr:col>
      <xdr:colOff>290512</xdr:colOff>
      <xdr:row>206</xdr:row>
      <xdr:rowOff>0</xdr:rowOff>
    </xdr:to>
    <xdr:pic>
      <xdr:nvPicPr>
        <xdr:cNvPr id="176" name="Picture 1" descr="Picture">
          <a:extLst>
            <a:ext uri="{FF2B5EF4-FFF2-40B4-BE49-F238E27FC236}">
              <a16:creationId xmlns:a16="http://schemas.microsoft.com/office/drawing/2014/main" id="{583200A1-C62F-4489-BCBE-72A9DFDB8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72075" y="431482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205</xdr:row>
      <xdr:rowOff>0</xdr:rowOff>
    </xdr:from>
    <xdr:to>
      <xdr:col>35</xdr:col>
      <xdr:colOff>290512</xdr:colOff>
      <xdr:row>206</xdr:row>
      <xdr:rowOff>0</xdr:rowOff>
    </xdr:to>
    <xdr:pic>
      <xdr:nvPicPr>
        <xdr:cNvPr id="177" name="Picture 1" descr="Picture">
          <a:extLst>
            <a:ext uri="{FF2B5EF4-FFF2-40B4-BE49-F238E27FC236}">
              <a16:creationId xmlns:a16="http://schemas.microsoft.com/office/drawing/2014/main" id="{4EA92464-31B3-404F-920A-CCB1740F0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4314825"/>
          <a:ext cx="170512" cy="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205</xdr:row>
      <xdr:rowOff>0</xdr:rowOff>
    </xdr:from>
    <xdr:to>
      <xdr:col>36</xdr:col>
      <xdr:colOff>290512</xdr:colOff>
      <xdr:row>206</xdr:row>
      <xdr:rowOff>0</xdr:rowOff>
    </xdr:to>
    <xdr:pic>
      <xdr:nvPicPr>
        <xdr:cNvPr id="178" name="Picture 1" descr="Picture">
          <a:extLst>
            <a:ext uri="{FF2B5EF4-FFF2-40B4-BE49-F238E27FC236}">
              <a16:creationId xmlns:a16="http://schemas.microsoft.com/office/drawing/2014/main" id="{BE00B9BE-6A33-4F82-B65A-9523BA2F1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431482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205</xdr:row>
      <xdr:rowOff>0</xdr:rowOff>
    </xdr:from>
    <xdr:to>
      <xdr:col>37</xdr:col>
      <xdr:colOff>290512</xdr:colOff>
      <xdr:row>206</xdr:row>
      <xdr:rowOff>0</xdr:rowOff>
    </xdr:to>
    <xdr:pic>
      <xdr:nvPicPr>
        <xdr:cNvPr id="179" name="Picture 1" descr="Picture">
          <a:extLst>
            <a:ext uri="{FF2B5EF4-FFF2-40B4-BE49-F238E27FC236}">
              <a16:creationId xmlns:a16="http://schemas.microsoft.com/office/drawing/2014/main" id="{9B01407B-BE44-4093-8953-2C2DF878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4314825"/>
          <a:ext cx="170512" cy="0"/>
        </a:xfrm>
        <a:prstGeom prst="rect">
          <a:avLst/>
        </a:prstGeom>
      </xdr:spPr>
    </xdr:pic>
    <xdr:clientData/>
  </xdr:twoCellAnchor>
  <xdr:twoCellAnchor>
    <xdr:from>
      <xdr:col>23</xdr:col>
      <xdr:colOff>10000</xdr:colOff>
      <xdr:row>234</xdr:row>
      <xdr:rowOff>10000</xdr:rowOff>
    </xdr:from>
    <xdr:to>
      <xdr:col>23</xdr:col>
      <xdr:colOff>466725</xdr:colOff>
      <xdr:row>235</xdr:row>
      <xdr:rowOff>0</xdr:rowOff>
    </xdr:to>
    <xdr:pic>
      <xdr:nvPicPr>
        <xdr:cNvPr id="180" name="Picture 1" descr="Picture">
          <a:extLst>
            <a:ext uri="{FF2B5EF4-FFF2-40B4-BE49-F238E27FC236}">
              <a16:creationId xmlns:a16="http://schemas.microsoft.com/office/drawing/2014/main" id="{AB3CB714-3ED6-4B39-82B3-AAA0FF1B6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604550" y="4324825"/>
          <a:ext cx="456725" cy="199550"/>
        </a:xfrm>
        <a:prstGeom prst="rect">
          <a:avLst/>
        </a:prstGeom>
      </xdr:spPr>
    </xdr:pic>
    <xdr:clientData/>
  </xdr:twoCellAnchor>
  <xdr:twoCellAnchor>
    <xdr:from>
      <xdr:col>24</xdr:col>
      <xdr:colOff>10000</xdr:colOff>
      <xdr:row>234</xdr:row>
      <xdr:rowOff>10000</xdr:rowOff>
    </xdr:from>
    <xdr:to>
      <xdr:col>24</xdr:col>
      <xdr:colOff>466725</xdr:colOff>
      <xdr:row>235</xdr:row>
      <xdr:rowOff>0</xdr:rowOff>
    </xdr:to>
    <xdr:pic>
      <xdr:nvPicPr>
        <xdr:cNvPr id="181" name="Picture 1" descr="Picture">
          <a:extLst>
            <a:ext uri="{FF2B5EF4-FFF2-40B4-BE49-F238E27FC236}">
              <a16:creationId xmlns:a16="http://schemas.microsoft.com/office/drawing/2014/main" id="{D8B73609-4D9C-455A-AC06-2DA95432A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623725" y="4324825"/>
          <a:ext cx="456725" cy="199550"/>
        </a:xfrm>
        <a:prstGeom prst="rect">
          <a:avLst/>
        </a:prstGeom>
      </xdr:spPr>
    </xdr:pic>
    <xdr:clientData/>
  </xdr:twoCellAnchor>
  <xdr:twoCellAnchor>
    <xdr:from>
      <xdr:col>22</xdr:col>
      <xdr:colOff>120000</xdr:colOff>
      <xdr:row>235</xdr:row>
      <xdr:rowOff>0</xdr:rowOff>
    </xdr:from>
    <xdr:to>
      <xdr:col>22</xdr:col>
      <xdr:colOff>290512</xdr:colOff>
      <xdr:row>236</xdr:row>
      <xdr:rowOff>0</xdr:rowOff>
    </xdr:to>
    <xdr:pic>
      <xdr:nvPicPr>
        <xdr:cNvPr id="182" name="Picture 1" descr="Picture">
          <a:extLst>
            <a:ext uri="{FF2B5EF4-FFF2-40B4-BE49-F238E27FC236}">
              <a16:creationId xmlns:a16="http://schemas.microsoft.com/office/drawing/2014/main" id="{0C84927E-B614-4A2D-AB9B-95451DE87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695375" y="4524375"/>
          <a:ext cx="170512" cy="0"/>
        </a:xfrm>
        <a:prstGeom prst="rect">
          <a:avLst/>
        </a:prstGeom>
      </xdr:spPr>
    </xdr:pic>
    <xdr:clientData/>
  </xdr:twoCellAnchor>
  <xdr:twoCellAnchor>
    <xdr:from>
      <xdr:col>23</xdr:col>
      <xdr:colOff>120000</xdr:colOff>
      <xdr:row>235</xdr:row>
      <xdr:rowOff>0</xdr:rowOff>
    </xdr:from>
    <xdr:to>
      <xdr:col>23</xdr:col>
      <xdr:colOff>290512</xdr:colOff>
      <xdr:row>236</xdr:row>
      <xdr:rowOff>0</xdr:rowOff>
    </xdr:to>
    <xdr:pic>
      <xdr:nvPicPr>
        <xdr:cNvPr id="183" name="Picture 1" descr="Picture">
          <a:extLst>
            <a:ext uri="{FF2B5EF4-FFF2-40B4-BE49-F238E27FC236}">
              <a16:creationId xmlns:a16="http://schemas.microsoft.com/office/drawing/2014/main" id="{8E6ABAD8-204D-4D2C-83AF-C89C3D542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714550" y="4524375"/>
          <a:ext cx="170512" cy="0"/>
        </a:xfrm>
        <a:prstGeom prst="rect">
          <a:avLst/>
        </a:prstGeom>
      </xdr:spPr>
    </xdr:pic>
    <xdr:clientData/>
  </xdr:twoCellAnchor>
  <xdr:twoCellAnchor>
    <xdr:from>
      <xdr:col>24</xdr:col>
      <xdr:colOff>120000</xdr:colOff>
      <xdr:row>235</xdr:row>
      <xdr:rowOff>0</xdr:rowOff>
    </xdr:from>
    <xdr:to>
      <xdr:col>24</xdr:col>
      <xdr:colOff>290512</xdr:colOff>
      <xdr:row>236</xdr:row>
      <xdr:rowOff>0</xdr:rowOff>
    </xdr:to>
    <xdr:pic>
      <xdr:nvPicPr>
        <xdr:cNvPr id="184" name="Picture 1" descr="Picture">
          <a:extLst>
            <a:ext uri="{FF2B5EF4-FFF2-40B4-BE49-F238E27FC236}">
              <a16:creationId xmlns:a16="http://schemas.microsoft.com/office/drawing/2014/main" id="{234FA3E1-BBC8-4A40-9DB7-B7F4E7B12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733725" y="4524375"/>
          <a:ext cx="170512" cy="0"/>
        </a:xfrm>
        <a:prstGeom prst="rect">
          <a:avLst/>
        </a:prstGeom>
      </xdr:spPr>
    </xdr:pic>
    <xdr:clientData/>
  </xdr:twoCellAnchor>
  <xdr:twoCellAnchor>
    <xdr:from>
      <xdr:col>25</xdr:col>
      <xdr:colOff>120000</xdr:colOff>
      <xdr:row>235</xdr:row>
      <xdr:rowOff>0</xdr:rowOff>
    </xdr:from>
    <xdr:to>
      <xdr:col>25</xdr:col>
      <xdr:colOff>290512</xdr:colOff>
      <xdr:row>236</xdr:row>
      <xdr:rowOff>0</xdr:rowOff>
    </xdr:to>
    <xdr:pic>
      <xdr:nvPicPr>
        <xdr:cNvPr id="185" name="Picture 1" descr="Picture">
          <a:extLst>
            <a:ext uri="{FF2B5EF4-FFF2-40B4-BE49-F238E27FC236}">
              <a16:creationId xmlns:a16="http://schemas.microsoft.com/office/drawing/2014/main" id="{AFF14569-AFD9-419B-AE39-7D27D591E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752900" y="4524375"/>
          <a:ext cx="170512" cy="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235</xdr:row>
      <xdr:rowOff>0</xdr:rowOff>
    </xdr:from>
    <xdr:to>
      <xdr:col>26</xdr:col>
      <xdr:colOff>290512</xdr:colOff>
      <xdr:row>236</xdr:row>
      <xdr:rowOff>0</xdr:rowOff>
    </xdr:to>
    <xdr:pic>
      <xdr:nvPicPr>
        <xdr:cNvPr id="186" name="Picture 1" descr="Picture">
          <a:extLst>
            <a:ext uri="{FF2B5EF4-FFF2-40B4-BE49-F238E27FC236}">
              <a16:creationId xmlns:a16="http://schemas.microsoft.com/office/drawing/2014/main" id="{D43AFBCD-E32D-4C0A-9157-718D7BE0E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772075" y="4524375"/>
          <a:ext cx="170512" cy="0"/>
        </a:xfrm>
        <a:prstGeom prst="rect">
          <a:avLst/>
        </a:prstGeom>
      </xdr:spPr>
    </xdr:pic>
    <xdr:clientData/>
  </xdr:twoCellAnchor>
  <xdr:twoCellAnchor>
    <xdr:from>
      <xdr:col>11</xdr:col>
      <xdr:colOff>120000</xdr:colOff>
      <xdr:row>237</xdr:row>
      <xdr:rowOff>0</xdr:rowOff>
    </xdr:from>
    <xdr:to>
      <xdr:col>11</xdr:col>
      <xdr:colOff>290512</xdr:colOff>
      <xdr:row>238</xdr:row>
      <xdr:rowOff>0</xdr:rowOff>
    </xdr:to>
    <xdr:pic>
      <xdr:nvPicPr>
        <xdr:cNvPr id="187" name="Picture 1" descr="Picture">
          <a:extLst>
            <a:ext uri="{FF2B5EF4-FFF2-40B4-BE49-F238E27FC236}">
              <a16:creationId xmlns:a16="http://schemas.microsoft.com/office/drawing/2014/main" id="{5C1DDED7-FDB6-485E-A54A-AC87D9512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856050" y="4524375"/>
          <a:ext cx="170512" cy="0"/>
        </a:xfrm>
        <a:prstGeom prst="rect">
          <a:avLst/>
        </a:prstGeom>
      </xdr:spPr>
    </xdr:pic>
    <xdr:clientData/>
  </xdr:twoCellAnchor>
  <xdr:twoCellAnchor>
    <xdr:from>
      <xdr:col>12</xdr:col>
      <xdr:colOff>120000</xdr:colOff>
      <xdr:row>237</xdr:row>
      <xdr:rowOff>0</xdr:rowOff>
    </xdr:from>
    <xdr:to>
      <xdr:col>12</xdr:col>
      <xdr:colOff>290512</xdr:colOff>
      <xdr:row>238</xdr:row>
      <xdr:rowOff>0</xdr:rowOff>
    </xdr:to>
    <xdr:pic>
      <xdr:nvPicPr>
        <xdr:cNvPr id="188" name="Picture 1" descr="Picture">
          <a:extLst>
            <a:ext uri="{FF2B5EF4-FFF2-40B4-BE49-F238E27FC236}">
              <a16:creationId xmlns:a16="http://schemas.microsoft.com/office/drawing/2014/main" id="{C6B42164-87E5-413D-A043-A2FFD612F6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875225" y="4524375"/>
          <a:ext cx="170512" cy="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239</xdr:row>
      <xdr:rowOff>0</xdr:rowOff>
    </xdr:from>
    <xdr:to>
      <xdr:col>28</xdr:col>
      <xdr:colOff>290512</xdr:colOff>
      <xdr:row>240</xdr:row>
      <xdr:rowOff>0</xdr:rowOff>
    </xdr:to>
    <xdr:pic>
      <xdr:nvPicPr>
        <xdr:cNvPr id="189" name="Picture 1" descr="Picture">
          <a:extLst>
            <a:ext uri="{FF2B5EF4-FFF2-40B4-BE49-F238E27FC236}">
              <a16:creationId xmlns:a16="http://schemas.microsoft.com/office/drawing/2014/main" id="{8BEC87E8-85FB-4C0B-90F3-1F319BCEE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810425" y="4676775"/>
          <a:ext cx="170512" cy="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239</xdr:row>
      <xdr:rowOff>0</xdr:rowOff>
    </xdr:from>
    <xdr:to>
      <xdr:col>29</xdr:col>
      <xdr:colOff>290512</xdr:colOff>
      <xdr:row>240</xdr:row>
      <xdr:rowOff>0</xdr:rowOff>
    </xdr:to>
    <xdr:pic>
      <xdr:nvPicPr>
        <xdr:cNvPr id="190" name="Picture 1" descr="Picture">
          <a:extLst>
            <a:ext uri="{FF2B5EF4-FFF2-40B4-BE49-F238E27FC236}">
              <a16:creationId xmlns:a16="http://schemas.microsoft.com/office/drawing/2014/main" id="{F9F0C95C-32F4-41F9-8942-9686EB067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829600" y="4676775"/>
          <a:ext cx="170512" cy="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239</xdr:row>
      <xdr:rowOff>0</xdr:rowOff>
    </xdr:from>
    <xdr:to>
      <xdr:col>30</xdr:col>
      <xdr:colOff>290512</xdr:colOff>
      <xdr:row>240</xdr:row>
      <xdr:rowOff>0</xdr:rowOff>
    </xdr:to>
    <xdr:pic>
      <xdr:nvPicPr>
        <xdr:cNvPr id="191" name="Picture 1" descr="Picture">
          <a:extLst>
            <a:ext uri="{FF2B5EF4-FFF2-40B4-BE49-F238E27FC236}">
              <a16:creationId xmlns:a16="http://schemas.microsoft.com/office/drawing/2014/main" id="{ADBF2947-3B6C-4C6D-A91A-0B017896B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848775" y="467677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323</xdr:row>
      <xdr:rowOff>0</xdr:rowOff>
    </xdr:from>
    <xdr:to>
      <xdr:col>35</xdr:col>
      <xdr:colOff>290512</xdr:colOff>
      <xdr:row>324</xdr:row>
      <xdr:rowOff>0</xdr:rowOff>
    </xdr:to>
    <xdr:pic>
      <xdr:nvPicPr>
        <xdr:cNvPr id="192" name="Picture 1" descr="Picture">
          <a:extLst>
            <a:ext uri="{FF2B5EF4-FFF2-40B4-BE49-F238E27FC236}">
              <a16:creationId xmlns:a16="http://schemas.microsoft.com/office/drawing/2014/main" id="{088416D9-2866-4336-8AF5-2A3DBFB04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944650" y="5648325"/>
          <a:ext cx="170512" cy="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323</xdr:row>
      <xdr:rowOff>0</xdr:rowOff>
    </xdr:from>
    <xdr:to>
      <xdr:col>36</xdr:col>
      <xdr:colOff>290512</xdr:colOff>
      <xdr:row>324</xdr:row>
      <xdr:rowOff>0</xdr:rowOff>
    </xdr:to>
    <xdr:pic>
      <xdr:nvPicPr>
        <xdr:cNvPr id="193" name="Picture 1" descr="Picture">
          <a:extLst>
            <a:ext uri="{FF2B5EF4-FFF2-40B4-BE49-F238E27FC236}">
              <a16:creationId xmlns:a16="http://schemas.microsoft.com/office/drawing/2014/main" id="{50552A9E-F5B3-4C0E-B218-B87228C72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963825" y="564832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323</xdr:row>
      <xdr:rowOff>0</xdr:rowOff>
    </xdr:from>
    <xdr:to>
      <xdr:col>37</xdr:col>
      <xdr:colOff>290512</xdr:colOff>
      <xdr:row>324</xdr:row>
      <xdr:rowOff>0</xdr:rowOff>
    </xdr:to>
    <xdr:pic>
      <xdr:nvPicPr>
        <xdr:cNvPr id="194" name="Picture 1" descr="Picture">
          <a:extLst>
            <a:ext uri="{FF2B5EF4-FFF2-40B4-BE49-F238E27FC236}">
              <a16:creationId xmlns:a16="http://schemas.microsoft.com/office/drawing/2014/main" id="{8722ACF1-1524-4663-B74E-3E0557C68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983000" y="5648325"/>
          <a:ext cx="170512" cy="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327</xdr:row>
      <xdr:rowOff>0</xdr:rowOff>
    </xdr:from>
    <xdr:to>
      <xdr:col>28</xdr:col>
      <xdr:colOff>290512</xdr:colOff>
      <xdr:row>328</xdr:row>
      <xdr:rowOff>0</xdr:rowOff>
    </xdr:to>
    <xdr:pic>
      <xdr:nvPicPr>
        <xdr:cNvPr id="195" name="Picture 1" descr="Picture">
          <a:extLst>
            <a:ext uri="{FF2B5EF4-FFF2-40B4-BE49-F238E27FC236}">
              <a16:creationId xmlns:a16="http://schemas.microsoft.com/office/drawing/2014/main" id="{095A1B3B-B955-4E9D-ADE6-12A5C6BFF4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7810425" y="5648325"/>
          <a:ext cx="170512" cy="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327</xdr:row>
      <xdr:rowOff>0</xdr:rowOff>
    </xdr:from>
    <xdr:to>
      <xdr:col>29</xdr:col>
      <xdr:colOff>290512</xdr:colOff>
      <xdr:row>328</xdr:row>
      <xdr:rowOff>0</xdr:rowOff>
    </xdr:to>
    <xdr:pic>
      <xdr:nvPicPr>
        <xdr:cNvPr id="196" name="Picture 1" descr="Picture">
          <a:extLst>
            <a:ext uri="{FF2B5EF4-FFF2-40B4-BE49-F238E27FC236}">
              <a16:creationId xmlns:a16="http://schemas.microsoft.com/office/drawing/2014/main" id="{7B09EA0E-4B19-4DFE-9B7B-1AC95A125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829600" y="5648325"/>
          <a:ext cx="170512" cy="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327</xdr:row>
      <xdr:rowOff>0</xdr:rowOff>
    </xdr:from>
    <xdr:to>
      <xdr:col>30</xdr:col>
      <xdr:colOff>290512</xdr:colOff>
      <xdr:row>328</xdr:row>
      <xdr:rowOff>0</xdr:rowOff>
    </xdr:to>
    <xdr:pic>
      <xdr:nvPicPr>
        <xdr:cNvPr id="197" name="Picture 1" descr="Picture">
          <a:extLst>
            <a:ext uri="{FF2B5EF4-FFF2-40B4-BE49-F238E27FC236}">
              <a16:creationId xmlns:a16="http://schemas.microsoft.com/office/drawing/2014/main" id="{CD5F1656-7538-407D-80DA-ED80AAC91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9848775" y="5648325"/>
          <a:ext cx="170512" cy="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327</xdr:row>
      <xdr:rowOff>0</xdr:rowOff>
    </xdr:from>
    <xdr:to>
      <xdr:col>31</xdr:col>
      <xdr:colOff>290512</xdr:colOff>
      <xdr:row>328</xdr:row>
      <xdr:rowOff>0</xdr:rowOff>
    </xdr:to>
    <xdr:pic>
      <xdr:nvPicPr>
        <xdr:cNvPr id="198" name="Picture 1" descr="Picture">
          <a:extLst>
            <a:ext uri="{FF2B5EF4-FFF2-40B4-BE49-F238E27FC236}">
              <a16:creationId xmlns:a16="http://schemas.microsoft.com/office/drawing/2014/main" id="{317F2226-8B7D-4451-9B1E-169271C15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0867950" y="5648325"/>
          <a:ext cx="170512" cy="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327</xdr:row>
      <xdr:rowOff>0</xdr:rowOff>
    </xdr:from>
    <xdr:to>
      <xdr:col>32</xdr:col>
      <xdr:colOff>290512</xdr:colOff>
      <xdr:row>328</xdr:row>
      <xdr:rowOff>0</xdr:rowOff>
    </xdr:to>
    <xdr:pic>
      <xdr:nvPicPr>
        <xdr:cNvPr id="199" name="Picture 1" descr="Picture">
          <a:extLst>
            <a:ext uri="{FF2B5EF4-FFF2-40B4-BE49-F238E27FC236}">
              <a16:creationId xmlns:a16="http://schemas.microsoft.com/office/drawing/2014/main" id="{23562940-DA25-40DB-9926-1C6858698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887125" y="5648325"/>
          <a:ext cx="170512" cy="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327</xdr:row>
      <xdr:rowOff>0</xdr:rowOff>
    </xdr:from>
    <xdr:to>
      <xdr:col>33</xdr:col>
      <xdr:colOff>290512</xdr:colOff>
      <xdr:row>328</xdr:row>
      <xdr:rowOff>0</xdr:rowOff>
    </xdr:to>
    <xdr:pic>
      <xdr:nvPicPr>
        <xdr:cNvPr id="200" name="Picture 1" descr="Picture">
          <a:extLst>
            <a:ext uri="{FF2B5EF4-FFF2-40B4-BE49-F238E27FC236}">
              <a16:creationId xmlns:a16="http://schemas.microsoft.com/office/drawing/2014/main" id="{1B22EB80-77A8-4F1E-ACC7-DC10587C43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906300" y="5648325"/>
          <a:ext cx="170512" cy="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14</xdr:col>
      <xdr:colOff>362139</xdr:colOff>
      <xdr:row>4</xdr:row>
      <xdr:rowOff>0</xdr:rowOff>
    </xdr:to>
    <xdr:sp macro="" textlink="">
      <xdr:nvSpPr>
        <xdr:cNvPr id="5" name="AutoShape 34">
          <a:extLst>
            <a:ext uri="{FF2B5EF4-FFF2-40B4-BE49-F238E27FC236}">
              <a16:creationId xmlns:a16="http://schemas.microsoft.com/office/drawing/2014/main" id="{566EE530-B8EB-4E40-A8FB-4C3C74C52BF4}"/>
            </a:ext>
          </a:extLst>
        </xdr:cNvPr>
        <xdr:cNvSpPr>
          <a:spLocks noChangeArrowheads="1"/>
        </xdr:cNvSpPr>
      </xdr:nvSpPr>
      <xdr:spPr bwMode="auto">
        <a:xfrm>
          <a:off x="16640175" y="0"/>
          <a:ext cx="7143939" cy="1066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120000</xdr:colOff>
      <xdr:row>16</xdr:row>
      <xdr:rowOff>0</xdr:rowOff>
    </xdr:from>
    <xdr:to>
      <xdr:col>14</xdr:col>
      <xdr:colOff>290512</xdr:colOff>
      <xdr:row>17</xdr:row>
      <xdr:rowOff>0</xdr:rowOff>
    </xdr:to>
    <xdr:pic>
      <xdr:nvPicPr>
        <xdr:cNvPr id="6" name="Picture 1" descr="Picture">
          <a:extLst>
            <a:ext uri="{FF2B5EF4-FFF2-40B4-BE49-F238E27FC236}">
              <a16:creationId xmlns:a16="http://schemas.microsoft.com/office/drawing/2014/main" id="{D381DE56-0C83-486F-93BC-710652FE0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541975" y="1400175"/>
          <a:ext cx="170512" cy="152400"/>
        </a:xfrm>
        <a:prstGeom prst="rect">
          <a:avLst/>
        </a:prstGeom>
      </xdr:spPr>
    </xdr:pic>
    <xdr:clientData/>
  </xdr:twoCellAnchor>
  <xdr:twoCellAnchor>
    <xdr:from>
      <xdr:col>15</xdr:col>
      <xdr:colOff>120000</xdr:colOff>
      <xdr:row>16</xdr:row>
      <xdr:rowOff>0</xdr:rowOff>
    </xdr:from>
    <xdr:to>
      <xdr:col>15</xdr:col>
      <xdr:colOff>290512</xdr:colOff>
      <xdr:row>17</xdr:row>
      <xdr:rowOff>0</xdr:rowOff>
    </xdr:to>
    <xdr:pic>
      <xdr:nvPicPr>
        <xdr:cNvPr id="7" name="Picture 1" descr="Picture">
          <a:extLst>
            <a:ext uri="{FF2B5EF4-FFF2-40B4-BE49-F238E27FC236}">
              <a16:creationId xmlns:a16="http://schemas.microsoft.com/office/drawing/2014/main" id="{0AFCDA14-DAB7-4091-97A0-EB730EC89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561150" y="1400175"/>
          <a:ext cx="170512" cy="152400"/>
        </a:xfrm>
        <a:prstGeom prst="rect">
          <a:avLst/>
        </a:prstGeom>
      </xdr:spPr>
    </xdr:pic>
    <xdr:clientData/>
  </xdr:twoCellAnchor>
  <xdr:twoCellAnchor>
    <xdr:from>
      <xdr:col>16</xdr:col>
      <xdr:colOff>120000</xdr:colOff>
      <xdr:row>16</xdr:row>
      <xdr:rowOff>0</xdr:rowOff>
    </xdr:from>
    <xdr:to>
      <xdr:col>16</xdr:col>
      <xdr:colOff>290512</xdr:colOff>
      <xdr:row>17</xdr:row>
      <xdr:rowOff>0</xdr:rowOff>
    </xdr:to>
    <xdr:pic>
      <xdr:nvPicPr>
        <xdr:cNvPr id="8" name="Picture 1" descr="Picture">
          <a:extLst>
            <a:ext uri="{FF2B5EF4-FFF2-40B4-BE49-F238E27FC236}">
              <a16:creationId xmlns:a16="http://schemas.microsoft.com/office/drawing/2014/main" id="{5FB18CC6-03F5-4030-9B90-72F44CF0C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80325" y="1400175"/>
          <a:ext cx="170512" cy="152400"/>
        </a:xfrm>
        <a:prstGeom prst="rect">
          <a:avLst/>
        </a:prstGeom>
      </xdr:spPr>
    </xdr:pic>
    <xdr:clientData/>
  </xdr:twoCellAnchor>
  <xdr:twoCellAnchor>
    <xdr:from>
      <xdr:col>17</xdr:col>
      <xdr:colOff>120000</xdr:colOff>
      <xdr:row>16</xdr:row>
      <xdr:rowOff>0</xdr:rowOff>
    </xdr:from>
    <xdr:to>
      <xdr:col>17</xdr:col>
      <xdr:colOff>290512</xdr:colOff>
      <xdr:row>17</xdr:row>
      <xdr:rowOff>0</xdr:rowOff>
    </xdr:to>
    <xdr:pic>
      <xdr:nvPicPr>
        <xdr:cNvPr id="9" name="Picture 1" descr="Picture">
          <a:extLst>
            <a:ext uri="{FF2B5EF4-FFF2-40B4-BE49-F238E27FC236}">
              <a16:creationId xmlns:a16="http://schemas.microsoft.com/office/drawing/2014/main" id="{D9FA5665-AA4B-4145-89BA-F0DF45518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99500" y="1400175"/>
          <a:ext cx="170512" cy="152400"/>
        </a:xfrm>
        <a:prstGeom prst="rect">
          <a:avLst/>
        </a:prstGeom>
      </xdr:spPr>
    </xdr:pic>
    <xdr:clientData/>
  </xdr:twoCellAnchor>
  <xdr:twoCellAnchor>
    <xdr:from>
      <xdr:col>18</xdr:col>
      <xdr:colOff>120000</xdr:colOff>
      <xdr:row>16</xdr:row>
      <xdr:rowOff>0</xdr:rowOff>
    </xdr:from>
    <xdr:to>
      <xdr:col>18</xdr:col>
      <xdr:colOff>290512</xdr:colOff>
      <xdr:row>17</xdr:row>
      <xdr:rowOff>0</xdr:rowOff>
    </xdr:to>
    <xdr:pic>
      <xdr:nvPicPr>
        <xdr:cNvPr id="10" name="Picture 1" descr="Picture">
          <a:extLst>
            <a:ext uri="{FF2B5EF4-FFF2-40B4-BE49-F238E27FC236}">
              <a16:creationId xmlns:a16="http://schemas.microsoft.com/office/drawing/2014/main" id="{DFDB24C8-4EE3-4DBA-BB32-8C22B7C81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18675" y="1400175"/>
          <a:ext cx="170512" cy="152400"/>
        </a:xfrm>
        <a:prstGeom prst="rect">
          <a:avLst/>
        </a:prstGeom>
      </xdr:spPr>
    </xdr:pic>
    <xdr:clientData/>
  </xdr:twoCellAnchor>
  <xdr:twoCellAnchor>
    <xdr:from>
      <xdr:col>19</xdr:col>
      <xdr:colOff>120000</xdr:colOff>
      <xdr:row>16</xdr:row>
      <xdr:rowOff>0</xdr:rowOff>
    </xdr:from>
    <xdr:to>
      <xdr:col>19</xdr:col>
      <xdr:colOff>290512</xdr:colOff>
      <xdr:row>17</xdr:row>
      <xdr:rowOff>0</xdr:rowOff>
    </xdr:to>
    <xdr:pic>
      <xdr:nvPicPr>
        <xdr:cNvPr id="11" name="Picture 1" descr="Picture">
          <a:extLst>
            <a:ext uri="{FF2B5EF4-FFF2-40B4-BE49-F238E27FC236}">
              <a16:creationId xmlns:a16="http://schemas.microsoft.com/office/drawing/2014/main" id="{87A54939-F651-4758-9933-20F123D93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37850" y="1400175"/>
          <a:ext cx="170512" cy="15240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16</xdr:row>
      <xdr:rowOff>0</xdr:rowOff>
    </xdr:from>
    <xdr:to>
      <xdr:col>26</xdr:col>
      <xdr:colOff>290512</xdr:colOff>
      <xdr:row>17</xdr:row>
      <xdr:rowOff>0</xdr:rowOff>
    </xdr:to>
    <xdr:pic>
      <xdr:nvPicPr>
        <xdr:cNvPr id="12" name="Picture 1" descr="Picture">
          <a:extLst>
            <a:ext uri="{FF2B5EF4-FFF2-40B4-BE49-F238E27FC236}">
              <a16:creationId xmlns:a16="http://schemas.microsoft.com/office/drawing/2014/main" id="{D8AB0EBF-45C8-45A6-A54C-10B008E4D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72075" y="1400175"/>
          <a:ext cx="170512" cy="15240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16</xdr:row>
      <xdr:rowOff>0</xdr:rowOff>
    </xdr:from>
    <xdr:to>
      <xdr:col>33</xdr:col>
      <xdr:colOff>290512</xdr:colOff>
      <xdr:row>17</xdr:row>
      <xdr:rowOff>0</xdr:rowOff>
    </xdr:to>
    <xdr:pic>
      <xdr:nvPicPr>
        <xdr:cNvPr id="13" name="Picture 1" descr="Picture">
          <a:extLst>
            <a:ext uri="{FF2B5EF4-FFF2-40B4-BE49-F238E27FC236}">
              <a16:creationId xmlns:a16="http://schemas.microsoft.com/office/drawing/2014/main" id="{40EC6910-A2F2-4C93-B207-4B68330DA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06300" y="1400175"/>
          <a:ext cx="170512" cy="15240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16</xdr:row>
      <xdr:rowOff>0</xdr:rowOff>
    </xdr:from>
    <xdr:to>
      <xdr:col>37</xdr:col>
      <xdr:colOff>290512</xdr:colOff>
      <xdr:row>17</xdr:row>
      <xdr:rowOff>0</xdr:rowOff>
    </xdr:to>
    <xdr:pic>
      <xdr:nvPicPr>
        <xdr:cNvPr id="14" name="Picture 1" descr="Picture">
          <a:extLst>
            <a:ext uri="{FF2B5EF4-FFF2-40B4-BE49-F238E27FC236}">
              <a16:creationId xmlns:a16="http://schemas.microsoft.com/office/drawing/2014/main" id="{0578B400-84ED-455C-8CBF-BDB084886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1400175"/>
          <a:ext cx="170512" cy="15240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16</xdr:row>
      <xdr:rowOff>0</xdr:rowOff>
    </xdr:from>
    <xdr:to>
      <xdr:col>38</xdr:col>
      <xdr:colOff>290512</xdr:colOff>
      <xdr:row>17</xdr:row>
      <xdr:rowOff>0</xdr:rowOff>
    </xdr:to>
    <xdr:pic>
      <xdr:nvPicPr>
        <xdr:cNvPr id="15" name="Picture 1" descr="Picture">
          <a:extLst>
            <a:ext uri="{FF2B5EF4-FFF2-40B4-BE49-F238E27FC236}">
              <a16:creationId xmlns:a16="http://schemas.microsoft.com/office/drawing/2014/main" id="{9BD656B6-F0F1-4B10-9192-DA1269DED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1400175"/>
          <a:ext cx="170512" cy="15240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16</xdr:row>
      <xdr:rowOff>0</xdr:rowOff>
    </xdr:from>
    <xdr:to>
      <xdr:col>39</xdr:col>
      <xdr:colOff>290512</xdr:colOff>
      <xdr:row>17</xdr:row>
      <xdr:rowOff>0</xdr:rowOff>
    </xdr:to>
    <xdr:pic>
      <xdr:nvPicPr>
        <xdr:cNvPr id="16" name="Picture 1" descr="Picture">
          <a:extLst>
            <a:ext uri="{FF2B5EF4-FFF2-40B4-BE49-F238E27FC236}">
              <a16:creationId xmlns:a16="http://schemas.microsoft.com/office/drawing/2014/main" id="{C88525D2-103D-43A8-ABAE-4E34A9F67A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1350" y="1400175"/>
          <a:ext cx="170512" cy="15240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16</xdr:row>
      <xdr:rowOff>0</xdr:rowOff>
    </xdr:from>
    <xdr:to>
      <xdr:col>40</xdr:col>
      <xdr:colOff>290512</xdr:colOff>
      <xdr:row>17</xdr:row>
      <xdr:rowOff>0</xdr:rowOff>
    </xdr:to>
    <xdr:pic>
      <xdr:nvPicPr>
        <xdr:cNvPr id="17" name="Picture 1" descr="Picture">
          <a:extLst>
            <a:ext uri="{FF2B5EF4-FFF2-40B4-BE49-F238E27FC236}">
              <a16:creationId xmlns:a16="http://schemas.microsoft.com/office/drawing/2014/main" id="{3B150672-E8AF-481E-9AFF-843D0CAB33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40525" y="1400175"/>
          <a:ext cx="170512" cy="15240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17</xdr:row>
      <xdr:rowOff>0</xdr:rowOff>
    </xdr:from>
    <xdr:to>
      <xdr:col>33</xdr:col>
      <xdr:colOff>290512</xdr:colOff>
      <xdr:row>18</xdr:row>
      <xdr:rowOff>0</xdr:rowOff>
    </xdr:to>
    <xdr:pic>
      <xdr:nvPicPr>
        <xdr:cNvPr id="18" name="Picture 1" descr="Picture">
          <a:extLst>
            <a:ext uri="{FF2B5EF4-FFF2-40B4-BE49-F238E27FC236}">
              <a16:creationId xmlns:a16="http://schemas.microsoft.com/office/drawing/2014/main" id="{9B76FF17-85F0-4972-8F89-C48D901D4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906300" y="155257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24</xdr:row>
      <xdr:rowOff>0</xdr:rowOff>
    </xdr:from>
    <xdr:to>
      <xdr:col>35</xdr:col>
      <xdr:colOff>290512</xdr:colOff>
      <xdr:row>25</xdr:row>
      <xdr:rowOff>0</xdr:rowOff>
    </xdr:to>
    <xdr:pic>
      <xdr:nvPicPr>
        <xdr:cNvPr id="19" name="Picture 1" descr="Picture">
          <a:extLst>
            <a:ext uri="{FF2B5EF4-FFF2-40B4-BE49-F238E27FC236}">
              <a16:creationId xmlns:a16="http://schemas.microsoft.com/office/drawing/2014/main" id="{D821F0D2-0ADB-4256-9CE7-700A7D29A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944650" y="155257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38</xdr:row>
      <xdr:rowOff>0</xdr:rowOff>
    </xdr:from>
    <xdr:to>
      <xdr:col>35</xdr:col>
      <xdr:colOff>290512</xdr:colOff>
      <xdr:row>39</xdr:row>
      <xdr:rowOff>0</xdr:rowOff>
    </xdr:to>
    <xdr:pic>
      <xdr:nvPicPr>
        <xdr:cNvPr id="20" name="Picture 1" descr="Picture">
          <a:extLst>
            <a:ext uri="{FF2B5EF4-FFF2-40B4-BE49-F238E27FC236}">
              <a16:creationId xmlns:a16="http://schemas.microsoft.com/office/drawing/2014/main" id="{1158AF07-1FF8-4C20-9B51-74FD8C169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944650" y="1552575"/>
          <a:ext cx="170512" cy="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38</xdr:row>
      <xdr:rowOff>0</xdr:rowOff>
    </xdr:from>
    <xdr:to>
      <xdr:col>36</xdr:col>
      <xdr:colOff>290512</xdr:colOff>
      <xdr:row>39</xdr:row>
      <xdr:rowOff>0</xdr:rowOff>
    </xdr:to>
    <xdr:pic>
      <xdr:nvPicPr>
        <xdr:cNvPr id="21" name="Picture 1" descr="Picture">
          <a:extLst>
            <a:ext uri="{FF2B5EF4-FFF2-40B4-BE49-F238E27FC236}">
              <a16:creationId xmlns:a16="http://schemas.microsoft.com/office/drawing/2014/main" id="{3C65D8E0-7461-4517-B84B-F628818C05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963825" y="155257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38</xdr:row>
      <xdr:rowOff>0</xdr:rowOff>
    </xdr:from>
    <xdr:to>
      <xdr:col>37</xdr:col>
      <xdr:colOff>290512</xdr:colOff>
      <xdr:row>39</xdr:row>
      <xdr:rowOff>0</xdr:rowOff>
    </xdr:to>
    <xdr:pic>
      <xdr:nvPicPr>
        <xdr:cNvPr id="22" name="Picture 1" descr="Picture">
          <a:extLst>
            <a:ext uri="{FF2B5EF4-FFF2-40B4-BE49-F238E27FC236}">
              <a16:creationId xmlns:a16="http://schemas.microsoft.com/office/drawing/2014/main" id="{19741DDD-9399-45F5-BA3B-F42FE1CFD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983000" y="1552575"/>
          <a:ext cx="170512" cy="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45</xdr:row>
      <xdr:rowOff>0</xdr:rowOff>
    </xdr:from>
    <xdr:to>
      <xdr:col>28</xdr:col>
      <xdr:colOff>290512</xdr:colOff>
      <xdr:row>46</xdr:row>
      <xdr:rowOff>0</xdr:rowOff>
    </xdr:to>
    <xdr:pic>
      <xdr:nvPicPr>
        <xdr:cNvPr id="23" name="Picture 1" descr="Picture">
          <a:extLst>
            <a:ext uri="{FF2B5EF4-FFF2-40B4-BE49-F238E27FC236}">
              <a16:creationId xmlns:a16="http://schemas.microsoft.com/office/drawing/2014/main" id="{4493E74C-F91E-49ED-B179-01B47F90F8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810425" y="1552575"/>
          <a:ext cx="170512" cy="15240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45</xdr:row>
      <xdr:rowOff>0</xdr:rowOff>
    </xdr:from>
    <xdr:to>
      <xdr:col>29</xdr:col>
      <xdr:colOff>290512</xdr:colOff>
      <xdr:row>46</xdr:row>
      <xdr:rowOff>0</xdr:rowOff>
    </xdr:to>
    <xdr:pic>
      <xdr:nvPicPr>
        <xdr:cNvPr id="24" name="Picture 1" descr="Picture">
          <a:extLst>
            <a:ext uri="{FF2B5EF4-FFF2-40B4-BE49-F238E27FC236}">
              <a16:creationId xmlns:a16="http://schemas.microsoft.com/office/drawing/2014/main" id="{2CBF440E-8932-4F8B-B8B8-32C1861CC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29600" y="1552575"/>
          <a:ext cx="170512" cy="15240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45</xdr:row>
      <xdr:rowOff>0</xdr:rowOff>
    </xdr:from>
    <xdr:to>
      <xdr:col>30</xdr:col>
      <xdr:colOff>290512</xdr:colOff>
      <xdr:row>46</xdr:row>
      <xdr:rowOff>0</xdr:rowOff>
    </xdr:to>
    <xdr:pic>
      <xdr:nvPicPr>
        <xdr:cNvPr id="25" name="Picture 1" descr="Picture">
          <a:extLst>
            <a:ext uri="{FF2B5EF4-FFF2-40B4-BE49-F238E27FC236}">
              <a16:creationId xmlns:a16="http://schemas.microsoft.com/office/drawing/2014/main" id="{0D5D8480-A00F-4D5D-BD8F-DEC15A713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848775" y="1552575"/>
          <a:ext cx="170512" cy="15240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45</xdr:row>
      <xdr:rowOff>0</xdr:rowOff>
    </xdr:from>
    <xdr:to>
      <xdr:col>31</xdr:col>
      <xdr:colOff>290512</xdr:colOff>
      <xdr:row>46</xdr:row>
      <xdr:rowOff>0</xdr:rowOff>
    </xdr:to>
    <xdr:pic>
      <xdr:nvPicPr>
        <xdr:cNvPr id="26" name="Picture 1" descr="Picture">
          <a:extLst>
            <a:ext uri="{FF2B5EF4-FFF2-40B4-BE49-F238E27FC236}">
              <a16:creationId xmlns:a16="http://schemas.microsoft.com/office/drawing/2014/main" id="{76FB228D-958C-479C-9815-01A2FD1328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67950" y="1552575"/>
          <a:ext cx="170512" cy="15240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45</xdr:row>
      <xdr:rowOff>0</xdr:rowOff>
    </xdr:from>
    <xdr:to>
      <xdr:col>32</xdr:col>
      <xdr:colOff>290512</xdr:colOff>
      <xdr:row>46</xdr:row>
      <xdr:rowOff>0</xdr:rowOff>
    </xdr:to>
    <xdr:pic>
      <xdr:nvPicPr>
        <xdr:cNvPr id="27" name="Picture 1" descr="Picture">
          <a:extLst>
            <a:ext uri="{FF2B5EF4-FFF2-40B4-BE49-F238E27FC236}">
              <a16:creationId xmlns:a16="http://schemas.microsoft.com/office/drawing/2014/main" id="{EE19B336-F8E7-428E-A773-BF6845C1C3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887125" y="1552575"/>
          <a:ext cx="170512" cy="15240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45</xdr:row>
      <xdr:rowOff>0</xdr:rowOff>
    </xdr:from>
    <xdr:to>
      <xdr:col>33</xdr:col>
      <xdr:colOff>290512</xdr:colOff>
      <xdr:row>46</xdr:row>
      <xdr:rowOff>0</xdr:rowOff>
    </xdr:to>
    <xdr:pic>
      <xdr:nvPicPr>
        <xdr:cNvPr id="28" name="Picture 1" descr="Picture">
          <a:extLst>
            <a:ext uri="{FF2B5EF4-FFF2-40B4-BE49-F238E27FC236}">
              <a16:creationId xmlns:a16="http://schemas.microsoft.com/office/drawing/2014/main" id="{E9D7E034-0473-4F84-B07C-DAC70C9238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06300" y="1552575"/>
          <a:ext cx="170512" cy="15240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45</xdr:row>
      <xdr:rowOff>0</xdr:rowOff>
    </xdr:from>
    <xdr:to>
      <xdr:col>35</xdr:col>
      <xdr:colOff>290512</xdr:colOff>
      <xdr:row>46</xdr:row>
      <xdr:rowOff>0</xdr:rowOff>
    </xdr:to>
    <xdr:pic>
      <xdr:nvPicPr>
        <xdr:cNvPr id="29" name="Picture 1" descr="Picture">
          <a:extLst>
            <a:ext uri="{FF2B5EF4-FFF2-40B4-BE49-F238E27FC236}">
              <a16:creationId xmlns:a16="http://schemas.microsoft.com/office/drawing/2014/main" id="{37AFE33E-CBD2-48BE-8F05-C7BC5417E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1552575"/>
          <a:ext cx="170512" cy="15240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45</xdr:row>
      <xdr:rowOff>0</xdr:rowOff>
    </xdr:from>
    <xdr:to>
      <xdr:col>36</xdr:col>
      <xdr:colOff>290512</xdr:colOff>
      <xdr:row>46</xdr:row>
      <xdr:rowOff>0</xdr:rowOff>
    </xdr:to>
    <xdr:pic>
      <xdr:nvPicPr>
        <xdr:cNvPr id="30" name="Picture 1" descr="Picture">
          <a:extLst>
            <a:ext uri="{FF2B5EF4-FFF2-40B4-BE49-F238E27FC236}">
              <a16:creationId xmlns:a16="http://schemas.microsoft.com/office/drawing/2014/main" id="{4A43A6B2-9963-437A-B14F-5ECEA622E4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1552575"/>
          <a:ext cx="170512" cy="15240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45</xdr:row>
      <xdr:rowOff>0</xdr:rowOff>
    </xdr:from>
    <xdr:to>
      <xdr:col>37</xdr:col>
      <xdr:colOff>290512</xdr:colOff>
      <xdr:row>46</xdr:row>
      <xdr:rowOff>0</xdr:rowOff>
    </xdr:to>
    <xdr:pic>
      <xdr:nvPicPr>
        <xdr:cNvPr id="31" name="Picture 1" descr="Picture">
          <a:extLst>
            <a:ext uri="{FF2B5EF4-FFF2-40B4-BE49-F238E27FC236}">
              <a16:creationId xmlns:a16="http://schemas.microsoft.com/office/drawing/2014/main" id="{DEA4F7C3-C0DA-4516-B2C2-099A5CD00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1552575"/>
          <a:ext cx="170512" cy="15240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45</xdr:row>
      <xdr:rowOff>0</xdr:rowOff>
    </xdr:from>
    <xdr:to>
      <xdr:col>38</xdr:col>
      <xdr:colOff>290512</xdr:colOff>
      <xdr:row>46</xdr:row>
      <xdr:rowOff>0</xdr:rowOff>
    </xdr:to>
    <xdr:pic>
      <xdr:nvPicPr>
        <xdr:cNvPr id="32" name="Picture 1" descr="Picture">
          <a:extLst>
            <a:ext uri="{FF2B5EF4-FFF2-40B4-BE49-F238E27FC236}">
              <a16:creationId xmlns:a16="http://schemas.microsoft.com/office/drawing/2014/main" id="{708D0B37-4A64-4F56-9481-68C0A2CE7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1552575"/>
          <a:ext cx="170512" cy="15240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45</xdr:row>
      <xdr:rowOff>0</xdr:rowOff>
    </xdr:from>
    <xdr:to>
      <xdr:col>39</xdr:col>
      <xdr:colOff>290512</xdr:colOff>
      <xdr:row>46</xdr:row>
      <xdr:rowOff>0</xdr:rowOff>
    </xdr:to>
    <xdr:pic>
      <xdr:nvPicPr>
        <xdr:cNvPr id="33" name="Picture 1" descr="Picture">
          <a:extLst>
            <a:ext uri="{FF2B5EF4-FFF2-40B4-BE49-F238E27FC236}">
              <a16:creationId xmlns:a16="http://schemas.microsoft.com/office/drawing/2014/main" id="{82612820-3681-42A0-BD58-83252218C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1350" y="1552575"/>
          <a:ext cx="170512" cy="152400"/>
        </a:xfrm>
        <a:prstGeom prst="rect">
          <a:avLst/>
        </a:prstGeom>
      </xdr:spPr>
    </xdr:pic>
    <xdr:clientData/>
  </xdr:twoCellAnchor>
  <xdr:twoCellAnchor>
    <xdr:from>
      <xdr:col>22</xdr:col>
      <xdr:colOff>120000</xdr:colOff>
      <xdr:row>50</xdr:row>
      <xdr:rowOff>0</xdr:rowOff>
    </xdr:from>
    <xdr:to>
      <xdr:col>22</xdr:col>
      <xdr:colOff>290512</xdr:colOff>
      <xdr:row>51</xdr:row>
      <xdr:rowOff>0</xdr:rowOff>
    </xdr:to>
    <xdr:pic>
      <xdr:nvPicPr>
        <xdr:cNvPr id="34" name="Picture 1" descr="Picture">
          <a:extLst>
            <a:ext uri="{FF2B5EF4-FFF2-40B4-BE49-F238E27FC236}">
              <a16:creationId xmlns:a16="http://schemas.microsoft.com/office/drawing/2014/main" id="{B5B7A0BC-42C4-4770-9F50-DA1B552BD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6953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23</xdr:col>
      <xdr:colOff>120000</xdr:colOff>
      <xdr:row>50</xdr:row>
      <xdr:rowOff>0</xdr:rowOff>
    </xdr:from>
    <xdr:to>
      <xdr:col>23</xdr:col>
      <xdr:colOff>290512</xdr:colOff>
      <xdr:row>51</xdr:row>
      <xdr:rowOff>0</xdr:rowOff>
    </xdr:to>
    <xdr:pic>
      <xdr:nvPicPr>
        <xdr:cNvPr id="35" name="Picture 1" descr="Picture">
          <a:extLst>
            <a:ext uri="{FF2B5EF4-FFF2-40B4-BE49-F238E27FC236}">
              <a16:creationId xmlns:a16="http://schemas.microsoft.com/office/drawing/2014/main" id="{DBD7C6D0-0622-422F-8182-18A9A99B8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7145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55</xdr:row>
      <xdr:rowOff>0</xdr:rowOff>
    </xdr:from>
    <xdr:to>
      <xdr:col>26</xdr:col>
      <xdr:colOff>290512</xdr:colOff>
      <xdr:row>56</xdr:row>
      <xdr:rowOff>0</xdr:rowOff>
    </xdr:to>
    <xdr:pic>
      <xdr:nvPicPr>
        <xdr:cNvPr id="36" name="Picture 1" descr="Picture">
          <a:extLst>
            <a:ext uri="{FF2B5EF4-FFF2-40B4-BE49-F238E27FC236}">
              <a16:creationId xmlns:a16="http://schemas.microsoft.com/office/drawing/2014/main" id="{20A0B86B-A420-438C-92A5-25F7714F4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7720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14</xdr:col>
      <xdr:colOff>120000</xdr:colOff>
      <xdr:row>64</xdr:row>
      <xdr:rowOff>0</xdr:rowOff>
    </xdr:from>
    <xdr:to>
      <xdr:col>14</xdr:col>
      <xdr:colOff>290512</xdr:colOff>
      <xdr:row>65</xdr:row>
      <xdr:rowOff>0</xdr:rowOff>
    </xdr:to>
    <xdr:pic>
      <xdr:nvPicPr>
        <xdr:cNvPr id="37" name="Picture 1" descr="Picture">
          <a:extLst>
            <a:ext uri="{FF2B5EF4-FFF2-40B4-BE49-F238E27FC236}">
              <a16:creationId xmlns:a16="http://schemas.microsoft.com/office/drawing/2014/main" id="{266B8E0D-21AA-4F36-AD76-5A3321F65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541975" y="1704975"/>
          <a:ext cx="170512" cy="152400"/>
        </a:xfrm>
        <a:prstGeom prst="rect">
          <a:avLst/>
        </a:prstGeom>
      </xdr:spPr>
    </xdr:pic>
    <xdr:clientData/>
  </xdr:twoCellAnchor>
  <xdr:twoCellAnchor>
    <xdr:from>
      <xdr:col>15</xdr:col>
      <xdr:colOff>120000</xdr:colOff>
      <xdr:row>64</xdr:row>
      <xdr:rowOff>0</xdr:rowOff>
    </xdr:from>
    <xdr:to>
      <xdr:col>15</xdr:col>
      <xdr:colOff>290512</xdr:colOff>
      <xdr:row>65</xdr:row>
      <xdr:rowOff>0</xdr:rowOff>
    </xdr:to>
    <xdr:pic>
      <xdr:nvPicPr>
        <xdr:cNvPr id="38" name="Picture 1" descr="Picture">
          <a:extLst>
            <a:ext uri="{FF2B5EF4-FFF2-40B4-BE49-F238E27FC236}">
              <a16:creationId xmlns:a16="http://schemas.microsoft.com/office/drawing/2014/main" id="{D50648CF-A4C3-4EF0-BF93-DE267CB1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561150" y="1704975"/>
          <a:ext cx="170512" cy="152400"/>
        </a:xfrm>
        <a:prstGeom prst="rect">
          <a:avLst/>
        </a:prstGeom>
      </xdr:spPr>
    </xdr:pic>
    <xdr:clientData/>
  </xdr:twoCellAnchor>
  <xdr:twoCellAnchor>
    <xdr:from>
      <xdr:col>16</xdr:col>
      <xdr:colOff>120000</xdr:colOff>
      <xdr:row>64</xdr:row>
      <xdr:rowOff>0</xdr:rowOff>
    </xdr:from>
    <xdr:to>
      <xdr:col>16</xdr:col>
      <xdr:colOff>290512</xdr:colOff>
      <xdr:row>65</xdr:row>
      <xdr:rowOff>0</xdr:rowOff>
    </xdr:to>
    <xdr:pic>
      <xdr:nvPicPr>
        <xdr:cNvPr id="39" name="Picture 1" descr="Picture">
          <a:extLst>
            <a:ext uri="{FF2B5EF4-FFF2-40B4-BE49-F238E27FC236}">
              <a16:creationId xmlns:a16="http://schemas.microsoft.com/office/drawing/2014/main" id="{8A5A2EDB-D968-4A7D-B01F-F9039CB79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80325" y="1704975"/>
          <a:ext cx="170512" cy="152400"/>
        </a:xfrm>
        <a:prstGeom prst="rect">
          <a:avLst/>
        </a:prstGeom>
      </xdr:spPr>
    </xdr:pic>
    <xdr:clientData/>
  </xdr:twoCellAnchor>
  <xdr:twoCellAnchor>
    <xdr:from>
      <xdr:col>17</xdr:col>
      <xdr:colOff>120000</xdr:colOff>
      <xdr:row>64</xdr:row>
      <xdr:rowOff>0</xdr:rowOff>
    </xdr:from>
    <xdr:to>
      <xdr:col>17</xdr:col>
      <xdr:colOff>290512</xdr:colOff>
      <xdr:row>65</xdr:row>
      <xdr:rowOff>0</xdr:rowOff>
    </xdr:to>
    <xdr:pic>
      <xdr:nvPicPr>
        <xdr:cNvPr id="40" name="Picture 1" descr="Picture">
          <a:extLst>
            <a:ext uri="{FF2B5EF4-FFF2-40B4-BE49-F238E27FC236}">
              <a16:creationId xmlns:a16="http://schemas.microsoft.com/office/drawing/2014/main" id="{DE06EAF7-4B81-4C22-B5C8-E942BD382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99500" y="1704975"/>
          <a:ext cx="170512" cy="152400"/>
        </a:xfrm>
        <a:prstGeom prst="rect">
          <a:avLst/>
        </a:prstGeom>
      </xdr:spPr>
    </xdr:pic>
    <xdr:clientData/>
  </xdr:twoCellAnchor>
  <xdr:twoCellAnchor>
    <xdr:from>
      <xdr:col>18</xdr:col>
      <xdr:colOff>120000</xdr:colOff>
      <xdr:row>64</xdr:row>
      <xdr:rowOff>0</xdr:rowOff>
    </xdr:from>
    <xdr:to>
      <xdr:col>18</xdr:col>
      <xdr:colOff>290512</xdr:colOff>
      <xdr:row>65</xdr:row>
      <xdr:rowOff>0</xdr:rowOff>
    </xdr:to>
    <xdr:pic>
      <xdr:nvPicPr>
        <xdr:cNvPr id="41" name="Picture 1" descr="Picture">
          <a:extLst>
            <a:ext uri="{FF2B5EF4-FFF2-40B4-BE49-F238E27FC236}">
              <a16:creationId xmlns:a16="http://schemas.microsoft.com/office/drawing/2014/main" id="{7317E46B-850F-4614-B3CB-2F0FD056D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18675" y="1704975"/>
          <a:ext cx="170512" cy="152400"/>
        </a:xfrm>
        <a:prstGeom prst="rect">
          <a:avLst/>
        </a:prstGeom>
      </xdr:spPr>
    </xdr:pic>
    <xdr:clientData/>
  </xdr:twoCellAnchor>
  <xdr:twoCellAnchor>
    <xdr:from>
      <xdr:col>19</xdr:col>
      <xdr:colOff>120000</xdr:colOff>
      <xdr:row>64</xdr:row>
      <xdr:rowOff>0</xdr:rowOff>
    </xdr:from>
    <xdr:to>
      <xdr:col>19</xdr:col>
      <xdr:colOff>290512</xdr:colOff>
      <xdr:row>65</xdr:row>
      <xdr:rowOff>0</xdr:rowOff>
    </xdr:to>
    <xdr:pic>
      <xdr:nvPicPr>
        <xdr:cNvPr id="42" name="Picture 1" descr="Picture">
          <a:extLst>
            <a:ext uri="{FF2B5EF4-FFF2-40B4-BE49-F238E27FC236}">
              <a16:creationId xmlns:a16="http://schemas.microsoft.com/office/drawing/2014/main" id="{24BAA113-515A-4F41-9C56-2D1715E67C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37850" y="1704975"/>
          <a:ext cx="170512" cy="15240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64</xdr:row>
      <xdr:rowOff>0</xdr:rowOff>
    </xdr:from>
    <xdr:to>
      <xdr:col>28</xdr:col>
      <xdr:colOff>290512</xdr:colOff>
      <xdr:row>65</xdr:row>
      <xdr:rowOff>0</xdr:rowOff>
    </xdr:to>
    <xdr:pic>
      <xdr:nvPicPr>
        <xdr:cNvPr id="43" name="Picture 1" descr="Picture">
          <a:extLst>
            <a:ext uri="{FF2B5EF4-FFF2-40B4-BE49-F238E27FC236}">
              <a16:creationId xmlns:a16="http://schemas.microsoft.com/office/drawing/2014/main" id="{7981C2B1-AFED-4E8C-8E55-32F6D734C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810425" y="1704975"/>
          <a:ext cx="170512" cy="15240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64</xdr:row>
      <xdr:rowOff>0</xdr:rowOff>
    </xdr:from>
    <xdr:to>
      <xdr:col>29</xdr:col>
      <xdr:colOff>290512</xdr:colOff>
      <xdr:row>65</xdr:row>
      <xdr:rowOff>0</xdr:rowOff>
    </xdr:to>
    <xdr:pic>
      <xdr:nvPicPr>
        <xdr:cNvPr id="44" name="Picture 1" descr="Picture">
          <a:extLst>
            <a:ext uri="{FF2B5EF4-FFF2-40B4-BE49-F238E27FC236}">
              <a16:creationId xmlns:a16="http://schemas.microsoft.com/office/drawing/2014/main" id="{0133B2DD-9715-4524-880D-6643B9CB9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29600" y="1704975"/>
          <a:ext cx="170512" cy="15240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64</xdr:row>
      <xdr:rowOff>0</xdr:rowOff>
    </xdr:from>
    <xdr:to>
      <xdr:col>30</xdr:col>
      <xdr:colOff>290512</xdr:colOff>
      <xdr:row>65</xdr:row>
      <xdr:rowOff>0</xdr:rowOff>
    </xdr:to>
    <xdr:pic>
      <xdr:nvPicPr>
        <xdr:cNvPr id="45" name="Picture 1" descr="Picture">
          <a:extLst>
            <a:ext uri="{FF2B5EF4-FFF2-40B4-BE49-F238E27FC236}">
              <a16:creationId xmlns:a16="http://schemas.microsoft.com/office/drawing/2014/main" id="{835CE647-7EB0-4AE4-B80B-CE038C76E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848775" y="1704975"/>
          <a:ext cx="170512" cy="15240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64</xdr:row>
      <xdr:rowOff>0</xdr:rowOff>
    </xdr:from>
    <xdr:to>
      <xdr:col>31</xdr:col>
      <xdr:colOff>290512</xdr:colOff>
      <xdr:row>65</xdr:row>
      <xdr:rowOff>0</xdr:rowOff>
    </xdr:to>
    <xdr:pic>
      <xdr:nvPicPr>
        <xdr:cNvPr id="46" name="Picture 1" descr="Picture">
          <a:extLst>
            <a:ext uri="{FF2B5EF4-FFF2-40B4-BE49-F238E27FC236}">
              <a16:creationId xmlns:a16="http://schemas.microsoft.com/office/drawing/2014/main" id="{F8202A5F-767C-43AC-99C5-36296C1AE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67950" y="1704975"/>
          <a:ext cx="170512" cy="15240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64</xdr:row>
      <xdr:rowOff>0</xdr:rowOff>
    </xdr:from>
    <xdr:to>
      <xdr:col>32</xdr:col>
      <xdr:colOff>290512</xdr:colOff>
      <xdr:row>65</xdr:row>
      <xdr:rowOff>0</xdr:rowOff>
    </xdr:to>
    <xdr:pic>
      <xdr:nvPicPr>
        <xdr:cNvPr id="47" name="Picture 1" descr="Picture">
          <a:extLst>
            <a:ext uri="{FF2B5EF4-FFF2-40B4-BE49-F238E27FC236}">
              <a16:creationId xmlns:a16="http://schemas.microsoft.com/office/drawing/2014/main" id="{3296CE40-47C1-4BA1-92BF-43B1E29A3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887125" y="1704975"/>
          <a:ext cx="170512" cy="15240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64</xdr:row>
      <xdr:rowOff>0</xdr:rowOff>
    </xdr:from>
    <xdr:to>
      <xdr:col>33</xdr:col>
      <xdr:colOff>290512</xdr:colOff>
      <xdr:row>65</xdr:row>
      <xdr:rowOff>0</xdr:rowOff>
    </xdr:to>
    <xdr:pic>
      <xdr:nvPicPr>
        <xdr:cNvPr id="48" name="Picture 1" descr="Picture">
          <a:extLst>
            <a:ext uri="{FF2B5EF4-FFF2-40B4-BE49-F238E27FC236}">
              <a16:creationId xmlns:a16="http://schemas.microsoft.com/office/drawing/2014/main" id="{FF2477CB-8CA0-4DD2-9FB0-50D28C68A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06300" y="1704975"/>
          <a:ext cx="170512" cy="15240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64</xdr:row>
      <xdr:rowOff>0</xdr:rowOff>
    </xdr:from>
    <xdr:to>
      <xdr:col>35</xdr:col>
      <xdr:colOff>290512</xdr:colOff>
      <xdr:row>65</xdr:row>
      <xdr:rowOff>0</xdr:rowOff>
    </xdr:to>
    <xdr:pic>
      <xdr:nvPicPr>
        <xdr:cNvPr id="49" name="Picture 1" descr="Picture">
          <a:extLst>
            <a:ext uri="{FF2B5EF4-FFF2-40B4-BE49-F238E27FC236}">
              <a16:creationId xmlns:a16="http://schemas.microsoft.com/office/drawing/2014/main" id="{6582E387-4826-43C2-85C2-DC50500E15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1704975"/>
          <a:ext cx="170512" cy="15240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64</xdr:row>
      <xdr:rowOff>0</xdr:rowOff>
    </xdr:from>
    <xdr:to>
      <xdr:col>36</xdr:col>
      <xdr:colOff>290512</xdr:colOff>
      <xdr:row>65</xdr:row>
      <xdr:rowOff>0</xdr:rowOff>
    </xdr:to>
    <xdr:pic>
      <xdr:nvPicPr>
        <xdr:cNvPr id="50" name="Picture 1" descr="Picture">
          <a:extLst>
            <a:ext uri="{FF2B5EF4-FFF2-40B4-BE49-F238E27FC236}">
              <a16:creationId xmlns:a16="http://schemas.microsoft.com/office/drawing/2014/main" id="{4477A639-9F5E-437E-9DCD-A2106A658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1704975"/>
          <a:ext cx="170512" cy="15240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64</xdr:row>
      <xdr:rowOff>0</xdr:rowOff>
    </xdr:from>
    <xdr:to>
      <xdr:col>37</xdr:col>
      <xdr:colOff>290512</xdr:colOff>
      <xdr:row>65</xdr:row>
      <xdr:rowOff>0</xdr:rowOff>
    </xdr:to>
    <xdr:pic>
      <xdr:nvPicPr>
        <xdr:cNvPr id="51" name="Picture 1" descr="Picture">
          <a:extLst>
            <a:ext uri="{FF2B5EF4-FFF2-40B4-BE49-F238E27FC236}">
              <a16:creationId xmlns:a16="http://schemas.microsoft.com/office/drawing/2014/main" id="{314148EA-A14A-49EF-94C2-004553201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1704975"/>
          <a:ext cx="170512" cy="15240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64</xdr:row>
      <xdr:rowOff>0</xdr:rowOff>
    </xdr:from>
    <xdr:to>
      <xdr:col>38</xdr:col>
      <xdr:colOff>290512</xdr:colOff>
      <xdr:row>65</xdr:row>
      <xdr:rowOff>0</xdr:rowOff>
    </xdr:to>
    <xdr:pic>
      <xdr:nvPicPr>
        <xdr:cNvPr id="52" name="Picture 1" descr="Picture">
          <a:extLst>
            <a:ext uri="{FF2B5EF4-FFF2-40B4-BE49-F238E27FC236}">
              <a16:creationId xmlns:a16="http://schemas.microsoft.com/office/drawing/2014/main" id="{4CBAE93A-01FA-4795-AAE2-A9455E157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1704975"/>
          <a:ext cx="170512" cy="15240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64</xdr:row>
      <xdr:rowOff>0</xdr:rowOff>
    </xdr:from>
    <xdr:to>
      <xdr:col>39</xdr:col>
      <xdr:colOff>290512</xdr:colOff>
      <xdr:row>65</xdr:row>
      <xdr:rowOff>0</xdr:rowOff>
    </xdr:to>
    <xdr:pic>
      <xdr:nvPicPr>
        <xdr:cNvPr id="53" name="Picture 1" descr="Picture">
          <a:extLst>
            <a:ext uri="{FF2B5EF4-FFF2-40B4-BE49-F238E27FC236}">
              <a16:creationId xmlns:a16="http://schemas.microsoft.com/office/drawing/2014/main" id="{FEB6E21C-C600-4ED0-A9D4-C5471E6BD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1350" y="1704975"/>
          <a:ext cx="170512" cy="152400"/>
        </a:xfrm>
        <a:prstGeom prst="rect">
          <a:avLst/>
        </a:prstGeom>
      </xdr:spPr>
    </xdr:pic>
    <xdr:clientData/>
  </xdr:twoCellAnchor>
  <xdr:twoCellAnchor>
    <xdr:from>
      <xdr:col>14</xdr:col>
      <xdr:colOff>120000</xdr:colOff>
      <xdr:row>65</xdr:row>
      <xdr:rowOff>0</xdr:rowOff>
    </xdr:from>
    <xdr:to>
      <xdr:col>14</xdr:col>
      <xdr:colOff>290512</xdr:colOff>
      <xdr:row>66</xdr:row>
      <xdr:rowOff>0</xdr:rowOff>
    </xdr:to>
    <xdr:pic>
      <xdr:nvPicPr>
        <xdr:cNvPr id="54" name="Picture 1" descr="Picture">
          <a:extLst>
            <a:ext uri="{FF2B5EF4-FFF2-40B4-BE49-F238E27FC236}">
              <a16:creationId xmlns:a16="http://schemas.microsoft.com/office/drawing/2014/main" id="{074FB92A-38B1-4A94-9919-1EB73A35D1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541975" y="1857375"/>
          <a:ext cx="170512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74</xdr:row>
      <xdr:rowOff>120000</xdr:rowOff>
    </xdr:from>
    <xdr:to>
      <xdr:col>12</xdr:col>
      <xdr:colOff>400050</xdr:colOff>
      <xdr:row>75</xdr:row>
      <xdr:rowOff>0</xdr:rowOff>
    </xdr:to>
    <xdr:pic>
      <xdr:nvPicPr>
        <xdr:cNvPr id="55" name="Picture 1" descr="Picture">
          <a:extLst>
            <a:ext uri="{FF2B5EF4-FFF2-40B4-BE49-F238E27FC236}">
              <a16:creationId xmlns:a16="http://schemas.microsoft.com/office/drawing/2014/main" id="{C4A39313-F050-4EC2-80D3-3B2CF1730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185737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74</xdr:row>
      <xdr:rowOff>120000</xdr:rowOff>
    </xdr:from>
    <xdr:to>
      <xdr:col>24</xdr:col>
      <xdr:colOff>400050</xdr:colOff>
      <xdr:row>75</xdr:row>
      <xdr:rowOff>0</xdr:rowOff>
    </xdr:to>
    <xdr:pic>
      <xdr:nvPicPr>
        <xdr:cNvPr id="56" name="Picture 1" descr="Picture">
          <a:extLst>
            <a:ext uri="{FF2B5EF4-FFF2-40B4-BE49-F238E27FC236}">
              <a16:creationId xmlns:a16="http://schemas.microsoft.com/office/drawing/2014/main" id="{E8C46CEE-F2A2-49C4-8E73-07EEE4AA26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185737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74</xdr:row>
      <xdr:rowOff>120000</xdr:rowOff>
    </xdr:from>
    <xdr:to>
      <xdr:col>25</xdr:col>
      <xdr:colOff>400050</xdr:colOff>
      <xdr:row>75</xdr:row>
      <xdr:rowOff>0</xdr:rowOff>
    </xdr:to>
    <xdr:pic>
      <xdr:nvPicPr>
        <xdr:cNvPr id="57" name="Picture 1" descr="Picture">
          <a:extLst>
            <a:ext uri="{FF2B5EF4-FFF2-40B4-BE49-F238E27FC236}">
              <a16:creationId xmlns:a16="http://schemas.microsoft.com/office/drawing/2014/main" id="{85BC61DA-9591-4C3A-BC5D-E8F5FDB44F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185737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75</xdr:row>
      <xdr:rowOff>120000</xdr:rowOff>
    </xdr:from>
    <xdr:to>
      <xdr:col>12</xdr:col>
      <xdr:colOff>400050</xdr:colOff>
      <xdr:row>76</xdr:row>
      <xdr:rowOff>0</xdr:rowOff>
    </xdr:to>
    <xdr:pic>
      <xdr:nvPicPr>
        <xdr:cNvPr id="58" name="Picture 1" descr="Picture">
          <a:extLst>
            <a:ext uri="{FF2B5EF4-FFF2-40B4-BE49-F238E27FC236}">
              <a16:creationId xmlns:a16="http://schemas.microsoft.com/office/drawing/2014/main" id="{29F4A22B-9CBA-4270-B6DB-0E0BAC652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1857375"/>
          <a:ext cx="50050" cy="0"/>
        </a:xfrm>
        <a:prstGeom prst="rect">
          <a:avLst/>
        </a:prstGeom>
      </xdr:spPr>
    </xdr:pic>
    <xdr:clientData/>
  </xdr:twoCellAnchor>
  <xdr:twoCellAnchor>
    <xdr:from>
      <xdr:col>38</xdr:col>
      <xdr:colOff>350000</xdr:colOff>
      <xdr:row>76</xdr:row>
      <xdr:rowOff>120000</xdr:rowOff>
    </xdr:from>
    <xdr:to>
      <xdr:col>38</xdr:col>
      <xdr:colOff>400050</xdr:colOff>
      <xdr:row>77</xdr:row>
      <xdr:rowOff>0</xdr:rowOff>
    </xdr:to>
    <xdr:pic>
      <xdr:nvPicPr>
        <xdr:cNvPr id="59" name="Picture 1" descr="Picture">
          <a:extLst>
            <a:ext uri="{FF2B5EF4-FFF2-40B4-BE49-F238E27FC236}">
              <a16:creationId xmlns:a16="http://schemas.microsoft.com/office/drawing/2014/main" id="{02FE6246-C05E-43C4-A59A-3AB32F7DD1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232175" y="1857375"/>
          <a:ext cx="50050" cy="0"/>
        </a:xfrm>
        <a:prstGeom prst="rect">
          <a:avLst/>
        </a:prstGeom>
      </xdr:spPr>
    </xdr:pic>
    <xdr:clientData/>
  </xdr:twoCellAnchor>
  <xdr:twoCellAnchor>
    <xdr:from>
      <xdr:col>39</xdr:col>
      <xdr:colOff>350000</xdr:colOff>
      <xdr:row>76</xdr:row>
      <xdr:rowOff>120000</xdr:rowOff>
    </xdr:from>
    <xdr:to>
      <xdr:col>39</xdr:col>
      <xdr:colOff>400050</xdr:colOff>
      <xdr:row>77</xdr:row>
      <xdr:rowOff>0</xdr:rowOff>
    </xdr:to>
    <xdr:pic>
      <xdr:nvPicPr>
        <xdr:cNvPr id="60" name="Picture 1" descr="Picture">
          <a:extLst>
            <a:ext uri="{FF2B5EF4-FFF2-40B4-BE49-F238E27FC236}">
              <a16:creationId xmlns:a16="http://schemas.microsoft.com/office/drawing/2014/main" id="{A7B95E83-E85B-468E-B7AE-3EEA2DFFD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251350" y="1857375"/>
          <a:ext cx="50050" cy="0"/>
        </a:xfrm>
        <a:prstGeom prst="rect">
          <a:avLst/>
        </a:prstGeom>
      </xdr:spPr>
    </xdr:pic>
    <xdr:clientData/>
  </xdr:twoCellAnchor>
  <xdr:twoCellAnchor>
    <xdr:from>
      <xdr:col>40</xdr:col>
      <xdr:colOff>350000</xdr:colOff>
      <xdr:row>76</xdr:row>
      <xdr:rowOff>120000</xdr:rowOff>
    </xdr:from>
    <xdr:to>
      <xdr:col>40</xdr:col>
      <xdr:colOff>400050</xdr:colOff>
      <xdr:row>77</xdr:row>
      <xdr:rowOff>0</xdr:rowOff>
    </xdr:to>
    <xdr:pic>
      <xdr:nvPicPr>
        <xdr:cNvPr id="61" name="Picture 1" descr="Picture">
          <a:extLst>
            <a:ext uri="{FF2B5EF4-FFF2-40B4-BE49-F238E27FC236}">
              <a16:creationId xmlns:a16="http://schemas.microsoft.com/office/drawing/2014/main" id="{DE1CBCB5-982E-4611-BECF-9A425A037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270525" y="185737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77</xdr:row>
      <xdr:rowOff>120000</xdr:rowOff>
    </xdr:from>
    <xdr:to>
      <xdr:col>17</xdr:col>
      <xdr:colOff>400050</xdr:colOff>
      <xdr:row>78</xdr:row>
      <xdr:rowOff>0</xdr:rowOff>
    </xdr:to>
    <xdr:pic>
      <xdr:nvPicPr>
        <xdr:cNvPr id="62" name="Picture 1" descr="Picture">
          <a:extLst>
            <a:ext uri="{FF2B5EF4-FFF2-40B4-BE49-F238E27FC236}">
              <a16:creationId xmlns:a16="http://schemas.microsoft.com/office/drawing/2014/main" id="{BEFBBC50-C289-4EE9-8895-0EA4F7FE5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185737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77</xdr:row>
      <xdr:rowOff>120000</xdr:rowOff>
    </xdr:from>
    <xdr:to>
      <xdr:col>18</xdr:col>
      <xdr:colOff>400050</xdr:colOff>
      <xdr:row>78</xdr:row>
      <xdr:rowOff>0</xdr:rowOff>
    </xdr:to>
    <xdr:pic>
      <xdr:nvPicPr>
        <xdr:cNvPr id="63" name="Picture 1" descr="Picture">
          <a:extLst>
            <a:ext uri="{FF2B5EF4-FFF2-40B4-BE49-F238E27FC236}">
              <a16:creationId xmlns:a16="http://schemas.microsoft.com/office/drawing/2014/main" id="{22AB7B2B-6BA2-4F0D-BEC1-D3E8ED63E4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185737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77</xdr:row>
      <xdr:rowOff>120000</xdr:rowOff>
    </xdr:from>
    <xdr:to>
      <xdr:col>24</xdr:col>
      <xdr:colOff>400050</xdr:colOff>
      <xdr:row>78</xdr:row>
      <xdr:rowOff>0</xdr:rowOff>
    </xdr:to>
    <xdr:pic>
      <xdr:nvPicPr>
        <xdr:cNvPr id="64" name="Picture 1" descr="Picture">
          <a:extLst>
            <a:ext uri="{FF2B5EF4-FFF2-40B4-BE49-F238E27FC236}">
              <a16:creationId xmlns:a16="http://schemas.microsoft.com/office/drawing/2014/main" id="{1FE3C192-E7BF-49A3-B6A8-3A5222B1A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185737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77</xdr:row>
      <xdr:rowOff>120000</xdr:rowOff>
    </xdr:from>
    <xdr:to>
      <xdr:col>25</xdr:col>
      <xdr:colOff>400050</xdr:colOff>
      <xdr:row>78</xdr:row>
      <xdr:rowOff>0</xdr:rowOff>
    </xdr:to>
    <xdr:pic>
      <xdr:nvPicPr>
        <xdr:cNvPr id="65" name="Picture 1" descr="Picture">
          <a:extLst>
            <a:ext uri="{FF2B5EF4-FFF2-40B4-BE49-F238E27FC236}">
              <a16:creationId xmlns:a16="http://schemas.microsoft.com/office/drawing/2014/main" id="{D74E7B35-BD64-4CDE-BC98-82C90C481B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185737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78</xdr:row>
      <xdr:rowOff>120000</xdr:rowOff>
    </xdr:from>
    <xdr:to>
      <xdr:col>12</xdr:col>
      <xdr:colOff>400050</xdr:colOff>
      <xdr:row>79</xdr:row>
      <xdr:rowOff>0</xdr:rowOff>
    </xdr:to>
    <xdr:pic>
      <xdr:nvPicPr>
        <xdr:cNvPr id="66" name="Picture 1" descr="Picture">
          <a:extLst>
            <a:ext uri="{FF2B5EF4-FFF2-40B4-BE49-F238E27FC236}">
              <a16:creationId xmlns:a16="http://schemas.microsoft.com/office/drawing/2014/main" id="{DC4067D7-54CB-426B-B5EE-EEDAB27B8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185737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78</xdr:row>
      <xdr:rowOff>120000</xdr:rowOff>
    </xdr:from>
    <xdr:to>
      <xdr:col>17</xdr:col>
      <xdr:colOff>400050</xdr:colOff>
      <xdr:row>79</xdr:row>
      <xdr:rowOff>0</xdr:rowOff>
    </xdr:to>
    <xdr:pic>
      <xdr:nvPicPr>
        <xdr:cNvPr id="67" name="Picture 1" descr="Picture">
          <a:extLst>
            <a:ext uri="{FF2B5EF4-FFF2-40B4-BE49-F238E27FC236}">
              <a16:creationId xmlns:a16="http://schemas.microsoft.com/office/drawing/2014/main" id="{342C6FF9-2C84-460D-9343-98F4B7521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185737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78</xdr:row>
      <xdr:rowOff>120000</xdr:rowOff>
    </xdr:from>
    <xdr:to>
      <xdr:col>18</xdr:col>
      <xdr:colOff>400050</xdr:colOff>
      <xdr:row>79</xdr:row>
      <xdr:rowOff>0</xdr:rowOff>
    </xdr:to>
    <xdr:pic>
      <xdr:nvPicPr>
        <xdr:cNvPr id="68" name="Picture 1" descr="Picture">
          <a:extLst>
            <a:ext uri="{FF2B5EF4-FFF2-40B4-BE49-F238E27FC236}">
              <a16:creationId xmlns:a16="http://schemas.microsoft.com/office/drawing/2014/main" id="{1592865F-BA49-434B-B7BC-24EBC4E477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1857375"/>
          <a:ext cx="50050" cy="0"/>
        </a:xfrm>
        <a:prstGeom prst="rect">
          <a:avLst/>
        </a:prstGeom>
      </xdr:spPr>
    </xdr:pic>
    <xdr:clientData/>
  </xdr:twoCellAnchor>
  <xdr:twoCellAnchor>
    <xdr:from>
      <xdr:col>38</xdr:col>
      <xdr:colOff>350000</xdr:colOff>
      <xdr:row>78</xdr:row>
      <xdr:rowOff>120000</xdr:rowOff>
    </xdr:from>
    <xdr:to>
      <xdr:col>38</xdr:col>
      <xdr:colOff>400050</xdr:colOff>
      <xdr:row>79</xdr:row>
      <xdr:rowOff>0</xdr:rowOff>
    </xdr:to>
    <xdr:pic>
      <xdr:nvPicPr>
        <xdr:cNvPr id="69" name="Picture 1" descr="Picture">
          <a:extLst>
            <a:ext uri="{FF2B5EF4-FFF2-40B4-BE49-F238E27FC236}">
              <a16:creationId xmlns:a16="http://schemas.microsoft.com/office/drawing/2014/main" id="{993319F0-6723-4B9A-B34E-C95867553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232175" y="1857375"/>
          <a:ext cx="50050" cy="0"/>
        </a:xfrm>
        <a:prstGeom prst="rect">
          <a:avLst/>
        </a:prstGeom>
      </xdr:spPr>
    </xdr:pic>
    <xdr:clientData/>
  </xdr:twoCellAnchor>
  <xdr:twoCellAnchor>
    <xdr:from>
      <xdr:col>39</xdr:col>
      <xdr:colOff>350000</xdr:colOff>
      <xdr:row>78</xdr:row>
      <xdr:rowOff>120000</xdr:rowOff>
    </xdr:from>
    <xdr:to>
      <xdr:col>39</xdr:col>
      <xdr:colOff>400050</xdr:colOff>
      <xdr:row>79</xdr:row>
      <xdr:rowOff>0</xdr:rowOff>
    </xdr:to>
    <xdr:pic>
      <xdr:nvPicPr>
        <xdr:cNvPr id="70" name="Picture 1" descr="Picture">
          <a:extLst>
            <a:ext uri="{FF2B5EF4-FFF2-40B4-BE49-F238E27FC236}">
              <a16:creationId xmlns:a16="http://schemas.microsoft.com/office/drawing/2014/main" id="{0786E1E9-7D2C-4486-B1D0-DA1A91DA4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251350" y="1857375"/>
          <a:ext cx="50050" cy="0"/>
        </a:xfrm>
        <a:prstGeom prst="rect">
          <a:avLst/>
        </a:prstGeom>
      </xdr:spPr>
    </xdr:pic>
    <xdr:clientData/>
  </xdr:twoCellAnchor>
  <xdr:twoCellAnchor>
    <xdr:from>
      <xdr:col>40</xdr:col>
      <xdr:colOff>350000</xdr:colOff>
      <xdr:row>78</xdr:row>
      <xdr:rowOff>120000</xdr:rowOff>
    </xdr:from>
    <xdr:to>
      <xdr:col>40</xdr:col>
      <xdr:colOff>400050</xdr:colOff>
      <xdr:row>79</xdr:row>
      <xdr:rowOff>0</xdr:rowOff>
    </xdr:to>
    <xdr:pic>
      <xdr:nvPicPr>
        <xdr:cNvPr id="71" name="Picture 1" descr="Picture">
          <a:extLst>
            <a:ext uri="{FF2B5EF4-FFF2-40B4-BE49-F238E27FC236}">
              <a16:creationId xmlns:a16="http://schemas.microsoft.com/office/drawing/2014/main" id="{FEBA1C09-9D26-446B-B12F-260960E45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270525" y="185737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79</xdr:row>
      <xdr:rowOff>120000</xdr:rowOff>
    </xdr:from>
    <xdr:to>
      <xdr:col>12</xdr:col>
      <xdr:colOff>400050</xdr:colOff>
      <xdr:row>80</xdr:row>
      <xdr:rowOff>0</xdr:rowOff>
    </xdr:to>
    <xdr:pic>
      <xdr:nvPicPr>
        <xdr:cNvPr id="72" name="Picture 1" descr="Picture">
          <a:extLst>
            <a:ext uri="{FF2B5EF4-FFF2-40B4-BE49-F238E27FC236}">
              <a16:creationId xmlns:a16="http://schemas.microsoft.com/office/drawing/2014/main" id="{FA67B23E-3CE8-4B50-B09E-B506DEA4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185737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79</xdr:row>
      <xdr:rowOff>120000</xdr:rowOff>
    </xdr:from>
    <xdr:to>
      <xdr:col>17</xdr:col>
      <xdr:colOff>400050</xdr:colOff>
      <xdr:row>80</xdr:row>
      <xdr:rowOff>0</xdr:rowOff>
    </xdr:to>
    <xdr:pic>
      <xdr:nvPicPr>
        <xdr:cNvPr id="73" name="Picture 1" descr="Picture">
          <a:extLst>
            <a:ext uri="{FF2B5EF4-FFF2-40B4-BE49-F238E27FC236}">
              <a16:creationId xmlns:a16="http://schemas.microsoft.com/office/drawing/2014/main" id="{157C0E5E-7B63-4204-900D-69AB37609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185737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79</xdr:row>
      <xdr:rowOff>120000</xdr:rowOff>
    </xdr:from>
    <xdr:to>
      <xdr:col>18</xdr:col>
      <xdr:colOff>400050</xdr:colOff>
      <xdr:row>80</xdr:row>
      <xdr:rowOff>0</xdr:rowOff>
    </xdr:to>
    <xdr:pic>
      <xdr:nvPicPr>
        <xdr:cNvPr id="74" name="Picture 1" descr="Picture">
          <a:extLst>
            <a:ext uri="{FF2B5EF4-FFF2-40B4-BE49-F238E27FC236}">
              <a16:creationId xmlns:a16="http://schemas.microsoft.com/office/drawing/2014/main" id="{58CFCCD8-733F-48C3-B77C-EA532C5F5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185737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79</xdr:row>
      <xdr:rowOff>120000</xdr:rowOff>
    </xdr:from>
    <xdr:to>
      <xdr:col>24</xdr:col>
      <xdr:colOff>400050</xdr:colOff>
      <xdr:row>80</xdr:row>
      <xdr:rowOff>0</xdr:rowOff>
    </xdr:to>
    <xdr:pic>
      <xdr:nvPicPr>
        <xdr:cNvPr id="75" name="Picture 1" descr="Picture">
          <a:extLst>
            <a:ext uri="{FF2B5EF4-FFF2-40B4-BE49-F238E27FC236}">
              <a16:creationId xmlns:a16="http://schemas.microsoft.com/office/drawing/2014/main" id="{9431F98F-A846-4759-89EF-A0C67BD2B9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185737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79</xdr:row>
      <xdr:rowOff>120000</xdr:rowOff>
    </xdr:from>
    <xdr:to>
      <xdr:col>25</xdr:col>
      <xdr:colOff>400050</xdr:colOff>
      <xdr:row>80</xdr:row>
      <xdr:rowOff>0</xdr:rowOff>
    </xdr:to>
    <xdr:pic>
      <xdr:nvPicPr>
        <xdr:cNvPr id="76" name="Picture 1" descr="Picture">
          <a:extLst>
            <a:ext uri="{FF2B5EF4-FFF2-40B4-BE49-F238E27FC236}">
              <a16:creationId xmlns:a16="http://schemas.microsoft.com/office/drawing/2014/main" id="{D0A31E17-EEAB-43A7-8A11-19973BB56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1857375"/>
          <a:ext cx="50050" cy="0"/>
        </a:xfrm>
        <a:prstGeom prst="rect">
          <a:avLst/>
        </a:prstGeom>
      </xdr:spPr>
    </xdr:pic>
    <xdr:clientData/>
  </xdr:twoCellAnchor>
  <xdr:twoCellAnchor>
    <xdr:from>
      <xdr:col>38</xdr:col>
      <xdr:colOff>350000</xdr:colOff>
      <xdr:row>79</xdr:row>
      <xdr:rowOff>120000</xdr:rowOff>
    </xdr:from>
    <xdr:to>
      <xdr:col>38</xdr:col>
      <xdr:colOff>400050</xdr:colOff>
      <xdr:row>80</xdr:row>
      <xdr:rowOff>0</xdr:rowOff>
    </xdr:to>
    <xdr:pic>
      <xdr:nvPicPr>
        <xdr:cNvPr id="77" name="Picture 1" descr="Picture">
          <a:extLst>
            <a:ext uri="{FF2B5EF4-FFF2-40B4-BE49-F238E27FC236}">
              <a16:creationId xmlns:a16="http://schemas.microsoft.com/office/drawing/2014/main" id="{030363A8-8FDE-410D-AB91-1564DFD04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232175" y="1857375"/>
          <a:ext cx="50050" cy="0"/>
        </a:xfrm>
        <a:prstGeom prst="rect">
          <a:avLst/>
        </a:prstGeom>
      </xdr:spPr>
    </xdr:pic>
    <xdr:clientData/>
  </xdr:twoCellAnchor>
  <xdr:twoCellAnchor>
    <xdr:from>
      <xdr:col>39</xdr:col>
      <xdr:colOff>350000</xdr:colOff>
      <xdr:row>79</xdr:row>
      <xdr:rowOff>120000</xdr:rowOff>
    </xdr:from>
    <xdr:to>
      <xdr:col>39</xdr:col>
      <xdr:colOff>400050</xdr:colOff>
      <xdr:row>80</xdr:row>
      <xdr:rowOff>0</xdr:rowOff>
    </xdr:to>
    <xdr:pic>
      <xdr:nvPicPr>
        <xdr:cNvPr id="78" name="Picture 1" descr="Picture">
          <a:extLst>
            <a:ext uri="{FF2B5EF4-FFF2-40B4-BE49-F238E27FC236}">
              <a16:creationId xmlns:a16="http://schemas.microsoft.com/office/drawing/2014/main" id="{A984DDBF-2EB8-4BD9-A944-3E4868C33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251350" y="1857375"/>
          <a:ext cx="50050" cy="0"/>
        </a:xfrm>
        <a:prstGeom prst="rect">
          <a:avLst/>
        </a:prstGeom>
      </xdr:spPr>
    </xdr:pic>
    <xdr:clientData/>
  </xdr:twoCellAnchor>
  <xdr:twoCellAnchor>
    <xdr:from>
      <xdr:col>40</xdr:col>
      <xdr:colOff>350000</xdr:colOff>
      <xdr:row>79</xdr:row>
      <xdr:rowOff>120000</xdr:rowOff>
    </xdr:from>
    <xdr:to>
      <xdr:col>40</xdr:col>
      <xdr:colOff>400050</xdr:colOff>
      <xdr:row>80</xdr:row>
      <xdr:rowOff>0</xdr:rowOff>
    </xdr:to>
    <xdr:pic>
      <xdr:nvPicPr>
        <xdr:cNvPr id="79" name="Picture 1" descr="Picture">
          <a:extLst>
            <a:ext uri="{FF2B5EF4-FFF2-40B4-BE49-F238E27FC236}">
              <a16:creationId xmlns:a16="http://schemas.microsoft.com/office/drawing/2014/main" id="{833B6B7E-F350-4FCC-ADD9-EA7D0E9762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270525" y="185737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80</xdr:row>
      <xdr:rowOff>120000</xdr:rowOff>
    </xdr:from>
    <xdr:to>
      <xdr:col>17</xdr:col>
      <xdr:colOff>400050</xdr:colOff>
      <xdr:row>81</xdr:row>
      <xdr:rowOff>0</xdr:rowOff>
    </xdr:to>
    <xdr:pic>
      <xdr:nvPicPr>
        <xdr:cNvPr id="80" name="Picture 1" descr="Picture">
          <a:extLst>
            <a:ext uri="{FF2B5EF4-FFF2-40B4-BE49-F238E27FC236}">
              <a16:creationId xmlns:a16="http://schemas.microsoft.com/office/drawing/2014/main" id="{D3AED97B-AFC8-4759-98CC-34852368C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185737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80</xdr:row>
      <xdr:rowOff>120000</xdr:rowOff>
    </xdr:from>
    <xdr:to>
      <xdr:col>18</xdr:col>
      <xdr:colOff>400050</xdr:colOff>
      <xdr:row>81</xdr:row>
      <xdr:rowOff>0</xdr:rowOff>
    </xdr:to>
    <xdr:pic>
      <xdr:nvPicPr>
        <xdr:cNvPr id="81" name="Picture 1" descr="Picture">
          <a:extLst>
            <a:ext uri="{FF2B5EF4-FFF2-40B4-BE49-F238E27FC236}">
              <a16:creationId xmlns:a16="http://schemas.microsoft.com/office/drawing/2014/main" id="{ACB70AA9-A916-4ABB-BC09-D6FFE8F4A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185737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80</xdr:row>
      <xdr:rowOff>120000</xdr:rowOff>
    </xdr:from>
    <xdr:to>
      <xdr:col>24</xdr:col>
      <xdr:colOff>400050</xdr:colOff>
      <xdr:row>81</xdr:row>
      <xdr:rowOff>0</xdr:rowOff>
    </xdr:to>
    <xdr:pic>
      <xdr:nvPicPr>
        <xdr:cNvPr id="82" name="Picture 1" descr="Picture">
          <a:extLst>
            <a:ext uri="{FF2B5EF4-FFF2-40B4-BE49-F238E27FC236}">
              <a16:creationId xmlns:a16="http://schemas.microsoft.com/office/drawing/2014/main" id="{CA117DC3-51E1-4994-906D-E624F1740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185737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80</xdr:row>
      <xdr:rowOff>120000</xdr:rowOff>
    </xdr:from>
    <xdr:to>
      <xdr:col>25</xdr:col>
      <xdr:colOff>400050</xdr:colOff>
      <xdr:row>81</xdr:row>
      <xdr:rowOff>0</xdr:rowOff>
    </xdr:to>
    <xdr:pic>
      <xdr:nvPicPr>
        <xdr:cNvPr id="83" name="Picture 1" descr="Picture">
          <a:extLst>
            <a:ext uri="{FF2B5EF4-FFF2-40B4-BE49-F238E27FC236}">
              <a16:creationId xmlns:a16="http://schemas.microsoft.com/office/drawing/2014/main" id="{59C9D8EE-121D-4779-B5B6-F6F55C3ED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185737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81</xdr:row>
      <xdr:rowOff>120000</xdr:rowOff>
    </xdr:from>
    <xdr:to>
      <xdr:col>12</xdr:col>
      <xdr:colOff>400050</xdr:colOff>
      <xdr:row>82</xdr:row>
      <xdr:rowOff>0</xdr:rowOff>
    </xdr:to>
    <xdr:pic>
      <xdr:nvPicPr>
        <xdr:cNvPr id="84" name="Picture 1" descr="Picture">
          <a:extLst>
            <a:ext uri="{FF2B5EF4-FFF2-40B4-BE49-F238E27FC236}">
              <a16:creationId xmlns:a16="http://schemas.microsoft.com/office/drawing/2014/main" id="{DB225AB9-C300-473E-BE41-0128018A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185737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81</xdr:row>
      <xdr:rowOff>120000</xdr:rowOff>
    </xdr:from>
    <xdr:to>
      <xdr:col>17</xdr:col>
      <xdr:colOff>400050</xdr:colOff>
      <xdr:row>82</xdr:row>
      <xdr:rowOff>0</xdr:rowOff>
    </xdr:to>
    <xdr:pic>
      <xdr:nvPicPr>
        <xdr:cNvPr id="85" name="Picture 1" descr="Picture">
          <a:extLst>
            <a:ext uri="{FF2B5EF4-FFF2-40B4-BE49-F238E27FC236}">
              <a16:creationId xmlns:a16="http://schemas.microsoft.com/office/drawing/2014/main" id="{6507216E-C070-43B5-9964-587AAD171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185737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81</xdr:row>
      <xdr:rowOff>120000</xdr:rowOff>
    </xdr:from>
    <xdr:to>
      <xdr:col>18</xdr:col>
      <xdr:colOff>400050</xdr:colOff>
      <xdr:row>82</xdr:row>
      <xdr:rowOff>0</xdr:rowOff>
    </xdr:to>
    <xdr:pic>
      <xdr:nvPicPr>
        <xdr:cNvPr id="86" name="Picture 1" descr="Picture">
          <a:extLst>
            <a:ext uri="{FF2B5EF4-FFF2-40B4-BE49-F238E27FC236}">
              <a16:creationId xmlns:a16="http://schemas.microsoft.com/office/drawing/2014/main" id="{0CEC5DDF-FC53-4743-99BE-C1A21FA3E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185737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81</xdr:row>
      <xdr:rowOff>120000</xdr:rowOff>
    </xdr:from>
    <xdr:to>
      <xdr:col>24</xdr:col>
      <xdr:colOff>400050</xdr:colOff>
      <xdr:row>82</xdr:row>
      <xdr:rowOff>0</xdr:rowOff>
    </xdr:to>
    <xdr:pic>
      <xdr:nvPicPr>
        <xdr:cNvPr id="87" name="Picture 1" descr="Picture">
          <a:extLst>
            <a:ext uri="{FF2B5EF4-FFF2-40B4-BE49-F238E27FC236}">
              <a16:creationId xmlns:a16="http://schemas.microsoft.com/office/drawing/2014/main" id="{88DCC9B3-BED2-47D6-9EB6-3F705A0FF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185737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81</xdr:row>
      <xdr:rowOff>120000</xdr:rowOff>
    </xdr:from>
    <xdr:to>
      <xdr:col>25</xdr:col>
      <xdr:colOff>400050</xdr:colOff>
      <xdr:row>82</xdr:row>
      <xdr:rowOff>0</xdr:rowOff>
    </xdr:to>
    <xdr:pic>
      <xdr:nvPicPr>
        <xdr:cNvPr id="88" name="Picture 1" descr="Picture">
          <a:extLst>
            <a:ext uri="{FF2B5EF4-FFF2-40B4-BE49-F238E27FC236}">
              <a16:creationId xmlns:a16="http://schemas.microsoft.com/office/drawing/2014/main" id="{0BBE6C34-D6EC-42A1-AB2E-C37E3C2A3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185737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82</xdr:row>
      <xdr:rowOff>120000</xdr:rowOff>
    </xdr:from>
    <xdr:to>
      <xdr:col>12</xdr:col>
      <xdr:colOff>400050</xdr:colOff>
      <xdr:row>83</xdr:row>
      <xdr:rowOff>0</xdr:rowOff>
    </xdr:to>
    <xdr:pic>
      <xdr:nvPicPr>
        <xdr:cNvPr id="89" name="Picture 1" descr="Picture">
          <a:extLst>
            <a:ext uri="{FF2B5EF4-FFF2-40B4-BE49-F238E27FC236}">
              <a16:creationId xmlns:a16="http://schemas.microsoft.com/office/drawing/2014/main" id="{554377A7-634A-4427-BF4B-8A36B9E5F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185737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82</xdr:row>
      <xdr:rowOff>120000</xdr:rowOff>
    </xdr:from>
    <xdr:to>
      <xdr:col>17</xdr:col>
      <xdr:colOff>400050</xdr:colOff>
      <xdr:row>83</xdr:row>
      <xdr:rowOff>0</xdr:rowOff>
    </xdr:to>
    <xdr:pic>
      <xdr:nvPicPr>
        <xdr:cNvPr id="90" name="Picture 1" descr="Picture">
          <a:extLst>
            <a:ext uri="{FF2B5EF4-FFF2-40B4-BE49-F238E27FC236}">
              <a16:creationId xmlns:a16="http://schemas.microsoft.com/office/drawing/2014/main" id="{FF1DE4AB-EEF6-46D5-8F02-371992159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185737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82</xdr:row>
      <xdr:rowOff>120000</xdr:rowOff>
    </xdr:from>
    <xdr:to>
      <xdr:col>18</xdr:col>
      <xdr:colOff>400050</xdr:colOff>
      <xdr:row>83</xdr:row>
      <xdr:rowOff>0</xdr:rowOff>
    </xdr:to>
    <xdr:pic>
      <xdr:nvPicPr>
        <xdr:cNvPr id="91" name="Picture 1" descr="Picture">
          <a:extLst>
            <a:ext uri="{FF2B5EF4-FFF2-40B4-BE49-F238E27FC236}">
              <a16:creationId xmlns:a16="http://schemas.microsoft.com/office/drawing/2014/main" id="{92761628-44A3-4A63-AEA7-B12500081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185737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82</xdr:row>
      <xdr:rowOff>120000</xdr:rowOff>
    </xdr:from>
    <xdr:to>
      <xdr:col>24</xdr:col>
      <xdr:colOff>400050</xdr:colOff>
      <xdr:row>83</xdr:row>
      <xdr:rowOff>0</xdr:rowOff>
    </xdr:to>
    <xdr:pic>
      <xdr:nvPicPr>
        <xdr:cNvPr id="92" name="Picture 1" descr="Picture">
          <a:extLst>
            <a:ext uri="{FF2B5EF4-FFF2-40B4-BE49-F238E27FC236}">
              <a16:creationId xmlns:a16="http://schemas.microsoft.com/office/drawing/2014/main" id="{B18E75EC-5DFD-421F-A648-EE7B98A99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185737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82</xdr:row>
      <xdr:rowOff>120000</xdr:rowOff>
    </xdr:from>
    <xdr:to>
      <xdr:col>25</xdr:col>
      <xdr:colOff>400050</xdr:colOff>
      <xdr:row>83</xdr:row>
      <xdr:rowOff>0</xdr:rowOff>
    </xdr:to>
    <xdr:pic>
      <xdr:nvPicPr>
        <xdr:cNvPr id="93" name="Picture 1" descr="Picture">
          <a:extLst>
            <a:ext uri="{FF2B5EF4-FFF2-40B4-BE49-F238E27FC236}">
              <a16:creationId xmlns:a16="http://schemas.microsoft.com/office/drawing/2014/main" id="{2FF0EF70-0E17-47F4-AEDD-2F6AA4282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185737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83</xdr:row>
      <xdr:rowOff>120000</xdr:rowOff>
    </xdr:from>
    <xdr:to>
      <xdr:col>12</xdr:col>
      <xdr:colOff>400050</xdr:colOff>
      <xdr:row>84</xdr:row>
      <xdr:rowOff>0</xdr:rowOff>
    </xdr:to>
    <xdr:pic>
      <xdr:nvPicPr>
        <xdr:cNvPr id="94" name="Picture 1" descr="Picture">
          <a:extLst>
            <a:ext uri="{FF2B5EF4-FFF2-40B4-BE49-F238E27FC236}">
              <a16:creationId xmlns:a16="http://schemas.microsoft.com/office/drawing/2014/main" id="{147AE00F-3B24-4795-AB3C-8CBA6EB44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185737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83</xdr:row>
      <xdr:rowOff>120000</xdr:rowOff>
    </xdr:from>
    <xdr:to>
      <xdr:col>17</xdr:col>
      <xdr:colOff>400050</xdr:colOff>
      <xdr:row>84</xdr:row>
      <xdr:rowOff>0</xdr:rowOff>
    </xdr:to>
    <xdr:pic>
      <xdr:nvPicPr>
        <xdr:cNvPr id="95" name="Picture 1" descr="Picture">
          <a:extLst>
            <a:ext uri="{FF2B5EF4-FFF2-40B4-BE49-F238E27FC236}">
              <a16:creationId xmlns:a16="http://schemas.microsoft.com/office/drawing/2014/main" id="{D5D237C1-955C-467B-9DC3-2D1595C2F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185737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83</xdr:row>
      <xdr:rowOff>120000</xdr:rowOff>
    </xdr:from>
    <xdr:to>
      <xdr:col>18</xdr:col>
      <xdr:colOff>400050</xdr:colOff>
      <xdr:row>84</xdr:row>
      <xdr:rowOff>0</xdr:rowOff>
    </xdr:to>
    <xdr:pic>
      <xdr:nvPicPr>
        <xdr:cNvPr id="96" name="Picture 1" descr="Picture">
          <a:extLst>
            <a:ext uri="{FF2B5EF4-FFF2-40B4-BE49-F238E27FC236}">
              <a16:creationId xmlns:a16="http://schemas.microsoft.com/office/drawing/2014/main" id="{49659F27-A423-4054-8A4F-F7EC6C5B9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185737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83</xdr:row>
      <xdr:rowOff>120000</xdr:rowOff>
    </xdr:from>
    <xdr:to>
      <xdr:col>24</xdr:col>
      <xdr:colOff>400050</xdr:colOff>
      <xdr:row>84</xdr:row>
      <xdr:rowOff>0</xdr:rowOff>
    </xdr:to>
    <xdr:pic>
      <xdr:nvPicPr>
        <xdr:cNvPr id="97" name="Picture 1" descr="Picture">
          <a:extLst>
            <a:ext uri="{FF2B5EF4-FFF2-40B4-BE49-F238E27FC236}">
              <a16:creationId xmlns:a16="http://schemas.microsoft.com/office/drawing/2014/main" id="{D847D7C7-51CC-43F7-95B3-138FA62B3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185737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83</xdr:row>
      <xdr:rowOff>120000</xdr:rowOff>
    </xdr:from>
    <xdr:to>
      <xdr:col>25</xdr:col>
      <xdr:colOff>400050</xdr:colOff>
      <xdr:row>84</xdr:row>
      <xdr:rowOff>0</xdr:rowOff>
    </xdr:to>
    <xdr:pic>
      <xdr:nvPicPr>
        <xdr:cNvPr id="98" name="Picture 1" descr="Picture">
          <a:extLst>
            <a:ext uri="{FF2B5EF4-FFF2-40B4-BE49-F238E27FC236}">
              <a16:creationId xmlns:a16="http://schemas.microsoft.com/office/drawing/2014/main" id="{96D51079-3062-478F-B8AF-9A33E259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1857375"/>
          <a:ext cx="50050" cy="0"/>
        </a:xfrm>
        <a:prstGeom prst="rect">
          <a:avLst/>
        </a:prstGeom>
      </xdr:spPr>
    </xdr:pic>
    <xdr:clientData/>
  </xdr:twoCellAnchor>
  <xdr:twoCellAnchor>
    <xdr:from>
      <xdr:col>38</xdr:col>
      <xdr:colOff>350000</xdr:colOff>
      <xdr:row>83</xdr:row>
      <xdr:rowOff>120000</xdr:rowOff>
    </xdr:from>
    <xdr:to>
      <xdr:col>38</xdr:col>
      <xdr:colOff>400050</xdr:colOff>
      <xdr:row>84</xdr:row>
      <xdr:rowOff>0</xdr:rowOff>
    </xdr:to>
    <xdr:pic>
      <xdr:nvPicPr>
        <xdr:cNvPr id="99" name="Picture 1" descr="Picture">
          <a:extLst>
            <a:ext uri="{FF2B5EF4-FFF2-40B4-BE49-F238E27FC236}">
              <a16:creationId xmlns:a16="http://schemas.microsoft.com/office/drawing/2014/main" id="{69B9160D-6604-4D12-81E6-815336E33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232175" y="1857375"/>
          <a:ext cx="50050" cy="0"/>
        </a:xfrm>
        <a:prstGeom prst="rect">
          <a:avLst/>
        </a:prstGeom>
      </xdr:spPr>
    </xdr:pic>
    <xdr:clientData/>
  </xdr:twoCellAnchor>
  <xdr:twoCellAnchor>
    <xdr:from>
      <xdr:col>39</xdr:col>
      <xdr:colOff>350000</xdr:colOff>
      <xdr:row>83</xdr:row>
      <xdr:rowOff>120000</xdr:rowOff>
    </xdr:from>
    <xdr:to>
      <xdr:col>39</xdr:col>
      <xdr:colOff>400050</xdr:colOff>
      <xdr:row>84</xdr:row>
      <xdr:rowOff>0</xdr:rowOff>
    </xdr:to>
    <xdr:pic>
      <xdr:nvPicPr>
        <xdr:cNvPr id="100" name="Picture 1" descr="Picture">
          <a:extLst>
            <a:ext uri="{FF2B5EF4-FFF2-40B4-BE49-F238E27FC236}">
              <a16:creationId xmlns:a16="http://schemas.microsoft.com/office/drawing/2014/main" id="{8D303221-F913-430F-B02A-1DD4F7EB35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251350" y="1857375"/>
          <a:ext cx="50050" cy="0"/>
        </a:xfrm>
        <a:prstGeom prst="rect">
          <a:avLst/>
        </a:prstGeom>
      </xdr:spPr>
    </xdr:pic>
    <xdr:clientData/>
  </xdr:twoCellAnchor>
  <xdr:twoCellAnchor>
    <xdr:from>
      <xdr:col>40</xdr:col>
      <xdr:colOff>350000</xdr:colOff>
      <xdr:row>83</xdr:row>
      <xdr:rowOff>120000</xdr:rowOff>
    </xdr:from>
    <xdr:to>
      <xdr:col>40</xdr:col>
      <xdr:colOff>400050</xdr:colOff>
      <xdr:row>84</xdr:row>
      <xdr:rowOff>0</xdr:rowOff>
    </xdr:to>
    <xdr:pic>
      <xdr:nvPicPr>
        <xdr:cNvPr id="101" name="Picture 1" descr="Picture">
          <a:extLst>
            <a:ext uri="{FF2B5EF4-FFF2-40B4-BE49-F238E27FC236}">
              <a16:creationId xmlns:a16="http://schemas.microsoft.com/office/drawing/2014/main" id="{0D5A0EF6-E597-4EA6-AB2F-125296AE4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270525" y="185737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120000</xdr:colOff>
      <xdr:row>85</xdr:row>
      <xdr:rowOff>0</xdr:rowOff>
    </xdr:from>
    <xdr:to>
      <xdr:col>12</xdr:col>
      <xdr:colOff>290512</xdr:colOff>
      <xdr:row>86</xdr:row>
      <xdr:rowOff>0</xdr:rowOff>
    </xdr:to>
    <xdr:pic>
      <xdr:nvPicPr>
        <xdr:cNvPr id="102" name="Picture 1" descr="Picture">
          <a:extLst>
            <a:ext uri="{FF2B5EF4-FFF2-40B4-BE49-F238E27FC236}">
              <a16:creationId xmlns:a16="http://schemas.microsoft.com/office/drawing/2014/main" id="{615DED2D-877A-4E8E-A99D-A383BDA43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75225" y="1857375"/>
          <a:ext cx="170512" cy="152400"/>
        </a:xfrm>
        <a:prstGeom prst="rect">
          <a:avLst/>
        </a:prstGeom>
      </xdr:spPr>
    </xdr:pic>
    <xdr:clientData/>
  </xdr:twoCellAnchor>
  <xdr:twoCellAnchor>
    <xdr:from>
      <xdr:col>14</xdr:col>
      <xdr:colOff>120000</xdr:colOff>
      <xdr:row>85</xdr:row>
      <xdr:rowOff>0</xdr:rowOff>
    </xdr:from>
    <xdr:to>
      <xdr:col>14</xdr:col>
      <xdr:colOff>290512</xdr:colOff>
      <xdr:row>86</xdr:row>
      <xdr:rowOff>0</xdr:rowOff>
    </xdr:to>
    <xdr:pic>
      <xdr:nvPicPr>
        <xdr:cNvPr id="103" name="Picture 1" descr="Picture">
          <a:extLst>
            <a:ext uri="{FF2B5EF4-FFF2-40B4-BE49-F238E27FC236}">
              <a16:creationId xmlns:a16="http://schemas.microsoft.com/office/drawing/2014/main" id="{F9FA2776-4564-4346-A73B-0E4DBC3334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541975" y="1857375"/>
          <a:ext cx="170512" cy="152400"/>
        </a:xfrm>
        <a:prstGeom prst="rect">
          <a:avLst/>
        </a:prstGeom>
      </xdr:spPr>
    </xdr:pic>
    <xdr:clientData/>
  </xdr:twoCellAnchor>
  <xdr:twoCellAnchor>
    <xdr:from>
      <xdr:col>15</xdr:col>
      <xdr:colOff>120000</xdr:colOff>
      <xdr:row>85</xdr:row>
      <xdr:rowOff>0</xdr:rowOff>
    </xdr:from>
    <xdr:to>
      <xdr:col>15</xdr:col>
      <xdr:colOff>290512</xdr:colOff>
      <xdr:row>86</xdr:row>
      <xdr:rowOff>0</xdr:rowOff>
    </xdr:to>
    <xdr:pic>
      <xdr:nvPicPr>
        <xdr:cNvPr id="104" name="Picture 1" descr="Picture">
          <a:extLst>
            <a:ext uri="{FF2B5EF4-FFF2-40B4-BE49-F238E27FC236}">
              <a16:creationId xmlns:a16="http://schemas.microsoft.com/office/drawing/2014/main" id="{180369A6-917C-4ED0-8391-E3473B21D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561150" y="1857375"/>
          <a:ext cx="170512" cy="152400"/>
        </a:xfrm>
        <a:prstGeom prst="rect">
          <a:avLst/>
        </a:prstGeom>
      </xdr:spPr>
    </xdr:pic>
    <xdr:clientData/>
  </xdr:twoCellAnchor>
  <xdr:twoCellAnchor>
    <xdr:from>
      <xdr:col>17</xdr:col>
      <xdr:colOff>120000</xdr:colOff>
      <xdr:row>85</xdr:row>
      <xdr:rowOff>0</xdr:rowOff>
    </xdr:from>
    <xdr:to>
      <xdr:col>17</xdr:col>
      <xdr:colOff>290512</xdr:colOff>
      <xdr:row>86</xdr:row>
      <xdr:rowOff>0</xdr:rowOff>
    </xdr:to>
    <xdr:pic>
      <xdr:nvPicPr>
        <xdr:cNvPr id="105" name="Picture 1" descr="Picture">
          <a:extLst>
            <a:ext uri="{FF2B5EF4-FFF2-40B4-BE49-F238E27FC236}">
              <a16:creationId xmlns:a16="http://schemas.microsoft.com/office/drawing/2014/main" id="{BE201CD4-0311-42AD-AA1D-46388E3D5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99500" y="1857375"/>
          <a:ext cx="170512" cy="152400"/>
        </a:xfrm>
        <a:prstGeom prst="rect">
          <a:avLst/>
        </a:prstGeom>
      </xdr:spPr>
    </xdr:pic>
    <xdr:clientData/>
  </xdr:twoCellAnchor>
  <xdr:twoCellAnchor>
    <xdr:from>
      <xdr:col>18</xdr:col>
      <xdr:colOff>120000</xdr:colOff>
      <xdr:row>85</xdr:row>
      <xdr:rowOff>0</xdr:rowOff>
    </xdr:from>
    <xdr:to>
      <xdr:col>18</xdr:col>
      <xdr:colOff>290512</xdr:colOff>
      <xdr:row>86</xdr:row>
      <xdr:rowOff>0</xdr:rowOff>
    </xdr:to>
    <xdr:pic>
      <xdr:nvPicPr>
        <xdr:cNvPr id="106" name="Picture 1" descr="Picture">
          <a:extLst>
            <a:ext uri="{FF2B5EF4-FFF2-40B4-BE49-F238E27FC236}">
              <a16:creationId xmlns:a16="http://schemas.microsoft.com/office/drawing/2014/main" id="{6818516A-F773-4A33-B10F-03EB0C811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18675" y="1857375"/>
          <a:ext cx="170512" cy="152400"/>
        </a:xfrm>
        <a:prstGeom prst="rect">
          <a:avLst/>
        </a:prstGeom>
      </xdr:spPr>
    </xdr:pic>
    <xdr:clientData/>
  </xdr:twoCellAnchor>
  <xdr:twoCellAnchor>
    <xdr:from>
      <xdr:col>19</xdr:col>
      <xdr:colOff>120000</xdr:colOff>
      <xdr:row>85</xdr:row>
      <xdr:rowOff>0</xdr:rowOff>
    </xdr:from>
    <xdr:to>
      <xdr:col>19</xdr:col>
      <xdr:colOff>290512</xdr:colOff>
      <xdr:row>86</xdr:row>
      <xdr:rowOff>0</xdr:rowOff>
    </xdr:to>
    <xdr:pic>
      <xdr:nvPicPr>
        <xdr:cNvPr id="107" name="Picture 1" descr="Picture">
          <a:extLst>
            <a:ext uri="{FF2B5EF4-FFF2-40B4-BE49-F238E27FC236}">
              <a16:creationId xmlns:a16="http://schemas.microsoft.com/office/drawing/2014/main" id="{6678AE0A-9576-4E71-BF5C-E0887B9326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37850" y="1857375"/>
          <a:ext cx="170512" cy="15240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85</xdr:row>
      <xdr:rowOff>0</xdr:rowOff>
    </xdr:from>
    <xdr:to>
      <xdr:col>28</xdr:col>
      <xdr:colOff>290512</xdr:colOff>
      <xdr:row>86</xdr:row>
      <xdr:rowOff>0</xdr:rowOff>
    </xdr:to>
    <xdr:pic>
      <xdr:nvPicPr>
        <xdr:cNvPr id="108" name="Picture 1" descr="Picture">
          <a:extLst>
            <a:ext uri="{FF2B5EF4-FFF2-40B4-BE49-F238E27FC236}">
              <a16:creationId xmlns:a16="http://schemas.microsoft.com/office/drawing/2014/main" id="{C081E15D-D278-4CC5-A300-1F712E3F2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810425" y="1857375"/>
          <a:ext cx="170512" cy="15240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85</xdr:row>
      <xdr:rowOff>0</xdr:rowOff>
    </xdr:from>
    <xdr:to>
      <xdr:col>29</xdr:col>
      <xdr:colOff>290512</xdr:colOff>
      <xdr:row>86</xdr:row>
      <xdr:rowOff>0</xdr:rowOff>
    </xdr:to>
    <xdr:pic>
      <xdr:nvPicPr>
        <xdr:cNvPr id="109" name="Picture 1" descr="Picture">
          <a:extLst>
            <a:ext uri="{FF2B5EF4-FFF2-40B4-BE49-F238E27FC236}">
              <a16:creationId xmlns:a16="http://schemas.microsoft.com/office/drawing/2014/main" id="{AEC99629-E364-40CA-A716-DF76423769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29600" y="1857375"/>
          <a:ext cx="170512" cy="15240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85</xdr:row>
      <xdr:rowOff>0</xdr:rowOff>
    </xdr:from>
    <xdr:to>
      <xdr:col>31</xdr:col>
      <xdr:colOff>290512</xdr:colOff>
      <xdr:row>86</xdr:row>
      <xdr:rowOff>0</xdr:rowOff>
    </xdr:to>
    <xdr:pic>
      <xdr:nvPicPr>
        <xdr:cNvPr id="110" name="Picture 1" descr="Picture">
          <a:extLst>
            <a:ext uri="{FF2B5EF4-FFF2-40B4-BE49-F238E27FC236}">
              <a16:creationId xmlns:a16="http://schemas.microsoft.com/office/drawing/2014/main" id="{F73B1781-358A-4F4D-8366-12EA9B5FA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67950" y="1857375"/>
          <a:ext cx="170512" cy="15240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85</xdr:row>
      <xdr:rowOff>0</xdr:rowOff>
    </xdr:from>
    <xdr:to>
      <xdr:col>32</xdr:col>
      <xdr:colOff>290512</xdr:colOff>
      <xdr:row>86</xdr:row>
      <xdr:rowOff>0</xdr:rowOff>
    </xdr:to>
    <xdr:pic>
      <xdr:nvPicPr>
        <xdr:cNvPr id="111" name="Picture 1" descr="Picture">
          <a:extLst>
            <a:ext uri="{FF2B5EF4-FFF2-40B4-BE49-F238E27FC236}">
              <a16:creationId xmlns:a16="http://schemas.microsoft.com/office/drawing/2014/main" id="{81299401-8D4B-4F16-B958-C5716A3DE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887125" y="1857375"/>
          <a:ext cx="170512" cy="15240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85</xdr:row>
      <xdr:rowOff>0</xdr:rowOff>
    </xdr:from>
    <xdr:to>
      <xdr:col>33</xdr:col>
      <xdr:colOff>290512</xdr:colOff>
      <xdr:row>86</xdr:row>
      <xdr:rowOff>0</xdr:rowOff>
    </xdr:to>
    <xdr:pic>
      <xdr:nvPicPr>
        <xdr:cNvPr id="112" name="Picture 1" descr="Picture">
          <a:extLst>
            <a:ext uri="{FF2B5EF4-FFF2-40B4-BE49-F238E27FC236}">
              <a16:creationId xmlns:a16="http://schemas.microsoft.com/office/drawing/2014/main" id="{272D4597-E2BE-4105-9393-903AAE2B2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06300" y="1857375"/>
          <a:ext cx="170512" cy="15240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85</xdr:row>
      <xdr:rowOff>0</xdr:rowOff>
    </xdr:from>
    <xdr:to>
      <xdr:col>40</xdr:col>
      <xdr:colOff>290512</xdr:colOff>
      <xdr:row>86</xdr:row>
      <xdr:rowOff>0</xdr:rowOff>
    </xdr:to>
    <xdr:pic>
      <xdr:nvPicPr>
        <xdr:cNvPr id="113" name="Picture 1" descr="Picture">
          <a:extLst>
            <a:ext uri="{FF2B5EF4-FFF2-40B4-BE49-F238E27FC236}">
              <a16:creationId xmlns:a16="http://schemas.microsoft.com/office/drawing/2014/main" id="{FB0AB1B3-631E-402C-8FE3-7C64A31C09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40525" y="1857375"/>
          <a:ext cx="170512" cy="15240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98</xdr:row>
      <xdr:rowOff>0</xdr:rowOff>
    </xdr:from>
    <xdr:to>
      <xdr:col>31</xdr:col>
      <xdr:colOff>290512</xdr:colOff>
      <xdr:row>99</xdr:row>
      <xdr:rowOff>0</xdr:rowOff>
    </xdr:to>
    <xdr:pic>
      <xdr:nvPicPr>
        <xdr:cNvPr id="114" name="Picture 1" descr="Picture">
          <a:extLst>
            <a:ext uri="{FF2B5EF4-FFF2-40B4-BE49-F238E27FC236}">
              <a16:creationId xmlns:a16="http://schemas.microsoft.com/office/drawing/2014/main" id="{178AE43C-1F5B-4045-89C3-D02704FA7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67950" y="2009775"/>
          <a:ext cx="170512" cy="15240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98</xdr:row>
      <xdr:rowOff>0</xdr:rowOff>
    </xdr:from>
    <xdr:to>
      <xdr:col>32</xdr:col>
      <xdr:colOff>290512</xdr:colOff>
      <xdr:row>99</xdr:row>
      <xdr:rowOff>0</xdr:rowOff>
    </xdr:to>
    <xdr:pic>
      <xdr:nvPicPr>
        <xdr:cNvPr id="115" name="Picture 1" descr="Picture">
          <a:extLst>
            <a:ext uri="{FF2B5EF4-FFF2-40B4-BE49-F238E27FC236}">
              <a16:creationId xmlns:a16="http://schemas.microsoft.com/office/drawing/2014/main" id="{D776CC92-3B08-4858-A7C5-5D944849F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887125" y="2009775"/>
          <a:ext cx="170512" cy="15240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98</xdr:row>
      <xdr:rowOff>0</xdr:rowOff>
    </xdr:from>
    <xdr:to>
      <xdr:col>33</xdr:col>
      <xdr:colOff>290512</xdr:colOff>
      <xdr:row>99</xdr:row>
      <xdr:rowOff>0</xdr:rowOff>
    </xdr:to>
    <xdr:pic>
      <xdr:nvPicPr>
        <xdr:cNvPr id="116" name="Picture 1" descr="Picture">
          <a:extLst>
            <a:ext uri="{FF2B5EF4-FFF2-40B4-BE49-F238E27FC236}">
              <a16:creationId xmlns:a16="http://schemas.microsoft.com/office/drawing/2014/main" id="{2CDDD1B6-91A6-48ED-8F0F-D4391C62B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06300" y="2009775"/>
          <a:ext cx="170512" cy="152400"/>
        </a:xfrm>
        <a:prstGeom prst="rect">
          <a:avLst/>
        </a:prstGeom>
      </xdr:spPr>
    </xdr:pic>
    <xdr:clientData/>
  </xdr:twoCellAnchor>
  <xdr:twoCellAnchor>
    <xdr:from>
      <xdr:col>14</xdr:col>
      <xdr:colOff>120000</xdr:colOff>
      <xdr:row>120</xdr:row>
      <xdr:rowOff>0</xdr:rowOff>
    </xdr:from>
    <xdr:to>
      <xdr:col>14</xdr:col>
      <xdr:colOff>290512</xdr:colOff>
      <xdr:row>121</xdr:row>
      <xdr:rowOff>0</xdr:rowOff>
    </xdr:to>
    <xdr:pic>
      <xdr:nvPicPr>
        <xdr:cNvPr id="117" name="Picture 1" descr="Picture">
          <a:extLst>
            <a:ext uri="{FF2B5EF4-FFF2-40B4-BE49-F238E27FC236}">
              <a16:creationId xmlns:a16="http://schemas.microsoft.com/office/drawing/2014/main" id="{0364EE4C-B9B6-444D-8873-AEDF8ACF7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3541975" y="2162175"/>
          <a:ext cx="170512" cy="209550"/>
        </a:xfrm>
        <a:prstGeom prst="rect">
          <a:avLst/>
        </a:prstGeom>
      </xdr:spPr>
    </xdr:pic>
    <xdr:clientData/>
  </xdr:twoCellAnchor>
  <xdr:twoCellAnchor>
    <xdr:from>
      <xdr:col>15</xdr:col>
      <xdr:colOff>120000</xdr:colOff>
      <xdr:row>120</xdr:row>
      <xdr:rowOff>0</xdr:rowOff>
    </xdr:from>
    <xdr:to>
      <xdr:col>15</xdr:col>
      <xdr:colOff>290512</xdr:colOff>
      <xdr:row>121</xdr:row>
      <xdr:rowOff>0</xdr:rowOff>
    </xdr:to>
    <xdr:pic>
      <xdr:nvPicPr>
        <xdr:cNvPr id="118" name="Picture 1" descr="Picture">
          <a:extLst>
            <a:ext uri="{FF2B5EF4-FFF2-40B4-BE49-F238E27FC236}">
              <a16:creationId xmlns:a16="http://schemas.microsoft.com/office/drawing/2014/main" id="{D407BBE2-2E44-4C89-9945-5CAE9AB36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61150" y="2162175"/>
          <a:ext cx="170512" cy="20955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120</xdr:row>
      <xdr:rowOff>0</xdr:rowOff>
    </xdr:from>
    <xdr:to>
      <xdr:col>29</xdr:col>
      <xdr:colOff>290512</xdr:colOff>
      <xdr:row>121</xdr:row>
      <xdr:rowOff>0</xdr:rowOff>
    </xdr:to>
    <xdr:pic>
      <xdr:nvPicPr>
        <xdr:cNvPr id="119" name="Picture 1" descr="Picture">
          <a:extLst>
            <a:ext uri="{FF2B5EF4-FFF2-40B4-BE49-F238E27FC236}">
              <a16:creationId xmlns:a16="http://schemas.microsoft.com/office/drawing/2014/main" id="{DA82874B-F197-4AD7-B3A1-3C0E33522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29600" y="2162175"/>
          <a:ext cx="170512" cy="20955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120</xdr:row>
      <xdr:rowOff>0</xdr:rowOff>
    </xdr:from>
    <xdr:to>
      <xdr:col>30</xdr:col>
      <xdr:colOff>290512</xdr:colOff>
      <xdr:row>121</xdr:row>
      <xdr:rowOff>0</xdr:rowOff>
    </xdr:to>
    <xdr:pic>
      <xdr:nvPicPr>
        <xdr:cNvPr id="120" name="Picture 1" descr="Picture">
          <a:extLst>
            <a:ext uri="{FF2B5EF4-FFF2-40B4-BE49-F238E27FC236}">
              <a16:creationId xmlns:a16="http://schemas.microsoft.com/office/drawing/2014/main" id="{A18BCFF5-F431-4674-8D8D-BF3844ADA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848775" y="2162175"/>
          <a:ext cx="170512" cy="20955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120</xdr:row>
      <xdr:rowOff>0</xdr:rowOff>
    </xdr:from>
    <xdr:to>
      <xdr:col>31</xdr:col>
      <xdr:colOff>290512</xdr:colOff>
      <xdr:row>121</xdr:row>
      <xdr:rowOff>0</xdr:rowOff>
    </xdr:to>
    <xdr:pic>
      <xdr:nvPicPr>
        <xdr:cNvPr id="121" name="Picture 1" descr="Picture">
          <a:extLst>
            <a:ext uri="{FF2B5EF4-FFF2-40B4-BE49-F238E27FC236}">
              <a16:creationId xmlns:a16="http://schemas.microsoft.com/office/drawing/2014/main" id="{AD989E5A-FB53-4823-B2FB-3A51D8DFA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67950" y="2162175"/>
          <a:ext cx="170512" cy="20955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120</xdr:row>
      <xdr:rowOff>0</xdr:rowOff>
    </xdr:from>
    <xdr:to>
      <xdr:col>35</xdr:col>
      <xdr:colOff>290512</xdr:colOff>
      <xdr:row>121</xdr:row>
      <xdr:rowOff>0</xdr:rowOff>
    </xdr:to>
    <xdr:pic>
      <xdr:nvPicPr>
        <xdr:cNvPr id="122" name="Picture 1" descr="Picture">
          <a:extLst>
            <a:ext uri="{FF2B5EF4-FFF2-40B4-BE49-F238E27FC236}">
              <a16:creationId xmlns:a16="http://schemas.microsoft.com/office/drawing/2014/main" id="{A6AE2363-65E9-49B5-BC45-E2596312ED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2162175"/>
          <a:ext cx="170512" cy="20955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120</xdr:row>
      <xdr:rowOff>0</xdr:rowOff>
    </xdr:from>
    <xdr:to>
      <xdr:col>36</xdr:col>
      <xdr:colOff>290512</xdr:colOff>
      <xdr:row>121</xdr:row>
      <xdr:rowOff>0</xdr:rowOff>
    </xdr:to>
    <xdr:pic>
      <xdr:nvPicPr>
        <xdr:cNvPr id="123" name="Picture 1" descr="Picture">
          <a:extLst>
            <a:ext uri="{FF2B5EF4-FFF2-40B4-BE49-F238E27FC236}">
              <a16:creationId xmlns:a16="http://schemas.microsoft.com/office/drawing/2014/main" id="{D615A85F-B1F0-4091-B0A6-D13C6172C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2162175"/>
          <a:ext cx="170512" cy="20955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120</xdr:row>
      <xdr:rowOff>0</xdr:rowOff>
    </xdr:from>
    <xdr:to>
      <xdr:col>37</xdr:col>
      <xdr:colOff>290512</xdr:colOff>
      <xdr:row>121</xdr:row>
      <xdr:rowOff>0</xdr:rowOff>
    </xdr:to>
    <xdr:pic>
      <xdr:nvPicPr>
        <xdr:cNvPr id="124" name="Picture 1" descr="Picture">
          <a:extLst>
            <a:ext uri="{FF2B5EF4-FFF2-40B4-BE49-F238E27FC236}">
              <a16:creationId xmlns:a16="http://schemas.microsoft.com/office/drawing/2014/main" id="{F562E854-C79A-4D7E-B7C8-B3431A9E3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2162175"/>
          <a:ext cx="170512" cy="20955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120</xdr:row>
      <xdr:rowOff>0</xdr:rowOff>
    </xdr:from>
    <xdr:to>
      <xdr:col>38</xdr:col>
      <xdr:colOff>290512</xdr:colOff>
      <xdr:row>121</xdr:row>
      <xdr:rowOff>0</xdr:rowOff>
    </xdr:to>
    <xdr:pic>
      <xdr:nvPicPr>
        <xdr:cNvPr id="125" name="Picture 1" descr="Picture">
          <a:extLst>
            <a:ext uri="{FF2B5EF4-FFF2-40B4-BE49-F238E27FC236}">
              <a16:creationId xmlns:a16="http://schemas.microsoft.com/office/drawing/2014/main" id="{488502AE-EF1C-4D02-88F6-7784420D6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2162175"/>
          <a:ext cx="170512" cy="20955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120</xdr:row>
      <xdr:rowOff>0</xdr:rowOff>
    </xdr:from>
    <xdr:to>
      <xdr:col>39</xdr:col>
      <xdr:colOff>290512</xdr:colOff>
      <xdr:row>121</xdr:row>
      <xdr:rowOff>0</xdr:rowOff>
    </xdr:to>
    <xdr:pic>
      <xdr:nvPicPr>
        <xdr:cNvPr id="126" name="Picture 1" descr="Picture">
          <a:extLst>
            <a:ext uri="{FF2B5EF4-FFF2-40B4-BE49-F238E27FC236}">
              <a16:creationId xmlns:a16="http://schemas.microsoft.com/office/drawing/2014/main" id="{311FDE4E-9EC8-4BB7-BD9F-B11A1BB1C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21350" y="2162175"/>
          <a:ext cx="170512" cy="20955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120</xdr:row>
      <xdr:rowOff>0</xdr:rowOff>
    </xdr:from>
    <xdr:to>
      <xdr:col>40</xdr:col>
      <xdr:colOff>290512</xdr:colOff>
      <xdr:row>121</xdr:row>
      <xdr:rowOff>0</xdr:rowOff>
    </xdr:to>
    <xdr:pic>
      <xdr:nvPicPr>
        <xdr:cNvPr id="127" name="Picture 1" descr="Picture">
          <a:extLst>
            <a:ext uri="{FF2B5EF4-FFF2-40B4-BE49-F238E27FC236}">
              <a16:creationId xmlns:a16="http://schemas.microsoft.com/office/drawing/2014/main" id="{E8E5A360-4697-47D5-9A31-DC40BE881F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040525" y="2162175"/>
          <a:ext cx="170512" cy="209550"/>
        </a:xfrm>
        <a:prstGeom prst="rect">
          <a:avLst/>
        </a:prstGeom>
      </xdr:spPr>
    </xdr:pic>
    <xdr:clientData/>
  </xdr:twoCellAnchor>
  <xdr:twoCellAnchor>
    <xdr:from>
      <xdr:col>16</xdr:col>
      <xdr:colOff>120000</xdr:colOff>
      <xdr:row>125</xdr:row>
      <xdr:rowOff>0</xdr:rowOff>
    </xdr:from>
    <xdr:to>
      <xdr:col>16</xdr:col>
      <xdr:colOff>290512</xdr:colOff>
      <xdr:row>126</xdr:row>
      <xdr:rowOff>0</xdr:rowOff>
    </xdr:to>
    <xdr:pic>
      <xdr:nvPicPr>
        <xdr:cNvPr id="128" name="Picture 1" descr="Picture">
          <a:extLst>
            <a:ext uri="{FF2B5EF4-FFF2-40B4-BE49-F238E27FC236}">
              <a16:creationId xmlns:a16="http://schemas.microsoft.com/office/drawing/2014/main" id="{7F219B20-8A63-4E20-AC8B-70F6B30F2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80325" y="2371725"/>
          <a:ext cx="170512" cy="152400"/>
        </a:xfrm>
        <a:prstGeom prst="rect">
          <a:avLst/>
        </a:prstGeom>
      </xdr:spPr>
    </xdr:pic>
    <xdr:clientData/>
  </xdr:twoCellAnchor>
  <xdr:twoCellAnchor>
    <xdr:from>
      <xdr:col>17</xdr:col>
      <xdr:colOff>120000</xdr:colOff>
      <xdr:row>125</xdr:row>
      <xdr:rowOff>0</xdr:rowOff>
    </xdr:from>
    <xdr:to>
      <xdr:col>17</xdr:col>
      <xdr:colOff>290512</xdr:colOff>
      <xdr:row>126</xdr:row>
      <xdr:rowOff>0</xdr:rowOff>
    </xdr:to>
    <xdr:pic>
      <xdr:nvPicPr>
        <xdr:cNvPr id="129" name="Picture 1" descr="Picture">
          <a:extLst>
            <a:ext uri="{FF2B5EF4-FFF2-40B4-BE49-F238E27FC236}">
              <a16:creationId xmlns:a16="http://schemas.microsoft.com/office/drawing/2014/main" id="{CA6510C5-80C8-4D82-BD79-AE4E84AC0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99500" y="2371725"/>
          <a:ext cx="170512" cy="152400"/>
        </a:xfrm>
        <a:prstGeom prst="rect">
          <a:avLst/>
        </a:prstGeom>
      </xdr:spPr>
    </xdr:pic>
    <xdr:clientData/>
  </xdr:twoCellAnchor>
  <xdr:twoCellAnchor>
    <xdr:from>
      <xdr:col>18</xdr:col>
      <xdr:colOff>120000</xdr:colOff>
      <xdr:row>125</xdr:row>
      <xdr:rowOff>0</xdr:rowOff>
    </xdr:from>
    <xdr:to>
      <xdr:col>18</xdr:col>
      <xdr:colOff>290512</xdr:colOff>
      <xdr:row>126</xdr:row>
      <xdr:rowOff>0</xdr:rowOff>
    </xdr:to>
    <xdr:pic>
      <xdr:nvPicPr>
        <xdr:cNvPr id="130" name="Picture 1" descr="Picture">
          <a:extLst>
            <a:ext uri="{FF2B5EF4-FFF2-40B4-BE49-F238E27FC236}">
              <a16:creationId xmlns:a16="http://schemas.microsoft.com/office/drawing/2014/main" id="{0C93E961-2D58-4391-9651-12CE7C1DF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18675" y="2371725"/>
          <a:ext cx="170512" cy="152400"/>
        </a:xfrm>
        <a:prstGeom prst="rect">
          <a:avLst/>
        </a:prstGeom>
      </xdr:spPr>
    </xdr:pic>
    <xdr:clientData/>
  </xdr:twoCellAnchor>
  <xdr:twoCellAnchor>
    <xdr:from>
      <xdr:col>19</xdr:col>
      <xdr:colOff>120000</xdr:colOff>
      <xdr:row>125</xdr:row>
      <xdr:rowOff>0</xdr:rowOff>
    </xdr:from>
    <xdr:to>
      <xdr:col>19</xdr:col>
      <xdr:colOff>290512</xdr:colOff>
      <xdr:row>126</xdr:row>
      <xdr:rowOff>0</xdr:rowOff>
    </xdr:to>
    <xdr:pic>
      <xdr:nvPicPr>
        <xdr:cNvPr id="131" name="Picture 1" descr="Picture">
          <a:extLst>
            <a:ext uri="{FF2B5EF4-FFF2-40B4-BE49-F238E27FC236}">
              <a16:creationId xmlns:a16="http://schemas.microsoft.com/office/drawing/2014/main" id="{BDD1CF8B-6481-43DE-8E06-BA3728C3F9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37850" y="2371725"/>
          <a:ext cx="170512" cy="152400"/>
        </a:xfrm>
        <a:prstGeom prst="rect">
          <a:avLst/>
        </a:prstGeom>
      </xdr:spPr>
    </xdr:pic>
    <xdr:clientData/>
  </xdr:twoCellAnchor>
  <xdr:twoCellAnchor>
    <xdr:from>
      <xdr:col>22</xdr:col>
      <xdr:colOff>120000</xdr:colOff>
      <xdr:row>125</xdr:row>
      <xdr:rowOff>0</xdr:rowOff>
    </xdr:from>
    <xdr:to>
      <xdr:col>22</xdr:col>
      <xdr:colOff>290512</xdr:colOff>
      <xdr:row>126</xdr:row>
      <xdr:rowOff>0</xdr:rowOff>
    </xdr:to>
    <xdr:pic>
      <xdr:nvPicPr>
        <xdr:cNvPr id="132" name="Picture 1" descr="Picture">
          <a:extLst>
            <a:ext uri="{FF2B5EF4-FFF2-40B4-BE49-F238E27FC236}">
              <a16:creationId xmlns:a16="http://schemas.microsoft.com/office/drawing/2014/main" id="{FDBD444F-5402-48B0-9FF8-58BAF19C94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695375" y="2371725"/>
          <a:ext cx="170512" cy="152400"/>
        </a:xfrm>
        <a:prstGeom prst="rect">
          <a:avLst/>
        </a:prstGeom>
      </xdr:spPr>
    </xdr:pic>
    <xdr:clientData/>
  </xdr:twoCellAnchor>
  <xdr:twoCellAnchor>
    <xdr:from>
      <xdr:col>23</xdr:col>
      <xdr:colOff>120000</xdr:colOff>
      <xdr:row>125</xdr:row>
      <xdr:rowOff>0</xdr:rowOff>
    </xdr:from>
    <xdr:to>
      <xdr:col>23</xdr:col>
      <xdr:colOff>290512</xdr:colOff>
      <xdr:row>126</xdr:row>
      <xdr:rowOff>0</xdr:rowOff>
    </xdr:to>
    <xdr:pic>
      <xdr:nvPicPr>
        <xdr:cNvPr id="133" name="Picture 1" descr="Picture">
          <a:extLst>
            <a:ext uri="{FF2B5EF4-FFF2-40B4-BE49-F238E27FC236}">
              <a16:creationId xmlns:a16="http://schemas.microsoft.com/office/drawing/2014/main" id="{1E1A0AE7-06D7-47C1-9D34-03A3D6452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14550" y="2371725"/>
          <a:ext cx="170512" cy="152400"/>
        </a:xfrm>
        <a:prstGeom prst="rect">
          <a:avLst/>
        </a:prstGeom>
      </xdr:spPr>
    </xdr:pic>
    <xdr:clientData/>
  </xdr:twoCellAnchor>
  <xdr:twoCellAnchor>
    <xdr:from>
      <xdr:col>24</xdr:col>
      <xdr:colOff>120000</xdr:colOff>
      <xdr:row>125</xdr:row>
      <xdr:rowOff>0</xdr:rowOff>
    </xdr:from>
    <xdr:to>
      <xdr:col>24</xdr:col>
      <xdr:colOff>290512</xdr:colOff>
      <xdr:row>126</xdr:row>
      <xdr:rowOff>0</xdr:rowOff>
    </xdr:to>
    <xdr:pic>
      <xdr:nvPicPr>
        <xdr:cNvPr id="134" name="Picture 1" descr="Picture">
          <a:extLst>
            <a:ext uri="{FF2B5EF4-FFF2-40B4-BE49-F238E27FC236}">
              <a16:creationId xmlns:a16="http://schemas.microsoft.com/office/drawing/2014/main" id="{04AAD36F-538E-4BAA-B6EC-102C9A8B5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33725" y="2371725"/>
          <a:ext cx="170512" cy="152400"/>
        </a:xfrm>
        <a:prstGeom prst="rect">
          <a:avLst/>
        </a:prstGeom>
      </xdr:spPr>
    </xdr:pic>
    <xdr:clientData/>
  </xdr:twoCellAnchor>
  <xdr:twoCellAnchor>
    <xdr:from>
      <xdr:col>25</xdr:col>
      <xdr:colOff>120000</xdr:colOff>
      <xdr:row>125</xdr:row>
      <xdr:rowOff>0</xdr:rowOff>
    </xdr:from>
    <xdr:to>
      <xdr:col>25</xdr:col>
      <xdr:colOff>290512</xdr:colOff>
      <xdr:row>126</xdr:row>
      <xdr:rowOff>0</xdr:rowOff>
    </xdr:to>
    <xdr:pic>
      <xdr:nvPicPr>
        <xdr:cNvPr id="135" name="Picture 1" descr="Picture">
          <a:extLst>
            <a:ext uri="{FF2B5EF4-FFF2-40B4-BE49-F238E27FC236}">
              <a16:creationId xmlns:a16="http://schemas.microsoft.com/office/drawing/2014/main" id="{B552EE02-24B0-4615-9F5A-112413E44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752900" y="2371725"/>
          <a:ext cx="170512" cy="15240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125</xdr:row>
      <xdr:rowOff>0</xdr:rowOff>
    </xdr:from>
    <xdr:to>
      <xdr:col>26</xdr:col>
      <xdr:colOff>290512</xdr:colOff>
      <xdr:row>126</xdr:row>
      <xdr:rowOff>0</xdr:rowOff>
    </xdr:to>
    <xdr:pic>
      <xdr:nvPicPr>
        <xdr:cNvPr id="136" name="Picture 1" descr="Picture">
          <a:extLst>
            <a:ext uri="{FF2B5EF4-FFF2-40B4-BE49-F238E27FC236}">
              <a16:creationId xmlns:a16="http://schemas.microsoft.com/office/drawing/2014/main" id="{4324218B-ADFD-451A-91E3-C9163FD1E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72075" y="2371725"/>
          <a:ext cx="170512" cy="15240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125</xdr:row>
      <xdr:rowOff>0</xdr:rowOff>
    </xdr:from>
    <xdr:to>
      <xdr:col>28</xdr:col>
      <xdr:colOff>290512</xdr:colOff>
      <xdr:row>126</xdr:row>
      <xdr:rowOff>0</xdr:rowOff>
    </xdr:to>
    <xdr:pic>
      <xdr:nvPicPr>
        <xdr:cNvPr id="137" name="Picture 1" descr="Picture">
          <a:extLst>
            <a:ext uri="{FF2B5EF4-FFF2-40B4-BE49-F238E27FC236}">
              <a16:creationId xmlns:a16="http://schemas.microsoft.com/office/drawing/2014/main" id="{755CC45D-938B-48AF-94BF-A2B2A1B66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810425" y="2371725"/>
          <a:ext cx="170512" cy="15240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125</xdr:row>
      <xdr:rowOff>0</xdr:rowOff>
    </xdr:from>
    <xdr:to>
      <xdr:col>29</xdr:col>
      <xdr:colOff>290512</xdr:colOff>
      <xdr:row>126</xdr:row>
      <xdr:rowOff>0</xdr:rowOff>
    </xdr:to>
    <xdr:pic>
      <xdr:nvPicPr>
        <xdr:cNvPr id="138" name="Picture 1" descr="Picture">
          <a:extLst>
            <a:ext uri="{FF2B5EF4-FFF2-40B4-BE49-F238E27FC236}">
              <a16:creationId xmlns:a16="http://schemas.microsoft.com/office/drawing/2014/main" id="{5B9E4A5F-A007-4AEC-AE81-4478C449F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29600" y="2371725"/>
          <a:ext cx="170512" cy="15240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125</xdr:row>
      <xdr:rowOff>0</xdr:rowOff>
    </xdr:from>
    <xdr:to>
      <xdr:col>35</xdr:col>
      <xdr:colOff>290512</xdr:colOff>
      <xdr:row>126</xdr:row>
      <xdr:rowOff>0</xdr:rowOff>
    </xdr:to>
    <xdr:pic>
      <xdr:nvPicPr>
        <xdr:cNvPr id="139" name="Picture 1" descr="Picture">
          <a:extLst>
            <a:ext uri="{FF2B5EF4-FFF2-40B4-BE49-F238E27FC236}">
              <a16:creationId xmlns:a16="http://schemas.microsoft.com/office/drawing/2014/main" id="{33390E76-12B7-4F26-BCF0-2134F317D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2371725"/>
          <a:ext cx="170512" cy="15240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125</xdr:row>
      <xdr:rowOff>0</xdr:rowOff>
    </xdr:from>
    <xdr:to>
      <xdr:col>36</xdr:col>
      <xdr:colOff>290512</xdr:colOff>
      <xdr:row>126</xdr:row>
      <xdr:rowOff>0</xdr:rowOff>
    </xdr:to>
    <xdr:pic>
      <xdr:nvPicPr>
        <xdr:cNvPr id="140" name="Picture 1" descr="Picture">
          <a:extLst>
            <a:ext uri="{FF2B5EF4-FFF2-40B4-BE49-F238E27FC236}">
              <a16:creationId xmlns:a16="http://schemas.microsoft.com/office/drawing/2014/main" id="{AEFA721A-F742-46D0-8470-70C086EA5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2371725"/>
          <a:ext cx="170512" cy="15240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125</xdr:row>
      <xdr:rowOff>0</xdr:rowOff>
    </xdr:from>
    <xdr:to>
      <xdr:col>37</xdr:col>
      <xdr:colOff>290512</xdr:colOff>
      <xdr:row>126</xdr:row>
      <xdr:rowOff>0</xdr:rowOff>
    </xdr:to>
    <xdr:pic>
      <xdr:nvPicPr>
        <xdr:cNvPr id="141" name="Picture 1" descr="Picture">
          <a:extLst>
            <a:ext uri="{FF2B5EF4-FFF2-40B4-BE49-F238E27FC236}">
              <a16:creationId xmlns:a16="http://schemas.microsoft.com/office/drawing/2014/main" id="{B1EE10D9-8F8B-4269-B3CD-F5912A275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2371725"/>
          <a:ext cx="170512" cy="15240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125</xdr:row>
      <xdr:rowOff>0</xdr:rowOff>
    </xdr:from>
    <xdr:to>
      <xdr:col>38</xdr:col>
      <xdr:colOff>290512</xdr:colOff>
      <xdr:row>126</xdr:row>
      <xdr:rowOff>0</xdr:rowOff>
    </xdr:to>
    <xdr:pic>
      <xdr:nvPicPr>
        <xdr:cNvPr id="142" name="Picture 1" descr="Picture">
          <a:extLst>
            <a:ext uri="{FF2B5EF4-FFF2-40B4-BE49-F238E27FC236}">
              <a16:creationId xmlns:a16="http://schemas.microsoft.com/office/drawing/2014/main" id="{2B2201D5-FE3E-4017-9D31-6AA5E4AC0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2371725"/>
          <a:ext cx="170512" cy="15240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125</xdr:row>
      <xdr:rowOff>0</xdr:rowOff>
    </xdr:from>
    <xdr:to>
      <xdr:col>39</xdr:col>
      <xdr:colOff>290512</xdr:colOff>
      <xdr:row>126</xdr:row>
      <xdr:rowOff>0</xdr:rowOff>
    </xdr:to>
    <xdr:pic>
      <xdr:nvPicPr>
        <xdr:cNvPr id="143" name="Picture 1" descr="Picture">
          <a:extLst>
            <a:ext uri="{FF2B5EF4-FFF2-40B4-BE49-F238E27FC236}">
              <a16:creationId xmlns:a16="http://schemas.microsoft.com/office/drawing/2014/main" id="{16222798-C87C-4936-A709-F170E1EB7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1350" y="2371725"/>
          <a:ext cx="170512" cy="15240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125</xdr:row>
      <xdr:rowOff>0</xdr:rowOff>
    </xdr:from>
    <xdr:to>
      <xdr:col>40</xdr:col>
      <xdr:colOff>290512</xdr:colOff>
      <xdr:row>126</xdr:row>
      <xdr:rowOff>0</xdr:rowOff>
    </xdr:to>
    <xdr:pic>
      <xdr:nvPicPr>
        <xdr:cNvPr id="144" name="Picture 1" descr="Picture">
          <a:extLst>
            <a:ext uri="{FF2B5EF4-FFF2-40B4-BE49-F238E27FC236}">
              <a16:creationId xmlns:a16="http://schemas.microsoft.com/office/drawing/2014/main" id="{914B5ED9-5B0A-43F1-B897-B29BD28E0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40525" y="2371725"/>
          <a:ext cx="170512" cy="15240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126</xdr:row>
      <xdr:rowOff>0</xdr:rowOff>
    </xdr:from>
    <xdr:to>
      <xdr:col>35</xdr:col>
      <xdr:colOff>290512</xdr:colOff>
      <xdr:row>127</xdr:row>
      <xdr:rowOff>0</xdr:rowOff>
    </xdr:to>
    <xdr:pic>
      <xdr:nvPicPr>
        <xdr:cNvPr id="145" name="Picture 1" descr="Picture">
          <a:extLst>
            <a:ext uri="{FF2B5EF4-FFF2-40B4-BE49-F238E27FC236}">
              <a16:creationId xmlns:a16="http://schemas.microsoft.com/office/drawing/2014/main" id="{B6D324DC-FBE8-4C28-B37F-AA75B6077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2524125"/>
          <a:ext cx="170512" cy="15240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126</xdr:row>
      <xdr:rowOff>0</xdr:rowOff>
    </xdr:from>
    <xdr:to>
      <xdr:col>36</xdr:col>
      <xdr:colOff>290512</xdr:colOff>
      <xdr:row>127</xdr:row>
      <xdr:rowOff>0</xdr:rowOff>
    </xdr:to>
    <xdr:pic>
      <xdr:nvPicPr>
        <xdr:cNvPr id="146" name="Picture 1" descr="Picture">
          <a:extLst>
            <a:ext uri="{FF2B5EF4-FFF2-40B4-BE49-F238E27FC236}">
              <a16:creationId xmlns:a16="http://schemas.microsoft.com/office/drawing/2014/main" id="{9128A42D-CBD5-445E-910A-7C8D59261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2524125"/>
          <a:ext cx="170512" cy="15240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126</xdr:row>
      <xdr:rowOff>0</xdr:rowOff>
    </xdr:from>
    <xdr:to>
      <xdr:col>38</xdr:col>
      <xdr:colOff>290512</xdr:colOff>
      <xdr:row>127</xdr:row>
      <xdr:rowOff>0</xdr:rowOff>
    </xdr:to>
    <xdr:pic>
      <xdr:nvPicPr>
        <xdr:cNvPr id="147" name="Picture 1" descr="Picture">
          <a:extLst>
            <a:ext uri="{FF2B5EF4-FFF2-40B4-BE49-F238E27FC236}">
              <a16:creationId xmlns:a16="http://schemas.microsoft.com/office/drawing/2014/main" id="{C6FC79CC-D06C-410F-B292-35F8A625C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2524125"/>
          <a:ext cx="170512" cy="15240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126</xdr:row>
      <xdr:rowOff>0</xdr:rowOff>
    </xdr:from>
    <xdr:to>
      <xdr:col>39</xdr:col>
      <xdr:colOff>290512</xdr:colOff>
      <xdr:row>127</xdr:row>
      <xdr:rowOff>0</xdr:rowOff>
    </xdr:to>
    <xdr:pic>
      <xdr:nvPicPr>
        <xdr:cNvPr id="148" name="Picture 1" descr="Picture">
          <a:extLst>
            <a:ext uri="{FF2B5EF4-FFF2-40B4-BE49-F238E27FC236}">
              <a16:creationId xmlns:a16="http://schemas.microsoft.com/office/drawing/2014/main" id="{02336E97-3D24-48E1-97F7-0A0427955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1350" y="2524125"/>
          <a:ext cx="170512" cy="15240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126</xdr:row>
      <xdr:rowOff>0</xdr:rowOff>
    </xdr:from>
    <xdr:to>
      <xdr:col>40</xdr:col>
      <xdr:colOff>290512</xdr:colOff>
      <xdr:row>127</xdr:row>
      <xdr:rowOff>0</xdr:rowOff>
    </xdr:to>
    <xdr:pic>
      <xdr:nvPicPr>
        <xdr:cNvPr id="149" name="Picture 1" descr="Picture">
          <a:extLst>
            <a:ext uri="{FF2B5EF4-FFF2-40B4-BE49-F238E27FC236}">
              <a16:creationId xmlns:a16="http://schemas.microsoft.com/office/drawing/2014/main" id="{4B7BD3D5-E1D4-43C7-8CE5-A60CBF7A2D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40525" y="2524125"/>
          <a:ext cx="170512" cy="152400"/>
        </a:xfrm>
        <a:prstGeom prst="rect">
          <a:avLst/>
        </a:prstGeom>
      </xdr:spPr>
    </xdr:pic>
    <xdr:clientData/>
  </xdr:twoCellAnchor>
  <xdr:twoCellAnchor>
    <xdr:from>
      <xdr:col>23</xdr:col>
      <xdr:colOff>10000</xdr:colOff>
      <xdr:row>129</xdr:row>
      <xdr:rowOff>10000</xdr:rowOff>
    </xdr:from>
    <xdr:to>
      <xdr:col>23</xdr:col>
      <xdr:colOff>466725</xdr:colOff>
      <xdr:row>130</xdr:row>
      <xdr:rowOff>0</xdr:rowOff>
    </xdr:to>
    <xdr:pic>
      <xdr:nvPicPr>
        <xdr:cNvPr id="150" name="Picture 1" descr="Picture">
          <a:extLst>
            <a:ext uri="{FF2B5EF4-FFF2-40B4-BE49-F238E27FC236}">
              <a16:creationId xmlns:a16="http://schemas.microsoft.com/office/drawing/2014/main" id="{70C6E502-80E3-4B55-82FA-C209A2F692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604550" y="2676525"/>
          <a:ext cx="456725" cy="0"/>
        </a:xfrm>
        <a:prstGeom prst="rect">
          <a:avLst/>
        </a:prstGeom>
      </xdr:spPr>
    </xdr:pic>
    <xdr:clientData/>
  </xdr:twoCellAnchor>
  <xdr:twoCellAnchor>
    <xdr:from>
      <xdr:col>24</xdr:col>
      <xdr:colOff>10000</xdr:colOff>
      <xdr:row>129</xdr:row>
      <xdr:rowOff>10000</xdr:rowOff>
    </xdr:from>
    <xdr:to>
      <xdr:col>24</xdr:col>
      <xdr:colOff>466725</xdr:colOff>
      <xdr:row>130</xdr:row>
      <xdr:rowOff>0</xdr:rowOff>
    </xdr:to>
    <xdr:pic>
      <xdr:nvPicPr>
        <xdr:cNvPr id="151" name="Picture 1" descr="Picture">
          <a:extLst>
            <a:ext uri="{FF2B5EF4-FFF2-40B4-BE49-F238E27FC236}">
              <a16:creationId xmlns:a16="http://schemas.microsoft.com/office/drawing/2014/main" id="{C56F0EAB-5BFF-49F8-8435-84289188C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623725" y="2676525"/>
          <a:ext cx="456725" cy="0"/>
        </a:xfrm>
        <a:prstGeom prst="rect">
          <a:avLst/>
        </a:prstGeom>
      </xdr:spPr>
    </xdr:pic>
    <xdr:clientData/>
  </xdr:twoCellAnchor>
  <xdr:twoCellAnchor>
    <xdr:from>
      <xdr:col>12</xdr:col>
      <xdr:colOff>120000</xdr:colOff>
      <xdr:row>148</xdr:row>
      <xdr:rowOff>0</xdr:rowOff>
    </xdr:from>
    <xdr:to>
      <xdr:col>12</xdr:col>
      <xdr:colOff>290512</xdr:colOff>
      <xdr:row>149</xdr:row>
      <xdr:rowOff>0</xdr:rowOff>
    </xdr:to>
    <xdr:pic>
      <xdr:nvPicPr>
        <xdr:cNvPr id="152" name="Picture 1" descr="Picture">
          <a:extLst>
            <a:ext uri="{FF2B5EF4-FFF2-40B4-BE49-F238E27FC236}">
              <a16:creationId xmlns:a16="http://schemas.microsoft.com/office/drawing/2014/main" id="{46D18D59-D332-4C46-9E10-6801FDC45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75225" y="2676525"/>
          <a:ext cx="170512" cy="152400"/>
        </a:xfrm>
        <a:prstGeom prst="rect">
          <a:avLst/>
        </a:prstGeom>
      </xdr:spPr>
    </xdr:pic>
    <xdr:clientData/>
  </xdr:twoCellAnchor>
  <xdr:twoCellAnchor>
    <xdr:from>
      <xdr:col>14</xdr:col>
      <xdr:colOff>120000</xdr:colOff>
      <xdr:row>148</xdr:row>
      <xdr:rowOff>0</xdr:rowOff>
    </xdr:from>
    <xdr:to>
      <xdr:col>14</xdr:col>
      <xdr:colOff>290512</xdr:colOff>
      <xdr:row>149</xdr:row>
      <xdr:rowOff>0</xdr:rowOff>
    </xdr:to>
    <xdr:pic>
      <xdr:nvPicPr>
        <xdr:cNvPr id="153" name="Picture 1" descr="Picture">
          <a:extLst>
            <a:ext uri="{FF2B5EF4-FFF2-40B4-BE49-F238E27FC236}">
              <a16:creationId xmlns:a16="http://schemas.microsoft.com/office/drawing/2014/main" id="{04C463D5-278D-436C-97EE-D903D8EC6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541975" y="2676525"/>
          <a:ext cx="170512" cy="152400"/>
        </a:xfrm>
        <a:prstGeom prst="rect">
          <a:avLst/>
        </a:prstGeom>
      </xdr:spPr>
    </xdr:pic>
    <xdr:clientData/>
  </xdr:twoCellAnchor>
  <xdr:twoCellAnchor>
    <xdr:from>
      <xdr:col>15</xdr:col>
      <xdr:colOff>120000</xdr:colOff>
      <xdr:row>148</xdr:row>
      <xdr:rowOff>0</xdr:rowOff>
    </xdr:from>
    <xdr:to>
      <xdr:col>15</xdr:col>
      <xdr:colOff>290512</xdr:colOff>
      <xdr:row>149</xdr:row>
      <xdr:rowOff>0</xdr:rowOff>
    </xdr:to>
    <xdr:pic>
      <xdr:nvPicPr>
        <xdr:cNvPr id="154" name="Picture 1" descr="Picture">
          <a:extLst>
            <a:ext uri="{FF2B5EF4-FFF2-40B4-BE49-F238E27FC236}">
              <a16:creationId xmlns:a16="http://schemas.microsoft.com/office/drawing/2014/main" id="{3304ECB2-3D27-47A1-A5D1-C6771D96B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561150" y="2676525"/>
          <a:ext cx="170512" cy="152400"/>
        </a:xfrm>
        <a:prstGeom prst="rect">
          <a:avLst/>
        </a:prstGeom>
      </xdr:spPr>
    </xdr:pic>
    <xdr:clientData/>
  </xdr:twoCellAnchor>
  <xdr:twoCellAnchor>
    <xdr:from>
      <xdr:col>16</xdr:col>
      <xdr:colOff>120000</xdr:colOff>
      <xdr:row>148</xdr:row>
      <xdr:rowOff>0</xdr:rowOff>
    </xdr:from>
    <xdr:to>
      <xdr:col>16</xdr:col>
      <xdr:colOff>290512</xdr:colOff>
      <xdr:row>149</xdr:row>
      <xdr:rowOff>0</xdr:rowOff>
    </xdr:to>
    <xdr:pic>
      <xdr:nvPicPr>
        <xdr:cNvPr id="155" name="Picture 1" descr="Picture">
          <a:extLst>
            <a:ext uri="{FF2B5EF4-FFF2-40B4-BE49-F238E27FC236}">
              <a16:creationId xmlns:a16="http://schemas.microsoft.com/office/drawing/2014/main" id="{917DF6B7-FA43-4D6B-A1D9-4E229AD30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80325" y="2676525"/>
          <a:ext cx="170512" cy="152400"/>
        </a:xfrm>
        <a:prstGeom prst="rect">
          <a:avLst/>
        </a:prstGeom>
      </xdr:spPr>
    </xdr:pic>
    <xdr:clientData/>
  </xdr:twoCellAnchor>
  <xdr:twoCellAnchor>
    <xdr:from>
      <xdr:col>17</xdr:col>
      <xdr:colOff>120000</xdr:colOff>
      <xdr:row>148</xdr:row>
      <xdr:rowOff>0</xdr:rowOff>
    </xdr:from>
    <xdr:to>
      <xdr:col>17</xdr:col>
      <xdr:colOff>290512</xdr:colOff>
      <xdr:row>149</xdr:row>
      <xdr:rowOff>0</xdr:rowOff>
    </xdr:to>
    <xdr:pic>
      <xdr:nvPicPr>
        <xdr:cNvPr id="156" name="Picture 1" descr="Picture">
          <a:extLst>
            <a:ext uri="{FF2B5EF4-FFF2-40B4-BE49-F238E27FC236}">
              <a16:creationId xmlns:a16="http://schemas.microsoft.com/office/drawing/2014/main" id="{8F7F8837-4265-4FBC-BBF4-5EFD980F5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99500" y="2676525"/>
          <a:ext cx="170512" cy="152400"/>
        </a:xfrm>
        <a:prstGeom prst="rect">
          <a:avLst/>
        </a:prstGeom>
      </xdr:spPr>
    </xdr:pic>
    <xdr:clientData/>
  </xdr:twoCellAnchor>
  <xdr:twoCellAnchor>
    <xdr:from>
      <xdr:col>22</xdr:col>
      <xdr:colOff>120000</xdr:colOff>
      <xdr:row>148</xdr:row>
      <xdr:rowOff>0</xdr:rowOff>
    </xdr:from>
    <xdr:to>
      <xdr:col>22</xdr:col>
      <xdr:colOff>290512</xdr:colOff>
      <xdr:row>149</xdr:row>
      <xdr:rowOff>0</xdr:rowOff>
    </xdr:to>
    <xdr:pic>
      <xdr:nvPicPr>
        <xdr:cNvPr id="157" name="Picture 1" descr="Picture">
          <a:extLst>
            <a:ext uri="{FF2B5EF4-FFF2-40B4-BE49-F238E27FC236}">
              <a16:creationId xmlns:a16="http://schemas.microsoft.com/office/drawing/2014/main" id="{62A12FF9-E226-4DD1-8878-7BF3B045C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695375" y="2676525"/>
          <a:ext cx="170512" cy="152400"/>
        </a:xfrm>
        <a:prstGeom prst="rect">
          <a:avLst/>
        </a:prstGeom>
      </xdr:spPr>
    </xdr:pic>
    <xdr:clientData/>
  </xdr:twoCellAnchor>
  <xdr:twoCellAnchor>
    <xdr:from>
      <xdr:col>23</xdr:col>
      <xdr:colOff>120000</xdr:colOff>
      <xdr:row>148</xdr:row>
      <xdr:rowOff>0</xdr:rowOff>
    </xdr:from>
    <xdr:to>
      <xdr:col>23</xdr:col>
      <xdr:colOff>290512</xdr:colOff>
      <xdr:row>149</xdr:row>
      <xdr:rowOff>0</xdr:rowOff>
    </xdr:to>
    <xdr:pic>
      <xdr:nvPicPr>
        <xdr:cNvPr id="158" name="Picture 1" descr="Picture">
          <a:extLst>
            <a:ext uri="{FF2B5EF4-FFF2-40B4-BE49-F238E27FC236}">
              <a16:creationId xmlns:a16="http://schemas.microsoft.com/office/drawing/2014/main" id="{702AADE6-27EA-4C40-BA07-D072A05C78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14550" y="2676525"/>
          <a:ext cx="170512" cy="152400"/>
        </a:xfrm>
        <a:prstGeom prst="rect">
          <a:avLst/>
        </a:prstGeom>
      </xdr:spPr>
    </xdr:pic>
    <xdr:clientData/>
  </xdr:twoCellAnchor>
  <xdr:twoCellAnchor>
    <xdr:from>
      <xdr:col>24</xdr:col>
      <xdr:colOff>120000</xdr:colOff>
      <xdr:row>148</xdr:row>
      <xdr:rowOff>0</xdr:rowOff>
    </xdr:from>
    <xdr:to>
      <xdr:col>24</xdr:col>
      <xdr:colOff>290512</xdr:colOff>
      <xdr:row>149</xdr:row>
      <xdr:rowOff>0</xdr:rowOff>
    </xdr:to>
    <xdr:pic>
      <xdr:nvPicPr>
        <xdr:cNvPr id="159" name="Picture 1" descr="Picture">
          <a:extLst>
            <a:ext uri="{FF2B5EF4-FFF2-40B4-BE49-F238E27FC236}">
              <a16:creationId xmlns:a16="http://schemas.microsoft.com/office/drawing/2014/main" id="{E97ABDD6-1F04-4DC2-8FBC-910C5E3C8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33725" y="2676525"/>
          <a:ext cx="170512" cy="152400"/>
        </a:xfrm>
        <a:prstGeom prst="rect">
          <a:avLst/>
        </a:prstGeom>
      </xdr:spPr>
    </xdr:pic>
    <xdr:clientData/>
  </xdr:twoCellAnchor>
  <xdr:twoCellAnchor>
    <xdr:from>
      <xdr:col>25</xdr:col>
      <xdr:colOff>120000</xdr:colOff>
      <xdr:row>148</xdr:row>
      <xdr:rowOff>0</xdr:rowOff>
    </xdr:from>
    <xdr:to>
      <xdr:col>25</xdr:col>
      <xdr:colOff>290512</xdr:colOff>
      <xdr:row>149</xdr:row>
      <xdr:rowOff>0</xdr:rowOff>
    </xdr:to>
    <xdr:pic>
      <xdr:nvPicPr>
        <xdr:cNvPr id="160" name="Picture 1" descr="Picture">
          <a:extLst>
            <a:ext uri="{FF2B5EF4-FFF2-40B4-BE49-F238E27FC236}">
              <a16:creationId xmlns:a16="http://schemas.microsoft.com/office/drawing/2014/main" id="{3694FBE3-9896-4941-9536-89A3208DD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752900" y="2676525"/>
          <a:ext cx="170512" cy="15240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148</xdr:row>
      <xdr:rowOff>0</xdr:rowOff>
    </xdr:from>
    <xdr:to>
      <xdr:col>26</xdr:col>
      <xdr:colOff>290512</xdr:colOff>
      <xdr:row>149</xdr:row>
      <xdr:rowOff>0</xdr:rowOff>
    </xdr:to>
    <xdr:pic>
      <xdr:nvPicPr>
        <xdr:cNvPr id="161" name="Picture 1" descr="Picture">
          <a:extLst>
            <a:ext uri="{FF2B5EF4-FFF2-40B4-BE49-F238E27FC236}">
              <a16:creationId xmlns:a16="http://schemas.microsoft.com/office/drawing/2014/main" id="{258F54D8-1928-4EA3-83D3-C6F50C3955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72075" y="2676525"/>
          <a:ext cx="170512" cy="15240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148</xdr:row>
      <xdr:rowOff>0</xdr:rowOff>
    </xdr:from>
    <xdr:to>
      <xdr:col>28</xdr:col>
      <xdr:colOff>290512</xdr:colOff>
      <xdr:row>149</xdr:row>
      <xdr:rowOff>0</xdr:rowOff>
    </xdr:to>
    <xdr:pic>
      <xdr:nvPicPr>
        <xdr:cNvPr id="162" name="Picture 1" descr="Picture">
          <a:extLst>
            <a:ext uri="{FF2B5EF4-FFF2-40B4-BE49-F238E27FC236}">
              <a16:creationId xmlns:a16="http://schemas.microsoft.com/office/drawing/2014/main" id="{16E8C583-7465-4B03-86AE-69CD9EFA9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810425" y="2676525"/>
          <a:ext cx="170512" cy="15240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148</xdr:row>
      <xdr:rowOff>0</xdr:rowOff>
    </xdr:from>
    <xdr:to>
      <xdr:col>29</xdr:col>
      <xdr:colOff>290512</xdr:colOff>
      <xdr:row>149</xdr:row>
      <xdr:rowOff>0</xdr:rowOff>
    </xdr:to>
    <xdr:pic>
      <xdr:nvPicPr>
        <xdr:cNvPr id="163" name="Picture 1" descr="Picture">
          <a:extLst>
            <a:ext uri="{FF2B5EF4-FFF2-40B4-BE49-F238E27FC236}">
              <a16:creationId xmlns:a16="http://schemas.microsoft.com/office/drawing/2014/main" id="{D74913F4-CBE6-4E03-BF7C-250119724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29600" y="2676525"/>
          <a:ext cx="170512" cy="15240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148</xdr:row>
      <xdr:rowOff>0</xdr:rowOff>
    </xdr:from>
    <xdr:to>
      <xdr:col>30</xdr:col>
      <xdr:colOff>290512</xdr:colOff>
      <xdr:row>149</xdr:row>
      <xdr:rowOff>0</xdr:rowOff>
    </xdr:to>
    <xdr:pic>
      <xdr:nvPicPr>
        <xdr:cNvPr id="164" name="Picture 1" descr="Picture">
          <a:extLst>
            <a:ext uri="{FF2B5EF4-FFF2-40B4-BE49-F238E27FC236}">
              <a16:creationId xmlns:a16="http://schemas.microsoft.com/office/drawing/2014/main" id="{F9B6C542-E7C0-42D8-8697-5FDA102CB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848775" y="2676525"/>
          <a:ext cx="170512" cy="15240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148</xdr:row>
      <xdr:rowOff>0</xdr:rowOff>
    </xdr:from>
    <xdr:to>
      <xdr:col>31</xdr:col>
      <xdr:colOff>290512</xdr:colOff>
      <xdr:row>149</xdr:row>
      <xdr:rowOff>0</xdr:rowOff>
    </xdr:to>
    <xdr:pic>
      <xdr:nvPicPr>
        <xdr:cNvPr id="165" name="Picture 1" descr="Picture">
          <a:extLst>
            <a:ext uri="{FF2B5EF4-FFF2-40B4-BE49-F238E27FC236}">
              <a16:creationId xmlns:a16="http://schemas.microsoft.com/office/drawing/2014/main" id="{D8F08249-CFCA-46F5-B85D-1EEA0B6E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67950" y="2676525"/>
          <a:ext cx="170512" cy="15240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148</xdr:row>
      <xdr:rowOff>0</xdr:rowOff>
    </xdr:from>
    <xdr:to>
      <xdr:col>32</xdr:col>
      <xdr:colOff>290512</xdr:colOff>
      <xdr:row>149</xdr:row>
      <xdr:rowOff>0</xdr:rowOff>
    </xdr:to>
    <xdr:pic>
      <xdr:nvPicPr>
        <xdr:cNvPr id="166" name="Picture 1" descr="Picture">
          <a:extLst>
            <a:ext uri="{FF2B5EF4-FFF2-40B4-BE49-F238E27FC236}">
              <a16:creationId xmlns:a16="http://schemas.microsoft.com/office/drawing/2014/main" id="{A1CEB3A5-09FC-4CBA-BAEB-A9E1BF4FD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887125" y="2676525"/>
          <a:ext cx="170512" cy="15240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148</xdr:row>
      <xdr:rowOff>0</xdr:rowOff>
    </xdr:from>
    <xdr:to>
      <xdr:col>33</xdr:col>
      <xdr:colOff>290512</xdr:colOff>
      <xdr:row>149</xdr:row>
      <xdr:rowOff>0</xdr:rowOff>
    </xdr:to>
    <xdr:pic>
      <xdr:nvPicPr>
        <xdr:cNvPr id="167" name="Picture 1" descr="Picture">
          <a:extLst>
            <a:ext uri="{FF2B5EF4-FFF2-40B4-BE49-F238E27FC236}">
              <a16:creationId xmlns:a16="http://schemas.microsoft.com/office/drawing/2014/main" id="{E98C0B61-9B1C-4B94-AE8B-9F7319583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06300" y="2676525"/>
          <a:ext cx="170512" cy="15240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148</xdr:row>
      <xdr:rowOff>0</xdr:rowOff>
    </xdr:from>
    <xdr:to>
      <xdr:col>35</xdr:col>
      <xdr:colOff>290512</xdr:colOff>
      <xdr:row>149</xdr:row>
      <xdr:rowOff>0</xdr:rowOff>
    </xdr:to>
    <xdr:pic>
      <xdr:nvPicPr>
        <xdr:cNvPr id="168" name="Picture 1" descr="Picture">
          <a:extLst>
            <a:ext uri="{FF2B5EF4-FFF2-40B4-BE49-F238E27FC236}">
              <a16:creationId xmlns:a16="http://schemas.microsoft.com/office/drawing/2014/main" id="{03B67A10-A4FD-43EF-86F2-45DC70DEB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2676525"/>
          <a:ext cx="170512" cy="15240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148</xdr:row>
      <xdr:rowOff>0</xdr:rowOff>
    </xdr:from>
    <xdr:to>
      <xdr:col>36</xdr:col>
      <xdr:colOff>290512</xdr:colOff>
      <xdr:row>149</xdr:row>
      <xdr:rowOff>0</xdr:rowOff>
    </xdr:to>
    <xdr:pic>
      <xdr:nvPicPr>
        <xdr:cNvPr id="169" name="Picture 1" descr="Picture">
          <a:extLst>
            <a:ext uri="{FF2B5EF4-FFF2-40B4-BE49-F238E27FC236}">
              <a16:creationId xmlns:a16="http://schemas.microsoft.com/office/drawing/2014/main" id="{757EDF45-4A0C-470C-9CB4-07AC13C53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2676525"/>
          <a:ext cx="170512" cy="15240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148</xdr:row>
      <xdr:rowOff>0</xdr:rowOff>
    </xdr:from>
    <xdr:to>
      <xdr:col>37</xdr:col>
      <xdr:colOff>290512</xdr:colOff>
      <xdr:row>149</xdr:row>
      <xdr:rowOff>0</xdr:rowOff>
    </xdr:to>
    <xdr:pic>
      <xdr:nvPicPr>
        <xdr:cNvPr id="170" name="Picture 1" descr="Picture">
          <a:extLst>
            <a:ext uri="{FF2B5EF4-FFF2-40B4-BE49-F238E27FC236}">
              <a16:creationId xmlns:a16="http://schemas.microsoft.com/office/drawing/2014/main" id="{FCC48ED2-CF6C-4B57-8DC8-206B188C3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2676525"/>
          <a:ext cx="170512" cy="15240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148</xdr:row>
      <xdr:rowOff>0</xdr:rowOff>
    </xdr:from>
    <xdr:to>
      <xdr:col>38</xdr:col>
      <xdr:colOff>290512</xdr:colOff>
      <xdr:row>149</xdr:row>
      <xdr:rowOff>0</xdr:rowOff>
    </xdr:to>
    <xdr:pic>
      <xdr:nvPicPr>
        <xdr:cNvPr id="171" name="Picture 1" descr="Picture">
          <a:extLst>
            <a:ext uri="{FF2B5EF4-FFF2-40B4-BE49-F238E27FC236}">
              <a16:creationId xmlns:a16="http://schemas.microsoft.com/office/drawing/2014/main" id="{C54E3769-E590-4178-A4C6-630233B321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2676525"/>
          <a:ext cx="170512" cy="15240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148</xdr:row>
      <xdr:rowOff>0</xdr:rowOff>
    </xdr:from>
    <xdr:to>
      <xdr:col>39</xdr:col>
      <xdr:colOff>290512</xdr:colOff>
      <xdr:row>149</xdr:row>
      <xdr:rowOff>0</xdr:rowOff>
    </xdr:to>
    <xdr:pic>
      <xdr:nvPicPr>
        <xdr:cNvPr id="172" name="Picture 1" descr="Picture">
          <a:extLst>
            <a:ext uri="{FF2B5EF4-FFF2-40B4-BE49-F238E27FC236}">
              <a16:creationId xmlns:a16="http://schemas.microsoft.com/office/drawing/2014/main" id="{D8173690-22FC-468F-B800-3688ACE1C2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1350" y="2676525"/>
          <a:ext cx="170512" cy="15240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148</xdr:row>
      <xdr:rowOff>0</xdr:rowOff>
    </xdr:from>
    <xdr:to>
      <xdr:col>40</xdr:col>
      <xdr:colOff>290512</xdr:colOff>
      <xdr:row>149</xdr:row>
      <xdr:rowOff>0</xdr:rowOff>
    </xdr:to>
    <xdr:pic>
      <xdr:nvPicPr>
        <xdr:cNvPr id="173" name="Picture 1" descr="Picture">
          <a:extLst>
            <a:ext uri="{FF2B5EF4-FFF2-40B4-BE49-F238E27FC236}">
              <a16:creationId xmlns:a16="http://schemas.microsoft.com/office/drawing/2014/main" id="{660DC4FE-11F3-4633-8600-B2B2A617F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40525" y="2676525"/>
          <a:ext cx="170512" cy="152400"/>
        </a:xfrm>
        <a:prstGeom prst="rect">
          <a:avLst/>
        </a:prstGeom>
      </xdr:spPr>
    </xdr:pic>
    <xdr:clientData/>
  </xdr:twoCellAnchor>
  <xdr:twoCellAnchor>
    <xdr:from>
      <xdr:col>24</xdr:col>
      <xdr:colOff>120000</xdr:colOff>
      <xdr:row>205</xdr:row>
      <xdr:rowOff>0</xdr:rowOff>
    </xdr:from>
    <xdr:to>
      <xdr:col>24</xdr:col>
      <xdr:colOff>290512</xdr:colOff>
      <xdr:row>206</xdr:row>
      <xdr:rowOff>0</xdr:rowOff>
    </xdr:to>
    <xdr:pic>
      <xdr:nvPicPr>
        <xdr:cNvPr id="174" name="Picture 1" descr="Picture">
          <a:extLst>
            <a:ext uri="{FF2B5EF4-FFF2-40B4-BE49-F238E27FC236}">
              <a16:creationId xmlns:a16="http://schemas.microsoft.com/office/drawing/2014/main" id="{A167B543-418C-4E8D-804A-16B405B5C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33725" y="2828925"/>
          <a:ext cx="170512" cy="152400"/>
        </a:xfrm>
        <a:prstGeom prst="rect">
          <a:avLst/>
        </a:prstGeom>
      </xdr:spPr>
    </xdr:pic>
    <xdr:clientData/>
  </xdr:twoCellAnchor>
  <xdr:twoCellAnchor>
    <xdr:from>
      <xdr:col>25</xdr:col>
      <xdr:colOff>120000</xdr:colOff>
      <xdr:row>205</xdr:row>
      <xdr:rowOff>0</xdr:rowOff>
    </xdr:from>
    <xdr:to>
      <xdr:col>25</xdr:col>
      <xdr:colOff>290512</xdr:colOff>
      <xdr:row>206</xdr:row>
      <xdr:rowOff>0</xdr:rowOff>
    </xdr:to>
    <xdr:pic>
      <xdr:nvPicPr>
        <xdr:cNvPr id="175" name="Picture 1" descr="Picture">
          <a:extLst>
            <a:ext uri="{FF2B5EF4-FFF2-40B4-BE49-F238E27FC236}">
              <a16:creationId xmlns:a16="http://schemas.microsoft.com/office/drawing/2014/main" id="{38B827C7-DBC3-4C6D-9570-8F515B18F9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752900" y="2828925"/>
          <a:ext cx="170512" cy="15240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205</xdr:row>
      <xdr:rowOff>0</xdr:rowOff>
    </xdr:from>
    <xdr:to>
      <xdr:col>26</xdr:col>
      <xdr:colOff>290512</xdr:colOff>
      <xdr:row>206</xdr:row>
      <xdr:rowOff>0</xdr:rowOff>
    </xdr:to>
    <xdr:pic>
      <xdr:nvPicPr>
        <xdr:cNvPr id="176" name="Picture 1" descr="Picture">
          <a:extLst>
            <a:ext uri="{FF2B5EF4-FFF2-40B4-BE49-F238E27FC236}">
              <a16:creationId xmlns:a16="http://schemas.microsoft.com/office/drawing/2014/main" id="{2E5D1430-996C-4D10-9D7D-00AD7BA3AD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72075" y="2828925"/>
          <a:ext cx="170512" cy="15240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205</xdr:row>
      <xdr:rowOff>0</xdr:rowOff>
    </xdr:from>
    <xdr:to>
      <xdr:col>35</xdr:col>
      <xdr:colOff>290512</xdr:colOff>
      <xdr:row>206</xdr:row>
      <xdr:rowOff>0</xdr:rowOff>
    </xdr:to>
    <xdr:pic>
      <xdr:nvPicPr>
        <xdr:cNvPr id="177" name="Picture 1" descr="Picture">
          <a:extLst>
            <a:ext uri="{FF2B5EF4-FFF2-40B4-BE49-F238E27FC236}">
              <a16:creationId xmlns:a16="http://schemas.microsoft.com/office/drawing/2014/main" id="{077EAD8C-423E-4A05-8D67-F98454D83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2828925"/>
          <a:ext cx="170512" cy="15240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205</xdr:row>
      <xdr:rowOff>0</xdr:rowOff>
    </xdr:from>
    <xdr:to>
      <xdr:col>36</xdr:col>
      <xdr:colOff>290512</xdr:colOff>
      <xdr:row>206</xdr:row>
      <xdr:rowOff>0</xdr:rowOff>
    </xdr:to>
    <xdr:pic>
      <xdr:nvPicPr>
        <xdr:cNvPr id="178" name="Picture 1" descr="Picture">
          <a:extLst>
            <a:ext uri="{FF2B5EF4-FFF2-40B4-BE49-F238E27FC236}">
              <a16:creationId xmlns:a16="http://schemas.microsoft.com/office/drawing/2014/main" id="{6CFC9C10-D5B3-4CD4-ADB4-728BF257C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2828925"/>
          <a:ext cx="170512" cy="15240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205</xdr:row>
      <xdr:rowOff>0</xdr:rowOff>
    </xdr:from>
    <xdr:to>
      <xdr:col>37</xdr:col>
      <xdr:colOff>290512</xdr:colOff>
      <xdr:row>206</xdr:row>
      <xdr:rowOff>0</xdr:rowOff>
    </xdr:to>
    <xdr:pic>
      <xdr:nvPicPr>
        <xdr:cNvPr id="179" name="Picture 1" descr="Picture">
          <a:extLst>
            <a:ext uri="{FF2B5EF4-FFF2-40B4-BE49-F238E27FC236}">
              <a16:creationId xmlns:a16="http://schemas.microsoft.com/office/drawing/2014/main" id="{1A71A3D4-25CF-4EC3-826E-E20BEE75A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2828925"/>
          <a:ext cx="170512" cy="152400"/>
        </a:xfrm>
        <a:prstGeom prst="rect">
          <a:avLst/>
        </a:prstGeom>
      </xdr:spPr>
    </xdr:pic>
    <xdr:clientData/>
  </xdr:twoCellAnchor>
  <xdr:twoCellAnchor>
    <xdr:from>
      <xdr:col>23</xdr:col>
      <xdr:colOff>10000</xdr:colOff>
      <xdr:row>234</xdr:row>
      <xdr:rowOff>10000</xdr:rowOff>
    </xdr:from>
    <xdr:to>
      <xdr:col>23</xdr:col>
      <xdr:colOff>466725</xdr:colOff>
      <xdr:row>235</xdr:row>
      <xdr:rowOff>0</xdr:rowOff>
    </xdr:to>
    <xdr:pic>
      <xdr:nvPicPr>
        <xdr:cNvPr id="180" name="Picture 1" descr="Picture">
          <a:extLst>
            <a:ext uri="{FF2B5EF4-FFF2-40B4-BE49-F238E27FC236}">
              <a16:creationId xmlns:a16="http://schemas.microsoft.com/office/drawing/2014/main" id="{9C6275F3-9ACC-4569-B400-9F4F5BDA2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604550" y="2981325"/>
          <a:ext cx="456725" cy="0"/>
        </a:xfrm>
        <a:prstGeom prst="rect">
          <a:avLst/>
        </a:prstGeom>
      </xdr:spPr>
    </xdr:pic>
    <xdr:clientData/>
  </xdr:twoCellAnchor>
  <xdr:twoCellAnchor>
    <xdr:from>
      <xdr:col>24</xdr:col>
      <xdr:colOff>10000</xdr:colOff>
      <xdr:row>234</xdr:row>
      <xdr:rowOff>10000</xdr:rowOff>
    </xdr:from>
    <xdr:to>
      <xdr:col>24</xdr:col>
      <xdr:colOff>466725</xdr:colOff>
      <xdr:row>235</xdr:row>
      <xdr:rowOff>0</xdr:rowOff>
    </xdr:to>
    <xdr:pic>
      <xdr:nvPicPr>
        <xdr:cNvPr id="181" name="Picture 1" descr="Picture">
          <a:extLst>
            <a:ext uri="{FF2B5EF4-FFF2-40B4-BE49-F238E27FC236}">
              <a16:creationId xmlns:a16="http://schemas.microsoft.com/office/drawing/2014/main" id="{FA4D4728-7948-46F3-B4E5-3FB2AACFA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623725" y="2981325"/>
          <a:ext cx="456725" cy="0"/>
        </a:xfrm>
        <a:prstGeom prst="rect">
          <a:avLst/>
        </a:prstGeom>
      </xdr:spPr>
    </xdr:pic>
    <xdr:clientData/>
  </xdr:twoCellAnchor>
  <xdr:twoCellAnchor>
    <xdr:from>
      <xdr:col>22</xdr:col>
      <xdr:colOff>120000</xdr:colOff>
      <xdr:row>235</xdr:row>
      <xdr:rowOff>0</xdr:rowOff>
    </xdr:from>
    <xdr:to>
      <xdr:col>22</xdr:col>
      <xdr:colOff>290512</xdr:colOff>
      <xdr:row>236</xdr:row>
      <xdr:rowOff>0</xdr:rowOff>
    </xdr:to>
    <xdr:pic>
      <xdr:nvPicPr>
        <xdr:cNvPr id="182" name="Picture 1" descr="Picture">
          <a:extLst>
            <a:ext uri="{FF2B5EF4-FFF2-40B4-BE49-F238E27FC236}">
              <a16:creationId xmlns:a16="http://schemas.microsoft.com/office/drawing/2014/main" id="{324FB8BB-E932-4B8D-BBBA-5B54A090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695375" y="2981325"/>
          <a:ext cx="170512" cy="0"/>
        </a:xfrm>
        <a:prstGeom prst="rect">
          <a:avLst/>
        </a:prstGeom>
      </xdr:spPr>
    </xdr:pic>
    <xdr:clientData/>
  </xdr:twoCellAnchor>
  <xdr:twoCellAnchor>
    <xdr:from>
      <xdr:col>23</xdr:col>
      <xdr:colOff>120000</xdr:colOff>
      <xdr:row>235</xdr:row>
      <xdr:rowOff>0</xdr:rowOff>
    </xdr:from>
    <xdr:to>
      <xdr:col>23</xdr:col>
      <xdr:colOff>290512</xdr:colOff>
      <xdr:row>236</xdr:row>
      <xdr:rowOff>0</xdr:rowOff>
    </xdr:to>
    <xdr:pic>
      <xdr:nvPicPr>
        <xdr:cNvPr id="183" name="Picture 1" descr="Picture">
          <a:extLst>
            <a:ext uri="{FF2B5EF4-FFF2-40B4-BE49-F238E27FC236}">
              <a16:creationId xmlns:a16="http://schemas.microsoft.com/office/drawing/2014/main" id="{38C4BBB5-8EEF-4DB3-A404-9DDD627E2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714550" y="2981325"/>
          <a:ext cx="170512" cy="0"/>
        </a:xfrm>
        <a:prstGeom prst="rect">
          <a:avLst/>
        </a:prstGeom>
      </xdr:spPr>
    </xdr:pic>
    <xdr:clientData/>
  </xdr:twoCellAnchor>
  <xdr:twoCellAnchor>
    <xdr:from>
      <xdr:col>24</xdr:col>
      <xdr:colOff>120000</xdr:colOff>
      <xdr:row>235</xdr:row>
      <xdr:rowOff>0</xdr:rowOff>
    </xdr:from>
    <xdr:to>
      <xdr:col>24</xdr:col>
      <xdr:colOff>290512</xdr:colOff>
      <xdr:row>236</xdr:row>
      <xdr:rowOff>0</xdr:rowOff>
    </xdr:to>
    <xdr:pic>
      <xdr:nvPicPr>
        <xdr:cNvPr id="184" name="Picture 1" descr="Picture">
          <a:extLst>
            <a:ext uri="{FF2B5EF4-FFF2-40B4-BE49-F238E27FC236}">
              <a16:creationId xmlns:a16="http://schemas.microsoft.com/office/drawing/2014/main" id="{1FF89054-1A5B-4502-BE16-BE25F25EA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733725" y="2981325"/>
          <a:ext cx="170512" cy="0"/>
        </a:xfrm>
        <a:prstGeom prst="rect">
          <a:avLst/>
        </a:prstGeom>
      </xdr:spPr>
    </xdr:pic>
    <xdr:clientData/>
  </xdr:twoCellAnchor>
  <xdr:twoCellAnchor>
    <xdr:from>
      <xdr:col>25</xdr:col>
      <xdr:colOff>120000</xdr:colOff>
      <xdr:row>235</xdr:row>
      <xdr:rowOff>0</xdr:rowOff>
    </xdr:from>
    <xdr:to>
      <xdr:col>25</xdr:col>
      <xdr:colOff>290512</xdr:colOff>
      <xdr:row>236</xdr:row>
      <xdr:rowOff>0</xdr:rowOff>
    </xdr:to>
    <xdr:pic>
      <xdr:nvPicPr>
        <xdr:cNvPr id="185" name="Picture 1" descr="Picture">
          <a:extLst>
            <a:ext uri="{FF2B5EF4-FFF2-40B4-BE49-F238E27FC236}">
              <a16:creationId xmlns:a16="http://schemas.microsoft.com/office/drawing/2014/main" id="{4DD392A1-317E-4188-8E2B-C55C91A6F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752900" y="2981325"/>
          <a:ext cx="170512" cy="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235</xdr:row>
      <xdr:rowOff>0</xdr:rowOff>
    </xdr:from>
    <xdr:to>
      <xdr:col>26</xdr:col>
      <xdr:colOff>290512</xdr:colOff>
      <xdr:row>236</xdr:row>
      <xdr:rowOff>0</xdr:rowOff>
    </xdr:to>
    <xdr:pic>
      <xdr:nvPicPr>
        <xdr:cNvPr id="186" name="Picture 1" descr="Picture">
          <a:extLst>
            <a:ext uri="{FF2B5EF4-FFF2-40B4-BE49-F238E27FC236}">
              <a16:creationId xmlns:a16="http://schemas.microsoft.com/office/drawing/2014/main" id="{3B61037B-D914-428B-ACB7-C68FE6609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772075" y="2981325"/>
          <a:ext cx="170512" cy="0"/>
        </a:xfrm>
        <a:prstGeom prst="rect">
          <a:avLst/>
        </a:prstGeom>
      </xdr:spPr>
    </xdr:pic>
    <xdr:clientData/>
  </xdr:twoCellAnchor>
  <xdr:twoCellAnchor>
    <xdr:from>
      <xdr:col>11</xdr:col>
      <xdr:colOff>120000</xdr:colOff>
      <xdr:row>237</xdr:row>
      <xdr:rowOff>0</xdr:rowOff>
    </xdr:from>
    <xdr:to>
      <xdr:col>11</xdr:col>
      <xdr:colOff>290512</xdr:colOff>
      <xdr:row>238</xdr:row>
      <xdr:rowOff>0</xdr:rowOff>
    </xdr:to>
    <xdr:pic>
      <xdr:nvPicPr>
        <xdr:cNvPr id="187" name="Picture 1" descr="Picture">
          <a:extLst>
            <a:ext uri="{FF2B5EF4-FFF2-40B4-BE49-F238E27FC236}">
              <a16:creationId xmlns:a16="http://schemas.microsoft.com/office/drawing/2014/main" id="{F53362F0-1E84-44C2-94DD-509D35D15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856050" y="2981325"/>
          <a:ext cx="170512" cy="0"/>
        </a:xfrm>
        <a:prstGeom prst="rect">
          <a:avLst/>
        </a:prstGeom>
      </xdr:spPr>
    </xdr:pic>
    <xdr:clientData/>
  </xdr:twoCellAnchor>
  <xdr:twoCellAnchor>
    <xdr:from>
      <xdr:col>12</xdr:col>
      <xdr:colOff>120000</xdr:colOff>
      <xdr:row>237</xdr:row>
      <xdr:rowOff>0</xdr:rowOff>
    </xdr:from>
    <xdr:to>
      <xdr:col>12</xdr:col>
      <xdr:colOff>290512</xdr:colOff>
      <xdr:row>238</xdr:row>
      <xdr:rowOff>0</xdr:rowOff>
    </xdr:to>
    <xdr:pic>
      <xdr:nvPicPr>
        <xdr:cNvPr id="188" name="Picture 1" descr="Picture">
          <a:extLst>
            <a:ext uri="{FF2B5EF4-FFF2-40B4-BE49-F238E27FC236}">
              <a16:creationId xmlns:a16="http://schemas.microsoft.com/office/drawing/2014/main" id="{50C260B4-0084-45BC-85E6-36ED1D9A0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875225" y="2981325"/>
          <a:ext cx="170512" cy="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239</xdr:row>
      <xdr:rowOff>0</xdr:rowOff>
    </xdr:from>
    <xdr:to>
      <xdr:col>28</xdr:col>
      <xdr:colOff>290512</xdr:colOff>
      <xdr:row>240</xdr:row>
      <xdr:rowOff>0</xdr:rowOff>
    </xdr:to>
    <xdr:pic>
      <xdr:nvPicPr>
        <xdr:cNvPr id="189" name="Picture 1" descr="Picture">
          <a:extLst>
            <a:ext uri="{FF2B5EF4-FFF2-40B4-BE49-F238E27FC236}">
              <a16:creationId xmlns:a16="http://schemas.microsoft.com/office/drawing/2014/main" id="{1A772917-3A3C-427E-B610-3981313A8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810425" y="2981325"/>
          <a:ext cx="170512" cy="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239</xdr:row>
      <xdr:rowOff>0</xdr:rowOff>
    </xdr:from>
    <xdr:to>
      <xdr:col>29</xdr:col>
      <xdr:colOff>290512</xdr:colOff>
      <xdr:row>240</xdr:row>
      <xdr:rowOff>0</xdr:rowOff>
    </xdr:to>
    <xdr:pic>
      <xdr:nvPicPr>
        <xdr:cNvPr id="190" name="Picture 1" descr="Picture">
          <a:extLst>
            <a:ext uri="{FF2B5EF4-FFF2-40B4-BE49-F238E27FC236}">
              <a16:creationId xmlns:a16="http://schemas.microsoft.com/office/drawing/2014/main" id="{F041FCCE-32E0-4480-A42E-67681E294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829600" y="2981325"/>
          <a:ext cx="170512" cy="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239</xdr:row>
      <xdr:rowOff>0</xdr:rowOff>
    </xdr:from>
    <xdr:to>
      <xdr:col>30</xdr:col>
      <xdr:colOff>290512</xdr:colOff>
      <xdr:row>240</xdr:row>
      <xdr:rowOff>0</xdr:rowOff>
    </xdr:to>
    <xdr:pic>
      <xdr:nvPicPr>
        <xdr:cNvPr id="191" name="Picture 1" descr="Picture">
          <a:extLst>
            <a:ext uri="{FF2B5EF4-FFF2-40B4-BE49-F238E27FC236}">
              <a16:creationId xmlns:a16="http://schemas.microsoft.com/office/drawing/2014/main" id="{8407E262-0911-4302-B442-4DF5562039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848775" y="298132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323</xdr:row>
      <xdr:rowOff>0</xdr:rowOff>
    </xdr:from>
    <xdr:to>
      <xdr:col>35</xdr:col>
      <xdr:colOff>290512</xdr:colOff>
      <xdr:row>324</xdr:row>
      <xdr:rowOff>0</xdr:rowOff>
    </xdr:to>
    <xdr:pic>
      <xdr:nvPicPr>
        <xdr:cNvPr id="192" name="Picture 1" descr="Picture">
          <a:extLst>
            <a:ext uri="{FF2B5EF4-FFF2-40B4-BE49-F238E27FC236}">
              <a16:creationId xmlns:a16="http://schemas.microsoft.com/office/drawing/2014/main" id="{2C3DBE91-AC6F-4AD8-A0B3-5A2723374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944650" y="2981325"/>
          <a:ext cx="170512" cy="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323</xdr:row>
      <xdr:rowOff>0</xdr:rowOff>
    </xdr:from>
    <xdr:to>
      <xdr:col>36</xdr:col>
      <xdr:colOff>290512</xdr:colOff>
      <xdr:row>324</xdr:row>
      <xdr:rowOff>0</xdr:rowOff>
    </xdr:to>
    <xdr:pic>
      <xdr:nvPicPr>
        <xdr:cNvPr id="193" name="Picture 1" descr="Picture">
          <a:extLst>
            <a:ext uri="{FF2B5EF4-FFF2-40B4-BE49-F238E27FC236}">
              <a16:creationId xmlns:a16="http://schemas.microsoft.com/office/drawing/2014/main" id="{52A58D51-6478-467B-A57F-15B014738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963825" y="298132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323</xdr:row>
      <xdr:rowOff>0</xdr:rowOff>
    </xdr:from>
    <xdr:to>
      <xdr:col>37</xdr:col>
      <xdr:colOff>290512</xdr:colOff>
      <xdr:row>324</xdr:row>
      <xdr:rowOff>0</xdr:rowOff>
    </xdr:to>
    <xdr:pic>
      <xdr:nvPicPr>
        <xdr:cNvPr id="194" name="Picture 1" descr="Picture">
          <a:extLst>
            <a:ext uri="{FF2B5EF4-FFF2-40B4-BE49-F238E27FC236}">
              <a16:creationId xmlns:a16="http://schemas.microsoft.com/office/drawing/2014/main" id="{DED8C495-7BD8-4767-875F-D11F60220D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983000" y="2981325"/>
          <a:ext cx="170512" cy="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327</xdr:row>
      <xdr:rowOff>0</xdr:rowOff>
    </xdr:from>
    <xdr:to>
      <xdr:col>28</xdr:col>
      <xdr:colOff>290512</xdr:colOff>
      <xdr:row>328</xdr:row>
      <xdr:rowOff>0</xdr:rowOff>
    </xdr:to>
    <xdr:pic>
      <xdr:nvPicPr>
        <xdr:cNvPr id="195" name="Picture 1" descr="Picture">
          <a:extLst>
            <a:ext uri="{FF2B5EF4-FFF2-40B4-BE49-F238E27FC236}">
              <a16:creationId xmlns:a16="http://schemas.microsoft.com/office/drawing/2014/main" id="{A7EFE932-BC9F-4198-B76A-0B1205761F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7810425" y="2981325"/>
          <a:ext cx="170512" cy="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327</xdr:row>
      <xdr:rowOff>0</xdr:rowOff>
    </xdr:from>
    <xdr:to>
      <xdr:col>29</xdr:col>
      <xdr:colOff>290512</xdr:colOff>
      <xdr:row>328</xdr:row>
      <xdr:rowOff>0</xdr:rowOff>
    </xdr:to>
    <xdr:pic>
      <xdr:nvPicPr>
        <xdr:cNvPr id="196" name="Picture 1" descr="Picture">
          <a:extLst>
            <a:ext uri="{FF2B5EF4-FFF2-40B4-BE49-F238E27FC236}">
              <a16:creationId xmlns:a16="http://schemas.microsoft.com/office/drawing/2014/main" id="{F16CB1CE-B2D4-42C2-8447-E4DE878F2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829600" y="2981325"/>
          <a:ext cx="170512" cy="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327</xdr:row>
      <xdr:rowOff>0</xdr:rowOff>
    </xdr:from>
    <xdr:to>
      <xdr:col>30</xdr:col>
      <xdr:colOff>290512</xdr:colOff>
      <xdr:row>328</xdr:row>
      <xdr:rowOff>0</xdr:rowOff>
    </xdr:to>
    <xdr:pic>
      <xdr:nvPicPr>
        <xdr:cNvPr id="197" name="Picture 1" descr="Picture">
          <a:extLst>
            <a:ext uri="{FF2B5EF4-FFF2-40B4-BE49-F238E27FC236}">
              <a16:creationId xmlns:a16="http://schemas.microsoft.com/office/drawing/2014/main" id="{AF3C3068-E5D8-4F8A-92D6-51A1A1FB9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9848775" y="2981325"/>
          <a:ext cx="170512" cy="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327</xdr:row>
      <xdr:rowOff>0</xdr:rowOff>
    </xdr:from>
    <xdr:to>
      <xdr:col>31</xdr:col>
      <xdr:colOff>290512</xdr:colOff>
      <xdr:row>328</xdr:row>
      <xdr:rowOff>0</xdr:rowOff>
    </xdr:to>
    <xdr:pic>
      <xdr:nvPicPr>
        <xdr:cNvPr id="198" name="Picture 1" descr="Picture">
          <a:extLst>
            <a:ext uri="{FF2B5EF4-FFF2-40B4-BE49-F238E27FC236}">
              <a16:creationId xmlns:a16="http://schemas.microsoft.com/office/drawing/2014/main" id="{72C8A280-CD41-4432-86F2-D564FCC48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0867950" y="2981325"/>
          <a:ext cx="170512" cy="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327</xdr:row>
      <xdr:rowOff>0</xdr:rowOff>
    </xdr:from>
    <xdr:to>
      <xdr:col>32</xdr:col>
      <xdr:colOff>290512</xdr:colOff>
      <xdr:row>328</xdr:row>
      <xdr:rowOff>0</xdr:rowOff>
    </xdr:to>
    <xdr:pic>
      <xdr:nvPicPr>
        <xdr:cNvPr id="199" name="Picture 1" descr="Picture">
          <a:extLst>
            <a:ext uri="{FF2B5EF4-FFF2-40B4-BE49-F238E27FC236}">
              <a16:creationId xmlns:a16="http://schemas.microsoft.com/office/drawing/2014/main" id="{B4005C58-B76A-4B3B-876C-B64B55C71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887125" y="2981325"/>
          <a:ext cx="170512" cy="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327</xdr:row>
      <xdr:rowOff>0</xdr:rowOff>
    </xdr:from>
    <xdr:to>
      <xdr:col>33</xdr:col>
      <xdr:colOff>290512</xdr:colOff>
      <xdr:row>328</xdr:row>
      <xdr:rowOff>0</xdr:rowOff>
    </xdr:to>
    <xdr:pic>
      <xdr:nvPicPr>
        <xdr:cNvPr id="200" name="Picture 1" descr="Picture">
          <a:extLst>
            <a:ext uri="{FF2B5EF4-FFF2-40B4-BE49-F238E27FC236}">
              <a16:creationId xmlns:a16="http://schemas.microsoft.com/office/drawing/2014/main" id="{EB57C654-D00A-4866-8FD9-AC34F913A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906300" y="2981325"/>
          <a:ext cx="170512" cy="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14</xdr:col>
      <xdr:colOff>362139</xdr:colOff>
      <xdr:row>4</xdr:row>
      <xdr:rowOff>0</xdr:rowOff>
    </xdr:to>
    <xdr:sp macro="" textlink="">
      <xdr:nvSpPr>
        <xdr:cNvPr id="5" name="AutoShape 34">
          <a:extLst>
            <a:ext uri="{FF2B5EF4-FFF2-40B4-BE49-F238E27FC236}">
              <a16:creationId xmlns:a16="http://schemas.microsoft.com/office/drawing/2014/main" id="{0AF8AE51-8B4B-4E17-A6C9-25EF118BDC90}"/>
            </a:ext>
          </a:extLst>
        </xdr:cNvPr>
        <xdr:cNvSpPr>
          <a:spLocks noChangeArrowheads="1"/>
        </xdr:cNvSpPr>
      </xdr:nvSpPr>
      <xdr:spPr bwMode="auto">
        <a:xfrm>
          <a:off x="16640175" y="0"/>
          <a:ext cx="7143939" cy="1066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120000</xdr:colOff>
      <xdr:row>16</xdr:row>
      <xdr:rowOff>0</xdr:rowOff>
    </xdr:from>
    <xdr:to>
      <xdr:col>14</xdr:col>
      <xdr:colOff>290512</xdr:colOff>
      <xdr:row>17</xdr:row>
      <xdr:rowOff>0</xdr:rowOff>
    </xdr:to>
    <xdr:pic>
      <xdr:nvPicPr>
        <xdr:cNvPr id="6" name="Picture 1" descr="Picture">
          <a:extLst>
            <a:ext uri="{FF2B5EF4-FFF2-40B4-BE49-F238E27FC236}">
              <a16:creationId xmlns:a16="http://schemas.microsoft.com/office/drawing/2014/main" id="{3738F7C3-0D3D-4AD2-8FBF-0068AD15F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541975" y="1400175"/>
          <a:ext cx="170512" cy="0"/>
        </a:xfrm>
        <a:prstGeom prst="rect">
          <a:avLst/>
        </a:prstGeom>
      </xdr:spPr>
    </xdr:pic>
    <xdr:clientData/>
  </xdr:twoCellAnchor>
  <xdr:twoCellAnchor>
    <xdr:from>
      <xdr:col>15</xdr:col>
      <xdr:colOff>120000</xdr:colOff>
      <xdr:row>16</xdr:row>
      <xdr:rowOff>0</xdr:rowOff>
    </xdr:from>
    <xdr:to>
      <xdr:col>15</xdr:col>
      <xdr:colOff>290512</xdr:colOff>
      <xdr:row>17</xdr:row>
      <xdr:rowOff>0</xdr:rowOff>
    </xdr:to>
    <xdr:pic>
      <xdr:nvPicPr>
        <xdr:cNvPr id="7" name="Picture 1" descr="Picture">
          <a:extLst>
            <a:ext uri="{FF2B5EF4-FFF2-40B4-BE49-F238E27FC236}">
              <a16:creationId xmlns:a16="http://schemas.microsoft.com/office/drawing/2014/main" id="{F39D2FBE-7359-4DB0-BA08-FFF95200A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561150" y="1400175"/>
          <a:ext cx="170512" cy="0"/>
        </a:xfrm>
        <a:prstGeom prst="rect">
          <a:avLst/>
        </a:prstGeom>
      </xdr:spPr>
    </xdr:pic>
    <xdr:clientData/>
  </xdr:twoCellAnchor>
  <xdr:twoCellAnchor>
    <xdr:from>
      <xdr:col>16</xdr:col>
      <xdr:colOff>120000</xdr:colOff>
      <xdr:row>16</xdr:row>
      <xdr:rowOff>0</xdr:rowOff>
    </xdr:from>
    <xdr:to>
      <xdr:col>16</xdr:col>
      <xdr:colOff>290512</xdr:colOff>
      <xdr:row>17</xdr:row>
      <xdr:rowOff>0</xdr:rowOff>
    </xdr:to>
    <xdr:pic>
      <xdr:nvPicPr>
        <xdr:cNvPr id="8" name="Picture 1" descr="Picture">
          <a:extLst>
            <a:ext uri="{FF2B5EF4-FFF2-40B4-BE49-F238E27FC236}">
              <a16:creationId xmlns:a16="http://schemas.microsoft.com/office/drawing/2014/main" id="{BE1CCF22-EEA9-48F6-BD57-8899A8394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80325" y="1400175"/>
          <a:ext cx="170512" cy="0"/>
        </a:xfrm>
        <a:prstGeom prst="rect">
          <a:avLst/>
        </a:prstGeom>
      </xdr:spPr>
    </xdr:pic>
    <xdr:clientData/>
  </xdr:twoCellAnchor>
  <xdr:twoCellAnchor>
    <xdr:from>
      <xdr:col>17</xdr:col>
      <xdr:colOff>120000</xdr:colOff>
      <xdr:row>16</xdr:row>
      <xdr:rowOff>0</xdr:rowOff>
    </xdr:from>
    <xdr:to>
      <xdr:col>17</xdr:col>
      <xdr:colOff>290512</xdr:colOff>
      <xdr:row>17</xdr:row>
      <xdr:rowOff>0</xdr:rowOff>
    </xdr:to>
    <xdr:pic>
      <xdr:nvPicPr>
        <xdr:cNvPr id="9" name="Picture 1" descr="Picture">
          <a:extLst>
            <a:ext uri="{FF2B5EF4-FFF2-40B4-BE49-F238E27FC236}">
              <a16:creationId xmlns:a16="http://schemas.microsoft.com/office/drawing/2014/main" id="{B6DE5F05-47CB-46B8-8D39-BA88D2735D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99500" y="1400175"/>
          <a:ext cx="170512" cy="0"/>
        </a:xfrm>
        <a:prstGeom prst="rect">
          <a:avLst/>
        </a:prstGeom>
      </xdr:spPr>
    </xdr:pic>
    <xdr:clientData/>
  </xdr:twoCellAnchor>
  <xdr:twoCellAnchor>
    <xdr:from>
      <xdr:col>18</xdr:col>
      <xdr:colOff>120000</xdr:colOff>
      <xdr:row>16</xdr:row>
      <xdr:rowOff>0</xdr:rowOff>
    </xdr:from>
    <xdr:to>
      <xdr:col>18</xdr:col>
      <xdr:colOff>290512</xdr:colOff>
      <xdr:row>17</xdr:row>
      <xdr:rowOff>0</xdr:rowOff>
    </xdr:to>
    <xdr:pic>
      <xdr:nvPicPr>
        <xdr:cNvPr id="10" name="Picture 1" descr="Picture">
          <a:extLst>
            <a:ext uri="{FF2B5EF4-FFF2-40B4-BE49-F238E27FC236}">
              <a16:creationId xmlns:a16="http://schemas.microsoft.com/office/drawing/2014/main" id="{5D02F747-0807-40C9-8541-AD42A851C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18675" y="1400175"/>
          <a:ext cx="170512" cy="0"/>
        </a:xfrm>
        <a:prstGeom prst="rect">
          <a:avLst/>
        </a:prstGeom>
      </xdr:spPr>
    </xdr:pic>
    <xdr:clientData/>
  </xdr:twoCellAnchor>
  <xdr:twoCellAnchor>
    <xdr:from>
      <xdr:col>19</xdr:col>
      <xdr:colOff>120000</xdr:colOff>
      <xdr:row>16</xdr:row>
      <xdr:rowOff>0</xdr:rowOff>
    </xdr:from>
    <xdr:to>
      <xdr:col>19</xdr:col>
      <xdr:colOff>290512</xdr:colOff>
      <xdr:row>17</xdr:row>
      <xdr:rowOff>0</xdr:rowOff>
    </xdr:to>
    <xdr:pic>
      <xdr:nvPicPr>
        <xdr:cNvPr id="11" name="Picture 1" descr="Picture">
          <a:extLst>
            <a:ext uri="{FF2B5EF4-FFF2-40B4-BE49-F238E27FC236}">
              <a16:creationId xmlns:a16="http://schemas.microsoft.com/office/drawing/2014/main" id="{CF504148-50BC-4F90-9614-C77F3D459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37850" y="1400175"/>
          <a:ext cx="170512" cy="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16</xdr:row>
      <xdr:rowOff>0</xdr:rowOff>
    </xdr:from>
    <xdr:to>
      <xdr:col>26</xdr:col>
      <xdr:colOff>290512</xdr:colOff>
      <xdr:row>17</xdr:row>
      <xdr:rowOff>0</xdr:rowOff>
    </xdr:to>
    <xdr:pic>
      <xdr:nvPicPr>
        <xdr:cNvPr id="12" name="Picture 1" descr="Picture">
          <a:extLst>
            <a:ext uri="{FF2B5EF4-FFF2-40B4-BE49-F238E27FC236}">
              <a16:creationId xmlns:a16="http://schemas.microsoft.com/office/drawing/2014/main" id="{943EF56A-E550-4EE1-8A30-5BB16CC10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72075" y="1400175"/>
          <a:ext cx="170512" cy="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16</xdr:row>
      <xdr:rowOff>0</xdr:rowOff>
    </xdr:from>
    <xdr:to>
      <xdr:col>33</xdr:col>
      <xdr:colOff>290512</xdr:colOff>
      <xdr:row>17</xdr:row>
      <xdr:rowOff>0</xdr:rowOff>
    </xdr:to>
    <xdr:pic>
      <xdr:nvPicPr>
        <xdr:cNvPr id="13" name="Picture 1" descr="Picture">
          <a:extLst>
            <a:ext uri="{FF2B5EF4-FFF2-40B4-BE49-F238E27FC236}">
              <a16:creationId xmlns:a16="http://schemas.microsoft.com/office/drawing/2014/main" id="{0DD6F8A2-276E-4C09-A808-F9CFC7FA3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06300" y="140017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16</xdr:row>
      <xdr:rowOff>0</xdr:rowOff>
    </xdr:from>
    <xdr:to>
      <xdr:col>37</xdr:col>
      <xdr:colOff>290512</xdr:colOff>
      <xdr:row>17</xdr:row>
      <xdr:rowOff>0</xdr:rowOff>
    </xdr:to>
    <xdr:pic>
      <xdr:nvPicPr>
        <xdr:cNvPr id="14" name="Picture 1" descr="Picture">
          <a:extLst>
            <a:ext uri="{FF2B5EF4-FFF2-40B4-BE49-F238E27FC236}">
              <a16:creationId xmlns:a16="http://schemas.microsoft.com/office/drawing/2014/main" id="{D44E4491-D339-4F9A-80B1-501BF1273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1400175"/>
          <a:ext cx="170512" cy="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16</xdr:row>
      <xdr:rowOff>0</xdr:rowOff>
    </xdr:from>
    <xdr:to>
      <xdr:col>38</xdr:col>
      <xdr:colOff>290512</xdr:colOff>
      <xdr:row>17</xdr:row>
      <xdr:rowOff>0</xdr:rowOff>
    </xdr:to>
    <xdr:pic>
      <xdr:nvPicPr>
        <xdr:cNvPr id="15" name="Picture 1" descr="Picture">
          <a:extLst>
            <a:ext uri="{FF2B5EF4-FFF2-40B4-BE49-F238E27FC236}">
              <a16:creationId xmlns:a16="http://schemas.microsoft.com/office/drawing/2014/main" id="{776FB968-3B20-42CD-AB62-7F10EF1A7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1400175"/>
          <a:ext cx="170512" cy="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16</xdr:row>
      <xdr:rowOff>0</xdr:rowOff>
    </xdr:from>
    <xdr:to>
      <xdr:col>39</xdr:col>
      <xdr:colOff>290512</xdr:colOff>
      <xdr:row>17</xdr:row>
      <xdr:rowOff>0</xdr:rowOff>
    </xdr:to>
    <xdr:pic>
      <xdr:nvPicPr>
        <xdr:cNvPr id="16" name="Picture 1" descr="Picture">
          <a:extLst>
            <a:ext uri="{FF2B5EF4-FFF2-40B4-BE49-F238E27FC236}">
              <a16:creationId xmlns:a16="http://schemas.microsoft.com/office/drawing/2014/main" id="{D0561C8F-2FCE-420F-A17E-EA55D08F0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1350" y="1400175"/>
          <a:ext cx="170512" cy="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16</xdr:row>
      <xdr:rowOff>0</xdr:rowOff>
    </xdr:from>
    <xdr:to>
      <xdr:col>40</xdr:col>
      <xdr:colOff>290512</xdr:colOff>
      <xdr:row>17</xdr:row>
      <xdr:rowOff>0</xdr:rowOff>
    </xdr:to>
    <xdr:pic>
      <xdr:nvPicPr>
        <xdr:cNvPr id="17" name="Picture 1" descr="Picture">
          <a:extLst>
            <a:ext uri="{FF2B5EF4-FFF2-40B4-BE49-F238E27FC236}">
              <a16:creationId xmlns:a16="http://schemas.microsoft.com/office/drawing/2014/main" id="{C634091C-BDB4-48E6-83D4-DF1B838434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40525" y="1400175"/>
          <a:ext cx="170512" cy="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17</xdr:row>
      <xdr:rowOff>0</xdr:rowOff>
    </xdr:from>
    <xdr:to>
      <xdr:col>33</xdr:col>
      <xdr:colOff>290512</xdr:colOff>
      <xdr:row>18</xdr:row>
      <xdr:rowOff>0</xdr:rowOff>
    </xdr:to>
    <xdr:pic>
      <xdr:nvPicPr>
        <xdr:cNvPr id="18" name="Picture 1" descr="Picture">
          <a:extLst>
            <a:ext uri="{FF2B5EF4-FFF2-40B4-BE49-F238E27FC236}">
              <a16:creationId xmlns:a16="http://schemas.microsoft.com/office/drawing/2014/main" id="{223EA925-FAC7-4CB6-88AA-83CDF8491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906300" y="140017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24</xdr:row>
      <xdr:rowOff>0</xdr:rowOff>
    </xdr:from>
    <xdr:to>
      <xdr:col>35</xdr:col>
      <xdr:colOff>290512</xdr:colOff>
      <xdr:row>25</xdr:row>
      <xdr:rowOff>0</xdr:rowOff>
    </xdr:to>
    <xdr:pic>
      <xdr:nvPicPr>
        <xdr:cNvPr id="19" name="Picture 1" descr="Picture">
          <a:extLst>
            <a:ext uri="{FF2B5EF4-FFF2-40B4-BE49-F238E27FC236}">
              <a16:creationId xmlns:a16="http://schemas.microsoft.com/office/drawing/2014/main" id="{2B10059B-C421-4171-8656-417972B1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944650" y="140017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38</xdr:row>
      <xdr:rowOff>0</xdr:rowOff>
    </xdr:from>
    <xdr:to>
      <xdr:col>35</xdr:col>
      <xdr:colOff>290512</xdr:colOff>
      <xdr:row>39</xdr:row>
      <xdr:rowOff>0</xdr:rowOff>
    </xdr:to>
    <xdr:pic>
      <xdr:nvPicPr>
        <xdr:cNvPr id="20" name="Picture 1" descr="Picture">
          <a:extLst>
            <a:ext uri="{FF2B5EF4-FFF2-40B4-BE49-F238E27FC236}">
              <a16:creationId xmlns:a16="http://schemas.microsoft.com/office/drawing/2014/main" id="{30ED165C-E5B0-4EF6-B6F8-D42E280D1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944650" y="1400175"/>
          <a:ext cx="170512" cy="15240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38</xdr:row>
      <xdr:rowOff>0</xdr:rowOff>
    </xdr:from>
    <xdr:to>
      <xdr:col>36</xdr:col>
      <xdr:colOff>290512</xdr:colOff>
      <xdr:row>39</xdr:row>
      <xdr:rowOff>0</xdr:rowOff>
    </xdr:to>
    <xdr:pic>
      <xdr:nvPicPr>
        <xdr:cNvPr id="21" name="Picture 1" descr="Picture">
          <a:extLst>
            <a:ext uri="{FF2B5EF4-FFF2-40B4-BE49-F238E27FC236}">
              <a16:creationId xmlns:a16="http://schemas.microsoft.com/office/drawing/2014/main" id="{49FE5B58-A538-4D80-88BF-335757A6B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963825" y="1400175"/>
          <a:ext cx="170512" cy="15240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38</xdr:row>
      <xdr:rowOff>0</xdr:rowOff>
    </xdr:from>
    <xdr:to>
      <xdr:col>37</xdr:col>
      <xdr:colOff>290512</xdr:colOff>
      <xdr:row>39</xdr:row>
      <xdr:rowOff>0</xdr:rowOff>
    </xdr:to>
    <xdr:pic>
      <xdr:nvPicPr>
        <xdr:cNvPr id="22" name="Picture 1" descr="Picture">
          <a:extLst>
            <a:ext uri="{FF2B5EF4-FFF2-40B4-BE49-F238E27FC236}">
              <a16:creationId xmlns:a16="http://schemas.microsoft.com/office/drawing/2014/main" id="{38A40B95-ADFA-44D0-97A7-D0C8A16D1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983000" y="1400175"/>
          <a:ext cx="170512" cy="15240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45</xdr:row>
      <xdr:rowOff>0</xdr:rowOff>
    </xdr:from>
    <xdr:to>
      <xdr:col>28</xdr:col>
      <xdr:colOff>290512</xdr:colOff>
      <xdr:row>46</xdr:row>
      <xdr:rowOff>0</xdr:rowOff>
    </xdr:to>
    <xdr:pic>
      <xdr:nvPicPr>
        <xdr:cNvPr id="23" name="Picture 1" descr="Picture">
          <a:extLst>
            <a:ext uri="{FF2B5EF4-FFF2-40B4-BE49-F238E27FC236}">
              <a16:creationId xmlns:a16="http://schemas.microsoft.com/office/drawing/2014/main" id="{DA8AE421-5D68-4F72-AA05-31A5804BA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810425" y="1552575"/>
          <a:ext cx="170512" cy="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45</xdr:row>
      <xdr:rowOff>0</xdr:rowOff>
    </xdr:from>
    <xdr:to>
      <xdr:col>29</xdr:col>
      <xdr:colOff>290512</xdr:colOff>
      <xdr:row>46</xdr:row>
      <xdr:rowOff>0</xdr:rowOff>
    </xdr:to>
    <xdr:pic>
      <xdr:nvPicPr>
        <xdr:cNvPr id="24" name="Picture 1" descr="Picture">
          <a:extLst>
            <a:ext uri="{FF2B5EF4-FFF2-40B4-BE49-F238E27FC236}">
              <a16:creationId xmlns:a16="http://schemas.microsoft.com/office/drawing/2014/main" id="{03701E2A-A882-490D-B662-96C8C43736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29600" y="1552575"/>
          <a:ext cx="170512" cy="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45</xdr:row>
      <xdr:rowOff>0</xdr:rowOff>
    </xdr:from>
    <xdr:to>
      <xdr:col>30</xdr:col>
      <xdr:colOff>290512</xdr:colOff>
      <xdr:row>46</xdr:row>
      <xdr:rowOff>0</xdr:rowOff>
    </xdr:to>
    <xdr:pic>
      <xdr:nvPicPr>
        <xdr:cNvPr id="25" name="Picture 1" descr="Picture">
          <a:extLst>
            <a:ext uri="{FF2B5EF4-FFF2-40B4-BE49-F238E27FC236}">
              <a16:creationId xmlns:a16="http://schemas.microsoft.com/office/drawing/2014/main" id="{A2E28391-340F-48D3-A44D-CB1A8F32B1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848775" y="1552575"/>
          <a:ext cx="170512" cy="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45</xdr:row>
      <xdr:rowOff>0</xdr:rowOff>
    </xdr:from>
    <xdr:to>
      <xdr:col>31</xdr:col>
      <xdr:colOff>290512</xdr:colOff>
      <xdr:row>46</xdr:row>
      <xdr:rowOff>0</xdr:rowOff>
    </xdr:to>
    <xdr:pic>
      <xdr:nvPicPr>
        <xdr:cNvPr id="26" name="Picture 1" descr="Picture">
          <a:extLst>
            <a:ext uri="{FF2B5EF4-FFF2-40B4-BE49-F238E27FC236}">
              <a16:creationId xmlns:a16="http://schemas.microsoft.com/office/drawing/2014/main" id="{BFBB4160-5BAE-4806-B59A-2B371046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67950" y="1552575"/>
          <a:ext cx="170512" cy="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45</xdr:row>
      <xdr:rowOff>0</xdr:rowOff>
    </xdr:from>
    <xdr:to>
      <xdr:col>32</xdr:col>
      <xdr:colOff>290512</xdr:colOff>
      <xdr:row>46</xdr:row>
      <xdr:rowOff>0</xdr:rowOff>
    </xdr:to>
    <xdr:pic>
      <xdr:nvPicPr>
        <xdr:cNvPr id="27" name="Picture 1" descr="Picture">
          <a:extLst>
            <a:ext uri="{FF2B5EF4-FFF2-40B4-BE49-F238E27FC236}">
              <a16:creationId xmlns:a16="http://schemas.microsoft.com/office/drawing/2014/main" id="{4B3C7292-EC6E-4408-B706-3A831AEDD7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887125" y="1552575"/>
          <a:ext cx="170512" cy="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45</xdr:row>
      <xdr:rowOff>0</xdr:rowOff>
    </xdr:from>
    <xdr:to>
      <xdr:col>33</xdr:col>
      <xdr:colOff>290512</xdr:colOff>
      <xdr:row>46</xdr:row>
      <xdr:rowOff>0</xdr:rowOff>
    </xdr:to>
    <xdr:pic>
      <xdr:nvPicPr>
        <xdr:cNvPr id="28" name="Picture 1" descr="Picture">
          <a:extLst>
            <a:ext uri="{FF2B5EF4-FFF2-40B4-BE49-F238E27FC236}">
              <a16:creationId xmlns:a16="http://schemas.microsoft.com/office/drawing/2014/main" id="{94845037-72B9-4BFE-941B-55A6EB04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06300" y="155257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45</xdr:row>
      <xdr:rowOff>0</xdr:rowOff>
    </xdr:from>
    <xdr:to>
      <xdr:col>35</xdr:col>
      <xdr:colOff>290512</xdr:colOff>
      <xdr:row>46</xdr:row>
      <xdr:rowOff>0</xdr:rowOff>
    </xdr:to>
    <xdr:pic>
      <xdr:nvPicPr>
        <xdr:cNvPr id="29" name="Picture 1" descr="Picture">
          <a:extLst>
            <a:ext uri="{FF2B5EF4-FFF2-40B4-BE49-F238E27FC236}">
              <a16:creationId xmlns:a16="http://schemas.microsoft.com/office/drawing/2014/main" id="{87753C29-1BEB-44F4-9515-49137F7E8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1552575"/>
          <a:ext cx="170512" cy="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45</xdr:row>
      <xdr:rowOff>0</xdr:rowOff>
    </xdr:from>
    <xdr:to>
      <xdr:col>36</xdr:col>
      <xdr:colOff>290512</xdr:colOff>
      <xdr:row>46</xdr:row>
      <xdr:rowOff>0</xdr:rowOff>
    </xdr:to>
    <xdr:pic>
      <xdr:nvPicPr>
        <xdr:cNvPr id="30" name="Picture 1" descr="Picture">
          <a:extLst>
            <a:ext uri="{FF2B5EF4-FFF2-40B4-BE49-F238E27FC236}">
              <a16:creationId xmlns:a16="http://schemas.microsoft.com/office/drawing/2014/main" id="{77247D18-D501-4B5D-A24A-F95BD87A4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155257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45</xdr:row>
      <xdr:rowOff>0</xdr:rowOff>
    </xdr:from>
    <xdr:to>
      <xdr:col>37</xdr:col>
      <xdr:colOff>290512</xdr:colOff>
      <xdr:row>46</xdr:row>
      <xdr:rowOff>0</xdr:rowOff>
    </xdr:to>
    <xdr:pic>
      <xdr:nvPicPr>
        <xdr:cNvPr id="31" name="Picture 1" descr="Picture">
          <a:extLst>
            <a:ext uri="{FF2B5EF4-FFF2-40B4-BE49-F238E27FC236}">
              <a16:creationId xmlns:a16="http://schemas.microsoft.com/office/drawing/2014/main" id="{54E28C7D-DB5B-4F31-8E73-C53040861F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1552575"/>
          <a:ext cx="170512" cy="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45</xdr:row>
      <xdr:rowOff>0</xdr:rowOff>
    </xdr:from>
    <xdr:to>
      <xdr:col>38</xdr:col>
      <xdr:colOff>290512</xdr:colOff>
      <xdr:row>46</xdr:row>
      <xdr:rowOff>0</xdr:rowOff>
    </xdr:to>
    <xdr:pic>
      <xdr:nvPicPr>
        <xdr:cNvPr id="32" name="Picture 1" descr="Picture">
          <a:extLst>
            <a:ext uri="{FF2B5EF4-FFF2-40B4-BE49-F238E27FC236}">
              <a16:creationId xmlns:a16="http://schemas.microsoft.com/office/drawing/2014/main" id="{3B6304C8-0ECB-4F0F-ACFD-E28B278C9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1552575"/>
          <a:ext cx="170512" cy="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45</xdr:row>
      <xdr:rowOff>0</xdr:rowOff>
    </xdr:from>
    <xdr:to>
      <xdr:col>39</xdr:col>
      <xdr:colOff>290512</xdr:colOff>
      <xdr:row>46</xdr:row>
      <xdr:rowOff>0</xdr:rowOff>
    </xdr:to>
    <xdr:pic>
      <xdr:nvPicPr>
        <xdr:cNvPr id="33" name="Picture 1" descr="Picture">
          <a:extLst>
            <a:ext uri="{FF2B5EF4-FFF2-40B4-BE49-F238E27FC236}">
              <a16:creationId xmlns:a16="http://schemas.microsoft.com/office/drawing/2014/main" id="{C4F08BC9-0AE1-483D-A069-A20885B11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1350" y="1552575"/>
          <a:ext cx="170512" cy="0"/>
        </a:xfrm>
        <a:prstGeom prst="rect">
          <a:avLst/>
        </a:prstGeom>
      </xdr:spPr>
    </xdr:pic>
    <xdr:clientData/>
  </xdr:twoCellAnchor>
  <xdr:twoCellAnchor>
    <xdr:from>
      <xdr:col>22</xdr:col>
      <xdr:colOff>120000</xdr:colOff>
      <xdr:row>50</xdr:row>
      <xdr:rowOff>0</xdr:rowOff>
    </xdr:from>
    <xdr:to>
      <xdr:col>22</xdr:col>
      <xdr:colOff>290512</xdr:colOff>
      <xdr:row>51</xdr:row>
      <xdr:rowOff>0</xdr:rowOff>
    </xdr:to>
    <xdr:pic>
      <xdr:nvPicPr>
        <xdr:cNvPr id="34" name="Picture 1" descr="Picture">
          <a:extLst>
            <a:ext uri="{FF2B5EF4-FFF2-40B4-BE49-F238E27FC236}">
              <a16:creationId xmlns:a16="http://schemas.microsoft.com/office/drawing/2014/main" id="{0A8D8419-66AC-4B5B-9675-D72D3463D6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695375" y="1552575"/>
          <a:ext cx="170512" cy="152400"/>
        </a:xfrm>
        <a:prstGeom prst="rect">
          <a:avLst/>
        </a:prstGeom>
      </xdr:spPr>
    </xdr:pic>
    <xdr:clientData/>
  </xdr:twoCellAnchor>
  <xdr:twoCellAnchor>
    <xdr:from>
      <xdr:col>23</xdr:col>
      <xdr:colOff>120000</xdr:colOff>
      <xdr:row>50</xdr:row>
      <xdr:rowOff>0</xdr:rowOff>
    </xdr:from>
    <xdr:to>
      <xdr:col>23</xdr:col>
      <xdr:colOff>290512</xdr:colOff>
      <xdr:row>51</xdr:row>
      <xdr:rowOff>0</xdr:rowOff>
    </xdr:to>
    <xdr:pic>
      <xdr:nvPicPr>
        <xdr:cNvPr id="35" name="Picture 1" descr="Picture">
          <a:extLst>
            <a:ext uri="{FF2B5EF4-FFF2-40B4-BE49-F238E27FC236}">
              <a16:creationId xmlns:a16="http://schemas.microsoft.com/office/drawing/2014/main" id="{05ADD804-C320-4DC4-9148-5CD4F1388F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714550" y="1552575"/>
          <a:ext cx="170512" cy="15240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55</xdr:row>
      <xdr:rowOff>0</xdr:rowOff>
    </xdr:from>
    <xdr:to>
      <xdr:col>26</xdr:col>
      <xdr:colOff>290512</xdr:colOff>
      <xdr:row>56</xdr:row>
      <xdr:rowOff>0</xdr:rowOff>
    </xdr:to>
    <xdr:pic>
      <xdr:nvPicPr>
        <xdr:cNvPr id="36" name="Picture 1" descr="Picture">
          <a:extLst>
            <a:ext uri="{FF2B5EF4-FFF2-40B4-BE49-F238E27FC236}">
              <a16:creationId xmlns:a16="http://schemas.microsoft.com/office/drawing/2014/main" id="{98CC816F-1BFE-40F4-8B3F-78613F9D4B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772075" y="1704975"/>
          <a:ext cx="170512" cy="152400"/>
        </a:xfrm>
        <a:prstGeom prst="rect">
          <a:avLst/>
        </a:prstGeom>
      </xdr:spPr>
    </xdr:pic>
    <xdr:clientData/>
  </xdr:twoCellAnchor>
  <xdr:twoCellAnchor>
    <xdr:from>
      <xdr:col>14</xdr:col>
      <xdr:colOff>120000</xdr:colOff>
      <xdr:row>64</xdr:row>
      <xdr:rowOff>0</xdr:rowOff>
    </xdr:from>
    <xdr:to>
      <xdr:col>14</xdr:col>
      <xdr:colOff>290512</xdr:colOff>
      <xdr:row>65</xdr:row>
      <xdr:rowOff>0</xdr:rowOff>
    </xdr:to>
    <xdr:pic>
      <xdr:nvPicPr>
        <xdr:cNvPr id="37" name="Picture 1" descr="Picture">
          <a:extLst>
            <a:ext uri="{FF2B5EF4-FFF2-40B4-BE49-F238E27FC236}">
              <a16:creationId xmlns:a16="http://schemas.microsoft.com/office/drawing/2014/main" id="{506EAE90-7DF2-42FA-8FA2-49E28C3B2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541975" y="1857375"/>
          <a:ext cx="170512" cy="0"/>
        </a:xfrm>
        <a:prstGeom prst="rect">
          <a:avLst/>
        </a:prstGeom>
      </xdr:spPr>
    </xdr:pic>
    <xdr:clientData/>
  </xdr:twoCellAnchor>
  <xdr:twoCellAnchor>
    <xdr:from>
      <xdr:col>15</xdr:col>
      <xdr:colOff>120000</xdr:colOff>
      <xdr:row>64</xdr:row>
      <xdr:rowOff>0</xdr:rowOff>
    </xdr:from>
    <xdr:to>
      <xdr:col>15</xdr:col>
      <xdr:colOff>290512</xdr:colOff>
      <xdr:row>65</xdr:row>
      <xdr:rowOff>0</xdr:rowOff>
    </xdr:to>
    <xdr:pic>
      <xdr:nvPicPr>
        <xdr:cNvPr id="38" name="Picture 1" descr="Picture">
          <a:extLst>
            <a:ext uri="{FF2B5EF4-FFF2-40B4-BE49-F238E27FC236}">
              <a16:creationId xmlns:a16="http://schemas.microsoft.com/office/drawing/2014/main" id="{82ACF191-3B8C-4A35-93E9-1E3F7EB3F4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561150" y="1857375"/>
          <a:ext cx="170512" cy="0"/>
        </a:xfrm>
        <a:prstGeom prst="rect">
          <a:avLst/>
        </a:prstGeom>
      </xdr:spPr>
    </xdr:pic>
    <xdr:clientData/>
  </xdr:twoCellAnchor>
  <xdr:twoCellAnchor>
    <xdr:from>
      <xdr:col>16</xdr:col>
      <xdr:colOff>120000</xdr:colOff>
      <xdr:row>64</xdr:row>
      <xdr:rowOff>0</xdr:rowOff>
    </xdr:from>
    <xdr:to>
      <xdr:col>16</xdr:col>
      <xdr:colOff>290512</xdr:colOff>
      <xdr:row>65</xdr:row>
      <xdr:rowOff>0</xdr:rowOff>
    </xdr:to>
    <xdr:pic>
      <xdr:nvPicPr>
        <xdr:cNvPr id="39" name="Picture 1" descr="Picture">
          <a:extLst>
            <a:ext uri="{FF2B5EF4-FFF2-40B4-BE49-F238E27FC236}">
              <a16:creationId xmlns:a16="http://schemas.microsoft.com/office/drawing/2014/main" id="{6A2CD715-BBD3-44D5-90A7-FD07D42C4F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80325" y="1857375"/>
          <a:ext cx="170512" cy="0"/>
        </a:xfrm>
        <a:prstGeom prst="rect">
          <a:avLst/>
        </a:prstGeom>
      </xdr:spPr>
    </xdr:pic>
    <xdr:clientData/>
  </xdr:twoCellAnchor>
  <xdr:twoCellAnchor>
    <xdr:from>
      <xdr:col>17</xdr:col>
      <xdr:colOff>120000</xdr:colOff>
      <xdr:row>64</xdr:row>
      <xdr:rowOff>0</xdr:rowOff>
    </xdr:from>
    <xdr:to>
      <xdr:col>17</xdr:col>
      <xdr:colOff>290512</xdr:colOff>
      <xdr:row>65</xdr:row>
      <xdr:rowOff>0</xdr:rowOff>
    </xdr:to>
    <xdr:pic>
      <xdr:nvPicPr>
        <xdr:cNvPr id="40" name="Picture 1" descr="Picture">
          <a:extLst>
            <a:ext uri="{FF2B5EF4-FFF2-40B4-BE49-F238E27FC236}">
              <a16:creationId xmlns:a16="http://schemas.microsoft.com/office/drawing/2014/main" id="{33514120-BBE0-4EE7-A660-F6FC771EA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99500" y="1857375"/>
          <a:ext cx="170512" cy="0"/>
        </a:xfrm>
        <a:prstGeom prst="rect">
          <a:avLst/>
        </a:prstGeom>
      </xdr:spPr>
    </xdr:pic>
    <xdr:clientData/>
  </xdr:twoCellAnchor>
  <xdr:twoCellAnchor>
    <xdr:from>
      <xdr:col>18</xdr:col>
      <xdr:colOff>120000</xdr:colOff>
      <xdr:row>64</xdr:row>
      <xdr:rowOff>0</xdr:rowOff>
    </xdr:from>
    <xdr:to>
      <xdr:col>18</xdr:col>
      <xdr:colOff>290512</xdr:colOff>
      <xdr:row>65</xdr:row>
      <xdr:rowOff>0</xdr:rowOff>
    </xdr:to>
    <xdr:pic>
      <xdr:nvPicPr>
        <xdr:cNvPr id="41" name="Picture 1" descr="Picture">
          <a:extLst>
            <a:ext uri="{FF2B5EF4-FFF2-40B4-BE49-F238E27FC236}">
              <a16:creationId xmlns:a16="http://schemas.microsoft.com/office/drawing/2014/main" id="{7172B448-0085-41F0-87BB-CE9911010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18675" y="1857375"/>
          <a:ext cx="170512" cy="0"/>
        </a:xfrm>
        <a:prstGeom prst="rect">
          <a:avLst/>
        </a:prstGeom>
      </xdr:spPr>
    </xdr:pic>
    <xdr:clientData/>
  </xdr:twoCellAnchor>
  <xdr:twoCellAnchor>
    <xdr:from>
      <xdr:col>19</xdr:col>
      <xdr:colOff>120000</xdr:colOff>
      <xdr:row>64</xdr:row>
      <xdr:rowOff>0</xdr:rowOff>
    </xdr:from>
    <xdr:to>
      <xdr:col>19</xdr:col>
      <xdr:colOff>290512</xdr:colOff>
      <xdr:row>65</xdr:row>
      <xdr:rowOff>0</xdr:rowOff>
    </xdr:to>
    <xdr:pic>
      <xdr:nvPicPr>
        <xdr:cNvPr id="42" name="Picture 1" descr="Picture">
          <a:extLst>
            <a:ext uri="{FF2B5EF4-FFF2-40B4-BE49-F238E27FC236}">
              <a16:creationId xmlns:a16="http://schemas.microsoft.com/office/drawing/2014/main" id="{52880985-94ED-45DF-B84C-635B874A6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37850" y="1857375"/>
          <a:ext cx="170512" cy="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64</xdr:row>
      <xdr:rowOff>0</xdr:rowOff>
    </xdr:from>
    <xdr:to>
      <xdr:col>28</xdr:col>
      <xdr:colOff>290512</xdr:colOff>
      <xdr:row>65</xdr:row>
      <xdr:rowOff>0</xdr:rowOff>
    </xdr:to>
    <xdr:pic>
      <xdr:nvPicPr>
        <xdr:cNvPr id="43" name="Picture 1" descr="Picture">
          <a:extLst>
            <a:ext uri="{FF2B5EF4-FFF2-40B4-BE49-F238E27FC236}">
              <a16:creationId xmlns:a16="http://schemas.microsoft.com/office/drawing/2014/main" id="{5C184EC0-1B3F-4CE1-8A62-A89C56E47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810425" y="1857375"/>
          <a:ext cx="170512" cy="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64</xdr:row>
      <xdr:rowOff>0</xdr:rowOff>
    </xdr:from>
    <xdr:to>
      <xdr:col>29</xdr:col>
      <xdr:colOff>290512</xdr:colOff>
      <xdr:row>65</xdr:row>
      <xdr:rowOff>0</xdr:rowOff>
    </xdr:to>
    <xdr:pic>
      <xdr:nvPicPr>
        <xdr:cNvPr id="44" name="Picture 1" descr="Picture">
          <a:extLst>
            <a:ext uri="{FF2B5EF4-FFF2-40B4-BE49-F238E27FC236}">
              <a16:creationId xmlns:a16="http://schemas.microsoft.com/office/drawing/2014/main" id="{40D58596-CCA8-430F-A8B2-989BC10F6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29600" y="1857375"/>
          <a:ext cx="170512" cy="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64</xdr:row>
      <xdr:rowOff>0</xdr:rowOff>
    </xdr:from>
    <xdr:to>
      <xdr:col>30</xdr:col>
      <xdr:colOff>290512</xdr:colOff>
      <xdr:row>65</xdr:row>
      <xdr:rowOff>0</xdr:rowOff>
    </xdr:to>
    <xdr:pic>
      <xdr:nvPicPr>
        <xdr:cNvPr id="45" name="Picture 1" descr="Picture">
          <a:extLst>
            <a:ext uri="{FF2B5EF4-FFF2-40B4-BE49-F238E27FC236}">
              <a16:creationId xmlns:a16="http://schemas.microsoft.com/office/drawing/2014/main" id="{22F7E4D2-6D38-4E27-B7A4-E5596403EA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848775" y="1857375"/>
          <a:ext cx="170512" cy="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64</xdr:row>
      <xdr:rowOff>0</xdr:rowOff>
    </xdr:from>
    <xdr:to>
      <xdr:col>31</xdr:col>
      <xdr:colOff>290512</xdr:colOff>
      <xdr:row>65</xdr:row>
      <xdr:rowOff>0</xdr:rowOff>
    </xdr:to>
    <xdr:pic>
      <xdr:nvPicPr>
        <xdr:cNvPr id="46" name="Picture 1" descr="Picture">
          <a:extLst>
            <a:ext uri="{FF2B5EF4-FFF2-40B4-BE49-F238E27FC236}">
              <a16:creationId xmlns:a16="http://schemas.microsoft.com/office/drawing/2014/main" id="{C8563EE7-F33B-4651-99F3-3CC208DAF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67950" y="1857375"/>
          <a:ext cx="170512" cy="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64</xdr:row>
      <xdr:rowOff>0</xdr:rowOff>
    </xdr:from>
    <xdr:to>
      <xdr:col>32</xdr:col>
      <xdr:colOff>290512</xdr:colOff>
      <xdr:row>65</xdr:row>
      <xdr:rowOff>0</xdr:rowOff>
    </xdr:to>
    <xdr:pic>
      <xdr:nvPicPr>
        <xdr:cNvPr id="47" name="Picture 1" descr="Picture">
          <a:extLst>
            <a:ext uri="{FF2B5EF4-FFF2-40B4-BE49-F238E27FC236}">
              <a16:creationId xmlns:a16="http://schemas.microsoft.com/office/drawing/2014/main" id="{2F1028B2-17D6-4A27-89E3-90D26CA7C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887125" y="1857375"/>
          <a:ext cx="170512" cy="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64</xdr:row>
      <xdr:rowOff>0</xdr:rowOff>
    </xdr:from>
    <xdr:to>
      <xdr:col>33</xdr:col>
      <xdr:colOff>290512</xdr:colOff>
      <xdr:row>65</xdr:row>
      <xdr:rowOff>0</xdr:rowOff>
    </xdr:to>
    <xdr:pic>
      <xdr:nvPicPr>
        <xdr:cNvPr id="48" name="Picture 1" descr="Picture">
          <a:extLst>
            <a:ext uri="{FF2B5EF4-FFF2-40B4-BE49-F238E27FC236}">
              <a16:creationId xmlns:a16="http://schemas.microsoft.com/office/drawing/2014/main" id="{7DBC6902-F394-4492-BEBB-7F3CDA04E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06300" y="185737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64</xdr:row>
      <xdr:rowOff>0</xdr:rowOff>
    </xdr:from>
    <xdr:to>
      <xdr:col>35</xdr:col>
      <xdr:colOff>290512</xdr:colOff>
      <xdr:row>65</xdr:row>
      <xdr:rowOff>0</xdr:rowOff>
    </xdr:to>
    <xdr:pic>
      <xdr:nvPicPr>
        <xdr:cNvPr id="49" name="Picture 1" descr="Picture">
          <a:extLst>
            <a:ext uri="{FF2B5EF4-FFF2-40B4-BE49-F238E27FC236}">
              <a16:creationId xmlns:a16="http://schemas.microsoft.com/office/drawing/2014/main" id="{B243D00E-94DD-4562-888C-E5C023FA3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1857375"/>
          <a:ext cx="170512" cy="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64</xdr:row>
      <xdr:rowOff>0</xdr:rowOff>
    </xdr:from>
    <xdr:to>
      <xdr:col>36</xdr:col>
      <xdr:colOff>290512</xdr:colOff>
      <xdr:row>65</xdr:row>
      <xdr:rowOff>0</xdr:rowOff>
    </xdr:to>
    <xdr:pic>
      <xdr:nvPicPr>
        <xdr:cNvPr id="50" name="Picture 1" descr="Picture">
          <a:extLst>
            <a:ext uri="{FF2B5EF4-FFF2-40B4-BE49-F238E27FC236}">
              <a16:creationId xmlns:a16="http://schemas.microsoft.com/office/drawing/2014/main" id="{6FD03C3D-B90A-451E-9BA3-5F07844919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185737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64</xdr:row>
      <xdr:rowOff>0</xdr:rowOff>
    </xdr:from>
    <xdr:to>
      <xdr:col>37</xdr:col>
      <xdr:colOff>290512</xdr:colOff>
      <xdr:row>65</xdr:row>
      <xdr:rowOff>0</xdr:rowOff>
    </xdr:to>
    <xdr:pic>
      <xdr:nvPicPr>
        <xdr:cNvPr id="51" name="Picture 1" descr="Picture">
          <a:extLst>
            <a:ext uri="{FF2B5EF4-FFF2-40B4-BE49-F238E27FC236}">
              <a16:creationId xmlns:a16="http://schemas.microsoft.com/office/drawing/2014/main" id="{CCBFBBA2-9B02-470A-884E-23DA5DA03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1857375"/>
          <a:ext cx="170512" cy="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64</xdr:row>
      <xdr:rowOff>0</xdr:rowOff>
    </xdr:from>
    <xdr:to>
      <xdr:col>38</xdr:col>
      <xdr:colOff>290512</xdr:colOff>
      <xdr:row>65</xdr:row>
      <xdr:rowOff>0</xdr:rowOff>
    </xdr:to>
    <xdr:pic>
      <xdr:nvPicPr>
        <xdr:cNvPr id="52" name="Picture 1" descr="Picture">
          <a:extLst>
            <a:ext uri="{FF2B5EF4-FFF2-40B4-BE49-F238E27FC236}">
              <a16:creationId xmlns:a16="http://schemas.microsoft.com/office/drawing/2014/main" id="{FAECF299-D8BD-41F9-AAFC-0830400E6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1857375"/>
          <a:ext cx="170512" cy="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64</xdr:row>
      <xdr:rowOff>0</xdr:rowOff>
    </xdr:from>
    <xdr:to>
      <xdr:col>39</xdr:col>
      <xdr:colOff>290512</xdr:colOff>
      <xdr:row>65</xdr:row>
      <xdr:rowOff>0</xdr:rowOff>
    </xdr:to>
    <xdr:pic>
      <xdr:nvPicPr>
        <xdr:cNvPr id="53" name="Picture 1" descr="Picture">
          <a:extLst>
            <a:ext uri="{FF2B5EF4-FFF2-40B4-BE49-F238E27FC236}">
              <a16:creationId xmlns:a16="http://schemas.microsoft.com/office/drawing/2014/main" id="{774E37FD-7859-4134-A154-0E546FE60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1350" y="1857375"/>
          <a:ext cx="170512" cy="0"/>
        </a:xfrm>
        <a:prstGeom prst="rect">
          <a:avLst/>
        </a:prstGeom>
      </xdr:spPr>
    </xdr:pic>
    <xdr:clientData/>
  </xdr:twoCellAnchor>
  <xdr:twoCellAnchor>
    <xdr:from>
      <xdr:col>14</xdr:col>
      <xdr:colOff>120000</xdr:colOff>
      <xdr:row>65</xdr:row>
      <xdr:rowOff>0</xdr:rowOff>
    </xdr:from>
    <xdr:to>
      <xdr:col>14</xdr:col>
      <xdr:colOff>290512</xdr:colOff>
      <xdr:row>66</xdr:row>
      <xdr:rowOff>0</xdr:rowOff>
    </xdr:to>
    <xdr:pic>
      <xdr:nvPicPr>
        <xdr:cNvPr id="54" name="Picture 1" descr="Picture">
          <a:extLst>
            <a:ext uri="{FF2B5EF4-FFF2-40B4-BE49-F238E27FC236}">
              <a16:creationId xmlns:a16="http://schemas.microsoft.com/office/drawing/2014/main" id="{916B4389-7D80-4D51-998F-6399FC98B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541975" y="1857375"/>
          <a:ext cx="170512" cy="15240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74</xdr:row>
      <xdr:rowOff>120000</xdr:rowOff>
    </xdr:from>
    <xdr:to>
      <xdr:col>12</xdr:col>
      <xdr:colOff>400050</xdr:colOff>
      <xdr:row>75</xdr:row>
      <xdr:rowOff>0</xdr:rowOff>
    </xdr:to>
    <xdr:pic>
      <xdr:nvPicPr>
        <xdr:cNvPr id="55" name="Picture 1" descr="Picture">
          <a:extLst>
            <a:ext uri="{FF2B5EF4-FFF2-40B4-BE49-F238E27FC236}">
              <a16:creationId xmlns:a16="http://schemas.microsoft.com/office/drawing/2014/main" id="{7DE3F6D2-0389-4EF6-B7D9-7851A47A64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200977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74</xdr:row>
      <xdr:rowOff>120000</xdr:rowOff>
    </xdr:from>
    <xdr:to>
      <xdr:col>24</xdr:col>
      <xdr:colOff>400050</xdr:colOff>
      <xdr:row>75</xdr:row>
      <xdr:rowOff>0</xdr:rowOff>
    </xdr:to>
    <xdr:pic>
      <xdr:nvPicPr>
        <xdr:cNvPr id="56" name="Picture 1" descr="Picture">
          <a:extLst>
            <a:ext uri="{FF2B5EF4-FFF2-40B4-BE49-F238E27FC236}">
              <a16:creationId xmlns:a16="http://schemas.microsoft.com/office/drawing/2014/main" id="{B2C4F99C-81C1-4D86-98F2-0107DB2B2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200977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74</xdr:row>
      <xdr:rowOff>120000</xdr:rowOff>
    </xdr:from>
    <xdr:to>
      <xdr:col>25</xdr:col>
      <xdr:colOff>400050</xdr:colOff>
      <xdr:row>75</xdr:row>
      <xdr:rowOff>0</xdr:rowOff>
    </xdr:to>
    <xdr:pic>
      <xdr:nvPicPr>
        <xdr:cNvPr id="57" name="Picture 1" descr="Picture">
          <a:extLst>
            <a:ext uri="{FF2B5EF4-FFF2-40B4-BE49-F238E27FC236}">
              <a16:creationId xmlns:a16="http://schemas.microsoft.com/office/drawing/2014/main" id="{858FC1D0-1A61-476F-A4F9-B3F1AF9E8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200977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75</xdr:row>
      <xdr:rowOff>120000</xdr:rowOff>
    </xdr:from>
    <xdr:to>
      <xdr:col>12</xdr:col>
      <xdr:colOff>400050</xdr:colOff>
      <xdr:row>76</xdr:row>
      <xdr:rowOff>0</xdr:rowOff>
    </xdr:to>
    <xdr:pic>
      <xdr:nvPicPr>
        <xdr:cNvPr id="58" name="Picture 1" descr="Picture">
          <a:extLst>
            <a:ext uri="{FF2B5EF4-FFF2-40B4-BE49-F238E27FC236}">
              <a16:creationId xmlns:a16="http://schemas.microsoft.com/office/drawing/2014/main" id="{553EF069-CEA2-4DEA-8F1A-D7507F59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2009775"/>
          <a:ext cx="50050" cy="0"/>
        </a:xfrm>
        <a:prstGeom prst="rect">
          <a:avLst/>
        </a:prstGeom>
      </xdr:spPr>
    </xdr:pic>
    <xdr:clientData/>
  </xdr:twoCellAnchor>
  <xdr:twoCellAnchor>
    <xdr:from>
      <xdr:col>38</xdr:col>
      <xdr:colOff>350000</xdr:colOff>
      <xdr:row>76</xdr:row>
      <xdr:rowOff>120000</xdr:rowOff>
    </xdr:from>
    <xdr:to>
      <xdr:col>38</xdr:col>
      <xdr:colOff>400050</xdr:colOff>
      <xdr:row>77</xdr:row>
      <xdr:rowOff>0</xdr:rowOff>
    </xdr:to>
    <xdr:pic>
      <xdr:nvPicPr>
        <xdr:cNvPr id="59" name="Picture 1" descr="Picture">
          <a:extLst>
            <a:ext uri="{FF2B5EF4-FFF2-40B4-BE49-F238E27FC236}">
              <a16:creationId xmlns:a16="http://schemas.microsoft.com/office/drawing/2014/main" id="{9D23E8BB-EFB4-4DBF-9E1D-13C16F3A7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232175" y="2009775"/>
          <a:ext cx="50050" cy="0"/>
        </a:xfrm>
        <a:prstGeom prst="rect">
          <a:avLst/>
        </a:prstGeom>
      </xdr:spPr>
    </xdr:pic>
    <xdr:clientData/>
  </xdr:twoCellAnchor>
  <xdr:twoCellAnchor>
    <xdr:from>
      <xdr:col>39</xdr:col>
      <xdr:colOff>350000</xdr:colOff>
      <xdr:row>76</xdr:row>
      <xdr:rowOff>120000</xdr:rowOff>
    </xdr:from>
    <xdr:to>
      <xdr:col>39</xdr:col>
      <xdr:colOff>400050</xdr:colOff>
      <xdr:row>77</xdr:row>
      <xdr:rowOff>0</xdr:rowOff>
    </xdr:to>
    <xdr:pic>
      <xdr:nvPicPr>
        <xdr:cNvPr id="60" name="Picture 1" descr="Picture">
          <a:extLst>
            <a:ext uri="{FF2B5EF4-FFF2-40B4-BE49-F238E27FC236}">
              <a16:creationId xmlns:a16="http://schemas.microsoft.com/office/drawing/2014/main" id="{15D648DC-D4CB-4051-BEBD-0F3CC04353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251350" y="2009775"/>
          <a:ext cx="50050" cy="0"/>
        </a:xfrm>
        <a:prstGeom prst="rect">
          <a:avLst/>
        </a:prstGeom>
      </xdr:spPr>
    </xdr:pic>
    <xdr:clientData/>
  </xdr:twoCellAnchor>
  <xdr:twoCellAnchor>
    <xdr:from>
      <xdr:col>40</xdr:col>
      <xdr:colOff>350000</xdr:colOff>
      <xdr:row>76</xdr:row>
      <xdr:rowOff>120000</xdr:rowOff>
    </xdr:from>
    <xdr:to>
      <xdr:col>40</xdr:col>
      <xdr:colOff>400050</xdr:colOff>
      <xdr:row>77</xdr:row>
      <xdr:rowOff>0</xdr:rowOff>
    </xdr:to>
    <xdr:pic>
      <xdr:nvPicPr>
        <xdr:cNvPr id="61" name="Picture 1" descr="Picture">
          <a:extLst>
            <a:ext uri="{FF2B5EF4-FFF2-40B4-BE49-F238E27FC236}">
              <a16:creationId xmlns:a16="http://schemas.microsoft.com/office/drawing/2014/main" id="{7EF4D177-FBAC-47DE-BB1F-30A232BC9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270525" y="200977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77</xdr:row>
      <xdr:rowOff>120000</xdr:rowOff>
    </xdr:from>
    <xdr:to>
      <xdr:col>17</xdr:col>
      <xdr:colOff>400050</xdr:colOff>
      <xdr:row>78</xdr:row>
      <xdr:rowOff>0</xdr:rowOff>
    </xdr:to>
    <xdr:pic>
      <xdr:nvPicPr>
        <xdr:cNvPr id="62" name="Picture 1" descr="Picture">
          <a:extLst>
            <a:ext uri="{FF2B5EF4-FFF2-40B4-BE49-F238E27FC236}">
              <a16:creationId xmlns:a16="http://schemas.microsoft.com/office/drawing/2014/main" id="{C430C37E-C902-441C-BC89-562D7D7BD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200977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77</xdr:row>
      <xdr:rowOff>120000</xdr:rowOff>
    </xdr:from>
    <xdr:to>
      <xdr:col>18</xdr:col>
      <xdr:colOff>400050</xdr:colOff>
      <xdr:row>78</xdr:row>
      <xdr:rowOff>0</xdr:rowOff>
    </xdr:to>
    <xdr:pic>
      <xdr:nvPicPr>
        <xdr:cNvPr id="63" name="Picture 1" descr="Picture">
          <a:extLst>
            <a:ext uri="{FF2B5EF4-FFF2-40B4-BE49-F238E27FC236}">
              <a16:creationId xmlns:a16="http://schemas.microsoft.com/office/drawing/2014/main" id="{4521DADE-C7A7-4AAC-A24D-B299195A7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200977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77</xdr:row>
      <xdr:rowOff>120000</xdr:rowOff>
    </xdr:from>
    <xdr:to>
      <xdr:col>24</xdr:col>
      <xdr:colOff>400050</xdr:colOff>
      <xdr:row>78</xdr:row>
      <xdr:rowOff>0</xdr:rowOff>
    </xdr:to>
    <xdr:pic>
      <xdr:nvPicPr>
        <xdr:cNvPr id="64" name="Picture 1" descr="Picture">
          <a:extLst>
            <a:ext uri="{FF2B5EF4-FFF2-40B4-BE49-F238E27FC236}">
              <a16:creationId xmlns:a16="http://schemas.microsoft.com/office/drawing/2014/main" id="{6EF4C34B-FEC8-4227-85BA-03128F31A7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200977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77</xdr:row>
      <xdr:rowOff>120000</xdr:rowOff>
    </xdr:from>
    <xdr:to>
      <xdr:col>25</xdr:col>
      <xdr:colOff>400050</xdr:colOff>
      <xdr:row>78</xdr:row>
      <xdr:rowOff>0</xdr:rowOff>
    </xdr:to>
    <xdr:pic>
      <xdr:nvPicPr>
        <xdr:cNvPr id="65" name="Picture 1" descr="Picture">
          <a:extLst>
            <a:ext uri="{FF2B5EF4-FFF2-40B4-BE49-F238E27FC236}">
              <a16:creationId xmlns:a16="http://schemas.microsoft.com/office/drawing/2014/main" id="{4ADBB0AA-19C9-4DA6-B76D-8E2D78B2A6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200977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78</xdr:row>
      <xdr:rowOff>120000</xdr:rowOff>
    </xdr:from>
    <xdr:to>
      <xdr:col>12</xdr:col>
      <xdr:colOff>400050</xdr:colOff>
      <xdr:row>79</xdr:row>
      <xdr:rowOff>0</xdr:rowOff>
    </xdr:to>
    <xdr:pic>
      <xdr:nvPicPr>
        <xdr:cNvPr id="66" name="Picture 1" descr="Picture">
          <a:extLst>
            <a:ext uri="{FF2B5EF4-FFF2-40B4-BE49-F238E27FC236}">
              <a16:creationId xmlns:a16="http://schemas.microsoft.com/office/drawing/2014/main" id="{D3B4A629-9240-4DFB-8448-79E5F3571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200977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78</xdr:row>
      <xdr:rowOff>120000</xdr:rowOff>
    </xdr:from>
    <xdr:to>
      <xdr:col>17</xdr:col>
      <xdr:colOff>400050</xdr:colOff>
      <xdr:row>79</xdr:row>
      <xdr:rowOff>0</xdr:rowOff>
    </xdr:to>
    <xdr:pic>
      <xdr:nvPicPr>
        <xdr:cNvPr id="67" name="Picture 1" descr="Picture">
          <a:extLst>
            <a:ext uri="{FF2B5EF4-FFF2-40B4-BE49-F238E27FC236}">
              <a16:creationId xmlns:a16="http://schemas.microsoft.com/office/drawing/2014/main" id="{D2A53192-1C94-489C-9025-EE2BB23DA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200977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78</xdr:row>
      <xdr:rowOff>120000</xdr:rowOff>
    </xdr:from>
    <xdr:to>
      <xdr:col>18</xdr:col>
      <xdr:colOff>400050</xdr:colOff>
      <xdr:row>79</xdr:row>
      <xdr:rowOff>0</xdr:rowOff>
    </xdr:to>
    <xdr:pic>
      <xdr:nvPicPr>
        <xdr:cNvPr id="68" name="Picture 1" descr="Picture">
          <a:extLst>
            <a:ext uri="{FF2B5EF4-FFF2-40B4-BE49-F238E27FC236}">
              <a16:creationId xmlns:a16="http://schemas.microsoft.com/office/drawing/2014/main" id="{E6B81E79-6DC4-4158-A224-FFF035E6E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2009775"/>
          <a:ext cx="50050" cy="0"/>
        </a:xfrm>
        <a:prstGeom prst="rect">
          <a:avLst/>
        </a:prstGeom>
      </xdr:spPr>
    </xdr:pic>
    <xdr:clientData/>
  </xdr:twoCellAnchor>
  <xdr:twoCellAnchor>
    <xdr:from>
      <xdr:col>38</xdr:col>
      <xdr:colOff>350000</xdr:colOff>
      <xdr:row>78</xdr:row>
      <xdr:rowOff>120000</xdr:rowOff>
    </xdr:from>
    <xdr:to>
      <xdr:col>38</xdr:col>
      <xdr:colOff>400050</xdr:colOff>
      <xdr:row>79</xdr:row>
      <xdr:rowOff>0</xdr:rowOff>
    </xdr:to>
    <xdr:pic>
      <xdr:nvPicPr>
        <xdr:cNvPr id="69" name="Picture 1" descr="Picture">
          <a:extLst>
            <a:ext uri="{FF2B5EF4-FFF2-40B4-BE49-F238E27FC236}">
              <a16:creationId xmlns:a16="http://schemas.microsoft.com/office/drawing/2014/main" id="{46DF520D-C00E-4CA7-B121-4644C4801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232175" y="2009775"/>
          <a:ext cx="50050" cy="0"/>
        </a:xfrm>
        <a:prstGeom prst="rect">
          <a:avLst/>
        </a:prstGeom>
      </xdr:spPr>
    </xdr:pic>
    <xdr:clientData/>
  </xdr:twoCellAnchor>
  <xdr:twoCellAnchor>
    <xdr:from>
      <xdr:col>39</xdr:col>
      <xdr:colOff>350000</xdr:colOff>
      <xdr:row>78</xdr:row>
      <xdr:rowOff>120000</xdr:rowOff>
    </xdr:from>
    <xdr:to>
      <xdr:col>39</xdr:col>
      <xdr:colOff>400050</xdr:colOff>
      <xdr:row>79</xdr:row>
      <xdr:rowOff>0</xdr:rowOff>
    </xdr:to>
    <xdr:pic>
      <xdr:nvPicPr>
        <xdr:cNvPr id="70" name="Picture 1" descr="Picture">
          <a:extLst>
            <a:ext uri="{FF2B5EF4-FFF2-40B4-BE49-F238E27FC236}">
              <a16:creationId xmlns:a16="http://schemas.microsoft.com/office/drawing/2014/main" id="{B55A8E82-1D0A-4B16-9988-5D12C9F2D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251350" y="2009775"/>
          <a:ext cx="50050" cy="0"/>
        </a:xfrm>
        <a:prstGeom prst="rect">
          <a:avLst/>
        </a:prstGeom>
      </xdr:spPr>
    </xdr:pic>
    <xdr:clientData/>
  </xdr:twoCellAnchor>
  <xdr:twoCellAnchor>
    <xdr:from>
      <xdr:col>40</xdr:col>
      <xdr:colOff>350000</xdr:colOff>
      <xdr:row>78</xdr:row>
      <xdr:rowOff>120000</xdr:rowOff>
    </xdr:from>
    <xdr:to>
      <xdr:col>40</xdr:col>
      <xdr:colOff>400050</xdr:colOff>
      <xdr:row>79</xdr:row>
      <xdr:rowOff>0</xdr:rowOff>
    </xdr:to>
    <xdr:pic>
      <xdr:nvPicPr>
        <xdr:cNvPr id="71" name="Picture 1" descr="Picture">
          <a:extLst>
            <a:ext uri="{FF2B5EF4-FFF2-40B4-BE49-F238E27FC236}">
              <a16:creationId xmlns:a16="http://schemas.microsoft.com/office/drawing/2014/main" id="{F98BEA50-0076-4474-ADBC-41539030A3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270525" y="200977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79</xdr:row>
      <xdr:rowOff>120000</xdr:rowOff>
    </xdr:from>
    <xdr:to>
      <xdr:col>12</xdr:col>
      <xdr:colOff>400050</xdr:colOff>
      <xdr:row>80</xdr:row>
      <xdr:rowOff>0</xdr:rowOff>
    </xdr:to>
    <xdr:pic>
      <xdr:nvPicPr>
        <xdr:cNvPr id="72" name="Picture 1" descr="Picture">
          <a:extLst>
            <a:ext uri="{FF2B5EF4-FFF2-40B4-BE49-F238E27FC236}">
              <a16:creationId xmlns:a16="http://schemas.microsoft.com/office/drawing/2014/main" id="{8D7AFE9E-732F-4F44-9F43-BC0719B1E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200977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79</xdr:row>
      <xdr:rowOff>120000</xdr:rowOff>
    </xdr:from>
    <xdr:to>
      <xdr:col>17</xdr:col>
      <xdr:colOff>400050</xdr:colOff>
      <xdr:row>80</xdr:row>
      <xdr:rowOff>0</xdr:rowOff>
    </xdr:to>
    <xdr:pic>
      <xdr:nvPicPr>
        <xdr:cNvPr id="73" name="Picture 1" descr="Picture">
          <a:extLst>
            <a:ext uri="{FF2B5EF4-FFF2-40B4-BE49-F238E27FC236}">
              <a16:creationId xmlns:a16="http://schemas.microsoft.com/office/drawing/2014/main" id="{6D870F87-B65E-4718-A0AD-58133DCE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200977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79</xdr:row>
      <xdr:rowOff>120000</xdr:rowOff>
    </xdr:from>
    <xdr:to>
      <xdr:col>18</xdr:col>
      <xdr:colOff>400050</xdr:colOff>
      <xdr:row>80</xdr:row>
      <xdr:rowOff>0</xdr:rowOff>
    </xdr:to>
    <xdr:pic>
      <xdr:nvPicPr>
        <xdr:cNvPr id="74" name="Picture 1" descr="Picture">
          <a:extLst>
            <a:ext uri="{FF2B5EF4-FFF2-40B4-BE49-F238E27FC236}">
              <a16:creationId xmlns:a16="http://schemas.microsoft.com/office/drawing/2014/main" id="{9E1F13B0-B586-4E7D-8CAA-B691BAB53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200977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79</xdr:row>
      <xdr:rowOff>120000</xdr:rowOff>
    </xdr:from>
    <xdr:to>
      <xdr:col>24</xdr:col>
      <xdr:colOff>400050</xdr:colOff>
      <xdr:row>80</xdr:row>
      <xdr:rowOff>0</xdr:rowOff>
    </xdr:to>
    <xdr:pic>
      <xdr:nvPicPr>
        <xdr:cNvPr id="75" name="Picture 1" descr="Picture">
          <a:extLst>
            <a:ext uri="{FF2B5EF4-FFF2-40B4-BE49-F238E27FC236}">
              <a16:creationId xmlns:a16="http://schemas.microsoft.com/office/drawing/2014/main" id="{1FEA4DBF-DC31-4AF1-B83F-D399195D9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200977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79</xdr:row>
      <xdr:rowOff>120000</xdr:rowOff>
    </xdr:from>
    <xdr:to>
      <xdr:col>25</xdr:col>
      <xdr:colOff>400050</xdr:colOff>
      <xdr:row>80</xdr:row>
      <xdr:rowOff>0</xdr:rowOff>
    </xdr:to>
    <xdr:pic>
      <xdr:nvPicPr>
        <xdr:cNvPr id="76" name="Picture 1" descr="Picture">
          <a:extLst>
            <a:ext uri="{FF2B5EF4-FFF2-40B4-BE49-F238E27FC236}">
              <a16:creationId xmlns:a16="http://schemas.microsoft.com/office/drawing/2014/main" id="{2307B77F-DAC6-42E2-8447-E3AC6E6967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2009775"/>
          <a:ext cx="50050" cy="0"/>
        </a:xfrm>
        <a:prstGeom prst="rect">
          <a:avLst/>
        </a:prstGeom>
      </xdr:spPr>
    </xdr:pic>
    <xdr:clientData/>
  </xdr:twoCellAnchor>
  <xdr:twoCellAnchor>
    <xdr:from>
      <xdr:col>38</xdr:col>
      <xdr:colOff>350000</xdr:colOff>
      <xdr:row>79</xdr:row>
      <xdr:rowOff>120000</xdr:rowOff>
    </xdr:from>
    <xdr:to>
      <xdr:col>38</xdr:col>
      <xdr:colOff>400050</xdr:colOff>
      <xdr:row>80</xdr:row>
      <xdr:rowOff>0</xdr:rowOff>
    </xdr:to>
    <xdr:pic>
      <xdr:nvPicPr>
        <xdr:cNvPr id="77" name="Picture 1" descr="Picture">
          <a:extLst>
            <a:ext uri="{FF2B5EF4-FFF2-40B4-BE49-F238E27FC236}">
              <a16:creationId xmlns:a16="http://schemas.microsoft.com/office/drawing/2014/main" id="{4E0A17E4-1B2A-4284-97BC-6C013366B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232175" y="2009775"/>
          <a:ext cx="50050" cy="0"/>
        </a:xfrm>
        <a:prstGeom prst="rect">
          <a:avLst/>
        </a:prstGeom>
      </xdr:spPr>
    </xdr:pic>
    <xdr:clientData/>
  </xdr:twoCellAnchor>
  <xdr:twoCellAnchor>
    <xdr:from>
      <xdr:col>39</xdr:col>
      <xdr:colOff>350000</xdr:colOff>
      <xdr:row>79</xdr:row>
      <xdr:rowOff>120000</xdr:rowOff>
    </xdr:from>
    <xdr:to>
      <xdr:col>39</xdr:col>
      <xdr:colOff>400050</xdr:colOff>
      <xdr:row>80</xdr:row>
      <xdr:rowOff>0</xdr:rowOff>
    </xdr:to>
    <xdr:pic>
      <xdr:nvPicPr>
        <xdr:cNvPr id="78" name="Picture 1" descr="Picture">
          <a:extLst>
            <a:ext uri="{FF2B5EF4-FFF2-40B4-BE49-F238E27FC236}">
              <a16:creationId xmlns:a16="http://schemas.microsoft.com/office/drawing/2014/main" id="{E1B76130-2527-49D0-8472-8289E11CD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251350" y="2009775"/>
          <a:ext cx="50050" cy="0"/>
        </a:xfrm>
        <a:prstGeom prst="rect">
          <a:avLst/>
        </a:prstGeom>
      </xdr:spPr>
    </xdr:pic>
    <xdr:clientData/>
  </xdr:twoCellAnchor>
  <xdr:twoCellAnchor>
    <xdr:from>
      <xdr:col>40</xdr:col>
      <xdr:colOff>350000</xdr:colOff>
      <xdr:row>79</xdr:row>
      <xdr:rowOff>120000</xdr:rowOff>
    </xdr:from>
    <xdr:to>
      <xdr:col>40</xdr:col>
      <xdr:colOff>400050</xdr:colOff>
      <xdr:row>80</xdr:row>
      <xdr:rowOff>0</xdr:rowOff>
    </xdr:to>
    <xdr:pic>
      <xdr:nvPicPr>
        <xdr:cNvPr id="79" name="Picture 1" descr="Picture">
          <a:extLst>
            <a:ext uri="{FF2B5EF4-FFF2-40B4-BE49-F238E27FC236}">
              <a16:creationId xmlns:a16="http://schemas.microsoft.com/office/drawing/2014/main" id="{AF01C047-7AA9-4B29-AE33-48F71C5D1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270525" y="200977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80</xdr:row>
      <xdr:rowOff>120000</xdr:rowOff>
    </xdr:from>
    <xdr:to>
      <xdr:col>17</xdr:col>
      <xdr:colOff>400050</xdr:colOff>
      <xdr:row>81</xdr:row>
      <xdr:rowOff>0</xdr:rowOff>
    </xdr:to>
    <xdr:pic>
      <xdr:nvPicPr>
        <xdr:cNvPr id="80" name="Picture 1" descr="Picture">
          <a:extLst>
            <a:ext uri="{FF2B5EF4-FFF2-40B4-BE49-F238E27FC236}">
              <a16:creationId xmlns:a16="http://schemas.microsoft.com/office/drawing/2014/main" id="{EF4D34FB-BEBB-4B48-AEFE-82E932AB0B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200977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80</xdr:row>
      <xdr:rowOff>120000</xdr:rowOff>
    </xdr:from>
    <xdr:to>
      <xdr:col>18</xdr:col>
      <xdr:colOff>400050</xdr:colOff>
      <xdr:row>81</xdr:row>
      <xdr:rowOff>0</xdr:rowOff>
    </xdr:to>
    <xdr:pic>
      <xdr:nvPicPr>
        <xdr:cNvPr id="81" name="Picture 1" descr="Picture">
          <a:extLst>
            <a:ext uri="{FF2B5EF4-FFF2-40B4-BE49-F238E27FC236}">
              <a16:creationId xmlns:a16="http://schemas.microsoft.com/office/drawing/2014/main" id="{8E392EAD-2079-4FA2-891A-3F19922E2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200977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80</xdr:row>
      <xdr:rowOff>120000</xdr:rowOff>
    </xdr:from>
    <xdr:to>
      <xdr:col>24</xdr:col>
      <xdr:colOff>400050</xdr:colOff>
      <xdr:row>81</xdr:row>
      <xdr:rowOff>0</xdr:rowOff>
    </xdr:to>
    <xdr:pic>
      <xdr:nvPicPr>
        <xdr:cNvPr id="82" name="Picture 1" descr="Picture">
          <a:extLst>
            <a:ext uri="{FF2B5EF4-FFF2-40B4-BE49-F238E27FC236}">
              <a16:creationId xmlns:a16="http://schemas.microsoft.com/office/drawing/2014/main" id="{C755BA45-CE36-4088-A391-B9E902E5A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200977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80</xdr:row>
      <xdr:rowOff>120000</xdr:rowOff>
    </xdr:from>
    <xdr:to>
      <xdr:col>25</xdr:col>
      <xdr:colOff>400050</xdr:colOff>
      <xdr:row>81</xdr:row>
      <xdr:rowOff>0</xdr:rowOff>
    </xdr:to>
    <xdr:pic>
      <xdr:nvPicPr>
        <xdr:cNvPr id="83" name="Picture 1" descr="Picture">
          <a:extLst>
            <a:ext uri="{FF2B5EF4-FFF2-40B4-BE49-F238E27FC236}">
              <a16:creationId xmlns:a16="http://schemas.microsoft.com/office/drawing/2014/main" id="{D1B1E5FC-31CC-471F-9A67-AC6DBB05E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200977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81</xdr:row>
      <xdr:rowOff>120000</xdr:rowOff>
    </xdr:from>
    <xdr:to>
      <xdr:col>12</xdr:col>
      <xdr:colOff>400050</xdr:colOff>
      <xdr:row>82</xdr:row>
      <xdr:rowOff>0</xdr:rowOff>
    </xdr:to>
    <xdr:pic>
      <xdr:nvPicPr>
        <xdr:cNvPr id="84" name="Picture 1" descr="Picture">
          <a:extLst>
            <a:ext uri="{FF2B5EF4-FFF2-40B4-BE49-F238E27FC236}">
              <a16:creationId xmlns:a16="http://schemas.microsoft.com/office/drawing/2014/main" id="{D08C9A1A-A76F-4543-997C-229F41A4C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200977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81</xdr:row>
      <xdr:rowOff>120000</xdr:rowOff>
    </xdr:from>
    <xdr:to>
      <xdr:col>17</xdr:col>
      <xdr:colOff>400050</xdr:colOff>
      <xdr:row>82</xdr:row>
      <xdr:rowOff>0</xdr:rowOff>
    </xdr:to>
    <xdr:pic>
      <xdr:nvPicPr>
        <xdr:cNvPr id="85" name="Picture 1" descr="Picture">
          <a:extLst>
            <a:ext uri="{FF2B5EF4-FFF2-40B4-BE49-F238E27FC236}">
              <a16:creationId xmlns:a16="http://schemas.microsoft.com/office/drawing/2014/main" id="{C8186A25-B279-4EA4-A0B6-F5268DDD7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200977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81</xdr:row>
      <xdr:rowOff>120000</xdr:rowOff>
    </xdr:from>
    <xdr:to>
      <xdr:col>18</xdr:col>
      <xdr:colOff>400050</xdr:colOff>
      <xdr:row>82</xdr:row>
      <xdr:rowOff>0</xdr:rowOff>
    </xdr:to>
    <xdr:pic>
      <xdr:nvPicPr>
        <xdr:cNvPr id="86" name="Picture 1" descr="Picture">
          <a:extLst>
            <a:ext uri="{FF2B5EF4-FFF2-40B4-BE49-F238E27FC236}">
              <a16:creationId xmlns:a16="http://schemas.microsoft.com/office/drawing/2014/main" id="{181791A1-8864-4E31-8994-712C104801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200977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81</xdr:row>
      <xdr:rowOff>120000</xdr:rowOff>
    </xdr:from>
    <xdr:to>
      <xdr:col>24</xdr:col>
      <xdr:colOff>400050</xdr:colOff>
      <xdr:row>82</xdr:row>
      <xdr:rowOff>0</xdr:rowOff>
    </xdr:to>
    <xdr:pic>
      <xdr:nvPicPr>
        <xdr:cNvPr id="87" name="Picture 1" descr="Picture">
          <a:extLst>
            <a:ext uri="{FF2B5EF4-FFF2-40B4-BE49-F238E27FC236}">
              <a16:creationId xmlns:a16="http://schemas.microsoft.com/office/drawing/2014/main" id="{937D0BDC-5537-4C5C-A623-E4063EB13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200977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81</xdr:row>
      <xdr:rowOff>120000</xdr:rowOff>
    </xdr:from>
    <xdr:to>
      <xdr:col>25</xdr:col>
      <xdr:colOff>400050</xdr:colOff>
      <xdr:row>82</xdr:row>
      <xdr:rowOff>0</xdr:rowOff>
    </xdr:to>
    <xdr:pic>
      <xdr:nvPicPr>
        <xdr:cNvPr id="88" name="Picture 1" descr="Picture">
          <a:extLst>
            <a:ext uri="{FF2B5EF4-FFF2-40B4-BE49-F238E27FC236}">
              <a16:creationId xmlns:a16="http://schemas.microsoft.com/office/drawing/2014/main" id="{6E03DB18-34C7-4F1F-914E-65874DEFD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200977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82</xdr:row>
      <xdr:rowOff>120000</xdr:rowOff>
    </xdr:from>
    <xdr:to>
      <xdr:col>12</xdr:col>
      <xdr:colOff>400050</xdr:colOff>
      <xdr:row>83</xdr:row>
      <xdr:rowOff>0</xdr:rowOff>
    </xdr:to>
    <xdr:pic>
      <xdr:nvPicPr>
        <xdr:cNvPr id="89" name="Picture 1" descr="Picture">
          <a:extLst>
            <a:ext uri="{FF2B5EF4-FFF2-40B4-BE49-F238E27FC236}">
              <a16:creationId xmlns:a16="http://schemas.microsoft.com/office/drawing/2014/main" id="{5C83DD55-5DCB-4935-9FF8-E8C706D6C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200977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82</xdr:row>
      <xdr:rowOff>120000</xdr:rowOff>
    </xdr:from>
    <xdr:to>
      <xdr:col>17</xdr:col>
      <xdr:colOff>400050</xdr:colOff>
      <xdr:row>83</xdr:row>
      <xdr:rowOff>0</xdr:rowOff>
    </xdr:to>
    <xdr:pic>
      <xdr:nvPicPr>
        <xdr:cNvPr id="90" name="Picture 1" descr="Picture">
          <a:extLst>
            <a:ext uri="{FF2B5EF4-FFF2-40B4-BE49-F238E27FC236}">
              <a16:creationId xmlns:a16="http://schemas.microsoft.com/office/drawing/2014/main" id="{CFB360C0-B503-4F22-B8C8-DB0B88A01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200977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82</xdr:row>
      <xdr:rowOff>120000</xdr:rowOff>
    </xdr:from>
    <xdr:to>
      <xdr:col>18</xdr:col>
      <xdr:colOff>400050</xdr:colOff>
      <xdr:row>83</xdr:row>
      <xdr:rowOff>0</xdr:rowOff>
    </xdr:to>
    <xdr:pic>
      <xdr:nvPicPr>
        <xdr:cNvPr id="91" name="Picture 1" descr="Picture">
          <a:extLst>
            <a:ext uri="{FF2B5EF4-FFF2-40B4-BE49-F238E27FC236}">
              <a16:creationId xmlns:a16="http://schemas.microsoft.com/office/drawing/2014/main" id="{ECC6BA42-1906-4703-8FF4-F4F19826F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200977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82</xdr:row>
      <xdr:rowOff>120000</xdr:rowOff>
    </xdr:from>
    <xdr:to>
      <xdr:col>24</xdr:col>
      <xdr:colOff>400050</xdr:colOff>
      <xdr:row>83</xdr:row>
      <xdr:rowOff>0</xdr:rowOff>
    </xdr:to>
    <xdr:pic>
      <xdr:nvPicPr>
        <xdr:cNvPr id="92" name="Picture 1" descr="Picture">
          <a:extLst>
            <a:ext uri="{FF2B5EF4-FFF2-40B4-BE49-F238E27FC236}">
              <a16:creationId xmlns:a16="http://schemas.microsoft.com/office/drawing/2014/main" id="{3EE6CD99-9C11-4486-8FC0-2F9A82880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200977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82</xdr:row>
      <xdr:rowOff>120000</xdr:rowOff>
    </xdr:from>
    <xdr:to>
      <xdr:col>25</xdr:col>
      <xdr:colOff>400050</xdr:colOff>
      <xdr:row>83</xdr:row>
      <xdr:rowOff>0</xdr:rowOff>
    </xdr:to>
    <xdr:pic>
      <xdr:nvPicPr>
        <xdr:cNvPr id="93" name="Picture 1" descr="Picture">
          <a:extLst>
            <a:ext uri="{FF2B5EF4-FFF2-40B4-BE49-F238E27FC236}">
              <a16:creationId xmlns:a16="http://schemas.microsoft.com/office/drawing/2014/main" id="{4C319FBB-037E-40DE-9362-114DC6D13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200977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83</xdr:row>
      <xdr:rowOff>120000</xdr:rowOff>
    </xdr:from>
    <xdr:to>
      <xdr:col>12</xdr:col>
      <xdr:colOff>400050</xdr:colOff>
      <xdr:row>84</xdr:row>
      <xdr:rowOff>0</xdr:rowOff>
    </xdr:to>
    <xdr:pic>
      <xdr:nvPicPr>
        <xdr:cNvPr id="94" name="Picture 1" descr="Picture">
          <a:extLst>
            <a:ext uri="{FF2B5EF4-FFF2-40B4-BE49-F238E27FC236}">
              <a16:creationId xmlns:a16="http://schemas.microsoft.com/office/drawing/2014/main" id="{1DBB21DF-EDE4-4D0B-BD9E-650FDE03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200977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83</xdr:row>
      <xdr:rowOff>120000</xdr:rowOff>
    </xdr:from>
    <xdr:to>
      <xdr:col>17</xdr:col>
      <xdr:colOff>400050</xdr:colOff>
      <xdr:row>84</xdr:row>
      <xdr:rowOff>0</xdr:rowOff>
    </xdr:to>
    <xdr:pic>
      <xdr:nvPicPr>
        <xdr:cNvPr id="95" name="Picture 1" descr="Picture">
          <a:extLst>
            <a:ext uri="{FF2B5EF4-FFF2-40B4-BE49-F238E27FC236}">
              <a16:creationId xmlns:a16="http://schemas.microsoft.com/office/drawing/2014/main" id="{3543BB6C-A3BD-43F7-A94D-1757F9C61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200977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83</xdr:row>
      <xdr:rowOff>120000</xdr:rowOff>
    </xdr:from>
    <xdr:to>
      <xdr:col>18</xdr:col>
      <xdr:colOff>400050</xdr:colOff>
      <xdr:row>84</xdr:row>
      <xdr:rowOff>0</xdr:rowOff>
    </xdr:to>
    <xdr:pic>
      <xdr:nvPicPr>
        <xdr:cNvPr id="96" name="Picture 1" descr="Picture">
          <a:extLst>
            <a:ext uri="{FF2B5EF4-FFF2-40B4-BE49-F238E27FC236}">
              <a16:creationId xmlns:a16="http://schemas.microsoft.com/office/drawing/2014/main" id="{D6F7C622-4CF3-464C-81DB-40D1C530E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200977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83</xdr:row>
      <xdr:rowOff>120000</xdr:rowOff>
    </xdr:from>
    <xdr:to>
      <xdr:col>24</xdr:col>
      <xdr:colOff>400050</xdr:colOff>
      <xdr:row>84</xdr:row>
      <xdr:rowOff>0</xdr:rowOff>
    </xdr:to>
    <xdr:pic>
      <xdr:nvPicPr>
        <xdr:cNvPr id="97" name="Picture 1" descr="Picture">
          <a:extLst>
            <a:ext uri="{FF2B5EF4-FFF2-40B4-BE49-F238E27FC236}">
              <a16:creationId xmlns:a16="http://schemas.microsoft.com/office/drawing/2014/main" id="{4EDFDEC6-4934-45BA-9AC0-0FDBB5DC0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200977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83</xdr:row>
      <xdr:rowOff>120000</xdr:rowOff>
    </xdr:from>
    <xdr:to>
      <xdr:col>25</xdr:col>
      <xdr:colOff>400050</xdr:colOff>
      <xdr:row>84</xdr:row>
      <xdr:rowOff>0</xdr:rowOff>
    </xdr:to>
    <xdr:pic>
      <xdr:nvPicPr>
        <xdr:cNvPr id="98" name="Picture 1" descr="Picture">
          <a:extLst>
            <a:ext uri="{FF2B5EF4-FFF2-40B4-BE49-F238E27FC236}">
              <a16:creationId xmlns:a16="http://schemas.microsoft.com/office/drawing/2014/main" id="{D4BA2ED1-2CB4-4084-A456-5E9621DF2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2009775"/>
          <a:ext cx="50050" cy="0"/>
        </a:xfrm>
        <a:prstGeom prst="rect">
          <a:avLst/>
        </a:prstGeom>
      </xdr:spPr>
    </xdr:pic>
    <xdr:clientData/>
  </xdr:twoCellAnchor>
  <xdr:twoCellAnchor>
    <xdr:from>
      <xdr:col>38</xdr:col>
      <xdr:colOff>350000</xdr:colOff>
      <xdr:row>83</xdr:row>
      <xdr:rowOff>120000</xdr:rowOff>
    </xdr:from>
    <xdr:to>
      <xdr:col>38</xdr:col>
      <xdr:colOff>400050</xdr:colOff>
      <xdr:row>84</xdr:row>
      <xdr:rowOff>0</xdr:rowOff>
    </xdr:to>
    <xdr:pic>
      <xdr:nvPicPr>
        <xdr:cNvPr id="99" name="Picture 1" descr="Picture">
          <a:extLst>
            <a:ext uri="{FF2B5EF4-FFF2-40B4-BE49-F238E27FC236}">
              <a16:creationId xmlns:a16="http://schemas.microsoft.com/office/drawing/2014/main" id="{FAFACCDE-7A26-433E-AF83-9BA31E925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232175" y="2009775"/>
          <a:ext cx="50050" cy="0"/>
        </a:xfrm>
        <a:prstGeom prst="rect">
          <a:avLst/>
        </a:prstGeom>
      </xdr:spPr>
    </xdr:pic>
    <xdr:clientData/>
  </xdr:twoCellAnchor>
  <xdr:twoCellAnchor>
    <xdr:from>
      <xdr:col>39</xdr:col>
      <xdr:colOff>350000</xdr:colOff>
      <xdr:row>83</xdr:row>
      <xdr:rowOff>120000</xdr:rowOff>
    </xdr:from>
    <xdr:to>
      <xdr:col>39</xdr:col>
      <xdr:colOff>400050</xdr:colOff>
      <xdr:row>84</xdr:row>
      <xdr:rowOff>0</xdr:rowOff>
    </xdr:to>
    <xdr:pic>
      <xdr:nvPicPr>
        <xdr:cNvPr id="100" name="Picture 1" descr="Picture">
          <a:extLst>
            <a:ext uri="{FF2B5EF4-FFF2-40B4-BE49-F238E27FC236}">
              <a16:creationId xmlns:a16="http://schemas.microsoft.com/office/drawing/2014/main" id="{464DFE69-DB7F-47F3-AF22-93442E7F94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251350" y="2009775"/>
          <a:ext cx="50050" cy="0"/>
        </a:xfrm>
        <a:prstGeom prst="rect">
          <a:avLst/>
        </a:prstGeom>
      </xdr:spPr>
    </xdr:pic>
    <xdr:clientData/>
  </xdr:twoCellAnchor>
  <xdr:twoCellAnchor>
    <xdr:from>
      <xdr:col>40</xdr:col>
      <xdr:colOff>350000</xdr:colOff>
      <xdr:row>83</xdr:row>
      <xdr:rowOff>120000</xdr:rowOff>
    </xdr:from>
    <xdr:to>
      <xdr:col>40</xdr:col>
      <xdr:colOff>400050</xdr:colOff>
      <xdr:row>84</xdr:row>
      <xdr:rowOff>0</xdr:rowOff>
    </xdr:to>
    <xdr:pic>
      <xdr:nvPicPr>
        <xdr:cNvPr id="101" name="Picture 1" descr="Picture">
          <a:extLst>
            <a:ext uri="{FF2B5EF4-FFF2-40B4-BE49-F238E27FC236}">
              <a16:creationId xmlns:a16="http://schemas.microsoft.com/office/drawing/2014/main" id="{AF3E0C14-8E5F-44E4-9326-9307DC9FB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270525" y="200977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120000</xdr:colOff>
      <xdr:row>85</xdr:row>
      <xdr:rowOff>0</xdr:rowOff>
    </xdr:from>
    <xdr:to>
      <xdr:col>12</xdr:col>
      <xdr:colOff>290512</xdr:colOff>
      <xdr:row>86</xdr:row>
      <xdr:rowOff>0</xdr:rowOff>
    </xdr:to>
    <xdr:pic>
      <xdr:nvPicPr>
        <xdr:cNvPr id="102" name="Picture 1" descr="Picture">
          <a:extLst>
            <a:ext uri="{FF2B5EF4-FFF2-40B4-BE49-F238E27FC236}">
              <a16:creationId xmlns:a16="http://schemas.microsoft.com/office/drawing/2014/main" id="{E92DE29B-1503-46BE-8382-6B8ED4816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75225" y="2009775"/>
          <a:ext cx="170512" cy="0"/>
        </a:xfrm>
        <a:prstGeom prst="rect">
          <a:avLst/>
        </a:prstGeom>
      </xdr:spPr>
    </xdr:pic>
    <xdr:clientData/>
  </xdr:twoCellAnchor>
  <xdr:twoCellAnchor>
    <xdr:from>
      <xdr:col>14</xdr:col>
      <xdr:colOff>120000</xdr:colOff>
      <xdr:row>85</xdr:row>
      <xdr:rowOff>0</xdr:rowOff>
    </xdr:from>
    <xdr:to>
      <xdr:col>14</xdr:col>
      <xdr:colOff>290512</xdr:colOff>
      <xdr:row>86</xdr:row>
      <xdr:rowOff>0</xdr:rowOff>
    </xdr:to>
    <xdr:pic>
      <xdr:nvPicPr>
        <xdr:cNvPr id="103" name="Picture 1" descr="Picture">
          <a:extLst>
            <a:ext uri="{FF2B5EF4-FFF2-40B4-BE49-F238E27FC236}">
              <a16:creationId xmlns:a16="http://schemas.microsoft.com/office/drawing/2014/main" id="{8F1C5E1B-7D1C-4A76-B056-A6BD3B4376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541975" y="2009775"/>
          <a:ext cx="170512" cy="0"/>
        </a:xfrm>
        <a:prstGeom prst="rect">
          <a:avLst/>
        </a:prstGeom>
      </xdr:spPr>
    </xdr:pic>
    <xdr:clientData/>
  </xdr:twoCellAnchor>
  <xdr:twoCellAnchor>
    <xdr:from>
      <xdr:col>15</xdr:col>
      <xdr:colOff>120000</xdr:colOff>
      <xdr:row>85</xdr:row>
      <xdr:rowOff>0</xdr:rowOff>
    </xdr:from>
    <xdr:to>
      <xdr:col>15</xdr:col>
      <xdr:colOff>290512</xdr:colOff>
      <xdr:row>86</xdr:row>
      <xdr:rowOff>0</xdr:rowOff>
    </xdr:to>
    <xdr:pic>
      <xdr:nvPicPr>
        <xdr:cNvPr id="104" name="Picture 1" descr="Picture">
          <a:extLst>
            <a:ext uri="{FF2B5EF4-FFF2-40B4-BE49-F238E27FC236}">
              <a16:creationId xmlns:a16="http://schemas.microsoft.com/office/drawing/2014/main" id="{33147499-0097-4B8F-AE3D-5F6B39613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561150" y="2009775"/>
          <a:ext cx="170512" cy="0"/>
        </a:xfrm>
        <a:prstGeom prst="rect">
          <a:avLst/>
        </a:prstGeom>
      </xdr:spPr>
    </xdr:pic>
    <xdr:clientData/>
  </xdr:twoCellAnchor>
  <xdr:twoCellAnchor>
    <xdr:from>
      <xdr:col>17</xdr:col>
      <xdr:colOff>120000</xdr:colOff>
      <xdr:row>85</xdr:row>
      <xdr:rowOff>0</xdr:rowOff>
    </xdr:from>
    <xdr:to>
      <xdr:col>17</xdr:col>
      <xdr:colOff>290512</xdr:colOff>
      <xdr:row>86</xdr:row>
      <xdr:rowOff>0</xdr:rowOff>
    </xdr:to>
    <xdr:pic>
      <xdr:nvPicPr>
        <xdr:cNvPr id="105" name="Picture 1" descr="Picture">
          <a:extLst>
            <a:ext uri="{FF2B5EF4-FFF2-40B4-BE49-F238E27FC236}">
              <a16:creationId xmlns:a16="http://schemas.microsoft.com/office/drawing/2014/main" id="{03FF8AF6-04EF-41E9-8C88-7BCA72345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99500" y="2009775"/>
          <a:ext cx="170512" cy="0"/>
        </a:xfrm>
        <a:prstGeom prst="rect">
          <a:avLst/>
        </a:prstGeom>
      </xdr:spPr>
    </xdr:pic>
    <xdr:clientData/>
  </xdr:twoCellAnchor>
  <xdr:twoCellAnchor>
    <xdr:from>
      <xdr:col>18</xdr:col>
      <xdr:colOff>120000</xdr:colOff>
      <xdr:row>85</xdr:row>
      <xdr:rowOff>0</xdr:rowOff>
    </xdr:from>
    <xdr:to>
      <xdr:col>18</xdr:col>
      <xdr:colOff>290512</xdr:colOff>
      <xdr:row>86</xdr:row>
      <xdr:rowOff>0</xdr:rowOff>
    </xdr:to>
    <xdr:pic>
      <xdr:nvPicPr>
        <xdr:cNvPr id="106" name="Picture 1" descr="Picture">
          <a:extLst>
            <a:ext uri="{FF2B5EF4-FFF2-40B4-BE49-F238E27FC236}">
              <a16:creationId xmlns:a16="http://schemas.microsoft.com/office/drawing/2014/main" id="{4A2E530B-E6ED-4006-94B8-B766BDB2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18675" y="2009775"/>
          <a:ext cx="170512" cy="0"/>
        </a:xfrm>
        <a:prstGeom prst="rect">
          <a:avLst/>
        </a:prstGeom>
      </xdr:spPr>
    </xdr:pic>
    <xdr:clientData/>
  </xdr:twoCellAnchor>
  <xdr:twoCellAnchor>
    <xdr:from>
      <xdr:col>19</xdr:col>
      <xdr:colOff>120000</xdr:colOff>
      <xdr:row>85</xdr:row>
      <xdr:rowOff>0</xdr:rowOff>
    </xdr:from>
    <xdr:to>
      <xdr:col>19</xdr:col>
      <xdr:colOff>290512</xdr:colOff>
      <xdr:row>86</xdr:row>
      <xdr:rowOff>0</xdr:rowOff>
    </xdr:to>
    <xdr:pic>
      <xdr:nvPicPr>
        <xdr:cNvPr id="107" name="Picture 1" descr="Picture">
          <a:extLst>
            <a:ext uri="{FF2B5EF4-FFF2-40B4-BE49-F238E27FC236}">
              <a16:creationId xmlns:a16="http://schemas.microsoft.com/office/drawing/2014/main" id="{8315A6E5-7B7C-4339-955D-49C1246C5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37850" y="2009775"/>
          <a:ext cx="170512" cy="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85</xdr:row>
      <xdr:rowOff>0</xdr:rowOff>
    </xdr:from>
    <xdr:to>
      <xdr:col>28</xdr:col>
      <xdr:colOff>290512</xdr:colOff>
      <xdr:row>86</xdr:row>
      <xdr:rowOff>0</xdr:rowOff>
    </xdr:to>
    <xdr:pic>
      <xdr:nvPicPr>
        <xdr:cNvPr id="108" name="Picture 1" descr="Picture">
          <a:extLst>
            <a:ext uri="{FF2B5EF4-FFF2-40B4-BE49-F238E27FC236}">
              <a16:creationId xmlns:a16="http://schemas.microsoft.com/office/drawing/2014/main" id="{7E97A5C7-236D-48E0-B2FF-EA5E0CA29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810425" y="2009775"/>
          <a:ext cx="170512" cy="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85</xdr:row>
      <xdr:rowOff>0</xdr:rowOff>
    </xdr:from>
    <xdr:to>
      <xdr:col>29</xdr:col>
      <xdr:colOff>290512</xdr:colOff>
      <xdr:row>86</xdr:row>
      <xdr:rowOff>0</xdr:rowOff>
    </xdr:to>
    <xdr:pic>
      <xdr:nvPicPr>
        <xdr:cNvPr id="109" name="Picture 1" descr="Picture">
          <a:extLst>
            <a:ext uri="{FF2B5EF4-FFF2-40B4-BE49-F238E27FC236}">
              <a16:creationId xmlns:a16="http://schemas.microsoft.com/office/drawing/2014/main" id="{E2D650DD-D676-46BE-BB2E-2AB9D18E4C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29600" y="2009775"/>
          <a:ext cx="170512" cy="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85</xdr:row>
      <xdr:rowOff>0</xdr:rowOff>
    </xdr:from>
    <xdr:to>
      <xdr:col>31</xdr:col>
      <xdr:colOff>290512</xdr:colOff>
      <xdr:row>86</xdr:row>
      <xdr:rowOff>0</xdr:rowOff>
    </xdr:to>
    <xdr:pic>
      <xdr:nvPicPr>
        <xdr:cNvPr id="110" name="Picture 1" descr="Picture">
          <a:extLst>
            <a:ext uri="{FF2B5EF4-FFF2-40B4-BE49-F238E27FC236}">
              <a16:creationId xmlns:a16="http://schemas.microsoft.com/office/drawing/2014/main" id="{E386CF5E-D428-43A6-B86F-ECB155DF57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67950" y="2009775"/>
          <a:ext cx="170512" cy="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85</xdr:row>
      <xdr:rowOff>0</xdr:rowOff>
    </xdr:from>
    <xdr:to>
      <xdr:col>32</xdr:col>
      <xdr:colOff>290512</xdr:colOff>
      <xdr:row>86</xdr:row>
      <xdr:rowOff>0</xdr:rowOff>
    </xdr:to>
    <xdr:pic>
      <xdr:nvPicPr>
        <xdr:cNvPr id="111" name="Picture 1" descr="Picture">
          <a:extLst>
            <a:ext uri="{FF2B5EF4-FFF2-40B4-BE49-F238E27FC236}">
              <a16:creationId xmlns:a16="http://schemas.microsoft.com/office/drawing/2014/main" id="{A5339544-D851-4F69-9746-FABEAFB35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887125" y="2009775"/>
          <a:ext cx="170512" cy="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85</xdr:row>
      <xdr:rowOff>0</xdr:rowOff>
    </xdr:from>
    <xdr:to>
      <xdr:col>33</xdr:col>
      <xdr:colOff>290512</xdr:colOff>
      <xdr:row>86</xdr:row>
      <xdr:rowOff>0</xdr:rowOff>
    </xdr:to>
    <xdr:pic>
      <xdr:nvPicPr>
        <xdr:cNvPr id="112" name="Picture 1" descr="Picture">
          <a:extLst>
            <a:ext uri="{FF2B5EF4-FFF2-40B4-BE49-F238E27FC236}">
              <a16:creationId xmlns:a16="http://schemas.microsoft.com/office/drawing/2014/main" id="{7B02ECAA-E032-4EEA-833B-E8A87B2A2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06300" y="2009775"/>
          <a:ext cx="170512" cy="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85</xdr:row>
      <xdr:rowOff>0</xdr:rowOff>
    </xdr:from>
    <xdr:to>
      <xdr:col>40</xdr:col>
      <xdr:colOff>290512</xdr:colOff>
      <xdr:row>86</xdr:row>
      <xdr:rowOff>0</xdr:rowOff>
    </xdr:to>
    <xdr:pic>
      <xdr:nvPicPr>
        <xdr:cNvPr id="113" name="Picture 1" descr="Picture">
          <a:extLst>
            <a:ext uri="{FF2B5EF4-FFF2-40B4-BE49-F238E27FC236}">
              <a16:creationId xmlns:a16="http://schemas.microsoft.com/office/drawing/2014/main" id="{D206DBC2-AB89-4740-8ED5-92241D5F6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40525" y="2009775"/>
          <a:ext cx="170512" cy="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98</xdr:row>
      <xdr:rowOff>0</xdr:rowOff>
    </xdr:from>
    <xdr:to>
      <xdr:col>31</xdr:col>
      <xdr:colOff>290512</xdr:colOff>
      <xdr:row>99</xdr:row>
      <xdr:rowOff>0</xdr:rowOff>
    </xdr:to>
    <xdr:pic>
      <xdr:nvPicPr>
        <xdr:cNvPr id="114" name="Picture 1" descr="Picture">
          <a:extLst>
            <a:ext uri="{FF2B5EF4-FFF2-40B4-BE49-F238E27FC236}">
              <a16:creationId xmlns:a16="http://schemas.microsoft.com/office/drawing/2014/main" id="{E06A4337-6597-4609-A0E2-F750BABC2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67950" y="2009775"/>
          <a:ext cx="170512" cy="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98</xdr:row>
      <xdr:rowOff>0</xdr:rowOff>
    </xdr:from>
    <xdr:to>
      <xdr:col>32</xdr:col>
      <xdr:colOff>290512</xdr:colOff>
      <xdr:row>99</xdr:row>
      <xdr:rowOff>0</xdr:rowOff>
    </xdr:to>
    <xdr:pic>
      <xdr:nvPicPr>
        <xdr:cNvPr id="115" name="Picture 1" descr="Picture">
          <a:extLst>
            <a:ext uri="{FF2B5EF4-FFF2-40B4-BE49-F238E27FC236}">
              <a16:creationId xmlns:a16="http://schemas.microsoft.com/office/drawing/2014/main" id="{678C9689-6CEB-4900-9F76-676AAC77FD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887125" y="2009775"/>
          <a:ext cx="170512" cy="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98</xdr:row>
      <xdr:rowOff>0</xdr:rowOff>
    </xdr:from>
    <xdr:to>
      <xdr:col>33</xdr:col>
      <xdr:colOff>290512</xdr:colOff>
      <xdr:row>99</xdr:row>
      <xdr:rowOff>0</xdr:rowOff>
    </xdr:to>
    <xdr:pic>
      <xdr:nvPicPr>
        <xdr:cNvPr id="116" name="Picture 1" descr="Picture">
          <a:extLst>
            <a:ext uri="{FF2B5EF4-FFF2-40B4-BE49-F238E27FC236}">
              <a16:creationId xmlns:a16="http://schemas.microsoft.com/office/drawing/2014/main" id="{49974395-BAE9-4C61-97BE-B1212D65A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06300" y="2009775"/>
          <a:ext cx="170512" cy="0"/>
        </a:xfrm>
        <a:prstGeom prst="rect">
          <a:avLst/>
        </a:prstGeom>
      </xdr:spPr>
    </xdr:pic>
    <xdr:clientData/>
  </xdr:twoCellAnchor>
  <xdr:twoCellAnchor>
    <xdr:from>
      <xdr:col>14</xdr:col>
      <xdr:colOff>120000</xdr:colOff>
      <xdr:row>120</xdr:row>
      <xdr:rowOff>0</xdr:rowOff>
    </xdr:from>
    <xdr:to>
      <xdr:col>14</xdr:col>
      <xdr:colOff>290512</xdr:colOff>
      <xdr:row>121</xdr:row>
      <xdr:rowOff>0</xdr:rowOff>
    </xdr:to>
    <xdr:pic>
      <xdr:nvPicPr>
        <xdr:cNvPr id="117" name="Picture 1" descr="Picture">
          <a:extLst>
            <a:ext uri="{FF2B5EF4-FFF2-40B4-BE49-F238E27FC236}">
              <a16:creationId xmlns:a16="http://schemas.microsoft.com/office/drawing/2014/main" id="{4EC35DEF-3DED-4DF9-9EFD-807109326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3541975" y="2009775"/>
          <a:ext cx="170512" cy="0"/>
        </a:xfrm>
        <a:prstGeom prst="rect">
          <a:avLst/>
        </a:prstGeom>
      </xdr:spPr>
    </xdr:pic>
    <xdr:clientData/>
  </xdr:twoCellAnchor>
  <xdr:twoCellAnchor>
    <xdr:from>
      <xdr:col>15</xdr:col>
      <xdr:colOff>120000</xdr:colOff>
      <xdr:row>120</xdr:row>
      <xdr:rowOff>0</xdr:rowOff>
    </xdr:from>
    <xdr:to>
      <xdr:col>15</xdr:col>
      <xdr:colOff>290512</xdr:colOff>
      <xdr:row>121</xdr:row>
      <xdr:rowOff>0</xdr:rowOff>
    </xdr:to>
    <xdr:pic>
      <xdr:nvPicPr>
        <xdr:cNvPr id="118" name="Picture 1" descr="Picture">
          <a:extLst>
            <a:ext uri="{FF2B5EF4-FFF2-40B4-BE49-F238E27FC236}">
              <a16:creationId xmlns:a16="http://schemas.microsoft.com/office/drawing/2014/main" id="{9DA0DFD4-F387-43D9-A5DC-75AC5DE5B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61150" y="2009775"/>
          <a:ext cx="170512" cy="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120</xdr:row>
      <xdr:rowOff>0</xdr:rowOff>
    </xdr:from>
    <xdr:to>
      <xdr:col>29</xdr:col>
      <xdr:colOff>290512</xdr:colOff>
      <xdr:row>121</xdr:row>
      <xdr:rowOff>0</xdr:rowOff>
    </xdr:to>
    <xdr:pic>
      <xdr:nvPicPr>
        <xdr:cNvPr id="119" name="Picture 1" descr="Picture">
          <a:extLst>
            <a:ext uri="{FF2B5EF4-FFF2-40B4-BE49-F238E27FC236}">
              <a16:creationId xmlns:a16="http://schemas.microsoft.com/office/drawing/2014/main" id="{06E2B0FC-55A5-4D43-B840-C9B4F121BB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29600" y="2009775"/>
          <a:ext cx="170512" cy="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120</xdr:row>
      <xdr:rowOff>0</xdr:rowOff>
    </xdr:from>
    <xdr:to>
      <xdr:col>30</xdr:col>
      <xdr:colOff>290512</xdr:colOff>
      <xdr:row>121</xdr:row>
      <xdr:rowOff>0</xdr:rowOff>
    </xdr:to>
    <xdr:pic>
      <xdr:nvPicPr>
        <xdr:cNvPr id="120" name="Picture 1" descr="Picture">
          <a:extLst>
            <a:ext uri="{FF2B5EF4-FFF2-40B4-BE49-F238E27FC236}">
              <a16:creationId xmlns:a16="http://schemas.microsoft.com/office/drawing/2014/main" id="{48BE71B3-5351-4E3D-A430-DE3029498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848775" y="2009775"/>
          <a:ext cx="170512" cy="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120</xdr:row>
      <xdr:rowOff>0</xdr:rowOff>
    </xdr:from>
    <xdr:to>
      <xdr:col>31</xdr:col>
      <xdr:colOff>290512</xdr:colOff>
      <xdr:row>121</xdr:row>
      <xdr:rowOff>0</xdr:rowOff>
    </xdr:to>
    <xdr:pic>
      <xdr:nvPicPr>
        <xdr:cNvPr id="121" name="Picture 1" descr="Picture">
          <a:extLst>
            <a:ext uri="{FF2B5EF4-FFF2-40B4-BE49-F238E27FC236}">
              <a16:creationId xmlns:a16="http://schemas.microsoft.com/office/drawing/2014/main" id="{A1D1ED9C-58D8-4146-91CE-2863B930F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67950" y="200977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120</xdr:row>
      <xdr:rowOff>0</xdr:rowOff>
    </xdr:from>
    <xdr:to>
      <xdr:col>35</xdr:col>
      <xdr:colOff>290512</xdr:colOff>
      <xdr:row>121</xdr:row>
      <xdr:rowOff>0</xdr:rowOff>
    </xdr:to>
    <xdr:pic>
      <xdr:nvPicPr>
        <xdr:cNvPr id="122" name="Picture 1" descr="Picture">
          <a:extLst>
            <a:ext uri="{FF2B5EF4-FFF2-40B4-BE49-F238E27FC236}">
              <a16:creationId xmlns:a16="http://schemas.microsoft.com/office/drawing/2014/main" id="{467A8835-9882-4480-ADED-766C86AA0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2009775"/>
          <a:ext cx="170512" cy="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120</xdr:row>
      <xdr:rowOff>0</xdr:rowOff>
    </xdr:from>
    <xdr:to>
      <xdr:col>36</xdr:col>
      <xdr:colOff>290512</xdr:colOff>
      <xdr:row>121</xdr:row>
      <xdr:rowOff>0</xdr:rowOff>
    </xdr:to>
    <xdr:pic>
      <xdr:nvPicPr>
        <xdr:cNvPr id="123" name="Picture 1" descr="Picture">
          <a:extLst>
            <a:ext uri="{FF2B5EF4-FFF2-40B4-BE49-F238E27FC236}">
              <a16:creationId xmlns:a16="http://schemas.microsoft.com/office/drawing/2014/main" id="{2BB6FC11-962A-4F48-8198-8AFC25E21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200977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120</xdr:row>
      <xdr:rowOff>0</xdr:rowOff>
    </xdr:from>
    <xdr:to>
      <xdr:col>37</xdr:col>
      <xdr:colOff>290512</xdr:colOff>
      <xdr:row>121</xdr:row>
      <xdr:rowOff>0</xdr:rowOff>
    </xdr:to>
    <xdr:pic>
      <xdr:nvPicPr>
        <xdr:cNvPr id="124" name="Picture 1" descr="Picture">
          <a:extLst>
            <a:ext uri="{FF2B5EF4-FFF2-40B4-BE49-F238E27FC236}">
              <a16:creationId xmlns:a16="http://schemas.microsoft.com/office/drawing/2014/main" id="{DDFA41D0-42BA-4FF5-B2D8-D548520791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2009775"/>
          <a:ext cx="170512" cy="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120</xdr:row>
      <xdr:rowOff>0</xdr:rowOff>
    </xdr:from>
    <xdr:to>
      <xdr:col>38</xdr:col>
      <xdr:colOff>290512</xdr:colOff>
      <xdr:row>121</xdr:row>
      <xdr:rowOff>0</xdr:rowOff>
    </xdr:to>
    <xdr:pic>
      <xdr:nvPicPr>
        <xdr:cNvPr id="125" name="Picture 1" descr="Picture">
          <a:extLst>
            <a:ext uri="{FF2B5EF4-FFF2-40B4-BE49-F238E27FC236}">
              <a16:creationId xmlns:a16="http://schemas.microsoft.com/office/drawing/2014/main" id="{CDD1928F-97CC-42C2-9C8E-806A6871B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2009775"/>
          <a:ext cx="170512" cy="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120</xdr:row>
      <xdr:rowOff>0</xdr:rowOff>
    </xdr:from>
    <xdr:to>
      <xdr:col>39</xdr:col>
      <xdr:colOff>290512</xdr:colOff>
      <xdr:row>121</xdr:row>
      <xdr:rowOff>0</xdr:rowOff>
    </xdr:to>
    <xdr:pic>
      <xdr:nvPicPr>
        <xdr:cNvPr id="126" name="Picture 1" descr="Picture">
          <a:extLst>
            <a:ext uri="{FF2B5EF4-FFF2-40B4-BE49-F238E27FC236}">
              <a16:creationId xmlns:a16="http://schemas.microsoft.com/office/drawing/2014/main" id="{FCC4E910-AAFD-4A0B-9072-C292D1458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21350" y="2009775"/>
          <a:ext cx="170512" cy="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120</xdr:row>
      <xdr:rowOff>0</xdr:rowOff>
    </xdr:from>
    <xdr:to>
      <xdr:col>40</xdr:col>
      <xdr:colOff>290512</xdr:colOff>
      <xdr:row>121</xdr:row>
      <xdr:rowOff>0</xdr:rowOff>
    </xdr:to>
    <xdr:pic>
      <xdr:nvPicPr>
        <xdr:cNvPr id="127" name="Picture 1" descr="Picture">
          <a:extLst>
            <a:ext uri="{FF2B5EF4-FFF2-40B4-BE49-F238E27FC236}">
              <a16:creationId xmlns:a16="http://schemas.microsoft.com/office/drawing/2014/main" id="{F6ED5AF9-5CDE-42E5-885F-82E2161D4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040525" y="2009775"/>
          <a:ext cx="170512" cy="0"/>
        </a:xfrm>
        <a:prstGeom prst="rect">
          <a:avLst/>
        </a:prstGeom>
      </xdr:spPr>
    </xdr:pic>
    <xdr:clientData/>
  </xdr:twoCellAnchor>
  <xdr:twoCellAnchor>
    <xdr:from>
      <xdr:col>16</xdr:col>
      <xdr:colOff>120000</xdr:colOff>
      <xdr:row>125</xdr:row>
      <xdr:rowOff>0</xdr:rowOff>
    </xdr:from>
    <xdr:to>
      <xdr:col>16</xdr:col>
      <xdr:colOff>290512</xdr:colOff>
      <xdr:row>126</xdr:row>
      <xdr:rowOff>0</xdr:rowOff>
    </xdr:to>
    <xdr:pic>
      <xdr:nvPicPr>
        <xdr:cNvPr id="128" name="Picture 1" descr="Picture">
          <a:extLst>
            <a:ext uri="{FF2B5EF4-FFF2-40B4-BE49-F238E27FC236}">
              <a16:creationId xmlns:a16="http://schemas.microsoft.com/office/drawing/2014/main" id="{71487126-00F8-4092-8028-E722ADEB51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80325" y="2009775"/>
          <a:ext cx="170512" cy="0"/>
        </a:xfrm>
        <a:prstGeom prst="rect">
          <a:avLst/>
        </a:prstGeom>
      </xdr:spPr>
    </xdr:pic>
    <xdr:clientData/>
  </xdr:twoCellAnchor>
  <xdr:twoCellAnchor>
    <xdr:from>
      <xdr:col>17</xdr:col>
      <xdr:colOff>120000</xdr:colOff>
      <xdr:row>125</xdr:row>
      <xdr:rowOff>0</xdr:rowOff>
    </xdr:from>
    <xdr:to>
      <xdr:col>17</xdr:col>
      <xdr:colOff>290512</xdr:colOff>
      <xdr:row>126</xdr:row>
      <xdr:rowOff>0</xdr:rowOff>
    </xdr:to>
    <xdr:pic>
      <xdr:nvPicPr>
        <xdr:cNvPr id="129" name="Picture 1" descr="Picture">
          <a:extLst>
            <a:ext uri="{FF2B5EF4-FFF2-40B4-BE49-F238E27FC236}">
              <a16:creationId xmlns:a16="http://schemas.microsoft.com/office/drawing/2014/main" id="{81CBD5C1-84CC-4966-9A05-957A8020C0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99500" y="2009775"/>
          <a:ext cx="170512" cy="0"/>
        </a:xfrm>
        <a:prstGeom prst="rect">
          <a:avLst/>
        </a:prstGeom>
      </xdr:spPr>
    </xdr:pic>
    <xdr:clientData/>
  </xdr:twoCellAnchor>
  <xdr:twoCellAnchor>
    <xdr:from>
      <xdr:col>18</xdr:col>
      <xdr:colOff>120000</xdr:colOff>
      <xdr:row>125</xdr:row>
      <xdr:rowOff>0</xdr:rowOff>
    </xdr:from>
    <xdr:to>
      <xdr:col>18</xdr:col>
      <xdr:colOff>290512</xdr:colOff>
      <xdr:row>126</xdr:row>
      <xdr:rowOff>0</xdr:rowOff>
    </xdr:to>
    <xdr:pic>
      <xdr:nvPicPr>
        <xdr:cNvPr id="130" name="Picture 1" descr="Picture">
          <a:extLst>
            <a:ext uri="{FF2B5EF4-FFF2-40B4-BE49-F238E27FC236}">
              <a16:creationId xmlns:a16="http://schemas.microsoft.com/office/drawing/2014/main" id="{B0CBB886-B272-492E-940D-C12D5FB58F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18675" y="2009775"/>
          <a:ext cx="170512" cy="0"/>
        </a:xfrm>
        <a:prstGeom prst="rect">
          <a:avLst/>
        </a:prstGeom>
      </xdr:spPr>
    </xdr:pic>
    <xdr:clientData/>
  </xdr:twoCellAnchor>
  <xdr:twoCellAnchor>
    <xdr:from>
      <xdr:col>19</xdr:col>
      <xdr:colOff>120000</xdr:colOff>
      <xdr:row>125</xdr:row>
      <xdr:rowOff>0</xdr:rowOff>
    </xdr:from>
    <xdr:to>
      <xdr:col>19</xdr:col>
      <xdr:colOff>290512</xdr:colOff>
      <xdr:row>126</xdr:row>
      <xdr:rowOff>0</xdr:rowOff>
    </xdr:to>
    <xdr:pic>
      <xdr:nvPicPr>
        <xdr:cNvPr id="131" name="Picture 1" descr="Picture">
          <a:extLst>
            <a:ext uri="{FF2B5EF4-FFF2-40B4-BE49-F238E27FC236}">
              <a16:creationId xmlns:a16="http://schemas.microsoft.com/office/drawing/2014/main" id="{F40860EA-0ACC-4322-A73E-B3A7C4435C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37850" y="2009775"/>
          <a:ext cx="170512" cy="0"/>
        </a:xfrm>
        <a:prstGeom prst="rect">
          <a:avLst/>
        </a:prstGeom>
      </xdr:spPr>
    </xdr:pic>
    <xdr:clientData/>
  </xdr:twoCellAnchor>
  <xdr:twoCellAnchor>
    <xdr:from>
      <xdr:col>22</xdr:col>
      <xdr:colOff>120000</xdr:colOff>
      <xdr:row>125</xdr:row>
      <xdr:rowOff>0</xdr:rowOff>
    </xdr:from>
    <xdr:to>
      <xdr:col>22</xdr:col>
      <xdr:colOff>290512</xdr:colOff>
      <xdr:row>126</xdr:row>
      <xdr:rowOff>0</xdr:rowOff>
    </xdr:to>
    <xdr:pic>
      <xdr:nvPicPr>
        <xdr:cNvPr id="132" name="Picture 1" descr="Picture">
          <a:extLst>
            <a:ext uri="{FF2B5EF4-FFF2-40B4-BE49-F238E27FC236}">
              <a16:creationId xmlns:a16="http://schemas.microsoft.com/office/drawing/2014/main" id="{1FCAAD2D-76DB-4CBA-93C2-9093D82AB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695375" y="2009775"/>
          <a:ext cx="170512" cy="0"/>
        </a:xfrm>
        <a:prstGeom prst="rect">
          <a:avLst/>
        </a:prstGeom>
      </xdr:spPr>
    </xdr:pic>
    <xdr:clientData/>
  </xdr:twoCellAnchor>
  <xdr:twoCellAnchor>
    <xdr:from>
      <xdr:col>23</xdr:col>
      <xdr:colOff>120000</xdr:colOff>
      <xdr:row>125</xdr:row>
      <xdr:rowOff>0</xdr:rowOff>
    </xdr:from>
    <xdr:to>
      <xdr:col>23</xdr:col>
      <xdr:colOff>290512</xdr:colOff>
      <xdr:row>126</xdr:row>
      <xdr:rowOff>0</xdr:rowOff>
    </xdr:to>
    <xdr:pic>
      <xdr:nvPicPr>
        <xdr:cNvPr id="133" name="Picture 1" descr="Picture">
          <a:extLst>
            <a:ext uri="{FF2B5EF4-FFF2-40B4-BE49-F238E27FC236}">
              <a16:creationId xmlns:a16="http://schemas.microsoft.com/office/drawing/2014/main" id="{D39D822A-5986-4F8F-BA02-A39E108B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14550" y="2009775"/>
          <a:ext cx="170512" cy="0"/>
        </a:xfrm>
        <a:prstGeom prst="rect">
          <a:avLst/>
        </a:prstGeom>
      </xdr:spPr>
    </xdr:pic>
    <xdr:clientData/>
  </xdr:twoCellAnchor>
  <xdr:twoCellAnchor>
    <xdr:from>
      <xdr:col>24</xdr:col>
      <xdr:colOff>120000</xdr:colOff>
      <xdr:row>125</xdr:row>
      <xdr:rowOff>0</xdr:rowOff>
    </xdr:from>
    <xdr:to>
      <xdr:col>24</xdr:col>
      <xdr:colOff>290512</xdr:colOff>
      <xdr:row>126</xdr:row>
      <xdr:rowOff>0</xdr:rowOff>
    </xdr:to>
    <xdr:pic>
      <xdr:nvPicPr>
        <xdr:cNvPr id="134" name="Picture 1" descr="Picture">
          <a:extLst>
            <a:ext uri="{FF2B5EF4-FFF2-40B4-BE49-F238E27FC236}">
              <a16:creationId xmlns:a16="http://schemas.microsoft.com/office/drawing/2014/main" id="{4924F25B-7DFC-4716-A3B6-124891D28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33725" y="2009775"/>
          <a:ext cx="170512" cy="0"/>
        </a:xfrm>
        <a:prstGeom prst="rect">
          <a:avLst/>
        </a:prstGeom>
      </xdr:spPr>
    </xdr:pic>
    <xdr:clientData/>
  </xdr:twoCellAnchor>
  <xdr:twoCellAnchor>
    <xdr:from>
      <xdr:col>25</xdr:col>
      <xdr:colOff>120000</xdr:colOff>
      <xdr:row>125</xdr:row>
      <xdr:rowOff>0</xdr:rowOff>
    </xdr:from>
    <xdr:to>
      <xdr:col>25</xdr:col>
      <xdr:colOff>290512</xdr:colOff>
      <xdr:row>126</xdr:row>
      <xdr:rowOff>0</xdr:rowOff>
    </xdr:to>
    <xdr:pic>
      <xdr:nvPicPr>
        <xdr:cNvPr id="135" name="Picture 1" descr="Picture">
          <a:extLst>
            <a:ext uri="{FF2B5EF4-FFF2-40B4-BE49-F238E27FC236}">
              <a16:creationId xmlns:a16="http://schemas.microsoft.com/office/drawing/2014/main" id="{16704B6F-D39B-4C3A-BA47-D14A44698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752900" y="2009775"/>
          <a:ext cx="170512" cy="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125</xdr:row>
      <xdr:rowOff>0</xdr:rowOff>
    </xdr:from>
    <xdr:to>
      <xdr:col>26</xdr:col>
      <xdr:colOff>290512</xdr:colOff>
      <xdr:row>126</xdr:row>
      <xdr:rowOff>0</xdr:rowOff>
    </xdr:to>
    <xdr:pic>
      <xdr:nvPicPr>
        <xdr:cNvPr id="136" name="Picture 1" descr="Picture">
          <a:extLst>
            <a:ext uri="{FF2B5EF4-FFF2-40B4-BE49-F238E27FC236}">
              <a16:creationId xmlns:a16="http://schemas.microsoft.com/office/drawing/2014/main" id="{41EC6D59-E0D1-493C-9288-01AEF27974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72075" y="2009775"/>
          <a:ext cx="170512" cy="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125</xdr:row>
      <xdr:rowOff>0</xdr:rowOff>
    </xdr:from>
    <xdr:to>
      <xdr:col>28</xdr:col>
      <xdr:colOff>290512</xdr:colOff>
      <xdr:row>126</xdr:row>
      <xdr:rowOff>0</xdr:rowOff>
    </xdr:to>
    <xdr:pic>
      <xdr:nvPicPr>
        <xdr:cNvPr id="137" name="Picture 1" descr="Picture">
          <a:extLst>
            <a:ext uri="{FF2B5EF4-FFF2-40B4-BE49-F238E27FC236}">
              <a16:creationId xmlns:a16="http://schemas.microsoft.com/office/drawing/2014/main" id="{B7329B72-CFA9-4F8D-BFF7-3DCE42694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810425" y="2009775"/>
          <a:ext cx="170512" cy="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125</xdr:row>
      <xdr:rowOff>0</xdr:rowOff>
    </xdr:from>
    <xdr:to>
      <xdr:col>29</xdr:col>
      <xdr:colOff>290512</xdr:colOff>
      <xdr:row>126</xdr:row>
      <xdr:rowOff>0</xdr:rowOff>
    </xdr:to>
    <xdr:pic>
      <xdr:nvPicPr>
        <xdr:cNvPr id="138" name="Picture 1" descr="Picture">
          <a:extLst>
            <a:ext uri="{FF2B5EF4-FFF2-40B4-BE49-F238E27FC236}">
              <a16:creationId xmlns:a16="http://schemas.microsoft.com/office/drawing/2014/main" id="{AF5D05C1-15EB-46E3-8AB2-5015D7784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29600" y="200977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125</xdr:row>
      <xdr:rowOff>0</xdr:rowOff>
    </xdr:from>
    <xdr:to>
      <xdr:col>35</xdr:col>
      <xdr:colOff>290512</xdr:colOff>
      <xdr:row>126</xdr:row>
      <xdr:rowOff>0</xdr:rowOff>
    </xdr:to>
    <xdr:pic>
      <xdr:nvPicPr>
        <xdr:cNvPr id="139" name="Picture 1" descr="Picture">
          <a:extLst>
            <a:ext uri="{FF2B5EF4-FFF2-40B4-BE49-F238E27FC236}">
              <a16:creationId xmlns:a16="http://schemas.microsoft.com/office/drawing/2014/main" id="{734DE404-3968-4CB2-AFC3-A0B252BE8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2009775"/>
          <a:ext cx="170512" cy="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125</xdr:row>
      <xdr:rowOff>0</xdr:rowOff>
    </xdr:from>
    <xdr:to>
      <xdr:col>36</xdr:col>
      <xdr:colOff>290512</xdr:colOff>
      <xdr:row>126</xdr:row>
      <xdr:rowOff>0</xdr:rowOff>
    </xdr:to>
    <xdr:pic>
      <xdr:nvPicPr>
        <xdr:cNvPr id="140" name="Picture 1" descr="Picture">
          <a:extLst>
            <a:ext uri="{FF2B5EF4-FFF2-40B4-BE49-F238E27FC236}">
              <a16:creationId xmlns:a16="http://schemas.microsoft.com/office/drawing/2014/main" id="{32EADF61-5048-4BFD-8343-402031429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200977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125</xdr:row>
      <xdr:rowOff>0</xdr:rowOff>
    </xdr:from>
    <xdr:to>
      <xdr:col>37</xdr:col>
      <xdr:colOff>290512</xdr:colOff>
      <xdr:row>126</xdr:row>
      <xdr:rowOff>0</xdr:rowOff>
    </xdr:to>
    <xdr:pic>
      <xdr:nvPicPr>
        <xdr:cNvPr id="141" name="Picture 1" descr="Picture">
          <a:extLst>
            <a:ext uri="{FF2B5EF4-FFF2-40B4-BE49-F238E27FC236}">
              <a16:creationId xmlns:a16="http://schemas.microsoft.com/office/drawing/2014/main" id="{CBF2E8C2-6F1F-4C7B-919F-5394EB7C6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2009775"/>
          <a:ext cx="170512" cy="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125</xdr:row>
      <xdr:rowOff>0</xdr:rowOff>
    </xdr:from>
    <xdr:to>
      <xdr:col>38</xdr:col>
      <xdr:colOff>290512</xdr:colOff>
      <xdr:row>126</xdr:row>
      <xdr:rowOff>0</xdr:rowOff>
    </xdr:to>
    <xdr:pic>
      <xdr:nvPicPr>
        <xdr:cNvPr id="142" name="Picture 1" descr="Picture">
          <a:extLst>
            <a:ext uri="{FF2B5EF4-FFF2-40B4-BE49-F238E27FC236}">
              <a16:creationId xmlns:a16="http://schemas.microsoft.com/office/drawing/2014/main" id="{C545702D-C055-49C3-B693-1A619CAFF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2009775"/>
          <a:ext cx="170512" cy="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125</xdr:row>
      <xdr:rowOff>0</xdr:rowOff>
    </xdr:from>
    <xdr:to>
      <xdr:col>39</xdr:col>
      <xdr:colOff>290512</xdr:colOff>
      <xdr:row>126</xdr:row>
      <xdr:rowOff>0</xdr:rowOff>
    </xdr:to>
    <xdr:pic>
      <xdr:nvPicPr>
        <xdr:cNvPr id="143" name="Picture 1" descr="Picture">
          <a:extLst>
            <a:ext uri="{FF2B5EF4-FFF2-40B4-BE49-F238E27FC236}">
              <a16:creationId xmlns:a16="http://schemas.microsoft.com/office/drawing/2014/main" id="{6872F173-D544-4117-9577-BB0C488FF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1350" y="2009775"/>
          <a:ext cx="170512" cy="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125</xdr:row>
      <xdr:rowOff>0</xdr:rowOff>
    </xdr:from>
    <xdr:to>
      <xdr:col>40</xdr:col>
      <xdr:colOff>290512</xdr:colOff>
      <xdr:row>126</xdr:row>
      <xdr:rowOff>0</xdr:rowOff>
    </xdr:to>
    <xdr:pic>
      <xdr:nvPicPr>
        <xdr:cNvPr id="144" name="Picture 1" descr="Picture">
          <a:extLst>
            <a:ext uri="{FF2B5EF4-FFF2-40B4-BE49-F238E27FC236}">
              <a16:creationId xmlns:a16="http://schemas.microsoft.com/office/drawing/2014/main" id="{755A73F1-DB55-4658-9B19-92F1DA6CFF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40525" y="200977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126</xdr:row>
      <xdr:rowOff>0</xdr:rowOff>
    </xdr:from>
    <xdr:to>
      <xdr:col>35</xdr:col>
      <xdr:colOff>290512</xdr:colOff>
      <xdr:row>127</xdr:row>
      <xdr:rowOff>0</xdr:rowOff>
    </xdr:to>
    <xdr:pic>
      <xdr:nvPicPr>
        <xdr:cNvPr id="145" name="Picture 1" descr="Picture">
          <a:extLst>
            <a:ext uri="{FF2B5EF4-FFF2-40B4-BE49-F238E27FC236}">
              <a16:creationId xmlns:a16="http://schemas.microsoft.com/office/drawing/2014/main" id="{47A049D1-AB41-45EF-9C2B-4D965052E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2009775"/>
          <a:ext cx="170512" cy="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126</xdr:row>
      <xdr:rowOff>0</xdr:rowOff>
    </xdr:from>
    <xdr:to>
      <xdr:col>36</xdr:col>
      <xdr:colOff>290512</xdr:colOff>
      <xdr:row>127</xdr:row>
      <xdr:rowOff>0</xdr:rowOff>
    </xdr:to>
    <xdr:pic>
      <xdr:nvPicPr>
        <xdr:cNvPr id="146" name="Picture 1" descr="Picture">
          <a:extLst>
            <a:ext uri="{FF2B5EF4-FFF2-40B4-BE49-F238E27FC236}">
              <a16:creationId xmlns:a16="http://schemas.microsoft.com/office/drawing/2014/main" id="{40B94A7A-A316-444B-B7C7-885D9D68B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2009775"/>
          <a:ext cx="170512" cy="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126</xdr:row>
      <xdr:rowOff>0</xdr:rowOff>
    </xdr:from>
    <xdr:to>
      <xdr:col>38</xdr:col>
      <xdr:colOff>290512</xdr:colOff>
      <xdr:row>127</xdr:row>
      <xdr:rowOff>0</xdr:rowOff>
    </xdr:to>
    <xdr:pic>
      <xdr:nvPicPr>
        <xdr:cNvPr id="147" name="Picture 1" descr="Picture">
          <a:extLst>
            <a:ext uri="{FF2B5EF4-FFF2-40B4-BE49-F238E27FC236}">
              <a16:creationId xmlns:a16="http://schemas.microsoft.com/office/drawing/2014/main" id="{EE5A4EA0-936D-4ADE-AE87-562D3CD03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2009775"/>
          <a:ext cx="170512" cy="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126</xdr:row>
      <xdr:rowOff>0</xdr:rowOff>
    </xdr:from>
    <xdr:to>
      <xdr:col>39</xdr:col>
      <xdr:colOff>290512</xdr:colOff>
      <xdr:row>127</xdr:row>
      <xdr:rowOff>0</xdr:rowOff>
    </xdr:to>
    <xdr:pic>
      <xdr:nvPicPr>
        <xdr:cNvPr id="148" name="Picture 1" descr="Picture">
          <a:extLst>
            <a:ext uri="{FF2B5EF4-FFF2-40B4-BE49-F238E27FC236}">
              <a16:creationId xmlns:a16="http://schemas.microsoft.com/office/drawing/2014/main" id="{82E933EA-E190-4BFA-AA06-AEB380814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1350" y="2009775"/>
          <a:ext cx="170512" cy="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126</xdr:row>
      <xdr:rowOff>0</xdr:rowOff>
    </xdr:from>
    <xdr:to>
      <xdr:col>40</xdr:col>
      <xdr:colOff>290512</xdr:colOff>
      <xdr:row>127</xdr:row>
      <xdr:rowOff>0</xdr:rowOff>
    </xdr:to>
    <xdr:pic>
      <xdr:nvPicPr>
        <xdr:cNvPr id="149" name="Picture 1" descr="Picture">
          <a:extLst>
            <a:ext uri="{FF2B5EF4-FFF2-40B4-BE49-F238E27FC236}">
              <a16:creationId xmlns:a16="http://schemas.microsoft.com/office/drawing/2014/main" id="{E68BAD04-8B23-4830-86D2-1B2A77061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40525" y="2009775"/>
          <a:ext cx="170512" cy="0"/>
        </a:xfrm>
        <a:prstGeom prst="rect">
          <a:avLst/>
        </a:prstGeom>
      </xdr:spPr>
    </xdr:pic>
    <xdr:clientData/>
  </xdr:twoCellAnchor>
  <xdr:twoCellAnchor>
    <xdr:from>
      <xdr:col>23</xdr:col>
      <xdr:colOff>10000</xdr:colOff>
      <xdr:row>129</xdr:row>
      <xdr:rowOff>10000</xdr:rowOff>
    </xdr:from>
    <xdr:to>
      <xdr:col>23</xdr:col>
      <xdr:colOff>466725</xdr:colOff>
      <xdr:row>130</xdr:row>
      <xdr:rowOff>0</xdr:rowOff>
    </xdr:to>
    <xdr:pic>
      <xdr:nvPicPr>
        <xdr:cNvPr id="150" name="Picture 1" descr="Picture">
          <a:extLst>
            <a:ext uri="{FF2B5EF4-FFF2-40B4-BE49-F238E27FC236}">
              <a16:creationId xmlns:a16="http://schemas.microsoft.com/office/drawing/2014/main" id="{63D8CCC6-6A1D-4AA5-BC5F-3BFFA4A37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604550" y="2009775"/>
          <a:ext cx="456725" cy="0"/>
        </a:xfrm>
        <a:prstGeom prst="rect">
          <a:avLst/>
        </a:prstGeom>
      </xdr:spPr>
    </xdr:pic>
    <xdr:clientData/>
  </xdr:twoCellAnchor>
  <xdr:twoCellAnchor>
    <xdr:from>
      <xdr:col>24</xdr:col>
      <xdr:colOff>10000</xdr:colOff>
      <xdr:row>129</xdr:row>
      <xdr:rowOff>10000</xdr:rowOff>
    </xdr:from>
    <xdr:to>
      <xdr:col>24</xdr:col>
      <xdr:colOff>466725</xdr:colOff>
      <xdr:row>130</xdr:row>
      <xdr:rowOff>0</xdr:rowOff>
    </xdr:to>
    <xdr:pic>
      <xdr:nvPicPr>
        <xdr:cNvPr id="151" name="Picture 1" descr="Picture">
          <a:extLst>
            <a:ext uri="{FF2B5EF4-FFF2-40B4-BE49-F238E27FC236}">
              <a16:creationId xmlns:a16="http://schemas.microsoft.com/office/drawing/2014/main" id="{E77533B3-A31D-49F2-8B2D-3E8A204E2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623725" y="2009775"/>
          <a:ext cx="456725" cy="0"/>
        </a:xfrm>
        <a:prstGeom prst="rect">
          <a:avLst/>
        </a:prstGeom>
      </xdr:spPr>
    </xdr:pic>
    <xdr:clientData/>
  </xdr:twoCellAnchor>
  <xdr:twoCellAnchor>
    <xdr:from>
      <xdr:col>12</xdr:col>
      <xdr:colOff>120000</xdr:colOff>
      <xdr:row>148</xdr:row>
      <xdr:rowOff>0</xdr:rowOff>
    </xdr:from>
    <xdr:to>
      <xdr:col>12</xdr:col>
      <xdr:colOff>290512</xdr:colOff>
      <xdr:row>149</xdr:row>
      <xdr:rowOff>0</xdr:rowOff>
    </xdr:to>
    <xdr:pic>
      <xdr:nvPicPr>
        <xdr:cNvPr id="152" name="Picture 1" descr="Picture">
          <a:extLst>
            <a:ext uri="{FF2B5EF4-FFF2-40B4-BE49-F238E27FC236}">
              <a16:creationId xmlns:a16="http://schemas.microsoft.com/office/drawing/2014/main" id="{E9E03D58-D71A-46D6-8CAF-A0B2AB65EC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75225" y="2009775"/>
          <a:ext cx="170512" cy="0"/>
        </a:xfrm>
        <a:prstGeom prst="rect">
          <a:avLst/>
        </a:prstGeom>
      </xdr:spPr>
    </xdr:pic>
    <xdr:clientData/>
  </xdr:twoCellAnchor>
  <xdr:twoCellAnchor>
    <xdr:from>
      <xdr:col>14</xdr:col>
      <xdr:colOff>120000</xdr:colOff>
      <xdr:row>148</xdr:row>
      <xdr:rowOff>0</xdr:rowOff>
    </xdr:from>
    <xdr:to>
      <xdr:col>14</xdr:col>
      <xdr:colOff>290512</xdr:colOff>
      <xdr:row>149</xdr:row>
      <xdr:rowOff>0</xdr:rowOff>
    </xdr:to>
    <xdr:pic>
      <xdr:nvPicPr>
        <xdr:cNvPr id="153" name="Picture 1" descr="Picture">
          <a:extLst>
            <a:ext uri="{FF2B5EF4-FFF2-40B4-BE49-F238E27FC236}">
              <a16:creationId xmlns:a16="http://schemas.microsoft.com/office/drawing/2014/main" id="{482F0F86-BD78-455A-B68F-645019B6A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541975" y="2009775"/>
          <a:ext cx="170512" cy="0"/>
        </a:xfrm>
        <a:prstGeom prst="rect">
          <a:avLst/>
        </a:prstGeom>
      </xdr:spPr>
    </xdr:pic>
    <xdr:clientData/>
  </xdr:twoCellAnchor>
  <xdr:twoCellAnchor>
    <xdr:from>
      <xdr:col>15</xdr:col>
      <xdr:colOff>120000</xdr:colOff>
      <xdr:row>148</xdr:row>
      <xdr:rowOff>0</xdr:rowOff>
    </xdr:from>
    <xdr:to>
      <xdr:col>15</xdr:col>
      <xdr:colOff>290512</xdr:colOff>
      <xdr:row>149</xdr:row>
      <xdr:rowOff>0</xdr:rowOff>
    </xdr:to>
    <xdr:pic>
      <xdr:nvPicPr>
        <xdr:cNvPr id="154" name="Picture 1" descr="Picture">
          <a:extLst>
            <a:ext uri="{FF2B5EF4-FFF2-40B4-BE49-F238E27FC236}">
              <a16:creationId xmlns:a16="http://schemas.microsoft.com/office/drawing/2014/main" id="{DB210A24-19CC-4F55-82CE-039490937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561150" y="2009775"/>
          <a:ext cx="170512" cy="0"/>
        </a:xfrm>
        <a:prstGeom prst="rect">
          <a:avLst/>
        </a:prstGeom>
      </xdr:spPr>
    </xdr:pic>
    <xdr:clientData/>
  </xdr:twoCellAnchor>
  <xdr:twoCellAnchor>
    <xdr:from>
      <xdr:col>16</xdr:col>
      <xdr:colOff>120000</xdr:colOff>
      <xdr:row>148</xdr:row>
      <xdr:rowOff>0</xdr:rowOff>
    </xdr:from>
    <xdr:to>
      <xdr:col>16</xdr:col>
      <xdr:colOff>290512</xdr:colOff>
      <xdr:row>149</xdr:row>
      <xdr:rowOff>0</xdr:rowOff>
    </xdr:to>
    <xdr:pic>
      <xdr:nvPicPr>
        <xdr:cNvPr id="155" name="Picture 1" descr="Picture">
          <a:extLst>
            <a:ext uri="{FF2B5EF4-FFF2-40B4-BE49-F238E27FC236}">
              <a16:creationId xmlns:a16="http://schemas.microsoft.com/office/drawing/2014/main" id="{6EB203A0-C821-477C-B8D9-C40E49141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80325" y="2009775"/>
          <a:ext cx="170512" cy="0"/>
        </a:xfrm>
        <a:prstGeom prst="rect">
          <a:avLst/>
        </a:prstGeom>
      </xdr:spPr>
    </xdr:pic>
    <xdr:clientData/>
  </xdr:twoCellAnchor>
  <xdr:twoCellAnchor>
    <xdr:from>
      <xdr:col>17</xdr:col>
      <xdr:colOff>120000</xdr:colOff>
      <xdr:row>148</xdr:row>
      <xdr:rowOff>0</xdr:rowOff>
    </xdr:from>
    <xdr:to>
      <xdr:col>17</xdr:col>
      <xdr:colOff>290512</xdr:colOff>
      <xdr:row>149</xdr:row>
      <xdr:rowOff>0</xdr:rowOff>
    </xdr:to>
    <xdr:pic>
      <xdr:nvPicPr>
        <xdr:cNvPr id="156" name="Picture 1" descr="Picture">
          <a:extLst>
            <a:ext uri="{FF2B5EF4-FFF2-40B4-BE49-F238E27FC236}">
              <a16:creationId xmlns:a16="http://schemas.microsoft.com/office/drawing/2014/main" id="{5EC4DA4A-67DD-4230-BD4C-037422DBCA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99500" y="2009775"/>
          <a:ext cx="170512" cy="0"/>
        </a:xfrm>
        <a:prstGeom prst="rect">
          <a:avLst/>
        </a:prstGeom>
      </xdr:spPr>
    </xdr:pic>
    <xdr:clientData/>
  </xdr:twoCellAnchor>
  <xdr:twoCellAnchor>
    <xdr:from>
      <xdr:col>22</xdr:col>
      <xdr:colOff>120000</xdr:colOff>
      <xdr:row>148</xdr:row>
      <xdr:rowOff>0</xdr:rowOff>
    </xdr:from>
    <xdr:to>
      <xdr:col>22</xdr:col>
      <xdr:colOff>290512</xdr:colOff>
      <xdr:row>149</xdr:row>
      <xdr:rowOff>0</xdr:rowOff>
    </xdr:to>
    <xdr:pic>
      <xdr:nvPicPr>
        <xdr:cNvPr id="157" name="Picture 1" descr="Picture">
          <a:extLst>
            <a:ext uri="{FF2B5EF4-FFF2-40B4-BE49-F238E27FC236}">
              <a16:creationId xmlns:a16="http://schemas.microsoft.com/office/drawing/2014/main" id="{97202D4E-AAD0-4FD3-82EC-B58ABC736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695375" y="2009775"/>
          <a:ext cx="170512" cy="0"/>
        </a:xfrm>
        <a:prstGeom prst="rect">
          <a:avLst/>
        </a:prstGeom>
      </xdr:spPr>
    </xdr:pic>
    <xdr:clientData/>
  </xdr:twoCellAnchor>
  <xdr:twoCellAnchor>
    <xdr:from>
      <xdr:col>23</xdr:col>
      <xdr:colOff>120000</xdr:colOff>
      <xdr:row>148</xdr:row>
      <xdr:rowOff>0</xdr:rowOff>
    </xdr:from>
    <xdr:to>
      <xdr:col>23</xdr:col>
      <xdr:colOff>290512</xdr:colOff>
      <xdr:row>149</xdr:row>
      <xdr:rowOff>0</xdr:rowOff>
    </xdr:to>
    <xdr:pic>
      <xdr:nvPicPr>
        <xdr:cNvPr id="158" name="Picture 1" descr="Picture">
          <a:extLst>
            <a:ext uri="{FF2B5EF4-FFF2-40B4-BE49-F238E27FC236}">
              <a16:creationId xmlns:a16="http://schemas.microsoft.com/office/drawing/2014/main" id="{E6510D0E-DE05-4521-8F35-60331DB1D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14550" y="2009775"/>
          <a:ext cx="170512" cy="0"/>
        </a:xfrm>
        <a:prstGeom prst="rect">
          <a:avLst/>
        </a:prstGeom>
      </xdr:spPr>
    </xdr:pic>
    <xdr:clientData/>
  </xdr:twoCellAnchor>
  <xdr:twoCellAnchor>
    <xdr:from>
      <xdr:col>24</xdr:col>
      <xdr:colOff>120000</xdr:colOff>
      <xdr:row>148</xdr:row>
      <xdr:rowOff>0</xdr:rowOff>
    </xdr:from>
    <xdr:to>
      <xdr:col>24</xdr:col>
      <xdr:colOff>290512</xdr:colOff>
      <xdr:row>149</xdr:row>
      <xdr:rowOff>0</xdr:rowOff>
    </xdr:to>
    <xdr:pic>
      <xdr:nvPicPr>
        <xdr:cNvPr id="159" name="Picture 1" descr="Picture">
          <a:extLst>
            <a:ext uri="{FF2B5EF4-FFF2-40B4-BE49-F238E27FC236}">
              <a16:creationId xmlns:a16="http://schemas.microsoft.com/office/drawing/2014/main" id="{0A503A72-7D9A-4487-BF46-1E363C5AE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33725" y="2009775"/>
          <a:ext cx="170512" cy="0"/>
        </a:xfrm>
        <a:prstGeom prst="rect">
          <a:avLst/>
        </a:prstGeom>
      </xdr:spPr>
    </xdr:pic>
    <xdr:clientData/>
  </xdr:twoCellAnchor>
  <xdr:twoCellAnchor>
    <xdr:from>
      <xdr:col>25</xdr:col>
      <xdr:colOff>120000</xdr:colOff>
      <xdr:row>148</xdr:row>
      <xdr:rowOff>0</xdr:rowOff>
    </xdr:from>
    <xdr:to>
      <xdr:col>25</xdr:col>
      <xdr:colOff>290512</xdr:colOff>
      <xdr:row>149</xdr:row>
      <xdr:rowOff>0</xdr:rowOff>
    </xdr:to>
    <xdr:pic>
      <xdr:nvPicPr>
        <xdr:cNvPr id="160" name="Picture 1" descr="Picture">
          <a:extLst>
            <a:ext uri="{FF2B5EF4-FFF2-40B4-BE49-F238E27FC236}">
              <a16:creationId xmlns:a16="http://schemas.microsoft.com/office/drawing/2014/main" id="{35C052DC-38AC-451B-A153-7F9A3A78B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752900" y="2009775"/>
          <a:ext cx="170512" cy="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148</xdr:row>
      <xdr:rowOff>0</xdr:rowOff>
    </xdr:from>
    <xdr:to>
      <xdr:col>26</xdr:col>
      <xdr:colOff>290512</xdr:colOff>
      <xdr:row>149</xdr:row>
      <xdr:rowOff>0</xdr:rowOff>
    </xdr:to>
    <xdr:pic>
      <xdr:nvPicPr>
        <xdr:cNvPr id="161" name="Picture 1" descr="Picture">
          <a:extLst>
            <a:ext uri="{FF2B5EF4-FFF2-40B4-BE49-F238E27FC236}">
              <a16:creationId xmlns:a16="http://schemas.microsoft.com/office/drawing/2014/main" id="{3774DAA2-FE94-46C4-B67C-C3E8372F8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72075" y="2009775"/>
          <a:ext cx="170512" cy="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148</xdr:row>
      <xdr:rowOff>0</xdr:rowOff>
    </xdr:from>
    <xdr:to>
      <xdr:col>28</xdr:col>
      <xdr:colOff>290512</xdr:colOff>
      <xdr:row>149</xdr:row>
      <xdr:rowOff>0</xdr:rowOff>
    </xdr:to>
    <xdr:pic>
      <xdr:nvPicPr>
        <xdr:cNvPr id="162" name="Picture 1" descr="Picture">
          <a:extLst>
            <a:ext uri="{FF2B5EF4-FFF2-40B4-BE49-F238E27FC236}">
              <a16:creationId xmlns:a16="http://schemas.microsoft.com/office/drawing/2014/main" id="{3FE1165F-0BAA-42AA-8751-C079864E9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810425" y="2009775"/>
          <a:ext cx="170512" cy="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148</xdr:row>
      <xdr:rowOff>0</xdr:rowOff>
    </xdr:from>
    <xdr:to>
      <xdr:col>29</xdr:col>
      <xdr:colOff>290512</xdr:colOff>
      <xdr:row>149</xdr:row>
      <xdr:rowOff>0</xdr:rowOff>
    </xdr:to>
    <xdr:pic>
      <xdr:nvPicPr>
        <xdr:cNvPr id="163" name="Picture 1" descr="Picture">
          <a:extLst>
            <a:ext uri="{FF2B5EF4-FFF2-40B4-BE49-F238E27FC236}">
              <a16:creationId xmlns:a16="http://schemas.microsoft.com/office/drawing/2014/main" id="{890EA19C-E424-4506-B0EB-E9BB117E9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29600" y="2009775"/>
          <a:ext cx="170512" cy="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148</xdr:row>
      <xdr:rowOff>0</xdr:rowOff>
    </xdr:from>
    <xdr:to>
      <xdr:col>30</xdr:col>
      <xdr:colOff>290512</xdr:colOff>
      <xdr:row>149</xdr:row>
      <xdr:rowOff>0</xdr:rowOff>
    </xdr:to>
    <xdr:pic>
      <xdr:nvPicPr>
        <xdr:cNvPr id="164" name="Picture 1" descr="Picture">
          <a:extLst>
            <a:ext uri="{FF2B5EF4-FFF2-40B4-BE49-F238E27FC236}">
              <a16:creationId xmlns:a16="http://schemas.microsoft.com/office/drawing/2014/main" id="{1C7FF9EF-1AAE-411C-B730-3345772AE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848775" y="2009775"/>
          <a:ext cx="170512" cy="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148</xdr:row>
      <xdr:rowOff>0</xdr:rowOff>
    </xdr:from>
    <xdr:to>
      <xdr:col>31</xdr:col>
      <xdr:colOff>290512</xdr:colOff>
      <xdr:row>149</xdr:row>
      <xdr:rowOff>0</xdr:rowOff>
    </xdr:to>
    <xdr:pic>
      <xdr:nvPicPr>
        <xdr:cNvPr id="165" name="Picture 1" descr="Picture">
          <a:extLst>
            <a:ext uri="{FF2B5EF4-FFF2-40B4-BE49-F238E27FC236}">
              <a16:creationId xmlns:a16="http://schemas.microsoft.com/office/drawing/2014/main" id="{6C77F157-E2D9-4ABA-996E-5D3F276204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67950" y="2009775"/>
          <a:ext cx="170512" cy="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148</xdr:row>
      <xdr:rowOff>0</xdr:rowOff>
    </xdr:from>
    <xdr:to>
      <xdr:col>32</xdr:col>
      <xdr:colOff>290512</xdr:colOff>
      <xdr:row>149</xdr:row>
      <xdr:rowOff>0</xdr:rowOff>
    </xdr:to>
    <xdr:pic>
      <xdr:nvPicPr>
        <xdr:cNvPr id="166" name="Picture 1" descr="Picture">
          <a:extLst>
            <a:ext uri="{FF2B5EF4-FFF2-40B4-BE49-F238E27FC236}">
              <a16:creationId xmlns:a16="http://schemas.microsoft.com/office/drawing/2014/main" id="{1EF65FE2-D4FC-4EE6-923C-DA299FA5D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887125" y="2009775"/>
          <a:ext cx="170512" cy="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148</xdr:row>
      <xdr:rowOff>0</xdr:rowOff>
    </xdr:from>
    <xdr:to>
      <xdr:col>33</xdr:col>
      <xdr:colOff>290512</xdr:colOff>
      <xdr:row>149</xdr:row>
      <xdr:rowOff>0</xdr:rowOff>
    </xdr:to>
    <xdr:pic>
      <xdr:nvPicPr>
        <xdr:cNvPr id="167" name="Picture 1" descr="Picture">
          <a:extLst>
            <a:ext uri="{FF2B5EF4-FFF2-40B4-BE49-F238E27FC236}">
              <a16:creationId xmlns:a16="http://schemas.microsoft.com/office/drawing/2014/main" id="{9FF621A5-97F9-4EE5-86CE-54EFB850C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06300" y="200977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148</xdr:row>
      <xdr:rowOff>0</xdr:rowOff>
    </xdr:from>
    <xdr:to>
      <xdr:col>35</xdr:col>
      <xdr:colOff>290512</xdr:colOff>
      <xdr:row>149</xdr:row>
      <xdr:rowOff>0</xdr:rowOff>
    </xdr:to>
    <xdr:pic>
      <xdr:nvPicPr>
        <xdr:cNvPr id="168" name="Picture 1" descr="Picture">
          <a:extLst>
            <a:ext uri="{FF2B5EF4-FFF2-40B4-BE49-F238E27FC236}">
              <a16:creationId xmlns:a16="http://schemas.microsoft.com/office/drawing/2014/main" id="{9CB79934-8DFC-4A5F-8242-FA5210024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2009775"/>
          <a:ext cx="170512" cy="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148</xdr:row>
      <xdr:rowOff>0</xdr:rowOff>
    </xdr:from>
    <xdr:to>
      <xdr:col>36</xdr:col>
      <xdr:colOff>290512</xdr:colOff>
      <xdr:row>149</xdr:row>
      <xdr:rowOff>0</xdr:rowOff>
    </xdr:to>
    <xdr:pic>
      <xdr:nvPicPr>
        <xdr:cNvPr id="169" name="Picture 1" descr="Picture">
          <a:extLst>
            <a:ext uri="{FF2B5EF4-FFF2-40B4-BE49-F238E27FC236}">
              <a16:creationId xmlns:a16="http://schemas.microsoft.com/office/drawing/2014/main" id="{C0420708-D539-4C0E-9078-2F4ED5160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200977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148</xdr:row>
      <xdr:rowOff>0</xdr:rowOff>
    </xdr:from>
    <xdr:to>
      <xdr:col>37</xdr:col>
      <xdr:colOff>290512</xdr:colOff>
      <xdr:row>149</xdr:row>
      <xdr:rowOff>0</xdr:rowOff>
    </xdr:to>
    <xdr:pic>
      <xdr:nvPicPr>
        <xdr:cNvPr id="170" name="Picture 1" descr="Picture">
          <a:extLst>
            <a:ext uri="{FF2B5EF4-FFF2-40B4-BE49-F238E27FC236}">
              <a16:creationId xmlns:a16="http://schemas.microsoft.com/office/drawing/2014/main" id="{6BF78BA9-1E9C-432F-94E2-5C10D9CA6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2009775"/>
          <a:ext cx="170512" cy="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148</xdr:row>
      <xdr:rowOff>0</xdr:rowOff>
    </xdr:from>
    <xdr:to>
      <xdr:col>38</xdr:col>
      <xdr:colOff>290512</xdr:colOff>
      <xdr:row>149</xdr:row>
      <xdr:rowOff>0</xdr:rowOff>
    </xdr:to>
    <xdr:pic>
      <xdr:nvPicPr>
        <xdr:cNvPr id="171" name="Picture 1" descr="Picture">
          <a:extLst>
            <a:ext uri="{FF2B5EF4-FFF2-40B4-BE49-F238E27FC236}">
              <a16:creationId xmlns:a16="http://schemas.microsoft.com/office/drawing/2014/main" id="{2C07D09B-4C7A-45C5-B2BD-BD2664C0C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2009775"/>
          <a:ext cx="170512" cy="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148</xdr:row>
      <xdr:rowOff>0</xdr:rowOff>
    </xdr:from>
    <xdr:to>
      <xdr:col>39</xdr:col>
      <xdr:colOff>290512</xdr:colOff>
      <xdr:row>149</xdr:row>
      <xdr:rowOff>0</xdr:rowOff>
    </xdr:to>
    <xdr:pic>
      <xdr:nvPicPr>
        <xdr:cNvPr id="172" name="Picture 1" descr="Picture">
          <a:extLst>
            <a:ext uri="{FF2B5EF4-FFF2-40B4-BE49-F238E27FC236}">
              <a16:creationId xmlns:a16="http://schemas.microsoft.com/office/drawing/2014/main" id="{2A0E58CC-F904-47EF-B697-A379627F1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1350" y="2009775"/>
          <a:ext cx="170512" cy="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148</xdr:row>
      <xdr:rowOff>0</xdr:rowOff>
    </xdr:from>
    <xdr:to>
      <xdr:col>40</xdr:col>
      <xdr:colOff>290512</xdr:colOff>
      <xdr:row>149</xdr:row>
      <xdr:rowOff>0</xdr:rowOff>
    </xdr:to>
    <xdr:pic>
      <xdr:nvPicPr>
        <xdr:cNvPr id="173" name="Picture 1" descr="Picture">
          <a:extLst>
            <a:ext uri="{FF2B5EF4-FFF2-40B4-BE49-F238E27FC236}">
              <a16:creationId xmlns:a16="http://schemas.microsoft.com/office/drawing/2014/main" id="{73602C7E-A847-450A-A822-E61B147A4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40525" y="2009775"/>
          <a:ext cx="170512" cy="0"/>
        </a:xfrm>
        <a:prstGeom prst="rect">
          <a:avLst/>
        </a:prstGeom>
      </xdr:spPr>
    </xdr:pic>
    <xdr:clientData/>
  </xdr:twoCellAnchor>
  <xdr:twoCellAnchor>
    <xdr:from>
      <xdr:col>24</xdr:col>
      <xdr:colOff>120000</xdr:colOff>
      <xdr:row>205</xdr:row>
      <xdr:rowOff>0</xdr:rowOff>
    </xdr:from>
    <xdr:to>
      <xdr:col>24</xdr:col>
      <xdr:colOff>290512</xdr:colOff>
      <xdr:row>206</xdr:row>
      <xdr:rowOff>0</xdr:rowOff>
    </xdr:to>
    <xdr:pic>
      <xdr:nvPicPr>
        <xdr:cNvPr id="174" name="Picture 1" descr="Picture">
          <a:extLst>
            <a:ext uri="{FF2B5EF4-FFF2-40B4-BE49-F238E27FC236}">
              <a16:creationId xmlns:a16="http://schemas.microsoft.com/office/drawing/2014/main" id="{B8B1D990-F95E-44DC-A861-F9DE293519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33725" y="2009775"/>
          <a:ext cx="170512" cy="0"/>
        </a:xfrm>
        <a:prstGeom prst="rect">
          <a:avLst/>
        </a:prstGeom>
      </xdr:spPr>
    </xdr:pic>
    <xdr:clientData/>
  </xdr:twoCellAnchor>
  <xdr:twoCellAnchor>
    <xdr:from>
      <xdr:col>25</xdr:col>
      <xdr:colOff>120000</xdr:colOff>
      <xdr:row>205</xdr:row>
      <xdr:rowOff>0</xdr:rowOff>
    </xdr:from>
    <xdr:to>
      <xdr:col>25</xdr:col>
      <xdr:colOff>290512</xdr:colOff>
      <xdr:row>206</xdr:row>
      <xdr:rowOff>0</xdr:rowOff>
    </xdr:to>
    <xdr:pic>
      <xdr:nvPicPr>
        <xdr:cNvPr id="175" name="Picture 1" descr="Picture">
          <a:extLst>
            <a:ext uri="{FF2B5EF4-FFF2-40B4-BE49-F238E27FC236}">
              <a16:creationId xmlns:a16="http://schemas.microsoft.com/office/drawing/2014/main" id="{245C1779-FBA2-4705-B08F-72EDB418F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752900" y="2009775"/>
          <a:ext cx="170512" cy="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205</xdr:row>
      <xdr:rowOff>0</xdr:rowOff>
    </xdr:from>
    <xdr:to>
      <xdr:col>26</xdr:col>
      <xdr:colOff>290512</xdr:colOff>
      <xdr:row>206</xdr:row>
      <xdr:rowOff>0</xdr:rowOff>
    </xdr:to>
    <xdr:pic>
      <xdr:nvPicPr>
        <xdr:cNvPr id="176" name="Picture 1" descr="Picture">
          <a:extLst>
            <a:ext uri="{FF2B5EF4-FFF2-40B4-BE49-F238E27FC236}">
              <a16:creationId xmlns:a16="http://schemas.microsoft.com/office/drawing/2014/main" id="{C58F5666-2A59-4BAD-9DCD-37ADC4D38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72075" y="200977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205</xdr:row>
      <xdr:rowOff>0</xdr:rowOff>
    </xdr:from>
    <xdr:to>
      <xdr:col>35</xdr:col>
      <xdr:colOff>290512</xdr:colOff>
      <xdr:row>206</xdr:row>
      <xdr:rowOff>0</xdr:rowOff>
    </xdr:to>
    <xdr:pic>
      <xdr:nvPicPr>
        <xdr:cNvPr id="177" name="Picture 1" descr="Picture">
          <a:extLst>
            <a:ext uri="{FF2B5EF4-FFF2-40B4-BE49-F238E27FC236}">
              <a16:creationId xmlns:a16="http://schemas.microsoft.com/office/drawing/2014/main" id="{A254DB80-3798-4672-97EA-828EE89D9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2009775"/>
          <a:ext cx="170512" cy="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205</xdr:row>
      <xdr:rowOff>0</xdr:rowOff>
    </xdr:from>
    <xdr:to>
      <xdr:col>36</xdr:col>
      <xdr:colOff>290512</xdr:colOff>
      <xdr:row>206</xdr:row>
      <xdr:rowOff>0</xdr:rowOff>
    </xdr:to>
    <xdr:pic>
      <xdr:nvPicPr>
        <xdr:cNvPr id="178" name="Picture 1" descr="Picture">
          <a:extLst>
            <a:ext uri="{FF2B5EF4-FFF2-40B4-BE49-F238E27FC236}">
              <a16:creationId xmlns:a16="http://schemas.microsoft.com/office/drawing/2014/main" id="{51FC7F72-F8BB-4ADD-A3B1-D3FB2F98B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200977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205</xdr:row>
      <xdr:rowOff>0</xdr:rowOff>
    </xdr:from>
    <xdr:to>
      <xdr:col>37</xdr:col>
      <xdr:colOff>290512</xdr:colOff>
      <xdr:row>206</xdr:row>
      <xdr:rowOff>0</xdr:rowOff>
    </xdr:to>
    <xdr:pic>
      <xdr:nvPicPr>
        <xdr:cNvPr id="179" name="Picture 1" descr="Picture">
          <a:extLst>
            <a:ext uri="{FF2B5EF4-FFF2-40B4-BE49-F238E27FC236}">
              <a16:creationId xmlns:a16="http://schemas.microsoft.com/office/drawing/2014/main" id="{2786E595-C3CF-48C2-8799-596700540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2009775"/>
          <a:ext cx="170512" cy="0"/>
        </a:xfrm>
        <a:prstGeom prst="rect">
          <a:avLst/>
        </a:prstGeom>
      </xdr:spPr>
    </xdr:pic>
    <xdr:clientData/>
  </xdr:twoCellAnchor>
  <xdr:twoCellAnchor>
    <xdr:from>
      <xdr:col>23</xdr:col>
      <xdr:colOff>10000</xdr:colOff>
      <xdr:row>234</xdr:row>
      <xdr:rowOff>10000</xdr:rowOff>
    </xdr:from>
    <xdr:to>
      <xdr:col>23</xdr:col>
      <xdr:colOff>466725</xdr:colOff>
      <xdr:row>235</xdr:row>
      <xdr:rowOff>0</xdr:rowOff>
    </xdr:to>
    <xdr:pic>
      <xdr:nvPicPr>
        <xdr:cNvPr id="180" name="Picture 1" descr="Picture">
          <a:extLst>
            <a:ext uri="{FF2B5EF4-FFF2-40B4-BE49-F238E27FC236}">
              <a16:creationId xmlns:a16="http://schemas.microsoft.com/office/drawing/2014/main" id="{E69F7373-499A-4D48-861E-377F2226E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604550" y="2009775"/>
          <a:ext cx="456725" cy="0"/>
        </a:xfrm>
        <a:prstGeom prst="rect">
          <a:avLst/>
        </a:prstGeom>
      </xdr:spPr>
    </xdr:pic>
    <xdr:clientData/>
  </xdr:twoCellAnchor>
  <xdr:twoCellAnchor>
    <xdr:from>
      <xdr:col>24</xdr:col>
      <xdr:colOff>10000</xdr:colOff>
      <xdr:row>234</xdr:row>
      <xdr:rowOff>10000</xdr:rowOff>
    </xdr:from>
    <xdr:to>
      <xdr:col>24</xdr:col>
      <xdr:colOff>466725</xdr:colOff>
      <xdr:row>235</xdr:row>
      <xdr:rowOff>0</xdr:rowOff>
    </xdr:to>
    <xdr:pic>
      <xdr:nvPicPr>
        <xdr:cNvPr id="181" name="Picture 1" descr="Picture">
          <a:extLst>
            <a:ext uri="{FF2B5EF4-FFF2-40B4-BE49-F238E27FC236}">
              <a16:creationId xmlns:a16="http://schemas.microsoft.com/office/drawing/2014/main" id="{32BD16F1-1B1D-4C3C-BD8F-7B34841E25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623725" y="2009775"/>
          <a:ext cx="456725" cy="0"/>
        </a:xfrm>
        <a:prstGeom prst="rect">
          <a:avLst/>
        </a:prstGeom>
      </xdr:spPr>
    </xdr:pic>
    <xdr:clientData/>
  </xdr:twoCellAnchor>
  <xdr:twoCellAnchor>
    <xdr:from>
      <xdr:col>22</xdr:col>
      <xdr:colOff>120000</xdr:colOff>
      <xdr:row>235</xdr:row>
      <xdr:rowOff>0</xdr:rowOff>
    </xdr:from>
    <xdr:to>
      <xdr:col>22</xdr:col>
      <xdr:colOff>290512</xdr:colOff>
      <xdr:row>236</xdr:row>
      <xdr:rowOff>0</xdr:rowOff>
    </xdr:to>
    <xdr:pic>
      <xdr:nvPicPr>
        <xdr:cNvPr id="182" name="Picture 1" descr="Picture">
          <a:extLst>
            <a:ext uri="{FF2B5EF4-FFF2-40B4-BE49-F238E27FC236}">
              <a16:creationId xmlns:a16="http://schemas.microsoft.com/office/drawing/2014/main" id="{70B83770-B667-4C96-A09B-B452250A8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695375" y="2009775"/>
          <a:ext cx="170512" cy="152400"/>
        </a:xfrm>
        <a:prstGeom prst="rect">
          <a:avLst/>
        </a:prstGeom>
      </xdr:spPr>
    </xdr:pic>
    <xdr:clientData/>
  </xdr:twoCellAnchor>
  <xdr:twoCellAnchor>
    <xdr:from>
      <xdr:col>23</xdr:col>
      <xdr:colOff>120000</xdr:colOff>
      <xdr:row>235</xdr:row>
      <xdr:rowOff>0</xdr:rowOff>
    </xdr:from>
    <xdr:to>
      <xdr:col>23</xdr:col>
      <xdr:colOff>290512</xdr:colOff>
      <xdr:row>236</xdr:row>
      <xdr:rowOff>0</xdr:rowOff>
    </xdr:to>
    <xdr:pic>
      <xdr:nvPicPr>
        <xdr:cNvPr id="183" name="Picture 1" descr="Picture">
          <a:extLst>
            <a:ext uri="{FF2B5EF4-FFF2-40B4-BE49-F238E27FC236}">
              <a16:creationId xmlns:a16="http://schemas.microsoft.com/office/drawing/2014/main" id="{2D389192-5B67-4C27-B439-63B0EBA9B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714550" y="2009775"/>
          <a:ext cx="170512" cy="152400"/>
        </a:xfrm>
        <a:prstGeom prst="rect">
          <a:avLst/>
        </a:prstGeom>
      </xdr:spPr>
    </xdr:pic>
    <xdr:clientData/>
  </xdr:twoCellAnchor>
  <xdr:twoCellAnchor>
    <xdr:from>
      <xdr:col>24</xdr:col>
      <xdr:colOff>120000</xdr:colOff>
      <xdr:row>235</xdr:row>
      <xdr:rowOff>0</xdr:rowOff>
    </xdr:from>
    <xdr:to>
      <xdr:col>24</xdr:col>
      <xdr:colOff>290512</xdr:colOff>
      <xdr:row>236</xdr:row>
      <xdr:rowOff>0</xdr:rowOff>
    </xdr:to>
    <xdr:pic>
      <xdr:nvPicPr>
        <xdr:cNvPr id="184" name="Picture 1" descr="Picture">
          <a:extLst>
            <a:ext uri="{FF2B5EF4-FFF2-40B4-BE49-F238E27FC236}">
              <a16:creationId xmlns:a16="http://schemas.microsoft.com/office/drawing/2014/main" id="{E38ADFAE-D0BC-49BC-AB69-24AA294A8F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733725" y="2009775"/>
          <a:ext cx="170512" cy="152400"/>
        </a:xfrm>
        <a:prstGeom prst="rect">
          <a:avLst/>
        </a:prstGeom>
      </xdr:spPr>
    </xdr:pic>
    <xdr:clientData/>
  </xdr:twoCellAnchor>
  <xdr:twoCellAnchor>
    <xdr:from>
      <xdr:col>25</xdr:col>
      <xdr:colOff>120000</xdr:colOff>
      <xdr:row>235</xdr:row>
      <xdr:rowOff>0</xdr:rowOff>
    </xdr:from>
    <xdr:to>
      <xdr:col>25</xdr:col>
      <xdr:colOff>290512</xdr:colOff>
      <xdr:row>236</xdr:row>
      <xdr:rowOff>0</xdr:rowOff>
    </xdr:to>
    <xdr:pic>
      <xdr:nvPicPr>
        <xdr:cNvPr id="185" name="Picture 1" descr="Picture">
          <a:extLst>
            <a:ext uri="{FF2B5EF4-FFF2-40B4-BE49-F238E27FC236}">
              <a16:creationId xmlns:a16="http://schemas.microsoft.com/office/drawing/2014/main" id="{51757225-A48F-41F9-A814-754ED3AB2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752900" y="2009775"/>
          <a:ext cx="170512" cy="15240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235</xdr:row>
      <xdr:rowOff>0</xdr:rowOff>
    </xdr:from>
    <xdr:to>
      <xdr:col>26</xdr:col>
      <xdr:colOff>290512</xdr:colOff>
      <xdr:row>236</xdr:row>
      <xdr:rowOff>0</xdr:rowOff>
    </xdr:to>
    <xdr:pic>
      <xdr:nvPicPr>
        <xdr:cNvPr id="186" name="Picture 1" descr="Picture">
          <a:extLst>
            <a:ext uri="{FF2B5EF4-FFF2-40B4-BE49-F238E27FC236}">
              <a16:creationId xmlns:a16="http://schemas.microsoft.com/office/drawing/2014/main" id="{51326B55-5106-4473-8427-CFA45F74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772075" y="2009775"/>
          <a:ext cx="170512" cy="152400"/>
        </a:xfrm>
        <a:prstGeom prst="rect">
          <a:avLst/>
        </a:prstGeom>
      </xdr:spPr>
    </xdr:pic>
    <xdr:clientData/>
  </xdr:twoCellAnchor>
  <xdr:twoCellAnchor>
    <xdr:from>
      <xdr:col>11</xdr:col>
      <xdr:colOff>120000</xdr:colOff>
      <xdr:row>237</xdr:row>
      <xdr:rowOff>0</xdr:rowOff>
    </xdr:from>
    <xdr:to>
      <xdr:col>11</xdr:col>
      <xdr:colOff>290512</xdr:colOff>
      <xdr:row>238</xdr:row>
      <xdr:rowOff>0</xdr:rowOff>
    </xdr:to>
    <xdr:pic>
      <xdr:nvPicPr>
        <xdr:cNvPr id="187" name="Picture 1" descr="Picture">
          <a:extLst>
            <a:ext uri="{FF2B5EF4-FFF2-40B4-BE49-F238E27FC236}">
              <a16:creationId xmlns:a16="http://schemas.microsoft.com/office/drawing/2014/main" id="{3465AADD-4D80-4BF5-BC4C-F17A763B2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856050" y="2162175"/>
          <a:ext cx="170512" cy="152400"/>
        </a:xfrm>
        <a:prstGeom prst="rect">
          <a:avLst/>
        </a:prstGeom>
      </xdr:spPr>
    </xdr:pic>
    <xdr:clientData/>
  </xdr:twoCellAnchor>
  <xdr:twoCellAnchor>
    <xdr:from>
      <xdr:col>12</xdr:col>
      <xdr:colOff>120000</xdr:colOff>
      <xdr:row>237</xdr:row>
      <xdr:rowOff>0</xdr:rowOff>
    </xdr:from>
    <xdr:to>
      <xdr:col>12</xdr:col>
      <xdr:colOff>290512</xdr:colOff>
      <xdr:row>238</xdr:row>
      <xdr:rowOff>0</xdr:rowOff>
    </xdr:to>
    <xdr:pic>
      <xdr:nvPicPr>
        <xdr:cNvPr id="188" name="Picture 1" descr="Picture">
          <a:extLst>
            <a:ext uri="{FF2B5EF4-FFF2-40B4-BE49-F238E27FC236}">
              <a16:creationId xmlns:a16="http://schemas.microsoft.com/office/drawing/2014/main" id="{1154C5C4-D6D4-4D3A-8AC0-F8C0A0FD1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875225" y="2162175"/>
          <a:ext cx="170512" cy="15240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239</xdr:row>
      <xdr:rowOff>0</xdr:rowOff>
    </xdr:from>
    <xdr:to>
      <xdr:col>28</xdr:col>
      <xdr:colOff>290512</xdr:colOff>
      <xdr:row>240</xdr:row>
      <xdr:rowOff>0</xdr:rowOff>
    </xdr:to>
    <xdr:pic>
      <xdr:nvPicPr>
        <xdr:cNvPr id="189" name="Picture 1" descr="Picture">
          <a:extLst>
            <a:ext uri="{FF2B5EF4-FFF2-40B4-BE49-F238E27FC236}">
              <a16:creationId xmlns:a16="http://schemas.microsoft.com/office/drawing/2014/main" id="{CCEB2DAD-57FD-4A1F-9068-564E45608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810425" y="2314575"/>
          <a:ext cx="170512" cy="15240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239</xdr:row>
      <xdr:rowOff>0</xdr:rowOff>
    </xdr:from>
    <xdr:to>
      <xdr:col>29</xdr:col>
      <xdr:colOff>290512</xdr:colOff>
      <xdr:row>240</xdr:row>
      <xdr:rowOff>0</xdr:rowOff>
    </xdr:to>
    <xdr:pic>
      <xdr:nvPicPr>
        <xdr:cNvPr id="190" name="Picture 1" descr="Picture">
          <a:extLst>
            <a:ext uri="{FF2B5EF4-FFF2-40B4-BE49-F238E27FC236}">
              <a16:creationId xmlns:a16="http://schemas.microsoft.com/office/drawing/2014/main" id="{68EB5CD1-62E3-4635-B283-E95A72D60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829600" y="2314575"/>
          <a:ext cx="170512" cy="15240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239</xdr:row>
      <xdr:rowOff>0</xdr:rowOff>
    </xdr:from>
    <xdr:to>
      <xdr:col>30</xdr:col>
      <xdr:colOff>290512</xdr:colOff>
      <xdr:row>240</xdr:row>
      <xdr:rowOff>0</xdr:rowOff>
    </xdr:to>
    <xdr:pic>
      <xdr:nvPicPr>
        <xdr:cNvPr id="191" name="Picture 1" descr="Picture">
          <a:extLst>
            <a:ext uri="{FF2B5EF4-FFF2-40B4-BE49-F238E27FC236}">
              <a16:creationId xmlns:a16="http://schemas.microsoft.com/office/drawing/2014/main" id="{C2970317-D799-43F5-815C-9888B7681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848775" y="2314575"/>
          <a:ext cx="170512" cy="15240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323</xdr:row>
      <xdr:rowOff>0</xdr:rowOff>
    </xdr:from>
    <xdr:to>
      <xdr:col>35</xdr:col>
      <xdr:colOff>290512</xdr:colOff>
      <xdr:row>324</xdr:row>
      <xdr:rowOff>0</xdr:rowOff>
    </xdr:to>
    <xdr:pic>
      <xdr:nvPicPr>
        <xdr:cNvPr id="192" name="Picture 1" descr="Picture">
          <a:extLst>
            <a:ext uri="{FF2B5EF4-FFF2-40B4-BE49-F238E27FC236}">
              <a16:creationId xmlns:a16="http://schemas.microsoft.com/office/drawing/2014/main" id="{0898AFA0-B1DC-4501-A8B4-EDD3CDBC3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944650" y="2466975"/>
          <a:ext cx="170512" cy="15240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323</xdr:row>
      <xdr:rowOff>0</xdr:rowOff>
    </xdr:from>
    <xdr:to>
      <xdr:col>36</xdr:col>
      <xdr:colOff>290512</xdr:colOff>
      <xdr:row>324</xdr:row>
      <xdr:rowOff>0</xdr:rowOff>
    </xdr:to>
    <xdr:pic>
      <xdr:nvPicPr>
        <xdr:cNvPr id="193" name="Picture 1" descr="Picture">
          <a:extLst>
            <a:ext uri="{FF2B5EF4-FFF2-40B4-BE49-F238E27FC236}">
              <a16:creationId xmlns:a16="http://schemas.microsoft.com/office/drawing/2014/main" id="{98FE033A-00EB-49E5-ACD4-9D68A209C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963825" y="2466975"/>
          <a:ext cx="170512" cy="15240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323</xdr:row>
      <xdr:rowOff>0</xdr:rowOff>
    </xdr:from>
    <xdr:to>
      <xdr:col>37</xdr:col>
      <xdr:colOff>290512</xdr:colOff>
      <xdr:row>324</xdr:row>
      <xdr:rowOff>0</xdr:rowOff>
    </xdr:to>
    <xdr:pic>
      <xdr:nvPicPr>
        <xdr:cNvPr id="194" name="Picture 1" descr="Picture">
          <a:extLst>
            <a:ext uri="{FF2B5EF4-FFF2-40B4-BE49-F238E27FC236}">
              <a16:creationId xmlns:a16="http://schemas.microsoft.com/office/drawing/2014/main" id="{D0B45C76-824E-4E96-BF0F-5AFE26CFB2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983000" y="2466975"/>
          <a:ext cx="170512" cy="15240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327</xdr:row>
      <xdr:rowOff>0</xdr:rowOff>
    </xdr:from>
    <xdr:to>
      <xdr:col>28</xdr:col>
      <xdr:colOff>290512</xdr:colOff>
      <xdr:row>328</xdr:row>
      <xdr:rowOff>0</xdr:rowOff>
    </xdr:to>
    <xdr:pic>
      <xdr:nvPicPr>
        <xdr:cNvPr id="195" name="Picture 1" descr="Picture">
          <a:extLst>
            <a:ext uri="{FF2B5EF4-FFF2-40B4-BE49-F238E27FC236}">
              <a16:creationId xmlns:a16="http://schemas.microsoft.com/office/drawing/2014/main" id="{34F6A007-F82D-49C4-BF6E-22E74DA56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7810425" y="2619375"/>
          <a:ext cx="170512" cy="15240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327</xdr:row>
      <xdr:rowOff>0</xdr:rowOff>
    </xdr:from>
    <xdr:to>
      <xdr:col>29</xdr:col>
      <xdr:colOff>290512</xdr:colOff>
      <xdr:row>328</xdr:row>
      <xdr:rowOff>0</xdr:rowOff>
    </xdr:to>
    <xdr:pic>
      <xdr:nvPicPr>
        <xdr:cNvPr id="196" name="Picture 1" descr="Picture">
          <a:extLst>
            <a:ext uri="{FF2B5EF4-FFF2-40B4-BE49-F238E27FC236}">
              <a16:creationId xmlns:a16="http://schemas.microsoft.com/office/drawing/2014/main" id="{F7D461A4-C004-45E3-8379-4A091D7AB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829600" y="2619375"/>
          <a:ext cx="170512" cy="15240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327</xdr:row>
      <xdr:rowOff>0</xdr:rowOff>
    </xdr:from>
    <xdr:to>
      <xdr:col>30</xdr:col>
      <xdr:colOff>290512</xdr:colOff>
      <xdr:row>328</xdr:row>
      <xdr:rowOff>0</xdr:rowOff>
    </xdr:to>
    <xdr:pic>
      <xdr:nvPicPr>
        <xdr:cNvPr id="197" name="Picture 1" descr="Picture">
          <a:extLst>
            <a:ext uri="{FF2B5EF4-FFF2-40B4-BE49-F238E27FC236}">
              <a16:creationId xmlns:a16="http://schemas.microsoft.com/office/drawing/2014/main" id="{DAC7D813-E70D-41D5-AE47-F7F468EFB6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9848775" y="2619375"/>
          <a:ext cx="170512" cy="15240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327</xdr:row>
      <xdr:rowOff>0</xdr:rowOff>
    </xdr:from>
    <xdr:to>
      <xdr:col>31</xdr:col>
      <xdr:colOff>290512</xdr:colOff>
      <xdr:row>328</xdr:row>
      <xdr:rowOff>0</xdr:rowOff>
    </xdr:to>
    <xdr:pic>
      <xdr:nvPicPr>
        <xdr:cNvPr id="198" name="Picture 1" descr="Picture">
          <a:extLst>
            <a:ext uri="{FF2B5EF4-FFF2-40B4-BE49-F238E27FC236}">
              <a16:creationId xmlns:a16="http://schemas.microsoft.com/office/drawing/2014/main" id="{BF5E82A4-3D36-4B8D-BF22-C93483FC6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0867950" y="2619375"/>
          <a:ext cx="170512" cy="15240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327</xdr:row>
      <xdr:rowOff>0</xdr:rowOff>
    </xdr:from>
    <xdr:to>
      <xdr:col>32</xdr:col>
      <xdr:colOff>290512</xdr:colOff>
      <xdr:row>328</xdr:row>
      <xdr:rowOff>0</xdr:rowOff>
    </xdr:to>
    <xdr:pic>
      <xdr:nvPicPr>
        <xdr:cNvPr id="199" name="Picture 1" descr="Picture">
          <a:extLst>
            <a:ext uri="{FF2B5EF4-FFF2-40B4-BE49-F238E27FC236}">
              <a16:creationId xmlns:a16="http://schemas.microsoft.com/office/drawing/2014/main" id="{7CB3E25B-23A2-4A9E-998F-F633B240DD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887125" y="2619375"/>
          <a:ext cx="170512" cy="15240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327</xdr:row>
      <xdr:rowOff>0</xdr:rowOff>
    </xdr:from>
    <xdr:to>
      <xdr:col>33</xdr:col>
      <xdr:colOff>290512</xdr:colOff>
      <xdr:row>328</xdr:row>
      <xdr:rowOff>0</xdr:rowOff>
    </xdr:to>
    <xdr:pic>
      <xdr:nvPicPr>
        <xdr:cNvPr id="200" name="Picture 1" descr="Picture">
          <a:extLst>
            <a:ext uri="{FF2B5EF4-FFF2-40B4-BE49-F238E27FC236}">
              <a16:creationId xmlns:a16="http://schemas.microsoft.com/office/drawing/2014/main" id="{F89A407E-F932-4521-9B84-2D55F0CE5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906300" y="2619375"/>
          <a:ext cx="170512" cy="152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14</xdr:col>
      <xdr:colOff>362139</xdr:colOff>
      <xdr:row>4</xdr:row>
      <xdr:rowOff>0</xdr:rowOff>
    </xdr:to>
    <xdr:sp macro="" textlink="">
      <xdr:nvSpPr>
        <xdr:cNvPr id="5" name="AutoShape 34">
          <a:extLst>
            <a:ext uri="{FF2B5EF4-FFF2-40B4-BE49-F238E27FC236}">
              <a16:creationId xmlns:a16="http://schemas.microsoft.com/office/drawing/2014/main" id="{13C2A305-6F0D-4F20-ACD5-3ED5A5361169}"/>
            </a:ext>
          </a:extLst>
        </xdr:cNvPr>
        <xdr:cNvSpPr>
          <a:spLocks noChangeArrowheads="1"/>
        </xdr:cNvSpPr>
      </xdr:nvSpPr>
      <xdr:spPr bwMode="auto">
        <a:xfrm>
          <a:off x="16640175" y="0"/>
          <a:ext cx="7143939" cy="1066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120000</xdr:colOff>
      <xdr:row>16</xdr:row>
      <xdr:rowOff>0</xdr:rowOff>
    </xdr:from>
    <xdr:to>
      <xdr:col>14</xdr:col>
      <xdr:colOff>290512</xdr:colOff>
      <xdr:row>17</xdr:row>
      <xdr:rowOff>0</xdr:rowOff>
    </xdr:to>
    <xdr:pic>
      <xdr:nvPicPr>
        <xdr:cNvPr id="6" name="Picture 1" descr="Picture">
          <a:extLst>
            <a:ext uri="{FF2B5EF4-FFF2-40B4-BE49-F238E27FC236}">
              <a16:creationId xmlns:a16="http://schemas.microsoft.com/office/drawing/2014/main" id="{56B09C7D-7954-4A66-850A-5F9728C717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541975" y="1400175"/>
          <a:ext cx="170512" cy="0"/>
        </a:xfrm>
        <a:prstGeom prst="rect">
          <a:avLst/>
        </a:prstGeom>
      </xdr:spPr>
    </xdr:pic>
    <xdr:clientData/>
  </xdr:twoCellAnchor>
  <xdr:twoCellAnchor>
    <xdr:from>
      <xdr:col>15</xdr:col>
      <xdr:colOff>120000</xdr:colOff>
      <xdr:row>16</xdr:row>
      <xdr:rowOff>0</xdr:rowOff>
    </xdr:from>
    <xdr:to>
      <xdr:col>15</xdr:col>
      <xdr:colOff>290512</xdr:colOff>
      <xdr:row>17</xdr:row>
      <xdr:rowOff>0</xdr:rowOff>
    </xdr:to>
    <xdr:pic>
      <xdr:nvPicPr>
        <xdr:cNvPr id="7" name="Picture 1" descr="Picture">
          <a:extLst>
            <a:ext uri="{FF2B5EF4-FFF2-40B4-BE49-F238E27FC236}">
              <a16:creationId xmlns:a16="http://schemas.microsoft.com/office/drawing/2014/main" id="{43D36F38-49B6-4DAB-8F29-66A35E6F5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561150" y="1400175"/>
          <a:ext cx="170512" cy="0"/>
        </a:xfrm>
        <a:prstGeom prst="rect">
          <a:avLst/>
        </a:prstGeom>
      </xdr:spPr>
    </xdr:pic>
    <xdr:clientData/>
  </xdr:twoCellAnchor>
  <xdr:twoCellAnchor>
    <xdr:from>
      <xdr:col>16</xdr:col>
      <xdr:colOff>120000</xdr:colOff>
      <xdr:row>16</xdr:row>
      <xdr:rowOff>0</xdr:rowOff>
    </xdr:from>
    <xdr:to>
      <xdr:col>16</xdr:col>
      <xdr:colOff>290512</xdr:colOff>
      <xdr:row>17</xdr:row>
      <xdr:rowOff>0</xdr:rowOff>
    </xdr:to>
    <xdr:pic>
      <xdr:nvPicPr>
        <xdr:cNvPr id="8" name="Picture 1" descr="Picture">
          <a:extLst>
            <a:ext uri="{FF2B5EF4-FFF2-40B4-BE49-F238E27FC236}">
              <a16:creationId xmlns:a16="http://schemas.microsoft.com/office/drawing/2014/main" id="{9F53B947-493A-48A9-B3B5-D5EB2C9E4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80325" y="1400175"/>
          <a:ext cx="170512" cy="0"/>
        </a:xfrm>
        <a:prstGeom prst="rect">
          <a:avLst/>
        </a:prstGeom>
      </xdr:spPr>
    </xdr:pic>
    <xdr:clientData/>
  </xdr:twoCellAnchor>
  <xdr:twoCellAnchor>
    <xdr:from>
      <xdr:col>17</xdr:col>
      <xdr:colOff>120000</xdr:colOff>
      <xdr:row>16</xdr:row>
      <xdr:rowOff>0</xdr:rowOff>
    </xdr:from>
    <xdr:to>
      <xdr:col>17</xdr:col>
      <xdr:colOff>290512</xdr:colOff>
      <xdr:row>17</xdr:row>
      <xdr:rowOff>0</xdr:rowOff>
    </xdr:to>
    <xdr:pic>
      <xdr:nvPicPr>
        <xdr:cNvPr id="9" name="Picture 1" descr="Picture">
          <a:extLst>
            <a:ext uri="{FF2B5EF4-FFF2-40B4-BE49-F238E27FC236}">
              <a16:creationId xmlns:a16="http://schemas.microsoft.com/office/drawing/2014/main" id="{6241BF97-CF96-4A29-AD1C-630E652B1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99500" y="1400175"/>
          <a:ext cx="170512" cy="0"/>
        </a:xfrm>
        <a:prstGeom prst="rect">
          <a:avLst/>
        </a:prstGeom>
      </xdr:spPr>
    </xdr:pic>
    <xdr:clientData/>
  </xdr:twoCellAnchor>
  <xdr:twoCellAnchor>
    <xdr:from>
      <xdr:col>18</xdr:col>
      <xdr:colOff>120000</xdr:colOff>
      <xdr:row>16</xdr:row>
      <xdr:rowOff>0</xdr:rowOff>
    </xdr:from>
    <xdr:to>
      <xdr:col>18</xdr:col>
      <xdr:colOff>290512</xdr:colOff>
      <xdr:row>17</xdr:row>
      <xdr:rowOff>0</xdr:rowOff>
    </xdr:to>
    <xdr:pic>
      <xdr:nvPicPr>
        <xdr:cNvPr id="10" name="Picture 1" descr="Picture">
          <a:extLst>
            <a:ext uri="{FF2B5EF4-FFF2-40B4-BE49-F238E27FC236}">
              <a16:creationId xmlns:a16="http://schemas.microsoft.com/office/drawing/2014/main" id="{5F6EADEE-27AD-424E-BA42-6D07FBAC8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18675" y="1400175"/>
          <a:ext cx="170512" cy="0"/>
        </a:xfrm>
        <a:prstGeom prst="rect">
          <a:avLst/>
        </a:prstGeom>
      </xdr:spPr>
    </xdr:pic>
    <xdr:clientData/>
  </xdr:twoCellAnchor>
  <xdr:twoCellAnchor>
    <xdr:from>
      <xdr:col>19</xdr:col>
      <xdr:colOff>120000</xdr:colOff>
      <xdr:row>16</xdr:row>
      <xdr:rowOff>0</xdr:rowOff>
    </xdr:from>
    <xdr:to>
      <xdr:col>19</xdr:col>
      <xdr:colOff>290512</xdr:colOff>
      <xdr:row>17</xdr:row>
      <xdr:rowOff>0</xdr:rowOff>
    </xdr:to>
    <xdr:pic>
      <xdr:nvPicPr>
        <xdr:cNvPr id="11" name="Picture 1" descr="Picture">
          <a:extLst>
            <a:ext uri="{FF2B5EF4-FFF2-40B4-BE49-F238E27FC236}">
              <a16:creationId xmlns:a16="http://schemas.microsoft.com/office/drawing/2014/main" id="{EA0C3367-328B-4860-B082-B28024F12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37850" y="1400175"/>
          <a:ext cx="170512" cy="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16</xdr:row>
      <xdr:rowOff>0</xdr:rowOff>
    </xdr:from>
    <xdr:to>
      <xdr:col>26</xdr:col>
      <xdr:colOff>290512</xdr:colOff>
      <xdr:row>17</xdr:row>
      <xdr:rowOff>0</xdr:rowOff>
    </xdr:to>
    <xdr:pic>
      <xdr:nvPicPr>
        <xdr:cNvPr id="12" name="Picture 1" descr="Picture">
          <a:extLst>
            <a:ext uri="{FF2B5EF4-FFF2-40B4-BE49-F238E27FC236}">
              <a16:creationId xmlns:a16="http://schemas.microsoft.com/office/drawing/2014/main" id="{E6A54ED0-5463-490E-AB2B-3E2B7319C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72075" y="1400175"/>
          <a:ext cx="170512" cy="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16</xdr:row>
      <xdr:rowOff>0</xdr:rowOff>
    </xdr:from>
    <xdr:to>
      <xdr:col>33</xdr:col>
      <xdr:colOff>290512</xdr:colOff>
      <xdr:row>17</xdr:row>
      <xdr:rowOff>0</xdr:rowOff>
    </xdr:to>
    <xdr:pic>
      <xdr:nvPicPr>
        <xdr:cNvPr id="13" name="Picture 1" descr="Picture">
          <a:extLst>
            <a:ext uri="{FF2B5EF4-FFF2-40B4-BE49-F238E27FC236}">
              <a16:creationId xmlns:a16="http://schemas.microsoft.com/office/drawing/2014/main" id="{FC7E1A05-A5CD-4BC5-BBA0-D4FF3A143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06300" y="140017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16</xdr:row>
      <xdr:rowOff>0</xdr:rowOff>
    </xdr:from>
    <xdr:to>
      <xdr:col>37</xdr:col>
      <xdr:colOff>290512</xdr:colOff>
      <xdr:row>17</xdr:row>
      <xdr:rowOff>0</xdr:rowOff>
    </xdr:to>
    <xdr:pic>
      <xdr:nvPicPr>
        <xdr:cNvPr id="14" name="Picture 1" descr="Picture">
          <a:extLst>
            <a:ext uri="{FF2B5EF4-FFF2-40B4-BE49-F238E27FC236}">
              <a16:creationId xmlns:a16="http://schemas.microsoft.com/office/drawing/2014/main" id="{625B4856-0D92-4261-B957-CCF2854C2D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1400175"/>
          <a:ext cx="170512" cy="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16</xdr:row>
      <xdr:rowOff>0</xdr:rowOff>
    </xdr:from>
    <xdr:to>
      <xdr:col>38</xdr:col>
      <xdr:colOff>290512</xdr:colOff>
      <xdr:row>17</xdr:row>
      <xdr:rowOff>0</xdr:rowOff>
    </xdr:to>
    <xdr:pic>
      <xdr:nvPicPr>
        <xdr:cNvPr id="15" name="Picture 1" descr="Picture">
          <a:extLst>
            <a:ext uri="{FF2B5EF4-FFF2-40B4-BE49-F238E27FC236}">
              <a16:creationId xmlns:a16="http://schemas.microsoft.com/office/drawing/2014/main" id="{DEEFC898-1531-4FF5-86F0-1DE36FE40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1400175"/>
          <a:ext cx="170512" cy="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16</xdr:row>
      <xdr:rowOff>0</xdr:rowOff>
    </xdr:from>
    <xdr:to>
      <xdr:col>39</xdr:col>
      <xdr:colOff>290512</xdr:colOff>
      <xdr:row>17</xdr:row>
      <xdr:rowOff>0</xdr:rowOff>
    </xdr:to>
    <xdr:pic>
      <xdr:nvPicPr>
        <xdr:cNvPr id="16" name="Picture 1" descr="Picture">
          <a:extLst>
            <a:ext uri="{FF2B5EF4-FFF2-40B4-BE49-F238E27FC236}">
              <a16:creationId xmlns:a16="http://schemas.microsoft.com/office/drawing/2014/main" id="{36643540-1423-49F0-BFAE-8B3F4DB17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1350" y="1400175"/>
          <a:ext cx="170512" cy="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16</xdr:row>
      <xdr:rowOff>0</xdr:rowOff>
    </xdr:from>
    <xdr:to>
      <xdr:col>40</xdr:col>
      <xdr:colOff>290512</xdr:colOff>
      <xdr:row>17</xdr:row>
      <xdr:rowOff>0</xdr:rowOff>
    </xdr:to>
    <xdr:pic>
      <xdr:nvPicPr>
        <xdr:cNvPr id="17" name="Picture 1" descr="Picture">
          <a:extLst>
            <a:ext uri="{FF2B5EF4-FFF2-40B4-BE49-F238E27FC236}">
              <a16:creationId xmlns:a16="http://schemas.microsoft.com/office/drawing/2014/main" id="{48AD59FF-2E4B-4EC3-BEF1-DBF9DCD2B6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40525" y="1400175"/>
          <a:ext cx="170512" cy="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17</xdr:row>
      <xdr:rowOff>0</xdr:rowOff>
    </xdr:from>
    <xdr:to>
      <xdr:col>33</xdr:col>
      <xdr:colOff>290512</xdr:colOff>
      <xdr:row>18</xdr:row>
      <xdr:rowOff>0</xdr:rowOff>
    </xdr:to>
    <xdr:pic>
      <xdr:nvPicPr>
        <xdr:cNvPr id="18" name="Picture 1" descr="Picture">
          <a:extLst>
            <a:ext uri="{FF2B5EF4-FFF2-40B4-BE49-F238E27FC236}">
              <a16:creationId xmlns:a16="http://schemas.microsoft.com/office/drawing/2014/main" id="{67BD5F0E-CFC7-44EC-9A0B-AFE175937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906300" y="1400175"/>
          <a:ext cx="170512" cy="15240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24</xdr:row>
      <xdr:rowOff>0</xdr:rowOff>
    </xdr:from>
    <xdr:to>
      <xdr:col>35</xdr:col>
      <xdr:colOff>290512</xdr:colOff>
      <xdr:row>25</xdr:row>
      <xdr:rowOff>0</xdr:rowOff>
    </xdr:to>
    <xdr:pic>
      <xdr:nvPicPr>
        <xdr:cNvPr id="19" name="Picture 1" descr="Picture">
          <a:extLst>
            <a:ext uri="{FF2B5EF4-FFF2-40B4-BE49-F238E27FC236}">
              <a16:creationId xmlns:a16="http://schemas.microsoft.com/office/drawing/2014/main" id="{A3299935-C2E7-4E1D-9CCF-7E7B37D71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944650" y="1552575"/>
          <a:ext cx="170512" cy="15240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38</xdr:row>
      <xdr:rowOff>0</xdr:rowOff>
    </xdr:from>
    <xdr:to>
      <xdr:col>35</xdr:col>
      <xdr:colOff>290512</xdr:colOff>
      <xdr:row>39</xdr:row>
      <xdr:rowOff>0</xdr:rowOff>
    </xdr:to>
    <xdr:pic>
      <xdr:nvPicPr>
        <xdr:cNvPr id="20" name="Picture 1" descr="Picture">
          <a:extLst>
            <a:ext uri="{FF2B5EF4-FFF2-40B4-BE49-F238E27FC236}">
              <a16:creationId xmlns:a16="http://schemas.microsoft.com/office/drawing/2014/main" id="{E6B4F9F4-6B0D-4140-84F2-E13D2A06F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9446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38</xdr:row>
      <xdr:rowOff>0</xdr:rowOff>
    </xdr:from>
    <xdr:to>
      <xdr:col>36</xdr:col>
      <xdr:colOff>290512</xdr:colOff>
      <xdr:row>39</xdr:row>
      <xdr:rowOff>0</xdr:rowOff>
    </xdr:to>
    <xdr:pic>
      <xdr:nvPicPr>
        <xdr:cNvPr id="21" name="Picture 1" descr="Picture">
          <a:extLst>
            <a:ext uri="{FF2B5EF4-FFF2-40B4-BE49-F238E27FC236}">
              <a16:creationId xmlns:a16="http://schemas.microsoft.com/office/drawing/2014/main" id="{37557BC1-8B2F-48BE-A038-CFFDE26D8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9638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38</xdr:row>
      <xdr:rowOff>0</xdr:rowOff>
    </xdr:from>
    <xdr:to>
      <xdr:col>37</xdr:col>
      <xdr:colOff>290512</xdr:colOff>
      <xdr:row>39</xdr:row>
      <xdr:rowOff>0</xdr:rowOff>
    </xdr:to>
    <xdr:pic>
      <xdr:nvPicPr>
        <xdr:cNvPr id="22" name="Picture 1" descr="Picture">
          <a:extLst>
            <a:ext uri="{FF2B5EF4-FFF2-40B4-BE49-F238E27FC236}">
              <a16:creationId xmlns:a16="http://schemas.microsoft.com/office/drawing/2014/main" id="{125D7BB3-9315-464C-B3F3-AF6E6EEB2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9830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45</xdr:row>
      <xdr:rowOff>0</xdr:rowOff>
    </xdr:from>
    <xdr:to>
      <xdr:col>28</xdr:col>
      <xdr:colOff>290512</xdr:colOff>
      <xdr:row>46</xdr:row>
      <xdr:rowOff>0</xdr:rowOff>
    </xdr:to>
    <xdr:pic>
      <xdr:nvPicPr>
        <xdr:cNvPr id="23" name="Picture 1" descr="Picture">
          <a:extLst>
            <a:ext uri="{FF2B5EF4-FFF2-40B4-BE49-F238E27FC236}">
              <a16:creationId xmlns:a16="http://schemas.microsoft.com/office/drawing/2014/main" id="{28D8A974-BA87-4067-9434-3EA4669AD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8104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45</xdr:row>
      <xdr:rowOff>0</xdr:rowOff>
    </xdr:from>
    <xdr:to>
      <xdr:col>29</xdr:col>
      <xdr:colOff>290512</xdr:colOff>
      <xdr:row>46</xdr:row>
      <xdr:rowOff>0</xdr:rowOff>
    </xdr:to>
    <xdr:pic>
      <xdr:nvPicPr>
        <xdr:cNvPr id="24" name="Picture 1" descr="Picture">
          <a:extLst>
            <a:ext uri="{FF2B5EF4-FFF2-40B4-BE49-F238E27FC236}">
              <a16:creationId xmlns:a16="http://schemas.microsoft.com/office/drawing/2014/main" id="{4E67DBB5-F4F4-4AF6-A437-279BC7DD6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296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45</xdr:row>
      <xdr:rowOff>0</xdr:rowOff>
    </xdr:from>
    <xdr:to>
      <xdr:col>30</xdr:col>
      <xdr:colOff>290512</xdr:colOff>
      <xdr:row>46</xdr:row>
      <xdr:rowOff>0</xdr:rowOff>
    </xdr:to>
    <xdr:pic>
      <xdr:nvPicPr>
        <xdr:cNvPr id="25" name="Picture 1" descr="Picture">
          <a:extLst>
            <a:ext uri="{FF2B5EF4-FFF2-40B4-BE49-F238E27FC236}">
              <a16:creationId xmlns:a16="http://schemas.microsoft.com/office/drawing/2014/main" id="{7C7D6F48-8540-4D57-92D7-3A02E726C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8487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45</xdr:row>
      <xdr:rowOff>0</xdr:rowOff>
    </xdr:from>
    <xdr:to>
      <xdr:col>31</xdr:col>
      <xdr:colOff>290512</xdr:colOff>
      <xdr:row>46</xdr:row>
      <xdr:rowOff>0</xdr:rowOff>
    </xdr:to>
    <xdr:pic>
      <xdr:nvPicPr>
        <xdr:cNvPr id="26" name="Picture 1" descr="Picture">
          <a:extLst>
            <a:ext uri="{FF2B5EF4-FFF2-40B4-BE49-F238E27FC236}">
              <a16:creationId xmlns:a16="http://schemas.microsoft.com/office/drawing/2014/main" id="{513F121D-8896-4A43-A1EC-BB9CF153A0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679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45</xdr:row>
      <xdr:rowOff>0</xdr:rowOff>
    </xdr:from>
    <xdr:to>
      <xdr:col>32</xdr:col>
      <xdr:colOff>290512</xdr:colOff>
      <xdr:row>46</xdr:row>
      <xdr:rowOff>0</xdr:rowOff>
    </xdr:to>
    <xdr:pic>
      <xdr:nvPicPr>
        <xdr:cNvPr id="27" name="Picture 1" descr="Picture">
          <a:extLst>
            <a:ext uri="{FF2B5EF4-FFF2-40B4-BE49-F238E27FC236}">
              <a16:creationId xmlns:a16="http://schemas.microsoft.com/office/drawing/2014/main" id="{2C39A538-5D26-496F-8A26-CFF1D3E93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8871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45</xdr:row>
      <xdr:rowOff>0</xdr:rowOff>
    </xdr:from>
    <xdr:to>
      <xdr:col>33</xdr:col>
      <xdr:colOff>290512</xdr:colOff>
      <xdr:row>46</xdr:row>
      <xdr:rowOff>0</xdr:rowOff>
    </xdr:to>
    <xdr:pic>
      <xdr:nvPicPr>
        <xdr:cNvPr id="28" name="Picture 1" descr="Picture">
          <a:extLst>
            <a:ext uri="{FF2B5EF4-FFF2-40B4-BE49-F238E27FC236}">
              <a16:creationId xmlns:a16="http://schemas.microsoft.com/office/drawing/2014/main" id="{B926D2C7-EFE5-466E-8A22-7CACA8F04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063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45</xdr:row>
      <xdr:rowOff>0</xdr:rowOff>
    </xdr:from>
    <xdr:to>
      <xdr:col>35</xdr:col>
      <xdr:colOff>290512</xdr:colOff>
      <xdr:row>46</xdr:row>
      <xdr:rowOff>0</xdr:rowOff>
    </xdr:to>
    <xdr:pic>
      <xdr:nvPicPr>
        <xdr:cNvPr id="29" name="Picture 1" descr="Picture">
          <a:extLst>
            <a:ext uri="{FF2B5EF4-FFF2-40B4-BE49-F238E27FC236}">
              <a16:creationId xmlns:a16="http://schemas.microsoft.com/office/drawing/2014/main" id="{6FD7FA5B-AAC9-4A52-8FA4-174D66845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45</xdr:row>
      <xdr:rowOff>0</xdr:rowOff>
    </xdr:from>
    <xdr:to>
      <xdr:col>36</xdr:col>
      <xdr:colOff>290512</xdr:colOff>
      <xdr:row>46</xdr:row>
      <xdr:rowOff>0</xdr:rowOff>
    </xdr:to>
    <xdr:pic>
      <xdr:nvPicPr>
        <xdr:cNvPr id="30" name="Picture 1" descr="Picture">
          <a:extLst>
            <a:ext uri="{FF2B5EF4-FFF2-40B4-BE49-F238E27FC236}">
              <a16:creationId xmlns:a16="http://schemas.microsoft.com/office/drawing/2014/main" id="{EE8EECC6-9912-4D97-8C29-F8F9A771B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45</xdr:row>
      <xdr:rowOff>0</xdr:rowOff>
    </xdr:from>
    <xdr:to>
      <xdr:col>37</xdr:col>
      <xdr:colOff>290512</xdr:colOff>
      <xdr:row>46</xdr:row>
      <xdr:rowOff>0</xdr:rowOff>
    </xdr:to>
    <xdr:pic>
      <xdr:nvPicPr>
        <xdr:cNvPr id="31" name="Picture 1" descr="Picture">
          <a:extLst>
            <a:ext uri="{FF2B5EF4-FFF2-40B4-BE49-F238E27FC236}">
              <a16:creationId xmlns:a16="http://schemas.microsoft.com/office/drawing/2014/main" id="{93402876-F94A-45BA-9DA0-BD37EF708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45</xdr:row>
      <xdr:rowOff>0</xdr:rowOff>
    </xdr:from>
    <xdr:to>
      <xdr:col>38</xdr:col>
      <xdr:colOff>290512</xdr:colOff>
      <xdr:row>46</xdr:row>
      <xdr:rowOff>0</xdr:rowOff>
    </xdr:to>
    <xdr:pic>
      <xdr:nvPicPr>
        <xdr:cNvPr id="32" name="Picture 1" descr="Picture">
          <a:extLst>
            <a:ext uri="{FF2B5EF4-FFF2-40B4-BE49-F238E27FC236}">
              <a16:creationId xmlns:a16="http://schemas.microsoft.com/office/drawing/2014/main" id="{BEC5999A-E859-45E3-B30B-C213FD951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45</xdr:row>
      <xdr:rowOff>0</xdr:rowOff>
    </xdr:from>
    <xdr:to>
      <xdr:col>39</xdr:col>
      <xdr:colOff>290512</xdr:colOff>
      <xdr:row>46</xdr:row>
      <xdr:rowOff>0</xdr:rowOff>
    </xdr:to>
    <xdr:pic>
      <xdr:nvPicPr>
        <xdr:cNvPr id="33" name="Picture 1" descr="Picture">
          <a:extLst>
            <a:ext uri="{FF2B5EF4-FFF2-40B4-BE49-F238E27FC236}">
              <a16:creationId xmlns:a16="http://schemas.microsoft.com/office/drawing/2014/main" id="{6A4303CD-07ED-4FE2-A5D2-EA362729F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13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22</xdr:col>
      <xdr:colOff>120000</xdr:colOff>
      <xdr:row>50</xdr:row>
      <xdr:rowOff>0</xdr:rowOff>
    </xdr:from>
    <xdr:to>
      <xdr:col>22</xdr:col>
      <xdr:colOff>290512</xdr:colOff>
      <xdr:row>51</xdr:row>
      <xdr:rowOff>0</xdr:rowOff>
    </xdr:to>
    <xdr:pic>
      <xdr:nvPicPr>
        <xdr:cNvPr id="34" name="Picture 1" descr="Picture">
          <a:extLst>
            <a:ext uri="{FF2B5EF4-FFF2-40B4-BE49-F238E27FC236}">
              <a16:creationId xmlns:a16="http://schemas.microsoft.com/office/drawing/2014/main" id="{22EE749B-1FB8-4BFC-B3A5-8F1D1B1C1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6953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23</xdr:col>
      <xdr:colOff>120000</xdr:colOff>
      <xdr:row>50</xdr:row>
      <xdr:rowOff>0</xdr:rowOff>
    </xdr:from>
    <xdr:to>
      <xdr:col>23</xdr:col>
      <xdr:colOff>290512</xdr:colOff>
      <xdr:row>51</xdr:row>
      <xdr:rowOff>0</xdr:rowOff>
    </xdr:to>
    <xdr:pic>
      <xdr:nvPicPr>
        <xdr:cNvPr id="35" name="Picture 1" descr="Picture">
          <a:extLst>
            <a:ext uri="{FF2B5EF4-FFF2-40B4-BE49-F238E27FC236}">
              <a16:creationId xmlns:a16="http://schemas.microsoft.com/office/drawing/2014/main" id="{0DA17343-9BCA-417B-8566-18FA150D8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7145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55</xdr:row>
      <xdr:rowOff>0</xdr:rowOff>
    </xdr:from>
    <xdr:to>
      <xdr:col>26</xdr:col>
      <xdr:colOff>290512</xdr:colOff>
      <xdr:row>56</xdr:row>
      <xdr:rowOff>0</xdr:rowOff>
    </xdr:to>
    <xdr:pic>
      <xdr:nvPicPr>
        <xdr:cNvPr id="36" name="Picture 1" descr="Picture">
          <a:extLst>
            <a:ext uri="{FF2B5EF4-FFF2-40B4-BE49-F238E27FC236}">
              <a16:creationId xmlns:a16="http://schemas.microsoft.com/office/drawing/2014/main" id="{AFDC7E54-9FFB-46C0-ACCD-13148B1B5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7720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14</xdr:col>
      <xdr:colOff>120000</xdr:colOff>
      <xdr:row>64</xdr:row>
      <xdr:rowOff>0</xdr:rowOff>
    </xdr:from>
    <xdr:to>
      <xdr:col>14</xdr:col>
      <xdr:colOff>290512</xdr:colOff>
      <xdr:row>65</xdr:row>
      <xdr:rowOff>0</xdr:rowOff>
    </xdr:to>
    <xdr:pic>
      <xdr:nvPicPr>
        <xdr:cNvPr id="37" name="Picture 1" descr="Picture">
          <a:extLst>
            <a:ext uri="{FF2B5EF4-FFF2-40B4-BE49-F238E27FC236}">
              <a16:creationId xmlns:a16="http://schemas.microsoft.com/office/drawing/2014/main" id="{A0745965-2AAD-4738-89E9-6C2807ECF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5419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15</xdr:col>
      <xdr:colOff>120000</xdr:colOff>
      <xdr:row>64</xdr:row>
      <xdr:rowOff>0</xdr:rowOff>
    </xdr:from>
    <xdr:to>
      <xdr:col>15</xdr:col>
      <xdr:colOff>290512</xdr:colOff>
      <xdr:row>65</xdr:row>
      <xdr:rowOff>0</xdr:rowOff>
    </xdr:to>
    <xdr:pic>
      <xdr:nvPicPr>
        <xdr:cNvPr id="38" name="Picture 1" descr="Picture">
          <a:extLst>
            <a:ext uri="{FF2B5EF4-FFF2-40B4-BE49-F238E27FC236}">
              <a16:creationId xmlns:a16="http://schemas.microsoft.com/office/drawing/2014/main" id="{98E458BF-AFCB-448F-A1BE-353A1EDD5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5611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16</xdr:col>
      <xdr:colOff>120000</xdr:colOff>
      <xdr:row>64</xdr:row>
      <xdr:rowOff>0</xdr:rowOff>
    </xdr:from>
    <xdr:to>
      <xdr:col>16</xdr:col>
      <xdr:colOff>290512</xdr:colOff>
      <xdr:row>65</xdr:row>
      <xdr:rowOff>0</xdr:rowOff>
    </xdr:to>
    <xdr:pic>
      <xdr:nvPicPr>
        <xdr:cNvPr id="39" name="Picture 1" descr="Picture">
          <a:extLst>
            <a:ext uri="{FF2B5EF4-FFF2-40B4-BE49-F238E27FC236}">
              <a16:creationId xmlns:a16="http://schemas.microsoft.com/office/drawing/2014/main" id="{44BF4AF7-3E34-467C-BF32-C9CF5A0ED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803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17</xdr:col>
      <xdr:colOff>120000</xdr:colOff>
      <xdr:row>64</xdr:row>
      <xdr:rowOff>0</xdr:rowOff>
    </xdr:from>
    <xdr:to>
      <xdr:col>17</xdr:col>
      <xdr:colOff>290512</xdr:colOff>
      <xdr:row>65</xdr:row>
      <xdr:rowOff>0</xdr:rowOff>
    </xdr:to>
    <xdr:pic>
      <xdr:nvPicPr>
        <xdr:cNvPr id="40" name="Picture 1" descr="Picture">
          <a:extLst>
            <a:ext uri="{FF2B5EF4-FFF2-40B4-BE49-F238E27FC236}">
              <a16:creationId xmlns:a16="http://schemas.microsoft.com/office/drawing/2014/main" id="{869A226C-08BA-4D24-A3DB-79096ACCFE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995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18</xdr:col>
      <xdr:colOff>120000</xdr:colOff>
      <xdr:row>64</xdr:row>
      <xdr:rowOff>0</xdr:rowOff>
    </xdr:from>
    <xdr:to>
      <xdr:col>18</xdr:col>
      <xdr:colOff>290512</xdr:colOff>
      <xdr:row>65</xdr:row>
      <xdr:rowOff>0</xdr:rowOff>
    </xdr:to>
    <xdr:pic>
      <xdr:nvPicPr>
        <xdr:cNvPr id="41" name="Picture 1" descr="Picture">
          <a:extLst>
            <a:ext uri="{FF2B5EF4-FFF2-40B4-BE49-F238E27FC236}">
              <a16:creationId xmlns:a16="http://schemas.microsoft.com/office/drawing/2014/main" id="{4F32C819-EF9F-4F2B-BE6C-94EFC0F1E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186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19</xdr:col>
      <xdr:colOff>120000</xdr:colOff>
      <xdr:row>64</xdr:row>
      <xdr:rowOff>0</xdr:rowOff>
    </xdr:from>
    <xdr:to>
      <xdr:col>19</xdr:col>
      <xdr:colOff>290512</xdr:colOff>
      <xdr:row>65</xdr:row>
      <xdr:rowOff>0</xdr:rowOff>
    </xdr:to>
    <xdr:pic>
      <xdr:nvPicPr>
        <xdr:cNvPr id="42" name="Picture 1" descr="Picture">
          <a:extLst>
            <a:ext uri="{FF2B5EF4-FFF2-40B4-BE49-F238E27FC236}">
              <a16:creationId xmlns:a16="http://schemas.microsoft.com/office/drawing/2014/main" id="{A668BFA1-28FF-4BB5-866B-F1AA66DE7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378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64</xdr:row>
      <xdr:rowOff>0</xdr:rowOff>
    </xdr:from>
    <xdr:to>
      <xdr:col>28</xdr:col>
      <xdr:colOff>290512</xdr:colOff>
      <xdr:row>65</xdr:row>
      <xdr:rowOff>0</xdr:rowOff>
    </xdr:to>
    <xdr:pic>
      <xdr:nvPicPr>
        <xdr:cNvPr id="43" name="Picture 1" descr="Picture">
          <a:extLst>
            <a:ext uri="{FF2B5EF4-FFF2-40B4-BE49-F238E27FC236}">
              <a16:creationId xmlns:a16="http://schemas.microsoft.com/office/drawing/2014/main" id="{0B8C4B44-D2FA-484C-A819-58E71D1E0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8104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64</xdr:row>
      <xdr:rowOff>0</xdr:rowOff>
    </xdr:from>
    <xdr:to>
      <xdr:col>29</xdr:col>
      <xdr:colOff>290512</xdr:colOff>
      <xdr:row>65</xdr:row>
      <xdr:rowOff>0</xdr:rowOff>
    </xdr:to>
    <xdr:pic>
      <xdr:nvPicPr>
        <xdr:cNvPr id="44" name="Picture 1" descr="Picture">
          <a:extLst>
            <a:ext uri="{FF2B5EF4-FFF2-40B4-BE49-F238E27FC236}">
              <a16:creationId xmlns:a16="http://schemas.microsoft.com/office/drawing/2014/main" id="{F266F0F6-65AA-41CD-B6B6-EA4DB38DF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296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64</xdr:row>
      <xdr:rowOff>0</xdr:rowOff>
    </xdr:from>
    <xdr:to>
      <xdr:col>30</xdr:col>
      <xdr:colOff>290512</xdr:colOff>
      <xdr:row>65</xdr:row>
      <xdr:rowOff>0</xdr:rowOff>
    </xdr:to>
    <xdr:pic>
      <xdr:nvPicPr>
        <xdr:cNvPr id="45" name="Picture 1" descr="Picture">
          <a:extLst>
            <a:ext uri="{FF2B5EF4-FFF2-40B4-BE49-F238E27FC236}">
              <a16:creationId xmlns:a16="http://schemas.microsoft.com/office/drawing/2014/main" id="{FF39F912-B7CD-4E83-AEB2-F00CE1EB6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8487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64</xdr:row>
      <xdr:rowOff>0</xdr:rowOff>
    </xdr:from>
    <xdr:to>
      <xdr:col>31</xdr:col>
      <xdr:colOff>290512</xdr:colOff>
      <xdr:row>65</xdr:row>
      <xdr:rowOff>0</xdr:rowOff>
    </xdr:to>
    <xdr:pic>
      <xdr:nvPicPr>
        <xdr:cNvPr id="46" name="Picture 1" descr="Picture">
          <a:extLst>
            <a:ext uri="{FF2B5EF4-FFF2-40B4-BE49-F238E27FC236}">
              <a16:creationId xmlns:a16="http://schemas.microsoft.com/office/drawing/2014/main" id="{F4B394E4-8F5B-4B6B-B21F-4E4C724B3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679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64</xdr:row>
      <xdr:rowOff>0</xdr:rowOff>
    </xdr:from>
    <xdr:to>
      <xdr:col>32</xdr:col>
      <xdr:colOff>290512</xdr:colOff>
      <xdr:row>65</xdr:row>
      <xdr:rowOff>0</xdr:rowOff>
    </xdr:to>
    <xdr:pic>
      <xdr:nvPicPr>
        <xdr:cNvPr id="47" name="Picture 1" descr="Picture">
          <a:extLst>
            <a:ext uri="{FF2B5EF4-FFF2-40B4-BE49-F238E27FC236}">
              <a16:creationId xmlns:a16="http://schemas.microsoft.com/office/drawing/2014/main" id="{FDF10C30-78DB-4163-9579-75F6ED060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8871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64</xdr:row>
      <xdr:rowOff>0</xdr:rowOff>
    </xdr:from>
    <xdr:to>
      <xdr:col>33</xdr:col>
      <xdr:colOff>290512</xdr:colOff>
      <xdr:row>65</xdr:row>
      <xdr:rowOff>0</xdr:rowOff>
    </xdr:to>
    <xdr:pic>
      <xdr:nvPicPr>
        <xdr:cNvPr id="48" name="Picture 1" descr="Picture">
          <a:extLst>
            <a:ext uri="{FF2B5EF4-FFF2-40B4-BE49-F238E27FC236}">
              <a16:creationId xmlns:a16="http://schemas.microsoft.com/office/drawing/2014/main" id="{E27D95A4-5AC7-4F2C-AA60-7B1BE8805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063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64</xdr:row>
      <xdr:rowOff>0</xdr:rowOff>
    </xdr:from>
    <xdr:to>
      <xdr:col>35</xdr:col>
      <xdr:colOff>290512</xdr:colOff>
      <xdr:row>65</xdr:row>
      <xdr:rowOff>0</xdr:rowOff>
    </xdr:to>
    <xdr:pic>
      <xdr:nvPicPr>
        <xdr:cNvPr id="49" name="Picture 1" descr="Picture">
          <a:extLst>
            <a:ext uri="{FF2B5EF4-FFF2-40B4-BE49-F238E27FC236}">
              <a16:creationId xmlns:a16="http://schemas.microsoft.com/office/drawing/2014/main" id="{6D35F78D-6DEB-4FC0-95CD-AB9C6BAA2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64</xdr:row>
      <xdr:rowOff>0</xdr:rowOff>
    </xdr:from>
    <xdr:to>
      <xdr:col>36</xdr:col>
      <xdr:colOff>290512</xdr:colOff>
      <xdr:row>65</xdr:row>
      <xdr:rowOff>0</xdr:rowOff>
    </xdr:to>
    <xdr:pic>
      <xdr:nvPicPr>
        <xdr:cNvPr id="50" name="Picture 1" descr="Picture">
          <a:extLst>
            <a:ext uri="{FF2B5EF4-FFF2-40B4-BE49-F238E27FC236}">
              <a16:creationId xmlns:a16="http://schemas.microsoft.com/office/drawing/2014/main" id="{1E2787A4-CE9D-49BD-996E-386D3B96C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64</xdr:row>
      <xdr:rowOff>0</xdr:rowOff>
    </xdr:from>
    <xdr:to>
      <xdr:col>37</xdr:col>
      <xdr:colOff>290512</xdr:colOff>
      <xdr:row>65</xdr:row>
      <xdr:rowOff>0</xdr:rowOff>
    </xdr:to>
    <xdr:pic>
      <xdr:nvPicPr>
        <xdr:cNvPr id="51" name="Picture 1" descr="Picture">
          <a:extLst>
            <a:ext uri="{FF2B5EF4-FFF2-40B4-BE49-F238E27FC236}">
              <a16:creationId xmlns:a16="http://schemas.microsoft.com/office/drawing/2014/main" id="{F3B5D0F9-2A0E-4FE7-A465-2DEC0CF9D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64</xdr:row>
      <xdr:rowOff>0</xdr:rowOff>
    </xdr:from>
    <xdr:to>
      <xdr:col>38</xdr:col>
      <xdr:colOff>290512</xdr:colOff>
      <xdr:row>65</xdr:row>
      <xdr:rowOff>0</xdr:rowOff>
    </xdr:to>
    <xdr:pic>
      <xdr:nvPicPr>
        <xdr:cNvPr id="52" name="Picture 1" descr="Picture">
          <a:extLst>
            <a:ext uri="{FF2B5EF4-FFF2-40B4-BE49-F238E27FC236}">
              <a16:creationId xmlns:a16="http://schemas.microsoft.com/office/drawing/2014/main" id="{F5099A95-03CF-4A70-8F80-FC10B3A0D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64</xdr:row>
      <xdr:rowOff>0</xdr:rowOff>
    </xdr:from>
    <xdr:to>
      <xdr:col>39</xdr:col>
      <xdr:colOff>290512</xdr:colOff>
      <xdr:row>65</xdr:row>
      <xdr:rowOff>0</xdr:rowOff>
    </xdr:to>
    <xdr:pic>
      <xdr:nvPicPr>
        <xdr:cNvPr id="53" name="Picture 1" descr="Picture">
          <a:extLst>
            <a:ext uri="{FF2B5EF4-FFF2-40B4-BE49-F238E27FC236}">
              <a16:creationId xmlns:a16="http://schemas.microsoft.com/office/drawing/2014/main" id="{CDC98DD9-F918-4F46-B611-DC0CB48FF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13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14</xdr:col>
      <xdr:colOff>120000</xdr:colOff>
      <xdr:row>65</xdr:row>
      <xdr:rowOff>0</xdr:rowOff>
    </xdr:from>
    <xdr:to>
      <xdr:col>14</xdr:col>
      <xdr:colOff>290512</xdr:colOff>
      <xdr:row>66</xdr:row>
      <xdr:rowOff>0</xdr:rowOff>
    </xdr:to>
    <xdr:pic>
      <xdr:nvPicPr>
        <xdr:cNvPr id="54" name="Picture 1" descr="Picture">
          <a:extLst>
            <a:ext uri="{FF2B5EF4-FFF2-40B4-BE49-F238E27FC236}">
              <a16:creationId xmlns:a16="http://schemas.microsoft.com/office/drawing/2014/main" id="{47369B94-EC07-4E2C-9EC3-A9D35DCFB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5419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74</xdr:row>
      <xdr:rowOff>120000</xdr:rowOff>
    </xdr:from>
    <xdr:to>
      <xdr:col>12</xdr:col>
      <xdr:colOff>400050</xdr:colOff>
      <xdr:row>75</xdr:row>
      <xdr:rowOff>0</xdr:rowOff>
    </xdr:to>
    <xdr:pic>
      <xdr:nvPicPr>
        <xdr:cNvPr id="55" name="Picture 1" descr="Picture">
          <a:extLst>
            <a:ext uri="{FF2B5EF4-FFF2-40B4-BE49-F238E27FC236}">
              <a16:creationId xmlns:a16="http://schemas.microsoft.com/office/drawing/2014/main" id="{599BC1BF-5B4D-472C-908C-09032CDAC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170497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74</xdr:row>
      <xdr:rowOff>120000</xdr:rowOff>
    </xdr:from>
    <xdr:to>
      <xdr:col>24</xdr:col>
      <xdr:colOff>400050</xdr:colOff>
      <xdr:row>75</xdr:row>
      <xdr:rowOff>0</xdr:rowOff>
    </xdr:to>
    <xdr:pic>
      <xdr:nvPicPr>
        <xdr:cNvPr id="56" name="Picture 1" descr="Picture">
          <a:extLst>
            <a:ext uri="{FF2B5EF4-FFF2-40B4-BE49-F238E27FC236}">
              <a16:creationId xmlns:a16="http://schemas.microsoft.com/office/drawing/2014/main" id="{79B47873-C519-44A2-B238-7E7261AB8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170497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74</xdr:row>
      <xdr:rowOff>120000</xdr:rowOff>
    </xdr:from>
    <xdr:to>
      <xdr:col>25</xdr:col>
      <xdr:colOff>400050</xdr:colOff>
      <xdr:row>75</xdr:row>
      <xdr:rowOff>0</xdr:rowOff>
    </xdr:to>
    <xdr:pic>
      <xdr:nvPicPr>
        <xdr:cNvPr id="57" name="Picture 1" descr="Picture">
          <a:extLst>
            <a:ext uri="{FF2B5EF4-FFF2-40B4-BE49-F238E27FC236}">
              <a16:creationId xmlns:a16="http://schemas.microsoft.com/office/drawing/2014/main" id="{A5DF4FE2-2012-4B8C-97DC-278328C9C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170497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75</xdr:row>
      <xdr:rowOff>120000</xdr:rowOff>
    </xdr:from>
    <xdr:to>
      <xdr:col>12</xdr:col>
      <xdr:colOff>400050</xdr:colOff>
      <xdr:row>76</xdr:row>
      <xdr:rowOff>0</xdr:rowOff>
    </xdr:to>
    <xdr:pic>
      <xdr:nvPicPr>
        <xdr:cNvPr id="58" name="Picture 1" descr="Picture">
          <a:extLst>
            <a:ext uri="{FF2B5EF4-FFF2-40B4-BE49-F238E27FC236}">
              <a16:creationId xmlns:a16="http://schemas.microsoft.com/office/drawing/2014/main" id="{27EC7488-BF72-44EF-B5B4-00E19F304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1704975"/>
          <a:ext cx="50050" cy="0"/>
        </a:xfrm>
        <a:prstGeom prst="rect">
          <a:avLst/>
        </a:prstGeom>
      </xdr:spPr>
    </xdr:pic>
    <xdr:clientData/>
  </xdr:twoCellAnchor>
  <xdr:twoCellAnchor>
    <xdr:from>
      <xdr:col>38</xdr:col>
      <xdr:colOff>350000</xdr:colOff>
      <xdr:row>76</xdr:row>
      <xdr:rowOff>120000</xdr:rowOff>
    </xdr:from>
    <xdr:to>
      <xdr:col>38</xdr:col>
      <xdr:colOff>400050</xdr:colOff>
      <xdr:row>77</xdr:row>
      <xdr:rowOff>0</xdr:rowOff>
    </xdr:to>
    <xdr:pic>
      <xdr:nvPicPr>
        <xdr:cNvPr id="59" name="Picture 1" descr="Picture">
          <a:extLst>
            <a:ext uri="{FF2B5EF4-FFF2-40B4-BE49-F238E27FC236}">
              <a16:creationId xmlns:a16="http://schemas.microsoft.com/office/drawing/2014/main" id="{3D52ECBD-132C-4BC0-8C6D-0E6AF8187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232175" y="1704975"/>
          <a:ext cx="50050" cy="0"/>
        </a:xfrm>
        <a:prstGeom prst="rect">
          <a:avLst/>
        </a:prstGeom>
      </xdr:spPr>
    </xdr:pic>
    <xdr:clientData/>
  </xdr:twoCellAnchor>
  <xdr:twoCellAnchor>
    <xdr:from>
      <xdr:col>39</xdr:col>
      <xdr:colOff>350000</xdr:colOff>
      <xdr:row>76</xdr:row>
      <xdr:rowOff>120000</xdr:rowOff>
    </xdr:from>
    <xdr:to>
      <xdr:col>39</xdr:col>
      <xdr:colOff>400050</xdr:colOff>
      <xdr:row>77</xdr:row>
      <xdr:rowOff>0</xdr:rowOff>
    </xdr:to>
    <xdr:pic>
      <xdr:nvPicPr>
        <xdr:cNvPr id="60" name="Picture 1" descr="Picture">
          <a:extLst>
            <a:ext uri="{FF2B5EF4-FFF2-40B4-BE49-F238E27FC236}">
              <a16:creationId xmlns:a16="http://schemas.microsoft.com/office/drawing/2014/main" id="{D0079469-795F-4A20-8255-2995216A2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251350" y="1704975"/>
          <a:ext cx="50050" cy="0"/>
        </a:xfrm>
        <a:prstGeom prst="rect">
          <a:avLst/>
        </a:prstGeom>
      </xdr:spPr>
    </xdr:pic>
    <xdr:clientData/>
  </xdr:twoCellAnchor>
  <xdr:twoCellAnchor>
    <xdr:from>
      <xdr:col>40</xdr:col>
      <xdr:colOff>350000</xdr:colOff>
      <xdr:row>76</xdr:row>
      <xdr:rowOff>120000</xdr:rowOff>
    </xdr:from>
    <xdr:to>
      <xdr:col>40</xdr:col>
      <xdr:colOff>400050</xdr:colOff>
      <xdr:row>77</xdr:row>
      <xdr:rowOff>0</xdr:rowOff>
    </xdr:to>
    <xdr:pic>
      <xdr:nvPicPr>
        <xdr:cNvPr id="61" name="Picture 1" descr="Picture">
          <a:extLst>
            <a:ext uri="{FF2B5EF4-FFF2-40B4-BE49-F238E27FC236}">
              <a16:creationId xmlns:a16="http://schemas.microsoft.com/office/drawing/2014/main" id="{82FEF34F-A752-4C51-ABDA-62F9F5AACD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270525" y="170497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77</xdr:row>
      <xdr:rowOff>120000</xdr:rowOff>
    </xdr:from>
    <xdr:to>
      <xdr:col>17</xdr:col>
      <xdr:colOff>400050</xdr:colOff>
      <xdr:row>78</xdr:row>
      <xdr:rowOff>0</xdr:rowOff>
    </xdr:to>
    <xdr:pic>
      <xdr:nvPicPr>
        <xdr:cNvPr id="62" name="Picture 1" descr="Picture">
          <a:extLst>
            <a:ext uri="{FF2B5EF4-FFF2-40B4-BE49-F238E27FC236}">
              <a16:creationId xmlns:a16="http://schemas.microsoft.com/office/drawing/2014/main" id="{1B49C02D-3D1F-4CFD-B18E-496BF2E94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170497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77</xdr:row>
      <xdr:rowOff>120000</xdr:rowOff>
    </xdr:from>
    <xdr:to>
      <xdr:col>18</xdr:col>
      <xdr:colOff>400050</xdr:colOff>
      <xdr:row>78</xdr:row>
      <xdr:rowOff>0</xdr:rowOff>
    </xdr:to>
    <xdr:pic>
      <xdr:nvPicPr>
        <xdr:cNvPr id="63" name="Picture 1" descr="Picture">
          <a:extLst>
            <a:ext uri="{FF2B5EF4-FFF2-40B4-BE49-F238E27FC236}">
              <a16:creationId xmlns:a16="http://schemas.microsoft.com/office/drawing/2014/main" id="{4DC71430-DCAA-4261-8FB2-0D72EB409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170497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77</xdr:row>
      <xdr:rowOff>120000</xdr:rowOff>
    </xdr:from>
    <xdr:to>
      <xdr:col>24</xdr:col>
      <xdr:colOff>400050</xdr:colOff>
      <xdr:row>78</xdr:row>
      <xdr:rowOff>0</xdr:rowOff>
    </xdr:to>
    <xdr:pic>
      <xdr:nvPicPr>
        <xdr:cNvPr id="64" name="Picture 1" descr="Picture">
          <a:extLst>
            <a:ext uri="{FF2B5EF4-FFF2-40B4-BE49-F238E27FC236}">
              <a16:creationId xmlns:a16="http://schemas.microsoft.com/office/drawing/2014/main" id="{974668BA-DE72-43CE-AD01-621CB00C3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170497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77</xdr:row>
      <xdr:rowOff>120000</xdr:rowOff>
    </xdr:from>
    <xdr:to>
      <xdr:col>25</xdr:col>
      <xdr:colOff>400050</xdr:colOff>
      <xdr:row>78</xdr:row>
      <xdr:rowOff>0</xdr:rowOff>
    </xdr:to>
    <xdr:pic>
      <xdr:nvPicPr>
        <xdr:cNvPr id="65" name="Picture 1" descr="Picture">
          <a:extLst>
            <a:ext uri="{FF2B5EF4-FFF2-40B4-BE49-F238E27FC236}">
              <a16:creationId xmlns:a16="http://schemas.microsoft.com/office/drawing/2014/main" id="{7B988E68-28F8-467F-BE34-310221856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170497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78</xdr:row>
      <xdr:rowOff>120000</xdr:rowOff>
    </xdr:from>
    <xdr:to>
      <xdr:col>12</xdr:col>
      <xdr:colOff>400050</xdr:colOff>
      <xdr:row>79</xdr:row>
      <xdr:rowOff>0</xdr:rowOff>
    </xdr:to>
    <xdr:pic>
      <xdr:nvPicPr>
        <xdr:cNvPr id="66" name="Picture 1" descr="Picture">
          <a:extLst>
            <a:ext uri="{FF2B5EF4-FFF2-40B4-BE49-F238E27FC236}">
              <a16:creationId xmlns:a16="http://schemas.microsoft.com/office/drawing/2014/main" id="{9E81293C-6A2B-48A9-A593-C2922FE26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170497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78</xdr:row>
      <xdr:rowOff>120000</xdr:rowOff>
    </xdr:from>
    <xdr:to>
      <xdr:col>17</xdr:col>
      <xdr:colOff>400050</xdr:colOff>
      <xdr:row>79</xdr:row>
      <xdr:rowOff>0</xdr:rowOff>
    </xdr:to>
    <xdr:pic>
      <xdr:nvPicPr>
        <xdr:cNvPr id="67" name="Picture 1" descr="Picture">
          <a:extLst>
            <a:ext uri="{FF2B5EF4-FFF2-40B4-BE49-F238E27FC236}">
              <a16:creationId xmlns:a16="http://schemas.microsoft.com/office/drawing/2014/main" id="{C2740320-AD1D-49DD-B1E7-68EBD61D9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170497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78</xdr:row>
      <xdr:rowOff>120000</xdr:rowOff>
    </xdr:from>
    <xdr:to>
      <xdr:col>18</xdr:col>
      <xdr:colOff>400050</xdr:colOff>
      <xdr:row>79</xdr:row>
      <xdr:rowOff>0</xdr:rowOff>
    </xdr:to>
    <xdr:pic>
      <xdr:nvPicPr>
        <xdr:cNvPr id="68" name="Picture 1" descr="Picture">
          <a:extLst>
            <a:ext uri="{FF2B5EF4-FFF2-40B4-BE49-F238E27FC236}">
              <a16:creationId xmlns:a16="http://schemas.microsoft.com/office/drawing/2014/main" id="{06B45114-FA4F-42CD-B620-7A225F2C2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1704975"/>
          <a:ext cx="50050" cy="0"/>
        </a:xfrm>
        <a:prstGeom prst="rect">
          <a:avLst/>
        </a:prstGeom>
      </xdr:spPr>
    </xdr:pic>
    <xdr:clientData/>
  </xdr:twoCellAnchor>
  <xdr:twoCellAnchor>
    <xdr:from>
      <xdr:col>38</xdr:col>
      <xdr:colOff>350000</xdr:colOff>
      <xdr:row>78</xdr:row>
      <xdr:rowOff>120000</xdr:rowOff>
    </xdr:from>
    <xdr:to>
      <xdr:col>38</xdr:col>
      <xdr:colOff>400050</xdr:colOff>
      <xdr:row>79</xdr:row>
      <xdr:rowOff>0</xdr:rowOff>
    </xdr:to>
    <xdr:pic>
      <xdr:nvPicPr>
        <xdr:cNvPr id="69" name="Picture 1" descr="Picture">
          <a:extLst>
            <a:ext uri="{FF2B5EF4-FFF2-40B4-BE49-F238E27FC236}">
              <a16:creationId xmlns:a16="http://schemas.microsoft.com/office/drawing/2014/main" id="{3B03168D-6CBF-485D-8FD7-03582A962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232175" y="1704975"/>
          <a:ext cx="50050" cy="0"/>
        </a:xfrm>
        <a:prstGeom prst="rect">
          <a:avLst/>
        </a:prstGeom>
      </xdr:spPr>
    </xdr:pic>
    <xdr:clientData/>
  </xdr:twoCellAnchor>
  <xdr:twoCellAnchor>
    <xdr:from>
      <xdr:col>39</xdr:col>
      <xdr:colOff>350000</xdr:colOff>
      <xdr:row>78</xdr:row>
      <xdr:rowOff>120000</xdr:rowOff>
    </xdr:from>
    <xdr:to>
      <xdr:col>39</xdr:col>
      <xdr:colOff>400050</xdr:colOff>
      <xdr:row>79</xdr:row>
      <xdr:rowOff>0</xdr:rowOff>
    </xdr:to>
    <xdr:pic>
      <xdr:nvPicPr>
        <xdr:cNvPr id="70" name="Picture 1" descr="Picture">
          <a:extLst>
            <a:ext uri="{FF2B5EF4-FFF2-40B4-BE49-F238E27FC236}">
              <a16:creationId xmlns:a16="http://schemas.microsoft.com/office/drawing/2014/main" id="{76A1E5C2-1E68-44CB-9831-E35A90B54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251350" y="1704975"/>
          <a:ext cx="50050" cy="0"/>
        </a:xfrm>
        <a:prstGeom prst="rect">
          <a:avLst/>
        </a:prstGeom>
      </xdr:spPr>
    </xdr:pic>
    <xdr:clientData/>
  </xdr:twoCellAnchor>
  <xdr:twoCellAnchor>
    <xdr:from>
      <xdr:col>40</xdr:col>
      <xdr:colOff>350000</xdr:colOff>
      <xdr:row>78</xdr:row>
      <xdr:rowOff>120000</xdr:rowOff>
    </xdr:from>
    <xdr:to>
      <xdr:col>40</xdr:col>
      <xdr:colOff>400050</xdr:colOff>
      <xdr:row>79</xdr:row>
      <xdr:rowOff>0</xdr:rowOff>
    </xdr:to>
    <xdr:pic>
      <xdr:nvPicPr>
        <xdr:cNvPr id="71" name="Picture 1" descr="Picture">
          <a:extLst>
            <a:ext uri="{FF2B5EF4-FFF2-40B4-BE49-F238E27FC236}">
              <a16:creationId xmlns:a16="http://schemas.microsoft.com/office/drawing/2014/main" id="{F0017867-5DBD-432F-80E8-DDA31D35BA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270525" y="170497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79</xdr:row>
      <xdr:rowOff>120000</xdr:rowOff>
    </xdr:from>
    <xdr:to>
      <xdr:col>12</xdr:col>
      <xdr:colOff>400050</xdr:colOff>
      <xdr:row>80</xdr:row>
      <xdr:rowOff>0</xdr:rowOff>
    </xdr:to>
    <xdr:pic>
      <xdr:nvPicPr>
        <xdr:cNvPr id="72" name="Picture 1" descr="Picture">
          <a:extLst>
            <a:ext uri="{FF2B5EF4-FFF2-40B4-BE49-F238E27FC236}">
              <a16:creationId xmlns:a16="http://schemas.microsoft.com/office/drawing/2014/main" id="{5FF64810-7C1D-4BE4-AA0B-08E081499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170497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79</xdr:row>
      <xdr:rowOff>120000</xdr:rowOff>
    </xdr:from>
    <xdr:to>
      <xdr:col>17</xdr:col>
      <xdr:colOff>400050</xdr:colOff>
      <xdr:row>80</xdr:row>
      <xdr:rowOff>0</xdr:rowOff>
    </xdr:to>
    <xdr:pic>
      <xdr:nvPicPr>
        <xdr:cNvPr id="73" name="Picture 1" descr="Picture">
          <a:extLst>
            <a:ext uri="{FF2B5EF4-FFF2-40B4-BE49-F238E27FC236}">
              <a16:creationId xmlns:a16="http://schemas.microsoft.com/office/drawing/2014/main" id="{DBBA15E9-EB36-4AA5-8814-DA4E6C601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170497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79</xdr:row>
      <xdr:rowOff>120000</xdr:rowOff>
    </xdr:from>
    <xdr:to>
      <xdr:col>18</xdr:col>
      <xdr:colOff>400050</xdr:colOff>
      <xdr:row>80</xdr:row>
      <xdr:rowOff>0</xdr:rowOff>
    </xdr:to>
    <xdr:pic>
      <xdr:nvPicPr>
        <xdr:cNvPr id="74" name="Picture 1" descr="Picture">
          <a:extLst>
            <a:ext uri="{FF2B5EF4-FFF2-40B4-BE49-F238E27FC236}">
              <a16:creationId xmlns:a16="http://schemas.microsoft.com/office/drawing/2014/main" id="{294AC9BB-3FA6-4D38-A2D5-3F27BAAE4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170497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79</xdr:row>
      <xdr:rowOff>120000</xdr:rowOff>
    </xdr:from>
    <xdr:to>
      <xdr:col>24</xdr:col>
      <xdr:colOff>400050</xdr:colOff>
      <xdr:row>80</xdr:row>
      <xdr:rowOff>0</xdr:rowOff>
    </xdr:to>
    <xdr:pic>
      <xdr:nvPicPr>
        <xdr:cNvPr id="75" name="Picture 1" descr="Picture">
          <a:extLst>
            <a:ext uri="{FF2B5EF4-FFF2-40B4-BE49-F238E27FC236}">
              <a16:creationId xmlns:a16="http://schemas.microsoft.com/office/drawing/2014/main" id="{0B29F3F4-903F-4BAB-A135-A427ABC15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170497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79</xdr:row>
      <xdr:rowOff>120000</xdr:rowOff>
    </xdr:from>
    <xdr:to>
      <xdr:col>25</xdr:col>
      <xdr:colOff>400050</xdr:colOff>
      <xdr:row>80</xdr:row>
      <xdr:rowOff>0</xdr:rowOff>
    </xdr:to>
    <xdr:pic>
      <xdr:nvPicPr>
        <xdr:cNvPr id="76" name="Picture 1" descr="Picture">
          <a:extLst>
            <a:ext uri="{FF2B5EF4-FFF2-40B4-BE49-F238E27FC236}">
              <a16:creationId xmlns:a16="http://schemas.microsoft.com/office/drawing/2014/main" id="{A3326E8A-4B9A-48D4-A6EC-DCB5F016F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1704975"/>
          <a:ext cx="50050" cy="0"/>
        </a:xfrm>
        <a:prstGeom prst="rect">
          <a:avLst/>
        </a:prstGeom>
      </xdr:spPr>
    </xdr:pic>
    <xdr:clientData/>
  </xdr:twoCellAnchor>
  <xdr:twoCellAnchor>
    <xdr:from>
      <xdr:col>38</xdr:col>
      <xdr:colOff>350000</xdr:colOff>
      <xdr:row>79</xdr:row>
      <xdr:rowOff>120000</xdr:rowOff>
    </xdr:from>
    <xdr:to>
      <xdr:col>38</xdr:col>
      <xdr:colOff>400050</xdr:colOff>
      <xdr:row>80</xdr:row>
      <xdr:rowOff>0</xdr:rowOff>
    </xdr:to>
    <xdr:pic>
      <xdr:nvPicPr>
        <xdr:cNvPr id="77" name="Picture 1" descr="Picture">
          <a:extLst>
            <a:ext uri="{FF2B5EF4-FFF2-40B4-BE49-F238E27FC236}">
              <a16:creationId xmlns:a16="http://schemas.microsoft.com/office/drawing/2014/main" id="{ED0539E0-E98C-4F29-B5D1-11F830C9C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232175" y="1704975"/>
          <a:ext cx="50050" cy="0"/>
        </a:xfrm>
        <a:prstGeom prst="rect">
          <a:avLst/>
        </a:prstGeom>
      </xdr:spPr>
    </xdr:pic>
    <xdr:clientData/>
  </xdr:twoCellAnchor>
  <xdr:twoCellAnchor>
    <xdr:from>
      <xdr:col>39</xdr:col>
      <xdr:colOff>350000</xdr:colOff>
      <xdr:row>79</xdr:row>
      <xdr:rowOff>120000</xdr:rowOff>
    </xdr:from>
    <xdr:to>
      <xdr:col>39</xdr:col>
      <xdr:colOff>400050</xdr:colOff>
      <xdr:row>80</xdr:row>
      <xdr:rowOff>0</xdr:rowOff>
    </xdr:to>
    <xdr:pic>
      <xdr:nvPicPr>
        <xdr:cNvPr id="78" name="Picture 1" descr="Picture">
          <a:extLst>
            <a:ext uri="{FF2B5EF4-FFF2-40B4-BE49-F238E27FC236}">
              <a16:creationId xmlns:a16="http://schemas.microsoft.com/office/drawing/2014/main" id="{35117A07-ADBF-467C-9B39-E9B264347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251350" y="1704975"/>
          <a:ext cx="50050" cy="0"/>
        </a:xfrm>
        <a:prstGeom prst="rect">
          <a:avLst/>
        </a:prstGeom>
      </xdr:spPr>
    </xdr:pic>
    <xdr:clientData/>
  </xdr:twoCellAnchor>
  <xdr:twoCellAnchor>
    <xdr:from>
      <xdr:col>40</xdr:col>
      <xdr:colOff>350000</xdr:colOff>
      <xdr:row>79</xdr:row>
      <xdr:rowOff>120000</xdr:rowOff>
    </xdr:from>
    <xdr:to>
      <xdr:col>40</xdr:col>
      <xdr:colOff>400050</xdr:colOff>
      <xdr:row>80</xdr:row>
      <xdr:rowOff>0</xdr:rowOff>
    </xdr:to>
    <xdr:pic>
      <xdr:nvPicPr>
        <xdr:cNvPr id="79" name="Picture 1" descr="Picture">
          <a:extLst>
            <a:ext uri="{FF2B5EF4-FFF2-40B4-BE49-F238E27FC236}">
              <a16:creationId xmlns:a16="http://schemas.microsoft.com/office/drawing/2014/main" id="{5DE0C305-BC32-4F01-9FA2-4DCA256D6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270525" y="170497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80</xdr:row>
      <xdr:rowOff>120000</xdr:rowOff>
    </xdr:from>
    <xdr:to>
      <xdr:col>17</xdr:col>
      <xdr:colOff>400050</xdr:colOff>
      <xdr:row>81</xdr:row>
      <xdr:rowOff>0</xdr:rowOff>
    </xdr:to>
    <xdr:pic>
      <xdr:nvPicPr>
        <xdr:cNvPr id="80" name="Picture 1" descr="Picture">
          <a:extLst>
            <a:ext uri="{FF2B5EF4-FFF2-40B4-BE49-F238E27FC236}">
              <a16:creationId xmlns:a16="http://schemas.microsoft.com/office/drawing/2014/main" id="{87089F28-5FE3-4EED-9FD8-C87387146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170497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80</xdr:row>
      <xdr:rowOff>120000</xdr:rowOff>
    </xdr:from>
    <xdr:to>
      <xdr:col>18</xdr:col>
      <xdr:colOff>400050</xdr:colOff>
      <xdr:row>81</xdr:row>
      <xdr:rowOff>0</xdr:rowOff>
    </xdr:to>
    <xdr:pic>
      <xdr:nvPicPr>
        <xdr:cNvPr id="81" name="Picture 1" descr="Picture">
          <a:extLst>
            <a:ext uri="{FF2B5EF4-FFF2-40B4-BE49-F238E27FC236}">
              <a16:creationId xmlns:a16="http://schemas.microsoft.com/office/drawing/2014/main" id="{5B738D21-5CE7-4973-AE82-E5670F433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170497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80</xdr:row>
      <xdr:rowOff>120000</xdr:rowOff>
    </xdr:from>
    <xdr:to>
      <xdr:col>24</xdr:col>
      <xdr:colOff>400050</xdr:colOff>
      <xdr:row>81</xdr:row>
      <xdr:rowOff>0</xdr:rowOff>
    </xdr:to>
    <xdr:pic>
      <xdr:nvPicPr>
        <xdr:cNvPr id="82" name="Picture 1" descr="Picture">
          <a:extLst>
            <a:ext uri="{FF2B5EF4-FFF2-40B4-BE49-F238E27FC236}">
              <a16:creationId xmlns:a16="http://schemas.microsoft.com/office/drawing/2014/main" id="{F2DD4F9C-CBBF-48F7-AC69-8836DD7F6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170497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80</xdr:row>
      <xdr:rowOff>120000</xdr:rowOff>
    </xdr:from>
    <xdr:to>
      <xdr:col>25</xdr:col>
      <xdr:colOff>400050</xdr:colOff>
      <xdr:row>81</xdr:row>
      <xdr:rowOff>0</xdr:rowOff>
    </xdr:to>
    <xdr:pic>
      <xdr:nvPicPr>
        <xdr:cNvPr id="83" name="Picture 1" descr="Picture">
          <a:extLst>
            <a:ext uri="{FF2B5EF4-FFF2-40B4-BE49-F238E27FC236}">
              <a16:creationId xmlns:a16="http://schemas.microsoft.com/office/drawing/2014/main" id="{0D32B2EF-F327-474F-BBA2-00DA53C0A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170497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81</xdr:row>
      <xdr:rowOff>120000</xdr:rowOff>
    </xdr:from>
    <xdr:to>
      <xdr:col>12</xdr:col>
      <xdr:colOff>400050</xdr:colOff>
      <xdr:row>82</xdr:row>
      <xdr:rowOff>0</xdr:rowOff>
    </xdr:to>
    <xdr:pic>
      <xdr:nvPicPr>
        <xdr:cNvPr id="84" name="Picture 1" descr="Picture">
          <a:extLst>
            <a:ext uri="{FF2B5EF4-FFF2-40B4-BE49-F238E27FC236}">
              <a16:creationId xmlns:a16="http://schemas.microsoft.com/office/drawing/2014/main" id="{A7878F25-2F8F-4F6D-9E69-C257373629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170497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81</xdr:row>
      <xdr:rowOff>120000</xdr:rowOff>
    </xdr:from>
    <xdr:to>
      <xdr:col>17</xdr:col>
      <xdr:colOff>400050</xdr:colOff>
      <xdr:row>82</xdr:row>
      <xdr:rowOff>0</xdr:rowOff>
    </xdr:to>
    <xdr:pic>
      <xdr:nvPicPr>
        <xdr:cNvPr id="85" name="Picture 1" descr="Picture">
          <a:extLst>
            <a:ext uri="{FF2B5EF4-FFF2-40B4-BE49-F238E27FC236}">
              <a16:creationId xmlns:a16="http://schemas.microsoft.com/office/drawing/2014/main" id="{47820FFE-13ED-4A3A-A3FC-F3E681EC2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170497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81</xdr:row>
      <xdr:rowOff>120000</xdr:rowOff>
    </xdr:from>
    <xdr:to>
      <xdr:col>18</xdr:col>
      <xdr:colOff>400050</xdr:colOff>
      <xdr:row>82</xdr:row>
      <xdr:rowOff>0</xdr:rowOff>
    </xdr:to>
    <xdr:pic>
      <xdr:nvPicPr>
        <xdr:cNvPr id="86" name="Picture 1" descr="Picture">
          <a:extLst>
            <a:ext uri="{FF2B5EF4-FFF2-40B4-BE49-F238E27FC236}">
              <a16:creationId xmlns:a16="http://schemas.microsoft.com/office/drawing/2014/main" id="{FFB44B2D-E8D9-416F-B6B7-C15A50A13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170497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81</xdr:row>
      <xdr:rowOff>120000</xdr:rowOff>
    </xdr:from>
    <xdr:to>
      <xdr:col>24</xdr:col>
      <xdr:colOff>400050</xdr:colOff>
      <xdr:row>82</xdr:row>
      <xdr:rowOff>0</xdr:rowOff>
    </xdr:to>
    <xdr:pic>
      <xdr:nvPicPr>
        <xdr:cNvPr id="87" name="Picture 1" descr="Picture">
          <a:extLst>
            <a:ext uri="{FF2B5EF4-FFF2-40B4-BE49-F238E27FC236}">
              <a16:creationId xmlns:a16="http://schemas.microsoft.com/office/drawing/2014/main" id="{842851C6-FAC6-4502-BBCD-8D7062329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170497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81</xdr:row>
      <xdr:rowOff>120000</xdr:rowOff>
    </xdr:from>
    <xdr:to>
      <xdr:col>25</xdr:col>
      <xdr:colOff>400050</xdr:colOff>
      <xdr:row>82</xdr:row>
      <xdr:rowOff>0</xdr:rowOff>
    </xdr:to>
    <xdr:pic>
      <xdr:nvPicPr>
        <xdr:cNvPr id="88" name="Picture 1" descr="Picture">
          <a:extLst>
            <a:ext uri="{FF2B5EF4-FFF2-40B4-BE49-F238E27FC236}">
              <a16:creationId xmlns:a16="http://schemas.microsoft.com/office/drawing/2014/main" id="{EA07C6F6-D536-4FFE-8760-D26CB09A8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170497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82</xdr:row>
      <xdr:rowOff>120000</xdr:rowOff>
    </xdr:from>
    <xdr:to>
      <xdr:col>12</xdr:col>
      <xdr:colOff>400050</xdr:colOff>
      <xdr:row>83</xdr:row>
      <xdr:rowOff>0</xdr:rowOff>
    </xdr:to>
    <xdr:pic>
      <xdr:nvPicPr>
        <xdr:cNvPr id="89" name="Picture 1" descr="Picture">
          <a:extLst>
            <a:ext uri="{FF2B5EF4-FFF2-40B4-BE49-F238E27FC236}">
              <a16:creationId xmlns:a16="http://schemas.microsoft.com/office/drawing/2014/main" id="{7DEC2AB0-1E00-47D1-B2CD-5446EDD06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170497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82</xdr:row>
      <xdr:rowOff>120000</xdr:rowOff>
    </xdr:from>
    <xdr:to>
      <xdr:col>17</xdr:col>
      <xdr:colOff>400050</xdr:colOff>
      <xdr:row>83</xdr:row>
      <xdr:rowOff>0</xdr:rowOff>
    </xdr:to>
    <xdr:pic>
      <xdr:nvPicPr>
        <xdr:cNvPr id="90" name="Picture 1" descr="Picture">
          <a:extLst>
            <a:ext uri="{FF2B5EF4-FFF2-40B4-BE49-F238E27FC236}">
              <a16:creationId xmlns:a16="http://schemas.microsoft.com/office/drawing/2014/main" id="{D202F56C-857E-4CEA-BDF4-D478BFA3C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170497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82</xdr:row>
      <xdr:rowOff>120000</xdr:rowOff>
    </xdr:from>
    <xdr:to>
      <xdr:col>18</xdr:col>
      <xdr:colOff>400050</xdr:colOff>
      <xdr:row>83</xdr:row>
      <xdr:rowOff>0</xdr:rowOff>
    </xdr:to>
    <xdr:pic>
      <xdr:nvPicPr>
        <xdr:cNvPr id="91" name="Picture 1" descr="Picture">
          <a:extLst>
            <a:ext uri="{FF2B5EF4-FFF2-40B4-BE49-F238E27FC236}">
              <a16:creationId xmlns:a16="http://schemas.microsoft.com/office/drawing/2014/main" id="{31F802FD-0475-45C3-B95A-93CF73509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170497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82</xdr:row>
      <xdr:rowOff>120000</xdr:rowOff>
    </xdr:from>
    <xdr:to>
      <xdr:col>24</xdr:col>
      <xdr:colOff>400050</xdr:colOff>
      <xdr:row>83</xdr:row>
      <xdr:rowOff>0</xdr:rowOff>
    </xdr:to>
    <xdr:pic>
      <xdr:nvPicPr>
        <xdr:cNvPr id="92" name="Picture 1" descr="Picture">
          <a:extLst>
            <a:ext uri="{FF2B5EF4-FFF2-40B4-BE49-F238E27FC236}">
              <a16:creationId xmlns:a16="http://schemas.microsoft.com/office/drawing/2014/main" id="{586F891F-6148-4335-8168-F79310A2FE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170497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82</xdr:row>
      <xdr:rowOff>120000</xdr:rowOff>
    </xdr:from>
    <xdr:to>
      <xdr:col>25</xdr:col>
      <xdr:colOff>400050</xdr:colOff>
      <xdr:row>83</xdr:row>
      <xdr:rowOff>0</xdr:rowOff>
    </xdr:to>
    <xdr:pic>
      <xdr:nvPicPr>
        <xdr:cNvPr id="93" name="Picture 1" descr="Picture">
          <a:extLst>
            <a:ext uri="{FF2B5EF4-FFF2-40B4-BE49-F238E27FC236}">
              <a16:creationId xmlns:a16="http://schemas.microsoft.com/office/drawing/2014/main" id="{5AF2CBC3-1FC1-4370-8A80-B8FAE726FF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170497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350000</xdr:colOff>
      <xdr:row>83</xdr:row>
      <xdr:rowOff>120000</xdr:rowOff>
    </xdr:from>
    <xdr:to>
      <xdr:col>12</xdr:col>
      <xdr:colOff>400050</xdr:colOff>
      <xdr:row>84</xdr:row>
      <xdr:rowOff>0</xdr:rowOff>
    </xdr:to>
    <xdr:pic>
      <xdr:nvPicPr>
        <xdr:cNvPr id="94" name="Picture 1" descr="Picture">
          <a:extLst>
            <a:ext uri="{FF2B5EF4-FFF2-40B4-BE49-F238E27FC236}">
              <a16:creationId xmlns:a16="http://schemas.microsoft.com/office/drawing/2014/main" id="{83DADD74-172D-438D-8F87-304341C38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05225" y="1704975"/>
          <a:ext cx="50050" cy="0"/>
        </a:xfrm>
        <a:prstGeom prst="rect">
          <a:avLst/>
        </a:prstGeom>
      </xdr:spPr>
    </xdr:pic>
    <xdr:clientData/>
  </xdr:twoCellAnchor>
  <xdr:twoCellAnchor>
    <xdr:from>
      <xdr:col>17</xdr:col>
      <xdr:colOff>350000</xdr:colOff>
      <xdr:row>83</xdr:row>
      <xdr:rowOff>120000</xdr:rowOff>
    </xdr:from>
    <xdr:to>
      <xdr:col>17</xdr:col>
      <xdr:colOff>400050</xdr:colOff>
      <xdr:row>84</xdr:row>
      <xdr:rowOff>0</xdr:rowOff>
    </xdr:to>
    <xdr:pic>
      <xdr:nvPicPr>
        <xdr:cNvPr id="95" name="Picture 1" descr="Picture">
          <a:extLst>
            <a:ext uri="{FF2B5EF4-FFF2-40B4-BE49-F238E27FC236}">
              <a16:creationId xmlns:a16="http://schemas.microsoft.com/office/drawing/2014/main" id="{3FD3ECC8-C751-4CB7-BD70-243D3B7E40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829500" y="1704975"/>
          <a:ext cx="50050" cy="0"/>
        </a:xfrm>
        <a:prstGeom prst="rect">
          <a:avLst/>
        </a:prstGeom>
      </xdr:spPr>
    </xdr:pic>
    <xdr:clientData/>
  </xdr:twoCellAnchor>
  <xdr:twoCellAnchor>
    <xdr:from>
      <xdr:col>18</xdr:col>
      <xdr:colOff>350000</xdr:colOff>
      <xdr:row>83</xdr:row>
      <xdr:rowOff>120000</xdr:rowOff>
    </xdr:from>
    <xdr:to>
      <xdr:col>18</xdr:col>
      <xdr:colOff>400050</xdr:colOff>
      <xdr:row>84</xdr:row>
      <xdr:rowOff>0</xdr:rowOff>
    </xdr:to>
    <xdr:pic>
      <xdr:nvPicPr>
        <xdr:cNvPr id="96" name="Picture 1" descr="Picture">
          <a:extLst>
            <a:ext uri="{FF2B5EF4-FFF2-40B4-BE49-F238E27FC236}">
              <a16:creationId xmlns:a16="http://schemas.microsoft.com/office/drawing/2014/main" id="{0A2091C5-BDF0-4965-8E40-90A60FE4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48675" y="1704975"/>
          <a:ext cx="50050" cy="0"/>
        </a:xfrm>
        <a:prstGeom prst="rect">
          <a:avLst/>
        </a:prstGeom>
      </xdr:spPr>
    </xdr:pic>
    <xdr:clientData/>
  </xdr:twoCellAnchor>
  <xdr:twoCellAnchor>
    <xdr:from>
      <xdr:col>24</xdr:col>
      <xdr:colOff>350000</xdr:colOff>
      <xdr:row>83</xdr:row>
      <xdr:rowOff>120000</xdr:rowOff>
    </xdr:from>
    <xdr:to>
      <xdr:col>24</xdr:col>
      <xdr:colOff>400050</xdr:colOff>
      <xdr:row>84</xdr:row>
      <xdr:rowOff>0</xdr:rowOff>
    </xdr:to>
    <xdr:pic>
      <xdr:nvPicPr>
        <xdr:cNvPr id="97" name="Picture 1" descr="Picture">
          <a:extLst>
            <a:ext uri="{FF2B5EF4-FFF2-40B4-BE49-F238E27FC236}">
              <a16:creationId xmlns:a16="http://schemas.microsoft.com/office/drawing/2014/main" id="{D78E0500-0E80-4965-A1DF-F95C37F25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63725" y="1704975"/>
          <a:ext cx="50050" cy="0"/>
        </a:xfrm>
        <a:prstGeom prst="rect">
          <a:avLst/>
        </a:prstGeom>
      </xdr:spPr>
    </xdr:pic>
    <xdr:clientData/>
  </xdr:twoCellAnchor>
  <xdr:twoCellAnchor>
    <xdr:from>
      <xdr:col>25</xdr:col>
      <xdr:colOff>350000</xdr:colOff>
      <xdr:row>83</xdr:row>
      <xdr:rowOff>120000</xdr:rowOff>
    </xdr:from>
    <xdr:to>
      <xdr:col>25</xdr:col>
      <xdr:colOff>400050</xdr:colOff>
      <xdr:row>84</xdr:row>
      <xdr:rowOff>0</xdr:rowOff>
    </xdr:to>
    <xdr:pic>
      <xdr:nvPicPr>
        <xdr:cNvPr id="98" name="Picture 1" descr="Picture">
          <a:extLst>
            <a:ext uri="{FF2B5EF4-FFF2-40B4-BE49-F238E27FC236}">
              <a16:creationId xmlns:a16="http://schemas.microsoft.com/office/drawing/2014/main" id="{7DD39924-4629-461D-B514-970929E15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82900" y="1704975"/>
          <a:ext cx="50050" cy="0"/>
        </a:xfrm>
        <a:prstGeom prst="rect">
          <a:avLst/>
        </a:prstGeom>
      </xdr:spPr>
    </xdr:pic>
    <xdr:clientData/>
  </xdr:twoCellAnchor>
  <xdr:twoCellAnchor>
    <xdr:from>
      <xdr:col>38</xdr:col>
      <xdr:colOff>350000</xdr:colOff>
      <xdr:row>83</xdr:row>
      <xdr:rowOff>120000</xdr:rowOff>
    </xdr:from>
    <xdr:to>
      <xdr:col>38</xdr:col>
      <xdr:colOff>400050</xdr:colOff>
      <xdr:row>84</xdr:row>
      <xdr:rowOff>0</xdr:rowOff>
    </xdr:to>
    <xdr:pic>
      <xdr:nvPicPr>
        <xdr:cNvPr id="99" name="Picture 1" descr="Picture">
          <a:extLst>
            <a:ext uri="{FF2B5EF4-FFF2-40B4-BE49-F238E27FC236}">
              <a16:creationId xmlns:a16="http://schemas.microsoft.com/office/drawing/2014/main" id="{A7B154E2-C265-4F62-8326-1E9626D71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232175" y="1704975"/>
          <a:ext cx="50050" cy="0"/>
        </a:xfrm>
        <a:prstGeom prst="rect">
          <a:avLst/>
        </a:prstGeom>
      </xdr:spPr>
    </xdr:pic>
    <xdr:clientData/>
  </xdr:twoCellAnchor>
  <xdr:twoCellAnchor>
    <xdr:from>
      <xdr:col>39</xdr:col>
      <xdr:colOff>350000</xdr:colOff>
      <xdr:row>83</xdr:row>
      <xdr:rowOff>120000</xdr:rowOff>
    </xdr:from>
    <xdr:to>
      <xdr:col>39</xdr:col>
      <xdr:colOff>400050</xdr:colOff>
      <xdr:row>84</xdr:row>
      <xdr:rowOff>0</xdr:rowOff>
    </xdr:to>
    <xdr:pic>
      <xdr:nvPicPr>
        <xdr:cNvPr id="100" name="Picture 1" descr="Picture">
          <a:extLst>
            <a:ext uri="{FF2B5EF4-FFF2-40B4-BE49-F238E27FC236}">
              <a16:creationId xmlns:a16="http://schemas.microsoft.com/office/drawing/2014/main" id="{C41144EA-EB8E-4404-B744-AF738CD80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251350" y="1704975"/>
          <a:ext cx="50050" cy="0"/>
        </a:xfrm>
        <a:prstGeom prst="rect">
          <a:avLst/>
        </a:prstGeom>
      </xdr:spPr>
    </xdr:pic>
    <xdr:clientData/>
  </xdr:twoCellAnchor>
  <xdr:twoCellAnchor>
    <xdr:from>
      <xdr:col>40</xdr:col>
      <xdr:colOff>350000</xdr:colOff>
      <xdr:row>83</xdr:row>
      <xdr:rowOff>120000</xdr:rowOff>
    </xdr:from>
    <xdr:to>
      <xdr:col>40</xdr:col>
      <xdr:colOff>400050</xdr:colOff>
      <xdr:row>84</xdr:row>
      <xdr:rowOff>0</xdr:rowOff>
    </xdr:to>
    <xdr:pic>
      <xdr:nvPicPr>
        <xdr:cNvPr id="101" name="Picture 1" descr="Picture">
          <a:extLst>
            <a:ext uri="{FF2B5EF4-FFF2-40B4-BE49-F238E27FC236}">
              <a16:creationId xmlns:a16="http://schemas.microsoft.com/office/drawing/2014/main" id="{175ADE6B-ECD1-4298-9542-64CD6C40E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270525" y="1704975"/>
          <a:ext cx="50050" cy="0"/>
        </a:xfrm>
        <a:prstGeom prst="rect">
          <a:avLst/>
        </a:prstGeom>
      </xdr:spPr>
    </xdr:pic>
    <xdr:clientData/>
  </xdr:twoCellAnchor>
  <xdr:twoCellAnchor>
    <xdr:from>
      <xdr:col>12</xdr:col>
      <xdr:colOff>120000</xdr:colOff>
      <xdr:row>85</xdr:row>
      <xdr:rowOff>0</xdr:rowOff>
    </xdr:from>
    <xdr:to>
      <xdr:col>12</xdr:col>
      <xdr:colOff>290512</xdr:colOff>
      <xdr:row>86</xdr:row>
      <xdr:rowOff>0</xdr:rowOff>
    </xdr:to>
    <xdr:pic>
      <xdr:nvPicPr>
        <xdr:cNvPr id="102" name="Picture 1" descr="Picture">
          <a:extLst>
            <a:ext uri="{FF2B5EF4-FFF2-40B4-BE49-F238E27FC236}">
              <a16:creationId xmlns:a16="http://schemas.microsoft.com/office/drawing/2014/main" id="{06765918-EE76-401F-84EB-55AE0EDF74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752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14</xdr:col>
      <xdr:colOff>120000</xdr:colOff>
      <xdr:row>85</xdr:row>
      <xdr:rowOff>0</xdr:rowOff>
    </xdr:from>
    <xdr:to>
      <xdr:col>14</xdr:col>
      <xdr:colOff>290512</xdr:colOff>
      <xdr:row>86</xdr:row>
      <xdr:rowOff>0</xdr:rowOff>
    </xdr:to>
    <xdr:pic>
      <xdr:nvPicPr>
        <xdr:cNvPr id="103" name="Picture 1" descr="Picture">
          <a:extLst>
            <a:ext uri="{FF2B5EF4-FFF2-40B4-BE49-F238E27FC236}">
              <a16:creationId xmlns:a16="http://schemas.microsoft.com/office/drawing/2014/main" id="{D08CA66D-006C-4BB0-9A2F-72F792394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5419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15</xdr:col>
      <xdr:colOff>120000</xdr:colOff>
      <xdr:row>85</xdr:row>
      <xdr:rowOff>0</xdr:rowOff>
    </xdr:from>
    <xdr:to>
      <xdr:col>15</xdr:col>
      <xdr:colOff>290512</xdr:colOff>
      <xdr:row>86</xdr:row>
      <xdr:rowOff>0</xdr:rowOff>
    </xdr:to>
    <xdr:pic>
      <xdr:nvPicPr>
        <xdr:cNvPr id="104" name="Picture 1" descr="Picture">
          <a:extLst>
            <a:ext uri="{FF2B5EF4-FFF2-40B4-BE49-F238E27FC236}">
              <a16:creationId xmlns:a16="http://schemas.microsoft.com/office/drawing/2014/main" id="{E0ACD0B1-A7AA-482A-A8E9-3C604581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5611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17</xdr:col>
      <xdr:colOff>120000</xdr:colOff>
      <xdr:row>85</xdr:row>
      <xdr:rowOff>0</xdr:rowOff>
    </xdr:from>
    <xdr:to>
      <xdr:col>17</xdr:col>
      <xdr:colOff>290512</xdr:colOff>
      <xdr:row>86</xdr:row>
      <xdr:rowOff>0</xdr:rowOff>
    </xdr:to>
    <xdr:pic>
      <xdr:nvPicPr>
        <xdr:cNvPr id="105" name="Picture 1" descr="Picture">
          <a:extLst>
            <a:ext uri="{FF2B5EF4-FFF2-40B4-BE49-F238E27FC236}">
              <a16:creationId xmlns:a16="http://schemas.microsoft.com/office/drawing/2014/main" id="{B5B3A66A-63D9-4D3E-A6D6-2E740B899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995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18</xdr:col>
      <xdr:colOff>120000</xdr:colOff>
      <xdr:row>85</xdr:row>
      <xdr:rowOff>0</xdr:rowOff>
    </xdr:from>
    <xdr:to>
      <xdr:col>18</xdr:col>
      <xdr:colOff>290512</xdr:colOff>
      <xdr:row>86</xdr:row>
      <xdr:rowOff>0</xdr:rowOff>
    </xdr:to>
    <xdr:pic>
      <xdr:nvPicPr>
        <xdr:cNvPr id="106" name="Picture 1" descr="Picture">
          <a:extLst>
            <a:ext uri="{FF2B5EF4-FFF2-40B4-BE49-F238E27FC236}">
              <a16:creationId xmlns:a16="http://schemas.microsoft.com/office/drawing/2014/main" id="{DBFEF444-C124-4C6E-9125-B88E498E9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186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19</xdr:col>
      <xdr:colOff>120000</xdr:colOff>
      <xdr:row>85</xdr:row>
      <xdr:rowOff>0</xdr:rowOff>
    </xdr:from>
    <xdr:to>
      <xdr:col>19</xdr:col>
      <xdr:colOff>290512</xdr:colOff>
      <xdr:row>86</xdr:row>
      <xdr:rowOff>0</xdr:rowOff>
    </xdr:to>
    <xdr:pic>
      <xdr:nvPicPr>
        <xdr:cNvPr id="107" name="Picture 1" descr="Picture">
          <a:extLst>
            <a:ext uri="{FF2B5EF4-FFF2-40B4-BE49-F238E27FC236}">
              <a16:creationId xmlns:a16="http://schemas.microsoft.com/office/drawing/2014/main" id="{537B8C10-D077-4878-896E-B96B3BB807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378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85</xdr:row>
      <xdr:rowOff>0</xdr:rowOff>
    </xdr:from>
    <xdr:to>
      <xdr:col>28</xdr:col>
      <xdr:colOff>290512</xdr:colOff>
      <xdr:row>86</xdr:row>
      <xdr:rowOff>0</xdr:rowOff>
    </xdr:to>
    <xdr:pic>
      <xdr:nvPicPr>
        <xdr:cNvPr id="108" name="Picture 1" descr="Picture">
          <a:extLst>
            <a:ext uri="{FF2B5EF4-FFF2-40B4-BE49-F238E27FC236}">
              <a16:creationId xmlns:a16="http://schemas.microsoft.com/office/drawing/2014/main" id="{644AB69F-2BD4-4879-9801-9F8D9C70F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8104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85</xdr:row>
      <xdr:rowOff>0</xdr:rowOff>
    </xdr:from>
    <xdr:to>
      <xdr:col>29</xdr:col>
      <xdr:colOff>290512</xdr:colOff>
      <xdr:row>86</xdr:row>
      <xdr:rowOff>0</xdr:rowOff>
    </xdr:to>
    <xdr:pic>
      <xdr:nvPicPr>
        <xdr:cNvPr id="109" name="Picture 1" descr="Picture">
          <a:extLst>
            <a:ext uri="{FF2B5EF4-FFF2-40B4-BE49-F238E27FC236}">
              <a16:creationId xmlns:a16="http://schemas.microsoft.com/office/drawing/2014/main" id="{E2CC5987-0402-46D8-998B-833035D33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296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85</xdr:row>
      <xdr:rowOff>0</xdr:rowOff>
    </xdr:from>
    <xdr:to>
      <xdr:col>31</xdr:col>
      <xdr:colOff>290512</xdr:colOff>
      <xdr:row>86</xdr:row>
      <xdr:rowOff>0</xdr:rowOff>
    </xdr:to>
    <xdr:pic>
      <xdr:nvPicPr>
        <xdr:cNvPr id="110" name="Picture 1" descr="Picture">
          <a:extLst>
            <a:ext uri="{FF2B5EF4-FFF2-40B4-BE49-F238E27FC236}">
              <a16:creationId xmlns:a16="http://schemas.microsoft.com/office/drawing/2014/main" id="{808B79B6-E1AB-4C9C-A15B-3CC47E79B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679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85</xdr:row>
      <xdr:rowOff>0</xdr:rowOff>
    </xdr:from>
    <xdr:to>
      <xdr:col>32</xdr:col>
      <xdr:colOff>290512</xdr:colOff>
      <xdr:row>86</xdr:row>
      <xdr:rowOff>0</xdr:rowOff>
    </xdr:to>
    <xdr:pic>
      <xdr:nvPicPr>
        <xdr:cNvPr id="111" name="Picture 1" descr="Picture">
          <a:extLst>
            <a:ext uri="{FF2B5EF4-FFF2-40B4-BE49-F238E27FC236}">
              <a16:creationId xmlns:a16="http://schemas.microsoft.com/office/drawing/2014/main" id="{298E24B8-B106-4DCF-8122-46445FFB5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8871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85</xdr:row>
      <xdr:rowOff>0</xdr:rowOff>
    </xdr:from>
    <xdr:to>
      <xdr:col>33</xdr:col>
      <xdr:colOff>290512</xdr:colOff>
      <xdr:row>86</xdr:row>
      <xdr:rowOff>0</xdr:rowOff>
    </xdr:to>
    <xdr:pic>
      <xdr:nvPicPr>
        <xdr:cNvPr id="112" name="Picture 1" descr="Picture">
          <a:extLst>
            <a:ext uri="{FF2B5EF4-FFF2-40B4-BE49-F238E27FC236}">
              <a16:creationId xmlns:a16="http://schemas.microsoft.com/office/drawing/2014/main" id="{C7C92271-6FF6-4EE3-BCEB-A6DAF2F4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063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85</xdr:row>
      <xdr:rowOff>0</xdr:rowOff>
    </xdr:from>
    <xdr:to>
      <xdr:col>40</xdr:col>
      <xdr:colOff>290512</xdr:colOff>
      <xdr:row>86</xdr:row>
      <xdr:rowOff>0</xdr:rowOff>
    </xdr:to>
    <xdr:pic>
      <xdr:nvPicPr>
        <xdr:cNvPr id="113" name="Picture 1" descr="Picture">
          <a:extLst>
            <a:ext uri="{FF2B5EF4-FFF2-40B4-BE49-F238E27FC236}">
              <a16:creationId xmlns:a16="http://schemas.microsoft.com/office/drawing/2014/main" id="{3FBDF1B6-D63A-4DC0-AD09-60BDC5DE7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405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98</xdr:row>
      <xdr:rowOff>0</xdr:rowOff>
    </xdr:from>
    <xdr:to>
      <xdr:col>31</xdr:col>
      <xdr:colOff>290512</xdr:colOff>
      <xdr:row>99</xdr:row>
      <xdr:rowOff>0</xdr:rowOff>
    </xdr:to>
    <xdr:pic>
      <xdr:nvPicPr>
        <xdr:cNvPr id="114" name="Picture 1" descr="Picture">
          <a:extLst>
            <a:ext uri="{FF2B5EF4-FFF2-40B4-BE49-F238E27FC236}">
              <a16:creationId xmlns:a16="http://schemas.microsoft.com/office/drawing/2014/main" id="{F5E23B52-2B3F-490D-A626-EAEDD21FA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679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98</xdr:row>
      <xdr:rowOff>0</xdr:rowOff>
    </xdr:from>
    <xdr:to>
      <xdr:col>32</xdr:col>
      <xdr:colOff>290512</xdr:colOff>
      <xdr:row>99</xdr:row>
      <xdr:rowOff>0</xdr:rowOff>
    </xdr:to>
    <xdr:pic>
      <xdr:nvPicPr>
        <xdr:cNvPr id="115" name="Picture 1" descr="Picture">
          <a:extLst>
            <a:ext uri="{FF2B5EF4-FFF2-40B4-BE49-F238E27FC236}">
              <a16:creationId xmlns:a16="http://schemas.microsoft.com/office/drawing/2014/main" id="{BF3F3C3F-2228-4A67-80C1-82B9143E0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8871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98</xdr:row>
      <xdr:rowOff>0</xdr:rowOff>
    </xdr:from>
    <xdr:to>
      <xdr:col>33</xdr:col>
      <xdr:colOff>290512</xdr:colOff>
      <xdr:row>99</xdr:row>
      <xdr:rowOff>0</xdr:rowOff>
    </xdr:to>
    <xdr:pic>
      <xdr:nvPicPr>
        <xdr:cNvPr id="116" name="Picture 1" descr="Picture">
          <a:extLst>
            <a:ext uri="{FF2B5EF4-FFF2-40B4-BE49-F238E27FC236}">
              <a16:creationId xmlns:a16="http://schemas.microsoft.com/office/drawing/2014/main" id="{3507584D-28EA-43E9-B504-3B8918305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063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14</xdr:col>
      <xdr:colOff>120000</xdr:colOff>
      <xdr:row>120</xdr:row>
      <xdr:rowOff>0</xdr:rowOff>
    </xdr:from>
    <xdr:to>
      <xdr:col>14</xdr:col>
      <xdr:colOff>290512</xdr:colOff>
      <xdr:row>121</xdr:row>
      <xdr:rowOff>0</xdr:rowOff>
    </xdr:to>
    <xdr:pic>
      <xdr:nvPicPr>
        <xdr:cNvPr id="117" name="Picture 1" descr="Picture">
          <a:extLst>
            <a:ext uri="{FF2B5EF4-FFF2-40B4-BE49-F238E27FC236}">
              <a16:creationId xmlns:a16="http://schemas.microsoft.com/office/drawing/2014/main" id="{9200084B-0CE5-4519-AE50-036EA9ED3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35419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15</xdr:col>
      <xdr:colOff>120000</xdr:colOff>
      <xdr:row>120</xdr:row>
      <xdr:rowOff>0</xdr:rowOff>
    </xdr:from>
    <xdr:to>
      <xdr:col>15</xdr:col>
      <xdr:colOff>290512</xdr:colOff>
      <xdr:row>121</xdr:row>
      <xdr:rowOff>0</xdr:rowOff>
    </xdr:to>
    <xdr:pic>
      <xdr:nvPicPr>
        <xdr:cNvPr id="118" name="Picture 1" descr="Picture">
          <a:extLst>
            <a:ext uri="{FF2B5EF4-FFF2-40B4-BE49-F238E27FC236}">
              <a16:creationId xmlns:a16="http://schemas.microsoft.com/office/drawing/2014/main" id="{419E7295-4071-40E8-9CCC-8746CB6DD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611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120</xdr:row>
      <xdr:rowOff>0</xdr:rowOff>
    </xdr:from>
    <xdr:to>
      <xdr:col>29</xdr:col>
      <xdr:colOff>290512</xdr:colOff>
      <xdr:row>121</xdr:row>
      <xdr:rowOff>0</xdr:rowOff>
    </xdr:to>
    <xdr:pic>
      <xdr:nvPicPr>
        <xdr:cNvPr id="119" name="Picture 1" descr="Picture">
          <a:extLst>
            <a:ext uri="{FF2B5EF4-FFF2-40B4-BE49-F238E27FC236}">
              <a16:creationId xmlns:a16="http://schemas.microsoft.com/office/drawing/2014/main" id="{A952C045-C59D-49ED-B7B2-3B4131939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296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120</xdr:row>
      <xdr:rowOff>0</xdr:rowOff>
    </xdr:from>
    <xdr:to>
      <xdr:col>30</xdr:col>
      <xdr:colOff>290512</xdr:colOff>
      <xdr:row>121</xdr:row>
      <xdr:rowOff>0</xdr:rowOff>
    </xdr:to>
    <xdr:pic>
      <xdr:nvPicPr>
        <xdr:cNvPr id="120" name="Picture 1" descr="Picture">
          <a:extLst>
            <a:ext uri="{FF2B5EF4-FFF2-40B4-BE49-F238E27FC236}">
              <a16:creationId xmlns:a16="http://schemas.microsoft.com/office/drawing/2014/main" id="{E16C440B-7034-4C84-9E64-142D22C4A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8487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120</xdr:row>
      <xdr:rowOff>0</xdr:rowOff>
    </xdr:from>
    <xdr:to>
      <xdr:col>31</xdr:col>
      <xdr:colOff>290512</xdr:colOff>
      <xdr:row>121</xdr:row>
      <xdr:rowOff>0</xdr:rowOff>
    </xdr:to>
    <xdr:pic>
      <xdr:nvPicPr>
        <xdr:cNvPr id="121" name="Picture 1" descr="Picture">
          <a:extLst>
            <a:ext uri="{FF2B5EF4-FFF2-40B4-BE49-F238E27FC236}">
              <a16:creationId xmlns:a16="http://schemas.microsoft.com/office/drawing/2014/main" id="{7760D6CB-4D83-4C01-B68E-D96722B45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679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120</xdr:row>
      <xdr:rowOff>0</xdr:rowOff>
    </xdr:from>
    <xdr:to>
      <xdr:col>35</xdr:col>
      <xdr:colOff>290512</xdr:colOff>
      <xdr:row>121</xdr:row>
      <xdr:rowOff>0</xdr:rowOff>
    </xdr:to>
    <xdr:pic>
      <xdr:nvPicPr>
        <xdr:cNvPr id="122" name="Picture 1" descr="Picture">
          <a:extLst>
            <a:ext uri="{FF2B5EF4-FFF2-40B4-BE49-F238E27FC236}">
              <a16:creationId xmlns:a16="http://schemas.microsoft.com/office/drawing/2014/main" id="{F04952DD-77DD-4737-8E5D-6BC541824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120</xdr:row>
      <xdr:rowOff>0</xdr:rowOff>
    </xdr:from>
    <xdr:to>
      <xdr:col>36</xdr:col>
      <xdr:colOff>290512</xdr:colOff>
      <xdr:row>121</xdr:row>
      <xdr:rowOff>0</xdr:rowOff>
    </xdr:to>
    <xdr:pic>
      <xdr:nvPicPr>
        <xdr:cNvPr id="123" name="Picture 1" descr="Picture">
          <a:extLst>
            <a:ext uri="{FF2B5EF4-FFF2-40B4-BE49-F238E27FC236}">
              <a16:creationId xmlns:a16="http://schemas.microsoft.com/office/drawing/2014/main" id="{9A87ACD7-A9C7-49DB-9A3B-229EEF4D4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120</xdr:row>
      <xdr:rowOff>0</xdr:rowOff>
    </xdr:from>
    <xdr:to>
      <xdr:col>37</xdr:col>
      <xdr:colOff>290512</xdr:colOff>
      <xdr:row>121</xdr:row>
      <xdr:rowOff>0</xdr:rowOff>
    </xdr:to>
    <xdr:pic>
      <xdr:nvPicPr>
        <xdr:cNvPr id="124" name="Picture 1" descr="Picture">
          <a:extLst>
            <a:ext uri="{FF2B5EF4-FFF2-40B4-BE49-F238E27FC236}">
              <a16:creationId xmlns:a16="http://schemas.microsoft.com/office/drawing/2014/main" id="{4FEB9181-B40D-4BBD-817D-B2819F797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120</xdr:row>
      <xdr:rowOff>0</xdr:rowOff>
    </xdr:from>
    <xdr:to>
      <xdr:col>38</xdr:col>
      <xdr:colOff>290512</xdr:colOff>
      <xdr:row>121</xdr:row>
      <xdr:rowOff>0</xdr:rowOff>
    </xdr:to>
    <xdr:pic>
      <xdr:nvPicPr>
        <xdr:cNvPr id="125" name="Picture 1" descr="Picture">
          <a:extLst>
            <a:ext uri="{FF2B5EF4-FFF2-40B4-BE49-F238E27FC236}">
              <a16:creationId xmlns:a16="http://schemas.microsoft.com/office/drawing/2014/main" id="{6EE7A8B2-9C71-4670-ADF4-F00CF34943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120</xdr:row>
      <xdr:rowOff>0</xdr:rowOff>
    </xdr:from>
    <xdr:to>
      <xdr:col>39</xdr:col>
      <xdr:colOff>290512</xdr:colOff>
      <xdr:row>121</xdr:row>
      <xdr:rowOff>0</xdr:rowOff>
    </xdr:to>
    <xdr:pic>
      <xdr:nvPicPr>
        <xdr:cNvPr id="126" name="Picture 1" descr="Picture">
          <a:extLst>
            <a:ext uri="{FF2B5EF4-FFF2-40B4-BE49-F238E27FC236}">
              <a16:creationId xmlns:a16="http://schemas.microsoft.com/office/drawing/2014/main" id="{0344ACC8-4544-4D60-A900-5B656E8C6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213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120</xdr:row>
      <xdr:rowOff>0</xdr:rowOff>
    </xdr:from>
    <xdr:to>
      <xdr:col>40</xdr:col>
      <xdr:colOff>290512</xdr:colOff>
      <xdr:row>121</xdr:row>
      <xdr:rowOff>0</xdr:rowOff>
    </xdr:to>
    <xdr:pic>
      <xdr:nvPicPr>
        <xdr:cNvPr id="127" name="Picture 1" descr="Picture">
          <a:extLst>
            <a:ext uri="{FF2B5EF4-FFF2-40B4-BE49-F238E27FC236}">
              <a16:creationId xmlns:a16="http://schemas.microsoft.com/office/drawing/2014/main" id="{AA91B8FA-2521-4F42-BBC3-E94B47097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0405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16</xdr:col>
      <xdr:colOff>120000</xdr:colOff>
      <xdr:row>125</xdr:row>
      <xdr:rowOff>0</xdr:rowOff>
    </xdr:from>
    <xdr:to>
      <xdr:col>16</xdr:col>
      <xdr:colOff>290512</xdr:colOff>
      <xdr:row>126</xdr:row>
      <xdr:rowOff>0</xdr:rowOff>
    </xdr:to>
    <xdr:pic>
      <xdr:nvPicPr>
        <xdr:cNvPr id="128" name="Picture 1" descr="Picture">
          <a:extLst>
            <a:ext uri="{FF2B5EF4-FFF2-40B4-BE49-F238E27FC236}">
              <a16:creationId xmlns:a16="http://schemas.microsoft.com/office/drawing/2014/main" id="{3745A3DB-26B2-400D-8DF9-11256E147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803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17</xdr:col>
      <xdr:colOff>120000</xdr:colOff>
      <xdr:row>125</xdr:row>
      <xdr:rowOff>0</xdr:rowOff>
    </xdr:from>
    <xdr:to>
      <xdr:col>17</xdr:col>
      <xdr:colOff>290512</xdr:colOff>
      <xdr:row>126</xdr:row>
      <xdr:rowOff>0</xdr:rowOff>
    </xdr:to>
    <xdr:pic>
      <xdr:nvPicPr>
        <xdr:cNvPr id="129" name="Picture 1" descr="Picture">
          <a:extLst>
            <a:ext uri="{FF2B5EF4-FFF2-40B4-BE49-F238E27FC236}">
              <a16:creationId xmlns:a16="http://schemas.microsoft.com/office/drawing/2014/main" id="{81AC11D7-948B-4417-86AC-CEA3B3370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995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18</xdr:col>
      <xdr:colOff>120000</xdr:colOff>
      <xdr:row>125</xdr:row>
      <xdr:rowOff>0</xdr:rowOff>
    </xdr:from>
    <xdr:to>
      <xdr:col>18</xdr:col>
      <xdr:colOff>290512</xdr:colOff>
      <xdr:row>126</xdr:row>
      <xdr:rowOff>0</xdr:rowOff>
    </xdr:to>
    <xdr:pic>
      <xdr:nvPicPr>
        <xdr:cNvPr id="130" name="Picture 1" descr="Picture">
          <a:extLst>
            <a:ext uri="{FF2B5EF4-FFF2-40B4-BE49-F238E27FC236}">
              <a16:creationId xmlns:a16="http://schemas.microsoft.com/office/drawing/2014/main" id="{BC09A21C-92A9-4BD6-832E-4489738B6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186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19</xdr:col>
      <xdr:colOff>120000</xdr:colOff>
      <xdr:row>125</xdr:row>
      <xdr:rowOff>0</xdr:rowOff>
    </xdr:from>
    <xdr:to>
      <xdr:col>19</xdr:col>
      <xdr:colOff>290512</xdr:colOff>
      <xdr:row>126</xdr:row>
      <xdr:rowOff>0</xdr:rowOff>
    </xdr:to>
    <xdr:pic>
      <xdr:nvPicPr>
        <xdr:cNvPr id="131" name="Picture 1" descr="Picture">
          <a:extLst>
            <a:ext uri="{FF2B5EF4-FFF2-40B4-BE49-F238E27FC236}">
              <a16:creationId xmlns:a16="http://schemas.microsoft.com/office/drawing/2014/main" id="{ABE93595-727F-4B94-A57E-C91FE366B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378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22</xdr:col>
      <xdr:colOff>120000</xdr:colOff>
      <xdr:row>125</xdr:row>
      <xdr:rowOff>0</xdr:rowOff>
    </xdr:from>
    <xdr:to>
      <xdr:col>22</xdr:col>
      <xdr:colOff>290512</xdr:colOff>
      <xdr:row>126</xdr:row>
      <xdr:rowOff>0</xdr:rowOff>
    </xdr:to>
    <xdr:pic>
      <xdr:nvPicPr>
        <xdr:cNvPr id="132" name="Picture 1" descr="Picture">
          <a:extLst>
            <a:ext uri="{FF2B5EF4-FFF2-40B4-BE49-F238E27FC236}">
              <a16:creationId xmlns:a16="http://schemas.microsoft.com/office/drawing/2014/main" id="{2561748C-6CC9-4C3E-9254-6A1E4E83C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6953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23</xdr:col>
      <xdr:colOff>120000</xdr:colOff>
      <xdr:row>125</xdr:row>
      <xdr:rowOff>0</xdr:rowOff>
    </xdr:from>
    <xdr:to>
      <xdr:col>23</xdr:col>
      <xdr:colOff>290512</xdr:colOff>
      <xdr:row>126</xdr:row>
      <xdr:rowOff>0</xdr:rowOff>
    </xdr:to>
    <xdr:pic>
      <xdr:nvPicPr>
        <xdr:cNvPr id="133" name="Picture 1" descr="Picture">
          <a:extLst>
            <a:ext uri="{FF2B5EF4-FFF2-40B4-BE49-F238E27FC236}">
              <a16:creationId xmlns:a16="http://schemas.microsoft.com/office/drawing/2014/main" id="{1C860BE5-0BD4-4346-BC59-4D1467CE9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145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24</xdr:col>
      <xdr:colOff>120000</xdr:colOff>
      <xdr:row>125</xdr:row>
      <xdr:rowOff>0</xdr:rowOff>
    </xdr:from>
    <xdr:to>
      <xdr:col>24</xdr:col>
      <xdr:colOff>290512</xdr:colOff>
      <xdr:row>126</xdr:row>
      <xdr:rowOff>0</xdr:rowOff>
    </xdr:to>
    <xdr:pic>
      <xdr:nvPicPr>
        <xdr:cNvPr id="134" name="Picture 1" descr="Picture">
          <a:extLst>
            <a:ext uri="{FF2B5EF4-FFF2-40B4-BE49-F238E27FC236}">
              <a16:creationId xmlns:a16="http://schemas.microsoft.com/office/drawing/2014/main" id="{14C78381-9BA6-4731-827B-48439286D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337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25</xdr:col>
      <xdr:colOff>120000</xdr:colOff>
      <xdr:row>125</xdr:row>
      <xdr:rowOff>0</xdr:rowOff>
    </xdr:from>
    <xdr:to>
      <xdr:col>25</xdr:col>
      <xdr:colOff>290512</xdr:colOff>
      <xdr:row>126</xdr:row>
      <xdr:rowOff>0</xdr:rowOff>
    </xdr:to>
    <xdr:pic>
      <xdr:nvPicPr>
        <xdr:cNvPr id="135" name="Picture 1" descr="Picture">
          <a:extLst>
            <a:ext uri="{FF2B5EF4-FFF2-40B4-BE49-F238E27FC236}">
              <a16:creationId xmlns:a16="http://schemas.microsoft.com/office/drawing/2014/main" id="{E1074506-1394-404F-B872-B8D2EAA51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7529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125</xdr:row>
      <xdr:rowOff>0</xdr:rowOff>
    </xdr:from>
    <xdr:to>
      <xdr:col>26</xdr:col>
      <xdr:colOff>290512</xdr:colOff>
      <xdr:row>126</xdr:row>
      <xdr:rowOff>0</xdr:rowOff>
    </xdr:to>
    <xdr:pic>
      <xdr:nvPicPr>
        <xdr:cNvPr id="136" name="Picture 1" descr="Picture">
          <a:extLst>
            <a:ext uri="{FF2B5EF4-FFF2-40B4-BE49-F238E27FC236}">
              <a16:creationId xmlns:a16="http://schemas.microsoft.com/office/drawing/2014/main" id="{5E7D847A-807B-4F26-94B8-B59BCA777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720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125</xdr:row>
      <xdr:rowOff>0</xdr:rowOff>
    </xdr:from>
    <xdr:to>
      <xdr:col>28</xdr:col>
      <xdr:colOff>290512</xdr:colOff>
      <xdr:row>126</xdr:row>
      <xdr:rowOff>0</xdr:rowOff>
    </xdr:to>
    <xdr:pic>
      <xdr:nvPicPr>
        <xdr:cNvPr id="137" name="Picture 1" descr="Picture">
          <a:extLst>
            <a:ext uri="{FF2B5EF4-FFF2-40B4-BE49-F238E27FC236}">
              <a16:creationId xmlns:a16="http://schemas.microsoft.com/office/drawing/2014/main" id="{22C2395F-6B28-43D8-A590-645F27F08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8104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125</xdr:row>
      <xdr:rowOff>0</xdr:rowOff>
    </xdr:from>
    <xdr:to>
      <xdr:col>29</xdr:col>
      <xdr:colOff>290512</xdr:colOff>
      <xdr:row>126</xdr:row>
      <xdr:rowOff>0</xdr:rowOff>
    </xdr:to>
    <xdr:pic>
      <xdr:nvPicPr>
        <xdr:cNvPr id="138" name="Picture 1" descr="Picture">
          <a:extLst>
            <a:ext uri="{FF2B5EF4-FFF2-40B4-BE49-F238E27FC236}">
              <a16:creationId xmlns:a16="http://schemas.microsoft.com/office/drawing/2014/main" id="{1BD5BAA1-B88C-49A7-834B-D1A4DC8B8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296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125</xdr:row>
      <xdr:rowOff>0</xdr:rowOff>
    </xdr:from>
    <xdr:to>
      <xdr:col>35</xdr:col>
      <xdr:colOff>290512</xdr:colOff>
      <xdr:row>126</xdr:row>
      <xdr:rowOff>0</xdr:rowOff>
    </xdr:to>
    <xdr:pic>
      <xdr:nvPicPr>
        <xdr:cNvPr id="139" name="Picture 1" descr="Picture">
          <a:extLst>
            <a:ext uri="{FF2B5EF4-FFF2-40B4-BE49-F238E27FC236}">
              <a16:creationId xmlns:a16="http://schemas.microsoft.com/office/drawing/2014/main" id="{4220FDBC-A030-4784-9484-583F6CFB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125</xdr:row>
      <xdr:rowOff>0</xdr:rowOff>
    </xdr:from>
    <xdr:to>
      <xdr:col>36</xdr:col>
      <xdr:colOff>290512</xdr:colOff>
      <xdr:row>126</xdr:row>
      <xdr:rowOff>0</xdr:rowOff>
    </xdr:to>
    <xdr:pic>
      <xdr:nvPicPr>
        <xdr:cNvPr id="140" name="Picture 1" descr="Picture">
          <a:extLst>
            <a:ext uri="{FF2B5EF4-FFF2-40B4-BE49-F238E27FC236}">
              <a16:creationId xmlns:a16="http://schemas.microsoft.com/office/drawing/2014/main" id="{A3B6B5C9-4A90-4092-A7E3-52E2FDE6A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125</xdr:row>
      <xdr:rowOff>0</xdr:rowOff>
    </xdr:from>
    <xdr:to>
      <xdr:col>37</xdr:col>
      <xdr:colOff>290512</xdr:colOff>
      <xdr:row>126</xdr:row>
      <xdr:rowOff>0</xdr:rowOff>
    </xdr:to>
    <xdr:pic>
      <xdr:nvPicPr>
        <xdr:cNvPr id="141" name="Picture 1" descr="Picture">
          <a:extLst>
            <a:ext uri="{FF2B5EF4-FFF2-40B4-BE49-F238E27FC236}">
              <a16:creationId xmlns:a16="http://schemas.microsoft.com/office/drawing/2014/main" id="{D0A8F994-F6CA-4E7F-9D81-942440183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125</xdr:row>
      <xdr:rowOff>0</xdr:rowOff>
    </xdr:from>
    <xdr:to>
      <xdr:col>38</xdr:col>
      <xdr:colOff>290512</xdr:colOff>
      <xdr:row>126</xdr:row>
      <xdr:rowOff>0</xdr:rowOff>
    </xdr:to>
    <xdr:pic>
      <xdr:nvPicPr>
        <xdr:cNvPr id="142" name="Picture 1" descr="Picture">
          <a:extLst>
            <a:ext uri="{FF2B5EF4-FFF2-40B4-BE49-F238E27FC236}">
              <a16:creationId xmlns:a16="http://schemas.microsoft.com/office/drawing/2014/main" id="{541429FB-5635-49FC-9239-441F0A96C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125</xdr:row>
      <xdr:rowOff>0</xdr:rowOff>
    </xdr:from>
    <xdr:to>
      <xdr:col>39</xdr:col>
      <xdr:colOff>290512</xdr:colOff>
      <xdr:row>126</xdr:row>
      <xdr:rowOff>0</xdr:rowOff>
    </xdr:to>
    <xdr:pic>
      <xdr:nvPicPr>
        <xdr:cNvPr id="143" name="Picture 1" descr="Picture">
          <a:extLst>
            <a:ext uri="{FF2B5EF4-FFF2-40B4-BE49-F238E27FC236}">
              <a16:creationId xmlns:a16="http://schemas.microsoft.com/office/drawing/2014/main" id="{79AD74C8-BA98-4C34-B0BC-029DEC135C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13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125</xdr:row>
      <xdr:rowOff>0</xdr:rowOff>
    </xdr:from>
    <xdr:to>
      <xdr:col>40</xdr:col>
      <xdr:colOff>290512</xdr:colOff>
      <xdr:row>126</xdr:row>
      <xdr:rowOff>0</xdr:rowOff>
    </xdr:to>
    <xdr:pic>
      <xdr:nvPicPr>
        <xdr:cNvPr id="144" name="Picture 1" descr="Picture">
          <a:extLst>
            <a:ext uri="{FF2B5EF4-FFF2-40B4-BE49-F238E27FC236}">
              <a16:creationId xmlns:a16="http://schemas.microsoft.com/office/drawing/2014/main" id="{1C1A1766-1D42-406B-9A41-9B0246875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405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126</xdr:row>
      <xdr:rowOff>0</xdr:rowOff>
    </xdr:from>
    <xdr:to>
      <xdr:col>35</xdr:col>
      <xdr:colOff>290512</xdr:colOff>
      <xdr:row>127</xdr:row>
      <xdr:rowOff>0</xdr:rowOff>
    </xdr:to>
    <xdr:pic>
      <xdr:nvPicPr>
        <xdr:cNvPr id="145" name="Picture 1" descr="Picture">
          <a:extLst>
            <a:ext uri="{FF2B5EF4-FFF2-40B4-BE49-F238E27FC236}">
              <a16:creationId xmlns:a16="http://schemas.microsoft.com/office/drawing/2014/main" id="{2DE2FE6E-1CB8-489F-B6FF-A566773423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126</xdr:row>
      <xdr:rowOff>0</xdr:rowOff>
    </xdr:from>
    <xdr:to>
      <xdr:col>36</xdr:col>
      <xdr:colOff>290512</xdr:colOff>
      <xdr:row>127</xdr:row>
      <xdr:rowOff>0</xdr:rowOff>
    </xdr:to>
    <xdr:pic>
      <xdr:nvPicPr>
        <xdr:cNvPr id="146" name="Picture 1" descr="Picture">
          <a:extLst>
            <a:ext uri="{FF2B5EF4-FFF2-40B4-BE49-F238E27FC236}">
              <a16:creationId xmlns:a16="http://schemas.microsoft.com/office/drawing/2014/main" id="{F25CDC23-71E8-41AD-A4E6-D7F824CA5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126</xdr:row>
      <xdr:rowOff>0</xdr:rowOff>
    </xdr:from>
    <xdr:to>
      <xdr:col>38</xdr:col>
      <xdr:colOff>290512</xdr:colOff>
      <xdr:row>127</xdr:row>
      <xdr:rowOff>0</xdr:rowOff>
    </xdr:to>
    <xdr:pic>
      <xdr:nvPicPr>
        <xdr:cNvPr id="147" name="Picture 1" descr="Picture">
          <a:extLst>
            <a:ext uri="{FF2B5EF4-FFF2-40B4-BE49-F238E27FC236}">
              <a16:creationId xmlns:a16="http://schemas.microsoft.com/office/drawing/2014/main" id="{565CC083-318B-4052-8671-3B73BF14D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126</xdr:row>
      <xdr:rowOff>0</xdr:rowOff>
    </xdr:from>
    <xdr:to>
      <xdr:col>39</xdr:col>
      <xdr:colOff>290512</xdr:colOff>
      <xdr:row>127</xdr:row>
      <xdr:rowOff>0</xdr:rowOff>
    </xdr:to>
    <xdr:pic>
      <xdr:nvPicPr>
        <xdr:cNvPr id="148" name="Picture 1" descr="Picture">
          <a:extLst>
            <a:ext uri="{FF2B5EF4-FFF2-40B4-BE49-F238E27FC236}">
              <a16:creationId xmlns:a16="http://schemas.microsoft.com/office/drawing/2014/main" id="{6C2AEB0A-126B-419C-8F79-9888C346C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13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126</xdr:row>
      <xdr:rowOff>0</xdr:rowOff>
    </xdr:from>
    <xdr:to>
      <xdr:col>40</xdr:col>
      <xdr:colOff>290512</xdr:colOff>
      <xdr:row>127</xdr:row>
      <xdr:rowOff>0</xdr:rowOff>
    </xdr:to>
    <xdr:pic>
      <xdr:nvPicPr>
        <xdr:cNvPr id="149" name="Picture 1" descr="Picture">
          <a:extLst>
            <a:ext uri="{FF2B5EF4-FFF2-40B4-BE49-F238E27FC236}">
              <a16:creationId xmlns:a16="http://schemas.microsoft.com/office/drawing/2014/main" id="{DAF6D1AD-2162-4220-AE24-41E671F2A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405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23</xdr:col>
      <xdr:colOff>10000</xdr:colOff>
      <xdr:row>129</xdr:row>
      <xdr:rowOff>10000</xdr:rowOff>
    </xdr:from>
    <xdr:to>
      <xdr:col>23</xdr:col>
      <xdr:colOff>466725</xdr:colOff>
      <xdr:row>130</xdr:row>
      <xdr:rowOff>0</xdr:rowOff>
    </xdr:to>
    <xdr:pic>
      <xdr:nvPicPr>
        <xdr:cNvPr id="150" name="Picture 1" descr="Picture">
          <a:extLst>
            <a:ext uri="{FF2B5EF4-FFF2-40B4-BE49-F238E27FC236}">
              <a16:creationId xmlns:a16="http://schemas.microsoft.com/office/drawing/2014/main" id="{3979EFF8-493C-472F-84E2-2DBD5716A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604550" y="1704975"/>
          <a:ext cx="456725" cy="0"/>
        </a:xfrm>
        <a:prstGeom prst="rect">
          <a:avLst/>
        </a:prstGeom>
      </xdr:spPr>
    </xdr:pic>
    <xdr:clientData/>
  </xdr:twoCellAnchor>
  <xdr:twoCellAnchor>
    <xdr:from>
      <xdr:col>24</xdr:col>
      <xdr:colOff>10000</xdr:colOff>
      <xdr:row>129</xdr:row>
      <xdr:rowOff>10000</xdr:rowOff>
    </xdr:from>
    <xdr:to>
      <xdr:col>24</xdr:col>
      <xdr:colOff>466725</xdr:colOff>
      <xdr:row>130</xdr:row>
      <xdr:rowOff>0</xdr:rowOff>
    </xdr:to>
    <xdr:pic>
      <xdr:nvPicPr>
        <xdr:cNvPr id="151" name="Picture 1" descr="Picture">
          <a:extLst>
            <a:ext uri="{FF2B5EF4-FFF2-40B4-BE49-F238E27FC236}">
              <a16:creationId xmlns:a16="http://schemas.microsoft.com/office/drawing/2014/main" id="{102640BE-7920-42AC-8593-5C99DEA8B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623725" y="1704975"/>
          <a:ext cx="456725" cy="0"/>
        </a:xfrm>
        <a:prstGeom prst="rect">
          <a:avLst/>
        </a:prstGeom>
      </xdr:spPr>
    </xdr:pic>
    <xdr:clientData/>
  </xdr:twoCellAnchor>
  <xdr:twoCellAnchor>
    <xdr:from>
      <xdr:col>12</xdr:col>
      <xdr:colOff>120000</xdr:colOff>
      <xdr:row>148</xdr:row>
      <xdr:rowOff>0</xdr:rowOff>
    </xdr:from>
    <xdr:to>
      <xdr:col>12</xdr:col>
      <xdr:colOff>290512</xdr:colOff>
      <xdr:row>149</xdr:row>
      <xdr:rowOff>0</xdr:rowOff>
    </xdr:to>
    <xdr:pic>
      <xdr:nvPicPr>
        <xdr:cNvPr id="152" name="Picture 1" descr="Picture">
          <a:extLst>
            <a:ext uri="{FF2B5EF4-FFF2-40B4-BE49-F238E27FC236}">
              <a16:creationId xmlns:a16="http://schemas.microsoft.com/office/drawing/2014/main" id="{FDD85447-E1A5-4AFA-AE31-88736D851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752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14</xdr:col>
      <xdr:colOff>120000</xdr:colOff>
      <xdr:row>148</xdr:row>
      <xdr:rowOff>0</xdr:rowOff>
    </xdr:from>
    <xdr:to>
      <xdr:col>14</xdr:col>
      <xdr:colOff>290512</xdr:colOff>
      <xdr:row>149</xdr:row>
      <xdr:rowOff>0</xdr:rowOff>
    </xdr:to>
    <xdr:pic>
      <xdr:nvPicPr>
        <xdr:cNvPr id="153" name="Picture 1" descr="Picture">
          <a:extLst>
            <a:ext uri="{FF2B5EF4-FFF2-40B4-BE49-F238E27FC236}">
              <a16:creationId xmlns:a16="http://schemas.microsoft.com/office/drawing/2014/main" id="{72C82785-E57C-49AF-81D3-A7201D6FF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5419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15</xdr:col>
      <xdr:colOff>120000</xdr:colOff>
      <xdr:row>148</xdr:row>
      <xdr:rowOff>0</xdr:rowOff>
    </xdr:from>
    <xdr:to>
      <xdr:col>15</xdr:col>
      <xdr:colOff>290512</xdr:colOff>
      <xdr:row>149</xdr:row>
      <xdr:rowOff>0</xdr:rowOff>
    </xdr:to>
    <xdr:pic>
      <xdr:nvPicPr>
        <xdr:cNvPr id="154" name="Picture 1" descr="Picture">
          <a:extLst>
            <a:ext uri="{FF2B5EF4-FFF2-40B4-BE49-F238E27FC236}">
              <a16:creationId xmlns:a16="http://schemas.microsoft.com/office/drawing/2014/main" id="{3F9B6158-03C1-46C0-97BB-56F1509ED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5611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16</xdr:col>
      <xdr:colOff>120000</xdr:colOff>
      <xdr:row>148</xdr:row>
      <xdr:rowOff>0</xdr:rowOff>
    </xdr:from>
    <xdr:to>
      <xdr:col>16</xdr:col>
      <xdr:colOff>290512</xdr:colOff>
      <xdr:row>149</xdr:row>
      <xdr:rowOff>0</xdr:rowOff>
    </xdr:to>
    <xdr:pic>
      <xdr:nvPicPr>
        <xdr:cNvPr id="155" name="Picture 1" descr="Picture">
          <a:extLst>
            <a:ext uri="{FF2B5EF4-FFF2-40B4-BE49-F238E27FC236}">
              <a16:creationId xmlns:a16="http://schemas.microsoft.com/office/drawing/2014/main" id="{B585D54A-C502-42A2-826F-BB876B7B6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803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17</xdr:col>
      <xdr:colOff>120000</xdr:colOff>
      <xdr:row>148</xdr:row>
      <xdr:rowOff>0</xdr:rowOff>
    </xdr:from>
    <xdr:to>
      <xdr:col>17</xdr:col>
      <xdr:colOff>290512</xdr:colOff>
      <xdr:row>149</xdr:row>
      <xdr:rowOff>0</xdr:rowOff>
    </xdr:to>
    <xdr:pic>
      <xdr:nvPicPr>
        <xdr:cNvPr id="156" name="Picture 1" descr="Picture">
          <a:extLst>
            <a:ext uri="{FF2B5EF4-FFF2-40B4-BE49-F238E27FC236}">
              <a16:creationId xmlns:a16="http://schemas.microsoft.com/office/drawing/2014/main" id="{193C69C9-5200-49EA-8411-2A37794A4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995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22</xdr:col>
      <xdr:colOff>120000</xdr:colOff>
      <xdr:row>148</xdr:row>
      <xdr:rowOff>0</xdr:rowOff>
    </xdr:from>
    <xdr:to>
      <xdr:col>22</xdr:col>
      <xdr:colOff>290512</xdr:colOff>
      <xdr:row>149</xdr:row>
      <xdr:rowOff>0</xdr:rowOff>
    </xdr:to>
    <xdr:pic>
      <xdr:nvPicPr>
        <xdr:cNvPr id="157" name="Picture 1" descr="Picture">
          <a:extLst>
            <a:ext uri="{FF2B5EF4-FFF2-40B4-BE49-F238E27FC236}">
              <a16:creationId xmlns:a16="http://schemas.microsoft.com/office/drawing/2014/main" id="{06E60E29-8A35-4D35-8E43-2EB3BBB4B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6953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23</xdr:col>
      <xdr:colOff>120000</xdr:colOff>
      <xdr:row>148</xdr:row>
      <xdr:rowOff>0</xdr:rowOff>
    </xdr:from>
    <xdr:to>
      <xdr:col>23</xdr:col>
      <xdr:colOff>290512</xdr:colOff>
      <xdr:row>149</xdr:row>
      <xdr:rowOff>0</xdr:rowOff>
    </xdr:to>
    <xdr:pic>
      <xdr:nvPicPr>
        <xdr:cNvPr id="158" name="Picture 1" descr="Picture">
          <a:extLst>
            <a:ext uri="{FF2B5EF4-FFF2-40B4-BE49-F238E27FC236}">
              <a16:creationId xmlns:a16="http://schemas.microsoft.com/office/drawing/2014/main" id="{166B1717-5380-4252-AD66-ED7C864094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145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24</xdr:col>
      <xdr:colOff>120000</xdr:colOff>
      <xdr:row>148</xdr:row>
      <xdr:rowOff>0</xdr:rowOff>
    </xdr:from>
    <xdr:to>
      <xdr:col>24</xdr:col>
      <xdr:colOff>290512</xdr:colOff>
      <xdr:row>149</xdr:row>
      <xdr:rowOff>0</xdr:rowOff>
    </xdr:to>
    <xdr:pic>
      <xdr:nvPicPr>
        <xdr:cNvPr id="159" name="Picture 1" descr="Picture">
          <a:extLst>
            <a:ext uri="{FF2B5EF4-FFF2-40B4-BE49-F238E27FC236}">
              <a16:creationId xmlns:a16="http://schemas.microsoft.com/office/drawing/2014/main" id="{6F75238E-71D2-4D27-B740-F571E53DD8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337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25</xdr:col>
      <xdr:colOff>120000</xdr:colOff>
      <xdr:row>148</xdr:row>
      <xdr:rowOff>0</xdr:rowOff>
    </xdr:from>
    <xdr:to>
      <xdr:col>25</xdr:col>
      <xdr:colOff>290512</xdr:colOff>
      <xdr:row>149</xdr:row>
      <xdr:rowOff>0</xdr:rowOff>
    </xdr:to>
    <xdr:pic>
      <xdr:nvPicPr>
        <xdr:cNvPr id="160" name="Picture 1" descr="Picture">
          <a:extLst>
            <a:ext uri="{FF2B5EF4-FFF2-40B4-BE49-F238E27FC236}">
              <a16:creationId xmlns:a16="http://schemas.microsoft.com/office/drawing/2014/main" id="{3A2038B5-113A-41E2-B470-0251AB8014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7529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148</xdr:row>
      <xdr:rowOff>0</xdr:rowOff>
    </xdr:from>
    <xdr:to>
      <xdr:col>26</xdr:col>
      <xdr:colOff>290512</xdr:colOff>
      <xdr:row>149</xdr:row>
      <xdr:rowOff>0</xdr:rowOff>
    </xdr:to>
    <xdr:pic>
      <xdr:nvPicPr>
        <xdr:cNvPr id="161" name="Picture 1" descr="Picture">
          <a:extLst>
            <a:ext uri="{FF2B5EF4-FFF2-40B4-BE49-F238E27FC236}">
              <a16:creationId xmlns:a16="http://schemas.microsoft.com/office/drawing/2014/main" id="{40DE40D1-D57A-4589-898D-9845519B0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720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148</xdr:row>
      <xdr:rowOff>0</xdr:rowOff>
    </xdr:from>
    <xdr:to>
      <xdr:col>28</xdr:col>
      <xdr:colOff>290512</xdr:colOff>
      <xdr:row>149</xdr:row>
      <xdr:rowOff>0</xdr:rowOff>
    </xdr:to>
    <xdr:pic>
      <xdr:nvPicPr>
        <xdr:cNvPr id="162" name="Picture 1" descr="Picture">
          <a:extLst>
            <a:ext uri="{FF2B5EF4-FFF2-40B4-BE49-F238E27FC236}">
              <a16:creationId xmlns:a16="http://schemas.microsoft.com/office/drawing/2014/main" id="{C0EFDA14-9FFA-42B1-A92A-12CC45651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8104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148</xdr:row>
      <xdr:rowOff>0</xdr:rowOff>
    </xdr:from>
    <xdr:to>
      <xdr:col>29</xdr:col>
      <xdr:colOff>290512</xdr:colOff>
      <xdr:row>149</xdr:row>
      <xdr:rowOff>0</xdr:rowOff>
    </xdr:to>
    <xdr:pic>
      <xdr:nvPicPr>
        <xdr:cNvPr id="163" name="Picture 1" descr="Picture">
          <a:extLst>
            <a:ext uri="{FF2B5EF4-FFF2-40B4-BE49-F238E27FC236}">
              <a16:creationId xmlns:a16="http://schemas.microsoft.com/office/drawing/2014/main" id="{C639D5FB-F29B-4DF6-A151-FB78EE509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296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148</xdr:row>
      <xdr:rowOff>0</xdr:rowOff>
    </xdr:from>
    <xdr:to>
      <xdr:col>30</xdr:col>
      <xdr:colOff>290512</xdr:colOff>
      <xdr:row>149</xdr:row>
      <xdr:rowOff>0</xdr:rowOff>
    </xdr:to>
    <xdr:pic>
      <xdr:nvPicPr>
        <xdr:cNvPr id="164" name="Picture 1" descr="Picture">
          <a:extLst>
            <a:ext uri="{FF2B5EF4-FFF2-40B4-BE49-F238E27FC236}">
              <a16:creationId xmlns:a16="http://schemas.microsoft.com/office/drawing/2014/main" id="{64E4A95A-C707-4044-B271-7C5E13B2E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8487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148</xdr:row>
      <xdr:rowOff>0</xdr:rowOff>
    </xdr:from>
    <xdr:to>
      <xdr:col>31</xdr:col>
      <xdr:colOff>290512</xdr:colOff>
      <xdr:row>149</xdr:row>
      <xdr:rowOff>0</xdr:rowOff>
    </xdr:to>
    <xdr:pic>
      <xdr:nvPicPr>
        <xdr:cNvPr id="165" name="Picture 1" descr="Picture">
          <a:extLst>
            <a:ext uri="{FF2B5EF4-FFF2-40B4-BE49-F238E27FC236}">
              <a16:creationId xmlns:a16="http://schemas.microsoft.com/office/drawing/2014/main" id="{DA089B0F-FD5E-416F-9A9C-5186CFB15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679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148</xdr:row>
      <xdr:rowOff>0</xdr:rowOff>
    </xdr:from>
    <xdr:to>
      <xdr:col>32</xdr:col>
      <xdr:colOff>290512</xdr:colOff>
      <xdr:row>149</xdr:row>
      <xdr:rowOff>0</xdr:rowOff>
    </xdr:to>
    <xdr:pic>
      <xdr:nvPicPr>
        <xdr:cNvPr id="166" name="Picture 1" descr="Picture">
          <a:extLst>
            <a:ext uri="{FF2B5EF4-FFF2-40B4-BE49-F238E27FC236}">
              <a16:creationId xmlns:a16="http://schemas.microsoft.com/office/drawing/2014/main" id="{E235BE9B-36A0-402C-8955-98E2BE5B6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8871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148</xdr:row>
      <xdr:rowOff>0</xdr:rowOff>
    </xdr:from>
    <xdr:to>
      <xdr:col>33</xdr:col>
      <xdr:colOff>290512</xdr:colOff>
      <xdr:row>149</xdr:row>
      <xdr:rowOff>0</xdr:rowOff>
    </xdr:to>
    <xdr:pic>
      <xdr:nvPicPr>
        <xdr:cNvPr id="167" name="Picture 1" descr="Picture">
          <a:extLst>
            <a:ext uri="{FF2B5EF4-FFF2-40B4-BE49-F238E27FC236}">
              <a16:creationId xmlns:a16="http://schemas.microsoft.com/office/drawing/2014/main" id="{5480A3C2-AE41-4533-B893-13027BF30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063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148</xdr:row>
      <xdr:rowOff>0</xdr:rowOff>
    </xdr:from>
    <xdr:to>
      <xdr:col>35</xdr:col>
      <xdr:colOff>290512</xdr:colOff>
      <xdr:row>149</xdr:row>
      <xdr:rowOff>0</xdr:rowOff>
    </xdr:to>
    <xdr:pic>
      <xdr:nvPicPr>
        <xdr:cNvPr id="168" name="Picture 1" descr="Picture">
          <a:extLst>
            <a:ext uri="{FF2B5EF4-FFF2-40B4-BE49-F238E27FC236}">
              <a16:creationId xmlns:a16="http://schemas.microsoft.com/office/drawing/2014/main" id="{42D2986F-279A-412C-9987-EF9A3D54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148</xdr:row>
      <xdr:rowOff>0</xdr:rowOff>
    </xdr:from>
    <xdr:to>
      <xdr:col>36</xdr:col>
      <xdr:colOff>290512</xdr:colOff>
      <xdr:row>149</xdr:row>
      <xdr:rowOff>0</xdr:rowOff>
    </xdr:to>
    <xdr:pic>
      <xdr:nvPicPr>
        <xdr:cNvPr id="169" name="Picture 1" descr="Picture">
          <a:extLst>
            <a:ext uri="{FF2B5EF4-FFF2-40B4-BE49-F238E27FC236}">
              <a16:creationId xmlns:a16="http://schemas.microsoft.com/office/drawing/2014/main" id="{31EB0CE3-7F68-4F78-BB1D-59DCA22AD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148</xdr:row>
      <xdr:rowOff>0</xdr:rowOff>
    </xdr:from>
    <xdr:to>
      <xdr:col>37</xdr:col>
      <xdr:colOff>290512</xdr:colOff>
      <xdr:row>149</xdr:row>
      <xdr:rowOff>0</xdr:rowOff>
    </xdr:to>
    <xdr:pic>
      <xdr:nvPicPr>
        <xdr:cNvPr id="170" name="Picture 1" descr="Picture">
          <a:extLst>
            <a:ext uri="{FF2B5EF4-FFF2-40B4-BE49-F238E27FC236}">
              <a16:creationId xmlns:a16="http://schemas.microsoft.com/office/drawing/2014/main" id="{9821845C-135A-4CB0-8D9C-2EDAED58C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38</xdr:col>
      <xdr:colOff>120000</xdr:colOff>
      <xdr:row>148</xdr:row>
      <xdr:rowOff>0</xdr:rowOff>
    </xdr:from>
    <xdr:to>
      <xdr:col>38</xdr:col>
      <xdr:colOff>290512</xdr:colOff>
      <xdr:row>149</xdr:row>
      <xdr:rowOff>0</xdr:rowOff>
    </xdr:to>
    <xdr:pic>
      <xdr:nvPicPr>
        <xdr:cNvPr id="171" name="Picture 1" descr="Picture">
          <a:extLst>
            <a:ext uri="{FF2B5EF4-FFF2-40B4-BE49-F238E27FC236}">
              <a16:creationId xmlns:a16="http://schemas.microsoft.com/office/drawing/2014/main" id="{E343C9C6-3848-4E18-841F-2D342ABA1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21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39</xdr:col>
      <xdr:colOff>120000</xdr:colOff>
      <xdr:row>148</xdr:row>
      <xdr:rowOff>0</xdr:rowOff>
    </xdr:from>
    <xdr:to>
      <xdr:col>39</xdr:col>
      <xdr:colOff>290512</xdr:colOff>
      <xdr:row>149</xdr:row>
      <xdr:rowOff>0</xdr:rowOff>
    </xdr:to>
    <xdr:pic>
      <xdr:nvPicPr>
        <xdr:cNvPr id="172" name="Picture 1" descr="Picture">
          <a:extLst>
            <a:ext uri="{FF2B5EF4-FFF2-40B4-BE49-F238E27FC236}">
              <a16:creationId xmlns:a16="http://schemas.microsoft.com/office/drawing/2014/main" id="{EC652085-A07B-46D1-A566-BB5E5E8A8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13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40</xdr:col>
      <xdr:colOff>120000</xdr:colOff>
      <xdr:row>148</xdr:row>
      <xdr:rowOff>0</xdr:rowOff>
    </xdr:from>
    <xdr:to>
      <xdr:col>40</xdr:col>
      <xdr:colOff>290512</xdr:colOff>
      <xdr:row>149</xdr:row>
      <xdr:rowOff>0</xdr:rowOff>
    </xdr:to>
    <xdr:pic>
      <xdr:nvPicPr>
        <xdr:cNvPr id="173" name="Picture 1" descr="Picture">
          <a:extLst>
            <a:ext uri="{FF2B5EF4-FFF2-40B4-BE49-F238E27FC236}">
              <a16:creationId xmlns:a16="http://schemas.microsoft.com/office/drawing/2014/main" id="{D6B19C42-9A92-42AE-A4EB-4B83F085A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405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24</xdr:col>
      <xdr:colOff>120000</xdr:colOff>
      <xdr:row>205</xdr:row>
      <xdr:rowOff>0</xdr:rowOff>
    </xdr:from>
    <xdr:to>
      <xdr:col>24</xdr:col>
      <xdr:colOff>290512</xdr:colOff>
      <xdr:row>206</xdr:row>
      <xdr:rowOff>0</xdr:rowOff>
    </xdr:to>
    <xdr:pic>
      <xdr:nvPicPr>
        <xdr:cNvPr id="174" name="Picture 1" descr="Picture">
          <a:extLst>
            <a:ext uri="{FF2B5EF4-FFF2-40B4-BE49-F238E27FC236}">
              <a16:creationId xmlns:a16="http://schemas.microsoft.com/office/drawing/2014/main" id="{D61A43F2-C297-4DC9-AF3A-37BFE1C81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337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25</xdr:col>
      <xdr:colOff>120000</xdr:colOff>
      <xdr:row>205</xdr:row>
      <xdr:rowOff>0</xdr:rowOff>
    </xdr:from>
    <xdr:to>
      <xdr:col>25</xdr:col>
      <xdr:colOff>290512</xdr:colOff>
      <xdr:row>206</xdr:row>
      <xdr:rowOff>0</xdr:rowOff>
    </xdr:to>
    <xdr:pic>
      <xdr:nvPicPr>
        <xdr:cNvPr id="175" name="Picture 1" descr="Picture">
          <a:extLst>
            <a:ext uri="{FF2B5EF4-FFF2-40B4-BE49-F238E27FC236}">
              <a16:creationId xmlns:a16="http://schemas.microsoft.com/office/drawing/2014/main" id="{697C68DB-0A0E-415C-97B2-D8F02631F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7529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205</xdr:row>
      <xdr:rowOff>0</xdr:rowOff>
    </xdr:from>
    <xdr:to>
      <xdr:col>26</xdr:col>
      <xdr:colOff>290512</xdr:colOff>
      <xdr:row>206</xdr:row>
      <xdr:rowOff>0</xdr:rowOff>
    </xdr:to>
    <xdr:pic>
      <xdr:nvPicPr>
        <xdr:cNvPr id="176" name="Picture 1" descr="Picture">
          <a:extLst>
            <a:ext uri="{FF2B5EF4-FFF2-40B4-BE49-F238E27FC236}">
              <a16:creationId xmlns:a16="http://schemas.microsoft.com/office/drawing/2014/main" id="{92BF7DDD-B7B6-4454-8D8E-E92B07413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720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205</xdr:row>
      <xdr:rowOff>0</xdr:rowOff>
    </xdr:from>
    <xdr:to>
      <xdr:col>35</xdr:col>
      <xdr:colOff>290512</xdr:colOff>
      <xdr:row>206</xdr:row>
      <xdr:rowOff>0</xdr:rowOff>
    </xdr:to>
    <xdr:pic>
      <xdr:nvPicPr>
        <xdr:cNvPr id="177" name="Picture 1" descr="Picture">
          <a:extLst>
            <a:ext uri="{FF2B5EF4-FFF2-40B4-BE49-F238E27FC236}">
              <a16:creationId xmlns:a16="http://schemas.microsoft.com/office/drawing/2014/main" id="{5953CA73-459E-4BBC-8C67-D77EB6640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446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205</xdr:row>
      <xdr:rowOff>0</xdr:rowOff>
    </xdr:from>
    <xdr:to>
      <xdr:col>36</xdr:col>
      <xdr:colOff>290512</xdr:colOff>
      <xdr:row>206</xdr:row>
      <xdr:rowOff>0</xdr:rowOff>
    </xdr:to>
    <xdr:pic>
      <xdr:nvPicPr>
        <xdr:cNvPr id="178" name="Picture 1" descr="Picture">
          <a:extLst>
            <a:ext uri="{FF2B5EF4-FFF2-40B4-BE49-F238E27FC236}">
              <a16:creationId xmlns:a16="http://schemas.microsoft.com/office/drawing/2014/main" id="{24473E5F-CBC9-44B0-A4B1-6B74824EE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638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205</xdr:row>
      <xdr:rowOff>0</xdr:rowOff>
    </xdr:from>
    <xdr:to>
      <xdr:col>37</xdr:col>
      <xdr:colOff>290512</xdr:colOff>
      <xdr:row>206</xdr:row>
      <xdr:rowOff>0</xdr:rowOff>
    </xdr:to>
    <xdr:pic>
      <xdr:nvPicPr>
        <xdr:cNvPr id="179" name="Picture 1" descr="Picture">
          <a:extLst>
            <a:ext uri="{FF2B5EF4-FFF2-40B4-BE49-F238E27FC236}">
              <a16:creationId xmlns:a16="http://schemas.microsoft.com/office/drawing/2014/main" id="{9710A3EE-57D3-4DD9-9424-806575059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30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23</xdr:col>
      <xdr:colOff>10000</xdr:colOff>
      <xdr:row>234</xdr:row>
      <xdr:rowOff>10000</xdr:rowOff>
    </xdr:from>
    <xdr:to>
      <xdr:col>23</xdr:col>
      <xdr:colOff>466725</xdr:colOff>
      <xdr:row>235</xdr:row>
      <xdr:rowOff>0</xdr:rowOff>
    </xdr:to>
    <xdr:pic>
      <xdr:nvPicPr>
        <xdr:cNvPr id="180" name="Picture 1" descr="Picture">
          <a:extLst>
            <a:ext uri="{FF2B5EF4-FFF2-40B4-BE49-F238E27FC236}">
              <a16:creationId xmlns:a16="http://schemas.microsoft.com/office/drawing/2014/main" id="{77ED9242-0C20-490B-90E7-61679C0FD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604550" y="1704975"/>
          <a:ext cx="456725" cy="0"/>
        </a:xfrm>
        <a:prstGeom prst="rect">
          <a:avLst/>
        </a:prstGeom>
      </xdr:spPr>
    </xdr:pic>
    <xdr:clientData/>
  </xdr:twoCellAnchor>
  <xdr:twoCellAnchor>
    <xdr:from>
      <xdr:col>24</xdr:col>
      <xdr:colOff>10000</xdr:colOff>
      <xdr:row>234</xdr:row>
      <xdr:rowOff>10000</xdr:rowOff>
    </xdr:from>
    <xdr:to>
      <xdr:col>24</xdr:col>
      <xdr:colOff>466725</xdr:colOff>
      <xdr:row>235</xdr:row>
      <xdr:rowOff>0</xdr:rowOff>
    </xdr:to>
    <xdr:pic>
      <xdr:nvPicPr>
        <xdr:cNvPr id="181" name="Picture 1" descr="Picture">
          <a:extLst>
            <a:ext uri="{FF2B5EF4-FFF2-40B4-BE49-F238E27FC236}">
              <a16:creationId xmlns:a16="http://schemas.microsoft.com/office/drawing/2014/main" id="{9C8D900A-46E2-4557-913A-222DE336D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623725" y="1704975"/>
          <a:ext cx="456725" cy="0"/>
        </a:xfrm>
        <a:prstGeom prst="rect">
          <a:avLst/>
        </a:prstGeom>
      </xdr:spPr>
    </xdr:pic>
    <xdr:clientData/>
  </xdr:twoCellAnchor>
  <xdr:twoCellAnchor>
    <xdr:from>
      <xdr:col>22</xdr:col>
      <xdr:colOff>120000</xdr:colOff>
      <xdr:row>235</xdr:row>
      <xdr:rowOff>0</xdr:rowOff>
    </xdr:from>
    <xdr:to>
      <xdr:col>22</xdr:col>
      <xdr:colOff>290512</xdr:colOff>
      <xdr:row>236</xdr:row>
      <xdr:rowOff>0</xdr:rowOff>
    </xdr:to>
    <xdr:pic>
      <xdr:nvPicPr>
        <xdr:cNvPr id="182" name="Picture 1" descr="Picture">
          <a:extLst>
            <a:ext uri="{FF2B5EF4-FFF2-40B4-BE49-F238E27FC236}">
              <a16:creationId xmlns:a16="http://schemas.microsoft.com/office/drawing/2014/main" id="{FA789F48-FF82-4631-971E-1D65089D1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6953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23</xdr:col>
      <xdr:colOff>120000</xdr:colOff>
      <xdr:row>235</xdr:row>
      <xdr:rowOff>0</xdr:rowOff>
    </xdr:from>
    <xdr:to>
      <xdr:col>23</xdr:col>
      <xdr:colOff>290512</xdr:colOff>
      <xdr:row>236</xdr:row>
      <xdr:rowOff>0</xdr:rowOff>
    </xdr:to>
    <xdr:pic>
      <xdr:nvPicPr>
        <xdr:cNvPr id="183" name="Picture 1" descr="Picture">
          <a:extLst>
            <a:ext uri="{FF2B5EF4-FFF2-40B4-BE49-F238E27FC236}">
              <a16:creationId xmlns:a16="http://schemas.microsoft.com/office/drawing/2014/main" id="{A69FBC1D-DFEF-462B-BCCD-E722E55E0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7145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24</xdr:col>
      <xdr:colOff>120000</xdr:colOff>
      <xdr:row>235</xdr:row>
      <xdr:rowOff>0</xdr:rowOff>
    </xdr:from>
    <xdr:to>
      <xdr:col>24</xdr:col>
      <xdr:colOff>290512</xdr:colOff>
      <xdr:row>236</xdr:row>
      <xdr:rowOff>0</xdr:rowOff>
    </xdr:to>
    <xdr:pic>
      <xdr:nvPicPr>
        <xdr:cNvPr id="184" name="Picture 1" descr="Picture">
          <a:extLst>
            <a:ext uri="{FF2B5EF4-FFF2-40B4-BE49-F238E27FC236}">
              <a16:creationId xmlns:a16="http://schemas.microsoft.com/office/drawing/2014/main" id="{11AB7BEC-5DB3-4CC2-8A1B-3291695A1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7337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25</xdr:col>
      <xdr:colOff>120000</xdr:colOff>
      <xdr:row>235</xdr:row>
      <xdr:rowOff>0</xdr:rowOff>
    </xdr:from>
    <xdr:to>
      <xdr:col>25</xdr:col>
      <xdr:colOff>290512</xdr:colOff>
      <xdr:row>236</xdr:row>
      <xdr:rowOff>0</xdr:rowOff>
    </xdr:to>
    <xdr:pic>
      <xdr:nvPicPr>
        <xdr:cNvPr id="185" name="Picture 1" descr="Picture">
          <a:extLst>
            <a:ext uri="{FF2B5EF4-FFF2-40B4-BE49-F238E27FC236}">
              <a16:creationId xmlns:a16="http://schemas.microsoft.com/office/drawing/2014/main" id="{1A59E7C0-9228-4C02-859B-D9706770F9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7529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26</xdr:col>
      <xdr:colOff>120000</xdr:colOff>
      <xdr:row>235</xdr:row>
      <xdr:rowOff>0</xdr:rowOff>
    </xdr:from>
    <xdr:to>
      <xdr:col>26</xdr:col>
      <xdr:colOff>290512</xdr:colOff>
      <xdr:row>236</xdr:row>
      <xdr:rowOff>0</xdr:rowOff>
    </xdr:to>
    <xdr:pic>
      <xdr:nvPicPr>
        <xdr:cNvPr id="186" name="Picture 1" descr="Picture">
          <a:extLst>
            <a:ext uri="{FF2B5EF4-FFF2-40B4-BE49-F238E27FC236}">
              <a16:creationId xmlns:a16="http://schemas.microsoft.com/office/drawing/2014/main" id="{74993DD8-8F50-47D5-96AD-3853E2812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7720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11</xdr:col>
      <xdr:colOff>120000</xdr:colOff>
      <xdr:row>237</xdr:row>
      <xdr:rowOff>0</xdr:rowOff>
    </xdr:from>
    <xdr:to>
      <xdr:col>11</xdr:col>
      <xdr:colOff>290512</xdr:colOff>
      <xdr:row>238</xdr:row>
      <xdr:rowOff>0</xdr:rowOff>
    </xdr:to>
    <xdr:pic>
      <xdr:nvPicPr>
        <xdr:cNvPr id="187" name="Picture 1" descr="Picture">
          <a:extLst>
            <a:ext uri="{FF2B5EF4-FFF2-40B4-BE49-F238E27FC236}">
              <a16:creationId xmlns:a16="http://schemas.microsoft.com/office/drawing/2014/main" id="{C26005BE-BC3E-45C2-B200-747C7CF86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8560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12</xdr:col>
      <xdr:colOff>120000</xdr:colOff>
      <xdr:row>237</xdr:row>
      <xdr:rowOff>0</xdr:rowOff>
    </xdr:from>
    <xdr:to>
      <xdr:col>12</xdr:col>
      <xdr:colOff>290512</xdr:colOff>
      <xdr:row>238</xdr:row>
      <xdr:rowOff>0</xdr:rowOff>
    </xdr:to>
    <xdr:pic>
      <xdr:nvPicPr>
        <xdr:cNvPr id="188" name="Picture 1" descr="Picture">
          <a:extLst>
            <a:ext uri="{FF2B5EF4-FFF2-40B4-BE49-F238E27FC236}">
              <a16:creationId xmlns:a16="http://schemas.microsoft.com/office/drawing/2014/main" id="{950B2B55-1ECA-40CA-B2E8-9FB4CB97E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8752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239</xdr:row>
      <xdr:rowOff>0</xdr:rowOff>
    </xdr:from>
    <xdr:to>
      <xdr:col>28</xdr:col>
      <xdr:colOff>290512</xdr:colOff>
      <xdr:row>240</xdr:row>
      <xdr:rowOff>0</xdr:rowOff>
    </xdr:to>
    <xdr:pic>
      <xdr:nvPicPr>
        <xdr:cNvPr id="189" name="Picture 1" descr="Picture">
          <a:extLst>
            <a:ext uri="{FF2B5EF4-FFF2-40B4-BE49-F238E27FC236}">
              <a16:creationId xmlns:a16="http://schemas.microsoft.com/office/drawing/2014/main" id="{080DD4CC-0E1E-482D-9A78-8BEDE5307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8104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239</xdr:row>
      <xdr:rowOff>0</xdr:rowOff>
    </xdr:from>
    <xdr:to>
      <xdr:col>29</xdr:col>
      <xdr:colOff>290512</xdr:colOff>
      <xdr:row>240</xdr:row>
      <xdr:rowOff>0</xdr:rowOff>
    </xdr:to>
    <xdr:pic>
      <xdr:nvPicPr>
        <xdr:cNvPr id="190" name="Picture 1" descr="Picture">
          <a:extLst>
            <a:ext uri="{FF2B5EF4-FFF2-40B4-BE49-F238E27FC236}">
              <a16:creationId xmlns:a16="http://schemas.microsoft.com/office/drawing/2014/main" id="{4D86E4D5-C2DF-413D-8558-C44C59B93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8296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239</xdr:row>
      <xdr:rowOff>0</xdr:rowOff>
    </xdr:from>
    <xdr:to>
      <xdr:col>30</xdr:col>
      <xdr:colOff>290512</xdr:colOff>
      <xdr:row>240</xdr:row>
      <xdr:rowOff>0</xdr:rowOff>
    </xdr:to>
    <xdr:pic>
      <xdr:nvPicPr>
        <xdr:cNvPr id="191" name="Picture 1" descr="Picture">
          <a:extLst>
            <a:ext uri="{FF2B5EF4-FFF2-40B4-BE49-F238E27FC236}">
              <a16:creationId xmlns:a16="http://schemas.microsoft.com/office/drawing/2014/main" id="{91384324-2A43-4E5D-8DEA-ACA514D76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8487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35</xdr:col>
      <xdr:colOff>120000</xdr:colOff>
      <xdr:row>323</xdr:row>
      <xdr:rowOff>0</xdr:rowOff>
    </xdr:from>
    <xdr:to>
      <xdr:col>35</xdr:col>
      <xdr:colOff>290512</xdr:colOff>
      <xdr:row>324</xdr:row>
      <xdr:rowOff>0</xdr:rowOff>
    </xdr:to>
    <xdr:pic>
      <xdr:nvPicPr>
        <xdr:cNvPr id="192" name="Picture 1" descr="Picture">
          <a:extLst>
            <a:ext uri="{FF2B5EF4-FFF2-40B4-BE49-F238E27FC236}">
              <a16:creationId xmlns:a16="http://schemas.microsoft.com/office/drawing/2014/main" id="{30A55A67-6224-4419-A91D-5CCD0AAD4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9446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36</xdr:col>
      <xdr:colOff>120000</xdr:colOff>
      <xdr:row>323</xdr:row>
      <xdr:rowOff>0</xdr:rowOff>
    </xdr:from>
    <xdr:to>
      <xdr:col>36</xdr:col>
      <xdr:colOff>290512</xdr:colOff>
      <xdr:row>324</xdr:row>
      <xdr:rowOff>0</xdr:rowOff>
    </xdr:to>
    <xdr:pic>
      <xdr:nvPicPr>
        <xdr:cNvPr id="193" name="Picture 1" descr="Picture">
          <a:extLst>
            <a:ext uri="{FF2B5EF4-FFF2-40B4-BE49-F238E27FC236}">
              <a16:creationId xmlns:a16="http://schemas.microsoft.com/office/drawing/2014/main" id="{38BFF3F0-11CA-4C2E-88F9-A0B96F15D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9638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37</xdr:col>
      <xdr:colOff>120000</xdr:colOff>
      <xdr:row>323</xdr:row>
      <xdr:rowOff>0</xdr:rowOff>
    </xdr:from>
    <xdr:to>
      <xdr:col>37</xdr:col>
      <xdr:colOff>290512</xdr:colOff>
      <xdr:row>324</xdr:row>
      <xdr:rowOff>0</xdr:rowOff>
    </xdr:to>
    <xdr:pic>
      <xdr:nvPicPr>
        <xdr:cNvPr id="194" name="Picture 1" descr="Picture">
          <a:extLst>
            <a:ext uri="{FF2B5EF4-FFF2-40B4-BE49-F238E27FC236}">
              <a16:creationId xmlns:a16="http://schemas.microsoft.com/office/drawing/2014/main" id="{4702CDC0-0FCA-4F9C-A0FD-886065C90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9830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28</xdr:col>
      <xdr:colOff>120000</xdr:colOff>
      <xdr:row>327</xdr:row>
      <xdr:rowOff>0</xdr:rowOff>
    </xdr:from>
    <xdr:to>
      <xdr:col>28</xdr:col>
      <xdr:colOff>290512</xdr:colOff>
      <xdr:row>328</xdr:row>
      <xdr:rowOff>0</xdr:rowOff>
    </xdr:to>
    <xdr:pic>
      <xdr:nvPicPr>
        <xdr:cNvPr id="195" name="Picture 1" descr="Picture">
          <a:extLst>
            <a:ext uri="{FF2B5EF4-FFF2-40B4-BE49-F238E27FC236}">
              <a16:creationId xmlns:a16="http://schemas.microsoft.com/office/drawing/2014/main" id="{1251790E-E24C-4C3D-86F2-730C7C5E6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78104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29</xdr:col>
      <xdr:colOff>120000</xdr:colOff>
      <xdr:row>327</xdr:row>
      <xdr:rowOff>0</xdr:rowOff>
    </xdr:from>
    <xdr:to>
      <xdr:col>29</xdr:col>
      <xdr:colOff>290512</xdr:colOff>
      <xdr:row>328</xdr:row>
      <xdr:rowOff>0</xdr:rowOff>
    </xdr:to>
    <xdr:pic>
      <xdr:nvPicPr>
        <xdr:cNvPr id="196" name="Picture 1" descr="Picture">
          <a:extLst>
            <a:ext uri="{FF2B5EF4-FFF2-40B4-BE49-F238E27FC236}">
              <a16:creationId xmlns:a16="http://schemas.microsoft.com/office/drawing/2014/main" id="{71611CD4-6426-4554-837E-C2C7E6426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82960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30</xdr:col>
      <xdr:colOff>120000</xdr:colOff>
      <xdr:row>327</xdr:row>
      <xdr:rowOff>0</xdr:rowOff>
    </xdr:from>
    <xdr:to>
      <xdr:col>30</xdr:col>
      <xdr:colOff>290512</xdr:colOff>
      <xdr:row>328</xdr:row>
      <xdr:rowOff>0</xdr:rowOff>
    </xdr:to>
    <xdr:pic>
      <xdr:nvPicPr>
        <xdr:cNvPr id="197" name="Picture 1" descr="Picture">
          <a:extLst>
            <a:ext uri="{FF2B5EF4-FFF2-40B4-BE49-F238E27FC236}">
              <a16:creationId xmlns:a16="http://schemas.microsoft.com/office/drawing/2014/main" id="{0681C501-B7BF-4339-ABFD-FC46EDF21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984877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31</xdr:col>
      <xdr:colOff>120000</xdr:colOff>
      <xdr:row>327</xdr:row>
      <xdr:rowOff>0</xdr:rowOff>
    </xdr:from>
    <xdr:to>
      <xdr:col>31</xdr:col>
      <xdr:colOff>290512</xdr:colOff>
      <xdr:row>328</xdr:row>
      <xdr:rowOff>0</xdr:rowOff>
    </xdr:to>
    <xdr:pic>
      <xdr:nvPicPr>
        <xdr:cNvPr id="198" name="Picture 1" descr="Picture">
          <a:extLst>
            <a:ext uri="{FF2B5EF4-FFF2-40B4-BE49-F238E27FC236}">
              <a16:creationId xmlns:a16="http://schemas.microsoft.com/office/drawing/2014/main" id="{6C927BB7-A81B-4C9A-9BA7-A3006F4D3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0867950" y="1704975"/>
          <a:ext cx="170512" cy="0"/>
        </a:xfrm>
        <a:prstGeom prst="rect">
          <a:avLst/>
        </a:prstGeom>
      </xdr:spPr>
    </xdr:pic>
    <xdr:clientData/>
  </xdr:twoCellAnchor>
  <xdr:twoCellAnchor>
    <xdr:from>
      <xdr:col>32</xdr:col>
      <xdr:colOff>120000</xdr:colOff>
      <xdr:row>327</xdr:row>
      <xdr:rowOff>0</xdr:rowOff>
    </xdr:from>
    <xdr:to>
      <xdr:col>32</xdr:col>
      <xdr:colOff>290512</xdr:colOff>
      <xdr:row>328</xdr:row>
      <xdr:rowOff>0</xdr:rowOff>
    </xdr:to>
    <xdr:pic>
      <xdr:nvPicPr>
        <xdr:cNvPr id="199" name="Picture 1" descr="Picture">
          <a:extLst>
            <a:ext uri="{FF2B5EF4-FFF2-40B4-BE49-F238E27FC236}">
              <a16:creationId xmlns:a16="http://schemas.microsoft.com/office/drawing/2014/main" id="{4E9A4802-C6F8-4481-A499-C3A3BDCF0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887125" y="1704975"/>
          <a:ext cx="170512" cy="0"/>
        </a:xfrm>
        <a:prstGeom prst="rect">
          <a:avLst/>
        </a:prstGeom>
      </xdr:spPr>
    </xdr:pic>
    <xdr:clientData/>
  </xdr:twoCellAnchor>
  <xdr:twoCellAnchor>
    <xdr:from>
      <xdr:col>33</xdr:col>
      <xdr:colOff>120000</xdr:colOff>
      <xdr:row>327</xdr:row>
      <xdr:rowOff>0</xdr:rowOff>
    </xdr:from>
    <xdr:to>
      <xdr:col>33</xdr:col>
      <xdr:colOff>290512</xdr:colOff>
      <xdr:row>328</xdr:row>
      <xdr:rowOff>0</xdr:rowOff>
    </xdr:to>
    <xdr:pic>
      <xdr:nvPicPr>
        <xdr:cNvPr id="200" name="Picture 1" descr="Picture">
          <a:extLst>
            <a:ext uri="{FF2B5EF4-FFF2-40B4-BE49-F238E27FC236}">
              <a16:creationId xmlns:a16="http://schemas.microsoft.com/office/drawing/2014/main" id="{33B499FE-590C-4268-A119-C984778D1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906300" y="1704975"/>
          <a:ext cx="170512" cy="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au13" displayName="Tableau13" ref="A1:D1048573" totalsRowShown="0">
  <autoFilter ref="A1:D1048573" xr:uid="{00000000-0009-0000-0100-000002000000}"/>
  <tableColumns count="4">
    <tableColumn id="1" xr3:uid="{00000000-0010-0000-0000-000001000000}" name="EQUIPES GA"/>
    <tableColumn id="2" xr3:uid="{00000000-0010-0000-0000-000002000000}" name="SITE"/>
    <tableColumn id="3" xr3:uid="{00000000-0010-0000-0000-000003000000}" name="SERVICE"/>
    <tableColumn id="4" xr3:uid="{00000000-0010-0000-0000-000004000000}" name="EQUI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J31"/>
  <sheetViews>
    <sheetView showGridLines="0" workbookViewId="0">
      <selection activeCell="L17" sqref="L17"/>
    </sheetView>
  </sheetViews>
  <sheetFormatPr baseColWidth="10" defaultRowHeight="12" x14ac:dyDescent="0.2"/>
  <sheetData>
    <row r="1" spans="1:10" x14ac:dyDescent="0.2">
      <c r="A1" s="3" t="s">
        <v>4</v>
      </c>
      <c r="B1" s="4"/>
      <c r="C1" s="4"/>
      <c r="D1" s="4"/>
      <c r="E1" s="4"/>
      <c r="F1" s="4"/>
      <c r="G1" s="4"/>
      <c r="H1" s="4"/>
      <c r="I1" s="4"/>
      <c r="J1" s="5"/>
    </row>
    <row r="2" spans="1:10" x14ac:dyDescent="0.2">
      <c r="A2" s="6" t="s">
        <v>5</v>
      </c>
      <c r="B2" s="7"/>
      <c r="C2" s="7"/>
      <c r="D2" s="7"/>
      <c r="E2" s="7"/>
      <c r="F2" s="7"/>
      <c r="G2" s="7"/>
      <c r="H2" s="7"/>
      <c r="I2" s="7"/>
      <c r="J2" s="8"/>
    </row>
    <row r="3" spans="1:10" x14ac:dyDescent="0.2">
      <c r="A3" s="6" t="s">
        <v>6</v>
      </c>
      <c r="B3" s="7"/>
      <c r="C3" s="7"/>
      <c r="D3" s="7"/>
      <c r="E3" s="7"/>
      <c r="F3" s="7"/>
      <c r="G3" s="7"/>
      <c r="H3" s="7"/>
      <c r="I3" s="7"/>
      <c r="J3" s="8"/>
    </row>
    <row r="4" spans="1:10" x14ac:dyDescent="0.2">
      <c r="A4" s="6" t="s">
        <v>7</v>
      </c>
      <c r="B4" s="7"/>
      <c r="C4" s="7"/>
      <c r="D4" s="7"/>
      <c r="E4" s="7"/>
      <c r="F4" s="7"/>
      <c r="G4" s="7"/>
      <c r="H4" s="7"/>
      <c r="I4" s="7"/>
      <c r="J4" s="8"/>
    </row>
    <row r="5" spans="1:10" x14ac:dyDescent="0.2">
      <c r="A5" s="6" t="s">
        <v>8</v>
      </c>
      <c r="B5" s="7"/>
      <c r="C5" s="7"/>
      <c r="D5" s="7"/>
      <c r="E5" s="7"/>
      <c r="F5" s="7"/>
      <c r="G5" s="7"/>
      <c r="H5" s="7"/>
      <c r="I5" s="7"/>
      <c r="J5" s="8"/>
    </row>
    <row r="6" spans="1:10" x14ac:dyDescent="0.2">
      <c r="A6" s="6" t="s">
        <v>9</v>
      </c>
      <c r="B6" s="7"/>
      <c r="C6" s="7"/>
      <c r="D6" s="7"/>
      <c r="E6" s="7"/>
      <c r="F6" s="7"/>
      <c r="G6" s="7"/>
      <c r="H6" s="7"/>
      <c r="I6" s="7"/>
      <c r="J6" s="8"/>
    </row>
    <row r="7" spans="1:10" x14ac:dyDescent="0.2">
      <c r="A7" s="6" t="s">
        <v>10</v>
      </c>
      <c r="B7" s="7"/>
      <c r="C7" s="7"/>
      <c r="D7" s="7"/>
      <c r="E7" s="7"/>
      <c r="F7" s="7"/>
      <c r="G7" s="7"/>
      <c r="H7" s="7"/>
      <c r="I7" s="7"/>
      <c r="J7" s="8"/>
    </row>
    <row r="8" spans="1:10" x14ac:dyDescent="0.2">
      <c r="A8" s="6" t="s">
        <v>11</v>
      </c>
      <c r="B8" s="7"/>
      <c r="C8" s="7"/>
      <c r="D8" s="7"/>
      <c r="E8" s="7"/>
      <c r="F8" s="7"/>
      <c r="G8" s="7"/>
      <c r="H8" s="7"/>
      <c r="I8" s="7"/>
      <c r="J8" s="8"/>
    </row>
    <row r="9" spans="1:10" x14ac:dyDescent="0.2">
      <c r="A9" s="6" t="s">
        <v>12</v>
      </c>
      <c r="B9" s="7"/>
      <c r="C9" s="7"/>
      <c r="D9" s="7"/>
      <c r="E9" s="7"/>
      <c r="F9" s="7"/>
      <c r="G9" s="7"/>
      <c r="H9" s="7"/>
      <c r="I9" s="7"/>
      <c r="J9" s="8"/>
    </row>
    <row r="10" spans="1:10" x14ac:dyDescent="0.2">
      <c r="A10" s="6"/>
      <c r="B10" s="7"/>
      <c r="C10" s="7"/>
      <c r="D10" s="7"/>
      <c r="E10" s="7"/>
      <c r="F10" s="7"/>
      <c r="G10" s="7"/>
      <c r="H10" s="7"/>
      <c r="I10" s="7"/>
      <c r="J10" s="8"/>
    </row>
    <row r="11" spans="1:10" x14ac:dyDescent="0.2">
      <c r="A11" s="6"/>
      <c r="B11" s="7"/>
      <c r="C11" s="7"/>
      <c r="D11" s="7"/>
      <c r="E11" s="7"/>
      <c r="F11" s="7"/>
      <c r="G11" s="7"/>
      <c r="H11" s="7"/>
      <c r="I11" s="7"/>
      <c r="J11" s="8"/>
    </row>
    <row r="12" spans="1:10" x14ac:dyDescent="0.2">
      <c r="A12" s="6"/>
      <c r="B12" s="7"/>
      <c r="C12" s="7"/>
      <c r="D12" s="7"/>
      <c r="E12" s="7"/>
      <c r="F12" s="7"/>
      <c r="G12" s="7"/>
      <c r="H12" s="7"/>
      <c r="I12" s="7"/>
      <c r="J12" s="8"/>
    </row>
    <row r="13" spans="1:10" x14ac:dyDescent="0.2">
      <c r="A13" s="6"/>
      <c r="B13" s="7"/>
      <c r="C13" s="7"/>
      <c r="D13" s="7"/>
      <c r="E13" s="7"/>
      <c r="F13" s="7"/>
      <c r="G13" s="7"/>
      <c r="H13" s="7"/>
      <c r="I13" s="7"/>
      <c r="J13" s="8"/>
    </row>
    <row r="14" spans="1:10" x14ac:dyDescent="0.2">
      <c r="A14" s="6"/>
      <c r="B14" s="7"/>
      <c r="C14" s="7"/>
      <c r="D14" s="7"/>
      <c r="E14" s="7"/>
      <c r="F14" s="7"/>
      <c r="G14" s="7"/>
      <c r="H14" s="7"/>
      <c r="I14" s="7"/>
      <c r="J14" s="8"/>
    </row>
    <row r="15" spans="1:10" x14ac:dyDescent="0.2">
      <c r="A15" s="6"/>
      <c r="B15" s="7"/>
      <c r="C15" s="7"/>
      <c r="D15" s="7"/>
      <c r="E15" s="7"/>
      <c r="F15" s="7"/>
      <c r="G15" s="7"/>
      <c r="H15" s="7"/>
      <c r="I15" s="7"/>
      <c r="J15" s="8"/>
    </row>
    <row r="16" spans="1:10" x14ac:dyDescent="0.2">
      <c r="A16" s="6"/>
      <c r="B16" s="7"/>
      <c r="C16" s="7"/>
      <c r="D16" s="7"/>
      <c r="E16" s="7"/>
      <c r="F16" s="7"/>
      <c r="G16" s="7"/>
      <c r="H16" s="7"/>
      <c r="I16" s="7"/>
      <c r="J16" s="8"/>
    </row>
    <row r="17" spans="1:10" x14ac:dyDescent="0.2">
      <c r="A17" s="6"/>
      <c r="B17" s="7"/>
      <c r="C17" s="7"/>
      <c r="D17" s="7"/>
      <c r="E17" s="7"/>
      <c r="F17" s="7"/>
      <c r="G17" s="7"/>
      <c r="H17" s="7"/>
      <c r="I17" s="7"/>
      <c r="J17" s="8"/>
    </row>
    <row r="18" spans="1:10" x14ac:dyDescent="0.2">
      <c r="A18" s="6"/>
      <c r="B18" s="7"/>
      <c r="C18" s="7"/>
      <c r="D18" s="7"/>
      <c r="E18" s="7"/>
      <c r="F18" s="7"/>
      <c r="G18" s="7"/>
      <c r="H18" s="7"/>
      <c r="I18" s="7"/>
      <c r="J18" s="8"/>
    </row>
    <row r="19" spans="1:10" x14ac:dyDescent="0.2">
      <c r="A19" s="6"/>
      <c r="B19" s="7"/>
      <c r="C19" s="7"/>
      <c r="D19" s="7"/>
      <c r="E19" s="7"/>
      <c r="F19" s="7"/>
      <c r="G19" s="7"/>
      <c r="H19" s="7"/>
      <c r="I19" s="7"/>
      <c r="J19" s="8"/>
    </row>
    <row r="20" spans="1:10" x14ac:dyDescent="0.2">
      <c r="A20" s="6"/>
      <c r="B20" s="7"/>
      <c r="C20" s="7"/>
      <c r="D20" s="7"/>
      <c r="E20" s="7"/>
      <c r="F20" s="7"/>
      <c r="G20" s="7"/>
      <c r="H20" s="7"/>
      <c r="I20" s="7"/>
      <c r="J20" s="8"/>
    </row>
    <row r="21" spans="1:10" x14ac:dyDescent="0.2">
      <c r="A21" s="6"/>
      <c r="B21" s="7"/>
      <c r="C21" s="7"/>
      <c r="D21" s="7"/>
      <c r="E21" s="7"/>
      <c r="F21" s="7"/>
      <c r="G21" s="7"/>
      <c r="H21" s="7"/>
      <c r="I21" s="7"/>
      <c r="J21" s="8"/>
    </row>
    <row r="22" spans="1:10" x14ac:dyDescent="0.2">
      <c r="A22" s="6"/>
      <c r="B22" s="7"/>
      <c r="C22" s="7"/>
      <c r="D22" s="7"/>
      <c r="E22" s="7"/>
      <c r="F22" s="7"/>
      <c r="G22" s="7"/>
      <c r="H22" s="7"/>
      <c r="I22" s="7"/>
      <c r="J22" s="8"/>
    </row>
    <row r="23" spans="1:10" x14ac:dyDescent="0.2">
      <c r="A23" s="6"/>
      <c r="B23" s="7"/>
      <c r="C23" s="7"/>
      <c r="D23" s="7"/>
      <c r="E23" s="7"/>
      <c r="F23" s="7"/>
      <c r="G23" s="7"/>
      <c r="H23" s="7"/>
      <c r="I23" s="7"/>
      <c r="J23" s="8"/>
    </row>
    <row r="24" spans="1:10" x14ac:dyDescent="0.2">
      <c r="A24" s="6"/>
      <c r="B24" s="7"/>
      <c r="C24" s="7"/>
      <c r="D24" s="7"/>
      <c r="E24" s="7"/>
      <c r="F24" s="7"/>
      <c r="G24" s="7"/>
      <c r="H24" s="7"/>
      <c r="I24" s="7"/>
      <c r="J24" s="8"/>
    </row>
    <row r="25" spans="1:10" x14ac:dyDescent="0.2">
      <c r="A25" s="6"/>
      <c r="B25" s="7"/>
      <c r="C25" s="7"/>
      <c r="D25" s="7"/>
      <c r="E25" s="7"/>
      <c r="F25" s="7"/>
      <c r="G25" s="7"/>
      <c r="H25" s="7"/>
      <c r="I25" s="7"/>
      <c r="J25" s="8"/>
    </row>
    <row r="26" spans="1:10" x14ac:dyDescent="0.2">
      <c r="A26" s="6"/>
      <c r="B26" s="7"/>
      <c r="C26" s="7"/>
      <c r="D26" s="7"/>
      <c r="E26" s="7"/>
      <c r="F26" s="7"/>
      <c r="G26" s="7"/>
      <c r="H26" s="7"/>
      <c r="I26" s="7"/>
      <c r="J26" s="8"/>
    </row>
    <row r="27" spans="1:10" x14ac:dyDescent="0.2">
      <c r="A27" s="6"/>
      <c r="B27" s="7"/>
      <c r="C27" s="7"/>
      <c r="D27" s="7"/>
      <c r="E27" s="7"/>
      <c r="F27" s="7"/>
      <c r="G27" s="7"/>
      <c r="H27" s="7"/>
      <c r="I27" s="7"/>
      <c r="J27" s="8"/>
    </row>
    <row r="28" spans="1:10" x14ac:dyDescent="0.2">
      <c r="A28" s="6"/>
      <c r="B28" s="7"/>
      <c r="C28" s="7"/>
      <c r="D28" s="7"/>
      <c r="E28" s="7"/>
      <c r="F28" s="7"/>
      <c r="G28" s="7"/>
      <c r="H28" s="7"/>
      <c r="I28" s="7"/>
      <c r="J28" s="8"/>
    </row>
    <row r="29" spans="1:10" x14ac:dyDescent="0.2">
      <c r="A29" s="6"/>
      <c r="B29" s="7"/>
      <c r="C29" s="7"/>
      <c r="D29" s="7"/>
      <c r="E29" s="7"/>
      <c r="F29" s="7"/>
      <c r="G29" s="7"/>
      <c r="H29" s="7"/>
      <c r="I29" s="7"/>
      <c r="J29" s="8"/>
    </row>
    <row r="30" spans="1:10" x14ac:dyDescent="0.2">
      <c r="A30" s="6"/>
      <c r="B30" s="7"/>
      <c r="C30" s="7"/>
      <c r="D30" s="7"/>
      <c r="E30" s="7"/>
      <c r="F30" s="7"/>
      <c r="G30" s="7"/>
      <c r="H30" s="7"/>
      <c r="I30" s="7"/>
      <c r="J30" s="8"/>
    </row>
    <row r="31" spans="1:10" ht="12.75" thickBot="1" x14ac:dyDescent="0.25">
      <c r="A31" s="9"/>
      <c r="B31" s="10"/>
      <c r="C31" s="10"/>
      <c r="D31" s="10"/>
      <c r="E31" s="10"/>
      <c r="F31" s="10"/>
      <c r="G31" s="10"/>
      <c r="H31" s="10"/>
      <c r="I31" s="10"/>
      <c r="J31" s="11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V48"/>
  <sheetViews>
    <sheetView showGridLines="0" topLeftCell="A4" workbookViewId="0">
      <selection activeCell="A15" sqref="A15"/>
    </sheetView>
  </sheetViews>
  <sheetFormatPr baseColWidth="10" defaultColWidth="12" defaultRowHeight="12" x14ac:dyDescent="0.2"/>
  <cols>
    <col min="1" max="1" width="126" style="2" bestFit="1" customWidth="1"/>
    <col min="2" max="2" width="12.1640625" style="2" customWidth="1"/>
    <col min="3" max="3" width="26.1640625" style="2" customWidth="1"/>
    <col min="4" max="4" width="40.83203125" style="2" bestFit="1" customWidth="1"/>
    <col min="5" max="16384" width="12" style="2"/>
  </cols>
  <sheetData>
    <row r="1" spans="1:22" x14ac:dyDescent="0.2">
      <c r="A1" s="2" t="s">
        <v>0</v>
      </c>
      <c r="B1" s="2" t="s">
        <v>1</v>
      </c>
      <c r="C1" s="2" t="s">
        <v>2</v>
      </c>
      <c r="D1" s="2" t="s">
        <v>3</v>
      </c>
      <c r="V1" s="14" t="b">
        <v>0</v>
      </c>
    </row>
    <row r="2" spans="1:22" x14ac:dyDescent="0.2">
      <c r="A2" s="1" t="s">
        <v>64</v>
      </c>
      <c r="B2" s="2" t="s">
        <v>102</v>
      </c>
      <c r="C2" s="2" t="s">
        <v>103</v>
      </c>
      <c r="D2" s="2" t="s">
        <v>103</v>
      </c>
    </row>
    <row r="3" spans="1:22" x14ac:dyDescent="0.2">
      <c r="A3" s="1" t="s">
        <v>65</v>
      </c>
      <c r="B3" s="2" t="s">
        <v>102</v>
      </c>
      <c r="C3" s="2" t="s">
        <v>104</v>
      </c>
      <c r="D3" s="2" t="s">
        <v>104</v>
      </c>
    </row>
    <row r="4" spans="1:22" x14ac:dyDescent="0.2">
      <c r="A4" s="1" t="s">
        <v>66</v>
      </c>
      <c r="B4" s="2" t="s">
        <v>102</v>
      </c>
      <c r="C4" s="2" t="s">
        <v>105</v>
      </c>
      <c r="D4" s="2" t="s">
        <v>105</v>
      </c>
    </row>
    <row r="5" spans="1:22" x14ac:dyDescent="0.2">
      <c r="A5" s="1" t="s">
        <v>67</v>
      </c>
      <c r="B5" s="2" t="s">
        <v>102</v>
      </c>
      <c r="C5" s="2" t="s">
        <v>106</v>
      </c>
      <c r="D5" s="2" t="s">
        <v>106</v>
      </c>
    </row>
    <row r="6" spans="1:22" x14ac:dyDescent="0.2">
      <c r="A6" s="1" t="s">
        <v>68</v>
      </c>
      <c r="B6" s="2" t="s">
        <v>102</v>
      </c>
      <c r="C6" s="2" t="s">
        <v>107</v>
      </c>
      <c r="D6" s="2" t="s">
        <v>107</v>
      </c>
    </row>
    <row r="7" spans="1:22" x14ac:dyDescent="0.2">
      <c r="A7" s="1" t="s">
        <v>69</v>
      </c>
      <c r="B7" s="2" t="s">
        <v>102</v>
      </c>
      <c r="C7" s="2" t="s">
        <v>108</v>
      </c>
      <c r="D7" s="2" t="s">
        <v>108</v>
      </c>
    </row>
    <row r="8" spans="1:22" x14ac:dyDescent="0.2">
      <c r="A8" s="1" t="s">
        <v>70</v>
      </c>
      <c r="B8" s="2" t="s">
        <v>102</v>
      </c>
      <c r="C8" s="2" t="s">
        <v>109</v>
      </c>
      <c r="D8" s="2" t="s">
        <v>109</v>
      </c>
    </row>
    <row r="9" spans="1:22" x14ac:dyDescent="0.2">
      <c r="A9" s="1" t="s">
        <v>71</v>
      </c>
      <c r="B9" s="2" t="s">
        <v>102</v>
      </c>
      <c r="C9" s="2" t="s">
        <v>110</v>
      </c>
      <c r="D9" s="2" t="s">
        <v>110</v>
      </c>
    </row>
    <row r="10" spans="1:22" x14ac:dyDescent="0.2">
      <c r="A10" s="1" t="s">
        <v>72</v>
      </c>
      <c r="B10" s="2" t="s">
        <v>102</v>
      </c>
      <c r="C10" s="2" t="s">
        <v>111</v>
      </c>
      <c r="D10" s="2" t="s">
        <v>111</v>
      </c>
    </row>
    <row r="11" spans="1:22" x14ac:dyDescent="0.2">
      <c r="A11" s="1" t="s">
        <v>73</v>
      </c>
      <c r="B11" s="2" t="s">
        <v>102</v>
      </c>
      <c r="C11" s="2" t="s">
        <v>112</v>
      </c>
      <c r="D11" s="2" t="s">
        <v>112</v>
      </c>
    </row>
    <row r="12" spans="1:22" x14ac:dyDescent="0.2">
      <c r="A12" s="1" t="s">
        <v>74</v>
      </c>
      <c r="B12" s="2" t="s">
        <v>113</v>
      </c>
      <c r="C12" s="2" t="s">
        <v>114</v>
      </c>
      <c r="D12" s="2" t="s">
        <v>114</v>
      </c>
    </row>
    <row r="13" spans="1:22" x14ac:dyDescent="0.2">
      <c r="A13" s="1" t="s">
        <v>75</v>
      </c>
      <c r="B13" s="2" t="s">
        <v>113</v>
      </c>
      <c r="C13" s="2" t="s">
        <v>115</v>
      </c>
      <c r="D13" s="2" t="s">
        <v>115</v>
      </c>
    </row>
    <row r="14" spans="1:22" x14ac:dyDescent="0.2">
      <c r="A14" s="1" t="s">
        <v>76</v>
      </c>
      <c r="B14" s="2" t="s">
        <v>113</v>
      </c>
      <c r="C14" s="2" t="s">
        <v>116</v>
      </c>
      <c r="D14" s="2" t="s">
        <v>116</v>
      </c>
    </row>
    <row r="15" spans="1:22" x14ac:dyDescent="0.2">
      <c r="A15" s="1" t="s">
        <v>77</v>
      </c>
      <c r="B15" s="2" t="s">
        <v>113</v>
      </c>
      <c r="C15" s="2" t="s">
        <v>117</v>
      </c>
      <c r="D15" s="2" t="s">
        <v>117</v>
      </c>
    </row>
    <row r="16" spans="1:22" x14ac:dyDescent="0.2">
      <c r="A16" s="1" t="s">
        <v>78</v>
      </c>
      <c r="B16" s="2" t="s">
        <v>113</v>
      </c>
      <c r="C16" s="2" t="s">
        <v>118</v>
      </c>
      <c r="D16" s="2" t="s">
        <v>118</v>
      </c>
    </row>
    <row r="17" spans="1:4" x14ac:dyDescent="0.2">
      <c r="A17" s="1" t="s">
        <v>79</v>
      </c>
      <c r="B17" s="2" t="s">
        <v>113</v>
      </c>
      <c r="C17" s="2" t="s">
        <v>119</v>
      </c>
      <c r="D17" s="2" t="s">
        <v>119</v>
      </c>
    </row>
    <row r="18" spans="1:4" x14ac:dyDescent="0.2">
      <c r="A18" s="1" t="s">
        <v>80</v>
      </c>
      <c r="B18" s="2" t="s">
        <v>120</v>
      </c>
      <c r="C18" s="2" t="s">
        <v>121</v>
      </c>
      <c r="D18" s="2" t="s">
        <v>121</v>
      </c>
    </row>
    <row r="19" spans="1:4" x14ac:dyDescent="0.2">
      <c r="A19" s="1" t="s">
        <v>81</v>
      </c>
      <c r="B19" s="2" t="s">
        <v>120</v>
      </c>
      <c r="C19" s="2" t="s">
        <v>122</v>
      </c>
      <c r="D19" s="2" t="s">
        <v>122</v>
      </c>
    </row>
    <row r="20" spans="1:4" x14ac:dyDescent="0.2">
      <c r="A20" s="1" t="s">
        <v>1212</v>
      </c>
      <c r="B20" s="2" t="s">
        <v>120</v>
      </c>
      <c r="C20" s="2" t="s">
        <v>1320</v>
      </c>
      <c r="D20" s="2" t="s">
        <v>1320</v>
      </c>
    </row>
    <row r="21" spans="1:4" x14ac:dyDescent="0.2">
      <c r="A21" s="1" t="s">
        <v>82</v>
      </c>
      <c r="B21" s="2" t="s">
        <v>120</v>
      </c>
      <c r="C21" s="2" t="s">
        <v>123</v>
      </c>
      <c r="D21" s="2" t="s">
        <v>123</v>
      </c>
    </row>
    <row r="22" spans="1:4" x14ac:dyDescent="0.2">
      <c r="A22" s="1" t="s">
        <v>83</v>
      </c>
      <c r="B22" s="2" t="s">
        <v>120</v>
      </c>
      <c r="C22" s="2" t="s">
        <v>124</v>
      </c>
      <c r="D22" s="2" t="s">
        <v>124</v>
      </c>
    </row>
    <row r="23" spans="1:4" x14ac:dyDescent="0.2">
      <c r="A23" s="1" t="s">
        <v>84</v>
      </c>
      <c r="B23" s="2" t="s">
        <v>120</v>
      </c>
      <c r="C23" s="2" t="s">
        <v>125</v>
      </c>
      <c r="D23" s="2" t="s">
        <v>125</v>
      </c>
    </row>
    <row r="24" spans="1:4" x14ac:dyDescent="0.2">
      <c r="A24" s="1" t="s">
        <v>85</v>
      </c>
      <c r="B24" s="2" t="s">
        <v>120</v>
      </c>
      <c r="C24" s="2" t="s">
        <v>126</v>
      </c>
      <c r="D24" s="2" t="s">
        <v>126</v>
      </c>
    </row>
    <row r="25" spans="1:4" x14ac:dyDescent="0.2">
      <c r="A25" s="1" t="s">
        <v>86</v>
      </c>
      <c r="B25" s="2" t="s">
        <v>127</v>
      </c>
      <c r="C25" s="2" t="s">
        <v>128</v>
      </c>
      <c r="D25" s="2" t="s">
        <v>128</v>
      </c>
    </row>
    <row r="26" spans="1:4" x14ac:dyDescent="0.2">
      <c r="A26" s="1" t="s">
        <v>87</v>
      </c>
      <c r="B26" s="2" t="s">
        <v>127</v>
      </c>
      <c r="C26" s="2" t="s">
        <v>129</v>
      </c>
      <c r="D26" s="2" t="s">
        <v>129</v>
      </c>
    </row>
    <row r="27" spans="1:4" x14ac:dyDescent="0.2">
      <c r="A27" s="1" t="s">
        <v>88</v>
      </c>
      <c r="B27" s="2" t="s">
        <v>127</v>
      </c>
      <c r="C27" s="2" t="s">
        <v>130</v>
      </c>
      <c r="D27" s="2" t="s">
        <v>130</v>
      </c>
    </row>
    <row r="28" spans="1:4" x14ac:dyDescent="0.2">
      <c r="A28" s="1" t="s">
        <v>89</v>
      </c>
      <c r="B28" s="2" t="s">
        <v>127</v>
      </c>
      <c r="C28" s="2" t="s">
        <v>131</v>
      </c>
      <c r="D28" s="2" t="s">
        <v>131</v>
      </c>
    </row>
    <row r="29" spans="1:4" x14ac:dyDescent="0.2">
      <c r="A29" s="1" t="s">
        <v>90</v>
      </c>
      <c r="B29" s="2" t="s">
        <v>132</v>
      </c>
      <c r="C29" s="2" t="s">
        <v>133</v>
      </c>
      <c r="D29" s="2" t="s">
        <v>133</v>
      </c>
    </row>
    <row r="30" spans="1:4" x14ac:dyDescent="0.2">
      <c r="A30" s="1" t="s">
        <v>91</v>
      </c>
      <c r="B30" s="2" t="s">
        <v>132</v>
      </c>
      <c r="C30" s="2" t="s">
        <v>134</v>
      </c>
      <c r="D30" s="2" t="s">
        <v>134</v>
      </c>
    </row>
    <row r="31" spans="1:4" x14ac:dyDescent="0.2">
      <c r="A31" s="1" t="s">
        <v>92</v>
      </c>
      <c r="B31" s="2" t="s">
        <v>135</v>
      </c>
      <c r="C31" s="2" t="s">
        <v>136</v>
      </c>
      <c r="D31" s="2" t="s">
        <v>136</v>
      </c>
    </row>
    <row r="32" spans="1:4" x14ac:dyDescent="0.2">
      <c r="A32" s="1" t="s">
        <v>93</v>
      </c>
      <c r="B32" s="2" t="s">
        <v>137</v>
      </c>
      <c r="C32" s="2" t="s">
        <v>138</v>
      </c>
      <c r="D32" s="2" t="s">
        <v>138</v>
      </c>
    </row>
    <row r="33" spans="1:4" x14ac:dyDescent="0.2">
      <c r="A33" s="1" t="s">
        <v>94</v>
      </c>
      <c r="B33" s="2" t="s">
        <v>137</v>
      </c>
      <c r="C33" s="2" t="s">
        <v>139</v>
      </c>
      <c r="D33" s="2" t="s">
        <v>139</v>
      </c>
    </row>
    <row r="34" spans="1:4" x14ac:dyDescent="0.2">
      <c r="A34" s="1" t="s">
        <v>95</v>
      </c>
      <c r="B34" s="2" t="s">
        <v>137</v>
      </c>
      <c r="C34" s="2" t="s">
        <v>140</v>
      </c>
      <c r="D34" s="2" t="s">
        <v>140</v>
      </c>
    </row>
    <row r="35" spans="1:4" x14ac:dyDescent="0.2">
      <c r="A35" s="1" t="s">
        <v>96</v>
      </c>
      <c r="B35" s="2" t="s">
        <v>141</v>
      </c>
      <c r="C35" s="2" t="s">
        <v>142</v>
      </c>
      <c r="D35" s="2" t="s">
        <v>142</v>
      </c>
    </row>
    <row r="36" spans="1:4" x14ac:dyDescent="0.2">
      <c r="A36" s="2" t="s">
        <v>97</v>
      </c>
      <c r="B36" s="2" t="s">
        <v>141</v>
      </c>
      <c r="C36" s="2" t="s">
        <v>143</v>
      </c>
      <c r="D36" s="2" t="s">
        <v>143</v>
      </c>
    </row>
    <row r="37" spans="1:4" x14ac:dyDescent="0.2">
      <c r="A37" s="2" t="s">
        <v>98</v>
      </c>
      <c r="B37" s="2" t="s">
        <v>141</v>
      </c>
      <c r="C37" s="2" t="s">
        <v>144</v>
      </c>
      <c r="D37" s="2" t="s">
        <v>144</v>
      </c>
    </row>
    <row r="38" spans="1:4" x14ac:dyDescent="0.2">
      <c r="A38" s="2" t="s">
        <v>99</v>
      </c>
      <c r="B38" s="2" t="s">
        <v>141</v>
      </c>
      <c r="C38" s="2" t="s">
        <v>145</v>
      </c>
      <c r="D38" s="2" t="s">
        <v>145</v>
      </c>
    </row>
    <row r="39" spans="1:4" x14ac:dyDescent="0.2">
      <c r="A39" s="2" t="s">
        <v>100</v>
      </c>
      <c r="B39" s="2" t="s">
        <v>141</v>
      </c>
      <c r="C39" s="2" t="s">
        <v>146</v>
      </c>
      <c r="D39" s="2" t="s">
        <v>146</v>
      </c>
    </row>
    <row r="40" spans="1:4" x14ac:dyDescent="0.2">
      <c r="A40" s="2" t="s">
        <v>101</v>
      </c>
      <c r="B40" s="2" t="s">
        <v>147</v>
      </c>
      <c r="C40" s="2" t="s">
        <v>148</v>
      </c>
      <c r="D40" s="2" t="s">
        <v>148</v>
      </c>
    </row>
    <row r="43" spans="1:4" x14ac:dyDescent="0.2">
      <c r="A43" s="1"/>
    </row>
    <row r="45" spans="1:4" x14ac:dyDescent="0.2">
      <c r="A45" s="1"/>
    </row>
    <row r="46" spans="1:4" x14ac:dyDescent="0.2">
      <c r="A46" s="1"/>
    </row>
    <row r="47" spans="1:4" x14ac:dyDescent="0.2">
      <c r="A47" s="1"/>
    </row>
    <row r="48" spans="1:4" x14ac:dyDescent="0.2">
      <c r="A48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6</xdr:col>
                    <xdr:colOff>47625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7"/>
  <dimension ref="A2:CA334"/>
  <sheetViews>
    <sheetView showGridLines="0" tabSelected="1" zoomScale="70" zoomScaleNormal="70" workbookViewId="0">
      <selection activeCell="CB1" sqref="CB1:CC1048576"/>
    </sheetView>
  </sheetViews>
  <sheetFormatPr baseColWidth="10" defaultColWidth="9.1640625" defaultRowHeight="12" x14ac:dyDescent="0.2"/>
  <cols>
    <col min="1" max="3" width="36" style="40" customWidth="1"/>
    <col min="4" max="4" width="17.83203125" style="37" customWidth="1"/>
    <col min="5" max="6" width="36" style="37" customWidth="1"/>
    <col min="7" max="9" width="17.83203125" style="36" customWidth="1"/>
    <col min="10" max="10" width="11.1640625" style="36" customWidth="1"/>
    <col min="11" max="11" width="0.5" style="36" customWidth="1"/>
    <col min="12" max="12" width="17.83203125" style="36" customWidth="1"/>
    <col min="13" max="13" width="11.1640625" style="36" customWidth="1"/>
    <col min="14" max="14" width="0.5" style="36" customWidth="1"/>
    <col min="15" max="62" width="17.83203125" style="36" customWidth="1"/>
    <col min="63" max="64" width="17" style="36" bestFit="1" customWidth="1"/>
    <col min="65" max="65" width="10.33203125" style="36" bestFit="1" customWidth="1"/>
    <col min="66" max="66" width="12.83203125" style="36" bestFit="1" customWidth="1"/>
    <col min="67" max="67" width="13.33203125" style="36" bestFit="1" customWidth="1"/>
    <col min="68" max="68" width="14" style="36" bestFit="1" customWidth="1"/>
    <col min="69" max="69" width="12.5" style="36" bestFit="1" customWidth="1"/>
    <col min="70" max="70" width="18.6640625" style="36" bestFit="1" customWidth="1"/>
    <col min="71" max="71" width="9.1640625" style="36" bestFit="1" customWidth="1"/>
    <col min="72" max="72" width="8.6640625" style="36" bestFit="1" customWidth="1"/>
    <col min="73" max="73" width="14.6640625" style="36" bestFit="1" customWidth="1"/>
    <col min="74" max="74" width="8.5" style="36" bestFit="1" customWidth="1"/>
    <col min="75" max="75" width="9.1640625" style="36" bestFit="1" customWidth="1"/>
    <col min="76" max="76" width="20" style="36" bestFit="1" customWidth="1"/>
    <col min="77" max="77" width="12.5" style="36" bestFit="1" customWidth="1"/>
    <col min="78" max="78" width="13.6640625" style="36" bestFit="1" customWidth="1"/>
    <col min="79" max="79" width="15.5" style="36" bestFit="1" customWidth="1"/>
    <col min="80" max="16384" width="9.1640625" style="36"/>
  </cols>
  <sheetData>
    <row r="2" spans="1:79" ht="18.75" x14ac:dyDescent="0.3">
      <c r="D2" s="38" t="s">
        <v>592</v>
      </c>
      <c r="E2" s="38"/>
      <c r="F2" s="38"/>
      <c r="G2" s="43" t="s">
        <v>592</v>
      </c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</row>
    <row r="3" spans="1:79" ht="18.75" x14ac:dyDescent="0.3">
      <c r="D3" s="38"/>
      <c r="E3" s="38"/>
      <c r="F3" s="38"/>
      <c r="G3" s="43" t="s">
        <v>580</v>
      </c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</row>
    <row r="4" spans="1:79" ht="34.5" customHeight="1" x14ac:dyDescent="0.2">
      <c r="AP4" s="16"/>
      <c r="AQ4" s="16">
        <f>ROUND(SUBTOTAL(9,$AQ$10:$AQ$332),2)</f>
        <v>2</v>
      </c>
      <c r="AR4" s="16">
        <f>ROUND(SUBTOTAL(9,$AR$10:$AR$332),2)</f>
        <v>122</v>
      </c>
      <c r="AS4" s="16">
        <f>ROUND(SUBTOTAL(9,$AS$10:$AS$332),2)</f>
        <v>112</v>
      </c>
      <c r="AT4" s="16">
        <f>ROUND(SUBTOTAL(9,$AT$10:$AT$332),2)</f>
        <v>26</v>
      </c>
      <c r="AU4" s="16">
        <f>ROUND(SUBTOTAL(9,$AU$10:$AU$332),2)</f>
        <v>440</v>
      </c>
      <c r="AV4" s="16"/>
      <c r="AW4" s="16">
        <f>ROUND(SUBTOTAL(9,$AW$10:$AW$332),2)</f>
        <v>42</v>
      </c>
      <c r="AX4" s="16">
        <f>ROUND(SUBTOTAL(9,$AX$10:$AX$332),2)</f>
        <v>0</v>
      </c>
      <c r="AY4" s="16">
        <f>ROUND(SUBTOTAL(9,$AY$10:$AY$332),2)</f>
        <v>0</v>
      </c>
      <c r="AZ4" s="16">
        <f>ROUND(SUBTOTAL(9,$AZ$10:$AZ$332),2)</f>
        <v>35</v>
      </c>
      <c r="BA4" s="16">
        <f>ROUND(SUBTOTAL(9,$BA$10:$BA$332),2)</f>
        <v>25</v>
      </c>
      <c r="BB4" s="16">
        <f>ROUND(SUBTOTAL(9,$BB$10:$BB$332),2)</f>
        <v>19</v>
      </c>
      <c r="BC4" s="16">
        <f>ROUND(SUBTOTAL(9,$BC$10:$BC$332),2)</f>
        <v>0</v>
      </c>
      <c r="BD4" s="16">
        <f>ROUND(SUBTOTAL(9,$BD$10:$BD$332),2)</f>
        <v>34</v>
      </c>
      <c r="BE4" s="16">
        <f>ROUND(SUBTOTAL(9,$BE$10:$BE$332),2)</f>
        <v>25</v>
      </c>
      <c r="BF4" s="16">
        <f>ROUND(SUBTOTAL(9,$BF$10:$BF$332),2)</f>
        <v>0</v>
      </c>
      <c r="BG4" s="16">
        <f>ROUND(SUBTOTAL(9,$BG$10:$BG$332),2)</f>
        <v>0</v>
      </c>
      <c r="BH4" s="16">
        <f>ROUND(SUBTOTAL(9,$BH$10:$BH$332),2)</f>
        <v>48</v>
      </c>
      <c r="BI4" s="16">
        <f>ROUND(SUBTOTAL(9,$BI$10:$BI$332),2)</f>
        <v>0</v>
      </c>
      <c r="BJ4" s="16">
        <f>ROUND(SUBTOTAL(9,$BJ$10:$BJ$332),2)</f>
        <v>0</v>
      </c>
      <c r="BK4" s="15">
        <f>ROUND(SUBTOTAL(9,$BK$10:$BK$332),2)</f>
        <v>2687.32</v>
      </c>
      <c r="BL4" s="15">
        <f>ROUND(SUBTOTAL(9,$BL$10:$BL$332),2)</f>
        <v>1626.55</v>
      </c>
      <c r="BM4" s="15">
        <f>ROUND(SUBTOTAL(9,$BM$10:$BM$332),2)</f>
        <v>0</v>
      </c>
      <c r="BN4" s="15">
        <f>ROUND(SUBTOTAL(9,$BN$10:$BN$332),2)</f>
        <v>274.3</v>
      </c>
      <c r="BO4" s="15">
        <f>ROUND(SUBTOTAL(9,$BO$10:$BO$332),2)</f>
        <v>0</v>
      </c>
      <c r="BP4" s="15">
        <f>ROUND(SUBTOTAL(9,$BP$10:$BP$332),2)</f>
        <v>5</v>
      </c>
      <c r="BQ4" s="15">
        <f>ROUND(SUBTOTAL(9,$BQ$10:$BQ$332),2)</f>
        <v>10</v>
      </c>
      <c r="BR4" s="15">
        <f>ROUND(SUBTOTAL(9,$BR$10:$BR$332),2)</f>
        <v>27</v>
      </c>
      <c r="BS4" s="17">
        <f>ROUND(SUBTOTAL(9,$BS$10:$BS$332),2)</f>
        <v>43</v>
      </c>
      <c r="BT4" s="17">
        <f>ROUND(SUBTOTAL(9,$BT$10:$BT$332),2)</f>
        <v>48</v>
      </c>
      <c r="BU4" s="17">
        <f>ROUND(SUBTOTAL(9,$BU$10:$BU$332),2)</f>
        <v>11</v>
      </c>
      <c r="BV4" s="17">
        <f>ROUND(SUBTOTAL(9,$BV$10:$BV$332),2)</f>
        <v>16</v>
      </c>
      <c r="BW4" s="17">
        <f>ROUND(SUBTOTAL(9,$BW$10:$BW$332),2)</f>
        <v>0</v>
      </c>
      <c r="BX4" s="17">
        <f>ROUND(SUBTOTAL(9,$BX$10:$BX$332),2)</f>
        <v>0</v>
      </c>
      <c r="BY4" s="21">
        <f>ROUND(SUBTOTAL(9,$BY$10:$BY$332),2)</f>
        <v>26</v>
      </c>
      <c r="BZ4" s="21">
        <f>ROUND(SUBTOTAL(9,$BZ$10:$BZ$332),2)</f>
        <v>0</v>
      </c>
      <c r="CA4" s="21">
        <f>ROUND(SUBTOTAL(9,$CA$10:$CA$332),2)</f>
        <v>0</v>
      </c>
    </row>
    <row r="5" spans="1:79" ht="26.25" customHeight="1" x14ac:dyDescent="0.2">
      <c r="A5" s="46" t="s">
        <v>42</v>
      </c>
      <c r="B5" s="46" t="s">
        <v>43</v>
      </c>
      <c r="C5" s="47" t="s">
        <v>20</v>
      </c>
      <c r="D5" s="42" t="s">
        <v>13</v>
      </c>
      <c r="E5" s="42" t="s">
        <v>14</v>
      </c>
      <c r="F5" s="42" t="s">
        <v>15</v>
      </c>
      <c r="G5" s="42" t="s">
        <v>16</v>
      </c>
      <c r="H5" s="42" t="s">
        <v>17</v>
      </c>
      <c r="I5" s="42" t="s">
        <v>18</v>
      </c>
      <c r="J5" s="42" t="s">
        <v>19</v>
      </c>
      <c r="K5" s="42" t="s">
        <v>20</v>
      </c>
      <c r="L5" s="45" t="s">
        <v>1127</v>
      </c>
      <c r="M5" s="45" t="s">
        <v>1127</v>
      </c>
      <c r="N5" s="45" t="s">
        <v>1127</v>
      </c>
      <c r="O5" s="45" t="s">
        <v>1128</v>
      </c>
      <c r="P5" s="45" t="s">
        <v>1128</v>
      </c>
      <c r="Q5" s="45" t="s">
        <v>1128</v>
      </c>
      <c r="R5" s="45" t="s">
        <v>1128</v>
      </c>
      <c r="S5" s="45" t="s">
        <v>1128</v>
      </c>
      <c r="T5" s="45" t="s">
        <v>1128</v>
      </c>
      <c r="U5" s="45" t="s">
        <v>1128</v>
      </c>
      <c r="V5" s="45" t="s">
        <v>1129</v>
      </c>
      <c r="W5" s="45" t="s">
        <v>1129</v>
      </c>
      <c r="X5" s="45" t="s">
        <v>1129</v>
      </c>
      <c r="Y5" s="45" t="s">
        <v>1129</v>
      </c>
      <c r="Z5" s="45" t="s">
        <v>1129</v>
      </c>
      <c r="AA5" s="45" t="s">
        <v>1129</v>
      </c>
      <c r="AB5" s="45" t="s">
        <v>1129</v>
      </c>
      <c r="AC5" s="45" t="s">
        <v>1130</v>
      </c>
      <c r="AD5" s="45" t="s">
        <v>1130</v>
      </c>
      <c r="AE5" s="45" t="s">
        <v>1130</v>
      </c>
      <c r="AF5" s="45" t="s">
        <v>1130</v>
      </c>
      <c r="AG5" s="45" t="s">
        <v>1130</v>
      </c>
      <c r="AH5" s="45" t="s">
        <v>1130</v>
      </c>
      <c r="AI5" s="45" t="s">
        <v>1130</v>
      </c>
      <c r="AJ5" s="45" t="s">
        <v>1131</v>
      </c>
      <c r="AK5" s="45" t="s">
        <v>1131</v>
      </c>
      <c r="AL5" s="45" t="s">
        <v>1131</v>
      </c>
      <c r="AM5" s="45" t="s">
        <v>1131</v>
      </c>
      <c r="AN5" s="45" t="s">
        <v>1131</v>
      </c>
      <c r="AO5" s="45" t="s">
        <v>1131</v>
      </c>
      <c r="AP5" s="41" t="s">
        <v>21</v>
      </c>
      <c r="AQ5" s="41" t="s">
        <v>22</v>
      </c>
      <c r="AR5" s="41" t="s">
        <v>23</v>
      </c>
      <c r="AS5" s="41" t="s">
        <v>24</v>
      </c>
      <c r="AT5" s="41" t="s">
        <v>25</v>
      </c>
      <c r="AU5" s="41" t="s">
        <v>26</v>
      </c>
      <c r="AV5" s="41" t="s">
        <v>27</v>
      </c>
      <c r="AW5" s="41" t="s">
        <v>28</v>
      </c>
      <c r="AX5" s="41" t="s">
        <v>29</v>
      </c>
      <c r="AY5" s="41" t="s">
        <v>30</v>
      </c>
      <c r="AZ5" s="41" t="s">
        <v>31</v>
      </c>
      <c r="BA5" s="41" t="s">
        <v>32</v>
      </c>
      <c r="BB5" s="41" t="s">
        <v>33</v>
      </c>
      <c r="BC5" s="41" t="s">
        <v>34</v>
      </c>
      <c r="BD5" s="41" t="s">
        <v>35</v>
      </c>
      <c r="BE5" s="41" t="s">
        <v>36</v>
      </c>
      <c r="BF5" s="41" t="s">
        <v>37</v>
      </c>
      <c r="BG5" s="41" t="s">
        <v>38</v>
      </c>
      <c r="BH5" s="41" t="s">
        <v>39</v>
      </c>
      <c r="BI5" s="41" t="s">
        <v>40</v>
      </c>
      <c r="BJ5" s="41" t="s">
        <v>41</v>
      </c>
      <c r="BK5" s="48" t="s">
        <v>44</v>
      </c>
      <c r="BL5" s="48" t="s">
        <v>45</v>
      </c>
      <c r="BM5" s="48" t="s">
        <v>46</v>
      </c>
      <c r="BN5" s="48" t="s">
        <v>47</v>
      </c>
      <c r="BO5" s="48" t="s">
        <v>48</v>
      </c>
      <c r="BP5" s="48" t="s">
        <v>49</v>
      </c>
      <c r="BQ5" s="48" t="s">
        <v>50</v>
      </c>
      <c r="BR5" s="48" t="s">
        <v>51</v>
      </c>
      <c r="BS5" s="50" t="s">
        <v>55</v>
      </c>
      <c r="BT5" s="50" t="s">
        <v>56</v>
      </c>
      <c r="BU5" s="50" t="s">
        <v>57</v>
      </c>
      <c r="BV5" s="50" t="s">
        <v>58</v>
      </c>
      <c r="BW5" s="50" t="s">
        <v>59</v>
      </c>
      <c r="BX5" s="50" t="s">
        <v>60</v>
      </c>
      <c r="BY5" s="49" t="s">
        <v>61</v>
      </c>
      <c r="BZ5" s="49" t="s">
        <v>62</v>
      </c>
      <c r="CA5" s="49" t="s">
        <v>63</v>
      </c>
    </row>
    <row r="6" spans="1:79" ht="75" x14ac:dyDescent="0.2">
      <c r="A6" s="46"/>
      <c r="B6" s="46"/>
      <c r="C6" s="47"/>
      <c r="D6" s="42"/>
      <c r="E6" s="42"/>
      <c r="F6" s="42"/>
      <c r="G6" s="42"/>
      <c r="H6" s="42"/>
      <c r="I6" s="42"/>
      <c r="J6" s="42"/>
      <c r="K6" s="42"/>
      <c r="L6" s="39" t="s">
        <v>1132</v>
      </c>
      <c r="M6" s="39" t="s">
        <v>1133</v>
      </c>
      <c r="N6" s="39" t="s">
        <v>1134</v>
      </c>
      <c r="O6" s="39" t="s">
        <v>1135</v>
      </c>
      <c r="P6" s="39" t="s">
        <v>1136</v>
      </c>
      <c r="Q6" s="39" t="s">
        <v>1137</v>
      </c>
      <c r="R6" s="39" t="s">
        <v>1138</v>
      </c>
      <c r="S6" s="39" t="s">
        <v>1139</v>
      </c>
      <c r="T6" s="39" t="s">
        <v>1140</v>
      </c>
      <c r="U6" s="39" t="s">
        <v>1141</v>
      </c>
      <c r="V6" s="39" t="s">
        <v>1142</v>
      </c>
      <c r="W6" s="39" t="s">
        <v>1143</v>
      </c>
      <c r="X6" s="39" t="s">
        <v>1144</v>
      </c>
      <c r="Y6" s="39" t="s">
        <v>1145</v>
      </c>
      <c r="Z6" s="39" t="s">
        <v>1146</v>
      </c>
      <c r="AA6" s="39" t="s">
        <v>1147</v>
      </c>
      <c r="AB6" s="39" t="s">
        <v>1148</v>
      </c>
      <c r="AC6" s="39" t="s">
        <v>1149</v>
      </c>
      <c r="AD6" s="39" t="s">
        <v>1150</v>
      </c>
      <c r="AE6" s="39" t="s">
        <v>1151</v>
      </c>
      <c r="AF6" s="39" t="s">
        <v>1152</v>
      </c>
      <c r="AG6" s="39" t="s">
        <v>1153</v>
      </c>
      <c r="AH6" s="39" t="s">
        <v>1154</v>
      </c>
      <c r="AI6" s="39" t="s">
        <v>1155</v>
      </c>
      <c r="AJ6" s="39" t="s">
        <v>1156</v>
      </c>
      <c r="AK6" s="39" t="s">
        <v>1157</v>
      </c>
      <c r="AL6" s="39" t="s">
        <v>1158</v>
      </c>
      <c r="AM6" s="39" t="s">
        <v>1159</v>
      </c>
      <c r="AN6" s="39" t="s">
        <v>1160</v>
      </c>
      <c r="AO6" s="39" t="s">
        <v>1161</v>
      </c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8"/>
      <c r="BL6" s="48"/>
      <c r="BM6" s="48"/>
      <c r="BN6" s="48"/>
      <c r="BO6" s="48"/>
      <c r="BP6" s="48"/>
      <c r="BQ6" s="48"/>
      <c r="BR6" s="48"/>
      <c r="BS6" s="51"/>
      <c r="BT6" s="51"/>
      <c r="BU6" s="51"/>
      <c r="BV6" s="51"/>
      <c r="BW6" s="51"/>
      <c r="BX6" s="51"/>
      <c r="BY6" s="49"/>
      <c r="BZ6" s="49"/>
      <c r="CA6" s="49"/>
    </row>
    <row r="7" spans="1:79" ht="15" x14ac:dyDescent="0.25">
      <c r="A7" s="46"/>
      <c r="B7" s="46"/>
      <c r="C7" s="47"/>
      <c r="D7" s="42"/>
      <c r="E7" s="42"/>
      <c r="F7" s="42"/>
      <c r="G7" s="42"/>
      <c r="H7" s="42"/>
      <c r="I7" s="42"/>
      <c r="J7" s="42"/>
      <c r="K7" s="42"/>
      <c r="L7" s="18"/>
      <c r="M7" s="18"/>
      <c r="N7" s="18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8"/>
      <c r="BL7" s="48"/>
      <c r="BM7" s="48"/>
      <c r="BN7" s="48"/>
      <c r="BO7" s="48"/>
      <c r="BP7" s="48"/>
      <c r="BQ7" s="48"/>
      <c r="BR7" s="48"/>
      <c r="BS7" s="51"/>
      <c r="BT7" s="51"/>
      <c r="BU7" s="51"/>
      <c r="BV7" s="51"/>
      <c r="BW7" s="51"/>
      <c r="BX7" s="51"/>
      <c r="BY7" s="49"/>
      <c r="BZ7" s="49"/>
      <c r="CA7" s="49"/>
    </row>
    <row r="8" spans="1:79" ht="15" x14ac:dyDescent="0.25">
      <c r="A8" s="46"/>
      <c r="B8" s="46"/>
      <c r="C8" s="47"/>
      <c r="D8" s="42"/>
      <c r="E8" s="42"/>
      <c r="F8" s="42"/>
      <c r="G8" s="42"/>
      <c r="H8" s="42"/>
      <c r="I8" s="42"/>
      <c r="J8" s="42"/>
      <c r="K8" s="42"/>
      <c r="L8" s="19"/>
      <c r="M8" s="19"/>
      <c r="N8" s="19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8"/>
      <c r="BL8" s="48"/>
      <c r="BM8" s="48"/>
      <c r="BN8" s="48"/>
      <c r="BO8" s="48"/>
      <c r="BP8" s="48"/>
      <c r="BQ8" s="48"/>
      <c r="BR8" s="48"/>
      <c r="BS8" s="51"/>
      <c r="BT8" s="51"/>
      <c r="BU8" s="51"/>
      <c r="BV8" s="51"/>
      <c r="BW8" s="51"/>
      <c r="BX8" s="51"/>
      <c r="BY8" s="49"/>
      <c r="BZ8" s="49"/>
      <c r="CA8" s="49"/>
    </row>
    <row r="9" spans="1:79" ht="15" x14ac:dyDescent="0.25">
      <c r="A9" s="46"/>
      <c r="B9" s="46"/>
      <c r="C9" s="47"/>
      <c r="D9" s="42"/>
      <c r="E9" s="42"/>
      <c r="F9" s="42"/>
      <c r="G9" s="42"/>
      <c r="H9" s="42"/>
      <c r="I9" s="42"/>
      <c r="J9" s="42"/>
      <c r="K9" s="42"/>
      <c r="L9" s="20"/>
      <c r="M9" s="20"/>
      <c r="N9" s="20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8"/>
      <c r="BL9" s="48"/>
      <c r="BM9" s="48"/>
      <c r="BN9" s="48"/>
      <c r="BO9" s="48"/>
      <c r="BP9" s="48"/>
      <c r="BQ9" s="48"/>
      <c r="BR9" s="48"/>
      <c r="BS9" s="52"/>
      <c r="BT9" s="52"/>
      <c r="BU9" s="52"/>
      <c r="BV9" s="52"/>
      <c r="BW9" s="52"/>
      <c r="BX9" s="52"/>
      <c r="BY9" s="49"/>
      <c r="BZ9" s="49"/>
      <c r="CA9" s="49"/>
    </row>
    <row r="10" spans="1:79" ht="16.5" x14ac:dyDescent="0.2">
      <c r="A10" s="12" t="s">
        <v>102</v>
      </c>
      <c r="B10" s="12" t="s">
        <v>103</v>
      </c>
      <c r="C10" s="12" t="s">
        <v>103</v>
      </c>
      <c r="D10" s="22" t="s">
        <v>1162</v>
      </c>
      <c r="E10" s="22" t="s">
        <v>149</v>
      </c>
      <c r="F10" s="22" t="s">
        <v>593</v>
      </c>
      <c r="G10" s="22" t="s">
        <v>594</v>
      </c>
      <c r="H10" s="22" t="s">
        <v>150</v>
      </c>
      <c r="I10" s="22" t="s">
        <v>151</v>
      </c>
      <c r="J10" s="22" t="s">
        <v>152</v>
      </c>
      <c r="K10" s="22" t="s">
        <v>64</v>
      </c>
      <c r="L10" s="54" t="s">
        <v>153</v>
      </c>
      <c r="M10" s="23" t="s">
        <v>154</v>
      </c>
      <c r="N10" s="24" t="s">
        <v>153</v>
      </c>
      <c r="O10" s="35" t="s">
        <v>170</v>
      </c>
      <c r="P10" s="35" t="s">
        <v>170</v>
      </c>
      <c r="Q10" s="26" t="s">
        <v>1163</v>
      </c>
      <c r="R10" s="25" t="s">
        <v>154</v>
      </c>
      <c r="S10" s="25" t="s">
        <v>154</v>
      </c>
      <c r="T10" s="34" t="s">
        <v>154</v>
      </c>
      <c r="U10" s="24" t="s">
        <v>153</v>
      </c>
      <c r="V10" s="54" t="s">
        <v>156</v>
      </c>
      <c r="W10" s="25" t="s">
        <v>1164</v>
      </c>
      <c r="X10" s="26" t="s">
        <v>1163</v>
      </c>
      <c r="Y10" s="26" t="s">
        <v>1163</v>
      </c>
      <c r="Z10" s="23" t="s">
        <v>157</v>
      </c>
      <c r="AA10" s="26" t="s">
        <v>1163</v>
      </c>
      <c r="AB10" s="24" t="s">
        <v>153</v>
      </c>
      <c r="AC10" s="23" t="s">
        <v>154</v>
      </c>
      <c r="AD10" s="23" t="s">
        <v>154</v>
      </c>
      <c r="AE10" s="23" t="s">
        <v>154</v>
      </c>
      <c r="AF10" s="26" t="s">
        <v>1163</v>
      </c>
      <c r="AG10" s="26" t="s">
        <v>1163</v>
      </c>
      <c r="AH10" s="24" t="s">
        <v>156</v>
      </c>
      <c r="AI10" s="24" t="s">
        <v>153</v>
      </c>
      <c r="AJ10" s="24" t="s">
        <v>156</v>
      </c>
      <c r="AK10" s="26" t="s">
        <v>1163</v>
      </c>
      <c r="AL10" s="26" t="s">
        <v>1163</v>
      </c>
      <c r="AM10" s="26" t="s">
        <v>1163</v>
      </c>
      <c r="AN10" s="26" t="s">
        <v>1163</v>
      </c>
      <c r="AO10" s="25" t="s">
        <v>157</v>
      </c>
      <c r="AP10" s="23">
        <f>VALUE(4)</f>
        <v>4</v>
      </c>
      <c r="AQ10" s="23">
        <f>VALUE(0)</f>
        <v>0</v>
      </c>
      <c r="AR10" s="23">
        <f>VALUE(0)</f>
        <v>0</v>
      </c>
      <c r="AS10" s="23">
        <f>VALUE(0)</f>
        <v>0</v>
      </c>
      <c r="AT10" s="23">
        <f>VALUE(0)</f>
        <v>0</v>
      </c>
      <c r="AU10" s="23">
        <f>VALUE(0)</f>
        <v>0</v>
      </c>
      <c r="AV10" s="23">
        <f>VALUE(10)</f>
        <v>10</v>
      </c>
      <c r="AW10" s="23">
        <f>VALUE(0)</f>
        <v>0</v>
      </c>
      <c r="AX10" s="23" t="s">
        <v>171</v>
      </c>
      <c r="AY10" s="23" t="s">
        <v>1165</v>
      </c>
      <c r="AZ10" s="23">
        <f>VALUE(0)</f>
        <v>0</v>
      </c>
      <c r="BA10" s="23">
        <f>VALUE(0)</f>
        <v>0</v>
      </c>
      <c r="BB10" s="23">
        <f>VALUE(0)</f>
        <v>0</v>
      </c>
      <c r="BC10" s="23">
        <f>VALUE(0)</f>
        <v>0</v>
      </c>
      <c r="BD10" s="23">
        <f>VALUE(1)</f>
        <v>1</v>
      </c>
      <c r="BE10" s="23">
        <f>VALUE(2)</f>
        <v>2</v>
      </c>
      <c r="BF10" s="23">
        <f>VALUE(0)</f>
        <v>0</v>
      </c>
      <c r="BG10" s="23">
        <f>VALUE(0)</f>
        <v>0</v>
      </c>
      <c r="BH10" s="23">
        <f>VALUE(0)</f>
        <v>0</v>
      </c>
      <c r="BI10" s="23">
        <f>VALUE(0)</f>
        <v>0</v>
      </c>
      <c r="BJ10" s="23">
        <f>VALUE(0)</f>
        <v>0</v>
      </c>
      <c r="BK10" s="12">
        <f>$AX$10*24</f>
        <v>5.833333333333333</v>
      </c>
      <c r="BL10" s="12">
        <f>$AY$10*24</f>
        <v>122.33333333333334</v>
      </c>
      <c r="BM10" s="12">
        <f>$BJ$10*24</f>
        <v>0</v>
      </c>
      <c r="BN10" s="12">
        <f>VALUE($I$10)/100</f>
        <v>1</v>
      </c>
      <c r="BO10" s="12">
        <v>0</v>
      </c>
      <c r="BP10" s="12">
        <v>0</v>
      </c>
      <c r="BQ10" s="12">
        <v>0</v>
      </c>
      <c r="BR10" s="12">
        <v>1</v>
      </c>
      <c r="BS10" s="12">
        <v>0</v>
      </c>
      <c r="BT10" s="12">
        <v>0</v>
      </c>
      <c r="BU10" s="12">
        <v>0</v>
      </c>
      <c r="BV10" s="12">
        <v>0</v>
      </c>
      <c r="BW10" s="12">
        <v>0</v>
      </c>
      <c r="BX10" s="12">
        <v>0</v>
      </c>
      <c r="BY10" s="12">
        <v>0</v>
      </c>
      <c r="BZ10" s="12">
        <v>0</v>
      </c>
      <c r="CA10" s="12">
        <v>0</v>
      </c>
    </row>
    <row r="11" spans="1:79" x14ac:dyDescent="0.2">
      <c r="A11" s="12" t="s">
        <v>102</v>
      </c>
      <c r="B11" s="12" t="s">
        <v>103</v>
      </c>
      <c r="C11" s="12" t="s">
        <v>103</v>
      </c>
      <c r="D11" s="22" t="s">
        <v>583</v>
      </c>
      <c r="E11" s="22" t="s">
        <v>159</v>
      </c>
      <c r="F11" s="22" t="s">
        <v>595</v>
      </c>
      <c r="G11" s="22" t="s">
        <v>596</v>
      </c>
      <c r="H11" s="22" t="s">
        <v>150</v>
      </c>
      <c r="I11" s="22" t="s">
        <v>151</v>
      </c>
      <c r="J11" s="22" t="s">
        <v>152</v>
      </c>
      <c r="K11" s="22" t="s">
        <v>64</v>
      </c>
      <c r="L11" s="54" t="s">
        <v>153</v>
      </c>
      <c r="M11" s="27" t="s">
        <v>153</v>
      </c>
      <c r="N11" s="27" t="s">
        <v>153</v>
      </c>
      <c r="O11" s="27" t="s">
        <v>153</v>
      </c>
      <c r="P11" s="27" t="s">
        <v>153</v>
      </c>
      <c r="Q11" s="27" t="s">
        <v>153</v>
      </c>
      <c r="R11" s="27" t="s">
        <v>153</v>
      </c>
      <c r="S11" s="27" t="s">
        <v>153</v>
      </c>
      <c r="T11" s="27" t="s">
        <v>153</v>
      </c>
      <c r="U11" s="27" t="s">
        <v>153</v>
      </c>
      <c r="V11" s="54" t="s">
        <v>156</v>
      </c>
      <c r="W11" s="27" t="s">
        <v>153</v>
      </c>
      <c r="X11" s="27" t="s">
        <v>153</v>
      </c>
      <c r="Y11" s="27" t="s">
        <v>153</v>
      </c>
      <c r="Z11" s="27" t="s">
        <v>153</v>
      </c>
      <c r="AA11" s="27" t="s">
        <v>153</v>
      </c>
      <c r="AB11" s="27" t="s">
        <v>153</v>
      </c>
      <c r="AC11" s="27" t="s">
        <v>153</v>
      </c>
      <c r="AD11" s="27" t="s">
        <v>153</v>
      </c>
      <c r="AE11" s="27" t="s">
        <v>153</v>
      </c>
      <c r="AF11" s="27" t="s">
        <v>153</v>
      </c>
      <c r="AG11" s="27" t="s">
        <v>153</v>
      </c>
      <c r="AH11" s="27" t="s">
        <v>153</v>
      </c>
      <c r="AI11" s="27" t="s">
        <v>153</v>
      </c>
      <c r="AJ11" s="27" t="s">
        <v>153</v>
      </c>
      <c r="AK11" s="27" t="s">
        <v>153</v>
      </c>
      <c r="AL11" s="27" t="s">
        <v>153</v>
      </c>
      <c r="AM11" s="27" t="s">
        <v>153</v>
      </c>
      <c r="AN11" s="27" t="s">
        <v>153</v>
      </c>
      <c r="AO11" s="27" t="s">
        <v>153</v>
      </c>
      <c r="AP11" s="23">
        <f>VALUE(0)</f>
        <v>0</v>
      </c>
      <c r="AQ11" s="23">
        <f>VALUE(0)</f>
        <v>0</v>
      </c>
      <c r="AR11" s="23">
        <f>VALUE(0)</f>
        <v>0</v>
      </c>
      <c r="AS11" s="23">
        <f>VALUE(0)</f>
        <v>0</v>
      </c>
      <c r="AT11" s="23">
        <f>VALUE(0)</f>
        <v>0</v>
      </c>
      <c r="AU11" s="23">
        <f>VALUE(0)</f>
        <v>0</v>
      </c>
      <c r="AV11" s="23">
        <f>VALUE(0)</f>
        <v>0</v>
      </c>
      <c r="AW11" s="23">
        <f>VALUE(0)</f>
        <v>0</v>
      </c>
      <c r="AX11" s="23">
        <f>VALUE(0)</f>
        <v>0</v>
      </c>
      <c r="AY11" s="23">
        <f>VALUE(0)</f>
        <v>0</v>
      </c>
      <c r="AZ11" s="23">
        <f>VALUE(0)</f>
        <v>0</v>
      </c>
      <c r="BA11" s="23">
        <f>VALUE(0)</f>
        <v>0</v>
      </c>
      <c r="BB11" s="23">
        <f>VALUE(0)</f>
        <v>0</v>
      </c>
      <c r="BC11" s="23">
        <f>VALUE(0)</f>
        <v>0</v>
      </c>
      <c r="BD11" s="23">
        <f>VALUE(0)</f>
        <v>0</v>
      </c>
      <c r="BE11" s="23">
        <f>VALUE(0)</f>
        <v>0</v>
      </c>
      <c r="BF11" s="23">
        <f>VALUE(0)</f>
        <v>0</v>
      </c>
      <c r="BG11" s="23">
        <f>VALUE(0)</f>
        <v>0</v>
      </c>
      <c r="BH11" s="23">
        <f>VALUE(0)</f>
        <v>0</v>
      </c>
      <c r="BI11" s="23">
        <f>VALUE(0)</f>
        <v>0</v>
      </c>
      <c r="BJ11" s="23">
        <f>VALUE(0)</f>
        <v>0</v>
      </c>
      <c r="BK11" s="12">
        <f>$AX$11*24</f>
        <v>0</v>
      </c>
      <c r="BL11" s="12">
        <f>$AY$11*24</f>
        <v>0</v>
      </c>
      <c r="BM11" s="12">
        <f>$BJ$11*24</f>
        <v>0</v>
      </c>
      <c r="BN11" s="12">
        <f>VALUE($I$11)/100</f>
        <v>1</v>
      </c>
      <c r="BO11" s="12">
        <v>0</v>
      </c>
      <c r="BP11" s="12">
        <v>0</v>
      </c>
      <c r="BQ11" s="12">
        <v>0</v>
      </c>
      <c r="BR11" s="12">
        <v>0</v>
      </c>
      <c r="BS11" s="12">
        <v>0</v>
      </c>
      <c r="BT11" s="12">
        <v>0</v>
      </c>
      <c r="BU11" s="12">
        <v>0</v>
      </c>
      <c r="BV11" s="12">
        <v>0</v>
      </c>
      <c r="BW11" s="12">
        <v>0</v>
      </c>
      <c r="BX11" s="12">
        <v>0</v>
      </c>
      <c r="BY11" s="12">
        <v>0</v>
      </c>
      <c r="BZ11" s="12">
        <v>0</v>
      </c>
      <c r="CA11" s="12">
        <v>0</v>
      </c>
    </row>
    <row r="12" spans="1:79" x14ac:dyDescent="0.2">
      <c r="A12" s="12" t="s">
        <v>102</v>
      </c>
      <c r="B12" s="12" t="s">
        <v>103</v>
      </c>
      <c r="C12" s="12" t="s">
        <v>103</v>
      </c>
      <c r="D12" s="22" t="s">
        <v>165</v>
      </c>
      <c r="E12" s="22" t="s">
        <v>161</v>
      </c>
      <c r="F12" s="22" t="s">
        <v>597</v>
      </c>
      <c r="G12" s="22" t="s">
        <v>598</v>
      </c>
      <c r="H12" s="22" t="s">
        <v>166</v>
      </c>
      <c r="I12" s="22" t="s">
        <v>151</v>
      </c>
      <c r="J12" s="22" t="s">
        <v>162</v>
      </c>
      <c r="K12" s="22" t="s">
        <v>64</v>
      </c>
      <c r="L12" s="54" t="s">
        <v>153</v>
      </c>
      <c r="M12" s="23" t="s">
        <v>153</v>
      </c>
      <c r="N12" s="24" t="s">
        <v>153</v>
      </c>
      <c r="O12" s="23" t="s">
        <v>153</v>
      </c>
      <c r="P12" s="23" t="s">
        <v>153</v>
      </c>
      <c r="Q12" s="23" t="s">
        <v>153</v>
      </c>
      <c r="R12" s="23" t="s">
        <v>153</v>
      </c>
      <c r="S12" s="23" t="s">
        <v>153</v>
      </c>
      <c r="T12" s="23" t="s">
        <v>153</v>
      </c>
      <c r="U12" s="24" t="s">
        <v>153</v>
      </c>
      <c r="V12" s="54" t="s">
        <v>153</v>
      </c>
      <c r="W12" s="23" t="s">
        <v>153</v>
      </c>
      <c r="X12" s="23" t="s">
        <v>153</v>
      </c>
      <c r="Y12" s="24" t="s">
        <v>156</v>
      </c>
      <c r="Z12" s="24" t="s">
        <v>156</v>
      </c>
      <c r="AA12" s="24" t="s">
        <v>156</v>
      </c>
      <c r="AB12" s="24" t="s">
        <v>153</v>
      </c>
      <c r="AC12" s="23" t="s">
        <v>153</v>
      </c>
      <c r="AD12" s="23" t="s">
        <v>153</v>
      </c>
      <c r="AE12" s="23" t="s">
        <v>153</v>
      </c>
      <c r="AF12" s="23" t="s">
        <v>153</v>
      </c>
      <c r="AG12" s="23" t="s">
        <v>153</v>
      </c>
      <c r="AH12" s="23" t="s">
        <v>153</v>
      </c>
      <c r="AI12" s="24" t="s">
        <v>153</v>
      </c>
      <c r="AJ12" s="23" t="s">
        <v>153</v>
      </c>
      <c r="AK12" s="23" t="s">
        <v>153</v>
      </c>
      <c r="AL12" s="23" t="s">
        <v>153</v>
      </c>
      <c r="AM12" s="23" t="s">
        <v>153</v>
      </c>
      <c r="AN12" s="23" t="s">
        <v>153</v>
      </c>
      <c r="AO12" s="23" t="s">
        <v>153</v>
      </c>
      <c r="AP12" s="23">
        <f>VALUE(2)</f>
        <v>2</v>
      </c>
      <c r="AQ12" s="23">
        <f>VALUE(0)</f>
        <v>0</v>
      </c>
      <c r="AR12" s="23">
        <f>VALUE(0)</f>
        <v>0</v>
      </c>
      <c r="AS12" s="23">
        <f>VALUE(0)</f>
        <v>0</v>
      </c>
      <c r="AT12" s="23">
        <f>VALUE(0)</f>
        <v>0</v>
      </c>
      <c r="AU12" s="23">
        <f>VALUE(0)</f>
        <v>0</v>
      </c>
      <c r="AV12" s="23">
        <f>VALUE(2)</f>
        <v>2</v>
      </c>
      <c r="AW12" s="23">
        <f>VALUE(0)</f>
        <v>0</v>
      </c>
      <c r="AX12" s="23" t="s">
        <v>1166</v>
      </c>
      <c r="AY12" s="23">
        <f>VALUE(0)</f>
        <v>0</v>
      </c>
      <c r="AZ12" s="23">
        <f>VALUE(0)</f>
        <v>0</v>
      </c>
      <c r="BA12" s="23">
        <f>VALUE(0)</f>
        <v>0</v>
      </c>
      <c r="BB12" s="23">
        <f>VALUE(0)</f>
        <v>0</v>
      </c>
      <c r="BC12" s="23">
        <f>VALUE(0)</f>
        <v>0</v>
      </c>
      <c r="BD12" s="23">
        <f>VALUE(0)</f>
        <v>0</v>
      </c>
      <c r="BE12" s="23">
        <f>VALUE(0)</f>
        <v>0</v>
      </c>
      <c r="BF12" s="23">
        <f>VALUE(0)</f>
        <v>0</v>
      </c>
      <c r="BG12" s="23">
        <f>VALUE(0)</f>
        <v>0</v>
      </c>
      <c r="BH12" s="23">
        <f>VALUE(0)</f>
        <v>0</v>
      </c>
      <c r="BI12" s="23">
        <f>VALUE(0)</f>
        <v>0</v>
      </c>
      <c r="BJ12" s="23">
        <f>VALUE(0)</f>
        <v>0</v>
      </c>
      <c r="BK12" s="12">
        <f>$AX$12*24</f>
        <v>30.466666666666665</v>
      </c>
      <c r="BL12" s="12">
        <f>$AY$12*24</f>
        <v>0</v>
      </c>
      <c r="BM12" s="12">
        <f>$BJ$12*24</f>
        <v>0</v>
      </c>
      <c r="BN12" s="12">
        <f>VALUE($I$12)/100</f>
        <v>1</v>
      </c>
      <c r="BO12" s="12">
        <v>0</v>
      </c>
      <c r="BP12" s="12">
        <v>0</v>
      </c>
      <c r="BQ12" s="12">
        <v>0</v>
      </c>
      <c r="BR12" s="12">
        <v>0</v>
      </c>
      <c r="BS12" s="12">
        <v>0</v>
      </c>
      <c r="BT12" s="12">
        <v>0</v>
      </c>
      <c r="BU12" s="12">
        <v>0</v>
      </c>
      <c r="BV12" s="12">
        <v>0</v>
      </c>
      <c r="BW12" s="12">
        <v>0</v>
      </c>
      <c r="BX12" s="12">
        <v>0</v>
      </c>
      <c r="BY12" s="12">
        <v>0</v>
      </c>
      <c r="BZ12" s="12">
        <v>0</v>
      </c>
      <c r="CA12" s="12">
        <v>0</v>
      </c>
    </row>
    <row r="13" spans="1:79" x14ac:dyDescent="0.2">
      <c r="A13" s="12" t="s">
        <v>102</v>
      </c>
      <c r="B13" s="12" t="s">
        <v>103</v>
      </c>
      <c r="C13" s="12" t="s">
        <v>103</v>
      </c>
      <c r="D13" s="22" t="s">
        <v>167</v>
      </c>
      <c r="E13" s="22" t="s">
        <v>161</v>
      </c>
      <c r="F13" s="22" t="s">
        <v>599</v>
      </c>
      <c r="G13" s="22" t="s">
        <v>600</v>
      </c>
      <c r="H13" s="22" t="s">
        <v>150</v>
      </c>
      <c r="I13" s="22" t="s">
        <v>151</v>
      </c>
      <c r="J13" s="22" t="s">
        <v>162</v>
      </c>
      <c r="K13" s="22" t="s">
        <v>64</v>
      </c>
      <c r="L13" s="54" t="s">
        <v>153</v>
      </c>
      <c r="M13" s="28" t="s">
        <v>163</v>
      </c>
      <c r="N13" s="24" t="s">
        <v>153</v>
      </c>
      <c r="O13" s="23" t="s">
        <v>153</v>
      </c>
      <c r="P13" s="23" t="s">
        <v>153</v>
      </c>
      <c r="Q13" s="23" t="s">
        <v>153</v>
      </c>
      <c r="R13" s="23" t="s">
        <v>153</v>
      </c>
      <c r="S13" s="23" t="s">
        <v>153</v>
      </c>
      <c r="T13" s="23" t="s">
        <v>153</v>
      </c>
      <c r="U13" s="24" t="s">
        <v>153</v>
      </c>
      <c r="V13" s="54" t="s">
        <v>156</v>
      </c>
      <c r="W13" s="24" t="s">
        <v>156</v>
      </c>
      <c r="X13" s="24" t="s">
        <v>156</v>
      </c>
      <c r="Y13" s="23" t="s">
        <v>153</v>
      </c>
      <c r="Z13" s="23" t="s">
        <v>153</v>
      </c>
      <c r="AA13" s="23" t="s">
        <v>153</v>
      </c>
      <c r="AB13" s="24" t="s">
        <v>153</v>
      </c>
      <c r="AC13" s="23" t="s">
        <v>153</v>
      </c>
      <c r="AD13" s="23" t="s">
        <v>153</v>
      </c>
      <c r="AE13" s="23" t="s">
        <v>153</v>
      </c>
      <c r="AF13" s="23" t="s">
        <v>153</v>
      </c>
      <c r="AG13" s="23" t="s">
        <v>153</v>
      </c>
      <c r="AH13" s="23" t="s">
        <v>153</v>
      </c>
      <c r="AI13" s="24" t="s">
        <v>153</v>
      </c>
      <c r="AJ13" s="23" t="s">
        <v>153</v>
      </c>
      <c r="AK13" s="23" t="s">
        <v>153</v>
      </c>
      <c r="AL13" s="23" t="s">
        <v>153</v>
      </c>
      <c r="AM13" s="23" t="s">
        <v>153</v>
      </c>
      <c r="AN13" s="23" t="s">
        <v>153</v>
      </c>
      <c r="AO13" s="30" t="s">
        <v>29</v>
      </c>
      <c r="AP13" s="23">
        <f>VALUE(1)</f>
        <v>1</v>
      </c>
      <c r="AQ13" s="23">
        <f>VALUE(0)</f>
        <v>0</v>
      </c>
      <c r="AR13" s="23">
        <f>VALUE(0)</f>
        <v>0</v>
      </c>
      <c r="AS13" s="23">
        <f>VALUE(0)</f>
        <v>0</v>
      </c>
      <c r="AT13" s="23">
        <f>VALUE(0)</f>
        <v>0</v>
      </c>
      <c r="AU13" s="23">
        <f>VALUE(1)</f>
        <v>1</v>
      </c>
      <c r="AV13" s="23">
        <f>VALUE(2)</f>
        <v>2</v>
      </c>
      <c r="AW13" s="23">
        <f>VALUE(0)</f>
        <v>0</v>
      </c>
      <c r="AX13" s="23" t="s">
        <v>1167</v>
      </c>
      <c r="AY13" s="23" t="s">
        <v>168</v>
      </c>
      <c r="AZ13" s="23">
        <f>VALUE(0)</f>
        <v>0</v>
      </c>
      <c r="BA13" s="23">
        <f>VALUE(0)</f>
        <v>0</v>
      </c>
      <c r="BB13" s="23">
        <f>VALUE(0)</f>
        <v>0</v>
      </c>
      <c r="BC13" s="23">
        <f>VALUE(0)</f>
        <v>0</v>
      </c>
      <c r="BD13" s="23">
        <f>VALUE(0)</f>
        <v>0</v>
      </c>
      <c r="BE13" s="23">
        <f>VALUE(0)</f>
        <v>0</v>
      </c>
      <c r="BF13" s="23">
        <f>VALUE(0)</f>
        <v>0</v>
      </c>
      <c r="BG13" s="23">
        <f>VALUE(0)</f>
        <v>0</v>
      </c>
      <c r="BH13" s="23">
        <f>VALUE(0)</f>
        <v>0</v>
      </c>
      <c r="BI13" s="23">
        <f>VALUE(0)</f>
        <v>0</v>
      </c>
      <c r="BJ13" s="23">
        <f>VALUE(0)</f>
        <v>0</v>
      </c>
      <c r="BK13" s="12">
        <f>$AX$13*24</f>
        <v>11.25</v>
      </c>
      <c r="BL13" s="12">
        <f>$AY$13*24</f>
        <v>18.05</v>
      </c>
      <c r="BM13" s="12">
        <f>$BJ$13*24</f>
        <v>0</v>
      </c>
      <c r="BN13" s="12">
        <f>VALUE($I$13)/100</f>
        <v>1</v>
      </c>
      <c r="BO13" s="12">
        <v>0</v>
      </c>
      <c r="BP13" s="12">
        <v>0</v>
      </c>
      <c r="BQ13" s="12">
        <v>0</v>
      </c>
      <c r="BR13" s="12">
        <v>0</v>
      </c>
      <c r="BS13" s="12">
        <v>0</v>
      </c>
      <c r="BT13" s="12">
        <v>0</v>
      </c>
      <c r="BU13" s="12">
        <v>0</v>
      </c>
      <c r="BV13" s="12">
        <v>0</v>
      </c>
      <c r="BW13" s="12">
        <v>0</v>
      </c>
      <c r="BX13" s="12">
        <v>0</v>
      </c>
      <c r="BY13" s="12">
        <v>0</v>
      </c>
      <c r="BZ13" s="12">
        <v>0</v>
      </c>
      <c r="CA13" s="12">
        <v>0</v>
      </c>
    </row>
    <row r="14" spans="1:79" x14ac:dyDescent="0.2">
      <c r="A14" s="12" t="s">
        <v>102</v>
      </c>
      <c r="B14" s="12" t="s">
        <v>103</v>
      </c>
      <c r="C14" s="12" t="s">
        <v>103</v>
      </c>
      <c r="D14" s="22" t="s">
        <v>169</v>
      </c>
      <c r="E14" s="22" t="s">
        <v>161</v>
      </c>
      <c r="F14" s="22" t="s">
        <v>601</v>
      </c>
      <c r="G14" s="22" t="s">
        <v>602</v>
      </c>
      <c r="H14" s="22" t="s">
        <v>150</v>
      </c>
      <c r="I14" s="22" t="s">
        <v>151</v>
      </c>
      <c r="J14" s="22" t="s">
        <v>162</v>
      </c>
      <c r="K14" s="22" t="s">
        <v>64</v>
      </c>
      <c r="L14" s="54" t="s">
        <v>153</v>
      </c>
      <c r="M14" s="28" t="s">
        <v>163</v>
      </c>
      <c r="N14" s="24" t="s">
        <v>153</v>
      </c>
      <c r="O14" s="23" t="s">
        <v>153</v>
      </c>
      <c r="P14" s="23" t="s">
        <v>153</v>
      </c>
      <c r="Q14" s="23" t="s">
        <v>153</v>
      </c>
      <c r="R14" s="24" t="s">
        <v>156</v>
      </c>
      <c r="S14" s="24" t="s">
        <v>156</v>
      </c>
      <c r="T14" s="24" t="s">
        <v>156</v>
      </c>
      <c r="U14" s="24" t="s">
        <v>153</v>
      </c>
      <c r="V14" s="54" t="s">
        <v>153</v>
      </c>
      <c r="W14" s="23" t="s">
        <v>153</v>
      </c>
      <c r="X14" s="23" t="s">
        <v>153</v>
      </c>
      <c r="Y14" s="23" t="s">
        <v>153</v>
      </c>
      <c r="Z14" s="23" t="s">
        <v>153</v>
      </c>
      <c r="AA14" s="23" t="s">
        <v>153</v>
      </c>
      <c r="AB14" s="24" t="s">
        <v>153</v>
      </c>
      <c r="AC14" s="23" t="s">
        <v>153</v>
      </c>
      <c r="AD14" s="23" t="s">
        <v>153</v>
      </c>
      <c r="AE14" s="23" t="s">
        <v>153</v>
      </c>
      <c r="AF14" s="23" t="s">
        <v>153</v>
      </c>
      <c r="AG14" s="23" t="s">
        <v>153</v>
      </c>
      <c r="AH14" s="23" t="s">
        <v>153</v>
      </c>
      <c r="AI14" s="24" t="s">
        <v>153</v>
      </c>
      <c r="AJ14" s="28" t="s">
        <v>163</v>
      </c>
      <c r="AK14" s="28" t="s">
        <v>163</v>
      </c>
      <c r="AL14" s="28" t="s">
        <v>163</v>
      </c>
      <c r="AM14" s="30" t="s">
        <v>28</v>
      </c>
      <c r="AN14" s="23" t="s">
        <v>153</v>
      </c>
      <c r="AO14" s="23" t="s">
        <v>153</v>
      </c>
      <c r="AP14" s="23">
        <f>VALUE(1)</f>
        <v>1</v>
      </c>
      <c r="AQ14" s="23">
        <f>VALUE(0)</f>
        <v>0</v>
      </c>
      <c r="AR14" s="23">
        <f>VALUE(0)</f>
        <v>0</v>
      </c>
      <c r="AS14" s="23">
        <f>VALUE(0)</f>
        <v>0</v>
      </c>
      <c r="AT14" s="23">
        <f>VALUE(0)</f>
        <v>0</v>
      </c>
      <c r="AU14" s="23">
        <f>VALUE(4)</f>
        <v>4</v>
      </c>
      <c r="AV14" s="23">
        <f>VALUE(0)</f>
        <v>0</v>
      </c>
      <c r="AW14" s="23">
        <f>VALUE(0)</f>
        <v>0</v>
      </c>
      <c r="AX14" s="23" t="s">
        <v>171</v>
      </c>
      <c r="AY14" s="23" t="s">
        <v>172</v>
      </c>
      <c r="AZ14" s="23">
        <f>VALUE(0)</f>
        <v>0</v>
      </c>
      <c r="BA14" s="23">
        <f>VALUE(0)</f>
        <v>0</v>
      </c>
      <c r="BB14" s="23">
        <f>VALUE(0)</f>
        <v>0</v>
      </c>
      <c r="BC14" s="23">
        <f>VALUE(0)</f>
        <v>0</v>
      </c>
      <c r="BD14" s="23">
        <f>VALUE(0)</f>
        <v>0</v>
      </c>
      <c r="BE14" s="23">
        <f>VALUE(0)</f>
        <v>0</v>
      </c>
      <c r="BF14" s="23">
        <f>VALUE(0)</f>
        <v>0</v>
      </c>
      <c r="BG14" s="23">
        <f>VALUE(0)</f>
        <v>0</v>
      </c>
      <c r="BH14" s="23">
        <f>VALUE(0)</f>
        <v>0</v>
      </c>
      <c r="BI14" s="23">
        <f>VALUE(0)</f>
        <v>0</v>
      </c>
      <c r="BJ14" s="23">
        <f>VALUE(0)</f>
        <v>0</v>
      </c>
      <c r="BK14" s="12">
        <f>$AX$14*24</f>
        <v>5.833333333333333</v>
      </c>
      <c r="BL14" s="12">
        <f>$AY$14*24</f>
        <v>6.9333333333333336</v>
      </c>
      <c r="BM14" s="12">
        <f>$BJ$14*24</f>
        <v>0</v>
      </c>
      <c r="BN14" s="12">
        <f>VALUE($I$14)/100</f>
        <v>1</v>
      </c>
      <c r="BO14" s="12">
        <v>0</v>
      </c>
      <c r="BP14" s="12">
        <v>0</v>
      </c>
      <c r="BQ14" s="12">
        <v>1</v>
      </c>
      <c r="BR14" s="12">
        <v>0</v>
      </c>
      <c r="BS14" s="12">
        <v>0</v>
      </c>
      <c r="BT14" s="12">
        <v>0</v>
      </c>
      <c r="BU14" s="12">
        <v>0</v>
      </c>
      <c r="BV14" s="12">
        <v>0</v>
      </c>
      <c r="BW14" s="12">
        <v>0</v>
      </c>
      <c r="BX14" s="12">
        <v>0</v>
      </c>
      <c r="BY14" s="12">
        <v>0</v>
      </c>
      <c r="BZ14" s="12">
        <v>0</v>
      </c>
      <c r="CA14" s="12">
        <v>0</v>
      </c>
    </row>
    <row r="15" spans="1:79" ht="15" x14ac:dyDescent="0.25">
      <c r="A15" s="12" t="s">
        <v>102</v>
      </c>
      <c r="B15" s="12" t="s">
        <v>103</v>
      </c>
      <c r="C15" s="12" t="s">
        <v>103</v>
      </c>
      <c r="D15" s="31" t="s">
        <v>174</v>
      </c>
      <c r="E15" s="31" t="s">
        <v>153</v>
      </c>
      <c r="F15" s="31" t="s">
        <v>175</v>
      </c>
      <c r="G15" s="31" t="s">
        <v>153</v>
      </c>
      <c r="H15" s="31" t="s">
        <v>153</v>
      </c>
      <c r="I15" s="31" t="s">
        <v>153</v>
      </c>
      <c r="J15" s="31" t="s">
        <v>153</v>
      </c>
      <c r="K15" s="31" t="s">
        <v>153</v>
      </c>
      <c r="L15" s="31">
        <f>VALUE(0)</f>
        <v>0</v>
      </c>
      <c r="M15" s="31">
        <f>VALUE(3)</f>
        <v>3</v>
      </c>
      <c r="N15" s="31">
        <f>VALUE(0)</f>
        <v>0</v>
      </c>
      <c r="O15" s="31">
        <f>VALUE(3)</f>
        <v>3</v>
      </c>
      <c r="P15" s="31">
        <f>VALUE(3)</f>
        <v>3</v>
      </c>
      <c r="Q15" s="31">
        <f>VALUE(4)</f>
        <v>4</v>
      </c>
      <c r="R15" s="31">
        <f>VALUE(3)</f>
        <v>3</v>
      </c>
      <c r="S15" s="31">
        <f>VALUE(3)</f>
        <v>3</v>
      </c>
      <c r="T15" s="31">
        <f>VALUE(2)</f>
        <v>2</v>
      </c>
      <c r="U15" s="31">
        <f>VALUE(0)</f>
        <v>0</v>
      </c>
      <c r="V15" s="31">
        <f>VALUE(0)</f>
        <v>0</v>
      </c>
      <c r="W15" s="31">
        <f>VALUE(4)</f>
        <v>4</v>
      </c>
      <c r="X15" s="31">
        <f>VALUE(4)</f>
        <v>4</v>
      </c>
      <c r="Y15" s="31">
        <f>VALUE(4)</f>
        <v>4</v>
      </c>
      <c r="Z15" s="31">
        <f>VALUE(4)</f>
        <v>4</v>
      </c>
      <c r="AA15" s="31">
        <f>VALUE(4)</f>
        <v>4</v>
      </c>
      <c r="AB15" s="31">
        <f>VALUE(0)</f>
        <v>0</v>
      </c>
      <c r="AC15" s="31">
        <f>VALUE(5)</f>
        <v>5</v>
      </c>
      <c r="AD15" s="31">
        <f>VALUE(5)</f>
        <v>5</v>
      </c>
      <c r="AE15" s="31">
        <f>VALUE(5)</f>
        <v>5</v>
      </c>
      <c r="AF15" s="31">
        <f>VALUE(5)</f>
        <v>5</v>
      </c>
      <c r="AG15" s="31">
        <f>VALUE(5)</f>
        <v>5</v>
      </c>
      <c r="AH15" s="31">
        <f>VALUE(4)</f>
        <v>4</v>
      </c>
      <c r="AI15" s="31">
        <f>VALUE(0)</f>
        <v>0</v>
      </c>
      <c r="AJ15" s="31">
        <f>VALUE(3)</f>
        <v>3</v>
      </c>
      <c r="AK15" s="31">
        <f>VALUE(4)</f>
        <v>4</v>
      </c>
      <c r="AL15" s="31">
        <f>VALUE(4)</f>
        <v>4</v>
      </c>
      <c r="AM15" s="31">
        <f>VALUE(4)</f>
        <v>4</v>
      </c>
      <c r="AN15" s="31">
        <f>VALUE(4)</f>
        <v>4</v>
      </c>
      <c r="AO15" s="31">
        <f>VALUE(3)</f>
        <v>3</v>
      </c>
      <c r="AP15" s="31">
        <v>0</v>
      </c>
      <c r="AQ15" s="31">
        <v>0</v>
      </c>
      <c r="AR15" s="31">
        <v>0</v>
      </c>
      <c r="AS15" s="31">
        <v>0</v>
      </c>
      <c r="AT15" s="31">
        <v>0</v>
      </c>
      <c r="AU15" s="31">
        <v>0</v>
      </c>
      <c r="AV15" s="31">
        <v>0</v>
      </c>
      <c r="AW15" s="31">
        <v>0</v>
      </c>
      <c r="AX15" s="31">
        <v>0</v>
      </c>
      <c r="AY15" s="31">
        <v>0</v>
      </c>
      <c r="AZ15" s="31">
        <v>0</v>
      </c>
      <c r="BA15" s="31">
        <v>0</v>
      </c>
      <c r="BB15" s="31">
        <v>0</v>
      </c>
      <c r="BC15" s="31">
        <v>0</v>
      </c>
      <c r="BD15" s="31">
        <v>0</v>
      </c>
      <c r="BE15" s="31">
        <v>0</v>
      </c>
      <c r="BF15" s="31">
        <v>0</v>
      </c>
      <c r="BG15" s="31">
        <v>0</v>
      </c>
      <c r="BH15" s="31">
        <v>0</v>
      </c>
      <c r="BI15" s="31">
        <v>0</v>
      </c>
      <c r="BJ15" s="31">
        <v>0</v>
      </c>
      <c r="BK15" s="12">
        <v>0</v>
      </c>
      <c r="BL15" s="12">
        <v>0</v>
      </c>
      <c r="BM15" s="12">
        <v>0</v>
      </c>
      <c r="BN15" s="12"/>
      <c r="BO15" s="12">
        <v>0</v>
      </c>
      <c r="BP15" s="12">
        <v>0</v>
      </c>
      <c r="BQ15" s="12">
        <v>0</v>
      </c>
      <c r="BR15" s="12">
        <v>0</v>
      </c>
      <c r="BS15" s="12">
        <v>0</v>
      </c>
      <c r="BT15" s="12">
        <v>0</v>
      </c>
      <c r="BU15" s="12">
        <v>0</v>
      </c>
      <c r="BV15" s="12">
        <v>0</v>
      </c>
      <c r="BW15" s="12">
        <v>0</v>
      </c>
      <c r="BX15" s="12">
        <v>0</v>
      </c>
      <c r="BY15" s="12">
        <v>0</v>
      </c>
      <c r="BZ15" s="12">
        <v>0</v>
      </c>
      <c r="CA15" s="12">
        <v>0</v>
      </c>
    </row>
    <row r="16" spans="1:79" x14ac:dyDescent="0.2">
      <c r="A16" s="12" t="s">
        <v>102</v>
      </c>
      <c r="B16" s="12" t="s">
        <v>104</v>
      </c>
      <c r="C16" s="12" t="s">
        <v>104</v>
      </c>
      <c r="D16" s="22" t="s">
        <v>177</v>
      </c>
      <c r="E16" s="22" t="s">
        <v>161</v>
      </c>
      <c r="F16" s="22" t="s">
        <v>603</v>
      </c>
      <c r="G16" s="22" t="s">
        <v>604</v>
      </c>
      <c r="H16" s="22" t="s">
        <v>166</v>
      </c>
      <c r="I16" s="22" t="s">
        <v>151</v>
      </c>
      <c r="J16" s="22" t="s">
        <v>178</v>
      </c>
      <c r="K16" s="22" t="s">
        <v>65</v>
      </c>
      <c r="L16" s="54" t="s">
        <v>153</v>
      </c>
      <c r="M16" s="24" t="s">
        <v>156</v>
      </c>
      <c r="N16" s="24" t="s">
        <v>153</v>
      </c>
      <c r="O16" s="23" t="s">
        <v>153</v>
      </c>
      <c r="P16" s="23" t="s">
        <v>153</v>
      </c>
      <c r="Q16" s="23" t="s">
        <v>153</v>
      </c>
      <c r="R16" s="23" t="s">
        <v>153</v>
      </c>
      <c r="S16" s="23" t="s">
        <v>153</v>
      </c>
      <c r="T16" s="24" t="s">
        <v>156</v>
      </c>
      <c r="U16" s="24" t="s">
        <v>153</v>
      </c>
      <c r="V16" s="54" t="s">
        <v>153</v>
      </c>
      <c r="W16" s="23" t="s">
        <v>153</v>
      </c>
      <c r="X16" s="23" t="s">
        <v>153</v>
      </c>
      <c r="Y16" s="23" t="s">
        <v>153</v>
      </c>
      <c r="Z16" s="23" t="s">
        <v>153</v>
      </c>
      <c r="AA16" s="24" t="s">
        <v>156</v>
      </c>
      <c r="AB16" s="24" t="s">
        <v>153</v>
      </c>
      <c r="AC16" s="23" t="s">
        <v>153</v>
      </c>
      <c r="AD16" s="23" t="s">
        <v>153</v>
      </c>
      <c r="AE16" s="23" t="s">
        <v>153</v>
      </c>
      <c r="AF16" s="23" t="s">
        <v>153</v>
      </c>
      <c r="AG16" s="23" t="s">
        <v>153</v>
      </c>
      <c r="AH16" s="24" t="s">
        <v>156</v>
      </c>
      <c r="AI16" s="24" t="s">
        <v>153</v>
      </c>
      <c r="AJ16" s="23" t="s">
        <v>153</v>
      </c>
      <c r="AK16" s="23" t="s">
        <v>153</v>
      </c>
      <c r="AL16" s="23" t="s">
        <v>153</v>
      </c>
      <c r="AM16" s="23" t="s">
        <v>153</v>
      </c>
      <c r="AN16" s="23" t="s">
        <v>153</v>
      </c>
      <c r="AO16" s="24" t="s">
        <v>156</v>
      </c>
      <c r="AP16" s="23">
        <f>VALUE(0)</f>
        <v>0</v>
      </c>
      <c r="AQ16" s="23">
        <f>VALUE(0)</f>
        <v>0</v>
      </c>
      <c r="AR16" s="23">
        <f>VALUE(0)</f>
        <v>0</v>
      </c>
      <c r="AS16" s="23">
        <f>VALUE(0)</f>
        <v>0</v>
      </c>
      <c r="AT16" s="23">
        <f>VALUE(0)</f>
        <v>0</v>
      </c>
      <c r="AU16" s="23">
        <f>VALUE(0)</f>
        <v>0</v>
      </c>
      <c r="AV16" s="23">
        <f>VALUE(3)</f>
        <v>3</v>
      </c>
      <c r="AW16" s="23">
        <f>VALUE(0)</f>
        <v>0</v>
      </c>
      <c r="AX16" s="23" t="s">
        <v>179</v>
      </c>
      <c r="AY16" s="23">
        <f>VALUE(0)</f>
        <v>0</v>
      </c>
      <c r="AZ16" s="23">
        <f>VALUE(0)</f>
        <v>0</v>
      </c>
      <c r="BA16" s="23">
        <f>VALUE(0)</f>
        <v>0</v>
      </c>
      <c r="BB16" s="23">
        <f>VALUE(0)</f>
        <v>0</v>
      </c>
      <c r="BC16" s="23">
        <f>VALUE(0)</f>
        <v>0</v>
      </c>
      <c r="BD16" s="23">
        <f>VALUE(0)</f>
        <v>0</v>
      </c>
      <c r="BE16" s="23">
        <f>VALUE(0)</f>
        <v>0</v>
      </c>
      <c r="BF16" s="23">
        <f>VALUE(0)</f>
        <v>0</v>
      </c>
      <c r="BG16" s="23">
        <f>VALUE(0)</f>
        <v>0</v>
      </c>
      <c r="BH16" s="23">
        <f>VALUE(0)</f>
        <v>0</v>
      </c>
      <c r="BI16" s="23">
        <f>VALUE(0)</f>
        <v>0</v>
      </c>
      <c r="BJ16" s="23">
        <f>VALUE(0)</f>
        <v>0</v>
      </c>
      <c r="BK16" s="12">
        <f>$AX$16*24</f>
        <v>6.4666666666666668</v>
      </c>
      <c r="BL16" s="12">
        <f>$AY$16*24</f>
        <v>0</v>
      </c>
      <c r="BM16" s="12">
        <f>$BJ$16*24</f>
        <v>0</v>
      </c>
      <c r="BN16" s="12">
        <f>VALUE($I$16)/100</f>
        <v>1</v>
      </c>
      <c r="BO16" s="12">
        <v>0</v>
      </c>
      <c r="BP16" s="12">
        <v>0</v>
      </c>
      <c r="BQ16" s="12">
        <v>0</v>
      </c>
      <c r="BR16" s="12">
        <v>0</v>
      </c>
      <c r="BS16" s="12">
        <v>0</v>
      </c>
      <c r="BT16" s="12">
        <v>0</v>
      </c>
      <c r="BU16" s="12">
        <v>0</v>
      </c>
      <c r="BV16" s="12">
        <v>0</v>
      </c>
      <c r="BW16" s="12">
        <v>0</v>
      </c>
      <c r="BX16" s="12">
        <v>0</v>
      </c>
      <c r="BY16" s="12">
        <v>0</v>
      </c>
      <c r="BZ16" s="12">
        <v>0</v>
      </c>
      <c r="CA16" s="12">
        <v>0</v>
      </c>
    </row>
    <row r="17" spans="1:79" x14ac:dyDescent="0.2">
      <c r="A17" s="12" t="s">
        <v>102</v>
      </c>
      <c r="B17" s="12" t="s">
        <v>104</v>
      </c>
      <c r="C17" s="12" t="s">
        <v>104</v>
      </c>
      <c r="D17" s="22" t="s">
        <v>180</v>
      </c>
      <c r="E17" s="22" t="s">
        <v>159</v>
      </c>
      <c r="F17" s="22" t="s">
        <v>605</v>
      </c>
      <c r="G17" s="22" t="s">
        <v>606</v>
      </c>
      <c r="H17" s="22" t="s">
        <v>166</v>
      </c>
      <c r="I17" s="22" t="s">
        <v>151</v>
      </c>
      <c r="J17" s="22" t="s">
        <v>181</v>
      </c>
      <c r="K17" s="22" t="s">
        <v>65</v>
      </c>
      <c r="L17" s="54" t="s">
        <v>153</v>
      </c>
      <c r="M17" s="28" t="s">
        <v>163</v>
      </c>
      <c r="N17" s="24" t="s">
        <v>153</v>
      </c>
      <c r="O17" s="23" t="s">
        <v>153</v>
      </c>
      <c r="P17" s="23" t="s">
        <v>153</v>
      </c>
      <c r="Q17" s="23" t="s">
        <v>153</v>
      </c>
      <c r="R17" s="23" t="s">
        <v>153</v>
      </c>
      <c r="S17" s="23" t="s">
        <v>153</v>
      </c>
      <c r="T17" s="23" t="s">
        <v>153</v>
      </c>
      <c r="U17" s="24" t="s">
        <v>153</v>
      </c>
      <c r="V17" s="54" t="s">
        <v>153</v>
      </c>
      <c r="W17" s="23" t="s">
        <v>183</v>
      </c>
      <c r="X17" s="23" t="s">
        <v>183</v>
      </c>
      <c r="Y17" s="23" t="s">
        <v>183</v>
      </c>
      <c r="Z17" s="23" t="s">
        <v>183</v>
      </c>
      <c r="AA17" s="23" t="s">
        <v>153</v>
      </c>
      <c r="AB17" s="24" t="s">
        <v>153</v>
      </c>
      <c r="AC17" s="23" t="s">
        <v>184</v>
      </c>
      <c r="AD17" s="23" t="s">
        <v>184</v>
      </c>
      <c r="AE17" s="23" t="s">
        <v>184</v>
      </c>
      <c r="AF17" s="25" t="s">
        <v>185</v>
      </c>
      <c r="AG17" s="25" t="s">
        <v>185</v>
      </c>
      <c r="AH17" s="23" t="s">
        <v>153</v>
      </c>
      <c r="AI17" s="24" t="s">
        <v>153</v>
      </c>
      <c r="AJ17" s="25" t="s">
        <v>185</v>
      </c>
      <c r="AK17" s="25" t="s">
        <v>185</v>
      </c>
      <c r="AL17" s="23" t="s">
        <v>153</v>
      </c>
      <c r="AM17" s="23" t="s">
        <v>153</v>
      </c>
      <c r="AN17" s="23" t="s">
        <v>153</v>
      </c>
      <c r="AO17" s="23" t="s">
        <v>153</v>
      </c>
      <c r="AP17" s="23">
        <f>VALUE(0)</f>
        <v>0</v>
      </c>
      <c r="AQ17" s="23">
        <f>VALUE(0)</f>
        <v>0</v>
      </c>
      <c r="AR17" s="23">
        <f>VALUE(0)</f>
        <v>0</v>
      </c>
      <c r="AS17" s="23">
        <f>VALUE(12)</f>
        <v>12</v>
      </c>
      <c r="AT17" s="23">
        <f>VALUE(0)</f>
        <v>0</v>
      </c>
      <c r="AU17" s="23">
        <f>VALUE(1)</f>
        <v>1</v>
      </c>
      <c r="AV17" s="23">
        <f>VALUE(1)</f>
        <v>1</v>
      </c>
      <c r="AW17" s="23">
        <f>VALUE(0)</f>
        <v>0</v>
      </c>
      <c r="AX17" s="23" t="s">
        <v>187</v>
      </c>
      <c r="AY17" s="23">
        <f>VALUE(0)</f>
        <v>0</v>
      </c>
      <c r="AZ17" s="23">
        <f>VALUE(0)</f>
        <v>0</v>
      </c>
      <c r="BA17" s="23">
        <f>VALUE(0)</f>
        <v>0</v>
      </c>
      <c r="BB17" s="23">
        <f>VALUE(0)</f>
        <v>0</v>
      </c>
      <c r="BC17" s="23">
        <f>VALUE(0)</f>
        <v>0</v>
      </c>
      <c r="BD17" s="23">
        <f>VALUE(0)</f>
        <v>0</v>
      </c>
      <c r="BE17" s="23">
        <f>VALUE(0)</f>
        <v>0</v>
      </c>
      <c r="BF17" s="23">
        <f>VALUE(0)</f>
        <v>0</v>
      </c>
      <c r="BG17" s="23">
        <f>VALUE(0)</f>
        <v>0</v>
      </c>
      <c r="BH17" s="23">
        <f>VALUE(0)</f>
        <v>0</v>
      </c>
      <c r="BI17" s="23">
        <f>VALUE(0)</f>
        <v>0</v>
      </c>
      <c r="BJ17" s="23">
        <f>VALUE(0)</f>
        <v>0</v>
      </c>
      <c r="BK17" s="12">
        <f>$AX$17*24</f>
        <v>6.1833333333333336</v>
      </c>
      <c r="BL17" s="12">
        <f>$AY$17*24</f>
        <v>0</v>
      </c>
      <c r="BM17" s="12">
        <f>$BJ$17*24</f>
        <v>0</v>
      </c>
      <c r="BN17" s="12">
        <f>VALUE($I$17)/100</f>
        <v>1</v>
      </c>
      <c r="BO17" s="12">
        <v>0</v>
      </c>
      <c r="BP17" s="12">
        <v>0</v>
      </c>
      <c r="BQ17" s="12">
        <v>0</v>
      </c>
      <c r="BR17" s="12">
        <v>0</v>
      </c>
      <c r="BS17" s="12">
        <v>0</v>
      </c>
      <c r="BT17" s="12">
        <v>0</v>
      </c>
      <c r="BU17" s="12">
        <v>0</v>
      </c>
      <c r="BV17" s="12">
        <v>0</v>
      </c>
      <c r="BW17" s="12">
        <v>0</v>
      </c>
      <c r="BX17" s="12">
        <v>0</v>
      </c>
      <c r="BY17" s="12">
        <v>0</v>
      </c>
      <c r="BZ17" s="12">
        <v>0</v>
      </c>
      <c r="CA17" s="12">
        <v>0</v>
      </c>
    </row>
    <row r="18" spans="1:79" x14ac:dyDescent="0.2">
      <c r="A18" s="12" t="s">
        <v>102</v>
      </c>
      <c r="B18" s="12" t="s">
        <v>104</v>
      </c>
      <c r="C18" s="12" t="s">
        <v>104</v>
      </c>
      <c r="D18" s="22" t="s">
        <v>186</v>
      </c>
      <c r="E18" s="22" t="s">
        <v>161</v>
      </c>
      <c r="F18" s="22" t="s">
        <v>607</v>
      </c>
      <c r="G18" s="22" t="s">
        <v>608</v>
      </c>
      <c r="H18" s="22" t="s">
        <v>150</v>
      </c>
      <c r="I18" s="22" t="s">
        <v>151</v>
      </c>
      <c r="J18" s="22" t="s">
        <v>181</v>
      </c>
      <c r="K18" s="22" t="s">
        <v>65</v>
      </c>
      <c r="L18" s="54" t="s">
        <v>153</v>
      </c>
      <c r="M18" s="32" t="s">
        <v>188</v>
      </c>
      <c r="N18" s="24" t="s">
        <v>153</v>
      </c>
      <c r="O18" s="32" t="s">
        <v>188</v>
      </c>
      <c r="P18" s="32" t="s">
        <v>188</v>
      </c>
      <c r="Q18" s="32" t="s">
        <v>188</v>
      </c>
      <c r="R18" s="32" t="s">
        <v>188</v>
      </c>
      <c r="S18" s="32" t="s">
        <v>188</v>
      </c>
      <c r="T18" s="32" t="s">
        <v>188</v>
      </c>
      <c r="U18" s="24" t="s">
        <v>153</v>
      </c>
      <c r="V18" s="54" t="s">
        <v>153</v>
      </c>
      <c r="W18" s="32" t="s">
        <v>188</v>
      </c>
      <c r="X18" s="32" t="s">
        <v>188</v>
      </c>
      <c r="Y18" s="32" t="s">
        <v>188</v>
      </c>
      <c r="Z18" s="32" t="s">
        <v>188</v>
      </c>
      <c r="AA18" s="32" t="s">
        <v>188</v>
      </c>
      <c r="AB18" s="24" t="s">
        <v>153</v>
      </c>
      <c r="AC18" s="23" t="s">
        <v>153</v>
      </c>
      <c r="AD18" s="23" t="s">
        <v>153</v>
      </c>
      <c r="AE18" s="23" t="s">
        <v>153</v>
      </c>
      <c r="AF18" s="23" t="s">
        <v>153</v>
      </c>
      <c r="AG18" s="23" t="s">
        <v>153</v>
      </c>
      <c r="AH18" s="23" t="s">
        <v>153</v>
      </c>
      <c r="AI18" s="24" t="s">
        <v>153</v>
      </c>
      <c r="AJ18" s="23" t="s">
        <v>153</v>
      </c>
      <c r="AK18" s="23" t="s">
        <v>153</v>
      </c>
      <c r="AL18" s="23" t="s">
        <v>153</v>
      </c>
      <c r="AM18" s="23" t="s">
        <v>153</v>
      </c>
      <c r="AN18" s="23" t="s">
        <v>153</v>
      </c>
      <c r="AO18" s="24" t="s">
        <v>156</v>
      </c>
      <c r="AP18" s="23">
        <f>VALUE(0)</f>
        <v>0</v>
      </c>
      <c r="AQ18" s="23">
        <f>VALUE(1)</f>
        <v>1</v>
      </c>
      <c r="AR18" s="23">
        <f>VALUE(0)</f>
        <v>0</v>
      </c>
      <c r="AS18" s="23">
        <f>VALUE(0)</f>
        <v>0</v>
      </c>
      <c r="AT18" s="23">
        <f>VALUE(0)</f>
        <v>0</v>
      </c>
      <c r="AU18" s="23">
        <f>VALUE(0)</f>
        <v>0</v>
      </c>
      <c r="AV18" s="23">
        <f>VALUE(10)</f>
        <v>10</v>
      </c>
      <c r="AW18" s="23">
        <f>VALUE(3)</f>
        <v>3</v>
      </c>
      <c r="AX18" s="23" t="s">
        <v>189</v>
      </c>
      <c r="AY18" s="23">
        <f>VALUE(0)</f>
        <v>0</v>
      </c>
      <c r="AZ18" s="23">
        <f>VALUE(12)</f>
        <v>12</v>
      </c>
      <c r="BA18" s="23">
        <f>VALUE(0)</f>
        <v>0</v>
      </c>
      <c r="BB18" s="23">
        <f>VALUE(0)</f>
        <v>0</v>
      </c>
      <c r="BC18" s="23">
        <f>VALUE(0)</f>
        <v>0</v>
      </c>
      <c r="BD18" s="23">
        <f>VALUE(0)</f>
        <v>0</v>
      </c>
      <c r="BE18" s="23">
        <f>VALUE(0)</f>
        <v>0</v>
      </c>
      <c r="BF18" s="23">
        <f>VALUE(0)</f>
        <v>0</v>
      </c>
      <c r="BG18" s="23">
        <f>VALUE(0)</f>
        <v>0</v>
      </c>
      <c r="BH18" s="23">
        <f>VALUE(0)</f>
        <v>0</v>
      </c>
      <c r="BI18" s="23">
        <f>VALUE(0)</f>
        <v>0</v>
      </c>
      <c r="BJ18" s="23">
        <f>VALUE(0)</f>
        <v>0</v>
      </c>
      <c r="BK18" s="12">
        <f>$AX$18*24</f>
        <v>11.766666666666667</v>
      </c>
      <c r="BL18" s="12">
        <f>$AY$18*24</f>
        <v>0</v>
      </c>
      <c r="BM18" s="12">
        <f>$BJ$18*24</f>
        <v>0</v>
      </c>
      <c r="BN18" s="12">
        <f>VALUE($I$18)/100</f>
        <v>1</v>
      </c>
      <c r="BO18" s="12">
        <v>0</v>
      </c>
      <c r="BP18" s="12">
        <v>0</v>
      </c>
      <c r="BQ18" s="12">
        <v>0</v>
      </c>
      <c r="BR18" s="12">
        <v>0</v>
      </c>
      <c r="BS18" s="12">
        <v>0</v>
      </c>
      <c r="BT18" s="12">
        <v>0</v>
      </c>
      <c r="BU18" s="12">
        <v>0</v>
      </c>
      <c r="BV18" s="12">
        <v>0</v>
      </c>
      <c r="BW18" s="12">
        <v>0</v>
      </c>
      <c r="BX18" s="12">
        <v>0</v>
      </c>
      <c r="BY18" s="12">
        <v>0</v>
      </c>
      <c r="BZ18" s="12">
        <v>0</v>
      </c>
      <c r="CA18" s="12">
        <v>0</v>
      </c>
    </row>
    <row r="19" spans="1:79" x14ac:dyDescent="0.2">
      <c r="A19" s="12" t="s">
        <v>102</v>
      </c>
      <c r="B19" s="12" t="s">
        <v>104</v>
      </c>
      <c r="C19" s="12" t="s">
        <v>104</v>
      </c>
      <c r="D19" s="22" t="s">
        <v>186</v>
      </c>
      <c r="E19" s="22" t="s">
        <v>161</v>
      </c>
      <c r="F19" s="22" t="s">
        <v>609</v>
      </c>
      <c r="G19" s="22" t="s">
        <v>610</v>
      </c>
      <c r="H19" s="22" t="s">
        <v>190</v>
      </c>
      <c r="I19" s="22" t="s">
        <v>151</v>
      </c>
      <c r="J19" s="22" t="s">
        <v>181</v>
      </c>
      <c r="K19" s="22" t="s">
        <v>65</v>
      </c>
      <c r="L19" s="54" t="s">
        <v>153</v>
      </c>
      <c r="M19" s="23" t="s">
        <v>153</v>
      </c>
      <c r="N19" s="24" t="s">
        <v>153</v>
      </c>
      <c r="O19" s="23" t="s">
        <v>153</v>
      </c>
      <c r="P19" s="23" t="s">
        <v>153</v>
      </c>
      <c r="Q19" s="23" t="s">
        <v>153</v>
      </c>
      <c r="R19" s="23" t="s">
        <v>153</v>
      </c>
      <c r="S19" s="23" t="s">
        <v>153</v>
      </c>
      <c r="T19" s="24" t="s">
        <v>156</v>
      </c>
      <c r="U19" s="24" t="s">
        <v>153</v>
      </c>
      <c r="V19" s="54" t="s">
        <v>153</v>
      </c>
      <c r="W19" s="23" t="s">
        <v>153</v>
      </c>
      <c r="X19" s="23" t="s">
        <v>153</v>
      </c>
      <c r="Y19" s="23" t="s">
        <v>153</v>
      </c>
      <c r="Z19" s="23" t="s">
        <v>153</v>
      </c>
      <c r="AA19" s="23" t="s">
        <v>153</v>
      </c>
      <c r="AB19" s="40" t="s">
        <v>153</v>
      </c>
      <c r="AC19" s="40" t="s">
        <v>153</v>
      </c>
      <c r="AD19" s="40" t="s">
        <v>153</v>
      </c>
      <c r="AE19" s="40" t="s">
        <v>153</v>
      </c>
      <c r="AF19" s="40" t="s">
        <v>153</v>
      </c>
      <c r="AG19" s="40" t="s">
        <v>153</v>
      </c>
      <c r="AH19" s="40" t="s">
        <v>153</v>
      </c>
      <c r="AI19" s="40" t="s">
        <v>153</v>
      </c>
      <c r="AJ19" s="40" t="s">
        <v>153</v>
      </c>
      <c r="AK19" s="40" t="s">
        <v>153</v>
      </c>
      <c r="AL19" s="40" t="s">
        <v>153</v>
      </c>
      <c r="AM19" s="40" t="s">
        <v>153</v>
      </c>
      <c r="AN19" s="40" t="s">
        <v>153</v>
      </c>
      <c r="AO19" s="40" t="s">
        <v>153</v>
      </c>
      <c r="AP19" s="23">
        <f>VALUE(0)</f>
        <v>0</v>
      </c>
      <c r="AQ19" s="23">
        <f>VALUE(0)</f>
        <v>0</v>
      </c>
      <c r="AR19" s="23">
        <f>VALUE(0)</f>
        <v>0</v>
      </c>
      <c r="AS19" s="23">
        <f>VALUE(0)</f>
        <v>0</v>
      </c>
      <c r="AT19" s="23">
        <f>VALUE(0)</f>
        <v>0</v>
      </c>
      <c r="AU19" s="23">
        <f>VALUE(0)</f>
        <v>0</v>
      </c>
      <c r="AV19" s="23">
        <f>VALUE(6)</f>
        <v>6</v>
      </c>
      <c r="AW19" s="23">
        <f>VALUE(0)</f>
        <v>0</v>
      </c>
      <c r="AX19" s="23" t="s">
        <v>1168</v>
      </c>
      <c r="AY19" s="23">
        <f>VALUE(0)</f>
        <v>0</v>
      </c>
      <c r="AZ19" s="23">
        <f>VALUE(0)</f>
        <v>0</v>
      </c>
      <c r="BA19" s="23">
        <f>VALUE(0)</f>
        <v>0</v>
      </c>
      <c r="BB19" s="23">
        <f>VALUE(0)</f>
        <v>0</v>
      </c>
      <c r="BC19" s="23">
        <f>VALUE(0)</f>
        <v>0</v>
      </c>
      <c r="BD19" s="23">
        <f>VALUE(0)</f>
        <v>0</v>
      </c>
      <c r="BE19" s="23">
        <f>VALUE(0)</f>
        <v>0</v>
      </c>
      <c r="BF19" s="23">
        <f>VALUE(0)</f>
        <v>0</v>
      </c>
      <c r="BG19" s="23">
        <f>VALUE(0)</f>
        <v>0</v>
      </c>
      <c r="BH19" s="23">
        <f>VALUE(0)</f>
        <v>0</v>
      </c>
      <c r="BI19" s="23">
        <f>VALUE(0)</f>
        <v>0</v>
      </c>
      <c r="BJ19" s="23">
        <f>VALUE(0)</f>
        <v>0</v>
      </c>
      <c r="BK19" s="12">
        <f>$AX$19*24</f>
        <v>18.75</v>
      </c>
      <c r="BL19" s="12">
        <f>$AY$19*24</f>
        <v>0</v>
      </c>
      <c r="BM19" s="12">
        <f>$BJ$19*24</f>
        <v>0</v>
      </c>
      <c r="BN19" s="12">
        <f>VALUE($I$19)/100</f>
        <v>1</v>
      </c>
      <c r="BO19" s="12">
        <v>0</v>
      </c>
      <c r="BP19" s="12">
        <v>0</v>
      </c>
      <c r="BQ19" s="12">
        <v>0</v>
      </c>
      <c r="BR19" s="12">
        <v>0</v>
      </c>
      <c r="BS19" s="12">
        <v>0</v>
      </c>
      <c r="BT19" s="12">
        <v>0</v>
      </c>
      <c r="BU19" s="12">
        <v>0</v>
      </c>
      <c r="BV19" s="12">
        <v>0</v>
      </c>
      <c r="BW19" s="12">
        <v>0</v>
      </c>
      <c r="BX19" s="12">
        <v>0</v>
      </c>
      <c r="BY19" s="12">
        <v>0</v>
      </c>
      <c r="BZ19" s="12">
        <v>0</v>
      </c>
      <c r="CA19" s="12">
        <v>0</v>
      </c>
    </row>
    <row r="20" spans="1:79" x14ac:dyDescent="0.2">
      <c r="A20" s="12" t="s">
        <v>102</v>
      </c>
      <c r="B20" s="12" t="s">
        <v>104</v>
      </c>
      <c r="C20" s="12" t="s">
        <v>104</v>
      </c>
      <c r="D20" s="22" t="s">
        <v>192</v>
      </c>
      <c r="E20" s="22" t="s">
        <v>173</v>
      </c>
      <c r="F20" s="22" t="s">
        <v>611</v>
      </c>
      <c r="G20" s="22" t="s">
        <v>612</v>
      </c>
      <c r="H20" s="22" t="s">
        <v>166</v>
      </c>
      <c r="I20" s="22" t="s">
        <v>151</v>
      </c>
      <c r="J20" s="22" t="s">
        <v>181</v>
      </c>
      <c r="K20" s="22" t="s">
        <v>65</v>
      </c>
      <c r="L20" s="54" t="s">
        <v>153</v>
      </c>
      <c r="M20" s="28" t="s">
        <v>163</v>
      </c>
      <c r="N20" s="24" t="s">
        <v>153</v>
      </c>
      <c r="O20" s="23" t="s">
        <v>153</v>
      </c>
      <c r="P20" s="23" t="s">
        <v>153</v>
      </c>
      <c r="Q20" s="23" t="s">
        <v>153</v>
      </c>
      <c r="R20" s="23" t="s">
        <v>153</v>
      </c>
      <c r="S20" s="23" t="s">
        <v>153</v>
      </c>
      <c r="T20" s="24" t="s">
        <v>156</v>
      </c>
      <c r="U20" s="24" t="s">
        <v>153</v>
      </c>
      <c r="V20" s="54" t="s">
        <v>153</v>
      </c>
      <c r="W20" s="23" t="s">
        <v>153</v>
      </c>
      <c r="X20" s="23" t="s">
        <v>153</v>
      </c>
      <c r="Y20" s="23" t="s">
        <v>153</v>
      </c>
      <c r="Z20" s="23" t="s">
        <v>153</v>
      </c>
      <c r="AA20" s="24" t="s">
        <v>156</v>
      </c>
      <c r="AB20" s="24" t="s">
        <v>153</v>
      </c>
      <c r="AC20" s="23" t="s">
        <v>153</v>
      </c>
      <c r="AD20" s="23" t="s">
        <v>153</v>
      </c>
      <c r="AE20" s="23" t="s">
        <v>153</v>
      </c>
      <c r="AF20" s="23" t="s">
        <v>153</v>
      </c>
      <c r="AG20" s="23" t="s">
        <v>153</v>
      </c>
      <c r="AH20" s="24" t="s">
        <v>156</v>
      </c>
      <c r="AI20" s="24" t="s">
        <v>153</v>
      </c>
      <c r="AJ20" s="23" t="s">
        <v>153</v>
      </c>
      <c r="AK20" s="23" t="s">
        <v>153</v>
      </c>
      <c r="AL20" s="23" t="s">
        <v>153</v>
      </c>
      <c r="AM20" s="23" t="s">
        <v>153</v>
      </c>
      <c r="AN20" s="23" t="s">
        <v>153</v>
      </c>
      <c r="AO20" s="24" t="s">
        <v>156</v>
      </c>
      <c r="AP20" s="23">
        <f>VALUE(0)</f>
        <v>0</v>
      </c>
      <c r="AQ20" s="23">
        <f>VALUE(0)</f>
        <v>0</v>
      </c>
      <c r="AR20" s="23">
        <f>VALUE(0)</f>
        <v>0</v>
      </c>
      <c r="AS20" s="23">
        <f>VALUE(0)</f>
        <v>0</v>
      </c>
      <c r="AT20" s="23">
        <f>VALUE(0)</f>
        <v>0</v>
      </c>
      <c r="AU20" s="23">
        <f>VALUE(1)</f>
        <v>1</v>
      </c>
      <c r="AV20" s="23">
        <f>VALUE(2.5)</f>
        <v>2.5</v>
      </c>
      <c r="AW20" s="23">
        <f>VALUE(0)</f>
        <v>0</v>
      </c>
      <c r="AX20" s="23" t="s">
        <v>193</v>
      </c>
      <c r="AY20" s="23">
        <f>VALUE(0)</f>
        <v>0</v>
      </c>
      <c r="AZ20" s="23">
        <f>VALUE(0)</f>
        <v>0</v>
      </c>
      <c r="BA20" s="23">
        <f>VALUE(0)</f>
        <v>0</v>
      </c>
      <c r="BB20" s="23">
        <f>VALUE(0)</f>
        <v>0</v>
      </c>
      <c r="BC20" s="23">
        <f>VALUE(0)</f>
        <v>0</v>
      </c>
      <c r="BD20" s="23">
        <f>VALUE(0)</f>
        <v>0</v>
      </c>
      <c r="BE20" s="23">
        <f>VALUE(0)</f>
        <v>0</v>
      </c>
      <c r="BF20" s="23">
        <f>VALUE(0)</f>
        <v>0</v>
      </c>
      <c r="BG20" s="23">
        <f>VALUE(0)</f>
        <v>0</v>
      </c>
      <c r="BH20" s="23">
        <f>VALUE(0)</f>
        <v>0</v>
      </c>
      <c r="BI20" s="23">
        <f>VALUE(0)</f>
        <v>0</v>
      </c>
      <c r="BJ20" s="23">
        <f>VALUE(0)</f>
        <v>0</v>
      </c>
      <c r="BK20" s="12">
        <f>$AX$20*24</f>
        <v>5.0333333333333332</v>
      </c>
      <c r="BL20" s="12">
        <f>$AY$20*24</f>
        <v>0</v>
      </c>
      <c r="BM20" s="12">
        <f>$BJ$20*24</f>
        <v>0</v>
      </c>
      <c r="BN20" s="12">
        <f>VALUE($I$20)/100</f>
        <v>1</v>
      </c>
      <c r="BO20" s="12">
        <v>0</v>
      </c>
      <c r="BP20" s="12">
        <v>0</v>
      </c>
      <c r="BQ20" s="12">
        <v>0</v>
      </c>
      <c r="BR20" s="12">
        <v>0</v>
      </c>
      <c r="BS20" s="12">
        <v>0</v>
      </c>
      <c r="BT20" s="12">
        <v>0</v>
      </c>
      <c r="BU20" s="12">
        <v>0</v>
      </c>
      <c r="BV20" s="12">
        <v>0</v>
      </c>
      <c r="BW20" s="12">
        <v>0</v>
      </c>
      <c r="BX20" s="12">
        <v>0</v>
      </c>
      <c r="BY20" s="12">
        <v>0</v>
      </c>
      <c r="BZ20" s="12">
        <v>0</v>
      </c>
      <c r="CA20" s="12">
        <v>0</v>
      </c>
    </row>
    <row r="21" spans="1:79" x14ac:dyDescent="0.2">
      <c r="A21" s="12" t="s">
        <v>102</v>
      </c>
      <c r="B21" s="12" t="s">
        <v>104</v>
      </c>
      <c r="C21" s="12" t="s">
        <v>104</v>
      </c>
      <c r="D21" s="22" t="s">
        <v>183</v>
      </c>
      <c r="E21" s="22" t="s">
        <v>161</v>
      </c>
      <c r="F21" s="22" t="s">
        <v>613</v>
      </c>
      <c r="G21" s="22" t="s">
        <v>614</v>
      </c>
      <c r="H21" s="22" t="s">
        <v>166</v>
      </c>
      <c r="I21" s="22" t="s">
        <v>194</v>
      </c>
      <c r="J21" s="22" t="s">
        <v>181</v>
      </c>
      <c r="K21" s="22" t="s">
        <v>65</v>
      </c>
      <c r="L21" s="54" t="s">
        <v>153</v>
      </c>
      <c r="M21" s="24" t="s">
        <v>156</v>
      </c>
      <c r="N21" s="24" t="s">
        <v>153</v>
      </c>
      <c r="O21" s="23" t="s">
        <v>153</v>
      </c>
      <c r="P21" s="23" t="s">
        <v>153</v>
      </c>
      <c r="Q21" s="23" t="s">
        <v>153</v>
      </c>
      <c r="R21" s="23" t="s">
        <v>153</v>
      </c>
      <c r="S21" s="23" t="s">
        <v>153</v>
      </c>
      <c r="T21" s="23" t="s">
        <v>153</v>
      </c>
      <c r="U21" s="24" t="s">
        <v>153</v>
      </c>
      <c r="V21" s="54" t="s">
        <v>153</v>
      </c>
      <c r="W21" s="24" t="s">
        <v>195</v>
      </c>
      <c r="X21" s="24" t="s">
        <v>195</v>
      </c>
      <c r="Y21" s="24" t="s">
        <v>195</v>
      </c>
      <c r="Z21" s="24" t="s">
        <v>195</v>
      </c>
      <c r="AA21" s="24" t="s">
        <v>195</v>
      </c>
      <c r="AB21" s="24" t="s">
        <v>153</v>
      </c>
      <c r="AC21" s="23" t="s">
        <v>153</v>
      </c>
      <c r="AD21" s="23" t="s">
        <v>153</v>
      </c>
      <c r="AE21" s="23" t="s">
        <v>153</v>
      </c>
      <c r="AF21" s="23" t="s">
        <v>153</v>
      </c>
      <c r="AG21" s="23" t="s">
        <v>153</v>
      </c>
      <c r="AH21" s="23" t="s">
        <v>153</v>
      </c>
      <c r="AI21" s="24" t="s">
        <v>153</v>
      </c>
      <c r="AJ21" s="23" t="s">
        <v>153</v>
      </c>
      <c r="AK21" s="23" t="s">
        <v>153</v>
      </c>
      <c r="AL21" s="23" t="s">
        <v>153</v>
      </c>
      <c r="AM21" s="23" t="s">
        <v>153</v>
      </c>
      <c r="AN21" s="23" t="s">
        <v>153</v>
      </c>
      <c r="AO21" s="24" t="s">
        <v>156</v>
      </c>
      <c r="AP21" s="23">
        <f>VALUE(0)</f>
        <v>0</v>
      </c>
      <c r="AQ21" s="23">
        <f>VALUE(0)</f>
        <v>0</v>
      </c>
      <c r="AR21" s="23">
        <f>VALUE(0)</f>
        <v>0</v>
      </c>
      <c r="AS21" s="23">
        <f>VALUE(0)</f>
        <v>0</v>
      </c>
      <c r="AT21" s="23">
        <f>VALUE(0)</f>
        <v>0</v>
      </c>
      <c r="AU21" s="23">
        <f>VALUE(0)</f>
        <v>0</v>
      </c>
      <c r="AV21" s="23">
        <f>VALUE(2)</f>
        <v>2</v>
      </c>
      <c r="AW21" s="23">
        <f>VALUE(0)</f>
        <v>0</v>
      </c>
      <c r="AX21" s="23" t="s">
        <v>1169</v>
      </c>
      <c r="AY21" s="23">
        <f>VALUE(0)</f>
        <v>0</v>
      </c>
      <c r="AZ21" s="23">
        <f>VALUE(0)</f>
        <v>0</v>
      </c>
      <c r="BA21" s="23">
        <f>VALUE(0)</f>
        <v>0</v>
      </c>
      <c r="BB21" s="23">
        <f>VALUE(0)</f>
        <v>0</v>
      </c>
      <c r="BC21" s="23">
        <f>VALUE(0)</f>
        <v>0</v>
      </c>
      <c r="BD21" s="23">
        <f>VALUE(0)</f>
        <v>0</v>
      </c>
      <c r="BE21" s="23">
        <f>VALUE(0)</f>
        <v>0</v>
      </c>
      <c r="BF21" s="23">
        <f>VALUE(0)</f>
        <v>0</v>
      </c>
      <c r="BG21" s="23">
        <f>VALUE(0)</f>
        <v>0</v>
      </c>
      <c r="BH21" s="23">
        <f>VALUE(0)</f>
        <v>0</v>
      </c>
      <c r="BI21" s="23">
        <f>VALUE(0)</f>
        <v>0</v>
      </c>
      <c r="BJ21" s="23">
        <f>VALUE(0)</f>
        <v>0</v>
      </c>
      <c r="BK21" s="12">
        <f>$AX$21*24</f>
        <v>17.7</v>
      </c>
      <c r="BL21" s="12">
        <f>$AY$21*24</f>
        <v>0</v>
      </c>
      <c r="BM21" s="12">
        <f>$BJ$21*24</f>
        <v>0</v>
      </c>
      <c r="BN21" s="12">
        <f>VALUE($I$21)/100</f>
        <v>0.8</v>
      </c>
      <c r="BO21" s="12">
        <v>0</v>
      </c>
      <c r="BP21" s="12">
        <v>0</v>
      </c>
      <c r="BQ21" s="12">
        <v>0</v>
      </c>
      <c r="BR21" s="12">
        <v>0</v>
      </c>
      <c r="BS21" s="12">
        <v>0</v>
      </c>
      <c r="BT21" s="12">
        <v>0</v>
      </c>
      <c r="BU21" s="12">
        <v>0</v>
      </c>
      <c r="BV21" s="12">
        <v>0</v>
      </c>
      <c r="BW21" s="12">
        <v>0</v>
      </c>
      <c r="BX21" s="12">
        <v>0</v>
      </c>
      <c r="BY21" s="12">
        <v>0</v>
      </c>
      <c r="BZ21" s="12">
        <v>0</v>
      </c>
      <c r="CA21" s="12">
        <v>0</v>
      </c>
    </row>
    <row r="22" spans="1:79" x14ac:dyDescent="0.2">
      <c r="A22" s="12" t="s">
        <v>102</v>
      </c>
      <c r="B22" s="12" t="s">
        <v>104</v>
      </c>
      <c r="C22" s="12" t="s">
        <v>104</v>
      </c>
      <c r="D22" s="22" t="s">
        <v>184</v>
      </c>
      <c r="E22" s="22" t="s">
        <v>161</v>
      </c>
      <c r="F22" s="22" t="s">
        <v>615</v>
      </c>
      <c r="G22" s="22" t="s">
        <v>616</v>
      </c>
      <c r="H22" s="22" t="s">
        <v>150</v>
      </c>
      <c r="I22" s="22" t="s">
        <v>151</v>
      </c>
      <c r="J22" s="22" t="s">
        <v>181</v>
      </c>
      <c r="K22" s="22" t="s">
        <v>65</v>
      </c>
      <c r="L22" s="54" t="s">
        <v>153</v>
      </c>
      <c r="M22" s="24" t="s">
        <v>156</v>
      </c>
      <c r="N22" s="24" t="s">
        <v>153</v>
      </c>
      <c r="O22" s="23" t="s">
        <v>153</v>
      </c>
      <c r="P22" s="23" t="s">
        <v>153</v>
      </c>
      <c r="Q22" s="23" t="s">
        <v>153</v>
      </c>
      <c r="R22" s="23" t="s">
        <v>153</v>
      </c>
      <c r="S22" s="23" t="s">
        <v>153</v>
      </c>
      <c r="T22" s="23" t="s">
        <v>153</v>
      </c>
      <c r="U22" s="24" t="s">
        <v>153</v>
      </c>
      <c r="V22" s="54" t="s">
        <v>153</v>
      </c>
      <c r="W22" s="23" t="s">
        <v>153</v>
      </c>
      <c r="X22" s="23" t="s">
        <v>153</v>
      </c>
      <c r="Y22" s="23" t="s">
        <v>153</v>
      </c>
      <c r="Z22" s="23" t="s">
        <v>153</v>
      </c>
      <c r="AA22" s="24" t="s">
        <v>156</v>
      </c>
      <c r="AB22" s="24" t="s">
        <v>153</v>
      </c>
      <c r="AC22" s="28" t="s">
        <v>163</v>
      </c>
      <c r="AD22" s="28" t="s">
        <v>163</v>
      </c>
      <c r="AE22" s="28" t="s">
        <v>163</v>
      </c>
      <c r="AF22" s="23" t="s">
        <v>153</v>
      </c>
      <c r="AG22" s="23" t="s">
        <v>153</v>
      </c>
      <c r="AH22" s="23" t="s">
        <v>153</v>
      </c>
      <c r="AI22" s="24" t="s">
        <v>153</v>
      </c>
      <c r="AJ22" s="23" t="s">
        <v>153</v>
      </c>
      <c r="AK22" s="23" t="s">
        <v>153</v>
      </c>
      <c r="AL22" s="23" t="s">
        <v>153</v>
      </c>
      <c r="AM22" s="23" t="s">
        <v>153</v>
      </c>
      <c r="AN22" s="23" t="s">
        <v>153</v>
      </c>
      <c r="AO22" s="24" t="s">
        <v>156</v>
      </c>
      <c r="AP22" s="23">
        <f>VALUE(0)</f>
        <v>0</v>
      </c>
      <c r="AQ22" s="23">
        <f>VALUE(0)</f>
        <v>0</v>
      </c>
      <c r="AR22" s="23">
        <f>VALUE(0)</f>
        <v>0</v>
      </c>
      <c r="AS22" s="23">
        <f>VALUE(0)</f>
        <v>0</v>
      </c>
      <c r="AT22" s="23">
        <f>VALUE(0)</f>
        <v>0</v>
      </c>
      <c r="AU22" s="23">
        <f>VALUE(3)</f>
        <v>3</v>
      </c>
      <c r="AV22" s="23">
        <f>VALUE(2)</f>
        <v>2</v>
      </c>
      <c r="AW22" s="23">
        <f>VALUE(0)</f>
        <v>0</v>
      </c>
      <c r="AX22" s="23" t="s">
        <v>171</v>
      </c>
      <c r="AY22" s="23" t="s">
        <v>196</v>
      </c>
      <c r="AZ22" s="23">
        <f>VALUE(0)</f>
        <v>0</v>
      </c>
      <c r="BA22" s="23">
        <f>VALUE(0)</f>
        <v>0</v>
      </c>
      <c r="BB22" s="23">
        <f>VALUE(0)</f>
        <v>0</v>
      </c>
      <c r="BC22" s="23">
        <f>VALUE(0)</f>
        <v>0</v>
      </c>
      <c r="BD22" s="23">
        <f>VALUE(0)</f>
        <v>0</v>
      </c>
      <c r="BE22" s="23">
        <f>VALUE(0)</f>
        <v>0</v>
      </c>
      <c r="BF22" s="23">
        <f>VALUE(0)</f>
        <v>0</v>
      </c>
      <c r="BG22" s="23">
        <f>VALUE(0)</f>
        <v>0</v>
      </c>
      <c r="BH22" s="23">
        <f>VALUE(0)</f>
        <v>0</v>
      </c>
      <c r="BI22" s="23">
        <f>VALUE(0)</f>
        <v>0</v>
      </c>
      <c r="BJ22" s="23">
        <f>VALUE(0)</f>
        <v>0</v>
      </c>
      <c r="BK22" s="12">
        <f>$AX$22*24</f>
        <v>5.833333333333333</v>
      </c>
      <c r="BL22" s="12">
        <f>$AY$22*24</f>
        <v>8.1</v>
      </c>
      <c r="BM22" s="12">
        <f>$BJ$22*24</f>
        <v>0</v>
      </c>
      <c r="BN22" s="12">
        <f>VALUE($I$22)/100</f>
        <v>1</v>
      </c>
      <c r="BO22" s="12">
        <v>0</v>
      </c>
      <c r="BP22" s="12">
        <v>0</v>
      </c>
      <c r="BQ22" s="12">
        <v>0</v>
      </c>
      <c r="BR22" s="12">
        <v>0</v>
      </c>
      <c r="BS22" s="12">
        <v>0</v>
      </c>
      <c r="BT22" s="12">
        <v>0</v>
      </c>
      <c r="BU22" s="12">
        <v>0</v>
      </c>
      <c r="BV22" s="12">
        <v>0</v>
      </c>
      <c r="BW22" s="12">
        <v>0</v>
      </c>
      <c r="BX22" s="12">
        <v>0</v>
      </c>
      <c r="BY22" s="12">
        <v>0</v>
      </c>
      <c r="BZ22" s="12">
        <v>0</v>
      </c>
      <c r="CA22" s="12">
        <v>0</v>
      </c>
    </row>
    <row r="23" spans="1:79" x14ac:dyDescent="0.2">
      <c r="A23" s="12" t="s">
        <v>102</v>
      </c>
      <c r="B23" s="12" t="s">
        <v>104</v>
      </c>
      <c r="C23" s="12" t="s">
        <v>104</v>
      </c>
      <c r="D23" s="22" t="s">
        <v>182</v>
      </c>
      <c r="E23" s="22" t="s">
        <v>161</v>
      </c>
      <c r="F23" s="22" t="s">
        <v>617</v>
      </c>
      <c r="G23" s="22" t="s">
        <v>618</v>
      </c>
      <c r="H23" s="22" t="s">
        <v>166</v>
      </c>
      <c r="I23" s="22" t="s">
        <v>151</v>
      </c>
      <c r="J23" s="22" t="s">
        <v>181</v>
      </c>
      <c r="K23" s="22" t="s">
        <v>65</v>
      </c>
      <c r="L23" s="54" t="s">
        <v>153</v>
      </c>
      <c r="M23" s="23" t="s">
        <v>153</v>
      </c>
      <c r="N23" s="24" t="s">
        <v>153</v>
      </c>
      <c r="O23" s="23" t="s">
        <v>153</v>
      </c>
      <c r="P23" s="23" t="s">
        <v>153</v>
      </c>
      <c r="Q23" s="23" t="s">
        <v>153</v>
      </c>
      <c r="R23" s="23" t="s">
        <v>153</v>
      </c>
      <c r="S23" s="23" t="s">
        <v>153</v>
      </c>
      <c r="T23" s="24" t="s">
        <v>156</v>
      </c>
      <c r="U23" s="24" t="s">
        <v>153</v>
      </c>
      <c r="V23" s="54" t="s">
        <v>153</v>
      </c>
      <c r="W23" s="23" t="s">
        <v>153</v>
      </c>
      <c r="X23" s="23" t="s">
        <v>153</v>
      </c>
      <c r="Y23" s="23" t="s">
        <v>153</v>
      </c>
      <c r="Z23" s="23" t="s">
        <v>153</v>
      </c>
      <c r="AA23" s="23" t="s">
        <v>153</v>
      </c>
      <c r="AB23" s="24" t="s">
        <v>153</v>
      </c>
      <c r="AC23" s="23" t="s">
        <v>153</v>
      </c>
      <c r="AD23" s="23" t="s">
        <v>153</v>
      </c>
      <c r="AE23" s="23" t="s">
        <v>153</v>
      </c>
      <c r="AF23" s="23" t="s">
        <v>153</v>
      </c>
      <c r="AG23" s="23" t="s">
        <v>153</v>
      </c>
      <c r="AH23" s="24" t="s">
        <v>156</v>
      </c>
      <c r="AI23" s="24" t="s">
        <v>153</v>
      </c>
      <c r="AJ23" s="23" t="s">
        <v>153</v>
      </c>
      <c r="AK23" s="23" t="s">
        <v>153</v>
      </c>
      <c r="AL23" s="23" t="s">
        <v>153</v>
      </c>
      <c r="AM23" s="23" t="s">
        <v>153</v>
      </c>
      <c r="AN23" s="23" t="s">
        <v>153</v>
      </c>
      <c r="AO23" s="23" t="s">
        <v>153</v>
      </c>
      <c r="AP23" s="23">
        <f>VALUE(0)</f>
        <v>0</v>
      </c>
      <c r="AQ23" s="23">
        <f>VALUE(0)</f>
        <v>0</v>
      </c>
      <c r="AR23" s="23">
        <f>VALUE(0)</f>
        <v>0</v>
      </c>
      <c r="AS23" s="23">
        <f>VALUE(0)</f>
        <v>0</v>
      </c>
      <c r="AT23" s="23">
        <f>VALUE(0)</f>
        <v>0</v>
      </c>
      <c r="AU23" s="23">
        <f>VALUE(0)</f>
        <v>0</v>
      </c>
      <c r="AV23" s="23">
        <f>VALUE(2)</f>
        <v>2</v>
      </c>
      <c r="AW23" s="23">
        <f>VALUE(0)</f>
        <v>0</v>
      </c>
      <c r="AX23" s="23" t="s">
        <v>197</v>
      </c>
      <c r="AY23" s="23">
        <f>VALUE(0)</f>
        <v>0</v>
      </c>
      <c r="AZ23" s="23">
        <f>VALUE(0)</f>
        <v>0</v>
      </c>
      <c r="BA23" s="23">
        <f>VALUE(0)</f>
        <v>0</v>
      </c>
      <c r="BB23" s="23">
        <f>VALUE(0)</f>
        <v>0</v>
      </c>
      <c r="BC23" s="23">
        <f>VALUE(0)</f>
        <v>0</v>
      </c>
      <c r="BD23" s="23">
        <f>VALUE(0)</f>
        <v>0</v>
      </c>
      <c r="BE23" s="23">
        <f>VALUE(0)</f>
        <v>0</v>
      </c>
      <c r="BF23" s="23">
        <f>VALUE(0)</f>
        <v>0</v>
      </c>
      <c r="BG23" s="23">
        <f>VALUE(0)</f>
        <v>0</v>
      </c>
      <c r="BH23" s="23">
        <f>VALUE(0)</f>
        <v>0</v>
      </c>
      <c r="BI23" s="23">
        <f>VALUE(0)</f>
        <v>0</v>
      </c>
      <c r="BJ23" s="23">
        <f>VALUE(0)</f>
        <v>0</v>
      </c>
      <c r="BK23" s="12">
        <f>$AX$23*24</f>
        <v>6.1333333333333346</v>
      </c>
      <c r="BL23" s="12">
        <f>$AY$23*24</f>
        <v>0</v>
      </c>
      <c r="BM23" s="12">
        <f>$BJ$23*24</f>
        <v>0</v>
      </c>
      <c r="BN23" s="12">
        <f>VALUE($I$23)/100</f>
        <v>1</v>
      </c>
      <c r="BO23" s="12">
        <v>0</v>
      </c>
      <c r="BP23" s="12">
        <v>0</v>
      </c>
      <c r="BQ23" s="12">
        <v>0</v>
      </c>
      <c r="BR23" s="12">
        <v>0</v>
      </c>
      <c r="BS23" s="12">
        <v>0</v>
      </c>
      <c r="BT23" s="12">
        <v>0</v>
      </c>
      <c r="BU23" s="12">
        <v>0</v>
      </c>
      <c r="BV23" s="12">
        <v>0</v>
      </c>
      <c r="BW23" s="12">
        <v>0</v>
      </c>
      <c r="BX23" s="12">
        <v>0</v>
      </c>
      <c r="BY23" s="12">
        <v>0</v>
      </c>
      <c r="BZ23" s="12">
        <v>0</v>
      </c>
      <c r="CA23" s="12">
        <v>0</v>
      </c>
    </row>
    <row r="24" spans="1:79" x14ac:dyDescent="0.2">
      <c r="A24" s="12" t="s">
        <v>102</v>
      </c>
      <c r="B24" s="12" t="s">
        <v>104</v>
      </c>
      <c r="C24" s="12" t="s">
        <v>104</v>
      </c>
      <c r="D24" s="22" t="s">
        <v>185</v>
      </c>
      <c r="E24" s="22" t="s">
        <v>161</v>
      </c>
      <c r="F24" s="22" t="s">
        <v>619</v>
      </c>
      <c r="G24" s="22" t="s">
        <v>620</v>
      </c>
      <c r="H24" s="22" t="s">
        <v>166</v>
      </c>
      <c r="I24" s="22" t="s">
        <v>151</v>
      </c>
      <c r="J24" s="22" t="s">
        <v>181</v>
      </c>
      <c r="K24" s="22" t="s">
        <v>65</v>
      </c>
      <c r="L24" s="54" t="s">
        <v>153</v>
      </c>
      <c r="M24" s="23" t="s">
        <v>153</v>
      </c>
      <c r="N24" s="24" t="s">
        <v>153</v>
      </c>
      <c r="O24" s="23" t="s">
        <v>153</v>
      </c>
      <c r="P24" s="23" t="s">
        <v>153</v>
      </c>
      <c r="Q24" s="23" t="s">
        <v>153</v>
      </c>
      <c r="R24" s="23" t="s">
        <v>153</v>
      </c>
      <c r="S24" s="23" t="s">
        <v>153</v>
      </c>
      <c r="T24" s="24" t="s">
        <v>156</v>
      </c>
      <c r="U24" s="24" t="s">
        <v>153</v>
      </c>
      <c r="V24" s="54" t="s">
        <v>153</v>
      </c>
      <c r="W24" s="23" t="s">
        <v>153</v>
      </c>
      <c r="X24" s="23" t="s">
        <v>153</v>
      </c>
      <c r="Y24" s="23" t="s">
        <v>153</v>
      </c>
      <c r="Z24" s="23" t="s">
        <v>153</v>
      </c>
      <c r="AA24" s="23" t="s">
        <v>153</v>
      </c>
      <c r="AB24" s="24" t="s">
        <v>153</v>
      </c>
      <c r="AC24" s="23" t="s">
        <v>153</v>
      </c>
      <c r="AD24" s="23" t="s">
        <v>153</v>
      </c>
      <c r="AE24" s="23" t="s">
        <v>153</v>
      </c>
      <c r="AF24" s="23" t="s">
        <v>153</v>
      </c>
      <c r="AG24" s="23" t="s">
        <v>153</v>
      </c>
      <c r="AH24" s="24" t="s">
        <v>156</v>
      </c>
      <c r="AI24" s="24" t="s">
        <v>153</v>
      </c>
      <c r="AJ24" s="23" t="s">
        <v>153</v>
      </c>
      <c r="AK24" s="23" t="s">
        <v>153</v>
      </c>
      <c r="AL24" s="23" t="s">
        <v>153</v>
      </c>
      <c r="AM24" s="23" t="s">
        <v>153</v>
      </c>
      <c r="AN24" s="23" t="s">
        <v>153</v>
      </c>
      <c r="AO24" s="23" t="s">
        <v>153</v>
      </c>
      <c r="AP24" s="23">
        <f>VALUE(0)</f>
        <v>0</v>
      </c>
      <c r="AQ24" s="23">
        <f>VALUE(0)</f>
        <v>0</v>
      </c>
      <c r="AR24" s="23">
        <f>VALUE(0)</f>
        <v>0</v>
      </c>
      <c r="AS24" s="23">
        <f>VALUE(0)</f>
        <v>0</v>
      </c>
      <c r="AT24" s="23">
        <f>VALUE(0)</f>
        <v>0</v>
      </c>
      <c r="AU24" s="23">
        <f>VALUE(0)</f>
        <v>0</v>
      </c>
      <c r="AV24" s="23">
        <f>VALUE(2.5)</f>
        <v>2.5</v>
      </c>
      <c r="AW24" s="23">
        <f>VALUE(0)</f>
        <v>0</v>
      </c>
      <c r="AX24" s="23" t="s">
        <v>198</v>
      </c>
      <c r="AY24" s="23">
        <f>VALUE(0)</f>
        <v>0</v>
      </c>
      <c r="AZ24" s="23">
        <f>VALUE(0)</f>
        <v>0</v>
      </c>
      <c r="BA24" s="23">
        <f>VALUE(0)</f>
        <v>0</v>
      </c>
      <c r="BB24" s="23">
        <f>VALUE(0)</f>
        <v>0</v>
      </c>
      <c r="BC24" s="23">
        <f>VALUE(0)</f>
        <v>0</v>
      </c>
      <c r="BD24" s="23">
        <f>VALUE(0)</f>
        <v>0</v>
      </c>
      <c r="BE24" s="23">
        <f>VALUE(0)</f>
        <v>0</v>
      </c>
      <c r="BF24" s="23">
        <f>VALUE(0)</f>
        <v>0</v>
      </c>
      <c r="BG24" s="23">
        <f>VALUE(0)</f>
        <v>0</v>
      </c>
      <c r="BH24" s="23">
        <f>VALUE(0)</f>
        <v>0</v>
      </c>
      <c r="BI24" s="23">
        <f>VALUE(0)</f>
        <v>0</v>
      </c>
      <c r="BJ24" s="23">
        <f>VALUE(0)</f>
        <v>0</v>
      </c>
      <c r="BK24" s="12">
        <f>$AX$24*24</f>
        <v>4.4333333333333336</v>
      </c>
      <c r="BL24" s="12">
        <f>$AY$24*24</f>
        <v>0</v>
      </c>
      <c r="BM24" s="12">
        <f>$BJ$24*24</f>
        <v>0</v>
      </c>
      <c r="BN24" s="12">
        <f>VALUE($I$24)/100</f>
        <v>1</v>
      </c>
      <c r="BO24" s="12">
        <v>0</v>
      </c>
      <c r="BP24" s="12">
        <v>0</v>
      </c>
      <c r="BQ24" s="12">
        <v>0</v>
      </c>
      <c r="BR24" s="12">
        <v>0</v>
      </c>
      <c r="BS24" s="12">
        <v>0</v>
      </c>
      <c r="BT24" s="12">
        <v>0</v>
      </c>
      <c r="BU24" s="12">
        <v>0</v>
      </c>
      <c r="BV24" s="12">
        <v>0</v>
      </c>
      <c r="BW24" s="12">
        <v>0</v>
      </c>
      <c r="BX24" s="12">
        <v>0</v>
      </c>
      <c r="BY24" s="12">
        <v>0</v>
      </c>
      <c r="BZ24" s="12">
        <v>0</v>
      </c>
      <c r="CA24" s="12">
        <v>0</v>
      </c>
    </row>
    <row r="25" spans="1:79" x14ac:dyDescent="0.2">
      <c r="A25" s="12" t="s">
        <v>102</v>
      </c>
      <c r="B25" s="12" t="s">
        <v>104</v>
      </c>
      <c r="C25" s="12" t="s">
        <v>104</v>
      </c>
      <c r="D25" s="22" t="s">
        <v>199</v>
      </c>
      <c r="E25" s="22" t="s">
        <v>161</v>
      </c>
      <c r="F25" s="22" t="s">
        <v>621</v>
      </c>
      <c r="G25" s="22" t="s">
        <v>622</v>
      </c>
      <c r="H25" s="22" t="s">
        <v>166</v>
      </c>
      <c r="I25" s="22" t="s">
        <v>151</v>
      </c>
      <c r="J25" s="22" t="s">
        <v>200</v>
      </c>
      <c r="K25" s="22" t="s">
        <v>65</v>
      </c>
      <c r="L25" s="54" t="s">
        <v>153</v>
      </c>
      <c r="M25" s="24" t="s">
        <v>156</v>
      </c>
      <c r="N25" s="24" t="s">
        <v>153</v>
      </c>
      <c r="O25" s="23" t="s">
        <v>153</v>
      </c>
      <c r="P25" s="23" t="s">
        <v>153</v>
      </c>
      <c r="Q25" s="23" t="s">
        <v>153</v>
      </c>
      <c r="R25" s="23" t="s">
        <v>153</v>
      </c>
      <c r="S25" s="23" t="s">
        <v>153</v>
      </c>
      <c r="T25" s="24" t="s">
        <v>156</v>
      </c>
      <c r="U25" s="24" t="s">
        <v>153</v>
      </c>
      <c r="V25" s="54" t="s">
        <v>153</v>
      </c>
      <c r="W25" s="23" t="s">
        <v>153</v>
      </c>
      <c r="X25" s="29" t="s">
        <v>218</v>
      </c>
      <c r="Y25" s="29" t="s">
        <v>218</v>
      </c>
      <c r="Z25" s="23" t="s">
        <v>153</v>
      </c>
      <c r="AA25" s="24" t="s">
        <v>156</v>
      </c>
      <c r="AB25" s="24" t="s">
        <v>153</v>
      </c>
      <c r="AC25" s="23" t="s">
        <v>153</v>
      </c>
      <c r="AD25" s="23" t="s">
        <v>153</v>
      </c>
      <c r="AE25" s="23" t="s">
        <v>153</v>
      </c>
      <c r="AF25" s="23" t="s">
        <v>153</v>
      </c>
      <c r="AG25" s="23" t="s">
        <v>153</v>
      </c>
      <c r="AH25" s="24" t="s">
        <v>156</v>
      </c>
      <c r="AI25" s="24" t="s">
        <v>153</v>
      </c>
      <c r="AJ25" s="23" t="s">
        <v>153</v>
      </c>
      <c r="AK25" s="23" t="s">
        <v>153</v>
      </c>
      <c r="AL25" s="23" t="s">
        <v>153</v>
      </c>
      <c r="AM25" s="23" t="s">
        <v>153</v>
      </c>
      <c r="AN25" s="23" t="s">
        <v>153</v>
      </c>
      <c r="AO25" s="24" t="s">
        <v>156</v>
      </c>
      <c r="AP25" s="23">
        <f>VALUE(0)</f>
        <v>0</v>
      </c>
      <c r="AQ25" s="23">
        <f>VALUE(1)</f>
        <v>1</v>
      </c>
      <c r="AR25" s="23">
        <f>VALUE(2)</f>
        <v>2</v>
      </c>
      <c r="AS25" s="23">
        <f>VALUE(0)</f>
        <v>0</v>
      </c>
      <c r="AT25" s="23">
        <f>VALUE(0)</f>
        <v>0</v>
      </c>
      <c r="AU25" s="23">
        <f>VALUE(0)</f>
        <v>0</v>
      </c>
      <c r="AV25" s="23">
        <f>VALUE(8.5)</f>
        <v>8.5</v>
      </c>
      <c r="AW25" s="23">
        <f>VALUE(0)</f>
        <v>0</v>
      </c>
      <c r="AX25" s="23" t="s">
        <v>176</v>
      </c>
      <c r="AY25" s="23">
        <f>VALUE(0)</f>
        <v>0</v>
      </c>
      <c r="AZ25" s="23">
        <f>VALUE(0)</f>
        <v>0</v>
      </c>
      <c r="BA25" s="23">
        <f>VALUE(0)</f>
        <v>0</v>
      </c>
      <c r="BB25" s="23">
        <f>VALUE(0)</f>
        <v>0</v>
      </c>
      <c r="BC25" s="23">
        <f>VALUE(0)</f>
        <v>0</v>
      </c>
      <c r="BD25" s="23">
        <f>VALUE(0)</f>
        <v>0</v>
      </c>
      <c r="BE25" s="23">
        <f>VALUE(0)</f>
        <v>0</v>
      </c>
      <c r="BF25" s="23">
        <f>VALUE(0)</f>
        <v>0</v>
      </c>
      <c r="BG25" s="23">
        <f>VALUE(0)</f>
        <v>0</v>
      </c>
      <c r="BH25" s="23">
        <f>VALUE(0)</f>
        <v>0</v>
      </c>
      <c r="BI25" s="23">
        <f>VALUE(0)</f>
        <v>0</v>
      </c>
      <c r="BJ25" s="23">
        <f>VALUE(0)</f>
        <v>0</v>
      </c>
      <c r="BK25" s="12">
        <f>$AX$25*24</f>
        <v>0</v>
      </c>
      <c r="BL25" s="12">
        <f>$AY$25*24</f>
        <v>0</v>
      </c>
      <c r="BM25" s="12">
        <f>$BJ$25*24</f>
        <v>0</v>
      </c>
      <c r="BN25" s="12">
        <f>VALUE($I$25)/100</f>
        <v>1</v>
      </c>
      <c r="BO25" s="12">
        <v>0</v>
      </c>
      <c r="BP25" s="12">
        <v>0</v>
      </c>
      <c r="BQ25" s="12">
        <v>0</v>
      </c>
      <c r="BR25" s="12">
        <v>0</v>
      </c>
      <c r="BS25" s="12">
        <v>2</v>
      </c>
      <c r="BT25" s="12">
        <v>0</v>
      </c>
      <c r="BU25" s="12">
        <v>0</v>
      </c>
      <c r="BV25" s="12">
        <v>0</v>
      </c>
      <c r="BW25" s="12">
        <v>0</v>
      </c>
      <c r="BX25" s="12">
        <v>0</v>
      </c>
      <c r="BY25" s="12">
        <v>0</v>
      </c>
      <c r="BZ25" s="12">
        <v>0</v>
      </c>
      <c r="CA25" s="12">
        <v>0</v>
      </c>
    </row>
    <row r="26" spans="1:79" ht="15" x14ac:dyDescent="0.25">
      <c r="A26" s="12" t="s">
        <v>102</v>
      </c>
      <c r="B26" s="12" t="s">
        <v>104</v>
      </c>
      <c r="C26" s="12" t="s">
        <v>104</v>
      </c>
      <c r="D26" s="31" t="s">
        <v>582</v>
      </c>
      <c r="E26" s="31" t="s">
        <v>153</v>
      </c>
      <c r="F26" s="31" t="s">
        <v>175</v>
      </c>
      <c r="G26" s="31" t="s">
        <v>153</v>
      </c>
      <c r="H26" s="31" t="s">
        <v>153</v>
      </c>
      <c r="I26" s="31" t="s">
        <v>153</v>
      </c>
      <c r="J26" s="31" t="s">
        <v>153</v>
      </c>
      <c r="K26" s="31" t="s">
        <v>153</v>
      </c>
      <c r="L26" s="31">
        <f>VALUE(0)</f>
        <v>0</v>
      </c>
      <c r="M26" s="31">
        <f>VALUE(3)</f>
        <v>3</v>
      </c>
      <c r="N26" s="31">
        <f>VALUE(0)</f>
        <v>0</v>
      </c>
      <c r="O26" s="31">
        <f>VALUE(9)</f>
        <v>9</v>
      </c>
      <c r="P26" s="31">
        <f>VALUE(9)</f>
        <v>9</v>
      </c>
      <c r="Q26" s="31">
        <f>VALUE(9)</f>
        <v>9</v>
      </c>
      <c r="R26" s="31">
        <f>VALUE(9)</f>
        <v>9</v>
      </c>
      <c r="S26" s="31">
        <f>VALUE(9)</f>
        <v>9</v>
      </c>
      <c r="T26" s="31">
        <f>VALUE(3)</f>
        <v>3</v>
      </c>
      <c r="U26" s="31">
        <f>VALUE(0)</f>
        <v>0</v>
      </c>
      <c r="V26" s="31">
        <f>VALUE(0)</f>
        <v>0</v>
      </c>
      <c r="W26" s="31">
        <f>VALUE(8)</f>
        <v>8</v>
      </c>
      <c r="X26" s="31">
        <f>VALUE(7)</f>
        <v>7</v>
      </c>
      <c r="Y26" s="31">
        <f>VALUE(7)</f>
        <v>7</v>
      </c>
      <c r="Z26" s="31">
        <f>VALUE(8)</f>
        <v>8</v>
      </c>
      <c r="AA26" s="31">
        <f>VALUE(4)</f>
        <v>4</v>
      </c>
      <c r="AB26" s="31">
        <f>VALUE(0)</f>
        <v>0</v>
      </c>
      <c r="AC26" s="31">
        <f>VALUE(8)</f>
        <v>8</v>
      </c>
      <c r="AD26" s="31">
        <f>VALUE(8)</f>
        <v>8</v>
      </c>
      <c r="AE26" s="31">
        <f>VALUE(8)</f>
        <v>8</v>
      </c>
      <c r="AF26" s="31">
        <f>VALUE(9)</f>
        <v>9</v>
      </c>
      <c r="AG26" s="31">
        <f>VALUE(9)</f>
        <v>9</v>
      </c>
      <c r="AH26" s="31">
        <f>VALUE(4)</f>
        <v>4</v>
      </c>
      <c r="AI26" s="31">
        <f>VALUE(0)</f>
        <v>0</v>
      </c>
      <c r="AJ26" s="31">
        <f>VALUE(9)</f>
        <v>9</v>
      </c>
      <c r="AK26" s="31">
        <f>VALUE(9)</f>
        <v>9</v>
      </c>
      <c r="AL26" s="31">
        <f>VALUE(9)</f>
        <v>9</v>
      </c>
      <c r="AM26" s="31">
        <f>VALUE(9)</f>
        <v>9</v>
      </c>
      <c r="AN26" s="31">
        <f>VALUE(9)</f>
        <v>9</v>
      </c>
      <c r="AO26" s="31">
        <f>VALUE(3)</f>
        <v>3</v>
      </c>
      <c r="AP26" s="31">
        <v>0</v>
      </c>
      <c r="AQ26" s="31">
        <v>0</v>
      </c>
      <c r="AR26" s="31">
        <v>0</v>
      </c>
      <c r="AS26" s="31">
        <v>0</v>
      </c>
      <c r="AT26" s="31">
        <v>0</v>
      </c>
      <c r="AU26" s="31">
        <v>0</v>
      </c>
      <c r="AV26" s="31">
        <v>0</v>
      </c>
      <c r="AW26" s="31">
        <v>0</v>
      </c>
      <c r="AX26" s="31">
        <v>0</v>
      </c>
      <c r="AY26" s="31">
        <v>0</v>
      </c>
      <c r="AZ26" s="31">
        <v>0</v>
      </c>
      <c r="BA26" s="31">
        <v>0</v>
      </c>
      <c r="BB26" s="31">
        <v>0</v>
      </c>
      <c r="BC26" s="31">
        <v>0</v>
      </c>
      <c r="BD26" s="31">
        <v>0</v>
      </c>
      <c r="BE26" s="31">
        <v>0</v>
      </c>
      <c r="BF26" s="31">
        <v>0</v>
      </c>
      <c r="BG26" s="31">
        <v>0</v>
      </c>
      <c r="BH26" s="31">
        <v>0</v>
      </c>
      <c r="BI26" s="31">
        <v>0</v>
      </c>
      <c r="BJ26" s="31">
        <v>0</v>
      </c>
      <c r="BK26" s="12">
        <v>0</v>
      </c>
      <c r="BL26" s="12">
        <v>0</v>
      </c>
      <c r="BM26" s="12">
        <v>0</v>
      </c>
      <c r="BN26" s="12"/>
      <c r="BO26" s="12">
        <v>0</v>
      </c>
      <c r="BP26" s="12">
        <v>0</v>
      </c>
      <c r="BQ26" s="12">
        <v>0</v>
      </c>
      <c r="BR26" s="12">
        <v>0</v>
      </c>
      <c r="BS26" s="12">
        <v>0</v>
      </c>
      <c r="BT26" s="12">
        <v>0</v>
      </c>
      <c r="BU26" s="12">
        <v>0</v>
      </c>
      <c r="BV26" s="12">
        <v>0</v>
      </c>
      <c r="BW26" s="12">
        <v>0</v>
      </c>
      <c r="BX26" s="12">
        <v>0</v>
      </c>
      <c r="BY26" s="12">
        <v>0</v>
      </c>
      <c r="BZ26" s="12">
        <v>0</v>
      </c>
      <c r="CA26" s="12">
        <v>0</v>
      </c>
    </row>
    <row r="27" spans="1:79" ht="16.5" x14ac:dyDescent="0.2">
      <c r="A27" s="12" t="s">
        <v>102</v>
      </c>
      <c r="B27" s="12" t="s">
        <v>105</v>
      </c>
      <c r="C27" s="12" t="s">
        <v>105</v>
      </c>
      <c r="D27" s="22" t="s">
        <v>1170</v>
      </c>
      <c r="E27" s="22" t="s">
        <v>149</v>
      </c>
      <c r="F27" s="22" t="s">
        <v>623</v>
      </c>
      <c r="G27" s="22" t="s">
        <v>624</v>
      </c>
      <c r="H27" s="22" t="s">
        <v>150</v>
      </c>
      <c r="I27" s="22" t="s">
        <v>151</v>
      </c>
      <c r="J27" s="22" t="s">
        <v>203</v>
      </c>
      <c r="K27" s="22" t="s">
        <v>66</v>
      </c>
      <c r="L27" s="54" t="s">
        <v>153</v>
      </c>
      <c r="M27" s="34" t="s">
        <v>204</v>
      </c>
      <c r="N27" s="24" t="s">
        <v>153</v>
      </c>
      <c r="O27" s="23" t="s">
        <v>205</v>
      </c>
      <c r="P27" s="23" t="s">
        <v>205</v>
      </c>
      <c r="Q27" s="26" t="s">
        <v>1171</v>
      </c>
      <c r="R27" s="26" t="s">
        <v>1171</v>
      </c>
      <c r="S27" s="23" t="s">
        <v>208</v>
      </c>
      <c r="T27" s="24" t="s">
        <v>156</v>
      </c>
      <c r="U27" s="24" t="s">
        <v>153</v>
      </c>
      <c r="V27" s="54" t="s">
        <v>153</v>
      </c>
      <c r="W27" s="26" t="s">
        <v>1171</v>
      </c>
      <c r="X27" s="26" t="s">
        <v>1171</v>
      </c>
      <c r="Y27" s="26" t="s">
        <v>1171</v>
      </c>
      <c r="Z27" s="26" t="s">
        <v>1171</v>
      </c>
      <c r="AA27" s="26" t="s">
        <v>1171</v>
      </c>
      <c r="AB27" s="24" t="s">
        <v>153</v>
      </c>
      <c r="AC27" s="26" t="s">
        <v>1171</v>
      </c>
      <c r="AD27" s="26" t="s">
        <v>1171</v>
      </c>
      <c r="AE27" s="26" t="s">
        <v>1171</v>
      </c>
      <c r="AF27" s="26" t="s">
        <v>1171</v>
      </c>
      <c r="AG27" s="26" t="s">
        <v>1171</v>
      </c>
      <c r="AH27" s="24" t="s">
        <v>156</v>
      </c>
      <c r="AI27" s="24" t="s">
        <v>153</v>
      </c>
      <c r="AJ27" s="26" t="s">
        <v>1171</v>
      </c>
      <c r="AK27" s="26" t="s">
        <v>1171</v>
      </c>
      <c r="AL27" s="26" t="s">
        <v>1171</v>
      </c>
      <c r="AM27" s="26" t="s">
        <v>1171</v>
      </c>
      <c r="AN27" s="26" t="s">
        <v>1171</v>
      </c>
      <c r="AO27" s="24" t="s">
        <v>156</v>
      </c>
      <c r="AP27" s="23">
        <f>VALUE(0)</f>
        <v>0</v>
      </c>
      <c r="AQ27" s="23">
        <f>VALUE(0)</f>
        <v>0</v>
      </c>
      <c r="AR27" s="23">
        <f>VALUE(0)</f>
        <v>0</v>
      </c>
      <c r="AS27" s="23">
        <f>VALUE(0)</f>
        <v>0</v>
      </c>
      <c r="AT27" s="23">
        <f>VALUE(0)</f>
        <v>0</v>
      </c>
      <c r="AU27" s="23">
        <f>VALUE(0)</f>
        <v>0</v>
      </c>
      <c r="AV27" s="23">
        <f>VALUE(2)</f>
        <v>2</v>
      </c>
      <c r="AW27" s="23">
        <f>VALUE(0)</f>
        <v>0</v>
      </c>
      <c r="AX27" s="23" t="s">
        <v>171</v>
      </c>
      <c r="AY27" s="23" t="s">
        <v>1172</v>
      </c>
      <c r="AZ27" s="23">
        <f>VALUE(0)</f>
        <v>0</v>
      </c>
      <c r="BA27" s="23">
        <f>VALUE(0)</f>
        <v>0</v>
      </c>
      <c r="BB27" s="23">
        <f>VALUE(0)</f>
        <v>0</v>
      </c>
      <c r="BC27" s="23">
        <f>VALUE(0)</f>
        <v>0</v>
      </c>
      <c r="BD27" s="23">
        <f>VALUE(0)</f>
        <v>0</v>
      </c>
      <c r="BE27" s="23">
        <f>VALUE(0)</f>
        <v>0</v>
      </c>
      <c r="BF27" s="23">
        <f>VALUE(0)</f>
        <v>0</v>
      </c>
      <c r="BG27" s="23">
        <f>VALUE(0)</f>
        <v>0</v>
      </c>
      <c r="BH27" s="23">
        <f>VALUE(0)</f>
        <v>0</v>
      </c>
      <c r="BI27" s="23">
        <f>VALUE(0)</f>
        <v>0</v>
      </c>
      <c r="BJ27" s="23">
        <f>VALUE(0)</f>
        <v>0</v>
      </c>
      <c r="BK27" s="12">
        <f>$AX$27*24</f>
        <v>5.833333333333333</v>
      </c>
      <c r="BL27" s="12">
        <f>$AY$27*24</f>
        <v>36.700000000000003</v>
      </c>
      <c r="BM27" s="12">
        <f>$BJ$27*24</f>
        <v>0</v>
      </c>
      <c r="BN27" s="12">
        <f>VALUE($I$27)/100</f>
        <v>1</v>
      </c>
      <c r="BO27" s="12">
        <v>0</v>
      </c>
      <c r="BP27" s="12">
        <v>0</v>
      </c>
      <c r="BQ27" s="12">
        <v>0</v>
      </c>
      <c r="BR27" s="12">
        <v>0</v>
      </c>
      <c r="BS27" s="12">
        <v>0</v>
      </c>
      <c r="BT27" s="12">
        <v>0</v>
      </c>
      <c r="BU27" s="12">
        <v>0</v>
      </c>
      <c r="BV27" s="12">
        <v>0</v>
      </c>
      <c r="BW27" s="12">
        <v>0</v>
      </c>
      <c r="BX27" s="12">
        <v>0</v>
      </c>
      <c r="BY27" s="12">
        <v>0</v>
      </c>
      <c r="BZ27" s="12">
        <v>0</v>
      </c>
      <c r="CA27" s="12">
        <v>0</v>
      </c>
    </row>
    <row r="28" spans="1:79" x14ac:dyDescent="0.2">
      <c r="A28" s="12" t="s">
        <v>102</v>
      </c>
      <c r="B28" s="12" t="s">
        <v>105</v>
      </c>
      <c r="C28" s="12" t="s">
        <v>105</v>
      </c>
      <c r="D28" s="22" t="s">
        <v>205</v>
      </c>
      <c r="E28" s="22" t="s">
        <v>161</v>
      </c>
      <c r="F28" s="22" t="s">
        <v>625</v>
      </c>
      <c r="G28" s="22" t="s">
        <v>626</v>
      </c>
      <c r="H28" s="22" t="s">
        <v>150</v>
      </c>
      <c r="I28" s="22" t="s">
        <v>151</v>
      </c>
      <c r="J28" s="22" t="s">
        <v>212</v>
      </c>
      <c r="K28" s="22" t="s">
        <v>66</v>
      </c>
      <c r="L28" s="54" t="s">
        <v>153</v>
      </c>
      <c r="M28" s="23" t="s">
        <v>153</v>
      </c>
      <c r="N28" s="24" t="s">
        <v>153</v>
      </c>
      <c r="O28" s="35" t="s">
        <v>170</v>
      </c>
      <c r="P28" s="35" t="s">
        <v>170</v>
      </c>
      <c r="Q28" s="23" t="s">
        <v>153</v>
      </c>
      <c r="R28" s="23" t="s">
        <v>153</v>
      </c>
      <c r="S28" s="23" t="s">
        <v>153</v>
      </c>
      <c r="T28" s="24" t="s">
        <v>156</v>
      </c>
      <c r="U28" s="24" t="s">
        <v>153</v>
      </c>
      <c r="V28" s="54" t="s">
        <v>153</v>
      </c>
      <c r="W28" s="23" t="s">
        <v>153</v>
      </c>
      <c r="X28" s="23" t="s">
        <v>153</v>
      </c>
      <c r="Y28" s="23" t="s">
        <v>153</v>
      </c>
      <c r="Z28" s="23" t="s">
        <v>153</v>
      </c>
      <c r="AA28" s="24" t="s">
        <v>156</v>
      </c>
      <c r="AB28" s="24" t="s">
        <v>153</v>
      </c>
      <c r="AC28" s="23" t="s">
        <v>153</v>
      </c>
      <c r="AD28" s="23" t="s">
        <v>153</v>
      </c>
      <c r="AE28" s="23" t="s">
        <v>153</v>
      </c>
      <c r="AF28" s="23" t="s">
        <v>153</v>
      </c>
      <c r="AG28" s="23" t="s">
        <v>153</v>
      </c>
      <c r="AH28" s="23" t="s">
        <v>153</v>
      </c>
      <c r="AI28" s="24" t="s">
        <v>153</v>
      </c>
      <c r="AJ28" s="23" t="s">
        <v>153</v>
      </c>
      <c r="AK28" s="23" t="s">
        <v>153</v>
      </c>
      <c r="AL28" s="23" t="s">
        <v>153</v>
      </c>
      <c r="AM28" s="23" t="s">
        <v>153</v>
      </c>
      <c r="AN28" s="23" t="s">
        <v>153</v>
      </c>
      <c r="AO28" s="24" t="s">
        <v>156</v>
      </c>
      <c r="AP28" s="23">
        <f>VALUE(0)</f>
        <v>0</v>
      </c>
      <c r="AQ28" s="23">
        <f>VALUE(0)</f>
        <v>0</v>
      </c>
      <c r="AR28" s="23">
        <f>VALUE(0)</f>
        <v>0</v>
      </c>
      <c r="AS28" s="23">
        <f>VALUE(0)</f>
        <v>0</v>
      </c>
      <c r="AT28" s="23">
        <f>VALUE(0)</f>
        <v>0</v>
      </c>
      <c r="AU28" s="23">
        <f>VALUE(0)</f>
        <v>0</v>
      </c>
      <c r="AV28" s="23">
        <f>VALUE(12)</f>
        <v>12</v>
      </c>
      <c r="AW28" s="23">
        <f>VALUE(0)</f>
        <v>0</v>
      </c>
      <c r="AX28" s="23" t="s">
        <v>171</v>
      </c>
      <c r="AY28" s="23" t="s">
        <v>213</v>
      </c>
      <c r="AZ28" s="23">
        <f>VALUE(0)</f>
        <v>0</v>
      </c>
      <c r="BA28" s="23">
        <f>VALUE(0)</f>
        <v>0</v>
      </c>
      <c r="BB28" s="23">
        <f>VALUE(0)</f>
        <v>0</v>
      </c>
      <c r="BC28" s="23">
        <f>VALUE(0)</f>
        <v>0</v>
      </c>
      <c r="BD28" s="23">
        <f>VALUE(0)</f>
        <v>0</v>
      </c>
      <c r="BE28" s="23">
        <f>VALUE(2)</f>
        <v>2</v>
      </c>
      <c r="BF28" s="23">
        <f>VALUE(0)</f>
        <v>0</v>
      </c>
      <c r="BG28" s="23">
        <f>VALUE(0)</f>
        <v>0</v>
      </c>
      <c r="BH28" s="23">
        <f>VALUE(0)</f>
        <v>0</v>
      </c>
      <c r="BI28" s="23">
        <f>VALUE(0)</f>
        <v>0</v>
      </c>
      <c r="BJ28" s="23">
        <f>VALUE(0)</f>
        <v>0</v>
      </c>
      <c r="BK28" s="12">
        <f>$AX$28*24</f>
        <v>5.833333333333333</v>
      </c>
      <c r="BL28" s="12">
        <f>$AY$28*24</f>
        <v>7.416666666666667</v>
      </c>
      <c r="BM28" s="12">
        <f>$BJ$28*24</f>
        <v>0</v>
      </c>
      <c r="BN28" s="12">
        <f>VALUE($I$28)/100</f>
        <v>1</v>
      </c>
      <c r="BO28" s="12">
        <v>0</v>
      </c>
      <c r="BP28" s="12">
        <v>0</v>
      </c>
      <c r="BQ28" s="12">
        <v>0</v>
      </c>
      <c r="BR28" s="12">
        <v>0</v>
      </c>
      <c r="BS28" s="12">
        <v>0</v>
      </c>
      <c r="BT28" s="12">
        <v>0</v>
      </c>
      <c r="BU28" s="12">
        <v>0</v>
      </c>
      <c r="BV28" s="12">
        <v>0</v>
      </c>
      <c r="BW28" s="12">
        <v>0</v>
      </c>
      <c r="BX28" s="12">
        <v>0</v>
      </c>
      <c r="BY28" s="12">
        <v>0</v>
      </c>
      <c r="BZ28" s="12">
        <v>0</v>
      </c>
      <c r="CA28" s="12">
        <v>0</v>
      </c>
    </row>
    <row r="29" spans="1:79" x14ac:dyDescent="0.2">
      <c r="A29" s="12" t="s">
        <v>102</v>
      </c>
      <c r="B29" s="12" t="s">
        <v>105</v>
      </c>
      <c r="C29" s="12" t="s">
        <v>105</v>
      </c>
      <c r="D29" s="22" t="s">
        <v>204</v>
      </c>
      <c r="E29" s="22" t="s">
        <v>161</v>
      </c>
      <c r="F29" s="22" t="s">
        <v>627</v>
      </c>
      <c r="G29" s="22" t="s">
        <v>628</v>
      </c>
      <c r="H29" s="22" t="s">
        <v>150</v>
      </c>
      <c r="I29" s="22" t="s">
        <v>151</v>
      </c>
      <c r="J29" s="22" t="s">
        <v>212</v>
      </c>
      <c r="K29" s="22" t="s">
        <v>66</v>
      </c>
      <c r="L29" s="54" t="s">
        <v>153</v>
      </c>
      <c r="M29" s="28" t="s">
        <v>163</v>
      </c>
      <c r="N29" s="24" t="s">
        <v>153</v>
      </c>
      <c r="O29" s="35" t="s">
        <v>170</v>
      </c>
      <c r="P29" s="35" t="s">
        <v>170</v>
      </c>
      <c r="Q29" s="23" t="s">
        <v>153</v>
      </c>
      <c r="R29" s="23" t="s">
        <v>153</v>
      </c>
      <c r="S29" s="23" t="s">
        <v>153</v>
      </c>
      <c r="T29" s="24" t="s">
        <v>156</v>
      </c>
      <c r="U29" s="24" t="s">
        <v>153</v>
      </c>
      <c r="V29" s="54" t="s">
        <v>153</v>
      </c>
      <c r="W29" s="23" t="s">
        <v>153</v>
      </c>
      <c r="X29" s="23" t="s">
        <v>153</v>
      </c>
      <c r="Y29" s="23" t="s">
        <v>153</v>
      </c>
      <c r="Z29" s="23" t="s">
        <v>153</v>
      </c>
      <c r="AA29" s="24" t="s">
        <v>156</v>
      </c>
      <c r="AB29" s="24" t="s">
        <v>153</v>
      </c>
      <c r="AC29" s="23" t="s">
        <v>153</v>
      </c>
      <c r="AD29" s="23" t="s">
        <v>153</v>
      </c>
      <c r="AE29" s="23" t="s">
        <v>153</v>
      </c>
      <c r="AF29" s="23" t="s">
        <v>153</v>
      </c>
      <c r="AG29" s="23" t="s">
        <v>153</v>
      </c>
      <c r="AH29" s="23" t="s">
        <v>153</v>
      </c>
      <c r="AI29" s="24" t="s">
        <v>153</v>
      </c>
      <c r="AJ29" s="23" t="s">
        <v>153</v>
      </c>
      <c r="AK29" s="23" t="s">
        <v>153</v>
      </c>
      <c r="AL29" s="23" t="s">
        <v>153</v>
      </c>
      <c r="AM29" s="23" t="s">
        <v>153</v>
      </c>
      <c r="AN29" s="23" t="s">
        <v>153</v>
      </c>
      <c r="AO29" s="24" t="s">
        <v>156</v>
      </c>
      <c r="AP29" s="23">
        <f>VALUE(0)</f>
        <v>0</v>
      </c>
      <c r="AQ29" s="23">
        <f>VALUE(0)</f>
        <v>0</v>
      </c>
      <c r="AR29" s="23">
        <f>VALUE(0)</f>
        <v>0</v>
      </c>
      <c r="AS29" s="23">
        <f>VALUE(0)</f>
        <v>0</v>
      </c>
      <c r="AT29" s="23">
        <f>VALUE(0)</f>
        <v>0</v>
      </c>
      <c r="AU29" s="23">
        <f>VALUE(1)</f>
        <v>1</v>
      </c>
      <c r="AV29" s="23">
        <f>VALUE(2)</f>
        <v>2</v>
      </c>
      <c r="AW29" s="23">
        <f>VALUE(0)</f>
        <v>0</v>
      </c>
      <c r="AX29" s="23" t="s">
        <v>171</v>
      </c>
      <c r="AY29" s="23" t="s">
        <v>215</v>
      </c>
      <c r="AZ29" s="23">
        <f>VALUE(0)</f>
        <v>0</v>
      </c>
      <c r="BA29" s="23">
        <f>VALUE(0)</f>
        <v>0</v>
      </c>
      <c r="BB29" s="23">
        <f>VALUE(0)</f>
        <v>0</v>
      </c>
      <c r="BC29" s="23">
        <f>VALUE(0)</f>
        <v>0</v>
      </c>
      <c r="BD29" s="23">
        <f>VALUE(0)</f>
        <v>0</v>
      </c>
      <c r="BE29" s="23">
        <f>VALUE(2)</f>
        <v>2</v>
      </c>
      <c r="BF29" s="23">
        <f>VALUE(0)</f>
        <v>0</v>
      </c>
      <c r="BG29" s="23">
        <f>VALUE(0)</f>
        <v>0</v>
      </c>
      <c r="BH29" s="23">
        <f>VALUE(0)</f>
        <v>0</v>
      </c>
      <c r="BI29" s="23">
        <f>VALUE(0)</f>
        <v>0</v>
      </c>
      <c r="BJ29" s="23">
        <f>VALUE(0)</f>
        <v>0</v>
      </c>
      <c r="BK29" s="12">
        <f>$AX$29*24</f>
        <v>5.833333333333333</v>
      </c>
      <c r="BL29" s="12">
        <f>$AY$29*24</f>
        <v>1.4</v>
      </c>
      <c r="BM29" s="12">
        <f>$BJ$29*24</f>
        <v>0</v>
      </c>
      <c r="BN29" s="12">
        <f>VALUE($I$29)/100</f>
        <v>1</v>
      </c>
      <c r="BO29" s="12">
        <v>0</v>
      </c>
      <c r="BP29" s="12">
        <v>0</v>
      </c>
      <c r="BQ29" s="12">
        <v>0</v>
      </c>
      <c r="BR29" s="12">
        <v>0</v>
      </c>
      <c r="BS29" s="12">
        <v>0</v>
      </c>
      <c r="BT29" s="12">
        <v>0</v>
      </c>
      <c r="BU29" s="12">
        <v>0</v>
      </c>
      <c r="BV29" s="12">
        <v>0</v>
      </c>
      <c r="BW29" s="12">
        <v>0</v>
      </c>
      <c r="BX29" s="12">
        <v>0</v>
      </c>
      <c r="BY29" s="12">
        <v>0</v>
      </c>
      <c r="BZ29" s="12">
        <v>0</v>
      </c>
      <c r="CA29" s="12">
        <v>0</v>
      </c>
    </row>
    <row r="30" spans="1:79" x14ac:dyDescent="0.2">
      <c r="A30" s="12" t="s">
        <v>102</v>
      </c>
      <c r="B30" s="12" t="s">
        <v>105</v>
      </c>
      <c r="C30" s="12" t="s">
        <v>105</v>
      </c>
      <c r="D30" s="22" t="s">
        <v>216</v>
      </c>
      <c r="E30" s="22" t="s">
        <v>161</v>
      </c>
      <c r="F30" s="22" t="s">
        <v>629</v>
      </c>
      <c r="G30" s="22" t="s">
        <v>630</v>
      </c>
      <c r="H30" s="22" t="s">
        <v>166</v>
      </c>
      <c r="I30" s="22" t="s">
        <v>151</v>
      </c>
      <c r="J30" s="22" t="s">
        <v>212</v>
      </c>
      <c r="K30" s="22" t="s">
        <v>66</v>
      </c>
      <c r="L30" s="54" t="s">
        <v>153</v>
      </c>
      <c r="M30" s="24" t="s">
        <v>156</v>
      </c>
      <c r="N30" s="24" t="s">
        <v>153</v>
      </c>
      <c r="O30" s="23" t="s">
        <v>153</v>
      </c>
      <c r="P30" s="23" t="s">
        <v>153</v>
      </c>
      <c r="Q30" s="23" t="s">
        <v>153</v>
      </c>
      <c r="R30" s="23" t="s">
        <v>153</v>
      </c>
      <c r="S30" s="23" t="s">
        <v>153</v>
      </c>
      <c r="T30" s="24" t="s">
        <v>156</v>
      </c>
      <c r="U30" s="24" t="s">
        <v>153</v>
      </c>
      <c r="V30" s="54" t="s">
        <v>153</v>
      </c>
      <c r="W30" s="28" t="s">
        <v>163</v>
      </c>
      <c r="X30" s="28" t="s">
        <v>163</v>
      </c>
      <c r="Y30" s="28" t="s">
        <v>163</v>
      </c>
      <c r="Z30" s="28" t="s">
        <v>163</v>
      </c>
      <c r="AA30" s="28" t="s">
        <v>163</v>
      </c>
      <c r="AB30" s="24" t="s">
        <v>153</v>
      </c>
      <c r="AC30" s="23" t="s">
        <v>153</v>
      </c>
      <c r="AD30" s="23" t="s">
        <v>153</v>
      </c>
      <c r="AE30" s="23" t="s">
        <v>153</v>
      </c>
      <c r="AF30" s="23" t="s">
        <v>153</v>
      </c>
      <c r="AG30" s="23" t="s">
        <v>153</v>
      </c>
      <c r="AH30" s="24" t="s">
        <v>156</v>
      </c>
      <c r="AI30" s="24" t="s">
        <v>153</v>
      </c>
      <c r="AJ30" s="23" t="s">
        <v>153</v>
      </c>
      <c r="AK30" s="23" t="s">
        <v>153</v>
      </c>
      <c r="AL30" s="23" t="s">
        <v>153</v>
      </c>
      <c r="AM30" s="23" t="s">
        <v>153</v>
      </c>
      <c r="AN30" s="23" t="s">
        <v>153</v>
      </c>
      <c r="AO30" s="24" t="s">
        <v>156</v>
      </c>
      <c r="AP30" s="23">
        <f>VALUE(0)</f>
        <v>0</v>
      </c>
      <c r="AQ30" s="23">
        <f>VALUE(0)</f>
        <v>0</v>
      </c>
      <c r="AR30" s="23">
        <f>VALUE(0)</f>
        <v>0</v>
      </c>
      <c r="AS30" s="23">
        <f>VALUE(0)</f>
        <v>0</v>
      </c>
      <c r="AT30" s="23">
        <f>VALUE(0)</f>
        <v>0</v>
      </c>
      <c r="AU30" s="23">
        <f>VALUE(5)</f>
        <v>5</v>
      </c>
      <c r="AV30" s="23">
        <f>VALUE(4)</f>
        <v>4</v>
      </c>
      <c r="AW30" s="23">
        <f>VALUE(0)</f>
        <v>0</v>
      </c>
      <c r="AX30" s="23" t="s">
        <v>217</v>
      </c>
      <c r="AY30" s="23">
        <f>VALUE(0)</f>
        <v>0</v>
      </c>
      <c r="AZ30" s="23">
        <f>VALUE(0)</f>
        <v>0</v>
      </c>
      <c r="BA30" s="23">
        <f>VALUE(0)</f>
        <v>0</v>
      </c>
      <c r="BB30" s="23">
        <f>VALUE(0)</f>
        <v>0</v>
      </c>
      <c r="BC30" s="23">
        <f>VALUE(0)</f>
        <v>0</v>
      </c>
      <c r="BD30" s="23">
        <f>VALUE(0)</f>
        <v>0</v>
      </c>
      <c r="BE30" s="23">
        <f>VALUE(0)</f>
        <v>0</v>
      </c>
      <c r="BF30" s="23">
        <f>VALUE(0)</f>
        <v>0</v>
      </c>
      <c r="BG30" s="23">
        <f>VALUE(0)</f>
        <v>0</v>
      </c>
      <c r="BH30" s="23">
        <f>VALUE(0)</f>
        <v>0</v>
      </c>
      <c r="BI30" s="23">
        <f>VALUE(0)</f>
        <v>0</v>
      </c>
      <c r="BJ30" s="23">
        <f>VALUE(0)</f>
        <v>0</v>
      </c>
      <c r="BK30" s="12">
        <f>$AX$30*24</f>
        <v>0.33333333333333331</v>
      </c>
      <c r="BL30" s="12">
        <f>$AY$30*24</f>
        <v>0</v>
      </c>
      <c r="BM30" s="12">
        <f>$BJ$30*24</f>
        <v>0</v>
      </c>
      <c r="BN30" s="12">
        <f>VALUE($I$30)/100</f>
        <v>1</v>
      </c>
      <c r="BO30" s="12">
        <v>0</v>
      </c>
      <c r="BP30" s="12">
        <v>0</v>
      </c>
      <c r="BQ30" s="12">
        <v>0</v>
      </c>
      <c r="BR30" s="12">
        <v>0</v>
      </c>
      <c r="BS30" s="12">
        <v>0</v>
      </c>
      <c r="BT30" s="12">
        <v>0</v>
      </c>
      <c r="BU30" s="12">
        <v>0</v>
      </c>
      <c r="BV30" s="12">
        <v>0</v>
      </c>
      <c r="BW30" s="12">
        <v>0</v>
      </c>
      <c r="BX30" s="12">
        <v>0</v>
      </c>
      <c r="BY30" s="12">
        <v>0</v>
      </c>
      <c r="BZ30" s="12">
        <v>0</v>
      </c>
      <c r="CA30" s="12">
        <v>0</v>
      </c>
    </row>
    <row r="31" spans="1:79" x14ac:dyDescent="0.2">
      <c r="A31" s="12" t="s">
        <v>102</v>
      </c>
      <c r="B31" s="12" t="s">
        <v>105</v>
      </c>
      <c r="C31" s="12" t="s">
        <v>105</v>
      </c>
      <c r="D31" s="22" t="s">
        <v>206</v>
      </c>
      <c r="E31" s="22" t="s">
        <v>161</v>
      </c>
      <c r="F31" s="22" t="s">
        <v>631</v>
      </c>
      <c r="G31" s="22" t="s">
        <v>632</v>
      </c>
      <c r="H31" s="22" t="s">
        <v>166</v>
      </c>
      <c r="I31" s="22" t="s">
        <v>151</v>
      </c>
      <c r="J31" s="22" t="s">
        <v>212</v>
      </c>
      <c r="K31" s="22" t="s">
        <v>66</v>
      </c>
      <c r="L31" s="54" t="s">
        <v>153</v>
      </c>
      <c r="M31" s="24" t="s">
        <v>156</v>
      </c>
      <c r="N31" s="24" t="s">
        <v>153</v>
      </c>
      <c r="O31" s="23" t="s">
        <v>153</v>
      </c>
      <c r="P31" s="29" t="s">
        <v>218</v>
      </c>
      <c r="Q31" s="29" t="s">
        <v>218</v>
      </c>
      <c r="R31" s="23" t="s">
        <v>153</v>
      </c>
      <c r="S31" s="23" t="s">
        <v>153</v>
      </c>
      <c r="T31" s="24" t="s">
        <v>156</v>
      </c>
      <c r="U31" s="24" t="s">
        <v>153</v>
      </c>
      <c r="V31" s="54" t="s">
        <v>153</v>
      </c>
      <c r="W31" s="23" t="s">
        <v>153</v>
      </c>
      <c r="X31" s="23" t="s">
        <v>153</v>
      </c>
      <c r="Y31" s="29" t="s">
        <v>218</v>
      </c>
      <c r="Z31" s="23" t="s">
        <v>153</v>
      </c>
      <c r="AA31" s="23" t="s">
        <v>153</v>
      </c>
      <c r="AB31" s="24" t="s">
        <v>153</v>
      </c>
      <c r="AC31" s="23" t="s">
        <v>153</v>
      </c>
      <c r="AD31" s="23" t="s">
        <v>153</v>
      </c>
      <c r="AE31" s="29" t="s">
        <v>218</v>
      </c>
      <c r="AF31" s="23" t="s">
        <v>153</v>
      </c>
      <c r="AG31" s="29" t="s">
        <v>218</v>
      </c>
      <c r="AH31" s="24" t="s">
        <v>156</v>
      </c>
      <c r="AI31" s="24" t="s">
        <v>153</v>
      </c>
      <c r="AJ31" s="23" t="s">
        <v>153</v>
      </c>
      <c r="AK31" s="23" t="s">
        <v>153</v>
      </c>
      <c r="AL31" s="29" t="s">
        <v>218</v>
      </c>
      <c r="AM31" s="23" t="s">
        <v>153</v>
      </c>
      <c r="AN31" s="23" t="s">
        <v>153</v>
      </c>
      <c r="AO31" s="24" t="s">
        <v>156</v>
      </c>
      <c r="AP31" s="23">
        <f>VALUE(0)</f>
        <v>0</v>
      </c>
      <c r="AQ31" s="23">
        <f>VALUE(0)</f>
        <v>0</v>
      </c>
      <c r="AR31" s="23">
        <f>VALUE(6)</f>
        <v>6</v>
      </c>
      <c r="AS31" s="23">
        <f>VALUE(0)</f>
        <v>0</v>
      </c>
      <c r="AT31" s="23">
        <f>VALUE(0)</f>
        <v>0</v>
      </c>
      <c r="AU31" s="23">
        <f>VALUE(0)</f>
        <v>0</v>
      </c>
      <c r="AV31" s="23">
        <f>VALUE(12)</f>
        <v>12</v>
      </c>
      <c r="AW31" s="23">
        <f>VALUE(0)</f>
        <v>0</v>
      </c>
      <c r="AX31" s="23" t="s">
        <v>1173</v>
      </c>
      <c r="AY31" s="23">
        <f>VALUE(0)</f>
        <v>0</v>
      </c>
      <c r="AZ31" s="23">
        <f>VALUE(0)</f>
        <v>0</v>
      </c>
      <c r="BA31" s="23">
        <f>VALUE(0)</f>
        <v>0</v>
      </c>
      <c r="BB31" s="23">
        <f>VALUE(0)</f>
        <v>0</v>
      </c>
      <c r="BC31" s="23">
        <f>VALUE(0)</f>
        <v>0</v>
      </c>
      <c r="BD31" s="23">
        <f>VALUE(0)</f>
        <v>0</v>
      </c>
      <c r="BE31" s="23">
        <f>VALUE(0)</f>
        <v>0</v>
      </c>
      <c r="BF31" s="23">
        <f>VALUE(0)</f>
        <v>0</v>
      </c>
      <c r="BG31" s="23">
        <f>VALUE(0)</f>
        <v>0</v>
      </c>
      <c r="BH31" s="23">
        <f>VALUE(0)</f>
        <v>0</v>
      </c>
      <c r="BI31" s="23">
        <f>VALUE(0)</f>
        <v>0</v>
      </c>
      <c r="BJ31" s="23">
        <f>VALUE(0)</f>
        <v>0</v>
      </c>
      <c r="BK31" s="12">
        <f>$AX$31*24</f>
        <v>17.683333333333334</v>
      </c>
      <c r="BL31" s="12">
        <f>$AY$31*24</f>
        <v>0</v>
      </c>
      <c r="BM31" s="12">
        <f>$BJ$31*24</f>
        <v>0</v>
      </c>
      <c r="BN31" s="12">
        <f>VALUE($I$31)/100</f>
        <v>1</v>
      </c>
      <c r="BO31" s="12">
        <v>0</v>
      </c>
      <c r="BP31" s="12">
        <v>0</v>
      </c>
      <c r="BQ31" s="12">
        <v>0</v>
      </c>
      <c r="BR31" s="12">
        <v>0</v>
      </c>
      <c r="BS31" s="12">
        <v>6</v>
      </c>
      <c r="BT31" s="12">
        <v>0</v>
      </c>
      <c r="BU31" s="12">
        <v>0</v>
      </c>
      <c r="BV31" s="12">
        <v>0</v>
      </c>
      <c r="BW31" s="12">
        <v>0</v>
      </c>
      <c r="BX31" s="12">
        <v>0</v>
      </c>
      <c r="BY31" s="12">
        <v>0</v>
      </c>
      <c r="BZ31" s="12">
        <v>0</v>
      </c>
      <c r="CA31" s="12">
        <v>0</v>
      </c>
    </row>
    <row r="32" spans="1:79" x14ac:dyDescent="0.2">
      <c r="A32" s="12" t="s">
        <v>102</v>
      </c>
      <c r="B32" s="12" t="s">
        <v>105</v>
      </c>
      <c r="C32" s="12" t="s">
        <v>105</v>
      </c>
      <c r="D32" s="22" t="s">
        <v>207</v>
      </c>
      <c r="E32" s="22" t="s">
        <v>161</v>
      </c>
      <c r="F32" s="22" t="s">
        <v>633</v>
      </c>
      <c r="G32" s="22" t="s">
        <v>634</v>
      </c>
      <c r="H32" s="22" t="s">
        <v>150</v>
      </c>
      <c r="I32" s="22" t="s">
        <v>151</v>
      </c>
      <c r="J32" s="22" t="s">
        <v>212</v>
      </c>
      <c r="K32" s="22" t="s">
        <v>66</v>
      </c>
      <c r="L32" s="54" t="s">
        <v>153</v>
      </c>
      <c r="M32" s="24" t="s">
        <v>156</v>
      </c>
      <c r="N32" s="24" t="s">
        <v>153</v>
      </c>
      <c r="O32" s="23" t="s">
        <v>153</v>
      </c>
      <c r="P32" s="23" t="s">
        <v>153</v>
      </c>
      <c r="Q32" s="23" t="s">
        <v>153</v>
      </c>
      <c r="R32" s="23" t="s">
        <v>153</v>
      </c>
      <c r="S32" s="23" t="s">
        <v>153</v>
      </c>
      <c r="T32" s="23" t="s">
        <v>153</v>
      </c>
      <c r="U32" s="24" t="s">
        <v>153</v>
      </c>
      <c r="V32" s="54" t="s">
        <v>153</v>
      </c>
      <c r="W32" s="23" t="s">
        <v>153</v>
      </c>
      <c r="X32" s="23" t="s">
        <v>153</v>
      </c>
      <c r="Y32" s="23" t="s">
        <v>153</v>
      </c>
      <c r="Z32" s="23" t="s">
        <v>153</v>
      </c>
      <c r="AA32" s="24" t="s">
        <v>156</v>
      </c>
      <c r="AB32" s="24" t="s">
        <v>153</v>
      </c>
      <c r="AC32" s="23" t="s">
        <v>153</v>
      </c>
      <c r="AD32" s="23" t="s">
        <v>153</v>
      </c>
      <c r="AE32" s="23" t="s">
        <v>153</v>
      </c>
      <c r="AF32" s="23" t="s">
        <v>153</v>
      </c>
      <c r="AG32" s="23" t="s">
        <v>153</v>
      </c>
      <c r="AH32" s="24" t="s">
        <v>156</v>
      </c>
      <c r="AI32" s="24" t="s">
        <v>153</v>
      </c>
      <c r="AJ32" s="23" t="s">
        <v>153</v>
      </c>
      <c r="AK32" s="23" t="s">
        <v>153</v>
      </c>
      <c r="AL32" s="23" t="s">
        <v>153</v>
      </c>
      <c r="AM32" s="23" t="s">
        <v>153</v>
      </c>
      <c r="AN32" s="23" t="s">
        <v>153</v>
      </c>
      <c r="AO32" s="23" t="s">
        <v>153</v>
      </c>
      <c r="AP32" s="23">
        <f>VALUE(0)</f>
        <v>0</v>
      </c>
      <c r="AQ32" s="23">
        <f>VALUE(0)</f>
        <v>0</v>
      </c>
      <c r="AR32" s="23">
        <f>VALUE(0)</f>
        <v>0</v>
      </c>
      <c r="AS32" s="23">
        <f>VALUE(0)</f>
        <v>0</v>
      </c>
      <c r="AT32" s="23">
        <f>VALUE(0)</f>
        <v>0</v>
      </c>
      <c r="AU32" s="23">
        <f>VALUE(0)</f>
        <v>0</v>
      </c>
      <c r="AV32" s="23">
        <f>VALUE(21)</f>
        <v>21</v>
      </c>
      <c r="AW32" s="23">
        <f>VALUE(0)</f>
        <v>0</v>
      </c>
      <c r="AX32" s="23" t="s">
        <v>176</v>
      </c>
      <c r="AY32" s="23" t="s">
        <v>219</v>
      </c>
      <c r="AZ32" s="23">
        <f>VALUE(0)</f>
        <v>0</v>
      </c>
      <c r="BA32" s="23">
        <f>VALUE(0)</f>
        <v>0</v>
      </c>
      <c r="BB32" s="23">
        <f>VALUE(0)</f>
        <v>0</v>
      </c>
      <c r="BC32" s="23">
        <f>VALUE(0)</f>
        <v>0</v>
      </c>
      <c r="BD32" s="23">
        <f>VALUE(0)</f>
        <v>0</v>
      </c>
      <c r="BE32" s="23">
        <f>VALUE(0)</f>
        <v>0</v>
      </c>
      <c r="BF32" s="23">
        <f>VALUE(0)</f>
        <v>0</v>
      </c>
      <c r="BG32" s="23">
        <f>VALUE(0)</f>
        <v>0</v>
      </c>
      <c r="BH32" s="23">
        <f>VALUE(0)</f>
        <v>0</v>
      </c>
      <c r="BI32" s="23">
        <f>VALUE(0)</f>
        <v>0</v>
      </c>
      <c r="BJ32" s="23">
        <f>VALUE(0)</f>
        <v>0</v>
      </c>
      <c r="BK32" s="12">
        <f>$AX$32*24</f>
        <v>0</v>
      </c>
      <c r="BL32" s="12">
        <f>$AY$32*24</f>
        <v>1.2333333333333334</v>
      </c>
      <c r="BM32" s="12">
        <f>$BJ$32*24</f>
        <v>0</v>
      </c>
      <c r="BN32" s="12">
        <f>VALUE($I$32)/100</f>
        <v>1</v>
      </c>
      <c r="BO32" s="12">
        <v>0</v>
      </c>
      <c r="BP32" s="12">
        <v>0</v>
      </c>
      <c r="BQ32" s="12">
        <v>0</v>
      </c>
      <c r="BR32" s="12">
        <v>0</v>
      </c>
      <c r="BS32" s="12">
        <v>0</v>
      </c>
      <c r="BT32" s="12">
        <v>0</v>
      </c>
      <c r="BU32" s="12">
        <v>0</v>
      </c>
      <c r="BV32" s="12">
        <v>0</v>
      </c>
      <c r="BW32" s="12">
        <v>0</v>
      </c>
      <c r="BX32" s="12">
        <v>0</v>
      </c>
      <c r="BY32" s="12">
        <v>0</v>
      </c>
      <c r="BZ32" s="12">
        <v>0</v>
      </c>
      <c r="CA32" s="12">
        <v>0</v>
      </c>
    </row>
    <row r="33" spans="1:79" x14ac:dyDescent="0.2">
      <c r="A33" s="12" t="s">
        <v>102</v>
      </c>
      <c r="B33" s="12" t="s">
        <v>105</v>
      </c>
      <c r="C33" s="12" t="s">
        <v>105</v>
      </c>
      <c r="D33" s="22" t="s">
        <v>220</v>
      </c>
      <c r="E33" s="22" t="s">
        <v>161</v>
      </c>
      <c r="F33" s="22" t="s">
        <v>635</v>
      </c>
      <c r="G33" s="22" t="s">
        <v>636</v>
      </c>
      <c r="H33" s="22" t="s">
        <v>166</v>
      </c>
      <c r="I33" s="22" t="s">
        <v>151</v>
      </c>
      <c r="J33" s="22" t="s">
        <v>212</v>
      </c>
      <c r="K33" s="22" t="s">
        <v>66</v>
      </c>
      <c r="L33" s="54" t="s">
        <v>153</v>
      </c>
      <c r="M33" s="24" t="s">
        <v>156</v>
      </c>
      <c r="N33" s="24" t="s">
        <v>153</v>
      </c>
      <c r="O33" s="23" t="s">
        <v>153</v>
      </c>
      <c r="P33" s="23" t="s">
        <v>153</v>
      </c>
      <c r="Q33" s="23" t="s">
        <v>153</v>
      </c>
      <c r="R33" s="23" t="s">
        <v>153</v>
      </c>
      <c r="S33" s="23" t="s">
        <v>153</v>
      </c>
      <c r="T33" s="23" t="s">
        <v>153</v>
      </c>
      <c r="U33" s="24" t="s">
        <v>153</v>
      </c>
      <c r="V33" s="54" t="s">
        <v>153</v>
      </c>
      <c r="W33" s="23" t="s">
        <v>153</v>
      </c>
      <c r="X33" s="23" t="s">
        <v>153</v>
      </c>
      <c r="Y33" s="23" t="s">
        <v>153</v>
      </c>
      <c r="Z33" s="23" t="s">
        <v>153</v>
      </c>
      <c r="AA33" s="24" t="s">
        <v>156</v>
      </c>
      <c r="AB33" s="24" t="s">
        <v>153</v>
      </c>
      <c r="AC33" s="23" t="s">
        <v>153</v>
      </c>
      <c r="AD33" s="23" t="s">
        <v>153</v>
      </c>
      <c r="AE33" s="23" t="s">
        <v>153</v>
      </c>
      <c r="AF33" s="23" t="s">
        <v>153</v>
      </c>
      <c r="AG33" s="23" t="s">
        <v>153</v>
      </c>
      <c r="AH33" s="24" t="s">
        <v>156</v>
      </c>
      <c r="AI33" s="24" t="s">
        <v>153</v>
      </c>
      <c r="AJ33" s="23" t="s">
        <v>153</v>
      </c>
      <c r="AK33" s="23" t="s">
        <v>153</v>
      </c>
      <c r="AL33" s="23" t="s">
        <v>153</v>
      </c>
      <c r="AM33" s="23" t="s">
        <v>153</v>
      </c>
      <c r="AN33" s="23" t="s">
        <v>153</v>
      </c>
      <c r="AO33" s="23" t="s">
        <v>153</v>
      </c>
      <c r="AP33" s="23">
        <f>VALUE(0)</f>
        <v>0</v>
      </c>
      <c r="AQ33" s="23">
        <f>VALUE(0)</f>
        <v>0</v>
      </c>
      <c r="AR33" s="23">
        <f>VALUE(0)</f>
        <v>0</v>
      </c>
      <c r="AS33" s="23">
        <f>VALUE(0)</f>
        <v>0</v>
      </c>
      <c r="AT33" s="23">
        <f>VALUE(0)</f>
        <v>0</v>
      </c>
      <c r="AU33" s="23">
        <f>VALUE(0)</f>
        <v>0</v>
      </c>
      <c r="AV33" s="23">
        <f>VALUE(11.5)</f>
        <v>11.5</v>
      </c>
      <c r="AW33" s="23">
        <f>VALUE(0)</f>
        <v>0</v>
      </c>
      <c r="AX33" s="23" t="s">
        <v>1174</v>
      </c>
      <c r="AY33" s="23">
        <f>VALUE(0)</f>
        <v>0</v>
      </c>
      <c r="AZ33" s="23">
        <f>VALUE(0)</f>
        <v>0</v>
      </c>
      <c r="BA33" s="23">
        <f>VALUE(0)</f>
        <v>0</v>
      </c>
      <c r="BB33" s="23">
        <f>VALUE(0)</f>
        <v>0</v>
      </c>
      <c r="BC33" s="23">
        <f>VALUE(0)</f>
        <v>0</v>
      </c>
      <c r="BD33" s="23">
        <f>VALUE(0)</f>
        <v>0</v>
      </c>
      <c r="BE33" s="23">
        <f>VALUE(0)</f>
        <v>0</v>
      </c>
      <c r="BF33" s="23">
        <f>VALUE(0)</f>
        <v>0</v>
      </c>
      <c r="BG33" s="23">
        <f>VALUE(0)</f>
        <v>0</v>
      </c>
      <c r="BH33" s="23">
        <f>VALUE(0)</f>
        <v>0</v>
      </c>
      <c r="BI33" s="23">
        <f>VALUE(0)</f>
        <v>0</v>
      </c>
      <c r="BJ33" s="23">
        <f>VALUE(0)</f>
        <v>0</v>
      </c>
      <c r="BK33" s="12">
        <f>$AX$33*24</f>
        <v>30.233333333333334</v>
      </c>
      <c r="BL33" s="12">
        <f>$AY$33*24</f>
        <v>0</v>
      </c>
      <c r="BM33" s="12">
        <f>$BJ$33*24</f>
        <v>0</v>
      </c>
      <c r="BN33" s="12">
        <f>VALUE($I$33)/100</f>
        <v>1</v>
      </c>
      <c r="BO33" s="12">
        <v>0</v>
      </c>
      <c r="BP33" s="12">
        <v>0</v>
      </c>
      <c r="BQ33" s="12">
        <v>0</v>
      </c>
      <c r="BR33" s="12">
        <v>0</v>
      </c>
      <c r="BS33" s="12">
        <v>0</v>
      </c>
      <c r="BT33" s="12">
        <v>0</v>
      </c>
      <c r="BU33" s="12">
        <v>0</v>
      </c>
      <c r="BV33" s="12">
        <v>0</v>
      </c>
      <c r="BW33" s="12">
        <v>0</v>
      </c>
      <c r="BX33" s="12">
        <v>0</v>
      </c>
      <c r="BY33" s="12">
        <v>0</v>
      </c>
      <c r="BZ33" s="12">
        <v>0</v>
      </c>
      <c r="CA33" s="12">
        <v>0</v>
      </c>
    </row>
    <row r="34" spans="1:79" ht="16.5" x14ac:dyDescent="0.2">
      <c r="A34" s="12" t="s">
        <v>102</v>
      </c>
      <c r="B34" s="12" t="s">
        <v>105</v>
      </c>
      <c r="C34" s="12" t="s">
        <v>105</v>
      </c>
      <c r="D34" s="22" t="s">
        <v>211</v>
      </c>
      <c r="E34" s="22" t="s">
        <v>161</v>
      </c>
      <c r="F34" s="22" t="s">
        <v>637</v>
      </c>
      <c r="G34" s="22" t="s">
        <v>638</v>
      </c>
      <c r="H34" s="22" t="s">
        <v>150</v>
      </c>
      <c r="I34" s="22" t="s">
        <v>151</v>
      </c>
      <c r="J34" s="22" t="s">
        <v>162</v>
      </c>
      <c r="K34" s="22" t="s">
        <v>66</v>
      </c>
      <c r="L34" s="54" t="s">
        <v>153</v>
      </c>
      <c r="M34" s="28" t="s">
        <v>163</v>
      </c>
      <c r="N34" s="24" t="s">
        <v>153</v>
      </c>
      <c r="O34" s="23" t="s">
        <v>153</v>
      </c>
      <c r="P34" s="26" t="s">
        <v>221</v>
      </c>
      <c r="Q34" s="26" t="s">
        <v>221</v>
      </c>
      <c r="R34" s="26" t="s">
        <v>221</v>
      </c>
      <c r="S34" s="26" t="s">
        <v>221</v>
      </c>
      <c r="T34" s="23" t="s">
        <v>222</v>
      </c>
      <c r="U34" s="24" t="s">
        <v>153</v>
      </c>
      <c r="V34" s="54" t="s">
        <v>153</v>
      </c>
      <c r="W34" s="26" t="s">
        <v>221</v>
      </c>
      <c r="X34" s="26" t="s">
        <v>221</v>
      </c>
      <c r="Y34" s="26" t="s">
        <v>221</v>
      </c>
      <c r="Z34" s="26" t="s">
        <v>221</v>
      </c>
      <c r="AA34" s="23" t="s">
        <v>222</v>
      </c>
      <c r="AB34" s="24" t="s">
        <v>153</v>
      </c>
      <c r="AC34" s="23" t="s">
        <v>153</v>
      </c>
      <c r="AD34" s="26" t="s">
        <v>221</v>
      </c>
      <c r="AE34" s="26" t="s">
        <v>221</v>
      </c>
      <c r="AF34" s="26" t="s">
        <v>221</v>
      </c>
      <c r="AG34" s="29" t="s">
        <v>1175</v>
      </c>
      <c r="AH34" s="29" t="s">
        <v>1175</v>
      </c>
      <c r="AI34" s="24" t="s">
        <v>153</v>
      </c>
      <c r="AJ34" s="23" t="s">
        <v>153</v>
      </c>
      <c r="AK34" s="26" t="s">
        <v>221</v>
      </c>
      <c r="AL34" s="26" t="s">
        <v>221</v>
      </c>
      <c r="AM34" s="26" t="s">
        <v>221</v>
      </c>
      <c r="AN34" s="26" t="s">
        <v>221</v>
      </c>
      <c r="AO34" s="23" t="s">
        <v>222</v>
      </c>
      <c r="AP34" s="23">
        <f>VALUE(0)</f>
        <v>0</v>
      </c>
      <c r="AQ34" s="23">
        <f>VALUE(0)</f>
        <v>0</v>
      </c>
      <c r="AR34" s="23">
        <f>VALUE(2)</f>
        <v>2</v>
      </c>
      <c r="AS34" s="23">
        <f>VALUE(0)</f>
        <v>0</v>
      </c>
      <c r="AT34" s="23">
        <f>VALUE(0)</f>
        <v>0</v>
      </c>
      <c r="AU34" s="23">
        <f>VALUE(1)</f>
        <v>1</v>
      </c>
      <c r="AV34" s="23">
        <f>VALUE(3)</f>
        <v>3</v>
      </c>
      <c r="AW34" s="23">
        <f>VALUE(0)</f>
        <v>0</v>
      </c>
      <c r="AX34" s="23" t="s">
        <v>1176</v>
      </c>
      <c r="AY34" s="23" t="s">
        <v>1177</v>
      </c>
      <c r="AZ34" s="23">
        <f>VALUE(0)</f>
        <v>0</v>
      </c>
      <c r="BA34" s="23">
        <f>VALUE(0)</f>
        <v>0</v>
      </c>
      <c r="BB34" s="23">
        <f>VALUE(0)</f>
        <v>0</v>
      </c>
      <c r="BC34" s="23">
        <f>VALUE(0)</f>
        <v>0</v>
      </c>
      <c r="BD34" s="23">
        <f>VALUE(0)</f>
        <v>0</v>
      </c>
      <c r="BE34" s="23">
        <f>VALUE(0)</f>
        <v>0</v>
      </c>
      <c r="BF34" s="23">
        <f>VALUE(0)</f>
        <v>0</v>
      </c>
      <c r="BG34" s="23">
        <f>VALUE(0)</f>
        <v>0</v>
      </c>
      <c r="BH34" s="23">
        <f>VALUE(0)</f>
        <v>0</v>
      </c>
      <c r="BI34" s="23">
        <f>VALUE(0)</f>
        <v>0</v>
      </c>
      <c r="BJ34" s="23">
        <f>VALUE(0)</f>
        <v>0</v>
      </c>
      <c r="BK34" s="12">
        <f>$AX$34*24</f>
        <v>9.5833333333333339</v>
      </c>
      <c r="BL34" s="12">
        <f>$AY$34*24</f>
        <v>5.0666666666666664</v>
      </c>
      <c r="BM34" s="12">
        <f>$BJ$34*24</f>
        <v>0</v>
      </c>
      <c r="BN34" s="12">
        <f>VALUE($I$34)/100</f>
        <v>1</v>
      </c>
      <c r="BO34" s="12">
        <v>0</v>
      </c>
      <c r="BP34" s="12">
        <v>0</v>
      </c>
      <c r="BQ34" s="12">
        <v>0</v>
      </c>
      <c r="BR34" s="12">
        <v>0</v>
      </c>
      <c r="BS34" s="12">
        <v>0</v>
      </c>
      <c r="BT34" s="12">
        <v>0</v>
      </c>
      <c r="BU34" s="12">
        <v>0</v>
      </c>
      <c r="BV34" s="12">
        <v>2</v>
      </c>
      <c r="BW34" s="12">
        <v>0</v>
      </c>
      <c r="BX34" s="12">
        <v>0</v>
      </c>
      <c r="BY34" s="12">
        <v>0</v>
      </c>
      <c r="BZ34" s="12">
        <v>0</v>
      </c>
      <c r="CA34" s="12">
        <v>0</v>
      </c>
    </row>
    <row r="35" spans="1:79" ht="16.5" x14ac:dyDescent="0.2">
      <c r="A35" s="12" t="s">
        <v>102</v>
      </c>
      <c r="B35" s="12" t="s">
        <v>105</v>
      </c>
      <c r="C35" s="12" t="s">
        <v>105</v>
      </c>
      <c r="D35" s="22" t="s">
        <v>223</v>
      </c>
      <c r="E35" s="22" t="s">
        <v>161</v>
      </c>
      <c r="F35" s="22" t="s">
        <v>639</v>
      </c>
      <c r="G35" s="22" t="s">
        <v>640</v>
      </c>
      <c r="H35" s="22" t="s">
        <v>190</v>
      </c>
      <c r="I35" s="22" t="s">
        <v>151</v>
      </c>
      <c r="J35" s="22" t="s">
        <v>181</v>
      </c>
      <c r="K35" s="22" t="s">
        <v>66</v>
      </c>
      <c r="L35" s="54" t="s">
        <v>153</v>
      </c>
      <c r="M35" s="23" t="s">
        <v>224</v>
      </c>
      <c r="N35" s="24" t="s">
        <v>153</v>
      </c>
      <c r="O35" s="26" t="s">
        <v>225</v>
      </c>
      <c r="P35" s="26" t="s">
        <v>225</v>
      </c>
      <c r="Q35" s="26" t="s">
        <v>225</v>
      </c>
      <c r="R35" s="26" t="s">
        <v>225</v>
      </c>
      <c r="S35" s="26" t="s">
        <v>225</v>
      </c>
      <c r="T35" s="26" t="s">
        <v>225</v>
      </c>
      <c r="U35" s="24" t="s">
        <v>153</v>
      </c>
      <c r="V35" s="54" t="s">
        <v>153</v>
      </c>
      <c r="W35" s="26" t="s">
        <v>225</v>
      </c>
      <c r="X35" s="40" t="s">
        <v>153</v>
      </c>
      <c r="Y35" s="40" t="s">
        <v>153</v>
      </c>
      <c r="Z35" s="40" t="s">
        <v>153</v>
      </c>
      <c r="AA35" s="40" t="s">
        <v>153</v>
      </c>
      <c r="AB35" s="40" t="s">
        <v>153</v>
      </c>
      <c r="AC35" s="40" t="s">
        <v>153</v>
      </c>
      <c r="AD35" s="40" t="s">
        <v>153</v>
      </c>
      <c r="AE35" s="40" t="s">
        <v>153</v>
      </c>
      <c r="AF35" s="40" t="s">
        <v>153</v>
      </c>
      <c r="AG35" s="40" t="s">
        <v>153</v>
      </c>
      <c r="AH35" s="40" t="s">
        <v>153</v>
      </c>
      <c r="AI35" s="40" t="s">
        <v>153</v>
      </c>
      <c r="AJ35" s="40" t="s">
        <v>153</v>
      </c>
      <c r="AK35" s="40" t="s">
        <v>153</v>
      </c>
      <c r="AL35" s="40" t="s">
        <v>153</v>
      </c>
      <c r="AM35" s="40" t="s">
        <v>153</v>
      </c>
      <c r="AN35" s="40" t="s">
        <v>153</v>
      </c>
      <c r="AO35" s="40" t="s">
        <v>153</v>
      </c>
      <c r="AP35" s="23">
        <f>VALUE(0)</f>
        <v>0</v>
      </c>
      <c r="AQ35" s="23">
        <f>VALUE(0)</f>
        <v>0</v>
      </c>
      <c r="AR35" s="23">
        <f>VALUE(0)</f>
        <v>0</v>
      </c>
      <c r="AS35" s="23">
        <f>VALUE(0)</f>
        <v>0</v>
      </c>
      <c r="AT35" s="23">
        <f>VALUE(0)</f>
        <v>0</v>
      </c>
      <c r="AU35" s="23">
        <f>VALUE(0)</f>
        <v>0</v>
      </c>
      <c r="AV35" s="23">
        <f>VALUE(17)</f>
        <v>17</v>
      </c>
      <c r="AW35" s="23">
        <f>VALUE(0)</f>
        <v>0</v>
      </c>
      <c r="AX35" s="23">
        <f>VALUE(0)</f>
        <v>0</v>
      </c>
      <c r="AY35" s="23">
        <f>VALUE(0)</f>
        <v>0</v>
      </c>
      <c r="AZ35" s="23">
        <f>VALUE(0)</f>
        <v>0</v>
      </c>
      <c r="BA35" s="23">
        <f>VALUE(0)</f>
        <v>0</v>
      </c>
      <c r="BB35" s="23">
        <f>VALUE(0)</f>
        <v>0</v>
      </c>
      <c r="BC35" s="23">
        <f>VALUE(0)</f>
        <v>0</v>
      </c>
      <c r="BD35" s="23">
        <f>VALUE(0)</f>
        <v>0</v>
      </c>
      <c r="BE35" s="23">
        <f>VALUE(0)</f>
        <v>0</v>
      </c>
      <c r="BF35" s="23">
        <f>VALUE(0)</f>
        <v>0</v>
      </c>
      <c r="BG35" s="23">
        <f>VALUE(0)</f>
        <v>0</v>
      </c>
      <c r="BH35" s="23">
        <f>VALUE(0)</f>
        <v>0</v>
      </c>
      <c r="BI35" s="23">
        <f>VALUE(0)</f>
        <v>0</v>
      </c>
      <c r="BJ35" s="23">
        <f>VALUE(0)</f>
        <v>0</v>
      </c>
      <c r="BK35" s="12">
        <f>$AX$35*24</f>
        <v>0</v>
      </c>
      <c r="BL35" s="12">
        <f>$AY$35*24</f>
        <v>0</v>
      </c>
      <c r="BM35" s="12">
        <f>$BJ$35*24</f>
        <v>0</v>
      </c>
      <c r="BN35" s="12">
        <f>VALUE($I$35)/100</f>
        <v>1</v>
      </c>
      <c r="BO35" s="12">
        <v>0</v>
      </c>
      <c r="BP35" s="12">
        <v>0</v>
      </c>
      <c r="BQ35" s="12">
        <v>0</v>
      </c>
      <c r="BR35" s="12">
        <v>0</v>
      </c>
      <c r="BS35" s="12">
        <v>0</v>
      </c>
      <c r="BT35" s="12">
        <v>0</v>
      </c>
      <c r="BU35" s="12">
        <v>0</v>
      </c>
      <c r="BV35" s="12">
        <v>0</v>
      </c>
      <c r="BW35" s="12">
        <v>0</v>
      </c>
      <c r="BX35" s="12">
        <v>0</v>
      </c>
      <c r="BY35" s="12">
        <v>0</v>
      </c>
      <c r="BZ35" s="12">
        <v>0</v>
      </c>
      <c r="CA35" s="12">
        <v>0</v>
      </c>
    </row>
    <row r="36" spans="1:79" x14ac:dyDescent="0.2">
      <c r="A36" s="12" t="s">
        <v>102</v>
      </c>
      <c r="B36" s="12" t="s">
        <v>105</v>
      </c>
      <c r="C36" s="12" t="s">
        <v>105</v>
      </c>
      <c r="D36" s="22" t="s">
        <v>210</v>
      </c>
      <c r="E36" s="22" t="s">
        <v>161</v>
      </c>
      <c r="F36" s="22" t="s">
        <v>641</v>
      </c>
      <c r="G36" s="22" t="s">
        <v>642</v>
      </c>
      <c r="H36" s="22" t="s">
        <v>150</v>
      </c>
      <c r="I36" s="22" t="s">
        <v>226</v>
      </c>
      <c r="J36" s="22" t="s">
        <v>181</v>
      </c>
      <c r="K36" s="22" t="s">
        <v>66</v>
      </c>
      <c r="L36" s="54" t="s">
        <v>153</v>
      </c>
      <c r="M36" s="24" t="s">
        <v>195</v>
      </c>
      <c r="N36" s="24" t="s">
        <v>153</v>
      </c>
      <c r="O36" s="23" t="s">
        <v>153</v>
      </c>
      <c r="P36" s="23" t="s">
        <v>153</v>
      </c>
      <c r="Q36" s="23" t="s">
        <v>153</v>
      </c>
      <c r="R36" s="23" t="s">
        <v>153</v>
      </c>
      <c r="S36" s="24" t="s">
        <v>195</v>
      </c>
      <c r="T36" s="24" t="s">
        <v>195</v>
      </c>
      <c r="U36" s="24" t="s">
        <v>153</v>
      </c>
      <c r="V36" s="54" t="s">
        <v>153</v>
      </c>
      <c r="W36" s="23" t="s">
        <v>153</v>
      </c>
      <c r="X36" s="23" t="s">
        <v>153</v>
      </c>
      <c r="Y36" s="23" t="s">
        <v>153</v>
      </c>
      <c r="Z36" s="24" t="s">
        <v>195</v>
      </c>
      <c r="AA36" s="24" t="s">
        <v>195</v>
      </c>
      <c r="AB36" s="24" t="s">
        <v>153</v>
      </c>
      <c r="AC36" s="23" t="s">
        <v>153</v>
      </c>
      <c r="AD36" s="23" t="s">
        <v>153</v>
      </c>
      <c r="AE36" s="23" t="s">
        <v>153</v>
      </c>
      <c r="AF36" s="23" t="s">
        <v>153</v>
      </c>
      <c r="AG36" s="24" t="s">
        <v>195</v>
      </c>
      <c r="AH36" s="24" t="s">
        <v>195</v>
      </c>
      <c r="AI36" s="24" t="s">
        <v>153</v>
      </c>
      <c r="AJ36" s="23" t="s">
        <v>153</v>
      </c>
      <c r="AK36" s="23" t="s">
        <v>153</v>
      </c>
      <c r="AL36" s="23" t="s">
        <v>153</v>
      </c>
      <c r="AM36" s="23" t="s">
        <v>153</v>
      </c>
      <c r="AN36" s="24" t="s">
        <v>195</v>
      </c>
      <c r="AO36" s="24" t="s">
        <v>195</v>
      </c>
      <c r="AP36" s="23">
        <f>VALUE(0)</f>
        <v>0</v>
      </c>
      <c r="AQ36" s="23">
        <f>VALUE(0)</f>
        <v>0</v>
      </c>
      <c r="AR36" s="23">
        <f>VALUE(0)</f>
        <v>0</v>
      </c>
      <c r="AS36" s="23">
        <f>VALUE(0)</f>
        <v>0</v>
      </c>
      <c r="AT36" s="23">
        <f>VALUE(0)</f>
        <v>0</v>
      </c>
      <c r="AU36" s="23">
        <f>VALUE(0)</f>
        <v>0</v>
      </c>
      <c r="AV36" s="23">
        <f>VALUE(12)</f>
        <v>12</v>
      </c>
      <c r="AW36" s="23">
        <f>VALUE(0)</f>
        <v>0</v>
      </c>
      <c r="AX36" s="23" t="s">
        <v>176</v>
      </c>
      <c r="AY36" s="23" t="s">
        <v>227</v>
      </c>
      <c r="AZ36" s="23">
        <f>VALUE(0)</f>
        <v>0</v>
      </c>
      <c r="BA36" s="23">
        <f>VALUE(0)</f>
        <v>0</v>
      </c>
      <c r="BB36" s="23">
        <f>VALUE(0)</f>
        <v>0</v>
      </c>
      <c r="BC36" s="23">
        <f>VALUE(0)</f>
        <v>0</v>
      </c>
      <c r="BD36" s="23">
        <f>VALUE(0)</f>
        <v>0</v>
      </c>
      <c r="BE36" s="23">
        <f>VALUE(0)</f>
        <v>0</v>
      </c>
      <c r="BF36" s="23">
        <f>VALUE(0)</f>
        <v>0</v>
      </c>
      <c r="BG36" s="23">
        <f>VALUE(0)</f>
        <v>0</v>
      </c>
      <c r="BH36" s="23">
        <f>VALUE(0)</f>
        <v>0</v>
      </c>
      <c r="BI36" s="23">
        <f>VALUE(0)</f>
        <v>0</v>
      </c>
      <c r="BJ36" s="23">
        <f>VALUE(0)</f>
        <v>0</v>
      </c>
      <c r="BK36" s="12">
        <f>$AX$36*24</f>
        <v>0</v>
      </c>
      <c r="BL36" s="12">
        <f>$AY$36*24</f>
        <v>2.8333333333333335</v>
      </c>
      <c r="BM36" s="12">
        <f>$BJ$36*24</f>
        <v>0</v>
      </c>
      <c r="BN36" s="12">
        <f>VALUE($I$36)/100</f>
        <v>0.42</v>
      </c>
      <c r="BO36" s="12">
        <v>0</v>
      </c>
      <c r="BP36" s="12">
        <v>0</v>
      </c>
      <c r="BQ36" s="12">
        <v>0</v>
      </c>
      <c r="BR36" s="12">
        <v>0</v>
      </c>
      <c r="BS36" s="12">
        <v>0</v>
      </c>
      <c r="BT36" s="12">
        <v>0</v>
      </c>
      <c r="BU36" s="12">
        <v>0</v>
      </c>
      <c r="BV36" s="12">
        <v>0</v>
      </c>
      <c r="BW36" s="12">
        <v>0</v>
      </c>
      <c r="BX36" s="12">
        <v>0</v>
      </c>
      <c r="BY36" s="12">
        <v>0</v>
      </c>
      <c r="BZ36" s="12">
        <v>0</v>
      </c>
      <c r="CA36" s="12">
        <v>0</v>
      </c>
    </row>
    <row r="37" spans="1:79" x14ac:dyDescent="0.2">
      <c r="A37" s="12" t="s">
        <v>102</v>
      </c>
      <c r="B37" s="12" t="s">
        <v>105</v>
      </c>
      <c r="C37" s="12" t="s">
        <v>105</v>
      </c>
      <c r="D37" s="22" t="s">
        <v>228</v>
      </c>
      <c r="E37" s="22" t="s">
        <v>161</v>
      </c>
      <c r="F37" s="22" t="s">
        <v>1178</v>
      </c>
      <c r="G37" s="22" t="s">
        <v>643</v>
      </c>
      <c r="H37" s="22" t="s">
        <v>150</v>
      </c>
      <c r="I37" s="22" t="s">
        <v>151</v>
      </c>
      <c r="J37" s="22" t="s">
        <v>181</v>
      </c>
      <c r="K37" s="22" t="s">
        <v>66</v>
      </c>
      <c r="L37" s="54" t="s">
        <v>153</v>
      </c>
      <c r="M37" s="28" t="s">
        <v>163</v>
      </c>
      <c r="N37" s="24" t="s">
        <v>153</v>
      </c>
      <c r="O37" s="28" t="s">
        <v>163</v>
      </c>
      <c r="P37" s="28" t="s">
        <v>163</v>
      </c>
      <c r="Q37" s="28" t="s">
        <v>163</v>
      </c>
      <c r="R37" s="28" t="s">
        <v>163</v>
      </c>
      <c r="S37" s="28" t="s">
        <v>163</v>
      </c>
      <c r="T37" s="28" t="s">
        <v>163</v>
      </c>
      <c r="U37" s="24" t="s">
        <v>153</v>
      </c>
      <c r="V37" s="54" t="s">
        <v>153</v>
      </c>
      <c r="W37" s="23" t="s">
        <v>153</v>
      </c>
      <c r="X37" s="23" t="s">
        <v>153</v>
      </c>
      <c r="Y37" s="23" t="s">
        <v>153</v>
      </c>
      <c r="Z37" s="23" t="s">
        <v>153</v>
      </c>
      <c r="AA37" s="24" t="s">
        <v>156</v>
      </c>
      <c r="AB37" s="24" t="s">
        <v>153</v>
      </c>
      <c r="AC37" s="23" t="s">
        <v>153</v>
      </c>
      <c r="AD37" s="23" t="s">
        <v>153</v>
      </c>
      <c r="AE37" s="23" t="s">
        <v>153</v>
      </c>
      <c r="AF37" s="23" t="s">
        <v>153</v>
      </c>
      <c r="AG37" s="23" t="s">
        <v>153</v>
      </c>
      <c r="AH37" s="23" t="s">
        <v>153</v>
      </c>
      <c r="AI37" s="24" t="s">
        <v>153</v>
      </c>
      <c r="AJ37" s="23" t="s">
        <v>153</v>
      </c>
      <c r="AK37" s="23" t="s">
        <v>153</v>
      </c>
      <c r="AL37" s="35" t="s">
        <v>170</v>
      </c>
      <c r="AM37" s="23" t="s">
        <v>153</v>
      </c>
      <c r="AN37" s="23" t="s">
        <v>153</v>
      </c>
      <c r="AO37" s="24" t="s">
        <v>156</v>
      </c>
      <c r="AP37" s="23">
        <f>VALUE(0)</f>
        <v>0</v>
      </c>
      <c r="AQ37" s="23">
        <f>VALUE(0)</f>
        <v>0</v>
      </c>
      <c r="AR37" s="23">
        <f>VALUE(0)</f>
        <v>0</v>
      </c>
      <c r="AS37" s="23">
        <f>VALUE(0)</f>
        <v>0</v>
      </c>
      <c r="AT37" s="23">
        <f>VALUE(0)</f>
        <v>0</v>
      </c>
      <c r="AU37" s="23">
        <f>VALUE(7)</f>
        <v>7</v>
      </c>
      <c r="AV37" s="23">
        <f>VALUE(3)</f>
        <v>3</v>
      </c>
      <c r="AW37" s="23">
        <f>VALUE(0)</f>
        <v>0</v>
      </c>
      <c r="AX37" s="23" t="s">
        <v>171</v>
      </c>
      <c r="AY37" s="23" t="s">
        <v>196</v>
      </c>
      <c r="AZ37" s="23">
        <f>VALUE(0)</f>
        <v>0</v>
      </c>
      <c r="BA37" s="23">
        <f>VALUE(0)</f>
        <v>0</v>
      </c>
      <c r="BB37" s="23">
        <f>VALUE(0)</f>
        <v>0</v>
      </c>
      <c r="BC37" s="23">
        <f>VALUE(0)</f>
        <v>0</v>
      </c>
      <c r="BD37" s="23">
        <f>VALUE(0)</f>
        <v>0</v>
      </c>
      <c r="BE37" s="23">
        <f>VALUE(1)</f>
        <v>1</v>
      </c>
      <c r="BF37" s="23">
        <f>VALUE(0)</f>
        <v>0</v>
      </c>
      <c r="BG37" s="23">
        <f>VALUE(0)</f>
        <v>0</v>
      </c>
      <c r="BH37" s="23">
        <f>VALUE(0)</f>
        <v>0</v>
      </c>
      <c r="BI37" s="23">
        <f>VALUE(0)</f>
        <v>0</v>
      </c>
      <c r="BJ37" s="23">
        <f>VALUE(0)</f>
        <v>0</v>
      </c>
      <c r="BK37" s="12">
        <f>$AX$37*24</f>
        <v>5.833333333333333</v>
      </c>
      <c r="BL37" s="12">
        <f>$AY$37*24</f>
        <v>8.1</v>
      </c>
      <c r="BM37" s="12">
        <f>$BJ$37*24</f>
        <v>0</v>
      </c>
      <c r="BN37" s="12">
        <f>VALUE($I$37)/100</f>
        <v>1</v>
      </c>
      <c r="BO37" s="12">
        <v>0</v>
      </c>
      <c r="BP37" s="12">
        <v>0</v>
      </c>
      <c r="BQ37" s="12">
        <v>0</v>
      </c>
      <c r="BR37" s="12">
        <v>0</v>
      </c>
      <c r="BS37" s="12">
        <v>0</v>
      </c>
      <c r="BT37" s="12">
        <v>0</v>
      </c>
      <c r="BU37" s="12">
        <v>0</v>
      </c>
      <c r="BV37" s="12">
        <v>0</v>
      </c>
      <c r="BW37" s="12">
        <v>0</v>
      </c>
      <c r="BX37" s="12">
        <v>0</v>
      </c>
      <c r="BY37" s="12">
        <v>0</v>
      </c>
      <c r="BZ37" s="12">
        <v>0</v>
      </c>
      <c r="CA37" s="12">
        <v>0</v>
      </c>
    </row>
    <row r="38" spans="1:79" x14ac:dyDescent="0.2">
      <c r="A38" s="12" t="s">
        <v>102</v>
      </c>
      <c r="B38" s="12" t="s">
        <v>105</v>
      </c>
      <c r="C38" s="12" t="s">
        <v>105</v>
      </c>
      <c r="D38" s="22" t="s">
        <v>229</v>
      </c>
      <c r="E38" s="22" t="s">
        <v>161</v>
      </c>
      <c r="F38" s="22" t="s">
        <v>644</v>
      </c>
      <c r="G38" s="22" t="s">
        <v>645</v>
      </c>
      <c r="H38" s="22" t="s">
        <v>150</v>
      </c>
      <c r="I38" s="22" t="s">
        <v>151</v>
      </c>
      <c r="J38" s="22" t="s">
        <v>181</v>
      </c>
      <c r="K38" s="22" t="s">
        <v>66</v>
      </c>
      <c r="L38" s="54" t="s">
        <v>153</v>
      </c>
      <c r="M38" s="28" t="s">
        <v>163</v>
      </c>
      <c r="N38" s="24" t="s">
        <v>153</v>
      </c>
      <c r="O38" s="23" t="s">
        <v>153</v>
      </c>
      <c r="P38" s="23" t="s">
        <v>153</v>
      </c>
      <c r="Q38" s="23" t="s">
        <v>153</v>
      </c>
      <c r="R38" s="23" t="s">
        <v>153</v>
      </c>
      <c r="S38" s="23" t="s">
        <v>153</v>
      </c>
      <c r="T38" s="24" t="s">
        <v>156</v>
      </c>
      <c r="U38" s="24" t="s">
        <v>153</v>
      </c>
      <c r="V38" s="54" t="s">
        <v>153</v>
      </c>
      <c r="W38" s="23" t="s">
        <v>153</v>
      </c>
      <c r="X38" s="23" t="s">
        <v>153</v>
      </c>
      <c r="Y38" s="23" t="s">
        <v>153</v>
      </c>
      <c r="Z38" s="23" t="s">
        <v>153</v>
      </c>
      <c r="AA38" s="24" t="s">
        <v>156</v>
      </c>
      <c r="AB38" s="24" t="s">
        <v>153</v>
      </c>
      <c r="AC38" s="23" t="s">
        <v>153</v>
      </c>
      <c r="AD38" s="23" t="s">
        <v>153</v>
      </c>
      <c r="AE38" s="23" t="s">
        <v>153</v>
      </c>
      <c r="AF38" s="23" t="s">
        <v>153</v>
      </c>
      <c r="AG38" s="23" t="s">
        <v>153</v>
      </c>
      <c r="AH38" s="23" t="s">
        <v>153</v>
      </c>
      <c r="AI38" s="24" t="s">
        <v>153</v>
      </c>
      <c r="AJ38" s="23" t="s">
        <v>153</v>
      </c>
      <c r="AK38" s="23" t="s">
        <v>153</v>
      </c>
      <c r="AL38" s="23" t="s">
        <v>153</v>
      </c>
      <c r="AM38" s="23" t="s">
        <v>153</v>
      </c>
      <c r="AN38" s="23" t="s">
        <v>153</v>
      </c>
      <c r="AO38" s="24" t="s">
        <v>156</v>
      </c>
      <c r="AP38" s="23">
        <f>VALUE(0)</f>
        <v>0</v>
      </c>
      <c r="AQ38" s="23">
        <f>VALUE(0)</f>
        <v>0</v>
      </c>
      <c r="AR38" s="23">
        <f>VALUE(0)</f>
        <v>0</v>
      </c>
      <c r="AS38" s="23">
        <f>VALUE(0)</f>
        <v>0</v>
      </c>
      <c r="AT38" s="23">
        <f>VALUE(0)</f>
        <v>0</v>
      </c>
      <c r="AU38" s="23">
        <f>VALUE(1)</f>
        <v>1</v>
      </c>
      <c r="AV38" s="23">
        <f>VALUE(9)</f>
        <v>9</v>
      </c>
      <c r="AW38" s="23">
        <f>VALUE(0)</f>
        <v>0</v>
      </c>
      <c r="AX38" s="23" t="s">
        <v>171</v>
      </c>
      <c r="AY38" s="23" t="s">
        <v>230</v>
      </c>
      <c r="AZ38" s="23">
        <f>VALUE(0)</f>
        <v>0</v>
      </c>
      <c r="BA38" s="23">
        <f>VALUE(0)</f>
        <v>0</v>
      </c>
      <c r="BB38" s="23">
        <f>VALUE(0)</f>
        <v>0</v>
      </c>
      <c r="BC38" s="23">
        <f>VALUE(0)</f>
        <v>0</v>
      </c>
      <c r="BD38" s="23">
        <f>VALUE(0)</f>
        <v>0</v>
      </c>
      <c r="BE38" s="23">
        <f>VALUE(0)</f>
        <v>0</v>
      </c>
      <c r="BF38" s="23">
        <f>VALUE(0)</f>
        <v>0</v>
      </c>
      <c r="BG38" s="23">
        <f>VALUE(0)</f>
        <v>0</v>
      </c>
      <c r="BH38" s="23">
        <f>VALUE(0)</f>
        <v>0</v>
      </c>
      <c r="BI38" s="23">
        <f>VALUE(0)</f>
        <v>0</v>
      </c>
      <c r="BJ38" s="23">
        <f>VALUE(0)</f>
        <v>0</v>
      </c>
      <c r="BK38" s="12">
        <f>$AX$38*24</f>
        <v>5.833333333333333</v>
      </c>
      <c r="BL38" s="12">
        <f>$AY$38*24</f>
        <v>2.3333333333333335</v>
      </c>
      <c r="BM38" s="12">
        <f>$BJ$38*24</f>
        <v>0</v>
      </c>
      <c r="BN38" s="12">
        <f>VALUE($I$38)/100</f>
        <v>1</v>
      </c>
      <c r="BO38" s="12">
        <v>0</v>
      </c>
      <c r="BP38" s="12">
        <v>0</v>
      </c>
      <c r="BQ38" s="12">
        <v>0</v>
      </c>
      <c r="BR38" s="12">
        <v>0</v>
      </c>
      <c r="BS38" s="12">
        <v>0</v>
      </c>
      <c r="BT38" s="12">
        <v>0</v>
      </c>
      <c r="BU38" s="12">
        <v>0</v>
      </c>
      <c r="BV38" s="12">
        <v>0</v>
      </c>
      <c r="BW38" s="12">
        <v>0</v>
      </c>
      <c r="BX38" s="12">
        <v>0</v>
      </c>
      <c r="BY38" s="12">
        <v>0</v>
      </c>
      <c r="BZ38" s="12">
        <v>0</v>
      </c>
      <c r="CA38" s="12">
        <v>0</v>
      </c>
    </row>
    <row r="39" spans="1:79" x14ac:dyDescent="0.2">
      <c r="A39" s="12" t="s">
        <v>102</v>
      </c>
      <c r="B39" s="12" t="s">
        <v>105</v>
      </c>
      <c r="C39" s="12" t="s">
        <v>105</v>
      </c>
      <c r="D39" s="22" t="s">
        <v>208</v>
      </c>
      <c r="E39" s="22" t="s">
        <v>161</v>
      </c>
      <c r="F39" s="22" t="s">
        <v>646</v>
      </c>
      <c r="G39" s="22" t="s">
        <v>647</v>
      </c>
      <c r="H39" s="22" t="s">
        <v>150</v>
      </c>
      <c r="I39" s="22" t="s">
        <v>151</v>
      </c>
      <c r="J39" s="22" t="s">
        <v>181</v>
      </c>
      <c r="K39" s="22" t="s">
        <v>66</v>
      </c>
      <c r="L39" s="54" t="s">
        <v>153</v>
      </c>
      <c r="M39" s="24" t="s">
        <v>156</v>
      </c>
      <c r="N39" s="24" t="s">
        <v>153</v>
      </c>
      <c r="O39" s="23" t="s">
        <v>153</v>
      </c>
      <c r="P39" s="23" t="s">
        <v>153</v>
      </c>
      <c r="Q39" s="23" t="s">
        <v>153</v>
      </c>
      <c r="R39" s="23" t="s">
        <v>153</v>
      </c>
      <c r="S39" s="33" t="s">
        <v>201</v>
      </c>
      <c r="T39" s="24" t="s">
        <v>156</v>
      </c>
      <c r="U39" s="24" t="s">
        <v>153</v>
      </c>
      <c r="V39" s="54" t="s">
        <v>153</v>
      </c>
      <c r="W39" s="23" t="s">
        <v>153</v>
      </c>
      <c r="X39" s="23" t="s">
        <v>153</v>
      </c>
      <c r="Y39" s="23" t="s">
        <v>153</v>
      </c>
      <c r="Z39" s="23" t="s">
        <v>153</v>
      </c>
      <c r="AA39" s="23" t="s">
        <v>153</v>
      </c>
      <c r="AB39" s="24" t="s">
        <v>153</v>
      </c>
      <c r="AC39" s="23" t="s">
        <v>153</v>
      </c>
      <c r="AD39" s="33" t="s">
        <v>201</v>
      </c>
      <c r="AE39" s="23" t="s">
        <v>153</v>
      </c>
      <c r="AF39" s="23" t="s">
        <v>153</v>
      </c>
      <c r="AG39" s="23" t="s">
        <v>153</v>
      </c>
      <c r="AH39" s="24" t="s">
        <v>156</v>
      </c>
      <c r="AI39" s="24" t="s">
        <v>153</v>
      </c>
      <c r="AJ39" s="28" t="s">
        <v>338</v>
      </c>
      <c r="AK39" s="28" t="s">
        <v>338</v>
      </c>
      <c r="AL39" s="28" t="s">
        <v>338</v>
      </c>
      <c r="AM39" s="23" t="s">
        <v>153</v>
      </c>
      <c r="AN39" s="23" t="s">
        <v>153</v>
      </c>
      <c r="AO39" s="24" t="s">
        <v>156</v>
      </c>
      <c r="AP39" s="23">
        <f>VALUE(0)</f>
        <v>0</v>
      </c>
      <c r="AQ39" s="23">
        <f>VALUE(0)</f>
        <v>0</v>
      </c>
      <c r="AR39" s="23">
        <f>VALUE(0)</f>
        <v>0</v>
      </c>
      <c r="AS39" s="23">
        <f>VALUE(0)</f>
        <v>0</v>
      </c>
      <c r="AT39" s="23">
        <f>VALUE(3)</f>
        <v>3</v>
      </c>
      <c r="AU39" s="23">
        <f>VALUE(0)</f>
        <v>0</v>
      </c>
      <c r="AV39" s="23">
        <f>VALUE(12)</f>
        <v>12</v>
      </c>
      <c r="AW39" s="23">
        <f>VALUE(0)</f>
        <v>0</v>
      </c>
      <c r="AX39" s="23" t="s">
        <v>171</v>
      </c>
      <c r="AY39" s="23" t="s">
        <v>1179</v>
      </c>
      <c r="AZ39" s="23">
        <f>VALUE(0)</f>
        <v>0</v>
      </c>
      <c r="BA39" s="23">
        <f>VALUE(0)</f>
        <v>0</v>
      </c>
      <c r="BB39" s="23">
        <f>VALUE(2)</f>
        <v>2</v>
      </c>
      <c r="BC39" s="23">
        <f>VALUE(0)</f>
        <v>0</v>
      </c>
      <c r="BD39" s="23">
        <f>VALUE(0)</f>
        <v>0</v>
      </c>
      <c r="BE39" s="23">
        <f>VALUE(0)</f>
        <v>0</v>
      </c>
      <c r="BF39" s="23">
        <f>VALUE(0)</f>
        <v>0</v>
      </c>
      <c r="BG39" s="23">
        <f>VALUE(0)</f>
        <v>0</v>
      </c>
      <c r="BH39" s="23">
        <f>VALUE(0)</f>
        <v>0</v>
      </c>
      <c r="BI39" s="23">
        <f>VALUE(0)</f>
        <v>0</v>
      </c>
      <c r="BJ39" s="23">
        <f>VALUE(0)</f>
        <v>0</v>
      </c>
      <c r="BK39" s="12">
        <f>$AX$39*24</f>
        <v>5.833333333333333</v>
      </c>
      <c r="BL39" s="12">
        <f>$AY$39*24</f>
        <v>13.7</v>
      </c>
      <c r="BM39" s="12">
        <f>$BJ$39*24</f>
        <v>0</v>
      </c>
      <c r="BN39" s="12">
        <f>VALUE($I$39)/100</f>
        <v>1</v>
      </c>
      <c r="BO39" s="12">
        <v>0</v>
      </c>
      <c r="BP39" s="12">
        <v>0</v>
      </c>
      <c r="BQ39" s="12">
        <v>0</v>
      </c>
      <c r="BR39" s="12">
        <v>0</v>
      </c>
      <c r="BS39" s="12">
        <v>0</v>
      </c>
      <c r="BT39" s="12">
        <v>0</v>
      </c>
      <c r="BU39" s="12">
        <v>0</v>
      </c>
      <c r="BV39" s="12">
        <v>0</v>
      </c>
      <c r="BW39" s="12">
        <v>0</v>
      </c>
      <c r="BX39" s="12">
        <v>0</v>
      </c>
      <c r="BY39" s="12">
        <v>3</v>
      </c>
      <c r="BZ39" s="12">
        <v>0</v>
      </c>
      <c r="CA39" s="12">
        <v>0</v>
      </c>
    </row>
    <row r="40" spans="1:79" x14ac:dyDescent="0.2">
      <c r="A40" s="12" t="s">
        <v>102</v>
      </c>
      <c r="B40" s="12" t="s">
        <v>105</v>
      </c>
      <c r="C40" s="12" t="s">
        <v>105</v>
      </c>
      <c r="D40" s="22" t="s">
        <v>232</v>
      </c>
      <c r="E40" s="22" t="s">
        <v>161</v>
      </c>
      <c r="F40" s="22" t="s">
        <v>648</v>
      </c>
      <c r="G40" s="22" t="s">
        <v>649</v>
      </c>
      <c r="H40" s="22" t="s">
        <v>150</v>
      </c>
      <c r="I40" s="22" t="s">
        <v>151</v>
      </c>
      <c r="J40" s="22" t="s">
        <v>181</v>
      </c>
      <c r="K40" s="22" t="s">
        <v>66</v>
      </c>
      <c r="L40" s="54" t="s">
        <v>153</v>
      </c>
      <c r="M40" s="24" t="s">
        <v>156</v>
      </c>
      <c r="N40" s="24" t="s">
        <v>153</v>
      </c>
      <c r="O40" s="23" t="s">
        <v>153</v>
      </c>
      <c r="P40" s="23" t="s">
        <v>153</v>
      </c>
      <c r="Q40" s="23" t="s">
        <v>153</v>
      </c>
      <c r="R40" s="23" t="s">
        <v>153</v>
      </c>
      <c r="S40" s="23" t="s">
        <v>153</v>
      </c>
      <c r="T40" s="24" t="s">
        <v>156</v>
      </c>
      <c r="U40" s="24" t="s">
        <v>153</v>
      </c>
      <c r="V40" s="54" t="s">
        <v>153</v>
      </c>
      <c r="W40" s="23" t="s">
        <v>153</v>
      </c>
      <c r="X40" s="23" t="s">
        <v>153</v>
      </c>
      <c r="Y40" s="23" t="s">
        <v>153</v>
      </c>
      <c r="Z40" s="23" t="s">
        <v>153</v>
      </c>
      <c r="AA40" s="23" t="s">
        <v>153</v>
      </c>
      <c r="AB40" s="24" t="s">
        <v>153</v>
      </c>
      <c r="AC40" s="23" t="s">
        <v>153</v>
      </c>
      <c r="AD40" s="23" t="s">
        <v>153</v>
      </c>
      <c r="AE40" s="23" t="s">
        <v>153</v>
      </c>
      <c r="AF40" s="23" t="s">
        <v>153</v>
      </c>
      <c r="AG40" s="23" t="s">
        <v>153</v>
      </c>
      <c r="AH40" s="24" t="s">
        <v>156</v>
      </c>
      <c r="AI40" s="24" t="s">
        <v>153</v>
      </c>
      <c r="AJ40" s="23" t="s">
        <v>153</v>
      </c>
      <c r="AK40" s="23" t="s">
        <v>153</v>
      </c>
      <c r="AL40" s="23" t="s">
        <v>153</v>
      </c>
      <c r="AM40" s="23" t="s">
        <v>153</v>
      </c>
      <c r="AN40" s="23" t="s">
        <v>153</v>
      </c>
      <c r="AO40" s="24" t="s">
        <v>156</v>
      </c>
      <c r="AP40" s="23">
        <f>VALUE(0)</f>
        <v>0</v>
      </c>
      <c r="AQ40" s="23">
        <f>VALUE(0)</f>
        <v>0</v>
      </c>
      <c r="AR40" s="23">
        <f>VALUE(0)</f>
        <v>0</v>
      </c>
      <c r="AS40" s="23">
        <f>VALUE(0)</f>
        <v>0</v>
      </c>
      <c r="AT40" s="23">
        <f>VALUE(0)</f>
        <v>0</v>
      </c>
      <c r="AU40" s="23">
        <f>VALUE(0)</f>
        <v>0</v>
      </c>
      <c r="AV40" s="23">
        <f>VALUE(7)</f>
        <v>7</v>
      </c>
      <c r="AW40" s="23">
        <f>VALUE(0)</f>
        <v>0</v>
      </c>
      <c r="AX40" s="23" t="s">
        <v>171</v>
      </c>
      <c r="AY40" s="23" t="s">
        <v>233</v>
      </c>
      <c r="AZ40" s="23">
        <f>VALUE(0)</f>
        <v>0</v>
      </c>
      <c r="BA40" s="23">
        <f>VALUE(0)</f>
        <v>0</v>
      </c>
      <c r="BB40" s="23">
        <f>VALUE(0)</f>
        <v>0</v>
      </c>
      <c r="BC40" s="23">
        <f>VALUE(0)</f>
        <v>0</v>
      </c>
      <c r="BD40" s="23">
        <f>VALUE(0)</f>
        <v>0</v>
      </c>
      <c r="BE40" s="23">
        <f>VALUE(0)</f>
        <v>0</v>
      </c>
      <c r="BF40" s="23">
        <f>VALUE(0)</f>
        <v>0</v>
      </c>
      <c r="BG40" s="23">
        <f>VALUE(0)</f>
        <v>0</v>
      </c>
      <c r="BH40" s="23">
        <f>VALUE(0)</f>
        <v>0</v>
      </c>
      <c r="BI40" s="23">
        <f>VALUE(0)</f>
        <v>0</v>
      </c>
      <c r="BJ40" s="23">
        <f>VALUE(0)</f>
        <v>0</v>
      </c>
      <c r="BK40" s="12">
        <f>$AX$40*24</f>
        <v>5.833333333333333</v>
      </c>
      <c r="BL40" s="12">
        <f>$AY$40*24</f>
        <v>20.6</v>
      </c>
      <c r="BM40" s="12">
        <f>$BJ$40*24</f>
        <v>0</v>
      </c>
      <c r="BN40" s="12">
        <f>VALUE($I$40)/100</f>
        <v>1</v>
      </c>
      <c r="BO40" s="12">
        <v>0</v>
      </c>
      <c r="BP40" s="12">
        <v>0</v>
      </c>
      <c r="BQ40" s="12">
        <v>0</v>
      </c>
      <c r="BR40" s="12">
        <v>0</v>
      </c>
      <c r="BS40" s="12">
        <v>0</v>
      </c>
      <c r="BT40" s="12">
        <v>0</v>
      </c>
      <c r="BU40" s="12">
        <v>0</v>
      </c>
      <c r="BV40" s="12">
        <v>0</v>
      </c>
      <c r="BW40" s="12">
        <v>0</v>
      </c>
      <c r="BX40" s="12">
        <v>0</v>
      </c>
      <c r="BY40" s="12">
        <v>0</v>
      </c>
      <c r="BZ40" s="12">
        <v>0</v>
      </c>
      <c r="CA40" s="12">
        <v>0</v>
      </c>
    </row>
    <row r="41" spans="1:79" x14ac:dyDescent="0.2">
      <c r="A41" s="12" t="s">
        <v>102</v>
      </c>
      <c r="B41" s="12" t="s">
        <v>105</v>
      </c>
      <c r="C41" s="12" t="s">
        <v>105</v>
      </c>
      <c r="D41" s="22" t="s">
        <v>234</v>
      </c>
      <c r="E41" s="22" t="s">
        <v>161</v>
      </c>
      <c r="F41" s="22" t="s">
        <v>650</v>
      </c>
      <c r="G41" s="22" t="s">
        <v>651</v>
      </c>
      <c r="H41" s="22" t="s">
        <v>166</v>
      </c>
      <c r="I41" s="22" t="s">
        <v>151</v>
      </c>
      <c r="J41" s="22" t="s">
        <v>181</v>
      </c>
      <c r="K41" s="22" t="s">
        <v>66</v>
      </c>
      <c r="L41" s="54" t="s">
        <v>153</v>
      </c>
      <c r="M41" s="24" t="s">
        <v>156</v>
      </c>
      <c r="N41" s="24" t="s">
        <v>153</v>
      </c>
      <c r="O41" s="23" t="s">
        <v>153</v>
      </c>
      <c r="P41" s="23" t="s">
        <v>153</v>
      </c>
      <c r="Q41" s="23" t="s">
        <v>153</v>
      </c>
      <c r="R41" s="23" t="s">
        <v>153</v>
      </c>
      <c r="S41" s="23" t="s">
        <v>153</v>
      </c>
      <c r="T41" s="23" t="s">
        <v>153</v>
      </c>
      <c r="U41" s="24" t="s">
        <v>153</v>
      </c>
      <c r="V41" s="54" t="s">
        <v>153</v>
      </c>
      <c r="W41" s="23" t="s">
        <v>153</v>
      </c>
      <c r="X41" s="23" t="s">
        <v>153</v>
      </c>
      <c r="Y41" s="23" t="s">
        <v>153</v>
      </c>
      <c r="Z41" s="23" t="s">
        <v>153</v>
      </c>
      <c r="AA41" s="24" t="s">
        <v>156</v>
      </c>
      <c r="AB41" s="24" t="s">
        <v>153</v>
      </c>
      <c r="AC41" s="23" t="s">
        <v>153</v>
      </c>
      <c r="AD41" s="23" t="s">
        <v>153</v>
      </c>
      <c r="AE41" s="23" t="s">
        <v>153</v>
      </c>
      <c r="AF41" s="23" t="s">
        <v>153</v>
      </c>
      <c r="AG41" s="23" t="s">
        <v>153</v>
      </c>
      <c r="AH41" s="24" t="s">
        <v>156</v>
      </c>
      <c r="AI41" s="24" t="s">
        <v>153</v>
      </c>
      <c r="AJ41" s="23" t="s">
        <v>153</v>
      </c>
      <c r="AK41" s="23" t="s">
        <v>153</v>
      </c>
      <c r="AL41" s="23" t="s">
        <v>153</v>
      </c>
      <c r="AM41" s="23" t="s">
        <v>153</v>
      </c>
      <c r="AN41" s="23" t="s">
        <v>153</v>
      </c>
      <c r="AO41" s="23" t="s">
        <v>153</v>
      </c>
      <c r="AP41" s="23">
        <f>VALUE(0)</f>
        <v>0</v>
      </c>
      <c r="AQ41" s="23">
        <f>VALUE(0)</f>
        <v>0</v>
      </c>
      <c r="AR41" s="23">
        <f>VALUE(0)</f>
        <v>0</v>
      </c>
      <c r="AS41" s="23">
        <f>VALUE(0)</f>
        <v>0</v>
      </c>
      <c r="AT41" s="23">
        <f>VALUE(0)</f>
        <v>0</v>
      </c>
      <c r="AU41" s="23">
        <f>VALUE(0)</f>
        <v>0</v>
      </c>
      <c r="AV41" s="23">
        <f>VALUE(8)</f>
        <v>8</v>
      </c>
      <c r="AW41" s="23">
        <f>VALUE(0)</f>
        <v>0</v>
      </c>
      <c r="AX41" s="23" t="s">
        <v>1180</v>
      </c>
      <c r="AY41" s="23">
        <f>VALUE(0)</f>
        <v>0</v>
      </c>
      <c r="AZ41" s="23">
        <f>VALUE(0)</f>
        <v>0</v>
      </c>
      <c r="BA41" s="23">
        <f>VALUE(0)</f>
        <v>0</v>
      </c>
      <c r="BB41" s="23">
        <f>VALUE(0)</f>
        <v>0</v>
      </c>
      <c r="BC41" s="23">
        <f>VALUE(0)</f>
        <v>0</v>
      </c>
      <c r="BD41" s="23">
        <f>VALUE(0)</f>
        <v>0</v>
      </c>
      <c r="BE41" s="23">
        <f>VALUE(0)</f>
        <v>0</v>
      </c>
      <c r="BF41" s="23">
        <f>VALUE(0)</f>
        <v>0</v>
      </c>
      <c r="BG41" s="23">
        <f>VALUE(0)</f>
        <v>0</v>
      </c>
      <c r="BH41" s="23">
        <f>VALUE(0)</f>
        <v>0</v>
      </c>
      <c r="BI41" s="23">
        <f>VALUE(0)</f>
        <v>0</v>
      </c>
      <c r="BJ41" s="23">
        <f>VALUE(0)</f>
        <v>0</v>
      </c>
      <c r="BK41" s="12">
        <f>$AX$41*24</f>
        <v>10.383333333333333</v>
      </c>
      <c r="BL41" s="12">
        <f>$AY$41*24</f>
        <v>0</v>
      </c>
      <c r="BM41" s="12">
        <f>$BJ$41*24</f>
        <v>0</v>
      </c>
      <c r="BN41" s="12">
        <f>VALUE($I$41)/100</f>
        <v>1</v>
      </c>
      <c r="BO41" s="12">
        <v>0</v>
      </c>
      <c r="BP41" s="12">
        <v>0</v>
      </c>
      <c r="BQ41" s="12">
        <v>0</v>
      </c>
      <c r="BR41" s="12">
        <v>0</v>
      </c>
      <c r="BS41" s="12">
        <v>0</v>
      </c>
      <c r="BT41" s="12">
        <v>0</v>
      </c>
      <c r="BU41" s="12">
        <v>0</v>
      </c>
      <c r="BV41" s="12">
        <v>0</v>
      </c>
      <c r="BW41" s="12">
        <v>0</v>
      </c>
      <c r="BX41" s="12">
        <v>0</v>
      </c>
      <c r="BY41" s="12">
        <v>0</v>
      </c>
      <c r="BZ41" s="12">
        <v>0</v>
      </c>
      <c r="CA41" s="12">
        <v>0</v>
      </c>
    </row>
    <row r="42" spans="1:79" x14ac:dyDescent="0.2">
      <c r="A42" s="12" t="s">
        <v>102</v>
      </c>
      <c r="B42" s="12" t="s">
        <v>105</v>
      </c>
      <c r="C42" s="12" t="s">
        <v>105</v>
      </c>
      <c r="D42" s="22" t="s">
        <v>231</v>
      </c>
      <c r="E42" s="22" t="s">
        <v>161</v>
      </c>
      <c r="F42" s="22" t="s">
        <v>652</v>
      </c>
      <c r="G42" s="22" t="s">
        <v>653</v>
      </c>
      <c r="H42" s="22" t="s">
        <v>150</v>
      </c>
      <c r="I42" s="22" t="s">
        <v>151</v>
      </c>
      <c r="J42" s="22" t="s">
        <v>181</v>
      </c>
      <c r="K42" s="22" t="s">
        <v>66</v>
      </c>
      <c r="L42" s="54" t="s">
        <v>153</v>
      </c>
      <c r="M42" s="24" t="s">
        <v>156</v>
      </c>
      <c r="N42" s="24" t="s">
        <v>153</v>
      </c>
      <c r="O42" s="28" t="s">
        <v>163</v>
      </c>
      <c r="P42" s="28" t="s">
        <v>163</v>
      </c>
      <c r="Q42" s="28" t="s">
        <v>163</v>
      </c>
      <c r="R42" s="28" t="s">
        <v>163</v>
      </c>
      <c r="S42" s="28" t="s">
        <v>163</v>
      </c>
      <c r="T42" s="28" t="s">
        <v>163</v>
      </c>
      <c r="U42" s="24" t="s">
        <v>153</v>
      </c>
      <c r="V42" s="54" t="s">
        <v>153</v>
      </c>
      <c r="W42" s="23" t="s">
        <v>153</v>
      </c>
      <c r="X42" s="23" t="s">
        <v>153</v>
      </c>
      <c r="Y42" s="23" t="s">
        <v>153</v>
      </c>
      <c r="Z42" s="23" t="s">
        <v>153</v>
      </c>
      <c r="AA42" s="24" t="s">
        <v>156</v>
      </c>
      <c r="AB42" s="24" t="s">
        <v>153</v>
      </c>
      <c r="AC42" s="23" t="s">
        <v>153</v>
      </c>
      <c r="AD42" s="23" t="s">
        <v>153</v>
      </c>
      <c r="AE42" s="23" t="s">
        <v>153</v>
      </c>
      <c r="AF42" s="23" t="s">
        <v>153</v>
      </c>
      <c r="AG42" s="23" t="s">
        <v>153</v>
      </c>
      <c r="AH42" s="24" t="s">
        <v>156</v>
      </c>
      <c r="AI42" s="24" t="s">
        <v>153</v>
      </c>
      <c r="AJ42" s="23" t="s">
        <v>153</v>
      </c>
      <c r="AK42" s="23" t="s">
        <v>153</v>
      </c>
      <c r="AL42" s="23" t="s">
        <v>153</v>
      </c>
      <c r="AM42" s="23" t="s">
        <v>153</v>
      </c>
      <c r="AN42" s="23" t="s">
        <v>153</v>
      </c>
      <c r="AO42" s="23" t="s">
        <v>153</v>
      </c>
      <c r="AP42" s="23">
        <f>VALUE(0)</f>
        <v>0</v>
      </c>
      <c r="AQ42" s="23">
        <f>VALUE(0)</f>
        <v>0</v>
      </c>
      <c r="AR42" s="23">
        <f>VALUE(0)</f>
        <v>0</v>
      </c>
      <c r="AS42" s="23">
        <f>VALUE(0)</f>
        <v>0</v>
      </c>
      <c r="AT42" s="23">
        <f>VALUE(0)</f>
        <v>0</v>
      </c>
      <c r="AU42" s="23">
        <f>VALUE(6)</f>
        <v>6</v>
      </c>
      <c r="AV42" s="23">
        <f>VALUE(6)</f>
        <v>6</v>
      </c>
      <c r="AW42" s="23">
        <f>VALUE(0)</f>
        <v>0</v>
      </c>
      <c r="AX42" s="23">
        <f>VALUE(0)</f>
        <v>0</v>
      </c>
      <c r="AY42" s="23" t="s">
        <v>235</v>
      </c>
      <c r="AZ42" s="23">
        <f>VALUE(0)</f>
        <v>0</v>
      </c>
      <c r="BA42" s="23">
        <f>VALUE(0)</f>
        <v>0</v>
      </c>
      <c r="BB42" s="23">
        <f>VALUE(0)</f>
        <v>0</v>
      </c>
      <c r="BC42" s="23">
        <f>VALUE(0)</f>
        <v>0</v>
      </c>
      <c r="BD42" s="23">
        <f>VALUE(0)</f>
        <v>0</v>
      </c>
      <c r="BE42" s="23">
        <f>VALUE(0)</f>
        <v>0</v>
      </c>
      <c r="BF42" s="23">
        <f>VALUE(0)</f>
        <v>0</v>
      </c>
      <c r="BG42" s="23">
        <f>VALUE(0)</f>
        <v>0</v>
      </c>
      <c r="BH42" s="23">
        <f>VALUE(0)</f>
        <v>0</v>
      </c>
      <c r="BI42" s="23">
        <f>VALUE(0)</f>
        <v>0</v>
      </c>
      <c r="BJ42" s="23">
        <f>VALUE(0)</f>
        <v>0</v>
      </c>
      <c r="BK42" s="12">
        <f>$AX$42*24</f>
        <v>0</v>
      </c>
      <c r="BL42" s="12">
        <f>$AY$42*24</f>
        <v>2.8</v>
      </c>
      <c r="BM42" s="12">
        <f>$BJ$42*24</f>
        <v>0</v>
      </c>
      <c r="BN42" s="12">
        <f>VALUE($I$42)/100</f>
        <v>1</v>
      </c>
      <c r="BO42" s="12">
        <v>0</v>
      </c>
      <c r="BP42" s="12">
        <v>0</v>
      </c>
      <c r="BQ42" s="12">
        <v>0</v>
      </c>
      <c r="BR42" s="12">
        <v>0</v>
      </c>
      <c r="BS42" s="12">
        <v>0</v>
      </c>
      <c r="BT42" s="12">
        <v>0</v>
      </c>
      <c r="BU42" s="12">
        <v>0</v>
      </c>
      <c r="BV42" s="12">
        <v>0</v>
      </c>
      <c r="BW42" s="12">
        <v>0</v>
      </c>
      <c r="BX42" s="12">
        <v>0</v>
      </c>
      <c r="BY42" s="12">
        <v>0</v>
      </c>
      <c r="BZ42" s="12">
        <v>0</v>
      </c>
      <c r="CA42" s="12">
        <v>0</v>
      </c>
    </row>
    <row r="43" spans="1:79" x14ac:dyDescent="0.2">
      <c r="A43" s="12" t="s">
        <v>102</v>
      </c>
      <c r="B43" s="12" t="s">
        <v>105</v>
      </c>
      <c r="C43" s="12" t="s">
        <v>105</v>
      </c>
      <c r="D43" s="22" t="s">
        <v>209</v>
      </c>
      <c r="E43" s="22" t="s">
        <v>161</v>
      </c>
      <c r="F43" s="22" t="s">
        <v>654</v>
      </c>
      <c r="G43" s="22" t="s">
        <v>655</v>
      </c>
      <c r="H43" s="22" t="s">
        <v>166</v>
      </c>
      <c r="I43" s="22" t="s">
        <v>151</v>
      </c>
      <c r="J43" s="22" t="s">
        <v>181</v>
      </c>
      <c r="K43" s="22" t="s">
        <v>66</v>
      </c>
      <c r="L43" s="54" t="s">
        <v>153</v>
      </c>
      <c r="M43" s="24" t="s">
        <v>156</v>
      </c>
      <c r="N43" s="24" t="s">
        <v>153</v>
      </c>
      <c r="O43" s="23" t="s">
        <v>153</v>
      </c>
      <c r="P43" s="23" t="s">
        <v>153</v>
      </c>
      <c r="Q43" s="23" t="s">
        <v>153</v>
      </c>
      <c r="R43" s="23" t="s">
        <v>153</v>
      </c>
      <c r="S43" s="23" t="s">
        <v>153</v>
      </c>
      <c r="T43" s="23" t="s">
        <v>153</v>
      </c>
      <c r="U43" s="24" t="s">
        <v>153</v>
      </c>
      <c r="V43" s="54" t="s">
        <v>153</v>
      </c>
      <c r="W43" s="23" t="s">
        <v>153</v>
      </c>
      <c r="X43" s="23" t="s">
        <v>153</v>
      </c>
      <c r="Y43" s="23" t="s">
        <v>153</v>
      </c>
      <c r="Z43" s="23" t="s">
        <v>153</v>
      </c>
      <c r="AA43" s="24" t="s">
        <v>156</v>
      </c>
      <c r="AB43" s="24" t="s">
        <v>153</v>
      </c>
      <c r="AC43" s="23" t="s">
        <v>153</v>
      </c>
      <c r="AD43" s="23" t="s">
        <v>153</v>
      </c>
      <c r="AE43" s="23" t="s">
        <v>153</v>
      </c>
      <c r="AF43" s="23" t="s">
        <v>153</v>
      </c>
      <c r="AG43" s="23" t="s">
        <v>153</v>
      </c>
      <c r="AH43" s="24" t="s">
        <v>156</v>
      </c>
      <c r="AI43" s="24" t="s">
        <v>153</v>
      </c>
      <c r="AJ43" s="23" t="s">
        <v>153</v>
      </c>
      <c r="AK43" s="23" t="s">
        <v>153</v>
      </c>
      <c r="AL43" s="23" t="s">
        <v>153</v>
      </c>
      <c r="AM43" s="23" t="s">
        <v>153</v>
      </c>
      <c r="AN43" s="23" t="s">
        <v>153</v>
      </c>
      <c r="AO43" s="23" t="s">
        <v>153</v>
      </c>
      <c r="AP43" s="23">
        <f>VALUE(0)</f>
        <v>0</v>
      </c>
      <c r="AQ43" s="23">
        <f>VALUE(0)</f>
        <v>0</v>
      </c>
      <c r="AR43" s="23">
        <f>VALUE(0)</f>
        <v>0</v>
      </c>
      <c r="AS43" s="23">
        <f>VALUE(0)</f>
        <v>0</v>
      </c>
      <c r="AT43" s="23">
        <f>VALUE(0)</f>
        <v>0</v>
      </c>
      <c r="AU43" s="23">
        <f>VALUE(0)</f>
        <v>0</v>
      </c>
      <c r="AV43" s="23">
        <f>VALUE(8.5)</f>
        <v>8.5</v>
      </c>
      <c r="AW43" s="23">
        <f>VALUE(0)</f>
        <v>0</v>
      </c>
      <c r="AX43" s="23" t="s">
        <v>236</v>
      </c>
      <c r="AY43" s="23">
        <f>VALUE(0)</f>
        <v>0</v>
      </c>
      <c r="AZ43" s="23">
        <f>VALUE(0)</f>
        <v>0</v>
      </c>
      <c r="BA43" s="23">
        <f>VALUE(0)</f>
        <v>0</v>
      </c>
      <c r="BB43" s="23">
        <f>VALUE(0)</f>
        <v>0</v>
      </c>
      <c r="BC43" s="23">
        <f>VALUE(0)</f>
        <v>0</v>
      </c>
      <c r="BD43" s="23">
        <f>VALUE(0)</f>
        <v>0</v>
      </c>
      <c r="BE43" s="23">
        <f>VALUE(0)</f>
        <v>0</v>
      </c>
      <c r="BF43" s="23">
        <f>VALUE(0)</f>
        <v>0</v>
      </c>
      <c r="BG43" s="23">
        <f>VALUE(0)</f>
        <v>0</v>
      </c>
      <c r="BH43" s="23">
        <f>VALUE(0)</f>
        <v>0</v>
      </c>
      <c r="BI43" s="23">
        <f>VALUE(0)</f>
        <v>0</v>
      </c>
      <c r="BJ43" s="23">
        <f>VALUE(0)</f>
        <v>0</v>
      </c>
      <c r="BK43" s="12">
        <f>$AX$43*24</f>
        <v>12.666666666666668</v>
      </c>
      <c r="BL43" s="12">
        <f>$AY$43*24</f>
        <v>0</v>
      </c>
      <c r="BM43" s="12">
        <f>$BJ$43*24</f>
        <v>0</v>
      </c>
      <c r="BN43" s="12">
        <f>VALUE($I$43)/100</f>
        <v>1</v>
      </c>
      <c r="BO43" s="12">
        <v>0</v>
      </c>
      <c r="BP43" s="12">
        <v>0</v>
      </c>
      <c r="BQ43" s="12">
        <v>0</v>
      </c>
      <c r="BR43" s="12">
        <v>0</v>
      </c>
      <c r="BS43" s="12">
        <v>0</v>
      </c>
      <c r="BT43" s="12">
        <v>0</v>
      </c>
      <c r="BU43" s="12">
        <v>0</v>
      </c>
      <c r="BV43" s="12">
        <v>0</v>
      </c>
      <c r="BW43" s="12">
        <v>0</v>
      </c>
      <c r="BX43" s="12">
        <v>0</v>
      </c>
      <c r="BY43" s="12">
        <v>0</v>
      </c>
      <c r="BZ43" s="12">
        <v>0</v>
      </c>
      <c r="CA43" s="12">
        <v>0</v>
      </c>
    </row>
    <row r="44" spans="1:79" ht="16.5" x14ac:dyDescent="0.2">
      <c r="A44" s="12" t="s">
        <v>102</v>
      </c>
      <c r="B44" s="12" t="s">
        <v>105</v>
      </c>
      <c r="C44" s="12" t="s">
        <v>105</v>
      </c>
      <c r="D44" s="22" t="s">
        <v>237</v>
      </c>
      <c r="E44" s="22" t="s">
        <v>173</v>
      </c>
      <c r="F44" s="22" t="s">
        <v>656</v>
      </c>
      <c r="G44" s="22" t="s">
        <v>657</v>
      </c>
      <c r="H44" s="22" t="s">
        <v>166</v>
      </c>
      <c r="I44" s="22" t="s">
        <v>151</v>
      </c>
      <c r="J44" s="22" t="s">
        <v>181</v>
      </c>
      <c r="K44" s="22" t="s">
        <v>66</v>
      </c>
      <c r="L44" s="54" t="s">
        <v>153</v>
      </c>
      <c r="M44" s="34" t="s">
        <v>229</v>
      </c>
      <c r="N44" s="24" t="s">
        <v>153</v>
      </c>
      <c r="O44" s="23" t="s">
        <v>231</v>
      </c>
      <c r="P44" s="23" t="s">
        <v>231</v>
      </c>
      <c r="Q44" s="23" t="s">
        <v>231</v>
      </c>
      <c r="R44" s="23" t="s">
        <v>231</v>
      </c>
      <c r="S44" s="23" t="s">
        <v>231</v>
      </c>
      <c r="T44" s="23" t="s">
        <v>231</v>
      </c>
      <c r="U44" s="24" t="s">
        <v>153</v>
      </c>
      <c r="V44" s="54" t="s">
        <v>153</v>
      </c>
      <c r="W44" s="26" t="s">
        <v>1181</v>
      </c>
      <c r="X44" s="26" t="s">
        <v>1181</v>
      </c>
      <c r="Y44" s="33" t="s">
        <v>201</v>
      </c>
      <c r="Z44" s="26" t="s">
        <v>1181</v>
      </c>
      <c r="AA44" s="24" t="s">
        <v>156</v>
      </c>
      <c r="AB44" s="24" t="s">
        <v>153</v>
      </c>
      <c r="AC44" s="26" t="s">
        <v>1181</v>
      </c>
      <c r="AD44" s="26" t="s">
        <v>1181</v>
      </c>
      <c r="AE44" s="26" t="s">
        <v>1181</v>
      </c>
      <c r="AF44" s="26" t="s">
        <v>1181</v>
      </c>
      <c r="AG44" s="26" t="s">
        <v>1181</v>
      </c>
      <c r="AH44" s="24" t="s">
        <v>156</v>
      </c>
      <c r="AI44" s="24" t="s">
        <v>153</v>
      </c>
      <c r="AJ44" s="28" t="s">
        <v>163</v>
      </c>
      <c r="AK44" s="28" t="s">
        <v>163</v>
      </c>
      <c r="AL44" s="28" t="s">
        <v>163</v>
      </c>
      <c r="AM44" s="28" t="s">
        <v>163</v>
      </c>
      <c r="AN44" s="28" t="s">
        <v>163</v>
      </c>
      <c r="AO44" s="28" t="s">
        <v>163</v>
      </c>
      <c r="AP44" s="23">
        <f>VALUE(4)</f>
        <v>4</v>
      </c>
      <c r="AQ44" s="23">
        <f>VALUE(0)</f>
        <v>0</v>
      </c>
      <c r="AR44" s="23">
        <f>VALUE(0)</f>
        <v>0</v>
      </c>
      <c r="AS44" s="23">
        <f>VALUE(0)</f>
        <v>0</v>
      </c>
      <c r="AT44" s="23">
        <f>VALUE(0)</f>
        <v>0</v>
      </c>
      <c r="AU44" s="23">
        <f>VALUE(6)</f>
        <v>6</v>
      </c>
      <c r="AV44" s="23">
        <f>VALUE(6.5)</f>
        <v>6.5</v>
      </c>
      <c r="AW44" s="23">
        <f>VALUE(0)</f>
        <v>0</v>
      </c>
      <c r="AX44" s="23" t="s">
        <v>1182</v>
      </c>
      <c r="AY44" s="23">
        <f>VALUE(0)</f>
        <v>0</v>
      </c>
      <c r="AZ44" s="23">
        <f>VALUE(0)</f>
        <v>0</v>
      </c>
      <c r="BA44" s="23">
        <f>VALUE(0)</f>
        <v>0</v>
      </c>
      <c r="BB44" s="23">
        <f>VALUE(1)</f>
        <v>1</v>
      </c>
      <c r="BC44" s="23">
        <f>VALUE(0)</f>
        <v>0</v>
      </c>
      <c r="BD44" s="23">
        <f>VALUE(0)</f>
        <v>0</v>
      </c>
      <c r="BE44" s="23">
        <f>VALUE(0)</f>
        <v>0</v>
      </c>
      <c r="BF44" s="23">
        <f>VALUE(0)</f>
        <v>0</v>
      </c>
      <c r="BG44" s="23">
        <f>VALUE(0)</f>
        <v>0</v>
      </c>
      <c r="BH44" s="23">
        <f>VALUE(0)</f>
        <v>0</v>
      </c>
      <c r="BI44" s="23">
        <f>VALUE(0)</f>
        <v>0</v>
      </c>
      <c r="BJ44" s="23">
        <f>VALUE(0)</f>
        <v>0</v>
      </c>
      <c r="BK44" s="12">
        <f>$AX$44*24</f>
        <v>78.11666666666666</v>
      </c>
      <c r="BL44" s="12">
        <f>$AY$44*24</f>
        <v>0</v>
      </c>
      <c r="BM44" s="12">
        <f>$BJ$44*24</f>
        <v>0</v>
      </c>
      <c r="BN44" s="12">
        <f>VALUE($I$44)/100</f>
        <v>1</v>
      </c>
      <c r="BO44" s="12">
        <v>0</v>
      </c>
      <c r="BP44" s="12">
        <v>0</v>
      </c>
      <c r="BQ44" s="12">
        <v>0</v>
      </c>
      <c r="BR44" s="12">
        <v>0</v>
      </c>
      <c r="BS44" s="12">
        <v>0</v>
      </c>
      <c r="BT44" s="12">
        <v>0</v>
      </c>
      <c r="BU44" s="12">
        <v>0</v>
      </c>
      <c r="BV44" s="12">
        <v>0</v>
      </c>
      <c r="BW44" s="12">
        <v>0</v>
      </c>
      <c r="BX44" s="12">
        <v>0</v>
      </c>
      <c r="BY44" s="12">
        <v>0</v>
      </c>
      <c r="BZ44" s="12">
        <v>0</v>
      </c>
      <c r="CA44" s="12">
        <v>0</v>
      </c>
    </row>
    <row r="45" spans="1:79" x14ac:dyDescent="0.2">
      <c r="A45" s="12" t="s">
        <v>102</v>
      </c>
      <c r="B45" s="12" t="s">
        <v>105</v>
      </c>
      <c r="C45" s="12" t="s">
        <v>105</v>
      </c>
      <c r="D45" s="22" t="s">
        <v>238</v>
      </c>
      <c r="E45" s="22" t="s">
        <v>159</v>
      </c>
      <c r="F45" s="22" t="s">
        <v>658</v>
      </c>
      <c r="G45" s="22" t="s">
        <v>659</v>
      </c>
      <c r="H45" s="22" t="s">
        <v>166</v>
      </c>
      <c r="I45" s="22" t="s">
        <v>151</v>
      </c>
      <c r="J45" s="22" t="s">
        <v>181</v>
      </c>
      <c r="K45" s="22" t="s">
        <v>66</v>
      </c>
      <c r="L45" s="54" t="s">
        <v>153</v>
      </c>
      <c r="M45" s="32" t="s">
        <v>188</v>
      </c>
      <c r="N45" s="24" t="s">
        <v>153</v>
      </c>
      <c r="O45" s="32" t="s">
        <v>188</v>
      </c>
      <c r="P45" s="32" t="s">
        <v>188</v>
      </c>
      <c r="Q45" s="32" t="s">
        <v>188</v>
      </c>
      <c r="R45" s="32" t="s">
        <v>188</v>
      </c>
      <c r="S45" s="32" t="s">
        <v>188</v>
      </c>
      <c r="T45" s="32" t="s">
        <v>188</v>
      </c>
      <c r="U45" s="24" t="s">
        <v>153</v>
      </c>
      <c r="V45" s="54" t="s">
        <v>153</v>
      </c>
      <c r="W45" s="32" t="s">
        <v>188</v>
      </c>
      <c r="X45" s="32" t="s">
        <v>188</v>
      </c>
      <c r="Y45" s="32" t="s">
        <v>188</v>
      </c>
      <c r="Z45" s="32" t="s">
        <v>188</v>
      </c>
      <c r="AA45" s="32" t="s">
        <v>188</v>
      </c>
      <c r="AB45" s="24" t="s">
        <v>153</v>
      </c>
      <c r="AC45" s="32" t="s">
        <v>188</v>
      </c>
      <c r="AD45" s="32" t="s">
        <v>188</v>
      </c>
      <c r="AE45" s="32" t="s">
        <v>188</v>
      </c>
      <c r="AF45" s="32" t="s">
        <v>188</v>
      </c>
      <c r="AG45" s="32" t="s">
        <v>188</v>
      </c>
      <c r="AH45" s="32" t="s">
        <v>188</v>
      </c>
      <c r="AI45" s="24" t="s">
        <v>153</v>
      </c>
      <c r="AJ45" s="32" t="s">
        <v>188</v>
      </c>
      <c r="AK45" s="32" t="s">
        <v>188</v>
      </c>
      <c r="AL45" s="32" t="s">
        <v>188</v>
      </c>
      <c r="AM45" s="32" t="s">
        <v>188</v>
      </c>
      <c r="AN45" s="32" t="s">
        <v>188</v>
      </c>
      <c r="AO45" s="32" t="s">
        <v>188</v>
      </c>
      <c r="AP45" s="23">
        <f>VALUE(0)</f>
        <v>0</v>
      </c>
      <c r="AQ45" s="23">
        <f>VALUE(0)</f>
        <v>0</v>
      </c>
      <c r="AR45" s="23">
        <f>VALUE(0)</f>
        <v>0</v>
      </c>
      <c r="AS45" s="23">
        <f>VALUE(0)</f>
        <v>0</v>
      </c>
      <c r="AT45" s="23">
        <f>VALUE(0)</f>
        <v>0</v>
      </c>
      <c r="AU45" s="23">
        <f>VALUE(0)</f>
        <v>0</v>
      </c>
      <c r="AV45" s="23">
        <f>VALUE(32)</f>
        <v>32</v>
      </c>
      <c r="AW45" s="23">
        <f>VALUE(3)</f>
        <v>3</v>
      </c>
      <c r="AX45" s="23" t="s">
        <v>239</v>
      </c>
      <c r="AY45" s="23">
        <f>VALUE(0)</f>
        <v>0</v>
      </c>
      <c r="AZ45" s="23">
        <f>VALUE(0)</f>
        <v>0</v>
      </c>
      <c r="BA45" s="23">
        <f>VALUE(0)</f>
        <v>0</v>
      </c>
      <c r="BB45" s="23">
        <f>VALUE(0)</f>
        <v>0</v>
      </c>
      <c r="BC45" s="23">
        <f>VALUE(0)</f>
        <v>0</v>
      </c>
      <c r="BD45" s="23">
        <f>VALUE(0)</f>
        <v>0</v>
      </c>
      <c r="BE45" s="23">
        <f>VALUE(0)</f>
        <v>0</v>
      </c>
      <c r="BF45" s="23">
        <f>VALUE(0)</f>
        <v>0</v>
      </c>
      <c r="BG45" s="23">
        <f>VALUE(0)</f>
        <v>0</v>
      </c>
      <c r="BH45" s="23">
        <f>VALUE(24)</f>
        <v>24</v>
      </c>
      <c r="BI45" s="23">
        <f>VALUE(0)</f>
        <v>0</v>
      </c>
      <c r="BJ45" s="23">
        <f>VALUE(0)</f>
        <v>0</v>
      </c>
      <c r="BK45" s="12">
        <f>$AX$45*24</f>
        <v>17.95</v>
      </c>
      <c r="BL45" s="12">
        <f>$AY$45*24</f>
        <v>0</v>
      </c>
      <c r="BM45" s="12">
        <f>$BJ$45*24</f>
        <v>0</v>
      </c>
      <c r="BN45" s="12">
        <f>VALUE($I$45)/100</f>
        <v>1</v>
      </c>
      <c r="BO45" s="12">
        <v>0</v>
      </c>
      <c r="BP45" s="12">
        <v>0</v>
      </c>
      <c r="BQ45" s="12">
        <v>0</v>
      </c>
      <c r="BR45" s="12">
        <v>0</v>
      </c>
      <c r="BS45" s="12">
        <v>0</v>
      </c>
      <c r="BT45" s="12">
        <v>0</v>
      </c>
      <c r="BU45" s="12">
        <v>0</v>
      </c>
      <c r="BV45" s="12">
        <v>0</v>
      </c>
      <c r="BW45" s="12">
        <v>0</v>
      </c>
      <c r="BX45" s="12">
        <v>0</v>
      </c>
      <c r="BY45" s="12">
        <v>0</v>
      </c>
      <c r="BZ45" s="12">
        <v>0</v>
      </c>
      <c r="CA45" s="12">
        <v>0</v>
      </c>
    </row>
    <row r="46" spans="1:79" x14ac:dyDescent="0.2">
      <c r="A46" s="12" t="s">
        <v>102</v>
      </c>
      <c r="B46" s="12" t="s">
        <v>105</v>
      </c>
      <c r="C46" s="12" t="s">
        <v>105</v>
      </c>
      <c r="D46" s="22" t="s">
        <v>240</v>
      </c>
      <c r="E46" s="22" t="s">
        <v>159</v>
      </c>
      <c r="F46" s="22" t="s">
        <v>660</v>
      </c>
      <c r="G46" s="22" t="s">
        <v>661</v>
      </c>
      <c r="H46" s="22" t="s">
        <v>166</v>
      </c>
      <c r="I46" s="22" t="s">
        <v>151</v>
      </c>
      <c r="J46" s="22" t="s">
        <v>181</v>
      </c>
      <c r="K46" s="22" t="s">
        <v>66</v>
      </c>
      <c r="L46" s="54" t="s">
        <v>153</v>
      </c>
      <c r="M46" s="23" t="s">
        <v>228</v>
      </c>
      <c r="N46" s="24" t="s">
        <v>153</v>
      </c>
      <c r="O46" s="23" t="s">
        <v>228</v>
      </c>
      <c r="P46" s="23" t="s">
        <v>228</v>
      </c>
      <c r="Q46" s="23" t="s">
        <v>228</v>
      </c>
      <c r="R46" s="23" t="s">
        <v>228</v>
      </c>
      <c r="S46" s="23" t="s">
        <v>228</v>
      </c>
      <c r="T46" s="24" t="s">
        <v>156</v>
      </c>
      <c r="U46" s="24" t="s">
        <v>153</v>
      </c>
      <c r="V46" s="54" t="s">
        <v>153</v>
      </c>
      <c r="W46" s="23" t="s">
        <v>216</v>
      </c>
      <c r="X46" s="23" t="s">
        <v>216</v>
      </c>
      <c r="Y46" s="23" t="s">
        <v>216</v>
      </c>
      <c r="Z46" s="23" t="s">
        <v>216</v>
      </c>
      <c r="AA46" s="24" t="s">
        <v>156</v>
      </c>
      <c r="AB46" s="24" t="s">
        <v>153</v>
      </c>
      <c r="AC46" s="23" t="s">
        <v>153</v>
      </c>
      <c r="AD46" s="23" t="s">
        <v>153</v>
      </c>
      <c r="AE46" s="23" t="s">
        <v>153</v>
      </c>
      <c r="AF46" s="23" t="s">
        <v>153</v>
      </c>
      <c r="AG46" s="23" t="s">
        <v>153</v>
      </c>
      <c r="AH46" s="23" t="s">
        <v>153</v>
      </c>
      <c r="AI46" s="24" t="s">
        <v>153</v>
      </c>
      <c r="AJ46" s="23" t="s">
        <v>153</v>
      </c>
      <c r="AK46" s="23" t="s">
        <v>153</v>
      </c>
      <c r="AL46" s="23" t="s">
        <v>153</v>
      </c>
      <c r="AM46" s="23" t="s">
        <v>153</v>
      </c>
      <c r="AN46" s="23" t="s">
        <v>153</v>
      </c>
      <c r="AO46" s="24" t="s">
        <v>156</v>
      </c>
      <c r="AP46" s="23">
        <f>VALUE(0)</f>
        <v>0</v>
      </c>
      <c r="AQ46" s="23">
        <f>VALUE(0)</f>
        <v>0</v>
      </c>
      <c r="AR46" s="23">
        <f>VALUE(0)</f>
        <v>0</v>
      </c>
      <c r="AS46" s="23">
        <f>VALUE(11)</f>
        <v>11</v>
      </c>
      <c r="AT46" s="23">
        <f>VALUE(0)</f>
        <v>0</v>
      </c>
      <c r="AU46" s="23">
        <f>VALUE(0)</f>
        <v>0</v>
      </c>
      <c r="AV46" s="23">
        <f>VALUE(9)</f>
        <v>9</v>
      </c>
      <c r="AW46" s="23">
        <f>VALUE(0)</f>
        <v>0</v>
      </c>
      <c r="AX46" s="23" t="s">
        <v>241</v>
      </c>
      <c r="AY46" s="23">
        <f>VALUE(0)</f>
        <v>0</v>
      </c>
      <c r="AZ46" s="23">
        <f>VALUE(0)</f>
        <v>0</v>
      </c>
      <c r="BA46" s="23">
        <f>VALUE(0)</f>
        <v>0</v>
      </c>
      <c r="BB46" s="23">
        <f>VALUE(0)</f>
        <v>0</v>
      </c>
      <c r="BC46" s="23">
        <f>VALUE(0)</f>
        <v>0</v>
      </c>
      <c r="BD46" s="23">
        <f>VALUE(0)</f>
        <v>0</v>
      </c>
      <c r="BE46" s="23">
        <f>VALUE(0)</f>
        <v>0</v>
      </c>
      <c r="BF46" s="23">
        <f>VALUE(0)</f>
        <v>0</v>
      </c>
      <c r="BG46" s="23">
        <f>VALUE(0)</f>
        <v>0</v>
      </c>
      <c r="BH46" s="23">
        <f>VALUE(0)</f>
        <v>0</v>
      </c>
      <c r="BI46" s="23">
        <f>VALUE(0)</f>
        <v>0</v>
      </c>
      <c r="BJ46" s="23">
        <f>VALUE(0)</f>
        <v>0</v>
      </c>
      <c r="BK46" s="12">
        <f>$AX$46*24</f>
        <v>24.133333333333333</v>
      </c>
      <c r="BL46" s="12">
        <f>$AY$46*24</f>
        <v>0</v>
      </c>
      <c r="BM46" s="12">
        <f>$BJ$46*24</f>
        <v>0</v>
      </c>
      <c r="BN46" s="12">
        <f>VALUE($I$46)/100</f>
        <v>1</v>
      </c>
      <c r="BO46" s="12">
        <v>0</v>
      </c>
      <c r="BP46" s="12">
        <v>0</v>
      </c>
      <c r="BQ46" s="12">
        <v>0</v>
      </c>
      <c r="BR46" s="12">
        <v>0</v>
      </c>
      <c r="BS46" s="12">
        <v>0</v>
      </c>
      <c r="BT46" s="12">
        <v>0</v>
      </c>
      <c r="BU46" s="12">
        <v>0</v>
      </c>
      <c r="BV46" s="12">
        <v>0</v>
      </c>
      <c r="BW46" s="12">
        <v>0</v>
      </c>
      <c r="BX46" s="12">
        <v>0</v>
      </c>
      <c r="BY46" s="12">
        <v>0</v>
      </c>
      <c r="BZ46" s="12">
        <v>0</v>
      </c>
      <c r="CA46" s="12">
        <v>0</v>
      </c>
    </row>
    <row r="47" spans="1:79" ht="15" x14ac:dyDescent="0.25">
      <c r="A47" s="12" t="s">
        <v>102</v>
      </c>
      <c r="B47" s="12" t="s">
        <v>105</v>
      </c>
      <c r="C47" s="12" t="s">
        <v>105</v>
      </c>
      <c r="D47" s="31" t="s">
        <v>1183</v>
      </c>
      <c r="E47" s="31" t="s">
        <v>153</v>
      </c>
      <c r="F47" s="31" t="s">
        <v>175</v>
      </c>
      <c r="G47" s="31" t="s">
        <v>153</v>
      </c>
      <c r="H47" s="31" t="s">
        <v>153</v>
      </c>
      <c r="I47" s="31" t="s">
        <v>153</v>
      </c>
      <c r="J47" s="31" t="s">
        <v>153</v>
      </c>
      <c r="K47" s="31" t="s">
        <v>153</v>
      </c>
      <c r="L47" s="31">
        <f>VALUE(0)</f>
        <v>0</v>
      </c>
      <c r="M47" s="31">
        <f>VALUE(3)</f>
        <v>3</v>
      </c>
      <c r="N47" s="31">
        <f>VALUE(0)</f>
        <v>0</v>
      </c>
      <c r="O47" s="31">
        <f>VALUE(15)</f>
        <v>15</v>
      </c>
      <c r="P47" s="31">
        <f>VALUE(14)</f>
        <v>14</v>
      </c>
      <c r="Q47" s="31">
        <f>VALUE(16)</f>
        <v>16</v>
      </c>
      <c r="R47" s="31">
        <f>VALUE(17)</f>
        <v>17</v>
      </c>
      <c r="S47" s="31">
        <f>VALUE(15)</f>
        <v>15</v>
      </c>
      <c r="T47" s="31">
        <f>VALUE(7)</f>
        <v>7</v>
      </c>
      <c r="U47" s="31">
        <f>VALUE(0)</f>
        <v>0</v>
      </c>
      <c r="V47" s="31">
        <f>VALUE(0)</f>
        <v>0</v>
      </c>
      <c r="W47" s="31">
        <f>VALUE(18)</f>
        <v>18</v>
      </c>
      <c r="X47" s="31">
        <f>VALUE(17)</f>
        <v>17</v>
      </c>
      <c r="Y47" s="31">
        <f>VALUE(15)</f>
        <v>15</v>
      </c>
      <c r="Z47" s="31">
        <f>VALUE(16)</f>
        <v>16</v>
      </c>
      <c r="AA47" s="31">
        <f>VALUE(5)</f>
        <v>5</v>
      </c>
      <c r="AB47" s="31">
        <f>VALUE(0)</f>
        <v>0</v>
      </c>
      <c r="AC47" s="31">
        <f>VALUE(18)</f>
        <v>18</v>
      </c>
      <c r="AD47" s="31">
        <f>VALUE(17)</f>
        <v>17</v>
      </c>
      <c r="AE47" s="31">
        <f>VALUE(17)</f>
        <v>17</v>
      </c>
      <c r="AF47" s="31">
        <f>VALUE(18)</f>
        <v>18</v>
      </c>
      <c r="AG47" s="31">
        <f>VALUE(15)</f>
        <v>15</v>
      </c>
      <c r="AH47" s="31">
        <f>VALUE(5)</f>
        <v>5</v>
      </c>
      <c r="AI47" s="31">
        <f>VALUE(0)</f>
        <v>0</v>
      </c>
      <c r="AJ47" s="31">
        <f>VALUE(16)</f>
        <v>16</v>
      </c>
      <c r="AK47" s="31">
        <f>VALUE(16)</f>
        <v>16</v>
      </c>
      <c r="AL47" s="31">
        <f>VALUE(14)</f>
        <v>14</v>
      </c>
      <c r="AM47" s="31">
        <f>VALUE(17)</f>
        <v>17</v>
      </c>
      <c r="AN47" s="31">
        <f>VALUE(16)</f>
        <v>16</v>
      </c>
      <c r="AO47" s="31">
        <f>VALUE(6)</f>
        <v>6</v>
      </c>
      <c r="AP47" s="31">
        <v>0</v>
      </c>
      <c r="AQ47" s="31">
        <v>0</v>
      </c>
      <c r="AR47" s="31">
        <v>0</v>
      </c>
      <c r="AS47" s="31">
        <v>0</v>
      </c>
      <c r="AT47" s="31">
        <v>0</v>
      </c>
      <c r="AU47" s="31">
        <v>0</v>
      </c>
      <c r="AV47" s="31">
        <v>0</v>
      </c>
      <c r="AW47" s="31">
        <v>0</v>
      </c>
      <c r="AX47" s="31">
        <v>0</v>
      </c>
      <c r="AY47" s="31">
        <v>0</v>
      </c>
      <c r="AZ47" s="31">
        <v>0</v>
      </c>
      <c r="BA47" s="31">
        <v>0</v>
      </c>
      <c r="BB47" s="31">
        <v>0</v>
      </c>
      <c r="BC47" s="31">
        <v>0</v>
      </c>
      <c r="BD47" s="31">
        <v>0</v>
      </c>
      <c r="BE47" s="31">
        <v>0</v>
      </c>
      <c r="BF47" s="31">
        <v>0</v>
      </c>
      <c r="BG47" s="31">
        <v>0</v>
      </c>
      <c r="BH47" s="31">
        <v>0</v>
      </c>
      <c r="BI47" s="31">
        <v>0</v>
      </c>
      <c r="BJ47" s="31">
        <v>0</v>
      </c>
      <c r="BK47" s="12">
        <v>0</v>
      </c>
      <c r="BL47" s="12">
        <v>0</v>
      </c>
      <c r="BM47" s="12">
        <v>0</v>
      </c>
      <c r="BN47" s="12"/>
      <c r="BO47" s="12">
        <v>0</v>
      </c>
      <c r="BP47" s="12">
        <v>0</v>
      </c>
      <c r="BQ47" s="12">
        <v>0</v>
      </c>
      <c r="BR47" s="12">
        <v>0</v>
      </c>
      <c r="BS47" s="12">
        <v>0</v>
      </c>
      <c r="BT47" s="12">
        <v>0</v>
      </c>
      <c r="BU47" s="12">
        <v>0</v>
      </c>
      <c r="BV47" s="12">
        <v>0</v>
      </c>
      <c r="BW47" s="12">
        <v>0</v>
      </c>
      <c r="BX47" s="12">
        <v>0</v>
      </c>
      <c r="BY47" s="12">
        <v>0</v>
      </c>
      <c r="BZ47" s="12">
        <v>0</v>
      </c>
      <c r="CA47" s="12">
        <v>0</v>
      </c>
    </row>
    <row r="48" spans="1:79" x14ac:dyDescent="0.2">
      <c r="A48" s="12" t="s">
        <v>102</v>
      </c>
      <c r="B48" s="12" t="s">
        <v>106</v>
      </c>
      <c r="C48" s="12" t="s">
        <v>106</v>
      </c>
      <c r="D48" s="22" t="s">
        <v>243</v>
      </c>
      <c r="E48" s="22" t="s">
        <v>173</v>
      </c>
      <c r="F48" s="22" t="s">
        <v>662</v>
      </c>
      <c r="G48" s="22" t="s">
        <v>663</v>
      </c>
      <c r="H48" s="22" t="s">
        <v>150</v>
      </c>
      <c r="I48" s="22" t="s">
        <v>151</v>
      </c>
      <c r="J48" s="22" t="s">
        <v>162</v>
      </c>
      <c r="K48" s="22" t="s">
        <v>67</v>
      </c>
      <c r="L48" s="54" t="s">
        <v>153</v>
      </c>
      <c r="M48" s="24" t="s">
        <v>153</v>
      </c>
      <c r="N48" s="24" t="s">
        <v>153</v>
      </c>
      <c r="O48" s="23" t="s">
        <v>153</v>
      </c>
      <c r="P48" s="23" t="s">
        <v>153</v>
      </c>
      <c r="Q48" s="23" t="s">
        <v>153</v>
      </c>
      <c r="R48" s="23" t="s">
        <v>153</v>
      </c>
      <c r="S48" s="23" t="s">
        <v>153</v>
      </c>
      <c r="T48" s="24" t="s">
        <v>153</v>
      </c>
      <c r="U48" s="24" t="s">
        <v>153</v>
      </c>
      <c r="V48" s="54" t="s">
        <v>153</v>
      </c>
      <c r="W48" s="23" t="s">
        <v>153</v>
      </c>
      <c r="X48" s="23" t="s">
        <v>153</v>
      </c>
      <c r="Y48" s="23" t="s">
        <v>153</v>
      </c>
      <c r="Z48" s="23" t="s">
        <v>153</v>
      </c>
      <c r="AA48" s="24" t="s">
        <v>153</v>
      </c>
      <c r="AB48" s="24" t="s">
        <v>153</v>
      </c>
      <c r="AC48" s="23" t="s">
        <v>153</v>
      </c>
      <c r="AD48" s="23" t="s">
        <v>153</v>
      </c>
      <c r="AE48" s="23" t="s">
        <v>153</v>
      </c>
      <c r="AF48" s="23" t="s">
        <v>153</v>
      </c>
      <c r="AG48" s="23" t="s">
        <v>153</v>
      </c>
      <c r="AH48" s="24" t="s">
        <v>153</v>
      </c>
      <c r="AI48" s="24" t="s">
        <v>153</v>
      </c>
      <c r="AJ48" s="23" t="s">
        <v>153</v>
      </c>
      <c r="AK48" s="23" t="s">
        <v>153</v>
      </c>
      <c r="AL48" s="23" t="s">
        <v>153</v>
      </c>
      <c r="AM48" s="23" t="s">
        <v>153</v>
      </c>
      <c r="AN48" s="23" t="s">
        <v>153</v>
      </c>
      <c r="AO48" s="24" t="s">
        <v>153</v>
      </c>
      <c r="AP48" s="23">
        <f>VALUE(0)</f>
        <v>0</v>
      </c>
      <c r="AQ48" s="23">
        <f>VALUE(0)</f>
        <v>0</v>
      </c>
      <c r="AR48" s="23">
        <f>VALUE(0)</f>
        <v>0</v>
      </c>
      <c r="AS48" s="23">
        <f>VALUE(0)</f>
        <v>0</v>
      </c>
      <c r="AT48" s="23">
        <f>VALUE(0)</f>
        <v>0</v>
      </c>
      <c r="AU48" s="23">
        <f>VALUE(0)</f>
        <v>0</v>
      </c>
      <c r="AV48" s="23">
        <f>VALUE(1)</f>
        <v>1</v>
      </c>
      <c r="AW48" s="23">
        <f>VALUE(0)</f>
        <v>0</v>
      </c>
      <c r="AX48" s="23" t="s">
        <v>158</v>
      </c>
      <c r="AY48" s="23" t="s">
        <v>244</v>
      </c>
      <c r="AZ48" s="23">
        <f>VALUE(0)</f>
        <v>0</v>
      </c>
      <c r="BA48" s="23">
        <f>VALUE(0)</f>
        <v>0</v>
      </c>
      <c r="BB48" s="23">
        <f>VALUE(0)</f>
        <v>0</v>
      </c>
      <c r="BC48" s="23">
        <f>VALUE(0)</f>
        <v>0</v>
      </c>
      <c r="BD48" s="23">
        <f>VALUE(0)</f>
        <v>0</v>
      </c>
      <c r="BE48" s="23">
        <f>VALUE(0)</f>
        <v>0</v>
      </c>
      <c r="BF48" s="23">
        <f>VALUE(0)</f>
        <v>0</v>
      </c>
      <c r="BG48" s="23">
        <f>VALUE(0)</f>
        <v>0</v>
      </c>
      <c r="BH48" s="23">
        <f>VALUE(0)</f>
        <v>0</v>
      </c>
      <c r="BI48" s="23">
        <f>VALUE(0)</f>
        <v>0</v>
      </c>
      <c r="BJ48" s="23">
        <f>VALUE(0)</f>
        <v>0</v>
      </c>
      <c r="BK48" s="12">
        <f>$AX$48*24</f>
        <v>11.666666666666666</v>
      </c>
      <c r="BL48" s="12">
        <f>$AY$48*24</f>
        <v>0.23333333333333334</v>
      </c>
      <c r="BM48" s="12">
        <f>$BJ$48*24</f>
        <v>0</v>
      </c>
      <c r="BN48" s="12">
        <f>VALUE($I$48)/100</f>
        <v>1</v>
      </c>
      <c r="BO48" s="12">
        <v>0</v>
      </c>
      <c r="BP48" s="12">
        <v>0</v>
      </c>
      <c r="BQ48" s="12">
        <v>0</v>
      </c>
      <c r="BR48" s="12">
        <v>0</v>
      </c>
      <c r="BS48" s="12">
        <v>0</v>
      </c>
      <c r="BT48" s="12">
        <v>0</v>
      </c>
      <c r="BU48" s="12">
        <v>0</v>
      </c>
      <c r="BV48" s="12">
        <v>0</v>
      </c>
      <c r="BW48" s="12">
        <v>0</v>
      </c>
      <c r="BX48" s="12">
        <v>0</v>
      </c>
      <c r="BY48" s="12">
        <v>0</v>
      </c>
      <c r="BZ48" s="12">
        <v>0</v>
      </c>
      <c r="CA48" s="12">
        <v>0</v>
      </c>
    </row>
    <row r="49" spans="1:79" x14ac:dyDescent="0.2">
      <c r="A49" s="12" t="s">
        <v>102</v>
      </c>
      <c r="B49" s="12" t="s">
        <v>106</v>
      </c>
      <c r="C49" s="12" t="s">
        <v>106</v>
      </c>
      <c r="D49" s="22" t="s">
        <v>243</v>
      </c>
      <c r="E49" s="22" t="s">
        <v>173</v>
      </c>
      <c r="F49" s="22" t="s">
        <v>1184</v>
      </c>
      <c r="G49" s="22" t="s">
        <v>664</v>
      </c>
      <c r="H49" s="22" t="s">
        <v>166</v>
      </c>
      <c r="I49" s="22" t="s">
        <v>151</v>
      </c>
      <c r="J49" s="22" t="s">
        <v>162</v>
      </c>
      <c r="K49" s="22" t="s">
        <v>67</v>
      </c>
      <c r="L49" s="54" t="s">
        <v>153</v>
      </c>
      <c r="M49" s="24" t="s">
        <v>153</v>
      </c>
      <c r="N49" s="24" t="s">
        <v>153</v>
      </c>
      <c r="O49" s="23" t="s">
        <v>153</v>
      </c>
      <c r="P49" s="23" t="s">
        <v>153</v>
      </c>
      <c r="Q49" s="23" t="s">
        <v>153</v>
      </c>
      <c r="R49" s="23" t="s">
        <v>153</v>
      </c>
      <c r="S49" s="23" t="s">
        <v>153</v>
      </c>
      <c r="T49" s="24" t="s">
        <v>153</v>
      </c>
      <c r="U49" s="24" t="s">
        <v>153</v>
      </c>
      <c r="V49" s="54" t="s">
        <v>153</v>
      </c>
      <c r="W49" s="23" t="s">
        <v>153</v>
      </c>
      <c r="X49" s="23" t="s">
        <v>153</v>
      </c>
      <c r="Y49" s="23" t="s">
        <v>153</v>
      </c>
      <c r="Z49" s="23" t="s">
        <v>153</v>
      </c>
      <c r="AA49" s="24" t="s">
        <v>153</v>
      </c>
      <c r="AB49" s="24" t="s">
        <v>153</v>
      </c>
      <c r="AC49" s="23" t="s">
        <v>153</v>
      </c>
      <c r="AD49" s="23" t="s">
        <v>153</v>
      </c>
      <c r="AE49" s="23" t="s">
        <v>153</v>
      </c>
      <c r="AF49" s="23" t="s">
        <v>153</v>
      </c>
      <c r="AG49" s="23" t="s">
        <v>153</v>
      </c>
      <c r="AH49" s="24" t="s">
        <v>153</v>
      </c>
      <c r="AI49" s="24" t="s">
        <v>153</v>
      </c>
      <c r="AJ49" s="23" t="s">
        <v>153</v>
      </c>
      <c r="AK49" s="23" t="s">
        <v>153</v>
      </c>
      <c r="AL49" s="23" t="s">
        <v>153</v>
      </c>
      <c r="AM49" s="23" t="s">
        <v>153</v>
      </c>
      <c r="AN49" s="23" t="s">
        <v>153</v>
      </c>
      <c r="AO49" s="24" t="s">
        <v>153</v>
      </c>
      <c r="AP49" s="23">
        <f>VALUE(1)</f>
        <v>1</v>
      </c>
      <c r="AQ49" s="23">
        <f>VALUE(0)</f>
        <v>0</v>
      </c>
      <c r="AR49" s="23">
        <f>VALUE(0)</f>
        <v>0</v>
      </c>
      <c r="AS49" s="23">
        <f>VALUE(0)</f>
        <v>0</v>
      </c>
      <c r="AT49" s="23">
        <f>VALUE(0)</f>
        <v>0</v>
      </c>
      <c r="AU49" s="23">
        <f>VALUE(0)</f>
        <v>0</v>
      </c>
      <c r="AV49" s="23">
        <f>VALUE(8.5)</f>
        <v>8.5</v>
      </c>
      <c r="AW49" s="23">
        <f>VALUE(0)</f>
        <v>0</v>
      </c>
      <c r="AX49" s="23" t="s">
        <v>245</v>
      </c>
      <c r="AY49" s="23">
        <f>VALUE(0)</f>
        <v>0</v>
      </c>
      <c r="AZ49" s="23">
        <f>VALUE(0)</f>
        <v>0</v>
      </c>
      <c r="BA49" s="23">
        <f>VALUE(0)</f>
        <v>0</v>
      </c>
      <c r="BB49" s="23">
        <f>VALUE(0)</f>
        <v>0</v>
      </c>
      <c r="BC49" s="23">
        <f>VALUE(0)</f>
        <v>0</v>
      </c>
      <c r="BD49" s="23">
        <f>VALUE(0)</f>
        <v>0</v>
      </c>
      <c r="BE49" s="23">
        <f>VALUE(0)</f>
        <v>0</v>
      </c>
      <c r="BF49" s="23">
        <f>VALUE(0)</f>
        <v>0</v>
      </c>
      <c r="BG49" s="23">
        <f>VALUE(0)</f>
        <v>0</v>
      </c>
      <c r="BH49" s="23">
        <f>VALUE(0)</f>
        <v>0</v>
      </c>
      <c r="BI49" s="23">
        <f>VALUE(0)</f>
        <v>0</v>
      </c>
      <c r="BJ49" s="23">
        <f>VALUE(0)</f>
        <v>0</v>
      </c>
      <c r="BK49" s="12">
        <f>$AX$49*24</f>
        <v>92.38333333333334</v>
      </c>
      <c r="BL49" s="12">
        <f>$AY$49*24</f>
        <v>0</v>
      </c>
      <c r="BM49" s="12">
        <f>$BJ$49*24</f>
        <v>0</v>
      </c>
      <c r="BN49" s="12">
        <f>VALUE($I$49)/100</f>
        <v>1</v>
      </c>
      <c r="BO49" s="12">
        <v>0</v>
      </c>
      <c r="BP49" s="12">
        <v>0</v>
      </c>
      <c r="BQ49" s="12">
        <v>0</v>
      </c>
      <c r="BR49" s="12">
        <v>0</v>
      </c>
      <c r="BS49" s="12">
        <v>0</v>
      </c>
      <c r="BT49" s="12">
        <v>0</v>
      </c>
      <c r="BU49" s="12">
        <v>0</v>
      </c>
      <c r="BV49" s="12">
        <v>0</v>
      </c>
      <c r="BW49" s="12">
        <v>0</v>
      </c>
      <c r="BX49" s="12">
        <v>0</v>
      </c>
      <c r="BY49" s="12">
        <v>0</v>
      </c>
      <c r="BZ49" s="12">
        <v>0</v>
      </c>
      <c r="CA49" s="12">
        <v>0</v>
      </c>
    </row>
    <row r="50" spans="1:79" ht="15" x14ac:dyDescent="0.25">
      <c r="A50" s="12" t="s">
        <v>102</v>
      </c>
      <c r="B50" s="12" t="s">
        <v>106</v>
      </c>
      <c r="C50" s="12" t="s">
        <v>106</v>
      </c>
      <c r="D50" s="31" t="s">
        <v>246</v>
      </c>
      <c r="E50" s="31" t="s">
        <v>153</v>
      </c>
      <c r="F50" s="31" t="s">
        <v>175</v>
      </c>
      <c r="G50" s="31" t="s">
        <v>153</v>
      </c>
      <c r="H50" s="31" t="s">
        <v>153</v>
      </c>
      <c r="I50" s="31" t="s">
        <v>153</v>
      </c>
      <c r="J50" s="31" t="s">
        <v>153</v>
      </c>
      <c r="K50" s="31" t="s">
        <v>153</v>
      </c>
      <c r="L50" s="31">
        <f>VALUE(0)</f>
        <v>0</v>
      </c>
      <c r="M50" s="31">
        <f>VALUE(0)</f>
        <v>0</v>
      </c>
      <c r="N50" s="31">
        <f>VALUE(0)</f>
        <v>0</v>
      </c>
      <c r="O50" s="31">
        <f>VALUE(2)</f>
        <v>2</v>
      </c>
      <c r="P50" s="31">
        <f>VALUE(2)</f>
        <v>2</v>
      </c>
      <c r="Q50" s="31">
        <f>VALUE(2)</f>
        <v>2</v>
      </c>
      <c r="R50" s="31">
        <f>VALUE(2)</f>
        <v>2</v>
      </c>
      <c r="S50" s="31">
        <f>VALUE(2)</f>
        <v>2</v>
      </c>
      <c r="T50" s="31">
        <f>VALUE(0)</f>
        <v>0</v>
      </c>
      <c r="U50" s="31">
        <f>VALUE(0)</f>
        <v>0</v>
      </c>
      <c r="V50" s="31">
        <f>VALUE(0)</f>
        <v>0</v>
      </c>
      <c r="W50" s="31">
        <f>VALUE(2)</f>
        <v>2</v>
      </c>
      <c r="X50" s="31">
        <f>VALUE(2)</f>
        <v>2</v>
      </c>
      <c r="Y50" s="31">
        <f>VALUE(2)</f>
        <v>2</v>
      </c>
      <c r="Z50" s="31">
        <f>VALUE(2)</f>
        <v>2</v>
      </c>
      <c r="AA50" s="31">
        <f>VALUE(0)</f>
        <v>0</v>
      </c>
      <c r="AB50" s="31">
        <f>VALUE(0)</f>
        <v>0</v>
      </c>
      <c r="AC50" s="31">
        <f>VALUE(2)</f>
        <v>2</v>
      </c>
      <c r="AD50" s="31">
        <f>VALUE(2)</f>
        <v>2</v>
      </c>
      <c r="AE50" s="31">
        <f>VALUE(2)</f>
        <v>2</v>
      </c>
      <c r="AF50" s="31">
        <f>VALUE(2)</f>
        <v>2</v>
      </c>
      <c r="AG50" s="31">
        <f>VALUE(2)</f>
        <v>2</v>
      </c>
      <c r="AH50" s="31">
        <f>VALUE(0)</f>
        <v>0</v>
      </c>
      <c r="AI50" s="31">
        <f>VALUE(0)</f>
        <v>0</v>
      </c>
      <c r="AJ50" s="31">
        <f>VALUE(2)</f>
        <v>2</v>
      </c>
      <c r="AK50" s="31">
        <f>VALUE(2)</f>
        <v>2</v>
      </c>
      <c r="AL50" s="31">
        <f>VALUE(2)</f>
        <v>2</v>
      </c>
      <c r="AM50" s="31">
        <f>VALUE(2)</f>
        <v>2</v>
      </c>
      <c r="AN50" s="31">
        <f>VALUE(2)</f>
        <v>2</v>
      </c>
      <c r="AO50" s="31">
        <f>VALUE(0)</f>
        <v>0</v>
      </c>
      <c r="AP50" s="31">
        <v>0</v>
      </c>
      <c r="AQ50" s="31">
        <v>0</v>
      </c>
      <c r="AR50" s="31">
        <v>0</v>
      </c>
      <c r="AS50" s="31">
        <v>0</v>
      </c>
      <c r="AT50" s="31">
        <v>0</v>
      </c>
      <c r="AU50" s="31">
        <v>0</v>
      </c>
      <c r="AV50" s="31">
        <v>0</v>
      </c>
      <c r="AW50" s="31">
        <v>0</v>
      </c>
      <c r="AX50" s="31">
        <v>0</v>
      </c>
      <c r="AY50" s="31">
        <v>0</v>
      </c>
      <c r="AZ50" s="31">
        <v>0</v>
      </c>
      <c r="BA50" s="31">
        <v>0</v>
      </c>
      <c r="BB50" s="31">
        <v>0</v>
      </c>
      <c r="BC50" s="31">
        <v>0</v>
      </c>
      <c r="BD50" s="31">
        <v>0</v>
      </c>
      <c r="BE50" s="31">
        <v>0</v>
      </c>
      <c r="BF50" s="31">
        <v>0</v>
      </c>
      <c r="BG50" s="31">
        <v>0</v>
      </c>
      <c r="BH50" s="31">
        <v>0</v>
      </c>
      <c r="BI50" s="31">
        <v>0</v>
      </c>
      <c r="BJ50" s="31">
        <v>0</v>
      </c>
      <c r="BK50" s="12">
        <v>0</v>
      </c>
      <c r="BL50" s="12">
        <v>0</v>
      </c>
      <c r="BM50" s="12">
        <v>0</v>
      </c>
      <c r="BN50" s="12"/>
      <c r="BO50" s="12">
        <v>0</v>
      </c>
      <c r="BP50" s="12">
        <v>0</v>
      </c>
      <c r="BQ50" s="12">
        <v>0</v>
      </c>
      <c r="BR50" s="12">
        <v>0</v>
      </c>
      <c r="BS50" s="12">
        <v>0</v>
      </c>
      <c r="BT50" s="12">
        <v>0</v>
      </c>
      <c r="BU50" s="12">
        <v>0</v>
      </c>
      <c r="BV50" s="12">
        <v>0</v>
      </c>
      <c r="BW50" s="12">
        <v>0</v>
      </c>
      <c r="BX50" s="12">
        <v>0</v>
      </c>
      <c r="BY50" s="12">
        <v>0</v>
      </c>
      <c r="BZ50" s="12">
        <v>0</v>
      </c>
      <c r="CA50" s="12">
        <v>0</v>
      </c>
    </row>
    <row r="51" spans="1:79" x14ac:dyDescent="0.2">
      <c r="A51" s="12" t="s">
        <v>102</v>
      </c>
      <c r="B51" s="12" t="s">
        <v>107</v>
      </c>
      <c r="C51" s="12" t="s">
        <v>107</v>
      </c>
      <c r="D51" s="22" t="s">
        <v>247</v>
      </c>
      <c r="E51" s="22" t="s">
        <v>149</v>
      </c>
      <c r="F51" s="22" t="s">
        <v>665</v>
      </c>
      <c r="G51" s="22" t="s">
        <v>666</v>
      </c>
      <c r="H51" s="22" t="s">
        <v>166</v>
      </c>
      <c r="I51" s="22" t="s">
        <v>151</v>
      </c>
      <c r="J51" s="22" t="s">
        <v>152</v>
      </c>
      <c r="K51" s="22" t="s">
        <v>68</v>
      </c>
      <c r="L51" s="54" t="s">
        <v>153</v>
      </c>
      <c r="M51" s="24" t="s">
        <v>156</v>
      </c>
      <c r="N51" s="24" t="s">
        <v>153</v>
      </c>
      <c r="O51" s="24" t="s">
        <v>156</v>
      </c>
      <c r="P51" s="23" t="s">
        <v>153</v>
      </c>
      <c r="Q51" s="23" t="s">
        <v>153</v>
      </c>
      <c r="R51" s="23" t="s">
        <v>153</v>
      </c>
      <c r="S51" s="23" t="s">
        <v>153</v>
      </c>
      <c r="T51" s="23" t="s">
        <v>153</v>
      </c>
      <c r="U51" s="24" t="s">
        <v>153</v>
      </c>
      <c r="V51" s="54" t="s">
        <v>153</v>
      </c>
      <c r="W51" s="28" t="s">
        <v>338</v>
      </c>
      <c r="X51" s="28" t="s">
        <v>338</v>
      </c>
      <c r="Y51" s="23" t="s">
        <v>153</v>
      </c>
      <c r="Z51" s="23" t="s">
        <v>153</v>
      </c>
      <c r="AA51" s="24" t="s">
        <v>156</v>
      </c>
      <c r="AB51" s="24" t="s">
        <v>153</v>
      </c>
      <c r="AC51" s="24" t="s">
        <v>156</v>
      </c>
      <c r="AD51" s="23" t="s">
        <v>153</v>
      </c>
      <c r="AE51" s="23" t="s">
        <v>153</v>
      </c>
      <c r="AF51" s="23" t="s">
        <v>153</v>
      </c>
      <c r="AG51" s="23" t="s">
        <v>153</v>
      </c>
      <c r="AH51" s="23" t="s">
        <v>153</v>
      </c>
      <c r="AI51" s="24" t="s">
        <v>153</v>
      </c>
      <c r="AJ51" s="23" t="s">
        <v>153</v>
      </c>
      <c r="AK51" s="23" t="s">
        <v>153</v>
      </c>
      <c r="AL51" s="23" t="s">
        <v>153</v>
      </c>
      <c r="AM51" s="23" t="s">
        <v>153</v>
      </c>
      <c r="AN51" s="23" t="s">
        <v>153</v>
      </c>
      <c r="AO51" s="24" t="s">
        <v>156</v>
      </c>
      <c r="AP51" s="23">
        <f>VALUE(0)</f>
        <v>0</v>
      </c>
      <c r="AQ51" s="23">
        <f>VALUE(0)</f>
        <v>0</v>
      </c>
      <c r="AR51" s="23">
        <f>VALUE(0)</f>
        <v>0</v>
      </c>
      <c r="AS51" s="23">
        <f>VALUE(0)</f>
        <v>0</v>
      </c>
      <c r="AT51" s="23">
        <f>VALUE(2)</f>
        <v>2</v>
      </c>
      <c r="AU51" s="23">
        <f>VALUE(0)</f>
        <v>0</v>
      </c>
      <c r="AV51" s="23">
        <f>VALUE(4)</f>
        <v>4</v>
      </c>
      <c r="AW51" s="23">
        <f>VALUE(0)</f>
        <v>0</v>
      </c>
      <c r="AX51" s="23" t="s">
        <v>248</v>
      </c>
      <c r="AY51" s="23">
        <f>VALUE(0)</f>
        <v>0</v>
      </c>
      <c r="AZ51" s="23">
        <f>VALUE(0)</f>
        <v>0</v>
      </c>
      <c r="BA51" s="23">
        <f>VALUE(0)</f>
        <v>0</v>
      </c>
      <c r="BB51" s="23">
        <f>VALUE(0)</f>
        <v>0</v>
      </c>
      <c r="BC51" s="23">
        <f>VALUE(0)</f>
        <v>0</v>
      </c>
      <c r="BD51" s="23">
        <f>VALUE(0)</f>
        <v>0</v>
      </c>
      <c r="BE51" s="23">
        <f>VALUE(0)</f>
        <v>0</v>
      </c>
      <c r="BF51" s="23">
        <f>VALUE(0)</f>
        <v>0</v>
      </c>
      <c r="BG51" s="23">
        <f>VALUE(0)</f>
        <v>0</v>
      </c>
      <c r="BH51" s="23">
        <f>VALUE(0)</f>
        <v>0</v>
      </c>
      <c r="BI51" s="23">
        <f>VALUE(0)</f>
        <v>0</v>
      </c>
      <c r="BJ51" s="23">
        <f>VALUE(0)</f>
        <v>0</v>
      </c>
      <c r="BK51" s="12">
        <f>$AX$51*24</f>
        <v>16.333333333333332</v>
      </c>
      <c r="BL51" s="12">
        <f>$AY$51*24</f>
        <v>0</v>
      </c>
      <c r="BM51" s="12">
        <f>$BJ$51*24</f>
        <v>0</v>
      </c>
      <c r="BN51" s="12">
        <f>VALUE($I$51)/100</f>
        <v>1</v>
      </c>
      <c r="BO51" s="12">
        <v>0</v>
      </c>
      <c r="BP51" s="12">
        <v>0</v>
      </c>
      <c r="BQ51" s="12">
        <v>0</v>
      </c>
      <c r="BR51" s="12">
        <v>0</v>
      </c>
      <c r="BS51" s="12">
        <v>0</v>
      </c>
      <c r="BT51" s="12">
        <v>0</v>
      </c>
      <c r="BU51" s="12">
        <v>0</v>
      </c>
      <c r="BV51" s="12">
        <v>0</v>
      </c>
      <c r="BW51" s="12">
        <v>0</v>
      </c>
      <c r="BX51" s="12">
        <v>0</v>
      </c>
      <c r="BY51" s="12">
        <v>2</v>
      </c>
      <c r="BZ51" s="12">
        <v>0</v>
      </c>
      <c r="CA51" s="12">
        <v>0</v>
      </c>
    </row>
    <row r="52" spans="1:79" x14ac:dyDescent="0.2">
      <c r="A52" s="12" t="s">
        <v>102</v>
      </c>
      <c r="B52" s="12" t="s">
        <v>107</v>
      </c>
      <c r="C52" s="12" t="s">
        <v>107</v>
      </c>
      <c r="D52" s="22" t="s">
        <v>249</v>
      </c>
      <c r="E52" s="22" t="s">
        <v>149</v>
      </c>
      <c r="F52" s="22" t="s">
        <v>667</v>
      </c>
      <c r="G52" s="22" t="s">
        <v>668</v>
      </c>
      <c r="H52" s="22" t="s">
        <v>166</v>
      </c>
      <c r="I52" s="22" t="s">
        <v>151</v>
      </c>
      <c r="J52" s="22" t="s">
        <v>152</v>
      </c>
      <c r="K52" s="22" t="s">
        <v>68</v>
      </c>
      <c r="L52" s="54" t="s">
        <v>153</v>
      </c>
      <c r="M52" s="23" t="s">
        <v>153</v>
      </c>
      <c r="N52" s="24" t="s">
        <v>153</v>
      </c>
      <c r="O52" s="23" t="s">
        <v>153</v>
      </c>
      <c r="P52" s="23" t="s">
        <v>153</v>
      </c>
      <c r="Q52" s="23" t="s">
        <v>153</v>
      </c>
      <c r="R52" s="23" t="s">
        <v>153</v>
      </c>
      <c r="S52" s="23" t="s">
        <v>153</v>
      </c>
      <c r="T52" s="24" t="s">
        <v>156</v>
      </c>
      <c r="U52" s="24" t="s">
        <v>153</v>
      </c>
      <c r="V52" s="54" t="s">
        <v>156</v>
      </c>
      <c r="W52" s="23" t="s">
        <v>153</v>
      </c>
      <c r="X52" s="23" t="s">
        <v>153</v>
      </c>
      <c r="Y52" s="23" t="s">
        <v>153</v>
      </c>
      <c r="Z52" s="23" t="s">
        <v>153</v>
      </c>
      <c r="AA52" s="23" t="s">
        <v>153</v>
      </c>
      <c r="AB52" s="24" t="s">
        <v>153</v>
      </c>
      <c r="AC52" s="23" t="s">
        <v>153</v>
      </c>
      <c r="AD52" s="23" t="s">
        <v>153</v>
      </c>
      <c r="AE52" s="23" t="s">
        <v>153</v>
      </c>
      <c r="AF52" s="23" t="s">
        <v>153</v>
      </c>
      <c r="AG52" s="23" t="s">
        <v>153</v>
      </c>
      <c r="AH52" s="24" t="s">
        <v>156</v>
      </c>
      <c r="AI52" s="24" t="s">
        <v>153</v>
      </c>
      <c r="AJ52" s="24" t="s">
        <v>156</v>
      </c>
      <c r="AK52" s="23" t="s">
        <v>153</v>
      </c>
      <c r="AL52" s="23" t="s">
        <v>153</v>
      </c>
      <c r="AM52" s="23" t="s">
        <v>153</v>
      </c>
      <c r="AN52" s="23" t="s">
        <v>153</v>
      </c>
      <c r="AO52" s="23" t="s">
        <v>153</v>
      </c>
      <c r="AP52" s="23">
        <f>VALUE(0)</f>
        <v>0</v>
      </c>
      <c r="AQ52" s="23">
        <f>VALUE(0)</f>
        <v>0</v>
      </c>
      <c r="AR52" s="23">
        <f>VALUE(0)</f>
        <v>0</v>
      </c>
      <c r="AS52" s="23">
        <f>VALUE(0)</f>
        <v>0</v>
      </c>
      <c r="AT52" s="23">
        <f>VALUE(0)</f>
        <v>0</v>
      </c>
      <c r="AU52" s="23">
        <f>VALUE(0)</f>
        <v>0</v>
      </c>
      <c r="AV52" s="23">
        <f>VALUE(3)</f>
        <v>3</v>
      </c>
      <c r="AW52" s="23">
        <f>VALUE(0)</f>
        <v>0</v>
      </c>
      <c r="AX52" s="23" t="s">
        <v>1185</v>
      </c>
      <c r="AY52" s="23">
        <f>VALUE(0)</f>
        <v>0</v>
      </c>
      <c r="AZ52" s="23">
        <f>VALUE(0)</f>
        <v>0</v>
      </c>
      <c r="BA52" s="23">
        <f>VALUE(0)</f>
        <v>0</v>
      </c>
      <c r="BB52" s="23">
        <f>VALUE(0)</f>
        <v>0</v>
      </c>
      <c r="BC52" s="23">
        <f>VALUE(0)</f>
        <v>0</v>
      </c>
      <c r="BD52" s="23">
        <f>VALUE(0)</f>
        <v>0</v>
      </c>
      <c r="BE52" s="23">
        <f>VALUE(0)</f>
        <v>0</v>
      </c>
      <c r="BF52" s="23">
        <f>VALUE(0)</f>
        <v>0</v>
      </c>
      <c r="BG52" s="23">
        <f>VALUE(0)</f>
        <v>0</v>
      </c>
      <c r="BH52" s="23">
        <f>VALUE(0)</f>
        <v>0</v>
      </c>
      <c r="BI52" s="23">
        <f>VALUE(0)</f>
        <v>0</v>
      </c>
      <c r="BJ52" s="23">
        <f>VALUE(0)</f>
        <v>0</v>
      </c>
      <c r="BK52" s="12">
        <f>$AX$52*24</f>
        <v>88.75</v>
      </c>
      <c r="BL52" s="12">
        <f>$AY$52*24</f>
        <v>0</v>
      </c>
      <c r="BM52" s="12">
        <f>$BJ$52*24</f>
        <v>0</v>
      </c>
      <c r="BN52" s="12">
        <f>VALUE($I$52)/100</f>
        <v>1</v>
      </c>
      <c r="BO52" s="12">
        <v>0</v>
      </c>
      <c r="BP52" s="12">
        <v>0</v>
      </c>
      <c r="BQ52" s="12">
        <v>0</v>
      </c>
      <c r="BR52" s="12">
        <v>0</v>
      </c>
      <c r="BS52" s="12">
        <v>0</v>
      </c>
      <c r="BT52" s="12">
        <v>0</v>
      </c>
      <c r="BU52" s="12">
        <v>0</v>
      </c>
      <c r="BV52" s="12">
        <v>0</v>
      </c>
      <c r="BW52" s="12">
        <v>0</v>
      </c>
      <c r="BX52" s="12">
        <v>0</v>
      </c>
      <c r="BY52" s="12">
        <v>0</v>
      </c>
      <c r="BZ52" s="12">
        <v>0</v>
      </c>
      <c r="CA52" s="12">
        <v>0</v>
      </c>
    </row>
    <row r="53" spans="1:79" x14ac:dyDescent="0.2">
      <c r="A53" s="12" t="s">
        <v>102</v>
      </c>
      <c r="B53" s="12" t="s">
        <v>107</v>
      </c>
      <c r="C53" s="12" t="s">
        <v>107</v>
      </c>
      <c r="D53" s="22" t="s">
        <v>250</v>
      </c>
      <c r="E53" s="22" t="s">
        <v>149</v>
      </c>
      <c r="F53" s="22" t="s">
        <v>669</v>
      </c>
      <c r="G53" s="22" t="s">
        <v>670</v>
      </c>
      <c r="H53" s="22" t="s">
        <v>166</v>
      </c>
      <c r="I53" s="22" t="s">
        <v>151</v>
      </c>
      <c r="J53" s="22" t="s">
        <v>152</v>
      </c>
      <c r="K53" s="22" t="s">
        <v>68</v>
      </c>
      <c r="L53" s="54" t="s">
        <v>153</v>
      </c>
      <c r="M53" s="23" t="s">
        <v>153</v>
      </c>
      <c r="N53" s="24" t="s">
        <v>153</v>
      </c>
      <c r="O53" s="23" t="s">
        <v>153</v>
      </c>
      <c r="P53" s="23" t="s">
        <v>153</v>
      </c>
      <c r="Q53" s="23" t="s">
        <v>153</v>
      </c>
      <c r="R53" s="23" t="s">
        <v>153</v>
      </c>
      <c r="S53" s="23" t="s">
        <v>153</v>
      </c>
      <c r="T53" s="24" t="s">
        <v>156</v>
      </c>
      <c r="U53" s="24" t="s">
        <v>153</v>
      </c>
      <c r="V53" s="54" t="s">
        <v>156</v>
      </c>
      <c r="W53" s="23" t="s">
        <v>153</v>
      </c>
      <c r="X53" s="23" t="s">
        <v>153</v>
      </c>
      <c r="Y53" s="23" t="s">
        <v>153</v>
      </c>
      <c r="Z53" s="23" t="s">
        <v>153</v>
      </c>
      <c r="AA53" s="23" t="s">
        <v>153</v>
      </c>
      <c r="AB53" s="24" t="s">
        <v>153</v>
      </c>
      <c r="AC53" s="23" t="s">
        <v>153</v>
      </c>
      <c r="AD53" s="23" t="s">
        <v>153</v>
      </c>
      <c r="AE53" s="23" t="s">
        <v>153</v>
      </c>
      <c r="AF53" s="23" t="s">
        <v>153</v>
      </c>
      <c r="AG53" s="23" t="s">
        <v>153</v>
      </c>
      <c r="AH53" s="24" t="s">
        <v>156</v>
      </c>
      <c r="AI53" s="24" t="s">
        <v>153</v>
      </c>
      <c r="AJ53" s="24" t="s">
        <v>156</v>
      </c>
      <c r="AK53" s="23" t="s">
        <v>153</v>
      </c>
      <c r="AL53" s="23" t="s">
        <v>153</v>
      </c>
      <c r="AM53" s="23" t="s">
        <v>153</v>
      </c>
      <c r="AN53" s="23" t="s">
        <v>153</v>
      </c>
      <c r="AO53" s="23" t="s">
        <v>153</v>
      </c>
      <c r="AP53" s="23">
        <f>VALUE(0)</f>
        <v>0</v>
      </c>
      <c r="AQ53" s="23">
        <f>VALUE(0)</f>
        <v>0</v>
      </c>
      <c r="AR53" s="23">
        <f>VALUE(0)</f>
        <v>0</v>
      </c>
      <c r="AS53" s="23">
        <f>VALUE(0)</f>
        <v>0</v>
      </c>
      <c r="AT53" s="23">
        <f>VALUE(0)</f>
        <v>0</v>
      </c>
      <c r="AU53" s="23">
        <f>VALUE(0)</f>
        <v>0</v>
      </c>
      <c r="AV53" s="23">
        <f>VALUE(0)</f>
        <v>0</v>
      </c>
      <c r="AW53" s="23">
        <f>VALUE(0)</f>
        <v>0</v>
      </c>
      <c r="AX53" s="23" t="s">
        <v>1186</v>
      </c>
      <c r="AY53" s="23">
        <f>VALUE(0)</f>
        <v>0</v>
      </c>
      <c r="AZ53" s="23">
        <f>VALUE(0)</f>
        <v>0</v>
      </c>
      <c r="BA53" s="23">
        <f>VALUE(0)</f>
        <v>0</v>
      </c>
      <c r="BB53" s="23">
        <f>VALUE(0)</f>
        <v>0</v>
      </c>
      <c r="BC53" s="23">
        <f>VALUE(0)</f>
        <v>0</v>
      </c>
      <c r="BD53" s="23">
        <f>VALUE(0)</f>
        <v>0</v>
      </c>
      <c r="BE53" s="23">
        <f>VALUE(0)</f>
        <v>0</v>
      </c>
      <c r="BF53" s="23">
        <f>VALUE(0)</f>
        <v>0</v>
      </c>
      <c r="BG53" s="23">
        <f>VALUE(0)</f>
        <v>0</v>
      </c>
      <c r="BH53" s="23">
        <f>VALUE(0)</f>
        <v>0</v>
      </c>
      <c r="BI53" s="23">
        <f>VALUE(0)</f>
        <v>0</v>
      </c>
      <c r="BJ53" s="23">
        <f>VALUE(0)</f>
        <v>0</v>
      </c>
      <c r="BK53" s="12">
        <f>$AX$53*24</f>
        <v>4.833333333333333</v>
      </c>
      <c r="BL53" s="12">
        <f>$AY$53*24</f>
        <v>0</v>
      </c>
      <c r="BM53" s="12">
        <f>$BJ$53*24</f>
        <v>0</v>
      </c>
      <c r="BN53" s="12">
        <f>VALUE($I$53)/100</f>
        <v>1</v>
      </c>
      <c r="BO53" s="12">
        <v>0</v>
      </c>
      <c r="BP53" s="12">
        <v>0</v>
      </c>
      <c r="BQ53" s="12">
        <v>0</v>
      </c>
      <c r="BR53" s="12">
        <v>0</v>
      </c>
      <c r="BS53" s="12">
        <v>0</v>
      </c>
      <c r="BT53" s="12">
        <v>0</v>
      </c>
      <c r="BU53" s="12">
        <v>0</v>
      </c>
      <c r="BV53" s="12">
        <v>0</v>
      </c>
      <c r="BW53" s="12">
        <v>0</v>
      </c>
      <c r="BX53" s="12">
        <v>0</v>
      </c>
      <c r="BY53" s="12">
        <v>0</v>
      </c>
      <c r="BZ53" s="12">
        <v>0</v>
      </c>
      <c r="CA53" s="12">
        <v>0</v>
      </c>
    </row>
    <row r="54" spans="1:79" x14ac:dyDescent="0.2">
      <c r="A54" s="12" t="s">
        <v>102</v>
      </c>
      <c r="B54" s="12" t="s">
        <v>107</v>
      </c>
      <c r="C54" s="12" t="s">
        <v>107</v>
      </c>
      <c r="D54" s="22" t="s">
        <v>251</v>
      </c>
      <c r="E54" s="22" t="s">
        <v>149</v>
      </c>
      <c r="F54" s="22" t="s">
        <v>671</v>
      </c>
      <c r="G54" s="22" t="s">
        <v>672</v>
      </c>
      <c r="H54" s="22" t="s">
        <v>166</v>
      </c>
      <c r="I54" s="22" t="s">
        <v>151</v>
      </c>
      <c r="J54" s="22" t="s">
        <v>152</v>
      </c>
      <c r="K54" s="22" t="s">
        <v>68</v>
      </c>
      <c r="L54" s="54" t="s">
        <v>153</v>
      </c>
      <c r="M54" s="24" t="s">
        <v>156</v>
      </c>
      <c r="N54" s="24" t="s">
        <v>153</v>
      </c>
      <c r="O54" s="24" t="s">
        <v>156</v>
      </c>
      <c r="P54" s="23" t="s">
        <v>153</v>
      </c>
      <c r="Q54" s="23" t="s">
        <v>153</v>
      </c>
      <c r="R54" s="23" t="s">
        <v>153</v>
      </c>
      <c r="S54" s="23" t="s">
        <v>153</v>
      </c>
      <c r="T54" s="23" t="s">
        <v>153</v>
      </c>
      <c r="U54" s="24" t="s">
        <v>153</v>
      </c>
      <c r="V54" s="54" t="s">
        <v>153</v>
      </c>
      <c r="W54" s="23" t="s">
        <v>153</v>
      </c>
      <c r="X54" s="23" t="s">
        <v>153</v>
      </c>
      <c r="Y54" s="23" t="s">
        <v>153</v>
      </c>
      <c r="Z54" s="23" t="s">
        <v>153</v>
      </c>
      <c r="AA54" s="24" t="s">
        <v>156</v>
      </c>
      <c r="AB54" s="24" t="s">
        <v>153</v>
      </c>
      <c r="AC54" s="24" t="s">
        <v>156</v>
      </c>
      <c r="AD54" s="23" t="s">
        <v>153</v>
      </c>
      <c r="AE54" s="23" t="s">
        <v>153</v>
      </c>
      <c r="AF54" s="23" t="s">
        <v>153</v>
      </c>
      <c r="AG54" s="23" t="s">
        <v>153</v>
      </c>
      <c r="AH54" s="23" t="s">
        <v>153</v>
      </c>
      <c r="AI54" s="24" t="s">
        <v>153</v>
      </c>
      <c r="AJ54" s="23" t="s">
        <v>153</v>
      </c>
      <c r="AK54" s="23" t="s">
        <v>153</v>
      </c>
      <c r="AL54" s="23" t="s">
        <v>153</v>
      </c>
      <c r="AM54" s="23" t="s">
        <v>153</v>
      </c>
      <c r="AN54" s="23" t="s">
        <v>153</v>
      </c>
      <c r="AO54" s="24" t="s">
        <v>156</v>
      </c>
      <c r="AP54" s="23">
        <f>VALUE(0)</f>
        <v>0</v>
      </c>
      <c r="AQ54" s="23">
        <f>VALUE(0)</f>
        <v>0</v>
      </c>
      <c r="AR54" s="23">
        <f>VALUE(0)</f>
        <v>0</v>
      </c>
      <c r="AS54" s="23">
        <f>VALUE(0)</f>
        <v>0</v>
      </c>
      <c r="AT54" s="23">
        <f>VALUE(0)</f>
        <v>0</v>
      </c>
      <c r="AU54" s="23">
        <f>VALUE(0)</f>
        <v>0</v>
      </c>
      <c r="AV54" s="23">
        <f>VALUE(2.5)</f>
        <v>2.5</v>
      </c>
      <c r="AW54" s="23">
        <f>VALUE(0)</f>
        <v>0</v>
      </c>
      <c r="AX54" s="23" t="s">
        <v>252</v>
      </c>
      <c r="AY54" s="23">
        <f>VALUE(0)</f>
        <v>0</v>
      </c>
      <c r="AZ54" s="23">
        <f>VALUE(0)</f>
        <v>0</v>
      </c>
      <c r="BA54" s="23">
        <f>VALUE(0)</f>
        <v>0</v>
      </c>
      <c r="BB54" s="23">
        <f>VALUE(0)</f>
        <v>0</v>
      </c>
      <c r="BC54" s="23">
        <f>VALUE(0)</f>
        <v>0</v>
      </c>
      <c r="BD54" s="23">
        <f>VALUE(0)</f>
        <v>0</v>
      </c>
      <c r="BE54" s="23">
        <f>VALUE(0)</f>
        <v>0</v>
      </c>
      <c r="BF54" s="23">
        <f>VALUE(0)</f>
        <v>0</v>
      </c>
      <c r="BG54" s="23">
        <f>VALUE(0)</f>
        <v>0</v>
      </c>
      <c r="BH54" s="23">
        <f>VALUE(0)</f>
        <v>0</v>
      </c>
      <c r="BI54" s="23">
        <f>VALUE(0)</f>
        <v>0</v>
      </c>
      <c r="BJ54" s="23">
        <f>VALUE(0)</f>
        <v>0</v>
      </c>
      <c r="BK54" s="12">
        <f>$AX$54*24</f>
        <v>7.25</v>
      </c>
      <c r="BL54" s="12">
        <f>$AY$54*24</f>
        <v>0</v>
      </c>
      <c r="BM54" s="12">
        <f>$BJ$54*24</f>
        <v>0</v>
      </c>
      <c r="BN54" s="12">
        <f>VALUE($I$54)/100</f>
        <v>1</v>
      </c>
      <c r="BO54" s="12">
        <v>0</v>
      </c>
      <c r="BP54" s="12">
        <v>0</v>
      </c>
      <c r="BQ54" s="12">
        <v>0</v>
      </c>
      <c r="BR54" s="12">
        <v>0</v>
      </c>
      <c r="BS54" s="12">
        <v>0</v>
      </c>
      <c r="BT54" s="12">
        <v>0</v>
      </c>
      <c r="BU54" s="12">
        <v>0</v>
      </c>
      <c r="BV54" s="12">
        <v>0</v>
      </c>
      <c r="BW54" s="12">
        <v>0</v>
      </c>
      <c r="BX54" s="12">
        <v>0</v>
      </c>
      <c r="BY54" s="12">
        <v>0</v>
      </c>
      <c r="BZ54" s="12">
        <v>0</v>
      </c>
      <c r="CA54" s="12">
        <v>0</v>
      </c>
    </row>
    <row r="55" spans="1:79" x14ac:dyDescent="0.2">
      <c r="A55" s="12" t="s">
        <v>102</v>
      </c>
      <c r="B55" s="12" t="s">
        <v>107</v>
      </c>
      <c r="C55" s="12" t="s">
        <v>107</v>
      </c>
      <c r="D55" s="22" t="s">
        <v>253</v>
      </c>
      <c r="E55" s="22" t="s">
        <v>149</v>
      </c>
      <c r="F55" s="22" t="s">
        <v>673</v>
      </c>
      <c r="G55" s="22" t="s">
        <v>674</v>
      </c>
      <c r="H55" s="22" t="s">
        <v>166</v>
      </c>
      <c r="I55" s="22" t="s">
        <v>151</v>
      </c>
      <c r="J55" s="22" t="s">
        <v>152</v>
      </c>
      <c r="K55" s="22" t="s">
        <v>68</v>
      </c>
      <c r="L55" s="54" t="s">
        <v>153</v>
      </c>
      <c r="M55" s="23" t="s">
        <v>153</v>
      </c>
      <c r="N55" s="24" t="s">
        <v>153</v>
      </c>
      <c r="O55" s="23" t="s">
        <v>153</v>
      </c>
      <c r="P55" s="23" t="s">
        <v>153</v>
      </c>
      <c r="Q55" s="23" t="s">
        <v>153</v>
      </c>
      <c r="R55" s="23" t="s">
        <v>153</v>
      </c>
      <c r="S55" s="23" t="s">
        <v>153</v>
      </c>
      <c r="T55" s="24" t="s">
        <v>156</v>
      </c>
      <c r="U55" s="24" t="s">
        <v>153</v>
      </c>
      <c r="V55" s="54" t="s">
        <v>156</v>
      </c>
      <c r="W55" s="23" t="s">
        <v>153</v>
      </c>
      <c r="X55" s="23" t="s">
        <v>153</v>
      </c>
      <c r="Y55" s="23" t="s">
        <v>153</v>
      </c>
      <c r="Z55" s="23" t="s">
        <v>153</v>
      </c>
      <c r="AA55" s="23" t="s">
        <v>153</v>
      </c>
      <c r="AB55" s="24" t="s">
        <v>153</v>
      </c>
      <c r="AC55" s="23" t="s">
        <v>153</v>
      </c>
      <c r="AD55" s="23" t="s">
        <v>153</v>
      </c>
      <c r="AE55" s="23" t="s">
        <v>153</v>
      </c>
      <c r="AF55" s="23" t="s">
        <v>153</v>
      </c>
      <c r="AG55" s="23" t="s">
        <v>153</v>
      </c>
      <c r="AH55" s="24" t="s">
        <v>156</v>
      </c>
      <c r="AI55" s="24" t="s">
        <v>153</v>
      </c>
      <c r="AJ55" s="24" t="s">
        <v>156</v>
      </c>
      <c r="AK55" s="23" t="s">
        <v>153</v>
      </c>
      <c r="AL55" s="23" t="s">
        <v>153</v>
      </c>
      <c r="AM55" s="23" t="s">
        <v>153</v>
      </c>
      <c r="AN55" s="23" t="s">
        <v>153</v>
      </c>
      <c r="AO55" s="23" t="s">
        <v>153</v>
      </c>
      <c r="AP55" s="23">
        <f>VALUE(0)</f>
        <v>0</v>
      </c>
      <c r="AQ55" s="23">
        <f>VALUE(0)</f>
        <v>0</v>
      </c>
      <c r="AR55" s="23">
        <f>VALUE(0)</f>
        <v>0</v>
      </c>
      <c r="AS55" s="23">
        <f>VALUE(0)</f>
        <v>0</v>
      </c>
      <c r="AT55" s="23">
        <f>VALUE(0)</f>
        <v>0</v>
      </c>
      <c r="AU55" s="23">
        <f>VALUE(0)</f>
        <v>0</v>
      </c>
      <c r="AV55" s="23">
        <f>VALUE(9.5)</f>
        <v>9.5</v>
      </c>
      <c r="AW55" s="23">
        <f>VALUE(0)</f>
        <v>0</v>
      </c>
      <c r="AX55" s="23" t="s">
        <v>1187</v>
      </c>
      <c r="AY55" s="23">
        <f>VALUE(0)</f>
        <v>0</v>
      </c>
      <c r="AZ55" s="23">
        <f>VALUE(0)</f>
        <v>0</v>
      </c>
      <c r="BA55" s="23">
        <f>VALUE(0)</f>
        <v>0</v>
      </c>
      <c r="BB55" s="23">
        <f>VALUE(0)</f>
        <v>0</v>
      </c>
      <c r="BC55" s="23">
        <f>VALUE(0)</f>
        <v>0</v>
      </c>
      <c r="BD55" s="23">
        <f>VALUE(0)</f>
        <v>0</v>
      </c>
      <c r="BE55" s="23">
        <f>VALUE(0)</f>
        <v>0</v>
      </c>
      <c r="BF55" s="23">
        <f>VALUE(0)</f>
        <v>0</v>
      </c>
      <c r="BG55" s="23">
        <f>VALUE(0)</f>
        <v>0</v>
      </c>
      <c r="BH55" s="23">
        <f>VALUE(0)</f>
        <v>0</v>
      </c>
      <c r="BI55" s="23">
        <f>VALUE(0)</f>
        <v>0</v>
      </c>
      <c r="BJ55" s="23">
        <f>VALUE(0)</f>
        <v>0</v>
      </c>
      <c r="BK55" s="12">
        <f>$AX$55*24</f>
        <v>8.85</v>
      </c>
      <c r="BL55" s="12">
        <f>$AY$55*24</f>
        <v>0</v>
      </c>
      <c r="BM55" s="12">
        <f>$BJ$55*24</f>
        <v>0</v>
      </c>
      <c r="BN55" s="12">
        <f>VALUE($I$55)/100</f>
        <v>1</v>
      </c>
      <c r="BO55" s="12">
        <v>0</v>
      </c>
      <c r="BP55" s="12">
        <v>0</v>
      </c>
      <c r="BQ55" s="12">
        <v>0</v>
      </c>
      <c r="BR55" s="12">
        <v>0</v>
      </c>
      <c r="BS55" s="12">
        <v>0</v>
      </c>
      <c r="BT55" s="12">
        <v>0</v>
      </c>
      <c r="BU55" s="12">
        <v>0</v>
      </c>
      <c r="BV55" s="12">
        <v>0</v>
      </c>
      <c r="BW55" s="12">
        <v>0</v>
      </c>
      <c r="BX55" s="12">
        <v>0</v>
      </c>
      <c r="BY55" s="12">
        <v>0</v>
      </c>
      <c r="BZ55" s="12">
        <v>0</v>
      </c>
      <c r="CA55" s="12">
        <v>0</v>
      </c>
    </row>
    <row r="56" spans="1:79" x14ac:dyDescent="0.2">
      <c r="A56" s="12" t="s">
        <v>102</v>
      </c>
      <c r="B56" s="12" t="s">
        <v>107</v>
      </c>
      <c r="C56" s="12" t="s">
        <v>107</v>
      </c>
      <c r="D56" s="22" t="s">
        <v>254</v>
      </c>
      <c r="E56" s="22" t="s">
        <v>149</v>
      </c>
      <c r="F56" s="22" t="s">
        <v>675</v>
      </c>
      <c r="G56" s="22" t="s">
        <v>676</v>
      </c>
      <c r="H56" s="22" t="s">
        <v>150</v>
      </c>
      <c r="I56" s="22" t="s">
        <v>151</v>
      </c>
      <c r="J56" s="22" t="s">
        <v>152</v>
      </c>
      <c r="K56" s="22" t="s">
        <v>68</v>
      </c>
      <c r="L56" s="54" t="s">
        <v>153</v>
      </c>
      <c r="M56" s="23" t="s">
        <v>153</v>
      </c>
      <c r="N56" s="24" t="s">
        <v>153</v>
      </c>
      <c r="O56" s="23" t="s">
        <v>153</v>
      </c>
      <c r="P56" s="23" t="s">
        <v>153</v>
      </c>
      <c r="Q56" s="24" t="s">
        <v>156</v>
      </c>
      <c r="R56" s="23" t="s">
        <v>153</v>
      </c>
      <c r="S56" s="23" t="s">
        <v>153</v>
      </c>
      <c r="T56" s="24" t="s">
        <v>156</v>
      </c>
      <c r="U56" s="24" t="s">
        <v>153</v>
      </c>
      <c r="V56" s="54" t="s">
        <v>153</v>
      </c>
      <c r="W56" s="23" t="s">
        <v>153</v>
      </c>
      <c r="X56" s="23" t="s">
        <v>153</v>
      </c>
      <c r="Y56" s="23" t="s">
        <v>153</v>
      </c>
      <c r="Z56" s="23" t="s">
        <v>153</v>
      </c>
      <c r="AA56" s="28" t="s">
        <v>338</v>
      </c>
      <c r="AB56" s="24" t="s">
        <v>153</v>
      </c>
      <c r="AC56" s="23" t="s">
        <v>153</v>
      </c>
      <c r="AD56" s="23" t="s">
        <v>153</v>
      </c>
      <c r="AE56" s="24" t="s">
        <v>156</v>
      </c>
      <c r="AF56" s="23" t="s">
        <v>153</v>
      </c>
      <c r="AG56" s="23" t="s">
        <v>153</v>
      </c>
      <c r="AH56" s="24" t="s">
        <v>156</v>
      </c>
      <c r="AI56" s="24" t="s">
        <v>153</v>
      </c>
      <c r="AJ56" s="23" t="s">
        <v>153</v>
      </c>
      <c r="AK56" s="23" t="s">
        <v>153</v>
      </c>
      <c r="AL56" s="23" t="s">
        <v>153</v>
      </c>
      <c r="AM56" s="23" t="s">
        <v>153</v>
      </c>
      <c r="AN56" s="23" t="s">
        <v>153</v>
      </c>
      <c r="AO56" s="23" t="s">
        <v>153</v>
      </c>
      <c r="AP56" s="23">
        <f>VALUE(0)</f>
        <v>0</v>
      </c>
      <c r="AQ56" s="23">
        <f>VALUE(0)</f>
        <v>0</v>
      </c>
      <c r="AR56" s="23">
        <f>VALUE(0)</f>
        <v>0</v>
      </c>
      <c r="AS56" s="23">
        <f>VALUE(0)</f>
        <v>0</v>
      </c>
      <c r="AT56" s="23">
        <f>VALUE(1)</f>
        <v>1</v>
      </c>
      <c r="AU56" s="23">
        <f>VALUE(0)</f>
        <v>0</v>
      </c>
      <c r="AV56" s="23">
        <f>VALUE(8)</f>
        <v>8</v>
      </c>
      <c r="AW56" s="23">
        <f>VALUE(0)</f>
        <v>0</v>
      </c>
      <c r="AX56" s="23" t="s">
        <v>171</v>
      </c>
      <c r="AY56" s="23" t="s">
        <v>255</v>
      </c>
      <c r="AZ56" s="23">
        <f>VALUE(0)</f>
        <v>0</v>
      </c>
      <c r="BA56" s="23">
        <f>VALUE(0)</f>
        <v>0</v>
      </c>
      <c r="BB56" s="23">
        <f>VALUE(0)</f>
        <v>0</v>
      </c>
      <c r="BC56" s="23">
        <f>VALUE(0)</f>
        <v>0</v>
      </c>
      <c r="BD56" s="23">
        <f>VALUE(0)</f>
        <v>0</v>
      </c>
      <c r="BE56" s="23">
        <f>VALUE(0)</f>
        <v>0</v>
      </c>
      <c r="BF56" s="23">
        <f>VALUE(0)</f>
        <v>0</v>
      </c>
      <c r="BG56" s="23">
        <f>VALUE(0)</f>
        <v>0</v>
      </c>
      <c r="BH56" s="23">
        <f>VALUE(0)</f>
        <v>0</v>
      </c>
      <c r="BI56" s="23">
        <f>VALUE(0)</f>
        <v>0</v>
      </c>
      <c r="BJ56" s="23">
        <f>VALUE(0)</f>
        <v>0</v>
      </c>
      <c r="BK56" s="12">
        <f>$AX$56*24</f>
        <v>5.833333333333333</v>
      </c>
      <c r="BL56" s="12">
        <f>$AY$56*24</f>
        <v>2.5</v>
      </c>
      <c r="BM56" s="12">
        <f>$BJ$56*24</f>
        <v>0</v>
      </c>
      <c r="BN56" s="12">
        <f>VALUE($I$56)/100</f>
        <v>1</v>
      </c>
      <c r="BO56" s="12">
        <v>0</v>
      </c>
      <c r="BP56" s="12">
        <v>0</v>
      </c>
      <c r="BQ56" s="12">
        <v>0</v>
      </c>
      <c r="BR56" s="12">
        <v>0</v>
      </c>
      <c r="BS56" s="12">
        <v>0</v>
      </c>
      <c r="BT56" s="12">
        <v>0</v>
      </c>
      <c r="BU56" s="12">
        <v>0</v>
      </c>
      <c r="BV56" s="12">
        <v>0</v>
      </c>
      <c r="BW56" s="12">
        <v>0</v>
      </c>
      <c r="BX56" s="12">
        <v>0</v>
      </c>
      <c r="BY56" s="12">
        <v>1</v>
      </c>
      <c r="BZ56" s="12">
        <v>0</v>
      </c>
      <c r="CA56" s="12">
        <v>0</v>
      </c>
    </row>
    <row r="57" spans="1:79" x14ac:dyDescent="0.2">
      <c r="A57" s="12" t="s">
        <v>102</v>
      </c>
      <c r="B57" s="12" t="s">
        <v>107</v>
      </c>
      <c r="C57" s="12" t="s">
        <v>107</v>
      </c>
      <c r="D57" s="22" t="s">
        <v>256</v>
      </c>
      <c r="E57" s="22" t="s">
        <v>149</v>
      </c>
      <c r="F57" s="22" t="s">
        <v>677</v>
      </c>
      <c r="G57" s="22" t="s">
        <v>678</v>
      </c>
      <c r="H57" s="22" t="s">
        <v>150</v>
      </c>
      <c r="I57" s="22" t="s">
        <v>151</v>
      </c>
      <c r="J57" s="22" t="s">
        <v>152</v>
      </c>
      <c r="K57" s="22" t="s">
        <v>68</v>
      </c>
      <c r="L57" s="54" t="s">
        <v>153</v>
      </c>
      <c r="M57" s="28" t="s">
        <v>163</v>
      </c>
      <c r="N57" s="24" t="s">
        <v>153</v>
      </c>
      <c r="O57" s="23" t="s">
        <v>153</v>
      </c>
      <c r="P57" s="23" t="s">
        <v>153</v>
      </c>
      <c r="Q57" s="23" t="s">
        <v>153</v>
      </c>
      <c r="R57" s="23" t="s">
        <v>153</v>
      </c>
      <c r="S57" s="23" t="s">
        <v>153</v>
      </c>
      <c r="T57" s="24" t="s">
        <v>156</v>
      </c>
      <c r="U57" s="24" t="s">
        <v>153</v>
      </c>
      <c r="V57" s="54" t="s">
        <v>153</v>
      </c>
      <c r="W57" s="23" t="s">
        <v>153</v>
      </c>
      <c r="X57" s="24" t="s">
        <v>156</v>
      </c>
      <c r="Y57" s="23" t="s">
        <v>153</v>
      </c>
      <c r="Z57" s="23" t="s">
        <v>153</v>
      </c>
      <c r="AA57" s="23" t="s">
        <v>153</v>
      </c>
      <c r="AB57" s="24" t="s">
        <v>153</v>
      </c>
      <c r="AC57" s="23" t="s">
        <v>153</v>
      </c>
      <c r="AD57" s="23" t="s">
        <v>153</v>
      </c>
      <c r="AE57" s="23" t="s">
        <v>153</v>
      </c>
      <c r="AF57" s="23" t="s">
        <v>153</v>
      </c>
      <c r="AG57" s="23" t="s">
        <v>153</v>
      </c>
      <c r="AH57" s="24" t="s">
        <v>156</v>
      </c>
      <c r="AI57" s="24" t="s">
        <v>153</v>
      </c>
      <c r="AJ57" s="23" t="s">
        <v>153</v>
      </c>
      <c r="AK57" s="23" t="s">
        <v>153</v>
      </c>
      <c r="AL57" s="24" t="s">
        <v>156</v>
      </c>
      <c r="AM57" s="23" t="s">
        <v>153</v>
      </c>
      <c r="AN57" s="23" t="s">
        <v>153</v>
      </c>
      <c r="AO57" s="23" t="s">
        <v>153</v>
      </c>
      <c r="AP57" s="23">
        <f>VALUE(0)</f>
        <v>0</v>
      </c>
      <c r="AQ57" s="23">
        <f>VALUE(0)</f>
        <v>0</v>
      </c>
      <c r="AR57" s="23">
        <f>VALUE(0)</f>
        <v>0</v>
      </c>
      <c r="AS57" s="23">
        <f>VALUE(0)</f>
        <v>0</v>
      </c>
      <c r="AT57" s="23">
        <f>VALUE(0)</f>
        <v>0</v>
      </c>
      <c r="AU57" s="23">
        <f>VALUE(1)</f>
        <v>1</v>
      </c>
      <c r="AV57" s="23">
        <f>VALUE(12)</f>
        <v>12</v>
      </c>
      <c r="AW57" s="23">
        <f>VALUE(0)</f>
        <v>0</v>
      </c>
      <c r="AX57" s="23" t="s">
        <v>1188</v>
      </c>
      <c r="AY57" s="23" t="s">
        <v>171</v>
      </c>
      <c r="AZ57" s="23">
        <f>VALUE(0)</f>
        <v>0</v>
      </c>
      <c r="BA57" s="23">
        <f>VALUE(0)</f>
        <v>0</v>
      </c>
      <c r="BB57" s="23">
        <f>VALUE(0)</f>
        <v>0</v>
      </c>
      <c r="BC57" s="23">
        <f>VALUE(0)</f>
        <v>0</v>
      </c>
      <c r="BD57" s="23">
        <f>VALUE(0)</f>
        <v>0</v>
      </c>
      <c r="BE57" s="23">
        <f>VALUE(0)</f>
        <v>0</v>
      </c>
      <c r="BF57" s="23">
        <f>VALUE(0)</f>
        <v>0</v>
      </c>
      <c r="BG57" s="23">
        <f>VALUE(0)</f>
        <v>0</v>
      </c>
      <c r="BH57" s="23">
        <f>VALUE(0)</f>
        <v>0</v>
      </c>
      <c r="BI57" s="23">
        <f>VALUE(0)</f>
        <v>0</v>
      </c>
      <c r="BJ57" s="23">
        <f>VALUE(0)</f>
        <v>0</v>
      </c>
      <c r="BK57" s="12">
        <f>$AX$57*24</f>
        <v>24.5</v>
      </c>
      <c r="BL57" s="12">
        <f>$AY$57*24</f>
        <v>5.833333333333333</v>
      </c>
      <c r="BM57" s="12">
        <f>$BJ$57*24</f>
        <v>0</v>
      </c>
      <c r="BN57" s="12">
        <f>VALUE($I$57)/100</f>
        <v>1</v>
      </c>
      <c r="BO57" s="12">
        <v>0</v>
      </c>
      <c r="BP57" s="12">
        <v>0</v>
      </c>
      <c r="BQ57" s="12">
        <v>0</v>
      </c>
      <c r="BR57" s="12">
        <v>0</v>
      </c>
      <c r="BS57" s="12">
        <v>0</v>
      </c>
      <c r="BT57" s="12">
        <v>0</v>
      </c>
      <c r="BU57" s="12">
        <v>0</v>
      </c>
      <c r="BV57" s="12">
        <v>0</v>
      </c>
      <c r="BW57" s="12">
        <v>0</v>
      </c>
      <c r="BX57" s="12">
        <v>0</v>
      </c>
      <c r="BY57" s="12">
        <v>0</v>
      </c>
      <c r="BZ57" s="12">
        <v>0</v>
      </c>
      <c r="CA57" s="12">
        <v>0</v>
      </c>
    </row>
    <row r="58" spans="1:79" x14ac:dyDescent="0.2">
      <c r="A58" s="12" t="s">
        <v>102</v>
      </c>
      <c r="B58" s="12" t="s">
        <v>107</v>
      </c>
      <c r="C58" s="12" t="s">
        <v>107</v>
      </c>
      <c r="D58" s="22" t="s">
        <v>258</v>
      </c>
      <c r="E58" s="22" t="s">
        <v>149</v>
      </c>
      <c r="F58" s="22" t="s">
        <v>679</v>
      </c>
      <c r="G58" s="22" t="s">
        <v>680</v>
      </c>
      <c r="H58" s="22" t="s">
        <v>150</v>
      </c>
      <c r="I58" s="22" t="s">
        <v>151</v>
      </c>
      <c r="J58" s="22" t="s">
        <v>152</v>
      </c>
      <c r="K58" s="22" t="s">
        <v>68</v>
      </c>
      <c r="L58" s="54" t="s">
        <v>153</v>
      </c>
      <c r="M58" s="24" t="s">
        <v>156</v>
      </c>
      <c r="N58" s="24" t="s">
        <v>153</v>
      </c>
      <c r="O58" s="24" t="s">
        <v>156</v>
      </c>
      <c r="P58" s="28" t="s">
        <v>163</v>
      </c>
      <c r="Q58" s="28" t="s">
        <v>163</v>
      </c>
      <c r="R58" s="28" t="s">
        <v>163</v>
      </c>
      <c r="S58" s="28" t="s">
        <v>163</v>
      </c>
      <c r="T58" s="28" t="s">
        <v>163</v>
      </c>
      <c r="U58" s="24" t="s">
        <v>153</v>
      </c>
      <c r="V58" s="54" t="s">
        <v>153</v>
      </c>
      <c r="W58" s="28" t="s">
        <v>163</v>
      </c>
      <c r="X58" s="28" t="s">
        <v>163</v>
      </c>
      <c r="Y58" s="28" t="s">
        <v>163</v>
      </c>
      <c r="Z58" s="28" t="s">
        <v>163</v>
      </c>
      <c r="AA58" s="28" t="s">
        <v>163</v>
      </c>
      <c r="AB58" s="24" t="s">
        <v>153</v>
      </c>
      <c r="AC58" s="28" t="s">
        <v>163</v>
      </c>
      <c r="AD58" s="23" t="s">
        <v>153</v>
      </c>
      <c r="AE58" s="23" t="s">
        <v>153</v>
      </c>
      <c r="AF58" s="23" t="s">
        <v>153</v>
      </c>
      <c r="AG58" s="23" t="s">
        <v>153</v>
      </c>
      <c r="AH58" s="23" t="s">
        <v>153</v>
      </c>
      <c r="AI58" s="24" t="s">
        <v>153</v>
      </c>
      <c r="AJ58" s="23" t="s">
        <v>153</v>
      </c>
      <c r="AK58" s="23" t="s">
        <v>153</v>
      </c>
      <c r="AL58" s="23" t="s">
        <v>153</v>
      </c>
      <c r="AM58" s="23" t="s">
        <v>153</v>
      </c>
      <c r="AN58" s="23" t="s">
        <v>153</v>
      </c>
      <c r="AO58" s="24" t="s">
        <v>156</v>
      </c>
      <c r="AP58" s="23">
        <f>VALUE(0)</f>
        <v>0</v>
      </c>
      <c r="AQ58" s="23">
        <f>VALUE(0)</f>
        <v>0</v>
      </c>
      <c r="AR58" s="23">
        <f>VALUE(0)</f>
        <v>0</v>
      </c>
      <c r="AS58" s="23">
        <f>VALUE(0)</f>
        <v>0</v>
      </c>
      <c r="AT58" s="23">
        <f>VALUE(0)</f>
        <v>0</v>
      </c>
      <c r="AU58" s="23">
        <f>VALUE(11)</f>
        <v>11</v>
      </c>
      <c r="AV58" s="23">
        <f>VALUE(0.5)</f>
        <v>0.5</v>
      </c>
      <c r="AW58" s="23">
        <f>VALUE(0)</f>
        <v>0</v>
      </c>
      <c r="AX58" s="23" t="s">
        <v>176</v>
      </c>
      <c r="AY58" s="23" t="s">
        <v>259</v>
      </c>
      <c r="AZ58" s="23">
        <f>VALUE(0)</f>
        <v>0</v>
      </c>
      <c r="BA58" s="23">
        <f>VALUE(0)</f>
        <v>0</v>
      </c>
      <c r="BB58" s="23">
        <f>VALUE(0)</f>
        <v>0</v>
      </c>
      <c r="BC58" s="23">
        <f>VALUE(0)</f>
        <v>0</v>
      </c>
      <c r="BD58" s="23">
        <f>VALUE(0)</f>
        <v>0</v>
      </c>
      <c r="BE58" s="23">
        <f>VALUE(0)</f>
        <v>0</v>
      </c>
      <c r="BF58" s="23">
        <f>VALUE(0)</f>
        <v>0</v>
      </c>
      <c r="BG58" s="23">
        <f>VALUE(0)</f>
        <v>0</v>
      </c>
      <c r="BH58" s="23">
        <f>VALUE(0)</f>
        <v>0</v>
      </c>
      <c r="BI58" s="23">
        <f>VALUE(0)</f>
        <v>0</v>
      </c>
      <c r="BJ58" s="23">
        <f>VALUE(0)</f>
        <v>0</v>
      </c>
      <c r="BK58" s="12">
        <f>$AX$58*24</f>
        <v>0</v>
      </c>
      <c r="BL58" s="12">
        <f>$AY$58*24</f>
        <v>6.5</v>
      </c>
      <c r="BM58" s="12">
        <f>$BJ$58*24</f>
        <v>0</v>
      </c>
      <c r="BN58" s="12">
        <f>VALUE($I$58)/100</f>
        <v>1</v>
      </c>
      <c r="BO58" s="12">
        <v>0</v>
      </c>
      <c r="BP58" s="12">
        <v>0</v>
      </c>
      <c r="BQ58" s="12">
        <v>0</v>
      </c>
      <c r="BR58" s="12">
        <v>0</v>
      </c>
      <c r="BS58" s="12">
        <v>0</v>
      </c>
      <c r="BT58" s="12">
        <v>0</v>
      </c>
      <c r="BU58" s="12">
        <v>0</v>
      </c>
      <c r="BV58" s="12">
        <v>0</v>
      </c>
      <c r="BW58" s="12">
        <v>0</v>
      </c>
      <c r="BX58" s="12">
        <v>0</v>
      </c>
      <c r="BY58" s="12">
        <v>0</v>
      </c>
      <c r="BZ58" s="12">
        <v>0</v>
      </c>
      <c r="CA58" s="12">
        <v>0</v>
      </c>
    </row>
    <row r="59" spans="1:79" ht="15" x14ac:dyDescent="0.25">
      <c r="A59" s="12" t="s">
        <v>102</v>
      </c>
      <c r="B59" s="12" t="s">
        <v>107</v>
      </c>
      <c r="C59" s="12" t="s">
        <v>107</v>
      </c>
      <c r="D59" s="31" t="s">
        <v>333</v>
      </c>
      <c r="E59" s="31" t="s">
        <v>153</v>
      </c>
      <c r="F59" s="31" t="s">
        <v>175</v>
      </c>
      <c r="G59" s="31" t="s">
        <v>153</v>
      </c>
      <c r="H59" s="31" t="s">
        <v>153</v>
      </c>
      <c r="I59" s="31" t="s">
        <v>153</v>
      </c>
      <c r="J59" s="31" t="s">
        <v>153</v>
      </c>
      <c r="K59" s="31" t="s">
        <v>153</v>
      </c>
      <c r="L59" s="31">
        <f>VALUE(0)</f>
        <v>0</v>
      </c>
      <c r="M59" s="31">
        <f>VALUE(4)</f>
        <v>4</v>
      </c>
      <c r="N59" s="31">
        <f>VALUE(0)</f>
        <v>0</v>
      </c>
      <c r="O59" s="31">
        <f>VALUE(5)</f>
        <v>5</v>
      </c>
      <c r="P59" s="31">
        <f>VALUE(7)</f>
        <v>7</v>
      </c>
      <c r="Q59" s="31">
        <f>VALUE(6)</f>
        <v>6</v>
      </c>
      <c r="R59" s="31">
        <f>VALUE(7)</f>
        <v>7</v>
      </c>
      <c r="S59" s="31">
        <f>VALUE(7)</f>
        <v>7</v>
      </c>
      <c r="T59" s="31">
        <f>VALUE(2)</f>
        <v>2</v>
      </c>
      <c r="U59" s="31">
        <f>VALUE(0)</f>
        <v>0</v>
      </c>
      <c r="V59" s="31">
        <f>VALUE(0)</f>
        <v>0</v>
      </c>
      <c r="W59" s="31">
        <f>VALUE(6)</f>
        <v>6</v>
      </c>
      <c r="X59" s="31">
        <f>VALUE(5)</f>
        <v>5</v>
      </c>
      <c r="Y59" s="31">
        <f>VALUE(7)</f>
        <v>7</v>
      </c>
      <c r="Z59" s="31">
        <f>VALUE(7)</f>
        <v>7</v>
      </c>
      <c r="AA59" s="31">
        <f>VALUE(4)</f>
        <v>4</v>
      </c>
      <c r="AB59" s="31">
        <f>VALUE(0)</f>
        <v>0</v>
      </c>
      <c r="AC59" s="31">
        <f>VALUE(5)</f>
        <v>5</v>
      </c>
      <c r="AD59" s="31">
        <f>VALUE(8)</f>
        <v>8</v>
      </c>
      <c r="AE59" s="31">
        <f>VALUE(7)</f>
        <v>7</v>
      </c>
      <c r="AF59" s="31">
        <f>VALUE(8)</f>
        <v>8</v>
      </c>
      <c r="AG59" s="31">
        <f>VALUE(8)</f>
        <v>8</v>
      </c>
      <c r="AH59" s="31">
        <f>VALUE(3)</f>
        <v>3</v>
      </c>
      <c r="AI59" s="31">
        <f>VALUE(0)</f>
        <v>0</v>
      </c>
      <c r="AJ59" s="31">
        <f>VALUE(5)</f>
        <v>5</v>
      </c>
      <c r="AK59" s="31">
        <f>VALUE(8)</f>
        <v>8</v>
      </c>
      <c r="AL59" s="31">
        <f>VALUE(7)</f>
        <v>7</v>
      </c>
      <c r="AM59" s="31">
        <f>VALUE(8)</f>
        <v>8</v>
      </c>
      <c r="AN59" s="31">
        <f>VALUE(8)</f>
        <v>8</v>
      </c>
      <c r="AO59" s="31">
        <f>VALUE(5)</f>
        <v>5</v>
      </c>
      <c r="AP59" s="31">
        <v>0</v>
      </c>
      <c r="AQ59" s="31">
        <v>0</v>
      </c>
      <c r="AR59" s="31">
        <v>0</v>
      </c>
      <c r="AS59" s="31">
        <v>0</v>
      </c>
      <c r="AT59" s="31">
        <v>0</v>
      </c>
      <c r="AU59" s="31">
        <v>0</v>
      </c>
      <c r="AV59" s="31">
        <v>0</v>
      </c>
      <c r="AW59" s="31">
        <v>0</v>
      </c>
      <c r="AX59" s="31">
        <v>0</v>
      </c>
      <c r="AY59" s="31">
        <v>0</v>
      </c>
      <c r="AZ59" s="31">
        <v>0</v>
      </c>
      <c r="BA59" s="31">
        <v>0</v>
      </c>
      <c r="BB59" s="31">
        <v>0</v>
      </c>
      <c r="BC59" s="31">
        <v>0</v>
      </c>
      <c r="BD59" s="31">
        <v>0</v>
      </c>
      <c r="BE59" s="31">
        <v>0</v>
      </c>
      <c r="BF59" s="31">
        <v>0</v>
      </c>
      <c r="BG59" s="31">
        <v>0</v>
      </c>
      <c r="BH59" s="31">
        <v>0</v>
      </c>
      <c r="BI59" s="31">
        <v>0</v>
      </c>
      <c r="BJ59" s="31">
        <v>0</v>
      </c>
      <c r="BK59" s="12">
        <v>0</v>
      </c>
      <c r="BL59" s="12">
        <v>0</v>
      </c>
      <c r="BM59" s="12">
        <v>0</v>
      </c>
      <c r="BN59" s="12"/>
      <c r="BO59" s="12">
        <v>0</v>
      </c>
      <c r="BP59" s="12">
        <v>0</v>
      </c>
      <c r="BQ59" s="12">
        <v>0</v>
      </c>
      <c r="BR59" s="12">
        <v>0</v>
      </c>
      <c r="BS59" s="12">
        <v>0</v>
      </c>
      <c r="BT59" s="12">
        <v>0</v>
      </c>
      <c r="BU59" s="12">
        <v>0</v>
      </c>
      <c r="BV59" s="12">
        <v>0</v>
      </c>
      <c r="BW59" s="12">
        <v>0</v>
      </c>
      <c r="BX59" s="12">
        <v>0</v>
      </c>
      <c r="BY59" s="12">
        <v>0</v>
      </c>
      <c r="BZ59" s="12">
        <v>0</v>
      </c>
      <c r="CA59" s="12">
        <v>0</v>
      </c>
    </row>
    <row r="60" spans="1:79" x14ac:dyDescent="0.2">
      <c r="A60" s="12" t="s">
        <v>102</v>
      </c>
      <c r="B60" s="12" t="s">
        <v>108</v>
      </c>
      <c r="C60" s="12" t="s">
        <v>108</v>
      </c>
      <c r="D60" s="22" t="s">
        <v>260</v>
      </c>
      <c r="E60" s="22" t="s">
        <v>173</v>
      </c>
      <c r="F60" s="22" t="s">
        <v>681</v>
      </c>
      <c r="G60" s="22" t="s">
        <v>682</v>
      </c>
      <c r="H60" s="22" t="s">
        <v>150</v>
      </c>
      <c r="I60" s="22" t="s">
        <v>151</v>
      </c>
      <c r="J60" s="22" t="s">
        <v>162</v>
      </c>
      <c r="K60" s="22" t="s">
        <v>69</v>
      </c>
      <c r="L60" s="54" t="s">
        <v>156</v>
      </c>
      <c r="M60" s="23" t="s">
        <v>153</v>
      </c>
      <c r="N60" s="24" t="s">
        <v>153</v>
      </c>
      <c r="O60" s="23" t="s">
        <v>153</v>
      </c>
      <c r="P60" s="23" t="s">
        <v>153</v>
      </c>
      <c r="Q60" s="24" t="s">
        <v>156</v>
      </c>
      <c r="R60" s="23" t="s">
        <v>153</v>
      </c>
      <c r="S60" s="23" t="s">
        <v>153</v>
      </c>
      <c r="T60" s="23" t="s">
        <v>153</v>
      </c>
      <c r="U60" s="24" t="s">
        <v>153</v>
      </c>
      <c r="V60" s="54" t="s">
        <v>153</v>
      </c>
      <c r="W60" s="23" t="s">
        <v>153</v>
      </c>
      <c r="X60" s="23" t="s">
        <v>153</v>
      </c>
      <c r="Y60" s="24" t="s">
        <v>156</v>
      </c>
      <c r="Z60" s="23" t="s">
        <v>153</v>
      </c>
      <c r="AA60" s="23" t="s">
        <v>153</v>
      </c>
      <c r="AB60" s="24" t="s">
        <v>153</v>
      </c>
      <c r="AC60" s="23" t="s">
        <v>153</v>
      </c>
      <c r="AD60" s="23" t="s">
        <v>153</v>
      </c>
      <c r="AE60" s="24" t="s">
        <v>156</v>
      </c>
      <c r="AF60" s="23" t="s">
        <v>153</v>
      </c>
      <c r="AG60" s="23" t="s">
        <v>153</v>
      </c>
      <c r="AH60" s="23" t="s">
        <v>153</v>
      </c>
      <c r="AI60" s="24" t="s">
        <v>153</v>
      </c>
      <c r="AJ60" s="23" t="s">
        <v>153</v>
      </c>
      <c r="AK60" s="23" t="s">
        <v>153</v>
      </c>
      <c r="AL60" s="23" t="s">
        <v>153</v>
      </c>
      <c r="AM60" s="23" t="s">
        <v>153</v>
      </c>
      <c r="AN60" s="24" t="s">
        <v>156</v>
      </c>
      <c r="AO60" s="30" t="s">
        <v>29</v>
      </c>
      <c r="AP60" s="23">
        <f>VALUE(0)</f>
        <v>0</v>
      </c>
      <c r="AQ60" s="23">
        <f>VALUE(0)</f>
        <v>0</v>
      </c>
      <c r="AR60" s="23">
        <f>VALUE(0)</f>
        <v>0</v>
      </c>
      <c r="AS60" s="23">
        <f>VALUE(0)</f>
        <v>0</v>
      </c>
      <c r="AT60" s="23">
        <f>VALUE(0)</f>
        <v>0</v>
      </c>
      <c r="AU60" s="23">
        <f>VALUE(0)</f>
        <v>0</v>
      </c>
      <c r="AV60" s="23">
        <f>VALUE(6)</f>
        <v>6</v>
      </c>
      <c r="AW60" s="23">
        <f>VALUE(0)</f>
        <v>0</v>
      </c>
      <c r="AX60" s="23" t="s">
        <v>445</v>
      </c>
      <c r="AY60" s="23" t="s">
        <v>1189</v>
      </c>
      <c r="AZ60" s="23">
        <f>VALUE(0)</f>
        <v>0</v>
      </c>
      <c r="BA60" s="23">
        <f>VALUE(0)</f>
        <v>0</v>
      </c>
      <c r="BB60" s="23">
        <f>VALUE(0)</f>
        <v>0</v>
      </c>
      <c r="BC60" s="23">
        <f>VALUE(0)</f>
        <v>0</v>
      </c>
      <c r="BD60" s="23">
        <f>VALUE(0)</f>
        <v>0</v>
      </c>
      <c r="BE60" s="23">
        <f>VALUE(0)</f>
        <v>0</v>
      </c>
      <c r="BF60" s="23">
        <f>VALUE(0)</f>
        <v>0</v>
      </c>
      <c r="BG60" s="23">
        <f>VALUE(0)</f>
        <v>0</v>
      </c>
      <c r="BH60" s="23">
        <f>VALUE(0)</f>
        <v>0</v>
      </c>
      <c r="BI60" s="23">
        <f>VALUE(0)</f>
        <v>0</v>
      </c>
      <c r="BJ60" s="23">
        <f>VALUE(0)</f>
        <v>0</v>
      </c>
      <c r="BK60" s="12">
        <f>$AX$60*24</f>
        <v>17.5</v>
      </c>
      <c r="BL60" s="12">
        <f>$AY$60*24</f>
        <v>142</v>
      </c>
      <c r="BM60" s="12">
        <f>$BJ$60*24</f>
        <v>0</v>
      </c>
      <c r="BN60" s="12">
        <f>VALUE($I$60)/100</f>
        <v>1</v>
      </c>
      <c r="BO60" s="12">
        <v>0</v>
      </c>
      <c r="BP60" s="12">
        <v>0</v>
      </c>
      <c r="BQ60" s="12">
        <v>0</v>
      </c>
      <c r="BR60" s="12">
        <v>0</v>
      </c>
      <c r="BS60" s="12">
        <v>0</v>
      </c>
      <c r="BT60" s="12">
        <v>0</v>
      </c>
      <c r="BU60" s="12">
        <v>0</v>
      </c>
      <c r="BV60" s="12">
        <v>0</v>
      </c>
      <c r="BW60" s="12">
        <v>0</v>
      </c>
      <c r="BX60" s="12">
        <v>0</v>
      </c>
      <c r="BY60" s="12">
        <v>0</v>
      </c>
      <c r="BZ60" s="12">
        <v>0</v>
      </c>
      <c r="CA60" s="12">
        <v>0</v>
      </c>
    </row>
    <row r="61" spans="1:79" ht="15" x14ac:dyDescent="0.25">
      <c r="A61" s="12" t="s">
        <v>102</v>
      </c>
      <c r="B61" s="12" t="s">
        <v>108</v>
      </c>
      <c r="C61" s="12" t="s">
        <v>108</v>
      </c>
      <c r="D61" s="31" t="s">
        <v>262</v>
      </c>
      <c r="E61" s="31" t="s">
        <v>153</v>
      </c>
      <c r="F61" s="31" t="s">
        <v>175</v>
      </c>
      <c r="G61" s="31" t="s">
        <v>153</v>
      </c>
      <c r="H61" s="31" t="s">
        <v>153</v>
      </c>
      <c r="I61" s="31" t="s">
        <v>153</v>
      </c>
      <c r="J61" s="31" t="s">
        <v>153</v>
      </c>
      <c r="K61" s="31" t="s">
        <v>153</v>
      </c>
      <c r="L61" s="31">
        <f>VALUE(0)</f>
        <v>0</v>
      </c>
      <c r="M61" s="31">
        <f>VALUE(1)</f>
        <v>1</v>
      </c>
      <c r="N61" s="31">
        <f>VALUE(0)</f>
        <v>0</v>
      </c>
      <c r="O61" s="31">
        <f>VALUE(1)</f>
        <v>1</v>
      </c>
      <c r="P61" s="31">
        <f>VALUE(1)</f>
        <v>1</v>
      </c>
      <c r="Q61" s="31">
        <f>VALUE(0)</f>
        <v>0</v>
      </c>
      <c r="R61" s="31">
        <f>VALUE(1)</f>
        <v>1</v>
      </c>
      <c r="S61" s="31">
        <f>VALUE(1)</f>
        <v>1</v>
      </c>
      <c r="T61" s="31">
        <f>VALUE(1)</f>
        <v>1</v>
      </c>
      <c r="U61" s="31">
        <f>VALUE(0)</f>
        <v>0</v>
      </c>
      <c r="V61" s="31">
        <f>VALUE(0)</f>
        <v>0</v>
      </c>
      <c r="W61" s="31">
        <f>VALUE(1)</f>
        <v>1</v>
      </c>
      <c r="X61" s="31">
        <f>VALUE(1)</f>
        <v>1</v>
      </c>
      <c r="Y61" s="31">
        <f>VALUE(0)</f>
        <v>0</v>
      </c>
      <c r="Z61" s="31">
        <f>VALUE(1)</f>
        <v>1</v>
      </c>
      <c r="AA61" s="31">
        <f>VALUE(1)</f>
        <v>1</v>
      </c>
      <c r="AB61" s="31">
        <f>VALUE(0)</f>
        <v>0</v>
      </c>
      <c r="AC61" s="31">
        <f>VALUE(1)</f>
        <v>1</v>
      </c>
      <c r="AD61" s="31">
        <f>VALUE(1)</f>
        <v>1</v>
      </c>
      <c r="AE61" s="31">
        <f>VALUE(0)</f>
        <v>0</v>
      </c>
      <c r="AF61" s="31">
        <f>VALUE(1)</f>
        <v>1</v>
      </c>
      <c r="AG61" s="31">
        <f>VALUE(1)</f>
        <v>1</v>
      </c>
      <c r="AH61" s="31">
        <f>VALUE(1)</f>
        <v>1</v>
      </c>
      <c r="AI61" s="31">
        <f>VALUE(0)</f>
        <v>0</v>
      </c>
      <c r="AJ61" s="31">
        <f>VALUE(1)</f>
        <v>1</v>
      </c>
      <c r="AK61" s="31">
        <f>VALUE(1)</f>
        <v>1</v>
      </c>
      <c r="AL61" s="31">
        <f>VALUE(1)</f>
        <v>1</v>
      </c>
      <c r="AM61" s="31">
        <f>VALUE(1)</f>
        <v>1</v>
      </c>
      <c r="AN61" s="31">
        <f>VALUE(0)</f>
        <v>0</v>
      </c>
      <c r="AO61" s="31">
        <f>VALUE(0)</f>
        <v>0</v>
      </c>
      <c r="AP61" s="31">
        <v>0</v>
      </c>
      <c r="AQ61" s="31">
        <v>0</v>
      </c>
      <c r="AR61" s="31">
        <v>0</v>
      </c>
      <c r="AS61" s="31">
        <v>0</v>
      </c>
      <c r="AT61" s="31">
        <v>0</v>
      </c>
      <c r="AU61" s="31">
        <v>0</v>
      </c>
      <c r="AV61" s="31">
        <v>0</v>
      </c>
      <c r="AW61" s="31">
        <v>0</v>
      </c>
      <c r="AX61" s="31">
        <v>0</v>
      </c>
      <c r="AY61" s="31">
        <v>0</v>
      </c>
      <c r="AZ61" s="31">
        <v>0</v>
      </c>
      <c r="BA61" s="31">
        <v>0</v>
      </c>
      <c r="BB61" s="31">
        <v>0</v>
      </c>
      <c r="BC61" s="31">
        <v>0</v>
      </c>
      <c r="BD61" s="31">
        <v>0</v>
      </c>
      <c r="BE61" s="31">
        <v>0</v>
      </c>
      <c r="BF61" s="31">
        <v>0</v>
      </c>
      <c r="BG61" s="31">
        <v>0</v>
      </c>
      <c r="BH61" s="31">
        <v>0</v>
      </c>
      <c r="BI61" s="31">
        <v>0</v>
      </c>
      <c r="BJ61" s="31">
        <v>0</v>
      </c>
      <c r="BK61" s="12">
        <v>0</v>
      </c>
      <c r="BL61" s="12">
        <v>0</v>
      </c>
      <c r="BM61" s="12">
        <v>0</v>
      </c>
      <c r="BN61" s="12"/>
      <c r="BO61" s="12">
        <v>0</v>
      </c>
      <c r="BP61" s="12">
        <v>0</v>
      </c>
      <c r="BQ61" s="12">
        <v>0</v>
      </c>
      <c r="BR61" s="12">
        <v>0</v>
      </c>
      <c r="BS61" s="12">
        <v>0</v>
      </c>
      <c r="BT61" s="12">
        <v>0</v>
      </c>
      <c r="BU61" s="12">
        <v>0</v>
      </c>
      <c r="BV61" s="12">
        <v>0</v>
      </c>
      <c r="BW61" s="12">
        <v>0</v>
      </c>
      <c r="BX61" s="12">
        <v>0</v>
      </c>
      <c r="BY61" s="12">
        <v>0</v>
      </c>
      <c r="BZ61" s="12">
        <v>0</v>
      </c>
      <c r="CA61" s="12">
        <v>0</v>
      </c>
    </row>
    <row r="62" spans="1:79" x14ac:dyDescent="0.2">
      <c r="A62" s="12" t="s">
        <v>102</v>
      </c>
      <c r="B62" s="12" t="s">
        <v>109</v>
      </c>
      <c r="C62" s="12" t="s">
        <v>109</v>
      </c>
      <c r="D62" s="22" t="s">
        <v>263</v>
      </c>
      <c r="E62" s="22" t="s">
        <v>161</v>
      </c>
      <c r="F62" s="22" t="s">
        <v>683</v>
      </c>
      <c r="G62" s="22" t="s">
        <v>684</v>
      </c>
      <c r="H62" s="22" t="s">
        <v>150</v>
      </c>
      <c r="I62" s="22" t="s">
        <v>151</v>
      </c>
      <c r="J62" s="22" t="s">
        <v>264</v>
      </c>
      <c r="K62" s="22" t="s">
        <v>70</v>
      </c>
      <c r="L62" s="54" t="s">
        <v>153</v>
      </c>
      <c r="M62" s="23" t="s">
        <v>153</v>
      </c>
      <c r="N62" s="24" t="s">
        <v>153</v>
      </c>
      <c r="O62" s="23" t="s">
        <v>153</v>
      </c>
      <c r="P62" s="23" t="s">
        <v>153</v>
      </c>
      <c r="Q62" s="23" t="s">
        <v>153</v>
      </c>
      <c r="R62" s="23" t="s">
        <v>153</v>
      </c>
      <c r="S62" s="23" t="s">
        <v>153</v>
      </c>
      <c r="T62" s="24" t="s">
        <v>156</v>
      </c>
      <c r="U62" s="24" t="s">
        <v>153</v>
      </c>
      <c r="V62" s="54" t="s">
        <v>153</v>
      </c>
      <c r="W62" s="23" t="s">
        <v>153</v>
      </c>
      <c r="X62" s="23" t="s">
        <v>153</v>
      </c>
      <c r="Y62" s="23" t="s">
        <v>153</v>
      </c>
      <c r="Z62" s="23" t="s">
        <v>153</v>
      </c>
      <c r="AA62" s="23" t="s">
        <v>153</v>
      </c>
      <c r="AB62" s="24" t="s">
        <v>153</v>
      </c>
      <c r="AC62" s="23" t="s">
        <v>153</v>
      </c>
      <c r="AD62" s="23" t="s">
        <v>153</v>
      </c>
      <c r="AE62" s="23" t="s">
        <v>153</v>
      </c>
      <c r="AF62" s="23" t="s">
        <v>153</v>
      </c>
      <c r="AG62" s="23" t="s">
        <v>153</v>
      </c>
      <c r="AH62" s="24" t="s">
        <v>156</v>
      </c>
      <c r="AI62" s="24" t="s">
        <v>153</v>
      </c>
      <c r="AJ62" s="23" t="s">
        <v>153</v>
      </c>
      <c r="AK62" s="23" t="s">
        <v>153</v>
      </c>
      <c r="AL62" s="23" t="s">
        <v>153</v>
      </c>
      <c r="AM62" s="23" t="s">
        <v>153</v>
      </c>
      <c r="AN62" s="23" t="s">
        <v>153</v>
      </c>
      <c r="AO62" s="23" t="s">
        <v>153</v>
      </c>
      <c r="AP62" s="23">
        <f>VALUE(0)</f>
        <v>0</v>
      </c>
      <c r="AQ62" s="23">
        <f>VALUE(0)</f>
        <v>0</v>
      </c>
      <c r="AR62" s="23">
        <f>VALUE(0)</f>
        <v>0</v>
      </c>
      <c r="AS62" s="23">
        <f>VALUE(0)</f>
        <v>0</v>
      </c>
      <c r="AT62" s="23">
        <f>VALUE(0)</f>
        <v>0</v>
      </c>
      <c r="AU62" s="23">
        <f>VALUE(0)</f>
        <v>0</v>
      </c>
      <c r="AV62" s="23">
        <f>VALUE(5)</f>
        <v>5</v>
      </c>
      <c r="AW62" s="23">
        <f>VALUE(0)</f>
        <v>0</v>
      </c>
      <c r="AX62" s="23" t="s">
        <v>171</v>
      </c>
      <c r="AY62" s="23" t="s">
        <v>265</v>
      </c>
      <c r="AZ62" s="23">
        <f>VALUE(0)</f>
        <v>0</v>
      </c>
      <c r="BA62" s="23">
        <f>VALUE(0)</f>
        <v>0</v>
      </c>
      <c r="BB62" s="23">
        <f>VALUE(0)</f>
        <v>0</v>
      </c>
      <c r="BC62" s="23">
        <f>VALUE(0)</f>
        <v>0</v>
      </c>
      <c r="BD62" s="23">
        <f>VALUE(0)</f>
        <v>0</v>
      </c>
      <c r="BE62" s="23">
        <f>VALUE(0)</f>
        <v>0</v>
      </c>
      <c r="BF62" s="23">
        <f>VALUE(0)</f>
        <v>0</v>
      </c>
      <c r="BG62" s="23">
        <f>VALUE(0)</f>
        <v>0</v>
      </c>
      <c r="BH62" s="23">
        <f>VALUE(0)</f>
        <v>0</v>
      </c>
      <c r="BI62" s="23">
        <f>VALUE(0)</f>
        <v>0</v>
      </c>
      <c r="BJ62" s="23">
        <f>VALUE(0)</f>
        <v>0</v>
      </c>
      <c r="BK62" s="12">
        <f>$AX$62*24</f>
        <v>5.833333333333333</v>
      </c>
      <c r="BL62" s="12">
        <f>$AY$62*24</f>
        <v>5.7666666666666666</v>
      </c>
      <c r="BM62" s="12">
        <f>$BJ$62*24</f>
        <v>0</v>
      </c>
      <c r="BN62" s="12">
        <f>VALUE($I$62)/100</f>
        <v>1</v>
      </c>
      <c r="BO62" s="12">
        <v>0</v>
      </c>
      <c r="BP62" s="12">
        <v>0</v>
      </c>
      <c r="BQ62" s="12">
        <v>0</v>
      </c>
      <c r="BR62" s="12">
        <v>0</v>
      </c>
      <c r="BS62" s="12">
        <v>0</v>
      </c>
      <c r="BT62" s="12">
        <v>0</v>
      </c>
      <c r="BU62" s="12">
        <v>0</v>
      </c>
      <c r="BV62" s="12">
        <v>0</v>
      </c>
      <c r="BW62" s="12">
        <v>0</v>
      </c>
      <c r="BX62" s="12">
        <v>0</v>
      </c>
      <c r="BY62" s="12">
        <v>0</v>
      </c>
      <c r="BZ62" s="12">
        <v>0</v>
      </c>
      <c r="CA62" s="12">
        <v>0</v>
      </c>
    </row>
    <row r="63" spans="1:79" ht="16.5" x14ac:dyDescent="0.2">
      <c r="A63" s="12" t="s">
        <v>102</v>
      </c>
      <c r="B63" s="12" t="s">
        <v>109</v>
      </c>
      <c r="C63" s="12" t="s">
        <v>109</v>
      </c>
      <c r="D63" s="22" t="s">
        <v>266</v>
      </c>
      <c r="E63" s="22" t="s">
        <v>173</v>
      </c>
      <c r="F63" s="22" t="s">
        <v>685</v>
      </c>
      <c r="G63" s="22" t="s">
        <v>686</v>
      </c>
      <c r="H63" s="22" t="s">
        <v>150</v>
      </c>
      <c r="I63" s="22" t="s">
        <v>151</v>
      </c>
      <c r="J63" s="22" t="s">
        <v>181</v>
      </c>
      <c r="K63" s="22" t="s">
        <v>70</v>
      </c>
      <c r="L63" s="54" t="s">
        <v>153</v>
      </c>
      <c r="M63" s="24" t="s">
        <v>156</v>
      </c>
      <c r="N63" s="24" t="s">
        <v>153</v>
      </c>
      <c r="O63" s="28" t="s">
        <v>163</v>
      </c>
      <c r="P63" s="28" t="s">
        <v>163</v>
      </c>
      <c r="Q63" s="28" t="s">
        <v>163</v>
      </c>
      <c r="R63" s="28" t="s">
        <v>163</v>
      </c>
      <c r="S63" s="28" t="s">
        <v>163</v>
      </c>
      <c r="T63" s="28" t="s">
        <v>163</v>
      </c>
      <c r="U63" s="24" t="s">
        <v>153</v>
      </c>
      <c r="V63" s="54" t="s">
        <v>153</v>
      </c>
      <c r="W63" s="26" t="s">
        <v>267</v>
      </c>
      <c r="X63" s="26" t="s">
        <v>267</v>
      </c>
      <c r="Y63" s="26" t="s">
        <v>267</v>
      </c>
      <c r="Z63" s="26" t="s">
        <v>267</v>
      </c>
      <c r="AA63" s="24" t="s">
        <v>156</v>
      </c>
      <c r="AB63" s="24" t="s">
        <v>153</v>
      </c>
      <c r="AC63" s="28" t="s">
        <v>163</v>
      </c>
      <c r="AD63" s="28" t="s">
        <v>163</v>
      </c>
      <c r="AE63" s="28" t="s">
        <v>163</v>
      </c>
      <c r="AF63" s="28" t="s">
        <v>163</v>
      </c>
      <c r="AG63" s="28" t="s">
        <v>163</v>
      </c>
      <c r="AH63" s="28" t="s">
        <v>163</v>
      </c>
      <c r="AI63" s="24" t="s">
        <v>153</v>
      </c>
      <c r="AJ63" s="26" t="s">
        <v>267</v>
      </c>
      <c r="AK63" s="26" t="s">
        <v>267</v>
      </c>
      <c r="AL63" s="26" t="s">
        <v>267</v>
      </c>
      <c r="AM63" s="26" t="s">
        <v>267</v>
      </c>
      <c r="AN63" s="26" t="s">
        <v>267</v>
      </c>
      <c r="AO63" s="24" t="s">
        <v>156</v>
      </c>
      <c r="AP63" s="23">
        <f>VALUE(0)</f>
        <v>0</v>
      </c>
      <c r="AQ63" s="23">
        <f>VALUE(0)</f>
        <v>0</v>
      </c>
      <c r="AR63" s="23">
        <f>VALUE(0)</f>
        <v>0</v>
      </c>
      <c r="AS63" s="23">
        <f>VALUE(0)</f>
        <v>0</v>
      </c>
      <c r="AT63" s="23">
        <f>VALUE(0)</f>
        <v>0</v>
      </c>
      <c r="AU63" s="23">
        <f>VALUE(12)</f>
        <v>12</v>
      </c>
      <c r="AV63" s="23">
        <f>VALUE(2)</f>
        <v>2</v>
      </c>
      <c r="AW63" s="23">
        <f>VALUE(0)</f>
        <v>0</v>
      </c>
      <c r="AX63" s="23" t="s">
        <v>268</v>
      </c>
      <c r="AY63" s="23" t="s">
        <v>269</v>
      </c>
      <c r="AZ63" s="23">
        <f>VALUE(0)</f>
        <v>0</v>
      </c>
      <c r="BA63" s="23">
        <f>VALUE(0)</f>
        <v>0</v>
      </c>
      <c r="BB63" s="23">
        <f>VALUE(0)</f>
        <v>0</v>
      </c>
      <c r="BC63" s="23">
        <f>VALUE(0)</f>
        <v>0</v>
      </c>
      <c r="BD63" s="23">
        <f>VALUE(0)</f>
        <v>0</v>
      </c>
      <c r="BE63" s="23">
        <f>VALUE(0)</f>
        <v>0</v>
      </c>
      <c r="BF63" s="23">
        <f>VALUE(0)</f>
        <v>0</v>
      </c>
      <c r="BG63" s="23">
        <f>VALUE(0)</f>
        <v>0</v>
      </c>
      <c r="BH63" s="23">
        <f>VALUE(0)</f>
        <v>0</v>
      </c>
      <c r="BI63" s="23">
        <f>VALUE(0)</f>
        <v>0</v>
      </c>
      <c r="BJ63" s="23">
        <f>VALUE(0)</f>
        <v>0</v>
      </c>
      <c r="BK63" s="12">
        <f>$AX$63*24</f>
        <v>5.5333333333333332</v>
      </c>
      <c r="BL63" s="12">
        <f>$AY$63*24</f>
        <v>2.25</v>
      </c>
      <c r="BM63" s="12">
        <f>$BJ$63*24</f>
        <v>0</v>
      </c>
      <c r="BN63" s="12">
        <f>VALUE($I$63)/100</f>
        <v>1</v>
      </c>
      <c r="BO63" s="12">
        <v>0</v>
      </c>
      <c r="BP63" s="12">
        <v>0</v>
      </c>
      <c r="BQ63" s="12">
        <v>0</v>
      </c>
      <c r="BR63" s="12">
        <v>0</v>
      </c>
      <c r="BS63" s="12">
        <v>0</v>
      </c>
      <c r="BT63" s="12">
        <v>0</v>
      </c>
      <c r="BU63" s="12">
        <v>0</v>
      </c>
      <c r="BV63" s="12">
        <v>0</v>
      </c>
      <c r="BW63" s="12">
        <v>0</v>
      </c>
      <c r="BX63" s="12">
        <v>0</v>
      </c>
      <c r="BY63" s="12">
        <v>0</v>
      </c>
      <c r="BZ63" s="12">
        <v>0</v>
      </c>
      <c r="CA63" s="12">
        <v>0</v>
      </c>
    </row>
    <row r="64" spans="1:79" x14ac:dyDescent="0.2">
      <c r="A64" s="12" t="s">
        <v>102</v>
      </c>
      <c r="B64" s="12" t="s">
        <v>109</v>
      </c>
      <c r="C64" s="12" t="s">
        <v>109</v>
      </c>
      <c r="D64" s="22" t="s">
        <v>270</v>
      </c>
      <c r="E64" s="22" t="s">
        <v>161</v>
      </c>
      <c r="F64" s="22" t="s">
        <v>687</v>
      </c>
      <c r="G64" s="22" t="s">
        <v>688</v>
      </c>
      <c r="H64" s="22" t="s">
        <v>150</v>
      </c>
      <c r="I64" s="22" t="s">
        <v>151</v>
      </c>
      <c r="J64" s="22" t="s">
        <v>181</v>
      </c>
      <c r="K64" s="22" t="s">
        <v>70</v>
      </c>
      <c r="L64" s="54" t="s">
        <v>153</v>
      </c>
      <c r="M64" s="24" t="s">
        <v>156</v>
      </c>
      <c r="N64" s="24" t="s">
        <v>153</v>
      </c>
      <c r="O64" s="23" t="s">
        <v>153</v>
      </c>
      <c r="P64" s="23" t="s">
        <v>153</v>
      </c>
      <c r="Q64" s="23" t="s">
        <v>153</v>
      </c>
      <c r="R64" s="23" t="s">
        <v>153</v>
      </c>
      <c r="S64" s="23" t="s">
        <v>153</v>
      </c>
      <c r="T64" s="23" t="s">
        <v>153</v>
      </c>
      <c r="U64" s="24" t="s">
        <v>153</v>
      </c>
      <c r="V64" s="54" t="s">
        <v>153</v>
      </c>
      <c r="W64" s="23" t="s">
        <v>153</v>
      </c>
      <c r="X64" s="23" t="s">
        <v>153</v>
      </c>
      <c r="Y64" s="23" t="s">
        <v>153</v>
      </c>
      <c r="Z64" s="23" t="s">
        <v>153</v>
      </c>
      <c r="AA64" s="24" t="s">
        <v>156</v>
      </c>
      <c r="AB64" s="24" t="s">
        <v>153</v>
      </c>
      <c r="AC64" s="23" t="s">
        <v>153</v>
      </c>
      <c r="AD64" s="23" t="s">
        <v>153</v>
      </c>
      <c r="AE64" s="23" t="s">
        <v>153</v>
      </c>
      <c r="AF64" s="23" t="s">
        <v>153</v>
      </c>
      <c r="AG64" s="23" t="s">
        <v>153</v>
      </c>
      <c r="AH64" s="23" t="s">
        <v>153</v>
      </c>
      <c r="AI64" s="24" t="s">
        <v>153</v>
      </c>
      <c r="AJ64" s="23" t="s">
        <v>153</v>
      </c>
      <c r="AK64" s="23" t="s">
        <v>153</v>
      </c>
      <c r="AL64" s="23" t="s">
        <v>153</v>
      </c>
      <c r="AM64" s="23" t="s">
        <v>153</v>
      </c>
      <c r="AN64" s="23" t="s">
        <v>153</v>
      </c>
      <c r="AO64" s="24" t="s">
        <v>156</v>
      </c>
      <c r="AP64" s="23">
        <f>VALUE(0)</f>
        <v>0</v>
      </c>
      <c r="AQ64" s="23">
        <f>VALUE(0)</f>
        <v>0</v>
      </c>
      <c r="AR64" s="23">
        <f>VALUE(0)</f>
        <v>0</v>
      </c>
      <c r="AS64" s="23">
        <f>VALUE(0)</f>
        <v>0</v>
      </c>
      <c r="AT64" s="23">
        <f>VALUE(0)</f>
        <v>0</v>
      </c>
      <c r="AU64" s="23">
        <f>VALUE(0)</f>
        <v>0</v>
      </c>
      <c r="AV64" s="23">
        <f>VALUE(4)</f>
        <v>4</v>
      </c>
      <c r="AW64" s="23">
        <f>VALUE(0)</f>
        <v>0</v>
      </c>
      <c r="AX64" s="23" t="s">
        <v>271</v>
      </c>
      <c r="AY64" s="23">
        <f>VALUE(0)</f>
        <v>0</v>
      </c>
      <c r="AZ64" s="23">
        <f>VALUE(0)</f>
        <v>0</v>
      </c>
      <c r="BA64" s="23">
        <f>VALUE(0)</f>
        <v>0</v>
      </c>
      <c r="BB64" s="23">
        <f>VALUE(0)</f>
        <v>0</v>
      </c>
      <c r="BC64" s="23">
        <f>VALUE(0)</f>
        <v>0</v>
      </c>
      <c r="BD64" s="23">
        <f>VALUE(0)</f>
        <v>0</v>
      </c>
      <c r="BE64" s="23">
        <f>VALUE(0)</f>
        <v>0</v>
      </c>
      <c r="BF64" s="23">
        <f>VALUE(0)</f>
        <v>0</v>
      </c>
      <c r="BG64" s="23">
        <f>VALUE(0)</f>
        <v>0</v>
      </c>
      <c r="BH64" s="23">
        <f>VALUE(0)</f>
        <v>0</v>
      </c>
      <c r="BI64" s="23">
        <f>VALUE(0)</f>
        <v>0</v>
      </c>
      <c r="BJ64" s="23">
        <f>VALUE(0)</f>
        <v>0</v>
      </c>
      <c r="BK64" s="12">
        <f>$AX$64*24</f>
        <v>13.783333333333331</v>
      </c>
      <c r="BL64" s="12">
        <f>$AY$64*24</f>
        <v>0</v>
      </c>
      <c r="BM64" s="12">
        <f>$BJ$64*24</f>
        <v>0</v>
      </c>
      <c r="BN64" s="12">
        <f>VALUE($I$64)/100</f>
        <v>1</v>
      </c>
      <c r="BO64" s="12">
        <v>0</v>
      </c>
      <c r="BP64" s="12">
        <v>0</v>
      </c>
      <c r="BQ64" s="12">
        <v>0</v>
      </c>
      <c r="BR64" s="12">
        <v>0</v>
      </c>
      <c r="BS64" s="12">
        <v>0</v>
      </c>
      <c r="BT64" s="12">
        <v>0</v>
      </c>
      <c r="BU64" s="12">
        <v>0</v>
      </c>
      <c r="BV64" s="12">
        <v>0</v>
      </c>
      <c r="BW64" s="12">
        <v>0</v>
      </c>
      <c r="BX64" s="12">
        <v>0</v>
      </c>
      <c r="BY64" s="12">
        <v>0</v>
      </c>
      <c r="BZ64" s="12">
        <v>0</v>
      </c>
      <c r="CA64" s="12">
        <v>0</v>
      </c>
    </row>
    <row r="65" spans="1:79" x14ac:dyDescent="0.2">
      <c r="A65" s="12" t="s">
        <v>102</v>
      </c>
      <c r="B65" s="12" t="s">
        <v>109</v>
      </c>
      <c r="C65" s="12" t="s">
        <v>109</v>
      </c>
      <c r="D65" s="22" t="s">
        <v>240</v>
      </c>
      <c r="E65" s="22" t="s">
        <v>159</v>
      </c>
      <c r="F65" s="22" t="s">
        <v>689</v>
      </c>
      <c r="G65" s="22" t="s">
        <v>690</v>
      </c>
      <c r="H65" s="22" t="s">
        <v>150</v>
      </c>
      <c r="I65" s="22" t="s">
        <v>151</v>
      </c>
      <c r="J65" s="22" t="s">
        <v>181</v>
      </c>
      <c r="K65" s="22" t="s">
        <v>70</v>
      </c>
      <c r="L65" s="54" t="s">
        <v>153</v>
      </c>
      <c r="M65" s="24" t="s">
        <v>156</v>
      </c>
      <c r="N65" s="24" t="s">
        <v>153</v>
      </c>
      <c r="O65" s="23" t="s">
        <v>153</v>
      </c>
      <c r="P65" s="23" t="s">
        <v>153</v>
      </c>
      <c r="Q65" s="23" t="s">
        <v>153</v>
      </c>
      <c r="R65" s="23" t="s">
        <v>153</v>
      </c>
      <c r="S65" s="23" t="s">
        <v>153</v>
      </c>
      <c r="T65" s="23" t="s">
        <v>153</v>
      </c>
      <c r="U65" s="24" t="s">
        <v>153</v>
      </c>
      <c r="V65" s="54" t="s">
        <v>153</v>
      </c>
      <c r="W65" s="28" t="s">
        <v>163</v>
      </c>
      <c r="X65" s="28" t="s">
        <v>163</v>
      </c>
      <c r="Y65" s="28" t="s">
        <v>163</v>
      </c>
      <c r="Z65" s="28" t="s">
        <v>163</v>
      </c>
      <c r="AA65" s="28" t="s">
        <v>163</v>
      </c>
      <c r="AB65" s="24" t="s">
        <v>153</v>
      </c>
      <c r="AC65" s="23" t="s">
        <v>153</v>
      </c>
      <c r="AD65" s="23" t="s">
        <v>153</v>
      </c>
      <c r="AE65" s="23" t="s">
        <v>153</v>
      </c>
      <c r="AF65" s="23" t="s">
        <v>153</v>
      </c>
      <c r="AG65" s="23" t="s">
        <v>153</v>
      </c>
      <c r="AH65" s="23" t="s">
        <v>153</v>
      </c>
      <c r="AI65" s="24" t="s">
        <v>153</v>
      </c>
      <c r="AJ65" s="23" t="s">
        <v>153</v>
      </c>
      <c r="AK65" s="23" t="s">
        <v>153</v>
      </c>
      <c r="AL65" s="23" t="s">
        <v>153</v>
      </c>
      <c r="AM65" s="23" t="s">
        <v>153</v>
      </c>
      <c r="AN65" s="23" t="s">
        <v>153</v>
      </c>
      <c r="AO65" s="24" t="s">
        <v>156</v>
      </c>
      <c r="AP65" s="23">
        <f>VALUE(0)</f>
        <v>0</v>
      </c>
      <c r="AQ65" s="23">
        <f>VALUE(0)</f>
        <v>0</v>
      </c>
      <c r="AR65" s="23">
        <f>VALUE(0)</f>
        <v>0</v>
      </c>
      <c r="AS65" s="23">
        <f>VALUE(17)</f>
        <v>17</v>
      </c>
      <c r="AT65" s="23">
        <f>VALUE(0)</f>
        <v>0</v>
      </c>
      <c r="AU65" s="23">
        <f>VALUE(5)</f>
        <v>5</v>
      </c>
      <c r="AV65" s="23">
        <f>VALUE(0)</f>
        <v>0</v>
      </c>
      <c r="AW65" s="23">
        <f>VALUE(0)</f>
        <v>0</v>
      </c>
      <c r="AX65" s="23" t="s">
        <v>176</v>
      </c>
      <c r="AY65" s="23" t="s">
        <v>272</v>
      </c>
      <c r="AZ65" s="23">
        <f>VALUE(0)</f>
        <v>0</v>
      </c>
      <c r="BA65" s="23">
        <f>VALUE(0)</f>
        <v>0</v>
      </c>
      <c r="BB65" s="23">
        <f>VALUE(0)</f>
        <v>0</v>
      </c>
      <c r="BC65" s="23">
        <f>VALUE(0)</f>
        <v>0</v>
      </c>
      <c r="BD65" s="23">
        <f>VALUE(0)</f>
        <v>0</v>
      </c>
      <c r="BE65" s="23">
        <f>VALUE(0)</f>
        <v>0</v>
      </c>
      <c r="BF65" s="23">
        <f>VALUE(0)</f>
        <v>0</v>
      </c>
      <c r="BG65" s="23">
        <f>VALUE(0)</f>
        <v>0</v>
      </c>
      <c r="BH65" s="23">
        <f>VALUE(0)</f>
        <v>0</v>
      </c>
      <c r="BI65" s="23">
        <f>VALUE(0)</f>
        <v>0</v>
      </c>
      <c r="BJ65" s="23">
        <f>VALUE(0)</f>
        <v>0</v>
      </c>
      <c r="BK65" s="12">
        <f>$AX$65*24</f>
        <v>0</v>
      </c>
      <c r="BL65" s="12">
        <f>$AY$65*24</f>
        <v>11.833333333333334</v>
      </c>
      <c r="BM65" s="12">
        <f>$BJ$65*24</f>
        <v>0</v>
      </c>
      <c r="BN65" s="12">
        <f>VALUE($I$65)/100</f>
        <v>1</v>
      </c>
      <c r="BO65" s="12">
        <v>0</v>
      </c>
      <c r="BP65" s="12">
        <v>0</v>
      </c>
      <c r="BQ65" s="12">
        <v>0</v>
      </c>
      <c r="BR65" s="12">
        <v>0</v>
      </c>
      <c r="BS65" s="12">
        <v>0</v>
      </c>
      <c r="BT65" s="12">
        <v>0</v>
      </c>
      <c r="BU65" s="12">
        <v>0</v>
      </c>
      <c r="BV65" s="12">
        <v>0</v>
      </c>
      <c r="BW65" s="12">
        <v>0</v>
      </c>
      <c r="BX65" s="12">
        <v>0</v>
      </c>
      <c r="BY65" s="12">
        <v>0</v>
      </c>
      <c r="BZ65" s="12">
        <v>0</v>
      </c>
      <c r="CA65" s="12">
        <v>0</v>
      </c>
    </row>
    <row r="66" spans="1:79" x14ac:dyDescent="0.2">
      <c r="A66" s="12" t="s">
        <v>102</v>
      </c>
      <c r="B66" s="12" t="s">
        <v>109</v>
      </c>
      <c r="C66" s="12" t="s">
        <v>109</v>
      </c>
      <c r="D66" s="22" t="s">
        <v>273</v>
      </c>
      <c r="E66" s="22" t="s">
        <v>161</v>
      </c>
      <c r="F66" s="22" t="s">
        <v>691</v>
      </c>
      <c r="G66" s="22" t="s">
        <v>692</v>
      </c>
      <c r="H66" s="22" t="s">
        <v>150</v>
      </c>
      <c r="I66" s="22" t="s">
        <v>151</v>
      </c>
      <c r="J66" s="22" t="s">
        <v>181</v>
      </c>
      <c r="K66" s="22" t="s">
        <v>70</v>
      </c>
      <c r="L66" s="54" t="s">
        <v>153</v>
      </c>
      <c r="M66" s="23" t="s">
        <v>153</v>
      </c>
      <c r="N66" s="24" t="s">
        <v>153</v>
      </c>
      <c r="O66" s="28" t="s">
        <v>338</v>
      </c>
      <c r="P66" s="23" t="s">
        <v>153</v>
      </c>
      <c r="Q66" s="23" t="s">
        <v>153</v>
      </c>
      <c r="R66" s="23" t="s">
        <v>153</v>
      </c>
      <c r="S66" s="23" t="s">
        <v>153</v>
      </c>
      <c r="T66" s="23" t="s">
        <v>153</v>
      </c>
      <c r="U66" s="24" t="s">
        <v>153</v>
      </c>
      <c r="V66" s="54" t="s">
        <v>156</v>
      </c>
      <c r="W66" s="24" t="s">
        <v>156</v>
      </c>
      <c r="X66" s="23" t="s">
        <v>153</v>
      </c>
      <c r="Y66" s="23" t="s">
        <v>153</v>
      </c>
      <c r="Z66" s="23" t="s">
        <v>153</v>
      </c>
      <c r="AA66" s="23" t="s">
        <v>153</v>
      </c>
      <c r="AB66" s="24" t="s">
        <v>153</v>
      </c>
      <c r="AC66" s="23" t="s">
        <v>153</v>
      </c>
      <c r="AD66" s="23" t="s">
        <v>153</v>
      </c>
      <c r="AE66" s="23" t="s">
        <v>153</v>
      </c>
      <c r="AF66" s="23" t="s">
        <v>153</v>
      </c>
      <c r="AG66" s="23" t="s">
        <v>153</v>
      </c>
      <c r="AH66" s="23" t="s">
        <v>153</v>
      </c>
      <c r="AI66" s="24" t="s">
        <v>153</v>
      </c>
      <c r="AJ66" s="23" t="s">
        <v>153</v>
      </c>
      <c r="AK66" s="23" t="s">
        <v>153</v>
      </c>
      <c r="AL66" s="23" t="s">
        <v>153</v>
      </c>
      <c r="AM66" s="23" t="s">
        <v>153</v>
      </c>
      <c r="AN66" s="23" t="s">
        <v>153</v>
      </c>
      <c r="AO66" s="23" t="s">
        <v>153</v>
      </c>
      <c r="AP66" s="23">
        <f>VALUE(0)</f>
        <v>0</v>
      </c>
      <c r="AQ66" s="23">
        <f>VALUE(0)</f>
        <v>0</v>
      </c>
      <c r="AR66" s="23">
        <f>VALUE(0)</f>
        <v>0</v>
      </c>
      <c r="AS66" s="23">
        <f>VALUE(0)</f>
        <v>0</v>
      </c>
      <c r="AT66" s="23">
        <f>VALUE(1)</f>
        <v>1</v>
      </c>
      <c r="AU66" s="23">
        <f>VALUE(0)</f>
        <v>0</v>
      </c>
      <c r="AV66" s="23">
        <f>VALUE(5)</f>
        <v>5</v>
      </c>
      <c r="AW66" s="23">
        <f>VALUE(0)</f>
        <v>0</v>
      </c>
      <c r="AX66" s="23" t="s">
        <v>176</v>
      </c>
      <c r="AY66" s="23">
        <f>VALUE(0)</f>
        <v>0</v>
      </c>
      <c r="AZ66" s="23">
        <f>VALUE(0)</f>
        <v>0</v>
      </c>
      <c r="BA66" s="23">
        <f>VALUE(0)</f>
        <v>0</v>
      </c>
      <c r="BB66" s="23">
        <f>VALUE(0)</f>
        <v>0</v>
      </c>
      <c r="BC66" s="23">
        <f>VALUE(0)</f>
        <v>0</v>
      </c>
      <c r="BD66" s="23">
        <f>VALUE(0)</f>
        <v>0</v>
      </c>
      <c r="BE66" s="23">
        <f>VALUE(0)</f>
        <v>0</v>
      </c>
      <c r="BF66" s="23">
        <f>VALUE(0)</f>
        <v>0</v>
      </c>
      <c r="BG66" s="23">
        <f>VALUE(0)</f>
        <v>0</v>
      </c>
      <c r="BH66" s="23">
        <f>VALUE(0)</f>
        <v>0</v>
      </c>
      <c r="BI66" s="23">
        <f>VALUE(0)</f>
        <v>0</v>
      </c>
      <c r="BJ66" s="23">
        <f>VALUE(0)</f>
        <v>0</v>
      </c>
      <c r="BK66" s="12">
        <f>$AX$66*24</f>
        <v>0</v>
      </c>
      <c r="BL66" s="12">
        <f>$AY$66*24</f>
        <v>0</v>
      </c>
      <c r="BM66" s="12">
        <f>$BJ$66*24</f>
        <v>0</v>
      </c>
      <c r="BN66" s="12">
        <f>VALUE($I$66)/100</f>
        <v>1</v>
      </c>
      <c r="BO66" s="12">
        <v>0</v>
      </c>
      <c r="BP66" s="12">
        <v>0</v>
      </c>
      <c r="BQ66" s="12">
        <v>0</v>
      </c>
      <c r="BR66" s="12">
        <v>0</v>
      </c>
      <c r="BS66" s="12">
        <v>0</v>
      </c>
      <c r="BT66" s="12">
        <v>0</v>
      </c>
      <c r="BU66" s="12">
        <v>0</v>
      </c>
      <c r="BV66" s="12">
        <v>0</v>
      </c>
      <c r="BW66" s="12">
        <v>0</v>
      </c>
      <c r="BX66" s="12">
        <v>0</v>
      </c>
      <c r="BY66" s="12">
        <v>1</v>
      </c>
      <c r="BZ66" s="12">
        <v>0</v>
      </c>
      <c r="CA66" s="12">
        <v>0</v>
      </c>
    </row>
    <row r="67" spans="1:79" x14ac:dyDescent="0.2">
      <c r="A67" s="12" t="s">
        <v>102</v>
      </c>
      <c r="B67" s="12" t="s">
        <v>109</v>
      </c>
      <c r="C67" s="12" t="s">
        <v>109</v>
      </c>
      <c r="D67" s="22" t="s">
        <v>274</v>
      </c>
      <c r="E67" s="22" t="s">
        <v>161</v>
      </c>
      <c r="F67" s="22" t="s">
        <v>693</v>
      </c>
      <c r="G67" s="22" t="s">
        <v>694</v>
      </c>
      <c r="H67" s="22" t="s">
        <v>166</v>
      </c>
      <c r="I67" s="22" t="s">
        <v>151</v>
      </c>
      <c r="J67" s="22" t="s">
        <v>181</v>
      </c>
      <c r="K67" s="22" t="s">
        <v>70</v>
      </c>
      <c r="L67" s="54" t="s">
        <v>153</v>
      </c>
      <c r="M67" s="23" t="s">
        <v>153</v>
      </c>
      <c r="N67" s="24" t="s">
        <v>153</v>
      </c>
      <c r="O67" s="23" t="s">
        <v>153</v>
      </c>
      <c r="P67" s="23" t="s">
        <v>153</v>
      </c>
      <c r="Q67" s="23" t="s">
        <v>153</v>
      </c>
      <c r="R67" s="23" t="s">
        <v>153</v>
      </c>
      <c r="S67" s="23" t="s">
        <v>153</v>
      </c>
      <c r="T67" s="23" t="s">
        <v>153</v>
      </c>
      <c r="U67" s="24" t="s">
        <v>153</v>
      </c>
      <c r="V67" s="54" t="s">
        <v>153</v>
      </c>
      <c r="W67" s="23" t="s">
        <v>153</v>
      </c>
      <c r="X67" s="23" t="s">
        <v>153</v>
      </c>
      <c r="Y67" s="23" t="s">
        <v>153</v>
      </c>
      <c r="Z67" s="23" t="s">
        <v>153</v>
      </c>
      <c r="AA67" s="23" t="s">
        <v>153</v>
      </c>
      <c r="AB67" s="24" t="s">
        <v>153</v>
      </c>
      <c r="AC67" s="24" t="s">
        <v>156</v>
      </c>
      <c r="AD67" s="24" t="s">
        <v>156</v>
      </c>
      <c r="AE67" s="23" t="s">
        <v>153</v>
      </c>
      <c r="AF67" s="23" t="s">
        <v>153</v>
      </c>
      <c r="AG67" s="23" t="s">
        <v>153</v>
      </c>
      <c r="AH67" s="23" t="s">
        <v>153</v>
      </c>
      <c r="AI67" s="24" t="s">
        <v>153</v>
      </c>
      <c r="AJ67" s="23" t="s">
        <v>153</v>
      </c>
      <c r="AK67" s="23" t="s">
        <v>153</v>
      </c>
      <c r="AL67" s="23" t="s">
        <v>153</v>
      </c>
      <c r="AM67" s="23" t="s">
        <v>153</v>
      </c>
      <c r="AN67" s="23" t="s">
        <v>153</v>
      </c>
      <c r="AO67" s="23" t="s">
        <v>153</v>
      </c>
      <c r="AP67" s="23">
        <f>VALUE(0)</f>
        <v>0</v>
      </c>
      <c r="AQ67" s="23">
        <f>VALUE(0)</f>
        <v>0</v>
      </c>
      <c r="AR67" s="23">
        <f>VALUE(0)</f>
        <v>0</v>
      </c>
      <c r="AS67" s="23">
        <f>VALUE(0)</f>
        <v>0</v>
      </c>
      <c r="AT67" s="23">
        <f>VALUE(0)</f>
        <v>0</v>
      </c>
      <c r="AU67" s="23">
        <f>VALUE(0)</f>
        <v>0</v>
      </c>
      <c r="AV67" s="23">
        <f>VALUE(2.5)</f>
        <v>2.5</v>
      </c>
      <c r="AW67" s="23">
        <f>VALUE(0)</f>
        <v>0</v>
      </c>
      <c r="AX67" s="23" t="s">
        <v>275</v>
      </c>
      <c r="AY67" s="23">
        <f>VALUE(0)</f>
        <v>0</v>
      </c>
      <c r="AZ67" s="23">
        <f>VALUE(0)</f>
        <v>0</v>
      </c>
      <c r="BA67" s="23">
        <f>VALUE(0)</f>
        <v>0</v>
      </c>
      <c r="BB67" s="23">
        <f>VALUE(0)</f>
        <v>0</v>
      </c>
      <c r="BC67" s="23">
        <f>VALUE(0)</f>
        <v>0</v>
      </c>
      <c r="BD67" s="23">
        <f>VALUE(0)</f>
        <v>0</v>
      </c>
      <c r="BE67" s="23">
        <f>VALUE(0)</f>
        <v>0</v>
      </c>
      <c r="BF67" s="23">
        <f>VALUE(0)</f>
        <v>0</v>
      </c>
      <c r="BG67" s="23">
        <f>VALUE(0)</f>
        <v>0</v>
      </c>
      <c r="BH67" s="23">
        <f>VALUE(0)</f>
        <v>0</v>
      </c>
      <c r="BI67" s="23">
        <f>VALUE(0)</f>
        <v>0</v>
      </c>
      <c r="BJ67" s="23">
        <f>VALUE(0)</f>
        <v>0</v>
      </c>
      <c r="BK67" s="12">
        <f>$AX$67*24</f>
        <v>4.2166666666666668</v>
      </c>
      <c r="BL67" s="12">
        <f>$AY$67*24</f>
        <v>0</v>
      </c>
      <c r="BM67" s="12">
        <f>$BJ$67*24</f>
        <v>0</v>
      </c>
      <c r="BN67" s="12">
        <f>VALUE($I$67)/100</f>
        <v>1</v>
      </c>
      <c r="BO67" s="12">
        <v>0</v>
      </c>
      <c r="BP67" s="12">
        <v>0</v>
      </c>
      <c r="BQ67" s="12">
        <v>0</v>
      </c>
      <c r="BR67" s="12">
        <v>0</v>
      </c>
      <c r="BS67" s="12">
        <v>0</v>
      </c>
      <c r="BT67" s="12">
        <v>0</v>
      </c>
      <c r="BU67" s="12">
        <v>0</v>
      </c>
      <c r="BV67" s="12">
        <v>0</v>
      </c>
      <c r="BW67" s="12">
        <v>0</v>
      </c>
      <c r="BX67" s="12">
        <v>0</v>
      </c>
      <c r="BY67" s="12">
        <v>0</v>
      </c>
      <c r="BZ67" s="12">
        <v>0</v>
      </c>
      <c r="CA67" s="12">
        <v>0</v>
      </c>
    </row>
    <row r="68" spans="1:79" x14ac:dyDescent="0.2">
      <c r="A68" s="12" t="s">
        <v>102</v>
      </c>
      <c r="B68" s="12" t="s">
        <v>109</v>
      </c>
      <c r="C68" s="12" t="s">
        <v>109</v>
      </c>
      <c r="D68" s="22" t="s">
        <v>276</v>
      </c>
      <c r="E68" s="22" t="s">
        <v>161</v>
      </c>
      <c r="F68" s="22" t="s">
        <v>695</v>
      </c>
      <c r="G68" s="22" t="s">
        <v>696</v>
      </c>
      <c r="H68" s="22" t="s">
        <v>150</v>
      </c>
      <c r="I68" s="22" t="s">
        <v>151</v>
      </c>
      <c r="J68" s="22" t="s">
        <v>181</v>
      </c>
      <c r="K68" s="22" t="s">
        <v>70</v>
      </c>
      <c r="L68" s="54" t="s">
        <v>153</v>
      </c>
      <c r="M68" s="23" t="s">
        <v>153</v>
      </c>
      <c r="N68" s="24" t="s">
        <v>153</v>
      </c>
      <c r="O68" s="24" t="s">
        <v>156</v>
      </c>
      <c r="P68" s="24" t="s">
        <v>156</v>
      </c>
      <c r="Q68" s="23" t="s">
        <v>153</v>
      </c>
      <c r="R68" s="23" t="s">
        <v>153</v>
      </c>
      <c r="S68" s="23" t="s">
        <v>153</v>
      </c>
      <c r="T68" s="23" t="s">
        <v>153</v>
      </c>
      <c r="U68" s="24" t="s">
        <v>153</v>
      </c>
      <c r="V68" s="54" t="s">
        <v>153</v>
      </c>
      <c r="W68" s="33" t="s">
        <v>201</v>
      </c>
      <c r="X68" s="33" t="s">
        <v>201</v>
      </c>
      <c r="Y68" s="33" t="s">
        <v>201</v>
      </c>
      <c r="Z68" s="33" t="s">
        <v>201</v>
      </c>
      <c r="AA68" s="33" t="s">
        <v>201</v>
      </c>
      <c r="AB68" s="24" t="s">
        <v>153</v>
      </c>
      <c r="AC68" s="33" t="s">
        <v>201</v>
      </c>
      <c r="AD68" s="33" t="s">
        <v>201</v>
      </c>
      <c r="AE68" s="33" t="s">
        <v>201</v>
      </c>
      <c r="AF68" s="33" t="s">
        <v>201</v>
      </c>
      <c r="AG68" s="33" t="s">
        <v>201</v>
      </c>
      <c r="AH68" s="33" t="s">
        <v>201</v>
      </c>
      <c r="AI68" s="24" t="s">
        <v>153</v>
      </c>
      <c r="AJ68" s="24" t="s">
        <v>156</v>
      </c>
      <c r="AK68" s="24" t="s">
        <v>156</v>
      </c>
      <c r="AL68" s="28" t="s">
        <v>163</v>
      </c>
      <c r="AM68" s="28" t="s">
        <v>163</v>
      </c>
      <c r="AN68" s="28" t="s">
        <v>163</v>
      </c>
      <c r="AO68" s="28" t="s">
        <v>163</v>
      </c>
      <c r="AP68" s="23">
        <f>VALUE(0)</f>
        <v>0</v>
      </c>
      <c r="AQ68" s="23">
        <f>VALUE(0)</f>
        <v>0</v>
      </c>
      <c r="AR68" s="23">
        <f>VALUE(0)</f>
        <v>0</v>
      </c>
      <c r="AS68" s="23">
        <f>VALUE(0)</f>
        <v>0</v>
      </c>
      <c r="AT68" s="23">
        <f>VALUE(0)</f>
        <v>0</v>
      </c>
      <c r="AU68" s="23">
        <f>VALUE(4)</f>
        <v>4</v>
      </c>
      <c r="AV68" s="23">
        <f>VALUE(6)</f>
        <v>6</v>
      </c>
      <c r="AW68" s="23">
        <f>VALUE(0)</f>
        <v>0</v>
      </c>
      <c r="AX68" s="23" t="s">
        <v>277</v>
      </c>
      <c r="AY68" s="23">
        <f>VALUE(0)</f>
        <v>0</v>
      </c>
      <c r="AZ68" s="23">
        <f>VALUE(0)</f>
        <v>0</v>
      </c>
      <c r="BA68" s="23">
        <f>VALUE(0)</f>
        <v>0</v>
      </c>
      <c r="BB68" s="23">
        <f>VALUE(11)</f>
        <v>11</v>
      </c>
      <c r="BC68" s="23">
        <f>VALUE(0)</f>
        <v>0</v>
      </c>
      <c r="BD68" s="23">
        <f>VALUE(0)</f>
        <v>0</v>
      </c>
      <c r="BE68" s="23">
        <f>VALUE(0)</f>
        <v>0</v>
      </c>
      <c r="BF68" s="23">
        <f>VALUE(0)</f>
        <v>0</v>
      </c>
      <c r="BG68" s="23">
        <f>VALUE(0)</f>
        <v>0</v>
      </c>
      <c r="BH68" s="23">
        <f>VALUE(0)</f>
        <v>0</v>
      </c>
      <c r="BI68" s="23">
        <f>VALUE(0)</f>
        <v>0</v>
      </c>
      <c r="BJ68" s="23">
        <f>VALUE(0)</f>
        <v>0</v>
      </c>
      <c r="BK68" s="12">
        <f>$AX$68*24</f>
        <v>28.716666666666661</v>
      </c>
      <c r="BL68" s="12">
        <f>$AY$68*24</f>
        <v>0</v>
      </c>
      <c r="BM68" s="12">
        <f>$BJ$68*24</f>
        <v>0</v>
      </c>
      <c r="BN68" s="12">
        <f>VALUE($I$68)/100</f>
        <v>1</v>
      </c>
      <c r="BO68" s="12">
        <v>0</v>
      </c>
      <c r="BP68" s="12">
        <v>0</v>
      </c>
      <c r="BQ68" s="12">
        <v>0</v>
      </c>
      <c r="BR68" s="12">
        <v>0</v>
      </c>
      <c r="BS68" s="12">
        <v>0</v>
      </c>
      <c r="BT68" s="12">
        <v>0</v>
      </c>
      <c r="BU68" s="12">
        <v>0</v>
      </c>
      <c r="BV68" s="12">
        <v>0</v>
      </c>
      <c r="BW68" s="12">
        <v>0</v>
      </c>
      <c r="BX68" s="12">
        <v>0</v>
      </c>
      <c r="BY68" s="12">
        <v>0</v>
      </c>
      <c r="BZ68" s="12">
        <v>0</v>
      </c>
      <c r="CA68" s="12">
        <v>0</v>
      </c>
    </row>
    <row r="69" spans="1:79" x14ac:dyDescent="0.2">
      <c r="A69" s="12" t="s">
        <v>102</v>
      </c>
      <c r="B69" s="12" t="s">
        <v>109</v>
      </c>
      <c r="C69" s="12" t="s">
        <v>109</v>
      </c>
      <c r="D69" s="22" t="s">
        <v>278</v>
      </c>
      <c r="E69" s="22" t="s">
        <v>161</v>
      </c>
      <c r="F69" s="22" t="s">
        <v>697</v>
      </c>
      <c r="G69" s="22" t="s">
        <v>698</v>
      </c>
      <c r="H69" s="22" t="s">
        <v>279</v>
      </c>
      <c r="I69" s="22" t="s">
        <v>151</v>
      </c>
      <c r="J69" s="22" t="s">
        <v>181</v>
      </c>
      <c r="K69" s="22" t="s">
        <v>70</v>
      </c>
      <c r="L69" s="54" t="s">
        <v>153</v>
      </c>
      <c r="M69" s="23" t="s">
        <v>153</v>
      </c>
      <c r="N69" s="24" t="s">
        <v>153</v>
      </c>
      <c r="O69" s="23" t="s">
        <v>266</v>
      </c>
      <c r="P69" s="23" t="s">
        <v>266</v>
      </c>
      <c r="Q69" s="23" t="s">
        <v>266</v>
      </c>
      <c r="R69" s="23" t="s">
        <v>266</v>
      </c>
      <c r="S69" s="23" t="s">
        <v>266</v>
      </c>
      <c r="T69" s="23" t="s">
        <v>266</v>
      </c>
      <c r="U69" s="24" t="s">
        <v>153</v>
      </c>
      <c r="V69" s="54" t="s">
        <v>153</v>
      </c>
      <c r="W69" s="23" t="s">
        <v>240</v>
      </c>
      <c r="X69" s="23" t="s">
        <v>240</v>
      </c>
      <c r="Y69" s="23" t="s">
        <v>240</v>
      </c>
      <c r="Z69" s="23" t="s">
        <v>240</v>
      </c>
      <c r="AA69" s="23" t="s">
        <v>240</v>
      </c>
      <c r="AB69" s="24" t="s">
        <v>153</v>
      </c>
      <c r="AC69" s="27" t="s">
        <v>153</v>
      </c>
      <c r="AD69" s="27" t="s">
        <v>153</v>
      </c>
      <c r="AE69" s="27" t="s">
        <v>153</v>
      </c>
      <c r="AF69" s="27" t="s">
        <v>153</v>
      </c>
      <c r="AG69" s="27" t="s">
        <v>153</v>
      </c>
      <c r="AH69" s="27" t="s">
        <v>153</v>
      </c>
      <c r="AI69" s="24" t="s">
        <v>153</v>
      </c>
      <c r="AJ69" s="27" t="s">
        <v>153</v>
      </c>
      <c r="AK69" s="27" t="s">
        <v>153</v>
      </c>
      <c r="AL69" s="27" t="s">
        <v>153</v>
      </c>
      <c r="AM69" s="27" t="s">
        <v>153</v>
      </c>
      <c r="AN69" s="27" t="s">
        <v>153</v>
      </c>
      <c r="AO69" s="27" t="s">
        <v>153</v>
      </c>
      <c r="AP69" s="23">
        <f>VALUE(0)</f>
        <v>0</v>
      </c>
      <c r="AQ69" s="23">
        <f>VALUE(0)</f>
        <v>0</v>
      </c>
      <c r="AR69" s="23">
        <f>VALUE(0)</f>
        <v>0</v>
      </c>
      <c r="AS69" s="23">
        <f>VALUE(0)</f>
        <v>0</v>
      </c>
      <c r="AT69" s="23">
        <f>VALUE(0)</f>
        <v>0</v>
      </c>
      <c r="AU69" s="23">
        <f>VALUE(0)</f>
        <v>0</v>
      </c>
      <c r="AV69" s="23">
        <f>VALUE(0)</f>
        <v>0</v>
      </c>
      <c r="AW69" s="23">
        <f>VALUE(0)</f>
        <v>0</v>
      </c>
      <c r="AX69" s="23">
        <f>VALUE(0)</f>
        <v>0</v>
      </c>
      <c r="AY69" s="23">
        <f>VALUE(0)</f>
        <v>0</v>
      </c>
      <c r="AZ69" s="23">
        <f>VALUE(0)</f>
        <v>0</v>
      </c>
      <c r="BA69" s="23">
        <f>VALUE(0)</f>
        <v>0</v>
      </c>
      <c r="BB69" s="23">
        <f>VALUE(0)</f>
        <v>0</v>
      </c>
      <c r="BC69" s="23">
        <f>VALUE(0)</f>
        <v>0</v>
      </c>
      <c r="BD69" s="23">
        <f>VALUE(0)</f>
        <v>0</v>
      </c>
      <c r="BE69" s="23">
        <f>VALUE(0)</f>
        <v>0</v>
      </c>
      <c r="BF69" s="23">
        <f>VALUE(0)</f>
        <v>0</v>
      </c>
      <c r="BG69" s="23">
        <f>VALUE(0)</f>
        <v>0</v>
      </c>
      <c r="BH69" s="23">
        <f>VALUE(0)</f>
        <v>0</v>
      </c>
      <c r="BI69" s="23">
        <f>VALUE(0)</f>
        <v>0</v>
      </c>
      <c r="BJ69" s="23">
        <f>VALUE(0)</f>
        <v>0</v>
      </c>
      <c r="BK69" s="12">
        <f>$AX$69*24</f>
        <v>0</v>
      </c>
      <c r="BL69" s="12">
        <f>$AY$69*24</f>
        <v>0</v>
      </c>
      <c r="BM69" s="12">
        <f>$BJ$69*24</f>
        <v>0</v>
      </c>
      <c r="BN69" s="12">
        <f>VALUE($I$69)/100</f>
        <v>1</v>
      </c>
      <c r="BO69" s="12">
        <v>0</v>
      </c>
      <c r="BP69" s="12">
        <v>0</v>
      </c>
      <c r="BQ69" s="12">
        <v>0</v>
      </c>
      <c r="BR69" s="12">
        <v>0</v>
      </c>
      <c r="BS69" s="12">
        <v>0</v>
      </c>
      <c r="BT69" s="12">
        <v>0</v>
      </c>
      <c r="BU69" s="12">
        <v>0</v>
      </c>
      <c r="BV69" s="12">
        <v>0</v>
      </c>
      <c r="BW69" s="12">
        <v>0</v>
      </c>
      <c r="BX69" s="12">
        <v>0</v>
      </c>
      <c r="BY69" s="12">
        <v>0</v>
      </c>
      <c r="BZ69" s="12">
        <v>0</v>
      </c>
      <c r="CA69" s="12">
        <v>0</v>
      </c>
    </row>
    <row r="70" spans="1:79" x14ac:dyDescent="0.2">
      <c r="A70" s="12" t="s">
        <v>102</v>
      </c>
      <c r="B70" s="12" t="s">
        <v>109</v>
      </c>
      <c r="C70" s="12" t="s">
        <v>109</v>
      </c>
      <c r="D70" s="22" t="s">
        <v>278</v>
      </c>
      <c r="E70" s="22" t="s">
        <v>161</v>
      </c>
      <c r="F70" s="22" t="s">
        <v>699</v>
      </c>
      <c r="G70" s="22" t="s">
        <v>700</v>
      </c>
      <c r="H70" s="22" t="s">
        <v>150</v>
      </c>
      <c r="I70" s="22" t="s">
        <v>151</v>
      </c>
      <c r="J70" s="22" t="s">
        <v>181</v>
      </c>
      <c r="K70" s="22" t="s">
        <v>70</v>
      </c>
      <c r="L70" s="54" t="s">
        <v>153</v>
      </c>
      <c r="M70" s="28" t="s">
        <v>163</v>
      </c>
      <c r="N70" s="24" t="s">
        <v>153</v>
      </c>
      <c r="O70" s="23" t="s">
        <v>153</v>
      </c>
      <c r="P70" s="23" t="s">
        <v>153</v>
      </c>
      <c r="Q70" s="23" t="s">
        <v>153</v>
      </c>
      <c r="R70" s="23" t="s">
        <v>153</v>
      </c>
      <c r="S70" s="23" t="s">
        <v>153</v>
      </c>
      <c r="T70" s="24" t="s">
        <v>156</v>
      </c>
      <c r="U70" s="24" t="s">
        <v>153</v>
      </c>
      <c r="V70" s="54" t="s">
        <v>153</v>
      </c>
      <c r="W70" s="23" t="s">
        <v>153</v>
      </c>
      <c r="X70" s="23" t="s">
        <v>153</v>
      </c>
      <c r="Y70" s="23" t="s">
        <v>153</v>
      </c>
      <c r="Z70" s="23" t="s">
        <v>153</v>
      </c>
      <c r="AA70" s="23" t="s">
        <v>153</v>
      </c>
      <c r="AB70" s="24" t="s">
        <v>153</v>
      </c>
      <c r="AC70" s="23" t="s">
        <v>153</v>
      </c>
      <c r="AD70" s="23" t="s">
        <v>153</v>
      </c>
      <c r="AE70" s="23" t="s">
        <v>153</v>
      </c>
      <c r="AF70" s="23" t="s">
        <v>153</v>
      </c>
      <c r="AG70" s="23" t="s">
        <v>153</v>
      </c>
      <c r="AH70" s="24" t="s">
        <v>156</v>
      </c>
      <c r="AI70" s="24" t="s">
        <v>153</v>
      </c>
      <c r="AJ70" s="23" t="s">
        <v>153</v>
      </c>
      <c r="AK70" s="23" t="s">
        <v>153</v>
      </c>
      <c r="AL70" s="23" t="s">
        <v>153</v>
      </c>
      <c r="AM70" s="23" t="s">
        <v>153</v>
      </c>
      <c r="AN70" s="23" t="s">
        <v>153</v>
      </c>
      <c r="AO70" s="23" t="s">
        <v>153</v>
      </c>
      <c r="AP70" s="23">
        <f>VALUE(0)</f>
        <v>0</v>
      </c>
      <c r="AQ70" s="23">
        <f>VALUE(0)</f>
        <v>0</v>
      </c>
      <c r="AR70" s="23">
        <f>VALUE(0)</f>
        <v>0</v>
      </c>
      <c r="AS70" s="23">
        <f>VALUE(0)</f>
        <v>0</v>
      </c>
      <c r="AT70" s="23">
        <f>VALUE(0)</f>
        <v>0</v>
      </c>
      <c r="AU70" s="23">
        <f>VALUE(1)</f>
        <v>1</v>
      </c>
      <c r="AV70" s="23">
        <f>VALUE(7)</f>
        <v>7</v>
      </c>
      <c r="AW70" s="23">
        <f>VALUE(0)</f>
        <v>0</v>
      </c>
      <c r="AX70" s="23">
        <f>VALUE(0)</f>
        <v>0</v>
      </c>
      <c r="AY70" s="23" t="s">
        <v>281</v>
      </c>
      <c r="AZ70" s="23">
        <f>VALUE(0)</f>
        <v>0</v>
      </c>
      <c r="BA70" s="23">
        <f>VALUE(0)</f>
        <v>0</v>
      </c>
      <c r="BB70" s="23">
        <f>VALUE(0)</f>
        <v>0</v>
      </c>
      <c r="BC70" s="23">
        <f>VALUE(0)</f>
        <v>0</v>
      </c>
      <c r="BD70" s="23">
        <f>VALUE(0)</f>
        <v>0</v>
      </c>
      <c r="BE70" s="23">
        <f>VALUE(0)</f>
        <v>0</v>
      </c>
      <c r="BF70" s="23">
        <f>VALUE(0)</f>
        <v>0</v>
      </c>
      <c r="BG70" s="23">
        <f>VALUE(0)</f>
        <v>0</v>
      </c>
      <c r="BH70" s="23">
        <f>VALUE(0)</f>
        <v>0</v>
      </c>
      <c r="BI70" s="23">
        <f>VALUE(0)</f>
        <v>0</v>
      </c>
      <c r="BJ70" s="23">
        <f>VALUE(0)</f>
        <v>0</v>
      </c>
      <c r="BK70" s="12">
        <f>$AX$70*24</f>
        <v>0</v>
      </c>
      <c r="BL70" s="12">
        <f>$AY$70*24</f>
        <v>6.7166666666666668</v>
      </c>
      <c r="BM70" s="12">
        <f>$BJ$70*24</f>
        <v>0</v>
      </c>
      <c r="BN70" s="12">
        <f>VALUE($I$70)/100</f>
        <v>1</v>
      </c>
      <c r="BO70" s="12">
        <v>0</v>
      </c>
      <c r="BP70" s="12">
        <v>0</v>
      </c>
      <c r="BQ70" s="12">
        <v>0</v>
      </c>
      <c r="BR70" s="12">
        <v>0</v>
      </c>
      <c r="BS70" s="12">
        <v>0</v>
      </c>
      <c r="BT70" s="12">
        <v>0</v>
      </c>
      <c r="BU70" s="12">
        <v>0</v>
      </c>
      <c r="BV70" s="12">
        <v>0</v>
      </c>
      <c r="BW70" s="12">
        <v>0</v>
      </c>
      <c r="BX70" s="12">
        <v>0</v>
      </c>
      <c r="BY70" s="12">
        <v>0</v>
      </c>
      <c r="BZ70" s="12">
        <v>0</v>
      </c>
      <c r="CA70" s="12">
        <v>0</v>
      </c>
    </row>
    <row r="71" spans="1:79" x14ac:dyDescent="0.2">
      <c r="A71" s="12" t="s">
        <v>102</v>
      </c>
      <c r="B71" s="12" t="s">
        <v>109</v>
      </c>
      <c r="C71" s="12" t="s">
        <v>109</v>
      </c>
      <c r="D71" s="22" t="s">
        <v>280</v>
      </c>
      <c r="E71" s="22" t="s">
        <v>161</v>
      </c>
      <c r="F71" s="22" t="s">
        <v>701</v>
      </c>
      <c r="G71" s="22" t="s">
        <v>702</v>
      </c>
      <c r="H71" s="22" t="s">
        <v>166</v>
      </c>
      <c r="I71" s="22" t="s">
        <v>151</v>
      </c>
      <c r="J71" s="22" t="s">
        <v>181</v>
      </c>
      <c r="K71" s="22" t="s">
        <v>70</v>
      </c>
      <c r="L71" s="54" t="s">
        <v>153</v>
      </c>
      <c r="M71" s="23" t="s">
        <v>153</v>
      </c>
      <c r="N71" s="24" t="s">
        <v>153</v>
      </c>
      <c r="O71" s="23" t="s">
        <v>153</v>
      </c>
      <c r="P71" s="23" t="s">
        <v>153</v>
      </c>
      <c r="Q71" s="23" t="s">
        <v>153</v>
      </c>
      <c r="R71" s="23" t="s">
        <v>153</v>
      </c>
      <c r="S71" s="23" t="s">
        <v>153</v>
      </c>
      <c r="T71" s="24" t="s">
        <v>156</v>
      </c>
      <c r="U71" s="24" t="s">
        <v>153</v>
      </c>
      <c r="V71" s="54" t="s">
        <v>153</v>
      </c>
      <c r="W71" s="23" t="s">
        <v>153</v>
      </c>
      <c r="X71" s="23" t="s">
        <v>153</v>
      </c>
      <c r="Y71" s="23" t="s">
        <v>153</v>
      </c>
      <c r="Z71" s="23" t="s">
        <v>153</v>
      </c>
      <c r="AA71" s="23" t="s">
        <v>153</v>
      </c>
      <c r="AB71" s="24" t="s">
        <v>153</v>
      </c>
      <c r="AC71" s="23" t="s">
        <v>153</v>
      </c>
      <c r="AD71" s="23" t="s">
        <v>153</v>
      </c>
      <c r="AE71" s="23" t="s">
        <v>153</v>
      </c>
      <c r="AF71" s="23" t="s">
        <v>153</v>
      </c>
      <c r="AG71" s="23" t="s">
        <v>153</v>
      </c>
      <c r="AH71" s="24" t="s">
        <v>156</v>
      </c>
      <c r="AI71" s="24" t="s">
        <v>153</v>
      </c>
      <c r="AJ71" s="28" t="s">
        <v>163</v>
      </c>
      <c r="AK71" s="28" t="s">
        <v>163</v>
      </c>
      <c r="AL71" s="28" t="s">
        <v>163</v>
      </c>
      <c r="AM71" s="28" t="s">
        <v>163</v>
      </c>
      <c r="AN71" s="28" t="s">
        <v>163</v>
      </c>
      <c r="AO71" s="28" t="s">
        <v>163</v>
      </c>
      <c r="AP71" s="23">
        <f>VALUE(0)</f>
        <v>0</v>
      </c>
      <c r="AQ71" s="23">
        <f>VALUE(0)</f>
        <v>0</v>
      </c>
      <c r="AR71" s="23">
        <f>VALUE(0)</f>
        <v>0</v>
      </c>
      <c r="AS71" s="23">
        <f>VALUE(0)</f>
        <v>0</v>
      </c>
      <c r="AT71" s="23">
        <f>VALUE(0)</f>
        <v>0</v>
      </c>
      <c r="AU71" s="23">
        <f>VALUE(6)</f>
        <v>6</v>
      </c>
      <c r="AV71" s="23">
        <f>VALUE(1)</f>
        <v>1</v>
      </c>
      <c r="AW71" s="23">
        <f>VALUE(0)</f>
        <v>0</v>
      </c>
      <c r="AX71" s="23" t="s">
        <v>282</v>
      </c>
      <c r="AY71" s="23">
        <f>VALUE(0)</f>
        <v>0</v>
      </c>
      <c r="AZ71" s="23">
        <f>VALUE(0)</f>
        <v>0</v>
      </c>
      <c r="BA71" s="23">
        <f>VALUE(0)</f>
        <v>0</v>
      </c>
      <c r="BB71" s="23">
        <f>VALUE(0)</f>
        <v>0</v>
      </c>
      <c r="BC71" s="23">
        <f>VALUE(0)</f>
        <v>0</v>
      </c>
      <c r="BD71" s="23">
        <f>VALUE(0)</f>
        <v>0</v>
      </c>
      <c r="BE71" s="23">
        <f>VALUE(0)</f>
        <v>0</v>
      </c>
      <c r="BF71" s="23">
        <f>VALUE(0)</f>
        <v>0</v>
      </c>
      <c r="BG71" s="23">
        <f>VALUE(0)</f>
        <v>0</v>
      </c>
      <c r="BH71" s="23">
        <f>VALUE(0)</f>
        <v>0</v>
      </c>
      <c r="BI71" s="23">
        <f>VALUE(0)</f>
        <v>0</v>
      </c>
      <c r="BJ71" s="23">
        <f>VALUE(0)</f>
        <v>0</v>
      </c>
      <c r="BK71" s="12">
        <f>$AX$71*24</f>
        <v>5.9833333333333334</v>
      </c>
      <c r="BL71" s="12">
        <f>$AY$71*24</f>
        <v>0</v>
      </c>
      <c r="BM71" s="12">
        <f>$BJ$71*24</f>
        <v>0</v>
      </c>
      <c r="BN71" s="12">
        <f>VALUE($I$71)/100</f>
        <v>1</v>
      </c>
      <c r="BO71" s="12">
        <v>0</v>
      </c>
      <c r="BP71" s="12">
        <v>0</v>
      </c>
      <c r="BQ71" s="12">
        <v>0</v>
      </c>
      <c r="BR71" s="12">
        <v>0</v>
      </c>
      <c r="BS71" s="12">
        <v>0</v>
      </c>
      <c r="BT71" s="12">
        <v>0</v>
      </c>
      <c r="BU71" s="12">
        <v>0</v>
      </c>
      <c r="BV71" s="12">
        <v>0</v>
      </c>
      <c r="BW71" s="12">
        <v>0</v>
      </c>
      <c r="BX71" s="12">
        <v>0</v>
      </c>
      <c r="BY71" s="12">
        <v>0</v>
      </c>
      <c r="BZ71" s="12">
        <v>0</v>
      </c>
      <c r="CA71" s="12">
        <v>0</v>
      </c>
    </row>
    <row r="72" spans="1:79" x14ac:dyDescent="0.2">
      <c r="A72" s="12" t="s">
        <v>102</v>
      </c>
      <c r="B72" s="12" t="s">
        <v>109</v>
      </c>
      <c r="C72" s="12" t="s">
        <v>109</v>
      </c>
      <c r="D72" s="22" t="s">
        <v>283</v>
      </c>
      <c r="E72" s="22" t="s">
        <v>161</v>
      </c>
      <c r="F72" s="22" t="s">
        <v>703</v>
      </c>
      <c r="G72" s="22" t="s">
        <v>704</v>
      </c>
      <c r="H72" s="22" t="s">
        <v>166</v>
      </c>
      <c r="I72" s="22" t="s">
        <v>151</v>
      </c>
      <c r="J72" s="22" t="s">
        <v>181</v>
      </c>
      <c r="K72" s="22" t="s">
        <v>70</v>
      </c>
      <c r="L72" s="54" t="s">
        <v>153</v>
      </c>
      <c r="M72" s="28" t="s">
        <v>163</v>
      </c>
      <c r="N72" s="24" t="s">
        <v>153</v>
      </c>
      <c r="O72" s="23" t="s">
        <v>153</v>
      </c>
      <c r="P72" s="23" t="s">
        <v>153</v>
      </c>
      <c r="Q72" s="23" t="s">
        <v>153</v>
      </c>
      <c r="R72" s="23" t="s">
        <v>153</v>
      </c>
      <c r="S72" s="23" t="s">
        <v>153</v>
      </c>
      <c r="T72" s="23" t="s">
        <v>153</v>
      </c>
      <c r="U72" s="24" t="s">
        <v>153</v>
      </c>
      <c r="V72" s="54" t="s">
        <v>153</v>
      </c>
      <c r="W72" s="23" t="s">
        <v>153</v>
      </c>
      <c r="X72" s="23" t="s">
        <v>153</v>
      </c>
      <c r="Y72" s="23" t="s">
        <v>153</v>
      </c>
      <c r="Z72" s="23" t="s">
        <v>153</v>
      </c>
      <c r="AA72" s="24" t="s">
        <v>156</v>
      </c>
      <c r="AB72" s="24" t="s">
        <v>153</v>
      </c>
      <c r="AC72" s="23" t="s">
        <v>153</v>
      </c>
      <c r="AD72" s="23" t="s">
        <v>153</v>
      </c>
      <c r="AE72" s="23" t="s">
        <v>153</v>
      </c>
      <c r="AF72" s="23" t="s">
        <v>153</v>
      </c>
      <c r="AG72" s="23" t="s">
        <v>153</v>
      </c>
      <c r="AH72" s="23" t="s">
        <v>153</v>
      </c>
      <c r="AI72" s="24" t="s">
        <v>153</v>
      </c>
      <c r="AJ72" s="23" t="s">
        <v>153</v>
      </c>
      <c r="AK72" s="23" t="s">
        <v>153</v>
      </c>
      <c r="AL72" s="23" t="s">
        <v>153</v>
      </c>
      <c r="AM72" s="23" t="s">
        <v>153</v>
      </c>
      <c r="AN72" s="23" t="s">
        <v>153</v>
      </c>
      <c r="AO72" s="24" t="s">
        <v>156</v>
      </c>
      <c r="AP72" s="23">
        <f>VALUE(0)</f>
        <v>0</v>
      </c>
      <c r="AQ72" s="23">
        <f>VALUE(0)</f>
        <v>0</v>
      </c>
      <c r="AR72" s="23">
        <f>VALUE(0)</f>
        <v>0</v>
      </c>
      <c r="AS72" s="23">
        <f>VALUE(0)</f>
        <v>0</v>
      </c>
      <c r="AT72" s="23">
        <f>VALUE(0)</f>
        <v>0</v>
      </c>
      <c r="AU72" s="23">
        <f>VALUE(1)</f>
        <v>1</v>
      </c>
      <c r="AV72" s="23">
        <f>VALUE(4.5)</f>
        <v>4.5</v>
      </c>
      <c r="AW72" s="23">
        <f>VALUE(0)</f>
        <v>0</v>
      </c>
      <c r="AX72" s="23" t="s">
        <v>284</v>
      </c>
      <c r="AY72" s="23">
        <f>VALUE(0)</f>
        <v>0</v>
      </c>
      <c r="AZ72" s="23">
        <f>VALUE(0)</f>
        <v>0</v>
      </c>
      <c r="BA72" s="23">
        <f>VALUE(0)</f>
        <v>0</v>
      </c>
      <c r="BB72" s="23">
        <f>VALUE(0)</f>
        <v>0</v>
      </c>
      <c r="BC72" s="23">
        <f>VALUE(0)</f>
        <v>0</v>
      </c>
      <c r="BD72" s="23">
        <f>VALUE(0)</f>
        <v>0</v>
      </c>
      <c r="BE72" s="23">
        <f>VALUE(0)</f>
        <v>0</v>
      </c>
      <c r="BF72" s="23">
        <f>VALUE(0)</f>
        <v>0</v>
      </c>
      <c r="BG72" s="23">
        <f>VALUE(0)</f>
        <v>0</v>
      </c>
      <c r="BH72" s="23">
        <f>VALUE(0)</f>
        <v>0</v>
      </c>
      <c r="BI72" s="23">
        <f>VALUE(0)</f>
        <v>0</v>
      </c>
      <c r="BJ72" s="23">
        <f>VALUE(0)</f>
        <v>0</v>
      </c>
      <c r="BK72" s="12">
        <f>$AX$72*24</f>
        <v>12.966666666666665</v>
      </c>
      <c r="BL72" s="12">
        <f>$AY$72*24</f>
        <v>0</v>
      </c>
      <c r="BM72" s="12">
        <f>$BJ$72*24</f>
        <v>0</v>
      </c>
      <c r="BN72" s="12">
        <f>VALUE($I$72)/100</f>
        <v>1</v>
      </c>
      <c r="BO72" s="12">
        <v>0</v>
      </c>
      <c r="BP72" s="12">
        <v>0</v>
      </c>
      <c r="BQ72" s="12">
        <v>0</v>
      </c>
      <c r="BR72" s="12">
        <v>0</v>
      </c>
      <c r="BS72" s="12">
        <v>0</v>
      </c>
      <c r="BT72" s="12">
        <v>0</v>
      </c>
      <c r="BU72" s="12">
        <v>0</v>
      </c>
      <c r="BV72" s="12">
        <v>0</v>
      </c>
      <c r="BW72" s="12">
        <v>0</v>
      </c>
      <c r="BX72" s="12">
        <v>0</v>
      </c>
      <c r="BY72" s="12">
        <v>0</v>
      </c>
      <c r="BZ72" s="12">
        <v>0</v>
      </c>
      <c r="CA72" s="12">
        <v>0</v>
      </c>
    </row>
    <row r="73" spans="1:79" x14ac:dyDescent="0.2">
      <c r="A73" s="12" t="s">
        <v>102</v>
      </c>
      <c r="B73" s="12" t="s">
        <v>109</v>
      </c>
      <c r="C73" s="12" t="s">
        <v>109</v>
      </c>
      <c r="D73" s="22" t="s">
        <v>285</v>
      </c>
      <c r="E73" s="22" t="s">
        <v>161</v>
      </c>
      <c r="F73" s="22" t="s">
        <v>705</v>
      </c>
      <c r="G73" s="22" t="s">
        <v>706</v>
      </c>
      <c r="H73" s="22" t="s">
        <v>166</v>
      </c>
      <c r="I73" s="22" t="s">
        <v>151</v>
      </c>
      <c r="J73" s="22" t="s">
        <v>181</v>
      </c>
      <c r="K73" s="22" t="s">
        <v>70</v>
      </c>
      <c r="L73" s="54" t="s">
        <v>153</v>
      </c>
      <c r="M73" s="23" t="s">
        <v>153</v>
      </c>
      <c r="N73" s="24" t="s">
        <v>153</v>
      </c>
      <c r="O73" s="23" t="s">
        <v>153</v>
      </c>
      <c r="P73" s="23" t="s">
        <v>153</v>
      </c>
      <c r="Q73" s="23" t="s">
        <v>153</v>
      </c>
      <c r="R73" s="23" t="s">
        <v>153</v>
      </c>
      <c r="S73" s="23" t="s">
        <v>153</v>
      </c>
      <c r="T73" s="24" t="s">
        <v>156</v>
      </c>
      <c r="U73" s="24" t="s">
        <v>153</v>
      </c>
      <c r="V73" s="54" t="s">
        <v>153</v>
      </c>
      <c r="W73" s="23" t="s">
        <v>153</v>
      </c>
      <c r="X73" s="23" t="s">
        <v>153</v>
      </c>
      <c r="Y73" s="23" t="s">
        <v>153</v>
      </c>
      <c r="Z73" s="23" t="s">
        <v>153</v>
      </c>
      <c r="AA73" s="23" t="s">
        <v>153</v>
      </c>
      <c r="AB73" s="24" t="s">
        <v>153</v>
      </c>
      <c r="AC73" s="23" t="s">
        <v>153</v>
      </c>
      <c r="AD73" s="23" t="s">
        <v>153</v>
      </c>
      <c r="AE73" s="23" t="s">
        <v>153</v>
      </c>
      <c r="AF73" s="23" t="s">
        <v>153</v>
      </c>
      <c r="AG73" s="23" t="s">
        <v>153</v>
      </c>
      <c r="AH73" s="24" t="s">
        <v>156</v>
      </c>
      <c r="AI73" s="24" t="s">
        <v>153</v>
      </c>
      <c r="AJ73" s="23" t="s">
        <v>153</v>
      </c>
      <c r="AK73" s="23" t="s">
        <v>153</v>
      </c>
      <c r="AL73" s="23" t="s">
        <v>153</v>
      </c>
      <c r="AM73" s="23" t="s">
        <v>153</v>
      </c>
      <c r="AN73" s="23" t="s">
        <v>153</v>
      </c>
      <c r="AO73" s="23" t="s">
        <v>153</v>
      </c>
      <c r="AP73" s="23">
        <f>VALUE(0)</f>
        <v>0</v>
      </c>
      <c r="AQ73" s="23">
        <f>VALUE(0)</f>
        <v>0</v>
      </c>
      <c r="AR73" s="23">
        <f>VALUE(0)</f>
        <v>0</v>
      </c>
      <c r="AS73" s="23">
        <f>VALUE(0)</f>
        <v>0</v>
      </c>
      <c r="AT73" s="23">
        <f>VALUE(0)</f>
        <v>0</v>
      </c>
      <c r="AU73" s="23">
        <f>VALUE(0)</f>
        <v>0</v>
      </c>
      <c r="AV73" s="23">
        <f>VALUE(5.5)</f>
        <v>5.5</v>
      </c>
      <c r="AW73" s="23">
        <f>VALUE(0)</f>
        <v>0</v>
      </c>
      <c r="AX73" s="23" t="s">
        <v>286</v>
      </c>
      <c r="AY73" s="23">
        <f>VALUE(0)</f>
        <v>0</v>
      </c>
      <c r="AZ73" s="23">
        <f>VALUE(0)</f>
        <v>0</v>
      </c>
      <c r="BA73" s="23">
        <f>VALUE(0)</f>
        <v>0</v>
      </c>
      <c r="BB73" s="23">
        <f>VALUE(0)</f>
        <v>0</v>
      </c>
      <c r="BC73" s="23">
        <f>VALUE(0)</f>
        <v>0</v>
      </c>
      <c r="BD73" s="23">
        <f>VALUE(0)</f>
        <v>0</v>
      </c>
      <c r="BE73" s="23">
        <f>VALUE(0)</f>
        <v>0</v>
      </c>
      <c r="BF73" s="23">
        <f>VALUE(0)</f>
        <v>0</v>
      </c>
      <c r="BG73" s="23">
        <f>VALUE(0)</f>
        <v>0</v>
      </c>
      <c r="BH73" s="23">
        <f>VALUE(0)</f>
        <v>0</v>
      </c>
      <c r="BI73" s="23">
        <f>VALUE(0)</f>
        <v>0</v>
      </c>
      <c r="BJ73" s="23">
        <f>VALUE(0)</f>
        <v>0</v>
      </c>
      <c r="BK73" s="12">
        <f>$AX$73*24</f>
        <v>8.7333333333333325</v>
      </c>
      <c r="BL73" s="12">
        <f>$AY$73*24</f>
        <v>0</v>
      </c>
      <c r="BM73" s="12">
        <f>$BJ$73*24</f>
        <v>0</v>
      </c>
      <c r="BN73" s="12">
        <f>VALUE($I$73)/100</f>
        <v>1</v>
      </c>
      <c r="BO73" s="12">
        <v>0</v>
      </c>
      <c r="BP73" s="12">
        <v>0</v>
      </c>
      <c r="BQ73" s="12">
        <v>0</v>
      </c>
      <c r="BR73" s="12">
        <v>0</v>
      </c>
      <c r="BS73" s="12">
        <v>0</v>
      </c>
      <c r="BT73" s="12">
        <v>0</v>
      </c>
      <c r="BU73" s="12">
        <v>0</v>
      </c>
      <c r="BV73" s="12">
        <v>0</v>
      </c>
      <c r="BW73" s="12">
        <v>0</v>
      </c>
      <c r="BX73" s="12">
        <v>0</v>
      </c>
      <c r="BY73" s="12">
        <v>0</v>
      </c>
      <c r="BZ73" s="12">
        <v>0</v>
      </c>
      <c r="CA73" s="12">
        <v>0</v>
      </c>
    </row>
    <row r="74" spans="1:79" ht="15" x14ac:dyDescent="0.25">
      <c r="A74" s="12" t="s">
        <v>102</v>
      </c>
      <c r="B74" s="12" t="s">
        <v>109</v>
      </c>
      <c r="C74" s="12" t="s">
        <v>109</v>
      </c>
      <c r="D74" s="31" t="s">
        <v>585</v>
      </c>
      <c r="E74" s="31" t="s">
        <v>153</v>
      </c>
      <c r="F74" s="31" t="s">
        <v>175</v>
      </c>
      <c r="G74" s="31" t="s">
        <v>153</v>
      </c>
      <c r="H74" s="31" t="s">
        <v>153</v>
      </c>
      <c r="I74" s="31" t="s">
        <v>153</v>
      </c>
      <c r="J74" s="31" t="s">
        <v>153</v>
      </c>
      <c r="K74" s="31" t="s">
        <v>153</v>
      </c>
      <c r="L74" s="31">
        <f>VALUE(0)</f>
        <v>0</v>
      </c>
      <c r="M74" s="31">
        <f>VALUE(7)</f>
        <v>7</v>
      </c>
      <c r="N74" s="31">
        <f>VALUE(0)</f>
        <v>0</v>
      </c>
      <c r="O74" s="31">
        <f>VALUE(9)</f>
        <v>9</v>
      </c>
      <c r="P74" s="31">
        <f>VALUE(10)</f>
        <v>10</v>
      </c>
      <c r="Q74" s="31">
        <f>VALUE(11)</f>
        <v>11</v>
      </c>
      <c r="R74" s="31">
        <f>VALUE(11)</f>
        <v>11</v>
      </c>
      <c r="S74" s="31">
        <f>VALUE(11)</f>
        <v>11</v>
      </c>
      <c r="T74" s="31">
        <f>VALUE(7)</f>
        <v>7</v>
      </c>
      <c r="U74" s="31">
        <f>VALUE(0)</f>
        <v>0</v>
      </c>
      <c r="V74" s="31">
        <f>VALUE(0)</f>
        <v>0</v>
      </c>
      <c r="W74" s="31">
        <f>VALUE(9)</f>
        <v>9</v>
      </c>
      <c r="X74" s="31">
        <f>VALUE(10)</f>
        <v>10</v>
      </c>
      <c r="Y74" s="31">
        <f>VALUE(10)</f>
        <v>10</v>
      </c>
      <c r="Z74" s="31">
        <f>VALUE(10)</f>
        <v>10</v>
      </c>
      <c r="AA74" s="31">
        <f>VALUE(7)</f>
        <v>7</v>
      </c>
      <c r="AB74" s="31">
        <f>VALUE(0)</f>
        <v>0</v>
      </c>
      <c r="AC74" s="31">
        <f>VALUE(8)</f>
        <v>8</v>
      </c>
      <c r="AD74" s="31">
        <f>VALUE(8)</f>
        <v>8</v>
      </c>
      <c r="AE74" s="31">
        <f>VALUE(9)</f>
        <v>9</v>
      </c>
      <c r="AF74" s="31">
        <f>VALUE(9)</f>
        <v>9</v>
      </c>
      <c r="AG74" s="31">
        <f>VALUE(9)</f>
        <v>9</v>
      </c>
      <c r="AH74" s="31">
        <f>VALUE(5)</f>
        <v>5</v>
      </c>
      <c r="AI74" s="31">
        <f>VALUE(0)</f>
        <v>0</v>
      </c>
      <c r="AJ74" s="31">
        <f>VALUE(9)</f>
        <v>9</v>
      </c>
      <c r="AK74" s="31">
        <f>VALUE(9)</f>
        <v>9</v>
      </c>
      <c r="AL74" s="31">
        <f>VALUE(9)</f>
        <v>9</v>
      </c>
      <c r="AM74" s="31">
        <f>VALUE(9)</f>
        <v>9</v>
      </c>
      <c r="AN74" s="31">
        <f>VALUE(9)</f>
        <v>9</v>
      </c>
      <c r="AO74" s="31">
        <f>VALUE(5)</f>
        <v>5</v>
      </c>
      <c r="AP74" s="31">
        <v>0</v>
      </c>
      <c r="AQ74" s="31">
        <v>0</v>
      </c>
      <c r="AR74" s="31">
        <v>0</v>
      </c>
      <c r="AS74" s="31">
        <v>0</v>
      </c>
      <c r="AT74" s="31">
        <v>0</v>
      </c>
      <c r="AU74" s="31">
        <v>0</v>
      </c>
      <c r="AV74" s="31">
        <v>0</v>
      </c>
      <c r="AW74" s="31">
        <v>0</v>
      </c>
      <c r="AX74" s="31">
        <v>0</v>
      </c>
      <c r="AY74" s="31">
        <v>0</v>
      </c>
      <c r="AZ74" s="31">
        <v>0</v>
      </c>
      <c r="BA74" s="31">
        <v>0</v>
      </c>
      <c r="BB74" s="31">
        <v>0</v>
      </c>
      <c r="BC74" s="31">
        <v>0</v>
      </c>
      <c r="BD74" s="31">
        <v>0</v>
      </c>
      <c r="BE74" s="31">
        <v>0</v>
      </c>
      <c r="BF74" s="31">
        <v>0</v>
      </c>
      <c r="BG74" s="31">
        <v>0</v>
      </c>
      <c r="BH74" s="31">
        <v>0</v>
      </c>
      <c r="BI74" s="31">
        <v>0</v>
      </c>
      <c r="BJ74" s="31">
        <v>0</v>
      </c>
      <c r="BK74" s="12">
        <v>0</v>
      </c>
      <c r="BL74" s="12">
        <v>0</v>
      </c>
      <c r="BM74" s="12">
        <v>0</v>
      </c>
      <c r="BN74" s="12"/>
      <c r="BO74" s="12">
        <v>0</v>
      </c>
      <c r="BP74" s="12">
        <v>0</v>
      </c>
      <c r="BQ74" s="12">
        <v>0</v>
      </c>
      <c r="BR74" s="12">
        <v>0</v>
      </c>
      <c r="BS74" s="12">
        <v>0</v>
      </c>
      <c r="BT74" s="12">
        <v>0</v>
      </c>
      <c r="BU74" s="12">
        <v>0</v>
      </c>
      <c r="BV74" s="12">
        <v>0</v>
      </c>
      <c r="BW74" s="12">
        <v>0</v>
      </c>
      <c r="BX74" s="12">
        <v>0</v>
      </c>
      <c r="BY74" s="12">
        <v>0</v>
      </c>
      <c r="BZ74" s="12">
        <v>0</v>
      </c>
      <c r="CA74" s="12">
        <v>0</v>
      </c>
    </row>
    <row r="75" spans="1:79" ht="16.5" x14ac:dyDescent="0.2">
      <c r="A75" s="12" t="s">
        <v>102</v>
      </c>
      <c r="B75" s="12" t="s">
        <v>110</v>
      </c>
      <c r="C75" s="12" t="s">
        <v>110</v>
      </c>
      <c r="D75" s="22" t="s">
        <v>1190</v>
      </c>
      <c r="E75" s="22" t="s">
        <v>161</v>
      </c>
      <c r="F75" s="22" t="s">
        <v>707</v>
      </c>
      <c r="G75" s="22" t="s">
        <v>708</v>
      </c>
      <c r="H75" s="22" t="s">
        <v>150</v>
      </c>
      <c r="I75" s="22" t="s">
        <v>151</v>
      </c>
      <c r="J75" s="22" t="s">
        <v>264</v>
      </c>
      <c r="K75" s="22" t="s">
        <v>71</v>
      </c>
      <c r="L75" s="54" t="s">
        <v>153</v>
      </c>
      <c r="M75" s="23" t="s">
        <v>287</v>
      </c>
      <c r="N75" s="24" t="s">
        <v>153</v>
      </c>
      <c r="O75" s="26" t="s">
        <v>1191</v>
      </c>
      <c r="P75" s="26" t="s">
        <v>1191</v>
      </c>
      <c r="Q75" s="26" t="s">
        <v>1191</v>
      </c>
      <c r="R75" s="24" t="s">
        <v>156</v>
      </c>
      <c r="S75" s="24" t="s">
        <v>156</v>
      </c>
      <c r="T75" s="24" t="s">
        <v>156</v>
      </c>
      <c r="U75" s="24" t="s">
        <v>153</v>
      </c>
      <c r="V75" s="54" t="s">
        <v>153</v>
      </c>
      <c r="W75" s="26" t="s">
        <v>1191</v>
      </c>
      <c r="X75" s="26" t="s">
        <v>1191</v>
      </c>
      <c r="Y75" s="23" t="s">
        <v>291</v>
      </c>
      <c r="Z75" s="23" t="s">
        <v>291</v>
      </c>
      <c r="AA75" s="26" t="s">
        <v>1191</v>
      </c>
      <c r="AB75" s="24" t="s">
        <v>153</v>
      </c>
      <c r="AC75" s="26" t="s">
        <v>1191</v>
      </c>
      <c r="AD75" s="26" t="s">
        <v>1191</v>
      </c>
      <c r="AE75" s="26" t="s">
        <v>1191</v>
      </c>
      <c r="AF75" s="26" t="s">
        <v>1191</v>
      </c>
      <c r="AG75" s="26" t="s">
        <v>1191</v>
      </c>
      <c r="AH75" s="26" t="s">
        <v>1191</v>
      </c>
      <c r="AI75" s="24" t="s">
        <v>153</v>
      </c>
      <c r="AJ75" s="26" t="s">
        <v>1191</v>
      </c>
      <c r="AK75" s="26" t="s">
        <v>1191</v>
      </c>
      <c r="AL75" s="26" t="s">
        <v>1191</v>
      </c>
      <c r="AM75" s="23" t="s">
        <v>288</v>
      </c>
      <c r="AN75" s="23" t="s">
        <v>288</v>
      </c>
      <c r="AO75" s="23" t="s">
        <v>288</v>
      </c>
      <c r="AP75" s="23">
        <f>VALUE(51)</f>
        <v>51</v>
      </c>
      <c r="AQ75" s="23">
        <f>VALUE(0)</f>
        <v>0</v>
      </c>
      <c r="AR75" s="23">
        <f>VALUE(0)</f>
        <v>0</v>
      </c>
      <c r="AS75" s="23">
        <f>VALUE(0)</f>
        <v>0</v>
      </c>
      <c r="AT75" s="23">
        <f>VALUE(0)</f>
        <v>0</v>
      </c>
      <c r="AU75" s="23">
        <f>VALUE(0)</f>
        <v>0</v>
      </c>
      <c r="AV75" s="23">
        <f>VALUE(8)</f>
        <v>8</v>
      </c>
      <c r="AW75" s="23">
        <f>VALUE(0)</f>
        <v>0</v>
      </c>
      <c r="AX75" s="23" t="s">
        <v>289</v>
      </c>
      <c r="AY75" s="23" t="s">
        <v>290</v>
      </c>
      <c r="AZ75" s="23">
        <f>VALUE(0)</f>
        <v>0</v>
      </c>
      <c r="BA75" s="23">
        <f>VALUE(0)</f>
        <v>0</v>
      </c>
      <c r="BB75" s="23">
        <f>VALUE(0)</f>
        <v>0</v>
      </c>
      <c r="BC75" s="23">
        <f>VALUE(0)</f>
        <v>0</v>
      </c>
      <c r="BD75" s="23">
        <f>VALUE(0)</f>
        <v>0</v>
      </c>
      <c r="BE75" s="23">
        <f>VALUE(0)</f>
        <v>0</v>
      </c>
      <c r="BF75" s="23">
        <f>VALUE(0)</f>
        <v>0</v>
      </c>
      <c r="BG75" s="23">
        <f>VALUE(0)</f>
        <v>0</v>
      </c>
      <c r="BH75" s="23">
        <f>VALUE(0)</f>
        <v>0</v>
      </c>
      <c r="BI75" s="23">
        <f>VALUE(0)</f>
        <v>0</v>
      </c>
      <c r="BJ75" s="23">
        <f>VALUE(0)</f>
        <v>0</v>
      </c>
      <c r="BK75" s="12">
        <f>$AX$75*24</f>
        <v>5.583333333333333</v>
      </c>
      <c r="BL75" s="12">
        <f>$AY$75*24</f>
        <v>4.4000000000000004</v>
      </c>
      <c r="BM75" s="12">
        <f>$BJ$75*24</f>
        <v>0</v>
      </c>
      <c r="BN75" s="12">
        <f>VALUE($I$75)/100</f>
        <v>1</v>
      </c>
      <c r="BO75" s="12">
        <v>0</v>
      </c>
      <c r="BP75" s="12">
        <v>0</v>
      </c>
      <c r="BQ75" s="12">
        <v>0</v>
      </c>
      <c r="BR75" s="12">
        <v>0</v>
      </c>
      <c r="BS75" s="12">
        <v>0</v>
      </c>
      <c r="BT75" s="12">
        <v>0</v>
      </c>
      <c r="BU75" s="12">
        <v>0</v>
      </c>
      <c r="BV75" s="12">
        <v>0</v>
      </c>
      <c r="BW75" s="12">
        <v>0</v>
      </c>
      <c r="BX75" s="12">
        <v>0</v>
      </c>
      <c r="BY75" s="12">
        <v>0</v>
      </c>
      <c r="BZ75" s="12">
        <v>0</v>
      </c>
      <c r="CA75" s="12">
        <v>0</v>
      </c>
    </row>
    <row r="76" spans="1:79" x14ac:dyDescent="0.2">
      <c r="A76" s="12" t="s">
        <v>102</v>
      </c>
      <c r="B76" s="12" t="s">
        <v>110</v>
      </c>
      <c r="C76" s="12" t="s">
        <v>110</v>
      </c>
      <c r="D76" s="22" t="s">
        <v>291</v>
      </c>
      <c r="E76" s="22" t="s">
        <v>161</v>
      </c>
      <c r="F76" s="22" t="s">
        <v>709</v>
      </c>
      <c r="G76" s="22" t="s">
        <v>710</v>
      </c>
      <c r="H76" s="22" t="s">
        <v>150</v>
      </c>
      <c r="I76" s="22" t="s">
        <v>151</v>
      </c>
      <c r="J76" s="22" t="s">
        <v>162</v>
      </c>
      <c r="K76" s="22" t="s">
        <v>71</v>
      </c>
      <c r="L76" s="54" t="s">
        <v>153</v>
      </c>
      <c r="M76" s="23" t="s">
        <v>153</v>
      </c>
      <c r="N76" s="24" t="s">
        <v>153</v>
      </c>
      <c r="O76" s="23" t="s">
        <v>153</v>
      </c>
      <c r="P76" s="23" t="s">
        <v>153</v>
      </c>
      <c r="Q76" s="23" t="s">
        <v>153</v>
      </c>
      <c r="R76" s="29" t="s">
        <v>29</v>
      </c>
      <c r="S76" s="29" t="s">
        <v>29</v>
      </c>
      <c r="T76" s="23" t="s">
        <v>153</v>
      </c>
      <c r="U76" s="24" t="s">
        <v>153</v>
      </c>
      <c r="V76" s="54" t="s">
        <v>153</v>
      </c>
      <c r="W76" s="23" t="s">
        <v>153</v>
      </c>
      <c r="X76" s="23" t="s">
        <v>153</v>
      </c>
      <c r="Y76" s="29" t="s">
        <v>29</v>
      </c>
      <c r="Z76" s="29" t="s">
        <v>29</v>
      </c>
      <c r="AA76" s="23" t="s">
        <v>153</v>
      </c>
      <c r="AB76" s="24" t="s">
        <v>153</v>
      </c>
      <c r="AC76" s="23" t="s">
        <v>153</v>
      </c>
      <c r="AD76" s="23" t="s">
        <v>153</v>
      </c>
      <c r="AE76" s="23" t="s">
        <v>153</v>
      </c>
      <c r="AF76" s="24" t="s">
        <v>156</v>
      </c>
      <c r="AG76" s="24" t="s">
        <v>156</v>
      </c>
      <c r="AH76" s="24" t="s">
        <v>156</v>
      </c>
      <c r="AI76" s="24" t="s">
        <v>153</v>
      </c>
      <c r="AJ76" s="28" t="s">
        <v>163</v>
      </c>
      <c r="AK76" s="28" t="s">
        <v>163</v>
      </c>
      <c r="AL76" s="28" t="s">
        <v>163</v>
      </c>
      <c r="AM76" s="28" t="s">
        <v>163</v>
      </c>
      <c r="AN76" s="28" t="s">
        <v>163</v>
      </c>
      <c r="AO76" s="28" t="s">
        <v>163</v>
      </c>
      <c r="AP76" s="23">
        <f>VALUE(32)</f>
        <v>32</v>
      </c>
      <c r="AQ76" s="23">
        <f>VALUE(0)</f>
        <v>0</v>
      </c>
      <c r="AR76" s="23">
        <f>VALUE(4)</f>
        <v>4</v>
      </c>
      <c r="AS76" s="23">
        <f>VALUE(0)</f>
        <v>0</v>
      </c>
      <c r="AT76" s="23">
        <f>VALUE(0)</f>
        <v>0</v>
      </c>
      <c r="AU76" s="23">
        <f>VALUE(6)</f>
        <v>6</v>
      </c>
      <c r="AV76" s="23">
        <f>VALUE(6)</f>
        <v>6</v>
      </c>
      <c r="AW76" s="23">
        <f>VALUE(0)</f>
        <v>0</v>
      </c>
      <c r="AX76" s="23" t="s">
        <v>292</v>
      </c>
      <c r="AY76" s="23" t="s">
        <v>176</v>
      </c>
      <c r="AZ76" s="23">
        <f>VALUE(0)</f>
        <v>0</v>
      </c>
      <c r="BA76" s="23">
        <f>VALUE(0)</f>
        <v>0</v>
      </c>
      <c r="BB76" s="23">
        <f>VALUE(0)</f>
        <v>0</v>
      </c>
      <c r="BC76" s="23">
        <f>VALUE(0)</f>
        <v>0</v>
      </c>
      <c r="BD76" s="23">
        <f>VALUE(0)</f>
        <v>0</v>
      </c>
      <c r="BE76" s="23">
        <f>VALUE(0)</f>
        <v>0</v>
      </c>
      <c r="BF76" s="23">
        <f>VALUE(0)</f>
        <v>0</v>
      </c>
      <c r="BG76" s="23">
        <f>VALUE(0)</f>
        <v>0</v>
      </c>
      <c r="BH76" s="23">
        <f>VALUE(0)</f>
        <v>0</v>
      </c>
      <c r="BI76" s="23">
        <f>VALUE(0)</f>
        <v>0</v>
      </c>
      <c r="BJ76" s="23">
        <f>VALUE(0)</f>
        <v>0</v>
      </c>
      <c r="BK76" s="12">
        <f>$AX$76*24</f>
        <v>3.6499999999999995</v>
      </c>
      <c r="BL76" s="12">
        <f>$AY$76*24</f>
        <v>0</v>
      </c>
      <c r="BM76" s="12">
        <f>$BJ$76*24</f>
        <v>0</v>
      </c>
      <c r="BN76" s="12">
        <f>VALUE($I$76)/100</f>
        <v>1</v>
      </c>
      <c r="BO76" s="12">
        <v>0</v>
      </c>
      <c r="BP76" s="12">
        <v>0</v>
      </c>
      <c r="BQ76" s="12">
        <v>0</v>
      </c>
      <c r="BR76" s="12">
        <v>0</v>
      </c>
      <c r="BS76" s="12">
        <v>0</v>
      </c>
      <c r="BT76" s="12">
        <v>0</v>
      </c>
      <c r="BU76" s="12">
        <v>0</v>
      </c>
      <c r="BV76" s="12">
        <v>0</v>
      </c>
      <c r="BW76" s="12">
        <v>0</v>
      </c>
      <c r="BX76" s="12">
        <v>0</v>
      </c>
      <c r="BY76" s="12">
        <v>0</v>
      </c>
      <c r="BZ76" s="12">
        <v>0</v>
      </c>
      <c r="CA76" s="12">
        <v>0</v>
      </c>
    </row>
    <row r="77" spans="1:79" x14ac:dyDescent="0.2">
      <c r="A77" s="12" t="s">
        <v>102</v>
      </c>
      <c r="B77" s="12" t="s">
        <v>110</v>
      </c>
      <c r="C77" s="12" t="s">
        <v>110</v>
      </c>
      <c r="D77" s="22" t="s">
        <v>293</v>
      </c>
      <c r="E77" s="22" t="s">
        <v>161</v>
      </c>
      <c r="F77" s="22" t="s">
        <v>711</v>
      </c>
      <c r="G77" s="22" t="s">
        <v>712</v>
      </c>
      <c r="H77" s="22" t="s">
        <v>150</v>
      </c>
      <c r="I77" s="22" t="s">
        <v>151</v>
      </c>
      <c r="J77" s="22" t="s">
        <v>162</v>
      </c>
      <c r="K77" s="22" t="s">
        <v>71</v>
      </c>
      <c r="L77" s="54" t="s">
        <v>153</v>
      </c>
      <c r="M77" s="24" t="s">
        <v>156</v>
      </c>
      <c r="N77" s="24" t="s">
        <v>153</v>
      </c>
      <c r="O77" s="24" t="s">
        <v>156</v>
      </c>
      <c r="P77" s="24" t="s">
        <v>156</v>
      </c>
      <c r="Q77" s="24" t="s">
        <v>156</v>
      </c>
      <c r="R77" s="28" t="s">
        <v>163</v>
      </c>
      <c r="S77" s="28" t="s">
        <v>163</v>
      </c>
      <c r="T77" s="28" t="s">
        <v>163</v>
      </c>
      <c r="U77" s="24" t="s">
        <v>153</v>
      </c>
      <c r="V77" s="54" t="s">
        <v>153</v>
      </c>
      <c r="W77" s="28" t="s">
        <v>163</v>
      </c>
      <c r="X77" s="28" t="s">
        <v>163</v>
      </c>
      <c r="Y77" s="28" t="s">
        <v>163</v>
      </c>
      <c r="Z77" s="28" t="s">
        <v>163</v>
      </c>
      <c r="AA77" s="28" t="s">
        <v>163</v>
      </c>
      <c r="AB77" s="24" t="s">
        <v>153</v>
      </c>
      <c r="AC77" s="23" t="s">
        <v>153</v>
      </c>
      <c r="AD77" s="23" t="s">
        <v>153</v>
      </c>
      <c r="AE77" s="23" t="s">
        <v>153</v>
      </c>
      <c r="AF77" s="23" t="s">
        <v>153</v>
      </c>
      <c r="AG77" s="23" t="s">
        <v>153</v>
      </c>
      <c r="AH77" s="23" t="s">
        <v>153</v>
      </c>
      <c r="AI77" s="24" t="s">
        <v>153</v>
      </c>
      <c r="AJ77" s="23" t="s">
        <v>153</v>
      </c>
      <c r="AK77" s="23" t="s">
        <v>153</v>
      </c>
      <c r="AL77" s="23" t="s">
        <v>153</v>
      </c>
      <c r="AM77" s="23" t="s">
        <v>153</v>
      </c>
      <c r="AN77" s="23" t="s">
        <v>153</v>
      </c>
      <c r="AO77" s="23" t="s">
        <v>153</v>
      </c>
      <c r="AP77" s="23">
        <f>VALUE(49)</f>
        <v>49</v>
      </c>
      <c r="AQ77" s="23">
        <f>VALUE(0)</f>
        <v>0</v>
      </c>
      <c r="AR77" s="23">
        <f>VALUE(0)</f>
        <v>0</v>
      </c>
      <c r="AS77" s="23">
        <f>VALUE(0)</f>
        <v>0</v>
      </c>
      <c r="AT77" s="23">
        <f>VALUE(0)</f>
        <v>0</v>
      </c>
      <c r="AU77" s="23">
        <f>VALUE(8)</f>
        <v>8</v>
      </c>
      <c r="AV77" s="23">
        <f>VALUE(7)</f>
        <v>7</v>
      </c>
      <c r="AW77" s="23">
        <f>VALUE(0)</f>
        <v>0</v>
      </c>
      <c r="AX77" s="23" t="s">
        <v>294</v>
      </c>
      <c r="AY77" s="23" t="s">
        <v>295</v>
      </c>
      <c r="AZ77" s="23">
        <f>VALUE(0)</f>
        <v>0</v>
      </c>
      <c r="BA77" s="23">
        <f>VALUE(0)</f>
        <v>0</v>
      </c>
      <c r="BB77" s="23">
        <f>VALUE(0)</f>
        <v>0</v>
      </c>
      <c r="BC77" s="23">
        <f>VALUE(0)</f>
        <v>0</v>
      </c>
      <c r="BD77" s="23">
        <f>VALUE(0)</f>
        <v>0</v>
      </c>
      <c r="BE77" s="23">
        <f>VALUE(0)</f>
        <v>0</v>
      </c>
      <c r="BF77" s="23">
        <f>VALUE(0)</f>
        <v>0</v>
      </c>
      <c r="BG77" s="23">
        <f>VALUE(0)</f>
        <v>0</v>
      </c>
      <c r="BH77" s="23">
        <f>VALUE(0)</f>
        <v>0</v>
      </c>
      <c r="BI77" s="23">
        <f>VALUE(0)</f>
        <v>0</v>
      </c>
      <c r="BJ77" s="23">
        <f>VALUE(0)</f>
        <v>0</v>
      </c>
      <c r="BK77" s="12">
        <f>$AX$77*24</f>
        <v>2.1666666666666665</v>
      </c>
      <c r="BL77" s="12">
        <f>$AY$77*24</f>
        <v>0.73333333333333328</v>
      </c>
      <c r="BM77" s="12">
        <f>$BJ$77*24</f>
        <v>0</v>
      </c>
      <c r="BN77" s="12">
        <f>VALUE($I$77)/100</f>
        <v>1</v>
      </c>
      <c r="BO77" s="12">
        <v>0</v>
      </c>
      <c r="BP77" s="12">
        <v>0</v>
      </c>
      <c r="BQ77" s="12">
        <v>0</v>
      </c>
      <c r="BR77" s="12">
        <v>0</v>
      </c>
      <c r="BS77" s="12">
        <v>0</v>
      </c>
      <c r="BT77" s="12">
        <v>0</v>
      </c>
      <c r="BU77" s="12">
        <v>0</v>
      </c>
      <c r="BV77" s="12">
        <v>0</v>
      </c>
      <c r="BW77" s="12">
        <v>0</v>
      </c>
      <c r="BX77" s="12">
        <v>0</v>
      </c>
      <c r="BY77" s="12">
        <v>0</v>
      </c>
      <c r="BZ77" s="12">
        <v>0</v>
      </c>
      <c r="CA77" s="12">
        <v>0</v>
      </c>
    </row>
    <row r="78" spans="1:79" x14ac:dyDescent="0.2">
      <c r="A78" s="12" t="s">
        <v>102</v>
      </c>
      <c r="B78" s="12" t="s">
        <v>110</v>
      </c>
      <c r="C78" s="12" t="s">
        <v>110</v>
      </c>
      <c r="D78" s="22" t="s">
        <v>288</v>
      </c>
      <c r="E78" s="22" t="s">
        <v>161</v>
      </c>
      <c r="F78" s="22" t="s">
        <v>713</v>
      </c>
      <c r="G78" s="22" t="s">
        <v>714</v>
      </c>
      <c r="H78" s="22" t="s">
        <v>166</v>
      </c>
      <c r="I78" s="22" t="s">
        <v>151</v>
      </c>
      <c r="J78" s="22" t="s">
        <v>162</v>
      </c>
      <c r="K78" s="22" t="s">
        <v>71</v>
      </c>
      <c r="L78" s="54" t="s">
        <v>153</v>
      </c>
      <c r="M78" s="28" t="s">
        <v>163</v>
      </c>
      <c r="N78" s="24" t="s">
        <v>153</v>
      </c>
      <c r="O78" s="23" t="s">
        <v>153</v>
      </c>
      <c r="P78" s="23" t="s">
        <v>153</v>
      </c>
      <c r="Q78" s="23" t="s">
        <v>153</v>
      </c>
      <c r="R78" s="23" t="s">
        <v>153</v>
      </c>
      <c r="S78" s="23" t="s">
        <v>153</v>
      </c>
      <c r="T78" s="23" t="s">
        <v>153</v>
      </c>
      <c r="U78" s="24" t="s">
        <v>153</v>
      </c>
      <c r="V78" s="54" t="s">
        <v>153</v>
      </c>
      <c r="W78" s="23" t="s">
        <v>153</v>
      </c>
      <c r="X78" s="23" t="s">
        <v>153</v>
      </c>
      <c r="Y78" s="23" t="s">
        <v>153</v>
      </c>
      <c r="Z78" s="23" t="s">
        <v>153</v>
      </c>
      <c r="AA78" s="23" t="s">
        <v>153</v>
      </c>
      <c r="AB78" s="24" t="s">
        <v>153</v>
      </c>
      <c r="AC78" s="23" t="s">
        <v>153</v>
      </c>
      <c r="AD78" s="23" t="s">
        <v>153</v>
      </c>
      <c r="AE78" s="23" t="s">
        <v>153</v>
      </c>
      <c r="AF78" s="23" t="s">
        <v>153</v>
      </c>
      <c r="AG78" s="23" t="s">
        <v>153</v>
      </c>
      <c r="AH78" s="23" t="s">
        <v>153</v>
      </c>
      <c r="AI78" s="24" t="s">
        <v>153</v>
      </c>
      <c r="AJ78" s="23" t="s">
        <v>153</v>
      </c>
      <c r="AK78" s="23" t="s">
        <v>153</v>
      </c>
      <c r="AL78" s="23" t="s">
        <v>153</v>
      </c>
      <c r="AM78" s="24" t="s">
        <v>156</v>
      </c>
      <c r="AN78" s="24" t="s">
        <v>156</v>
      </c>
      <c r="AO78" s="24" t="s">
        <v>156</v>
      </c>
      <c r="AP78" s="23">
        <f>VALUE(46)</f>
        <v>46</v>
      </c>
      <c r="AQ78" s="23">
        <f>VALUE(0)</f>
        <v>0</v>
      </c>
      <c r="AR78" s="23">
        <f>VALUE(0)</f>
        <v>0</v>
      </c>
      <c r="AS78" s="23">
        <f>VALUE(0)</f>
        <v>0</v>
      </c>
      <c r="AT78" s="23">
        <f>VALUE(0)</f>
        <v>0</v>
      </c>
      <c r="AU78" s="23">
        <f>VALUE(1)</f>
        <v>1</v>
      </c>
      <c r="AV78" s="23">
        <f>VALUE(6)</f>
        <v>6</v>
      </c>
      <c r="AW78" s="23">
        <f>VALUE(0)</f>
        <v>0</v>
      </c>
      <c r="AX78" s="23" t="s">
        <v>1192</v>
      </c>
      <c r="AY78" s="23">
        <f>VALUE(0)</f>
        <v>0</v>
      </c>
      <c r="AZ78" s="23">
        <f>VALUE(0)</f>
        <v>0</v>
      </c>
      <c r="BA78" s="23">
        <f>VALUE(0)</f>
        <v>0</v>
      </c>
      <c r="BB78" s="23">
        <f>VALUE(0)</f>
        <v>0</v>
      </c>
      <c r="BC78" s="23">
        <f>VALUE(0)</f>
        <v>0</v>
      </c>
      <c r="BD78" s="23">
        <f>VALUE(0)</f>
        <v>0</v>
      </c>
      <c r="BE78" s="23">
        <f>VALUE(0)</f>
        <v>0</v>
      </c>
      <c r="BF78" s="23">
        <f>VALUE(0)</f>
        <v>0</v>
      </c>
      <c r="BG78" s="23">
        <f>VALUE(0)</f>
        <v>0</v>
      </c>
      <c r="BH78" s="23">
        <f>VALUE(0)</f>
        <v>0</v>
      </c>
      <c r="BI78" s="23">
        <f>VALUE(0)</f>
        <v>0</v>
      </c>
      <c r="BJ78" s="23">
        <f>VALUE(0)</f>
        <v>0</v>
      </c>
      <c r="BK78" s="12">
        <f>$AX$78*24</f>
        <v>61.45</v>
      </c>
      <c r="BL78" s="12">
        <f>$AY$78*24</f>
        <v>0</v>
      </c>
      <c r="BM78" s="12">
        <f>$BJ$78*24</f>
        <v>0</v>
      </c>
      <c r="BN78" s="12">
        <f>VALUE($I$78)/100</f>
        <v>1</v>
      </c>
      <c r="BO78" s="12">
        <v>0</v>
      </c>
      <c r="BP78" s="12">
        <v>0</v>
      </c>
      <c r="BQ78" s="12">
        <v>0</v>
      </c>
      <c r="BR78" s="12">
        <v>0</v>
      </c>
      <c r="BS78" s="12">
        <v>0</v>
      </c>
      <c r="BT78" s="12">
        <v>0</v>
      </c>
      <c r="BU78" s="12">
        <v>0</v>
      </c>
      <c r="BV78" s="12">
        <v>0</v>
      </c>
      <c r="BW78" s="12">
        <v>0</v>
      </c>
      <c r="BX78" s="12">
        <v>0</v>
      </c>
      <c r="BY78" s="12">
        <v>0</v>
      </c>
      <c r="BZ78" s="12">
        <v>0</v>
      </c>
      <c r="CA78" s="12">
        <v>0</v>
      </c>
    </row>
    <row r="79" spans="1:79" x14ac:dyDescent="0.2">
      <c r="A79" s="12" t="s">
        <v>102</v>
      </c>
      <c r="B79" s="12" t="s">
        <v>110</v>
      </c>
      <c r="C79" s="12" t="s">
        <v>110</v>
      </c>
      <c r="D79" s="22" t="s">
        <v>296</v>
      </c>
      <c r="E79" s="22" t="s">
        <v>161</v>
      </c>
      <c r="F79" s="22" t="s">
        <v>715</v>
      </c>
      <c r="G79" s="22" t="s">
        <v>716</v>
      </c>
      <c r="H79" s="22" t="s">
        <v>150</v>
      </c>
      <c r="I79" s="22" t="s">
        <v>151</v>
      </c>
      <c r="J79" s="22" t="s">
        <v>162</v>
      </c>
      <c r="K79" s="22" t="s">
        <v>71</v>
      </c>
      <c r="L79" s="54" t="s">
        <v>153</v>
      </c>
      <c r="M79" s="23" t="s">
        <v>153</v>
      </c>
      <c r="N79" s="24" t="s">
        <v>153</v>
      </c>
      <c r="O79" s="23" t="s">
        <v>153</v>
      </c>
      <c r="P79" s="23" t="s">
        <v>153</v>
      </c>
      <c r="Q79" s="23" t="s">
        <v>153</v>
      </c>
      <c r="R79" s="23" t="s">
        <v>153</v>
      </c>
      <c r="S79" s="23" t="s">
        <v>153</v>
      </c>
      <c r="T79" s="23" t="s">
        <v>153</v>
      </c>
      <c r="U79" s="24" t="s">
        <v>153</v>
      </c>
      <c r="V79" s="54" t="s">
        <v>153</v>
      </c>
      <c r="W79" s="23" t="s">
        <v>153</v>
      </c>
      <c r="X79" s="23" t="s">
        <v>153</v>
      </c>
      <c r="Y79" s="24" t="s">
        <v>156</v>
      </c>
      <c r="Z79" s="24" t="s">
        <v>156</v>
      </c>
      <c r="AA79" s="24" t="s">
        <v>156</v>
      </c>
      <c r="AB79" s="24" t="s">
        <v>153</v>
      </c>
      <c r="AC79" s="28" t="s">
        <v>163</v>
      </c>
      <c r="AD79" s="28" t="s">
        <v>163</v>
      </c>
      <c r="AE79" s="28" t="s">
        <v>163</v>
      </c>
      <c r="AF79" s="23" t="s">
        <v>153</v>
      </c>
      <c r="AG79" s="23" t="s">
        <v>153</v>
      </c>
      <c r="AH79" s="23" t="s">
        <v>153</v>
      </c>
      <c r="AI79" s="24" t="s">
        <v>153</v>
      </c>
      <c r="AJ79" s="23" t="s">
        <v>153</v>
      </c>
      <c r="AK79" s="23" t="s">
        <v>153</v>
      </c>
      <c r="AL79" s="23" t="s">
        <v>153</v>
      </c>
      <c r="AM79" s="23" t="s">
        <v>153</v>
      </c>
      <c r="AN79" s="23" t="s">
        <v>153</v>
      </c>
      <c r="AO79" s="23" t="s">
        <v>153</v>
      </c>
      <c r="AP79" s="23">
        <f>VALUE(54)</f>
        <v>54</v>
      </c>
      <c r="AQ79" s="23">
        <f>VALUE(0)</f>
        <v>0</v>
      </c>
      <c r="AR79" s="23">
        <f>VALUE(0)</f>
        <v>0</v>
      </c>
      <c r="AS79" s="23">
        <f>VALUE(0)</f>
        <v>0</v>
      </c>
      <c r="AT79" s="23">
        <f>VALUE(0)</f>
        <v>0</v>
      </c>
      <c r="AU79" s="23">
        <f>VALUE(3)</f>
        <v>3</v>
      </c>
      <c r="AV79" s="23">
        <f>VALUE(13)</f>
        <v>13</v>
      </c>
      <c r="AW79" s="23">
        <f>VALUE(0)</f>
        <v>0</v>
      </c>
      <c r="AX79" s="23" t="s">
        <v>158</v>
      </c>
      <c r="AY79" s="23" t="s">
        <v>297</v>
      </c>
      <c r="AZ79" s="23">
        <f>VALUE(0)</f>
        <v>0</v>
      </c>
      <c r="BA79" s="23">
        <f>VALUE(0)</f>
        <v>0</v>
      </c>
      <c r="BB79" s="23">
        <f>VALUE(0)</f>
        <v>0</v>
      </c>
      <c r="BC79" s="23">
        <f>VALUE(0)</f>
        <v>0</v>
      </c>
      <c r="BD79" s="23">
        <f>VALUE(0)</f>
        <v>0</v>
      </c>
      <c r="BE79" s="23">
        <f>VALUE(0)</f>
        <v>0</v>
      </c>
      <c r="BF79" s="23">
        <f>VALUE(0)</f>
        <v>0</v>
      </c>
      <c r="BG79" s="23">
        <f>VALUE(0)</f>
        <v>0</v>
      </c>
      <c r="BH79" s="23">
        <f>VALUE(0)</f>
        <v>0</v>
      </c>
      <c r="BI79" s="23">
        <f>VALUE(0)</f>
        <v>0</v>
      </c>
      <c r="BJ79" s="23">
        <f>VALUE(0)</f>
        <v>0</v>
      </c>
      <c r="BK79" s="12">
        <f>$AX$79*24</f>
        <v>11.666666666666666</v>
      </c>
      <c r="BL79" s="12">
        <f>$AY$79*24</f>
        <v>2.4500000000000002</v>
      </c>
      <c r="BM79" s="12">
        <f>$BJ$79*24</f>
        <v>0</v>
      </c>
      <c r="BN79" s="12">
        <f>VALUE($I$79)/100</f>
        <v>1</v>
      </c>
      <c r="BO79" s="12">
        <v>0</v>
      </c>
      <c r="BP79" s="12">
        <v>0</v>
      </c>
      <c r="BQ79" s="12">
        <v>0</v>
      </c>
      <c r="BR79" s="12">
        <v>0</v>
      </c>
      <c r="BS79" s="12">
        <v>0</v>
      </c>
      <c r="BT79" s="12">
        <v>0</v>
      </c>
      <c r="BU79" s="12">
        <v>0</v>
      </c>
      <c r="BV79" s="12">
        <v>0</v>
      </c>
      <c r="BW79" s="12">
        <v>0</v>
      </c>
      <c r="BX79" s="12">
        <v>0</v>
      </c>
      <c r="BY79" s="12">
        <v>0</v>
      </c>
      <c r="BZ79" s="12">
        <v>0</v>
      </c>
      <c r="CA79" s="12">
        <v>0</v>
      </c>
    </row>
    <row r="80" spans="1:79" x14ac:dyDescent="0.2">
      <c r="A80" s="12" t="s">
        <v>102</v>
      </c>
      <c r="B80" s="12" t="s">
        <v>110</v>
      </c>
      <c r="C80" s="12" t="s">
        <v>110</v>
      </c>
      <c r="D80" s="22" t="s">
        <v>298</v>
      </c>
      <c r="E80" s="22" t="s">
        <v>161</v>
      </c>
      <c r="F80" s="22" t="s">
        <v>717</v>
      </c>
      <c r="G80" s="22" t="s">
        <v>718</v>
      </c>
      <c r="H80" s="22" t="s">
        <v>150</v>
      </c>
      <c r="I80" s="22" t="s">
        <v>151</v>
      </c>
      <c r="J80" s="22" t="s">
        <v>162</v>
      </c>
      <c r="K80" s="22" t="s">
        <v>71</v>
      </c>
      <c r="L80" s="54" t="s">
        <v>153</v>
      </c>
      <c r="M80" s="23" t="s">
        <v>153</v>
      </c>
      <c r="N80" s="24" t="s">
        <v>153</v>
      </c>
      <c r="O80" s="23" t="s">
        <v>153</v>
      </c>
      <c r="P80" s="23" t="s">
        <v>153</v>
      </c>
      <c r="Q80" s="23" t="s">
        <v>153</v>
      </c>
      <c r="R80" s="23" t="s">
        <v>153</v>
      </c>
      <c r="S80" s="23" t="s">
        <v>153</v>
      </c>
      <c r="T80" s="23" t="s">
        <v>153</v>
      </c>
      <c r="U80" s="24" t="s">
        <v>153</v>
      </c>
      <c r="V80" s="54" t="s">
        <v>156</v>
      </c>
      <c r="W80" s="24" t="s">
        <v>156</v>
      </c>
      <c r="X80" s="24" t="s">
        <v>156</v>
      </c>
      <c r="Y80" s="23" t="s">
        <v>153</v>
      </c>
      <c r="Z80" s="23" t="s">
        <v>153</v>
      </c>
      <c r="AA80" s="23" t="s">
        <v>153</v>
      </c>
      <c r="AB80" s="24" t="s">
        <v>153</v>
      </c>
      <c r="AC80" s="23" t="s">
        <v>153</v>
      </c>
      <c r="AD80" s="23" t="s">
        <v>153</v>
      </c>
      <c r="AE80" s="23" t="s">
        <v>153</v>
      </c>
      <c r="AF80" s="23" t="s">
        <v>153</v>
      </c>
      <c r="AG80" s="23" t="s">
        <v>153</v>
      </c>
      <c r="AH80" s="23" t="s">
        <v>153</v>
      </c>
      <c r="AI80" s="24" t="s">
        <v>153</v>
      </c>
      <c r="AJ80" s="23" t="s">
        <v>153</v>
      </c>
      <c r="AK80" s="23" t="s">
        <v>153</v>
      </c>
      <c r="AL80" s="23" t="s">
        <v>153</v>
      </c>
      <c r="AM80" s="23" t="s">
        <v>153</v>
      </c>
      <c r="AN80" s="23" t="s">
        <v>153</v>
      </c>
      <c r="AO80" s="23" t="s">
        <v>153</v>
      </c>
      <c r="AP80" s="23">
        <f>VALUE(59)</f>
        <v>59</v>
      </c>
      <c r="AQ80" s="23">
        <f>VALUE(0)</f>
        <v>0</v>
      </c>
      <c r="AR80" s="23">
        <f>VALUE(0)</f>
        <v>0</v>
      </c>
      <c r="AS80" s="23">
        <f>VALUE(0)</f>
        <v>0</v>
      </c>
      <c r="AT80" s="23">
        <f>VALUE(0)</f>
        <v>0</v>
      </c>
      <c r="AU80" s="23">
        <f>VALUE(0)</f>
        <v>0</v>
      </c>
      <c r="AV80" s="23">
        <f>VALUE(6)</f>
        <v>6</v>
      </c>
      <c r="AW80" s="23">
        <f>VALUE(0)</f>
        <v>0</v>
      </c>
      <c r="AX80" s="23">
        <f>VALUE(0)</f>
        <v>0</v>
      </c>
      <c r="AY80" s="23">
        <f>VALUE(0)</f>
        <v>0</v>
      </c>
      <c r="AZ80" s="23">
        <f>VALUE(0)</f>
        <v>0</v>
      </c>
      <c r="BA80" s="23">
        <f>VALUE(0)</f>
        <v>0</v>
      </c>
      <c r="BB80" s="23">
        <f>VALUE(0)</f>
        <v>0</v>
      </c>
      <c r="BC80" s="23">
        <f>VALUE(0)</f>
        <v>0</v>
      </c>
      <c r="BD80" s="23">
        <f>VALUE(0)</f>
        <v>0</v>
      </c>
      <c r="BE80" s="23">
        <f>VALUE(0)</f>
        <v>0</v>
      </c>
      <c r="BF80" s="23">
        <f>VALUE(0)</f>
        <v>0</v>
      </c>
      <c r="BG80" s="23">
        <f>VALUE(0)</f>
        <v>0</v>
      </c>
      <c r="BH80" s="23">
        <f>VALUE(0)</f>
        <v>0</v>
      </c>
      <c r="BI80" s="23">
        <f>VALUE(0)</f>
        <v>0</v>
      </c>
      <c r="BJ80" s="23">
        <f>VALUE(0)</f>
        <v>0</v>
      </c>
      <c r="BK80" s="12">
        <f>$AX$80*24</f>
        <v>0</v>
      </c>
      <c r="BL80" s="12">
        <f>$AY$80*24</f>
        <v>0</v>
      </c>
      <c r="BM80" s="12">
        <f>$BJ$80*24</f>
        <v>0</v>
      </c>
      <c r="BN80" s="12">
        <f>VALUE($I$80)/100</f>
        <v>1</v>
      </c>
      <c r="BO80" s="12">
        <v>0</v>
      </c>
      <c r="BP80" s="12">
        <v>0</v>
      </c>
      <c r="BQ80" s="12">
        <v>0</v>
      </c>
      <c r="BR80" s="12">
        <v>0</v>
      </c>
      <c r="BS80" s="12">
        <v>0</v>
      </c>
      <c r="BT80" s="12">
        <v>0</v>
      </c>
      <c r="BU80" s="12">
        <v>0</v>
      </c>
      <c r="BV80" s="12">
        <v>0</v>
      </c>
      <c r="BW80" s="12">
        <v>0</v>
      </c>
      <c r="BX80" s="12">
        <v>0</v>
      </c>
      <c r="BY80" s="12">
        <v>0</v>
      </c>
      <c r="BZ80" s="12">
        <v>0</v>
      </c>
      <c r="CA80" s="12">
        <v>0</v>
      </c>
    </row>
    <row r="81" spans="1:79" x14ac:dyDescent="0.2">
      <c r="A81" s="12" t="s">
        <v>102</v>
      </c>
      <c r="B81" s="12" t="s">
        <v>110</v>
      </c>
      <c r="C81" s="12" t="s">
        <v>110</v>
      </c>
      <c r="D81" s="22" t="s">
        <v>287</v>
      </c>
      <c r="E81" s="22" t="s">
        <v>161</v>
      </c>
      <c r="F81" s="22" t="s">
        <v>719</v>
      </c>
      <c r="G81" s="22" t="s">
        <v>720</v>
      </c>
      <c r="H81" s="22" t="s">
        <v>150</v>
      </c>
      <c r="I81" s="22" t="s">
        <v>151</v>
      </c>
      <c r="J81" s="22" t="s">
        <v>162</v>
      </c>
      <c r="K81" s="22" t="s">
        <v>71</v>
      </c>
      <c r="L81" s="54" t="s">
        <v>156</v>
      </c>
      <c r="M81" s="24" t="s">
        <v>156</v>
      </c>
      <c r="N81" s="24" t="s">
        <v>153</v>
      </c>
      <c r="O81" s="28" t="s">
        <v>163</v>
      </c>
      <c r="P81" s="28" t="s">
        <v>163</v>
      </c>
      <c r="Q81" s="28" t="s">
        <v>163</v>
      </c>
      <c r="R81" s="23" t="s">
        <v>153</v>
      </c>
      <c r="S81" s="23" t="s">
        <v>153</v>
      </c>
      <c r="T81" s="23" t="s">
        <v>153</v>
      </c>
      <c r="U81" s="24" t="s">
        <v>153</v>
      </c>
      <c r="V81" s="54" t="s">
        <v>153</v>
      </c>
      <c r="W81" s="23" t="s">
        <v>153</v>
      </c>
      <c r="X81" s="23" t="s">
        <v>153</v>
      </c>
      <c r="Y81" s="23" t="s">
        <v>153</v>
      </c>
      <c r="Z81" s="23" t="s">
        <v>153</v>
      </c>
      <c r="AA81" s="23" t="s">
        <v>153</v>
      </c>
      <c r="AB81" s="24" t="s">
        <v>153</v>
      </c>
      <c r="AC81" s="23" t="s">
        <v>153</v>
      </c>
      <c r="AD81" s="23" t="s">
        <v>153</v>
      </c>
      <c r="AE81" s="23" t="s">
        <v>153</v>
      </c>
      <c r="AF81" s="23" t="s">
        <v>153</v>
      </c>
      <c r="AG81" s="23" t="s">
        <v>153</v>
      </c>
      <c r="AH81" s="23" t="s">
        <v>153</v>
      </c>
      <c r="AI81" s="24" t="s">
        <v>153</v>
      </c>
      <c r="AJ81" s="24" t="s">
        <v>156</v>
      </c>
      <c r="AK81" s="24" t="s">
        <v>156</v>
      </c>
      <c r="AL81" s="24" t="s">
        <v>156</v>
      </c>
      <c r="AM81" s="23" t="s">
        <v>153</v>
      </c>
      <c r="AN81" s="23" t="s">
        <v>153</v>
      </c>
      <c r="AO81" s="23" t="s">
        <v>153</v>
      </c>
      <c r="AP81" s="23">
        <f>VALUE(51)</f>
        <v>51</v>
      </c>
      <c r="AQ81" s="23">
        <f>VALUE(0)</f>
        <v>0</v>
      </c>
      <c r="AR81" s="23">
        <f>VALUE(0)</f>
        <v>0</v>
      </c>
      <c r="AS81" s="23">
        <f>VALUE(0)</f>
        <v>0</v>
      </c>
      <c r="AT81" s="23">
        <f>VALUE(0)</f>
        <v>0</v>
      </c>
      <c r="AU81" s="23">
        <f>VALUE(3)</f>
        <v>3</v>
      </c>
      <c r="AV81" s="23">
        <f>VALUE(8)</f>
        <v>8</v>
      </c>
      <c r="AW81" s="23">
        <f>VALUE(0)</f>
        <v>0</v>
      </c>
      <c r="AX81" s="23" t="s">
        <v>1193</v>
      </c>
      <c r="AY81" s="23" t="s">
        <v>299</v>
      </c>
      <c r="AZ81" s="23">
        <f>VALUE(0)</f>
        <v>0</v>
      </c>
      <c r="BA81" s="23">
        <f>VALUE(0)</f>
        <v>0</v>
      </c>
      <c r="BB81" s="23">
        <f>VALUE(0)</f>
        <v>0</v>
      </c>
      <c r="BC81" s="23">
        <f>VALUE(0)</f>
        <v>0</v>
      </c>
      <c r="BD81" s="23">
        <f>VALUE(0)</f>
        <v>0</v>
      </c>
      <c r="BE81" s="23">
        <f>VALUE(0)</f>
        <v>0</v>
      </c>
      <c r="BF81" s="23">
        <f>VALUE(0)</f>
        <v>0</v>
      </c>
      <c r="BG81" s="23">
        <f>VALUE(0)</f>
        <v>0</v>
      </c>
      <c r="BH81" s="23">
        <f>VALUE(0)</f>
        <v>0</v>
      </c>
      <c r="BI81" s="23">
        <f>VALUE(0)</f>
        <v>0</v>
      </c>
      <c r="BJ81" s="23">
        <f>VALUE(0)</f>
        <v>0</v>
      </c>
      <c r="BK81" s="12">
        <f>$AX$81*24</f>
        <v>4.5</v>
      </c>
      <c r="BL81" s="12">
        <f>$AY$81*24</f>
        <v>1.65</v>
      </c>
      <c r="BM81" s="12">
        <f>$BJ$81*24</f>
        <v>0</v>
      </c>
      <c r="BN81" s="12">
        <f>VALUE($I$81)/100</f>
        <v>1</v>
      </c>
      <c r="BO81" s="12">
        <v>0</v>
      </c>
      <c r="BP81" s="12">
        <v>0</v>
      </c>
      <c r="BQ81" s="12">
        <v>0</v>
      </c>
      <c r="BR81" s="12">
        <v>0</v>
      </c>
      <c r="BS81" s="12">
        <v>0</v>
      </c>
      <c r="BT81" s="12">
        <v>0</v>
      </c>
      <c r="BU81" s="12">
        <v>0</v>
      </c>
      <c r="BV81" s="12">
        <v>0</v>
      </c>
      <c r="BW81" s="12">
        <v>0</v>
      </c>
      <c r="BX81" s="12">
        <v>0</v>
      </c>
      <c r="BY81" s="12">
        <v>0</v>
      </c>
      <c r="BZ81" s="12">
        <v>0</v>
      </c>
      <c r="CA81" s="12">
        <v>0</v>
      </c>
    </row>
    <row r="82" spans="1:79" x14ac:dyDescent="0.2">
      <c r="A82" s="12" t="s">
        <v>102</v>
      </c>
      <c r="B82" s="12" t="s">
        <v>110</v>
      </c>
      <c r="C82" s="12" t="s">
        <v>110</v>
      </c>
      <c r="D82" s="22" t="s">
        <v>300</v>
      </c>
      <c r="E82" s="22" t="s">
        <v>161</v>
      </c>
      <c r="F82" s="22" t="s">
        <v>721</v>
      </c>
      <c r="G82" s="22" t="s">
        <v>722</v>
      </c>
      <c r="H82" s="22" t="s">
        <v>150</v>
      </c>
      <c r="I82" s="22" t="s">
        <v>151</v>
      </c>
      <c r="J82" s="22" t="s">
        <v>162</v>
      </c>
      <c r="K82" s="22" t="s">
        <v>71</v>
      </c>
      <c r="L82" s="54" t="s">
        <v>153</v>
      </c>
      <c r="M82" s="23" t="s">
        <v>153</v>
      </c>
      <c r="N82" s="24" t="s">
        <v>153</v>
      </c>
      <c r="O82" s="23" t="s">
        <v>153</v>
      </c>
      <c r="P82" s="23" t="s">
        <v>153</v>
      </c>
      <c r="Q82" s="23" t="s">
        <v>153</v>
      </c>
      <c r="R82" s="23" t="s">
        <v>153</v>
      </c>
      <c r="S82" s="23" t="s">
        <v>153</v>
      </c>
      <c r="T82" s="23" t="s">
        <v>153</v>
      </c>
      <c r="U82" s="24" t="s">
        <v>153</v>
      </c>
      <c r="V82" s="54" t="s">
        <v>153</v>
      </c>
      <c r="W82" s="23" t="s">
        <v>153</v>
      </c>
      <c r="X82" s="23" t="s">
        <v>153</v>
      </c>
      <c r="Y82" s="23" t="s">
        <v>153</v>
      </c>
      <c r="Z82" s="23" t="s">
        <v>153</v>
      </c>
      <c r="AA82" s="23" t="s">
        <v>153</v>
      </c>
      <c r="AB82" s="24" t="s">
        <v>153</v>
      </c>
      <c r="AC82" s="23" t="s">
        <v>153</v>
      </c>
      <c r="AD82" s="23" t="s">
        <v>153</v>
      </c>
      <c r="AE82" s="23" t="s">
        <v>153</v>
      </c>
      <c r="AF82" s="23" t="s">
        <v>153</v>
      </c>
      <c r="AG82" s="23" t="s">
        <v>153</v>
      </c>
      <c r="AH82" s="23" t="s">
        <v>153</v>
      </c>
      <c r="AI82" s="24" t="s">
        <v>153</v>
      </c>
      <c r="AJ82" s="23" t="s">
        <v>153</v>
      </c>
      <c r="AK82" s="23" t="s">
        <v>153</v>
      </c>
      <c r="AL82" s="23" t="s">
        <v>153</v>
      </c>
      <c r="AM82" s="24" t="s">
        <v>156</v>
      </c>
      <c r="AN82" s="24" t="s">
        <v>156</v>
      </c>
      <c r="AO82" s="24" t="s">
        <v>156</v>
      </c>
      <c r="AP82" s="23">
        <f>VALUE(56)</f>
        <v>56</v>
      </c>
      <c r="AQ82" s="23">
        <f>VALUE(0)</f>
        <v>0</v>
      </c>
      <c r="AR82" s="23">
        <f>VALUE(0)</f>
        <v>0</v>
      </c>
      <c r="AS82" s="23">
        <f>VALUE(0)</f>
        <v>0</v>
      </c>
      <c r="AT82" s="23">
        <f>VALUE(0)</f>
        <v>0</v>
      </c>
      <c r="AU82" s="23">
        <f>VALUE(0)</f>
        <v>0</v>
      </c>
      <c r="AV82" s="23">
        <f>VALUE(7)</f>
        <v>7</v>
      </c>
      <c r="AW82" s="23">
        <f>VALUE(0)</f>
        <v>0</v>
      </c>
      <c r="AX82" s="23" t="s">
        <v>1193</v>
      </c>
      <c r="AY82" s="23" t="s">
        <v>301</v>
      </c>
      <c r="AZ82" s="23">
        <f>VALUE(0)</f>
        <v>0</v>
      </c>
      <c r="BA82" s="23">
        <f>VALUE(0)</f>
        <v>0</v>
      </c>
      <c r="BB82" s="23">
        <f>VALUE(0)</f>
        <v>0</v>
      </c>
      <c r="BC82" s="23">
        <f>VALUE(0)</f>
        <v>0</v>
      </c>
      <c r="BD82" s="23">
        <f>VALUE(0)</f>
        <v>0</v>
      </c>
      <c r="BE82" s="23">
        <f>VALUE(0)</f>
        <v>0</v>
      </c>
      <c r="BF82" s="23">
        <f>VALUE(0)</f>
        <v>0</v>
      </c>
      <c r="BG82" s="23">
        <f>VALUE(0)</f>
        <v>0</v>
      </c>
      <c r="BH82" s="23">
        <f>VALUE(0)</f>
        <v>0</v>
      </c>
      <c r="BI82" s="23">
        <f>VALUE(0)</f>
        <v>0</v>
      </c>
      <c r="BJ82" s="23">
        <f>VALUE(0)</f>
        <v>0</v>
      </c>
      <c r="BK82" s="12">
        <f>$AX$82*24</f>
        <v>4.5</v>
      </c>
      <c r="BL82" s="12">
        <f>$AY$82*24</f>
        <v>25.216666666666665</v>
      </c>
      <c r="BM82" s="12">
        <f>$BJ$82*24</f>
        <v>0</v>
      </c>
      <c r="BN82" s="12">
        <f>VALUE($I$82)/100</f>
        <v>1</v>
      </c>
      <c r="BO82" s="12">
        <v>0</v>
      </c>
      <c r="BP82" s="12">
        <v>0</v>
      </c>
      <c r="BQ82" s="12">
        <v>0</v>
      </c>
      <c r="BR82" s="12">
        <v>0</v>
      </c>
      <c r="BS82" s="12">
        <v>0</v>
      </c>
      <c r="BT82" s="12">
        <v>0</v>
      </c>
      <c r="BU82" s="12">
        <v>0</v>
      </c>
      <c r="BV82" s="12">
        <v>0</v>
      </c>
      <c r="BW82" s="12">
        <v>0</v>
      </c>
      <c r="BX82" s="12">
        <v>0</v>
      </c>
      <c r="BY82" s="12">
        <v>0</v>
      </c>
      <c r="BZ82" s="12">
        <v>0</v>
      </c>
      <c r="CA82" s="12">
        <v>0</v>
      </c>
    </row>
    <row r="83" spans="1:79" x14ac:dyDescent="0.2">
      <c r="A83" s="12" t="s">
        <v>102</v>
      </c>
      <c r="B83" s="12" t="s">
        <v>110</v>
      </c>
      <c r="C83" s="12" t="s">
        <v>110</v>
      </c>
      <c r="D83" s="22" t="s">
        <v>302</v>
      </c>
      <c r="E83" s="22" t="s">
        <v>159</v>
      </c>
      <c r="F83" s="22" t="s">
        <v>303</v>
      </c>
      <c r="G83" s="22" t="s">
        <v>304</v>
      </c>
      <c r="H83" s="22" t="s">
        <v>150</v>
      </c>
      <c r="I83" s="22" t="s">
        <v>151</v>
      </c>
      <c r="J83" s="22" t="s">
        <v>162</v>
      </c>
      <c r="K83" s="22" t="s">
        <v>71</v>
      </c>
      <c r="L83" s="54" t="s">
        <v>153</v>
      </c>
      <c r="M83" s="23" t="s">
        <v>288</v>
      </c>
      <c r="N83" s="24" t="s">
        <v>153</v>
      </c>
      <c r="O83" s="23" t="s">
        <v>287</v>
      </c>
      <c r="P83" s="23" t="s">
        <v>287</v>
      </c>
      <c r="Q83" s="23" t="s">
        <v>287</v>
      </c>
      <c r="R83" s="23" t="s">
        <v>291</v>
      </c>
      <c r="S83" s="23" t="s">
        <v>291</v>
      </c>
      <c r="T83" s="23" t="s">
        <v>305</v>
      </c>
      <c r="U83" s="24" t="s">
        <v>153</v>
      </c>
      <c r="V83" s="54" t="s">
        <v>153</v>
      </c>
      <c r="W83" s="23" t="s">
        <v>293</v>
      </c>
      <c r="X83" s="23" t="s">
        <v>293</v>
      </c>
      <c r="Y83" s="23" t="s">
        <v>293</v>
      </c>
      <c r="Z83" s="23" t="s">
        <v>293</v>
      </c>
      <c r="AA83" s="23" t="s">
        <v>293</v>
      </c>
      <c r="AB83" s="24" t="s">
        <v>153</v>
      </c>
      <c r="AC83" s="23" t="s">
        <v>296</v>
      </c>
      <c r="AD83" s="23" t="s">
        <v>296</v>
      </c>
      <c r="AE83" s="23" t="s">
        <v>296</v>
      </c>
      <c r="AF83" s="24" t="s">
        <v>156</v>
      </c>
      <c r="AG83" s="24" t="s">
        <v>156</v>
      </c>
      <c r="AH83" s="24" t="s">
        <v>156</v>
      </c>
      <c r="AI83" s="24" t="s">
        <v>153</v>
      </c>
      <c r="AJ83" s="23" t="s">
        <v>287</v>
      </c>
      <c r="AK83" s="23" t="s">
        <v>287</v>
      </c>
      <c r="AL83" s="23" t="s">
        <v>287</v>
      </c>
      <c r="AM83" s="23" t="s">
        <v>300</v>
      </c>
      <c r="AN83" s="23" t="s">
        <v>300</v>
      </c>
      <c r="AO83" s="23" t="s">
        <v>300</v>
      </c>
      <c r="AP83" s="23">
        <f>VALUE(51)</f>
        <v>51</v>
      </c>
      <c r="AQ83" s="23">
        <f>VALUE(0)</f>
        <v>0</v>
      </c>
      <c r="AR83" s="23">
        <f>VALUE(0)</f>
        <v>0</v>
      </c>
      <c r="AS83" s="23">
        <f>VALUE(0)</f>
        <v>0</v>
      </c>
      <c r="AT83" s="23">
        <f>VALUE(0)</f>
        <v>0</v>
      </c>
      <c r="AU83" s="23">
        <f>VALUE(0)</f>
        <v>0</v>
      </c>
      <c r="AV83" s="23">
        <f>VALUE(2)</f>
        <v>2</v>
      </c>
      <c r="AW83" s="23">
        <f>VALUE(0)</f>
        <v>0</v>
      </c>
      <c r="AX83" s="23" t="s">
        <v>1193</v>
      </c>
      <c r="AY83" s="23" t="s">
        <v>306</v>
      </c>
      <c r="AZ83" s="23">
        <f>VALUE(0)</f>
        <v>0</v>
      </c>
      <c r="BA83" s="23">
        <f>VALUE(0)</f>
        <v>0</v>
      </c>
      <c r="BB83" s="23">
        <f>VALUE(0)</f>
        <v>0</v>
      </c>
      <c r="BC83" s="23">
        <f>VALUE(0)</f>
        <v>0</v>
      </c>
      <c r="BD83" s="23">
        <f>VALUE(0)</f>
        <v>0</v>
      </c>
      <c r="BE83" s="23">
        <f>VALUE(0)</f>
        <v>0</v>
      </c>
      <c r="BF83" s="23">
        <f>VALUE(0)</f>
        <v>0</v>
      </c>
      <c r="BG83" s="23">
        <f>VALUE(0)</f>
        <v>0</v>
      </c>
      <c r="BH83" s="23">
        <f>VALUE(0)</f>
        <v>0</v>
      </c>
      <c r="BI83" s="23">
        <f>VALUE(0)</f>
        <v>0</v>
      </c>
      <c r="BJ83" s="23">
        <f>VALUE(0)</f>
        <v>0</v>
      </c>
      <c r="BK83" s="12">
        <f>$AX$83*24</f>
        <v>4.5</v>
      </c>
      <c r="BL83" s="12">
        <f>$AY$83*24</f>
        <v>6.5499999999999989</v>
      </c>
      <c r="BM83" s="12">
        <f>$BJ$83*24</f>
        <v>0</v>
      </c>
      <c r="BN83" s="12">
        <f>VALUE($I$83)/100</f>
        <v>1</v>
      </c>
      <c r="BO83" s="12">
        <v>0</v>
      </c>
      <c r="BP83" s="12">
        <v>0</v>
      </c>
      <c r="BQ83" s="12">
        <v>0</v>
      </c>
      <c r="BR83" s="12">
        <v>0</v>
      </c>
      <c r="BS83" s="12">
        <v>0</v>
      </c>
      <c r="BT83" s="12">
        <v>0</v>
      </c>
      <c r="BU83" s="12">
        <v>0</v>
      </c>
      <c r="BV83" s="12">
        <v>0</v>
      </c>
      <c r="BW83" s="12">
        <v>0</v>
      </c>
      <c r="BX83" s="12">
        <v>0</v>
      </c>
      <c r="BY83" s="12">
        <v>0</v>
      </c>
      <c r="BZ83" s="12">
        <v>0</v>
      </c>
      <c r="CA83" s="12">
        <v>0</v>
      </c>
    </row>
    <row r="84" spans="1:79" x14ac:dyDescent="0.2">
      <c r="A84" s="12" t="s">
        <v>102</v>
      </c>
      <c r="B84" s="12" t="s">
        <v>110</v>
      </c>
      <c r="C84" s="12" t="s">
        <v>110</v>
      </c>
      <c r="D84" s="22" t="s">
        <v>307</v>
      </c>
      <c r="E84" s="22" t="s">
        <v>173</v>
      </c>
      <c r="F84" s="22" t="s">
        <v>723</v>
      </c>
      <c r="G84" s="22" t="s">
        <v>724</v>
      </c>
      <c r="H84" s="22" t="s">
        <v>150</v>
      </c>
      <c r="I84" s="22" t="s">
        <v>151</v>
      </c>
      <c r="J84" s="22" t="s">
        <v>162</v>
      </c>
      <c r="K84" s="22" t="s">
        <v>71</v>
      </c>
      <c r="L84" s="54" t="s">
        <v>153</v>
      </c>
      <c r="M84" s="23" t="s">
        <v>293</v>
      </c>
      <c r="N84" s="24" t="s">
        <v>153</v>
      </c>
      <c r="O84" s="23" t="s">
        <v>293</v>
      </c>
      <c r="P84" s="23" t="s">
        <v>293</v>
      </c>
      <c r="Q84" s="23" t="s">
        <v>293</v>
      </c>
      <c r="R84" s="23" t="s">
        <v>293</v>
      </c>
      <c r="S84" s="23" t="s">
        <v>293</v>
      </c>
      <c r="T84" s="23" t="s">
        <v>293</v>
      </c>
      <c r="U84" s="24" t="s">
        <v>153</v>
      </c>
      <c r="V84" s="54" t="s">
        <v>153</v>
      </c>
      <c r="W84" s="23" t="s">
        <v>298</v>
      </c>
      <c r="X84" s="23" t="s">
        <v>298</v>
      </c>
      <c r="Y84" s="23" t="s">
        <v>296</v>
      </c>
      <c r="Z84" s="23" t="s">
        <v>296</v>
      </c>
      <c r="AA84" s="23" t="s">
        <v>296</v>
      </c>
      <c r="AB84" s="24" t="s">
        <v>153</v>
      </c>
      <c r="AC84" s="24" t="s">
        <v>156</v>
      </c>
      <c r="AD84" s="24" t="s">
        <v>156</v>
      </c>
      <c r="AE84" s="24" t="s">
        <v>156</v>
      </c>
      <c r="AF84" s="23" t="s">
        <v>291</v>
      </c>
      <c r="AG84" s="23" t="s">
        <v>291</v>
      </c>
      <c r="AH84" s="23" t="s">
        <v>291</v>
      </c>
      <c r="AI84" s="24" t="s">
        <v>153</v>
      </c>
      <c r="AJ84" s="23" t="s">
        <v>291</v>
      </c>
      <c r="AK84" s="23" t="s">
        <v>291</v>
      </c>
      <c r="AL84" s="23" t="s">
        <v>291</v>
      </c>
      <c r="AM84" s="23" t="s">
        <v>291</v>
      </c>
      <c r="AN84" s="23" t="s">
        <v>291</v>
      </c>
      <c r="AO84" s="23" t="s">
        <v>291</v>
      </c>
      <c r="AP84" s="23">
        <f>VALUE(54)</f>
        <v>54</v>
      </c>
      <c r="AQ84" s="23">
        <f>VALUE(0)</f>
        <v>0</v>
      </c>
      <c r="AR84" s="23">
        <f>VALUE(0)</f>
        <v>0</v>
      </c>
      <c r="AS84" s="23">
        <f>VALUE(0)</f>
        <v>0</v>
      </c>
      <c r="AT84" s="23">
        <f>VALUE(0)</f>
        <v>0</v>
      </c>
      <c r="AU84" s="23">
        <f>VALUE(0)</f>
        <v>0</v>
      </c>
      <c r="AV84" s="23">
        <f>VALUE(4)</f>
        <v>4</v>
      </c>
      <c r="AW84" s="23">
        <f>VALUE(0)</f>
        <v>0</v>
      </c>
      <c r="AX84" s="23" t="s">
        <v>171</v>
      </c>
      <c r="AY84" s="23" t="s">
        <v>308</v>
      </c>
      <c r="AZ84" s="23">
        <f>VALUE(0)</f>
        <v>0</v>
      </c>
      <c r="BA84" s="23">
        <f>VALUE(0)</f>
        <v>0</v>
      </c>
      <c r="BB84" s="23">
        <f>VALUE(0)</f>
        <v>0</v>
      </c>
      <c r="BC84" s="23">
        <f>VALUE(0)</f>
        <v>0</v>
      </c>
      <c r="BD84" s="23">
        <f>VALUE(0)</f>
        <v>0</v>
      </c>
      <c r="BE84" s="23">
        <f>VALUE(0)</f>
        <v>0</v>
      </c>
      <c r="BF84" s="23">
        <f>VALUE(0)</f>
        <v>0</v>
      </c>
      <c r="BG84" s="23">
        <f>VALUE(0)</f>
        <v>0</v>
      </c>
      <c r="BH84" s="23">
        <f>VALUE(0)</f>
        <v>0</v>
      </c>
      <c r="BI84" s="23">
        <f>VALUE(0)</f>
        <v>0</v>
      </c>
      <c r="BJ84" s="23">
        <f>VALUE(0)</f>
        <v>0</v>
      </c>
      <c r="BK84" s="12">
        <f>$AX$84*24</f>
        <v>5.833333333333333</v>
      </c>
      <c r="BL84" s="12">
        <f>$AY$84*24</f>
        <v>3.7833333333333332</v>
      </c>
      <c r="BM84" s="12">
        <f>$BJ$84*24</f>
        <v>0</v>
      </c>
      <c r="BN84" s="12">
        <f>VALUE($I$84)/100</f>
        <v>1</v>
      </c>
      <c r="BO84" s="12">
        <v>0</v>
      </c>
      <c r="BP84" s="12">
        <v>0</v>
      </c>
      <c r="BQ84" s="12">
        <v>0</v>
      </c>
      <c r="BR84" s="12">
        <v>0</v>
      </c>
      <c r="BS84" s="12">
        <v>0</v>
      </c>
      <c r="BT84" s="12">
        <v>0</v>
      </c>
      <c r="BU84" s="12">
        <v>0</v>
      </c>
      <c r="BV84" s="12">
        <v>0</v>
      </c>
      <c r="BW84" s="12">
        <v>0</v>
      </c>
      <c r="BX84" s="12">
        <v>0</v>
      </c>
      <c r="BY84" s="12">
        <v>0</v>
      </c>
      <c r="BZ84" s="12">
        <v>0</v>
      </c>
      <c r="CA84" s="12">
        <v>0</v>
      </c>
    </row>
    <row r="85" spans="1:79" ht="15" x14ac:dyDescent="0.25">
      <c r="A85" s="12" t="s">
        <v>102</v>
      </c>
      <c r="B85" s="12" t="s">
        <v>110</v>
      </c>
      <c r="C85" s="12" t="s">
        <v>110</v>
      </c>
      <c r="D85" s="31" t="s">
        <v>582</v>
      </c>
      <c r="E85" s="31" t="s">
        <v>153</v>
      </c>
      <c r="F85" s="31" t="s">
        <v>175</v>
      </c>
      <c r="G85" s="31" t="s">
        <v>153</v>
      </c>
      <c r="H85" s="31" t="s">
        <v>153</v>
      </c>
      <c r="I85" s="31" t="s">
        <v>153</v>
      </c>
      <c r="J85" s="31" t="s">
        <v>153</v>
      </c>
      <c r="K85" s="31" t="s">
        <v>153</v>
      </c>
      <c r="L85" s="31">
        <f>VALUE(0)</f>
        <v>0</v>
      </c>
      <c r="M85" s="31">
        <f>VALUE(7)</f>
        <v>7</v>
      </c>
      <c r="N85" s="31">
        <f>VALUE(0)</f>
        <v>0</v>
      </c>
      <c r="O85" s="31">
        <f>VALUE(8)</f>
        <v>8</v>
      </c>
      <c r="P85" s="31">
        <f>VALUE(8)</f>
        <v>8</v>
      </c>
      <c r="Q85" s="31">
        <f>VALUE(8)</f>
        <v>8</v>
      </c>
      <c r="R85" s="31">
        <f>VALUE(7)</f>
        <v>7</v>
      </c>
      <c r="S85" s="31">
        <f>VALUE(7)</f>
        <v>7</v>
      </c>
      <c r="T85" s="31">
        <f>VALUE(8)</f>
        <v>8</v>
      </c>
      <c r="U85" s="31">
        <f>VALUE(0)</f>
        <v>0</v>
      </c>
      <c r="V85" s="31">
        <f>VALUE(0)</f>
        <v>0</v>
      </c>
      <c r="W85" s="31">
        <f>VALUE(8)</f>
        <v>8</v>
      </c>
      <c r="X85" s="31">
        <f>VALUE(8)</f>
        <v>8</v>
      </c>
      <c r="Y85" s="31">
        <f>VALUE(7)</f>
        <v>7</v>
      </c>
      <c r="Z85" s="31">
        <f>VALUE(7)</f>
        <v>7</v>
      </c>
      <c r="AA85" s="31">
        <f>VALUE(8)</f>
        <v>8</v>
      </c>
      <c r="AB85" s="31">
        <f>VALUE(0)</f>
        <v>0</v>
      </c>
      <c r="AC85" s="31">
        <f>VALUE(8)</f>
        <v>8</v>
      </c>
      <c r="AD85" s="31">
        <f>VALUE(8)</f>
        <v>8</v>
      </c>
      <c r="AE85" s="31">
        <f>VALUE(8)</f>
        <v>8</v>
      </c>
      <c r="AF85" s="31">
        <f>VALUE(8)</f>
        <v>8</v>
      </c>
      <c r="AG85" s="31">
        <f>VALUE(8)</f>
        <v>8</v>
      </c>
      <c r="AH85" s="31">
        <f>VALUE(8)</f>
        <v>8</v>
      </c>
      <c r="AI85" s="31">
        <f>VALUE(0)</f>
        <v>0</v>
      </c>
      <c r="AJ85" s="31">
        <f>VALUE(8)</f>
        <v>8</v>
      </c>
      <c r="AK85" s="31">
        <f>VALUE(8)</f>
        <v>8</v>
      </c>
      <c r="AL85" s="31">
        <f>VALUE(8)</f>
        <v>8</v>
      </c>
      <c r="AM85" s="31">
        <f>VALUE(7)</f>
        <v>7</v>
      </c>
      <c r="AN85" s="31">
        <f>VALUE(7)</f>
        <v>7</v>
      </c>
      <c r="AO85" s="31">
        <f>VALUE(7)</f>
        <v>7</v>
      </c>
      <c r="AP85" s="31">
        <v>0</v>
      </c>
      <c r="AQ85" s="31">
        <v>0</v>
      </c>
      <c r="AR85" s="31">
        <v>0</v>
      </c>
      <c r="AS85" s="31">
        <v>0</v>
      </c>
      <c r="AT85" s="31">
        <v>0</v>
      </c>
      <c r="AU85" s="31">
        <v>0</v>
      </c>
      <c r="AV85" s="31">
        <v>0</v>
      </c>
      <c r="AW85" s="31">
        <v>0</v>
      </c>
      <c r="AX85" s="31">
        <v>0</v>
      </c>
      <c r="AY85" s="31">
        <v>0</v>
      </c>
      <c r="AZ85" s="31">
        <v>0</v>
      </c>
      <c r="BA85" s="31">
        <v>0</v>
      </c>
      <c r="BB85" s="31">
        <v>0</v>
      </c>
      <c r="BC85" s="31">
        <v>0</v>
      </c>
      <c r="BD85" s="31">
        <v>0</v>
      </c>
      <c r="BE85" s="31">
        <v>0</v>
      </c>
      <c r="BF85" s="31">
        <v>0</v>
      </c>
      <c r="BG85" s="31">
        <v>0</v>
      </c>
      <c r="BH85" s="31">
        <v>0</v>
      </c>
      <c r="BI85" s="31">
        <v>0</v>
      </c>
      <c r="BJ85" s="31">
        <v>0</v>
      </c>
      <c r="BK85" s="12">
        <v>0</v>
      </c>
      <c r="BL85" s="12">
        <v>0</v>
      </c>
      <c r="BM85" s="12">
        <v>0</v>
      </c>
      <c r="BN85" s="12"/>
      <c r="BO85" s="12">
        <v>0</v>
      </c>
      <c r="BP85" s="12">
        <v>0</v>
      </c>
      <c r="BQ85" s="12">
        <v>0</v>
      </c>
      <c r="BR85" s="12">
        <v>0</v>
      </c>
      <c r="BS85" s="12">
        <v>0</v>
      </c>
      <c r="BT85" s="12">
        <v>0</v>
      </c>
      <c r="BU85" s="12">
        <v>0</v>
      </c>
      <c r="BV85" s="12">
        <v>0</v>
      </c>
      <c r="BW85" s="12">
        <v>0</v>
      </c>
      <c r="BX85" s="12">
        <v>0</v>
      </c>
      <c r="BY85" s="12">
        <v>0</v>
      </c>
      <c r="BZ85" s="12">
        <v>0</v>
      </c>
      <c r="CA85" s="12">
        <v>0</v>
      </c>
    </row>
    <row r="86" spans="1:79" x14ac:dyDescent="0.2">
      <c r="A86" s="12" t="s">
        <v>102</v>
      </c>
      <c r="B86" s="12" t="s">
        <v>111</v>
      </c>
      <c r="C86" s="12" t="s">
        <v>111</v>
      </c>
      <c r="D86" s="22" t="s">
        <v>310</v>
      </c>
      <c r="E86" s="22" t="s">
        <v>159</v>
      </c>
      <c r="F86" s="22" t="s">
        <v>725</v>
      </c>
      <c r="G86" s="22" t="s">
        <v>726</v>
      </c>
      <c r="H86" s="22" t="s">
        <v>166</v>
      </c>
      <c r="I86" s="22" t="s">
        <v>151</v>
      </c>
      <c r="J86" s="22" t="s">
        <v>311</v>
      </c>
      <c r="K86" s="22" t="s">
        <v>72</v>
      </c>
      <c r="L86" s="54" t="s">
        <v>153</v>
      </c>
      <c r="M86" s="23" t="s">
        <v>153</v>
      </c>
      <c r="N86" s="24" t="s">
        <v>153</v>
      </c>
      <c r="O86" s="23" t="s">
        <v>153</v>
      </c>
      <c r="P86" s="23" t="s">
        <v>153</v>
      </c>
      <c r="Q86" s="29" t="s">
        <v>218</v>
      </c>
      <c r="R86" s="23" t="s">
        <v>153</v>
      </c>
      <c r="S86" s="23" t="s">
        <v>153</v>
      </c>
      <c r="T86" s="23" t="s">
        <v>153</v>
      </c>
      <c r="U86" s="24" t="s">
        <v>153</v>
      </c>
      <c r="V86" s="54" t="s">
        <v>153</v>
      </c>
      <c r="W86" s="23" t="s">
        <v>313</v>
      </c>
      <c r="X86" s="23" t="s">
        <v>313</v>
      </c>
      <c r="Y86" s="23" t="s">
        <v>313</v>
      </c>
      <c r="Z86" s="23" t="s">
        <v>313</v>
      </c>
      <c r="AA86" s="23" t="s">
        <v>313</v>
      </c>
      <c r="AB86" s="24" t="s">
        <v>153</v>
      </c>
      <c r="AC86" s="23" t="s">
        <v>153</v>
      </c>
      <c r="AD86" s="23" t="s">
        <v>153</v>
      </c>
      <c r="AE86" s="29" t="s">
        <v>218</v>
      </c>
      <c r="AF86" s="23" t="s">
        <v>153</v>
      </c>
      <c r="AG86" s="23" t="s">
        <v>153</v>
      </c>
      <c r="AH86" s="23" t="s">
        <v>153</v>
      </c>
      <c r="AI86" s="24" t="s">
        <v>153</v>
      </c>
      <c r="AJ86" s="23" t="s">
        <v>314</v>
      </c>
      <c r="AK86" s="23" t="s">
        <v>314</v>
      </c>
      <c r="AL86" s="23" t="s">
        <v>314</v>
      </c>
      <c r="AM86" s="23" t="s">
        <v>314</v>
      </c>
      <c r="AN86" s="23" t="s">
        <v>314</v>
      </c>
      <c r="AO86" s="23" t="s">
        <v>153</v>
      </c>
      <c r="AP86" s="23">
        <f>VALUE(0)</f>
        <v>0</v>
      </c>
      <c r="AQ86" s="23">
        <f>VALUE(0)</f>
        <v>0</v>
      </c>
      <c r="AR86" s="23">
        <f>VALUE(2)</f>
        <v>2</v>
      </c>
      <c r="AS86" s="23">
        <f>VALUE(12)</f>
        <v>12</v>
      </c>
      <c r="AT86" s="23">
        <f>VALUE(0)</f>
        <v>0</v>
      </c>
      <c r="AU86" s="23">
        <f>VALUE(0)</f>
        <v>0</v>
      </c>
      <c r="AV86" s="23">
        <f>VALUE(2)</f>
        <v>2</v>
      </c>
      <c r="AW86" s="23">
        <f>VALUE(0)</f>
        <v>0</v>
      </c>
      <c r="AX86" s="23" t="s">
        <v>1194</v>
      </c>
      <c r="AY86" s="23">
        <f>VALUE(0)</f>
        <v>0</v>
      </c>
      <c r="AZ86" s="23">
        <f>VALUE(0)</f>
        <v>0</v>
      </c>
      <c r="BA86" s="23">
        <f>VALUE(0)</f>
        <v>0</v>
      </c>
      <c r="BB86" s="23">
        <f>VALUE(0)</f>
        <v>0</v>
      </c>
      <c r="BC86" s="23">
        <f>VALUE(0)</f>
        <v>0</v>
      </c>
      <c r="BD86" s="23">
        <f>VALUE(0)</f>
        <v>0</v>
      </c>
      <c r="BE86" s="23">
        <f>VALUE(0)</f>
        <v>0</v>
      </c>
      <c r="BF86" s="23">
        <f>VALUE(0)</f>
        <v>0</v>
      </c>
      <c r="BG86" s="23">
        <f>VALUE(0)</f>
        <v>0</v>
      </c>
      <c r="BH86" s="23">
        <f>VALUE(0)</f>
        <v>0</v>
      </c>
      <c r="BI86" s="23">
        <f>VALUE(0)</f>
        <v>0</v>
      </c>
      <c r="BJ86" s="23">
        <f>VALUE(0)</f>
        <v>0</v>
      </c>
      <c r="BK86" s="12">
        <f>$AX$86*24</f>
        <v>20.666666666666668</v>
      </c>
      <c r="BL86" s="12">
        <f>$AY$86*24</f>
        <v>0</v>
      </c>
      <c r="BM86" s="12">
        <f>$BJ$86*24</f>
        <v>0</v>
      </c>
      <c r="BN86" s="12">
        <f>VALUE($I$86)/100</f>
        <v>1</v>
      </c>
      <c r="BO86" s="12">
        <v>0</v>
      </c>
      <c r="BP86" s="12">
        <v>0</v>
      </c>
      <c r="BQ86" s="12">
        <v>0</v>
      </c>
      <c r="BR86" s="12">
        <v>0</v>
      </c>
      <c r="BS86" s="12">
        <v>2</v>
      </c>
      <c r="BT86" s="12">
        <v>0</v>
      </c>
      <c r="BU86" s="12">
        <v>0</v>
      </c>
      <c r="BV86" s="12">
        <v>0</v>
      </c>
      <c r="BW86" s="12">
        <v>0</v>
      </c>
      <c r="BX86" s="12">
        <v>0</v>
      </c>
      <c r="BY86" s="12">
        <v>0</v>
      </c>
      <c r="BZ86" s="12">
        <v>0</v>
      </c>
      <c r="CA86" s="12">
        <v>0</v>
      </c>
    </row>
    <row r="87" spans="1:79" x14ac:dyDescent="0.2">
      <c r="A87" s="12" t="s">
        <v>102</v>
      </c>
      <c r="B87" s="12" t="s">
        <v>111</v>
      </c>
      <c r="C87" s="12" t="s">
        <v>111</v>
      </c>
      <c r="D87" s="22" t="s">
        <v>313</v>
      </c>
      <c r="E87" s="22" t="s">
        <v>161</v>
      </c>
      <c r="F87" s="22" t="s">
        <v>727</v>
      </c>
      <c r="G87" s="22" t="s">
        <v>728</v>
      </c>
      <c r="H87" s="22" t="s">
        <v>166</v>
      </c>
      <c r="I87" s="22" t="s">
        <v>151</v>
      </c>
      <c r="J87" s="22" t="s">
        <v>311</v>
      </c>
      <c r="K87" s="22" t="s">
        <v>72</v>
      </c>
      <c r="L87" s="54" t="s">
        <v>153</v>
      </c>
      <c r="M87" s="23" t="s">
        <v>153</v>
      </c>
      <c r="N87" s="24" t="s">
        <v>153</v>
      </c>
      <c r="O87" s="23" t="s">
        <v>153</v>
      </c>
      <c r="P87" s="23" t="s">
        <v>153</v>
      </c>
      <c r="Q87" s="23" t="s">
        <v>153</v>
      </c>
      <c r="R87" s="23" t="s">
        <v>153</v>
      </c>
      <c r="S87" s="23" t="s">
        <v>153</v>
      </c>
      <c r="T87" s="24" t="s">
        <v>156</v>
      </c>
      <c r="U87" s="24" t="s">
        <v>153</v>
      </c>
      <c r="V87" s="54" t="s">
        <v>153</v>
      </c>
      <c r="W87" s="28" t="s">
        <v>163</v>
      </c>
      <c r="X87" s="28" t="s">
        <v>163</v>
      </c>
      <c r="Y87" s="28" t="s">
        <v>163</v>
      </c>
      <c r="Z87" s="28" t="s">
        <v>163</v>
      </c>
      <c r="AA87" s="28" t="s">
        <v>163</v>
      </c>
      <c r="AB87" s="24" t="s">
        <v>153</v>
      </c>
      <c r="AC87" s="23" t="s">
        <v>153</v>
      </c>
      <c r="AD87" s="23" t="s">
        <v>153</v>
      </c>
      <c r="AE87" s="23" t="s">
        <v>153</v>
      </c>
      <c r="AF87" s="23" t="s">
        <v>153</v>
      </c>
      <c r="AG87" s="23" t="s">
        <v>153</v>
      </c>
      <c r="AH87" s="24" t="s">
        <v>156</v>
      </c>
      <c r="AI87" s="24" t="s">
        <v>153</v>
      </c>
      <c r="AJ87" s="23" t="s">
        <v>153</v>
      </c>
      <c r="AK87" s="23" t="s">
        <v>153</v>
      </c>
      <c r="AL87" s="23" t="s">
        <v>153</v>
      </c>
      <c r="AM87" s="23" t="s">
        <v>153</v>
      </c>
      <c r="AN87" s="23" t="s">
        <v>153</v>
      </c>
      <c r="AO87" s="23" t="s">
        <v>153</v>
      </c>
      <c r="AP87" s="23">
        <f>VALUE(0)</f>
        <v>0</v>
      </c>
      <c r="AQ87" s="23">
        <f>VALUE(0)</f>
        <v>0</v>
      </c>
      <c r="AR87" s="23">
        <f>VALUE(0)</f>
        <v>0</v>
      </c>
      <c r="AS87" s="23">
        <f>VALUE(0)</f>
        <v>0</v>
      </c>
      <c r="AT87" s="23">
        <f>VALUE(0)</f>
        <v>0</v>
      </c>
      <c r="AU87" s="23">
        <f>VALUE(5)</f>
        <v>5</v>
      </c>
      <c r="AV87" s="23">
        <f>VALUE(2)</f>
        <v>2</v>
      </c>
      <c r="AW87" s="23">
        <f>VALUE(0)</f>
        <v>0</v>
      </c>
      <c r="AX87" s="23" t="s">
        <v>1195</v>
      </c>
      <c r="AY87" s="23">
        <f>VALUE(0)</f>
        <v>0</v>
      </c>
      <c r="AZ87" s="23">
        <f>VALUE(0)</f>
        <v>0</v>
      </c>
      <c r="BA87" s="23">
        <f>VALUE(0)</f>
        <v>0</v>
      </c>
      <c r="BB87" s="23">
        <f>VALUE(0)</f>
        <v>0</v>
      </c>
      <c r="BC87" s="23">
        <f>VALUE(0)</f>
        <v>0</v>
      </c>
      <c r="BD87" s="23">
        <f>VALUE(0)</f>
        <v>0</v>
      </c>
      <c r="BE87" s="23">
        <f>VALUE(0)</f>
        <v>0</v>
      </c>
      <c r="BF87" s="23">
        <f>VALUE(0)</f>
        <v>0</v>
      </c>
      <c r="BG87" s="23">
        <f>VALUE(0)</f>
        <v>0</v>
      </c>
      <c r="BH87" s="23">
        <f>VALUE(0)</f>
        <v>0</v>
      </c>
      <c r="BI87" s="23">
        <f>VALUE(0)</f>
        <v>0</v>
      </c>
      <c r="BJ87" s="23">
        <f>VALUE(0)</f>
        <v>0</v>
      </c>
      <c r="BK87" s="12">
        <f>$AX$87*24</f>
        <v>11.783333333333333</v>
      </c>
      <c r="BL87" s="12">
        <f>$AY$87*24</f>
        <v>0</v>
      </c>
      <c r="BM87" s="12">
        <f>$BJ$87*24</f>
        <v>0</v>
      </c>
      <c r="BN87" s="12">
        <f>VALUE($I$87)/100</f>
        <v>1</v>
      </c>
      <c r="BO87" s="12">
        <v>0</v>
      </c>
      <c r="BP87" s="12">
        <v>0</v>
      </c>
      <c r="BQ87" s="12">
        <v>0</v>
      </c>
      <c r="BR87" s="12">
        <v>0</v>
      </c>
      <c r="BS87" s="12">
        <v>0</v>
      </c>
      <c r="BT87" s="12">
        <v>0</v>
      </c>
      <c r="BU87" s="12">
        <v>0</v>
      </c>
      <c r="BV87" s="12">
        <v>0</v>
      </c>
      <c r="BW87" s="12">
        <v>0</v>
      </c>
      <c r="BX87" s="12">
        <v>0</v>
      </c>
      <c r="BY87" s="12">
        <v>0</v>
      </c>
      <c r="BZ87" s="12">
        <v>0</v>
      </c>
      <c r="CA87" s="12">
        <v>0</v>
      </c>
    </row>
    <row r="88" spans="1:79" x14ac:dyDescent="0.2">
      <c r="A88" s="12" t="s">
        <v>102</v>
      </c>
      <c r="B88" s="12" t="s">
        <v>111</v>
      </c>
      <c r="C88" s="12" t="s">
        <v>111</v>
      </c>
      <c r="D88" s="22" t="s">
        <v>314</v>
      </c>
      <c r="E88" s="22" t="s">
        <v>161</v>
      </c>
      <c r="F88" s="22" t="s">
        <v>729</v>
      </c>
      <c r="G88" s="22" t="s">
        <v>730</v>
      </c>
      <c r="H88" s="22" t="s">
        <v>150</v>
      </c>
      <c r="I88" s="22" t="s">
        <v>151</v>
      </c>
      <c r="J88" s="22" t="s">
        <v>311</v>
      </c>
      <c r="K88" s="22" t="s">
        <v>72</v>
      </c>
      <c r="L88" s="54" t="s">
        <v>153</v>
      </c>
      <c r="M88" s="23" t="s">
        <v>153</v>
      </c>
      <c r="N88" s="24" t="s">
        <v>153</v>
      </c>
      <c r="O88" s="23" t="s">
        <v>153</v>
      </c>
      <c r="P88" s="23" t="s">
        <v>153</v>
      </c>
      <c r="Q88" s="23" t="s">
        <v>153</v>
      </c>
      <c r="R88" s="23" t="s">
        <v>153</v>
      </c>
      <c r="S88" s="23" t="s">
        <v>153</v>
      </c>
      <c r="T88" s="24" t="s">
        <v>156</v>
      </c>
      <c r="U88" s="24" t="s">
        <v>153</v>
      </c>
      <c r="V88" s="54" t="s">
        <v>153</v>
      </c>
      <c r="W88" s="23" t="s">
        <v>153</v>
      </c>
      <c r="X88" s="23" t="s">
        <v>153</v>
      </c>
      <c r="Y88" s="23" t="s">
        <v>153</v>
      </c>
      <c r="Z88" s="23" t="s">
        <v>153</v>
      </c>
      <c r="AA88" s="24" t="s">
        <v>156</v>
      </c>
      <c r="AB88" s="24" t="s">
        <v>153</v>
      </c>
      <c r="AC88" s="23" t="s">
        <v>153</v>
      </c>
      <c r="AD88" s="23" t="s">
        <v>153</v>
      </c>
      <c r="AE88" s="23" t="s">
        <v>153</v>
      </c>
      <c r="AF88" s="23" t="s">
        <v>153</v>
      </c>
      <c r="AG88" s="23" t="s">
        <v>153</v>
      </c>
      <c r="AH88" s="24" t="s">
        <v>156</v>
      </c>
      <c r="AI88" s="24" t="s">
        <v>153</v>
      </c>
      <c r="AJ88" s="29" t="s">
        <v>163</v>
      </c>
      <c r="AK88" s="29" t="s">
        <v>163</v>
      </c>
      <c r="AL88" s="29" t="s">
        <v>163</v>
      </c>
      <c r="AM88" s="29" t="s">
        <v>163</v>
      </c>
      <c r="AN88" s="29" t="s">
        <v>163</v>
      </c>
      <c r="AO88" s="23" t="s">
        <v>153</v>
      </c>
      <c r="AP88" s="23">
        <f>VALUE(0)</f>
        <v>0</v>
      </c>
      <c r="AQ88" s="23">
        <f>VALUE(0)</f>
        <v>0</v>
      </c>
      <c r="AR88" s="23">
        <f>VALUE(5)</f>
        <v>5</v>
      </c>
      <c r="AS88" s="23">
        <f>VALUE(0)</f>
        <v>0</v>
      </c>
      <c r="AT88" s="23">
        <f>VALUE(0)</f>
        <v>0</v>
      </c>
      <c r="AU88" s="23">
        <f>VALUE(0)</f>
        <v>0</v>
      </c>
      <c r="AV88" s="23">
        <f>VALUE(8)</f>
        <v>8</v>
      </c>
      <c r="AW88" s="23">
        <f>VALUE(0)</f>
        <v>0</v>
      </c>
      <c r="AX88" s="23" t="s">
        <v>171</v>
      </c>
      <c r="AY88" s="23" t="s">
        <v>315</v>
      </c>
      <c r="AZ88" s="23">
        <f>VALUE(0)</f>
        <v>0</v>
      </c>
      <c r="BA88" s="23">
        <f>VALUE(0)</f>
        <v>0</v>
      </c>
      <c r="BB88" s="23">
        <f>VALUE(0)</f>
        <v>0</v>
      </c>
      <c r="BC88" s="23">
        <f>VALUE(0)</f>
        <v>0</v>
      </c>
      <c r="BD88" s="23">
        <f>VALUE(0)</f>
        <v>0</v>
      </c>
      <c r="BE88" s="23">
        <f>VALUE(0)</f>
        <v>0</v>
      </c>
      <c r="BF88" s="23">
        <f>VALUE(0)</f>
        <v>0</v>
      </c>
      <c r="BG88" s="23">
        <f>VALUE(0)</f>
        <v>0</v>
      </c>
      <c r="BH88" s="23">
        <f>VALUE(0)</f>
        <v>0</v>
      </c>
      <c r="BI88" s="23">
        <f>VALUE(0)</f>
        <v>0</v>
      </c>
      <c r="BJ88" s="23">
        <f>VALUE(0)</f>
        <v>0</v>
      </c>
      <c r="BK88" s="12">
        <f>$AX$88*24</f>
        <v>5.833333333333333</v>
      </c>
      <c r="BL88" s="12">
        <f>$AY$88*24</f>
        <v>8.4666666666666668</v>
      </c>
      <c r="BM88" s="12">
        <f>$BJ$88*24</f>
        <v>0</v>
      </c>
      <c r="BN88" s="12">
        <f>VALUE($I$88)/100</f>
        <v>1</v>
      </c>
      <c r="BO88" s="12">
        <v>0</v>
      </c>
      <c r="BP88" s="12">
        <v>0</v>
      </c>
      <c r="BQ88" s="12">
        <v>0</v>
      </c>
      <c r="BR88" s="12">
        <v>0</v>
      </c>
      <c r="BS88" s="12">
        <v>0</v>
      </c>
      <c r="BT88" s="12">
        <v>5</v>
      </c>
      <c r="BU88" s="12">
        <v>0</v>
      </c>
      <c r="BV88" s="12">
        <v>0</v>
      </c>
      <c r="BW88" s="12">
        <v>0</v>
      </c>
      <c r="BX88" s="12">
        <v>0</v>
      </c>
      <c r="BY88" s="12">
        <v>0</v>
      </c>
      <c r="BZ88" s="12">
        <v>0</v>
      </c>
      <c r="CA88" s="12">
        <v>0</v>
      </c>
    </row>
    <row r="89" spans="1:79" ht="16.5" x14ac:dyDescent="0.2">
      <c r="A89" s="12" t="s">
        <v>102</v>
      </c>
      <c r="B89" s="12" t="s">
        <v>111</v>
      </c>
      <c r="C89" s="12" t="s">
        <v>111</v>
      </c>
      <c r="D89" s="22" t="s">
        <v>312</v>
      </c>
      <c r="E89" s="22" t="s">
        <v>161</v>
      </c>
      <c r="F89" s="22" t="s">
        <v>731</v>
      </c>
      <c r="G89" s="22" t="s">
        <v>732</v>
      </c>
      <c r="H89" s="22" t="s">
        <v>150</v>
      </c>
      <c r="I89" s="22" t="s">
        <v>151</v>
      </c>
      <c r="J89" s="22" t="s">
        <v>311</v>
      </c>
      <c r="K89" s="22" t="s">
        <v>72</v>
      </c>
      <c r="L89" s="54" t="s">
        <v>153</v>
      </c>
      <c r="M89" s="24" t="s">
        <v>156</v>
      </c>
      <c r="N89" s="24" t="s">
        <v>153</v>
      </c>
      <c r="O89" s="26" t="s">
        <v>316</v>
      </c>
      <c r="P89" s="26" t="s">
        <v>316</v>
      </c>
      <c r="Q89" s="26" t="s">
        <v>316</v>
      </c>
      <c r="R89" s="26" t="s">
        <v>316</v>
      </c>
      <c r="S89" s="26" t="s">
        <v>316</v>
      </c>
      <c r="T89" s="24" t="s">
        <v>156</v>
      </c>
      <c r="U89" s="24" t="s">
        <v>153</v>
      </c>
      <c r="V89" s="54" t="s">
        <v>153</v>
      </c>
      <c r="W89" s="26" t="s">
        <v>316</v>
      </c>
      <c r="X89" s="26" t="s">
        <v>316</v>
      </c>
      <c r="Y89" s="26" t="s">
        <v>316</v>
      </c>
      <c r="Z89" s="29" t="s">
        <v>218</v>
      </c>
      <c r="AA89" s="23" t="s">
        <v>153</v>
      </c>
      <c r="AB89" s="24" t="s">
        <v>153</v>
      </c>
      <c r="AC89" s="26" t="s">
        <v>316</v>
      </c>
      <c r="AD89" s="26" t="s">
        <v>316</v>
      </c>
      <c r="AE89" s="26" t="s">
        <v>316</v>
      </c>
      <c r="AF89" s="26" t="s">
        <v>316</v>
      </c>
      <c r="AG89" s="26" t="s">
        <v>316</v>
      </c>
      <c r="AH89" s="24" t="s">
        <v>156</v>
      </c>
      <c r="AI89" s="24" t="s">
        <v>153</v>
      </c>
      <c r="AJ89" s="26" t="s">
        <v>316</v>
      </c>
      <c r="AK89" s="26" t="s">
        <v>316</v>
      </c>
      <c r="AL89" s="26" t="s">
        <v>316</v>
      </c>
      <c r="AM89" s="26" t="s">
        <v>316</v>
      </c>
      <c r="AN89" s="26" t="s">
        <v>316</v>
      </c>
      <c r="AO89" s="24" t="s">
        <v>156</v>
      </c>
      <c r="AP89" s="23">
        <f>VALUE(0)</f>
        <v>0</v>
      </c>
      <c r="AQ89" s="23">
        <f>VALUE(0)</f>
        <v>0</v>
      </c>
      <c r="AR89" s="23">
        <f>VALUE(1)</f>
        <v>1</v>
      </c>
      <c r="AS89" s="23">
        <f>VALUE(0)</f>
        <v>0</v>
      </c>
      <c r="AT89" s="23">
        <f>VALUE(0)</f>
        <v>0</v>
      </c>
      <c r="AU89" s="23">
        <f>VALUE(0)</f>
        <v>0</v>
      </c>
      <c r="AV89" s="23">
        <f>VALUE(5)</f>
        <v>5</v>
      </c>
      <c r="AW89" s="23">
        <f>VALUE(0)</f>
        <v>0</v>
      </c>
      <c r="AX89" s="23" t="s">
        <v>317</v>
      </c>
      <c r="AY89" s="23" t="s">
        <v>318</v>
      </c>
      <c r="AZ89" s="23">
        <f>VALUE(0)</f>
        <v>0</v>
      </c>
      <c r="BA89" s="23">
        <f>VALUE(0)</f>
        <v>0</v>
      </c>
      <c r="BB89" s="23">
        <f>VALUE(0)</f>
        <v>0</v>
      </c>
      <c r="BC89" s="23">
        <f>VALUE(0)</f>
        <v>0</v>
      </c>
      <c r="BD89" s="23">
        <f>VALUE(0)</f>
        <v>0</v>
      </c>
      <c r="BE89" s="23">
        <f>VALUE(0)</f>
        <v>0</v>
      </c>
      <c r="BF89" s="23">
        <f>VALUE(0)</f>
        <v>0</v>
      </c>
      <c r="BG89" s="23">
        <f>VALUE(0)</f>
        <v>0</v>
      </c>
      <c r="BH89" s="23">
        <f>VALUE(0)</f>
        <v>0</v>
      </c>
      <c r="BI89" s="23">
        <f>VALUE(0)</f>
        <v>0</v>
      </c>
      <c r="BJ89" s="23">
        <f>VALUE(0)</f>
        <v>0</v>
      </c>
      <c r="BK89" s="12">
        <f>$AX$89*24</f>
        <v>1.0833333333333333</v>
      </c>
      <c r="BL89" s="12">
        <f>$AY$89*24</f>
        <v>4.0166666666666666</v>
      </c>
      <c r="BM89" s="12">
        <f>$BJ$89*24</f>
        <v>0</v>
      </c>
      <c r="BN89" s="12">
        <f>VALUE($I$89)/100</f>
        <v>1</v>
      </c>
      <c r="BO89" s="12">
        <v>0</v>
      </c>
      <c r="BP89" s="12">
        <v>0</v>
      </c>
      <c r="BQ89" s="12">
        <v>0</v>
      </c>
      <c r="BR89" s="12">
        <v>0</v>
      </c>
      <c r="BS89" s="12">
        <v>1</v>
      </c>
      <c r="BT89" s="12">
        <v>0</v>
      </c>
      <c r="BU89" s="12">
        <v>0</v>
      </c>
      <c r="BV89" s="12">
        <v>0</v>
      </c>
      <c r="BW89" s="12">
        <v>0</v>
      </c>
      <c r="BX89" s="12">
        <v>0</v>
      </c>
      <c r="BY89" s="12">
        <v>0</v>
      </c>
      <c r="BZ89" s="12">
        <v>0</v>
      </c>
      <c r="CA89" s="12">
        <v>0</v>
      </c>
    </row>
    <row r="90" spans="1:79" x14ac:dyDescent="0.2">
      <c r="A90" s="12" t="s">
        <v>102</v>
      </c>
      <c r="B90" s="12" t="s">
        <v>111</v>
      </c>
      <c r="C90" s="12" t="s">
        <v>111</v>
      </c>
      <c r="D90" s="22" t="s">
        <v>319</v>
      </c>
      <c r="E90" s="22" t="s">
        <v>161</v>
      </c>
      <c r="F90" s="22" t="s">
        <v>733</v>
      </c>
      <c r="G90" s="22" t="s">
        <v>734</v>
      </c>
      <c r="H90" s="22" t="s">
        <v>166</v>
      </c>
      <c r="I90" s="22" t="s">
        <v>151</v>
      </c>
      <c r="J90" s="22" t="s">
        <v>311</v>
      </c>
      <c r="K90" s="22" t="s">
        <v>72</v>
      </c>
      <c r="L90" s="54" t="s">
        <v>153</v>
      </c>
      <c r="M90" s="24" t="s">
        <v>156</v>
      </c>
      <c r="N90" s="24" t="s">
        <v>153</v>
      </c>
      <c r="O90" s="23" t="s">
        <v>153</v>
      </c>
      <c r="P90" s="23" t="s">
        <v>153</v>
      </c>
      <c r="Q90" s="23" t="s">
        <v>153</v>
      </c>
      <c r="R90" s="23" t="s">
        <v>153</v>
      </c>
      <c r="S90" s="23" t="s">
        <v>153</v>
      </c>
      <c r="T90" s="24" t="s">
        <v>156</v>
      </c>
      <c r="U90" s="24" t="s">
        <v>153</v>
      </c>
      <c r="V90" s="54" t="s">
        <v>153</v>
      </c>
      <c r="W90" s="23" t="s">
        <v>153</v>
      </c>
      <c r="X90" s="23" t="s">
        <v>153</v>
      </c>
      <c r="Y90" s="23" t="s">
        <v>153</v>
      </c>
      <c r="Z90" s="23" t="s">
        <v>153</v>
      </c>
      <c r="AA90" s="24" t="s">
        <v>156</v>
      </c>
      <c r="AB90" s="24" t="s">
        <v>153</v>
      </c>
      <c r="AC90" s="23" t="s">
        <v>153</v>
      </c>
      <c r="AD90" s="23" t="s">
        <v>153</v>
      </c>
      <c r="AE90" s="23" t="s">
        <v>153</v>
      </c>
      <c r="AF90" s="23" t="s">
        <v>153</v>
      </c>
      <c r="AG90" s="23" t="s">
        <v>153</v>
      </c>
      <c r="AH90" s="23" t="s">
        <v>153</v>
      </c>
      <c r="AI90" s="24" t="s">
        <v>153</v>
      </c>
      <c r="AJ90" s="23" t="s">
        <v>153</v>
      </c>
      <c r="AK90" s="23" t="s">
        <v>153</v>
      </c>
      <c r="AL90" s="23" t="s">
        <v>153</v>
      </c>
      <c r="AM90" s="23" t="s">
        <v>153</v>
      </c>
      <c r="AN90" s="23" t="s">
        <v>153</v>
      </c>
      <c r="AO90" s="24" t="s">
        <v>156</v>
      </c>
      <c r="AP90" s="23">
        <f>VALUE(0)</f>
        <v>0</v>
      </c>
      <c r="AQ90" s="23">
        <f>VALUE(0)</f>
        <v>0</v>
      </c>
      <c r="AR90" s="23">
        <f>VALUE(0)</f>
        <v>0</v>
      </c>
      <c r="AS90" s="23">
        <f>VALUE(0)</f>
        <v>0</v>
      </c>
      <c r="AT90" s="23">
        <f>VALUE(0)</f>
        <v>0</v>
      </c>
      <c r="AU90" s="23">
        <f>VALUE(0)</f>
        <v>0</v>
      </c>
      <c r="AV90" s="23">
        <f>VALUE(3)</f>
        <v>3</v>
      </c>
      <c r="AW90" s="23">
        <f>VALUE(0)</f>
        <v>0</v>
      </c>
      <c r="AX90" s="23" t="s">
        <v>320</v>
      </c>
      <c r="AY90" s="23">
        <f>VALUE(0)</f>
        <v>0</v>
      </c>
      <c r="AZ90" s="23">
        <f>VALUE(0)</f>
        <v>0</v>
      </c>
      <c r="BA90" s="23">
        <f>VALUE(0)</f>
        <v>0</v>
      </c>
      <c r="BB90" s="23">
        <f>VALUE(0)</f>
        <v>0</v>
      </c>
      <c r="BC90" s="23">
        <f>VALUE(0)</f>
        <v>0</v>
      </c>
      <c r="BD90" s="23">
        <f>VALUE(0)</f>
        <v>0</v>
      </c>
      <c r="BE90" s="23">
        <f>VALUE(0)</f>
        <v>0</v>
      </c>
      <c r="BF90" s="23">
        <f>VALUE(0)</f>
        <v>0</v>
      </c>
      <c r="BG90" s="23">
        <f>VALUE(0)</f>
        <v>0</v>
      </c>
      <c r="BH90" s="23">
        <f>VALUE(0)</f>
        <v>0</v>
      </c>
      <c r="BI90" s="23">
        <f>VALUE(0)</f>
        <v>0</v>
      </c>
      <c r="BJ90" s="23">
        <f>VALUE(0)</f>
        <v>0</v>
      </c>
      <c r="BK90" s="12">
        <f>$AX$90*24</f>
        <v>8.4166666666666661</v>
      </c>
      <c r="BL90" s="12">
        <f>$AY$90*24</f>
        <v>0</v>
      </c>
      <c r="BM90" s="12">
        <f>$BJ$90*24</f>
        <v>0</v>
      </c>
      <c r="BN90" s="12">
        <f>VALUE($I$90)/100</f>
        <v>1</v>
      </c>
      <c r="BO90" s="12">
        <v>0</v>
      </c>
      <c r="BP90" s="12">
        <v>0</v>
      </c>
      <c r="BQ90" s="12">
        <v>0</v>
      </c>
      <c r="BR90" s="12">
        <v>0</v>
      </c>
      <c r="BS90" s="12">
        <v>0</v>
      </c>
      <c r="BT90" s="12">
        <v>0</v>
      </c>
      <c r="BU90" s="12">
        <v>0</v>
      </c>
      <c r="BV90" s="12">
        <v>0</v>
      </c>
      <c r="BW90" s="12">
        <v>0</v>
      </c>
      <c r="BX90" s="12">
        <v>0</v>
      </c>
      <c r="BY90" s="12">
        <v>0</v>
      </c>
      <c r="BZ90" s="12">
        <v>0</v>
      </c>
      <c r="CA90" s="12">
        <v>0</v>
      </c>
    </row>
    <row r="91" spans="1:79" x14ac:dyDescent="0.2">
      <c r="A91" s="12" t="s">
        <v>102</v>
      </c>
      <c r="B91" s="12" t="s">
        <v>111</v>
      </c>
      <c r="C91" s="12" t="s">
        <v>111</v>
      </c>
      <c r="D91" s="22" t="s">
        <v>321</v>
      </c>
      <c r="E91" s="22" t="s">
        <v>161</v>
      </c>
      <c r="F91" s="22" t="s">
        <v>735</v>
      </c>
      <c r="G91" s="22" t="s">
        <v>736</v>
      </c>
      <c r="H91" s="22" t="s">
        <v>150</v>
      </c>
      <c r="I91" s="22" t="s">
        <v>151</v>
      </c>
      <c r="J91" s="22" t="s">
        <v>311</v>
      </c>
      <c r="K91" s="22" t="s">
        <v>72</v>
      </c>
      <c r="L91" s="54" t="s">
        <v>153</v>
      </c>
      <c r="M91" s="24" t="s">
        <v>156</v>
      </c>
      <c r="N91" s="24" t="s">
        <v>153</v>
      </c>
      <c r="O91" s="23" t="s">
        <v>153</v>
      </c>
      <c r="P91" s="23" t="s">
        <v>153</v>
      </c>
      <c r="Q91" s="23" t="s">
        <v>153</v>
      </c>
      <c r="R91" s="23" t="s">
        <v>153</v>
      </c>
      <c r="S91" s="23" t="s">
        <v>153</v>
      </c>
      <c r="T91" s="23" t="s">
        <v>153</v>
      </c>
      <c r="U91" s="24" t="s">
        <v>153</v>
      </c>
      <c r="V91" s="54" t="s">
        <v>153</v>
      </c>
      <c r="W91" s="23" t="s">
        <v>153</v>
      </c>
      <c r="X91" s="23" t="s">
        <v>153</v>
      </c>
      <c r="Y91" s="23" t="s">
        <v>153</v>
      </c>
      <c r="Z91" s="23" t="s">
        <v>153</v>
      </c>
      <c r="AA91" s="24" t="s">
        <v>156</v>
      </c>
      <c r="AB91" s="24" t="s">
        <v>153</v>
      </c>
      <c r="AC91" s="23" t="s">
        <v>153</v>
      </c>
      <c r="AD91" s="23" t="s">
        <v>153</v>
      </c>
      <c r="AE91" s="23" t="s">
        <v>153</v>
      </c>
      <c r="AF91" s="23" t="s">
        <v>153</v>
      </c>
      <c r="AG91" s="23" t="s">
        <v>153</v>
      </c>
      <c r="AH91" s="24" t="s">
        <v>156</v>
      </c>
      <c r="AI91" s="24" t="s">
        <v>153</v>
      </c>
      <c r="AJ91" s="23" t="s">
        <v>153</v>
      </c>
      <c r="AK91" s="23" t="s">
        <v>153</v>
      </c>
      <c r="AL91" s="23" t="s">
        <v>153</v>
      </c>
      <c r="AM91" s="23" t="s">
        <v>153</v>
      </c>
      <c r="AN91" s="23" t="s">
        <v>153</v>
      </c>
      <c r="AO91" s="24" t="s">
        <v>156</v>
      </c>
      <c r="AP91" s="23">
        <f>VALUE(0)</f>
        <v>0</v>
      </c>
      <c r="AQ91" s="23">
        <f>VALUE(0)</f>
        <v>0</v>
      </c>
      <c r="AR91" s="23">
        <f>VALUE(0)</f>
        <v>0</v>
      </c>
      <c r="AS91" s="23">
        <f>VALUE(0)</f>
        <v>0</v>
      </c>
      <c r="AT91" s="23">
        <f>VALUE(0)</f>
        <v>0</v>
      </c>
      <c r="AU91" s="23">
        <f>VALUE(0)</f>
        <v>0</v>
      </c>
      <c r="AV91" s="23">
        <f>VALUE(4)</f>
        <v>4</v>
      </c>
      <c r="AW91" s="23">
        <f>VALUE(0)</f>
        <v>0</v>
      </c>
      <c r="AX91" s="23" t="s">
        <v>176</v>
      </c>
      <c r="AY91" s="23" t="s">
        <v>322</v>
      </c>
      <c r="AZ91" s="23">
        <f>VALUE(0)</f>
        <v>0</v>
      </c>
      <c r="BA91" s="23">
        <f>VALUE(0)</f>
        <v>0</v>
      </c>
      <c r="BB91" s="23">
        <f>VALUE(0)</f>
        <v>0</v>
      </c>
      <c r="BC91" s="23">
        <f>VALUE(0)</f>
        <v>0</v>
      </c>
      <c r="BD91" s="23">
        <f>VALUE(0)</f>
        <v>0</v>
      </c>
      <c r="BE91" s="23">
        <f>VALUE(0)</f>
        <v>0</v>
      </c>
      <c r="BF91" s="23">
        <f>VALUE(0)</f>
        <v>0</v>
      </c>
      <c r="BG91" s="23">
        <f>VALUE(0)</f>
        <v>0</v>
      </c>
      <c r="BH91" s="23">
        <f>VALUE(0)</f>
        <v>0</v>
      </c>
      <c r="BI91" s="23">
        <f>VALUE(0)</f>
        <v>0</v>
      </c>
      <c r="BJ91" s="23">
        <f>VALUE(0)</f>
        <v>0</v>
      </c>
      <c r="BK91" s="12">
        <f>$AX$91*24</f>
        <v>0</v>
      </c>
      <c r="BL91" s="12">
        <f>$AY$91*24</f>
        <v>16.166666666666668</v>
      </c>
      <c r="BM91" s="12">
        <f>$BJ$91*24</f>
        <v>0</v>
      </c>
      <c r="BN91" s="12">
        <f>VALUE($I$91)/100</f>
        <v>1</v>
      </c>
      <c r="BO91" s="12">
        <v>0</v>
      </c>
      <c r="BP91" s="12">
        <v>0</v>
      </c>
      <c r="BQ91" s="12">
        <v>0</v>
      </c>
      <c r="BR91" s="12">
        <v>0</v>
      </c>
      <c r="BS91" s="12">
        <v>0</v>
      </c>
      <c r="BT91" s="12">
        <v>0</v>
      </c>
      <c r="BU91" s="12">
        <v>0</v>
      </c>
      <c r="BV91" s="12">
        <v>0</v>
      </c>
      <c r="BW91" s="12">
        <v>0</v>
      </c>
      <c r="BX91" s="12">
        <v>0</v>
      </c>
      <c r="BY91" s="12">
        <v>0</v>
      </c>
      <c r="BZ91" s="12">
        <v>0</v>
      </c>
      <c r="CA91" s="12">
        <v>0</v>
      </c>
    </row>
    <row r="92" spans="1:79" ht="15" x14ac:dyDescent="0.25">
      <c r="A92" s="12" t="s">
        <v>102</v>
      </c>
      <c r="B92" s="12" t="s">
        <v>111</v>
      </c>
      <c r="C92" s="12" t="s">
        <v>111</v>
      </c>
      <c r="D92" s="31" t="s">
        <v>323</v>
      </c>
      <c r="E92" s="31" t="s">
        <v>153</v>
      </c>
      <c r="F92" s="31" t="s">
        <v>175</v>
      </c>
      <c r="G92" s="31" t="s">
        <v>153</v>
      </c>
      <c r="H92" s="31" t="s">
        <v>153</v>
      </c>
      <c r="I92" s="31" t="s">
        <v>153</v>
      </c>
      <c r="J92" s="31" t="s">
        <v>153</v>
      </c>
      <c r="K92" s="31" t="s">
        <v>153</v>
      </c>
      <c r="L92" s="31">
        <f>VALUE(0)</f>
        <v>0</v>
      </c>
      <c r="M92" s="31">
        <f>VALUE(3)</f>
        <v>3</v>
      </c>
      <c r="N92" s="31">
        <f>VALUE(0)</f>
        <v>0</v>
      </c>
      <c r="O92" s="31">
        <f>VALUE(6)</f>
        <v>6</v>
      </c>
      <c r="P92" s="31">
        <f>VALUE(6)</f>
        <v>6</v>
      </c>
      <c r="Q92" s="31">
        <f>VALUE(5)</f>
        <v>5</v>
      </c>
      <c r="R92" s="31">
        <f>VALUE(6)</f>
        <v>6</v>
      </c>
      <c r="S92" s="31">
        <f>VALUE(6)</f>
        <v>6</v>
      </c>
      <c r="T92" s="31">
        <f>VALUE(2)</f>
        <v>2</v>
      </c>
      <c r="U92" s="31">
        <f>VALUE(0)</f>
        <v>0</v>
      </c>
      <c r="V92" s="31">
        <f>VALUE(0)</f>
        <v>0</v>
      </c>
      <c r="W92" s="31">
        <f>VALUE(5)</f>
        <v>5</v>
      </c>
      <c r="X92" s="31">
        <f>VALUE(5)</f>
        <v>5</v>
      </c>
      <c r="Y92" s="31">
        <f>VALUE(5)</f>
        <v>5</v>
      </c>
      <c r="Z92" s="31">
        <f>VALUE(4)</f>
        <v>4</v>
      </c>
      <c r="AA92" s="31">
        <f>VALUE(2)</f>
        <v>2</v>
      </c>
      <c r="AB92" s="31">
        <f>VALUE(0)</f>
        <v>0</v>
      </c>
      <c r="AC92" s="31">
        <f>VALUE(6)</f>
        <v>6</v>
      </c>
      <c r="AD92" s="31">
        <f>VALUE(6)</f>
        <v>6</v>
      </c>
      <c r="AE92" s="31">
        <f>VALUE(5)</f>
        <v>5</v>
      </c>
      <c r="AF92" s="31">
        <f>VALUE(6)</f>
        <v>6</v>
      </c>
      <c r="AG92" s="31">
        <f>VALUE(6)</f>
        <v>6</v>
      </c>
      <c r="AH92" s="31">
        <f>VALUE(2)</f>
        <v>2</v>
      </c>
      <c r="AI92" s="31">
        <f>VALUE(0)</f>
        <v>0</v>
      </c>
      <c r="AJ92" s="31">
        <f>VALUE(5)</f>
        <v>5</v>
      </c>
      <c r="AK92" s="31">
        <f>VALUE(5)</f>
        <v>5</v>
      </c>
      <c r="AL92" s="31">
        <f>VALUE(5)</f>
        <v>5</v>
      </c>
      <c r="AM92" s="31">
        <f>VALUE(5)</f>
        <v>5</v>
      </c>
      <c r="AN92" s="31">
        <f>VALUE(5)</f>
        <v>5</v>
      </c>
      <c r="AO92" s="31">
        <f>VALUE(3)</f>
        <v>3</v>
      </c>
      <c r="AP92" s="31">
        <v>0</v>
      </c>
      <c r="AQ92" s="31">
        <v>0</v>
      </c>
      <c r="AR92" s="31">
        <v>0</v>
      </c>
      <c r="AS92" s="31">
        <v>0</v>
      </c>
      <c r="AT92" s="31">
        <v>0</v>
      </c>
      <c r="AU92" s="31">
        <v>0</v>
      </c>
      <c r="AV92" s="31">
        <v>0</v>
      </c>
      <c r="AW92" s="31">
        <v>0</v>
      </c>
      <c r="AX92" s="31">
        <v>0</v>
      </c>
      <c r="AY92" s="31">
        <v>0</v>
      </c>
      <c r="AZ92" s="31">
        <v>0</v>
      </c>
      <c r="BA92" s="31">
        <v>0</v>
      </c>
      <c r="BB92" s="31">
        <v>0</v>
      </c>
      <c r="BC92" s="31">
        <v>0</v>
      </c>
      <c r="BD92" s="31">
        <v>0</v>
      </c>
      <c r="BE92" s="31">
        <v>0</v>
      </c>
      <c r="BF92" s="31">
        <v>0</v>
      </c>
      <c r="BG92" s="31">
        <v>0</v>
      </c>
      <c r="BH92" s="31">
        <v>0</v>
      </c>
      <c r="BI92" s="31">
        <v>0</v>
      </c>
      <c r="BJ92" s="31">
        <v>0</v>
      </c>
      <c r="BK92" s="12">
        <v>0</v>
      </c>
      <c r="BL92" s="12">
        <v>0</v>
      </c>
      <c r="BM92" s="12">
        <v>0</v>
      </c>
      <c r="BN92" s="12"/>
      <c r="BO92" s="12">
        <v>0</v>
      </c>
      <c r="BP92" s="12">
        <v>0</v>
      </c>
      <c r="BQ92" s="12">
        <v>0</v>
      </c>
      <c r="BR92" s="12">
        <v>0</v>
      </c>
      <c r="BS92" s="12">
        <v>0</v>
      </c>
      <c r="BT92" s="12">
        <v>0</v>
      </c>
      <c r="BU92" s="12">
        <v>0</v>
      </c>
      <c r="BV92" s="12">
        <v>0</v>
      </c>
      <c r="BW92" s="12">
        <v>0</v>
      </c>
      <c r="BX92" s="12">
        <v>0</v>
      </c>
      <c r="BY92" s="12">
        <v>0</v>
      </c>
      <c r="BZ92" s="12">
        <v>0</v>
      </c>
      <c r="CA92" s="12">
        <v>0</v>
      </c>
    </row>
    <row r="93" spans="1:79" x14ac:dyDescent="0.2">
      <c r="A93" s="12" t="s">
        <v>102</v>
      </c>
      <c r="B93" s="12" t="s">
        <v>112</v>
      </c>
      <c r="C93" s="12" t="s">
        <v>112</v>
      </c>
      <c r="D93" s="22" t="s">
        <v>324</v>
      </c>
      <c r="E93" s="22" t="s">
        <v>161</v>
      </c>
      <c r="F93" s="22" t="s">
        <v>735</v>
      </c>
      <c r="G93" s="22" t="s">
        <v>736</v>
      </c>
      <c r="H93" s="22" t="s">
        <v>150</v>
      </c>
      <c r="I93" s="22" t="s">
        <v>151</v>
      </c>
      <c r="J93" s="22" t="s">
        <v>162</v>
      </c>
      <c r="K93" s="22" t="s">
        <v>73</v>
      </c>
      <c r="L93" s="54" t="s">
        <v>153</v>
      </c>
      <c r="M93" s="23" t="s">
        <v>153</v>
      </c>
      <c r="N93" s="24" t="s">
        <v>153</v>
      </c>
      <c r="O93" s="23" t="s">
        <v>153</v>
      </c>
      <c r="P93" s="23" t="s">
        <v>153</v>
      </c>
      <c r="Q93" s="23" t="s">
        <v>153</v>
      </c>
      <c r="R93" s="23" t="s">
        <v>153</v>
      </c>
      <c r="S93" s="23" t="s">
        <v>153</v>
      </c>
      <c r="T93" s="23" t="s">
        <v>153</v>
      </c>
      <c r="U93" s="24" t="s">
        <v>153</v>
      </c>
      <c r="V93" s="54" t="s">
        <v>153</v>
      </c>
      <c r="W93" s="23" t="s">
        <v>153</v>
      </c>
      <c r="X93" s="23" t="s">
        <v>153</v>
      </c>
      <c r="Y93" s="23" t="s">
        <v>153</v>
      </c>
      <c r="Z93" s="23" t="s">
        <v>153</v>
      </c>
      <c r="AA93" s="23" t="s">
        <v>153</v>
      </c>
      <c r="AB93" s="24" t="s">
        <v>153</v>
      </c>
      <c r="AC93" s="23" t="s">
        <v>153</v>
      </c>
      <c r="AD93" s="23" t="s">
        <v>153</v>
      </c>
      <c r="AE93" s="23" t="s">
        <v>153</v>
      </c>
      <c r="AF93" s="23" t="s">
        <v>153</v>
      </c>
      <c r="AG93" s="23" t="s">
        <v>153</v>
      </c>
      <c r="AH93" s="23" t="s">
        <v>153</v>
      </c>
      <c r="AI93" s="24" t="s">
        <v>153</v>
      </c>
      <c r="AJ93" s="24" t="s">
        <v>156</v>
      </c>
      <c r="AK93" s="24" t="s">
        <v>156</v>
      </c>
      <c r="AL93" s="24" t="s">
        <v>156</v>
      </c>
      <c r="AM93" s="23" t="s">
        <v>153</v>
      </c>
      <c r="AN93" s="23" t="s">
        <v>153</v>
      </c>
      <c r="AO93" s="23" t="s">
        <v>153</v>
      </c>
      <c r="AP93" s="23">
        <f>VALUE(0)</f>
        <v>0</v>
      </c>
      <c r="AQ93" s="23">
        <f>VALUE(0)</f>
        <v>0</v>
      </c>
      <c r="AR93" s="23">
        <f>VALUE(0)</f>
        <v>0</v>
      </c>
      <c r="AS93" s="23">
        <f>VALUE(0)</f>
        <v>0</v>
      </c>
      <c r="AT93" s="23">
        <f>VALUE(0)</f>
        <v>0</v>
      </c>
      <c r="AU93" s="23">
        <f>VALUE(0)</f>
        <v>0</v>
      </c>
      <c r="AV93" s="23">
        <f>VALUE(32)</f>
        <v>32</v>
      </c>
      <c r="AW93" s="23">
        <f>VALUE(5)</f>
        <v>5</v>
      </c>
      <c r="AX93" s="23" t="s">
        <v>171</v>
      </c>
      <c r="AY93" s="23" t="s">
        <v>325</v>
      </c>
      <c r="AZ93" s="23">
        <f>VALUE(0)</f>
        <v>0</v>
      </c>
      <c r="BA93" s="23">
        <f>VALUE(0)</f>
        <v>0</v>
      </c>
      <c r="BB93" s="23">
        <f>VALUE(0)</f>
        <v>0</v>
      </c>
      <c r="BC93" s="23">
        <f>VALUE(0)</f>
        <v>0</v>
      </c>
      <c r="BD93" s="23">
        <f>VALUE(0)</f>
        <v>0</v>
      </c>
      <c r="BE93" s="23">
        <f>VALUE(0)</f>
        <v>0</v>
      </c>
      <c r="BF93" s="23">
        <f>VALUE(0)</f>
        <v>0</v>
      </c>
      <c r="BG93" s="23">
        <f>VALUE(0)</f>
        <v>0</v>
      </c>
      <c r="BH93" s="23">
        <f>VALUE(0)</f>
        <v>0</v>
      </c>
      <c r="BI93" s="23">
        <f>VALUE(0)</f>
        <v>0</v>
      </c>
      <c r="BJ93" s="23">
        <f>VALUE(0)</f>
        <v>0</v>
      </c>
      <c r="BK93" s="12">
        <f>$AX$93*24</f>
        <v>5.833333333333333</v>
      </c>
      <c r="BL93" s="12">
        <f>$AY$93*24</f>
        <v>31.533333333333331</v>
      </c>
      <c r="BM93" s="12">
        <f>$BJ$93*24</f>
        <v>0</v>
      </c>
      <c r="BN93" s="12">
        <f>VALUE($I$93)/100</f>
        <v>1</v>
      </c>
      <c r="BO93" s="12">
        <v>0</v>
      </c>
      <c r="BP93" s="12">
        <v>0</v>
      </c>
      <c r="BQ93" s="12">
        <v>0</v>
      </c>
      <c r="BR93" s="12">
        <v>0</v>
      </c>
      <c r="BS93" s="12">
        <v>0</v>
      </c>
      <c r="BT93" s="12">
        <v>0</v>
      </c>
      <c r="BU93" s="12">
        <v>0</v>
      </c>
      <c r="BV93" s="12">
        <v>0</v>
      </c>
      <c r="BW93" s="12">
        <v>0</v>
      </c>
      <c r="BX93" s="12">
        <v>0</v>
      </c>
      <c r="BY93" s="12">
        <v>0</v>
      </c>
      <c r="BZ93" s="12">
        <v>0</v>
      </c>
      <c r="CA93" s="12">
        <v>0</v>
      </c>
    </row>
    <row r="94" spans="1:79" x14ac:dyDescent="0.2">
      <c r="A94" s="12" t="s">
        <v>102</v>
      </c>
      <c r="B94" s="12" t="s">
        <v>112</v>
      </c>
      <c r="C94" s="12" t="s">
        <v>112</v>
      </c>
      <c r="D94" s="22" t="s">
        <v>157</v>
      </c>
      <c r="E94" s="22" t="s">
        <v>161</v>
      </c>
      <c r="F94" s="22" t="s">
        <v>737</v>
      </c>
      <c r="G94" s="22" t="s">
        <v>738</v>
      </c>
      <c r="H94" s="22" t="s">
        <v>150</v>
      </c>
      <c r="I94" s="22" t="s">
        <v>151</v>
      </c>
      <c r="J94" s="22" t="s">
        <v>162</v>
      </c>
      <c r="K94" s="22" t="s">
        <v>73</v>
      </c>
      <c r="L94" s="54" t="s">
        <v>153</v>
      </c>
      <c r="M94" s="23" t="s">
        <v>153</v>
      </c>
      <c r="N94" s="24" t="s">
        <v>153</v>
      </c>
      <c r="O94" s="23" t="s">
        <v>153</v>
      </c>
      <c r="P94" s="23" t="s">
        <v>153</v>
      </c>
      <c r="Q94" s="23" t="s">
        <v>153</v>
      </c>
      <c r="R94" s="25" t="s">
        <v>1196</v>
      </c>
      <c r="S94" s="25" t="s">
        <v>1196</v>
      </c>
      <c r="T94" s="25" t="s">
        <v>1196</v>
      </c>
      <c r="U94" s="24" t="s">
        <v>153</v>
      </c>
      <c r="V94" s="54" t="s">
        <v>153</v>
      </c>
      <c r="W94" s="23" t="s">
        <v>154</v>
      </c>
      <c r="X94" s="23" t="s">
        <v>154</v>
      </c>
      <c r="Y94" s="23" t="s">
        <v>154</v>
      </c>
      <c r="Z94" s="23" t="s">
        <v>154</v>
      </c>
      <c r="AA94" s="23" t="s">
        <v>154</v>
      </c>
      <c r="AB94" s="24" t="s">
        <v>153</v>
      </c>
      <c r="AC94" s="28" t="s">
        <v>163</v>
      </c>
      <c r="AD94" s="28" t="s">
        <v>163</v>
      </c>
      <c r="AE94" s="28" t="s">
        <v>163</v>
      </c>
      <c r="AF94" s="28" t="s">
        <v>163</v>
      </c>
      <c r="AG94" s="28" t="s">
        <v>163</v>
      </c>
      <c r="AH94" s="28" t="s">
        <v>163</v>
      </c>
      <c r="AI94" s="24" t="s">
        <v>153</v>
      </c>
      <c r="AJ94" s="23" t="s">
        <v>154</v>
      </c>
      <c r="AK94" s="23" t="s">
        <v>154</v>
      </c>
      <c r="AL94" s="23" t="s">
        <v>154</v>
      </c>
      <c r="AM94" s="24" t="s">
        <v>156</v>
      </c>
      <c r="AN94" s="24" t="s">
        <v>156</v>
      </c>
      <c r="AO94" s="24" t="s">
        <v>156</v>
      </c>
      <c r="AP94" s="23">
        <f>VALUE(3)</f>
        <v>3</v>
      </c>
      <c r="AQ94" s="23">
        <f>VALUE(0)</f>
        <v>0</v>
      </c>
      <c r="AR94" s="23">
        <f>VALUE(0)</f>
        <v>0</v>
      </c>
      <c r="AS94" s="23">
        <f>VALUE(0)</f>
        <v>0</v>
      </c>
      <c r="AT94" s="23">
        <f>VALUE(0)</f>
        <v>0</v>
      </c>
      <c r="AU94" s="23">
        <f>VALUE(6)</f>
        <v>6</v>
      </c>
      <c r="AV94" s="23">
        <f>VALUE(2)</f>
        <v>2</v>
      </c>
      <c r="AW94" s="23">
        <f>VALUE(0)</f>
        <v>0</v>
      </c>
      <c r="AX94" s="23" t="s">
        <v>171</v>
      </c>
      <c r="AY94" s="23" t="s">
        <v>326</v>
      </c>
      <c r="AZ94" s="23">
        <f>VALUE(0)</f>
        <v>0</v>
      </c>
      <c r="BA94" s="23">
        <f>VALUE(0)</f>
        <v>0</v>
      </c>
      <c r="BB94" s="23">
        <f>VALUE(0)</f>
        <v>0</v>
      </c>
      <c r="BC94" s="23">
        <f>VALUE(0)</f>
        <v>0</v>
      </c>
      <c r="BD94" s="23">
        <f>VALUE(3)</f>
        <v>3</v>
      </c>
      <c r="BE94" s="23">
        <f>VALUE(0)</f>
        <v>0</v>
      </c>
      <c r="BF94" s="23">
        <f>VALUE(0)</f>
        <v>0</v>
      </c>
      <c r="BG94" s="23">
        <f>VALUE(0)</f>
        <v>0</v>
      </c>
      <c r="BH94" s="23">
        <f>VALUE(0)</f>
        <v>0</v>
      </c>
      <c r="BI94" s="23">
        <f>VALUE(0)</f>
        <v>0</v>
      </c>
      <c r="BJ94" s="23">
        <f>VALUE(0)</f>
        <v>0</v>
      </c>
      <c r="BK94" s="12">
        <f>$AX$94*24</f>
        <v>5.833333333333333</v>
      </c>
      <c r="BL94" s="12">
        <f>$AY$94*24</f>
        <v>11.633333333333333</v>
      </c>
      <c r="BM94" s="12">
        <f>$BJ$94*24</f>
        <v>0</v>
      </c>
      <c r="BN94" s="12">
        <f>VALUE($I$94)/100</f>
        <v>1</v>
      </c>
      <c r="BO94" s="12">
        <v>0</v>
      </c>
      <c r="BP94" s="12">
        <v>0</v>
      </c>
      <c r="BQ94" s="12">
        <v>0</v>
      </c>
      <c r="BR94" s="12">
        <v>3</v>
      </c>
      <c r="BS94" s="12">
        <v>0</v>
      </c>
      <c r="BT94" s="12">
        <v>0</v>
      </c>
      <c r="BU94" s="12">
        <v>0</v>
      </c>
      <c r="BV94" s="12">
        <v>0</v>
      </c>
      <c r="BW94" s="12">
        <v>0</v>
      </c>
      <c r="BX94" s="12">
        <v>0</v>
      </c>
      <c r="BY94" s="12">
        <v>0</v>
      </c>
      <c r="BZ94" s="12">
        <v>0</v>
      </c>
      <c r="CA94" s="12">
        <v>0</v>
      </c>
    </row>
    <row r="95" spans="1:79" x14ac:dyDescent="0.2">
      <c r="A95" s="12" t="s">
        <v>102</v>
      </c>
      <c r="B95" s="12" t="s">
        <v>112</v>
      </c>
      <c r="C95" s="12" t="s">
        <v>112</v>
      </c>
      <c r="D95" s="22" t="s">
        <v>327</v>
      </c>
      <c r="E95" s="22" t="s">
        <v>161</v>
      </c>
      <c r="F95" s="22" t="s">
        <v>739</v>
      </c>
      <c r="G95" s="22" t="s">
        <v>740</v>
      </c>
      <c r="H95" s="22" t="s">
        <v>166</v>
      </c>
      <c r="I95" s="22" t="s">
        <v>151</v>
      </c>
      <c r="J95" s="22" t="s">
        <v>162</v>
      </c>
      <c r="K95" s="22" t="s">
        <v>73</v>
      </c>
      <c r="L95" s="54" t="s">
        <v>153</v>
      </c>
      <c r="M95" s="28" t="s">
        <v>163</v>
      </c>
      <c r="N95" s="24" t="s">
        <v>153</v>
      </c>
      <c r="O95" s="23" t="s">
        <v>153</v>
      </c>
      <c r="P95" s="23" t="s">
        <v>153</v>
      </c>
      <c r="Q95" s="23" t="s">
        <v>153</v>
      </c>
      <c r="R95" s="23" t="s">
        <v>153</v>
      </c>
      <c r="S95" s="23" t="s">
        <v>153</v>
      </c>
      <c r="T95" s="23" t="s">
        <v>153</v>
      </c>
      <c r="U95" s="24" t="s">
        <v>153</v>
      </c>
      <c r="V95" s="54" t="s">
        <v>153</v>
      </c>
      <c r="W95" s="23" t="s">
        <v>153</v>
      </c>
      <c r="X95" s="23" t="s">
        <v>153</v>
      </c>
      <c r="Y95" s="23" t="s">
        <v>153</v>
      </c>
      <c r="Z95" s="29" t="s">
        <v>218</v>
      </c>
      <c r="AA95" s="23" t="s">
        <v>153</v>
      </c>
      <c r="AB95" s="24" t="s">
        <v>153</v>
      </c>
      <c r="AC95" s="24" t="s">
        <v>156</v>
      </c>
      <c r="AD95" s="24" t="s">
        <v>156</v>
      </c>
      <c r="AE95" s="24" t="s">
        <v>156</v>
      </c>
      <c r="AF95" s="23" t="s">
        <v>153</v>
      </c>
      <c r="AG95" s="23" t="s">
        <v>153</v>
      </c>
      <c r="AH95" s="23" t="s">
        <v>153</v>
      </c>
      <c r="AI95" s="24" t="s">
        <v>153</v>
      </c>
      <c r="AJ95" s="23" t="s">
        <v>153</v>
      </c>
      <c r="AK95" s="23" t="s">
        <v>153</v>
      </c>
      <c r="AL95" s="23" t="s">
        <v>153</v>
      </c>
      <c r="AM95" s="23" t="s">
        <v>153</v>
      </c>
      <c r="AN95" s="23" t="s">
        <v>153</v>
      </c>
      <c r="AO95" s="23" t="s">
        <v>153</v>
      </c>
      <c r="AP95" s="23">
        <f>VALUE(6)</f>
        <v>6</v>
      </c>
      <c r="AQ95" s="23">
        <f>VALUE(0)</f>
        <v>0</v>
      </c>
      <c r="AR95" s="23">
        <f>VALUE(1)</f>
        <v>1</v>
      </c>
      <c r="AS95" s="23">
        <f>VALUE(0)</f>
        <v>0</v>
      </c>
      <c r="AT95" s="23">
        <f>VALUE(0)</f>
        <v>0</v>
      </c>
      <c r="AU95" s="23">
        <f>VALUE(1)</f>
        <v>1</v>
      </c>
      <c r="AV95" s="23">
        <f>VALUE(2)</f>
        <v>2</v>
      </c>
      <c r="AW95" s="23">
        <f>VALUE(0)</f>
        <v>0</v>
      </c>
      <c r="AX95" s="23" t="s">
        <v>328</v>
      </c>
      <c r="AY95" s="23">
        <f>VALUE(0)</f>
        <v>0</v>
      </c>
      <c r="AZ95" s="23">
        <f>VALUE(0)</f>
        <v>0</v>
      </c>
      <c r="BA95" s="23">
        <f>VALUE(0)</f>
        <v>0</v>
      </c>
      <c r="BB95" s="23">
        <f>VALUE(0)</f>
        <v>0</v>
      </c>
      <c r="BC95" s="23">
        <f>VALUE(0)</f>
        <v>0</v>
      </c>
      <c r="BD95" s="23">
        <f>VALUE(0)</f>
        <v>0</v>
      </c>
      <c r="BE95" s="23">
        <f>VALUE(0)</f>
        <v>0</v>
      </c>
      <c r="BF95" s="23">
        <f>VALUE(0)</f>
        <v>0</v>
      </c>
      <c r="BG95" s="23">
        <f>VALUE(0)</f>
        <v>0</v>
      </c>
      <c r="BH95" s="23">
        <f>VALUE(0)</f>
        <v>0</v>
      </c>
      <c r="BI95" s="23">
        <f>VALUE(0)</f>
        <v>0</v>
      </c>
      <c r="BJ95" s="23">
        <f>VALUE(0)</f>
        <v>0</v>
      </c>
      <c r="BK95" s="12">
        <f>$AX$95*24</f>
        <v>28.683333333333337</v>
      </c>
      <c r="BL95" s="12">
        <f>$AY$95*24</f>
        <v>0</v>
      </c>
      <c r="BM95" s="12">
        <f>$BJ$95*24</f>
        <v>0</v>
      </c>
      <c r="BN95" s="12">
        <f>VALUE($I$95)/100</f>
        <v>1</v>
      </c>
      <c r="BO95" s="12">
        <v>0</v>
      </c>
      <c r="BP95" s="12">
        <v>0</v>
      </c>
      <c r="BQ95" s="12">
        <v>0</v>
      </c>
      <c r="BR95" s="12">
        <v>0</v>
      </c>
      <c r="BS95" s="12">
        <v>1</v>
      </c>
      <c r="BT95" s="12">
        <v>0</v>
      </c>
      <c r="BU95" s="12">
        <v>0</v>
      </c>
      <c r="BV95" s="12">
        <v>0</v>
      </c>
      <c r="BW95" s="12">
        <v>0</v>
      </c>
      <c r="BX95" s="12">
        <v>0</v>
      </c>
      <c r="BY95" s="12">
        <v>0</v>
      </c>
      <c r="BZ95" s="12">
        <v>0</v>
      </c>
      <c r="CA95" s="12">
        <v>0</v>
      </c>
    </row>
    <row r="96" spans="1:79" x14ac:dyDescent="0.2">
      <c r="A96" s="12" t="s">
        <v>102</v>
      </c>
      <c r="B96" s="12" t="s">
        <v>112</v>
      </c>
      <c r="C96" s="12" t="s">
        <v>112</v>
      </c>
      <c r="D96" s="22" t="s">
        <v>154</v>
      </c>
      <c r="E96" s="22" t="s">
        <v>161</v>
      </c>
      <c r="F96" s="22" t="s">
        <v>741</v>
      </c>
      <c r="G96" s="22" t="s">
        <v>742</v>
      </c>
      <c r="H96" s="22" t="s">
        <v>150</v>
      </c>
      <c r="I96" s="22" t="s">
        <v>151</v>
      </c>
      <c r="J96" s="22" t="s">
        <v>162</v>
      </c>
      <c r="K96" s="22" t="s">
        <v>73</v>
      </c>
      <c r="L96" s="54" t="s">
        <v>153</v>
      </c>
      <c r="M96" s="28" t="s">
        <v>163</v>
      </c>
      <c r="N96" s="24" t="s">
        <v>153</v>
      </c>
      <c r="O96" s="35" t="s">
        <v>170</v>
      </c>
      <c r="P96" s="35" t="s">
        <v>170</v>
      </c>
      <c r="Q96" s="25" t="s">
        <v>169</v>
      </c>
      <c r="R96" s="23" t="s">
        <v>169</v>
      </c>
      <c r="S96" s="23" t="s">
        <v>169</v>
      </c>
      <c r="T96" s="23" t="s">
        <v>169</v>
      </c>
      <c r="U96" s="24" t="s">
        <v>153</v>
      </c>
      <c r="V96" s="54" t="s">
        <v>153</v>
      </c>
      <c r="W96" s="23" t="s">
        <v>167</v>
      </c>
      <c r="X96" s="23" t="s">
        <v>167</v>
      </c>
      <c r="Y96" s="23" t="s">
        <v>157</v>
      </c>
      <c r="Z96" s="23" t="s">
        <v>327</v>
      </c>
      <c r="AA96" s="23" t="s">
        <v>157</v>
      </c>
      <c r="AB96" s="24" t="s">
        <v>153</v>
      </c>
      <c r="AC96" s="23" t="s">
        <v>157</v>
      </c>
      <c r="AD96" s="23" t="s">
        <v>157</v>
      </c>
      <c r="AE96" s="23" t="s">
        <v>157</v>
      </c>
      <c r="AF96" s="34" t="s">
        <v>157</v>
      </c>
      <c r="AG96" s="34" t="s">
        <v>157</v>
      </c>
      <c r="AH96" s="34" t="s">
        <v>157</v>
      </c>
      <c r="AI96" s="24" t="s">
        <v>153</v>
      </c>
      <c r="AJ96" s="23" t="s">
        <v>169</v>
      </c>
      <c r="AK96" s="23" t="s">
        <v>169</v>
      </c>
      <c r="AL96" s="23" t="s">
        <v>169</v>
      </c>
      <c r="AM96" s="25" t="s">
        <v>157</v>
      </c>
      <c r="AN96" s="25" t="s">
        <v>157</v>
      </c>
      <c r="AO96" s="25" t="s">
        <v>157</v>
      </c>
      <c r="AP96" s="23">
        <f>VALUE(4)</f>
        <v>4</v>
      </c>
      <c r="AQ96" s="23">
        <f>VALUE(0)</f>
        <v>0</v>
      </c>
      <c r="AR96" s="23">
        <f>VALUE(0)</f>
        <v>0</v>
      </c>
      <c r="AS96" s="23">
        <f>VALUE(0)</f>
        <v>0</v>
      </c>
      <c r="AT96" s="23">
        <f>VALUE(0)</f>
        <v>0</v>
      </c>
      <c r="AU96" s="23">
        <f>VALUE(1)</f>
        <v>1</v>
      </c>
      <c r="AV96" s="23">
        <f>VALUE(1)</f>
        <v>1</v>
      </c>
      <c r="AW96" s="23">
        <f>VALUE(0)</f>
        <v>0</v>
      </c>
      <c r="AX96" s="23">
        <f>VALUE(0)</f>
        <v>0</v>
      </c>
      <c r="AY96" s="23">
        <f>VALUE(0)</f>
        <v>0</v>
      </c>
      <c r="AZ96" s="23">
        <f>VALUE(0)</f>
        <v>0</v>
      </c>
      <c r="BA96" s="23">
        <f>VALUE(0)</f>
        <v>0</v>
      </c>
      <c r="BB96" s="23">
        <f>VALUE(0)</f>
        <v>0</v>
      </c>
      <c r="BC96" s="23">
        <f>VALUE(0)</f>
        <v>0</v>
      </c>
      <c r="BD96" s="23">
        <f>VALUE(0)</f>
        <v>0</v>
      </c>
      <c r="BE96" s="23">
        <f>VALUE(2)</f>
        <v>2</v>
      </c>
      <c r="BF96" s="23">
        <f>VALUE(0)</f>
        <v>0</v>
      </c>
      <c r="BG96" s="23">
        <f>VALUE(0)</f>
        <v>0</v>
      </c>
      <c r="BH96" s="23">
        <f>VALUE(0)</f>
        <v>0</v>
      </c>
      <c r="BI96" s="23">
        <f>VALUE(0)</f>
        <v>0</v>
      </c>
      <c r="BJ96" s="23">
        <f>VALUE(0)</f>
        <v>0</v>
      </c>
      <c r="BK96" s="12">
        <f>$AX$96*24</f>
        <v>0</v>
      </c>
      <c r="BL96" s="12">
        <f>$AY$96*24</f>
        <v>0</v>
      </c>
      <c r="BM96" s="12">
        <f>$BJ$96*24</f>
        <v>0</v>
      </c>
      <c r="BN96" s="12">
        <f>VALUE($I$96)/100</f>
        <v>1</v>
      </c>
      <c r="BO96" s="12">
        <v>0</v>
      </c>
      <c r="BP96" s="12">
        <v>0</v>
      </c>
      <c r="BQ96" s="12">
        <v>0</v>
      </c>
      <c r="BR96" s="12">
        <v>0</v>
      </c>
      <c r="BS96" s="12">
        <v>0</v>
      </c>
      <c r="BT96" s="12">
        <v>0</v>
      </c>
      <c r="BU96" s="12">
        <v>0</v>
      </c>
      <c r="BV96" s="12">
        <v>0</v>
      </c>
      <c r="BW96" s="12">
        <v>0</v>
      </c>
      <c r="BX96" s="12">
        <v>0</v>
      </c>
      <c r="BY96" s="12">
        <v>0</v>
      </c>
      <c r="BZ96" s="12">
        <v>0</v>
      </c>
      <c r="CA96" s="12">
        <v>0</v>
      </c>
    </row>
    <row r="97" spans="1:79" ht="16.5" x14ac:dyDescent="0.2">
      <c r="A97" s="12" t="s">
        <v>102</v>
      </c>
      <c r="B97" s="12" t="s">
        <v>112</v>
      </c>
      <c r="C97" s="12" t="s">
        <v>112</v>
      </c>
      <c r="D97" s="22" t="s">
        <v>329</v>
      </c>
      <c r="E97" s="22" t="s">
        <v>159</v>
      </c>
      <c r="F97" s="22" t="s">
        <v>743</v>
      </c>
      <c r="G97" s="22" t="s">
        <v>744</v>
      </c>
      <c r="H97" s="22" t="s">
        <v>150</v>
      </c>
      <c r="I97" s="22" t="s">
        <v>151</v>
      </c>
      <c r="J97" s="22" t="s">
        <v>162</v>
      </c>
      <c r="K97" s="22" t="s">
        <v>73</v>
      </c>
      <c r="L97" s="54" t="s">
        <v>153</v>
      </c>
      <c r="M97" s="23" t="s">
        <v>327</v>
      </c>
      <c r="N97" s="24" t="s">
        <v>153</v>
      </c>
      <c r="O97" s="26" t="s">
        <v>1197</v>
      </c>
      <c r="P97" s="26" t="s">
        <v>1197</v>
      </c>
      <c r="Q97" s="26" t="s">
        <v>1197</v>
      </c>
      <c r="R97" s="26" t="s">
        <v>1197</v>
      </c>
      <c r="S97" s="26" t="s">
        <v>1197</v>
      </c>
      <c r="T97" s="26" t="s">
        <v>1197</v>
      </c>
      <c r="U97" s="24" t="s">
        <v>153</v>
      </c>
      <c r="V97" s="54" t="s">
        <v>153</v>
      </c>
      <c r="W97" s="28" t="s">
        <v>163</v>
      </c>
      <c r="X97" s="26" t="s">
        <v>1197</v>
      </c>
      <c r="Y97" s="26" t="s">
        <v>1197</v>
      </c>
      <c r="Z97" s="26" t="s">
        <v>1197</v>
      </c>
      <c r="AA97" s="26" t="s">
        <v>1197</v>
      </c>
      <c r="AB97" s="24" t="s">
        <v>153</v>
      </c>
      <c r="AC97" s="28" t="s">
        <v>163</v>
      </c>
      <c r="AD97" s="28" t="s">
        <v>163</v>
      </c>
      <c r="AE97" s="28" t="s">
        <v>163</v>
      </c>
      <c r="AF97" s="28" t="s">
        <v>163</v>
      </c>
      <c r="AG97" s="28" t="s">
        <v>163</v>
      </c>
      <c r="AH97" s="28" t="s">
        <v>163</v>
      </c>
      <c r="AI97" s="24" t="s">
        <v>153</v>
      </c>
      <c r="AJ97" s="26" t="s">
        <v>1197</v>
      </c>
      <c r="AK97" s="26" t="s">
        <v>1197</v>
      </c>
      <c r="AL97" s="26" t="s">
        <v>1197</v>
      </c>
      <c r="AM97" s="26" t="s">
        <v>1197</v>
      </c>
      <c r="AN97" s="26" t="s">
        <v>1197</v>
      </c>
      <c r="AO97" s="26" t="s">
        <v>1197</v>
      </c>
      <c r="AP97" s="23">
        <f>VALUE(3)</f>
        <v>3</v>
      </c>
      <c r="AQ97" s="23">
        <f>VALUE(0)</f>
        <v>0</v>
      </c>
      <c r="AR97" s="23">
        <f>VALUE(0)</f>
        <v>0</v>
      </c>
      <c r="AS97" s="23">
        <f>VALUE(0)</f>
        <v>0</v>
      </c>
      <c r="AT97" s="23">
        <f>VALUE(0)</f>
        <v>0</v>
      </c>
      <c r="AU97" s="23">
        <f>VALUE(7)</f>
        <v>7</v>
      </c>
      <c r="AV97" s="23">
        <f>VALUE(0)</f>
        <v>0</v>
      </c>
      <c r="AW97" s="23">
        <f>VALUE(0)</f>
        <v>0</v>
      </c>
      <c r="AX97" s="23" t="s">
        <v>176</v>
      </c>
      <c r="AY97" s="23" t="s">
        <v>330</v>
      </c>
      <c r="AZ97" s="23">
        <f>VALUE(0)</f>
        <v>0</v>
      </c>
      <c r="BA97" s="23">
        <f>VALUE(0)</f>
        <v>0</v>
      </c>
      <c r="BB97" s="23">
        <f>VALUE(0)</f>
        <v>0</v>
      </c>
      <c r="BC97" s="23">
        <f>VALUE(0)</f>
        <v>0</v>
      </c>
      <c r="BD97" s="23">
        <f>VALUE(0)</f>
        <v>0</v>
      </c>
      <c r="BE97" s="23">
        <f>VALUE(0)</f>
        <v>0</v>
      </c>
      <c r="BF97" s="23">
        <f>VALUE(0)</f>
        <v>0</v>
      </c>
      <c r="BG97" s="23">
        <f>VALUE(0)</f>
        <v>0</v>
      </c>
      <c r="BH97" s="23">
        <f>VALUE(0)</f>
        <v>0</v>
      </c>
      <c r="BI97" s="23">
        <f>VALUE(0)</f>
        <v>0</v>
      </c>
      <c r="BJ97" s="23">
        <f>VALUE(0)</f>
        <v>0</v>
      </c>
      <c r="BK97" s="12">
        <f>$AX$97*24</f>
        <v>0</v>
      </c>
      <c r="BL97" s="12">
        <f>$AY$97*24</f>
        <v>22.9</v>
      </c>
      <c r="BM97" s="12">
        <f>$BJ$97*24</f>
        <v>0</v>
      </c>
      <c r="BN97" s="12">
        <f>VALUE($I$97)/100</f>
        <v>1</v>
      </c>
      <c r="BO97" s="12">
        <v>0</v>
      </c>
      <c r="BP97" s="12">
        <v>0</v>
      </c>
      <c r="BQ97" s="12">
        <v>0</v>
      </c>
      <c r="BR97" s="12">
        <v>0</v>
      </c>
      <c r="BS97" s="12">
        <v>0</v>
      </c>
      <c r="BT97" s="12">
        <v>0</v>
      </c>
      <c r="BU97" s="12">
        <v>0</v>
      </c>
      <c r="BV97" s="12">
        <v>0</v>
      </c>
      <c r="BW97" s="12">
        <v>0</v>
      </c>
      <c r="BX97" s="12">
        <v>0</v>
      </c>
      <c r="BY97" s="12">
        <v>0</v>
      </c>
      <c r="BZ97" s="12">
        <v>0</v>
      </c>
      <c r="CA97" s="12">
        <v>0</v>
      </c>
    </row>
    <row r="98" spans="1:79" ht="16.5" x14ac:dyDescent="0.2">
      <c r="A98" s="12" t="s">
        <v>102</v>
      </c>
      <c r="B98" s="12" t="s">
        <v>112</v>
      </c>
      <c r="C98" s="12" t="s">
        <v>112</v>
      </c>
      <c r="D98" s="22" t="s">
        <v>159</v>
      </c>
      <c r="E98" s="22" t="s">
        <v>159</v>
      </c>
      <c r="F98" s="22" t="s">
        <v>745</v>
      </c>
      <c r="G98" s="22" t="s">
        <v>746</v>
      </c>
      <c r="H98" s="22" t="s">
        <v>150</v>
      </c>
      <c r="I98" s="22" t="s">
        <v>151</v>
      </c>
      <c r="J98" s="22" t="s">
        <v>162</v>
      </c>
      <c r="K98" s="22" t="s">
        <v>73</v>
      </c>
      <c r="L98" s="54" t="s">
        <v>153</v>
      </c>
      <c r="M98" s="23" t="s">
        <v>169</v>
      </c>
      <c r="N98" s="24" t="s">
        <v>153</v>
      </c>
      <c r="O98" s="23" t="s">
        <v>160</v>
      </c>
      <c r="P98" s="23" t="s">
        <v>160</v>
      </c>
      <c r="Q98" s="23" t="s">
        <v>160</v>
      </c>
      <c r="R98" s="23" t="s">
        <v>160</v>
      </c>
      <c r="S98" s="23" t="s">
        <v>160</v>
      </c>
      <c r="T98" s="23" t="s">
        <v>160</v>
      </c>
      <c r="U98" s="24" t="s">
        <v>153</v>
      </c>
      <c r="V98" s="54" t="s">
        <v>153</v>
      </c>
      <c r="W98" s="26" t="s">
        <v>1197</v>
      </c>
      <c r="X98" s="28" t="s">
        <v>163</v>
      </c>
      <c r="Y98" s="28" t="s">
        <v>163</v>
      </c>
      <c r="Z98" s="28" t="s">
        <v>163</v>
      </c>
      <c r="AA98" s="28" t="s">
        <v>163</v>
      </c>
      <c r="AB98" s="24" t="s">
        <v>153</v>
      </c>
      <c r="AC98" s="26" t="s">
        <v>1197</v>
      </c>
      <c r="AD98" s="26" t="s">
        <v>1197</v>
      </c>
      <c r="AE98" s="26" t="s">
        <v>1197</v>
      </c>
      <c r="AF98" s="23" t="s">
        <v>154</v>
      </c>
      <c r="AG98" s="23" t="s">
        <v>154</v>
      </c>
      <c r="AH98" s="23" t="s">
        <v>154</v>
      </c>
      <c r="AI98" s="24" t="s">
        <v>153</v>
      </c>
      <c r="AJ98" s="23" t="s">
        <v>324</v>
      </c>
      <c r="AK98" s="23" t="s">
        <v>324</v>
      </c>
      <c r="AL98" s="23" t="s">
        <v>324</v>
      </c>
      <c r="AM98" s="23" t="s">
        <v>169</v>
      </c>
      <c r="AN98" s="23" t="s">
        <v>160</v>
      </c>
      <c r="AO98" s="23" t="s">
        <v>160</v>
      </c>
      <c r="AP98" s="23">
        <f>VALUE(3)</f>
        <v>3</v>
      </c>
      <c r="AQ98" s="23">
        <f>VALUE(0)</f>
        <v>0</v>
      </c>
      <c r="AR98" s="23">
        <f>VALUE(0)</f>
        <v>0</v>
      </c>
      <c r="AS98" s="23">
        <f>VALUE(0)</f>
        <v>0</v>
      </c>
      <c r="AT98" s="23">
        <f>VALUE(0)</f>
        <v>0</v>
      </c>
      <c r="AU98" s="23">
        <f>VALUE(4)</f>
        <v>4</v>
      </c>
      <c r="AV98" s="23">
        <f>VALUE(2)</f>
        <v>2</v>
      </c>
      <c r="AW98" s="23">
        <f>VALUE(0)</f>
        <v>0</v>
      </c>
      <c r="AX98" s="23" t="s">
        <v>171</v>
      </c>
      <c r="AY98" s="23" t="s">
        <v>331</v>
      </c>
      <c r="AZ98" s="23">
        <f>VALUE(0)</f>
        <v>0</v>
      </c>
      <c r="BA98" s="23">
        <f>VALUE(0)</f>
        <v>0</v>
      </c>
      <c r="BB98" s="23">
        <f>VALUE(0)</f>
        <v>0</v>
      </c>
      <c r="BC98" s="23">
        <f>VALUE(0)</f>
        <v>0</v>
      </c>
      <c r="BD98" s="23">
        <f>VALUE(0)</f>
        <v>0</v>
      </c>
      <c r="BE98" s="23">
        <f>VALUE(0)</f>
        <v>0</v>
      </c>
      <c r="BF98" s="23">
        <f>VALUE(0)</f>
        <v>0</v>
      </c>
      <c r="BG98" s="23">
        <f>VALUE(0)</f>
        <v>0</v>
      </c>
      <c r="BH98" s="23">
        <f>VALUE(0)</f>
        <v>0</v>
      </c>
      <c r="BI98" s="23">
        <f>VALUE(0)</f>
        <v>0</v>
      </c>
      <c r="BJ98" s="23">
        <f>VALUE(0)</f>
        <v>0</v>
      </c>
      <c r="BK98" s="12">
        <f>$AX$98*24</f>
        <v>5.833333333333333</v>
      </c>
      <c r="BL98" s="12">
        <f>$AY$98*24</f>
        <v>16.416666666666668</v>
      </c>
      <c r="BM98" s="12">
        <f>$BJ$98*24</f>
        <v>0</v>
      </c>
      <c r="BN98" s="12">
        <f>VALUE($I$98)/100</f>
        <v>1</v>
      </c>
      <c r="BO98" s="12">
        <v>0</v>
      </c>
      <c r="BP98" s="12">
        <v>0</v>
      </c>
      <c r="BQ98" s="12">
        <v>0</v>
      </c>
      <c r="BR98" s="12">
        <v>0</v>
      </c>
      <c r="BS98" s="12">
        <v>0</v>
      </c>
      <c r="BT98" s="12">
        <v>0</v>
      </c>
      <c r="BU98" s="12">
        <v>0</v>
      </c>
      <c r="BV98" s="12">
        <v>0</v>
      </c>
      <c r="BW98" s="12">
        <v>0</v>
      </c>
      <c r="BX98" s="12">
        <v>0</v>
      </c>
      <c r="BY98" s="12">
        <v>0</v>
      </c>
      <c r="BZ98" s="12">
        <v>0</v>
      </c>
      <c r="CA98" s="12">
        <v>0</v>
      </c>
    </row>
    <row r="99" spans="1:79" x14ac:dyDescent="0.2">
      <c r="A99" s="12" t="s">
        <v>102</v>
      </c>
      <c r="B99" s="12" t="s">
        <v>112</v>
      </c>
      <c r="C99" s="12" t="s">
        <v>112</v>
      </c>
      <c r="D99" s="22" t="s">
        <v>1198</v>
      </c>
      <c r="E99" s="22" t="s">
        <v>332</v>
      </c>
      <c r="F99" s="22" t="s">
        <v>747</v>
      </c>
      <c r="G99" s="22" t="s">
        <v>748</v>
      </c>
      <c r="H99" s="22" t="s">
        <v>150</v>
      </c>
      <c r="I99" s="22" t="s">
        <v>151</v>
      </c>
      <c r="J99" s="22" t="s">
        <v>162</v>
      </c>
      <c r="K99" s="22" t="s">
        <v>73</v>
      </c>
      <c r="L99" s="54" t="s">
        <v>153</v>
      </c>
      <c r="M99" s="23" t="s">
        <v>167</v>
      </c>
      <c r="N99" s="24" t="s">
        <v>153</v>
      </c>
      <c r="O99" s="23" t="s">
        <v>154</v>
      </c>
      <c r="P99" s="23" t="s">
        <v>154</v>
      </c>
      <c r="Q99" s="23" t="s">
        <v>154</v>
      </c>
      <c r="R99" s="23" t="s">
        <v>157</v>
      </c>
      <c r="S99" s="23" t="s">
        <v>157</v>
      </c>
      <c r="T99" s="23" t="s">
        <v>157</v>
      </c>
      <c r="U99" s="24" t="s">
        <v>153</v>
      </c>
      <c r="V99" s="54" t="s">
        <v>153</v>
      </c>
      <c r="W99" s="25" t="s">
        <v>157</v>
      </c>
      <c r="X99" s="23" t="s">
        <v>157</v>
      </c>
      <c r="Y99" s="23" t="s">
        <v>165</v>
      </c>
      <c r="Z99" s="23" t="s">
        <v>165</v>
      </c>
      <c r="AA99" s="23" t="s">
        <v>165</v>
      </c>
      <c r="AB99" s="24" t="s">
        <v>153</v>
      </c>
      <c r="AC99" s="23" t="s">
        <v>327</v>
      </c>
      <c r="AD99" s="23" t="s">
        <v>327</v>
      </c>
      <c r="AE99" s="23" t="s">
        <v>327</v>
      </c>
      <c r="AF99" s="23" t="s">
        <v>153</v>
      </c>
      <c r="AG99" s="23" t="s">
        <v>153</v>
      </c>
      <c r="AH99" s="23" t="s">
        <v>153</v>
      </c>
      <c r="AI99" s="24" t="s">
        <v>153</v>
      </c>
      <c r="AJ99" s="23" t="s">
        <v>157</v>
      </c>
      <c r="AK99" s="23" t="s">
        <v>157</v>
      </c>
      <c r="AL99" s="23" t="s">
        <v>157</v>
      </c>
      <c r="AM99" s="25" t="s">
        <v>157</v>
      </c>
      <c r="AN99" s="25" t="s">
        <v>157</v>
      </c>
      <c r="AO99" s="23" t="s">
        <v>167</v>
      </c>
      <c r="AP99" s="23">
        <f>VALUE(4)</f>
        <v>4</v>
      </c>
      <c r="AQ99" s="23">
        <f>VALUE(0)</f>
        <v>0</v>
      </c>
      <c r="AR99" s="23">
        <f>VALUE(0)</f>
        <v>0</v>
      </c>
      <c r="AS99" s="23">
        <f>VALUE(3)</f>
        <v>3</v>
      </c>
      <c r="AT99" s="23">
        <f>VALUE(0)</f>
        <v>0</v>
      </c>
      <c r="AU99" s="23">
        <f>VALUE(0)</f>
        <v>0</v>
      </c>
      <c r="AV99" s="23">
        <f>VALUE(2)</f>
        <v>2</v>
      </c>
      <c r="AW99" s="23">
        <f>VALUE(0)</f>
        <v>0</v>
      </c>
      <c r="AX99" s="23" t="s">
        <v>158</v>
      </c>
      <c r="AY99" s="23" t="s">
        <v>171</v>
      </c>
      <c r="AZ99" s="23">
        <f>VALUE(0)</f>
        <v>0</v>
      </c>
      <c r="BA99" s="23">
        <f>VALUE(0)</f>
        <v>0</v>
      </c>
      <c r="BB99" s="23">
        <f>VALUE(0)</f>
        <v>0</v>
      </c>
      <c r="BC99" s="23">
        <f>VALUE(0)</f>
        <v>0</v>
      </c>
      <c r="BD99" s="23">
        <f>VALUE(0)</f>
        <v>0</v>
      </c>
      <c r="BE99" s="23">
        <f>VALUE(0)</f>
        <v>0</v>
      </c>
      <c r="BF99" s="23">
        <f>VALUE(0)</f>
        <v>0</v>
      </c>
      <c r="BG99" s="23">
        <f>VALUE(0)</f>
        <v>0</v>
      </c>
      <c r="BH99" s="23">
        <f>VALUE(0)</f>
        <v>0</v>
      </c>
      <c r="BI99" s="23">
        <f>VALUE(0)</f>
        <v>0</v>
      </c>
      <c r="BJ99" s="23">
        <f>VALUE(0)</f>
        <v>0</v>
      </c>
      <c r="BK99" s="12">
        <f>$AX$99*24</f>
        <v>11.666666666666666</v>
      </c>
      <c r="BL99" s="12">
        <f>$AY$99*24</f>
        <v>5.833333333333333</v>
      </c>
      <c r="BM99" s="12">
        <f>$BJ$99*24</f>
        <v>0</v>
      </c>
      <c r="BN99" s="12">
        <f>VALUE($I$99)/100</f>
        <v>1</v>
      </c>
      <c r="BO99" s="12">
        <v>0</v>
      </c>
      <c r="BP99" s="12">
        <v>0</v>
      </c>
      <c r="BQ99" s="12">
        <v>0</v>
      </c>
      <c r="BR99" s="12">
        <v>0</v>
      </c>
      <c r="BS99" s="12">
        <v>0</v>
      </c>
      <c r="BT99" s="12">
        <v>0</v>
      </c>
      <c r="BU99" s="12">
        <v>0</v>
      </c>
      <c r="BV99" s="12">
        <v>0</v>
      </c>
      <c r="BW99" s="12">
        <v>0</v>
      </c>
      <c r="BX99" s="12">
        <v>0</v>
      </c>
      <c r="BY99" s="12">
        <v>0</v>
      </c>
      <c r="BZ99" s="12">
        <v>0</v>
      </c>
      <c r="CA99" s="12">
        <v>0</v>
      </c>
    </row>
    <row r="100" spans="1:79" ht="15" x14ac:dyDescent="0.25">
      <c r="A100" s="12" t="s">
        <v>102</v>
      </c>
      <c r="B100" s="12" t="s">
        <v>112</v>
      </c>
      <c r="C100" s="12" t="s">
        <v>112</v>
      </c>
      <c r="D100" s="31" t="s">
        <v>590</v>
      </c>
      <c r="E100" s="31" t="s">
        <v>153</v>
      </c>
      <c r="F100" s="31" t="s">
        <v>175</v>
      </c>
      <c r="G100" s="31" t="s">
        <v>153</v>
      </c>
      <c r="H100" s="31" t="s">
        <v>153</v>
      </c>
      <c r="I100" s="31" t="s">
        <v>153</v>
      </c>
      <c r="J100" s="31" t="s">
        <v>153</v>
      </c>
      <c r="K100" s="31" t="s">
        <v>153</v>
      </c>
      <c r="L100" s="31">
        <f>VALUE(0)</f>
        <v>0</v>
      </c>
      <c r="M100" s="31">
        <f>VALUE(5)</f>
        <v>5</v>
      </c>
      <c r="N100" s="31">
        <f>VALUE(0)</f>
        <v>0</v>
      </c>
      <c r="O100" s="31">
        <f>VALUE(6)</f>
        <v>6</v>
      </c>
      <c r="P100" s="31">
        <f>VALUE(6)</f>
        <v>6</v>
      </c>
      <c r="Q100" s="31">
        <f>VALUE(7)</f>
        <v>7</v>
      </c>
      <c r="R100" s="31">
        <f>VALUE(7)</f>
        <v>7</v>
      </c>
      <c r="S100" s="31">
        <f>VALUE(7)</f>
        <v>7</v>
      </c>
      <c r="T100" s="31">
        <f>VALUE(7)</f>
        <v>7</v>
      </c>
      <c r="U100" s="31">
        <f>VALUE(0)</f>
        <v>0</v>
      </c>
      <c r="V100" s="31">
        <f>VALUE(0)</f>
        <v>0</v>
      </c>
      <c r="W100" s="31">
        <f>VALUE(6)</f>
        <v>6</v>
      </c>
      <c r="X100" s="31">
        <f>VALUE(6)</f>
        <v>6</v>
      </c>
      <c r="Y100" s="31">
        <f>VALUE(6)</f>
        <v>6</v>
      </c>
      <c r="Z100" s="31">
        <f>VALUE(5)</f>
        <v>5</v>
      </c>
      <c r="AA100" s="31">
        <f>VALUE(6)</f>
        <v>6</v>
      </c>
      <c r="AB100" s="31">
        <f>VALUE(0)</f>
        <v>0</v>
      </c>
      <c r="AC100" s="31">
        <f>VALUE(4)</f>
        <v>4</v>
      </c>
      <c r="AD100" s="31">
        <f>VALUE(4)</f>
        <v>4</v>
      </c>
      <c r="AE100" s="31">
        <f>VALUE(4)</f>
        <v>4</v>
      </c>
      <c r="AF100" s="31">
        <f>VALUE(4)</f>
        <v>4</v>
      </c>
      <c r="AG100" s="31">
        <f>VALUE(4)</f>
        <v>4</v>
      </c>
      <c r="AH100" s="31">
        <f>VALUE(4)</f>
        <v>4</v>
      </c>
      <c r="AI100" s="31">
        <f>VALUE(0)</f>
        <v>0</v>
      </c>
      <c r="AJ100" s="31">
        <f>VALUE(6)</f>
        <v>6</v>
      </c>
      <c r="AK100" s="31">
        <f>VALUE(6)</f>
        <v>6</v>
      </c>
      <c r="AL100" s="31">
        <f>VALUE(6)</f>
        <v>6</v>
      </c>
      <c r="AM100" s="31">
        <f>VALUE(6)</f>
        <v>6</v>
      </c>
      <c r="AN100" s="31">
        <f>VALUE(6)</f>
        <v>6</v>
      </c>
      <c r="AO100" s="31">
        <f>VALUE(6)</f>
        <v>6</v>
      </c>
      <c r="AP100" s="31">
        <v>0</v>
      </c>
      <c r="AQ100" s="31">
        <v>0</v>
      </c>
      <c r="AR100" s="31">
        <v>0</v>
      </c>
      <c r="AS100" s="31">
        <v>0</v>
      </c>
      <c r="AT100" s="31">
        <v>0</v>
      </c>
      <c r="AU100" s="31">
        <v>0</v>
      </c>
      <c r="AV100" s="31">
        <v>0</v>
      </c>
      <c r="AW100" s="31">
        <v>0</v>
      </c>
      <c r="AX100" s="31">
        <v>0</v>
      </c>
      <c r="AY100" s="31">
        <v>0</v>
      </c>
      <c r="AZ100" s="31">
        <v>0</v>
      </c>
      <c r="BA100" s="31">
        <v>0</v>
      </c>
      <c r="BB100" s="31">
        <v>0</v>
      </c>
      <c r="BC100" s="31">
        <v>0</v>
      </c>
      <c r="BD100" s="31">
        <v>0</v>
      </c>
      <c r="BE100" s="31">
        <v>0</v>
      </c>
      <c r="BF100" s="31">
        <v>0</v>
      </c>
      <c r="BG100" s="31">
        <v>0</v>
      </c>
      <c r="BH100" s="31">
        <v>0</v>
      </c>
      <c r="BI100" s="31">
        <v>0</v>
      </c>
      <c r="BJ100" s="31">
        <v>0</v>
      </c>
      <c r="BK100" s="12">
        <v>0</v>
      </c>
      <c r="BL100" s="12">
        <v>0</v>
      </c>
      <c r="BM100" s="12">
        <v>0</v>
      </c>
      <c r="BN100" s="12"/>
      <c r="BO100" s="12">
        <v>0</v>
      </c>
      <c r="BP100" s="12">
        <v>0</v>
      </c>
      <c r="BQ100" s="12">
        <v>0</v>
      </c>
      <c r="BR100" s="12">
        <v>0</v>
      </c>
      <c r="BS100" s="12">
        <v>0</v>
      </c>
      <c r="BT100" s="12">
        <v>0</v>
      </c>
      <c r="BU100" s="12">
        <v>0</v>
      </c>
      <c r="BV100" s="12">
        <v>0</v>
      </c>
      <c r="BW100" s="12">
        <v>0</v>
      </c>
      <c r="BX100" s="12">
        <v>0</v>
      </c>
      <c r="BY100" s="12">
        <v>0</v>
      </c>
      <c r="BZ100" s="12">
        <v>0</v>
      </c>
      <c r="CA100" s="12">
        <v>0</v>
      </c>
    </row>
    <row r="101" spans="1:79" x14ac:dyDescent="0.2">
      <c r="A101" s="12" t="s">
        <v>113</v>
      </c>
      <c r="B101" s="12" t="s">
        <v>114</v>
      </c>
      <c r="C101" s="12" t="s">
        <v>114</v>
      </c>
      <c r="D101" s="22" t="s">
        <v>334</v>
      </c>
      <c r="E101" s="22" t="s">
        <v>149</v>
      </c>
      <c r="F101" s="22" t="s">
        <v>749</v>
      </c>
      <c r="G101" s="22" t="s">
        <v>750</v>
      </c>
      <c r="H101" s="22" t="s">
        <v>150</v>
      </c>
      <c r="I101" s="22" t="s">
        <v>151</v>
      </c>
      <c r="J101" s="22" t="s">
        <v>335</v>
      </c>
      <c r="K101" s="22" t="s">
        <v>74</v>
      </c>
      <c r="L101" s="54" t="s">
        <v>153</v>
      </c>
      <c r="M101" s="24" t="s">
        <v>153</v>
      </c>
      <c r="N101" s="24" t="s">
        <v>153</v>
      </c>
      <c r="O101" s="23" t="s">
        <v>153</v>
      </c>
      <c r="P101" s="23" t="s">
        <v>153</v>
      </c>
      <c r="Q101" s="24" t="s">
        <v>156</v>
      </c>
      <c r="R101" s="23" t="s">
        <v>153</v>
      </c>
      <c r="S101" s="23" t="s">
        <v>153</v>
      </c>
      <c r="T101" s="24" t="s">
        <v>153</v>
      </c>
      <c r="U101" s="24" t="s">
        <v>153</v>
      </c>
      <c r="V101" s="54" t="s">
        <v>153</v>
      </c>
      <c r="W101" s="23" t="s">
        <v>153</v>
      </c>
      <c r="X101" s="23" t="s">
        <v>153</v>
      </c>
      <c r="Y101" s="23" t="s">
        <v>153</v>
      </c>
      <c r="Z101" s="23" t="s">
        <v>153</v>
      </c>
      <c r="AA101" s="24" t="s">
        <v>153</v>
      </c>
      <c r="AB101" s="24" t="s">
        <v>153</v>
      </c>
      <c r="AC101" s="23" t="s">
        <v>153</v>
      </c>
      <c r="AD101" s="23" t="s">
        <v>153</v>
      </c>
      <c r="AE101" s="24" t="s">
        <v>156</v>
      </c>
      <c r="AF101" s="23" t="s">
        <v>153</v>
      </c>
      <c r="AG101" s="23" t="s">
        <v>153</v>
      </c>
      <c r="AH101" s="24" t="s">
        <v>153</v>
      </c>
      <c r="AI101" s="24" t="s">
        <v>153</v>
      </c>
      <c r="AJ101" s="23" t="s">
        <v>153</v>
      </c>
      <c r="AK101" s="23" t="s">
        <v>153</v>
      </c>
      <c r="AL101" s="23" t="s">
        <v>153</v>
      </c>
      <c r="AM101" s="23" t="s">
        <v>153</v>
      </c>
      <c r="AN101" s="23" t="s">
        <v>153</v>
      </c>
      <c r="AO101" s="24" t="s">
        <v>153</v>
      </c>
      <c r="AP101" s="23">
        <f>VALUE(0)</f>
        <v>0</v>
      </c>
      <c r="AQ101" s="23">
        <f>VALUE(0)</f>
        <v>0</v>
      </c>
      <c r="AR101" s="23">
        <f>VALUE(0)</f>
        <v>0</v>
      </c>
      <c r="AS101" s="23">
        <f>VALUE(0)</f>
        <v>0</v>
      </c>
      <c r="AT101" s="23">
        <f>VALUE(0)</f>
        <v>0</v>
      </c>
      <c r="AU101" s="23">
        <f>VALUE(0)</f>
        <v>0</v>
      </c>
      <c r="AV101" s="23">
        <f>VALUE(6)</f>
        <v>6</v>
      </c>
      <c r="AW101" s="23">
        <f>VALUE(0)</f>
        <v>0</v>
      </c>
      <c r="AX101" s="23" t="s">
        <v>1199</v>
      </c>
      <c r="AY101" s="23">
        <f>VALUE(0)</f>
        <v>0</v>
      </c>
      <c r="AZ101" s="23">
        <f>VALUE(0)</f>
        <v>0</v>
      </c>
      <c r="BA101" s="23">
        <f>VALUE(0)</f>
        <v>0</v>
      </c>
      <c r="BB101" s="23">
        <f>VALUE(0)</f>
        <v>0</v>
      </c>
      <c r="BC101" s="23">
        <f>VALUE(0)</f>
        <v>0</v>
      </c>
      <c r="BD101" s="23">
        <f>VALUE(0)</f>
        <v>0</v>
      </c>
      <c r="BE101" s="23">
        <f>VALUE(0)</f>
        <v>0</v>
      </c>
      <c r="BF101" s="23">
        <f>VALUE(0)</f>
        <v>0</v>
      </c>
      <c r="BG101" s="23">
        <f>VALUE(0)</f>
        <v>0</v>
      </c>
      <c r="BH101" s="23">
        <f>VALUE(0)</f>
        <v>0</v>
      </c>
      <c r="BI101" s="23">
        <f>VALUE(0)</f>
        <v>0</v>
      </c>
      <c r="BJ101" s="23">
        <f>VALUE(0)</f>
        <v>0</v>
      </c>
      <c r="BK101" s="12">
        <f>$AX$101*24</f>
        <v>7</v>
      </c>
      <c r="BL101" s="12">
        <f>$AY$101*24</f>
        <v>0</v>
      </c>
      <c r="BM101" s="12">
        <f>$BJ$101*24</f>
        <v>0</v>
      </c>
      <c r="BN101" s="12">
        <f>VALUE($I$101)/100</f>
        <v>1</v>
      </c>
      <c r="BO101" s="12">
        <v>0</v>
      </c>
      <c r="BP101" s="12">
        <v>0</v>
      </c>
      <c r="BQ101" s="12">
        <v>0</v>
      </c>
      <c r="BR101" s="12">
        <v>0</v>
      </c>
      <c r="BS101" s="12">
        <v>0</v>
      </c>
      <c r="BT101" s="12">
        <v>0</v>
      </c>
      <c r="BU101" s="12">
        <v>0</v>
      </c>
      <c r="BV101" s="12">
        <v>0</v>
      </c>
      <c r="BW101" s="12">
        <v>0</v>
      </c>
      <c r="BX101" s="12">
        <v>0</v>
      </c>
      <c r="BY101" s="12">
        <v>0</v>
      </c>
      <c r="BZ101" s="12">
        <v>0</v>
      </c>
      <c r="CA101" s="12">
        <v>0</v>
      </c>
    </row>
    <row r="102" spans="1:79" ht="15" x14ac:dyDescent="0.25">
      <c r="A102" s="12" t="s">
        <v>113</v>
      </c>
      <c r="B102" s="12" t="s">
        <v>114</v>
      </c>
      <c r="C102" s="12" t="s">
        <v>114</v>
      </c>
      <c r="D102" s="31" t="s">
        <v>262</v>
      </c>
      <c r="E102" s="31" t="s">
        <v>153</v>
      </c>
      <c r="F102" s="31" t="s">
        <v>175</v>
      </c>
      <c r="G102" s="31" t="s">
        <v>153</v>
      </c>
      <c r="H102" s="31" t="s">
        <v>153</v>
      </c>
      <c r="I102" s="31" t="s">
        <v>153</v>
      </c>
      <c r="J102" s="31" t="s">
        <v>153</v>
      </c>
      <c r="K102" s="31" t="s">
        <v>153</v>
      </c>
      <c r="L102" s="31">
        <f>VALUE(0)</f>
        <v>0</v>
      </c>
      <c r="M102" s="31">
        <f>VALUE(0)</f>
        <v>0</v>
      </c>
      <c r="N102" s="31">
        <f>VALUE(0)</f>
        <v>0</v>
      </c>
      <c r="O102" s="31">
        <f>VALUE(1)</f>
        <v>1</v>
      </c>
      <c r="P102" s="31">
        <f>VALUE(1)</f>
        <v>1</v>
      </c>
      <c r="Q102" s="31">
        <f>VALUE(0)</f>
        <v>0</v>
      </c>
      <c r="R102" s="31">
        <f>VALUE(1)</f>
        <v>1</v>
      </c>
      <c r="S102" s="31">
        <f>VALUE(1)</f>
        <v>1</v>
      </c>
      <c r="T102" s="31">
        <f>VALUE(0)</f>
        <v>0</v>
      </c>
      <c r="U102" s="31">
        <f>VALUE(0)</f>
        <v>0</v>
      </c>
      <c r="V102" s="31">
        <f>VALUE(0)</f>
        <v>0</v>
      </c>
      <c r="W102" s="31">
        <f>VALUE(1)</f>
        <v>1</v>
      </c>
      <c r="X102" s="31">
        <f>VALUE(1)</f>
        <v>1</v>
      </c>
      <c r="Y102" s="31">
        <f>VALUE(1)</f>
        <v>1</v>
      </c>
      <c r="Z102" s="31">
        <f>VALUE(1)</f>
        <v>1</v>
      </c>
      <c r="AA102" s="31">
        <f>VALUE(0)</f>
        <v>0</v>
      </c>
      <c r="AB102" s="31">
        <f>VALUE(0)</f>
        <v>0</v>
      </c>
      <c r="AC102" s="31">
        <f>VALUE(1)</f>
        <v>1</v>
      </c>
      <c r="AD102" s="31">
        <f>VALUE(1)</f>
        <v>1</v>
      </c>
      <c r="AE102" s="31">
        <f>VALUE(0)</f>
        <v>0</v>
      </c>
      <c r="AF102" s="31">
        <f>VALUE(1)</f>
        <v>1</v>
      </c>
      <c r="AG102" s="31">
        <f>VALUE(1)</f>
        <v>1</v>
      </c>
      <c r="AH102" s="31">
        <f>VALUE(0)</f>
        <v>0</v>
      </c>
      <c r="AI102" s="31">
        <f>VALUE(0)</f>
        <v>0</v>
      </c>
      <c r="AJ102" s="31">
        <f>VALUE(1)</f>
        <v>1</v>
      </c>
      <c r="AK102" s="31">
        <f>VALUE(1)</f>
        <v>1</v>
      </c>
      <c r="AL102" s="31">
        <f>VALUE(1)</f>
        <v>1</v>
      </c>
      <c r="AM102" s="31">
        <f>VALUE(1)</f>
        <v>1</v>
      </c>
      <c r="AN102" s="31">
        <f>VALUE(1)</f>
        <v>1</v>
      </c>
      <c r="AO102" s="31">
        <f>VALUE(0)</f>
        <v>0</v>
      </c>
      <c r="AP102" s="31">
        <v>0</v>
      </c>
      <c r="AQ102" s="31">
        <v>0</v>
      </c>
      <c r="AR102" s="31">
        <v>0</v>
      </c>
      <c r="AS102" s="31">
        <v>0</v>
      </c>
      <c r="AT102" s="31">
        <v>0</v>
      </c>
      <c r="AU102" s="31">
        <v>0</v>
      </c>
      <c r="AV102" s="31">
        <v>0</v>
      </c>
      <c r="AW102" s="31">
        <v>0</v>
      </c>
      <c r="AX102" s="31">
        <v>0</v>
      </c>
      <c r="AY102" s="31">
        <v>0</v>
      </c>
      <c r="AZ102" s="31">
        <v>0</v>
      </c>
      <c r="BA102" s="31">
        <v>0</v>
      </c>
      <c r="BB102" s="31">
        <v>0</v>
      </c>
      <c r="BC102" s="31">
        <v>0</v>
      </c>
      <c r="BD102" s="31">
        <v>0</v>
      </c>
      <c r="BE102" s="31">
        <v>0</v>
      </c>
      <c r="BF102" s="31">
        <v>0</v>
      </c>
      <c r="BG102" s="31">
        <v>0</v>
      </c>
      <c r="BH102" s="31">
        <v>0</v>
      </c>
      <c r="BI102" s="31">
        <v>0</v>
      </c>
      <c r="BJ102" s="31">
        <v>0</v>
      </c>
      <c r="BK102" s="12">
        <v>0</v>
      </c>
      <c r="BL102" s="12">
        <v>0</v>
      </c>
      <c r="BM102" s="12">
        <v>0</v>
      </c>
      <c r="BN102" s="12"/>
      <c r="BO102" s="12">
        <v>0</v>
      </c>
      <c r="BP102" s="12">
        <v>0</v>
      </c>
      <c r="BQ102" s="12">
        <v>0</v>
      </c>
      <c r="BR102" s="12">
        <v>0</v>
      </c>
      <c r="BS102" s="12">
        <v>0</v>
      </c>
      <c r="BT102" s="12">
        <v>0</v>
      </c>
      <c r="BU102" s="12">
        <v>0</v>
      </c>
      <c r="BV102" s="12">
        <v>0</v>
      </c>
      <c r="BW102" s="12">
        <v>0</v>
      </c>
      <c r="BX102" s="12">
        <v>0</v>
      </c>
      <c r="BY102" s="12">
        <v>0</v>
      </c>
      <c r="BZ102" s="12">
        <v>0</v>
      </c>
      <c r="CA102" s="12">
        <v>0</v>
      </c>
    </row>
    <row r="103" spans="1:79" x14ac:dyDescent="0.2">
      <c r="A103" s="12" t="s">
        <v>113</v>
      </c>
      <c r="B103" s="12" t="s">
        <v>115</v>
      </c>
      <c r="C103" s="12" t="s">
        <v>115</v>
      </c>
      <c r="D103" s="22" t="s">
        <v>336</v>
      </c>
      <c r="E103" s="22" t="s">
        <v>149</v>
      </c>
      <c r="F103" s="22" t="s">
        <v>749</v>
      </c>
      <c r="G103" s="22" t="s">
        <v>750</v>
      </c>
      <c r="H103" s="22" t="s">
        <v>166</v>
      </c>
      <c r="I103" s="22" t="s">
        <v>151</v>
      </c>
      <c r="J103" s="22" t="s">
        <v>337</v>
      </c>
      <c r="K103" s="22" t="s">
        <v>75</v>
      </c>
      <c r="L103" s="54" t="s">
        <v>153</v>
      </c>
      <c r="M103" s="24" t="s">
        <v>153</v>
      </c>
      <c r="N103" s="24" t="s">
        <v>153</v>
      </c>
      <c r="O103" s="23" t="s">
        <v>153</v>
      </c>
      <c r="P103" s="23" t="s">
        <v>153</v>
      </c>
      <c r="Q103" s="23" t="s">
        <v>153</v>
      </c>
      <c r="R103" s="23" t="s">
        <v>153</v>
      </c>
      <c r="S103" s="23" t="s">
        <v>153</v>
      </c>
      <c r="T103" s="24" t="s">
        <v>153</v>
      </c>
      <c r="U103" s="24" t="s">
        <v>153</v>
      </c>
      <c r="V103" s="54" t="s">
        <v>153</v>
      </c>
      <c r="W103" s="23" t="s">
        <v>153</v>
      </c>
      <c r="X103" s="23" t="s">
        <v>153</v>
      </c>
      <c r="Y103" s="23" t="s">
        <v>153</v>
      </c>
      <c r="Z103" s="23" t="s">
        <v>153</v>
      </c>
      <c r="AA103" s="24" t="s">
        <v>153</v>
      </c>
      <c r="AB103" s="24" t="s">
        <v>153</v>
      </c>
      <c r="AC103" s="23" t="s">
        <v>153</v>
      </c>
      <c r="AD103" s="23" t="s">
        <v>153</v>
      </c>
      <c r="AE103" s="23" t="s">
        <v>153</v>
      </c>
      <c r="AF103" s="23" t="s">
        <v>153</v>
      </c>
      <c r="AG103" s="23" t="s">
        <v>153</v>
      </c>
      <c r="AH103" s="24" t="s">
        <v>153</v>
      </c>
      <c r="AI103" s="24" t="s">
        <v>153</v>
      </c>
      <c r="AJ103" s="23" t="s">
        <v>153</v>
      </c>
      <c r="AK103" s="23" t="s">
        <v>153</v>
      </c>
      <c r="AL103" s="23" t="s">
        <v>153</v>
      </c>
      <c r="AM103" s="23" t="s">
        <v>153</v>
      </c>
      <c r="AN103" s="23" t="s">
        <v>153</v>
      </c>
      <c r="AO103" s="24" t="s">
        <v>153</v>
      </c>
      <c r="AP103" s="23">
        <f>VALUE(0)</f>
        <v>0</v>
      </c>
      <c r="AQ103" s="23">
        <f>VALUE(0)</f>
        <v>0</v>
      </c>
      <c r="AR103" s="23">
        <f>VALUE(0)</f>
        <v>0</v>
      </c>
      <c r="AS103" s="23">
        <f>VALUE(0)</f>
        <v>0</v>
      </c>
      <c r="AT103" s="23">
        <f>VALUE(0)</f>
        <v>0</v>
      </c>
      <c r="AU103" s="23">
        <f>VALUE(0)</f>
        <v>0</v>
      </c>
      <c r="AV103" s="23">
        <f>VALUE(4)</f>
        <v>4</v>
      </c>
      <c r="AW103" s="23">
        <f>VALUE(0)</f>
        <v>0</v>
      </c>
      <c r="AX103" s="23">
        <f>VALUE(0)</f>
        <v>0</v>
      </c>
      <c r="AY103" s="23">
        <f>VALUE(0)</f>
        <v>0</v>
      </c>
      <c r="AZ103" s="23">
        <f>VALUE(0)</f>
        <v>0</v>
      </c>
      <c r="BA103" s="23">
        <f>VALUE(0)</f>
        <v>0</v>
      </c>
      <c r="BB103" s="23">
        <f>VALUE(0)</f>
        <v>0</v>
      </c>
      <c r="BC103" s="23">
        <f>VALUE(0)</f>
        <v>0</v>
      </c>
      <c r="BD103" s="23">
        <f>VALUE(0)</f>
        <v>0</v>
      </c>
      <c r="BE103" s="23">
        <f>VALUE(0)</f>
        <v>0</v>
      </c>
      <c r="BF103" s="23">
        <f>VALUE(0)</f>
        <v>0</v>
      </c>
      <c r="BG103" s="23">
        <f>VALUE(0)</f>
        <v>0</v>
      </c>
      <c r="BH103" s="23">
        <f>VALUE(0)</f>
        <v>0</v>
      </c>
      <c r="BI103" s="23">
        <f>VALUE(0)</f>
        <v>0</v>
      </c>
      <c r="BJ103" s="23">
        <f>VALUE(0)</f>
        <v>0</v>
      </c>
      <c r="BK103" s="12">
        <f>$AX$103*24</f>
        <v>0</v>
      </c>
      <c r="BL103" s="12">
        <f>$AY$103*24</f>
        <v>0</v>
      </c>
      <c r="BM103" s="12">
        <f>$BJ$103*24</f>
        <v>0</v>
      </c>
      <c r="BN103" s="12">
        <f>VALUE($I$103)/100</f>
        <v>1</v>
      </c>
      <c r="BO103" s="12">
        <v>0</v>
      </c>
      <c r="BP103" s="12">
        <v>0</v>
      </c>
      <c r="BQ103" s="12">
        <v>0</v>
      </c>
      <c r="BR103" s="12">
        <v>0</v>
      </c>
      <c r="BS103" s="12">
        <v>0</v>
      </c>
      <c r="BT103" s="12">
        <v>0</v>
      </c>
      <c r="BU103" s="12">
        <v>0</v>
      </c>
      <c r="BV103" s="12">
        <v>0</v>
      </c>
      <c r="BW103" s="12">
        <v>0</v>
      </c>
      <c r="BX103" s="12">
        <v>0</v>
      </c>
      <c r="BY103" s="12">
        <v>0</v>
      </c>
      <c r="BZ103" s="12">
        <v>0</v>
      </c>
      <c r="CA103" s="12">
        <v>0</v>
      </c>
    </row>
    <row r="104" spans="1:79" x14ac:dyDescent="0.2">
      <c r="A104" s="12" t="s">
        <v>113</v>
      </c>
      <c r="B104" s="12" t="s">
        <v>115</v>
      </c>
      <c r="C104" s="12" t="s">
        <v>115</v>
      </c>
      <c r="D104" s="22" t="s">
        <v>339</v>
      </c>
      <c r="E104" s="22" t="s">
        <v>173</v>
      </c>
      <c r="F104" s="22" t="s">
        <v>1200</v>
      </c>
      <c r="G104" s="22" t="s">
        <v>751</v>
      </c>
      <c r="H104" s="22" t="s">
        <v>166</v>
      </c>
      <c r="I104" s="22" t="s">
        <v>151</v>
      </c>
      <c r="J104" s="22" t="s">
        <v>340</v>
      </c>
      <c r="K104" s="22" t="s">
        <v>75</v>
      </c>
      <c r="L104" s="54" t="s">
        <v>153</v>
      </c>
      <c r="M104" s="24" t="s">
        <v>153</v>
      </c>
      <c r="N104" s="24" t="s">
        <v>153</v>
      </c>
      <c r="O104" s="23" t="s">
        <v>153</v>
      </c>
      <c r="P104" s="23" t="s">
        <v>153</v>
      </c>
      <c r="Q104" s="23" t="s">
        <v>153</v>
      </c>
      <c r="R104" s="23" t="s">
        <v>153</v>
      </c>
      <c r="S104" s="23" t="s">
        <v>153</v>
      </c>
      <c r="T104" s="24" t="s">
        <v>153</v>
      </c>
      <c r="U104" s="24" t="s">
        <v>153</v>
      </c>
      <c r="V104" s="54" t="s">
        <v>153</v>
      </c>
      <c r="W104" s="23" t="s">
        <v>153</v>
      </c>
      <c r="X104" s="23" t="s">
        <v>153</v>
      </c>
      <c r="Y104" s="23" t="s">
        <v>153</v>
      </c>
      <c r="Z104" s="23" t="s">
        <v>153</v>
      </c>
      <c r="AA104" s="24" t="s">
        <v>153</v>
      </c>
      <c r="AB104" s="24" t="s">
        <v>153</v>
      </c>
      <c r="AC104" s="23" t="s">
        <v>153</v>
      </c>
      <c r="AD104" s="23" t="s">
        <v>153</v>
      </c>
      <c r="AE104" s="23" t="s">
        <v>153</v>
      </c>
      <c r="AF104" s="23" t="s">
        <v>153</v>
      </c>
      <c r="AG104" s="23" t="s">
        <v>153</v>
      </c>
      <c r="AH104" s="24" t="s">
        <v>153</v>
      </c>
      <c r="AI104" s="24" t="s">
        <v>153</v>
      </c>
      <c r="AJ104" s="23" t="s">
        <v>153</v>
      </c>
      <c r="AK104" s="23" t="s">
        <v>153</v>
      </c>
      <c r="AL104" s="23" t="s">
        <v>153</v>
      </c>
      <c r="AM104" s="23" t="s">
        <v>153</v>
      </c>
      <c r="AN104" s="23" t="s">
        <v>153</v>
      </c>
      <c r="AO104" s="24" t="s">
        <v>153</v>
      </c>
      <c r="AP104" s="23">
        <f>VALUE(0)</f>
        <v>0</v>
      </c>
      <c r="AQ104" s="23">
        <f>VALUE(0)</f>
        <v>0</v>
      </c>
      <c r="AR104" s="23">
        <f>VALUE(0)</f>
        <v>0</v>
      </c>
      <c r="AS104" s="23">
        <f>VALUE(0)</f>
        <v>0</v>
      </c>
      <c r="AT104" s="23">
        <f>VALUE(0)</f>
        <v>0</v>
      </c>
      <c r="AU104" s="23">
        <f>VALUE(0)</f>
        <v>0</v>
      </c>
      <c r="AV104" s="23">
        <f>VALUE(6)</f>
        <v>6</v>
      </c>
      <c r="AW104" s="23">
        <f>VALUE(0)</f>
        <v>0</v>
      </c>
      <c r="AX104" s="23" t="s">
        <v>341</v>
      </c>
      <c r="AY104" s="23">
        <f>VALUE(0)</f>
        <v>0</v>
      </c>
      <c r="AZ104" s="23">
        <f>VALUE(0)</f>
        <v>0</v>
      </c>
      <c r="BA104" s="23">
        <f>VALUE(0)</f>
        <v>0</v>
      </c>
      <c r="BB104" s="23">
        <f>VALUE(0)</f>
        <v>0</v>
      </c>
      <c r="BC104" s="23">
        <f>VALUE(0)</f>
        <v>0</v>
      </c>
      <c r="BD104" s="23">
        <f>VALUE(0)</f>
        <v>0</v>
      </c>
      <c r="BE104" s="23">
        <f>VALUE(0)</f>
        <v>0</v>
      </c>
      <c r="BF104" s="23">
        <f>VALUE(0)</f>
        <v>0</v>
      </c>
      <c r="BG104" s="23">
        <f>VALUE(0)</f>
        <v>0</v>
      </c>
      <c r="BH104" s="23">
        <f>VALUE(0)</f>
        <v>0</v>
      </c>
      <c r="BI104" s="23">
        <f>VALUE(0)</f>
        <v>0</v>
      </c>
      <c r="BJ104" s="23">
        <f>VALUE(0)</f>
        <v>0</v>
      </c>
      <c r="BK104" s="12">
        <f>$AX$104*24</f>
        <v>0.78333333333333344</v>
      </c>
      <c r="BL104" s="12">
        <f>$AY$104*24</f>
        <v>0</v>
      </c>
      <c r="BM104" s="12">
        <f>$BJ$104*24</f>
        <v>0</v>
      </c>
      <c r="BN104" s="12">
        <f>VALUE($I$104)/100</f>
        <v>1</v>
      </c>
      <c r="BO104" s="12">
        <v>0</v>
      </c>
      <c r="BP104" s="12">
        <v>0</v>
      </c>
      <c r="BQ104" s="12">
        <v>0</v>
      </c>
      <c r="BR104" s="12">
        <v>0</v>
      </c>
      <c r="BS104" s="12">
        <v>0</v>
      </c>
      <c r="BT104" s="12">
        <v>0</v>
      </c>
      <c r="BU104" s="12">
        <v>0</v>
      </c>
      <c r="BV104" s="12">
        <v>0</v>
      </c>
      <c r="BW104" s="12">
        <v>0</v>
      </c>
      <c r="BX104" s="12">
        <v>0</v>
      </c>
      <c r="BY104" s="12">
        <v>0</v>
      </c>
      <c r="BZ104" s="12">
        <v>0</v>
      </c>
      <c r="CA104" s="12">
        <v>0</v>
      </c>
    </row>
    <row r="105" spans="1:79" ht="15" x14ac:dyDescent="0.25">
      <c r="A105" s="12" t="s">
        <v>113</v>
      </c>
      <c r="B105" s="12" t="s">
        <v>115</v>
      </c>
      <c r="C105" s="12" t="s">
        <v>115</v>
      </c>
      <c r="D105" s="31" t="s">
        <v>246</v>
      </c>
      <c r="E105" s="31" t="s">
        <v>153</v>
      </c>
      <c r="F105" s="31" t="s">
        <v>175</v>
      </c>
      <c r="G105" s="31" t="s">
        <v>153</v>
      </c>
      <c r="H105" s="31" t="s">
        <v>153</v>
      </c>
      <c r="I105" s="31" t="s">
        <v>153</v>
      </c>
      <c r="J105" s="31" t="s">
        <v>153</v>
      </c>
      <c r="K105" s="31" t="s">
        <v>153</v>
      </c>
      <c r="L105" s="31">
        <f>VALUE(0)</f>
        <v>0</v>
      </c>
      <c r="M105" s="31">
        <f>VALUE(0)</f>
        <v>0</v>
      </c>
      <c r="N105" s="31">
        <f>VALUE(0)</f>
        <v>0</v>
      </c>
      <c r="O105" s="31">
        <f>VALUE(2)</f>
        <v>2</v>
      </c>
      <c r="P105" s="31">
        <f>VALUE(2)</f>
        <v>2</v>
      </c>
      <c r="Q105" s="31">
        <f>VALUE(2)</f>
        <v>2</v>
      </c>
      <c r="R105" s="31">
        <f>VALUE(2)</f>
        <v>2</v>
      </c>
      <c r="S105" s="31">
        <f>VALUE(2)</f>
        <v>2</v>
      </c>
      <c r="T105" s="31">
        <f>VALUE(0)</f>
        <v>0</v>
      </c>
      <c r="U105" s="31">
        <f>VALUE(0)</f>
        <v>0</v>
      </c>
      <c r="V105" s="31">
        <f>VALUE(0)</f>
        <v>0</v>
      </c>
      <c r="W105" s="31">
        <f>VALUE(2)</f>
        <v>2</v>
      </c>
      <c r="X105" s="31">
        <f>VALUE(2)</f>
        <v>2</v>
      </c>
      <c r="Y105" s="31">
        <f>VALUE(2)</f>
        <v>2</v>
      </c>
      <c r="Z105" s="31">
        <f>VALUE(2)</f>
        <v>2</v>
      </c>
      <c r="AA105" s="31">
        <f>VALUE(0)</f>
        <v>0</v>
      </c>
      <c r="AB105" s="31">
        <f>VALUE(0)</f>
        <v>0</v>
      </c>
      <c r="AC105" s="31">
        <f>VALUE(2)</f>
        <v>2</v>
      </c>
      <c r="AD105" s="31">
        <f>VALUE(2)</f>
        <v>2</v>
      </c>
      <c r="AE105" s="31">
        <f>VALUE(2)</f>
        <v>2</v>
      </c>
      <c r="AF105" s="31">
        <f>VALUE(2)</f>
        <v>2</v>
      </c>
      <c r="AG105" s="31">
        <f>VALUE(2)</f>
        <v>2</v>
      </c>
      <c r="AH105" s="31">
        <f>VALUE(0)</f>
        <v>0</v>
      </c>
      <c r="AI105" s="31">
        <f>VALUE(0)</f>
        <v>0</v>
      </c>
      <c r="AJ105" s="31">
        <f>VALUE(2)</f>
        <v>2</v>
      </c>
      <c r="AK105" s="31">
        <f>VALUE(2)</f>
        <v>2</v>
      </c>
      <c r="AL105" s="31">
        <f>VALUE(2)</f>
        <v>2</v>
      </c>
      <c r="AM105" s="31">
        <f>VALUE(2)</f>
        <v>2</v>
      </c>
      <c r="AN105" s="31">
        <f>VALUE(2)</f>
        <v>2</v>
      </c>
      <c r="AO105" s="31">
        <f>VALUE(0)</f>
        <v>0</v>
      </c>
      <c r="AP105" s="31">
        <v>0</v>
      </c>
      <c r="AQ105" s="31">
        <v>0</v>
      </c>
      <c r="AR105" s="31">
        <v>0</v>
      </c>
      <c r="AS105" s="31">
        <v>0</v>
      </c>
      <c r="AT105" s="31">
        <v>0</v>
      </c>
      <c r="AU105" s="31">
        <v>0</v>
      </c>
      <c r="AV105" s="31">
        <v>0</v>
      </c>
      <c r="AW105" s="31">
        <v>0</v>
      </c>
      <c r="AX105" s="31">
        <v>0</v>
      </c>
      <c r="AY105" s="31">
        <v>0</v>
      </c>
      <c r="AZ105" s="31">
        <v>0</v>
      </c>
      <c r="BA105" s="31">
        <v>0</v>
      </c>
      <c r="BB105" s="31">
        <v>0</v>
      </c>
      <c r="BC105" s="31">
        <v>0</v>
      </c>
      <c r="BD105" s="31">
        <v>0</v>
      </c>
      <c r="BE105" s="31">
        <v>0</v>
      </c>
      <c r="BF105" s="31">
        <v>0</v>
      </c>
      <c r="BG105" s="31">
        <v>0</v>
      </c>
      <c r="BH105" s="31">
        <v>0</v>
      </c>
      <c r="BI105" s="31">
        <v>0</v>
      </c>
      <c r="BJ105" s="31">
        <v>0</v>
      </c>
      <c r="BK105" s="12">
        <v>0</v>
      </c>
      <c r="BL105" s="12">
        <v>0</v>
      </c>
      <c r="BM105" s="12">
        <v>0</v>
      </c>
      <c r="BN105" s="12"/>
      <c r="BO105" s="12">
        <v>0</v>
      </c>
      <c r="BP105" s="12">
        <v>0</v>
      </c>
      <c r="BQ105" s="12">
        <v>0</v>
      </c>
      <c r="BR105" s="12">
        <v>0</v>
      </c>
      <c r="BS105" s="12">
        <v>0</v>
      </c>
      <c r="BT105" s="12">
        <v>0</v>
      </c>
      <c r="BU105" s="12">
        <v>0</v>
      </c>
      <c r="BV105" s="12">
        <v>0</v>
      </c>
      <c r="BW105" s="12">
        <v>0</v>
      </c>
      <c r="BX105" s="12">
        <v>0</v>
      </c>
      <c r="BY105" s="12">
        <v>0</v>
      </c>
      <c r="BZ105" s="12">
        <v>0</v>
      </c>
      <c r="CA105" s="12">
        <v>0</v>
      </c>
    </row>
    <row r="106" spans="1:79" x14ac:dyDescent="0.2">
      <c r="A106" s="12" t="s">
        <v>113</v>
      </c>
      <c r="B106" s="12" t="s">
        <v>116</v>
      </c>
      <c r="C106" s="12" t="s">
        <v>116</v>
      </c>
      <c r="D106" s="22" t="s">
        <v>342</v>
      </c>
      <c r="E106" s="22" t="s">
        <v>173</v>
      </c>
      <c r="F106" s="22" t="s">
        <v>752</v>
      </c>
      <c r="G106" s="22" t="s">
        <v>753</v>
      </c>
      <c r="H106" s="22" t="s">
        <v>166</v>
      </c>
      <c r="I106" s="22" t="s">
        <v>343</v>
      </c>
      <c r="J106" s="22" t="s">
        <v>344</v>
      </c>
      <c r="K106" s="22" t="s">
        <v>76</v>
      </c>
      <c r="L106" s="54" t="s">
        <v>153</v>
      </c>
      <c r="M106" s="24" t="s">
        <v>153</v>
      </c>
      <c r="N106" s="24" t="s">
        <v>153</v>
      </c>
      <c r="O106" s="23" t="s">
        <v>153</v>
      </c>
      <c r="P106" s="23" t="s">
        <v>153</v>
      </c>
      <c r="Q106" s="23" t="s">
        <v>153</v>
      </c>
      <c r="R106" s="23" t="s">
        <v>153</v>
      </c>
      <c r="S106" s="23" t="s">
        <v>153</v>
      </c>
      <c r="T106" s="24" t="s">
        <v>153</v>
      </c>
      <c r="U106" s="24" t="s">
        <v>153</v>
      </c>
      <c r="V106" s="54" t="s">
        <v>156</v>
      </c>
      <c r="W106" s="23" t="s">
        <v>153</v>
      </c>
      <c r="X106" s="23" t="s">
        <v>153</v>
      </c>
      <c r="Y106" s="23" t="s">
        <v>153</v>
      </c>
      <c r="Z106" s="23" t="s">
        <v>153</v>
      </c>
      <c r="AA106" s="24" t="s">
        <v>153</v>
      </c>
      <c r="AB106" s="24" t="s">
        <v>153</v>
      </c>
      <c r="AC106" s="23" t="s">
        <v>153</v>
      </c>
      <c r="AD106" s="23" t="s">
        <v>153</v>
      </c>
      <c r="AE106" s="23" t="s">
        <v>153</v>
      </c>
      <c r="AF106" s="23" t="s">
        <v>153</v>
      </c>
      <c r="AG106" s="23" t="s">
        <v>153</v>
      </c>
      <c r="AH106" s="24" t="s">
        <v>153</v>
      </c>
      <c r="AI106" s="24" t="s">
        <v>153</v>
      </c>
      <c r="AJ106" s="24" t="s">
        <v>156</v>
      </c>
      <c r="AK106" s="23" t="s">
        <v>153</v>
      </c>
      <c r="AL106" s="23" t="s">
        <v>153</v>
      </c>
      <c r="AM106" s="23" t="s">
        <v>153</v>
      </c>
      <c r="AN106" s="23" t="s">
        <v>153</v>
      </c>
      <c r="AO106" s="24" t="s">
        <v>153</v>
      </c>
      <c r="AP106" s="23">
        <f>VALUE(0)</f>
        <v>0</v>
      </c>
      <c r="AQ106" s="23">
        <f>VALUE(0)</f>
        <v>0</v>
      </c>
      <c r="AR106" s="23">
        <f>VALUE(0)</f>
        <v>0</v>
      </c>
      <c r="AS106" s="23">
        <f>VALUE(0)</f>
        <v>0</v>
      </c>
      <c r="AT106" s="23">
        <f>VALUE(0)</f>
        <v>0</v>
      </c>
      <c r="AU106" s="23">
        <f>VALUE(0)</f>
        <v>0</v>
      </c>
      <c r="AV106" s="23">
        <f>VALUE(13)</f>
        <v>13</v>
      </c>
      <c r="AW106" s="23">
        <f>VALUE(0)</f>
        <v>0</v>
      </c>
      <c r="AX106" s="23" t="s">
        <v>1201</v>
      </c>
      <c r="AY106" s="23">
        <f>VALUE(0)</f>
        <v>0</v>
      </c>
      <c r="AZ106" s="23">
        <f>VALUE(0)</f>
        <v>0</v>
      </c>
      <c r="BA106" s="23">
        <f>VALUE(0)</f>
        <v>0</v>
      </c>
      <c r="BB106" s="23">
        <f>VALUE(0)</f>
        <v>0</v>
      </c>
      <c r="BC106" s="23">
        <f>VALUE(0)</f>
        <v>0</v>
      </c>
      <c r="BD106" s="23">
        <f>VALUE(0)</f>
        <v>0</v>
      </c>
      <c r="BE106" s="23">
        <f>VALUE(0)</f>
        <v>0</v>
      </c>
      <c r="BF106" s="23">
        <f>VALUE(0)</f>
        <v>0</v>
      </c>
      <c r="BG106" s="23">
        <f>VALUE(0)</f>
        <v>0</v>
      </c>
      <c r="BH106" s="23">
        <f>VALUE(0)</f>
        <v>0</v>
      </c>
      <c r="BI106" s="23">
        <f>VALUE(0)</f>
        <v>0</v>
      </c>
      <c r="BJ106" s="23">
        <f>VALUE(0)</f>
        <v>0</v>
      </c>
      <c r="BK106" s="12">
        <f>$AX$106*24</f>
        <v>77.566666666666663</v>
      </c>
      <c r="BL106" s="12">
        <f>$AY$106*24</f>
        <v>0</v>
      </c>
      <c r="BM106" s="12">
        <f>$BJ$106*24</f>
        <v>0</v>
      </c>
      <c r="BN106" s="12">
        <f>VALUE($I$106)/100</f>
        <v>0.7</v>
      </c>
      <c r="BO106" s="12">
        <v>0</v>
      </c>
      <c r="BP106" s="12">
        <v>0</v>
      </c>
      <c r="BQ106" s="12">
        <v>0</v>
      </c>
      <c r="BR106" s="12">
        <v>0</v>
      </c>
      <c r="BS106" s="12">
        <v>0</v>
      </c>
      <c r="BT106" s="12">
        <v>0</v>
      </c>
      <c r="BU106" s="12">
        <v>0</v>
      </c>
      <c r="BV106" s="12">
        <v>0</v>
      </c>
      <c r="BW106" s="12">
        <v>0</v>
      </c>
      <c r="BX106" s="12">
        <v>0</v>
      </c>
      <c r="BY106" s="12">
        <v>0</v>
      </c>
      <c r="BZ106" s="12">
        <v>0</v>
      </c>
      <c r="CA106" s="12">
        <v>0</v>
      </c>
    </row>
    <row r="107" spans="1:79" x14ac:dyDescent="0.2">
      <c r="A107" s="12" t="s">
        <v>113</v>
      </c>
      <c r="B107" s="12" t="s">
        <v>116</v>
      </c>
      <c r="C107" s="12" t="s">
        <v>116</v>
      </c>
      <c r="D107" s="22" t="s">
        <v>1202</v>
      </c>
      <c r="E107" s="22" t="s">
        <v>173</v>
      </c>
      <c r="F107" s="22" t="s">
        <v>754</v>
      </c>
      <c r="G107" s="22" t="s">
        <v>755</v>
      </c>
      <c r="H107" s="22" t="s">
        <v>190</v>
      </c>
      <c r="I107" s="22" t="s">
        <v>151</v>
      </c>
      <c r="J107" s="22" t="s">
        <v>1203</v>
      </c>
      <c r="K107" s="22" t="s">
        <v>76</v>
      </c>
      <c r="L107" s="54" t="s">
        <v>153</v>
      </c>
      <c r="M107" s="23" t="s">
        <v>153</v>
      </c>
      <c r="N107" s="24" t="s">
        <v>153</v>
      </c>
      <c r="O107" s="23" t="s">
        <v>153</v>
      </c>
      <c r="P107" s="28" t="s">
        <v>163</v>
      </c>
      <c r="Q107" s="28" t="s">
        <v>163</v>
      </c>
      <c r="R107" s="23" t="s">
        <v>153</v>
      </c>
      <c r="S107" s="23" t="s">
        <v>153</v>
      </c>
      <c r="T107" s="23" t="s">
        <v>153</v>
      </c>
      <c r="U107" s="24" t="s">
        <v>153</v>
      </c>
      <c r="V107" s="54" t="s">
        <v>153</v>
      </c>
      <c r="W107" s="28" t="s">
        <v>163</v>
      </c>
      <c r="X107" s="28" t="s">
        <v>163</v>
      </c>
      <c r="Y107" s="23" t="s">
        <v>153</v>
      </c>
      <c r="Z107" s="23" t="s">
        <v>153</v>
      </c>
      <c r="AA107" s="23" t="s">
        <v>153</v>
      </c>
      <c r="AB107" s="24" t="s">
        <v>153</v>
      </c>
      <c r="AC107" s="23" t="s">
        <v>153</v>
      </c>
      <c r="AD107" s="28" t="s">
        <v>163</v>
      </c>
      <c r="AE107" s="28" t="s">
        <v>163</v>
      </c>
      <c r="AF107" s="23" t="s">
        <v>153</v>
      </c>
      <c r="AG107" s="23" t="s">
        <v>153</v>
      </c>
      <c r="AH107" s="23" t="s">
        <v>153</v>
      </c>
      <c r="AI107" s="24" t="s">
        <v>153</v>
      </c>
      <c r="AJ107" s="23" t="s">
        <v>153</v>
      </c>
      <c r="AK107" s="28" t="s">
        <v>163</v>
      </c>
      <c r="AL107" s="28" t="s">
        <v>163</v>
      </c>
      <c r="AM107" s="23" t="s">
        <v>153</v>
      </c>
      <c r="AN107" s="35" t="s">
        <v>170</v>
      </c>
      <c r="AO107" s="23" t="s">
        <v>153</v>
      </c>
      <c r="AP107" s="23">
        <f>VALUE(0)</f>
        <v>0</v>
      </c>
      <c r="AQ107" s="23">
        <f>VALUE(0)</f>
        <v>0</v>
      </c>
      <c r="AR107" s="23">
        <f>VALUE(0)</f>
        <v>0</v>
      </c>
      <c r="AS107" s="23">
        <f>VALUE(0)</f>
        <v>0</v>
      </c>
      <c r="AT107" s="23">
        <f>VALUE(0)</f>
        <v>0</v>
      </c>
      <c r="AU107" s="23">
        <f>VALUE(8)</f>
        <v>8</v>
      </c>
      <c r="AV107" s="23">
        <f>VALUE(0)</f>
        <v>0</v>
      </c>
      <c r="AW107" s="23">
        <f>VALUE(0)</f>
        <v>0</v>
      </c>
      <c r="AX107" s="23" t="s">
        <v>345</v>
      </c>
      <c r="AY107" s="23">
        <f>VALUE(0)</f>
        <v>0</v>
      </c>
      <c r="AZ107" s="23">
        <f>VALUE(0)</f>
        <v>0</v>
      </c>
      <c r="BA107" s="23">
        <f>VALUE(0)</f>
        <v>0</v>
      </c>
      <c r="BB107" s="23">
        <f>VALUE(0)</f>
        <v>0</v>
      </c>
      <c r="BC107" s="23">
        <f>VALUE(0)</f>
        <v>0</v>
      </c>
      <c r="BD107" s="23">
        <f>VALUE(0)</f>
        <v>0</v>
      </c>
      <c r="BE107" s="23">
        <f>VALUE(1)</f>
        <v>1</v>
      </c>
      <c r="BF107" s="23">
        <f>VALUE(0)</f>
        <v>0</v>
      </c>
      <c r="BG107" s="23">
        <f>VALUE(0)</f>
        <v>0</v>
      </c>
      <c r="BH107" s="23">
        <f>VALUE(0)</f>
        <v>0</v>
      </c>
      <c r="BI107" s="23">
        <f>VALUE(0)</f>
        <v>0</v>
      </c>
      <c r="BJ107" s="23">
        <f>VALUE(0)</f>
        <v>0</v>
      </c>
      <c r="BK107" s="12">
        <f>$AX$107*24</f>
        <v>0.25</v>
      </c>
      <c r="BL107" s="12">
        <f>$AY$107*24</f>
        <v>0</v>
      </c>
      <c r="BM107" s="12">
        <f>$BJ$107*24</f>
        <v>0</v>
      </c>
      <c r="BN107" s="12">
        <f>VALUE($I$107)/100</f>
        <v>1</v>
      </c>
      <c r="BO107" s="12">
        <v>0</v>
      </c>
      <c r="BP107" s="12">
        <v>0</v>
      </c>
      <c r="BQ107" s="12">
        <v>0</v>
      </c>
      <c r="BR107" s="12">
        <v>0</v>
      </c>
      <c r="BS107" s="12">
        <v>0</v>
      </c>
      <c r="BT107" s="12">
        <v>0</v>
      </c>
      <c r="BU107" s="12">
        <v>0</v>
      </c>
      <c r="BV107" s="12">
        <v>0</v>
      </c>
      <c r="BW107" s="12">
        <v>0</v>
      </c>
      <c r="BX107" s="12">
        <v>0</v>
      </c>
      <c r="BY107" s="12">
        <v>0</v>
      </c>
      <c r="BZ107" s="12">
        <v>0</v>
      </c>
      <c r="CA107" s="12">
        <v>0</v>
      </c>
    </row>
    <row r="108" spans="1:79" ht="15" x14ac:dyDescent="0.25">
      <c r="A108" s="12" t="s">
        <v>113</v>
      </c>
      <c r="B108" s="12" t="s">
        <v>116</v>
      </c>
      <c r="C108" s="12" t="s">
        <v>116</v>
      </c>
      <c r="D108" s="31" t="s">
        <v>246</v>
      </c>
      <c r="E108" s="31" t="s">
        <v>153</v>
      </c>
      <c r="F108" s="31" t="s">
        <v>175</v>
      </c>
      <c r="G108" s="31" t="s">
        <v>153</v>
      </c>
      <c r="H108" s="31" t="s">
        <v>153</v>
      </c>
      <c r="I108" s="31" t="s">
        <v>153</v>
      </c>
      <c r="J108" s="31" t="s">
        <v>153</v>
      </c>
      <c r="K108" s="31" t="s">
        <v>153</v>
      </c>
      <c r="L108" s="31">
        <f>VALUE(0)</f>
        <v>0</v>
      </c>
      <c r="M108" s="31">
        <f>VALUE(1)</f>
        <v>1</v>
      </c>
      <c r="N108" s="31">
        <f>VALUE(0)</f>
        <v>0</v>
      </c>
      <c r="O108" s="31">
        <f>VALUE(2)</f>
        <v>2</v>
      </c>
      <c r="P108" s="31">
        <f>VALUE(1)</f>
        <v>1</v>
      </c>
      <c r="Q108" s="31">
        <f>VALUE(1)</f>
        <v>1</v>
      </c>
      <c r="R108" s="31">
        <f>VALUE(2)</f>
        <v>2</v>
      </c>
      <c r="S108" s="31">
        <f>VALUE(2)</f>
        <v>2</v>
      </c>
      <c r="T108" s="31">
        <f>VALUE(1)</f>
        <v>1</v>
      </c>
      <c r="U108" s="31">
        <f>VALUE(0)</f>
        <v>0</v>
      </c>
      <c r="V108" s="31">
        <f>VALUE(0)</f>
        <v>0</v>
      </c>
      <c r="W108" s="31">
        <f>VALUE(1)</f>
        <v>1</v>
      </c>
      <c r="X108" s="31">
        <f>VALUE(1)</f>
        <v>1</v>
      </c>
      <c r="Y108" s="31">
        <f>VALUE(2)</f>
        <v>2</v>
      </c>
      <c r="Z108" s="31">
        <f>VALUE(2)</f>
        <v>2</v>
      </c>
      <c r="AA108" s="31">
        <f>VALUE(1)</f>
        <v>1</v>
      </c>
      <c r="AB108" s="31">
        <f>VALUE(0)</f>
        <v>0</v>
      </c>
      <c r="AC108" s="31">
        <f>VALUE(2)</f>
        <v>2</v>
      </c>
      <c r="AD108" s="31">
        <f>VALUE(1)</f>
        <v>1</v>
      </c>
      <c r="AE108" s="31">
        <f>VALUE(1)</f>
        <v>1</v>
      </c>
      <c r="AF108" s="31">
        <f>VALUE(2)</f>
        <v>2</v>
      </c>
      <c r="AG108" s="31">
        <f>VALUE(2)</f>
        <v>2</v>
      </c>
      <c r="AH108" s="31">
        <f>VALUE(1)</f>
        <v>1</v>
      </c>
      <c r="AI108" s="31">
        <f>VALUE(0)</f>
        <v>0</v>
      </c>
      <c r="AJ108" s="31">
        <f>VALUE(1)</f>
        <v>1</v>
      </c>
      <c r="AK108" s="31">
        <f>VALUE(1)</f>
        <v>1</v>
      </c>
      <c r="AL108" s="31">
        <f>VALUE(1)</f>
        <v>1</v>
      </c>
      <c r="AM108" s="31">
        <f>VALUE(2)</f>
        <v>2</v>
      </c>
      <c r="AN108" s="31">
        <f>VALUE(1)</f>
        <v>1</v>
      </c>
      <c r="AO108" s="31">
        <f>VALUE(1)</f>
        <v>1</v>
      </c>
      <c r="AP108" s="31">
        <v>0</v>
      </c>
      <c r="AQ108" s="31">
        <v>0</v>
      </c>
      <c r="AR108" s="31">
        <v>0</v>
      </c>
      <c r="AS108" s="31">
        <v>0</v>
      </c>
      <c r="AT108" s="31">
        <v>0</v>
      </c>
      <c r="AU108" s="31">
        <v>0</v>
      </c>
      <c r="AV108" s="31">
        <v>0</v>
      </c>
      <c r="AW108" s="31">
        <v>0</v>
      </c>
      <c r="AX108" s="31">
        <v>0</v>
      </c>
      <c r="AY108" s="31">
        <v>0</v>
      </c>
      <c r="AZ108" s="31">
        <v>0</v>
      </c>
      <c r="BA108" s="31">
        <v>0</v>
      </c>
      <c r="BB108" s="31">
        <v>0</v>
      </c>
      <c r="BC108" s="31">
        <v>0</v>
      </c>
      <c r="BD108" s="31">
        <v>0</v>
      </c>
      <c r="BE108" s="31">
        <v>0</v>
      </c>
      <c r="BF108" s="31">
        <v>0</v>
      </c>
      <c r="BG108" s="31">
        <v>0</v>
      </c>
      <c r="BH108" s="31">
        <v>0</v>
      </c>
      <c r="BI108" s="31">
        <v>0</v>
      </c>
      <c r="BJ108" s="31">
        <v>0</v>
      </c>
      <c r="BK108" s="12">
        <v>0</v>
      </c>
      <c r="BL108" s="12">
        <v>0</v>
      </c>
      <c r="BM108" s="12">
        <v>0</v>
      </c>
      <c r="BN108" s="12"/>
      <c r="BO108" s="12">
        <v>0</v>
      </c>
      <c r="BP108" s="12">
        <v>0</v>
      </c>
      <c r="BQ108" s="12">
        <v>0</v>
      </c>
      <c r="BR108" s="12">
        <v>0</v>
      </c>
      <c r="BS108" s="12">
        <v>0</v>
      </c>
      <c r="BT108" s="12">
        <v>0</v>
      </c>
      <c r="BU108" s="12">
        <v>0</v>
      </c>
      <c r="BV108" s="12">
        <v>0</v>
      </c>
      <c r="BW108" s="12">
        <v>0</v>
      </c>
      <c r="BX108" s="12">
        <v>0</v>
      </c>
      <c r="BY108" s="12">
        <v>0</v>
      </c>
      <c r="BZ108" s="12">
        <v>0</v>
      </c>
      <c r="CA108" s="12">
        <v>0</v>
      </c>
    </row>
    <row r="109" spans="1:79" x14ac:dyDescent="0.2">
      <c r="A109" s="12" t="s">
        <v>113</v>
      </c>
      <c r="B109" s="12" t="s">
        <v>117</v>
      </c>
      <c r="C109" s="12" t="s">
        <v>117</v>
      </c>
      <c r="D109" s="22" t="s">
        <v>346</v>
      </c>
      <c r="E109" s="22" t="s">
        <v>149</v>
      </c>
      <c r="F109" s="22" t="s">
        <v>756</v>
      </c>
      <c r="G109" s="22" t="s">
        <v>757</v>
      </c>
      <c r="H109" s="22" t="s">
        <v>166</v>
      </c>
      <c r="I109" s="22" t="s">
        <v>151</v>
      </c>
      <c r="J109" s="22" t="s">
        <v>347</v>
      </c>
      <c r="K109" s="22" t="s">
        <v>77</v>
      </c>
      <c r="L109" s="54" t="s">
        <v>153</v>
      </c>
      <c r="M109" s="24" t="s">
        <v>153</v>
      </c>
      <c r="N109" s="24" t="s">
        <v>153</v>
      </c>
      <c r="O109" s="23" t="s">
        <v>153</v>
      </c>
      <c r="P109" s="23" t="s">
        <v>153</v>
      </c>
      <c r="Q109" s="23" t="s">
        <v>153</v>
      </c>
      <c r="R109" s="23" t="s">
        <v>153</v>
      </c>
      <c r="S109" s="23" t="s">
        <v>153</v>
      </c>
      <c r="T109" s="24" t="s">
        <v>153</v>
      </c>
      <c r="U109" s="24" t="s">
        <v>153</v>
      </c>
      <c r="V109" s="54" t="s">
        <v>153</v>
      </c>
      <c r="W109" s="23" t="s">
        <v>153</v>
      </c>
      <c r="X109" s="24" t="s">
        <v>156</v>
      </c>
      <c r="Y109" s="23" t="s">
        <v>153</v>
      </c>
      <c r="Z109" s="23" t="s">
        <v>153</v>
      </c>
      <c r="AA109" s="24" t="s">
        <v>153</v>
      </c>
      <c r="AB109" s="24" t="s">
        <v>153</v>
      </c>
      <c r="AC109" s="23" t="s">
        <v>153</v>
      </c>
      <c r="AD109" s="23" t="s">
        <v>153</v>
      </c>
      <c r="AE109" s="23" t="s">
        <v>153</v>
      </c>
      <c r="AF109" s="23" t="s">
        <v>153</v>
      </c>
      <c r="AG109" s="23" t="s">
        <v>153</v>
      </c>
      <c r="AH109" s="24" t="s">
        <v>153</v>
      </c>
      <c r="AI109" s="24" t="s">
        <v>153</v>
      </c>
      <c r="AJ109" s="23" t="s">
        <v>153</v>
      </c>
      <c r="AK109" s="23" t="s">
        <v>153</v>
      </c>
      <c r="AL109" s="24" t="s">
        <v>156</v>
      </c>
      <c r="AM109" s="23" t="s">
        <v>153</v>
      </c>
      <c r="AN109" s="23" t="s">
        <v>153</v>
      </c>
      <c r="AO109" s="24" t="s">
        <v>153</v>
      </c>
      <c r="AP109" s="23">
        <f>VALUE(0)</f>
        <v>0</v>
      </c>
      <c r="AQ109" s="23">
        <f>VALUE(0)</f>
        <v>0</v>
      </c>
      <c r="AR109" s="23">
        <f>VALUE(0)</f>
        <v>0</v>
      </c>
      <c r="AS109" s="23">
        <f>VALUE(0)</f>
        <v>0</v>
      </c>
      <c r="AT109" s="23">
        <f>VALUE(0)</f>
        <v>0</v>
      </c>
      <c r="AU109" s="23">
        <f>VALUE(0)</f>
        <v>0</v>
      </c>
      <c r="AV109" s="23">
        <f>VALUE(8)</f>
        <v>8</v>
      </c>
      <c r="AW109" s="23">
        <f>VALUE(0)</f>
        <v>0</v>
      </c>
      <c r="AX109" s="23" t="s">
        <v>1204</v>
      </c>
      <c r="AY109" s="23">
        <f>VALUE(0)</f>
        <v>0</v>
      </c>
      <c r="AZ109" s="23">
        <f>VALUE(0)</f>
        <v>0</v>
      </c>
      <c r="BA109" s="23">
        <f>VALUE(0)</f>
        <v>0</v>
      </c>
      <c r="BB109" s="23">
        <f>VALUE(0)</f>
        <v>0</v>
      </c>
      <c r="BC109" s="23">
        <f>VALUE(0)</f>
        <v>0</v>
      </c>
      <c r="BD109" s="23">
        <f>VALUE(0)</f>
        <v>0</v>
      </c>
      <c r="BE109" s="23">
        <f>VALUE(0)</f>
        <v>0</v>
      </c>
      <c r="BF109" s="23">
        <f>VALUE(0)</f>
        <v>0</v>
      </c>
      <c r="BG109" s="23">
        <f>VALUE(0)</f>
        <v>0</v>
      </c>
      <c r="BH109" s="23">
        <f>VALUE(0)</f>
        <v>0</v>
      </c>
      <c r="BI109" s="23">
        <f>VALUE(0)</f>
        <v>0</v>
      </c>
      <c r="BJ109" s="23">
        <f>VALUE(0)</f>
        <v>0</v>
      </c>
      <c r="BK109" s="12">
        <f>$AX$109*24</f>
        <v>4.8666666666666671</v>
      </c>
      <c r="BL109" s="12">
        <f>$AY$109*24</f>
        <v>0</v>
      </c>
      <c r="BM109" s="12">
        <f>$BJ$109*24</f>
        <v>0</v>
      </c>
      <c r="BN109" s="12">
        <f>VALUE($I$109)/100</f>
        <v>1</v>
      </c>
      <c r="BO109" s="12">
        <v>0</v>
      </c>
      <c r="BP109" s="12">
        <v>0</v>
      </c>
      <c r="BQ109" s="12">
        <v>0</v>
      </c>
      <c r="BR109" s="12">
        <v>0</v>
      </c>
      <c r="BS109" s="12">
        <v>0</v>
      </c>
      <c r="BT109" s="12">
        <v>0</v>
      </c>
      <c r="BU109" s="12">
        <v>0</v>
      </c>
      <c r="BV109" s="12">
        <v>0</v>
      </c>
      <c r="BW109" s="12">
        <v>0</v>
      </c>
      <c r="BX109" s="12">
        <v>0</v>
      </c>
      <c r="BY109" s="12">
        <v>0</v>
      </c>
      <c r="BZ109" s="12">
        <v>0</v>
      </c>
      <c r="CA109" s="12">
        <v>0</v>
      </c>
    </row>
    <row r="110" spans="1:79" x14ac:dyDescent="0.2">
      <c r="A110" s="12" t="s">
        <v>113</v>
      </c>
      <c r="B110" s="12" t="s">
        <v>117</v>
      </c>
      <c r="C110" s="12" t="s">
        <v>117</v>
      </c>
      <c r="D110" s="22" t="s">
        <v>348</v>
      </c>
      <c r="E110" s="22" t="s">
        <v>173</v>
      </c>
      <c r="F110" s="22" t="s">
        <v>758</v>
      </c>
      <c r="G110" s="22" t="s">
        <v>759</v>
      </c>
      <c r="H110" s="22" t="s">
        <v>349</v>
      </c>
      <c r="I110" s="22" t="s">
        <v>151</v>
      </c>
      <c r="J110" s="22" t="s">
        <v>347</v>
      </c>
      <c r="K110" s="22" t="s">
        <v>77</v>
      </c>
      <c r="L110" s="54" t="s">
        <v>153</v>
      </c>
      <c r="M110" s="24" t="s">
        <v>153</v>
      </c>
      <c r="N110" s="24" t="s">
        <v>153</v>
      </c>
      <c r="O110" s="23" t="s">
        <v>153</v>
      </c>
      <c r="P110" s="23" t="s">
        <v>153</v>
      </c>
      <c r="Q110" s="23" t="s">
        <v>153</v>
      </c>
      <c r="R110" s="23" t="s">
        <v>153</v>
      </c>
      <c r="S110" s="23" t="s">
        <v>153</v>
      </c>
      <c r="T110" s="24" t="s">
        <v>153</v>
      </c>
      <c r="U110" s="24" t="s">
        <v>153</v>
      </c>
      <c r="V110" s="54" t="s">
        <v>156</v>
      </c>
      <c r="W110" s="23" t="s">
        <v>153</v>
      </c>
      <c r="X110" s="23" t="s">
        <v>153</v>
      </c>
      <c r="Y110" s="23" t="s">
        <v>153</v>
      </c>
      <c r="Z110" s="23" t="s">
        <v>153</v>
      </c>
      <c r="AA110" s="24" t="s">
        <v>153</v>
      </c>
      <c r="AB110" s="24" t="s">
        <v>153</v>
      </c>
      <c r="AC110" s="23" t="s">
        <v>153</v>
      </c>
      <c r="AD110" s="23" t="s">
        <v>153</v>
      </c>
      <c r="AE110" s="23" t="s">
        <v>153</v>
      </c>
      <c r="AF110" s="23" t="s">
        <v>153</v>
      </c>
      <c r="AG110" s="23" t="s">
        <v>153</v>
      </c>
      <c r="AH110" s="24" t="s">
        <v>153</v>
      </c>
      <c r="AI110" s="24" t="s">
        <v>153</v>
      </c>
      <c r="AJ110" s="24" t="s">
        <v>156</v>
      </c>
      <c r="AK110" s="23" t="s">
        <v>153</v>
      </c>
      <c r="AL110" s="23" t="s">
        <v>153</v>
      </c>
      <c r="AM110" s="23" t="s">
        <v>153</v>
      </c>
      <c r="AN110" s="23" t="s">
        <v>153</v>
      </c>
      <c r="AO110" s="24" t="s">
        <v>153</v>
      </c>
      <c r="AP110" s="23">
        <f>VALUE(0)</f>
        <v>0</v>
      </c>
      <c r="AQ110" s="23">
        <f>VALUE(0)</f>
        <v>0</v>
      </c>
      <c r="AR110" s="23">
        <f>VALUE(0)</f>
        <v>0</v>
      </c>
      <c r="AS110" s="23">
        <f>VALUE(0)</f>
        <v>0</v>
      </c>
      <c r="AT110" s="23">
        <f>VALUE(0)</f>
        <v>0</v>
      </c>
      <c r="AU110" s="23">
        <f>VALUE(0)</f>
        <v>0</v>
      </c>
      <c r="AV110" s="23">
        <f>VALUE(10)</f>
        <v>10</v>
      </c>
      <c r="AW110" s="23">
        <f>VALUE(0)</f>
        <v>0</v>
      </c>
      <c r="AX110" s="23" t="s">
        <v>1199</v>
      </c>
      <c r="AY110" s="23">
        <f>VALUE(0)</f>
        <v>0</v>
      </c>
      <c r="AZ110" s="23">
        <f>VALUE(0)</f>
        <v>0</v>
      </c>
      <c r="BA110" s="23">
        <f>VALUE(0)</f>
        <v>0</v>
      </c>
      <c r="BB110" s="23">
        <f>VALUE(0)</f>
        <v>0</v>
      </c>
      <c r="BC110" s="23">
        <f>VALUE(0)</f>
        <v>0</v>
      </c>
      <c r="BD110" s="23">
        <f>VALUE(0)</f>
        <v>0</v>
      </c>
      <c r="BE110" s="23">
        <f>VALUE(0)</f>
        <v>0</v>
      </c>
      <c r="BF110" s="23">
        <f>VALUE(0)</f>
        <v>0</v>
      </c>
      <c r="BG110" s="23">
        <f>VALUE(0)</f>
        <v>0</v>
      </c>
      <c r="BH110" s="23">
        <f>VALUE(0)</f>
        <v>0</v>
      </c>
      <c r="BI110" s="23">
        <f>VALUE(0)</f>
        <v>0</v>
      </c>
      <c r="BJ110" s="23">
        <f>VALUE(0)</f>
        <v>0</v>
      </c>
      <c r="BK110" s="12">
        <f>$AX$110*24</f>
        <v>7</v>
      </c>
      <c r="BL110" s="12">
        <f>$AY$110*24</f>
        <v>0</v>
      </c>
      <c r="BM110" s="12">
        <f>$BJ$110*24</f>
        <v>0</v>
      </c>
      <c r="BN110" s="12">
        <f>VALUE($I$110)/100</f>
        <v>1</v>
      </c>
      <c r="BO110" s="12">
        <v>0</v>
      </c>
      <c r="BP110" s="12">
        <v>0</v>
      </c>
      <c r="BQ110" s="12">
        <v>0</v>
      </c>
      <c r="BR110" s="12">
        <v>0</v>
      </c>
      <c r="BS110" s="12">
        <v>0</v>
      </c>
      <c r="BT110" s="12">
        <v>0</v>
      </c>
      <c r="BU110" s="12">
        <v>0</v>
      </c>
      <c r="BV110" s="12">
        <v>0</v>
      </c>
      <c r="BW110" s="12">
        <v>0</v>
      </c>
      <c r="BX110" s="12">
        <v>0</v>
      </c>
      <c r="BY110" s="12">
        <v>0</v>
      </c>
      <c r="BZ110" s="12">
        <v>0</v>
      </c>
      <c r="CA110" s="12">
        <v>0</v>
      </c>
    </row>
    <row r="111" spans="1:79" x14ac:dyDescent="0.2">
      <c r="A111" s="12" t="s">
        <v>113</v>
      </c>
      <c r="B111" s="12" t="s">
        <v>117</v>
      </c>
      <c r="C111" s="12" t="s">
        <v>117</v>
      </c>
      <c r="D111" s="22" t="s">
        <v>350</v>
      </c>
      <c r="E111" s="22" t="s">
        <v>149</v>
      </c>
      <c r="F111" s="22" t="s">
        <v>760</v>
      </c>
      <c r="G111" s="22" t="s">
        <v>761</v>
      </c>
      <c r="H111" s="22" t="s">
        <v>166</v>
      </c>
      <c r="I111" s="22" t="s">
        <v>151</v>
      </c>
      <c r="J111" s="22" t="s">
        <v>351</v>
      </c>
      <c r="K111" s="22" t="s">
        <v>77</v>
      </c>
      <c r="L111" s="54" t="s">
        <v>153</v>
      </c>
      <c r="M111" s="24" t="s">
        <v>153</v>
      </c>
      <c r="N111" s="24" t="s">
        <v>153</v>
      </c>
      <c r="O111" s="23" t="s">
        <v>153</v>
      </c>
      <c r="P111" s="23" t="s">
        <v>153</v>
      </c>
      <c r="Q111" s="23" t="s">
        <v>153</v>
      </c>
      <c r="R111" s="23" t="s">
        <v>153</v>
      </c>
      <c r="S111" s="23" t="s">
        <v>153</v>
      </c>
      <c r="T111" s="24" t="s">
        <v>153</v>
      </c>
      <c r="U111" s="24" t="s">
        <v>153</v>
      </c>
      <c r="V111" s="54" t="s">
        <v>153</v>
      </c>
      <c r="W111" s="30" t="s">
        <v>28</v>
      </c>
      <c r="X111" s="23" t="s">
        <v>153</v>
      </c>
      <c r="Y111" s="23" t="s">
        <v>153</v>
      </c>
      <c r="Z111" s="23" t="s">
        <v>153</v>
      </c>
      <c r="AA111" s="24" t="s">
        <v>153</v>
      </c>
      <c r="AB111" s="24" t="s">
        <v>153</v>
      </c>
      <c r="AC111" s="23" t="s">
        <v>153</v>
      </c>
      <c r="AD111" s="23" t="s">
        <v>153</v>
      </c>
      <c r="AE111" s="23" t="s">
        <v>153</v>
      </c>
      <c r="AF111" s="23" t="s">
        <v>153</v>
      </c>
      <c r="AG111" s="23" t="s">
        <v>153</v>
      </c>
      <c r="AH111" s="24" t="s">
        <v>153</v>
      </c>
      <c r="AI111" s="24" t="s">
        <v>153</v>
      </c>
      <c r="AJ111" s="23" t="s">
        <v>153</v>
      </c>
      <c r="AK111" s="23" t="s">
        <v>153</v>
      </c>
      <c r="AL111" s="23" t="s">
        <v>153</v>
      </c>
      <c r="AM111" s="23" t="s">
        <v>153</v>
      </c>
      <c r="AN111" s="23" t="s">
        <v>153</v>
      </c>
      <c r="AO111" s="24" t="s">
        <v>153</v>
      </c>
      <c r="AP111" s="23">
        <f>VALUE(0)</f>
        <v>0</v>
      </c>
      <c r="AQ111" s="23">
        <f>VALUE(0)</f>
        <v>0</v>
      </c>
      <c r="AR111" s="23">
        <f>VALUE(0)</f>
        <v>0</v>
      </c>
      <c r="AS111" s="23">
        <f>VALUE(0)</f>
        <v>0</v>
      </c>
      <c r="AT111" s="23">
        <f>VALUE(0)</f>
        <v>0</v>
      </c>
      <c r="AU111" s="23">
        <f>VALUE(0)</f>
        <v>0</v>
      </c>
      <c r="AV111" s="23">
        <f>VALUE(4)</f>
        <v>4</v>
      </c>
      <c r="AW111" s="23">
        <f>VALUE(0)</f>
        <v>0</v>
      </c>
      <c r="AX111" s="23" t="s">
        <v>352</v>
      </c>
      <c r="AY111" s="23">
        <f>VALUE(0)</f>
        <v>0</v>
      </c>
      <c r="AZ111" s="23">
        <f>VALUE(0)</f>
        <v>0</v>
      </c>
      <c r="BA111" s="23">
        <f>VALUE(0)</f>
        <v>0</v>
      </c>
      <c r="BB111" s="23">
        <f>VALUE(0)</f>
        <v>0</v>
      </c>
      <c r="BC111" s="23">
        <f>VALUE(0)</f>
        <v>0</v>
      </c>
      <c r="BD111" s="23">
        <f>VALUE(0)</f>
        <v>0</v>
      </c>
      <c r="BE111" s="23">
        <f>VALUE(0)</f>
        <v>0</v>
      </c>
      <c r="BF111" s="23">
        <f>VALUE(0)</f>
        <v>0</v>
      </c>
      <c r="BG111" s="23">
        <f>VALUE(0)</f>
        <v>0</v>
      </c>
      <c r="BH111" s="23">
        <f>VALUE(0)</f>
        <v>0</v>
      </c>
      <c r="BI111" s="23">
        <f>VALUE(0)</f>
        <v>0</v>
      </c>
      <c r="BJ111" s="23">
        <f>VALUE(0)</f>
        <v>0</v>
      </c>
      <c r="BK111" s="12">
        <f>$AX$111*24</f>
        <v>12.183333333333334</v>
      </c>
      <c r="BL111" s="12">
        <f>$AY$111*24</f>
        <v>0</v>
      </c>
      <c r="BM111" s="12">
        <f>$BJ$111*24</f>
        <v>0</v>
      </c>
      <c r="BN111" s="12">
        <f>VALUE($I$111)/100</f>
        <v>1</v>
      </c>
      <c r="BO111" s="12">
        <v>0</v>
      </c>
      <c r="BP111" s="12">
        <v>0</v>
      </c>
      <c r="BQ111" s="12">
        <v>1</v>
      </c>
      <c r="BR111" s="12">
        <v>0</v>
      </c>
      <c r="BS111" s="12">
        <v>0</v>
      </c>
      <c r="BT111" s="12">
        <v>0</v>
      </c>
      <c r="BU111" s="12">
        <v>0</v>
      </c>
      <c r="BV111" s="12">
        <v>0</v>
      </c>
      <c r="BW111" s="12">
        <v>0</v>
      </c>
      <c r="BX111" s="12">
        <v>0</v>
      </c>
      <c r="BY111" s="12">
        <v>0</v>
      </c>
      <c r="BZ111" s="12">
        <v>0</v>
      </c>
      <c r="CA111" s="12">
        <v>0</v>
      </c>
    </row>
    <row r="112" spans="1:79" x14ac:dyDescent="0.2">
      <c r="A112" s="12" t="s">
        <v>113</v>
      </c>
      <c r="B112" s="12" t="s">
        <v>117</v>
      </c>
      <c r="C112" s="12" t="s">
        <v>117</v>
      </c>
      <c r="D112" s="22" t="s">
        <v>353</v>
      </c>
      <c r="E112" s="22" t="s">
        <v>149</v>
      </c>
      <c r="F112" s="22" t="s">
        <v>762</v>
      </c>
      <c r="G112" s="22" t="s">
        <v>763</v>
      </c>
      <c r="H112" s="22" t="s">
        <v>150</v>
      </c>
      <c r="I112" s="22" t="s">
        <v>151</v>
      </c>
      <c r="J112" s="22" t="s">
        <v>351</v>
      </c>
      <c r="K112" s="22" t="s">
        <v>77</v>
      </c>
      <c r="L112" s="54" t="s">
        <v>153</v>
      </c>
      <c r="M112" s="24" t="s">
        <v>153</v>
      </c>
      <c r="N112" s="24" t="s">
        <v>153</v>
      </c>
      <c r="O112" s="23" t="s">
        <v>153</v>
      </c>
      <c r="P112" s="23" t="s">
        <v>153</v>
      </c>
      <c r="Q112" s="23" t="s">
        <v>153</v>
      </c>
      <c r="R112" s="23" t="s">
        <v>153</v>
      </c>
      <c r="S112" s="23" t="s">
        <v>153</v>
      </c>
      <c r="T112" s="24" t="s">
        <v>153</v>
      </c>
      <c r="U112" s="24" t="s">
        <v>153</v>
      </c>
      <c r="V112" s="54" t="s">
        <v>153</v>
      </c>
      <c r="W112" s="23" t="s">
        <v>153</v>
      </c>
      <c r="X112" s="23" t="s">
        <v>153</v>
      </c>
      <c r="Y112" s="23" t="s">
        <v>153</v>
      </c>
      <c r="Z112" s="23" t="s">
        <v>153</v>
      </c>
      <c r="AA112" s="24" t="s">
        <v>153</v>
      </c>
      <c r="AB112" s="24" t="s">
        <v>153</v>
      </c>
      <c r="AC112" s="28" t="s">
        <v>163</v>
      </c>
      <c r="AD112" s="28" t="s">
        <v>163</v>
      </c>
      <c r="AE112" s="28" t="s">
        <v>163</v>
      </c>
      <c r="AF112" s="28" t="s">
        <v>163</v>
      </c>
      <c r="AG112" s="28" t="s">
        <v>163</v>
      </c>
      <c r="AH112" s="24" t="s">
        <v>153</v>
      </c>
      <c r="AI112" s="24" t="s">
        <v>153</v>
      </c>
      <c r="AJ112" s="28" t="s">
        <v>163</v>
      </c>
      <c r="AK112" s="28" t="s">
        <v>163</v>
      </c>
      <c r="AL112" s="28" t="s">
        <v>163</v>
      </c>
      <c r="AM112" s="28" t="s">
        <v>163</v>
      </c>
      <c r="AN112" s="28" t="s">
        <v>163</v>
      </c>
      <c r="AO112" s="24" t="s">
        <v>153</v>
      </c>
      <c r="AP112" s="23">
        <f>VALUE(0)</f>
        <v>0</v>
      </c>
      <c r="AQ112" s="23">
        <f>VALUE(0)</f>
        <v>0</v>
      </c>
      <c r="AR112" s="23">
        <f>VALUE(0)</f>
        <v>0</v>
      </c>
      <c r="AS112" s="23">
        <f>VALUE(0)</f>
        <v>0</v>
      </c>
      <c r="AT112" s="23">
        <f>VALUE(0)</f>
        <v>0</v>
      </c>
      <c r="AU112" s="23">
        <f>VALUE(10)</f>
        <v>10</v>
      </c>
      <c r="AV112" s="23">
        <f>VALUE(0)</f>
        <v>0</v>
      </c>
      <c r="AW112" s="23">
        <f>VALUE(0)</f>
        <v>0</v>
      </c>
      <c r="AX112" s="23" t="s">
        <v>176</v>
      </c>
      <c r="AY112" s="23" t="s">
        <v>354</v>
      </c>
      <c r="AZ112" s="23">
        <f>VALUE(0)</f>
        <v>0</v>
      </c>
      <c r="BA112" s="23">
        <f>VALUE(0)</f>
        <v>0</v>
      </c>
      <c r="BB112" s="23">
        <f>VALUE(0)</f>
        <v>0</v>
      </c>
      <c r="BC112" s="23">
        <f>VALUE(0)</f>
        <v>0</v>
      </c>
      <c r="BD112" s="23">
        <f>VALUE(0)</f>
        <v>0</v>
      </c>
      <c r="BE112" s="23">
        <f>VALUE(0)</f>
        <v>0</v>
      </c>
      <c r="BF112" s="23">
        <f>VALUE(0)</f>
        <v>0</v>
      </c>
      <c r="BG112" s="23">
        <f>VALUE(0)</f>
        <v>0</v>
      </c>
      <c r="BH112" s="23">
        <f>VALUE(0)</f>
        <v>0</v>
      </c>
      <c r="BI112" s="23">
        <f>VALUE(0)</f>
        <v>0</v>
      </c>
      <c r="BJ112" s="23">
        <f>VALUE(0)</f>
        <v>0</v>
      </c>
      <c r="BK112" s="12">
        <f>$AX$112*24</f>
        <v>0</v>
      </c>
      <c r="BL112" s="12">
        <f>$AY$112*24</f>
        <v>35.549999999999997</v>
      </c>
      <c r="BM112" s="12">
        <f>$BJ$112*24</f>
        <v>0</v>
      </c>
      <c r="BN112" s="12">
        <f>VALUE($I$112)/100</f>
        <v>1</v>
      </c>
      <c r="BO112" s="12">
        <v>0</v>
      </c>
      <c r="BP112" s="12">
        <v>0</v>
      </c>
      <c r="BQ112" s="12">
        <v>0</v>
      </c>
      <c r="BR112" s="12">
        <v>0</v>
      </c>
      <c r="BS112" s="12">
        <v>0</v>
      </c>
      <c r="BT112" s="12">
        <v>0</v>
      </c>
      <c r="BU112" s="12">
        <v>0</v>
      </c>
      <c r="BV112" s="12">
        <v>0</v>
      </c>
      <c r="BW112" s="12">
        <v>0</v>
      </c>
      <c r="BX112" s="12">
        <v>0</v>
      </c>
      <c r="BY112" s="12">
        <v>0</v>
      </c>
      <c r="BZ112" s="12">
        <v>0</v>
      </c>
      <c r="CA112" s="12">
        <v>0</v>
      </c>
    </row>
    <row r="113" spans="1:79" ht="15" x14ac:dyDescent="0.25">
      <c r="A113" s="12" t="s">
        <v>113</v>
      </c>
      <c r="B113" s="12" t="s">
        <v>117</v>
      </c>
      <c r="C113" s="12" t="s">
        <v>117</v>
      </c>
      <c r="D113" s="31" t="s">
        <v>355</v>
      </c>
      <c r="E113" s="31" t="s">
        <v>153</v>
      </c>
      <c r="F113" s="31" t="s">
        <v>175</v>
      </c>
      <c r="G113" s="31" t="s">
        <v>153</v>
      </c>
      <c r="H113" s="31" t="s">
        <v>153</v>
      </c>
      <c r="I113" s="31" t="s">
        <v>153</v>
      </c>
      <c r="J113" s="31" t="s">
        <v>153</v>
      </c>
      <c r="K113" s="31" t="s">
        <v>153</v>
      </c>
      <c r="L113" s="31">
        <f>VALUE(0)</f>
        <v>0</v>
      </c>
      <c r="M113" s="31">
        <f>VALUE(0)</f>
        <v>0</v>
      </c>
      <c r="N113" s="31">
        <f>VALUE(0)</f>
        <v>0</v>
      </c>
      <c r="O113" s="31">
        <f>VALUE(4)</f>
        <v>4</v>
      </c>
      <c r="P113" s="31">
        <f>VALUE(4)</f>
        <v>4</v>
      </c>
      <c r="Q113" s="31">
        <f>VALUE(4)</f>
        <v>4</v>
      </c>
      <c r="R113" s="31">
        <f>VALUE(4)</f>
        <v>4</v>
      </c>
      <c r="S113" s="31">
        <f>VALUE(4)</f>
        <v>4</v>
      </c>
      <c r="T113" s="31">
        <f>VALUE(0)</f>
        <v>0</v>
      </c>
      <c r="U113" s="31">
        <f>VALUE(0)</f>
        <v>0</v>
      </c>
      <c r="V113" s="31">
        <f>VALUE(0)</f>
        <v>0</v>
      </c>
      <c r="W113" s="31">
        <f>VALUE(3)</f>
        <v>3</v>
      </c>
      <c r="X113" s="31">
        <f>VALUE(3)</f>
        <v>3</v>
      </c>
      <c r="Y113" s="31">
        <f>VALUE(4)</f>
        <v>4</v>
      </c>
      <c r="Z113" s="31">
        <f>VALUE(4)</f>
        <v>4</v>
      </c>
      <c r="AA113" s="31">
        <f>VALUE(0)</f>
        <v>0</v>
      </c>
      <c r="AB113" s="31">
        <f>VALUE(0)</f>
        <v>0</v>
      </c>
      <c r="AC113" s="31">
        <f>VALUE(3)</f>
        <v>3</v>
      </c>
      <c r="AD113" s="31">
        <f>VALUE(3)</f>
        <v>3</v>
      </c>
      <c r="AE113" s="31">
        <f>VALUE(3)</f>
        <v>3</v>
      </c>
      <c r="AF113" s="31">
        <f>VALUE(3)</f>
        <v>3</v>
      </c>
      <c r="AG113" s="31">
        <f>VALUE(3)</f>
        <v>3</v>
      </c>
      <c r="AH113" s="31">
        <f>VALUE(0)</f>
        <v>0</v>
      </c>
      <c r="AI113" s="31">
        <f>VALUE(0)</f>
        <v>0</v>
      </c>
      <c r="AJ113" s="31">
        <f>VALUE(2)</f>
        <v>2</v>
      </c>
      <c r="AK113" s="31">
        <f>VALUE(3)</f>
        <v>3</v>
      </c>
      <c r="AL113" s="31">
        <f>VALUE(2)</f>
        <v>2</v>
      </c>
      <c r="AM113" s="31">
        <f>VALUE(3)</f>
        <v>3</v>
      </c>
      <c r="AN113" s="31">
        <f>VALUE(3)</f>
        <v>3</v>
      </c>
      <c r="AO113" s="31">
        <f>VALUE(0)</f>
        <v>0</v>
      </c>
      <c r="AP113" s="31">
        <v>0</v>
      </c>
      <c r="AQ113" s="31">
        <v>0</v>
      </c>
      <c r="AR113" s="31">
        <v>0</v>
      </c>
      <c r="AS113" s="31">
        <v>0</v>
      </c>
      <c r="AT113" s="31">
        <v>0</v>
      </c>
      <c r="AU113" s="31">
        <v>0</v>
      </c>
      <c r="AV113" s="31">
        <v>0</v>
      </c>
      <c r="AW113" s="31">
        <v>0</v>
      </c>
      <c r="AX113" s="31">
        <v>0</v>
      </c>
      <c r="AY113" s="31">
        <v>0</v>
      </c>
      <c r="AZ113" s="31">
        <v>0</v>
      </c>
      <c r="BA113" s="31">
        <v>0</v>
      </c>
      <c r="BB113" s="31">
        <v>0</v>
      </c>
      <c r="BC113" s="31">
        <v>0</v>
      </c>
      <c r="BD113" s="31">
        <v>0</v>
      </c>
      <c r="BE113" s="31">
        <v>0</v>
      </c>
      <c r="BF113" s="31">
        <v>0</v>
      </c>
      <c r="BG113" s="31">
        <v>0</v>
      </c>
      <c r="BH113" s="31">
        <v>0</v>
      </c>
      <c r="BI113" s="31">
        <v>0</v>
      </c>
      <c r="BJ113" s="31">
        <v>0</v>
      </c>
      <c r="BK113" s="12">
        <v>0</v>
      </c>
      <c r="BL113" s="12">
        <v>0</v>
      </c>
      <c r="BM113" s="12">
        <v>0</v>
      </c>
      <c r="BN113" s="12"/>
      <c r="BO113" s="12">
        <v>0</v>
      </c>
      <c r="BP113" s="12">
        <v>0</v>
      </c>
      <c r="BQ113" s="12">
        <v>0</v>
      </c>
      <c r="BR113" s="12">
        <v>0</v>
      </c>
      <c r="BS113" s="12">
        <v>0</v>
      </c>
      <c r="BT113" s="12">
        <v>0</v>
      </c>
      <c r="BU113" s="12">
        <v>0</v>
      </c>
      <c r="BV113" s="12">
        <v>0</v>
      </c>
      <c r="BW113" s="12">
        <v>0</v>
      </c>
      <c r="BX113" s="12">
        <v>0</v>
      </c>
      <c r="BY113" s="12">
        <v>0</v>
      </c>
      <c r="BZ113" s="12">
        <v>0</v>
      </c>
      <c r="CA113" s="12">
        <v>0</v>
      </c>
    </row>
    <row r="114" spans="1:79" x14ac:dyDescent="0.2">
      <c r="A114" s="12" t="s">
        <v>113</v>
      </c>
      <c r="B114" s="12" t="s">
        <v>118</v>
      </c>
      <c r="C114" s="12" t="s">
        <v>118</v>
      </c>
      <c r="D114" s="22" t="s">
        <v>356</v>
      </c>
      <c r="E114" s="22" t="s">
        <v>149</v>
      </c>
      <c r="F114" s="22" t="s">
        <v>764</v>
      </c>
      <c r="G114" s="22" t="s">
        <v>765</v>
      </c>
      <c r="H114" s="22" t="s">
        <v>166</v>
      </c>
      <c r="I114" s="22" t="s">
        <v>151</v>
      </c>
      <c r="J114" s="22" t="s">
        <v>357</v>
      </c>
      <c r="K114" s="22" t="s">
        <v>78</v>
      </c>
      <c r="L114" s="54" t="s">
        <v>153</v>
      </c>
      <c r="M114" s="24" t="s">
        <v>153</v>
      </c>
      <c r="N114" s="24" t="s">
        <v>153</v>
      </c>
      <c r="O114" s="23" t="s">
        <v>153</v>
      </c>
      <c r="P114" s="23" t="s">
        <v>153</v>
      </c>
      <c r="Q114" s="30" t="s">
        <v>1205</v>
      </c>
      <c r="R114" s="23" t="s">
        <v>153</v>
      </c>
      <c r="S114" s="23" t="s">
        <v>153</v>
      </c>
      <c r="T114" s="24" t="s">
        <v>153</v>
      </c>
      <c r="U114" s="24" t="s">
        <v>153</v>
      </c>
      <c r="V114" s="54" t="s">
        <v>153</v>
      </c>
      <c r="W114" s="23" t="s">
        <v>153</v>
      </c>
      <c r="X114" s="23" t="s">
        <v>153</v>
      </c>
      <c r="Y114" s="23" t="s">
        <v>153</v>
      </c>
      <c r="Z114" s="23" t="s">
        <v>153</v>
      </c>
      <c r="AA114" s="24" t="s">
        <v>153</v>
      </c>
      <c r="AB114" s="24" t="s">
        <v>153</v>
      </c>
      <c r="AC114" s="23" t="s">
        <v>153</v>
      </c>
      <c r="AD114" s="23" t="s">
        <v>153</v>
      </c>
      <c r="AE114" s="23" t="s">
        <v>153</v>
      </c>
      <c r="AF114" s="23" t="s">
        <v>153</v>
      </c>
      <c r="AG114" s="23" t="s">
        <v>153</v>
      </c>
      <c r="AH114" s="24" t="s">
        <v>153</v>
      </c>
      <c r="AI114" s="24" t="s">
        <v>153</v>
      </c>
      <c r="AJ114" s="23" t="s">
        <v>153</v>
      </c>
      <c r="AK114" s="23" t="s">
        <v>153</v>
      </c>
      <c r="AL114" s="23" t="s">
        <v>153</v>
      </c>
      <c r="AM114" s="23" t="s">
        <v>153</v>
      </c>
      <c r="AN114" s="23" t="s">
        <v>153</v>
      </c>
      <c r="AO114" s="24" t="s">
        <v>153</v>
      </c>
      <c r="AP114" s="23">
        <f>VALUE(0)</f>
        <v>0</v>
      </c>
      <c r="AQ114" s="23">
        <f>VALUE(0)</f>
        <v>0</v>
      </c>
      <c r="AR114" s="23">
        <f>VALUE(0)</f>
        <v>0</v>
      </c>
      <c r="AS114" s="23">
        <f>VALUE(0)</f>
        <v>0</v>
      </c>
      <c r="AT114" s="23">
        <f>VALUE(0)</f>
        <v>0</v>
      </c>
      <c r="AU114" s="23">
        <f>VALUE(0)</f>
        <v>0</v>
      </c>
      <c r="AV114" s="23">
        <f>VALUE(18)</f>
        <v>18</v>
      </c>
      <c r="AW114" s="23">
        <f>VALUE(0)</f>
        <v>0</v>
      </c>
      <c r="AX114" s="23">
        <f>VALUE(0)</f>
        <v>0</v>
      </c>
      <c r="AY114" s="23">
        <f>VALUE(0)</f>
        <v>0</v>
      </c>
      <c r="AZ114" s="23">
        <f>VALUE(0)</f>
        <v>0</v>
      </c>
      <c r="BA114" s="23">
        <f>VALUE(0)</f>
        <v>0</v>
      </c>
      <c r="BB114" s="23">
        <f>VALUE(0)</f>
        <v>0</v>
      </c>
      <c r="BC114" s="23">
        <f>VALUE(0)</f>
        <v>0</v>
      </c>
      <c r="BD114" s="23">
        <f>VALUE(0)</f>
        <v>0</v>
      </c>
      <c r="BE114" s="23">
        <f>VALUE(0)</f>
        <v>0</v>
      </c>
      <c r="BF114" s="23">
        <f>VALUE(0)</f>
        <v>0</v>
      </c>
      <c r="BG114" s="23">
        <f>VALUE(0)</f>
        <v>0</v>
      </c>
      <c r="BH114" s="23">
        <f>VALUE(0)</f>
        <v>0</v>
      </c>
      <c r="BI114" s="23">
        <f>VALUE(0)</f>
        <v>0</v>
      </c>
      <c r="BJ114" s="23">
        <f>VALUE(0)</f>
        <v>0</v>
      </c>
      <c r="BK114" s="12">
        <f>$AX$114*24</f>
        <v>0</v>
      </c>
      <c r="BL114" s="12">
        <f>$AY$114*24</f>
        <v>0</v>
      </c>
      <c r="BM114" s="12">
        <f>$BJ$114*24</f>
        <v>0</v>
      </c>
      <c r="BN114" s="12">
        <f>VALUE($I$114)/100</f>
        <v>1</v>
      </c>
      <c r="BO114" s="12">
        <v>0</v>
      </c>
      <c r="BP114" s="12">
        <v>0</v>
      </c>
      <c r="BQ114" s="12">
        <v>0</v>
      </c>
      <c r="BR114" s="12">
        <v>0</v>
      </c>
      <c r="BS114" s="12">
        <v>0</v>
      </c>
      <c r="BT114" s="12">
        <v>0</v>
      </c>
      <c r="BU114" s="12">
        <v>0</v>
      </c>
      <c r="BV114" s="12">
        <v>0</v>
      </c>
      <c r="BW114" s="12">
        <v>0</v>
      </c>
      <c r="BX114" s="12">
        <v>0</v>
      </c>
      <c r="BY114" s="12">
        <v>0</v>
      </c>
      <c r="BZ114" s="12">
        <v>0</v>
      </c>
      <c r="CA114" s="12">
        <v>0</v>
      </c>
    </row>
    <row r="115" spans="1:79" x14ac:dyDescent="0.2">
      <c r="A115" s="12" t="s">
        <v>113</v>
      </c>
      <c r="B115" s="12" t="s">
        <v>118</v>
      </c>
      <c r="C115" s="12" t="s">
        <v>118</v>
      </c>
      <c r="D115" s="22" t="s">
        <v>358</v>
      </c>
      <c r="E115" s="22" t="s">
        <v>149</v>
      </c>
      <c r="F115" s="22" t="s">
        <v>766</v>
      </c>
      <c r="G115" s="22" t="s">
        <v>767</v>
      </c>
      <c r="H115" s="22" t="s">
        <v>166</v>
      </c>
      <c r="I115" s="22" t="s">
        <v>151</v>
      </c>
      <c r="J115" s="22" t="s">
        <v>359</v>
      </c>
      <c r="K115" s="22" t="s">
        <v>78</v>
      </c>
      <c r="L115" s="54" t="s">
        <v>153</v>
      </c>
      <c r="M115" s="24" t="s">
        <v>153</v>
      </c>
      <c r="N115" s="24" t="s">
        <v>153</v>
      </c>
      <c r="O115" s="24" t="s">
        <v>156</v>
      </c>
      <c r="P115" s="23" t="s">
        <v>153</v>
      </c>
      <c r="Q115" s="23" t="s">
        <v>153</v>
      </c>
      <c r="R115" s="23" t="s">
        <v>153</v>
      </c>
      <c r="S115" s="23" t="s">
        <v>153</v>
      </c>
      <c r="T115" s="24" t="s">
        <v>153</v>
      </c>
      <c r="U115" s="24" t="s">
        <v>153</v>
      </c>
      <c r="V115" s="54" t="s">
        <v>153</v>
      </c>
      <c r="W115" s="23" t="s">
        <v>153</v>
      </c>
      <c r="X115" s="23" t="s">
        <v>153</v>
      </c>
      <c r="Y115" s="23" t="s">
        <v>153</v>
      </c>
      <c r="Z115" s="23" t="s">
        <v>153</v>
      </c>
      <c r="AA115" s="24" t="s">
        <v>153</v>
      </c>
      <c r="AB115" s="24" t="s">
        <v>153</v>
      </c>
      <c r="AC115" s="24" t="s">
        <v>156</v>
      </c>
      <c r="AD115" s="23" t="s">
        <v>153</v>
      </c>
      <c r="AE115" s="23" t="s">
        <v>153</v>
      </c>
      <c r="AF115" s="23" t="s">
        <v>153</v>
      </c>
      <c r="AG115" s="23" t="s">
        <v>153</v>
      </c>
      <c r="AH115" s="24" t="s">
        <v>153</v>
      </c>
      <c r="AI115" s="24" t="s">
        <v>153</v>
      </c>
      <c r="AJ115" s="23" t="s">
        <v>153</v>
      </c>
      <c r="AK115" s="23" t="s">
        <v>153</v>
      </c>
      <c r="AL115" s="23" t="s">
        <v>153</v>
      </c>
      <c r="AM115" s="23" t="s">
        <v>153</v>
      </c>
      <c r="AN115" s="23" t="s">
        <v>153</v>
      </c>
      <c r="AO115" s="24" t="s">
        <v>153</v>
      </c>
      <c r="AP115" s="23">
        <f>VALUE(0)</f>
        <v>0</v>
      </c>
      <c r="AQ115" s="23">
        <f>VALUE(0)</f>
        <v>0</v>
      </c>
      <c r="AR115" s="23">
        <f>VALUE(0)</f>
        <v>0</v>
      </c>
      <c r="AS115" s="23">
        <f>VALUE(0)</f>
        <v>0</v>
      </c>
      <c r="AT115" s="23">
        <f>VALUE(0)</f>
        <v>0</v>
      </c>
      <c r="AU115" s="23">
        <f>VALUE(0)</f>
        <v>0</v>
      </c>
      <c r="AV115" s="23">
        <f>VALUE(5.5)</f>
        <v>5.5</v>
      </c>
      <c r="AW115" s="23">
        <f>VALUE(0)</f>
        <v>0</v>
      </c>
      <c r="AX115" s="23" t="s">
        <v>1206</v>
      </c>
      <c r="AY115" s="23">
        <f>VALUE(0)</f>
        <v>0</v>
      </c>
      <c r="AZ115" s="23">
        <f>VALUE(0)</f>
        <v>0</v>
      </c>
      <c r="BA115" s="23">
        <f>VALUE(0)</f>
        <v>0</v>
      </c>
      <c r="BB115" s="23">
        <f>VALUE(0)</f>
        <v>0</v>
      </c>
      <c r="BC115" s="23">
        <f>VALUE(0)</f>
        <v>0</v>
      </c>
      <c r="BD115" s="23">
        <f>VALUE(0)</f>
        <v>0</v>
      </c>
      <c r="BE115" s="23">
        <f>VALUE(0)</f>
        <v>0</v>
      </c>
      <c r="BF115" s="23">
        <f>VALUE(0)</f>
        <v>0</v>
      </c>
      <c r="BG115" s="23">
        <f>VALUE(0)</f>
        <v>0</v>
      </c>
      <c r="BH115" s="23">
        <f>VALUE(0)</f>
        <v>0</v>
      </c>
      <c r="BI115" s="23">
        <f>VALUE(0)</f>
        <v>0</v>
      </c>
      <c r="BJ115" s="23">
        <f>VALUE(0)</f>
        <v>0</v>
      </c>
      <c r="BK115" s="12">
        <f>$AX$115*24</f>
        <v>7.8000000000000007</v>
      </c>
      <c r="BL115" s="12">
        <f>$AY$115*24</f>
        <v>0</v>
      </c>
      <c r="BM115" s="12">
        <f>$BJ$115*24</f>
        <v>0</v>
      </c>
      <c r="BN115" s="12">
        <f>VALUE($I$115)/100</f>
        <v>1</v>
      </c>
      <c r="BO115" s="12">
        <v>0</v>
      </c>
      <c r="BP115" s="12">
        <v>0</v>
      </c>
      <c r="BQ115" s="12">
        <v>0</v>
      </c>
      <c r="BR115" s="12">
        <v>0</v>
      </c>
      <c r="BS115" s="12">
        <v>0</v>
      </c>
      <c r="BT115" s="12">
        <v>0</v>
      </c>
      <c r="BU115" s="12">
        <v>0</v>
      </c>
      <c r="BV115" s="12">
        <v>0</v>
      </c>
      <c r="BW115" s="12">
        <v>0</v>
      </c>
      <c r="BX115" s="12">
        <v>0</v>
      </c>
      <c r="BY115" s="12">
        <v>0</v>
      </c>
      <c r="BZ115" s="12">
        <v>0</v>
      </c>
      <c r="CA115" s="12">
        <v>0</v>
      </c>
    </row>
    <row r="116" spans="1:79" ht="15" x14ac:dyDescent="0.25">
      <c r="A116" s="12" t="s">
        <v>113</v>
      </c>
      <c r="B116" s="12" t="s">
        <v>118</v>
      </c>
      <c r="C116" s="12" t="s">
        <v>118</v>
      </c>
      <c r="D116" s="31" t="s">
        <v>246</v>
      </c>
      <c r="E116" s="31" t="s">
        <v>153</v>
      </c>
      <c r="F116" s="31" t="s">
        <v>175</v>
      </c>
      <c r="G116" s="31" t="s">
        <v>153</v>
      </c>
      <c r="H116" s="31" t="s">
        <v>153</v>
      </c>
      <c r="I116" s="31" t="s">
        <v>153</v>
      </c>
      <c r="J116" s="31" t="s">
        <v>153</v>
      </c>
      <c r="K116" s="31" t="s">
        <v>153</v>
      </c>
      <c r="L116" s="31">
        <f>VALUE(0)</f>
        <v>0</v>
      </c>
      <c r="M116" s="31">
        <f>VALUE(0)</f>
        <v>0</v>
      </c>
      <c r="N116" s="31">
        <f>VALUE(0)</f>
        <v>0</v>
      </c>
      <c r="O116" s="31">
        <f>VALUE(1)</f>
        <v>1</v>
      </c>
      <c r="P116" s="31">
        <f>VALUE(2)</f>
        <v>2</v>
      </c>
      <c r="Q116" s="31">
        <f>VALUE(1)</f>
        <v>1</v>
      </c>
      <c r="R116" s="31">
        <f>VALUE(2)</f>
        <v>2</v>
      </c>
      <c r="S116" s="31">
        <f>VALUE(2)</f>
        <v>2</v>
      </c>
      <c r="T116" s="31">
        <f>VALUE(0)</f>
        <v>0</v>
      </c>
      <c r="U116" s="31">
        <f>VALUE(0)</f>
        <v>0</v>
      </c>
      <c r="V116" s="31">
        <f>VALUE(0)</f>
        <v>0</v>
      </c>
      <c r="W116" s="31">
        <f>VALUE(2)</f>
        <v>2</v>
      </c>
      <c r="X116" s="31">
        <f>VALUE(2)</f>
        <v>2</v>
      </c>
      <c r="Y116" s="31">
        <f>VALUE(2)</f>
        <v>2</v>
      </c>
      <c r="Z116" s="31">
        <f>VALUE(2)</f>
        <v>2</v>
      </c>
      <c r="AA116" s="31">
        <f>VALUE(0)</f>
        <v>0</v>
      </c>
      <c r="AB116" s="31">
        <f>VALUE(0)</f>
        <v>0</v>
      </c>
      <c r="AC116" s="31">
        <f>VALUE(1)</f>
        <v>1</v>
      </c>
      <c r="AD116" s="31">
        <f>VALUE(2)</f>
        <v>2</v>
      </c>
      <c r="AE116" s="31">
        <f>VALUE(2)</f>
        <v>2</v>
      </c>
      <c r="AF116" s="31">
        <f>VALUE(2)</f>
        <v>2</v>
      </c>
      <c r="AG116" s="31">
        <f>VALUE(2)</f>
        <v>2</v>
      </c>
      <c r="AH116" s="31">
        <f>VALUE(0)</f>
        <v>0</v>
      </c>
      <c r="AI116" s="31">
        <f>VALUE(0)</f>
        <v>0</v>
      </c>
      <c r="AJ116" s="31">
        <f>VALUE(2)</f>
        <v>2</v>
      </c>
      <c r="AK116" s="31">
        <f>VALUE(2)</f>
        <v>2</v>
      </c>
      <c r="AL116" s="31">
        <f>VALUE(2)</f>
        <v>2</v>
      </c>
      <c r="AM116" s="31">
        <f>VALUE(2)</f>
        <v>2</v>
      </c>
      <c r="AN116" s="31">
        <f>VALUE(2)</f>
        <v>2</v>
      </c>
      <c r="AO116" s="31">
        <f>VALUE(0)</f>
        <v>0</v>
      </c>
      <c r="AP116" s="31">
        <v>0</v>
      </c>
      <c r="AQ116" s="31">
        <v>0</v>
      </c>
      <c r="AR116" s="31">
        <v>0</v>
      </c>
      <c r="AS116" s="31">
        <v>0</v>
      </c>
      <c r="AT116" s="31">
        <v>0</v>
      </c>
      <c r="AU116" s="31">
        <v>0</v>
      </c>
      <c r="AV116" s="31">
        <v>0</v>
      </c>
      <c r="AW116" s="31">
        <v>0</v>
      </c>
      <c r="AX116" s="31">
        <v>0</v>
      </c>
      <c r="AY116" s="31">
        <v>0</v>
      </c>
      <c r="AZ116" s="31">
        <v>0</v>
      </c>
      <c r="BA116" s="31">
        <v>0</v>
      </c>
      <c r="BB116" s="31">
        <v>0</v>
      </c>
      <c r="BC116" s="31">
        <v>0</v>
      </c>
      <c r="BD116" s="31">
        <v>0</v>
      </c>
      <c r="BE116" s="31">
        <v>0</v>
      </c>
      <c r="BF116" s="31">
        <v>0</v>
      </c>
      <c r="BG116" s="31">
        <v>0</v>
      </c>
      <c r="BH116" s="31">
        <v>0</v>
      </c>
      <c r="BI116" s="31">
        <v>0</v>
      </c>
      <c r="BJ116" s="31">
        <v>0</v>
      </c>
      <c r="BK116" s="12">
        <v>0</v>
      </c>
      <c r="BL116" s="12">
        <v>0</v>
      </c>
      <c r="BM116" s="12">
        <v>0</v>
      </c>
      <c r="BN116" s="12"/>
      <c r="BO116" s="12">
        <v>0</v>
      </c>
      <c r="BP116" s="12">
        <v>0</v>
      </c>
      <c r="BQ116" s="12">
        <v>0</v>
      </c>
      <c r="BR116" s="12">
        <v>0</v>
      </c>
      <c r="BS116" s="12">
        <v>0</v>
      </c>
      <c r="BT116" s="12">
        <v>0</v>
      </c>
      <c r="BU116" s="12">
        <v>0</v>
      </c>
      <c r="BV116" s="12">
        <v>0</v>
      </c>
      <c r="BW116" s="12">
        <v>0</v>
      </c>
      <c r="BX116" s="12">
        <v>0</v>
      </c>
      <c r="BY116" s="12">
        <v>0</v>
      </c>
      <c r="BZ116" s="12">
        <v>0</v>
      </c>
      <c r="CA116" s="12">
        <v>0</v>
      </c>
    </row>
    <row r="117" spans="1:79" ht="15" x14ac:dyDescent="0.25">
      <c r="A117" s="12" t="s">
        <v>113</v>
      </c>
      <c r="B117" s="12" t="s">
        <v>119</v>
      </c>
      <c r="C117" s="12" t="s">
        <v>119</v>
      </c>
      <c r="D117" s="31" t="s">
        <v>488</v>
      </c>
      <c r="E117" s="31" t="s">
        <v>153</v>
      </c>
      <c r="F117" s="31" t="s">
        <v>175</v>
      </c>
      <c r="G117" s="31" t="s">
        <v>153</v>
      </c>
      <c r="H117" s="31" t="s">
        <v>153</v>
      </c>
      <c r="I117" s="31" t="s">
        <v>153</v>
      </c>
      <c r="J117" s="31" t="s">
        <v>153</v>
      </c>
      <c r="K117" s="31" t="s">
        <v>153</v>
      </c>
      <c r="L117" s="31">
        <f>VALUE(0)</f>
        <v>0</v>
      </c>
      <c r="M117" s="31">
        <f>VALUE(0)</f>
        <v>0</v>
      </c>
      <c r="N117" s="31">
        <f>VALUE(0)</f>
        <v>0</v>
      </c>
      <c r="O117" s="31">
        <f>VALUE(0)</f>
        <v>0</v>
      </c>
      <c r="P117" s="31">
        <f>VALUE(0)</f>
        <v>0</v>
      </c>
      <c r="Q117" s="31">
        <f>VALUE(0)</f>
        <v>0</v>
      </c>
      <c r="R117" s="31">
        <f>VALUE(0)</f>
        <v>0</v>
      </c>
      <c r="S117" s="31">
        <f>VALUE(0)</f>
        <v>0</v>
      </c>
      <c r="T117" s="31">
        <f>VALUE(0)</f>
        <v>0</v>
      </c>
      <c r="U117" s="31">
        <f>VALUE(0)</f>
        <v>0</v>
      </c>
      <c r="V117" s="31">
        <f>VALUE(0)</f>
        <v>0</v>
      </c>
      <c r="W117" s="31">
        <f>VALUE(0)</f>
        <v>0</v>
      </c>
      <c r="X117" s="31">
        <f>VALUE(0)</f>
        <v>0</v>
      </c>
      <c r="Y117" s="31">
        <f>VALUE(0)</f>
        <v>0</v>
      </c>
      <c r="Z117" s="31">
        <f>VALUE(0)</f>
        <v>0</v>
      </c>
      <c r="AA117" s="31">
        <f>VALUE(0)</f>
        <v>0</v>
      </c>
      <c r="AB117" s="31">
        <f>VALUE(0)</f>
        <v>0</v>
      </c>
      <c r="AC117" s="31">
        <f>VALUE(0)</f>
        <v>0</v>
      </c>
      <c r="AD117" s="31">
        <f>VALUE(0)</f>
        <v>0</v>
      </c>
      <c r="AE117" s="31">
        <f>VALUE(0)</f>
        <v>0</v>
      </c>
      <c r="AF117" s="31">
        <f>VALUE(0)</f>
        <v>0</v>
      </c>
      <c r="AG117" s="31">
        <f>VALUE(0)</f>
        <v>0</v>
      </c>
      <c r="AH117" s="31">
        <f>VALUE(0)</f>
        <v>0</v>
      </c>
      <c r="AI117" s="31">
        <f>VALUE(0)</f>
        <v>0</v>
      </c>
      <c r="AJ117" s="31">
        <f>VALUE(0)</f>
        <v>0</v>
      </c>
      <c r="AK117" s="31">
        <f>VALUE(0)</f>
        <v>0</v>
      </c>
      <c r="AL117" s="31">
        <f>VALUE(0)</f>
        <v>0</v>
      </c>
      <c r="AM117" s="31">
        <f>VALUE(0)</f>
        <v>0</v>
      </c>
      <c r="AN117" s="31">
        <f>VALUE(0)</f>
        <v>0</v>
      </c>
      <c r="AO117" s="31">
        <f>VALUE(0)</f>
        <v>0</v>
      </c>
      <c r="AP117" s="31">
        <v>0</v>
      </c>
      <c r="AQ117" s="31">
        <v>0</v>
      </c>
      <c r="AR117" s="31">
        <v>0</v>
      </c>
      <c r="AS117" s="31">
        <v>0</v>
      </c>
      <c r="AT117" s="31">
        <v>0</v>
      </c>
      <c r="AU117" s="31">
        <v>0</v>
      </c>
      <c r="AV117" s="31">
        <v>0</v>
      </c>
      <c r="AW117" s="31">
        <v>0</v>
      </c>
      <c r="AX117" s="31">
        <v>0</v>
      </c>
      <c r="AY117" s="31">
        <v>0</v>
      </c>
      <c r="AZ117" s="31">
        <v>0</v>
      </c>
      <c r="BA117" s="31">
        <v>0</v>
      </c>
      <c r="BB117" s="31">
        <v>0</v>
      </c>
      <c r="BC117" s="31">
        <v>0</v>
      </c>
      <c r="BD117" s="31">
        <v>0</v>
      </c>
      <c r="BE117" s="31">
        <v>0</v>
      </c>
      <c r="BF117" s="31">
        <v>0</v>
      </c>
      <c r="BG117" s="31">
        <v>0</v>
      </c>
      <c r="BH117" s="31">
        <v>0</v>
      </c>
      <c r="BI117" s="31">
        <v>0</v>
      </c>
      <c r="BJ117" s="31">
        <v>0</v>
      </c>
      <c r="BK117" s="12">
        <v>0</v>
      </c>
      <c r="BL117" s="12">
        <v>0</v>
      </c>
      <c r="BM117" s="12">
        <v>0</v>
      </c>
      <c r="BN117" s="12"/>
      <c r="BO117" s="12">
        <v>0</v>
      </c>
      <c r="BP117" s="12">
        <v>0</v>
      </c>
      <c r="BQ117" s="12">
        <v>0</v>
      </c>
      <c r="BR117" s="12">
        <v>0</v>
      </c>
      <c r="BS117" s="12">
        <v>0</v>
      </c>
      <c r="BT117" s="12">
        <v>0</v>
      </c>
      <c r="BU117" s="12">
        <v>0</v>
      </c>
      <c r="BV117" s="12">
        <v>0</v>
      </c>
      <c r="BW117" s="12">
        <v>0</v>
      </c>
      <c r="BX117" s="12">
        <v>0</v>
      </c>
      <c r="BY117" s="12">
        <v>0</v>
      </c>
      <c r="BZ117" s="12">
        <v>0</v>
      </c>
      <c r="CA117" s="12">
        <v>0</v>
      </c>
    </row>
    <row r="118" spans="1:79" x14ac:dyDescent="0.2">
      <c r="A118" s="12" t="s">
        <v>120</v>
      </c>
      <c r="B118" s="12" t="s">
        <v>121</v>
      </c>
      <c r="C118" s="12" t="s">
        <v>121</v>
      </c>
      <c r="D118" s="22" t="s">
        <v>360</v>
      </c>
      <c r="E118" s="22" t="s">
        <v>161</v>
      </c>
      <c r="F118" s="22" t="s">
        <v>768</v>
      </c>
      <c r="G118" s="22" t="s">
        <v>769</v>
      </c>
      <c r="H118" s="22" t="s">
        <v>150</v>
      </c>
      <c r="I118" s="22" t="s">
        <v>151</v>
      </c>
      <c r="J118" s="22" t="s">
        <v>311</v>
      </c>
      <c r="K118" s="22" t="s">
        <v>80</v>
      </c>
      <c r="L118" s="54" t="s">
        <v>153</v>
      </c>
      <c r="M118" s="24" t="s">
        <v>156</v>
      </c>
      <c r="N118" s="24" t="s">
        <v>153</v>
      </c>
      <c r="O118" s="28" t="s">
        <v>163</v>
      </c>
      <c r="P118" s="28" t="s">
        <v>163</v>
      </c>
      <c r="Q118" s="28" t="s">
        <v>163</v>
      </c>
      <c r="R118" s="28" t="s">
        <v>163</v>
      </c>
      <c r="S118" s="28" t="s">
        <v>163</v>
      </c>
      <c r="T118" s="28" t="s">
        <v>163</v>
      </c>
      <c r="U118" s="24" t="s">
        <v>153</v>
      </c>
      <c r="V118" s="54" t="s">
        <v>153</v>
      </c>
      <c r="W118" s="23" t="s">
        <v>153</v>
      </c>
      <c r="X118" s="23" t="s">
        <v>153</v>
      </c>
      <c r="Y118" s="23" t="s">
        <v>153</v>
      </c>
      <c r="Z118" s="23" t="s">
        <v>153</v>
      </c>
      <c r="AA118" s="24" t="s">
        <v>156</v>
      </c>
      <c r="AB118" s="24" t="s">
        <v>153</v>
      </c>
      <c r="AC118" s="23" t="s">
        <v>153</v>
      </c>
      <c r="AD118" s="23" t="s">
        <v>153</v>
      </c>
      <c r="AE118" s="23" t="s">
        <v>153</v>
      </c>
      <c r="AF118" s="23" t="s">
        <v>153</v>
      </c>
      <c r="AG118" s="23" t="s">
        <v>153</v>
      </c>
      <c r="AH118" s="24" t="s">
        <v>156</v>
      </c>
      <c r="AI118" s="24" t="s">
        <v>153</v>
      </c>
      <c r="AJ118" s="23" t="s">
        <v>153</v>
      </c>
      <c r="AK118" s="23" t="s">
        <v>153</v>
      </c>
      <c r="AL118" s="23" t="s">
        <v>153</v>
      </c>
      <c r="AM118" s="23" t="s">
        <v>153</v>
      </c>
      <c r="AN118" s="23" t="s">
        <v>153</v>
      </c>
      <c r="AO118" s="24" t="s">
        <v>156</v>
      </c>
      <c r="AP118" s="23">
        <f>VALUE(0)</f>
        <v>0</v>
      </c>
      <c r="AQ118" s="23">
        <f>VALUE(0)</f>
        <v>0</v>
      </c>
      <c r="AR118" s="23">
        <f>VALUE(0)</f>
        <v>0</v>
      </c>
      <c r="AS118" s="23">
        <f>VALUE(0)</f>
        <v>0</v>
      </c>
      <c r="AT118" s="23">
        <f>VALUE(0)</f>
        <v>0</v>
      </c>
      <c r="AU118" s="23">
        <f>VALUE(6)</f>
        <v>6</v>
      </c>
      <c r="AV118" s="23">
        <f>VALUE(8)</f>
        <v>8</v>
      </c>
      <c r="AW118" s="23">
        <f>VALUE(0)</f>
        <v>0</v>
      </c>
      <c r="AX118" s="23" t="s">
        <v>171</v>
      </c>
      <c r="AY118" s="23" t="s">
        <v>1207</v>
      </c>
      <c r="AZ118" s="23">
        <f>VALUE(0)</f>
        <v>0</v>
      </c>
      <c r="BA118" s="23">
        <f>VALUE(0)</f>
        <v>0</v>
      </c>
      <c r="BB118" s="23">
        <f>VALUE(0)</f>
        <v>0</v>
      </c>
      <c r="BC118" s="23">
        <f>VALUE(0)</f>
        <v>0</v>
      </c>
      <c r="BD118" s="23">
        <f>VALUE(0)</f>
        <v>0</v>
      </c>
      <c r="BE118" s="23">
        <f>VALUE(0)</f>
        <v>0</v>
      </c>
      <c r="BF118" s="23">
        <f>VALUE(0)</f>
        <v>0</v>
      </c>
      <c r="BG118" s="23">
        <f>VALUE(0)</f>
        <v>0</v>
      </c>
      <c r="BH118" s="23">
        <f>VALUE(0)</f>
        <v>0</v>
      </c>
      <c r="BI118" s="23">
        <f>VALUE(0)</f>
        <v>0</v>
      </c>
      <c r="BJ118" s="23">
        <f>VALUE(0)</f>
        <v>0</v>
      </c>
      <c r="BK118" s="12">
        <f>$AX$118*24</f>
        <v>5.833333333333333</v>
      </c>
      <c r="BL118" s="12">
        <f>$AY$118*24</f>
        <v>74.11666666666666</v>
      </c>
      <c r="BM118" s="12">
        <f>$BJ$118*24</f>
        <v>0</v>
      </c>
      <c r="BN118" s="12">
        <f>VALUE($I$118)/100</f>
        <v>1</v>
      </c>
      <c r="BO118" s="12">
        <v>0</v>
      </c>
      <c r="BP118" s="12">
        <v>0</v>
      </c>
      <c r="BQ118" s="12">
        <v>0</v>
      </c>
      <c r="BR118" s="12">
        <v>0</v>
      </c>
      <c r="BS118" s="12">
        <v>0</v>
      </c>
      <c r="BT118" s="12">
        <v>0</v>
      </c>
      <c r="BU118" s="12">
        <v>0</v>
      </c>
      <c r="BV118" s="12">
        <v>0</v>
      </c>
      <c r="BW118" s="12">
        <v>0</v>
      </c>
      <c r="BX118" s="12">
        <v>0</v>
      </c>
      <c r="BY118" s="12">
        <v>0</v>
      </c>
      <c r="BZ118" s="12">
        <v>0</v>
      </c>
      <c r="CA118" s="12">
        <v>0</v>
      </c>
    </row>
    <row r="119" spans="1:79" ht="16.5" x14ac:dyDescent="0.2">
      <c r="A119" s="12" t="s">
        <v>120</v>
      </c>
      <c r="B119" s="12" t="s">
        <v>121</v>
      </c>
      <c r="C119" s="12" t="s">
        <v>121</v>
      </c>
      <c r="D119" s="22" t="s">
        <v>361</v>
      </c>
      <c r="E119" s="22" t="s">
        <v>161</v>
      </c>
      <c r="F119" s="22" t="s">
        <v>770</v>
      </c>
      <c r="G119" s="22" t="s">
        <v>771</v>
      </c>
      <c r="H119" s="22" t="s">
        <v>150</v>
      </c>
      <c r="I119" s="22" t="s">
        <v>151</v>
      </c>
      <c r="J119" s="22" t="s">
        <v>162</v>
      </c>
      <c r="K119" s="22" t="s">
        <v>80</v>
      </c>
      <c r="L119" s="54" t="s">
        <v>153</v>
      </c>
      <c r="M119" s="23" t="s">
        <v>153</v>
      </c>
      <c r="N119" s="24" t="s">
        <v>153</v>
      </c>
      <c r="O119" s="24" t="s">
        <v>156</v>
      </c>
      <c r="P119" s="24" t="s">
        <v>156</v>
      </c>
      <c r="Q119" s="24" t="s">
        <v>156</v>
      </c>
      <c r="R119" s="26" t="s">
        <v>362</v>
      </c>
      <c r="S119" s="26" t="s">
        <v>362</v>
      </c>
      <c r="T119" s="23" t="s">
        <v>153</v>
      </c>
      <c r="U119" s="24" t="s">
        <v>153</v>
      </c>
      <c r="V119" s="54" t="s">
        <v>153</v>
      </c>
      <c r="W119" s="28" t="s">
        <v>163</v>
      </c>
      <c r="X119" s="28" t="s">
        <v>163</v>
      </c>
      <c r="Y119" s="28" t="s">
        <v>163</v>
      </c>
      <c r="Z119" s="28" t="s">
        <v>163</v>
      </c>
      <c r="AA119" s="28" t="s">
        <v>163</v>
      </c>
      <c r="AB119" s="24" t="s">
        <v>153</v>
      </c>
      <c r="AC119" s="28" t="s">
        <v>163</v>
      </c>
      <c r="AD119" s="28" t="s">
        <v>163</v>
      </c>
      <c r="AE119" s="28" t="s">
        <v>163</v>
      </c>
      <c r="AF119" s="28" t="s">
        <v>163</v>
      </c>
      <c r="AG119" s="26" t="s">
        <v>362</v>
      </c>
      <c r="AH119" s="23" t="s">
        <v>153</v>
      </c>
      <c r="AI119" s="24" t="s">
        <v>153</v>
      </c>
      <c r="AJ119" s="26" t="s">
        <v>362</v>
      </c>
      <c r="AK119" s="26" t="s">
        <v>362</v>
      </c>
      <c r="AL119" s="26" t="s">
        <v>362</v>
      </c>
      <c r="AM119" s="26" t="s">
        <v>362</v>
      </c>
      <c r="AN119" s="26" t="s">
        <v>362</v>
      </c>
      <c r="AO119" s="23" t="s">
        <v>153</v>
      </c>
      <c r="AP119" s="23">
        <f>VALUE(2)</f>
        <v>2</v>
      </c>
      <c r="AQ119" s="23">
        <f>VALUE(0)</f>
        <v>0</v>
      </c>
      <c r="AR119" s="23">
        <f>VALUE(0)</f>
        <v>0</v>
      </c>
      <c r="AS119" s="23">
        <f>VALUE(0)</f>
        <v>0</v>
      </c>
      <c r="AT119" s="23">
        <f>VALUE(0)</f>
        <v>0</v>
      </c>
      <c r="AU119" s="23">
        <f>VALUE(9)</f>
        <v>9</v>
      </c>
      <c r="AV119" s="23">
        <f>VALUE(3)</f>
        <v>3</v>
      </c>
      <c r="AW119" s="23">
        <f>VALUE(0)</f>
        <v>0</v>
      </c>
      <c r="AX119" s="23" t="s">
        <v>171</v>
      </c>
      <c r="AY119" s="23" t="s">
        <v>363</v>
      </c>
      <c r="AZ119" s="23">
        <f>VALUE(0)</f>
        <v>0</v>
      </c>
      <c r="BA119" s="23">
        <f>VALUE(0)</f>
        <v>0</v>
      </c>
      <c r="BB119" s="23">
        <f>VALUE(0)</f>
        <v>0</v>
      </c>
      <c r="BC119" s="23">
        <f>VALUE(0)</f>
        <v>0</v>
      </c>
      <c r="BD119" s="23">
        <f>VALUE(0)</f>
        <v>0</v>
      </c>
      <c r="BE119" s="23">
        <f>VALUE(0)</f>
        <v>0</v>
      </c>
      <c r="BF119" s="23">
        <f>VALUE(0)</f>
        <v>0</v>
      </c>
      <c r="BG119" s="23">
        <f>VALUE(0)</f>
        <v>0</v>
      </c>
      <c r="BH119" s="23">
        <f>VALUE(0)</f>
        <v>0</v>
      </c>
      <c r="BI119" s="23">
        <f>VALUE(0)</f>
        <v>0</v>
      </c>
      <c r="BJ119" s="23">
        <f>VALUE(0)</f>
        <v>0</v>
      </c>
      <c r="BK119" s="12">
        <f>$AX$119*24</f>
        <v>5.833333333333333</v>
      </c>
      <c r="BL119" s="12">
        <f>$AY$119*24</f>
        <v>20.033333333333335</v>
      </c>
      <c r="BM119" s="12">
        <f>$BJ$119*24</f>
        <v>0</v>
      </c>
      <c r="BN119" s="12">
        <f>VALUE($I$119)/100</f>
        <v>1</v>
      </c>
      <c r="BO119" s="12">
        <v>0</v>
      </c>
      <c r="BP119" s="12">
        <v>0</v>
      </c>
      <c r="BQ119" s="12">
        <v>0</v>
      </c>
      <c r="BR119" s="12">
        <v>0</v>
      </c>
      <c r="BS119" s="12">
        <v>0</v>
      </c>
      <c r="BT119" s="12">
        <v>0</v>
      </c>
      <c r="BU119" s="12">
        <v>0</v>
      </c>
      <c r="BV119" s="12">
        <v>0</v>
      </c>
      <c r="BW119" s="12">
        <v>0</v>
      </c>
      <c r="BX119" s="12">
        <v>0</v>
      </c>
      <c r="BY119" s="12">
        <v>0</v>
      </c>
      <c r="BZ119" s="12">
        <v>0</v>
      </c>
      <c r="CA119" s="12">
        <v>0</v>
      </c>
    </row>
    <row r="120" spans="1:79" x14ac:dyDescent="0.2">
      <c r="A120" s="12" t="s">
        <v>120</v>
      </c>
      <c r="B120" s="12" t="s">
        <v>121</v>
      </c>
      <c r="C120" s="12" t="s">
        <v>121</v>
      </c>
      <c r="D120" s="22" t="s">
        <v>364</v>
      </c>
      <c r="E120" s="22" t="s">
        <v>161</v>
      </c>
      <c r="F120" s="22" t="s">
        <v>772</v>
      </c>
      <c r="G120" s="22" t="s">
        <v>773</v>
      </c>
      <c r="H120" s="22" t="s">
        <v>150</v>
      </c>
      <c r="I120" s="22" t="s">
        <v>151</v>
      </c>
      <c r="J120" s="22" t="s">
        <v>162</v>
      </c>
      <c r="K120" s="22" t="s">
        <v>80</v>
      </c>
      <c r="L120" s="54" t="s">
        <v>153</v>
      </c>
      <c r="M120" s="23" t="s">
        <v>153</v>
      </c>
      <c r="N120" s="24" t="s">
        <v>153</v>
      </c>
      <c r="O120" s="23" t="s">
        <v>153</v>
      </c>
      <c r="P120" s="23" t="s">
        <v>153</v>
      </c>
      <c r="Q120" s="23" t="s">
        <v>153</v>
      </c>
      <c r="R120" s="23" t="s">
        <v>153</v>
      </c>
      <c r="S120" s="23" t="s">
        <v>153</v>
      </c>
      <c r="T120" s="23" t="s">
        <v>153</v>
      </c>
      <c r="U120" s="24" t="s">
        <v>153</v>
      </c>
      <c r="V120" s="54" t="s">
        <v>153</v>
      </c>
      <c r="W120" s="23" t="s">
        <v>153</v>
      </c>
      <c r="X120" s="23" t="s">
        <v>153</v>
      </c>
      <c r="Y120" s="23" t="s">
        <v>153</v>
      </c>
      <c r="Z120" s="23" t="s">
        <v>153</v>
      </c>
      <c r="AA120" s="23" t="s">
        <v>153</v>
      </c>
      <c r="AB120" s="24" t="s">
        <v>153</v>
      </c>
      <c r="AC120" s="23" t="s">
        <v>153</v>
      </c>
      <c r="AD120" s="23" t="s">
        <v>153</v>
      </c>
      <c r="AE120" s="23" t="s">
        <v>153</v>
      </c>
      <c r="AF120" s="23" t="s">
        <v>153</v>
      </c>
      <c r="AG120" s="24" t="s">
        <v>156</v>
      </c>
      <c r="AH120" s="24" t="s">
        <v>156</v>
      </c>
      <c r="AI120" s="24" t="s">
        <v>153</v>
      </c>
      <c r="AJ120" s="23" t="s">
        <v>153</v>
      </c>
      <c r="AK120" s="23" t="s">
        <v>153</v>
      </c>
      <c r="AL120" s="23" t="s">
        <v>153</v>
      </c>
      <c r="AM120" s="23" t="s">
        <v>153</v>
      </c>
      <c r="AN120" s="23" t="s">
        <v>153</v>
      </c>
      <c r="AO120" s="23" t="s">
        <v>153</v>
      </c>
      <c r="AP120" s="23">
        <f>VALUE(0)</f>
        <v>0</v>
      </c>
      <c r="AQ120" s="23">
        <f>VALUE(0)</f>
        <v>0</v>
      </c>
      <c r="AR120" s="23">
        <f>VALUE(0)</f>
        <v>0</v>
      </c>
      <c r="AS120" s="23">
        <f>VALUE(0)</f>
        <v>0</v>
      </c>
      <c r="AT120" s="23">
        <f>VALUE(0)</f>
        <v>0</v>
      </c>
      <c r="AU120" s="23">
        <f>VALUE(0)</f>
        <v>0</v>
      </c>
      <c r="AV120" s="23">
        <f>VALUE(10)</f>
        <v>10</v>
      </c>
      <c r="AW120" s="23">
        <f>VALUE(0)</f>
        <v>0</v>
      </c>
      <c r="AX120" s="23" t="s">
        <v>365</v>
      </c>
      <c r="AY120" s="23">
        <f>VALUE(0)</f>
        <v>0</v>
      </c>
      <c r="AZ120" s="23">
        <f>VALUE(0)</f>
        <v>0</v>
      </c>
      <c r="BA120" s="23">
        <f>VALUE(0)</f>
        <v>0</v>
      </c>
      <c r="BB120" s="23">
        <f>VALUE(0)</f>
        <v>0</v>
      </c>
      <c r="BC120" s="23">
        <f>VALUE(0)</f>
        <v>0</v>
      </c>
      <c r="BD120" s="23">
        <f>VALUE(0)</f>
        <v>0</v>
      </c>
      <c r="BE120" s="23">
        <f>VALUE(0)</f>
        <v>0</v>
      </c>
      <c r="BF120" s="23">
        <f>VALUE(0)</f>
        <v>0</v>
      </c>
      <c r="BG120" s="23">
        <f>VALUE(0)</f>
        <v>0</v>
      </c>
      <c r="BH120" s="23">
        <f>VALUE(0)</f>
        <v>0</v>
      </c>
      <c r="BI120" s="23">
        <f>VALUE(0)</f>
        <v>0</v>
      </c>
      <c r="BJ120" s="23">
        <f>VALUE(0)</f>
        <v>0</v>
      </c>
      <c r="BK120" s="12">
        <f>$AX$120*24</f>
        <v>5.3166666666666664</v>
      </c>
      <c r="BL120" s="12">
        <f>$AY$120*24</f>
        <v>0</v>
      </c>
      <c r="BM120" s="12">
        <f>$BJ$120*24</f>
        <v>0</v>
      </c>
      <c r="BN120" s="12">
        <f>VALUE($I$120)/100</f>
        <v>1</v>
      </c>
      <c r="BO120" s="12">
        <v>0</v>
      </c>
      <c r="BP120" s="12">
        <v>0</v>
      </c>
      <c r="BQ120" s="12">
        <v>0</v>
      </c>
      <c r="BR120" s="12">
        <v>0</v>
      </c>
      <c r="BS120" s="12">
        <v>0</v>
      </c>
      <c r="BT120" s="12">
        <v>0</v>
      </c>
      <c r="BU120" s="12">
        <v>0</v>
      </c>
      <c r="BV120" s="12">
        <v>0</v>
      </c>
      <c r="BW120" s="12">
        <v>0</v>
      </c>
      <c r="BX120" s="12">
        <v>0</v>
      </c>
      <c r="BY120" s="12">
        <v>0</v>
      </c>
      <c r="BZ120" s="12">
        <v>0</v>
      </c>
      <c r="CA120" s="12">
        <v>0</v>
      </c>
    </row>
    <row r="121" spans="1:79" ht="16.5" x14ac:dyDescent="0.2">
      <c r="A121" s="12" t="s">
        <v>120</v>
      </c>
      <c r="B121" s="12" t="s">
        <v>121</v>
      </c>
      <c r="C121" s="12" t="s">
        <v>121</v>
      </c>
      <c r="D121" s="22" t="s">
        <v>366</v>
      </c>
      <c r="E121" s="22" t="s">
        <v>159</v>
      </c>
      <c r="F121" s="22" t="s">
        <v>774</v>
      </c>
      <c r="G121" s="22" t="s">
        <v>775</v>
      </c>
      <c r="H121" s="22" t="s">
        <v>150</v>
      </c>
      <c r="I121" s="22" t="s">
        <v>151</v>
      </c>
      <c r="J121" s="22" t="s">
        <v>162</v>
      </c>
      <c r="K121" s="22" t="s">
        <v>80</v>
      </c>
      <c r="L121" s="54" t="s">
        <v>153</v>
      </c>
      <c r="M121" s="23" t="s">
        <v>222</v>
      </c>
      <c r="N121" s="24" t="s">
        <v>153</v>
      </c>
      <c r="O121" s="23" t="s">
        <v>153</v>
      </c>
      <c r="P121" s="23" t="s">
        <v>153</v>
      </c>
      <c r="Q121" s="23" t="s">
        <v>360</v>
      </c>
      <c r="R121" s="23" t="s">
        <v>360</v>
      </c>
      <c r="S121" s="23" t="s">
        <v>360</v>
      </c>
      <c r="T121" s="26" t="s">
        <v>367</v>
      </c>
      <c r="U121" s="24" t="s">
        <v>153</v>
      </c>
      <c r="V121" s="54" t="s">
        <v>153</v>
      </c>
      <c r="W121" s="23" t="s">
        <v>361</v>
      </c>
      <c r="X121" s="23" t="s">
        <v>361</v>
      </c>
      <c r="Y121" s="23" t="s">
        <v>361</v>
      </c>
      <c r="Z121" s="23" t="s">
        <v>361</v>
      </c>
      <c r="AA121" s="23" t="s">
        <v>361</v>
      </c>
      <c r="AB121" s="24" t="s">
        <v>153</v>
      </c>
      <c r="AC121" s="25" t="s">
        <v>361</v>
      </c>
      <c r="AD121" s="23" t="s">
        <v>153</v>
      </c>
      <c r="AE121" s="23" t="s">
        <v>153</v>
      </c>
      <c r="AF121" s="23" t="s">
        <v>153</v>
      </c>
      <c r="AG121" s="23" t="s">
        <v>364</v>
      </c>
      <c r="AH121" s="23" t="s">
        <v>364</v>
      </c>
      <c r="AI121" s="24" t="s">
        <v>153</v>
      </c>
      <c r="AJ121" s="23" t="s">
        <v>153</v>
      </c>
      <c r="AK121" s="23" t="s">
        <v>153</v>
      </c>
      <c r="AL121" s="23" t="s">
        <v>153</v>
      </c>
      <c r="AM121" s="23" t="s">
        <v>153</v>
      </c>
      <c r="AN121" s="24" t="s">
        <v>257</v>
      </c>
      <c r="AO121" s="24" t="s">
        <v>257</v>
      </c>
      <c r="AP121" s="23">
        <f>VALUE(0)</f>
        <v>0</v>
      </c>
      <c r="AQ121" s="23">
        <f>VALUE(0)</f>
        <v>0</v>
      </c>
      <c r="AR121" s="23">
        <f>VALUE(0)</f>
        <v>0</v>
      </c>
      <c r="AS121" s="23">
        <f>VALUE(7)</f>
        <v>7</v>
      </c>
      <c r="AT121" s="23">
        <f>VALUE(0)</f>
        <v>0</v>
      </c>
      <c r="AU121" s="23">
        <f>VALUE(0)</f>
        <v>0</v>
      </c>
      <c r="AV121" s="23">
        <f>VALUE(6)</f>
        <v>6</v>
      </c>
      <c r="AW121" s="23">
        <f>VALUE(0)</f>
        <v>0</v>
      </c>
      <c r="AX121" s="23" t="s">
        <v>227</v>
      </c>
      <c r="AY121" s="23" t="s">
        <v>368</v>
      </c>
      <c r="AZ121" s="23">
        <f>VALUE(0)</f>
        <v>0</v>
      </c>
      <c r="BA121" s="23">
        <f>VALUE(0)</f>
        <v>0</v>
      </c>
      <c r="BB121" s="23">
        <f>VALUE(0)</f>
        <v>0</v>
      </c>
      <c r="BC121" s="23">
        <f>VALUE(0)</f>
        <v>0</v>
      </c>
      <c r="BD121" s="23">
        <f>VALUE(0)</f>
        <v>0</v>
      </c>
      <c r="BE121" s="23">
        <f>VALUE(0)</f>
        <v>0</v>
      </c>
      <c r="BF121" s="23">
        <f>VALUE(0)</f>
        <v>0</v>
      </c>
      <c r="BG121" s="23">
        <f>VALUE(0)</f>
        <v>0</v>
      </c>
      <c r="BH121" s="23">
        <f>VALUE(0)</f>
        <v>0</v>
      </c>
      <c r="BI121" s="23">
        <f>VALUE(0)</f>
        <v>0</v>
      </c>
      <c r="BJ121" s="23">
        <f>VALUE(0)</f>
        <v>0</v>
      </c>
      <c r="BK121" s="12">
        <f>$AX$121*24</f>
        <v>2.8333333333333335</v>
      </c>
      <c r="BL121" s="12">
        <f>$AY$121*24</f>
        <v>3.55</v>
      </c>
      <c r="BM121" s="12">
        <f>$BJ$121*24</f>
        <v>0</v>
      </c>
      <c r="BN121" s="12">
        <f>VALUE($I$121)/100</f>
        <v>1</v>
      </c>
      <c r="BO121" s="12">
        <v>0</v>
      </c>
      <c r="BP121" s="12">
        <v>0</v>
      </c>
      <c r="BQ121" s="12">
        <v>0</v>
      </c>
      <c r="BR121" s="12">
        <v>1</v>
      </c>
      <c r="BS121" s="12">
        <v>0</v>
      </c>
      <c r="BT121" s="12">
        <v>0</v>
      </c>
      <c r="BU121" s="12">
        <v>0</v>
      </c>
      <c r="BV121" s="12">
        <v>0</v>
      </c>
      <c r="BW121" s="12">
        <v>0</v>
      </c>
      <c r="BX121" s="12">
        <v>0</v>
      </c>
      <c r="BY121" s="12">
        <v>0</v>
      </c>
      <c r="BZ121" s="12">
        <v>0</v>
      </c>
      <c r="CA121" s="12">
        <v>0</v>
      </c>
    </row>
    <row r="122" spans="1:79" ht="16.5" x14ac:dyDescent="0.2">
      <c r="A122" s="12" t="s">
        <v>120</v>
      </c>
      <c r="B122" s="12" t="s">
        <v>121</v>
      </c>
      <c r="C122" s="12" t="s">
        <v>121</v>
      </c>
      <c r="D122" s="22" t="s">
        <v>369</v>
      </c>
      <c r="E122" s="22" t="s">
        <v>173</v>
      </c>
      <c r="F122" s="22" t="s">
        <v>776</v>
      </c>
      <c r="G122" s="22" t="s">
        <v>777</v>
      </c>
      <c r="H122" s="22" t="s">
        <v>150</v>
      </c>
      <c r="I122" s="22" t="s">
        <v>151</v>
      </c>
      <c r="J122" s="22" t="s">
        <v>162</v>
      </c>
      <c r="K122" s="22" t="s">
        <v>80</v>
      </c>
      <c r="L122" s="54" t="s">
        <v>153</v>
      </c>
      <c r="M122" s="29" t="s">
        <v>170</v>
      </c>
      <c r="N122" s="24" t="s">
        <v>153</v>
      </c>
      <c r="O122" s="29" t="s">
        <v>170</v>
      </c>
      <c r="P122" s="29" t="s">
        <v>170</v>
      </c>
      <c r="Q122" s="29" t="s">
        <v>170</v>
      </c>
      <c r="R122" s="29" t="s">
        <v>170</v>
      </c>
      <c r="S122" s="29" t="s">
        <v>170</v>
      </c>
      <c r="T122" s="29" t="s">
        <v>170</v>
      </c>
      <c r="U122" s="24" t="s">
        <v>153</v>
      </c>
      <c r="V122" s="54" t="s">
        <v>153</v>
      </c>
      <c r="W122" s="29" t="s">
        <v>170</v>
      </c>
      <c r="X122" s="29" t="s">
        <v>170</v>
      </c>
      <c r="Y122" s="29" t="s">
        <v>170</v>
      </c>
      <c r="Z122" s="29" t="s">
        <v>170</v>
      </c>
      <c r="AA122" s="26" t="s">
        <v>370</v>
      </c>
      <c r="AB122" s="24" t="s">
        <v>153</v>
      </c>
      <c r="AC122" s="25" t="s">
        <v>1208</v>
      </c>
      <c r="AD122" s="23" t="s">
        <v>361</v>
      </c>
      <c r="AE122" s="23" t="s">
        <v>361</v>
      </c>
      <c r="AF122" s="23" t="s">
        <v>361</v>
      </c>
      <c r="AG122" s="24" t="s">
        <v>156</v>
      </c>
      <c r="AH122" s="24" t="s">
        <v>156</v>
      </c>
      <c r="AI122" s="24" t="s">
        <v>153</v>
      </c>
      <c r="AJ122" s="26" t="s">
        <v>1209</v>
      </c>
      <c r="AK122" s="26" t="s">
        <v>1209</v>
      </c>
      <c r="AL122" s="26" t="s">
        <v>1209</v>
      </c>
      <c r="AM122" s="26" t="s">
        <v>367</v>
      </c>
      <c r="AN122" s="26" t="s">
        <v>367</v>
      </c>
      <c r="AO122" s="26" t="s">
        <v>367</v>
      </c>
      <c r="AP122" s="23">
        <f>VALUE(10)</f>
        <v>10</v>
      </c>
      <c r="AQ122" s="23">
        <f>VALUE(0)</f>
        <v>0</v>
      </c>
      <c r="AR122" s="23">
        <f>VALUE(11)</f>
        <v>11</v>
      </c>
      <c r="AS122" s="23">
        <f>VALUE(0)</f>
        <v>0</v>
      </c>
      <c r="AT122" s="23">
        <f>VALUE(0)</f>
        <v>0</v>
      </c>
      <c r="AU122" s="23">
        <f>VALUE(0)</f>
        <v>0</v>
      </c>
      <c r="AV122" s="23">
        <f>VALUE(6)</f>
        <v>6</v>
      </c>
      <c r="AW122" s="23">
        <f>VALUE(0)</f>
        <v>0</v>
      </c>
      <c r="AX122" s="23" t="s">
        <v>171</v>
      </c>
      <c r="AY122" s="23" t="s">
        <v>371</v>
      </c>
      <c r="AZ122" s="23">
        <f>VALUE(0)</f>
        <v>0</v>
      </c>
      <c r="BA122" s="23">
        <f>VALUE(0)</f>
        <v>0</v>
      </c>
      <c r="BB122" s="23">
        <f>VALUE(0)</f>
        <v>0</v>
      </c>
      <c r="BC122" s="23">
        <f>VALUE(0)</f>
        <v>0</v>
      </c>
      <c r="BD122" s="23">
        <f>VALUE(4)</f>
        <v>4</v>
      </c>
      <c r="BE122" s="23">
        <f>VALUE(0)</f>
        <v>0</v>
      </c>
      <c r="BF122" s="23">
        <f>VALUE(0)</f>
        <v>0</v>
      </c>
      <c r="BG122" s="23">
        <f>VALUE(0)</f>
        <v>0</v>
      </c>
      <c r="BH122" s="23">
        <f>VALUE(0)</f>
        <v>0</v>
      </c>
      <c r="BI122" s="23">
        <f>VALUE(0)</f>
        <v>0</v>
      </c>
      <c r="BJ122" s="23">
        <f>VALUE(0)</f>
        <v>0</v>
      </c>
      <c r="BK122" s="12">
        <f>$AX$122*24</f>
        <v>5.833333333333333</v>
      </c>
      <c r="BL122" s="12">
        <f>$AY$122*24</f>
        <v>6.2166666666666668</v>
      </c>
      <c r="BM122" s="12">
        <f>$BJ$122*24</f>
        <v>0</v>
      </c>
      <c r="BN122" s="12">
        <f>VALUE($I$122)/100</f>
        <v>1</v>
      </c>
      <c r="BO122" s="12">
        <v>0</v>
      </c>
      <c r="BP122" s="12">
        <v>0</v>
      </c>
      <c r="BQ122" s="12">
        <v>0</v>
      </c>
      <c r="BR122" s="12">
        <v>1</v>
      </c>
      <c r="BS122" s="12">
        <v>0</v>
      </c>
      <c r="BT122" s="12">
        <v>0</v>
      </c>
      <c r="BU122" s="12">
        <v>11</v>
      </c>
      <c r="BV122" s="12">
        <v>0</v>
      </c>
      <c r="BW122" s="12">
        <v>0</v>
      </c>
      <c r="BX122" s="12">
        <v>0</v>
      </c>
      <c r="BY122" s="12">
        <v>0</v>
      </c>
      <c r="BZ122" s="12">
        <v>0</v>
      </c>
      <c r="CA122" s="12">
        <v>0</v>
      </c>
    </row>
    <row r="123" spans="1:79" ht="16.5" x14ac:dyDescent="0.2">
      <c r="A123" s="12" t="s">
        <v>120</v>
      </c>
      <c r="B123" s="12" t="s">
        <v>121</v>
      </c>
      <c r="C123" s="12" t="s">
        <v>121</v>
      </c>
      <c r="D123" s="22" t="s">
        <v>372</v>
      </c>
      <c r="E123" s="22" t="s">
        <v>173</v>
      </c>
      <c r="F123" s="22" t="s">
        <v>778</v>
      </c>
      <c r="G123" s="22" t="s">
        <v>779</v>
      </c>
      <c r="H123" s="22" t="s">
        <v>150</v>
      </c>
      <c r="I123" s="22" t="s">
        <v>151</v>
      </c>
      <c r="J123" s="22" t="s">
        <v>162</v>
      </c>
      <c r="K123" s="22" t="s">
        <v>80</v>
      </c>
      <c r="L123" s="54" t="s">
        <v>153</v>
      </c>
      <c r="M123" s="24" t="s">
        <v>156</v>
      </c>
      <c r="N123" s="24" t="s">
        <v>153</v>
      </c>
      <c r="O123" s="26" t="s">
        <v>367</v>
      </c>
      <c r="P123" s="26" t="s">
        <v>367</v>
      </c>
      <c r="Q123" s="26" t="s">
        <v>367</v>
      </c>
      <c r="R123" s="26" t="s">
        <v>367</v>
      </c>
      <c r="S123" s="26" t="s">
        <v>367</v>
      </c>
      <c r="T123" s="28" t="s">
        <v>163</v>
      </c>
      <c r="U123" s="24" t="s">
        <v>153</v>
      </c>
      <c r="V123" s="54" t="s">
        <v>153</v>
      </c>
      <c r="W123" s="26" t="s">
        <v>367</v>
      </c>
      <c r="X123" s="26" t="s">
        <v>367</v>
      </c>
      <c r="Y123" s="26" t="s">
        <v>367</v>
      </c>
      <c r="Z123" s="26" t="s">
        <v>367</v>
      </c>
      <c r="AA123" s="26" t="s">
        <v>367</v>
      </c>
      <c r="AB123" s="24" t="s">
        <v>153</v>
      </c>
      <c r="AC123" s="26" t="s">
        <v>367</v>
      </c>
      <c r="AD123" s="26" t="s">
        <v>367</v>
      </c>
      <c r="AE123" s="26" t="s">
        <v>367</v>
      </c>
      <c r="AF123" s="26" t="s">
        <v>367</v>
      </c>
      <c r="AG123" s="26" t="s">
        <v>367</v>
      </c>
      <c r="AH123" s="26" t="s">
        <v>367</v>
      </c>
      <c r="AI123" s="24" t="s">
        <v>153</v>
      </c>
      <c r="AJ123" s="26" t="s">
        <v>367</v>
      </c>
      <c r="AK123" s="26" t="s">
        <v>367</v>
      </c>
      <c r="AL123" s="26" t="s">
        <v>367</v>
      </c>
      <c r="AM123" s="24" t="s">
        <v>156</v>
      </c>
      <c r="AN123" s="24" t="s">
        <v>156</v>
      </c>
      <c r="AO123" s="24" t="s">
        <v>156</v>
      </c>
      <c r="AP123" s="23">
        <f>VALUE(2)</f>
        <v>2</v>
      </c>
      <c r="AQ123" s="23">
        <f>VALUE(0)</f>
        <v>0</v>
      </c>
      <c r="AR123" s="23">
        <f>VALUE(0)</f>
        <v>0</v>
      </c>
      <c r="AS123" s="23">
        <f>VALUE(0)</f>
        <v>0</v>
      </c>
      <c r="AT123" s="23">
        <f>VALUE(0)</f>
        <v>0</v>
      </c>
      <c r="AU123" s="23">
        <f>VALUE(1)</f>
        <v>1</v>
      </c>
      <c r="AV123" s="23">
        <f>VALUE(6)</f>
        <v>6</v>
      </c>
      <c r="AW123" s="23">
        <f>VALUE(0)</f>
        <v>0</v>
      </c>
      <c r="AX123" s="23" t="s">
        <v>176</v>
      </c>
      <c r="AY123" s="23" t="s">
        <v>373</v>
      </c>
      <c r="AZ123" s="23">
        <f>VALUE(0)</f>
        <v>0</v>
      </c>
      <c r="BA123" s="23">
        <f>VALUE(0)</f>
        <v>0</v>
      </c>
      <c r="BB123" s="23">
        <f>VALUE(0)</f>
        <v>0</v>
      </c>
      <c r="BC123" s="23">
        <f>VALUE(0)</f>
        <v>0</v>
      </c>
      <c r="BD123" s="23">
        <f>VALUE(0)</f>
        <v>0</v>
      </c>
      <c r="BE123" s="23">
        <f>VALUE(0)</f>
        <v>0</v>
      </c>
      <c r="BF123" s="23">
        <f>VALUE(0)</f>
        <v>0</v>
      </c>
      <c r="BG123" s="23">
        <f>VALUE(0)</f>
        <v>0</v>
      </c>
      <c r="BH123" s="23">
        <f>VALUE(0)</f>
        <v>0</v>
      </c>
      <c r="BI123" s="23">
        <f>VALUE(0)</f>
        <v>0</v>
      </c>
      <c r="BJ123" s="23">
        <f>VALUE(0)</f>
        <v>0</v>
      </c>
      <c r="BK123" s="12">
        <f>$AX$123*24</f>
        <v>0</v>
      </c>
      <c r="BL123" s="12">
        <f>$AY$123*24</f>
        <v>12.166666666666666</v>
      </c>
      <c r="BM123" s="12">
        <f>$BJ$123*24</f>
        <v>0</v>
      </c>
      <c r="BN123" s="12">
        <f>VALUE($I$123)/100</f>
        <v>1</v>
      </c>
      <c r="BO123" s="12">
        <v>0</v>
      </c>
      <c r="BP123" s="12">
        <v>0</v>
      </c>
      <c r="BQ123" s="12">
        <v>0</v>
      </c>
      <c r="BR123" s="12">
        <v>0</v>
      </c>
      <c r="BS123" s="12">
        <v>0</v>
      </c>
      <c r="BT123" s="12">
        <v>0</v>
      </c>
      <c r="BU123" s="12">
        <v>0</v>
      </c>
      <c r="BV123" s="12">
        <v>0</v>
      </c>
      <c r="BW123" s="12">
        <v>0</v>
      </c>
      <c r="BX123" s="12">
        <v>0</v>
      </c>
      <c r="BY123" s="12">
        <v>0</v>
      </c>
      <c r="BZ123" s="12">
        <v>0</v>
      </c>
      <c r="CA123" s="12">
        <v>0</v>
      </c>
    </row>
    <row r="124" spans="1:79" ht="15" x14ac:dyDescent="0.25">
      <c r="A124" s="12" t="s">
        <v>120</v>
      </c>
      <c r="B124" s="12" t="s">
        <v>121</v>
      </c>
      <c r="C124" s="12" t="s">
        <v>121</v>
      </c>
      <c r="D124" s="31" t="s">
        <v>323</v>
      </c>
      <c r="E124" s="31" t="s">
        <v>153</v>
      </c>
      <c r="F124" s="31" t="s">
        <v>175</v>
      </c>
      <c r="G124" s="31" t="s">
        <v>153</v>
      </c>
      <c r="H124" s="31" t="s">
        <v>153</v>
      </c>
      <c r="I124" s="31" t="s">
        <v>153</v>
      </c>
      <c r="J124" s="31" t="s">
        <v>153</v>
      </c>
      <c r="K124" s="31" t="s">
        <v>153</v>
      </c>
      <c r="L124" s="31">
        <f>VALUE(0)</f>
        <v>0</v>
      </c>
      <c r="M124" s="31">
        <f>VALUE(3)</f>
        <v>3</v>
      </c>
      <c r="N124" s="31">
        <f>VALUE(0)</f>
        <v>0</v>
      </c>
      <c r="O124" s="31">
        <f>VALUE(2)</f>
        <v>2</v>
      </c>
      <c r="P124" s="31">
        <f>VALUE(2)</f>
        <v>2</v>
      </c>
      <c r="Q124" s="31">
        <f>VALUE(3)</f>
        <v>3</v>
      </c>
      <c r="R124" s="31">
        <f>VALUE(4)</f>
        <v>4</v>
      </c>
      <c r="S124" s="31">
        <f>VALUE(4)</f>
        <v>4</v>
      </c>
      <c r="T124" s="31">
        <f>VALUE(3)</f>
        <v>3</v>
      </c>
      <c r="U124" s="31">
        <f>VALUE(0)</f>
        <v>0</v>
      </c>
      <c r="V124" s="31">
        <f>VALUE(0)</f>
        <v>0</v>
      </c>
      <c r="W124" s="31">
        <f>VALUE(4)</f>
        <v>4</v>
      </c>
      <c r="X124" s="31">
        <f>VALUE(4)</f>
        <v>4</v>
      </c>
      <c r="Y124" s="31">
        <f>VALUE(4)</f>
        <v>4</v>
      </c>
      <c r="Z124" s="31">
        <f>VALUE(4)</f>
        <v>4</v>
      </c>
      <c r="AA124" s="31">
        <f>VALUE(4)</f>
        <v>4</v>
      </c>
      <c r="AB124" s="31">
        <f>VALUE(0)</f>
        <v>0</v>
      </c>
      <c r="AC124" s="31">
        <f>VALUE(5)</f>
        <v>5</v>
      </c>
      <c r="AD124" s="31">
        <f>VALUE(5)</f>
        <v>5</v>
      </c>
      <c r="AE124" s="31">
        <f>VALUE(5)</f>
        <v>5</v>
      </c>
      <c r="AF124" s="31">
        <f>VALUE(5)</f>
        <v>5</v>
      </c>
      <c r="AG124" s="31">
        <f>VALUE(4)</f>
        <v>4</v>
      </c>
      <c r="AH124" s="31">
        <f>VALUE(3)</f>
        <v>3</v>
      </c>
      <c r="AI124" s="31">
        <f>VALUE(0)</f>
        <v>0</v>
      </c>
      <c r="AJ124" s="31">
        <f>VALUE(6)</f>
        <v>6</v>
      </c>
      <c r="AK124" s="31">
        <f>VALUE(6)</f>
        <v>6</v>
      </c>
      <c r="AL124" s="31">
        <f>VALUE(6)</f>
        <v>6</v>
      </c>
      <c r="AM124" s="31">
        <f>VALUE(5)</f>
        <v>5</v>
      </c>
      <c r="AN124" s="31">
        <f>VALUE(4)</f>
        <v>4</v>
      </c>
      <c r="AO124" s="31">
        <f>VALUE(3)</f>
        <v>3</v>
      </c>
      <c r="AP124" s="31">
        <v>0</v>
      </c>
      <c r="AQ124" s="31">
        <v>0</v>
      </c>
      <c r="AR124" s="31">
        <v>0</v>
      </c>
      <c r="AS124" s="31">
        <v>0</v>
      </c>
      <c r="AT124" s="31">
        <v>0</v>
      </c>
      <c r="AU124" s="31">
        <v>0</v>
      </c>
      <c r="AV124" s="31">
        <v>0</v>
      </c>
      <c r="AW124" s="31">
        <v>0</v>
      </c>
      <c r="AX124" s="31">
        <v>0</v>
      </c>
      <c r="AY124" s="31">
        <v>0</v>
      </c>
      <c r="AZ124" s="31">
        <v>0</v>
      </c>
      <c r="BA124" s="31">
        <v>0</v>
      </c>
      <c r="BB124" s="31">
        <v>0</v>
      </c>
      <c r="BC124" s="31">
        <v>0</v>
      </c>
      <c r="BD124" s="31">
        <v>0</v>
      </c>
      <c r="BE124" s="31">
        <v>0</v>
      </c>
      <c r="BF124" s="31">
        <v>0</v>
      </c>
      <c r="BG124" s="31">
        <v>0</v>
      </c>
      <c r="BH124" s="31">
        <v>0</v>
      </c>
      <c r="BI124" s="31">
        <v>0</v>
      </c>
      <c r="BJ124" s="31">
        <v>0</v>
      </c>
      <c r="BK124" s="12">
        <v>0</v>
      </c>
      <c r="BL124" s="12">
        <v>0</v>
      </c>
      <c r="BM124" s="12">
        <v>0</v>
      </c>
      <c r="BN124" s="12"/>
      <c r="BO124" s="12">
        <v>0</v>
      </c>
      <c r="BP124" s="12">
        <v>0</v>
      </c>
      <c r="BQ124" s="12">
        <v>0</v>
      </c>
      <c r="BR124" s="12">
        <v>0</v>
      </c>
      <c r="BS124" s="12">
        <v>0</v>
      </c>
      <c r="BT124" s="12">
        <v>0</v>
      </c>
      <c r="BU124" s="12">
        <v>0</v>
      </c>
      <c r="BV124" s="12">
        <v>0</v>
      </c>
      <c r="BW124" s="12">
        <v>0</v>
      </c>
      <c r="BX124" s="12">
        <v>0</v>
      </c>
      <c r="BY124" s="12">
        <v>0</v>
      </c>
      <c r="BZ124" s="12">
        <v>0</v>
      </c>
      <c r="CA124" s="12">
        <v>0</v>
      </c>
    </row>
    <row r="125" spans="1:79" ht="16.5" x14ac:dyDescent="0.2">
      <c r="A125" s="12" t="s">
        <v>120</v>
      </c>
      <c r="B125" s="12" t="s">
        <v>122</v>
      </c>
      <c r="C125" s="12" t="s">
        <v>122</v>
      </c>
      <c r="D125" s="22" t="s">
        <v>374</v>
      </c>
      <c r="E125" s="22" t="s">
        <v>173</v>
      </c>
      <c r="F125" s="22" t="s">
        <v>780</v>
      </c>
      <c r="G125" s="22" t="s">
        <v>781</v>
      </c>
      <c r="H125" s="22" t="s">
        <v>150</v>
      </c>
      <c r="I125" s="22" t="s">
        <v>151</v>
      </c>
      <c r="J125" s="22" t="s">
        <v>162</v>
      </c>
      <c r="K125" s="22" t="s">
        <v>81</v>
      </c>
      <c r="L125" s="54" t="s">
        <v>153</v>
      </c>
      <c r="M125" s="26" t="s">
        <v>591</v>
      </c>
      <c r="N125" s="24" t="s">
        <v>153</v>
      </c>
      <c r="O125" s="23" t="s">
        <v>391</v>
      </c>
      <c r="P125" s="23" t="s">
        <v>391</v>
      </c>
      <c r="Q125" s="26" t="s">
        <v>591</v>
      </c>
      <c r="R125" s="26" t="s">
        <v>591</v>
      </c>
      <c r="S125" s="26" t="s">
        <v>591</v>
      </c>
      <c r="T125" s="26" t="s">
        <v>591</v>
      </c>
      <c r="U125" s="24" t="s">
        <v>153</v>
      </c>
      <c r="V125" s="54" t="s">
        <v>153</v>
      </c>
      <c r="W125" s="26" t="s">
        <v>591</v>
      </c>
      <c r="X125" s="26" t="s">
        <v>591</v>
      </c>
      <c r="Y125" s="26" t="s">
        <v>591</v>
      </c>
      <c r="Z125" s="26" t="s">
        <v>591</v>
      </c>
      <c r="AA125" s="26" t="s">
        <v>591</v>
      </c>
      <c r="AB125" s="24" t="s">
        <v>153</v>
      </c>
      <c r="AC125" s="26" t="s">
        <v>591</v>
      </c>
      <c r="AD125" s="26" t="s">
        <v>591</v>
      </c>
      <c r="AE125" s="26" t="s">
        <v>591</v>
      </c>
      <c r="AF125" s="26" t="s">
        <v>591</v>
      </c>
      <c r="AG125" s="24" t="s">
        <v>156</v>
      </c>
      <c r="AH125" s="24" t="s">
        <v>156</v>
      </c>
      <c r="AI125" s="24" t="s">
        <v>153</v>
      </c>
      <c r="AJ125" s="25" t="s">
        <v>385</v>
      </c>
      <c r="AK125" s="26" t="s">
        <v>1210</v>
      </c>
      <c r="AL125" s="25" t="s">
        <v>429</v>
      </c>
      <c r="AM125" s="25" t="s">
        <v>429</v>
      </c>
      <c r="AN125" s="25" t="s">
        <v>429</v>
      </c>
      <c r="AO125" s="25" t="s">
        <v>429</v>
      </c>
      <c r="AP125" s="23">
        <f>VALUE(1)</f>
        <v>1</v>
      </c>
      <c r="AQ125" s="23">
        <f>VALUE(0)</f>
        <v>0</v>
      </c>
      <c r="AR125" s="23">
        <f>VALUE(0)</f>
        <v>0</v>
      </c>
      <c r="AS125" s="23">
        <f>VALUE(0)</f>
        <v>0</v>
      </c>
      <c r="AT125" s="23">
        <f>VALUE(0)</f>
        <v>0</v>
      </c>
      <c r="AU125" s="23">
        <f>VALUE(0)</f>
        <v>0</v>
      </c>
      <c r="AV125" s="23">
        <f>VALUE(5)</f>
        <v>5</v>
      </c>
      <c r="AW125" s="23">
        <f>VALUE(0)</f>
        <v>0</v>
      </c>
      <c r="AX125" s="23" t="s">
        <v>171</v>
      </c>
      <c r="AY125" s="23" t="s">
        <v>387</v>
      </c>
      <c r="AZ125" s="23">
        <f>VALUE(0)</f>
        <v>0</v>
      </c>
      <c r="BA125" s="23">
        <f>VALUE(0)</f>
        <v>0</v>
      </c>
      <c r="BB125" s="23">
        <f>VALUE(0)</f>
        <v>0</v>
      </c>
      <c r="BC125" s="23">
        <f>VALUE(0)</f>
        <v>0</v>
      </c>
      <c r="BD125" s="23">
        <f>VALUE(0)</f>
        <v>0</v>
      </c>
      <c r="BE125" s="23">
        <f>VALUE(0)</f>
        <v>0</v>
      </c>
      <c r="BF125" s="23">
        <f>VALUE(0)</f>
        <v>0</v>
      </c>
      <c r="BG125" s="23">
        <f>VALUE(0)</f>
        <v>0</v>
      </c>
      <c r="BH125" s="23">
        <f>VALUE(0)</f>
        <v>0</v>
      </c>
      <c r="BI125" s="23">
        <f>VALUE(0)</f>
        <v>0</v>
      </c>
      <c r="BJ125" s="23">
        <f>VALUE(0)</f>
        <v>0</v>
      </c>
      <c r="BK125" s="12">
        <f>$AX$125*24</f>
        <v>5.833333333333333</v>
      </c>
      <c r="BL125" s="12">
        <f>$AY$125*24</f>
        <v>3.35</v>
      </c>
      <c r="BM125" s="12">
        <f>$BJ$125*24</f>
        <v>0</v>
      </c>
      <c r="BN125" s="12">
        <f>VALUE($I$125)/100</f>
        <v>1</v>
      </c>
      <c r="BO125" s="12">
        <v>0</v>
      </c>
      <c r="BP125" s="12">
        <v>0</v>
      </c>
      <c r="BQ125" s="12">
        <v>0</v>
      </c>
      <c r="BR125" s="12">
        <v>0</v>
      </c>
      <c r="BS125" s="12">
        <v>0</v>
      </c>
      <c r="BT125" s="12">
        <v>0</v>
      </c>
      <c r="BU125" s="12">
        <v>0</v>
      </c>
      <c r="BV125" s="12">
        <v>0</v>
      </c>
      <c r="BW125" s="12">
        <v>0</v>
      </c>
      <c r="BX125" s="12">
        <v>0</v>
      </c>
      <c r="BY125" s="12">
        <v>0</v>
      </c>
      <c r="BZ125" s="12">
        <v>0</v>
      </c>
      <c r="CA125" s="12">
        <v>0</v>
      </c>
    </row>
    <row r="126" spans="1:79" x14ac:dyDescent="0.2">
      <c r="A126" s="12" t="s">
        <v>120</v>
      </c>
      <c r="B126" s="12" t="s">
        <v>122</v>
      </c>
      <c r="C126" s="12" t="s">
        <v>122</v>
      </c>
      <c r="D126" s="22" t="s">
        <v>377</v>
      </c>
      <c r="E126" s="22" t="s">
        <v>159</v>
      </c>
      <c r="F126" s="22" t="s">
        <v>782</v>
      </c>
      <c r="G126" s="22" t="s">
        <v>783</v>
      </c>
      <c r="H126" s="22" t="s">
        <v>150</v>
      </c>
      <c r="I126" s="22" t="s">
        <v>151</v>
      </c>
      <c r="J126" s="22" t="s">
        <v>162</v>
      </c>
      <c r="K126" s="22" t="s">
        <v>81</v>
      </c>
      <c r="L126" s="54" t="s">
        <v>153</v>
      </c>
      <c r="M126" s="28" t="s">
        <v>163</v>
      </c>
      <c r="N126" s="24" t="s">
        <v>153</v>
      </c>
      <c r="O126" s="25" t="s">
        <v>388</v>
      </c>
      <c r="P126" s="24" t="s">
        <v>156</v>
      </c>
      <c r="Q126" s="23" t="s">
        <v>153</v>
      </c>
      <c r="R126" s="23" t="s">
        <v>153</v>
      </c>
      <c r="S126" s="23" t="s">
        <v>153</v>
      </c>
      <c r="T126" s="23" t="s">
        <v>153</v>
      </c>
      <c r="U126" s="24" t="s">
        <v>153</v>
      </c>
      <c r="V126" s="54" t="s">
        <v>153</v>
      </c>
      <c r="W126" s="23" t="s">
        <v>153</v>
      </c>
      <c r="X126" s="23" t="s">
        <v>153</v>
      </c>
      <c r="Y126" s="23" t="s">
        <v>153</v>
      </c>
      <c r="Z126" s="23" t="s">
        <v>153</v>
      </c>
      <c r="AA126" s="23" t="s">
        <v>153</v>
      </c>
      <c r="AB126" s="24" t="s">
        <v>153</v>
      </c>
      <c r="AC126" s="23" t="s">
        <v>153</v>
      </c>
      <c r="AD126" s="23" t="s">
        <v>153</v>
      </c>
      <c r="AE126" s="24" t="s">
        <v>156</v>
      </c>
      <c r="AF126" s="24" t="s">
        <v>156</v>
      </c>
      <c r="AG126" s="23" t="s">
        <v>386</v>
      </c>
      <c r="AH126" s="23" t="s">
        <v>392</v>
      </c>
      <c r="AI126" s="24" t="s">
        <v>153</v>
      </c>
      <c r="AJ126" s="23" t="s">
        <v>153</v>
      </c>
      <c r="AK126" s="23" t="s">
        <v>153</v>
      </c>
      <c r="AL126" s="23" t="s">
        <v>153</v>
      </c>
      <c r="AM126" s="23" t="s">
        <v>153</v>
      </c>
      <c r="AN126" s="23" t="s">
        <v>153</v>
      </c>
      <c r="AO126" s="23" t="s">
        <v>153</v>
      </c>
      <c r="AP126" s="23">
        <f>VALUE(0)</f>
        <v>0</v>
      </c>
      <c r="AQ126" s="23">
        <f>VALUE(0)</f>
        <v>0</v>
      </c>
      <c r="AR126" s="23">
        <f>VALUE(0)</f>
        <v>0</v>
      </c>
      <c r="AS126" s="23">
        <f>VALUE(17)</f>
        <v>17</v>
      </c>
      <c r="AT126" s="23">
        <f>VALUE(0)</f>
        <v>0</v>
      </c>
      <c r="AU126" s="23">
        <f>VALUE(1)</f>
        <v>1</v>
      </c>
      <c r="AV126" s="23">
        <f>VALUE(0)</f>
        <v>0</v>
      </c>
      <c r="AW126" s="23">
        <f>VALUE(0)</f>
        <v>0</v>
      </c>
      <c r="AX126" s="23" t="s">
        <v>394</v>
      </c>
      <c r="AY126" s="23" t="s">
        <v>395</v>
      </c>
      <c r="AZ126" s="23">
        <f>VALUE(0)</f>
        <v>0</v>
      </c>
      <c r="BA126" s="23">
        <f>VALUE(0)</f>
        <v>0</v>
      </c>
      <c r="BB126" s="23">
        <f>VALUE(0)</f>
        <v>0</v>
      </c>
      <c r="BC126" s="23">
        <f>VALUE(0)</f>
        <v>0</v>
      </c>
      <c r="BD126" s="23">
        <f>VALUE(0)</f>
        <v>0</v>
      </c>
      <c r="BE126" s="23">
        <f>VALUE(0)</f>
        <v>0</v>
      </c>
      <c r="BF126" s="23">
        <f>VALUE(0)</f>
        <v>0</v>
      </c>
      <c r="BG126" s="23">
        <f>VALUE(0)</f>
        <v>0</v>
      </c>
      <c r="BH126" s="23">
        <f>VALUE(0)</f>
        <v>0</v>
      </c>
      <c r="BI126" s="23">
        <f>VALUE(0)</f>
        <v>0</v>
      </c>
      <c r="BJ126" s="23">
        <f>VALUE(0)</f>
        <v>0</v>
      </c>
      <c r="BK126" s="12">
        <f>$AX$126*24</f>
        <v>9.3333333333333339</v>
      </c>
      <c r="BL126" s="12">
        <f>$AY$126*24</f>
        <v>12.033333333333333</v>
      </c>
      <c r="BM126" s="12">
        <f>$BJ$126*24</f>
        <v>0</v>
      </c>
      <c r="BN126" s="12">
        <f>VALUE($I$126)/100</f>
        <v>1</v>
      </c>
      <c r="BO126" s="12">
        <v>0</v>
      </c>
      <c r="BP126" s="12">
        <v>0</v>
      </c>
      <c r="BQ126" s="12">
        <v>0</v>
      </c>
      <c r="BR126" s="12">
        <v>0</v>
      </c>
      <c r="BS126" s="12">
        <v>0</v>
      </c>
      <c r="BT126" s="12">
        <v>0</v>
      </c>
      <c r="BU126" s="12">
        <v>0</v>
      </c>
      <c r="BV126" s="12">
        <v>0</v>
      </c>
      <c r="BW126" s="12">
        <v>0</v>
      </c>
      <c r="BX126" s="12">
        <v>0</v>
      </c>
      <c r="BY126" s="12">
        <v>0</v>
      </c>
      <c r="BZ126" s="12">
        <v>0</v>
      </c>
      <c r="CA126" s="12">
        <v>0</v>
      </c>
    </row>
    <row r="127" spans="1:79" x14ac:dyDescent="0.2">
      <c r="A127" s="12" t="s">
        <v>120</v>
      </c>
      <c r="B127" s="12" t="s">
        <v>122</v>
      </c>
      <c r="C127" s="12" t="s">
        <v>122</v>
      </c>
      <c r="D127" s="22" t="s">
        <v>396</v>
      </c>
      <c r="E127" s="22" t="s">
        <v>159</v>
      </c>
      <c r="F127" s="22" t="s">
        <v>784</v>
      </c>
      <c r="G127" s="22" t="s">
        <v>785</v>
      </c>
      <c r="H127" s="22" t="s">
        <v>166</v>
      </c>
      <c r="I127" s="22" t="s">
        <v>151</v>
      </c>
      <c r="J127" s="22" t="s">
        <v>162</v>
      </c>
      <c r="K127" s="22" t="s">
        <v>81</v>
      </c>
      <c r="L127" s="54" t="s">
        <v>153</v>
      </c>
      <c r="M127" s="28" t="s">
        <v>163</v>
      </c>
      <c r="N127" s="24" t="s">
        <v>153</v>
      </c>
      <c r="O127" s="28" t="s">
        <v>163</v>
      </c>
      <c r="P127" s="28" t="s">
        <v>163</v>
      </c>
      <c r="Q127" s="28" t="s">
        <v>163</v>
      </c>
      <c r="R127" s="28" t="s">
        <v>163</v>
      </c>
      <c r="S127" s="28" t="s">
        <v>163</v>
      </c>
      <c r="T127" s="28" t="s">
        <v>163</v>
      </c>
      <c r="U127" s="24" t="s">
        <v>153</v>
      </c>
      <c r="V127" s="54" t="s">
        <v>153</v>
      </c>
      <c r="W127" s="23" t="s">
        <v>391</v>
      </c>
      <c r="X127" s="23" t="s">
        <v>391</v>
      </c>
      <c r="Y127" s="23" t="s">
        <v>391</v>
      </c>
      <c r="Z127" s="23" t="s">
        <v>391</v>
      </c>
      <c r="AA127" s="23" t="s">
        <v>391</v>
      </c>
      <c r="AB127" s="24" t="s">
        <v>153</v>
      </c>
      <c r="AC127" s="24" t="s">
        <v>156</v>
      </c>
      <c r="AD127" s="24" t="s">
        <v>156</v>
      </c>
      <c r="AE127" s="23" t="s">
        <v>383</v>
      </c>
      <c r="AF127" s="23" t="s">
        <v>383</v>
      </c>
      <c r="AG127" s="23" t="s">
        <v>383</v>
      </c>
      <c r="AH127" s="23" t="s">
        <v>383</v>
      </c>
      <c r="AI127" s="24" t="s">
        <v>153</v>
      </c>
      <c r="AJ127" s="23" t="s">
        <v>153</v>
      </c>
      <c r="AK127" s="23" t="s">
        <v>153</v>
      </c>
      <c r="AL127" s="29" t="s">
        <v>218</v>
      </c>
      <c r="AM127" s="23" t="s">
        <v>153</v>
      </c>
      <c r="AN127" s="23" t="s">
        <v>153</v>
      </c>
      <c r="AO127" s="23" t="s">
        <v>153</v>
      </c>
      <c r="AP127" s="23">
        <f>VALUE(0)</f>
        <v>0</v>
      </c>
      <c r="AQ127" s="23">
        <f>VALUE(0)</f>
        <v>0</v>
      </c>
      <c r="AR127" s="23">
        <f>VALUE(1)</f>
        <v>1</v>
      </c>
      <c r="AS127" s="23">
        <f>VALUE(5)</f>
        <v>5</v>
      </c>
      <c r="AT127" s="23">
        <f>VALUE(0)</f>
        <v>0</v>
      </c>
      <c r="AU127" s="23">
        <f>VALUE(7)</f>
        <v>7</v>
      </c>
      <c r="AV127" s="23">
        <f>VALUE(2.5)</f>
        <v>2.5</v>
      </c>
      <c r="AW127" s="23">
        <f>VALUE(0)</f>
        <v>0</v>
      </c>
      <c r="AX127" s="23" t="s">
        <v>1211</v>
      </c>
      <c r="AY127" s="23">
        <f>VALUE(0)</f>
        <v>0</v>
      </c>
      <c r="AZ127" s="23">
        <f>VALUE(0)</f>
        <v>0</v>
      </c>
      <c r="BA127" s="23">
        <f>VALUE(0)</f>
        <v>0</v>
      </c>
      <c r="BB127" s="23">
        <f>VALUE(0)</f>
        <v>0</v>
      </c>
      <c r="BC127" s="23">
        <f>VALUE(0)</f>
        <v>0</v>
      </c>
      <c r="BD127" s="23">
        <f>VALUE(0)</f>
        <v>0</v>
      </c>
      <c r="BE127" s="23">
        <f>VALUE(0)</f>
        <v>0</v>
      </c>
      <c r="BF127" s="23">
        <f>VALUE(0)</f>
        <v>0</v>
      </c>
      <c r="BG127" s="23">
        <f>VALUE(0)</f>
        <v>0</v>
      </c>
      <c r="BH127" s="23">
        <f>VALUE(0)</f>
        <v>0</v>
      </c>
      <c r="BI127" s="23">
        <f>VALUE(0)</f>
        <v>0</v>
      </c>
      <c r="BJ127" s="23">
        <f>VALUE(0)</f>
        <v>0</v>
      </c>
      <c r="BK127" s="12">
        <f>$AX$127*24</f>
        <v>53.283333333333331</v>
      </c>
      <c r="BL127" s="12">
        <f>$AY$127*24</f>
        <v>0</v>
      </c>
      <c r="BM127" s="12">
        <f>$BJ$127*24</f>
        <v>0</v>
      </c>
      <c r="BN127" s="12">
        <f>VALUE($I$127)/100</f>
        <v>1</v>
      </c>
      <c r="BO127" s="12">
        <v>0</v>
      </c>
      <c r="BP127" s="12">
        <v>0</v>
      </c>
      <c r="BQ127" s="12">
        <v>0</v>
      </c>
      <c r="BR127" s="12">
        <v>0</v>
      </c>
      <c r="BS127" s="12">
        <v>1</v>
      </c>
      <c r="BT127" s="12">
        <v>0</v>
      </c>
      <c r="BU127" s="12">
        <v>0</v>
      </c>
      <c r="BV127" s="12">
        <v>0</v>
      </c>
      <c r="BW127" s="12">
        <v>0</v>
      </c>
      <c r="BX127" s="12">
        <v>0</v>
      </c>
      <c r="BY127" s="12">
        <v>0</v>
      </c>
      <c r="BZ127" s="12">
        <v>0</v>
      </c>
      <c r="CA127" s="12">
        <v>0</v>
      </c>
    </row>
    <row r="128" spans="1:79" x14ac:dyDescent="0.2">
      <c r="A128" s="12" t="s">
        <v>120</v>
      </c>
      <c r="B128" s="12" t="s">
        <v>122</v>
      </c>
      <c r="C128" s="12" t="s">
        <v>122</v>
      </c>
      <c r="D128" s="22" t="s">
        <v>399</v>
      </c>
      <c r="E128" s="22" t="s">
        <v>173</v>
      </c>
      <c r="F128" s="22" t="s">
        <v>786</v>
      </c>
      <c r="G128" s="22" t="s">
        <v>787</v>
      </c>
      <c r="H128" s="22" t="s">
        <v>150</v>
      </c>
      <c r="I128" s="22" t="s">
        <v>151</v>
      </c>
      <c r="J128" s="22" t="s">
        <v>162</v>
      </c>
      <c r="K128" s="22" t="s">
        <v>81</v>
      </c>
      <c r="L128" s="54" t="s">
        <v>153</v>
      </c>
      <c r="M128" s="23" t="s">
        <v>386</v>
      </c>
      <c r="N128" s="24" t="s">
        <v>153</v>
      </c>
      <c r="O128" s="23" t="s">
        <v>386</v>
      </c>
      <c r="P128" s="23" t="s">
        <v>386</v>
      </c>
      <c r="Q128" s="28" t="s">
        <v>163</v>
      </c>
      <c r="R128" s="28" t="s">
        <v>163</v>
      </c>
      <c r="S128" s="28" t="s">
        <v>163</v>
      </c>
      <c r="T128" s="28" t="s">
        <v>163</v>
      </c>
      <c r="U128" s="24" t="s">
        <v>153</v>
      </c>
      <c r="V128" s="54" t="s">
        <v>153</v>
      </c>
      <c r="W128" s="28" t="s">
        <v>163</v>
      </c>
      <c r="X128" s="23" t="s">
        <v>386</v>
      </c>
      <c r="Y128" s="23" t="s">
        <v>386</v>
      </c>
      <c r="Z128" s="24" t="s">
        <v>156</v>
      </c>
      <c r="AA128" s="24" t="s">
        <v>156</v>
      </c>
      <c r="AB128" s="24" t="s">
        <v>153</v>
      </c>
      <c r="AC128" s="23" t="s">
        <v>392</v>
      </c>
      <c r="AD128" s="25" t="s">
        <v>392</v>
      </c>
      <c r="AE128" s="23" t="s">
        <v>392</v>
      </c>
      <c r="AF128" s="23" t="s">
        <v>392</v>
      </c>
      <c r="AG128" s="23" t="s">
        <v>392</v>
      </c>
      <c r="AH128" s="28" t="s">
        <v>163</v>
      </c>
      <c r="AI128" s="24" t="s">
        <v>153</v>
      </c>
      <c r="AJ128" s="23" t="s">
        <v>392</v>
      </c>
      <c r="AK128" s="23" t="s">
        <v>392</v>
      </c>
      <c r="AL128" s="23" t="s">
        <v>392</v>
      </c>
      <c r="AM128" s="23" t="s">
        <v>392</v>
      </c>
      <c r="AN128" s="23" t="s">
        <v>392</v>
      </c>
      <c r="AO128" s="23" t="s">
        <v>392</v>
      </c>
      <c r="AP128" s="23">
        <f>VALUE(0)</f>
        <v>0</v>
      </c>
      <c r="AQ128" s="23">
        <f>VALUE(0)</f>
        <v>0</v>
      </c>
      <c r="AR128" s="23">
        <f>VALUE(0)</f>
        <v>0</v>
      </c>
      <c r="AS128" s="23">
        <f>VALUE(0)</f>
        <v>0</v>
      </c>
      <c r="AT128" s="23">
        <f>VALUE(0)</f>
        <v>0</v>
      </c>
      <c r="AU128" s="23">
        <f>VALUE(6)</f>
        <v>6</v>
      </c>
      <c r="AV128" s="23">
        <f>VALUE(5)</f>
        <v>5</v>
      </c>
      <c r="AW128" s="23">
        <f>VALUE(0)</f>
        <v>0</v>
      </c>
      <c r="AX128" s="23" t="s">
        <v>171</v>
      </c>
      <c r="AY128" s="23">
        <f>VALUE(0)</f>
        <v>0</v>
      </c>
      <c r="AZ128" s="23">
        <f>VALUE(0)</f>
        <v>0</v>
      </c>
      <c r="BA128" s="23">
        <f>VALUE(0)</f>
        <v>0</v>
      </c>
      <c r="BB128" s="23">
        <f>VALUE(0)</f>
        <v>0</v>
      </c>
      <c r="BC128" s="23">
        <f>VALUE(0)</f>
        <v>0</v>
      </c>
      <c r="BD128" s="23">
        <f>VALUE(0)</f>
        <v>0</v>
      </c>
      <c r="BE128" s="23">
        <f>VALUE(0)</f>
        <v>0</v>
      </c>
      <c r="BF128" s="23">
        <f>VALUE(0)</f>
        <v>0</v>
      </c>
      <c r="BG128" s="23">
        <f>VALUE(0)</f>
        <v>0</v>
      </c>
      <c r="BH128" s="23">
        <f>VALUE(0)</f>
        <v>0</v>
      </c>
      <c r="BI128" s="23">
        <f>VALUE(0)</f>
        <v>0</v>
      </c>
      <c r="BJ128" s="23">
        <f>VALUE(0)</f>
        <v>0</v>
      </c>
      <c r="BK128" s="12">
        <f>$AX$128*24</f>
        <v>5.833333333333333</v>
      </c>
      <c r="BL128" s="12">
        <f>$AY$128*24</f>
        <v>0</v>
      </c>
      <c r="BM128" s="12">
        <f>$BJ$128*24</f>
        <v>0</v>
      </c>
      <c r="BN128" s="12">
        <f>VALUE($I$128)/100</f>
        <v>1</v>
      </c>
      <c r="BO128" s="12">
        <v>0</v>
      </c>
      <c r="BP128" s="12">
        <v>0</v>
      </c>
      <c r="BQ128" s="12">
        <v>0</v>
      </c>
      <c r="BR128" s="12">
        <v>0</v>
      </c>
      <c r="BS128" s="12">
        <v>0</v>
      </c>
      <c r="BT128" s="12">
        <v>0</v>
      </c>
      <c r="BU128" s="12">
        <v>0</v>
      </c>
      <c r="BV128" s="12">
        <v>0</v>
      </c>
      <c r="BW128" s="12">
        <v>0</v>
      </c>
      <c r="BX128" s="12">
        <v>0</v>
      </c>
      <c r="BY128" s="12">
        <v>0</v>
      </c>
      <c r="BZ128" s="12">
        <v>0</v>
      </c>
      <c r="CA128" s="12">
        <v>0</v>
      </c>
    </row>
    <row r="129" spans="1:79" ht="15" x14ac:dyDescent="0.25">
      <c r="A129" s="12" t="s">
        <v>120</v>
      </c>
      <c r="B129" s="12" t="s">
        <v>122</v>
      </c>
      <c r="C129" s="12" t="s">
        <v>122</v>
      </c>
      <c r="D129" s="31" t="s">
        <v>355</v>
      </c>
      <c r="E129" s="31" t="s">
        <v>153</v>
      </c>
      <c r="F129" s="31" t="s">
        <v>175</v>
      </c>
      <c r="G129" s="31" t="s">
        <v>153</v>
      </c>
      <c r="H129" s="31" t="s">
        <v>153</v>
      </c>
      <c r="I129" s="31" t="s">
        <v>153</v>
      </c>
      <c r="J129" s="31" t="s">
        <v>153</v>
      </c>
      <c r="K129" s="31" t="s">
        <v>153</v>
      </c>
      <c r="L129" s="31">
        <f>VALUE(0)</f>
        <v>0</v>
      </c>
      <c r="M129" s="31">
        <f>VALUE(2)</f>
        <v>2</v>
      </c>
      <c r="N129" s="31">
        <f>VALUE(0)</f>
        <v>0</v>
      </c>
      <c r="O129" s="31">
        <f>VALUE(3)</f>
        <v>3</v>
      </c>
      <c r="P129" s="31">
        <f>VALUE(2)</f>
        <v>2</v>
      </c>
      <c r="Q129" s="31">
        <f>VALUE(2)</f>
        <v>2</v>
      </c>
      <c r="R129" s="31">
        <f>VALUE(2)</f>
        <v>2</v>
      </c>
      <c r="S129" s="31">
        <f>VALUE(2)</f>
        <v>2</v>
      </c>
      <c r="T129" s="31">
        <f>VALUE(2)</f>
        <v>2</v>
      </c>
      <c r="U129" s="31">
        <f>VALUE(0)</f>
        <v>0</v>
      </c>
      <c r="V129" s="31">
        <f>VALUE(0)</f>
        <v>0</v>
      </c>
      <c r="W129" s="31">
        <f>VALUE(3)</f>
        <v>3</v>
      </c>
      <c r="X129" s="31">
        <f>VALUE(4)</f>
        <v>4</v>
      </c>
      <c r="Y129" s="31">
        <f>VALUE(4)</f>
        <v>4</v>
      </c>
      <c r="Z129" s="31">
        <f>VALUE(3)</f>
        <v>3</v>
      </c>
      <c r="AA129" s="31">
        <f>VALUE(3)</f>
        <v>3</v>
      </c>
      <c r="AB129" s="31">
        <f>VALUE(0)</f>
        <v>0</v>
      </c>
      <c r="AC129" s="31">
        <f>VALUE(3)</f>
        <v>3</v>
      </c>
      <c r="AD129" s="31">
        <f>VALUE(3)</f>
        <v>3</v>
      </c>
      <c r="AE129" s="31">
        <f>VALUE(3)</f>
        <v>3</v>
      </c>
      <c r="AF129" s="31">
        <f>VALUE(3)</f>
        <v>3</v>
      </c>
      <c r="AG129" s="31">
        <f>VALUE(3)</f>
        <v>3</v>
      </c>
      <c r="AH129" s="31">
        <f>VALUE(2)</f>
        <v>2</v>
      </c>
      <c r="AI129" s="31">
        <f>VALUE(0)</f>
        <v>0</v>
      </c>
      <c r="AJ129" s="31">
        <f>VALUE(4)</f>
        <v>4</v>
      </c>
      <c r="AK129" s="31">
        <f>VALUE(4)</f>
        <v>4</v>
      </c>
      <c r="AL129" s="31">
        <f>VALUE(3)</f>
        <v>3</v>
      </c>
      <c r="AM129" s="31">
        <f>VALUE(4)</f>
        <v>4</v>
      </c>
      <c r="AN129" s="31">
        <f>VALUE(4)</f>
        <v>4</v>
      </c>
      <c r="AO129" s="31">
        <f>VALUE(4)</f>
        <v>4</v>
      </c>
      <c r="AP129" s="31">
        <v>0</v>
      </c>
      <c r="AQ129" s="31">
        <v>0</v>
      </c>
      <c r="AR129" s="31">
        <v>0</v>
      </c>
      <c r="AS129" s="31">
        <v>0</v>
      </c>
      <c r="AT129" s="31">
        <v>0</v>
      </c>
      <c r="AU129" s="31">
        <v>0</v>
      </c>
      <c r="AV129" s="31">
        <v>0</v>
      </c>
      <c r="AW129" s="31">
        <v>0</v>
      </c>
      <c r="AX129" s="31">
        <v>0</v>
      </c>
      <c r="AY129" s="31">
        <v>0</v>
      </c>
      <c r="AZ129" s="31">
        <v>0</v>
      </c>
      <c r="BA129" s="31">
        <v>0</v>
      </c>
      <c r="BB129" s="31">
        <v>0</v>
      </c>
      <c r="BC129" s="31">
        <v>0</v>
      </c>
      <c r="BD129" s="31">
        <v>0</v>
      </c>
      <c r="BE129" s="31">
        <v>0</v>
      </c>
      <c r="BF129" s="31">
        <v>0</v>
      </c>
      <c r="BG129" s="31">
        <v>0</v>
      </c>
      <c r="BH129" s="31">
        <v>0</v>
      </c>
      <c r="BI129" s="31">
        <v>0</v>
      </c>
      <c r="BJ129" s="31">
        <v>0</v>
      </c>
      <c r="BK129" s="12">
        <v>0</v>
      </c>
      <c r="BL129" s="12">
        <v>0</v>
      </c>
      <c r="BM129" s="12">
        <v>0</v>
      </c>
      <c r="BN129" s="12"/>
      <c r="BO129" s="12">
        <v>0</v>
      </c>
      <c r="BP129" s="12">
        <v>0</v>
      </c>
      <c r="BQ129" s="12">
        <v>0</v>
      </c>
      <c r="BR129" s="12">
        <v>0</v>
      </c>
      <c r="BS129" s="12">
        <v>0</v>
      </c>
      <c r="BT129" s="12">
        <v>0</v>
      </c>
      <c r="BU129" s="12">
        <v>0</v>
      </c>
      <c r="BV129" s="12">
        <v>0</v>
      </c>
      <c r="BW129" s="12">
        <v>0</v>
      </c>
      <c r="BX129" s="12">
        <v>0</v>
      </c>
      <c r="BY129" s="12">
        <v>0</v>
      </c>
      <c r="BZ129" s="12">
        <v>0</v>
      </c>
      <c r="CA129" s="12">
        <v>0</v>
      </c>
    </row>
    <row r="130" spans="1:79" ht="16.5" x14ac:dyDescent="0.2">
      <c r="A130" s="12" t="s">
        <v>120</v>
      </c>
      <c r="B130" s="12" t="s">
        <v>1320</v>
      </c>
      <c r="C130" s="12" t="s">
        <v>1320</v>
      </c>
      <c r="D130" s="22" t="s">
        <v>1170</v>
      </c>
      <c r="E130" s="22" t="s">
        <v>149</v>
      </c>
      <c r="F130" s="22" t="s">
        <v>788</v>
      </c>
      <c r="G130" s="22" t="s">
        <v>789</v>
      </c>
      <c r="H130" s="22" t="s">
        <v>150</v>
      </c>
      <c r="I130" s="22" t="s">
        <v>151</v>
      </c>
      <c r="J130" s="22" t="s">
        <v>152</v>
      </c>
      <c r="K130" s="22" t="s">
        <v>1212</v>
      </c>
      <c r="L130" s="54" t="s">
        <v>153</v>
      </c>
      <c r="M130" s="24" t="s">
        <v>156</v>
      </c>
      <c r="N130" s="24" t="s">
        <v>153</v>
      </c>
      <c r="O130" s="24" t="s">
        <v>156</v>
      </c>
      <c r="P130" s="26" t="s">
        <v>1213</v>
      </c>
      <c r="Q130" s="26" t="s">
        <v>1213</v>
      </c>
      <c r="R130" s="26" t="s">
        <v>1213</v>
      </c>
      <c r="S130" s="26" t="s">
        <v>1213</v>
      </c>
      <c r="T130" s="26" t="s">
        <v>1213</v>
      </c>
      <c r="U130" s="24" t="s">
        <v>153</v>
      </c>
      <c r="V130" s="54" t="s">
        <v>153</v>
      </c>
      <c r="W130" s="26" t="s">
        <v>1213</v>
      </c>
      <c r="X130" s="26" t="s">
        <v>155</v>
      </c>
      <c r="Y130" s="26" t="s">
        <v>155</v>
      </c>
      <c r="Z130" s="26" t="s">
        <v>1213</v>
      </c>
      <c r="AA130" s="24" t="s">
        <v>156</v>
      </c>
      <c r="AB130" s="24" t="s">
        <v>153</v>
      </c>
      <c r="AC130" s="24" t="s">
        <v>156</v>
      </c>
      <c r="AD130" s="26" t="s">
        <v>1213</v>
      </c>
      <c r="AE130" s="26" t="s">
        <v>1213</v>
      </c>
      <c r="AF130" s="26" t="s">
        <v>1213</v>
      </c>
      <c r="AG130" s="26" t="s">
        <v>1213</v>
      </c>
      <c r="AH130" s="26" t="s">
        <v>1213</v>
      </c>
      <c r="AI130" s="24" t="s">
        <v>153</v>
      </c>
      <c r="AJ130" s="26" t="s">
        <v>1213</v>
      </c>
      <c r="AK130" s="35" t="s">
        <v>170</v>
      </c>
      <c r="AL130" s="35" t="s">
        <v>170</v>
      </c>
      <c r="AM130" s="35" t="s">
        <v>170</v>
      </c>
      <c r="AN130" s="35" t="s">
        <v>170</v>
      </c>
      <c r="AO130" s="24" t="s">
        <v>156</v>
      </c>
      <c r="AP130" s="23">
        <f>VALUE(0)</f>
        <v>0</v>
      </c>
      <c r="AQ130" s="23">
        <f>VALUE(0)</f>
        <v>0</v>
      </c>
      <c r="AR130" s="23">
        <f>VALUE(0)</f>
        <v>0</v>
      </c>
      <c r="AS130" s="23">
        <f>VALUE(0)</f>
        <v>0</v>
      </c>
      <c r="AT130" s="23">
        <f>VALUE(0)</f>
        <v>0</v>
      </c>
      <c r="AU130" s="23">
        <f>VALUE(0)</f>
        <v>0</v>
      </c>
      <c r="AV130" s="23">
        <f>VALUE(13)</f>
        <v>13</v>
      </c>
      <c r="AW130" s="23">
        <f>VALUE(0)</f>
        <v>0</v>
      </c>
      <c r="AX130" s="23" t="s">
        <v>1214</v>
      </c>
      <c r="AY130" s="23">
        <f>VALUE(0)</f>
        <v>0</v>
      </c>
      <c r="AZ130" s="23">
        <f>VALUE(0)</f>
        <v>0</v>
      </c>
      <c r="BA130" s="23">
        <f>VALUE(0)</f>
        <v>0</v>
      </c>
      <c r="BB130" s="23">
        <f>VALUE(0)</f>
        <v>0</v>
      </c>
      <c r="BC130" s="23">
        <f>VALUE(0)</f>
        <v>0</v>
      </c>
      <c r="BD130" s="23">
        <f>VALUE(0)</f>
        <v>0</v>
      </c>
      <c r="BE130" s="23">
        <f>VALUE(5)</f>
        <v>5</v>
      </c>
      <c r="BF130" s="23">
        <f>VALUE(0)</f>
        <v>0</v>
      </c>
      <c r="BG130" s="23">
        <f>VALUE(0)</f>
        <v>0</v>
      </c>
      <c r="BH130" s="23">
        <f>VALUE(0)</f>
        <v>0</v>
      </c>
      <c r="BI130" s="23">
        <f>VALUE(0)</f>
        <v>0</v>
      </c>
      <c r="BJ130" s="23">
        <f>VALUE(0)</f>
        <v>0</v>
      </c>
      <c r="BK130" s="12">
        <f>$AX$130*24</f>
        <v>18.016666666666666</v>
      </c>
      <c r="BL130" s="12">
        <f>$AY$130*24</f>
        <v>0</v>
      </c>
      <c r="BM130" s="12">
        <f>$BJ$130*24</f>
        <v>0</v>
      </c>
      <c r="BN130" s="12">
        <f>VALUE($I$130)/100</f>
        <v>1</v>
      </c>
      <c r="BO130" s="12">
        <v>0</v>
      </c>
      <c r="BP130" s="12">
        <v>0</v>
      </c>
      <c r="BQ130" s="12">
        <v>0</v>
      </c>
      <c r="BR130" s="12">
        <v>0</v>
      </c>
      <c r="BS130" s="12">
        <v>0</v>
      </c>
      <c r="BT130" s="12">
        <v>0</v>
      </c>
      <c r="BU130" s="12">
        <v>0</v>
      </c>
      <c r="BV130" s="12">
        <v>0</v>
      </c>
      <c r="BW130" s="12">
        <v>0</v>
      </c>
      <c r="BX130" s="12">
        <v>0</v>
      </c>
      <c r="BY130" s="12">
        <v>0</v>
      </c>
      <c r="BZ130" s="12">
        <v>0</v>
      </c>
      <c r="CA130" s="12">
        <v>0</v>
      </c>
    </row>
    <row r="131" spans="1:79" x14ac:dyDescent="0.2">
      <c r="A131" s="12" t="s">
        <v>120</v>
      </c>
      <c r="B131" s="12" t="s">
        <v>1320</v>
      </c>
      <c r="C131" s="12" t="s">
        <v>1320</v>
      </c>
      <c r="D131" s="22" t="s">
        <v>400</v>
      </c>
      <c r="E131" s="22" t="s">
        <v>161</v>
      </c>
      <c r="F131" s="22" t="s">
        <v>790</v>
      </c>
      <c r="G131" s="22" t="s">
        <v>791</v>
      </c>
      <c r="H131" s="22" t="s">
        <v>150</v>
      </c>
      <c r="I131" s="22" t="s">
        <v>151</v>
      </c>
      <c r="J131" s="22" t="s">
        <v>162</v>
      </c>
      <c r="K131" s="22" t="s">
        <v>1212</v>
      </c>
      <c r="L131" s="54" t="s">
        <v>153</v>
      </c>
      <c r="M131" s="23" t="s">
        <v>153</v>
      </c>
      <c r="N131" s="24" t="s">
        <v>153</v>
      </c>
      <c r="O131" s="23" t="s">
        <v>153</v>
      </c>
      <c r="P131" s="23" t="s">
        <v>153</v>
      </c>
      <c r="Q131" s="23" t="s">
        <v>153</v>
      </c>
      <c r="R131" s="23" t="s">
        <v>153</v>
      </c>
      <c r="S131" s="23" t="s">
        <v>153</v>
      </c>
      <c r="T131" s="23" t="s">
        <v>153</v>
      </c>
      <c r="U131" s="24" t="s">
        <v>153</v>
      </c>
      <c r="V131" s="54" t="s">
        <v>153</v>
      </c>
      <c r="W131" s="23" t="s">
        <v>153</v>
      </c>
      <c r="X131" s="23" t="s">
        <v>153</v>
      </c>
      <c r="Y131" s="23" t="s">
        <v>153</v>
      </c>
      <c r="Z131" s="23" t="s">
        <v>153</v>
      </c>
      <c r="AA131" s="23" t="s">
        <v>153</v>
      </c>
      <c r="AB131" s="24" t="s">
        <v>153</v>
      </c>
      <c r="AC131" s="23" t="s">
        <v>153</v>
      </c>
      <c r="AD131" s="23" t="s">
        <v>153</v>
      </c>
      <c r="AE131" s="23" t="s">
        <v>153</v>
      </c>
      <c r="AF131" s="23" t="s">
        <v>153</v>
      </c>
      <c r="AG131" s="23" t="s">
        <v>153</v>
      </c>
      <c r="AH131" s="23" t="s">
        <v>153</v>
      </c>
      <c r="AI131" s="24" t="s">
        <v>153</v>
      </c>
      <c r="AJ131" s="23" t="s">
        <v>153</v>
      </c>
      <c r="AK131" s="23" t="s">
        <v>153</v>
      </c>
      <c r="AL131" s="23" t="s">
        <v>153</v>
      </c>
      <c r="AM131" s="23" t="s">
        <v>153</v>
      </c>
      <c r="AN131" s="24" t="s">
        <v>156</v>
      </c>
      <c r="AO131" s="24" t="s">
        <v>156</v>
      </c>
      <c r="AP131" s="23">
        <f>VALUE(2)</f>
        <v>2</v>
      </c>
      <c r="AQ131" s="23">
        <f>VALUE(0)</f>
        <v>0</v>
      </c>
      <c r="AR131" s="23">
        <f>VALUE(0)</f>
        <v>0</v>
      </c>
      <c r="AS131" s="23">
        <f>VALUE(0)</f>
        <v>0</v>
      </c>
      <c r="AT131" s="23">
        <f>VALUE(0)</f>
        <v>0</v>
      </c>
      <c r="AU131" s="23">
        <f>VALUE(0)</f>
        <v>0</v>
      </c>
      <c r="AV131" s="23">
        <f>VALUE(1)</f>
        <v>1</v>
      </c>
      <c r="AW131" s="23">
        <f>VALUE(0)</f>
        <v>0</v>
      </c>
      <c r="AX131" s="23" t="s">
        <v>171</v>
      </c>
      <c r="AY131" s="23" t="s">
        <v>309</v>
      </c>
      <c r="AZ131" s="23">
        <f>VALUE(0)</f>
        <v>0</v>
      </c>
      <c r="BA131" s="23">
        <f>VALUE(0)</f>
        <v>0</v>
      </c>
      <c r="BB131" s="23">
        <f>VALUE(0)</f>
        <v>0</v>
      </c>
      <c r="BC131" s="23">
        <f>VALUE(0)</f>
        <v>0</v>
      </c>
      <c r="BD131" s="23">
        <f>VALUE(0)</f>
        <v>0</v>
      </c>
      <c r="BE131" s="23">
        <f>VALUE(0)</f>
        <v>0</v>
      </c>
      <c r="BF131" s="23">
        <f>VALUE(0)</f>
        <v>0</v>
      </c>
      <c r="BG131" s="23">
        <f>VALUE(0)</f>
        <v>0</v>
      </c>
      <c r="BH131" s="23">
        <f>VALUE(0)</f>
        <v>0</v>
      </c>
      <c r="BI131" s="23">
        <f>VALUE(0)</f>
        <v>0</v>
      </c>
      <c r="BJ131" s="23">
        <f>VALUE(0)</f>
        <v>0</v>
      </c>
      <c r="BK131" s="12">
        <f>$AX$131*24</f>
        <v>5.833333333333333</v>
      </c>
      <c r="BL131" s="12">
        <f>$AY$131*24</f>
        <v>4.583333333333333</v>
      </c>
      <c r="BM131" s="12">
        <f>$BJ$131*24</f>
        <v>0</v>
      </c>
      <c r="BN131" s="12">
        <f>VALUE($I$131)/100</f>
        <v>1</v>
      </c>
      <c r="BO131" s="12">
        <v>0</v>
      </c>
      <c r="BP131" s="12">
        <v>0</v>
      </c>
      <c r="BQ131" s="12">
        <v>0</v>
      </c>
      <c r="BR131" s="12">
        <v>0</v>
      </c>
      <c r="BS131" s="12">
        <v>0</v>
      </c>
      <c r="BT131" s="12">
        <v>0</v>
      </c>
      <c r="BU131" s="12">
        <v>0</v>
      </c>
      <c r="BV131" s="12">
        <v>0</v>
      </c>
      <c r="BW131" s="12">
        <v>0</v>
      </c>
      <c r="BX131" s="12">
        <v>0</v>
      </c>
      <c r="BY131" s="12">
        <v>0</v>
      </c>
      <c r="BZ131" s="12">
        <v>0</v>
      </c>
      <c r="CA131" s="12">
        <v>0</v>
      </c>
    </row>
    <row r="132" spans="1:79" x14ac:dyDescent="0.2">
      <c r="A132" s="12" t="s">
        <v>120</v>
      </c>
      <c r="B132" s="12" t="s">
        <v>1320</v>
      </c>
      <c r="C132" s="12" t="s">
        <v>1320</v>
      </c>
      <c r="D132" s="22" t="s">
        <v>401</v>
      </c>
      <c r="E132" s="22" t="s">
        <v>161</v>
      </c>
      <c r="F132" s="22" t="s">
        <v>792</v>
      </c>
      <c r="G132" s="22" t="s">
        <v>793</v>
      </c>
      <c r="H132" s="22" t="s">
        <v>166</v>
      </c>
      <c r="I132" s="22" t="s">
        <v>151</v>
      </c>
      <c r="J132" s="22" t="s">
        <v>162</v>
      </c>
      <c r="K132" s="22" t="s">
        <v>1212</v>
      </c>
      <c r="L132" s="54" t="s">
        <v>153</v>
      </c>
      <c r="M132" s="23" t="s">
        <v>153</v>
      </c>
      <c r="N132" s="24" t="s">
        <v>153</v>
      </c>
      <c r="O132" s="23" t="s">
        <v>153</v>
      </c>
      <c r="P132" s="23" t="s">
        <v>153</v>
      </c>
      <c r="Q132" s="23" t="s">
        <v>153</v>
      </c>
      <c r="R132" s="23" t="s">
        <v>153</v>
      </c>
      <c r="S132" s="23" t="s">
        <v>153</v>
      </c>
      <c r="T132" s="23" t="s">
        <v>153</v>
      </c>
      <c r="U132" s="24" t="s">
        <v>153</v>
      </c>
      <c r="V132" s="54" t="s">
        <v>153</v>
      </c>
      <c r="W132" s="23" t="s">
        <v>153</v>
      </c>
      <c r="X132" s="23" t="s">
        <v>153</v>
      </c>
      <c r="Y132" s="23" t="s">
        <v>153</v>
      </c>
      <c r="Z132" s="23" t="s">
        <v>153</v>
      </c>
      <c r="AA132" s="23" t="s">
        <v>153</v>
      </c>
      <c r="AB132" s="24" t="s">
        <v>153</v>
      </c>
      <c r="AC132" s="23" t="s">
        <v>153</v>
      </c>
      <c r="AD132" s="23" t="s">
        <v>153</v>
      </c>
      <c r="AE132" s="23" t="s">
        <v>153</v>
      </c>
      <c r="AF132" s="23" t="s">
        <v>153</v>
      </c>
      <c r="AG132" s="24" t="s">
        <v>156</v>
      </c>
      <c r="AH132" s="24" t="s">
        <v>156</v>
      </c>
      <c r="AI132" s="24" t="s">
        <v>153</v>
      </c>
      <c r="AJ132" s="23" t="s">
        <v>153</v>
      </c>
      <c r="AK132" s="23" t="s">
        <v>153</v>
      </c>
      <c r="AL132" s="23" t="s">
        <v>153</v>
      </c>
      <c r="AM132" s="23" t="s">
        <v>153</v>
      </c>
      <c r="AN132" s="23" t="s">
        <v>153</v>
      </c>
      <c r="AO132" s="23" t="s">
        <v>153</v>
      </c>
      <c r="AP132" s="23">
        <f>VALUE(0)</f>
        <v>0</v>
      </c>
      <c r="AQ132" s="23">
        <f>VALUE(0)</f>
        <v>0</v>
      </c>
      <c r="AR132" s="23">
        <f>VALUE(0)</f>
        <v>0</v>
      </c>
      <c r="AS132" s="23">
        <f>VALUE(0)</f>
        <v>0</v>
      </c>
      <c r="AT132" s="23">
        <f>VALUE(0)</f>
        <v>0</v>
      </c>
      <c r="AU132" s="23">
        <f>VALUE(0)</f>
        <v>0</v>
      </c>
      <c r="AV132" s="23">
        <f>VALUE(4)</f>
        <v>4</v>
      </c>
      <c r="AW132" s="23">
        <f>VALUE(0)</f>
        <v>0</v>
      </c>
      <c r="AX132" s="23" t="s">
        <v>402</v>
      </c>
      <c r="AY132" s="23">
        <f>VALUE(0)</f>
        <v>0</v>
      </c>
      <c r="AZ132" s="23">
        <f>VALUE(0)</f>
        <v>0</v>
      </c>
      <c r="BA132" s="23">
        <f>VALUE(0)</f>
        <v>0</v>
      </c>
      <c r="BB132" s="23">
        <f>VALUE(0)</f>
        <v>0</v>
      </c>
      <c r="BC132" s="23">
        <f>VALUE(0)</f>
        <v>0</v>
      </c>
      <c r="BD132" s="23">
        <f>VALUE(0)</f>
        <v>0</v>
      </c>
      <c r="BE132" s="23">
        <f>VALUE(0)</f>
        <v>0</v>
      </c>
      <c r="BF132" s="23">
        <f>VALUE(0)</f>
        <v>0</v>
      </c>
      <c r="BG132" s="23">
        <f>VALUE(0)</f>
        <v>0</v>
      </c>
      <c r="BH132" s="23">
        <f>VALUE(0)</f>
        <v>0</v>
      </c>
      <c r="BI132" s="23">
        <f>VALUE(0)</f>
        <v>0</v>
      </c>
      <c r="BJ132" s="23">
        <f>VALUE(0)</f>
        <v>0</v>
      </c>
      <c r="BK132" s="12">
        <f>$AX$132*24</f>
        <v>20.45</v>
      </c>
      <c r="BL132" s="12">
        <f>$AY$132*24</f>
        <v>0</v>
      </c>
      <c r="BM132" s="12">
        <f>$BJ$132*24</f>
        <v>0</v>
      </c>
      <c r="BN132" s="12">
        <f>VALUE($I$132)/100</f>
        <v>1</v>
      </c>
      <c r="BO132" s="12">
        <v>0</v>
      </c>
      <c r="BP132" s="12">
        <v>0</v>
      </c>
      <c r="BQ132" s="12">
        <v>0</v>
      </c>
      <c r="BR132" s="12">
        <v>0</v>
      </c>
      <c r="BS132" s="12">
        <v>0</v>
      </c>
      <c r="BT132" s="12">
        <v>0</v>
      </c>
      <c r="BU132" s="12">
        <v>0</v>
      </c>
      <c r="BV132" s="12">
        <v>0</v>
      </c>
      <c r="BW132" s="12">
        <v>0</v>
      </c>
      <c r="BX132" s="12">
        <v>0</v>
      </c>
      <c r="BY132" s="12">
        <v>0</v>
      </c>
      <c r="BZ132" s="12">
        <v>0</v>
      </c>
      <c r="CA132" s="12">
        <v>0</v>
      </c>
    </row>
    <row r="133" spans="1:79" x14ac:dyDescent="0.2">
      <c r="A133" s="12" t="s">
        <v>120</v>
      </c>
      <c r="B133" s="12" t="s">
        <v>1320</v>
      </c>
      <c r="C133" s="12" t="s">
        <v>1320</v>
      </c>
      <c r="D133" s="22" t="s">
        <v>381</v>
      </c>
      <c r="E133" s="22" t="s">
        <v>161</v>
      </c>
      <c r="F133" s="22" t="s">
        <v>794</v>
      </c>
      <c r="G133" s="22" t="s">
        <v>795</v>
      </c>
      <c r="H133" s="22" t="s">
        <v>191</v>
      </c>
      <c r="I133" s="22" t="s">
        <v>151</v>
      </c>
      <c r="J133" s="22" t="s">
        <v>162</v>
      </c>
      <c r="K133" s="22" t="s">
        <v>1212</v>
      </c>
      <c r="L133" s="54" t="s">
        <v>153</v>
      </c>
      <c r="M133" s="27" t="s">
        <v>153</v>
      </c>
      <c r="N133" s="24" t="s">
        <v>153</v>
      </c>
      <c r="O133" s="27" t="s">
        <v>153</v>
      </c>
      <c r="P133" s="27" t="s">
        <v>153</v>
      </c>
      <c r="Q133" s="27" t="s">
        <v>153</v>
      </c>
      <c r="R133" s="23" t="s">
        <v>153</v>
      </c>
      <c r="S133" s="23" t="s">
        <v>153</v>
      </c>
      <c r="T133" s="23" t="s">
        <v>153</v>
      </c>
      <c r="U133" s="24" t="s">
        <v>153</v>
      </c>
      <c r="V133" s="54" t="s">
        <v>153</v>
      </c>
      <c r="W133" s="23" t="s">
        <v>153</v>
      </c>
      <c r="X133" s="23" t="s">
        <v>153</v>
      </c>
      <c r="Y133" s="23" t="s">
        <v>153</v>
      </c>
      <c r="Z133" s="23" t="s">
        <v>153</v>
      </c>
      <c r="AA133" s="23" t="s">
        <v>153</v>
      </c>
      <c r="AB133" s="24" t="s">
        <v>153</v>
      </c>
      <c r="AC133" s="23" t="s">
        <v>153</v>
      </c>
      <c r="AD133" s="23" t="s">
        <v>153</v>
      </c>
      <c r="AE133" s="23" t="s">
        <v>153</v>
      </c>
      <c r="AF133" s="23" t="s">
        <v>153</v>
      </c>
      <c r="AG133" s="23" t="s">
        <v>153</v>
      </c>
      <c r="AH133" s="23" t="s">
        <v>153</v>
      </c>
      <c r="AI133" s="24" t="s">
        <v>153</v>
      </c>
      <c r="AJ133" s="27" t="s">
        <v>153</v>
      </c>
      <c r="AK133" s="27" t="s">
        <v>153</v>
      </c>
      <c r="AL133" s="27" t="s">
        <v>153</v>
      </c>
      <c r="AM133" s="27" t="s">
        <v>153</v>
      </c>
      <c r="AN133" s="27" t="s">
        <v>153</v>
      </c>
      <c r="AO133" s="27" t="s">
        <v>153</v>
      </c>
      <c r="AP133" s="23">
        <f>VALUE(0)</f>
        <v>0</v>
      </c>
      <c r="AQ133" s="23">
        <f>VALUE(0)</f>
        <v>0</v>
      </c>
      <c r="AR133" s="23">
        <f>VALUE(0)</f>
        <v>0</v>
      </c>
      <c r="AS133" s="23">
        <f>VALUE(0)</f>
        <v>0</v>
      </c>
      <c r="AT133" s="23">
        <f>VALUE(0)</f>
        <v>0</v>
      </c>
      <c r="AU133" s="23">
        <f>VALUE(0)</f>
        <v>0</v>
      </c>
      <c r="AV133" s="23">
        <f>VALUE(0)</f>
        <v>0</v>
      </c>
      <c r="AW133" s="23">
        <f>VALUE(0)</f>
        <v>0</v>
      </c>
      <c r="AX133" s="23">
        <f>VALUE(0)</f>
        <v>0</v>
      </c>
      <c r="AY133" s="23">
        <f>VALUE(0)</f>
        <v>0</v>
      </c>
      <c r="AZ133" s="23">
        <f>VALUE(0)</f>
        <v>0</v>
      </c>
      <c r="BA133" s="23">
        <f>VALUE(0)</f>
        <v>0</v>
      </c>
      <c r="BB133" s="23">
        <f>VALUE(0)</f>
        <v>0</v>
      </c>
      <c r="BC133" s="23">
        <f>VALUE(0)</f>
        <v>0</v>
      </c>
      <c r="BD133" s="23">
        <f>VALUE(0)</f>
        <v>0</v>
      </c>
      <c r="BE133" s="23">
        <f>VALUE(0)</f>
        <v>0</v>
      </c>
      <c r="BF133" s="23">
        <f>VALUE(0)</f>
        <v>0</v>
      </c>
      <c r="BG133" s="23">
        <f>VALUE(0)</f>
        <v>0</v>
      </c>
      <c r="BH133" s="23">
        <f>VALUE(0)</f>
        <v>0</v>
      </c>
      <c r="BI133" s="23">
        <f>VALUE(0)</f>
        <v>0</v>
      </c>
      <c r="BJ133" s="23">
        <f>VALUE(0)</f>
        <v>0</v>
      </c>
      <c r="BK133" s="12">
        <f>$AX$133*24</f>
        <v>0</v>
      </c>
      <c r="BL133" s="12">
        <f>$AY$133*24</f>
        <v>0</v>
      </c>
      <c r="BM133" s="12">
        <f>$BJ$133*24</f>
        <v>0</v>
      </c>
      <c r="BN133" s="12">
        <f>VALUE($I$133)/100</f>
        <v>1</v>
      </c>
      <c r="BO133" s="12">
        <v>0</v>
      </c>
      <c r="BP133" s="12">
        <v>0</v>
      </c>
      <c r="BQ133" s="12">
        <v>0</v>
      </c>
      <c r="BR133" s="12">
        <v>0</v>
      </c>
      <c r="BS133" s="12">
        <v>0</v>
      </c>
      <c r="BT133" s="12">
        <v>0</v>
      </c>
      <c r="BU133" s="12">
        <v>0</v>
      </c>
      <c r="BV133" s="12">
        <v>0</v>
      </c>
      <c r="BW133" s="12">
        <v>0</v>
      </c>
      <c r="BX133" s="12">
        <v>0</v>
      </c>
      <c r="BY133" s="12">
        <v>0</v>
      </c>
      <c r="BZ133" s="12">
        <v>0</v>
      </c>
      <c r="CA133" s="12">
        <v>0</v>
      </c>
    </row>
    <row r="134" spans="1:79" x14ac:dyDescent="0.2">
      <c r="A134" s="12" t="s">
        <v>120</v>
      </c>
      <c r="B134" s="12" t="s">
        <v>1320</v>
      </c>
      <c r="C134" s="12" t="s">
        <v>1320</v>
      </c>
      <c r="D134" s="22" t="s">
        <v>381</v>
      </c>
      <c r="E134" s="22" t="s">
        <v>161</v>
      </c>
      <c r="F134" s="22" t="s">
        <v>796</v>
      </c>
      <c r="G134" s="22" t="s">
        <v>797</v>
      </c>
      <c r="H134" s="22" t="s">
        <v>150</v>
      </c>
      <c r="I134" s="22" t="s">
        <v>151</v>
      </c>
      <c r="J134" s="22" t="s">
        <v>162</v>
      </c>
      <c r="K134" s="22" t="s">
        <v>1212</v>
      </c>
      <c r="L134" s="54" t="s">
        <v>153</v>
      </c>
      <c r="M134" s="23" t="s">
        <v>153</v>
      </c>
      <c r="N134" s="24" t="s">
        <v>153</v>
      </c>
      <c r="O134" s="23" t="s">
        <v>153</v>
      </c>
      <c r="P134" s="23" t="s">
        <v>153</v>
      </c>
      <c r="Q134" s="23" t="s">
        <v>153</v>
      </c>
      <c r="R134" s="23" t="s">
        <v>153</v>
      </c>
      <c r="S134" s="23" t="s">
        <v>153</v>
      </c>
      <c r="T134" s="23" t="s">
        <v>153</v>
      </c>
      <c r="U134" s="24" t="s">
        <v>153</v>
      </c>
      <c r="V134" s="54" t="s">
        <v>156</v>
      </c>
      <c r="W134" s="24" t="s">
        <v>156</v>
      </c>
      <c r="X134" s="28" t="s">
        <v>163</v>
      </c>
      <c r="Y134" s="28" t="s">
        <v>163</v>
      </c>
      <c r="Z134" s="28" t="s">
        <v>163</v>
      </c>
      <c r="AA134" s="28" t="s">
        <v>163</v>
      </c>
      <c r="AB134" s="24" t="s">
        <v>153</v>
      </c>
      <c r="AC134" s="28" t="s">
        <v>163</v>
      </c>
      <c r="AD134" s="28" t="s">
        <v>163</v>
      </c>
      <c r="AE134" s="28" t="s">
        <v>163</v>
      </c>
      <c r="AF134" s="28" t="s">
        <v>163</v>
      </c>
      <c r="AG134" s="28" t="s">
        <v>163</v>
      </c>
      <c r="AH134" s="28" t="s">
        <v>163</v>
      </c>
      <c r="AI134" s="24" t="s">
        <v>153</v>
      </c>
      <c r="AJ134" s="23" t="s">
        <v>153</v>
      </c>
      <c r="AK134" s="23" t="s">
        <v>153</v>
      </c>
      <c r="AL134" s="23" t="s">
        <v>153</v>
      </c>
      <c r="AM134" s="23" t="s">
        <v>153</v>
      </c>
      <c r="AN134" s="23" t="s">
        <v>153</v>
      </c>
      <c r="AO134" s="23" t="s">
        <v>153</v>
      </c>
      <c r="AP134" s="23">
        <f>VALUE(3)</f>
        <v>3</v>
      </c>
      <c r="AQ134" s="23">
        <f>VALUE(0)</f>
        <v>0</v>
      </c>
      <c r="AR134" s="23">
        <f>VALUE(0)</f>
        <v>0</v>
      </c>
      <c r="AS134" s="23">
        <f>VALUE(0)</f>
        <v>0</v>
      </c>
      <c r="AT134" s="23">
        <f>VALUE(0)</f>
        <v>0</v>
      </c>
      <c r="AU134" s="23">
        <f>VALUE(10)</f>
        <v>10</v>
      </c>
      <c r="AV134" s="23">
        <f>VALUE(9)</f>
        <v>9</v>
      </c>
      <c r="AW134" s="23">
        <f>VALUE(0)</f>
        <v>0</v>
      </c>
      <c r="AX134" s="23" t="s">
        <v>171</v>
      </c>
      <c r="AY134" s="23" t="s">
        <v>403</v>
      </c>
      <c r="AZ134" s="23">
        <f>VALUE(0)</f>
        <v>0</v>
      </c>
      <c r="BA134" s="23">
        <f>VALUE(0)</f>
        <v>0</v>
      </c>
      <c r="BB134" s="23">
        <f>VALUE(0)</f>
        <v>0</v>
      </c>
      <c r="BC134" s="23">
        <f>VALUE(0)</f>
        <v>0</v>
      </c>
      <c r="BD134" s="23">
        <f>VALUE(0)</f>
        <v>0</v>
      </c>
      <c r="BE134" s="23">
        <f>VALUE(0)</f>
        <v>0</v>
      </c>
      <c r="BF134" s="23">
        <f>VALUE(0)</f>
        <v>0</v>
      </c>
      <c r="BG134" s="23">
        <f>VALUE(0)</f>
        <v>0</v>
      </c>
      <c r="BH134" s="23">
        <f>VALUE(0)</f>
        <v>0</v>
      </c>
      <c r="BI134" s="23">
        <f>VALUE(0)</f>
        <v>0</v>
      </c>
      <c r="BJ134" s="23">
        <f>VALUE(0)</f>
        <v>0</v>
      </c>
      <c r="BK134" s="12">
        <f>$AX$134*24</f>
        <v>5.833333333333333</v>
      </c>
      <c r="BL134" s="12">
        <f>$AY$134*24</f>
        <v>2.1</v>
      </c>
      <c r="BM134" s="12">
        <f>$BJ$134*24</f>
        <v>0</v>
      </c>
      <c r="BN134" s="12">
        <f>VALUE($I$134)/100</f>
        <v>1</v>
      </c>
      <c r="BO134" s="12">
        <v>0</v>
      </c>
      <c r="BP134" s="12">
        <v>0</v>
      </c>
      <c r="BQ134" s="12">
        <v>0</v>
      </c>
      <c r="BR134" s="12">
        <v>0</v>
      </c>
      <c r="BS134" s="12">
        <v>0</v>
      </c>
      <c r="BT134" s="12">
        <v>0</v>
      </c>
      <c r="BU134" s="12">
        <v>0</v>
      </c>
      <c r="BV134" s="12">
        <v>0</v>
      </c>
      <c r="BW134" s="12">
        <v>0</v>
      </c>
      <c r="BX134" s="12">
        <v>0</v>
      </c>
      <c r="BY134" s="12">
        <v>0</v>
      </c>
      <c r="BZ134" s="12">
        <v>0</v>
      </c>
      <c r="CA134" s="12">
        <v>0</v>
      </c>
    </row>
    <row r="135" spans="1:79" x14ac:dyDescent="0.2">
      <c r="A135" s="12" t="s">
        <v>120</v>
      </c>
      <c r="B135" s="12" t="s">
        <v>1320</v>
      </c>
      <c r="C135" s="12" t="s">
        <v>1320</v>
      </c>
      <c r="D135" s="22" t="s">
        <v>375</v>
      </c>
      <c r="E135" s="22" t="s">
        <v>161</v>
      </c>
      <c r="F135" s="22" t="s">
        <v>798</v>
      </c>
      <c r="G135" s="22" t="s">
        <v>799</v>
      </c>
      <c r="H135" s="22" t="s">
        <v>150</v>
      </c>
      <c r="I135" s="22" t="s">
        <v>151</v>
      </c>
      <c r="J135" s="22" t="s">
        <v>162</v>
      </c>
      <c r="K135" s="22" t="s">
        <v>1212</v>
      </c>
      <c r="L135" s="54" t="s">
        <v>153</v>
      </c>
      <c r="M135" s="23" t="s">
        <v>153</v>
      </c>
      <c r="N135" s="24" t="s">
        <v>153</v>
      </c>
      <c r="O135" s="24" t="s">
        <v>156</v>
      </c>
      <c r="P135" s="24" t="s">
        <v>156</v>
      </c>
      <c r="Q135" s="23" t="s">
        <v>153</v>
      </c>
      <c r="R135" s="23" t="s">
        <v>153</v>
      </c>
      <c r="S135" s="23" t="s">
        <v>153</v>
      </c>
      <c r="T135" s="23" t="s">
        <v>153</v>
      </c>
      <c r="U135" s="24" t="s">
        <v>153</v>
      </c>
      <c r="V135" s="54" t="s">
        <v>153</v>
      </c>
      <c r="W135" s="23" t="s">
        <v>153</v>
      </c>
      <c r="X135" s="23" t="s">
        <v>153</v>
      </c>
      <c r="Y135" s="23" t="s">
        <v>153</v>
      </c>
      <c r="Z135" s="23" t="s">
        <v>153</v>
      </c>
      <c r="AA135" s="23" t="s">
        <v>153</v>
      </c>
      <c r="AB135" s="24" t="s">
        <v>153</v>
      </c>
      <c r="AC135" s="23" t="s">
        <v>153</v>
      </c>
      <c r="AD135" s="23" t="s">
        <v>153</v>
      </c>
      <c r="AE135" s="23" t="s">
        <v>153</v>
      </c>
      <c r="AF135" s="23" t="s">
        <v>153</v>
      </c>
      <c r="AG135" s="23" t="s">
        <v>153</v>
      </c>
      <c r="AH135" s="23" t="s">
        <v>153</v>
      </c>
      <c r="AI135" s="24" t="s">
        <v>153</v>
      </c>
      <c r="AJ135" s="23" t="s">
        <v>153</v>
      </c>
      <c r="AK135" s="23" t="s">
        <v>153</v>
      </c>
      <c r="AL135" s="23" t="s">
        <v>153</v>
      </c>
      <c r="AM135" s="23" t="s">
        <v>153</v>
      </c>
      <c r="AN135" s="23" t="s">
        <v>153</v>
      </c>
      <c r="AO135" s="23" t="s">
        <v>153</v>
      </c>
      <c r="AP135" s="23">
        <f>VALUE(0)</f>
        <v>0</v>
      </c>
      <c r="AQ135" s="23">
        <f>VALUE(0)</f>
        <v>0</v>
      </c>
      <c r="AR135" s="23">
        <f>VALUE(0)</f>
        <v>0</v>
      </c>
      <c r="AS135" s="23">
        <f>VALUE(0)</f>
        <v>0</v>
      </c>
      <c r="AT135" s="23">
        <f>VALUE(0)</f>
        <v>0</v>
      </c>
      <c r="AU135" s="23">
        <f>VALUE(0)</f>
        <v>0</v>
      </c>
      <c r="AV135" s="23">
        <f>VALUE(9)</f>
        <v>9</v>
      </c>
      <c r="AW135" s="23">
        <f>VALUE(0)</f>
        <v>0</v>
      </c>
      <c r="AX135" s="23" t="s">
        <v>404</v>
      </c>
      <c r="AY135" s="23">
        <f>VALUE(0)</f>
        <v>0</v>
      </c>
      <c r="AZ135" s="23">
        <f>VALUE(0)</f>
        <v>0</v>
      </c>
      <c r="BA135" s="23">
        <f>VALUE(0)</f>
        <v>0</v>
      </c>
      <c r="BB135" s="23">
        <f>VALUE(0)</f>
        <v>0</v>
      </c>
      <c r="BC135" s="23">
        <f>VALUE(0)</f>
        <v>0</v>
      </c>
      <c r="BD135" s="23">
        <f>VALUE(0)</f>
        <v>0</v>
      </c>
      <c r="BE135" s="23">
        <f>VALUE(0)</f>
        <v>0</v>
      </c>
      <c r="BF135" s="23">
        <f>VALUE(0)</f>
        <v>0</v>
      </c>
      <c r="BG135" s="23">
        <f>VALUE(0)</f>
        <v>0</v>
      </c>
      <c r="BH135" s="23">
        <f>VALUE(0)</f>
        <v>0</v>
      </c>
      <c r="BI135" s="23">
        <f>VALUE(0)</f>
        <v>0</v>
      </c>
      <c r="BJ135" s="23">
        <f>VALUE(0)</f>
        <v>0</v>
      </c>
      <c r="BK135" s="12">
        <f>$AX$135*24</f>
        <v>4.8499999999999996</v>
      </c>
      <c r="BL135" s="12">
        <f>$AY$135*24</f>
        <v>0</v>
      </c>
      <c r="BM135" s="12">
        <f>$BJ$135*24</f>
        <v>0</v>
      </c>
      <c r="BN135" s="12">
        <f>VALUE($I$135)/100</f>
        <v>1</v>
      </c>
      <c r="BO135" s="12">
        <v>0</v>
      </c>
      <c r="BP135" s="12">
        <v>0</v>
      </c>
      <c r="BQ135" s="12">
        <v>0</v>
      </c>
      <c r="BR135" s="12">
        <v>0</v>
      </c>
      <c r="BS135" s="12">
        <v>0</v>
      </c>
      <c r="BT135" s="12">
        <v>0</v>
      </c>
      <c r="BU135" s="12">
        <v>0</v>
      </c>
      <c r="BV135" s="12">
        <v>0</v>
      </c>
      <c r="BW135" s="12">
        <v>0</v>
      </c>
      <c r="BX135" s="12">
        <v>0</v>
      </c>
      <c r="BY135" s="12">
        <v>0</v>
      </c>
      <c r="BZ135" s="12">
        <v>0</v>
      </c>
      <c r="CA135" s="12">
        <v>0</v>
      </c>
    </row>
    <row r="136" spans="1:79" x14ac:dyDescent="0.2">
      <c r="A136" s="12" t="s">
        <v>120</v>
      </c>
      <c r="B136" s="12" t="s">
        <v>1320</v>
      </c>
      <c r="C136" s="12" t="s">
        <v>1320</v>
      </c>
      <c r="D136" s="22" t="s">
        <v>405</v>
      </c>
      <c r="E136" s="22" t="s">
        <v>161</v>
      </c>
      <c r="F136" s="22" t="s">
        <v>800</v>
      </c>
      <c r="G136" s="22" t="s">
        <v>801</v>
      </c>
      <c r="H136" s="22" t="s">
        <v>150</v>
      </c>
      <c r="I136" s="22" t="s">
        <v>151</v>
      </c>
      <c r="J136" s="22" t="s">
        <v>162</v>
      </c>
      <c r="K136" s="22" t="s">
        <v>1212</v>
      </c>
      <c r="L136" s="54" t="s">
        <v>153</v>
      </c>
      <c r="M136" s="23" t="s">
        <v>153</v>
      </c>
      <c r="N136" s="24" t="s">
        <v>153</v>
      </c>
      <c r="O136" s="23" t="s">
        <v>153</v>
      </c>
      <c r="P136" s="23" t="s">
        <v>153</v>
      </c>
      <c r="Q136" s="23" t="s">
        <v>153</v>
      </c>
      <c r="R136" s="23" t="s">
        <v>153</v>
      </c>
      <c r="S136" s="23" t="s">
        <v>153</v>
      </c>
      <c r="T136" s="23" t="s">
        <v>153</v>
      </c>
      <c r="U136" s="24" t="s">
        <v>153</v>
      </c>
      <c r="V136" s="54" t="s">
        <v>153</v>
      </c>
      <c r="W136" s="23" t="s">
        <v>153</v>
      </c>
      <c r="X136" s="23" t="s">
        <v>153</v>
      </c>
      <c r="Y136" s="23" t="s">
        <v>153</v>
      </c>
      <c r="Z136" s="23" t="s">
        <v>153</v>
      </c>
      <c r="AA136" s="23" t="s">
        <v>153</v>
      </c>
      <c r="AB136" s="24" t="s">
        <v>153</v>
      </c>
      <c r="AC136" s="23" t="s">
        <v>153</v>
      </c>
      <c r="AD136" s="23" t="s">
        <v>153</v>
      </c>
      <c r="AE136" s="24" t="s">
        <v>156</v>
      </c>
      <c r="AF136" s="24" t="s">
        <v>156</v>
      </c>
      <c r="AG136" s="23" t="s">
        <v>153</v>
      </c>
      <c r="AH136" s="23" t="s">
        <v>153</v>
      </c>
      <c r="AI136" s="24" t="s">
        <v>153</v>
      </c>
      <c r="AJ136" s="23" t="s">
        <v>153</v>
      </c>
      <c r="AK136" s="23" t="s">
        <v>153</v>
      </c>
      <c r="AL136" s="23" t="s">
        <v>153</v>
      </c>
      <c r="AM136" s="23" t="s">
        <v>153</v>
      </c>
      <c r="AN136" s="23" t="s">
        <v>153</v>
      </c>
      <c r="AO136" s="23" t="s">
        <v>153</v>
      </c>
      <c r="AP136" s="23">
        <f>VALUE(3)</f>
        <v>3</v>
      </c>
      <c r="AQ136" s="23">
        <f>VALUE(0)</f>
        <v>0</v>
      </c>
      <c r="AR136" s="23">
        <f>VALUE(0)</f>
        <v>0</v>
      </c>
      <c r="AS136" s="23">
        <f>VALUE(0)</f>
        <v>0</v>
      </c>
      <c r="AT136" s="23">
        <f>VALUE(0)</f>
        <v>0</v>
      </c>
      <c r="AU136" s="23">
        <f>VALUE(0)</f>
        <v>0</v>
      </c>
      <c r="AV136" s="23">
        <f>VALUE(0)</f>
        <v>0</v>
      </c>
      <c r="AW136" s="23">
        <f>VALUE(0)</f>
        <v>0</v>
      </c>
      <c r="AX136" s="23" t="s">
        <v>171</v>
      </c>
      <c r="AY136" s="23" t="s">
        <v>406</v>
      </c>
      <c r="AZ136" s="23">
        <f>VALUE(0)</f>
        <v>0</v>
      </c>
      <c r="BA136" s="23">
        <f>VALUE(0)</f>
        <v>0</v>
      </c>
      <c r="BB136" s="23">
        <f>VALUE(0)</f>
        <v>0</v>
      </c>
      <c r="BC136" s="23">
        <f>VALUE(0)</f>
        <v>0</v>
      </c>
      <c r="BD136" s="23">
        <f>VALUE(0)</f>
        <v>0</v>
      </c>
      <c r="BE136" s="23">
        <f>VALUE(0)</f>
        <v>0</v>
      </c>
      <c r="BF136" s="23">
        <f>VALUE(0)</f>
        <v>0</v>
      </c>
      <c r="BG136" s="23">
        <f>VALUE(0)</f>
        <v>0</v>
      </c>
      <c r="BH136" s="23">
        <f>VALUE(0)</f>
        <v>0</v>
      </c>
      <c r="BI136" s="23">
        <f>VALUE(0)</f>
        <v>0</v>
      </c>
      <c r="BJ136" s="23">
        <f>VALUE(0)</f>
        <v>0</v>
      </c>
      <c r="BK136" s="12">
        <f>$AX$136*24</f>
        <v>5.833333333333333</v>
      </c>
      <c r="BL136" s="12">
        <f>$AY$136*24</f>
        <v>9.9</v>
      </c>
      <c r="BM136" s="12">
        <f>$BJ$136*24</f>
        <v>0</v>
      </c>
      <c r="BN136" s="12">
        <f>VALUE($I$136)/100</f>
        <v>1</v>
      </c>
      <c r="BO136" s="12">
        <v>0</v>
      </c>
      <c r="BP136" s="12">
        <v>0</v>
      </c>
      <c r="BQ136" s="12">
        <v>0</v>
      </c>
      <c r="BR136" s="12">
        <v>0</v>
      </c>
      <c r="BS136" s="12">
        <v>0</v>
      </c>
      <c r="BT136" s="12">
        <v>0</v>
      </c>
      <c r="BU136" s="12">
        <v>0</v>
      </c>
      <c r="BV136" s="12">
        <v>0</v>
      </c>
      <c r="BW136" s="12">
        <v>0</v>
      </c>
      <c r="BX136" s="12">
        <v>0</v>
      </c>
      <c r="BY136" s="12">
        <v>0</v>
      </c>
      <c r="BZ136" s="12">
        <v>0</v>
      </c>
      <c r="CA136" s="12">
        <v>0</v>
      </c>
    </row>
    <row r="137" spans="1:79" x14ac:dyDescent="0.2">
      <c r="A137" s="12" t="s">
        <v>120</v>
      </c>
      <c r="B137" s="12" t="s">
        <v>1320</v>
      </c>
      <c r="C137" s="12" t="s">
        <v>1320</v>
      </c>
      <c r="D137" s="22" t="s">
        <v>383</v>
      </c>
      <c r="E137" s="22" t="s">
        <v>161</v>
      </c>
      <c r="F137" s="22" t="s">
        <v>802</v>
      </c>
      <c r="G137" s="22" t="s">
        <v>803</v>
      </c>
      <c r="H137" s="22" t="s">
        <v>166</v>
      </c>
      <c r="I137" s="22" t="s">
        <v>151</v>
      </c>
      <c r="J137" s="22" t="s">
        <v>162</v>
      </c>
      <c r="K137" s="22" t="s">
        <v>1212</v>
      </c>
      <c r="L137" s="54" t="s">
        <v>153</v>
      </c>
      <c r="M137" s="23" t="s">
        <v>153</v>
      </c>
      <c r="N137" s="24" t="s">
        <v>153</v>
      </c>
      <c r="O137" s="23" t="s">
        <v>153</v>
      </c>
      <c r="P137" s="23" t="s">
        <v>153</v>
      </c>
      <c r="Q137" s="23" t="s">
        <v>153</v>
      </c>
      <c r="R137" s="23" t="s">
        <v>153</v>
      </c>
      <c r="S137" s="23" t="s">
        <v>153</v>
      </c>
      <c r="T137" s="23" t="s">
        <v>153</v>
      </c>
      <c r="U137" s="24" t="s">
        <v>153</v>
      </c>
      <c r="V137" s="54" t="s">
        <v>153</v>
      </c>
      <c r="W137" s="23" t="s">
        <v>153</v>
      </c>
      <c r="X137" s="23" t="s">
        <v>153</v>
      </c>
      <c r="Y137" s="23" t="s">
        <v>153</v>
      </c>
      <c r="Z137" s="24" t="s">
        <v>156</v>
      </c>
      <c r="AA137" s="24" t="s">
        <v>156</v>
      </c>
      <c r="AB137" s="24" t="s">
        <v>153</v>
      </c>
      <c r="AC137" s="29" t="s">
        <v>163</v>
      </c>
      <c r="AD137" s="29" t="s">
        <v>163</v>
      </c>
      <c r="AE137" s="29" t="s">
        <v>163</v>
      </c>
      <c r="AF137" s="29" t="s">
        <v>163</v>
      </c>
      <c r="AG137" s="29" t="s">
        <v>163</v>
      </c>
      <c r="AH137" s="29" t="s">
        <v>163</v>
      </c>
      <c r="AI137" s="24" t="s">
        <v>153</v>
      </c>
      <c r="AJ137" s="23" t="s">
        <v>153</v>
      </c>
      <c r="AK137" s="23" t="s">
        <v>153</v>
      </c>
      <c r="AL137" s="23" t="s">
        <v>153</v>
      </c>
      <c r="AM137" s="23" t="s">
        <v>153</v>
      </c>
      <c r="AN137" s="23" t="s">
        <v>153</v>
      </c>
      <c r="AO137" s="23" t="s">
        <v>153</v>
      </c>
      <c r="AP137" s="23">
        <f>VALUE(3)</f>
        <v>3</v>
      </c>
      <c r="AQ137" s="23">
        <f>VALUE(0)</f>
        <v>0</v>
      </c>
      <c r="AR137" s="23">
        <f>VALUE(6)</f>
        <v>6</v>
      </c>
      <c r="AS137" s="23">
        <f>VALUE(0)</f>
        <v>0</v>
      </c>
      <c r="AT137" s="23">
        <f>VALUE(0)</f>
        <v>0</v>
      </c>
      <c r="AU137" s="23">
        <f>VALUE(0)</f>
        <v>0</v>
      </c>
      <c r="AV137" s="23">
        <f>VALUE(6)</f>
        <v>6</v>
      </c>
      <c r="AW137" s="23">
        <f>VALUE(3)</f>
        <v>3</v>
      </c>
      <c r="AX137" s="23" t="s">
        <v>1215</v>
      </c>
      <c r="AY137" s="23">
        <f>VALUE(0)</f>
        <v>0</v>
      </c>
      <c r="AZ137" s="23">
        <f>VALUE(0)</f>
        <v>0</v>
      </c>
      <c r="BA137" s="23">
        <f>VALUE(0)</f>
        <v>0</v>
      </c>
      <c r="BB137" s="23">
        <f>VALUE(0)</f>
        <v>0</v>
      </c>
      <c r="BC137" s="23">
        <f>VALUE(0)</f>
        <v>0</v>
      </c>
      <c r="BD137" s="23">
        <f>VALUE(0)</f>
        <v>0</v>
      </c>
      <c r="BE137" s="23">
        <f>VALUE(0)</f>
        <v>0</v>
      </c>
      <c r="BF137" s="23">
        <f>VALUE(0)</f>
        <v>0</v>
      </c>
      <c r="BG137" s="23">
        <f>VALUE(0)</f>
        <v>0</v>
      </c>
      <c r="BH137" s="23">
        <f>VALUE(0)</f>
        <v>0</v>
      </c>
      <c r="BI137" s="23">
        <f>VALUE(0)</f>
        <v>0</v>
      </c>
      <c r="BJ137" s="23">
        <f>VALUE(0)</f>
        <v>0</v>
      </c>
      <c r="BK137" s="12">
        <f>$AX$137*24</f>
        <v>27</v>
      </c>
      <c r="BL137" s="12">
        <f>$AY$137*24</f>
        <v>0</v>
      </c>
      <c r="BM137" s="12">
        <f>$BJ$137*24</f>
        <v>0</v>
      </c>
      <c r="BN137" s="12">
        <f>VALUE($I$137)/100</f>
        <v>1</v>
      </c>
      <c r="BO137" s="12">
        <v>0</v>
      </c>
      <c r="BP137" s="12">
        <v>0</v>
      </c>
      <c r="BQ137" s="12">
        <v>0</v>
      </c>
      <c r="BR137" s="12">
        <v>0</v>
      </c>
      <c r="BS137" s="12">
        <v>0</v>
      </c>
      <c r="BT137" s="12">
        <v>6</v>
      </c>
      <c r="BU137" s="12">
        <v>0</v>
      </c>
      <c r="BV137" s="12">
        <v>0</v>
      </c>
      <c r="BW137" s="12">
        <v>0</v>
      </c>
      <c r="BX137" s="12">
        <v>0</v>
      </c>
      <c r="BY137" s="12">
        <v>0</v>
      </c>
      <c r="BZ137" s="12">
        <v>0</v>
      </c>
      <c r="CA137" s="12">
        <v>0</v>
      </c>
    </row>
    <row r="138" spans="1:79" x14ac:dyDescent="0.2">
      <c r="A138" s="12" t="s">
        <v>120</v>
      </c>
      <c r="B138" s="12" t="s">
        <v>1320</v>
      </c>
      <c r="C138" s="12" t="s">
        <v>1320</v>
      </c>
      <c r="D138" s="22" t="s">
        <v>397</v>
      </c>
      <c r="E138" s="22" t="s">
        <v>161</v>
      </c>
      <c r="F138" s="22" t="s">
        <v>804</v>
      </c>
      <c r="G138" s="22" t="s">
        <v>805</v>
      </c>
      <c r="H138" s="22" t="s">
        <v>150</v>
      </c>
      <c r="I138" s="22" t="s">
        <v>151</v>
      </c>
      <c r="J138" s="22" t="s">
        <v>162</v>
      </c>
      <c r="K138" s="22" t="s">
        <v>1212</v>
      </c>
      <c r="L138" s="54" t="s">
        <v>153</v>
      </c>
      <c r="M138" s="28" t="s">
        <v>163</v>
      </c>
      <c r="N138" s="24" t="s">
        <v>153</v>
      </c>
      <c r="O138" s="28" t="s">
        <v>163</v>
      </c>
      <c r="P138" s="28" t="s">
        <v>163</v>
      </c>
      <c r="Q138" s="28" t="s">
        <v>163</v>
      </c>
      <c r="R138" s="28" t="s">
        <v>163</v>
      </c>
      <c r="S138" s="28" t="s">
        <v>163</v>
      </c>
      <c r="T138" s="28" t="s">
        <v>163</v>
      </c>
      <c r="U138" s="24" t="s">
        <v>153</v>
      </c>
      <c r="V138" s="54" t="s">
        <v>153</v>
      </c>
      <c r="W138" s="28" t="s">
        <v>163</v>
      </c>
      <c r="X138" s="28" t="s">
        <v>163</v>
      </c>
      <c r="Y138" s="28" t="s">
        <v>163</v>
      </c>
      <c r="Z138" s="28" t="s">
        <v>163</v>
      </c>
      <c r="AA138" s="28" t="s">
        <v>163</v>
      </c>
      <c r="AB138" s="24" t="s">
        <v>153</v>
      </c>
      <c r="AC138" s="23" t="s">
        <v>153</v>
      </c>
      <c r="AD138" s="23" t="s">
        <v>153</v>
      </c>
      <c r="AE138" s="23" t="s">
        <v>153</v>
      </c>
      <c r="AF138" s="23" t="s">
        <v>153</v>
      </c>
      <c r="AG138" s="23" t="s">
        <v>153</v>
      </c>
      <c r="AH138" s="23" t="s">
        <v>153</v>
      </c>
      <c r="AI138" s="24" t="s">
        <v>153</v>
      </c>
      <c r="AJ138" s="23" t="s">
        <v>153</v>
      </c>
      <c r="AK138" s="23" t="s">
        <v>153</v>
      </c>
      <c r="AL138" s="23" t="s">
        <v>153</v>
      </c>
      <c r="AM138" s="23" t="s">
        <v>153</v>
      </c>
      <c r="AN138" s="23" t="s">
        <v>153</v>
      </c>
      <c r="AO138" s="23" t="s">
        <v>153</v>
      </c>
      <c r="AP138" s="23">
        <f>VALUE(0)</f>
        <v>0</v>
      </c>
      <c r="AQ138" s="23">
        <f>VALUE(0)</f>
        <v>0</v>
      </c>
      <c r="AR138" s="23">
        <f>VALUE(0)</f>
        <v>0</v>
      </c>
      <c r="AS138" s="23">
        <f>VALUE(0)</f>
        <v>0</v>
      </c>
      <c r="AT138" s="23">
        <f>VALUE(0)</f>
        <v>0</v>
      </c>
      <c r="AU138" s="23">
        <f>VALUE(12)</f>
        <v>12</v>
      </c>
      <c r="AV138" s="23">
        <f>VALUE(5)</f>
        <v>5</v>
      </c>
      <c r="AW138" s="23">
        <f>VALUE(0)</f>
        <v>0</v>
      </c>
      <c r="AX138" s="23">
        <f>VALUE(0)</f>
        <v>0</v>
      </c>
      <c r="AY138" s="23">
        <f>VALUE(0)</f>
        <v>0</v>
      </c>
      <c r="AZ138" s="23">
        <f>VALUE(0)</f>
        <v>0</v>
      </c>
      <c r="BA138" s="23">
        <f>VALUE(0)</f>
        <v>0</v>
      </c>
      <c r="BB138" s="23">
        <f>VALUE(0)</f>
        <v>0</v>
      </c>
      <c r="BC138" s="23">
        <f>VALUE(0)</f>
        <v>0</v>
      </c>
      <c r="BD138" s="23">
        <f>VALUE(0)</f>
        <v>0</v>
      </c>
      <c r="BE138" s="23">
        <f>VALUE(0)</f>
        <v>0</v>
      </c>
      <c r="BF138" s="23">
        <f>VALUE(0)</f>
        <v>0</v>
      </c>
      <c r="BG138" s="23">
        <f>VALUE(0)</f>
        <v>0</v>
      </c>
      <c r="BH138" s="23">
        <f>VALUE(0)</f>
        <v>0</v>
      </c>
      <c r="BI138" s="23">
        <f>VALUE(0)</f>
        <v>0</v>
      </c>
      <c r="BJ138" s="23">
        <f>VALUE(0)</f>
        <v>0</v>
      </c>
      <c r="BK138" s="12">
        <f>$AX$138*24</f>
        <v>0</v>
      </c>
      <c r="BL138" s="12">
        <f>$AY$138*24</f>
        <v>0</v>
      </c>
      <c r="BM138" s="12">
        <f>$BJ$138*24</f>
        <v>0</v>
      </c>
      <c r="BN138" s="12">
        <f>VALUE($I$138)/100</f>
        <v>1</v>
      </c>
      <c r="BO138" s="12">
        <v>0</v>
      </c>
      <c r="BP138" s="12">
        <v>0</v>
      </c>
      <c r="BQ138" s="12">
        <v>0</v>
      </c>
      <c r="BR138" s="12">
        <v>0</v>
      </c>
      <c r="BS138" s="12">
        <v>0</v>
      </c>
      <c r="BT138" s="12">
        <v>0</v>
      </c>
      <c r="BU138" s="12">
        <v>0</v>
      </c>
      <c r="BV138" s="12">
        <v>0</v>
      </c>
      <c r="BW138" s="12">
        <v>0</v>
      </c>
      <c r="BX138" s="12">
        <v>0</v>
      </c>
      <c r="BY138" s="12">
        <v>0</v>
      </c>
      <c r="BZ138" s="12">
        <v>0</v>
      </c>
      <c r="CA138" s="12">
        <v>0</v>
      </c>
    </row>
    <row r="139" spans="1:79" x14ac:dyDescent="0.2">
      <c r="A139" s="12" t="s">
        <v>120</v>
      </c>
      <c r="B139" s="12" t="s">
        <v>1320</v>
      </c>
      <c r="C139" s="12" t="s">
        <v>1320</v>
      </c>
      <c r="D139" s="22" t="s">
        <v>397</v>
      </c>
      <c r="E139" s="22" t="s">
        <v>161</v>
      </c>
      <c r="F139" s="22" t="s">
        <v>806</v>
      </c>
      <c r="G139" s="22" t="s">
        <v>807</v>
      </c>
      <c r="H139" s="22" t="s">
        <v>190</v>
      </c>
      <c r="I139" s="22" t="s">
        <v>151</v>
      </c>
      <c r="J139" s="22" t="s">
        <v>162</v>
      </c>
      <c r="K139" s="22" t="s">
        <v>1212</v>
      </c>
      <c r="L139" s="54" t="s">
        <v>153</v>
      </c>
      <c r="M139" s="23" t="s">
        <v>153</v>
      </c>
      <c r="N139" s="24" t="s">
        <v>153</v>
      </c>
      <c r="O139" s="23" t="s">
        <v>153</v>
      </c>
      <c r="P139" s="23" t="s">
        <v>153</v>
      </c>
      <c r="Q139" s="23" t="s">
        <v>153</v>
      </c>
      <c r="R139" s="23" t="s">
        <v>153</v>
      </c>
      <c r="S139" s="23" t="s">
        <v>153</v>
      </c>
      <c r="T139" s="23" t="s">
        <v>153</v>
      </c>
      <c r="U139" s="24" t="s">
        <v>153</v>
      </c>
      <c r="V139" s="54" t="s">
        <v>153</v>
      </c>
      <c r="W139" s="23" t="s">
        <v>153</v>
      </c>
      <c r="X139" s="23" t="s">
        <v>153</v>
      </c>
      <c r="Y139" s="23" t="s">
        <v>153</v>
      </c>
      <c r="Z139" s="23" t="s">
        <v>153</v>
      </c>
      <c r="AA139" s="23" t="s">
        <v>153</v>
      </c>
      <c r="AB139" s="40" t="s">
        <v>153</v>
      </c>
      <c r="AC139" s="40" t="s">
        <v>153</v>
      </c>
      <c r="AD139" s="40" t="s">
        <v>153</v>
      </c>
      <c r="AE139" s="40" t="s">
        <v>153</v>
      </c>
      <c r="AF139" s="40" t="s">
        <v>153</v>
      </c>
      <c r="AG139" s="40" t="s">
        <v>153</v>
      </c>
      <c r="AH139" s="40" t="s">
        <v>153</v>
      </c>
      <c r="AI139" s="40" t="s">
        <v>153</v>
      </c>
      <c r="AJ139" s="40" t="s">
        <v>153</v>
      </c>
      <c r="AK139" s="40" t="s">
        <v>153</v>
      </c>
      <c r="AL139" s="40" t="s">
        <v>153</v>
      </c>
      <c r="AM139" s="40" t="s">
        <v>153</v>
      </c>
      <c r="AN139" s="40" t="s">
        <v>153</v>
      </c>
      <c r="AO139" s="40" t="s">
        <v>153</v>
      </c>
      <c r="AP139" s="23">
        <f>VALUE(0)</f>
        <v>0</v>
      </c>
      <c r="AQ139" s="23">
        <f>VALUE(0)</f>
        <v>0</v>
      </c>
      <c r="AR139" s="23">
        <f>VALUE(0)</f>
        <v>0</v>
      </c>
      <c r="AS139" s="23">
        <f>VALUE(0)</f>
        <v>0</v>
      </c>
      <c r="AT139" s="23">
        <f>VALUE(0)</f>
        <v>0</v>
      </c>
      <c r="AU139" s="23">
        <f>VALUE(0)</f>
        <v>0</v>
      </c>
      <c r="AV139" s="23">
        <f>VALUE(3)</f>
        <v>3</v>
      </c>
      <c r="AW139" s="23">
        <f>VALUE(0)</f>
        <v>0</v>
      </c>
      <c r="AX139" s="23">
        <f>VALUE(0)</f>
        <v>0</v>
      </c>
      <c r="AY139" s="23">
        <f>VALUE(0)</f>
        <v>0</v>
      </c>
      <c r="AZ139" s="23">
        <f>VALUE(0)</f>
        <v>0</v>
      </c>
      <c r="BA139" s="23">
        <f>VALUE(0)</f>
        <v>0</v>
      </c>
      <c r="BB139" s="23">
        <f>VALUE(0)</f>
        <v>0</v>
      </c>
      <c r="BC139" s="23">
        <f>VALUE(0)</f>
        <v>0</v>
      </c>
      <c r="BD139" s="23">
        <f>VALUE(0)</f>
        <v>0</v>
      </c>
      <c r="BE139" s="23">
        <f>VALUE(0)</f>
        <v>0</v>
      </c>
      <c r="BF139" s="23">
        <f>VALUE(0)</f>
        <v>0</v>
      </c>
      <c r="BG139" s="23">
        <f>VALUE(0)</f>
        <v>0</v>
      </c>
      <c r="BH139" s="23">
        <f>VALUE(0)</f>
        <v>0</v>
      </c>
      <c r="BI139" s="23">
        <f>VALUE(0)</f>
        <v>0</v>
      </c>
      <c r="BJ139" s="23">
        <f>VALUE(0)</f>
        <v>0</v>
      </c>
      <c r="BK139" s="12">
        <f>$AX$139*24</f>
        <v>0</v>
      </c>
      <c r="BL139" s="12">
        <f>$AY$139*24</f>
        <v>0</v>
      </c>
      <c r="BM139" s="12">
        <f>$BJ$139*24</f>
        <v>0</v>
      </c>
      <c r="BN139" s="12">
        <f>VALUE($I$139)/100</f>
        <v>1</v>
      </c>
      <c r="BO139" s="12">
        <v>0</v>
      </c>
      <c r="BP139" s="12">
        <v>0</v>
      </c>
      <c r="BQ139" s="12">
        <v>0</v>
      </c>
      <c r="BR139" s="12">
        <v>0</v>
      </c>
      <c r="BS139" s="12">
        <v>0</v>
      </c>
      <c r="BT139" s="12">
        <v>0</v>
      </c>
      <c r="BU139" s="12">
        <v>0</v>
      </c>
      <c r="BV139" s="12">
        <v>0</v>
      </c>
      <c r="BW139" s="12">
        <v>0</v>
      </c>
      <c r="BX139" s="12">
        <v>0</v>
      </c>
      <c r="BY139" s="12">
        <v>0</v>
      </c>
      <c r="BZ139" s="12">
        <v>0</v>
      </c>
      <c r="CA139" s="12">
        <v>0</v>
      </c>
    </row>
    <row r="140" spans="1:79" x14ac:dyDescent="0.2">
      <c r="A140" s="12" t="s">
        <v>120</v>
      </c>
      <c r="B140" s="12" t="s">
        <v>1320</v>
      </c>
      <c r="C140" s="12" t="s">
        <v>1320</v>
      </c>
      <c r="D140" s="22" t="s">
        <v>398</v>
      </c>
      <c r="E140" s="22" t="s">
        <v>161</v>
      </c>
      <c r="F140" s="22" t="s">
        <v>808</v>
      </c>
      <c r="G140" s="22" t="s">
        <v>809</v>
      </c>
      <c r="H140" s="22" t="s">
        <v>166</v>
      </c>
      <c r="I140" s="22" t="s">
        <v>194</v>
      </c>
      <c r="J140" s="22" t="s">
        <v>162</v>
      </c>
      <c r="K140" s="22" t="s">
        <v>1212</v>
      </c>
      <c r="L140" s="54" t="s">
        <v>156</v>
      </c>
      <c r="M140" s="24" t="s">
        <v>156</v>
      </c>
      <c r="N140" s="24" t="s">
        <v>153</v>
      </c>
      <c r="O140" s="23" t="s">
        <v>153</v>
      </c>
      <c r="P140" s="23" t="s">
        <v>153</v>
      </c>
      <c r="Q140" s="23" t="s">
        <v>153</v>
      </c>
      <c r="R140" s="23" t="s">
        <v>153</v>
      </c>
      <c r="S140" s="23" t="s">
        <v>153</v>
      </c>
      <c r="T140" s="23" t="s">
        <v>153</v>
      </c>
      <c r="U140" s="24" t="s">
        <v>153</v>
      </c>
      <c r="V140" s="54" t="s">
        <v>153</v>
      </c>
      <c r="W140" s="23" t="s">
        <v>153</v>
      </c>
      <c r="X140" s="23" t="s">
        <v>153</v>
      </c>
      <c r="Y140" s="23" t="s">
        <v>153</v>
      </c>
      <c r="Z140" s="23" t="s">
        <v>153</v>
      </c>
      <c r="AA140" s="23" t="s">
        <v>153</v>
      </c>
      <c r="AB140" s="24" t="s">
        <v>153</v>
      </c>
      <c r="AC140" s="23" t="s">
        <v>153</v>
      </c>
      <c r="AD140" s="23" t="s">
        <v>153</v>
      </c>
      <c r="AE140" s="23" t="s">
        <v>153</v>
      </c>
      <c r="AF140" s="23" t="s">
        <v>153</v>
      </c>
      <c r="AG140" s="23" t="s">
        <v>153</v>
      </c>
      <c r="AH140" s="23" t="s">
        <v>153</v>
      </c>
      <c r="AI140" s="24" t="s">
        <v>153</v>
      </c>
      <c r="AJ140" s="24" t="s">
        <v>195</v>
      </c>
      <c r="AK140" s="24" t="s">
        <v>195</v>
      </c>
      <c r="AL140" s="24" t="s">
        <v>195</v>
      </c>
      <c r="AM140" s="24" t="s">
        <v>195</v>
      </c>
      <c r="AN140" s="24" t="s">
        <v>195</v>
      </c>
      <c r="AO140" s="24" t="s">
        <v>195</v>
      </c>
      <c r="AP140" s="23">
        <f>VALUE(0)</f>
        <v>0</v>
      </c>
      <c r="AQ140" s="23">
        <f>VALUE(0)</f>
        <v>0</v>
      </c>
      <c r="AR140" s="23">
        <f>VALUE(0)</f>
        <v>0</v>
      </c>
      <c r="AS140" s="23">
        <f>VALUE(0)</f>
        <v>0</v>
      </c>
      <c r="AT140" s="23">
        <f>VALUE(0)</f>
        <v>0</v>
      </c>
      <c r="AU140" s="23">
        <f>VALUE(0)</f>
        <v>0</v>
      </c>
      <c r="AV140" s="23">
        <f>VALUE(1.5)</f>
        <v>1.5</v>
      </c>
      <c r="AW140" s="23">
        <f>VALUE(3)</f>
        <v>3</v>
      </c>
      <c r="AX140" s="23" t="s">
        <v>1216</v>
      </c>
      <c r="AY140" s="23">
        <f>VALUE(0)</f>
        <v>0</v>
      </c>
      <c r="AZ140" s="23">
        <f>VALUE(0)</f>
        <v>0</v>
      </c>
      <c r="BA140" s="23">
        <f>VALUE(0)</f>
        <v>0</v>
      </c>
      <c r="BB140" s="23">
        <f>VALUE(0)</f>
        <v>0</v>
      </c>
      <c r="BC140" s="23">
        <f>VALUE(0)</f>
        <v>0</v>
      </c>
      <c r="BD140" s="23">
        <f>VALUE(0)</f>
        <v>0</v>
      </c>
      <c r="BE140" s="23">
        <f>VALUE(0)</f>
        <v>0</v>
      </c>
      <c r="BF140" s="23">
        <f>VALUE(0)</f>
        <v>0</v>
      </c>
      <c r="BG140" s="23">
        <f>VALUE(0)</f>
        <v>0</v>
      </c>
      <c r="BH140" s="23">
        <f>VALUE(0)</f>
        <v>0</v>
      </c>
      <c r="BI140" s="23">
        <f>VALUE(0)</f>
        <v>0</v>
      </c>
      <c r="BJ140" s="23">
        <f>VALUE(0)</f>
        <v>0</v>
      </c>
      <c r="BK140" s="12">
        <f>$AX$140*24</f>
        <v>13.833333333333336</v>
      </c>
      <c r="BL140" s="12">
        <f>$AY$140*24</f>
        <v>0</v>
      </c>
      <c r="BM140" s="12">
        <f>$BJ$140*24</f>
        <v>0</v>
      </c>
      <c r="BN140" s="12">
        <f>VALUE($I$140)/100</f>
        <v>0.8</v>
      </c>
      <c r="BO140" s="12">
        <v>0</v>
      </c>
      <c r="BP140" s="12">
        <v>0</v>
      </c>
      <c r="BQ140" s="12">
        <v>0</v>
      </c>
      <c r="BR140" s="12">
        <v>0</v>
      </c>
      <c r="BS140" s="12">
        <v>0</v>
      </c>
      <c r="BT140" s="12">
        <v>0</v>
      </c>
      <c r="BU140" s="12">
        <v>0</v>
      </c>
      <c r="BV140" s="12">
        <v>0</v>
      </c>
      <c r="BW140" s="12">
        <v>0</v>
      </c>
      <c r="BX140" s="12">
        <v>0</v>
      </c>
      <c r="BY140" s="12">
        <v>0</v>
      </c>
      <c r="BZ140" s="12">
        <v>0</v>
      </c>
      <c r="CA140" s="12">
        <v>0</v>
      </c>
    </row>
    <row r="141" spans="1:79" x14ac:dyDescent="0.2">
      <c r="A141" s="12" t="s">
        <v>120</v>
      </c>
      <c r="B141" s="12" t="s">
        <v>1320</v>
      </c>
      <c r="C141" s="12" t="s">
        <v>1320</v>
      </c>
      <c r="D141" s="22" t="s">
        <v>1217</v>
      </c>
      <c r="E141" s="22" t="s">
        <v>159</v>
      </c>
      <c r="F141" s="22" t="s">
        <v>810</v>
      </c>
      <c r="G141" s="22" t="s">
        <v>811</v>
      </c>
      <c r="H141" s="22" t="s">
        <v>150</v>
      </c>
      <c r="I141" s="22" t="s">
        <v>151</v>
      </c>
      <c r="J141" s="22" t="s">
        <v>162</v>
      </c>
      <c r="K141" s="22" t="s">
        <v>1212</v>
      </c>
      <c r="L141" s="54" t="s">
        <v>153</v>
      </c>
      <c r="M141" s="23" t="s">
        <v>391</v>
      </c>
      <c r="N141" s="24" t="s">
        <v>153</v>
      </c>
      <c r="O141" s="28" t="s">
        <v>163</v>
      </c>
      <c r="P141" s="28" t="s">
        <v>163</v>
      </c>
      <c r="Q141" s="28" t="s">
        <v>163</v>
      </c>
      <c r="R141" s="28" t="s">
        <v>163</v>
      </c>
      <c r="S141" s="28" t="s">
        <v>163</v>
      </c>
      <c r="T141" s="28" t="s">
        <v>163</v>
      </c>
      <c r="U141" s="24" t="s">
        <v>153</v>
      </c>
      <c r="V141" s="54" t="s">
        <v>153</v>
      </c>
      <c r="W141" s="23" t="s">
        <v>260</v>
      </c>
      <c r="X141" s="23" t="s">
        <v>260</v>
      </c>
      <c r="Y141" s="23" t="s">
        <v>260</v>
      </c>
      <c r="Z141" s="23" t="s">
        <v>260</v>
      </c>
      <c r="AA141" s="23" t="s">
        <v>260</v>
      </c>
      <c r="AB141" s="24" t="s">
        <v>153</v>
      </c>
      <c r="AC141" s="23" t="s">
        <v>260</v>
      </c>
      <c r="AD141" s="23" t="s">
        <v>260</v>
      </c>
      <c r="AE141" s="23" t="s">
        <v>260</v>
      </c>
      <c r="AF141" s="23" t="s">
        <v>260</v>
      </c>
      <c r="AG141" s="24" t="s">
        <v>156</v>
      </c>
      <c r="AH141" s="24" t="s">
        <v>156</v>
      </c>
      <c r="AI141" s="24" t="s">
        <v>153</v>
      </c>
      <c r="AJ141" s="23" t="s">
        <v>260</v>
      </c>
      <c r="AK141" s="23" t="s">
        <v>260</v>
      </c>
      <c r="AL141" s="23" t="s">
        <v>260</v>
      </c>
      <c r="AM141" s="23" t="s">
        <v>260</v>
      </c>
      <c r="AN141" s="23" t="s">
        <v>260</v>
      </c>
      <c r="AO141" s="23" t="s">
        <v>260</v>
      </c>
      <c r="AP141" s="23">
        <f>VALUE(2)</f>
        <v>2</v>
      </c>
      <c r="AQ141" s="23">
        <f>VALUE(0)</f>
        <v>0</v>
      </c>
      <c r="AR141" s="23">
        <f>VALUE(0)</f>
        <v>0</v>
      </c>
      <c r="AS141" s="23">
        <f>VALUE(0)</f>
        <v>0</v>
      </c>
      <c r="AT141" s="23">
        <f>VALUE(0)</f>
        <v>0</v>
      </c>
      <c r="AU141" s="23">
        <f>VALUE(6)</f>
        <v>6</v>
      </c>
      <c r="AV141" s="23">
        <f>VALUE(0)</f>
        <v>0</v>
      </c>
      <c r="AW141" s="23">
        <f>VALUE(0)</f>
        <v>0</v>
      </c>
      <c r="AX141" s="23" t="s">
        <v>171</v>
      </c>
      <c r="AY141" s="23" t="s">
        <v>407</v>
      </c>
      <c r="AZ141" s="23">
        <f>VALUE(0)</f>
        <v>0</v>
      </c>
      <c r="BA141" s="23">
        <f>VALUE(0)</f>
        <v>0</v>
      </c>
      <c r="BB141" s="23">
        <f>VALUE(0)</f>
        <v>0</v>
      </c>
      <c r="BC141" s="23">
        <f>VALUE(0)</f>
        <v>0</v>
      </c>
      <c r="BD141" s="23">
        <f>VALUE(0)</f>
        <v>0</v>
      </c>
      <c r="BE141" s="23">
        <f>VALUE(0)</f>
        <v>0</v>
      </c>
      <c r="BF141" s="23">
        <f>VALUE(0)</f>
        <v>0</v>
      </c>
      <c r="BG141" s="23">
        <f>VALUE(0)</f>
        <v>0</v>
      </c>
      <c r="BH141" s="23">
        <f>VALUE(0)</f>
        <v>0</v>
      </c>
      <c r="BI141" s="23">
        <f>VALUE(0)</f>
        <v>0</v>
      </c>
      <c r="BJ141" s="23">
        <f>VALUE(0)</f>
        <v>0</v>
      </c>
      <c r="BK141" s="12">
        <f>$AX$141*24</f>
        <v>5.833333333333333</v>
      </c>
      <c r="BL141" s="12">
        <f>$AY$141*24</f>
        <v>1.2166666666666668</v>
      </c>
      <c r="BM141" s="12">
        <f>$BJ$141*24</f>
        <v>0</v>
      </c>
      <c r="BN141" s="12">
        <f>VALUE($I$141)/100</f>
        <v>1</v>
      </c>
      <c r="BO141" s="12">
        <v>0</v>
      </c>
      <c r="BP141" s="12">
        <v>0</v>
      </c>
      <c r="BQ141" s="12">
        <v>0</v>
      </c>
      <c r="BR141" s="12">
        <v>0</v>
      </c>
      <c r="BS141" s="12">
        <v>0</v>
      </c>
      <c r="BT141" s="12">
        <v>0</v>
      </c>
      <c r="BU141" s="12">
        <v>0</v>
      </c>
      <c r="BV141" s="12">
        <v>0</v>
      </c>
      <c r="BW141" s="12">
        <v>0</v>
      </c>
      <c r="BX141" s="12">
        <v>0</v>
      </c>
      <c r="BY141" s="12">
        <v>0</v>
      </c>
      <c r="BZ141" s="12">
        <v>0</v>
      </c>
      <c r="CA141" s="12">
        <v>0</v>
      </c>
    </row>
    <row r="142" spans="1:79" x14ac:dyDescent="0.2">
      <c r="A142" s="12" t="s">
        <v>120</v>
      </c>
      <c r="B142" s="12" t="s">
        <v>1320</v>
      </c>
      <c r="C142" s="12" t="s">
        <v>1320</v>
      </c>
      <c r="D142" s="22" t="s">
        <v>1218</v>
      </c>
      <c r="E142" s="22" t="s">
        <v>332</v>
      </c>
      <c r="F142" s="22" t="s">
        <v>812</v>
      </c>
      <c r="G142" s="22" t="s">
        <v>813</v>
      </c>
      <c r="H142" s="22" t="s">
        <v>150</v>
      </c>
      <c r="I142" s="22" t="s">
        <v>151</v>
      </c>
      <c r="J142" s="22" t="s">
        <v>162</v>
      </c>
      <c r="K142" s="22" t="s">
        <v>1212</v>
      </c>
      <c r="L142" s="54" t="s">
        <v>153</v>
      </c>
      <c r="M142" s="23" t="s">
        <v>398</v>
      </c>
      <c r="N142" s="24" t="s">
        <v>153</v>
      </c>
      <c r="O142" s="23" t="s">
        <v>375</v>
      </c>
      <c r="P142" s="23" t="s">
        <v>375</v>
      </c>
      <c r="Q142" s="23" t="s">
        <v>391</v>
      </c>
      <c r="R142" s="23" t="s">
        <v>391</v>
      </c>
      <c r="S142" s="23" t="s">
        <v>391</v>
      </c>
      <c r="T142" s="23" t="s">
        <v>391</v>
      </c>
      <c r="U142" s="24" t="s">
        <v>153</v>
      </c>
      <c r="V142" s="54" t="s">
        <v>153</v>
      </c>
      <c r="W142" s="25" t="s">
        <v>1219</v>
      </c>
      <c r="X142" s="24" t="s">
        <v>156</v>
      </c>
      <c r="Y142" s="24" t="s">
        <v>156</v>
      </c>
      <c r="Z142" s="23" t="s">
        <v>383</v>
      </c>
      <c r="AA142" s="23" t="s">
        <v>383</v>
      </c>
      <c r="AB142" s="24" t="s">
        <v>153</v>
      </c>
      <c r="AC142" s="23" t="s">
        <v>383</v>
      </c>
      <c r="AD142" s="23" t="s">
        <v>383</v>
      </c>
      <c r="AE142" s="23" t="s">
        <v>405</v>
      </c>
      <c r="AF142" s="23" t="s">
        <v>405</v>
      </c>
      <c r="AG142" s="23" t="s">
        <v>401</v>
      </c>
      <c r="AH142" s="23" t="s">
        <v>401</v>
      </c>
      <c r="AI142" s="24" t="s">
        <v>153</v>
      </c>
      <c r="AJ142" s="23" t="s">
        <v>398</v>
      </c>
      <c r="AK142" s="23" t="s">
        <v>398</v>
      </c>
      <c r="AL142" s="23" t="s">
        <v>391</v>
      </c>
      <c r="AM142" s="23" t="s">
        <v>391</v>
      </c>
      <c r="AN142" s="23" t="s">
        <v>400</v>
      </c>
      <c r="AO142" s="23" t="s">
        <v>400</v>
      </c>
      <c r="AP142" s="23">
        <f>VALUE(0)</f>
        <v>0</v>
      </c>
      <c r="AQ142" s="23">
        <f>VALUE(0)</f>
        <v>0</v>
      </c>
      <c r="AR142" s="23">
        <f>VALUE(0)</f>
        <v>0</v>
      </c>
      <c r="AS142" s="23">
        <f>VALUE(0)</f>
        <v>0</v>
      </c>
      <c r="AT142" s="23">
        <f>VALUE(0)</f>
        <v>0</v>
      </c>
      <c r="AU142" s="23">
        <f>VALUE(0)</f>
        <v>0</v>
      </c>
      <c r="AV142" s="23">
        <f>VALUE(5)</f>
        <v>5</v>
      </c>
      <c r="AW142" s="23">
        <f>VALUE(0)</f>
        <v>0</v>
      </c>
      <c r="AX142" s="23" t="s">
        <v>248</v>
      </c>
      <c r="AY142" s="23">
        <f>VALUE(0)</f>
        <v>0</v>
      </c>
      <c r="AZ142" s="23">
        <f>VALUE(0)</f>
        <v>0</v>
      </c>
      <c r="BA142" s="23">
        <f>VALUE(0)</f>
        <v>0</v>
      </c>
      <c r="BB142" s="23">
        <f>VALUE(0)</f>
        <v>0</v>
      </c>
      <c r="BC142" s="23">
        <f>VALUE(0)</f>
        <v>0</v>
      </c>
      <c r="BD142" s="23">
        <f>VALUE(1)</f>
        <v>1</v>
      </c>
      <c r="BE142" s="23">
        <f>VALUE(0)</f>
        <v>0</v>
      </c>
      <c r="BF142" s="23">
        <f>VALUE(0)</f>
        <v>0</v>
      </c>
      <c r="BG142" s="23">
        <f>VALUE(0)</f>
        <v>0</v>
      </c>
      <c r="BH142" s="23">
        <f>VALUE(0)</f>
        <v>0</v>
      </c>
      <c r="BI142" s="23">
        <f>VALUE(0)</f>
        <v>0</v>
      </c>
      <c r="BJ142" s="23">
        <f>VALUE(0)</f>
        <v>0</v>
      </c>
      <c r="BK142" s="12">
        <f>$AX$142*24</f>
        <v>16.333333333333332</v>
      </c>
      <c r="BL142" s="12">
        <f>$AY$142*24</f>
        <v>0</v>
      </c>
      <c r="BM142" s="12">
        <f>$BJ$142*24</f>
        <v>0</v>
      </c>
      <c r="BN142" s="12">
        <f>VALUE($I$142)/100</f>
        <v>1</v>
      </c>
      <c r="BO142" s="12">
        <v>0</v>
      </c>
      <c r="BP142" s="12">
        <v>0</v>
      </c>
      <c r="BQ142" s="12">
        <v>0</v>
      </c>
      <c r="BR142" s="12">
        <v>1</v>
      </c>
      <c r="BS142" s="12">
        <v>0</v>
      </c>
      <c r="BT142" s="12">
        <v>0</v>
      </c>
      <c r="BU142" s="12">
        <v>0</v>
      </c>
      <c r="BV142" s="12">
        <v>0</v>
      </c>
      <c r="BW142" s="12">
        <v>0</v>
      </c>
      <c r="BX142" s="12">
        <v>0</v>
      </c>
      <c r="BY142" s="12">
        <v>0</v>
      </c>
      <c r="BZ142" s="12">
        <v>0</v>
      </c>
      <c r="CA142" s="12">
        <v>0</v>
      </c>
    </row>
    <row r="143" spans="1:79" ht="15" x14ac:dyDescent="0.25">
      <c r="A143" s="12" t="s">
        <v>120</v>
      </c>
      <c r="B143" s="12" t="s">
        <v>1320</v>
      </c>
      <c r="C143" s="12" t="s">
        <v>1320</v>
      </c>
      <c r="D143" s="31" t="s">
        <v>202</v>
      </c>
      <c r="E143" s="31" t="s">
        <v>153</v>
      </c>
      <c r="F143" s="31" t="s">
        <v>175</v>
      </c>
      <c r="G143" s="31" t="s">
        <v>153</v>
      </c>
      <c r="H143" s="31" t="s">
        <v>153</v>
      </c>
      <c r="I143" s="31" t="s">
        <v>153</v>
      </c>
      <c r="J143" s="31" t="s">
        <v>153</v>
      </c>
      <c r="K143" s="31" t="s">
        <v>153</v>
      </c>
      <c r="L143" s="31">
        <f>VALUE(0)</f>
        <v>0</v>
      </c>
      <c r="M143" s="31">
        <f>VALUE(9)</f>
        <v>9</v>
      </c>
      <c r="N143" s="31">
        <f>VALUE(0)</f>
        <v>0</v>
      </c>
      <c r="O143" s="31">
        <f>VALUE(8)</f>
        <v>8</v>
      </c>
      <c r="P143" s="31">
        <f>VALUE(9)</f>
        <v>9</v>
      </c>
      <c r="Q143" s="31">
        <f>VALUE(10)</f>
        <v>10</v>
      </c>
      <c r="R143" s="31">
        <f>VALUE(11)</f>
        <v>11</v>
      </c>
      <c r="S143" s="31">
        <f>VALUE(11)</f>
        <v>11</v>
      </c>
      <c r="T143" s="31">
        <f>VALUE(11)</f>
        <v>11</v>
      </c>
      <c r="U143" s="31">
        <f>VALUE(0)</f>
        <v>0</v>
      </c>
      <c r="V143" s="31">
        <f>VALUE(0)</f>
        <v>0</v>
      </c>
      <c r="W143" s="31">
        <f>VALUE(11)</f>
        <v>11</v>
      </c>
      <c r="X143" s="31">
        <f>VALUE(9)</f>
        <v>9</v>
      </c>
      <c r="Y143" s="31">
        <f>VALUE(9)</f>
        <v>9</v>
      </c>
      <c r="Z143" s="31">
        <f>VALUE(10)</f>
        <v>10</v>
      </c>
      <c r="AA143" s="31">
        <f>VALUE(9)</f>
        <v>9</v>
      </c>
      <c r="AB143" s="31">
        <f>VALUE(0)</f>
        <v>0</v>
      </c>
      <c r="AC143" s="31">
        <f>VALUE(9)</f>
        <v>9</v>
      </c>
      <c r="AD143" s="31">
        <f>VALUE(10)</f>
        <v>10</v>
      </c>
      <c r="AE143" s="31">
        <f>VALUE(9)</f>
        <v>9</v>
      </c>
      <c r="AF143" s="31">
        <f>VALUE(9)</f>
        <v>9</v>
      </c>
      <c r="AG143" s="31">
        <f>VALUE(8)</f>
        <v>8</v>
      </c>
      <c r="AH143" s="31">
        <f>VALUE(8)</f>
        <v>8</v>
      </c>
      <c r="AI143" s="31">
        <f>VALUE(0)</f>
        <v>0</v>
      </c>
      <c r="AJ143" s="31">
        <f>VALUE(10)</f>
        <v>10</v>
      </c>
      <c r="AK143" s="31">
        <f>VALUE(9)</f>
        <v>9</v>
      </c>
      <c r="AL143" s="31">
        <f>VALUE(9)</f>
        <v>9</v>
      </c>
      <c r="AM143" s="31">
        <f>VALUE(9)</f>
        <v>9</v>
      </c>
      <c r="AN143" s="31">
        <f>VALUE(8)</f>
        <v>8</v>
      </c>
      <c r="AO143" s="31">
        <f>VALUE(8)</f>
        <v>8</v>
      </c>
      <c r="AP143" s="31">
        <v>0</v>
      </c>
      <c r="AQ143" s="31">
        <v>0</v>
      </c>
      <c r="AR143" s="31">
        <v>0</v>
      </c>
      <c r="AS143" s="31">
        <v>0</v>
      </c>
      <c r="AT143" s="31">
        <v>0</v>
      </c>
      <c r="AU143" s="31">
        <v>0</v>
      </c>
      <c r="AV143" s="31">
        <v>0</v>
      </c>
      <c r="AW143" s="31">
        <v>0</v>
      </c>
      <c r="AX143" s="31">
        <v>0</v>
      </c>
      <c r="AY143" s="31">
        <v>0</v>
      </c>
      <c r="AZ143" s="31">
        <v>0</v>
      </c>
      <c r="BA143" s="31">
        <v>0</v>
      </c>
      <c r="BB143" s="31">
        <v>0</v>
      </c>
      <c r="BC143" s="31">
        <v>0</v>
      </c>
      <c r="BD143" s="31">
        <v>0</v>
      </c>
      <c r="BE143" s="31">
        <v>0</v>
      </c>
      <c r="BF143" s="31">
        <v>0</v>
      </c>
      <c r="BG143" s="31">
        <v>0</v>
      </c>
      <c r="BH143" s="31">
        <v>0</v>
      </c>
      <c r="BI143" s="31">
        <v>0</v>
      </c>
      <c r="BJ143" s="31">
        <v>0</v>
      </c>
      <c r="BK143" s="12">
        <v>0</v>
      </c>
      <c r="BL143" s="12">
        <v>0</v>
      </c>
      <c r="BM143" s="12">
        <v>0</v>
      </c>
      <c r="BN143" s="12"/>
      <c r="BO143" s="12">
        <v>0</v>
      </c>
      <c r="BP143" s="12">
        <v>0</v>
      </c>
      <c r="BQ143" s="12">
        <v>0</v>
      </c>
      <c r="BR143" s="12">
        <v>0</v>
      </c>
      <c r="BS143" s="12">
        <v>0</v>
      </c>
      <c r="BT143" s="12">
        <v>0</v>
      </c>
      <c r="BU143" s="12">
        <v>0</v>
      </c>
      <c r="BV143" s="12">
        <v>0</v>
      </c>
      <c r="BW143" s="12">
        <v>0</v>
      </c>
      <c r="BX143" s="12">
        <v>0</v>
      </c>
      <c r="BY143" s="12">
        <v>0</v>
      </c>
      <c r="BZ143" s="12">
        <v>0</v>
      </c>
      <c r="CA143" s="12">
        <v>0</v>
      </c>
    </row>
    <row r="144" spans="1:79" x14ac:dyDescent="0.2">
      <c r="A144" s="12" t="s">
        <v>120</v>
      </c>
      <c r="B144" s="12" t="s">
        <v>123</v>
      </c>
      <c r="C144" s="12" t="s">
        <v>123</v>
      </c>
      <c r="D144" s="22" t="s">
        <v>392</v>
      </c>
      <c r="E144" s="22" t="s">
        <v>161</v>
      </c>
      <c r="F144" s="22" t="s">
        <v>814</v>
      </c>
      <c r="G144" s="22" t="s">
        <v>815</v>
      </c>
      <c r="H144" s="22" t="s">
        <v>150</v>
      </c>
      <c r="I144" s="22" t="s">
        <v>151</v>
      </c>
      <c r="J144" s="22" t="s">
        <v>162</v>
      </c>
      <c r="K144" s="22" t="s">
        <v>82</v>
      </c>
      <c r="L144" s="54" t="s">
        <v>153</v>
      </c>
      <c r="M144" s="23" t="s">
        <v>153</v>
      </c>
      <c r="N144" s="24" t="s">
        <v>153</v>
      </c>
      <c r="O144" s="23" t="s">
        <v>153</v>
      </c>
      <c r="P144" s="23" t="s">
        <v>153</v>
      </c>
      <c r="Q144" s="23" t="s">
        <v>153</v>
      </c>
      <c r="R144" s="23" t="s">
        <v>153</v>
      </c>
      <c r="S144" s="23" t="s">
        <v>153</v>
      </c>
      <c r="T144" s="23" t="s">
        <v>153</v>
      </c>
      <c r="U144" s="24" t="s">
        <v>153</v>
      </c>
      <c r="V144" s="54" t="s">
        <v>153</v>
      </c>
      <c r="W144" s="23" t="s">
        <v>153</v>
      </c>
      <c r="X144" s="23" t="s">
        <v>153</v>
      </c>
      <c r="Y144" s="23" t="s">
        <v>153</v>
      </c>
      <c r="Z144" s="23" t="s">
        <v>153</v>
      </c>
      <c r="AA144" s="23" t="s">
        <v>153</v>
      </c>
      <c r="AB144" s="24" t="s">
        <v>153</v>
      </c>
      <c r="AC144" s="24" t="s">
        <v>156</v>
      </c>
      <c r="AD144" s="23" t="s">
        <v>153</v>
      </c>
      <c r="AE144" s="24" t="s">
        <v>156</v>
      </c>
      <c r="AF144" s="24" t="s">
        <v>156</v>
      </c>
      <c r="AG144" s="24" t="s">
        <v>156</v>
      </c>
      <c r="AH144" s="28" t="s">
        <v>163</v>
      </c>
      <c r="AI144" s="24" t="s">
        <v>153</v>
      </c>
      <c r="AJ144" s="28" t="s">
        <v>163</v>
      </c>
      <c r="AK144" s="28" t="s">
        <v>163</v>
      </c>
      <c r="AL144" s="28" t="s">
        <v>163</v>
      </c>
      <c r="AM144" s="28" t="s">
        <v>163</v>
      </c>
      <c r="AN144" s="28" t="s">
        <v>163</v>
      </c>
      <c r="AO144" s="28" t="s">
        <v>163</v>
      </c>
      <c r="AP144" s="23">
        <f>VALUE(0)</f>
        <v>0</v>
      </c>
      <c r="AQ144" s="23">
        <f>VALUE(0)</f>
        <v>0</v>
      </c>
      <c r="AR144" s="23">
        <f>VALUE(0)</f>
        <v>0</v>
      </c>
      <c r="AS144" s="23">
        <f>VALUE(0)</f>
        <v>0</v>
      </c>
      <c r="AT144" s="23">
        <f>VALUE(0)</f>
        <v>0</v>
      </c>
      <c r="AU144" s="23">
        <f>VALUE(7)</f>
        <v>7</v>
      </c>
      <c r="AV144" s="23">
        <f>VALUE(2)</f>
        <v>2</v>
      </c>
      <c r="AW144" s="23">
        <f>VALUE(0)</f>
        <v>0</v>
      </c>
      <c r="AX144" s="23">
        <f>VALUE(0)</f>
        <v>0</v>
      </c>
      <c r="AY144" s="23" t="s">
        <v>408</v>
      </c>
      <c r="AZ144" s="23">
        <f>VALUE(0)</f>
        <v>0</v>
      </c>
      <c r="BA144" s="23">
        <f>VALUE(0)</f>
        <v>0</v>
      </c>
      <c r="BB144" s="23">
        <f>VALUE(0)</f>
        <v>0</v>
      </c>
      <c r="BC144" s="23">
        <f>VALUE(0)</f>
        <v>0</v>
      </c>
      <c r="BD144" s="23">
        <f>VALUE(0)</f>
        <v>0</v>
      </c>
      <c r="BE144" s="23">
        <f>VALUE(0)</f>
        <v>0</v>
      </c>
      <c r="BF144" s="23">
        <f>VALUE(0)</f>
        <v>0</v>
      </c>
      <c r="BG144" s="23">
        <f>VALUE(0)</f>
        <v>0</v>
      </c>
      <c r="BH144" s="23">
        <f>VALUE(0)</f>
        <v>0</v>
      </c>
      <c r="BI144" s="23">
        <f>VALUE(0)</f>
        <v>0</v>
      </c>
      <c r="BJ144" s="23">
        <f>VALUE(0)</f>
        <v>0</v>
      </c>
      <c r="BK144" s="12">
        <f>$AX$144*24</f>
        <v>0</v>
      </c>
      <c r="BL144" s="12">
        <f>$AY$144*24</f>
        <v>10.75</v>
      </c>
      <c r="BM144" s="12">
        <f>$BJ$144*24</f>
        <v>0</v>
      </c>
      <c r="BN144" s="12">
        <f>VALUE($I$144)/100</f>
        <v>1</v>
      </c>
      <c r="BO144" s="12">
        <v>0</v>
      </c>
      <c r="BP144" s="12">
        <v>0</v>
      </c>
      <c r="BQ144" s="12">
        <v>0</v>
      </c>
      <c r="BR144" s="12">
        <v>0</v>
      </c>
      <c r="BS144" s="12">
        <v>0</v>
      </c>
      <c r="BT144" s="12">
        <v>0</v>
      </c>
      <c r="BU144" s="12">
        <v>0</v>
      </c>
      <c r="BV144" s="12">
        <v>0</v>
      </c>
      <c r="BW144" s="12">
        <v>0</v>
      </c>
      <c r="BX144" s="12">
        <v>0</v>
      </c>
      <c r="BY144" s="12">
        <v>0</v>
      </c>
      <c r="BZ144" s="12">
        <v>0</v>
      </c>
      <c r="CA144" s="12">
        <v>0</v>
      </c>
    </row>
    <row r="145" spans="1:79" x14ac:dyDescent="0.2">
      <c r="A145" s="12" t="s">
        <v>120</v>
      </c>
      <c r="B145" s="12" t="s">
        <v>123</v>
      </c>
      <c r="C145" s="12" t="s">
        <v>123</v>
      </c>
      <c r="D145" s="22" t="s">
        <v>386</v>
      </c>
      <c r="E145" s="22" t="s">
        <v>161</v>
      </c>
      <c r="F145" s="22" t="s">
        <v>816</v>
      </c>
      <c r="G145" s="22" t="s">
        <v>817</v>
      </c>
      <c r="H145" s="22" t="s">
        <v>150</v>
      </c>
      <c r="I145" s="22" t="s">
        <v>151</v>
      </c>
      <c r="J145" s="22" t="s">
        <v>162</v>
      </c>
      <c r="K145" s="22" t="s">
        <v>82</v>
      </c>
      <c r="L145" s="54" t="s">
        <v>153</v>
      </c>
      <c r="M145" s="28" t="s">
        <v>163</v>
      </c>
      <c r="N145" s="24" t="s">
        <v>153</v>
      </c>
      <c r="O145" s="29" t="s">
        <v>218</v>
      </c>
      <c r="P145" s="29" t="s">
        <v>218</v>
      </c>
      <c r="Q145" s="23" t="s">
        <v>153</v>
      </c>
      <c r="R145" s="23" t="s">
        <v>153</v>
      </c>
      <c r="S145" s="23" t="s">
        <v>153</v>
      </c>
      <c r="T145" s="23" t="s">
        <v>153</v>
      </c>
      <c r="U145" s="24" t="s">
        <v>153</v>
      </c>
      <c r="V145" s="54" t="s">
        <v>153</v>
      </c>
      <c r="W145" s="23" t="s">
        <v>153</v>
      </c>
      <c r="X145" s="24" t="s">
        <v>156</v>
      </c>
      <c r="Y145" s="24" t="s">
        <v>156</v>
      </c>
      <c r="Z145" s="23" t="s">
        <v>153</v>
      </c>
      <c r="AA145" s="23" t="s">
        <v>153</v>
      </c>
      <c r="AB145" s="24" t="s">
        <v>153</v>
      </c>
      <c r="AC145" s="23" t="s">
        <v>153</v>
      </c>
      <c r="AD145" s="23" t="s">
        <v>153</v>
      </c>
      <c r="AE145" s="23" t="s">
        <v>153</v>
      </c>
      <c r="AF145" s="23" t="s">
        <v>153</v>
      </c>
      <c r="AG145" s="29" t="s">
        <v>218</v>
      </c>
      <c r="AH145" s="23" t="s">
        <v>153</v>
      </c>
      <c r="AI145" s="24" t="s">
        <v>153</v>
      </c>
      <c r="AJ145" s="23" t="s">
        <v>153</v>
      </c>
      <c r="AK145" s="23" t="s">
        <v>153</v>
      </c>
      <c r="AL145" s="23" t="s">
        <v>153</v>
      </c>
      <c r="AM145" s="23" t="s">
        <v>153</v>
      </c>
      <c r="AN145" s="23" t="s">
        <v>153</v>
      </c>
      <c r="AO145" s="23" t="s">
        <v>153</v>
      </c>
      <c r="AP145" s="23">
        <f>VALUE(0)</f>
        <v>0</v>
      </c>
      <c r="AQ145" s="23">
        <f>VALUE(0)</f>
        <v>0</v>
      </c>
      <c r="AR145" s="23">
        <f>VALUE(3)</f>
        <v>3</v>
      </c>
      <c r="AS145" s="23">
        <f>VALUE(0)</f>
        <v>0</v>
      </c>
      <c r="AT145" s="23">
        <f>VALUE(0)</f>
        <v>0</v>
      </c>
      <c r="AU145" s="23">
        <f>VALUE(1)</f>
        <v>1</v>
      </c>
      <c r="AV145" s="23">
        <f>VALUE(2)</f>
        <v>2</v>
      </c>
      <c r="AW145" s="23">
        <f>VALUE(0)</f>
        <v>0</v>
      </c>
      <c r="AX145" s="23" t="s">
        <v>158</v>
      </c>
      <c r="AY145" s="23">
        <f>VALUE(0)</f>
        <v>0</v>
      </c>
      <c r="AZ145" s="23">
        <f>VALUE(0)</f>
        <v>0</v>
      </c>
      <c r="BA145" s="23">
        <f>VALUE(0)</f>
        <v>0</v>
      </c>
      <c r="BB145" s="23">
        <f>VALUE(0)</f>
        <v>0</v>
      </c>
      <c r="BC145" s="23">
        <f>VALUE(0)</f>
        <v>0</v>
      </c>
      <c r="BD145" s="23">
        <f>VALUE(0)</f>
        <v>0</v>
      </c>
      <c r="BE145" s="23">
        <f>VALUE(0)</f>
        <v>0</v>
      </c>
      <c r="BF145" s="23">
        <f>VALUE(0)</f>
        <v>0</v>
      </c>
      <c r="BG145" s="23">
        <f>VALUE(0)</f>
        <v>0</v>
      </c>
      <c r="BH145" s="23">
        <f>VALUE(0)</f>
        <v>0</v>
      </c>
      <c r="BI145" s="23">
        <f>VALUE(0)</f>
        <v>0</v>
      </c>
      <c r="BJ145" s="23">
        <f>VALUE(0)</f>
        <v>0</v>
      </c>
      <c r="BK145" s="12">
        <f>$AX$145*24</f>
        <v>11.666666666666666</v>
      </c>
      <c r="BL145" s="12">
        <f>$AY$145*24</f>
        <v>0</v>
      </c>
      <c r="BM145" s="12">
        <f>$BJ$145*24</f>
        <v>0</v>
      </c>
      <c r="BN145" s="12">
        <f>VALUE($I$145)/100</f>
        <v>1</v>
      </c>
      <c r="BO145" s="12">
        <v>0</v>
      </c>
      <c r="BP145" s="12">
        <v>0</v>
      </c>
      <c r="BQ145" s="12">
        <v>0</v>
      </c>
      <c r="BR145" s="12">
        <v>0</v>
      </c>
      <c r="BS145" s="12">
        <v>3</v>
      </c>
      <c r="BT145" s="12">
        <v>0</v>
      </c>
      <c r="BU145" s="12">
        <v>0</v>
      </c>
      <c r="BV145" s="12">
        <v>0</v>
      </c>
      <c r="BW145" s="12">
        <v>0</v>
      </c>
      <c r="BX145" s="12">
        <v>0</v>
      </c>
      <c r="BY145" s="12">
        <v>0</v>
      </c>
      <c r="BZ145" s="12">
        <v>0</v>
      </c>
      <c r="CA145" s="12">
        <v>0</v>
      </c>
    </row>
    <row r="146" spans="1:79" x14ac:dyDescent="0.2">
      <c r="A146" s="12" t="s">
        <v>120</v>
      </c>
      <c r="B146" s="12" t="s">
        <v>123</v>
      </c>
      <c r="C146" s="12" t="s">
        <v>123</v>
      </c>
      <c r="D146" s="22" t="s">
        <v>409</v>
      </c>
      <c r="E146" s="22" t="s">
        <v>161</v>
      </c>
      <c r="F146" s="22" t="s">
        <v>818</v>
      </c>
      <c r="G146" s="22" t="s">
        <v>819</v>
      </c>
      <c r="H146" s="22" t="s">
        <v>150</v>
      </c>
      <c r="I146" s="22" t="s">
        <v>151</v>
      </c>
      <c r="J146" s="22" t="s">
        <v>162</v>
      </c>
      <c r="K146" s="22" t="s">
        <v>82</v>
      </c>
      <c r="L146" s="54" t="s">
        <v>153</v>
      </c>
      <c r="M146" s="23" t="s">
        <v>153</v>
      </c>
      <c r="N146" s="24" t="s">
        <v>153</v>
      </c>
      <c r="O146" s="24" t="s">
        <v>156</v>
      </c>
      <c r="P146" s="24" t="s">
        <v>156</v>
      </c>
      <c r="Q146" s="28" t="s">
        <v>163</v>
      </c>
      <c r="R146" s="28" t="s">
        <v>163</v>
      </c>
      <c r="S146" s="28" t="s">
        <v>163</v>
      </c>
      <c r="T146" s="28" t="s">
        <v>163</v>
      </c>
      <c r="U146" s="24" t="s">
        <v>153</v>
      </c>
      <c r="V146" s="54" t="s">
        <v>153</v>
      </c>
      <c r="W146" s="23" t="s">
        <v>153</v>
      </c>
      <c r="X146" s="23" t="s">
        <v>153</v>
      </c>
      <c r="Y146" s="23" t="s">
        <v>153</v>
      </c>
      <c r="Z146" s="23" t="s">
        <v>153</v>
      </c>
      <c r="AA146" s="23" t="s">
        <v>153</v>
      </c>
      <c r="AB146" s="24" t="s">
        <v>153</v>
      </c>
      <c r="AC146" s="23" t="s">
        <v>153</v>
      </c>
      <c r="AD146" s="23" t="s">
        <v>153</v>
      </c>
      <c r="AE146" s="23" t="s">
        <v>153</v>
      </c>
      <c r="AF146" s="23" t="s">
        <v>153</v>
      </c>
      <c r="AG146" s="23" t="s">
        <v>153</v>
      </c>
      <c r="AH146" s="23" t="s">
        <v>153</v>
      </c>
      <c r="AI146" s="24" t="s">
        <v>153</v>
      </c>
      <c r="AJ146" s="23" t="s">
        <v>153</v>
      </c>
      <c r="AK146" s="23" t="s">
        <v>153</v>
      </c>
      <c r="AL146" s="23" t="s">
        <v>153</v>
      </c>
      <c r="AM146" s="23" t="s">
        <v>153</v>
      </c>
      <c r="AN146" s="23" t="s">
        <v>153</v>
      </c>
      <c r="AO146" s="23" t="s">
        <v>153</v>
      </c>
      <c r="AP146" s="23">
        <f>VALUE(0)</f>
        <v>0</v>
      </c>
      <c r="AQ146" s="23">
        <f>VALUE(0)</f>
        <v>0</v>
      </c>
      <c r="AR146" s="23">
        <f>VALUE(0)</f>
        <v>0</v>
      </c>
      <c r="AS146" s="23">
        <f>VALUE(0)</f>
        <v>0</v>
      </c>
      <c r="AT146" s="23">
        <f>VALUE(0)</f>
        <v>0</v>
      </c>
      <c r="AU146" s="23">
        <f>VALUE(4)</f>
        <v>4</v>
      </c>
      <c r="AV146" s="23">
        <f>VALUE(3)</f>
        <v>3</v>
      </c>
      <c r="AW146" s="23">
        <f>VALUE(0)</f>
        <v>0</v>
      </c>
      <c r="AX146" s="23" t="s">
        <v>410</v>
      </c>
      <c r="AY146" s="23" t="s">
        <v>176</v>
      </c>
      <c r="AZ146" s="23">
        <f>VALUE(0)</f>
        <v>0</v>
      </c>
      <c r="BA146" s="23">
        <f>VALUE(0)</f>
        <v>0</v>
      </c>
      <c r="BB146" s="23">
        <f>VALUE(0)</f>
        <v>0</v>
      </c>
      <c r="BC146" s="23">
        <f>VALUE(0)</f>
        <v>0</v>
      </c>
      <c r="BD146" s="23">
        <f>VALUE(0)</f>
        <v>0</v>
      </c>
      <c r="BE146" s="23">
        <f>VALUE(0)</f>
        <v>0</v>
      </c>
      <c r="BF146" s="23">
        <f>VALUE(0)</f>
        <v>0</v>
      </c>
      <c r="BG146" s="23">
        <f>VALUE(0)</f>
        <v>0</v>
      </c>
      <c r="BH146" s="23">
        <f>VALUE(0)</f>
        <v>0</v>
      </c>
      <c r="BI146" s="23">
        <f>VALUE(0)</f>
        <v>0</v>
      </c>
      <c r="BJ146" s="23">
        <f>VALUE(0)</f>
        <v>0</v>
      </c>
      <c r="BK146" s="12">
        <f>$AX$146*24</f>
        <v>5.55</v>
      </c>
      <c r="BL146" s="12">
        <f>$AY$146*24</f>
        <v>0</v>
      </c>
      <c r="BM146" s="12">
        <f>$BJ$146*24</f>
        <v>0</v>
      </c>
      <c r="BN146" s="12">
        <f>VALUE($I$146)/100</f>
        <v>1</v>
      </c>
      <c r="BO146" s="12">
        <v>0</v>
      </c>
      <c r="BP146" s="12">
        <v>0</v>
      </c>
      <c r="BQ146" s="12">
        <v>0</v>
      </c>
      <c r="BR146" s="12">
        <v>0</v>
      </c>
      <c r="BS146" s="12">
        <v>0</v>
      </c>
      <c r="BT146" s="12">
        <v>0</v>
      </c>
      <c r="BU146" s="12">
        <v>0</v>
      </c>
      <c r="BV146" s="12">
        <v>0</v>
      </c>
      <c r="BW146" s="12">
        <v>0</v>
      </c>
      <c r="BX146" s="12">
        <v>0</v>
      </c>
      <c r="BY146" s="12">
        <v>0</v>
      </c>
      <c r="BZ146" s="12">
        <v>0</v>
      </c>
      <c r="CA146" s="12">
        <v>0</v>
      </c>
    </row>
    <row r="147" spans="1:79" x14ac:dyDescent="0.2">
      <c r="A147" s="12" t="s">
        <v>120</v>
      </c>
      <c r="B147" s="12" t="s">
        <v>123</v>
      </c>
      <c r="C147" s="12" t="s">
        <v>123</v>
      </c>
      <c r="D147" s="22" t="s">
        <v>411</v>
      </c>
      <c r="E147" s="22" t="s">
        <v>161</v>
      </c>
      <c r="F147" s="22" t="s">
        <v>820</v>
      </c>
      <c r="G147" s="22" t="s">
        <v>821</v>
      </c>
      <c r="H147" s="22" t="s">
        <v>150</v>
      </c>
      <c r="I147" s="22" t="s">
        <v>151</v>
      </c>
      <c r="J147" s="22" t="s">
        <v>162</v>
      </c>
      <c r="K147" s="22" t="s">
        <v>82</v>
      </c>
      <c r="L147" s="54" t="s">
        <v>153</v>
      </c>
      <c r="M147" s="23" t="s">
        <v>153</v>
      </c>
      <c r="N147" s="24" t="s">
        <v>153</v>
      </c>
      <c r="O147" s="23" t="s">
        <v>153</v>
      </c>
      <c r="P147" s="23" t="s">
        <v>153</v>
      </c>
      <c r="Q147" s="23" t="s">
        <v>153</v>
      </c>
      <c r="R147" s="23" t="s">
        <v>153</v>
      </c>
      <c r="S147" s="23" t="s">
        <v>153</v>
      </c>
      <c r="T147" s="23" t="s">
        <v>153</v>
      </c>
      <c r="U147" s="24" t="s">
        <v>153</v>
      </c>
      <c r="V147" s="54" t="s">
        <v>153</v>
      </c>
      <c r="W147" s="23" t="s">
        <v>153</v>
      </c>
      <c r="X147" s="23" t="s">
        <v>153</v>
      </c>
      <c r="Y147" s="23" t="s">
        <v>153</v>
      </c>
      <c r="Z147" s="23" t="s">
        <v>153</v>
      </c>
      <c r="AA147" s="23" t="s">
        <v>153</v>
      </c>
      <c r="AB147" s="24" t="s">
        <v>153</v>
      </c>
      <c r="AC147" s="23" t="s">
        <v>153</v>
      </c>
      <c r="AD147" s="23" t="s">
        <v>153</v>
      </c>
      <c r="AE147" s="23" t="s">
        <v>153</v>
      </c>
      <c r="AF147" s="23" t="s">
        <v>153</v>
      </c>
      <c r="AG147" s="23" t="s">
        <v>153</v>
      </c>
      <c r="AH147" s="23" t="s">
        <v>153</v>
      </c>
      <c r="AI147" s="24" t="s">
        <v>153</v>
      </c>
      <c r="AJ147" s="23" t="s">
        <v>153</v>
      </c>
      <c r="AK147" s="23" t="s">
        <v>153</v>
      </c>
      <c r="AL147" s="23" t="s">
        <v>153</v>
      </c>
      <c r="AM147" s="23" t="s">
        <v>153</v>
      </c>
      <c r="AN147" s="24" t="s">
        <v>156</v>
      </c>
      <c r="AO147" s="24" t="s">
        <v>156</v>
      </c>
      <c r="AP147" s="23">
        <f>VALUE(0)</f>
        <v>0</v>
      </c>
      <c r="AQ147" s="23">
        <f>VALUE(0)</f>
        <v>0</v>
      </c>
      <c r="AR147" s="23">
        <f>VALUE(0)</f>
        <v>0</v>
      </c>
      <c r="AS147" s="23">
        <f>VALUE(0)</f>
        <v>0</v>
      </c>
      <c r="AT147" s="23">
        <f>VALUE(0)</f>
        <v>0</v>
      </c>
      <c r="AU147" s="23">
        <f>VALUE(0)</f>
        <v>0</v>
      </c>
      <c r="AV147" s="23">
        <f>VALUE(2.5)</f>
        <v>2.5</v>
      </c>
      <c r="AW147" s="23">
        <f>VALUE(0)</f>
        <v>0</v>
      </c>
      <c r="AX147" s="23" t="s">
        <v>171</v>
      </c>
      <c r="AY147" s="23" t="s">
        <v>412</v>
      </c>
      <c r="AZ147" s="23">
        <f>VALUE(0)</f>
        <v>0</v>
      </c>
      <c r="BA147" s="23">
        <f>VALUE(0)</f>
        <v>0</v>
      </c>
      <c r="BB147" s="23">
        <f>VALUE(0)</f>
        <v>0</v>
      </c>
      <c r="BC147" s="23">
        <f>VALUE(0)</f>
        <v>0</v>
      </c>
      <c r="BD147" s="23">
        <f>VALUE(0)</f>
        <v>0</v>
      </c>
      <c r="BE147" s="23">
        <f>VALUE(0)</f>
        <v>0</v>
      </c>
      <c r="BF147" s="23">
        <f>VALUE(0)</f>
        <v>0</v>
      </c>
      <c r="BG147" s="23">
        <f>VALUE(0)</f>
        <v>0</v>
      </c>
      <c r="BH147" s="23">
        <f>VALUE(0)</f>
        <v>0</v>
      </c>
      <c r="BI147" s="23">
        <f>VALUE(0)</f>
        <v>0</v>
      </c>
      <c r="BJ147" s="23">
        <f>VALUE(0)</f>
        <v>0</v>
      </c>
      <c r="BK147" s="12">
        <f>$AX$147*24</f>
        <v>5.833333333333333</v>
      </c>
      <c r="BL147" s="12">
        <f>$AY$147*24</f>
        <v>3.9666666666666668</v>
      </c>
      <c r="BM147" s="12">
        <f>$BJ$147*24</f>
        <v>0</v>
      </c>
      <c r="BN147" s="12">
        <f>VALUE($I$147)/100</f>
        <v>1</v>
      </c>
      <c r="BO147" s="12">
        <v>0</v>
      </c>
      <c r="BP147" s="12">
        <v>0</v>
      </c>
      <c r="BQ147" s="12">
        <v>0</v>
      </c>
      <c r="BR147" s="12">
        <v>0</v>
      </c>
      <c r="BS147" s="12">
        <v>0</v>
      </c>
      <c r="BT147" s="12">
        <v>0</v>
      </c>
      <c r="BU147" s="12">
        <v>0</v>
      </c>
      <c r="BV147" s="12">
        <v>0</v>
      </c>
      <c r="BW147" s="12">
        <v>0</v>
      </c>
      <c r="BX147" s="12">
        <v>0</v>
      </c>
      <c r="BY147" s="12">
        <v>0</v>
      </c>
      <c r="BZ147" s="12">
        <v>0</v>
      </c>
      <c r="CA147" s="12">
        <v>0</v>
      </c>
    </row>
    <row r="148" spans="1:79" x14ac:dyDescent="0.2">
      <c r="A148" s="12" t="s">
        <v>120</v>
      </c>
      <c r="B148" s="12" t="s">
        <v>123</v>
      </c>
      <c r="C148" s="12" t="s">
        <v>123</v>
      </c>
      <c r="D148" s="22" t="s">
        <v>413</v>
      </c>
      <c r="E148" s="22" t="s">
        <v>161</v>
      </c>
      <c r="F148" s="22" t="s">
        <v>822</v>
      </c>
      <c r="G148" s="22" t="s">
        <v>823</v>
      </c>
      <c r="H148" s="22" t="s">
        <v>150</v>
      </c>
      <c r="I148" s="22" t="s">
        <v>151</v>
      </c>
      <c r="J148" s="22" t="s">
        <v>162</v>
      </c>
      <c r="K148" s="22" t="s">
        <v>82</v>
      </c>
      <c r="L148" s="54" t="s">
        <v>153</v>
      </c>
      <c r="M148" s="23" t="s">
        <v>153</v>
      </c>
      <c r="N148" s="24" t="s">
        <v>153</v>
      </c>
      <c r="O148" s="23" t="s">
        <v>153</v>
      </c>
      <c r="P148" s="23" t="s">
        <v>153</v>
      </c>
      <c r="Q148" s="23" t="s">
        <v>153</v>
      </c>
      <c r="R148" s="23" t="s">
        <v>153</v>
      </c>
      <c r="S148" s="23" t="s">
        <v>153</v>
      </c>
      <c r="T148" s="23" t="s">
        <v>153</v>
      </c>
      <c r="U148" s="24" t="s">
        <v>153</v>
      </c>
      <c r="V148" s="54" t="s">
        <v>153</v>
      </c>
      <c r="W148" s="23" t="s">
        <v>153</v>
      </c>
      <c r="X148" s="35" t="s">
        <v>170</v>
      </c>
      <c r="Y148" s="35" t="s">
        <v>170</v>
      </c>
      <c r="Z148" s="35" t="s">
        <v>170</v>
      </c>
      <c r="AA148" s="23" t="s">
        <v>153</v>
      </c>
      <c r="AB148" s="24" t="s">
        <v>153</v>
      </c>
      <c r="AC148" s="33" t="s">
        <v>201</v>
      </c>
      <c r="AD148" s="33" t="s">
        <v>201</v>
      </c>
      <c r="AE148" s="33" t="s">
        <v>201</v>
      </c>
      <c r="AF148" s="33" t="s">
        <v>201</v>
      </c>
      <c r="AG148" s="24" t="s">
        <v>156</v>
      </c>
      <c r="AH148" s="24" t="s">
        <v>156</v>
      </c>
      <c r="AI148" s="24" t="s">
        <v>153</v>
      </c>
      <c r="AJ148" s="23" t="s">
        <v>153</v>
      </c>
      <c r="AK148" s="23" t="s">
        <v>153</v>
      </c>
      <c r="AL148" s="33" t="s">
        <v>201</v>
      </c>
      <c r="AM148" s="23" t="s">
        <v>153</v>
      </c>
      <c r="AN148" s="23" t="s">
        <v>153</v>
      </c>
      <c r="AO148" s="23" t="s">
        <v>153</v>
      </c>
      <c r="AP148" s="23">
        <f>VALUE(0)</f>
        <v>0</v>
      </c>
      <c r="AQ148" s="23">
        <f>VALUE(0)</f>
        <v>0</v>
      </c>
      <c r="AR148" s="23">
        <f>VALUE(0)</f>
        <v>0</v>
      </c>
      <c r="AS148" s="23">
        <f>VALUE(0)</f>
        <v>0</v>
      </c>
      <c r="AT148" s="23">
        <f>VALUE(0)</f>
        <v>0</v>
      </c>
      <c r="AU148" s="23">
        <f>VALUE(0)</f>
        <v>0</v>
      </c>
      <c r="AV148" s="23">
        <f>VALUE(8)</f>
        <v>8</v>
      </c>
      <c r="AW148" s="23">
        <f>VALUE(0)</f>
        <v>0</v>
      </c>
      <c r="AX148" s="23" t="s">
        <v>158</v>
      </c>
      <c r="AY148" s="23" t="s">
        <v>414</v>
      </c>
      <c r="AZ148" s="23">
        <f>VALUE(0)</f>
        <v>0</v>
      </c>
      <c r="BA148" s="23">
        <f>VALUE(0)</f>
        <v>0</v>
      </c>
      <c r="BB148" s="23">
        <f>VALUE(5)</f>
        <v>5</v>
      </c>
      <c r="BC148" s="23">
        <f>VALUE(0)</f>
        <v>0</v>
      </c>
      <c r="BD148" s="23">
        <f>VALUE(0)</f>
        <v>0</v>
      </c>
      <c r="BE148" s="23">
        <f>VALUE(3)</f>
        <v>3</v>
      </c>
      <c r="BF148" s="23">
        <f>VALUE(0)</f>
        <v>0</v>
      </c>
      <c r="BG148" s="23">
        <f>VALUE(0)</f>
        <v>0</v>
      </c>
      <c r="BH148" s="23">
        <f>VALUE(0)</f>
        <v>0</v>
      </c>
      <c r="BI148" s="23">
        <f>VALUE(0)</f>
        <v>0</v>
      </c>
      <c r="BJ148" s="23">
        <f>VALUE(0)</f>
        <v>0</v>
      </c>
      <c r="BK148" s="12">
        <f>$AX$148*24</f>
        <v>11.666666666666666</v>
      </c>
      <c r="BL148" s="12">
        <f>$AY$148*24</f>
        <v>36.4</v>
      </c>
      <c r="BM148" s="12">
        <f>$BJ$148*24</f>
        <v>0</v>
      </c>
      <c r="BN148" s="12">
        <f>VALUE($I$148)/100</f>
        <v>1</v>
      </c>
      <c r="BO148" s="12">
        <v>0</v>
      </c>
      <c r="BP148" s="12">
        <v>0</v>
      </c>
      <c r="BQ148" s="12">
        <v>0</v>
      </c>
      <c r="BR148" s="12">
        <v>0</v>
      </c>
      <c r="BS148" s="12">
        <v>0</v>
      </c>
      <c r="BT148" s="12">
        <v>0</v>
      </c>
      <c r="BU148" s="12">
        <v>0</v>
      </c>
      <c r="BV148" s="12">
        <v>0</v>
      </c>
      <c r="BW148" s="12">
        <v>0</v>
      </c>
      <c r="BX148" s="12">
        <v>0</v>
      </c>
      <c r="BY148" s="12">
        <v>0</v>
      </c>
      <c r="BZ148" s="12">
        <v>0</v>
      </c>
      <c r="CA148" s="12">
        <v>0</v>
      </c>
    </row>
    <row r="149" spans="1:79" x14ac:dyDescent="0.2">
      <c r="A149" s="12" t="s">
        <v>120</v>
      </c>
      <c r="B149" s="12" t="s">
        <v>123</v>
      </c>
      <c r="C149" s="12" t="s">
        <v>123</v>
      </c>
      <c r="D149" s="22" t="s">
        <v>1220</v>
      </c>
      <c r="E149" s="22" t="s">
        <v>159</v>
      </c>
      <c r="F149" s="22" t="s">
        <v>824</v>
      </c>
      <c r="G149" s="22" t="s">
        <v>825</v>
      </c>
      <c r="H149" s="22" t="s">
        <v>150</v>
      </c>
      <c r="I149" s="22" t="s">
        <v>151</v>
      </c>
      <c r="J149" s="22" t="s">
        <v>162</v>
      </c>
      <c r="K149" s="22" t="s">
        <v>82</v>
      </c>
      <c r="L149" s="54" t="s">
        <v>153</v>
      </c>
      <c r="M149" s="23" t="s">
        <v>153</v>
      </c>
      <c r="N149" s="24" t="s">
        <v>153</v>
      </c>
      <c r="O149" s="23" t="s">
        <v>153</v>
      </c>
      <c r="P149" s="23" t="s">
        <v>153</v>
      </c>
      <c r="Q149" s="23" t="s">
        <v>153</v>
      </c>
      <c r="R149" s="23" t="s">
        <v>153</v>
      </c>
      <c r="S149" s="24" t="s">
        <v>156</v>
      </c>
      <c r="T149" s="24" t="s">
        <v>156</v>
      </c>
      <c r="U149" s="24" t="s">
        <v>153</v>
      </c>
      <c r="V149" s="54" t="s">
        <v>153</v>
      </c>
      <c r="W149" s="23" t="s">
        <v>153</v>
      </c>
      <c r="X149" s="23" t="s">
        <v>153</v>
      </c>
      <c r="Y149" s="23" t="s">
        <v>153</v>
      </c>
      <c r="Z149" s="23" t="s">
        <v>153</v>
      </c>
      <c r="AA149" s="23" t="s">
        <v>153</v>
      </c>
      <c r="AB149" s="24" t="s">
        <v>153</v>
      </c>
      <c r="AC149" s="23" t="s">
        <v>153</v>
      </c>
      <c r="AD149" s="23" t="s">
        <v>153</v>
      </c>
      <c r="AE149" s="23" t="s">
        <v>153</v>
      </c>
      <c r="AF149" s="23" t="s">
        <v>153</v>
      </c>
      <c r="AG149" s="23" t="s">
        <v>153</v>
      </c>
      <c r="AH149" s="23" t="s">
        <v>153</v>
      </c>
      <c r="AI149" s="24" t="s">
        <v>153</v>
      </c>
      <c r="AJ149" s="23" t="s">
        <v>153</v>
      </c>
      <c r="AK149" s="23" t="s">
        <v>153</v>
      </c>
      <c r="AL149" s="23" t="s">
        <v>153</v>
      </c>
      <c r="AM149" s="23" t="s">
        <v>153</v>
      </c>
      <c r="AN149" s="23" t="s">
        <v>153</v>
      </c>
      <c r="AO149" s="23" t="s">
        <v>153</v>
      </c>
      <c r="AP149" s="23">
        <f>VALUE(0)</f>
        <v>0</v>
      </c>
      <c r="AQ149" s="23">
        <f>VALUE(0)</f>
        <v>0</v>
      </c>
      <c r="AR149" s="23">
        <f>VALUE(0)</f>
        <v>0</v>
      </c>
      <c r="AS149" s="23">
        <f>VALUE(22)</f>
        <v>22</v>
      </c>
      <c r="AT149" s="23">
        <f>VALUE(0)</f>
        <v>0</v>
      </c>
      <c r="AU149" s="23">
        <f>VALUE(0)</f>
        <v>0</v>
      </c>
      <c r="AV149" s="23">
        <f>VALUE(2)</f>
        <v>2</v>
      </c>
      <c r="AW149" s="23">
        <f>VALUE(0)</f>
        <v>0</v>
      </c>
      <c r="AX149" s="23" t="s">
        <v>171</v>
      </c>
      <c r="AY149" s="23">
        <f>VALUE(0)</f>
        <v>0</v>
      </c>
      <c r="AZ149" s="23">
        <f>VALUE(0)</f>
        <v>0</v>
      </c>
      <c r="BA149" s="23">
        <f>VALUE(0)</f>
        <v>0</v>
      </c>
      <c r="BB149" s="23">
        <f>VALUE(0)</f>
        <v>0</v>
      </c>
      <c r="BC149" s="23">
        <f>VALUE(0)</f>
        <v>0</v>
      </c>
      <c r="BD149" s="23">
        <f>VALUE(0)</f>
        <v>0</v>
      </c>
      <c r="BE149" s="23">
        <f>VALUE(0)</f>
        <v>0</v>
      </c>
      <c r="BF149" s="23">
        <f>VALUE(0)</f>
        <v>0</v>
      </c>
      <c r="BG149" s="23">
        <f>VALUE(0)</f>
        <v>0</v>
      </c>
      <c r="BH149" s="23">
        <f>VALUE(0)</f>
        <v>0</v>
      </c>
      <c r="BI149" s="23">
        <f>VALUE(0)</f>
        <v>0</v>
      </c>
      <c r="BJ149" s="23">
        <f>VALUE(0)</f>
        <v>0</v>
      </c>
      <c r="BK149" s="12">
        <f>$AX$149*24</f>
        <v>5.833333333333333</v>
      </c>
      <c r="BL149" s="12">
        <f>$AY$149*24</f>
        <v>0</v>
      </c>
      <c r="BM149" s="12">
        <f>$BJ$149*24</f>
        <v>0</v>
      </c>
      <c r="BN149" s="12">
        <f>VALUE($I$149)/100</f>
        <v>1</v>
      </c>
      <c r="BO149" s="12">
        <v>0</v>
      </c>
      <c r="BP149" s="12">
        <v>0</v>
      </c>
      <c r="BQ149" s="12">
        <v>0</v>
      </c>
      <c r="BR149" s="12">
        <v>0</v>
      </c>
      <c r="BS149" s="12">
        <v>0</v>
      </c>
      <c r="BT149" s="12">
        <v>0</v>
      </c>
      <c r="BU149" s="12">
        <v>0</v>
      </c>
      <c r="BV149" s="12">
        <v>0</v>
      </c>
      <c r="BW149" s="12">
        <v>0</v>
      </c>
      <c r="BX149" s="12">
        <v>0</v>
      </c>
      <c r="BY149" s="12">
        <v>0</v>
      </c>
      <c r="BZ149" s="12">
        <v>0</v>
      </c>
      <c r="CA149" s="12">
        <v>0</v>
      </c>
    </row>
    <row r="150" spans="1:79" ht="15" x14ac:dyDescent="0.25">
      <c r="A150" s="12" t="s">
        <v>120</v>
      </c>
      <c r="B150" s="12" t="s">
        <v>123</v>
      </c>
      <c r="C150" s="12" t="s">
        <v>123</v>
      </c>
      <c r="D150" s="31" t="s">
        <v>323</v>
      </c>
      <c r="E150" s="31" t="s">
        <v>153</v>
      </c>
      <c r="F150" s="31" t="s">
        <v>175</v>
      </c>
      <c r="G150" s="31" t="s">
        <v>153</v>
      </c>
      <c r="H150" s="31" t="s">
        <v>153</v>
      </c>
      <c r="I150" s="31" t="s">
        <v>153</v>
      </c>
      <c r="J150" s="31" t="s">
        <v>153</v>
      </c>
      <c r="K150" s="31" t="s">
        <v>153</v>
      </c>
      <c r="L150" s="31">
        <f>VALUE(0)</f>
        <v>0</v>
      </c>
      <c r="M150" s="31">
        <f>VALUE(5)</f>
        <v>5</v>
      </c>
      <c r="N150" s="31">
        <f>VALUE(0)</f>
        <v>0</v>
      </c>
      <c r="O150" s="31">
        <f>VALUE(4)</f>
        <v>4</v>
      </c>
      <c r="P150" s="31">
        <f>VALUE(4)</f>
        <v>4</v>
      </c>
      <c r="Q150" s="31">
        <f>VALUE(5)</f>
        <v>5</v>
      </c>
      <c r="R150" s="31">
        <f>VALUE(5)</f>
        <v>5</v>
      </c>
      <c r="S150" s="31">
        <f>VALUE(4)</f>
        <v>4</v>
      </c>
      <c r="T150" s="31">
        <f>VALUE(4)</f>
        <v>4</v>
      </c>
      <c r="U150" s="31">
        <f>VALUE(0)</f>
        <v>0</v>
      </c>
      <c r="V150" s="31">
        <f>VALUE(0)</f>
        <v>0</v>
      </c>
      <c r="W150" s="31">
        <f>VALUE(6)</f>
        <v>6</v>
      </c>
      <c r="X150" s="31">
        <f>VALUE(4)</f>
        <v>4</v>
      </c>
      <c r="Y150" s="31">
        <f>VALUE(4)</f>
        <v>4</v>
      </c>
      <c r="Z150" s="31">
        <f>VALUE(5)</f>
        <v>5</v>
      </c>
      <c r="AA150" s="31">
        <f>VALUE(6)</f>
        <v>6</v>
      </c>
      <c r="AB150" s="31">
        <f>VALUE(0)</f>
        <v>0</v>
      </c>
      <c r="AC150" s="31">
        <f>VALUE(4)</f>
        <v>4</v>
      </c>
      <c r="AD150" s="31">
        <f>VALUE(5)</f>
        <v>5</v>
      </c>
      <c r="AE150" s="31">
        <f>VALUE(4)</f>
        <v>4</v>
      </c>
      <c r="AF150" s="31">
        <f>VALUE(4)</f>
        <v>4</v>
      </c>
      <c r="AG150" s="31">
        <f>VALUE(3)</f>
        <v>3</v>
      </c>
      <c r="AH150" s="31">
        <f>VALUE(4)</f>
        <v>4</v>
      </c>
      <c r="AI150" s="31">
        <f>VALUE(0)</f>
        <v>0</v>
      </c>
      <c r="AJ150" s="31">
        <f>VALUE(5)</f>
        <v>5</v>
      </c>
      <c r="AK150" s="31">
        <f>VALUE(5)</f>
        <v>5</v>
      </c>
      <c r="AL150" s="31">
        <f>VALUE(4)</f>
        <v>4</v>
      </c>
      <c r="AM150" s="31">
        <f>VALUE(5)</f>
        <v>5</v>
      </c>
      <c r="AN150" s="31">
        <f>VALUE(4)</f>
        <v>4</v>
      </c>
      <c r="AO150" s="31">
        <f>VALUE(4)</f>
        <v>4</v>
      </c>
      <c r="AP150" s="31">
        <v>0</v>
      </c>
      <c r="AQ150" s="31">
        <v>0</v>
      </c>
      <c r="AR150" s="31">
        <v>0</v>
      </c>
      <c r="AS150" s="31">
        <v>0</v>
      </c>
      <c r="AT150" s="31">
        <v>0</v>
      </c>
      <c r="AU150" s="31">
        <v>0</v>
      </c>
      <c r="AV150" s="31">
        <v>0</v>
      </c>
      <c r="AW150" s="31">
        <v>0</v>
      </c>
      <c r="AX150" s="31">
        <v>0</v>
      </c>
      <c r="AY150" s="31">
        <v>0</v>
      </c>
      <c r="AZ150" s="31">
        <v>0</v>
      </c>
      <c r="BA150" s="31">
        <v>0</v>
      </c>
      <c r="BB150" s="31">
        <v>0</v>
      </c>
      <c r="BC150" s="31">
        <v>0</v>
      </c>
      <c r="BD150" s="31">
        <v>0</v>
      </c>
      <c r="BE150" s="31">
        <v>0</v>
      </c>
      <c r="BF150" s="31">
        <v>0</v>
      </c>
      <c r="BG150" s="31">
        <v>0</v>
      </c>
      <c r="BH150" s="31">
        <v>0</v>
      </c>
      <c r="BI150" s="31">
        <v>0</v>
      </c>
      <c r="BJ150" s="31">
        <v>0</v>
      </c>
      <c r="BK150" s="12">
        <v>0</v>
      </c>
      <c r="BL150" s="12">
        <v>0</v>
      </c>
      <c r="BM150" s="12">
        <v>0</v>
      </c>
      <c r="BN150" s="12"/>
      <c r="BO150" s="12">
        <v>0</v>
      </c>
      <c r="BP150" s="12">
        <v>0</v>
      </c>
      <c r="BQ150" s="12">
        <v>0</v>
      </c>
      <c r="BR150" s="12">
        <v>0</v>
      </c>
      <c r="BS150" s="12">
        <v>0</v>
      </c>
      <c r="BT150" s="12">
        <v>0</v>
      </c>
      <c r="BU150" s="12">
        <v>0</v>
      </c>
      <c r="BV150" s="12">
        <v>0</v>
      </c>
      <c r="BW150" s="12">
        <v>0</v>
      </c>
      <c r="BX150" s="12">
        <v>0</v>
      </c>
      <c r="BY150" s="12">
        <v>0</v>
      </c>
      <c r="BZ150" s="12">
        <v>0</v>
      </c>
      <c r="CA150" s="12">
        <v>0</v>
      </c>
    </row>
    <row r="151" spans="1:79" x14ac:dyDescent="0.2">
      <c r="A151" s="12" t="s">
        <v>120</v>
      </c>
      <c r="B151" s="12" t="s">
        <v>124</v>
      </c>
      <c r="C151" s="12" t="s">
        <v>124</v>
      </c>
      <c r="D151" s="22" t="s">
        <v>388</v>
      </c>
      <c r="E151" s="22" t="s">
        <v>161</v>
      </c>
      <c r="F151" s="22" t="s">
        <v>826</v>
      </c>
      <c r="G151" s="22" t="s">
        <v>827</v>
      </c>
      <c r="H151" s="22" t="s">
        <v>150</v>
      </c>
      <c r="I151" s="22" t="s">
        <v>151</v>
      </c>
      <c r="J151" s="22" t="s">
        <v>162</v>
      </c>
      <c r="K151" s="22" t="s">
        <v>83</v>
      </c>
      <c r="L151" s="54" t="s">
        <v>153</v>
      </c>
      <c r="M151" s="32" t="s">
        <v>416</v>
      </c>
      <c r="N151" s="24" t="s">
        <v>153</v>
      </c>
      <c r="O151" s="23" t="s">
        <v>153</v>
      </c>
      <c r="P151" s="23" t="s">
        <v>153</v>
      </c>
      <c r="Q151" s="23" t="s">
        <v>153</v>
      </c>
      <c r="R151" s="23" t="s">
        <v>153</v>
      </c>
      <c r="S151" s="23" t="s">
        <v>153</v>
      </c>
      <c r="T151" s="23" t="s">
        <v>153</v>
      </c>
      <c r="U151" s="24" t="s">
        <v>153</v>
      </c>
      <c r="V151" s="54" t="s">
        <v>153</v>
      </c>
      <c r="W151" s="25" t="s">
        <v>393</v>
      </c>
      <c r="X151" s="25" t="s">
        <v>393</v>
      </c>
      <c r="Y151" s="25" t="s">
        <v>393</v>
      </c>
      <c r="Z151" s="25" t="s">
        <v>393</v>
      </c>
      <c r="AA151" s="25" t="s">
        <v>393</v>
      </c>
      <c r="AB151" s="24" t="s">
        <v>153</v>
      </c>
      <c r="AC151" s="25" t="s">
        <v>393</v>
      </c>
      <c r="AD151" s="25" t="s">
        <v>393</v>
      </c>
      <c r="AE151" s="25" t="s">
        <v>393</v>
      </c>
      <c r="AF151" s="25" t="s">
        <v>393</v>
      </c>
      <c r="AG151" s="25" t="s">
        <v>393</v>
      </c>
      <c r="AH151" s="25" t="s">
        <v>393</v>
      </c>
      <c r="AI151" s="24" t="s">
        <v>153</v>
      </c>
      <c r="AJ151" s="25" t="s">
        <v>393</v>
      </c>
      <c r="AK151" s="25" t="s">
        <v>393</v>
      </c>
      <c r="AL151" s="25" t="s">
        <v>393</v>
      </c>
      <c r="AM151" s="25" t="s">
        <v>393</v>
      </c>
      <c r="AN151" s="25" t="s">
        <v>393</v>
      </c>
      <c r="AO151" s="25" t="s">
        <v>393</v>
      </c>
      <c r="AP151" s="23">
        <f>VALUE(0)</f>
        <v>0</v>
      </c>
      <c r="AQ151" s="23">
        <f>VALUE(0)</f>
        <v>0</v>
      </c>
      <c r="AR151" s="23">
        <f>VALUE(0)</f>
        <v>0</v>
      </c>
      <c r="AS151" s="23">
        <f>VALUE(0)</f>
        <v>0</v>
      </c>
      <c r="AT151" s="23">
        <f>VALUE(0)</f>
        <v>0</v>
      </c>
      <c r="AU151" s="23">
        <f>VALUE(0)</f>
        <v>0</v>
      </c>
      <c r="AV151" s="23">
        <f>VALUE(11)</f>
        <v>11</v>
      </c>
      <c r="AW151" s="23">
        <f>VALUE(0)</f>
        <v>0</v>
      </c>
      <c r="AX151" s="23" t="s">
        <v>171</v>
      </c>
      <c r="AY151" s="23" t="s">
        <v>417</v>
      </c>
      <c r="AZ151" s="23">
        <f>VALUE(0)</f>
        <v>0</v>
      </c>
      <c r="BA151" s="23">
        <f>VALUE(1)</f>
        <v>1</v>
      </c>
      <c r="BB151" s="23">
        <f>VALUE(0)</f>
        <v>0</v>
      </c>
      <c r="BC151" s="23">
        <f>VALUE(0)</f>
        <v>0</v>
      </c>
      <c r="BD151" s="23">
        <f>VALUE(0)</f>
        <v>0</v>
      </c>
      <c r="BE151" s="23">
        <f>VALUE(0)</f>
        <v>0</v>
      </c>
      <c r="BF151" s="23">
        <f>VALUE(0)</f>
        <v>0</v>
      </c>
      <c r="BG151" s="23">
        <f>VALUE(0)</f>
        <v>0</v>
      </c>
      <c r="BH151" s="23">
        <f>VALUE(0)</f>
        <v>0</v>
      </c>
      <c r="BI151" s="23">
        <f>VALUE(0)</f>
        <v>0</v>
      </c>
      <c r="BJ151" s="23">
        <f>VALUE(0)</f>
        <v>0</v>
      </c>
      <c r="BK151" s="12">
        <f>$AX$151*24</f>
        <v>5.833333333333333</v>
      </c>
      <c r="BL151" s="12">
        <f>$AY$151*24</f>
        <v>16.533333333333335</v>
      </c>
      <c r="BM151" s="12">
        <f>$BJ$151*24</f>
        <v>0</v>
      </c>
      <c r="BN151" s="12">
        <f>VALUE($I$151)/100</f>
        <v>1</v>
      </c>
      <c r="BO151" s="12">
        <v>0</v>
      </c>
      <c r="BP151" s="12">
        <v>0</v>
      </c>
      <c r="BQ151" s="12">
        <v>0</v>
      </c>
      <c r="BR151" s="12">
        <v>0</v>
      </c>
      <c r="BS151" s="12">
        <v>0</v>
      </c>
      <c r="BT151" s="12">
        <v>0</v>
      </c>
      <c r="BU151" s="12">
        <v>0</v>
      </c>
      <c r="BV151" s="12">
        <v>0</v>
      </c>
      <c r="BW151" s="12">
        <v>0</v>
      </c>
      <c r="BX151" s="12">
        <v>0</v>
      </c>
      <c r="BY151" s="12">
        <v>0</v>
      </c>
      <c r="BZ151" s="12">
        <v>0</v>
      </c>
      <c r="CA151" s="12">
        <v>0</v>
      </c>
    </row>
    <row r="152" spans="1:79" x14ac:dyDescent="0.2">
      <c r="A152" s="12" t="s">
        <v>120</v>
      </c>
      <c r="B152" s="12" t="s">
        <v>124</v>
      </c>
      <c r="C152" s="12" t="s">
        <v>124</v>
      </c>
      <c r="D152" s="22" t="s">
        <v>418</v>
      </c>
      <c r="E152" s="22" t="s">
        <v>161</v>
      </c>
      <c r="F152" s="22" t="s">
        <v>828</v>
      </c>
      <c r="G152" s="22" t="s">
        <v>829</v>
      </c>
      <c r="H152" s="22" t="s">
        <v>166</v>
      </c>
      <c r="I152" s="22" t="s">
        <v>151</v>
      </c>
      <c r="J152" s="22" t="s">
        <v>162</v>
      </c>
      <c r="K152" s="22" t="s">
        <v>83</v>
      </c>
      <c r="L152" s="54" t="s">
        <v>153</v>
      </c>
      <c r="M152" s="23" t="s">
        <v>153</v>
      </c>
      <c r="N152" s="24" t="s">
        <v>153</v>
      </c>
      <c r="O152" s="24" t="s">
        <v>156</v>
      </c>
      <c r="P152" s="24" t="s">
        <v>156</v>
      </c>
      <c r="Q152" s="23" t="s">
        <v>153</v>
      </c>
      <c r="R152" s="23" t="s">
        <v>153</v>
      </c>
      <c r="S152" s="23" t="s">
        <v>153</v>
      </c>
      <c r="T152" s="23" t="s">
        <v>153</v>
      </c>
      <c r="U152" s="24" t="s">
        <v>153</v>
      </c>
      <c r="V152" s="54" t="s">
        <v>153</v>
      </c>
      <c r="W152" s="23" t="s">
        <v>153</v>
      </c>
      <c r="X152" s="23" t="s">
        <v>153</v>
      </c>
      <c r="Y152" s="23" t="s">
        <v>153</v>
      </c>
      <c r="Z152" s="23" t="s">
        <v>153</v>
      </c>
      <c r="AA152" s="23" t="s">
        <v>153</v>
      </c>
      <c r="AB152" s="24" t="s">
        <v>153</v>
      </c>
      <c r="AC152" s="23" t="s">
        <v>153</v>
      </c>
      <c r="AD152" s="23" t="s">
        <v>153</v>
      </c>
      <c r="AE152" s="23" t="s">
        <v>153</v>
      </c>
      <c r="AF152" s="23" t="s">
        <v>153</v>
      </c>
      <c r="AG152" s="23" t="s">
        <v>153</v>
      </c>
      <c r="AH152" s="23" t="s">
        <v>153</v>
      </c>
      <c r="AI152" s="24" t="s">
        <v>153</v>
      </c>
      <c r="AJ152" s="28" t="s">
        <v>163</v>
      </c>
      <c r="AK152" s="28" t="s">
        <v>163</v>
      </c>
      <c r="AL152" s="23" t="s">
        <v>153</v>
      </c>
      <c r="AM152" s="23" t="s">
        <v>153</v>
      </c>
      <c r="AN152" s="23" t="s">
        <v>153</v>
      </c>
      <c r="AO152" s="23" t="s">
        <v>153</v>
      </c>
      <c r="AP152" s="23">
        <f>VALUE(0)</f>
        <v>0</v>
      </c>
      <c r="AQ152" s="23">
        <f>VALUE(0)</f>
        <v>0</v>
      </c>
      <c r="AR152" s="23">
        <f>VALUE(0)</f>
        <v>0</v>
      </c>
      <c r="AS152" s="23">
        <f>VALUE(0)</f>
        <v>0</v>
      </c>
      <c r="AT152" s="23">
        <f>VALUE(0)</f>
        <v>0</v>
      </c>
      <c r="AU152" s="23">
        <f>VALUE(2)</f>
        <v>2</v>
      </c>
      <c r="AV152" s="23">
        <f>VALUE(1)</f>
        <v>1</v>
      </c>
      <c r="AW152" s="23">
        <f>VALUE(0)</f>
        <v>0</v>
      </c>
      <c r="AX152" s="23" t="s">
        <v>1221</v>
      </c>
      <c r="AY152" s="23">
        <f>VALUE(0)</f>
        <v>0</v>
      </c>
      <c r="AZ152" s="23">
        <f>VALUE(0)</f>
        <v>0</v>
      </c>
      <c r="BA152" s="23">
        <f>VALUE(0)</f>
        <v>0</v>
      </c>
      <c r="BB152" s="23">
        <f>VALUE(0)</f>
        <v>0</v>
      </c>
      <c r="BC152" s="23">
        <f>VALUE(0)</f>
        <v>0</v>
      </c>
      <c r="BD152" s="23">
        <f>VALUE(0)</f>
        <v>0</v>
      </c>
      <c r="BE152" s="23">
        <f>VALUE(0)</f>
        <v>0</v>
      </c>
      <c r="BF152" s="23">
        <f>VALUE(0)</f>
        <v>0</v>
      </c>
      <c r="BG152" s="23">
        <f>VALUE(0)</f>
        <v>0</v>
      </c>
      <c r="BH152" s="23">
        <f>VALUE(0)</f>
        <v>0</v>
      </c>
      <c r="BI152" s="23">
        <f>VALUE(0)</f>
        <v>0</v>
      </c>
      <c r="BJ152" s="23">
        <f>VALUE(0)</f>
        <v>0</v>
      </c>
      <c r="BK152" s="12">
        <f>$AX$152*24</f>
        <v>47.85</v>
      </c>
      <c r="BL152" s="12">
        <f>$AY$152*24</f>
        <v>0</v>
      </c>
      <c r="BM152" s="12">
        <f>$BJ$152*24</f>
        <v>0</v>
      </c>
      <c r="BN152" s="12">
        <f>VALUE($I$152)/100</f>
        <v>1</v>
      </c>
      <c r="BO152" s="12">
        <v>0</v>
      </c>
      <c r="BP152" s="12">
        <v>0</v>
      </c>
      <c r="BQ152" s="12">
        <v>0</v>
      </c>
      <c r="BR152" s="12">
        <v>0</v>
      </c>
      <c r="BS152" s="12">
        <v>0</v>
      </c>
      <c r="BT152" s="12">
        <v>0</v>
      </c>
      <c r="BU152" s="12">
        <v>0</v>
      </c>
      <c r="BV152" s="12">
        <v>0</v>
      </c>
      <c r="BW152" s="12">
        <v>0</v>
      </c>
      <c r="BX152" s="12">
        <v>0</v>
      </c>
      <c r="BY152" s="12">
        <v>0</v>
      </c>
      <c r="BZ152" s="12">
        <v>0</v>
      </c>
      <c r="CA152" s="12">
        <v>0</v>
      </c>
    </row>
    <row r="153" spans="1:79" x14ac:dyDescent="0.2">
      <c r="A153" s="12" t="s">
        <v>120</v>
      </c>
      <c r="B153" s="12" t="s">
        <v>124</v>
      </c>
      <c r="C153" s="12" t="s">
        <v>124</v>
      </c>
      <c r="D153" s="22" t="s">
        <v>419</v>
      </c>
      <c r="E153" s="22" t="s">
        <v>161</v>
      </c>
      <c r="F153" s="22" t="s">
        <v>1222</v>
      </c>
      <c r="G153" s="22" t="s">
        <v>830</v>
      </c>
      <c r="H153" s="22" t="s">
        <v>150</v>
      </c>
      <c r="I153" s="22" t="s">
        <v>151</v>
      </c>
      <c r="J153" s="22" t="s">
        <v>162</v>
      </c>
      <c r="K153" s="22" t="s">
        <v>83</v>
      </c>
      <c r="L153" s="54" t="s">
        <v>153</v>
      </c>
      <c r="M153" s="23" t="s">
        <v>153</v>
      </c>
      <c r="N153" s="24" t="s">
        <v>153</v>
      </c>
      <c r="O153" s="28" t="s">
        <v>163</v>
      </c>
      <c r="P153" s="28" t="s">
        <v>163</v>
      </c>
      <c r="Q153" s="28" t="s">
        <v>163</v>
      </c>
      <c r="R153" s="28" t="s">
        <v>163</v>
      </c>
      <c r="S153" s="28" t="s">
        <v>163</v>
      </c>
      <c r="T153" s="28" t="s">
        <v>163</v>
      </c>
      <c r="U153" s="24" t="s">
        <v>153</v>
      </c>
      <c r="V153" s="54" t="s">
        <v>153</v>
      </c>
      <c r="W153" s="23" t="s">
        <v>153</v>
      </c>
      <c r="X153" s="23" t="s">
        <v>153</v>
      </c>
      <c r="Y153" s="23" t="s">
        <v>153</v>
      </c>
      <c r="Z153" s="23" t="s">
        <v>153</v>
      </c>
      <c r="AA153" s="23" t="s">
        <v>153</v>
      </c>
      <c r="AB153" s="24" t="s">
        <v>153</v>
      </c>
      <c r="AC153" s="23" t="s">
        <v>153</v>
      </c>
      <c r="AD153" s="23" t="s">
        <v>153</v>
      </c>
      <c r="AE153" s="23" t="s">
        <v>153</v>
      </c>
      <c r="AF153" s="23" t="s">
        <v>153</v>
      </c>
      <c r="AG153" s="23" t="s">
        <v>153</v>
      </c>
      <c r="AH153" s="23" t="s">
        <v>153</v>
      </c>
      <c r="AI153" s="24" t="s">
        <v>153</v>
      </c>
      <c r="AJ153" s="23" t="s">
        <v>153</v>
      </c>
      <c r="AK153" s="23" t="s">
        <v>153</v>
      </c>
      <c r="AL153" s="24" t="s">
        <v>156</v>
      </c>
      <c r="AM153" s="24" t="s">
        <v>156</v>
      </c>
      <c r="AN153" s="23" t="s">
        <v>153</v>
      </c>
      <c r="AO153" s="23" t="s">
        <v>153</v>
      </c>
      <c r="AP153" s="23">
        <f>VALUE(0)</f>
        <v>0</v>
      </c>
      <c r="AQ153" s="23">
        <f>VALUE(0)</f>
        <v>0</v>
      </c>
      <c r="AR153" s="23">
        <f>VALUE(0)</f>
        <v>0</v>
      </c>
      <c r="AS153" s="23">
        <f>VALUE(0)</f>
        <v>0</v>
      </c>
      <c r="AT153" s="23">
        <f>VALUE(0)</f>
        <v>0</v>
      </c>
      <c r="AU153" s="23">
        <f>VALUE(6)</f>
        <v>6</v>
      </c>
      <c r="AV153" s="23">
        <f>VALUE(5)</f>
        <v>5</v>
      </c>
      <c r="AW153" s="23">
        <f>VALUE(0)</f>
        <v>0</v>
      </c>
      <c r="AX153" s="23" t="s">
        <v>171</v>
      </c>
      <c r="AY153" s="23" t="s">
        <v>1223</v>
      </c>
      <c r="AZ153" s="23">
        <f>VALUE(0)</f>
        <v>0</v>
      </c>
      <c r="BA153" s="23">
        <f>VALUE(0)</f>
        <v>0</v>
      </c>
      <c r="BB153" s="23">
        <f>VALUE(0)</f>
        <v>0</v>
      </c>
      <c r="BC153" s="23">
        <f>VALUE(0)</f>
        <v>0</v>
      </c>
      <c r="BD153" s="23">
        <f>VALUE(0)</f>
        <v>0</v>
      </c>
      <c r="BE153" s="23">
        <f>VALUE(0)</f>
        <v>0</v>
      </c>
      <c r="BF153" s="23">
        <f>VALUE(0)</f>
        <v>0</v>
      </c>
      <c r="BG153" s="23">
        <f>VALUE(0)</f>
        <v>0</v>
      </c>
      <c r="BH153" s="23">
        <f>VALUE(0)</f>
        <v>0</v>
      </c>
      <c r="BI153" s="23">
        <f>VALUE(0)</f>
        <v>0</v>
      </c>
      <c r="BJ153" s="23">
        <f>VALUE(0)</f>
        <v>0</v>
      </c>
      <c r="BK153" s="12">
        <f>$AX$153*24</f>
        <v>5.833333333333333</v>
      </c>
      <c r="BL153" s="12">
        <f>$AY$153*24</f>
        <v>58.3</v>
      </c>
      <c r="BM153" s="12">
        <f>$BJ$153*24</f>
        <v>0</v>
      </c>
      <c r="BN153" s="12">
        <f>VALUE($I$153)/100</f>
        <v>1</v>
      </c>
      <c r="BO153" s="12">
        <v>0</v>
      </c>
      <c r="BP153" s="12">
        <v>0</v>
      </c>
      <c r="BQ153" s="12">
        <v>0</v>
      </c>
      <c r="BR153" s="12">
        <v>0</v>
      </c>
      <c r="BS153" s="12">
        <v>0</v>
      </c>
      <c r="BT153" s="12">
        <v>0</v>
      </c>
      <c r="BU153" s="12">
        <v>0</v>
      </c>
      <c r="BV153" s="12">
        <v>0</v>
      </c>
      <c r="BW153" s="12">
        <v>0</v>
      </c>
      <c r="BX153" s="12">
        <v>0</v>
      </c>
      <c r="BY153" s="12">
        <v>0</v>
      </c>
      <c r="BZ153" s="12">
        <v>0</v>
      </c>
      <c r="CA153" s="12">
        <v>0</v>
      </c>
    </row>
    <row r="154" spans="1:79" x14ac:dyDescent="0.2">
      <c r="A154" s="12" t="s">
        <v>120</v>
      </c>
      <c r="B154" s="12" t="s">
        <v>124</v>
      </c>
      <c r="C154" s="12" t="s">
        <v>124</v>
      </c>
      <c r="D154" s="22" t="s">
        <v>376</v>
      </c>
      <c r="E154" s="22" t="s">
        <v>161</v>
      </c>
      <c r="F154" s="22" t="s">
        <v>831</v>
      </c>
      <c r="G154" s="22" t="s">
        <v>832</v>
      </c>
      <c r="H154" s="22" t="s">
        <v>242</v>
      </c>
      <c r="I154" s="22" t="s">
        <v>151</v>
      </c>
      <c r="J154" s="22" t="s">
        <v>162</v>
      </c>
      <c r="K154" s="22" t="s">
        <v>83</v>
      </c>
      <c r="L154" s="54" t="s">
        <v>153</v>
      </c>
      <c r="M154" s="23" t="s">
        <v>153</v>
      </c>
      <c r="N154" s="24" t="s">
        <v>153</v>
      </c>
      <c r="O154" s="23" t="s">
        <v>153</v>
      </c>
      <c r="P154" s="23" t="s">
        <v>153</v>
      </c>
      <c r="Q154" s="23" t="s">
        <v>153</v>
      </c>
      <c r="R154" s="23" t="s">
        <v>153</v>
      </c>
      <c r="S154" s="23" t="s">
        <v>153</v>
      </c>
      <c r="T154" s="23" t="s">
        <v>153</v>
      </c>
      <c r="U154" s="24" t="s">
        <v>153</v>
      </c>
      <c r="V154" s="54" t="s">
        <v>153</v>
      </c>
      <c r="W154" s="27" t="s">
        <v>153</v>
      </c>
      <c r="X154" s="27" t="s">
        <v>153</v>
      </c>
      <c r="Y154" s="27" t="s">
        <v>153</v>
      </c>
      <c r="Z154" s="27" t="s">
        <v>153</v>
      </c>
      <c r="AA154" s="27" t="s">
        <v>153</v>
      </c>
      <c r="AB154" s="24" t="s">
        <v>153</v>
      </c>
      <c r="AC154" s="27" t="s">
        <v>153</v>
      </c>
      <c r="AD154" s="27" t="s">
        <v>153</v>
      </c>
      <c r="AE154" s="27" t="s">
        <v>153</v>
      </c>
      <c r="AF154" s="27" t="s">
        <v>153</v>
      </c>
      <c r="AG154" s="27" t="s">
        <v>153</v>
      </c>
      <c r="AH154" s="27" t="s">
        <v>153</v>
      </c>
      <c r="AI154" s="24" t="s">
        <v>153</v>
      </c>
      <c r="AJ154" s="27" t="s">
        <v>153</v>
      </c>
      <c r="AK154" s="27" t="s">
        <v>153</v>
      </c>
      <c r="AL154" s="27" t="s">
        <v>153</v>
      </c>
      <c r="AM154" s="27" t="s">
        <v>153</v>
      </c>
      <c r="AN154" s="27" t="s">
        <v>153</v>
      </c>
      <c r="AO154" s="27" t="s">
        <v>153</v>
      </c>
      <c r="AP154" s="23">
        <f>VALUE(0)</f>
        <v>0</v>
      </c>
      <c r="AQ154" s="23">
        <f>VALUE(0)</f>
        <v>0</v>
      </c>
      <c r="AR154" s="23">
        <f>VALUE(0)</f>
        <v>0</v>
      </c>
      <c r="AS154" s="23">
        <f>VALUE(0)</f>
        <v>0</v>
      </c>
      <c r="AT154" s="23">
        <f>VALUE(0)</f>
        <v>0</v>
      </c>
      <c r="AU154" s="23">
        <f>VALUE(0)</f>
        <v>0</v>
      </c>
      <c r="AV154" s="23">
        <f>VALUE(0)</f>
        <v>0</v>
      </c>
      <c r="AW154" s="23">
        <f>VALUE(0)</f>
        <v>0</v>
      </c>
      <c r="AX154" s="23">
        <f>VALUE(0)</f>
        <v>0</v>
      </c>
      <c r="AY154" s="23">
        <f>VALUE(0)</f>
        <v>0</v>
      </c>
      <c r="AZ154" s="23">
        <f>VALUE(0)</f>
        <v>0</v>
      </c>
      <c r="BA154" s="23">
        <f>VALUE(0)</f>
        <v>0</v>
      </c>
      <c r="BB154" s="23">
        <f>VALUE(0)</f>
        <v>0</v>
      </c>
      <c r="BC154" s="23">
        <f>VALUE(0)</f>
        <v>0</v>
      </c>
      <c r="BD154" s="23">
        <f>VALUE(0)</f>
        <v>0</v>
      </c>
      <c r="BE154" s="23">
        <f>VALUE(0)</f>
        <v>0</v>
      </c>
      <c r="BF154" s="23">
        <f>VALUE(0)</f>
        <v>0</v>
      </c>
      <c r="BG154" s="23">
        <f>VALUE(0)</f>
        <v>0</v>
      </c>
      <c r="BH154" s="23">
        <f>VALUE(0)</f>
        <v>0</v>
      </c>
      <c r="BI154" s="23">
        <f>VALUE(0)</f>
        <v>0</v>
      </c>
      <c r="BJ154" s="23">
        <f>VALUE(0)</f>
        <v>0</v>
      </c>
      <c r="BK154" s="12">
        <f>$AX$154*24</f>
        <v>0</v>
      </c>
      <c r="BL154" s="12">
        <f>$AY$154*24</f>
        <v>0</v>
      </c>
      <c r="BM154" s="12">
        <f>$BJ$154*24</f>
        <v>0</v>
      </c>
      <c r="BN154" s="12">
        <f>VALUE($I$154)/100</f>
        <v>1</v>
      </c>
      <c r="BO154" s="12">
        <v>0</v>
      </c>
      <c r="BP154" s="12">
        <v>0</v>
      </c>
      <c r="BQ154" s="12">
        <v>0</v>
      </c>
      <c r="BR154" s="12">
        <v>0</v>
      </c>
      <c r="BS154" s="12">
        <v>0</v>
      </c>
      <c r="BT154" s="12">
        <v>0</v>
      </c>
      <c r="BU154" s="12">
        <v>0</v>
      </c>
      <c r="BV154" s="12">
        <v>0</v>
      </c>
      <c r="BW154" s="12">
        <v>0</v>
      </c>
      <c r="BX154" s="12">
        <v>0</v>
      </c>
      <c r="BY154" s="12">
        <v>0</v>
      </c>
      <c r="BZ154" s="12">
        <v>0</v>
      </c>
      <c r="CA154" s="12">
        <v>0</v>
      </c>
    </row>
    <row r="155" spans="1:79" x14ac:dyDescent="0.2">
      <c r="A155" s="12" t="s">
        <v>120</v>
      </c>
      <c r="B155" s="12" t="s">
        <v>124</v>
      </c>
      <c r="C155" s="12" t="s">
        <v>124</v>
      </c>
      <c r="D155" s="22" t="s">
        <v>382</v>
      </c>
      <c r="E155" s="22" t="s">
        <v>161</v>
      </c>
      <c r="F155" s="22" t="s">
        <v>1224</v>
      </c>
      <c r="G155" s="22" t="s">
        <v>833</v>
      </c>
      <c r="H155" s="22" t="s">
        <v>190</v>
      </c>
      <c r="I155" s="22" t="s">
        <v>151</v>
      </c>
      <c r="J155" s="22" t="s">
        <v>162</v>
      </c>
      <c r="K155" s="22" t="s">
        <v>83</v>
      </c>
      <c r="L155" s="54" t="s">
        <v>153</v>
      </c>
      <c r="M155" s="23" t="s">
        <v>153</v>
      </c>
      <c r="N155" s="24" t="s">
        <v>153</v>
      </c>
      <c r="O155" s="23" t="s">
        <v>153</v>
      </c>
      <c r="P155" s="23" t="s">
        <v>153</v>
      </c>
      <c r="Q155" s="23" t="s">
        <v>153</v>
      </c>
      <c r="R155" s="23" t="s">
        <v>153</v>
      </c>
      <c r="S155" s="23" t="s">
        <v>153</v>
      </c>
      <c r="T155" s="23" t="s">
        <v>153</v>
      </c>
      <c r="U155" s="24" t="s">
        <v>153</v>
      </c>
      <c r="V155" s="54" t="s">
        <v>153</v>
      </c>
      <c r="W155" s="40" t="s">
        <v>153</v>
      </c>
      <c r="X155" s="40" t="s">
        <v>153</v>
      </c>
      <c r="Y155" s="40" t="s">
        <v>153</v>
      </c>
      <c r="Z155" s="40" t="s">
        <v>153</v>
      </c>
      <c r="AA155" s="40" t="s">
        <v>153</v>
      </c>
      <c r="AB155" s="40" t="s">
        <v>153</v>
      </c>
      <c r="AC155" s="40" t="s">
        <v>153</v>
      </c>
      <c r="AD155" s="40" t="s">
        <v>153</v>
      </c>
      <c r="AE155" s="40" t="s">
        <v>153</v>
      </c>
      <c r="AF155" s="40" t="s">
        <v>153</v>
      </c>
      <c r="AG155" s="40" t="s">
        <v>153</v>
      </c>
      <c r="AH155" s="40" t="s">
        <v>153</v>
      </c>
      <c r="AI155" s="40" t="s">
        <v>153</v>
      </c>
      <c r="AJ155" s="40" t="s">
        <v>153</v>
      </c>
      <c r="AK155" s="40" t="s">
        <v>153</v>
      </c>
      <c r="AL155" s="40" t="s">
        <v>153</v>
      </c>
      <c r="AM155" s="40" t="s">
        <v>153</v>
      </c>
      <c r="AN155" s="40" t="s">
        <v>153</v>
      </c>
      <c r="AO155" s="40" t="s">
        <v>153</v>
      </c>
      <c r="AP155" s="23">
        <f>VALUE(0)</f>
        <v>0</v>
      </c>
      <c r="AQ155" s="23">
        <f>VALUE(0)</f>
        <v>0</v>
      </c>
      <c r="AR155" s="23">
        <f>VALUE(0)</f>
        <v>0</v>
      </c>
      <c r="AS155" s="23">
        <f>VALUE(0)</f>
        <v>0</v>
      </c>
      <c r="AT155" s="23">
        <f>VALUE(0)</f>
        <v>0</v>
      </c>
      <c r="AU155" s="23">
        <f>VALUE(0)</f>
        <v>0</v>
      </c>
      <c r="AV155" s="23">
        <f>VALUE(18)</f>
        <v>18</v>
      </c>
      <c r="AW155" s="23">
        <f>VALUE(0)</f>
        <v>0</v>
      </c>
      <c r="AX155" s="23">
        <f>VALUE(0)</f>
        <v>0</v>
      </c>
      <c r="AY155" s="23">
        <f>VALUE(0)</f>
        <v>0</v>
      </c>
      <c r="AZ155" s="23">
        <f>VALUE(0)</f>
        <v>0</v>
      </c>
      <c r="BA155" s="23">
        <f>VALUE(0)</f>
        <v>0</v>
      </c>
      <c r="BB155" s="23">
        <f>VALUE(0)</f>
        <v>0</v>
      </c>
      <c r="BC155" s="23">
        <f>VALUE(0)</f>
        <v>0</v>
      </c>
      <c r="BD155" s="23">
        <f>VALUE(0)</f>
        <v>0</v>
      </c>
      <c r="BE155" s="23">
        <f>VALUE(0)</f>
        <v>0</v>
      </c>
      <c r="BF155" s="23">
        <f>VALUE(0)</f>
        <v>0</v>
      </c>
      <c r="BG155" s="23">
        <f>VALUE(0)</f>
        <v>0</v>
      </c>
      <c r="BH155" s="23">
        <f>VALUE(0)</f>
        <v>0</v>
      </c>
      <c r="BI155" s="23">
        <f>VALUE(0)</f>
        <v>0</v>
      </c>
      <c r="BJ155" s="23">
        <f>VALUE(0)</f>
        <v>0</v>
      </c>
      <c r="BK155" s="12">
        <f>$AX$155*24</f>
        <v>0</v>
      </c>
      <c r="BL155" s="12">
        <f>$AY$155*24</f>
        <v>0</v>
      </c>
      <c r="BM155" s="12">
        <f>$BJ$155*24</f>
        <v>0</v>
      </c>
      <c r="BN155" s="12">
        <f>VALUE($I$155)/100</f>
        <v>1</v>
      </c>
      <c r="BO155" s="12">
        <v>0</v>
      </c>
      <c r="BP155" s="12">
        <v>0</v>
      </c>
      <c r="BQ155" s="12">
        <v>0</v>
      </c>
      <c r="BR155" s="12">
        <v>0</v>
      </c>
      <c r="BS155" s="12">
        <v>0</v>
      </c>
      <c r="BT155" s="12">
        <v>0</v>
      </c>
      <c r="BU155" s="12">
        <v>0</v>
      </c>
      <c r="BV155" s="12">
        <v>0</v>
      </c>
      <c r="BW155" s="12">
        <v>0</v>
      </c>
      <c r="BX155" s="12">
        <v>0</v>
      </c>
      <c r="BY155" s="12">
        <v>0</v>
      </c>
      <c r="BZ155" s="12">
        <v>0</v>
      </c>
      <c r="CA155" s="12">
        <v>0</v>
      </c>
    </row>
    <row r="156" spans="1:79" x14ac:dyDescent="0.2">
      <c r="A156" s="12" t="s">
        <v>120</v>
      </c>
      <c r="B156" s="12" t="s">
        <v>124</v>
      </c>
      <c r="C156" s="12" t="s">
        <v>124</v>
      </c>
      <c r="D156" s="22" t="s">
        <v>382</v>
      </c>
      <c r="E156" s="22" t="s">
        <v>161</v>
      </c>
      <c r="F156" s="22" t="s">
        <v>834</v>
      </c>
      <c r="G156" s="22" t="s">
        <v>835</v>
      </c>
      <c r="H156" s="22" t="s">
        <v>166</v>
      </c>
      <c r="I156" s="22" t="s">
        <v>151</v>
      </c>
      <c r="J156" s="22" t="s">
        <v>162</v>
      </c>
      <c r="K156" s="22" t="s">
        <v>83</v>
      </c>
      <c r="L156" s="54" t="s">
        <v>153</v>
      </c>
      <c r="M156" s="32" t="s">
        <v>188</v>
      </c>
      <c r="N156" s="24" t="s">
        <v>153</v>
      </c>
      <c r="O156" s="32" t="s">
        <v>188</v>
      </c>
      <c r="P156" s="32" t="s">
        <v>188</v>
      </c>
      <c r="Q156" s="32" t="s">
        <v>188</v>
      </c>
      <c r="R156" s="32" t="s">
        <v>188</v>
      </c>
      <c r="S156" s="32" t="s">
        <v>188</v>
      </c>
      <c r="T156" s="32" t="s">
        <v>188</v>
      </c>
      <c r="U156" s="24" t="s">
        <v>153</v>
      </c>
      <c r="V156" s="54" t="s">
        <v>156</v>
      </c>
      <c r="W156" s="24" t="s">
        <v>156</v>
      </c>
      <c r="X156" s="23" t="s">
        <v>153</v>
      </c>
      <c r="Y156" s="23" t="s">
        <v>153</v>
      </c>
      <c r="Z156" s="23" t="s">
        <v>153</v>
      </c>
      <c r="AA156" s="23" t="s">
        <v>153</v>
      </c>
      <c r="AB156" s="24" t="s">
        <v>153</v>
      </c>
      <c r="AC156" s="23" t="s">
        <v>153</v>
      </c>
      <c r="AD156" s="23" t="s">
        <v>153</v>
      </c>
      <c r="AE156" s="23" t="s">
        <v>153</v>
      </c>
      <c r="AF156" s="23" t="s">
        <v>153</v>
      </c>
      <c r="AG156" s="23" t="s">
        <v>153</v>
      </c>
      <c r="AH156" s="23" t="s">
        <v>153</v>
      </c>
      <c r="AI156" s="24" t="s">
        <v>153</v>
      </c>
      <c r="AJ156" s="23" t="s">
        <v>153</v>
      </c>
      <c r="AK156" s="23" t="s">
        <v>153</v>
      </c>
      <c r="AL156" s="23" t="s">
        <v>153</v>
      </c>
      <c r="AM156" s="23" t="s">
        <v>153</v>
      </c>
      <c r="AN156" s="23" t="s">
        <v>153</v>
      </c>
      <c r="AO156" s="23" t="s">
        <v>153</v>
      </c>
      <c r="AP156" s="23">
        <f>VALUE(0)</f>
        <v>0</v>
      </c>
      <c r="AQ156" s="23">
        <f>VALUE(0)</f>
        <v>0</v>
      </c>
      <c r="AR156" s="23">
        <f>VALUE(0)</f>
        <v>0</v>
      </c>
      <c r="AS156" s="23">
        <f>VALUE(0)</f>
        <v>0</v>
      </c>
      <c r="AT156" s="23">
        <f>VALUE(0)</f>
        <v>0</v>
      </c>
      <c r="AU156" s="23">
        <f>VALUE(0)</f>
        <v>0</v>
      </c>
      <c r="AV156" s="23">
        <f>VALUE(29.5)</f>
        <v>29.5</v>
      </c>
      <c r="AW156" s="23">
        <f>VALUE(0)</f>
        <v>0</v>
      </c>
      <c r="AX156" s="23" t="s">
        <v>1225</v>
      </c>
      <c r="AY156" s="23">
        <f>VALUE(0)</f>
        <v>0</v>
      </c>
      <c r="AZ156" s="23">
        <f>VALUE(7)</f>
        <v>7</v>
      </c>
      <c r="BA156" s="23">
        <f>VALUE(0)</f>
        <v>0</v>
      </c>
      <c r="BB156" s="23">
        <f>VALUE(0)</f>
        <v>0</v>
      </c>
      <c r="BC156" s="23">
        <f>VALUE(0)</f>
        <v>0</v>
      </c>
      <c r="BD156" s="23">
        <f>VALUE(0)</f>
        <v>0</v>
      </c>
      <c r="BE156" s="23">
        <f>VALUE(0)</f>
        <v>0</v>
      </c>
      <c r="BF156" s="23">
        <f>VALUE(0)</f>
        <v>0</v>
      </c>
      <c r="BG156" s="23">
        <f>VALUE(0)</f>
        <v>0</v>
      </c>
      <c r="BH156" s="23">
        <f>VALUE(0)</f>
        <v>0</v>
      </c>
      <c r="BI156" s="23">
        <f>VALUE(0)</f>
        <v>0</v>
      </c>
      <c r="BJ156" s="23">
        <f>VALUE(0)</f>
        <v>0</v>
      </c>
      <c r="BK156" s="12">
        <f>$AX$156*24</f>
        <v>31.966666666666665</v>
      </c>
      <c r="BL156" s="12">
        <f>$AY$156*24</f>
        <v>0</v>
      </c>
      <c r="BM156" s="12">
        <f>$BJ$156*24</f>
        <v>0</v>
      </c>
      <c r="BN156" s="12">
        <f>VALUE($I$156)/100</f>
        <v>1</v>
      </c>
      <c r="BO156" s="12">
        <v>0</v>
      </c>
      <c r="BP156" s="12">
        <v>0</v>
      </c>
      <c r="BQ156" s="12">
        <v>0</v>
      </c>
      <c r="BR156" s="12">
        <v>0</v>
      </c>
      <c r="BS156" s="12">
        <v>0</v>
      </c>
      <c r="BT156" s="12">
        <v>0</v>
      </c>
      <c r="BU156" s="12">
        <v>0</v>
      </c>
      <c r="BV156" s="12">
        <v>0</v>
      </c>
      <c r="BW156" s="12">
        <v>0</v>
      </c>
      <c r="BX156" s="12">
        <v>0</v>
      </c>
      <c r="BY156" s="12">
        <v>0</v>
      </c>
      <c r="BZ156" s="12">
        <v>0</v>
      </c>
      <c r="CA156" s="12">
        <v>0</v>
      </c>
    </row>
    <row r="157" spans="1:79" x14ac:dyDescent="0.2">
      <c r="A157" s="12" t="s">
        <v>120</v>
      </c>
      <c r="B157" s="12" t="s">
        <v>124</v>
      </c>
      <c r="C157" s="12" t="s">
        <v>124</v>
      </c>
      <c r="D157" s="22" t="s">
        <v>420</v>
      </c>
      <c r="E157" s="22" t="s">
        <v>161</v>
      </c>
      <c r="F157" s="22" t="s">
        <v>1226</v>
      </c>
      <c r="G157" s="22" t="s">
        <v>836</v>
      </c>
      <c r="H157" s="22" t="s">
        <v>150</v>
      </c>
      <c r="I157" s="22" t="s">
        <v>151</v>
      </c>
      <c r="J157" s="22" t="s">
        <v>162</v>
      </c>
      <c r="K157" s="22" t="s">
        <v>83</v>
      </c>
      <c r="L157" s="54" t="s">
        <v>153</v>
      </c>
      <c r="M157" s="23" t="s">
        <v>153</v>
      </c>
      <c r="N157" s="24" t="s">
        <v>153</v>
      </c>
      <c r="O157" s="24" t="s">
        <v>156</v>
      </c>
      <c r="P157" s="24" t="s">
        <v>156</v>
      </c>
      <c r="Q157" s="23" t="s">
        <v>153</v>
      </c>
      <c r="R157" s="23" t="s">
        <v>153</v>
      </c>
      <c r="S157" s="23" t="s">
        <v>153</v>
      </c>
      <c r="T157" s="23" t="s">
        <v>153</v>
      </c>
      <c r="U157" s="24" t="s">
        <v>153</v>
      </c>
      <c r="V157" s="54" t="s">
        <v>153</v>
      </c>
      <c r="W157" s="23" t="s">
        <v>153</v>
      </c>
      <c r="X157" s="23" t="s">
        <v>153</v>
      </c>
      <c r="Y157" s="23" t="s">
        <v>153</v>
      </c>
      <c r="Z157" s="23" t="s">
        <v>153</v>
      </c>
      <c r="AA157" s="23" t="s">
        <v>153</v>
      </c>
      <c r="AB157" s="24" t="s">
        <v>153</v>
      </c>
      <c r="AC157" s="23" t="s">
        <v>153</v>
      </c>
      <c r="AD157" s="23" t="s">
        <v>153</v>
      </c>
      <c r="AE157" s="23" t="s">
        <v>153</v>
      </c>
      <c r="AF157" s="23" t="s">
        <v>153</v>
      </c>
      <c r="AG157" s="23" t="s">
        <v>153</v>
      </c>
      <c r="AH157" s="23" t="s">
        <v>153</v>
      </c>
      <c r="AI157" s="24" t="s">
        <v>153</v>
      </c>
      <c r="AJ157" s="23" t="s">
        <v>153</v>
      </c>
      <c r="AK157" s="23" t="s">
        <v>153</v>
      </c>
      <c r="AL157" s="23" t="s">
        <v>153</v>
      </c>
      <c r="AM157" s="23" t="s">
        <v>153</v>
      </c>
      <c r="AN157" s="23" t="s">
        <v>153</v>
      </c>
      <c r="AO157" s="23" t="s">
        <v>153</v>
      </c>
      <c r="AP157" s="23">
        <f>VALUE(0)</f>
        <v>0</v>
      </c>
      <c r="AQ157" s="23">
        <f>VALUE(0)</f>
        <v>0</v>
      </c>
      <c r="AR157" s="23">
        <f>VALUE(0)</f>
        <v>0</v>
      </c>
      <c r="AS157" s="23">
        <f>VALUE(0)</f>
        <v>0</v>
      </c>
      <c r="AT157" s="23">
        <f>VALUE(0)</f>
        <v>0</v>
      </c>
      <c r="AU157" s="23">
        <f>VALUE(0)</f>
        <v>0</v>
      </c>
      <c r="AV157" s="23">
        <f>VALUE(3)</f>
        <v>3</v>
      </c>
      <c r="AW157" s="23">
        <f>VALUE(0)</f>
        <v>0</v>
      </c>
      <c r="AX157" s="23">
        <f>VALUE(0)</f>
        <v>0</v>
      </c>
      <c r="AY157" s="23" t="s">
        <v>421</v>
      </c>
      <c r="AZ157" s="23">
        <f>VALUE(0)</f>
        <v>0</v>
      </c>
      <c r="BA157" s="23">
        <f>VALUE(0)</f>
        <v>0</v>
      </c>
      <c r="BB157" s="23">
        <f>VALUE(0)</f>
        <v>0</v>
      </c>
      <c r="BC157" s="23">
        <f>VALUE(0)</f>
        <v>0</v>
      </c>
      <c r="BD157" s="23">
        <f>VALUE(0)</f>
        <v>0</v>
      </c>
      <c r="BE157" s="23">
        <f>VALUE(0)</f>
        <v>0</v>
      </c>
      <c r="BF157" s="23">
        <f>VALUE(0)</f>
        <v>0</v>
      </c>
      <c r="BG157" s="23">
        <f>VALUE(0)</f>
        <v>0</v>
      </c>
      <c r="BH157" s="23">
        <f>VALUE(0)</f>
        <v>0</v>
      </c>
      <c r="BI157" s="23">
        <f>VALUE(0)</f>
        <v>0</v>
      </c>
      <c r="BJ157" s="23">
        <f>VALUE(0)</f>
        <v>0</v>
      </c>
      <c r="BK157" s="12">
        <f>$AX$157*24</f>
        <v>0</v>
      </c>
      <c r="BL157" s="12">
        <f>$AY$157*24</f>
        <v>5.85</v>
      </c>
      <c r="BM157" s="12">
        <f>$BJ$157*24</f>
        <v>0</v>
      </c>
      <c r="BN157" s="12">
        <f>VALUE($I$157)/100</f>
        <v>1</v>
      </c>
      <c r="BO157" s="12">
        <v>0</v>
      </c>
      <c r="BP157" s="12">
        <v>0</v>
      </c>
      <c r="BQ157" s="12">
        <v>0</v>
      </c>
      <c r="BR157" s="12">
        <v>0</v>
      </c>
      <c r="BS157" s="12">
        <v>0</v>
      </c>
      <c r="BT157" s="12">
        <v>0</v>
      </c>
      <c r="BU157" s="12">
        <v>0</v>
      </c>
      <c r="BV157" s="12">
        <v>0</v>
      </c>
      <c r="BW157" s="12">
        <v>0</v>
      </c>
      <c r="BX157" s="12">
        <v>0</v>
      </c>
      <c r="BY157" s="12">
        <v>0</v>
      </c>
      <c r="BZ157" s="12">
        <v>0</v>
      </c>
      <c r="CA157" s="12">
        <v>0</v>
      </c>
    </row>
    <row r="158" spans="1:79" x14ac:dyDescent="0.2">
      <c r="A158" s="12" t="s">
        <v>120</v>
      </c>
      <c r="B158" s="12" t="s">
        <v>124</v>
      </c>
      <c r="C158" s="12" t="s">
        <v>124</v>
      </c>
      <c r="D158" s="22" t="s">
        <v>390</v>
      </c>
      <c r="E158" s="22" t="s">
        <v>161</v>
      </c>
      <c r="F158" s="22" t="s">
        <v>837</v>
      </c>
      <c r="G158" s="22" t="s">
        <v>838</v>
      </c>
      <c r="H158" s="22" t="s">
        <v>150</v>
      </c>
      <c r="I158" s="22" t="s">
        <v>151</v>
      </c>
      <c r="J158" s="22" t="s">
        <v>162</v>
      </c>
      <c r="K158" s="22" t="s">
        <v>83</v>
      </c>
      <c r="L158" s="54" t="s">
        <v>153</v>
      </c>
      <c r="M158" s="23" t="s">
        <v>153</v>
      </c>
      <c r="N158" s="24" t="s">
        <v>153</v>
      </c>
      <c r="O158" s="23" t="s">
        <v>153</v>
      </c>
      <c r="P158" s="23" t="s">
        <v>153</v>
      </c>
      <c r="Q158" s="23" t="s">
        <v>153</v>
      </c>
      <c r="R158" s="23" t="s">
        <v>153</v>
      </c>
      <c r="S158" s="23" t="s">
        <v>153</v>
      </c>
      <c r="T158" s="23" t="s">
        <v>153</v>
      </c>
      <c r="U158" s="24" t="s">
        <v>153</v>
      </c>
      <c r="V158" s="54" t="s">
        <v>153</v>
      </c>
      <c r="W158" s="23" t="s">
        <v>153</v>
      </c>
      <c r="X158" s="23" t="s">
        <v>153</v>
      </c>
      <c r="Y158" s="23" t="s">
        <v>153</v>
      </c>
      <c r="Z158" s="23" t="s">
        <v>153</v>
      </c>
      <c r="AA158" s="23" t="s">
        <v>153</v>
      </c>
      <c r="AB158" s="24" t="s">
        <v>153</v>
      </c>
      <c r="AC158" s="23" t="s">
        <v>153</v>
      </c>
      <c r="AD158" s="23" t="s">
        <v>153</v>
      </c>
      <c r="AE158" s="23" t="s">
        <v>153</v>
      </c>
      <c r="AF158" s="23" t="s">
        <v>153</v>
      </c>
      <c r="AG158" s="23" t="s">
        <v>153</v>
      </c>
      <c r="AH158" s="23" t="s">
        <v>153</v>
      </c>
      <c r="AI158" s="24" t="s">
        <v>153</v>
      </c>
      <c r="AJ158" s="23" t="s">
        <v>153</v>
      </c>
      <c r="AK158" s="23" t="s">
        <v>153</v>
      </c>
      <c r="AL158" s="24" t="s">
        <v>156</v>
      </c>
      <c r="AM158" s="24" t="s">
        <v>156</v>
      </c>
      <c r="AN158" s="23" t="s">
        <v>153</v>
      </c>
      <c r="AO158" s="23" t="s">
        <v>153</v>
      </c>
      <c r="AP158" s="23">
        <f>VALUE(0)</f>
        <v>0</v>
      </c>
      <c r="AQ158" s="23">
        <f>VALUE(0)</f>
        <v>0</v>
      </c>
      <c r="AR158" s="23">
        <f>VALUE(0)</f>
        <v>0</v>
      </c>
      <c r="AS158" s="23">
        <f>VALUE(0)</f>
        <v>0</v>
      </c>
      <c r="AT158" s="23">
        <f>VALUE(0)</f>
        <v>0</v>
      </c>
      <c r="AU158" s="23">
        <f>VALUE(0)</f>
        <v>0</v>
      </c>
      <c r="AV158" s="23">
        <f>VALUE(2)</f>
        <v>2</v>
      </c>
      <c r="AW158" s="23">
        <f>VALUE(0)</f>
        <v>0</v>
      </c>
      <c r="AX158" s="23" t="s">
        <v>255</v>
      </c>
      <c r="AY158" s="23" t="s">
        <v>422</v>
      </c>
      <c r="AZ158" s="23">
        <f>VALUE(0)</f>
        <v>0</v>
      </c>
      <c r="BA158" s="23">
        <f>VALUE(0)</f>
        <v>0</v>
      </c>
      <c r="BB158" s="23">
        <f>VALUE(0)</f>
        <v>0</v>
      </c>
      <c r="BC158" s="23">
        <f>VALUE(0)</f>
        <v>0</v>
      </c>
      <c r="BD158" s="23">
        <f>VALUE(0)</f>
        <v>0</v>
      </c>
      <c r="BE158" s="23">
        <f>VALUE(0)</f>
        <v>0</v>
      </c>
      <c r="BF158" s="23">
        <f>VALUE(0)</f>
        <v>0</v>
      </c>
      <c r="BG158" s="23">
        <f>VALUE(0)</f>
        <v>0</v>
      </c>
      <c r="BH158" s="23">
        <f>VALUE(0)</f>
        <v>0</v>
      </c>
      <c r="BI158" s="23">
        <f>VALUE(0)</f>
        <v>0</v>
      </c>
      <c r="BJ158" s="23">
        <f>VALUE(0)</f>
        <v>0</v>
      </c>
      <c r="BK158" s="12">
        <f>$AX$158*24</f>
        <v>2.5</v>
      </c>
      <c r="BL158" s="12">
        <f>$AY$158*24</f>
        <v>3.8166666666666664</v>
      </c>
      <c r="BM158" s="12">
        <f>$BJ$158*24</f>
        <v>0</v>
      </c>
      <c r="BN158" s="12">
        <f>VALUE($I$158)/100</f>
        <v>1</v>
      </c>
      <c r="BO158" s="12">
        <v>0</v>
      </c>
      <c r="BP158" s="12">
        <v>0</v>
      </c>
      <c r="BQ158" s="12">
        <v>0</v>
      </c>
      <c r="BR158" s="12">
        <v>0</v>
      </c>
      <c r="BS158" s="12">
        <v>0</v>
      </c>
      <c r="BT158" s="12">
        <v>0</v>
      </c>
      <c r="BU158" s="12">
        <v>0</v>
      </c>
      <c r="BV158" s="12">
        <v>0</v>
      </c>
      <c r="BW158" s="12">
        <v>0</v>
      </c>
      <c r="BX158" s="12">
        <v>0</v>
      </c>
      <c r="BY158" s="12">
        <v>0</v>
      </c>
      <c r="BZ158" s="12">
        <v>0</v>
      </c>
      <c r="CA158" s="12">
        <v>0</v>
      </c>
    </row>
    <row r="159" spans="1:79" x14ac:dyDescent="0.2">
      <c r="A159" s="12" t="s">
        <v>120</v>
      </c>
      <c r="B159" s="12" t="s">
        <v>124</v>
      </c>
      <c r="C159" s="12" t="s">
        <v>124</v>
      </c>
      <c r="D159" s="22" t="s">
        <v>384</v>
      </c>
      <c r="E159" s="22" t="s">
        <v>161</v>
      </c>
      <c r="F159" s="22" t="s">
        <v>839</v>
      </c>
      <c r="G159" s="22" t="s">
        <v>840</v>
      </c>
      <c r="H159" s="22" t="s">
        <v>150</v>
      </c>
      <c r="I159" s="22" t="s">
        <v>151</v>
      </c>
      <c r="J159" s="22" t="s">
        <v>162</v>
      </c>
      <c r="K159" s="22" t="s">
        <v>83</v>
      </c>
      <c r="L159" s="54" t="s">
        <v>153</v>
      </c>
      <c r="M159" s="23" t="s">
        <v>153</v>
      </c>
      <c r="N159" s="24" t="s">
        <v>153</v>
      </c>
      <c r="O159" s="23" t="s">
        <v>153</v>
      </c>
      <c r="P159" s="23" t="s">
        <v>153</v>
      </c>
      <c r="Q159" s="23" t="s">
        <v>153</v>
      </c>
      <c r="R159" s="23" t="s">
        <v>153</v>
      </c>
      <c r="S159" s="23" t="s">
        <v>153</v>
      </c>
      <c r="T159" s="23" t="s">
        <v>153</v>
      </c>
      <c r="U159" s="24" t="s">
        <v>153</v>
      </c>
      <c r="V159" s="54" t="s">
        <v>153</v>
      </c>
      <c r="W159" s="23" t="s">
        <v>153</v>
      </c>
      <c r="X159" s="23" t="s">
        <v>153</v>
      </c>
      <c r="Y159" s="23" t="s">
        <v>153</v>
      </c>
      <c r="Z159" s="23" t="s">
        <v>153</v>
      </c>
      <c r="AA159" s="23" t="s">
        <v>153</v>
      </c>
      <c r="AB159" s="24" t="s">
        <v>153</v>
      </c>
      <c r="AC159" s="23" t="s">
        <v>153</v>
      </c>
      <c r="AD159" s="23" t="s">
        <v>153</v>
      </c>
      <c r="AE159" s="23" t="s">
        <v>153</v>
      </c>
      <c r="AF159" s="23" t="s">
        <v>153</v>
      </c>
      <c r="AG159" s="23" t="s">
        <v>153</v>
      </c>
      <c r="AH159" s="23" t="s">
        <v>153</v>
      </c>
      <c r="AI159" s="24" t="s">
        <v>153</v>
      </c>
      <c r="AJ159" s="23" t="s">
        <v>153</v>
      </c>
      <c r="AK159" s="23" t="s">
        <v>153</v>
      </c>
      <c r="AL159" s="23" t="s">
        <v>153</v>
      </c>
      <c r="AM159" s="23" t="s">
        <v>153</v>
      </c>
      <c r="AN159" s="24" t="s">
        <v>156</v>
      </c>
      <c r="AO159" s="24" t="s">
        <v>156</v>
      </c>
      <c r="AP159" s="23">
        <f>VALUE(0)</f>
        <v>0</v>
      </c>
      <c r="AQ159" s="23">
        <f>VALUE(0)</f>
        <v>0</v>
      </c>
      <c r="AR159" s="23">
        <f>VALUE(0)</f>
        <v>0</v>
      </c>
      <c r="AS159" s="23">
        <f>VALUE(0)</f>
        <v>0</v>
      </c>
      <c r="AT159" s="23">
        <f>VALUE(0)</f>
        <v>0</v>
      </c>
      <c r="AU159" s="23">
        <f>VALUE(0)</f>
        <v>0</v>
      </c>
      <c r="AV159" s="23">
        <f>VALUE(3)</f>
        <v>3</v>
      </c>
      <c r="AW159" s="23">
        <f>VALUE(0)</f>
        <v>0</v>
      </c>
      <c r="AX159" s="23" t="s">
        <v>171</v>
      </c>
      <c r="AY159" s="23" t="s">
        <v>1227</v>
      </c>
      <c r="AZ159" s="23">
        <f>VALUE(0)</f>
        <v>0</v>
      </c>
      <c r="BA159" s="23">
        <f>VALUE(0)</f>
        <v>0</v>
      </c>
      <c r="BB159" s="23">
        <f>VALUE(0)</f>
        <v>0</v>
      </c>
      <c r="BC159" s="23">
        <f>VALUE(0)</f>
        <v>0</v>
      </c>
      <c r="BD159" s="23">
        <f>VALUE(0)</f>
        <v>0</v>
      </c>
      <c r="BE159" s="23">
        <f>VALUE(0)</f>
        <v>0</v>
      </c>
      <c r="BF159" s="23">
        <f>VALUE(0)</f>
        <v>0</v>
      </c>
      <c r="BG159" s="23">
        <f>VALUE(0)</f>
        <v>0</v>
      </c>
      <c r="BH159" s="23">
        <f>VALUE(0)</f>
        <v>0</v>
      </c>
      <c r="BI159" s="23">
        <f>VALUE(0)</f>
        <v>0</v>
      </c>
      <c r="BJ159" s="23">
        <f>VALUE(0)</f>
        <v>0</v>
      </c>
      <c r="BK159" s="12">
        <f>$AX$159*24</f>
        <v>5.833333333333333</v>
      </c>
      <c r="BL159" s="12">
        <f>$AY$159*24</f>
        <v>44.9</v>
      </c>
      <c r="BM159" s="12">
        <f>$BJ$159*24</f>
        <v>0</v>
      </c>
      <c r="BN159" s="12">
        <f>VALUE($I$159)/100</f>
        <v>1</v>
      </c>
      <c r="BO159" s="12">
        <v>0</v>
      </c>
      <c r="BP159" s="12">
        <v>0</v>
      </c>
      <c r="BQ159" s="12">
        <v>0</v>
      </c>
      <c r="BR159" s="12">
        <v>0</v>
      </c>
      <c r="BS159" s="12">
        <v>0</v>
      </c>
      <c r="BT159" s="12">
        <v>0</v>
      </c>
      <c r="BU159" s="12">
        <v>0</v>
      </c>
      <c r="BV159" s="12">
        <v>0</v>
      </c>
      <c r="BW159" s="12">
        <v>0</v>
      </c>
      <c r="BX159" s="12">
        <v>0</v>
      </c>
      <c r="BY159" s="12">
        <v>0</v>
      </c>
      <c r="BZ159" s="12">
        <v>0</v>
      </c>
      <c r="CA159" s="12">
        <v>0</v>
      </c>
    </row>
    <row r="160" spans="1:79" x14ac:dyDescent="0.2">
      <c r="A160" s="12" t="s">
        <v>120</v>
      </c>
      <c r="B160" s="12" t="s">
        <v>124</v>
      </c>
      <c r="C160" s="12" t="s">
        <v>124</v>
      </c>
      <c r="D160" s="22" t="s">
        <v>423</v>
      </c>
      <c r="E160" s="22" t="s">
        <v>161</v>
      </c>
      <c r="F160" s="22" t="s">
        <v>1228</v>
      </c>
      <c r="G160" s="22" t="s">
        <v>841</v>
      </c>
      <c r="H160" s="22" t="s">
        <v>150</v>
      </c>
      <c r="I160" s="22" t="s">
        <v>151</v>
      </c>
      <c r="J160" s="22" t="s">
        <v>162</v>
      </c>
      <c r="K160" s="22" t="s">
        <v>83</v>
      </c>
      <c r="L160" s="54" t="s">
        <v>153</v>
      </c>
      <c r="M160" s="28" t="s">
        <v>163</v>
      </c>
      <c r="N160" s="24" t="s">
        <v>153</v>
      </c>
      <c r="O160" s="23" t="s">
        <v>153</v>
      </c>
      <c r="P160" s="23" t="s">
        <v>153</v>
      </c>
      <c r="Q160" s="23" t="s">
        <v>153</v>
      </c>
      <c r="R160" s="23" t="s">
        <v>153</v>
      </c>
      <c r="S160" s="23" t="s">
        <v>153</v>
      </c>
      <c r="T160" s="23" t="s">
        <v>153</v>
      </c>
      <c r="U160" s="24" t="s">
        <v>153</v>
      </c>
      <c r="V160" s="54" t="s">
        <v>153</v>
      </c>
      <c r="W160" s="23" t="s">
        <v>153</v>
      </c>
      <c r="X160" s="23" t="s">
        <v>153</v>
      </c>
      <c r="Y160" s="23" t="s">
        <v>153</v>
      </c>
      <c r="Z160" s="24" t="s">
        <v>156</v>
      </c>
      <c r="AA160" s="24" t="s">
        <v>156</v>
      </c>
      <c r="AB160" s="24" t="s">
        <v>153</v>
      </c>
      <c r="AC160" s="23" t="s">
        <v>153</v>
      </c>
      <c r="AD160" s="23" t="s">
        <v>153</v>
      </c>
      <c r="AE160" s="23" t="s">
        <v>153</v>
      </c>
      <c r="AF160" s="23" t="s">
        <v>153</v>
      </c>
      <c r="AG160" s="23" t="s">
        <v>153</v>
      </c>
      <c r="AH160" s="23" t="s">
        <v>153</v>
      </c>
      <c r="AI160" s="24" t="s">
        <v>153</v>
      </c>
      <c r="AJ160" s="23" t="s">
        <v>153</v>
      </c>
      <c r="AK160" s="23" t="s">
        <v>153</v>
      </c>
      <c r="AL160" s="23" t="s">
        <v>153</v>
      </c>
      <c r="AM160" s="23" t="s">
        <v>153</v>
      </c>
      <c r="AN160" s="23" t="s">
        <v>153</v>
      </c>
      <c r="AO160" s="23" t="s">
        <v>153</v>
      </c>
      <c r="AP160" s="23">
        <f>VALUE(3)</f>
        <v>3</v>
      </c>
      <c r="AQ160" s="23">
        <f>VALUE(0)</f>
        <v>0</v>
      </c>
      <c r="AR160" s="23">
        <f>VALUE(0)</f>
        <v>0</v>
      </c>
      <c r="AS160" s="23">
        <f>VALUE(0)</f>
        <v>0</v>
      </c>
      <c r="AT160" s="23">
        <f>VALUE(0)</f>
        <v>0</v>
      </c>
      <c r="AU160" s="23">
        <f>VALUE(1)</f>
        <v>1</v>
      </c>
      <c r="AV160" s="23">
        <f>VALUE(4)</f>
        <v>4</v>
      </c>
      <c r="AW160" s="23">
        <f>VALUE(0)</f>
        <v>0</v>
      </c>
      <c r="AX160" s="23" t="s">
        <v>176</v>
      </c>
      <c r="AY160" s="23" t="s">
        <v>424</v>
      </c>
      <c r="AZ160" s="23">
        <f>VALUE(0)</f>
        <v>0</v>
      </c>
      <c r="BA160" s="23">
        <f>VALUE(0)</f>
        <v>0</v>
      </c>
      <c r="BB160" s="23">
        <f>VALUE(0)</f>
        <v>0</v>
      </c>
      <c r="BC160" s="23">
        <f>VALUE(0)</f>
        <v>0</v>
      </c>
      <c r="BD160" s="23">
        <f>VALUE(0)</f>
        <v>0</v>
      </c>
      <c r="BE160" s="23">
        <f>VALUE(0)</f>
        <v>0</v>
      </c>
      <c r="BF160" s="23">
        <f>VALUE(0)</f>
        <v>0</v>
      </c>
      <c r="BG160" s="23">
        <f>VALUE(0)</f>
        <v>0</v>
      </c>
      <c r="BH160" s="23">
        <f>VALUE(0)</f>
        <v>0</v>
      </c>
      <c r="BI160" s="23">
        <f>VALUE(0)</f>
        <v>0</v>
      </c>
      <c r="BJ160" s="23">
        <f>VALUE(0)</f>
        <v>0</v>
      </c>
      <c r="BK160" s="12">
        <f>$AX$160*24</f>
        <v>0</v>
      </c>
      <c r="BL160" s="12">
        <f>$AY$160*24</f>
        <v>2.4666666666666668</v>
      </c>
      <c r="BM160" s="12">
        <f>$BJ$160*24</f>
        <v>0</v>
      </c>
      <c r="BN160" s="12">
        <f>VALUE($I$160)/100</f>
        <v>1</v>
      </c>
      <c r="BO160" s="12">
        <v>0</v>
      </c>
      <c r="BP160" s="12">
        <v>0</v>
      </c>
      <c r="BQ160" s="12">
        <v>0</v>
      </c>
      <c r="BR160" s="12">
        <v>0</v>
      </c>
      <c r="BS160" s="12">
        <v>0</v>
      </c>
      <c r="BT160" s="12">
        <v>0</v>
      </c>
      <c r="BU160" s="12">
        <v>0</v>
      </c>
      <c r="BV160" s="12">
        <v>0</v>
      </c>
      <c r="BW160" s="12">
        <v>0</v>
      </c>
      <c r="BX160" s="12">
        <v>0</v>
      </c>
      <c r="BY160" s="12">
        <v>0</v>
      </c>
      <c r="BZ160" s="12">
        <v>0</v>
      </c>
      <c r="CA160" s="12">
        <v>0</v>
      </c>
    </row>
    <row r="161" spans="1:79" x14ac:dyDescent="0.2">
      <c r="A161" s="12" t="s">
        <v>120</v>
      </c>
      <c r="B161" s="12" t="s">
        <v>124</v>
      </c>
      <c r="C161" s="12" t="s">
        <v>124</v>
      </c>
      <c r="D161" s="22" t="s">
        <v>380</v>
      </c>
      <c r="E161" s="22" t="s">
        <v>161</v>
      </c>
      <c r="F161" s="22" t="s">
        <v>842</v>
      </c>
      <c r="G161" s="22" t="s">
        <v>843</v>
      </c>
      <c r="H161" s="22" t="s">
        <v>166</v>
      </c>
      <c r="I161" s="22" t="s">
        <v>151</v>
      </c>
      <c r="J161" s="22" t="s">
        <v>162</v>
      </c>
      <c r="K161" s="22" t="s">
        <v>83</v>
      </c>
      <c r="L161" s="54" t="s">
        <v>153</v>
      </c>
      <c r="M161" s="23" t="s">
        <v>153</v>
      </c>
      <c r="N161" s="24" t="s">
        <v>153</v>
      </c>
      <c r="O161" s="23" t="s">
        <v>153</v>
      </c>
      <c r="P161" s="23" t="s">
        <v>153</v>
      </c>
      <c r="Q161" s="23" t="s">
        <v>153</v>
      </c>
      <c r="R161" s="23" t="s">
        <v>153</v>
      </c>
      <c r="S161" s="24" t="s">
        <v>156</v>
      </c>
      <c r="T161" s="24" t="s">
        <v>156</v>
      </c>
      <c r="U161" s="24" t="s">
        <v>153</v>
      </c>
      <c r="V161" s="54" t="s">
        <v>153</v>
      </c>
      <c r="W161" s="28" t="s">
        <v>163</v>
      </c>
      <c r="X161" s="28" t="s">
        <v>163</v>
      </c>
      <c r="Y161" s="28" t="s">
        <v>163</v>
      </c>
      <c r="Z161" s="28" t="s">
        <v>163</v>
      </c>
      <c r="AA161" s="28" t="s">
        <v>163</v>
      </c>
      <c r="AB161" s="24" t="s">
        <v>153</v>
      </c>
      <c r="AC161" s="23" t="s">
        <v>153</v>
      </c>
      <c r="AD161" s="23" t="s">
        <v>153</v>
      </c>
      <c r="AE161" s="23" t="s">
        <v>153</v>
      </c>
      <c r="AF161" s="23" t="s">
        <v>153</v>
      </c>
      <c r="AG161" s="23" t="s">
        <v>153</v>
      </c>
      <c r="AH161" s="23" t="s">
        <v>153</v>
      </c>
      <c r="AI161" s="24" t="s">
        <v>153</v>
      </c>
      <c r="AJ161" s="23" t="s">
        <v>153</v>
      </c>
      <c r="AK161" s="23" t="s">
        <v>153</v>
      </c>
      <c r="AL161" s="23" t="s">
        <v>153</v>
      </c>
      <c r="AM161" s="23" t="s">
        <v>153</v>
      </c>
      <c r="AN161" s="23" t="s">
        <v>153</v>
      </c>
      <c r="AO161" s="23" t="s">
        <v>153</v>
      </c>
      <c r="AP161" s="23">
        <f>VALUE(0)</f>
        <v>0</v>
      </c>
      <c r="AQ161" s="23">
        <f>VALUE(0)</f>
        <v>0</v>
      </c>
      <c r="AR161" s="23">
        <f>VALUE(0)</f>
        <v>0</v>
      </c>
      <c r="AS161" s="23">
        <f>VALUE(0)</f>
        <v>0</v>
      </c>
      <c r="AT161" s="23">
        <f>VALUE(0)</f>
        <v>0</v>
      </c>
      <c r="AU161" s="23">
        <f>VALUE(5)</f>
        <v>5</v>
      </c>
      <c r="AV161" s="23">
        <f>VALUE(0.5)</f>
        <v>0.5</v>
      </c>
      <c r="AW161" s="23">
        <f>VALUE(0)</f>
        <v>0</v>
      </c>
      <c r="AX161" s="23" t="s">
        <v>1229</v>
      </c>
      <c r="AY161" s="23">
        <f>VALUE(0)</f>
        <v>0</v>
      </c>
      <c r="AZ161" s="23">
        <f>VALUE(0)</f>
        <v>0</v>
      </c>
      <c r="BA161" s="23">
        <f>VALUE(0)</f>
        <v>0</v>
      </c>
      <c r="BB161" s="23">
        <f>VALUE(0)</f>
        <v>0</v>
      </c>
      <c r="BC161" s="23">
        <f>VALUE(0)</f>
        <v>0</v>
      </c>
      <c r="BD161" s="23">
        <f>VALUE(0)</f>
        <v>0</v>
      </c>
      <c r="BE161" s="23">
        <f>VALUE(0)</f>
        <v>0</v>
      </c>
      <c r="BF161" s="23">
        <f>VALUE(0)</f>
        <v>0</v>
      </c>
      <c r="BG161" s="23">
        <f>VALUE(0)</f>
        <v>0</v>
      </c>
      <c r="BH161" s="23">
        <f>VALUE(0)</f>
        <v>0</v>
      </c>
      <c r="BI161" s="23">
        <f>VALUE(0)</f>
        <v>0</v>
      </c>
      <c r="BJ161" s="23">
        <f>VALUE(0)</f>
        <v>0</v>
      </c>
      <c r="BK161" s="12">
        <f>$AX$161*24</f>
        <v>55.349999999999994</v>
      </c>
      <c r="BL161" s="12">
        <f>$AY$161*24</f>
        <v>0</v>
      </c>
      <c r="BM161" s="12">
        <f>$BJ$161*24</f>
        <v>0</v>
      </c>
      <c r="BN161" s="12">
        <f>VALUE($I$161)/100</f>
        <v>1</v>
      </c>
      <c r="BO161" s="12">
        <v>0</v>
      </c>
      <c r="BP161" s="12">
        <v>0</v>
      </c>
      <c r="BQ161" s="12">
        <v>0</v>
      </c>
      <c r="BR161" s="12">
        <v>0</v>
      </c>
      <c r="BS161" s="12">
        <v>0</v>
      </c>
      <c r="BT161" s="12">
        <v>0</v>
      </c>
      <c r="BU161" s="12">
        <v>0</v>
      </c>
      <c r="BV161" s="12">
        <v>0</v>
      </c>
      <c r="BW161" s="12">
        <v>0</v>
      </c>
      <c r="BX161" s="12">
        <v>0</v>
      </c>
      <c r="BY161" s="12">
        <v>0</v>
      </c>
      <c r="BZ161" s="12">
        <v>0</v>
      </c>
      <c r="CA161" s="12">
        <v>0</v>
      </c>
    </row>
    <row r="162" spans="1:79" x14ac:dyDescent="0.2">
      <c r="A162" s="12" t="s">
        <v>120</v>
      </c>
      <c r="B162" s="12" t="s">
        <v>124</v>
      </c>
      <c r="C162" s="12" t="s">
        <v>124</v>
      </c>
      <c r="D162" s="22" t="s">
        <v>426</v>
      </c>
      <c r="E162" s="22" t="s">
        <v>161</v>
      </c>
      <c r="F162" s="22" t="s">
        <v>844</v>
      </c>
      <c r="G162" s="22" t="s">
        <v>845</v>
      </c>
      <c r="H162" s="22" t="s">
        <v>150</v>
      </c>
      <c r="I162" s="22" t="s">
        <v>151</v>
      </c>
      <c r="J162" s="22" t="s">
        <v>162</v>
      </c>
      <c r="K162" s="22" t="s">
        <v>83</v>
      </c>
      <c r="L162" s="54" t="s">
        <v>153</v>
      </c>
      <c r="M162" s="23" t="s">
        <v>153</v>
      </c>
      <c r="N162" s="24" t="s">
        <v>153</v>
      </c>
      <c r="O162" s="23" t="s">
        <v>153</v>
      </c>
      <c r="P162" s="23" t="s">
        <v>153</v>
      </c>
      <c r="Q162" s="23" t="s">
        <v>153</v>
      </c>
      <c r="R162" s="23" t="s">
        <v>153</v>
      </c>
      <c r="S162" s="23" t="s">
        <v>153</v>
      </c>
      <c r="T162" s="23" t="s">
        <v>153</v>
      </c>
      <c r="U162" s="24" t="s">
        <v>153</v>
      </c>
      <c r="V162" s="54" t="s">
        <v>153</v>
      </c>
      <c r="W162" s="23" t="s">
        <v>153</v>
      </c>
      <c r="X162" s="23" t="s">
        <v>153</v>
      </c>
      <c r="Y162" s="23" t="s">
        <v>153</v>
      </c>
      <c r="Z162" s="23" t="s">
        <v>153</v>
      </c>
      <c r="AA162" s="23" t="s">
        <v>153</v>
      </c>
      <c r="AB162" s="24" t="s">
        <v>153</v>
      </c>
      <c r="AC162" s="24" t="s">
        <v>156</v>
      </c>
      <c r="AD162" s="24" t="s">
        <v>156</v>
      </c>
      <c r="AE162" s="23" t="s">
        <v>153</v>
      </c>
      <c r="AF162" s="23" t="s">
        <v>153</v>
      </c>
      <c r="AG162" s="23" t="s">
        <v>153</v>
      </c>
      <c r="AH162" s="23" t="s">
        <v>153</v>
      </c>
      <c r="AI162" s="24" t="s">
        <v>153</v>
      </c>
      <c r="AJ162" s="23" t="s">
        <v>153</v>
      </c>
      <c r="AK162" s="23" t="s">
        <v>153</v>
      </c>
      <c r="AL162" s="23" t="s">
        <v>153</v>
      </c>
      <c r="AM162" s="23" t="s">
        <v>153</v>
      </c>
      <c r="AN162" s="23" t="s">
        <v>153</v>
      </c>
      <c r="AO162" s="23" t="s">
        <v>153</v>
      </c>
      <c r="AP162" s="23">
        <f>VALUE(0)</f>
        <v>0</v>
      </c>
      <c r="AQ162" s="23">
        <f>VALUE(0)</f>
        <v>0</v>
      </c>
      <c r="AR162" s="23">
        <f>VALUE(0)</f>
        <v>0</v>
      </c>
      <c r="AS162" s="23">
        <f>VALUE(0)</f>
        <v>0</v>
      </c>
      <c r="AT162" s="23">
        <f>VALUE(0)</f>
        <v>0</v>
      </c>
      <c r="AU162" s="23">
        <f>VALUE(0)</f>
        <v>0</v>
      </c>
      <c r="AV162" s="23">
        <f>VALUE(6)</f>
        <v>6</v>
      </c>
      <c r="AW162" s="23">
        <f>VALUE(0)</f>
        <v>0</v>
      </c>
      <c r="AX162" s="23" t="s">
        <v>171</v>
      </c>
      <c r="AY162" s="23" t="s">
        <v>427</v>
      </c>
      <c r="AZ162" s="23">
        <f>VALUE(0)</f>
        <v>0</v>
      </c>
      <c r="BA162" s="23">
        <f>VALUE(0)</f>
        <v>0</v>
      </c>
      <c r="BB162" s="23">
        <f>VALUE(0)</f>
        <v>0</v>
      </c>
      <c r="BC162" s="23">
        <f>VALUE(0)</f>
        <v>0</v>
      </c>
      <c r="BD162" s="23">
        <f>VALUE(0)</f>
        <v>0</v>
      </c>
      <c r="BE162" s="23">
        <f>VALUE(0)</f>
        <v>0</v>
      </c>
      <c r="BF162" s="23">
        <f>VALUE(0)</f>
        <v>0</v>
      </c>
      <c r="BG162" s="23">
        <f>VALUE(0)</f>
        <v>0</v>
      </c>
      <c r="BH162" s="23">
        <f>VALUE(0)</f>
        <v>0</v>
      </c>
      <c r="BI162" s="23">
        <f>VALUE(0)</f>
        <v>0</v>
      </c>
      <c r="BJ162" s="23">
        <f>VALUE(0)</f>
        <v>0</v>
      </c>
      <c r="BK162" s="12">
        <f>$AX$162*24</f>
        <v>5.833333333333333</v>
      </c>
      <c r="BL162" s="12">
        <f>$AY$162*24</f>
        <v>9.0500000000000007</v>
      </c>
      <c r="BM162" s="12">
        <f>$BJ$162*24</f>
        <v>0</v>
      </c>
      <c r="BN162" s="12">
        <f>VALUE($I$162)/100</f>
        <v>1</v>
      </c>
      <c r="BO162" s="12">
        <v>0</v>
      </c>
      <c r="BP162" s="12">
        <v>0</v>
      </c>
      <c r="BQ162" s="12">
        <v>0</v>
      </c>
      <c r="BR162" s="12">
        <v>0</v>
      </c>
      <c r="BS162" s="12">
        <v>0</v>
      </c>
      <c r="BT162" s="12">
        <v>0</v>
      </c>
      <c r="BU162" s="12">
        <v>0</v>
      </c>
      <c r="BV162" s="12">
        <v>0</v>
      </c>
      <c r="BW162" s="12">
        <v>0</v>
      </c>
      <c r="BX162" s="12">
        <v>0</v>
      </c>
      <c r="BY162" s="12">
        <v>0</v>
      </c>
      <c r="BZ162" s="12">
        <v>0</v>
      </c>
      <c r="CA162" s="12">
        <v>0</v>
      </c>
    </row>
    <row r="163" spans="1:79" x14ac:dyDescent="0.2">
      <c r="A163" s="12" t="s">
        <v>120</v>
      </c>
      <c r="B163" s="12" t="s">
        <v>124</v>
      </c>
      <c r="C163" s="12" t="s">
        <v>124</v>
      </c>
      <c r="D163" s="22" t="s">
        <v>385</v>
      </c>
      <c r="E163" s="22" t="s">
        <v>161</v>
      </c>
      <c r="F163" s="22" t="s">
        <v>846</v>
      </c>
      <c r="G163" s="22" t="s">
        <v>847</v>
      </c>
      <c r="H163" s="22" t="s">
        <v>150</v>
      </c>
      <c r="I163" s="22" t="s">
        <v>151</v>
      </c>
      <c r="J163" s="22" t="s">
        <v>162</v>
      </c>
      <c r="K163" s="22" t="s">
        <v>83</v>
      </c>
      <c r="L163" s="54" t="s">
        <v>156</v>
      </c>
      <c r="M163" s="24" t="s">
        <v>156</v>
      </c>
      <c r="N163" s="24" t="s">
        <v>153</v>
      </c>
      <c r="O163" s="23" t="s">
        <v>153</v>
      </c>
      <c r="P163" s="23" t="s">
        <v>153</v>
      </c>
      <c r="Q163" s="23" t="s">
        <v>153</v>
      </c>
      <c r="R163" s="23" t="s">
        <v>153</v>
      </c>
      <c r="S163" s="23" t="s">
        <v>153</v>
      </c>
      <c r="T163" s="23" t="s">
        <v>153</v>
      </c>
      <c r="U163" s="24" t="s">
        <v>153</v>
      </c>
      <c r="V163" s="54" t="s">
        <v>153</v>
      </c>
      <c r="W163" s="23" t="s">
        <v>153</v>
      </c>
      <c r="X163" s="23" t="s">
        <v>153</v>
      </c>
      <c r="Y163" s="23" t="s">
        <v>153</v>
      </c>
      <c r="Z163" s="23" t="s">
        <v>153</v>
      </c>
      <c r="AA163" s="23" t="s">
        <v>153</v>
      </c>
      <c r="AB163" s="24" t="s">
        <v>153</v>
      </c>
      <c r="AC163" s="23" t="s">
        <v>153</v>
      </c>
      <c r="AD163" s="23" t="s">
        <v>153</v>
      </c>
      <c r="AE163" s="23" t="s">
        <v>153</v>
      </c>
      <c r="AF163" s="23" t="s">
        <v>153</v>
      </c>
      <c r="AG163" s="23" t="s">
        <v>153</v>
      </c>
      <c r="AH163" s="23" t="s">
        <v>153</v>
      </c>
      <c r="AI163" s="24" t="s">
        <v>153</v>
      </c>
      <c r="AJ163" s="24" t="s">
        <v>156</v>
      </c>
      <c r="AK163" s="24" t="s">
        <v>156</v>
      </c>
      <c r="AL163" s="28" t="s">
        <v>163</v>
      </c>
      <c r="AM163" s="28" t="s">
        <v>163</v>
      </c>
      <c r="AN163" s="28" t="s">
        <v>163</v>
      </c>
      <c r="AO163" s="28" t="s">
        <v>163</v>
      </c>
      <c r="AP163" s="23">
        <f>VALUE(3)</f>
        <v>3</v>
      </c>
      <c r="AQ163" s="23">
        <f>VALUE(0)</f>
        <v>0</v>
      </c>
      <c r="AR163" s="23">
        <f>VALUE(0)</f>
        <v>0</v>
      </c>
      <c r="AS163" s="23">
        <f>VALUE(0)</f>
        <v>0</v>
      </c>
      <c r="AT163" s="23">
        <f>VALUE(0)</f>
        <v>0</v>
      </c>
      <c r="AU163" s="23">
        <f>VALUE(4)</f>
        <v>4</v>
      </c>
      <c r="AV163" s="23">
        <f>VALUE(7)</f>
        <v>7</v>
      </c>
      <c r="AW163" s="23">
        <f>VALUE(0)</f>
        <v>0</v>
      </c>
      <c r="AX163" s="23" t="s">
        <v>445</v>
      </c>
      <c r="AY163" s="23" t="s">
        <v>1230</v>
      </c>
      <c r="AZ163" s="23">
        <f>VALUE(0)</f>
        <v>0</v>
      </c>
      <c r="BA163" s="23">
        <f>VALUE(0)</f>
        <v>0</v>
      </c>
      <c r="BB163" s="23">
        <f>VALUE(0)</f>
        <v>0</v>
      </c>
      <c r="BC163" s="23">
        <f>VALUE(0)</f>
        <v>0</v>
      </c>
      <c r="BD163" s="23">
        <f>VALUE(0)</f>
        <v>0</v>
      </c>
      <c r="BE163" s="23">
        <f>VALUE(0)</f>
        <v>0</v>
      </c>
      <c r="BF163" s="23">
        <f>VALUE(0)</f>
        <v>0</v>
      </c>
      <c r="BG163" s="23">
        <f>VALUE(0)</f>
        <v>0</v>
      </c>
      <c r="BH163" s="23">
        <f>VALUE(0)</f>
        <v>0</v>
      </c>
      <c r="BI163" s="23">
        <f>VALUE(0)</f>
        <v>0</v>
      </c>
      <c r="BJ163" s="23">
        <f>VALUE(0)</f>
        <v>0</v>
      </c>
      <c r="BK163" s="12">
        <f>$AX$163*24</f>
        <v>17.5</v>
      </c>
      <c r="BL163" s="12">
        <f>$AY$163*24</f>
        <v>22.033333333333335</v>
      </c>
      <c r="BM163" s="12">
        <f>$BJ$163*24</f>
        <v>0</v>
      </c>
      <c r="BN163" s="12">
        <f>VALUE($I$163)/100</f>
        <v>1</v>
      </c>
      <c r="BO163" s="12">
        <v>0</v>
      </c>
      <c r="BP163" s="12">
        <v>0</v>
      </c>
      <c r="BQ163" s="12">
        <v>0</v>
      </c>
      <c r="BR163" s="12">
        <v>0</v>
      </c>
      <c r="BS163" s="12">
        <v>0</v>
      </c>
      <c r="BT163" s="12">
        <v>0</v>
      </c>
      <c r="BU163" s="12">
        <v>0</v>
      </c>
      <c r="BV163" s="12">
        <v>0</v>
      </c>
      <c r="BW163" s="12">
        <v>0</v>
      </c>
      <c r="BX163" s="12">
        <v>0</v>
      </c>
      <c r="BY163" s="12">
        <v>0</v>
      </c>
      <c r="BZ163" s="12">
        <v>0</v>
      </c>
      <c r="CA163" s="12">
        <v>0</v>
      </c>
    </row>
    <row r="164" spans="1:79" x14ac:dyDescent="0.2">
      <c r="A164" s="12" t="s">
        <v>120</v>
      </c>
      <c r="B164" s="12" t="s">
        <v>124</v>
      </c>
      <c r="C164" s="12" t="s">
        <v>124</v>
      </c>
      <c r="D164" s="22" t="s">
        <v>378</v>
      </c>
      <c r="E164" s="22" t="s">
        <v>161</v>
      </c>
      <c r="F164" s="22" t="s">
        <v>848</v>
      </c>
      <c r="G164" s="22" t="s">
        <v>849</v>
      </c>
      <c r="H164" s="22" t="s">
        <v>150</v>
      </c>
      <c r="I164" s="22" t="s">
        <v>151</v>
      </c>
      <c r="J164" s="22" t="s">
        <v>162</v>
      </c>
      <c r="K164" s="22" t="s">
        <v>83</v>
      </c>
      <c r="L164" s="54" t="s">
        <v>153</v>
      </c>
      <c r="M164" s="23" t="s">
        <v>153</v>
      </c>
      <c r="N164" s="24" t="s">
        <v>153</v>
      </c>
      <c r="O164" s="23" t="s">
        <v>153</v>
      </c>
      <c r="P164" s="23" t="s">
        <v>153</v>
      </c>
      <c r="Q164" s="23" t="s">
        <v>153</v>
      </c>
      <c r="R164" s="23" t="s">
        <v>153</v>
      </c>
      <c r="S164" s="23" t="s">
        <v>153</v>
      </c>
      <c r="T164" s="23" t="s">
        <v>153</v>
      </c>
      <c r="U164" s="24" t="s">
        <v>153</v>
      </c>
      <c r="V164" s="54" t="s">
        <v>153</v>
      </c>
      <c r="W164" s="30" t="s">
        <v>29</v>
      </c>
      <c r="X164" s="24" t="s">
        <v>156</v>
      </c>
      <c r="Y164" s="24" t="s">
        <v>156</v>
      </c>
      <c r="Z164" s="28" t="s">
        <v>163</v>
      </c>
      <c r="AA164" s="28" t="s">
        <v>163</v>
      </c>
      <c r="AB164" s="24" t="s">
        <v>153</v>
      </c>
      <c r="AC164" s="28" t="s">
        <v>163</v>
      </c>
      <c r="AD164" s="28" t="s">
        <v>163</v>
      </c>
      <c r="AE164" s="28" t="s">
        <v>163</v>
      </c>
      <c r="AF164" s="28" t="s">
        <v>163</v>
      </c>
      <c r="AG164" s="28" t="s">
        <v>163</v>
      </c>
      <c r="AH164" s="28" t="s">
        <v>163</v>
      </c>
      <c r="AI164" s="24" t="s">
        <v>153</v>
      </c>
      <c r="AJ164" s="28" t="s">
        <v>163</v>
      </c>
      <c r="AK164" s="28" t="s">
        <v>163</v>
      </c>
      <c r="AL164" s="28" t="s">
        <v>163</v>
      </c>
      <c r="AM164" s="28" t="s">
        <v>163</v>
      </c>
      <c r="AN164" s="28" t="s">
        <v>163</v>
      </c>
      <c r="AO164" s="28" t="s">
        <v>163</v>
      </c>
      <c r="AP164" s="23">
        <f>VALUE(0)</f>
        <v>0</v>
      </c>
      <c r="AQ164" s="23">
        <f>VALUE(0)</f>
        <v>0</v>
      </c>
      <c r="AR164" s="23">
        <f>VALUE(0)</f>
        <v>0</v>
      </c>
      <c r="AS164" s="23">
        <f>VALUE(0)</f>
        <v>0</v>
      </c>
      <c r="AT164" s="23">
        <f>VALUE(0)</f>
        <v>0</v>
      </c>
      <c r="AU164" s="23">
        <f>VALUE(14)</f>
        <v>14</v>
      </c>
      <c r="AV164" s="23">
        <f>VALUE(0)</f>
        <v>0</v>
      </c>
      <c r="AW164" s="23">
        <f>VALUE(0)</f>
        <v>0</v>
      </c>
      <c r="AX164" s="23" t="s">
        <v>171</v>
      </c>
      <c r="AY164" s="23" t="s">
        <v>428</v>
      </c>
      <c r="AZ164" s="23">
        <f>VALUE(0)</f>
        <v>0</v>
      </c>
      <c r="BA164" s="23">
        <f>VALUE(0)</f>
        <v>0</v>
      </c>
      <c r="BB164" s="23">
        <f>VALUE(0)</f>
        <v>0</v>
      </c>
      <c r="BC164" s="23">
        <f>VALUE(0)</f>
        <v>0</v>
      </c>
      <c r="BD164" s="23">
        <f>VALUE(0)</f>
        <v>0</v>
      </c>
      <c r="BE164" s="23">
        <f>VALUE(0)</f>
        <v>0</v>
      </c>
      <c r="BF164" s="23">
        <f>VALUE(0)</f>
        <v>0</v>
      </c>
      <c r="BG164" s="23">
        <f>VALUE(0)</f>
        <v>0</v>
      </c>
      <c r="BH164" s="23">
        <f>VALUE(0)</f>
        <v>0</v>
      </c>
      <c r="BI164" s="23">
        <f>VALUE(0)</f>
        <v>0</v>
      </c>
      <c r="BJ164" s="23">
        <f>VALUE(0)</f>
        <v>0</v>
      </c>
      <c r="BK164" s="12">
        <f>$AX$164*24</f>
        <v>5.833333333333333</v>
      </c>
      <c r="BL164" s="12">
        <f>$AY$164*24</f>
        <v>8.7666666666666675</v>
      </c>
      <c r="BM164" s="12">
        <f>$BJ$164*24</f>
        <v>0</v>
      </c>
      <c r="BN164" s="12">
        <f>VALUE($I$164)/100</f>
        <v>1</v>
      </c>
      <c r="BO164" s="12">
        <v>0</v>
      </c>
      <c r="BP164" s="12">
        <v>0</v>
      </c>
      <c r="BQ164" s="12">
        <v>0</v>
      </c>
      <c r="BR164" s="12">
        <v>0</v>
      </c>
      <c r="BS164" s="12">
        <v>0</v>
      </c>
      <c r="BT164" s="12">
        <v>0</v>
      </c>
      <c r="BU164" s="12">
        <v>0</v>
      </c>
      <c r="BV164" s="12">
        <v>0</v>
      </c>
      <c r="BW164" s="12">
        <v>0</v>
      </c>
      <c r="BX164" s="12">
        <v>0</v>
      </c>
      <c r="BY164" s="12">
        <v>0</v>
      </c>
      <c r="BZ164" s="12">
        <v>0</v>
      </c>
      <c r="CA164" s="12">
        <v>0</v>
      </c>
    </row>
    <row r="165" spans="1:79" x14ac:dyDescent="0.2">
      <c r="A165" s="12" t="s">
        <v>120</v>
      </c>
      <c r="B165" s="12" t="s">
        <v>124</v>
      </c>
      <c r="C165" s="12" t="s">
        <v>124</v>
      </c>
      <c r="D165" s="22" t="s">
        <v>378</v>
      </c>
      <c r="E165" s="22" t="s">
        <v>161</v>
      </c>
      <c r="F165" s="22" t="s">
        <v>1231</v>
      </c>
      <c r="G165" s="22" t="s">
        <v>850</v>
      </c>
      <c r="H165" s="22" t="s">
        <v>191</v>
      </c>
      <c r="I165" s="22" t="s">
        <v>151</v>
      </c>
      <c r="J165" s="22" t="s">
        <v>162</v>
      </c>
      <c r="K165" s="22" t="s">
        <v>83</v>
      </c>
      <c r="L165" s="54" t="s">
        <v>153</v>
      </c>
      <c r="M165" s="27" t="s">
        <v>153</v>
      </c>
      <c r="N165" s="24" t="s">
        <v>153</v>
      </c>
      <c r="O165" s="27" t="s">
        <v>153</v>
      </c>
      <c r="P165" s="27" t="s">
        <v>153</v>
      </c>
      <c r="Q165" s="27" t="s">
        <v>153</v>
      </c>
      <c r="R165" s="23" t="s">
        <v>1232</v>
      </c>
      <c r="S165" s="23" t="s">
        <v>1232</v>
      </c>
      <c r="T165" s="23" t="s">
        <v>1232</v>
      </c>
      <c r="U165" s="24" t="s">
        <v>153</v>
      </c>
      <c r="V165" s="54" t="s">
        <v>153</v>
      </c>
      <c r="W165" s="23" t="s">
        <v>153</v>
      </c>
      <c r="X165" s="23" t="s">
        <v>153</v>
      </c>
      <c r="Y165" s="23" t="s">
        <v>153</v>
      </c>
      <c r="Z165" s="23" t="s">
        <v>153</v>
      </c>
      <c r="AA165" s="23" t="s">
        <v>153</v>
      </c>
      <c r="AB165" s="24" t="s">
        <v>153</v>
      </c>
      <c r="AC165" s="23" t="s">
        <v>153</v>
      </c>
      <c r="AD165" s="23" t="s">
        <v>153</v>
      </c>
      <c r="AE165" s="23" t="s">
        <v>153</v>
      </c>
      <c r="AF165" s="23" t="s">
        <v>153</v>
      </c>
      <c r="AG165" s="23" t="s">
        <v>153</v>
      </c>
      <c r="AH165" s="23" t="s">
        <v>153</v>
      </c>
      <c r="AI165" s="24" t="s">
        <v>153</v>
      </c>
      <c r="AJ165" s="23" t="s">
        <v>153</v>
      </c>
      <c r="AK165" s="23" t="s">
        <v>153</v>
      </c>
      <c r="AL165" s="23" t="s">
        <v>153</v>
      </c>
      <c r="AM165" s="23" t="s">
        <v>153</v>
      </c>
      <c r="AN165" s="23" t="s">
        <v>153</v>
      </c>
      <c r="AO165" s="23" t="s">
        <v>153</v>
      </c>
      <c r="AP165" s="23">
        <f>VALUE(0)</f>
        <v>0</v>
      </c>
      <c r="AQ165" s="23">
        <f>VALUE(0)</f>
        <v>0</v>
      </c>
      <c r="AR165" s="23">
        <f>VALUE(0)</f>
        <v>0</v>
      </c>
      <c r="AS165" s="23">
        <f>VALUE(0)</f>
        <v>0</v>
      </c>
      <c r="AT165" s="23">
        <f>VALUE(0)</f>
        <v>0</v>
      </c>
      <c r="AU165" s="23">
        <f>VALUE(0)</f>
        <v>0</v>
      </c>
      <c r="AV165" s="23">
        <f>VALUE(0)</f>
        <v>0</v>
      </c>
      <c r="AW165" s="23">
        <f>VALUE(0)</f>
        <v>0</v>
      </c>
      <c r="AX165" s="23">
        <f>VALUE(0)</f>
        <v>0</v>
      </c>
      <c r="AY165" s="23">
        <f>VALUE(0)</f>
        <v>0</v>
      </c>
      <c r="AZ165" s="23">
        <f>VALUE(0)</f>
        <v>0</v>
      </c>
      <c r="BA165" s="23">
        <f>VALUE(0)</f>
        <v>0</v>
      </c>
      <c r="BB165" s="23">
        <f>VALUE(0)</f>
        <v>0</v>
      </c>
      <c r="BC165" s="23">
        <f>VALUE(0)</f>
        <v>0</v>
      </c>
      <c r="BD165" s="23">
        <f>VALUE(3)</f>
        <v>3</v>
      </c>
      <c r="BE165" s="23">
        <f>VALUE(0)</f>
        <v>0</v>
      </c>
      <c r="BF165" s="23">
        <f>VALUE(0)</f>
        <v>0</v>
      </c>
      <c r="BG165" s="23">
        <f>VALUE(0)</f>
        <v>0</v>
      </c>
      <c r="BH165" s="23">
        <f>VALUE(0)</f>
        <v>0</v>
      </c>
      <c r="BI165" s="23">
        <f>VALUE(0)</f>
        <v>0</v>
      </c>
      <c r="BJ165" s="23">
        <f>VALUE(0)</f>
        <v>0</v>
      </c>
      <c r="BK165" s="12">
        <f>$AX$165*24</f>
        <v>0</v>
      </c>
      <c r="BL165" s="12">
        <f>$AY$165*24</f>
        <v>0</v>
      </c>
      <c r="BM165" s="12">
        <f>$BJ$165*24</f>
        <v>0</v>
      </c>
      <c r="BN165" s="12">
        <f>VALUE($I$165)/100</f>
        <v>1</v>
      </c>
      <c r="BO165" s="12">
        <v>0</v>
      </c>
      <c r="BP165" s="12">
        <v>0</v>
      </c>
      <c r="BQ165" s="12">
        <v>0</v>
      </c>
      <c r="BR165" s="12">
        <v>0</v>
      </c>
      <c r="BS165" s="12">
        <v>0</v>
      </c>
      <c r="BT165" s="12">
        <v>0</v>
      </c>
      <c r="BU165" s="12">
        <v>0</v>
      </c>
      <c r="BV165" s="12">
        <v>0</v>
      </c>
      <c r="BW165" s="12">
        <v>0</v>
      </c>
      <c r="BX165" s="12">
        <v>0</v>
      </c>
      <c r="BY165" s="12">
        <v>0</v>
      </c>
      <c r="BZ165" s="12">
        <v>0</v>
      </c>
      <c r="CA165" s="12">
        <v>0</v>
      </c>
    </row>
    <row r="166" spans="1:79" x14ac:dyDescent="0.2">
      <c r="A166" s="12" t="s">
        <v>120</v>
      </c>
      <c r="B166" s="12" t="s">
        <v>124</v>
      </c>
      <c r="C166" s="12" t="s">
        <v>124</v>
      </c>
      <c r="D166" s="22" t="s">
        <v>389</v>
      </c>
      <c r="E166" s="22" t="s">
        <v>161</v>
      </c>
      <c r="F166" s="22" t="s">
        <v>851</v>
      </c>
      <c r="G166" s="22" t="s">
        <v>852</v>
      </c>
      <c r="H166" s="22" t="s">
        <v>279</v>
      </c>
      <c r="I166" s="22" t="s">
        <v>151</v>
      </c>
      <c r="J166" s="22" t="s">
        <v>162</v>
      </c>
      <c r="K166" s="22" t="s">
        <v>83</v>
      </c>
      <c r="L166" s="54" t="s">
        <v>153</v>
      </c>
      <c r="M166" s="27" t="s">
        <v>153</v>
      </c>
      <c r="N166" s="24" t="s">
        <v>153</v>
      </c>
      <c r="O166" s="23" t="s">
        <v>153</v>
      </c>
      <c r="P166" s="23" t="s">
        <v>153</v>
      </c>
      <c r="Q166" s="25" t="s">
        <v>1233</v>
      </c>
      <c r="R166" s="25" t="s">
        <v>1233</v>
      </c>
      <c r="S166" s="23" t="s">
        <v>380</v>
      </c>
      <c r="T166" s="23" t="s">
        <v>380</v>
      </c>
      <c r="U166" s="24" t="s">
        <v>153</v>
      </c>
      <c r="V166" s="54" t="s">
        <v>153</v>
      </c>
      <c r="W166" s="23" t="s">
        <v>380</v>
      </c>
      <c r="X166" s="23" t="s">
        <v>380</v>
      </c>
      <c r="Y166" s="23" t="s">
        <v>380</v>
      </c>
      <c r="Z166" s="23" t="s">
        <v>380</v>
      </c>
      <c r="AA166" s="23" t="s">
        <v>380</v>
      </c>
      <c r="AB166" s="24" t="s">
        <v>153</v>
      </c>
      <c r="AC166" s="23" t="s">
        <v>388</v>
      </c>
      <c r="AD166" s="23" t="s">
        <v>388</v>
      </c>
      <c r="AE166" s="23" t="s">
        <v>388</v>
      </c>
      <c r="AF166" s="23" t="s">
        <v>388</v>
      </c>
      <c r="AG166" s="23" t="s">
        <v>388</v>
      </c>
      <c r="AH166" s="23" t="s">
        <v>388</v>
      </c>
      <c r="AI166" s="24" t="s">
        <v>153</v>
      </c>
      <c r="AJ166" s="23" t="s">
        <v>388</v>
      </c>
      <c r="AK166" s="23" t="s">
        <v>388</v>
      </c>
      <c r="AL166" s="23" t="s">
        <v>388</v>
      </c>
      <c r="AM166" s="23" t="s">
        <v>388</v>
      </c>
      <c r="AN166" s="23" t="s">
        <v>388</v>
      </c>
      <c r="AO166" s="23" t="s">
        <v>388</v>
      </c>
      <c r="AP166" s="23">
        <f>VALUE(0)</f>
        <v>0</v>
      </c>
      <c r="AQ166" s="23">
        <f>VALUE(0)</f>
        <v>0</v>
      </c>
      <c r="AR166" s="23">
        <f>VALUE(0)</f>
        <v>0</v>
      </c>
      <c r="AS166" s="23">
        <f>VALUE(0)</f>
        <v>0</v>
      </c>
      <c r="AT166" s="23">
        <f>VALUE(0)</f>
        <v>0</v>
      </c>
      <c r="AU166" s="23">
        <f>VALUE(0)</f>
        <v>0</v>
      </c>
      <c r="AV166" s="23">
        <f>VALUE(0)</f>
        <v>0</v>
      </c>
      <c r="AW166" s="23">
        <f>VALUE(0)</f>
        <v>0</v>
      </c>
      <c r="AX166" s="23">
        <f>VALUE(0)</f>
        <v>0</v>
      </c>
      <c r="AY166" s="23">
        <f>VALUE(0)</f>
        <v>0</v>
      </c>
      <c r="AZ166" s="23">
        <f>VALUE(0)</f>
        <v>0</v>
      </c>
      <c r="BA166" s="23">
        <f>VALUE(0)</f>
        <v>0</v>
      </c>
      <c r="BB166" s="23">
        <f>VALUE(0)</f>
        <v>0</v>
      </c>
      <c r="BC166" s="23">
        <f>VALUE(0)</f>
        <v>0</v>
      </c>
      <c r="BD166" s="23">
        <f>VALUE(2)</f>
        <v>2</v>
      </c>
      <c r="BE166" s="23">
        <f>VALUE(0)</f>
        <v>0</v>
      </c>
      <c r="BF166" s="23">
        <f>VALUE(0)</f>
        <v>0</v>
      </c>
      <c r="BG166" s="23">
        <f>VALUE(0)</f>
        <v>0</v>
      </c>
      <c r="BH166" s="23">
        <f>VALUE(0)</f>
        <v>0</v>
      </c>
      <c r="BI166" s="23">
        <f>VALUE(0)</f>
        <v>0</v>
      </c>
      <c r="BJ166" s="23">
        <f>VALUE(0)</f>
        <v>0</v>
      </c>
      <c r="BK166" s="12">
        <f>$AX$166*24</f>
        <v>0</v>
      </c>
      <c r="BL166" s="12">
        <f>$AY$166*24</f>
        <v>0</v>
      </c>
      <c r="BM166" s="12">
        <f>$BJ$166*24</f>
        <v>0</v>
      </c>
      <c r="BN166" s="12">
        <f>VALUE($I$166)/100</f>
        <v>1</v>
      </c>
      <c r="BO166" s="12">
        <v>0</v>
      </c>
      <c r="BP166" s="12">
        <v>0</v>
      </c>
      <c r="BQ166" s="12">
        <v>0</v>
      </c>
      <c r="BR166" s="12">
        <v>2</v>
      </c>
      <c r="BS166" s="12">
        <v>0</v>
      </c>
      <c r="BT166" s="12">
        <v>0</v>
      </c>
      <c r="BU166" s="12">
        <v>0</v>
      </c>
      <c r="BV166" s="12">
        <v>0</v>
      </c>
      <c r="BW166" s="12">
        <v>0</v>
      </c>
      <c r="BX166" s="12">
        <v>0</v>
      </c>
      <c r="BY166" s="12">
        <v>0</v>
      </c>
      <c r="BZ166" s="12">
        <v>0</v>
      </c>
      <c r="CA166" s="12">
        <v>0</v>
      </c>
    </row>
    <row r="167" spans="1:79" x14ac:dyDescent="0.2">
      <c r="A167" s="12" t="s">
        <v>120</v>
      </c>
      <c r="B167" s="12" t="s">
        <v>124</v>
      </c>
      <c r="C167" s="12" t="s">
        <v>124</v>
      </c>
      <c r="D167" s="22" t="s">
        <v>379</v>
      </c>
      <c r="E167" s="22" t="s">
        <v>161</v>
      </c>
      <c r="F167" s="22" t="s">
        <v>853</v>
      </c>
      <c r="G167" s="22" t="s">
        <v>854</v>
      </c>
      <c r="H167" s="22" t="s">
        <v>166</v>
      </c>
      <c r="I167" s="22" t="s">
        <v>151</v>
      </c>
      <c r="J167" s="22" t="s">
        <v>162</v>
      </c>
      <c r="K167" s="22" t="s">
        <v>83</v>
      </c>
      <c r="L167" s="54" t="s">
        <v>153</v>
      </c>
      <c r="M167" s="23" t="s">
        <v>153</v>
      </c>
      <c r="N167" s="24" t="s">
        <v>153</v>
      </c>
      <c r="O167" s="23" t="s">
        <v>153</v>
      </c>
      <c r="P167" s="23" t="s">
        <v>153</v>
      </c>
      <c r="Q167" s="23" t="s">
        <v>153</v>
      </c>
      <c r="R167" s="23" t="s">
        <v>153</v>
      </c>
      <c r="S167" s="23" t="s">
        <v>153</v>
      </c>
      <c r="T167" s="23" t="s">
        <v>153</v>
      </c>
      <c r="U167" s="24" t="s">
        <v>153</v>
      </c>
      <c r="V167" s="54" t="s">
        <v>153</v>
      </c>
      <c r="W167" s="23" t="s">
        <v>153</v>
      </c>
      <c r="X167" s="23" t="s">
        <v>153</v>
      </c>
      <c r="Y167" s="23" t="s">
        <v>153</v>
      </c>
      <c r="Z167" s="23" t="s">
        <v>153</v>
      </c>
      <c r="AA167" s="23" t="s">
        <v>153</v>
      </c>
      <c r="AB167" s="24" t="s">
        <v>153</v>
      </c>
      <c r="AC167" s="23" t="s">
        <v>153</v>
      </c>
      <c r="AD167" s="23" t="s">
        <v>153</v>
      </c>
      <c r="AE167" s="23" t="s">
        <v>153</v>
      </c>
      <c r="AF167" s="23" t="s">
        <v>153</v>
      </c>
      <c r="AG167" s="23" t="s">
        <v>153</v>
      </c>
      <c r="AH167" s="23" t="s">
        <v>153</v>
      </c>
      <c r="AI167" s="24" t="s">
        <v>153</v>
      </c>
      <c r="AJ167" s="23" t="s">
        <v>153</v>
      </c>
      <c r="AK167" s="23" t="s">
        <v>153</v>
      </c>
      <c r="AL167" s="23" t="s">
        <v>153</v>
      </c>
      <c r="AM167" s="23" t="s">
        <v>153</v>
      </c>
      <c r="AN167" s="24" t="s">
        <v>156</v>
      </c>
      <c r="AO167" s="24" t="s">
        <v>156</v>
      </c>
      <c r="AP167" s="23">
        <f>VALUE(1)</f>
        <v>1</v>
      </c>
      <c r="AQ167" s="23">
        <f>VALUE(0)</f>
        <v>0</v>
      </c>
      <c r="AR167" s="23">
        <f>VALUE(0)</f>
        <v>0</v>
      </c>
      <c r="AS167" s="23">
        <f>VALUE(0)</f>
        <v>0</v>
      </c>
      <c r="AT167" s="23">
        <f>VALUE(0)</f>
        <v>0</v>
      </c>
      <c r="AU167" s="23">
        <f>VALUE(0)</f>
        <v>0</v>
      </c>
      <c r="AV167" s="23">
        <f>VALUE(1)</f>
        <v>1</v>
      </c>
      <c r="AW167" s="23">
        <f>VALUE(3)</f>
        <v>3</v>
      </c>
      <c r="AX167" s="23" t="s">
        <v>1234</v>
      </c>
      <c r="AY167" s="23">
        <f>VALUE(0)</f>
        <v>0</v>
      </c>
      <c r="AZ167" s="23">
        <f>VALUE(0)</f>
        <v>0</v>
      </c>
      <c r="BA167" s="23">
        <f>VALUE(0)</f>
        <v>0</v>
      </c>
      <c r="BB167" s="23">
        <f>VALUE(0)</f>
        <v>0</v>
      </c>
      <c r="BC167" s="23">
        <f>VALUE(0)</f>
        <v>0</v>
      </c>
      <c r="BD167" s="23">
        <f>VALUE(0)</f>
        <v>0</v>
      </c>
      <c r="BE167" s="23">
        <f>VALUE(0)</f>
        <v>0</v>
      </c>
      <c r="BF167" s="23">
        <f>VALUE(0)</f>
        <v>0</v>
      </c>
      <c r="BG167" s="23">
        <f>VALUE(0)</f>
        <v>0</v>
      </c>
      <c r="BH167" s="23">
        <f>VALUE(0)</f>
        <v>0</v>
      </c>
      <c r="BI167" s="23">
        <f>VALUE(0)</f>
        <v>0</v>
      </c>
      <c r="BJ167" s="23">
        <f>VALUE(0)</f>
        <v>0</v>
      </c>
      <c r="BK167" s="12">
        <f>$AX$167*24</f>
        <v>9.8833333333333329</v>
      </c>
      <c r="BL167" s="12">
        <f>$AY$167*24</f>
        <v>0</v>
      </c>
      <c r="BM167" s="12">
        <f>$BJ$167*24</f>
        <v>0</v>
      </c>
      <c r="BN167" s="12">
        <f>VALUE($I$167)/100</f>
        <v>1</v>
      </c>
      <c r="BO167" s="12">
        <v>0</v>
      </c>
      <c r="BP167" s="12">
        <v>0</v>
      </c>
      <c r="BQ167" s="12">
        <v>0</v>
      </c>
      <c r="BR167" s="12">
        <v>0</v>
      </c>
      <c r="BS167" s="12">
        <v>0</v>
      </c>
      <c r="BT167" s="12">
        <v>0</v>
      </c>
      <c r="BU167" s="12">
        <v>0</v>
      </c>
      <c r="BV167" s="12">
        <v>0</v>
      </c>
      <c r="BW167" s="12">
        <v>0</v>
      </c>
      <c r="BX167" s="12">
        <v>0</v>
      </c>
      <c r="BY167" s="12">
        <v>0</v>
      </c>
      <c r="BZ167" s="12">
        <v>0</v>
      </c>
      <c r="CA167" s="12">
        <v>0</v>
      </c>
    </row>
    <row r="168" spans="1:79" x14ac:dyDescent="0.2">
      <c r="A168" s="12" t="s">
        <v>120</v>
      </c>
      <c r="B168" s="12" t="s">
        <v>124</v>
      </c>
      <c r="C168" s="12" t="s">
        <v>124</v>
      </c>
      <c r="D168" s="22" t="s">
        <v>429</v>
      </c>
      <c r="E168" s="22" t="s">
        <v>161</v>
      </c>
      <c r="F168" s="22" t="s">
        <v>1235</v>
      </c>
      <c r="G168" s="22" t="s">
        <v>855</v>
      </c>
      <c r="H168" s="22" t="s">
        <v>166</v>
      </c>
      <c r="I168" s="22" t="s">
        <v>151</v>
      </c>
      <c r="J168" s="22" t="s">
        <v>162</v>
      </c>
      <c r="K168" s="22" t="s">
        <v>83</v>
      </c>
      <c r="L168" s="54" t="s">
        <v>153</v>
      </c>
      <c r="M168" s="29" t="s">
        <v>1175</v>
      </c>
      <c r="N168" s="24" t="s">
        <v>153</v>
      </c>
      <c r="O168" s="29" t="s">
        <v>1175</v>
      </c>
      <c r="P168" s="29" t="s">
        <v>1175</v>
      </c>
      <c r="Q168" s="29" t="s">
        <v>1175</v>
      </c>
      <c r="R168" s="29" t="s">
        <v>1175</v>
      </c>
      <c r="S168" s="29" t="s">
        <v>1175</v>
      </c>
      <c r="T168" s="29" t="s">
        <v>1175</v>
      </c>
      <c r="U168" s="24" t="s">
        <v>153</v>
      </c>
      <c r="V168" s="54" t="s">
        <v>153</v>
      </c>
      <c r="W168" s="29" t="s">
        <v>1175</v>
      </c>
      <c r="X168" s="29" t="s">
        <v>1175</v>
      </c>
      <c r="Y168" s="29" t="s">
        <v>1175</v>
      </c>
      <c r="Z168" s="29" t="s">
        <v>1175</v>
      </c>
      <c r="AA168" s="29" t="s">
        <v>1175</v>
      </c>
      <c r="AB168" s="24" t="s">
        <v>153</v>
      </c>
      <c r="AC168" s="23" t="s">
        <v>153</v>
      </c>
      <c r="AD168" s="23" t="s">
        <v>153</v>
      </c>
      <c r="AE168" s="23" t="s">
        <v>153</v>
      </c>
      <c r="AF168" s="23" t="s">
        <v>153</v>
      </c>
      <c r="AG168" s="24" t="s">
        <v>156</v>
      </c>
      <c r="AH168" s="24" t="s">
        <v>156</v>
      </c>
      <c r="AI168" s="24" t="s">
        <v>153</v>
      </c>
      <c r="AJ168" s="23" t="s">
        <v>153</v>
      </c>
      <c r="AK168" s="23" t="s">
        <v>153</v>
      </c>
      <c r="AL168" s="23" t="s">
        <v>153</v>
      </c>
      <c r="AM168" s="23" t="s">
        <v>153</v>
      </c>
      <c r="AN168" s="23" t="s">
        <v>153</v>
      </c>
      <c r="AO168" s="23" t="s">
        <v>153</v>
      </c>
      <c r="AP168" s="23">
        <f>VALUE(0)</f>
        <v>0</v>
      </c>
      <c r="AQ168" s="23">
        <f>VALUE(0)</f>
        <v>0</v>
      </c>
      <c r="AR168" s="23">
        <f>VALUE(12)</f>
        <v>12</v>
      </c>
      <c r="AS168" s="23">
        <f>VALUE(0)</f>
        <v>0</v>
      </c>
      <c r="AT168" s="23">
        <f>VALUE(0)</f>
        <v>0</v>
      </c>
      <c r="AU168" s="23">
        <f>VALUE(0)</f>
        <v>0</v>
      </c>
      <c r="AV168" s="23">
        <f>VALUE(32)</f>
        <v>32</v>
      </c>
      <c r="AW168" s="23">
        <f>VALUE(4)</f>
        <v>4</v>
      </c>
      <c r="AX168" s="23" t="s">
        <v>430</v>
      </c>
      <c r="AY168" s="23">
        <f>VALUE(0)</f>
        <v>0</v>
      </c>
      <c r="AZ168" s="23">
        <f>VALUE(0)</f>
        <v>0</v>
      </c>
      <c r="BA168" s="23">
        <f>VALUE(0)</f>
        <v>0</v>
      </c>
      <c r="BB168" s="23">
        <f>VALUE(0)</f>
        <v>0</v>
      </c>
      <c r="BC168" s="23">
        <f>VALUE(0)</f>
        <v>0</v>
      </c>
      <c r="BD168" s="23">
        <f>VALUE(0)</f>
        <v>0</v>
      </c>
      <c r="BE168" s="23">
        <f>VALUE(0)</f>
        <v>0</v>
      </c>
      <c r="BF168" s="23">
        <f>VALUE(0)</f>
        <v>0</v>
      </c>
      <c r="BG168" s="23">
        <f>VALUE(0)</f>
        <v>0</v>
      </c>
      <c r="BH168" s="23">
        <f>VALUE(0)</f>
        <v>0</v>
      </c>
      <c r="BI168" s="23">
        <f>VALUE(0)</f>
        <v>0</v>
      </c>
      <c r="BJ168" s="23">
        <f>VALUE(0)</f>
        <v>0</v>
      </c>
      <c r="BK168" s="12">
        <f>$AX$168*24</f>
        <v>28.216666666666665</v>
      </c>
      <c r="BL168" s="12">
        <f>$AY$168*24</f>
        <v>0</v>
      </c>
      <c r="BM168" s="12">
        <f>$BJ$168*24</f>
        <v>0</v>
      </c>
      <c r="BN168" s="12">
        <f>VALUE($I$168)/100</f>
        <v>1</v>
      </c>
      <c r="BO168" s="12">
        <v>0</v>
      </c>
      <c r="BP168" s="12">
        <v>0</v>
      </c>
      <c r="BQ168" s="12">
        <v>0</v>
      </c>
      <c r="BR168" s="12">
        <v>0</v>
      </c>
      <c r="BS168" s="12">
        <v>0</v>
      </c>
      <c r="BT168" s="12">
        <v>0</v>
      </c>
      <c r="BU168" s="12">
        <v>0</v>
      </c>
      <c r="BV168" s="12">
        <v>12</v>
      </c>
      <c r="BW168" s="12">
        <v>0</v>
      </c>
      <c r="BX168" s="12">
        <v>0</v>
      </c>
      <c r="BY168" s="12">
        <v>0</v>
      </c>
      <c r="BZ168" s="12">
        <v>0</v>
      </c>
      <c r="CA168" s="12">
        <v>0</v>
      </c>
    </row>
    <row r="169" spans="1:79" x14ac:dyDescent="0.2">
      <c r="A169" s="12" t="s">
        <v>120</v>
      </c>
      <c r="B169" s="12" t="s">
        <v>124</v>
      </c>
      <c r="C169" s="12" t="s">
        <v>124</v>
      </c>
      <c r="D169" s="22" t="s">
        <v>429</v>
      </c>
      <c r="E169" s="22" t="s">
        <v>161</v>
      </c>
      <c r="F169" s="22" t="s">
        <v>856</v>
      </c>
      <c r="G169" s="22" t="s">
        <v>857</v>
      </c>
      <c r="H169" s="22" t="s">
        <v>190</v>
      </c>
      <c r="I169" s="22" t="s">
        <v>151</v>
      </c>
      <c r="J169" s="22" t="s">
        <v>162</v>
      </c>
      <c r="K169" s="22" t="s">
        <v>83</v>
      </c>
      <c r="L169" s="54" t="s">
        <v>153</v>
      </c>
      <c r="M169" s="23" t="s">
        <v>153</v>
      </c>
      <c r="N169" s="24" t="s">
        <v>153</v>
      </c>
      <c r="O169" s="40" t="s">
        <v>153</v>
      </c>
      <c r="P169" s="23" t="s">
        <v>153</v>
      </c>
      <c r="Q169" s="23" t="s">
        <v>153</v>
      </c>
      <c r="R169" s="23" t="s">
        <v>153</v>
      </c>
      <c r="S169" s="23" t="s">
        <v>153</v>
      </c>
      <c r="T169" s="23" t="s">
        <v>153</v>
      </c>
      <c r="U169" s="24" t="s">
        <v>153</v>
      </c>
      <c r="V169" s="40" t="s">
        <v>153</v>
      </c>
      <c r="W169" s="40" t="s">
        <v>153</v>
      </c>
      <c r="X169" s="40" t="s">
        <v>153</v>
      </c>
      <c r="Y169" s="40" t="s">
        <v>153</v>
      </c>
      <c r="Z169" s="40" t="s">
        <v>153</v>
      </c>
      <c r="AA169" s="40" t="s">
        <v>153</v>
      </c>
      <c r="AB169" s="40" t="s">
        <v>153</v>
      </c>
      <c r="AC169" s="40" t="s">
        <v>153</v>
      </c>
      <c r="AD169" s="40" t="s">
        <v>153</v>
      </c>
      <c r="AE169" s="40" t="s">
        <v>153</v>
      </c>
      <c r="AF169" s="40" t="s">
        <v>153</v>
      </c>
      <c r="AG169" s="40" t="s">
        <v>153</v>
      </c>
      <c r="AH169" s="40" t="s">
        <v>153</v>
      </c>
      <c r="AI169" s="40" t="s">
        <v>153</v>
      </c>
      <c r="AJ169" s="40" t="s">
        <v>153</v>
      </c>
      <c r="AK169" s="40" t="s">
        <v>153</v>
      </c>
      <c r="AL169" s="40" t="s">
        <v>153</v>
      </c>
      <c r="AM169" s="40" t="s">
        <v>153</v>
      </c>
      <c r="AN169" s="40" t="s">
        <v>153</v>
      </c>
      <c r="AO169" s="40" t="s">
        <v>153</v>
      </c>
      <c r="AP169" s="23">
        <f>VALUE(0)</f>
        <v>0</v>
      </c>
      <c r="AQ169" s="23">
        <f>VALUE(0)</f>
        <v>0</v>
      </c>
      <c r="AR169" s="23">
        <f>VALUE(0)</f>
        <v>0</v>
      </c>
      <c r="AS169" s="23">
        <f>VALUE(0)</f>
        <v>0</v>
      </c>
      <c r="AT169" s="23">
        <f>VALUE(0)</f>
        <v>0</v>
      </c>
      <c r="AU169" s="23">
        <f>VALUE(0)</f>
        <v>0</v>
      </c>
      <c r="AV169" s="23">
        <f>VALUE(4)</f>
        <v>4</v>
      </c>
      <c r="AW169" s="23">
        <f>VALUE(0)</f>
        <v>0</v>
      </c>
      <c r="AX169" s="23" t="s">
        <v>171</v>
      </c>
      <c r="AY169" s="23">
        <f>VALUE(0)</f>
        <v>0</v>
      </c>
      <c r="AZ169" s="23">
        <f>VALUE(0)</f>
        <v>0</v>
      </c>
      <c r="BA169" s="23">
        <f>VALUE(0)</f>
        <v>0</v>
      </c>
      <c r="BB169" s="23">
        <f>VALUE(0)</f>
        <v>0</v>
      </c>
      <c r="BC169" s="23">
        <f>VALUE(0)</f>
        <v>0</v>
      </c>
      <c r="BD169" s="23">
        <f>VALUE(0)</f>
        <v>0</v>
      </c>
      <c r="BE169" s="23">
        <f>VALUE(0)</f>
        <v>0</v>
      </c>
      <c r="BF169" s="23">
        <f>VALUE(0)</f>
        <v>0</v>
      </c>
      <c r="BG169" s="23">
        <f>VALUE(0)</f>
        <v>0</v>
      </c>
      <c r="BH169" s="23">
        <f>VALUE(0)</f>
        <v>0</v>
      </c>
      <c r="BI169" s="23">
        <f>VALUE(0)</f>
        <v>0</v>
      </c>
      <c r="BJ169" s="23">
        <f>VALUE(0)</f>
        <v>0</v>
      </c>
      <c r="BK169" s="12">
        <f>$AX$169*24</f>
        <v>5.833333333333333</v>
      </c>
      <c r="BL169" s="12">
        <f>$AY$169*24</f>
        <v>0</v>
      </c>
      <c r="BM169" s="12">
        <f>$BJ$169*24</f>
        <v>0</v>
      </c>
      <c r="BN169" s="12">
        <f>VALUE($I$169)/100</f>
        <v>1</v>
      </c>
      <c r="BO169" s="12">
        <v>0</v>
      </c>
      <c r="BP169" s="12">
        <v>0</v>
      </c>
      <c r="BQ169" s="12">
        <v>0</v>
      </c>
      <c r="BR169" s="12">
        <v>0</v>
      </c>
      <c r="BS169" s="12">
        <v>0</v>
      </c>
      <c r="BT169" s="12">
        <v>0</v>
      </c>
      <c r="BU169" s="12">
        <v>0</v>
      </c>
      <c r="BV169" s="12">
        <v>0</v>
      </c>
      <c r="BW169" s="12">
        <v>0</v>
      </c>
      <c r="BX169" s="12">
        <v>0</v>
      </c>
      <c r="BY169" s="12">
        <v>0</v>
      </c>
      <c r="BZ169" s="12">
        <v>0</v>
      </c>
      <c r="CA169" s="12">
        <v>0</v>
      </c>
    </row>
    <row r="170" spans="1:79" x14ac:dyDescent="0.2">
      <c r="A170" s="12" t="s">
        <v>120</v>
      </c>
      <c r="B170" s="12" t="s">
        <v>124</v>
      </c>
      <c r="C170" s="12" t="s">
        <v>124</v>
      </c>
      <c r="D170" s="22" t="s">
        <v>431</v>
      </c>
      <c r="E170" s="22" t="s">
        <v>159</v>
      </c>
      <c r="F170" s="22" t="s">
        <v>858</v>
      </c>
      <c r="G170" s="22" t="s">
        <v>859</v>
      </c>
      <c r="H170" s="22" t="s">
        <v>150</v>
      </c>
      <c r="I170" s="22" t="s">
        <v>151</v>
      </c>
      <c r="J170" s="22" t="s">
        <v>162</v>
      </c>
      <c r="K170" s="22" t="s">
        <v>83</v>
      </c>
      <c r="L170" s="54" t="s">
        <v>153</v>
      </c>
      <c r="M170" s="28" t="s">
        <v>163</v>
      </c>
      <c r="N170" s="24" t="s">
        <v>153</v>
      </c>
      <c r="O170" s="28" t="s">
        <v>163</v>
      </c>
      <c r="P170" s="25" t="s">
        <v>388</v>
      </c>
      <c r="Q170" s="25" t="s">
        <v>388</v>
      </c>
      <c r="R170" s="25" t="s">
        <v>388</v>
      </c>
      <c r="S170" s="24" t="s">
        <v>156</v>
      </c>
      <c r="T170" s="24" t="s">
        <v>156</v>
      </c>
      <c r="U170" s="24" t="s">
        <v>153</v>
      </c>
      <c r="V170" s="54" t="s">
        <v>153</v>
      </c>
      <c r="W170" s="23" t="s">
        <v>429</v>
      </c>
      <c r="X170" s="23" t="s">
        <v>429</v>
      </c>
      <c r="Y170" s="23" t="s">
        <v>429</v>
      </c>
      <c r="Z170" s="23" t="s">
        <v>429</v>
      </c>
      <c r="AA170" s="23" t="s">
        <v>429</v>
      </c>
      <c r="AB170" s="24" t="s">
        <v>153</v>
      </c>
      <c r="AC170" s="25" t="s">
        <v>429</v>
      </c>
      <c r="AD170" s="25" t="s">
        <v>429</v>
      </c>
      <c r="AE170" s="25" t="s">
        <v>429</v>
      </c>
      <c r="AF170" s="25" t="s">
        <v>429</v>
      </c>
      <c r="AG170" s="29" t="s">
        <v>163</v>
      </c>
      <c r="AH170" s="29" t="s">
        <v>163</v>
      </c>
      <c r="AI170" s="24" t="s">
        <v>153</v>
      </c>
      <c r="AJ170" s="25" t="s">
        <v>1236</v>
      </c>
      <c r="AK170" s="23" t="s">
        <v>385</v>
      </c>
      <c r="AL170" s="23" t="s">
        <v>385</v>
      </c>
      <c r="AM170" s="23" t="s">
        <v>385</v>
      </c>
      <c r="AN170" s="23" t="s">
        <v>385</v>
      </c>
      <c r="AO170" s="23" t="s">
        <v>385</v>
      </c>
      <c r="AP170" s="23">
        <f>VALUE(0)</f>
        <v>0</v>
      </c>
      <c r="AQ170" s="23">
        <f>VALUE(0)</f>
        <v>0</v>
      </c>
      <c r="AR170" s="23">
        <f>VALUE(2)</f>
        <v>2</v>
      </c>
      <c r="AS170" s="23">
        <f>VALUE(0)</f>
        <v>0</v>
      </c>
      <c r="AT170" s="23">
        <f>VALUE(0)</f>
        <v>0</v>
      </c>
      <c r="AU170" s="23">
        <f>VALUE(2)</f>
        <v>2</v>
      </c>
      <c r="AV170" s="23">
        <f>VALUE(2)</f>
        <v>2</v>
      </c>
      <c r="AW170" s="23">
        <f>VALUE(0)</f>
        <v>0</v>
      </c>
      <c r="AX170" s="23" t="s">
        <v>1237</v>
      </c>
      <c r="AY170" s="23">
        <f>VALUE(0)</f>
        <v>0</v>
      </c>
      <c r="AZ170" s="23">
        <f>VALUE(0)</f>
        <v>0</v>
      </c>
      <c r="BA170" s="23">
        <f>VALUE(0)</f>
        <v>0</v>
      </c>
      <c r="BB170" s="23">
        <f>VALUE(0)</f>
        <v>0</v>
      </c>
      <c r="BC170" s="23">
        <f>VALUE(0)</f>
        <v>0</v>
      </c>
      <c r="BD170" s="23">
        <f>VALUE(1)</f>
        <v>1</v>
      </c>
      <c r="BE170" s="23">
        <f>VALUE(0)</f>
        <v>0</v>
      </c>
      <c r="BF170" s="23">
        <f>VALUE(0)</f>
        <v>0</v>
      </c>
      <c r="BG170" s="23">
        <f>VALUE(0)</f>
        <v>0</v>
      </c>
      <c r="BH170" s="23">
        <f>VALUE(0)</f>
        <v>0</v>
      </c>
      <c r="BI170" s="23">
        <f>VALUE(0)</f>
        <v>0</v>
      </c>
      <c r="BJ170" s="23">
        <f>VALUE(0)</f>
        <v>0</v>
      </c>
      <c r="BK170" s="12">
        <f>$AX$170*24</f>
        <v>12.866666666666667</v>
      </c>
      <c r="BL170" s="12">
        <f>$AY$170*24</f>
        <v>0</v>
      </c>
      <c r="BM170" s="12">
        <f>$BJ$170*24</f>
        <v>0</v>
      </c>
      <c r="BN170" s="12">
        <f>VALUE($I$170)/100</f>
        <v>1</v>
      </c>
      <c r="BO170" s="12">
        <v>0</v>
      </c>
      <c r="BP170" s="12">
        <v>0</v>
      </c>
      <c r="BQ170" s="12">
        <v>0</v>
      </c>
      <c r="BR170" s="12">
        <v>1</v>
      </c>
      <c r="BS170" s="12">
        <v>0</v>
      </c>
      <c r="BT170" s="12">
        <v>2</v>
      </c>
      <c r="BU170" s="12">
        <v>0</v>
      </c>
      <c r="BV170" s="12">
        <v>0</v>
      </c>
      <c r="BW170" s="12">
        <v>0</v>
      </c>
      <c r="BX170" s="12">
        <v>0</v>
      </c>
      <c r="BY170" s="12">
        <v>0</v>
      </c>
      <c r="BZ170" s="12">
        <v>0</v>
      </c>
      <c r="CA170" s="12">
        <v>0</v>
      </c>
    </row>
    <row r="171" spans="1:79" x14ac:dyDescent="0.2">
      <c r="A171" s="12" t="s">
        <v>120</v>
      </c>
      <c r="B171" s="12" t="s">
        <v>124</v>
      </c>
      <c r="C171" s="12" t="s">
        <v>124</v>
      </c>
      <c r="D171" s="22" t="s">
        <v>433</v>
      </c>
      <c r="E171" s="22" t="s">
        <v>332</v>
      </c>
      <c r="F171" s="22" t="s">
        <v>860</v>
      </c>
      <c r="G171" s="22" t="s">
        <v>861</v>
      </c>
      <c r="H171" s="22" t="s">
        <v>150</v>
      </c>
      <c r="I171" s="22" t="s">
        <v>151</v>
      </c>
      <c r="J171" s="22" t="s">
        <v>162</v>
      </c>
      <c r="K171" s="22" t="s">
        <v>83</v>
      </c>
      <c r="L171" s="54" t="s">
        <v>153</v>
      </c>
      <c r="M171" s="23" t="s">
        <v>385</v>
      </c>
      <c r="N171" s="24" t="s">
        <v>153</v>
      </c>
      <c r="O171" s="23" t="s">
        <v>418</v>
      </c>
      <c r="P171" s="23" t="s">
        <v>418</v>
      </c>
      <c r="Q171" s="23" t="s">
        <v>389</v>
      </c>
      <c r="R171" s="23" t="s">
        <v>389</v>
      </c>
      <c r="S171" s="23" t="s">
        <v>389</v>
      </c>
      <c r="T171" s="23" t="s">
        <v>389</v>
      </c>
      <c r="U171" s="24" t="s">
        <v>153</v>
      </c>
      <c r="V171" s="54" t="s">
        <v>153</v>
      </c>
      <c r="W171" s="23" t="s">
        <v>388</v>
      </c>
      <c r="X171" s="23" t="s">
        <v>388</v>
      </c>
      <c r="Y171" s="23" t="s">
        <v>388</v>
      </c>
      <c r="Z171" s="24" t="s">
        <v>156</v>
      </c>
      <c r="AA171" s="24" t="s">
        <v>156</v>
      </c>
      <c r="AB171" s="24" t="s">
        <v>153</v>
      </c>
      <c r="AC171" s="24" t="s">
        <v>156</v>
      </c>
      <c r="AD171" s="24" t="s">
        <v>156</v>
      </c>
      <c r="AE171" s="28" t="s">
        <v>163</v>
      </c>
      <c r="AF171" s="28" t="s">
        <v>163</v>
      </c>
      <c r="AG171" s="28" t="s">
        <v>163</v>
      </c>
      <c r="AH171" s="28" t="s">
        <v>163</v>
      </c>
      <c r="AI171" s="24" t="s">
        <v>153</v>
      </c>
      <c r="AJ171" s="25" t="s">
        <v>429</v>
      </c>
      <c r="AK171" s="25" t="s">
        <v>429</v>
      </c>
      <c r="AL171" s="23" t="s">
        <v>419</v>
      </c>
      <c r="AM171" s="23" t="s">
        <v>419</v>
      </c>
      <c r="AN171" s="23" t="s">
        <v>384</v>
      </c>
      <c r="AO171" s="23" t="s">
        <v>384</v>
      </c>
      <c r="AP171" s="23">
        <f>VALUE(0)</f>
        <v>0</v>
      </c>
      <c r="AQ171" s="23">
        <f>VALUE(0)</f>
        <v>0</v>
      </c>
      <c r="AR171" s="23">
        <f>VALUE(0)</f>
        <v>0</v>
      </c>
      <c r="AS171" s="23">
        <f>VALUE(0)</f>
        <v>0</v>
      </c>
      <c r="AT171" s="23">
        <f>VALUE(0)</f>
        <v>0</v>
      </c>
      <c r="AU171" s="23">
        <f>VALUE(4)</f>
        <v>4</v>
      </c>
      <c r="AV171" s="23">
        <f>VALUE(4)</f>
        <v>4</v>
      </c>
      <c r="AW171" s="23">
        <f>VALUE(0)</f>
        <v>0</v>
      </c>
      <c r="AX171" s="23" t="s">
        <v>176</v>
      </c>
      <c r="AY171" s="23" t="s">
        <v>176</v>
      </c>
      <c r="AZ171" s="23">
        <f>VALUE(0)</f>
        <v>0</v>
      </c>
      <c r="BA171" s="23">
        <f>VALUE(0)</f>
        <v>0</v>
      </c>
      <c r="BB171" s="23">
        <f>VALUE(0)</f>
        <v>0</v>
      </c>
      <c r="BC171" s="23">
        <f>VALUE(0)</f>
        <v>0</v>
      </c>
      <c r="BD171" s="23">
        <f>VALUE(0)</f>
        <v>0</v>
      </c>
      <c r="BE171" s="23">
        <f>VALUE(0)</f>
        <v>0</v>
      </c>
      <c r="BF171" s="23">
        <f>VALUE(0)</f>
        <v>0</v>
      </c>
      <c r="BG171" s="23">
        <f>VALUE(0)</f>
        <v>0</v>
      </c>
      <c r="BH171" s="23">
        <f>VALUE(0)</f>
        <v>0</v>
      </c>
      <c r="BI171" s="23">
        <f>VALUE(0)</f>
        <v>0</v>
      </c>
      <c r="BJ171" s="23">
        <f>VALUE(0)</f>
        <v>0</v>
      </c>
      <c r="BK171" s="12">
        <f>$AX$171*24</f>
        <v>0</v>
      </c>
      <c r="BL171" s="12">
        <f>$AY$171*24</f>
        <v>0</v>
      </c>
      <c r="BM171" s="12">
        <f>$BJ$171*24</f>
        <v>0</v>
      </c>
      <c r="BN171" s="12">
        <f>VALUE($I$171)/100</f>
        <v>1</v>
      </c>
      <c r="BO171" s="12">
        <v>0</v>
      </c>
      <c r="BP171" s="12">
        <v>0</v>
      </c>
      <c r="BQ171" s="12">
        <v>0</v>
      </c>
      <c r="BR171" s="12">
        <v>0</v>
      </c>
      <c r="BS171" s="12">
        <v>0</v>
      </c>
      <c r="BT171" s="12">
        <v>0</v>
      </c>
      <c r="BU171" s="12">
        <v>0</v>
      </c>
      <c r="BV171" s="12">
        <v>0</v>
      </c>
      <c r="BW171" s="12">
        <v>0</v>
      </c>
      <c r="BX171" s="12">
        <v>0</v>
      </c>
      <c r="BY171" s="12">
        <v>0</v>
      </c>
      <c r="BZ171" s="12">
        <v>0</v>
      </c>
      <c r="CA171" s="12">
        <v>0</v>
      </c>
    </row>
    <row r="172" spans="1:79" x14ac:dyDescent="0.2">
      <c r="A172" s="12" t="s">
        <v>120</v>
      </c>
      <c r="B172" s="12" t="s">
        <v>124</v>
      </c>
      <c r="C172" s="12" t="s">
        <v>124</v>
      </c>
      <c r="D172" s="22" t="s">
        <v>434</v>
      </c>
      <c r="E172" s="22" t="s">
        <v>332</v>
      </c>
      <c r="F172" s="22" t="s">
        <v>862</v>
      </c>
      <c r="G172" s="22" t="s">
        <v>863</v>
      </c>
      <c r="H172" s="22" t="s">
        <v>150</v>
      </c>
      <c r="I172" s="22" t="s">
        <v>151</v>
      </c>
      <c r="J172" s="22" t="s">
        <v>162</v>
      </c>
      <c r="K172" s="22" t="s">
        <v>83</v>
      </c>
      <c r="L172" s="54" t="s">
        <v>153</v>
      </c>
      <c r="M172" s="23" t="s">
        <v>423</v>
      </c>
      <c r="N172" s="24" t="s">
        <v>153</v>
      </c>
      <c r="O172" s="23" t="s">
        <v>420</v>
      </c>
      <c r="P172" s="23" t="s">
        <v>420</v>
      </c>
      <c r="Q172" s="24" t="s">
        <v>156</v>
      </c>
      <c r="R172" s="24" t="s">
        <v>156</v>
      </c>
      <c r="S172" s="25" t="s">
        <v>388</v>
      </c>
      <c r="T172" s="25" t="s">
        <v>388</v>
      </c>
      <c r="U172" s="24" t="s">
        <v>153</v>
      </c>
      <c r="V172" s="54" t="s">
        <v>153</v>
      </c>
      <c r="W172" s="23" t="s">
        <v>382</v>
      </c>
      <c r="X172" s="25" t="s">
        <v>1238</v>
      </c>
      <c r="Y172" s="25" t="s">
        <v>1238</v>
      </c>
      <c r="Z172" s="23" t="s">
        <v>423</v>
      </c>
      <c r="AA172" s="23" t="s">
        <v>423</v>
      </c>
      <c r="AB172" s="24" t="s">
        <v>153</v>
      </c>
      <c r="AC172" s="23" t="s">
        <v>426</v>
      </c>
      <c r="AD172" s="23" t="s">
        <v>426</v>
      </c>
      <c r="AE172" s="23" t="s">
        <v>389</v>
      </c>
      <c r="AF172" s="23" t="s">
        <v>389</v>
      </c>
      <c r="AG172" s="23" t="s">
        <v>429</v>
      </c>
      <c r="AH172" s="23" t="s">
        <v>429</v>
      </c>
      <c r="AI172" s="24" t="s">
        <v>153</v>
      </c>
      <c r="AJ172" s="23" t="s">
        <v>418</v>
      </c>
      <c r="AK172" s="23" t="s">
        <v>418</v>
      </c>
      <c r="AL172" s="23" t="s">
        <v>390</v>
      </c>
      <c r="AM172" s="23" t="s">
        <v>390</v>
      </c>
      <c r="AN172" s="23" t="s">
        <v>379</v>
      </c>
      <c r="AO172" s="23" t="s">
        <v>379</v>
      </c>
      <c r="AP172" s="23">
        <f>VALUE(0)</f>
        <v>0</v>
      </c>
      <c r="AQ172" s="23">
        <f>VALUE(0)</f>
        <v>0</v>
      </c>
      <c r="AR172" s="23">
        <f>VALUE(0)</f>
        <v>0</v>
      </c>
      <c r="AS172" s="23">
        <f>VALUE(0)</f>
        <v>0</v>
      </c>
      <c r="AT172" s="23">
        <f>VALUE(0)</f>
        <v>0</v>
      </c>
      <c r="AU172" s="23">
        <f>VALUE(0)</f>
        <v>0</v>
      </c>
      <c r="AV172" s="23">
        <f>VALUE(2)</f>
        <v>2</v>
      </c>
      <c r="AW172" s="23">
        <f>VALUE(0)</f>
        <v>0</v>
      </c>
      <c r="AX172" s="23" t="s">
        <v>171</v>
      </c>
      <c r="AY172" s="23">
        <f>VALUE(0)</f>
        <v>0</v>
      </c>
      <c r="AZ172" s="23">
        <f>VALUE(0)</f>
        <v>0</v>
      </c>
      <c r="BA172" s="23">
        <f>VALUE(0)</f>
        <v>0</v>
      </c>
      <c r="BB172" s="23">
        <f>VALUE(0)</f>
        <v>0</v>
      </c>
      <c r="BC172" s="23">
        <f>VALUE(0)</f>
        <v>0</v>
      </c>
      <c r="BD172" s="23">
        <f>VALUE(2)</f>
        <v>2</v>
      </c>
      <c r="BE172" s="23">
        <f>VALUE(0)</f>
        <v>0</v>
      </c>
      <c r="BF172" s="23">
        <f>VALUE(0)</f>
        <v>0</v>
      </c>
      <c r="BG172" s="23">
        <f>VALUE(0)</f>
        <v>0</v>
      </c>
      <c r="BH172" s="23">
        <f>VALUE(0)</f>
        <v>0</v>
      </c>
      <c r="BI172" s="23">
        <f>VALUE(0)</f>
        <v>0</v>
      </c>
      <c r="BJ172" s="23">
        <f>VALUE(0)</f>
        <v>0</v>
      </c>
      <c r="BK172" s="12">
        <f>$AX$172*24</f>
        <v>5.833333333333333</v>
      </c>
      <c r="BL172" s="12">
        <f>$AY$172*24</f>
        <v>0</v>
      </c>
      <c r="BM172" s="12">
        <f>$BJ$172*24</f>
        <v>0</v>
      </c>
      <c r="BN172" s="12">
        <f>VALUE($I$172)/100</f>
        <v>1</v>
      </c>
      <c r="BO172" s="12">
        <v>0</v>
      </c>
      <c r="BP172" s="12">
        <v>0</v>
      </c>
      <c r="BQ172" s="12">
        <v>0</v>
      </c>
      <c r="BR172" s="12">
        <v>2</v>
      </c>
      <c r="BS172" s="12">
        <v>0</v>
      </c>
      <c r="BT172" s="12">
        <v>0</v>
      </c>
      <c r="BU172" s="12">
        <v>0</v>
      </c>
      <c r="BV172" s="12">
        <v>0</v>
      </c>
      <c r="BW172" s="12">
        <v>0</v>
      </c>
      <c r="BX172" s="12">
        <v>0</v>
      </c>
      <c r="BY172" s="12">
        <v>0</v>
      </c>
      <c r="BZ172" s="12">
        <v>0</v>
      </c>
      <c r="CA172" s="12">
        <v>0</v>
      </c>
    </row>
    <row r="173" spans="1:79" x14ac:dyDescent="0.2">
      <c r="A173" s="12" t="s">
        <v>120</v>
      </c>
      <c r="B173" s="12" t="s">
        <v>124</v>
      </c>
      <c r="C173" s="12" t="s">
        <v>124</v>
      </c>
      <c r="D173" s="22" t="s">
        <v>435</v>
      </c>
      <c r="E173" s="22" t="s">
        <v>173</v>
      </c>
      <c r="F173" s="22" t="s">
        <v>1239</v>
      </c>
      <c r="G173" s="22" t="s">
        <v>864</v>
      </c>
      <c r="H173" s="22" t="s">
        <v>150</v>
      </c>
      <c r="I173" s="22" t="s">
        <v>151</v>
      </c>
      <c r="J173" s="22" t="s">
        <v>162</v>
      </c>
      <c r="K173" s="22" t="s">
        <v>83</v>
      </c>
      <c r="L173" s="54" t="s">
        <v>153</v>
      </c>
      <c r="M173" s="23" t="s">
        <v>389</v>
      </c>
      <c r="N173" s="24" t="s">
        <v>153</v>
      </c>
      <c r="O173" s="23" t="s">
        <v>419</v>
      </c>
      <c r="P173" s="23" t="s">
        <v>419</v>
      </c>
      <c r="Q173" s="23" t="s">
        <v>419</v>
      </c>
      <c r="R173" s="23" t="s">
        <v>419</v>
      </c>
      <c r="S173" s="23" t="s">
        <v>419</v>
      </c>
      <c r="T173" s="23" t="s">
        <v>419</v>
      </c>
      <c r="U173" s="24" t="s">
        <v>153</v>
      </c>
      <c r="V173" s="54" t="s">
        <v>153</v>
      </c>
      <c r="W173" s="23" t="s">
        <v>389</v>
      </c>
      <c r="X173" s="23" t="s">
        <v>389</v>
      </c>
      <c r="Y173" s="23" t="s">
        <v>389</v>
      </c>
      <c r="Z173" s="23" t="s">
        <v>389</v>
      </c>
      <c r="AA173" s="23" t="s">
        <v>389</v>
      </c>
      <c r="AB173" s="24" t="s">
        <v>153</v>
      </c>
      <c r="AC173" s="23" t="s">
        <v>389</v>
      </c>
      <c r="AD173" s="23" t="s">
        <v>389</v>
      </c>
      <c r="AE173" s="24" t="s">
        <v>156</v>
      </c>
      <c r="AF173" s="24" t="s">
        <v>156</v>
      </c>
      <c r="AG173" s="23" t="s">
        <v>389</v>
      </c>
      <c r="AH173" s="23" t="s">
        <v>389</v>
      </c>
      <c r="AI173" s="24" t="s">
        <v>153</v>
      </c>
      <c r="AJ173" s="23" t="s">
        <v>389</v>
      </c>
      <c r="AK173" s="23" t="s">
        <v>389</v>
      </c>
      <c r="AL173" s="23" t="s">
        <v>389</v>
      </c>
      <c r="AM173" s="23" t="s">
        <v>389</v>
      </c>
      <c r="AN173" s="23" t="s">
        <v>389</v>
      </c>
      <c r="AO173" s="23" t="s">
        <v>389</v>
      </c>
      <c r="AP173" s="23">
        <f>VALUE(0)</f>
        <v>0</v>
      </c>
      <c r="AQ173" s="23">
        <f>VALUE(0)</f>
        <v>0</v>
      </c>
      <c r="AR173" s="23">
        <f>VALUE(0)</f>
        <v>0</v>
      </c>
      <c r="AS173" s="23">
        <f>VALUE(0)</f>
        <v>0</v>
      </c>
      <c r="AT173" s="23">
        <f>VALUE(0)</f>
        <v>0</v>
      </c>
      <c r="AU173" s="23">
        <f>VALUE(0)</f>
        <v>0</v>
      </c>
      <c r="AV173" s="23">
        <f>VALUE(1)</f>
        <v>1</v>
      </c>
      <c r="AW173" s="23">
        <f>VALUE(0)</f>
        <v>0</v>
      </c>
      <c r="AX173" s="23">
        <f>VALUE(0)</f>
        <v>0</v>
      </c>
      <c r="AY173" s="23">
        <f>VALUE(0)</f>
        <v>0</v>
      </c>
      <c r="AZ173" s="23">
        <f>VALUE(0)</f>
        <v>0</v>
      </c>
      <c r="BA173" s="23">
        <f>VALUE(0)</f>
        <v>0</v>
      </c>
      <c r="BB173" s="23">
        <f>VALUE(0)</f>
        <v>0</v>
      </c>
      <c r="BC173" s="23">
        <f>VALUE(0)</f>
        <v>0</v>
      </c>
      <c r="BD173" s="23">
        <f>VALUE(0)</f>
        <v>0</v>
      </c>
      <c r="BE173" s="23">
        <f>VALUE(0)</f>
        <v>0</v>
      </c>
      <c r="BF173" s="23">
        <f>VALUE(0)</f>
        <v>0</v>
      </c>
      <c r="BG173" s="23">
        <f>VALUE(0)</f>
        <v>0</v>
      </c>
      <c r="BH173" s="23">
        <f>VALUE(0)</f>
        <v>0</v>
      </c>
      <c r="BI173" s="23">
        <f>VALUE(0)</f>
        <v>0</v>
      </c>
      <c r="BJ173" s="23">
        <f>VALUE(0)</f>
        <v>0</v>
      </c>
      <c r="BK173" s="12">
        <f>$AX$173*24</f>
        <v>0</v>
      </c>
      <c r="BL173" s="12">
        <f>$AY$173*24</f>
        <v>0</v>
      </c>
      <c r="BM173" s="12">
        <f>$BJ$173*24</f>
        <v>0</v>
      </c>
      <c r="BN173" s="12">
        <f>VALUE($I$173)/100</f>
        <v>1</v>
      </c>
      <c r="BO173" s="12">
        <v>0</v>
      </c>
      <c r="BP173" s="12">
        <v>0</v>
      </c>
      <c r="BQ173" s="12">
        <v>0</v>
      </c>
      <c r="BR173" s="12">
        <v>0</v>
      </c>
      <c r="BS173" s="12">
        <v>0</v>
      </c>
      <c r="BT173" s="12">
        <v>0</v>
      </c>
      <c r="BU173" s="12">
        <v>0</v>
      </c>
      <c r="BV173" s="12">
        <v>0</v>
      </c>
      <c r="BW173" s="12">
        <v>0</v>
      </c>
      <c r="BX173" s="12">
        <v>0</v>
      </c>
      <c r="BY173" s="12">
        <v>0</v>
      </c>
      <c r="BZ173" s="12">
        <v>0</v>
      </c>
      <c r="CA173" s="12">
        <v>0</v>
      </c>
    </row>
    <row r="174" spans="1:79" x14ac:dyDescent="0.2">
      <c r="A174" s="12" t="s">
        <v>120</v>
      </c>
      <c r="B174" s="12" t="s">
        <v>124</v>
      </c>
      <c r="C174" s="12" t="s">
        <v>124</v>
      </c>
      <c r="D174" s="22" t="s">
        <v>1240</v>
      </c>
      <c r="E174" s="22" t="s">
        <v>173</v>
      </c>
      <c r="F174" s="22" t="s">
        <v>865</v>
      </c>
      <c r="G174" s="22" t="s">
        <v>866</v>
      </c>
      <c r="H174" s="22" t="s">
        <v>150</v>
      </c>
      <c r="I174" s="22" t="s">
        <v>415</v>
      </c>
      <c r="J174" s="22" t="s">
        <v>162</v>
      </c>
      <c r="K174" s="22" t="s">
        <v>83</v>
      </c>
      <c r="L174" s="54" t="s">
        <v>153</v>
      </c>
      <c r="M174" s="28" t="s">
        <v>163</v>
      </c>
      <c r="N174" s="24" t="s">
        <v>153</v>
      </c>
      <c r="O174" s="23" t="s">
        <v>153</v>
      </c>
      <c r="P174" s="23" t="s">
        <v>153</v>
      </c>
      <c r="Q174" s="23" t="s">
        <v>153</v>
      </c>
      <c r="R174" s="23" t="s">
        <v>153</v>
      </c>
      <c r="S174" s="23" t="s">
        <v>153</v>
      </c>
      <c r="T174" s="23" t="s">
        <v>153</v>
      </c>
      <c r="U174" s="24" t="s">
        <v>153</v>
      </c>
      <c r="V174" s="54" t="s">
        <v>153</v>
      </c>
      <c r="W174" s="25" t="s">
        <v>393</v>
      </c>
      <c r="X174" s="25" t="s">
        <v>393</v>
      </c>
      <c r="Y174" s="25" t="s">
        <v>393</v>
      </c>
      <c r="Z174" s="25" t="s">
        <v>393</v>
      </c>
      <c r="AA174" s="25" t="s">
        <v>393</v>
      </c>
      <c r="AB174" s="24" t="s">
        <v>153</v>
      </c>
      <c r="AC174" s="25" t="s">
        <v>393</v>
      </c>
      <c r="AD174" s="25" t="s">
        <v>393</v>
      </c>
      <c r="AE174" s="25" t="s">
        <v>393</v>
      </c>
      <c r="AF174" s="25" t="s">
        <v>393</v>
      </c>
      <c r="AG174" s="25" t="s">
        <v>393</v>
      </c>
      <c r="AH174" s="25" t="s">
        <v>393</v>
      </c>
      <c r="AI174" s="24" t="s">
        <v>153</v>
      </c>
      <c r="AJ174" s="25" t="s">
        <v>393</v>
      </c>
      <c r="AK174" s="25" t="s">
        <v>393</v>
      </c>
      <c r="AL174" s="25" t="s">
        <v>393</v>
      </c>
      <c r="AM174" s="25" t="s">
        <v>393</v>
      </c>
      <c r="AN174" s="25" t="s">
        <v>393</v>
      </c>
      <c r="AO174" s="25" t="s">
        <v>393</v>
      </c>
      <c r="AP174" s="23">
        <f>VALUE(0)</f>
        <v>0</v>
      </c>
      <c r="AQ174" s="23">
        <f>VALUE(0)</f>
        <v>0</v>
      </c>
      <c r="AR174" s="23">
        <f>VALUE(0)</f>
        <v>0</v>
      </c>
      <c r="AS174" s="23">
        <f>VALUE(0)</f>
        <v>0</v>
      </c>
      <c r="AT174" s="23">
        <f>VALUE(0)</f>
        <v>0</v>
      </c>
      <c r="AU174" s="23">
        <f>VALUE(1)</f>
        <v>1</v>
      </c>
      <c r="AV174" s="23">
        <f>VALUE(0)</f>
        <v>0</v>
      </c>
      <c r="AW174" s="23">
        <f>VALUE(0)</f>
        <v>0</v>
      </c>
      <c r="AX174" s="23">
        <f>VALUE(0)</f>
        <v>0</v>
      </c>
      <c r="AY174" s="23" t="s">
        <v>436</v>
      </c>
      <c r="AZ174" s="23">
        <f>VALUE(0)</f>
        <v>0</v>
      </c>
      <c r="BA174" s="23">
        <f>VALUE(0)</f>
        <v>0</v>
      </c>
      <c r="BB174" s="23">
        <f>VALUE(0)</f>
        <v>0</v>
      </c>
      <c r="BC174" s="23">
        <f>VALUE(0)</f>
        <v>0</v>
      </c>
      <c r="BD174" s="23">
        <f>VALUE(0)</f>
        <v>0</v>
      </c>
      <c r="BE174" s="23">
        <f>VALUE(0)</f>
        <v>0</v>
      </c>
      <c r="BF174" s="23">
        <f>VALUE(0)</f>
        <v>0</v>
      </c>
      <c r="BG174" s="23">
        <f>VALUE(0)</f>
        <v>0</v>
      </c>
      <c r="BH174" s="23">
        <f>VALUE(0)</f>
        <v>0</v>
      </c>
      <c r="BI174" s="23">
        <f>VALUE(0)</f>
        <v>0</v>
      </c>
      <c r="BJ174" s="23">
        <f>VALUE(0)</f>
        <v>0</v>
      </c>
      <c r="BK174" s="12">
        <f>$AX$174*24</f>
        <v>0</v>
      </c>
      <c r="BL174" s="12">
        <f>$AY$174*24</f>
        <v>12.533333333333335</v>
      </c>
      <c r="BM174" s="12">
        <f>$BJ$174*24</f>
        <v>0</v>
      </c>
      <c r="BN174" s="12">
        <f>VALUE($I$174)/100</f>
        <v>0.5</v>
      </c>
      <c r="BO174" s="12">
        <v>0</v>
      </c>
      <c r="BP174" s="12">
        <v>0</v>
      </c>
      <c r="BQ174" s="12">
        <v>0</v>
      </c>
      <c r="BR174" s="12">
        <v>0</v>
      </c>
      <c r="BS174" s="12">
        <v>0</v>
      </c>
      <c r="BT174" s="12">
        <v>0</v>
      </c>
      <c r="BU174" s="12">
        <v>0</v>
      </c>
      <c r="BV174" s="12">
        <v>0</v>
      </c>
      <c r="BW174" s="12">
        <v>0</v>
      </c>
      <c r="BX174" s="12">
        <v>0</v>
      </c>
      <c r="BY174" s="12">
        <v>0</v>
      </c>
      <c r="BZ174" s="12">
        <v>0</v>
      </c>
      <c r="CA174" s="12">
        <v>0</v>
      </c>
    </row>
    <row r="175" spans="1:79" x14ac:dyDescent="0.2">
      <c r="A175" s="12" t="s">
        <v>120</v>
      </c>
      <c r="B175" s="12" t="s">
        <v>124</v>
      </c>
      <c r="C175" s="12" t="s">
        <v>124</v>
      </c>
      <c r="D175" s="22" t="s">
        <v>393</v>
      </c>
      <c r="E175" s="22" t="s">
        <v>173</v>
      </c>
      <c r="F175" s="22" t="s">
        <v>867</v>
      </c>
      <c r="G175" s="22" t="s">
        <v>868</v>
      </c>
      <c r="H175" s="22" t="s">
        <v>190</v>
      </c>
      <c r="I175" s="22" t="s">
        <v>151</v>
      </c>
      <c r="J175" s="22" t="s">
        <v>162</v>
      </c>
      <c r="K175" s="22" t="s">
        <v>83</v>
      </c>
      <c r="L175" s="54" t="s">
        <v>153</v>
      </c>
      <c r="M175" s="23" t="s">
        <v>153</v>
      </c>
      <c r="N175" s="24" t="s">
        <v>153</v>
      </c>
      <c r="O175" s="23" t="s">
        <v>153</v>
      </c>
      <c r="P175" s="23" t="s">
        <v>153</v>
      </c>
      <c r="Q175" s="23" t="s">
        <v>153</v>
      </c>
      <c r="R175" s="23" t="s">
        <v>153</v>
      </c>
      <c r="S175" s="23" t="s">
        <v>153</v>
      </c>
      <c r="T175" s="23" t="s">
        <v>153</v>
      </c>
      <c r="U175" s="24" t="s">
        <v>153</v>
      </c>
      <c r="V175" s="54" t="s">
        <v>153</v>
      </c>
      <c r="W175" s="23" t="s">
        <v>153</v>
      </c>
      <c r="X175" s="23" t="s">
        <v>153</v>
      </c>
      <c r="Y175" s="23" t="s">
        <v>153</v>
      </c>
      <c r="Z175" s="23" t="s">
        <v>153</v>
      </c>
      <c r="AA175" s="23" t="s">
        <v>153</v>
      </c>
      <c r="AB175" s="40" t="s">
        <v>153</v>
      </c>
      <c r="AC175" s="40" t="s">
        <v>153</v>
      </c>
      <c r="AD175" s="40" t="s">
        <v>153</v>
      </c>
      <c r="AE175" s="40" t="s">
        <v>153</v>
      </c>
      <c r="AF175" s="40" t="s">
        <v>153</v>
      </c>
      <c r="AG175" s="40" t="s">
        <v>153</v>
      </c>
      <c r="AH175" s="40" t="s">
        <v>153</v>
      </c>
      <c r="AI175" s="40" t="s">
        <v>153</v>
      </c>
      <c r="AJ175" s="40" t="s">
        <v>153</v>
      </c>
      <c r="AK175" s="40" t="s">
        <v>153</v>
      </c>
      <c r="AL175" s="40" t="s">
        <v>153</v>
      </c>
      <c r="AM175" s="40" t="s">
        <v>153</v>
      </c>
      <c r="AN175" s="40" t="s">
        <v>153</v>
      </c>
      <c r="AO175" s="40" t="s">
        <v>153</v>
      </c>
      <c r="AP175" s="23">
        <f>VALUE(0)</f>
        <v>0</v>
      </c>
      <c r="AQ175" s="23">
        <f>VALUE(0)</f>
        <v>0</v>
      </c>
      <c r="AR175" s="23">
        <f>VALUE(0)</f>
        <v>0</v>
      </c>
      <c r="AS175" s="23">
        <f>VALUE(0)</f>
        <v>0</v>
      </c>
      <c r="AT175" s="23">
        <f>VALUE(0)</f>
        <v>0</v>
      </c>
      <c r="AU175" s="23">
        <f>VALUE(0)</f>
        <v>0</v>
      </c>
      <c r="AV175" s="23">
        <f>VALUE(3)</f>
        <v>3</v>
      </c>
      <c r="AW175" s="23">
        <f>VALUE(0)</f>
        <v>0</v>
      </c>
      <c r="AX175" s="23">
        <f>VALUE(0)</f>
        <v>0</v>
      </c>
      <c r="AY175" s="23">
        <f>VALUE(0)</f>
        <v>0</v>
      </c>
      <c r="AZ175" s="23">
        <f>VALUE(0)</f>
        <v>0</v>
      </c>
      <c r="BA175" s="23">
        <f>VALUE(0)</f>
        <v>0</v>
      </c>
      <c r="BB175" s="23">
        <f>VALUE(0)</f>
        <v>0</v>
      </c>
      <c r="BC175" s="23">
        <f>VALUE(0)</f>
        <v>0</v>
      </c>
      <c r="BD175" s="23">
        <f>VALUE(0)</f>
        <v>0</v>
      </c>
      <c r="BE175" s="23">
        <f>VALUE(0)</f>
        <v>0</v>
      </c>
      <c r="BF175" s="23">
        <f>VALUE(0)</f>
        <v>0</v>
      </c>
      <c r="BG175" s="23">
        <f>VALUE(0)</f>
        <v>0</v>
      </c>
      <c r="BH175" s="23">
        <f>VALUE(0)</f>
        <v>0</v>
      </c>
      <c r="BI175" s="23">
        <f>VALUE(0)</f>
        <v>0</v>
      </c>
      <c r="BJ175" s="23">
        <f>VALUE(0)</f>
        <v>0</v>
      </c>
      <c r="BK175" s="12">
        <f>$AX$175*24</f>
        <v>0</v>
      </c>
      <c r="BL175" s="12">
        <f>$AY$175*24</f>
        <v>0</v>
      </c>
      <c r="BM175" s="12">
        <f>$BJ$175*24</f>
        <v>0</v>
      </c>
      <c r="BN175" s="12">
        <f>VALUE($I$175)/100</f>
        <v>1</v>
      </c>
      <c r="BO175" s="12">
        <v>0</v>
      </c>
      <c r="BP175" s="12">
        <v>0</v>
      </c>
      <c r="BQ175" s="12">
        <v>0</v>
      </c>
      <c r="BR175" s="12">
        <v>0</v>
      </c>
      <c r="BS175" s="12">
        <v>0</v>
      </c>
      <c r="BT175" s="12">
        <v>0</v>
      </c>
      <c r="BU175" s="12">
        <v>0</v>
      </c>
      <c r="BV175" s="12">
        <v>0</v>
      </c>
      <c r="BW175" s="12">
        <v>0</v>
      </c>
      <c r="BX175" s="12">
        <v>0</v>
      </c>
      <c r="BY175" s="12">
        <v>0</v>
      </c>
      <c r="BZ175" s="12">
        <v>0</v>
      </c>
      <c r="CA175" s="12">
        <v>0</v>
      </c>
    </row>
    <row r="176" spans="1:79" ht="15" x14ac:dyDescent="0.25">
      <c r="A176" s="12" t="s">
        <v>120</v>
      </c>
      <c r="B176" s="12" t="s">
        <v>124</v>
      </c>
      <c r="C176" s="12" t="s">
        <v>124</v>
      </c>
      <c r="D176" s="31" t="s">
        <v>581</v>
      </c>
      <c r="E176" s="31" t="s">
        <v>153</v>
      </c>
      <c r="F176" s="31" t="s">
        <v>175</v>
      </c>
      <c r="G176" s="31" t="s">
        <v>153</v>
      </c>
      <c r="H176" s="31" t="s">
        <v>153</v>
      </c>
      <c r="I176" s="31" t="s">
        <v>153</v>
      </c>
      <c r="J176" s="31" t="s">
        <v>153</v>
      </c>
      <c r="K176" s="31" t="s">
        <v>153</v>
      </c>
      <c r="L176" s="31">
        <f>VALUE(0)</f>
        <v>0</v>
      </c>
      <c r="M176" s="31">
        <f>VALUE(16)</f>
        <v>16</v>
      </c>
      <c r="N176" s="31">
        <f>VALUE(0)</f>
        <v>0</v>
      </c>
      <c r="O176" s="31">
        <f>VALUE(17)</f>
        <v>17</v>
      </c>
      <c r="P176" s="31">
        <f>VALUE(19)</f>
        <v>19</v>
      </c>
      <c r="Q176" s="31">
        <f>VALUE(20)</f>
        <v>20</v>
      </c>
      <c r="R176" s="31">
        <f>VALUE(21)</f>
        <v>21</v>
      </c>
      <c r="S176" s="31">
        <f>VALUE(20)</f>
        <v>20</v>
      </c>
      <c r="T176" s="31">
        <f>VALUE(20)</f>
        <v>20</v>
      </c>
      <c r="U176" s="31">
        <f>VALUE(0)</f>
        <v>0</v>
      </c>
      <c r="V176" s="31">
        <f>VALUE(0)</f>
        <v>0</v>
      </c>
      <c r="W176" s="31">
        <f>VALUE(18)</f>
        <v>18</v>
      </c>
      <c r="X176" s="31">
        <f>VALUE(19)</f>
        <v>19</v>
      </c>
      <c r="Y176" s="31">
        <f>VALUE(19)</f>
        <v>19</v>
      </c>
      <c r="Z176" s="31">
        <f>VALUE(17)</f>
        <v>17</v>
      </c>
      <c r="AA176" s="31">
        <f>VALUE(17)</f>
        <v>17</v>
      </c>
      <c r="AB176" s="31">
        <f>VALUE(0)</f>
        <v>0</v>
      </c>
      <c r="AC176" s="31">
        <f>VALUE(18)</f>
        <v>18</v>
      </c>
      <c r="AD176" s="31">
        <f>VALUE(18)</f>
        <v>18</v>
      </c>
      <c r="AE176" s="31">
        <f>VALUE(18)</f>
        <v>18</v>
      </c>
      <c r="AF176" s="31">
        <f>VALUE(18)</f>
        <v>18</v>
      </c>
      <c r="AG176" s="31">
        <f>VALUE(17)</f>
        <v>17</v>
      </c>
      <c r="AH176" s="31">
        <f>VALUE(17)</f>
        <v>17</v>
      </c>
      <c r="AI176" s="31">
        <f>VALUE(0)</f>
        <v>0</v>
      </c>
      <c r="AJ176" s="31">
        <f>VALUE(18)</f>
        <v>18</v>
      </c>
      <c r="AK176" s="31">
        <f>VALUE(18)</f>
        <v>18</v>
      </c>
      <c r="AL176" s="31">
        <f>VALUE(17)</f>
        <v>17</v>
      </c>
      <c r="AM176" s="31">
        <f>VALUE(17)</f>
        <v>17</v>
      </c>
      <c r="AN176" s="31">
        <f>VALUE(17)</f>
        <v>17</v>
      </c>
      <c r="AO176" s="31">
        <f>VALUE(17)</f>
        <v>17</v>
      </c>
      <c r="AP176" s="31">
        <v>0</v>
      </c>
      <c r="AQ176" s="31">
        <v>0</v>
      </c>
      <c r="AR176" s="31">
        <v>0</v>
      </c>
      <c r="AS176" s="31">
        <v>0</v>
      </c>
      <c r="AT176" s="31">
        <v>0</v>
      </c>
      <c r="AU176" s="31">
        <v>0</v>
      </c>
      <c r="AV176" s="31">
        <v>0</v>
      </c>
      <c r="AW176" s="31">
        <v>0</v>
      </c>
      <c r="AX176" s="31">
        <v>0</v>
      </c>
      <c r="AY176" s="31">
        <v>0</v>
      </c>
      <c r="AZ176" s="31">
        <v>0</v>
      </c>
      <c r="BA176" s="31">
        <v>0</v>
      </c>
      <c r="BB176" s="31">
        <v>0</v>
      </c>
      <c r="BC176" s="31">
        <v>0</v>
      </c>
      <c r="BD176" s="31">
        <v>0</v>
      </c>
      <c r="BE176" s="31">
        <v>0</v>
      </c>
      <c r="BF176" s="31">
        <v>0</v>
      </c>
      <c r="BG176" s="31">
        <v>0</v>
      </c>
      <c r="BH176" s="31">
        <v>0</v>
      </c>
      <c r="BI176" s="31">
        <v>0</v>
      </c>
      <c r="BJ176" s="31">
        <v>0</v>
      </c>
      <c r="BK176" s="12">
        <v>0</v>
      </c>
      <c r="BL176" s="12">
        <v>0</v>
      </c>
      <c r="BM176" s="12">
        <v>0</v>
      </c>
      <c r="BN176" s="12"/>
      <c r="BO176" s="12">
        <v>0</v>
      </c>
      <c r="BP176" s="12">
        <v>0</v>
      </c>
      <c r="BQ176" s="12">
        <v>0</v>
      </c>
      <c r="BR176" s="12">
        <v>0</v>
      </c>
      <c r="BS176" s="12">
        <v>0</v>
      </c>
      <c r="BT176" s="12">
        <v>0</v>
      </c>
      <c r="BU176" s="12">
        <v>0</v>
      </c>
      <c r="BV176" s="12">
        <v>0</v>
      </c>
      <c r="BW176" s="12">
        <v>0</v>
      </c>
      <c r="BX176" s="12">
        <v>0</v>
      </c>
      <c r="BY176" s="12">
        <v>0</v>
      </c>
      <c r="BZ176" s="12">
        <v>0</v>
      </c>
      <c r="CA176" s="12">
        <v>0</v>
      </c>
    </row>
    <row r="177" spans="1:79" x14ac:dyDescent="0.2">
      <c r="A177" s="12" t="s">
        <v>120</v>
      </c>
      <c r="B177" s="12" t="s">
        <v>125</v>
      </c>
      <c r="C177" s="12" t="s">
        <v>125</v>
      </c>
      <c r="D177" s="22" t="s">
        <v>437</v>
      </c>
      <c r="E177" s="22" t="s">
        <v>161</v>
      </c>
      <c r="F177" s="22" t="s">
        <v>869</v>
      </c>
      <c r="G177" s="22" t="s">
        <v>870</v>
      </c>
      <c r="H177" s="22" t="s">
        <v>190</v>
      </c>
      <c r="I177" s="22" t="s">
        <v>151</v>
      </c>
      <c r="J177" s="22" t="s">
        <v>162</v>
      </c>
      <c r="K177" s="22" t="s">
        <v>84</v>
      </c>
      <c r="L177" s="54" t="s">
        <v>153</v>
      </c>
      <c r="M177" s="23" t="s">
        <v>153</v>
      </c>
      <c r="N177" s="24" t="s">
        <v>153</v>
      </c>
      <c r="O177" s="23" t="s">
        <v>153</v>
      </c>
      <c r="P177" s="23" t="s">
        <v>153</v>
      </c>
      <c r="Q177" s="23" t="s">
        <v>153</v>
      </c>
      <c r="R177" s="23" t="s">
        <v>153</v>
      </c>
      <c r="S177" s="23" t="s">
        <v>153</v>
      </c>
      <c r="T177" s="23" t="s">
        <v>153</v>
      </c>
      <c r="U177" s="24" t="s">
        <v>153</v>
      </c>
      <c r="V177" s="54" t="s">
        <v>153</v>
      </c>
      <c r="W177" s="23" t="s">
        <v>153</v>
      </c>
      <c r="X177" s="23" t="s">
        <v>153</v>
      </c>
      <c r="Y177" s="23" t="s">
        <v>153</v>
      </c>
      <c r="Z177" s="23" t="s">
        <v>153</v>
      </c>
      <c r="AA177" s="23" t="s">
        <v>153</v>
      </c>
      <c r="AB177" s="24" t="s">
        <v>153</v>
      </c>
      <c r="AC177" s="23" t="s">
        <v>153</v>
      </c>
      <c r="AD177" s="23" t="s">
        <v>153</v>
      </c>
      <c r="AE177" s="23" t="s">
        <v>153</v>
      </c>
      <c r="AF177" s="23" t="s">
        <v>153</v>
      </c>
      <c r="AG177" s="23" t="s">
        <v>153</v>
      </c>
      <c r="AH177" s="23" t="s">
        <v>153</v>
      </c>
      <c r="AI177" s="24" t="s">
        <v>153</v>
      </c>
      <c r="AJ177" s="23" t="s">
        <v>153</v>
      </c>
      <c r="AK177" s="23" t="s">
        <v>153</v>
      </c>
      <c r="AL177" s="23" t="s">
        <v>153</v>
      </c>
      <c r="AM177" s="23" t="s">
        <v>153</v>
      </c>
      <c r="AN177" s="23" t="s">
        <v>153</v>
      </c>
      <c r="AO177" s="23" t="s">
        <v>153</v>
      </c>
      <c r="AP177" s="23">
        <f>VALUE(2)</f>
        <v>2</v>
      </c>
      <c r="AQ177" s="23">
        <f>VALUE(0)</f>
        <v>0</v>
      </c>
      <c r="AR177" s="23">
        <f>VALUE(0)</f>
        <v>0</v>
      </c>
      <c r="AS177" s="23">
        <f>VALUE(0)</f>
        <v>0</v>
      </c>
      <c r="AT177" s="23">
        <f>VALUE(0)</f>
        <v>0</v>
      </c>
      <c r="AU177" s="23">
        <f>VALUE(0)</f>
        <v>0</v>
      </c>
      <c r="AV177" s="23">
        <f>VALUE(7)</f>
        <v>7</v>
      </c>
      <c r="AW177" s="23">
        <f>VALUE(0)</f>
        <v>0</v>
      </c>
      <c r="AX177" s="23">
        <f>VALUE(0)</f>
        <v>0</v>
      </c>
      <c r="AY177" s="23">
        <f>VALUE(0)</f>
        <v>0</v>
      </c>
      <c r="AZ177" s="23">
        <f>VALUE(0)</f>
        <v>0</v>
      </c>
      <c r="BA177" s="23">
        <f>VALUE(0)</f>
        <v>0</v>
      </c>
      <c r="BB177" s="23">
        <f>VALUE(0)</f>
        <v>0</v>
      </c>
      <c r="BC177" s="23">
        <f>VALUE(0)</f>
        <v>0</v>
      </c>
      <c r="BD177" s="23">
        <f>VALUE(0)</f>
        <v>0</v>
      </c>
      <c r="BE177" s="23">
        <f>VALUE(0)</f>
        <v>0</v>
      </c>
      <c r="BF177" s="23">
        <f>VALUE(0)</f>
        <v>0</v>
      </c>
      <c r="BG177" s="23">
        <f>VALUE(0)</f>
        <v>0</v>
      </c>
      <c r="BH177" s="23">
        <f>VALUE(0)</f>
        <v>0</v>
      </c>
      <c r="BI177" s="23">
        <f>VALUE(0)</f>
        <v>0</v>
      </c>
      <c r="BJ177" s="23">
        <f>VALUE(0)</f>
        <v>0</v>
      </c>
      <c r="BK177" s="12">
        <f>$AX$177*24</f>
        <v>0</v>
      </c>
      <c r="BL177" s="12">
        <f>$AY$177*24</f>
        <v>0</v>
      </c>
      <c r="BM177" s="12">
        <f>$BJ$177*24</f>
        <v>0</v>
      </c>
      <c r="BN177" s="12">
        <f>VALUE($I$177)/100</f>
        <v>1</v>
      </c>
      <c r="BO177" s="12">
        <v>0</v>
      </c>
      <c r="BP177" s="12">
        <v>0</v>
      </c>
      <c r="BQ177" s="12">
        <v>0</v>
      </c>
      <c r="BR177" s="12">
        <v>0</v>
      </c>
      <c r="BS177" s="12">
        <v>0</v>
      </c>
      <c r="BT177" s="12">
        <v>0</v>
      </c>
      <c r="BU177" s="12">
        <v>0</v>
      </c>
      <c r="BV177" s="12">
        <v>0</v>
      </c>
      <c r="BW177" s="12">
        <v>0</v>
      </c>
      <c r="BX177" s="12">
        <v>0</v>
      </c>
      <c r="BY177" s="12">
        <v>0</v>
      </c>
      <c r="BZ177" s="12">
        <v>0</v>
      </c>
      <c r="CA177" s="12">
        <v>0</v>
      </c>
    </row>
    <row r="178" spans="1:79" x14ac:dyDescent="0.2">
      <c r="A178" s="12" t="s">
        <v>120</v>
      </c>
      <c r="B178" s="12" t="s">
        <v>125</v>
      </c>
      <c r="C178" s="12" t="s">
        <v>125</v>
      </c>
      <c r="D178" s="22" t="s">
        <v>438</v>
      </c>
      <c r="E178" s="22" t="s">
        <v>161</v>
      </c>
      <c r="F178" s="22" t="s">
        <v>871</v>
      </c>
      <c r="G178" s="22" t="s">
        <v>872</v>
      </c>
      <c r="H178" s="22" t="s">
        <v>150</v>
      </c>
      <c r="I178" s="22" t="s">
        <v>151</v>
      </c>
      <c r="J178" s="22" t="s">
        <v>162</v>
      </c>
      <c r="K178" s="22" t="s">
        <v>84</v>
      </c>
      <c r="L178" s="54" t="s">
        <v>153</v>
      </c>
      <c r="M178" s="23" t="s">
        <v>153</v>
      </c>
      <c r="N178" s="24" t="s">
        <v>153</v>
      </c>
      <c r="O178" s="23" t="s">
        <v>153</v>
      </c>
      <c r="P178" s="23" t="s">
        <v>153</v>
      </c>
      <c r="Q178" s="23" t="s">
        <v>153</v>
      </c>
      <c r="R178" s="23" t="s">
        <v>153</v>
      </c>
      <c r="S178" s="23" t="s">
        <v>153</v>
      </c>
      <c r="T178" s="23" t="s">
        <v>153</v>
      </c>
      <c r="U178" s="24" t="s">
        <v>153</v>
      </c>
      <c r="V178" s="54" t="s">
        <v>153</v>
      </c>
      <c r="W178" s="23" t="s">
        <v>153</v>
      </c>
      <c r="X178" s="23" t="s">
        <v>153</v>
      </c>
      <c r="Y178" s="23" t="s">
        <v>153</v>
      </c>
      <c r="Z178" s="23" t="s">
        <v>153</v>
      </c>
      <c r="AA178" s="23" t="s">
        <v>153</v>
      </c>
      <c r="AB178" s="24" t="s">
        <v>153</v>
      </c>
      <c r="AC178" s="29" t="s">
        <v>163</v>
      </c>
      <c r="AD178" s="29" t="s">
        <v>163</v>
      </c>
      <c r="AE178" s="24" t="s">
        <v>156</v>
      </c>
      <c r="AF178" s="24" t="s">
        <v>156</v>
      </c>
      <c r="AG178" s="28" t="s">
        <v>163</v>
      </c>
      <c r="AH178" s="28" t="s">
        <v>163</v>
      </c>
      <c r="AI178" s="24" t="s">
        <v>153</v>
      </c>
      <c r="AJ178" s="28" t="s">
        <v>163</v>
      </c>
      <c r="AK178" s="28" t="s">
        <v>163</v>
      </c>
      <c r="AL178" s="28" t="s">
        <v>163</v>
      </c>
      <c r="AM178" s="28" t="s">
        <v>163</v>
      </c>
      <c r="AN178" s="28" t="s">
        <v>163</v>
      </c>
      <c r="AO178" s="28" t="s">
        <v>163</v>
      </c>
      <c r="AP178" s="23">
        <f>VALUE(7)</f>
        <v>7</v>
      </c>
      <c r="AQ178" s="23">
        <f>VALUE(0)</f>
        <v>0</v>
      </c>
      <c r="AR178" s="23">
        <f>VALUE(2)</f>
        <v>2</v>
      </c>
      <c r="AS178" s="23">
        <f>VALUE(0)</f>
        <v>0</v>
      </c>
      <c r="AT178" s="23">
        <f>VALUE(0)</f>
        <v>0</v>
      </c>
      <c r="AU178" s="23">
        <f>VALUE(8)</f>
        <v>8</v>
      </c>
      <c r="AV178" s="23">
        <f>VALUE(1)</f>
        <v>1</v>
      </c>
      <c r="AW178" s="23">
        <f>VALUE(0)</f>
        <v>0</v>
      </c>
      <c r="AX178" s="23" t="s">
        <v>176</v>
      </c>
      <c r="AY178" s="23" t="s">
        <v>439</v>
      </c>
      <c r="AZ178" s="23">
        <f>VALUE(0)</f>
        <v>0</v>
      </c>
      <c r="BA178" s="23">
        <f>VALUE(0)</f>
        <v>0</v>
      </c>
      <c r="BB178" s="23">
        <f>VALUE(0)</f>
        <v>0</v>
      </c>
      <c r="BC178" s="23">
        <f>VALUE(0)</f>
        <v>0</v>
      </c>
      <c r="BD178" s="23">
        <f>VALUE(0)</f>
        <v>0</v>
      </c>
      <c r="BE178" s="23">
        <f>VALUE(0)</f>
        <v>0</v>
      </c>
      <c r="BF178" s="23">
        <f>VALUE(0)</f>
        <v>0</v>
      </c>
      <c r="BG178" s="23">
        <f>VALUE(0)</f>
        <v>0</v>
      </c>
      <c r="BH178" s="23">
        <f>VALUE(0)</f>
        <v>0</v>
      </c>
      <c r="BI178" s="23">
        <f>VALUE(0)</f>
        <v>0</v>
      </c>
      <c r="BJ178" s="23">
        <f>VALUE(0)</f>
        <v>0</v>
      </c>
      <c r="BK178" s="12">
        <f>$AX$178*24</f>
        <v>0</v>
      </c>
      <c r="BL178" s="12">
        <f>$AY$178*24</f>
        <v>8.3333333333333329E-2</v>
      </c>
      <c r="BM178" s="12">
        <f>$BJ$178*24</f>
        <v>0</v>
      </c>
      <c r="BN178" s="12">
        <f>VALUE($I$178)/100</f>
        <v>1</v>
      </c>
      <c r="BO178" s="12">
        <v>0</v>
      </c>
      <c r="BP178" s="12">
        <v>0</v>
      </c>
      <c r="BQ178" s="12">
        <v>0</v>
      </c>
      <c r="BR178" s="12">
        <v>0</v>
      </c>
      <c r="BS178" s="12">
        <v>0</v>
      </c>
      <c r="BT178" s="12">
        <v>2</v>
      </c>
      <c r="BU178" s="12">
        <v>0</v>
      </c>
      <c r="BV178" s="12">
        <v>0</v>
      </c>
      <c r="BW178" s="12">
        <v>0</v>
      </c>
      <c r="BX178" s="12">
        <v>0</v>
      </c>
      <c r="BY178" s="12">
        <v>0</v>
      </c>
      <c r="BZ178" s="12">
        <v>0</v>
      </c>
      <c r="CA178" s="12">
        <v>0</v>
      </c>
    </row>
    <row r="179" spans="1:79" x14ac:dyDescent="0.2">
      <c r="A179" s="12" t="s">
        <v>120</v>
      </c>
      <c r="B179" s="12" t="s">
        <v>125</v>
      </c>
      <c r="C179" s="12" t="s">
        <v>125</v>
      </c>
      <c r="D179" s="22" t="s">
        <v>440</v>
      </c>
      <c r="E179" s="22" t="s">
        <v>161</v>
      </c>
      <c r="F179" s="22" t="s">
        <v>873</v>
      </c>
      <c r="G179" s="22" t="s">
        <v>874</v>
      </c>
      <c r="H179" s="22" t="s">
        <v>150</v>
      </c>
      <c r="I179" s="22" t="s">
        <v>151</v>
      </c>
      <c r="J179" s="22" t="s">
        <v>162</v>
      </c>
      <c r="K179" s="22" t="s">
        <v>84</v>
      </c>
      <c r="L179" s="54" t="s">
        <v>153</v>
      </c>
      <c r="M179" s="23" t="s">
        <v>153</v>
      </c>
      <c r="N179" s="24" t="s">
        <v>153</v>
      </c>
      <c r="O179" s="23" t="s">
        <v>153</v>
      </c>
      <c r="P179" s="23" t="s">
        <v>153</v>
      </c>
      <c r="Q179" s="23" t="s">
        <v>153</v>
      </c>
      <c r="R179" s="23" t="s">
        <v>153</v>
      </c>
      <c r="S179" s="23" t="s">
        <v>153</v>
      </c>
      <c r="T179" s="23" t="s">
        <v>153</v>
      </c>
      <c r="U179" s="24" t="s">
        <v>153</v>
      </c>
      <c r="V179" s="54" t="s">
        <v>153</v>
      </c>
      <c r="W179" s="23" t="s">
        <v>153</v>
      </c>
      <c r="X179" s="23" t="s">
        <v>153</v>
      </c>
      <c r="Y179" s="23" t="s">
        <v>153</v>
      </c>
      <c r="Z179" s="24" t="s">
        <v>156</v>
      </c>
      <c r="AA179" s="24" t="s">
        <v>156</v>
      </c>
      <c r="AB179" s="24" t="s">
        <v>153</v>
      </c>
      <c r="AC179" s="23" t="s">
        <v>153</v>
      </c>
      <c r="AD179" s="23" t="s">
        <v>153</v>
      </c>
      <c r="AE179" s="23" t="s">
        <v>153</v>
      </c>
      <c r="AF179" s="23" t="s">
        <v>153</v>
      </c>
      <c r="AG179" s="23" t="s">
        <v>153</v>
      </c>
      <c r="AH179" s="23" t="s">
        <v>153</v>
      </c>
      <c r="AI179" s="24" t="s">
        <v>153</v>
      </c>
      <c r="AJ179" s="23" t="s">
        <v>153</v>
      </c>
      <c r="AK179" s="23" t="s">
        <v>153</v>
      </c>
      <c r="AL179" s="23" t="s">
        <v>153</v>
      </c>
      <c r="AM179" s="23" t="s">
        <v>153</v>
      </c>
      <c r="AN179" s="23" t="s">
        <v>153</v>
      </c>
      <c r="AO179" s="23" t="s">
        <v>153</v>
      </c>
      <c r="AP179" s="23">
        <f>VALUE(18)</f>
        <v>18</v>
      </c>
      <c r="AQ179" s="23">
        <f>VALUE(0)</f>
        <v>0</v>
      </c>
      <c r="AR179" s="23">
        <f>VALUE(0)</f>
        <v>0</v>
      </c>
      <c r="AS179" s="23">
        <f>VALUE(0)</f>
        <v>0</v>
      </c>
      <c r="AT179" s="23">
        <f>VALUE(0)</f>
        <v>0</v>
      </c>
      <c r="AU179" s="23">
        <f>VALUE(0)</f>
        <v>0</v>
      </c>
      <c r="AV179" s="23">
        <f>VALUE(0)</f>
        <v>0</v>
      </c>
      <c r="AW179" s="23">
        <f>VALUE(0)</f>
        <v>0</v>
      </c>
      <c r="AX179" s="23" t="s">
        <v>158</v>
      </c>
      <c r="AY179" s="23" t="s">
        <v>441</v>
      </c>
      <c r="AZ179" s="23">
        <f>VALUE(0)</f>
        <v>0</v>
      </c>
      <c r="BA179" s="23">
        <f>VALUE(0)</f>
        <v>0</v>
      </c>
      <c r="BB179" s="23">
        <f>VALUE(0)</f>
        <v>0</v>
      </c>
      <c r="BC179" s="23">
        <f>VALUE(0)</f>
        <v>0</v>
      </c>
      <c r="BD179" s="23">
        <f>VALUE(0)</f>
        <v>0</v>
      </c>
      <c r="BE179" s="23">
        <f>VALUE(0)</f>
        <v>0</v>
      </c>
      <c r="BF179" s="23">
        <f>VALUE(0)</f>
        <v>0</v>
      </c>
      <c r="BG179" s="23">
        <f>VALUE(0)</f>
        <v>0</v>
      </c>
      <c r="BH179" s="23">
        <f>VALUE(0)</f>
        <v>0</v>
      </c>
      <c r="BI179" s="23">
        <f>VALUE(0)</f>
        <v>0</v>
      </c>
      <c r="BJ179" s="23">
        <f>VALUE(0)</f>
        <v>0</v>
      </c>
      <c r="BK179" s="12">
        <f>$AX$179*24</f>
        <v>11.666666666666666</v>
      </c>
      <c r="BL179" s="12">
        <f>$AY$179*24</f>
        <v>16.183333333333334</v>
      </c>
      <c r="BM179" s="12">
        <f>$BJ$179*24</f>
        <v>0</v>
      </c>
      <c r="BN179" s="12">
        <f>VALUE($I$179)/100</f>
        <v>1</v>
      </c>
      <c r="BO179" s="12">
        <v>0</v>
      </c>
      <c r="BP179" s="12">
        <v>0</v>
      </c>
      <c r="BQ179" s="12">
        <v>0</v>
      </c>
      <c r="BR179" s="12">
        <v>0</v>
      </c>
      <c r="BS179" s="12">
        <v>0</v>
      </c>
      <c r="BT179" s="12">
        <v>0</v>
      </c>
      <c r="BU179" s="12">
        <v>0</v>
      </c>
      <c r="BV179" s="12">
        <v>0</v>
      </c>
      <c r="BW179" s="12">
        <v>0</v>
      </c>
      <c r="BX179" s="12">
        <v>0</v>
      </c>
      <c r="BY179" s="12">
        <v>0</v>
      </c>
      <c r="BZ179" s="12">
        <v>0</v>
      </c>
      <c r="CA179" s="12">
        <v>0</v>
      </c>
    </row>
    <row r="180" spans="1:79" x14ac:dyDescent="0.2">
      <c r="A180" s="12" t="s">
        <v>120</v>
      </c>
      <c r="B180" s="12" t="s">
        <v>125</v>
      </c>
      <c r="C180" s="12" t="s">
        <v>125</v>
      </c>
      <c r="D180" s="22" t="s">
        <v>442</v>
      </c>
      <c r="E180" s="22" t="s">
        <v>161</v>
      </c>
      <c r="F180" s="22" t="s">
        <v>875</v>
      </c>
      <c r="G180" s="22" t="s">
        <v>876</v>
      </c>
      <c r="H180" s="22" t="s">
        <v>150</v>
      </c>
      <c r="I180" s="22" t="s">
        <v>151</v>
      </c>
      <c r="J180" s="22" t="s">
        <v>162</v>
      </c>
      <c r="K180" s="22" t="s">
        <v>84</v>
      </c>
      <c r="L180" s="54" t="s">
        <v>153</v>
      </c>
      <c r="M180" s="29" t="s">
        <v>163</v>
      </c>
      <c r="N180" s="24" t="s">
        <v>153</v>
      </c>
      <c r="O180" s="23" t="s">
        <v>153</v>
      </c>
      <c r="P180" s="23" t="s">
        <v>153</v>
      </c>
      <c r="Q180" s="23" t="s">
        <v>153</v>
      </c>
      <c r="R180" s="23" t="s">
        <v>153</v>
      </c>
      <c r="S180" s="24" t="s">
        <v>156</v>
      </c>
      <c r="T180" s="24" t="s">
        <v>156</v>
      </c>
      <c r="U180" s="24" t="s">
        <v>153</v>
      </c>
      <c r="V180" s="54" t="s">
        <v>153</v>
      </c>
      <c r="W180" s="23" t="s">
        <v>153</v>
      </c>
      <c r="X180" s="23" t="s">
        <v>153</v>
      </c>
      <c r="Y180" s="23" t="s">
        <v>153</v>
      </c>
      <c r="Z180" s="23" t="s">
        <v>153</v>
      </c>
      <c r="AA180" s="23" t="s">
        <v>153</v>
      </c>
      <c r="AB180" s="24" t="s">
        <v>153</v>
      </c>
      <c r="AC180" s="23" t="s">
        <v>153</v>
      </c>
      <c r="AD180" s="23" t="s">
        <v>153</v>
      </c>
      <c r="AE180" s="23" t="s">
        <v>153</v>
      </c>
      <c r="AF180" s="23" t="s">
        <v>153</v>
      </c>
      <c r="AG180" s="23" t="s">
        <v>153</v>
      </c>
      <c r="AH180" s="23" t="s">
        <v>153</v>
      </c>
      <c r="AI180" s="24" t="s">
        <v>153</v>
      </c>
      <c r="AJ180" s="23" t="s">
        <v>153</v>
      </c>
      <c r="AK180" s="23" t="s">
        <v>153</v>
      </c>
      <c r="AL180" s="23" t="s">
        <v>153</v>
      </c>
      <c r="AM180" s="23" t="s">
        <v>153</v>
      </c>
      <c r="AN180" s="23" t="s">
        <v>153</v>
      </c>
      <c r="AO180" s="23" t="s">
        <v>153</v>
      </c>
      <c r="AP180" s="23">
        <f>VALUE(16)</f>
        <v>16</v>
      </c>
      <c r="AQ180" s="23">
        <f>VALUE(0)</f>
        <v>0</v>
      </c>
      <c r="AR180" s="23">
        <f>VALUE(1)</f>
        <v>1</v>
      </c>
      <c r="AS180" s="23">
        <f>VALUE(0)</f>
        <v>0</v>
      </c>
      <c r="AT180" s="23">
        <f>VALUE(0)</f>
        <v>0</v>
      </c>
      <c r="AU180" s="23">
        <f>VALUE(0)</f>
        <v>0</v>
      </c>
      <c r="AV180" s="23">
        <f>VALUE(0)</f>
        <v>0</v>
      </c>
      <c r="AW180" s="23">
        <f>VALUE(0)</f>
        <v>0</v>
      </c>
      <c r="AX180" s="23" t="s">
        <v>176</v>
      </c>
      <c r="AY180" s="23" t="s">
        <v>443</v>
      </c>
      <c r="AZ180" s="23">
        <f>VALUE(0)</f>
        <v>0</v>
      </c>
      <c r="BA180" s="23">
        <f>VALUE(0)</f>
        <v>0</v>
      </c>
      <c r="BB180" s="23">
        <f>VALUE(0)</f>
        <v>0</v>
      </c>
      <c r="BC180" s="23">
        <f>VALUE(0)</f>
        <v>0</v>
      </c>
      <c r="BD180" s="23">
        <f>VALUE(0)</f>
        <v>0</v>
      </c>
      <c r="BE180" s="23">
        <f>VALUE(0)</f>
        <v>0</v>
      </c>
      <c r="BF180" s="23">
        <f>VALUE(0)</f>
        <v>0</v>
      </c>
      <c r="BG180" s="23">
        <f>VALUE(0)</f>
        <v>0</v>
      </c>
      <c r="BH180" s="23">
        <f>VALUE(0)</f>
        <v>0</v>
      </c>
      <c r="BI180" s="23">
        <f>VALUE(0)</f>
        <v>0</v>
      </c>
      <c r="BJ180" s="23">
        <f>VALUE(0)</f>
        <v>0</v>
      </c>
      <c r="BK180" s="12">
        <f>$AX$180*24</f>
        <v>0</v>
      </c>
      <c r="BL180" s="12">
        <f>$AY$180*24</f>
        <v>5.4333333333333336</v>
      </c>
      <c r="BM180" s="12">
        <f>$BJ$180*24</f>
        <v>0</v>
      </c>
      <c r="BN180" s="12">
        <f>VALUE($I$180)/100</f>
        <v>1</v>
      </c>
      <c r="BO180" s="12">
        <v>0</v>
      </c>
      <c r="BP180" s="12">
        <v>0</v>
      </c>
      <c r="BQ180" s="12">
        <v>0</v>
      </c>
      <c r="BR180" s="12">
        <v>0</v>
      </c>
      <c r="BS180" s="12">
        <v>0</v>
      </c>
      <c r="BT180" s="12">
        <v>1</v>
      </c>
      <c r="BU180" s="12">
        <v>0</v>
      </c>
      <c r="BV180" s="12">
        <v>0</v>
      </c>
      <c r="BW180" s="12">
        <v>0</v>
      </c>
      <c r="BX180" s="12">
        <v>0</v>
      </c>
      <c r="BY180" s="12">
        <v>0</v>
      </c>
      <c r="BZ180" s="12">
        <v>0</v>
      </c>
      <c r="CA180" s="12">
        <v>0</v>
      </c>
    </row>
    <row r="181" spans="1:79" x14ac:dyDescent="0.2">
      <c r="A181" s="12" t="s">
        <v>120</v>
      </c>
      <c r="B181" s="12" t="s">
        <v>125</v>
      </c>
      <c r="C181" s="12" t="s">
        <v>125</v>
      </c>
      <c r="D181" s="22" t="s">
        <v>444</v>
      </c>
      <c r="E181" s="22" t="s">
        <v>161</v>
      </c>
      <c r="F181" s="22" t="s">
        <v>877</v>
      </c>
      <c r="G181" s="22" t="s">
        <v>878</v>
      </c>
      <c r="H181" s="22" t="s">
        <v>150</v>
      </c>
      <c r="I181" s="22" t="s">
        <v>151</v>
      </c>
      <c r="J181" s="22" t="s">
        <v>162</v>
      </c>
      <c r="K181" s="22" t="s">
        <v>84</v>
      </c>
      <c r="L181" s="54" t="s">
        <v>156</v>
      </c>
      <c r="M181" s="24" t="s">
        <v>156</v>
      </c>
      <c r="N181" s="24" t="s">
        <v>153</v>
      </c>
      <c r="O181" s="28" t="s">
        <v>163</v>
      </c>
      <c r="P181" s="28" t="s">
        <v>163</v>
      </c>
      <c r="Q181" s="28" t="s">
        <v>163</v>
      </c>
      <c r="R181" s="29" t="s">
        <v>163</v>
      </c>
      <c r="S181" s="29" t="s">
        <v>163</v>
      </c>
      <c r="T181" s="29" t="s">
        <v>163</v>
      </c>
      <c r="U181" s="24" t="s">
        <v>153</v>
      </c>
      <c r="V181" s="54" t="s">
        <v>153</v>
      </c>
      <c r="W181" s="55" t="s">
        <v>1241</v>
      </c>
      <c r="X181" s="55" t="s">
        <v>1241</v>
      </c>
      <c r="Y181" s="55" t="s">
        <v>1241</v>
      </c>
      <c r="Z181" s="55" t="s">
        <v>1241</v>
      </c>
      <c r="AA181" s="55" t="s">
        <v>1241</v>
      </c>
      <c r="AB181" s="24" t="s">
        <v>153</v>
      </c>
      <c r="AC181" s="23" t="s">
        <v>153</v>
      </c>
      <c r="AD181" s="23" t="s">
        <v>153</v>
      </c>
      <c r="AE181" s="23" t="s">
        <v>153</v>
      </c>
      <c r="AF181" s="23" t="s">
        <v>153</v>
      </c>
      <c r="AG181" s="23" t="s">
        <v>153</v>
      </c>
      <c r="AH181" s="23" t="s">
        <v>153</v>
      </c>
      <c r="AI181" s="24" t="s">
        <v>153</v>
      </c>
      <c r="AJ181" s="24" t="s">
        <v>156</v>
      </c>
      <c r="AK181" s="24" t="s">
        <v>156</v>
      </c>
      <c r="AL181" s="23" t="s">
        <v>153</v>
      </c>
      <c r="AM181" s="23" t="s">
        <v>153</v>
      </c>
      <c r="AN181" s="23" t="s">
        <v>153</v>
      </c>
      <c r="AO181" s="23" t="s">
        <v>153</v>
      </c>
      <c r="AP181" s="23">
        <f>VALUE(14)</f>
        <v>14</v>
      </c>
      <c r="AQ181" s="23">
        <f>VALUE(0)</f>
        <v>0</v>
      </c>
      <c r="AR181" s="23">
        <f>VALUE(3)</f>
        <v>3</v>
      </c>
      <c r="AS181" s="23">
        <f>VALUE(0)</f>
        <v>0</v>
      </c>
      <c r="AT181" s="23">
        <f>VALUE(0)</f>
        <v>0</v>
      </c>
      <c r="AU181" s="23">
        <f>VALUE(3)</f>
        <v>3</v>
      </c>
      <c r="AV181" s="23">
        <f>VALUE(1)</f>
        <v>1</v>
      </c>
      <c r="AW181" s="23">
        <f>VALUE(0)</f>
        <v>0</v>
      </c>
      <c r="AX181" s="23" t="s">
        <v>158</v>
      </c>
      <c r="AY181" s="23" t="s">
        <v>446</v>
      </c>
      <c r="AZ181" s="23">
        <f>VALUE(0)</f>
        <v>0</v>
      </c>
      <c r="BA181" s="23">
        <f>VALUE(0)</f>
        <v>0</v>
      </c>
      <c r="BB181" s="23">
        <f>VALUE(0)</f>
        <v>0</v>
      </c>
      <c r="BC181" s="23">
        <f>VALUE(0)</f>
        <v>0</v>
      </c>
      <c r="BD181" s="23">
        <f>VALUE(0)</f>
        <v>0</v>
      </c>
      <c r="BE181" s="23">
        <f>VALUE(0)</f>
        <v>0</v>
      </c>
      <c r="BF181" s="23">
        <f>VALUE(0)</f>
        <v>0</v>
      </c>
      <c r="BG181" s="23">
        <f>VALUE(0)</f>
        <v>0</v>
      </c>
      <c r="BH181" s="23">
        <f>VALUE(0)</f>
        <v>0</v>
      </c>
      <c r="BI181" s="23">
        <f>VALUE(0)</f>
        <v>0</v>
      </c>
      <c r="BJ181" s="23">
        <f>VALUE(0)</f>
        <v>0</v>
      </c>
      <c r="BK181" s="12">
        <f>$AX$181*24</f>
        <v>11.666666666666666</v>
      </c>
      <c r="BL181" s="12">
        <f>$AY$181*24</f>
        <v>21.433333333333334</v>
      </c>
      <c r="BM181" s="12">
        <f>$BJ$181*24</f>
        <v>0</v>
      </c>
      <c r="BN181" s="12">
        <f>VALUE($I$181)/100</f>
        <v>1</v>
      </c>
      <c r="BO181" s="12">
        <v>0</v>
      </c>
      <c r="BP181" s="12">
        <v>5</v>
      </c>
      <c r="BQ181" s="12">
        <v>0</v>
      </c>
      <c r="BR181" s="12">
        <v>0</v>
      </c>
      <c r="BS181" s="12">
        <v>0</v>
      </c>
      <c r="BT181" s="12">
        <v>3</v>
      </c>
      <c r="BU181" s="12">
        <v>0</v>
      </c>
      <c r="BV181" s="12">
        <v>0</v>
      </c>
      <c r="BW181" s="12">
        <v>0</v>
      </c>
      <c r="BX181" s="12">
        <v>0</v>
      </c>
      <c r="BY181" s="12">
        <v>0</v>
      </c>
      <c r="BZ181" s="12">
        <v>0</v>
      </c>
      <c r="CA181" s="12">
        <v>0</v>
      </c>
    </row>
    <row r="182" spans="1:79" x14ac:dyDescent="0.2">
      <c r="A182" s="12" t="s">
        <v>120</v>
      </c>
      <c r="B182" s="12" t="s">
        <v>125</v>
      </c>
      <c r="C182" s="12" t="s">
        <v>125</v>
      </c>
      <c r="D182" s="22" t="s">
        <v>444</v>
      </c>
      <c r="E182" s="22" t="s">
        <v>161</v>
      </c>
      <c r="F182" s="22" t="s">
        <v>879</v>
      </c>
      <c r="G182" s="22" t="s">
        <v>880</v>
      </c>
      <c r="H182" s="22" t="s">
        <v>190</v>
      </c>
      <c r="I182" s="22" t="s">
        <v>151</v>
      </c>
      <c r="J182" s="22" t="s">
        <v>162</v>
      </c>
      <c r="K182" s="22" t="s">
        <v>84</v>
      </c>
      <c r="L182" s="54" t="s">
        <v>153</v>
      </c>
      <c r="M182" s="23" t="s">
        <v>153</v>
      </c>
      <c r="N182" s="24" t="s">
        <v>153</v>
      </c>
      <c r="O182" s="23" t="s">
        <v>153</v>
      </c>
      <c r="P182" s="23" t="s">
        <v>153</v>
      </c>
      <c r="Q182" s="23" t="s">
        <v>153</v>
      </c>
      <c r="R182" s="23" t="s">
        <v>153</v>
      </c>
      <c r="S182" s="23" t="s">
        <v>153</v>
      </c>
      <c r="T182" s="23" t="s">
        <v>153</v>
      </c>
      <c r="U182" s="24" t="s">
        <v>153</v>
      </c>
      <c r="V182" s="54" t="s">
        <v>153</v>
      </c>
      <c r="W182" s="23" t="s">
        <v>153</v>
      </c>
      <c r="X182" s="23" t="s">
        <v>153</v>
      </c>
      <c r="Y182" s="23" t="s">
        <v>153</v>
      </c>
      <c r="Z182" s="23" t="s">
        <v>153</v>
      </c>
      <c r="AA182" s="23" t="s">
        <v>153</v>
      </c>
      <c r="AB182" s="40" t="s">
        <v>153</v>
      </c>
      <c r="AC182" s="40" t="s">
        <v>153</v>
      </c>
      <c r="AD182" s="40" t="s">
        <v>153</v>
      </c>
      <c r="AE182" s="40" t="s">
        <v>153</v>
      </c>
      <c r="AF182" s="40" t="s">
        <v>153</v>
      </c>
      <c r="AG182" s="40" t="s">
        <v>153</v>
      </c>
      <c r="AH182" s="40" t="s">
        <v>153</v>
      </c>
      <c r="AI182" s="40" t="s">
        <v>153</v>
      </c>
      <c r="AJ182" s="40" t="s">
        <v>153</v>
      </c>
      <c r="AK182" s="40" t="s">
        <v>153</v>
      </c>
      <c r="AL182" s="40" t="s">
        <v>153</v>
      </c>
      <c r="AM182" s="40" t="s">
        <v>153</v>
      </c>
      <c r="AN182" s="40" t="s">
        <v>153</v>
      </c>
      <c r="AO182" s="40" t="s">
        <v>153</v>
      </c>
      <c r="AP182" s="23">
        <f>VALUE(2)</f>
        <v>2</v>
      </c>
      <c r="AQ182" s="23">
        <f>VALUE(0)</f>
        <v>0</v>
      </c>
      <c r="AR182" s="23">
        <f>VALUE(0)</f>
        <v>0</v>
      </c>
      <c r="AS182" s="23">
        <f>VALUE(0)</f>
        <v>0</v>
      </c>
      <c r="AT182" s="23">
        <f>VALUE(0)</f>
        <v>0</v>
      </c>
      <c r="AU182" s="23">
        <f>VALUE(0)</f>
        <v>0</v>
      </c>
      <c r="AV182" s="23">
        <f>VALUE(6)</f>
        <v>6</v>
      </c>
      <c r="AW182" s="23">
        <f>VALUE(0)</f>
        <v>0</v>
      </c>
      <c r="AX182" s="23">
        <f>VALUE(0)</f>
        <v>0</v>
      </c>
      <c r="AY182" s="23">
        <f>VALUE(0)</f>
        <v>0</v>
      </c>
      <c r="AZ182" s="23">
        <f>VALUE(0)</f>
        <v>0</v>
      </c>
      <c r="BA182" s="23">
        <f>VALUE(0)</f>
        <v>0</v>
      </c>
      <c r="BB182" s="23">
        <f>VALUE(0)</f>
        <v>0</v>
      </c>
      <c r="BC182" s="23">
        <f>VALUE(0)</f>
        <v>0</v>
      </c>
      <c r="BD182" s="23">
        <f>VALUE(0)</f>
        <v>0</v>
      </c>
      <c r="BE182" s="23">
        <f>VALUE(0)</f>
        <v>0</v>
      </c>
      <c r="BF182" s="23">
        <f>VALUE(0)</f>
        <v>0</v>
      </c>
      <c r="BG182" s="23">
        <f>VALUE(0)</f>
        <v>0</v>
      </c>
      <c r="BH182" s="23">
        <f>VALUE(0)</f>
        <v>0</v>
      </c>
      <c r="BI182" s="23">
        <f>VALUE(0)</f>
        <v>0</v>
      </c>
      <c r="BJ182" s="23">
        <f>VALUE(0)</f>
        <v>0</v>
      </c>
      <c r="BK182" s="12">
        <f>$AX$182*24</f>
        <v>0</v>
      </c>
      <c r="BL182" s="12">
        <f>$AY$182*24</f>
        <v>0</v>
      </c>
      <c r="BM182" s="12">
        <f>$BJ$182*24</f>
        <v>0</v>
      </c>
      <c r="BN182" s="12">
        <f>VALUE($I$182)/100</f>
        <v>1</v>
      </c>
      <c r="BO182" s="12">
        <v>0</v>
      </c>
      <c r="BP182" s="12">
        <v>0</v>
      </c>
      <c r="BQ182" s="12">
        <v>0</v>
      </c>
      <c r="BR182" s="12">
        <v>0</v>
      </c>
      <c r="BS182" s="12">
        <v>0</v>
      </c>
      <c r="BT182" s="12">
        <v>0</v>
      </c>
      <c r="BU182" s="12">
        <v>0</v>
      </c>
      <c r="BV182" s="12">
        <v>0</v>
      </c>
      <c r="BW182" s="12">
        <v>0</v>
      </c>
      <c r="BX182" s="12">
        <v>0</v>
      </c>
      <c r="BY182" s="12">
        <v>0</v>
      </c>
      <c r="BZ182" s="12">
        <v>0</v>
      </c>
      <c r="CA182" s="12">
        <v>0</v>
      </c>
    </row>
    <row r="183" spans="1:79" x14ac:dyDescent="0.2">
      <c r="A183" s="12" t="s">
        <v>120</v>
      </c>
      <c r="B183" s="12" t="s">
        <v>125</v>
      </c>
      <c r="C183" s="12" t="s">
        <v>125</v>
      </c>
      <c r="D183" s="22" t="s">
        <v>447</v>
      </c>
      <c r="E183" s="22" t="s">
        <v>161</v>
      </c>
      <c r="F183" s="22" t="s">
        <v>881</v>
      </c>
      <c r="G183" s="22" t="s">
        <v>882</v>
      </c>
      <c r="H183" s="22" t="s">
        <v>166</v>
      </c>
      <c r="I183" s="22" t="s">
        <v>151</v>
      </c>
      <c r="J183" s="22" t="s">
        <v>162</v>
      </c>
      <c r="K183" s="22" t="s">
        <v>84</v>
      </c>
      <c r="L183" s="54" t="s">
        <v>153</v>
      </c>
      <c r="M183" s="28" t="s">
        <v>163</v>
      </c>
      <c r="N183" s="24" t="s">
        <v>153</v>
      </c>
      <c r="O183" s="23" t="s">
        <v>153</v>
      </c>
      <c r="P183" s="23" t="s">
        <v>153</v>
      </c>
      <c r="Q183" s="23" t="s">
        <v>153</v>
      </c>
      <c r="R183" s="23" t="s">
        <v>153</v>
      </c>
      <c r="S183" s="23" t="s">
        <v>153</v>
      </c>
      <c r="T183" s="23" t="s">
        <v>153</v>
      </c>
      <c r="U183" s="24" t="s">
        <v>153</v>
      </c>
      <c r="V183" s="54" t="s">
        <v>153</v>
      </c>
      <c r="W183" s="23" t="s">
        <v>153</v>
      </c>
      <c r="X183" s="23" t="s">
        <v>153</v>
      </c>
      <c r="Y183" s="23" t="s">
        <v>153</v>
      </c>
      <c r="Z183" s="23" t="s">
        <v>153</v>
      </c>
      <c r="AA183" s="23" t="s">
        <v>153</v>
      </c>
      <c r="AB183" s="24" t="s">
        <v>153</v>
      </c>
      <c r="AC183" s="24" t="s">
        <v>156</v>
      </c>
      <c r="AD183" s="24" t="s">
        <v>156</v>
      </c>
      <c r="AE183" s="23" t="s">
        <v>153</v>
      </c>
      <c r="AF183" s="23" t="s">
        <v>153</v>
      </c>
      <c r="AG183" s="23" t="s">
        <v>153</v>
      </c>
      <c r="AH183" s="23" t="s">
        <v>153</v>
      </c>
      <c r="AI183" s="24" t="s">
        <v>153</v>
      </c>
      <c r="AJ183" s="23" t="s">
        <v>153</v>
      </c>
      <c r="AK183" s="23" t="s">
        <v>153</v>
      </c>
      <c r="AL183" s="23" t="s">
        <v>153</v>
      </c>
      <c r="AM183" s="23" t="s">
        <v>153</v>
      </c>
      <c r="AN183" s="23" t="s">
        <v>153</v>
      </c>
      <c r="AO183" s="23" t="s">
        <v>153</v>
      </c>
      <c r="AP183" s="23">
        <f>VALUE(18)</f>
        <v>18</v>
      </c>
      <c r="AQ183" s="23">
        <f>VALUE(0)</f>
        <v>0</v>
      </c>
      <c r="AR183" s="23">
        <f>VALUE(0)</f>
        <v>0</v>
      </c>
      <c r="AS183" s="23">
        <f>VALUE(0)</f>
        <v>0</v>
      </c>
      <c r="AT183" s="23">
        <f>VALUE(0)</f>
        <v>0</v>
      </c>
      <c r="AU183" s="23">
        <f>VALUE(1)</f>
        <v>1</v>
      </c>
      <c r="AV183" s="23">
        <f>VALUE(2)</f>
        <v>2</v>
      </c>
      <c r="AW183" s="23">
        <f>VALUE(0)</f>
        <v>0</v>
      </c>
      <c r="AX183" s="23" t="s">
        <v>1242</v>
      </c>
      <c r="AY183" s="23">
        <f>VALUE(0)</f>
        <v>0</v>
      </c>
      <c r="AZ183" s="23">
        <f>VALUE(0)</f>
        <v>0</v>
      </c>
      <c r="BA183" s="23">
        <f>VALUE(0)</f>
        <v>0</v>
      </c>
      <c r="BB183" s="23">
        <f>VALUE(0)</f>
        <v>0</v>
      </c>
      <c r="BC183" s="23">
        <f>VALUE(0)</f>
        <v>0</v>
      </c>
      <c r="BD183" s="23">
        <f>VALUE(0)</f>
        <v>0</v>
      </c>
      <c r="BE183" s="23">
        <f>VALUE(0)</f>
        <v>0</v>
      </c>
      <c r="BF183" s="23">
        <f>VALUE(0)</f>
        <v>0</v>
      </c>
      <c r="BG183" s="23">
        <f>VALUE(0)</f>
        <v>0</v>
      </c>
      <c r="BH183" s="23">
        <f>VALUE(0)</f>
        <v>0</v>
      </c>
      <c r="BI183" s="23">
        <f>VALUE(0)</f>
        <v>0</v>
      </c>
      <c r="BJ183" s="23">
        <f>VALUE(0)</f>
        <v>0</v>
      </c>
      <c r="BK183" s="12">
        <f>$AX$183*24</f>
        <v>20.166666666666668</v>
      </c>
      <c r="BL183" s="12">
        <f>$AY$183*24</f>
        <v>0</v>
      </c>
      <c r="BM183" s="12">
        <f>$BJ$183*24</f>
        <v>0</v>
      </c>
      <c r="BN183" s="12">
        <f>VALUE($I$183)/100</f>
        <v>1</v>
      </c>
      <c r="BO183" s="12">
        <v>0</v>
      </c>
      <c r="BP183" s="12">
        <v>0</v>
      </c>
      <c r="BQ183" s="12">
        <v>0</v>
      </c>
      <c r="BR183" s="12">
        <v>0</v>
      </c>
      <c r="BS183" s="12">
        <v>0</v>
      </c>
      <c r="BT183" s="12">
        <v>0</v>
      </c>
      <c r="BU183" s="12">
        <v>0</v>
      </c>
      <c r="BV183" s="12">
        <v>0</v>
      </c>
      <c r="BW183" s="12">
        <v>0</v>
      </c>
      <c r="BX183" s="12">
        <v>0</v>
      </c>
      <c r="BY183" s="12">
        <v>0</v>
      </c>
      <c r="BZ183" s="12">
        <v>0</v>
      </c>
      <c r="CA183" s="12">
        <v>0</v>
      </c>
    </row>
    <row r="184" spans="1:79" x14ac:dyDescent="0.2">
      <c r="A184" s="12" t="s">
        <v>120</v>
      </c>
      <c r="B184" s="12" t="s">
        <v>125</v>
      </c>
      <c r="C184" s="12" t="s">
        <v>125</v>
      </c>
      <c r="D184" s="22" t="s">
        <v>447</v>
      </c>
      <c r="E184" s="22" t="s">
        <v>161</v>
      </c>
      <c r="F184" s="22" t="s">
        <v>1243</v>
      </c>
      <c r="G184" s="22" t="s">
        <v>883</v>
      </c>
      <c r="H184" s="22" t="s">
        <v>279</v>
      </c>
      <c r="I184" s="22" t="s">
        <v>151</v>
      </c>
      <c r="J184" s="22" t="s">
        <v>162</v>
      </c>
      <c r="K184" s="22" t="s">
        <v>84</v>
      </c>
      <c r="L184" s="54" t="s">
        <v>153</v>
      </c>
      <c r="M184" s="23" t="s">
        <v>153</v>
      </c>
      <c r="N184" s="24" t="s">
        <v>153</v>
      </c>
      <c r="O184" s="23" t="s">
        <v>448</v>
      </c>
      <c r="P184" s="23" t="s">
        <v>448</v>
      </c>
      <c r="Q184" s="23" t="s">
        <v>448</v>
      </c>
      <c r="R184" s="23" t="s">
        <v>448</v>
      </c>
      <c r="S184" s="23" t="s">
        <v>448</v>
      </c>
      <c r="T184" s="23" t="s">
        <v>448</v>
      </c>
      <c r="U184" s="24" t="s">
        <v>153</v>
      </c>
      <c r="V184" s="54" t="s">
        <v>153</v>
      </c>
      <c r="W184" s="27" t="s">
        <v>153</v>
      </c>
      <c r="X184" s="27" t="s">
        <v>153</v>
      </c>
      <c r="Y184" s="27" t="s">
        <v>153</v>
      </c>
      <c r="Z184" s="27" t="s">
        <v>153</v>
      </c>
      <c r="AA184" s="27" t="s">
        <v>153</v>
      </c>
      <c r="AB184" s="24" t="s">
        <v>153</v>
      </c>
      <c r="AC184" s="27" t="s">
        <v>153</v>
      </c>
      <c r="AD184" s="27" t="s">
        <v>153</v>
      </c>
      <c r="AE184" s="27" t="s">
        <v>153</v>
      </c>
      <c r="AF184" s="27" t="s">
        <v>153</v>
      </c>
      <c r="AG184" s="27" t="s">
        <v>153</v>
      </c>
      <c r="AH184" s="27" t="s">
        <v>153</v>
      </c>
      <c r="AI184" s="24" t="s">
        <v>153</v>
      </c>
      <c r="AJ184" s="27" t="s">
        <v>153</v>
      </c>
      <c r="AK184" s="27" t="s">
        <v>153</v>
      </c>
      <c r="AL184" s="27" t="s">
        <v>153</v>
      </c>
      <c r="AM184" s="27" t="s">
        <v>153</v>
      </c>
      <c r="AN184" s="27" t="s">
        <v>153</v>
      </c>
      <c r="AO184" s="27" t="s">
        <v>153</v>
      </c>
      <c r="AP184" s="23">
        <f>VALUE(0)</f>
        <v>0</v>
      </c>
      <c r="AQ184" s="23">
        <f>VALUE(0)</f>
        <v>0</v>
      </c>
      <c r="AR184" s="23">
        <f>VALUE(0)</f>
        <v>0</v>
      </c>
      <c r="AS184" s="23">
        <f>VALUE(0)</f>
        <v>0</v>
      </c>
      <c r="AT184" s="23">
        <f>VALUE(0)</f>
        <v>0</v>
      </c>
      <c r="AU184" s="23">
        <f>VALUE(0)</f>
        <v>0</v>
      </c>
      <c r="AV184" s="23">
        <f>VALUE(0)</f>
        <v>0</v>
      </c>
      <c r="AW184" s="23">
        <f>VALUE(0)</f>
        <v>0</v>
      </c>
      <c r="AX184" s="23">
        <f>VALUE(0)</f>
        <v>0</v>
      </c>
      <c r="AY184" s="23">
        <f>VALUE(0)</f>
        <v>0</v>
      </c>
      <c r="AZ184" s="23">
        <f>VALUE(0)</f>
        <v>0</v>
      </c>
      <c r="BA184" s="23">
        <f>VALUE(0)</f>
        <v>0</v>
      </c>
      <c r="BB184" s="23">
        <f>VALUE(0)</f>
        <v>0</v>
      </c>
      <c r="BC184" s="23">
        <f>VALUE(0)</f>
        <v>0</v>
      </c>
      <c r="BD184" s="23">
        <f>VALUE(0)</f>
        <v>0</v>
      </c>
      <c r="BE184" s="23">
        <f>VALUE(0)</f>
        <v>0</v>
      </c>
      <c r="BF184" s="23">
        <f>VALUE(0)</f>
        <v>0</v>
      </c>
      <c r="BG184" s="23">
        <f>VALUE(0)</f>
        <v>0</v>
      </c>
      <c r="BH184" s="23">
        <f>VALUE(0)</f>
        <v>0</v>
      </c>
      <c r="BI184" s="23">
        <f>VALUE(0)</f>
        <v>0</v>
      </c>
      <c r="BJ184" s="23">
        <f>VALUE(0)</f>
        <v>0</v>
      </c>
      <c r="BK184" s="12">
        <f>$AX$184*24</f>
        <v>0</v>
      </c>
      <c r="BL184" s="12">
        <f>$AY$184*24</f>
        <v>0</v>
      </c>
      <c r="BM184" s="12">
        <f>$BJ$184*24</f>
        <v>0</v>
      </c>
      <c r="BN184" s="12">
        <f>VALUE($I$184)/100</f>
        <v>1</v>
      </c>
      <c r="BO184" s="12">
        <v>0</v>
      </c>
      <c r="BP184" s="12">
        <v>0</v>
      </c>
      <c r="BQ184" s="12">
        <v>0</v>
      </c>
      <c r="BR184" s="12">
        <v>0</v>
      </c>
      <c r="BS184" s="12">
        <v>0</v>
      </c>
      <c r="BT184" s="12">
        <v>0</v>
      </c>
      <c r="BU184" s="12">
        <v>0</v>
      </c>
      <c r="BV184" s="12">
        <v>0</v>
      </c>
      <c r="BW184" s="12">
        <v>0</v>
      </c>
      <c r="BX184" s="12">
        <v>0</v>
      </c>
      <c r="BY184" s="12">
        <v>0</v>
      </c>
      <c r="BZ184" s="12">
        <v>0</v>
      </c>
      <c r="CA184" s="12">
        <v>0</v>
      </c>
    </row>
    <row r="185" spans="1:79" x14ac:dyDescent="0.2">
      <c r="A185" s="12" t="s">
        <v>120</v>
      </c>
      <c r="B185" s="12" t="s">
        <v>125</v>
      </c>
      <c r="C185" s="12" t="s">
        <v>125</v>
      </c>
      <c r="D185" s="22" t="s">
        <v>451</v>
      </c>
      <c r="E185" s="22" t="s">
        <v>161</v>
      </c>
      <c r="F185" s="22" t="s">
        <v>884</v>
      </c>
      <c r="G185" s="22" t="s">
        <v>885</v>
      </c>
      <c r="H185" s="22" t="s">
        <v>166</v>
      </c>
      <c r="I185" s="22" t="s">
        <v>194</v>
      </c>
      <c r="J185" s="22" t="s">
        <v>162</v>
      </c>
      <c r="K185" s="22" t="s">
        <v>84</v>
      </c>
      <c r="L185" s="54" t="s">
        <v>153</v>
      </c>
      <c r="M185" s="24" t="s">
        <v>195</v>
      </c>
      <c r="N185" s="24" t="s">
        <v>153</v>
      </c>
      <c r="O185" s="23" t="s">
        <v>153</v>
      </c>
      <c r="P185" s="23" t="s">
        <v>153</v>
      </c>
      <c r="Q185" s="23" t="s">
        <v>153</v>
      </c>
      <c r="R185" s="23" t="s">
        <v>153</v>
      </c>
      <c r="S185" s="23" t="s">
        <v>153</v>
      </c>
      <c r="T185" s="23" t="s">
        <v>153</v>
      </c>
      <c r="U185" s="24" t="s">
        <v>153</v>
      </c>
      <c r="V185" s="54" t="s">
        <v>153</v>
      </c>
      <c r="W185" s="23" t="s">
        <v>153</v>
      </c>
      <c r="X185" s="24" t="s">
        <v>156</v>
      </c>
      <c r="Y185" s="24" t="s">
        <v>156</v>
      </c>
      <c r="Z185" s="23" t="s">
        <v>153</v>
      </c>
      <c r="AA185" s="23" t="s">
        <v>153</v>
      </c>
      <c r="AB185" s="24" t="s">
        <v>153</v>
      </c>
      <c r="AC185" s="23" t="s">
        <v>153</v>
      </c>
      <c r="AD185" s="23" t="s">
        <v>153</v>
      </c>
      <c r="AE185" s="23" t="s">
        <v>153</v>
      </c>
      <c r="AF185" s="24" t="s">
        <v>195</v>
      </c>
      <c r="AG185" s="24" t="s">
        <v>195</v>
      </c>
      <c r="AH185" s="24" t="s">
        <v>195</v>
      </c>
      <c r="AI185" s="24" t="s">
        <v>153</v>
      </c>
      <c r="AJ185" s="23" t="s">
        <v>153</v>
      </c>
      <c r="AK185" s="23" t="s">
        <v>153</v>
      </c>
      <c r="AL185" s="23" t="s">
        <v>153</v>
      </c>
      <c r="AM185" s="23" t="s">
        <v>153</v>
      </c>
      <c r="AN185" s="23" t="s">
        <v>153</v>
      </c>
      <c r="AO185" s="23" t="s">
        <v>153</v>
      </c>
      <c r="AP185" s="23">
        <f>VALUE(15)</f>
        <v>15</v>
      </c>
      <c r="AQ185" s="23">
        <f>VALUE(0)</f>
        <v>0</v>
      </c>
      <c r="AR185" s="23">
        <f>VALUE(0)</f>
        <v>0</v>
      </c>
      <c r="AS185" s="23">
        <f>VALUE(0)</f>
        <v>0</v>
      </c>
      <c r="AT185" s="23">
        <f>VALUE(0)</f>
        <v>0</v>
      </c>
      <c r="AU185" s="23">
        <f>VALUE(0)</f>
        <v>0</v>
      </c>
      <c r="AV185" s="23">
        <f>VALUE(1)</f>
        <v>1</v>
      </c>
      <c r="AW185" s="23">
        <f>VALUE(0)</f>
        <v>0</v>
      </c>
      <c r="AX185" s="23" t="s">
        <v>452</v>
      </c>
      <c r="AY185" s="23">
        <f>VALUE(0)</f>
        <v>0</v>
      </c>
      <c r="AZ185" s="23">
        <f>VALUE(0)</f>
        <v>0</v>
      </c>
      <c r="BA185" s="23">
        <f>VALUE(0)</f>
        <v>0</v>
      </c>
      <c r="BB185" s="23">
        <f>VALUE(0)</f>
        <v>0</v>
      </c>
      <c r="BC185" s="23">
        <f>VALUE(0)</f>
        <v>0</v>
      </c>
      <c r="BD185" s="23">
        <f>VALUE(0)</f>
        <v>0</v>
      </c>
      <c r="BE185" s="23">
        <f>VALUE(0)</f>
        <v>0</v>
      </c>
      <c r="BF185" s="23">
        <f>VALUE(0)</f>
        <v>0</v>
      </c>
      <c r="BG185" s="23">
        <f>VALUE(0)</f>
        <v>0</v>
      </c>
      <c r="BH185" s="23">
        <f>VALUE(0)</f>
        <v>0</v>
      </c>
      <c r="BI185" s="23">
        <f>VALUE(0)</f>
        <v>0</v>
      </c>
      <c r="BJ185" s="23">
        <f>VALUE(0)</f>
        <v>0</v>
      </c>
      <c r="BK185" s="12">
        <f>$AX$185*24</f>
        <v>21.266666666666666</v>
      </c>
      <c r="BL185" s="12">
        <f>$AY$185*24</f>
        <v>0</v>
      </c>
      <c r="BM185" s="12">
        <f>$BJ$185*24</f>
        <v>0</v>
      </c>
      <c r="BN185" s="12">
        <f>VALUE($I$185)/100</f>
        <v>0.8</v>
      </c>
      <c r="BO185" s="12">
        <v>0</v>
      </c>
      <c r="BP185" s="12">
        <v>0</v>
      </c>
      <c r="BQ185" s="12">
        <v>0</v>
      </c>
      <c r="BR185" s="12">
        <v>0</v>
      </c>
      <c r="BS185" s="12">
        <v>0</v>
      </c>
      <c r="BT185" s="12">
        <v>0</v>
      </c>
      <c r="BU185" s="12">
        <v>0</v>
      </c>
      <c r="BV185" s="12">
        <v>0</v>
      </c>
      <c r="BW185" s="12">
        <v>0</v>
      </c>
      <c r="BX185" s="12">
        <v>0</v>
      </c>
      <c r="BY185" s="12">
        <v>0</v>
      </c>
      <c r="BZ185" s="12">
        <v>0</v>
      </c>
      <c r="CA185" s="12">
        <v>0</v>
      </c>
    </row>
    <row r="186" spans="1:79" x14ac:dyDescent="0.2">
      <c r="A186" s="12" t="s">
        <v>120</v>
      </c>
      <c r="B186" s="12" t="s">
        <v>125</v>
      </c>
      <c r="C186" s="12" t="s">
        <v>125</v>
      </c>
      <c r="D186" s="22" t="s">
        <v>453</v>
      </c>
      <c r="E186" s="22" t="s">
        <v>161</v>
      </c>
      <c r="F186" s="22" t="s">
        <v>1244</v>
      </c>
      <c r="G186" s="22" t="s">
        <v>886</v>
      </c>
      <c r="H186" s="22" t="s">
        <v>150</v>
      </c>
      <c r="I186" s="22" t="s">
        <v>151</v>
      </c>
      <c r="J186" s="22" t="s">
        <v>162</v>
      </c>
      <c r="K186" s="22" t="s">
        <v>84</v>
      </c>
      <c r="L186" s="54" t="s">
        <v>153</v>
      </c>
      <c r="M186" s="23" t="s">
        <v>153</v>
      </c>
      <c r="N186" s="24" t="s">
        <v>153</v>
      </c>
      <c r="O186" s="23" t="s">
        <v>153</v>
      </c>
      <c r="P186" s="23" t="s">
        <v>153</v>
      </c>
      <c r="Q186" s="24" t="s">
        <v>156</v>
      </c>
      <c r="R186" s="24" t="s">
        <v>156</v>
      </c>
      <c r="S186" s="23" t="s">
        <v>153</v>
      </c>
      <c r="T186" s="23" t="s">
        <v>153</v>
      </c>
      <c r="U186" s="24" t="s">
        <v>153</v>
      </c>
      <c r="V186" s="54" t="s">
        <v>153</v>
      </c>
      <c r="W186" s="23" t="s">
        <v>153</v>
      </c>
      <c r="X186" s="23" t="s">
        <v>153</v>
      </c>
      <c r="Y186" s="23" t="s">
        <v>153</v>
      </c>
      <c r="Z186" s="23" t="s">
        <v>153</v>
      </c>
      <c r="AA186" s="23" t="s">
        <v>153</v>
      </c>
      <c r="AB186" s="24" t="s">
        <v>153</v>
      </c>
      <c r="AC186" s="23" t="s">
        <v>153</v>
      </c>
      <c r="AD186" s="23" t="s">
        <v>153</v>
      </c>
      <c r="AE186" s="23" t="s">
        <v>153</v>
      </c>
      <c r="AF186" s="23" t="s">
        <v>153</v>
      </c>
      <c r="AG186" s="23" t="s">
        <v>153</v>
      </c>
      <c r="AH186" s="23" t="s">
        <v>153</v>
      </c>
      <c r="AI186" s="24" t="s">
        <v>153</v>
      </c>
      <c r="AJ186" s="23" t="s">
        <v>153</v>
      </c>
      <c r="AK186" s="23" t="s">
        <v>153</v>
      </c>
      <c r="AL186" s="23" t="s">
        <v>153</v>
      </c>
      <c r="AM186" s="23" t="s">
        <v>153</v>
      </c>
      <c r="AN186" s="23" t="s">
        <v>153</v>
      </c>
      <c r="AO186" s="23" t="s">
        <v>153</v>
      </c>
      <c r="AP186" s="23">
        <f>VALUE(17)</f>
        <v>17</v>
      </c>
      <c r="AQ186" s="23">
        <f>VALUE(0)</f>
        <v>0</v>
      </c>
      <c r="AR186" s="23">
        <f>VALUE(0)</f>
        <v>0</v>
      </c>
      <c r="AS186" s="23">
        <f>VALUE(0)</f>
        <v>0</v>
      </c>
      <c r="AT186" s="23">
        <f>VALUE(0)</f>
        <v>0</v>
      </c>
      <c r="AU186" s="23">
        <f>VALUE(0)</f>
        <v>0</v>
      </c>
      <c r="AV186" s="23">
        <f>VALUE(4)</f>
        <v>4</v>
      </c>
      <c r="AW186" s="23">
        <f>VALUE(0)</f>
        <v>0</v>
      </c>
      <c r="AX186" s="23" t="s">
        <v>445</v>
      </c>
      <c r="AY186" s="23" t="s">
        <v>187</v>
      </c>
      <c r="AZ186" s="23">
        <f>VALUE(0)</f>
        <v>0</v>
      </c>
      <c r="BA186" s="23">
        <f>VALUE(0)</f>
        <v>0</v>
      </c>
      <c r="BB186" s="23">
        <f>VALUE(0)</f>
        <v>0</v>
      </c>
      <c r="BC186" s="23">
        <f>VALUE(0)</f>
        <v>0</v>
      </c>
      <c r="BD186" s="23">
        <f>VALUE(0)</f>
        <v>0</v>
      </c>
      <c r="BE186" s="23">
        <f>VALUE(0)</f>
        <v>0</v>
      </c>
      <c r="BF186" s="23">
        <f>VALUE(0)</f>
        <v>0</v>
      </c>
      <c r="BG186" s="23">
        <f>VALUE(0)</f>
        <v>0</v>
      </c>
      <c r="BH186" s="23">
        <f>VALUE(0)</f>
        <v>0</v>
      </c>
      <c r="BI186" s="23">
        <f>VALUE(0)</f>
        <v>0</v>
      </c>
      <c r="BJ186" s="23">
        <f>VALUE(0)</f>
        <v>0</v>
      </c>
      <c r="BK186" s="12">
        <f>$AX$186*24</f>
        <v>17.5</v>
      </c>
      <c r="BL186" s="12">
        <f>$AY$186*24</f>
        <v>6.1833333333333336</v>
      </c>
      <c r="BM186" s="12">
        <f>$BJ$186*24</f>
        <v>0</v>
      </c>
      <c r="BN186" s="12">
        <f>VALUE($I$186)/100</f>
        <v>1</v>
      </c>
      <c r="BO186" s="12">
        <v>0</v>
      </c>
      <c r="BP186" s="12">
        <v>0</v>
      </c>
      <c r="BQ186" s="12">
        <v>0</v>
      </c>
      <c r="BR186" s="12">
        <v>0</v>
      </c>
      <c r="BS186" s="12">
        <v>0</v>
      </c>
      <c r="BT186" s="12">
        <v>0</v>
      </c>
      <c r="BU186" s="12">
        <v>0</v>
      </c>
      <c r="BV186" s="12">
        <v>0</v>
      </c>
      <c r="BW186" s="12">
        <v>0</v>
      </c>
      <c r="BX186" s="12">
        <v>0</v>
      </c>
      <c r="BY186" s="12">
        <v>0</v>
      </c>
      <c r="BZ186" s="12">
        <v>0</v>
      </c>
      <c r="CA186" s="12">
        <v>0</v>
      </c>
    </row>
    <row r="187" spans="1:79" x14ac:dyDescent="0.2">
      <c r="A187" s="12" t="s">
        <v>120</v>
      </c>
      <c r="B187" s="12" t="s">
        <v>125</v>
      </c>
      <c r="C187" s="12" t="s">
        <v>125</v>
      </c>
      <c r="D187" s="22" t="s">
        <v>454</v>
      </c>
      <c r="E187" s="22" t="s">
        <v>161</v>
      </c>
      <c r="F187" s="22" t="s">
        <v>887</v>
      </c>
      <c r="G187" s="22" t="s">
        <v>888</v>
      </c>
      <c r="H187" s="22" t="s">
        <v>150</v>
      </c>
      <c r="I187" s="22" t="s">
        <v>151</v>
      </c>
      <c r="J187" s="22" t="s">
        <v>162</v>
      </c>
      <c r="K187" s="22" t="s">
        <v>84</v>
      </c>
      <c r="L187" s="54" t="s">
        <v>153</v>
      </c>
      <c r="M187" s="23" t="s">
        <v>153</v>
      </c>
      <c r="N187" s="24" t="s">
        <v>153</v>
      </c>
      <c r="O187" s="23" t="s">
        <v>153</v>
      </c>
      <c r="P187" s="23" t="s">
        <v>153</v>
      </c>
      <c r="Q187" s="23" t="s">
        <v>153</v>
      </c>
      <c r="R187" s="23" t="s">
        <v>153</v>
      </c>
      <c r="S187" s="23" t="s">
        <v>153</v>
      </c>
      <c r="T187" s="23" t="s">
        <v>153</v>
      </c>
      <c r="U187" s="24" t="s">
        <v>153</v>
      </c>
      <c r="V187" s="54" t="s">
        <v>153</v>
      </c>
      <c r="W187" s="28" t="s">
        <v>163</v>
      </c>
      <c r="X187" s="28" t="s">
        <v>163</v>
      </c>
      <c r="Y187" s="28" t="s">
        <v>163</v>
      </c>
      <c r="Z187" s="28" t="s">
        <v>163</v>
      </c>
      <c r="AA187" s="28" t="s">
        <v>163</v>
      </c>
      <c r="AB187" s="24" t="s">
        <v>153</v>
      </c>
      <c r="AC187" s="23" t="s">
        <v>153</v>
      </c>
      <c r="AD187" s="23" t="s">
        <v>153</v>
      </c>
      <c r="AE187" s="23" t="s">
        <v>153</v>
      </c>
      <c r="AF187" s="23" t="s">
        <v>153</v>
      </c>
      <c r="AG187" s="23" t="s">
        <v>153</v>
      </c>
      <c r="AH187" s="23" t="s">
        <v>153</v>
      </c>
      <c r="AI187" s="24" t="s">
        <v>153</v>
      </c>
      <c r="AJ187" s="23" t="s">
        <v>153</v>
      </c>
      <c r="AK187" s="23" t="s">
        <v>153</v>
      </c>
      <c r="AL187" s="23" t="s">
        <v>153</v>
      </c>
      <c r="AM187" s="23" t="s">
        <v>153</v>
      </c>
      <c r="AN187" s="24" t="s">
        <v>156</v>
      </c>
      <c r="AO187" s="24" t="s">
        <v>156</v>
      </c>
      <c r="AP187" s="23">
        <f>VALUE(12)</f>
        <v>12</v>
      </c>
      <c r="AQ187" s="23">
        <f>VALUE(0)</f>
        <v>0</v>
      </c>
      <c r="AR187" s="23">
        <f>VALUE(0)</f>
        <v>0</v>
      </c>
      <c r="AS187" s="23">
        <f>VALUE(0)</f>
        <v>0</v>
      </c>
      <c r="AT187" s="23">
        <f>VALUE(0)</f>
        <v>0</v>
      </c>
      <c r="AU187" s="23">
        <f>VALUE(5)</f>
        <v>5</v>
      </c>
      <c r="AV187" s="23">
        <f>VALUE(3)</f>
        <v>3</v>
      </c>
      <c r="AW187" s="23">
        <f>VALUE(0)</f>
        <v>0</v>
      </c>
      <c r="AX187" s="23">
        <f>VALUE(0)</f>
        <v>0</v>
      </c>
      <c r="AY187" s="23" t="s">
        <v>455</v>
      </c>
      <c r="AZ187" s="23">
        <f>VALUE(0)</f>
        <v>0</v>
      </c>
      <c r="BA187" s="23">
        <f>VALUE(0)</f>
        <v>0</v>
      </c>
      <c r="BB187" s="23">
        <f>VALUE(0)</f>
        <v>0</v>
      </c>
      <c r="BC187" s="23">
        <f>VALUE(0)</f>
        <v>0</v>
      </c>
      <c r="BD187" s="23">
        <f>VALUE(0)</f>
        <v>0</v>
      </c>
      <c r="BE187" s="23">
        <f>VALUE(0)</f>
        <v>0</v>
      </c>
      <c r="BF187" s="23">
        <f>VALUE(0)</f>
        <v>0</v>
      </c>
      <c r="BG187" s="23">
        <f>VALUE(0)</f>
        <v>0</v>
      </c>
      <c r="BH187" s="23">
        <f>VALUE(0)</f>
        <v>0</v>
      </c>
      <c r="BI187" s="23">
        <f>VALUE(0)</f>
        <v>0</v>
      </c>
      <c r="BJ187" s="23">
        <f>VALUE(0)</f>
        <v>0</v>
      </c>
      <c r="BK187" s="12">
        <f>$AX$187*24</f>
        <v>0</v>
      </c>
      <c r="BL187" s="12">
        <f>$AY$187*24</f>
        <v>3.2333333333333334</v>
      </c>
      <c r="BM187" s="12">
        <f>$BJ$187*24</f>
        <v>0</v>
      </c>
      <c r="BN187" s="12">
        <f>VALUE($I$187)/100</f>
        <v>1</v>
      </c>
      <c r="BO187" s="12">
        <v>0</v>
      </c>
      <c r="BP187" s="12">
        <v>0</v>
      </c>
      <c r="BQ187" s="12">
        <v>0</v>
      </c>
      <c r="BR187" s="12">
        <v>0</v>
      </c>
      <c r="BS187" s="12">
        <v>0</v>
      </c>
      <c r="BT187" s="12">
        <v>0</v>
      </c>
      <c r="BU187" s="12">
        <v>0</v>
      </c>
      <c r="BV187" s="12">
        <v>0</v>
      </c>
      <c r="BW187" s="12">
        <v>0</v>
      </c>
      <c r="BX187" s="12">
        <v>0</v>
      </c>
      <c r="BY187" s="12">
        <v>0</v>
      </c>
      <c r="BZ187" s="12">
        <v>0</v>
      </c>
      <c r="CA187" s="12">
        <v>0</v>
      </c>
    </row>
    <row r="188" spans="1:79" x14ac:dyDescent="0.2">
      <c r="A188" s="12" t="s">
        <v>120</v>
      </c>
      <c r="B188" s="12" t="s">
        <v>125</v>
      </c>
      <c r="C188" s="12" t="s">
        <v>125</v>
      </c>
      <c r="D188" s="22" t="s">
        <v>456</v>
      </c>
      <c r="E188" s="22" t="s">
        <v>161</v>
      </c>
      <c r="F188" s="22" t="s">
        <v>1245</v>
      </c>
      <c r="G188" s="22" t="s">
        <v>889</v>
      </c>
      <c r="H188" s="22" t="s">
        <v>190</v>
      </c>
      <c r="I188" s="22" t="s">
        <v>151</v>
      </c>
      <c r="J188" s="22" t="s">
        <v>162</v>
      </c>
      <c r="K188" s="22" t="s">
        <v>84</v>
      </c>
      <c r="L188" s="54" t="s">
        <v>153</v>
      </c>
      <c r="M188" s="23" t="s">
        <v>153</v>
      </c>
      <c r="N188" s="24" t="s">
        <v>153</v>
      </c>
      <c r="O188" s="23" t="s">
        <v>153</v>
      </c>
      <c r="P188" s="23" t="s">
        <v>153</v>
      </c>
      <c r="Q188" s="23" t="s">
        <v>153</v>
      </c>
      <c r="R188" s="23" t="s">
        <v>153</v>
      </c>
      <c r="S188" s="23" t="s">
        <v>153</v>
      </c>
      <c r="T188" s="23" t="s">
        <v>153</v>
      </c>
      <c r="U188" s="24" t="s">
        <v>153</v>
      </c>
      <c r="V188" s="54" t="s">
        <v>153</v>
      </c>
      <c r="W188" s="23" t="s">
        <v>153</v>
      </c>
      <c r="X188" s="23" t="s">
        <v>153</v>
      </c>
      <c r="Y188" s="23" t="s">
        <v>153</v>
      </c>
      <c r="Z188" s="23" t="s">
        <v>153</v>
      </c>
      <c r="AA188" s="23" t="s">
        <v>153</v>
      </c>
      <c r="AB188" s="24" t="s">
        <v>153</v>
      </c>
      <c r="AC188" s="23" t="s">
        <v>153</v>
      </c>
      <c r="AD188" s="23" t="s">
        <v>153</v>
      </c>
      <c r="AE188" s="23" t="s">
        <v>153</v>
      </c>
      <c r="AF188" s="23" t="s">
        <v>153</v>
      </c>
      <c r="AG188" s="24" t="s">
        <v>156</v>
      </c>
      <c r="AH188" s="24" t="s">
        <v>156</v>
      </c>
      <c r="AI188" s="24" t="s">
        <v>153</v>
      </c>
      <c r="AJ188" s="23" t="s">
        <v>153</v>
      </c>
      <c r="AK188" s="23" t="s">
        <v>153</v>
      </c>
      <c r="AL188" s="23" t="s">
        <v>153</v>
      </c>
      <c r="AM188" s="23" t="s">
        <v>153</v>
      </c>
      <c r="AN188" s="23" t="s">
        <v>153</v>
      </c>
      <c r="AO188" s="23" t="s">
        <v>153</v>
      </c>
      <c r="AP188" s="23">
        <f>VALUE(0)</f>
        <v>0</v>
      </c>
      <c r="AQ188" s="23">
        <f>VALUE(0)</f>
        <v>0</v>
      </c>
      <c r="AR188" s="23">
        <f>VALUE(0)</f>
        <v>0</v>
      </c>
      <c r="AS188" s="23">
        <f>VALUE(0)</f>
        <v>0</v>
      </c>
      <c r="AT188" s="23">
        <f>VALUE(0)</f>
        <v>0</v>
      </c>
      <c r="AU188" s="23">
        <f>VALUE(0)</f>
        <v>0</v>
      </c>
      <c r="AV188" s="23">
        <f>VALUE(7)</f>
        <v>7</v>
      </c>
      <c r="AW188" s="23">
        <f>VALUE(0)</f>
        <v>0</v>
      </c>
      <c r="AX188" s="23">
        <f>VALUE(0)</f>
        <v>0</v>
      </c>
      <c r="AY188" s="23">
        <f>VALUE(0)</f>
        <v>0</v>
      </c>
      <c r="AZ188" s="23">
        <f>VALUE(0)</f>
        <v>0</v>
      </c>
      <c r="BA188" s="23">
        <f>VALUE(0)</f>
        <v>0</v>
      </c>
      <c r="BB188" s="23">
        <f>VALUE(0)</f>
        <v>0</v>
      </c>
      <c r="BC188" s="23">
        <f>VALUE(0)</f>
        <v>0</v>
      </c>
      <c r="BD188" s="23">
        <f>VALUE(0)</f>
        <v>0</v>
      </c>
      <c r="BE188" s="23">
        <f>VALUE(0)</f>
        <v>0</v>
      </c>
      <c r="BF188" s="23">
        <f>VALUE(0)</f>
        <v>0</v>
      </c>
      <c r="BG188" s="23">
        <f>VALUE(0)</f>
        <v>0</v>
      </c>
      <c r="BH188" s="23">
        <f>VALUE(0)</f>
        <v>0</v>
      </c>
      <c r="BI188" s="23">
        <f>VALUE(0)</f>
        <v>0</v>
      </c>
      <c r="BJ188" s="23">
        <f>VALUE(0)</f>
        <v>0</v>
      </c>
      <c r="BK188" s="12">
        <f>$AX$188*24</f>
        <v>0</v>
      </c>
      <c r="BL188" s="12">
        <f>$AY$188*24</f>
        <v>0</v>
      </c>
      <c r="BM188" s="12">
        <f>$BJ$188*24</f>
        <v>0</v>
      </c>
      <c r="BN188" s="12">
        <f>VALUE($I$188)/100</f>
        <v>1</v>
      </c>
      <c r="BO188" s="12">
        <v>0</v>
      </c>
      <c r="BP188" s="12">
        <v>0</v>
      </c>
      <c r="BQ188" s="12">
        <v>0</v>
      </c>
      <c r="BR188" s="12">
        <v>0</v>
      </c>
      <c r="BS188" s="12">
        <v>0</v>
      </c>
      <c r="BT188" s="12">
        <v>0</v>
      </c>
      <c r="BU188" s="12">
        <v>0</v>
      </c>
      <c r="BV188" s="12">
        <v>0</v>
      </c>
      <c r="BW188" s="12">
        <v>0</v>
      </c>
      <c r="BX188" s="12">
        <v>0</v>
      </c>
      <c r="BY188" s="12">
        <v>0</v>
      </c>
      <c r="BZ188" s="12">
        <v>0</v>
      </c>
      <c r="CA188" s="12">
        <v>0</v>
      </c>
    </row>
    <row r="189" spans="1:79" x14ac:dyDescent="0.2">
      <c r="A189" s="12" t="s">
        <v>120</v>
      </c>
      <c r="B189" s="12" t="s">
        <v>125</v>
      </c>
      <c r="C189" s="12" t="s">
        <v>125</v>
      </c>
      <c r="D189" s="22" t="s">
        <v>456</v>
      </c>
      <c r="E189" s="22" t="s">
        <v>161</v>
      </c>
      <c r="F189" s="22" t="s">
        <v>890</v>
      </c>
      <c r="G189" s="22" t="s">
        <v>891</v>
      </c>
      <c r="H189" s="22" t="s">
        <v>150</v>
      </c>
      <c r="I189" s="22" t="s">
        <v>151</v>
      </c>
      <c r="J189" s="22" t="s">
        <v>162</v>
      </c>
      <c r="K189" s="22" t="s">
        <v>84</v>
      </c>
      <c r="L189" s="54" t="s">
        <v>153</v>
      </c>
      <c r="M189" s="32" t="s">
        <v>416</v>
      </c>
      <c r="N189" s="24" t="s">
        <v>153</v>
      </c>
      <c r="O189" s="32" t="s">
        <v>416</v>
      </c>
      <c r="P189" s="32" t="s">
        <v>416</v>
      </c>
      <c r="Q189" s="32" t="s">
        <v>416</v>
      </c>
      <c r="R189" s="32" t="s">
        <v>416</v>
      </c>
      <c r="S189" s="32" t="s">
        <v>416</v>
      </c>
      <c r="T189" s="32" t="s">
        <v>416</v>
      </c>
      <c r="U189" s="24" t="s">
        <v>153</v>
      </c>
      <c r="V189" s="54" t="s">
        <v>153</v>
      </c>
      <c r="W189" s="32" t="s">
        <v>416</v>
      </c>
      <c r="X189" s="32" t="s">
        <v>416</v>
      </c>
      <c r="Y189" s="32" t="s">
        <v>416</v>
      </c>
      <c r="Z189" s="32" t="s">
        <v>416</v>
      </c>
      <c r="AA189" s="32" t="s">
        <v>416</v>
      </c>
      <c r="AB189" s="24" t="s">
        <v>153</v>
      </c>
      <c r="AC189" s="32" t="s">
        <v>416</v>
      </c>
      <c r="AD189" s="32" t="s">
        <v>416</v>
      </c>
      <c r="AE189" s="32" t="s">
        <v>416</v>
      </c>
      <c r="AF189" s="32" t="s">
        <v>416</v>
      </c>
      <c r="AG189" s="32" t="s">
        <v>416</v>
      </c>
      <c r="AH189" s="32" t="s">
        <v>416</v>
      </c>
      <c r="AI189" s="24" t="s">
        <v>153</v>
      </c>
      <c r="AJ189" s="32" t="s">
        <v>416</v>
      </c>
      <c r="AK189" s="32" t="s">
        <v>416</v>
      </c>
      <c r="AL189" s="32" t="s">
        <v>416</v>
      </c>
      <c r="AM189" s="32" t="s">
        <v>416</v>
      </c>
      <c r="AN189" s="32" t="s">
        <v>416</v>
      </c>
      <c r="AO189" s="32" t="s">
        <v>416</v>
      </c>
      <c r="AP189" s="23">
        <f>VALUE(3)</f>
        <v>3</v>
      </c>
      <c r="AQ189" s="23">
        <f>VALUE(0)</f>
        <v>0</v>
      </c>
      <c r="AR189" s="23">
        <f>VALUE(0)</f>
        <v>0</v>
      </c>
      <c r="AS189" s="23">
        <f>VALUE(0)</f>
        <v>0</v>
      </c>
      <c r="AT189" s="23">
        <f>VALUE(0)</f>
        <v>0</v>
      </c>
      <c r="AU189" s="23">
        <f>VALUE(0)</f>
        <v>0</v>
      </c>
      <c r="AV189" s="23">
        <f>VALUE(2)</f>
        <v>2</v>
      </c>
      <c r="AW189" s="23">
        <f>VALUE(0)</f>
        <v>0</v>
      </c>
      <c r="AX189" s="23" t="s">
        <v>158</v>
      </c>
      <c r="AY189" s="23" t="s">
        <v>457</v>
      </c>
      <c r="AZ189" s="23">
        <f>VALUE(0)</f>
        <v>0</v>
      </c>
      <c r="BA189" s="23">
        <f>VALUE(24)</f>
        <v>24</v>
      </c>
      <c r="BB189" s="23">
        <f>VALUE(0)</f>
        <v>0</v>
      </c>
      <c r="BC189" s="23">
        <f>VALUE(0)</f>
        <v>0</v>
      </c>
      <c r="BD189" s="23">
        <f>VALUE(0)</f>
        <v>0</v>
      </c>
      <c r="BE189" s="23">
        <f>VALUE(0)</f>
        <v>0</v>
      </c>
      <c r="BF189" s="23">
        <f>VALUE(0)</f>
        <v>0</v>
      </c>
      <c r="BG189" s="23">
        <f>VALUE(0)</f>
        <v>0</v>
      </c>
      <c r="BH189" s="23">
        <f>VALUE(0)</f>
        <v>0</v>
      </c>
      <c r="BI189" s="23">
        <f>VALUE(0)</f>
        <v>0</v>
      </c>
      <c r="BJ189" s="23">
        <f>VALUE(0)</f>
        <v>0</v>
      </c>
      <c r="BK189" s="12">
        <f>$AX$189*24</f>
        <v>11.666666666666666</v>
      </c>
      <c r="BL189" s="12">
        <f>$AY$189*24</f>
        <v>26.766666666666666</v>
      </c>
      <c r="BM189" s="12">
        <f>$BJ$189*24</f>
        <v>0</v>
      </c>
      <c r="BN189" s="12">
        <f>VALUE($I$189)/100</f>
        <v>1</v>
      </c>
      <c r="BO189" s="12">
        <v>0</v>
      </c>
      <c r="BP189" s="12">
        <v>0</v>
      </c>
      <c r="BQ189" s="12">
        <v>0</v>
      </c>
      <c r="BR189" s="12">
        <v>0</v>
      </c>
      <c r="BS189" s="12">
        <v>0</v>
      </c>
      <c r="BT189" s="12">
        <v>0</v>
      </c>
      <c r="BU189" s="12">
        <v>0</v>
      </c>
      <c r="BV189" s="12">
        <v>0</v>
      </c>
      <c r="BW189" s="12">
        <v>0</v>
      </c>
      <c r="BX189" s="12">
        <v>0</v>
      </c>
      <c r="BY189" s="12">
        <v>0</v>
      </c>
      <c r="BZ189" s="12">
        <v>0</v>
      </c>
      <c r="CA189" s="12">
        <v>0</v>
      </c>
    </row>
    <row r="190" spans="1:79" x14ac:dyDescent="0.2">
      <c r="A190" s="12" t="s">
        <v>120</v>
      </c>
      <c r="B190" s="12" t="s">
        <v>125</v>
      </c>
      <c r="C190" s="12" t="s">
        <v>125</v>
      </c>
      <c r="D190" s="22" t="s">
        <v>458</v>
      </c>
      <c r="E190" s="22" t="s">
        <v>161</v>
      </c>
      <c r="F190" s="22" t="s">
        <v>892</v>
      </c>
      <c r="G190" s="22" t="s">
        <v>893</v>
      </c>
      <c r="H190" s="22" t="s">
        <v>150</v>
      </c>
      <c r="I190" s="22" t="s">
        <v>151</v>
      </c>
      <c r="J190" s="22" t="s">
        <v>162</v>
      </c>
      <c r="K190" s="22" t="s">
        <v>84</v>
      </c>
      <c r="L190" s="54" t="s">
        <v>153</v>
      </c>
      <c r="M190" s="23" t="s">
        <v>459</v>
      </c>
      <c r="N190" s="24" t="s">
        <v>153</v>
      </c>
      <c r="O190" s="23" t="s">
        <v>459</v>
      </c>
      <c r="P190" s="23" t="s">
        <v>459</v>
      </c>
      <c r="Q190" s="23" t="s">
        <v>459</v>
      </c>
      <c r="R190" s="23" t="s">
        <v>459</v>
      </c>
      <c r="S190" s="23" t="s">
        <v>459</v>
      </c>
      <c r="T190" s="23" t="s">
        <v>459</v>
      </c>
      <c r="U190" s="24" t="s">
        <v>153</v>
      </c>
      <c r="V190" s="54" t="s">
        <v>153</v>
      </c>
      <c r="W190" s="23" t="s">
        <v>459</v>
      </c>
      <c r="X190" s="23" t="s">
        <v>459</v>
      </c>
      <c r="Y190" s="23" t="s">
        <v>459</v>
      </c>
      <c r="Z190" s="23" t="s">
        <v>459</v>
      </c>
      <c r="AA190" s="23" t="s">
        <v>459</v>
      </c>
      <c r="AB190" s="24" t="s">
        <v>153</v>
      </c>
      <c r="AC190" s="23" t="s">
        <v>459</v>
      </c>
      <c r="AD190" s="23" t="s">
        <v>459</v>
      </c>
      <c r="AE190" s="23" t="s">
        <v>459</v>
      </c>
      <c r="AF190" s="23" t="s">
        <v>459</v>
      </c>
      <c r="AG190" s="23" t="s">
        <v>459</v>
      </c>
      <c r="AH190" s="23" t="s">
        <v>459</v>
      </c>
      <c r="AI190" s="24" t="s">
        <v>153</v>
      </c>
      <c r="AJ190" s="23" t="s">
        <v>459</v>
      </c>
      <c r="AK190" s="23" t="s">
        <v>459</v>
      </c>
      <c r="AL190" s="24" t="s">
        <v>156</v>
      </c>
      <c r="AM190" s="24" t="s">
        <v>156</v>
      </c>
      <c r="AN190" s="23" t="s">
        <v>459</v>
      </c>
      <c r="AO190" s="23" t="s">
        <v>459</v>
      </c>
      <c r="AP190" s="23">
        <f>VALUE(17)</f>
        <v>17</v>
      </c>
      <c r="AQ190" s="23">
        <f>VALUE(0)</f>
        <v>0</v>
      </c>
      <c r="AR190" s="23">
        <f>VALUE(0)</f>
        <v>0</v>
      </c>
      <c r="AS190" s="23">
        <f>VALUE(0)</f>
        <v>0</v>
      </c>
      <c r="AT190" s="23">
        <f>VALUE(0)</f>
        <v>0</v>
      </c>
      <c r="AU190" s="23">
        <f>VALUE(0)</f>
        <v>0</v>
      </c>
      <c r="AV190" s="23">
        <f>VALUE(2)</f>
        <v>2</v>
      </c>
      <c r="AW190" s="23">
        <f>VALUE(0)</f>
        <v>0</v>
      </c>
      <c r="AX190" s="23">
        <f>VALUE(0)</f>
        <v>0</v>
      </c>
      <c r="AY190" s="23" t="s">
        <v>460</v>
      </c>
      <c r="AZ190" s="23">
        <f>VALUE(0)</f>
        <v>0</v>
      </c>
      <c r="BA190" s="23">
        <f>VALUE(0)</f>
        <v>0</v>
      </c>
      <c r="BB190" s="23">
        <f>VALUE(0)</f>
        <v>0</v>
      </c>
      <c r="BC190" s="23">
        <f>VALUE(0)</f>
        <v>0</v>
      </c>
      <c r="BD190" s="23">
        <f>VALUE(0)</f>
        <v>0</v>
      </c>
      <c r="BE190" s="23">
        <f>VALUE(0)</f>
        <v>0</v>
      </c>
      <c r="BF190" s="23">
        <f>VALUE(0)</f>
        <v>0</v>
      </c>
      <c r="BG190" s="23">
        <f>VALUE(0)</f>
        <v>0</v>
      </c>
      <c r="BH190" s="23">
        <f>VALUE(0)</f>
        <v>0</v>
      </c>
      <c r="BI190" s="23">
        <f>VALUE(0)</f>
        <v>0</v>
      </c>
      <c r="BJ190" s="23">
        <f>VALUE(0)</f>
        <v>0</v>
      </c>
      <c r="BK190" s="12">
        <f>$AX$190*24</f>
        <v>0</v>
      </c>
      <c r="BL190" s="12">
        <f>$AY$190*24</f>
        <v>4.3666666666666663</v>
      </c>
      <c r="BM190" s="12">
        <f>$BJ$190*24</f>
        <v>0</v>
      </c>
      <c r="BN190" s="12">
        <f>VALUE($I$190)/100</f>
        <v>1</v>
      </c>
      <c r="BO190" s="12">
        <v>0</v>
      </c>
      <c r="BP190" s="12">
        <v>0</v>
      </c>
      <c r="BQ190" s="12">
        <v>0</v>
      </c>
      <c r="BR190" s="12">
        <v>0</v>
      </c>
      <c r="BS190" s="12">
        <v>0</v>
      </c>
      <c r="BT190" s="12">
        <v>0</v>
      </c>
      <c r="BU190" s="12">
        <v>0</v>
      </c>
      <c r="BV190" s="12">
        <v>0</v>
      </c>
      <c r="BW190" s="12">
        <v>0</v>
      </c>
      <c r="BX190" s="12">
        <v>0</v>
      </c>
      <c r="BY190" s="12">
        <v>0</v>
      </c>
      <c r="BZ190" s="12">
        <v>0</v>
      </c>
      <c r="CA190" s="12">
        <v>0</v>
      </c>
    </row>
    <row r="191" spans="1:79" x14ac:dyDescent="0.2">
      <c r="A191" s="12" t="s">
        <v>120</v>
      </c>
      <c r="B191" s="12" t="s">
        <v>125</v>
      </c>
      <c r="C191" s="12" t="s">
        <v>125</v>
      </c>
      <c r="D191" s="22" t="s">
        <v>587</v>
      </c>
      <c r="E191" s="22" t="s">
        <v>173</v>
      </c>
      <c r="F191" s="22" t="s">
        <v>894</v>
      </c>
      <c r="G191" s="22" t="s">
        <v>895</v>
      </c>
      <c r="H191" s="22" t="s">
        <v>150</v>
      </c>
      <c r="I191" s="22" t="s">
        <v>151</v>
      </c>
      <c r="J191" s="22" t="s">
        <v>162</v>
      </c>
      <c r="K191" s="22" t="s">
        <v>84</v>
      </c>
      <c r="L191" s="54" t="s">
        <v>153</v>
      </c>
      <c r="M191" s="23" t="s">
        <v>442</v>
      </c>
      <c r="N191" s="24" t="s">
        <v>153</v>
      </c>
      <c r="O191" s="25" t="s">
        <v>1246</v>
      </c>
      <c r="P191" s="25" t="s">
        <v>1247</v>
      </c>
      <c r="Q191" s="25" t="s">
        <v>1247</v>
      </c>
      <c r="R191" s="25" t="s">
        <v>1247</v>
      </c>
      <c r="S191" s="25" t="s">
        <v>451</v>
      </c>
      <c r="T191" s="25" t="s">
        <v>451</v>
      </c>
      <c r="U191" s="24" t="s">
        <v>153</v>
      </c>
      <c r="V191" s="54" t="s">
        <v>156</v>
      </c>
      <c r="W191" s="24" t="s">
        <v>156</v>
      </c>
      <c r="X191" s="28" t="s">
        <v>163</v>
      </c>
      <c r="Y191" s="25" t="s">
        <v>1246</v>
      </c>
      <c r="Z191" s="25" t="s">
        <v>1246</v>
      </c>
      <c r="AA191" s="25" t="s">
        <v>1246</v>
      </c>
      <c r="AB191" s="24" t="s">
        <v>153</v>
      </c>
      <c r="AC191" s="23" t="s">
        <v>438</v>
      </c>
      <c r="AD191" s="23" t="s">
        <v>438</v>
      </c>
      <c r="AE191" s="25" t="s">
        <v>438</v>
      </c>
      <c r="AF191" s="25" t="s">
        <v>438</v>
      </c>
      <c r="AG191" s="23" t="s">
        <v>438</v>
      </c>
      <c r="AH191" s="23" t="s">
        <v>438</v>
      </c>
      <c r="AI191" s="24" t="s">
        <v>153</v>
      </c>
      <c r="AJ191" s="23" t="s">
        <v>438</v>
      </c>
      <c r="AK191" s="23" t="s">
        <v>438</v>
      </c>
      <c r="AL191" s="23" t="s">
        <v>438</v>
      </c>
      <c r="AM191" s="23" t="s">
        <v>438</v>
      </c>
      <c r="AN191" s="23" t="s">
        <v>438</v>
      </c>
      <c r="AO191" s="23" t="s">
        <v>438</v>
      </c>
      <c r="AP191" s="23">
        <f>VALUE(4)</f>
        <v>4</v>
      </c>
      <c r="AQ191" s="23">
        <f>VALUE(0)</f>
        <v>0</v>
      </c>
      <c r="AR191" s="23">
        <f>VALUE(0)</f>
        <v>0</v>
      </c>
      <c r="AS191" s="23">
        <f>VALUE(0)</f>
        <v>0</v>
      </c>
      <c r="AT191" s="23">
        <f>VALUE(0)</f>
        <v>0</v>
      </c>
      <c r="AU191" s="23">
        <f>VALUE(1)</f>
        <v>1</v>
      </c>
      <c r="AV191" s="23">
        <f>VALUE(3)</f>
        <v>3</v>
      </c>
      <c r="AW191" s="23">
        <f>VALUE(0)</f>
        <v>0</v>
      </c>
      <c r="AX191" s="23">
        <f>VALUE(0)</f>
        <v>0</v>
      </c>
      <c r="AY191" s="23">
        <f>VALUE(0)</f>
        <v>0</v>
      </c>
      <c r="AZ191" s="23">
        <f>VALUE(0)</f>
        <v>0</v>
      </c>
      <c r="BA191" s="23">
        <f>VALUE(0)</f>
        <v>0</v>
      </c>
      <c r="BB191" s="23">
        <f>VALUE(0)</f>
        <v>0</v>
      </c>
      <c r="BC191" s="23">
        <f>VALUE(0)</f>
        <v>0</v>
      </c>
      <c r="BD191" s="23">
        <f>VALUE(7)</f>
        <v>7</v>
      </c>
      <c r="BE191" s="23">
        <f>VALUE(0)</f>
        <v>0</v>
      </c>
      <c r="BF191" s="23">
        <f>VALUE(0)</f>
        <v>0</v>
      </c>
      <c r="BG191" s="23">
        <f>VALUE(0)</f>
        <v>0</v>
      </c>
      <c r="BH191" s="23">
        <f>VALUE(0)</f>
        <v>0</v>
      </c>
      <c r="BI191" s="23">
        <f>VALUE(0)</f>
        <v>0</v>
      </c>
      <c r="BJ191" s="23">
        <f>VALUE(0)</f>
        <v>0</v>
      </c>
      <c r="BK191" s="12">
        <f>$AX$191*24</f>
        <v>0</v>
      </c>
      <c r="BL191" s="12">
        <f>$AY$191*24</f>
        <v>0</v>
      </c>
      <c r="BM191" s="12">
        <f>$BJ$191*24</f>
        <v>0</v>
      </c>
      <c r="BN191" s="12">
        <f>VALUE($I$191)/100</f>
        <v>1</v>
      </c>
      <c r="BO191" s="12">
        <v>0</v>
      </c>
      <c r="BP191" s="12">
        <v>0</v>
      </c>
      <c r="BQ191" s="12">
        <v>0</v>
      </c>
      <c r="BR191" s="12">
        <v>7</v>
      </c>
      <c r="BS191" s="12">
        <v>0</v>
      </c>
      <c r="BT191" s="12">
        <v>0</v>
      </c>
      <c r="BU191" s="12">
        <v>0</v>
      </c>
      <c r="BV191" s="12">
        <v>0</v>
      </c>
      <c r="BW191" s="12">
        <v>0</v>
      </c>
      <c r="BX191" s="12">
        <v>0</v>
      </c>
      <c r="BY191" s="12">
        <v>0</v>
      </c>
      <c r="BZ191" s="12">
        <v>0</v>
      </c>
      <c r="CA191" s="12">
        <v>0</v>
      </c>
    </row>
    <row r="192" spans="1:79" x14ac:dyDescent="0.2">
      <c r="A192" s="12" t="s">
        <v>120</v>
      </c>
      <c r="B192" s="12" t="s">
        <v>125</v>
      </c>
      <c r="C192" s="12" t="s">
        <v>125</v>
      </c>
      <c r="D192" s="22" t="s">
        <v>461</v>
      </c>
      <c r="E192" s="22" t="s">
        <v>332</v>
      </c>
      <c r="F192" s="22" t="s">
        <v>896</v>
      </c>
      <c r="G192" s="22" t="s">
        <v>897</v>
      </c>
      <c r="H192" s="22" t="s">
        <v>150</v>
      </c>
      <c r="I192" s="22" t="s">
        <v>151</v>
      </c>
      <c r="J192" s="22" t="s">
        <v>162</v>
      </c>
      <c r="K192" s="22" t="s">
        <v>84</v>
      </c>
      <c r="L192" s="54" t="s">
        <v>153</v>
      </c>
      <c r="M192" s="23" t="s">
        <v>451</v>
      </c>
      <c r="N192" s="24" t="s">
        <v>153</v>
      </c>
      <c r="O192" s="24" t="s">
        <v>156</v>
      </c>
      <c r="P192" s="24" t="s">
        <v>156</v>
      </c>
      <c r="Q192" s="23" t="s">
        <v>453</v>
      </c>
      <c r="R192" s="23" t="s">
        <v>453</v>
      </c>
      <c r="S192" s="23" t="s">
        <v>442</v>
      </c>
      <c r="T192" s="23" t="s">
        <v>442</v>
      </c>
      <c r="U192" s="24" t="s">
        <v>153</v>
      </c>
      <c r="V192" s="54" t="s">
        <v>153</v>
      </c>
      <c r="W192" s="25" t="s">
        <v>438</v>
      </c>
      <c r="X192" s="23" t="s">
        <v>451</v>
      </c>
      <c r="Y192" s="23" t="s">
        <v>451</v>
      </c>
      <c r="Z192" s="23" t="s">
        <v>440</v>
      </c>
      <c r="AA192" s="23" t="s">
        <v>440</v>
      </c>
      <c r="AB192" s="24" t="s">
        <v>153</v>
      </c>
      <c r="AC192" s="23" t="s">
        <v>447</v>
      </c>
      <c r="AD192" s="23" t="s">
        <v>447</v>
      </c>
      <c r="AE192" s="25" t="s">
        <v>438</v>
      </c>
      <c r="AF192" s="25" t="s">
        <v>438</v>
      </c>
      <c r="AG192" s="23" t="s">
        <v>456</v>
      </c>
      <c r="AH192" s="23" t="s">
        <v>456</v>
      </c>
      <c r="AI192" s="24" t="s">
        <v>153</v>
      </c>
      <c r="AJ192" s="23" t="s">
        <v>444</v>
      </c>
      <c r="AK192" s="23" t="s">
        <v>444</v>
      </c>
      <c r="AL192" s="23" t="s">
        <v>459</v>
      </c>
      <c r="AM192" s="23" t="s">
        <v>459</v>
      </c>
      <c r="AN192" s="23" t="s">
        <v>454</v>
      </c>
      <c r="AO192" s="23" t="s">
        <v>454</v>
      </c>
      <c r="AP192" s="23">
        <f>VALUE(11)</f>
        <v>11</v>
      </c>
      <c r="AQ192" s="23">
        <f>VALUE(0)</f>
        <v>0</v>
      </c>
      <c r="AR192" s="23">
        <f>VALUE(0)</f>
        <v>0</v>
      </c>
      <c r="AS192" s="23">
        <f>VALUE(0)</f>
        <v>0</v>
      </c>
      <c r="AT192" s="23">
        <f>VALUE(0)</f>
        <v>0</v>
      </c>
      <c r="AU192" s="23">
        <f>VALUE(0)</f>
        <v>0</v>
      </c>
      <c r="AV192" s="23">
        <f>VALUE(2)</f>
        <v>2</v>
      </c>
      <c r="AW192" s="23">
        <f>VALUE(0)</f>
        <v>0</v>
      </c>
      <c r="AX192" s="23">
        <f>VALUE(0)</f>
        <v>0</v>
      </c>
      <c r="AY192" s="23">
        <f>VALUE(0)</f>
        <v>0</v>
      </c>
      <c r="AZ192" s="23">
        <f>VALUE(0)</f>
        <v>0</v>
      </c>
      <c r="BA192" s="23">
        <f>VALUE(0)</f>
        <v>0</v>
      </c>
      <c r="BB192" s="23">
        <f>VALUE(0)</f>
        <v>0</v>
      </c>
      <c r="BC192" s="23">
        <f>VALUE(0)</f>
        <v>0</v>
      </c>
      <c r="BD192" s="23">
        <f>VALUE(0)</f>
        <v>0</v>
      </c>
      <c r="BE192" s="23">
        <f>VALUE(0)</f>
        <v>0</v>
      </c>
      <c r="BF192" s="23">
        <f>VALUE(0)</f>
        <v>0</v>
      </c>
      <c r="BG192" s="23">
        <f>VALUE(0)</f>
        <v>0</v>
      </c>
      <c r="BH192" s="23">
        <f>VALUE(0)</f>
        <v>0</v>
      </c>
      <c r="BI192" s="23">
        <f>VALUE(0)</f>
        <v>0</v>
      </c>
      <c r="BJ192" s="23">
        <f>VALUE(0)</f>
        <v>0</v>
      </c>
      <c r="BK192" s="12">
        <f>$AX$192*24</f>
        <v>0</v>
      </c>
      <c r="BL192" s="12">
        <f>$AY$192*24</f>
        <v>0</v>
      </c>
      <c r="BM192" s="12">
        <f>$BJ$192*24</f>
        <v>0</v>
      </c>
      <c r="BN192" s="12">
        <f>VALUE($I$192)/100</f>
        <v>1</v>
      </c>
      <c r="BO192" s="12">
        <v>0</v>
      </c>
      <c r="BP192" s="12">
        <v>0</v>
      </c>
      <c r="BQ192" s="12">
        <v>0</v>
      </c>
      <c r="BR192" s="12">
        <v>0</v>
      </c>
      <c r="BS192" s="12">
        <v>0</v>
      </c>
      <c r="BT192" s="12">
        <v>0</v>
      </c>
      <c r="BU192" s="12">
        <v>0</v>
      </c>
      <c r="BV192" s="12">
        <v>0</v>
      </c>
      <c r="BW192" s="12">
        <v>0</v>
      </c>
      <c r="BX192" s="12">
        <v>0</v>
      </c>
      <c r="BY192" s="12">
        <v>0</v>
      </c>
      <c r="BZ192" s="12">
        <v>0</v>
      </c>
      <c r="CA192" s="12">
        <v>0</v>
      </c>
    </row>
    <row r="193" spans="1:79" ht="15" x14ac:dyDescent="0.25">
      <c r="A193" s="12" t="s">
        <v>120</v>
      </c>
      <c r="B193" s="12" t="s">
        <v>125</v>
      </c>
      <c r="C193" s="12" t="s">
        <v>125</v>
      </c>
      <c r="D193" s="31" t="s">
        <v>1248</v>
      </c>
      <c r="E193" s="31" t="s">
        <v>153</v>
      </c>
      <c r="F193" s="31" t="s">
        <v>175</v>
      </c>
      <c r="G193" s="31" t="s">
        <v>153</v>
      </c>
      <c r="H193" s="31" t="s">
        <v>153</v>
      </c>
      <c r="I193" s="31" t="s">
        <v>153</v>
      </c>
      <c r="J193" s="31" t="s">
        <v>153</v>
      </c>
      <c r="K193" s="31" t="s">
        <v>153</v>
      </c>
      <c r="L193" s="31">
        <f>VALUE(0)</f>
        <v>0</v>
      </c>
      <c r="M193" s="31">
        <f>VALUE(11)</f>
        <v>11</v>
      </c>
      <c r="N193" s="31">
        <f>VALUE(0)</f>
        <v>0</v>
      </c>
      <c r="O193" s="31">
        <f>VALUE(13)</f>
        <v>13</v>
      </c>
      <c r="P193" s="31">
        <f>VALUE(13)</f>
        <v>13</v>
      </c>
      <c r="Q193" s="31">
        <f>VALUE(13)</f>
        <v>13</v>
      </c>
      <c r="R193" s="31">
        <f>VALUE(13)</f>
        <v>13</v>
      </c>
      <c r="S193" s="31">
        <f>VALUE(13)</f>
        <v>13</v>
      </c>
      <c r="T193" s="31">
        <f>VALUE(13)</f>
        <v>13</v>
      </c>
      <c r="U193" s="31">
        <f>VALUE(0)</f>
        <v>0</v>
      </c>
      <c r="V193" s="31">
        <f>VALUE(0)</f>
        <v>0</v>
      </c>
      <c r="W193" s="31">
        <f>VALUE(11)</f>
        <v>11</v>
      </c>
      <c r="X193" s="31">
        <f>VALUE(10)</f>
        <v>10</v>
      </c>
      <c r="Y193" s="31">
        <f>VALUE(11)</f>
        <v>11</v>
      </c>
      <c r="Z193" s="31">
        <f>VALUE(11)</f>
        <v>11</v>
      </c>
      <c r="AA193" s="31">
        <f>VALUE(11)</f>
        <v>11</v>
      </c>
      <c r="AB193" s="31">
        <f>VALUE(0)</f>
        <v>0</v>
      </c>
      <c r="AC193" s="31">
        <f>VALUE(11)</f>
        <v>11</v>
      </c>
      <c r="AD193" s="31">
        <f>VALUE(11)</f>
        <v>11</v>
      </c>
      <c r="AE193" s="31">
        <f>VALUE(12)</f>
        <v>12</v>
      </c>
      <c r="AF193" s="31">
        <f>VALUE(11)</f>
        <v>11</v>
      </c>
      <c r="AG193" s="31">
        <f>VALUE(10)</f>
        <v>10</v>
      </c>
      <c r="AH193" s="31">
        <f>VALUE(10)</f>
        <v>10</v>
      </c>
      <c r="AI193" s="31">
        <f>VALUE(0)</f>
        <v>0</v>
      </c>
      <c r="AJ193" s="31">
        <f>VALUE(11)</f>
        <v>11</v>
      </c>
      <c r="AK193" s="31">
        <f>VALUE(11)</f>
        <v>11</v>
      </c>
      <c r="AL193" s="31">
        <f>VALUE(11)</f>
        <v>11</v>
      </c>
      <c r="AM193" s="31">
        <f>VALUE(11)</f>
        <v>11</v>
      </c>
      <c r="AN193" s="31">
        <f>VALUE(11)</f>
        <v>11</v>
      </c>
      <c r="AO193" s="31">
        <f>VALUE(11)</f>
        <v>11</v>
      </c>
      <c r="AP193" s="31">
        <v>0</v>
      </c>
      <c r="AQ193" s="31">
        <v>0</v>
      </c>
      <c r="AR193" s="31">
        <v>0</v>
      </c>
      <c r="AS193" s="31">
        <v>0</v>
      </c>
      <c r="AT193" s="31">
        <v>0</v>
      </c>
      <c r="AU193" s="31">
        <v>0</v>
      </c>
      <c r="AV193" s="31">
        <v>0</v>
      </c>
      <c r="AW193" s="31">
        <v>0</v>
      </c>
      <c r="AX193" s="31">
        <v>0</v>
      </c>
      <c r="AY193" s="31">
        <v>0</v>
      </c>
      <c r="AZ193" s="31">
        <v>0</v>
      </c>
      <c r="BA193" s="31">
        <v>0</v>
      </c>
      <c r="BB193" s="31">
        <v>0</v>
      </c>
      <c r="BC193" s="31">
        <v>0</v>
      </c>
      <c r="BD193" s="31">
        <v>0</v>
      </c>
      <c r="BE193" s="31">
        <v>0</v>
      </c>
      <c r="BF193" s="31">
        <v>0</v>
      </c>
      <c r="BG193" s="31">
        <v>0</v>
      </c>
      <c r="BH193" s="31">
        <v>0</v>
      </c>
      <c r="BI193" s="31">
        <v>0</v>
      </c>
      <c r="BJ193" s="31">
        <v>0</v>
      </c>
      <c r="BK193" s="12">
        <v>0</v>
      </c>
      <c r="BL193" s="12">
        <v>0</v>
      </c>
      <c r="BM193" s="12">
        <v>0</v>
      </c>
      <c r="BN193" s="12"/>
      <c r="BO193" s="12">
        <v>0</v>
      </c>
      <c r="BP193" s="12">
        <v>0</v>
      </c>
      <c r="BQ193" s="12">
        <v>0</v>
      </c>
      <c r="BR193" s="12">
        <v>0</v>
      </c>
      <c r="BS193" s="12">
        <v>0</v>
      </c>
      <c r="BT193" s="12">
        <v>0</v>
      </c>
      <c r="BU193" s="12">
        <v>0</v>
      </c>
      <c r="BV193" s="12">
        <v>0</v>
      </c>
      <c r="BW193" s="12">
        <v>0</v>
      </c>
      <c r="BX193" s="12">
        <v>0</v>
      </c>
      <c r="BY193" s="12">
        <v>0</v>
      </c>
      <c r="BZ193" s="12">
        <v>0</v>
      </c>
      <c r="CA193" s="12">
        <v>0</v>
      </c>
    </row>
    <row r="194" spans="1:79" x14ac:dyDescent="0.2">
      <c r="A194" s="12" t="s">
        <v>120</v>
      </c>
      <c r="B194" s="12" t="s">
        <v>126</v>
      </c>
      <c r="C194" s="12" t="s">
        <v>126</v>
      </c>
      <c r="D194" s="22" t="s">
        <v>462</v>
      </c>
      <c r="E194" s="22" t="s">
        <v>161</v>
      </c>
      <c r="F194" s="22" t="s">
        <v>898</v>
      </c>
      <c r="G194" s="22" t="s">
        <v>899</v>
      </c>
      <c r="H194" s="22" t="s">
        <v>150</v>
      </c>
      <c r="I194" s="22" t="s">
        <v>151</v>
      </c>
      <c r="J194" s="22" t="s">
        <v>162</v>
      </c>
      <c r="K194" s="22" t="s">
        <v>85</v>
      </c>
      <c r="L194" s="54" t="s">
        <v>153</v>
      </c>
      <c r="M194" s="23" t="s">
        <v>153</v>
      </c>
      <c r="N194" s="24" t="s">
        <v>153</v>
      </c>
      <c r="O194" s="28" t="s">
        <v>163</v>
      </c>
      <c r="P194" s="28" t="s">
        <v>163</v>
      </c>
      <c r="Q194" s="28" t="s">
        <v>163</v>
      </c>
      <c r="R194" s="28" t="s">
        <v>163</v>
      </c>
      <c r="S194" s="28" t="s">
        <v>163</v>
      </c>
      <c r="T194" s="28" t="s">
        <v>163</v>
      </c>
      <c r="U194" s="24" t="s">
        <v>153</v>
      </c>
      <c r="V194" s="54" t="s">
        <v>153</v>
      </c>
      <c r="W194" s="23" t="s">
        <v>153</v>
      </c>
      <c r="X194" s="23" t="s">
        <v>153</v>
      </c>
      <c r="Y194" s="23" t="s">
        <v>153</v>
      </c>
      <c r="Z194" s="23" t="s">
        <v>153</v>
      </c>
      <c r="AA194" s="23" t="s">
        <v>153</v>
      </c>
      <c r="AB194" s="24" t="s">
        <v>153</v>
      </c>
      <c r="AC194" s="23" t="s">
        <v>153</v>
      </c>
      <c r="AD194" s="23" t="s">
        <v>153</v>
      </c>
      <c r="AE194" s="23" t="s">
        <v>153</v>
      </c>
      <c r="AF194" s="23" t="s">
        <v>153</v>
      </c>
      <c r="AG194" s="23" t="s">
        <v>153</v>
      </c>
      <c r="AH194" s="23" t="s">
        <v>153</v>
      </c>
      <c r="AI194" s="24" t="s">
        <v>153</v>
      </c>
      <c r="AJ194" s="23" t="s">
        <v>153</v>
      </c>
      <c r="AK194" s="23" t="s">
        <v>153</v>
      </c>
      <c r="AL194" s="23" t="s">
        <v>153</v>
      </c>
      <c r="AM194" s="23" t="s">
        <v>153</v>
      </c>
      <c r="AN194" s="23" t="s">
        <v>153</v>
      </c>
      <c r="AO194" s="23" t="s">
        <v>153</v>
      </c>
      <c r="AP194" s="23">
        <f>VALUE(2)</f>
        <v>2</v>
      </c>
      <c r="AQ194" s="23">
        <f>VALUE(0)</f>
        <v>0</v>
      </c>
      <c r="AR194" s="23">
        <f>VALUE(0)</f>
        <v>0</v>
      </c>
      <c r="AS194" s="23">
        <f>VALUE(0)</f>
        <v>0</v>
      </c>
      <c r="AT194" s="23">
        <f>VALUE(0)</f>
        <v>0</v>
      </c>
      <c r="AU194" s="23">
        <f>VALUE(6)</f>
        <v>6</v>
      </c>
      <c r="AV194" s="23">
        <f>VALUE(0)</f>
        <v>0</v>
      </c>
      <c r="AW194" s="23">
        <f>VALUE(0)</f>
        <v>0</v>
      </c>
      <c r="AX194" s="23" t="s">
        <v>463</v>
      </c>
      <c r="AY194" s="23" t="s">
        <v>1249</v>
      </c>
      <c r="AZ194" s="23">
        <f>VALUE(0)</f>
        <v>0</v>
      </c>
      <c r="BA194" s="23">
        <f>VALUE(0)</f>
        <v>0</v>
      </c>
      <c r="BB194" s="23">
        <f>VALUE(0)</f>
        <v>0</v>
      </c>
      <c r="BC194" s="23">
        <f>VALUE(0)</f>
        <v>0</v>
      </c>
      <c r="BD194" s="23">
        <f>VALUE(0)</f>
        <v>0</v>
      </c>
      <c r="BE194" s="23">
        <f>VALUE(0)</f>
        <v>0</v>
      </c>
      <c r="BF194" s="23">
        <f>VALUE(0)</f>
        <v>0</v>
      </c>
      <c r="BG194" s="23">
        <f>VALUE(0)</f>
        <v>0</v>
      </c>
      <c r="BH194" s="23">
        <f>VALUE(0)</f>
        <v>0</v>
      </c>
      <c r="BI194" s="23">
        <f>VALUE(0)</f>
        <v>0</v>
      </c>
      <c r="BJ194" s="23">
        <f>VALUE(0)</f>
        <v>0</v>
      </c>
      <c r="BK194" s="12">
        <f>$AX$194*24</f>
        <v>11.316666666666666</v>
      </c>
      <c r="BL194" s="12">
        <f>$AY$194*24</f>
        <v>56.350000000000009</v>
      </c>
      <c r="BM194" s="12">
        <f>$BJ$194*24</f>
        <v>0</v>
      </c>
      <c r="BN194" s="12">
        <f>VALUE($I$194)/100</f>
        <v>1</v>
      </c>
      <c r="BO194" s="12">
        <v>0</v>
      </c>
      <c r="BP194" s="12">
        <v>0</v>
      </c>
      <c r="BQ194" s="12">
        <v>0</v>
      </c>
      <c r="BR194" s="12">
        <v>0</v>
      </c>
      <c r="BS194" s="12">
        <v>0</v>
      </c>
      <c r="BT194" s="12">
        <v>0</v>
      </c>
      <c r="BU194" s="12">
        <v>0</v>
      </c>
      <c r="BV194" s="12">
        <v>0</v>
      </c>
      <c r="BW194" s="12">
        <v>0</v>
      </c>
      <c r="BX194" s="12">
        <v>0</v>
      </c>
      <c r="BY194" s="12">
        <v>0</v>
      </c>
      <c r="BZ194" s="12">
        <v>0</v>
      </c>
      <c r="CA194" s="12">
        <v>0</v>
      </c>
    </row>
    <row r="195" spans="1:79" x14ac:dyDescent="0.2">
      <c r="A195" s="12" t="s">
        <v>120</v>
      </c>
      <c r="B195" s="12" t="s">
        <v>126</v>
      </c>
      <c r="C195" s="12" t="s">
        <v>126</v>
      </c>
      <c r="D195" s="22" t="s">
        <v>449</v>
      </c>
      <c r="E195" s="22" t="s">
        <v>161</v>
      </c>
      <c r="F195" s="22" t="s">
        <v>900</v>
      </c>
      <c r="G195" s="22" t="s">
        <v>901</v>
      </c>
      <c r="H195" s="22" t="s">
        <v>166</v>
      </c>
      <c r="I195" s="22" t="s">
        <v>151</v>
      </c>
      <c r="J195" s="22" t="s">
        <v>162</v>
      </c>
      <c r="K195" s="22" t="s">
        <v>85</v>
      </c>
      <c r="L195" s="54" t="s">
        <v>156</v>
      </c>
      <c r="M195" s="24" t="s">
        <v>156</v>
      </c>
      <c r="N195" s="24" t="s">
        <v>153</v>
      </c>
      <c r="O195" s="23" t="s">
        <v>153</v>
      </c>
      <c r="P195" s="23" t="s">
        <v>153</v>
      </c>
      <c r="Q195" s="23" t="s">
        <v>153</v>
      </c>
      <c r="R195" s="23" t="s">
        <v>153</v>
      </c>
      <c r="S195" s="23" t="s">
        <v>153</v>
      </c>
      <c r="T195" s="23" t="s">
        <v>153</v>
      </c>
      <c r="U195" s="24" t="s">
        <v>153</v>
      </c>
      <c r="V195" s="54" t="s">
        <v>153</v>
      </c>
      <c r="W195" s="28" t="s">
        <v>163</v>
      </c>
      <c r="X195" s="28" t="s">
        <v>163</v>
      </c>
      <c r="Y195" s="28" t="s">
        <v>163</v>
      </c>
      <c r="Z195" s="28" t="s">
        <v>163</v>
      </c>
      <c r="AA195" s="28" t="s">
        <v>163</v>
      </c>
      <c r="AB195" s="24" t="s">
        <v>153</v>
      </c>
      <c r="AC195" s="23" t="s">
        <v>153</v>
      </c>
      <c r="AD195" s="23" t="s">
        <v>153</v>
      </c>
      <c r="AE195" s="23" t="s">
        <v>153</v>
      </c>
      <c r="AF195" s="23" t="s">
        <v>153</v>
      </c>
      <c r="AG195" s="23" t="s">
        <v>153</v>
      </c>
      <c r="AH195" s="23" t="s">
        <v>153</v>
      </c>
      <c r="AI195" s="24" t="s">
        <v>153</v>
      </c>
      <c r="AJ195" s="28" t="s">
        <v>163</v>
      </c>
      <c r="AK195" s="28" t="s">
        <v>163</v>
      </c>
      <c r="AL195" s="28" t="s">
        <v>163</v>
      </c>
      <c r="AM195" s="28" t="s">
        <v>163</v>
      </c>
      <c r="AN195" s="28" t="s">
        <v>163</v>
      </c>
      <c r="AO195" s="28" t="s">
        <v>163</v>
      </c>
      <c r="AP195" s="23">
        <f>VALUE(2)</f>
        <v>2</v>
      </c>
      <c r="AQ195" s="23">
        <f>VALUE(0)</f>
        <v>0</v>
      </c>
      <c r="AR195" s="23">
        <f>VALUE(0)</f>
        <v>0</v>
      </c>
      <c r="AS195" s="23">
        <f>VALUE(0)</f>
        <v>0</v>
      </c>
      <c r="AT195" s="23">
        <f>VALUE(0)</f>
        <v>0</v>
      </c>
      <c r="AU195" s="23">
        <f>VALUE(11)</f>
        <v>11</v>
      </c>
      <c r="AV195" s="23">
        <f>VALUE(7)</f>
        <v>7</v>
      </c>
      <c r="AW195" s="23">
        <f>VALUE(0)</f>
        <v>0</v>
      </c>
      <c r="AX195" s="23" t="s">
        <v>1250</v>
      </c>
      <c r="AY195" s="23">
        <f>VALUE(0)</f>
        <v>0</v>
      </c>
      <c r="AZ195" s="23">
        <f>VALUE(0)</f>
        <v>0</v>
      </c>
      <c r="BA195" s="23">
        <f>VALUE(0)</f>
        <v>0</v>
      </c>
      <c r="BB195" s="23">
        <f>VALUE(0)</f>
        <v>0</v>
      </c>
      <c r="BC195" s="23">
        <f>VALUE(0)</f>
        <v>0</v>
      </c>
      <c r="BD195" s="23">
        <f>VALUE(0)</f>
        <v>0</v>
      </c>
      <c r="BE195" s="23">
        <f>VALUE(0)</f>
        <v>0</v>
      </c>
      <c r="BF195" s="23">
        <f>VALUE(0)</f>
        <v>0</v>
      </c>
      <c r="BG195" s="23">
        <f>VALUE(0)</f>
        <v>0</v>
      </c>
      <c r="BH195" s="23">
        <f>VALUE(0)</f>
        <v>0</v>
      </c>
      <c r="BI195" s="23">
        <f>VALUE(0)</f>
        <v>0</v>
      </c>
      <c r="BJ195" s="23">
        <f>VALUE(0)</f>
        <v>0</v>
      </c>
      <c r="BK195" s="12">
        <f>$AX$195*24</f>
        <v>18.55</v>
      </c>
      <c r="BL195" s="12">
        <f>$AY$195*24</f>
        <v>0</v>
      </c>
      <c r="BM195" s="12">
        <f>$BJ$195*24</f>
        <v>0</v>
      </c>
      <c r="BN195" s="12">
        <f>VALUE($I$195)/100</f>
        <v>1</v>
      </c>
      <c r="BO195" s="12">
        <v>0</v>
      </c>
      <c r="BP195" s="12">
        <v>0</v>
      </c>
      <c r="BQ195" s="12">
        <v>0</v>
      </c>
      <c r="BR195" s="12">
        <v>0</v>
      </c>
      <c r="BS195" s="12">
        <v>0</v>
      </c>
      <c r="BT195" s="12">
        <v>0</v>
      </c>
      <c r="BU195" s="12">
        <v>0</v>
      </c>
      <c r="BV195" s="12">
        <v>0</v>
      </c>
      <c r="BW195" s="12">
        <v>0</v>
      </c>
      <c r="BX195" s="12">
        <v>0</v>
      </c>
      <c r="BY195" s="12">
        <v>0</v>
      </c>
      <c r="BZ195" s="12">
        <v>0</v>
      </c>
      <c r="CA195" s="12">
        <v>0</v>
      </c>
    </row>
    <row r="196" spans="1:79" x14ac:dyDescent="0.2">
      <c r="A196" s="12" t="s">
        <v>120</v>
      </c>
      <c r="B196" s="12" t="s">
        <v>126</v>
      </c>
      <c r="C196" s="12" t="s">
        <v>126</v>
      </c>
      <c r="D196" s="22" t="s">
        <v>448</v>
      </c>
      <c r="E196" s="22" t="s">
        <v>161</v>
      </c>
      <c r="F196" s="22" t="s">
        <v>902</v>
      </c>
      <c r="G196" s="22" t="s">
        <v>903</v>
      </c>
      <c r="H196" s="22" t="s">
        <v>150</v>
      </c>
      <c r="I196" s="22" t="s">
        <v>151</v>
      </c>
      <c r="J196" s="22" t="s">
        <v>162</v>
      </c>
      <c r="K196" s="22" t="s">
        <v>85</v>
      </c>
      <c r="L196" s="54" t="s">
        <v>153</v>
      </c>
      <c r="M196" s="23" t="s">
        <v>153</v>
      </c>
      <c r="N196" s="24" t="s">
        <v>153</v>
      </c>
      <c r="O196" s="23" t="s">
        <v>462</v>
      </c>
      <c r="P196" s="23" t="s">
        <v>462</v>
      </c>
      <c r="Q196" s="23" t="s">
        <v>462</v>
      </c>
      <c r="R196" s="23" t="s">
        <v>462</v>
      </c>
      <c r="S196" s="25" t="s">
        <v>454</v>
      </c>
      <c r="T196" s="25" t="s">
        <v>454</v>
      </c>
      <c r="U196" s="24" t="s">
        <v>153</v>
      </c>
      <c r="V196" s="54" t="s">
        <v>153</v>
      </c>
      <c r="W196" s="23" t="s">
        <v>454</v>
      </c>
      <c r="X196" s="23" t="s">
        <v>454</v>
      </c>
      <c r="Y196" s="23" t="s">
        <v>454</v>
      </c>
      <c r="Z196" s="23" t="s">
        <v>454</v>
      </c>
      <c r="AA196" s="23" t="s">
        <v>454</v>
      </c>
      <c r="AB196" s="24" t="s">
        <v>153</v>
      </c>
      <c r="AC196" s="23" t="s">
        <v>153</v>
      </c>
      <c r="AD196" s="23" t="s">
        <v>153</v>
      </c>
      <c r="AE196" s="23" t="s">
        <v>153</v>
      </c>
      <c r="AF196" s="23" t="s">
        <v>451</v>
      </c>
      <c r="AG196" s="23" t="s">
        <v>451</v>
      </c>
      <c r="AH196" s="23" t="s">
        <v>451</v>
      </c>
      <c r="AI196" s="24" t="s">
        <v>153</v>
      </c>
      <c r="AJ196" s="23" t="s">
        <v>153</v>
      </c>
      <c r="AK196" s="23" t="s">
        <v>153</v>
      </c>
      <c r="AL196" s="23" t="s">
        <v>153</v>
      </c>
      <c r="AM196" s="23" t="s">
        <v>153</v>
      </c>
      <c r="AN196" s="23" t="s">
        <v>153</v>
      </c>
      <c r="AO196" s="23" t="s">
        <v>153</v>
      </c>
      <c r="AP196" s="23">
        <f>VALUE(7)</f>
        <v>7</v>
      </c>
      <c r="AQ196" s="23">
        <f>VALUE(0)</f>
        <v>0</v>
      </c>
      <c r="AR196" s="23">
        <f>VALUE(0)</f>
        <v>0</v>
      </c>
      <c r="AS196" s="23">
        <f>VALUE(0)</f>
        <v>0</v>
      </c>
      <c r="AT196" s="23">
        <f>VALUE(0)</f>
        <v>0</v>
      </c>
      <c r="AU196" s="23">
        <f>VALUE(0)</f>
        <v>0</v>
      </c>
      <c r="AV196" s="23">
        <f>VALUE(18)</f>
        <v>18</v>
      </c>
      <c r="AW196" s="23">
        <f>VALUE(0)</f>
        <v>0</v>
      </c>
      <c r="AX196" s="23">
        <f>VALUE(0)</f>
        <v>0</v>
      </c>
      <c r="AY196" s="23">
        <f>VALUE(0)</f>
        <v>0</v>
      </c>
      <c r="AZ196" s="23">
        <f>VALUE(0)</f>
        <v>0</v>
      </c>
      <c r="BA196" s="23">
        <f>VALUE(0)</f>
        <v>0</v>
      </c>
      <c r="BB196" s="23">
        <f>VALUE(0)</f>
        <v>0</v>
      </c>
      <c r="BC196" s="23">
        <f>VALUE(0)</f>
        <v>0</v>
      </c>
      <c r="BD196" s="23">
        <f>VALUE(0)</f>
        <v>0</v>
      </c>
      <c r="BE196" s="23">
        <f>VALUE(0)</f>
        <v>0</v>
      </c>
      <c r="BF196" s="23">
        <f>VALUE(0)</f>
        <v>0</v>
      </c>
      <c r="BG196" s="23">
        <f>VALUE(0)</f>
        <v>0</v>
      </c>
      <c r="BH196" s="23">
        <f>VALUE(0)</f>
        <v>0</v>
      </c>
      <c r="BI196" s="23">
        <f>VALUE(0)</f>
        <v>0</v>
      </c>
      <c r="BJ196" s="23">
        <f>VALUE(0)</f>
        <v>0</v>
      </c>
      <c r="BK196" s="12">
        <f>$AX$196*24</f>
        <v>0</v>
      </c>
      <c r="BL196" s="12">
        <f>$AY$196*24</f>
        <v>0</v>
      </c>
      <c r="BM196" s="12">
        <f>$BJ$196*24</f>
        <v>0</v>
      </c>
      <c r="BN196" s="12">
        <f>VALUE($I$196)/100</f>
        <v>1</v>
      </c>
      <c r="BO196" s="12">
        <v>0</v>
      </c>
      <c r="BP196" s="12">
        <v>0</v>
      </c>
      <c r="BQ196" s="12">
        <v>0</v>
      </c>
      <c r="BR196" s="12">
        <v>0</v>
      </c>
      <c r="BS196" s="12">
        <v>0</v>
      </c>
      <c r="BT196" s="12">
        <v>0</v>
      </c>
      <c r="BU196" s="12">
        <v>0</v>
      </c>
      <c r="BV196" s="12">
        <v>0</v>
      </c>
      <c r="BW196" s="12">
        <v>0</v>
      </c>
      <c r="BX196" s="12">
        <v>0</v>
      </c>
      <c r="BY196" s="12">
        <v>0</v>
      </c>
      <c r="BZ196" s="12">
        <v>0</v>
      </c>
      <c r="CA196" s="12">
        <v>0</v>
      </c>
    </row>
    <row r="197" spans="1:79" x14ac:dyDescent="0.2">
      <c r="A197" s="12" t="s">
        <v>120</v>
      </c>
      <c r="B197" s="12" t="s">
        <v>126</v>
      </c>
      <c r="C197" s="12" t="s">
        <v>126</v>
      </c>
      <c r="D197" s="22" t="s">
        <v>450</v>
      </c>
      <c r="E197" s="22" t="s">
        <v>161</v>
      </c>
      <c r="F197" s="22" t="s">
        <v>904</v>
      </c>
      <c r="G197" s="22" t="s">
        <v>905</v>
      </c>
      <c r="H197" s="22" t="s">
        <v>242</v>
      </c>
      <c r="I197" s="22" t="s">
        <v>151</v>
      </c>
      <c r="J197" s="22" t="s">
        <v>162</v>
      </c>
      <c r="K197" s="22" t="s">
        <v>85</v>
      </c>
      <c r="L197" s="54" t="s">
        <v>153</v>
      </c>
      <c r="M197" s="23" t="s">
        <v>153</v>
      </c>
      <c r="N197" s="24" t="s">
        <v>153</v>
      </c>
      <c r="O197" s="23" t="s">
        <v>153</v>
      </c>
      <c r="P197" s="23" t="s">
        <v>153</v>
      </c>
      <c r="Q197" s="23" t="s">
        <v>153</v>
      </c>
      <c r="R197" s="23" t="s">
        <v>153</v>
      </c>
      <c r="S197" s="23" t="s">
        <v>153</v>
      </c>
      <c r="T197" s="23" t="s">
        <v>153</v>
      </c>
      <c r="U197" s="24" t="s">
        <v>153</v>
      </c>
      <c r="V197" s="54" t="s">
        <v>153</v>
      </c>
      <c r="W197" s="23" t="s">
        <v>153</v>
      </c>
      <c r="X197" s="23" t="s">
        <v>153</v>
      </c>
      <c r="Y197" s="23" t="s">
        <v>153</v>
      </c>
      <c r="Z197" s="23" t="s">
        <v>153</v>
      </c>
      <c r="AA197" s="23" t="s">
        <v>153</v>
      </c>
      <c r="AB197" s="24" t="s">
        <v>153</v>
      </c>
      <c r="AC197" s="27" t="s">
        <v>153</v>
      </c>
      <c r="AD197" s="27" t="s">
        <v>153</v>
      </c>
      <c r="AE197" s="27" t="s">
        <v>153</v>
      </c>
      <c r="AF197" s="27" t="s">
        <v>153</v>
      </c>
      <c r="AG197" s="27" t="s">
        <v>153</v>
      </c>
      <c r="AH197" s="27" t="s">
        <v>153</v>
      </c>
      <c r="AI197" s="24" t="s">
        <v>153</v>
      </c>
      <c r="AJ197" s="27" t="s">
        <v>153</v>
      </c>
      <c r="AK197" s="27" t="s">
        <v>153</v>
      </c>
      <c r="AL197" s="27" t="s">
        <v>153</v>
      </c>
      <c r="AM197" s="27" t="s">
        <v>153</v>
      </c>
      <c r="AN197" s="27" t="s">
        <v>153</v>
      </c>
      <c r="AO197" s="27" t="s">
        <v>153</v>
      </c>
      <c r="AP197" s="23">
        <f>VALUE(0)</f>
        <v>0</v>
      </c>
      <c r="AQ197" s="23">
        <f>VALUE(0)</f>
        <v>0</v>
      </c>
      <c r="AR197" s="23">
        <f>VALUE(0)</f>
        <v>0</v>
      </c>
      <c r="AS197" s="23">
        <f>VALUE(0)</f>
        <v>0</v>
      </c>
      <c r="AT197" s="23">
        <f>VALUE(0)</f>
        <v>0</v>
      </c>
      <c r="AU197" s="23">
        <f>VALUE(0)</f>
        <v>0</v>
      </c>
      <c r="AV197" s="23">
        <f>VALUE(0)</f>
        <v>0</v>
      </c>
      <c r="AW197" s="23">
        <f>VALUE(0)</f>
        <v>0</v>
      </c>
      <c r="AX197" s="23">
        <f>VALUE(0)</f>
        <v>0</v>
      </c>
      <c r="AY197" s="23">
        <f>VALUE(0)</f>
        <v>0</v>
      </c>
      <c r="AZ197" s="23">
        <f>VALUE(0)</f>
        <v>0</v>
      </c>
      <c r="BA197" s="23">
        <f>VALUE(0)</f>
        <v>0</v>
      </c>
      <c r="BB197" s="23">
        <f>VALUE(0)</f>
        <v>0</v>
      </c>
      <c r="BC197" s="23">
        <f>VALUE(0)</f>
        <v>0</v>
      </c>
      <c r="BD197" s="23">
        <f>VALUE(0)</f>
        <v>0</v>
      </c>
      <c r="BE197" s="23">
        <f>VALUE(0)</f>
        <v>0</v>
      </c>
      <c r="BF197" s="23">
        <f>VALUE(0)</f>
        <v>0</v>
      </c>
      <c r="BG197" s="23">
        <f>VALUE(0)</f>
        <v>0</v>
      </c>
      <c r="BH197" s="23">
        <f>VALUE(0)</f>
        <v>0</v>
      </c>
      <c r="BI197" s="23">
        <f>VALUE(0)</f>
        <v>0</v>
      </c>
      <c r="BJ197" s="23">
        <f>VALUE(0)</f>
        <v>0</v>
      </c>
      <c r="BK197" s="12">
        <f>$AX$197*24</f>
        <v>0</v>
      </c>
      <c r="BL197" s="12">
        <f>$AY$197*24</f>
        <v>0</v>
      </c>
      <c r="BM197" s="12">
        <f>$BJ$197*24</f>
        <v>0</v>
      </c>
      <c r="BN197" s="12">
        <f>VALUE($I$197)/100</f>
        <v>1</v>
      </c>
      <c r="BO197" s="12">
        <v>0</v>
      </c>
      <c r="BP197" s="12">
        <v>0</v>
      </c>
      <c r="BQ197" s="12">
        <v>0</v>
      </c>
      <c r="BR197" s="12">
        <v>0</v>
      </c>
      <c r="BS197" s="12">
        <v>0</v>
      </c>
      <c r="BT197" s="12">
        <v>0</v>
      </c>
      <c r="BU197" s="12">
        <v>0</v>
      </c>
      <c r="BV197" s="12">
        <v>0</v>
      </c>
      <c r="BW197" s="12">
        <v>0</v>
      </c>
      <c r="BX197" s="12">
        <v>0</v>
      </c>
      <c r="BY197" s="12">
        <v>0</v>
      </c>
      <c r="BZ197" s="12">
        <v>0</v>
      </c>
      <c r="CA197" s="12">
        <v>0</v>
      </c>
    </row>
    <row r="198" spans="1:79" x14ac:dyDescent="0.2">
      <c r="A198" s="12" t="s">
        <v>120</v>
      </c>
      <c r="B198" s="12" t="s">
        <v>126</v>
      </c>
      <c r="C198" s="12" t="s">
        <v>126</v>
      </c>
      <c r="D198" s="22" t="s">
        <v>450</v>
      </c>
      <c r="E198" s="22" t="s">
        <v>161</v>
      </c>
      <c r="F198" s="22" t="s">
        <v>906</v>
      </c>
      <c r="G198" s="22" t="s">
        <v>907</v>
      </c>
      <c r="H198" s="22" t="s">
        <v>150</v>
      </c>
      <c r="I198" s="22" t="s">
        <v>151</v>
      </c>
      <c r="J198" s="22" t="s">
        <v>162</v>
      </c>
      <c r="K198" s="22" t="s">
        <v>85</v>
      </c>
      <c r="L198" s="54" t="s">
        <v>153</v>
      </c>
      <c r="M198" s="23" t="s">
        <v>153</v>
      </c>
      <c r="N198" s="24" t="s">
        <v>153</v>
      </c>
      <c r="O198" s="29" t="s">
        <v>163</v>
      </c>
      <c r="P198" s="29" t="s">
        <v>163</v>
      </c>
      <c r="Q198" s="29" t="s">
        <v>163</v>
      </c>
      <c r="R198" s="29" t="s">
        <v>163</v>
      </c>
      <c r="S198" s="29" t="s">
        <v>163</v>
      </c>
      <c r="T198" s="29" t="s">
        <v>163</v>
      </c>
      <c r="U198" s="24" t="s">
        <v>153</v>
      </c>
      <c r="V198" s="54" t="s">
        <v>153</v>
      </c>
      <c r="W198" s="29" t="s">
        <v>163</v>
      </c>
      <c r="X198" s="29" t="s">
        <v>163</v>
      </c>
      <c r="Y198" s="29" t="s">
        <v>163</v>
      </c>
      <c r="Z198" s="29" t="s">
        <v>163</v>
      </c>
      <c r="AA198" s="29" t="s">
        <v>163</v>
      </c>
      <c r="AB198" s="24" t="s">
        <v>153</v>
      </c>
      <c r="AC198" s="23" t="s">
        <v>153</v>
      </c>
      <c r="AD198" s="23" t="s">
        <v>153</v>
      </c>
      <c r="AE198" s="23" t="s">
        <v>153</v>
      </c>
      <c r="AF198" s="23" t="s">
        <v>153</v>
      </c>
      <c r="AG198" s="23" t="s">
        <v>153</v>
      </c>
      <c r="AH198" s="23" t="s">
        <v>153</v>
      </c>
      <c r="AI198" s="24" t="s">
        <v>153</v>
      </c>
      <c r="AJ198" s="23" t="s">
        <v>153</v>
      </c>
      <c r="AK198" s="23" t="s">
        <v>153</v>
      </c>
      <c r="AL198" s="23" t="s">
        <v>153</v>
      </c>
      <c r="AM198" s="23" t="s">
        <v>153</v>
      </c>
      <c r="AN198" s="23" t="s">
        <v>153</v>
      </c>
      <c r="AO198" s="23" t="s">
        <v>153</v>
      </c>
      <c r="AP198" s="23">
        <f>VALUE(4)</f>
        <v>4</v>
      </c>
      <c r="AQ198" s="23">
        <f>VALUE(0)</f>
        <v>0</v>
      </c>
      <c r="AR198" s="23">
        <f>VALUE(11)</f>
        <v>11</v>
      </c>
      <c r="AS198" s="23">
        <f>VALUE(0)</f>
        <v>0</v>
      </c>
      <c r="AT198" s="23">
        <f>VALUE(0)</f>
        <v>0</v>
      </c>
      <c r="AU198" s="23">
        <f>VALUE(0)</f>
        <v>0</v>
      </c>
      <c r="AV198" s="23">
        <f>VALUE(8)</f>
        <v>8</v>
      </c>
      <c r="AW198" s="23">
        <f>VALUE(0)</f>
        <v>0</v>
      </c>
      <c r="AX198" s="23" t="s">
        <v>171</v>
      </c>
      <c r="AY198" s="23" t="s">
        <v>465</v>
      </c>
      <c r="AZ198" s="23">
        <f>VALUE(0)</f>
        <v>0</v>
      </c>
      <c r="BA198" s="23">
        <f>VALUE(0)</f>
        <v>0</v>
      </c>
      <c r="BB198" s="23">
        <f>VALUE(0)</f>
        <v>0</v>
      </c>
      <c r="BC198" s="23">
        <f>VALUE(0)</f>
        <v>0</v>
      </c>
      <c r="BD198" s="23">
        <f>VALUE(0)</f>
        <v>0</v>
      </c>
      <c r="BE198" s="23">
        <f>VALUE(0)</f>
        <v>0</v>
      </c>
      <c r="BF198" s="23">
        <f>VALUE(0)</f>
        <v>0</v>
      </c>
      <c r="BG198" s="23">
        <f>VALUE(0)</f>
        <v>0</v>
      </c>
      <c r="BH198" s="23">
        <f>VALUE(0)</f>
        <v>0</v>
      </c>
      <c r="BI198" s="23">
        <f>VALUE(0)</f>
        <v>0</v>
      </c>
      <c r="BJ198" s="23">
        <f>VALUE(0)</f>
        <v>0</v>
      </c>
      <c r="BK198" s="12">
        <f>$AX$198*24</f>
        <v>5.833333333333333</v>
      </c>
      <c r="BL198" s="12">
        <f>$AY$198*24</f>
        <v>6.25</v>
      </c>
      <c r="BM198" s="12">
        <f>$BJ$198*24</f>
        <v>0</v>
      </c>
      <c r="BN198" s="12">
        <f>VALUE($I$198)/100</f>
        <v>1</v>
      </c>
      <c r="BO198" s="12">
        <v>0</v>
      </c>
      <c r="BP198" s="12">
        <v>0</v>
      </c>
      <c r="BQ198" s="12">
        <v>0</v>
      </c>
      <c r="BR198" s="12">
        <v>0</v>
      </c>
      <c r="BS198" s="12">
        <v>0</v>
      </c>
      <c r="BT198" s="12">
        <v>11</v>
      </c>
      <c r="BU198" s="12">
        <v>0</v>
      </c>
      <c r="BV198" s="12">
        <v>0</v>
      </c>
      <c r="BW198" s="12">
        <v>0</v>
      </c>
      <c r="BX198" s="12">
        <v>0</v>
      </c>
      <c r="BY198" s="12">
        <v>0</v>
      </c>
      <c r="BZ198" s="12">
        <v>0</v>
      </c>
      <c r="CA198" s="12">
        <v>0</v>
      </c>
    </row>
    <row r="199" spans="1:79" x14ac:dyDescent="0.2">
      <c r="A199" s="12" t="s">
        <v>120</v>
      </c>
      <c r="B199" s="12" t="s">
        <v>126</v>
      </c>
      <c r="C199" s="12" t="s">
        <v>126</v>
      </c>
      <c r="D199" s="22" t="s">
        <v>466</v>
      </c>
      <c r="E199" s="22" t="s">
        <v>161</v>
      </c>
      <c r="F199" s="22" t="s">
        <v>908</v>
      </c>
      <c r="G199" s="22" t="s">
        <v>909</v>
      </c>
      <c r="H199" s="22" t="s">
        <v>166</v>
      </c>
      <c r="I199" s="22" t="s">
        <v>151</v>
      </c>
      <c r="J199" s="22" t="s">
        <v>162</v>
      </c>
      <c r="K199" s="22" t="s">
        <v>85</v>
      </c>
      <c r="L199" s="54" t="s">
        <v>153</v>
      </c>
      <c r="M199" s="23" t="s">
        <v>153</v>
      </c>
      <c r="N199" s="24" t="s">
        <v>153</v>
      </c>
      <c r="O199" s="23" t="s">
        <v>153</v>
      </c>
      <c r="P199" s="23" t="s">
        <v>153</v>
      </c>
      <c r="Q199" s="23" t="s">
        <v>153</v>
      </c>
      <c r="R199" s="23" t="s">
        <v>153</v>
      </c>
      <c r="S199" s="23" t="s">
        <v>153</v>
      </c>
      <c r="T199" s="23" t="s">
        <v>153</v>
      </c>
      <c r="U199" s="24" t="s">
        <v>153</v>
      </c>
      <c r="V199" s="54" t="s">
        <v>153</v>
      </c>
      <c r="W199" s="23" t="s">
        <v>153</v>
      </c>
      <c r="X199" s="23" t="s">
        <v>153</v>
      </c>
      <c r="Y199" s="23" t="s">
        <v>153</v>
      </c>
      <c r="Z199" s="23" t="s">
        <v>153</v>
      </c>
      <c r="AA199" s="23" t="s">
        <v>153</v>
      </c>
      <c r="AB199" s="24" t="s">
        <v>153</v>
      </c>
      <c r="AC199" s="23" t="s">
        <v>153</v>
      </c>
      <c r="AD199" s="23" t="s">
        <v>153</v>
      </c>
      <c r="AE199" s="23" t="s">
        <v>153</v>
      </c>
      <c r="AF199" s="23" t="s">
        <v>153</v>
      </c>
      <c r="AG199" s="23" t="s">
        <v>153</v>
      </c>
      <c r="AH199" s="23" t="s">
        <v>153</v>
      </c>
      <c r="AI199" s="24" t="s">
        <v>153</v>
      </c>
      <c r="AJ199" s="23" t="s">
        <v>153</v>
      </c>
      <c r="AK199" s="23" t="s">
        <v>153</v>
      </c>
      <c r="AL199" s="23" t="s">
        <v>153</v>
      </c>
      <c r="AM199" s="24" t="s">
        <v>156</v>
      </c>
      <c r="AN199" s="24" t="s">
        <v>156</v>
      </c>
      <c r="AO199" s="24" t="s">
        <v>156</v>
      </c>
      <c r="AP199" s="23">
        <f>VALUE(2)</f>
        <v>2</v>
      </c>
      <c r="AQ199" s="23">
        <f>VALUE(0)</f>
        <v>0</v>
      </c>
      <c r="AR199" s="23">
        <f>VALUE(0)</f>
        <v>0</v>
      </c>
      <c r="AS199" s="23">
        <f>VALUE(0)</f>
        <v>0</v>
      </c>
      <c r="AT199" s="23">
        <f>VALUE(0)</f>
        <v>0</v>
      </c>
      <c r="AU199" s="23">
        <f>VALUE(0)</f>
        <v>0</v>
      </c>
      <c r="AV199" s="23">
        <f>VALUE(9)</f>
        <v>9</v>
      </c>
      <c r="AW199" s="23">
        <f>VALUE(0)</f>
        <v>0</v>
      </c>
      <c r="AX199" s="23" t="s">
        <v>1251</v>
      </c>
      <c r="AY199" s="23">
        <f>VALUE(0)</f>
        <v>0</v>
      </c>
      <c r="AZ199" s="23">
        <f>VALUE(0)</f>
        <v>0</v>
      </c>
      <c r="BA199" s="23">
        <f>VALUE(0)</f>
        <v>0</v>
      </c>
      <c r="BB199" s="23">
        <f>VALUE(0)</f>
        <v>0</v>
      </c>
      <c r="BC199" s="23">
        <f>VALUE(0)</f>
        <v>0</v>
      </c>
      <c r="BD199" s="23">
        <f>VALUE(0)</f>
        <v>0</v>
      </c>
      <c r="BE199" s="23">
        <f>VALUE(0)</f>
        <v>0</v>
      </c>
      <c r="BF199" s="23">
        <f>VALUE(0)</f>
        <v>0</v>
      </c>
      <c r="BG199" s="23">
        <f>VALUE(0)</f>
        <v>0</v>
      </c>
      <c r="BH199" s="23">
        <f>VALUE(0)</f>
        <v>0</v>
      </c>
      <c r="BI199" s="23">
        <f>VALUE(0)</f>
        <v>0</v>
      </c>
      <c r="BJ199" s="23">
        <f>VALUE(0)</f>
        <v>0</v>
      </c>
      <c r="BK199" s="12">
        <f>$AX$199*24</f>
        <v>32.6</v>
      </c>
      <c r="BL199" s="12">
        <f>$AY$199*24</f>
        <v>0</v>
      </c>
      <c r="BM199" s="12">
        <f>$BJ$199*24</f>
        <v>0</v>
      </c>
      <c r="BN199" s="12">
        <f>VALUE($I$199)/100</f>
        <v>1</v>
      </c>
      <c r="BO199" s="12">
        <v>0</v>
      </c>
      <c r="BP199" s="12">
        <v>0</v>
      </c>
      <c r="BQ199" s="12">
        <v>0</v>
      </c>
      <c r="BR199" s="12">
        <v>0</v>
      </c>
      <c r="BS199" s="12">
        <v>0</v>
      </c>
      <c r="BT199" s="12">
        <v>0</v>
      </c>
      <c r="BU199" s="12">
        <v>0</v>
      </c>
      <c r="BV199" s="12">
        <v>0</v>
      </c>
      <c r="BW199" s="12">
        <v>0</v>
      </c>
      <c r="BX199" s="12">
        <v>0</v>
      </c>
      <c r="BY199" s="12">
        <v>0</v>
      </c>
      <c r="BZ199" s="12">
        <v>0</v>
      </c>
      <c r="CA199" s="12">
        <v>0</v>
      </c>
    </row>
    <row r="200" spans="1:79" x14ac:dyDescent="0.2">
      <c r="A200" s="12" t="s">
        <v>120</v>
      </c>
      <c r="B200" s="12" t="s">
        <v>126</v>
      </c>
      <c r="C200" s="12" t="s">
        <v>126</v>
      </c>
      <c r="D200" s="22" t="s">
        <v>467</v>
      </c>
      <c r="E200" s="22" t="s">
        <v>161</v>
      </c>
      <c r="F200" s="22" t="s">
        <v>910</v>
      </c>
      <c r="G200" s="22" t="s">
        <v>911</v>
      </c>
      <c r="H200" s="22" t="s">
        <v>150</v>
      </c>
      <c r="I200" s="22" t="s">
        <v>151</v>
      </c>
      <c r="J200" s="22" t="s">
        <v>162</v>
      </c>
      <c r="K200" s="22" t="s">
        <v>85</v>
      </c>
      <c r="L200" s="54" t="s">
        <v>153</v>
      </c>
      <c r="M200" s="28" t="s">
        <v>163</v>
      </c>
      <c r="N200" s="24" t="s">
        <v>153</v>
      </c>
      <c r="O200" s="23" t="s">
        <v>153</v>
      </c>
      <c r="P200" s="23" t="s">
        <v>153</v>
      </c>
      <c r="Q200" s="23" t="s">
        <v>153</v>
      </c>
      <c r="R200" s="23" t="s">
        <v>153</v>
      </c>
      <c r="S200" s="23" t="s">
        <v>153</v>
      </c>
      <c r="T200" s="23" t="s">
        <v>153</v>
      </c>
      <c r="U200" s="24" t="s">
        <v>153</v>
      </c>
      <c r="V200" s="54" t="s">
        <v>153</v>
      </c>
      <c r="W200" s="23" t="s">
        <v>153</v>
      </c>
      <c r="X200" s="23" t="s">
        <v>153</v>
      </c>
      <c r="Y200" s="23" t="s">
        <v>153</v>
      </c>
      <c r="Z200" s="23" t="s">
        <v>153</v>
      </c>
      <c r="AA200" s="23" t="s">
        <v>153</v>
      </c>
      <c r="AB200" s="24" t="s">
        <v>153</v>
      </c>
      <c r="AC200" s="24" t="s">
        <v>156</v>
      </c>
      <c r="AD200" s="24" t="s">
        <v>156</v>
      </c>
      <c r="AE200" s="24" t="s">
        <v>156</v>
      </c>
      <c r="AF200" s="28" t="s">
        <v>163</v>
      </c>
      <c r="AG200" s="28" t="s">
        <v>163</v>
      </c>
      <c r="AH200" s="28" t="s">
        <v>163</v>
      </c>
      <c r="AI200" s="24" t="s">
        <v>153</v>
      </c>
      <c r="AJ200" s="23" t="s">
        <v>153</v>
      </c>
      <c r="AK200" s="23" t="s">
        <v>153</v>
      </c>
      <c r="AL200" s="23" t="s">
        <v>153</v>
      </c>
      <c r="AM200" s="23" t="s">
        <v>153</v>
      </c>
      <c r="AN200" s="23" t="s">
        <v>153</v>
      </c>
      <c r="AO200" s="23" t="s">
        <v>153</v>
      </c>
      <c r="AP200" s="23">
        <f>VALUE(2)</f>
        <v>2</v>
      </c>
      <c r="AQ200" s="23">
        <f>VALUE(0)</f>
        <v>0</v>
      </c>
      <c r="AR200" s="23">
        <f>VALUE(0)</f>
        <v>0</v>
      </c>
      <c r="AS200" s="23">
        <f>VALUE(0)</f>
        <v>0</v>
      </c>
      <c r="AT200" s="23">
        <f>VALUE(0)</f>
        <v>0</v>
      </c>
      <c r="AU200" s="23">
        <f>VALUE(4)</f>
        <v>4</v>
      </c>
      <c r="AV200" s="23">
        <f>VALUE(13)</f>
        <v>13</v>
      </c>
      <c r="AW200" s="23">
        <f>VALUE(0)</f>
        <v>0</v>
      </c>
      <c r="AX200" s="23" t="s">
        <v>171</v>
      </c>
      <c r="AY200" s="23" t="s">
        <v>176</v>
      </c>
      <c r="AZ200" s="23">
        <f>VALUE(0)</f>
        <v>0</v>
      </c>
      <c r="BA200" s="23">
        <f>VALUE(0)</f>
        <v>0</v>
      </c>
      <c r="BB200" s="23">
        <f>VALUE(0)</f>
        <v>0</v>
      </c>
      <c r="BC200" s="23">
        <f>VALUE(0)</f>
        <v>0</v>
      </c>
      <c r="BD200" s="23">
        <f>VALUE(0)</f>
        <v>0</v>
      </c>
      <c r="BE200" s="23">
        <f>VALUE(0)</f>
        <v>0</v>
      </c>
      <c r="BF200" s="23">
        <f>VALUE(0)</f>
        <v>0</v>
      </c>
      <c r="BG200" s="23">
        <f>VALUE(0)</f>
        <v>0</v>
      </c>
      <c r="BH200" s="23">
        <f>VALUE(0)</f>
        <v>0</v>
      </c>
      <c r="BI200" s="23">
        <f>VALUE(0)</f>
        <v>0</v>
      </c>
      <c r="BJ200" s="23">
        <f>VALUE(0)</f>
        <v>0</v>
      </c>
      <c r="BK200" s="12">
        <f>$AX$200*24</f>
        <v>5.833333333333333</v>
      </c>
      <c r="BL200" s="12">
        <f>$AY$200*24</f>
        <v>0</v>
      </c>
      <c r="BM200" s="12">
        <f>$BJ$200*24</f>
        <v>0</v>
      </c>
      <c r="BN200" s="12">
        <f>VALUE($I$200)/100</f>
        <v>1</v>
      </c>
      <c r="BO200" s="12">
        <v>0</v>
      </c>
      <c r="BP200" s="12">
        <v>0</v>
      </c>
      <c r="BQ200" s="12">
        <v>0</v>
      </c>
      <c r="BR200" s="12">
        <v>0</v>
      </c>
      <c r="BS200" s="12">
        <v>0</v>
      </c>
      <c r="BT200" s="12">
        <v>0</v>
      </c>
      <c r="BU200" s="12">
        <v>0</v>
      </c>
      <c r="BV200" s="12">
        <v>0</v>
      </c>
      <c r="BW200" s="12">
        <v>0</v>
      </c>
      <c r="BX200" s="12">
        <v>0</v>
      </c>
      <c r="BY200" s="12">
        <v>0</v>
      </c>
      <c r="BZ200" s="12">
        <v>0</v>
      </c>
      <c r="CA200" s="12">
        <v>0</v>
      </c>
    </row>
    <row r="201" spans="1:79" x14ac:dyDescent="0.2">
      <c r="A201" s="12" t="s">
        <v>120</v>
      </c>
      <c r="B201" s="12" t="s">
        <v>126</v>
      </c>
      <c r="C201" s="12" t="s">
        <v>126</v>
      </c>
      <c r="D201" s="22" t="s">
        <v>468</v>
      </c>
      <c r="E201" s="22" t="s">
        <v>161</v>
      </c>
      <c r="F201" s="22" t="s">
        <v>912</v>
      </c>
      <c r="G201" s="22" t="s">
        <v>913</v>
      </c>
      <c r="H201" s="22" t="s">
        <v>166</v>
      </c>
      <c r="I201" s="22" t="s">
        <v>194</v>
      </c>
      <c r="J201" s="22" t="s">
        <v>162</v>
      </c>
      <c r="K201" s="22" t="s">
        <v>85</v>
      </c>
      <c r="L201" s="54" t="s">
        <v>153</v>
      </c>
      <c r="M201" s="23" t="s">
        <v>153</v>
      </c>
      <c r="N201" s="24" t="s">
        <v>153</v>
      </c>
      <c r="O201" s="24" t="s">
        <v>195</v>
      </c>
      <c r="P201" s="24" t="s">
        <v>195</v>
      </c>
      <c r="Q201" s="24" t="s">
        <v>195</v>
      </c>
      <c r="R201" s="24" t="s">
        <v>195</v>
      </c>
      <c r="S201" s="24" t="s">
        <v>195</v>
      </c>
      <c r="T201" s="24" t="s">
        <v>195</v>
      </c>
      <c r="U201" s="24" t="s">
        <v>153</v>
      </c>
      <c r="V201" s="54" t="s">
        <v>153</v>
      </c>
      <c r="W201" s="23" t="s">
        <v>153</v>
      </c>
      <c r="X201" s="23" t="s">
        <v>153</v>
      </c>
      <c r="Y201" s="23" t="s">
        <v>153</v>
      </c>
      <c r="Z201" s="23" t="s">
        <v>153</v>
      </c>
      <c r="AA201" s="23" t="s">
        <v>153</v>
      </c>
      <c r="AB201" s="24" t="s">
        <v>153</v>
      </c>
      <c r="AC201" s="23" t="s">
        <v>153</v>
      </c>
      <c r="AD201" s="23" t="s">
        <v>153</v>
      </c>
      <c r="AE201" s="23" t="s">
        <v>153</v>
      </c>
      <c r="AF201" s="23" t="s">
        <v>153</v>
      </c>
      <c r="AG201" s="23" t="s">
        <v>153</v>
      </c>
      <c r="AH201" s="23" t="s">
        <v>153</v>
      </c>
      <c r="AI201" s="24" t="s">
        <v>153</v>
      </c>
      <c r="AJ201" s="23" t="s">
        <v>153</v>
      </c>
      <c r="AK201" s="23" t="s">
        <v>153</v>
      </c>
      <c r="AL201" s="23" t="s">
        <v>153</v>
      </c>
      <c r="AM201" s="24" t="s">
        <v>195</v>
      </c>
      <c r="AN201" s="24" t="s">
        <v>195</v>
      </c>
      <c r="AO201" s="24" t="s">
        <v>195</v>
      </c>
      <c r="AP201" s="23">
        <f>VALUE(2)</f>
        <v>2</v>
      </c>
      <c r="AQ201" s="23">
        <f>VALUE(0)</f>
        <v>0</v>
      </c>
      <c r="AR201" s="23">
        <f>VALUE(0)</f>
        <v>0</v>
      </c>
      <c r="AS201" s="23">
        <f>VALUE(0)</f>
        <v>0</v>
      </c>
      <c r="AT201" s="23">
        <f>VALUE(0)</f>
        <v>0</v>
      </c>
      <c r="AU201" s="23">
        <f>VALUE(0)</f>
        <v>0</v>
      </c>
      <c r="AV201" s="23">
        <f>VALUE(1.5)</f>
        <v>1.5</v>
      </c>
      <c r="AW201" s="23">
        <f>VALUE(0)</f>
        <v>0</v>
      </c>
      <c r="AX201" s="23" t="s">
        <v>1252</v>
      </c>
      <c r="AY201" s="23">
        <f>VALUE(0)</f>
        <v>0</v>
      </c>
      <c r="AZ201" s="23">
        <f>VALUE(0)</f>
        <v>0</v>
      </c>
      <c r="BA201" s="23">
        <f>VALUE(0)</f>
        <v>0</v>
      </c>
      <c r="BB201" s="23">
        <f>VALUE(0)</f>
        <v>0</v>
      </c>
      <c r="BC201" s="23">
        <f>VALUE(0)</f>
        <v>0</v>
      </c>
      <c r="BD201" s="23">
        <f>VALUE(0)</f>
        <v>0</v>
      </c>
      <c r="BE201" s="23">
        <f>VALUE(0)</f>
        <v>0</v>
      </c>
      <c r="BF201" s="23">
        <f>VALUE(0)</f>
        <v>0</v>
      </c>
      <c r="BG201" s="23">
        <f>VALUE(0)</f>
        <v>0</v>
      </c>
      <c r="BH201" s="23">
        <f>VALUE(0)</f>
        <v>0</v>
      </c>
      <c r="BI201" s="23">
        <f>VALUE(0)</f>
        <v>0</v>
      </c>
      <c r="BJ201" s="23">
        <f>VALUE(0)</f>
        <v>0</v>
      </c>
      <c r="BK201" s="12">
        <f>$AX$201*24</f>
        <v>39.56666666666667</v>
      </c>
      <c r="BL201" s="12">
        <f>$AY$201*24</f>
        <v>0</v>
      </c>
      <c r="BM201" s="12">
        <f>$BJ$201*24</f>
        <v>0</v>
      </c>
      <c r="BN201" s="12">
        <f>VALUE($I$201)/100</f>
        <v>0.8</v>
      </c>
      <c r="BO201" s="12">
        <v>0</v>
      </c>
      <c r="BP201" s="12">
        <v>0</v>
      </c>
      <c r="BQ201" s="12">
        <v>0</v>
      </c>
      <c r="BR201" s="12">
        <v>0</v>
      </c>
      <c r="BS201" s="12">
        <v>0</v>
      </c>
      <c r="BT201" s="12">
        <v>0</v>
      </c>
      <c r="BU201" s="12">
        <v>0</v>
      </c>
      <c r="BV201" s="12">
        <v>0</v>
      </c>
      <c r="BW201" s="12">
        <v>0</v>
      </c>
      <c r="BX201" s="12">
        <v>0</v>
      </c>
      <c r="BY201" s="12">
        <v>0</v>
      </c>
      <c r="BZ201" s="12">
        <v>0</v>
      </c>
      <c r="CA201" s="12">
        <v>0</v>
      </c>
    </row>
    <row r="202" spans="1:79" x14ac:dyDescent="0.2">
      <c r="A202" s="12" t="s">
        <v>120</v>
      </c>
      <c r="B202" s="12" t="s">
        <v>126</v>
      </c>
      <c r="C202" s="12" t="s">
        <v>126</v>
      </c>
      <c r="D202" s="22" t="s">
        <v>469</v>
      </c>
      <c r="E202" s="22" t="s">
        <v>173</v>
      </c>
      <c r="F202" s="22" t="s">
        <v>914</v>
      </c>
      <c r="G202" s="22" t="s">
        <v>915</v>
      </c>
      <c r="H202" s="22" t="s">
        <v>279</v>
      </c>
      <c r="I202" s="22" t="s">
        <v>151</v>
      </c>
      <c r="J202" s="22" t="s">
        <v>162</v>
      </c>
      <c r="K202" s="22" t="s">
        <v>85</v>
      </c>
      <c r="L202" s="54" t="s">
        <v>153</v>
      </c>
      <c r="M202" s="23" t="s">
        <v>469</v>
      </c>
      <c r="N202" s="24" t="s">
        <v>153</v>
      </c>
      <c r="O202" s="23" t="s">
        <v>469</v>
      </c>
      <c r="P202" s="23" t="s">
        <v>469</v>
      </c>
      <c r="Q202" s="23" t="s">
        <v>469</v>
      </c>
      <c r="R202" s="23" t="s">
        <v>469</v>
      </c>
      <c r="S202" s="23" t="s">
        <v>469</v>
      </c>
      <c r="T202" s="23" t="s">
        <v>469</v>
      </c>
      <c r="U202" s="24" t="s">
        <v>153</v>
      </c>
      <c r="V202" s="54" t="s">
        <v>153</v>
      </c>
      <c r="W202" s="27" t="s">
        <v>153</v>
      </c>
      <c r="X202" s="27" t="s">
        <v>153</v>
      </c>
      <c r="Y202" s="27" t="s">
        <v>153</v>
      </c>
      <c r="Z202" s="27" t="s">
        <v>153</v>
      </c>
      <c r="AA202" s="27" t="s">
        <v>153</v>
      </c>
      <c r="AB202" s="24" t="s">
        <v>153</v>
      </c>
      <c r="AC202" s="27" t="s">
        <v>153</v>
      </c>
      <c r="AD202" s="27" t="s">
        <v>153</v>
      </c>
      <c r="AE202" s="27" t="s">
        <v>153</v>
      </c>
      <c r="AF202" s="27" t="s">
        <v>153</v>
      </c>
      <c r="AG202" s="27" t="s">
        <v>153</v>
      </c>
      <c r="AH202" s="27" t="s">
        <v>153</v>
      </c>
      <c r="AI202" s="24" t="s">
        <v>153</v>
      </c>
      <c r="AJ202" s="27" t="s">
        <v>153</v>
      </c>
      <c r="AK202" s="27" t="s">
        <v>153</v>
      </c>
      <c r="AL202" s="27" t="s">
        <v>153</v>
      </c>
      <c r="AM202" s="27" t="s">
        <v>153</v>
      </c>
      <c r="AN202" s="27" t="s">
        <v>153</v>
      </c>
      <c r="AO202" s="27" t="s">
        <v>153</v>
      </c>
      <c r="AP202" s="23">
        <f>VALUE(0)</f>
        <v>0</v>
      </c>
      <c r="AQ202" s="23">
        <f>VALUE(0)</f>
        <v>0</v>
      </c>
      <c r="AR202" s="23">
        <f>VALUE(0)</f>
        <v>0</v>
      </c>
      <c r="AS202" s="23">
        <f>VALUE(0)</f>
        <v>0</v>
      </c>
      <c r="AT202" s="23">
        <f>VALUE(0)</f>
        <v>0</v>
      </c>
      <c r="AU202" s="23">
        <f>VALUE(0)</f>
        <v>0</v>
      </c>
      <c r="AV202" s="23">
        <f>VALUE(0)</f>
        <v>0</v>
      </c>
      <c r="AW202" s="23">
        <f>VALUE(0)</f>
        <v>0</v>
      </c>
      <c r="AX202" s="23">
        <f>VALUE(0)</f>
        <v>0</v>
      </c>
      <c r="AY202" s="23">
        <f>VALUE(0)</f>
        <v>0</v>
      </c>
      <c r="AZ202" s="23">
        <f>VALUE(0)</f>
        <v>0</v>
      </c>
      <c r="BA202" s="23">
        <f>VALUE(0)</f>
        <v>0</v>
      </c>
      <c r="BB202" s="23">
        <f>VALUE(0)</f>
        <v>0</v>
      </c>
      <c r="BC202" s="23">
        <f>VALUE(0)</f>
        <v>0</v>
      </c>
      <c r="BD202" s="23">
        <f>VALUE(0)</f>
        <v>0</v>
      </c>
      <c r="BE202" s="23">
        <f>VALUE(0)</f>
        <v>0</v>
      </c>
      <c r="BF202" s="23">
        <f>VALUE(0)</f>
        <v>0</v>
      </c>
      <c r="BG202" s="23">
        <f>VALUE(0)</f>
        <v>0</v>
      </c>
      <c r="BH202" s="23">
        <f>VALUE(0)</f>
        <v>0</v>
      </c>
      <c r="BI202" s="23">
        <f>VALUE(0)</f>
        <v>0</v>
      </c>
      <c r="BJ202" s="23">
        <f>VALUE(0)</f>
        <v>0</v>
      </c>
      <c r="BK202" s="12">
        <f>$AX$202*24</f>
        <v>0</v>
      </c>
      <c r="BL202" s="12">
        <f>$AY$202*24</f>
        <v>0</v>
      </c>
      <c r="BM202" s="12">
        <f>$BJ$202*24</f>
        <v>0</v>
      </c>
      <c r="BN202" s="12">
        <f>VALUE($I$202)/100</f>
        <v>1</v>
      </c>
      <c r="BO202" s="12">
        <v>0</v>
      </c>
      <c r="BP202" s="12">
        <v>0</v>
      </c>
      <c r="BQ202" s="12">
        <v>0</v>
      </c>
      <c r="BR202" s="12">
        <v>0</v>
      </c>
      <c r="BS202" s="12">
        <v>0</v>
      </c>
      <c r="BT202" s="12">
        <v>0</v>
      </c>
      <c r="BU202" s="12">
        <v>0</v>
      </c>
      <c r="BV202" s="12">
        <v>0</v>
      </c>
      <c r="BW202" s="12">
        <v>0</v>
      </c>
      <c r="BX202" s="12">
        <v>0</v>
      </c>
      <c r="BY202" s="12">
        <v>0</v>
      </c>
      <c r="BZ202" s="12">
        <v>0</v>
      </c>
      <c r="CA202" s="12">
        <v>0</v>
      </c>
    </row>
    <row r="203" spans="1:79" x14ac:dyDescent="0.2">
      <c r="A203" s="12" t="s">
        <v>120</v>
      </c>
      <c r="B203" s="12" t="s">
        <v>126</v>
      </c>
      <c r="C203" s="12" t="s">
        <v>126</v>
      </c>
      <c r="D203" s="22" t="s">
        <v>469</v>
      </c>
      <c r="E203" s="22" t="s">
        <v>161</v>
      </c>
      <c r="F203" s="22" t="s">
        <v>916</v>
      </c>
      <c r="G203" s="22" t="s">
        <v>917</v>
      </c>
      <c r="H203" s="22" t="s">
        <v>150</v>
      </c>
      <c r="I203" s="22" t="s">
        <v>151</v>
      </c>
      <c r="J203" s="22" t="s">
        <v>162</v>
      </c>
      <c r="K203" s="22" t="s">
        <v>85</v>
      </c>
      <c r="L203" s="54" t="s">
        <v>153</v>
      </c>
      <c r="M203" s="23" t="s">
        <v>467</v>
      </c>
      <c r="N203" s="24" t="s">
        <v>153</v>
      </c>
      <c r="O203" s="25" t="s">
        <v>449</v>
      </c>
      <c r="P203" s="25" t="s">
        <v>1253</v>
      </c>
      <c r="Q203" s="25" t="s">
        <v>1253</v>
      </c>
      <c r="R203" s="25" t="s">
        <v>1253</v>
      </c>
      <c r="S203" s="23" t="s">
        <v>468</v>
      </c>
      <c r="T203" s="23" t="s">
        <v>468</v>
      </c>
      <c r="U203" s="24" t="s">
        <v>153</v>
      </c>
      <c r="V203" s="54" t="s">
        <v>153</v>
      </c>
      <c r="W203" s="23" t="s">
        <v>449</v>
      </c>
      <c r="X203" s="23" t="s">
        <v>449</v>
      </c>
      <c r="Y203" s="23" t="s">
        <v>449</v>
      </c>
      <c r="Z203" s="23" t="s">
        <v>449</v>
      </c>
      <c r="AA203" s="23" t="s">
        <v>449</v>
      </c>
      <c r="AB203" s="24" t="s">
        <v>153</v>
      </c>
      <c r="AC203" s="23" t="s">
        <v>467</v>
      </c>
      <c r="AD203" s="23" t="s">
        <v>459</v>
      </c>
      <c r="AE203" s="23" t="s">
        <v>459</v>
      </c>
      <c r="AF203" s="24" t="s">
        <v>156</v>
      </c>
      <c r="AG203" s="24" t="s">
        <v>156</v>
      </c>
      <c r="AH203" s="24" t="s">
        <v>156</v>
      </c>
      <c r="AI203" s="24" t="s">
        <v>153</v>
      </c>
      <c r="AJ203" s="23" t="s">
        <v>459</v>
      </c>
      <c r="AK203" s="23" t="s">
        <v>459</v>
      </c>
      <c r="AL203" s="23" t="s">
        <v>459</v>
      </c>
      <c r="AM203" s="23" t="s">
        <v>459</v>
      </c>
      <c r="AN203" s="23" t="s">
        <v>459</v>
      </c>
      <c r="AO203" s="23" t="s">
        <v>459</v>
      </c>
      <c r="AP203" s="23">
        <f>VALUE(12)</f>
        <v>12</v>
      </c>
      <c r="AQ203" s="23">
        <f>VALUE(0)</f>
        <v>0</v>
      </c>
      <c r="AR203" s="23">
        <f>VALUE(0)</f>
        <v>0</v>
      </c>
      <c r="AS203" s="23">
        <f>VALUE(0)</f>
        <v>0</v>
      </c>
      <c r="AT203" s="23">
        <f>VALUE(0)</f>
        <v>0</v>
      </c>
      <c r="AU203" s="23">
        <f>VALUE(0)</f>
        <v>0</v>
      </c>
      <c r="AV203" s="23">
        <f>VALUE(4)</f>
        <v>4</v>
      </c>
      <c r="AW203" s="23">
        <f>VALUE(0)</f>
        <v>0</v>
      </c>
      <c r="AX203" s="23" t="s">
        <v>171</v>
      </c>
      <c r="AY203" s="23" t="s">
        <v>470</v>
      </c>
      <c r="AZ203" s="23">
        <f>VALUE(0)</f>
        <v>0</v>
      </c>
      <c r="BA203" s="23">
        <f>VALUE(0)</f>
        <v>0</v>
      </c>
      <c r="BB203" s="23">
        <f>VALUE(0)</f>
        <v>0</v>
      </c>
      <c r="BC203" s="23">
        <f>VALUE(0)</f>
        <v>0</v>
      </c>
      <c r="BD203" s="23">
        <f>VALUE(3)</f>
        <v>3</v>
      </c>
      <c r="BE203" s="23">
        <f>VALUE(0)</f>
        <v>0</v>
      </c>
      <c r="BF203" s="23">
        <f>VALUE(0)</f>
        <v>0</v>
      </c>
      <c r="BG203" s="23">
        <f>VALUE(0)</f>
        <v>0</v>
      </c>
      <c r="BH203" s="23">
        <f>VALUE(0)</f>
        <v>0</v>
      </c>
      <c r="BI203" s="23">
        <f>VALUE(0)</f>
        <v>0</v>
      </c>
      <c r="BJ203" s="23">
        <f>VALUE(0)</f>
        <v>0</v>
      </c>
      <c r="BK203" s="12">
        <f>$AX$203*24</f>
        <v>5.833333333333333</v>
      </c>
      <c r="BL203" s="12">
        <f>$AY$203*24</f>
        <v>10</v>
      </c>
      <c r="BM203" s="12">
        <f>$BJ$203*24</f>
        <v>0</v>
      </c>
      <c r="BN203" s="12">
        <f>VALUE($I$203)/100</f>
        <v>1</v>
      </c>
      <c r="BO203" s="12">
        <v>0</v>
      </c>
      <c r="BP203" s="12">
        <v>0</v>
      </c>
      <c r="BQ203" s="12">
        <v>0</v>
      </c>
      <c r="BR203" s="12">
        <v>3</v>
      </c>
      <c r="BS203" s="12">
        <v>0</v>
      </c>
      <c r="BT203" s="12">
        <v>0</v>
      </c>
      <c r="BU203" s="12">
        <v>0</v>
      </c>
      <c r="BV203" s="12">
        <v>0</v>
      </c>
      <c r="BW203" s="12">
        <v>0</v>
      </c>
      <c r="BX203" s="12">
        <v>0</v>
      </c>
      <c r="BY203" s="12">
        <v>0</v>
      </c>
      <c r="BZ203" s="12">
        <v>0</v>
      </c>
      <c r="CA203" s="12">
        <v>0</v>
      </c>
    </row>
    <row r="204" spans="1:79" x14ac:dyDescent="0.2">
      <c r="A204" s="12" t="s">
        <v>120</v>
      </c>
      <c r="B204" s="12" t="s">
        <v>126</v>
      </c>
      <c r="C204" s="12" t="s">
        <v>126</v>
      </c>
      <c r="D204" s="22" t="s">
        <v>589</v>
      </c>
      <c r="E204" s="22" t="s">
        <v>173</v>
      </c>
      <c r="F204" s="22" t="s">
        <v>918</v>
      </c>
      <c r="G204" s="22" t="s">
        <v>919</v>
      </c>
      <c r="H204" s="22" t="s">
        <v>150</v>
      </c>
      <c r="I204" s="22" t="s">
        <v>151</v>
      </c>
      <c r="J204" s="22" t="s">
        <v>162</v>
      </c>
      <c r="K204" s="22" t="s">
        <v>85</v>
      </c>
      <c r="L204" s="54" t="s">
        <v>153</v>
      </c>
      <c r="M204" s="23" t="s">
        <v>449</v>
      </c>
      <c r="N204" s="24" t="s">
        <v>153</v>
      </c>
      <c r="O204" s="25" t="s">
        <v>464</v>
      </c>
      <c r="P204" s="25" t="s">
        <v>464</v>
      </c>
      <c r="Q204" s="25" t="s">
        <v>464</v>
      </c>
      <c r="R204" s="25" t="s">
        <v>464</v>
      </c>
      <c r="S204" s="25" t="s">
        <v>464</v>
      </c>
      <c r="T204" s="25" t="s">
        <v>464</v>
      </c>
      <c r="U204" s="24" t="s">
        <v>153</v>
      </c>
      <c r="V204" s="54" t="s">
        <v>153</v>
      </c>
      <c r="W204" s="25" t="s">
        <v>464</v>
      </c>
      <c r="X204" s="25" t="s">
        <v>464</v>
      </c>
      <c r="Y204" s="25" t="s">
        <v>464</v>
      </c>
      <c r="Z204" s="25" t="s">
        <v>464</v>
      </c>
      <c r="AA204" s="25" t="s">
        <v>464</v>
      </c>
      <c r="AB204" s="24" t="s">
        <v>153</v>
      </c>
      <c r="AC204" s="23" t="s">
        <v>464</v>
      </c>
      <c r="AD204" s="25" t="s">
        <v>450</v>
      </c>
      <c r="AE204" s="25" t="s">
        <v>450</v>
      </c>
      <c r="AF204" s="25" t="s">
        <v>450</v>
      </c>
      <c r="AG204" s="25" t="s">
        <v>450</v>
      </c>
      <c r="AH204" s="25" t="s">
        <v>450</v>
      </c>
      <c r="AI204" s="24" t="s">
        <v>153</v>
      </c>
      <c r="AJ204" s="24" t="s">
        <v>156</v>
      </c>
      <c r="AK204" s="24" t="s">
        <v>156</v>
      </c>
      <c r="AL204" s="24" t="s">
        <v>156</v>
      </c>
      <c r="AM204" s="23" t="s">
        <v>468</v>
      </c>
      <c r="AN204" s="23" t="s">
        <v>468</v>
      </c>
      <c r="AO204" s="23" t="s">
        <v>468</v>
      </c>
      <c r="AP204" s="23">
        <f>VALUE(4)</f>
        <v>4</v>
      </c>
      <c r="AQ204" s="23">
        <f>VALUE(0)</f>
        <v>0</v>
      </c>
      <c r="AR204" s="23">
        <f>VALUE(0)</f>
        <v>0</v>
      </c>
      <c r="AS204" s="23">
        <f>VALUE(0)</f>
        <v>0</v>
      </c>
      <c r="AT204" s="23">
        <f>VALUE(0)</f>
        <v>0</v>
      </c>
      <c r="AU204" s="23">
        <f>VALUE(0)</f>
        <v>0</v>
      </c>
      <c r="AV204" s="23">
        <f>VALUE(1)</f>
        <v>1</v>
      </c>
      <c r="AW204" s="23">
        <f>VALUE(0)</f>
        <v>0</v>
      </c>
      <c r="AX204" s="23" t="s">
        <v>171</v>
      </c>
      <c r="AY204" s="23">
        <f>VALUE(0)</f>
        <v>0</v>
      </c>
      <c r="AZ204" s="23">
        <f>VALUE(0)</f>
        <v>0</v>
      </c>
      <c r="BA204" s="23">
        <f>VALUE(0)</f>
        <v>0</v>
      </c>
      <c r="BB204" s="23">
        <f>VALUE(0)</f>
        <v>0</v>
      </c>
      <c r="BC204" s="23">
        <f>VALUE(0)</f>
        <v>0</v>
      </c>
      <c r="BD204" s="23">
        <f>VALUE(0)</f>
        <v>0</v>
      </c>
      <c r="BE204" s="23">
        <f>VALUE(0)</f>
        <v>0</v>
      </c>
      <c r="BF204" s="23">
        <f>VALUE(0)</f>
        <v>0</v>
      </c>
      <c r="BG204" s="23">
        <f>VALUE(0)</f>
        <v>0</v>
      </c>
      <c r="BH204" s="23">
        <f>VALUE(0)</f>
        <v>0</v>
      </c>
      <c r="BI204" s="23">
        <f>VALUE(0)</f>
        <v>0</v>
      </c>
      <c r="BJ204" s="23">
        <f>VALUE(0)</f>
        <v>0</v>
      </c>
      <c r="BK204" s="12">
        <f>$AX$204*24</f>
        <v>5.833333333333333</v>
      </c>
      <c r="BL204" s="12">
        <f>$AY$204*24</f>
        <v>0</v>
      </c>
      <c r="BM204" s="12">
        <f>$BJ$204*24</f>
        <v>0</v>
      </c>
      <c r="BN204" s="12">
        <f>VALUE($I$204)/100</f>
        <v>1</v>
      </c>
      <c r="BO204" s="12">
        <v>0</v>
      </c>
      <c r="BP204" s="12">
        <v>0</v>
      </c>
      <c r="BQ204" s="12">
        <v>0</v>
      </c>
      <c r="BR204" s="12">
        <v>0</v>
      </c>
      <c r="BS204" s="12">
        <v>0</v>
      </c>
      <c r="BT204" s="12">
        <v>0</v>
      </c>
      <c r="BU204" s="12">
        <v>0</v>
      </c>
      <c r="BV204" s="12">
        <v>0</v>
      </c>
      <c r="BW204" s="12">
        <v>0</v>
      </c>
      <c r="BX204" s="12">
        <v>0</v>
      </c>
      <c r="BY204" s="12">
        <v>0</v>
      </c>
      <c r="BZ204" s="12">
        <v>0</v>
      </c>
      <c r="CA204" s="12">
        <v>0</v>
      </c>
    </row>
    <row r="205" spans="1:79" x14ac:dyDescent="0.2">
      <c r="A205" s="12" t="s">
        <v>120</v>
      </c>
      <c r="B205" s="12" t="s">
        <v>126</v>
      </c>
      <c r="C205" s="12" t="s">
        <v>126</v>
      </c>
      <c r="D205" s="22" t="s">
        <v>1254</v>
      </c>
      <c r="E205" s="22" t="s">
        <v>159</v>
      </c>
      <c r="F205" s="22" t="s">
        <v>920</v>
      </c>
      <c r="G205" s="22" t="s">
        <v>921</v>
      </c>
      <c r="H205" s="22" t="s">
        <v>150</v>
      </c>
      <c r="I205" s="22" t="s">
        <v>151</v>
      </c>
      <c r="J205" s="22" t="s">
        <v>162</v>
      </c>
      <c r="K205" s="22" t="s">
        <v>85</v>
      </c>
      <c r="L205" s="54" t="s">
        <v>153</v>
      </c>
      <c r="M205" s="23" t="s">
        <v>464</v>
      </c>
      <c r="N205" s="24" t="s">
        <v>153</v>
      </c>
      <c r="O205" s="25" t="s">
        <v>464</v>
      </c>
      <c r="P205" s="25" t="s">
        <v>464</v>
      </c>
      <c r="Q205" s="25" t="s">
        <v>464</v>
      </c>
      <c r="R205" s="25" t="s">
        <v>464</v>
      </c>
      <c r="S205" s="25" t="s">
        <v>464</v>
      </c>
      <c r="T205" s="25" t="s">
        <v>464</v>
      </c>
      <c r="U205" s="24" t="s">
        <v>153</v>
      </c>
      <c r="V205" s="54" t="s">
        <v>153</v>
      </c>
      <c r="W205" s="25" t="s">
        <v>464</v>
      </c>
      <c r="X205" s="25" t="s">
        <v>464</v>
      </c>
      <c r="Y205" s="25" t="s">
        <v>464</v>
      </c>
      <c r="Z205" s="25" t="s">
        <v>464</v>
      </c>
      <c r="AA205" s="25" t="s">
        <v>464</v>
      </c>
      <c r="AB205" s="24" t="s">
        <v>153</v>
      </c>
      <c r="AC205" s="24" t="s">
        <v>156</v>
      </c>
      <c r="AD205" s="24" t="s">
        <v>156</v>
      </c>
      <c r="AE205" s="24" t="s">
        <v>156</v>
      </c>
      <c r="AF205" s="23" t="s">
        <v>464</v>
      </c>
      <c r="AG205" s="23" t="s">
        <v>464</v>
      </c>
      <c r="AH205" s="23" t="s">
        <v>464</v>
      </c>
      <c r="AI205" s="24" t="s">
        <v>153</v>
      </c>
      <c r="AJ205" s="23" t="s">
        <v>464</v>
      </c>
      <c r="AK205" s="23" t="s">
        <v>464</v>
      </c>
      <c r="AL205" s="23" t="s">
        <v>464</v>
      </c>
      <c r="AM205" s="23" t="s">
        <v>464</v>
      </c>
      <c r="AN205" s="23" t="s">
        <v>464</v>
      </c>
      <c r="AO205" s="23" t="s">
        <v>464</v>
      </c>
      <c r="AP205" s="23">
        <f>VALUE(2)</f>
        <v>2</v>
      </c>
      <c r="AQ205" s="23">
        <f>VALUE(0)</f>
        <v>0</v>
      </c>
      <c r="AR205" s="23">
        <f>VALUE(0)</f>
        <v>0</v>
      </c>
      <c r="AS205" s="23">
        <f>VALUE(0)</f>
        <v>0</v>
      </c>
      <c r="AT205" s="23">
        <f>VALUE(0)</f>
        <v>0</v>
      </c>
      <c r="AU205" s="23">
        <f>VALUE(0)</f>
        <v>0</v>
      </c>
      <c r="AV205" s="23">
        <f>VALUE(6)</f>
        <v>6</v>
      </c>
      <c r="AW205" s="23">
        <f>VALUE(0)</f>
        <v>0</v>
      </c>
      <c r="AX205" s="23" t="s">
        <v>171</v>
      </c>
      <c r="AY205" s="23" t="s">
        <v>471</v>
      </c>
      <c r="AZ205" s="23">
        <f>VALUE(0)</f>
        <v>0</v>
      </c>
      <c r="BA205" s="23">
        <f>VALUE(0)</f>
        <v>0</v>
      </c>
      <c r="BB205" s="23">
        <f>VALUE(0)</f>
        <v>0</v>
      </c>
      <c r="BC205" s="23">
        <f>VALUE(0)</f>
        <v>0</v>
      </c>
      <c r="BD205" s="23">
        <f>VALUE(0)</f>
        <v>0</v>
      </c>
      <c r="BE205" s="23">
        <f>VALUE(0)</f>
        <v>0</v>
      </c>
      <c r="BF205" s="23">
        <f>VALUE(0)</f>
        <v>0</v>
      </c>
      <c r="BG205" s="23">
        <f>VALUE(0)</f>
        <v>0</v>
      </c>
      <c r="BH205" s="23">
        <f>VALUE(0)</f>
        <v>0</v>
      </c>
      <c r="BI205" s="23">
        <f>VALUE(0)</f>
        <v>0</v>
      </c>
      <c r="BJ205" s="23">
        <f>VALUE(0)</f>
        <v>0</v>
      </c>
      <c r="BK205" s="12">
        <f>$AX$205*24</f>
        <v>5.833333333333333</v>
      </c>
      <c r="BL205" s="12">
        <f>$AY$205*24</f>
        <v>4.3166666666666664</v>
      </c>
      <c r="BM205" s="12">
        <f>$BJ$205*24</f>
        <v>0</v>
      </c>
      <c r="BN205" s="12">
        <f>VALUE($I$205)/100</f>
        <v>1</v>
      </c>
      <c r="BO205" s="12">
        <v>0</v>
      </c>
      <c r="BP205" s="12">
        <v>0</v>
      </c>
      <c r="BQ205" s="12">
        <v>0</v>
      </c>
      <c r="BR205" s="12">
        <v>0</v>
      </c>
      <c r="BS205" s="12">
        <v>0</v>
      </c>
      <c r="BT205" s="12">
        <v>0</v>
      </c>
      <c r="BU205" s="12">
        <v>0</v>
      </c>
      <c r="BV205" s="12">
        <v>0</v>
      </c>
      <c r="BW205" s="12">
        <v>0</v>
      </c>
      <c r="BX205" s="12">
        <v>0</v>
      </c>
      <c r="BY205" s="12">
        <v>0</v>
      </c>
      <c r="BZ205" s="12">
        <v>0</v>
      </c>
      <c r="CA205" s="12">
        <v>0</v>
      </c>
    </row>
    <row r="206" spans="1:79" x14ac:dyDescent="0.2">
      <c r="A206" s="12" t="s">
        <v>120</v>
      </c>
      <c r="B206" s="12" t="s">
        <v>126</v>
      </c>
      <c r="C206" s="12" t="s">
        <v>126</v>
      </c>
      <c r="D206" s="22" t="s">
        <v>472</v>
      </c>
      <c r="E206" s="22" t="s">
        <v>332</v>
      </c>
      <c r="F206" s="22" t="s">
        <v>922</v>
      </c>
      <c r="G206" s="22" t="s">
        <v>923</v>
      </c>
      <c r="H206" s="22" t="s">
        <v>150</v>
      </c>
      <c r="I206" s="22" t="s">
        <v>151</v>
      </c>
      <c r="J206" s="22" t="s">
        <v>162</v>
      </c>
      <c r="K206" s="22" t="s">
        <v>85</v>
      </c>
      <c r="L206" s="54" t="s">
        <v>153</v>
      </c>
      <c r="M206" s="28" t="s">
        <v>163</v>
      </c>
      <c r="N206" s="24" t="s">
        <v>153</v>
      </c>
      <c r="O206" s="23" t="s">
        <v>468</v>
      </c>
      <c r="P206" s="25" t="s">
        <v>468</v>
      </c>
      <c r="Q206" s="25" t="s">
        <v>468</v>
      </c>
      <c r="R206" s="25" t="s">
        <v>468</v>
      </c>
      <c r="S206" s="23" t="s">
        <v>462</v>
      </c>
      <c r="T206" s="23" t="s">
        <v>462</v>
      </c>
      <c r="U206" s="24" t="s">
        <v>153</v>
      </c>
      <c r="V206" s="54" t="s">
        <v>156</v>
      </c>
      <c r="W206" s="24" t="s">
        <v>156</v>
      </c>
      <c r="X206" s="24" t="s">
        <v>156</v>
      </c>
      <c r="Y206" s="23" t="s">
        <v>153</v>
      </c>
      <c r="Z206" s="23" t="s">
        <v>153</v>
      </c>
      <c r="AA206" s="23" t="s">
        <v>153</v>
      </c>
      <c r="AB206" s="24" t="s">
        <v>153</v>
      </c>
      <c r="AC206" s="25" t="s">
        <v>450</v>
      </c>
      <c r="AD206" s="23" t="s">
        <v>467</v>
      </c>
      <c r="AE206" s="23" t="s">
        <v>467</v>
      </c>
      <c r="AF206" s="23" t="s">
        <v>459</v>
      </c>
      <c r="AG206" s="23" t="s">
        <v>459</v>
      </c>
      <c r="AH206" s="23" t="s">
        <v>459</v>
      </c>
      <c r="AI206" s="24" t="s">
        <v>153</v>
      </c>
      <c r="AJ206" s="23" t="s">
        <v>153</v>
      </c>
      <c r="AK206" s="23" t="s">
        <v>153</v>
      </c>
      <c r="AL206" s="23" t="s">
        <v>153</v>
      </c>
      <c r="AM206" s="23" t="s">
        <v>466</v>
      </c>
      <c r="AN206" s="23" t="s">
        <v>466</v>
      </c>
      <c r="AO206" s="23" t="s">
        <v>466</v>
      </c>
      <c r="AP206" s="23">
        <f>VALUE(2)</f>
        <v>2</v>
      </c>
      <c r="AQ206" s="23">
        <f>VALUE(0)</f>
        <v>0</v>
      </c>
      <c r="AR206" s="23">
        <f>VALUE(0)</f>
        <v>0</v>
      </c>
      <c r="AS206" s="23">
        <f>VALUE(6)</f>
        <v>6</v>
      </c>
      <c r="AT206" s="23">
        <f>VALUE(0)</f>
        <v>0</v>
      </c>
      <c r="AU206" s="23">
        <f>VALUE(1)</f>
        <v>1</v>
      </c>
      <c r="AV206" s="23">
        <f>VALUE(3)</f>
        <v>3</v>
      </c>
      <c r="AW206" s="23">
        <f>VALUE(0)</f>
        <v>0</v>
      </c>
      <c r="AX206" s="23" t="s">
        <v>176</v>
      </c>
      <c r="AY206" s="23" t="s">
        <v>473</v>
      </c>
      <c r="AZ206" s="23">
        <f>VALUE(0)</f>
        <v>0</v>
      </c>
      <c r="BA206" s="23">
        <f>VALUE(0)</f>
        <v>0</v>
      </c>
      <c r="BB206" s="23">
        <f>VALUE(0)</f>
        <v>0</v>
      </c>
      <c r="BC206" s="23">
        <f>VALUE(0)</f>
        <v>0</v>
      </c>
      <c r="BD206" s="23">
        <f>VALUE(0)</f>
        <v>0</v>
      </c>
      <c r="BE206" s="23">
        <f>VALUE(0)</f>
        <v>0</v>
      </c>
      <c r="BF206" s="23">
        <f>VALUE(0)</f>
        <v>0</v>
      </c>
      <c r="BG206" s="23">
        <f>VALUE(0)</f>
        <v>0</v>
      </c>
      <c r="BH206" s="23">
        <f>VALUE(0)</f>
        <v>0</v>
      </c>
      <c r="BI206" s="23">
        <f>VALUE(0)</f>
        <v>0</v>
      </c>
      <c r="BJ206" s="23">
        <f>VALUE(0)</f>
        <v>0</v>
      </c>
      <c r="BK206" s="12">
        <f>$AX$206*24</f>
        <v>0</v>
      </c>
      <c r="BL206" s="12">
        <f>$AY$206*24</f>
        <v>3.6833333333333336</v>
      </c>
      <c r="BM206" s="12">
        <f>$BJ$206*24</f>
        <v>0</v>
      </c>
      <c r="BN206" s="12">
        <f>VALUE($I$206)/100</f>
        <v>1</v>
      </c>
      <c r="BO206" s="12">
        <v>0</v>
      </c>
      <c r="BP206" s="12">
        <v>0</v>
      </c>
      <c r="BQ206" s="12">
        <v>0</v>
      </c>
      <c r="BR206" s="12">
        <v>0</v>
      </c>
      <c r="BS206" s="12">
        <v>0</v>
      </c>
      <c r="BT206" s="12">
        <v>0</v>
      </c>
      <c r="BU206" s="12">
        <v>0</v>
      </c>
      <c r="BV206" s="12">
        <v>0</v>
      </c>
      <c r="BW206" s="12">
        <v>0</v>
      </c>
      <c r="BX206" s="12">
        <v>0</v>
      </c>
      <c r="BY206" s="12">
        <v>0</v>
      </c>
      <c r="BZ206" s="12">
        <v>0</v>
      </c>
      <c r="CA206" s="12">
        <v>0</v>
      </c>
    </row>
    <row r="207" spans="1:79" ht="15" x14ac:dyDescent="0.25">
      <c r="A207" s="12" t="s">
        <v>120</v>
      </c>
      <c r="B207" s="12" t="s">
        <v>126</v>
      </c>
      <c r="C207" s="12" t="s">
        <v>126</v>
      </c>
      <c r="D207" s="31" t="s">
        <v>202</v>
      </c>
      <c r="E207" s="31" t="s">
        <v>153</v>
      </c>
      <c r="F207" s="31" t="s">
        <v>175</v>
      </c>
      <c r="G207" s="31" t="s">
        <v>153</v>
      </c>
      <c r="H207" s="31" t="s">
        <v>153</v>
      </c>
      <c r="I207" s="31" t="s">
        <v>153</v>
      </c>
      <c r="J207" s="31" t="s">
        <v>153</v>
      </c>
      <c r="K207" s="31" t="s">
        <v>153</v>
      </c>
      <c r="L207" s="31">
        <f>VALUE(0)</f>
        <v>0</v>
      </c>
      <c r="M207" s="31">
        <f>VALUE(10)</f>
        <v>10</v>
      </c>
      <c r="N207" s="31">
        <f>VALUE(0)</f>
        <v>0</v>
      </c>
      <c r="O207" s="31">
        <f>VALUE(10)</f>
        <v>10</v>
      </c>
      <c r="P207" s="31">
        <f>VALUE(10)</f>
        <v>10</v>
      </c>
      <c r="Q207" s="31">
        <f>VALUE(10)</f>
        <v>10</v>
      </c>
      <c r="R207" s="31">
        <f>VALUE(10)</f>
        <v>10</v>
      </c>
      <c r="S207" s="31">
        <f>VALUE(10)</f>
        <v>10</v>
      </c>
      <c r="T207" s="31">
        <f>VALUE(10)</f>
        <v>10</v>
      </c>
      <c r="U207" s="31">
        <f>VALUE(0)</f>
        <v>0</v>
      </c>
      <c r="V207" s="31">
        <f>VALUE(0)</f>
        <v>0</v>
      </c>
      <c r="W207" s="31">
        <f>VALUE(9)</f>
        <v>9</v>
      </c>
      <c r="X207" s="31">
        <f>VALUE(9)</f>
        <v>9</v>
      </c>
      <c r="Y207" s="31">
        <f>VALUE(10)</f>
        <v>10</v>
      </c>
      <c r="Z207" s="31">
        <f>VALUE(10)</f>
        <v>10</v>
      </c>
      <c r="AA207" s="31">
        <f>VALUE(10)</f>
        <v>10</v>
      </c>
      <c r="AB207" s="31">
        <f>VALUE(0)</f>
        <v>0</v>
      </c>
      <c r="AC207" s="31">
        <f>VALUE(9)</f>
        <v>9</v>
      </c>
      <c r="AD207" s="31">
        <f>VALUE(9)</f>
        <v>9</v>
      </c>
      <c r="AE207" s="31">
        <f>VALUE(9)</f>
        <v>9</v>
      </c>
      <c r="AF207" s="31">
        <f>VALUE(9)</f>
        <v>9</v>
      </c>
      <c r="AG207" s="31">
        <f>VALUE(9)</f>
        <v>9</v>
      </c>
      <c r="AH207" s="31">
        <f>VALUE(9)</f>
        <v>9</v>
      </c>
      <c r="AI207" s="31">
        <f>VALUE(0)</f>
        <v>0</v>
      </c>
      <c r="AJ207" s="31">
        <f>VALUE(9)</f>
        <v>9</v>
      </c>
      <c r="AK207" s="31">
        <f>VALUE(9)</f>
        <v>9</v>
      </c>
      <c r="AL207" s="31">
        <f>VALUE(9)</f>
        <v>9</v>
      </c>
      <c r="AM207" s="31">
        <f>VALUE(8)</f>
        <v>8</v>
      </c>
      <c r="AN207" s="31">
        <f>VALUE(8)</f>
        <v>8</v>
      </c>
      <c r="AO207" s="31">
        <f>VALUE(8)</f>
        <v>8</v>
      </c>
      <c r="AP207" s="31">
        <v>0</v>
      </c>
      <c r="AQ207" s="31">
        <v>0</v>
      </c>
      <c r="AR207" s="31">
        <v>0</v>
      </c>
      <c r="AS207" s="31">
        <v>0</v>
      </c>
      <c r="AT207" s="31">
        <v>0</v>
      </c>
      <c r="AU207" s="31">
        <v>0</v>
      </c>
      <c r="AV207" s="31">
        <v>0</v>
      </c>
      <c r="AW207" s="31">
        <v>0</v>
      </c>
      <c r="AX207" s="31">
        <v>0</v>
      </c>
      <c r="AY207" s="31">
        <v>0</v>
      </c>
      <c r="AZ207" s="31">
        <v>0</v>
      </c>
      <c r="BA207" s="31">
        <v>0</v>
      </c>
      <c r="BB207" s="31">
        <v>0</v>
      </c>
      <c r="BC207" s="31">
        <v>0</v>
      </c>
      <c r="BD207" s="31">
        <v>0</v>
      </c>
      <c r="BE207" s="31">
        <v>0</v>
      </c>
      <c r="BF207" s="31">
        <v>0</v>
      </c>
      <c r="BG207" s="31">
        <v>0</v>
      </c>
      <c r="BH207" s="31">
        <v>0</v>
      </c>
      <c r="BI207" s="31">
        <v>0</v>
      </c>
      <c r="BJ207" s="31">
        <v>0</v>
      </c>
      <c r="BK207" s="12">
        <v>0</v>
      </c>
      <c r="BL207" s="12">
        <v>0</v>
      </c>
      <c r="BM207" s="12">
        <v>0</v>
      </c>
      <c r="BN207" s="12"/>
      <c r="BO207" s="12">
        <v>0</v>
      </c>
      <c r="BP207" s="12">
        <v>0</v>
      </c>
      <c r="BQ207" s="12">
        <v>0</v>
      </c>
      <c r="BR207" s="12">
        <v>0</v>
      </c>
      <c r="BS207" s="12">
        <v>0</v>
      </c>
      <c r="BT207" s="12">
        <v>0</v>
      </c>
      <c r="BU207" s="12">
        <v>0</v>
      </c>
      <c r="BV207" s="12">
        <v>0</v>
      </c>
      <c r="BW207" s="12">
        <v>0</v>
      </c>
      <c r="BX207" s="12">
        <v>0</v>
      </c>
      <c r="BY207" s="12">
        <v>0</v>
      </c>
      <c r="BZ207" s="12">
        <v>0</v>
      </c>
      <c r="CA207" s="12">
        <v>0</v>
      </c>
    </row>
    <row r="208" spans="1:79" x14ac:dyDescent="0.2">
      <c r="A208" s="12" t="s">
        <v>127</v>
      </c>
      <c r="B208" s="12" t="s">
        <v>128</v>
      </c>
      <c r="C208" s="12" t="s">
        <v>128</v>
      </c>
      <c r="D208" s="22" t="s">
        <v>474</v>
      </c>
      <c r="E208" s="22" t="s">
        <v>173</v>
      </c>
      <c r="F208" s="22" t="s">
        <v>924</v>
      </c>
      <c r="G208" s="22" t="s">
        <v>925</v>
      </c>
      <c r="H208" s="22" t="s">
        <v>150</v>
      </c>
      <c r="I208" s="22" t="s">
        <v>415</v>
      </c>
      <c r="J208" s="22" t="s">
        <v>162</v>
      </c>
      <c r="K208" s="22" t="s">
        <v>86</v>
      </c>
      <c r="L208" s="54" t="s">
        <v>153</v>
      </c>
      <c r="M208" s="33" t="s">
        <v>475</v>
      </c>
      <c r="N208" s="24" t="s">
        <v>153</v>
      </c>
      <c r="O208" s="33" t="s">
        <v>475</v>
      </c>
      <c r="P208" s="33" t="s">
        <v>475</v>
      </c>
      <c r="Q208" s="33" t="s">
        <v>475</v>
      </c>
      <c r="R208" s="33" t="s">
        <v>475</v>
      </c>
      <c r="S208" s="33" t="s">
        <v>475</v>
      </c>
      <c r="T208" s="33" t="s">
        <v>475</v>
      </c>
      <c r="U208" s="24" t="s">
        <v>153</v>
      </c>
      <c r="V208" s="54" t="s">
        <v>153</v>
      </c>
      <c r="W208" s="33" t="s">
        <v>475</v>
      </c>
      <c r="X208" s="33" t="s">
        <v>475</v>
      </c>
      <c r="Y208" s="33" t="s">
        <v>475</v>
      </c>
      <c r="Z208" s="33" t="s">
        <v>475</v>
      </c>
      <c r="AA208" s="33" t="s">
        <v>475</v>
      </c>
      <c r="AB208" s="24" t="s">
        <v>153</v>
      </c>
      <c r="AC208" s="33" t="s">
        <v>475</v>
      </c>
      <c r="AD208" s="33" t="s">
        <v>475</v>
      </c>
      <c r="AE208" s="33" t="s">
        <v>475</v>
      </c>
      <c r="AF208" s="33" t="s">
        <v>475</v>
      </c>
      <c r="AG208" s="33" t="s">
        <v>475</v>
      </c>
      <c r="AH208" s="33" t="s">
        <v>475</v>
      </c>
      <c r="AI208" s="24" t="s">
        <v>153</v>
      </c>
      <c r="AJ208" s="33" t="s">
        <v>475</v>
      </c>
      <c r="AK208" s="33" t="s">
        <v>475</v>
      </c>
      <c r="AL208" s="33" t="s">
        <v>475</v>
      </c>
      <c r="AM208" s="33" t="s">
        <v>475</v>
      </c>
      <c r="AN208" s="33" t="s">
        <v>475</v>
      </c>
      <c r="AO208" s="33" t="s">
        <v>475</v>
      </c>
      <c r="AP208" s="23">
        <f>VALUE(0)</f>
        <v>0</v>
      </c>
      <c r="AQ208" s="23">
        <f>VALUE(0)</f>
        <v>0</v>
      </c>
      <c r="AR208" s="23">
        <f>VALUE(0)</f>
        <v>0</v>
      </c>
      <c r="AS208" s="23">
        <f>VALUE(0)</f>
        <v>0</v>
      </c>
      <c r="AT208" s="23">
        <f>VALUE(0)</f>
        <v>0</v>
      </c>
      <c r="AU208" s="23">
        <f>VALUE(0)</f>
        <v>0</v>
      </c>
      <c r="AV208" s="23">
        <f>VALUE(0)</f>
        <v>0</v>
      </c>
      <c r="AW208" s="23">
        <f>VALUE(4)</f>
        <v>4</v>
      </c>
      <c r="AX208" s="23">
        <f>VALUE(0)</f>
        <v>0</v>
      </c>
      <c r="AY208" s="23" t="s">
        <v>476</v>
      </c>
      <c r="AZ208" s="23">
        <f>VALUE(0)</f>
        <v>0</v>
      </c>
      <c r="BA208" s="23">
        <f>VALUE(0)</f>
        <v>0</v>
      </c>
      <c r="BB208" s="23">
        <f>VALUE(0)</f>
        <v>0</v>
      </c>
      <c r="BC208" s="23">
        <f>VALUE(0)</f>
        <v>0</v>
      </c>
      <c r="BD208" s="23">
        <f>VALUE(0)</f>
        <v>0</v>
      </c>
      <c r="BE208" s="23">
        <f>VALUE(0)</f>
        <v>0</v>
      </c>
      <c r="BF208" s="23">
        <f>VALUE(0)</f>
        <v>0</v>
      </c>
      <c r="BG208" s="23">
        <f>VALUE(0)</f>
        <v>0</v>
      </c>
      <c r="BH208" s="23">
        <f>VALUE(0)</f>
        <v>0</v>
      </c>
      <c r="BI208" s="23">
        <f>VALUE(0)</f>
        <v>0</v>
      </c>
      <c r="BJ208" s="23">
        <f>VALUE(0)</f>
        <v>0</v>
      </c>
      <c r="BK208" s="12">
        <f>$AX$208*24</f>
        <v>0</v>
      </c>
      <c r="BL208" s="12">
        <f>$AY$208*24</f>
        <v>5.2833333333333332</v>
      </c>
      <c r="BM208" s="12">
        <f>$BJ$208*24</f>
        <v>0</v>
      </c>
      <c r="BN208" s="12">
        <f>VALUE($I$208)/100</f>
        <v>0.5</v>
      </c>
      <c r="BO208" s="12">
        <v>0</v>
      </c>
      <c r="BP208" s="12">
        <v>0</v>
      </c>
      <c r="BQ208" s="12">
        <v>0</v>
      </c>
      <c r="BR208" s="12">
        <v>0</v>
      </c>
      <c r="BS208" s="12">
        <v>0</v>
      </c>
      <c r="BT208" s="12">
        <v>0</v>
      </c>
      <c r="BU208" s="12">
        <v>0</v>
      </c>
      <c r="BV208" s="12">
        <v>0</v>
      </c>
      <c r="BW208" s="12">
        <v>0</v>
      </c>
      <c r="BX208" s="12">
        <v>0</v>
      </c>
      <c r="BY208" s="12">
        <v>0</v>
      </c>
      <c r="BZ208" s="12">
        <v>0</v>
      </c>
      <c r="CA208" s="12">
        <v>0</v>
      </c>
    </row>
    <row r="209" spans="1:79" ht="15" x14ac:dyDescent="0.25">
      <c r="A209" s="12" t="s">
        <v>127</v>
      </c>
      <c r="B209" s="12" t="s">
        <v>128</v>
      </c>
      <c r="C209" s="12" t="s">
        <v>128</v>
      </c>
      <c r="D209" s="31" t="s">
        <v>262</v>
      </c>
      <c r="E209" s="31" t="s">
        <v>153</v>
      </c>
      <c r="F209" s="31" t="s">
        <v>175</v>
      </c>
      <c r="G209" s="31" t="s">
        <v>153</v>
      </c>
      <c r="H209" s="31" t="s">
        <v>153</v>
      </c>
      <c r="I209" s="31" t="s">
        <v>153</v>
      </c>
      <c r="J209" s="31" t="s">
        <v>153</v>
      </c>
      <c r="K209" s="31" t="s">
        <v>153</v>
      </c>
      <c r="L209" s="31">
        <f>VALUE(0)</f>
        <v>0</v>
      </c>
      <c r="M209" s="31">
        <f>VALUE(0)</f>
        <v>0</v>
      </c>
      <c r="N209" s="31">
        <f>VALUE(0)</f>
        <v>0</v>
      </c>
      <c r="O209" s="31">
        <f>VALUE(0)</f>
        <v>0</v>
      </c>
      <c r="P209" s="31">
        <f>VALUE(0)</f>
        <v>0</v>
      </c>
      <c r="Q209" s="31">
        <f>VALUE(0)</f>
        <v>0</v>
      </c>
      <c r="R209" s="31">
        <f>VALUE(0)</f>
        <v>0</v>
      </c>
      <c r="S209" s="31">
        <f>VALUE(0)</f>
        <v>0</v>
      </c>
      <c r="T209" s="31">
        <f>VALUE(0)</f>
        <v>0</v>
      </c>
      <c r="U209" s="31">
        <f>VALUE(0)</f>
        <v>0</v>
      </c>
      <c r="V209" s="31">
        <f>VALUE(0)</f>
        <v>0</v>
      </c>
      <c r="W209" s="31">
        <f>VALUE(0)</f>
        <v>0</v>
      </c>
      <c r="X209" s="31">
        <f>VALUE(0)</f>
        <v>0</v>
      </c>
      <c r="Y209" s="31">
        <f>VALUE(0)</f>
        <v>0</v>
      </c>
      <c r="Z209" s="31">
        <f>VALUE(0)</f>
        <v>0</v>
      </c>
      <c r="AA209" s="31">
        <f>VALUE(0)</f>
        <v>0</v>
      </c>
      <c r="AB209" s="31">
        <f>VALUE(0)</f>
        <v>0</v>
      </c>
      <c r="AC209" s="31">
        <f>VALUE(0)</f>
        <v>0</v>
      </c>
      <c r="AD209" s="31">
        <f>VALUE(0)</f>
        <v>0</v>
      </c>
      <c r="AE209" s="31">
        <f>VALUE(0)</f>
        <v>0</v>
      </c>
      <c r="AF209" s="31">
        <f>VALUE(0)</f>
        <v>0</v>
      </c>
      <c r="AG209" s="31">
        <f>VALUE(0)</f>
        <v>0</v>
      </c>
      <c r="AH209" s="31">
        <f>VALUE(0)</f>
        <v>0</v>
      </c>
      <c r="AI209" s="31">
        <f>VALUE(0)</f>
        <v>0</v>
      </c>
      <c r="AJ209" s="31">
        <f>VALUE(0)</f>
        <v>0</v>
      </c>
      <c r="AK209" s="31">
        <f>VALUE(0)</f>
        <v>0</v>
      </c>
      <c r="AL209" s="31">
        <f>VALUE(0)</f>
        <v>0</v>
      </c>
      <c r="AM209" s="31">
        <f>VALUE(0)</f>
        <v>0</v>
      </c>
      <c r="AN209" s="31">
        <f>VALUE(0)</f>
        <v>0</v>
      </c>
      <c r="AO209" s="31">
        <f>VALUE(0)</f>
        <v>0</v>
      </c>
      <c r="AP209" s="31">
        <v>0</v>
      </c>
      <c r="AQ209" s="31">
        <v>0</v>
      </c>
      <c r="AR209" s="31">
        <v>0</v>
      </c>
      <c r="AS209" s="31">
        <v>0</v>
      </c>
      <c r="AT209" s="31">
        <v>0</v>
      </c>
      <c r="AU209" s="31">
        <v>0</v>
      </c>
      <c r="AV209" s="31">
        <v>0</v>
      </c>
      <c r="AW209" s="31">
        <v>0</v>
      </c>
      <c r="AX209" s="31">
        <v>0</v>
      </c>
      <c r="AY209" s="31">
        <v>0</v>
      </c>
      <c r="AZ209" s="31">
        <v>0</v>
      </c>
      <c r="BA209" s="31">
        <v>0</v>
      </c>
      <c r="BB209" s="31">
        <v>0</v>
      </c>
      <c r="BC209" s="31">
        <v>0</v>
      </c>
      <c r="BD209" s="31">
        <v>0</v>
      </c>
      <c r="BE209" s="31">
        <v>0</v>
      </c>
      <c r="BF209" s="31">
        <v>0</v>
      </c>
      <c r="BG209" s="31">
        <v>0</v>
      </c>
      <c r="BH209" s="31">
        <v>0</v>
      </c>
      <c r="BI209" s="31">
        <v>0</v>
      </c>
      <c r="BJ209" s="31">
        <v>0</v>
      </c>
      <c r="BK209" s="12">
        <v>0</v>
      </c>
      <c r="BL209" s="12">
        <v>0</v>
      </c>
      <c r="BM209" s="12">
        <v>0</v>
      </c>
      <c r="BN209" s="12"/>
      <c r="BO209" s="12">
        <v>0</v>
      </c>
      <c r="BP209" s="12">
        <v>0</v>
      </c>
      <c r="BQ209" s="12">
        <v>0</v>
      </c>
      <c r="BR209" s="12">
        <v>0</v>
      </c>
      <c r="BS209" s="12">
        <v>0</v>
      </c>
      <c r="BT209" s="12">
        <v>0</v>
      </c>
      <c r="BU209" s="12">
        <v>0</v>
      </c>
      <c r="BV209" s="12">
        <v>0</v>
      </c>
      <c r="BW209" s="12">
        <v>0</v>
      </c>
      <c r="BX209" s="12">
        <v>0</v>
      </c>
      <c r="BY209" s="12">
        <v>0</v>
      </c>
      <c r="BZ209" s="12">
        <v>0</v>
      </c>
      <c r="CA209" s="12">
        <v>0</v>
      </c>
    </row>
    <row r="210" spans="1:79" x14ac:dyDescent="0.2">
      <c r="A210" s="12" t="s">
        <v>127</v>
      </c>
      <c r="B210" s="12" t="s">
        <v>129</v>
      </c>
      <c r="C210" s="12" t="s">
        <v>129</v>
      </c>
      <c r="D210" s="22" t="s">
        <v>477</v>
      </c>
      <c r="E210" s="22" t="s">
        <v>173</v>
      </c>
      <c r="F210" s="22" t="s">
        <v>924</v>
      </c>
      <c r="G210" s="22" t="s">
        <v>925</v>
      </c>
      <c r="H210" s="22" t="s">
        <v>166</v>
      </c>
      <c r="I210" s="22" t="s">
        <v>151</v>
      </c>
      <c r="J210" s="22" t="s">
        <v>162</v>
      </c>
      <c r="K210" s="22" t="s">
        <v>87</v>
      </c>
      <c r="L210" s="54" t="s">
        <v>153</v>
      </c>
      <c r="M210" s="32" t="s">
        <v>188</v>
      </c>
      <c r="N210" s="24" t="s">
        <v>153</v>
      </c>
      <c r="O210" s="32" t="s">
        <v>188</v>
      </c>
      <c r="P210" s="32" t="s">
        <v>188</v>
      </c>
      <c r="Q210" s="32" t="s">
        <v>188</v>
      </c>
      <c r="R210" s="32" t="s">
        <v>188</v>
      </c>
      <c r="S210" s="32" t="s">
        <v>188</v>
      </c>
      <c r="T210" s="32" t="s">
        <v>188</v>
      </c>
      <c r="U210" s="24" t="s">
        <v>153</v>
      </c>
      <c r="V210" s="54" t="s">
        <v>153</v>
      </c>
      <c r="W210" s="32" t="s">
        <v>188</v>
      </c>
      <c r="X210" s="32" t="s">
        <v>188</v>
      </c>
      <c r="Y210" s="32" t="s">
        <v>188</v>
      </c>
      <c r="Z210" s="32" t="s">
        <v>188</v>
      </c>
      <c r="AA210" s="32" t="s">
        <v>188</v>
      </c>
      <c r="AB210" s="24" t="s">
        <v>153</v>
      </c>
      <c r="AC210" s="32" t="s">
        <v>188</v>
      </c>
      <c r="AD210" s="32" t="s">
        <v>188</v>
      </c>
      <c r="AE210" s="32" t="s">
        <v>188</v>
      </c>
      <c r="AF210" s="32" t="s">
        <v>188</v>
      </c>
      <c r="AG210" s="32" t="s">
        <v>188</v>
      </c>
      <c r="AH210" s="32" t="s">
        <v>188</v>
      </c>
      <c r="AI210" s="24" t="s">
        <v>153</v>
      </c>
      <c r="AJ210" s="32" t="s">
        <v>188</v>
      </c>
      <c r="AK210" s="32" t="s">
        <v>188</v>
      </c>
      <c r="AL210" s="32" t="s">
        <v>188</v>
      </c>
      <c r="AM210" s="32" t="s">
        <v>188</v>
      </c>
      <c r="AN210" s="32" t="s">
        <v>188</v>
      </c>
      <c r="AO210" s="32" t="s">
        <v>188</v>
      </c>
      <c r="AP210" s="23">
        <f>VALUE(0)</f>
        <v>0</v>
      </c>
      <c r="AQ210" s="23">
        <f>VALUE(0)</f>
        <v>0</v>
      </c>
      <c r="AR210" s="23">
        <f>VALUE(0)</f>
        <v>0</v>
      </c>
      <c r="AS210" s="23">
        <f>VALUE(0)</f>
        <v>0</v>
      </c>
      <c r="AT210" s="23">
        <f>VALUE(0)</f>
        <v>0</v>
      </c>
      <c r="AU210" s="23">
        <f>VALUE(0)</f>
        <v>0</v>
      </c>
      <c r="AV210" s="23">
        <f>VALUE(0.5)</f>
        <v>0.5</v>
      </c>
      <c r="AW210" s="23">
        <f>VALUE(4)</f>
        <v>4</v>
      </c>
      <c r="AX210" s="23" t="s">
        <v>1255</v>
      </c>
      <c r="AY210" s="23">
        <f>VALUE(0)</f>
        <v>0</v>
      </c>
      <c r="AZ210" s="23">
        <f>VALUE(0)</f>
        <v>0</v>
      </c>
      <c r="BA210" s="23">
        <f>VALUE(0)</f>
        <v>0</v>
      </c>
      <c r="BB210" s="23">
        <f>VALUE(0)</f>
        <v>0</v>
      </c>
      <c r="BC210" s="23">
        <f>VALUE(0)</f>
        <v>0</v>
      </c>
      <c r="BD210" s="23">
        <f>VALUE(0)</f>
        <v>0</v>
      </c>
      <c r="BE210" s="23">
        <f>VALUE(0)</f>
        <v>0</v>
      </c>
      <c r="BF210" s="23">
        <f>VALUE(0)</f>
        <v>0</v>
      </c>
      <c r="BG210" s="23">
        <f>VALUE(0)</f>
        <v>0</v>
      </c>
      <c r="BH210" s="23">
        <f>VALUE(24)</f>
        <v>24</v>
      </c>
      <c r="BI210" s="23">
        <f>VALUE(0)</f>
        <v>0</v>
      </c>
      <c r="BJ210" s="23">
        <f>VALUE(0)</f>
        <v>0</v>
      </c>
      <c r="BK210" s="12">
        <f>$AX$210*24</f>
        <v>8.3833333333333329</v>
      </c>
      <c r="BL210" s="12">
        <f>$AY$210*24</f>
        <v>0</v>
      </c>
      <c r="BM210" s="12">
        <f>$BJ$210*24</f>
        <v>0</v>
      </c>
      <c r="BN210" s="12">
        <f>VALUE($I$210)/100</f>
        <v>1</v>
      </c>
      <c r="BO210" s="12">
        <v>0</v>
      </c>
      <c r="BP210" s="12">
        <v>0</v>
      </c>
      <c r="BQ210" s="12">
        <v>0</v>
      </c>
      <c r="BR210" s="12">
        <v>0</v>
      </c>
      <c r="BS210" s="12">
        <v>0</v>
      </c>
      <c r="BT210" s="12">
        <v>0</v>
      </c>
      <c r="BU210" s="12">
        <v>0</v>
      </c>
      <c r="BV210" s="12">
        <v>0</v>
      </c>
      <c r="BW210" s="12">
        <v>0</v>
      </c>
      <c r="BX210" s="12">
        <v>0</v>
      </c>
      <c r="BY210" s="12">
        <v>0</v>
      </c>
      <c r="BZ210" s="12">
        <v>0</v>
      </c>
      <c r="CA210" s="12">
        <v>0</v>
      </c>
    </row>
    <row r="211" spans="1:79" ht="15" x14ac:dyDescent="0.25">
      <c r="A211" s="12" t="s">
        <v>127</v>
      </c>
      <c r="B211" s="12" t="s">
        <v>129</v>
      </c>
      <c r="C211" s="12" t="s">
        <v>129</v>
      </c>
      <c r="D211" s="31" t="s">
        <v>262</v>
      </c>
      <c r="E211" s="31" t="s">
        <v>153</v>
      </c>
      <c r="F211" s="31" t="s">
        <v>175</v>
      </c>
      <c r="G211" s="31" t="s">
        <v>153</v>
      </c>
      <c r="H211" s="31" t="s">
        <v>153</v>
      </c>
      <c r="I211" s="31" t="s">
        <v>153</v>
      </c>
      <c r="J211" s="31" t="s">
        <v>153</v>
      </c>
      <c r="K211" s="31" t="s">
        <v>153</v>
      </c>
      <c r="L211" s="31">
        <f>VALUE(0)</f>
        <v>0</v>
      </c>
      <c r="M211" s="31">
        <f>VALUE(0)</f>
        <v>0</v>
      </c>
      <c r="N211" s="31">
        <f>VALUE(0)</f>
        <v>0</v>
      </c>
      <c r="O211" s="31">
        <f>VALUE(0)</f>
        <v>0</v>
      </c>
      <c r="P211" s="31">
        <f>VALUE(0)</f>
        <v>0</v>
      </c>
      <c r="Q211" s="31">
        <f>VALUE(0)</f>
        <v>0</v>
      </c>
      <c r="R211" s="31">
        <f>VALUE(0)</f>
        <v>0</v>
      </c>
      <c r="S211" s="31">
        <f>VALUE(0)</f>
        <v>0</v>
      </c>
      <c r="T211" s="31">
        <f>VALUE(0)</f>
        <v>0</v>
      </c>
      <c r="U211" s="31">
        <f>VALUE(0)</f>
        <v>0</v>
      </c>
      <c r="V211" s="31">
        <f>VALUE(0)</f>
        <v>0</v>
      </c>
      <c r="W211" s="31">
        <f>VALUE(0)</f>
        <v>0</v>
      </c>
      <c r="X211" s="31">
        <f>VALUE(0)</f>
        <v>0</v>
      </c>
      <c r="Y211" s="31">
        <f>VALUE(0)</f>
        <v>0</v>
      </c>
      <c r="Z211" s="31">
        <f>VALUE(0)</f>
        <v>0</v>
      </c>
      <c r="AA211" s="31">
        <f>VALUE(0)</f>
        <v>0</v>
      </c>
      <c r="AB211" s="31">
        <f>VALUE(0)</f>
        <v>0</v>
      </c>
      <c r="AC211" s="31">
        <f>VALUE(0)</f>
        <v>0</v>
      </c>
      <c r="AD211" s="31">
        <f>VALUE(0)</f>
        <v>0</v>
      </c>
      <c r="AE211" s="31">
        <f>VALUE(0)</f>
        <v>0</v>
      </c>
      <c r="AF211" s="31">
        <f>VALUE(0)</f>
        <v>0</v>
      </c>
      <c r="AG211" s="31">
        <f>VALUE(0)</f>
        <v>0</v>
      </c>
      <c r="AH211" s="31">
        <f>VALUE(0)</f>
        <v>0</v>
      </c>
      <c r="AI211" s="31">
        <f>VALUE(0)</f>
        <v>0</v>
      </c>
      <c r="AJ211" s="31">
        <f>VALUE(0)</f>
        <v>0</v>
      </c>
      <c r="AK211" s="31">
        <f>VALUE(0)</f>
        <v>0</v>
      </c>
      <c r="AL211" s="31">
        <f>VALUE(0)</f>
        <v>0</v>
      </c>
      <c r="AM211" s="31">
        <f>VALUE(0)</f>
        <v>0</v>
      </c>
      <c r="AN211" s="31">
        <f>VALUE(0)</f>
        <v>0</v>
      </c>
      <c r="AO211" s="31">
        <f>VALUE(0)</f>
        <v>0</v>
      </c>
      <c r="AP211" s="31">
        <v>0</v>
      </c>
      <c r="AQ211" s="31">
        <v>0</v>
      </c>
      <c r="AR211" s="31">
        <v>0</v>
      </c>
      <c r="AS211" s="31">
        <v>0</v>
      </c>
      <c r="AT211" s="31">
        <v>0</v>
      </c>
      <c r="AU211" s="31">
        <v>0</v>
      </c>
      <c r="AV211" s="31">
        <v>0</v>
      </c>
      <c r="AW211" s="31">
        <v>0</v>
      </c>
      <c r="AX211" s="31">
        <v>0</v>
      </c>
      <c r="AY211" s="31">
        <v>0</v>
      </c>
      <c r="AZ211" s="31">
        <v>0</v>
      </c>
      <c r="BA211" s="31">
        <v>0</v>
      </c>
      <c r="BB211" s="31">
        <v>0</v>
      </c>
      <c r="BC211" s="31">
        <v>0</v>
      </c>
      <c r="BD211" s="31">
        <v>0</v>
      </c>
      <c r="BE211" s="31">
        <v>0</v>
      </c>
      <c r="BF211" s="31">
        <v>0</v>
      </c>
      <c r="BG211" s="31">
        <v>0</v>
      </c>
      <c r="BH211" s="31">
        <v>0</v>
      </c>
      <c r="BI211" s="31">
        <v>0</v>
      </c>
      <c r="BJ211" s="31">
        <v>0</v>
      </c>
      <c r="BK211" s="12">
        <v>0</v>
      </c>
      <c r="BL211" s="12">
        <v>0</v>
      </c>
      <c r="BM211" s="12">
        <v>0</v>
      </c>
      <c r="BN211" s="12"/>
      <c r="BO211" s="12">
        <v>0</v>
      </c>
      <c r="BP211" s="12">
        <v>0</v>
      </c>
      <c r="BQ211" s="12">
        <v>0</v>
      </c>
      <c r="BR211" s="12">
        <v>0</v>
      </c>
      <c r="BS211" s="12">
        <v>0</v>
      </c>
      <c r="BT211" s="12">
        <v>0</v>
      </c>
      <c r="BU211" s="12">
        <v>0</v>
      </c>
      <c r="BV211" s="12">
        <v>0</v>
      </c>
      <c r="BW211" s="12">
        <v>0</v>
      </c>
      <c r="BX211" s="12">
        <v>0</v>
      </c>
      <c r="BY211" s="12">
        <v>0</v>
      </c>
      <c r="BZ211" s="12">
        <v>0</v>
      </c>
      <c r="CA211" s="12">
        <v>0</v>
      </c>
    </row>
    <row r="212" spans="1:79" x14ac:dyDescent="0.2">
      <c r="A212" s="12" t="s">
        <v>127</v>
      </c>
      <c r="B212" s="12" t="s">
        <v>130</v>
      </c>
      <c r="C212" s="12" t="s">
        <v>130</v>
      </c>
      <c r="D212" s="22" t="s">
        <v>478</v>
      </c>
      <c r="E212" s="22" t="s">
        <v>173</v>
      </c>
      <c r="F212" s="22" t="s">
        <v>926</v>
      </c>
      <c r="G212" s="22" t="s">
        <v>927</v>
      </c>
      <c r="H212" s="22" t="s">
        <v>150</v>
      </c>
      <c r="I212" s="22" t="s">
        <v>151</v>
      </c>
      <c r="J212" s="22" t="s">
        <v>162</v>
      </c>
      <c r="K212" s="22" t="s">
        <v>88</v>
      </c>
      <c r="L212" s="54" t="s">
        <v>153</v>
      </c>
      <c r="M212" s="33" t="s">
        <v>475</v>
      </c>
      <c r="N212" s="24" t="s">
        <v>153</v>
      </c>
      <c r="O212" s="33" t="s">
        <v>475</v>
      </c>
      <c r="P212" s="33" t="s">
        <v>475</v>
      </c>
      <c r="Q212" s="33" t="s">
        <v>475</v>
      </c>
      <c r="R212" s="33" t="s">
        <v>475</v>
      </c>
      <c r="S212" s="33" t="s">
        <v>475</v>
      </c>
      <c r="T212" s="33" t="s">
        <v>475</v>
      </c>
      <c r="U212" s="24" t="s">
        <v>153</v>
      </c>
      <c r="V212" s="54" t="s">
        <v>156</v>
      </c>
      <c r="W212" s="33" t="s">
        <v>475</v>
      </c>
      <c r="X212" s="33" t="s">
        <v>475</v>
      </c>
      <c r="Y212" s="33" t="s">
        <v>475</v>
      </c>
      <c r="Z212" s="33" t="s">
        <v>475</v>
      </c>
      <c r="AA212" s="33" t="s">
        <v>475</v>
      </c>
      <c r="AB212" s="24" t="s">
        <v>153</v>
      </c>
      <c r="AC212" s="33" t="s">
        <v>475</v>
      </c>
      <c r="AD212" s="33" t="s">
        <v>475</v>
      </c>
      <c r="AE212" s="33" t="s">
        <v>475</v>
      </c>
      <c r="AF212" s="33" t="s">
        <v>475</v>
      </c>
      <c r="AG212" s="33" t="s">
        <v>475</v>
      </c>
      <c r="AH212" s="33" t="s">
        <v>475</v>
      </c>
      <c r="AI212" s="24" t="s">
        <v>153</v>
      </c>
      <c r="AJ212" s="33" t="s">
        <v>475</v>
      </c>
      <c r="AK212" s="33" t="s">
        <v>475</v>
      </c>
      <c r="AL212" s="33" t="s">
        <v>475</v>
      </c>
      <c r="AM212" s="33" t="s">
        <v>475</v>
      </c>
      <c r="AN212" s="33" t="s">
        <v>475</v>
      </c>
      <c r="AO212" s="33" t="s">
        <v>475</v>
      </c>
      <c r="AP212" s="23">
        <f>VALUE(0)</f>
        <v>0</v>
      </c>
      <c r="AQ212" s="23">
        <f>VALUE(0)</f>
        <v>0</v>
      </c>
      <c r="AR212" s="23">
        <f>VALUE(0)</f>
        <v>0</v>
      </c>
      <c r="AS212" s="23">
        <f>VALUE(0)</f>
        <v>0</v>
      </c>
      <c r="AT212" s="23">
        <f>VALUE(0)</f>
        <v>0</v>
      </c>
      <c r="AU212" s="23">
        <f>VALUE(0)</f>
        <v>0</v>
      </c>
      <c r="AV212" s="23">
        <f>VALUE(0)</f>
        <v>0</v>
      </c>
      <c r="AW212" s="23">
        <f>VALUE(5)</f>
        <v>5</v>
      </c>
      <c r="AX212" s="23" t="s">
        <v>1256</v>
      </c>
      <c r="AY212" s="23">
        <f>VALUE(0)</f>
        <v>0</v>
      </c>
      <c r="AZ212" s="23">
        <f>VALUE(0)</f>
        <v>0</v>
      </c>
      <c r="BA212" s="23">
        <f>VALUE(0)</f>
        <v>0</v>
      </c>
      <c r="BB212" s="23">
        <f>VALUE(0)</f>
        <v>0</v>
      </c>
      <c r="BC212" s="23">
        <f>VALUE(0)</f>
        <v>0</v>
      </c>
      <c r="BD212" s="23">
        <f>VALUE(0)</f>
        <v>0</v>
      </c>
      <c r="BE212" s="23">
        <f>VALUE(0)</f>
        <v>0</v>
      </c>
      <c r="BF212" s="23">
        <f>VALUE(0)</f>
        <v>0</v>
      </c>
      <c r="BG212" s="23">
        <f>VALUE(0)</f>
        <v>0</v>
      </c>
      <c r="BH212" s="23">
        <f>VALUE(0)</f>
        <v>0</v>
      </c>
      <c r="BI212" s="23">
        <f>VALUE(0)</f>
        <v>0</v>
      </c>
      <c r="BJ212" s="23">
        <f>VALUE(0)</f>
        <v>0</v>
      </c>
      <c r="BK212" s="12">
        <f>$AX$212*24</f>
        <v>22.5</v>
      </c>
      <c r="BL212" s="12">
        <f>$AY$212*24</f>
        <v>0</v>
      </c>
      <c r="BM212" s="12">
        <f>$BJ$212*24</f>
        <v>0</v>
      </c>
      <c r="BN212" s="12">
        <f>VALUE($I$212)/100</f>
        <v>1</v>
      </c>
      <c r="BO212" s="12">
        <v>0</v>
      </c>
      <c r="BP212" s="12">
        <v>0</v>
      </c>
      <c r="BQ212" s="12">
        <v>0</v>
      </c>
      <c r="BR212" s="12">
        <v>0</v>
      </c>
      <c r="BS212" s="12">
        <v>0</v>
      </c>
      <c r="BT212" s="12">
        <v>0</v>
      </c>
      <c r="BU212" s="12">
        <v>0</v>
      </c>
      <c r="BV212" s="12">
        <v>0</v>
      </c>
      <c r="BW212" s="12">
        <v>0</v>
      </c>
      <c r="BX212" s="12">
        <v>0</v>
      </c>
      <c r="BY212" s="12">
        <v>0</v>
      </c>
      <c r="BZ212" s="12">
        <v>0</v>
      </c>
      <c r="CA212" s="12">
        <v>0</v>
      </c>
    </row>
    <row r="213" spans="1:79" x14ac:dyDescent="0.2">
      <c r="A213" s="12" t="s">
        <v>127</v>
      </c>
      <c r="B213" s="12" t="s">
        <v>130</v>
      </c>
      <c r="C213" s="12" t="s">
        <v>130</v>
      </c>
      <c r="D213" s="22" t="s">
        <v>478</v>
      </c>
      <c r="E213" s="22" t="s">
        <v>173</v>
      </c>
      <c r="F213" s="22" t="s">
        <v>928</v>
      </c>
      <c r="G213" s="22" t="s">
        <v>929</v>
      </c>
      <c r="H213" s="22" t="s">
        <v>150</v>
      </c>
      <c r="I213" s="22" t="s">
        <v>151</v>
      </c>
      <c r="J213" s="22" t="s">
        <v>162</v>
      </c>
      <c r="K213" s="22" t="s">
        <v>88</v>
      </c>
      <c r="L213" s="54" t="s">
        <v>153</v>
      </c>
      <c r="M213" s="33" t="s">
        <v>475</v>
      </c>
      <c r="N213" s="24" t="s">
        <v>153</v>
      </c>
      <c r="O213" s="33" t="s">
        <v>475</v>
      </c>
      <c r="P213" s="33" t="s">
        <v>475</v>
      </c>
      <c r="Q213" s="33" t="s">
        <v>475</v>
      </c>
      <c r="R213" s="33" t="s">
        <v>475</v>
      </c>
      <c r="S213" s="33" t="s">
        <v>475</v>
      </c>
      <c r="T213" s="33" t="s">
        <v>475</v>
      </c>
      <c r="U213" s="24" t="s">
        <v>153</v>
      </c>
      <c r="V213" s="54" t="s">
        <v>153</v>
      </c>
      <c r="W213" s="33" t="s">
        <v>475</v>
      </c>
      <c r="X213" s="33" t="s">
        <v>475</v>
      </c>
      <c r="Y213" s="33" t="s">
        <v>475</v>
      </c>
      <c r="Z213" s="33" t="s">
        <v>475</v>
      </c>
      <c r="AA213" s="33" t="s">
        <v>475</v>
      </c>
      <c r="AB213" s="24" t="s">
        <v>153</v>
      </c>
      <c r="AC213" s="33" t="s">
        <v>475</v>
      </c>
      <c r="AD213" s="33" t="s">
        <v>475</v>
      </c>
      <c r="AE213" s="33" t="s">
        <v>475</v>
      </c>
      <c r="AF213" s="33" t="s">
        <v>475</v>
      </c>
      <c r="AG213" s="33" t="s">
        <v>475</v>
      </c>
      <c r="AH213" s="33" t="s">
        <v>475</v>
      </c>
      <c r="AI213" s="24" t="s">
        <v>153</v>
      </c>
      <c r="AJ213" s="33" t="s">
        <v>475</v>
      </c>
      <c r="AK213" s="33" t="s">
        <v>475</v>
      </c>
      <c r="AL213" s="33" t="s">
        <v>475</v>
      </c>
      <c r="AM213" s="33" t="s">
        <v>475</v>
      </c>
      <c r="AN213" s="33" t="s">
        <v>475</v>
      </c>
      <c r="AO213" s="33" t="s">
        <v>475</v>
      </c>
      <c r="AP213" s="23">
        <f>VALUE(0)</f>
        <v>0</v>
      </c>
      <c r="AQ213" s="23">
        <f>VALUE(0)</f>
        <v>0</v>
      </c>
      <c r="AR213" s="23">
        <f>VALUE(0)</f>
        <v>0</v>
      </c>
      <c r="AS213" s="23">
        <f>VALUE(0)</f>
        <v>0</v>
      </c>
      <c r="AT213" s="23">
        <f>VALUE(0)</f>
        <v>0</v>
      </c>
      <c r="AU213" s="23">
        <f>VALUE(0)</f>
        <v>0</v>
      </c>
      <c r="AV213" s="23">
        <f>VALUE(0)</f>
        <v>0</v>
      </c>
      <c r="AW213" s="23">
        <f>VALUE(0)</f>
        <v>0</v>
      </c>
      <c r="AX213" s="23" t="s">
        <v>171</v>
      </c>
      <c r="AY213" s="23" t="s">
        <v>214</v>
      </c>
      <c r="AZ213" s="23">
        <f>VALUE(0)</f>
        <v>0</v>
      </c>
      <c r="BA213" s="23">
        <f>VALUE(0)</f>
        <v>0</v>
      </c>
      <c r="BB213" s="23">
        <f>VALUE(0)</f>
        <v>0</v>
      </c>
      <c r="BC213" s="23">
        <f>VALUE(0)</f>
        <v>0</v>
      </c>
      <c r="BD213" s="23">
        <f>VALUE(0)</f>
        <v>0</v>
      </c>
      <c r="BE213" s="23">
        <f>VALUE(0)</f>
        <v>0</v>
      </c>
      <c r="BF213" s="23">
        <f>VALUE(0)</f>
        <v>0</v>
      </c>
      <c r="BG213" s="23">
        <f>VALUE(0)</f>
        <v>0</v>
      </c>
      <c r="BH213" s="23">
        <f>VALUE(0)</f>
        <v>0</v>
      </c>
      <c r="BI213" s="23">
        <f>VALUE(0)</f>
        <v>0</v>
      </c>
      <c r="BJ213" s="23">
        <f>VALUE(0)</f>
        <v>0</v>
      </c>
      <c r="BK213" s="12">
        <f>$AX$213*24</f>
        <v>5.833333333333333</v>
      </c>
      <c r="BL213" s="12">
        <f>$AY$213*24</f>
        <v>2.4</v>
      </c>
      <c r="BM213" s="12">
        <f>$BJ$213*24</f>
        <v>0</v>
      </c>
      <c r="BN213" s="12">
        <f>VALUE($I$213)/100</f>
        <v>1</v>
      </c>
      <c r="BO213" s="12">
        <v>0</v>
      </c>
      <c r="BP213" s="12">
        <v>0</v>
      </c>
      <c r="BQ213" s="12">
        <v>0</v>
      </c>
      <c r="BR213" s="12">
        <v>0</v>
      </c>
      <c r="BS213" s="12">
        <v>0</v>
      </c>
      <c r="BT213" s="12">
        <v>0</v>
      </c>
      <c r="BU213" s="12">
        <v>0</v>
      </c>
      <c r="BV213" s="12">
        <v>0</v>
      </c>
      <c r="BW213" s="12">
        <v>0</v>
      </c>
      <c r="BX213" s="12">
        <v>0</v>
      </c>
      <c r="BY213" s="12">
        <v>0</v>
      </c>
      <c r="BZ213" s="12">
        <v>0</v>
      </c>
      <c r="CA213" s="12">
        <v>0</v>
      </c>
    </row>
    <row r="214" spans="1:79" x14ac:dyDescent="0.2">
      <c r="A214" s="12" t="s">
        <v>127</v>
      </c>
      <c r="B214" s="12" t="s">
        <v>130</v>
      </c>
      <c r="C214" s="12" t="s">
        <v>130</v>
      </c>
      <c r="D214" s="22" t="s">
        <v>478</v>
      </c>
      <c r="E214" s="22" t="s">
        <v>173</v>
      </c>
      <c r="F214" s="22" t="s">
        <v>1257</v>
      </c>
      <c r="G214" s="22" t="s">
        <v>930</v>
      </c>
      <c r="H214" s="22" t="s">
        <v>166</v>
      </c>
      <c r="I214" s="22" t="s">
        <v>151</v>
      </c>
      <c r="J214" s="22" t="s">
        <v>162</v>
      </c>
      <c r="K214" s="22" t="s">
        <v>88</v>
      </c>
      <c r="L214" s="54" t="s">
        <v>153</v>
      </c>
      <c r="M214" s="33" t="s">
        <v>475</v>
      </c>
      <c r="N214" s="24" t="s">
        <v>153</v>
      </c>
      <c r="O214" s="33" t="s">
        <v>475</v>
      </c>
      <c r="P214" s="33" t="s">
        <v>475</v>
      </c>
      <c r="Q214" s="33" t="s">
        <v>475</v>
      </c>
      <c r="R214" s="33" t="s">
        <v>475</v>
      </c>
      <c r="S214" s="33" t="s">
        <v>475</v>
      </c>
      <c r="T214" s="33" t="s">
        <v>475</v>
      </c>
      <c r="U214" s="24" t="s">
        <v>153</v>
      </c>
      <c r="V214" s="54" t="s">
        <v>153</v>
      </c>
      <c r="W214" s="33" t="s">
        <v>475</v>
      </c>
      <c r="X214" s="33" t="s">
        <v>475</v>
      </c>
      <c r="Y214" s="33" t="s">
        <v>475</v>
      </c>
      <c r="Z214" s="33" t="s">
        <v>475</v>
      </c>
      <c r="AA214" s="33" t="s">
        <v>475</v>
      </c>
      <c r="AB214" s="24" t="s">
        <v>153</v>
      </c>
      <c r="AC214" s="33" t="s">
        <v>475</v>
      </c>
      <c r="AD214" s="33" t="s">
        <v>475</v>
      </c>
      <c r="AE214" s="33" t="s">
        <v>475</v>
      </c>
      <c r="AF214" s="33" t="s">
        <v>475</v>
      </c>
      <c r="AG214" s="33" t="s">
        <v>475</v>
      </c>
      <c r="AH214" s="33" t="s">
        <v>475</v>
      </c>
      <c r="AI214" s="24" t="s">
        <v>153</v>
      </c>
      <c r="AJ214" s="33" t="s">
        <v>475</v>
      </c>
      <c r="AK214" s="33" t="s">
        <v>475</v>
      </c>
      <c r="AL214" s="33" t="s">
        <v>475</v>
      </c>
      <c r="AM214" s="33" t="s">
        <v>475</v>
      </c>
      <c r="AN214" s="33" t="s">
        <v>475</v>
      </c>
      <c r="AO214" s="33" t="s">
        <v>475</v>
      </c>
      <c r="AP214" s="23">
        <f>VALUE(0)</f>
        <v>0</v>
      </c>
      <c r="AQ214" s="23">
        <f>VALUE(0)</f>
        <v>0</v>
      </c>
      <c r="AR214" s="23">
        <f>VALUE(0)</f>
        <v>0</v>
      </c>
      <c r="AS214" s="23">
        <f>VALUE(0)</f>
        <v>0</v>
      </c>
      <c r="AT214" s="23">
        <f>VALUE(0)</f>
        <v>0</v>
      </c>
      <c r="AU214" s="23">
        <f>VALUE(0)</f>
        <v>0</v>
      </c>
      <c r="AV214" s="23">
        <f>VALUE(0.5)</f>
        <v>0.5</v>
      </c>
      <c r="AW214" s="23">
        <f>VALUE(0)</f>
        <v>0</v>
      </c>
      <c r="AX214" s="23" t="s">
        <v>479</v>
      </c>
      <c r="AY214" s="23">
        <f>VALUE(0)</f>
        <v>0</v>
      </c>
      <c r="AZ214" s="23">
        <f>VALUE(0)</f>
        <v>0</v>
      </c>
      <c r="BA214" s="23">
        <f>VALUE(0)</f>
        <v>0</v>
      </c>
      <c r="BB214" s="23">
        <f>VALUE(0)</f>
        <v>0</v>
      </c>
      <c r="BC214" s="23">
        <f>VALUE(0)</f>
        <v>0</v>
      </c>
      <c r="BD214" s="23">
        <f>VALUE(0)</f>
        <v>0</v>
      </c>
      <c r="BE214" s="23">
        <f>VALUE(0)</f>
        <v>0</v>
      </c>
      <c r="BF214" s="23">
        <f>VALUE(0)</f>
        <v>0</v>
      </c>
      <c r="BG214" s="23">
        <f>VALUE(0)</f>
        <v>0</v>
      </c>
      <c r="BH214" s="23">
        <f>VALUE(0)</f>
        <v>0</v>
      </c>
      <c r="BI214" s="23">
        <f>VALUE(0)</f>
        <v>0</v>
      </c>
      <c r="BJ214" s="23">
        <f>VALUE(0)</f>
        <v>0</v>
      </c>
      <c r="BK214" s="12">
        <f>$AX$214*24</f>
        <v>4.5999999999999996</v>
      </c>
      <c r="BL214" s="12">
        <f>$AY$214*24</f>
        <v>0</v>
      </c>
      <c r="BM214" s="12">
        <f>$BJ$214*24</f>
        <v>0</v>
      </c>
      <c r="BN214" s="12">
        <f>VALUE($I$214)/100</f>
        <v>1</v>
      </c>
      <c r="BO214" s="12">
        <v>0</v>
      </c>
      <c r="BP214" s="12">
        <v>0</v>
      </c>
      <c r="BQ214" s="12">
        <v>0</v>
      </c>
      <c r="BR214" s="12">
        <v>0</v>
      </c>
      <c r="BS214" s="12">
        <v>0</v>
      </c>
      <c r="BT214" s="12">
        <v>0</v>
      </c>
      <c r="BU214" s="12">
        <v>0</v>
      </c>
      <c r="BV214" s="12">
        <v>0</v>
      </c>
      <c r="BW214" s="12">
        <v>0</v>
      </c>
      <c r="BX214" s="12">
        <v>0</v>
      </c>
      <c r="BY214" s="12">
        <v>0</v>
      </c>
      <c r="BZ214" s="12">
        <v>0</v>
      </c>
      <c r="CA214" s="12">
        <v>0</v>
      </c>
    </row>
    <row r="215" spans="1:79" ht="15" x14ac:dyDescent="0.25">
      <c r="A215" s="12" t="s">
        <v>127</v>
      </c>
      <c r="B215" s="12" t="s">
        <v>130</v>
      </c>
      <c r="C215" s="12" t="s">
        <v>130</v>
      </c>
      <c r="D215" s="31" t="s">
        <v>1258</v>
      </c>
      <c r="E215" s="31" t="s">
        <v>153</v>
      </c>
      <c r="F215" s="31" t="s">
        <v>175</v>
      </c>
      <c r="G215" s="31" t="s">
        <v>153</v>
      </c>
      <c r="H215" s="31" t="s">
        <v>153</v>
      </c>
      <c r="I215" s="31" t="s">
        <v>153</v>
      </c>
      <c r="J215" s="31" t="s">
        <v>153</v>
      </c>
      <c r="K215" s="31" t="s">
        <v>153</v>
      </c>
      <c r="L215" s="31">
        <f>VALUE(0)</f>
        <v>0</v>
      </c>
      <c r="M215" s="31">
        <f>VALUE(0)</f>
        <v>0</v>
      </c>
      <c r="N215" s="31">
        <f>VALUE(0)</f>
        <v>0</v>
      </c>
      <c r="O215" s="31">
        <f>VALUE(0)</f>
        <v>0</v>
      </c>
      <c r="P215" s="31">
        <f>VALUE(0)</f>
        <v>0</v>
      </c>
      <c r="Q215" s="31">
        <f>VALUE(0)</f>
        <v>0</v>
      </c>
      <c r="R215" s="31">
        <f>VALUE(0)</f>
        <v>0</v>
      </c>
      <c r="S215" s="31">
        <f>VALUE(0)</f>
        <v>0</v>
      </c>
      <c r="T215" s="31">
        <f>VALUE(0)</f>
        <v>0</v>
      </c>
      <c r="U215" s="31">
        <f>VALUE(0)</f>
        <v>0</v>
      </c>
      <c r="V215" s="31">
        <f>VALUE(0)</f>
        <v>0</v>
      </c>
      <c r="W215" s="31">
        <f>VALUE(0)</f>
        <v>0</v>
      </c>
      <c r="X215" s="31">
        <f>VALUE(0)</f>
        <v>0</v>
      </c>
      <c r="Y215" s="31">
        <f>VALUE(0)</f>
        <v>0</v>
      </c>
      <c r="Z215" s="31">
        <f>VALUE(0)</f>
        <v>0</v>
      </c>
      <c r="AA215" s="31">
        <f>VALUE(0)</f>
        <v>0</v>
      </c>
      <c r="AB215" s="31">
        <f>VALUE(0)</f>
        <v>0</v>
      </c>
      <c r="AC215" s="31">
        <f>VALUE(0)</f>
        <v>0</v>
      </c>
      <c r="AD215" s="31">
        <f>VALUE(0)</f>
        <v>0</v>
      </c>
      <c r="AE215" s="31">
        <f>VALUE(0)</f>
        <v>0</v>
      </c>
      <c r="AF215" s="31">
        <f>VALUE(0)</f>
        <v>0</v>
      </c>
      <c r="AG215" s="31">
        <f>VALUE(0)</f>
        <v>0</v>
      </c>
      <c r="AH215" s="31">
        <f>VALUE(0)</f>
        <v>0</v>
      </c>
      <c r="AI215" s="31">
        <f>VALUE(0)</f>
        <v>0</v>
      </c>
      <c r="AJ215" s="31">
        <f>VALUE(0)</f>
        <v>0</v>
      </c>
      <c r="AK215" s="31">
        <f>VALUE(0)</f>
        <v>0</v>
      </c>
      <c r="AL215" s="31">
        <f>VALUE(0)</f>
        <v>0</v>
      </c>
      <c r="AM215" s="31">
        <f>VALUE(0)</f>
        <v>0</v>
      </c>
      <c r="AN215" s="31">
        <f>VALUE(0)</f>
        <v>0</v>
      </c>
      <c r="AO215" s="31">
        <f>VALUE(0)</f>
        <v>0</v>
      </c>
      <c r="AP215" s="31">
        <v>0</v>
      </c>
      <c r="AQ215" s="31">
        <v>0</v>
      </c>
      <c r="AR215" s="31">
        <v>0</v>
      </c>
      <c r="AS215" s="31">
        <v>0</v>
      </c>
      <c r="AT215" s="31">
        <v>0</v>
      </c>
      <c r="AU215" s="31">
        <v>0</v>
      </c>
      <c r="AV215" s="31">
        <v>0</v>
      </c>
      <c r="AW215" s="31">
        <v>0</v>
      </c>
      <c r="AX215" s="31">
        <v>0</v>
      </c>
      <c r="AY215" s="31">
        <v>0</v>
      </c>
      <c r="AZ215" s="31">
        <v>0</v>
      </c>
      <c r="BA215" s="31">
        <v>0</v>
      </c>
      <c r="BB215" s="31">
        <v>0</v>
      </c>
      <c r="BC215" s="31">
        <v>0</v>
      </c>
      <c r="BD215" s="31">
        <v>0</v>
      </c>
      <c r="BE215" s="31">
        <v>0</v>
      </c>
      <c r="BF215" s="31">
        <v>0</v>
      </c>
      <c r="BG215" s="31">
        <v>0</v>
      </c>
      <c r="BH215" s="31">
        <v>0</v>
      </c>
      <c r="BI215" s="31">
        <v>0</v>
      </c>
      <c r="BJ215" s="31">
        <v>0</v>
      </c>
      <c r="BK215" s="12">
        <v>0</v>
      </c>
      <c r="BL215" s="12">
        <v>0</v>
      </c>
      <c r="BM215" s="12">
        <v>0</v>
      </c>
      <c r="BN215" s="12"/>
      <c r="BO215" s="12">
        <v>0</v>
      </c>
      <c r="BP215" s="12">
        <v>0</v>
      </c>
      <c r="BQ215" s="12">
        <v>0</v>
      </c>
      <c r="BR215" s="12">
        <v>0</v>
      </c>
      <c r="BS215" s="12">
        <v>0</v>
      </c>
      <c r="BT215" s="12">
        <v>0</v>
      </c>
      <c r="BU215" s="12">
        <v>0</v>
      </c>
      <c r="BV215" s="12">
        <v>0</v>
      </c>
      <c r="BW215" s="12">
        <v>0</v>
      </c>
      <c r="BX215" s="12">
        <v>0</v>
      </c>
      <c r="BY215" s="12">
        <v>0</v>
      </c>
      <c r="BZ215" s="12">
        <v>0</v>
      </c>
      <c r="CA215" s="12">
        <v>0</v>
      </c>
    </row>
    <row r="216" spans="1:79" x14ac:dyDescent="0.2">
      <c r="A216" s="12" t="s">
        <v>127</v>
      </c>
      <c r="B216" s="12" t="s">
        <v>131</v>
      </c>
      <c r="C216" s="12" t="s">
        <v>131</v>
      </c>
      <c r="D216" s="22" t="s">
        <v>480</v>
      </c>
      <c r="E216" s="22" t="s">
        <v>173</v>
      </c>
      <c r="F216" s="22" t="s">
        <v>931</v>
      </c>
      <c r="G216" s="22" t="s">
        <v>932</v>
      </c>
      <c r="H216" s="22" t="s">
        <v>150</v>
      </c>
      <c r="I216" s="22" t="s">
        <v>343</v>
      </c>
      <c r="J216" s="22" t="s">
        <v>162</v>
      </c>
      <c r="K216" s="22" t="s">
        <v>89</v>
      </c>
      <c r="L216" s="54" t="s">
        <v>153</v>
      </c>
      <c r="M216" s="33" t="s">
        <v>475</v>
      </c>
      <c r="N216" s="24" t="s">
        <v>153</v>
      </c>
      <c r="O216" s="33" t="s">
        <v>475</v>
      </c>
      <c r="P216" s="33" t="s">
        <v>475</v>
      </c>
      <c r="Q216" s="33" t="s">
        <v>475</v>
      </c>
      <c r="R216" s="33" t="s">
        <v>475</v>
      </c>
      <c r="S216" s="33" t="s">
        <v>475</v>
      </c>
      <c r="T216" s="33" t="s">
        <v>475</v>
      </c>
      <c r="U216" s="24" t="s">
        <v>153</v>
      </c>
      <c r="V216" s="54" t="s">
        <v>153</v>
      </c>
      <c r="W216" s="33" t="s">
        <v>475</v>
      </c>
      <c r="X216" s="33" t="s">
        <v>475</v>
      </c>
      <c r="Y216" s="33" t="s">
        <v>475</v>
      </c>
      <c r="Z216" s="33" t="s">
        <v>475</v>
      </c>
      <c r="AA216" s="33" t="s">
        <v>475</v>
      </c>
      <c r="AB216" s="24" t="s">
        <v>153</v>
      </c>
      <c r="AC216" s="33" t="s">
        <v>475</v>
      </c>
      <c r="AD216" s="33" t="s">
        <v>475</v>
      </c>
      <c r="AE216" s="33" t="s">
        <v>475</v>
      </c>
      <c r="AF216" s="33" t="s">
        <v>475</v>
      </c>
      <c r="AG216" s="33" t="s">
        <v>475</v>
      </c>
      <c r="AH216" s="33" t="s">
        <v>475</v>
      </c>
      <c r="AI216" s="24" t="s">
        <v>153</v>
      </c>
      <c r="AJ216" s="33" t="s">
        <v>475</v>
      </c>
      <c r="AK216" s="33" t="s">
        <v>475</v>
      </c>
      <c r="AL216" s="33" t="s">
        <v>475</v>
      </c>
      <c r="AM216" s="33" t="s">
        <v>475</v>
      </c>
      <c r="AN216" s="33" t="s">
        <v>475</v>
      </c>
      <c r="AO216" s="33" t="s">
        <v>475</v>
      </c>
      <c r="AP216" s="23">
        <f>VALUE(0)</f>
        <v>0</v>
      </c>
      <c r="AQ216" s="23">
        <f>VALUE(0)</f>
        <v>0</v>
      </c>
      <c r="AR216" s="23">
        <f>VALUE(0)</f>
        <v>0</v>
      </c>
      <c r="AS216" s="23">
        <f>VALUE(0)</f>
        <v>0</v>
      </c>
      <c r="AT216" s="23">
        <f>VALUE(0)</f>
        <v>0</v>
      </c>
      <c r="AU216" s="23">
        <f>VALUE(0)</f>
        <v>0</v>
      </c>
      <c r="AV216" s="23">
        <f>VALUE(0)</f>
        <v>0</v>
      </c>
      <c r="AW216" s="23">
        <f>VALUE(0)</f>
        <v>0</v>
      </c>
      <c r="AX216" s="23" t="s">
        <v>481</v>
      </c>
      <c r="AY216" s="23" t="s">
        <v>403</v>
      </c>
      <c r="AZ216" s="23">
        <f>VALUE(0)</f>
        <v>0</v>
      </c>
      <c r="BA216" s="23">
        <f>VALUE(0)</f>
        <v>0</v>
      </c>
      <c r="BB216" s="23">
        <f>VALUE(0)</f>
        <v>0</v>
      </c>
      <c r="BC216" s="23">
        <f>VALUE(0)</f>
        <v>0</v>
      </c>
      <c r="BD216" s="23">
        <f>VALUE(0)</f>
        <v>0</v>
      </c>
      <c r="BE216" s="23">
        <f>VALUE(0)</f>
        <v>0</v>
      </c>
      <c r="BF216" s="23">
        <f>VALUE(0)</f>
        <v>0</v>
      </c>
      <c r="BG216" s="23">
        <f>VALUE(0)</f>
        <v>0</v>
      </c>
      <c r="BH216" s="23">
        <f>VALUE(0)</f>
        <v>0</v>
      </c>
      <c r="BI216" s="23">
        <f>VALUE(0)</f>
        <v>0</v>
      </c>
      <c r="BJ216" s="23">
        <f>VALUE(0)</f>
        <v>0</v>
      </c>
      <c r="BK216" s="12">
        <f>$AX$216*24</f>
        <v>8.1666666666666661</v>
      </c>
      <c r="BL216" s="12">
        <f>$AY$216*24</f>
        <v>2.1</v>
      </c>
      <c r="BM216" s="12">
        <f>$BJ$216*24</f>
        <v>0</v>
      </c>
      <c r="BN216" s="12">
        <f>VALUE($I$216)/100</f>
        <v>0.7</v>
      </c>
      <c r="BO216" s="12">
        <v>0</v>
      </c>
      <c r="BP216" s="12">
        <v>0</v>
      </c>
      <c r="BQ216" s="12">
        <v>0</v>
      </c>
      <c r="BR216" s="12">
        <v>0</v>
      </c>
      <c r="BS216" s="12">
        <v>0</v>
      </c>
      <c r="BT216" s="12">
        <v>0</v>
      </c>
      <c r="BU216" s="12">
        <v>0</v>
      </c>
      <c r="BV216" s="12">
        <v>0</v>
      </c>
      <c r="BW216" s="12">
        <v>0</v>
      </c>
      <c r="BX216" s="12">
        <v>0</v>
      </c>
      <c r="BY216" s="12">
        <v>0</v>
      </c>
      <c r="BZ216" s="12">
        <v>0</v>
      </c>
      <c r="CA216" s="12">
        <v>0</v>
      </c>
    </row>
    <row r="217" spans="1:79" x14ac:dyDescent="0.2">
      <c r="A217" s="12" t="s">
        <v>127</v>
      </c>
      <c r="B217" s="12" t="s">
        <v>131</v>
      </c>
      <c r="C217" s="12" t="s">
        <v>131</v>
      </c>
      <c r="D217" s="22" t="s">
        <v>480</v>
      </c>
      <c r="E217" s="22" t="s">
        <v>173</v>
      </c>
      <c r="F217" s="22" t="s">
        <v>933</v>
      </c>
      <c r="G217" s="22" t="s">
        <v>934</v>
      </c>
      <c r="H217" s="22" t="s">
        <v>150</v>
      </c>
      <c r="I217" s="22" t="s">
        <v>343</v>
      </c>
      <c r="J217" s="22" t="s">
        <v>162</v>
      </c>
      <c r="K217" s="22" t="s">
        <v>89</v>
      </c>
      <c r="L217" s="54" t="s">
        <v>156</v>
      </c>
      <c r="M217" s="33" t="s">
        <v>475</v>
      </c>
      <c r="N217" s="24" t="s">
        <v>153</v>
      </c>
      <c r="O217" s="33" t="s">
        <v>475</v>
      </c>
      <c r="P217" s="33" t="s">
        <v>475</v>
      </c>
      <c r="Q217" s="33" t="s">
        <v>475</v>
      </c>
      <c r="R217" s="33" t="s">
        <v>475</v>
      </c>
      <c r="S217" s="33" t="s">
        <v>475</v>
      </c>
      <c r="T217" s="33" t="s">
        <v>475</v>
      </c>
      <c r="U217" s="24" t="s">
        <v>153</v>
      </c>
      <c r="V217" s="54" t="s">
        <v>153</v>
      </c>
      <c r="W217" s="33" t="s">
        <v>475</v>
      </c>
      <c r="X217" s="33" t="s">
        <v>475</v>
      </c>
      <c r="Y217" s="33" t="s">
        <v>475</v>
      </c>
      <c r="Z217" s="33" t="s">
        <v>475</v>
      </c>
      <c r="AA217" s="33" t="s">
        <v>475</v>
      </c>
      <c r="AB217" s="24" t="s">
        <v>153</v>
      </c>
      <c r="AC217" s="33" t="s">
        <v>475</v>
      </c>
      <c r="AD217" s="33" t="s">
        <v>475</v>
      </c>
      <c r="AE217" s="33" t="s">
        <v>475</v>
      </c>
      <c r="AF217" s="33" t="s">
        <v>475</v>
      </c>
      <c r="AG217" s="33" t="s">
        <v>475</v>
      </c>
      <c r="AH217" s="33" t="s">
        <v>475</v>
      </c>
      <c r="AI217" s="24" t="s">
        <v>153</v>
      </c>
      <c r="AJ217" s="33" t="s">
        <v>475</v>
      </c>
      <c r="AK217" s="33" t="s">
        <v>475</v>
      </c>
      <c r="AL217" s="33" t="s">
        <v>475</v>
      </c>
      <c r="AM217" s="33" t="s">
        <v>475</v>
      </c>
      <c r="AN217" s="33" t="s">
        <v>475</v>
      </c>
      <c r="AO217" s="33" t="s">
        <v>475</v>
      </c>
      <c r="AP217" s="23">
        <f>VALUE(0)</f>
        <v>0</v>
      </c>
      <c r="AQ217" s="23">
        <f>VALUE(0)</f>
        <v>0</v>
      </c>
      <c r="AR217" s="23">
        <f>VALUE(0)</f>
        <v>0</v>
      </c>
      <c r="AS217" s="23">
        <f>VALUE(0)</f>
        <v>0</v>
      </c>
      <c r="AT217" s="23">
        <f>VALUE(0)</f>
        <v>0</v>
      </c>
      <c r="AU217" s="23">
        <f>VALUE(0)</f>
        <v>0</v>
      </c>
      <c r="AV217" s="23">
        <f>VALUE(0)</f>
        <v>0</v>
      </c>
      <c r="AW217" s="23">
        <f>VALUE(0)</f>
        <v>0</v>
      </c>
      <c r="AX217" s="23" t="s">
        <v>1259</v>
      </c>
      <c r="AY217" s="23" t="s">
        <v>482</v>
      </c>
      <c r="AZ217" s="23">
        <f>VALUE(0)</f>
        <v>0</v>
      </c>
      <c r="BA217" s="23">
        <f>VALUE(0)</f>
        <v>0</v>
      </c>
      <c r="BB217" s="23">
        <f>VALUE(0)</f>
        <v>0</v>
      </c>
      <c r="BC217" s="23">
        <f>VALUE(0)</f>
        <v>0</v>
      </c>
      <c r="BD217" s="23">
        <f>VALUE(0)</f>
        <v>0</v>
      </c>
      <c r="BE217" s="23">
        <f>VALUE(0)</f>
        <v>0</v>
      </c>
      <c r="BF217" s="23">
        <f>VALUE(0)</f>
        <v>0</v>
      </c>
      <c r="BG217" s="23">
        <f>VALUE(0)</f>
        <v>0</v>
      </c>
      <c r="BH217" s="23">
        <f>VALUE(0)</f>
        <v>0</v>
      </c>
      <c r="BI217" s="23">
        <f>VALUE(0)</f>
        <v>0</v>
      </c>
      <c r="BJ217" s="23">
        <f>VALUE(0)</f>
        <v>0</v>
      </c>
      <c r="BK217" s="12">
        <f>$AX$217*24</f>
        <v>12.25</v>
      </c>
      <c r="BL217" s="12">
        <f>$AY$217*24</f>
        <v>2.85</v>
      </c>
      <c r="BM217" s="12">
        <f>$BJ$217*24</f>
        <v>0</v>
      </c>
      <c r="BN217" s="12">
        <f>VALUE($I$217)/100</f>
        <v>0.7</v>
      </c>
      <c r="BO217" s="12">
        <v>0</v>
      </c>
      <c r="BP217" s="12">
        <v>0</v>
      </c>
      <c r="BQ217" s="12">
        <v>0</v>
      </c>
      <c r="BR217" s="12">
        <v>0</v>
      </c>
      <c r="BS217" s="12">
        <v>0</v>
      </c>
      <c r="BT217" s="12">
        <v>0</v>
      </c>
      <c r="BU217" s="12">
        <v>0</v>
      </c>
      <c r="BV217" s="12">
        <v>0</v>
      </c>
      <c r="BW217" s="12">
        <v>0</v>
      </c>
      <c r="BX217" s="12">
        <v>0</v>
      </c>
      <c r="BY217" s="12">
        <v>0</v>
      </c>
      <c r="BZ217" s="12">
        <v>0</v>
      </c>
      <c r="CA217" s="12">
        <v>0</v>
      </c>
    </row>
    <row r="218" spans="1:79" x14ac:dyDescent="0.2">
      <c r="A218" s="12" t="s">
        <v>127</v>
      </c>
      <c r="B218" s="12" t="s">
        <v>131</v>
      </c>
      <c r="C218" s="12" t="s">
        <v>131</v>
      </c>
      <c r="D218" s="22" t="s">
        <v>480</v>
      </c>
      <c r="E218" s="22" t="s">
        <v>173</v>
      </c>
      <c r="F218" s="22" t="s">
        <v>935</v>
      </c>
      <c r="G218" s="22" t="s">
        <v>936</v>
      </c>
      <c r="H218" s="22" t="s">
        <v>150</v>
      </c>
      <c r="I218" s="22" t="s">
        <v>343</v>
      </c>
      <c r="J218" s="22" t="s">
        <v>162</v>
      </c>
      <c r="K218" s="22" t="s">
        <v>89</v>
      </c>
      <c r="L218" s="54" t="s">
        <v>156</v>
      </c>
      <c r="M218" s="33" t="s">
        <v>475</v>
      </c>
      <c r="N218" s="24" t="s">
        <v>153</v>
      </c>
      <c r="O218" s="33" t="s">
        <v>475</v>
      </c>
      <c r="P218" s="33" t="s">
        <v>475</v>
      </c>
      <c r="Q218" s="33" t="s">
        <v>475</v>
      </c>
      <c r="R218" s="33" t="s">
        <v>475</v>
      </c>
      <c r="S218" s="33" t="s">
        <v>475</v>
      </c>
      <c r="T218" s="33" t="s">
        <v>475</v>
      </c>
      <c r="U218" s="24" t="s">
        <v>153</v>
      </c>
      <c r="V218" s="54" t="s">
        <v>153</v>
      </c>
      <c r="W218" s="33" t="s">
        <v>475</v>
      </c>
      <c r="X218" s="33" t="s">
        <v>475</v>
      </c>
      <c r="Y218" s="33" t="s">
        <v>475</v>
      </c>
      <c r="Z218" s="33" t="s">
        <v>475</v>
      </c>
      <c r="AA218" s="33" t="s">
        <v>475</v>
      </c>
      <c r="AB218" s="24" t="s">
        <v>153</v>
      </c>
      <c r="AC218" s="33" t="s">
        <v>475</v>
      </c>
      <c r="AD218" s="33" t="s">
        <v>475</v>
      </c>
      <c r="AE218" s="33" t="s">
        <v>475</v>
      </c>
      <c r="AF218" s="33" t="s">
        <v>475</v>
      </c>
      <c r="AG218" s="33" t="s">
        <v>475</v>
      </c>
      <c r="AH218" s="33" t="s">
        <v>475</v>
      </c>
      <c r="AI218" s="24" t="s">
        <v>153</v>
      </c>
      <c r="AJ218" s="33" t="s">
        <v>475</v>
      </c>
      <c r="AK218" s="33" t="s">
        <v>475</v>
      </c>
      <c r="AL218" s="33" t="s">
        <v>475</v>
      </c>
      <c r="AM218" s="33" t="s">
        <v>475</v>
      </c>
      <c r="AN218" s="33" t="s">
        <v>475</v>
      </c>
      <c r="AO218" s="33" t="s">
        <v>475</v>
      </c>
      <c r="AP218" s="23">
        <f>VALUE(0)</f>
        <v>0</v>
      </c>
      <c r="AQ218" s="23">
        <f>VALUE(0)</f>
        <v>0</v>
      </c>
      <c r="AR218" s="23">
        <f>VALUE(0)</f>
        <v>0</v>
      </c>
      <c r="AS218" s="23">
        <f>VALUE(0)</f>
        <v>0</v>
      </c>
      <c r="AT218" s="23">
        <f>VALUE(0)</f>
        <v>0</v>
      </c>
      <c r="AU218" s="23">
        <f>VALUE(0)</f>
        <v>0</v>
      </c>
      <c r="AV218" s="23">
        <f>VALUE(0)</f>
        <v>0</v>
      </c>
      <c r="AW218" s="23">
        <f>VALUE(0)</f>
        <v>0</v>
      </c>
      <c r="AX218" s="23" t="s">
        <v>421</v>
      </c>
      <c r="AY218" s="23">
        <f>VALUE(0)</f>
        <v>0</v>
      </c>
      <c r="AZ218" s="23">
        <f>VALUE(0)</f>
        <v>0</v>
      </c>
      <c r="BA218" s="23">
        <f>VALUE(0)</f>
        <v>0</v>
      </c>
      <c r="BB218" s="23">
        <f>VALUE(0)</f>
        <v>0</v>
      </c>
      <c r="BC218" s="23">
        <f>VALUE(0)</f>
        <v>0</v>
      </c>
      <c r="BD218" s="23">
        <f>VALUE(0)</f>
        <v>0</v>
      </c>
      <c r="BE218" s="23">
        <f>VALUE(0)</f>
        <v>0</v>
      </c>
      <c r="BF218" s="23">
        <f>VALUE(0)</f>
        <v>0</v>
      </c>
      <c r="BG218" s="23">
        <f>VALUE(0)</f>
        <v>0</v>
      </c>
      <c r="BH218" s="23">
        <f>VALUE(0)</f>
        <v>0</v>
      </c>
      <c r="BI218" s="23">
        <f>VALUE(0)</f>
        <v>0</v>
      </c>
      <c r="BJ218" s="23">
        <f>VALUE(0)</f>
        <v>0</v>
      </c>
      <c r="BK218" s="12">
        <f>$AX$218*24</f>
        <v>5.85</v>
      </c>
      <c r="BL218" s="12">
        <f>$AY$218*24</f>
        <v>0</v>
      </c>
      <c r="BM218" s="12">
        <f>$BJ$218*24</f>
        <v>0</v>
      </c>
      <c r="BN218" s="12">
        <f>VALUE($I$218)/100</f>
        <v>0.7</v>
      </c>
      <c r="BO218" s="12">
        <v>0</v>
      </c>
      <c r="BP218" s="12">
        <v>0</v>
      </c>
      <c r="BQ218" s="12">
        <v>0</v>
      </c>
      <c r="BR218" s="12">
        <v>0</v>
      </c>
      <c r="BS218" s="12">
        <v>0</v>
      </c>
      <c r="BT218" s="12">
        <v>0</v>
      </c>
      <c r="BU218" s="12">
        <v>0</v>
      </c>
      <c r="BV218" s="12">
        <v>0</v>
      </c>
      <c r="BW218" s="12">
        <v>0</v>
      </c>
      <c r="BX218" s="12">
        <v>0</v>
      </c>
      <c r="BY218" s="12">
        <v>0</v>
      </c>
      <c r="BZ218" s="12">
        <v>0</v>
      </c>
      <c r="CA218" s="12">
        <v>0</v>
      </c>
    </row>
    <row r="219" spans="1:79" x14ac:dyDescent="0.2">
      <c r="A219" s="12" t="s">
        <v>127</v>
      </c>
      <c r="B219" s="12" t="s">
        <v>131</v>
      </c>
      <c r="C219" s="12" t="s">
        <v>131</v>
      </c>
      <c r="D219" s="22" t="s">
        <v>480</v>
      </c>
      <c r="E219" s="22" t="s">
        <v>173</v>
      </c>
      <c r="F219" s="22" t="s">
        <v>937</v>
      </c>
      <c r="G219" s="22" t="s">
        <v>938</v>
      </c>
      <c r="H219" s="22" t="s">
        <v>166</v>
      </c>
      <c r="I219" s="22" t="s">
        <v>343</v>
      </c>
      <c r="J219" s="22" t="s">
        <v>162</v>
      </c>
      <c r="K219" s="22" t="s">
        <v>89</v>
      </c>
      <c r="L219" s="54" t="s">
        <v>153</v>
      </c>
      <c r="M219" s="33" t="s">
        <v>475</v>
      </c>
      <c r="N219" s="24" t="s">
        <v>153</v>
      </c>
      <c r="O219" s="33" t="s">
        <v>475</v>
      </c>
      <c r="P219" s="33" t="s">
        <v>475</v>
      </c>
      <c r="Q219" s="33" t="s">
        <v>475</v>
      </c>
      <c r="R219" s="33" t="s">
        <v>475</v>
      </c>
      <c r="S219" s="33" t="s">
        <v>475</v>
      </c>
      <c r="T219" s="33" t="s">
        <v>475</v>
      </c>
      <c r="U219" s="24" t="s">
        <v>153</v>
      </c>
      <c r="V219" s="54" t="s">
        <v>153</v>
      </c>
      <c r="W219" s="33" t="s">
        <v>475</v>
      </c>
      <c r="X219" s="33" t="s">
        <v>475</v>
      </c>
      <c r="Y219" s="33" t="s">
        <v>475</v>
      </c>
      <c r="Z219" s="33" t="s">
        <v>475</v>
      </c>
      <c r="AA219" s="33" t="s">
        <v>475</v>
      </c>
      <c r="AB219" s="24" t="s">
        <v>153</v>
      </c>
      <c r="AC219" s="33" t="s">
        <v>475</v>
      </c>
      <c r="AD219" s="33" t="s">
        <v>475</v>
      </c>
      <c r="AE219" s="33" t="s">
        <v>475</v>
      </c>
      <c r="AF219" s="33" t="s">
        <v>475</v>
      </c>
      <c r="AG219" s="33" t="s">
        <v>475</v>
      </c>
      <c r="AH219" s="33" t="s">
        <v>475</v>
      </c>
      <c r="AI219" s="24" t="s">
        <v>153</v>
      </c>
      <c r="AJ219" s="33" t="s">
        <v>475</v>
      </c>
      <c r="AK219" s="33" t="s">
        <v>475</v>
      </c>
      <c r="AL219" s="33" t="s">
        <v>475</v>
      </c>
      <c r="AM219" s="33" t="s">
        <v>475</v>
      </c>
      <c r="AN219" s="33" t="s">
        <v>475</v>
      </c>
      <c r="AO219" s="33" t="s">
        <v>475</v>
      </c>
      <c r="AP219" s="23">
        <f>VALUE(0)</f>
        <v>0</v>
      </c>
      <c r="AQ219" s="23">
        <f>VALUE(0)</f>
        <v>0</v>
      </c>
      <c r="AR219" s="23">
        <f>VALUE(0)</f>
        <v>0</v>
      </c>
      <c r="AS219" s="23">
        <f>VALUE(0)</f>
        <v>0</v>
      </c>
      <c r="AT219" s="23">
        <f>VALUE(0)</f>
        <v>0</v>
      </c>
      <c r="AU219" s="23">
        <f>VALUE(0)</f>
        <v>0</v>
      </c>
      <c r="AV219" s="23">
        <f>VALUE(0)</f>
        <v>0</v>
      </c>
      <c r="AW219" s="23">
        <f>VALUE(0)</f>
        <v>0</v>
      </c>
      <c r="AX219" s="23" t="s">
        <v>483</v>
      </c>
      <c r="AY219" s="23">
        <f>VALUE(0)</f>
        <v>0</v>
      </c>
      <c r="AZ219" s="23">
        <f>VALUE(0)</f>
        <v>0</v>
      </c>
      <c r="BA219" s="23">
        <f>VALUE(0)</f>
        <v>0</v>
      </c>
      <c r="BB219" s="23">
        <f>VALUE(0)</f>
        <v>0</v>
      </c>
      <c r="BC219" s="23">
        <f>VALUE(0)</f>
        <v>0</v>
      </c>
      <c r="BD219" s="23">
        <f>VALUE(0)</f>
        <v>0</v>
      </c>
      <c r="BE219" s="23">
        <f>VALUE(0)</f>
        <v>0</v>
      </c>
      <c r="BF219" s="23">
        <f>VALUE(0)</f>
        <v>0</v>
      </c>
      <c r="BG219" s="23">
        <f>VALUE(0)</f>
        <v>0</v>
      </c>
      <c r="BH219" s="23">
        <f>VALUE(0)</f>
        <v>0</v>
      </c>
      <c r="BI219" s="23">
        <f>VALUE(0)</f>
        <v>0</v>
      </c>
      <c r="BJ219" s="23">
        <f>VALUE(0)</f>
        <v>0</v>
      </c>
      <c r="BK219" s="12">
        <f>$AX$219*24</f>
        <v>4.7333333333333334</v>
      </c>
      <c r="BL219" s="12">
        <f>$AY$219*24</f>
        <v>0</v>
      </c>
      <c r="BM219" s="12">
        <f>$BJ$219*24</f>
        <v>0</v>
      </c>
      <c r="BN219" s="12">
        <f>VALUE($I$219)/100</f>
        <v>0.7</v>
      </c>
      <c r="BO219" s="12">
        <v>0</v>
      </c>
      <c r="BP219" s="12">
        <v>0</v>
      </c>
      <c r="BQ219" s="12">
        <v>0</v>
      </c>
      <c r="BR219" s="12">
        <v>0</v>
      </c>
      <c r="BS219" s="12">
        <v>0</v>
      </c>
      <c r="BT219" s="12">
        <v>0</v>
      </c>
      <c r="BU219" s="12">
        <v>0</v>
      </c>
      <c r="BV219" s="12">
        <v>0</v>
      </c>
      <c r="BW219" s="12">
        <v>0</v>
      </c>
      <c r="BX219" s="12">
        <v>0</v>
      </c>
      <c r="BY219" s="12">
        <v>0</v>
      </c>
      <c r="BZ219" s="12">
        <v>0</v>
      </c>
      <c r="CA219" s="12">
        <v>0</v>
      </c>
    </row>
    <row r="220" spans="1:79" x14ac:dyDescent="0.2">
      <c r="A220" s="12" t="s">
        <v>127</v>
      </c>
      <c r="B220" s="12" t="s">
        <v>131</v>
      </c>
      <c r="C220" s="12" t="s">
        <v>131</v>
      </c>
      <c r="D220" s="22" t="s">
        <v>480</v>
      </c>
      <c r="E220" s="22" t="s">
        <v>173</v>
      </c>
      <c r="F220" s="22" t="s">
        <v>939</v>
      </c>
      <c r="G220" s="22" t="s">
        <v>940</v>
      </c>
      <c r="H220" s="22" t="s">
        <v>166</v>
      </c>
      <c r="I220" s="22" t="s">
        <v>343</v>
      </c>
      <c r="J220" s="22" t="s">
        <v>162</v>
      </c>
      <c r="K220" s="22" t="s">
        <v>89</v>
      </c>
      <c r="L220" s="54" t="s">
        <v>153</v>
      </c>
      <c r="M220" s="33" t="s">
        <v>475</v>
      </c>
      <c r="N220" s="24" t="s">
        <v>153</v>
      </c>
      <c r="O220" s="33" t="s">
        <v>475</v>
      </c>
      <c r="P220" s="33" t="s">
        <v>475</v>
      </c>
      <c r="Q220" s="33" t="s">
        <v>475</v>
      </c>
      <c r="R220" s="33" t="s">
        <v>475</v>
      </c>
      <c r="S220" s="33" t="s">
        <v>475</v>
      </c>
      <c r="T220" s="33" t="s">
        <v>475</v>
      </c>
      <c r="U220" s="24" t="s">
        <v>153</v>
      </c>
      <c r="V220" s="54" t="s">
        <v>153</v>
      </c>
      <c r="W220" s="33" t="s">
        <v>475</v>
      </c>
      <c r="X220" s="33" t="s">
        <v>475</v>
      </c>
      <c r="Y220" s="33" t="s">
        <v>475</v>
      </c>
      <c r="Z220" s="33" t="s">
        <v>475</v>
      </c>
      <c r="AA220" s="33" t="s">
        <v>475</v>
      </c>
      <c r="AB220" s="24" t="s">
        <v>153</v>
      </c>
      <c r="AC220" s="33" t="s">
        <v>475</v>
      </c>
      <c r="AD220" s="33" t="s">
        <v>475</v>
      </c>
      <c r="AE220" s="33" t="s">
        <v>475</v>
      </c>
      <c r="AF220" s="33" t="s">
        <v>475</v>
      </c>
      <c r="AG220" s="33" t="s">
        <v>475</v>
      </c>
      <c r="AH220" s="33" t="s">
        <v>475</v>
      </c>
      <c r="AI220" s="24" t="s">
        <v>153</v>
      </c>
      <c r="AJ220" s="33" t="s">
        <v>475</v>
      </c>
      <c r="AK220" s="33" t="s">
        <v>475</v>
      </c>
      <c r="AL220" s="33" t="s">
        <v>475</v>
      </c>
      <c r="AM220" s="33" t="s">
        <v>475</v>
      </c>
      <c r="AN220" s="33" t="s">
        <v>475</v>
      </c>
      <c r="AO220" s="33" t="s">
        <v>475</v>
      </c>
      <c r="AP220" s="23">
        <f>VALUE(0)</f>
        <v>0</v>
      </c>
      <c r="AQ220" s="23">
        <f>VALUE(0)</f>
        <v>0</v>
      </c>
      <c r="AR220" s="23">
        <f>VALUE(0)</f>
        <v>0</v>
      </c>
      <c r="AS220" s="23">
        <f>VALUE(0)</f>
        <v>0</v>
      </c>
      <c r="AT220" s="23">
        <f>VALUE(0)</f>
        <v>0</v>
      </c>
      <c r="AU220" s="23">
        <f>VALUE(0)</f>
        <v>0</v>
      </c>
      <c r="AV220" s="23">
        <f>VALUE(0)</f>
        <v>0</v>
      </c>
      <c r="AW220" s="23">
        <f>VALUE(0)</f>
        <v>0</v>
      </c>
      <c r="AX220" s="23" t="s">
        <v>403</v>
      </c>
      <c r="AY220" s="23">
        <f>VALUE(0)</f>
        <v>0</v>
      </c>
      <c r="AZ220" s="23">
        <f>VALUE(0)</f>
        <v>0</v>
      </c>
      <c r="BA220" s="23">
        <f>VALUE(0)</f>
        <v>0</v>
      </c>
      <c r="BB220" s="23">
        <f>VALUE(0)</f>
        <v>0</v>
      </c>
      <c r="BC220" s="23">
        <f>VALUE(0)</f>
        <v>0</v>
      </c>
      <c r="BD220" s="23">
        <f>VALUE(0)</f>
        <v>0</v>
      </c>
      <c r="BE220" s="23">
        <f>VALUE(0)</f>
        <v>0</v>
      </c>
      <c r="BF220" s="23">
        <f>VALUE(0)</f>
        <v>0</v>
      </c>
      <c r="BG220" s="23">
        <f>VALUE(0)</f>
        <v>0</v>
      </c>
      <c r="BH220" s="23">
        <f>VALUE(0)</f>
        <v>0</v>
      </c>
      <c r="BI220" s="23">
        <f>VALUE(0)</f>
        <v>0</v>
      </c>
      <c r="BJ220" s="23">
        <f>VALUE(0)</f>
        <v>0</v>
      </c>
      <c r="BK220" s="12">
        <f>$AX$220*24</f>
        <v>2.1</v>
      </c>
      <c r="BL220" s="12">
        <f>$AY$220*24</f>
        <v>0</v>
      </c>
      <c r="BM220" s="12">
        <f>$BJ$220*24</f>
        <v>0</v>
      </c>
      <c r="BN220" s="12">
        <f>VALUE($I$220)/100</f>
        <v>0.7</v>
      </c>
      <c r="BO220" s="12">
        <v>0</v>
      </c>
      <c r="BP220" s="12">
        <v>0</v>
      </c>
      <c r="BQ220" s="12">
        <v>0</v>
      </c>
      <c r="BR220" s="12">
        <v>0</v>
      </c>
      <c r="BS220" s="12">
        <v>0</v>
      </c>
      <c r="BT220" s="12">
        <v>0</v>
      </c>
      <c r="BU220" s="12">
        <v>0</v>
      </c>
      <c r="BV220" s="12">
        <v>0</v>
      </c>
      <c r="BW220" s="12">
        <v>0</v>
      </c>
      <c r="BX220" s="12">
        <v>0</v>
      </c>
      <c r="BY220" s="12">
        <v>0</v>
      </c>
      <c r="BZ220" s="12">
        <v>0</v>
      </c>
      <c r="CA220" s="12">
        <v>0</v>
      </c>
    </row>
    <row r="221" spans="1:79" x14ac:dyDescent="0.2">
      <c r="A221" s="12" t="s">
        <v>127</v>
      </c>
      <c r="B221" s="12" t="s">
        <v>131</v>
      </c>
      <c r="C221" s="12" t="s">
        <v>131</v>
      </c>
      <c r="D221" s="22" t="s">
        <v>480</v>
      </c>
      <c r="E221" s="22" t="s">
        <v>173</v>
      </c>
      <c r="F221" s="22" t="s">
        <v>941</v>
      </c>
      <c r="G221" s="22" t="s">
        <v>942</v>
      </c>
      <c r="H221" s="22" t="s">
        <v>166</v>
      </c>
      <c r="I221" s="22" t="s">
        <v>343</v>
      </c>
      <c r="J221" s="22" t="s">
        <v>162</v>
      </c>
      <c r="K221" s="22" t="s">
        <v>89</v>
      </c>
      <c r="L221" s="54" t="s">
        <v>153</v>
      </c>
      <c r="M221" s="33" t="s">
        <v>475</v>
      </c>
      <c r="N221" s="24" t="s">
        <v>153</v>
      </c>
      <c r="O221" s="33" t="s">
        <v>475</v>
      </c>
      <c r="P221" s="33" t="s">
        <v>475</v>
      </c>
      <c r="Q221" s="33" t="s">
        <v>475</v>
      </c>
      <c r="R221" s="33" t="s">
        <v>475</v>
      </c>
      <c r="S221" s="33" t="s">
        <v>475</v>
      </c>
      <c r="T221" s="33" t="s">
        <v>475</v>
      </c>
      <c r="U221" s="24" t="s">
        <v>153</v>
      </c>
      <c r="V221" s="54" t="s">
        <v>153</v>
      </c>
      <c r="W221" s="33" t="s">
        <v>475</v>
      </c>
      <c r="X221" s="33" t="s">
        <v>475</v>
      </c>
      <c r="Y221" s="33" t="s">
        <v>475</v>
      </c>
      <c r="Z221" s="33" t="s">
        <v>475</v>
      </c>
      <c r="AA221" s="33" t="s">
        <v>475</v>
      </c>
      <c r="AB221" s="24" t="s">
        <v>153</v>
      </c>
      <c r="AC221" s="33" t="s">
        <v>475</v>
      </c>
      <c r="AD221" s="33" t="s">
        <v>475</v>
      </c>
      <c r="AE221" s="33" t="s">
        <v>475</v>
      </c>
      <c r="AF221" s="33" t="s">
        <v>475</v>
      </c>
      <c r="AG221" s="33" t="s">
        <v>475</v>
      </c>
      <c r="AH221" s="33" t="s">
        <v>475</v>
      </c>
      <c r="AI221" s="24" t="s">
        <v>153</v>
      </c>
      <c r="AJ221" s="33" t="s">
        <v>475</v>
      </c>
      <c r="AK221" s="33" t="s">
        <v>475</v>
      </c>
      <c r="AL221" s="33" t="s">
        <v>475</v>
      </c>
      <c r="AM221" s="33" t="s">
        <v>475</v>
      </c>
      <c r="AN221" s="33" t="s">
        <v>475</v>
      </c>
      <c r="AO221" s="33" t="s">
        <v>475</v>
      </c>
      <c r="AP221" s="23">
        <f>VALUE(0)</f>
        <v>0</v>
      </c>
      <c r="AQ221" s="23">
        <f>VALUE(0)</f>
        <v>0</v>
      </c>
      <c r="AR221" s="23">
        <f>VALUE(0)</f>
        <v>0</v>
      </c>
      <c r="AS221" s="23">
        <f>VALUE(0)</f>
        <v>0</v>
      </c>
      <c r="AT221" s="23">
        <f>VALUE(0)</f>
        <v>0</v>
      </c>
      <c r="AU221" s="23">
        <f>VALUE(0)</f>
        <v>0</v>
      </c>
      <c r="AV221" s="23">
        <f>VALUE(0)</f>
        <v>0</v>
      </c>
      <c r="AW221" s="23">
        <f>VALUE(0)</f>
        <v>0</v>
      </c>
      <c r="AX221" s="23" t="s">
        <v>484</v>
      </c>
      <c r="AY221" s="23">
        <f>VALUE(0)</f>
        <v>0</v>
      </c>
      <c r="AZ221" s="23">
        <f>VALUE(0)</f>
        <v>0</v>
      </c>
      <c r="BA221" s="23">
        <f>VALUE(0)</f>
        <v>0</v>
      </c>
      <c r="BB221" s="23">
        <f>VALUE(0)</f>
        <v>0</v>
      </c>
      <c r="BC221" s="23">
        <f>VALUE(0)</f>
        <v>0</v>
      </c>
      <c r="BD221" s="23">
        <f>VALUE(0)</f>
        <v>0</v>
      </c>
      <c r="BE221" s="23">
        <f>VALUE(0)</f>
        <v>0</v>
      </c>
      <c r="BF221" s="23">
        <f>VALUE(0)</f>
        <v>0</v>
      </c>
      <c r="BG221" s="23">
        <f>VALUE(0)</f>
        <v>0</v>
      </c>
      <c r="BH221" s="23">
        <f>VALUE(0)</f>
        <v>0</v>
      </c>
      <c r="BI221" s="23">
        <f>VALUE(0)</f>
        <v>0</v>
      </c>
      <c r="BJ221" s="23">
        <f>VALUE(0)</f>
        <v>0</v>
      </c>
      <c r="BK221" s="12">
        <f>$AX$221*24</f>
        <v>12.75</v>
      </c>
      <c r="BL221" s="12">
        <f>$AY$221*24</f>
        <v>0</v>
      </c>
      <c r="BM221" s="12">
        <f>$BJ$221*24</f>
        <v>0</v>
      </c>
      <c r="BN221" s="12">
        <f>VALUE($I$221)/100</f>
        <v>0.7</v>
      </c>
      <c r="BO221" s="12">
        <v>0</v>
      </c>
      <c r="BP221" s="12">
        <v>0</v>
      </c>
      <c r="BQ221" s="12">
        <v>0</v>
      </c>
      <c r="BR221" s="12">
        <v>0</v>
      </c>
      <c r="BS221" s="12">
        <v>0</v>
      </c>
      <c r="BT221" s="12">
        <v>0</v>
      </c>
      <c r="BU221" s="12">
        <v>0</v>
      </c>
      <c r="BV221" s="12">
        <v>0</v>
      </c>
      <c r="BW221" s="12">
        <v>0</v>
      </c>
      <c r="BX221" s="12">
        <v>0</v>
      </c>
      <c r="BY221" s="12">
        <v>0</v>
      </c>
      <c r="BZ221" s="12">
        <v>0</v>
      </c>
      <c r="CA221" s="12">
        <v>0</v>
      </c>
    </row>
    <row r="222" spans="1:79" x14ac:dyDescent="0.2">
      <c r="A222" s="12" t="s">
        <v>127</v>
      </c>
      <c r="B222" s="12" t="s">
        <v>131</v>
      </c>
      <c r="C222" s="12" t="s">
        <v>131</v>
      </c>
      <c r="D222" s="22" t="s">
        <v>480</v>
      </c>
      <c r="E222" s="22" t="s">
        <v>173</v>
      </c>
      <c r="F222" s="22" t="s">
        <v>943</v>
      </c>
      <c r="G222" s="22" t="s">
        <v>944</v>
      </c>
      <c r="H222" s="22" t="s">
        <v>150</v>
      </c>
      <c r="I222" s="22" t="s">
        <v>343</v>
      </c>
      <c r="J222" s="22" t="s">
        <v>162</v>
      </c>
      <c r="K222" s="22" t="s">
        <v>89</v>
      </c>
      <c r="L222" s="54" t="s">
        <v>153</v>
      </c>
      <c r="M222" s="33" t="s">
        <v>475</v>
      </c>
      <c r="N222" s="24" t="s">
        <v>153</v>
      </c>
      <c r="O222" s="33" t="s">
        <v>475</v>
      </c>
      <c r="P222" s="33" t="s">
        <v>475</v>
      </c>
      <c r="Q222" s="33" t="s">
        <v>475</v>
      </c>
      <c r="R222" s="33" t="s">
        <v>475</v>
      </c>
      <c r="S222" s="33" t="s">
        <v>475</v>
      </c>
      <c r="T222" s="33" t="s">
        <v>475</v>
      </c>
      <c r="U222" s="24" t="s">
        <v>153</v>
      </c>
      <c r="V222" s="54" t="s">
        <v>153</v>
      </c>
      <c r="W222" s="33" t="s">
        <v>475</v>
      </c>
      <c r="X222" s="33" t="s">
        <v>475</v>
      </c>
      <c r="Y222" s="33" t="s">
        <v>475</v>
      </c>
      <c r="Z222" s="33" t="s">
        <v>475</v>
      </c>
      <c r="AA222" s="33" t="s">
        <v>475</v>
      </c>
      <c r="AB222" s="24" t="s">
        <v>153</v>
      </c>
      <c r="AC222" s="33" t="s">
        <v>475</v>
      </c>
      <c r="AD222" s="33" t="s">
        <v>475</v>
      </c>
      <c r="AE222" s="33" t="s">
        <v>475</v>
      </c>
      <c r="AF222" s="33" t="s">
        <v>475</v>
      </c>
      <c r="AG222" s="33" t="s">
        <v>475</v>
      </c>
      <c r="AH222" s="33" t="s">
        <v>475</v>
      </c>
      <c r="AI222" s="24" t="s">
        <v>153</v>
      </c>
      <c r="AJ222" s="33" t="s">
        <v>475</v>
      </c>
      <c r="AK222" s="33" t="s">
        <v>475</v>
      </c>
      <c r="AL222" s="33" t="s">
        <v>475</v>
      </c>
      <c r="AM222" s="33" t="s">
        <v>475</v>
      </c>
      <c r="AN222" s="33" t="s">
        <v>475</v>
      </c>
      <c r="AO222" s="33" t="s">
        <v>475</v>
      </c>
      <c r="AP222" s="23">
        <f>VALUE(0)</f>
        <v>0</v>
      </c>
      <c r="AQ222" s="23">
        <f>VALUE(0)</f>
        <v>0</v>
      </c>
      <c r="AR222" s="23">
        <f>VALUE(0)</f>
        <v>0</v>
      </c>
      <c r="AS222" s="23">
        <f>VALUE(0)</f>
        <v>0</v>
      </c>
      <c r="AT222" s="23">
        <f>VALUE(0)</f>
        <v>0</v>
      </c>
      <c r="AU222" s="23">
        <f>VALUE(0)</f>
        <v>0</v>
      </c>
      <c r="AV222" s="23">
        <f>VALUE(0)</f>
        <v>0</v>
      </c>
      <c r="AW222" s="23">
        <f>VALUE(0)</f>
        <v>0</v>
      </c>
      <c r="AX222" s="23" t="s">
        <v>309</v>
      </c>
      <c r="AY222" s="23" t="s">
        <v>485</v>
      </c>
      <c r="AZ222" s="23">
        <f>VALUE(0)</f>
        <v>0</v>
      </c>
      <c r="BA222" s="23">
        <f>VALUE(0)</f>
        <v>0</v>
      </c>
      <c r="BB222" s="23">
        <f>VALUE(0)</f>
        <v>0</v>
      </c>
      <c r="BC222" s="23">
        <f>VALUE(0)</f>
        <v>0</v>
      </c>
      <c r="BD222" s="23">
        <f>VALUE(0)</f>
        <v>0</v>
      </c>
      <c r="BE222" s="23">
        <f>VALUE(0)</f>
        <v>0</v>
      </c>
      <c r="BF222" s="23">
        <f>VALUE(0)</f>
        <v>0</v>
      </c>
      <c r="BG222" s="23">
        <f>VALUE(0)</f>
        <v>0</v>
      </c>
      <c r="BH222" s="23">
        <f>VALUE(0)</f>
        <v>0</v>
      </c>
      <c r="BI222" s="23">
        <f>VALUE(0)</f>
        <v>0</v>
      </c>
      <c r="BJ222" s="23">
        <f>VALUE(0)</f>
        <v>0</v>
      </c>
      <c r="BK222" s="12">
        <f>$AX$222*24</f>
        <v>4.583333333333333</v>
      </c>
      <c r="BL222" s="12">
        <f>$AY$222*24</f>
        <v>3.8333333333333339</v>
      </c>
      <c r="BM222" s="12">
        <f>$BJ$222*24</f>
        <v>0</v>
      </c>
      <c r="BN222" s="12">
        <f>VALUE($I$222)/100</f>
        <v>0.7</v>
      </c>
      <c r="BO222" s="12">
        <v>0</v>
      </c>
      <c r="BP222" s="12">
        <v>0</v>
      </c>
      <c r="BQ222" s="12">
        <v>0</v>
      </c>
      <c r="BR222" s="12">
        <v>0</v>
      </c>
      <c r="BS222" s="12">
        <v>0</v>
      </c>
      <c r="BT222" s="12">
        <v>0</v>
      </c>
      <c r="BU222" s="12">
        <v>0</v>
      </c>
      <c r="BV222" s="12">
        <v>0</v>
      </c>
      <c r="BW222" s="12">
        <v>0</v>
      </c>
      <c r="BX222" s="12">
        <v>0</v>
      </c>
      <c r="BY222" s="12">
        <v>0</v>
      </c>
      <c r="BZ222" s="12">
        <v>0</v>
      </c>
      <c r="CA222" s="12">
        <v>0</v>
      </c>
    </row>
    <row r="223" spans="1:79" x14ac:dyDescent="0.2">
      <c r="A223" s="12" t="s">
        <v>127</v>
      </c>
      <c r="B223" s="12" t="s">
        <v>131</v>
      </c>
      <c r="C223" s="12" t="s">
        <v>131</v>
      </c>
      <c r="D223" s="22" t="s">
        <v>480</v>
      </c>
      <c r="E223" s="22" t="s">
        <v>173</v>
      </c>
      <c r="F223" s="22" t="s">
        <v>945</v>
      </c>
      <c r="G223" s="22" t="s">
        <v>946</v>
      </c>
      <c r="H223" s="22" t="s">
        <v>166</v>
      </c>
      <c r="I223" s="22" t="s">
        <v>343</v>
      </c>
      <c r="J223" s="22" t="s">
        <v>162</v>
      </c>
      <c r="K223" s="22" t="s">
        <v>89</v>
      </c>
      <c r="L223" s="54" t="s">
        <v>153</v>
      </c>
      <c r="M223" s="33" t="s">
        <v>475</v>
      </c>
      <c r="N223" s="24" t="s">
        <v>153</v>
      </c>
      <c r="O223" s="33" t="s">
        <v>475</v>
      </c>
      <c r="P223" s="33" t="s">
        <v>475</v>
      </c>
      <c r="Q223" s="33" t="s">
        <v>475</v>
      </c>
      <c r="R223" s="33" t="s">
        <v>475</v>
      </c>
      <c r="S223" s="33" t="s">
        <v>475</v>
      </c>
      <c r="T223" s="33" t="s">
        <v>475</v>
      </c>
      <c r="U223" s="24" t="s">
        <v>153</v>
      </c>
      <c r="V223" s="54" t="s">
        <v>156</v>
      </c>
      <c r="W223" s="33" t="s">
        <v>475</v>
      </c>
      <c r="X223" s="33" t="s">
        <v>475</v>
      </c>
      <c r="Y223" s="33" t="s">
        <v>475</v>
      </c>
      <c r="Z223" s="33" t="s">
        <v>475</v>
      </c>
      <c r="AA223" s="33" t="s">
        <v>475</v>
      </c>
      <c r="AB223" s="24" t="s">
        <v>153</v>
      </c>
      <c r="AC223" s="33" t="s">
        <v>475</v>
      </c>
      <c r="AD223" s="33" t="s">
        <v>475</v>
      </c>
      <c r="AE223" s="33" t="s">
        <v>475</v>
      </c>
      <c r="AF223" s="33" t="s">
        <v>475</v>
      </c>
      <c r="AG223" s="33" t="s">
        <v>475</v>
      </c>
      <c r="AH223" s="33" t="s">
        <v>475</v>
      </c>
      <c r="AI223" s="24" t="s">
        <v>153</v>
      </c>
      <c r="AJ223" s="33" t="s">
        <v>475</v>
      </c>
      <c r="AK223" s="33" t="s">
        <v>475</v>
      </c>
      <c r="AL223" s="33" t="s">
        <v>475</v>
      </c>
      <c r="AM223" s="33" t="s">
        <v>475</v>
      </c>
      <c r="AN223" s="33" t="s">
        <v>475</v>
      </c>
      <c r="AO223" s="33" t="s">
        <v>475</v>
      </c>
      <c r="AP223" s="23">
        <f>VALUE(0)</f>
        <v>0</v>
      </c>
      <c r="AQ223" s="23">
        <f>VALUE(0)</f>
        <v>0</v>
      </c>
      <c r="AR223" s="23">
        <f>VALUE(0)</f>
        <v>0</v>
      </c>
      <c r="AS223" s="23">
        <f>VALUE(0)</f>
        <v>0</v>
      </c>
      <c r="AT223" s="23">
        <f>VALUE(0)</f>
        <v>0</v>
      </c>
      <c r="AU223" s="23">
        <f>VALUE(0)</f>
        <v>0</v>
      </c>
      <c r="AV223" s="23">
        <f>VALUE(0)</f>
        <v>0</v>
      </c>
      <c r="AW223" s="23">
        <f>VALUE(0)</f>
        <v>0</v>
      </c>
      <c r="AX223" s="23" t="s">
        <v>487</v>
      </c>
      <c r="AY223" s="23">
        <f>VALUE(0)</f>
        <v>0</v>
      </c>
      <c r="AZ223" s="23">
        <f>VALUE(0)</f>
        <v>0</v>
      </c>
      <c r="BA223" s="23">
        <f>VALUE(0)</f>
        <v>0</v>
      </c>
      <c r="BB223" s="23">
        <f>VALUE(0)</f>
        <v>0</v>
      </c>
      <c r="BC223" s="23">
        <f>VALUE(0)</f>
        <v>0</v>
      </c>
      <c r="BD223" s="23">
        <f>VALUE(0)</f>
        <v>0</v>
      </c>
      <c r="BE223" s="23">
        <f>VALUE(0)</f>
        <v>0</v>
      </c>
      <c r="BF223" s="23">
        <f>VALUE(0)</f>
        <v>0</v>
      </c>
      <c r="BG223" s="23">
        <f>VALUE(0)</f>
        <v>0</v>
      </c>
      <c r="BH223" s="23">
        <f>VALUE(0)</f>
        <v>0</v>
      </c>
      <c r="BI223" s="23">
        <f>VALUE(0)</f>
        <v>0</v>
      </c>
      <c r="BJ223" s="23">
        <f>VALUE(0)</f>
        <v>0</v>
      </c>
      <c r="BK223" s="12">
        <f>$AX$223*24</f>
        <v>4.083333333333333</v>
      </c>
      <c r="BL223" s="12">
        <f>$AY$223*24</f>
        <v>0</v>
      </c>
      <c r="BM223" s="12">
        <f>$BJ$223*24</f>
        <v>0</v>
      </c>
      <c r="BN223" s="12">
        <f>VALUE($I$223)/100</f>
        <v>0.7</v>
      </c>
      <c r="BO223" s="12">
        <v>0</v>
      </c>
      <c r="BP223" s="12">
        <v>0</v>
      </c>
      <c r="BQ223" s="12">
        <v>0</v>
      </c>
      <c r="BR223" s="12">
        <v>0</v>
      </c>
      <c r="BS223" s="12">
        <v>0</v>
      </c>
      <c r="BT223" s="12">
        <v>0</v>
      </c>
      <c r="BU223" s="12">
        <v>0</v>
      </c>
      <c r="BV223" s="12">
        <v>0</v>
      </c>
      <c r="BW223" s="12">
        <v>0</v>
      </c>
      <c r="BX223" s="12">
        <v>0</v>
      </c>
      <c r="BY223" s="12">
        <v>0</v>
      </c>
      <c r="BZ223" s="12">
        <v>0</v>
      </c>
      <c r="CA223" s="12">
        <v>0</v>
      </c>
    </row>
    <row r="224" spans="1:79" x14ac:dyDescent="0.2">
      <c r="A224" s="12" t="s">
        <v>127</v>
      </c>
      <c r="B224" s="12" t="s">
        <v>131</v>
      </c>
      <c r="C224" s="12" t="s">
        <v>131</v>
      </c>
      <c r="D224" s="22" t="s">
        <v>480</v>
      </c>
      <c r="E224" s="22" t="s">
        <v>173</v>
      </c>
      <c r="F224" s="22" t="s">
        <v>947</v>
      </c>
      <c r="G224" s="22" t="s">
        <v>948</v>
      </c>
      <c r="H224" s="22" t="s">
        <v>166</v>
      </c>
      <c r="I224" s="22" t="s">
        <v>343</v>
      </c>
      <c r="J224" s="22" t="s">
        <v>162</v>
      </c>
      <c r="K224" s="22" t="s">
        <v>89</v>
      </c>
      <c r="L224" s="54" t="s">
        <v>153</v>
      </c>
      <c r="M224" s="33" t="s">
        <v>475</v>
      </c>
      <c r="N224" s="24" t="s">
        <v>153</v>
      </c>
      <c r="O224" s="33" t="s">
        <v>475</v>
      </c>
      <c r="P224" s="33" t="s">
        <v>475</v>
      </c>
      <c r="Q224" s="33" t="s">
        <v>475</v>
      </c>
      <c r="R224" s="33" t="s">
        <v>475</v>
      </c>
      <c r="S224" s="33" t="s">
        <v>475</v>
      </c>
      <c r="T224" s="33" t="s">
        <v>475</v>
      </c>
      <c r="U224" s="24" t="s">
        <v>153</v>
      </c>
      <c r="V224" s="54" t="s">
        <v>156</v>
      </c>
      <c r="W224" s="33" t="s">
        <v>475</v>
      </c>
      <c r="X224" s="33" t="s">
        <v>475</v>
      </c>
      <c r="Y224" s="33" t="s">
        <v>475</v>
      </c>
      <c r="Z224" s="33" t="s">
        <v>475</v>
      </c>
      <c r="AA224" s="33" t="s">
        <v>475</v>
      </c>
      <c r="AB224" s="24" t="s">
        <v>153</v>
      </c>
      <c r="AC224" s="33" t="s">
        <v>475</v>
      </c>
      <c r="AD224" s="33" t="s">
        <v>475</v>
      </c>
      <c r="AE224" s="33" t="s">
        <v>475</v>
      </c>
      <c r="AF224" s="33" t="s">
        <v>475</v>
      </c>
      <c r="AG224" s="33" t="s">
        <v>475</v>
      </c>
      <c r="AH224" s="33" t="s">
        <v>475</v>
      </c>
      <c r="AI224" s="24" t="s">
        <v>153</v>
      </c>
      <c r="AJ224" s="33" t="s">
        <v>475</v>
      </c>
      <c r="AK224" s="33" t="s">
        <v>475</v>
      </c>
      <c r="AL224" s="33" t="s">
        <v>475</v>
      </c>
      <c r="AM224" s="33" t="s">
        <v>475</v>
      </c>
      <c r="AN224" s="33" t="s">
        <v>475</v>
      </c>
      <c r="AO224" s="33" t="s">
        <v>475</v>
      </c>
      <c r="AP224" s="23">
        <f>VALUE(0)</f>
        <v>0</v>
      </c>
      <c r="AQ224" s="23">
        <f>VALUE(0)</f>
        <v>0</v>
      </c>
      <c r="AR224" s="23">
        <f>VALUE(0)</f>
        <v>0</v>
      </c>
      <c r="AS224" s="23">
        <f>VALUE(0)</f>
        <v>0</v>
      </c>
      <c r="AT224" s="23">
        <f>VALUE(0)</f>
        <v>0</v>
      </c>
      <c r="AU224" s="23">
        <f>VALUE(0)</f>
        <v>0</v>
      </c>
      <c r="AV224" s="23">
        <f>VALUE(0)</f>
        <v>0</v>
      </c>
      <c r="AW224" s="23">
        <f>VALUE(0)</f>
        <v>0</v>
      </c>
      <c r="AX224" s="23" t="s">
        <v>1260</v>
      </c>
      <c r="AY224" s="23">
        <f>VALUE(0)</f>
        <v>0</v>
      </c>
      <c r="AZ224" s="23">
        <f>VALUE(0)</f>
        <v>0</v>
      </c>
      <c r="BA224" s="23">
        <f>VALUE(0)</f>
        <v>0</v>
      </c>
      <c r="BB224" s="23">
        <f>VALUE(0)</f>
        <v>0</v>
      </c>
      <c r="BC224" s="23">
        <f>VALUE(0)</f>
        <v>0</v>
      </c>
      <c r="BD224" s="23">
        <f>VALUE(0)</f>
        <v>0</v>
      </c>
      <c r="BE224" s="23">
        <f>VALUE(0)</f>
        <v>0</v>
      </c>
      <c r="BF224" s="23">
        <f>VALUE(0)</f>
        <v>0</v>
      </c>
      <c r="BG224" s="23">
        <f>VALUE(0)</f>
        <v>0</v>
      </c>
      <c r="BH224" s="23">
        <f>VALUE(0)</f>
        <v>0</v>
      </c>
      <c r="BI224" s="23">
        <f>VALUE(0)</f>
        <v>0</v>
      </c>
      <c r="BJ224" s="23">
        <f>VALUE(0)</f>
        <v>0</v>
      </c>
      <c r="BK224" s="12">
        <f>$AX$224*24</f>
        <v>11.733333333333333</v>
      </c>
      <c r="BL224" s="12">
        <f>$AY$224*24</f>
        <v>0</v>
      </c>
      <c r="BM224" s="12">
        <f>$BJ$224*24</f>
        <v>0</v>
      </c>
      <c r="BN224" s="12">
        <f>VALUE($I$224)/100</f>
        <v>0.7</v>
      </c>
      <c r="BO224" s="12">
        <v>0</v>
      </c>
      <c r="BP224" s="12">
        <v>0</v>
      </c>
      <c r="BQ224" s="12">
        <v>0</v>
      </c>
      <c r="BR224" s="12">
        <v>0</v>
      </c>
      <c r="BS224" s="12">
        <v>0</v>
      </c>
      <c r="BT224" s="12">
        <v>0</v>
      </c>
      <c r="BU224" s="12">
        <v>0</v>
      </c>
      <c r="BV224" s="12">
        <v>0</v>
      </c>
      <c r="BW224" s="12">
        <v>0</v>
      </c>
      <c r="BX224" s="12">
        <v>0</v>
      </c>
      <c r="BY224" s="12">
        <v>0</v>
      </c>
      <c r="BZ224" s="12">
        <v>0</v>
      </c>
      <c r="CA224" s="12">
        <v>0</v>
      </c>
    </row>
    <row r="225" spans="1:79" x14ac:dyDescent="0.2">
      <c r="A225" s="12" t="s">
        <v>127</v>
      </c>
      <c r="B225" s="12" t="s">
        <v>131</v>
      </c>
      <c r="C225" s="12" t="s">
        <v>131</v>
      </c>
      <c r="D225" s="22" t="s">
        <v>480</v>
      </c>
      <c r="E225" s="22" t="s">
        <v>173</v>
      </c>
      <c r="F225" s="22" t="s">
        <v>949</v>
      </c>
      <c r="G225" s="22" t="s">
        <v>950</v>
      </c>
      <c r="H225" s="22" t="s">
        <v>166</v>
      </c>
      <c r="I225" s="22" t="s">
        <v>343</v>
      </c>
      <c r="J225" s="22" t="s">
        <v>162</v>
      </c>
      <c r="K225" s="22" t="s">
        <v>89</v>
      </c>
      <c r="L225" s="54" t="s">
        <v>153</v>
      </c>
      <c r="M225" s="24" t="s">
        <v>153</v>
      </c>
      <c r="N225" s="24" t="s">
        <v>153</v>
      </c>
      <c r="O225" s="33" t="s">
        <v>475</v>
      </c>
      <c r="P225" s="33" t="s">
        <v>475</v>
      </c>
      <c r="Q225" s="33" t="s">
        <v>475</v>
      </c>
      <c r="R225" s="33" t="s">
        <v>475</v>
      </c>
      <c r="S225" s="33" t="s">
        <v>475</v>
      </c>
      <c r="T225" s="24" t="s">
        <v>153</v>
      </c>
      <c r="U225" s="24" t="s">
        <v>153</v>
      </c>
      <c r="V225" s="54" t="s">
        <v>153</v>
      </c>
      <c r="W225" s="33" t="s">
        <v>475</v>
      </c>
      <c r="X225" s="33" t="s">
        <v>475</v>
      </c>
      <c r="Y225" s="33" t="s">
        <v>475</v>
      </c>
      <c r="Z225" s="33" t="s">
        <v>475</v>
      </c>
      <c r="AA225" s="24" t="s">
        <v>153</v>
      </c>
      <c r="AB225" s="24" t="s">
        <v>153</v>
      </c>
      <c r="AC225" s="33" t="s">
        <v>475</v>
      </c>
      <c r="AD225" s="33" t="s">
        <v>475</v>
      </c>
      <c r="AE225" s="33" t="s">
        <v>475</v>
      </c>
      <c r="AF225" s="33" t="s">
        <v>475</v>
      </c>
      <c r="AG225" s="33" t="s">
        <v>475</v>
      </c>
      <c r="AH225" s="24" t="s">
        <v>153</v>
      </c>
      <c r="AI225" s="24" t="s">
        <v>153</v>
      </c>
      <c r="AJ225" s="33" t="s">
        <v>475</v>
      </c>
      <c r="AK225" s="33" t="s">
        <v>475</v>
      </c>
      <c r="AL225" s="33" t="s">
        <v>475</v>
      </c>
      <c r="AM225" s="33" t="s">
        <v>475</v>
      </c>
      <c r="AN225" s="33" t="s">
        <v>475</v>
      </c>
      <c r="AO225" s="24" t="s">
        <v>153</v>
      </c>
      <c r="AP225" s="23">
        <f>VALUE(0)</f>
        <v>0</v>
      </c>
      <c r="AQ225" s="23">
        <f>VALUE(0)</f>
        <v>0</v>
      </c>
      <c r="AR225" s="23">
        <f>VALUE(0)</f>
        <v>0</v>
      </c>
      <c r="AS225" s="23">
        <f>VALUE(0)</f>
        <v>0</v>
      </c>
      <c r="AT225" s="23">
        <f>VALUE(0)</f>
        <v>0</v>
      </c>
      <c r="AU225" s="23">
        <f>VALUE(0)</f>
        <v>0</v>
      </c>
      <c r="AV225" s="23">
        <f>VALUE(0)</f>
        <v>0</v>
      </c>
      <c r="AW225" s="23">
        <f>VALUE(0)</f>
        <v>0</v>
      </c>
      <c r="AX225" s="23" t="s">
        <v>1261</v>
      </c>
      <c r="AY225" s="23">
        <f>VALUE(0)</f>
        <v>0</v>
      </c>
      <c r="AZ225" s="23">
        <f>VALUE(0)</f>
        <v>0</v>
      </c>
      <c r="BA225" s="23">
        <f>VALUE(0)</f>
        <v>0</v>
      </c>
      <c r="BB225" s="23">
        <f>VALUE(0)</f>
        <v>0</v>
      </c>
      <c r="BC225" s="23">
        <f>VALUE(0)</f>
        <v>0</v>
      </c>
      <c r="BD225" s="23">
        <f>VALUE(0)</f>
        <v>0</v>
      </c>
      <c r="BE225" s="23">
        <f>VALUE(0)</f>
        <v>0</v>
      </c>
      <c r="BF225" s="23">
        <f>VALUE(0)</f>
        <v>0</v>
      </c>
      <c r="BG225" s="23">
        <f>VALUE(0)</f>
        <v>0</v>
      </c>
      <c r="BH225" s="23">
        <f>VALUE(0)</f>
        <v>0</v>
      </c>
      <c r="BI225" s="23">
        <f>VALUE(0)</f>
        <v>0</v>
      </c>
      <c r="BJ225" s="23">
        <f>VALUE(0)</f>
        <v>0</v>
      </c>
      <c r="BK225" s="12">
        <f>$AX$225*24</f>
        <v>16.350000000000001</v>
      </c>
      <c r="BL225" s="12">
        <f>$AY$225*24</f>
        <v>0</v>
      </c>
      <c r="BM225" s="12">
        <f>$BJ$225*24</f>
        <v>0</v>
      </c>
      <c r="BN225" s="12">
        <f>VALUE($I$225)/100</f>
        <v>0.7</v>
      </c>
      <c r="BO225" s="12">
        <v>0</v>
      </c>
      <c r="BP225" s="12">
        <v>0</v>
      </c>
      <c r="BQ225" s="12">
        <v>0</v>
      </c>
      <c r="BR225" s="12">
        <v>0</v>
      </c>
      <c r="BS225" s="12">
        <v>0</v>
      </c>
      <c r="BT225" s="12">
        <v>0</v>
      </c>
      <c r="BU225" s="12">
        <v>0</v>
      </c>
      <c r="BV225" s="12">
        <v>0</v>
      </c>
      <c r="BW225" s="12">
        <v>0</v>
      </c>
      <c r="BX225" s="12">
        <v>0</v>
      </c>
      <c r="BY225" s="12">
        <v>0</v>
      </c>
      <c r="BZ225" s="12">
        <v>0</v>
      </c>
      <c r="CA225" s="12">
        <v>0</v>
      </c>
    </row>
    <row r="226" spans="1:79" x14ac:dyDescent="0.2">
      <c r="A226" s="12" t="s">
        <v>127</v>
      </c>
      <c r="B226" s="12" t="s">
        <v>131</v>
      </c>
      <c r="C226" s="12" t="s">
        <v>131</v>
      </c>
      <c r="D226" s="22" t="s">
        <v>480</v>
      </c>
      <c r="E226" s="22" t="s">
        <v>173</v>
      </c>
      <c r="F226" s="22" t="s">
        <v>951</v>
      </c>
      <c r="G226" s="22" t="s">
        <v>952</v>
      </c>
      <c r="H226" s="22" t="s">
        <v>166</v>
      </c>
      <c r="I226" s="22" t="s">
        <v>343</v>
      </c>
      <c r="J226" s="22" t="s">
        <v>162</v>
      </c>
      <c r="K226" s="22" t="s">
        <v>89</v>
      </c>
      <c r="L226" s="54" t="s">
        <v>153</v>
      </c>
      <c r="M226" s="33" t="s">
        <v>475</v>
      </c>
      <c r="N226" s="24" t="s">
        <v>153</v>
      </c>
      <c r="O226" s="33" t="s">
        <v>475</v>
      </c>
      <c r="P226" s="33" t="s">
        <v>475</v>
      </c>
      <c r="Q226" s="33" t="s">
        <v>475</v>
      </c>
      <c r="R226" s="33" t="s">
        <v>475</v>
      </c>
      <c r="S226" s="33" t="s">
        <v>475</v>
      </c>
      <c r="T226" s="33" t="s">
        <v>475</v>
      </c>
      <c r="U226" s="24" t="s">
        <v>153</v>
      </c>
      <c r="V226" s="54" t="s">
        <v>153</v>
      </c>
      <c r="W226" s="33" t="s">
        <v>475</v>
      </c>
      <c r="X226" s="33" t="s">
        <v>475</v>
      </c>
      <c r="Y226" s="33" t="s">
        <v>475</v>
      </c>
      <c r="Z226" s="33" t="s">
        <v>475</v>
      </c>
      <c r="AA226" s="33" t="s">
        <v>475</v>
      </c>
      <c r="AB226" s="24" t="s">
        <v>153</v>
      </c>
      <c r="AC226" s="33" t="s">
        <v>475</v>
      </c>
      <c r="AD226" s="33" t="s">
        <v>475</v>
      </c>
      <c r="AE226" s="33" t="s">
        <v>475</v>
      </c>
      <c r="AF226" s="33" t="s">
        <v>475</v>
      </c>
      <c r="AG226" s="33" t="s">
        <v>475</v>
      </c>
      <c r="AH226" s="33" t="s">
        <v>475</v>
      </c>
      <c r="AI226" s="24" t="s">
        <v>153</v>
      </c>
      <c r="AJ226" s="33" t="s">
        <v>475</v>
      </c>
      <c r="AK226" s="33" t="s">
        <v>475</v>
      </c>
      <c r="AL226" s="33" t="s">
        <v>475</v>
      </c>
      <c r="AM226" s="33" t="s">
        <v>475</v>
      </c>
      <c r="AN226" s="33" t="s">
        <v>475</v>
      </c>
      <c r="AO226" s="33" t="s">
        <v>475</v>
      </c>
      <c r="AP226" s="23">
        <f>VALUE(0)</f>
        <v>0</v>
      </c>
      <c r="AQ226" s="23">
        <f>VALUE(0)</f>
        <v>0</v>
      </c>
      <c r="AR226" s="23">
        <f>VALUE(0)</f>
        <v>0</v>
      </c>
      <c r="AS226" s="23">
        <f>VALUE(0)</f>
        <v>0</v>
      </c>
      <c r="AT226" s="23">
        <f>VALUE(0)</f>
        <v>0</v>
      </c>
      <c r="AU226" s="23">
        <f>VALUE(0)</f>
        <v>0</v>
      </c>
      <c r="AV226" s="23">
        <f>VALUE(0)</f>
        <v>0</v>
      </c>
      <c r="AW226" s="23">
        <f>VALUE(0)</f>
        <v>0</v>
      </c>
      <c r="AX226" s="23" t="s">
        <v>486</v>
      </c>
      <c r="AY226" s="23">
        <f>VALUE(0)</f>
        <v>0</v>
      </c>
      <c r="AZ226" s="23">
        <f>VALUE(0)</f>
        <v>0</v>
      </c>
      <c r="BA226" s="23">
        <f>VALUE(0)</f>
        <v>0</v>
      </c>
      <c r="BB226" s="23">
        <f>VALUE(0)</f>
        <v>0</v>
      </c>
      <c r="BC226" s="23">
        <f>VALUE(0)</f>
        <v>0</v>
      </c>
      <c r="BD226" s="23">
        <f>VALUE(0)</f>
        <v>0</v>
      </c>
      <c r="BE226" s="23">
        <f>VALUE(0)</f>
        <v>0</v>
      </c>
      <c r="BF226" s="23">
        <f>VALUE(0)</f>
        <v>0</v>
      </c>
      <c r="BG226" s="23">
        <f>VALUE(0)</f>
        <v>0</v>
      </c>
      <c r="BH226" s="23">
        <f>VALUE(0)</f>
        <v>0</v>
      </c>
      <c r="BI226" s="23">
        <f>VALUE(0)</f>
        <v>0</v>
      </c>
      <c r="BJ226" s="23">
        <f>VALUE(0)</f>
        <v>0</v>
      </c>
      <c r="BK226" s="12">
        <f>$AX$226*24</f>
        <v>8.5666666666666664</v>
      </c>
      <c r="BL226" s="12">
        <f>$AY$226*24</f>
        <v>0</v>
      </c>
      <c r="BM226" s="12">
        <f>$BJ$226*24</f>
        <v>0</v>
      </c>
      <c r="BN226" s="12">
        <f>VALUE($I$226)/100</f>
        <v>0.7</v>
      </c>
      <c r="BO226" s="12">
        <v>0</v>
      </c>
      <c r="BP226" s="12">
        <v>0</v>
      </c>
      <c r="BQ226" s="12">
        <v>0</v>
      </c>
      <c r="BR226" s="12">
        <v>0</v>
      </c>
      <c r="BS226" s="12">
        <v>0</v>
      </c>
      <c r="BT226" s="12">
        <v>0</v>
      </c>
      <c r="BU226" s="12">
        <v>0</v>
      </c>
      <c r="BV226" s="12">
        <v>0</v>
      </c>
      <c r="BW226" s="12">
        <v>0</v>
      </c>
      <c r="BX226" s="12">
        <v>0</v>
      </c>
      <c r="BY226" s="12">
        <v>0</v>
      </c>
      <c r="BZ226" s="12">
        <v>0</v>
      </c>
      <c r="CA226" s="12">
        <v>0</v>
      </c>
    </row>
    <row r="227" spans="1:79" x14ac:dyDescent="0.2">
      <c r="A227" s="12" t="s">
        <v>127</v>
      </c>
      <c r="B227" s="12" t="s">
        <v>131</v>
      </c>
      <c r="C227" s="12" t="s">
        <v>131</v>
      </c>
      <c r="D227" s="22" t="s">
        <v>480</v>
      </c>
      <c r="E227" s="22" t="s">
        <v>173</v>
      </c>
      <c r="F227" s="22" t="s">
        <v>1262</v>
      </c>
      <c r="G227" s="22" t="s">
        <v>953</v>
      </c>
      <c r="H227" s="22" t="s">
        <v>166</v>
      </c>
      <c r="I227" s="22" t="s">
        <v>343</v>
      </c>
      <c r="J227" s="22" t="s">
        <v>162</v>
      </c>
      <c r="K227" s="22" t="s">
        <v>89</v>
      </c>
      <c r="L227" s="54" t="s">
        <v>153</v>
      </c>
      <c r="M227" s="33" t="s">
        <v>475</v>
      </c>
      <c r="N227" s="24" t="s">
        <v>153</v>
      </c>
      <c r="O227" s="33" t="s">
        <v>475</v>
      </c>
      <c r="P227" s="33" t="s">
        <v>475</v>
      </c>
      <c r="Q227" s="33" t="s">
        <v>475</v>
      </c>
      <c r="R227" s="33" t="s">
        <v>475</v>
      </c>
      <c r="S227" s="33" t="s">
        <v>475</v>
      </c>
      <c r="T227" s="33" t="s">
        <v>475</v>
      </c>
      <c r="U227" s="24" t="s">
        <v>153</v>
      </c>
      <c r="V227" s="54" t="s">
        <v>153</v>
      </c>
      <c r="W227" s="33" t="s">
        <v>475</v>
      </c>
      <c r="X227" s="33" t="s">
        <v>475</v>
      </c>
      <c r="Y227" s="33" t="s">
        <v>475</v>
      </c>
      <c r="Z227" s="33" t="s">
        <v>475</v>
      </c>
      <c r="AA227" s="33" t="s">
        <v>475</v>
      </c>
      <c r="AB227" s="24" t="s">
        <v>153</v>
      </c>
      <c r="AC227" s="33" t="s">
        <v>475</v>
      </c>
      <c r="AD227" s="33" t="s">
        <v>475</v>
      </c>
      <c r="AE227" s="33" t="s">
        <v>475</v>
      </c>
      <c r="AF227" s="33" t="s">
        <v>475</v>
      </c>
      <c r="AG227" s="33" t="s">
        <v>475</v>
      </c>
      <c r="AH227" s="33" t="s">
        <v>475</v>
      </c>
      <c r="AI227" s="24" t="s">
        <v>153</v>
      </c>
      <c r="AJ227" s="33" t="s">
        <v>475</v>
      </c>
      <c r="AK227" s="33" t="s">
        <v>475</v>
      </c>
      <c r="AL227" s="33" t="s">
        <v>475</v>
      </c>
      <c r="AM227" s="33" t="s">
        <v>475</v>
      </c>
      <c r="AN227" s="33" t="s">
        <v>475</v>
      </c>
      <c r="AO227" s="33" t="s">
        <v>475</v>
      </c>
      <c r="AP227" s="23">
        <f>VALUE(0)</f>
        <v>0</v>
      </c>
      <c r="AQ227" s="23">
        <f>VALUE(0)</f>
        <v>0</v>
      </c>
      <c r="AR227" s="23">
        <f>VALUE(0)</f>
        <v>0</v>
      </c>
      <c r="AS227" s="23">
        <f>VALUE(0)</f>
        <v>0</v>
      </c>
      <c r="AT227" s="23">
        <f>VALUE(0)</f>
        <v>0</v>
      </c>
      <c r="AU227" s="23">
        <f>VALUE(0)</f>
        <v>0</v>
      </c>
      <c r="AV227" s="23">
        <f>VALUE(0)</f>
        <v>0</v>
      </c>
      <c r="AW227" s="23">
        <f>VALUE(0)</f>
        <v>0</v>
      </c>
      <c r="AX227" s="23" t="s">
        <v>487</v>
      </c>
      <c r="AY227" s="23">
        <f>VALUE(0)</f>
        <v>0</v>
      </c>
      <c r="AZ227" s="23">
        <f>VALUE(0)</f>
        <v>0</v>
      </c>
      <c r="BA227" s="23">
        <f>VALUE(0)</f>
        <v>0</v>
      </c>
      <c r="BB227" s="23">
        <f>VALUE(0)</f>
        <v>0</v>
      </c>
      <c r="BC227" s="23">
        <f>VALUE(0)</f>
        <v>0</v>
      </c>
      <c r="BD227" s="23">
        <f>VALUE(0)</f>
        <v>0</v>
      </c>
      <c r="BE227" s="23">
        <f>VALUE(0)</f>
        <v>0</v>
      </c>
      <c r="BF227" s="23">
        <f>VALUE(0)</f>
        <v>0</v>
      </c>
      <c r="BG227" s="23">
        <f>VALUE(0)</f>
        <v>0</v>
      </c>
      <c r="BH227" s="23">
        <f>VALUE(0)</f>
        <v>0</v>
      </c>
      <c r="BI227" s="23">
        <f>VALUE(0)</f>
        <v>0</v>
      </c>
      <c r="BJ227" s="23">
        <f>VALUE(0)</f>
        <v>0</v>
      </c>
      <c r="BK227" s="12">
        <f>$AX$227*24</f>
        <v>4.083333333333333</v>
      </c>
      <c r="BL227" s="12">
        <f>$AY$227*24</f>
        <v>0</v>
      </c>
      <c r="BM227" s="12">
        <f>$BJ$227*24</f>
        <v>0</v>
      </c>
      <c r="BN227" s="12">
        <f>VALUE($I$227)/100</f>
        <v>0.7</v>
      </c>
      <c r="BO227" s="12">
        <v>0</v>
      </c>
      <c r="BP227" s="12">
        <v>0</v>
      </c>
      <c r="BQ227" s="12">
        <v>0</v>
      </c>
      <c r="BR227" s="12">
        <v>0</v>
      </c>
      <c r="BS227" s="12">
        <v>0</v>
      </c>
      <c r="BT227" s="12">
        <v>0</v>
      </c>
      <c r="BU227" s="12">
        <v>0</v>
      </c>
      <c r="BV227" s="12">
        <v>0</v>
      </c>
      <c r="BW227" s="12">
        <v>0</v>
      </c>
      <c r="BX227" s="12">
        <v>0</v>
      </c>
      <c r="BY227" s="12">
        <v>0</v>
      </c>
      <c r="BZ227" s="12">
        <v>0</v>
      </c>
      <c r="CA227" s="12">
        <v>0</v>
      </c>
    </row>
    <row r="228" spans="1:79" x14ac:dyDescent="0.2">
      <c r="A228" s="12" t="s">
        <v>127</v>
      </c>
      <c r="B228" s="12" t="s">
        <v>131</v>
      </c>
      <c r="C228" s="12" t="s">
        <v>131</v>
      </c>
      <c r="D228" s="22" t="s">
        <v>480</v>
      </c>
      <c r="E228" s="22" t="s">
        <v>173</v>
      </c>
      <c r="F228" s="22" t="s">
        <v>954</v>
      </c>
      <c r="G228" s="22" t="s">
        <v>955</v>
      </c>
      <c r="H228" s="22" t="s">
        <v>166</v>
      </c>
      <c r="I228" s="22" t="s">
        <v>343</v>
      </c>
      <c r="J228" s="22" t="s">
        <v>162</v>
      </c>
      <c r="K228" s="22" t="s">
        <v>89</v>
      </c>
      <c r="L228" s="54" t="s">
        <v>153</v>
      </c>
      <c r="M228" s="33" t="s">
        <v>475</v>
      </c>
      <c r="N228" s="24" t="s">
        <v>153</v>
      </c>
      <c r="O228" s="33" t="s">
        <v>475</v>
      </c>
      <c r="P228" s="33" t="s">
        <v>475</v>
      </c>
      <c r="Q228" s="33" t="s">
        <v>475</v>
      </c>
      <c r="R228" s="33" t="s">
        <v>475</v>
      </c>
      <c r="S228" s="33" t="s">
        <v>475</v>
      </c>
      <c r="T228" s="33" t="s">
        <v>475</v>
      </c>
      <c r="U228" s="24" t="s">
        <v>153</v>
      </c>
      <c r="V228" s="54" t="s">
        <v>153</v>
      </c>
      <c r="W228" s="33" t="s">
        <v>475</v>
      </c>
      <c r="X228" s="33" t="s">
        <v>475</v>
      </c>
      <c r="Y228" s="33" t="s">
        <v>475</v>
      </c>
      <c r="Z228" s="33" t="s">
        <v>475</v>
      </c>
      <c r="AA228" s="33" t="s">
        <v>475</v>
      </c>
      <c r="AB228" s="24" t="s">
        <v>153</v>
      </c>
      <c r="AC228" s="33" t="s">
        <v>475</v>
      </c>
      <c r="AD228" s="33" t="s">
        <v>475</v>
      </c>
      <c r="AE228" s="33" t="s">
        <v>475</v>
      </c>
      <c r="AF228" s="33" t="s">
        <v>475</v>
      </c>
      <c r="AG228" s="33" t="s">
        <v>475</v>
      </c>
      <c r="AH228" s="33" t="s">
        <v>475</v>
      </c>
      <c r="AI228" s="24" t="s">
        <v>153</v>
      </c>
      <c r="AJ228" s="33" t="s">
        <v>475</v>
      </c>
      <c r="AK228" s="33" t="s">
        <v>475</v>
      </c>
      <c r="AL228" s="33" t="s">
        <v>475</v>
      </c>
      <c r="AM228" s="33" t="s">
        <v>475</v>
      </c>
      <c r="AN228" s="33" t="s">
        <v>475</v>
      </c>
      <c r="AO228" s="33" t="s">
        <v>475</v>
      </c>
      <c r="AP228" s="23">
        <f>VALUE(0)</f>
        <v>0</v>
      </c>
      <c r="AQ228" s="23">
        <f>VALUE(0)</f>
        <v>0</v>
      </c>
      <c r="AR228" s="23">
        <f>VALUE(0)</f>
        <v>0</v>
      </c>
      <c r="AS228" s="23">
        <f>VALUE(0)</f>
        <v>0</v>
      </c>
      <c r="AT228" s="23">
        <f>VALUE(0)</f>
        <v>0</v>
      </c>
      <c r="AU228" s="23">
        <f>VALUE(0)</f>
        <v>0</v>
      </c>
      <c r="AV228" s="23">
        <f>VALUE(2.5)</f>
        <v>2.5</v>
      </c>
      <c r="AW228" s="23">
        <f>VALUE(0)</f>
        <v>0</v>
      </c>
      <c r="AX228" s="23" t="s">
        <v>290</v>
      </c>
      <c r="AY228" s="23">
        <f>VALUE(0)</f>
        <v>0</v>
      </c>
      <c r="AZ228" s="23">
        <f>VALUE(0)</f>
        <v>0</v>
      </c>
      <c r="BA228" s="23">
        <f>VALUE(0)</f>
        <v>0</v>
      </c>
      <c r="BB228" s="23">
        <f>VALUE(0)</f>
        <v>0</v>
      </c>
      <c r="BC228" s="23">
        <f>VALUE(0)</f>
        <v>0</v>
      </c>
      <c r="BD228" s="23">
        <f>VALUE(0)</f>
        <v>0</v>
      </c>
      <c r="BE228" s="23">
        <f>VALUE(0)</f>
        <v>0</v>
      </c>
      <c r="BF228" s="23">
        <f>VALUE(0)</f>
        <v>0</v>
      </c>
      <c r="BG228" s="23">
        <f>VALUE(0)</f>
        <v>0</v>
      </c>
      <c r="BH228" s="23">
        <f>VALUE(0)</f>
        <v>0</v>
      </c>
      <c r="BI228" s="23">
        <f>VALUE(0)</f>
        <v>0</v>
      </c>
      <c r="BJ228" s="23">
        <f>VALUE(0)</f>
        <v>0</v>
      </c>
      <c r="BK228" s="12">
        <f>$AX$228*24</f>
        <v>4.4000000000000004</v>
      </c>
      <c r="BL228" s="12">
        <f>$AY$228*24</f>
        <v>0</v>
      </c>
      <c r="BM228" s="12">
        <f>$BJ$228*24</f>
        <v>0</v>
      </c>
      <c r="BN228" s="12">
        <f>VALUE($I$228)/100</f>
        <v>0.7</v>
      </c>
      <c r="BO228" s="12">
        <v>0</v>
      </c>
      <c r="BP228" s="12">
        <v>0</v>
      </c>
      <c r="BQ228" s="12">
        <v>0</v>
      </c>
      <c r="BR228" s="12">
        <v>0</v>
      </c>
      <c r="BS228" s="12">
        <v>0</v>
      </c>
      <c r="BT228" s="12">
        <v>0</v>
      </c>
      <c r="BU228" s="12">
        <v>0</v>
      </c>
      <c r="BV228" s="12">
        <v>0</v>
      </c>
      <c r="BW228" s="12">
        <v>0</v>
      </c>
      <c r="BX228" s="12">
        <v>0</v>
      </c>
      <c r="BY228" s="12">
        <v>0</v>
      </c>
      <c r="BZ228" s="12">
        <v>0</v>
      </c>
      <c r="CA228" s="12">
        <v>0</v>
      </c>
    </row>
    <row r="229" spans="1:79" x14ac:dyDescent="0.2">
      <c r="A229" s="12" t="s">
        <v>127</v>
      </c>
      <c r="B229" s="12" t="s">
        <v>131</v>
      </c>
      <c r="C229" s="12" t="s">
        <v>131</v>
      </c>
      <c r="D229" s="22" t="s">
        <v>480</v>
      </c>
      <c r="E229" s="22" t="s">
        <v>173</v>
      </c>
      <c r="F229" s="22" t="s">
        <v>956</v>
      </c>
      <c r="G229" s="22" t="s">
        <v>957</v>
      </c>
      <c r="H229" s="22" t="s">
        <v>166</v>
      </c>
      <c r="I229" s="22" t="s">
        <v>343</v>
      </c>
      <c r="J229" s="22" t="s">
        <v>162</v>
      </c>
      <c r="K229" s="22" t="s">
        <v>89</v>
      </c>
      <c r="L229" s="54" t="s">
        <v>153</v>
      </c>
      <c r="M229" s="24" t="s">
        <v>156</v>
      </c>
      <c r="N229" s="24" t="s">
        <v>153</v>
      </c>
      <c r="O229" s="24" t="s">
        <v>156</v>
      </c>
      <c r="P229" s="23" t="s">
        <v>153</v>
      </c>
      <c r="Q229" s="23" t="s">
        <v>153</v>
      </c>
      <c r="R229" s="23" t="s">
        <v>153</v>
      </c>
      <c r="S229" s="23" t="s">
        <v>153</v>
      </c>
      <c r="T229" s="23" t="s">
        <v>153</v>
      </c>
      <c r="U229" s="24" t="s">
        <v>153</v>
      </c>
      <c r="V229" s="54" t="s">
        <v>153</v>
      </c>
      <c r="W229" s="23" t="s">
        <v>153</v>
      </c>
      <c r="X229" s="23" t="s">
        <v>153</v>
      </c>
      <c r="Y229" s="23" t="s">
        <v>153</v>
      </c>
      <c r="Z229" s="23" t="s">
        <v>153</v>
      </c>
      <c r="AA229" s="24" t="s">
        <v>156</v>
      </c>
      <c r="AB229" s="24" t="s">
        <v>153</v>
      </c>
      <c r="AC229" s="24" t="s">
        <v>156</v>
      </c>
      <c r="AD229" s="23" t="s">
        <v>153</v>
      </c>
      <c r="AE229" s="23" t="s">
        <v>153</v>
      </c>
      <c r="AF229" s="23" t="s">
        <v>153</v>
      </c>
      <c r="AG229" s="23" t="s">
        <v>153</v>
      </c>
      <c r="AH229" s="23" t="s">
        <v>153</v>
      </c>
      <c r="AI229" s="24" t="s">
        <v>153</v>
      </c>
      <c r="AJ229" s="23" t="s">
        <v>153</v>
      </c>
      <c r="AK229" s="23" t="s">
        <v>153</v>
      </c>
      <c r="AL229" s="23" t="s">
        <v>153</v>
      </c>
      <c r="AM229" s="23" t="s">
        <v>153</v>
      </c>
      <c r="AN229" s="23" t="s">
        <v>153</v>
      </c>
      <c r="AO229" s="24" t="s">
        <v>156</v>
      </c>
      <c r="AP229" s="23">
        <f>VALUE(0)</f>
        <v>0</v>
      </c>
      <c r="AQ229" s="23">
        <f>VALUE(0)</f>
        <v>0</v>
      </c>
      <c r="AR229" s="23">
        <f>VALUE(0)</f>
        <v>0</v>
      </c>
      <c r="AS229" s="23">
        <f>VALUE(0)</f>
        <v>0</v>
      </c>
      <c r="AT229" s="23">
        <f>VALUE(0)</f>
        <v>0</v>
      </c>
      <c r="AU229" s="23">
        <f>VALUE(0)</f>
        <v>0</v>
      </c>
      <c r="AV229" s="23">
        <f>VALUE(0)</f>
        <v>0</v>
      </c>
      <c r="AW229" s="23">
        <f>VALUE(0)</f>
        <v>0</v>
      </c>
      <c r="AX229" s="23" t="s">
        <v>487</v>
      </c>
      <c r="AY229" s="23">
        <f>VALUE(0)</f>
        <v>0</v>
      </c>
      <c r="AZ229" s="23">
        <f>VALUE(0)</f>
        <v>0</v>
      </c>
      <c r="BA229" s="23">
        <f>VALUE(0)</f>
        <v>0</v>
      </c>
      <c r="BB229" s="23">
        <f>VALUE(0)</f>
        <v>0</v>
      </c>
      <c r="BC229" s="23">
        <f>VALUE(0)</f>
        <v>0</v>
      </c>
      <c r="BD229" s="23">
        <f>VALUE(0)</f>
        <v>0</v>
      </c>
      <c r="BE229" s="23">
        <f>VALUE(0)</f>
        <v>0</v>
      </c>
      <c r="BF229" s="23">
        <f>VALUE(0)</f>
        <v>0</v>
      </c>
      <c r="BG229" s="23">
        <f>VALUE(0)</f>
        <v>0</v>
      </c>
      <c r="BH229" s="23">
        <f>VALUE(0)</f>
        <v>0</v>
      </c>
      <c r="BI229" s="23">
        <f>VALUE(0)</f>
        <v>0</v>
      </c>
      <c r="BJ229" s="23">
        <f>VALUE(0)</f>
        <v>0</v>
      </c>
      <c r="BK229" s="12">
        <f>$AX$229*24</f>
        <v>4.083333333333333</v>
      </c>
      <c r="BL229" s="12">
        <f>$AY$229*24</f>
        <v>0</v>
      </c>
      <c r="BM229" s="12">
        <f>$BJ$229*24</f>
        <v>0</v>
      </c>
      <c r="BN229" s="12">
        <f>VALUE($I$229)/100</f>
        <v>0.7</v>
      </c>
      <c r="BO229" s="12">
        <v>0</v>
      </c>
      <c r="BP229" s="12">
        <v>0</v>
      </c>
      <c r="BQ229" s="12">
        <v>0</v>
      </c>
      <c r="BR229" s="12">
        <v>0</v>
      </c>
      <c r="BS229" s="12">
        <v>0</v>
      </c>
      <c r="BT229" s="12">
        <v>0</v>
      </c>
      <c r="BU229" s="12">
        <v>0</v>
      </c>
      <c r="BV229" s="12">
        <v>0</v>
      </c>
      <c r="BW229" s="12">
        <v>0</v>
      </c>
      <c r="BX229" s="12">
        <v>0</v>
      </c>
      <c r="BY229" s="12">
        <v>0</v>
      </c>
      <c r="BZ229" s="12">
        <v>0</v>
      </c>
      <c r="CA229" s="12">
        <v>0</v>
      </c>
    </row>
    <row r="230" spans="1:79" x14ac:dyDescent="0.2">
      <c r="A230" s="12" t="s">
        <v>127</v>
      </c>
      <c r="B230" s="12" t="s">
        <v>131</v>
      </c>
      <c r="C230" s="12" t="s">
        <v>131</v>
      </c>
      <c r="D230" s="22" t="s">
        <v>480</v>
      </c>
      <c r="E230" s="22" t="s">
        <v>173</v>
      </c>
      <c r="F230" s="22" t="s">
        <v>958</v>
      </c>
      <c r="G230" s="22" t="s">
        <v>959</v>
      </c>
      <c r="H230" s="22" t="s">
        <v>150</v>
      </c>
      <c r="I230" s="22" t="s">
        <v>343</v>
      </c>
      <c r="J230" s="22" t="s">
        <v>162</v>
      </c>
      <c r="K230" s="22" t="s">
        <v>89</v>
      </c>
      <c r="L230" s="54" t="s">
        <v>153</v>
      </c>
      <c r="M230" s="33" t="s">
        <v>475</v>
      </c>
      <c r="N230" s="24" t="s">
        <v>153</v>
      </c>
      <c r="O230" s="33" t="s">
        <v>475</v>
      </c>
      <c r="P230" s="33" t="s">
        <v>475</v>
      </c>
      <c r="Q230" s="33" t="s">
        <v>475</v>
      </c>
      <c r="R230" s="33" t="s">
        <v>475</v>
      </c>
      <c r="S230" s="33" t="s">
        <v>475</v>
      </c>
      <c r="T230" s="33" t="s">
        <v>475</v>
      </c>
      <c r="U230" s="24" t="s">
        <v>153</v>
      </c>
      <c r="V230" s="54" t="s">
        <v>153</v>
      </c>
      <c r="W230" s="33" t="s">
        <v>475</v>
      </c>
      <c r="X230" s="33" t="s">
        <v>475</v>
      </c>
      <c r="Y230" s="33" t="s">
        <v>475</v>
      </c>
      <c r="Z230" s="33" t="s">
        <v>475</v>
      </c>
      <c r="AA230" s="33" t="s">
        <v>475</v>
      </c>
      <c r="AB230" s="24" t="s">
        <v>153</v>
      </c>
      <c r="AC230" s="33" t="s">
        <v>475</v>
      </c>
      <c r="AD230" s="33" t="s">
        <v>475</v>
      </c>
      <c r="AE230" s="33" t="s">
        <v>475</v>
      </c>
      <c r="AF230" s="33" t="s">
        <v>475</v>
      </c>
      <c r="AG230" s="33" t="s">
        <v>475</v>
      </c>
      <c r="AH230" s="33" t="s">
        <v>475</v>
      </c>
      <c r="AI230" s="24" t="s">
        <v>153</v>
      </c>
      <c r="AJ230" s="33" t="s">
        <v>475</v>
      </c>
      <c r="AK230" s="33" t="s">
        <v>475</v>
      </c>
      <c r="AL230" s="33" t="s">
        <v>475</v>
      </c>
      <c r="AM230" s="33" t="s">
        <v>475</v>
      </c>
      <c r="AN230" s="33" t="s">
        <v>475</v>
      </c>
      <c r="AO230" s="33" t="s">
        <v>475</v>
      </c>
      <c r="AP230" s="23">
        <f>VALUE(0)</f>
        <v>0</v>
      </c>
      <c r="AQ230" s="23">
        <f>VALUE(0)</f>
        <v>0</v>
      </c>
      <c r="AR230" s="23">
        <f>VALUE(0)</f>
        <v>0</v>
      </c>
      <c r="AS230" s="23">
        <f>VALUE(0)</f>
        <v>0</v>
      </c>
      <c r="AT230" s="23">
        <f>VALUE(0)</f>
        <v>0</v>
      </c>
      <c r="AU230" s="23">
        <f>VALUE(0)</f>
        <v>0</v>
      </c>
      <c r="AV230" s="23">
        <f>VALUE(0)</f>
        <v>0</v>
      </c>
      <c r="AW230" s="23">
        <f>VALUE(0)</f>
        <v>0</v>
      </c>
      <c r="AX230" s="23" t="s">
        <v>487</v>
      </c>
      <c r="AY230" s="23">
        <f>VALUE(0)</f>
        <v>0</v>
      </c>
      <c r="AZ230" s="23">
        <f>VALUE(0)</f>
        <v>0</v>
      </c>
      <c r="BA230" s="23">
        <f>VALUE(0)</f>
        <v>0</v>
      </c>
      <c r="BB230" s="23">
        <f>VALUE(0)</f>
        <v>0</v>
      </c>
      <c r="BC230" s="23">
        <f>VALUE(0)</f>
        <v>0</v>
      </c>
      <c r="BD230" s="23">
        <f>VALUE(0)</f>
        <v>0</v>
      </c>
      <c r="BE230" s="23">
        <f>VALUE(0)</f>
        <v>0</v>
      </c>
      <c r="BF230" s="23">
        <f>VALUE(0)</f>
        <v>0</v>
      </c>
      <c r="BG230" s="23">
        <f>VALUE(0)</f>
        <v>0</v>
      </c>
      <c r="BH230" s="23">
        <f>VALUE(0)</f>
        <v>0</v>
      </c>
      <c r="BI230" s="23">
        <f>VALUE(0)</f>
        <v>0</v>
      </c>
      <c r="BJ230" s="23">
        <f>VALUE(0)</f>
        <v>0</v>
      </c>
      <c r="BK230" s="12">
        <f>$AX$230*24</f>
        <v>4.083333333333333</v>
      </c>
      <c r="BL230" s="12">
        <f>$AY$230*24</f>
        <v>0</v>
      </c>
      <c r="BM230" s="12">
        <f>$BJ$230*24</f>
        <v>0</v>
      </c>
      <c r="BN230" s="12">
        <f>VALUE($I$230)/100</f>
        <v>0.7</v>
      </c>
      <c r="BO230" s="12">
        <v>0</v>
      </c>
      <c r="BP230" s="12">
        <v>0</v>
      </c>
      <c r="BQ230" s="12">
        <v>0</v>
      </c>
      <c r="BR230" s="12">
        <v>0</v>
      </c>
      <c r="BS230" s="12">
        <v>0</v>
      </c>
      <c r="BT230" s="12">
        <v>0</v>
      </c>
      <c r="BU230" s="12">
        <v>0</v>
      </c>
      <c r="BV230" s="12">
        <v>0</v>
      </c>
      <c r="BW230" s="12">
        <v>0</v>
      </c>
      <c r="BX230" s="12">
        <v>0</v>
      </c>
      <c r="BY230" s="12">
        <v>0</v>
      </c>
      <c r="BZ230" s="12">
        <v>0</v>
      </c>
      <c r="CA230" s="12">
        <v>0</v>
      </c>
    </row>
    <row r="231" spans="1:79" x14ac:dyDescent="0.2">
      <c r="A231" s="12" t="s">
        <v>127</v>
      </c>
      <c r="B231" s="12" t="s">
        <v>131</v>
      </c>
      <c r="C231" s="12" t="s">
        <v>131</v>
      </c>
      <c r="D231" s="22" t="s">
        <v>480</v>
      </c>
      <c r="E231" s="22" t="s">
        <v>173</v>
      </c>
      <c r="F231" s="22" t="s">
        <v>960</v>
      </c>
      <c r="G231" s="22" t="s">
        <v>961</v>
      </c>
      <c r="H231" s="22" t="s">
        <v>166</v>
      </c>
      <c r="I231" s="22" t="s">
        <v>343</v>
      </c>
      <c r="J231" s="22" t="s">
        <v>181</v>
      </c>
      <c r="K231" s="22" t="s">
        <v>89</v>
      </c>
      <c r="L231" s="54" t="s">
        <v>153</v>
      </c>
      <c r="M231" s="33" t="s">
        <v>475</v>
      </c>
      <c r="N231" s="24" t="s">
        <v>153</v>
      </c>
      <c r="O231" s="33" t="s">
        <v>475</v>
      </c>
      <c r="P231" s="33" t="s">
        <v>475</v>
      </c>
      <c r="Q231" s="33" t="s">
        <v>475</v>
      </c>
      <c r="R231" s="33" t="s">
        <v>475</v>
      </c>
      <c r="S231" s="33" t="s">
        <v>475</v>
      </c>
      <c r="T231" s="33" t="s">
        <v>475</v>
      </c>
      <c r="U231" s="24" t="s">
        <v>153</v>
      </c>
      <c r="V231" s="54" t="s">
        <v>153</v>
      </c>
      <c r="W231" s="33" t="s">
        <v>475</v>
      </c>
      <c r="X231" s="33" t="s">
        <v>475</v>
      </c>
      <c r="Y231" s="33" t="s">
        <v>475</v>
      </c>
      <c r="Z231" s="33" t="s">
        <v>475</v>
      </c>
      <c r="AA231" s="33" t="s">
        <v>475</v>
      </c>
      <c r="AB231" s="24" t="s">
        <v>153</v>
      </c>
      <c r="AC231" s="33" t="s">
        <v>475</v>
      </c>
      <c r="AD231" s="33" t="s">
        <v>475</v>
      </c>
      <c r="AE231" s="33" t="s">
        <v>475</v>
      </c>
      <c r="AF231" s="33" t="s">
        <v>475</v>
      </c>
      <c r="AG231" s="33" t="s">
        <v>475</v>
      </c>
      <c r="AH231" s="33" t="s">
        <v>475</v>
      </c>
      <c r="AI231" s="24" t="s">
        <v>153</v>
      </c>
      <c r="AJ231" s="33" t="s">
        <v>475</v>
      </c>
      <c r="AK231" s="33" t="s">
        <v>475</v>
      </c>
      <c r="AL231" s="33" t="s">
        <v>475</v>
      </c>
      <c r="AM231" s="33" t="s">
        <v>475</v>
      </c>
      <c r="AN231" s="33" t="s">
        <v>475</v>
      </c>
      <c r="AO231" s="33" t="s">
        <v>475</v>
      </c>
      <c r="AP231" s="23">
        <f>VALUE(0)</f>
        <v>0</v>
      </c>
      <c r="AQ231" s="23">
        <f>VALUE(0)</f>
        <v>0</v>
      </c>
      <c r="AR231" s="23">
        <f>VALUE(0)</f>
        <v>0</v>
      </c>
      <c r="AS231" s="23">
        <f>VALUE(0)</f>
        <v>0</v>
      </c>
      <c r="AT231" s="23">
        <f>VALUE(0)</f>
        <v>0</v>
      </c>
      <c r="AU231" s="23">
        <f>VALUE(0)</f>
        <v>0</v>
      </c>
      <c r="AV231" s="23">
        <f>VALUE(1.5)</f>
        <v>1.5</v>
      </c>
      <c r="AW231" s="23">
        <f>VALUE(0)</f>
        <v>0</v>
      </c>
      <c r="AX231" s="23" t="s">
        <v>171</v>
      </c>
      <c r="AY231" s="23">
        <f>VALUE(0)</f>
        <v>0</v>
      </c>
      <c r="AZ231" s="23">
        <f>VALUE(0)</f>
        <v>0</v>
      </c>
      <c r="BA231" s="23">
        <f>VALUE(0)</f>
        <v>0</v>
      </c>
      <c r="BB231" s="23">
        <f>VALUE(0)</f>
        <v>0</v>
      </c>
      <c r="BC231" s="23">
        <f>VALUE(0)</f>
        <v>0</v>
      </c>
      <c r="BD231" s="23">
        <f>VALUE(0)</f>
        <v>0</v>
      </c>
      <c r="BE231" s="23">
        <f>VALUE(0)</f>
        <v>0</v>
      </c>
      <c r="BF231" s="23">
        <f>VALUE(0)</f>
        <v>0</v>
      </c>
      <c r="BG231" s="23">
        <f>VALUE(0)</f>
        <v>0</v>
      </c>
      <c r="BH231" s="23">
        <f>VALUE(0)</f>
        <v>0</v>
      </c>
      <c r="BI231" s="23">
        <f>VALUE(0)</f>
        <v>0</v>
      </c>
      <c r="BJ231" s="23">
        <f>VALUE(0)</f>
        <v>0</v>
      </c>
      <c r="BK231" s="12">
        <f>$AX$231*24</f>
        <v>5.833333333333333</v>
      </c>
      <c r="BL231" s="12">
        <f>$AY$231*24</f>
        <v>0</v>
      </c>
      <c r="BM231" s="12">
        <f>$BJ$231*24</f>
        <v>0</v>
      </c>
      <c r="BN231" s="12">
        <f>VALUE($I$231)/100</f>
        <v>0.7</v>
      </c>
      <c r="BO231" s="12">
        <v>0</v>
      </c>
      <c r="BP231" s="12">
        <v>0</v>
      </c>
      <c r="BQ231" s="12">
        <v>0</v>
      </c>
      <c r="BR231" s="12">
        <v>0</v>
      </c>
      <c r="BS231" s="12">
        <v>0</v>
      </c>
      <c r="BT231" s="12">
        <v>0</v>
      </c>
      <c r="BU231" s="12">
        <v>0</v>
      </c>
      <c r="BV231" s="12">
        <v>0</v>
      </c>
      <c r="BW231" s="12">
        <v>0</v>
      </c>
      <c r="BX231" s="12">
        <v>0</v>
      </c>
      <c r="BY231" s="12">
        <v>0</v>
      </c>
      <c r="BZ231" s="12">
        <v>0</v>
      </c>
      <c r="CA231" s="12">
        <v>0</v>
      </c>
    </row>
    <row r="232" spans="1:79" ht="15" x14ac:dyDescent="0.25">
      <c r="A232" s="12" t="s">
        <v>127</v>
      </c>
      <c r="B232" s="12" t="s">
        <v>131</v>
      </c>
      <c r="C232" s="12" t="s">
        <v>131</v>
      </c>
      <c r="D232" s="31" t="s">
        <v>1248</v>
      </c>
      <c r="E232" s="31" t="s">
        <v>153</v>
      </c>
      <c r="F232" s="31" t="s">
        <v>175</v>
      </c>
      <c r="G232" s="31" t="s">
        <v>153</v>
      </c>
      <c r="H232" s="31" t="s">
        <v>153</v>
      </c>
      <c r="I232" s="31" t="s">
        <v>153</v>
      </c>
      <c r="J232" s="31" t="s">
        <v>153</v>
      </c>
      <c r="K232" s="31" t="s">
        <v>153</v>
      </c>
      <c r="L232" s="31">
        <f>VALUE(0)</f>
        <v>0</v>
      </c>
      <c r="M232" s="31">
        <f>VALUE(0)</f>
        <v>0</v>
      </c>
      <c r="N232" s="31">
        <f>VALUE(0)</f>
        <v>0</v>
      </c>
      <c r="O232" s="31">
        <f>VALUE(0)</f>
        <v>0</v>
      </c>
      <c r="P232" s="31">
        <f>VALUE(1)</f>
        <v>1</v>
      </c>
      <c r="Q232" s="31">
        <f>VALUE(1)</f>
        <v>1</v>
      </c>
      <c r="R232" s="31">
        <f>VALUE(1)</f>
        <v>1</v>
      </c>
      <c r="S232" s="31">
        <f>VALUE(1)</f>
        <v>1</v>
      </c>
      <c r="T232" s="31">
        <f>VALUE(1)</f>
        <v>1</v>
      </c>
      <c r="U232" s="31">
        <f>VALUE(0)</f>
        <v>0</v>
      </c>
      <c r="V232" s="31">
        <f>VALUE(0)</f>
        <v>0</v>
      </c>
      <c r="W232" s="31">
        <f>VALUE(1)</f>
        <v>1</v>
      </c>
      <c r="X232" s="31">
        <f>VALUE(1)</f>
        <v>1</v>
      </c>
      <c r="Y232" s="31">
        <f>VALUE(1)</f>
        <v>1</v>
      </c>
      <c r="Z232" s="31">
        <f>VALUE(1)</f>
        <v>1</v>
      </c>
      <c r="AA232" s="31">
        <f>VALUE(0)</f>
        <v>0</v>
      </c>
      <c r="AB232" s="31">
        <f>VALUE(0)</f>
        <v>0</v>
      </c>
      <c r="AC232" s="31">
        <f>VALUE(0)</f>
        <v>0</v>
      </c>
      <c r="AD232" s="31">
        <f>VALUE(1)</f>
        <v>1</v>
      </c>
      <c r="AE232" s="31">
        <f>VALUE(1)</f>
        <v>1</v>
      </c>
      <c r="AF232" s="31">
        <f>VALUE(1)</f>
        <v>1</v>
      </c>
      <c r="AG232" s="31">
        <f>VALUE(1)</f>
        <v>1</v>
      </c>
      <c r="AH232" s="31">
        <f>VALUE(1)</f>
        <v>1</v>
      </c>
      <c r="AI232" s="31">
        <f>VALUE(0)</f>
        <v>0</v>
      </c>
      <c r="AJ232" s="31">
        <f>VALUE(1)</f>
        <v>1</v>
      </c>
      <c r="AK232" s="31">
        <f>VALUE(1)</f>
        <v>1</v>
      </c>
      <c r="AL232" s="31">
        <f>VALUE(1)</f>
        <v>1</v>
      </c>
      <c r="AM232" s="31">
        <f>VALUE(1)</f>
        <v>1</v>
      </c>
      <c r="AN232" s="31">
        <f>VALUE(1)</f>
        <v>1</v>
      </c>
      <c r="AO232" s="31">
        <f>VALUE(0)</f>
        <v>0</v>
      </c>
      <c r="AP232" s="31">
        <v>0</v>
      </c>
      <c r="AQ232" s="31">
        <v>0</v>
      </c>
      <c r="AR232" s="31">
        <v>0</v>
      </c>
      <c r="AS232" s="31">
        <v>0</v>
      </c>
      <c r="AT232" s="31">
        <v>0</v>
      </c>
      <c r="AU232" s="31">
        <v>0</v>
      </c>
      <c r="AV232" s="31">
        <v>0</v>
      </c>
      <c r="AW232" s="31">
        <v>0</v>
      </c>
      <c r="AX232" s="31">
        <v>0</v>
      </c>
      <c r="AY232" s="31">
        <v>0</v>
      </c>
      <c r="AZ232" s="31">
        <v>0</v>
      </c>
      <c r="BA232" s="31">
        <v>0</v>
      </c>
      <c r="BB232" s="31">
        <v>0</v>
      </c>
      <c r="BC232" s="31">
        <v>0</v>
      </c>
      <c r="BD232" s="31">
        <v>0</v>
      </c>
      <c r="BE232" s="31">
        <v>0</v>
      </c>
      <c r="BF232" s="31">
        <v>0</v>
      </c>
      <c r="BG232" s="31">
        <v>0</v>
      </c>
      <c r="BH232" s="31">
        <v>0</v>
      </c>
      <c r="BI232" s="31">
        <v>0</v>
      </c>
      <c r="BJ232" s="31">
        <v>0</v>
      </c>
      <c r="BK232" s="12">
        <v>0</v>
      </c>
      <c r="BL232" s="12">
        <v>0</v>
      </c>
      <c r="BM232" s="12">
        <v>0</v>
      </c>
      <c r="BN232" s="12"/>
      <c r="BO232" s="12">
        <v>0</v>
      </c>
      <c r="BP232" s="12">
        <v>0</v>
      </c>
      <c r="BQ232" s="12">
        <v>0</v>
      </c>
      <c r="BR232" s="12">
        <v>0</v>
      </c>
      <c r="BS232" s="12">
        <v>0</v>
      </c>
      <c r="BT232" s="12">
        <v>0</v>
      </c>
      <c r="BU232" s="12">
        <v>0</v>
      </c>
      <c r="BV232" s="12">
        <v>0</v>
      </c>
      <c r="BW232" s="12">
        <v>0</v>
      </c>
      <c r="BX232" s="12">
        <v>0</v>
      </c>
      <c r="BY232" s="12">
        <v>0</v>
      </c>
      <c r="BZ232" s="12">
        <v>0</v>
      </c>
      <c r="CA232" s="12">
        <v>0</v>
      </c>
    </row>
    <row r="233" spans="1:79" ht="15" x14ac:dyDescent="0.25">
      <c r="A233" s="12" t="s">
        <v>132</v>
      </c>
      <c r="B233" s="12" t="s">
        <v>133</v>
      </c>
      <c r="C233" s="12" t="s">
        <v>133</v>
      </c>
      <c r="D233" s="31" t="s">
        <v>488</v>
      </c>
      <c r="E233" s="31" t="s">
        <v>153</v>
      </c>
      <c r="F233" s="31" t="s">
        <v>175</v>
      </c>
      <c r="G233" s="31" t="s">
        <v>153</v>
      </c>
      <c r="H233" s="31" t="s">
        <v>153</v>
      </c>
      <c r="I233" s="31" t="s">
        <v>153</v>
      </c>
      <c r="J233" s="31" t="s">
        <v>153</v>
      </c>
      <c r="K233" s="31" t="s">
        <v>153</v>
      </c>
      <c r="L233" s="31">
        <f>VALUE(0)</f>
        <v>0</v>
      </c>
      <c r="M233" s="31">
        <f>VALUE(0)</f>
        <v>0</v>
      </c>
      <c r="N233" s="31">
        <f>VALUE(0)</f>
        <v>0</v>
      </c>
      <c r="O233" s="31">
        <f>VALUE(0)</f>
        <v>0</v>
      </c>
      <c r="P233" s="31">
        <f>VALUE(0)</f>
        <v>0</v>
      </c>
      <c r="Q233" s="31">
        <f>VALUE(0)</f>
        <v>0</v>
      </c>
      <c r="R233" s="31">
        <f>VALUE(0)</f>
        <v>0</v>
      </c>
      <c r="S233" s="31">
        <f>VALUE(0)</f>
        <v>0</v>
      </c>
      <c r="T233" s="31">
        <f>VALUE(0)</f>
        <v>0</v>
      </c>
      <c r="U233" s="31">
        <f>VALUE(0)</f>
        <v>0</v>
      </c>
      <c r="V233" s="31">
        <f>VALUE(0)</f>
        <v>0</v>
      </c>
      <c r="W233" s="31">
        <f>VALUE(0)</f>
        <v>0</v>
      </c>
      <c r="X233" s="31">
        <f>VALUE(0)</f>
        <v>0</v>
      </c>
      <c r="Y233" s="31">
        <f>VALUE(0)</f>
        <v>0</v>
      </c>
      <c r="Z233" s="31">
        <f>VALUE(0)</f>
        <v>0</v>
      </c>
      <c r="AA233" s="31">
        <f>VALUE(0)</f>
        <v>0</v>
      </c>
      <c r="AB233" s="31">
        <f>VALUE(0)</f>
        <v>0</v>
      </c>
      <c r="AC233" s="31">
        <f>VALUE(0)</f>
        <v>0</v>
      </c>
      <c r="AD233" s="31">
        <f>VALUE(0)</f>
        <v>0</v>
      </c>
      <c r="AE233" s="31">
        <f>VALUE(0)</f>
        <v>0</v>
      </c>
      <c r="AF233" s="31">
        <f>VALUE(0)</f>
        <v>0</v>
      </c>
      <c r="AG233" s="31">
        <f>VALUE(0)</f>
        <v>0</v>
      </c>
      <c r="AH233" s="31">
        <f>VALUE(0)</f>
        <v>0</v>
      </c>
      <c r="AI233" s="31">
        <f>VALUE(0)</f>
        <v>0</v>
      </c>
      <c r="AJ233" s="31">
        <f>VALUE(0)</f>
        <v>0</v>
      </c>
      <c r="AK233" s="31">
        <f>VALUE(0)</f>
        <v>0</v>
      </c>
      <c r="AL233" s="31">
        <f>VALUE(0)</f>
        <v>0</v>
      </c>
      <c r="AM233" s="31">
        <f>VALUE(0)</f>
        <v>0</v>
      </c>
      <c r="AN233" s="31">
        <f>VALUE(0)</f>
        <v>0</v>
      </c>
      <c r="AO233" s="31">
        <f>VALUE(0)</f>
        <v>0</v>
      </c>
      <c r="AP233" s="31">
        <v>0</v>
      </c>
      <c r="AQ233" s="31">
        <v>0</v>
      </c>
      <c r="AR233" s="31">
        <v>0</v>
      </c>
      <c r="AS233" s="31">
        <v>0</v>
      </c>
      <c r="AT233" s="31">
        <v>0</v>
      </c>
      <c r="AU233" s="31">
        <v>0</v>
      </c>
      <c r="AV233" s="31">
        <v>0</v>
      </c>
      <c r="AW233" s="31">
        <v>0</v>
      </c>
      <c r="AX233" s="31">
        <v>0</v>
      </c>
      <c r="AY233" s="31">
        <v>0</v>
      </c>
      <c r="AZ233" s="31">
        <v>0</v>
      </c>
      <c r="BA233" s="31">
        <v>0</v>
      </c>
      <c r="BB233" s="31">
        <v>0</v>
      </c>
      <c r="BC233" s="31">
        <v>0</v>
      </c>
      <c r="BD233" s="31">
        <v>0</v>
      </c>
      <c r="BE233" s="31">
        <v>0</v>
      </c>
      <c r="BF233" s="31">
        <v>0</v>
      </c>
      <c r="BG233" s="31">
        <v>0</v>
      </c>
      <c r="BH233" s="31">
        <v>0</v>
      </c>
      <c r="BI233" s="31">
        <v>0</v>
      </c>
      <c r="BJ233" s="31">
        <v>0</v>
      </c>
      <c r="BK233" s="12">
        <v>0</v>
      </c>
      <c r="BL233" s="12">
        <v>0</v>
      </c>
      <c r="BM233" s="12">
        <v>0</v>
      </c>
      <c r="BN233" s="12"/>
      <c r="BO233" s="12">
        <v>0</v>
      </c>
      <c r="BP233" s="12">
        <v>0</v>
      </c>
      <c r="BQ233" s="12">
        <v>0</v>
      </c>
      <c r="BR233" s="12">
        <v>0</v>
      </c>
      <c r="BS233" s="12">
        <v>0</v>
      </c>
      <c r="BT233" s="12">
        <v>0</v>
      </c>
      <c r="BU233" s="12">
        <v>0</v>
      </c>
      <c r="BV233" s="12">
        <v>0</v>
      </c>
      <c r="BW233" s="12">
        <v>0</v>
      </c>
      <c r="BX233" s="12">
        <v>0</v>
      </c>
      <c r="BY233" s="12">
        <v>0</v>
      </c>
      <c r="BZ233" s="12">
        <v>0</v>
      </c>
      <c r="CA233" s="12">
        <v>0</v>
      </c>
    </row>
    <row r="234" spans="1:79" ht="15" x14ac:dyDescent="0.25">
      <c r="A234" s="12" t="s">
        <v>132</v>
      </c>
      <c r="B234" s="12" t="s">
        <v>134</v>
      </c>
      <c r="C234" s="12" t="s">
        <v>134</v>
      </c>
      <c r="D234" s="31" t="s">
        <v>488</v>
      </c>
      <c r="E234" s="31" t="s">
        <v>153</v>
      </c>
      <c r="F234" s="31" t="s">
        <v>175</v>
      </c>
      <c r="G234" s="31" t="s">
        <v>153</v>
      </c>
      <c r="H234" s="31" t="s">
        <v>153</v>
      </c>
      <c r="I234" s="31" t="s">
        <v>153</v>
      </c>
      <c r="J234" s="31" t="s">
        <v>153</v>
      </c>
      <c r="K234" s="31" t="s">
        <v>153</v>
      </c>
      <c r="L234" s="31">
        <f>VALUE(0)</f>
        <v>0</v>
      </c>
      <c r="M234" s="31">
        <f>VALUE(0)</f>
        <v>0</v>
      </c>
      <c r="N234" s="31">
        <f>VALUE(0)</f>
        <v>0</v>
      </c>
      <c r="O234" s="31">
        <f>VALUE(0)</f>
        <v>0</v>
      </c>
      <c r="P234" s="31">
        <f>VALUE(0)</f>
        <v>0</v>
      </c>
      <c r="Q234" s="31">
        <f>VALUE(0)</f>
        <v>0</v>
      </c>
      <c r="R234" s="31">
        <f>VALUE(0)</f>
        <v>0</v>
      </c>
      <c r="S234" s="31">
        <f>VALUE(0)</f>
        <v>0</v>
      </c>
      <c r="T234" s="31">
        <f>VALUE(0)</f>
        <v>0</v>
      </c>
      <c r="U234" s="31">
        <f>VALUE(0)</f>
        <v>0</v>
      </c>
      <c r="V234" s="31">
        <f>VALUE(0)</f>
        <v>0</v>
      </c>
      <c r="W234" s="31">
        <f>VALUE(0)</f>
        <v>0</v>
      </c>
      <c r="X234" s="31">
        <f>VALUE(0)</f>
        <v>0</v>
      </c>
      <c r="Y234" s="31">
        <f>VALUE(0)</f>
        <v>0</v>
      </c>
      <c r="Z234" s="31">
        <f>VALUE(0)</f>
        <v>0</v>
      </c>
      <c r="AA234" s="31">
        <f>VALUE(0)</f>
        <v>0</v>
      </c>
      <c r="AB234" s="31">
        <f>VALUE(0)</f>
        <v>0</v>
      </c>
      <c r="AC234" s="31">
        <f>VALUE(0)</f>
        <v>0</v>
      </c>
      <c r="AD234" s="31">
        <f>VALUE(0)</f>
        <v>0</v>
      </c>
      <c r="AE234" s="31">
        <f>VALUE(0)</f>
        <v>0</v>
      </c>
      <c r="AF234" s="31">
        <f>VALUE(0)</f>
        <v>0</v>
      </c>
      <c r="AG234" s="31">
        <f>VALUE(0)</f>
        <v>0</v>
      </c>
      <c r="AH234" s="31">
        <f>VALUE(0)</f>
        <v>0</v>
      </c>
      <c r="AI234" s="31">
        <f>VALUE(0)</f>
        <v>0</v>
      </c>
      <c r="AJ234" s="31">
        <f>VALUE(0)</f>
        <v>0</v>
      </c>
      <c r="AK234" s="31">
        <f>VALUE(0)</f>
        <v>0</v>
      </c>
      <c r="AL234" s="31">
        <f>VALUE(0)</f>
        <v>0</v>
      </c>
      <c r="AM234" s="31">
        <f>VALUE(0)</f>
        <v>0</v>
      </c>
      <c r="AN234" s="31">
        <f>VALUE(0)</f>
        <v>0</v>
      </c>
      <c r="AO234" s="31">
        <f>VALUE(0)</f>
        <v>0</v>
      </c>
      <c r="AP234" s="31">
        <v>0</v>
      </c>
      <c r="AQ234" s="31">
        <v>0</v>
      </c>
      <c r="AR234" s="31">
        <v>0</v>
      </c>
      <c r="AS234" s="31">
        <v>0</v>
      </c>
      <c r="AT234" s="31">
        <v>0</v>
      </c>
      <c r="AU234" s="31">
        <v>0</v>
      </c>
      <c r="AV234" s="31">
        <v>0</v>
      </c>
      <c r="AW234" s="31">
        <v>0</v>
      </c>
      <c r="AX234" s="31">
        <v>0</v>
      </c>
      <c r="AY234" s="31">
        <v>0</v>
      </c>
      <c r="AZ234" s="31">
        <v>0</v>
      </c>
      <c r="BA234" s="31">
        <v>0</v>
      </c>
      <c r="BB234" s="31">
        <v>0</v>
      </c>
      <c r="BC234" s="31">
        <v>0</v>
      </c>
      <c r="BD234" s="31">
        <v>0</v>
      </c>
      <c r="BE234" s="31">
        <v>0</v>
      </c>
      <c r="BF234" s="31">
        <v>0</v>
      </c>
      <c r="BG234" s="31">
        <v>0</v>
      </c>
      <c r="BH234" s="31">
        <v>0</v>
      </c>
      <c r="BI234" s="31">
        <v>0</v>
      </c>
      <c r="BJ234" s="31">
        <v>0</v>
      </c>
      <c r="BK234" s="12">
        <v>0</v>
      </c>
      <c r="BL234" s="12">
        <v>0</v>
      </c>
      <c r="BM234" s="12">
        <v>0</v>
      </c>
      <c r="BN234" s="12"/>
      <c r="BO234" s="12">
        <v>0</v>
      </c>
      <c r="BP234" s="12">
        <v>0</v>
      </c>
      <c r="BQ234" s="12">
        <v>0</v>
      </c>
      <c r="BR234" s="12">
        <v>0</v>
      </c>
      <c r="BS234" s="12">
        <v>0</v>
      </c>
      <c r="BT234" s="12">
        <v>0</v>
      </c>
      <c r="BU234" s="12">
        <v>0</v>
      </c>
      <c r="BV234" s="12">
        <v>0</v>
      </c>
      <c r="BW234" s="12">
        <v>0</v>
      </c>
      <c r="BX234" s="12">
        <v>0</v>
      </c>
      <c r="BY234" s="12">
        <v>0</v>
      </c>
      <c r="BZ234" s="12">
        <v>0</v>
      </c>
      <c r="CA234" s="12">
        <v>0</v>
      </c>
    </row>
    <row r="235" spans="1:79" ht="16.5" x14ac:dyDescent="0.2">
      <c r="A235" s="12" t="s">
        <v>135</v>
      </c>
      <c r="B235" s="12" t="s">
        <v>136</v>
      </c>
      <c r="C235" s="12" t="s">
        <v>136</v>
      </c>
      <c r="D235" s="22" t="s">
        <v>1263</v>
      </c>
      <c r="E235" s="22" t="s">
        <v>149</v>
      </c>
      <c r="F235" s="22" t="s">
        <v>962</v>
      </c>
      <c r="G235" s="22" t="s">
        <v>963</v>
      </c>
      <c r="H235" s="22" t="s">
        <v>150</v>
      </c>
      <c r="I235" s="22" t="s">
        <v>151</v>
      </c>
      <c r="J235" s="22" t="s">
        <v>152</v>
      </c>
      <c r="K235" s="22" t="s">
        <v>92</v>
      </c>
      <c r="L235" s="54" t="s">
        <v>153</v>
      </c>
      <c r="M235" s="24" t="s">
        <v>156</v>
      </c>
      <c r="N235" s="24" t="s">
        <v>153</v>
      </c>
      <c r="O235" s="34" t="s">
        <v>489</v>
      </c>
      <c r="P235" s="23" t="s">
        <v>489</v>
      </c>
      <c r="Q235" s="23" t="s">
        <v>489</v>
      </c>
      <c r="R235" s="23" t="s">
        <v>489</v>
      </c>
      <c r="S235" s="23" t="s">
        <v>490</v>
      </c>
      <c r="T235" s="23" t="s">
        <v>490</v>
      </c>
      <c r="U235" s="24" t="s">
        <v>153</v>
      </c>
      <c r="V235" s="54" t="s">
        <v>153</v>
      </c>
      <c r="W235" s="26" t="s">
        <v>1264</v>
      </c>
      <c r="X235" s="26" t="s">
        <v>155</v>
      </c>
      <c r="Y235" s="23" t="s">
        <v>155</v>
      </c>
      <c r="Z235" s="25" t="s">
        <v>1265</v>
      </c>
      <c r="AA235" s="24" t="s">
        <v>156</v>
      </c>
      <c r="AB235" s="24" t="s">
        <v>153</v>
      </c>
      <c r="AC235" s="34" t="s">
        <v>492</v>
      </c>
      <c r="AD235" s="23" t="s">
        <v>492</v>
      </c>
      <c r="AE235" s="23" t="s">
        <v>491</v>
      </c>
      <c r="AF235" s="26" t="s">
        <v>1264</v>
      </c>
      <c r="AG235" s="26" t="s">
        <v>1264</v>
      </c>
      <c r="AH235" s="29" t="s">
        <v>163</v>
      </c>
      <c r="AI235" s="24" t="s">
        <v>153</v>
      </c>
      <c r="AJ235" s="29" t="s">
        <v>163</v>
      </c>
      <c r="AK235" s="35" t="s">
        <v>170</v>
      </c>
      <c r="AL235" s="35" t="s">
        <v>170</v>
      </c>
      <c r="AM235" s="35" t="s">
        <v>170</v>
      </c>
      <c r="AN235" s="35" t="s">
        <v>170</v>
      </c>
      <c r="AO235" s="24" t="s">
        <v>156</v>
      </c>
      <c r="AP235" s="23">
        <f>VALUE(0)</f>
        <v>0</v>
      </c>
      <c r="AQ235" s="23">
        <f>VALUE(0)</f>
        <v>0</v>
      </c>
      <c r="AR235" s="23">
        <f>VALUE(2)</f>
        <v>2</v>
      </c>
      <c r="AS235" s="23">
        <f>VALUE(0)</f>
        <v>0</v>
      </c>
      <c r="AT235" s="23">
        <f>VALUE(0)</f>
        <v>0</v>
      </c>
      <c r="AU235" s="23">
        <f>VALUE(0)</f>
        <v>0</v>
      </c>
      <c r="AV235" s="23">
        <f>VALUE(19)</f>
        <v>19</v>
      </c>
      <c r="AW235" s="23">
        <f>VALUE(0)</f>
        <v>0</v>
      </c>
      <c r="AX235" s="23" t="s">
        <v>171</v>
      </c>
      <c r="AY235" s="23" t="s">
        <v>292</v>
      </c>
      <c r="AZ235" s="23">
        <f>VALUE(0)</f>
        <v>0</v>
      </c>
      <c r="BA235" s="23">
        <f>VALUE(0)</f>
        <v>0</v>
      </c>
      <c r="BB235" s="23">
        <f>VALUE(0)</f>
        <v>0</v>
      </c>
      <c r="BC235" s="23">
        <f>VALUE(0)</f>
        <v>0</v>
      </c>
      <c r="BD235" s="23">
        <f>VALUE(2)</f>
        <v>2</v>
      </c>
      <c r="BE235" s="23">
        <f>VALUE(5)</f>
        <v>5</v>
      </c>
      <c r="BF235" s="23">
        <f>VALUE(0)</f>
        <v>0</v>
      </c>
      <c r="BG235" s="23">
        <f>VALUE(0)</f>
        <v>0</v>
      </c>
      <c r="BH235" s="23">
        <f>VALUE(0)</f>
        <v>0</v>
      </c>
      <c r="BI235" s="23">
        <f>VALUE(0)</f>
        <v>0</v>
      </c>
      <c r="BJ235" s="23">
        <f>VALUE(0)</f>
        <v>0</v>
      </c>
      <c r="BK235" s="12">
        <f>$AX$235*24</f>
        <v>5.833333333333333</v>
      </c>
      <c r="BL235" s="12">
        <f>$AY$235*24</f>
        <v>3.6499999999999995</v>
      </c>
      <c r="BM235" s="12">
        <f>$BJ$235*24</f>
        <v>0</v>
      </c>
      <c r="BN235" s="12">
        <f>VALUE($I$235)/100</f>
        <v>1</v>
      </c>
      <c r="BO235" s="12">
        <v>0</v>
      </c>
      <c r="BP235" s="12">
        <v>0</v>
      </c>
      <c r="BQ235" s="12">
        <v>0</v>
      </c>
      <c r="BR235" s="12">
        <v>1</v>
      </c>
      <c r="BS235" s="12">
        <v>0</v>
      </c>
      <c r="BT235" s="12">
        <v>2</v>
      </c>
      <c r="BU235" s="12">
        <v>0</v>
      </c>
      <c r="BV235" s="12">
        <v>0</v>
      </c>
      <c r="BW235" s="12">
        <v>0</v>
      </c>
      <c r="BX235" s="12">
        <v>0</v>
      </c>
      <c r="BY235" s="12">
        <v>0</v>
      </c>
      <c r="BZ235" s="12">
        <v>0</v>
      </c>
      <c r="CA235" s="12">
        <v>0</v>
      </c>
    </row>
    <row r="236" spans="1:79" x14ac:dyDescent="0.2">
      <c r="A236" s="12" t="s">
        <v>135</v>
      </c>
      <c r="B236" s="12" t="s">
        <v>136</v>
      </c>
      <c r="C236" s="12" t="s">
        <v>136</v>
      </c>
      <c r="D236" s="22" t="s">
        <v>494</v>
      </c>
      <c r="E236" s="22" t="s">
        <v>161</v>
      </c>
      <c r="F236" s="22" t="s">
        <v>964</v>
      </c>
      <c r="G236" s="22" t="s">
        <v>965</v>
      </c>
      <c r="H236" s="22" t="s">
        <v>150</v>
      </c>
      <c r="I236" s="22" t="s">
        <v>151</v>
      </c>
      <c r="J236" s="22" t="s">
        <v>162</v>
      </c>
      <c r="K236" s="22" t="s">
        <v>92</v>
      </c>
      <c r="L236" s="54" t="s">
        <v>153</v>
      </c>
      <c r="M236" s="23" t="s">
        <v>153</v>
      </c>
      <c r="N236" s="24" t="s">
        <v>153</v>
      </c>
      <c r="O236" s="23" t="s">
        <v>153</v>
      </c>
      <c r="P236" s="23" t="s">
        <v>153</v>
      </c>
      <c r="Q236" s="23" t="s">
        <v>153</v>
      </c>
      <c r="R236" s="23" t="s">
        <v>153</v>
      </c>
      <c r="S236" s="23" t="s">
        <v>153</v>
      </c>
      <c r="T236" s="23" t="s">
        <v>153</v>
      </c>
      <c r="U236" s="24" t="s">
        <v>153</v>
      </c>
      <c r="V236" s="54" t="s">
        <v>153</v>
      </c>
      <c r="W236" s="28" t="s">
        <v>338</v>
      </c>
      <c r="X236" s="28" t="s">
        <v>338</v>
      </c>
      <c r="Y236" s="28" t="s">
        <v>338</v>
      </c>
      <c r="Z236" s="28" t="s">
        <v>338</v>
      </c>
      <c r="AA236" s="28" t="s">
        <v>338</v>
      </c>
      <c r="AB236" s="24" t="s">
        <v>153</v>
      </c>
      <c r="AC236" s="23" t="s">
        <v>153</v>
      </c>
      <c r="AD236" s="23" t="s">
        <v>153</v>
      </c>
      <c r="AE236" s="23" t="s">
        <v>153</v>
      </c>
      <c r="AF236" s="23" t="s">
        <v>153</v>
      </c>
      <c r="AG236" s="24" t="s">
        <v>156</v>
      </c>
      <c r="AH236" s="24" t="s">
        <v>156</v>
      </c>
      <c r="AI236" s="24" t="s">
        <v>153</v>
      </c>
      <c r="AJ236" s="23" t="s">
        <v>153</v>
      </c>
      <c r="AK236" s="23" t="s">
        <v>153</v>
      </c>
      <c r="AL236" s="23" t="s">
        <v>153</v>
      </c>
      <c r="AM236" s="23" t="s">
        <v>153</v>
      </c>
      <c r="AN236" s="23" t="s">
        <v>153</v>
      </c>
      <c r="AO236" s="23" t="s">
        <v>153</v>
      </c>
      <c r="AP236" s="23">
        <f>VALUE(0)</f>
        <v>0</v>
      </c>
      <c r="AQ236" s="23">
        <f>VALUE(0)</f>
        <v>0</v>
      </c>
      <c r="AR236" s="23">
        <f>VALUE(0)</f>
        <v>0</v>
      </c>
      <c r="AS236" s="23">
        <f>VALUE(0)</f>
        <v>0</v>
      </c>
      <c r="AT236" s="23">
        <f>VALUE(5)</f>
        <v>5</v>
      </c>
      <c r="AU236" s="23">
        <f>VALUE(0)</f>
        <v>0</v>
      </c>
      <c r="AV236" s="23">
        <f>VALUE(8)</f>
        <v>8</v>
      </c>
      <c r="AW236" s="23">
        <f>VALUE(0)</f>
        <v>0</v>
      </c>
      <c r="AX236" s="23" t="s">
        <v>171</v>
      </c>
      <c r="AY236" s="23" t="s">
        <v>424</v>
      </c>
      <c r="AZ236" s="23">
        <f>VALUE(0)</f>
        <v>0</v>
      </c>
      <c r="BA236" s="23">
        <f>VALUE(0)</f>
        <v>0</v>
      </c>
      <c r="BB236" s="23">
        <f>VALUE(0)</f>
        <v>0</v>
      </c>
      <c r="BC236" s="23">
        <f>VALUE(0)</f>
        <v>0</v>
      </c>
      <c r="BD236" s="23">
        <f>VALUE(0)</f>
        <v>0</v>
      </c>
      <c r="BE236" s="23">
        <f>VALUE(0)</f>
        <v>0</v>
      </c>
      <c r="BF236" s="23">
        <f>VALUE(0)</f>
        <v>0</v>
      </c>
      <c r="BG236" s="23">
        <f>VALUE(0)</f>
        <v>0</v>
      </c>
      <c r="BH236" s="23">
        <f>VALUE(0)</f>
        <v>0</v>
      </c>
      <c r="BI236" s="23">
        <f>VALUE(0)</f>
        <v>0</v>
      </c>
      <c r="BJ236" s="23">
        <f>VALUE(0)</f>
        <v>0</v>
      </c>
      <c r="BK236" s="12">
        <f>$AX$236*24</f>
        <v>5.833333333333333</v>
      </c>
      <c r="BL236" s="12">
        <f>$AY$236*24</f>
        <v>2.4666666666666668</v>
      </c>
      <c r="BM236" s="12">
        <f>$BJ$236*24</f>
        <v>0</v>
      </c>
      <c r="BN236" s="12">
        <f>VALUE($I$236)/100</f>
        <v>1</v>
      </c>
      <c r="BO236" s="12">
        <v>0</v>
      </c>
      <c r="BP236" s="12">
        <v>0</v>
      </c>
      <c r="BQ236" s="12">
        <v>0</v>
      </c>
      <c r="BR236" s="12">
        <v>0</v>
      </c>
      <c r="BS236" s="12">
        <v>0</v>
      </c>
      <c r="BT236" s="12">
        <v>0</v>
      </c>
      <c r="BU236" s="12">
        <v>0</v>
      </c>
      <c r="BV236" s="12">
        <v>0</v>
      </c>
      <c r="BW236" s="12">
        <v>0</v>
      </c>
      <c r="BX236" s="12">
        <v>0</v>
      </c>
      <c r="BY236" s="12">
        <v>5</v>
      </c>
      <c r="BZ236" s="12">
        <v>0</v>
      </c>
      <c r="CA236" s="12">
        <v>0</v>
      </c>
    </row>
    <row r="237" spans="1:79" x14ac:dyDescent="0.2">
      <c r="A237" s="12" t="s">
        <v>135</v>
      </c>
      <c r="B237" s="12" t="s">
        <v>136</v>
      </c>
      <c r="C237" s="12" t="s">
        <v>136</v>
      </c>
      <c r="D237" s="22" t="s">
        <v>495</v>
      </c>
      <c r="E237" s="22" t="s">
        <v>161</v>
      </c>
      <c r="F237" s="22" t="s">
        <v>966</v>
      </c>
      <c r="G237" s="22" t="s">
        <v>967</v>
      </c>
      <c r="H237" s="22" t="s">
        <v>150</v>
      </c>
      <c r="I237" s="22" t="s">
        <v>151</v>
      </c>
      <c r="J237" s="22" t="s">
        <v>162</v>
      </c>
      <c r="K237" s="22" t="s">
        <v>92</v>
      </c>
      <c r="L237" s="54" t="s">
        <v>153</v>
      </c>
      <c r="M237" s="23" t="s">
        <v>153</v>
      </c>
      <c r="N237" s="24" t="s">
        <v>153</v>
      </c>
      <c r="O237" s="23" t="s">
        <v>153</v>
      </c>
      <c r="P237" s="23" t="s">
        <v>153</v>
      </c>
      <c r="Q237" s="23" t="s">
        <v>153</v>
      </c>
      <c r="R237" s="23" t="s">
        <v>153</v>
      </c>
      <c r="S237" s="23" t="s">
        <v>153</v>
      </c>
      <c r="T237" s="23" t="s">
        <v>153</v>
      </c>
      <c r="U237" s="24" t="s">
        <v>153</v>
      </c>
      <c r="V237" s="54" t="s">
        <v>156</v>
      </c>
      <c r="W237" s="24" t="s">
        <v>156</v>
      </c>
      <c r="X237" s="23" t="s">
        <v>153</v>
      </c>
      <c r="Y237" s="23" t="s">
        <v>153</v>
      </c>
      <c r="Z237" s="23" t="s">
        <v>153</v>
      </c>
      <c r="AA237" s="23" t="s">
        <v>153</v>
      </c>
      <c r="AB237" s="24" t="s">
        <v>153</v>
      </c>
      <c r="AC237" s="23" t="s">
        <v>153</v>
      </c>
      <c r="AD237" s="23" t="s">
        <v>153</v>
      </c>
      <c r="AE237" s="23" t="s">
        <v>153</v>
      </c>
      <c r="AF237" s="23" t="s">
        <v>153</v>
      </c>
      <c r="AG237" s="23" t="s">
        <v>153</v>
      </c>
      <c r="AH237" s="23" t="s">
        <v>153</v>
      </c>
      <c r="AI237" s="24" t="s">
        <v>153</v>
      </c>
      <c r="AJ237" s="23" t="s">
        <v>153</v>
      </c>
      <c r="AK237" s="23" t="s">
        <v>153</v>
      </c>
      <c r="AL237" s="23" t="s">
        <v>153</v>
      </c>
      <c r="AM237" s="23" t="s">
        <v>153</v>
      </c>
      <c r="AN237" s="23" t="s">
        <v>153</v>
      </c>
      <c r="AO237" s="23" t="s">
        <v>153</v>
      </c>
      <c r="AP237" s="23">
        <f>VALUE(0)</f>
        <v>0</v>
      </c>
      <c r="AQ237" s="23">
        <f>VALUE(0)</f>
        <v>0</v>
      </c>
      <c r="AR237" s="23">
        <f>VALUE(0)</f>
        <v>0</v>
      </c>
      <c r="AS237" s="23">
        <f>VALUE(0)</f>
        <v>0</v>
      </c>
      <c r="AT237" s="23">
        <f>VALUE(0)</f>
        <v>0</v>
      </c>
      <c r="AU237" s="23">
        <f>VALUE(0)</f>
        <v>0</v>
      </c>
      <c r="AV237" s="23">
        <f>VALUE(11)</f>
        <v>11</v>
      </c>
      <c r="AW237" s="23">
        <f>VALUE(0)</f>
        <v>0</v>
      </c>
      <c r="AX237" s="23" t="s">
        <v>158</v>
      </c>
      <c r="AY237" s="23" t="s">
        <v>496</v>
      </c>
      <c r="AZ237" s="23">
        <f>VALUE(0)</f>
        <v>0</v>
      </c>
      <c r="BA237" s="23">
        <f>VALUE(0)</f>
        <v>0</v>
      </c>
      <c r="BB237" s="23">
        <f>VALUE(0)</f>
        <v>0</v>
      </c>
      <c r="BC237" s="23">
        <f>VALUE(0)</f>
        <v>0</v>
      </c>
      <c r="BD237" s="23">
        <f>VALUE(0)</f>
        <v>0</v>
      </c>
      <c r="BE237" s="23">
        <f>VALUE(0)</f>
        <v>0</v>
      </c>
      <c r="BF237" s="23">
        <f>VALUE(0)</f>
        <v>0</v>
      </c>
      <c r="BG237" s="23">
        <f>VALUE(0)</f>
        <v>0</v>
      </c>
      <c r="BH237" s="23">
        <f>VALUE(0)</f>
        <v>0</v>
      </c>
      <c r="BI237" s="23">
        <f>VALUE(0)</f>
        <v>0</v>
      </c>
      <c r="BJ237" s="23">
        <f>VALUE(0)</f>
        <v>0</v>
      </c>
      <c r="BK237" s="12">
        <f>$AX$237*24</f>
        <v>11.666666666666666</v>
      </c>
      <c r="BL237" s="12">
        <f>$AY$237*24</f>
        <v>0.71666666666666667</v>
      </c>
      <c r="BM237" s="12">
        <f>$BJ$237*24</f>
        <v>0</v>
      </c>
      <c r="BN237" s="12">
        <f>VALUE($I$237)/100</f>
        <v>1</v>
      </c>
      <c r="BO237" s="12">
        <v>0</v>
      </c>
      <c r="BP237" s="12">
        <v>0</v>
      </c>
      <c r="BQ237" s="12">
        <v>0</v>
      </c>
      <c r="BR237" s="12">
        <v>0</v>
      </c>
      <c r="BS237" s="12">
        <v>0</v>
      </c>
      <c r="BT237" s="12">
        <v>0</v>
      </c>
      <c r="BU237" s="12">
        <v>0</v>
      </c>
      <c r="BV237" s="12">
        <v>0</v>
      </c>
      <c r="BW237" s="12">
        <v>0</v>
      </c>
      <c r="BX237" s="12">
        <v>0</v>
      </c>
      <c r="BY237" s="12">
        <v>0</v>
      </c>
      <c r="BZ237" s="12">
        <v>0</v>
      </c>
      <c r="CA237" s="12">
        <v>0</v>
      </c>
    </row>
    <row r="238" spans="1:79" x14ac:dyDescent="0.2">
      <c r="A238" s="12" t="s">
        <v>135</v>
      </c>
      <c r="B238" s="12" t="s">
        <v>136</v>
      </c>
      <c r="C238" s="12" t="s">
        <v>136</v>
      </c>
      <c r="D238" s="22" t="s">
        <v>497</v>
      </c>
      <c r="E238" s="22" t="s">
        <v>161</v>
      </c>
      <c r="F238" s="22" t="s">
        <v>968</v>
      </c>
      <c r="G238" s="22" t="s">
        <v>969</v>
      </c>
      <c r="H238" s="22" t="s">
        <v>150</v>
      </c>
      <c r="I238" s="22" t="s">
        <v>151</v>
      </c>
      <c r="J238" s="22" t="s">
        <v>162</v>
      </c>
      <c r="K238" s="22" t="s">
        <v>92</v>
      </c>
      <c r="L238" s="28" t="s">
        <v>338</v>
      </c>
      <c r="M238" s="28" t="s">
        <v>338</v>
      </c>
      <c r="N238" s="24" t="s">
        <v>153</v>
      </c>
      <c r="O238" s="23" t="s">
        <v>153</v>
      </c>
      <c r="P238" s="23" t="s">
        <v>153</v>
      </c>
      <c r="Q238" s="23" t="s">
        <v>153</v>
      </c>
      <c r="R238" s="23" t="s">
        <v>153</v>
      </c>
      <c r="S238" s="23" t="s">
        <v>153</v>
      </c>
      <c r="T238" s="23" t="s">
        <v>153</v>
      </c>
      <c r="U238" s="24" t="s">
        <v>153</v>
      </c>
      <c r="V238" s="54" t="s">
        <v>153</v>
      </c>
      <c r="W238" s="23" t="s">
        <v>153</v>
      </c>
      <c r="X238" s="23" t="s">
        <v>153</v>
      </c>
      <c r="Y238" s="23" t="s">
        <v>153</v>
      </c>
      <c r="Z238" s="23" t="s">
        <v>153</v>
      </c>
      <c r="AA238" s="23" t="s">
        <v>153</v>
      </c>
      <c r="AB238" s="24" t="s">
        <v>153</v>
      </c>
      <c r="AC238" s="23" t="s">
        <v>153</v>
      </c>
      <c r="AD238" s="23" t="s">
        <v>153</v>
      </c>
      <c r="AE238" s="23" t="s">
        <v>153</v>
      </c>
      <c r="AF238" s="23" t="s">
        <v>153</v>
      </c>
      <c r="AG238" s="23" t="s">
        <v>153</v>
      </c>
      <c r="AH238" s="23" t="s">
        <v>153</v>
      </c>
      <c r="AI238" s="24" t="s">
        <v>153</v>
      </c>
      <c r="AJ238" s="23" t="s">
        <v>153</v>
      </c>
      <c r="AK238" s="23" t="s">
        <v>153</v>
      </c>
      <c r="AL238" s="24" t="s">
        <v>156</v>
      </c>
      <c r="AM238" s="24" t="s">
        <v>156</v>
      </c>
      <c r="AN238" s="23" t="s">
        <v>153</v>
      </c>
      <c r="AO238" s="23" t="s">
        <v>153</v>
      </c>
      <c r="AP238" s="23">
        <f>VALUE(0)</f>
        <v>0</v>
      </c>
      <c r="AQ238" s="23">
        <f>VALUE(0)</f>
        <v>0</v>
      </c>
      <c r="AR238" s="23">
        <f>VALUE(0)</f>
        <v>0</v>
      </c>
      <c r="AS238" s="23">
        <f>VALUE(0)</f>
        <v>0</v>
      </c>
      <c r="AT238" s="23">
        <f>VALUE(2)</f>
        <v>2</v>
      </c>
      <c r="AU238" s="23">
        <f>VALUE(0)</f>
        <v>0</v>
      </c>
      <c r="AV238" s="23">
        <f>VALUE(6)</f>
        <v>6</v>
      </c>
      <c r="AW238" s="23">
        <f>VALUE(0)</f>
        <v>0</v>
      </c>
      <c r="AX238" s="23" t="s">
        <v>176</v>
      </c>
      <c r="AY238" s="23" t="s">
        <v>432</v>
      </c>
      <c r="AZ238" s="23">
        <f>VALUE(0)</f>
        <v>0</v>
      </c>
      <c r="BA238" s="23">
        <f>VALUE(0)</f>
        <v>0</v>
      </c>
      <c r="BB238" s="23">
        <f>VALUE(0)</f>
        <v>0</v>
      </c>
      <c r="BC238" s="23">
        <f>VALUE(0)</f>
        <v>0</v>
      </c>
      <c r="BD238" s="23">
        <f>VALUE(0)</f>
        <v>0</v>
      </c>
      <c r="BE238" s="23">
        <f>VALUE(0)</f>
        <v>0</v>
      </c>
      <c r="BF238" s="23">
        <f>VALUE(0)</f>
        <v>0</v>
      </c>
      <c r="BG238" s="23">
        <f>VALUE(0)</f>
        <v>0</v>
      </c>
      <c r="BH238" s="23">
        <f>VALUE(0)</f>
        <v>0</v>
      </c>
      <c r="BI238" s="23">
        <f>VALUE(0)</f>
        <v>0</v>
      </c>
      <c r="BJ238" s="23">
        <f>VALUE(0)</f>
        <v>0</v>
      </c>
      <c r="BK238" s="12">
        <f>$AX$238*24</f>
        <v>0</v>
      </c>
      <c r="BL238" s="12">
        <f>$AY$238*24</f>
        <v>3</v>
      </c>
      <c r="BM238" s="12">
        <f>$BJ$238*24</f>
        <v>0</v>
      </c>
      <c r="BN238" s="12">
        <f>VALUE($I$238)/100</f>
        <v>1</v>
      </c>
      <c r="BO238" s="12">
        <v>0</v>
      </c>
      <c r="BP238" s="12">
        <v>0</v>
      </c>
      <c r="BQ238" s="12">
        <v>0</v>
      </c>
      <c r="BR238" s="12">
        <v>0</v>
      </c>
      <c r="BS238" s="12">
        <v>0</v>
      </c>
      <c r="BT238" s="12">
        <v>0</v>
      </c>
      <c r="BU238" s="12">
        <v>0</v>
      </c>
      <c r="BV238" s="12">
        <v>0</v>
      </c>
      <c r="BW238" s="12">
        <v>0</v>
      </c>
      <c r="BX238" s="12">
        <v>0</v>
      </c>
      <c r="BY238" s="12">
        <v>2</v>
      </c>
      <c r="BZ238" s="12">
        <v>0</v>
      </c>
      <c r="CA238" s="12">
        <v>0</v>
      </c>
    </row>
    <row r="239" spans="1:79" x14ac:dyDescent="0.2">
      <c r="A239" s="12" t="s">
        <v>135</v>
      </c>
      <c r="B239" s="12" t="s">
        <v>136</v>
      </c>
      <c r="C239" s="12" t="s">
        <v>136</v>
      </c>
      <c r="D239" s="22" t="s">
        <v>491</v>
      </c>
      <c r="E239" s="22" t="s">
        <v>161</v>
      </c>
      <c r="F239" s="22" t="s">
        <v>970</v>
      </c>
      <c r="G239" s="22" t="s">
        <v>971</v>
      </c>
      <c r="H239" s="22" t="s">
        <v>150</v>
      </c>
      <c r="I239" s="22" t="s">
        <v>151</v>
      </c>
      <c r="J239" s="22" t="s">
        <v>162</v>
      </c>
      <c r="K239" s="22" t="s">
        <v>92</v>
      </c>
      <c r="L239" s="54" t="s">
        <v>153</v>
      </c>
      <c r="M239" s="23" t="s">
        <v>153</v>
      </c>
      <c r="N239" s="24" t="s">
        <v>153</v>
      </c>
      <c r="O239" s="29" t="s">
        <v>163</v>
      </c>
      <c r="P239" s="29" t="s">
        <v>163</v>
      </c>
      <c r="Q239" s="29" t="s">
        <v>163</v>
      </c>
      <c r="R239" s="29" t="s">
        <v>163</v>
      </c>
      <c r="S239" s="29" t="s">
        <v>163</v>
      </c>
      <c r="T239" s="29" t="s">
        <v>163</v>
      </c>
      <c r="U239" s="24" t="s">
        <v>153</v>
      </c>
      <c r="V239" s="54" t="s">
        <v>153</v>
      </c>
      <c r="W239" s="23" t="s">
        <v>153</v>
      </c>
      <c r="X239" s="23" t="s">
        <v>153</v>
      </c>
      <c r="Y239" s="23" t="s">
        <v>153</v>
      </c>
      <c r="Z239" s="23" t="s">
        <v>153</v>
      </c>
      <c r="AA239" s="23" t="s">
        <v>153</v>
      </c>
      <c r="AB239" s="24" t="s">
        <v>153</v>
      </c>
      <c r="AC239" s="23" t="s">
        <v>153</v>
      </c>
      <c r="AD239" s="23" t="s">
        <v>153</v>
      </c>
      <c r="AE239" s="24" t="s">
        <v>156</v>
      </c>
      <c r="AF239" s="24" t="s">
        <v>156</v>
      </c>
      <c r="AG239" s="23" t="s">
        <v>153</v>
      </c>
      <c r="AH239" s="23" t="s">
        <v>153</v>
      </c>
      <c r="AI239" s="24" t="s">
        <v>153</v>
      </c>
      <c r="AJ239" s="23" t="s">
        <v>153</v>
      </c>
      <c r="AK239" s="23" t="s">
        <v>153</v>
      </c>
      <c r="AL239" s="23" t="s">
        <v>153</v>
      </c>
      <c r="AM239" s="23" t="s">
        <v>153</v>
      </c>
      <c r="AN239" s="23" t="s">
        <v>153</v>
      </c>
      <c r="AO239" s="23" t="s">
        <v>153</v>
      </c>
      <c r="AP239" s="23">
        <f>VALUE(0)</f>
        <v>0</v>
      </c>
      <c r="AQ239" s="23">
        <f>VALUE(0)</f>
        <v>0</v>
      </c>
      <c r="AR239" s="23">
        <f>VALUE(6)</f>
        <v>6</v>
      </c>
      <c r="AS239" s="23">
        <f>VALUE(0)</f>
        <v>0</v>
      </c>
      <c r="AT239" s="23">
        <f>VALUE(0)</f>
        <v>0</v>
      </c>
      <c r="AU239" s="23">
        <f>VALUE(0)</f>
        <v>0</v>
      </c>
      <c r="AV239" s="23">
        <f>VALUE(11)</f>
        <v>11</v>
      </c>
      <c r="AW239" s="23">
        <f>VALUE(0)</f>
        <v>0</v>
      </c>
      <c r="AX239" s="23" t="s">
        <v>261</v>
      </c>
      <c r="AY239" s="23" t="s">
        <v>1266</v>
      </c>
      <c r="AZ239" s="23">
        <f>VALUE(0)</f>
        <v>0</v>
      </c>
      <c r="BA239" s="23">
        <f>VALUE(0)</f>
        <v>0</v>
      </c>
      <c r="BB239" s="23">
        <f>VALUE(0)</f>
        <v>0</v>
      </c>
      <c r="BC239" s="23">
        <f>VALUE(0)</f>
        <v>0</v>
      </c>
      <c r="BD239" s="23">
        <f>VALUE(0)</f>
        <v>0</v>
      </c>
      <c r="BE239" s="23">
        <f>VALUE(0)</f>
        <v>0</v>
      </c>
      <c r="BF239" s="23">
        <f>VALUE(0)</f>
        <v>0</v>
      </c>
      <c r="BG239" s="23">
        <f>VALUE(0)</f>
        <v>0</v>
      </c>
      <c r="BH239" s="23">
        <f>VALUE(0)</f>
        <v>0</v>
      </c>
      <c r="BI239" s="23">
        <f>VALUE(0)</f>
        <v>0</v>
      </c>
      <c r="BJ239" s="23">
        <f>VALUE(0)</f>
        <v>0</v>
      </c>
      <c r="BK239" s="12">
        <f>$AX$239*24</f>
        <v>23.333333333333332</v>
      </c>
      <c r="BL239" s="12">
        <f>$AY$239*24</f>
        <v>38.450000000000003</v>
      </c>
      <c r="BM239" s="12">
        <f>$BJ$239*24</f>
        <v>0</v>
      </c>
      <c r="BN239" s="12">
        <f>VALUE($I$239)/100</f>
        <v>1</v>
      </c>
      <c r="BO239" s="12">
        <v>0</v>
      </c>
      <c r="BP239" s="12">
        <v>0</v>
      </c>
      <c r="BQ239" s="12">
        <v>0</v>
      </c>
      <c r="BR239" s="12">
        <v>0</v>
      </c>
      <c r="BS239" s="12">
        <v>0</v>
      </c>
      <c r="BT239" s="12">
        <v>6</v>
      </c>
      <c r="BU239" s="12">
        <v>0</v>
      </c>
      <c r="BV239" s="12">
        <v>0</v>
      </c>
      <c r="BW239" s="12">
        <v>0</v>
      </c>
      <c r="BX239" s="12">
        <v>0</v>
      </c>
      <c r="BY239" s="12">
        <v>0</v>
      </c>
      <c r="BZ239" s="12">
        <v>0</v>
      </c>
      <c r="CA239" s="12">
        <v>0</v>
      </c>
    </row>
    <row r="240" spans="1:79" x14ac:dyDescent="0.2">
      <c r="A240" s="12" t="s">
        <v>135</v>
      </c>
      <c r="B240" s="12" t="s">
        <v>136</v>
      </c>
      <c r="C240" s="12" t="s">
        <v>136</v>
      </c>
      <c r="D240" s="22" t="s">
        <v>498</v>
      </c>
      <c r="E240" s="22" t="s">
        <v>161</v>
      </c>
      <c r="F240" s="22" t="s">
        <v>972</v>
      </c>
      <c r="G240" s="22" t="s">
        <v>973</v>
      </c>
      <c r="H240" s="22" t="s">
        <v>150</v>
      </c>
      <c r="I240" s="22" t="s">
        <v>151</v>
      </c>
      <c r="J240" s="22" t="s">
        <v>162</v>
      </c>
      <c r="K240" s="22" t="s">
        <v>92</v>
      </c>
      <c r="L240" s="54" t="s">
        <v>153</v>
      </c>
      <c r="M240" s="23" t="s">
        <v>153</v>
      </c>
      <c r="N240" s="24" t="s">
        <v>153</v>
      </c>
      <c r="O240" s="23" t="s">
        <v>153</v>
      </c>
      <c r="P240" s="23" t="s">
        <v>153</v>
      </c>
      <c r="Q240" s="23" t="s">
        <v>153</v>
      </c>
      <c r="R240" s="23" t="s">
        <v>153</v>
      </c>
      <c r="S240" s="23" t="s">
        <v>153</v>
      </c>
      <c r="T240" s="23" t="s">
        <v>153</v>
      </c>
      <c r="U240" s="24" t="s">
        <v>153</v>
      </c>
      <c r="V240" s="54" t="s">
        <v>153</v>
      </c>
      <c r="W240" s="23" t="s">
        <v>153</v>
      </c>
      <c r="X240" s="23" t="s">
        <v>153</v>
      </c>
      <c r="Y240" s="23" t="s">
        <v>153</v>
      </c>
      <c r="Z240" s="24" t="s">
        <v>156</v>
      </c>
      <c r="AA240" s="24" t="s">
        <v>156</v>
      </c>
      <c r="AB240" s="24" t="s">
        <v>153</v>
      </c>
      <c r="AC240" s="28" t="s">
        <v>338</v>
      </c>
      <c r="AD240" s="28" t="s">
        <v>338</v>
      </c>
      <c r="AE240" s="28" t="s">
        <v>338</v>
      </c>
      <c r="AF240" s="23" t="s">
        <v>153</v>
      </c>
      <c r="AG240" s="23" t="s">
        <v>153</v>
      </c>
      <c r="AH240" s="23" t="s">
        <v>153</v>
      </c>
      <c r="AI240" s="24" t="s">
        <v>153</v>
      </c>
      <c r="AJ240" s="23" t="s">
        <v>153</v>
      </c>
      <c r="AK240" s="23" t="s">
        <v>153</v>
      </c>
      <c r="AL240" s="23" t="s">
        <v>153</v>
      </c>
      <c r="AM240" s="23" t="s">
        <v>153</v>
      </c>
      <c r="AN240" s="23" t="s">
        <v>153</v>
      </c>
      <c r="AO240" s="23" t="s">
        <v>153</v>
      </c>
      <c r="AP240" s="23">
        <f>VALUE(0)</f>
        <v>0</v>
      </c>
      <c r="AQ240" s="23">
        <f>VALUE(0)</f>
        <v>0</v>
      </c>
      <c r="AR240" s="23">
        <f>VALUE(0)</f>
        <v>0</v>
      </c>
      <c r="AS240" s="23">
        <f>VALUE(0)</f>
        <v>0</v>
      </c>
      <c r="AT240" s="23">
        <f>VALUE(3)</f>
        <v>3</v>
      </c>
      <c r="AU240" s="23">
        <f>VALUE(0)</f>
        <v>0</v>
      </c>
      <c r="AV240" s="23">
        <f>VALUE(6)</f>
        <v>6</v>
      </c>
      <c r="AW240" s="23">
        <f>VALUE(0)</f>
        <v>0</v>
      </c>
      <c r="AX240" s="23" t="s">
        <v>176</v>
      </c>
      <c r="AY240" s="23" t="s">
        <v>499</v>
      </c>
      <c r="AZ240" s="23">
        <f>VALUE(0)</f>
        <v>0</v>
      </c>
      <c r="BA240" s="23">
        <f>VALUE(0)</f>
        <v>0</v>
      </c>
      <c r="BB240" s="23">
        <f>VALUE(0)</f>
        <v>0</v>
      </c>
      <c r="BC240" s="23">
        <f>VALUE(0)</f>
        <v>0</v>
      </c>
      <c r="BD240" s="23">
        <f>VALUE(0)</f>
        <v>0</v>
      </c>
      <c r="BE240" s="23">
        <f>VALUE(0)</f>
        <v>0</v>
      </c>
      <c r="BF240" s="23">
        <f>VALUE(0)</f>
        <v>0</v>
      </c>
      <c r="BG240" s="23">
        <f>VALUE(0)</f>
        <v>0</v>
      </c>
      <c r="BH240" s="23">
        <f>VALUE(0)</f>
        <v>0</v>
      </c>
      <c r="BI240" s="23">
        <f>VALUE(0)</f>
        <v>0</v>
      </c>
      <c r="BJ240" s="23">
        <f>VALUE(0)</f>
        <v>0</v>
      </c>
      <c r="BK240" s="12">
        <f>$AX$240*24</f>
        <v>0</v>
      </c>
      <c r="BL240" s="12">
        <f>$AY$240*24</f>
        <v>16.716666666666665</v>
      </c>
      <c r="BM240" s="12">
        <f>$BJ$240*24</f>
        <v>0</v>
      </c>
      <c r="BN240" s="12">
        <f>VALUE($I$240)/100</f>
        <v>1</v>
      </c>
      <c r="BO240" s="12">
        <v>0</v>
      </c>
      <c r="BP240" s="12">
        <v>0</v>
      </c>
      <c r="BQ240" s="12">
        <v>0</v>
      </c>
      <c r="BR240" s="12">
        <v>0</v>
      </c>
      <c r="BS240" s="12">
        <v>0</v>
      </c>
      <c r="BT240" s="12">
        <v>0</v>
      </c>
      <c r="BU240" s="12">
        <v>0</v>
      </c>
      <c r="BV240" s="12">
        <v>0</v>
      </c>
      <c r="BW240" s="12">
        <v>0</v>
      </c>
      <c r="BX240" s="12">
        <v>0</v>
      </c>
      <c r="BY240" s="12">
        <v>3</v>
      </c>
      <c r="BZ240" s="12">
        <v>0</v>
      </c>
      <c r="CA240" s="12">
        <v>0</v>
      </c>
    </row>
    <row r="241" spans="1:79" x14ac:dyDescent="0.2">
      <c r="A241" s="12" t="s">
        <v>135</v>
      </c>
      <c r="B241" s="12" t="s">
        <v>136</v>
      </c>
      <c r="C241" s="12" t="s">
        <v>136</v>
      </c>
      <c r="D241" s="22" t="s">
        <v>500</v>
      </c>
      <c r="E241" s="22" t="s">
        <v>161</v>
      </c>
      <c r="F241" s="22" t="s">
        <v>974</v>
      </c>
      <c r="G241" s="22" t="s">
        <v>975</v>
      </c>
      <c r="H241" s="22" t="s">
        <v>150</v>
      </c>
      <c r="I241" s="22" t="s">
        <v>151</v>
      </c>
      <c r="J241" s="22" t="s">
        <v>162</v>
      </c>
      <c r="K241" s="22" t="s">
        <v>92</v>
      </c>
      <c r="L241" s="54" t="s">
        <v>156</v>
      </c>
      <c r="M241" s="23" t="s">
        <v>153</v>
      </c>
      <c r="N241" s="24" t="s">
        <v>153</v>
      </c>
      <c r="O241" s="23" t="s">
        <v>153</v>
      </c>
      <c r="P241" s="23" t="s">
        <v>153</v>
      </c>
      <c r="Q241" s="23" t="s">
        <v>153</v>
      </c>
      <c r="R241" s="29" t="s">
        <v>163</v>
      </c>
      <c r="S241" s="29" t="s">
        <v>163</v>
      </c>
      <c r="T241" s="29" t="s">
        <v>163</v>
      </c>
      <c r="U241" s="24" t="s">
        <v>153</v>
      </c>
      <c r="V241" s="54" t="s">
        <v>153</v>
      </c>
      <c r="W241" s="29" t="s">
        <v>163</v>
      </c>
      <c r="X241" s="23" t="s">
        <v>153</v>
      </c>
      <c r="Y241" s="23" t="s">
        <v>153</v>
      </c>
      <c r="Z241" s="23" t="s">
        <v>153</v>
      </c>
      <c r="AA241" s="23" t="s">
        <v>153</v>
      </c>
      <c r="AB241" s="24" t="s">
        <v>153</v>
      </c>
      <c r="AC241" s="23" t="s">
        <v>153</v>
      </c>
      <c r="AD241" s="23" t="s">
        <v>153</v>
      </c>
      <c r="AE241" s="23" t="s">
        <v>153</v>
      </c>
      <c r="AF241" s="23" t="s">
        <v>153</v>
      </c>
      <c r="AG241" s="23" t="s">
        <v>153</v>
      </c>
      <c r="AH241" s="23" t="s">
        <v>153</v>
      </c>
      <c r="AI241" s="24" t="s">
        <v>153</v>
      </c>
      <c r="AJ241" s="24" t="s">
        <v>156</v>
      </c>
      <c r="AK241" s="24" t="s">
        <v>156</v>
      </c>
      <c r="AL241" s="23" t="s">
        <v>153</v>
      </c>
      <c r="AM241" s="23" t="s">
        <v>153</v>
      </c>
      <c r="AN241" s="23" t="s">
        <v>153</v>
      </c>
      <c r="AO241" s="23" t="s">
        <v>153</v>
      </c>
      <c r="AP241" s="23">
        <f>VALUE(0)</f>
        <v>0</v>
      </c>
      <c r="AQ241" s="23">
        <f>VALUE(0)</f>
        <v>0</v>
      </c>
      <c r="AR241" s="23">
        <f>VALUE(4)</f>
        <v>4</v>
      </c>
      <c r="AS241" s="23">
        <f>VALUE(0)</f>
        <v>0</v>
      </c>
      <c r="AT241" s="23">
        <f>VALUE(0)</f>
        <v>0</v>
      </c>
      <c r="AU241" s="23">
        <f>VALUE(0)</f>
        <v>0</v>
      </c>
      <c r="AV241" s="23">
        <f>VALUE(10)</f>
        <v>10</v>
      </c>
      <c r="AW241" s="23">
        <f>VALUE(0)</f>
        <v>0</v>
      </c>
      <c r="AX241" s="23" t="s">
        <v>158</v>
      </c>
      <c r="AY241" s="23" t="s">
        <v>352</v>
      </c>
      <c r="AZ241" s="23">
        <f>VALUE(0)</f>
        <v>0</v>
      </c>
      <c r="BA241" s="23">
        <f>VALUE(0)</f>
        <v>0</v>
      </c>
      <c r="BB241" s="23">
        <f>VALUE(0)</f>
        <v>0</v>
      </c>
      <c r="BC241" s="23">
        <f>VALUE(0)</f>
        <v>0</v>
      </c>
      <c r="BD241" s="23">
        <f>VALUE(0)</f>
        <v>0</v>
      </c>
      <c r="BE241" s="23">
        <f>VALUE(0)</f>
        <v>0</v>
      </c>
      <c r="BF241" s="23">
        <f>VALUE(0)</f>
        <v>0</v>
      </c>
      <c r="BG241" s="23">
        <f>VALUE(0)</f>
        <v>0</v>
      </c>
      <c r="BH241" s="23">
        <f>VALUE(0)</f>
        <v>0</v>
      </c>
      <c r="BI241" s="23">
        <f>VALUE(0)</f>
        <v>0</v>
      </c>
      <c r="BJ241" s="23">
        <f>VALUE(0)</f>
        <v>0</v>
      </c>
      <c r="BK241" s="12">
        <f>$AX$241*24</f>
        <v>11.666666666666666</v>
      </c>
      <c r="BL241" s="12">
        <f>$AY$241*24</f>
        <v>12.183333333333334</v>
      </c>
      <c r="BM241" s="12">
        <f>$BJ$241*24</f>
        <v>0</v>
      </c>
      <c r="BN241" s="12">
        <f>VALUE($I$241)/100</f>
        <v>1</v>
      </c>
      <c r="BO241" s="12">
        <v>0</v>
      </c>
      <c r="BP241" s="12">
        <v>0</v>
      </c>
      <c r="BQ241" s="12">
        <v>0</v>
      </c>
      <c r="BR241" s="12">
        <v>0</v>
      </c>
      <c r="BS241" s="12">
        <v>0</v>
      </c>
      <c r="BT241" s="12">
        <v>4</v>
      </c>
      <c r="BU241" s="12">
        <v>0</v>
      </c>
      <c r="BV241" s="12">
        <v>0</v>
      </c>
      <c r="BW241" s="12">
        <v>0</v>
      </c>
      <c r="BX241" s="12">
        <v>0</v>
      </c>
      <c r="BY241" s="12">
        <v>0</v>
      </c>
      <c r="BZ241" s="12">
        <v>0</v>
      </c>
      <c r="CA241" s="12">
        <v>0</v>
      </c>
    </row>
    <row r="242" spans="1:79" x14ac:dyDescent="0.2">
      <c r="A242" s="12" t="s">
        <v>135</v>
      </c>
      <c r="B242" s="12" t="s">
        <v>136</v>
      </c>
      <c r="C242" s="12" t="s">
        <v>136</v>
      </c>
      <c r="D242" s="22" t="s">
        <v>489</v>
      </c>
      <c r="E242" s="22" t="s">
        <v>161</v>
      </c>
      <c r="F242" s="22" t="s">
        <v>976</v>
      </c>
      <c r="G242" s="22" t="s">
        <v>977</v>
      </c>
      <c r="H242" s="22" t="s">
        <v>150</v>
      </c>
      <c r="I242" s="22" t="s">
        <v>151</v>
      </c>
      <c r="J242" s="22" t="s">
        <v>162</v>
      </c>
      <c r="K242" s="22" t="s">
        <v>92</v>
      </c>
      <c r="L242" s="54" t="s">
        <v>153</v>
      </c>
      <c r="M242" s="23" t="s">
        <v>153</v>
      </c>
      <c r="N242" s="24" t="s">
        <v>153</v>
      </c>
      <c r="O242" s="35" t="s">
        <v>170</v>
      </c>
      <c r="P242" s="35" t="s">
        <v>170</v>
      </c>
      <c r="Q242" s="24" t="s">
        <v>156</v>
      </c>
      <c r="R242" s="24" t="s">
        <v>156</v>
      </c>
      <c r="S242" s="23" t="s">
        <v>153</v>
      </c>
      <c r="T242" s="23" t="s">
        <v>153</v>
      </c>
      <c r="U242" s="24" t="s">
        <v>153</v>
      </c>
      <c r="V242" s="54" t="s">
        <v>153</v>
      </c>
      <c r="W242" s="23" t="s">
        <v>153</v>
      </c>
      <c r="X242" s="23" t="s">
        <v>153</v>
      </c>
      <c r="Y242" s="23" t="s">
        <v>153</v>
      </c>
      <c r="Z242" s="23" t="s">
        <v>153</v>
      </c>
      <c r="AA242" s="23" t="s">
        <v>153</v>
      </c>
      <c r="AB242" s="24" t="s">
        <v>153</v>
      </c>
      <c r="AC242" s="23" t="s">
        <v>153</v>
      </c>
      <c r="AD242" s="23" t="s">
        <v>153</v>
      </c>
      <c r="AE242" s="23" t="s">
        <v>153</v>
      </c>
      <c r="AF242" s="23" t="s">
        <v>153</v>
      </c>
      <c r="AG242" s="23" t="s">
        <v>153</v>
      </c>
      <c r="AH242" s="23" t="s">
        <v>153</v>
      </c>
      <c r="AI242" s="24" t="s">
        <v>153</v>
      </c>
      <c r="AJ242" s="23" t="s">
        <v>153</v>
      </c>
      <c r="AK242" s="23" t="s">
        <v>153</v>
      </c>
      <c r="AL242" s="23" t="s">
        <v>153</v>
      </c>
      <c r="AM242" s="23" t="s">
        <v>153</v>
      </c>
      <c r="AN242" s="23" t="s">
        <v>153</v>
      </c>
      <c r="AO242" s="23" t="s">
        <v>153</v>
      </c>
      <c r="AP242" s="23">
        <f>VALUE(0)</f>
        <v>0</v>
      </c>
      <c r="AQ242" s="23">
        <f>VALUE(0)</f>
        <v>0</v>
      </c>
      <c r="AR242" s="23">
        <f>VALUE(0)</f>
        <v>0</v>
      </c>
      <c r="AS242" s="23">
        <f>VALUE(0)</f>
        <v>0</v>
      </c>
      <c r="AT242" s="23">
        <f>VALUE(0)</f>
        <v>0</v>
      </c>
      <c r="AU242" s="23">
        <f>VALUE(0)</f>
        <v>0</v>
      </c>
      <c r="AV242" s="23">
        <f>VALUE(16)</f>
        <v>16</v>
      </c>
      <c r="AW242" s="23">
        <f>VALUE(0)</f>
        <v>0</v>
      </c>
      <c r="AX242" s="23" t="s">
        <v>171</v>
      </c>
      <c r="AY242" s="23" t="s">
        <v>501</v>
      </c>
      <c r="AZ242" s="23">
        <f>VALUE(0)</f>
        <v>0</v>
      </c>
      <c r="BA242" s="23">
        <f>VALUE(0)</f>
        <v>0</v>
      </c>
      <c r="BB242" s="23">
        <f>VALUE(0)</f>
        <v>0</v>
      </c>
      <c r="BC242" s="23">
        <f>VALUE(0)</f>
        <v>0</v>
      </c>
      <c r="BD242" s="23">
        <f>VALUE(0)</f>
        <v>0</v>
      </c>
      <c r="BE242" s="23">
        <f>VALUE(2)</f>
        <v>2</v>
      </c>
      <c r="BF242" s="23">
        <f>VALUE(0)</f>
        <v>0</v>
      </c>
      <c r="BG242" s="23">
        <f>VALUE(0)</f>
        <v>0</v>
      </c>
      <c r="BH242" s="23">
        <f>VALUE(0)</f>
        <v>0</v>
      </c>
      <c r="BI242" s="23">
        <f>VALUE(0)</f>
        <v>0</v>
      </c>
      <c r="BJ242" s="23">
        <f>VALUE(0)</f>
        <v>0</v>
      </c>
      <c r="BK242" s="12">
        <f>$AX$242*24</f>
        <v>5.833333333333333</v>
      </c>
      <c r="BL242" s="12">
        <f>$AY$242*24</f>
        <v>78.533333333333331</v>
      </c>
      <c r="BM242" s="12">
        <f>$BJ$242*24</f>
        <v>0</v>
      </c>
      <c r="BN242" s="12">
        <f>VALUE($I$242)/100</f>
        <v>1</v>
      </c>
      <c r="BO242" s="12">
        <v>0</v>
      </c>
      <c r="BP242" s="12">
        <v>0</v>
      </c>
      <c r="BQ242" s="12">
        <v>0</v>
      </c>
      <c r="BR242" s="12">
        <v>0</v>
      </c>
      <c r="BS242" s="12">
        <v>0</v>
      </c>
      <c r="BT242" s="12">
        <v>0</v>
      </c>
      <c r="BU242" s="12">
        <v>0</v>
      </c>
      <c r="BV242" s="12">
        <v>0</v>
      </c>
      <c r="BW242" s="12">
        <v>0</v>
      </c>
      <c r="BX242" s="12">
        <v>0</v>
      </c>
      <c r="BY242" s="12">
        <v>0</v>
      </c>
      <c r="BZ242" s="12">
        <v>0</v>
      </c>
      <c r="CA242" s="12">
        <v>0</v>
      </c>
    </row>
    <row r="243" spans="1:79" x14ac:dyDescent="0.2">
      <c r="A243" s="12" t="s">
        <v>135</v>
      </c>
      <c r="B243" s="12" t="s">
        <v>136</v>
      </c>
      <c r="C243" s="12" t="s">
        <v>136</v>
      </c>
      <c r="D243" s="22" t="s">
        <v>502</v>
      </c>
      <c r="E243" s="22" t="s">
        <v>173</v>
      </c>
      <c r="F243" s="22" t="s">
        <v>978</v>
      </c>
      <c r="G243" s="22" t="s">
        <v>979</v>
      </c>
      <c r="H243" s="22" t="s">
        <v>150</v>
      </c>
      <c r="I243" s="22" t="s">
        <v>151</v>
      </c>
      <c r="J243" s="22" t="s">
        <v>162</v>
      </c>
      <c r="K243" s="22" t="s">
        <v>92</v>
      </c>
      <c r="L243" s="54" t="s">
        <v>153</v>
      </c>
      <c r="M243" s="24" t="s">
        <v>156</v>
      </c>
      <c r="N243" s="24" t="s">
        <v>153</v>
      </c>
      <c r="O243" s="23" t="s">
        <v>492</v>
      </c>
      <c r="P243" s="23" t="s">
        <v>492</v>
      </c>
      <c r="Q243" s="23" t="s">
        <v>492</v>
      </c>
      <c r="R243" s="23" t="s">
        <v>492</v>
      </c>
      <c r="S243" s="23" t="s">
        <v>492</v>
      </c>
      <c r="T243" s="23" t="s">
        <v>492</v>
      </c>
      <c r="U243" s="24" t="s">
        <v>153</v>
      </c>
      <c r="V243" s="54" t="s">
        <v>153</v>
      </c>
      <c r="W243" s="23" t="s">
        <v>492</v>
      </c>
      <c r="X243" s="23" t="s">
        <v>492</v>
      </c>
      <c r="Y243" s="23" t="s">
        <v>492</v>
      </c>
      <c r="Z243" s="23" t="s">
        <v>492</v>
      </c>
      <c r="AA243" s="23" t="s">
        <v>492</v>
      </c>
      <c r="AB243" s="24" t="s">
        <v>153</v>
      </c>
      <c r="AC243" s="24" t="s">
        <v>156</v>
      </c>
      <c r="AD243" s="24" t="s">
        <v>156</v>
      </c>
      <c r="AE243" s="23" t="s">
        <v>492</v>
      </c>
      <c r="AF243" s="23" t="s">
        <v>492</v>
      </c>
      <c r="AG243" s="23" t="s">
        <v>492</v>
      </c>
      <c r="AH243" s="23" t="s">
        <v>492</v>
      </c>
      <c r="AI243" s="24" t="s">
        <v>153</v>
      </c>
      <c r="AJ243" s="23" t="s">
        <v>492</v>
      </c>
      <c r="AK243" s="23" t="s">
        <v>492</v>
      </c>
      <c r="AL243" s="23" t="s">
        <v>492</v>
      </c>
      <c r="AM243" s="23" t="s">
        <v>492</v>
      </c>
      <c r="AN243" s="23" t="s">
        <v>492</v>
      </c>
      <c r="AO243" s="23" t="s">
        <v>492</v>
      </c>
      <c r="AP243" s="23">
        <f>VALUE(9)</f>
        <v>9</v>
      </c>
      <c r="AQ243" s="23">
        <f>VALUE(0)</f>
        <v>0</v>
      </c>
      <c r="AR243" s="23">
        <f>VALUE(0)</f>
        <v>0</v>
      </c>
      <c r="AS243" s="23">
        <f>VALUE(0)</f>
        <v>0</v>
      </c>
      <c r="AT243" s="23">
        <f>VALUE(0)</f>
        <v>0</v>
      </c>
      <c r="AU243" s="23">
        <f>VALUE(0)</f>
        <v>0</v>
      </c>
      <c r="AV243" s="23">
        <f>VALUE(8)</f>
        <v>8</v>
      </c>
      <c r="AW243" s="23">
        <f>VALUE(0)</f>
        <v>0</v>
      </c>
      <c r="AX243" s="23" t="s">
        <v>171</v>
      </c>
      <c r="AY243" s="23" t="s">
        <v>425</v>
      </c>
      <c r="AZ243" s="23">
        <f>VALUE(0)</f>
        <v>0</v>
      </c>
      <c r="BA243" s="23">
        <f>VALUE(0)</f>
        <v>0</v>
      </c>
      <c r="BB243" s="23">
        <f>VALUE(0)</f>
        <v>0</v>
      </c>
      <c r="BC243" s="23">
        <f>VALUE(0)</f>
        <v>0</v>
      </c>
      <c r="BD243" s="23">
        <f>VALUE(0)</f>
        <v>0</v>
      </c>
      <c r="BE243" s="23">
        <f>VALUE(0)</f>
        <v>0</v>
      </c>
      <c r="BF243" s="23">
        <f>VALUE(0)</f>
        <v>0</v>
      </c>
      <c r="BG243" s="23">
        <f>VALUE(0)</f>
        <v>0</v>
      </c>
      <c r="BH243" s="23">
        <f>VALUE(0)</f>
        <v>0</v>
      </c>
      <c r="BI243" s="23">
        <f>VALUE(0)</f>
        <v>0</v>
      </c>
      <c r="BJ243" s="23">
        <f>VALUE(0)</f>
        <v>0</v>
      </c>
      <c r="BK243" s="12">
        <f>$AX$243*24</f>
        <v>5.833333333333333</v>
      </c>
      <c r="BL243" s="12">
        <f>$AY$243*24</f>
        <v>1.4166666666666667</v>
      </c>
      <c r="BM243" s="12">
        <f>$BJ$243*24</f>
        <v>0</v>
      </c>
      <c r="BN243" s="12">
        <f>VALUE($I$243)/100</f>
        <v>1</v>
      </c>
      <c r="BO243" s="12">
        <v>0</v>
      </c>
      <c r="BP243" s="12">
        <v>0</v>
      </c>
      <c r="BQ243" s="12">
        <v>0</v>
      </c>
      <c r="BR243" s="12">
        <v>0</v>
      </c>
      <c r="BS243" s="12">
        <v>0</v>
      </c>
      <c r="BT243" s="12">
        <v>0</v>
      </c>
      <c r="BU243" s="12">
        <v>0</v>
      </c>
      <c r="BV243" s="12">
        <v>0</v>
      </c>
      <c r="BW243" s="12">
        <v>0</v>
      </c>
      <c r="BX243" s="12">
        <v>0</v>
      </c>
      <c r="BY243" s="12">
        <v>0</v>
      </c>
      <c r="BZ243" s="12">
        <v>0</v>
      </c>
      <c r="CA243" s="12">
        <v>0</v>
      </c>
    </row>
    <row r="244" spans="1:79" x14ac:dyDescent="0.2">
      <c r="A244" s="12" t="s">
        <v>135</v>
      </c>
      <c r="B244" s="12" t="s">
        <v>136</v>
      </c>
      <c r="C244" s="12" t="s">
        <v>136</v>
      </c>
      <c r="D244" s="22" t="s">
        <v>503</v>
      </c>
      <c r="E244" s="22" t="s">
        <v>159</v>
      </c>
      <c r="F244" s="22" t="s">
        <v>980</v>
      </c>
      <c r="G244" s="22" t="s">
        <v>981</v>
      </c>
      <c r="H244" s="22" t="s">
        <v>150</v>
      </c>
      <c r="I244" s="22" t="s">
        <v>151</v>
      </c>
      <c r="J244" s="22" t="s">
        <v>162</v>
      </c>
      <c r="K244" s="22" t="s">
        <v>92</v>
      </c>
      <c r="L244" s="54" t="s">
        <v>153</v>
      </c>
      <c r="M244" s="23" t="s">
        <v>490</v>
      </c>
      <c r="N244" s="24" t="s">
        <v>153</v>
      </c>
      <c r="O244" s="23" t="s">
        <v>490</v>
      </c>
      <c r="P244" s="23" t="s">
        <v>490</v>
      </c>
      <c r="Q244" s="23" t="s">
        <v>490</v>
      </c>
      <c r="R244" s="23" t="s">
        <v>490</v>
      </c>
      <c r="S244" s="24" t="s">
        <v>156</v>
      </c>
      <c r="T244" s="24" t="s">
        <v>156</v>
      </c>
      <c r="U244" s="24" t="s">
        <v>153</v>
      </c>
      <c r="V244" s="54" t="s">
        <v>153</v>
      </c>
      <c r="W244" s="23" t="s">
        <v>490</v>
      </c>
      <c r="X244" s="23" t="s">
        <v>490</v>
      </c>
      <c r="Y244" s="23" t="s">
        <v>490</v>
      </c>
      <c r="Z244" s="23" t="s">
        <v>490</v>
      </c>
      <c r="AA244" s="23" t="s">
        <v>490</v>
      </c>
      <c r="AB244" s="24" t="s">
        <v>153</v>
      </c>
      <c r="AC244" s="23" t="s">
        <v>490</v>
      </c>
      <c r="AD244" s="23" t="s">
        <v>490</v>
      </c>
      <c r="AE244" s="23" t="s">
        <v>490</v>
      </c>
      <c r="AF244" s="23" t="s">
        <v>490</v>
      </c>
      <c r="AG244" s="23" t="s">
        <v>490</v>
      </c>
      <c r="AH244" s="23" t="s">
        <v>490</v>
      </c>
      <c r="AI244" s="24" t="s">
        <v>153</v>
      </c>
      <c r="AJ244" s="23" t="s">
        <v>490</v>
      </c>
      <c r="AK244" s="23" t="s">
        <v>490</v>
      </c>
      <c r="AL244" s="23" t="s">
        <v>490</v>
      </c>
      <c r="AM244" s="23" t="s">
        <v>490</v>
      </c>
      <c r="AN244" s="23" t="s">
        <v>490</v>
      </c>
      <c r="AO244" s="23" t="s">
        <v>490</v>
      </c>
      <c r="AP244" s="23">
        <f>VALUE(0)</f>
        <v>0</v>
      </c>
      <c r="AQ244" s="23">
        <f>VALUE(0)</f>
        <v>0</v>
      </c>
      <c r="AR244" s="23">
        <f>VALUE(0)</f>
        <v>0</v>
      </c>
      <c r="AS244" s="23">
        <f>VALUE(0)</f>
        <v>0</v>
      </c>
      <c r="AT244" s="23">
        <f>VALUE(0)</f>
        <v>0</v>
      </c>
      <c r="AU244" s="23">
        <f>VALUE(0)</f>
        <v>0</v>
      </c>
      <c r="AV244" s="23">
        <f>VALUE(6)</f>
        <v>6</v>
      </c>
      <c r="AW244" s="23">
        <f>VALUE(0)</f>
        <v>0</v>
      </c>
      <c r="AX244" s="23" t="s">
        <v>171</v>
      </c>
      <c r="AY244" s="23" t="s">
        <v>504</v>
      </c>
      <c r="AZ244" s="23">
        <f>VALUE(0)</f>
        <v>0</v>
      </c>
      <c r="BA244" s="23">
        <f>VALUE(0)</f>
        <v>0</v>
      </c>
      <c r="BB244" s="23">
        <f>VALUE(0)</f>
        <v>0</v>
      </c>
      <c r="BC244" s="23">
        <f>VALUE(0)</f>
        <v>0</v>
      </c>
      <c r="BD244" s="23">
        <f>VALUE(0)</f>
        <v>0</v>
      </c>
      <c r="BE244" s="23">
        <f>VALUE(0)</f>
        <v>0</v>
      </c>
      <c r="BF244" s="23">
        <f>VALUE(0)</f>
        <v>0</v>
      </c>
      <c r="BG244" s="23">
        <f>VALUE(0)</f>
        <v>0</v>
      </c>
      <c r="BH244" s="23">
        <f>VALUE(0)</f>
        <v>0</v>
      </c>
      <c r="BI244" s="23">
        <f>VALUE(0)</f>
        <v>0</v>
      </c>
      <c r="BJ244" s="23">
        <f>VALUE(0)</f>
        <v>0</v>
      </c>
      <c r="BK244" s="12">
        <f>$AX$244*24</f>
        <v>5.833333333333333</v>
      </c>
      <c r="BL244" s="12">
        <f>$AY$244*24</f>
        <v>23.783333333333335</v>
      </c>
      <c r="BM244" s="12">
        <f>$BJ$244*24</f>
        <v>0</v>
      </c>
      <c r="BN244" s="12">
        <f>VALUE($I$244)/100</f>
        <v>1</v>
      </c>
      <c r="BO244" s="12">
        <v>0</v>
      </c>
      <c r="BP244" s="12">
        <v>0</v>
      </c>
      <c r="BQ244" s="12">
        <v>0</v>
      </c>
      <c r="BR244" s="12">
        <v>0</v>
      </c>
      <c r="BS244" s="12">
        <v>0</v>
      </c>
      <c r="BT244" s="12">
        <v>0</v>
      </c>
      <c r="BU244" s="12">
        <v>0</v>
      </c>
      <c r="BV244" s="12">
        <v>0</v>
      </c>
      <c r="BW244" s="12">
        <v>0</v>
      </c>
      <c r="BX244" s="12">
        <v>0</v>
      </c>
      <c r="BY244" s="12">
        <v>0</v>
      </c>
      <c r="BZ244" s="12">
        <v>0</v>
      </c>
      <c r="CA244" s="12">
        <v>0</v>
      </c>
    </row>
    <row r="245" spans="1:79" x14ac:dyDescent="0.2">
      <c r="A245" s="12" t="s">
        <v>135</v>
      </c>
      <c r="B245" s="12" t="s">
        <v>136</v>
      </c>
      <c r="C245" s="12" t="s">
        <v>136</v>
      </c>
      <c r="D245" s="22" t="s">
        <v>505</v>
      </c>
      <c r="E245" s="22" t="s">
        <v>173</v>
      </c>
      <c r="F245" s="22" t="s">
        <v>982</v>
      </c>
      <c r="G245" s="22" t="s">
        <v>983</v>
      </c>
      <c r="H245" s="22" t="s">
        <v>150</v>
      </c>
      <c r="I245" s="22" t="s">
        <v>151</v>
      </c>
      <c r="J245" s="22" t="s">
        <v>162</v>
      </c>
      <c r="K245" s="22" t="s">
        <v>92</v>
      </c>
      <c r="L245" s="54" t="s">
        <v>153</v>
      </c>
      <c r="M245" s="23" t="s">
        <v>492</v>
      </c>
      <c r="N245" s="24" t="s">
        <v>153</v>
      </c>
      <c r="O245" s="23" t="s">
        <v>491</v>
      </c>
      <c r="P245" s="23" t="s">
        <v>491</v>
      </c>
      <c r="Q245" s="23" t="s">
        <v>491</v>
      </c>
      <c r="R245" s="23" t="s">
        <v>491</v>
      </c>
      <c r="S245" s="23" t="s">
        <v>491</v>
      </c>
      <c r="T245" s="23" t="s">
        <v>491</v>
      </c>
      <c r="U245" s="24" t="s">
        <v>153</v>
      </c>
      <c r="V245" s="54" t="s">
        <v>153</v>
      </c>
      <c r="W245" s="23" t="s">
        <v>495</v>
      </c>
      <c r="X245" s="23" t="s">
        <v>153</v>
      </c>
      <c r="Y245" s="23" t="s">
        <v>153</v>
      </c>
      <c r="Z245" s="23" t="s">
        <v>498</v>
      </c>
      <c r="AA245" s="23" t="s">
        <v>498</v>
      </c>
      <c r="AB245" s="24" t="s">
        <v>153</v>
      </c>
      <c r="AC245" s="23" t="s">
        <v>498</v>
      </c>
      <c r="AD245" s="23" t="s">
        <v>498</v>
      </c>
      <c r="AE245" s="23" t="s">
        <v>498</v>
      </c>
      <c r="AF245" s="23" t="s">
        <v>491</v>
      </c>
      <c r="AG245" s="23" t="s">
        <v>494</v>
      </c>
      <c r="AH245" s="23" t="s">
        <v>494</v>
      </c>
      <c r="AI245" s="24" t="s">
        <v>153</v>
      </c>
      <c r="AJ245" s="23" t="s">
        <v>500</v>
      </c>
      <c r="AK245" s="23" t="s">
        <v>500</v>
      </c>
      <c r="AL245" s="23" t="s">
        <v>497</v>
      </c>
      <c r="AM245" s="23" t="s">
        <v>497</v>
      </c>
      <c r="AN245" s="24" t="s">
        <v>156</v>
      </c>
      <c r="AO245" s="24" t="s">
        <v>156</v>
      </c>
      <c r="AP245" s="23">
        <f>VALUE(0)</f>
        <v>0</v>
      </c>
      <c r="AQ245" s="23">
        <f>VALUE(0)</f>
        <v>0</v>
      </c>
      <c r="AR245" s="23">
        <f>VALUE(0)</f>
        <v>0</v>
      </c>
      <c r="AS245" s="23">
        <f>VALUE(0)</f>
        <v>0</v>
      </c>
      <c r="AT245" s="23">
        <f>VALUE(0)</f>
        <v>0</v>
      </c>
      <c r="AU245" s="23">
        <f>VALUE(0)</f>
        <v>0</v>
      </c>
      <c r="AV245" s="23">
        <f>VALUE(10)</f>
        <v>10</v>
      </c>
      <c r="AW245" s="23">
        <f>VALUE(0)</f>
        <v>0</v>
      </c>
      <c r="AX245" s="23" t="s">
        <v>158</v>
      </c>
      <c r="AY245" s="23" t="s">
        <v>171</v>
      </c>
      <c r="AZ245" s="23">
        <f>VALUE(0)</f>
        <v>0</v>
      </c>
      <c r="BA245" s="23">
        <f>VALUE(0)</f>
        <v>0</v>
      </c>
      <c r="BB245" s="23">
        <f>VALUE(0)</f>
        <v>0</v>
      </c>
      <c r="BC245" s="23">
        <f>VALUE(0)</f>
        <v>0</v>
      </c>
      <c r="BD245" s="23">
        <f>VALUE(0)</f>
        <v>0</v>
      </c>
      <c r="BE245" s="23">
        <f>VALUE(0)</f>
        <v>0</v>
      </c>
      <c r="BF245" s="23">
        <f>VALUE(0)</f>
        <v>0</v>
      </c>
      <c r="BG245" s="23">
        <f>VALUE(0)</f>
        <v>0</v>
      </c>
      <c r="BH245" s="23">
        <f>VALUE(0)</f>
        <v>0</v>
      </c>
      <c r="BI245" s="23">
        <f>VALUE(0)</f>
        <v>0</v>
      </c>
      <c r="BJ245" s="23">
        <f>VALUE(0)</f>
        <v>0</v>
      </c>
      <c r="BK245" s="12">
        <f>$AX$245*24</f>
        <v>11.666666666666666</v>
      </c>
      <c r="BL245" s="12">
        <f>$AY$245*24</f>
        <v>5.833333333333333</v>
      </c>
      <c r="BM245" s="12">
        <f>$BJ$245*24</f>
        <v>0</v>
      </c>
      <c r="BN245" s="12">
        <f>VALUE($I$245)/100</f>
        <v>1</v>
      </c>
      <c r="BO245" s="12">
        <v>0</v>
      </c>
      <c r="BP245" s="12">
        <v>0</v>
      </c>
      <c r="BQ245" s="12">
        <v>0</v>
      </c>
      <c r="BR245" s="12">
        <v>0</v>
      </c>
      <c r="BS245" s="12">
        <v>0</v>
      </c>
      <c r="BT245" s="12">
        <v>0</v>
      </c>
      <c r="BU245" s="12">
        <v>0</v>
      </c>
      <c r="BV245" s="12">
        <v>0</v>
      </c>
      <c r="BW245" s="12">
        <v>0</v>
      </c>
      <c r="BX245" s="12">
        <v>0</v>
      </c>
      <c r="BY245" s="12">
        <v>0</v>
      </c>
      <c r="BZ245" s="12">
        <v>0</v>
      </c>
      <c r="CA245" s="12">
        <v>0</v>
      </c>
    </row>
    <row r="246" spans="1:79" x14ac:dyDescent="0.2">
      <c r="A246" s="12" t="s">
        <v>135</v>
      </c>
      <c r="B246" s="12" t="s">
        <v>136</v>
      </c>
      <c r="C246" s="12" t="s">
        <v>136</v>
      </c>
      <c r="D246" s="22" t="s">
        <v>493</v>
      </c>
      <c r="E246" s="22" t="s">
        <v>161</v>
      </c>
      <c r="F246" s="22" t="s">
        <v>984</v>
      </c>
      <c r="G246" s="22" t="s">
        <v>985</v>
      </c>
      <c r="H246" s="22" t="s">
        <v>150</v>
      </c>
      <c r="I246" s="22" t="s">
        <v>1268</v>
      </c>
      <c r="J246" s="22" t="s">
        <v>181</v>
      </c>
      <c r="K246" s="22" t="s">
        <v>92</v>
      </c>
      <c r="L246" s="54" t="s">
        <v>153</v>
      </c>
      <c r="M246" s="24" t="s">
        <v>195</v>
      </c>
      <c r="N246" s="24" t="s">
        <v>153</v>
      </c>
      <c r="O246" s="24" t="s">
        <v>195</v>
      </c>
      <c r="P246" s="23" t="s">
        <v>153</v>
      </c>
      <c r="Q246" s="23" t="s">
        <v>153</v>
      </c>
      <c r="R246" s="23" t="s">
        <v>153</v>
      </c>
      <c r="S246" s="23" t="s">
        <v>153</v>
      </c>
      <c r="T246" s="23" t="s">
        <v>153</v>
      </c>
      <c r="U246" s="24" t="s">
        <v>153</v>
      </c>
      <c r="V246" s="54" t="s">
        <v>153</v>
      </c>
      <c r="W246" s="23" t="s">
        <v>153</v>
      </c>
      <c r="X246" s="23" t="s">
        <v>153</v>
      </c>
      <c r="Y246" s="23" t="s">
        <v>153</v>
      </c>
      <c r="Z246" s="23" t="s">
        <v>153</v>
      </c>
      <c r="AA246" s="24" t="s">
        <v>195</v>
      </c>
      <c r="AB246" s="24" t="s">
        <v>153</v>
      </c>
      <c r="AC246" s="24" t="s">
        <v>195</v>
      </c>
      <c r="AD246" s="23" t="s">
        <v>153</v>
      </c>
      <c r="AE246" s="23" t="s">
        <v>153</v>
      </c>
      <c r="AF246" s="23" t="s">
        <v>153</v>
      </c>
      <c r="AG246" s="23" t="s">
        <v>153</v>
      </c>
      <c r="AH246" s="23" t="s">
        <v>153</v>
      </c>
      <c r="AI246" s="24" t="s">
        <v>153</v>
      </c>
      <c r="AJ246" s="23" t="s">
        <v>153</v>
      </c>
      <c r="AK246" s="23" t="s">
        <v>153</v>
      </c>
      <c r="AL246" s="23" t="s">
        <v>153</v>
      </c>
      <c r="AM246" s="23" t="s">
        <v>153</v>
      </c>
      <c r="AN246" s="23" t="s">
        <v>153</v>
      </c>
      <c r="AO246" s="24" t="s">
        <v>195</v>
      </c>
      <c r="AP246" s="23">
        <f>VALUE(0)</f>
        <v>0</v>
      </c>
      <c r="AQ246" s="23">
        <f>VALUE(0)</f>
        <v>0</v>
      </c>
      <c r="AR246" s="23">
        <f>VALUE(0)</f>
        <v>0</v>
      </c>
      <c r="AS246" s="23">
        <f>VALUE(0)</f>
        <v>0</v>
      </c>
      <c r="AT246" s="23">
        <f>VALUE(0)</f>
        <v>0</v>
      </c>
      <c r="AU246" s="23">
        <f>VALUE(0)</f>
        <v>0</v>
      </c>
      <c r="AV246" s="23">
        <f>VALUE(12)</f>
        <v>12</v>
      </c>
      <c r="AW246" s="23">
        <f>VALUE(0)</f>
        <v>0</v>
      </c>
      <c r="AX246" s="23" t="s">
        <v>506</v>
      </c>
      <c r="AY246" s="23" t="s">
        <v>164</v>
      </c>
      <c r="AZ246" s="23">
        <f>VALUE(0)</f>
        <v>0</v>
      </c>
      <c r="BA246" s="23">
        <f>VALUE(0)</f>
        <v>0</v>
      </c>
      <c r="BB246" s="23">
        <f>VALUE(0)</f>
        <v>0</v>
      </c>
      <c r="BC246" s="23">
        <f>VALUE(0)</f>
        <v>0</v>
      </c>
      <c r="BD246" s="23">
        <f>VALUE(0)</f>
        <v>0</v>
      </c>
      <c r="BE246" s="23">
        <f>VALUE(0)</f>
        <v>0</v>
      </c>
      <c r="BF246" s="23">
        <f>VALUE(0)</f>
        <v>0</v>
      </c>
      <c r="BG246" s="23">
        <f>VALUE(0)</f>
        <v>0</v>
      </c>
      <c r="BH246" s="23">
        <f>VALUE(0)</f>
        <v>0</v>
      </c>
      <c r="BI246" s="23">
        <f>VALUE(0)</f>
        <v>0</v>
      </c>
      <c r="BJ246" s="23">
        <f>VALUE(0)</f>
        <v>0</v>
      </c>
      <c r="BK246" s="12">
        <f>$AX$246*24</f>
        <v>4</v>
      </c>
      <c r="BL246" s="12">
        <f>$AY$246*24</f>
        <v>1.1666666666666667</v>
      </c>
      <c r="BM246" s="12">
        <f>$BJ$246*24</f>
        <v>0</v>
      </c>
      <c r="BN246" s="12">
        <f>VALUE($I$246)/100</f>
        <v>0.68</v>
      </c>
      <c r="BO246" s="12">
        <v>0</v>
      </c>
      <c r="BP246" s="12">
        <v>0</v>
      </c>
      <c r="BQ246" s="12">
        <v>0</v>
      </c>
      <c r="BR246" s="12">
        <v>0</v>
      </c>
      <c r="BS246" s="12">
        <v>0</v>
      </c>
      <c r="BT246" s="12">
        <v>0</v>
      </c>
      <c r="BU246" s="12">
        <v>0</v>
      </c>
      <c r="BV246" s="12">
        <v>0</v>
      </c>
      <c r="BW246" s="12">
        <v>0</v>
      </c>
      <c r="BX246" s="12">
        <v>0</v>
      </c>
      <c r="BY246" s="12">
        <v>0</v>
      </c>
      <c r="BZ246" s="12">
        <v>0</v>
      </c>
      <c r="CA246" s="12">
        <v>0</v>
      </c>
    </row>
    <row r="247" spans="1:79" ht="15" x14ac:dyDescent="0.25">
      <c r="A247" s="12" t="s">
        <v>135</v>
      </c>
      <c r="B247" s="12" t="s">
        <v>136</v>
      </c>
      <c r="C247" s="12" t="s">
        <v>136</v>
      </c>
      <c r="D247" s="31" t="s">
        <v>585</v>
      </c>
      <c r="E247" s="31" t="s">
        <v>153</v>
      </c>
      <c r="F247" s="31" t="s">
        <v>175</v>
      </c>
      <c r="G247" s="31" t="s">
        <v>153</v>
      </c>
      <c r="H247" s="31" t="s">
        <v>153</v>
      </c>
      <c r="I247" s="31" t="s">
        <v>153</v>
      </c>
      <c r="J247" s="31" t="s">
        <v>153</v>
      </c>
      <c r="K247" s="31" t="s">
        <v>153</v>
      </c>
      <c r="L247" s="31">
        <f>VALUE(0)</f>
        <v>0</v>
      </c>
      <c r="M247" s="31">
        <f>VALUE(8)</f>
        <v>8</v>
      </c>
      <c r="N247" s="31">
        <f>VALUE(0)</f>
        <v>0</v>
      </c>
      <c r="O247" s="31">
        <f>VALUE(8)</f>
        <v>8</v>
      </c>
      <c r="P247" s="31">
        <f>VALUE(10)</f>
        <v>10</v>
      </c>
      <c r="Q247" s="31">
        <f>VALUE(10)</f>
        <v>10</v>
      </c>
      <c r="R247" s="31">
        <f>VALUE(9)</f>
        <v>9</v>
      </c>
      <c r="S247" s="31">
        <f>VALUE(9)</f>
        <v>9</v>
      </c>
      <c r="T247" s="31">
        <f>VALUE(9)</f>
        <v>9</v>
      </c>
      <c r="U247" s="31">
        <f>VALUE(0)</f>
        <v>0</v>
      </c>
      <c r="V247" s="31">
        <f>VALUE(0)</f>
        <v>0</v>
      </c>
      <c r="W247" s="31">
        <f>VALUE(9)</f>
        <v>9</v>
      </c>
      <c r="X247" s="31">
        <f>VALUE(10)</f>
        <v>10</v>
      </c>
      <c r="Y247" s="31">
        <f>VALUE(10)</f>
        <v>10</v>
      </c>
      <c r="Z247" s="31">
        <f>VALUE(10)</f>
        <v>10</v>
      </c>
      <c r="AA247" s="31">
        <f>VALUE(8)</f>
        <v>8</v>
      </c>
      <c r="AB247" s="31">
        <f>VALUE(0)</f>
        <v>0</v>
      </c>
      <c r="AC247" s="31">
        <f>VALUE(8)</f>
        <v>8</v>
      </c>
      <c r="AD247" s="31">
        <f>VALUE(10)</f>
        <v>10</v>
      </c>
      <c r="AE247" s="31">
        <f>VALUE(10)</f>
        <v>10</v>
      </c>
      <c r="AF247" s="31">
        <f>VALUE(11)</f>
        <v>11</v>
      </c>
      <c r="AG247" s="31">
        <f>VALUE(11)</f>
        <v>11</v>
      </c>
      <c r="AH247" s="31">
        <f>VALUE(10)</f>
        <v>10</v>
      </c>
      <c r="AI247" s="31">
        <f>VALUE(0)</f>
        <v>0</v>
      </c>
      <c r="AJ247" s="31">
        <f>VALUE(10)</f>
        <v>10</v>
      </c>
      <c r="AK247" s="31">
        <f>VALUE(10)</f>
        <v>10</v>
      </c>
      <c r="AL247" s="31">
        <f>VALUE(10)</f>
        <v>10</v>
      </c>
      <c r="AM247" s="31">
        <f>VALUE(10)</f>
        <v>10</v>
      </c>
      <c r="AN247" s="31">
        <f>VALUE(10)</f>
        <v>10</v>
      </c>
      <c r="AO247" s="31">
        <f>VALUE(9)</f>
        <v>9</v>
      </c>
      <c r="AP247" s="31">
        <v>0</v>
      </c>
      <c r="AQ247" s="31">
        <v>0</v>
      </c>
      <c r="AR247" s="31">
        <v>0</v>
      </c>
      <c r="AS247" s="31">
        <v>0</v>
      </c>
      <c r="AT247" s="31">
        <v>0</v>
      </c>
      <c r="AU247" s="31">
        <v>0</v>
      </c>
      <c r="AV247" s="31">
        <v>0</v>
      </c>
      <c r="AW247" s="31">
        <v>0</v>
      </c>
      <c r="AX247" s="31">
        <v>0</v>
      </c>
      <c r="AY247" s="31">
        <v>0</v>
      </c>
      <c r="AZ247" s="31">
        <v>0</v>
      </c>
      <c r="BA247" s="31">
        <v>0</v>
      </c>
      <c r="BB247" s="31">
        <v>0</v>
      </c>
      <c r="BC247" s="31">
        <v>0</v>
      </c>
      <c r="BD247" s="31">
        <v>0</v>
      </c>
      <c r="BE247" s="31">
        <v>0</v>
      </c>
      <c r="BF247" s="31">
        <v>0</v>
      </c>
      <c r="BG247" s="31">
        <v>0</v>
      </c>
      <c r="BH247" s="31">
        <v>0</v>
      </c>
      <c r="BI247" s="31">
        <v>0</v>
      </c>
      <c r="BJ247" s="31">
        <v>0</v>
      </c>
      <c r="BK247" s="12">
        <v>0</v>
      </c>
      <c r="BL247" s="12">
        <v>0</v>
      </c>
      <c r="BM247" s="12">
        <v>0</v>
      </c>
      <c r="BN247" s="12"/>
      <c r="BO247" s="12">
        <v>0</v>
      </c>
      <c r="BP247" s="12">
        <v>0</v>
      </c>
      <c r="BQ247" s="12">
        <v>0</v>
      </c>
      <c r="BR247" s="12">
        <v>0</v>
      </c>
      <c r="BS247" s="12">
        <v>0</v>
      </c>
      <c r="BT247" s="12">
        <v>0</v>
      </c>
      <c r="BU247" s="12">
        <v>0</v>
      </c>
      <c r="BV247" s="12">
        <v>0</v>
      </c>
      <c r="BW247" s="12">
        <v>0</v>
      </c>
      <c r="BX247" s="12">
        <v>0</v>
      </c>
      <c r="BY247" s="12">
        <v>0</v>
      </c>
      <c r="BZ247" s="12">
        <v>0</v>
      </c>
      <c r="CA247" s="12">
        <v>0</v>
      </c>
    </row>
    <row r="248" spans="1:79" x14ac:dyDescent="0.2">
      <c r="A248" s="12" t="s">
        <v>137</v>
      </c>
      <c r="B248" s="12" t="s">
        <v>138</v>
      </c>
      <c r="C248" s="12" t="s">
        <v>138</v>
      </c>
      <c r="D248" s="22" t="s">
        <v>491</v>
      </c>
      <c r="E248" s="22" t="s">
        <v>161</v>
      </c>
      <c r="F248" s="22" t="s">
        <v>986</v>
      </c>
      <c r="G248" s="22" t="s">
        <v>987</v>
      </c>
      <c r="H248" s="22" t="s">
        <v>150</v>
      </c>
      <c r="I248" s="22" t="s">
        <v>151</v>
      </c>
      <c r="J248" s="22" t="s">
        <v>162</v>
      </c>
      <c r="K248" s="22" t="s">
        <v>93</v>
      </c>
      <c r="L248" s="54" t="s">
        <v>153</v>
      </c>
      <c r="M248" s="23" t="s">
        <v>153</v>
      </c>
      <c r="N248" s="24" t="s">
        <v>153</v>
      </c>
      <c r="O248" s="23" t="s">
        <v>153</v>
      </c>
      <c r="P248" s="23" t="s">
        <v>153</v>
      </c>
      <c r="Q248" s="23" t="s">
        <v>153</v>
      </c>
      <c r="R248" s="23" t="s">
        <v>153</v>
      </c>
      <c r="S248" s="23" t="s">
        <v>153</v>
      </c>
      <c r="T248" s="23" t="s">
        <v>153</v>
      </c>
      <c r="U248" s="24" t="s">
        <v>153</v>
      </c>
      <c r="V248" s="54" t="s">
        <v>156</v>
      </c>
      <c r="W248" s="24" t="s">
        <v>156</v>
      </c>
      <c r="X248" s="28" t="s">
        <v>163</v>
      </c>
      <c r="Y248" s="28" t="s">
        <v>163</v>
      </c>
      <c r="Z248" s="23" t="s">
        <v>153</v>
      </c>
      <c r="AA248" s="23" t="s">
        <v>153</v>
      </c>
      <c r="AB248" s="24" t="s">
        <v>153</v>
      </c>
      <c r="AC248" s="23" t="s">
        <v>153</v>
      </c>
      <c r="AD248" s="23" t="s">
        <v>153</v>
      </c>
      <c r="AE248" s="23" t="s">
        <v>153</v>
      </c>
      <c r="AF248" s="23" t="s">
        <v>153</v>
      </c>
      <c r="AG248" s="23" t="s">
        <v>153</v>
      </c>
      <c r="AH248" s="23" t="s">
        <v>153</v>
      </c>
      <c r="AI248" s="24" t="s">
        <v>153</v>
      </c>
      <c r="AJ248" s="23" t="s">
        <v>153</v>
      </c>
      <c r="AK248" s="23" t="s">
        <v>153</v>
      </c>
      <c r="AL248" s="23" t="s">
        <v>153</v>
      </c>
      <c r="AM248" s="23" t="s">
        <v>153</v>
      </c>
      <c r="AN248" s="23" t="s">
        <v>153</v>
      </c>
      <c r="AO248" s="23" t="s">
        <v>153</v>
      </c>
      <c r="AP248" s="23">
        <f>VALUE(0)</f>
        <v>0</v>
      </c>
      <c r="AQ248" s="23">
        <f>VALUE(0)</f>
        <v>0</v>
      </c>
      <c r="AR248" s="23">
        <f>VALUE(0)</f>
        <v>0</v>
      </c>
      <c r="AS248" s="23">
        <f>VALUE(0)</f>
        <v>0</v>
      </c>
      <c r="AT248" s="23">
        <f>VALUE(0)</f>
        <v>0</v>
      </c>
      <c r="AU248" s="23">
        <f>VALUE(2)</f>
        <v>2</v>
      </c>
      <c r="AV248" s="23">
        <f>VALUE(2)</f>
        <v>2</v>
      </c>
      <c r="AW248" s="23">
        <f>VALUE(0)</f>
        <v>0</v>
      </c>
      <c r="AX248" s="23" t="s">
        <v>158</v>
      </c>
      <c r="AY248" s="23" t="s">
        <v>507</v>
      </c>
      <c r="AZ248" s="23">
        <f>VALUE(0)</f>
        <v>0</v>
      </c>
      <c r="BA248" s="23">
        <f>VALUE(0)</f>
        <v>0</v>
      </c>
      <c r="BB248" s="23">
        <f>VALUE(0)</f>
        <v>0</v>
      </c>
      <c r="BC248" s="23">
        <f>VALUE(0)</f>
        <v>0</v>
      </c>
      <c r="BD248" s="23">
        <f>VALUE(0)</f>
        <v>0</v>
      </c>
      <c r="BE248" s="23">
        <f>VALUE(0)</f>
        <v>0</v>
      </c>
      <c r="BF248" s="23">
        <f>VALUE(0)</f>
        <v>0</v>
      </c>
      <c r="BG248" s="23">
        <f>VALUE(0)</f>
        <v>0</v>
      </c>
      <c r="BH248" s="23">
        <f>VALUE(0)</f>
        <v>0</v>
      </c>
      <c r="BI248" s="23">
        <f>VALUE(0)</f>
        <v>0</v>
      </c>
      <c r="BJ248" s="23">
        <f>VALUE(0)</f>
        <v>0</v>
      </c>
      <c r="BK248" s="12">
        <f>$AX$248*24</f>
        <v>11.666666666666666</v>
      </c>
      <c r="BL248" s="12">
        <f>$AY$248*24</f>
        <v>1.9333333333333336</v>
      </c>
      <c r="BM248" s="12">
        <f>$BJ$248*24</f>
        <v>0</v>
      </c>
      <c r="BN248" s="12">
        <f>VALUE($I$248)/100</f>
        <v>1</v>
      </c>
      <c r="BO248" s="12">
        <v>0</v>
      </c>
      <c r="BP248" s="12">
        <v>0</v>
      </c>
      <c r="BQ248" s="12">
        <v>0</v>
      </c>
      <c r="BR248" s="12">
        <v>0</v>
      </c>
      <c r="BS248" s="12">
        <v>0</v>
      </c>
      <c r="BT248" s="12">
        <v>0</v>
      </c>
      <c r="BU248" s="12">
        <v>0</v>
      </c>
      <c r="BV248" s="12">
        <v>0</v>
      </c>
      <c r="BW248" s="12">
        <v>0</v>
      </c>
      <c r="BX248" s="12">
        <v>0</v>
      </c>
      <c r="BY248" s="12">
        <v>0</v>
      </c>
      <c r="BZ248" s="12">
        <v>0</v>
      </c>
      <c r="CA248" s="12">
        <v>0</v>
      </c>
    </row>
    <row r="249" spans="1:79" x14ac:dyDescent="0.2">
      <c r="A249" s="12" t="s">
        <v>137</v>
      </c>
      <c r="B249" s="12" t="s">
        <v>138</v>
      </c>
      <c r="C249" s="12" t="s">
        <v>138</v>
      </c>
      <c r="D249" s="22" t="s">
        <v>492</v>
      </c>
      <c r="E249" s="22" t="s">
        <v>161</v>
      </c>
      <c r="F249" s="22" t="s">
        <v>988</v>
      </c>
      <c r="G249" s="22" t="s">
        <v>989</v>
      </c>
      <c r="H249" s="22" t="s">
        <v>150</v>
      </c>
      <c r="I249" s="22" t="s">
        <v>151</v>
      </c>
      <c r="J249" s="22" t="s">
        <v>162</v>
      </c>
      <c r="K249" s="22" t="s">
        <v>93</v>
      </c>
      <c r="L249" s="54" t="s">
        <v>153</v>
      </c>
      <c r="M249" s="28" t="s">
        <v>163</v>
      </c>
      <c r="N249" s="24" t="s">
        <v>153</v>
      </c>
      <c r="O249" s="28" t="s">
        <v>163</v>
      </c>
      <c r="P249" s="28" t="s">
        <v>163</v>
      </c>
      <c r="Q249" s="23" t="s">
        <v>153</v>
      </c>
      <c r="R249" s="23" t="s">
        <v>153</v>
      </c>
      <c r="S249" s="23" t="s">
        <v>153</v>
      </c>
      <c r="T249" s="23" t="s">
        <v>153</v>
      </c>
      <c r="U249" s="24" t="s">
        <v>153</v>
      </c>
      <c r="V249" s="54" t="s">
        <v>153</v>
      </c>
      <c r="W249" s="30" t="s">
        <v>28</v>
      </c>
      <c r="X249" s="23" t="s">
        <v>153</v>
      </c>
      <c r="Y249" s="23" t="s">
        <v>153</v>
      </c>
      <c r="Z249" s="23" t="s">
        <v>153</v>
      </c>
      <c r="AA249" s="23" t="s">
        <v>153</v>
      </c>
      <c r="AB249" s="24" t="s">
        <v>153</v>
      </c>
      <c r="AC249" s="23" t="s">
        <v>153</v>
      </c>
      <c r="AD249" s="23" t="s">
        <v>153</v>
      </c>
      <c r="AE249" s="24" t="s">
        <v>156</v>
      </c>
      <c r="AF249" s="24" t="s">
        <v>156</v>
      </c>
      <c r="AG249" s="23" t="s">
        <v>153</v>
      </c>
      <c r="AH249" s="23" t="s">
        <v>153</v>
      </c>
      <c r="AI249" s="24" t="s">
        <v>153</v>
      </c>
      <c r="AJ249" s="23" t="s">
        <v>153</v>
      </c>
      <c r="AK249" s="23" t="s">
        <v>153</v>
      </c>
      <c r="AL249" s="23" t="s">
        <v>153</v>
      </c>
      <c r="AM249" s="23" t="s">
        <v>153</v>
      </c>
      <c r="AN249" s="23" t="s">
        <v>153</v>
      </c>
      <c r="AO249" s="23" t="s">
        <v>153</v>
      </c>
      <c r="AP249" s="23">
        <f>VALUE(0)</f>
        <v>0</v>
      </c>
      <c r="AQ249" s="23">
        <f>VALUE(0)</f>
        <v>0</v>
      </c>
      <c r="AR249" s="23">
        <f>VALUE(0)</f>
        <v>0</v>
      </c>
      <c r="AS249" s="23">
        <f>VALUE(0)</f>
        <v>0</v>
      </c>
      <c r="AT249" s="23">
        <f>VALUE(0)</f>
        <v>0</v>
      </c>
      <c r="AU249" s="23">
        <f>VALUE(3)</f>
        <v>3</v>
      </c>
      <c r="AV249" s="23">
        <f>VALUE(2)</f>
        <v>2</v>
      </c>
      <c r="AW249" s="23">
        <f>VALUE(0)</f>
        <v>0</v>
      </c>
      <c r="AX249" s="23" t="s">
        <v>445</v>
      </c>
      <c r="AY249" s="23" t="s">
        <v>508</v>
      </c>
      <c r="AZ249" s="23">
        <f>VALUE(0)</f>
        <v>0</v>
      </c>
      <c r="BA249" s="23">
        <f>VALUE(0)</f>
        <v>0</v>
      </c>
      <c r="BB249" s="23">
        <f>VALUE(0)</f>
        <v>0</v>
      </c>
      <c r="BC249" s="23">
        <f>VALUE(0)</f>
        <v>0</v>
      </c>
      <c r="BD249" s="23">
        <f>VALUE(0)</f>
        <v>0</v>
      </c>
      <c r="BE249" s="23">
        <f>VALUE(0)</f>
        <v>0</v>
      </c>
      <c r="BF249" s="23">
        <f>VALUE(0)</f>
        <v>0</v>
      </c>
      <c r="BG249" s="23">
        <f>VALUE(0)</f>
        <v>0</v>
      </c>
      <c r="BH249" s="23">
        <f>VALUE(0)</f>
        <v>0</v>
      </c>
      <c r="BI249" s="23">
        <f>VALUE(0)</f>
        <v>0</v>
      </c>
      <c r="BJ249" s="23">
        <f>VALUE(0)</f>
        <v>0</v>
      </c>
      <c r="BK249" s="12">
        <f>$AX$249*24</f>
        <v>17.5</v>
      </c>
      <c r="BL249" s="12">
        <f>$AY$249*24</f>
        <v>6.35</v>
      </c>
      <c r="BM249" s="12">
        <f>$BJ$249*24</f>
        <v>0</v>
      </c>
      <c r="BN249" s="12">
        <f>VALUE($I$249)/100</f>
        <v>1</v>
      </c>
      <c r="BO249" s="12">
        <v>0</v>
      </c>
      <c r="BP249" s="12">
        <v>0</v>
      </c>
      <c r="BQ249" s="12">
        <v>1</v>
      </c>
      <c r="BR249" s="12">
        <v>0</v>
      </c>
      <c r="BS249" s="12">
        <v>0</v>
      </c>
      <c r="BT249" s="12">
        <v>0</v>
      </c>
      <c r="BU249" s="12">
        <v>0</v>
      </c>
      <c r="BV249" s="12">
        <v>0</v>
      </c>
      <c r="BW249" s="12">
        <v>0</v>
      </c>
      <c r="BX249" s="12">
        <v>0</v>
      </c>
      <c r="BY249" s="12">
        <v>0</v>
      </c>
      <c r="BZ249" s="12">
        <v>0</v>
      </c>
      <c r="CA249" s="12">
        <v>0</v>
      </c>
    </row>
    <row r="250" spans="1:79" x14ac:dyDescent="0.2">
      <c r="A250" s="12" t="s">
        <v>137</v>
      </c>
      <c r="B250" s="12" t="s">
        <v>138</v>
      </c>
      <c r="C250" s="12" t="s">
        <v>138</v>
      </c>
      <c r="D250" s="22" t="s">
        <v>500</v>
      </c>
      <c r="E250" s="22" t="s">
        <v>161</v>
      </c>
      <c r="F250" s="22" t="s">
        <v>1269</v>
      </c>
      <c r="G250" s="22" t="s">
        <v>990</v>
      </c>
      <c r="H250" s="22" t="s">
        <v>166</v>
      </c>
      <c r="I250" s="22" t="s">
        <v>151</v>
      </c>
      <c r="J250" s="22" t="s">
        <v>162</v>
      </c>
      <c r="K250" s="22" t="s">
        <v>93</v>
      </c>
      <c r="L250" s="54" t="s">
        <v>153</v>
      </c>
      <c r="M250" s="23" t="s">
        <v>153</v>
      </c>
      <c r="N250" s="24" t="s">
        <v>153</v>
      </c>
      <c r="O250" s="23" t="s">
        <v>153</v>
      </c>
      <c r="P250" s="23" t="s">
        <v>153</v>
      </c>
      <c r="Q250" s="23" t="s">
        <v>153</v>
      </c>
      <c r="R250" s="23" t="s">
        <v>153</v>
      </c>
      <c r="S250" s="23" t="s">
        <v>153</v>
      </c>
      <c r="T250" s="23" t="s">
        <v>153</v>
      </c>
      <c r="U250" s="24" t="s">
        <v>153</v>
      </c>
      <c r="V250" s="54" t="s">
        <v>153</v>
      </c>
      <c r="W250" s="23" t="s">
        <v>153</v>
      </c>
      <c r="X250" s="23" t="s">
        <v>153</v>
      </c>
      <c r="Y250" s="23" t="s">
        <v>153</v>
      </c>
      <c r="Z250" s="24" t="s">
        <v>156</v>
      </c>
      <c r="AA250" s="24" t="s">
        <v>156</v>
      </c>
      <c r="AB250" s="24" t="s">
        <v>153</v>
      </c>
      <c r="AC250" s="28" t="s">
        <v>163</v>
      </c>
      <c r="AD250" s="28" t="s">
        <v>163</v>
      </c>
      <c r="AE250" s="28" t="s">
        <v>163</v>
      </c>
      <c r="AF250" s="28" t="s">
        <v>163</v>
      </c>
      <c r="AG250" s="28" t="s">
        <v>163</v>
      </c>
      <c r="AH250" s="28" t="s">
        <v>163</v>
      </c>
      <c r="AI250" s="24" t="s">
        <v>153</v>
      </c>
      <c r="AJ250" s="23" t="s">
        <v>153</v>
      </c>
      <c r="AK250" s="23" t="s">
        <v>153</v>
      </c>
      <c r="AL250" s="23" t="s">
        <v>153</v>
      </c>
      <c r="AM250" s="23" t="s">
        <v>153</v>
      </c>
      <c r="AN250" s="23" t="s">
        <v>153</v>
      </c>
      <c r="AO250" s="23" t="s">
        <v>153</v>
      </c>
      <c r="AP250" s="23">
        <f>VALUE(0)</f>
        <v>0</v>
      </c>
      <c r="AQ250" s="23">
        <f>VALUE(0)</f>
        <v>0</v>
      </c>
      <c r="AR250" s="23">
        <f>VALUE(0)</f>
        <v>0</v>
      </c>
      <c r="AS250" s="23">
        <f>VALUE(0)</f>
        <v>0</v>
      </c>
      <c r="AT250" s="23">
        <f>VALUE(0)</f>
        <v>0</v>
      </c>
      <c r="AU250" s="23">
        <f>VALUE(6)</f>
        <v>6</v>
      </c>
      <c r="AV250" s="23">
        <f>VALUE(2)</f>
        <v>2</v>
      </c>
      <c r="AW250" s="23">
        <f>VALUE(1)</f>
        <v>1</v>
      </c>
      <c r="AX250" s="23" t="s">
        <v>394</v>
      </c>
      <c r="AY250" s="23">
        <f>VALUE(0)</f>
        <v>0</v>
      </c>
      <c r="AZ250" s="23">
        <f>VALUE(0)</f>
        <v>0</v>
      </c>
      <c r="BA250" s="23">
        <f>VALUE(0)</f>
        <v>0</v>
      </c>
      <c r="BB250" s="23">
        <f>VALUE(0)</f>
        <v>0</v>
      </c>
      <c r="BC250" s="23">
        <f>VALUE(0)</f>
        <v>0</v>
      </c>
      <c r="BD250" s="23">
        <f>VALUE(0)</f>
        <v>0</v>
      </c>
      <c r="BE250" s="23">
        <f>VALUE(0)</f>
        <v>0</v>
      </c>
      <c r="BF250" s="23">
        <f>VALUE(0)</f>
        <v>0</v>
      </c>
      <c r="BG250" s="23">
        <f>VALUE(0)</f>
        <v>0</v>
      </c>
      <c r="BH250" s="23">
        <f>VALUE(0)</f>
        <v>0</v>
      </c>
      <c r="BI250" s="23">
        <f>VALUE(0)</f>
        <v>0</v>
      </c>
      <c r="BJ250" s="23">
        <f>VALUE(0)</f>
        <v>0</v>
      </c>
      <c r="BK250" s="12">
        <f>$AX$250*24</f>
        <v>9.3333333333333339</v>
      </c>
      <c r="BL250" s="12">
        <f>$AY$250*24</f>
        <v>0</v>
      </c>
      <c r="BM250" s="12">
        <f>$BJ$250*24</f>
        <v>0</v>
      </c>
      <c r="BN250" s="12">
        <f>VALUE($I$250)/100</f>
        <v>1</v>
      </c>
      <c r="BO250" s="12">
        <v>0</v>
      </c>
      <c r="BP250" s="12">
        <v>0</v>
      </c>
      <c r="BQ250" s="12">
        <v>0</v>
      </c>
      <c r="BR250" s="12">
        <v>0</v>
      </c>
      <c r="BS250" s="12">
        <v>0</v>
      </c>
      <c r="BT250" s="12">
        <v>0</v>
      </c>
      <c r="BU250" s="12">
        <v>0</v>
      </c>
      <c r="BV250" s="12">
        <v>0</v>
      </c>
      <c r="BW250" s="12">
        <v>0</v>
      </c>
      <c r="BX250" s="12">
        <v>0</v>
      </c>
      <c r="BY250" s="12">
        <v>0</v>
      </c>
      <c r="BZ250" s="12">
        <v>0</v>
      </c>
      <c r="CA250" s="12">
        <v>0</v>
      </c>
    </row>
    <row r="251" spans="1:79" x14ac:dyDescent="0.2">
      <c r="A251" s="12" t="s">
        <v>137</v>
      </c>
      <c r="B251" s="12" t="s">
        <v>138</v>
      </c>
      <c r="C251" s="12" t="s">
        <v>138</v>
      </c>
      <c r="D251" s="22" t="s">
        <v>489</v>
      </c>
      <c r="E251" s="22" t="s">
        <v>161</v>
      </c>
      <c r="F251" s="22" t="s">
        <v>991</v>
      </c>
      <c r="G251" s="22" t="s">
        <v>992</v>
      </c>
      <c r="H251" s="22" t="s">
        <v>150</v>
      </c>
      <c r="I251" s="22" t="s">
        <v>151</v>
      </c>
      <c r="J251" s="22" t="s">
        <v>162</v>
      </c>
      <c r="K251" s="22" t="s">
        <v>93</v>
      </c>
      <c r="L251" s="54" t="s">
        <v>153</v>
      </c>
      <c r="M251" s="23" t="s">
        <v>153</v>
      </c>
      <c r="N251" s="24" t="s">
        <v>153</v>
      </c>
      <c r="O251" s="23" t="s">
        <v>153</v>
      </c>
      <c r="P251" s="23" t="s">
        <v>153</v>
      </c>
      <c r="Q251" s="23" t="s">
        <v>153</v>
      </c>
      <c r="R251" s="23" t="s">
        <v>153</v>
      </c>
      <c r="S251" s="23" t="s">
        <v>153</v>
      </c>
      <c r="T251" s="23" t="s">
        <v>153</v>
      </c>
      <c r="U251" s="24" t="s">
        <v>153</v>
      </c>
      <c r="V251" s="54" t="s">
        <v>153</v>
      </c>
      <c r="W251" s="23" t="s">
        <v>153</v>
      </c>
      <c r="X251" s="23" t="s">
        <v>153</v>
      </c>
      <c r="Y251" s="23" t="s">
        <v>153</v>
      </c>
      <c r="Z251" s="23" t="s">
        <v>153</v>
      </c>
      <c r="AA251" s="23" t="s">
        <v>153</v>
      </c>
      <c r="AB251" s="24" t="s">
        <v>153</v>
      </c>
      <c r="AC251" s="23" t="s">
        <v>153</v>
      </c>
      <c r="AD251" s="23" t="s">
        <v>153</v>
      </c>
      <c r="AE251" s="23" t="s">
        <v>153</v>
      </c>
      <c r="AF251" s="23" t="s">
        <v>153</v>
      </c>
      <c r="AG251" s="23" t="s">
        <v>153</v>
      </c>
      <c r="AH251" s="23" t="s">
        <v>153</v>
      </c>
      <c r="AI251" s="24" t="s">
        <v>153</v>
      </c>
      <c r="AJ251" s="24" t="s">
        <v>156</v>
      </c>
      <c r="AK251" s="24" t="s">
        <v>156</v>
      </c>
      <c r="AL251" s="24" t="s">
        <v>156</v>
      </c>
      <c r="AM251" s="24" t="s">
        <v>156</v>
      </c>
      <c r="AN251" s="23" t="s">
        <v>153</v>
      </c>
      <c r="AO251" s="23" t="s">
        <v>153</v>
      </c>
      <c r="AP251" s="23">
        <f>VALUE(0)</f>
        <v>0</v>
      </c>
      <c r="AQ251" s="23">
        <f>VALUE(0)</f>
        <v>0</v>
      </c>
      <c r="AR251" s="23">
        <f>VALUE(0)</f>
        <v>0</v>
      </c>
      <c r="AS251" s="23">
        <f>VALUE(0)</f>
        <v>0</v>
      </c>
      <c r="AT251" s="23">
        <f>VALUE(0)</f>
        <v>0</v>
      </c>
      <c r="AU251" s="23">
        <f>VALUE(0)</f>
        <v>0</v>
      </c>
      <c r="AV251" s="23">
        <f>VALUE(0)</f>
        <v>0</v>
      </c>
      <c r="AW251" s="23">
        <f>VALUE(0)</f>
        <v>0</v>
      </c>
      <c r="AX251" s="23" t="s">
        <v>290</v>
      </c>
      <c r="AY251" s="23" t="s">
        <v>509</v>
      </c>
      <c r="AZ251" s="23">
        <f>VALUE(0)</f>
        <v>0</v>
      </c>
      <c r="BA251" s="23">
        <f>VALUE(0)</f>
        <v>0</v>
      </c>
      <c r="BB251" s="23">
        <f>VALUE(0)</f>
        <v>0</v>
      </c>
      <c r="BC251" s="23">
        <f>VALUE(0)</f>
        <v>0</v>
      </c>
      <c r="BD251" s="23">
        <f>VALUE(0)</f>
        <v>0</v>
      </c>
      <c r="BE251" s="23">
        <f>VALUE(0)</f>
        <v>0</v>
      </c>
      <c r="BF251" s="23">
        <f>VALUE(0)</f>
        <v>0</v>
      </c>
      <c r="BG251" s="23">
        <f>VALUE(0)</f>
        <v>0</v>
      </c>
      <c r="BH251" s="23">
        <f>VALUE(0)</f>
        <v>0</v>
      </c>
      <c r="BI251" s="23">
        <f>VALUE(0)</f>
        <v>0</v>
      </c>
      <c r="BJ251" s="23">
        <f>VALUE(0)</f>
        <v>0</v>
      </c>
      <c r="BK251" s="12">
        <f>$AX$251*24</f>
        <v>4.4000000000000004</v>
      </c>
      <c r="BL251" s="12">
        <f>$AY$251*24</f>
        <v>5.95</v>
      </c>
      <c r="BM251" s="12">
        <f>$BJ$251*24</f>
        <v>0</v>
      </c>
      <c r="BN251" s="12">
        <f>VALUE($I$251)/100</f>
        <v>1</v>
      </c>
      <c r="BO251" s="12">
        <v>0</v>
      </c>
      <c r="BP251" s="12">
        <v>0</v>
      </c>
      <c r="BQ251" s="12">
        <v>0</v>
      </c>
      <c r="BR251" s="12">
        <v>0</v>
      </c>
      <c r="BS251" s="12">
        <v>0</v>
      </c>
      <c r="BT251" s="12">
        <v>0</v>
      </c>
      <c r="BU251" s="12">
        <v>0</v>
      </c>
      <c r="BV251" s="12">
        <v>0</v>
      </c>
      <c r="BW251" s="12">
        <v>0</v>
      </c>
      <c r="BX251" s="12">
        <v>0</v>
      </c>
      <c r="BY251" s="12">
        <v>0</v>
      </c>
      <c r="BZ251" s="12">
        <v>0</v>
      </c>
      <c r="CA251" s="12">
        <v>0</v>
      </c>
    </row>
    <row r="252" spans="1:79" x14ac:dyDescent="0.2">
      <c r="A252" s="12" t="s">
        <v>137</v>
      </c>
      <c r="B252" s="12" t="s">
        <v>138</v>
      </c>
      <c r="C252" s="12" t="s">
        <v>138</v>
      </c>
      <c r="D252" s="22" t="s">
        <v>510</v>
      </c>
      <c r="E252" s="22" t="s">
        <v>161</v>
      </c>
      <c r="F252" s="22" t="s">
        <v>993</v>
      </c>
      <c r="G252" s="22" t="s">
        <v>994</v>
      </c>
      <c r="H252" s="22" t="s">
        <v>166</v>
      </c>
      <c r="I252" s="22" t="s">
        <v>151</v>
      </c>
      <c r="J252" s="22" t="s">
        <v>162</v>
      </c>
      <c r="K252" s="22" t="s">
        <v>93</v>
      </c>
      <c r="L252" s="54" t="s">
        <v>156</v>
      </c>
      <c r="M252" s="23" t="s">
        <v>153</v>
      </c>
      <c r="N252" s="24" t="s">
        <v>153</v>
      </c>
      <c r="O252" s="23" t="s">
        <v>153</v>
      </c>
      <c r="P252" s="23" t="s">
        <v>153</v>
      </c>
      <c r="Q252" s="23" t="s">
        <v>153</v>
      </c>
      <c r="R252" s="23" t="s">
        <v>153</v>
      </c>
      <c r="S252" s="23" t="s">
        <v>153</v>
      </c>
      <c r="T252" s="23" t="s">
        <v>153</v>
      </c>
      <c r="U252" s="24" t="s">
        <v>153</v>
      </c>
      <c r="V252" s="54" t="s">
        <v>153</v>
      </c>
      <c r="W252" s="23" t="s">
        <v>153</v>
      </c>
      <c r="X252" s="23" t="s">
        <v>153</v>
      </c>
      <c r="Y252" s="23" t="s">
        <v>153</v>
      </c>
      <c r="Z252" s="23" t="s">
        <v>153</v>
      </c>
      <c r="AA252" s="24" t="s">
        <v>156</v>
      </c>
      <c r="AB252" s="24" t="s">
        <v>153</v>
      </c>
      <c r="AC252" s="24" t="s">
        <v>156</v>
      </c>
      <c r="AD252" s="24" t="s">
        <v>156</v>
      </c>
      <c r="AE252" s="23" t="s">
        <v>153</v>
      </c>
      <c r="AF252" s="23" t="s">
        <v>153</v>
      </c>
      <c r="AG252" s="23" t="s">
        <v>153</v>
      </c>
      <c r="AH252" s="23" t="s">
        <v>153</v>
      </c>
      <c r="AI252" s="24" t="s">
        <v>153</v>
      </c>
      <c r="AJ252" s="23" t="s">
        <v>153</v>
      </c>
      <c r="AK252" s="23" t="s">
        <v>153</v>
      </c>
      <c r="AL252" s="23" t="s">
        <v>153</v>
      </c>
      <c r="AM252" s="23" t="s">
        <v>153</v>
      </c>
      <c r="AN252" s="23" t="s">
        <v>153</v>
      </c>
      <c r="AO252" s="23" t="s">
        <v>153</v>
      </c>
      <c r="AP252" s="23">
        <f>VALUE(0)</f>
        <v>0</v>
      </c>
      <c r="AQ252" s="23">
        <f>VALUE(0)</f>
        <v>0</v>
      </c>
      <c r="AR252" s="23">
        <f>VALUE(0)</f>
        <v>0</v>
      </c>
      <c r="AS252" s="23">
        <f>VALUE(0)</f>
        <v>0</v>
      </c>
      <c r="AT252" s="23">
        <f>VALUE(0)</f>
        <v>0</v>
      </c>
      <c r="AU252" s="23">
        <f>VALUE(0)</f>
        <v>0</v>
      </c>
      <c r="AV252" s="23">
        <f>VALUE(2.5)</f>
        <v>2.5</v>
      </c>
      <c r="AW252" s="23">
        <f>VALUE(0)</f>
        <v>0</v>
      </c>
      <c r="AX252" s="23" t="s">
        <v>1270</v>
      </c>
      <c r="AY252" s="23">
        <f>VALUE(0)</f>
        <v>0</v>
      </c>
      <c r="AZ252" s="23">
        <f>VALUE(0)</f>
        <v>0</v>
      </c>
      <c r="BA252" s="23">
        <f>VALUE(0)</f>
        <v>0</v>
      </c>
      <c r="BB252" s="23">
        <f>VALUE(0)</f>
        <v>0</v>
      </c>
      <c r="BC252" s="23">
        <f>VALUE(0)</f>
        <v>0</v>
      </c>
      <c r="BD252" s="23">
        <f>VALUE(0)</f>
        <v>0</v>
      </c>
      <c r="BE252" s="23">
        <f>VALUE(0)</f>
        <v>0</v>
      </c>
      <c r="BF252" s="23">
        <f>VALUE(0)</f>
        <v>0</v>
      </c>
      <c r="BG252" s="23">
        <f>VALUE(0)</f>
        <v>0</v>
      </c>
      <c r="BH252" s="23">
        <f>VALUE(0)</f>
        <v>0</v>
      </c>
      <c r="BI252" s="23">
        <f>VALUE(0)</f>
        <v>0</v>
      </c>
      <c r="BJ252" s="23">
        <f>VALUE(0)</f>
        <v>0</v>
      </c>
      <c r="BK252" s="12">
        <f>$AX$252*24</f>
        <v>2</v>
      </c>
      <c r="BL252" s="12">
        <f>$AY$252*24</f>
        <v>0</v>
      </c>
      <c r="BM252" s="12">
        <f>$BJ$252*24</f>
        <v>0</v>
      </c>
      <c r="BN252" s="12">
        <f>VALUE($I$252)/100</f>
        <v>1</v>
      </c>
      <c r="BO252" s="12">
        <v>0</v>
      </c>
      <c r="BP252" s="12">
        <v>0</v>
      </c>
      <c r="BQ252" s="12">
        <v>0</v>
      </c>
      <c r="BR252" s="12">
        <v>0</v>
      </c>
      <c r="BS252" s="12">
        <v>0</v>
      </c>
      <c r="BT252" s="12">
        <v>0</v>
      </c>
      <c r="BU252" s="12">
        <v>0</v>
      </c>
      <c r="BV252" s="12">
        <v>0</v>
      </c>
      <c r="BW252" s="12">
        <v>0</v>
      </c>
      <c r="BX252" s="12">
        <v>0</v>
      </c>
      <c r="BY252" s="12">
        <v>0</v>
      </c>
      <c r="BZ252" s="12">
        <v>0</v>
      </c>
      <c r="CA252" s="12">
        <v>0</v>
      </c>
    </row>
    <row r="253" spans="1:79" x14ac:dyDescent="0.2">
      <c r="A253" s="12" t="s">
        <v>137</v>
      </c>
      <c r="B253" s="12" t="s">
        <v>138</v>
      </c>
      <c r="C253" s="12" t="s">
        <v>138</v>
      </c>
      <c r="D253" s="22" t="s">
        <v>1271</v>
      </c>
      <c r="E253" s="22" t="s">
        <v>159</v>
      </c>
      <c r="F253" s="22" t="s">
        <v>995</v>
      </c>
      <c r="G253" s="22" t="s">
        <v>996</v>
      </c>
      <c r="H253" s="22" t="s">
        <v>150</v>
      </c>
      <c r="I253" s="22" t="s">
        <v>151</v>
      </c>
      <c r="J253" s="22" t="s">
        <v>162</v>
      </c>
      <c r="K253" s="22" t="s">
        <v>93</v>
      </c>
      <c r="L253" s="54" t="s">
        <v>153</v>
      </c>
      <c r="M253" s="28" t="s">
        <v>163</v>
      </c>
      <c r="N253" s="24" t="s">
        <v>153</v>
      </c>
      <c r="O253" s="25" t="s">
        <v>511</v>
      </c>
      <c r="P253" s="25" t="s">
        <v>511</v>
      </c>
      <c r="Q253" s="24" t="s">
        <v>156</v>
      </c>
      <c r="R253" s="24" t="s">
        <v>156</v>
      </c>
      <c r="S253" s="23" t="s">
        <v>490</v>
      </c>
      <c r="T253" s="23" t="s">
        <v>490</v>
      </c>
      <c r="U253" s="24" t="s">
        <v>153</v>
      </c>
      <c r="V253" s="54" t="s">
        <v>153</v>
      </c>
      <c r="W253" s="25" t="s">
        <v>513</v>
      </c>
      <c r="X253" s="23" t="s">
        <v>511</v>
      </c>
      <c r="Y253" s="23" t="s">
        <v>511</v>
      </c>
      <c r="Z253" s="23" t="s">
        <v>500</v>
      </c>
      <c r="AA253" s="23" t="s">
        <v>500</v>
      </c>
      <c r="AB253" s="24" t="s">
        <v>153</v>
      </c>
      <c r="AC253" s="23" t="s">
        <v>500</v>
      </c>
      <c r="AD253" s="23" t="s">
        <v>500</v>
      </c>
      <c r="AE253" s="23" t="s">
        <v>500</v>
      </c>
      <c r="AF253" s="23" t="s">
        <v>500</v>
      </c>
      <c r="AG253" s="23" t="s">
        <v>500</v>
      </c>
      <c r="AH253" s="23" t="s">
        <v>500</v>
      </c>
      <c r="AI253" s="24" t="s">
        <v>153</v>
      </c>
      <c r="AJ253" s="25" t="s">
        <v>522</v>
      </c>
      <c r="AK253" s="25" t="s">
        <v>522</v>
      </c>
      <c r="AL253" s="23" t="s">
        <v>498</v>
      </c>
      <c r="AM253" s="23" t="s">
        <v>498</v>
      </c>
      <c r="AN253" s="24" t="s">
        <v>156</v>
      </c>
      <c r="AO253" s="24" t="s">
        <v>156</v>
      </c>
      <c r="AP253" s="23">
        <f>VALUE(0)</f>
        <v>0</v>
      </c>
      <c r="AQ253" s="23">
        <f>VALUE(0)</f>
        <v>0</v>
      </c>
      <c r="AR253" s="23">
        <f>VALUE(0)</f>
        <v>0</v>
      </c>
      <c r="AS253" s="23">
        <f>VALUE(0)</f>
        <v>0</v>
      </c>
      <c r="AT253" s="23">
        <f>VALUE(0)</f>
        <v>0</v>
      </c>
      <c r="AU253" s="23">
        <f>VALUE(1)</f>
        <v>1</v>
      </c>
      <c r="AV253" s="23">
        <f>VALUE(3)</f>
        <v>3</v>
      </c>
      <c r="AW253" s="23">
        <f>VALUE(0)</f>
        <v>0</v>
      </c>
      <c r="AX253" s="23" t="s">
        <v>176</v>
      </c>
      <c r="AY253" s="23">
        <f>VALUE(0)</f>
        <v>0</v>
      </c>
      <c r="AZ253" s="23">
        <f>VALUE(0)</f>
        <v>0</v>
      </c>
      <c r="BA253" s="23">
        <f>VALUE(0)</f>
        <v>0</v>
      </c>
      <c r="BB253" s="23">
        <f>VALUE(0)</f>
        <v>0</v>
      </c>
      <c r="BC253" s="23">
        <f>VALUE(0)</f>
        <v>0</v>
      </c>
      <c r="BD253" s="23">
        <f>VALUE(0)</f>
        <v>0</v>
      </c>
      <c r="BE253" s="23">
        <f>VALUE(0)</f>
        <v>0</v>
      </c>
      <c r="BF253" s="23">
        <f>VALUE(0)</f>
        <v>0</v>
      </c>
      <c r="BG253" s="23">
        <f>VALUE(0)</f>
        <v>0</v>
      </c>
      <c r="BH253" s="23">
        <f>VALUE(0)</f>
        <v>0</v>
      </c>
      <c r="BI253" s="23">
        <f>VALUE(0)</f>
        <v>0</v>
      </c>
      <c r="BJ253" s="23">
        <f>VALUE(0)</f>
        <v>0</v>
      </c>
      <c r="BK253" s="12">
        <f>$AX$253*24</f>
        <v>0</v>
      </c>
      <c r="BL253" s="12">
        <f>$AY$253*24</f>
        <v>0</v>
      </c>
      <c r="BM253" s="12">
        <f>$BJ$253*24</f>
        <v>0</v>
      </c>
      <c r="BN253" s="12">
        <f>VALUE($I$253)/100</f>
        <v>1</v>
      </c>
      <c r="BO253" s="12">
        <v>0</v>
      </c>
      <c r="BP253" s="12">
        <v>0</v>
      </c>
      <c r="BQ253" s="12">
        <v>0</v>
      </c>
      <c r="BR253" s="12">
        <v>0</v>
      </c>
      <c r="BS253" s="12">
        <v>0</v>
      </c>
      <c r="BT253" s="12">
        <v>0</v>
      </c>
      <c r="BU253" s="12">
        <v>0</v>
      </c>
      <c r="BV253" s="12">
        <v>0</v>
      </c>
      <c r="BW253" s="12">
        <v>0</v>
      </c>
      <c r="BX253" s="12">
        <v>0</v>
      </c>
      <c r="BY253" s="12">
        <v>0</v>
      </c>
      <c r="BZ253" s="12">
        <v>0</v>
      </c>
      <c r="CA253" s="12">
        <v>0</v>
      </c>
    </row>
    <row r="254" spans="1:79" x14ac:dyDescent="0.2">
      <c r="A254" s="12" t="s">
        <v>137</v>
      </c>
      <c r="B254" s="12" t="s">
        <v>138</v>
      </c>
      <c r="C254" s="12" t="s">
        <v>138</v>
      </c>
      <c r="D254" s="22" t="s">
        <v>307</v>
      </c>
      <c r="E254" s="22" t="s">
        <v>173</v>
      </c>
      <c r="F254" s="22" t="s">
        <v>997</v>
      </c>
      <c r="G254" s="22" t="s">
        <v>998</v>
      </c>
      <c r="H254" s="22" t="s">
        <v>150</v>
      </c>
      <c r="I254" s="22" t="s">
        <v>151</v>
      </c>
      <c r="J254" s="22" t="s">
        <v>162</v>
      </c>
      <c r="K254" s="22" t="s">
        <v>93</v>
      </c>
      <c r="L254" s="54" t="s">
        <v>153</v>
      </c>
      <c r="M254" s="23" t="s">
        <v>497</v>
      </c>
      <c r="N254" s="24" t="s">
        <v>153</v>
      </c>
      <c r="O254" s="28" t="s">
        <v>163</v>
      </c>
      <c r="P254" s="28" t="s">
        <v>163</v>
      </c>
      <c r="Q254" s="28" t="s">
        <v>163</v>
      </c>
      <c r="R254" s="28" t="s">
        <v>163</v>
      </c>
      <c r="S254" s="28" t="s">
        <v>163</v>
      </c>
      <c r="T254" s="28" t="s">
        <v>163</v>
      </c>
      <c r="U254" s="24" t="s">
        <v>153</v>
      </c>
      <c r="V254" s="54" t="s">
        <v>153</v>
      </c>
      <c r="W254" s="23" t="s">
        <v>492</v>
      </c>
      <c r="X254" s="24" t="s">
        <v>156</v>
      </c>
      <c r="Y254" s="24" t="s">
        <v>156</v>
      </c>
      <c r="Z254" s="25" t="s">
        <v>510</v>
      </c>
      <c r="AA254" s="23" t="s">
        <v>510</v>
      </c>
      <c r="AB254" s="24" t="s">
        <v>153</v>
      </c>
      <c r="AC254" s="23" t="s">
        <v>510</v>
      </c>
      <c r="AD254" s="23" t="s">
        <v>510</v>
      </c>
      <c r="AE254" s="23" t="s">
        <v>492</v>
      </c>
      <c r="AF254" s="23" t="s">
        <v>492</v>
      </c>
      <c r="AG254" s="23" t="s">
        <v>493</v>
      </c>
      <c r="AH254" s="23" t="s">
        <v>493</v>
      </c>
      <c r="AI254" s="24" t="s">
        <v>153</v>
      </c>
      <c r="AJ254" s="23" t="s">
        <v>489</v>
      </c>
      <c r="AK254" s="23" t="s">
        <v>489</v>
      </c>
      <c r="AL254" s="23" t="s">
        <v>489</v>
      </c>
      <c r="AM254" s="23" t="s">
        <v>489</v>
      </c>
      <c r="AN254" s="25" t="s">
        <v>513</v>
      </c>
      <c r="AO254" s="25" t="s">
        <v>513</v>
      </c>
      <c r="AP254" s="23">
        <f>VALUE(0)</f>
        <v>0</v>
      </c>
      <c r="AQ254" s="23">
        <f>VALUE(0)</f>
        <v>0</v>
      </c>
      <c r="AR254" s="23">
        <f>VALUE(0)</f>
        <v>0</v>
      </c>
      <c r="AS254" s="23">
        <f>VALUE(0)</f>
        <v>0</v>
      </c>
      <c r="AT254" s="23">
        <f>VALUE(0)</f>
        <v>0</v>
      </c>
      <c r="AU254" s="23">
        <f>VALUE(6)</f>
        <v>6</v>
      </c>
      <c r="AV254" s="23">
        <f>VALUE(2)</f>
        <v>2</v>
      </c>
      <c r="AW254" s="23">
        <f>VALUE(0)</f>
        <v>0</v>
      </c>
      <c r="AX254" s="23" t="s">
        <v>158</v>
      </c>
      <c r="AY254" s="23" t="s">
        <v>345</v>
      </c>
      <c r="AZ254" s="23">
        <f>VALUE(0)</f>
        <v>0</v>
      </c>
      <c r="BA254" s="23">
        <f>VALUE(0)</f>
        <v>0</v>
      </c>
      <c r="BB254" s="23">
        <f>VALUE(0)</f>
        <v>0</v>
      </c>
      <c r="BC254" s="23">
        <f>VALUE(0)</f>
        <v>0</v>
      </c>
      <c r="BD254" s="23">
        <f>VALUE(0)</f>
        <v>0</v>
      </c>
      <c r="BE254" s="23">
        <f>VALUE(0)</f>
        <v>0</v>
      </c>
      <c r="BF254" s="23">
        <f>VALUE(0)</f>
        <v>0</v>
      </c>
      <c r="BG254" s="23">
        <f>VALUE(0)</f>
        <v>0</v>
      </c>
      <c r="BH254" s="23">
        <f>VALUE(0)</f>
        <v>0</v>
      </c>
      <c r="BI254" s="23">
        <f>VALUE(0)</f>
        <v>0</v>
      </c>
      <c r="BJ254" s="23">
        <f>VALUE(0)</f>
        <v>0</v>
      </c>
      <c r="BK254" s="12">
        <f>$AX$254*24</f>
        <v>11.666666666666666</v>
      </c>
      <c r="BL254" s="12">
        <f>$AY$254*24</f>
        <v>0.25</v>
      </c>
      <c r="BM254" s="12">
        <f>$BJ$254*24</f>
        <v>0</v>
      </c>
      <c r="BN254" s="12">
        <f>VALUE($I$254)/100</f>
        <v>1</v>
      </c>
      <c r="BO254" s="12">
        <v>0</v>
      </c>
      <c r="BP254" s="12">
        <v>0</v>
      </c>
      <c r="BQ254" s="12">
        <v>0</v>
      </c>
      <c r="BR254" s="12">
        <v>0</v>
      </c>
      <c r="BS254" s="12">
        <v>0</v>
      </c>
      <c r="BT254" s="12">
        <v>0</v>
      </c>
      <c r="BU254" s="12">
        <v>0</v>
      </c>
      <c r="BV254" s="12">
        <v>0</v>
      </c>
      <c r="BW254" s="12">
        <v>0</v>
      </c>
      <c r="BX254" s="12">
        <v>0</v>
      </c>
      <c r="BY254" s="12">
        <v>0</v>
      </c>
      <c r="BZ254" s="12">
        <v>0</v>
      </c>
      <c r="CA254" s="12">
        <v>0</v>
      </c>
    </row>
    <row r="255" spans="1:79" x14ac:dyDescent="0.2">
      <c r="A255" s="12" t="s">
        <v>137</v>
      </c>
      <c r="B255" s="12" t="s">
        <v>138</v>
      </c>
      <c r="C255" s="12" t="s">
        <v>138</v>
      </c>
      <c r="D255" s="22" t="s">
        <v>493</v>
      </c>
      <c r="E255" s="22" t="s">
        <v>161</v>
      </c>
      <c r="F255" s="22" t="s">
        <v>999</v>
      </c>
      <c r="G255" s="22" t="s">
        <v>1000</v>
      </c>
      <c r="H255" s="22" t="s">
        <v>166</v>
      </c>
      <c r="I255" s="22" t="s">
        <v>151</v>
      </c>
      <c r="J255" s="22" t="s">
        <v>181</v>
      </c>
      <c r="K255" s="22" t="s">
        <v>93</v>
      </c>
      <c r="L255" s="54" t="s">
        <v>153</v>
      </c>
      <c r="M255" s="23" t="s">
        <v>153</v>
      </c>
      <c r="N255" s="24" t="s">
        <v>153</v>
      </c>
      <c r="O255" s="23" t="s">
        <v>153</v>
      </c>
      <c r="P255" s="23" t="s">
        <v>153</v>
      </c>
      <c r="Q255" s="23" t="s">
        <v>153</v>
      </c>
      <c r="R255" s="23" t="s">
        <v>153</v>
      </c>
      <c r="S255" s="23" t="s">
        <v>153</v>
      </c>
      <c r="T255" s="23" t="s">
        <v>153</v>
      </c>
      <c r="U255" s="24" t="s">
        <v>153</v>
      </c>
      <c r="V255" s="54" t="s">
        <v>153</v>
      </c>
      <c r="W255" s="23" t="s">
        <v>153</v>
      </c>
      <c r="X255" s="23" t="s">
        <v>153</v>
      </c>
      <c r="Y255" s="23" t="s">
        <v>153</v>
      </c>
      <c r="Z255" s="23" t="s">
        <v>153</v>
      </c>
      <c r="AA255" s="23" t="s">
        <v>153</v>
      </c>
      <c r="AB255" s="24" t="s">
        <v>153</v>
      </c>
      <c r="AC255" s="23" t="s">
        <v>153</v>
      </c>
      <c r="AD255" s="23" t="s">
        <v>153</v>
      </c>
      <c r="AE255" s="23" t="s">
        <v>153</v>
      </c>
      <c r="AF255" s="23" t="s">
        <v>153</v>
      </c>
      <c r="AG255" s="24" t="s">
        <v>156</v>
      </c>
      <c r="AH255" s="24" t="s">
        <v>156</v>
      </c>
      <c r="AI255" s="24" t="s">
        <v>153</v>
      </c>
      <c r="AJ255" s="23" t="s">
        <v>153</v>
      </c>
      <c r="AK255" s="23" t="s">
        <v>153</v>
      </c>
      <c r="AL255" s="23" t="s">
        <v>153</v>
      </c>
      <c r="AM255" s="23" t="s">
        <v>153</v>
      </c>
      <c r="AN255" s="23" t="s">
        <v>153</v>
      </c>
      <c r="AO255" s="23" t="s">
        <v>153</v>
      </c>
      <c r="AP255" s="23">
        <f>VALUE(0)</f>
        <v>0</v>
      </c>
      <c r="AQ255" s="23">
        <f>VALUE(0)</f>
        <v>0</v>
      </c>
      <c r="AR255" s="23">
        <f>VALUE(0)</f>
        <v>0</v>
      </c>
      <c r="AS255" s="23">
        <f>VALUE(0)</f>
        <v>0</v>
      </c>
      <c r="AT255" s="23">
        <f>VALUE(0)</f>
        <v>0</v>
      </c>
      <c r="AU255" s="23">
        <f>VALUE(0)</f>
        <v>0</v>
      </c>
      <c r="AV255" s="23">
        <f>VALUE(0)</f>
        <v>0</v>
      </c>
      <c r="AW255" s="23">
        <f>VALUE(0)</f>
        <v>0</v>
      </c>
      <c r="AX255" s="23" t="s">
        <v>1272</v>
      </c>
      <c r="AY255" s="23">
        <f>VALUE(0)</f>
        <v>0</v>
      </c>
      <c r="AZ255" s="23">
        <f>VALUE(0)</f>
        <v>0</v>
      </c>
      <c r="BA255" s="23">
        <f>VALUE(0)</f>
        <v>0</v>
      </c>
      <c r="BB255" s="23">
        <f>VALUE(0)</f>
        <v>0</v>
      </c>
      <c r="BC255" s="23">
        <f>VALUE(0)</f>
        <v>0</v>
      </c>
      <c r="BD255" s="23">
        <f>VALUE(0)</f>
        <v>0</v>
      </c>
      <c r="BE255" s="23">
        <f>VALUE(0)</f>
        <v>0</v>
      </c>
      <c r="BF255" s="23">
        <f>VALUE(0)</f>
        <v>0</v>
      </c>
      <c r="BG255" s="23">
        <f>VALUE(0)</f>
        <v>0</v>
      </c>
      <c r="BH255" s="23">
        <f>VALUE(0)</f>
        <v>0</v>
      </c>
      <c r="BI255" s="23">
        <f>VALUE(0)</f>
        <v>0</v>
      </c>
      <c r="BJ255" s="23">
        <f>VALUE(0)</f>
        <v>0</v>
      </c>
      <c r="BK255" s="12">
        <f>$AX$255*24</f>
        <v>18.649999999999999</v>
      </c>
      <c r="BL255" s="12">
        <f>$AY$255*24</f>
        <v>0</v>
      </c>
      <c r="BM255" s="12">
        <f>$BJ$255*24</f>
        <v>0</v>
      </c>
      <c r="BN255" s="12">
        <f>VALUE($I$255)/100</f>
        <v>1</v>
      </c>
      <c r="BO255" s="12">
        <v>0</v>
      </c>
      <c r="BP255" s="12">
        <v>0</v>
      </c>
      <c r="BQ255" s="12">
        <v>0</v>
      </c>
      <c r="BR255" s="12">
        <v>0</v>
      </c>
      <c r="BS255" s="12">
        <v>0</v>
      </c>
      <c r="BT255" s="12">
        <v>0</v>
      </c>
      <c r="BU255" s="12">
        <v>0</v>
      </c>
      <c r="BV255" s="12">
        <v>0</v>
      </c>
      <c r="BW255" s="12">
        <v>0</v>
      </c>
      <c r="BX255" s="12">
        <v>0</v>
      </c>
      <c r="BY255" s="12">
        <v>0</v>
      </c>
      <c r="BZ255" s="12">
        <v>0</v>
      </c>
      <c r="CA255" s="12">
        <v>0</v>
      </c>
    </row>
    <row r="256" spans="1:79" ht="15" x14ac:dyDescent="0.25">
      <c r="A256" s="12" t="s">
        <v>137</v>
      </c>
      <c r="B256" s="12" t="s">
        <v>138</v>
      </c>
      <c r="C256" s="12" t="s">
        <v>138</v>
      </c>
      <c r="D256" s="31" t="s">
        <v>333</v>
      </c>
      <c r="E256" s="31" t="s">
        <v>153</v>
      </c>
      <c r="F256" s="31" t="s">
        <v>175</v>
      </c>
      <c r="G256" s="31" t="s">
        <v>153</v>
      </c>
      <c r="H256" s="31" t="s">
        <v>153</v>
      </c>
      <c r="I256" s="31" t="s">
        <v>153</v>
      </c>
      <c r="J256" s="31" t="s">
        <v>153</v>
      </c>
      <c r="K256" s="31" t="s">
        <v>153</v>
      </c>
      <c r="L256" s="31">
        <f>VALUE(0)</f>
        <v>0</v>
      </c>
      <c r="M256" s="31">
        <f>VALUE(6)</f>
        <v>6</v>
      </c>
      <c r="N256" s="31">
        <f>VALUE(0)</f>
        <v>0</v>
      </c>
      <c r="O256" s="31">
        <f>VALUE(6)</f>
        <v>6</v>
      </c>
      <c r="P256" s="31">
        <f>VALUE(6)</f>
        <v>6</v>
      </c>
      <c r="Q256" s="31">
        <f>VALUE(6)</f>
        <v>6</v>
      </c>
      <c r="R256" s="31">
        <f>VALUE(6)</f>
        <v>6</v>
      </c>
      <c r="S256" s="31">
        <f>VALUE(7)</f>
        <v>7</v>
      </c>
      <c r="T256" s="31">
        <f>VALUE(7)</f>
        <v>7</v>
      </c>
      <c r="U256" s="31">
        <f>VALUE(0)</f>
        <v>0</v>
      </c>
      <c r="V256" s="31">
        <f>VALUE(0)</f>
        <v>0</v>
      </c>
      <c r="W256" s="31">
        <f>VALUE(6)</f>
        <v>6</v>
      </c>
      <c r="X256" s="31">
        <f>VALUE(6)</f>
        <v>6</v>
      </c>
      <c r="Y256" s="31">
        <f>VALUE(6)</f>
        <v>6</v>
      </c>
      <c r="Z256" s="31">
        <f>VALUE(7)</f>
        <v>7</v>
      </c>
      <c r="AA256" s="31">
        <f>VALUE(6)</f>
        <v>6</v>
      </c>
      <c r="AB256" s="31">
        <f>VALUE(0)</f>
        <v>0</v>
      </c>
      <c r="AC256" s="31">
        <f>VALUE(6)</f>
        <v>6</v>
      </c>
      <c r="AD256" s="31">
        <f>VALUE(6)</f>
        <v>6</v>
      </c>
      <c r="AE256" s="31">
        <f>VALUE(6)</f>
        <v>6</v>
      </c>
      <c r="AF256" s="31">
        <f>VALUE(6)</f>
        <v>6</v>
      </c>
      <c r="AG256" s="31">
        <f>VALUE(6)</f>
        <v>6</v>
      </c>
      <c r="AH256" s="31">
        <f>VALUE(6)</f>
        <v>6</v>
      </c>
      <c r="AI256" s="31">
        <f>VALUE(0)</f>
        <v>0</v>
      </c>
      <c r="AJ256" s="31">
        <f>VALUE(7)</f>
        <v>7</v>
      </c>
      <c r="AK256" s="31">
        <f>VALUE(7)</f>
        <v>7</v>
      </c>
      <c r="AL256" s="31">
        <f>VALUE(7)</f>
        <v>7</v>
      </c>
      <c r="AM256" s="31">
        <f>VALUE(7)</f>
        <v>7</v>
      </c>
      <c r="AN256" s="31">
        <f>VALUE(7)</f>
        <v>7</v>
      </c>
      <c r="AO256" s="31">
        <f>VALUE(7)</f>
        <v>7</v>
      </c>
      <c r="AP256" s="31">
        <v>0</v>
      </c>
      <c r="AQ256" s="31">
        <v>0</v>
      </c>
      <c r="AR256" s="31">
        <v>0</v>
      </c>
      <c r="AS256" s="31">
        <v>0</v>
      </c>
      <c r="AT256" s="31">
        <v>0</v>
      </c>
      <c r="AU256" s="31">
        <v>0</v>
      </c>
      <c r="AV256" s="31">
        <v>0</v>
      </c>
      <c r="AW256" s="31">
        <v>0</v>
      </c>
      <c r="AX256" s="31">
        <v>0</v>
      </c>
      <c r="AY256" s="31">
        <v>0</v>
      </c>
      <c r="AZ256" s="31">
        <v>0</v>
      </c>
      <c r="BA256" s="31">
        <v>0</v>
      </c>
      <c r="BB256" s="31">
        <v>0</v>
      </c>
      <c r="BC256" s="31">
        <v>0</v>
      </c>
      <c r="BD256" s="31">
        <v>0</v>
      </c>
      <c r="BE256" s="31">
        <v>0</v>
      </c>
      <c r="BF256" s="31">
        <v>0</v>
      </c>
      <c r="BG256" s="31">
        <v>0</v>
      </c>
      <c r="BH256" s="31">
        <v>0</v>
      </c>
      <c r="BI256" s="31">
        <v>0</v>
      </c>
      <c r="BJ256" s="31">
        <v>0</v>
      </c>
      <c r="BK256" s="12">
        <v>0</v>
      </c>
      <c r="BL256" s="12">
        <v>0</v>
      </c>
      <c r="BM256" s="12">
        <v>0</v>
      </c>
      <c r="BN256" s="12"/>
      <c r="BO256" s="12">
        <v>0</v>
      </c>
      <c r="BP256" s="12">
        <v>0</v>
      </c>
      <c r="BQ256" s="12">
        <v>0</v>
      </c>
      <c r="BR256" s="12">
        <v>0</v>
      </c>
      <c r="BS256" s="12">
        <v>0</v>
      </c>
      <c r="BT256" s="12">
        <v>0</v>
      </c>
      <c r="BU256" s="12">
        <v>0</v>
      </c>
      <c r="BV256" s="12">
        <v>0</v>
      </c>
      <c r="BW256" s="12">
        <v>0</v>
      </c>
      <c r="BX256" s="12">
        <v>0</v>
      </c>
      <c r="BY256" s="12">
        <v>0</v>
      </c>
      <c r="BZ256" s="12">
        <v>0</v>
      </c>
      <c r="CA256" s="12">
        <v>0</v>
      </c>
    </row>
    <row r="257" spans="1:79" x14ac:dyDescent="0.2">
      <c r="A257" s="12" t="s">
        <v>137</v>
      </c>
      <c r="B257" s="12" t="s">
        <v>139</v>
      </c>
      <c r="C257" s="12" t="s">
        <v>139</v>
      </c>
      <c r="D257" s="22" t="s">
        <v>514</v>
      </c>
      <c r="E257" s="22" t="s">
        <v>161</v>
      </c>
      <c r="F257" s="22" t="s">
        <v>1001</v>
      </c>
      <c r="G257" s="22" t="s">
        <v>1002</v>
      </c>
      <c r="H257" s="22" t="s">
        <v>166</v>
      </c>
      <c r="I257" s="22" t="s">
        <v>151</v>
      </c>
      <c r="J257" s="22" t="s">
        <v>162</v>
      </c>
      <c r="K257" s="22" t="s">
        <v>94</v>
      </c>
      <c r="L257" s="54" t="s">
        <v>153</v>
      </c>
      <c r="M257" s="23" t="s">
        <v>153</v>
      </c>
      <c r="N257" s="24" t="s">
        <v>153</v>
      </c>
      <c r="O257" s="23" t="s">
        <v>153</v>
      </c>
      <c r="P257" s="23" t="s">
        <v>153</v>
      </c>
      <c r="Q257" s="23" t="s">
        <v>153</v>
      </c>
      <c r="R257" s="23" t="s">
        <v>153</v>
      </c>
      <c r="S257" s="23" t="s">
        <v>153</v>
      </c>
      <c r="T257" s="23" t="s">
        <v>153</v>
      </c>
      <c r="U257" s="24" t="s">
        <v>153</v>
      </c>
      <c r="V257" s="54" t="s">
        <v>153</v>
      </c>
      <c r="W257" s="28" t="s">
        <v>163</v>
      </c>
      <c r="X257" s="23" t="s">
        <v>153</v>
      </c>
      <c r="Y257" s="23" t="s">
        <v>153</v>
      </c>
      <c r="Z257" s="23" t="s">
        <v>153</v>
      </c>
      <c r="AA257" s="23" t="s">
        <v>153</v>
      </c>
      <c r="AB257" s="24" t="s">
        <v>153</v>
      </c>
      <c r="AC257" s="23" t="s">
        <v>153</v>
      </c>
      <c r="AD257" s="23" t="s">
        <v>153</v>
      </c>
      <c r="AE257" s="23" t="s">
        <v>153</v>
      </c>
      <c r="AF257" s="23" t="s">
        <v>153</v>
      </c>
      <c r="AG257" s="24" t="s">
        <v>156</v>
      </c>
      <c r="AH257" s="24" t="s">
        <v>156</v>
      </c>
      <c r="AI257" s="24" t="s">
        <v>153</v>
      </c>
      <c r="AJ257" s="23" t="s">
        <v>153</v>
      </c>
      <c r="AK257" s="23" t="s">
        <v>153</v>
      </c>
      <c r="AL257" s="23" t="s">
        <v>153</v>
      </c>
      <c r="AM257" s="23" t="s">
        <v>153</v>
      </c>
      <c r="AN257" s="29" t="s">
        <v>218</v>
      </c>
      <c r="AO257" s="29" t="s">
        <v>218</v>
      </c>
      <c r="AP257" s="23">
        <f>VALUE(0)</f>
        <v>0</v>
      </c>
      <c r="AQ257" s="23">
        <f>VALUE(0)</f>
        <v>0</v>
      </c>
      <c r="AR257" s="23">
        <f>VALUE(2)</f>
        <v>2</v>
      </c>
      <c r="AS257" s="23">
        <f>VALUE(0)</f>
        <v>0</v>
      </c>
      <c r="AT257" s="23">
        <f>VALUE(0)</f>
        <v>0</v>
      </c>
      <c r="AU257" s="23">
        <f>VALUE(1)</f>
        <v>1</v>
      </c>
      <c r="AV257" s="23">
        <f>VALUE(7)</f>
        <v>7</v>
      </c>
      <c r="AW257" s="23">
        <f>VALUE(0)</f>
        <v>0</v>
      </c>
      <c r="AX257" s="23" t="s">
        <v>1273</v>
      </c>
      <c r="AY257" s="23">
        <f>VALUE(0)</f>
        <v>0</v>
      </c>
      <c r="AZ257" s="23">
        <f>VALUE(0)</f>
        <v>0</v>
      </c>
      <c r="BA257" s="23">
        <f>VALUE(0)</f>
        <v>0</v>
      </c>
      <c r="BB257" s="23">
        <f>VALUE(0)</f>
        <v>0</v>
      </c>
      <c r="BC257" s="23">
        <f>VALUE(0)</f>
        <v>0</v>
      </c>
      <c r="BD257" s="23">
        <f>VALUE(0)</f>
        <v>0</v>
      </c>
      <c r="BE257" s="23">
        <f>VALUE(0)</f>
        <v>0</v>
      </c>
      <c r="BF257" s="23">
        <f>VALUE(0)</f>
        <v>0</v>
      </c>
      <c r="BG257" s="23">
        <f>VALUE(0)</f>
        <v>0</v>
      </c>
      <c r="BH257" s="23">
        <f>VALUE(0)</f>
        <v>0</v>
      </c>
      <c r="BI257" s="23">
        <f>VALUE(0)</f>
        <v>0</v>
      </c>
      <c r="BJ257" s="23">
        <f>VALUE(0)</f>
        <v>0</v>
      </c>
      <c r="BK257" s="12">
        <f>$AX$257*24</f>
        <v>11.583333333333334</v>
      </c>
      <c r="BL257" s="12">
        <f>$AY$257*24</f>
        <v>0</v>
      </c>
      <c r="BM257" s="12">
        <f>$BJ$257*24</f>
        <v>0</v>
      </c>
      <c r="BN257" s="12">
        <f>VALUE($I$257)/100</f>
        <v>1</v>
      </c>
      <c r="BO257" s="12">
        <v>0</v>
      </c>
      <c r="BP257" s="12">
        <v>0</v>
      </c>
      <c r="BQ257" s="12">
        <v>0</v>
      </c>
      <c r="BR257" s="12">
        <v>0</v>
      </c>
      <c r="BS257" s="12">
        <v>2</v>
      </c>
      <c r="BT257" s="12">
        <v>0</v>
      </c>
      <c r="BU257" s="12">
        <v>0</v>
      </c>
      <c r="BV257" s="12">
        <v>0</v>
      </c>
      <c r="BW257" s="12">
        <v>0</v>
      </c>
      <c r="BX257" s="12">
        <v>0</v>
      </c>
      <c r="BY257" s="12">
        <v>0</v>
      </c>
      <c r="BZ257" s="12">
        <v>0</v>
      </c>
      <c r="CA257" s="12">
        <v>0</v>
      </c>
    </row>
    <row r="258" spans="1:79" x14ac:dyDescent="0.2">
      <c r="A258" s="12" t="s">
        <v>137</v>
      </c>
      <c r="B258" s="12" t="s">
        <v>139</v>
      </c>
      <c r="C258" s="12" t="s">
        <v>139</v>
      </c>
      <c r="D258" s="22" t="s">
        <v>511</v>
      </c>
      <c r="E258" s="22" t="s">
        <v>161</v>
      </c>
      <c r="F258" s="22" t="s">
        <v>1003</v>
      </c>
      <c r="G258" s="22" t="s">
        <v>1004</v>
      </c>
      <c r="H258" s="22" t="s">
        <v>150</v>
      </c>
      <c r="I258" s="22" t="s">
        <v>151</v>
      </c>
      <c r="J258" s="22" t="s">
        <v>162</v>
      </c>
      <c r="K258" s="22" t="s">
        <v>94</v>
      </c>
      <c r="L258" s="54" t="s">
        <v>153</v>
      </c>
      <c r="M258" s="28" t="s">
        <v>163</v>
      </c>
      <c r="N258" s="24" t="s">
        <v>153</v>
      </c>
      <c r="O258" s="23" t="s">
        <v>153</v>
      </c>
      <c r="P258" s="23" t="s">
        <v>153</v>
      </c>
      <c r="Q258" s="23" t="s">
        <v>153</v>
      </c>
      <c r="R258" s="23" t="s">
        <v>498</v>
      </c>
      <c r="S258" s="23" t="s">
        <v>498</v>
      </c>
      <c r="T258" s="23" t="s">
        <v>498</v>
      </c>
      <c r="U258" s="24" t="s">
        <v>153</v>
      </c>
      <c r="V258" s="54" t="s">
        <v>153</v>
      </c>
      <c r="W258" s="23" t="s">
        <v>498</v>
      </c>
      <c r="X258" s="23" t="s">
        <v>498</v>
      </c>
      <c r="Y258" s="23" t="s">
        <v>498</v>
      </c>
      <c r="Z258" s="23" t="s">
        <v>498</v>
      </c>
      <c r="AA258" s="23" t="s">
        <v>498</v>
      </c>
      <c r="AB258" s="24" t="s">
        <v>153</v>
      </c>
      <c r="AC258" s="23" t="s">
        <v>498</v>
      </c>
      <c r="AD258" s="23" t="s">
        <v>498</v>
      </c>
      <c r="AE258" s="23" t="s">
        <v>498</v>
      </c>
      <c r="AF258" s="23" t="s">
        <v>498</v>
      </c>
      <c r="AG258" s="23" t="s">
        <v>498</v>
      </c>
      <c r="AH258" s="23" t="s">
        <v>498</v>
      </c>
      <c r="AI258" s="24" t="s">
        <v>153</v>
      </c>
      <c r="AJ258" s="23" t="s">
        <v>498</v>
      </c>
      <c r="AK258" s="23" t="s">
        <v>498</v>
      </c>
      <c r="AL258" s="24" t="s">
        <v>156</v>
      </c>
      <c r="AM258" s="24" t="s">
        <v>156</v>
      </c>
      <c r="AN258" s="23" t="s">
        <v>498</v>
      </c>
      <c r="AO258" s="23" t="s">
        <v>498</v>
      </c>
      <c r="AP258" s="23">
        <f>VALUE(0)</f>
        <v>0</v>
      </c>
      <c r="AQ258" s="23">
        <f>VALUE(0)</f>
        <v>0</v>
      </c>
      <c r="AR258" s="23">
        <f>VALUE(0)</f>
        <v>0</v>
      </c>
      <c r="AS258" s="23">
        <f>VALUE(0)</f>
        <v>0</v>
      </c>
      <c r="AT258" s="23">
        <f>VALUE(0)</f>
        <v>0</v>
      </c>
      <c r="AU258" s="23">
        <f>VALUE(1)</f>
        <v>1</v>
      </c>
      <c r="AV258" s="23">
        <f>VALUE(0)</f>
        <v>0</v>
      </c>
      <c r="AW258" s="23">
        <f>VALUE(0)</f>
        <v>0</v>
      </c>
      <c r="AX258" s="23" t="s">
        <v>515</v>
      </c>
      <c r="AY258" s="23" t="s">
        <v>1274</v>
      </c>
      <c r="AZ258" s="23">
        <f>VALUE(0)</f>
        <v>0</v>
      </c>
      <c r="BA258" s="23">
        <f>VALUE(0)</f>
        <v>0</v>
      </c>
      <c r="BB258" s="23">
        <f>VALUE(0)</f>
        <v>0</v>
      </c>
      <c r="BC258" s="23">
        <f>VALUE(0)</f>
        <v>0</v>
      </c>
      <c r="BD258" s="23">
        <f>VALUE(0)</f>
        <v>0</v>
      </c>
      <c r="BE258" s="23">
        <f>VALUE(0)</f>
        <v>0</v>
      </c>
      <c r="BF258" s="23">
        <f>VALUE(0)</f>
        <v>0</v>
      </c>
      <c r="BG258" s="23">
        <f>VALUE(0)</f>
        <v>0</v>
      </c>
      <c r="BH258" s="23">
        <f>VALUE(0)</f>
        <v>0</v>
      </c>
      <c r="BI258" s="23">
        <f>VALUE(0)</f>
        <v>0</v>
      </c>
      <c r="BJ258" s="23">
        <f>VALUE(0)</f>
        <v>0</v>
      </c>
      <c r="BK258" s="12">
        <f>$AX$258*24</f>
        <v>5.1166666666666663</v>
      </c>
      <c r="BL258" s="12">
        <f>$AY$258*24</f>
        <v>6.7333333333333334</v>
      </c>
      <c r="BM258" s="12">
        <f>$BJ$258*24</f>
        <v>0</v>
      </c>
      <c r="BN258" s="12">
        <f>VALUE($I$258)/100</f>
        <v>1</v>
      </c>
      <c r="BO258" s="12">
        <v>0</v>
      </c>
      <c r="BP258" s="12">
        <v>0</v>
      </c>
      <c r="BQ258" s="12">
        <v>0</v>
      </c>
      <c r="BR258" s="12">
        <v>0</v>
      </c>
      <c r="BS258" s="12">
        <v>0</v>
      </c>
      <c r="BT258" s="12">
        <v>0</v>
      </c>
      <c r="BU258" s="12">
        <v>0</v>
      </c>
      <c r="BV258" s="12">
        <v>0</v>
      </c>
      <c r="BW258" s="12">
        <v>0</v>
      </c>
      <c r="BX258" s="12">
        <v>0</v>
      </c>
      <c r="BY258" s="12">
        <v>0</v>
      </c>
      <c r="BZ258" s="12">
        <v>0</v>
      </c>
      <c r="CA258" s="12">
        <v>0</v>
      </c>
    </row>
    <row r="259" spans="1:79" x14ac:dyDescent="0.2">
      <c r="A259" s="12" t="s">
        <v>137</v>
      </c>
      <c r="B259" s="12" t="s">
        <v>139</v>
      </c>
      <c r="C259" s="12" t="s">
        <v>139</v>
      </c>
      <c r="D259" s="22" t="s">
        <v>512</v>
      </c>
      <c r="E259" s="22" t="s">
        <v>161</v>
      </c>
      <c r="F259" s="22" t="s">
        <v>1005</v>
      </c>
      <c r="G259" s="22" t="s">
        <v>1006</v>
      </c>
      <c r="H259" s="22" t="s">
        <v>150</v>
      </c>
      <c r="I259" s="22" t="s">
        <v>151</v>
      </c>
      <c r="J259" s="22" t="s">
        <v>162</v>
      </c>
      <c r="K259" s="22" t="s">
        <v>94</v>
      </c>
      <c r="L259" s="54" t="s">
        <v>153</v>
      </c>
      <c r="M259" s="23" t="s">
        <v>153</v>
      </c>
      <c r="N259" s="24" t="s">
        <v>153</v>
      </c>
      <c r="O259" s="24" t="s">
        <v>156</v>
      </c>
      <c r="P259" s="24" t="s">
        <v>156</v>
      </c>
      <c r="Q259" s="23" t="s">
        <v>153</v>
      </c>
      <c r="R259" s="28" t="s">
        <v>163</v>
      </c>
      <c r="S259" s="28" t="s">
        <v>163</v>
      </c>
      <c r="T259" s="28" t="s">
        <v>163</v>
      </c>
      <c r="U259" s="24" t="s">
        <v>153</v>
      </c>
      <c r="V259" s="54" t="s">
        <v>153</v>
      </c>
      <c r="W259" s="28" t="s">
        <v>163</v>
      </c>
      <c r="X259" s="28" t="s">
        <v>163</v>
      </c>
      <c r="Y259" s="28" t="s">
        <v>163</v>
      </c>
      <c r="Z259" s="28" t="s">
        <v>163</v>
      </c>
      <c r="AA259" s="28" t="s">
        <v>163</v>
      </c>
      <c r="AB259" s="24" t="s">
        <v>153</v>
      </c>
      <c r="AC259" s="23" t="s">
        <v>153</v>
      </c>
      <c r="AD259" s="23" t="s">
        <v>153</v>
      </c>
      <c r="AE259" s="23" t="s">
        <v>153</v>
      </c>
      <c r="AF259" s="23" t="s">
        <v>153</v>
      </c>
      <c r="AG259" s="23" t="s">
        <v>153</v>
      </c>
      <c r="AH259" s="23" t="s">
        <v>153</v>
      </c>
      <c r="AI259" s="24" t="s">
        <v>153</v>
      </c>
      <c r="AJ259" s="23" t="s">
        <v>153</v>
      </c>
      <c r="AK259" s="23" t="s">
        <v>153</v>
      </c>
      <c r="AL259" s="24" t="s">
        <v>156</v>
      </c>
      <c r="AM259" s="24" t="s">
        <v>156</v>
      </c>
      <c r="AN259" s="23" t="s">
        <v>153</v>
      </c>
      <c r="AO259" s="23" t="s">
        <v>153</v>
      </c>
      <c r="AP259" s="23">
        <f>VALUE(0)</f>
        <v>0</v>
      </c>
      <c r="AQ259" s="23">
        <f>VALUE(0)</f>
        <v>0</v>
      </c>
      <c r="AR259" s="23">
        <f>VALUE(0)</f>
        <v>0</v>
      </c>
      <c r="AS259" s="23">
        <f>VALUE(0)</f>
        <v>0</v>
      </c>
      <c r="AT259" s="23">
        <f>VALUE(0)</f>
        <v>0</v>
      </c>
      <c r="AU259" s="23">
        <f>VALUE(8)</f>
        <v>8</v>
      </c>
      <c r="AV259" s="23">
        <f>VALUE(1)</f>
        <v>1</v>
      </c>
      <c r="AW259" s="23">
        <f>VALUE(0)</f>
        <v>0</v>
      </c>
      <c r="AX259" s="23" t="s">
        <v>171</v>
      </c>
      <c r="AY259" s="23" t="s">
        <v>516</v>
      </c>
      <c r="AZ259" s="23">
        <f>VALUE(0)</f>
        <v>0</v>
      </c>
      <c r="BA259" s="23">
        <f>VALUE(0)</f>
        <v>0</v>
      </c>
      <c r="BB259" s="23">
        <f>VALUE(0)</f>
        <v>0</v>
      </c>
      <c r="BC259" s="23">
        <f>VALUE(0)</f>
        <v>0</v>
      </c>
      <c r="BD259" s="23">
        <f>VALUE(0)</f>
        <v>0</v>
      </c>
      <c r="BE259" s="23">
        <f>VALUE(0)</f>
        <v>0</v>
      </c>
      <c r="BF259" s="23">
        <f>VALUE(0)</f>
        <v>0</v>
      </c>
      <c r="BG259" s="23">
        <f>VALUE(0)</f>
        <v>0</v>
      </c>
      <c r="BH259" s="23">
        <f>VALUE(0)</f>
        <v>0</v>
      </c>
      <c r="BI259" s="23">
        <f>VALUE(0)</f>
        <v>0</v>
      </c>
      <c r="BJ259" s="23">
        <f>VALUE(0)</f>
        <v>0</v>
      </c>
      <c r="BK259" s="12">
        <f>$AX$259*24</f>
        <v>5.833333333333333</v>
      </c>
      <c r="BL259" s="12">
        <f>$AY$259*24</f>
        <v>11.883333333333333</v>
      </c>
      <c r="BM259" s="12">
        <f>$BJ$259*24</f>
        <v>0</v>
      </c>
      <c r="BN259" s="12">
        <f>VALUE($I$259)/100</f>
        <v>1</v>
      </c>
      <c r="BO259" s="12">
        <v>0</v>
      </c>
      <c r="BP259" s="12">
        <v>0</v>
      </c>
      <c r="BQ259" s="12">
        <v>0</v>
      </c>
      <c r="BR259" s="12">
        <v>0</v>
      </c>
      <c r="BS259" s="12">
        <v>0</v>
      </c>
      <c r="BT259" s="12">
        <v>0</v>
      </c>
      <c r="BU259" s="12">
        <v>0</v>
      </c>
      <c r="BV259" s="12">
        <v>0</v>
      </c>
      <c r="BW259" s="12">
        <v>0</v>
      </c>
      <c r="BX259" s="12">
        <v>0</v>
      </c>
      <c r="BY259" s="12">
        <v>0</v>
      </c>
      <c r="BZ259" s="12">
        <v>0</v>
      </c>
      <c r="CA259" s="12">
        <v>0</v>
      </c>
    </row>
    <row r="260" spans="1:79" x14ac:dyDescent="0.2">
      <c r="A260" s="12" t="s">
        <v>137</v>
      </c>
      <c r="B260" s="12" t="s">
        <v>139</v>
      </c>
      <c r="C260" s="12" t="s">
        <v>139</v>
      </c>
      <c r="D260" s="22" t="s">
        <v>512</v>
      </c>
      <c r="E260" s="22" t="s">
        <v>161</v>
      </c>
      <c r="F260" s="22" t="s">
        <v>1007</v>
      </c>
      <c r="G260" s="22" t="s">
        <v>1008</v>
      </c>
      <c r="H260" s="22" t="s">
        <v>191</v>
      </c>
      <c r="I260" s="22" t="s">
        <v>151</v>
      </c>
      <c r="J260" s="22" t="s">
        <v>162</v>
      </c>
      <c r="K260" s="22" t="s">
        <v>94</v>
      </c>
      <c r="L260" s="54" t="s">
        <v>153</v>
      </c>
      <c r="M260" s="23" t="s">
        <v>1275</v>
      </c>
      <c r="N260" s="24" t="s">
        <v>153</v>
      </c>
      <c r="O260" s="23" t="s">
        <v>153</v>
      </c>
      <c r="P260" s="23" t="s">
        <v>153</v>
      </c>
      <c r="Q260" s="23" t="s">
        <v>153</v>
      </c>
      <c r="R260" s="23" t="s">
        <v>153</v>
      </c>
      <c r="S260" s="23" t="s">
        <v>153</v>
      </c>
      <c r="T260" s="23" t="s">
        <v>153</v>
      </c>
      <c r="U260" s="24" t="s">
        <v>153</v>
      </c>
      <c r="V260" s="54" t="s">
        <v>153</v>
      </c>
      <c r="W260" s="23" t="s">
        <v>153</v>
      </c>
      <c r="X260" s="23" t="s">
        <v>153</v>
      </c>
      <c r="Y260" s="23" t="s">
        <v>153</v>
      </c>
      <c r="Z260" s="23" t="s">
        <v>153</v>
      </c>
      <c r="AA260" s="23" t="s">
        <v>153</v>
      </c>
      <c r="AB260" s="24" t="s">
        <v>153</v>
      </c>
      <c r="AC260" s="27" t="s">
        <v>153</v>
      </c>
      <c r="AD260" s="27" t="s">
        <v>153</v>
      </c>
      <c r="AE260" s="27" t="s">
        <v>153</v>
      </c>
      <c r="AF260" s="27" t="s">
        <v>153</v>
      </c>
      <c r="AG260" s="27" t="s">
        <v>153</v>
      </c>
      <c r="AH260" s="27" t="s">
        <v>153</v>
      </c>
      <c r="AI260" s="24" t="s">
        <v>153</v>
      </c>
      <c r="AJ260" s="27" t="s">
        <v>153</v>
      </c>
      <c r="AK260" s="27" t="s">
        <v>153</v>
      </c>
      <c r="AL260" s="27" t="s">
        <v>153</v>
      </c>
      <c r="AM260" s="27" t="s">
        <v>153</v>
      </c>
      <c r="AN260" s="27" t="s">
        <v>153</v>
      </c>
      <c r="AO260" s="27" t="s">
        <v>153</v>
      </c>
      <c r="AP260" s="23">
        <f>VALUE(0)</f>
        <v>0</v>
      </c>
      <c r="AQ260" s="23">
        <f>VALUE(0)</f>
        <v>0</v>
      </c>
      <c r="AR260" s="23">
        <f>VALUE(0)</f>
        <v>0</v>
      </c>
      <c r="AS260" s="23">
        <f>VALUE(0)</f>
        <v>0</v>
      </c>
      <c r="AT260" s="23">
        <f>VALUE(0)</f>
        <v>0</v>
      </c>
      <c r="AU260" s="23">
        <f>VALUE(0)</f>
        <v>0</v>
      </c>
      <c r="AV260" s="23">
        <f>VALUE(0)</f>
        <v>0</v>
      </c>
      <c r="AW260" s="23">
        <f>VALUE(0)</f>
        <v>0</v>
      </c>
      <c r="AX260" s="23">
        <f>VALUE(0)</f>
        <v>0</v>
      </c>
      <c r="AY260" s="23">
        <f>VALUE(0)</f>
        <v>0</v>
      </c>
      <c r="AZ260" s="23">
        <f>VALUE(0)</f>
        <v>0</v>
      </c>
      <c r="BA260" s="23">
        <f>VALUE(0)</f>
        <v>0</v>
      </c>
      <c r="BB260" s="23">
        <f>VALUE(0)</f>
        <v>0</v>
      </c>
      <c r="BC260" s="23">
        <f>VALUE(0)</f>
        <v>0</v>
      </c>
      <c r="BD260" s="23">
        <f>VALUE(1)</f>
        <v>1</v>
      </c>
      <c r="BE260" s="23">
        <f>VALUE(0)</f>
        <v>0</v>
      </c>
      <c r="BF260" s="23">
        <f>VALUE(0)</f>
        <v>0</v>
      </c>
      <c r="BG260" s="23">
        <f>VALUE(0)</f>
        <v>0</v>
      </c>
      <c r="BH260" s="23">
        <f>VALUE(0)</f>
        <v>0</v>
      </c>
      <c r="BI260" s="23">
        <f>VALUE(0)</f>
        <v>0</v>
      </c>
      <c r="BJ260" s="23">
        <f>VALUE(0)</f>
        <v>0</v>
      </c>
      <c r="BK260" s="12">
        <f>$AX$260*24</f>
        <v>0</v>
      </c>
      <c r="BL260" s="12">
        <f>$AY$260*24</f>
        <v>0</v>
      </c>
      <c r="BM260" s="12">
        <f>$BJ$260*24</f>
        <v>0</v>
      </c>
      <c r="BN260" s="12">
        <f>VALUE($I$260)/100</f>
        <v>1</v>
      </c>
      <c r="BO260" s="12">
        <v>0</v>
      </c>
      <c r="BP260" s="12">
        <v>0</v>
      </c>
      <c r="BQ260" s="12">
        <v>0</v>
      </c>
      <c r="BR260" s="12">
        <v>0</v>
      </c>
      <c r="BS260" s="12">
        <v>0</v>
      </c>
      <c r="BT260" s="12">
        <v>0</v>
      </c>
      <c r="BU260" s="12">
        <v>0</v>
      </c>
      <c r="BV260" s="12">
        <v>0</v>
      </c>
      <c r="BW260" s="12">
        <v>0</v>
      </c>
      <c r="BX260" s="12">
        <v>0</v>
      </c>
      <c r="BY260" s="12">
        <v>0</v>
      </c>
      <c r="BZ260" s="12">
        <v>0</v>
      </c>
      <c r="CA260" s="12">
        <v>0</v>
      </c>
    </row>
    <row r="261" spans="1:79" x14ac:dyDescent="0.2">
      <c r="A261" s="12" t="s">
        <v>137</v>
      </c>
      <c r="B261" s="12" t="s">
        <v>139</v>
      </c>
      <c r="C261" s="12" t="s">
        <v>139</v>
      </c>
      <c r="D261" s="22" t="s">
        <v>494</v>
      </c>
      <c r="E261" s="22" t="s">
        <v>161</v>
      </c>
      <c r="F261" s="22" t="s">
        <v>1009</v>
      </c>
      <c r="G261" s="22" t="s">
        <v>1010</v>
      </c>
      <c r="H261" s="22" t="s">
        <v>150</v>
      </c>
      <c r="I261" s="22" t="s">
        <v>151</v>
      </c>
      <c r="J261" s="22" t="s">
        <v>162</v>
      </c>
      <c r="K261" s="22" t="s">
        <v>94</v>
      </c>
      <c r="L261" s="54" t="s">
        <v>153</v>
      </c>
      <c r="M261" s="23" t="s">
        <v>153</v>
      </c>
      <c r="N261" s="24" t="s">
        <v>153</v>
      </c>
      <c r="O261" s="23" t="s">
        <v>153</v>
      </c>
      <c r="P261" s="23" t="s">
        <v>153</v>
      </c>
      <c r="Q261" s="23" t="s">
        <v>153</v>
      </c>
      <c r="R261" s="23" t="s">
        <v>153</v>
      </c>
      <c r="S261" s="23" t="s">
        <v>153</v>
      </c>
      <c r="T261" s="23" t="s">
        <v>153</v>
      </c>
      <c r="U261" s="24" t="s">
        <v>153</v>
      </c>
      <c r="V261" s="54" t="s">
        <v>153</v>
      </c>
      <c r="W261" s="23" t="s">
        <v>153</v>
      </c>
      <c r="X261" s="23" t="s">
        <v>153</v>
      </c>
      <c r="Y261" s="23" t="s">
        <v>153</v>
      </c>
      <c r="Z261" s="23" t="s">
        <v>153</v>
      </c>
      <c r="AA261" s="23" t="s">
        <v>153</v>
      </c>
      <c r="AB261" s="24" t="s">
        <v>153</v>
      </c>
      <c r="AC261" s="23" t="s">
        <v>153</v>
      </c>
      <c r="AD261" s="23" t="s">
        <v>153</v>
      </c>
      <c r="AE261" s="24" t="s">
        <v>156</v>
      </c>
      <c r="AF261" s="24" t="s">
        <v>156</v>
      </c>
      <c r="AG261" s="23" t="s">
        <v>153</v>
      </c>
      <c r="AH261" s="23" t="s">
        <v>153</v>
      </c>
      <c r="AI261" s="24" t="s">
        <v>153</v>
      </c>
      <c r="AJ261" s="23" t="s">
        <v>153</v>
      </c>
      <c r="AK261" s="23" t="s">
        <v>153</v>
      </c>
      <c r="AL261" s="23" t="s">
        <v>153</v>
      </c>
      <c r="AM261" s="23" t="s">
        <v>153</v>
      </c>
      <c r="AN261" s="23" t="s">
        <v>153</v>
      </c>
      <c r="AO261" s="23" t="s">
        <v>153</v>
      </c>
      <c r="AP261" s="23">
        <f>VALUE(0)</f>
        <v>0</v>
      </c>
      <c r="AQ261" s="23">
        <f>VALUE(0)</f>
        <v>0</v>
      </c>
      <c r="AR261" s="23">
        <f>VALUE(0)</f>
        <v>0</v>
      </c>
      <c r="AS261" s="23">
        <f>VALUE(0)</f>
        <v>0</v>
      </c>
      <c r="AT261" s="23">
        <f>VALUE(0)</f>
        <v>0</v>
      </c>
      <c r="AU261" s="23">
        <f>VALUE(0)</f>
        <v>0</v>
      </c>
      <c r="AV261" s="23">
        <f>VALUE(2)</f>
        <v>2</v>
      </c>
      <c r="AW261" s="23">
        <f>VALUE(0)</f>
        <v>0</v>
      </c>
      <c r="AX261" s="23" t="s">
        <v>171</v>
      </c>
      <c r="AY261" s="23" t="s">
        <v>517</v>
      </c>
      <c r="AZ261" s="23">
        <f>VALUE(0)</f>
        <v>0</v>
      </c>
      <c r="BA261" s="23">
        <f>VALUE(0)</f>
        <v>0</v>
      </c>
      <c r="BB261" s="23">
        <f>VALUE(0)</f>
        <v>0</v>
      </c>
      <c r="BC261" s="23">
        <f>VALUE(0)</f>
        <v>0</v>
      </c>
      <c r="BD261" s="23">
        <f>VALUE(0)</f>
        <v>0</v>
      </c>
      <c r="BE261" s="23">
        <f>VALUE(0)</f>
        <v>0</v>
      </c>
      <c r="BF261" s="23">
        <f>VALUE(0)</f>
        <v>0</v>
      </c>
      <c r="BG261" s="23">
        <f>VALUE(0)</f>
        <v>0</v>
      </c>
      <c r="BH261" s="23">
        <f>VALUE(0)</f>
        <v>0</v>
      </c>
      <c r="BI261" s="23">
        <f>VALUE(0)</f>
        <v>0</v>
      </c>
      <c r="BJ261" s="23">
        <f>VALUE(0)</f>
        <v>0</v>
      </c>
      <c r="BK261" s="12">
        <f>$AX$261*24</f>
        <v>5.833333333333333</v>
      </c>
      <c r="BL261" s="12">
        <f>$AY$261*24</f>
        <v>1.3</v>
      </c>
      <c r="BM261" s="12">
        <f>$BJ$261*24</f>
        <v>0</v>
      </c>
      <c r="BN261" s="12">
        <f>VALUE($I$261)/100</f>
        <v>1</v>
      </c>
      <c r="BO261" s="12">
        <v>0</v>
      </c>
      <c r="BP261" s="12">
        <v>0</v>
      </c>
      <c r="BQ261" s="12">
        <v>0</v>
      </c>
      <c r="BR261" s="12">
        <v>0</v>
      </c>
      <c r="BS261" s="12">
        <v>0</v>
      </c>
      <c r="BT261" s="12">
        <v>0</v>
      </c>
      <c r="BU261" s="12">
        <v>0</v>
      </c>
      <c r="BV261" s="12">
        <v>0</v>
      </c>
      <c r="BW261" s="12">
        <v>0</v>
      </c>
      <c r="BX261" s="12">
        <v>0</v>
      </c>
      <c r="BY261" s="12">
        <v>0</v>
      </c>
      <c r="BZ261" s="12">
        <v>0</v>
      </c>
      <c r="CA261" s="12">
        <v>0</v>
      </c>
    </row>
    <row r="262" spans="1:79" x14ac:dyDescent="0.2">
      <c r="A262" s="12" t="s">
        <v>137</v>
      </c>
      <c r="B262" s="12" t="s">
        <v>139</v>
      </c>
      <c r="C262" s="12" t="s">
        <v>139</v>
      </c>
      <c r="D262" s="22" t="s">
        <v>495</v>
      </c>
      <c r="E262" s="22" t="s">
        <v>161</v>
      </c>
      <c r="F262" s="22" t="s">
        <v>1011</v>
      </c>
      <c r="G262" s="22" t="s">
        <v>1012</v>
      </c>
      <c r="H262" s="22" t="s">
        <v>150</v>
      </c>
      <c r="I262" s="22" t="s">
        <v>151</v>
      </c>
      <c r="J262" s="22" t="s">
        <v>162</v>
      </c>
      <c r="K262" s="22" t="s">
        <v>94</v>
      </c>
      <c r="L262" s="54" t="s">
        <v>153</v>
      </c>
      <c r="M262" s="23" t="s">
        <v>153</v>
      </c>
      <c r="N262" s="24" t="s">
        <v>153</v>
      </c>
      <c r="O262" s="23" t="s">
        <v>153</v>
      </c>
      <c r="P262" s="23" t="s">
        <v>153</v>
      </c>
      <c r="Q262" s="23" t="s">
        <v>153</v>
      </c>
      <c r="R262" s="23" t="s">
        <v>153</v>
      </c>
      <c r="S262" s="23" t="s">
        <v>153</v>
      </c>
      <c r="T262" s="23" t="s">
        <v>153</v>
      </c>
      <c r="U262" s="24" t="s">
        <v>153</v>
      </c>
      <c r="V262" s="54" t="s">
        <v>153</v>
      </c>
      <c r="W262" s="28" t="s">
        <v>163</v>
      </c>
      <c r="X262" s="23" t="s">
        <v>153</v>
      </c>
      <c r="Y262" s="23" t="s">
        <v>153</v>
      </c>
      <c r="Z262" s="24" t="s">
        <v>156</v>
      </c>
      <c r="AA262" s="24" t="s">
        <v>156</v>
      </c>
      <c r="AB262" s="24" t="s">
        <v>153</v>
      </c>
      <c r="AC262" s="23" t="s">
        <v>153</v>
      </c>
      <c r="AD262" s="23" t="s">
        <v>153</v>
      </c>
      <c r="AE262" s="23" t="s">
        <v>153</v>
      </c>
      <c r="AF262" s="23" t="s">
        <v>153</v>
      </c>
      <c r="AG262" s="23" t="s">
        <v>153</v>
      </c>
      <c r="AH262" s="23" t="s">
        <v>153</v>
      </c>
      <c r="AI262" s="24" t="s">
        <v>153</v>
      </c>
      <c r="AJ262" s="23" t="s">
        <v>153</v>
      </c>
      <c r="AK262" s="23" t="s">
        <v>153</v>
      </c>
      <c r="AL262" s="23" t="s">
        <v>153</v>
      </c>
      <c r="AM262" s="23" t="s">
        <v>153</v>
      </c>
      <c r="AN262" s="23" t="s">
        <v>153</v>
      </c>
      <c r="AO262" s="23" t="s">
        <v>153</v>
      </c>
      <c r="AP262" s="23">
        <f>VALUE(0)</f>
        <v>0</v>
      </c>
      <c r="AQ262" s="23">
        <f>VALUE(0)</f>
        <v>0</v>
      </c>
      <c r="AR262" s="23">
        <f>VALUE(0)</f>
        <v>0</v>
      </c>
      <c r="AS262" s="23">
        <f>VALUE(0)</f>
        <v>0</v>
      </c>
      <c r="AT262" s="23">
        <f>VALUE(0)</f>
        <v>0</v>
      </c>
      <c r="AU262" s="23">
        <f>VALUE(1)</f>
        <v>1</v>
      </c>
      <c r="AV262" s="23">
        <f>VALUE(0)</f>
        <v>0</v>
      </c>
      <c r="AW262" s="23">
        <f>VALUE(0)</f>
        <v>0</v>
      </c>
      <c r="AX262" s="23" t="s">
        <v>171</v>
      </c>
      <c r="AY262" s="23" t="s">
        <v>404</v>
      </c>
      <c r="AZ262" s="23">
        <f>VALUE(0)</f>
        <v>0</v>
      </c>
      <c r="BA262" s="23">
        <f>VALUE(0)</f>
        <v>0</v>
      </c>
      <c r="BB262" s="23">
        <f>VALUE(0)</f>
        <v>0</v>
      </c>
      <c r="BC262" s="23">
        <f>VALUE(0)</f>
        <v>0</v>
      </c>
      <c r="BD262" s="23">
        <f>VALUE(0)</f>
        <v>0</v>
      </c>
      <c r="BE262" s="23">
        <f>VALUE(0)</f>
        <v>0</v>
      </c>
      <c r="BF262" s="23">
        <f>VALUE(0)</f>
        <v>0</v>
      </c>
      <c r="BG262" s="23">
        <f>VALUE(0)</f>
        <v>0</v>
      </c>
      <c r="BH262" s="23">
        <f>VALUE(0)</f>
        <v>0</v>
      </c>
      <c r="BI262" s="23">
        <f>VALUE(0)</f>
        <v>0</v>
      </c>
      <c r="BJ262" s="23">
        <f>VALUE(0)</f>
        <v>0</v>
      </c>
      <c r="BK262" s="12">
        <f>$AX$262*24</f>
        <v>5.833333333333333</v>
      </c>
      <c r="BL262" s="12">
        <f>$AY$262*24</f>
        <v>4.8499999999999996</v>
      </c>
      <c r="BM262" s="12">
        <f>$BJ$262*24</f>
        <v>0</v>
      </c>
      <c r="BN262" s="12">
        <f>VALUE($I$262)/100</f>
        <v>1</v>
      </c>
      <c r="BO262" s="12">
        <v>0</v>
      </c>
      <c r="BP262" s="12">
        <v>0</v>
      </c>
      <c r="BQ262" s="12">
        <v>0</v>
      </c>
      <c r="BR262" s="12">
        <v>0</v>
      </c>
      <c r="BS262" s="12">
        <v>0</v>
      </c>
      <c r="BT262" s="12">
        <v>0</v>
      </c>
      <c r="BU262" s="12">
        <v>0</v>
      </c>
      <c r="BV262" s="12">
        <v>0</v>
      </c>
      <c r="BW262" s="12">
        <v>0</v>
      </c>
      <c r="BX262" s="12">
        <v>0</v>
      </c>
      <c r="BY262" s="12">
        <v>0</v>
      </c>
      <c r="BZ262" s="12">
        <v>0</v>
      </c>
      <c r="CA262" s="12">
        <v>0</v>
      </c>
    </row>
    <row r="263" spans="1:79" x14ac:dyDescent="0.2">
      <c r="A263" s="12" t="s">
        <v>137</v>
      </c>
      <c r="B263" s="12" t="s">
        <v>139</v>
      </c>
      <c r="C263" s="12" t="s">
        <v>139</v>
      </c>
      <c r="D263" s="22" t="s">
        <v>490</v>
      </c>
      <c r="E263" s="22" t="s">
        <v>161</v>
      </c>
      <c r="F263" s="22" t="s">
        <v>1013</v>
      </c>
      <c r="G263" s="22" t="s">
        <v>1014</v>
      </c>
      <c r="H263" s="22" t="s">
        <v>191</v>
      </c>
      <c r="I263" s="22" t="s">
        <v>151</v>
      </c>
      <c r="J263" s="22" t="s">
        <v>162</v>
      </c>
      <c r="K263" s="22" t="s">
        <v>94</v>
      </c>
      <c r="L263" s="54" t="s">
        <v>153</v>
      </c>
      <c r="M263" s="23" t="s">
        <v>153</v>
      </c>
      <c r="N263" s="24" t="s">
        <v>153</v>
      </c>
      <c r="O263" s="27" t="s">
        <v>153</v>
      </c>
      <c r="P263" s="27" t="s">
        <v>153</v>
      </c>
      <c r="Q263" s="27" t="s">
        <v>153</v>
      </c>
      <c r="R263" s="27" t="s">
        <v>153</v>
      </c>
      <c r="S263" s="27" t="s">
        <v>153</v>
      </c>
      <c r="T263" s="27" t="s">
        <v>153</v>
      </c>
      <c r="U263" s="24" t="s">
        <v>153</v>
      </c>
      <c r="V263" s="54" t="s">
        <v>153</v>
      </c>
      <c r="W263" s="27" t="s">
        <v>153</v>
      </c>
      <c r="X263" s="27" t="s">
        <v>153</v>
      </c>
      <c r="Y263" s="27" t="s">
        <v>153</v>
      </c>
      <c r="Z263" s="27" t="s">
        <v>153</v>
      </c>
      <c r="AA263" s="27" t="s">
        <v>153</v>
      </c>
      <c r="AB263" s="24" t="s">
        <v>153</v>
      </c>
      <c r="AC263" s="27" t="s">
        <v>153</v>
      </c>
      <c r="AD263" s="27" t="s">
        <v>153</v>
      </c>
      <c r="AE263" s="27" t="s">
        <v>153</v>
      </c>
      <c r="AF263" s="27" t="s">
        <v>153</v>
      </c>
      <c r="AG263" s="27" t="s">
        <v>153</v>
      </c>
      <c r="AH263" s="27" t="s">
        <v>153</v>
      </c>
      <c r="AI263" s="24" t="s">
        <v>153</v>
      </c>
      <c r="AJ263" s="27" t="s">
        <v>153</v>
      </c>
      <c r="AK263" s="27" t="s">
        <v>153</v>
      </c>
      <c r="AL263" s="27" t="s">
        <v>153</v>
      </c>
      <c r="AM263" s="27" t="s">
        <v>153</v>
      </c>
      <c r="AN263" s="27" t="s">
        <v>153</v>
      </c>
      <c r="AO263" s="27" t="s">
        <v>153</v>
      </c>
      <c r="AP263" s="23">
        <f>VALUE(0)</f>
        <v>0</v>
      </c>
      <c r="AQ263" s="23">
        <f>VALUE(0)</f>
        <v>0</v>
      </c>
      <c r="AR263" s="23">
        <f>VALUE(0)</f>
        <v>0</v>
      </c>
      <c r="AS263" s="23">
        <f>VALUE(0)</f>
        <v>0</v>
      </c>
      <c r="AT263" s="23">
        <f>VALUE(0)</f>
        <v>0</v>
      </c>
      <c r="AU263" s="23">
        <f>VALUE(0)</f>
        <v>0</v>
      </c>
      <c r="AV263" s="23">
        <f>VALUE(0)</f>
        <v>0</v>
      </c>
      <c r="AW263" s="23">
        <f>VALUE(0)</f>
        <v>0</v>
      </c>
      <c r="AX263" s="23">
        <f>VALUE(0)</f>
        <v>0</v>
      </c>
      <c r="AY263" s="23">
        <f>VALUE(0)</f>
        <v>0</v>
      </c>
      <c r="AZ263" s="23">
        <f>VALUE(0)</f>
        <v>0</v>
      </c>
      <c r="BA263" s="23">
        <f>VALUE(0)</f>
        <v>0</v>
      </c>
      <c r="BB263" s="23">
        <f>VALUE(0)</f>
        <v>0</v>
      </c>
      <c r="BC263" s="23">
        <f>VALUE(0)</f>
        <v>0</v>
      </c>
      <c r="BD263" s="23">
        <f>VALUE(0)</f>
        <v>0</v>
      </c>
      <c r="BE263" s="23">
        <f>VALUE(0)</f>
        <v>0</v>
      </c>
      <c r="BF263" s="23">
        <f>VALUE(0)</f>
        <v>0</v>
      </c>
      <c r="BG263" s="23">
        <f>VALUE(0)</f>
        <v>0</v>
      </c>
      <c r="BH263" s="23">
        <f>VALUE(0)</f>
        <v>0</v>
      </c>
      <c r="BI263" s="23">
        <f>VALUE(0)</f>
        <v>0</v>
      </c>
      <c r="BJ263" s="23">
        <f>VALUE(0)</f>
        <v>0</v>
      </c>
      <c r="BK263" s="12">
        <f>$AX$263*24</f>
        <v>0</v>
      </c>
      <c r="BL263" s="12">
        <f>$AY$263*24</f>
        <v>0</v>
      </c>
      <c r="BM263" s="12">
        <f>$BJ$263*24</f>
        <v>0</v>
      </c>
      <c r="BN263" s="12">
        <f>VALUE($I$263)/100</f>
        <v>1</v>
      </c>
      <c r="BO263" s="12">
        <v>0</v>
      </c>
      <c r="BP263" s="12">
        <v>0</v>
      </c>
      <c r="BQ263" s="12">
        <v>0</v>
      </c>
      <c r="BR263" s="12">
        <v>0</v>
      </c>
      <c r="BS263" s="12">
        <v>0</v>
      </c>
      <c r="BT263" s="12">
        <v>0</v>
      </c>
      <c r="BU263" s="12">
        <v>0</v>
      </c>
      <c r="BV263" s="12">
        <v>0</v>
      </c>
      <c r="BW263" s="12">
        <v>0</v>
      </c>
      <c r="BX263" s="12">
        <v>0</v>
      </c>
      <c r="BY263" s="12">
        <v>0</v>
      </c>
      <c r="BZ263" s="12">
        <v>0</v>
      </c>
      <c r="CA263" s="12">
        <v>0</v>
      </c>
    </row>
    <row r="264" spans="1:79" x14ac:dyDescent="0.2">
      <c r="A264" s="12" t="s">
        <v>137</v>
      </c>
      <c r="B264" s="12" t="s">
        <v>139</v>
      </c>
      <c r="C264" s="12" t="s">
        <v>139</v>
      </c>
      <c r="D264" s="22" t="s">
        <v>490</v>
      </c>
      <c r="E264" s="22" t="s">
        <v>161</v>
      </c>
      <c r="F264" s="22" t="s">
        <v>1015</v>
      </c>
      <c r="G264" s="22" t="s">
        <v>1016</v>
      </c>
      <c r="H264" s="22" t="s">
        <v>150</v>
      </c>
      <c r="I264" s="22" t="s">
        <v>151</v>
      </c>
      <c r="J264" s="22" t="s">
        <v>162</v>
      </c>
      <c r="K264" s="22" t="s">
        <v>94</v>
      </c>
      <c r="L264" s="54" t="s">
        <v>153</v>
      </c>
      <c r="M264" s="28" t="s">
        <v>163</v>
      </c>
      <c r="N264" s="24" t="s">
        <v>153</v>
      </c>
      <c r="O264" s="23" t="s">
        <v>153</v>
      </c>
      <c r="P264" s="23" t="s">
        <v>153</v>
      </c>
      <c r="Q264" s="23" t="s">
        <v>153</v>
      </c>
      <c r="R264" s="23" t="s">
        <v>153</v>
      </c>
      <c r="S264" s="24" t="s">
        <v>156</v>
      </c>
      <c r="T264" s="24" t="s">
        <v>156</v>
      </c>
      <c r="U264" s="24" t="s">
        <v>153</v>
      </c>
      <c r="V264" s="54" t="s">
        <v>153</v>
      </c>
      <c r="W264" s="23" t="s">
        <v>153</v>
      </c>
      <c r="X264" s="23" t="s">
        <v>153</v>
      </c>
      <c r="Y264" s="23" t="s">
        <v>153</v>
      </c>
      <c r="Z264" s="23" t="s">
        <v>153</v>
      </c>
      <c r="AA264" s="23" t="s">
        <v>153</v>
      </c>
      <c r="AB264" s="24" t="s">
        <v>153</v>
      </c>
      <c r="AC264" s="23" t="s">
        <v>153</v>
      </c>
      <c r="AD264" s="23" t="s">
        <v>153</v>
      </c>
      <c r="AE264" s="23" t="s">
        <v>153</v>
      </c>
      <c r="AF264" s="23" t="s">
        <v>153</v>
      </c>
      <c r="AG264" s="23" t="s">
        <v>153</v>
      </c>
      <c r="AH264" s="23" t="s">
        <v>153</v>
      </c>
      <c r="AI264" s="24" t="s">
        <v>153</v>
      </c>
      <c r="AJ264" s="24" t="s">
        <v>156</v>
      </c>
      <c r="AK264" s="24" t="s">
        <v>156</v>
      </c>
      <c r="AL264" s="23" t="s">
        <v>153</v>
      </c>
      <c r="AM264" s="23" t="s">
        <v>153</v>
      </c>
      <c r="AN264" s="23" t="s">
        <v>153</v>
      </c>
      <c r="AO264" s="23" t="s">
        <v>153</v>
      </c>
      <c r="AP264" s="23">
        <f>VALUE(0)</f>
        <v>0</v>
      </c>
      <c r="AQ264" s="23">
        <f>VALUE(0)</f>
        <v>0</v>
      </c>
      <c r="AR264" s="23">
        <f>VALUE(0)</f>
        <v>0</v>
      </c>
      <c r="AS264" s="23">
        <f>VALUE(0)</f>
        <v>0</v>
      </c>
      <c r="AT264" s="23">
        <f>VALUE(0)</f>
        <v>0</v>
      </c>
      <c r="AU264" s="23">
        <f>VALUE(1)</f>
        <v>1</v>
      </c>
      <c r="AV264" s="23">
        <f>VALUE(0)</f>
        <v>0</v>
      </c>
      <c r="AW264" s="23">
        <f>VALUE(0)</f>
        <v>0</v>
      </c>
      <c r="AX264" s="23" t="s">
        <v>171</v>
      </c>
      <c r="AY264" s="23" t="s">
        <v>518</v>
      </c>
      <c r="AZ264" s="23">
        <f>VALUE(0)</f>
        <v>0</v>
      </c>
      <c r="BA264" s="23">
        <f>VALUE(0)</f>
        <v>0</v>
      </c>
      <c r="BB264" s="23">
        <f>VALUE(0)</f>
        <v>0</v>
      </c>
      <c r="BC264" s="23">
        <f>VALUE(0)</f>
        <v>0</v>
      </c>
      <c r="BD264" s="23">
        <f>VALUE(0)</f>
        <v>0</v>
      </c>
      <c r="BE264" s="23">
        <f>VALUE(0)</f>
        <v>0</v>
      </c>
      <c r="BF264" s="23">
        <f>VALUE(0)</f>
        <v>0</v>
      </c>
      <c r="BG264" s="23">
        <f>VALUE(0)</f>
        <v>0</v>
      </c>
      <c r="BH264" s="23">
        <f>VALUE(0)</f>
        <v>0</v>
      </c>
      <c r="BI264" s="23">
        <f>VALUE(0)</f>
        <v>0</v>
      </c>
      <c r="BJ264" s="23">
        <f>VALUE(0)</f>
        <v>0</v>
      </c>
      <c r="BK264" s="12">
        <f>$AX$264*24</f>
        <v>5.833333333333333</v>
      </c>
      <c r="BL264" s="12">
        <f>$AY$264*24</f>
        <v>3.8500000000000005</v>
      </c>
      <c r="BM264" s="12">
        <f>$BJ$264*24</f>
        <v>0</v>
      </c>
      <c r="BN264" s="12">
        <f>VALUE($I$264)/100</f>
        <v>1</v>
      </c>
      <c r="BO264" s="12">
        <v>0</v>
      </c>
      <c r="BP264" s="12">
        <v>0</v>
      </c>
      <c r="BQ264" s="12">
        <v>0</v>
      </c>
      <c r="BR264" s="12">
        <v>0</v>
      </c>
      <c r="BS264" s="12">
        <v>0</v>
      </c>
      <c r="BT264" s="12">
        <v>0</v>
      </c>
      <c r="BU264" s="12">
        <v>0</v>
      </c>
      <c r="BV264" s="12">
        <v>0</v>
      </c>
      <c r="BW264" s="12">
        <v>0</v>
      </c>
      <c r="BX264" s="12">
        <v>0</v>
      </c>
      <c r="BY264" s="12">
        <v>0</v>
      </c>
      <c r="BZ264" s="12">
        <v>0</v>
      </c>
      <c r="CA264" s="12">
        <v>0</v>
      </c>
    </row>
    <row r="265" spans="1:79" x14ac:dyDescent="0.2">
      <c r="A265" s="12" t="s">
        <v>137</v>
      </c>
      <c r="B265" s="12" t="s">
        <v>139</v>
      </c>
      <c r="C265" s="12" t="s">
        <v>139</v>
      </c>
      <c r="D265" s="22" t="s">
        <v>497</v>
      </c>
      <c r="E265" s="22" t="s">
        <v>161</v>
      </c>
      <c r="F265" s="22" t="s">
        <v>1276</v>
      </c>
      <c r="G265" s="22" t="s">
        <v>1017</v>
      </c>
      <c r="H265" s="22" t="s">
        <v>166</v>
      </c>
      <c r="I265" s="22" t="s">
        <v>151</v>
      </c>
      <c r="J265" s="22" t="s">
        <v>162</v>
      </c>
      <c r="K265" s="22" t="s">
        <v>94</v>
      </c>
      <c r="L265" s="54" t="s">
        <v>156</v>
      </c>
      <c r="M265" s="24" t="s">
        <v>156</v>
      </c>
      <c r="N265" s="24" t="s">
        <v>153</v>
      </c>
      <c r="O265" s="23" t="s">
        <v>153</v>
      </c>
      <c r="P265" s="23" t="s">
        <v>153</v>
      </c>
      <c r="Q265" s="23" t="s">
        <v>153</v>
      </c>
      <c r="R265" s="23" t="s">
        <v>153</v>
      </c>
      <c r="S265" s="23" t="s">
        <v>153</v>
      </c>
      <c r="T265" s="23" t="s">
        <v>153</v>
      </c>
      <c r="U265" s="24" t="s">
        <v>153</v>
      </c>
      <c r="V265" s="54" t="s">
        <v>153</v>
      </c>
      <c r="W265" s="23" t="s">
        <v>153</v>
      </c>
      <c r="X265" s="23" t="s">
        <v>153</v>
      </c>
      <c r="Y265" s="23" t="s">
        <v>153</v>
      </c>
      <c r="Z265" s="23" t="s">
        <v>153</v>
      </c>
      <c r="AA265" s="23" t="s">
        <v>153</v>
      </c>
      <c r="AB265" s="24" t="s">
        <v>153</v>
      </c>
      <c r="AC265" s="24" t="s">
        <v>156</v>
      </c>
      <c r="AD265" s="24" t="s">
        <v>156</v>
      </c>
      <c r="AE265" s="55" t="s">
        <v>1277</v>
      </c>
      <c r="AF265" s="55" t="s">
        <v>1277</v>
      </c>
      <c r="AG265" s="55" t="s">
        <v>1277</v>
      </c>
      <c r="AH265" s="55" t="s">
        <v>1277</v>
      </c>
      <c r="AI265" s="24" t="s">
        <v>153</v>
      </c>
      <c r="AJ265" s="23" t="s">
        <v>153</v>
      </c>
      <c r="AK265" s="23" t="s">
        <v>153</v>
      </c>
      <c r="AL265" s="23" t="s">
        <v>153</v>
      </c>
      <c r="AM265" s="23" t="s">
        <v>153</v>
      </c>
      <c r="AN265" s="23" t="s">
        <v>153</v>
      </c>
      <c r="AO265" s="23" t="s">
        <v>153</v>
      </c>
      <c r="AP265" s="23">
        <f>VALUE(0)</f>
        <v>0</v>
      </c>
      <c r="AQ265" s="23">
        <f>VALUE(0)</f>
        <v>0</v>
      </c>
      <c r="AR265" s="23">
        <f>VALUE(0)</f>
        <v>0</v>
      </c>
      <c r="AS265" s="23">
        <f>VALUE(0)</f>
        <v>0</v>
      </c>
      <c r="AT265" s="23">
        <f>VALUE(0)</f>
        <v>0</v>
      </c>
      <c r="AU265" s="23">
        <f>VALUE(0)</f>
        <v>0</v>
      </c>
      <c r="AV265" s="23">
        <f>VALUE(3)</f>
        <v>3</v>
      </c>
      <c r="AW265" s="23">
        <f>VALUE(0)</f>
        <v>0</v>
      </c>
      <c r="AX265" s="23" t="s">
        <v>1278</v>
      </c>
      <c r="AY265" s="23">
        <f>VALUE(0)</f>
        <v>0</v>
      </c>
      <c r="AZ265" s="23">
        <f>VALUE(0)</f>
        <v>0</v>
      </c>
      <c r="BA265" s="23">
        <f>VALUE(0)</f>
        <v>0</v>
      </c>
      <c r="BB265" s="23">
        <f>VALUE(0)</f>
        <v>0</v>
      </c>
      <c r="BC265" s="23">
        <f>VALUE(0)</f>
        <v>0</v>
      </c>
      <c r="BD265" s="23">
        <f>VALUE(0)</f>
        <v>0</v>
      </c>
      <c r="BE265" s="23">
        <f>VALUE(0)</f>
        <v>0</v>
      </c>
      <c r="BF265" s="23">
        <f>VALUE(0)</f>
        <v>0</v>
      </c>
      <c r="BG265" s="23">
        <f>VALUE(0)</f>
        <v>0</v>
      </c>
      <c r="BH265" s="23">
        <f>VALUE(0)</f>
        <v>0</v>
      </c>
      <c r="BI265" s="23">
        <f>VALUE(0)</f>
        <v>0</v>
      </c>
      <c r="BJ265" s="23">
        <f>VALUE(0)</f>
        <v>0</v>
      </c>
      <c r="BK265" s="12">
        <f>$AX$265*24</f>
        <v>6.3166666666666664</v>
      </c>
      <c r="BL265" s="12">
        <f>$AY$265*24</f>
        <v>0</v>
      </c>
      <c r="BM265" s="12">
        <f>$BJ$265*24</f>
        <v>0</v>
      </c>
      <c r="BN265" s="12">
        <f>VALUE($I$265)/100</f>
        <v>1</v>
      </c>
      <c r="BO265" s="12">
        <v>0</v>
      </c>
      <c r="BP265" s="12">
        <v>0</v>
      </c>
      <c r="BQ265" s="12">
        <v>0</v>
      </c>
      <c r="BR265" s="12">
        <v>0</v>
      </c>
      <c r="BS265" s="12">
        <v>0</v>
      </c>
      <c r="BT265" s="12">
        <v>0</v>
      </c>
      <c r="BU265" s="12">
        <v>0</v>
      </c>
      <c r="BV265" s="12">
        <v>0</v>
      </c>
      <c r="BW265" s="12">
        <v>0</v>
      </c>
      <c r="BX265" s="12">
        <v>0</v>
      </c>
      <c r="BY265" s="12">
        <v>0</v>
      </c>
      <c r="BZ265" s="12">
        <v>0</v>
      </c>
      <c r="CA265" s="12">
        <v>0</v>
      </c>
    </row>
    <row r="266" spans="1:79" x14ac:dyDescent="0.2">
      <c r="A266" s="12" t="s">
        <v>137</v>
      </c>
      <c r="B266" s="12" t="s">
        <v>139</v>
      </c>
      <c r="C266" s="12" t="s">
        <v>139</v>
      </c>
      <c r="D266" s="22" t="s">
        <v>519</v>
      </c>
      <c r="E266" s="22" t="s">
        <v>173</v>
      </c>
      <c r="F266" s="22" t="s">
        <v>1018</v>
      </c>
      <c r="G266" s="22" t="s">
        <v>1019</v>
      </c>
      <c r="H266" s="22" t="s">
        <v>190</v>
      </c>
      <c r="I266" s="22" t="s">
        <v>151</v>
      </c>
      <c r="J266" s="22" t="s">
        <v>162</v>
      </c>
      <c r="K266" s="22" t="s">
        <v>94</v>
      </c>
      <c r="L266" s="54" t="s">
        <v>153</v>
      </c>
      <c r="M266" s="23" t="s">
        <v>498</v>
      </c>
      <c r="N266" s="24" t="s">
        <v>153</v>
      </c>
      <c r="O266" s="23" t="s">
        <v>498</v>
      </c>
      <c r="P266" s="23" t="s">
        <v>498</v>
      </c>
      <c r="Q266" s="23" t="s">
        <v>498</v>
      </c>
      <c r="R266" s="23" t="s">
        <v>511</v>
      </c>
      <c r="S266" s="23" t="s">
        <v>511</v>
      </c>
      <c r="T266" s="23" t="s">
        <v>511</v>
      </c>
      <c r="U266" s="40" t="s">
        <v>153</v>
      </c>
      <c r="V266" s="40" t="s">
        <v>153</v>
      </c>
      <c r="W266" s="40" t="s">
        <v>153</v>
      </c>
      <c r="X266" s="40" t="s">
        <v>153</v>
      </c>
      <c r="Y266" s="40" t="s">
        <v>153</v>
      </c>
      <c r="Z266" s="40" t="s">
        <v>153</v>
      </c>
      <c r="AA266" s="40" t="s">
        <v>153</v>
      </c>
      <c r="AB266" s="40" t="s">
        <v>153</v>
      </c>
      <c r="AC266" s="40" t="s">
        <v>153</v>
      </c>
      <c r="AD266" s="40" t="s">
        <v>153</v>
      </c>
      <c r="AE266" s="40" t="s">
        <v>153</v>
      </c>
      <c r="AF266" s="40" t="s">
        <v>153</v>
      </c>
      <c r="AG266" s="40" t="s">
        <v>153</v>
      </c>
      <c r="AH266" s="40" t="s">
        <v>153</v>
      </c>
      <c r="AI266" s="40" t="s">
        <v>153</v>
      </c>
      <c r="AJ266" s="40" t="s">
        <v>153</v>
      </c>
      <c r="AK266" s="40" t="s">
        <v>153</v>
      </c>
      <c r="AL266" s="40" t="s">
        <v>153</v>
      </c>
      <c r="AM266" s="40" t="s">
        <v>153</v>
      </c>
      <c r="AN266" s="40" t="s">
        <v>153</v>
      </c>
      <c r="AO266" s="40" t="s">
        <v>153</v>
      </c>
      <c r="AP266" s="23">
        <f>VALUE(0)</f>
        <v>0</v>
      </c>
      <c r="AQ266" s="23">
        <f>VALUE(0)</f>
        <v>0</v>
      </c>
      <c r="AR266" s="23">
        <f>VALUE(0)</f>
        <v>0</v>
      </c>
      <c r="AS266" s="23">
        <f>VALUE(0)</f>
        <v>0</v>
      </c>
      <c r="AT266" s="23">
        <f>VALUE(0)</f>
        <v>0</v>
      </c>
      <c r="AU266" s="23">
        <f>VALUE(0)</f>
        <v>0</v>
      </c>
      <c r="AV266" s="23">
        <f>VALUE(4)</f>
        <v>4</v>
      </c>
      <c r="AW266" s="23">
        <f>VALUE(0)</f>
        <v>0</v>
      </c>
      <c r="AX266" s="23">
        <f>VALUE(0)</f>
        <v>0</v>
      </c>
      <c r="AY266" s="23">
        <f>VALUE(0)</f>
        <v>0</v>
      </c>
      <c r="AZ266" s="23">
        <f>VALUE(0)</f>
        <v>0</v>
      </c>
      <c r="BA266" s="23">
        <f>VALUE(0)</f>
        <v>0</v>
      </c>
      <c r="BB266" s="23">
        <f>VALUE(0)</f>
        <v>0</v>
      </c>
      <c r="BC266" s="23">
        <f>VALUE(0)</f>
        <v>0</v>
      </c>
      <c r="BD266" s="23">
        <f>VALUE(0)</f>
        <v>0</v>
      </c>
      <c r="BE266" s="23">
        <f>VALUE(0)</f>
        <v>0</v>
      </c>
      <c r="BF266" s="23">
        <f>VALUE(0)</f>
        <v>0</v>
      </c>
      <c r="BG266" s="23">
        <f>VALUE(0)</f>
        <v>0</v>
      </c>
      <c r="BH266" s="23">
        <f>VALUE(0)</f>
        <v>0</v>
      </c>
      <c r="BI266" s="23">
        <f>VALUE(0)</f>
        <v>0</v>
      </c>
      <c r="BJ266" s="23">
        <f>VALUE(0)</f>
        <v>0</v>
      </c>
      <c r="BK266" s="12">
        <f>$AX$266*24</f>
        <v>0</v>
      </c>
      <c r="BL266" s="12">
        <f>$AY$266*24</f>
        <v>0</v>
      </c>
      <c r="BM266" s="12">
        <f>$BJ$266*24</f>
        <v>0</v>
      </c>
      <c r="BN266" s="12">
        <f>VALUE($I$266)/100</f>
        <v>1</v>
      </c>
      <c r="BO266" s="12">
        <v>0</v>
      </c>
      <c r="BP266" s="12">
        <v>0</v>
      </c>
      <c r="BQ266" s="12">
        <v>0</v>
      </c>
      <c r="BR266" s="12">
        <v>0</v>
      </c>
      <c r="BS266" s="12">
        <v>0</v>
      </c>
      <c r="BT266" s="12">
        <v>0</v>
      </c>
      <c r="BU266" s="12">
        <v>0</v>
      </c>
      <c r="BV266" s="12">
        <v>0</v>
      </c>
      <c r="BW266" s="12">
        <v>0</v>
      </c>
      <c r="BX266" s="12">
        <v>0</v>
      </c>
      <c r="BY266" s="12">
        <v>0</v>
      </c>
      <c r="BZ266" s="12">
        <v>0</v>
      </c>
      <c r="CA266" s="12">
        <v>0</v>
      </c>
    </row>
    <row r="267" spans="1:79" x14ac:dyDescent="0.2">
      <c r="A267" s="12" t="s">
        <v>137</v>
      </c>
      <c r="B267" s="12" t="s">
        <v>139</v>
      </c>
      <c r="C267" s="12" t="s">
        <v>139</v>
      </c>
      <c r="D267" s="22" t="s">
        <v>519</v>
      </c>
      <c r="E267" s="22" t="s">
        <v>159</v>
      </c>
      <c r="F267" s="22" t="s">
        <v>1020</v>
      </c>
      <c r="G267" s="22" t="s">
        <v>1021</v>
      </c>
      <c r="H267" s="22" t="s">
        <v>150</v>
      </c>
      <c r="I267" s="22" t="s">
        <v>151</v>
      </c>
      <c r="J267" s="22" t="s">
        <v>162</v>
      </c>
      <c r="K267" s="22" t="s">
        <v>94</v>
      </c>
      <c r="L267" s="54" t="s">
        <v>153</v>
      </c>
      <c r="M267" s="23" t="s">
        <v>492</v>
      </c>
      <c r="N267" s="24" t="s">
        <v>153</v>
      </c>
      <c r="O267" s="23" t="s">
        <v>492</v>
      </c>
      <c r="P267" s="23" t="s">
        <v>492</v>
      </c>
      <c r="Q267" s="24" t="s">
        <v>156</v>
      </c>
      <c r="R267" s="24" t="s">
        <v>156</v>
      </c>
      <c r="S267" s="28" t="s">
        <v>163</v>
      </c>
      <c r="T267" s="28" t="s">
        <v>163</v>
      </c>
      <c r="U267" s="24" t="s">
        <v>153</v>
      </c>
      <c r="V267" s="54" t="s">
        <v>153</v>
      </c>
      <c r="W267" s="28" t="s">
        <v>163</v>
      </c>
      <c r="X267" s="28" t="s">
        <v>163</v>
      </c>
      <c r="Y267" s="28" t="s">
        <v>163</v>
      </c>
      <c r="Z267" s="28" t="s">
        <v>163</v>
      </c>
      <c r="AA267" s="28" t="s">
        <v>163</v>
      </c>
      <c r="AB267" s="24" t="s">
        <v>153</v>
      </c>
      <c r="AC267" s="28" t="s">
        <v>163</v>
      </c>
      <c r="AD267" s="25" t="s">
        <v>588</v>
      </c>
      <c r="AE267" s="25" t="s">
        <v>588</v>
      </c>
      <c r="AF267" s="25" t="s">
        <v>588</v>
      </c>
      <c r="AG267" s="23" t="s">
        <v>511</v>
      </c>
      <c r="AH267" s="23" t="s">
        <v>511</v>
      </c>
      <c r="AI267" s="24" t="s">
        <v>153</v>
      </c>
      <c r="AJ267" s="23" t="s">
        <v>511</v>
      </c>
      <c r="AK267" s="23" t="s">
        <v>511</v>
      </c>
      <c r="AL267" s="23" t="s">
        <v>511</v>
      </c>
      <c r="AM267" s="23" t="s">
        <v>511</v>
      </c>
      <c r="AN267" s="24" t="s">
        <v>156</v>
      </c>
      <c r="AO267" s="24" t="s">
        <v>156</v>
      </c>
      <c r="AP267" s="23">
        <f>VALUE(22)</f>
        <v>22</v>
      </c>
      <c r="AQ267" s="23">
        <f>VALUE(0)</f>
        <v>0</v>
      </c>
      <c r="AR267" s="23">
        <f>VALUE(0)</f>
        <v>0</v>
      </c>
      <c r="AS267" s="23">
        <f>VALUE(0)</f>
        <v>0</v>
      </c>
      <c r="AT267" s="23">
        <f>VALUE(0)</f>
        <v>0</v>
      </c>
      <c r="AU267" s="23">
        <f>VALUE(8)</f>
        <v>8</v>
      </c>
      <c r="AV267" s="23">
        <f>VALUE(0)</f>
        <v>0</v>
      </c>
      <c r="AW267" s="23">
        <f>VALUE(0)</f>
        <v>0</v>
      </c>
      <c r="AX267" s="23">
        <f>VALUE(0)</f>
        <v>0</v>
      </c>
      <c r="AY267" s="23">
        <f>VALUE(0)</f>
        <v>0</v>
      </c>
      <c r="AZ267" s="23">
        <f>VALUE(0)</f>
        <v>0</v>
      </c>
      <c r="BA267" s="23">
        <f>VALUE(0)</f>
        <v>0</v>
      </c>
      <c r="BB267" s="23">
        <f>VALUE(0)</f>
        <v>0</v>
      </c>
      <c r="BC267" s="23">
        <f>VALUE(0)</f>
        <v>0</v>
      </c>
      <c r="BD267" s="23">
        <f>VALUE(3)</f>
        <v>3</v>
      </c>
      <c r="BE267" s="23">
        <f>VALUE(0)</f>
        <v>0</v>
      </c>
      <c r="BF267" s="23">
        <f>VALUE(0)</f>
        <v>0</v>
      </c>
      <c r="BG267" s="23">
        <f>VALUE(0)</f>
        <v>0</v>
      </c>
      <c r="BH267" s="23">
        <f>VALUE(0)</f>
        <v>0</v>
      </c>
      <c r="BI267" s="23">
        <f>VALUE(0)</f>
        <v>0</v>
      </c>
      <c r="BJ267" s="23">
        <f>VALUE(0)</f>
        <v>0</v>
      </c>
      <c r="BK267" s="12">
        <f>$AX$267*24</f>
        <v>0</v>
      </c>
      <c r="BL267" s="12">
        <f>$AY$267*24</f>
        <v>0</v>
      </c>
      <c r="BM267" s="12">
        <f>$BJ$267*24</f>
        <v>0</v>
      </c>
      <c r="BN267" s="12">
        <f>VALUE($I$267)/100</f>
        <v>1</v>
      </c>
      <c r="BO267" s="12">
        <v>0</v>
      </c>
      <c r="BP267" s="12">
        <v>0</v>
      </c>
      <c r="BQ267" s="12">
        <v>0</v>
      </c>
      <c r="BR267" s="12">
        <v>3</v>
      </c>
      <c r="BS267" s="12">
        <v>0</v>
      </c>
      <c r="BT267" s="12">
        <v>0</v>
      </c>
      <c r="BU267" s="12">
        <v>0</v>
      </c>
      <c r="BV267" s="12">
        <v>0</v>
      </c>
      <c r="BW267" s="12">
        <v>0</v>
      </c>
      <c r="BX267" s="12">
        <v>0</v>
      </c>
      <c r="BY267" s="12">
        <v>0</v>
      </c>
      <c r="BZ267" s="12">
        <v>0</v>
      </c>
      <c r="CA267" s="12">
        <v>0</v>
      </c>
    </row>
    <row r="268" spans="1:79" ht="16.5" x14ac:dyDescent="0.2">
      <c r="A268" s="12" t="s">
        <v>137</v>
      </c>
      <c r="B268" s="12" t="s">
        <v>139</v>
      </c>
      <c r="C268" s="12" t="s">
        <v>139</v>
      </c>
      <c r="D268" s="22" t="s">
        <v>1279</v>
      </c>
      <c r="E268" s="22" t="s">
        <v>173</v>
      </c>
      <c r="F268" s="22" t="s">
        <v>1022</v>
      </c>
      <c r="G268" s="22" t="s">
        <v>1023</v>
      </c>
      <c r="H268" s="22" t="s">
        <v>150</v>
      </c>
      <c r="I268" s="22" t="s">
        <v>151</v>
      </c>
      <c r="J268" s="22" t="s">
        <v>162</v>
      </c>
      <c r="K268" s="22" t="s">
        <v>94</v>
      </c>
      <c r="L268" s="54" t="s">
        <v>153</v>
      </c>
      <c r="M268" s="32" t="s">
        <v>188</v>
      </c>
      <c r="N268" s="24" t="s">
        <v>153</v>
      </c>
      <c r="O268" s="32" t="s">
        <v>188</v>
      </c>
      <c r="P268" s="32" t="s">
        <v>188</v>
      </c>
      <c r="Q268" s="32" t="s">
        <v>188</v>
      </c>
      <c r="R268" s="32" t="s">
        <v>188</v>
      </c>
      <c r="S268" s="32" t="s">
        <v>188</v>
      </c>
      <c r="T268" s="32" t="s">
        <v>188</v>
      </c>
      <c r="U268" s="24" t="s">
        <v>153</v>
      </c>
      <c r="V268" s="54" t="s">
        <v>153</v>
      </c>
      <c r="W268" s="26" t="s">
        <v>1280</v>
      </c>
      <c r="X268" s="24" t="s">
        <v>156</v>
      </c>
      <c r="Y268" s="24" t="s">
        <v>156</v>
      </c>
      <c r="Z268" s="26" t="s">
        <v>1280</v>
      </c>
      <c r="AA268" s="26" t="s">
        <v>1280</v>
      </c>
      <c r="AB268" s="24" t="s">
        <v>153</v>
      </c>
      <c r="AC268" s="26" t="s">
        <v>1280</v>
      </c>
      <c r="AD268" s="26" t="s">
        <v>1280</v>
      </c>
      <c r="AE268" s="26" t="s">
        <v>1280</v>
      </c>
      <c r="AF268" s="26" t="s">
        <v>1280</v>
      </c>
      <c r="AG268" s="26" t="s">
        <v>1280</v>
      </c>
      <c r="AH268" s="26" t="s">
        <v>1280</v>
      </c>
      <c r="AI268" s="24" t="s">
        <v>153</v>
      </c>
      <c r="AJ268" s="26" t="s">
        <v>1280</v>
      </c>
      <c r="AK268" s="26" t="s">
        <v>1280</v>
      </c>
      <c r="AL268" s="26" t="s">
        <v>1280</v>
      </c>
      <c r="AM268" s="26" t="s">
        <v>1280</v>
      </c>
      <c r="AN268" s="26" t="s">
        <v>1280</v>
      </c>
      <c r="AO268" s="26" t="s">
        <v>1280</v>
      </c>
      <c r="AP268" s="23">
        <f>VALUE(0)</f>
        <v>0</v>
      </c>
      <c r="AQ268" s="23">
        <f>VALUE(0)</f>
        <v>0</v>
      </c>
      <c r="AR268" s="23">
        <f>VALUE(0)</f>
        <v>0</v>
      </c>
      <c r="AS268" s="23">
        <f>VALUE(0)</f>
        <v>0</v>
      </c>
      <c r="AT268" s="23">
        <f>VALUE(0)</f>
        <v>0</v>
      </c>
      <c r="AU268" s="23">
        <f>VALUE(0)</f>
        <v>0</v>
      </c>
      <c r="AV268" s="23">
        <f>VALUE(32)</f>
        <v>32</v>
      </c>
      <c r="AW268" s="23">
        <f>VALUE(0)</f>
        <v>0</v>
      </c>
      <c r="AX268" s="23" t="s">
        <v>520</v>
      </c>
      <c r="AY268" s="23" t="s">
        <v>1281</v>
      </c>
      <c r="AZ268" s="23">
        <f>VALUE(7)</f>
        <v>7</v>
      </c>
      <c r="BA268" s="23">
        <f>VALUE(0)</f>
        <v>0</v>
      </c>
      <c r="BB268" s="23">
        <f>VALUE(0)</f>
        <v>0</v>
      </c>
      <c r="BC268" s="23">
        <f>VALUE(0)</f>
        <v>0</v>
      </c>
      <c r="BD268" s="23">
        <f>VALUE(0)</f>
        <v>0</v>
      </c>
      <c r="BE268" s="23">
        <f>VALUE(0)</f>
        <v>0</v>
      </c>
      <c r="BF268" s="23">
        <f>VALUE(0)</f>
        <v>0</v>
      </c>
      <c r="BG268" s="23">
        <f>VALUE(0)</f>
        <v>0</v>
      </c>
      <c r="BH268" s="23">
        <f>VALUE(0)</f>
        <v>0</v>
      </c>
      <c r="BI268" s="23">
        <f>VALUE(0)</f>
        <v>0</v>
      </c>
      <c r="BJ268" s="23">
        <f>VALUE(0)</f>
        <v>0</v>
      </c>
      <c r="BK268" s="12">
        <f>$AX$268*24</f>
        <v>9.4833333333333325</v>
      </c>
      <c r="BL268" s="12">
        <f>$AY$268*24</f>
        <v>33.15</v>
      </c>
      <c r="BM268" s="12">
        <f>$BJ$268*24</f>
        <v>0</v>
      </c>
      <c r="BN268" s="12">
        <f>VALUE($I$268)/100</f>
        <v>1</v>
      </c>
      <c r="BO268" s="12">
        <v>0</v>
      </c>
      <c r="BP268" s="12">
        <v>0</v>
      </c>
      <c r="BQ268" s="12">
        <v>0</v>
      </c>
      <c r="BR268" s="12">
        <v>0</v>
      </c>
      <c r="BS268" s="12">
        <v>0</v>
      </c>
      <c r="BT268" s="12">
        <v>0</v>
      </c>
      <c r="BU268" s="12">
        <v>0</v>
      </c>
      <c r="BV268" s="12">
        <v>0</v>
      </c>
      <c r="BW268" s="12">
        <v>0</v>
      </c>
      <c r="BX268" s="12">
        <v>0</v>
      </c>
      <c r="BY268" s="12">
        <v>0</v>
      </c>
      <c r="BZ268" s="12">
        <v>0</v>
      </c>
      <c r="CA268" s="12">
        <v>0</v>
      </c>
    </row>
    <row r="269" spans="1:79" x14ac:dyDescent="0.2">
      <c r="A269" s="12" t="s">
        <v>137</v>
      </c>
      <c r="B269" s="12" t="s">
        <v>139</v>
      </c>
      <c r="C269" s="12" t="s">
        <v>139</v>
      </c>
      <c r="D269" s="22" t="s">
        <v>521</v>
      </c>
      <c r="E269" s="22" t="s">
        <v>173</v>
      </c>
      <c r="F269" s="22" t="s">
        <v>1024</v>
      </c>
      <c r="G269" s="22" t="s">
        <v>1025</v>
      </c>
      <c r="H269" s="22" t="s">
        <v>150</v>
      </c>
      <c r="I269" s="22" t="s">
        <v>151</v>
      </c>
      <c r="J269" s="22" t="s">
        <v>162</v>
      </c>
      <c r="K269" s="22" t="s">
        <v>94</v>
      </c>
      <c r="L269" s="54" t="s">
        <v>153</v>
      </c>
      <c r="M269" s="23" t="s">
        <v>511</v>
      </c>
      <c r="N269" s="24" t="s">
        <v>153</v>
      </c>
      <c r="O269" s="28" t="s">
        <v>163</v>
      </c>
      <c r="P269" s="28" t="s">
        <v>163</v>
      </c>
      <c r="Q269" s="28" t="s">
        <v>163</v>
      </c>
      <c r="R269" s="28" t="s">
        <v>163</v>
      </c>
      <c r="S269" s="28" t="s">
        <v>163</v>
      </c>
      <c r="T269" s="28" t="s">
        <v>163</v>
      </c>
      <c r="U269" s="24" t="s">
        <v>153</v>
      </c>
      <c r="V269" s="54" t="s">
        <v>153</v>
      </c>
      <c r="W269" s="23" t="s">
        <v>511</v>
      </c>
      <c r="X269" s="24" t="s">
        <v>156</v>
      </c>
      <c r="Y269" s="24" t="s">
        <v>156</v>
      </c>
      <c r="Z269" s="23" t="s">
        <v>511</v>
      </c>
      <c r="AA269" s="23" t="s">
        <v>511</v>
      </c>
      <c r="AB269" s="24" t="s">
        <v>153</v>
      </c>
      <c r="AC269" s="23" t="s">
        <v>511</v>
      </c>
      <c r="AD269" s="25" t="s">
        <v>511</v>
      </c>
      <c r="AE269" s="25" t="s">
        <v>511</v>
      </c>
      <c r="AF269" s="25" t="s">
        <v>511</v>
      </c>
      <c r="AG269" s="23" t="s">
        <v>514</v>
      </c>
      <c r="AH269" s="23" t="s">
        <v>514</v>
      </c>
      <c r="AI269" s="24" t="s">
        <v>153</v>
      </c>
      <c r="AJ269" s="23" t="s">
        <v>490</v>
      </c>
      <c r="AK269" s="23" t="s">
        <v>490</v>
      </c>
      <c r="AL269" s="23" t="s">
        <v>512</v>
      </c>
      <c r="AM269" s="23" t="s">
        <v>512</v>
      </c>
      <c r="AN269" s="23" t="s">
        <v>514</v>
      </c>
      <c r="AO269" s="23" t="s">
        <v>514</v>
      </c>
      <c r="AP269" s="23">
        <f>VALUE(0)</f>
        <v>0</v>
      </c>
      <c r="AQ269" s="23">
        <f>VALUE(0)</f>
        <v>0</v>
      </c>
      <c r="AR269" s="23">
        <f>VALUE(0)</f>
        <v>0</v>
      </c>
      <c r="AS269" s="23">
        <f>VALUE(0)</f>
        <v>0</v>
      </c>
      <c r="AT269" s="23">
        <f>VALUE(0)</f>
        <v>0</v>
      </c>
      <c r="AU269" s="23">
        <f>VALUE(6)</f>
        <v>6</v>
      </c>
      <c r="AV269" s="23">
        <f>VALUE(1)</f>
        <v>1</v>
      </c>
      <c r="AW269" s="23">
        <f>VALUE(0)</f>
        <v>0</v>
      </c>
      <c r="AX269" s="23" t="s">
        <v>515</v>
      </c>
      <c r="AY269" s="23" t="s">
        <v>523</v>
      </c>
      <c r="AZ269" s="23">
        <f>VALUE(0)</f>
        <v>0</v>
      </c>
      <c r="BA269" s="23">
        <f>VALUE(0)</f>
        <v>0</v>
      </c>
      <c r="BB269" s="23">
        <f>VALUE(0)</f>
        <v>0</v>
      </c>
      <c r="BC269" s="23">
        <f>VALUE(0)</f>
        <v>0</v>
      </c>
      <c r="BD269" s="23">
        <f>VALUE(0)</f>
        <v>0</v>
      </c>
      <c r="BE269" s="23">
        <f>VALUE(0)</f>
        <v>0</v>
      </c>
      <c r="BF269" s="23">
        <f>VALUE(0)</f>
        <v>0</v>
      </c>
      <c r="BG269" s="23">
        <f>VALUE(0)</f>
        <v>0</v>
      </c>
      <c r="BH269" s="23">
        <f>VALUE(0)</f>
        <v>0</v>
      </c>
      <c r="BI269" s="23">
        <f>VALUE(0)</f>
        <v>0</v>
      </c>
      <c r="BJ269" s="23">
        <f>VALUE(0)</f>
        <v>0</v>
      </c>
      <c r="BK269" s="12">
        <f>$AX$269*24</f>
        <v>5.1166666666666663</v>
      </c>
      <c r="BL269" s="12">
        <f>$AY$269*24</f>
        <v>4.3833333333333337</v>
      </c>
      <c r="BM269" s="12">
        <f>$BJ$269*24</f>
        <v>0</v>
      </c>
      <c r="BN269" s="12">
        <f>VALUE($I$269)/100</f>
        <v>1</v>
      </c>
      <c r="BO269" s="12">
        <v>0</v>
      </c>
      <c r="BP269" s="12">
        <v>0</v>
      </c>
      <c r="BQ269" s="12">
        <v>0</v>
      </c>
      <c r="BR269" s="12">
        <v>0</v>
      </c>
      <c r="BS269" s="12">
        <v>0</v>
      </c>
      <c r="BT269" s="12">
        <v>0</v>
      </c>
      <c r="BU269" s="12">
        <v>0</v>
      </c>
      <c r="BV269" s="12">
        <v>0</v>
      </c>
      <c r="BW269" s="12">
        <v>0</v>
      </c>
      <c r="BX269" s="12">
        <v>0</v>
      </c>
      <c r="BY269" s="12">
        <v>0</v>
      </c>
      <c r="BZ269" s="12">
        <v>0</v>
      </c>
      <c r="CA269" s="12">
        <v>0</v>
      </c>
    </row>
    <row r="270" spans="1:79" ht="15" x14ac:dyDescent="0.25">
      <c r="A270" s="12" t="s">
        <v>137</v>
      </c>
      <c r="B270" s="12" t="s">
        <v>139</v>
      </c>
      <c r="C270" s="12" t="s">
        <v>139</v>
      </c>
      <c r="D270" s="31" t="s">
        <v>202</v>
      </c>
      <c r="E270" s="31" t="s">
        <v>153</v>
      </c>
      <c r="F270" s="31" t="s">
        <v>175</v>
      </c>
      <c r="G270" s="31" t="s">
        <v>153</v>
      </c>
      <c r="H270" s="31" t="s">
        <v>153</v>
      </c>
      <c r="I270" s="31" t="s">
        <v>153</v>
      </c>
      <c r="J270" s="31" t="s">
        <v>153</v>
      </c>
      <c r="K270" s="31" t="s">
        <v>153</v>
      </c>
      <c r="L270" s="31">
        <f>VALUE(0)</f>
        <v>0</v>
      </c>
      <c r="M270" s="31">
        <f>VALUE(9)</f>
        <v>9</v>
      </c>
      <c r="N270" s="31">
        <f>VALUE(0)</f>
        <v>0</v>
      </c>
      <c r="O270" s="31">
        <f>VALUE(9)</f>
        <v>9</v>
      </c>
      <c r="P270" s="31">
        <f>VALUE(9)</f>
        <v>9</v>
      </c>
      <c r="Q270" s="31">
        <f>VALUE(9)</f>
        <v>9</v>
      </c>
      <c r="R270" s="31">
        <f>VALUE(8)</f>
        <v>8</v>
      </c>
      <c r="S270" s="31">
        <f>VALUE(7)</f>
        <v>7</v>
      </c>
      <c r="T270" s="31">
        <f>VALUE(7)</f>
        <v>7</v>
      </c>
      <c r="U270" s="31">
        <f>VALUE(0)</f>
        <v>0</v>
      </c>
      <c r="V270" s="31">
        <f>VALUE(0)</f>
        <v>0</v>
      </c>
      <c r="W270" s="31">
        <f>VALUE(7)</f>
        <v>7</v>
      </c>
      <c r="X270" s="31">
        <f>VALUE(7)</f>
        <v>7</v>
      </c>
      <c r="Y270" s="31">
        <f>VALUE(7)</f>
        <v>7</v>
      </c>
      <c r="Z270" s="31">
        <f>VALUE(8)</f>
        <v>8</v>
      </c>
      <c r="AA270" s="31">
        <f>VALUE(8)</f>
        <v>8</v>
      </c>
      <c r="AB270" s="31">
        <f>VALUE(0)</f>
        <v>0</v>
      </c>
      <c r="AC270" s="31">
        <f>VALUE(8)</f>
        <v>8</v>
      </c>
      <c r="AD270" s="31">
        <f>VALUE(9)</f>
        <v>9</v>
      </c>
      <c r="AE270" s="31">
        <f>VALUE(8)</f>
        <v>8</v>
      </c>
      <c r="AF270" s="31">
        <f>VALUE(8)</f>
        <v>8</v>
      </c>
      <c r="AG270" s="31">
        <f>VALUE(8)</f>
        <v>8</v>
      </c>
      <c r="AH270" s="31">
        <f>VALUE(8)</f>
        <v>8</v>
      </c>
      <c r="AI270" s="31">
        <f>VALUE(0)</f>
        <v>0</v>
      </c>
      <c r="AJ270" s="31">
        <f>VALUE(9)</f>
        <v>9</v>
      </c>
      <c r="AK270" s="31">
        <f>VALUE(9)</f>
        <v>9</v>
      </c>
      <c r="AL270" s="31">
        <f>VALUE(8)</f>
        <v>8</v>
      </c>
      <c r="AM270" s="31">
        <f>VALUE(8)</f>
        <v>8</v>
      </c>
      <c r="AN270" s="31">
        <f>VALUE(8)</f>
        <v>8</v>
      </c>
      <c r="AO270" s="31">
        <f>VALUE(8)</f>
        <v>8</v>
      </c>
      <c r="AP270" s="31">
        <v>0</v>
      </c>
      <c r="AQ270" s="31">
        <v>0</v>
      </c>
      <c r="AR270" s="31">
        <v>0</v>
      </c>
      <c r="AS270" s="31">
        <v>0</v>
      </c>
      <c r="AT270" s="31">
        <v>0</v>
      </c>
      <c r="AU270" s="31">
        <v>0</v>
      </c>
      <c r="AV270" s="31">
        <v>0</v>
      </c>
      <c r="AW270" s="31">
        <v>0</v>
      </c>
      <c r="AX270" s="31">
        <v>0</v>
      </c>
      <c r="AY270" s="31">
        <v>0</v>
      </c>
      <c r="AZ270" s="31">
        <v>0</v>
      </c>
      <c r="BA270" s="31">
        <v>0</v>
      </c>
      <c r="BB270" s="31">
        <v>0</v>
      </c>
      <c r="BC270" s="31">
        <v>0</v>
      </c>
      <c r="BD270" s="31">
        <v>0</v>
      </c>
      <c r="BE270" s="31">
        <v>0</v>
      </c>
      <c r="BF270" s="31">
        <v>0</v>
      </c>
      <c r="BG270" s="31">
        <v>0</v>
      </c>
      <c r="BH270" s="31">
        <v>0</v>
      </c>
      <c r="BI270" s="31">
        <v>0</v>
      </c>
      <c r="BJ270" s="31">
        <v>0</v>
      </c>
      <c r="BK270" s="12">
        <v>0</v>
      </c>
      <c r="BL270" s="12">
        <v>0</v>
      </c>
      <c r="BM270" s="12">
        <v>0</v>
      </c>
      <c r="BN270" s="12"/>
      <c r="BO270" s="12">
        <v>0</v>
      </c>
      <c r="BP270" s="12">
        <v>0</v>
      </c>
      <c r="BQ270" s="12">
        <v>0</v>
      </c>
      <c r="BR270" s="12">
        <v>0</v>
      </c>
      <c r="BS270" s="12">
        <v>0</v>
      </c>
      <c r="BT270" s="12">
        <v>0</v>
      </c>
      <c r="BU270" s="12">
        <v>0</v>
      </c>
      <c r="BV270" s="12">
        <v>0</v>
      </c>
      <c r="BW270" s="12">
        <v>0</v>
      </c>
      <c r="BX270" s="12">
        <v>0</v>
      </c>
      <c r="BY270" s="12">
        <v>0</v>
      </c>
      <c r="BZ270" s="12">
        <v>0</v>
      </c>
      <c r="CA270" s="12">
        <v>0</v>
      </c>
    </row>
    <row r="271" spans="1:79" x14ac:dyDescent="0.2">
      <c r="A271" s="12" t="s">
        <v>137</v>
      </c>
      <c r="B271" s="12" t="s">
        <v>140</v>
      </c>
      <c r="C271" s="12" t="s">
        <v>140</v>
      </c>
      <c r="D271" s="22" t="s">
        <v>513</v>
      </c>
      <c r="E271" s="22" t="s">
        <v>149</v>
      </c>
      <c r="F271" s="22" t="s">
        <v>1026</v>
      </c>
      <c r="G271" s="22" t="s">
        <v>1027</v>
      </c>
      <c r="H271" s="22" t="s">
        <v>150</v>
      </c>
      <c r="I271" s="22" t="s">
        <v>151</v>
      </c>
      <c r="J271" s="22" t="s">
        <v>524</v>
      </c>
      <c r="K271" s="22" t="s">
        <v>95</v>
      </c>
      <c r="L271" s="54" t="s">
        <v>153</v>
      </c>
      <c r="M271" s="32" t="s">
        <v>188</v>
      </c>
      <c r="N271" s="24" t="s">
        <v>153</v>
      </c>
      <c r="O271" s="32" t="s">
        <v>188</v>
      </c>
      <c r="P271" s="23" t="s">
        <v>459</v>
      </c>
      <c r="Q271" s="23" t="s">
        <v>459</v>
      </c>
      <c r="R271" s="23" t="s">
        <v>459</v>
      </c>
      <c r="S271" s="23" t="s">
        <v>459</v>
      </c>
      <c r="T271" s="23" t="s">
        <v>459</v>
      </c>
      <c r="U271" s="24" t="s">
        <v>153</v>
      </c>
      <c r="V271" s="54" t="s">
        <v>153</v>
      </c>
      <c r="W271" s="23" t="s">
        <v>459</v>
      </c>
      <c r="X271" s="23" t="s">
        <v>459</v>
      </c>
      <c r="Y271" s="23" t="s">
        <v>459</v>
      </c>
      <c r="Z271" s="24" t="s">
        <v>156</v>
      </c>
      <c r="AA271" s="24" t="s">
        <v>156</v>
      </c>
      <c r="AB271" s="24" t="s">
        <v>153</v>
      </c>
      <c r="AC271" s="23" t="s">
        <v>459</v>
      </c>
      <c r="AD271" s="23" t="s">
        <v>459</v>
      </c>
      <c r="AE271" s="23" t="s">
        <v>459</v>
      </c>
      <c r="AF271" s="23" t="s">
        <v>459</v>
      </c>
      <c r="AG271" s="23" t="s">
        <v>459</v>
      </c>
      <c r="AH271" s="23" t="s">
        <v>459</v>
      </c>
      <c r="AI271" s="24" t="s">
        <v>153</v>
      </c>
      <c r="AJ271" s="23" t="s">
        <v>459</v>
      </c>
      <c r="AK271" s="23" t="s">
        <v>459</v>
      </c>
      <c r="AL271" s="23" t="s">
        <v>459</v>
      </c>
      <c r="AM271" s="23" t="s">
        <v>459</v>
      </c>
      <c r="AN271" s="23" t="s">
        <v>459</v>
      </c>
      <c r="AO271" s="23" t="s">
        <v>459</v>
      </c>
      <c r="AP271" s="23">
        <f>VALUE(0)</f>
        <v>0</v>
      </c>
      <c r="AQ271" s="23">
        <f>VALUE(0)</f>
        <v>0</v>
      </c>
      <c r="AR271" s="23">
        <f>VALUE(0)</f>
        <v>0</v>
      </c>
      <c r="AS271" s="23">
        <f>VALUE(0)</f>
        <v>0</v>
      </c>
      <c r="AT271" s="23">
        <f>VALUE(0)</f>
        <v>0</v>
      </c>
      <c r="AU271" s="23">
        <f>VALUE(0)</f>
        <v>0</v>
      </c>
      <c r="AV271" s="23">
        <f>VALUE(11)</f>
        <v>11</v>
      </c>
      <c r="AW271" s="23">
        <f>VALUE(0)</f>
        <v>0</v>
      </c>
      <c r="AX271" s="23" t="s">
        <v>1282</v>
      </c>
      <c r="AY271" s="23" t="s">
        <v>176</v>
      </c>
      <c r="AZ271" s="23">
        <f>VALUE(2)</f>
        <v>2</v>
      </c>
      <c r="BA271" s="23">
        <f>VALUE(0)</f>
        <v>0</v>
      </c>
      <c r="BB271" s="23">
        <f>VALUE(0)</f>
        <v>0</v>
      </c>
      <c r="BC271" s="23">
        <f>VALUE(0)</f>
        <v>0</v>
      </c>
      <c r="BD271" s="23">
        <f>VALUE(0)</f>
        <v>0</v>
      </c>
      <c r="BE271" s="23">
        <f>VALUE(0)</f>
        <v>0</v>
      </c>
      <c r="BF271" s="23">
        <f>VALUE(0)</f>
        <v>0</v>
      </c>
      <c r="BG271" s="23">
        <f>VALUE(0)</f>
        <v>0</v>
      </c>
      <c r="BH271" s="23">
        <f>VALUE(0)</f>
        <v>0</v>
      </c>
      <c r="BI271" s="23">
        <f>VALUE(0)</f>
        <v>0</v>
      </c>
      <c r="BJ271" s="23">
        <f>VALUE(0)</f>
        <v>0</v>
      </c>
      <c r="BK271" s="12">
        <f>$AX$271*24</f>
        <v>1.8333333333333335</v>
      </c>
      <c r="BL271" s="12">
        <f>$AY$271*24</f>
        <v>0</v>
      </c>
      <c r="BM271" s="12">
        <f>$BJ$271*24</f>
        <v>0</v>
      </c>
      <c r="BN271" s="12">
        <f>VALUE($I$271)/100</f>
        <v>1</v>
      </c>
      <c r="BO271" s="12">
        <v>0</v>
      </c>
      <c r="BP271" s="12">
        <v>0</v>
      </c>
      <c r="BQ271" s="12">
        <v>0</v>
      </c>
      <c r="BR271" s="12">
        <v>0</v>
      </c>
      <c r="BS271" s="12">
        <v>0</v>
      </c>
      <c r="BT271" s="12">
        <v>0</v>
      </c>
      <c r="BU271" s="12">
        <v>0</v>
      </c>
      <c r="BV271" s="12">
        <v>0</v>
      </c>
      <c r="BW271" s="12">
        <v>0</v>
      </c>
      <c r="BX271" s="12">
        <v>0</v>
      </c>
      <c r="BY271" s="12">
        <v>0</v>
      </c>
      <c r="BZ271" s="12">
        <v>0</v>
      </c>
      <c r="CA271" s="12">
        <v>0</v>
      </c>
    </row>
    <row r="272" spans="1:79" ht="15" x14ac:dyDescent="0.25">
      <c r="A272" s="12" t="s">
        <v>137</v>
      </c>
      <c r="B272" s="12" t="s">
        <v>140</v>
      </c>
      <c r="C272" s="12" t="s">
        <v>140</v>
      </c>
      <c r="D272" s="31" t="s">
        <v>262</v>
      </c>
      <c r="E272" s="31" t="s">
        <v>153</v>
      </c>
      <c r="F272" s="31" t="s">
        <v>175</v>
      </c>
      <c r="G272" s="31" t="s">
        <v>153</v>
      </c>
      <c r="H272" s="31" t="s">
        <v>153</v>
      </c>
      <c r="I272" s="31" t="s">
        <v>153</v>
      </c>
      <c r="J272" s="31" t="s">
        <v>153</v>
      </c>
      <c r="K272" s="31" t="s">
        <v>153</v>
      </c>
      <c r="L272" s="31">
        <f>VALUE(0)</f>
        <v>0</v>
      </c>
      <c r="M272" s="31">
        <f>VALUE(0)</f>
        <v>0</v>
      </c>
      <c r="N272" s="31">
        <f>VALUE(0)</f>
        <v>0</v>
      </c>
      <c r="O272" s="31">
        <f>VALUE(0)</f>
        <v>0</v>
      </c>
      <c r="P272" s="31">
        <f>VALUE(1)</f>
        <v>1</v>
      </c>
      <c r="Q272" s="31">
        <f>VALUE(1)</f>
        <v>1</v>
      </c>
      <c r="R272" s="31">
        <f>VALUE(1)</f>
        <v>1</v>
      </c>
      <c r="S272" s="31">
        <f>VALUE(1)</f>
        <v>1</v>
      </c>
      <c r="T272" s="31">
        <f>VALUE(1)</f>
        <v>1</v>
      </c>
      <c r="U272" s="31">
        <f>VALUE(0)</f>
        <v>0</v>
      </c>
      <c r="V272" s="31">
        <f>VALUE(0)</f>
        <v>0</v>
      </c>
      <c r="W272" s="31">
        <f>VALUE(1)</f>
        <v>1</v>
      </c>
      <c r="X272" s="31">
        <f>VALUE(1)</f>
        <v>1</v>
      </c>
      <c r="Y272" s="31">
        <f>VALUE(1)</f>
        <v>1</v>
      </c>
      <c r="Z272" s="31">
        <f>VALUE(0)</f>
        <v>0</v>
      </c>
      <c r="AA272" s="31">
        <f>VALUE(0)</f>
        <v>0</v>
      </c>
      <c r="AB272" s="31">
        <f>VALUE(0)</f>
        <v>0</v>
      </c>
      <c r="AC272" s="31">
        <f>VALUE(1)</f>
        <v>1</v>
      </c>
      <c r="AD272" s="31">
        <f>VALUE(1)</f>
        <v>1</v>
      </c>
      <c r="AE272" s="31">
        <f>VALUE(1)</f>
        <v>1</v>
      </c>
      <c r="AF272" s="31">
        <f>VALUE(1)</f>
        <v>1</v>
      </c>
      <c r="AG272" s="31">
        <f>VALUE(1)</f>
        <v>1</v>
      </c>
      <c r="AH272" s="31">
        <f>VALUE(1)</f>
        <v>1</v>
      </c>
      <c r="AI272" s="31">
        <f>VALUE(0)</f>
        <v>0</v>
      </c>
      <c r="AJ272" s="31">
        <f>VALUE(1)</f>
        <v>1</v>
      </c>
      <c r="AK272" s="31">
        <f>VALUE(1)</f>
        <v>1</v>
      </c>
      <c r="AL272" s="31">
        <f>VALUE(1)</f>
        <v>1</v>
      </c>
      <c r="AM272" s="31">
        <f>VALUE(1)</f>
        <v>1</v>
      </c>
      <c r="AN272" s="31">
        <f>VALUE(1)</f>
        <v>1</v>
      </c>
      <c r="AO272" s="31">
        <f>VALUE(1)</f>
        <v>1</v>
      </c>
      <c r="AP272" s="31">
        <v>0</v>
      </c>
      <c r="AQ272" s="31">
        <v>0</v>
      </c>
      <c r="AR272" s="31">
        <v>0</v>
      </c>
      <c r="AS272" s="31">
        <v>0</v>
      </c>
      <c r="AT272" s="31">
        <v>0</v>
      </c>
      <c r="AU272" s="31">
        <v>0</v>
      </c>
      <c r="AV272" s="31">
        <v>0</v>
      </c>
      <c r="AW272" s="31">
        <v>0</v>
      </c>
      <c r="AX272" s="31">
        <v>0</v>
      </c>
      <c r="AY272" s="31">
        <v>0</v>
      </c>
      <c r="AZ272" s="31">
        <v>0</v>
      </c>
      <c r="BA272" s="31">
        <v>0</v>
      </c>
      <c r="BB272" s="31">
        <v>0</v>
      </c>
      <c r="BC272" s="31">
        <v>0</v>
      </c>
      <c r="BD272" s="31">
        <v>0</v>
      </c>
      <c r="BE272" s="31">
        <v>0</v>
      </c>
      <c r="BF272" s="31">
        <v>0</v>
      </c>
      <c r="BG272" s="31">
        <v>0</v>
      </c>
      <c r="BH272" s="31">
        <v>0</v>
      </c>
      <c r="BI272" s="31">
        <v>0</v>
      </c>
      <c r="BJ272" s="31">
        <v>0</v>
      </c>
      <c r="BK272" s="12">
        <v>0</v>
      </c>
      <c r="BL272" s="12">
        <v>0</v>
      </c>
      <c r="BM272" s="12">
        <v>0</v>
      </c>
      <c r="BN272" s="12"/>
      <c r="BO272" s="12">
        <v>0</v>
      </c>
      <c r="BP272" s="12">
        <v>0</v>
      </c>
      <c r="BQ272" s="12">
        <v>0</v>
      </c>
      <c r="BR272" s="12">
        <v>0</v>
      </c>
      <c r="BS272" s="12">
        <v>0</v>
      </c>
      <c r="BT272" s="12">
        <v>0</v>
      </c>
      <c r="BU272" s="12">
        <v>0</v>
      </c>
      <c r="BV272" s="12">
        <v>0</v>
      </c>
      <c r="BW272" s="12">
        <v>0</v>
      </c>
      <c r="BX272" s="12">
        <v>0</v>
      </c>
      <c r="BY272" s="12">
        <v>0</v>
      </c>
      <c r="BZ272" s="12">
        <v>0</v>
      </c>
      <c r="CA272" s="12">
        <v>0</v>
      </c>
    </row>
    <row r="273" spans="1:79" x14ac:dyDescent="0.2">
      <c r="A273" s="12" t="s">
        <v>141</v>
      </c>
      <c r="B273" s="12" t="s">
        <v>142</v>
      </c>
      <c r="C273" s="12" t="s">
        <v>142</v>
      </c>
      <c r="D273" s="22" t="s">
        <v>525</v>
      </c>
      <c r="E273" s="22" t="s">
        <v>161</v>
      </c>
      <c r="F273" s="22" t="s">
        <v>1028</v>
      </c>
      <c r="G273" s="22" t="s">
        <v>1029</v>
      </c>
      <c r="H273" s="22" t="s">
        <v>279</v>
      </c>
      <c r="I273" s="22" t="s">
        <v>151</v>
      </c>
      <c r="J273" s="22" t="s">
        <v>181</v>
      </c>
      <c r="K273" s="22" t="s">
        <v>96</v>
      </c>
      <c r="L273" s="54" t="s">
        <v>153</v>
      </c>
      <c r="M273" s="23" t="s">
        <v>153</v>
      </c>
      <c r="N273" s="24" t="s">
        <v>153</v>
      </c>
      <c r="O273" s="23" t="s">
        <v>153</v>
      </c>
      <c r="P273" s="23" t="s">
        <v>153</v>
      </c>
      <c r="Q273" s="23" t="s">
        <v>153</v>
      </c>
      <c r="R273" s="23" t="s">
        <v>153</v>
      </c>
      <c r="S273" s="23" t="s">
        <v>153</v>
      </c>
      <c r="T273" s="23" t="s">
        <v>153</v>
      </c>
      <c r="U273" s="24" t="s">
        <v>153</v>
      </c>
      <c r="V273" s="54" t="s">
        <v>153</v>
      </c>
      <c r="W273" s="27" t="s">
        <v>153</v>
      </c>
      <c r="X273" s="27" t="s">
        <v>153</v>
      </c>
      <c r="Y273" s="27" t="s">
        <v>153</v>
      </c>
      <c r="Z273" s="27" t="s">
        <v>153</v>
      </c>
      <c r="AA273" s="27" t="s">
        <v>153</v>
      </c>
      <c r="AB273" s="24" t="s">
        <v>153</v>
      </c>
      <c r="AC273" s="27" t="s">
        <v>153</v>
      </c>
      <c r="AD273" s="27" t="s">
        <v>153</v>
      </c>
      <c r="AE273" s="27" t="s">
        <v>153</v>
      </c>
      <c r="AF273" s="27" t="s">
        <v>153</v>
      </c>
      <c r="AG273" s="27" t="s">
        <v>153</v>
      </c>
      <c r="AH273" s="27" t="s">
        <v>153</v>
      </c>
      <c r="AI273" s="24" t="s">
        <v>153</v>
      </c>
      <c r="AJ273" s="27" t="s">
        <v>153</v>
      </c>
      <c r="AK273" s="27" t="s">
        <v>153</v>
      </c>
      <c r="AL273" s="27" t="s">
        <v>153</v>
      </c>
      <c r="AM273" s="27" t="s">
        <v>153</v>
      </c>
      <c r="AN273" s="27" t="s">
        <v>153</v>
      </c>
      <c r="AO273" s="27" t="s">
        <v>153</v>
      </c>
      <c r="AP273" s="23">
        <f>VALUE(0)</f>
        <v>0</v>
      </c>
      <c r="AQ273" s="23">
        <f>VALUE(0)</f>
        <v>0</v>
      </c>
      <c r="AR273" s="23">
        <f>VALUE(0)</f>
        <v>0</v>
      </c>
      <c r="AS273" s="23">
        <f>VALUE(0)</f>
        <v>0</v>
      </c>
      <c r="AT273" s="23">
        <f>VALUE(0)</f>
        <v>0</v>
      </c>
      <c r="AU273" s="23">
        <f>VALUE(0)</f>
        <v>0</v>
      </c>
      <c r="AV273" s="23">
        <f>VALUE(0)</f>
        <v>0</v>
      </c>
      <c r="AW273" s="23">
        <f>VALUE(0)</f>
        <v>0</v>
      </c>
      <c r="AX273" s="23">
        <f>VALUE(0)</f>
        <v>0</v>
      </c>
      <c r="AY273" s="23">
        <f>VALUE(0)</f>
        <v>0</v>
      </c>
      <c r="AZ273" s="23">
        <f>VALUE(0)</f>
        <v>0</v>
      </c>
      <c r="BA273" s="23">
        <f>VALUE(0)</f>
        <v>0</v>
      </c>
      <c r="BB273" s="23">
        <f>VALUE(0)</f>
        <v>0</v>
      </c>
      <c r="BC273" s="23">
        <f>VALUE(0)</f>
        <v>0</v>
      </c>
      <c r="BD273" s="23">
        <f>VALUE(0)</f>
        <v>0</v>
      </c>
      <c r="BE273" s="23">
        <f>VALUE(0)</f>
        <v>0</v>
      </c>
      <c r="BF273" s="23">
        <f>VALUE(0)</f>
        <v>0</v>
      </c>
      <c r="BG273" s="23">
        <f>VALUE(0)</f>
        <v>0</v>
      </c>
      <c r="BH273" s="23">
        <f>VALUE(0)</f>
        <v>0</v>
      </c>
      <c r="BI273" s="23">
        <f>VALUE(0)</f>
        <v>0</v>
      </c>
      <c r="BJ273" s="23">
        <f>VALUE(0)</f>
        <v>0</v>
      </c>
      <c r="BK273" s="12">
        <f>$AX$273*24</f>
        <v>0</v>
      </c>
      <c r="BL273" s="12">
        <f>$AY$273*24</f>
        <v>0</v>
      </c>
      <c r="BM273" s="12">
        <f>$BJ$273*24</f>
        <v>0</v>
      </c>
      <c r="BN273" s="12">
        <f>VALUE($I$273)/100</f>
        <v>1</v>
      </c>
      <c r="BO273" s="12">
        <v>0</v>
      </c>
      <c r="BP273" s="12">
        <v>0</v>
      </c>
      <c r="BQ273" s="12">
        <v>0</v>
      </c>
      <c r="BR273" s="12">
        <v>0</v>
      </c>
      <c r="BS273" s="12">
        <v>0</v>
      </c>
      <c r="BT273" s="12">
        <v>0</v>
      </c>
      <c r="BU273" s="12">
        <v>0</v>
      </c>
      <c r="BV273" s="12">
        <v>0</v>
      </c>
      <c r="BW273" s="12">
        <v>0</v>
      </c>
      <c r="BX273" s="12">
        <v>0</v>
      </c>
      <c r="BY273" s="12">
        <v>0</v>
      </c>
      <c r="BZ273" s="12">
        <v>0</v>
      </c>
      <c r="CA273" s="12">
        <v>0</v>
      </c>
    </row>
    <row r="274" spans="1:79" ht="16.5" x14ac:dyDescent="0.2">
      <c r="A274" s="12" t="s">
        <v>141</v>
      </c>
      <c r="B274" s="12" t="s">
        <v>142</v>
      </c>
      <c r="C274" s="12" t="s">
        <v>142</v>
      </c>
      <c r="D274" s="22" t="s">
        <v>525</v>
      </c>
      <c r="E274" s="22" t="s">
        <v>161</v>
      </c>
      <c r="F274" s="22" t="s">
        <v>1030</v>
      </c>
      <c r="G274" s="22" t="s">
        <v>1031</v>
      </c>
      <c r="H274" s="22" t="s">
        <v>150</v>
      </c>
      <c r="I274" s="22" t="s">
        <v>151</v>
      </c>
      <c r="J274" s="22" t="s">
        <v>181</v>
      </c>
      <c r="K274" s="22" t="s">
        <v>96</v>
      </c>
      <c r="L274" s="54" t="s">
        <v>153</v>
      </c>
      <c r="M274" s="32" t="s">
        <v>188</v>
      </c>
      <c r="N274" s="24" t="s">
        <v>153</v>
      </c>
      <c r="O274" s="32" t="s">
        <v>188</v>
      </c>
      <c r="P274" s="32" t="s">
        <v>188</v>
      </c>
      <c r="Q274" s="32" t="s">
        <v>188</v>
      </c>
      <c r="R274" s="32" t="s">
        <v>188</v>
      </c>
      <c r="S274" s="32" t="s">
        <v>188</v>
      </c>
      <c r="T274" s="32" t="s">
        <v>188</v>
      </c>
      <c r="U274" s="24" t="s">
        <v>153</v>
      </c>
      <c r="V274" s="54" t="s">
        <v>156</v>
      </c>
      <c r="W274" s="24" t="s">
        <v>156</v>
      </c>
      <c r="X274" s="23" t="s">
        <v>153</v>
      </c>
      <c r="Y274" s="23" t="s">
        <v>153</v>
      </c>
      <c r="Z274" s="23" t="s">
        <v>153</v>
      </c>
      <c r="AA274" s="26" t="s">
        <v>1283</v>
      </c>
      <c r="AB274" s="24" t="s">
        <v>153</v>
      </c>
      <c r="AC274" s="23" t="s">
        <v>153</v>
      </c>
      <c r="AD274" s="23" t="s">
        <v>153</v>
      </c>
      <c r="AE274" s="23" t="s">
        <v>153</v>
      </c>
      <c r="AF274" s="23" t="s">
        <v>153</v>
      </c>
      <c r="AG274" s="23" t="s">
        <v>153</v>
      </c>
      <c r="AH274" s="26" t="s">
        <v>1283</v>
      </c>
      <c r="AI274" s="24" t="s">
        <v>153</v>
      </c>
      <c r="AJ274" s="23" t="s">
        <v>153</v>
      </c>
      <c r="AK274" s="23" t="s">
        <v>153</v>
      </c>
      <c r="AL274" s="23" t="s">
        <v>153</v>
      </c>
      <c r="AM274" s="23" t="s">
        <v>153</v>
      </c>
      <c r="AN274" s="23" t="s">
        <v>153</v>
      </c>
      <c r="AO274" s="26" t="s">
        <v>1283</v>
      </c>
      <c r="AP274" s="23">
        <f>VALUE(0)</f>
        <v>0</v>
      </c>
      <c r="AQ274" s="23">
        <f>VALUE(0)</f>
        <v>0</v>
      </c>
      <c r="AR274" s="23">
        <f>VALUE(0)</f>
        <v>0</v>
      </c>
      <c r="AS274" s="23">
        <f>VALUE(0)</f>
        <v>0</v>
      </c>
      <c r="AT274" s="23">
        <f>VALUE(0)</f>
        <v>0</v>
      </c>
      <c r="AU274" s="23">
        <f>VALUE(0)</f>
        <v>0</v>
      </c>
      <c r="AV274" s="23">
        <f>VALUE(32)</f>
        <v>32</v>
      </c>
      <c r="AW274" s="23">
        <f>VALUE(0)</f>
        <v>0</v>
      </c>
      <c r="AX274" s="23" t="s">
        <v>171</v>
      </c>
      <c r="AY274" s="23" t="s">
        <v>586</v>
      </c>
      <c r="AZ274" s="23">
        <f>VALUE(7)</f>
        <v>7</v>
      </c>
      <c r="BA274" s="23">
        <f>VALUE(0)</f>
        <v>0</v>
      </c>
      <c r="BB274" s="23">
        <f>VALUE(0)</f>
        <v>0</v>
      </c>
      <c r="BC274" s="23">
        <f>VALUE(0)</f>
        <v>0</v>
      </c>
      <c r="BD274" s="23">
        <f>VALUE(0)</f>
        <v>0</v>
      </c>
      <c r="BE274" s="23">
        <f>VALUE(0)</f>
        <v>0</v>
      </c>
      <c r="BF274" s="23">
        <f>VALUE(0)</f>
        <v>0</v>
      </c>
      <c r="BG274" s="23">
        <f>VALUE(0)</f>
        <v>0</v>
      </c>
      <c r="BH274" s="23">
        <f>VALUE(0)</f>
        <v>0</v>
      </c>
      <c r="BI274" s="23">
        <f>VALUE(0)</f>
        <v>0</v>
      </c>
      <c r="BJ274" s="23">
        <f>VALUE(0)</f>
        <v>0</v>
      </c>
      <c r="BK274" s="12">
        <f>$AX$274*24</f>
        <v>5.833333333333333</v>
      </c>
      <c r="BL274" s="12">
        <f>$AY$274*24</f>
        <v>6.2333333333333343</v>
      </c>
      <c r="BM274" s="12">
        <f>$BJ$274*24</f>
        <v>0</v>
      </c>
      <c r="BN274" s="12">
        <f>VALUE($I$274)/100</f>
        <v>1</v>
      </c>
      <c r="BO274" s="12">
        <v>0</v>
      </c>
      <c r="BP274" s="12">
        <v>0</v>
      </c>
      <c r="BQ274" s="12">
        <v>0</v>
      </c>
      <c r="BR274" s="12">
        <v>0</v>
      </c>
      <c r="BS274" s="12">
        <v>0</v>
      </c>
      <c r="BT274" s="12">
        <v>0</v>
      </c>
      <c r="BU274" s="12">
        <v>0</v>
      </c>
      <c r="BV274" s="12">
        <v>0</v>
      </c>
      <c r="BW274" s="12">
        <v>0</v>
      </c>
      <c r="BX274" s="12">
        <v>0</v>
      </c>
      <c r="BY274" s="12">
        <v>0</v>
      </c>
      <c r="BZ274" s="12">
        <v>0</v>
      </c>
      <c r="CA274" s="12">
        <v>0</v>
      </c>
    </row>
    <row r="275" spans="1:79" ht="16.5" x14ac:dyDescent="0.2">
      <c r="A275" s="12" t="s">
        <v>141</v>
      </c>
      <c r="B275" s="12" t="s">
        <v>142</v>
      </c>
      <c r="C275" s="12" t="s">
        <v>142</v>
      </c>
      <c r="D275" s="22" t="s">
        <v>182</v>
      </c>
      <c r="E275" s="22" t="s">
        <v>161</v>
      </c>
      <c r="F275" s="22" t="s">
        <v>1032</v>
      </c>
      <c r="G275" s="22" t="s">
        <v>1033</v>
      </c>
      <c r="H275" s="22" t="s">
        <v>150</v>
      </c>
      <c r="I275" s="22" t="s">
        <v>151</v>
      </c>
      <c r="J275" s="22" t="s">
        <v>181</v>
      </c>
      <c r="K275" s="22" t="s">
        <v>96</v>
      </c>
      <c r="L275" s="54" t="s">
        <v>153</v>
      </c>
      <c r="M275" s="26" t="s">
        <v>526</v>
      </c>
      <c r="N275" s="24" t="s">
        <v>153</v>
      </c>
      <c r="O275" s="23" t="s">
        <v>153</v>
      </c>
      <c r="P275" s="23" t="s">
        <v>153</v>
      </c>
      <c r="Q275" s="23" t="s">
        <v>153</v>
      </c>
      <c r="R275" s="23" t="s">
        <v>153</v>
      </c>
      <c r="S275" s="23" t="s">
        <v>153</v>
      </c>
      <c r="T275" s="24" t="s">
        <v>156</v>
      </c>
      <c r="U275" s="24" t="s">
        <v>153</v>
      </c>
      <c r="V275" s="54" t="s">
        <v>153</v>
      </c>
      <c r="W275" s="23" t="s">
        <v>153</v>
      </c>
      <c r="X275" s="23" t="s">
        <v>153</v>
      </c>
      <c r="Y275" s="23" t="s">
        <v>153</v>
      </c>
      <c r="Z275" s="28" t="s">
        <v>163</v>
      </c>
      <c r="AA275" s="28" t="s">
        <v>163</v>
      </c>
      <c r="AB275" s="24" t="s">
        <v>153</v>
      </c>
      <c r="AC275" s="28" t="s">
        <v>163</v>
      </c>
      <c r="AD275" s="28" t="s">
        <v>163</v>
      </c>
      <c r="AE275" s="23" t="s">
        <v>153</v>
      </c>
      <c r="AF275" s="23" t="s">
        <v>153</v>
      </c>
      <c r="AG275" s="23" t="s">
        <v>153</v>
      </c>
      <c r="AH275" s="24" t="s">
        <v>156</v>
      </c>
      <c r="AI275" s="24" t="s">
        <v>153</v>
      </c>
      <c r="AJ275" s="23" t="s">
        <v>153</v>
      </c>
      <c r="AK275" s="23" t="s">
        <v>153</v>
      </c>
      <c r="AL275" s="23" t="s">
        <v>153</v>
      </c>
      <c r="AM275" s="23" t="s">
        <v>153</v>
      </c>
      <c r="AN275" s="23" t="s">
        <v>153</v>
      </c>
      <c r="AO275" s="26" t="s">
        <v>526</v>
      </c>
      <c r="AP275" s="23">
        <f>VALUE(0)</f>
        <v>0</v>
      </c>
      <c r="AQ275" s="23">
        <f>VALUE(0)</f>
        <v>0</v>
      </c>
      <c r="AR275" s="23">
        <f>VALUE(0)</f>
        <v>0</v>
      </c>
      <c r="AS275" s="23">
        <f>VALUE(0)</f>
        <v>0</v>
      </c>
      <c r="AT275" s="23">
        <f>VALUE(0)</f>
        <v>0</v>
      </c>
      <c r="AU275" s="23">
        <f>VALUE(4)</f>
        <v>4</v>
      </c>
      <c r="AV275" s="23">
        <f>VALUE(1)</f>
        <v>1</v>
      </c>
      <c r="AW275" s="23">
        <f>VALUE(0)</f>
        <v>0</v>
      </c>
      <c r="AX275" s="23" t="s">
        <v>176</v>
      </c>
      <c r="AY275" s="23" t="s">
        <v>408</v>
      </c>
      <c r="AZ275" s="23">
        <f>VALUE(0)</f>
        <v>0</v>
      </c>
      <c r="BA275" s="23">
        <f>VALUE(0)</f>
        <v>0</v>
      </c>
      <c r="BB275" s="23">
        <f>VALUE(0)</f>
        <v>0</v>
      </c>
      <c r="BC275" s="23">
        <f>VALUE(0)</f>
        <v>0</v>
      </c>
      <c r="BD275" s="23">
        <f>VALUE(0)</f>
        <v>0</v>
      </c>
      <c r="BE275" s="23">
        <f>VALUE(0)</f>
        <v>0</v>
      </c>
      <c r="BF275" s="23">
        <f>VALUE(0)</f>
        <v>0</v>
      </c>
      <c r="BG275" s="23">
        <f>VALUE(0)</f>
        <v>0</v>
      </c>
      <c r="BH275" s="23">
        <f>VALUE(0)</f>
        <v>0</v>
      </c>
      <c r="BI275" s="23">
        <f>VALUE(0)</f>
        <v>0</v>
      </c>
      <c r="BJ275" s="23">
        <f>VALUE(0)</f>
        <v>0</v>
      </c>
      <c r="BK275" s="12">
        <f>$AX$275*24</f>
        <v>0</v>
      </c>
      <c r="BL275" s="12">
        <f>$AY$275*24</f>
        <v>10.75</v>
      </c>
      <c r="BM275" s="12">
        <f>$BJ$275*24</f>
        <v>0</v>
      </c>
      <c r="BN275" s="12">
        <f>VALUE($I$275)/100</f>
        <v>1</v>
      </c>
      <c r="BO275" s="12">
        <v>0</v>
      </c>
      <c r="BP275" s="12">
        <v>0</v>
      </c>
      <c r="BQ275" s="12">
        <v>0</v>
      </c>
      <c r="BR275" s="12">
        <v>0</v>
      </c>
      <c r="BS275" s="12">
        <v>0</v>
      </c>
      <c r="BT275" s="12">
        <v>0</v>
      </c>
      <c r="BU275" s="12">
        <v>0</v>
      </c>
      <c r="BV275" s="12">
        <v>0</v>
      </c>
      <c r="BW275" s="12">
        <v>0</v>
      </c>
      <c r="BX275" s="12">
        <v>0</v>
      </c>
      <c r="BY275" s="12">
        <v>0</v>
      </c>
      <c r="BZ275" s="12">
        <v>0</v>
      </c>
      <c r="CA275" s="12">
        <v>0</v>
      </c>
    </row>
    <row r="276" spans="1:79" ht="16.5" x14ac:dyDescent="0.2">
      <c r="A276" s="12" t="s">
        <v>141</v>
      </c>
      <c r="B276" s="12" t="s">
        <v>142</v>
      </c>
      <c r="C276" s="12" t="s">
        <v>142</v>
      </c>
      <c r="D276" s="22" t="s">
        <v>185</v>
      </c>
      <c r="E276" s="22" t="s">
        <v>161</v>
      </c>
      <c r="F276" s="22" t="s">
        <v>1284</v>
      </c>
      <c r="G276" s="22" t="s">
        <v>1034</v>
      </c>
      <c r="H276" s="22" t="s">
        <v>166</v>
      </c>
      <c r="I276" s="22" t="s">
        <v>151</v>
      </c>
      <c r="J276" s="22" t="s">
        <v>181</v>
      </c>
      <c r="K276" s="22" t="s">
        <v>96</v>
      </c>
      <c r="L276" s="54" t="s">
        <v>153</v>
      </c>
      <c r="M276" s="24" t="s">
        <v>156</v>
      </c>
      <c r="N276" s="24" t="s">
        <v>153</v>
      </c>
      <c r="O276" s="28" t="s">
        <v>163</v>
      </c>
      <c r="P276" s="23" t="s">
        <v>153</v>
      </c>
      <c r="Q276" s="23" t="s">
        <v>153</v>
      </c>
      <c r="R276" s="23" t="s">
        <v>153</v>
      </c>
      <c r="S276" s="23" t="s">
        <v>153</v>
      </c>
      <c r="T276" s="26" t="s">
        <v>527</v>
      </c>
      <c r="U276" s="24" t="s">
        <v>153</v>
      </c>
      <c r="V276" s="54" t="s">
        <v>153</v>
      </c>
      <c r="W276" s="23" t="s">
        <v>153</v>
      </c>
      <c r="X276" s="23" t="s">
        <v>153</v>
      </c>
      <c r="Y276" s="23" t="s">
        <v>153</v>
      </c>
      <c r="Z276" s="23" t="s">
        <v>153</v>
      </c>
      <c r="AA276" s="24" t="s">
        <v>156</v>
      </c>
      <c r="AB276" s="24" t="s">
        <v>153</v>
      </c>
      <c r="AC276" s="28" t="s">
        <v>163</v>
      </c>
      <c r="AD276" s="28" t="s">
        <v>163</v>
      </c>
      <c r="AE276" s="28" t="s">
        <v>163</v>
      </c>
      <c r="AF276" s="28" t="s">
        <v>163</v>
      </c>
      <c r="AG276" s="28" t="s">
        <v>163</v>
      </c>
      <c r="AH276" s="28" t="s">
        <v>163</v>
      </c>
      <c r="AI276" s="24" t="s">
        <v>153</v>
      </c>
      <c r="AJ276" s="23" t="s">
        <v>153</v>
      </c>
      <c r="AK276" s="23" t="s">
        <v>153</v>
      </c>
      <c r="AL276" s="23" t="s">
        <v>153</v>
      </c>
      <c r="AM276" s="23" t="s">
        <v>153</v>
      </c>
      <c r="AN276" s="23" t="s">
        <v>153</v>
      </c>
      <c r="AO276" s="24" t="s">
        <v>156</v>
      </c>
      <c r="AP276" s="23">
        <f>VALUE(0)</f>
        <v>0</v>
      </c>
      <c r="AQ276" s="23">
        <f>VALUE(0)</f>
        <v>0</v>
      </c>
      <c r="AR276" s="23">
        <f>VALUE(0)</f>
        <v>0</v>
      </c>
      <c r="AS276" s="23">
        <f>VALUE(0)</f>
        <v>0</v>
      </c>
      <c r="AT276" s="23">
        <f>VALUE(0)</f>
        <v>0</v>
      </c>
      <c r="AU276" s="23">
        <f>VALUE(7)</f>
        <v>7</v>
      </c>
      <c r="AV276" s="23">
        <f>VALUE(1)</f>
        <v>1</v>
      </c>
      <c r="AW276" s="23">
        <f>VALUE(0)</f>
        <v>0</v>
      </c>
      <c r="AX276" s="23" t="s">
        <v>1285</v>
      </c>
      <c r="AY276" s="23">
        <f>VALUE(0)</f>
        <v>0</v>
      </c>
      <c r="AZ276" s="23">
        <f>VALUE(0)</f>
        <v>0</v>
      </c>
      <c r="BA276" s="23">
        <f>VALUE(0)</f>
        <v>0</v>
      </c>
      <c r="BB276" s="23">
        <f>VALUE(0)</f>
        <v>0</v>
      </c>
      <c r="BC276" s="23">
        <f>VALUE(0)</f>
        <v>0</v>
      </c>
      <c r="BD276" s="23">
        <f>VALUE(0)</f>
        <v>0</v>
      </c>
      <c r="BE276" s="23">
        <f>VALUE(0)</f>
        <v>0</v>
      </c>
      <c r="BF276" s="23">
        <f>VALUE(0)</f>
        <v>0</v>
      </c>
      <c r="BG276" s="23">
        <f>VALUE(0)</f>
        <v>0</v>
      </c>
      <c r="BH276" s="23">
        <f>VALUE(0)</f>
        <v>0</v>
      </c>
      <c r="BI276" s="23">
        <f>VALUE(0)</f>
        <v>0</v>
      </c>
      <c r="BJ276" s="23">
        <f>VALUE(0)</f>
        <v>0</v>
      </c>
      <c r="BK276" s="12">
        <f>$AX$276*24</f>
        <v>17.016666666666666</v>
      </c>
      <c r="BL276" s="12">
        <f>$AY$276*24</f>
        <v>0</v>
      </c>
      <c r="BM276" s="12">
        <f>$BJ$276*24</f>
        <v>0</v>
      </c>
      <c r="BN276" s="12">
        <f>VALUE($I$276)/100</f>
        <v>1</v>
      </c>
      <c r="BO276" s="12">
        <v>0</v>
      </c>
      <c r="BP276" s="12">
        <v>0</v>
      </c>
      <c r="BQ276" s="12">
        <v>0</v>
      </c>
      <c r="BR276" s="12">
        <v>0</v>
      </c>
      <c r="BS276" s="12">
        <v>0</v>
      </c>
      <c r="BT276" s="12">
        <v>0</v>
      </c>
      <c r="BU276" s="12">
        <v>0</v>
      </c>
      <c r="BV276" s="12">
        <v>0</v>
      </c>
      <c r="BW276" s="12">
        <v>0</v>
      </c>
      <c r="BX276" s="12">
        <v>0</v>
      </c>
      <c r="BY276" s="12">
        <v>0</v>
      </c>
      <c r="BZ276" s="12">
        <v>0</v>
      </c>
      <c r="CA276" s="12">
        <v>0</v>
      </c>
    </row>
    <row r="277" spans="1:79" ht="15" x14ac:dyDescent="0.25">
      <c r="A277" s="12" t="s">
        <v>141</v>
      </c>
      <c r="B277" s="12" t="s">
        <v>142</v>
      </c>
      <c r="C277" s="12" t="s">
        <v>142</v>
      </c>
      <c r="D277" s="31" t="s">
        <v>355</v>
      </c>
      <c r="E277" s="31" t="s">
        <v>153</v>
      </c>
      <c r="F277" s="31" t="s">
        <v>175</v>
      </c>
      <c r="G277" s="31" t="s">
        <v>153</v>
      </c>
      <c r="H277" s="31" t="s">
        <v>153</v>
      </c>
      <c r="I277" s="31" t="s">
        <v>153</v>
      </c>
      <c r="J277" s="31" t="s">
        <v>153</v>
      </c>
      <c r="K277" s="31" t="s">
        <v>153</v>
      </c>
      <c r="L277" s="31">
        <f>VALUE(0)</f>
        <v>0</v>
      </c>
      <c r="M277" s="31">
        <f>VALUE(2)</f>
        <v>2</v>
      </c>
      <c r="N277" s="31">
        <f>VALUE(0)</f>
        <v>0</v>
      </c>
      <c r="O277" s="31">
        <f>VALUE(2)</f>
        <v>2</v>
      </c>
      <c r="P277" s="31">
        <f>VALUE(3)</f>
        <v>3</v>
      </c>
      <c r="Q277" s="31">
        <f>VALUE(3)</f>
        <v>3</v>
      </c>
      <c r="R277" s="31">
        <f>VALUE(3)</f>
        <v>3</v>
      </c>
      <c r="S277" s="31">
        <f>VALUE(3)</f>
        <v>3</v>
      </c>
      <c r="T277" s="31">
        <f>VALUE(2)</f>
        <v>2</v>
      </c>
      <c r="U277" s="31">
        <f>VALUE(0)</f>
        <v>0</v>
      </c>
      <c r="V277" s="31">
        <f>VALUE(0)</f>
        <v>0</v>
      </c>
      <c r="W277" s="31">
        <f>VALUE(2)</f>
        <v>2</v>
      </c>
      <c r="X277" s="31">
        <f>VALUE(3)</f>
        <v>3</v>
      </c>
      <c r="Y277" s="31">
        <f>VALUE(3)</f>
        <v>3</v>
      </c>
      <c r="Z277" s="31">
        <f>VALUE(2)</f>
        <v>2</v>
      </c>
      <c r="AA277" s="31">
        <f>VALUE(1)</f>
        <v>1</v>
      </c>
      <c r="AB277" s="31">
        <f>VALUE(0)</f>
        <v>0</v>
      </c>
      <c r="AC277" s="31">
        <f>VALUE(1)</f>
        <v>1</v>
      </c>
      <c r="AD277" s="31">
        <f>VALUE(1)</f>
        <v>1</v>
      </c>
      <c r="AE277" s="31">
        <f>VALUE(2)</f>
        <v>2</v>
      </c>
      <c r="AF277" s="31">
        <f>VALUE(2)</f>
        <v>2</v>
      </c>
      <c r="AG277" s="31">
        <f>VALUE(2)</f>
        <v>2</v>
      </c>
      <c r="AH277" s="31">
        <f>VALUE(1)</f>
        <v>1</v>
      </c>
      <c r="AI277" s="31">
        <f>VALUE(0)</f>
        <v>0</v>
      </c>
      <c r="AJ277" s="31">
        <f>VALUE(3)</f>
        <v>3</v>
      </c>
      <c r="AK277" s="31">
        <f>VALUE(3)</f>
        <v>3</v>
      </c>
      <c r="AL277" s="31">
        <f>VALUE(3)</f>
        <v>3</v>
      </c>
      <c r="AM277" s="31">
        <f>VALUE(3)</f>
        <v>3</v>
      </c>
      <c r="AN277" s="31">
        <f>VALUE(3)</f>
        <v>3</v>
      </c>
      <c r="AO277" s="31">
        <f>VALUE(2)</f>
        <v>2</v>
      </c>
      <c r="AP277" s="31">
        <v>0</v>
      </c>
      <c r="AQ277" s="31">
        <v>0</v>
      </c>
      <c r="AR277" s="31">
        <v>0</v>
      </c>
      <c r="AS277" s="31">
        <v>0</v>
      </c>
      <c r="AT277" s="31">
        <v>0</v>
      </c>
      <c r="AU277" s="31">
        <v>0</v>
      </c>
      <c r="AV277" s="31">
        <v>0</v>
      </c>
      <c r="AW277" s="31">
        <v>0</v>
      </c>
      <c r="AX277" s="31">
        <v>0</v>
      </c>
      <c r="AY277" s="31">
        <v>0</v>
      </c>
      <c r="AZ277" s="31">
        <v>0</v>
      </c>
      <c r="BA277" s="31">
        <v>0</v>
      </c>
      <c r="BB277" s="31">
        <v>0</v>
      </c>
      <c r="BC277" s="31">
        <v>0</v>
      </c>
      <c r="BD277" s="31">
        <v>0</v>
      </c>
      <c r="BE277" s="31">
        <v>0</v>
      </c>
      <c r="BF277" s="31">
        <v>0</v>
      </c>
      <c r="BG277" s="31">
        <v>0</v>
      </c>
      <c r="BH277" s="31">
        <v>0</v>
      </c>
      <c r="BI277" s="31">
        <v>0</v>
      </c>
      <c r="BJ277" s="31">
        <v>0</v>
      </c>
      <c r="BK277" s="12">
        <v>0</v>
      </c>
      <c r="BL277" s="12">
        <v>0</v>
      </c>
      <c r="BM277" s="12">
        <v>0</v>
      </c>
      <c r="BN277" s="12"/>
      <c r="BO277" s="12">
        <v>0</v>
      </c>
      <c r="BP277" s="12">
        <v>0</v>
      </c>
      <c r="BQ277" s="12">
        <v>0</v>
      </c>
      <c r="BR277" s="12">
        <v>0</v>
      </c>
      <c r="BS277" s="12">
        <v>0</v>
      </c>
      <c r="BT277" s="12">
        <v>0</v>
      </c>
      <c r="BU277" s="12">
        <v>0</v>
      </c>
      <c r="BV277" s="12">
        <v>0</v>
      </c>
      <c r="BW277" s="12">
        <v>0</v>
      </c>
      <c r="BX277" s="12">
        <v>0</v>
      </c>
      <c r="BY277" s="12">
        <v>0</v>
      </c>
      <c r="BZ277" s="12">
        <v>0</v>
      </c>
      <c r="CA277" s="12">
        <v>0</v>
      </c>
    </row>
    <row r="278" spans="1:79" x14ac:dyDescent="0.2">
      <c r="A278" s="12" t="s">
        <v>141</v>
      </c>
      <c r="B278" s="12" t="s">
        <v>143</v>
      </c>
      <c r="C278" s="12" t="s">
        <v>143</v>
      </c>
      <c r="D278" s="22" t="s">
        <v>528</v>
      </c>
      <c r="E278" s="22" t="s">
        <v>159</v>
      </c>
      <c r="F278" s="22" t="s">
        <v>1035</v>
      </c>
      <c r="G278" s="22" t="s">
        <v>1036</v>
      </c>
      <c r="H278" s="22" t="s">
        <v>166</v>
      </c>
      <c r="I278" s="22" t="s">
        <v>151</v>
      </c>
      <c r="J278" s="22" t="s">
        <v>524</v>
      </c>
      <c r="K278" s="22" t="s">
        <v>97</v>
      </c>
      <c r="L278" s="54" t="s">
        <v>153</v>
      </c>
      <c r="M278" s="23" t="s">
        <v>287</v>
      </c>
      <c r="N278" s="24" t="s">
        <v>153</v>
      </c>
      <c r="O278" s="23" t="s">
        <v>584</v>
      </c>
      <c r="P278" s="23" t="s">
        <v>584</v>
      </c>
      <c r="Q278" s="23" t="s">
        <v>300</v>
      </c>
      <c r="R278" s="23" t="s">
        <v>300</v>
      </c>
      <c r="S278" s="23" t="s">
        <v>300</v>
      </c>
      <c r="T278" s="23" t="s">
        <v>300</v>
      </c>
      <c r="U278" s="24" t="s">
        <v>153</v>
      </c>
      <c r="V278" s="54" t="s">
        <v>156</v>
      </c>
      <c r="W278" s="24" t="s">
        <v>156</v>
      </c>
      <c r="X278" s="23" t="s">
        <v>529</v>
      </c>
      <c r="Y278" s="23" t="s">
        <v>529</v>
      </c>
      <c r="Z278" s="23" t="s">
        <v>529</v>
      </c>
      <c r="AA278" s="23" t="s">
        <v>529</v>
      </c>
      <c r="AB278" s="24" t="s">
        <v>153</v>
      </c>
      <c r="AC278" s="23" t="s">
        <v>300</v>
      </c>
      <c r="AD278" s="23" t="s">
        <v>300</v>
      </c>
      <c r="AE278" s="23" t="s">
        <v>300</v>
      </c>
      <c r="AF278" s="23" t="s">
        <v>300</v>
      </c>
      <c r="AG278" s="23" t="s">
        <v>529</v>
      </c>
      <c r="AH278" s="23" t="s">
        <v>529</v>
      </c>
      <c r="AI278" s="24" t="s">
        <v>153</v>
      </c>
      <c r="AJ278" s="23" t="s">
        <v>584</v>
      </c>
      <c r="AK278" s="23" t="s">
        <v>584</v>
      </c>
      <c r="AL278" s="23" t="s">
        <v>300</v>
      </c>
      <c r="AM278" s="23" t="s">
        <v>300</v>
      </c>
      <c r="AN278" s="23" t="s">
        <v>584</v>
      </c>
      <c r="AO278" s="23" t="s">
        <v>584</v>
      </c>
      <c r="AP278" s="23">
        <f>VALUE(22)</f>
        <v>22</v>
      </c>
      <c r="AQ278" s="23">
        <f>VALUE(0)</f>
        <v>0</v>
      </c>
      <c r="AR278" s="23">
        <f>VALUE(0)</f>
        <v>0</v>
      </c>
      <c r="AS278" s="23">
        <f>VALUE(0)</f>
        <v>0</v>
      </c>
      <c r="AT278" s="23">
        <f>VALUE(0)</f>
        <v>0</v>
      </c>
      <c r="AU278" s="23">
        <f>VALUE(0)</f>
        <v>0</v>
      </c>
      <c r="AV278" s="23">
        <f>VALUE(2)</f>
        <v>2</v>
      </c>
      <c r="AW278" s="23">
        <f>VALUE(0)</f>
        <v>0</v>
      </c>
      <c r="AX278" s="23" t="s">
        <v>1287</v>
      </c>
      <c r="AY278" s="23">
        <f>VALUE(0)</f>
        <v>0</v>
      </c>
      <c r="AZ278" s="23">
        <f>VALUE(0)</f>
        <v>0</v>
      </c>
      <c r="BA278" s="23">
        <f>VALUE(0)</f>
        <v>0</v>
      </c>
      <c r="BB278" s="23">
        <f>VALUE(0)</f>
        <v>0</v>
      </c>
      <c r="BC278" s="23">
        <f>VALUE(0)</f>
        <v>0</v>
      </c>
      <c r="BD278" s="23">
        <f>VALUE(0)</f>
        <v>0</v>
      </c>
      <c r="BE278" s="23">
        <f>VALUE(0)</f>
        <v>0</v>
      </c>
      <c r="BF278" s="23">
        <f>VALUE(0)</f>
        <v>0</v>
      </c>
      <c r="BG278" s="23">
        <f>VALUE(0)</f>
        <v>0</v>
      </c>
      <c r="BH278" s="23">
        <f>VALUE(0)</f>
        <v>0</v>
      </c>
      <c r="BI278" s="23">
        <f>VALUE(0)</f>
        <v>0</v>
      </c>
      <c r="BJ278" s="23">
        <f>VALUE(0)</f>
        <v>0</v>
      </c>
      <c r="BK278" s="12">
        <f>$AX$278*24</f>
        <v>1.1499999999999999</v>
      </c>
      <c r="BL278" s="12">
        <f>$AY$278*24</f>
        <v>0</v>
      </c>
      <c r="BM278" s="12">
        <f>$BJ$278*24</f>
        <v>0</v>
      </c>
      <c r="BN278" s="12">
        <f>VALUE($I$278)/100</f>
        <v>1</v>
      </c>
      <c r="BO278" s="12">
        <v>0</v>
      </c>
      <c r="BP278" s="12">
        <v>0</v>
      </c>
      <c r="BQ278" s="12">
        <v>0</v>
      </c>
      <c r="BR278" s="12">
        <v>0</v>
      </c>
      <c r="BS278" s="12">
        <v>0</v>
      </c>
      <c r="BT278" s="12">
        <v>0</v>
      </c>
      <c r="BU278" s="12">
        <v>0</v>
      </c>
      <c r="BV278" s="12">
        <v>0</v>
      </c>
      <c r="BW278" s="12">
        <v>0</v>
      </c>
      <c r="BX278" s="12">
        <v>0</v>
      </c>
      <c r="BY278" s="12">
        <v>0</v>
      </c>
      <c r="BZ278" s="12">
        <v>0</v>
      </c>
      <c r="CA278" s="12">
        <v>0</v>
      </c>
    </row>
    <row r="279" spans="1:79" ht="16.5" x14ac:dyDescent="0.2">
      <c r="A279" s="12" t="s">
        <v>141</v>
      </c>
      <c r="B279" s="12" t="s">
        <v>143</v>
      </c>
      <c r="C279" s="12" t="s">
        <v>143</v>
      </c>
      <c r="D279" s="22" t="s">
        <v>1288</v>
      </c>
      <c r="E279" s="22" t="s">
        <v>161</v>
      </c>
      <c r="F279" s="22" t="s">
        <v>1037</v>
      </c>
      <c r="G279" s="22" t="s">
        <v>1038</v>
      </c>
      <c r="H279" s="22" t="s">
        <v>166</v>
      </c>
      <c r="I279" s="22" t="s">
        <v>151</v>
      </c>
      <c r="J279" s="22" t="s">
        <v>530</v>
      </c>
      <c r="K279" s="22" t="s">
        <v>97</v>
      </c>
      <c r="L279" s="54" t="s">
        <v>153</v>
      </c>
      <c r="M279" s="26" t="s">
        <v>531</v>
      </c>
      <c r="N279" s="24" t="s">
        <v>153</v>
      </c>
      <c r="O279" s="23" t="s">
        <v>300</v>
      </c>
      <c r="P279" s="23" t="s">
        <v>300</v>
      </c>
      <c r="Q279" s="26" t="s">
        <v>531</v>
      </c>
      <c r="R279" s="26" t="s">
        <v>531</v>
      </c>
      <c r="S279" s="26" t="s">
        <v>531</v>
      </c>
      <c r="T279" s="26" t="s">
        <v>531</v>
      </c>
      <c r="U279" s="24" t="s">
        <v>153</v>
      </c>
      <c r="V279" s="54" t="s">
        <v>153</v>
      </c>
      <c r="W279" s="23" t="s">
        <v>529</v>
      </c>
      <c r="X279" s="26" t="s">
        <v>531</v>
      </c>
      <c r="Y279" s="26" t="s">
        <v>531</v>
      </c>
      <c r="Z279" s="26" t="s">
        <v>531</v>
      </c>
      <c r="AA279" s="26" t="s">
        <v>531</v>
      </c>
      <c r="AB279" s="24" t="s">
        <v>153</v>
      </c>
      <c r="AC279" s="23" t="s">
        <v>380</v>
      </c>
      <c r="AD279" s="23" t="s">
        <v>380</v>
      </c>
      <c r="AE279" s="26" t="s">
        <v>531</v>
      </c>
      <c r="AF279" s="26" t="s">
        <v>531</v>
      </c>
      <c r="AG279" s="26" t="s">
        <v>531</v>
      </c>
      <c r="AH279" s="26" t="s">
        <v>531</v>
      </c>
      <c r="AI279" s="24" t="s">
        <v>153</v>
      </c>
      <c r="AJ279" s="24" t="s">
        <v>156</v>
      </c>
      <c r="AK279" s="24" t="s">
        <v>156</v>
      </c>
      <c r="AL279" s="26" t="s">
        <v>531</v>
      </c>
      <c r="AM279" s="26" t="s">
        <v>531</v>
      </c>
      <c r="AN279" s="26" t="s">
        <v>531</v>
      </c>
      <c r="AO279" s="26" t="s">
        <v>531</v>
      </c>
      <c r="AP279" s="23">
        <f>VALUE(31)</f>
        <v>31</v>
      </c>
      <c r="AQ279" s="23">
        <f>VALUE(0)</f>
        <v>0</v>
      </c>
      <c r="AR279" s="23">
        <f>VALUE(0)</f>
        <v>0</v>
      </c>
      <c r="AS279" s="23">
        <f>VALUE(0)</f>
        <v>0</v>
      </c>
      <c r="AT279" s="23">
        <f>VALUE(0)</f>
        <v>0</v>
      </c>
      <c r="AU279" s="23">
        <f>VALUE(0)</f>
        <v>0</v>
      </c>
      <c r="AV279" s="23">
        <f>VALUE(2)</f>
        <v>2</v>
      </c>
      <c r="AW279" s="23">
        <f>VALUE(0)</f>
        <v>0</v>
      </c>
      <c r="AX279" s="23" t="s">
        <v>425</v>
      </c>
      <c r="AY279" s="23">
        <f>VALUE(0)</f>
        <v>0</v>
      </c>
      <c r="AZ279" s="23">
        <f>VALUE(0)</f>
        <v>0</v>
      </c>
      <c r="BA279" s="23">
        <f>VALUE(0)</f>
        <v>0</v>
      </c>
      <c r="BB279" s="23">
        <f>VALUE(0)</f>
        <v>0</v>
      </c>
      <c r="BC279" s="23">
        <f>VALUE(0)</f>
        <v>0</v>
      </c>
      <c r="BD279" s="23">
        <f>VALUE(0)</f>
        <v>0</v>
      </c>
      <c r="BE279" s="23">
        <f>VALUE(0)</f>
        <v>0</v>
      </c>
      <c r="BF279" s="23">
        <f>VALUE(0)</f>
        <v>0</v>
      </c>
      <c r="BG279" s="23">
        <f>VALUE(0)</f>
        <v>0</v>
      </c>
      <c r="BH279" s="23">
        <f>VALUE(0)</f>
        <v>0</v>
      </c>
      <c r="BI279" s="23">
        <f>VALUE(0)</f>
        <v>0</v>
      </c>
      <c r="BJ279" s="23">
        <f>VALUE(0)</f>
        <v>0</v>
      </c>
      <c r="BK279" s="12">
        <f>$AX$279*24</f>
        <v>1.4166666666666667</v>
      </c>
      <c r="BL279" s="12">
        <f>$AY$279*24</f>
        <v>0</v>
      </c>
      <c r="BM279" s="12">
        <f>$BJ$279*24</f>
        <v>0</v>
      </c>
      <c r="BN279" s="12">
        <f>VALUE($I$279)/100</f>
        <v>1</v>
      </c>
      <c r="BO279" s="12">
        <v>0</v>
      </c>
      <c r="BP279" s="12">
        <v>0</v>
      </c>
      <c r="BQ279" s="12">
        <v>0</v>
      </c>
      <c r="BR279" s="12">
        <v>0</v>
      </c>
      <c r="BS279" s="12">
        <v>0</v>
      </c>
      <c r="BT279" s="12">
        <v>0</v>
      </c>
      <c r="BU279" s="12">
        <v>0</v>
      </c>
      <c r="BV279" s="12">
        <v>0</v>
      </c>
      <c r="BW279" s="12">
        <v>0</v>
      </c>
      <c r="BX279" s="12">
        <v>0</v>
      </c>
      <c r="BY279" s="12">
        <v>0</v>
      </c>
      <c r="BZ279" s="12">
        <v>0</v>
      </c>
      <c r="CA279" s="12">
        <v>0</v>
      </c>
    </row>
    <row r="280" spans="1:79" x14ac:dyDescent="0.2">
      <c r="A280" s="12" t="s">
        <v>141</v>
      </c>
      <c r="B280" s="12" t="s">
        <v>143</v>
      </c>
      <c r="C280" s="12" t="s">
        <v>143</v>
      </c>
      <c r="D280" s="22" t="s">
        <v>287</v>
      </c>
      <c r="E280" s="22" t="s">
        <v>161</v>
      </c>
      <c r="F280" s="22" t="s">
        <v>1039</v>
      </c>
      <c r="G280" s="22" t="s">
        <v>1040</v>
      </c>
      <c r="H280" s="22" t="s">
        <v>150</v>
      </c>
      <c r="I280" s="22" t="s">
        <v>1289</v>
      </c>
      <c r="J280" s="22" t="s">
        <v>162</v>
      </c>
      <c r="K280" s="22" t="s">
        <v>97</v>
      </c>
      <c r="L280" s="54" t="s">
        <v>153</v>
      </c>
      <c r="M280" s="24" t="s">
        <v>195</v>
      </c>
      <c r="N280" s="24" t="s">
        <v>153</v>
      </c>
      <c r="O280" s="23" t="s">
        <v>153</v>
      </c>
      <c r="P280" s="23" t="s">
        <v>153</v>
      </c>
      <c r="Q280" s="23" t="s">
        <v>153</v>
      </c>
      <c r="R280" s="23" t="s">
        <v>153</v>
      </c>
      <c r="S280" s="23" t="s">
        <v>153</v>
      </c>
      <c r="T280" s="23" t="s">
        <v>153</v>
      </c>
      <c r="U280" s="24" t="s">
        <v>153</v>
      </c>
      <c r="V280" s="54" t="s">
        <v>153</v>
      </c>
      <c r="W280" s="23" t="s">
        <v>153</v>
      </c>
      <c r="X280" s="24" t="s">
        <v>156</v>
      </c>
      <c r="Y280" s="24" t="s">
        <v>156</v>
      </c>
      <c r="Z280" s="23" t="s">
        <v>153</v>
      </c>
      <c r="AA280" s="23" t="s">
        <v>153</v>
      </c>
      <c r="AB280" s="24" t="s">
        <v>153</v>
      </c>
      <c r="AC280" s="23" t="s">
        <v>153</v>
      </c>
      <c r="AD280" s="23" t="s">
        <v>153</v>
      </c>
      <c r="AE280" s="23" t="s">
        <v>153</v>
      </c>
      <c r="AF280" s="23" t="s">
        <v>153</v>
      </c>
      <c r="AG280" s="23" t="s">
        <v>153</v>
      </c>
      <c r="AH280" s="23" t="s">
        <v>153</v>
      </c>
      <c r="AI280" s="24" t="s">
        <v>153</v>
      </c>
      <c r="AJ280" s="23" t="s">
        <v>153</v>
      </c>
      <c r="AK280" s="23" t="s">
        <v>153</v>
      </c>
      <c r="AL280" s="23" t="s">
        <v>153</v>
      </c>
      <c r="AM280" s="23" t="s">
        <v>153</v>
      </c>
      <c r="AN280" s="23" t="s">
        <v>153</v>
      </c>
      <c r="AO280" s="23" t="s">
        <v>153</v>
      </c>
      <c r="AP280" s="23">
        <f>VALUE(0)</f>
        <v>0</v>
      </c>
      <c r="AQ280" s="23">
        <f>VALUE(0)</f>
        <v>0</v>
      </c>
      <c r="AR280" s="23">
        <f>VALUE(0)</f>
        <v>0</v>
      </c>
      <c r="AS280" s="23">
        <f>VALUE(0)</f>
        <v>0</v>
      </c>
      <c r="AT280" s="23">
        <f>VALUE(0)</f>
        <v>0</v>
      </c>
      <c r="AU280" s="23">
        <f>VALUE(0)</f>
        <v>0</v>
      </c>
      <c r="AV280" s="23">
        <f>VALUE(5.5)</f>
        <v>5.5</v>
      </c>
      <c r="AW280" s="23">
        <f>VALUE(0)</f>
        <v>0</v>
      </c>
      <c r="AX280" s="23" t="s">
        <v>532</v>
      </c>
      <c r="AY280" s="23" t="s">
        <v>407</v>
      </c>
      <c r="AZ280" s="23">
        <f>VALUE(0)</f>
        <v>0</v>
      </c>
      <c r="BA280" s="23">
        <f>VALUE(0)</f>
        <v>0</v>
      </c>
      <c r="BB280" s="23">
        <f>VALUE(0)</f>
        <v>0</v>
      </c>
      <c r="BC280" s="23">
        <f>VALUE(0)</f>
        <v>0</v>
      </c>
      <c r="BD280" s="23">
        <f>VALUE(0)</f>
        <v>0</v>
      </c>
      <c r="BE280" s="23">
        <f>VALUE(0)</f>
        <v>0</v>
      </c>
      <c r="BF280" s="23">
        <f>VALUE(0)</f>
        <v>0</v>
      </c>
      <c r="BG280" s="23">
        <f>VALUE(0)</f>
        <v>0</v>
      </c>
      <c r="BH280" s="23">
        <f>VALUE(0)</f>
        <v>0</v>
      </c>
      <c r="BI280" s="23">
        <f>VALUE(0)</f>
        <v>0</v>
      </c>
      <c r="BJ280" s="23">
        <f>VALUE(0)</f>
        <v>0</v>
      </c>
      <c r="BK280" s="12">
        <f>$AX$280*24</f>
        <v>11.65</v>
      </c>
      <c r="BL280" s="12">
        <f>$AY$280*24</f>
        <v>1.2166666666666668</v>
      </c>
      <c r="BM280" s="12">
        <f>$BJ$280*24</f>
        <v>0</v>
      </c>
      <c r="BN280" s="12">
        <f>VALUE($I$280)/100</f>
        <v>0.79</v>
      </c>
      <c r="BO280" s="12">
        <v>0</v>
      </c>
      <c r="BP280" s="12">
        <v>0</v>
      </c>
      <c r="BQ280" s="12">
        <v>0</v>
      </c>
      <c r="BR280" s="12">
        <v>0</v>
      </c>
      <c r="BS280" s="12">
        <v>0</v>
      </c>
      <c r="BT280" s="12">
        <v>0</v>
      </c>
      <c r="BU280" s="12">
        <v>0</v>
      </c>
      <c r="BV280" s="12">
        <v>0</v>
      </c>
      <c r="BW280" s="12">
        <v>0</v>
      </c>
      <c r="BX280" s="12">
        <v>0</v>
      </c>
      <c r="BY280" s="12">
        <v>0</v>
      </c>
      <c r="BZ280" s="12">
        <v>0</v>
      </c>
      <c r="CA280" s="12">
        <v>0</v>
      </c>
    </row>
    <row r="281" spans="1:79" x14ac:dyDescent="0.2">
      <c r="A281" s="12" t="s">
        <v>141</v>
      </c>
      <c r="B281" s="12" t="s">
        <v>143</v>
      </c>
      <c r="C281" s="12" t="s">
        <v>143</v>
      </c>
      <c r="D281" s="22" t="s">
        <v>529</v>
      </c>
      <c r="E281" s="22" t="s">
        <v>161</v>
      </c>
      <c r="F281" s="22" t="s">
        <v>1041</v>
      </c>
      <c r="G281" s="22" t="s">
        <v>1042</v>
      </c>
      <c r="H281" s="22" t="s">
        <v>150</v>
      </c>
      <c r="I281" s="22" t="s">
        <v>151</v>
      </c>
      <c r="J281" s="22" t="s">
        <v>162</v>
      </c>
      <c r="K281" s="22" t="s">
        <v>97</v>
      </c>
      <c r="L281" s="54" t="s">
        <v>153</v>
      </c>
      <c r="M281" s="23" t="s">
        <v>153</v>
      </c>
      <c r="N281" s="24" t="s">
        <v>153</v>
      </c>
      <c r="O281" s="23" t="s">
        <v>153</v>
      </c>
      <c r="P281" s="23" t="s">
        <v>153</v>
      </c>
      <c r="Q281" s="23" t="s">
        <v>153</v>
      </c>
      <c r="R281" s="23" t="s">
        <v>153</v>
      </c>
      <c r="S281" s="23" t="s">
        <v>153</v>
      </c>
      <c r="T281" s="23" t="s">
        <v>153</v>
      </c>
      <c r="U281" s="24" t="s">
        <v>153</v>
      </c>
      <c r="V281" s="54" t="s">
        <v>153</v>
      </c>
      <c r="W281" s="28" t="s">
        <v>163</v>
      </c>
      <c r="X281" s="28" t="s">
        <v>163</v>
      </c>
      <c r="Y281" s="28" t="s">
        <v>163</v>
      </c>
      <c r="Z281" s="28" t="s">
        <v>163</v>
      </c>
      <c r="AA281" s="28" t="s">
        <v>163</v>
      </c>
      <c r="AB281" s="24" t="s">
        <v>153</v>
      </c>
      <c r="AC281" s="23" t="s">
        <v>153</v>
      </c>
      <c r="AD281" s="23" t="s">
        <v>153</v>
      </c>
      <c r="AE281" s="23" t="s">
        <v>153</v>
      </c>
      <c r="AF281" s="23" t="s">
        <v>153</v>
      </c>
      <c r="AG281" s="24" t="s">
        <v>156</v>
      </c>
      <c r="AH281" s="24" t="s">
        <v>156</v>
      </c>
      <c r="AI281" s="24" t="s">
        <v>153</v>
      </c>
      <c r="AJ281" s="23" t="s">
        <v>153</v>
      </c>
      <c r="AK281" s="23" t="s">
        <v>153</v>
      </c>
      <c r="AL281" s="23" t="s">
        <v>153</v>
      </c>
      <c r="AM281" s="23" t="s">
        <v>153</v>
      </c>
      <c r="AN281" s="23" t="s">
        <v>153</v>
      </c>
      <c r="AO281" s="23" t="s">
        <v>153</v>
      </c>
      <c r="AP281" s="23">
        <f>VALUE(41)</f>
        <v>41</v>
      </c>
      <c r="AQ281" s="23">
        <f>VALUE(0)</f>
        <v>0</v>
      </c>
      <c r="AR281" s="23">
        <f>VALUE(0)</f>
        <v>0</v>
      </c>
      <c r="AS281" s="23">
        <f>VALUE(0)</f>
        <v>0</v>
      </c>
      <c r="AT281" s="23">
        <f>VALUE(0)</f>
        <v>0</v>
      </c>
      <c r="AU281" s="23">
        <f>VALUE(5)</f>
        <v>5</v>
      </c>
      <c r="AV281" s="23">
        <f>VALUE(4)</f>
        <v>4</v>
      </c>
      <c r="AW281" s="23">
        <f>VALUE(0)</f>
        <v>0</v>
      </c>
      <c r="AX281" s="23" t="s">
        <v>1290</v>
      </c>
      <c r="AY281" s="23" t="s">
        <v>1291</v>
      </c>
      <c r="AZ281" s="23">
        <f>VALUE(0)</f>
        <v>0</v>
      </c>
      <c r="BA281" s="23">
        <f>VALUE(0)</f>
        <v>0</v>
      </c>
      <c r="BB281" s="23">
        <f>VALUE(0)</f>
        <v>0</v>
      </c>
      <c r="BC281" s="23">
        <f>VALUE(0)</f>
        <v>0</v>
      </c>
      <c r="BD281" s="23">
        <f>VALUE(0)</f>
        <v>0</v>
      </c>
      <c r="BE281" s="23">
        <f>VALUE(0)</f>
        <v>0</v>
      </c>
      <c r="BF281" s="23">
        <f>VALUE(0)</f>
        <v>0</v>
      </c>
      <c r="BG281" s="23">
        <f>VALUE(0)</f>
        <v>0</v>
      </c>
      <c r="BH281" s="23">
        <f>VALUE(0)</f>
        <v>0</v>
      </c>
      <c r="BI281" s="23">
        <f>VALUE(0)</f>
        <v>0</v>
      </c>
      <c r="BJ281" s="23">
        <f>VALUE(0)</f>
        <v>0</v>
      </c>
      <c r="BK281" s="12">
        <f>$AX$281*24</f>
        <v>3.9333333333333336</v>
      </c>
      <c r="BL281" s="12">
        <f>$AY$281*24</f>
        <v>4.7833333333333332</v>
      </c>
      <c r="BM281" s="12">
        <f>$BJ$281*24</f>
        <v>0</v>
      </c>
      <c r="BN281" s="12">
        <f>VALUE($I$281)/100</f>
        <v>1</v>
      </c>
      <c r="BO281" s="12">
        <v>0</v>
      </c>
      <c r="BP281" s="12">
        <v>0</v>
      </c>
      <c r="BQ281" s="12">
        <v>0</v>
      </c>
      <c r="BR281" s="12">
        <v>0</v>
      </c>
      <c r="BS281" s="12">
        <v>0</v>
      </c>
      <c r="BT281" s="12">
        <v>0</v>
      </c>
      <c r="BU281" s="12">
        <v>0</v>
      </c>
      <c r="BV281" s="12">
        <v>0</v>
      </c>
      <c r="BW281" s="12">
        <v>0</v>
      </c>
      <c r="BX281" s="12">
        <v>0</v>
      </c>
      <c r="BY281" s="12">
        <v>0</v>
      </c>
      <c r="BZ281" s="12">
        <v>0</v>
      </c>
      <c r="CA281" s="12">
        <v>0</v>
      </c>
    </row>
    <row r="282" spans="1:79" x14ac:dyDescent="0.2">
      <c r="A282" s="12" t="s">
        <v>141</v>
      </c>
      <c r="B282" s="12" t="s">
        <v>143</v>
      </c>
      <c r="C282" s="12" t="s">
        <v>143</v>
      </c>
      <c r="D282" s="22" t="s">
        <v>426</v>
      </c>
      <c r="E282" s="22" t="s">
        <v>161</v>
      </c>
      <c r="F282" s="22" t="s">
        <v>1043</v>
      </c>
      <c r="G282" s="22" t="s">
        <v>1044</v>
      </c>
      <c r="H282" s="22" t="s">
        <v>150</v>
      </c>
      <c r="I282" s="22" t="s">
        <v>151</v>
      </c>
      <c r="J282" s="22" t="s">
        <v>162</v>
      </c>
      <c r="K282" s="22" t="s">
        <v>97</v>
      </c>
      <c r="L282" s="54" t="s">
        <v>153</v>
      </c>
      <c r="M282" s="23" t="s">
        <v>153</v>
      </c>
      <c r="N282" s="24" t="s">
        <v>153</v>
      </c>
      <c r="O282" s="23" t="s">
        <v>153</v>
      </c>
      <c r="P282" s="23" t="s">
        <v>153</v>
      </c>
      <c r="Q282" s="23" t="s">
        <v>153</v>
      </c>
      <c r="R282" s="23" t="s">
        <v>153</v>
      </c>
      <c r="S282" s="23" t="s">
        <v>153</v>
      </c>
      <c r="T282" s="23" t="s">
        <v>153</v>
      </c>
      <c r="U282" s="24" t="s">
        <v>153</v>
      </c>
      <c r="V282" s="54" t="s">
        <v>153</v>
      </c>
      <c r="W282" s="28" t="s">
        <v>163</v>
      </c>
      <c r="X282" s="28" t="s">
        <v>163</v>
      </c>
      <c r="Y282" s="28" t="s">
        <v>163</v>
      </c>
      <c r="Z282" s="28" t="s">
        <v>163</v>
      </c>
      <c r="AA282" s="28" t="s">
        <v>163</v>
      </c>
      <c r="AB282" s="24" t="s">
        <v>153</v>
      </c>
      <c r="AC282" s="28" t="s">
        <v>163</v>
      </c>
      <c r="AD282" s="28" t="s">
        <v>163</v>
      </c>
      <c r="AE282" s="28" t="s">
        <v>163</v>
      </c>
      <c r="AF282" s="28" t="s">
        <v>163</v>
      </c>
      <c r="AG282" s="28" t="s">
        <v>163</v>
      </c>
      <c r="AH282" s="28" t="s">
        <v>163</v>
      </c>
      <c r="AI282" s="24" t="s">
        <v>153</v>
      </c>
      <c r="AJ282" s="23" t="s">
        <v>153</v>
      </c>
      <c r="AK282" s="23" t="s">
        <v>153</v>
      </c>
      <c r="AL282" s="23" t="s">
        <v>153</v>
      </c>
      <c r="AM282" s="23" t="s">
        <v>153</v>
      </c>
      <c r="AN282" s="23" t="s">
        <v>153</v>
      </c>
      <c r="AO282" s="23" t="s">
        <v>153</v>
      </c>
      <c r="AP282" s="23">
        <f>VALUE(30)</f>
        <v>30</v>
      </c>
      <c r="AQ282" s="23">
        <f>VALUE(0)</f>
        <v>0</v>
      </c>
      <c r="AR282" s="23">
        <f>VALUE(0)</f>
        <v>0</v>
      </c>
      <c r="AS282" s="23">
        <f>VALUE(0)</f>
        <v>0</v>
      </c>
      <c r="AT282" s="23">
        <f>VALUE(0)</f>
        <v>0</v>
      </c>
      <c r="AU282" s="23">
        <f>VALUE(11)</f>
        <v>11</v>
      </c>
      <c r="AV282" s="23">
        <f>VALUE(3)</f>
        <v>3</v>
      </c>
      <c r="AW282" s="23">
        <f>VALUE(0)</f>
        <v>0</v>
      </c>
      <c r="AX282" s="23" t="s">
        <v>445</v>
      </c>
      <c r="AY282" s="23">
        <f>VALUE(0)</f>
        <v>0</v>
      </c>
      <c r="AZ282" s="23">
        <f>VALUE(0)</f>
        <v>0</v>
      </c>
      <c r="BA282" s="23">
        <f>VALUE(0)</f>
        <v>0</v>
      </c>
      <c r="BB282" s="23">
        <f>VALUE(0)</f>
        <v>0</v>
      </c>
      <c r="BC282" s="23">
        <f>VALUE(0)</f>
        <v>0</v>
      </c>
      <c r="BD282" s="23">
        <f>VALUE(0)</f>
        <v>0</v>
      </c>
      <c r="BE282" s="23">
        <f>VALUE(0)</f>
        <v>0</v>
      </c>
      <c r="BF282" s="23">
        <f>VALUE(0)</f>
        <v>0</v>
      </c>
      <c r="BG282" s="23">
        <f>VALUE(0)</f>
        <v>0</v>
      </c>
      <c r="BH282" s="23">
        <f>VALUE(0)</f>
        <v>0</v>
      </c>
      <c r="BI282" s="23">
        <f>VALUE(0)</f>
        <v>0</v>
      </c>
      <c r="BJ282" s="23">
        <f>VALUE(0)</f>
        <v>0</v>
      </c>
      <c r="BK282" s="12">
        <f>$AX$282*24</f>
        <v>17.5</v>
      </c>
      <c r="BL282" s="12">
        <f>$AY$282*24</f>
        <v>0</v>
      </c>
      <c r="BM282" s="12">
        <f>$BJ$282*24</f>
        <v>0</v>
      </c>
      <c r="BN282" s="12">
        <f>VALUE($I$282)/100</f>
        <v>1</v>
      </c>
      <c r="BO282" s="12">
        <v>0</v>
      </c>
      <c r="BP282" s="12">
        <v>0</v>
      </c>
      <c r="BQ282" s="12">
        <v>0</v>
      </c>
      <c r="BR282" s="12">
        <v>0</v>
      </c>
      <c r="BS282" s="12">
        <v>0</v>
      </c>
      <c r="BT282" s="12">
        <v>0</v>
      </c>
      <c r="BU282" s="12">
        <v>0</v>
      </c>
      <c r="BV282" s="12">
        <v>0</v>
      </c>
      <c r="BW282" s="12">
        <v>0</v>
      </c>
      <c r="BX282" s="12">
        <v>0</v>
      </c>
      <c r="BY282" s="12">
        <v>0</v>
      </c>
      <c r="BZ282" s="12">
        <v>0</v>
      </c>
      <c r="CA282" s="12">
        <v>0</v>
      </c>
    </row>
    <row r="283" spans="1:79" x14ac:dyDescent="0.2">
      <c r="A283" s="12" t="s">
        <v>141</v>
      </c>
      <c r="B283" s="12" t="s">
        <v>143</v>
      </c>
      <c r="C283" s="12" t="s">
        <v>143</v>
      </c>
      <c r="D283" s="22" t="s">
        <v>385</v>
      </c>
      <c r="E283" s="22" t="s">
        <v>161</v>
      </c>
      <c r="F283" s="22" t="s">
        <v>1045</v>
      </c>
      <c r="G283" s="22" t="s">
        <v>1046</v>
      </c>
      <c r="H283" s="22" t="s">
        <v>166</v>
      </c>
      <c r="I283" s="22" t="s">
        <v>151</v>
      </c>
      <c r="J283" s="22" t="s">
        <v>162</v>
      </c>
      <c r="K283" s="22" t="s">
        <v>97</v>
      </c>
      <c r="L283" s="54" t="s">
        <v>153</v>
      </c>
      <c r="M283" s="23" t="s">
        <v>153</v>
      </c>
      <c r="N283" s="24" t="s">
        <v>153</v>
      </c>
      <c r="O283" s="23" t="s">
        <v>153</v>
      </c>
      <c r="P283" s="23" t="s">
        <v>153</v>
      </c>
      <c r="Q283" s="23" t="s">
        <v>153</v>
      </c>
      <c r="R283" s="23" t="s">
        <v>153</v>
      </c>
      <c r="S283" s="23" t="s">
        <v>153</v>
      </c>
      <c r="T283" s="23" t="s">
        <v>153</v>
      </c>
      <c r="U283" s="24" t="s">
        <v>153</v>
      </c>
      <c r="V283" s="54" t="s">
        <v>153</v>
      </c>
      <c r="W283" s="23" t="s">
        <v>153</v>
      </c>
      <c r="X283" s="23" t="s">
        <v>153</v>
      </c>
      <c r="Y283" s="23" t="s">
        <v>153</v>
      </c>
      <c r="Z283" s="23" t="s">
        <v>153</v>
      </c>
      <c r="AA283" s="23" t="s">
        <v>153</v>
      </c>
      <c r="AB283" s="24" t="s">
        <v>153</v>
      </c>
      <c r="AC283" s="23" t="s">
        <v>153</v>
      </c>
      <c r="AD283" s="23" t="s">
        <v>153</v>
      </c>
      <c r="AE283" s="23" t="s">
        <v>153</v>
      </c>
      <c r="AF283" s="23" t="s">
        <v>153</v>
      </c>
      <c r="AG283" s="23" t="s">
        <v>153</v>
      </c>
      <c r="AH283" s="23" t="s">
        <v>153</v>
      </c>
      <c r="AI283" s="24" t="s">
        <v>153</v>
      </c>
      <c r="AJ283" s="28" t="s">
        <v>163</v>
      </c>
      <c r="AK283" s="28" t="s">
        <v>163</v>
      </c>
      <c r="AL283" s="28" t="s">
        <v>163</v>
      </c>
      <c r="AM283" s="30" t="s">
        <v>28</v>
      </c>
      <c r="AN283" s="24" t="s">
        <v>156</v>
      </c>
      <c r="AO283" s="24" t="s">
        <v>156</v>
      </c>
      <c r="AP283" s="23">
        <f>VALUE(40)</f>
        <v>40</v>
      </c>
      <c r="AQ283" s="23">
        <f>VALUE(0)</f>
        <v>0</v>
      </c>
      <c r="AR283" s="23">
        <f>VALUE(0)</f>
        <v>0</v>
      </c>
      <c r="AS283" s="23">
        <f>VALUE(0)</f>
        <v>0</v>
      </c>
      <c r="AT283" s="23">
        <f>VALUE(0)</f>
        <v>0</v>
      </c>
      <c r="AU283" s="23">
        <f>VALUE(3)</f>
        <v>3</v>
      </c>
      <c r="AV283" s="23">
        <f>VALUE(3)</f>
        <v>3</v>
      </c>
      <c r="AW283" s="23">
        <f>VALUE(0)</f>
        <v>0</v>
      </c>
      <c r="AX283" s="23" t="s">
        <v>533</v>
      </c>
      <c r="AY283" s="23">
        <f>VALUE(0)</f>
        <v>0</v>
      </c>
      <c r="AZ283" s="23">
        <f>VALUE(0)</f>
        <v>0</v>
      </c>
      <c r="BA283" s="23">
        <f>VALUE(0)</f>
        <v>0</v>
      </c>
      <c r="BB283" s="23">
        <f>VALUE(0)</f>
        <v>0</v>
      </c>
      <c r="BC283" s="23">
        <f>VALUE(0)</f>
        <v>0</v>
      </c>
      <c r="BD283" s="23">
        <f>VALUE(0)</f>
        <v>0</v>
      </c>
      <c r="BE283" s="23">
        <f>VALUE(0)</f>
        <v>0</v>
      </c>
      <c r="BF283" s="23">
        <f>VALUE(0)</f>
        <v>0</v>
      </c>
      <c r="BG283" s="23">
        <f>VALUE(0)</f>
        <v>0</v>
      </c>
      <c r="BH283" s="23">
        <f>VALUE(0)</f>
        <v>0</v>
      </c>
      <c r="BI283" s="23">
        <f>VALUE(0)</f>
        <v>0</v>
      </c>
      <c r="BJ283" s="23">
        <f>VALUE(0)</f>
        <v>0</v>
      </c>
      <c r="BK283" s="12">
        <f>$AX$283*24</f>
        <v>1.0166666666666666</v>
      </c>
      <c r="BL283" s="12">
        <f>$AY$283*24</f>
        <v>0</v>
      </c>
      <c r="BM283" s="12">
        <f>$BJ$283*24</f>
        <v>0</v>
      </c>
      <c r="BN283" s="12">
        <f>VALUE($I$283)/100</f>
        <v>1</v>
      </c>
      <c r="BO283" s="12">
        <v>0</v>
      </c>
      <c r="BP283" s="12">
        <v>0</v>
      </c>
      <c r="BQ283" s="12">
        <v>1</v>
      </c>
      <c r="BR283" s="12">
        <v>0</v>
      </c>
      <c r="BS283" s="12">
        <v>0</v>
      </c>
      <c r="BT283" s="12">
        <v>0</v>
      </c>
      <c r="BU283" s="12">
        <v>0</v>
      </c>
      <c r="BV283" s="12">
        <v>0</v>
      </c>
      <c r="BW283" s="12">
        <v>0</v>
      </c>
      <c r="BX283" s="12">
        <v>0</v>
      </c>
      <c r="BY283" s="12">
        <v>0</v>
      </c>
      <c r="BZ283" s="12">
        <v>0</v>
      </c>
      <c r="CA283" s="12">
        <v>0</v>
      </c>
    </row>
    <row r="284" spans="1:79" x14ac:dyDescent="0.2">
      <c r="A284" s="12" t="s">
        <v>141</v>
      </c>
      <c r="B284" s="12" t="s">
        <v>143</v>
      </c>
      <c r="C284" s="12" t="s">
        <v>143</v>
      </c>
      <c r="D284" s="22" t="s">
        <v>378</v>
      </c>
      <c r="E284" s="22" t="s">
        <v>161</v>
      </c>
      <c r="F284" s="22" t="s">
        <v>1292</v>
      </c>
      <c r="G284" s="22" t="s">
        <v>1047</v>
      </c>
      <c r="H284" s="22" t="s">
        <v>166</v>
      </c>
      <c r="I284" s="22" t="s">
        <v>151</v>
      </c>
      <c r="J284" s="22" t="s">
        <v>162</v>
      </c>
      <c r="K284" s="22" t="s">
        <v>97</v>
      </c>
      <c r="L284" s="54" t="s">
        <v>153</v>
      </c>
      <c r="M284" s="23" t="s">
        <v>153</v>
      </c>
      <c r="N284" s="24" t="s">
        <v>153</v>
      </c>
      <c r="O284" s="23" t="s">
        <v>153</v>
      </c>
      <c r="P284" s="23" t="s">
        <v>153</v>
      </c>
      <c r="Q284" s="23" t="s">
        <v>153</v>
      </c>
      <c r="R284" s="23" t="s">
        <v>153</v>
      </c>
      <c r="S284" s="23" t="s">
        <v>153</v>
      </c>
      <c r="T284" s="23" t="s">
        <v>153</v>
      </c>
      <c r="U284" s="24" t="s">
        <v>153</v>
      </c>
      <c r="V284" s="54" t="s">
        <v>153</v>
      </c>
      <c r="W284" s="23" t="s">
        <v>153</v>
      </c>
      <c r="X284" s="23" t="s">
        <v>153</v>
      </c>
      <c r="Y284" s="23" t="s">
        <v>153</v>
      </c>
      <c r="Z284" s="23" t="s">
        <v>153</v>
      </c>
      <c r="AA284" s="23" t="s">
        <v>153</v>
      </c>
      <c r="AB284" s="24" t="s">
        <v>153</v>
      </c>
      <c r="AC284" s="23" t="s">
        <v>153</v>
      </c>
      <c r="AD284" s="23" t="s">
        <v>153</v>
      </c>
      <c r="AE284" s="23" t="s">
        <v>153</v>
      </c>
      <c r="AF284" s="23" t="s">
        <v>153</v>
      </c>
      <c r="AG284" s="23" t="s">
        <v>153</v>
      </c>
      <c r="AH284" s="23" t="s">
        <v>153</v>
      </c>
      <c r="AI284" s="24" t="s">
        <v>153</v>
      </c>
      <c r="AJ284" s="23" t="s">
        <v>153</v>
      </c>
      <c r="AK284" s="23" t="s">
        <v>153</v>
      </c>
      <c r="AL284" s="23" t="s">
        <v>153</v>
      </c>
      <c r="AM284" s="23" t="s">
        <v>153</v>
      </c>
      <c r="AN284" s="23" t="s">
        <v>153</v>
      </c>
      <c r="AO284" s="23" t="s">
        <v>153</v>
      </c>
      <c r="AP284" s="23">
        <f>VALUE(44)</f>
        <v>44</v>
      </c>
      <c r="AQ284" s="23">
        <f>VALUE(0)</f>
        <v>0</v>
      </c>
      <c r="AR284" s="23">
        <f>VALUE(0)</f>
        <v>0</v>
      </c>
      <c r="AS284" s="23">
        <f>VALUE(0)</f>
        <v>0</v>
      </c>
      <c r="AT284" s="23">
        <f>VALUE(0)</f>
        <v>0</v>
      </c>
      <c r="AU284" s="23">
        <f>VALUE(0)</f>
        <v>0</v>
      </c>
      <c r="AV284" s="23">
        <f>VALUE(6)</f>
        <v>6</v>
      </c>
      <c r="AW284" s="23">
        <f>VALUE(0)</f>
        <v>0</v>
      </c>
      <c r="AX284" s="23" t="s">
        <v>1293</v>
      </c>
      <c r="AY284" s="23">
        <f>VALUE(0)</f>
        <v>0</v>
      </c>
      <c r="AZ284" s="23">
        <f>VALUE(0)</f>
        <v>0</v>
      </c>
      <c r="BA284" s="23">
        <f>VALUE(0)</f>
        <v>0</v>
      </c>
      <c r="BB284" s="23">
        <f>VALUE(0)</f>
        <v>0</v>
      </c>
      <c r="BC284" s="23">
        <f>VALUE(0)</f>
        <v>0</v>
      </c>
      <c r="BD284" s="23">
        <f>VALUE(0)</f>
        <v>0</v>
      </c>
      <c r="BE284" s="23">
        <f>VALUE(0)</f>
        <v>0</v>
      </c>
      <c r="BF284" s="23">
        <f>VALUE(0)</f>
        <v>0</v>
      </c>
      <c r="BG284" s="23">
        <f>VALUE(0)</f>
        <v>0</v>
      </c>
      <c r="BH284" s="23">
        <f>VALUE(0)</f>
        <v>0</v>
      </c>
      <c r="BI284" s="23">
        <f>VALUE(0)</f>
        <v>0</v>
      </c>
      <c r="BJ284" s="23">
        <f>VALUE(0)</f>
        <v>0</v>
      </c>
      <c r="BK284" s="12">
        <f>$AX$284*24</f>
        <v>35.333333333333336</v>
      </c>
      <c r="BL284" s="12">
        <f>$AY$284*24</f>
        <v>0</v>
      </c>
      <c r="BM284" s="12">
        <f>$BJ$284*24</f>
        <v>0</v>
      </c>
      <c r="BN284" s="12">
        <f>VALUE($I$284)/100</f>
        <v>1</v>
      </c>
      <c r="BO284" s="12">
        <v>0</v>
      </c>
      <c r="BP284" s="12">
        <v>0</v>
      </c>
      <c r="BQ284" s="12">
        <v>0</v>
      </c>
      <c r="BR284" s="12">
        <v>0</v>
      </c>
      <c r="BS284" s="12">
        <v>0</v>
      </c>
      <c r="BT284" s="12">
        <v>0</v>
      </c>
      <c r="BU284" s="12">
        <v>0</v>
      </c>
      <c r="BV284" s="12">
        <v>0</v>
      </c>
      <c r="BW284" s="12">
        <v>0</v>
      </c>
      <c r="BX284" s="12">
        <v>0</v>
      </c>
      <c r="BY284" s="12">
        <v>0</v>
      </c>
      <c r="BZ284" s="12">
        <v>0</v>
      </c>
      <c r="CA284" s="12">
        <v>0</v>
      </c>
    </row>
    <row r="285" spans="1:79" x14ac:dyDescent="0.2">
      <c r="A285" s="12" t="s">
        <v>141</v>
      </c>
      <c r="B285" s="12" t="s">
        <v>143</v>
      </c>
      <c r="C285" s="12" t="s">
        <v>143</v>
      </c>
      <c r="D285" s="22" t="s">
        <v>389</v>
      </c>
      <c r="E285" s="22" t="s">
        <v>161</v>
      </c>
      <c r="F285" s="22" t="s">
        <v>1048</v>
      </c>
      <c r="G285" s="22" t="s">
        <v>1049</v>
      </c>
      <c r="H285" s="22" t="s">
        <v>279</v>
      </c>
      <c r="I285" s="22" t="s">
        <v>151</v>
      </c>
      <c r="J285" s="22" t="s">
        <v>162</v>
      </c>
      <c r="K285" s="22" t="s">
        <v>97</v>
      </c>
      <c r="L285" s="54" t="s">
        <v>153</v>
      </c>
      <c r="M285" s="23" t="s">
        <v>153</v>
      </c>
      <c r="N285" s="24" t="s">
        <v>153</v>
      </c>
      <c r="O285" s="23" t="s">
        <v>153</v>
      </c>
      <c r="P285" s="23" t="s">
        <v>153</v>
      </c>
      <c r="Q285" s="23" t="s">
        <v>153</v>
      </c>
      <c r="R285" s="23" t="s">
        <v>153</v>
      </c>
      <c r="S285" s="23" t="s">
        <v>153</v>
      </c>
      <c r="T285" s="23" t="s">
        <v>153</v>
      </c>
      <c r="U285" s="24" t="s">
        <v>153</v>
      </c>
      <c r="V285" s="54" t="s">
        <v>153</v>
      </c>
      <c r="W285" s="23" t="s">
        <v>426</v>
      </c>
      <c r="X285" s="23" t="s">
        <v>426</v>
      </c>
      <c r="Y285" s="23" t="s">
        <v>426</v>
      </c>
      <c r="Z285" s="23" t="s">
        <v>426</v>
      </c>
      <c r="AA285" s="23" t="s">
        <v>426</v>
      </c>
      <c r="AB285" s="24" t="s">
        <v>153</v>
      </c>
      <c r="AC285" s="23" t="s">
        <v>426</v>
      </c>
      <c r="AD285" s="23" t="s">
        <v>426</v>
      </c>
      <c r="AE285" s="23" t="s">
        <v>426</v>
      </c>
      <c r="AF285" s="23" t="s">
        <v>426</v>
      </c>
      <c r="AG285" s="23" t="s">
        <v>426</v>
      </c>
      <c r="AH285" s="23" t="s">
        <v>426</v>
      </c>
      <c r="AI285" s="24" t="s">
        <v>153</v>
      </c>
      <c r="AJ285" s="23" t="s">
        <v>385</v>
      </c>
      <c r="AK285" s="23" t="s">
        <v>385</v>
      </c>
      <c r="AL285" s="23" t="s">
        <v>385</v>
      </c>
      <c r="AM285" s="23" t="s">
        <v>385</v>
      </c>
      <c r="AN285" s="23" t="s">
        <v>385</v>
      </c>
      <c r="AO285" s="23" t="s">
        <v>385</v>
      </c>
      <c r="AP285" s="23">
        <f>VALUE(0)</f>
        <v>0</v>
      </c>
      <c r="AQ285" s="23">
        <f>VALUE(0)</f>
        <v>0</v>
      </c>
      <c r="AR285" s="23">
        <f>VALUE(0)</f>
        <v>0</v>
      </c>
      <c r="AS285" s="23">
        <f>VALUE(0)</f>
        <v>0</v>
      </c>
      <c r="AT285" s="23">
        <f>VALUE(0)</f>
        <v>0</v>
      </c>
      <c r="AU285" s="23">
        <f>VALUE(0)</f>
        <v>0</v>
      </c>
      <c r="AV285" s="23">
        <f>VALUE(0)</f>
        <v>0</v>
      </c>
      <c r="AW285" s="23">
        <f>VALUE(0)</f>
        <v>0</v>
      </c>
      <c r="AX285" s="23">
        <f>VALUE(0)</f>
        <v>0</v>
      </c>
      <c r="AY285" s="23">
        <f>VALUE(0)</f>
        <v>0</v>
      </c>
      <c r="AZ285" s="23">
        <f>VALUE(0)</f>
        <v>0</v>
      </c>
      <c r="BA285" s="23">
        <f>VALUE(0)</f>
        <v>0</v>
      </c>
      <c r="BB285" s="23">
        <f>VALUE(0)</f>
        <v>0</v>
      </c>
      <c r="BC285" s="23">
        <f>VALUE(0)</f>
        <v>0</v>
      </c>
      <c r="BD285" s="23">
        <f>VALUE(0)</f>
        <v>0</v>
      </c>
      <c r="BE285" s="23">
        <f>VALUE(0)</f>
        <v>0</v>
      </c>
      <c r="BF285" s="23">
        <f>VALUE(0)</f>
        <v>0</v>
      </c>
      <c r="BG285" s="23">
        <f>VALUE(0)</f>
        <v>0</v>
      </c>
      <c r="BH285" s="23">
        <f>VALUE(0)</f>
        <v>0</v>
      </c>
      <c r="BI285" s="23">
        <f>VALUE(0)</f>
        <v>0</v>
      </c>
      <c r="BJ285" s="23">
        <f>VALUE(0)</f>
        <v>0</v>
      </c>
      <c r="BK285" s="12">
        <f>$AX$285*24</f>
        <v>0</v>
      </c>
      <c r="BL285" s="12">
        <f>$AY$285*24</f>
        <v>0</v>
      </c>
      <c r="BM285" s="12">
        <f>$BJ$285*24</f>
        <v>0</v>
      </c>
      <c r="BN285" s="12">
        <f>VALUE($I$285)/100</f>
        <v>1</v>
      </c>
      <c r="BO285" s="12">
        <v>0</v>
      </c>
      <c r="BP285" s="12">
        <v>0</v>
      </c>
      <c r="BQ285" s="12">
        <v>0</v>
      </c>
      <c r="BR285" s="12">
        <v>0</v>
      </c>
      <c r="BS285" s="12">
        <v>0</v>
      </c>
      <c r="BT285" s="12">
        <v>0</v>
      </c>
      <c r="BU285" s="12">
        <v>0</v>
      </c>
      <c r="BV285" s="12">
        <v>0</v>
      </c>
      <c r="BW285" s="12">
        <v>0</v>
      </c>
      <c r="BX285" s="12">
        <v>0</v>
      </c>
      <c r="BY285" s="12">
        <v>0</v>
      </c>
      <c r="BZ285" s="12">
        <v>0</v>
      </c>
      <c r="CA285" s="12">
        <v>0</v>
      </c>
    </row>
    <row r="286" spans="1:79" x14ac:dyDescent="0.2">
      <c r="A286" s="12" t="s">
        <v>141</v>
      </c>
      <c r="B286" s="12" t="s">
        <v>143</v>
      </c>
      <c r="C286" s="12" t="s">
        <v>143</v>
      </c>
      <c r="D286" s="22" t="s">
        <v>379</v>
      </c>
      <c r="E286" s="22" t="s">
        <v>161</v>
      </c>
      <c r="F286" s="22" t="s">
        <v>1050</v>
      </c>
      <c r="G286" s="22" t="s">
        <v>1051</v>
      </c>
      <c r="H286" s="22" t="s">
        <v>166</v>
      </c>
      <c r="I286" s="22" t="s">
        <v>151</v>
      </c>
      <c r="J286" s="22" t="s">
        <v>162</v>
      </c>
      <c r="K286" s="22" t="s">
        <v>97</v>
      </c>
      <c r="L286" s="54" t="s">
        <v>156</v>
      </c>
      <c r="M286" s="24" t="s">
        <v>156</v>
      </c>
      <c r="N286" s="24" t="s">
        <v>153</v>
      </c>
      <c r="O286" s="23" t="s">
        <v>153</v>
      </c>
      <c r="P286" s="23" t="s">
        <v>153</v>
      </c>
      <c r="Q286" s="23" t="s">
        <v>153</v>
      </c>
      <c r="R286" s="23" t="s">
        <v>153</v>
      </c>
      <c r="S286" s="23" t="s">
        <v>153</v>
      </c>
      <c r="T286" s="23" t="s">
        <v>153</v>
      </c>
      <c r="U286" s="24" t="s">
        <v>153</v>
      </c>
      <c r="V286" s="54" t="s">
        <v>153</v>
      </c>
      <c r="W286" s="23" t="s">
        <v>153</v>
      </c>
      <c r="X286" s="23" t="s">
        <v>153</v>
      </c>
      <c r="Y286" s="23" t="s">
        <v>153</v>
      </c>
      <c r="Z286" s="23" t="s">
        <v>153</v>
      </c>
      <c r="AA286" s="23" t="s">
        <v>153</v>
      </c>
      <c r="AB286" s="24" t="s">
        <v>153</v>
      </c>
      <c r="AC286" s="23" t="s">
        <v>153</v>
      </c>
      <c r="AD286" s="23" t="s">
        <v>153</v>
      </c>
      <c r="AE286" s="23" t="s">
        <v>153</v>
      </c>
      <c r="AF286" s="23" t="s">
        <v>153</v>
      </c>
      <c r="AG286" s="23" t="s">
        <v>153</v>
      </c>
      <c r="AH286" s="23" t="s">
        <v>153</v>
      </c>
      <c r="AI286" s="24" t="s">
        <v>153</v>
      </c>
      <c r="AJ286" s="23" t="s">
        <v>153</v>
      </c>
      <c r="AK286" s="23" t="s">
        <v>153</v>
      </c>
      <c r="AL286" s="23" t="s">
        <v>153</v>
      </c>
      <c r="AM286" s="23" t="s">
        <v>153</v>
      </c>
      <c r="AN286" s="23" t="s">
        <v>153</v>
      </c>
      <c r="AO286" s="23" t="s">
        <v>153</v>
      </c>
      <c r="AP286" s="23">
        <f>VALUE(41)</f>
        <v>41</v>
      </c>
      <c r="AQ286" s="23">
        <f>VALUE(0)</f>
        <v>0</v>
      </c>
      <c r="AR286" s="23">
        <f>VALUE(0)</f>
        <v>0</v>
      </c>
      <c r="AS286" s="23">
        <f>VALUE(0)</f>
        <v>0</v>
      </c>
      <c r="AT286" s="23">
        <f>VALUE(0)</f>
        <v>0</v>
      </c>
      <c r="AU286" s="23">
        <f>VALUE(0)</f>
        <v>0</v>
      </c>
      <c r="AV286" s="23">
        <f>VALUE(6)</f>
        <v>6</v>
      </c>
      <c r="AW286" s="23">
        <f>VALUE(0)</f>
        <v>0</v>
      </c>
      <c r="AX286" s="23" t="s">
        <v>1294</v>
      </c>
      <c r="AY286" s="23">
        <f>VALUE(0)</f>
        <v>0</v>
      </c>
      <c r="AZ286" s="23">
        <f>VALUE(0)</f>
        <v>0</v>
      </c>
      <c r="BA286" s="23">
        <f>VALUE(0)</f>
        <v>0</v>
      </c>
      <c r="BB286" s="23">
        <f>VALUE(0)</f>
        <v>0</v>
      </c>
      <c r="BC286" s="23">
        <f>VALUE(0)</f>
        <v>0</v>
      </c>
      <c r="BD286" s="23">
        <f>VALUE(0)</f>
        <v>0</v>
      </c>
      <c r="BE286" s="23">
        <f>VALUE(0)</f>
        <v>0</v>
      </c>
      <c r="BF286" s="23">
        <f>VALUE(0)</f>
        <v>0</v>
      </c>
      <c r="BG286" s="23">
        <f>VALUE(0)</f>
        <v>0</v>
      </c>
      <c r="BH286" s="23">
        <f>VALUE(0)</f>
        <v>0</v>
      </c>
      <c r="BI286" s="23">
        <f>VALUE(0)</f>
        <v>0</v>
      </c>
      <c r="BJ286" s="23">
        <f>VALUE(0)</f>
        <v>0</v>
      </c>
      <c r="BK286" s="12">
        <f>$AX$286*24</f>
        <v>12.133333333333333</v>
      </c>
      <c r="BL286" s="12">
        <f>$AY$286*24</f>
        <v>0</v>
      </c>
      <c r="BM286" s="12">
        <f>$BJ$286*24</f>
        <v>0</v>
      </c>
      <c r="BN286" s="12">
        <f>VALUE($I$286)/100</f>
        <v>1</v>
      </c>
      <c r="BO286" s="12">
        <v>0</v>
      </c>
      <c r="BP286" s="12">
        <v>0</v>
      </c>
      <c r="BQ286" s="12">
        <v>0</v>
      </c>
      <c r="BR286" s="12">
        <v>0</v>
      </c>
      <c r="BS286" s="12">
        <v>0</v>
      </c>
      <c r="BT286" s="12">
        <v>0</v>
      </c>
      <c r="BU286" s="12">
        <v>0</v>
      </c>
      <c r="BV286" s="12">
        <v>0</v>
      </c>
      <c r="BW286" s="12">
        <v>0</v>
      </c>
      <c r="BX286" s="12">
        <v>0</v>
      </c>
      <c r="BY286" s="12">
        <v>0</v>
      </c>
      <c r="BZ286" s="12">
        <v>0</v>
      </c>
      <c r="CA286" s="12">
        <v>0</v>
      </c>
    </row>
    <row r="287" spans="1:79" x14ac:dyDescent="0.2">
      <c r="A287" s="12" t="s">
        <v>141</v>
      </c>
      <c r="B287" s="12" t="s">
        <v>143</v>
      </c>
      <c r="C287" s="12" t="s">
        <v>143</v>
      </c>
      <c r="D287" s="22" t="s">
        <v>429</v>
      </c>
      <c r="E287" s="22" t="s">
        <v>161</v>
      </c>
      <c r="F287" s="22" t="s">
        <v>1052</v>
      </c>
      <c r="G287" s="22" t="s">
        <v>1053</v>
      </c>
      <c r="H287" s="22" t="s">
        <v>166</v>
      </c>
      <c r="I287" s="22" t="s">
        <v>151</v>
      </c>
      <c r="J287" s="22" t="s">
        <v>162</v>
      </c>
      <c r="K287" s="22" t="s">
        <v>97</v>
      </c>
      <c r="L287" s="54" t="s">
        <v>153</v>
      </c>
      <c r="M287" s="23" t="s">
        <v>153</v>
      </c>
      <c r="N287" s="24" t="s">
        <v>153</v>
      </c>
      <c r="O287" s="23" t="s">
        <v>153</v>
      </c>
      <c r="P287" s="23" t="s">
        <v>153</v>
      </c>
      <c r="Q287" s="23" t="s">
        <v>153</v>
      </c>
      <c r="R287" s="23" t="s">
        <v>153</v>
      </c>
      <c r="S287" s="24" t="s">
        <v>156</v>
      </c>
      <c r="T287" s="24" t="s">
        <v>156</v>
      </c>
      <c r="U287" s="24" t="s">
        <v>153</v>
      </c>
      <c r="V287" s="54" t="s">
        <v>153</v>
      </c>
      <c r="W287" s="23" t="s">
        <v>153</v>
      </c>
      <c r="X287" s="23" t="s">
        <v>153</v>
      </c>
      <c r="Y287" s="23" t="s">
        <v>153</v>
      </c>
      <c r="Z287" s="23" t="s">
        <v>153</v>
      </c>
      <c r="AA287" s="23" t="s">
        <v>153</v>
      </c>
      <c r="AB287" s="24" t="s">
        <v>153</v>
      </c>
      <c r="AC287" s="28" t="s">
        <v>163</v>
      </c>
      <c r="AD287" s="28" t="s">
        <v>163</v>
      </c>
      <c r="AE287" s="28" t="s">
        <v>163</v>
      </c>
      <c r="AF287" s="28" t="s">
        <v>163</v>
      </c>
      <c r="AG287" s="28" t="s">
        <v>163</v>
      </c>
      <c r="AH287" s="28" t="s">
        <v>163</v>
      </c>
      <c r="AI287" s="24" t="s">
        <v>153</v>
      </c>
      <c r="AJ287" s="28" t="s">
        <v>163</v>
      </c>
      <c r="AK287" s="28" t="s">
        <v>163</v>
      </c>
      <c r="AL287" s="28" t="s">
        <v>163</v>
      </c>
      <c r="AM287" s="28" t="s">
        <v>163</v>
      </c>
      <c r="AN287" s="23" t="s">
        <v>153</v>
      </c>
      <c r="AO287" s="23" t="s">
        <v>153</v>
      </c>
      <c r="AP287" s="23">
        <f>VALUE(36)</f>
        <v>36</v>
      </c>
      <c r="AQ287" s="23">
        <f>VALUE(0)</f>
        <v>0</v>
      </c>
      <c r="AR287" s="23">
        <f>VALUE(0)</f>
        <v>0</v>
      </c>
      <c r="AS287" s="23">
        <f>VALUE(0)</f>
        <v>0</v>
      </c>
      <c r="AT287" s="23">
        <f>VALUE(0)</f>
        <v>0</v>
      </c>
      <c r="AU287" s="23">
        <f>VALUE(10)</f>
        <v>10</v>
      </c>
      <c r="AV287" s="23">
        <f>VALUE(0)</f>
        <v>0</v>
      </c>
      <c r="AW287" s="23">
        <f>VALUE(0)</f>
        <v>0</v>
      </c>
      <c r="AX287" s="23" t="s">
        <v>1295</v>
      </c>
      <c r="AY287" s="23">
        <f>VALUE(0)</f>
        <v>0</v>
      </c>
      <c r="AZ287" s="23">
        <f>VALUE(0)</f>
        <v>0</v>
      </c>
      <c r="BA287" s="23">
        <f>VALUE(0)</f>
        <v>0</v>
      </c>
      <c r="BB287" s="23">
        <f>VALUE(0)</f>
        <v>0</v>
      </c>
      <c r="BC287" s="23">
        <f>VALUE(0)</f>
        <v>0</v>
      </c>
      <c r="BD287" s="23">
        <f>VALUE(0)</f>
        <v>0</v>
      </c>
      <c r="BE287" s="23">
        <f>VALUE(0)</f>
        <v>0</v>
      </c>
      <c r="BF287" s="23">
        <f>VALUE(0)</f>
        <v>0</v>
      </c>
      <c r="BG287" s="23">
        <f>VALUE(0)</f>
        <v>0</v>
      </c>
      <c r="BH287" s="23">
        <f>VALUE(0)</f>
        <v>0</v>
      </c>
      <c r="BI287" s="23">
        <f>VALUE(0)</f>
        <v>0</v>
      </c>
      <c r="BJ287" s="23">
        <f>VALUE(0)</f>
        <v>0</v>
      </c>
      <c r="BK287" s="12">
        <f>$AX$287*24</f>
        <v>4.5333333333333332</v>
      </c>
      <c r="BL287" s="12">
        <f>$AY$287*24</f>
        <v>0</v>
      </c>
      <c r="BM287" s="12">
        <f>$BJ$287*24</f>
        <v>0</v>
      </c>
      <c r="BN287" s="12">
        <f>VALUE($I$287)/100</f>
        <v>1</v>
      </c>
      <c r="BO287" s="12">
        <v>0</v>
      </c>
      <c r="BP287" s="12">
        <v>0</v>
      </c>
      <c r="BQ287" s="12">
        <v>0</v>
      </c>
      <c r="BR287" s="12">
        <v>0</v>
      </c>
      <c r="BS287" s="12">
        <v>0</v>
      </c>
      <c r="BT287" s="12">
        <v>0</v>
      </c>
      <c r="BU287" s="12">
        <v>0</v>
      </c>
      <c r="BV287" s="12">
        <v>0</v>
      </c>
      <c r="BW287" s="12">
        <v>0</v>
      </c>
      <c r="BX287" s="12">
        <v>0</v>
      </c>
      <c r="BY287" s="12">
        <v>0</v>
      </c>
      <c r="BZ287" s="12">
        <v>0</v>
      </c>
      <c r="CA287" s="12">
        <v>0</v>
      </c>
    </row>
    <row r="288" spans="1:79" x14ac:dyDescent="0.2">
      <c r="A288" s="12" t="s">
        <v>141</v>
      </c>
      <c r="B288" s="12" t="s">
        <v>143</v>
      </c>
      <c r="C288" s="12" t="s">
        <v>143</v>
      </c>
      <c r="D288" s="22" t="s">
        <v>534</v>
      </c>
      <c r="E288" s="22" t="s">
        <v>159</v>
      </c>
      <c r="F288" s="22" t="s">
        <v>535</v>
      </c>
      <c r="G288" s="22" t="s">
        <v>1054</v>
      </c>
      <c r="H288" s="22" t="s">
        <v>166</v>
      </c>
      <c r="I288" s="22" t="s">
        <v>151</v>
      </c>
      <c r="J288" s="22" t="s">
        <v>162</v>
      </c>
      <c r="K288" s="22" t="s">
        <v>97</v>
      </c>
      <c r="L288" s="54" t="s">
        <v>153</v>
      </c>
      <c r="M288" s="23" t="s">
        <v>300</v>
      </c>
      <c r="N288" s="24" t="s">
        <v>153</v>
      </c>
      <c r="O288" s="28" t="s">
        <v>163</v>
      </c>
      <c r="P288" s="28" t="s">
        <v>163</v>
      </c>
      <c r="Q288" s="28" t="s">
        <v>163</v>
      </c>
      <c r="R288" s="28" t="s">
        <v>163</v>
      </c>
      <c r="S288" s="28" t="s">
        <v>163</v>
      </c>
      <c r="T288" s="28" t="s">
        <v>163</v>
      </c>
      <c r="U288" s="24" t="s">
        <v>153</v>
      </c>
      <c r="V288" s="54" t="s">
        <v>153</v>
      </c>
      <c r="W288" s="23" t="s">
        <v>389</v>
      </c>
      <c r="X288" s="23" t="s">
        <v>389</v>
      </c>
      <c r="Y288" s="23" t="s">
        <v>389</v>
      </c>
      <c r="Z288" s="23" t="s">
        <v>389</v>
      </c>
      <c r="AA288" s="23" t="s">
        <v>389</v>
      </c>
      <c r="AB288" s="24" t="s">
        <v>153</v>
      </c>
      <c r="AC288" s="23" t="s">
        <v>185</v>
      </c>
      <c r="AD288" s="23" t="s">
        <v>185</v>
      </c>
      <c r="AE288" s="24" t="s">
        <v>156</v>
      </c>
      <c r="AF288" s="24" t="s">
        <v>156</v>
      </c>
      <c r="AG288" s="23" t="s">
        <v>185</v>
      </c>
      <c r="AH288" s="23" t="s">
        <v>185</v>
      </c>
      <c r="AI288" s="24" t="s">
        <v>153</v>
      </c>
      <c r="AJ288" s="23" t="s">
        <v>389</v>
      </c>
      <c r="AK288" s="23" t="s">
        <v>389</v>
      </c>
      <c r="AL288" s="23" t="s">
        <v>389</v>
      </c>
      <c r="AM288" s="23" t="s">
        <v>389</v>
      </c>
      <c r="AN288" s="23" t="s">
        <v>389</v>
      </c>
      <c r="AO288" s="23" t="s">
        <v>389</v>
      </c>
      <c r="AP288" s="23">
        <f>VALUE(24)</f>
        <v>24</v>
      </c>
      <c r="AQ288" s="23">
        <f>VALUE(0)</f>
        <v>0</v>
      </c>
      <c r="AR288" s="23">
        <f>VALUE(0)</f>
        <v>0</v>
      </c>
      <c r="AS288" s="23">
        <f>VALUE(0)</f>
        <v>0</v>
      </c>
      <c r="AT288" s="23">
        <f>VALUE(0)</f>
        <v>0</v>
      </c>
      <c r="AU288" s="23">
        <f>VALUE(6)</f>
        <v>6</v>
      </c>
      <c r="AV288" s="23">
        <f>VALUE(4)</f>
        <v>4</v>
      </c>
      <c r="AW288" s="23">
        <f>VALUE(0)</f>
        <v>0</v>
      </c>
      <c r="AX288" s="23" t="s">
        <v>1296</v>
      </c>
      <c r="AY288" s="23">
        <f>VALUE(0)</f>
        <v>0</v>
      </c>
      <c r="AZ288" s="23">
        <f>VALUE(0)</f>
        <v>0</v>
      </c>
      <c r="BA288" s="23">
        <f>VALUE(0)</f>
        <v>0</v>
      </c>
      <c r="BB288" s="23">
        <f>VALUE(0)</f>
        <v>0</v>
      </c>
      <c r="BC288" s="23">
        <f>VALUE(0)</f>
        <v>0</v>
      </c>
      <c r="BD288" s="23">
        <f>VALUE(0)</f>
        <v>0</v>
      </c>
      <c r="BE288" s="23">
        <f>VALUE(0)</f>
        <v>0</v>
      </c>
      <c r="BF288" s="23">
        <f>VALUE(0)</f>
        <v>0</v>
      </c>
      <c r="BG288" s="23">
        <f>VALUE(0)</f>
        <v>0</v>
      </c>
      <c r="BH288" s="23">
        <f>VALUE(0)</f>
        <v>0</v>
      </c>
      <c r="BI288" s="23">
        <f>VALUE(0)</f>
        <v>0</v>
      </c>
      <c r="BJ288" s="23">
        <f>VALUE(0)</f>
        <v>0</v>
      </c>
      <c r="BK288" s="12">
        <f>$AX$288*24</f>
        <v>35.700000000000003</v>
      </c>
      <c r="BL288" s="12">
        <f>$AY$288*24</f>
        <v>0</v>
      </c>
      <c r="BM288" s="12">
        <f>$BJ$288*24</f>
        <v>0</v>
      </c>
      <c r="BN288" s="12">
        <f>VALUE($I$288)/100</f>
        <v>1</v>
      </c>
      <c r="BO288" s="12">
        <v>0</v>
      </c>
      <c r="BP288" s="12">
        <v>0</v>
      </c>
      <c r="BQ288" s="12">
        <v>0</v>
      </c>
      <c r="BR288" s="12">
        <v>0</v>
      </c>
      <c r="BS288" s="12">
        <v>0</v>
      </c>
      <c r="BT288" s="12">
        <v>0</v>
      </c>
      <c r="BU288" s="12">
        <v>0</v>
      </c>
      <c r="BV288" s="12">
        <v>0</v>
      </c>
      <c r="BW288" s="12">
        <v>0</v>
      </c>
      <c r="BX288" s="12">
        <v>0</v>
      </c>
      <c r="BY288" s="12">
        <v>0</v>
      </c>
      <c r="BZ288" s="12">
        <v>0</v>
      </c>
      <c r="CA288" s="12">
        <v>0</v>
      </c>
    </row>
    <row r="289" spans="1:79" x14ac:dyDescent="0.2">
      <c r="A289" s="12" t="s">
        <v>141</v>
      </c>
      <c r="B289" s="12" t="s">
        <v>143</v>
      </c>
      <c r="C289" s="12" t="s">
        <v>143</v>
      </c>
      <c r="D289" s="22" t="s">
        <v>536</v>
      </c>
      <c r="E289" s="22" t="s">
        <v>159</v>
      </c>
      <c r="F289" s="22" t="s">
        <v>1055</v>
      </c>
      <c r="G289" s="22" t="s">
        <v>1056</v>
      </c>
      <c r="H289" s="22" t="s">
        <v>150</v>
      </c>
      <c r="I289" s="22" t="s">
        <v>151</v>
      </c>
      <c r="J289" s="22" t="s">
        <v>162</v>
      </c>
      <c r="K289" s="22" t="s">
        <v>97</v>
      </c>
      <c r="L289" s="54" t="s">
        <v>153</v>
      </c>
      <c r="M289" s="27" t="s">
        <v>153</v>
      </c>
      <c r="N289" s="27" t="s">
        <v>153</v>
      </c>
      <c r="O289" s="27" t="s">
        <v>153</v>
      </c>
      <c r="P289" s="27" t="s">
        <v>153</v>
      </c>
      <c r="Q289" s="27" t="s">
        <v>153</v>
      </c>
      <c r="R289" s="27" t="s">
        <v>153</v>
      </c>
      <c r="S289" s="27" t="s">
        <v>153</v>
      </c>
      <c r="T289" s="27" t="s">
        <v>153</v>
      </c>
      <c r="U289" s="27" t="s">
        <v>153</v>
      </c>
      <c r="V289" s="54" t="s">
        <v>153</v>
      </c>
      <c r="W289" s="27" t="s">
        <v>153</v>
      </c>
      <c r="X289" s="27" t="s">
        <v>153</v>
      </c>
      <c r="Y289" s="27" t="s">
        <v>153</v>
      </c>
      <c r="Z289" s="27" t="s">
        <v>153</v>
      </c>
      <c r="AA289" s="27" t="s">
        <v>153</v>
      </c>
      <c r="AB289" s="27" t="s">
        <v>153</v>
      </c>
      <c r="AC289" s="27" t="s">
        <v>153</v>
      </c>
      <c r="AD289" s="27" t="s">
        <v>153</v>
      </c>
      <c r="AE289" s="27" t="s">
        <v>153</v>
      </c>
      <c r="AF289" s="27" t="s">
        <v>153</v>
      </c>
      <c r="AG289" s="27" t="s">
        <v>153</v>
      </c>
      <c r="AH289" s="27" t="s">
        <v>153</v>
      </c>
      <c r="AI289" s="27" t="s">
        <v>153</v>
      </c>
      <c r="AJ289" s="27" t="s">
        <v>153</v>
      </c>
      <c r="AK289" s="27" t="s">
        <v>153</v>
      </c>
      <c r="AL289" s="27" t="s">
        <v>153</v>
      </c>
      <c r="AM289" s="27" t="s">
        <v>153</v>
      </c>
      <c r="AN289" s="27" t="s">
        <v>153</v>
      </c>
      <c r="AO289" s="27" t="s">
        <v>153</v>
      </c>
      <c r="AP289" s="23">
        <f>VALUE(0)</f>
        <v>0</v>
      </c>
      <c r="AQ289" s="23">
        <f>VALUE(0)</f>
        <v>0</v>
      </c>
      <c r="AR289" s="23">
        <f>VALUE(0)</f>
        <v>0</v>
      </c>
      <c r="AS289" s="23">
        <f>VALUE(0)</f>
        <v>0</v>
      </c>
      <c r="AT289" s="23">
        <f>VALUE(0)</f>
        <v>0</v>
      </c>
      <c r="AU289" s="23">
        <f>VALUE(0)</f>
        <v>0</v>
      </c>
      <c r="AV289" s="23">
        <f>VALUE(0)</f>
        <v>0</v>
      </c>
      <c r="AW289" s="23">
        <f>VALUE(0)</f>
        <v>0</v>
      </c>
      <c r="AX289" s="23">
        <f>VALUE(0)</f>
        <v>0</v>
      </c>
      <c r="AY289" s="23">
        <f>VALUE(0)</f>
        <v>0</v>
      </c>
      <c r="AZ289" s="23">
        <f>VALUE(0)</f>
        <v>0</v>
      </c>
      <c r="BA289" s="23">
        <f>VALUE(0)</f>
        <v>0</v>
      </c>
      <c r="BB289" s="23">
        <f>VALUE(0)</f>
        <v>0</v>
      </c>
      <c r="BC289" s="23">
        <f>VALUE(0)</f>
        <v>0</v>
      </c>
      <c r="BD289" s="23">
        <f>VALUE(0)</f>
        <v>0</v>
      </c>
      <c r="BE289" s="23">
        <f>VALUE(0)</f>
        <v>0</v>
      </c>
      <c r="BF289" s="23">
        <f>VALUE(0)</f>
        <v>0</v>
      </c>
      <c r="BG289" s="23">
        <f>VALUE(0)</f>
        <v>0</v>
      </c>
      <c r="BH289" s="23">
        <f>VALUE(0)</f>
        <v>0</v>
      </c>
      <c r="BI289" s="23">
        <f>VALUE(0)</f>
        <v>0</v>
      </c>
      <c r="BJ289" s="23">
        <f>VALUE(0)</f>
        <v>0</v>
      </c>
      <c r="BK289" s="12">
        <f>$AX$289*24</f>
        <v>0</v>
      </c>
      <c r="BL289" s="12">
        <f>$AY$289*24</f>
        <v>0</v>
      </c>
      <c r="BM289" s="12">
        <f>$BJ$289*24</f>
        <v>0</v>
      </c>
      <c r="BN289" s="12">
        <f>VALUE($I$289)/100</f>
        <v>1</v>
      </c>
      <c r="BO289" s="12">
        <v>0</v>
      </c>
      <c r="BP289" s="12">
        <v>0</v>
      </c>
      <c r="BQ289" s="12">
        <v>0</v>
      </c>
      <c r="BR289" s="12">
        <v>0</v>
      </c>
      <c r="BS289" s="12">
        <v>0</v>
      </c>
      <c r="BT289" s="12">
        <v>0</v>
      </c>
      <c r="BU289" s="12">
        <v>0</v>
      </c>
      <c r="BV289" s="12">
        <v>0</v>
      </c>
      <c r="BW289" s="12">
        <v>0</v>
      </c>
      <c r="BX289" s="12">
        <v>0</v>
      </c>
      <c r="BY289" s="12">
        <v>0</v>
      </c>
      <c r="BZ289" s="12">
        <v>0</v>
      </c>
      <c r="CA289" s="12">
        <v>0</v>
      </c>
    </row>
    <row r="290" spans="1:79" x14ac:dyDescent="0.2">
      <c r="A290" s="12" t="s">
        <v>141</v>
      </c>
      <c r="B290" s="12" t="s">
        <v>143</v>
      </c>
      <c r="C290" s="12" t="s">
        <v>143</v>
      </c>
      <c r="D290" s="22" t="s">
        <v>435</v>
      </c>
      <c r="E290" s="22" t="s">
        <v>173</v>
      </c>
      <c r="F290" s="22" t="s">
        <v>1057</v>
      </c>
      <c r="G290" s="22" t="s">
        <v>1058</v>
      </c>
      <c r="H290" s="22" t="s">
        <v>150</v>
      </c>
      <c r="I290" s="22" t="s">
        <v>151</v>
      </c>
      <c r="J290" s="22" t="s">
        <v>162</v>
      </c>
      <c r="K290" s="22" t="s">
        <v>97</v>
      </c>
      <c r="L290" s="54" t="s">
        <v>153</v>
      </c>
      <c r="M290" s="23" t="s">
        <v>380</v>
      </c>
      <c r="N290" s="24" t="s">
        <v>153</v>
      </c>
      <c r="O290" s="23" t="s">
        <v>380</v>
      </c>
      <c r="P290" s="23" t="s">
        <v>380</v>
      </c>
      <c r="Q290" s="23" t="s">
        <v>380</v>
      </c>
      <c r="R290" s="23" t="s">
        <v>380</v>
      </c>
      <c r="S290" s="23" t="s">
        <v>380</v>
      </c>
      <c r="T290" s="23" t="s">
        <v>380</v>
      </c>
      <c r="U290" s="24" t="s">
        <v>153</v>
      </c>
      <c r="V290" s="54" t="s">
        <v>153</v>
      </c>
      <c r="W290" s="23" t="s">
        <v>380</v>
      </c>
      <c r="X290" s="23" t="s">
        <v>380</v>
      </c>
      <c r="Y290" s="23" t="s">
        <v>380</v>
      </c>
      <c r="Z290" s="23" t="s">
        <v>380</v>
      </c>
      <c r="AA290" s="23" t="s">
        <v>380</v>
      </c>
      <c r="AB290" s="24" t="s">
        <v>153</v>
      </c>
      <c r="AC290" s="24" t="s">
        <v>156</v>
      </c>
      <c r="AD290" s="24" t="s">
        <v>156</v>
      </c>
      <c r="AE290" s="23" t="s">
        <v>380</v>
      </c>
      <c r="AF290" s="23" t="s">
        <v>380</v>
      </c>
      <c r="AG290" s="23" t="s">
        <v>380</v>
      </c>
      <c r="AH290" s="23" t="s">
        <v>380</v>
      </c>
      <c r="AI290" s="24" t="s">
        <v>153</v>
      </c>
      <c r="AJ290" s="23" t="s">
        <v>380</v>
      </c>
      <c r="AK290" s="23" t="s">
        <v>380</v>
      </c>
      <c r="AL290" s="23" t="s">
        <v>380</v>
      </c>
      <c r="AM290" s="23" t="s">
        <v>380</v>
      </c>
      <c r="AN290" s="23" t="s">
        <v>380</v>
      </c>
      <c r="AO290" s="23" t="s">
        <v>380</v>
      </c>
      <c r="AP290" s="23">
        <f>VALUE(32)</f>
        <v>32</v>
      </c>
      <c r="AQ290" s="23">
        <f>VALUE(0)</f>
        <v>0</v>
      </c>
      <c r="AR290" s="23">
        <f>VALUE(0)</f>
        <v>0</v>
      </c>
      <c r="AS290" s="23">
        <f>VALUE(0)</f>
        <v>0</v>
      </c>
      <c r="AT290" s="23">
        <f>VALUE(0)</f>
        <v>0</v>
      </c>
      <c r="AU290" s="23">
        <f>VALUE(0)</f>
        <v>0</v>
      </c>
      <c r="AV290" s="23">
        <f>VALUE(6)</f>
        <v>6</v>
      </c>
      <c r="AW290" s="23">
        <f>VALUE(0)</f>
        <v>0</v>
      </c>
      <c r="AX290" s="23">
        <f>VALUE(0)</f>
        <v>0</v>
      </c>
      <c r="AY290" s="23">
        <f>VALUE(0)</f>
        <v>0</v>
      </c>
      <c r="AZ290" s="23">
        <f>VALUE(0)</f>
        <v>0</v>
      </c>
      <c r="BA290" s="23">
        <f>VALUE(0)</f>
        <v>0</v>
      </c>
      <c r="BB290" s="23">
        <f>VALUE(0)</f>
        <v>0</v>
      </c>
      <c r="BC290" s="23">
        <f>VALUE(0)</f>
        <v>0</v>
      </c>
      <c r="BD290" s="23">
        <f>VALUE(0)</f>
        <v>0</v>
      </c>
      <c r="BE290" s="23">
        <f>VALUE(0)</f>
        <v>0</v>
      </c>
      <c r="BF290" s="23">
        <f>VALUE(0)</f>
        <v>0</v>
      </c>
      <c r="BG290" s="23">
        <f>VALUE(0)</f>
        <v>0</v>
      </c>
      <c r="BH290" s="23">
        <f>VALUE(0)</f>
        <v>0</v>
      </c>
      <c r="BI290" s="23">
        <f>VALUE(0)</f>
        <v>0</v>
      </c>
      <c r="BJ290" s="23">
        <f>VALUE(0)</f>
        <v>0</v>
      </c>
      <c r="BK290" s="12">
        <f>$AX$290*24</f>
        <v>0</v>
      </c>
      <c r="BL290" s="12">
        <f>$AY$290*24</f>
        <v>0</v>
      </c>
      <c r="BM290" s="12">
        <f>$BJ$290*24</f>
        <v>0</v>
      </c>
      <c r="BN290" s="12">
        <f>VALUE($I$290)/100</f>
        <v>1</v>
      </c>
      <c r="BO290" s="12">
        <v>0</v>
      </c>
      <c r="BP290" s="12">
        <v>0</v>
      </c>
      <c r="BQ290" s="12">
        <v>0</v>
      </c>
      <c r="BR290" s="12">
        <v>0</v>
      </c>
      <c r="BS290" s="12">
        <v>0</v>
      </c>
      <c r="BT290" s="12">
        <v>0</v>
      </c>
      <c r="BU290" s="12">
        <v>0</v>
      </c>
      <c r="BV290" s="12">
        <v>0</v>
      </c>
      <c r="BW290" s="12">
        <v>0</v>
      </c>
      <c r="BX290" s="12">
        <v>0</v>
      </c>
      <c r="BY290" s="12">
        <v>0</v>
      </c>
      <c r="BZ290" s="12">
        <v>0</v>
      </c>
      <c r="CA290" s="12">
        <v>0</v>
      </c>
    </row>
    <row r="291" spans="1:79" ht="15" x14ac:dyDescent="0.25">
      <c r="A291" s="12" t="s">
        <v>141</v>
      </c>
      <c r="B291" s="12" t="s">
        <v>143</v>
      </c>
      <c r="C291" s="12" t="s">
        <v>143</v>
      </c>
      <c r="D291" s="31" t="s">
        <v>202</v>
      </c>
      <c r="E291" s="31" t="s">
        <v>153</v>
      </c>
      <c r="F291" s="31" t="s">
        <v>175</v>
      </c>
      <c r="G291" s="31" t="s">
        <v>153</v>
      </c>
      <c r="H291" s="31" t="s">
        <v>153</v>
      </c>
      <c r="I291" s="31" t="s">
        <v>153</v>
      </c>
      <c r="J291" s="31" t="s">
        <v>153</v>
      </c>
      <c r="K291" s="31" t="s">
        <v>153</v>
      </c>
      <c r="L291" s="31">
        <f>VALUE(0)</f>
        <v>0</v>
      </c>
      <c r="M291" s="31">
        <f>VALUE(10)</f>
        <v>10</v>
      </c>
      <c r="N291" s="31">
        <f>VALUE(0)</f>
        <v>0</v>
      </c>
      <c r="O291" s="31">
        <f>VALUE(11)</f>
        <v>11</v>
      </c>
      <c r="P291" s="31">
        <f>VALUE(11)</f>
        <v>11</v>
      </c>
      <c r="Q291" s="31">
        <f>VALUE(11)</f>
        <v>11</v>
      </c>
      <c r="R291" s="31">
        <f>VALUE(11)</f>
        <v>11</v>
      </c>
      <c r="S291" s="31">
        <f>VALUE(10)</f>
        <v>10</v>
      </c>
      <c r="T291" s="31">
        <f>VALUE(10)</f>
        <v>10</v>
      </c>
      <c r="U291" s="31">
        <f>VALUE(0)</f>
        <v>0</v>
      </c>
      <c r="V291" s="31">
        <f>VALUE(0)</f>
        <v>0</v>
      </c>
      <c r="W291" s="31">
        <f>VALUE(10)</f>
        <v>10</v>
      </c>
      <c r="X291" s="31">
        <f>VALUE(10)</f>
        <v>10</v>
      </c>
      <c r="Y291" s="31">
        <f>VALUE(10)</f>
        <v>10</v>
      </c>
      <c r="Z291" s="31">
        <f>VALUE(11)</f>
        <v>11</v>
      </c>
      <c r="AA291" s="31">
        <f>VALUE(11)</f>
        <v>11</v>
      </c>
      <c r="AB291" s="31">
        <f>VALUE(0)</f>
        <v>0</v>
      </c>
      <c r="AC291" s="31">
        <f>VALUE(10)</f>
        <v>10</v>
      </c>
      <c r="AD291" s="31">
        <f>VALUE(10)</f>
        <v>10</v>
      </c>
      <c r="AE291" s="31">
        <f>VALUE(10)</f>
        <v>10</v>
      </c>
      <c r="AF291" s="31">
        <f>VALUE(10)</f>
        <v>10</v>
      </c>
      <c r="AG291" s="31">
        <f>VALUE(10)</f>
        <v>10</v>
      </c>
      <c r="AH291" s="31">
        <f>VALUE(10)</f>
        <v>10</v>
      </c>
      <c r="AI291" s="31">
        <f>VALUE(0)</f>
        <v>0</v>
      </c>
      <c r="AJ291" s="31">
        <f>VALUE(10)</f>
        <v>10</v>
      </c>
      <c r="AK291" s="31">
        <f>VALUE(10)</f>
        <v>10</v>
      </c>
      <c r="AL291" s="31">
        <f>VALUE(10)</f>
        <v>10</v>
      </c>
      <c r="AM291" s="31">
        <f>VALUE(10)</f>
        <v>10</v>
      </c>
      <c r="AN291" s="31">
        <f>VALUE(12)</f>
        <v>12</v>
      </c>
      <c r="AO291" s="31">
        <f>VALUE(12)</f>
        <v>12</v>
      </c>
      <c r="AP291" s="31">
        <v>0</v>
      </c>
      <c r="AQ291" s="31">
        <v>0</v>
      </c>
      <c r="AR291" s="31">
        <v>0</v>
      </c>
      <c r="AS291" s="31">
        <v>0</v>
      </c>
      <c r="AT291" s="31">
        <v>0</v>
      </c>
      <c r="AU291" s="31">
        <v>0</v>
      </c>
      <c r="AV291" s="31">
        <v>0</v>
      </c>
      <c r="AW291" s="31">
        <v>0</v>
      </c>
      <c r="AX291" s="31">
        <v>0</v>
      </c>
      <c r="AY291" s="31">
        <v>0</v>
      </c>
      <c r="AZ291" s="31">
        <v>0</v>
      </c>
      <c r="BA291" s="31">
        <v>0</v>
      </c>
      <c r="BB291" s="31">
        <v>0</v>
      </c>
      <c r="BC291" s="31">
        <v>0</v>
      </c>
      <c r="BD291" s="31">
        <v>0</v>
      </c>
      <c r="BE291" s="31">
        <v>0</v>
      </c>
      <c r="BF291" s="31">
        <v>0</v>
      </c>
      <c r="BG291" s="31">
        <v>0</v>
      </c>
      <c r="BH291" s="31">
        <v>0</v>
      </c>
      <c r="BI291" s="31">
        <v>0</v>
      </c>
      <c r="BJ291" s="31">
        <v>0</v>
      </c>
      <c r="BK291" s="12">
        <v>0</v>
      </c>
      <c r="BL291" s="12">
        <v>0</v>
      </c>
      <c r="BM291" s="12">
        <v>0</v>
      </c>
      <c r="BN291" s="12"/>
      <c r="BO291" s="12">
        <v>0</v>
      </c>
      <c r="BP291" s="12">
        <v>0</v>
      </c>
      <c r="BQ291" s="12">
        <v>0</v>
      </c>
      <c r="BR291" s="12">
        <v>0</v>
      </c>
      <c r="BS291" s="12">
        <v>0</v>
      </c>
      <c r="BT291" s="12">
        <v>0</v>
      </c>
      <c r="BU291" s="12">
        <v>0</v>
      </c>
      <c r="BV291" s="12">
        <v>0</v>
      </c>
      <c r="BW291" s="12">
        <v>0</v>
      </c>
      <c r="BX291" s="12">
        <v>0</v>
      </c>
      <c r="BY291" s="12">
        <v>0</v>
      </c>
      <c r="BZ291" s="12">
        <v>0</v>
      </c>
      <c r="CA291" s="12">
        <v>0</v>
      </c>
    </row>
    <row r="292" spans="1:79" x14ac:dyDescent="0.2">
      <c r="A292" s="12" t="s">
        <v>141</v>
      </c>
      <c r="B292" s="12" t="s">
        <v>144</v>
      </c>
      <c r="C292" s="12" t="s">
        <v>144</v>
      </c>
      <c r="D292" s="22" t="s">
        <v>1286</v>
      </c>
      <c r="E292" s="22" t="s">
        <v>149</v>
      </c>
      <c r="F292" s="22" t="s">
        <v>1059</v>
      </c>
      <c r="G292" s="22" t="s">
        <v>1060</v>
      </c>
      <c r="H292" s="22" t="s">
        <v>166</v>
      </c>
      <c r="I292" s="22" t="s">
        <v>151</v>
      </c>
      <c r="J292" s="22" t="s">
        <v>524</v>
      </c>
      <c r="K292" s="22" t="s">
        <v>98</v>
      </c>
      <c r="L292" s="54" t="s">
        <v>153</v>
      </c>
      <c r="M292" s="30" t="s">
        <v>28</v>
      </c>
      <c r="N292" s="24" t="s">
        <v>153</v>
      </c>
      <c r="O292" s="28" t="s">
        <v>163</v>
      </c>
      <c r="P292" s="28" t="s">
        <v>163</v>
      </c>
      <c r="Q292" s="28" t="s">
        <v>163</v>
      </c>
      <c r="R292" s="28" t="s">
        <v>163</v>
      </c>
      <c r="S292" s="28" t="s">
        <v>163</v>
      </c>
      <c r="T292" s="28" t="s">
        <v>163</v>
      </c>
      <c r="U292" s="24" t="s">
        <v>153</v>
      </c>
      <c r="V292" s="54" t="s">
        <v>153</v>
      </c>
      <c r="W292" s="23" t="s">
        <v>153</v>
      </c>
      <c r="X292" s="23" t="s">
        <v>537</v>
      </c>
      <c r="Y292" s="23" t="s">
        <v>537</v>
      </c>
      <c r="Z292" s="23" t="s">
        <v>537</v>
      </c>
      <c r="AA292" s="23" t="s">
        <v>537</v>
      </c>
      <c r="AB292" s="24" t="s">
        <v>153</v>
      </c>
      <c r="AC292" s="23" t="s">
        <v>182</v>
      </c>
      <c r="AD292" s="23" t="s">
        <v>182</v>
      </c>
      <c r="AE292" s="23" t="s">
        <v>538</v>
      </c>
      <c r="AF292" s="23" t="s">
        <v>538</v>
      </c>
      <c r="AG292" s="23" t="s">
        <v>539</v>
      </c>
      <c r="AH292" s="23" t="s">
        <v>539</v>
      </c>
      <c r="AI292" s="24" t="s">
        <v>153</v>
      </c>
      <c r="AJ292" s="25" t="s">
        <v>539</v>
      </c>
      <c r="AK292" s="25" t="s">
        <v>539</v>
      </c>
      <c r="AL292" s="25" t="s">
        <v>539</v>
      </c>
      <c r="AM292" s="25" t="s">
        <v>539</v>
      </c>
      <c r="AN292" s="25" t="s">
        <v>539</v>
      </c>
      <c r="AO292" s="25" t="s">
        <v>539</v>
      </c>
      <c r="AP292" s="23">
        <f>VALUE(23)</f>
        <v>23</v>
      </c>
      <c r="AQ292" s="23">
        <f>VALUE(0)</f>
        <v>0</v>
      </c>
      <c r="AR292" s="23">
        <f>VALUE(0)</f>
        <v>0</v>
      </c>
      <c r="AS292" s="23">
        <f>VALUE(0)</f>
        <v>0</v>
      </c>
      <c r="AT292" s="23">
        <f>VALUE(0)</f>
        <v>0</v>
      </c>
      <c r="AU292" s="23">
        <f>VALUE(6)</f>
        <v>6</v>
      </c>
      <c r="AV292" s="23">
        <f>VALUE(2)</f>
        <v>2</v>
      </c>
      <c r="AW292" s="23">
        <f>VALUE(0)</f>
        <v>0</v>
      </c>
      <c r="AX292" s="23" t="s">
        <v>1297</v>
      </c>
      <c r="AY292" s="23">
        <f>VALUE(0)</f>
        <v>0</v>
      </c>
      <c r="AZ292" s="23">
        <f>VALUE(0)</f>
        <v>0</v>
      </c>
      <c r="BA292" s="23">
        <f>VALUE(0)</f>
        <v>0</v>
      </c>
      <c r="BB292" s="23">
        <f>VALUE(0)</f>
        <v>0</v>
      </c>
      <c r="BC292" s="23">
        <f>VALUE(0)</f>
        <v>0</v>
      </c>
      <c r="BD292" s="23">
        <f>VALUE(0)</f>
        <v>0</v>
      </c>
      <c r="BE292" s="23">
        <f>VALUE(0)</f>
        <v>0</v>
      </c>
      <c r="BF292" s="23">
        <f>VALUE(0)</f>
        <v>0</v>
      </c>
      <c r="BG292" s="23">
        <f>VALUE(0)</f>
        <v>0</v>
      </c>
      <c r="BH292" s="23">
        <f>VALUE(0)</f>
        <v>0</v>
      </c>
      <c r="BI292" s="23">
        <f>VALUE(0)</f>
        <v>0</v>
      </c>
      <c r="BJ292" s="23">
        <f>VALUE(0)</f>
        <v>0</v>
      </c>
      <c r="BK292" s="12">
        <f>$AX$292*24</f>
        <v>96.483333333333334</v>
      </c>
      <c r="BL292" s="12">
        <f>$AY$292*24</f>
        <v>0</v>
      </c>
      <c r="BM292" s="12">
        <f>$BJ$292*24</f>
        <v>0</v>
      </c>
      <c r="BN292" s="12">
        <f>VALUE($I$292)/100</f>
        <v>1</v>
      </c>
      <c r="BO292" s="12">
        <v>0</v>
      </c>
      <c r="BP292" s="12">
        <v>0</v>
      </c>
      <c r="BQ292" s="12">
        <v>1</v>
      </c>
      <c r="BR292" s="12">
        <v>0</v>
      </c>
      <c r="BS292" s="12">
        <v>0</v>
      </c>
      <c r="BT292" s="12">
        <v>0</v>
      </c>
      <c r="BU292" s="12">
        <v>0</v>
      </c>
      <c r="BV292" s="12">
        <v>0</v>
      </c>
      <c r="BW292" s="12">
        <v>0</v>
      </c>
      <c r="BX292" s="12">
        <v>0</v>
      </c>
      <c r="BY292" s="12">
        <v>0</v>
      </c>
      <c r="BZ292" s="12">
        <v>0</v>
      </c>
      <c r="CA292" s="12">
        <v>0</v>
      </c>
    </row>
    <row r="293" spans="1:79" ht="16.5" x14ac:dyDescent="0.2">
      <c r="A293" s="12" t="s">
        <v>141</v>
      </c>
      <c r="B293" s="12" t="s">
        <v>144</v>
      </c>
      <c r="C293" s="12" t="s">
        <v>144</v>
      </c>
      <c r="D293" s="22" t="s">
        <v>1298</v>
      </c>
      <c r="E293" s="22" t="s">
        <v>161</v>
      </c>
      <c r="F293" s="22" t="s">
        <v>1061</v>
      </c>
      <c r="G293" s="22" t="s">
        <v>1062</v>
      </c>
      <c r="H293" s="22" t="s">
        <v>150</v>
      </c>
      <c r="I293" s="22" t="s">
        <v>151</v>
      </c>
      <c r="J293" s="22" t="s">
        <v>530</v>
      </c>
      <c r="K293" s="22" t="s">
        <v>98</v>
      </c>
      <c r="L293" s="54" t="s">
        <v>153</v>
      </c>
      <c r="M293" s="26" t="s">
        <v>1299</v>
      </c>
      <c r="N293" s="24" t="s">
        <v>153</v>
      </c>
      <c r="O293" s="23" t="s">
        <v>540</v>
      </c>
      <c r="P293" s="23" t="s">
        <v>540</v>
      </c>
      <c r="Q293" s="23" t="s">
        <v>153</v>
      </c>
      <c r="R293" s="23" t="s">
        <v>153</v>
      </c>
      <c r="S293" s="23" t="s">
        <v>153</v>
      </c>
      <c r="T293" s="26" t="s">
        <v>1299</v>
      </c>
      <c r="U293" s="24" t="s">
        <v>153</v>
      </c>
      <c r="V293" s="54" t="s">
        <v>153</v>
      </c>
      <c r="W293" s="23" t="s">
        <v>153</v>
      </c>
      <c r="X293" s="23" t="s">
        <v>153</v>
      </c>
      <c r="Y293" s="23" t="s">
        <v>153</v>
      </c>
      <c r="Z293" s="23" t="s">
        <v>153</v>
      </c>
      <c r="AA293" s="26" t="s">
        <v>1299</v>
      </c>
      <c r="AB293" s="24" t="s">
        <v>153</v>
      </c>
      <c r="AC293" s="23" t="s">
        <v>153</v>
      </c>
      <c r="AD293" s="23" t="s">
        <v>153</v>
      </c>
      <c r="AE293" s="23" t="s">
        <v>153</v>
      </c>
      <c r="AF293" s="23" t="s">
        <v>153</v>
      </c>
      <c r="AG293" s="23" t="s">
        <v>153</v>
      </c>
      <c r="AH293" s="26" t="s">
        <v>1299</v>
      </c>
      <c r="AI293" s="24" t="s">
        <v>153</v>
      </c>
      <c r="AJ293" s="23" t="s">
        <v>153</v>
      </c>
      <c r="AK293" s="23" t="s">
        <v>153</v>
      </c>
      <c r="AL293" s="24" t="s">
        <v>156</v>
      </c>
      <c r="AM293" s="24" t="s">
        <v>156</v>
      </c>
      <c r="AN293" s="23" t="s">
        <v>153</v>
      </c>
      <c r="AO293" s="26" t="s">
        <v>1299</v>
      </c>
      <c r="AP293" s="23">
        <f>VALUE(32)</f>
        <v>32</v>
      </c>
      <c r="AQ293" s="23">
        <f>VALUE(0)</f>
        <v>0</v>
      </c>
      <c r="AR293" s="23">
        <f>VALUE(0)</f>
        <v>0</v>
      </c>
      <c r="AS293" s="23">
        <f>VALUE(0)</f>
        <v>0</v>
      </c>
      <c r="AT293" s="23">
        <f>VALUE(0)</f>
        <v>0</v>
      </c>
      <c r="AU293" s="23">
        <f>VALUE(0)</f>
        <v>0</v>
      </c>
      <c r="AV293" s="23">
        <f>VALUE(2)</f>
        <v>2</v>
      </c>
      <c r="AW293" s="23">
        <f>VALUE(0)</f>
        <v>0</v>
      </c>
      <c r="AX293" s="23" t="s">
        <v>158</v>
      </c>
      <c r="AY293" s="23" t="s">
        <v>1300</v>
      </c>
      <c r="AZ293" s="23">
        <f>VALUE(0)</f>
        <v>0</v>
      </c>
      <c r="BA293" s="23">
        <f>VALUE(0)</f>
        <v>0</v>
      </c>
      <c r="BB293" s="23">
        <f>VALUE(0)</f>
        <v>0</v>
      </c>
      <c r="BC293" s="23">
        <f>VALUE(0)</f>
        <v>0</v>
      </c>
      <c r="BD293" s="23">
        <f>VALUE(0)</f>
        <v>0</v>
      </c>
      <c r="BE293" s="23">
        <f>VALUE(0)</f>
        <v>0</v>
      </c>
      <c r="BF293" s="23">
        <f>VALUE(0)</f>
        <v>0</v>
      </c>
      <c r="BG293" s="23">
        <f>VALUE(0)</f>
        <v>0</v>
      </c>
      <c r="BH293" s="23">
        <f>VALUE(0)</f>
        <v>0</v>
      </c>
      <c r="BI293" s="23">
        <f>VALUE(0)</f>
        <v>0</v>
      </c>
      <c r="BJ293" s="23">
        <f>VALUE(0)</f>
        <v>0</v>
      </c>
      <c r="BK293" s="12">
        <f>$AX$293*24</f>
        <v>11.666666666666666</v>
      </c>
      <c r="BL293" s="12">
        <f>$AY$293*24</f>
        <v>5.7</v>
      </c>
      <c r="BM293" s="12">
        <f>$BJ$293*24</f>
        <v>0</v>
      </c>
      <c r="BN293" s="12">
        <f>VALUE($I$293)/100</f>
        <v>1</v>
      </c>
      <c r="BO293" s="12">
        <v>0</v>
      </c>
      <c r="BP293" s="12">
        <v>0</v>
      </c>
      <c r="BQ293" s="12">
        <v>0</v>
      </c>
      <c r="BR293" s="12">
        <v>0</v>
      </c>
      <c r="BS293" s="12">
        <v>0</v>
      </c>
      <c r="BT293" s="12">
        <v>0</v>
      </c>
      <c r="BU293" s="12">
        <v>0</v>
      </c>
      <c r="BV293" s="12">
        <v>0</v>
      </c>
      <c r="BW293" s="12">
        <v>0</v>
      </c>
      <c r="BX293" s="12">
        <v>0</v>
      </c>
      <c r="BY293" s="12">
        <v>0</v>
      </c>
      <c r="BZ293" s="12">
        <v>0</v>
      </c>
      <c r="CA293" s="12">
        <v>0</v>
      </c>
    </row>
    <row r="294" spans="1:79" x14ac:dyDescent="0.2">
      <c r="A294" s="12" t="s">
        <v>141</v>
      </c>
      <c r="B294" s="12" t="s">
        <v>144</v>
      </c>
      <c r="C294" s="12" t="s">
        <v>144</v>
      </c>
      <c r="D294" s="22" t="s">
        <v>542</v>
      </c>
      <c r="E294" s="22" t="s">
        <v>161</v>
      </c>
      <c r="F294" s="22" t="s">
        <v>1063</v>
      </c>
      <c r="G294" s="22" t="s">
        <v>1064</v>
      </c>
      <c r="H294" s="22" t="s">
        <v>166</v>
      </c>
      <c r="I294" s="22" t="s">
        <v>151</v>
      </c>
      <c r="J294" s="22" t="s">
        <v>162</v>
      </c>
      <c r="K294" s="22" t="s">
        <v>98</v>
      </c>
      <c r="L294" s="54" t="s">
        <v>153</v>
      </c>
      <c r="M294" s="23" t="s">
        <v>153</v>
      </c>
      <c r="N294" s="24" t="s">
        <v>153</v>
      </c>
      <c r="O294" s="23" t="s">
        <v>153</v>
      </c>
      <c r="P294" s="23" t="s">
        <v>153</v>
      </c>
      <c r="Q294" s="23" t="s">
        <v>153</v>
      </c>
      <c r="R294" s="23" t="s">
        <v>153</v>
      </c>
      <c r="S294" s="24" t="s">
        <v>156</v>
      </c>
      <c r="T294" s="24" t="s">
        <v>156</v>
      </c>
      <c r="U294" s="24" t="s">
        <v>153</v>
      </c>
      <c r="V294" s="54" t="s">
        <v>153</v>
      </c>
      <c r="W294" s="23" t="s">
        <v>153</v>
      </c>
      <c r="X294" s="23" t="s">
        <v>153</v>
      </c>
      <c r="Y294" s="23" t="s">
        <v>153</v>
      </c>
      <c r="Z294" s="23" t="s">
        <v>153</v>
      </c>
      <c r="AA294" s="23" t="s">
        <v>153</v>
      </c>
      <c r="AB294" s="24" t="s">
        <v>153</v>
      </c>
      <c r="AC294" s="23" t="s">
        <v>153</v>
      </c>
      <c r="AD294" s="23" t="s">
        <v>153</v>
      </c>
      <c r="AE294" s="23" t="s">
        <v>153</v>
      </c>
      <c r="AF294" s="23" t="s">
        <v>153</v>
      </c>
      <c r="AG294" s="23" t="s">
        <v>153</v>
      </c>
      <c r="AH294" s="23" t="s">
        <v>153</v>
      </c>
      <c r="AI294" s="24" t="s">
        <v>153</v>
      </c>
      <c r="AJ294" s="23" t="s">
        <v>153</v>
      </c>
      <c r="AK294" s="23" t="s">
        <v>153</v>
      </c>
      <c r="AL294" s="23" t="s">
        <v>153</v>
      </c>
      <c r="AM294" s="23" t="s">
        <v>153</v>
      </c>
      <c r="AN294" s="23" t="s">
        <v>153</v>
      </c>
      <c r="AO294" s="23" t="s">
        <v>153</v>
      </c>
      <c r="AP294" s="23">
        <f>VALUE(30)</f>
        <v>30</v>
      </c>
      <c r="AQ294" s="23">
        <f>VALUE(0)</f>
        <v>0</v>
      </c>
      <c r="AR294" s="23">
        <f>VALUE(0)</f>
        <v>0</v>
      </c>
      <c r="AS294" s="23">
        <f>VALUE(0)</f>
        <v>0</v>
      </c>
      <c r="AT294" s="23">
        <f>VALUE(0)</f>
        <v>0</v>
      </c>
      <c r="AU294" s="23">
        <f>VALUE(0)</f>
        <v>0</v>
      </c>
      <c r="AV294" s="23">
        <f>VALUE(8)</f>
        <v>8</v>
      </c>
      <c r="AW294" s="23">
        <f>VALUE(0)</f>
        <v>0</v>
      </c>
      <c r="AX294" s="23" t="s">
        <v>1301</v>
      </c>
      <c r="AY294" s="23">
        <f>VALUE(0)</f>
        <v>0</v>
      </c>
      <c r="AZ294" s="23">
        <f>VALUE(0)</f>
        <v>0</v>
      </c>
      <c r="BA294" s="23">
        <f>VALUE(0)</f>
        <v>0</v>
      </c>
      <c r="BB294" s="23">
        <f>VALUE(0)</f>
        <v>0</v>
      </c>
      <c r="BC294" s="23">
        <f>VALUE(0)</f>
        <v>0</v>
      </c>
      <c r="BD294" s="23">
        <f>VALUE(0)</f>
        <v>0</v>
      </c>
      <c r="BE294" s="23">
        <f>VALUE(0)</f>
        <v>0</v>
      </c>
      <c r="BF294" s="23">
        <f>VALUE(0)</f>
        <v>0</v>
      </c>
      <c r="BG294" s="23">
        <f>VALUE(0)</f>
        <v>0</v>
      </c>
      <c r="BH294" s="23">
        <f>VALUE(0)</f>
        <v>0</v>
      </c>
      <c r="BI294" s="23">
        <f>VALUE(0)</f>
        <v>0</v>
      </c>
      <c r="BJ294" s="23">
        <f>VALUE(0)</f>
        <v>0</v>
      </c>
      <c r="BK294" s="12">
        <f>$AX$294*24</f>
        <v>18.816666666666666</v>
      </c>
      <c r="BL294" s="12">
        <f>$AY$294*24</f>
        <v>0</v>
      </c>
      <c r="BM294" s="12">
        <f>$BJ$294*24</f>
        <v>0</v>
      </c>
      <c r="BN294" s="12">
        <f>VALUE($I$294)/100</f>
        <v>1</v>
      </c>
      <c r="BO294" s="12">
        <v>0</v>
      </c>
      <c r="BP294" s="12">
        <v>0</v>
      </c>
      <c r="BQ294" s="12">
        <v>0</v>
      </c>
      <c r="BR294" s="12">
        <v>0</v>
      </c>
      <c r="BS294" s="12">
        <v>0</v>
      </c>
      <c r="BT294" s="12">
        <v>0</v>
      </c>
      <c r="BU294" s="12">
        <v>0</v>
      </c>
      <c r="BV294" s="12">
        <v>0</v>
      </c>
      <c r="BW294" s="12">
        <v>0</v>
      </c>
      <c r="BX294" s="12">
        <v>0</v>
      </c>
      <c r="BY294" s="12">
        <v>0</v>
      </c>
      <c r="BZ294" s="12">
        <v>0</v>
      </c>
      <c r="CA294" s="12">
        <v>0</v>
      </c>
    </row>
    <row r="295" spans="1:79" x14ac:dyDescent="0.2">
      <c r="A295" s="12" t="s">
        <v>141</v>
      </c>
      <c r="B295" s="12" t="s">
        <v>144</v>
      </c>
      <c r="C295" s="12" t="s">
        <v>144</v>
      </c>
      <c r="D295" s="22" t="s">
        <v>537</v>
      </c>
      <c r="E295" s="22" t="s">
        <v>161</v>
      </c>
      <c r="F295" s="22" t="s">
        <v>1065</v>
      </c>
      <c r="G295" s="22" t="s">
        <v>1066</v>
      </c>
      <c r="H295" s="22" t="s">
        <v>150</v>
      </c>
      <c r="I295" s="22" t="s">
        <v>151</v>
      </c>
      <c r="J295" s="22" t="s">
        <v>162</v>
      </c>
      <c r="K295" s="22" t="s">
        <v>98</v>
      </c>
      <c r="L295" s="54" t="s">
        <v>153</v>
      </c>
      <c r="M295" s="23" t="s">
        <v>153</v>
      </c>
      <c r="N295" s="24" t="s">
        <v>153</v>
      </c>
      <c r="O295" s="23" t="s">
        <v>153</v>
      </c>
      <c r="P295" s="23" t="s">
        <v>153</v>
      </c>
      <c r="Q295" s="24" t="s">
        <v>156</v>
      </c>
      <c r="R295" s="24" t="s">
        <v>156</v>
      </c>
      <c r="S295" s="23" t="s">
        <v>153</v>
      </c>
      <c r="T295" s="23" t="s">
        <v>153</v>
      </c>
      <c r="U295" s="24" t="s">
        <v>153</v>
      </c>
      <c r="V295" s="54" t="s">
        <v>153</v>
      </c>
      <c r="W295" s="28" t="s">
        <v>163</v>
      </c>
      <c r="X295" s="28" t="s">
        <v>163</v>
      </c>
      <c r="Y295" s="28" t="s">
        <v>163</v>
      </c>
      <c r="Z295" s="28" t="s">
        <v>163</v>
      </c>
      <c r="AA295" s="28" t="s">
        <v>163</v>
      </c>
      <c r="AB295" s="24" t="s">
        <v>153</v>
      </c>
      <c r="AC295" s="28" t="s">
        <v>163</v>
      </c>
      <c r="AD295" s="28" t="s">
        <v>163</v>
      </c>
      <c r="AE295" s="28" t="s">
        <v>163</v>
      </c>
      <c r="AF295" s="28" t="s">
        <v>163</v>
      </c>
      <c r="AG295" s="28" t="s">
        <v>163</v>
      </c>
      <c r="AH295" s="28" t="s">
        <v>163</v>
      </c>
      <c r="AI295" s="24" t="s">
        <v>153</v>
      </c>
      <c r="AJ295" s="23" t="s">
        <v>153</v>
      </c>
      <c r="AK295" s="23" t="s">
        <v>153</v>
      </c>
      <c r="AL295" s="23" t="s">
        <v>153</v>
      </c>
      <c r="AM295" s="23" t="s">
        <v>153</v>
      </c>
      <c r="AN295" s="23" t="s">
        <v>153</v>
      </c>
      <c r="AO295" s="23" t="s">
        <v>153</v>
      </c>
      <c r="AP295" s="23">
        <f>VALUE(35)</f>
        <v>35</v>
      </c>
      <c r="AQ295" s="23">
        <f>VALUE(0)</f>
        <v>0</v>
      </c>
      <c r="AR295" s="23">
        <f>VALUE(0)</f>
        <v>0</v>
      </c>
      <c r="AS295" s="23">
        <f>VALUE(0)</f>
        <v>0</v>
      </c>
      <c r="AT295" s="23">
        <f>VALUE(0)</f>
        <v>0</v>
      </c>
      <c r="AU295" s="23">
        <f>VALUE(11)</f>
        <v>11</v>
      </c>
      <c r="AV295" s="23">
        <f>VALUE(2)</f>
        <v>2</v>
      </c>
      <c r="AW295" s="23">
        <f>VALUE(0)</f>
        <v>0</v>
      </c>
      <c r="AX295" s="23">
        <f>VALUE(0)</f>
        <v>0</v>
      </c>
      <c r="AY295" s="23" t="s">
        <v>543</v>
      </c>
      <c r="AZ295" s="23">
        <f>VALUE(0)</f>
        <v>0</v>
      </c>
      <c r="BA295" s="23">
        <f>VALUE(0)</f>
        <v>0</v>
      </c>
      <c r="BB295" s="23">
        <f>VALUE(0)</f>
        <v>0</v>
      </c>
      <c r="BC295" s="23">
        <f>VALUE(0)</f>
        <v>0</v>
      </c>
      <c r="BD295" s="23">
        <f>VALUE(0)</f>
        <v>0</v>
      </c>
      <c r="BE295" s="23">
        <f>VALUE(0)</f>
        <v>0</v>
      </c>
      <c r="BF295" s="23">
        <f>VALUE(0)</f>
        <v>0</v>
      </c>
      <c r="BG295" s="23">
        <f>VALUE(0)</f>
        <v>0</v>
      </c>
      <c r="BH295" s="23">
        <f>VALUE(0)</f>
        <v>0</v>
      </c>
      <c r="BI295" s="23">
        <f>VALUE(0)</f>
        <v>0</v>
      </c>
      <c r="BJ295" s="23">
        <f>VALUE(0)</f>
        <v>0</v>
      </c>
      <c r="BK295" s="12">
        <f>$AX$295*24</f>
        <v>0</v>
      </c>
      <c r="BL295" s="12">
        <f>$AY$295*24</f>
        <v>33.116666666666667</v>
      </c>
      <c r="BM295" s="12">
        <f>$BJ$295*24</f>
        <v>0</v>
      </c>
      <c r="BN295" s="12">
        <f>VALUE($I$295)/100</f>
        <v>1</v>
      </c>
      <c r="BO295" s="12">
        <v>0</v>
      </c>
      <c r="BP295" s="12">
        <v>0</v>
      </c>
      <c r="BQ295" s="12">
        <v>0</v>
      </c>
      <c r="BR295" s="12">
        <v>0</v>
      </c>
      <c r="BS295" s="12">
        <v>0</v>
      </c>
      <c r="BT295" s="12">
        <v>0</v>
      </c>
      <c r="BU295" s="12">
        <v>0</v>
      </c>
      <c r="BV295" s="12">
        <v>0</v>
      </c>
      <c r="BW295" s="12">
        <v>0</v>
      </c>
      <c r="BX295" s="12">
        <v>0</v>
      </c>
      <c r="BY295" s="12">
        <v>0</v>
      </c>
      <c r="BZ295" s="12">
        <v>0</v>
      </c>
      <c r="CA295" s="12">
        <v>0</v>
      </c>
    </row>
    <row r="296" spans="1:79" x14ac:dyDescent="0.2">
      <c r="A296" s="12" t="s">
        <v>141</v>
      </c>
      <c r="B296" s="12" t="s">
        <v>144</v>
      </c>
      <c r="C296" s="12" t="s">
        <v>144</v>
      </c>
      <c r="D296" s="22" t="s">
        <v>539</v>
      </c>
      <c r="E296" s="22" t="s">
        <v>161</v>
      </c>
      <c r="F296" s="22" t="s">
        <v>1302</v>
      </c>
      <c r="G296" s="22" t="s">
        <v>1067</v>
      </c>
      <c r="H296" s="22" t="s">
        <v>150</v>
      </c>
      <c r="I296" s="22" t="s">
        <v>151</v>
      </c>
      <c r="J296" s="22" t="s">
        <v>162</v>
      </c>
      <c r="K296" s="22" t="s">
        <v>98</v>
      </c>
      <c r="L296" s="54" t="s">
        <v>153</v>
      </c>
      <c r="M296" s="23" t="s">
        <v>153</v>
      </c>
      <c r="N296" s="24" t="s">
        <v>153</v>
      </c>
      <c r="O296" s="23" t="s">
        <v>153</v>
      </c>
      <c r="P296" s="23" t="s">
        <v>153</v>
      </c>
      <c r="Q296" s="23" t="s">
        <v>153</v>
      </c>
      <c r="R296" s="23" t="s">
        <v>153</v>
      </c>
      <c r="S296" s="23" t="s">
        <v>153</v>
      </c>
      <c r="T296" s="23" t="s">
        <v>153</v>
      </c>
      <c r="U296" s="24" t="s">
        <v>153</v>
      </c>
      <c r="V296" s="54" t="s">
        <v>153</v>
      </c>
      <c r="W296" s="23" t="s">
        <v>153</v>
      </c>
      <c r="X296" s="23" t="s">
        <v>153</v>
      </c>
      <c r="Y296" s="23" t="s">
        <v>153</v>
      </c>
      <c r="Z296" s="23" t="s">
        <v>153</v>
      </c>
      <c r="AA296" s="23" t="s">
        <v>153</v>
      </c>
      <c r="AB296" s="24" t="s">
        <v>153</v>
      </c>
      <c r="AC296" s="23" t="s">
        <v>153</v>
      </c>
      <c r="AD296" s="23" t="s">
        <v>153</v>
      </c>
      <c r="AE296" s="23" t="s">
        <v>153</v>
      </c>
      <c r="AF296" s="23" t="s">
        <v>153</v>
      </c>
      <c r="AG296" s="24" t="s">
        <v>156</v>
      </c>
      <c r="AH296" s="24" t="s">
        <v>156</v>
      </c>
      <c r="AI296" s="24" t="s">
        <v>153</v>
      </c>
      <c r="AJ296" s="23" t="s">
        <v>153</v>
      </c>
      <c r="AK296" s="23" t="s">
        <v>153</v>
      </c>
      <c r="AL296" s="23" t="s">
        <v>153</v>
      </c>
      <c r="AM296" s="23" t="s">
        <v>153</v>
      </c>
      <c r="AN296" s="23" t="s">
        <v>153</v>
      </c>
      <c r="AO296" s="23" t="s">
        <v>153</v>
      </c>
      <c r="AP296" s="23">
        <f>VALUE(34)</f>
        <v>34</v>
      </c>
      <c r="AQ296" s="23">
        <f>VALUE(0)</f>
        <v>0</v>
      </c>
      <c r="AR296" s="23">
        <f>VALUE(0)</f>
        <v>0</v>
      </c>
      <c r="AS296" s="23">
        <f>VALUE(0)</f>
        <v>0</v>
      </c>
      <c r="AT296" s="23">
        <f>VALUE(0)</f>
        <v>0</v>
      </c>
      <c r="AU296" s="23">
        <f>VALUE(0)</f>
        <v>0</v>
      </c>
      <c r="AV296" s="23">
        <f>VALUE(2)</f>
        <v>2</v>
      </c>
      <c r="AW296" s="23">
        <f>VALUE(0)</f>
        <v>0</v>
      </c>
      <c r="AX296" s="23" t="s">
        <v>158</v>
      </c>
      <c r="AY296" s="23" t="s">
        <v>544</v>
      </c>
      <c r="AZ296" s="23">
        <f>VALUE(0)</f>
        <v>0</v>
      </c>
      <c r="BA296" s="23">
        <f>VALUE(0)</f>
        <v>0</v>
      </c>
      <c r="BB296" s="23">
        <f>VALUE(0)</f>
        <v>0</v>
      </c>
      <c r="BC296" s="23">
        <f>VALUE(0)</f>
        <v>0</v>
      </c>
      <c r="BD296" s="23">
        <f>VALUE(0)</f>
        <v>0</v>
      </c>
      <c r="BE296" s="23">
        <f>VALUE(0)</f>
        <v>0</v>
      </c>
      <c r="BF296" s="23">
        <f>VALUE(0)</f>
        <v>0</v>
      </c>
      <c r="BG296" s="23">
        <f>VALUE(0)</f>
        <v>0</v>
      </c>
      <c r="BH296" s="23">
        <f>VALUE(0)</f>
        <v>0</v>
      </c>
      <c r="BI296" s="23">
        <f>VALUE(0)</f>
        <v>0</v>
      </c>
      <c r="BJ296" s="23">
        <f>VALUE(0)</f>
        <v>0</v>
      </c>
      <c r="BK296" s="12">
        <f>$AX$296*24</f>
        <v>11.666666666666666</v>
      </c>
      <c r="BL296" s="12">
        <f>$AY$296*24</f>
        <v>21.933333333333334</v>
      </c>
      <c r="BM296" s="12">
        <f>$BJ$296*24</f>
        <v>0</v>
      </c>
      <c r="BN296" s="12">
        <f>VALUE($I$296)/100</f>
        <v>1</v>
      </c>
      <c r="BO296" s="12">
        <v>0</v>
      </c>
      <c r="BP296" s="12">
        <v>0</v>
      </c>
      <c r="BQ296" s="12">
        <v>0</v>
      </c>
      <c r="BR296" s="12">
        <v>0</v>
      </c>
      <c r="BS296" s="12">
        <v>0</v>
      </c>
      <c r="BT296" s="12">
        <v>0</v>
      </c>
      <c r="BU296" s="12">
        <v>0</v>
      </c>
      <c r="BV296" s="12">
        <v>0</v>
      </c>
      <c r="BW296" s="12">
        <v>0</v>
      </c>
      <c r="BX296" s="12">
        <v>0</v>
      </c>
      <c r="BY296" s="12">
        <v>0</v>
      </c>
      <c r="BZ296" s="12">
        <v>0</v>
      </c>
      <c r="CA296" s="12">
        <v>0</v>
      </c>
    </row>
    <row r="297" spans="1:79" x14ac:dyDescent="0.2">
      <c r="A297" s="12" t="s">
        <v>141</v>
      </c>
      <c r="B297" s="12" t="s">
        <v>144</v>
      </c>
      <c r="C297" s="12" t="s">
        <v>144</v>
      </c>
      <c r="D297" s="22" t="s">
        <v>545</v>
      </c>
      <c r="E297" s="22" t="s">
        <v>161</v>
      </c>
      <c r="F297" s="22" t="s">
        <v>1068</v>
      </c>
      <c r="G297" s="22" t="s">
        <v>1069</v>
      </c>
      <c r="H297" s="22" t="s">
        <v>150</v>
      </c>
      <c r="I297" s="22" t="s">
        <v>151</v>
      </c>
      <c r="J297" s="22" t="s">
        <v>162</v>
      </c>
      <c r="K297" s="22" t="s">
        <v>98</v>
      </c>
      <c r="L297" s="54" t="s">
        <v>153</v>
      </c>
      <c r="M297" s="23" t="s">
        <v>153</v>
      </c>
      <c r="N297" s="24" t="s">
        <v>153</v>
      </c>
      <c r="O297" s="23" t="s">
        <v>153</v>
      </c>
      <c r="P297" s="23" t="s">
        <v>153</v>
      </c>
      <c r="Q297" s="23" t="s">
        <v>153</v>
      </c>
      <c r="R297" s="23" t="s">
        <v>153</v>
      </c>
      <c r="S297" s="23" t="s">
        <v>153</v>
      </c>
      <c r="T297" s="23" t="s">
        <v>153</v>
      </c>
      <c r="U297" s="24" t="s">
        <v>153</v>
      </c>
      <c r="V297" s="54" t="s">
        <v>153</v>
      </c>
      <c r="W297" s="23" t="s">
        <v>153</v>
      </c>
      <c r="X297" s="23" t="s">
        <v>153</v>
      </c>
      <c r="Y297" s="23" t="s">
        <v>153</v>
      </c>
      <c r="Z297" s="23" t="s">
        <v>153</v>
      </c>
      <c r="AA297" s="23" t="s">
        <v>153</v>
      </c>
      <c r="AB297" s="24" t="s">
        <v>153</v>
      </c>
      <c r="AC297" s="23" t="s">
        <v>153</v>
      </c>
      <c r="AD297" s="23" t="s">
        <v>153</v>
      </c>
      <c r="AE297" s="23" t="s">
        <v>153</v>
      </c>
      <c r="AF297" s="23" t="s">
        <v>153</v>
      </c>
      <c r="AG297" s="23" t="s">
        <v>153</v>
      </c>
      <c r="AH297" s="23" t="s">
        <v>153</v>
      </c>
      <c r="AI297" s="24" t="s">
        <v>153</v>
      </c>
      <c r="AJ297" s="23" t="s">
        <v>153</v>
      </c>
      <c r="AK297" s="23" t="s">
        <v>153</v>
      </c>
      <c r="AL297" s="23" t="s">
        <v>153</v>
      </c>
      <c r="AM297" s="23" t="s">
        <v>153</v>
      </c>
      <c r="AN297" s="24" t="s">
        <v>156</v>
      </c>
      <c r="AO297" s="24" t="s">
        <v>156</v>
      </c>
      <c r="AP297" s="23">
        <f>VALUE(34)</f>
        <v>34</v>
      </c>
      <c r="AQ297" s="23">
        <f>VALUE(0)</f>
        <v>0</v>
      </c>
      <c r="AR297" s="23">
        <f>VALUE(0)</f>
        <v>0</v>
      </c>
      <c r="AS297" s="23">
        <f>VALUE(0)</f>
        <v>0</v>
      </c>
      <c r="AT297" s="23">
        <f>VALUE(0)</f>
        <v>0</v>
      </c>
      <c r="AU297" s="23">
        <f>VALUE(0)</f>
        <v>0</v>
      </c>
      <c r="AV297" s="23">
        <f>VALUE(2)</f>
        <v>2</v>
      </c>
      <c r="AW297" s="23">
        <f>VALUE(0)</f>
        <v>0</v>
      </c>
      <c r="AX297" s="23" t="s">
        <v>176</v>
      </c>
      <c r="AY297" s="23" t="s">
        <v>244</v>
      </c>
      <c r="AZ297" s="23">
        <f>VALUE(0)</f>
        <v>0</v>
      </c>
      <c r="BA297" s="23">
        <f>VALUE(0)</f>
        <v>0</v>
      </c>
      <c r="BB297" s="23">
        <f>VALUE(0)</f>
        <v>0</v>
      </c>
      <c r="BC297" s="23">
        <f>VALUE(0)</f>
        <v>0</v>
      </c>
      <c r="BD297" s="23">
        <f>VALUE(0)</f>
        <v>0</v>
      </c>
      <c r="BE297" s="23">
        <f>VALUE(0)</f>
        <v>0</v>
      </c>
      <c r="BF297" s="23">
        <f>VALUE(0)</f>
        <v>0</v>
      </c>
      <c r="BG297" s="23">
        <f>VALUE(0)</f>
        <v>0</v>
      </c>
      <c r="BH297" s="23">
        <f>VALUE(0)</f>
        <v>0</v>
      </c>
      <c r="BI297" s="23">
        <f>VALUE(0)</f>
        <v>0</v>
      </c>
      <c r="BJ297" s="23">
        <f>VALUE(0)</f>
        <v>0</v>
      </c>
      <c r="BK297" s="12">
        <f>$AX$297*24</f>
        <v>0</v>
      </c>
      <c r="BL297" s="12">
        <f>$AY$297*24</f>
        <v>0.23333333333333334</v>
      </c>
      <c r="BM297" s="12">
        <f>$BJ$297*24</f>
        <v>0</v>
      </c>
      <c r="BN297" s="12">
        <f>VALUE($I$297)/100</f>
        <v>1</v>
      </c>
      <c r="BO297" s="12">
        <v>0</v>
      </c>
      <c r="BP297" s="12">
        <v>0</v>
      </c>
      <c r="BQ297" s="12">
        <v>0</v>
      </c>
      <c r="BR297" s="12">
        <v>0</v>
      </c>
      <c r="BS297" s="12">
        <v>0</v>
      </c>
      <c r="BT297" s="12">
        <v>0</v>
      </c>
      <c r="BU297" s="12">
        <v>0</v>
      </c>
      <c r="BV297" s="12">
        <v>0</v>
      </c>
      <c r="BW297" s="12">
        <v>0</v>
      </c>
      <c r="BX297" s="12">
        <v>0</v>
      </c>
      <c r="BY297" s="12">
        <v>0</v>
      </c>
      <c r="BZ297" s="12">
        <v>0</v>
      </c>
      <c r="CA297" s="12">
        <v>0</v>
      </c>
    </row>
    <row r="298" spans="1:79" x14ac:dyDescent="0.2">
      <c r="A298" s="12" t="s">
        <v>141</v>
      </c>
      <c r="B298" s="12" t="s">
        <v>144</v>
      </c>
      <c r="C298" s="12" t="s">
        <v>144</v>
      </c>
      <c r="D298" s="22" t="s">
        <v>546</v>
      </c>
      <c r="E298" s="22" t="s">
        <v>161</v>
      </c>
      <c r="F298" s="22" t="s">
        <v>1070</v>
      </c>
      <c r="G298" s="22" t="s">
        <v>1071</v>
      </c>
      <c r="H298" s="22" t="s">
        <v>190</v>
      </c>
      <c r="I298" s="22" t="s">
        <v>151</v>
      </c>
      <c r="J298" s="22" t="s">
        <v>162</v>
      </c>
      <c r="K298" s="22" t="s">
        <v>98</v>
      </c>
      <c r="L298" s="27" t="s">
        <v>153</v>
      </c>
      <c r="M298" s="27" t="s">
        <v>153</v>
      </c>
      <c r="N298" s="27" t="s">
        <v>153</v>
      </c>
      <c r="O298" s="27" t="s">
        <v>153</v>
      </c>
      <c r="P298" s="27" t="s">
        <v>153</v>
      </c>
      <c r="Q298" s="27" t="s">
        <v>153</v>
      </c>
      <c r="R298" s="27" t="s">
        <v>153</v>
      </c>
      <c r="S298" s="27" t="s">
        <v>153</v>
      </c>
      <c r="T298" s="27" t="s">
        <v>153</v>
      </c>
      <c r="U298" s="27" t="s">
        <v>153</v>
      </c>
      <c r="V298" s="27" t="s">
        <v>153</v>
      </c>
      <c r="W298" s="27" t="s">
        <v>153</v>
      </c>
      <c r="X298" s="27" t="s">
        <v>153</v>
      </c>
      <c r="Y298" s="27" t="s">
        <v>153</v>
      </c>
      <c r="Z298" s="27" t="s">
        <v>153</v>
      </c>
      <c r="AA298" s="27" t="s">
        <v>153</v>
      </c>
      <c r="AB298" s="40" t="s">
        <v>153</v>
      </c>
      <c r="AC298" s="40" t="s">
        <v>153</v>
      </c>
      <c r="AD298" s="40" t="s">
        <v>153</v>
      </c>
      <c r="AE298" s="40" t="s">
        <v>153</v>
      </c>
      <c r="AF298" s="40" t="s">
        <v>153</v>
      </c>
      <c r="AG298" s="40" t="s">
        <v>153</v>
      </c>
      <c r="AH298" s="40" t="s">
        <v>153</v>
      </c>
      <c r="AI298" s="40" t="s">
        <v>153</v>
      </c>
      <c r="AJ298" s="40" t="s">
        <v>153</v>
      </c>
      <c r="AK298" s="40" t="s">
        <v>153</v>
      </c>
      <c r="AL298" s="40" t="s">
        <v>153</v>
      </c>
      <c r="AM298" s="40" t="s">
        <v>153</v>
      </c>
      <c r="AN298" s="40" t="s">
        <v>153</v>
      </c>
      <c r="AO298" s="40" t="s">
        <v>153</v>
      </c>
      <c r="AP298" s="23">
        <f>VALUE(1)</f>
        <v>1</v>
      </c>
      <c r="AQ298" s="23">
        <f>VALUE(0)</f>
        <v>0</v>
      </c>
      <c r="AR298" s="23">
        <f>VALUE(0)</f>
        <v>0</v>
      </c>
      <c r="AS298" s="23">
        <f>VALUE(0)</f>
        <v>0</v>
      </c>
      <c r="AT298" s="23">
        <f>VALUE(0)</f>
        <v>0</v>
      </c>
      <c r="AU298" s="23">
        <f>VALUE(0)</f>
        <v>0</v>
      </c>
      <c r="AV298" s="23">
        <f>VALUE(3)</f>
        <v>3</v>
      </c>
      <c r="AW298" s="23">
        <f>VALUE(0)</f>
        <v>0</v>
      </c>
      <c r="AX298" s="23">
        <f>VALUE(0)</f>
        <v>0</v>
      </c>
      <c r="AY298" s="23">
        <f>VALUE(0)</f>
        <v>0</v>
      </c>
      <c r="AZ298" s="23">
        <f>VALUE(0)</f>
        <v>0</v>
      </c>
      <c r="BA298" s="23">
        <f>VALUE(0)</f>
        <v>0</v>
      </c>
      <c r="BB298" s="23">
        <f>VALUE(0)</f>
        <v>0</v>
      </c>
      <c r="BC298" s="23">
        <f>VALUE(0)</f>
        <v>0</v>
      </c>
      <c r="BD298" s="23">
        <f>VALUE(0)</f>
        <v>0</v>
      </c>
      <c r="BE298" s="23">
        <f>VALUE(0)</f>
        <v>0</v>
      </c>
      <c r="BF298" s="23">
        <f>VALUE(0)</f>
        <v>0</v>
      </c>
      <c r="BG298" s="23">
        <f>VALUE(0)</f>
        <v>0</v>
      </c>
      <c r="BH298" s="23">
        <f>VALUE(0)</f>
        <v>0</v>
      </c>
      <c r="BI298" s="23">
        <f>VALUE(0)</f>
        <v>0</v>
      </c>
      <c r="BJ298" s="23">
        <f>VALUE(0)</f>
        <v>0</v>
      </c>
      <c r="BK298" s="12">
        <f>$AX$298*24</f>
        <v>0</v>
      </c>
      <c r="BL298" s="12">
        <f>$AY$298*24</f>
        <v>0</v>
      </c>
      <c r="BM298" s="12">
        <f>$BJ$298*24</f>
        <v>0</v>
      </c>
      <c r="BN298" s="12">
        <f>VALUE($I$298)/100</f>
        <v>1</v>
      </c>
      <c r="BO298" s="12">
        <v>0</v>
      </c>
      <c r="BP298" s="12">
        <v>0</v>
      </c>
      <c r="BQ298" s="12">
        <v>0</v>
      </c>
      <c r="BR298" s="12">
        <v>0</v>
      </c>
      <c r="BS298" s="12">
        <v>0</v>
      </c>
      <c r="BT298" s="12">
        <v>0</v>
      </c>
      <c r="BU298" s="12">
        <v>0</v>
      </c>
      <c r="BV298" s="12">
        <v>0</v>
      </c>
      <c r="BW298" s="12">
        <v>0</v>
      </c>
      <c r="BX298" s="12">
        <v>0</v>
      </c>
      <c r="BY298" s="12">
        <v>0</v>
      </c>
      <c r="BZ298" s="12">
        <v>0</v>
      </c>
      <c r="CA298" s="12">
        <v>0</v>
      </c>
    </row>
    <row r="299" spans="1:79" x14ac:dyDescent="0.2">
      <c r="A299" s="12" t="s">
        <v>141</v>
      </c>
      <c r="B299" s="12" t="s">
        <v>144</v>
      </c>
      <c r="C299" s="12" t="s">
        <v>144</v>
      </c>
      <c r="D299" s="22" t="s">
        <v>546</v>
      </c>
      <c r="E299" s="22" t="s">
        <v>161</v>
      </c>
      <c r="F299" s="22" t="s">
        <v>1303</v>
      </c>
      <c r="G299" s="22" t="s">
        <v>1072</v>
      </c>
      <c r="H299" s="22" t="s">
        <v>153</v>
      </c>
      <c r="I299" s="22" t="s">
        <v>151</v>
      </c>
      <c r="J299" s="22" t="s">
        <v>162</v>
      </c>
      <c r="K299" s="22" t="s">
        <v>98</v>
      </c>
      <c r="L299" s="54" t="s">
        <v>153</v>
      </c>
      <c r="M299" s="23" t="s">
        <v>153</v>
      </c>
      <c r="N299" s="40" t="s">
        <v>153</v>
      </c>
      <c r="O299" s="40" t="s">
        <v>153</v>
      </c>
      <c r="P299" s="40" t="s">
        <v>153</v>
      </c>
      <c r="Q299" s="40" t="s">
        <v>153</v>
      </c>
      <c r="R299" s="40" t="s">
        <v>153</v>
      </c>
      <c r="S299" s="40" t="s">
        <v>153</v>
      </c>
      <c r="T299" s="40" t="s">
        <v>153</v>
      </c>
      <c r="U299" s="40" t="s">
        <v>153</v>
      </c>
      <c r="V299" s="40" t="s">
        <v>153</v>
      </c>
      <c r="W299" s="40" t="s">
        <v>153</v>
      </c>
      <c r="X299" s="40" t="s">
        <v>153</v>
      </c>
      <c r="Y299" s="40" t="s">
        <v>153</v>
      </c>
      <c r="Z299" s="40" t="s">
        <v>153</v>
      </c>
      <c r="AA299" s="40" t="s">
        <v>153</v>
      </c>
      <c r="AB299" s="40" t="s">
        <v>153</v>
      </c>
      <c r="AC299" s="40" t="s">
        <v>153</v>
      </c>
      <c r="AD299" s="40" t="s">
        <v>153</v>
      </c>
      <c r="AE299" s="40" t="s">
        <v>153</v>
      </c>
      <c r="AF299" s="40" t="s">
        <v>153</v>
      </c>
      <c r="AG299" s="40" t="s">
        <v>153</v>
      </c>
      <c r="AH299" s="40" t="s">
        <v>153</v>
      </c>
      <c r="AI299" s="40" t="s">
        <v>153</v>
      </c>
      <c r="AJ299" s="40" t="s">
        <v>153</v>
      </c>
      <c r="AK299" s="40" t="s">
        <v>153</v>
      </c>
      <c r="AL299" s="40" t="s">
        <v>153</v>
      </c>
      <c r="AM299" s="40" t="s">
        <v>153</v>
      </c>
      <c r="AN299" s="40" t="s">
        <v>153</v>
      </c>
      <c r="AO299" s="40" t="s">
        <v>153</v>
      </c>
      <c r="AP299" s="23">
        <f>VALUE(9)</f>
        <v>9</v>
      </c>
      <c r="AQ299" s="23">
        <f>VALUE(0)</f>
        <v>0</v>
      </c>
      <c r="AR299" s="23">
        <f>VALUE(0)</f>
        <v>0</v>
      </c>
      <c r="AS299" s="23">
        <f>VALUE(0)</f>
        <v>0</v>
      </c>
      <c r="AT299" s="23">
        <f>VALUE(0)</f>
        <v>0</v>
      </c>
      <c r="AU299" s="23">
        <f>VALUE(0)</f>
        <v>0</v>
      </c>
      <c r="AV299" s="23">
        <f>VALUE(0)</f>
        <v>0</v>
      </c>
      <c r="AW299" s="23">
        <f>VALUE(0)</f>
        <v>0</v>
      </c>
      <c r="AX299" s="23">
        <f>VALUE(0)</f>
        <v>0</v>
      </c>
      <c r="AY299" s="23">
        <f>VALUE(0)</f>
        <v>0</v>
      </c>
      <c r="AZ299" s="23">
        <f>VALUE(0)</f>
        <v>0</v>
      </c>
      <c r="BA299" s="23">
        <f>VALUE(0)</f>
        <v>0</v>
      </c>
      <c r="BB299" s="23">
        <f>VALUE(0)</f>
        <v>0</v>
      </c>
      <c r="BC299" s="23">
        <f>VALUE(0)</f>
        <v>0</v>
      </c>
      <c r="BD299" s="23">
        <f>VALUE(0)</f>
        <v>0</v>
      </c>
      <c r="BE299" s="23">
        <f>VALUE(0)</f>
        <v>0</v>
      </c>
      <c r="BF299" s="23">
        <f>VALUE(0)</f>
        <v>0</v>
      </c>
      <c r="BG299" s="23">
        <f>VALUE(0)</f>
        <v>0</v>
      </c>
      <c r="BH299" s="23">
        <f>VALUE(0)</f>
        <v>0</v>
      </c>
      <c r="BI299" s="23">
        <f>VALUE(0)</f>
        <v>0</v>
      </c>
      <c r="BJ299" s="23">
        <f>VALUE(0)</f>
        <v>0</v>
      </c>
      <c r="BK299" s="12">
        <f>$AX$299*24</f>
        <v>0</v>
      </c>
      <c r="BL299" s="12">
        <f>$AY$299*24</f>
        <v>0</v>
      </c>
      <c r="BM299" s="12">
        <f>$BJ$299*24</f>
        <v>0</v>
      </c>
      <c r="BN299" s="12">
        <f>VALUE($I$299)/100</f>
        <v>1</v>
      </c>
      <c r="BO299" s="12">
        <v>0</v>
      </c>
      <c r="BP299" s="12">
        <v>0</v>
      </c>
      <c r="BQ299" s="12">
        <v>0</v>
      </c>
      <c r="BR299" s="12">
        <v>0</v>
      </c>
      <c r="BS299" s="12">
        <v>0</v>
      </c>
      <c r="BT299" s="12">
        <v>0</v>
      </c>
      <c r="BU299" s="12">
        <v>0</v>
      </c>
      <c r="BV299" s="12">
        <v>0</v>
      </c>
      <c r="BW299" s="12">
        <v>0</v>
      </c>
      <c r="BX299" s="12">
        <v>0</v>
      </c>
      <c r="BY299" s="12">
        <v>0</v>
      </c>
      <c r="BZ299" s="12">
        <v>0</v>
      </c>
      <c r="CA299" s="12">
        <v>0</v>
      </c>
    </row>
    <row r="300" spans="1:79" x14ac:dyDescent="0.2">
      <c r="A300" s="12" t="s">
        <v>141</v>
      </c>
      <c r="B300" s="12" t="s">
        <v>144</v>
      </c>
      <c r="C300" s="12" t="s">
        <v>144</v>
      </c>
      <c r="D300" s="22" t="s">
        <v>540</v>
      </c>
      <c r="E300" s="22" t="s">
        <v>161</v>
      </c>
      <c r="F300" s="22" t="s">
        <v>1073</v>
      </c>
      <c r="G300" s="22" t="s">
        <v>1074</v>
      </c>
      <c r="H300" s="22" t="s">
        <v>150</v>
      </c>
      <c r="I300" s="22" t="s">
        <v>151</v>
      </c>
      <c r="J300" s="22" t="s">
        <v>162</v>
      </c>
      <c r="K300" s="22" t="s">
        <v>98</v>
      </c>
      <c r="L300" s="54" t="s">
        <v>153</v>
      </c>
      <c r="M300" s="28" t="s">
        <v>163</v>
      </c>
      <c r="N300" s="24" t="s">
        <v>153</v>
      </c>
      <c r="O300" s="28" t="s">
        <v>163</v>
      </c>
      <c r="P300" s="28" t="s">
        <v>163</v>
      </c>
      <c r="Q300" s="23" t="s">
        <v>538</v>
      </c>
      <c r="R300" s="23" t="s">
        <v>538</v>
      </c>
      <c r="S300" s="23" t="s">
        <v>153</v>
      </c>
      <c r="T300" s="23" t="s">
        <v>153</v>
      </c>
      <c r="U300" s="24" t="s">
        <v>153</v>
      </c>
      <c r="V300" s="54" t="s">
        <v>153</v>
      </c>
      <c r="W300" s="23" t="s">
        <v>153</v>
      </c>
      <c r="X300" s="23" t="s">
        <v>153</v>
      </c>
      <c r="Y300" s="23" t="s">
        <v>153</v>
      </c>
      <c r="Z300" s="23" t="s">
        <v>153</v>
      </c>
      <c r="AA300" s="23" t="s">
        <v>153</v>
      </c>
      <c r="AB300" s="24" t="s">
        <v>153</v>
      </c>
      <c r="AC300" s="23" t="s">
        <v>153</v>
      </c>
      <c r="AD300" s="23" t="s">
        <v>153</v>
      </c>
      <c r="AE300" s="23" t="s">
        <v>153</v>
      </c>
      <c r="AF300" s="23" t="s">
        <v>153</v>
      </c>
      <c r="AG300" s="23" t="s">
        <v>153</v>
      </c>
      <c r="AH300" s="23" t="s">
        <v>153</v>
      </c>
      <c r="AI300" s="24" t="s">
        <v>153</v>
      </c>
      <c r="AJ300" s="23" t="s">
        <v>153</v>
      </c>
      <c r="AK300" s="23" t="s">
        <v>153</v>
      </c>
      <c r="AL300" s="23" t="s">
        <v>153</v>
      </c>
      <c r="AM300" s="23" t="s">
        <v>153</v>
      </c>
      <c r="AN300" s="23" t="s">
        <v>153</v>
      </c>
      <c r="AO300" s="23" t="s">
        <v>153</v>
      </c>
      <c r="AP300" s="23">
        <f>VALUE(38)</f>
        <v>38</v>
      </c>
      <c r="AQ300" s="23">
        <f>VALUE(0)</f>
        <v>0</v>
      </c>
      <c r="AR300" s="23">
        <f>VALUE(0)</f>
        <v>0</v>
      </c>
      <c r="AS300" s="23">
        <f>VALUE(0)</f>
        <v>0</v>
      </c>
      <c r="AT300" s="23">
        <f>VALUE(0)</f>
        <v>0</v>
      </c>
      <c r="AU300" s="23">
        <f>VALUE(3)</f>
        <v>3</v>
      </c>
      <c r="AV300" s="23">
        <f>VALUE(3)</f>
        <v>3</v>
      </c>
      <c r="AW300" s="23">
        <f>VALUE(0)</f>
        <v>0</v>
      </c>
      <c r="AX300" s="23" t="s">
        <v>171</v>
      </c>
      <c r="AY300" s="23">
        <f>VALUE(0)</f>
        <v>0</v>
      </c>
      <c r="AZ300" s="23">
        <f>VALUE(0)</f>
        <v>0</v>
      </c>
      <c r="BA300" s="23">
        <f>VALUE(0)</f>
        <v>0</v>
      </c>
      <c r="BB300" s="23">
        <f>VALUE(0)</f>
        <v>0</v>
      </c>
      <c r="BC300" s="23">
        <f>VALUE(0)</f>
        <v>0</v>
      </c>
      <c r="BD300" s="23">
        <f>VALUE(0)</f>
        <v>0</v>
      </c>
      <c r="BE300" s="23">
        <f>VALUE(0)</f>
        <v>0</v>
      </c>
      <c r="BF300" s="23">
        <f>VALUE(0)</f>
        <v>0</v>
      </c>
      <c r="BG300" s="23">
        <f>VALUE(0)</f>
        <v>0</v>
      </c>
      <c r="BH300" s="23">
        <f>VALUE(0)</f>
        <v>0</v>
      </c>
      <c r="BI300" s="23">
        <f>VALUE(0)</f>
        <v>0</v>
      </c>
      <c r="BJ300" s="23">
        <f>VALUE(0)</f>
        <v>0</v>
      </c>
      <c r="BK300" s="12">
        <f>$AX$300*24</f>
        <v>5.833333333333333</v>
      </c>
      <c r="BL300" s="12">
        <f>$AY$300*24</f>
        <v>0</v>
      </c>
      <c r="BM300" s="12">
        <f>$BJ$300*24</f>
        <v>0</v>
      </c>
      <c r="BN300" s="12">
        <f>VALUE($I$300)/100</f>
        <v>1</v>
      </c>
      <c r="BO300" s="12">
        <v>0</v>
      </c>
      <c r="BP300" s="12">
        <v>0</v>
      </c>
      <c r="BQ300" s="12">
        <v>0</v>
      </c>
      <c r="BR300" s="12">
        <v>0</v>
      </c>
      <c r="BS300" s="12">
        <v>0</v>
      </c>
      <c r="BT300" s="12">
        <v>0</v>
      </c>
      <c r="BU300" s="12">
        <v>0</v>
      </c>
      <c r="BV300" s="12">
        <v>0</v>
      </c>
      <c r="BW300" s="12">
        <v>0</v>
      </c>
      <c r="BX300" s="12">
        <v>0</v>
      </c>
      <c r="BY300" s="12">
        <v>0</v>
      </c>
      <c r="BZ300" s="12">
        <v>0</v>
      </c>
      <c r="CA300" s="12">
        <v>0</v>
      </c>
    </row>
    <row r="301" spans="1:79" x14ac:dyDescent="0.2">
      <c r="A301" s="12" t="s">
        <v>141</v>
      </c>
      <c r="B301" s="12" t="s">
        <v>144</v>
      </c>
      <c r="C301" s="12" t="s">
        <v>144</v>
      </c>
      <c r="D301" s="22" t="s">
        <v>547</v>
      </c>
      <c r="E301" s="22" t="s">
        <v>161</v>
      </c>
      <c r="F301" s="22" t="s">
        <v>1075</v>
      </c>
      <c r="G301" s="22" t="s">
        <v>1076</v>
      </c>
      <c r="H301" s="22" t="s">
        <v>150</v>
      </c>
      <c r="I301" s="22" t="s">
        <v>151</v>
      </c>
      <c r="J301" s="22" t="s">
        <v>162</v>
      </c>
      <c r="K301" s="22" t="s">
        <v>98</v>
      </c>
      <c r="L301" s="54" t="s">
        <v>153</v>
      </c>
      <c r="M301" s="29" t="s">
        <v>218</v>
      </c>
      <c r="N301" s="24" t="s">
        <v>153</v>
      </c>
      <c r="O301" s="29" t="s">
        <v>218</v>
      </c>
      <c r="P301" s="29" t="s">
        <v>218</v>
      </c>
      <c r="Q301" s="29" t="s">
        <v>218</v>
      </c>
      <c r="R301" s="29" t="s">
        <v>218</v>
      </c>
      <c r="S301" s="29" t="s">
        <v>218</v>
      </c>
      <c r="T301" s="29" t="s">
        <v>218</v>
      </c>
      <c r="U301" s="24" t="s">
        <v>153</v>
      </c>
      <c r="V301" s="54" t="s">
        <v>153</v>
      </c>
      <c r="W301" s="29" t="s">
        <v>218</v>
      </c>
      <c r="X301" s="29" t="s">
        <v>218</v>
      </c>
      <c r="Y301" s="29" t="s">
        <v>218</v>
      </c>
      <c r="Z301" s="29" t="s">
        <v>218</v>
      </c>
      <c r="AA301" s="29" t="s">
        <v>218</v>
      </c>
      <c r="AB301" s="24" t="s">
        <v>153</v>
      </c>
      <c r="AC301" s="29" t="s">
        <v>218</v>
      </c>
      <c r="AD301" s="29" t="s">
        <v>218</v>
      </c>
      <c r="AE301" s="29" t="s">
        <v>218</v>
      </c>
      <c r="AF301" s="29" t="s">
        <v>218</v>
      </c>
      <c r="AG301" s="29" t="s">
        <v>218</v>
      </c>
      <c r="AH301" s="29" t="s">
        <v>218</v>
      </c>
      <c r="AI301" s="24" t="s">
        <v>153</v>
      </c>
      <c r="AJ301" s="29" t="s">
        <v>218</v>
      </c>
      <c r="AK301" s="29" t="s">
        <v>218</v>
      </c>
      <c r="AL301" s="29" t="s">
        <v>218</v>
      </c>
      <c r="AM301" s="29" t="s">
        <v>218</v>
      </c>
      <c r="AN301" s="29" t="s">
        <v>218</v>
      </c>
      <c r="AO301" s="29" t="s">
        <v>218</v>
      </c>
      <c r="AP301" s="23">
        <f>VALUE(11)</f>
        <v>11</v>
      </c>
      <c r="AQ301" s="23">
        <f>VALUE(0)</f>
        <v>0</v>
      </c>
      <c r="AR301" s="23">
        <f>VALUE(24)</f>
        <v>24</v>
      </c>
      <c r="AS301" s="23">
        <f>VALUE(0)</f>
        <v>0</v>
      </c>
      <c r="AT301" s="23">
        <f>VALUE(0)</f>
        <v>0</v>
      </c>
      <c r="AU301" s="23">
        <f>VALUE(0)</f>
        <v>0</v>
      </c>
      <c r="AV301" s="23">
        <f>VALUE(14)</f>
        <v>14</v>
      </c>
      <c r="AW301" s="23">
        <f>VALUE(0)</f>
        <v>0</v>
      </c>
      <c r="AX301" s="23" t="s">
        <v>171</v>
      </c>
      <c r="AY301" s="23" t="s">
        <v>548</v>
      </c>
      <c r="AZ301" s="23">
        <f>VALUE(0)</f>
        <v>0</v>
      </c>
      <c r="BA301" s="23">
        <f>VALUE(0)</f>
        <v>0</v>
      </c>
      <c r="BB301" s="23">
        <f>VALUE(0)</f>
        <v>0</v>
      </c>
      <c r="BC301" s="23">
        <f>VALUE(0)</f>
        <v>0</v>
      </c>
      <c r="BD301" s="23">
        <f>VALUE(0)</f>
        <v>0</v>
      </c>
      <c r="BE301" s="23">
        <f>VALUE(0)</f>
        <v>0</v>
      </c>
      <c r="BF301" s="23">
        <f>VALUE(0)</f>
        <v>0</v>
      </c>
      <c r="BG301" s="23">
        <f>VALUE(0)</f>
        <v>0</v>
      </c>
      <c r="BH301" s="23">
        <f>VALUE(0)</f>
        <v>0</v>
      </c>
      <c r="BI301" s="23">
        <f>VALUE(0)</f>
        <v>0</v>
      </c>
      <c r="BJ301" s="23">
        <f>VALUE(0)</f>
        <v>0</v>
      </c>
      <c r="BK301" s="12">
        <f>$AX$301*24</f>
        <v>5.833333333333333</v>
      </c>
      <c r="BL301" s="12">
        <f>$AY$301*24</f>
        <v>4.6166666666666671</v>
      </c>
      <c r="BM301" s="12">
        <f>$BJ$301*24</f>
        <v>0</v>
      </c>
      <c r="BN301" s="12">
        <f>VALUE($I$301)/100</f>
        <v>1</v>
      </c>
      <c r="BO301" s="12">
        <v>0</v>
      </c>
      <c r="BP301" s="12">
        <v>0</v>
      </c>
      <c r="BQ301" s="12">
        <v>0</v>
      </c>
      <c r="BR301" s="12">
        <v>0</v>
      </c>
      <c r="BS301" s="12">
        <v>24</v>
      </c>
      <c r="BT301" s="12">
        <v>0</v>
      </c>
      <c r="BU301" s="12">
        <v>0</v>
      </c>
      <c r="BV301" s="12">
        <v>0</v>
      </c>
      <c r="BW301" s="12">
        <v>0</v>
      </c>
      <c r="BX301" s="12">
        <v>0</v>
      </c>
      <c r="BY301" s="12">
        <v>0</v>
      </c>
      <c r="BZ301" s="12">
        <v>0</v>
      </c>
      <c r="CA301" s="12">
        <v>0</v>
      </c>
    </row>
    <row r="302" spans="1:79" x14ac:dyDescent="0.2">
      <c r="A302" s="12" t="s">
        <v>141</v>
      </c>
      <c r="B302" s="12" t="s">
        <v>144</v>
      </c>
      <c r="C302" s="12" t="s">
        <v>144</v>
      </c>
      <c r="D302" s="22" t="s">
        <v>547</v>
      </c>
      <c r="E302" s="22" t="s">
        <v>161</v>
      </c>
      <c r="F302" s="22" t="s">
        <v>1304</v>
      </c>
      <c r="G302" s="22" t="s">
        <v>1077</v>
      </c>
      <c r="H302" s="22" t="s">
        <v>190</v>
      </c>
      <c r="I302" s="22" t="s">
        <v>151</v>
      </c>
      <c r="J302" s="22" t="s">
        <v>162</v>
      </c>
      <c r="K302" s="22" t="s">
        <v>98</v>
      </c>
      <c r="L302" s="54" t="s">
        <v>153</v>
      </c>
      <c r="M302" s="23" t="s">
        <v>153</v>
      </c>
      <c r="N302" s="24" t="s">
        <v>153</v>
      </c>
      <c r="O302" s="29" t="s">
        <v>163</v>
      </c>
      <c r="P302" s="23" t="s">
        <v>153</v>
      </c>
      <c r="Q302" s="23" t="s">
        <v>153</v>
      </c>
      <c r="R302" s="23" t="s">
        <v>153</v>
      </c>
      <c r="S302" s="23" t="s">
        <v>153</v>
      </c>
      <c r="T302" s="23" t="s">
        <v>153</v>
      </c>
      <c r="U302" s="24" t="s">
        <v>153</v>
      </c>
      <c r="V302" s="54" t="s">
        <v>153</v>
      </c>
      <c r="W302" s="23" t="s">
        <v>153</v>
      </c>
      <c r="X302" s="23" t="s">
        <v>153</v>
      </c>
      <c r="Y302" s="23" t="s">
        <v>153</v>
      </c>
      <c r="Z302" s="23" t="s">
        <v>153</v>
      </c>
      <c r="AA302" s="23" t="s">
        <v>153</v>
      </c>
      <c r="AB302" s="24" t="s">
        <v>153</v>
      </c>
      <c r="AC302" s="23" t="s">
        <v>153</v>
      </c>
      <c r="AD302" s="23" t="s">
        <v>153</v>
      </c>
      <c r="AE302" s="23" t="s">
        <v>153</v>
      </c>
      <c r="AF302" s="23" t="s">
        <v>153</v>
      </c>
      <c r="AG302" s="23" t="s">
        <v>153</v>
      </c>
      <c r="AH302" s="23" t="s">
        <v>153</v>
      </c>
      <c r="AI302" s="24" t="s">
        <v>153</v>
      </c>
      <c r="AJ302" s="23" t="s">
        <v>153</v>
      </c>
      <c r="AK302" s="23" t="s">
        <v>153</v>
      </c>
      <c r="AL302" s="23" t="s">
        <v>153</v>
      </c>
      <c r="AM302" s="23" t="s">
        <v>153</v>
      </c>
      <c r="AN302" s="23" t="s">
        <v>153</v>
      </c>
      <c r="AO302" s="23" t="s">
        <v>153</v>
      </c>
      <c r="AP302" s="23">
        <f>VALUE(6)</f>
        <v>6</v>
      </c>
      <c r="AQ302" s="23">
        <f>VALUE(0)</f>
        <v>0</v>
      </c>
      <c r="AR302" s="23">
        <f>VALUE(1)</f>
        <v>1</v>
      </c>
      <c r="AS302" s="23">
        <f>VALUE(0)</f>
        <v>0</v>
      </c>
      <c r="AT302" s="23">
        <f>VALUE(0)</f>
        <v>0</v>
      </c>
      <c r="AU302" s="23">
        <f>VALUE(0)</f>
        <v>0</v>
      </c>
      <c r="AV302" s="23">
        <f>VALUE(8)</f>
        <v>8</v>
      </c>
      <c r="AW302" s="23">
        <f>VALUE(0)</f>
        <v>0</v>
      </c>
      <c r="AX302" s="23" t="s">
        <v>171</v>
      </c>
      <c r="AY302" s="23">
        <f>VALUE(0)</f>
        <v>0</v>
      </c>
      <c r="AZ302" s="23">
        <f>VALUE(0)</f>
        <v>0</v>
      </c>
      <c r="BA302" s="23">
        <f>VALUE(0)</f>
        <v>0</v>
      </c>
      <c r="BB302" s="23">
        <f>VALUE(0)</f>
        <v>0</v>
      </c>
      <c r="BC302" s="23">
        <f>VALUE(0)</f>
        <v>0</v>
      </c>
      <c r="BD302" s="23">
        <f>VALUE(0)</f>
        <v>0</v>
      </c>
      <c r="BE302" s="23">
        <f>VALUE(0)</f>
        <v>0</v>
      </c>
      <c r="BF302" s="23">
        <f>VALUE(0)</f>
        <v>0</v>
      </c>
      <c r="BG302" s="23">
        <f>VALUE(0)</f>
        <v>0</v>
      </c>
      <c r="BH302" s="23">
        <f>VALUE(0)</f>
        <v>0</v>
      </c>
      <c r="BI302" s="23">
        <f>VALUE(0)</f>
        <v>0</v>
      </c>
      <c r="BJ302" s="23">
        <f>VALUE(0)</f>
        <v>0</v>
      </c>
      <c r="BK302" s="12">
        <f>$AX$302*24</f>
        <v>5.833333333333333</v>
      </c>
      <c r="BL302" s="12">
        <f>$AY$302*24</f>
        <v>0</v>
      </c>
      <c r="BM302" s="12">
        <f>$BJ$302*24</f>
        <v>0</v>
      </c>
      <c r="BN302" s="12">
        <f>VALUE($I$302)/100</f>
        <v>1</v>
      </c>
      <c r="BO302" s="12">
        <v>0</v>
      </c>
      <c r="BP302" s="12">
        <v>0</v>
      </c>
      <c r="BQ302" s="12">
        <v>0</v>
      </c>
      <c r="BR302" s="12">
        <v>0</v>
      </c>
      <c r="BS302" s="12">
        <v>0</v>
      </c>
      <c r="BT302" s="12">
        <v>1</v>
      </c>
      <c r="BU302" s="12">
        <v>0</v>
      </c>
      <c r="BV302" s="12">
        <v>0</v>
      </c>
      <c r="BW302" s="12">
        <v>0</v>
      </c>
      <c r="BX302" s="12">
        <v>0</v>
      </c>
      <c r="BY302" s="12">
        <v>0</v>
      </c>
      <c r="BZ302" s="12">
        <v>0</v>
      </c>
      <c r="CA302" s="12">
        <v>0</v>
      </c>
    </row>
    <row r="303" spans="1:79" x14ac:dyDescent="0.2">
      <c r="A303" s="12" t="s">
        <v>141</v>
      </c>
      <c r="B303" s="12" t="s">
        <v>144</v>
      </c>
      <c r="C303" s="12" t="s">
        <v>144</v>
      </c>
      <c r="D303" s="22" t="s">
        <v>1279</v>
      </c>
      <c r="E303" s="22" t="s">
        <v>173</v>
      </c>
      <c r="F303" s="22" t="s">
        <v>1078</v>
      </c>
      <c r="G303" s="22" t="s">
        <v>1079</v>
      </c>
      <c r="H303" s="22" t="s">
        <v>150</v>
      </c>
      <c r="I303" s="22" t="s">
        <v>151</v>
      </c>
      <c r="J303" s="22" t="s">
        <v>162</v>
      </c>
      <c r="K303" s="22" t="s">
        <v>98</v>
      </c>
      <c r="L303" s="54" t="s">
        <v>153</v>
      </c>
      <c r="M303" s="27" t="s">
        <v>153</v>
      </c>
      <c r="N303" s="27" t="s">
        <v>153</v>
      </c>
      <c r="O303" s="27" t="s">
        <v>153</v>
      </c>
      <c r="P303" s="27" t="s">
        <v>153</v>
      </c>
      <c r="Q303" s="27" t="s">
        <v>153</v>
      </c>
      <c r="R303" s="27" t="s">
        <v>153</v>
      </c>
      <c r="S303" s="27" t="s">
        <v>153</v>
      </c>
      <c r="T303" s="27" t="s">
        <v>153</v>
      </c>
      <c r="U303" s="27" t="s">
        <v>153</v>
      </c>
      <c r="V303" s="54" t="s">
        <v>153</v>
      </c>
      <c r="W303" s="27" t="s">
        <v>153</v>
      </c>
      <c r="X303" s="27" t="s">
        <v>153</v>
      </c>
      <c r="Y303" s="27" t="s">
        <v>153</v>
      </c>
      <c r="Z303" s="27" t="s">
        <v>153</v>
      </c>
      <c r="AA303" s="27" t="s">
        <v>153</v>
      </c>
      <c r="AB303" s="27" t="s">
        <v>153</v>
      </c>
      <c r="AC303" s="27" t="s">
        <v>153</v>
      </c>
      <c r="AD303" s="27" t="s">
        <v>153</v>
      </c>
      <c r="AE303" s="27" t="s">
        <v>153</v>
      </c>
      <c r="AF303" s="27" t="s">
        <v>153</v>
      </c>
      <c r="AG303" s="27" t="s">
        <v>153</v>
      </c>
      <c r="AH303" s="27" t="s">
        <v>153</v>
      </c>
      <c r="AI303" s="27" t="s">
        <v>153</v>
      </c>
      <c r="AJ303" s="27" t="s">
        <v>153</v>
      </c>
      <c r="AK303" s="27" t="s">
        <v>153</v>
      </c>
      <c r="AL303" s="27" t="s">
        <v>153</v>
      </c>
      <c r="AM303" s="27" t="s">
        <v>153</v>
      </c>
      <c r="AN303" s="27" t="s">
        <v>153</v>
      </c>
      <c r="AO303" s="27" t="s">
        <v>153</v>
      </c>
      <c r="AP303" s="23">
        <f>VALUE(0)</f>
        <v>0</v>
      </c>
      <c r="AQ303" s="23">
        <f>VALUE(0)</f>
        <v>0</v>
      </c>
      <c r="AR303" s="23">
        <f>VALUE(0)</f>
        <v>0</v>
      </c>
      <c r="AS303" s="23">
        <f>VALUE(0)</f>
        <v>0</v>
      </c>
      <c r="AT303" s="23">
        <f>VALUE(0)</f>
        <v>0</v>
      </c>
      <c r="AU303" s="23">
        <f>VALUE(0)</f>
        <v>0</v>
      </c>
      <c r="AV303" s="23">
        <f>VALUE(0)</f>
        <v>0</v>
      </c>
      <c r="AW303" s="23">
        <f>VALUE(0)</f>
        <v>0</v>
      </c>
      <c r="AX303" s="23">
        <f>VALUE(0)</f>
        <v>0</v>
      </c>
      <c r="AY303" s="23">
        <f>VALUE(0)</f>
        <v>0</v>
      </c>
      <c r="AZ303" s="23">
        <f>VALUE(0)</f>
        <v>0</v>
      </c>
      <c r="BA303" s="23">
        <f>VALUE(0)</f>
        <v>0</v>
      </c>
      <c r="BB303" s="23">
        <f>VALUE(0)</f>
        <v>0</v>
      </c>
      <c r="BC303" s="23">
        <f>VALUE(0)</f>
        <v>0</v>
      </c>
      <c r="BD303" s="23">
        <f>VALUE(0)</f>
        <v>0</v>
      </c>
      <c r="BE303" s="23">
        <f>VALUE(0)</f>
        <v>0</v>
      </c>
      <c r="BF303" s="23">
        <f>VALUE(0)</f>
        <v>0</v>
      </c>
      <c r="BG303" s="23">
        <f>VALUE(0)</f>
        <v>0</v>
      </c>
      <c r="BH303" s="23">
        <f>VALUE(0)</f>
        <v>0</v>
      </c>
      <c r="BI303" s="23">
        <f>VALUE(0)</f>
        <v>0</v>
      </c>
      <c r="BJ303" s="23">
        <f>VALUE(0)</f>
        <v>0</v>
      </c>
      <c r="BK303" s="12">
        <f>$AX$303*24</f>
        <v>0</v>
      </c>
      <c r="BL303" s="12">
        <f>$AY$303*24</f>
        <v>0</v>
      </c>
      <c r="BM303" s="12">
        <f>$BJ$303*24</f>
        <v>0</v>
      </c>
      <c r="BN303" s="12">
        <f>VALUE($I$303)/100</f>
        <v>1</v>
      </c>
      <c r="BO303" s="12">
        <v>0</v>
      </c>
      <c r="BP303" s="12">
        <v>0</v>
      </c>
      <c r="BQ303" s="12">
        <v>0</v>
      </c>
      <c r="BR303" s="12">
        <v>0</v>
      </c>
      <c r="BS303" s="12">
        <v>0</v>
      </c>
      <c r="BT303" s="12">
        <v>0</v>
      </c>
      <c r="BU303" s="12">
        <v>0</v>
      </c>
      <c r="BV303" s="12">
        <v>0</v>
      </c>
      <c r="BW303" s="12">
        <v>0</v>
      </c>
      <c r="BX303" s="12">
        <v>0</v>
      </c>
      <c r="BY303" s="12">
        <v>0</v>
      </c>
      <c r="BZ303" s="12">
        <v>0</v>
      </c>
      <c r="CA303" s="12">
        <v>0</v>
      </c>
    </row>
    <row r="304" spans="1:79" ht="16.5" x14ac:dyDescent="0.2">
      <c r="A304" s="12" t="s">
        <v>141</v>
      </c>
      <c r="B304" s="12" t="s">
        <v>144</v>
      </c>
      <c r="C304" s="12" t="s">
        <v>144</v>
      </c>
      <c r="D304" s="22" t="s">
        <v>549</v>
      </c>
      <c r="E304" s="22" t="s">
        <v>173</v>
      </c>
      <c r="F304" s="22" t="s">
        <v>1080</v>
      </c>
      <c r="G304" s="22" t="s">
        <v>1081</v>
      </c>
      <c r="H304" s="22" t="s">
        <v>166</v>
      </c>
      <c r="I304" s="22" t="s">
        <v>151</v>
      </c>
      <c r="J304" s="22" t="s">
        <v>162</v>
      </c>
      <c r="K304" s="22" t="s">
        <v>98</v>
      </c>
      <c r="L304" s="54" t="s">
        <v>153</v>
      </c>
      <c r="M304" s="26" t="s">
        <v>550</v>
      </c>
      <c r="N304" s="24" t="s">
        <v>153</v>
      </c>
      <c r="O304" s="23" t="s">
        <v>185</v>
      </c>
      <c r="P304" s="25" t="s">
        <v>1305</v>
      </c>
      <c r="Q304" s="23" t="s">
        <v>540</v>
      </c>
      <c r="R304" s="23" t="s">
        <v>540</v>
      </c>
      <c r="S304" s="23" t="s">
        <v>542</v>
      </c>
      <c r="T304" s="23" t="s">
        <v>542</v>
      </c>
      <c r="U304" s="24" t="s">
        <v>153</v>
      </c>
      <c r="V304" s="54" t="s">
        <v>153</v>
      </c>
      <c r="W304" s="23" t="s">
        <v>537</v>
      </c>
      <c r="X304" s="24" t="s">
        <v>156</v>
      </c>
      <c r="Y304" s="24" t="s">
        <v>156</v>
      </c>
      <c r="Z304" s="23" t="s">
        <v>182</v>
      </c>
      <c r="AA304" s="23" t="s">
        <v>182</v>
      </c>
      <c r="AB304" s="24" t="s">
        <v>153</v>
      </c>
      <c r="AC304" s="23" t="s">
        <v>537</v>
      </c>
      <c r="AD304" s="23" t="s">
        <v>537</v>
      </c>
      <c r="AE304" s="23" t="s">
        <v>537</v>
      </c>
      <c r="AF304" s="23" t="s">
        <v>537</v>
      </c>
      <c r="AG304" s="23" t="s">
        <v>537</v>
      </c>
      <c r="AH304" s="23" t="s">
        <v>537</v>
      </c>
      <c r="AI304" s="24" t="s">
        <v>153</v>
      </c>
      <c r="AJ304" s="28" t="s">
        <v>163</v>
      </c>
      <c r="AK304" s="28" t="s">
        <v>163</v>
      </c>
      <c r="AL304" s="28" t="s">
        <v>163</v>
      </c>
      <c r="AM304" s="28" t="s">
        <v>163</v>
      </c>
      <c r="AN304" s="28" t="s">
        <v>163</v>
      </c>
      <c r="AO304" s="28" t="s">
        <v>163</v>
      </c>
      <c r="AP304" s="23">
        <f>VALUE(14)</f>
        <v>14</v>
      </c>
      <c r="AQ304" s="23">
        <f>VALUE(0)</f>
        <v>0</v>
      </c>
      <c r="AR304" s="23">
        <f>VALUE(0)</f>
        <v>0</v>
      </c>
      <c r="AS304" s="23">
        <f>VALUE(0)</f>
        <v>0</v>
      </c>
      <c r="AT304" s="23">
        <f>VALUE(0)</f>
        <v>0</v>
      </c>
      <c r="AU304" s="23">
        <f>VALUE(6)</f>
        <v>6</v>
      </c>
      <c r="AV304" s="23">
        <f>VALUE(6)</f>
        <v>6</v>
      </c>
      <c r="AW304" s="23">
        <f>VALUE(0)</f>
        <v>0</v>
      </c>
      <c r="AX304" s="23" t="s">
        <v>551</v>
      </c>
      <c r="AY304" s="23">
        <f>VALUE(0)</f>
        <v>0</v>
      </c>
      <c r="AZ304" s="23">
        <f>VALUE(0)</f>
        <v>0</v>
      </c>
      <c r="BA304" s="23">
        <f>VALUE(0)</f>
        <v>0</v>
      </c>
      <c r="BB304" s="23">
        <f>VALUE(0)</f>
        <v>0</v>
      </c>
      <c r="BC304" s="23">
        <f>VALUE(0)</f>
        <v>0</v>
      </c>
      <c r="BD304" s="23">
        <f>VALUE(1)</f>
        <v>1</v>
      </c>
      <c r="BE304" s="23">
        <f>VALUE(0)</f>
        <v>0</v>
      </c>
      <c r="BF304" s="23">
        <f>VALUE(0)</f>
        <v>0</v>
      </c>
      <c r="BG304" s="23">
        <f>VALUE(0)</f>
        <v>0</v>
      </c>
      <c r="BH304" s="23">
        <f>VALUE(0)</f>
        <v>0</v>
      </c>
      <c r="BI304" s="23">
        <f>VALUE(0)</f>
        <v>0</v>
      </c>
      <c r="BJ304" s="23">
        <f>VALUE(0)</f>
        <v>0</v>
      </c>
      <c r="BK304" s="12">
        <f>$AX$304*24</f>
        <v>20.283333333333335</v>
      </c>
      <c r="BL304" s="12">
        <f>$AY$304*24</f>
        <v>0</v>
      </c>
      <c r="BM304" s="12">
        <f>$BJ$304*24</f>
        <v>0</v>
      </c>
      <c r="BN304" s="12">
        <f>VALUE($I$304)/100</f>
        <v>1</v>
      </c>
      <c r="BO304" s="12">
        <v>0</v>
      </c>
      <c r="BP304" s="12">
        <v>0</v>
      </c>
      <c r="BQ304" s="12">
        <v>0</v>
      </c>
      <c r="BR304" s="12">
        <v>1</v>
      </c>
      <c r="BS304" s="12">
        <v>0</v>
      </c>
      <c r="BT304" s="12">
        <v>0</v>
      </c>
      <c r="BU304" s="12">
        <v>0</v>
      </c>
      <c r="BV304" s="12">
        <v>0</v>
      </c>
      <c r="BW304" s="12">
        <v>0</v>
      </c>
      <c r="BX304" s="12">
        <v>0</v>
      </c>
      <c r="BY304" s="12">
        <v>0</v>
      </c>
      <c r="BZ304" s="12">
        <v>0</v>
      </c>
      <c r="CA304" s="12">
        <v>0</v>
      </c>
    </row>
    <row r="305" spans="1:79" ht="15" x14ac:dyDescent="0.25">
      <c r="A305" s="12" t="s">
        <v>141</v>
      </c>
      <c r="B305" s="12" t="s">
        <v>144</v>
      </c>
      <c r="C305" s="12" t="s">
        <v>144</v>
      </c>
      <c r="D305" s="31" t="s">
        <v>202</v>
      </c>
      <c r="E305" s="31" t="s">
        <v>153</v>
      </c>
      <c r="F305" s="31" t="s">
        <v>175</v>
      </c>
      <c r="G305" s="31" t="s">
        <v>153</v>
      </c>
      <c r="H305" s="31" t="s">
        <v>153</v>
      </c>
      <c r="I305" s="31" t="s">
        <v>153</v>
      </c>
      <c r="J305" s="31" t="s">
        <v>153</v>
      </c>
      <c r="K305" s="31" t="s">
        <v>153</v>
      </c>
      <c r="L305" s="31">
        <f>VALUE(0)</f>
        <v>0</v>
      </c>
      <c r="M305" s="31">
        <f>VALUE(9)</f>
        <v>9</v>
      </c>
      <c r="N305" s="31">
        <f>VALUE(0)</f>
        <v>0</v>
      </c>
      <c r="O305" s="31">
        <f>VALUE(7)</f>
        <v>7</v>
      </c>
      <c r="P305" s="31">
        <f>VALUE(8)</f>
        <v>8</v>
      </c>
      <c r="Q305" s="31">
        <f>VALUE(8)</f>
        <v>8</v>
      </c>
      <c r="R305" s="31">
        <f>VALUE(8)</f>
        <v>8</v>
      </c>
      <c r="S305" s="31">
        <f>VALUE(8)</f>
        <v>8</v>
      </c>
      <c r="T305" s="31">
        <f>VALUE(8)</f>
        <v>8</v>
      </c>
      <c r="U305" s="31">
        <f>VALUE(0)</f>
        <v>0</v>
      </c>
      <c r="V305" s="31">
        <f>VALUE(0)</f>
        <v>0</v>
      </c>
      <c r="W305" s="31">
        <f>VALUE(9)</f>
        <v>9</v>
      </c>
      <c r="X305" s="31">
        <f>VALUE(8)</f>
        <v>8</v>
      </c>
      <c r="Y305" s="31">
        <f>VALUE(8)</f>
        <v>8</v>
      </c>
      <c r="Z305" s="31">
        <f>VALUE(9)</f>
        <v>9</v>
      </c>
      <c r="AA305" s="31">
        <f>VALUE(9)</f>
        <v>9</v>
      </c>
      <c r="AB305" s="31">
        <f>VALUE(0)</f>
        <v>0</v>
      </c>
      <c r="AC305" s="31">
        <f>VALUE(9)</f>
        <v>9</v>
      </c>
      <c r="AD305" s="31">
        <f>VALUE(9)</f>
        <v>9</v>
      </c>
      <c r="AE305" s="31">
        <f>VALUE(8)</f>
        <v>8</v>
      </c>
      <c r="AF305" s="31">
        <f>VALUE(8)</f>
        <v>8</v>
      </c>
      <c r="AG305" s="31">
        <f>VALUE(8)</f>
        <v>8</v>
      </c>
      <c r="AH305" s="31">
        <f>VALUE(8)</f>
        <v>8</v>
      </c>
      <c r="AI305" s="31">
        <f>VALUE(0)</f>
        <v>0</v>
      </c>
      <c r="AJ305" s="31">
        <f>VALUE(9)</f>
        <v>9</v>
      </c>
      <c r="AK305" s="31">
        <f>VALUE(9)</f>
        <v>9</v>
      </c>
      <c r="AL305" s="31">
        <f>VALUE(8)</f>
        <v>8</v>
      </c>
      <c r="AM305" s="31">
        <f>VALUE(8)</f>
        <v>8</v>
      </c>
      <c r="AN305" s="31">
        <f>VALUE(8)</f>
        <v>8</v>
      </c>
      <c r="AO305" s="31">
        <f>VALUE(8)</f>
        <v>8</v>
      </c>
      <c r="AP305" s="31">
        <v>0</v>
      </c>
      <c r="AQ305" s="31">
        <v>0</v>
      </c>
      <c r="AR305" s="31">
        <v>0</v>
      </c>
      <c r="AS305" s="31">
        <v>0</v>
      </c>
      <c r="AT305" s="31">
        <v>0</v>
      </c>
      <c r="AU305" s="31">
        <v>0</v>
      </c>
      <c r="AV305" s="31">
        <v>0</v>
      </c>
      <c r="AW305" s="31">
        <v>0</v>
      </c>
      <c r="AX305" s="31">
        <v>0</v>
      </c>
      <c r="AY305" s="31">
        <v>0</v>
      </c>
      <c r="AZ305" s="31">
        <v>0</v>
      </c>
      <c r="BA305" s="31">
        <v>0</v>
      </c>
      <c r="BB305" s="31">
        <v>0</v>
      </c>
      <c r="BC305" s="31">
        <v>0</v>
      </c>
      <c r="BD305" s="31">
        <v>0</v>
      </c>
      <c r="BE305" s="31">
        <v>0</v>
      </c>
      <c r="BF305" s="31">
        <v>0</v>
      </c>
      <c r="BG305" s="31">
        <v>0</v>
      </c>
      <c r="BH305" s="31">
        <v>0</v>
      </c>
      <c r="BI305" s="31">
        <v>0</v>
      </c>
      <c r="BJ305" s="31">
        <v>0</v>
      </c>
      <c r="BK305" s="12">
        <v>0</v>
      </c>
      <c r="BL305" s="12">
        <v>0</v>
      </c>
      <c r="BM305" s="12">
        <v>0</v>
      </c>
      <c r="BN305" s="12"/>
      <c r="BO305" s="12">
        <v>0</v>
      </c>
      <c r="BP305" s="12">
        <v>0</v>
      </c>
      <c r="BQ305" s="12">
        <v>0</v>
      </c>
      <c r="BR305" s="12">
        <v>0</v>
      </c>
      <c r="BS305" s="12">
        <v>0</v>
      </c>
      <c r="BT305" s="12">
        <v>0</v>
      </c>
      <c r="BU305" s="12">
        <v>0</v>
      </c>
      <c r="BV305" s="12">
        <v>0</v>
      </c>
      <c r="BW305" s="12">
        <v>0</v>
      </c>
      <c r="BX305" s="12">
        <v>0</v>
      </c>
      <c r="BY305" s="12">
        <v>0</v>
      </c>
      <c r="BZ305" s="12">
        <v>0</v>
      </c>
      <c r="CA305" s="12">
        <v>0</v>
      </c>
    </row>
    <row r="306" spans="1:79" ht="16.5" x14ac:dyDescent="0.2">
      <c r="A306" s="12" t="s">
        <v>141</v>
      </c>
      <c r="B306" s="12" t="s">
        <v>145</v>
      </c>
      <c r="C306" s="12" t="s">
        <v>145</v>
      </c>
      <c r="D306" s="22" t="s">
        <v>1286</v>
      </c>
      <c r="E306" s="22" t="s">
        <v>149</v>
      </c>
      <c r="F306" s="22" t="s">
        <v>1082</v>
      </c>
      <c r="G306" s="22" t="s">
        <v>1083</v>
      </c>
      <c r="H306" s="22" t="s">
        <v>166</v>
      </c>
      <c r="I306" s="22" t="s">
        <v>151</v>
      </c>
      <c r="J306" s="22" t="s">
        <v>524</v>
      </c>
      <c r="K306" s="22" t="s">
        <v>99</v>
      </c>
      <c r="L306" s="54" t="s">
        <v>153</v>
      </c>
      <c r="M306" s="23" t="s">
        <v>562</v>
      </c>
      <c r="N306" s="24" t="s">
        <v>153</v>
      </c>
      <c r="O306" s="25" t="s">
        <v>552</v>
      </c>
      <c r="P306" s="26" t="s">
        <v>1306</v>
      </c>
      <c r="Q306" s="23" t="s">
        <v>553</v>
      </c>
      <c r="R306" s="23" t="s">
        <v>553</v>
      </c>
      <c r="S306" s="23" t="s">
        <v>553</v>
      </c>
      <c r="T306" s="23" t="s">
        <v>553</v>
      </c>
      <c r="U306" s="24" t="s">
        <v>153</v>
      </c>
      <c r="V306" s="54" t="s">
        <v>153</v>
      </c>
      <c r="W306" s="26" t="s">
        <v>1306</v>
      </c>
      <c r="X306" s="23" t="s">
        <v>287</v>
      </c>
      <c r="Y306" s="23" t="s">
        <v>287</v>
      </c>
      <c r="Z306" s="29" t="s">
        <v>218</v>
      </c>
      <c r="AA306" s="23" t="s">
        <v>552</v>
      </c>
      <c r="AB306" s="24" t="s">
        <v>153</v>
      </c>
      <c r="AC306" s="26" t="s">
        <v>1306</v>
      </c>
      <c r="AD306" s="26" t="s">
        <v>1306</v>
      </c>
      <c r="AE306" s="23" t="s">
        <v>1307</v>
      </c>
      <c r="AF306" s="23" t="s">
        <v>1307</v>
      </c>
      <c r="AG306" s="23" t="s">
        <v>1307</v>
      </c>
      <c r="AH306" s="23" t="s">
        <v>1307</v>
      </c>
      <c r="AI306" s="24" t="s">
        <v>153</v>
      </c>
      <c r="AJ306" s="23" t="s">
        <v>554</v>
      </c>
      <c r="AK306" s="23" t="s">
        <v>554</v>
      </c>
      <c r="AL306" s="23" t="s">
        <v>1308</v>
      </c>
      <c r="AM306" s="23" t="s">
        <v>1308</v>
      </c>
      <c r="AN306" s="23" t="s">
        <v>555</v>
      </c>
      <c r="AO306" s="23" t="s">
        <v>555</v>
      </c>
      <c r="AP306" s="23">
        <f>VALUE(29)</f>
        <v>29</v>
      </c>
      <c r="AQ306" s="23">
        <f>VALUE(0)</f>
        <v>0</v>
      </c>
      <c r="AR306" s="23">
        <f>VALUE(1)</f>
        <v>1</v>
      </c>
      <c r="AS306" s="23">
        <f>VALUE(0)</f>
        <v>0</v>
      </c>
      <c r="AT306" s="23">
        <f>VALUE(0)</f>
        <v>0</v>
      </c>
      <c r="AU306" s="23">
        <f>VALUE(0)</f>
        <v>0</v>
      </c>
      <c r="AV306" s="23">
        <f>VALUE(3)</f>
        <v>3</v>
      </c>
      <c r="AW306" s="23">
        <f>VALUE(0)</f>
        <v>0</v>
      </c>
      <c r="AX306" s="23" t="s">
        <v>1309</v>
      </c>
      <c r="AY306" s="23">
        <f>VALUE(0)</f>
        <v>0</v>
      </c>
      <c r="AZ306" s="23">
        <f>VALUE(0)</f>
        <v>0</v>
      </c>
      <c r="BA306" s="23">
        <f>VALUE(0)</f>
        <v>0</v>
      </c>
      <c r="BB306" s="23">
        <f>VALUE(0)</f>
        <v>0</v>
      </c>
      <c r="BC306" s="23">
        <f>VALUE(0)</f>
        <v>0</v>
      </c>
      <c r="BD306" s="23">
        <f>VALUE(0)</f>
        <v>0</v>
      </c>
      <c r="BE306" s="23">
        <f>VALUE(0)</f>
        <v>0</v>
      </c>
      <c r="BF306" s="23">
        <f>VALUE(0)</f>
        <v>0</v>
      </c>
      <c r="BG306" s="23">
        <f>VALUE(0)</f>
        <v>0</v>
      </c>
      <c r="BH306" s="23">
        <f>VALUE(0)</f>
        <v>0</v>
      </c>
      <c r="BI306" s="23">
        <f>VALUE(0)</f>
        <v>0</v>
      </c>
      <c r="BJ306" s="23">
        <f>VALUE(0)</f>
        <v>0</v>
      </c>
      <c r="BK306" s="12">
        <f>$AX$306*24</f>
        <v>36.1</v>
      </c>
      <c r="BL306" s="12">
        <f>$AY$306*24</f>
        <v>0</v>
      </c>
      <c r="BM306" s="12">
        <f>$BJ$306*24</f>
        <v>0</v>
      </c>
      <c r="BN306" s="12">
        <f>VALUE($I$306)/100</f>
        <v>1</v>
      </c>
      <c r="BO306" s="12">
        <v>0</v>
      </c>
      <c r="BP306" s="12">
        <v>0</v>
      </c>
      <c r="BQ306" s="12">
        <v>0</v>
      </c>
      <c r="BR306" s="12">
        <v>0</v>
      </c>
      <c r="BS306" s="12">
        <v>1</v>
      </c>
      <c r="BT306" s="12">
        <v>0</v>
      </c>
      <c r="BU306" s="12">
        <v>0</v>
      </c>
      <c r="BV306" s="12">
        <v>0</v>
      </c>
      <c r="BW306" s="12">
        <v>0</v>
      </c>
      <c r="BX306" s="12">
        <v>0</v>
      </c>
      <c r="BY306" s="12">
        <v>0</v>
      </c>
      <c r="BZ306" s="12">
        <v>0</v>
      </c>
      <c r="CA306" s="12">
        <v>0</v>
      </c>
    </row>
    <row r="307" spans="1:79" x14ac:dyDescent="0.2">
      <c r="A307" s="12" t="s">
        <v>141</v>
      </c>
      <c r="B307" s="12" t="s">
        <v>145</v>
      </c>
      <c r="C307" s="12" t="s">
        <v>145</v>
      </c>
      <c r="D307" s="22" t="s">
        <v>556</v>
      </c>
      <c r="E307" s="22" t="s">
        <v>161</v>
      </c>
      <c r="F307" s="22" t="s">
        <v>1084</v>
      </c>
      <c r="G307" s="22" t="s">
        <v>1085</v>
      </c>
      <c r="H307" s="22" t="s">
        <v>150</v>
      </c>
      <c r="I307" s="22" t="s">
        <v>557</v>
      </c>
      <c r="J307" s="22" t="s">
        <v>530</v>
      </c>
      <c r="K307" s="22" t="s">
        <v>99</v>
      </c>
      <c r="L307" s="54" t="s">
        <v>153</v>
      </c>
      <c r="M307" s="24" t="s">
        <v>195</v>
      </c>
      <c r="N307" s="24" t="s">
        <v>153</v>
      </c>
      <c r="O307" s="23" t="s">
        <v>558</v>
      </c>
      <c r="P307" s="23" t="s">
        <v>558</v>
      </c>
      <c r="Q307" s="23" t="s">
        <v>153</v>
      </c>
      <c r="R307" s="23" t="s">
        <v>153</v>
      </c>
      <c r="S307" s="23" t="s">
        <v>153</v>
      </c>
      <c r="T307" s="23" t="s">
        <v>153</v>
      </c>
      <c r="U307" s="24" t="s">
        <v>153</v>
      </c>
      <c r="V307" s="54" t="s">
        <v>153</v>
      </c>
      <c r="W307" s="23" t="s">
        <v>153</v>
      </c>
      <c r="X307" s="23" t="s">
        <v>153</v>
      </c>
      <c r="Y307" s="23" t="s">
        <v>153</v>
      </c>
      <c r="Z307" s="23" t="s">
        <v>552</v>
      </c>
      <c r="AA307" s="23" t="s">
        <v>153</v>
      </c>
      <c r="AB307" s="24" t="s">
        <v>153</v>
      </c>
      <c r="AC307" s="23" t="s">
        <v>153</v>
      </c>
      <c r="AD307" s="23" t="s">
        <v>153</v>
      </c>
      <c r="AE307" s="23" t="s">
        <v>153</v>
      </c>
      <c r="AF307" s="23" t="s">
        <v>153</v>
      </c>
      <c r="AG307" s="23" t="s">
        <v>153</v>
      </c>
      <c r="AH307" s="23" t="s">
        <v>153</v>
      </c>
      <c r="AI307" s="24" t="s">
        <v>153</v>
      </c>
      <c r="AJ307" s="23" t="s">
        <v>153</v>
      </c>
      <c r="AK307" s="23" t="s">
        <v>153</v>
      </c>
      <c r="AL307" s="24" t="s">
        <v>156</v>
      </c>
      <c r="AM307" s="24" t="s">
        <v>156</v>
      </c>
      <c r="AN307" s="23" t="s">
        <v>153</v>
      </c>
      <c r="AO307" s="23" t="s">
        <v>153</v>
      </c>
      <c r="AP307" s="23">
        <f>VALUE(22)</f>
        <v>22</v>
      </c>
      <c r="AQ307" s="23">
        <f>VALUE(0)</f>
        <v>0</v>
      </c>
      <c r="AR307" s="23">
        <f>VALUE(0)</f>
        <v>0</v>
      </c>
      <c r="AS307" s="23">
        <f>VALUE(0)</f>
        <v>0</v>
      </c>
      <c r="AT307" s="23">
        <f>VALUE(0)</f>
        <v>0</v>
      </c>
      <c r="AU307" s="23">
        <f>VALUE(0)</f>
        <v>0</v>
      </c>
      <c r="AV307" s="23">
        <f>VALUE(2)</f>
        <v>2</v>
      </c>
      <c r="AW307" s="23">
        <f>VALUE(0)</f>
        <v>0</v>
      </c>
      <c r="AX307" s="23" t="s">
        <v>289</v>
      </c>
      <c r="AY307" s="23" t="s">
        <v>255</v>
      </c>
      <c r="AZ307" s="23">
        <f>VALUE(0)</f>
        <v>0</v>
      </c>
      <c r="BA307" s="23">
        <f>VALUE(0)</f>
        <v>0</v>
      </c>
      <c r="BB307" s="23">
        <f>VALUE(0)</f>
        <v>0</v>
      </c>
      <c r="BC307" s="23">
        <f>VALUE(0)</f>
        <v>0</v>
      </c>
      <c r="BD307" s="23">
        <f>VALUE(0)</f>
        <v>0</v>
      </c>
      <c r="BE307" s="23">
        <f>VALUE(0)</f>
        <v>0</v>
      </c>
      <c r="BF307" s="23">
        <f>VALUE(0)</f>
        <v>0</v>
      </c>
      <c r="BG307" s="23">
        <f>VALUE(0)</f>
        <v>0</v>
      </c>
      <c r="BH307" s="23">
        <f>VALUE(0)</f>
        <v>0</v>
      </c>
      <c r="BI307" s="23">
        <f>VALUE(0)</f>
        <v>0</v>
      </c>
      <c r="BJ307" s="23">
        <f>VALUE(0)</f>
        <v>0</v>
      </c>
      <c r="BK307" s="12">
        <f>$AX$307*24</f>
        <v>5.583333333333333</v>
      </c>
      <c r="BL307" s="12">
        <f>$AY$307*24</f>
        <v>2.5</v>
      </c>
      <c r="BM307" s="12">
        <f>$BJ$307*24</f>
        <v>0</v>
      </c>
      <c r="BN307" s="12">
        <f>VALUE($I$307)/100</f>
        <v>0.78</v>
      </c>
      <c r="BO307" s="12">
        <v>0</v>
      </c>
      <c r="BP307" s="12">
        <v>0</v>
      </c>
      <c r="BQ307" s="12">
        <v>0</v>
      </c>
      <c r="BR307" s="12">
        <v>0</v>
      </c>
      <c r="BS307" s="12">
        <v>0</v>
      </c>
      <c r="BT307" s="12">
        <v>0</v>
      </c>
      <c r="BU307" s="12">
        <v>0</v>
      </c>
      <c r="BV307" s="12">
        <v>0</v>
      </c>
      <c r="BW307" s="12">
        <v>0</v>
      </c>
      <c r="BX307" s="12">
        <v>0</v>
      </c>
      <c r="BY307" s="12">
        <v>0</v>
      </c>
      <c r="BZ307" s="12">
        <v>0</v>
      </c>
      <c r="CA307" s="12">
        <v>0</v>
      </c>
    </row>
    <row r="308" spans="1:79" x14ac:dyDescent="0.2">
      <c r="A308" s="12" t="s">
        <v>141</v>
      </c>
      <c r="B308" s="12" t="s">
        <v>145</v>
      </c>
      <c r="C308" s="12" t="s">
        <v>145</v>
      </c>
      <c r="D308" s="22" t="s">
        <v>555</v>
      </c>
      <c r="E308" s="22" t="s">
        <v>161</v>
      </c>
      <c r="F308" s="22" t="s">
        <v>1086</v>
      </c>
      <c r="G308" s="22" t="s">
        <v>1087</v>
      </c>
      <c r="H308" s="22" t="s">
        <v>166</v>
      </c>
      <c r="I308" s="22" t="s">
        <v>151</v>
      </c>
      <c r="J308" s="22" t="s">
        <v>162</v>
      </c>
      <c r="K308" s="22" t="s">
        <v>99</v>
      </c>
      <c r="L308" s="54" t="s">
        <v>153</v>
      </c>
      <c r="M308" s="23" t="s">
        <v>153</v>
      </c>
      <c r="N308" s="24" t="s">
        <v>153</v>
      </c>
      <c r="O308" s="28" t="s">
        <v>163</v>
      </c>
      <c r="P308" s="28" t="s">
        <v>163</v>
      </c>
      <c r="Q308" s="28" t="s">
        <v>163</v>
      </c>
      <c r="R308" s="28" t="s">
        <v>163</v>
      </c>
      <c r="S308" s="28" t="s">
        <v>163</v>
      </c>
      <c r="T308" s="28" t="s">
        <v>163</v>
      </c>
      <c r="U308" s="24" t="s">
        <v>153</v>
      </c>
      <c r="V308" s="54" t="s">
        <v>153</v>
      </c>
      <c r="W308" s="23" t="s">
        <v>153</v>
      </c>
      <c r="X308" s="23" t="s">
        <v>153</v>
      </c>
      <c r="Y308" s="23" t="s">
        <v>153</v>
      </c>
      <c r="Z308" s="23" t="s">
        <v>153</v>
      </c>
      <c r="AA308" s="23" t="s">
        <v>153</v>
      </c>
      <c r="AB308" s="24" t="s">
        <v>153</v>
      </c>
      <c r="AC308" s="23" t="s">
        <v>153</v>
      </c>
      <c r="AD308" s="23" t="s">
        <v>153</v>
      </c>
      <c r="AE308" s="23" t="s">
        <v>153</v>
      </c>
      <c r="AF308" s="23" t="s">
        <v>153</v>
      </c>
      <c r="AG308" s="23" t="s">
        <v>153</v>
      </c>
      <c r="AH308" s="23" t="s">
        <v>153</v>
      </c>
      <c r="AI308" s="24" t="s">
        <v>153</v>
      </c>
      <c r="AJ308" s="23" t="s">
        <v>153</v>
      </c>
      <c r="AK308" s="23" t="s">
        <v>153</v>
      </c>
      <c r="AL308" s="23" t="s">
        <v>153</v>
      </c>
      <c r="AM308" s="23" t="s">
        <v>153</v>
      </c>
      <c r="AN308" s="24" t="s">
        <v>156</v>
      </c>
      <c r="AO308" s="24" t="s">
        <v>156</v>
      </c>
      <c r="AP308" s="23">
        <f>VALUE(32)</f>
        <v>32</v>
      </c>
      <c r="AQ308" s="23">
        <f>VALUE(0)</f>
        <v>0</v>
      </c>
      <c r="AR308" s="23">
        <f>VALUE(0)</f>
        <v>0</v>
      </c>
      <c r="AS308" s="23">
        <f>VALUE(0)</f>
        <v>0</v>
      </c>
      <c r="AT308" s="23">
        <f>VALUE(0)</f>
        <v>0</v>
      </c>
      <c r="AU308" s="23">
        <f>VALUE(6)</f>
        <v>6</v>
      </c>
      <c r="AV308" s="23">
        <f>VALUE(0)</f>
        <v>0</v>
      </c>
      <c r="AW308" s="23">
        <f>VALUE(2)</f>
        <v>2</v>
      </c>
      <c r="AX308" s="23" t="s">
        <v>560</v>
      </c>
      <c r="AY308" s="23">
        <f>VALUE(0)</f>
        <v>0</v>
      </c>
      <c r="AZ308" s="23">
        <f>VALUE(0)</f>
        <v>0</v>
      </c>
      <c r="BA308" s="23">
        <f>VALUE(0)</f>
        <v>0</v>
      </c>
      <c r="BB308" s="23">
        <f>VALUE(0)</f>
        <v>0</v>
      </c>
      <c r="BC308" s="23">
        <f>VALUE(0)</f>
        <v>0</v>
      </c>
      <c r="BD308" s="23">
        <f>VALUE(0)</f>
        <v>0</v>
      </c>
      <c r="BE308" s="23">
        <f>VALUE(0)</f>
        <v>0</v>
      </c>
      <c r="BF308" s="23">
        <f>VALUE(0)</f>
        <v>0</v>
      </c>
      <c r="BG308" s="23">
        <f>VALUE(0)</f>
        <v>0</v>
      </c>
      <c r="BH308" s="23">
        <f>VALUE(0)</f>
        <v>0</v>
      </c>
      <c r="BI308" s="23">
        <f>VALUE(0)</f>
        <v>0</v>
      </c>
      <c r="BJ308" s="23">
        <f>VALUE(0)</f>
        <v>0</v>
      </c>
      <c r="BK308" s="12">
        <f>$AX$308*24</f>
        <v>1.3166666666666667</v>
      </c>
      <c r="BL308" s="12">
        <f>$AY$308*24</f>
        <v>0</v>
      </c>
      <c r="BM308" s="12">
        <f>$BJ$308*24</f>
        <v>0</v>
      </c>
      <c r="BN308" s="12">
        <f>VALUE($I$308)/100</f>
        <v>1</v>
      </c>
      <c r="BO308" s="12">
        <v>0</v>
      </c>
      <c r="BP308" s="12">
        <v>0</v>
      </c>
      <c r="BQ308" s="12">
        <v>0</v>
      </c>
      <c r="BR308" s="12">
        <v>0</v>
      </c>
      <c r="BS308" s="12">
        <v>0</v>
      </c>
      <c r="BT308" s="12">
        <v>0</v>
      </c>
      <c r="BU308" s="12">
        <v>0</v>
      </c>
      <c r="BV308" s="12">
        <v>0</v>
      </c>
      <c r="BW308" s="12">
        <v>0</v>
      </c>
      <c r="BX308" s="12">
        <v>0</v>
      </c>
      <c r="BY308" s="12">
        <v>0</v>
      </c>
      <c r="BZ308" s="12">
        <v>0</v>
      </c>
      <c r="CA308" s="12">
        <v>0</v>
      </c>
    </row>
    <row r="309" spans="1:79" x14ac:dyDescent="0.2">
      <c r="A309" s="12" t="s">
        <v>141</v>
      </c>
      <c r="B309" s="12" t="s">
        <v>145</v>
      </c>
      <c r="C309" s="12" t="s">
        <v>145</v>
      </c>
      <c r="D309" s="22" t="s">
        <v>555</v>
      </c>
      <c r="E309" s="22" t="s">
        <v>161</v>
      </c>
      <c r="F309" s="22" t="s">
        <v>1088</v>
      </c>
      <c r="G309" s="22" t="s">
        <v>1089</v>
      </c>
      <c r="H309" s="22" t="s">
        <v>150</v>
      </c>
      <c r="I309" s="22" t="s">
        <v>343</v>
      </c>
      <c r="J309" s="22" t="s">
        <v>162</v>
      </c>
      <c r="K309" s="22" t="s">
        <v>99</v>
      </c>
      <c r="L309" s="54" t="s">
        <v>153</v>
      </c>
      <c r="M309" s="33" t="s">
        <v>475</v>
      </c>
      <c r="N309" s="24" t="s">
        <v>153</v>
      </c>
      <c r="O309" s="33" t="s">
        <v>475</v>
      </c>
      <c r="P309" s="33" t="s">
        <v>475</v>
      </c>
      <c r="Q309" s="33" t="s">
        <v>475</v>
      </c>
      <c r="R309" s="33" t="s">
        <v>475</v>
      </c>
      <c r="S309" s="33" t="s">
        <v>475</v>
      </c>
      <c r="T309" s="33" t="s">
        <v>475</v>
      </c>
      <c r="U309" s="24" t="s">
        <v>153</v>
      </c>
      <c r="V309" s="54" t="s">
        <v>156</v>
      </c>
      <c r="W309" s="33" t="s">
        <v>475</v>
      </c>
      <c r="X309" s="33" t="s">
        <v>475</v>
      </c>
      <c r="Y309" s="33" t="s">
        <v>475</v>
      </c>
      <c r="Z309" s="33" t="s">
        <v>475</v>
      </c>
      <c r="AA309" s="33" t="s">
        <v>475</v>
      </c>
      <c r="AB309" s="24" t="s">
        <v>153</v>
      </c>
      <c r="AC309" s="33" t="s">
        <v>475</v>
      </c>
      <c r="AD309" s="33" t="s">
        <v>475</v>
      </c>
      <c r="AE309" s="33" t="s">
        <v>475</v>
      </c>
      <c r="AF309" s="33" t="s">
        <v>475</v>
      </c>
      <c r="AG309" s="33" t="s">
        <v>475</v>
      </c>
      <c r="AH309" s="33" t="s">
        <v>475</v>
      </c>
      <c r="AI309" s="24" t="s">
        <v>153</v>
      </c>
      <c r="AJ309" s="33" t="s">
        <v>475</v>
      </c>
      <c r="AK309" s="33" t="s">
        <v>475</v>
      </c>
      <c r="AL309" s="33" t="s">
        <v>475</v>
      </c>
      <c r="AM309" s="33" t="s">
        <v>475</v>
      </c>
      <c r="AN309" s="33" t="s">
        <v>475</v>
      </c>
      <c r="AO309" s="33" t="s">
        <v>475</v>
      </c>
      <c r="AP309" s="23">
        <f>VALUE(0)</f>
        <v>0</v>
      </c>
      <c r="AQ309" s="23">
        <f>VALUE(0)</f>
        <v>0</v>
      </c>
      <c r="AR309" s="23">
        <f>VALUE(0)</f>
        <v>0</v>
      </c>
      <c r="AS309" s="23">
        <f>VALUE(0)</f>
        <v>0</v>
      </c>
      <c r="AT309" s="23">
        <f>VALUE(0)</f>
        <v>0</v>
      </c>
      <c r="AU309" s="23">
        <f>VALUE(0)</f>
        <v>0</v>
      </c>
      <c r="AV309" s="23">
        <f>VALUE(0)</f>
        <v>0</v>
      </c>
      <c r="AW309" s="23">
        <f>VALUE(0)</f>
        <v>0</v>
      </c>
      <c r="AX309" s="23" t="s">
        <v>487</v>
      </c>
      <c r="AY309" s="23" t="s">
        <v>176</v>
      </c>
      <c r="AZ309" s="23">
        <f>VALUE(0)</f>
        <v>0</v>
      </c>
      <c r="BA309" s="23">
        <f>VALUE(0)</f>
        <v>0</v>
      </c>
      <c r="BB309" s="23">
        <f>VALUE(0)</f>
        <v>0</v>
      </c>
      <c r="BC309" s="23">
        <f>VALUE(0)</f>
        <v>0</v>
      </c>
      <c r="BD309" s="23">
        <f>VALUE(0)</f>
        <v>0</v>
      </c>
      <c r="BE309" s="23">
        <f>VALUE(0)</f>
        <v>0</v>
      </c>
      <c r="BF309" s="23">
        <f>VALUE(0)</f>
        <v>0</v>
      </c>
      <c r="BG309" s="23">
        <f>VALUE(0)</f>
        <v>0</v>
      </c>
      <c r="BH309" s="23">
        <f>VALUE(0)</f>
        <v>0</v>
      </c>
      <c r="BI309" s="23">
        <f>VALUE(0)</f>
        <v>0</v>
      </c>
      <c r="BJ309" s="23">
        <f>VALUE(0)</f>
        <v>0</v>
      </c>
      <c r="BK309" s="12">
        <f>$AX$309*24</f>
        <v>4.083333333333333</v>
      </c>
      <c r="BL309" s="12">
        <f>$AY$309*24</f>
        <v>0</v>
      </c>
      <c r="BM309" s="12">
        <f>$BJ$309*24</f>
        <v>0</v>
      </c>
      <c r="BN309" s="12">
        <f>VALUE($I$309)/100</f>
        <v>0.7</v>
      </c>
      <c r="BO309" s="12">
        <v>0</v>
      </c>
      <c r="BP309" s="12">
        <v>0</v>
      </c>
      <c r="BQ309" s="12">
        <v>0</v>
      </c>
      <c r="BR309" s="12">
        <v>0</v>
      </c>
      <c r="BS309" s="12">
        <v>0</v>
      </c>
      <c r="BT309" s="12">
        <v>0</v>
      </c>
      <c r="BU309" s="12">
        <v>0</v>
      </c>
      <c r="BV309" s="12">
        <v>0</v>
      </c>
      <c r="BW309" s="12">
        <v>0</v>
      </c>
      <c r="BX309" s="12">
        <v>0</v>
      </c>
      <c r="BY309" s="12">
        <v>0</v>
      </c>
      <c r="BZ309" s="12">
        <v>0</v>
      </c>
      <c r="CA309" s="12">
        <v>0</v>
      </c>
    </row>
    <row r="310" spans="1:79" x14ac:dyDescent="0.2">
      <c r="A310" s="12" t="s">
        <v>141</v>
      </c>
      <c r="B310" s="12" t="s">
        <v>145</v>
      </c>
      <c r="C310" s="12" t="s">
        <v>145</v>
      </c>
      <c r="D310" s="22" t="s">
        <v>553</v>
      </c>
      <c r="E310" s="22" t="s">
        <v>161</v>
      </c>
      <c r="F310" s="22" t="s">
        <v>1310</v>
      </c>
      <c r="G310" s="22" t="s">
        <v>1090</v>
      </c>
      <c r="H310" s="22" t="s">
        <v>150</v>
      </c>
      <c r="I310" s="22" t="s">
        <v>151</v>
      </c>
      <c r="J310" s="22" t="s">
        <v>162</v>
      </c>
      <c r="K310" s="22" t="s">
        <v>99</v>
      </c>
      <c r="L310" s="54" t="s">
        <v>153</v>
      </c>
      <c r="M310" s="23" t="s">
        <v>153</v>
      </c>
      <c r="N310" s="24" t="s">
        <v>153</v>
      </c>
      <c r="O310" s="23" t="s">
        <v>153</v>
      </c>
      <c r="P310" s="23" t="s">
        <v>153</v>
      </c>
      <c r="Q310" s="24" t="s">
        <v>156</v>
      </c>
      <c r="R310" s="24" t="s">
        <v>156</v>
      </c>
      <c r="S310" s="28" t="s">
        <v>163</v>
      </c>
      <c r="T310" s="28" t="s">
        <v>163</v>
      </c>
      <c r="U310" s="24" t="s">
        <v>153</v>
      </c>
      <c r="V310" s="54" t="s">
        <v>153</v>
      </c>
      <c r="W310" s="23" t="s">
        <v>153</v>
      </c>
      <c r="X310" s="23" t="s">
        <v>153</v>
      </c>
      <c r="Y310" s="23" t="s">
        <v>153</v>
      </c>
      <c r="Z310" s="23" t="s">
        <v>153</v>
      </c>
      <c r="AA310" s="23" t="s">
        <v>153</v>
      </c>
      <c r="AB310" s="24" t="s">
        <v>153</v>
      </c>
      <c r="AC310" s="23" t="s">
        <v>153</v>
      </c>
      <c r="AD310" s="23" t="s">
        <v>153</v>
      </c>
      <c r="AE310" s="23" t="s">
        <v>153</v>
      </c>
      <c r="AF310" s="23" t="s">
        <v>153</v>
      </c>
      <c r="AG310" s="23" t="s">
        <v>153</v>
      </c>
      <c r="AH310" s="23" t="s">
        <v>153</v>
      </c>
      <c r="AI310" s="24" t="s">
        <v>153</v>
      </c>
      <c r="AJ310" s="23" t="s">
        <v>153</v>
      </c>
      <c r="AK310" s="23" t="s">
        <v>153</v>
      </c>
      <c r="AL310" s="23" t="s">
        <v>153</v>
      </c>
      <c r="AM310" s="23" t="s">
        <v>153</v>
      </c>
      <c r="AN310" s="23" t="s">
        <v>153</v>
      </c>
      <c r="AO310" s="23" t="s">
        <v>153</v>
      </c>
      <c r="AP310" s="23">
        <f>VALUE(28)</f>
        <v>28</v>
      </c>
      <c r="AQ310" s="23">
        <f>VALUE(0)</f>
        <v>0</v>
      </c>
      <c r="AR310" s="23">
        <f>VALUE(0)</f>
        <v>0</v>
      </c>
      <c r="AS310" s="23">
        <f>VALUE(0)</f>
        <v>0</v>
      </c>
      <c r="AT310" s="23">
        <f>VALUE(0)</f>
        <v>0</v>
      </c>
      <c r="AU310" s="23">
        <f>VALUE(2)</f>
        <v>2</v>
      </c>
      <c r="AV310" s="23">
        <f>VALUE(2)</f>
        <v>2</v>
      </c>
      <c r="AW310" s="23">
        <f>VALUE(0)</f>
        <v>0</v>
      </c>
      <c r="AX310" s="23" t="s">
        <v>176</v>
      </c>
      <c r="AY310" s="23" t="s">
        <v>561</v>
      </c>
      <c r="AZ310" s="23">
        <f>VALUE(0)</f>
        <v>0</v>
      </c>
      <c r="BA310" s="23">
        <f>VALUE(0)</f>
        <v>0</v>
      </c>
      <c r="BB310" s="23">
        <f>VALUE(0)</f>
        <v>0</v>
      </c>
      <c r="BC310" s="23">
        <f>VALUE(0)</f>
        <v>0</v>
      </c>
      <c r="BD310" s="23">
        <f>VALUE(0)</f>
        <v>0</v>
      </c>
      <c r="BE310" s="23">
        <f>VALUE(0)</f>
        <v>0</v>
      </c>
      <c r="BF310" s="23">
        <f>VALUE(0)</f>
        <v>0</v>
      </c>
      <c r="BG310" s="23">
        <f>VALUE(0)</f>
        <v>0</v>
      </c>
      <c r="BH310" s="23">
        <f>VALUE(0)</f>
        <v>0</v>
      </c>
      <c r="BI310" s="23">
        <f>VALUE(0)</f>
        <v>0</v>
      </c>
      <c r="BJ310" s="23">
        <f>VALUE(0)</f>
        <v>0</v>
      </c>
      <c r="BK310" s="12">
        <f>$AX$310*24</f>
        <v>0</v>
      </c>
      <c r="BL310" s="12">
        <f>$AY$310*24</f>
        <v>7.0666666666666664</v>
      </c>
      <c r="BM310" s="12">
        <f>$BJ$310*24</f>
        <v>0</v>
      </c>
      <c r="BN310" s="12">
        <f>VALUE($I$310)/100</f>
        <v>1</v>
      </c>
      <c r="BO310" s="12">
        <v>0</v>
      </c>
      <c r="BP310" s="12">
        <v>0</v>
      </c>
      <c r="BQ310" s="12">
        <v>0</v>
      </c>
      <c r="BR310" s="12">
        <v>0</v>
      </c>
      <c r="BS310" s="12">
        <v>0</v>
      </c>
      <c r="BT310" s="12">
        <v>0</v>
      </c>
      <c r="BU310" s="12">
        <v>0</v>
      </c>
      <c r="BV310" s="12">
        <v>0</v>
      </c>
      <c r="BW310" s="12">
        <v>0</v>
      </c>
      <c r="BX310" s="12">
        <v>0</v>
      </c>
      <c r="BY310" s="12">
        <v>0</v>
      </c>
      <c r="BZ310" s="12">
        <v>0</v>
      </c>
      <c r="CA310" s="12">
        <v>0</v>
      </c>
    </row>
    <row r="311" spans="1:79" x14ac:dyDescent="0.2">
      <c r="A311" s="12" t="s">
        <v>141</v>
      </c>
      <c r="B311" s="12" t="s">
        <v>145</v>
      </c>
      <c r="C311" s="12" t="s">
        <v>145</v>
      </c>
      <c r="D311" s="22" t="s">
        <v>562</v>
      </c>
      <c r="E311" s="22" t="s">
        <v>161</v>
      </c>
      <c r="F311" s="22" t="s">
        <v>1091</v>
      </c>
      <c r="G311" s="22" t="s">
        <v>1092</v>
      </c>
      <c r="H311" s="22" t="s">
        <v>166</v>
      </c>
      <c r="I311" s="22" t="s">
        <v>194</v>
      </c>
      <c r="J311" s="22" t="s">
        <v>162</v>
      </c>
      <c r="K311" s="22" t="s">
        <v>99</v>
      </c>
      <c r="L311" s="54" t="s">
        <v>153</v>
      </c>
      <c r="M311" s="28" t="s">
        <v>163</v>
      </c>
      <c r="N311" s="24" t="s">
        <v>153</v>
      </c>
      <c r="O311" s="23" t="s">
        <v>153</v>
      </c>
      <c r="P311" s="23" t="s">
        <v>153</v>
      </c>
      <c r="Q311" s="23" t="s">
        <v>153</v>
      </c>
      <c r="R311" s="23" t="s">
        <v>153</v>
      </c>
      <c r="S311" s="23" t="s">
        <v>153</v>
      </c>
      <c r="T311" s="23" t="s">
        <v>153</v>
      </c>
      <c r="U311" s="24" t="s">
        <v>153</v>
      </c>
      <c r="V311" s="54" t="s">
        <v>153</v>
      </c>
      <c r="W311" s="24" t="s">
        <v>195</v>
      </c>
      <c r="X311" s="24" t="s">
        <v>195</v>
      </c>
      <c r="Y311" s="24" t="s">
        <v>195</v>
      </c>
      <c r="Z311" s="24" t="s">
        <v>195</v>
      </c>
      <c r="AA311" s="24" t="s">
        <v>195</v>
      </c>
      <c r="AB311" s="24" t="s">
        <v>153</v>
      </c>
      <c r="AC311" s="23" t="s">
        <v>153</v>
      </c>
      <c r="AD311" s="23" t="s">
        <v>153</v>
      </c>
      <c r="AE311" s="23" t="s">
        <v>153</v>
      </c>
      <c r="AF311" s="23" t="s">
        <v>153</v>
      </c>
      <c r="AG311" s="23" t="s">
        <v>153</v>
      </c>
      <c r="AH311" s="23" t="s">
        <v>153</v>
      </c>
      <c r="AI311" s="24" t="s">
        <v>153</v>
      </c>
      <c r="AJ311" s="23" t="s">
        <v>153</v>
      </c>
      <c r="AK311" s="23" t="s">
        <v>153</v>
      </c>
      <c r="AL311" s="23" t="s">
        <v>153</v>
      </c>
      <c r="AM311" s="23" t="s">
        <v>153</v>
      </c>
      <c r="AN311" s="23" t="s">
        <v>153</v>
      </c>
      <c r="AO311" s="23" t="s">
        <v>153</v>
      </c>
      <c r="AP311" s="23">
        <f>VALUE(24)</f>
        <v>24</v>
      </c>
      <c r="AQ311" s="23">
        <f>VALUE(0)</f>
        <v>0</v>
      </c>
      <c r="AR311" s="23">
        <f>VALUE(0)</f>
        <v>0</v>
      </c>
      <c r="AS311" s="23">
        <f>VALUE(0)</f>
        <v>0</v>
      </c>
      <c r="AT311" s="23">
        <f>VALUE(0)</f>
        <v>0</v>
      </c>
      <c r="AU311" s="23">
        <f>VALUE(1)</f>
        <v>1</v>
      </c>
      <c r="AV311" s="23">
        <f>VALUE(19)</f>
        <v>19</v>
      </c>
      <c r="AW311" s="23">
        <f>VALUE(0)</f>
        <v>0</v>
      </c>
      <c r="AX311" s="23" t="s">
        <v>1311</v>
      </c>
      <c r="AY311" s="23">
        <f>VALUE(0)</f>
        <v>0</v>
      </c>
      <c r="AZ311" s="23">
        <f>VALUE(0)</f>
        <v>0</v>
      </c>
      <c r="BA311" s="23">
        <f>VALUE(0)</f>
        <v>0</v>
      </c>
      <c r="BB311" s="23">
        <f>VALUE(0)</f>
        <v>0</v>
      </c>
      <c r="BC311" s="23">
        <f>VALUE(0)</f>
        <v>0</v>
      </c>
      <c r="BD311" s="23">
        <f>VALUE(0)</f>
        <v>0</v>
      </c>
      <c r="BE311" s="23">
        <f>VALUE(0)</f>
        <v>0</v>
      </c>
      <c r="BF311" s="23">
        <f>VALUE(0)</f>
        <v>0</v>
      </c>
      <c r="BG311" s="23">
        <f>VALUE(0)</f>
        <v>0</v>
      </c>
      <c r="BH311" s="23">
        <f>VALUE(0)</f>
        <v>0</v>
      </c>
      <c r="BI311" s="23">
        <f>VALUE(0)</f>
        <v>0</v>
      </c>
      <c r="BJ311" s="23">
        <f>VALUE(0)</f>
        <v>0</v>
      </c>
      <c r="BK311" s="12">
        <f>$AX$311*24</f>
        <v>10.9</v>
      </c>
      <c r="BL311" s="12">
        <f>$AY$311*24</f>
        <v>0</v>
      </c>
      <c r="BM311" s="12">
        <f>$BJ$311*24</f>
        <v>0</v>
      </c>
      <c r="BN311" s="12">
        <f>VALUE($I$311)/100</f>
        <v>0.8</v>
      </c>
      <c r="BO311" s="12">
        <v>0</v>
      </c>
      <c r="BP311" s="12">
        <v>0</v>
      </c>
      <c r="BQ311" s="12">
        <v>0</v>
      </c>
      <c r="BR311" s="12">
        <v>0</v>
      </c>
      <c r="BS311" s="12">
        <v>0</v>
      </c>
      <c r="BT311" s="12">
        <v>0</v>
      </c>
      <c r="BU311" s="12">
        <v>0</v>
      </c>
      <c r="BV311" s="12">
        <v>0</v>
      </c>
      <c r="BW311" s="12">
        <v>0</v>
      </c>
      <c r="BX311" s="12">
        <v>0</v>
      </c>
      <c r="BY311" s="12">
        <v>0</v>
      </c>
      <c r="BZ311" s="12">
        <v>0</v>
      </c>
      <c r="CA311" s="12">
        <v>0</v>
      </c>
    </row>
    <row r="312" spans="1:79" x14ac:dyDescent="0.2">
      <c r="A312" s="12" t="s">
        <v>141</v>
      </c>
      <c r="B312" s="12" t="s">
        <v>145</v>
      </c>
      <c r="C312" s="12" t="s">
        <v>145</v>
      </c>
      <c r="D312" s="22" t="s">
        <v>558</v>
      </c>
      <c r="E312" s="22" t="s">
        <v>161</v>
      </c>
      <c r="F312" s="22" t="s">
        <v>1093</v>
      </c>
      <c r="G312" s="22" t="s">
        <v>1094</v>
      </c>
      <c r="H312" s="22" t="s">
        <v>150</v>
      </c>
      <c r="I312" s="22" t="s">
        <v>563</v>
      </c>
      <c r="J312" s="22" t="s">
        <v>162</v>
      </c>
      <c r="K312" s="22" t="s">
        <v>99</v>
      </c>
      <c r="L312" s="54" t="s">
        <v>153</v>
      </c>
      <c r="M312" s="23" t="s">
        <v>153</v>
      </c>
      <c r="N312" s="24" t="s">
        <v>153</v>
      </c>
      <c r="O312" s="24" t="s">
        <v>156</v>
      </c>
      <c r="P312" s="24" t="s">
        <v>156</v>
      </c>
      <c r="Q312" s="23" t="s">
        <v>153</v>
      </c>
      <c r="R312" s="23" t="s">
        <v>153</v>
      </c>
      <c r="S312" s="23" t="s">
        <v>153</v>
      </c>
      <c r="T312" s="23" t="s">
        <v>153</v>
      </c>
      <c r="U312" s="24" t="s">
        <v>153</v>
      </c>
      <c r="V312" s="54" t="s">
        <v>153</v>
      </c>
      <c r="W312" s="23" t="s">
        <v>153</v>
      </c>
      <c r="X312" s="23" t="s">
        <v>153</v>
      </c>
      <c r="Y312" s="23" t="s">
        <v>153</v>
      </c>
      <c r="Z312" s="23" t="s">
        <v>153</v>
      </c>
      <c r="AA312" s="23" t="s">
        <v>153</v>
      </c>
      <c r="AB312" s="24" t="s">
        <v>153</v>
      </c>
      <c r="AC312" s="23" t="s">
        <v>153</v>
      </c>
      <c r="AD312" s="23" t="s">
        <v>153</v>
      </c>
      <c r="AE312" s="23" t="s">
        <v>153</v>
      </c>
      <c r="AF312" s="23" t="s">
        <v>153</v>
      </c>
      <c r="AG312" s="23" t="s">
        <v>153</v>
      </c>
      <c r="AH312" s="23" t="s">
        <v>153</v>
      </c>
      <c r="AI312" s="24" t="s">
        <v>153</v>
      </c>
      <c r="AJ312" s="24" t="s">
        <v>195</v>
      </c>
      <c r="AK312" s="24" t="s">
        <v>195</v>
      </c>
      <c r="AL312" s="24" t="s">
        <v>195</v>
      </c>
      <c r="AM312" s="24" t="s">
        <v>195</v>
      </c>
      <c r="AN312" s="24" t="s">
        <v>195</v>
      </c>
      <c r="AO312" s="24" t="s">
        <v>195</v>
      </c>
      <c r="AP312" s="23">
        <f>VALUE(28)</f>
        <v>28</v>
      </c>
      <c r="AQ312" s="23">
        <f>VALUE(0)</f>
        <v>0</v>
      </c>
      <c r="AR312" s="23">
        <f>VALUE(0)</f>
        <v>0</v>
      </c>
      <c r="AS312" s="23">
        <f>VALUE(0)</f>
        <v>0</v>
      </c>
      <c r="AT312" s="23">
        <f>VALUE(0)</f>
        <v>0</v>
      </c>
      <c r="AU312" s="23">
        <f>VALUE(0)</f>
        <v>0</v>
      </c>
      <c r="AV312" s="23">
        <f>VALUE(0)</f>
        <v>0</v>
      </c>
      <c r="AW312" s="23">
        <f>VALUE(0)</f>
        <v>0</v>
      </c>
      <c r="AX312" s="23" t="s">
        <v>564</v>
      </c>
      <c r="AY312" s="23">
        <f>VALUE(0)</f>
        <v>0</v>
      </c>
      <c r="AZ312" s="23">
        <f>VALUE(0)</f>
        <v>0</v>
      </c>
      <c r="BA312" s="23">
        <f>VALUE(0)</f>
        <v>0</v>
      </c>
      <c r="BB312" s="23">
        <f>VALUE(0)</f>
        <v>0</v>
      </c>
      <c r="BC312" s="23">
        <f>VALUE(0)</f>
        <v>0</v>
      </c>
      <c r="BD312" s="23">
        <f>VALUE(0)</f>
        <v>0</v>
      </c>
      <c r="BE312" s="23">
        <f>VALUE(0)</f>
        <v>0</v>
      </c>
      <c r="BF312" s="23">
        <f>VALUE(0)</f>
        <v>0</v>
      </c>
      <c r="BG312" s="23">
        <f>VALUE(0)</f>
        <v>0</v>
      </c>
      <c r="BH312" s="23">
        <f>VALUE(0)</f>
        <v>0</v>
      </c>
      <c r="BI312" s="23">
        <f>VALUE(0)</f>
        <v>0</v>
      </c>
      <c r="BJ312" s="23">
        <f>VALUE(0)</f>
        <v>0</v>
      </c>
      <c r="BK312" s="12">
        <f>$AX$312*24</f>
        <v>5.8</v>
      </c>
      <c r="BL312" s="12">
        <f>$AY$312*24</f>
        <v>0</v>
      </c>
      <c r="BM312" s="12">
        <f>$BJ$312*24</f>
        <v>0</v>
      </c>
      <c r="BN312" s="12">
        <f>VALUE($I$312)/100</f>
        <v>0.77</v>
      </c>
      <c r="BO312" s="12">
        <v>0</v>
      </c>
      <c r="BP312" s="12">
        <v>0</v>
      </c>
      <c r="BQ312" s="12">
        <v>0</v>
      </c>
      <c r="BR312" s="12">
        <v>0</v>
      </c>
      <c r="BS312" s="12">
        <v>0</v>
      </c>
      <c r="BT312" s="12">
        <v>0</v>
      </c>
      <c r="BU312" s="12">
        <v>0</v>
      </c>
      <c r="BV312" s="12">
        <v>0</v>
      </c>
      <c r="BW312" s="12">
        <v>0</v>
      </c>
      <c r="BX312" s="12">
        <v>0</v>
      </c>
      <c r="BY312" s="12">
        <v>0</v>
      </c>
      <c r="BZ312" s="12">
        <v>0</v>
      </c>
      <c r="CA312" s="12">
        <v>0</v>
      </c>
    </row>
    <row r="313" spans="1:79" x14ac:dyDescent="0.2">
      <c r="A313" s="12" t="s">
        <v>141</v>
      </c>
      <c r="B313" s="12" t="s">
        <v>145</v>
      </c>
      <c r="C313" s="12" t="s">
        <v>145</v>
      </c>
      <c r="D313" s="22" t="s">
        <v>558</v>
      </c>
      <c r="E313" s="22" t="s">
        <v>161</v>
      </c>
      <c r="F313" s="22" t="s">
        <v>1095</v>
      </c>
      <c r="G313" s="22" t="s">
        <v>1096</v>
      </c>
      <c r="H313" s="22" t="s">
        <v>150</v>
      </c>
      <c r="I313" s="22" t="s">
        <v>151</v>
      </c>
      <c r="J313" s="22" t="s">
        <v>162</v>
      </c>
      <c r="K313" s="22" t="s">
        <v>99</v>
      </c>
      <c r="L313" s="54" t="s">
        <v>153</v>
      </c>
      <c r="M313" s="23" t="s">
        <v>554</v>
      </c>
      <c r="N313" s="24" t="s">
        <v>153</v>
      </c>
      <c r="O313" s="23" t="s">
        <v>554</v>
      </c>
      <c r="P313" s="23" t="s">
        <v>554</v>
      </c>
      <c r="Q313" s="23" t="s">
        <v>554</v>
      </c>
      <c r="R313" s="23" t="s">
        <v>554</v>
      </c>
      <c r="S313" s="23" t="s">
        <v>554</v>
      </c>
      <c r="T313" s="23" t="s">
        <v>554</v>
      </c>
      <c r="U313" s="24" t="s">
        <v>153</v>
      </c>
      <c r="V313" s="54" t="s">
        <v>153</v>
      </c>
      <c r="W313" s="23" t="s">
        <v>554</v>
      </c>
      <c r="X313" s="23" t="s">
        <v>554</v>
      </c>
      <c r="Y313" s="23" t="s">
        <v>554</v>
      </c>
      <c r="Z313" s="23" t="s">
        <v>554</v>
      </c>
      <c r="AA313" s="23" t="s">
        <v>554</v>
      </c>
      <c r="AB313" s="24" t="s">
        <v>153</v>
      </c>
      <c r="AC313" s="23" t="s">
        <v>554</v>
      </c>
      <c r="AD313" s="23" t="s">
        <v>554</v>
      </c>
      <c r="AE313" s="23" t="s">
        <v>554</v>
      </c>
      <c r="AF313" s="23" t="s">
        <v>554</v>
      </c>
      <c r="AG313" s="23" t="s">
        <v>554</v>
      </c>
      <c r="AH313" s="23" t="s">
        <v>554</v>
      </c>
      <c r="AI313" s="24" t="s">
        <v>153</v>
      </c>
      <c r="AJ313" s="24" t="s">
        <v>156</v>
      </c>
      <c r="AK313" s="24" t="s">
        <v>156</v>
      </c>
      <c r="AL313" s="23" t="s">
        <v>554</v>
      </c>
      <c r="AM313" s="23" t="s">
        <v>554</v>
      </c>
      <c r="AN313" s="28" t="s">
        <v>163</v>
      </c>
      <c r="AO313" s="28" t="s">
        <v>163</v>
      </c>
      <c r="AP313" s="23">
        <f>VALUE(25)</f>
        <v>25</v>
      </c>
      <c r="AQ313" s="23">
        <f>VALUE(0)</f>
        <v>0</v>
      </c>
      <c r="AR313" s="23">
        <f>VALUE(0)</f>
        <v>0</v>
      </c>
      <c r="AS313" s="23">
        <f>VALUE(0)</f>
        <v>0</v>
      </c>
      <c r="AT313" s="23">
        <f>VALUE(0)</f>
        <v>0</v>
      </c>
      <c r="AU313" s="23">
        <f>VALUE(2)</f>
        <v>2</v>
      </c>
      <c r="AV313" s="23">
        <f>VALUE(3)</f>
        <v>3</v>
      </c>
      <c r="AW313" s="23">
        <f>VALUE(0)</f>
        <v>0</v>
      </c>
      <c r="AX313" s="23" t="s">
        <v>176</v>
      </c>
      <c r="AY313" s="23" t="s">
        <v>565</v>
      </c>
      <c r="AZ313" s="23">
        <f>VALUE(0)</f>
        <v>0</v>
      </c>
      <c r="BA313" s="23">
        <f>VALUE(0)</f>
        <v>0</v>
      </c>
      <c r="BB313" s="23">
        <f>VALUE(0)</f>
        <v>0</v>
      </c>
      <c r="BC313" s="23">
        <f>VALUE(0)</f>
        <v>0</v>
      </c>
      <c r="BD313" s="23">
        <f>VALUE(0)</f>
        <v>0</v>
      </c>
      <c r="BE313" s="23">
        <f>VALUE(0)</f>
        <v>0</v>
      </c>
      <c r="BF313" s="23">
        <f>VALUE(0)</f>
        <v>0</v>
      </c>
      <c r="BG313" s="23">
        <f>VALUE(0)</f>
        <v>0</v>
      </c>
      <c r="BH313" s="23">
        <f>VALUE(0)</f>
        <v>0</v>
      </c>
      <c r="BI313" s="23">
        <f>VALUE(0)</f>
        <v>0</v>
      </c>
      <c r="BJ313" s="23">
        <f>VALUE(0)</f>
        <v>0</v>
      </c>
      <c r="BK313" s="12">
        <f>$AX$313*24</f>
        <v>0</v>
      </c>
      <c r="BL313" s="12">
        <f>$AY$313*24</f>
        <v>24.6</v>
      </c>
      <c r="BM313" s="12">
        <f>$BJ$313*24</f>
        <v>0</v>
      </c>
      <c r="BN313" s="12">
        <f>VALUE($I$313)/100</f>
        <v>1</v>
      </c>
      <c r="BO313" s="12">
        <v>0</v>
      </c>
      <c r="BP313" s="12">
        <v>0</v>
      </c>
      <c r="BQ313" s="12">
        <v>0</v>
      </c>
      <c r="BR313" s="12">
        <v>0</v>
      </c>
      <c r="BS313" s="12">
        <v>0</v>
      </c>
      <c r="BT313" s="12">
        <v>0</v>
      </c>
      <c r="BU313" s="12">
        <v>0</v>
      </c>
      <c r="BV313" s="12">
        <v>0</v>
      </c>
      <c r="BW313" s="12">
        <v>0</v>
      </c>
      <c r="BX313" s="12">
        <v>0</v>
      </c>
      <c r="BY313" s="12">
        <v>0</v>
      </c>
      <c r="BZ313" s="12">
        <v>0</v>
      </c>
      <c r="CA313" s="12">
        <v>0</v>
      </c>
    </row>
    <row r="314" spans="1:79" x14ac:dyDescent="0.2">
      <c r="A314" s="12" t="s">
        <v>141</v>
      </c>
      <c r="B314" s="12" t="s">
        <v>145</v>
      </c>
      <c r="C314" s="12" t="s">
        <v>145</v>
      </c>
      <c r="D314" s="22" t="s">
        <v>552</v>
      </c>
      <c r="E314" s="22" t="s">
        <v>161</v>
      </c>
      <c r="F314" s="22" t="s">
        <v>1097</v>
      </c>
      <c r="G314" s="22" t="s">
        <v>1098</v>
      </c>
      <c r="H314" s="22" t="s">
        <v>150</v>
      </c>
      <c r="I314" s="22" t="s">
        <v>566</v>
      </c>
      <c r="J314" s="22" t="s">
        <v>162</v>
      </c>
      <c r="K314" s="22" t="s">
        <v>99</v>
      </c>
      <c r="L314" s="54" t="s">
        <v>153</v>
      </c>
      <c r="M314" s="23" t="s">
        <v>153</v>
      </c>
      <c r="N314" s="24" t="s">
        <v>153</v>
      </c>
      <c r="O314" s="23" t="s">
        <v>153</v>
      </c>
      <c r="P314" s="23" t="s">
        <v>153</v>
      </c>
      <c r="Q314" s="23" t="s">
        <v>153</v>
      </c>
      <c r="R314" s="23" t="s">
        <v>153</v>
      </c>
      <c r="S314" s="23" t="s">
        <v>153</v>
      </c>
      <c r="T314" s="23" t="s">
        <v>153</v>
      </c>
      <c r="U314" s="24" t="s">
        <v>153</v>
      </c>
      <c r="V314" s="54" t="s">
        <v>153</v>
      </c>
      <c r="W314" s="23" t="s">
        <v>153</v>
      </c>
      <c r="X314" s="23" t="s">
        <v>153</v>
      </c>
      <c r="Y314" s="23" t="s">
        <v>153</v>
      </c>
      <c r="Z314" s="24" t="s">
        <v>156</v>
      </c>
      <c r="AA314" s="24" t="s">
        <v>156</v>
      </c>
      <c r="AB314" s="24" t="s">
        <v>153</v>
      </c>
      <c r="AC314" s="24" t="s">
        <v>195</v>
      </c>
      <c r="AD314" s="24" t="s">
        <v>195</v>
      </c>
      <c r="AE314" s="24" t="s">
        <v>195</v>
      </c>
      <c r="AF314" s="24" t="s">
        <v>195</v>
      </c>
      <c r="AG314" s="24" t="s">
        <v>195</v>
      </c>
      <c r="AH314" s="24" t="s">
        <v>195</v>
      </c>
      <c r="AI314" s="24" t="s">
        <v>153</v>
      </c>
      <c r="AJ314" s="23" t="s">
        <v>153</v>
      </c>
      <c r="AK314" s="23" t="s">
        <v>153</v>
      </c>
      <c r="AL314" s="23" t="s">
        <v>153</v>
      </c>
      <c r="AM314" s="23" t="s">
        <v>153</v>
      </c>
      <c r="AN314" s="23" t="s">
        <v>153</v>
      </c>
      <c r="AO314" s="23" t="s">
        <v>153</v>
      </c>
      <c r="AP314" s="23">
        <f>VALUE(22)</f>
        <v>22</v>
      </c>
      <c r="AQ314" s="23">
        <f>VALUE(0)</f>
        <v>0</v>
      </c>
      <c r="AR314" s="23">
        <f>VALUE(0)</f>
        <v>0</v>
      </c>
      <c r="AS314" s="23">
        <f>VALUE(0)</f>
        <v>0</v>
      </c>
      <c r="AT314" s="23">
        <f>VALUE(0)</f>
        <v>0</v>
      </c>
      <c r="AU314" s="23">
        <f>VALUE(0)</f>
        <v>0</v>
      </c>
      <c r="AV314" s="23">
        <f>VALUE(6)</f>
        <v>6</v>
      </c>
      <c r="AW314" s="23">
        <f>VALUE(2)</f>
        <v>2</v>
      </c>
      <c r="AX314" s="23" t="s">
        <v>567</v>
      </c>
      <c r="AY314" s="23" t="s">
        <v>485</v>
      </c>
      <c r="AZ314" s="23">
        <f>VALUE(0)</f>
        <v>0</v>
      </c>
      <c r="BA314" s="23">
        <f>VALUE(0)</f>
        <v>0</v>
      </c>
      <c r="BB314" s="23">
        <f>VALUE(0)</f>
        <v>0</v>
      </c>
      <c r="BC314" s="23">
        <f>VALUE(0)</f>
        <v>0</v>
      </c>
      <c r="BD314" s="23">
        <f>VALUE(0)</f>
        <v>0</v>
      </c>
      <c r="BE314" s="23">
        <f>VALUE(0)</f>
        <v>0</v>
      </c>
      <c r="BF314" s="23">
        <f>VALUE(0)</f>
        <v>0</v>
      </c>
      <c r="BG314" s="23">
        <f>VALUE(0)</f>
        <v>0</v>
      </c>
      <c r="BH314" s="23">
        <f>VALUE(0)</f>
        <v>0</v>
      </c>
      <c r="BI314" s="23">
        <f>VALUE(0)</f>
        <v>0</v>
      </c>
      <c r="BJ314" s="23">
        <f>VALUE(0)</f>
        <v>0</v>
      </c>
      <c r="BK314" s="12">
        <f>$AX$314*24</f>
        <v>2.5833333333333335</v>
      </c>
      <c r="BL314" s="12">
        <f>$AY$314*24</f>
        <v>3.8333333333333339</v>
      </c>
      <c r="BM314" s="12">
        <f>$BJ$314*24</f>
        <v>0</v>
      </c>
      <c r="BN314" s="12">
        <f>VALUE($I$314)/100</f>
        <v>0.76</v>
      </c>
      <c r="BO314" s="12">
        <v>0</v>
      </c>
      <c r="BP314" s="12">
        <v>0</v>
      </c>
      <c r="BQ314" s="12">
        <v>0</v>
      </c>
      <c r="BR314" s="12">
        <v>0</v>
      </c>
      <c r="BS314" s="12">
        <v>0</v>
      </c>
      <c r="BT314" s="12">
        <v>0</v>
      </c>
      <c r="BU314" s="12">
        <v>0</v>
      </c>
      <c r="BV314" s="12">
        <v>0</v>
      </c>
      <c r="BW314" s="12">
        <v>0</v>
      </c>
      <c r="BX314" s="12">
        <v>0</v>
      </c>
      <c r="BY314" s="12">
        <v>0</v>
      </c>
      <c r="BZ314" s="12">
        <v>0</v>
      </c>
      <c r="CA314" s="12">
        <v>0</v>
      </c>
    </row>
    <row r="315" spans="1:79" x14ac:dyDescent="0.2">
      <c r="A315" s="12" t="s">
        <v>141</v>
      </c>
      <c r="B315" s="12" t="s">
        <v>145</v>
      </c>
      <c r="C315" s="12" t="s">
        <v>145</v>
      </c>
      <c r="D315" s="22" t="s">
        <v>568</v>
      </c>
      <c r="E315" s="22" t="s">
        <v>161</v>
      </c>
      <c r="F315" s="22" t="s">
        <v>1099</v>
      </c>
      <c r="G315" s="22" t="s">
        <v>1100</v>
      </c>
      <c r="H315" s="22" t="s">
        <v>166</v>
      </c>
      <c r="I315" s="22" t="s">
        <v>151</v>
      </c>
      <c r="J315" s="22" t="s">
        <v>162</v>
      </c>
      <c r="K315" s="22" t="s">
        <v>99</v>
      </c>
      <c r="L315" s="54" t="s">
        <v>153</v>
      </c>
      <c r="M315" s="23" t="s">
        <v>153</v>
      </c>
      <c r="N315" s="24" t="s">
        <v>153</v>
      </c>
      <c r="O315" s="23" t="s">
        <v>153</v>
      </c>
      <c r="P315" s="23" t="s">
        <v>153</v>
      </c>
      <c r="Q315" s="23" t="s">
        <v>153</v>
      </c>
      <c r="R315" s="23" t="s">
        <v>153</v>
      </c>
      <c r="S315" s="24" t="s">
        <v>156</v>
      </c>
      <c r="T315" s="24" t="s">
        <v>156</v>
      </c>
      <c r="U315" s="24" t="s">
        <v>153</v>
      </c>
      <c r="V315" s="54" t="s">
        <v>153</v>
      </c>
      <c r="W315" s="23" t="s">
        <v>153</v>
      </c>
      <c r="X315" s="23" t="s">
        <v>153</v>
      </c>
      <c r="Y315" s="23" t="s">
        <v>153</v>
      </c>
      <c r="Z315" s="23" t="s">
        <v>153</v>
      </c>
      <c r="AA315" s="23" t="s">
        <v>153</v>
      </c>
      <c r="AB315" s="24" t="s">
        <v>153</v>
      </c>
      <c r="AC315" s="28" t="s">
        <v>163</v>
      </c>
      <c r="AD315" s="28" t="s">
        <v>163</v>
      </c>
      <c r="AE315" s="28" t="s">
        <v>163</v>
      </c>
      <c r="AF315" s="28" t="s">
        <v>163</v>
      </c>
      <c r="AG315" s="28" t="s">
        <v>163</v>
      </c>
      <c r="AH315" s="28" t="s">
        <v>163</v>
      </c>
      <c r="AI315" s="24" t="s">
        <v>153</v>
      </c>
      <c r="AJ315" s="28" t="s">
        <v>163</v>
      </c>
      <c r="AK315" s="28" t="s">
        <v>163</v>
      </c>
      <c r="AL315" s="28" t="s">
        <v>163</v>
      </c>
      <c r="AM315" s="28" t="s">
        <v>163</v>
      </c>
      <c r="AN315" s="28" t="s">
        <v>163</v>
      </c>
      <c r="AO315" s="28" t="s">
        <v>163</v>
      </c>
      <c r="AP315" s="23">
        <f>VALUE(0)</f>
        <v>0</v>
      </c>
      <c r="AQ315" s="23">
        <f>VALUE(0)</f>
        <v>0</v>
      </c>
      <c r="AR315" s="23">
        <f>VALUE(0)</f>
        <v>0</v>
      </c>
      <c r="AS315" s="23">
        <f>VALUE(0)</f>
        <v>0</v>
      </c>
      <c r="AT315" s="23">
        <f>VALUE(0)</f>
        <v>0</v>
      </c>
      <c r="AU315" s="23">
        <f>VALUE(12)</f>
        <v>12</v>
      </c>
      <c r="AV315" s="23">
        <f>VALUE(9)</f>
        <v>9</v>
      </c>
      <c r="AW315" s="23">
        <f>VALUE(0)</f>
        <v>0</v>
      </c>
      <c r="AX315" s="23" t="s">
        <v>569</v>
      </c>
      <c r="AY315" s="23">
        <f>VALUE(0)</f>
        <v>0</v>
      </c>
      <c r="AZ315" s="23">
        <f>VALUE(0)</f>
        <v>0</v>
      </c>
      <c r="BA315" s="23">
        <f>VALUE(0)</f>
        <v>0</v>
      </c>
      <c r="BB315" s="23">
        <f>VALUE(0)</f>
        <v>0</v>
      </c>
      <c r="BC315" s="23">
        <f>VALUE(0)</f>
        <v>0</v>
      </c>
      <c r="BD315" s="23">
        <f>VALUE(0)</f>
        <v>0</v>
      </c>
      <c r="BE315" s="23">
        <f>VALUE(0)</f>
        <v>0</v>
      </c>
      <c r="BF315" s="23">
        <f>VALUE(0)</f>
        <v>0</v>
      </c>
      <c r="BG315" s="23">
        <f>VALUE(0)</f>
        <v>0</v>
      </c>
      <c r="BH315" s="23">
        <f>VALUE(0)</f>
        <v>0</v>
      </c>
      <c r="BI315" s="23">
        <f>VALUE(0)</f>
        <v>0</v>
      </c>
      <c r="BJ315" s="23">
        <f>VALUE(0)</f>
        <v>0</v>
      </c>
      <c r="BK315" s="12">
        <f>$AX$315*24</f>
        <v>7.2833333333333332</v>
      </c>
      <c r="BL315" s="12">
        <f>$AY$315*24</f>
        <v>0</v>
      </c>
      <c r="BM315" s="12">
        <f>$BJ$315*24</f>
        <v>0</v>
      </c>
      <c r="BN315" s="12">
        <f>VALUE($I$315)/100</f>
        <v>1</v>
      </c>
      <c r="BO315" s="12">
        <v>0</v>
      </c>
      <c r="BP315" s="12">
        <v>0</v>
      </c>
      <c r="BQ315" s="12">
        <v>0</v>
      </c>
      <c r="BR315" s="12">
        <v>0</v>
      </c>
      <c r="BS315" s="12">
        <v>0</v>
      </c>
      <c r="BT315" s="12">
        <v>0</v>
      </c>
      <c r="BU315" s="12">
        <v>0</v>
      </c>
      <c r="BV315" s="12">
        <v>0</v>
      </c>
      <c r="BW315" s="12">
        <v>0</v>
      </c>
      <c r="BX315" s="12">
        <v>0</v>
      </c>
      <c r="BY315" s="12">
        <v>0</v>
      </c>
      <c r="BZ315" s="12">
        <v>0</v>
      </c>
      <c r="CA315" s="12">
        <v>0</v>
      </c>
    </row>
    <row r="316" spans="1:79" x14ac:dyDescent="0.2">
      <c r="A316" s="12" t="s">
        <v>141</v>
      </c>
      <c r="B316" s="12" t="s">
        <v>145</v>
      </c>
      <c r="C316" s="12" t="s">
        <v>145</v>
      </c>
      <c r="D316" s="22" t="s">
        <v>1267</v>
      </c>
      <c r="E316" s="22" t="s">
        <v>173</v>
      </c>
      <c r="F316" s="22" t="s">
        <v>1101</v>
      </c>
      <c r="G316" s="22" t="s">
        <v>1102</v>
      </c>
      <c r="H316" s="22" t="s">
        <v>150</v>
      </c>
      <c r="I316" s="22" t="s">
        <v>151</v>
      </c>
      <c r="J316" s="22" t="s">
        <v>162</v>
      </c>
      <c r="K316" s="22" t="s">
        <v>99</v>
      </c>
      <c r="L316" s="54" t="s">
        <v>153</v>
      </c>
      <c r="M316" s="27" t="s">
        <v>153</v>
      </c>
      <c r="N316" s="27" t="s">
        <v>153</v>
      </c>
      <c r="O316" s="27" t="s">
        <v>153</v>
      </c>
      <c r="P316" s="27" t="s">
        <v>153</v>
      </c>
      <c r="Q316" s="27" t="s">
        <v>153</v>
      </c>
      <c r="R316" s="27" t="s">
        <v>153</v>
      </c>
      <c r="S316" s="27" t="s">
        <v>153</v>
      </c>
      <c r="T316" s="27" t="s">
        <v>153</v>
      </c>
      <c r="U316" s="27" t="s">
        <v>153</v>
      </c>
      <c r="V316" s="54" t="s">
        <v>153</v>
      </c>
      <c r="W316" s="27" t="s">
        <v>153</v>
      </c>
      <c r="X316" s="27" t="s">
        <v>153</v>
      </c>
      <c r="Y316" s="27" t="s">
        <v>153</v>
      </c>
      <c r="Z316" s="27" t="s">
        <v>153</v>
      </c>
      <c r="AA316" s="27" t="s">
        <v>153</v>
      </c>
      <c r="AB316" s="27" t="s">
        <v>153</v>
      </c>
      <c r="AC316" s="27" t="s">
        <v>153</v>
      </c>
      <c r="AD316" s="27" t="s">
        <v>153</v>
      </c>
      <c r="AE316" s="27" t="s">
        <v>153</v>
      </c>
      <c r="AF316" s="27" t="s">
        <v>153</v>
      </c>
      <c r="AG316" s="27" t="s">
        <v>153</v>
      </c>
      <c r="AH316" s="27" t="s">
        <v>153</v>
      </c>
      <c r="AI316" s="27" t="s">
        <v>153</v>
      </c>
      <c r="AJ316" s="27" t="s">
        <v>153</v>
      </c>
      <c r="AK316" s="27" t="s">
        <v>153</v>
      </c>
      <c r="AL316" s="27" t="s">
        <v>153</v>
      </c>
      <c r="AM316" s="27" t="s">
        <v>153</v>
      </c>
      <c r="AN316" s="27" t="s">
        <v>153</v>
      </c>
      <c r="AO316" s="27" t="s">
        <v>153</v>
      </c>
      <c r="AP316" s="23">
        <f>VALUE(0)</f>
        <v>0</v>
      </c>
      <c r="AQ316" s="23">
        <f>VALUE(0)</f>
        <v>0</v>
      </c>
      <c r="AR316" s="23">
        <f>VALUE(0)</f>
        <v>0</v>
      </c>
      <c r="AS316" s="23">
        <f>VALUE(0)</f>
        <v>0</v>
      </c>
      <c r="AT316" s="23">
        <f>VALUE(0)</f>
        <v>0</v>
      </c>
      <c r="AU316" s="23">
        <f>VALUE(0)</f>
        <v>0</v>
      </c>
      <c r="AV316" s="23">
        <f>VALUE(0)</f>
        <v>0</v>
      </c>
      <c r="AW316" s="23">
        <f>VALUE(0)</f>
        <v>0</v>
      </c>
      <c r="AX316" s="23">
        <f>VALUE(0)</f>
        <v>0</v>
      </c>
      <c r="AY316" s="23">
        <f>VALUE(0)</f>
        <v>0</v>
      </c>
      <c r="AZ316" s="23">
        <f>VALUE(0)</f>
        <v>0</v>
      </c>
      <c r="BA316" s="23">
        <f>VALUE(0)</f>
        <v>0</v>
      </c>
      <c r="BB316" s="23">
        <f>VALUE(0)</f>
        <v>0</v>
      </c>
      <c r="BC316" s="23">
        <f>VALUE(0)</f>
        <v>0</v>
      </c>
      <c r="BD316" s="23">
        <f>VALUE(0)</f>
        <v>0</v>
      </c>
      <c r="BE316" s="23">
        <f>VALUE(0)</f>
        <v>0</v>
      </c>
      <c r="BF316" s="23">
        <f>VALUE(0)</f>
        <v>0</v>
      </c>
      <c r="BG316" s="23">
        <f>VALUE(0)</f>
        <v>0</v>
      </c>
      <c r="BH316" s="23">
        <f>VALUE(0)</f>
        <v>0</v>
      </c>
      <c r="BI316" s="23">
        <f>VALUE(0)</f>
        <v>0</v>
      </c>
      <c r="BJ316" s="23">
        <f>VALUE(0)</f>
        <v>0</v>
      </c>
      <c r="BK316" s="12">
        <f>$AX$316*24</f>
        <v>0</v>
      </c>
      <c r="BL316" s="12">
        <f>$AY$316*24</f>
        <v>0</v>
      </c>
      <c r="BM316" s="12">
        <f>$BJ$316*24</f>
        <v>0</v>
      </c>
      <c r="BN316" s="12">
        <f>VALUE($I$316)/100</f>
        <v>1</v>
      </c>
      <c r="BO316" s="12">
        <v>0</v>
      </c>
      <c r="BP316" s="12">
        <v>0</v>
      </c>
      <c r="BQ316" s="12">
        <v>0</v>
      </c>
      <c r="BR316" s="12">
        <v>0</v>
      </c>
      <c r="BS316" s="12">
        <v>0</v>
      </c>
      <c r="BT316" s="12">
        <v>0</v>
      </c>
      <c r="BU316" s="12">
        <v>0</v>
      </c>
      <c r="BV316" s="12">
        <v>0</v>
      </c>
      <c r="BW316" s="12">
        <v>0</v>
      </c>
      <c r="BX316" s="12">
        <v>0</v>
      </c>
      <c r="BY316" s="12">
        <v>0</v>
      </c>
      <c r="BZ316" s="12">
        <v>0</v>
      </c>
      <c r="CA316" s="12">
        <v>0</v>
      </c>
    </row>
    <row r="317" spans="1:79" ht="16.5" x14ac:dyDescent="0.2">
      <c r="A317" s="12" t="s">
        <v>141</v>
      </c>
      <c r="B317" s="12" t="s">
        <v>145</v>
      </c>
      <c r="C317" s="12" t="s">
        <v>145</v>
      </c>
      <c r="D317" s="22" t="s">
        <v>570</v>
      </c>
      <c r="E317" s="22" t="s">
        <v>161</v>
      </c>
      <c r="F317" s="22" t="s">
        <v>1103</v>
      </c>
      <c r="G317" s="22" t="s">
        <v>1104</v>
      </c>
      <c r="H317" s="22" t="s">
        <v>150</v>
      </c>
      <c r="I317" s="22" t="s">
        <v>151</v>
      </c>
      <c r="J317" s="22" t="s">
        <v>162</v>
      </c>
      <c r="K317" s="22" t="s">
        <v>99</v>
      </c>
      <c r="L317" s="54" t="s">
        <v>156</v>
      </c>
      <c r="M317" s="24" t="s">
        <v>156</v>
      </c>
      <c r="N317" s="24" t="s">
        <v>153</v>
      </c>
      <c r="O317" s="26" t="s">
        <v>550</v>
      </c>
      <c r="P317" s="26" t="s">
        <v>550</v>
      </c>
      <c r="Q317" s="26" t="s">
        <v>550</v>
      </c>
      <c r="R317" s="26" t="s">
        <v>550</v>
      </c>
      <c r="S317" s="23" t="s">
        <v>459</v>
      </c>
      <c r="T317" s="26" t="s">
        <v>550</v>
      </c>
      <c r="U317" s="24" t="s">
        <v>153</v>
      </c>
      <c r="V317" s="54" t="s">
        <v>153</v>
      </c>
      <c r="W317" s="26" t="s">
        <v>550</v>
      </c>
      <c r="X317" s="26" t="s">
        <v>550</v>
      </c>
      <c r="Y317" s="26" t="s">
        <v>550</v>
      </c>
      <c r="Z317" s="23" t="s">
        <v>459</v>
      </c>
      <c r="AA317" s="26" t="s">
        <v>550</v>
      </c>
      <c r="AB317" s="24" t="s">
        <v>153</v>
      </c>
      <c r="AC317" s="26" t="s">
        <v>550</v>
      </c>
      <c r="AD317" s="26" t="s">
        <v>550</v>
      </c>
      <c r="AE317" s="26" t="s">
        <v>550</v>
      </c>
      <c r="AF317" s="26" t="s">
        <v>550</v>
      </c>
      <c r="AG317" s="23" t="s">
        <v>459</v>
      </c>
      <c r="AH317" s="26" t="s">
        <v>550</v>
      </c>
      <c r="AI317" s="24" t="s">
        <v>153</v>
      </c>
      <c r="AJ317" s="26" t="s">
        <v>550</v>
      </c>
      <c r="AK317" s="26" t="s">
        <v>550</v>
      </c>
      <c r="AL317" s="26" t="s">
        <v>550</v>
      </c>
      <c r="AM317" s="26" t="s">
        <v>550</v>
      </c>
      <c r="AN317" s="23" t="s">
        <v>459</v>
      </c>
      <c r="AO317" s="26" t="s">
        <v>550</v>
      </c>
      <c r="AP317" s="23">
        <f>VALUE(0)</f>
        <v>0</v>
      </c>
      <c r="AQ317" s="23">
        <f>VALUE(0)</f>
        <v>0</v>
      </c>
      <c r="AR317" s="23">
        <f>VALUE(0)</f>
        <v>0</v>
      </c>
      <c r="AS317" s="23">
        <f>VALUE(0)</f>
        <v>0</v>
      </c>
      <c r="AT317" s="23">
        <f>VALUE(0)</f>
        <v>0</v>
      </c>
      <c r="AU317" s="23">
        <f>VALUE(0)</f>
        <v>0</v>
      </c>
      <c r="AV317" s="23">
        <f>VALUE(8)</f>
        <v>8</v>
      </c>
      <c r="AW317" s="23">
        <f>VALUE(0)</f>
        <v>0</v>
      </c>
      <c r="AX317" s="23" t="s">
        <v>176</v>
      </c>
      <c r="AY317" s="23" t="s">
        <v>571</v>
      </c>
      <c r="AZ317" s="23">
        <f>VALUE(0)</f>
        <v>0</v>
      </c>
      <c r="BA317" s="23">
        <f>VALUE(0)</f>
        <v>0</v>
      </c>
      <c r="BB317" s="23">
        <f>VALUE(0)</f>
        <v>0</v>
      </c>
      <c r="BC317" s="23">
        <f>VALUE(0)</f>
        <v>0</v>
      </c>
      <c r="BD317" s="23">
        <f>VALUE(0)</f>
        <v>0</v>
      </c>
      <c r="BE317" s="23">
        <f>VALUE(0)</f>
        <v>0</v>
      </c>
      <c r="BF317" s="23">
        <f>VALUE(0)</f>
        <v>0</v>
      </c>
      <c r="BG317" s="23">
        <f>VALUE(0)</f>
        <v>0</v>
      </c>
      <c r="BH317" s="23">
        <f>VALUE(0)</f>
        <v>0</v>
      </c>
      <c r="BI317" s="23">
        <f>VALUE(0)</f>
        <v>0</v>
      </c>
      <c r="BJ317" s="23">
        <f>VALUE(0)</f>
        <v>0</v>
      </c>
      <c r="BK317" s="12">
        <f>$AX$317*24</f>
        <v>0</v>
      </c>
      <c r="BL317" s="12">
        <f>$AY$317*24</f>
        <v>3.1000000000000005</v>
      </c>
      <c r="BM317" s="12">
        <f>$BJ$317*24</f>
        <v>0</v>
      </c>
      <c r="BN317" s="12">
        <f>VALUE($I$317)/100</f>
        <v>1</v>
      </c>
      <c r="BO317" s="12">
        <v>0</v>
      </c>
      <c r="BP317" s="12">
        <v>0</v>
      </c>
      <c r="BQ317" s="12">
        <v>0</v>
      </c>
      <c r="BR317" s="12">
        <v>0</v>
      </c>
      <c r="BS317" s="12">
        <v>0</v>
      </c>
      <c r="BT317" s="12">
        <v>0</v>
      </c>
      <c r="BU317" s="12">
        <v>0</v>
      </c>
      <c r="BV317" s="12">
        <v>0</v>
      </c>
      <c r="BW317" s="12">
        <v>0</v>
      </c>
      <c r="BX317" s="12">
        <v>0</v>
      </c>
      <c r="BY317" s="12">
        <v>0</v>
      </c>
      <c r="BZ317" s="12">
        <v>0</v>
      </c>
      <c r="CA317" s="12">
        <v>0</v>
      </c>
    </row>
    <row r="318" spans="1:79" x14ac:dyDescent="0.2">
      <c r="A318" s="12" t="s">
        <v>141</v>
      </c>
      <c r="B318" s="12" t="s">
        <v>145</v>
      </c>
      <c r="C318" s="12" t="s">
        <v>145</v>
      </c>
      <c r="D318" s="22" t="s">
        <v>1312</v>
      </c>
      <c r="E318" s="22" t="s">
        <v>173</v>
      </c>
      <c r="F318" s="22" t="s">
        <v>1105</v>
      </c>
      <c r="G318" s="22" t="s">
        <v>1106</v>
      </c>
      <c r="H318" s="22" t="s">
        <v>150</v>
      </c>
      <c r="I318" s="22" t="s">
        <v>151</v>
      </c>
      <c r="J318" s="22" t="s">
        <v>162</v>
      </c>
      <c r="K318" s="22" t="s">
        <v>99</v>
      </c>
      <c r="L318" s="54" t="s">
        <v>153</v>
      </c>
      <c r="M318" s="23" t="s">
        <v>1308</v>
      </c>
      <c r="N318" s="24" t="s">
        <v>153</v>
      </c>
      <c r="O318" s="23" t="s">
        <v>555</v>
      </c>
      <c r="P318" s="23" t="s">
        <v>555</v>
      </c>
      <c r="Q318" s="23" t="s">
        <v>555</v>
      </c>
      <c r="R318" s="23" t="s">
        <v>555</v>
      </c>
      <c r="S318" s="23" t="s">
        <v>568</v>
      </c>
      <c r="T318" s="23" t="s">
        <v>568</v>
      </c>
      <c r="U318" s="24" t="s">
        <v>153</v>
      </c>
      <c r="V318" s="54" t="s">
        <v>153</v>
      </c>
      <c r="W318" s="23" t="s">
        <v>562</v>
      </c>
      <c r="X318" s="23" t="s">
        <v>562</v>
      </c>
      <c r="Y318" s="23" t="s">
        <v>562</v>
      </c>
      <c r="Z318" s="23" t="s">
        <v>562</v>
      </c>
      <c r="AA318" s="23" t="s">
        <v>562</v>
      </c>
      <c r="AB318" s="24" t="s">
        <v>153</v>
      </c>
      <c r="AC318" s="23" t="s">
        <v>1307</v>
      </c>
      <c r="AD318" s="23" t="s">
        <v>1307</v>
      </c>
      <c r="AE318" s="24" t="s">
        <v>156</v>
      </c>
      <c r="AF318" s="24" t="s">
        <v>156</v>
      </c>
      <c r="AG318" s="23" t="s">
        <v>389</v>
      </c>
      <c r="AH318" s="23" t="s">
        <v>389</v>
      </c>
      <c r="AI318" s="24" t="s">
        <v>153</v>
      </c>
      <c r="AJ318" s="23" t="s">
        <v>1307</v>
      </c>
      <c r="AK318" s="23" t="s">
        <v>1307</v>
      </c>
      <c r="AL318" s="23" t="s">
        <v>1307</v>
      </c>
      <c r="AM318" s="23" t="s">
        <v>1307</v>
      </c>
      <c r="AN318" s="23" t="s">
        <v>1307</v>
      </c>
      <c r="AO318" s="23" t="s">
        <v>1307</v>
      </c>
      <c r="AP318" s="23">
        <f>VALUE(35)</f>
        <v>35</v>
      </c>
      <c r="AQ318" s="23">
        <f>VALUE(0)</f>
        <v>0</v>
      </c>
      <c r="AR318" s="23">
        <f>VALUE(0)</f>
        <v>0</v>
      </c>
      <c r="AS318" s="23">
        <f>VALUE(0)</f>
        <v>0</v>
      </c>
      <c r="AT318" s="23">
        <f>VALUE(0)</f>
        <v>0</v>
      </c>
      <c r="AU318" s="23">
        <f>VALUE(0)</f>
        <v>0</v>
      </c>
      <c r="AV318" s="23">
        <f>VALUE(2)</f>
        <v>2</v>
      </c>
      <c r="AW318" s="23">
        <f>VALUE(0)</f>
        <v>0</v>
      </c>
      <c r="AX318" s="23" t="s">
        <v>171</v>
      </c>
      <c r="AY318" s="23" t="s">
        <v>1313</v>
      </c>
      <c r="AZ318" s="23">
        <f>VALUE(0)</f>
        <v>0</v>
      </c>
      <c r="BA318" s="23">
        <f>VALUE(0)</f>
        <v>0</v>
      </c>
      <c r="BB318" s="23">
        <f>VALUE(0)</f>
        <v>0</v>
      </c>
      <c r="BC318" s="23">
        <f>VALUE(0)</f>
        <v>0</v>
      </c>
      <c r="BD318" s="23">
        <f>VALUE(0)</f>
        <v>0</v>
      </c>
      <c r="BE318" s="23">
        <f>VALUE(0)</f>
        <v>0</v>
      </c>
      <c r="BF318" s="23">
        <f>VALUE(0)</f>
        <v>0</v>
      </c>
      <c r="BG318" s="23">
        <f>VALUE(0)</f>
        <v>0</v>
      </c>
      <c r="BH318" s="23">
        <f>VALUE(0)</f>
        <v>0</v>
      </c>
      <c r="BI318" s="23">
        <f>VALUE(0)</f>
        <v>0</v>
      </c>
      <c r="BJ318" s="23">
        <f>VALUE(0)</f>
        <v>0</v>
      </c>
      <c r="BK318" s="12">
        <f>$AX$318*24</f>
        <v>5.833333333333333</v>
      </c>
      <c r="BL318" s="12">
        <f>$AY$318*24</f>
        <v>18.533333333333335</v>
      </c>
      <c r="BM318" s="12">
        <f>$BJ$318*24</f>
        <v>0</v>
      </c>
      <c r="BN318" s="12">
        <f>VALUE($I$318)/100</f>
        <v>1</v>
      </c>
      <c r="BO318" s="12">
        <v>0</v>
      </c>
      <c r="BP318" s="12">
        <v>0</v>
      </c>
      <c r="BQ318" s="12">
        <v>0</v>
      </c>
      <c r="BR318" s="12">
        <v>0</v>
      </c>
      <c r="BS318" s="12">
        <v>0</v>
      </c>
      <c r="BT318" s="12">
        <v>0</v>
      </c>
      <c r="BU318" s="12">
        <v>0</v>
      </c>
      <c r="BV318" s="12">
        <v>0</v>
      </c>
      <c r="BW318" s="12">
        <v>0</v>
      </c>
      <c r="BX318" s="12">
        <v>0</v>
      </c>
      <c r="BY318" s="12">
        <v>0</v>
      </c>
      <c r="BZ318" s="12">
        <v>0</v>
      </c>
      <c r="CA318" s="12">
        <v>0</v>
      </c>
    </row>
    <row r="319" spans="1:79" x14ac:dyDescent="0.2">
      <c r="A319" s="12" t="s">
        <v>141</v>
      </c>
      <c r="B319" s="12" t="s">
        <v>145</v>
      </c>
      <c r="C319" s="12" t="s">
        <v>145</v>
      </c>
      <c r="D319" s="22" t="s">
        <v>536</v>
      </c>
      <c r="E319" s="22" t="s">
        <v>159</v>
      </c>
      <c r="F319" s="22" t="s">
        <v>1107</v>
      </c>
      <c r="G319" s="22" t="s">
        <v>1108</v>
      </c>
      <c r="H319" s="22" t="s">
        <v>150</v>
      </c>
      <c r="I319" s="22" t="s">
        <v>151</v>
      </c>
      <c r="J319" s="22" t="s">
        <v>162</v>
      </c>
      <c r="K319" s="22" t="s">
        <v>99</v>
      </c>
      <c r="L319" s="54" t="s">
        <v>153</v>
      </c>
      <c r="M319" s="27" t="s">
        <v>153</v>
      </c>
      <c r="N319" s="27" t="s">
        <v>153</v>
      </c>
      <c r="O319" s="27" t="s">
        <v>153</v>
      </c>
      <c r="P319" s="27" t="s">
        <v>153</v>
      </c>
      <c r="Q319" s="27" t="s">
        <v>153</v>
      </c>
      <c r="R319" s="27" t="s">
        <v>153</v>
      </c>
      <c r="S319" s="27" t="s">
        <v>153</v>
      </c>
      <c r="T319" s="27" t="s">
        <v>153</v>
      </c>
      <c r="U319" s="27" t="s">
        <v>153</v>
      </c>
      <c r="V319" s="54" t="s">
        <v>153</v>
      </c>
      <c r="W319" s="27" t="s">
        <v>153</v>
      </c>
      <c r="X319" s="27" t="s">
        <v>153</v>
      </c>
      <c r="Y319" s="27" t="s">
        <v>153</v>
      </c>
      <c r="Z319" s="27" t="s">
        <v>153</v>
      </c>
      <c r="AA319" s="27" t="s">
        <v>153</v>
      </c>
      <c r="AB319" s="27" t="s">
        <v>153</v>
      </c>
      <c r="AC319" s="27" t="s">
        <v>153</v>
      </c>
      <c r="AD319" s="27" t="s">
        <v>153</v>
      </c>
      <c r="AE319" s="27" t="s">
        <v>153</v>
      </c>
      <c r="AF319" s="27" t="s">
        <v>153</v>
      </c>
      <c r="AG319" s="27" t="s">
        <v>153</v>
      </c>
      <c r="AH319" s="27" t="s">
        <v>153</v>
      </c>
      <c r="AI319" s="27" t="s">
        <v>153</v>
      </c>
      <c r="AJ319" s="27" t="s">
        <v>153</v>
      </c>
      <c r="AK319" s="27" t="s">
        <v>153</v>
      </c>
      <c r="AL319" s="27" t="s">
        <v>153</v>
      </c>
      <c r="AM319" s="27" t="s">
        <v>153</v>
      </c>
      <c r="AN319" s="27" t="s">
        <v>153</v>
      </c>
      <c r="AO319" s="27" t="s">
        <v>153</v>
      </c>
      <c r="AP319" s="23">
        <f>VALUE(0)</f>
        <v>0</v>
      </c>
      <c r="AQ319" s="23">
        <f>VALUE(0)</f>
        <v>0</v>
      </c>
      <c r="AR319" s="23">
        <f>VALUE(0)</f>
        <v>0</v>
      </c>
      <c r="AS319" s="23">
        <f>VALUE(0)</f>
        <v>0</v>
      </c>
      <c r="AT319" s="23">
        <f>VALUE(0)</f>
        <v>0</v>
      </c>
      <c r="AU319" s="23">
        <f>VALUE(0)</f>
        <v>0</v>
      </c>
      <c r="AV319" s="23">
        <f>VALUE(0)</f>
        <v>0</v>
      </c>
      <c r="AW319" s="23">
        <f>VALUE(0)</f>
        <v>0</v>
      </c>
      <c r="AX319" s="23">
        <f>VALUE(0)</f>
        <v>0</v>
      </c>
      <c r="AY319" s="23">
        <f>VALUE(0)</f>
        <v>0</v>
      </c>
      <c r="AZ319" s="23">
        <f>VALUE(0)</f>
        <v>0</v>
      </c>
      <c r="BA319" s="23">
        <f>VALUE(0)</f>
        <v>0</v>
      </c>
      <c r="BB319" s="23">
        <f>VALUE(0)</f>
        <v>0</v>
      </c>
      <c r="BC319" s="23">
        <f>VALUE(0)</f>
        <v>0</v>
      </c>
      <c r="BD319" s="23">
        <f>VALUE(0)</f>
        <v>0</v>
      </c>
      <c r="BE319" s="23">
        <f>VALUE(0)</f>
        <v>0</v>
      </c>
      <c r="BF319" s="23">
        <f>VALUE(0)</f>
        <v>0</v>
      </c>
      <c r="BG319" s="23">
        <f>VALUE(0)</f>
        <v>0</v>
      </c>
      <c r="BH319" s="23">
        <f>VALUE(0)</f>
        <v>0</v>
      </c>
      <c r="BI319" s="23">
        <f>VALUE(0)</f>
        <v>0</v>
      </c>
      <c r="BJ319" s="23">
        <f>VALUE(0)</f>
        <v>0</v>
      </c>
      <c r="BK319" s="12">
        <f>$AX$319*24</f>
        <v>0</v>
      </c>
      <c r="BL319" s="12">
        <f>$AY$319*24</f>
        <v>0</v>
      </c>
      <c r="BM319" s="12">
        <f>$BJ$319*24</f>
        <v>0</v>
      </c>
      <c r="BN319" s="12">
        <f>VALUE($I$319)/100</f>
        <v>1</v>
      </c>
      <c r="BO319" s="12">
        <v>0</v>
      </c>
      <c r="BP319" s="12">
        <v>0</v>
      </c>
      <c r="BQ319" s="12">
        <v>0</v>
      </c>
      <c r="BR319" s="12">
        <v>0</v>
      </c>
      <c r="BS319" s="12">
        <v>0</v>
      </c>
      <c r="BT319" s="12">
        <v>0</v>
      </c>
      <c r="BU319" s="12">
        <v>0</v>
      </c>
      <c r="BV319" s="12">
        <v>0</v>
      </c>
      <c r="BW319" s="12">
        <v>0</v>
      </c>
      <c r="BX319" s="12">
        <v>0</v>
      </c>
      <c r="BY319" s="12">
        <v>0</v>
      </c>
      <c r="BZ319" s="12">
        <v>0</v>
      </c>
      <c r="CA319" s="12">
        <v>0</v>
      </c>
    </row>
    <row r="320" spans="1:79" ht="15" x14ac:dyDescent="0.25">
      <c r="A320" s="12" t="s">
        <v>141</v>
      </c>
      <c r="B320" s="12" t="s">
        <v>145</v>
      </c>
      <c r="C320" s="12" t="s">
        <v>145</v>
      </c>
      <c r="D320" s="31" t="s">
        <v>202</v>
      </c>
      <c r="E320" s="31" t="s">
        <v>153</v>
      </c>
      <c r="F320" s="31" t="s">
        <v>175</v>
      </c>
      <c r="G320" s="31" t="s">
        <v>153</v>
      </c>
      <c r="H320" s="31" t="s">
        <v>153</v>
      </c>
      <c r="I320" s="31" t="s">
        <v>153</v>
      </c>
      <c r="J320" s="31" t="s">
        <v>153</v>
      </c>
      <c r="K320" s="31" t="s">
        <v>153</v>
      </c>
      <c r="L320" s="31">
        <f>VALUE(0)</f>
        <v>0</v>
      </c>
      <c r="M320" s="31">
        <f>VALUE(8)</f>
        <v>8</v>
      </c>
      <c r="N320" s="31">
        <f>VALUE(0)</f>
        <v>0</v>
      </c>
      <c r="O320" s="31">
        <f>VALUE(10)</f>
        <v>10</v>
      </c>
      <c r="P320" s="31">
        <f>VALUE(10)</f>
        <v>10</v>
      </c>
      <c r="Q320" s="31">
        <f>VALUE(10)</f>
        <v>10</v>
      </c>
      <c r="R320" s="31">
        <f>VALUE(10)</f>
        <v>10</v>
      </c>
      <c r="S320" s="31">
        <f>VALUE(9)</f>
        <v>9</v>
      </c>
      <c r="T320" s="31">
        <f>VALUE(9)</f>
        <v>9</v>
      </c>
      <c r="U320" s="31">
        <f>VALUE(0)</f>
        <v>0</v>
      </c>
      <c r="V320" s="31">
        <f>VALUE(0)</f>
        <v>0</v>
      </c>
      <c r="W320" s="31">
        <f>VALUE(11)</f>
        <v>11</v>
      </c>
      <c r="X320" s="31">
        <f>VALUE(11)</f>
        <v>11</v>
      </c>
      <c r="Y320" s="31">
        <f>VALUE(11)</f>
        <v>11</v>
      </c>
      <c r="Z320" s="31">
        <f>VALUE(9)</f>
        <v>9</v>
      </c>
      <c r="AA320" s="31">
        <f>VALUE(10)</f>
        <v>10</v>
      </c>
      <c r="AB320" s="31">
        <f>VALUE(0)</f>
        <v>0</v>
      </c>
      <c r="AC320" s="31">
        <f>VALUE(9)</f>
        <v>9</v>
      </c>
      <c r="AD320" s="31">
        <f>VALUE(9)</f>
        <v>9</v>
      </c>
      <c r="AE320" s="31">
        <f>VALUE(9)</f>
        <v>9</v>
      </c>
      <c r="AF320" s="31">
        <f>VALUE(9)</f>
        <v>9</v>
      </c>
      <c r="AG320" s="31">
        <f>VALUE(10)</f>
        <v>10</v>
      </c>
      <c r="AH320" s="31">
        <f>VALUE(10)</f>
        <v>10</v>
      </c>
      <c r="AI320" s="31">
        <f>VALUE(0)</f>
        <v>0</v>
      </c>
      <c r="AJ320" s="31">
        <f>VALUE(9)</f>
        <v>9</v>
      </c>
      <c r="AK320" s="31">
        <f>VALUE(9)</f>
        <v>9</v>
      </c>
      <c r="AL320" s="31">
        <f>VALUE(9)</f>
        <v>9</v>
      </c>
      <c r="AM320" s="31">
        <f>VALUE(9)</f>
        <v>9</v>
      </c>
      <c r="AN320" s="31">
        <f>VALUE(8)</f>
        <v>8</v>
      </c>
      <c r="AO320" s="31">
        <f>VALUE(8)</f>
        <v>8</v>
      </c>
      <c r="AP320" s="31">
        <v>0</v>
      </c>
      <c r="AQ320" s="31">
        <v>0</v>
      </c>
      <c r="AR320" s="31">
        <v>0</v>
      </c>
      <c r="AS320" s="31">
        <v>0</v>
      </c>
      <c r="AT320" s="31">
        <v>0</v>
      </c>
      <c r="AU320" s="31">
        <v>0</v>
      </c>
      <c r="AV320" s="31">
        <v>0</v>
      </c>
      <c r="AW320" s="31">
        <v>0</v>
      </c>
      <c r="AX320" s="31">
        <v>0</v>
      </c>
      <c r="AY320" s="31">
        <v>0</v>
      </c>
      <c r="AZ320" s="31">
        <v>0</v>
      </c>
      <c r="BA320" s="31">
        <v>0</v>
      </c>
      <c r="BB320" s="31">
        <v>0</v>
      </c>
      <c r="BC320" s="31">
        <v>0</v>
      </c>
      <c r="BD320" s="31">
        <v>0</v>
      </c>
      <c r="BE320" s="31">
        <v>0</v>
      </c>
      <c r="BF320" s="31">
        <v>0</v>
      </c>
      <c r="BG320" s="31">
        <v>0</v>
      </c>
      <c r="BH320" s="31">
        <v>0</v>
      </c>
      <c r="BI320" s="31">
        <v>0</v>
      </c>
      <c r="BJ320" s="31">
        <v>0</v>
      </c>
      <c r="BK320" s="12">
        <v>0</v>
      </c>
      <c r="BL320" s="12">
        <v>0</v>
      </c>
      <c r="BM320" s="12">
        <v>0</v>
      </c>
      <c r="BN320" s="12"/>
      <c r="BO320" s="12">
        <v>0</v>
      </c>
      <c r="BP320" s="12">
        <v>0</v>
      </c>
      <c r="BQ320" s="12">
        <v>0</v>
      </c>
      <c r="BR320" s="12">
        <v>0</v>
      </c>
      <c r="BS320" s="12">
        <v>0</v>
      </c>
      <c r="BT320" s="12">
        <v>0</v>
      </c>
      <c r="BU320" s="12">
        <v>0</v>
      </c>
      <c r="BV320" s="12">
        <v>0</v>
      </c>
      <c r="BW320" s="12">
        <v>0</v>
      </c>
      <c r="BX320" s="12">
        <v>0</v>
      </c>
      <c r="BY320" s="12">
        <v>0</v>
      </c>
      <c r="BZ320" s="12">
        <v>0</v>
      </c>
      <c r="CA320" s="12">
        <v>0</v>
      </c>
    </row>
    <row r="321" spans="1:79" ht="16.5" x14ac:dyDescent="0.2">
      <c r="A321" s="12" t="s">
        <v>141</v>
      </c>
      <c r="B321" s="12" t="s">
        <v>146</v>
      </c>
      <c r="C321" s="12" t="s">
        <v>146</v>
      </c>
      <c r="D321" s="22" t="s">
        <v>572</v>
      </c>
      <c r="E321" s="22" t="s">
        <v>173</v>
      </c>
      <c r="F321" s="22" t="s">
        <v>1109</v>
      </c>
      <c r="G321" s="22" t="s">
        <v>1110</v>
      </c>
      <c r="H321" s="22" t="s">
        <v>150</v>
      </c>
      <c r="I321" s="22" t="s">
        <v>151</v>
      </c>
      <c r="J321" s="22" t="s">
        <v>162</v>
      </c>
      <c r="K321" s="22" t="s">
        <v>100</v>
      </c>
      <c r="L321" s="54" t="s">
        <v>153</v>
      </c>
      <c r="M321" s="23" t="s">
        <v>1307</v>
      </c>
      <c r="N321" s="24" t="s">
        <v>153</v>
      </c>
      <c r="O321" s="23" t="s">
        <v>547</v>
      </c>
      <c r="P321" s="25" t="s">
        <v>552</v>
      </c>
      <c r="Q321" s="25" t="s">
        <v>552</v>
      </c>
      <c r="R321" s="25" t="s">
        <v>552</v>
      </c>
      <c r="S321" s="25" t="s">
        <v>552</v>
      </c>
      <c r="T321" s="25" t="s">
        <v>552</v>
      </c>
      <c r="U321" s="24" t="s">
        <v>153</v>
      </c>
      <c r="V321" s="54" t="s">
        <v>153</v>
      </c>
      <c r="W321" s="23" t="s">
        <v>153</v>
      </c>
      <c r="X321" s="23" t="s">
        <v>153</v>
      </c>
      <c r="Y321" s="23" t="s">
        <v>153</v>
      </c>
      <c r="Z321" s="23" t="s">
        <v>153</v>
      </c>
      <c r="AA321" s="26" t="s">
        <v>1314</v>
      </c>
      <c r="AB321" s="24" t="s">
        <v>153</v>
      </c>
      <c r="AC321" s="23" t="s">
        <v>552</v>
      </c>
      <c r="AD321" s="23" t="s">
        <v>552</v>
      </c>
      <c r="AE321" s="23" t="s">
        <v>552</v>
      </c>
      <c r="AF321" s="23" t="s">
        <v>552</v>
      </c>
      <c r="AG321" s="23" t="s">
        <v>552</v>
      </c>
      <c r="AH321" s="23" t="s">
        <v>552</v>
      </c>
      <c r="AI321" s="24" t="s">
        <v>153</v>
      </c>
      <c r="AJ321" s="24" t="s">
        <v>156</v>
      </c>
      <c r="AK321" s="24" t="s">
        <v>156</v>
      </c>
      <c r="AL321" s="23" t="s">
        <v>541</v>
      </c>
      <c r="AM321" s="23" t="s">
        <v>541</v>
      </c>
      <c r="AN321" s="23" t="s">
        <v>554</v>
      </c>
      <c r="AO321" s="23" t="s">
        <v>554</v>
      </c>
      <c r="AP321" s="23">
        <f>VALUE(23)</f>
        <v>23</v>
      </c>
      <c r="AQ321" s="23">
        <f>VALUE(0)</f>
        <v>0</v>
      </c>
      <c r="AR321" s="23">
        <f>VALUE(0)</f>
        <v>0</v>
      </c>
      <c r="AS321" s="23">
        <f>VALUE(0)</f>
        <v>0</v>
      </c>
      <c r="AT321" s="23">
        <f>VALUE(0)</f>
        <v>0</v>
      </c>
      <c r="AU321" s="23">
        <f>VALUE(0)</f>
        <v>0</v>
      </c>
      <c r="AV321" s="23">
        <f>VALUE(5)</f>
        <v>5</v>
      </c>
      <c r="AW321" s="23">
        <f>VALUE(0)</f>
        <v>0</v>
      </c>
      <c r="AX321" s="23">
        <f>VALUE(0)</f>
        <v>0</v>
      </c>
      <c r="AY321" s="23">
        <f>VALUE(0)</f>
        <v>0</v>
      </c>
      <c r="AZ321" s="23">
        <f>VALUE(0)</f>
        <v>0</v>
      </c>
      <c r="BA321" s="23">
        <f>VALUE(0)</f>
        <v>0</v>
      </c>
      <c r="BB321" s="23">
        <f>VALUE(0)</f>
        <v>0</v>
      </c>
      <c r="BC321" s="23">
        <f>VALUE(0)</f>
        <v>0</v>
      </c>
      <c r="BD321" s="23">
        <f>VALUE(0)</f>
        <v>0</v>
      </c>
      <c r="BE321" s="23">
        <f>VALUE(0)</f>
        <v>0</v>
      </c>
      <c r="BF321" s="23">
        <f>VALUE(0)</f>
        <v>0</v>
      </c>
      <c r="BG321" s="23">
        <f>VALUE(0)</f>
        <v>0</v>
      </c>
      <c r="BH321" s="23">
        <f>VALUE(0)</f>
        <v>0</v>
      </c>
      <c r="BI321" s="23">
        <f>VALUE(0)</f>
        <v>0</v>
      </c>
      <c r="BJ321" s="23">
        <f>VALUE(0)</f>
        <v>0</v>
      </c>
      <c r="BK321" s="12">
        <f>$AX$321*24</f>
        <v>0</v>
      </c>
      <c r="BL321" s="12">
        <f>$AY$321*24</f>
        <v>0</v>
      </c>
      <c r="BM321" s="12">
        <f>$BJ$321*24</f>
        <v>0</v>
      </c>
      <c r="BN321" s="12">
        <f>VALUE($I$321)/100</f>
        <v>1</v>
      </c>
      <c r="BO321" s="12">
        <v>0</v>
      </c>
      <c r="BP321" s="12">
        <v>0</v>
      </c>
      <c r="BQ321" s="12">
        <v>0</v>
      </c>
      <c r="BR321" s="12">
        <v>0</v>
      </c>
      <c r="BS321" s="12">
        <v>0</v>
      </c>
      <c r="BT321" s="12">
        <v>0</v>
      </c>
      <c r="BU321" s="12">
        <v>0</v>
      </c>
      <c r="BV321" s="12">
        <v>0</v>
      </c>
      <c r="BW321" s="12">
        <v>0</v>
      </c>
      <c r="BX321" s="12">
        <v>0</v>
      </c>
      <c r="BY321" s="12">
        <v>0</v>
      </c>
      <c r="BZ321" s="12">
        <v>0</v>
      </c>
      <c r="CA321" s="12">
        <v>0</v>
      </c>
    </row>
    <row r="322" spans="1:79" x14ac:dyDescent="0.2">
      <c r="A322" s="12" t="s">
        <v>141</v>
      </c>
      <c r="B322" s="12" t="s">
        <v>146</v>
      </c>
      <c r="C322" s="12" t="s">
        <v>146</v>
      </c>
      <c r="D322" s="22" t="s">
        <v>435</v>
      </c>
      <c r="E322" s="22" t="s">
        <v>173</v>
      </c>
      <c r="F322" s="22" t="s">
        <v>1111</v>
      </c>
      <c r="G322" s="22" t="s">
        <v>1112</v>
      </c>
      <c r="H322" s="22" t="s">
        <v>150</v>
      </c>
      <c r="I322" s="22" t="s">
        <v>151</v>
      </c>
      <c r="J322" s="22" t="s">
        <v>162</v>
      </c>
      <c r="K322" s="22" t="s">
        <v>100</v>
      </c>
      <c r="L322" s="54" t="s">
        <v>153</v>
      </c>
      <c r="M322" s="23" t="s">
        <v>559</v>
      </c>
      <c r="N322" s="24" t="s">
        <v>153</v>
      </c>
      <c r="O322" s="23" t="s">
        <v>559</v>
      </c>
      <c r="P322" s="23" t="s">
        <v>559</v>
      </c>
      <c r="Q322" s="23" t="s">
        <v>559</v>
      </c>
      <c r="R322" s="23" t="s">
        <v>559</v>
      </c>
      <c r="S322" s="23" t="s">
        <v>559</v>
      </c>
      <c r="T322" s="23" t="s">
        <v>559</v>
      </c>
      <c r="U322" s="24" t="s">
        <v>153</v>
      </c>
      <c r="V322" s="54" t="s">
        <v>153</v>
      </c>
      <c r="W322" s="23" t="s">
        <v>153</v>
      </c>
      <c r="X322" s="23" t="s">
        <v>153</v>
      </c>
      <c r="Y322" s="23" t="s">
        <v>153</v>
      </c>
      <c r="Z322" s="23" t="s">
        <v>153</v>
      </c>
      <c r="AA322" s="23" t="s">
        <v>153</v>
      </c>
      <c r="AB322" s="24" t="s">
        <v>153</v>
      </c>
      <c r="AC322" s="23" t="s">
        <v>559</v>
      </c>
      <c r="AD322" s="23" t="s">
        <v>559</v>
      </c>
      <c r="AE322" s="29" t="s">
        <v>1175</v>
      </c>
      <c r="AF322" s="29" t="s">
        <v>1175</v>
      </c>
      <c r="AG322" s="24" t="s">
        <v>156</v>
      </c>
      <c r="AH322" s="24" t="s">
        <v>156</v>
      </c>
      <c r="AI322" s="24" t="s">
        <v>153</v>
      </c>
      <c r="AJ322" s="23" t="s">
        <v>559</v>
      </c>
      <c r="AK322" s="23" t="s">
        <v>559</v>
      </c>
      <c r="AL322" s="23" t="s">
        <v>559</v>
      </c>
      <c r="AM322" s="23" t="s">
        <v>559</v>
      </c>
      <c r="AN322" s="23" t="s">
        <v>559</v>
      </c>
      <c r="AO322" s="23" t="s">
        <v>559</v>
      </c>
      <c r="AP322" s="23">
        <f>VALUE(35)</f>
        <v>35</v>
      </c>
      <c r="AQ322" s="23">
        <f>VALUE(0)</f>
        <v>0</v>
      </c>
      <c r="AR322" s="23">
        <f>VALUE(2)</f>
        <v>2</v>
      </c>
      <c r="AS322" s="23">
        <f>VALUE(0)</f>
        <v>0</v>
      </c>
      <c r="AT322" s="23">
        <f>VALUE(0)</f>
        <v>0</v>
      </c>
      <c r="AU322" s="23">
        <f>VALUE(0)</f>
        <v>0</v>
      </c>
      <c r="AV322" s="23">
        <f>VALUE(11)</f>
        <v>11</v>
      </c>
      <c r="AW322" s="23">
        <f>VALUE(0)</f>
        <v>0</v>
      </c>
      <c r="AX322" s="23">
        <f>VALUE(0)</f>
        <v>0</v>
      </c>
      <c r="AY322" s="23">
        <f>VALUE(0)</f>
        <v>0</v>
      </c>
      <c r="AZ322" s="23">
        <f>VALUE(0)</f>
        <v>0</v>
      </c>
      <c r="BA322" s="23">
        <f>VALUE(0)</f>
        <v>0</v>
      </c>
      <c r="BB322" s="23">
        <f>VALUE(0)</f>
        <v>0</v>
      </c>
      <c r="BC322" s="23">
        <f>VALUE(0)</f>
        <v>0</v>
      </c>
      <c r="BD322" s="23">
        <f>VALUE(0)</f>
        <v>0</v>
      </c>
      <c r="BE322" s="23">
        <f>VALUE(0)</f>
        <v>0</v>
      </c>
      <c r="BF322" s="23">
        <f>VALUE(0)</f>
        <v>0</v>
      </c>
      <c r="BG322" s="23">
        <f>VALUE(0)</f>
        <v>0</v>
      </c>
      <c r="BH322" s="23">
        <f>VALUE(0)</f>
        <v>0</v>
      </c>
      <c r="BI322" s="23">
        <f>VALUE(0)</f>
        <v>0</v>
      </c>
      <c r="BJ322" s="23">
        <f>VALUE(0)</f>
        <v>0</v>
      </c>
      <c r="BK322" s="12">
        <f>$AX$322*24</f>
        <v>0</v>
      </c>
      <c r="BL322" s="12">
        <f>$AY$322*24</f>
        <v>0</v>
      </c>
      <c r="BM322" s="12">
        <f>$BJ$322*24</f>
        <v>0</v>
      </c>
      <c r="BN322" s="12">
        <f>VALUE($I$322)/100</f>
        <v>1</v>
      </c>
      <c r="BO322" s="12">
        <v>0</v>
      </c>
      <c r="BP322" s="12">
        <v>0</v>
      </c>
      <c r="BQ322" s="12">
        <v>0</v>
      </c>
      <c r="BR322" s="12">
        <v>0</v>
      </c>
      <c r="BS322" s="12">
        <v>0</v>
      </c>
      <c r="BT322" s="12">
        <v>0</v>
      </c>
      <c r="BU322" s="12">
        <v>0</v>
      </c>
      <c r="BV322" s="12">
        <v>2</v>
      </c>
      <c r="BW322" s="12">
        <v>0</v>
      </c>
      <c r="BX322" s="12">
        <v>0</v>
      </c>
      <c r="BY322" s="12">
        <v>0</v>
      </c>
      <c r="BZ322" s="12">
        <v>0</v>
      </c>
      <c r="CA322" s="12">
        <v>0</v>
      </c>
    </row>
    <row r="323" spans="1:79" ht="15" x14ac:dyDescent="0.25">
      <c r="A323" s="12" t="s">
        <v>141</v>
      </c>
      <c r="B323" s="12" t="s">
        <v>146</v>
      </c>
      <c r="C323" s="12" t="s">
        <v>146</v>
      </c>
      <c r="D323" s="31" t="s">
        <v>246</v>
      </c>
      <c r="E323" s="31" t="s">
        <v>153</v>
      </c>
      <c r="F323" s="31" t="s">
        <v>175</v>
      </c>
      <c r="G323" s="31" t="s">
        <v>153</v>
      </c>
      <c r="H323" s="31" t="s">
        <v>153</v>
      </c>
      <c r="I323" s="31" t="s">
        <v>153</v>
      </c>
      <c r="J323" s="31" t="s">
        <v>153</v>
      </c>
      <c r="K323" s="31" t="s">
        <v>153</v>
      </c>
      <c r="L323" s="31">
        <f>VALUE(0)</f>
        <v>0</v>
      </c>
      <c r="M323" s="31">
        <f>VALUE(2)</f>
        <v>2</v>
      </c>
      <c r="N323" s="31">
        <f>VALUE(0)</f>
        <v>0</v>
      </c>
      <c r="O323" s="31">
        <f>VALUE(2)</f>
        <v>2</v>
      </c>
      <c r="P323" s="31">
        <f>VALUE(2)</f>
        <v>2</v>
      </c>
      <c r="Q323" s="31">
        <f>VALUE(2)</f>
        <v>2</v>
      </c>
      <c r="R323" s="31">
        <f>VALUE(2)</f>
        <v>2</v>
      </c>
      <c r="S323" s="31">
        <f>VALUE(2)</f>
        <v>2</v>
      </c>
      <c r="T323" s="31">
        <f>VALUE(2)</f>
        <v>2</v>
      </c>
      <c r="U323" s="31">
        <f>VALUE(0)</f>
        <v>0</v>
      </c>
      <c r="V323" s="31">
        <f>VALUE(0)</f>
        <v>0</v>
      </c>
      <c r="W323" s="31">
        <f>VALUE(2)</f>
        <v>2</v>
      </c>
      <c r="X323" s="31">
        <f>VALUE(2)</f>
        <v>2</v>
      </c>
      <c r="Y323" s="31">
        <f>VALUE(2)</f>
        <v>2</v>
      </c>
      <c r="Z323" s="31">
        <f>VALUE(2)</f>
        <v>2</v>
      </c>
      <c r="AA323" s="31">
        <f>VALUE(2)</f>
        <v>2</v>
      </c>
      <c r="AB323" s="31">
        <f>VALUE(0)</f>
        <v>0</v>
      </c>
      <c r="AC323" s="31">
        <f>VALUE(2)</f>
        <v>2</v>
      </c>
      <c r="AD323" s="31">
        <f>VALUE(2)</f>
        <v>2</v>
      </c>
      <c r="AE323" s="31">
        <f>VALUE(1)</f>
        <v>1</v>
      </c>
      <c r="AF323" s="31">
        <f>VALUE(1)</f>
        <v>1</v>
      </c>
      <c r="AG323" s="31">
        <f>VALUE(1)</f>
        <v>1</v>
      </c>
      <c r="AH323" s="31">
        <f>VALUE(1)</f>
        <v>1</v>
      </c>
      <c r="AI323" s="31">
        <f>VALUE(0)</f>
        <v>0</v>
      </c>
      <c r="AJ323" s="31">
        <f>VALUE(1)</f>
        <v>1</v>
      </c>
      <c r="AK323" s="31">
        <f>VALUE(1)</f>
        <v>1</v>
      </c>
      <c r="AL323" s="31">
        <f>VALUE(2)</f>
        <v>2</v>
      </c>
      <c r="AM323" s="31">
        <f>VALUE(2)</f>
        <v>2</v>
      </c>
      <c r="AN323" s="31">
        <f>VALUE(2)</f>
        <v>2</v>
      </c>
      <c r="AO323" s="31">
        <f>VALUE(2)</f>
        <v>2</v>
      </c>
      <c r="AP323" s="31">
        <v>0</v>
      </c>
      <c r="AQ323" s="31">
        <v>0</v>
      </c>
      <c r="AR323" s="31">
        <v>0</v>
      </c>
      <c r="AS323" s="31">
        <v>0</v>
      </c>
      <c r="AT323" s="31">
        <v>0</v>
      </c>
      <c r="AU323" s="31">
        <v>0</v>
      </c>
      <c r="AV323" s="31">
        <v>0</v>
      </c>
      <c r="AW323" s="31">
        <v>0</v>
      </c>
      <c r="AX323" s="31">
        <v>0</v>
      </c>
      <c r="AY323" s="31">
        <v>0</v>
      </c>
      <c r="AZ323" s="31">
        <v>0</v>
      </c>
      <c r="BA323" s="31">
        <v>0</v>
      </c>
      <c r="BB323" s="31">
        <v>0</v>
      </c>
      <c r="BC323" s="31">
        <v>0</v>
      </c>
      <c r="BD323" s="31">
        <v>0</v>
      </c>
      <c r="BE323" s="31">
        <v>0</v>
      </c>
      <c r="BF323" s="31">
        <v>0</v>
      </c>
      <c r="BG323" s="31">
        <v>0</v>
      </c>
      <c r="BH323" s="31">
        <v>0</v>
      </c>
      <c r="BI323" s="31">
        <v>0</v>
      </c>
      <c r="BJ323" s="31">
        <v>0</v>
      </c>
      <c r="BK323" s="12">
        <v>0</v>
      </c>
      <c r="BL323" s="12">
        <v>0</v>
      </c>
      <c r="BM323" s="12">
        <v>0</v>
      </c>
      <c r="BN323" s="12"/>
      <c r="BO323" s="12">
        <v>0</v>
      </c>
      <c r="BP323" s="12">
        <v>0</v>
      </c>
      <c r="BQ323" s="12">
        <v>0</v>
      </c>
      <c r="BR323" s="12">
        <v>0</v>
      </c>
      <c r="BS323" s="12">
        <v>0</v>
      </c>
      <c r="BT323" s="12">
        <v>0</v>
      </c>
      <c r="BU323" s="12">
        <v>0</v>
      </c>
      <c r="BV323" s="12">
        <v>0</v>
      </c>
      <c r="BW323" s="12">
        <v>0</v>
      </c>
      <c r="BX323" s="12">
        <v>0</v>
      </c>
      <c r="BY323" s="12">
        <v>0</v>
      </c>
      <c r="BZ323" s="12">
        <v>0</v>
      </c>
      <c r="CA323" s="12">
        <v>0</v>
      </c>
    </row>
    <row r="324" spans="1:79" x14ac:dyDescent="0.2">
      <c r="A324" s="12" t="s">
        <v>147</v>
      </c>
      <c r="B324" s="12" t="s">
        <v>148</v>
      </c>
      <c r="C324" s="12" t="s">
        <v>148</v>
      </c>
      <c r="D324" s="22" t="s">
        <v>573</v>
      </c>
      <c r="E324" s="22" t="s">
        <v>161</v>
      </c>
      <c r="F324" s="22" t="s">
        <v>1113</v>
      </c>
      <c r="G324" s="22" t="s">
        <v>1114</v>
      </c>
      <c r="H324" s="22" t="s">
        <v>166</v>
      </c>
      <c r="I324" s="22" t="s">
        <v>151</v>
      </c>
      <c r="J324" s="22" t="s">
        <v>162</v>
      </c>
      <c r="K324" s="22" t="s">
        <v>101</v>
      </c>
      <c r="L324" s="54" t="s">
        <v>153</v>
      </c>
      <c r="M324" s="23" t="s">
        <v>153</v>
      </c>
      <c r="N324" s="24" t="s">
        <v>153</v>
      </c>
      <c r="O324" s="23" t="s">
        <v>153</v>
      </c>
      <c r="P324" s="23" t="s">
        <v>153</v>
      </c>
      <c r="Q324" s="23" t="s">
        <v>153</v>
      </c>
      <c r="R324" s="23" t="s">
        <v>153</v>
      </c>
      <c r="S324" s="23" t="s">
        <v>153</v>
      </c>
      <c r="T324" s="23" t="s">
        <v>153</v>
      </c>
      <c r="U324" s="24" t="s">
        <v>153</v>
      </c>
      <c r="V324" s="54" t="s">
        <v>153</v>
      </c>
      <c r="W324" s="23" t="s">
        <v>153</v>
      </c>
      <c r="X324" s="23" t="s">
        <v>153</v>
      </c>
      <c r="Y324" s="23" t="s">
        <v>153</v>
      </c>
      <c r="Z324" s="23" t="s">
        <v>153</v>
      </c>
      <c r="AA324" s="23" t="s">
        <v>153</v>
      </c>
      <c r="AB324" s="24" t="s">
        <v>153</v>
      </c>
      <c r="AC324" s="23" t="s">
        <v>153</v>
      </c>
      <c r="AD324" s="23" t="s">
        <v>153</v>
      </c>
      <c r="AE324" s="23" t="s">
        <v>153</v>
      </c>
      <c r="AF324" s="24" t="s">
        <v>156</v>
      </c>
      <c r="AG324" s="24" t="s">
        <v>156</v>
      </c>
      <c r="AH324" s="24" t="s">
        <v>156</v>
      </c>
      <c r="AI324" s="24" t="s">
        <v>153</v>
      </c>
      <c r="AJ324" s="28" t="s">
        <v>338</v>
      </c>
      <c r="AK324" s="28" t="s">
        <v>338</v>
      </c>
      <c r="AL324" s="28" t="s">
        <v>338</v>
      </c>
      <c r="AM324" s="23" t="s">
        <v>153</v>
      </c>
      <c r="AN324" s="23" t="s">
        <v>153</v>
      </c>
      <c r="AO324" s="23" t="s">
        <v>153</v>
      </c>
      <c r="AP324" s="23">
        <f>VALUE(6)</f>
        <v>6</v>
      </c>
      <c r="AQ324" s="23">
        <f>VALUE(0)</f>
        <v>0</v>
      </c>
      <c r="AR324" s="23">
        <f>VALUE(0)</f>
        <v>0</v>
      </c>
      <c r="AS324" s="23">
        <f>VALUE(0)</f>
        <v>0</v>
      </c>
      <c r="AT324" s="23">
        <f>VALUE(3)</f>
        <v>3</v>
      </c>
      <c r="AU324" s="23">
        <f>VALUE(0)</f>
        <v>0</v>
      </c>
      <c r="AV324" s="23">
        <f>VALUE(5.5)</f>
        <v>5.5</v>
      </c>
      <c r="AW324" s="23">
        <f>VALUE(0)</f>
        <v>0</v>
      </c>
      <c r="AX324" s="23" t="s">
        <v>504</v>
      </c>
      <c r="AY324" s="23">
        <f>VALUE(0)</f>
        <v>0</v>
      </c>
      <c r="AZ324" s="23">
        <f>VALUE(0)</f>
        <v>0</v>
      </c>
      <c r="BA324" s="23">
        <f>VALUE(0)</f>
        <v>0</v>
      </c>
      <c r="BB324" s="23">
        <f>VALUE(0)</f>
        <v>0</v>
      </c>
      <c r="BC324" s="23">
        <f>VALUE(0)</f>
        <v>0</v>
      </c>
      <c r="BD324" s="23">
        <f>VALUE(0)</f>
        <v>0</v>
      </c>
      <c r="BE324" s="23">
        <f>VALUE(0)</f>
        <v>0</v>
      </c>
      <c r="BF324" s="23">
        <f>VALUE(0)</f>
        <v>0</v>
      </c>
      <c r="BG324" s="23">
        <f>VALUE(0)</f>
        <v>0</v>
      </c>
      <c r="BH324" s="23">
        <f>VALUE(0)</f>
        <v>0</v>
      </c>
      <c r="BI324" s="23">
        <f>VALUE(0)</f>
        <v>0</v>
      </c>
      <c r="BJ324" s="23">
        <f>VALUE(0)</f>
        <v>0</v>
      </c>
      <c r="BK324" s="12">
        <f>$AX$324*24</f>
        <v>23.783333333333335</v>
      </c>
      <c r="BL324" s="12">
        <f>$AY$324*24</f>
        <v>0</v>
      </c>
      <c r="BM324" s="12">
        <f>$BJ$324*24</f>
        <v>0</v>
      </c>
      <c r="BN324" s="12">
        <f>VALUE($I$324)/100</f>
        <v>1</v>
      </c>
      <c r="BO324" s="12">
        <v>0</v>
      </c>
      <c r="BP324" s="12">
        <v>0</v>
      </c>
      <c r="BQ324" s="12">
        <v>0</v>
      </c>
      <c r="BR324" s="12">
        <v>0</v>
      </c>
      <c r="BS324" s="12">
        <v>0</v>
      </c>
      <c r="BT324" s="12">
        <v>0</v>
      </c>
      <c r="BU324" s="12">
        <v>0</v>
      </c>
      <c r="BV324" s="12">
        <v>0</v>
      </c>
      <c r="BW324" s="12">
        <v>0</v>
      </c>
      <c r="BX324" s="12">
        <v>0</v>
      </c>
      <c r="BY324" s="12">
        <v>3</v>
      </c>
      <c r="BZ324" s="12">
        <v>0</v>
      </c>
      <c r="CA324" s="12">
        <v>0</v>
      </c>
    </row>
    <row r="325" spans="1:79" x14ac:dyDescent="0.2">
      <c r="A325" s="12" t="s">
        <v>147</v>
      </c>
      <c r="B325" s="12" t="s">
        <v>148</v>
      </c>
      <c r="C325" s="12" t="s">
        <v>148</v>
      </c>
      <c r="D325" s="22" t="s">
        <v>574</v>
      </c>
      <c r="E325" s="22" t="s">
        <v>161</v>
      </c>
      <c r="F325" s="22" t="s">
        <v>1115</v>
      </c>
      <c r="G325" s="22" t="s">
        <v>1116</v>
      </c>
      <c r="H325" s="22" t="s">
        <v>190</v>
      </c>
      <c r="I325" s="22" t="s">
        <v>151</v>
      </c>
      <c r="J325" s="22" t="s">
        <v>162</v>
      </c>
      <c r="K325" s="22" t="s">
        <v>101</v>
      </c>
      <c r="L325" s="54" t="s">
        <v>153</v>
      </c>
      <c r="M325" s="23" t="s">
        <v>153</v>
      </c>
      <c r="N325" s="24" t="s">
        <v>153</v>
      </c>
      <c r="O325" s="23" t="s">
        <v>153</v>
      </c>
      <c r="P325" s="23" t="s">
        <v>153</v>
      </c>
      <c r="Q325" s="23" t="s">
        <v>153</v>
      </c>
      <c r="R325" s="23" t="s">
        <v>153</v>
      </c>
      <c r="S325" s="23" t="s">
        <v>153</v>
      </c>
      <c r="T325" s="23" t="s">
        <v>153</v>
      </c>
      <c r="U325" s="40" t="s">
        <v>153</v>
      </c>
      <c r="V325" s="40" t="s">
        <v>153</v>
      </c>
      <c r="W325" s="40" t="s">
        <v>153</v>
      </c>
      <c r="X325" s="40" t="s">
        <v>153</v>
      </c>
      <c r="Y325" s="40" t="s">
        <v>153</v>
      </c>
      <c r="Z325" s="40" t="s">
        <v>153</v>
      </c>
      <c r="AA325" s="40" t="s">
        <v>153</v>
      </c>
      <c r="AB325" s="40" t="s">
        <v>153</v>
      </c>
      <c r="AC325" s="40" t="s">
        <v>153</v>
      </c>
      <c r="AD325" s="40" t="s">
        <v>153</v>
      </c>
      <c r="AE325" s="40" t="s">
        <v>153</v>
      </c>
      <c r="AF325" s="40" t="s">
        <v>153</v>
      </c>
      <c r="AG325" s="40" t="s">
        <v>153</v>
      </c>
      <c r="AH325" s="40" t="s">
        <v>153</v>
      </c>
      <c r="AI325" s="40" t="s">
        <v>153</v>
      </c>
      <c r="AJ325" s="40" t="s">
        <v>153</v>
      </c>
      <c r="AK325" s="40" t="s">
        <v>153</v>
      </c>
      <c r="AL325" s="40" t="s">
        <v>153</v>
      </c>
      <c r="AM325" s="40" t="s">
        <v>153</v>
      </c>
      <c r="AN325" s="40" t="s">
        <v>153</v>
      </c>
      <c r="AO325" s="40" t="s">
        <v>153</v>
      </c>
      <c r="AP325" s="23">
        <f>VALUE(0)</f>
        <v>0</v>
      </c>
      <c r="AQ325" s="23">
        <f>VALUE(0)</f>
        <v>0</v>
      </c>
      <c r="AR325" s="23">
        <f>VALUE(0)</f>
        <v>0</v>
      </c>
      <c r="AS325" s="23">
        <f>VALUE(0)</f>
        <v>0</v>
      </c>
      <c r="AT325" s="23">
        <f>VALUE(0)</f>
        <v>0</v>
      </c>
      <c r="AU325" s="23">
        <f>VALUE(0)</f>
        <v>0</v>
      </c>
      <c r="AV325" s="23">
        <f>VALUE(2)</f>
        <v>2</v>
      </c>
      <c r="AW325" s="23">
        <f>VALUE(0)</f>
        <v>0</v>
      </c>
      <c r="AX325" s="23">
        <f>VALUE(0)</f>
        <v>0</v>
      </c>
      <c r="AY325" s="23">
        <f>VALUE(0)</f>
        <v>0</v>
      </c>
      <c r="AZ325" s="23">
        <f>VALUE(0)</f>
        <v>0</v>
      </c>
      <c r="BA325" s="23">
        <f>VALUE(0)</f>
        <v>0</v>
      </c>
      <c r="BB325" s="23">
        <f>VALUE(0)</f>
        <v>0</v>
      </c>
      <c r="BC325" s="23">
        <f>VALUE(0)</f>
        <v>0</v>
      </c>
      <c r="BD325" s="23">
        <f>VALUE(0)</f>
        <v>0</v>
      </c>
      <c r="BE325" s="23">
        <f>VALUE(0)</f>
        <v>0</v>
      </c>
      <c r="BF325" s="23">
        <f>VALUE(0)</f>
        <v>0</v>
      </c>
      <c r="BG325" s="23">
        <f>VALUE(0)</f>
        <v>0</v>
      </c>
      <c r="BH325" s="23">
        <f>VALUE(0)</f>
        <v>0</v>
      </c>
      <c r="BI325" s="23">
        <f>VALUE(0)</f>
        <v>0</v>
      </c>
      <c r="BJ325" s="23">
        <f>VALUE(0)</f>
        <v>0</v>
      </c>
      <c r="BK325" s="12">
        <f>$AX$325*24</f>
        <v>0</v>
      </c>
      <c r="BL325" s="12">
        <f>$AY$325*24</f>
        <v>0</v>
      </c>
      <c r="BM325" s="12">
        <f>$BJ$325*24</f>
        <v>0</v>
      </c>
      <c r="BN325" s="12">
        <f>VALUE($I$325)/100</f>
        <v>1</v>
      </c>
      <c r="BO325" s="12">
        <v>0</v>
      </c>
      <c r="BP325" s="12">
        <v>0</v>
      </c>
      <c r="BQ325" s="12">
        <v>0</v>
      </c>
      <c r="BR325" s="12">
        <v>0</v>
      </c>
      <c r="BS325" s="12">
        <v>0</v>
      </c>
      <c r="BT325" s="12">
        <v>0</v>
      </c>
      <c r="BU325" s="12">
        <v>0</v>
      </c>
      <c r="BV325" s="12">
        <v>0</v>
      </c>
      <c r="BW325" s="12">
        <v>0</v>
      </c>
      <c r="BX325" s="12">
        <v>0</v>
      </c>
      <c r="BY325" s="12">
        <v>0</v>
      </c>
      <c r="BZ325" s="12">
        <v>0</v>
      </c>
      <c r="CA325" s="12">
        <v>0</v>
      </c>
    </row>
    <row r="326" spans="1:79" x14ac:dyDescent="0.2">
      <c r="A326" s="12" t="s">
        <v>147</v>
      </c>
      <c r="B326" s="12" t="s">
        <v>148</v>
      </c>
      <c r="C326" s="12" t="s">
        <v>148</v>
      </c>
      <c r="D326" s="22" t="s">
        <v>575</v>
      </c>
      <c r="E326" s="22" t="s">
        <v>161</v>
      </c>
      <c r="F326" s="22" t="s">
        <v>1315</v>
      </c>
      <c r="G326" s="22" t="s">
        <v>1117</v>
      </c>
      <c r="H326" s="22" t="s">
        <v>150</v>
      </c>
      <c r="I326" s="22" t="s">
        <v>151</v>
      </c>
      <c r="J326" s="22" t="s">
        <v>162</v>
      </c>
      <c r="K326" s="22" t="s">
        <v>101</v>
      </c>
      <c r="L326" s="54" t="s">
        <v>153</v>
      </c>
      <c r="M326" s="28" t="s">
        <v>163</v>
      </c>
      <c r="N326" s="24" t="s">
        <v>153</v>
      </c>
      <c r="O326" s="28" t="s">
        <v>163</v>
      </c>
      <c r="P326" s="28" t="s">
        <v>163</v>
      </c>
      <c r="Q326" s="28" t="s">
        <v>163</v>
      </c>
      <c r="R326" s="28" t="s">
        <v>163</v>
      </c>
      <c r="S326" s="28" t="s">
        <v>163</v>
      </c>
      <c r="T326" s="28" t="s">
        <v>163</v>
      </c>
      <c r="U326" s="24" t="s">
        <v>153</v>
      </c>
      <c r="V326" s="54" t="s">
        <v>153</v>
      </c>
      <c r="W326" s="23" t="s">
        <v>153</v>
      </c>
      <c r="X326" s="23" t="s">
        <v>153</v>
      </c>
      <c r="Y326" s="23" t="s">
        <v>153</v>
      </c>
      <c r="Z326" s="23" t="s">
        <v>153</v>
      </c>
      <c r="AA326" s="23" t="s">
        <v>153</v>
      </c>
      <c r="AB326" s="24" t="s">
        <v>153</v>
      </c>
      <c r="AC326" s="23" t="s">
        <v>153</v>
      </c>
      <c r="AD326" s="23" t="s">
        <v>153</v>
      </c>
      <c r="AE326" s="23" t="s">
        <v>153</v>
      </c>
      <c r="AF326" s="23" t="s">
        <v>153</v>
      </c>
      <c r="AG326" s="23" t="s">
        <v>153</v>
      </c>
      <c r="AH326" s="23" t="s">
        <v>153</v>
      </c>
      <c r="AI326" s="24" t="s">
        <v>153</v>
      </c>
      <c r="AJ326" s="23" t="s">
        <v>153</v>
      </c>
      <c r="AK326" s="23" t="s">
        <v>153</v>
      </c>
      <c r="AL326" s="23" t="s">
        <v>153</v>
      </c>
      <c r="AM326" s="23" t="s">
        <v>153</v>
      </c>
      <c r="AN326" s="23" t="s">
        <v>153</v>
      </c>
      <c r="AO326" s="23" t="s">
        <v>153</v>
      </c>
      <c r="AP326" s="23">
        <f>VALUE(7)</f>
        <v>7</v>
      </c>
      <c r="AQ326" s="23">
        <f>VALUE(0)</f>
        <v>0</v>
      </c>
      <c r="AR326" s="23">
        <f>VALUE(0)</f>
        <v>0</v>
      </c>
      <c r="AS326" s="23">
        <f>VALUE(0)</f>
        <v>0</v>
      </c>
      <c r="AT326" s="23">
        <f>VALUE(0)</f>
        <v>0</v>
      </c>
      <c r="AU326" s="23">
        <f>VALUE(7)</f>
        <v>7</v>
      </c>
      <c r="AV326" s="23">
        <f>VALUE(0)</f>
        <v>0</v>
      </c>
      <c r="AW326" s="23">
        <f>VALUE(0)</f>
        <v>0</v>
      </c>
      <c r="AX326" s="23" t="s">
        <v>176</v>
      </c>
      <c r="AY326" s="23" t="s">
        <v>571</v>
      </c>
      <c r="AZ326" s="23">
        <f>VALUE(0)</f>
        <v>0</v>
      </c>
      <c r="BA326" s="23">
        <f>VALUE(0)</f>
        <v>0</v>
      </c>
      <c r="BB326" s="23">
        <f>VALUE(0)</f>
        <v>0</v>
      </c>
      <c r="BC326" s="23">
        <f>VALUE(0)</f>
        <v>0</v>
      </c>
      <c r="BD326" s="23">
        <f>VALUE(0)</f>
        <v>0</v>
      </c>
      <c r="BE326" s="23">
        <f>VALUE(0)</f>
        <v>0</v>
      </c>
      <c r="BF326" s="23">
        <f>VALUE(0)</f>
        <v>0</v>
      </c>
      <c r="BG326" s="23">
        <f>VALUE(0)</f>
        <v>0</v>
      </c>
      <c r="BH326" s="23">
        <f>VALUE(0)</f>
        <v>0</v>
      </c>
      <c r="BI326" s="23">
        <f>VALUE(0)</f>
        <v>0</v>
      </c>
      <c r="BJ326" s="23">
        <f>VALUE(0)</f>
        <v>0</v>
      </c>
      <c r="BK326" s="12">
        <f>$AX$326*24</f>
        <v>0</v>
      </c>
      <c r="BL326" s="12">
        <f>$AY$326*24</f>
        <v>3.1000000000000005</v>
      </c>
      <c r="BM326" s="12">
        <f>$BJ$326*24</f>
        <v>0</v>
      </c>
      <c r="BN326" s="12">
        <f>VALUE($I$326)/100</f>
        <v>1</v>
      </c>
      <c r="BO326" s="12">
        <v>0</v>
      </c>
      <c r="BP326" s="12">
        <v>0</v>
      </c>
      <c r="BQ326" s="12">
        <v>0</v>
      </c>
      <c r="BR326" s="12">
        <v>0</v>
      </c>
      <c r="BS326" s="12">
        <v>0</v>
      </c>
      <c r="BT326" s="12">
        <v>0</v>
      </c>
      <c r="BU326" s="12">
        <v>0</v>
      </c>
      <c r="BV326" s="12">
        <v>0</v>
      </c>
      <c r="BW326" s="12">
        <v>0</v>
      </c>
      <c r="BX326" s="12">
        <v>0</v>
      </c>
      <c r="BY326" s="12">
        <v>0</v>
      </c>
      <c r="BZ326" s="12">
        <v>0</v>
      </c>
      <c r="CA326" s="12">
        <v>0</v>
      </c>
    </row>
    <row r="327" spans="1:79" x14ac:dyDescent="0.2">
      <c r="A327" s="12" t="s">
        <v>147</v>
      </c>
      <c r="B327" s="12" t="s">
        <v>148</v>
      </c>
      <c r="C327" s="12" t="s">
        <v>148</v>
      </c>
      <c r="D327" s="22" t="s">
        <v>576</v>
      </c>
      <c r="E327" s="22" t="s">
        <v>161</v>
      </c>
      <c r="F327" s="22" t="s">
        <v>1316</v>
      </c>
      <c r="G327" s="22" t="s">
        <v>1118</v>
      </c>
      <c r="H327" s="22" t="s">
        <v>166</v>
      </c>
      <c r="I327" s="22" t="s">
        <v>151</v>
      </c>
      <c r="J327" s="22" t="s">
        <v>162</v>
      </c>
      <c r="K327" s="22" t="s">
        <v>101</v>
      </c>
      <c r="L327" s="54" t="s">
        <v>156</v>
      </c>
      <c r="M327" s="24" t="s">
        <v>156</v>
      </c>
      <c r="N327" s="24" t="s">
        <v>153</v>
      </c>
      <c r="O327" s="23" t="s">
        <v>153</v>
      </c>
      <c r="P327" s="23" t="s">
        <v>153</v>
      </c>
      <c r="Q327" s="23" t="s">
        <v>153</v>
      </c>
      <c r="R327" s="23" t="s">
        <v>153</v>
      </c>
      <c r="S327" s="23" t="s">
        <v>153</v>
      </c>
      <c r="T327" s="23" t="s">
        <v>153</v>
      </c>
      <c r="U327" s="24" t="s">
        <v>153</v>
      </c>
      <c r="V327" s="54" t="s">
        <v>153</v>
      </c>
      <c r="W327" s="23" t="s">
        <v>153</v>
      </c>
      <c r="X327" s="23" t="s">
        <v>153</v>
      </c>
      <c r="Y327" s="23" t="s">
        <v>153</v>
      </c>
      <c r="Z327" s="23" t="s">
        <v>153</v>
      </c>
      <c r="AA327" s="23" t="s">
        <v>153</v>
      </c>
      <c r="AB327" s="24" t="s">
        <v>153</v>
      </c>
      <c r="AC327" s="23" t="s">
        <v>153</v>
      </c>
      <c r="AD327" s="23" t="s">
        <v>153</v>
      </c>
      <c r="AE327" s="23" t="s">
        <v>153</v>
      </c>
      <c r="AF327" s="23" t="s">
        <v>153</v>
      </c>
      <c r="AG327" s="23" t="s">
        <v>153</v>
      </c>
      <c r="AH327" s="23" t="s">
        <v>153</v>
      </c>
      <c r="AI327" s="24" t="s">
        <v>153</v>
      </c>
      <c r="AJ327" s="30" t="s">
        <v>28</v>
      </c>
      <c r="AK327" s="30" t="s">
        <v>28</v>
      </c>
      <c r="AL327" s="30" t="s">
        <v>28</v>
      </c>
      <c r="AM327" s="30" t="s">
        <v>28</v>
      </c>
      <c r="AN327" s="30" t="s">
        <v>28</v>
      </c>
      <c r="AO327" s="28" t="s">
        <v>163</v>
      </c>
      <c r="AP327" s="23">
        <f>VALUE(17)</f>
        <v>17</v>
      </c>
      <c r="AQ327" s="23">
        <f>VALUE(0)</f>
        <v>0</v>
      </c>
      <c r="AR327" s="23">
        <f>VALUE(0)</f>
        <v>0</v>
      </c>
      <c r="AS327" s="23">
        <f>VALUE(0)</f>
        <v>0</v>
      </c>
      <c r="AT327" s="23">
        <f>VALUE(0)</f>
        <v>0</v>
      </c>
      <c r="AU327" s="23">
        <f>VALUE(1)</f>
        <v>1</v>
      </c>
      <c r="AV327" s="23">
        <f>VALUE(2.5)</f>
        <v>2.5</v>
      </c>
      <c r="AW327" s="23">
        <f>VALUE(0)</f>
        <v>0</v>
      </c>
      <c r="AX327" s="23" t="s">
        <v>1317</v>
      </c>
      <c r="AY327" s="23">
        <f>VALUE(0)</f>
        <v>0</v>
      </c>
      <c r="AZ327" s="23">
        <f>VALUE(0)</f>
        <v>0</v>
      </c>
      <c r="BA327" s="23">
        <f>VALUE(0)</f>
        <v>0</v>
      </c>
      <c r="BB327" s="23">
        <f>VALUE(0)</f>
        <v>0</v>
      </c>
      <c r="BC327" s="23">
        <f>VALUE(0)</f>
        <v>0</v>
      </c>
      <c r="BD327" s="23">
        <f>VALUE(0)</f>
        <v>0</v>
      </c>
      <c r="BE327" s="23">
        <f>VALUE(0)</f>
        <v>0</v>
      </c>
      <c r="BF327" s="23">
        <f>VALUE(0)</f>
        <v>0</v>
      </c>
      <c r="BG327" s="23">
        <f>VALUE(0)</f>
        <v>0</v>
      </c>
      <c r="BH327" s="23">
        <f>VALUE(0)</f>
        <v>0</v>
      </c>
      <c r="BI327" s="23">
        <f>VALUE(0)</f>
        <v>0</v>
      </c>
      <c r="BJ327" s="23">
        <f>VALUE(0)</f>
        <v>0</v>
      </c>
      <c r="BK327" s="12">
        <f>$AX$327*24</f>
        <v>33</v>
      </c>
      <c r="BL327" s="12">
        <f>$AY$327*24</f>
        <v>0</v>
      </c>
      <c r="BM327" s="12">
        <f>$BJ$327*24</f>
        <v>0</v>
      </c>
      <c r="BN327" s="12">
        <f>VALUE($I$327)/100</f>
        <v>1</v>
      </c>
      <c r="BO327" s="12">
        <v>0</v>
      </c>
      <c r="BP327" s="12">
        <v>0</v>
      </c>
      <c r="BQ327" s="12">
        <v>5</v>
      </c>
      <c r="BR327" s="12">
        <v>0</v>
      </c>
      <c r="BS327" s="12">
        <v>0</v>
      </c>
      <c r="BT327" s="12">
        <v>0</v>
      </c>
      <c r="BU327" s="12">
        <v>0</v>
      </c>
      <c r="BV327" s="12">
        <v>0</v>
      </c>
      <c r="BW327" s="12">
        <v>0</v>
      </c>
      <c r="BX327" s="12">
        <v>0</v>
      </c>
      <c r="BY327" s="12">
        <v>0</v>
      </c>
      <c r="BZ327" s="12">
        <v>0</v>
      </c>
      <c r="CA327" s="12">
        <v>0</v>
      </c>
    </row>
    <row r="328" spans="1:79" x14ac:dyDescent="0.2">
      <c r="A328" s="12" t="s">
        <v>147</v>
      </c>
      <c r="B328" s="12" t="s">
        <v>148</v>
      </c>
      <c r="C328" s="12" t="s">
        <v>148</v>
      </c>
      <c r="D328" s="22" t="s">
        <v>577</v>
      </c>
      <c r="E328" s="22" t="s">
        <v>161</v>
      </c>
      <c r="F328" s="22" t="s">
        <v>1119</v>
      </c>
      <c r="G328" s="22" t="s">
        <v>1120</v>
      </c>
      <c r="H328" s="22" t="s">
        <v>166</v>
      </c>
      <c r="I328" s="22" t="s">
        <v>151</v>
      </c>
      <c r="J328" s="22" t="s">
        <v>162</v>
      </c>
      <c r="K328" s="22" t="s">
        <v>101</v>
      </c>
      <c r="L328" s="54" t="s">
        <v>153</v>
      </c>
      <c r="M328" s="23" t="s">
        <v>153</v>
      </c>
      <c r="N328" s="24" t="s">
        <v>153</v>
      </c>
      <c r="O328" s="28" t="s">
        <v>163</v>
      </c>
      <c r="P328" s="28" t="s">
        <v>163</v>
      </c>
      <c r="Q328" s="28" t="s">
        <v>163</v>
      </c>
      <c r="R328" s="23" t="s">
        <v>153</v>
      </c>
      <c r="S328" s="23" t="s">
        <v>153</v>
      </c>
      <c r="T328" s="23" t="s">
        <v>153</v>
      </c>
      <c r="U328" s="24" t="s">
        <v>153</v>
      </c>
      <c r="V328" s="54" t="s">
        <v>153</v>
      </c>
      <c r="W328" s="23" t="s">
        <v>153</v>
      </c>
      <c r="X328" s="23" t="s">
        <v>153</v>
      </c>
      <c r="Y328" s="24" t="s">
        <v>156</v>
      </c>
      <c r="Z328" s="24" t="s">
        <v>156</v>
      </c>
      <c r="AA328" s="24" t="s">
        <v>156</v>
      </c>
      <c r="AB328" s="24" t="s">
        <v>153</v>
      </c>
      <c r="AC328" s="28" t="s">
        <v>338</v>
      </c>
      <c r="AD328" s="28" t="s">
        <v>338</v>
      </c>
      <c r="AE328" s="28" t="s">
        <v>338</v>
      </c>
      <c r="AF328" s="28" t="s">
        <v>338</v>
      </c>
      <c r="AG328" s="28" t="s">
        <v>338</v>
      </c>
      <c r="AH328" s="28" t="s">
        <v>338</v>
      </c>
      <c r="AI328" s="24" t="s">
        <v>153</v>
      </c>
      <c r="AJ328" s="23" t="s">
        <v>153</v>
      </c>
      <c r="AK328" s="23" t="s">
        <v>153</v>
      </c>
      <c r="AL328" s="23" t="s">
        <v>153</v>
      </c>
      <c r="AM328" s="23" t="s">
        <v>153</v>
      </c>
      <c r="AN328" s="23" t="s">
        <v>153</v>
      </c>
      <c r="AO328" s="23" t="s">
        <v>153</v>
      </c>
      <c r="AP328" s="23">
        <f>VALUE(12)</f>
        <v>12</v>
      </c>
      <c r="AQ328" s="23">
        <f>VALUE(0)</f>
        <v>0</v>
      </c>
      <c r="AR328" s="23">
        <f>VALUE(0)</f>
        <v>0</v>
      </c>
      <c r="AS328" s="23">
        <f>VALUE(0)</f>
        <v>0</v>
      </c>
      <c r="AT328" s="23">
        <f>VALUE(6)</f>
        <v>6</v>
      </c>
      <c r="AU328" s="23">
        <f>VALUE(3)</f>
        <v>3</v>
      </c>
      <c r="AV328" s="23">
        <f>VALUE(12)</f>
        <v>12</v>
      </c>
      <c r="AW328" s="23">
        <f>VALUE(0)</f>
        <v>0</v>
      </c>
      <c r="AX328" s="23" t="s">
        <v>1318</v>
      </c>
      <c r="AY328" s="23">
        <f>VALUE(0)</f>
        <v>0</v>
      </c>
      <c r="AZ328" s="23">
        <f>VALUE(0)</f>
        <v>0</v>
      </c>
      <c r="BA328" s="23">
        <f>VALUE(0)</f>
        <v>0</v>
      </c>
      <c r="BB328" s="23">
        <f>VALUE(0)</f>
        <v>0</v>
      </c>
      <c r="BC328" s="23">
        <f>VALUE(0)</f>
        <v>0</v>
      </c>
      <c r="BD328" s="23">
        <f>VALUE(0)</f>
        <v>0</v>
      </c>
      <c r="BE328" s="23">
        <f>VALUE(0)</f>
        <v>0</v>
      </c>
      <c r="BF328" s="23">
        <f>VALUE(0)</f>
        <v>0</v>
      </c>
      <c r="BG328" s="23">
        <f>VALUE(0)</f>
        <v>0</v>
      </c>
      <c r="BH328" s="23">
        <f>VALUE(0)</f>
        <v>0</v>
      </c>
      <c r="BI328" s="23">
        <f>VALUE(0)</f>
        <v>0</v>
      </c>
      <c r="BJ328" s="23">
        <f>VALUE(0)</f>
        <v>0</v>
      </c>
      <c r="BK328" s="12">
        <f>$AX$328*24</f>
        <v>33.6</v>
      </c>
      <c r="BL328" s="12">
        <f>$AY$328*24</f>
        <v>0</v>
      </c>
      <c r="BM328" s="12">
        <f>$BJ$328*24</f>
        <v>0</v>
      </c>
      <c r="BN328" s="12">
        <f>VALUE($I$328)/100</f>
        <v>1</v>
      </c>
      <c r="BO328" s="12">
        <v>0</v>
      </c>
      <c r="BP328" s="12">
        <v>0</v>
      </c>
      <c r="BQ328" s="12">
        <v>0</v>
      </c>
      <c r="BR328" s="12">
        <v>0</v>
      </c>
      <c r="BS328" s="12">
        <v>0</v>
      </c>
      <c r="BT328" s="12">
        <v>0</v>
      </c>
      <c r="BU328" s="12">
        <v>0</v>
      </c>
      <c r="BV328" s="12">
        <v>0</v>
      </c>
      <c r="BW328" s="12">
        <v>0</v>
      </c>
      <c r="BX328" s="12">
        <v>0</v>
      </c>
      <c r="BY328" s="12">
        <v>6</v>
      </c>
      <c r="BZ328" s="12">
        <v>0</v>
      </c>
      <c r="CA328" s="12">
        <v>0</v>
      </c>
    </row>
    <row r="329" spans="1:79" x14ac:dyDescent="0.2">
      <c r="A329" s="12" t="s">
        <v>147</v>
      </c>
      <c r="B329" s="12" t="s">
        <v>148</v>
      </c>
      <c r="C329" s="12" t="s">
        <v>148</v>
      </c>
      <c r="D329" s="22" t="s">
        <v>159</v>
      </c>
      <c r="E329" s="22" t="s">
        <v>159</v>
      </c>
      <c r="F329" s="22" t="s">
        <v>1121</v>
      </c>
      <c r="G329" s="22" t="s">
        <v>1122</v>
      </c>
      <c r="H329" s="22" t="s">
        <v>150</v>
      </c>
      <c r="I329" s="22" t="s">
        <v>151</v>
      </c>
      <c r="J329" s="22" t="s">
        <v>162</v>
      </c>
      <c r="K329" s="22" t="s">
        <v>101</v>
      </c>
      <c r="L329" s="54" t="s">
        <v>153</v>
      </c>
      <c r="M329" s="23" t="s">
        <v>575</v>
      </c>
      <c r="N329" s="24" t="s">
        <v>153</v>
      </c>
      <c r="O329" s="23" t="s">
        <v>575</v>
      </c>
      <c r="P329" s="23" t="s">
        <v>575</v>
      </c>
      <c r="Q329" s="23" t="s">
        <v>575</v>
      </c>
      <c r="R329" s="23" t="s">
        <v>575</v>
      </c>
      <c r="S329" s="23" t="s">
        <v>575</v>
      </c>
      <c r="T329" s="23" t="s">
        <v>575</v>
      </c>
      <c r="U329" s="24" t="s">
        <v>153</v>
      </c>
      <c r="V329" s="54" t="s">
        <v>153</v>
      </c>
      <c r="W329" s="29" t="s">
        <v>163</v>
      </c>
      <c r="X329" s="29" t="s">
        <v>163</v>
      </c>
      <c r="Y329" s="29" t="s">
        <v>163</v>
      </c>
      <c r="Z329" s="29" t="s">
        <v>163</v>
      </c>
      <c r="AA329" s="29" t="s">
        <v>163</v>
      </c>
      <c r="AB329" s="24" t="s">
        <v>153</v>
      </c>
      <c r="AC329" s="23" t="s">
        <v>577</v>
      </c>
      <c r="AD329" s="23" t="s">
        <v>577</v>
      </c>
      <c r="AE329" s="23" t="s">
        <v>577</v>
      </c>
      <c r="AF329" s="23" t="s">
        <v>577</v>
      </c>
      <c r="AG329" s="23" t="s">
        <v>577</v>
      </c>
      <c r="AH329" s="23" t="s">
        <v>577</v>
      </c>
      <c r="AI329" s="24" t="s">
        <v>153</v>
      </c>
      <c r="AJ329" s="23" t="s">
        <v>576</v>
      </c>
      <c r="AK329" s="23" t="s">
        <v>576</v>
      </c>
      <c r="AL329" s="23" t="s">
        <v>576</v>
      </c>
      <c r="AM329" s="23" t="s">
        <v>576</v>
      </c>
      <c r="AN329" s="23" t="s">
        <v>576</v>
      </c>
      <c r="AO329" s="23" t="s">
        <v>576</v>
      </c>
      <c r="AP329" s="23">
        <f>VALUE(6)</f>
        <v>6</v>
      </c>
      <c r="AQ329" s="23">
        <f>VALUE(0)</f>
        <v>0</v>
      </c>
      <c r="AR329" s="23">
        <f>VALUE(5)</f>
        <v>5</v>
      </c>
      <c r="AS329" s="23">
        <f>VALUE(0)</f>
        <v>0</v>
      </c>
      <c r="AT329" s="23">
        <f>VALUE(0)</f>
        <v>0</v>
      </c>
      <c r="AU329" s="23">
        <f>VALUE(0)</f>
        <v>0</v>
      </c>
      <c r="AV329" s="23">
        <f>VALUE(2)</f>
        <v>2</v>
      </c>
      <c r="AW329" s="23">
        <f>VALUE(0)</f>
        <v>0</v>
      </c>
      <c r="AX329" s="23">
        <f>VALUE(0)</f>
        <v>0</v>
      </c>
      <c r="AY329" s="23" t="s">
        <v>578</v>
      </c>
      <c r="AZ329" s="23">
        <f>VALUE(0)</f>
        <v>0</v>
      </c>
      <c r="BA329" s="23">
        <f>VALUE(0)</f>
        <v>0</v>
      </c>
      <c r="BB329" s="23">
        <f>VALUE(0)</f>
        <v>0</v>
      </c>
      <c r="BC329" s="23">
        <f>VALUE(0)</f>
        <v>0</v>
      </c>
      <c r="BD329" s="23">
        <f>VALUE(0)</f>
        <v>0</v>
      </c>
      <c r="BE329" s="23">
        <f>VALUE(0)</f>
        <v>0</v>
      </c>
      <c r="BF329" s="23">
        <f>VALUE(0)</f>
        <v>0</v>
      </c>
      <c r="BG329" s="23">
        <f>VALUE(0)</f>
        <v>0</v>
      </c>
      <c r="BH329" s="23">
        <f>VALUE(0)</f>
        <v>0</v>
      </c>
      <c r="BI329" s="23">
        <f>VALUE(0)</f>
        <v>0</v>
      </c>
      <c r="BJ329" s="23">
        <f>VALUE(0)</f>
        <v>0</v>
      </c>
      <c r="BK329" s="12">
        <f>$AX$329*24</f>
        <v>0</v>
      </c>
      <c r="BL329" s="12">
        <f>$AY$329*24</f>
        <v>2.7666666666666666</v>
      </c>
      <c r="BM329" s="12">
        <f>$BJ$329*24</f>
        <v>0</v>
      </c>
      <c r="BN329" s="12">
        <f>VALUE($I$329)/100</f>
        <v>1</v>
      </c>
      <c r="BO329" s="12">
        <v>0</v>
      </c>
      <c r="BP329" s="12">
        <v>0</v>
      </c>
      <c r="BQ329" s="12">
        <v>0</v>
      </c>
      <c r="BR329" s="12">
        <v>0</v>
      </c>
      <c r="BS329" s="12">
        <v>0</v>
      </c>
      <c r="BT329" s="12">
        <v>5</v>
      </c>
      <c r="BU329" s="12">
        <v>0</v>
      </c>
      <c r="BV329" s="12">
        <v>0</v>
      </c>
      <c r="BW329" s="12">
        <v>0</v>
      </c>
      <c r="BX329" s="12">
        <v>0</v>
      </c>
      <c r="BY329" s="12">
        <v>0</v>
      </c>
      <c r="BZ329" s="12">
        <v>0</v>
      </c>
      <c r="CA329" s="12">
        <v>0</v>
      </c>
    </row>
    <row r="330" spans="1:79" x14ac:dyDescent="0.2">
      <c r="A330" s="12" t="s">
        <v>147</v>
      </c>
      <c r="B330" s="12" t="s">
        <v>148</v>
      </c>
      <c r="C330" s="12" t="s">
        <v>148</v>
      </c>
      <c r="D330" s="22" t="s">
        <v>1319</v>
      </c>
      <c r="E330" s="22" t="s">
        <v>161</v>
      </c>
      <c r="F330" s="22" t="s">
        <v>1123</v>
      </c>
      <c r="G330" s="22" t="s">
        <v>1124</v>
      </c>
      <c r="H330" s="22" t="s">
        <v>166</v>
      </c>
      <c r="I330" s="22" t="s">
        <v>151</v>
      </c>
      <c r="J330" s="22" t="s">
        <v>162</v>
      </c>
      <c r="K330" s="22" t="s">
        <v>101</v>
      </c>
      <c r="L330" s="54" t="s">
        <v>153</v>
      </c>
      <c r="M330" s="27" t="s">
        <v>153</v>
      </c>
      <c r="N330" s="27" t="s">
        <v>153</v>
      </c>
      <c r="O330" s="27" t="s">
        <v>153</v>
      </c>
      <c r="P330" s="27" t="s">
        <v>153</v>
      </c>
      <c r="Q330" s="27" t="s">
        <v>153</v>
      </c>
      <c r="R330" s="27" t="s">
        <v>153</v>
      </c>
      <c r="S330" s="27" t="s">
        <v>153</v>
      </c>
      <c r="T330" s="27" t="s">
        <v>153</v>
      </c>
      <c r="U330" s="27" t="s">
        <v>153</v>
      </c>
      <c r="V330" s="54" t="s">
        <v>153</v>
      </c>
      <c r="W330" s="27" t="s">
        <v>153</v>
      </c>
      <c r="X330" s="27" t="s">
        <v>153</v>
      </c>
      <c r="Y330" s="27" t="s">
        <v>153</v>
      </c>
      <c r="Z330" s="27" t="s">
        <v>153</v>
      </c>
      <c r="AA330" s="27" t="s">
        <v>153</v>
      </c>
      <c r="AB330" s="27" t="s">
        <v>153</v>
      </c>
      <c r="AC330" s="27" t="s">
        <v>153</v>
      </c>
      <c r="AD330" s="27" t="s">
        <v>153</v>
      </c>
      <c r="AE330" s="27" t="s">
        <v>153</v>
      </c>
      <c r="AF330" s="27" t="s">
        <v>153</v>
      </c>
      <c r="AG330" s="27" t="s">
        <v>153</v>
      </c>
      <c r="AH330" s="27" t="s">
        <v>153</v>
      </c>
      <c r="AI330" s="27" t="s">
        <v>153</v>
      </c>
      <c r="AJ330" s="27" t="s">
        <v>153</v>
      </c>
      <c r="AK330" s="27" t="s">
        <v>153</v>
      </c>
      <c r="AL330" s="27" t="s">
        <v>153</v>
      </c>
      <c r="AM330" s="27" t="s">
        <v>153</v>
      </c>
      <c r="AN330" s="27" t="s">
        <v>153</v>
      </c>
      <c r="AO330" s="27" t="s">
        <v>153</v>
      </c>
      <c r="AP330" s="23">
        <f>VALUE(0)</f>
        <v>0</v>
      </c>
      <c r="AQ330" s="23">
        <f>VALUE(0)</f>
        <v>0</v>
      </c>
      <c r="AR330" s="23">
        <f>VALUE(0)</f>
        <v>0</v>
      </c>
      <c r="AS330" s="23">
        <f>VALUE(0)</f>
        <v>0</v>
      </c>
      <c r="AT330" s="23">
        <f>VALUE(0)</f>
        <v>0</v>
      </c>
      <c r="AU330" s="23">
        <f>VALUE(0)</f>
        <v>0</v>
      </c>
      <c r="AV330" s="23">
        <f>VALUE(0)</f>
        <v>0</v>
      </c>
      <c r="AW330" s="23">
        <f>VALUE(0)</f>
        <v>0</v>
      </c>
      <c r="AX330" s="23">
        <f>VALUE(0)</f>
        <v>0</v>
      </c>
      <c r="AY330" s="23">
        <f>VALUE(0)</f>
        <v>0</v>
      </c>
      <c r="AZ330" s="23">
        <f>VALUE(0)</f>
        <v>0</v>
      </c>
      <c r="BA330" s="23">
        <f>VALUE(0)</f>
        <v>0</v>
      </c>
      <c r="BB330" s="23">
        <f>VALUE(0)</f>
        <v>0</v>
      </c>
      <c r="BC330" s="23">
        <f>VALUE(0)</f>
        <v>0</v>
      </c>
      <c r="BD330" s="23">
        <f>VALUE(0)</f>
        <v>0</v>
      </c>
      <c r="BE330" s="23">
        <f>VALUE(0)</f>
        <v>0</v>
      </c>
      <c r="BF330" s="23">
        <f>VALUE(0)</f>
        <v>0</v>
      </c>
      <c r="BG330" s="23">
        <f>VALUE(0)</f>
        <v>0</v>
      </c>
      <c r="BH330" s="23">
        <f>VALUE(0)</f>
        <v>0</v>
      </c>
      <c r="BI330" s="23">
        <f>VALUE(0)</f>
        <v>0</v>
      </c>
      <c r="BJ330" s="23">
        <f>VALUE(0)</f>
        <v>0</v>
      </c>
      <c r="BK330" s="12">
        <f>$AX$330*24</f>
        <v>0</v>
      </c>
      <c r="BL330" s="12">
        <f>$AY$330*24</f>
        <v>0</v>
      </c>
      <c r="BM330" s="12">
        <f>$BJ$330*24</f>
        <v>0</v>
      </c>
      <c r="BN330" s="12">
        <f>VALUE($I$330)/100</f>
        <v>1</v>
      </c>
      <c r="BO330" s="12">
        <v>0</v>
      </c>
      <c r="BP330" s="12">
        <v>0</v>
      </c>
      <c r="BQ330" s="12">
        <v>0</v>
      </c>
      <c r="BR330" s="12">
        <v>0</v>
      </c>
      <c r="BS330" s="12">
        <v>0</v>
      </c>
      <c r="BT330" s="12">
        <v>0</v>
      </c>
      <c r="BU330" s="12">
        <v>0</v>
      </c>
      <c r="BV330" s="12">
        <v>0</v>
      </c>
      <c r="BW330" s="12">
        <v>0</v>
      </c>
      <c r="BX330" s="12">
        <v>0</v>
      </c>
      <c r="BY330" s="12">
        <v>0</v>
      </c>
      <c r="BZ330" s="12">
        <v>0</v>
      </c>
      <c r="CA330" s="12">
        <v>0</v>
      </c>
    </row>
    <row r="331" spans="1:79" x14ac:dyDescent="0.2">
      <c r="A331" s="12" t="s">
        <v>147</v>
      </c>
      <c r="B331" s="12" t="s">
        <v>148</v>
      </c>
      <c r="C331" s="12" t="s">
        <v>148</v>
      </c>
      <c r="D331" s="22" t="s">
        <v>1312</v>
      </c>
      <c r="E331" s="22" t="s">
        <v>161</v>
      </c>
      <c r="F331" s="22" t="s">
        <v>1125</v>
      </c>
      <c r="G331" s="22" t="s">
        <v>1126</v>
      </c>
      <c r="H331" s="22" t="s">
        <v>166</v>
      </c>
      <c r="I331" s="22" t="s">
        <v>415</v>
      </c>
      <c r="J331" s="22" t="s">
        <v>162</v>
      </c>
      <c r="K331" s="22" t="s">
        <v>101</v>
      </c>
      <c r="L331" s="54" t="s">
        <v>153</v>
      </c>
      <c r="M331" s="23" t="s">
        <v>576</v>
      </c>
      <c r="N331" s="24" t="s">
        <v>153</v>
      </c>
      <c r="O331" s="24" t="s">
        <v>195</v>
      </c>
      <c r="P331" s="24" t="s">
        <v>195</v>
      </c>
      <c r="Q331" s="24" t="s">
        <v>195</v>
      </c>
      <c r="R331" s="23" t="s">
        <v>574</v>
      </c>
      <c r="S331" s="23" t="s">
        <v>574</v>
      </c>
      <c r="T331" s="23" t="s">
        <v>574</v>
      </c>
      <c r="U331" s="24" t="s">
        <v>153</v>
      </c>
      <c r="V331" s="54" t="s">
        <v>153</v>
      </c>
      <c r="W331" s="24" t="s">
        <v>195</v>
      </c>
      <c r="X331" s="24" t="s">
        <v>195</v>
      </c>
      <c r="Y331" s="23" t="s">
        <v>577</v>
      </c>
      <c r="Z331" s="23" t="s">
        <v>577</v>
      </c>
      <c r="AA331" s="23" t="s">
        <v>577</v>
      </c>
      <c r="AB331" s="24" t="s">
        <v>153</v>
      </c>
      <c r="AC331" s="24" t="s">
        <v>195</v>
      </c>
      <c r="AD331" s="24" t="s">
        <v>195</v>
      </c>
      <c r="AE331" s="24" t="s">
        <v>195</v>
      </c>
      <c r="AF331" s="23" t="s">
        <v>573</v>
      </c>
      <c r="AG331" s="23" t="s">
        <v>573</v>
      </c>
      <c r="AH331" s="23" t="s">
        <v>573</v>
      </c>
      <c r="AI331" s="24" t="s">
        <v>153</v>
      </c>
      <c r="AJ331" s="23" t="s">
        <v>513</v>
      </c>
      <c r="AK331" s="23" t="s">
        <v>513</v>
      </c>
      <c r="AL331" s="23" t="s">
        <v>513</v>
      </c>
      <c r="AM331" s="24" t="s">
        <v>195</v>
      </c>
      <c r="AN331" s="24" t="s">
        <v>195</v>
      </c>
      <c r="AO331" s="24" t="s">
        <v>195</v>
      </c>
      <c r="AP331" s="23">
        <f>VALUE(13)</f>
        <v>13</v>
      </c>
      <c r="AQ331" s="23">
        <f>VALUE(0)</f>
        <v>0</v>
      </c>
      <c r="AR331" s="23">
        <f>VALUE(0)</f>
        <v>0</v>
      </c>
      <c r="AS331" s="23">
        <f>VALUE(0)</f>
        <v>0</v>
      </c>
      <c r="AT331" s="23">
        <f>VALUE(0)</f>
        <v>0</v>
      </c>
      <c r="AU331" s="23">
        <f>VALUE(0)</f>
        <v>0</v>
      </c>
      <c r="AV331" s="23">
        <f>VALUE(1)</f>
        <v>1</v>
      </c>
      <c r="AW331" s="23">
        <f>VALUE(0)</f>
        <v>0</v>
      </c>
      <c r="AX331" s="23" t="s">
        <v>579</v>
      </c>
      <c r="AY331" s="23">
        <f>VALUE(0)</f>
        <v>0</v>
      </c>
      <c r="AZ331" s="23">
        <f>VALUE(0)</f>
        <v>0</v>
      </c>
      <c r="BA331" s="23">
        <f>VALUE(0)</f>
        <v>0</v>
      </c>
      <c r="BB331" s="23">
        <f>VALUE(0)</f>
        <v>0</v>
      </c>
      <c r="BC331" s="23">
        <f>VALUE(0)</f>
        <v>0</v>
      </c>
      <c r="BD331" s="23">
        <f>VALUE(0)</f>
        <v>0</v>
      </c>
      <c r="BE331" s="23">
        <f>VALUE(0)</f>
        <v>0</v>
      </c>
      <c r="BF331" s="23">
        <f>VALUE(0)</f>
        <v>0</v>
      </c>
      <c r="BG331" s="23">
        <f>VALUE(0)</f>
        <v>0</v>
      </c>
      <c r="BH331" s="23">
        <f>VALUE(0)</f>
        <v>0</v>
      </c>
      <c r="BI331" s="23">
        <f>VALUE(0)</f>
        <v>0</v>
      </c>
      <c r="BJ331" s="23">
        <f>VALUE(0)</f>
        <v>0</v>
      </c>
      <c r="BK331" s="12">
        <f>$AX$331*24</f>
        <v>4.75</v>
      </c>
      <c r="BL331" s="12">
        <f>$AY$331*24</f>
        <v>0</v>
      </c>
      <c r="BM331" s="12">
        <f>$BJ$331*24</f>
        <v>0</v>
      </c>
      <c r="BN331" s="12">
        <f>VALUE($I$331)/100</f>
        <v>0.5</v>
      </c>
      <c r="BO331" s="12">
        <v>0</v>
      </c>
      <c r="BP331" s="12">
        <v>0</v>
      </c>
      <c r="BQ331" s="12">
        <v>0</v>
      </c>
      <c r="BR331" s="12">
        <v>0</v>
      </c>
      <c r="BS331" s="12">
        <v>0</v>
      </c>
      <c r="BT331" s="12">
        <v>0</v>
      </c>
      <c r="BU331" s="12">
        <v>0</v>
      </c>
      <c r="BV331" s="12">
        <v>0</v>
      </c>
      <c r="BW331" s="12">
        <v>0</v>
      </c>
      <c r="BX331" s="12">
        <v>0</v>
      </c>
      <c r="BY331" s="12">
        <v>0</v>
      </c>
      <c r="BZ331" s="12">
        <v>0</v>
      </c>
      <c r="CA331" s="12">
        <v>0</v>
      </c>
    </row>
    <row r="332" spans="1:79" ht="15" x14ac:dyDescent="0.25">
      <c r="A332" s="12" t="s">
        <v>147</v>
      </c>
      <c r="B332" s="12" t="s">
        <v>148</v>
      </c>
      <c r="C332" s="12" t="s">
        <v>148</v>
      </c>
      <c r="D332" s="31" t="s">
        <v>333</v>
      </c>
      <c r="E332" s="31" t="s">
        <v>153</v>
      </c>
      <c r="F332" s="31" t="s">
        <v>175</v>
      </c>
      <c r="G332" s="31" t="s">
        <v>153</v>
      </c>
      <c r="H332" s="31" t="s">
        <v>153</v>
      </c>
      <c r="I332" s="31" t="s">
        <v>153</v>
      </c>
      <c r="J332" s="31" t="s">
        <v>153</v>
      </c>
      <c r="K332" s="31" t="s">
        <v>153</v>
      </c>
      <c r="L332" s="31">
        <f>VALUE(0)</f>
        <v>0</v>
      </c>
      <c r="M332" s="31">
        <f>VALUE(6)</f>
        <v>6</v>
      </c>
      <c r="N332" s="31">
        <f>VALUE(0)</f>
        <v>0</v>
      </c>
      <c r="O332" s="31">
        <f>VALUE(5)</f>
        <v>5</v>
      </c>
      <c r="P332" s="31">
        <f>VALUE(5)</f>
        <v>5</v>
      </c>
      <c r="Q332" s="31">
        <f>VALUE(5)</f>
        <v>5</v>
      </c>
      <c r="R332" s="31">
        <f>VALUE(7)</f>
        <v>7</v>
      </c>
      <c r="S332" s="31">
        <f>VALUE(7)</f>
        <v>7</v>
      </c>
      <c r="T332" s="31">
        <f>VALUE(7)</f>
        <v>7</v>
      </c>
      <c r="U332" s="31">
        <f>VALUE(0)</f>
        <v>0</v>
      </c>
      <c r="V332" s="31">
        <f>VALUE(0)</f>
        <v>0</v>
      </c>
      <c r="W332" s="31">
        <f>VALUE(5)</f>
        <v>5</v>
      </c>
      <c r="X332" s="31">
        <f>VALUE(5)</f>
        <v>5</v>
      </c>
      <c r="Y332" s="31">
        <f>VALUE(5)</f>
        <v>5</v>
      </c>
      <c r="Z332" s="31">
        <f>VALUE(5)</f>
        <v>5</v>
      </c>
      <c r="AA332" s="31">
        <f>VALUE(5)</f>
        <v>5</v>
      </c>
      <c r="AB332" s="31">
        <f>VALUE(0)</f>
        <v>0</v>
      </c>
      <c r="AC332" s="31">
        <f>VALUE(5)</f>
        <v>5</v>
      </c>
      <c r="AD332" s="31">
        <f>VALUE(5)</f>
        <v>5</v>
      </c>
      <c r="AE332" s="31">
        <f>VALUE(5)</f>
        <v>5</v>
      </c>
      <c r="AF332" s="31">
        <f>VALUE(5)</f>
        <v>5</v>
      </c>
      <c r="AG332" s="31">
        <f>VALUE(5)</f>
        <v>5</v>
      </c>
      <c r="AH332" s="31">
        <f>VALUE(5)</f>
        <v>5</v>
      </c>
      <c r="AI332" s="31">
        <f>VALUE(0)</f>
        <v>0</v>
      </c>
      <c r="AJ332" s="31">
        <f>VALUE(4)</f>
        <v>4</v>
      </c>
      <c r="AK332" s="31">
        <f>VALUE(4)</f>
        <v>4</v>
      </c>
      <c r="AL332" s="31">
        <f>VALUE(4)</f>
        <v>4</v>
      </c>
      <c r="AM332" s="31">
        <f>VALUE(4)</f>
        <v>4</v>
      </c>
      <c r="AN332" s="31">
        <f>VALUE(4)</f>
        <v>4</v>
      </c>
      <c r="AO332" s="31">
        <f>VALUE(4)</f>
        <v>4</v>
      </c>
      <c r="AP332" s="31">
        <v>0</v>
      </c>
      <c r="AQ332" s="31">
        <v>0</v>
      </c>
      <c r="AR332" s="31">
        <v>0</v>
      </c>
      <c r="AS332" s="31">
        <v>0</v>
      </c>
      <c r="AT332" s="31">
        <v>0</v>
      </c>
      <c r="AU332" s="31">
        <v>0</v>
      </c>
      <c r="AV332" s="31">
        <v>0</v>
      </c>
      <c r="AW332" s="31">
        <v>0</v>
      </c>
      <c r="AX332" s="31">
        <v>0</v>
      </c>
      <c r="AY332" s="31">
        <v>0</v>
      </c>
      <c r="AZ332" s="31">
        <v>0</v>
      </c>
      <c r="BA332" s="31">
        <v>0</v>
      </c>
      <c r="BB332" s="31">
        <v>0</v>
      </c>
      <c r="BC332" s="31">
        <v>0</v>
      </c>
      <c r="BD332" s="31">
        <v>0</v>
      </c>
      <c r="BE332" s="31">
        <v>0</v>
      </c>
      <c r="BF332" s="31">
        <v>0</v>
      </c>
      <c r="BG332" s="31">
        <v>0</v>
      </c>
      <c r="BH332" s="31">
        <v>0</v>
      </c>
      <c r="BI332" s="31">
        <v>0</v>
      </c>
      <c r="BJ332" s="31">
        <v>0</v>
      </c>
      <c r="BK332" s="12">
        <v>0</v>
      </c>
      <c r="BL332" s="12">
        <v>0</v>
      </c>
      <c r="BM332" s="12">
        <v>0</v>
      </c>
      <c r="BN332" s="12"/>
      <c r="BO332" s="12">
        <v>0</v>
      </c>
      <c r="BP332" s="12">
        <v>0</v>
      </c>
      <c r="BQ332" s="12">
        <v>0</v>
      </c>
      <c r="BR332" s="12">
        <v>0</v>
      </c>
      <c r="BS332" s="12">
        <v>0</v>
      </c>
      <c r="BT332" s="12">
        <v>0</v>
      </c>
      <c r="BU332" s="12">
        <v>0</v>
      </c>
      <c r="BV332" s="12">
        <v>0</v>
      </c>
      <c r="BW332" s="12">
        <v>0</v>
      </c>
      <c r="BX332" s="12">
        <v>0</v>
      </c>
      <c r="BY332" s="12">
        <v>0</v>
      </c>
      <c r="BZ332" s="12">
        <v>0</v>
      </c>
      <c r="CA332" s="12">
        <v>0</v>
      </c>
    </row>
    <row r="334" spans="1:79" x14ac:dyDescent="0.2">
      <c r="L334" s="36">
        <f>ROUND(SUBTOTAL(9,$L$10:$L$331),2)</f>
        <v>0</v>
      </c>
      <c r="M334" s="36">
        <f>ROUND(SUBTOTAL(9,$M$10:$M$331),2)</f>
        <v>147</v>
      </c>
      <c r="N334" s="36">
        <f>ROUND(SUBTOTAL(9,$N$10:$N$331),2)</f>
        <v>0</v>
      </c>
      <c r="O334" s="36">
        <f>ROUND(SUBTOTAL(9,$O$10:$O$331),2)</f>
        <v>186</v>
      </c>
      <c r="P334" s="36">
        <f>ROUND(SUBTOTAL(9,$P$10:$P$331),2)</f>
        <v>196</v>
      </c>
      <c r="Q334" s="36">
        <f>ROUND(SUBTOTAL(9,$Q$10:$Q$331),2)</f>
        <v>200</v>
      </c>
      <c r="R334" s="36">
        <f>ROUND(SUBTOTAL(9,$R$10:$R$331),2)</f>
        <v>206</v>
      </c>
      <c r="S334" s="36">
        <f>ROUND(SUBTOTAL(9,$S$10:$S$331),2)</f>
        <v>200</v>
      </c>
      <c r="T334" s="36">
        <f>ROUND(SUBTOTAL(9,$T$10:$T$331),2)</f>
        <v>159</v>
      </c>
      <c r="U334" s="36">
        <f>ROUND(SUBTOTAL(9,$U$10:$U$331),2)</f>
        <v>0</v>
      </c>
      <c r="V334" s="36">
        <f>ROUND(SUBTOTAL(9,$V$10:$V$331),2)</f>
        <v>0</v>
      </c>
      <c r="W334" s="36">
        <f>ROUND(SUBTOTAL(9,$W$10:$W$331),2)</f>
        <v>196</v>
      </c>
      <c r="X334" s="36">
        <f>ROUND(SUBTOTAL(9,$X$10:$X$331),2)</f>
        <v>192</v>
      </c>
      <c r="Y334" s="36">
        <f>ROUND(SUBTOTAL(9,$Y$10:$Y$331),2)</f>
        <v>194</v>
      </c>
      <c r="Z334" s="36">
        <f>ROUND(SUBTOTAL(9,$Z$10:$Z$331),2)</f>
        <v>194</v>
      </c>
      <c r="AA334" s="36">
        <f>ROUND(SUBTOTAL(9,$AA$10:$AA$331),2)</f>
        <v>157</v>
      </c>
      <c r="AB334" s="36">
        <f>ROUND(SUBTOTAL(9,$AB$10:$AB$331),2)</f>
        <v>0</v>
      </c>
      <c r="AC334" s="36">
        <f>ROUND(SUBTOTAL(9,$AC$10:$AC$331),2)</f>
        <v>187</v>
      </c>
      <c r="AD334" s="36">
        <f>ROUND(SUBTOTAL(9,$AD$10:$AD$331),2)</f>
        <v>195</v>
      </c>
      <c r="AE334" s="36">
        <f>ROUND(SUBTOTAL(9,$AE$10:$AE$331),2)</f>
        <v>189</v>
      </c>
      <c r="AF334" s="36">
        <f>ROUND(SUBTOTAL(9,$AF$10:$AF$331),2)</f>
        <v>196</v>
      </c>
      <c r="AG334" s="36">
        <f>ROUND(SUBTOTAL(9,$AG$10:$AG$331),2)</f>
        <v>189</v>
      </c>
      <c r="AH334" s="36">
        <f>ROUND(SUBTOTAL(9,$AH$10:$AH$331),2)</f>
        <v>146</v>
      </c>
      <c r="AI334" s="36">
        <f>ROUND(SUBTOTAL(9,$AI$10:$AI$331),2)</f>
        <v>0</v>
      </c>
      <c r="AJ334" s="36">
        <f>ROUND(SUBTOTAL(9,$AJ$10:$AJ$331),2)</f>
        <v>195</v>
      </c>
      <c r="AK334" s="36">
        <f>ROUND(SUBTOTAL(9,$AK$10:$AK$331),2)</f>
        <v>199</v>
      </c>
      <c r="AL334" s="36">
        <f>ROUND(SUBTOTAL(9,$AL$10:$AL$331),2)</f>
        <v>191</v>
      </c>
      <c r="AM334" s="36">
        <f>ROUND(SUBTOTAL(9,$AM$10:$AM$331),2)</f>
        <v>196</v>
      </c>
      <c r="AN334" s="36">
        <f>ROUND(SUBTOTAL(9,$AN$10:$AN$331),2)</f>
        <v>191</v>
      </c>
      <c r="AO334" s="36">
        <f>ROUND(SUBTOTAL(9,$AO$10:$AO$331),2)</f>
        <v>151</v>
      </c>
    </row>
  </sheetData>
  <autoFilter ref="A6:CA6" xr:uid="{1D032CCA-4D08-4209-A309-3BD036FF8A30}"/>
  <mergeCells count="56">
    <mergeCell ref="BK5:BK9"/>
    <mergeCell ref="CA5:CA9"/>
    <mergeCell ref="A5:A9"/>
    <mergeCell ref="B5:B9"/>
    <mergeCell ref="C5:C9"/>
    <mergeCell ref="I5:I9"/>
    <mergeCell ref="H5:H9"/>
    <mergeCell ref="G5:G9"/>
    <mergeCell ref="L5:N5"/>
    <mergeCell ref="O5:U5"/>
    <mergeCell ref="V5:AB5"/>
    <mergeCell ref="AC5:AI5"/>
    <mergeCell ref="AJ5:AO5"/>
    <mergeCell ref="AP5:AP9"/>
    <mergeCell ref="AQ5:AQ9"/>
    <mergeCell ref="BZ5:BZ9"/>
    <mergeCell ref="BL5:BL9"/>
    <mergeCell ref="BM5:BM9"/>
    <mergeCell ref="BN5:BN9"/>
    <mergeCell ref="BO5:BO9"/>
    <mergeCell ref="BP5:BP9"/>
    <mergeCell ref="BQ5:BQ9"/>
    <mergeCell ref="BR5:BR9"/>
    <mergeCell ref="BS5:BS9"/>
    <mergeCell ref="BT5:BT9"/>
    <mergeCell ref="BU5:BU9"/>
    <mergeCell ref="BV5:BV9"/>
    <mergeCell ref="BW5:BW9"/>
    <mergeCell ref="BX5:BX9"/>
    <mergeCell ref="BY5:BY9"/>
    <mergeCell ref="D5:D9"/>
    <mergeCell ref="E5:E9"/>
    <mergeCell ref="F5:F9"/>
    <mergeCell ref="BF5:BF9"/>
    <mergeCell ref="BG5:BG9"/>
    <mergeCell ref="BH5:BH9"/>
    <mergeCell ref="BI5:BI9"/>
    <mergeCell ref="BJ5:BJ9"/>
    <mergeCell ref="J5:J9"/>
    <mergeCell ref="K5:K9"/>
    <mergeCell ref="G2:BL2"/>
    <mergeCell ref="G3:BL3"/>
    <mergeCell ref="BA5:BA9"/>
    <mergeCell ref="BB5:BB9"/>
    <mergeCell ref="BC5:BC9"/>
    <mergeCell ref="BD5:BD9"/>
    <mergeCell ref="AU5:AU9"/>
    <mergeCell ref="AV5:AV9"/>
    <mergeCell ref="AW5:AW9"/>
    <mergeCell ref="AX5:AX9"/>
    <mergeCell ref="AZ5:AZ9"/>
    <mergeCell ref="AY5:AY9"/>
    <mergeCell ref="BE5:BE9"/>
    <mergeCell ref="AT5:AT9"/>
    <mergeCell ref="AS5:AS9"/>
    <mergeCell ref="AR5:AR9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D7861-5056-4707-9BE6-D6BBC15F33C7}">
  <sheetPr codeName="Feuil10" filterMode="1"/>
  <dimension ref="A2:CC334"/>
  <sheetViews>
    <sheetView showGridLines="0" zoomScale="70" zoomScaleNormal="70" workbookViewId="0">
      <selection activeCell="D3" sqref="D3:BL3"/>
    </sheetView>
  </sheetViews>
  <sheetFormatPr baseColWidth="10" defaultColWidth="9.1640625" defaultRowHeight="12" x14ac:dyDescent="0.2"/>
  <cols>
    <col min="1" max="1" width="35.83203125" style="40" bestFit="1" customWidth="1"/>
    <col min="2" max="3" width="73.6640625" style="40" bestFit="1" customWidth="1"/>
    <col min="4" max="6" width="36" style="40" customWidth="1"/>
    <col min="7" max="12" width="17.83203125" style="40" customWidth="1"/>
    <col min="13" max="13" width="11.1640625" style="40" customWidth="1"/>
    <col min="14" max="14" width="0.5" style="40" customWidth="1"/>
    <col min="15" max="62" width="17.83203125" style="40" customWidth="1"/>
    <col min="63" max="64" width="17" style="40" bestFit="1" customWidth="1"/>
    <col min="65" max="65" width="10.33203125" style="40" bestFit="1" customWidth="1"/>
    <col min="66" max="66" width="12.83203125" style="40" bestFit="1" customWidth="1"/>
    <col min="67" max="67" width="13.33203125" style="40" bestFit="1" customWidth="1"/>
    <col min="68" max="68" width="14" style="40" bestFit="1" customWidth="1"/>
    <col min="69" max="69" width="12.5" style="40" bestFit="1" customWidth="1"/>
    <col min="70" max="70" width="18.6640625" style="40" bestFit="1" customWidth="1"/>
    <col min="71" max="71" width="9.1640625" style="40" bestFit="1" customWidth="1"/>
    <col min="72" max="72" width="8.6640625" style="40" bestFit="1" customWidth="1"/>
    <col min="73" max="73" width="14.6640625" style="40" bestFit="1" customWidth="1"/>
    <col min="74" max="74" width="8.5" style="40" bestFit="1" customWidth="1"/>
    <col min="75" max="75" width="9.1640625" style="40" bestFit="1" customWidth="1"/>
    <col min="76" max="76" width="20" style="40" bestFit="1" customWidth="1"/>
    <col min="77" max="77" width="12.5" style="40" bestFit="1" customWidth="1"/>
    <col min="78" max="78" width="13.6640625" style="40" bestFit="1" customWidth="1"/>
    <col min="79" max="79" width="15.5" style="40" bestFit="1" customWidth="1"/>
    <col min="80" max="80" width="13.6640625" style="40" bestFit="1" customWidth="1"/>
    <col min="81" max="81" width="15.5" style="40" bestFit="1" customWidth="1"/>
    <col min="82" max="16384" width="9.1640625" style="40"/>
  </cols>
  <sheetData>
    <row r="2" spans="1:81" x14ac:dyDescent="0.2">
      <c r="D2" s="53" t="s">
        <v>52</v>
      </c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</row>
    <row r="3" spans="1:81" x14ac:dyDescent="0.2">
      <c r="D3" s="57" t="s">
        <v>580</v>
      </c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</row>
    <row r="4" spans="1:81" ht="34.5" customHeight="1" x14ac:dyDescent="0.2">
      <c r="AP4" s="16"/>
      <c r="AQ4" s="16">
        <f>ROUND(SUBTOTAL(9,$AQ$10:$AQ$332),2)</f>
        <v>1</v>
      </c>
      <c r="AR4" s="16">
        <f>ROUND(SUBTOTAL(9,$AR$10:$AR$332),2)</f>
        <v>122</v>
      </c>
      <c r="AS4" s="16">
        <f>ROUND(SUBTOTAL(9,$AS$10:$AS$332),2)</f>
        <v>17</v>
      </c>
      <c r="AT4" s="16">
        <f>ROUND(SUBTOTAL(9,$AT$10:$AT$332),2)</f>
        <v>0</v>
      </c>
      <c r="AU4" s="16">
        <f>ROUND(SUBTOTAL(9,$AU$10:$AU$332),2)</f>
        <v>30</v>
      </c>
      <c r="AV4" s="16"/>
      <c r="AW4" s="16">
        <f>ROUND(SUBTOTAL(9,$AW$10:$AW$332),2)</f>
        <v>7</v>
      </c>
      <c r="AX4" s="16">
        <f>ROUND(SUBTOTAL(9,$AX$10:$AX$332),2)</f>
        <v>0</v>
      </c>
      <c r="AY4" s="16">
        <f>ROUND(SUBTOTAL(9,$AY$10:$AY$332),2)</f>
        <v>0</v>
      </c>
      <c r="AZ4" s="16">
        <f>ROUND(SUBTOTAL(9,$AZ$10:$AZ$332),2)</f>
        <v>0</v>
      </c>
      <c r="BA4" s="16">
        <f>ROUND(SUBTOTAL(9,$BA$10:$BA$332),2)</f>
        <v>0</v>
      </c>
      <c r="BB4" s="16">
        <f>ROUND(SUBTOTAL(9,$BB$10:$BB$332),2)</f>
        <v>0</v>
      </c>
      <c r="BC4" s="16">
        <f>ROUND(SUBTOTAL(9,$BC$10:$BC$332),2)</f>
        <v>0</v>
      </c>
      <c r="BD4" s="16">
        <f>ROUND(SUBTOTAL(9,$BD$10:$BD$332),2)</f>
        <v>7</v>
      </c>
      <c r="BE4" s="16">
        <f>ROUND(SUBTOTAL(9,$BE$10:$BE$332),2)</f>
        <v>5</v>
      </c>
      <c r="BF4" s="16">
        <f>ROUND(SUBTOTAL(9,$BF$10:$BF$332),2)</f>
        <v>0</v>
      </c>
      <c r="BG4" s="16">
        <f>ROUND(SUBTOTAL(9,$BG$10:$BG$332),2)</f>
        <v>0</v>
      </c>
      <c r="BH4" s="16">
        <f>ROUND(SUBTOTAL(9,$BH$10:$BH$332),2)</f>
        <v>0</v>
      </c>
      <c r="BI4" s="16">
        <f>ROUND(SUBTOTAL(9,$BI$10:$BI$332),2)</f>
        <v>0</v>
      </c>
      <c r="BJ4" s="16">
        <f>ROUND(SUBTOTAL(9,$BJ$10:$BJ$332),2)</f>
        <v>0</v>
      </c>
      <c r="BK4" s="15">
        <f>ROUND(SUBTOTAL(9,$BK$10:$BK$332),2)</f>
        <v>343.73</v>
      </c>
      <c r="BL4" s="15">
        <f>ROUND(SUBTOTAL(9,$BL$10:$BL$332),2)</f>
        <v>118.63</v>
      </c>
      <c r="BM4" s="15">
        <f>ROUND(SUBTOTAL(9,$BM$10:$BM$332),2)</f>
        <v>0</v>
      </c>
      <c r="BN4" s="15">
        <f>ROUND(SUBTOTAL(9,$BN$10:$BN$332),2)</f>
        <v>27</v>
      </c>
      <c r="BO4" s="15">
        <f>ROUND(SUBTOTAL(9,$BO$10:$BO$332),2)</f>
        <v>0</v>
      </c>
      <c r="BP4" s="15">
        <f>ROUND(SUBTOTAL(9,$BP$10:$BP$332),2)</f>
        <v>5</v>
      </c>
      <c r="BQ4" s="15">
        <f>ROUND(SUBTOTAL(9,$BQ$10:$BQ$332),2)</f>
        <v>0</v>
      </c>
      <c r="BR4" s="15">
        <f>ROUND(SUBTOTAL(9,$BR$10:$BR$332),2)</f>
        <v>3</v>
      </c>
      <c r="BS4" s="17">
        <f>ROUND(SUBTOTAL(9,$BS$10:$BS$332),2)</f>
        <v>43</v>
      </c>
      <c r="BT4" s="17">
        <f>ROUND(SUBTOTAL(9,$BT$10:$BT$332),2)</f>
        <v>48</v>
      </c>
      <c r="BU4" s="17">
        <f>ROUND(SUBTOTAL(9,$BU$10:$BU$332),2)</f>
        <v>11</v>
      </c>
      <c r="BV4" s="17">
        <f>ROUND(SUBTOTAL(9,$BV$10:$BV$332),2)</f>
        <v>16</v>
      </c>
      <c r="BW4" s="17">
        <f>ROUND(SUBTOTAL(9,$BW$10:$BW$332),2)</f>
        <v>0</v>
      </c>
      <c r="BX4" s="17">
        <f>ROUND(SUBTOTAL(9,$BX$10:$BX$332),2)</f>
        <v>0</v>
      </c>
      <c r="BY4" s="21">
        <f>ROUND(SUBTOTAL(9,$BY$10:$BY$332),2)</f>
        <v>0</v>
      </c>
      <c r="BZ4" s="21">
        <f>ROUND(SUBTOTAL(9,$BZ$10:$BZ$332),2)</f>
        <v>0</v>
      </c>
      <c r="CA4" s="21">
        <f>ROUND(SUBTOTAL(9,$CA$10:$CA$332),2)</f>
        <v>0</v>
      </c>
      <c r="CB4" s="21" t="e">
        <f>ROUND(SUBTOTAL(9,#REF!),2)</f>
        <v>#REF!</v>
      </c>
      <c r="CC4" s="21" t="e">
        <f>ROUND(SUBTOTAL(9,#REF!),2)</f>
        <v>#REF!</v>
      </c>
    </row>
    <row r="5" spans="1:81" ht="26.25" customHeight="1" x14ac:dyDescent="0.2">
      <c r="A5" s="46" t="s">
        <v>42</v>
      </c>
      <c r="B5" s="46" t="s">
        <v>43</v>
      </c>
      <c r="C5" s="47" t="s">
        <v>20</v>
      </c>
      <c r="D5" s="42" t="s">
        <v>13</v>
      </c>
      <c r="E5" s="42" t="s">
        <v>14</v>
      </c>
      <c r="F5" s="42" t="s">
        <v>15</v>
      </c>
      <c r="G5" s="42" t="s">
        <v>16</v>
      </c>
      <c r="H5" s="42" t="s">
        <v>17</v>
      </c>
      <c r="I5" s="42" t="s">
        <v>18</v>
      </c>
      <c r="J5" s="42" t="s">
        <v>19</v>
      </c>
      <c r="K5" s="42" t="s">
        <v>20</v>
      </c>
      <c r="L5" s="45" t="s">
        <v>1127</v>
      </c>
      <c r="M5" s="45" t="s">
        <v>1127</v>
      </c>
      <c r="N5" s="45" t="s">
        <v>1127</v>
      </c>
      <c r="O5" s="45" t="s">
        <v>1128</v>
      </c>
      <c r="P5" s="45" t="s">
        <v>1128</v>
      </c>
      <c r="Q5" s="45" t="s">
        <v>1128</v>
      </c>
      <c r="R5" s="45" t="s">
        <v>1128</v>
      </c>
      <c r="S5" s="45" t="s">
        <v>1128</v>
      </c>
      <c r="T5" s="45" t="s">
        <v>1128</v>
      </c>
      <c r="U5" s="45" t="s">
        <v>1128</v>
      </c>
      <c r="V5" s="45" t="s">
        <v>1129</v>
      </c>
      <c r="W5" s="45" t="s">
        <v>1129</v>
      </c>
      <c r="X5" s="45" t="s">
        <v>1129</v>
      </c>
      <c r="Y5" s="45" t="s">
        <v>1129</v>
      </c>
      <c r="Z5" s="45" t="s">
        <v>1129</v>
      </c>
      <c r="AA5" s="45" t="s">
        <v>1129</v>
      </c>
      <c r="AB5" s="45" t="s">
        <v>1129</v>
      </c>
      <c r="AC5" s="45" t="s">
        <v>1130</v>
      </c>
      <c r="AD5" s="45" t="s">
        <v>1130</v>
      </c>
      <c r="AE5" s="45" t="s">
        <v>1130</v>
      </c>
      <c r="AF5" s="45" t="s">
        <v>1130</v>
      </c>
      <c r="AG5" s="45" t="s">
        <v>1130</v>
      </c>
      <c r="AH5" s="45" t="s">
        <v>1130</v>
      </c>
      <c r="AI5" s="45" t="s">
        <v>1130</v>
      </c>
      <c r="AJ5" s="45" t="s">
        <v>1131</v>
      </c>
      <c r="AK5" s="45" t="s">
        <v>1131</v>
      </c>
      <c r="AL5" s="45" t="s">
        <v>1131</v>
      </c>
      <c r="AM5" s="45" t="s">
        <v>1131</v>
      </c>
      <c r="AN5" s="45" t="s">
        <v>1131</v>
      </c>
      <c r="AO5" s="45" t="s">
        <v>1131</v>
      </c>
      <c r="AP5" s="41" t="s">
        <v>21</v>
      </c>
      <c r="AQ5" s="41" t="s">
        <v>22</v>
      </c>
      <c r="AR5" s="41" t="s">
        <v>23</v>
      </c>
      <c r="AS5" s="41" t="s">
        <v>24</v>
      </c>
      <c r="AT5" s="41" t="s">
        <v>25</v>
      </c>
      <c r="AU5" s="41" t="s">
        <v>26</v>
      </c>
      <c r="AV5" s="41" t="s">
        <v>27</v>
      </c>
      <c r="AW5" s="41" t="s">
        <v>28</v>
      </c>
      <c r="AX5" s="41" t="s">
        <v>29</v>
      </c>
      <c r="AY5" s="41" t="s">
        <v>30</v>
      </c>
      <c r="AZ5" s="41" t="s">
        <v>31</v>
      </c>
      <c r="BA5" s="41" t="s">
        <v>32</v>
      </c>
      <c r="BB5" s="41" t="s">
        <v>33</v>
      </c>
      <c r="BC5" s="41" t="s">
        <v>34</v>
      </c>
      <c r="BD5" s="41" t="s">
        <v>35</v>
      </c>
      <c r="BE5" s="41" t="s">
        <v>36</v>
      </c>
      <c r="BF5" s="41" t="s">
        <v>37</v>
      </c>
      <c r="BG5" s="41" t="s">
        <v>38</v>
      </c>
      <c r="BH5" s="41" t="s">
        <v>39</v>
      </c>
      <c r="BI5" s="41" t="s">
        <v>40</v>
      </c>
      <c r="BJ5" s="41" t="s">
        <v>41</v>
      </c>
      <c r="BK5" s="48" t="s">
        <v>44</v>
      </c>
      <c r="BL5" s="48" t="s">
        <v>45</v>
      </c>
      <c r="BM5" s="48" t="s">
        <v>46</v>
      </c>
      <c r="BN5" s="48" t="s">
        <v>47</v>
      </c>
      <c r="BO5" s="48" t="s">
        <v>48</v>
      </c>
      <c r="BP5" s="48" t="s">
        <v>49</v>
      </c>
      <c r="BQ5" s="48" t="s">
        <v>50</v>
      </c>
      <c r="BR5" s="48" t="s">
        <v>51</v>
      </c>
      <c r="BS5" s="50" t="s">
        <v>55</v>
      </c>
      <c r="BT5" s="50" t="s">
        <v>56</v>
      </c>
      <c r="BU5" s="50" t="s">
        <v>57</v>
      </c>
      <c r="BV5" s="50" t="s">
        <v>58</v>
      </c>
      <c r="BW5" s="50" t="s">
        <v>59</v>
      </c>
      <c r="BX5" s="50" t="s">
        <v>60</v>
      </c>
      <c r="BY5" s="49" t="s">
        <v>61</v>
      </c>
      <c r="BZ5" s="49" t="s">
        <v>62</v>
      </c>
      <c r="CA5" s="49" t="s">
        <v>63</v>
      </c>
    </row>
    <row r="6" spans="1:81" ht="75" hidden="1" x14ac:dyDescent="0.2">
      <c r="A6" s="46"/>
      <c r="B6" s="46"/>
      <c r="C6" s="47"/>
      <c r="D6" s="42"/>
      <c r="E6" s="42"/>
      <c r="F6" s="42"/>
      <c r="G6" s="42"/>
      <c r="H6" s="42"/>
      <c r="I6" s="42"/>
      <c r="J6" s="42"/>
      <c r="K6" s="42"/>
      <c r="L6" s="39" t="s">
        <v>1132</v>
      </c>
      <c r="M6" s="39" t="s">
        <v>1133</v>
      </c>
      <c r="N6" s="39" t="s">
        <v>1134</v>
      </c>
      <c r="O6" s="39" t="s">
        <v>1135</v>
      </c>
      <c r="P6" s="39" t="s">
        <v>1136</v>
      </c>
      <c r="Q6" s="39" t="s">
        <v>1137</v>
      </c>
      <c r="R6" s="39" t="s">
        <v>1138</v>
      </c>
      <c r="S6" s="39" t="s">
        <v>1139</v>
      </c>
      <c r="T6" s="39" t="s">
        <v>1140</v>
      </c>
      <c r="U6" s="39" t="s">
        <v>1141</v>
      </c>
      <c r="V6" s="39" t="s">
        <v>1142</v>
      </c>
      <c r="W6" s="39" t="s">
        <v>1143</v>
      </c>
      <c r="X6" s="39" t="s">
        <v>1144</v>
      </c>
      <c r="Y6" s="39" t="s">
        <v>1145</v>
      </c>
      <c r="Z6" s="39" t="s">
        <v>1146</v>
      </c>
      <c r="AA6" s="39" t="s">
        <v>1147</v>
      </c>
      <c r="AB6" s="39" t="s">
        <v>1148</v>
      </c>
      <c r="AC6" s="39" t="s">
        <v>1149</v>
      </c>
      <c r="AD6" s="39" t="s">
        <v>1150</v>
      </c>
      <c r="AE6" s="39" t="s">
        <v>1151</v>
      </c>
      <c r="AF6" s="39" t="s">
        <v>1152</v>
      </c>
      <c r="AG6" s="39" t="s">
        <v>1153</v>
      </c>
      <c r="AH6" s="39" t="s">
        <v>1154</v>
      </c>
      <c r="AI6" s="39" t="s">
        <v>1155</v>
      </c>
      <c r="AJ6" s="39" t="s">
        <v>1156</v>
      </c>
      <c r="AK6" s="39" t="s">
        <v>1157</v>
      </c>
      <c r="AL6" s="39" t="s">
        <v>1158</v>
      </c>
      <c r="AM6" s="39" t="s">
        <v>1159</v>
      </c>
      <c r="AN6" s="39" t="s">
        <v>1160</v>
      </c>
      <c r="AO6" s="39" t="s">
        <v>1161</v>
      </c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8"/>
      <c r="BL6" s="48"/>
      <c r="BM6" s="48"/>
      <c r="BN6" s="48"/>
      <c r="BO6" s="48"/>
      <c r="BP6" s="48"/>
      <c r="BQ6" s="48"/>
      <c r="BR6" s="48"/>
      <c r="BS6" s="51"/>
      <c r="BT6" s="51"/>
      <c r="BU6" s="51"/>
      <c r="BV6" s="51"/>
      <c r="BW6" s="51"/>
      <c r="BX6" s="51"/>
      <c r="BY6" s="49"/>
      <c r="BZ6" s="49"/>
      <c r="CA6" s="49"/>
    </row>
    <row r="7" spans="1:81" ht="15" hidden="1" x14ac:dyDescent="0.25">
      <c r="A7" s="46"/>
      <c r="B7" s="46"/>
      <c r="C7" s="47"/>
      <c r="D7" s="42"/>
      <c r="E7" s="42"/>
      <c r="F7" s="42"/>
      <c r="G7" s="42"/>
      <c r="H7" s="42"/>
      <c r="I7" s="42"/>
      <c r="J7" s="42"/>
      <c r="K7" s="42"/>
      <c r="L7" s="18"/>
      <c r="M7" s="18"/>
      <c r="N7" s="18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8"/>
      <c r="BL7" s="48"/>
      <c r="BM7" s="48"/>
      <c r="BN7" s="48"/>
      <c r="BO7" s="48"/>
      <c r="BP7" s="48"/>
      <c r="BQ7" s="48"/>
      <c r="BR7" s="48"/>
      <c r="BS7" s="51"/>
      <c r="BT7" s="51"/>
      <c r="BU7" s="51"/>
      <c r="BV7" s="51"/>
      <c r="BW7" s="51"/>
      <c r="BX7" s="51"/>
      <c r="BY7" s="49"/>
      <c r="BZ7" s="49"/>
      <c r="CA7" s="49"/>
    </row>
    <row r="8" spans="1:81" ht="15" hidden="1" x14ac:dyDescent="0.25">
      <c r="A8" s="46"/>
      <c r="B8" s="46"/>
      <c r="C8" s="47"/>
      <c r="D8" s="42"/>
      <c r="E8" s="42"/>
      <c r="F8" s="42"/>
      <c r="G8" s="42"/>
      <c r="H8" s="42"/>
      <c r="I8" s="42"/>
      <c r="J8" s="42"/>
      <c r="K8" s="42"/>
      <c r="L8" s="19"/>
      <c r="M8" s="19"/>
      <c r="N8" s="19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8"/>
      <c r="BL8" s="48"/>
      <c r="BM8" s="48"/>
      <c r="BN8" s="48"/>
      <c r="BO8" s="48"/>
      <c r="BP8" s="48"/>
      <c r="BQ8" s="48"/>
      <c r="BR8" s="48"/>
      <c r="BS8" s="51"/>
      <c r="BT8" s="51"/>
      <c r="BU8" s="51"/>
      <c r="BV8" s="51"/>
      <c r="BW8" s="51"/>
      <c r="BX8" s="51"/>
      <c r="BY8" s="49"/>
      <c r="BZ8" s="49"/>
      <c r="CA8" s="49"/>
    </row>
    <row r="9" spans="1:81" ht="15" hidden="1" x14ac:dyDescent="0.25">
      <c r="A9" s="46"/>
      <c r="B9" s="46"/>
      <c r="C9" s="47"/>
      <c r="D9" s="42"/>
      <c r="E9" s="42"/>
      <c r="F9" s="42"/>
      <c r="G9" s="42"/>
      <c r="H9" s="42"/>
      <c r="I9" s="42"/>
      <c r="J9" s="42"/>
      <c r="K9" s="42"/>
      <c r="L9" s="20"/>
      <c r="M9" s="20"/>
      <c r="N9" s="20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8"/>
      <c r="BL9" s="48"/>
      <c r="BM9" s="48"/>
      <c r="BN9" s="48"/>
      <c r="BO9" s="48"/>
      <c r="BP9" s="48"/>
      <c r="BQ9" s="48"/>
      <c r="BR9" s="48"/>
      <c r="BS9" s="52"/>
      <c r="BT9" s="52"/>
      <c r="BU9" s="52"/>
      <c r="BV9" s="52"/>
      <c r="BW9" s="52"/>
      <c r="BX9" s="52"/>
      <c r="BY9" s="49"/>
      <c r="BZ9" s="49"/>
      <c r="CA9" s="49"/>
    </row>
    <row r="10" spans="1:81" ht="16.5" hidden="1" x14ac:dyDescent="0.2">
      <c r="A10" s="12" t="s">
        <v>102</v>
      </c>
      <c r="B10" s="12" t="s">
        <v>103</v>
      </c>
      <c r="C10" s="12" t="s">
        <v>103</v>
      </c>
      <c r="D10" s="22" t="s">
        <v>1162</v>
      </c>
      <c r="E10" s="22" t="s">
        <v>149</v>
      </c>
      <c r="F10" s="22" t="s">
        <v>593</v>
      </c>
      <c r="G10" s="22" t="s">
        <v>594</v>
      </c>
      <c r="H10" s="22" t="s">
        <v>150</v>
      </c>
      <c r="I10" s="22" t="s">
        <v>151</v>
      </c>
      <c r="J10" s="22" t="s">
        <v>152</v>
      </c>
      <c r="K10" s="22" t="s">
        <v>64</v>
      </c>
      <c r="L10" s="54" t="s">
        <v>153</v>
      </c>
      <c r="M10" s="23" t="s">
        <v>154</v>
      </c>
      <c r="N10" s="24" t="s">
        <v>153</v>
      </c>
      <c r="O10" s="35" t="s">
        <v>170</v>
      </c>
      <c r="P10" s="35" t="s">
        <v>170</v>
      </c>
      <c r="Q10" s="26" t="s">
        <v>1163</v>
      </c>
      <c r="R10" s="25" t="s">
        <v>154</v>
      </c>
      <c r="S10" s="25" t="s">
        <v>154</v>
      </c>
      <c r="T10" s="34" t="s">
        <v>154</v>
      </c>
      <c r="U10" s="24" t="s">
        <v>153</v>
      </c>
      <c r="V10" s="54" t="s">
        <v>156</v>
      </c>
      <c r="W10" s="25" t="s">
        <v>1164</v>
      </c>
      <c r="X10" s="26" t="s">
        <v>1163</v>
      </c>
      <c r="Y10" s="26" t="s">
        <v>1163</v>
      </c>
      <c r="Z10" s="23" t="s">
        <v>157</v>
      </c>
      <c r="AA10" s="26" t="s">
        <v>1163</v>
      </c>
      <c r="AB10" s="24" t="s">
        <v>153</v>
      </c>
      <c r="AC10" s="23" t="s">
        <v>154</v>
      </c>
      <c r="AD10" s="23" t="s">
        <v>154</v>
      </c>
      <c r="AE10" s="23" t="s">
        <v>154</v>
      </c>
      <c r="AF10" s="26" t="s">
        <v>1163</v>
      </c>
      <c r="AG10" s="26" t="s">
        <v>1163</v>
      </c>
      <c r="AH10" s="24" t="s">
        <v>156</v>
      </c>
      <c r="AI10" s="24" t="s">
        <v>153</v>
      </c>
      <c r="AJ10" s="24" t="s">
        <v>156</v>
      </c>
      <c r="AK10" s="26" t="s">
        <v>1163</v>
      </c>
      <c r="AL10" s="26" t="s">
        <v>1163</v>
      </c>
      <c r="AM10" s="26" t="s">
        <v>1163</v>
      </c>
      <c r="AN10" s="26" t="s">
        <v>1163</v>
      </c>
      <c r="AO10" s="25" t="s">
        <v>157</v>
      </c>
      <c r="AP10" s="23">
        <f>VALUE(4)</f>
        <v>4</v>
      </c>
      <c r="AQ10" s="23">
        <f>VALUE(0)</f>
        <v>0</v>
      </c>
      <c r="AR10" s="23">
        <f>VALUE(0)</f>
        <v>0</v>
      </c>
      <c r="AS10" s="23">
        <f>VALUE(0)</f>
        <v>0</v>
      </c>
      <c r="AT10" s="23">
        <f>VALUE(0)</f>
        <v>0</v>
      </c>
      <c r="AU10" s="23">
        <f>VALUE(0)</f>
        <v>0</v>
      </c>
      <c r="AV10" s="23">
        <f>VALUE(10)</f>
        <v>10</v>
      </c>
      <c r="AW10" s="23">
        <f>VALUE(0)</f>
        <v>0</v>
      </c>
      <c r="AX10" s="23" t="s">
        <v>171</v>
      </c>
      <c r="AY10" s="23" t="s">
        <v>1165</v>
      </c>
      <c r="AZ10" s="23">
        <f>VALUE(0)</f>
        <v>0</v>
      </c>
      <c r="BA10" s="23">
        <f>VALUE(0)</f>
        <v>0</v>
      </c>
      <c r="BB10" s="23">
        <f>VALUE(0)</f>
        <v>0</v>
      </c>
      <c r="BC10" s="23">
        <f>VALUE(0)</f>
        <v>0</v>
      </c>
      <c r="BD10" s="23">
        <f>VALUE(1)</f>
        <v>1</v>
      </c>
      <c r="BE10" s="23">
        <f>VALUE(2)</f>
        <v>2</v>
      </c>
      <c r="BF10" s="23">
        <f>VALUE(0)</f>
        <v>0</v>
      </c>
      <c r="BG10" s="23">
        <f>VALUE(0)</f>
        <v>0</v>
      </c>
      <c r="BH10" s="23">
        <f>VALUE(0)</f>
        <v>0</v>
      </c>
      <c r="BI10" s="23">
        <f>VALUE(0)</f>
        <v>0</v>
      </c>
      <c r="BJ10" s="23">
        <f>VALUE(0)</f>
        <v>0</v>
      </c>
      <c r="BK10" s="12">
        <f>$AX$10*24</f>
        <v>5.833333333333333</v>
      </c>
      <c r="BL10" s="12">
        <f>$AY$10*24</f>
        <v>122.33333333333334</v>
      </c>
      <c r="BM10" s="12">
        <f>$BJ$10*24</f>
        <v>0</v>
      </c>
      <c r="BN10" s="12">
        <f>VALUE($I$10)/100</f>
        <v>1</v>
      </c>
      <c r="BO10" s="12">
        <v>0</v>
      </c>
      <c r="BP10" s="12">
        <v>0</v>
      </c>
      <c r="BQ10" s="12">
        <v>0</v>
      </c>
      <c r="BR10" s="12">
        <v>1</v>
      </c>
      <c r="BS10" s="12">
        <v>0</v>
      </c>
      <c r="BT10" s="12">
        <v>0</v>
      </c>
      <c r="BU10" s="12">
        <v>0</v>
      </c>
      <c r="BV10" s="12">
        <v>0</v>
      </c>
      <c r="BW10" s="12">
        <v>0</v>
      </c>
      <c r="BX10" s="12">
        <v>0</v>
      </c>
      <c r="BY10" s="12">
        <v>0</v>
      </c>
      <c r="BZ10" s="12">
        <v>0</v>
      </c>
      <c r="CA10" s="12">
        <v>0</v>
      </c>
    </row>
    <row r="11" spans="1:81" hidden="1" x14ac:dyDescent="0.2">
      <c r="A11" s="12" t="s">
        <v>102</v>
      </c>
      <c r="B11" s="12" t="s">
        <v>103</v>
      </c>
      <c r="C11" s="12" t="s">
        <v>103</v>
      </c>
      <c r="D11" s="22" t="s">
        <v>583</v>
      </c>
      <c r="E11" s="22" t="s">
        <v>159</v>
      </c>
      <c r="F11" s="22" t="s">
        <v>595</v>
      </c>
      <c r="G11" s="22" t="s">
        <v>596</v>
      </c>
      <c r="H11" s="22" t="s">
        <v>150</v>
      </c>
      <c r="I11" s="22" t="s">
        <v>151</v>
      </c>
      <c r="J11" s="22" t="s">
        <v>152</v>
      </c>
      <c r="K11" s="22" t="s">
        <v>64</v>
      </c>
      <c r="L11" s="54" t="s">
        <v>153</v>
      </c>
      <c r="M11" s="27" t="s">
        <v>153</v>
      </c>
      <c r="N11" s="27" t="s">
        <v>153</v>
      </c>
      <c r="O11" s="27" t="s">
        <v>153</v>
      </c>
      <c r="P11" s="27" t="s">
        <v>153</v>
      </c>
      <c r="Q11" s="27" t="s">
        <v>153</v>
      </c>
      <c r="R11" s="27" t="s">
        <v>153</v>
      </c>
      <c r="S11" s="27" t="s">
        <v>153</v>
      </c>
      <c r="T11" s="27" t="s">
        <v>153</v>
      </c>
      <c r="U11" s="27" t="s">
        <v>153</v>
      </c>
      <c r="V11" s="54" t="s">
        <v>156</v>
      </c>
      <c r="W11" s="27" t="s">
        <v>153</v>
      </c>
      <c r="X11" s="27" t="s">
        <v>153</v>
      </c>
      <c r="Y11" s="27" t="s">
        <v>153</v>
      </c>
      <c r="Z11" s="27" t="s">
        <v>153</v>
      </c>
      <c r="AA11" s="27" t="s">
        <v>153</v>
      </c>
      <c r="AB11" s="27" t="s">
        <v>153</v>
      </c>
      <c r="AC11" s="27" t="s">
        <v>153</v>
      </c>
      <c r="AD11" s="27" t="s">
        <v>153</v>
      </c>
      <c r="AE11" s="27" t="s">
        <v>153</v>
      </c>
      <c r="AF11" s="27" t="s">
        <v>153</v>
      </c>
      <c r="AG11" s="27" t="s">
        <v>153</v>
      </c>
      <c r="AH11" s="27" t="s">
        <v>153</v>
      </c>
      <c r="AI11" s="27" t="s">
        <v>153</v>
      </c>
      <c r="AJ11" s="27" t="s">
        <v>153</v>
      </c>
      <c r="AK11" s="27" t="s">
        <v>153</v>
      </c>
      <c r="AL11" s="27" t="s">
        <v>153</v>
      </c>
      <c r="AM11" s="27" t="s">
        <v>153</v>
      </c>
      <c r="AN11" s="27" t="s">
        <v>153</v>
      </c>
      <c r="AO11" s="27" t="s">
        <v>153</v>
      </c>
      <c r="AP11" s="23">
        <f>VALUE(0)</f>
        <v>0</v>
      </c>
      <c r="AQ11" s="23">
        <f>VALUE(0)</f>
        <v>0</v>
      </c>
      <c r="AR11" s="23">
        <f>VALUE(0)</f>
        <v>0</v>
      </c>
      <c r="AS11" s="23">
        <f>VALUE(0)</f>
        <v>0</v>
      </c>
      <c r="AT11" s="23">
        <f>VALUE(0)</f>
        <v>0</v>
      </c>
      <c r="AU11" s="23">
        <f>VALUE(0)</f>
        <v>0</v>
      </c>
      <c r="AV11" s="23">
        <f>VALUE(0)</f>
        <v>0</v>
      </c>
      <c r="AW11" s="23">
        <f>VALUE(0)</f>
        <v>0</v>
      </c>
      <c r="AX11" s="23">
        <f>VALUE(0)</f>
        <v>0</v>
      </c>
      <c r="AY11" s="23">
        <f>VALUE(0)</f>
        <v>0</v>
      </c>
      <c r="AZ11" s="23">
        <f>VALUE(0)</f>
        <v>0</v>
      </c>
      <c r="BA11" s="23">
        <f>VALUE(0)</f>
        <v>0</v>
      </c>
      <c r="BB11" s="23">
        <f>VALUE(0)</f>
        <v>0</v>
      </c>
      <c r="BC11" s="23">
        <f>VALUE(0)</f>
        <v>0</v>
      </c>
      <c r="BD11" s="23">
        <f>VALUE(0)</f>
        <v>0</v>
      </c>
      <c r="BE11" s="23">
        <f>VALUE(0)</f>
        <v>0</v>
      </c>
      <c r="BF11" s="23">
        <f>VALUE(0)</f>
        <v>0</v>
      </c>
      <c r="BG11" s="23">
        <f>VALUE(0)</f>
        <v>0</v>
      </c>
      <c r="BH11" s="23">
        <f>VALUE(0)</f>
        <v>0</v>
      </c>
      <c r="BI11" s="23">
        <f>VALUE(0)</f>
        <v>0</v>
      </c>
      <c r="BJ11" s="23">
        <f>VALUE(0)</f>
        <v>0</v>
      </c>
      <c r="BK11" s="12">
        <f>$AX$11*24</f>
        <v>0</v>
      </c>
      <c r="BL11" s="12">
        <f>$AY$11*24</f>
        <v>0</v>
      </c>
      <c r="BM11" s="12">
        <f>$BJ$11*24</f>
        <v>0</v>
      </c>
      <c r="BN11" s="12">
        <f>VALUE($I$11)/100</f>
        <v>1</v>
      </c>
      <c r="BO11" s="12">
        <v>0</v>
      </c>
      <c r="BP11" s="12">
        <v>0</v>
      </c>
      <c r="BQ11" s="12">
        <v>0</v>
      </c>
      <c r="BR11" s="12">
        <v>0</v>
      </c>
      <c r="BS11" s="12">
        <v>0</v>
      </c>
      <c r="BT11" s="12">
        <v>0</v>
      </c>
      <c r="BU11" s="12">
        <v>0</v>
      </c>
      <c r="BV11" s="12">
        <v>0</v>
      </c>
      <c r="BW11" s="12">
        <v>0</v>
      </c>
      <c r="BX11" s="12">
        <v>0</v>
      </c>
      <c r="BY11" s="12">
        <v>0</v>
      </c>
      <c r="BZ11" s="12">
        <v>0</v>
      </c>
      <c r="CA11" s="12">
        <v>0</v>
      </c>
    </row>
    <row r="12" spans="1:81" hidden="1" x14ac:dyDescent="0.2">
      <c r="A12" s="12" t="s">
        <v>102</v>
      </c>
      <c r="B12" s="12" t="s">
        <v>103</v>
      </c>
      <c r="C12" s="12" t="s">
        <v>103</v>
      </c>
      <c r="D12" s="22" t="s">
        <v>165</v>
      </c>
      <c r="E12" s="22" t="s">
        <v>161</v>
      </c>
      <c r="F12" s="22" t="s">
        <v>597</v>
      </c>
      <c r="G12" s="22" t="s">
        <v>598</v>
      </c>
      <c r="H12" s="22" t="s">
        <v>166</v>
      </c>
      <c r="I12" s="22" t="s">
        <v>151</v>
      </c>
      <c r="J12" s="22" t="s">
        <v>162</v>
      </c>
      <c r="K12" s="22" t="s">
        <v>64</v>
      </c>
      <c r="L12" s="54" t="s">
        <v>153</v>
      </c>
      <c r="M12" s="23" t="s">
        <v>153</v>
      </c>
      <c r="N12" s="24" t="s">
        <v>153</v>
      </c>
      <c r="O12" s="23" t="s">
        <v>153</v>
      </c>
      <c r="P12" s="23" t="s">
        <v>153</v>
      </c>
      <c r="Q12" s="23" t="s">
        <v>153</v>
      </c>
      <c r="R12" s="23" t="s">
        <v>153</v>
      </c>
      <c r="S12" s="23" t="s">
        <v>153</v>
      </c>
      <c r="T12" s="23" t="s">
        <v>153</v>
      </c>
      <c r="U12" s="24" t="s">
        <v>153</v>
      </c>
      <c r="V12" s="54" t="s">
        <v>153</v>
      </c>
      <c r="W12" s="23" t="s">
        <v>153</v>
      </c>
      <c r="X12" s="23" t="s">
        <v>153</v>
      </c>
      <c r="Y12" s="24" t="s">
        <v>156</v>
      </c>
      <c r="Z12" s="24" t="s">
        <v>156</v>
      </c>
      <c r="AA12" s="24" t="s">
        <v>156</v>
      </c>
      <c r="AB12" s="24" t="s">
        <v>153</v>
      </c>
      <c r="AC12" s="23" t="s">
        <v>153</v>
      </c>
      <c r="AD12" s="23" t="s">
        <v>153</v>
      </c>
      <c r="AE12" s="23" t="s">
        <v>153</v>
      </c>
      <c r="AF12" s="23" t="s">
        <v>153</v>
      </c>
      <c r="AG12" s="23" t="s">
        <v>153</v>
      </c>
      <c r="AH12" s="23" t="s">
        <v>153</v>
      </c>
      <c r="AI12" s="24" t="s">
        <v>153</v>
      </c>
      <c r="AJ12" s="23" t="s">
        <v>153</v>
      </c>
      <c r="AK12" s="23" t="s">
        <v>153</v>
      </c>
      <c r="AL12" s="23" t="s">
        <v>153</v>
      </c>
      <c r="AM12" s="23" t="s">
        <v>153</v>
      </c>
      <c r="AN12" s="23" t="s">
        <v>153</v>
      </c>
      <c r="AO12" s="23" t="s">
        <v>153</v>
      </c>
      <c r="AP12" s="23">
        <f>VALUE(2)</f>
        <v>2</v>
      </c>
      <c r="AQ12" s="23">
        <f>VALUE(0)</f>
        <v>0</v>
      </c>
      <c r="AR12" s="23">
        <f>VALUE(0)</f>
        <v>0</v>
      </c>
      <c r="AS12" s="23">
        <f>VALUE(0)</f>
        <v>0</v>
      </c>
      <c r="AT12" s="23">
        <f>VALUE(0)</f>
        <v>0</v>
      </c>
      <c r="AU12" s="23">
        <f>VALUE(0)</f>
        <v>0</v>
      </c>
      <c r="AV12" s="23">
        <f>VALUE(2)</f>
        <v>2</v>
      </c>
      <c r="AW12" s="23">
        <f>VALUE(0)</f>
        <v>0</v>
      </c>
      <c r="AX12" s="23" t="s">
        <v>1166</v>
      </c>
      <c r="AY12" s="23">
        <f>VALUE(0)</f>
        <v>0</v>
      </c>
      <c r="AZ12" s="23">
        <f>VALUE(0)</f>
        <v>0</v>
      </c>
      <c r="BA12" s="23">
        <f>VALUE(0)</f>
        <v>0</v>
      </c>
      <c r="BB12" s="23">
        <f>VALUE(0)</f>
        <v>0</v>
      </c>
      <c r="BC12" s="23">
        <f>VALUE(0)</f>
        <v>0</v>
      </c>
      <c r="BD12" s="23">
        <f>VALUE(0)</f>
        <v>0</v>
      </c>
      <c r="BE12" s="23">
        <f>VALUE(0)</f>
        <v>0</v>
      </c>
      <c r="BF12" s="23">
        <f>VALUE(0)</f>
        <v>0</v>
      </c>
      <c r="BG12" s="23">
        <f>VALUE(0)</f>
        <v>0</v>
      </c>
      <c r="BH12" s="23">
        <f>VALUE(0)</f>
        <v>0</v>
      </c>
      <c r="BI12" s="23">
        <f>VALUE(0)</f>
        <v>0</v>
      </c>
      <c r="BJ12" s="23">
        <f>VALUE(0)</f>
        <v>0</v>
      </c>
      <c r="BK12" s="12">
        <f>$AX$12*24</f>
        <v>30.466666666666665</v>
      </c>
      <c r="BL12" s="12">
        <f>$AY$12*24</f>
        <v>0</v>
      </c>
      <c r="BM12" s="12">
        <f>$BJ$12*24</f>
        <v>0</v>
      </c>
      <c r="BN12" s="12">
        <f>VALUE($I$12)/100</f>
        <v>1</v>
      </c>
      <c r="BO12" s="12">
        <v>0</v>
      </c>
      <c r="BP12" s="12">
        <v>0</v>
      </c>
      <c r="BQ12" s="12">
        <v>0</v>
      </c>
      <c r="BR12" s="12">
        <v>0</v>
      </c>
      <c r="BS12" s="12">
        <v>0</v>
      </c>
      <c r="BT12" s="12">
        <v>0</v>
      </c>
      <c r="BU12" s="12">
        <v>0</v>
      </c>
      <c r="BV12" s="12">
        <v>0</v>
      </c>
      <c r="BW12" s="12">
        <v>0</v>
      </c>
      <c r="BX12" s="12">
        <v>0</v>
      </c>
      <c r="BY12" s="12">
        <v>0</v>
      </c>
      <c r="BZ12" s="12">
        <v>0</v>
      </c>
      <c r="CA12" s="12">
        <v>0</v>
      </c>
    </row>
    <row r="13" spans="1:81" hidden="1" x14ac:dyDescent="0.2">
      <c r="A13" s="12" t="s">
        <v>102</v>
      </c>
      <c r="B13" s="12" t="s">
        <v>103</v>
      </c>
      <c r="C13" s="12" t="s">
        <v>103</v>
      </c>
      <c r="D13" s="22" t="s">
        <v>167</v>
      </c>
      <c r="E13" s="22" t="s">
        <v>161</v>
      </c>
      <c r="F13" s="22" t="s">
        <v>599</v>
      </c>
      <c r="G13" s="22" t="s">
        <v>600</v>
      </c>
      <c r="H13" s="22" t="s">
        <v>150</v>
      </c>
      <c r="I13" s="22" t="s">
        <v>151</v>
      </c>
      <c r="J13" s="22" t="s">
        <v>162</v>
      </c>
      <c r="K13" s="22" t="s">
        <v>64</v>
      </c>
      <c r="L13" s="54" t="s">
        <v>153</v>
      </c>
      <c r="M13" s="28" t="s">
        <v>163</v>
      </c>
      <c r="N13" s="24" t="s">
        <v>153</v>
      </c>
      <c r="O13" s="23" t="s">
        <v>153</v>
      </c>
      <c r="P13" s="23" t="s">
        <v>153</v>
      </c>
      <c r="Q13" s="23" t="s">
        <v>153</v>
      </c>
      <c r="R13" s="23" t="s">
        <v>153</v>
      </c>
      <c r="S13" s="23" t="s">
        <v>153</v>
      </c>
      <c r="T13" s="23" t="s">
        <v>153</v>
      </c>
      <c r="U13" s="24" t="s">
        <v>153</v>
      </c>
      <c r="V13" s="54" t="s">
        <v>156</v>
      </c>
      <c r="W13" s="24" t="s">
        <v>156</v>
      </c>
      <c r="X13" s="24" t="s">
        <v>156</v>
      </c>
      <c r="Y13" s="23" t="s">
        <v>153</v>
      </c>
      <c r="Z13" s="23" t="s">
        <v>153</v>
      </c>
      <c r="AA13" s="23" t="s">
        <v>153</v>
      </c>
      <c r="AB13" s="24" t="s">
        <v>153</v>
      </c>
      <c r="AC13" s="23" t="s">
        <v>153</v>
      </c>
      <c r="AD13" s="23" t="s">
        <v>153</v>
      </c>
      <c r="AE13" s="23" t="s">
        <v>153</v>
      </c>
      <c r="AF13" s="23" t="s">
        <v>153</v>
      </c>
      <c r="AG13" s="23" t="s">
        <v>153</v>
      </c>
      <c r="AH13" s="23" t="s">
        <v>153</v>
      </c>
      <c r="AI13" s="24" t="s">
        <v>153</v>
      </c>
      <c r="AJ13" s="23" t="s">
        <v>153</v>
      </c>
      <c r="AK13" s="23" t="s">
        <v>153</v>
      </c>
      <c r="AL13" s="23" t="s">
        <v>153</v>
      </c>
      <c r="AM13" s="23" t="s">
        <v>153</v>
      </c>
      <c r="AN13" s="23" t="s">
        <v>153</v>
      </c>
      <c r="AO13" s="30" t="s">
        <v>29</v>
      </c>
      <c r="AP13" s="23">
        <f>VALUE(1)</f>
        <v>1</v>
      </c>
      <c r="AQ13" s="23">
        <f>VALUE(0)</f>
        <v>0</v>
      </c>
      <c r="AR13" s="23">
        <f>VALUE(0)</f>
        <v>0</v>
      </c>
      <c r="AS13" s="23">
        <f>VALUE(0)</f>
        <v>0</v>
      </c>
      <c r="AT13" s="23">
        <f>VALUE(0)</f>
        <v>0</v>
      </c>
      <c r="AU13" s="23">
        <f>VALUE(1)</f>
        <v>1</v>
      </c>
      <c r="AV13" s="23">
        <f>VALUE(2)</f>
        <v>2</v>
      </c>
      <c r="AW13" s="23">
        <f>VALUE(0)</f>
        <v>0</v>
      </c>
      <c r="AX13" s="23" t="s">
        <v>1167</v>
      </c>
      <c r="AY13" s="23" t="s">
        <v>168</v>
      </c>
      <c r="AZ13" s="23">
        <f>VALUE(0)</f>
        <v>0</v>
      </c>
      <c r="BA13" s="23">
        <f>VALUE(0)</f>
        <v>0</v>
      </c>
      <c r="BB13" s="23">
        <f>VALUE(0)</f>
        <v>0</v>
      </c>
      <c r="BC13" s="23">
        <f>VALUE(0)</f>
        <v>0</v>
      </c>
      <c r="BD13" s="23">
        <f>VALUE(0)</f>
        <v>0</v>
      </c>
      <c r="BE13" s="23">
        <f>VALUE(0)</f>
        <v>0</v>
      </c>
      <c r="BF13" s="23">
        <f>VALUE(0)</f>
        <v>0</v>
      </c>
      <c r="BG13" s="23">
        <f>VALUE(0)</f>
        <v>0</v>
      </c>
      <c r="BH13" s="23">
        <f>VALUE(0)</f>
        <v>0</v>
      </c>
      <c r="BI13" s="23">
        <f>VALUE(0)</f>
        <v>0</v>
      </c>
      <c r="BJ13" s="23">
        <f>VALUE(0)</f>
        <v>0</v>
      </c>
      <c r="BK13" s="12">
        <f>$AX$13*24</f>
        <v>11.25</v>
      </c>
      <c r="BL13" s="12">
        <f>$AY$13*24</f>
        <v>18.05</v>
      </c>
      <c r="BM13" s="12">
        <f>$BJ$13*24</f>
        <v>0</v>
      </c>
      <c r="BN13" s="12">
        <f>VALUE($I$13)/100</f>
        <v>1</v>
      </c>
      <c r="BO13" s="12">
        <v>0</v>
      </c>
      <c r="BP13" s="12">
        <v>0</v>
      </c>
      <c r="BQ13" s="12">
        <v>0</v>
      </c>
      <c r="BR13" s="12">
        <v>0</v>
      </c>
      <c r="BS13" s="12">
        <v>0</v>
      </c>
      <c r="BT13" s="12">
        <v>0</v>
      </c>
      <c r="BU13" s="12">
        <v>0</v>
      </c>
      <c r="BV13" s="12">
        <v>0</v>
      </c>
      <c r="BW13" s="12">
        <v>0</v>
      </c>
      <c r="BX13" s="12">
        <v>0</v>
      </c>
      <c r="BY13" s="12">
        <v>0</v>
      </c>
      <c r="BZ13" s="12">
        <v>0</v>
      </c>
      <c r="CA13" s="12">
        <v>0</v>
      </c>
    </row>
    <row r="14" spans="1:81" hidden="1" x14ac:dyDescent="0.2">
      <c r="A14" s="12" t="s">
        <v>102</v>
      </c>
      <c r="B14" s="12" t="s">
        <v>103</v>
      </c>
      <c r="C14" s="12" t="s">
        <v>103</v>
      </c>
      <c r="D14" s="22" t="s">
        <v>169</v>
      </c>
      <c r="E14" s="22" t="s">
        <v>161</v>
      </c>
      <c r="F14" s="22" t="s">
        <v>601</v>
      </c>
      <c r="G14" s="22" t="s">
        <v>602</v>
      </c>
      <c r="H14" s="22" t="s">
        <v>150</v>
      </c>
      <c r="I14" s="22" t="s">
        <v>151</v>
      </c>
      <c r="J14" s="22" t="s">
        <v>162</v>
      </c>
      <c r="K14" s="22" t="s">
        <v>64</v>
      </c>
      <c r="L14" s="54" t="s">
        <v>153</v>
      </c>
      <c r="M14" s="28" t="s">
        <v>163</v>
      </c>
      <c r="N14" s="24" t="s">
        <v>153</v>
      </c>
      <c r="O14" s="23" t="s">
        <v>153</v>
      </c>
      <c r="P14" s="23" t="s">
        <v>153</v>
      </c>
      <c r="Q14" s="23" t="s">
        <v>153</v>
      </c>
      <c r="R14" s="24" t="s">
        <v>156</v>
      </c>
      <c r="S14" s="24" t="s">
        <v>156</v>
      </c>
      <c r="T14" s="24" t="s">
        <v>156</v>
      </c>
      <c r="U14" s="24" t="s">
        <v>153</v>
      </c>
      <c r="V14" s="54" t="s">
        <v>153</v>
      </c>
      <c r="W14" s="23" t="s">
        <v>153</v>
      </c>
      <c r="X14" s="23" t="s">
        <v>153</v>
      </c>
      <c r="Y14" s="23" t="s">
        <v>153</v>
      </c>
      <c r="Z14" s="23" t="s">
        <v>153</v>
      </c>
      <c r="AA14" s="23" t="s">
        <v>153</v>
      </c>
      <c r="AB14" s="24" t="s">
        <v>153</v>
      </c>
      <c r="AC14" s="23" t="s">
        <v>153</v>
      </c>
      <c r="AD14" s="23" t="s">
        <v>153</v>
      </c>
      <c r="AE14" s="23" t="s">
        <v>153</v>
      </c>
      <c r="AF14" s="23" t="s">
        <v>153</v>
      </c>
      <c r="AG14" s="23" t="s">
        <v>153</v>
      </c>
      <c r="AH14" s="23" t="s">
        <v>153</v>
      </c>
      <c r="AI14" s="24" t="s">
        <v>153</v>
      </c>
      <c r="AJ14" s="28" t="s">
        <v>163</v>
      </c>
      <c r="AK14" s="28" t="s">
        <v>163</v>
      </c>
      <c r="AL14" s="28" t="s">
        <v>163</v>
      </c>
      <c r="AM14" s="30" t="s">
        <v>28</v>
      </c>
      <c r="AN14" s="23" t="s">
        <v>153</v>
      </c>
      <c r="AO14" s="23" t="s">
        <v>153</v>
      </c>
      <c r="AP14" s="23">
        <f>VALUE(1)</f>
        <v>1</v>
      </c>
      <c r="AQ14" s="23">
        <f>VALUE(0)</f>
        <v>0</v>
      </c>
      <c r="AR14" s="23">
        <f>VALUE(0)</f>
        <v>0</v>
      </c>
      <c r="AS14" s="23">
        <f>VALUE(0)</f>
        <v>0</v>
      </c>
      <c r="AT14" s="23">
        <f>VALUE(0)</f>
        <v>0</v>
      </c>
      <c r="AU14" s="23">
        <f>VALUE(4)</f>
        <v>4</v>
      </c>
      <c r="AV14" s="23">
        <f>VALUE(0)</f>
        <v>0</v>
      </c>
      <c r="AW14" s="23">
        <f>VALUE(0)</f>
        <v>0</v>
      </c>
      <c r="AX14" s="23" t="s">
        <v>171</v>
      </c>
      <c r="AY14" s="23" t="s">
        <v>172</v>
      </c>
      <c r="AZ14" s="23">
        <f>VALUE(0)</f>
        <v>0</v>
      </c>
      <c r="BA14" s="23">
        <f>VALUE(0)</f>
        <v>0</v>
      </c>
      <c r="BB14" s="23">
        <f>VALUE(0)</f>
        <v>0</v>
      </c>
      <c r="BC14" s="23">
        <f>VALUE(0)</f>
        <v>0</v>
      </c>
      <c r="BD14" s="23">
        <f>VALUE(0)</f>
        <v>0</v>
      </c>
      <c r="BE14" s="23">
        <f>VALUE(0)</f>
        <v>0</v>
      </c>
      <c r="BF14" s="23">
        <f>VALUE(0)</f>
        <v>0</v>
      </c>
      <c r="BG14" s="23">
        <f>VALUE(0)</f>
        <v>0</v>
      </c>
      <c r="BH14" s="23">
        <f>VALUE(0)</f>
        <v>0</v>
      </c>
      <c r="BI14" s="23">
        <f>VALUE(0)</f>
        <v>0</v>
      </c>
      <c r="BJ14" s="23">
        <f>VALUE(0)</f>
        <v>0</v>
      </c>
      <c r="BK14" s="12">
        <f>$AX$14*24</f>
        <v>5.833333333333333</v>
      </c>
      <c r="BL14" s="12">
        <f>$AY$14*24</f>
        <v>6.9333333333333336</v>
      </c>
      <c r="BM14" s="12">
        <f>$BJ$14*24</f>
        <v>0</v>
      </c>
      <c r="BN14" s="12">
        <f>VALUE($I$14)/100</f>
        <v>1</v>
      </c>
      <c r="BO14" s="12">
        <v>0</v>
      </c>
      <c r="BP14" s="12">
        <v>0</v>
      </c>
      <c r="BQ14" s="12">
        <v>1</v>
      </c>
      <c r="BR14" s="12">
        <v>0</v>
      </c>
      <c r="BS14" s="12">
        <v>0</v>
      </c>
      <c r="BT14" s="12">
        <v>0</v>
      </c>
      <c r="BU14" s="12">
        <v>0</v>
      </c>
      <c r="BV14" s="12">
        <v>0</v>
      </c>
      <c r="BW14" s="12">
        <v>0</v>
      </c>
      <c r="BX14" s="12">
        <v>0</v>
      </c>
      <c r="BY14" s="12">
        <v>0</v>
      </c>
      <c r="BZ14" s="12">
        <v>0</v>
      </c>
      <c r="CA14" s="12">
        <v>0</v>
      </c>
    </row>
    <row r="15" spans="1:81" ht="15" hidden="1" x14ac:dyDescent="0.25">
      <c r="A15" s="12" t="s">
        <v>102</v>
      </c>
      <c r="B15" s="12" t="s">
        <v>103</v>
      </c>
      <c r="C15" s="12" t="s">
        <v>103</v>
      </c>
      <c r="D15" s="31" t="s">
        <v>174</v>
      </c>
      <c r="E15" s="31" t="s">
        <v>153</v>
      </c>
      <c r="F15" s="31" t="s">
        <v>175</v>
      </c>
      <c r="G15" s="31" t="s">
        <v>153</v>
      </c>
      <c r="H15" s="31" t="s">
        <v>153</v>
      </c>
      <c r="I15" s="31" t="s">
        <v>153</v>
      </c>
      <c r="J15" s="31" t="s">
        <v>153</v>
      </c>
      <c r="K15" s="31" t="s">
        <v>153</v>
      </c>
      <c r="L15" s="31">
        <f>VALUE(0)</f>
        <v>0</v>
      </c>
      <c r="M15" s="31">
        <f>VALUE(3)</f>
        <v>3</v>
      </c>
      <c r="N15" s="31">
        <f>VALUE(0)</f>
        <v>0</v>
      </c>
      <c r="O15" s="31">
        <f>VALUE(3)</f>
        <v>3</v>
      </c>
      <c r="P15" s="31">
        <f>VALUE(3)</f>
        <v>3</v>
      </c>
      <c r="Q15" s="31">
        <f>VALUE(4)</f>
        <v>4</v>
      </c>
      <c r="R15" s="31">
        <f>VALUE(3)</f>
        <v>3</v>
      </c>
      <c r="S15" s="31">
        <f>VALUE(3)</f>
        <v>3</v>
      </c>
      <c r="T15" s="31">
        <f>VALUE(2)</f>
        <v>2</v>
      </c>
      <c r="U15" s="31">
        <f>VALUE(0)</f>
        <v>0</v>
      </c>
      <c r="V15" s="31">
        <f>VALUE(0)</f>
        <v>0</v>
      </c>
      <c r="W15" s="31">
        <f>VALUE(4)</f>
        <v>4</v>
      </c>
      <c r="X15" s="31">
        <f>VALUE(4)</f>
        <v>4</v>
      </c>
      <c r="Y15" s="31">
        <f>VALUE(4)</f>
        <v>4</v>
      </c>
      <c r="Z15" s="31">
        <f>VALUE(4)</f>
        <v>4</v>
      </c>
      <c r="AA15" s="31">
        <f>VALUE(4)</f>
        <v>4</v>
      </c>
      <c r="AB15" s="31">
        <f>VALUE(0)</f>
        <v>0</v>
      </c>
      <c r="AC15" s="31">
        <f>VALUE(5)</f>
        <v>5</v>
      </c>
      <c r="AD15" s="31">
        <f>VALUE(5)</f>
        <v>5</v>
      </c>
      <c r="AE15" s="31">
        <f>VALUE(5)</f>
        <v>5</v>
      </c>
      <c r="AF15" s="31">
        <f>VALUE(5)</f>
        <v>5</v>
      </c>
      <c r="AG15" s="31">
        <f>VALUE(5)</f>
        <v>5</v>
      </c>
      <c r="AH15" s="31">
        <f>VALUE(4)</f>
        <v>4</v>
      </c>
      <c r="AI15" s="31">
        <f>VALUE(0)</f>
        <v>0</v>
      </c>
      <c r="AJ15" s="31">
        <f>VALUE(3)</f>
        <v>3</v>
      </c>
      <c r="AK15" s="31">
        <f>VALUE(4)</f>
        <v>4</v>
      </c>
      <c r="AL15" s="31">
        <f>VALUE(4)</f>
        <v>4</v>
      </c>
      <c r="AM15" s="31">
        <f>VALUE(4)</f>
        <v>4</v>
      </c>
      <c r="AN15" s="31">
        <f>VALUE(4)</f>
        <v>4</v>
      </c>
      <c r="AO15" s="31">
        <f>VALUE(3)</f>
        <v>3</v>
      </c>
      <c r="AP15" s="31">
        <v>0</v>
      </c>
      <c r="AQ15" s="31">
        <v>0</v>
      </c>
      <c r="AR15" s="31">
        <v>0</v>
      </c>
      <c r="AS15" s="31">
        <v>0</v>
      </c>
      <c r="AT15" s="31">
        <v>0</v>
      </c>
      <c r="AU15" s="31">
        <v>0</v>
      </c>
      <c r="AV15" s="31">
        <v>0</v>
      </c>
      <c r="AW15" s="31">
        <v>0</v>
      </c>
      <c r="AX15" s="31">
        <v>0</v>
      </c>
      <c r="AY15" s="31">
        <v>0</v>
      </c>
      <c r="AZ15" s="31">
        <v>0</v>
      </c>
      <c r="BA15" s="31">
        <v>0</v>
      </c>
      <c r="BB15" s="31">
        <v>0</v>
      </c>
      <c r="BC15" s="31">
        <v>0</v>
      </c>
      <c r="BD15" s="31">
        <v>0</v>
      </c>
      <c r="BE15" s="31">
        <v>0</v>
      </c>
      <c r="BF15" s="31">
        <v>0</v>
      </c>
      <c r="BG15" s="31">
        <v>0</v>
      </c>
      <c r="BH15" s="31">
        <v>0</v>
      </c>
      <c r="BI15" s="31">
        <v>0</v>
      </c>
      <c r="BJ15" s="31">
        <v>0</v>
      </c>
      <c r="BK15" s="12">
        <v>0</v>
      </c>
      <c r="BL15" s="12">
        <v>0</v>
      </c>
      <c r="BM15" s="12">
        <v>0</v>
      </c>
      <c r="BN15" s="12"/>
      <c r="BO15" s="12">
        <v>0</v>
      </c>
      <c r="BP15" s="12">
        <v>0</v>
      </c>
      <c r="BQ15" s="12">
        <v>0</v>
      </c>
      <c r="BR15" s="12">
        <v>0</v>
      </c>
      <c r="BS15" s="12">
        <v>0</v>
      </c>
      <c r="BT15" s="12">
        <v>0</v>
      </c>
      <c r="BU15" s="12">
        <v>0</v>
      </c>
      <c r="BV15" s="12">
        <v>0</v>
      </c>
      <c r="BW15" s="12">
        <v>0</v>
      </c>
      <c r="BX15" s="12">
        <v>0</v>
      </c>
      <c r="BY15" s="12">
        <v>0</v>
      </c>
      <c r="BZ15" s="12">
        <v>0</v>
      </c>
      <c r="CA15" s="12">
        <v>0</v>
      </c>
    </row>
    <row r="16" spans="1:81" hidden="1" x14ac:dyDescent="0.2">
      <c r="A16" s="12" t="s">
        <v>102</v>
      </c>
      <c r="B16" s="12" t="s">
        <v>104</v>
      </c>
      <c r="C16" s="12" t="s">
        <v>104</v>
      </c>
      <c r="D16" s="22" t="s">
        <v>177</v>
      </c>
      <c r="E16" s="22" t="s">
        <v>161</v>
      </c>
      <c r="F16" s="22" t="s">
        <v>603</v>
      </c>
      <c r="G16" s="22" t="s">
        <v>604</v>
      </c>
      <c r="H16" s="22" t="s">
        <v>166</v>
      </c>
      <c r="I16" s="22" t="s">
        <v>151</v>
      </c>
      <c r="J16" s="22" t="s">
        <v>178</v>
      </c>
      <c r="K16" s="22" t="s">
        <v>65</v>
      </c>
      <c r="L16" s="54" t="s">
        <v>153</v>
      </c>
      <c r="M16" s="24" t="s">
        <v>156</v>
      </c>
      <c r="N16" s="24" t="s">
        <v>153</v>
      </c>
      <c r="O16" s="23" t="s">
        <v>153</v>
      </c>
      <c r="P16" s="23" t="s">
        <v>153</v>
      </c>
      <c r="Q16" s="23" t="s">
        <v>153</v>
      </c>
      <c r="R16" s="23" t="s">
        <v>153</v>
      </c>
      <c r="S16" s="23" t="s">
        <v>153</v>
      </c>
      <c r="T16" s="24" t="s">
        <v>156</v>
      </c>
      <c r="U16" s="24" t="s">
        <v>153</v>
      </c>
      <c r="V16" s="54" t="s">
        <v>153</v>
      </c>
      <c r="W16" s="23" t="s">
        <v>153</v>
      </c>
      <c r="X16" s="23" t="s">
        <v>153</v>
      </c>
      <c r="Y16" s="23" t="s">
        <v>153</v>
      </c>
      <c r="Z16" s="23" t="s">
        <v>153</v>
      </c>
      <c r="AA16" s="24" t="s">
        <v>156</v>
      </c>
      <c r="AB16" s="24" t="s">
        <v>153</v>
      </c>
      <c r="AC16" s="23" t="s">
        <v>153</v>
      </c>
      <c r="AD16" s="23" t="s">
        <v>153</v>
      </c>
      <c r="AE16" s="23" t="s">
        <v>153</v>
      </c>
      <c r="AF16" s="23" t="s">
        <v>153</v>
      </c>
      <c r="AG16" s="23" t="s">
        <v>153</v>
      </c>
      <c r="AH16" s="24" t="s">
        <v>156</v>
      </c>
      <c r="AI16" s="24" t="s">
        <v>153</v>
      </c>
      <c r="AJ16" s="23" t="s">
        <v>153</v>
      </c>
      <c r="AK16" s="23" t="s">
        <v>153</v>
      </c>
      <c r="AL16" s="23" t="s">
        <v>153</v>
      </c>
      <c r="AM16" s="23" t="s">
        <v>153</v>
      </c>
      <c r="AN16" s="23" t="s">
        <v>153</v>
      </c>
      <c r="AO16" s="24" t="s">
        <v>156</v>
      </c>
      <c r="AP16" s="23">
        <f>VALUE(0)</f>
        <v>0</v>
      </c>
      <c r="AQ16" s="23">
        <f>VALUE(0)</f>
        <v>0</v>
      </c>
      <c r="AR16" s="23">
        <f>VALUE(0)</f>
        <v>0</v>
      </c>
      <c r="AS16" s="23">
        <f>VALUE(0)</f>
        <v>0</v>
      </c>
      <c r="AT16" s="23">
        <f>VALUE(0)</f>
        <v>0</v>
      </c>
      <c r="AU16" s="23">
        <f>VALUE(0)</f>
        <v>0</v>
      </c>
      <c r="AV16" s="23">
        <f>VALUE(3)</f>
        <v>3</v>
      </c>
      <c r="AW16" s="23">
        <f>VALUE(0)</f>
        <v>0</v>
      </c>
      <c r="AX16" s="23" t="s">
        <v>179</v>
      </c>
      <c r="AY16" s="23">
        <f>VALUE(0)</f>
        <v>0</v>
      </c>
      <c r="AZ16" s="23">
        <f>VALUE(0)</f>
        <v>0</v>
      </c>
      <c r="BA16" s="23">
        <f>VALUE(0)</f>
        <v>0</v>
      </c>
      <c r="BB16" s="23">
        <f>VALUE(0)</f>
        <v>0</v>
      </c>
      <c r="BC16" s="23">
        <f>VALUE(0)</f>
        <v>0</v>
      </c>
      <c r="BD16" s="23">
        <f>VALUE(0)</f>
        <v>0</v>
      </c>
      <c r="BE16" s="23">
        <f>VALUE(0)</f>
        <v>0</v>
      </c>
      <c r="BF16" s="23">
        <f>VALUE(0)</f>
        <v>0</v>
      </c>
      <c r="BG16" s="23">
        <f>VALUE(0)</f>
        <v>0</v>
      </c>
      <c r="BH16" s="23">
        <f>VALUE(0)</f>
        <v>0</v>
      </c>
      <c r="BI16" s="23">
        <f>VALUE(0)</f>
        <v>0</v>
      </c>
      <c r="BJ16" s="23">
        <f>VALUE(0)</f>
        <v>0</v>
      </c>
      <c r="BK16" s="12">
        <f>$AX$16*24</f>
        <v>6.4666666666666668</v>
      </c>
      <c r="BL16" s="12">
        <f>$AY$16*24</f>
        <v>0</v>
      </c>
      <c r="BM16" s="12">
        <f>$BJ$16*24</f>
        <v>0</v>
      </c>
      <c r="BN16" s="12">
        <f>VALUE($I$16)/100</f>
        <v>1</v>
      </c>
      <c r="BO16" s="12">
        <v>0</v>
      </c>
      <c r="BP16" s="12">
        <v>0</v>
      </c>
      <c r="BQ16" s="12">
        <v>0</v>
      </c>
      <c r="BR16" s="12">
        <v>0</v>
      </c>
      <c r="BS16" s="12">
        <v>0</v>
      </c>
      <c r="BT16" s="12">
        <v>0</v>
      </c>
      <c r="BU16" s="12">
        <v>0</v>
      </c>
      <c r="BV16" s="12">
        <v>0</v>
      </c>
      <c r="BW16" s="12">
        <v>0</v>
      </c>
      <c r="BX16" s="12">
        <v>0</v>
      </c>
      <c r="BY16" s="12">
        <v>0</v>
      </c>
      <c r="BZ16" s="12">
        <v>0</v>
      </c>
      <c r="CA16" s="12">
        <v>0</v>
      </c>
    </row>
    <row r="17" spans="1:79" hidden="1" x14ac:dyDescent="0.2">
      <c r="A17" s="12" t="s">
        <v>102</v>
      </c>
      <c r="B17" s="12" t="s">
        <v>104</v>
      </c>
      <c r="C17" s="12" t="s">
        <v>104</v>
      </c>
      <c r="D17" s="22" t="s">
        <v>180</v>
      </c>
      <c r="E17" s="22" t="s">
        <v>159</v>
      </c>
      <c r="F17" s="22" t="s">
        <v>605</v>
      </c>
      <c r="G17" s="22" t="s">
        <v>606</v>
      </c>
      <c r="H17" s="22" t="s">
        <v>166</v>
      </c>
      <c r="I17" s="22" t="s">
        <v>151</v>
      </c>
      <c r="J17" s="22" t="s">
        <v>181</v>
      </c>
      <c r="K17" s="22" t="s">
        <v>65</v>
      </c>
      <c r="L17" s="54" t="s">
        <v>153</v>
      </c>
      <c r="M17" s="28" t="s">
        <v>163</v>
      </c>
      <c r="N17" s="24" t="s">
        <v>153</v>
      </c>
      <c r="O17" s="23" t="s">
        <v>153</v>
      </c>
      <c r="P17" s="23" t="s">
        <v>153</v>
      </c>
      <c r="Q17" s="23" t="s">
        <v>153</v>
      </c>
      <c r="R17" s="23" t="s">
        <v>153</v>
      </c>
      <c r="S17" s="23" t="s">
        <v>153</v>
      </c>
      <c r="T17" s="23" t="s">
        <v>153</v>
      </c>
      <c r="U17" s="24" t="s">
        <v>153</v>
      </c>
      <c r="V17" s="54" t="s">
        <v>153</v>
      </c>
      <c r="W17" s="23" t="s">
        <v>183</v>
      </c>
      <c r="X17" s="23" t="s">
        <v>183</v>
      </c>
      <c r="Y17" s="23" t="s">
        <v>183</v>
      </c>
      <c r="Z17" s="23" t="s">
        <v>183</v>
      </c>
      <c r="AA17" s="23" t="s">
        <v>153</v>
      </c>
      <c r="AB17" s="24" t="s">
        <v>153</v>
      </c>
      <c r="AC17" s="23" t="s">
        <v>184</v>
      </c>
      <c r="AD17" s="23" t="s">
        <v>184</v>
      </c>
      <c r="AE17" s="23" t="s">
        <v>184</v>
      </c>
      <c r="AF17" s="25" t="s">
        <v>185</v>
      </c>
      <c r="AG17" s="25" t="s">
        <v>185</v>
      </c>
      <c r="AH17" s="23" t="s">
        <v>153</v>
      </c>
      <c r="AI17" s="24" t="s">
        <v>153</v>
      </c>
      <c r="AJ17" s="25" t="s">
        <v>185</v>
      </c>
      <c r="AK17" s="25" t="s">
        <v>185</v>
      </c>
      <c r="AL17" s="23" t="s">
        <v>153</v>
      </c>
      <c r="AM17" s="23" t="s">
        <v>153</v>
      </c>
      <c r="AN17" s="23" t="s">
        <v>153</v>
      </c>
      <c r="AO17" s="23" t="s">
        <v>153</v>
      </c>
      <c r="AP17" s="23">
        <f>VALUE(0)</f>
        <v>0</v>
      </c>
      <c r="AQ17" s="23">
        <f>VALUE(0)</f>
        <v>0</v>
      </c>
      <c r="AR17" s="23">
        <f>VALUE(0)</f>
        <v>0</v>
      </c>
      <c r="AS17" s="23">
        <f>VALUE(12)</f>
        <v>12</v>
      </c>
      <c r="AT17" s="23">
        <f>VALUE(0)</f>
        <v>0</v>
      </c>
      <c r="AU17" s="23">
        <f>VALUE(1)</f>
        <v>1</v>
      </c>
      <c r="AV17" s="23">
        <f>VALUE(1)</f>
        <v>1</v>
      </c>
      <c r="AW17" s="23">
        <f>VALUE(0)</f>
        <v>0</v>
      </c>
      <c r="AX17" s="23" t="s">
        <v>187</v>
      </c>
      <c r="AY17" s="23">
        <f>VALUE(0)</f>
        <v>0</v>
      </c>
      <c r="AZ17" s="23">
        <f>VALUE(0)</f>
        <v>0</v>
      </c>
      <c r="BA17" s="23">
        <f>VALUE(0)</f>
        <v>0</v>
      </c>
      <c r="BB17" s="23">
        <f>VALUE(0)</f>
        <v>0</v>
      </c>
      <c r="BC17" s="23">
        <f>VALUE(0)</f>
        <v>0</v>
      </c>
      <c r="BD17" s="23">
        <f>VALUE(0)</f>
        <v>0</v>
      </c>
      <c r="BE17" s="23">
        <f>VALUE(0)</f>
        <v>0</v>
      </c>
      <c r="BF17" s="23">
        <f>VALUE(0)</f>
        <v>0</v>
      </c>
      <c r="BG17" s="23">
        <f>VALUE(0)</f>
        <v>0</v>
      </c>
      <c r="BH17" s="23">
        <f>VALUE(0)</f>
        <v>0</v>
      </c>
      <c r="BI17" s="23">
        <f>VALUE(0)</f>
        <v>0</v>
      </c>
      <c r="BJ17" s="23">
        <f>VALUE(0)</f>
        <v>0</v>
      </c>
      <c r="BK17" s="12">
        <f>$AX$17*24</f>
        <v>6.1833333333333336</v>
      </c>
      <c r="BL17" s="12">
        <f>$AY$17*24</f>
        <v>0</v>
      </c>
      <c r="BM17" s="12">
        <f>$BJ$17*24</f>
        <v>0</v>
      </c>
      <c r="BN17" s="12">
        <f>VALUE($I$17)/100</f>
        <v>1</v>
      </c>
      <c r="BO17" s="12">
        <v>0</v>
      </c>
      <c r="BP17" s="12">
        <v>0</v>
      </c>
      <c r="BQ17" s="12">
        <v>0</v>
      </c>
      <c r="BR17" s="12">
        <v>0</v>
      </c>
      <c r="BS17" s="12">
        <v>0</v>
      </c>
      <c r="BT17" s="12">
        <v>0</v>
      </c>
      <c r="BU17" s="12">
        <v>0</v>
      </c>
      <c r="BV17" s="12">
        <v>0</v>
      </c>
      <c r="BW17" s="12">
        <v>0</v>
      </c>
      <c r="BX17" s="12">
        <v>0</v>
      </c>
      <c r="BY17" s="12">
        <v>0</v>
      </c>
      <c r="BZ17" s="12">
        <v>0</v>
      </c>
      <c r="CA17" s="12">
        <v>0</v>
      </c>
    </row>
    <row r="18" spans="1:79" hidden="1" x14ac:dyDescent="0.2">
      <c r="A18" s="12" t="s">
        <v>102</v>
      </c>
      <c r="B18" s="12" t="s">
        <v>104</v>
      </c>
      <c r="C18" s="12" t="s">
        <v>104</v>
      </c>
      <c r="D18" s="22" t="s">
        <v>186</v>
      </c>
      <c r="E18" s="22" t="s">
        <v>161</v>
      </c>
      <c r="F18" s="22" t="s">
        <v>607</v>
      </c>
      <c r="G18" s="22" t="s">
        <v>608</v>
      </c>
      <c r="H18" s="22" t="s">
        <v>150</v>
      </c>
      <c r="I18" s="22" t="s">
        <v>151</v>
      </c>
      <c r="J18" s="22" t="s">
        <v>181</v>
      </c>
      <c r="K18" s="22" t="s">
        <v>65</v>
      </c>
      <c r="L18" s="54" t="s">
        <v>153</v>
      </c>
      <c r="M18" s="32" t="s">
        <v>188</v>
      </c>
      <c r="N18" s="24" t="s">
        <v>153</v>
      </c>
      <c r="O18" s="32" t="s">
        <v>188</v>
      </c>
      <c r="P18" s="32" t="s">
        <v>188</v>
      </c>
      <c r="Q18" s="32" t="s">
        <v>188</v>
      </c>
      <c r="R18" s="32" t="s">
        <v>188</v>
      </c>
      <c r="S18" s="32" t="s">
        <v>188</v>
      </c>
      <c r="T18" s="32" t="s">
        <v>188</v>
      </c>
      <c r="U18" s="24" t="s">
        <v>153</v>
      </c>
      <c r="V18" s="54" t="s">
        <v>153</v>
      </c>
      <c r="W18" s="32" t="s">
        <v>188</v>
      </c>
      <c r="X18" s="32" t="s">
        <v>188</v>
      </c>
      <c r="Y18" s="32" t="s">
        <v>188</v>
      </c>
      <c r="Z18" s="32" t="s">
        <v>188</v>
      </c>
      <c r="AA18" s="32" t="s">
        <v>188</v>
      </c>
      <c r="AB18" s="24" t="s">
        <v>153</v>
      </c>
      <c r="AC18" s="23" t="s">
        <v>153</v>
      </c>
      <c r="AD18" s="23" t="s">
        <v>153</v>
      </c>
      <c r="AE18" s="23" t="s">
        <v>153</v>
      </c>
      <c r="AF18" s="23" t="s">
        <v>153</v>
      </c>
      <c r="AG18" s="23" t="s">
        <v>153</v>
      </c>
      <c r="AH18" s="23" t="s">
        <v>153</v>
      </c>
      <c r="AI18" s="24" t="s">
        <v>153</v>
      </c>
      <c r="AJ18" s="23" t="s">
        <v>153</v>
      </c>
      <c r="AK18" s="23" t="s">
        <v>153</v>
      </c>
      <c r="AL18" s="23" t="s">
        <v>153</v>
      </c>
      <c r="AM18" s="23" t="s">
        <v>153</v>
      </c>
      <c r="AN18" s="23" t="s">
        <v>153</v>
      </c>
      <c r="AO18" s="24" t="s">
        <v>156</v>
      </c>
      <c r="AP18" s="23">
        <f>VALUE(0)</f>
        <v>0</v>
      </c>
      <c r="AQ18" s="23">
        <f>VALUE(1)</f>
        <v>1</v>
      </c>
      <c r="AR18" s="23">
        <f>VALUE(0)</f>
        <v>0</v>
      </c>
      <c r="AS18" s="23">
        <f>VALUE(0)</f>
        <v>0</v>
      </c>
      <c r="AT18" s="23">
        <f>VALUE(0)</f>
        <v>0</v>
      </c>
      <c r="AU18" s="23">
        <f>VALUE(0)</f>
        <v>0</v>
      </c>
      <c r="AV18" s="23">
        <f>VALUE(10)</f>
        <v>10</v>
      </c>
      <c r="AW18" s="23">
        <f>VALUE(3)</f>
        <v>3</v>
      </c>
      <c r="AX18" s="23" t="s">
        <v>189</v>
      </c>
      <c r="AY18" s="23">
        <f>VALUE(0)</f>
        <v>0</v>
      </c>
      <c r="AZ18" s="23">
        <f>VALUE(12)</f>
        <v>12</v>
      </c>
      <c r="BA18" s="23">
        <f>VALUE(0)</f>
        <v>0</v>
      </c>
      <c r="BB18" s="23">
        <f>VALUE(0)</f>
        <v>0</v>
      </c>
      <c r="BC18" s="23">
        <f>VALUE(0)</f>
        <v>0</v>
      </c>
      <c r="BD18" s="23">
        <f>VALUE(0)</f>
        <v>0</v>
      </c>
      <c r="BE18" s="23">
        <f>VALUE(0)</f>
        <v>0</v>
      </c>
      <c r="BF18" s="23">
        <f>VALUE(0)</f>
        <v>0</v>
      </c>
      <c r="BG18" s="23">
        <f>VALUE(0)</f>
        <v>0</v>
      </c>
      <c r="BH18" s="23">
        <f>VALUE(0)</f>
        <v>0</v>
      </c>
      <c r="BI18" s="23">
        <f>VALUE(0)</f>
        <v>0</v>
      </c>
      <c r="BJ18" s="23">
        <f>VALUE(0)</f>
        <v>0</v>
      </c>
      <c r="BK18" s="12">
        <f>$AX$18*24</f>
        <v>11.766666666666667</v>
      </c>
      <c r="BL18" s="12">
        <f>$AY$18*24</f>
        <v>0</v>
      </c>
      <c r="BM18" s="12">
        <f>$BJ$18*24</f>
        <v>0</v>
      </c>
      <c r="BN18" s="12">
        <f>VALUE($I$18)/100</f>
        <v>1</v>
      </c>
      <c r="BO18" s="12">
        <v>0</v>
      </c>
      <c r="BP18" s="12">
        <v>0</v>
      </c>
      <c r="BQ18" s="12">
        <v>0</v>
      </c>
      <c r="BR18" s="12">
        <v>0</v>
      </c>
      <c r="BS18" s="12">
        <v>0</v>
      </c>
      <c r="BT18" s="12">
        <v>0</v>
      </c>
      <c r="BU18" s="12">
        <v>0</v>
      </c>
      <c r="BV18" s="12">
        <v>0</v>
      </c>
      <c r="BW18" s="12">
        <v>0</v>
      </c>
      <c r="BX18" s="12">
        <v>0</v>
      </c>
      <c r="BY18" s="12">
        <v>0</v>
      </c>
      <c r="BZ18" s="12">
        <v>0</v>
      </c>
      <c r="CA18" s="12">
        <v>0</v>
      </c>
    </row>
    <row r="19" spans="1:79" hidden="1" x14ac:dyDescent="0.2">
      <c r="A19" s="12" t="s">
        <v>102</v>
      </c>
      <c r="B19" s="12" t="s">
        <v>104</v>
      </c>
      <c r="C19" s="12" t="s">
        <v>104</v>
      </c>
      <c r="D19" s="22" t="s">
        <v>186</v>
      </c>
      <c r="E19" s="22" t="s">
        <v>161</v>
      </c>
      <c r="F19" s="22" t="s">
        <v>609</v>
      </c>
      <c r="G19" s="22" t="s">
        <v>610</v>
      </c>
      <c r="H19" s="22" t="s">
        <v>190</v>
      </c>
      <c r="I19" s="22" t="s">
        <v>151</v>
      </c>
      <c r="J19" s="22" t="s">
        <v>181</v>
      </c>
      <c r="K19" s="22" t="s">
        <v>65</v>
      </c>
      <c r="L19" s="54" t="s">
        <v>153</v>
      </c>
      <c r="M19" s="23" t="s">
        <v>153</v>
      </c>
      <c r="N19" s="24" t="s">
        <v>153</v>
      </c>
      <c r="O19" s="23" t="s">
        <v>153</v>
      </c>
      <c r="P19" s="23" t="s">
        <v>153</v>
      </c>
      <c r="Q19" s="23" t="s">
        <v>153</v>
      </c>
      <c r="R19" s="23" t="s">
        <v>153</v>
      </c>
      <c r="S19" s="23" t="s">
        <v>153</v>
      </c>
      <c r="T19" s="24" t="s">
        <v>156</v>
      </c>
      <c r="U19" s="24" t="s">
        <v>153</v>
      </c>
      <c r="V19" s="54" t="s">
        <v>153</v>
      </c>
      <c r="W19" s="23" t="s">
        <v>153</v>
      </c>
      <c r="X19" s="23" t="s">
        <v>153</v>
      </c>
      <c r="Y19" s="23" t="s">
        <v>153</v>
      </c>
      <c r="Z19" s="23" t="s">
        <v>153</v>
      </c>
      <c r="AA19" s="23" t="s">
        <v>153</v>
      </c>
      <c r="AB19" s="40" t="s">
        <v>153</v>
      </c>
      <c r="AC19" s="40" t="s">
        <v>153</v>
      </c>
      <c r="AD19" s="40" t="s">
        <v>153</v>
      </c>
      <c r="AE19" s="40" t="s">
        <v>153</v>
      </c>
      <c r="AF19" s="40" t="s">
        <v>153</v>
      </c>
      <c r="AG19" s="40" t="s">
        <v>153</v>
      </c>
      <c r="AH19" s="40" t="s">
        <v>153</v>
      </c>
      <c r="AI19" s="40" t="s">
        <v>153</v>
      </c>
      <c r="AJ19" s="40" t="s">
        <v>153</v>
      </c>
      <c r="AK19" s="40" t="s">
        <v>153</v>
      </c>
      <c r="AL19" s="40" t="s">
        <v>153</v>
      </c>
      <c r="AM19" s="40" t="s">
        <v>153</v>
      </c>
      <c r="AN19" s="40" t="s">
        <v>153</v>
      </c>
      <c r="AO19" s="40" t="s">
        <v>153</v>
      </c>
      <c r="AP19" s="23">
        <f>VALUE(0)</f>
        <v>0</v>
      </c>
      <c r="AQ19" s="23">
        <f>VALUE(0)</f>
        <v>0</v>
      </c>
      <c r="AR19" s="23">
        <f>VALUE(0)</f>
        <v>0</v>
      </c>
      <c r="AS19" s="23">
        <f>VALUE(0)</f>
        <v>0</v>
      </c>
      <c r="AT19" s="23">
        <f>VALUE(0)</f>
        <v>0</v>
      </c>
      <c r="AU19" s="23">
        <f>VALUE(0)</f>
        <v>0</v>
      </c>
      <c r="AV19" s="23">
        <f>VALUE(6)</f>
        <v>6</v>
      </c>
      <c r="AW19" s="23">
        <f>VALUE(0)</f>
        <v>0</v>
      </c>
      <c r="AX19" s="23" t="s">
        <v>1168</v>
      </c>
      <c r="AY19" s="23">
        <f>VALUE(0)</f>
        <v>0</v>
      </c>
      <c r="AZ19" s="23">
        <f>VALUE(0)</f>
        <v>0</v>
      </c>
      <c r="BA19" s="23">
        <f>VALUE(0)</f>
        <v>0</v>
      </c>
      <c r="BB19" s="23">
        <f>VALUE(0)</f>
        <v>0</v>
      </c>
      <c r="BC19" s="23">
        <f>VALUE(0)</f>
        <v>0</v>
      </c>
      <c r="BD19" s="23">
        <f>VALUE(0)</f>
        <v>0</v>
      </c>
      <c r="BE19" s="23">
        <f>VALUE(0)</f>
        <v>0</v>
      </c>
      <c r="BF19" s="23">
        <f>VALUE(0)</f>
        <v>0</v>
      </c>
      <c r="BG19" s="23">
        <f>VALUE(0)</f>
        <v>0</v>
      </c>
      <c r="BH19" s="23">
        <f>VALUE(0)</f>
        <v>0</v>
      </c>
      <c r="BI19" s="23">
        <f>VALUE(0)</f>
        <v>0</v>
      </c>
      <c r="BJ19" s="23">
        <f>VALUE(0)</f>
        <v>0</v>
      </c>
      <c r="BK19" s="12">
        <f>$AX$19*24</f>
        <v>18.75</v>
      </c>
      <c r="BL19" s="12">
        <f>$AY$19*24</f>
        <v>0</v>
      </c>
      <c r="BM19" s="12">
        <f>$BJ$19*24</f>
        <v>0</v>
      </c>
      <c r="BN19" s="12">
        <f>VALUE($I$19)/100</f>
        <v>1</v>
      </c>
      <c r="BO19" s="12">
        <v>0</v>
      </c>
      <c r="BP19" s="12">
        <v>0</v>
      </c>
      <c r="BQ19" s="12">
        <v>0</v>
      </c>
      <c r="BR19" s="12">
        <v>0</v>
      </c>
      <c r="BS19" s="12">
        <v>0</v>
      </c>
      <c r="BT19" s="12">
        <v>0</v>
      </c>
      <c r="BU19" s="12">
        <v>0</v>
      </c>
      <c r="BV19" s="12">
        <v>0</v>
      </c>
      <c r="BW19" s="12">
        <v>0</v>
      </c>
      <c r="BX19" s="12">
        <v>0</v>
      </c>
      <c r="BY19" s="12">
        <v>0</v>
      </c>
      <c r="BZ19" s="12">
        <v>0</v>
      </c>
      <c r="CA19" s="12">
        <v>0</v>
      </c>
    </row>
    <row r="20" spans="1:79" hidden="1" x14ac:dyDescent="0.2">
      <c r="A20" s="12" t="s">
        <v>102</v>
      </c>
      <c r="B20" s="12" t="s">
        <v>104</v>
      </c>
      <c r="C20" s="12" t="s">
        <v>104</v>
      </c>
      <c r="D20" s="22" t="s">
        <v>192</v>
      </c>
      <c r="E20" s="22" t="s">
        <v>173</v>
      </c>
      <c r="F20" s="22" t="s">
        <v>611</v>
      </c>
      <c r="G20" s="22" t="s">
        <v>612</v>
      </c>
      <c r="H20" s="22" t="s">
        <v>166</v>
      </c>
      <c r="I20" s="22" t="s">
        <v>151</v>
      </c>
      <c r="J20" s="22" t="s">
        <v>181</v>
      </c>
      <c r="K20" s="22" t="s">
        <v>65</v>
      </c>
      <c r="L20" s="54" t="s">
        <v>153</v>
      </c>
      <c r="M20" s="28" t="s">
        <v>163</v>
      </c>
      <c r="N20" s="24" t="s">
        <v>153</v>
      </c>
      <c r="O20" s="23" t="s">
        <v>153</v>
      </c>
      <c r="P20" s="23" t="s">
        <v>153</v>
      </c>
      <c r="Q20" s="23" t="s">
        <v>153</v>
      </c>
      <c r="R20" s="23" t="s">
        <v>153</v>
      </c>
      <c r="S20" s="23" t="s">
        <v>153</v>
      </c>
      <c r="T20" s="24" t="s">
        <v>156</v>
      </c>
      <c r="U20" s="24" t="s">
        <v>153</v>
      </c>
      <c r="V20" s="54" t="s">
        <v>153</v>
      </c>
      <c r="W20" s="23" t="s">
        <v>153</v>
      </c>
      <c r="X20" s="23" t="s">
        <v>153</v>
      </c>
      <c r="Y20" s="23" t="s">
        <v>153</v>
      </c>
      <c r="Z20" s="23" t="s">
        <v>153</v>
      </c>
      <c r="AA20" s="24" t="s">
        <v>156</v>
      </c>
      <c r="AB20" s="24" t="s">
        <v>153</v>
      </c>
      <c r="AC20" s="23" t="s">
        <v>153</v>
      </c>
      <c r="AD20" s="23" t="s">
        <v>153</v>
      </c>
      <c r="AE20" s="23" t="s">
        <v>153</v>
      </c>
      <c r="AF20" s="23" t="s">
        <v>153</v>
      </c>
      <c r="AG20" s="23" t="s">
        <v>153</v>
      </c>
      <c r="AH20" s="24" t="s">
        <v>156</v>
      </c>
      <c r="AI20" s="24" t="s">
        <v>153</v>
      </c>
      <c r="AJ20" s="23" t="s">
        <v>153</v>
      </c>
      <c r="AK20" s="23" t="s">
        <v>153</v>
      </c>
      <c r="AL20" s="23" t="s">
        <v>153</v>
      </c>
      <c r="AM20" s="23" t="s">
        <v>153</v>
      </c>
      <c r="AN20" s="23" t="s">
        <v>153</v>
      </c>
      <c r="AO20" s="24" t="s">
        <v>156</v>
      </c>
      <c r="AP20" s="23">
        <f>VALUE(0)</f>
        <v>0</v>
      </c>
      <c r="AQ20" s="23">
        <f>VALUE(0)</f>
        <v>0</v>
      </c>
      <c r="AR20" s="23">
        <f>VALUE(0)</f>
        <v>0</v>
      </c>
      <c r="AS20" s="23">
        <f>VALUE(0)</f>
        <v>0</v>
      </c>
      <c r="AT20" s="23">
        <f>VALUE(0)</f>
        <v>0</v>
      </c>
      <c r="AU20" s="23">
        <f>VALUE(1)</f>
        <v>1</v>
      </c>
      <c r="AV20" s="23">
        <f>VALUE(2.5)</f>
        <v>2.5</v>
      </c>
      <c r="AW20" s="23">
        <f>VALUE(0)</f>
        <v>0</v>
      </c>
      <c r="AX20" s="23" t="s">
        <v>193</v>
      </c>
      <c r="AY20" s="23">
        <f>VALUE(0)</f>
        <v>0</v>
      </c>
      <c r="AZ20" s="23">
        <f>VALUE(0)</f>
        <v>0</v>
      </c>
      <c r="BA20" s="23">
        <f>VALUE(0)</f>
        <v>0</v>
      </c>
      <c r="BB20" s="23">
        <f>VALUE(0)</f>
        <v>0</v>
      </c>
      <c r="BC20" s="23">
        <f>VALUE(0)</f>
        <v>0</v>
      </c>
      <c r="BD20" s="23">
        <f>VALUE(0)</f>
        <v>0</v>
      </c>
      <c r="BE20" s="23">
        <f>VALUE(0)</f>
        <v>0</v>
      </c>
      <c r="BF20" s="23">
        <f>VALUE(0)</f>
        <v>0</v>
      </c>
      <c r="BG20" s="23">
        <f>VALUE(0)</f>
        <v>0</v>
      </c>
      <c r="BH20" s="23">
        <f>VALUE(0)</f>
        <v>0</v>
      </c>
      <c r="BI20" s="23">
        <f>VALUE(0)</f>
        <v>0</v>
      </c>
      <c r="BJ20" s="23">
        <f>VALUE(0)</f>
        <v>0</v>
      </c>
      <c r="BK20" s="12">
        <f>$AX$20*24</f>
        <v>5.0333333333333332</v>
      </c>
      <c r="BL20" s="12">
        <f>$AY$20*24</f>
        <v>0</v>
      </c>
      <c r="BM20" s="12">
        <f>$BJ$20*24</f>
        <v>0</v>
      </c>
      <c r="BN20" s="12">
        <f>VALUE($I$20)/100</f>
        <v>1</v>
      </c>
      <c r="BO20" s="12">
        <v>0</v>
      </c>
      <c r="BP20" s="12">
        <v>0</v>
      </c>
      <c r="BQ20" s="12">
        <v>0</v>
      </c>
      <c r="BR20" s="12">
        <v>0</v>
      </c>
      <c r="BS20" s="12">
        <v>0</v>
      </c>
      <c r="BT20" s="12">
        <v>0</v>
      </c>
      <c r="BU20" s="12">
        <v>0</v>
      </c>
      <c r="BV20" s="12">
        <v>0</v>
      </c>
      <c r="BW20" s="12">
        <v>0</v>
      </c>
      <c r="BX20" s="12">
        <v>0</v>
      </c>
      <c r="BY20" s="12">
        <v>0</v>
      </c>
      <c r="BZ20" s="12">
        <v>0</v>
      </c>
      <c r="CA20" s="12">
        <v>0</v>
      </c>
    </row>
    <row r="21" spans="1:79" hidden="1" x14ac:dyDescent="0.2">
      <c r="A21" s="12" t="s">
        <v>102</v>
      </c>
      <c r="B21" s="12" t="s">
        <v>104</v>
      </c>
      <c r="C21" s="12" t="s">
        <v>104</v>
      </c>
      <c r="D21" s="22" t="s">
        <v>183</v>
      </c>
      <c r="E21" s="22" t="s">
        <v>161</v>
      </c>
      <c r="F21" s="22" t="s">
        <v>613</v>
      </c>
      <c r="G21" s="22" t="s">
        <v>614</v>
      </c>
      <c r="H21" s="22" t="s">
        <v>166</v>
      </c>
      <c r="I21" s="22" t="s">
        <v>194</v>
      </c>
      <c r="J21" s="22" t="s">
        <v>181</v>
      </c>
      <c r="K21" s="22" t="s">
        <v>65</v>
      </c>
      <c r="L21" s="54" t="s">
        <v>153</v>
      </c>
      <c r="M21" s="24" t="s">
        <v>156</v>
      </c>
      <c r="N21" s="24" t="s">
        <v>153</v>
      </c>
      <c r="O21" s="23" t="s">
        <v>153</v>
      </c>
      <c r="P21" s="23" t="s">
        <v>153</v>
      </c>
      <c r="Q21" s="23" t="s">
        <v>153</v>
      </c>
      <c r="R21" s="23" t="s">
        <v>153</v>
      </c>
      <c r="S21" s="23" t="s">
        <v>153</v>
      </c>
      <c r="T21" s="23" t="s">
        <v>153</v>
      </c>
      <c r="U21" s="24" t="s">
        <v>153</v>
      </c>
      <c r="V21" s="54" t="s">
        <v>153</v>
      </c>
      <c r="W21" s="24" t="s">
        <v>195</v>
      </c>
      <c r="X21" s="24" t="s">
        <v>195</v>
      </c>
      <c r="Y21" s="24" t="s">
        <v>195</v>
      </c>
      <c r="Z21" s="24" t="s">
        <v>195</v>
      </c>
      <c r="AA21" s="24" t="s">
        <v>195</v>
      </c>
      <c r="AB21" s="24" t="s">
        <v>153</v>
      </c>
      <c r="AC21" s="23" t="s">
        <v>153</v>
      </c>
      <c r="AD21" s="23" t="s">
        <v>153</v>
      </c>
      <c r="AE21" s="23" t="s">
        <v>153</v>
      </c>
      <c r="AF21" s="23" t="s">
        <v>153</v>
      </c>
      <c r="AG21" s="23" t="s">
        <v>153</v>
      </c>
      <c r="AH21" s="23" t="s">
        <v>153</v>
      </c>
      <c r="AI21" s="24" t="s">
        <v>153</v>
      </c>
      <c r="AJ21" s="23" t="s">
        <v>153</v>
      </c>
      <c r="AK21" s="23" t="s">
        <v>153</v>
      </c>
      <c r="AL21" s="23" t="s">
        <v>153</v>
      </c>
      <c r="AM21" s="23" t="s">
        <v>153</v>
      </c>
      <c r="AN21" s="23" t="s">
        <v>153</v>
      </c>
      <c r="AO21" s="24" t="s">
        <v>156</v>
      </c>
      <c r="AP21" s="23">
        <f>VALUE(0)</f>
        <v>0</v>
      </c>
      <c r="AQ21" s="23">
        <f>VALUE(0)</f>
        <v>0</v>
      </c>
      <c r="AR21" s="23">
        <f>VALUE(0)</f>
        <v>0</v>
      </c>
      <c r="AS21" s="23">
        <f>VALUE(0)</f>
        <v>0</v>
      </c>
      <c r="AT21" s="23">
        <f>VALUE(0)</f>
        <v>0</v>
      </c>
      <c r="AU21" s="23">
        <f>VALUE(0)</f>
        <v>0</v>
      </c>
      <c r="AV21" s="23">
        <f>VALUE(2)</f>
        <v>2</v>
      </c>
      <c r="AW21" s="23">
        <f>VALUE(0)</f>
        <v>0</v>
      </c>
      <c r="AX21" s="23" t="s">
        <v>1169</v>
      </c>
      <c r="AY21" s="23">
        <f>VALUE(0)</f>
        <v>0</v>
      </c>
      <c r="AZ21" s="23">
        <f>VALUE(0)</f>
        <v>0</v>
      </c>
      <c r="BA21" s="23">
        <f>VALUE(0)</f>
        <v>0</v>
      </c>
      <c r="BB21" s="23">
        <f>VALUE(0)</f>
        <v>0</v>
      </c>
      <c r="BC21" s="23">
        <f>VALUE(0)</f>
        <v>0</v>
      </c>
      <c r="BD21" s="23">
        <f>VALUE(0)</f>
        <v>0</v>
      </c>
      <c r="BE21" s="23">
        <f>VALUE(0)</f>
        <v>0</v>
      </c>
      <c r="BF21" s="23">
        <f>VALUE(0)</f>
        <v>0</v>
      </c>
      <c r="BG21" s="23">
        <f>VALUE(0)</f>
        <v>0</v>
      </c>
      <c r="BH21" s="23">
        <f>VALUE(0)</f>
        <v>0</v>
      </c>
      <c r="BI21" s="23">
        <f>VALUE(0)</f>
        <v>0</v>
      </c>
      <c r="BJ21" s="23">
        <f>VALUE(0)</f>
        <v>0</v>
      </c>
      <c r="BK21" s="12">
        <f>$AX$21*24</f>
        <v>17.7</v>
      </c>
      <c r="BL21" s="12">
        <f>$AY$21*24</f>
        <v>0</v>
      </c>
      <c r="BM21" s="12">
        <f>$BJ$21*24</f>
        <v>0</v>
      </c>
      <c r="BN21" s="12">
        <f>VALUE($I$21)/100</f>
        <v>0.8</v>
      </c>
      <c r="BO21" s="12">
        <v>0</v>
      </c>
      <c r="BP21" s="12">
        <v>0</v>
      </c>
      <c r="BQ21" s="12">
        <v>0</v>
      </c>
      <c r="BR21" s="12">
        <v>0</v>
      </c>
      <c r="BS21" s="12">
        <v>0</v>
      </c>
      <c r="BT21" s="12">
        <v>0</v>
      </c>
      <c r="BU21" s="12">
        <v>0</v>
      </c>
      <c r="BV21" s="12">
        <v>0</v>
      </c>
      <c r="BW21" s="12">
        <v>0</v>
      </c>
      <c r="BX21" s="12">
        <v>0</v>
      </c>
      <c r="BY21" s="12">
        <v>0</v>
      </c>
      <c r="BZ21" s="12">
        <v>0</v>
      </c>
      <c r="CA21" s="12">
        <v>0</v>
      </c>
    </row>
    <row r="22" spans="1:79" hidden="1" x14ac:dyDescent="0.2">
      <c r="A22" s="12" t="s">
        <v>102</v>
      </c>
      <c r="B22" s="12" t="s">
        <v>104</v>
      </c>
      <c r="C22" s="12" t="s">
        <v>104</v>
      </c>
      <c r="D22" s="22" t="s">
        <v>184</v>
      </c>
      <c r="E22" s="22" t="s">
        <v>161</v>
      </c>
      <c r="F22" s="22" t="s">
        <v>615</v>
      </c>
      <c r="G22" s="22" t="s">
        <v>616</v>
      </c>
      <c r="H22" s="22" t="s">
        <v>150</v>
      </c>
      <c r="I22" s="22" t="s">
        <v>151</v>
      </c>
      <c r="J22" s="22" t="s">
        <v>181</v>
      </c>
      <c r="K22" s="22" t="s">
        <v>65</v>
      </c>
      <c r="L22" s="54" t="s">
        <v>153</v>
      </c>
      <c r="M22" s="24" t="s">
        <v>156</v>
      </c>
      <c r="N22" s="24" t="s">
        <v>153</v>
      </c>
      <c r="O22" s="23" t="s">
        <v>153</v>
      </c>
      <c r="P22" s="23" t="s">
        <v>153</v>
      </c>
      <c r="Q22" s="23" t="s">
        <v>153</v>
      </c>
      <c r="R22" s="23" t="s">
        <v>153</v>
      </c>
      <c r="S22" s="23" t="s">
        <v>153</v>
      </c>
      <c r="T22" s="23" t="s">
        <v>153</v>
      </c>
      <c r="U22" s="24" t="s">
        <v>153</v>
      </c>
      <c r="V22" s="54" t="s">
        <v>153</v>
      </c>
      <c r="W22" s="23" t="s">
        <v>153</v>
      </c>
      <c r="X22" s="23" t="s">
        <v>153</v>
      </c>
      <c r="Y22" s="23" t="s">
        <v>153</v>
      </c>
      <c r="Z22" s="23" t="s">
        <v>153</v>
      </c>
      <c r="AA22" s="24" t="s">
        <v>156</v>
      </c>
      <c r="AB22" s="24" t="s">
        <v>153</v>
      </c>
      <c r="AC22" s="28" t="s">
        <v>163</v>
      </c>
      <c r="AD22" s="28" t="s">
        <v>163</v>
      </c>
      <c r="AE22" s="28" t="s">
        <v>163</v>
      </c>
      <c r="AF22" s="23" t="s">
        <v>153</v>
      </c>
      <c r="AG22" s="23" t="s">
        <v>153</v>
      </c>
      <c r="AH22" s="23" t="s">
        <v>153</v>
      </c>
      <c r="AI22" s="24" t="s">
        <v>153</v>
      </c>
      <c r="AJ22" s="23" t="s">
        <v>153</v>
      </c>
      <c r="AK22" s="23" t="s">
        <v>153</v>
      </c>
      <c r="AL22" s="23" t="s">
        <v>153</v>
      </c>
      <c r="AM22" s="23" t="s">
        <v>153</v>
      </c>
      <c r="AN22" s="23" t="s">
        <v>153</v>
      </c>
      <c r="AO22" s="24" t="s">
        <v>156</v>
      </c>
      <c r="AP22" s="23">
        <f>VALUE(0)</f>
        <v>0</v>
      </c>
      <c r="AQ22" s="23">
        <f>VALUE(0)</f>
        <v>0</v>
      </c>
      <c r="AR22" s="23">
        <f>VALUE(0)</f>
        <v>0</v>
      </c>
      <c r="AS22" s="23">
        <f>VALUE(0)</f>
        <v>0</v>
      </c>
      <c r="AT22" s="23">
        <f>VALUE(0)</f>
        <v>0</v>
      </c>
      <c r="AU22" s="23">
        <f>VALUE(3)</f>
        <v>3</v>
      </c>
      <c r="AV22" s="23">
        <f>VALUE(2)</f>
        <v>2</v>
      </c>
      <c r="AW22" s="23">
        <f>VALUE(0)</f>
        <v>0</v>
      </c>
      <c r="AX22" s="23" t="s">
        <v>171</v>
      </c>
      <c r="AY22" s="23" t="s">
        <v>196</v>
      </c>
      <c r="AZ22" s="23">
        <f>VALUE(0)</f>
        <v>0</v>
      </c>
      <c r="BA22" s="23">
        <f>VALUE(0)</f>
        <v>0</v>
      </c>
      <c r="BB22" s="23">
        <f>VALUE(0)</f>
        <v>0</v>
      </c>
      <c r="BC22" s="23">
        <f>VALUE(0)</f>
        <v>0</v>
      </c>
      <c r="BD22" s="23">
        <f>VALUE(0)</f>
        <v>0</v>
      </c>
      <c r="BE22" s="23">
        <f>VALUE(0)</f>
        <v>0</v>
      </c>
      <c r="BF22" s="23">
        <f>VALUE(0)</f>
        <v>0</v>
      </c>
      <c r="BG22" s="23">
        <f>VALUE(0)</f>
        <v>0</v>
      </c>
      <c r="BH22" s="23">
        <f>VALUE(0)</f>
        <v>0</v>
      </c>
      <c r="BI22" s="23">
        <f>VALUE(0)</f>
        <v>0</v>
      </c>
      <c r="BJ22" s="23">
        <f>VALUE(0)</f>
        <v>0</v>
      </c>
      <c r="BK22" s="12">
        <f>$AX$22*24</f>
        <v>5.833333333333333</v>
      </c>
      <c r="BL22" s="12">
        <f>$AY$22*24</f>
        <v>8.1</v>
      </c>
      <c r="BM22" s="12">
        <f>$BJ$22*24</f>
        <v>0</v>
      </c>
      <c r="BN22" s="12">
        <f>VALUE($I$22)/100</f>
        <v>1</v>
      </c>
      <c r="BO22" s="12">
        <v>0</v>
      </c>
      <c r="BP22" s="12">
        <v>0</v>
      </c>
      <c r="BQ22" s="12">
        <v>0</v>
      </c>
      <c r="BR22" s="12">
        <v>0</v>
      </c>
      <c r="BS22" s="12">
        <v>0</v>
      </c>
      <c r="BT22" s="12">
        <v>0</v>
      </c>
      <c r="BU22" s="12">
        <v>0</v>
      </c>
      <c r="BV22" s="12">
        <v>0</v>
      </c>
      <c r="BW22" s="12">
        <v>0</v>
      </c>
      <c r="BX22" s="12">
        <v>0</v>
      </c>
      <c r="BY22" s="12">
        <v>0</v>
      </c>
      <c r="BZ22" s="12">
        <v>0</v>
      </c>
      <c r="CA22" s="12">
        <v>0</v>
      </c>
    </row>
    <row r="23" spans="1:79" hidden="1" x14ac:dyDescent="0.2">
      <c r="A23" s="12" t="s">
        <v>102</v>
      </c>
      <c r="B23" s="12" t="s">
        <v>104</v>
      </c>
      <c r="C23" s="12" t="s">
        <v>104</v>
      </c>
      <c r="D23" s="22" t="s">
        <v>182</v>
      </c>
      <c r="E23" s="22" t="s">
        <v>161</v>
      </c>
      <c r="F23" s="22" t="s">
        <v>617</v>
      </c>
      <c r="G23" s="22" t="s">
        <v>618</v>
      </c>
      <c r="H23" s="22" t="s">
        <v>166</v>
      </c>
      <c r="I23" s="22" t="s">
        <v>151</v>
      </c>
      <c r="J23" s="22" t="s">
        <v>181</v>
      </c>
      <c r="K23" s="22" t="s">
        <v>65</v>
      </c>
      <c r="L23" s="54" t="s">
        <v>153</v>
      </c>
      <c r="M23" s="23" t="s">
        <v>153</v>
      </c>
      <c r="N23" s="24" t="s">
        <v>153</v>
      </c>
      <c r="O23" s="23" t="s">
        <v>153</v>
      </c>
      <c r="P23" s="23" t="s">
        <v>153</v>
      </c>
      <c r="Q23" s="23" t="s">
        <v>153</v>
      </c>
      <c r="R23" s="23" t="s">
        <v>153</v>
      </c>
      <c r="S23" s="23" t="s">
        <v>153</v>
      </c>
      <c r="T23" s="24" t="s">
        <v>156</v>
      </c>
      <c r="U23" s="24" t="s">
        <v>153</v>
      </c>
      <c r="V23" s="54" t="s">
        <v>153</v>
      </c>
      <c r="W23" s="23" t="s">
        <v>153</v>
      </c>
      <c r="X23" s="23" t="s">
        <v>153</v>
      </c>
      <c r="Y23" s="23" t="s">
        <v>153</v>
      </c>
      <c r="Z23" s="23" t="s">
        <v>153</v>
      </c>
      <c r="AA23" s="23" t="s">
        <v>153</v>
      </c>
      <c r="AB23" s="24" t="s">
        <v>153</v>
      </c>
      <c r="AC23" s="23" t="s">
        <v>153</v>
      </c>
      <c r="AD23" s="23" t="s">
        <v>153</v>
      </c>
      <c r="AE23" s="23" t="s">
        <v>153</v>
      </c>
      <c r="AF23" s="23" t="s">
        <v>153</v>
      </c>
      <c r="AG23" s="23" t="s">
        <v>153</v>
      </c>
      <c r="AH23" s="24" t="s">
        <v>156</v>
      </c>
      <c r="AI23" s="24" t="s">
        <v>153</v>
      </c>
      <c r="AJ23" s="23" t="s">
        <v>153</v>
      </c>
      <c r="AK23" s="23" t="s">
        <v>153</v>
      </c>
      <c r="AL23" s="23" t="s">
        <v>153</v>
      </c>
      <c r="AM23" s="23" t="s">
        <v>153</v>
      </c>
      <c r="AN23" s="23" t="s">
        <v>153</v>
      </c>
      <c r="AO23" s="23" t="s">
        <v>153</v>
      </c>
      <c r="AP23" s="23">
        <f>VALUE(0)</f>
        <v>0</v>
      </c>
      <c r="AQ23" s="23">
        <f>VALUE(0)</f>
        <v>0</v>
      </c>
      <c r="AR23" s="23">
        <f>VALUE(0)</f>
        <v>0</v>
      </c>
      <c r="AS23" s="23">
        <f>VALUE(0)</f>
        <v>0</v>
      </c>
      <c r="AT23" s="23">
        <f>VALUE(0)</f>
        <v>0</v>
      </c>
      <c r="AU23" s="23">
        <f>VALUE(0)</f>
        <v>0</v>
      </c>
      <c r="AV23" s="23">
        <f>VALUE(2)</f>
        <v>2</v>
      </c>
      <c r="AW23" s="23">
        <f>VALUE(0)</f>
        <v>0</v>
      </c>
      <c r="AX23" s="23" t="s">
        <v>197</v>
      </c>
      <c r="AY23" s="23">
        <f>VALUE(0)</f>
        <v>0</v>
      </c>
      <c r="AZ23" s="23">
        <f>VALUE(0)</f>
        <v>0</v>
      </c>
      <c r="BA23" s="23">
        <f>VALUE(0)</f>
        <v>0</v>
      </c>
      <c r="BB23" s="23">
        <f>VALUE(0)</f>
        <v>0</v>
      </c>
      <c r="BC23" s="23">
        <f>VALUE(0)</f>
        <v>0</v>
      </c>
      <c r="BD23" s="23">
        <f>VALUE(0)</f>
        <v>0</v>
      </c>
      <c r="BE23" s="23">
        <f>VALUE(0)</f>
        <v>0</v>
      </c>
      <c r="BF23" s="23">
        <f>VALUE(0)</f>
        <v>0</v>
      </c>
      <c r="BG23" s="23">
        <f>VALUE(0)</f>
        <v>0</v>
      </c>
      <c r="BH23" s="23">
        <f>VALUE(0)</f>
        <v>0</v>
      </c>
      <c r="BI23" s="23">
        <f>VALUE(0)</f>
        <v>0</v>
      </c>
      <c r="BJ23" s="23">
        <f>VALUE(0)</f>
        <v>0</v>
      </c>
      <c r="BK23" s="12">
        <f>$AX$23*24</f>
        <v>6.1333333333333346</v>
      </c>
      <c r="BL23" s="12">
        <f>$AY$23*24</f>
        <v>0</v>
      </c>
      <c r="BM23" s="12">
        <f>$BJ$23*24</f>
        <v>0</v>
      </c>
      <c r="BN23" s="12">
        <f>VALUE($I$23)/100</f>
        <v>1</v>
      </c>
      <c r="BO23" s="12">
        <v>0</v>
      </c>
      <c r="BP23" s="12">
        <v>0</v>
      </c>
      <c r="BQ23" s="12">
        <v>0</v>
      </c>
      <c r="BR23" s="12">
        <v>0</v>
      </c>
      <c r="BS23" s="12">
        <v>0</v>
      </c>
      <c r="BT23" s="12">
        <v>0</v>
      </c>
      <c r="BU23" s="12">
        <v>0</v>
      </c>
      <c r="BV23" s="12">
        <v>0</v>
      </c>
      <c r="BW23" s="12">
        <v>0</v>
      </c>
      <c r="BX23" s="12">
        <v>0</v>
      </c>
      <c r="BY23" s="12">
        <v>0</v>
      </c>
      <c r="BZ23" s="12">
        <v>0</v>
      </c>
      <c r="CA23" s="12">
        <v>0</v>
      </c>
    </row>
    <row r="24" spans="1:79" hidden="1" x14ac:dyDescent="0.2">
      <c r="A24" s="12" t="s">
        <v>102</v>
      </c>
      <c r="B24" s="12" t="s">
        <v>104</v>
      </c>
      <c r="C24" s="12" t="s">
        <v>104</v>
      </c>
      <c r="D24" s="22" t="s">
        <v>185</v>
      </c>
      <c r="E24" s="22" t="s">
        <v>161</v>
      </c>
      <c r="F24" s="22" t="s">
        <v>619</v>
      </c>
      <c r="G24" s="22" t="s">
        <v>620</v>
      </c>
      <c r="H24" s="22" t="s">
        <v>166</v>
      </c>
      <c r="I24" s="22" t="s">
        <v>151</v>
      </c>
      <c r="J24" s="22" t="s">
        <v>181</v>
      </c>
      <c r="K24" s="22" t="s">
        <v>65</v>
      </c>
      <c r="L24" s="54" t="s">
        <v>153</v>
      </c>
      <c r="M24" s="23" t="s">
        <v>153</v>
      </c>
      <c r="N24" s="24" t="s">
        <v>153</v>
      </c>
      <c r="O24" s="23" t="s">
        <v>153</v>
      </c>
      <c r="P24" s="23" t="s">
        <v>153</v>
      </c>
      <c r="Q24" s="23" t="s">
        <v>153</v>
      </c>
      <c r="R24" s="23" t="s">
        <v>153</v>
      </c>
      <c r="S24" s="23" t="s">
        <v>153</v>
      </c>
      <c r="T24" s="24" t="s">
        <v>156</v>
      </c>
      <c r="U24" s="24" t="s">
        <v>153</v>
      </c>
      <c r="V24" s="54" t="s">
        <v>153</v>
      </c>
      <c r="W24" s="23" t="s">
        <v>153</v>
      </c>
      <c r="X24" s="23" t="s">
        <v>153</v>
      </c>
      <c r="Y24" s="23" t="s">
        <v>153</v>
      </c>
      <c r="Z24" s="23" t="s">
        <v>153</v>
      </c>
      <c r="AA24" s="23" t="s">
        <v>153</v>
      </c>
      <c r="AB24" s="24" t="s">
        <v>153</v>
      </c>
      <c r="AC24" s="23" t="s">
        <v>153</v>
      </c>
      <c r="AD24" s="23" t="s">
        <v>153</v>
      </c>
      <c r="AE24" s="23" t="s">
        <v>153</v>
      </c>
      <c r="AF24" s="23" t="s">
        <v>153</v>
      </c>
      <c r="AG24" s="23" t="s">
        <v>153</v>
      </c>
      <c r="AH24" s="24" t="s">
        <v>156</v>
      </c>
      <c r="AI24" s="24" t="s">
        <v>153</v>
      </c>
      <c r="AJ24" s="23" t="s">
        <v>153</v>
      </c>
      <c r="AK24" s="23" t="s">
        <v>153</v>
      </c>
      <c r="AL24" s="23" t="s">
        <v>153</v>
      </c>
      <c r="AM24" s="23" t="s">
        <v>153</v>
      </c>
      <c r="AN24" s="23" t="s">
        <v>153</v>
      </c>
      <c r="AO24" s="23" t="s">
        <v>153</v>
      </c>
      <c r="AP24" s="23">
        <f>VALUE(0)</f>
        <v>0</v>
      </c>
      <c r="AQ24" s="23">
        <f>VALUE(0)</f>
        <v>0</v>
      </c>
      <c r="AR24" s="23">
        <f>VALUE(0)</f>
        <v>0</v>
      </c>
      <c r="AS24" s="23">
        <f>VALUE(0)</f>
        <v>0</v>
      </c>
      <c r="AT24" s="23">
        <f>VALUE(0)</f>
        <v>0</v>
      </c>
      <c r="AU24" s="23">
        <f>VALUE(0)</f>
        <v>0</v>
      </c>
      <c r="AV24" s="23">
        <f>VALUE(2.5)</f>
        <v>2.5</v>
      </c>
      <c r="AW24" s="23">
        <f>VALUE(0)</f>
        <v>0</v>
      </c>
      <c r="AX24" s="23" t="s">
        <v>198</v>
      </c>
      <c r="AY24" s="23">
        <f>VALUE(0)</f>
        <v>0</v>
      </c>
      <c r="AZ24" s="23">
        <f>VALUE(0)</f>
        <v>0</v>
      </c>
      <c r="BA24" s="23">
        <f>VALUE(0)</f>
        <v>0</v>
      </c>
      <c r="BB24" s="23">
        <f>VALUE(0)</f>
        <v>0</v>
      </c>
      <c r="BC24" s="23">
        <f>VALUE(0)</f>
        <v>0</v>
      </c>
      <c r="BD24" s="23">
        <f>VALUE(0)</f>
        <v>0</v>
      </c>
      <c r="BE24" s="23">
        <f>VALUE(0)</f>
        <v>0</v>
      </c>
      <c r="BF24" s="23">
        <f>VALUE(0)</f>
        <v>0</v>
      </c>
      <c r="BG24" s="23">
        <f>VALUE(0)</f>
        <v>0</v>
      </c>
      <c r="BH24" s="23">
        <f>VALUE(0)</f>
        <v>0</v>
      </c>
      <c r="BI24" s="23">
        <f>VALUE(0)</f>
        <v>0</v>
      </c>
      <c r="BJ24" s="23">
        <f>VALUE(0)</f>
        <v>0</v>
      </c>
      <c r="BK24" s="12">
        <f>$AX$24*24</f>
        <v>4.4333333333333336</v>
      </c>
      <c r="BL24" s="12">
        <f>$AY$24*24</f>
        <v>0</v>
      </c>
      <c r="BM24" s="12">
        <f>$BJ$24*24</f>
        <v>0</v>
      </c>
      <c r="BN24" s="12">
        <f>VALUE($I$24)/100</f>
        <v>1</v>
      </c>
      <c r="BO24" s="12">
        <v>0</v>
      </c>
      <c r="BP24" s="12">
        <v>0</v>
      </c>
      <c r="BQ24" s="12">
        <v>0</v>
      </c>
      <c r="BR24" s="12">
        <v>0</v>
      </c>
      <c r="BS24" s="12">
        <v>0</v>
      </c>
      <c r="BT24" s="12">
        <v>0</v>
      </c>
      <c r="BU24" s="12">
        <v>0</v>
      </c>
      <c r="BV24" s="12">
        <v>0</v>
      </c>
      <c r="BW24" s="12">
        <v>0</v>
      </c>
      <c r="BX24" s="12">
        <v>0</v>
      </c>
      <c r="BY24" s="12">
        <v>0</v>
      </c>
      <c r="BZ24" s="12">
        <v>0</v>
      </c>
      <c r="CA24" s="12">
        <v>0</v>
      </c>
    </row>
    <row r="25" spans="1:79" x14ac:dyDescent="0.2">
      <c r="A25" s="12" t="s">
        <v>102</v>
      </c>
      <c r="B25" s="12" t="s">
        <v>104</v>
      </c>
      <c r="C25" s="12" t="s">
        <v>104</v>
      </c>
      <c r="D25" s="22" t="s">
        <v>199</v>
      </c>
      <c r="E25" s="22" t="s">
        <v>161</v>
      </c>
      <c r="F25" s="22" t="s">
        <v>621</v>
      </c>
      <c r="G25" s="22" t="s">
        <v>622</v>
      </c>
      <c r="H25" s="22" t="s">
        <v>166</v>
      </c>
      <c r="I25" s="22" t="s">
        <v>151</v>
      </c>
      <c r="J25" s="22" t="s">
        <v>200</v>
      </c>
      <c r="K25" s="22" t="s">
        <v>65</v>
      </c>
      <c r="L25" s="54" t="s">
        <v>153</v>
      </c>
      <c r="M25" s="24" t="s">
        <v>156</v>
      </c>
      <c r="N25" s="24" t="s">
        <v>153</v>
      </c>
      <c r="O25" s="23" t="s">
        <v>153</v>
      </c>
      <c r="P25" s="23" t="s">
        <v>153</v>
      </c>
      <c r="Q25" s="23" t="s">
        <v>153</v>
      </c>
      <c r="R25" s="23" t="s">
        <v>153</v>
      </c>
      <c r="S25" s="23" t="s">
        <v>153</v>
      </c>
      <c r="T25" s="24" t="s">
        <v>156</v>
      </c>
      <c r="U25" s="24" t="s">
        <v>153</v>
      </c>
      <c r="V25" s="54" t="s">
        <v>153</v>
      </c>
      <c r="W25" s="23" t="s">
        <v>153</v>
      </c>
      <c r="X25" s="29" t="s">
        <v>218</v>
      </c>
      <c r="Y25" s="29" t="s">
        <v>218</v>
      </c>
      <c r="Z25" s="23" t="s">
        <v>153</v>
      </c>
      <c r="AA25" s="24" t="s">
        <v>156</v>
      </c>
      <c r="AB25" s="24" t="s">
        <v>153</v>
      </c>
      <c r="AC25" s="23" t="s">
        <v>153</v>
      </c>
      <c r="AD25" s="23" t="s">
        <v>153</v>
      </c>
      <c r="AE25" s="23" t="s">
        <v>153</v>
      </c>
      <c r="AF25" s="23" t="s">
        <v>153</v>
      </c>
      <c r="AG25" s="23" t="s">
        <v>153</v>
      </c>
      <c r="AH25" s="24" t="s">
        <v>156</v>
      </c>
      <c r="AI25" s="24" t="s">
        <v>153</v>
      </c>
      <c r="AJ25" s="23" t="s">
        <v>153</v>
      </c>
      <c r="AK25" s="23" t="s">
        <v>153</v>
      </c>
      <c r="AL25" s="23" t="s">
        <v>153</v>
      </c>
      <c r="AM25" s="23" t="s">
        <v>153</v>
      </c>
      <c r="AN25" s="23" t="s">
        <v>153</v>
      </c>
      <c r="AO25" s="24" t="s">
        <v>156</v>
      </c>
      <c r="AP25" s="23">
        <f>VALUE(0)</f>
        <v>0</v>
      </c>
      <c r="AQ25" s="23">
        <f>VALUE(1)</f>
        <v>1</v>
      </c>
      <c r="AR25" s="23">
        <f>VALUE(2)</f>
        <v>2</v>
      </c>
      <c r="AS25" s="23">
        <f>VALUE(0)</f>
        <v>0</v>
      </c>
      <c r="AT25" s="23">
        <f>VALUE(0)</f>
        <v>0</v>
      </c>
      <c r="AU25" s="23">
        <f>VALUE(0)</f>
        <v>0</v>
      </c>
      <c r="AV25" s="23">
        <f>VALUE(8.5)</f>
        <v>8.5</v>
      </c>
      <c r="AW25" s="23">
        <f>VALUE(0)</f>
        <v>0</v>
      </c>
      <c r="AX25" s="23" t="s">
        <v>176</v>
      </c>
      <c r="AY25" s="23">
        <f>VALUE(0)</f>
        <v>0</v>
      </c>
      <c r="AZ25" s="23">
        <f>VALUE(0)</f>
        <v>0</v>
      </c>
      <c r="BA25" s="23">
        <f>VALUE(0)</f>
        <v>0</v>
      </c>
      <c r="BB25" s="23">
        <f>VALUE(0)</f>
        <v>0</v>
      </c>
      <c r="BC25" s="23">
        <f>VALUE(0)</f>
        <v>0</v>
      </c>
      <c r="BD25" s="23">
        <f>VALUE(0)</f>
        <v>0</v>
      </c>
      <c r="BE25" s="23">
        <f>VALUE(0)</f>
        <v>0</v>
      </c>
      <c r="BF25" s="23">
        <f>VALUE(0)</f>
        <v>0</v>
      </c>
      <c r="BG25" s="23">
        <f>VALUE(0)</f>
        <v>0</v>
      </c>
      <c r="BH25" s="23">
        <f>VALUE(0)</f>
        <v>0</v>
      </c>
      <c r="BI25" s="23">
        <f>VALUE(0)</f>
        <v>0</v>
      </c>
      <c r="BJ25" s="23">
        <f>VALUE(0)</f>
        <v>0</v>
      </c>
      <c r="BK25" s="12">
        <f>$AX$25*24</f>
        <v>0</v>
      </c>
      <c r="BL25" s="12">
        <f>$AY$25*24</f>
        <v>0</v>
      </c>
      <c r="BM25" s="12">
        <f>$BJ$25*24</f>
        <v>0</v>
      </c>
      <c r="BN25" s="12">
        <f>VALUE($I$25)/100</f>
        <v>1</v>
      </c>
      <c r="BO25" s="12">
        <v>0</v>
      </c>
      <c r="BP25" s="12">
        <v>0</v>
      </c>
      <c r="BQ25" s="12">
        <v>0</v>
      </c>
      <c r="BR25" s="12">
        <v>0</v>
      </c>
      <c r="BS25" s="12">
        <v>2</v>
      </c>
      <c r="BT25" s="12">
        <v>0</v>
      </c>
      <c r="BU25" s="12">
        <v>0</v>
      </c>
      <c r="BV25" s="12">
        <v>0</v>
      </c>
      <c r="BW25" s="12">
        <v>0</v>
      </c>
      <c r="BX25" s="12">
        <v>0</v>
      </c>
      <c r="BY25" s="12">
        <v>0</v>
      </c>
      <c r="BZ25" s="12">
        <v>0</v>
      </c>
      <c r="CA25" s="12">
        <v>0</v>
      </c>
    </row>
    <row r="26" spans="1:79" ht="15" hidden="1" x14ac:dyDescent="0.25">
      <c r="A26" s="12" t="s">
        <v>102</v>
      </c>
      <c r="B26" s="12" t="s">
        <v>104</v>
      </c>
      <c r="C26" s="12" t="s">
        <v>104</v>
      </c>
      <c r="D26" s="31" t="s">
        <v>582</v>
      </c>
      <c r="E26" s="31" t="s">
        <v>153</v>
      </c>
      <c r="F26" s="31" t="s">
        <v>175</v>
      </c>
      <c r="G26" s="31" t="s">
        <v>153</v>
      </c>
      <c r="H26" s="31" t="s">
        <v>153</v>
      </c>
      <c r="I26" s="31" t="s">
        <v>153</v>
      </c>
      <c r="J26" s="31" t="s">
        <v>153</v>
      </c>
      <c r="K26" s="31" t="s">
        <v>153</v>
      </c>
      <c r="L26" s="31">
        <f>VALUE(0)</f>
        <v>0</v>
      </c>
      <c r="M26" s="31">
        <f>VALUE(3)</f>
        <v>3</v>
      </c>
      <c r="N26" s="31">
        <f>VALUE(0)</f>
        <v>0</v>
      </c>
      <c r="O26" s="31">
        <f>VALUE(9)</f>
        <v>9</v>
      </c>
      <c r="P26" s="31">
        <f>VALUE(9)</f>
        <v>9</v>
      </c>
      <c r="Q26" s="31">
        <f>VALUE(9)</f>
        <v>9</v>
      </c>
      <c r="R26" s="31">
        <f>VALUE(9)</f>
        <v>9</v>
      </c>
      <c r="S26" s="31">
        <f>VALUE(9)</f>
        <v>9</v>
      </c>
      <c r="T26" s="31">
        <f>VALUE(3)</f>
        <v>3</v>
      </c>
      <c r="U26" s="31">
        <f>VALUE(0)</f>
        <v>0</v>
      </c>
      <c r="V26" s="31">
        <f>VALUE(0)</f>
        <v>0</v>
      </c>
      <c r="W26" s="31">
        <f>VALUE(8)</f>
        <v>8</v>
      </c>
      <c r="X26" s="31">
        <f>VALUE(7)</f>
        <v>7</v>
      </c>
      <c r="Y26" s="31">
        <f>VALUE(7)</f>
        <v>7</v>
      </c>
      <c r="Z26" s="31">
        <f>VALUE(8)</f>
        <v>8</v>
      </c>
      <c r="AA26" s="31">
        <f>VALUE(4)</f>
        <v>4</v>
      </c>
      <c r="AB26" s="31">
        <f>VALUE(0)</f>
        <v>0</v>
      </c>
      <c r="AC26" s="31">
        <f>VALUE(8)</f>
        <v>8</v>
      </c>
      <c r="AD26" s="31">
        <f>VALUE(8)</f>
        <v>8</v>
      </c>
      <c r="AE26" s="31">
        <f>VALUE(8)</f>
        <v>8</v>
      </c>
      <c r="AF26" s="31">
        <f>VALUE(9)</f>
        <v>9</v>
      </c>
      <c r="AG26" s="31">
        <f>VALUE(9)</f>
        <v>9</v>
      </c>
      <c r="AH26" s="31">
        <f>VALUE(4)</f>
        <v>4</v>
      </c>
      <c r="AI26" s="31">
        <f>VALUE(0)</f>
        <v>0</v>
      </c>
      <c r="AJ26" s="31">
        <f>VALUE(9)</f>
        <v>9</v>
      </c>
      <c r="AK26" s="31">
        <f>VALUE(9)</f>
        <v>9</v>
      </c>
      <c r="AL26" s="31">
        <f>VALUE(9)</f>
        <v>9</v>
      </c>
      <c r="AM26" s="31">
        <f>VALUE(9)</f>
        <v>9</v>
      </c>
      <c r="AN26" s="31">
        <f>VALUE(9)</f>
        <v>9</v>
      </c>
      <c r="AO26" s="31">
        <f>VALUE(3)</f>
        <v>3</v>
      </c>
      <c r="AP26" s="31">
        <v>0</v>
      </c>
      <c r="AQ26" s="31">
        <v>0</v>
      </c>
      <c r="AR26" s="31">
        <v>0</v>
      </c>
      <c r="AS26" s="31">
        <v>0</v>
      </c>
      <c r="AT26" s="31">
        <v>0</v>
      </c>
      <c r="AU26" s="31">
        <v>0</v>
      </c>
      <c r="AV26" s="31">
        <v>0</v>
      </c>
      <c r="AW26" s="31">
        <v>0</v>
      </c>
      <c r="AX26" s="31">
        <v>0</v>
      </c>
      <c r="AY26" s="31">
        <v>0</v>
      </c>
      <c r="AZ26" s="31">
        <v>0</v>
      </c>
      <c r="BA26" s="31">
        <v>0</v>
      </c>
      <c r="BB26" s="31">
        <v>0</v>
      </c>
      <c r="BC26" s="31">
        <v>0</v>
      </c>
      <c r="BD26" s="31">
        <v>0</v>
      </c>
      <c r="BE26" s="31">
        <v>0</v>
      </c>
      <c r="BF26" s="31">
        <v>0</v>
      </c>
      <c r="BG26" s="31">
        <v>0</v>
      </c>
      <c r="BH26" s="31">
        <v>0</v>
      </c>
      <c r="BI26" s="31">
        <v>0</v>
      </c>
      <c r="BJ26" s="31">
        <v>0</v>
      </c>
      <c r="BK26" s="12">
        <v>0</v>
      </c>
      <c r="BL26" s="12">
        <v>0</v>
      </c>
      <c r="BM26" s="12">
        <v>0</v>
      </c>
      <c r="BN26" s="12"/>
      <c r="BO26" s="12">
        <v>0</v>
      </c>
      <c r="BP26" s="12">
        <v>0</v>
      </c>
      <c r="BQ26" s="12">
        <v>0</v>
      </c>
      <c r="BR26" s="12">
        <v>0</v>
      </c>
      <c r="BS26" s="12">
        <v>0</v>
      </c>
      <c r="BT26" s="12">
        <v>0</v>
      </c>
      <c r="BU26" s="12">
        <v>0</v>
      </c>
      <c r="BV26" s="12">
        <v>0</v>
      </c>
      <c r="BW26" s="12">
        <v>0</v>
      </c>
      <c r="BX26" s="12">
        <v>0</v>
      </c>
      <c r="BY26" s="12">
        <v>0</v>
      </c>
      <c r="BZ26" s="12">
        <v>0</v>
      </c>
      <c r="CA26" s="12">
        <v>0</v>
      </c>
    </row>
    <row r="27" spans="1:79" ht="16.5" hidden="1" x14ac:dyDescent="0.2">
      <c r="A27" s="12" t="s">
        <v>102</v>
      </c>
      <c r="B27" s="12" t="s">
        <v>105</v>
      </c>
      <c r="C27" s="12" t="s">
        <v>105</v>
      </c>
      <c r="D27" s="22" t="s">
        <v>1170</v>
      </c>
      <c r="E27" s="22" t="s">
        <v>149</v>
      </c>
      <c r="F27" s="22" t="s">
        <v>623</v>
      </c>
      <c r="G27" s="22" t="s">
        <v>624</v>
      </c>
      <c r="H27" s="22" t="s">
        <v>150</v>
      </c>
      <c r="I27" s="22" t="s">
        <v>151</v>
      </c>
      <c r="J27" s="22" t="s">
        <v>203</v>
      </c>
      <c r="K27" s="22" t="s">
        <v>66</v>
      </c>
      <c r="L27" s="54" t="s">
        <v>153</v>
      </c>
      <c r="M27" s="34" t="s">
        <v>204</v>
      </c>
      <c r="N27" s="24" t="s">
        <v>153</v>
      </c>
      <c r="O27" s="23" t="s">
        <v>205</v>
      </c>
      <c r="P27" s="23" t="s">
        <v>205</v>
      </c>
      <c r="Q27" s="26" t="s">
        <v>1171</v>
      </c>
      <c r="R27" s="26" t="s">
        <v>1171</v>
      </c>
      <c r="S27" s="23" t="s">
        <v>208</v>
      </c>
      <c r="T27" s="24" t="s">
        <v>156</v>
      </c>
      <c r="U27" s="24" t="s">
        <v>153</v>
      </c>
      <c r="V27" s="54" t="s">
        <v>153</v>
      </c>
      <c r="W27" s="26" t="s">
        <v>1171</v>
      </c>
      <c r="X27" s="26" t="s">
        <v>1171</v>
      </c>
      <c r="Y27" s="26" t="s">
        <v>1171</v>
      </c>
      <c r="Z27" s="26" t="s">
        <v>1171</v>
      </c>
      <c r="AA27" s="26" t="s">
        <v>1171</v>
      </c>
      <c r="AB27" s="24" t="s">
        <v>153</v>
      </c>
      <c r="AC27" s="26" t="s">
        <v>1171</v>
      </c>
      <c r="AD27" s="26" t="s">
        <v>1171</v>
      </c>
      <c r="AE27" s="26" t="s">
        <v>1171</v>
      </c>
      <c r="AF27" s="26" t="s">
        <v>1171</v>
      </c>
      <c r="AG27" s="26" t="s">
        <v>1171</v>
      </c>
      <c r="AH27" s="24" t="s">
        <v>156</v>
      </c>
      <c r="AI27" s="24" t="s">
        <v>153</v>
      </c>
      <c r="AJ27" s="26" t="s">
        <v>1171</v>
      </c>
      <c r="AK27" s="26" t="s">
        <v>1171</v>
      </c>
      <c r="AL27" s="26" t="s">
        <v>1171</v>
      </c>
      <c r="AM27" s="26" t="s">
        <v>1171</v>
      </c>
      <c r="AN27" s="26" t="s">
        <v>1171</v>
      </c>
      <c r="AO27" s="24" t="s">
        <v>156</v>
      </c>
      <c r="AP27" s="23">
        <f>VALUE(0)</f>
        <v>0</v>
      </c>
      <c r="AQ27" s="23">
        <f>VALUE(0)</f>
        <v>0</v>
      </c>
      <c r="AR27" s="23">
        <f>VALUE(0)</f>
        <v>0</v>
      </c>
      <c r="AS27" s="23">
        <f>VALUE(0)</f>
        <v>0</v>
      </c>
      <c r="AT27" s="23">
        <f>VALUE(0)</f>
        <v>0</v>
      </c>
      <c r="AU27" s="23">
        <f>VALUE(0)</f>
        <v>0</v>
      </c>
      <c r="AV27" s="23">
        <f>VALUE(2)</f>
        <v>2</v>
      </c>
      <c r="AW27" s="23">
        <f>VALUE(0)</f>
        <v>0</v>
      </c>
      <c r="AX27" s="23" t="s">
        <v>171</v>
      </c>
      <c r="AY27" s="23" t="s">
        <v>1172</v>
      </c>
      <c r="AZ27" s="23">
        <f>VALUE(0)</f>
        <v>0</v>
      </c>
      <c r="BA27" s="23">
        <f>VALUE(0)</f>
        <v>0</v>
      </c>
      <c r="BB27" s="23">
        <f>VALUE(0)</f>
        <v>0</v>
      </c>
      <c r="BC27" s="23">
        <f>VALUE(0)</f>
        <v>0</v>
      </c>
      <c r="BD27" s="23">
        <f>VALUE(0)</f>
        <v>0</v>
      </c>
      <c r="BE27" s="23">
        <f>VALUE(0)</f>
        <v>0</v>
      </c>
      <c r="BF27" s="23">
        <f>VALUE(0)</f>
        <v>0</v>
      </c>
      <c r="BG27" s="23">
        <f>VALUE(0)</f>
        <v>0</v>
      </c>
      <c r="BH27" s="23">
        <f>VALUE(0)</f>
        <v>0</v>
      </c>
      <c r="BI27" s="23">
        <f>VALUE(0)</f>
        <v>0</v>
      </c>
      <c r="BJ27" s="23">
        <f>VALUE(0)</f>
        <v>0</v>
      </c>
      <c r="BK27" s="12">
        <f>$AX$27*24</f>
        <v>5.833333333333333</v>
      </c>
      <c r="BL27" s="12">
        <f>$AY$27*24</f>
        <v>36.700000000000003</v>
      </c>
      <c r="BM27" s="12">
        <f>$BJ$27*24</f>
        <v>0</v>
      </c>
      <c r="BN27" s="12">
        <f>VALUE($I$27)/100</f>
        <v>1</v>
      </c>
      <c r="BO27" s="12">
        <v>0</v>
      </c>
      <c r="BP27" s="12">
        <v>0</v>
      </c>
      <c r="BQ27" s="12">
        <v>0</v>
      </c>
      <c r="BR27" s="12">
        <v>0</v>
      </c>
      <c r="BS27" s="12">
        <v>0</v>
      </c>
      <c r="BT27" s="12">
        <v>0</v>
      </c>
      <c r="BU27" s="12">
        <v>0</v>
      </c>
      <c r="BV27" s="12">
        <v>0</v>
      </c>
      <c r="BW27" s="12">
        <v>0</v>
      </c>
      <c r="BX27" s="12">
        <v>0</v>
      </c>
      <c r="BY27" s="12">
        <v>0</v>
      </c>
      <c r="BZ27" s="12">
        <v>0</v>
      </c>
      <c r="CA27" s="12">
        <v>0</v>
      </c>
    </row>
    <row r="28" spans="1:79" hidden="1" x14ac:dyDescent="0.2">
      <c r="A28" s="12" t="s">
        <v>102</v>
      </c>
      <c r="B28" s="12" t="s">
        <v>105</v>
      </c>
      <c r="C28" s="12" t="s">
        <v>105</v>
      </c>
      <c r="D28" s="22" t="s">
        <v>205</v>
      </c>
      <c r="E28" s="22" t="s">
        <v>161</v>
      </c>
      <c r="F28" s="22" t="s">
        <v>625</v>
      </c>
      <c r="G28" s="22" t="s">
        <v>626</v>
      </c>
      <c r="H28" s="22" t="s">
        <v>150</v>
      </c>
      <c r="I28" s="22" t="s">
        <v>151</v>
      </c>
      <c r="J28" s="22" t="s">
        <v>212</v>
      </c>
      <c r="K28" s="22" t="s">
        <v>66</v>
      </c>
      <c r="L28" s="54" t="s">
        <v>153</v>
      </c>
      <c r="M28" s="23" t="s">
        <v>153</v>
      </c>
      <c r="N28" s="24" t="s">
        <v>153</v>
      </c>
      <c r="O28" s="35" t="s">
        <v>170</v>
      </c>
      <c r="P28" s="35" t="s">
        <v>170</v>
      </c>
      <c r="Q28" s="23" t="s">
        <v>153</v>
      </c>
      <c r="R28" s="23" t="s">
        <v>153</v>
      </c>
      <c r="S28" s="23" t="s">
        <v>153</v>
      </c>
      <c r="T28" s="24" t="s">
        <v>156</v>
      </c>
      <c r="U28" s="24" t="s">
        <v>153</v>
      </c>
      <c r="V28" s="54" t="s">
        <v>153</v>
      </c>
      <c r="W28" s="23" t="s">
        <v>153</v>
      </c>
      <c r="X28" s="23" t="s">
        <v>153</v>
      </c>
      <c r="Y28" s="23" t="s">
        <v>153</v>
      </c>
      <c r="Z28" s="23" t="s">
        <v>153</v>
      </c>
      <c r="AA28" s="24" t="s">
        <v>156</v>
      </c>
      <c r="AB28" s="24" t="s">
        <v>153</v>
      </c>
      <c r="AC28" s="23" t="s">
        <v>153</v>
      </c>
      <c r="AD28" s="23" t="s">
        <v>153</v>
      </c>
      <c r="AE28" s="23" t="s">
        <v>153</v>
      </c>
      <c r="AF28" s="23" t="s">
        <v>153</v>
      </c>
      <c r="AG28" s="23" t="s">
        <v>153</v>
      </c>
      <c r="AH28" s="23" t="s">
        <v>153</v>
      </c>
      <c r="AI28" s="24" t="s">
        <v>153</v>
      </c>
      <c r="AJ28" s="23" t="s">
        <v>153</v>
      </c>
      <c r="AK28" s="23" t="s">
        <v>153</v>
      </c>
      <c r="AL28" s="23" t="s">
        <v>153</v>
      </c>
      <c r="AM28" s="23" t="s">
        <v>153</v>
      </c>
      <c r="AN28" s="23" t="s">
        <v>153</v>
      </c>
      <c r="AO28" s="24" t="s">
        <v>156</v>
      </c>
      <c r="AP28" s="23">
        <f>VALUE(0)</f>
        <v>0</v>
      </c>
      <c r="AQ28" s="23">
        <f>VALUE(0)</f>
        <v>0</v>
      </c>
      <c r="AR28" s="23">
        <f>VALUE(0)</f>
        <v>0</v>
      </c>
      <c r="AS28" s="23">
        <f>VALUE(0)</f>
        <v>0</v>
      </c>
      <c r="AT28" s="23">
        <f>VALUE(0)</f>
        <v>0</v>
      </c>
      <c r="AU28" s="23">
        <f>VALUE(0)</f>
        <v>0</v>
      </c>
      <c r="AV28" s="23">
        <f>VALUE(12)</f>
        <v>12</v>
      </c>
      <c r="AW28" s="23">
        <f>VALUE(0)</f>
        <v>0</v>
      </c>
      <c r="AX28" s="23" t="s">
        <v>171</v>
      </c>
      <c r="AY28" s="23" t="s">
        <v>213</v>
      </c>
      <c r="AZ28" s="23">
        <f>VALUE(0)</f>
        <v>0</v>
      </c>
      <c r="BA28" s="23">
        <f>VALUE(0)</f>
        <v>0</v>
      </c>
      <c r="BB28" s="23">
        <f>VALUE(0)</f>
        <v>0</v>
      </c>
      <c r="BC28" s="23">
        <f>VALUE(0)</f>
        <v>0</v>
      </c>
      <c r="BD28" s="23">
        <f>VALUE(0)</f>
        <v>0</v>
      </c>
      <c r="BE28" s="23">
        <f>VALUE(2)</f>
        <v>2</v>
      </c>
      <c r="BF28" s="23">
        <f>VALUE(0)</f>
        <v>0</v>
      </c>
      <c r="BG28" s="23">
        <f>VALUE(0)</f>
        <v>0</v>
      </c>
      <c r="BH28" s="23">
        <f>VALUE(0)</f>
        <v>0</v>
      </c>
      <c r="BI28" s="23">
        <f>VALUE(0)</f>
        <v>0</v>
      </c>
      <c r="BJ28" s="23">
        <f>VALUE(0)</f>
        <v>0</v>
      </c>
      <c r="BK28" s="12">
        <f>$AX$28*24</f>
        <v>5.833333333333333</v>
      </c>
      <c r="BL28" s="12">
        <f>$AY$28*24</f>
        <v>7.416666666666667</v>
      </c>
      <c r="BM28" s="12">
        <f>$BJ$28*24</f>
        <v>0</v>
      </c>
      <c r="BN28" s="12">
        <f>VALUE($I$28)/100</f>
        <v>1</v>
      </c>
      <c r="BO28" s="12">
        <v>0</v>
      </c>
      <c r="BP28" s="12">
        <v>0</v>
      </c>
      <c r="BQ28" s="12">
        <v>0</v>
      </c>
      <c r="BR28" s="12">
        <v>0</v>
      </c>
      <c r="BS28" s="12">
        <v>0</v>
      </c>
      <c r="BT28" s="12">
        <v>0</v>
      </c>
      <c r="BU28" s="12">
        <v>0</v>
      </c>
      <c r="BV28" s="12">
        <v>0</v>
      </c>
      <c r="BW28" s="12">
        <v>0</v>
      </c>
      <c r="BX28" s="12">
        <v>0</v>
      </c>
      <c r="BY28" s="12">
        <v>0</v>
      </c>
      <c r="BZ28" s="12">
        <v>0</v>
      </c>
      <c r="CA28" s="12">
        <v>0</v>
      </c>
    </row>
    <row r="29" spans="1:79" hidden="1" x14ac:dyDescent="0.2">
      <c r="A29" s="12" t="s">
        <v>102</v>
      </c>
      <c r="B29" s="12" t="s">
        <v>105</v>
      </c>
      <c r="C29" s="12" t="s">
        <v>105</v>
      </c>
      <c r="D29" s="22" t="s">
        <v>204</v>
      </c>
      <c r="E29" s="22" t="s">
        <v>161</v>
      </c>
      <c r="F29" s="22" t="s">
        <v>627</v>
      </c>
      <c r="G29" s="22" t="s">
        <v>628</v>
      </c>
      <c r="H29" s="22" t="s">
        <v>150</v>
      </c>
      <c r="I29" s="22" t="s">
        <v>151</v>
      </c>
      <c r="J29" s="22" t="s">
        <v>212</v>
      </c>
      <c r="K29" s="22" t="s">
        <v>66</v>
      </c>
      <c r="L29" s="54" t="s">
        <v>153</v>
      </c>
      <c r="M29" s="28" t="s">
        <v>163</v>
      </c>
      <c r="N29" s="24" t="s">
        <v>153</v>
      </c>
      <c r="O29" s="35" t="s">
        <v>170</v>
      </c>
      <c r="P29" s="35" t="s">
        <v>170</v>
      </c>
      <c r="Q29" s="23" t="s">
        <v>153</v>
      </c>
      <c r="R29" s="23" t="s">
        <v>153</v>
      </c>
      <c r="S29" s="23" t="s">
        <v>153</v>
      </c>
      <c r="T29" s="24" t="s">
        <v>156</v>
      </c>
      <c r="U29" s="24" t="s">
        <v>153</v>
      </c>
      <c r="V29" s="54" t="s">
        <v>153</v>
      </c>
      <c r="W29" s="23" t="s">
        <v>153</v>
      </c>
      <c r="X29" s="23" t="s">
        <v>153</v>
      </c>
      <c r="Y29" s="23" t="s">
        <v>153</v>
      </c>
      <c r="Z29" s="23" t="s">
        <v>153</v>
      </c>
      <c r="AA29" s="24" t="s">
        <v>156</v>
      </c>
      <c r="AB29" s="24" t="s">
        <v>153</v>
      </c>
      <c r="AC29" s="23" t="s">
        <v>153</v>
      </c>
      <c r="AD29" s="23" t="s">
        <v>153</v>
      </c>
      <c r="AE29" s="23" t="s">
        <v>153</v>
      </c>
      <c r="AF29" s="23" t="s">
        <v>153</v>
      </c>
      <c r="AG29" s="23" t="s">
        <v>153</v>
      </c>
      <c r="AH29" s="23" t="s">
        <v>153</v>
      </c>
      <c r="AI29" s="24" t="s">
        <v>153</v>
      </c>
      <c r="AJ29" s="23" t="s">
        <v>153</v>
      </c>
      <c r="AK29" s="23" t="s">
        <v>153</v>
      </c>
      <c r="AL29" s="23" t="s">
        <v>153</v>
      </c>
      <c r="AM29" s="23" t="s">
        <v>153</v>
      </c>
      <c r="AN29" s="23" t="s">
        <v>153</v>
      </c>
      <c r="AO29" s="24" t="s">
        <v>156</v>
      </c>
      <c r="AP29" s="23">
        <f>VALUE(0)</f>
        <v>0</v>
      </c>
      <c r="AQ29" s="23">
        <f>VALUE(0)</f>
        <v>0</v>
      </c>
      <c r="AR29" s="23">
        <f>VALUE(0)</f>
        <v>0</v>
      </c>
      <c r="AS29" s="23">
        <f>VALUE(0)</f>
        <v>0</v>
      </c>
      <c r="AT29" s="23">
        <f>VALUE(0)</f>
        <v>0</v>
      </c>
      <c r="AU29" s="23">
        <f>VALUE(1)</f>
        <v>1</v>
      </c>
      <c r="AV29" s="23">
        <f>VALUE(2)</f>
        <v>2</v>
      </c>
      <c r="AW29" s="23">
        <f>VALUE(0)</f>
        <v>0</v>
      </c>
      <c r="AX29" s="23" t="s">
        <v>171</v>
      </c>
      <c r="AY29" s="23" t="s">
        <v>215</v>
      </c>
      <c r="AZ29" s="23">
        <f>VALUE(0)</f>
        <v>0</v>
      </c>
      <c r="BA29" s="23">
        <f>VALUE(0)</f>
        <v>0</v>
      </c>
      <c r="BB29" s="23">
        <f>VALUE(0)</f>
        <v>0</v>
      </c>
      <c r="BC29" s="23">
        <f>VALUE(0)</f>
        <v>0</v>
      </c>
      <c r="BD29" s="23">
        <f>VALUE(0)</f>
        <v>0</v>
      </c>
      <c r="BE29" s="23">
        <f>VALUE(2)</f>
        <v>2</v>
      </c>
      <c r="BF29" s="23">
        <f>VALUE(0)</f>
        <v>0</v>
      </c>
      <c r="BG29" s="23">
        <f>VALUE(0)</f>
        <v>0</v>
      </c>
      <c r="BH29" s="23">
        <f>VALUE(0)</f>
        <v>0</v>
      </c>
      <c r="BI29" s="23">
        <f>VALUE(0)</f>
        <v>0</v>
      </c>
      <c r="BJ29" s="23">
        <f>VALUE(0)</f>
        <v>0</v>
      </c>
      <c r="BK29" s="12">
        <f>$AX$29*24</f>
        <v>5.833333333333333</v>
      </c>
      <c r="BL29" s="12">
        <f>$AY$29*24</f>
        <v>1.4</v>
      </c>
      <c r="BM29" s="12">
        <f>$BJ$29*24</f>
        <v>0</v>
      </c>
      <c r="BN29" s="12">
        <f>VALUE($I$29)/100</f>
        <v>1</v>
      </c>
      <c r="BO29" s="12">
        <v>0</v>
      </c>
      <c r="BP29" s="12">
        <v>0</v>
      </c>
      <c r="BQ29" s="12">
        <v>0</v>
      </c>
      <c r="BR29" s="12">
        <v>0</v>
      </c>
      <c r="BS29" s="12">
        <v>0</v>
      </c>
      <c r="BT29" s="12">
        <v>0</v>
      </c>
      <c r="BU29" s="12">
        <v>0</v>
      </c>
      <c r="BV29" s="12">
        <v>0</v>
      </c>
      <c r="BW29" s="12">
        <v>0</v>
      </c>
      <c r="BX29" s="12">
        <v>0</v>
      </c>
      <c r="BY29" s="12">
        <v>0</v>
      </c>
      <c r="BZ29" s="12">
        <v>0</v>
      </c>
      <c r="CA29" s="12">
        <v>0</v>
      </c>
    </row>
    <row r="30" spans="1:79" hidden="1" x14ac:dyDescent="0.2">
      <c r="A30" s="12" t="s">
        <v>102</v>
      </c>
      <c r="B30" s="12" t="s">
        <v>105</v>
      </c>
      <c r="C30" s="12" t="s">
        <v>105</v>
      </c>
      <c r="D30" s="22" t="s">
        <v>216</v>
      </c>
      <c r="E30" s="22" t="s">
        <v>161</v>
      </c>
      <c r="F30" s="22" t="s">
        <v>629</v>
      </c>
      <c r="G30" s="22" t="s">
        <v>630</v>
      </c>
      <c r="H30" s="22" t="s">
        <v>166</v>
      </c>
      <c r="I30" s="22" t="s">
        <v>151</v>
      </c>
      <c r="J30" s="22" t="s">
        <v>212</v>
      </c>
      <c r="K30" s="22" t="s">
        <v>66</v>
      </c>
      <c r="L30" s="54" t="s">
        <v>153</v>
      </c>
      <c r="M30" s="24" t="s">
        <v>156</v>
      </c>
      <c r="N30" s="24" t="s">
        <v>153</v>
      </c>
      <c r="O30" s="23" t="s">
        <v>153</v>
      </c>
      <c r="P30" s="23" t="s">
        <v>153</v>
      </c>
      <c r="Q30" s="23" t="s">
        <v>153</v>
      </c>
      <c r="R30" s="23" t="s">
        <v>153</v>
      </c>
      <c r="S30" s="23" t="s">
        <v>153</v>
      </c>
      <c r="T30" s="24" t="s">
        <v>156</v>
      </c>
      <c r="U30" s="24" t="s">
        <v>153</v>
      </c>
      <c r="V30" s="54" t="s">
        <v>153</v>
      </c>
      <c r="W30" s="28" t="s">
        <v>163</v>
      </c>
      <c r="X30" s="28" t="s">
        <v>163</v>
      </c>
      <c r="Y30" s="28" t="s">
        <v>163</v>
      </c>
      <c r="Z30" s="28" t="s">
        <v>163</v>
      </c>
      <c r="AA30" s="28" t="s">
        <v>163</v>
      </c>
      <c r="AB30" s="24" t="s">
        <v>153</v>
      </c>
      <c r="AC30" s="23" t="s">
        <v>153</v>
      </c>
      <c r="AD30" s="23" t="s">
        <v>153</v>
      </c>
      <c r="AE30" s="23" t="s">
        <v>153</v>
      </c>
      <c r="AF30" s="23" t="s">
        <v>153</v>
      </c>
      <c r="AG30" s="23" t="s">
        <v>153</v>
      </c>
      <c r="AH30" s="24" t="s">
        <v>156</v>
      </c>
      <c r="AI30" s="24" t="s">
        <v>153</v>
      </c>
      <c r="AJ30" s="23" t="s">
        <v>153</v>
      </c>
      <c r="AK30" s="23" t="s">
        <v>153</v>
      </c>
      <c r="AL30" s="23" t="s">
        <v>153</v>
      </c>
      <c r="AM30" s="23" t="s">
        <v>153</v>
      </c>
      <c r="AN30" s="23" t="s">
        <v>153</v>
      </c>
      <c r="AO30" s="24" t="s">
        <v>156</v>
      </c>
      <c r="AP30" s="23">
        <f>VALUE(0)</f>
        <v>0</v>
      </c>
      <c r="AQ30" s="23">
        <f>VALUE(0)</f>
        <v>0</v>
      </c>
      <c r="AR30" s="23">
        <f>VALUE(0)</f>
        <v>0</v>
      </c>
      <c r="AS30" s="23">
        <f>VALUE(0)</f>
        <v>0</v>
      </c>
      <c r="AT30" s="23">
        <f>VALUE(0)</f>
        <v>0</v>
      </c>
      <c r="AU30" s="23">
        <f>VALUE(5)</f>
        <v>5</v>
      </c>
      <c r="AV30" s="23">
        <f>VALUE(4)</f>
        <v>4</v>
      </c>
      <c r="AW30" s="23">
        <f>VALUE(0)</f>
        <v>0</v>
      </c>
      <c r="AX30" s="23" t="s">
        <v>217</v>
      </c>
      <c r="AY30" s="23">
        <f>VALUE(0)</f>
        <v>0</v>
      </c>
      <c r="AZ30" s="23">
        <f>VALUE(0)</f>
        <v>0</v>
      </c>
      <c r="BA30" s="23">
        <f>VALUE(0)</f>
        <v>0</v>
      </c>
      <c r="BB30" s="23">
        <f>VALUE(0)</f>
        <v>0</v>
      </c>
      <c r="BC30" s="23">
        <f>VALUE(0)</f>
        <v>0</v>
      </c>
      <c r="BD30" s="23">
        <f>VALUE(0)</f>
        <v>0</v>
      </c>
      <c r="BE30" s="23">
        <f>VALUE(0)</f>
        <v>0</v>
      </c>
      <c r="BF30" s="23">
        <f>VALUE(0)</f>
        <v>0</v>
      </c>
      <c r="BG30" s="23">
        <f>VALUE(0)</f>
        <v>0</v>
      </c>
      <c r="BH30" s="23">
        <f>VALUE(0)</f>
        <v>0</v>
      </c>
      <c r="BI30" s="23">
        <f>VALUE(0)</f>
        <v>0</v>
      </c>
      <c r="BJ30" s="23">
        <f>VALUE(0)</f>
        <v>0</v>
      </c>
      <c r="BK30" s="12">
        <f>$AX$30*24</f>
        <v>0.33333333333333331</v>
      </c>
      <c r="BL30" s="12">
        <f>$AY$30*24</f>
        <v>0</v>
      </c>
      <c r="BM30" s="12">
        <f>$BJ$30*24</f>
        <v>0</v>
      </c>
      <c r="BN30" s="12">
        <f>VALUE($I$30)/100</f>
        <v>1</v>
      </c>
      <c r="BO30" s="12">
        <v>0</v>
      </c>
      <c r="BP30" s="12">
        <v>0</v>
      </c>
      <c r="BQ30" s="12">
        <v>0</v>
      </c>
      <c r="BR30" s="12">
        <v>0</v>
      </c>
      <c r="BS30" s="12">
        <v>0</v>
      </c>
      <c r="BT30" s="12">
        <v>0</v>
      </c>
      <c r="BU30" s="12">
        <v>0</v>
      </c>
      <c r="BV30" s="12">
        <v>0</v>
      </c>
      <c r="BW30" s="12">
        <v>0</v>
      </c>
      <c r="BX30" s="12">
        <v>0</v>
      </c>
      <c r="BY30" s="12">
        <v>0</v>
      </c>
      <c r="BZ30" s="12">
        <v>0</v>
      </c>
      <c r="CA30" s="12">
        <v>0</v>
      </c>
    </row>
    <row r="31" spans="1:79" x14ac:dyDescent="0.2">
      <c r="A31" s="12" t="s">
        <v>102</v>
      </c>
      <c r="B31" s="12" t="s">
        <v>105</v>
      </c>
      <c r="C31" s="12" t="s">
        <v>105</v>
      </c>
      <c r="D31" s="22" t="s">
        <v>206</v>
      </c>
      <c r="E31" s="22" t="s">
        <v>161</v>
      </c>
      <c r="F31" s="22" t="s">
        <v>631</v>
      </c>
      <c r="G31" s="22" t="s">
        <v>632</v>
      </c>
      <c r="H31" s="22" t="s">
        <v>166</v>
      </c>
      <c r="I31" s="22" t="s">
        <v>151</v>
      </c>
      <c r="J31" s="22" t="s">
        <v>212</v>
      </c>
      <c r="K31" s="22" t="s">
        <v>66</v>
      </c>
      <c r="L31" s="54" t="s">
        <v>153</v>
      </c>
      <c r="M31" s="24" t="s">
        <v>156</v>
      </c>
      <c r="N31" s="24" t="s">
        <v>153</v>
      </c>
      <c r="O31" s="23" t="s">
        <v>153</v>
      </c>
      <c r="P31" s="29" t="s">
        <v>218</v>
      </c>
      <c r="Q31" s="29" t="s">
        <v>218</v>
      </c>
      <c r="R31" s="23" t="s">
        <v>153</v>
      </c>
      <c r="S31" s="23" t="s">
        <v>153</v>
      </c>
      <c r="T31" s="24" t="s">
        <v>156</v>
      </c>
      <c r="U31" s="24" t="s">
        <v>153</v>
      </c>
      <c r="V31" s="54" t="s">
        <v>153</v>
      </c>
      <c r="W31" s="23" t="s">
        <v>153</v>
      </c>
      <c r="X31" s="23" t="s">
        <v>153</v>
      </c>
      <c r="Y31" s="29" t="s">
        <v>218</v>
      </c>
      <c r="Z31" s="23" t="s">
        <v>153</v>
      </c>
      <c r="AA31" s="23" t="s">
        <v>153</v>
      </c>
      <c r="AB31" s="24" t="s">
        <v>153</v>
      </c>
      <c r="AC31" s="23" t="s">
        <v>153</v>
      </c>
      <c r="AD31" s="23" t="s">
        <v>153</v>
      </c>
      <c r="AE31" s="29" t="s">
        <v>218</v>
      </c>
      <c r="AF31" s="23" t="s">
        <v>153</v>
      </c>
      <c r="AG31" s="29" t="s">
        <v>218</v>
      </c>
      <c r="AH31" s="24" t="s">
        <v>156</v>
      </c>
      <c r="AI31" s="24" t="s">
        <v>153</v>
      </c>
      <c r="AJ31" s="23" t="s">
        <v>153</v>
      </c>
      <c r="AK31" s="23" t="s">
        <v>153</v>
      </c>
      <c r="AL31" s="29" t="s">
        <v>218</v>
      </c>
      <c r="AM31" s="23" t="s">
        <v>153</v>
      </c>
      <c r="AN31" s="23" t="s">
        <v>153</v>
      </c>
      <c r="AO31" s="24" t="s">
        <v>156</v>
      </c>
      <c r="AP31" s="23">
        <f>VALUE(0)</f>
        <v>0</v>
      </c>
      <c r="AQ31" s="23">
        <f>VALUE(0)</f>
        <v>0</v>
      </c>
      <c r="AR31" s="23">
        <f>VALUE(6)</f>
        <v>6</v>
      </c>
      <c r="AS31" s="23">
        <f>VALUE(0)</f>
        <v>0</v>
      </c>
      <c r="AT31" s="23">
        <f>VALUE(0)</f>
        <v>0</v>
      </c>
      <c r="AU31" s="23">
        <f>VALUE(0)</f>
        <v>0</v>
      </c>
      <c r="AV31" s="23">
        <f>VALUE(12)</f>
        <v>12</v>
      </c>
      <c r="AW31" s="23">
        <f>VALUE(0)</f>
        <v>0</v>
      </c>
      <c r="AX31" s="23" t="s">
        <v>1173</v>
      </c>
      <c r="AY31" s="23">
        <f>VALUE(0)</f>
        <v>0</v>
      </c>
      <c r="AZ31" s="23">
        <f>VALUE(0)</f>
        <v>0</v>
      </c>
      <c r="BA31" s="23">
        <f>VALUE(0)</f>
        <v>0</v>
      </c>
      <c r="BB31" s="23">
        <f>VALUE(0)</f>
        <v>0</v>
      </c>
      <c r="BC31" s="23">
        <f>VALUE(0)</f>
        <v>0</v>
      </c>
      <c r="BD31" s="23">
        <f>VALUE(0)</f>
        <v>0</v>
      </c>
      <c r="BE31" s="23">
        <f>VALUE(0)</f>
        <v>0</v>
      </c>
      <c r="BF31" s="23">
        <f>VALUE(0)</f>
        <v>0</v>
      </c>
      <c r="BG31" s="23">
        <f>VALUE(0)</f>
        <v>0</v>
      </c>
      <c r="BH31" s="23">
        <f>VALUE(0)</f>
        <v>0</v>
      </c>
      <c r="BI31" s="23">
        <f>VALUE(0)</f>
        <v>0</v>
      </c>
      <c r="BJ31" s="23">
        <f>VALUE(0)</f>
        <v>0</v>
      </c>
      <c r="BK31" s="12">
        <f>$AX$31*24</f>
        <v>17.683333333333334</v>
      </c>
      <c r="BL31" s="12">
        <f>$AY$31*24</f>
        <v>0</v>
      </c>
      <c r="BM31" s="12">
        <f>$BJ$31*24</f>
        <v>0</v>
      </c>
      <c r="BN31" s="12">
        <f>VALUE($I$31)/100</f>
        <v>1</v>
      </c>
      <c r="BO31" s="12">
        <v>0</v>
      </c>
      <c r="BP31" s="12">
        <v>0</v>
      </c>
      <c r="BQ31" s="12">
        <v>0</v>
      </c>
      <c r="BR31" s="12">
        <v>0</v>
      </c>
      <c r="BS31" s="12">
        <v>6</v>
      </c>
      <c r="BT31" s="12">
        <v>0</v>
      </c>
      <c r="BU31" s="12">
        <v>0</v>
      </c>
      <c r="BV31" s="12">
        <v>0</v>
      </c>
      <c r="BW31" s="12">
        <v>0</v>
      </c>
      <c r="BX31" s="12">
        <v>0</v>
      </c>
      <c r="BY31" s="12">
        <v>0</v>
      </c>
      <c r="BZ31" s="12">
        <v>0</v>
      </c>
      <c r="CA31" s="12">
        <v>0</v>
      </c>
    </row>
    <row r="32" spans="1:79" hidden="1" x14ac:dyDescent="0.2">
      <c r="A32" s="12" t="s">
        <v>102</v>
      </c>
      <c r="B32" s="12" t="s">
        <v>105</v>
      </c>
      <c r="C32" s="12" t="s">
        <v>105</v>
      </c>
      <c r="D32" s="22" t="s">
        <v>207</v>
      </c>
      <c r="E32" s="22" t="s">
        <v>161</v>
      </c>
      <c r="F32" s="22" t="s">
        <v>633</v>
      </c>
      <c r="G32" s="22" t="s">
        <v>634</v>
      </c>
      <c r="H32" s="22" t="s">
        <v>150</v>
      </c>
      <c r="I32" s="22" t="s">
        <v>151</v>
      </c>
      <c r="J32" s="22" t="s">
        <v>212</v>
      </c>
      <c r="K32" s="22" t="s">
        <v>66</v>
      </c>
      <c r="L32" s="54" t="s">
        <v>153</v>
      </c>
      <c r="M32" s="24" t="s">
        <v>156</v>
      </c>
      <c r="N32" s="24" t="s">
        <v>153</v>
      </c>
      <c r="O32" s="23" t="s">
        <v>153</v>
      </c>
      <c r="P32" s="23" t="s">
        <v>153</v>
      </c>
      <c r="Q32" s="23" t="s">
        <v>153</v>
      </c>
      <c r="R32" s="23" t="s">
        <v>153</v>
      </c>
      <c r="S32" s="23" t="s">
        <v>153</v>
      </c>
      <c r="T32" s="23" t="s">
        <v>153</v>
      </c>
      <c r="U32" s="24" t="s">
        <v>153</v>
      </c>
      <c r="V32" s="54" t="s">
        <v>153</v>
      </c>
      <c r="W32" s="23" t="s">
        <v>153</v>
      </c>
      <c r="X32" s="23" t="s">
        <v>153</v>
      </c>
      <c r="Y32" s="23" t="s">
        <v>153</v>
      </c>
      <c r="Z32" s="23" t="s">
        <v>153</v>
      </c>
      <c r="AA32" s="24" t="s">
        <v>156</v>
      </c>
      <c r="AB32" s="24" t="s">
        <v>153</v>
      </c>
      <c r="AC32" s="23" t="s">
        <v>153</v>
      </c>
      <c r="AD32" s="23" t="s">
        <v>153</v>
      </c>
      <c r="AE32" s="23" t="s">
        <v>153</v>
      </c>
      <c r="AF32" s="23" t="s">
        <v>153</v>
      </c>
      <c r="AG32" s="23" t="s">
        <v>153</v>
      </c>
      <c r="AH32" s="24" t="s">
        <v>156</v>
      </c>
      <c r="AI32" s="24" t="s">
        <v>153</v>
      </c>
      <c r="AJ32" s="23" t="s">
        <v>153</v>
      </c>
      <c r="AK32" s="23" t="s">
        <v>153</v>
      </c>
      <c r="AL32" s="23" t="s">
        <v>153</v>
      </c>
      <c r="AM32" s="23" t="s">
        <v>153</v>
      </c>
      <c r="AN32" s="23" t="s">
        <v>153</v>
      </c>
      <c r="AO32" s="23" t="s">
        <v>153</v>
      </c>
      <c r="AP32" s="23">
        <f>VALUE(0)</f>
        <v>0</v>
      </c>
      <c r="AQ32" s="23">
        <f>VALUE(0)</f>
        <v>0</v>
      </c>
      <c r="AR32" s="23">
        <f>VALUE(0)</f>
        <v>0</v>
      </c>
      <c r="AS32" s="23">
        <f>VALUE(0)</f>
        <v>0</v>
      </c>
      <c r="AT32" s="23">
        <f>VALUE(0)</f>
        <v>0</v>
      </c>
      <c r="AU32" s="23">
        <f>VALUE(0)</f>
        <v>0</v>
      </c>
      <c r="AV32" s="23">
        <f>VALUE(21)</f>
        <v>21</v>
      </c>
      <c r="AW32" s="23">
        <f>VALUE(0)</f>
        <v>0</v>
      </c>
      <c r="AX32" s="23" t="s">
        <v>176</v>
      </c>
      <c r="AY32" s="23" t="s">
        <v>219</v>
      </c>
      <c r="AZ32" s="23">
        <f>VALUE(0)</f>
        <v>0</v>
      </c>
      <c r="BA32" s="23">
        <f>VALUE(0)</f>
        <v>0</v>
      </c>
      <c r="BB32" s="23">
        <f>VALUE(0)</f>
        <v>0</v>
      </c>
      <c r="BC32" s="23">
        <f>VALUE(0)</f>
        <v>0</v>
      </c>
      <c r="BD32" s="23">
        <f>VALUE(0)</f>
        <v>0</v>
      </c>
      <c r="BE32" s="23">
        <f>VALUE(0)</f>
        <v>0</v>
      </c>
      <c r="BF32" s="23">
        <f>VALUE(0)</f>
        <v>0</v>
      </c>
      <c r="BG32" s="23">
        <f>VALUE(0)</f>
        <v>0</v>
      </c>
      <c r="BH32" s="23">
        <f>VALUE(0)</f>
        <v>0</v>
      </c>
      <c r="BI32" s="23">
        <f>VALUE(0)</f>
        <v>0</v>
      </c>
      <c r="BJ32" s="23">
        <f>VALUE(0)</f>
        <v>0</v>
      </c>
      <c r="BK32" s="12">
        <f>$AX$32*24</f>
        <v>0</v>
      </c>
      <c r="BL32" s="12">
        <f>$AY$32*24</f>
        <v>1.2333333333333334</v>
      </c>
      <c r="BM32" s="12">
        <f>$BJ$32*24</f>
        <v>0</v>
      </c>
      <c r="BN32" s="12">
        <f>VALUE($I$32)/100</f>
        <v>1</v>
      </c>
      <c r="BO32" s="12">
        <v>0</v>
      </c>
      <c r="BP32" s="12">
        <v>0</v>
      </c>
      <c r="BQ32" s="12">
        <v>0</v>
      </c>
      <c r="BR32" s="12">
        <v>0</v>
      </c>
      <c r="BS32" s="12">
        <v>0</v>
      </c>
      <c r="BT32" s="12">
        <v>0</v>
      </c>
      <c r="BU32" s="12">
        <v>0</v>
      </c>
      <c r="BV32" s="12">
        <v>0</v>
      </c>
      <c r="BW32" s="12">
        <v>0</v>
      </c>
      <c r="BX32" s="12">
        <v>0</v>
      </c>
      <c r="BY32" s="12">
        <v>0</v>
      </c>
      <c r="BZ32" s="12">
        <v>0</v>
      </c>
      <c r="CA32" s="12">
        <v>0</v>
      </c>
    </row>
    <row r="33" spans="1:79" hidden="1" x14ac:dyDescent="0.2">
      <c r="A33" s="12" t="s">
        <v>102</v>
      </c>
      <c r="B33" s="12" t="s">
        <v>105</v>
      </c>
      <c r="C33" s="12" t="s">
        <v>105</v>
      </c>
      <c r="D33" s="22" t="s">
        <v>220</v>
      </c>
      <c r="E33" s="22" t="s">
        <v>161</v>
      </c>
      <c r="F33" s="22" t="s">
        <v>635</v>
      </c>
      <c r="G33" s="22" t="s">
        <v>636</v>
      </c>
      <c r="H33" s="22" t="s">
        <v>166</v>
      </c>
      <c r="I33" s="22" t="s">
        <v>151</v>
      </c>
      <c r="J33" s="22" t="s">
        <v>212</v>
      </c>
      <c r="K33" s="22" t="s">
        <v>66</v>
      </c>
      <c r="L33" s="54" t="s">
        <v>153</v>
      </c>
      <c r="M33" s="24" t="s">
        <v>156</v>
      </c>
      <c r="N33" s="24" t="s">
        <v>153</v>
      </c>
      <c r="O33" s="23" t="s">
        <v>153</v>
      </c>
      <c r="P33" s="23" t="s">
        <v>153</v>
      </c>
      <c r="Q33" s="23" t="s">
        <v>153</v>
      </c>
      <c r="R33" s="23" t="s">
        <v>153</v>
      </c>
      <c r="S33" s="23" t="s">
        <v>153</v>
      </c>
      <c r="T33" s="23" t="s">
        <v>153</v>
      </c>
      <c r="U33" s="24" t="s">
        <v>153</v>
      </c>
      <c r="V33" s="54" t="s">
        <v>153</v>
      </c>
      <c r="W33" s="23" t="s">
        <v>153</v>
      </c>
      <c r="X33" s="23" t="s">
        <v>153</v>
      </c>
      <c r="Y33" s="23" t="s">
        <v>153</v>
      </c>
      <c r="Z33" s="23" t="s">
        <v>153</v>
      </c>
      <c r="AA33" s="24" t="s">
        <v>156</v>
      </c>
      <c r="AB33" s="24" t="s">
        <v>153</v>
      </c>
      <c r="AC33" s="23" t="s">
        <v>153</v>
      </c>
      <c r="AD33" s="23" t="s">
        <v>153</v>
      </c>
      <c r="AE33" s="23" t="s">
        <v>153</v>
      </c>
      <c r="AF33" s="23" t="s">
        <v>153</v>
      </c>
      <c r="AG33" s="23" t="s">
        <v>153</v>
      </c>
      <c r="AH33" s="24" t="s">
        <v>156</v>
      </c>
      <c r="AI33" s="24" t="s">
        <v>153</v>
      </c>
      <c r="AJ33" s="23" t="s">
        <v>153</v>
      </c>
      <c r="AK33" s="23" t="s">
        <v>153</v>
      </c>
      <c r="AL33" s="23" t="s">
        <v>153</v>
      </c>
      <c r="AM33" s="23" t="s">
        <v>153</v>
      </c>
      <c r="AN33" s="23" t="s">
        <v>153</v>
      </c>
      <c r="AO33" s="23" t="s">
        <v>153</v>
      </c>
      <c r="AP33" s="23">
        <f>VALUE(0)</f>
        <v>0</v>
      </c>
      <c r="AQ33" s="23">
        <f>VALUE(0)</f>
        <v>0</v>
      </c>
      <c r="AR33" s="23">
        <f>VALUE(0)</f>
        <v>0</v>
      </c>
      <c r="AS33" s="23">
        <f>VALUE(0)</f>
        <v>0</v>
      </c>
      <c r="AT33" s="23">
        <f>VALUE(0)</f>
        <v>0</v>
      </c>
      <c r="AU33" s="23">
        <f>VALUE(0)</f>
        <v>0</v>
      </c>
      <c r="AV33" s="23">
        <f>VALUE(11.5)</f>
        <v>11.5</v>
      </c>
      <c r="AW33" s="23">
        <f>VALUE(0)</f>
        <v>0</v>
      </c>
      <c r="AX33" s="23" t="s">
        <v>1174</v>
      </c>
      <c r="AY33" s="23">
        <f>VALUE(0)</f>
        <v>0</v>
      </c>
      <c r="AZ33" s="23">
        <f>VALUE(0)</f>
        <v>0</v>
      </c>
      <c r="BA33" s="23">
        <f>VALUE(0)</f>
        <v>0</v>
      </c>
      <c r="BB33" s="23">
        <f>VALUE(0)</f>
        <v>0</v>
      </c>
      <c r="BC33" s="23">
        <f>VALUE(0)</f>
        <v>0</v>
      </c>
      <c r="BD33" s="23">
        <f>VALUE(0)</f>
        <v>0</v>
      </c>
      <c r="BE33" s="23">
        <f>VALUE(0)</f>
        <v>0</v>
      </c>
      <c r="BF33" s="23">
        <f>VALUE(0)</f>
        <v>0</v>
      </c>
      <c r="BG33" s="23">
        <f>VALUE(0)</f>
        <v>0</v>
      </c>
      <c r="BH33" s="23">
        <f>VALUE(0)</f>
        <v>0</v>
      </c>
      <c r="BI33" s="23">
        <f>VALUE(0)</f>
        <v>0</v>
      </c>
      <c r="BJ33" s="23">
        <f>VALUE(0)</f>
        <v>0</v>
      </c>
      <c r="BK33" s="12">
        <f>$AX$33*24</f>
        <v>30.233333333333334</v>
      </c>
      <c r="BL33" s="12">
        <f>$AY$33*24</f>
        <v>0</v>
      </c>
      <c r="BM33" s="12">
        <f>$BJ$33*24</f>
        <v>0</v>
      </c>
      <c r="BN33" s="12">
        <f>VALUE($I$33)/100</f>
        <v>1</v>
      </c>
      <c r="BO33" s="12">
        <v>0</v>
      </c>
      <c r="BP33" s="12">
        <v>0</v>
      </c>
      <c r="BQ33" s="12">
        <v>0</v>
      </c>
      <c r="BR33" s="12">
        <v>0</v>
      </c>
      <c r="BS33" s="12">
        <v>0</v>
      </c>
      <c r="BT33" s="12">
        <v>0</v>
      </c>
      <c r="BU33" s="12">
        <v>0</v>
      </c>
      <c r="BV33" s="12">
        <v>0</v>
      </c>
      <c r="BW33" s="12">
        <v>0</v>
      </c>
      <c r="BX33" s="12">
        <v>0</v>
      </c>
      <c r="BY33" s="12">
        <v>0</v>
      </c>
      <c r="BZ33" s="12">
        <v>0</v>
      </c>
      <c r="CA33" s="12">
        <v>0</v>
      </c>
    </row>
    <row r="34" spans="1:79" ht="16.5" x14ac:dyDescent="0.2">
      <c r="A34" s="12" t="s">
        <v>102</v>
      </c>
      <c r="B34" s="12" t="s">
        <v>105</v>
      </c>
      <c r="C34" s="12" t="s">
        <v>105</v>
      </c>
      <c r="D34" s="22" t="s">
        <v>211</v>
      </c>
      <c r="E34" s="22" t="s">
        <v>161</v>
      </c>
      <c r="F34" s="22" t="s">
        <v>637</v>
      </c>
      <c r="G34" s="22" t="s">
        <v>638</v>
      </c>
      <c r="H34" s="22" t="s">
        <v>150</v>
      </c>
      <c r="I34" s="22" t="s">
        <v>151</v>
      </c>
      <c r="J34" s="22" t="s">
        <v>162</v>
      </c>
      <c r="K34" s="22" t="s">
        <v>66</v>
      </c>
      <c r="L34" s="54" t="s">
        <v>153</v>
      </c>
      <c r="M34" s="28" t="s">
        <v>163</v>
      </c>
      <c r="N34" s="24" t="s">
        <v>153</v>
      </c>
      <c r="O34" s="23" t="s">
        <v>153</v>
      </c>
      <c r="P34" s="26" t="s">
        <v>221</v>
      </c>
      <c r="Q34" s="26" t="s">
        <v>221</v>
      </c>
      <c r="R34" s="26" t="s">
        <v>221</v>
      </c>
      <c r="S34" s="26" t="s">
        <v>221</v>
      </c>
      <c r="T34" s="23" t="s">
        <v>222</v>
      </c>
      <c r="U34" s="24" t="s">
        <v>153</v>
      </c>
      <c r="V34" s="54" t="s">
        <v>153</v>
      </c>
      <c r="W34" s="26" t="s">
        <v>221</v>
      </c>
      <c r="X34" s="26" t="s">
        <v>221</v>
      </c>
      <c r="Y34" s="26" t="s">
        <v>221</v>
      </c>
      <c r="Z34" s="26" t="s">
        <v>221</v>
      </c>
      <c r="AA34" s="23" t="s">
        <v>222</v>
      </c>
      <c r="AB34" s="24" t="s">
        <v>153</v>
      </c>
      <c r="AC34" s="23" t="s">
        <v>153</v>
      </c>
      <c r="AD34" s="26" t="s">
        <v>221</v>
      </c>
      <c r="AE34" s="26" t="s">
        <v>221</v>
      </c>
      <c r="AF34" s="26" t="s">
        <v>221</v>
      </c>
      <c r="AG34" s="29" t="s">
        <v>1175</v>
      </c>
      <c r="AH34" s="29" t="s">
        <v>1175</v>
      </c>
      <c r="AI34" s="24" t="s">
        <v>153</v>
      </c>
      <c r="AJ34" s="23" t="s">
        <v>153</v>
      </c>
      <c r="AK34" s="26" t="s">
        <v>221</v>
      </c>
      <c r="AL34" s="26" t="s">
        <v>221</v>
      </c>
      <c r="AM34" s="26" t="s">
        <v>221</v>
      </c>
      <c r="AN34" s="26" t="s">
        <v>221</v>
      </c>
      <c r="AO34" s="23" t="s">
        <v>222</v>
      </c>
      <c r="AP34" s="23">
        <f>VALUE(0)</f>
        <v>0</v>
      </c>
      <c r="AQ34" s="23">
        <f>VALUE(0)</f>
        <v>0</v>
      </c>
      <c r="AR34" s="23">
        <f>VALUE(2)</f>
        <v>2</v>
      </c>
      <c r="AS34" s="23">
        <f>VALUE(0)</f>
        <v>0</v>
      </c>
      <c r="AT34" s="23">
        <f>VALUE(0)</f>
        <v>0</v>
      </c>
      <c r="AU34" s="23">
        <f>VALUE(1)</f>
        <v>1</v>
      </c>
      <c r="AV34" s="23">
        <f>VALUE(3)</f>
        <v>3</v>
      </c>
      <c r="AW34" s="23">
        <f>VALUE(0)</f>
        <v>0</v>
      </c>
      <c r="AX34" s="23" t="s">
        <v>1176</v>
      </c>
      <c r="AY34" s="23" t="s">
        <v>1177</v>
      </c>
      <c r="AZ34" s="23">
        <f>VALUE(0)</f>
        <v>0</v>
      </c>
      <c r="BA34" s="23">
        <f>VALUE(0)</f>
        <v>0</v>
      </c>
      <c r="BB34" s="23">
        <f>VALUE(0)</f>
        <v>0</v>
      </c>
      <c r="BC34" s="23">
        <f>VALUE(0)</f>
        <v>0</v>
      </c>
      <c r="BD34" s="23">
        <f>VALUE(0)</f>
        <v>0</v>
      </c>
      <c r="BE34" s="23">
        <f>VALUE(0)</f>
        <v>0</v>
      </c>
      <c r="BF34" s="23">
        <f>VALUE(0)</f>
        <v>0</v>
      </c>
      <c r="BG34" s="23">
        <f>VALUE(0)</f>
        <v>0</v>
      </c>
      <c r="BH34" s="23">
        <f>VALUE(0)</f>
        <v>0</v>
      </c>
      <c r="BI34" s="23">
        <f>VALUE(0)</f>
        <v>0</v>
      </c>
      <c r="BJ34" s="23">
        <f>VALUE(0)</f>
        <v>0</v>
      </c>
      <c r="BK34" s="12">
        <f>$AX$34*24</f>
        <v>9.5833333333333339</v>
      </c>
      <c r="BL34" s="12">
        <f>$AY$34*24</f>
        <v>5.0666666666666664</v>
      </c>
      <c r="BM34" s="12">
        <f>$BJ$34*24</f>
        <v>0</v>
      </c>
      <c r="BN34" s="12">
        <f>VALUE($I$34)/100</f>
        <v>1</v>
      </c>
      <c r="BO34" s="12">
        <v>0</v>
      </c>
      <c r="BP34" s="12">
        <v>0</v>
      </c>
      <c r="BQ34" s="12">
        <v>0</v>
      </c>
      <c r="BR34" s="12">
        <v>0</v>
      </c>
      <c r="BS34" s="12">
        <v>0</v>
      </c>
      <c r="BT34" s="12">
        <v>0</v>
      </c>
      <c r="BU34" s="12">
        <v>0</v>
      </c>
      <c r="BV34" s="12">
        <v>2</v>
      </c>
      <c r="BW34" s="12">
        <v>0</v>
      </c>
      <c r="BX34" s="12">
        <v>0</v>
      </c>
      <c r="BY34" s="12">
        <v>0</v>
      </c>
      <c r="BZ34" s="12">
        <v>0</v>
      </c>
      <c r="CA34" s="12">
        <v>0</v>
      </c>
    </row>
    <row r="35" spans="1:79" ht="16.5" hidden="1" x14ac:dyDescent="0.2">
      <c r="A35" s="12" t="s">
        <v>102</v>
      </c>
      <c r="B35" s="12" t="s">
        <v>105</v>
      </c>
      <c r="C35" s="12" t="s">
        <v>105</v>
      </c>
      <c r="D35" s="22" t="s">
        <v>223</v>
      </c>
      <c r="E35" s="22" t="s">
        <v>161</v>
      </c>
      <c r="F35" s="22" t="s">
        <v>639</v>
      </c>
      <c r="G35" s="22" t="s">
        <v>640</v>
      </c>
      <c r="H35" s="22" t="s">
        <v>190</v>
      </c>
      <c r="I35" s="22" t="s">
        <v>151</v>
      </c>
      <c r="J35" s="22" t="s">
        <v>181</v>
      </c>
      <c r="K35" s="22" t="s">
        <v>66</v>
      </c>
      <c r="L35" s="54" t="s">
        <v>153</v>
      </c>
      <c r="M35" s="23" t="s">
        <v>224</v>
      </c>
      <c r="N35" s="24" t="s">
        <v>153</v>
      </c>
      <c r="O35" s="26" t="s">
        <v>225</v>
      </c>
      <c r="P35" s="26" t="s">
        <v>225</v>
      </c>
      <c r="Q35" s="26" t="s">
        <v>225</v>
      </c>
      <c r="R35" s="26" t="s">
        <v>225</v>
      </c>
      <c r="S35" s="26" t="s">
        <v>225</v>
      </c>
      <c r="T35" s="26" t="s">
        <v>225</v>
      </c>
      <c r="U35" s="24" t="s">
        <v>153</v>
      </c>
      <c r="V35" s="54" t="s">
        <v>153</v>
      </c>
      <c r="W35" s="26" t="s">
        <v>225</v>
      </c>
      <c r="X35" s="40" t="s">
        <v>153</v>
      </c>
      <c r="Y35" s="40" t="s">
        <v>153</v>
      </c>
      <c r="Z35" s="40" t="s">
        <v>153</v>
      </c>
      <c r="AA35" s="40" t="s">
        <v>153</v>
      </c>
      <c r="AB35" s="40" t="s">
        <v>153</v>
      </c>
      <c r="AC35" s="40" t="s">
        <v>153</v>
      </c>
      <c r="AD35" s="40" t="s">
        <v>153</v>
      </c>
      <c r="AE35" s="40" t="s">
        <v>153</v>
      </c>
      <c r="AF35" s="40" t="s">
        <v>153</v>
      </c>
      <c r="AG35" s="40" t="s">
        <v>153</v>
      </c>
      <c r="AH35" s="40" t="s">
        <v>153</v>
      </c>
      <c r="AI35" s="40" t="s">
        <v>153</v>
      </c>
      <c r="AJ35" s="40" t="s">
        <v>153</v>
      </c>
      <c r="AK35" s="40" t="s">
        <v>153</v>
      </c>
      <c r="AL35" s="40" t="s">
        <v>153</v>
      </c>
      <c r="AM35" s="40" t="s">
        <v>153</v>
      </c>
      <c r="AN35" s="40" t="s">
        <v>153</v>
      </c>
      <c r="AO35" s="40" t="s">
        <v>153</v>
      </c>
      <c r="AP35" s="23">
        <f>VALUE(0)</f>
        <v>0</v>
      </c>
      <c r="AQ35" s="23">
        <f>VALUE(0)</f>
        <v>0</v>
      </c>
      <c r="AR35" s="23">
        <f>VALUE(0)</f>
        <v>0</v>
      </c>
      <c r="AS35" s="23">
        <f>VALUE(0)</f>
        <v>0</v>
      </c>
      <c r="AT35" s="23">
        <f>VALUE(0)</f>
        <v>0</v>
      </c>
      <c r="AU35" s="23">
        <f>VALUE(0)</f>
        <v>0</v>
      </c>
      <c r="AV35" s="23">
        <f>VALUE(17)</f>
        <v>17</v>
      </c>
      <c r="AW35" s="23">
        <f>VALUE(0)</f>
        <v>0</v>
      </c>
      <c r="AX35" s="23">
        <f>VALUE(0)</f>
        <v>0</v>
      </c>
      <c r="AY35" s="23">
        <f>VALUE(0)</f>
        <v>0</v>
      </c>
      <c r="AZ35" s="23">
        <f>VALUE(0)</f>
        <v>0</v>
      </c>
      <c r="BA35" s="23">
        <f>VALUE(0)</f>
        <v>0</v>
      </c>
      <c r="BB35" s="23">
        <f>VALUE(0)</f>
        <v>0</v>
      </c>
      <c r="BC35" s="23">
        <f>VALUE(0)</f>
        <v>0</v>
      </c>
      <c r="BD35" s="23">
        <f>VALUE(0)</f>
        <v>0</v>
      </c>
      <c r="BE35" s="23">
        <f>VALUE(0)</f>
        <v>0</v>
      </c>
      <c r="BF35" s="23">
        <f>VALUE(0)</f>
        <v>0</v>
      </c>
      <c r="BG35" s="23">
        <f>VALUE(0)</f>
        <v>0</v>
      </c>
      <c r="BH35" s="23">
        <f>VALUE(0)</f>
        <v>0</v>
      </c>
      <c r="BI35" s="23">
        <f>VALUE(0)</f>
        <v>0</v>
      </c>
      <c r="BJ35" s="23">
        <f>VALUE(0)</f>
        <v>0</v>
      </c>
      <c r="BK35" s="12">
        <f>$AX$35*24</f>
        <v>0</v>
      </c>
      <c r="BL35" s="12">
        <f>$AY$35*24</f>
        <v>0</v>
      </c>
      <c r="BM35" s="12">
        <f>$BJ$35*24</f>
        <v>0</v>
      </c>
      <c r="BN35" s="12">
        <f>VALUE($I$35)/100</f>
        <v>1</v>
      </c>
      <c r="BO35" s="12">
        <v>0</v>
      </c>
      <c r="BP35" s="12">
        <v>0</v>
      </c>
      <c r="BQ35" s="12">
        <v>0</v>
      </c>
      <c r="BR35" s="12">
        <v>0</v>
      </c>
      <c r="BS35" s="12">
        <v>0</v>
      </c>
      <c r="BT35" s="12">
        <v>0</v>
      </c>
      <c r="BU35" s="12">
        <v>0</v>
      </c>
      <c r="BV35" s="12">
        <v>0</v>
      </c>
      <c r="BW35" s="12">
        <v>0</v>
      </c>
      <c r="BX35" s="12">
        <v>0</v>
      </c>
      <c r="BY35" s="12">
        <v>0</v>
      </c>
      <c r="BZ35" s="12">
        <v>0</v>
      </c>
      <c r="CA35" s="12">
        <v>0</v>
      </c>
    </row>
    <row r="36" spans="1:79" hidden="1" x14ac:dyDescent="0.2">
      <c r="A36" s="12" t="s">
        <v>102</v>
      </c>
      <c r="B36" s="12" t="s">
        <v>105</v>
      </c>
      <c r="C36" s="12" t="s">
        <v>105</v>
      </c>
      <c r="D36" s="22" t="s">
        <v>210</v>
      </c>
      <c r="E36" s="22" t="s">
        <v>161</v>
      </c>
      <c r="F36" s="22" t="s">
        <v>641</v>
      </c>
      <c r="G36" s="22" t="s">
        <v>642</v>
      </c>
      <c r="H36" s="22" t="s">
        <v>150</v>
      </c>
      <c r="I36" s="22" t="s">
        <v>226</v>
      </c>
      <c r="J36" s="22" t="s">
        <v>181</v>
      </c>
      <c r="K36" s="22" t="s">
        <v>66</v>
      </c>
      <c r="L36" s="54" t="s">
        <v>153</v>
      </c>
      <c r="M36" s="24" t="s">
        <v>195</v>
      </c>
      <c r="N36" s="24" t="s">
        <v>153</v>
      </c>
      <c r="O36" s="23" t="s">
        <v>153</v>
      </c>
      <c r="P36" s="23" t="s">
        <v>153</v>
      </c>
      <c r="Q36" s="23" t="s">
        <v>153</v>
      </c>
      <c r="R36" s="23" t="s">
        <v>153</v>
      </c>
      <c r="S36" s="24" t="s">
        <v>195</v>
      </c>
      <c r="T36" s="24" t="s">
        <v>195</v>
      </c>
      <c r="U36" s="24" t="s">
        <v>153</v>
      </c>
      <c r="V36" s="54" t="s">
        <v>153</v>
      </c>
      <c r="W36" s="23" t="s">
        <v>153</v>
      </c>
      <c r="X36" s="23" t="s">
        <v>153</v>
      </c>
      <c r="Y36" s="23" t="s">
        <v>153</v>
      </c>
      <c r="Z36" s="24" t="s">
        <v>195</v>
      </c>
      <c r="AA36" s="24" t="s">
        <v>195</v>
      </c>
      <c r="AB36" s="24" t="s">
        <v>153</v>
      </c>
      <c r="AC36" s="23" t="s">
        <v>153</v>
      </c>
      <c r="AD36" s="23" t="s">
        <v>153</v>
      </c>
      <c r="AE36" s="23" t="s">
        <v>153</v>
      </c>
      <c r="AF36" s="23" t="s">
        <v>153</v>
      </c>
      <c r="AG36" s="24" t="s">
        <v>195</v>
      </c>
      <c r="AH36" s="24" t="s">
        <v>195</v>
      </c>
      <c r="AI36" s="24" t="s">
        <v>153</v>
      </c>
      <c r="AJ36" s="23" t="s">
        <v>153</v>
      </c>
      <c r="AK36" s="23" t="s">
        <v>153</v>
      </c>
      <c r="AL36" s="23" t="s">
        <v>153</v>
      </c>
      <c r="AM36" s="23" t="s">
        <v>153</v>
      </c>
      <c r="AN36" s="24" t="s">
        <v>195</v>
      </c>
      <c r="AO36" s="24" t="s">
        <v>195</v>
      </c>
      <c r="AP36" s="23">
        <f>VALUE(0)</f>
        <v>0</v>
      </c>
      <c r="AQ36" s="23">
        <f>VALUE(0)</f>
        <v>0</v>
      </c>
      <c r="AR36" s="23">
        <f>VALUE(0)</f>
        <v>0</v>
      </c>
      <c r="AS36" s="23">
        <f>VALUE(0)</f>
        <v>0</v>
      </c>
      <c r="AT36" s="23">
        <f>VALUE(0)</f>
        <v>0</v>
      </c>
      <c r="AU36" s="23">
        <f>VALUE(0)</f>
        <v>0</v>
      </c>
      <c r="AV36" s="23">
        <f>VALUE(12)</f>
        <v>12</v>
      </c>
      <c r="AW36" s="23">
        <f>VALUE(0)</f>
        <v>0</v>
      </c>
      <c r="AX36" s="23" t="s">
        <v>176</v>
      </c>
      <c r="AY36" s="23" t="s">
        <v>227</v>
      </c>
      <c r="AZ36" s="23">
        <f>VALUE(0)</f>
        <v>0</v>
      </c>
      <c r="BA36" s="23">
        <f>VALUE(0)</f>
        <v>0</v>
      </c>
      <c r="BB36" s="23">
        <f>VALUE(0)</f>
        <v>0</v>
      </c>
      <c r="BC36" s="23">
        <f>VALUE(0)</f>
        <v>0</v>
      </c>
      <c r="BD36" s="23">
        <f>VALUE(0)</f>
        <v>0</v>
      </c>
      <c r="BE36" s="23">
        <f>VALUE(0)</f>
        <v>0</v>
      </c>
      <c r="BF36" s="23">
        <f>VALUE(0)</f>
        <v>0</v>
      </c>
      <c r="BG36" s="23">
        <f>VALUE(0)</f>
        <v>0</v>
      </c>
      <c r="BH36" s="23">
        <f>VALUE(0)</f>
        <v>0</v>
      </c>
      <c r="BI36" s="23">
        <f>VALUE(0)</f>
        <v>0</v>
      </c>
      <c r="BJ36" s="23">
        <f>VALUE(0)</f>
        <v>0</v>
      </c>
      <c r="BK36" s="12">
        <f>$AX$36*24</f>
        <v>0</v>
      </c>
      <c r="BL36" s="12">
        <f>$AY$36*24</f>
        <v>2.8333333333333335</v>
      </c>
      <c r="BM36" s="12">
        <f>$BJ$36*24</f>
        <v>0</v>
      </c>
      <c r="BN36" s="12">
        <f>VALUE($I$36)/100</f>
        <v>0.42</v>
      </c>
      <c r="BO36" s="12">
        <v>0</v>
      </c>
      <c r="BP36" s="12">
        <v>0</v>
      </c>
      <c r="BQ36" s="12">
        <v>0</v>
      </c>
      <c r="BR36" s="12">
        <v>0</v>
      </c>
      <c r="BS36" s="12">
        <v>0</v>
      </c>
      <c r="BT36" s="12">
        <v>0</v>
      </c>
      <c r="BU36" s="12">
        <v>0</v>
      </c>
      <c r="BV36" s="12">
        <v>0</v>
      </c>
      <c r="BW36" s="12">
        <v>0</v>
      </c>
      <c r="BX36" s="12">
        <v>0</v>
      </c>
      <c r="BY36" s="12">
        <v>0</v>
      </c>
      <c r="BZ36" s="12">
        <v>0</v>
      </c>
      <c r="CA36" s="12">
        <v>0</v>
      </c>
    </row>
    <row r="37" spans="1:79" hidden="1" x14ac:dyDescent="0.2">
      <c r="A37" s="12" t="s">
        <v>102</v>
      </c>
      <c r="B37" s="12" t="s">
        <v>105</v>
      </c>
      <c r="C37" s="12" t="s">
        <v>105</v>
      </c>
      <c r="D37" s="22" t="s">
        <v>228</v>
      </c>
      <c r="E37" s="22" t="s">
        <v>161</v>
      </c>
      <c r="F37" s="22" t="s">
        <v>1178</v>
      </c>
      <c r="G37" s="22" t="s">
        <v>643</v>
      </c>
      <c r="H37" s="22" t="s">
        <v>150</v>
      </c>
      <c r="I37" s="22" t="s">
        <v>151</v>
      </c>
      <c r="J37" s="22" t="s">
        <v>181</v>
      </c>
      <c r="K37" s="22" t="s">
        <v>66</v>
      </c>
      <c r="L37" s="54" t="s">
        <v>153</v>
      </c>
      <c r="M37" s="28" t="s">
        <v>163</v>
      </c>
      <c r="N37" s="24" t="s">
        <v>153</v>
      </c>
      <c r="O37" s="28" t="s">
        <v>163</v>
      </c>
      <c r="P37" s="28" t="s">
        <v>163</v>
      </c>
      <c r="Q37" s="28" t="s">
        <v>163</v>
      </c>
      <c r="R37" s="28" t="s">
        <v>163</v>
      </c>
      <c r="S37" s="28" t="s">
        <v>163</v>
      </c>
      <c r="T37" s="28" t="s">
        <v>163</v>
      </c>
      <c r="U37" s="24" t="s">
        <v>153</v>
      </c>
      <c r="V37" s="54" t="s">
        <v>153</v>
      </c>
      <c r="W37" s="23" t="s">
        <v>153</v>
      </c>
      <c r="X37" s="23" t="s">
        <v>153</v>
      </c>
      <c r="Y37" s="23" t="s">
        <v>153</v>
      </c>
      <c r="Z37" s="23" t="s">
        <v>153</v>
      </c>
      <c r="AA37" s="24" t="s">
        <v>156</v>
      </c>
      <c r="AB37" s="24" t="s">
        <v>153</v>
      </c>
      <c r="AC37" s="23" t="s">
        <v>153</v>
      </c>
      <c r="AD37" s="23" t="s">
        <v>153</v>
      </c>
      <c r="AE37" s="23" t="s">
        <v>153</v>
      </c>
      <c r="AF37" s="23" t="s">
        <v>153</v>
      </c>
      <c r="AG37" s="23" t="s">
        <v>153</v>
      </c>
      <c r="AH37" s="23" t="s">
        <v>153</v>
      </c>
      <c r="AI37" s="24" t="s">
        <v>153</v>
      </c>
      <c r="AJ37" s="23" t="s">
        <v>153</v>
      </c>
      <c r="AK37" s="23" t="s">
        <v>153</v>
      </c>
      <c r="AL37" s="35" t="s">
        <v>170</v>
      </c>
      <c r="AM37" s="23" t="s">
        <v>153</v>
      </c>
      <c r="AN37" s="23" t="s">
        <v>153</v>
      </c>
      <c r="AO37" s="24" t="s">
        <v>156</v>
      </c>
      <c r="AP37" s="23">
        <f>VALUE(0)</f>
        <v>0</v>
      </c>
      <c r="AQ37" s="23">
        <f>VALUE(0)</f>
        <v>0</v>
      </c>
      <c r="AR37" s="23">
        <f>VALUE(0)</f>
        <v>0</v>
      </c>
      <c r="AS37" s="23">
        <f>VALUE(0)</f>
        <v>0</v>
      </c>
      <c r="AT37" s="23">
        <f>VALUE(0)</f>
        <v>0</v>
      </c>
      <c r="AU37" s="23">
        <f>VALUE(7)</f>
        <v>7</v>
      </c>
      <c r="AV37" s="23">
        <f>VALUE(3)</f>
        <v>3</v>
      </c>
      <c r="AW37" s="23">
        <f>VALUE(0)</f>
        <v>0</v>
      </c>
      <c r="AX37" s="23" t="s">
        <v>171</v>
      </c>
      <c r="AY37" s="23" t="s">
        <v>196</v>
      </c>
      <c r="AZ37" s="23">
        <f>VALUE(0)</f>
        <v>0</v>
      </c>
      <c r="BA37" s="23">
        <f>VALUE(0)</f>
        <v>0</v>
      </c>
      <c r="BB37" s="23">
        <f>VALUE(0)</f>
        <v>0</v>
      </c>
      <c r="BC37" s="23">
        <f>VALUE(0)</f>
        <v>0</v>
      </c>
      <c r="BD37" s="23">
        <f>VALUE(0)</f>
        <v>0</v>
      </c>
      <c r="BE37" s="23">
        <f>VALUE(1)</f>
        <v>1</v>
      </c>
      <c r="BF37" s="23">
        <f>VALUE(0)</f>
        <v>0</v>
      </c>
      <c r="BG37" s="23">
        <f>VALUE(0)</f>
        <v>0</v>
      </c>
      <c r="BH37" s="23">
        <f>VALUE(0)</f>
        <v>0</v>
      </c>
      <c r="BI37" s="23">
        <f>VALUE(0)</f>
        <v>0</v>
      </c>
      <c r="BJ37" s="23">
        <f>VALUE(0)</f>
        <v>0</v>
      </c>
      <c r="BK37" s="12">
        <f>$AX$37*24</f>
        <v>5.833333333333333</v>
      </c>
      <c r="BL37" s="12">
        <f>$AY$37*24</f>
        <v>8.1</v>
      </c>
      <c r="BM37" s="12">
        <f>$BJ$37*24</f>
        <v>0</v>
      </c>
      <c r="BN37" s="12">
        <f>VALUE($I$37)/100</f>
        <v>1</v>
      </c>
      <c r="BO37" s="12">
        <v>0</v>
      </c>
      <c r="BP37" s="12">
        <v>0</v>
      </c>
      <c r="BQ37" s="12">
        <v>0</v>
      </c>
      <c r="BR37" s="12">
        <v>0</v>
      </c>
      <c r="BS37" s="12">
        <v>0</v>
      </c>
      <c r="BT37" s="12">
        <v>0</v>
      </c>
      <c r="BU37" s="12">
        <v>0</v>
      </c>
      <c r="BV37" s="12">
        <v>0</v>
      </c>
      <c r="BW37" s="12">
        <v>0</v>
      </c>
      <c r="BX37" s="12">
        <v>0</v>
      </c>
      <c r="BY37" s="12">
        <v>0</v>
      </c>
      <c r="BZ37" s="12">
        <v>0</v>
      </c>
      <c r="CA37" s="12">
        <v>0</v>
      </c>
    </row>
    <row r="38" spans="1:79" hidden="1" x14ac:dyDescent="0.2">
      <c r="A38" s="12" t="s">
        <v>102</v>
      </c>
      <c r="B38" s="12" t="s">
        <v>105</v>
      </c>
      <c r="C38" s="12" t="s">
        <v>105</v>
      </c>
      <c r="D38" s="22" t="s">
        <v>229</v>
      </c>
      <c r="E38" s="22" t="s">
        <v>161</v>
      </c>
      <c r="F38" s="22" t="s">
        <v>644</v>
      </c>
      <c r="G38" s="22" t="s">
        <v>645</v>
      </c>
      <c r="H38" s="22" t="s">
        <v>150</v>
      </c>
      <c r="I38" s="22" t="s">
        <v>151</v>
      </c>
      <c r="J38" s="22" t="s">
        <v>181</v>
      </c>
      <c r="K38" s="22" t="s">
        <v>66</v>
      </c>
      <c r="L38" s="54" t="s">
        <v>153</v>
      </c>
      <c r="M38" s="28" t="s">
        <v>163</v>
      </c>
      <c r="N38" s="24" t="s">
        <v>153</v>
      </c>
      <c r="O38" s="23" t="s">
        <v>153</v>
      </c>
      <c r="P38" s="23" t="s">
        <v>153</v>
      </c>
      <c r="Q38" s="23" t="s">
        <v>153</v>
      </c>
      <c r="R38" s="23" t="s">
        <v>153</v>
      </c>
      <c r="S38" s="23" t="s">
        <v>153</v>
      </c>
      <c r="T38" s="24" t="s">
        <v>156</v>
      </c>
      <c r="U38" s="24" t="s">
        <v>153</v>
      </c>
      <c r="V38" s="54" t="s">
        <v>153</v>
      </c>
      <c r="W38" s="23" t="s">
        <v>153</v>
      </c>
      <c r="X38" s="23" t="s">
        <v>153</v>
      </c>
      <c r="Y38" s="23" t="s">
        <v>153</v>
      </c>
      <c r="Z38" s="23" t="s">
        <v>153</v>
      </c>
      <c r="AA38" s="24" t="s">
        <v>156</v>
      </c>
      <c r="AB38" s="24" t="s">
        <v>153</v>
      </c>
      <c r="AC38" s="23" t="s">
        <v>153</v>
      </c>
      <c r="AD38" s="23" t="s">
        <v>153</v>
      </c>
      <c r="AE38" s="23" t="s">
        <v>153</v>
      </c>
      <c r="AF38" s="23" t="s">
        <v>153</v>
      </c>
      <c r="AG38" s="23" t="s">
        <v>153</v>
      </c>
      <c r="AH38" s="23" t="s">
        <v>153</v>
      </c>
      <c r="AI38" s="24" t="s">
        <v>153</v>
      </c>
      <c r="AJ38" s="23" t="s">
        <v>153</v>
      </c>
      <c r="AK38" s="23" t="s">
        <v>153</v>
      </c>
      <c r="AL38" s="23" t="s">
        <v>153</v>
      </c>
      <c r="AM38" s="23" t="s">
        <v>153</v>
      </c>
      <c r="AN38" s="23" t="s">
        <v>153</v>
      </c>
      <c r="AO38" s="24" t="s">
        <v>156</v>
      </c>
      <c r="AP38" s="23">
        <f>VALUE(0)</f>
        <v>0</v>
      </c>
      <c r="AQ38" s="23">
        <f>VALUE(0)</f>
        <v>0</v>
      </c>
      <c r="AR38" s="23">
        <f>VALUE(0)</f>
        <v>0</v>
      </c>
      <c r="AS38" s="23">
        <f>VALUE(0)</f>
        <v>0</v>
      </c>
      <c r="AT38" s="23">
        <f>VALUE(0)</f>
        <v>0</v>
      </c>
      <c r="AU38" s="23">
        <f>VALUE(1)</f>
        <v>1</v>
      </c>
      <c r="AV38" s="23">
        <f>VALUE(9)</f>
        <v>9</v>
      </c>
      <c r="AW38" s="23">
        <f>VALUE(0)</f>
        <v>0</v>
      </c>
      <c r="AX38" s="23" t="s">
        <v>171</v>
      </c>
      <c r="AY38" s="23" t="s">
        <v>230</v>
      </c>
      <c r="AZ38" s="23">
        <f>VALUE(0)</f>
        <v>0</v>
      </c>
      <c r="BA38" s="23">
        <f>VALUE(0)</f>
        <v>0</v>
      </c>
      <c r="BB38" s="23">
        <f>VALUE(0)</f>
        <v>0</v>
      </c>
      <c r="BC38" s="23">
        <f>VALUE(0)</f>
        <v>0</v>
      </c>
      <c r="BD38" s="23">
        <f>VALUE(0)</f>
        <v>0</v>
      </c>
      <c r="BE38" s="23">
        <f>VALUE(0)</f>
        <v>0</v>
      </c>
      <c r="BF38" s="23">
        <f>VALUE(0)</f>
        <v>0</v>
      </c>
      <c r="BG38" s="23">
        <f>VALUE(0)</f>
        <v>0</v>
      </c>
      <c r="BH38" s="23">
        <f>VALUE(0)</f>
        <v>0</v>
      </c>
      <c r="BI38" s="23">
        <f>VALUE(0)</f>
        <v>0</v>
      </c>
      <c r="BJ38" s="23">
        <f>VALUE(0)</f>
        <v>0</v>
      </c>
      <c r="BK38" s="12">
        <f>$AX$38*24</f>
        <v>5.833333333333333</v>
      </c>
      <c r="BL38" s="12">
        <f>$AY$38*24</f>
        <v>2.3333333333333335</v>
      </c>
      <c r="BM38" s="12">
        <f>$BJ$38*24</f>
        <v>0</v>
      </c>
      <c r="BN38" s="12">
        <f>VALUE($I$38)/100</f>
        <v>1</v>
      </c>
      <c r="BO38" s="12">
        <v>0</v>
      </c>
      <c r="BP38" s="12">
        <v>0</v>
      </c>
      <c r="BQ38" s="12">
        <v>0</v>
      </c>
      <c r="BR38" s="12">
        <v>0</v>
      </c>
      <c r="BS38" s="12">
        <v>0</v>
      </c>
      <c r="BT38" s="12">
        <v>0</v>
      </c>
      <c r="BU38" s="12">
        <v>0</v>
      </c>
      <c r="BV38" s="12">
        <v>0</v>
      </c>
      <c r="BW38" s="12">
        <v>0</v>
      </c>
      <c r="BX38" s="12">
        <v>0</v>
      </c>
      <c r="BY38" s="12">
        <v>0</v>
      </c>
      <c r="BZ38" s="12">
        <v>0</v>
      </c>
      <c r="CA38" s="12">
        <v>0</v>
      </c>
    </row>
    <row r="39" spans="1:79" hidden="1" x14ac:dyDescent="0.2">
      <c r="A39" s="12" t="s">
        <v>102</v>
      </c>
      <c r="B39" s="12" t="s">
        <v>105</v>
      </c>
      <c r="C39" s="12" t="s">
        <v>105</v>
      </c>
      <c r="D39" s="22" t="s">
        <v>208</v>
      </c>
      <c r="E39" s="22" t="s">
        <v>161</v>
      </c>
      <c r="F39" s="22" t="s">
        <v>646</v>
      </c>
      <c r="G39" s="22" t="s">
        <v>647</v>
      </c>
      <c r="H39" s="22" t="s">
        <v>150</v>
      </c>
      <c r="I39" s="22" t="s">
        <v>151</v>
      </c>
      <c r="J39" s="22" t="s">
        <v>181</v>
      </c>
      <c r="K39" s="22" t="s">
        <v>66</v>
      </c>
      <c r="L39" s="54" t="s">
        <v>153</v>
      </c>
      <c r="M39" s="24" t="s">
        <v>156</v>
      </c>
      <c r="N39" s="24" t="s">
        <v>153</v>
      </c>
      <c r="O39" s="23" t="s">
        <v>153</v>
      </c>
      <c r="P39" s="23" t="s">
        <v>153</v>
      </c>
      <c r="Q39" s="23" t="s">
        <v>153</v>
      </c>
      <c r="R39" s="23" t="s">
        <v>153</v>
      </c>
      <c r="S39" s="33" t="s">
        <v>201</v>
      </c>
      <c r="T39" s="24" t="s">
        <v>156</v>
      </c>
      <c r="U39" s="24" t="s">
        <v>153</v>
      </c>
      <c r="V39" s="54" t="s">
        <v>153</v>
      </c>
      <c r="W39" s="23" t="s">
        <v>153</v>
      </c>
      <c r="X39" s="23" t="s">
        <v>153</v>
      </c>
      <c r="Y39" s="23" t="s">
        <v>153</v>
      </c>
      <c r="Z39" s="23" t="s">
        <v>153</v>
      </c>
      <c r="AA39" s="23" t="s">
        <v>153</v>
      </c>
      <c r="AB39" s="24" t="s">
        <v>153</v>
      </c>
      <c r="AC39" s="23" t="s">
        <v>153</v>
      </c>
      <c r="AD39" s="33" t="s">
        <v>201</v>
      </c>
      <c r="AE39" s="23" t="s">
        <v>153</v>
      </c>
      <c r="AF39" s="23" t="s">
        <v>153</v>
      </c>
      <c r="AG39" s="23" t="s">
        <v>153</v>
      </c>
      <c r="AH39" s="24" t="s">
        <v>156</v>
      </c>
      <c r="AI39" s="24" t="s">
        <v>153</v>
      </c>
      <c r="AJ39" s="28" t="s">
        <v>338</v>
      </c>
      <c r="AK39" s="28" t="s">
        <v>338</v>
      </c>
      <c r="AL39" s="28" t="s">
        <v>338</v>
      </c>
      <c r="AM39" s="23" t="s">
        <v>153</v>
      </c>
      <c r="AN39" s="23" t="s">
        <v>153</v>
      </c>
      <c r="AO39" s="24" t="s">
        <v>156</v>
      </c>
      <c r="AP39" s="23">
        <f>VALUE(0)</f>
        <v>0</v>
      </c>
      <c r="AQ39" s="23">
        <f>VALUE(0)</f>
        <v>0</v>
      </c>
      <c r="AR39" s="23">
        <f>VALUE(0)</f>
        <v>0</v>
      </c>
      <c r="AS39" s="23">
        <f>VALUE(0)</f>
        <v>0</v>
      </c>
      <c r="AT39" s="23">
        <f>VALUE(3)</f>
        <v>3</v>
      </c>
      <c r="AU39" s="23">
        <f>VALUE(0)</f>
        <v>0</v>
      </c>
      <c r="AV39" s="23">
        <f>VALUE(12)</f>
        <v>12</v>
      </c>
      <c r="AW39" s="23">
        <f>VALUE(0)</f>
        <v>0</v>
      </c>
      <c r="AX39" s="23" t="s">
        <v>171</v>
      </c>
      <c r="AY39" s="23" t="s">
        <v>1179</v>
      </c>
      <c r="AZ39" s="23">
        <f>VALUE(0)</f>
        <v>0</v>
      </c>
      <c r="BA39" s="23">
        <f>VALUE(0)</f>
        <v>0</v>
      </c>
      <c r="BB39" s="23">
        <f>VALUE(2)</f>
        <v>2</v>
      </c>
      <c r="BC39" s="23">
        <f>VALUE(0)</f>
        <v>0</v>
      </c>
      <c r="BD39" s="23">
        <f>VALUE(0)</f>
        <v>0</v>
      </c>
      <c r="BE39" s="23">
        <f>VALUE(0)</f>
        <v>0</v>
      </c>
      <c r="BF39" s="23">
        <f>VALUE(0)</f>
        <v>0</v>
      </c>
      <c r="BG39" s="23">
        <f>VALUE(0)</f>
        <v>0</v>
      </c>
      <c r="BH39" s="23">
        <f>VALUE(0)</f>
        <v>0</v>
      </c>
      <c r="BI39" s="23">
        <f>VALUE(0)</f>
        <v>0</v>
      </c>
      <c r="BJ39" s="23">
        <f>VALUE(0)</f>
        <v>0</v>
      </c>
      <c r="BK39" s="12">
        <f>$AX$39*24</f>
        <v>5.833333333333333</v>
      </c>
      <c r="BL39" s="12">
        <f>$AY$39*24</f>
        <v>13.7</v>
      </c>
      <c r="BM39" s="12">
        <f>$BJ$39*24</f>
        <v>0</v>
      </c>
      <c r="BN39" s="12">
        <f>VALUE($I$39)/100</f>
        <v>1</v>
      </c>
      <c r="BO39" s="12">
        <v>0</v>
      </c>
      <c r="BP39" s="12">
        <v>0</v>
      </c>
      <c r="BQ39" s="12">
        <v>0</v>
      </c>
      <c r="BR39" s="12">
        <v>0</v>
      </c>
      <c r="BS39" s="12">
        <v>0</v>
      </c>
      <c r="BT39" s="12">
        <v>0</v>
      </c>
      <c r="BU39" s="12">
        <v>0</v>
      </c>
      <c r="BV39" s="12">
        <v>0</v>
      </c>
      <c r="BW39" s="12">
        <v>0</v>
      </c>
      <c r="BX39" s="12">
        <v>0</v>
      </c>
      <c r="BY39" s="12">
        <v>3</v>
      </c>
      <c r="BZ39" s="12">
        <v>0</v>
      </c>
      <c r="CA39" s="12">
        <v>0</v>
      </c>
    </row>
    <row r="40" spans="1:79" hidden="1" x14ac:dyDescent="0.2">
      <c r="A40" s="12" t="s">
        <v>102</v>
      </c>
      <c r="B40" s="12" t="s">
        <v>105</v>
      </c>
      <c r="C40" s="12" t="s">
        <v>105</v>
      </c>
      <c r="D40" s="22" t="s">
        <v>232</v>
      </c>
      <c r="E40" s="22" t="s">
        <v>161</v>
      </c>
      <c r="F40" s="22" t="s">
        <v>648</v>
      </c>
      <c r="G40" s="22" t="s">
        <v>649</v>
      </c>
      <c r="H40" s="22" t="s">
        <v>150</v>
      </c>
      <c r="I40" s="22" t="s">
        <v>151</v>
      </c>
      <c r="J40" s="22" t="s">
        <v>181</v>
      </c>
      <c r="K40" s="22" t="s">
        <v>66</v>
      </c>
      <c r="L40" s="54" t="s">
        <v>153</v>
      </c>
      <c r="M40" s="24" t="s">
        <v>156</v>
      </c>
      <c r="N40" s="24" t="s">
        <v>153</v>
      </c>
      <c r="O40" s="23" t="s">
        <v>153</v>
      </c>
      <c r="P40" s="23" t="s">
        <v>153</v>
      </c>
      <c r="Q40" s="23" t="s">
        <v>153</v>
      </c>
      <c r="R40" s="23" t="s">
        <v>153</v>
      </c>
      <c r="S40" s="23" t="s">
        <v>153</v>
      </c>
      <c r="T40" s="24" t="s">
        <v>156</v>
      </c>
      <c r="U40" s="24" t="s">
        <v>153</v>
      </c>
      <c r="V40" s="54" t="s">
        <v>153</v>
      </c>
      <c r="W40" s="23" t="s">
        <v>153</v>
      </c>
      <c r="X40" s="23" t="s">
        <v>153</v>
      </c>
      <c r="Y40" s="23" t="s">
        <v>153</v>
      </c>
      <c r="Z40" s="23" t="s">
        <v>153</v>
      </c>
      <c r="AA40" s="23" t="s">
        <v>153</v>
      </c>
      <c r="AB40" s="24" t="s">
        <v>153</v>
      </c>
      <c r="AC40" s="23" t="s">
        <v>153</v>
      </c>
      <c r="AD40" s="23" t="s">
        <v>153</v>
      </c>
      <c r="AE40" s="23" t="s">
        <v>153</v>
      </c>
      <c r="AF40" s="23" t="s">
        <v>153</v>
      </c>
      <c r="AG40" s="23" t="s">
        <v>153</v>
      </c>
      <c r="AH40" s="24" t="s">
        <v>156</v>
      </c>
      <c r="AI40" s="24" t="s">
        <v>153</v>
      </c>
      <c r="AJ40" s="23" t="s">
        <v>153</v>
      </c>
      <c r="AK40" s="23" t="s">
        <v>153</v>
      </c>
      <c r="AL40" s="23" t="s">
        <v>153</v>
      </c>
      <c r="AM40" s="23" t="s">
        <v>153</v>
      </c>
      <c r="AN40" s="23" t="s">
        <v>153</v>
      </c>
      <c r="AO40" s="24" t="s">
        <v>156</v>
      </c>
      <c r="AP40" s="23">
        <f>VALUE(0)</f>
        <v>0</v>
      </c>
      <c r="AQ40" s="23">
        <f>VALUE(0)</f>
        <v>0</v>
      </c>
      <c r="AR40" s="23">
        <f>VALUE(0)</f>
        <v>0</v>
      </c>
      <c r="AS40" s="23">
        <f>VALUE(0)</f>
        <v>0</v>
      </c>
      <c r="AT40" s="23">
        <f>VALUE(0)</f>
        <v>0</v>
      </c>
      <c r="AU40" s="23">
        <f>VALUE(0)</f>
        <v>0</v>
      </c>
      <c r="AV40" s="23">
        <f>VALUE(7)</f>
        <v>7</v>
      </c>
      <c r="AW40" s="23">
        <f>VALUE(0)</f>
        <v>0</v>
      </c>
      <c r="AX40" s="23" t="s">
        <v>171</v>
      </c>
      <c r="AY40" s="23" t="s">
        <v>233</v>
      </c>
      <c r="AZ40" s="23">
        <f>VALUE(0)</f>
        <v>0</v>
      </c>
      <c r="BA40" s="23">
        <f>VALUE(0)</f>
        <v>0</v>
      </c>
      <c r="BB40" s="23">
        <f>VALUE(0)</f>
        <v>0</v>
      </c>
      <c r="BC40" s="23">
        <f>VALUE(0)</f>
        <v>0</v>
      </c>
      <c r="BD40" s="23">
        <f>VALUE(0)</f>
        <v>0</v>
      </c>
      <c r="BE40" s="23">
        <f>VALUE(0)</f>
        <v>0</v>
      </c>
      <c r="BF40" s="23">
        <f>VALUE(0)</f>
        <v>0</v>
      </c>
      <c r="BG40" s="23">
        <f>VALUE(0)</f>
        <v>0</v>
      </c>
      <c r="BH40" s="23">
        <f>VALUE(0)</f>
        <v>0</v>
      </c>
      <c r="BI40" s="23">
        <f>VALUE(0)</f>
        <v>0</v>
      </c>
      <c r="BJ40" s="23">
        <f>VALUE(0)</f>
        <v>0</v>
      </c>
      <c r="BK40" s="12">
        <f>$AX$40*24</f>
        <v>5.833333333333333</v>
      </c>
      <c r="BL40" s="12">
        <f>$AY$40*24</f>
        <v>20.6</v>
      </c>
      <c r="BM40" s="12">
        <f>$BJ$40*24</f>
        <v>0</v>
      </c>
      <c r="BN40" s="12">
        <f>VALUE($I$40)/100</f>
        <v>1</v>
      </c>
      <c r="BO40" s="12">
        <v>0</v>
      </c>
      <c r="BP40" s="12">
        <v>0</v>
      </c>
      <c r="BQ40" s="12">
        <v>0</v>
      </c>
      <c r="BR40" s="12">
        <v>0</v>
      </c>
      <c r="BS40" s="12">
        <v>0</v>
      </c>
      <c r="BT40" s="12">
        <v>0</v>
      </c>
      <c r="BU40" s="12">
        <v>0</v>
      </c>
      <c r="BV40" s="12">
        <v>0</v>
      </c>
      <c r="BW40" s="12">
        <v>0</v>
      </c>
      <c r="BX40" s="12">
        <v>0</v>
      </c>
      <c r="BY40" s="12">
        <v>0</v>
      </c>
      <c r="BZ40" s="12">
        <v>0</v>
      </c>
      <c r="CA40" s="12">
        <v>0</v>
      </c>
    </row>
    <row r="41" spans="1:79" hidden="1" x14ac:dyDescent="0.2">
      <c r="A41" s="12" t="s">
        <v>102</v>
      </c>
      <c r="B41" s="12" t="s">
        <v>105</v>
      </c>
      <c r="C41" s="12" t="s">
        <v>105</v>
      </c>
      <c r="D41" s="22" t="s">
        <v>234</v>
      </c>
      <c r="E41" s="22" t="s">
        <v>161</v>
      </c>
      <c r="F41" s="22" t="s">
        <v>650</v>
      </c>
      <c r="G41" s="22" t="s">
        <v>651</v>
      </c>
      <c r="H41" s="22" t="s">
        <v>166</v>
      </c>
      <c r="I41" s="22" t="s">
        <v>151</v>
      </c>
      <c r="J41" s="22" t="s">
        <v>181</v>
      </c>
      <c r="K41" s="22" t="s">
        <v>66</v>
      </c>
      <c r="L41" s="54" t="s">
        <v>153</v>
      </c>
      <c r="M41" s="24" t="s">
        <v>156</v>
      </c>
      <c r="N41" s="24" t="s">
        <v>153</v>
      </c>
      <c r="O41" s="23" t="s">
        <v>153</v>
      </c>
      <c r="P41" s="23" t="s">
        <v>153</v>
      </c>
      <c r="Q41" s="23" t="s">
        <v>153</v>
      </c>
      <c r="R41" s="23" t="s">
        <v>153</v>
      </c>
      <c r="S41" s="23" t="s">
        <v>153</v>
      </c>
      <c r="T41" s="23" t="s">
        <v>153</v>
      </c>
      <c r="U41" s="24" t="s">
        <v>153</v>
      </c>
      <c r="V41" s="54" t="s">
        <v>153</v>
      </c>
      <c r="W41" s="23" t="s">
        <v>153</v>
      </c>
      <c r="X41" s="23" t="s">
        <v>153</v>
      </c>
      <c r="Y41" s="23" t="s">
        <v>153</v>
      </c>
      <c r="Z41" s="23" t="s">
        <v>153</v>
      </c>
      <c r="AA41" s="24" t="s">
        <v>156</v>
      </c>
      <c r="AB41" s="24" t="s">
        <v>153</v>
      </c>
      <c r="AC41" s="23" t="s">
        <v>153</v>
      </c>
      <c r="AD41" s="23" t="s">
        <v>153</v>
      </c>
      <c r="AE41" s="23" t="s">
        <v>153</v>
      </c>
      <c r="AF41" s="23" t="s">
        <v>153</v>
      </c>
      <c r="AG41" s="23" t="s">
        <v>153</v>
      </c>
      <c r="AH41" s="24" t="s">
        <v>156</v>
      </c>
      <c r="AI41" s="24" t="s">
        <v>153</v>
      </c>
      <c r="AJ41" s="23" t="s">
        <v>153</v>
      </c>
      <c r="AK41" s="23" t="s">
        <v>153</v>
      </c>
      <c r="AL41" s="23" t="s">
        <v>153</v>
      </c>
      <c r="AM41" s="23" t="s">
        <v>153</v>
      </c>
      <c r="AN41" s="23" t="s">
        <v>153</v>
      </c>
      <c r="AO41" s="23" t="s">
        <v>153</v>
      </c>
      <c r="AP41" s="23">
        <f>VALUE(0)</f>
        <v>0</v>
      </c>
      <c r="AQ41" s="23">
        <f>VALUE(0)</f>
        <v>0</v>
      </c>
      <c r="AR41" s="23">
        <f>VALUE(0)</f>
        <v>0</v>
      </c>
      <c r="AS41" s="23">
        <f>VALUE(0)</f>
        <v>0</v>
      </c>
      <c r="AT41" s="23">
        <f>VALUE(0)</f>
        <v>0</v>
      </c>
      <c r="AU41" s="23">
        <f>VALUE(0)</f>
        <v>0</v>
      </c>
      <c r="AV41" s="23">
        <f>VALUE(8)</f>
        <v>8</v>
      </c>
      <c r="AW41" s="23">
        <f>VALUE(0)</f>
        <v>0</v>
      </c>
      <c r="AX41" s="23" t="s">
        <v>1180</v>
      </c>
      <c r="AY41" s="23">
        <f>VALUE(0)</f>
        <v>0</v>
      </c>
      <c r="AZ41" s="23">
        <f>VALUE(0)</f>
        <v>0</v>
      </c>
      <c r="BA41" s="23">
        <f>VALUE(0)</f>
        <v>0</v>
      </c>
      <c r="BB41" s="23">
        <f>VALUE(0)</f>
        <v>0</v>
      </c>
      <c r="BC41" s="23">
        <f>VALUE(0)</f>
        <v>0</v>
      </c>
      <c r="BD41" s="23">
        <f>VALUE(0)</f>
        <v>0</v>
      </c>
      <c r="BE41" s="23">
        <f>VALUE(0)</f>
        <v>0</v>
      </c>
      <c r="BF41" s="23">
        <f>VALUE(0)</f>
        <v>0</v>
      </c>
      <c r="BG41" s="23">
        <f>VALUE(0)</f>
        <v>0</v>
      </c>
      <c r="BH41" s="23">
        <f>VALUE(0)</f>
        <v>0</v>
      </c>
      <c r="BI41" s="23">
        <f>VALUE(0)</f>
        <v>0</v>
      </c>
      <c r="BJ41" s="23">
        <f>VALUE(0)</f>
        <v>0</v>
      </c>
      <c r="BK41" s="12">
        <f>$AX$41*24</f>
        <v>10.383333333333333</v>
      </c>
      <c r="BL41" s="12">
        <f>$AY$41*24</f>
        <v>0</v>
      </c>
      <c r="BM41" s="12">
        <f>$BJ$41*24</f>
        <v>0</v>
      </c>
      <c r="BN41" s="12">
        <f>VALUE($I$41)/100</f>
        <v>1</v>
      </c>
      <c r="BO41" s="12">
        <v>0</v>
      </c>
      <c r="BP41" s="12">
        <v>0</v>
      </c>
      <c r="BQ41" s="12">
        <v>0</v>
      </c>
      <c r="BR41" s="12">
        <v>0</v>
      </c>
      <c r="BS41" s="12">
        <v>0</v>
      </c>
      <c r="BT41" s="12">
        <v>0</v>
      </c>
      <c r="BU41" s="12">
        <v>0</v>
      </c>
      <c r="BV41" s="12">
        <v>0</v>
      </c>
      <c r="BW41" s="12">
        <v>0</v>
      </c>
      <c r="BX41" s="12">
        <v>0</v>
      </c>
      <c r="BY41" s="12">
        <v>0</v>
      </c>
      <c r="BZ41" s="12">
        <v>0</v>
      </c>
      <c r="CA41" s="12">
        <v>0</v>
      </c>
    </row>
    <row r="42" spans="1:79" hidden="1" x14ac:dyDescent="0.2">
      <c r="A42" s="12" t="s">
        <v>102</v>
      </c>
      <c r="B42" s="12" t="s">
        <v>105</v>
      </c>
      <c r="C42" s="12" t="s">
        <v>105</v>
      </c>
      <c r="D42" s="22" t="s">
        <v>231</v>
      </c>
      <c r="E42" s="22" t="s">
        <v>161</v>
      </c>
      <c r="F42" s="22" t="s">
        <v>652</v>
      </c>
      <c r="G42" s="22" t="s">
        <v>653</v>
      </c>
      <c r="H42" s="22" t="s">
        <v>150</v>
      </c>
      <c r="I42" s="22" t="s">
        <v>151</v>
      </c>
      <c r="J42" s="22" t="s">
        <v>181</v>
      </c>
      <c r="K42" s="22" t="s">
        <v>66</v>
      </c>
      <c r="L42" s="54" t="s">
        <v>153</v>
      </c>
      <c r="M42" s="24" t="s">
        <v>156</v>
      </c>
      <c r="N42" s="24" t="s">
        <v>153</v>
      </c>
      <c r="O42" s="28" t="s">
        <v>163</v>
      </c>
      <c r="P42" s="28" t="s">
        <v>163</v>
      </c>
      <c r="Q42" s="28" t="s">
        <v>163</v>
      </c>
      <c r="R42" s="28" t="s">
        <v>163</v>
      </c>
      <c r="S42" s="28" t="s">
        <v>163</v>
      </c>
      <c r="T42" s="28" t="s">
        <v>163</v>
      </c>
      <c r="U42" s="24" t="s">
        <v>153</v>
      </c>
      <c r="V42" s="54" t="s">
        <v>153</v>
      </c>
      <c r="W42" s="23" t="s">
        <v>153</v>
      </c>
      <c r="X42" s="23" t="s">
        <v>153</v>
      </c>
      <c r="Y42" s="23" t="s">
        <v>153</v>
      </c>
      <c r="Z42" s="23" t="s">
        <v>153</v>
      </c>
      <c r="AA42" s="24" t="s">
        <v>156</v>
      </c>
      <c r="AB42" s="24" t="s">
        <v>153</v>
      </c>
      <c r="AC42" s="23" t="s">
        <v>153</v>
      </c>
      <c r="AD42" s="23" t="s">
        <v>153</v>
      </c>
      <c r="AE42" s="23" t="s">
        <v>153</v>
      </c>
      <c r="AF42" s="23" t="s">
        <v>153</v>
      </c>
      <c r="AG42" s="23" t="s">
        <v>153</v>
      </c>
      <c r="AH42" s="24" t="s">
        <v>156</v>
      </c>
      <c r="AI42" s="24" t="s">
        <v>153</v>
      </c>
      <c r="AJ42" s="23" t="s">
        <v>153</v>
      </c>
      <c r="AK42" s="23" t="s">
        <v>153</v>
      </c>
      <c r="AL42" s="23" t="s">
        <v>153</v>
      </c>
      <c r="AM42" s="23" t="s">
        <v>153</v>
      </c>
      <c r="AN42" s="23" t="s">
        <v>153</v>
      </c>
      <c r="AO42" s="23" t="s">
        <v>153</v>
      </c>
      <c r="AP42" s="23">
        <f>VALUE(0)</f>
        <v>0</v>
      </c>
      <c r="AQ42" s="23">
        <f>VALUE(0)</f>
        <v>0</v>
      </c>
      <c r="AR42" s="23">
        <f>VALUE(0)</f>
        <v>0</v>
      </c>
      <c r="AS42" s="23">
        <f>VALUE(0)</f>
        <v>0</v>
      </c>
      <c r="AT42" s="23">
        <f>VALUE(0)</f>
        <v>0</v>
      </c>
      <c r="AU42" s="23">
        <f>VALUE(6)</f>
        <v>6</v>
      </c>
      <c r="AV42" s="23">
        <f>VALUE(6)</f>
        <v>6</v>
      </c>
      <c r="AW42" s="23">
        <f>VALUE(0)</f>
        <v>0</v>
      </c>
      <c r="AX42" s="23">
        <f>VALUE(0)</f>
        <v>0</v>
      </c>
      <c r="AY42" s="23" t="s">
        <v>235</v>
      </c>
      <c r="AZ42" s="23">
        <f>VALUE(0)</f>
        <v>0</v>
      </c>
      <c r="BA42" s="23">
        <f>VALUE(0)</f>
        <v>0</v>
      </c>
      <c r="BB42" s="23">
        <f>VALUE(0)</f>
        <v>0</v>
      </c>
      <c r="BC42" s="23">
        <f>VALUE(0)</f>
        <v>0</v>
      </c>
      <c r="BD42" s="23">
        <f>VALUE(0)</f>
        <v>0</v>
      </c>
      <c r="BE42" s="23">
        <f>VALUE(0)</f>
        <v>0</v>
      </c>
      <c r="BF42" s="23">
        <f>VALUE(0)</f>
        <v>0</v>
      </c>
      <c r="BG42" s="23">
        <f>VALUE(0)</f>
        <v>0</v>
      </c>
      <c r="BH42" s="23">
        <f>VALUE(0)</f>
        <v>0</v>
      </c>
      <c r="BI42" s="23">
        <f>VALUE(0)</f>
        <v>0</v>
      </c>
      <c r="BJ42" s="23">
        <f>VALUE(0)</f>
        <v>0</v>
      </c>
      <c r="BK42" s="12">
        <f>$AX$42*24</f>
        <v>0</v>
      </c>
      <c r="BL42" s="12">
        <f>$AY$42*24</f>
        <v>2.8</v>
      </c>
      <c r="BM42" s="12">
        <f>$BJ$42*24</f>
        <v>0</v>
      </c>
      <c r="BN42" s="12">
        <f>VALUE($I$42)/100</f>
        <v>1</v>
      </c>
      <c r="BO42" s="12">
        <v>0</v>
      </c>
      <c r="BP42" s="12">
        <v>0</v>
      </c>
      <c r="BQ42" s="12">
        <v>0</v>
      </c>
      <c r="BR42" s="12">
        <v>0</v>
      </c>
      <c r="BS42" s="12">
        <v>0</v>
      </c>
      <c r="BT42" s="12">
        <v>0</v>
      </c>
      <c r="BU42" s="12">
        <v>0</v>
      </c>
      <c r="BV42" s="12">
        <v>0</v>
      </c>
      <c r="BW42" s="12">
        <v>0</v>
      </c>
      <c r="BX42" s="12">
        <v>0</v>
      </c>
      <c r="BY42" s="12">
        <v>0</v>
      </c>
      <c r="BZ42" s="12">
        <v>0</v>
      </c>
      <c r="CA42" s="12">
        <v>0</v>
      </c>
    </row>
    <row r="43" spans="1:79" hidden="1" x14ac:dyDescent="0.2">
      <c r="A43" s="12" t="s">
        <v>102</v>
      </c>
      <c r="B43" s="12" t="s">
        <v>105</v>
      </c>
      <c r="C43" s="12" t="s">
        <v>105</v>
      </c>
      <c r="D43" s="22" t="s">
        <v>209</v>
      </c>
      <c r="E43" s="22" t="s">
        <v>161</v>
      </c>
      <c r="F43" s="22" t="s">
        <v>654</v>
      </c>
      <c r="G43" s="22" t="s">
        <v>655</v>
      </c>
      <c r="H43" s="22" t="s">
        <v>166</v>
      </c>
      <c r="I43" s="22" t="s">
        <v>151</v>
      </c>
      <c r="J43" s="22" t="s">
        <v>181</v>
      </c>
      <c r="K43" s="22" t="s">
        <v>66</v>
      </c>
      <c r="L43" s="54" t="s">
        <v>153</v>
      </c>
      <c r="M43" s="24" t="s">
        <v>156</v>
      </c>
      <c r="N43" s="24" t="s">
        <v>153</v>
      </c>
      <c r="O43" s="23" t="s">
        <v>153</v>
      </c>
      <c r="P43" s="23" t="s">
        <v>153</v>
      </c>
      <c r="Q43" s="23" t="s">
        <v>153</v>
      </c>
      <c r="R43" s="23" t="s">
        <v>153</v>
      </c>
      <c r="S43" s="23" t="s">
        <v>153</v>
      </c>
      <c r="T43" s="23" t="s">
        <v>153</v>
      </c>
      <c r="U43" s="24" t="s">
        <v>153</v>
      </c>
      <c r="V43" s="54" t="s">
        <v>153</v>
      </c>
      <c r="W43" s="23" t="s">
        <v>153</v>
      </c>
      <c r="X43" s="23" t="s">
        <v>153</v>
      </c>
      <c r="Y43" s="23" t="s">
        <v>153</v>
      </c>
      <c r="Z43" s="23" t="s">
        <v>153</v>
      </c>
      <c r="AA43" s="24" t="s">
        <v>156</v>
      </c>
      <c r="AB43" s="24" t="s">
        <v>153</v>
      </c>
      <c r="AC43" s="23" t="s">
        <v>153</v>
      </c>
      <c r="AD43" s="23" t="s">
        <v>153</v>
      </c>
      <c r="AE43" s="23" t="s">
        <v>153</v>
      </c>
      <c r="AF43" s="23" t="s">
        <v>153</v>
      </c>
      <c r="AG43" s="23" t="s">
        <v>153</v>
      </c>
      <c r="AH43" s="24" t="s">
        <v>156</v>
      </c>
      <c r="AI43" s="24" t="s">
        <v>153</v>
      </c>
      <c r="AJ43" s="23" t="s">
        <v>153</v>
      </c>
      <c r="AK43" s="23" t="s">
        <v>153</v>
      </c>
      <c r="AL43" s="23" t="s">
        <v>153</v>
      </c>
      <c r="AM43" s="23" t="s">
        <v>153</v>
      </c>
      <c r="AN43" s="23" t="s">
        <v>153</v>
      </c>
      <c r="AO43" s="23" t="s">
        <v>153</v>
      </c>
      <c r="AP43" s="23">
        <f>VALUE(0)</f>
        <v>0</v>
      </c>
      <c r="AQ43" s="23">
        <f>VALUE(0)</f>
        <v>0</v>
      </c>
      <c r="AR43" s="23">
        <f>VALUE(0)</f>
        <v>0</v>
      </c>
      <c r="AS43" s="23">
        <f>VALUE(0)</f>
        <v>0</v>
      </c>
      <c r="AT43" s="23">
        <f>VALUE(0)</f>
        <v>0</v>
      </c>
      <c r="AU43" s="23">
        <f>VALUE(0)</f>
        <v>0</v>
      </c>
      <c r="AV43" s="23">
        <f>VALUE(8.5)</f>
        <v>8.5</v>
      </c>
      <c r="AW43" s="23">
        <f>VALUE(0)</f>
        <v>0</v>
      </c>
      <c r="AX43" s="23" t="s">
        <v>236</v>
      </c>
      <c r="AY43" s="23">
        <f>VALUE(0)</f>
        <v>0</v>
      </c>
      <c r="AZ43" s="23">
        <f>VALUE(0)</f>
        <v>0</v>
      </c>
      <c r="BA43" s="23">
        <f>VALUE(0)</f>
        <v>0</v>
      </c>
      <c r="BB43" s="23">
        <f>VALUE(0)</f>
        <v>0</v>
      </c>
      <c r="BC43" s="23">
        <f>VALUE(0)</f>
        <v>0</v>
      </c>
      <c r="BD43" s="23">
        <f>VALUE(0)</f>
        <v>0</v>
      </c>
      <c r="BE43" s="23">
        <f>VALUE(0)</f>
        <v>0</v>
      </c>
      <c r="BF43" s="23">
        <f>VALUE(0)</f>
        <v>0</v>
      </c>
      <c r="BG43" s="23">
        <f>VALUE(0)</f>
        <v>0</v>
      </c>
      <c r="BH43" s="23">
        <f>VALUE(0)</f>
        <v>0</v>
      </c>
      <c r="BI43" s="23">
        <f>VALUE(0)</f>
        <v>0</v>
      </c>
      <c r="BJ43" s="23">
        <f>VALUE(0)</f>
        <v>0</v>
      </c>
      <c r="BK43" s="12">
        <f>$AX$43*24</f>
        <v>12.666666666666668</v>
      </c>
      <c r="BL43" s="12">
        <f>$AY$43*24</f>
        <v>0</v>
      </c>
      <c r="BM43" s="12">
        <f>$BJ$43*24</f>
        <v>0</v>
      </c>
      <c r="BN43" s="12">
        <f>VALUE($I$43)/100</f>
        <v>1</v>
      </c>
      <c r="BO43" s="12">
        <v>0</v>
      </c>
      <c r="BP43" s="12">
        <v>0</v>
      </c>
      <c r="BQ43" s="12">
        <v>0</v>
      </c>
      <c r="BR43" s="12">
        <v>0</v>
      </c>
      <c r="BS43" s="12">
        <v>0</v>
      </c>
      <c r="BT43" s="12">
        <v>0</v>
      </c>
      <c r="BU43" s="12">
        <v>0</v>
      </c>
      <c r="BV43" s="12">
        <v>0</v>
      </c>
      <c r="BW43" s="12">
        <v>0</v>
      </c>
      <c r="BX43" s="12">
        <v>0</v>
      </c>
      <c r="BY43" s="12">
        <v>0</v>
      </c>
      <c r="BZ43" s="12">
        <v>0</v>
      </c>
      <c r="CA43" s="12">
        <v>0</v>
      </c>
    </row>
    <row r="44" spans="1:79" ht="16.5" hidden="1" x14ac:dyDescent="0.2">
      <c r="A44" s="12" t="s">
        <v>102</v>
      </c>
      <c r="B44" s="12" t="s">
        <v>105</v>
      </c>
      <c r="C44" s="12" t="s">
        <v>105</v>
      </c>
      <c r="D44" s="22" t="s">
        <v>237</v>
      </c>
      <c r="E44" s="22" t="s">
        <v>173</v>
      </c>
      <c r="F44" s="22" t="s">
        <v>656</v>
      </c>
      <c r="G44" s="22" t="s">
        <v>657</v>
      </c>
      <c r="H44" s="22" t="s">
        <v>166</v>
      </c>
      <c r="I44" s="22" t="s">
        <v>151</v>
      </c>
      <c r="J44" s="22" t="s">
        <v>181</v>
      </c>
      <c r="K44" s="22" t="s">
        <v>66</v>
      </c>
      <c r="L44" s="54" t="s">
        <v>153</v>
      </c>
      <c r="M44" s="34" t="s">
        <v>229</v>
      </c>
      <c r="N44" s="24" t="s">
        <v>153</v>
      </c>
      <c r="O44" s="23" t="s">
        <v>231</v>
      </c>
      <c r="P44" s="23" t="s">
        <v>231</v>
      </c>
      <c r="Q44" s="23" t="s">
        <v>231</v>
      </c>
      <c r="R44" s="23" t="s">
        <v>231</v>
      </c>
      <c r="S44" s="23" t="s">
        <v>231</v>
      </c>
      <c r="T44" s="23" t="s">
        <v>231</v>
      </c>
      <c r="U44" s="24" t="s">
        <v>153</v>
      </c>
      <c r="V44" s="54" t="s">
        <v>153</v>
      </c>
      <c r="W44" s="26" t="s">
        <v>1181</v>
      </c>
      <c r="X44" s="26" t="s">
        <v>1181</v>
      </c>
      <c r="Y44" s="33" t="s">
        <v>201</v>
      </c>
      <c r="Z44" s="26" t="s">
        <v>1181</v>
      </c>
      <c r="AA44" s="24" t="s">
        <v>156</v>
      </c>
      <c r="AB44" s="24" t="s">
        <v>153</v>
      </c>
      <c r="AC44" s="26" t="s">
        <v>1181</v>
      </c>
      <c r="AD44" s="26" t="s">
        <v>1181</v>
      </c>
      <c r="AE44" s="26" t="s">
        <v>1181</v>
      </c>
      <c r="AF44" s="26" t="s">
        <v>1181</v>
      </c>
      <c r="AG44" s="26" t="s">
        <v>1181</v>
      </c>
      <c r="AH44" s="24" t="s">
        <v>156</v>
      </c>
      <c r="AI44" s="24" t="s">
        <v>153</v>
      </c>
      <c r="AJ44" s="28" t="s">
        <v>163</v>
      </c>
      <c r="AK44" s="28" t="s">
        <v>163</v>
      </c>
      <c r="AL44" s="28" t="s">
        <v>163</v>
      </c>
      <c r="AM44" s="28" t="s">
        <v>163</v>
      </c>
      <c r="AN44" s="28" t="s">
        <v>163</v>
      </c>
      <c r="AO44" s="28" t="s">
        <v>163</v>
      </c>
      <c r="AP44" s="23">
        <f>VALUE(4)</f>
        <v>4</v>
      </c>
      <c r="AQ44" s="23">
        <f>VALUE(0)</f>
        <v>0</v>
      </c>
      <c r="AR44" s="23">
        <f>VALUE(0)</f>
        <v>0</v>
      </c>
      <c r="AS44" s="23">
        <f>VALUE(0)</f>
        <v>0</v>
      </c>
      <c r="AT44" s="23">
        <f>VALUE(0)</f>
        <v>0</v>
      </c>
      <c r="AU44" s="23">
        <f>VALUE(6)</f>
        <v>6</v>
      </c>
      <c r="AV44" s="23">
        <f>VALUE(6.5)</f>
        <v>6.5</v>
      </c>
      <c r="AW44" s="23">
        <f>VALUE(0)</f>
        <v>0</v>
      </c>
      <c r="AX44" s="23" t="s">
        <v>1182</v>
      </c>
      <c r="AY44" s="23">
        <f>VALUE(0)</f>
        <v>0</v>
      </c>
      <c r="AZ44" s="23">
        <f>VALUE(0)</f>
        <v>0</v>
      </c>
      <c r="BA44" s="23">
        <f>VALUE(0)</f>
        <v>0</v>
      </c>
      <c r="BB44" s="23">
        <f>VALUE(1)</f>
        <v>1</v>
      </c>
      <c r="BC44" s="23">
        <f>VALUE(0)</f>
        <v>0</v>
      </c>
      <c r="BD44" s="23">
        <f>VALUE(0)</f>
        <v>0</v>
      </c>
      <c r="BE44" s="23">
        <f>VALUE(0)</f>
        <v>0</v>
      </c>
      <c r="BF44" s="23">
        <f>VALUE(0)</f>
        <v>0</v>
      </c>
      <c r="BG44" s="23">
        <f>VALUE(0)</f>
        <v>0</v>
      </c>
      <c r="BH44" s="23">
        <f>VALUE(0)</f>
        <v>0</v>
      </c>
      <c r="BI44" s="23">
        <f>VALUE(0)</f>
        <v>0</v>
      </c>
      <c r="BJ44" s="23">
        <f>VALUE(0)</f>
        <v>0</v>
      </c>
      <c r="BK44" s="12">
        <f>$AX$44*24</f>
        <v>78.11666666666666</v>
      </c>
      <c r="BL44" s="12">
        <f>$AY$44*24</f>
        <v>0</v>
      </c>
      <c r="BM44" s="12">
        <f>$BJ$44*24</f>
        <v>0</v>
      </c>
      <c r="BN44" s="12">
        <f>VALUE($I$44)/100</f>
        <v>1</v>
      </c>
      <c r="BO44" s="12">
        <v>0</v>
      </c>
      <c r="BP44" s="12">
        <v>0</v>
      </c>
      <c r="BQ44" s="12">
        <v>0</v>
      </c>
      <c r="BR44" s="12">
        <v>0</v>
      </c>
      <c r="BS44" s="12">
        <v>0</v>
      </c>
      <c r="BT44" s="12">
        <v>0</v>
      </c>
      <c r="BU44" s="12">
        <v>0</v>
      </c>
      <c r="BV44" s="12">
        <v>0</v>
      </c>
      <c r="BW44" s="12">
        <v>0</v>
      </c>
      <c r="BX44" s="12">
        <v>0</v>
      </c>
      <c r="BY44" s="12">
        <v>0</v>
      </c>
      <c r="BZ44" s="12">
        <v>0</v>
      </c>
      <c r="CA44" s="12">
        <v>0</v>
      </c>
    </row>
    <row r="45" spans="1:79" hidden="1" x14ac:dyDescent="0.2">
      <c r="A45" s="12" t="s">
        <v>102</v>
      </c>
      <c r="B45" s="12" t="s">
        <v>105</v>
      </c>
      <c r="C45" s="12" t="s">
        <v>105</v>
      </c>
      <c r="D45" s="22" t="s">
        <v>238</v>
      </c>
      <c r="E45" s="22" t="s">
        <v>159</v>
      </c>
      <c r="F45" s="22" t="s">
        <v>658</v>
      </c>
      <c r="G45" s="22" t="s">
        <v>659</v>
      </c>
      <c r="H45" s="22" t="s">
        <v>166</v>
      </c>
      <c r="I45" s="22" t="s">
        <v>151</v>
      </c>
      <c r="J45" s="22" t="s">
        <v>181</v>
      </c>
      <c r="K45" s="22" t="s">
        <v>66</v>
      </c>
      <c r="L45" s="54" t="s">
        <v>153</v>
      </c>
      <c r="M45" s="32" t="s">
        <v>188</v>
      </c>
      <c r="N45" s="24" t="s">
        <v>153</v>
      </c>
      <c r="O45" s="32" t="s">
        <v>188</v>
      </c>
      <c r="P45" s="32" t="s">
        <v>188</v>
      </c>
      <c r="Q45" s="32" t="s">
        <v>188</v>
      </c>
      <c r="R45" s="32" t="s">
        <v>188</v>
      </c>
      <c r="S45" s="32" t="s">
        <v>188</v>
      </c>
      <c r="T45" s="32" t="s">
        <v>188</v>
      </c>
      <c r="U45" s="24" t="s">
        <v>153</v>
      </c>
      <c r="V45" s="54" t="s">
        <v>153</v>
      </c>
      <c r="W45" s="32" t="s">
        <v>188</v>
      </c>
      <c r="X45" s="32" t="s">
        <v>188</v>
      </c>
      <c r="Y45" s="32" t="s">
        <v>188</v>
      </c>
      <c r="Z45" s="32" t="s">
        <v>188</v>
      </c>
      <c r="AA45" s="32" t="s">
        <v>188</v>
      </c>
      <c r="AB45" s="24" t="s">
        <v>153</v>
      </c>
      <c r="AC45" s="32" t="s">
        <v>188</v>
      </c>
      <c r="AD45" s="32" t="s">
        <v>188</v>
      </c>
      <c r="AE45" s="32" t="s">
        <v>188</v>
      </c>
      <c r="AF45" s="32" t="s">
        <v>188</v>
      </c>
      <c r="AG45" s="32" t="s">
        <v>188</v>
      </c>
      <c r="AH45" s="32" t="s">
        <v>188</v>
      </c>
      <c r="AI45" s="24" t="s">
        <v>153</v>
      </c>
      <c r="AJ45" s="32" t="s">
        <v>188</v>
      </c>
      <c r="AK45" s="32" t="s">
        <v>188</v>
      </c>
      <c r="AL45" s="32" t="s">
        <v>188</v>
      </c>
      <c r="AM45" s="32" t="s">
        <v>188</v>
      </c>
      <c r="AN45" s="32" t="s">
        <v>188</v>
      </c>
      <c r="AO45" s="32" t="s">
        <v>188</v>
      </c>
      <c r="AP45" s="23">
        <f>VALUE(0)</f>
        <v>0</v>
      </c>
      <c r="AQ45" s="23">
        <f>VALUE(0)</f>
        <v>0</v>
      </c>
      <c r="AR45" s="23">
        <f>VALUE(0)</f>
        <v>0</v>
      </c>
      <c r="AS45" s="23">
        <f>VALUE(0)</f>
        <v>0</v>
      </c>
      <c r="AT45" s="23">
        <f>VALUE(0)</f>
        <v>0</v>
      </c>
      <c r="AU45" s="23">
        <f>VALUE(0)</f>
        <v>0</v>
      </c>
      <c r="AV45" s="23">
        <f>VALUE(32)</f>
        <v>32</v>
      </c>
      <c r="AW45" s="23">
        <f>VALUE(3)</f>
        <v>3</v>
      </c>
      <c r="AX45" s="23" t="s">
        <v>239</v>
      </c>
      <c r="AY45" s="23">
        <f>VALUE(0)</f>
        <v>0</v>
      </c>
      <c r="AZ45" s="23">
        <f>VALUE(0)</f>
        <v>0</v>
      </c>
      <c r="BA45" s="23">
        <f>VALUE(0)</f>
        <v>0</v>
      </c>
      <c r="BB45" s="23">
        <f>VALUE(0)</f>
        <v>0</v>
      </c>
      <c r="BC45" s="23">
        <f>VALUE(0)</f>
        <v>0</v>
      </c>
      <c r="BD45" s="23">
        <f>VALUE(0)</f>
        <v>0</v>
      </c>
      <c r="BE45" s="23">
        <f>VALUE(0)</f>
        <v>0</v>
      </c>
      <c r="BF45" s="23">
        <f>VALUE(0)</f>
        <v>0</v>
      </c>
      <c r="BG45" s="23">
        <f>VALUE(0)</f>
        <v>0</v>
      </c>
      <c r="BH45" s="23">
        <f>VALUE(24)</f>
        <v>24</v>
      </c>
      <c r="BI45" s="23">
        <f>VALUE(0)</f>
        <v>0</v>
      </c>
      <c r="BJ45" s="23">
        <f>VALUE(0)</f>
        <v>0</v>
      </c>
      <c r="BK45" s="12">
        <f>$AX$45*24</f>
        <v>17.95</v>
      </c>
      <c r="BL45" s="12">
        <f>$AY$45*24</f>
        <v>0</v>
      </c>
      <c r="BM45" s="12">
        <f>$BJ$45*24</f>
        <v>0</v>
      </c>
      <c r="BN45" s="12">
        <f>VALUE($I$45)/100</f>
        <v>1</v>
      </c>
      <c r="BO45" s="12">
        <v>0</v>
      </c>
      <c r="BP45" s="12">
        <v>0</v>
      </c>
      <c r="BQ45" s="12">
        <v>0</v>
      </c>
      <c r="BR45" s="12">
        <v>0</v>
      </c>
      <c r="BS45" s="12">
        <v>0</v>
      </c>
      <c r="BT45" s="12">
        <v>0</v>
      </c>
      <c r="BU45" s="12">
        <v>0</v>
      </c>
      <c r="BV45" s="12">
        <v>0</v>
      </c>
      <c r="BW45" s="12">
        <v>0</v>
      </c>
      <c r="BX45" s="12">
        <v>0</v>
      </c>
      <c r="BY45" s="12">
        <v>0</v>
      </c>
      <c r="BZ45" s="12">
        <v>0</v>
      </c>
      <c r="CA45" s="12">
        <v>0</v>
      </c>
    </row>
    <row r="46" spans="1:79" hidden="1" x14ac:dyDescent="0.2">
      <c r="A46" s="12" t="s">
        <v>102</v>
      </c>
      <c r="B46" s="12" t="s">
        <v>105</v>
      </c>
      <c r="C46" s="12" t="s">
        <v>105</v>
      </c>
      <c r="D46" s="22" t="s">
        <v>240</v>
      </c>
      <c r="E46" s="22" t="s">
        <v>159</v>
      </c>
      <c r="F46" s="22" t="s">
        <v>660</v>
      </c>
      <c r="G46" s="22" t="s">
        <v>661</v>
      </c>
      <c r="H46" s="22" t="s">
        <v>166</v>
      </c>
      <c r="I46" s="22" t="s">
        <v>151</v>
      </c>
      <c r="J46" s="22" t="s">
        <v>181</v>
      </c>
      <c r="K46" s="22" t="s">
        <v>66</v>
      </c>
      <c r="L46" s="54" t="s">
        <v>153</v>
      </c>
      <c r="M46" s="23" t="s">
        <v>228</v>
      </c>
      <c r="N46" s="24" t="s">
        <v>153</v>
      </c>
      <c r="O46" s="23" t="s">
        <v>228</v>
      </c>
      <c r="P46" s="23" t="s">
        <v>228</v>
      </c>
      <c r="Q46" s="23" t="s">
        <v>228</v>
      </c>
      <c r="R46" s="23" t="s">
        <v>228</v>
      </c>
      <c r="S46" s="23" t="s">
        <v>228</v>
      </c>
      <c r="T46" s="24" t="s">
        <v>156</v>
      </c>
      <c r="U46" s="24" t="s">
        <v>153</v>
      </c>
      <c r="V46" s="54" t="s">
        <v>153</v>
      </c>
      <c r="W46" s="23" t="s">
        <v>216</v>
      </c>
      <c r="X46" s="23" t="s">
        <v>216</v>
      </c>
      <c r="Y46" s="23" t="s">
        <v>216</v>
      </c>
      <c r="Z46" s="23" t="s">
        <v>216</v>
      </c>
      <c r="AA46" s="24" t="s">
        <v>156</v>
      </c>
      <c r="AB46" s="24" t="s">
        <v>153</v>
      </c>
      <c r="AC46" s="23" t="s">
        <v>153</v>
      </c>
      <c r="AD46" s="23" t="s">
        <v>153</v>
      </c>
      <c r="AE46" s="23" t="s">
        <v>153</v>
      </c>
      <c r="AF46" s="23" t="s">
        <v>153</v>
      </c>
      <c r="AG46" s="23" t="s">
        <v>153</v>
      </c>
      <c r="AH46" s="23" t="s">
        <v>153</v>
      </c>
      <c r="AI46" s="24" t="s">
        <v>153</v>
      </c>
      <c r="AJ46" s="23" t="s">
        <v>153</v>
      </c>
      <c r="AK46" s="23" t="s">
        <v>153</v>
      </c>
      <c r="AL46" s="23" t="s">
        <v>153</v>
      </c>
      <c r="AM46" s="23" t="s">
        <v>153</v>
      </c>
      <c r="AN46" s="23" t="s">
        <v>153</v>
      </c>
      <c r="AO46" s="24" t="s">
        <v>156</v>
      </c>
      <c r="AP46" s="23">
        <f>VALUE(0)</f>
        <v>0</v>
      </c>
      <c r="AQ46" s="23">
        <f>VALUE(0)</f>
        <v>0</v>
      </c>
      <c r="AR46" s="23">
        <f>VALUE(0)</f>
        <v>0</v>
      </c>
      <c r="AS46" s="23">
        <f>VALUE(11)</f>
        <v>11</v>
      </c>
      <c r="AT46" s="23">
        <f>VALUE(0)</f>
        <v>0</v>
      </c>
      <c r="AU46" s="23">
        <f>VALUE(0)</f>
        <v>0</v>
      </c>
      <c r="AV46" s="23">
        <f>VALUE(9)</f>
        <v>9</v>
      </c>
      <c r="AW46" s="23">
        <f>VALUE(0)</f>
        <v>0</v>
      </c>
      <c r="AX46" s="23" t="s">
        <v>241</v>
      </c>
      <c r="AY46" s="23">
        <f>VALUE(0)</f>
        <v>0</v>
      </c>
      <c r="AZ46" s="23">
        <f>VALUE(0)</f>
        <v>0</v>
      </c>
      <c r="BA46" s="23">
        <f>VALUE(0)</f>
        <v>0</v>
      </c>
      <c r="BB46" s="23">
        <f>VALUE(0)</f>
        <v>0</v>
      </c>
      <c r="BC46" s="23">
        <f>VALUE(0)</f>
        <v>0</v>
      </c>
      <c r="BD46" s="23">
        <f>VALUE(0)</f>
        <v>0</v>
      </c>
      <c r="BE46" s="23">
        <f>VALUE(0)</f>
        <v>0</v>
      </c>
      <c r="BF46" s="23">
        <f>VALUE(0)</f>
        <v>0</v>
      </c>
      <c r="BG46" s="23">
        <f>VALUE(0)</f>
        <v>0</v>
      </c>
      <c r="BH46" s="23">
        <f>VALUE(0)</f>
        <v>0</v>
      </c>
      <c r="BI46" s="23">
        <f>VALUE(0)</f>
        <v>0</v>
      </c>
      <c r="BJ46" s="23">
        <f>VALUE(0)</f>
        <v>0</v>
      </c>
      <c r="BK46" s="12">
        <f>$AX$46*24</f>
        <v>24.133333333333333</v>
      </c>
      <c r="BL46" s="12">
        <f>$AY$46*24</f>
        <v>0</v>
      </c>
      <c r="BM46" s="12">
        <f>$BJ$46*24</f>
        <v>0</v>
      </c>
      <c r="BN46" s="12">
        <f>VALUE($I$46)/100</f>
        <v>1</v>
      </c>
      <c r="BO46" s="12">
        <v>0</v>
      </c>
      <c r="BP46" s="12">
        <v>0</v>
      </c>
      <c r="BQ46" s="12">
        <v>0</v>
      </c>
      <c r="BR46" s="12">
        <v>0</v>
      </c>
      <c r="BS46" s="12">
        <v>0</v>
      </c>
      <c r="BT46" s="12">
        <v>0</v>
      </c>
      <c r="BU46" s="12">
        <v>0</v>
      </c>
      <c r="BV46" s="12">
        <v>0</v>
      </c>
      <c r="BW46" s="12">
        <v>0</v>
      </c>
      <c r="BX46" s="12">
        <v>0</v>
      </c>
      <c r="BY46" s="12">
        <v>0</v>
      </c>
      <c r="BZ46" s="12">
        <v>0</v>
      </c>
      <c r="CA46" s="12">
        <v>0</v>
      </c>
    </row>
    <row r="47" spans="1:79" ht="15" hidden="1" x14ac:dyDescent="0.25">
      <c r="A47" s="12" t="s">
        <v>102</v>
      </c>
      <c r="B47" s="12" t="s">
        <v>105</v>
      </c>
      <c r="C47" s="12" t="s">
        <v>105</v>
      </c>
      <c r="D47" s="31" t="s">
        <v>1183</v>
      </c>
      <c r="E47" s="31" t="s">
        <v>153</v>
      </c>
      <c r="F47" s="31" t="s">
        <v>175</v>
      </c>
      <c r="G47" s="31" t="s">
        <v>153</v>
      </c>
      <c r="H47" s="31" t="s">
        <v>153</v>
      </c>
      <c r="I47" s="31" t="s">
        <v>153</v>
      </c>
      <c r="J47" s="31" t="s">
        <v>153</v>
      </c>
      <c r="K47" s="31" t="s">
        <v>153</v>
      </c>
      <c r="L47" s="31">
        <f>VALUE(0)</f>
        <v>0</v>
      </c>
      <c r="M47" s="31">
        <f>VALUE(3)</f>
        <v>3</v>
      </c>
      <c r="N47" s="31">
        <f>VALUE(0)</f>
        <v>0</v>
      </c>
      <c r="O47" s="31">
        <f>VALUE(15)</f>
        <v>15</v>
      </c>
      <c r="P47" s="31">
        <f>VALUE(14)</f>
        <v>14</v>
      </c>
      <c r="Q47" s="31">
        <f>VALUE(16)</f>
        <v>16</v>
      </c>
      <c r="R47" s="31">
        <f>VALUE(17)</f>
        <v>17</v>
      </c>
      <c r="S47" s="31">
        <f>VALUE(15)</f>
        <v>15</v>
      </c>
      <c r="T47" s="31">
        <f>VALUE(7)</f>
        <v>7</v>
      </c>
      <c r="U47" s="31">
        <f>VALUE(0)</f>
        <v>0</v>
      </c>
      <c r="V47" s="31">
        <f>VALUE(0)</f>
        <v>0</v>
      </c>
      <c r="W47" s="31">
        <f>VALUE(18)</f>
        <v>18</v>
      </c>
      <c r="X47" s="31">
        <f>VALUE(17)</f>
        <v>17</v>
      </c>
      <c r="Y47" s="31">
        <f>VALUE(15)</f>
        <v>15</v>
      </c>
      <c r="Z47" s="31">
        <f>VALUE(16)</f>
        <v>16</v>
      </c>
      <c r="AA47" s="31">
        <f>VALUE(5)</f>
        <v>5</v>
      </c>
      <c r="AB47" s="31">
        <f>VALUE(0)</f>
        <v>0</v>
      </c>
      <c r="AC47" s="31">
        <f>VALUE(18)</f>
        <v>18</v>
      </c>
      <c r="AD47" s="31">
        <f>VALUE(17)</f>
        <v>17</v>
      </c>
      <c r="AE47" s="31">
        <f>VALUE(17)</f>
        <v>17</v>
      </c>
      <c r="AF47" s="31">
        <f>VALUE(18)</f>
        <v>18</v>
      </c>
      <c r="AG47" s="31">
        <f>VALUE(15)</f>
        <v>15</v>
      </c>
      <c r="AH47" s="31">
        <f>VALUE(5)</f>
        <v>5</v>
      </c>
      <c r="AI47" s="31">
        <f>VALUE(0)</f>
        <v>0</v>
      </c>
      <c r="AJ47" s="31">
        <f>VALUE(16)</f>
        <v>16</v>
      </c>
      <c r="AK47" s="31">
        <f>VALUE(16)</f>
        <v>16</v>
      </c>
      <c r="AL47" s="31">
        <f>VALUE(14)</f>
        <v>14</v>
      </c>
      <c r="AM47" s="31">
        <f>VALUE(17)</f>
        <v>17</v>
      </c>
      <c r="AN47" s="31">
        <f>VALUE(16)</f>
        <v>16</v>
      </c>
      <c r="AO47" s="31">
        <f>VALUE(6)</f>
        <v>6</v>
      </c>
      <c r="AP47" s="31">
        <v>0</v>
      </c>
      <c r="AQ47" s="31">
        <v>0</v>
      </c>
      <c r="AR47" s="31">
        <v>0</v>
      </c>
      <c r="AS47" s="31">
        <v>0</v>
      </c>
      <c r="AT47" s="31">
        <v>0</v>
      </c>
      <c r="AU47" s="31">
        <v>0</v>
      </c>
      <c r="AV47" s="31">
        <v>0</v>
      </c>
      <c r="AW47" s="31">
        <v>0</v>
      </c>
      <c r="AX47" s="31">
        <v>0</v>
      </c>
      <c r="AY47" s="31">
        <v>0</v>
      </c>
      <c r="AZ47" s="31">
        <v>0</v>
      </c>
      <c r="BA47" s="31">
        <v>0</v>
      </c>
      <c r="BB47" s="31">
        <v>0</v>
      </c>
      <c r="BC47" s="31">
        <v>0</v>
      </c>
      <c r="BD47" s="31">
        <v>0</v>
      </c>
      <c r="BE47" s="31">
        <v>0</v>
      </c>
      <c r="BF47" s="31">
        <v>0</v>
      </c>
      <c r="BG47" s="31">
        <v>0</v>
      </c>
      <c r="BH47" s="31">
        <v>0</v>
      </c>
      <c r="BI47" s="31">
        <v>0</v>
      </c>
      <c r="BJ47" s="31">
        <v>0</v>
      </c>
      <c r="BK47" s="12">
        <v>0</v>
      </c>
      <c r="BL47" s="12">
        <v>0</v>
      </c>
      <c r="BM47" s="12">
        <v>0</v>
      </c>
      <c r="BN47" s="12"/>
      <c r="BO47" s="12">
        <v>0</v>
      </c>
      <c r="BP47" s="12">
        <v>0</v>
      </c>
      <c r="BQ47" s="12">
        <v>0</v>
      </c>
      <c r="BR47" s="12">
        <v>0</v>
      </c>
      <c r="BS47" s="12">
        <v>0</v>
      </c>
      <c r="BT47" s="12">
        <v>0</v>
      </c>
      <c r="BU47" s="12">
        <v>0</v>
      </c>
      <c r="BV47" s="12">
        <v>0</v>
      </c>
      <c r="BW47" s="12">
        <v>0</v>
      </c>
      <c r="BX47" s="12">
        <v>0</v>
      </c>
      <c r="BY47" s="12">
        <v>0</v>
      </c>
      <c r="BZ47" s="12">
        <v>0</v>
      </c>
      <c r="CA47" s="12">
        <v>0</v>
      </c>
    </row>
    <row r="48" spans="1:79" hidden="1" x14ac:dyDescent="0.2">
      <c r="A48" s="12" t="s">
        <v>102</v>
      </c>
      <c r="B48" s="12" t="s">
        <v>106</v>
      </c>
      <c r="C48" s="12" t="s">
        <v>106</v>
      </c>
      <c r="D48" s="22" t="s">
        <v>243</v>
      </c>
      <c r="E48" s="22" t="s">
        <v>173</v>
      </c>
      <c r="F48" s="22" t="s">
        <v>662</v>
      </c>
      <c r="G48" s="22" t="s">
        <v>663</v>
      </c>
      <c r="H48" s="22" t="s">
        <v>150</v>
      </c>
      <c r="I48" s="22" t="s">
        <v>151</v>
      </c>
      <c r="J48" s="22" t="s">
        <v>162</v>
      </c>
      <c r="K48" s="22" t="s">
        <v>67</v>
      </c>
      <c r="L48" s="54" t="s">
        <v>153</v>
      </c>
      <c r="M48" s="24" t="s">
        <v>153</v>
      </c>
      <c r="N48" s="24" t="s">
        <v>153</v>
      </c>
      <c r="O48" s="23" t="s">
        <v>153</v>
      </c>
      <c r="P48" s="23" t="s">
        <v>153</v>
      </c>
      <c r="Q48" s="23" t="s">
        <v>153</v>
      </c>
      <c r="R48" s="23" t="s">
        <v>153</v>
      </c>
      <c r="S48" s="23" t="s">
        <v>153</v>
      </c>
      <c r="T48" s="24" t="s">
        <v>153</v>
      </c>
      <c r="U48" s="24" t="s">
        <v>153</v>
      </c>
      <c r="V48" s="54" t="s">
        <v>153</v>
      </c>
      <c r="W48" s="23" t="s">
        <v>153</v>
      </c>
      <c r="X48" s="23" t="s">
        <v>153</v>
      </c>
      <c r="Y48" s="23" t="s">
        <v>153</v>
      </c>
      <c r="Z48" s="23" t="s">
        <v>153</v>
      </c>
      <c r="AA48" s="24" t="s">
        <v>153</v>
      </c>
      <c r="AB48" s="24" t="s">
        <v>153</v>
      </c>
      <c r="AC48" s="23" t="s">
        <v>153</v>
      </c>
      <c r="AD48" s="23" t="s">
        <v>153</v>
      </c>
      <c r="AE48" s="23" t="s">
        <v>153</v>
      </c>
      <c r="AF48" s="23" t="s">
        <v>153</v>
      </c>
      <c r="AG48" s="23" t="s">
        <v>153</v>
      </c>
      <c r="AH48" s="24" t="s">
        <v>153</v>
      </c>
      <c r="AI48" s="24" t="s">
        <v>153</v>
      </c>
      <c r="AJ48" s="23" t="s">
        <v>153</v>
      </c>
      <c r="AK48" s="23" t="s">
        <v>153</v>
      </c>
      <c r="AL48" s="23" t="s">
        <v>153</v>
      </c>
      <c r="AM48" s="23" t="s">
        <v>153</v>
      </c>
      <c r="AN48" s="23" t="s">
        <v>153</v>
      </c>
      <c r="AO48" s="24" t="s">
        <v>153</v>
      </c>
      <c r="AP48" s="23">
        <f>VALUE(0)</f>
        <v>0</v>
      </c>
      <c r="AQ48" s="23">
        <f>VALUE(0)</f>
        <v>0</v>
      </c>
      <c r="AR48" s="23">
        <f>VALUE(0)</f>
        <v>0</v>
      </c>
      <c r="AS48" s="23">
        <f>VALUE(0)</f>
        <v>0</v>
      </c>
      <c r="AT48" s="23">
        <f>VALUE(0)</f>
        <v>0</v>
      </c>
      <c r="AU48" s="23">
        <f>VALUE(0)</f>
        <v>0</v>
      </c>
      <c r="AV48" s="23">
        <f>VALUE(1)</f>
        <v>1</v>
      </c>
      <c r="AW48" s="23">
        <f>VALUE(0)</f>
        <v>0</v>
      </c>
      <c r="AX48" s="23" t="s">
        <v>158</v>
      </c>
      <c r="AY48" s="23" t="s">
        <v>244</v>
      </c>
      <c r="AZ48" s="23">
        <f>VALUE(0)</f>
        <v>0</v>
      </c>
      <c r="BA48" s="23">
        <f>VALUE(0)</f>
        <v>0</v>
      </c>
      <c r="BB48" s="23">
        <f>VALUE(0)</f>
        <v>0</v>
      </c>
      <c r="BC48" s="23">
        <f>VALUE(0)</f>
        <v>0</v>
      </c>
      <c r="BD48" s="23">
        <f>VALUE(0)</f>
        <v>0</v>
      </c>
      <c r="BE48" s="23">
        <f>VALUE(0)</f>
        <v>0</v>
      </c>
      <c r="BF48" s="23">
        <f>VALUE(0)</f>
        <v>0</v>
      </c>
      <c r="BG48" s="23">
        <f>VALUE(0)</f>
        <v>0</v>
      </c>
      <c r="BH48" s="23">
        <f>VALUE(0)</f>
        <v>0</v>
      </c>
      <c r="BI48" s="23">
        <f>VALUE(0)</f>
        <v>0</v>
      </c>
      <c r="BJ48" s="23">
        <f>VALUE(0)</f>
        <v>0</v>
      </c>
      <c r="BK48" s="12">
        <f>$AX$48*24</f>
        <v>11.666666666666666</v>
      </c>
      <c r="BL48" s="12">
        <f>$AY$48*24</f>
        <v>0.23333333333333334</v>
      </c>
      <c r="BM48" s="12">
        <f>$BJ$48*24</f>
        <v>0</v>
      </c>
      <c r="BN48" s="12">
        <f>VALUE($I$48)/100</f>
        <v>1</v>
      </c>
      <c r="BO48" s="12">
        <v>0</v>
      </c>
      <c r="BP48" s="12">
        <v>0</v>
      </c>
      <c r="BQ48" s="12">
        <v>0</v>
      </c>
      <c r="BR48" s="12">
        <v>0</v>
      </c>
      <c r="BS48" s="12">
        <v>0</v>
      </c>
      <c r="BT48" s="12">
        <v>0</v>
      </c>
      <c r="BU48" s="12">
        <v>0</v>
      </c>
      <c r="BV48" s="12">
        <v>0</v>
      </c>
      <c r="BW48" s="12">
        <v>0</v>
      </c>
      <c r="BX48" s="12">
        <v>0</v>
      </c>
      <c r="BY48" s="12">
        <v>0</v>
      </c>
      <c r="BZ48" s="12">
        <v>0</v>
      </c>
      <c r="CA48" s="12">
        <v>0</v>
      </c>
    </row>
    <row r="49" spans="1:79" hidden="1" x14ac:dyDescent="0.2">
      <c r="A49" s="12" t="s">
        <v>102</v>
      </c>
      <c r="B49" s="12" t="s">
        <v>106</v>
      </c>
      <c r="C49" s="12" t="s">
        <v>106</v>
      </c>
      <c r="D49" s="22" t="s">
        <v>243</v>
      </c>
      <c r="E49" s="22" t="s">
        <v>173</v>
      </c>
      <c r="F49" s="22" t="s">
        <v>1184</v>
      </c>
      <c r="G49" s="22" t="s">
        <v>664</v>
      </c>
      <c r="H49" s="22" t="s">
        <v>166</v>
      </c>
      <c r="I49" s="22" t="s">
        <v>151</v>
      </c>
      <c r="J49" s="22" t="s">
        <v>162</v>
      </c>
      <c r="K49" s="22" t="s">
        <v>67</v>
      </c>
      <c r="L49" s="54" t="s">
        <v>153</v>
      </c>
      <c r="M49" s="24" t="s">
        <v>153</v>
      </c>
      <c r="N49" s="24" t="s">
        <v>153</v>
      </c>
      <c r="O49" s="23" t="s">
        <v>153</v>
      </c>
      <c r="P49" s="23" t="s">
        <v>153</v>
      </c>
      <c r="Q49" s="23" t="s">
        <v>153</v>
      </c>
      <c r="R49" s="23" t="s">
        <v>153</v>
      </c>
      <c r="S49" s="23" t="s">
        <v>153</v>
      </c>
      <c r="T49" s="24" t="s">
        <v>153</v>
      </c>
      <c r="U49" s="24" t="s">
        <v>153</v>
      </c>
      <c r="V49" s="54" t="s">
        <v>153</v>
      </c>
      <c r="W49" s="23" t="s">
        <v>153</v>
      </c>
      <c r="X49" s="23" t="s">
        <v>153</v>
      </c>
      <c r="Y49" s="23" t="s">
        <v>153</v>
      </c>
      <c r="Z49" s="23" t="s">
        <v>153</v>
      </c>
      <c r="AA49" s="24" t="s">
        <v>153</v>
      </c>
      <c r="AB49" s="24" t="s">
        <v>153</v>
      </c>
      <c r="AC49" s="23" t="s">
        <v>153</v>
      </c>
      <c r="AD49" s="23" t="s">
        <v>153</v>
      </c>
      <c r="AE49" s="23" t="s">
        <v>153</v>
      </c>
      <c r="AF49" s="23" t="s">
        <v>153</v>
      </c>
      <c r="AG49" s="23" t="s">
        <v>153</v>
      </c>
      <c r="AH49" s="24" t="s">
        <v>153</v>
      </c>
      <c r="AI49" s="24" t="s">
        <v>153</v>
      </c>
      <c r="AJ49" s="23" t="s">
        <v>153</v>
      </c>
      <c r="AK49" s="23" t="s">
        <v>153</v>
      </c>
      <c r="AL49" s="23" t="s">
        <v>153</v>
      </c>
      <c r="AM49" s="23" t="s">
        <v>153</v>
      </c>
      <c r="AN49" s="23" t="s">
        <v>153</v>
      </c>
      <c r="AO49" s="24" t="s">
        <v>153</v>
      </c>
      <c r="AP49" s="23">
        <f>VALUE(1)</f>
        <v>1</v>
      </c>
      <c r="AQ49" s="23">
        <f>VALUE(0)</f>
        <v>0</v>
      </c>
      <c r="AR49" s="23">
        <f>VALUE(0)</f>
        <v>0</v>
      </c>
      <c r="AS49" s="23">
        <f>VALUE(0)</f>
        <v>0</v>
      </c>
      <c r="AT49" s="23">
        <f>VALUE(0)</f>
        <v>0</v>
      </c>
      <c r="AU49" s="23">
        <f>VALUE(0)</f>
        <v>0</v>
      </c>
      <c r="AV49" s="23">
        <f>VALUE(8.5)</f>
        <v>8.5</v>
      </c>
      <c r="AW49" s="23">
        <f>VALUE(0)</f>
        <v>0</v>
      </c>
      <c r="AX49" s="23" t="s">
        <v>245</v>
      </c>
      <c r="AY49" s="23">
        <f>VALUE(0)</f>
        <v>0</v>
      </c>
      <c r="AZ49" s="23">
        <f>VALUE(0)</f>
        <v>0</v>
      </c>
      <c r="BA49" s="23">
        <f>VALUE(0)</f>
        <v>0</v>
      </c>
      <c r="BB49" s="23">
        <f>VALUE(0)</f>
        <v>0</v>
      </c>
      <c r="BC49" s="23">
        <f>VALUE(0)</f>
        <v>0</v>
      </c>
      <c r="BD49" s="23">
        <f>VALUE(0)</f>
        <v>0</v>
      </c>
      <c r="BE49" s="23">
        <f>VALUE(0)</f>
        <v>0</v>
      </c>
      <c r="BF49" s="23">
        <f>VALUE(0)</f>
        <v>0</v>
      </c>
      <c r="BG49" s="23">
        <f>VALUE(0)</f>
        <v>0</v>
      </c>
      <c r="BH49" s="23">
        <f>VALUE(0)</f>
        <v>0</v>
      </c>
      <c r="BI49" s="23">
        <f>VALUE(0)</f>
        <v>0</v>
      </c>
      <c r="BJ49" s="23">
        <f>VALUE(0)</f>
        <v>0</v>
      </c>
      <c r="BK49" s="12">
        <f>$AX$49*24</f>
        <v>92.38333333333334</v>
      </c>
      <c r="BL49" s="12">
        <f>$AY$49*24</f>
        <v>0</v>
      </c>
      <c r="BM49" s="12">
        <f>$BJ$49*24</f>
        <v>0</v>
      </c>
      <c r="BN49" s="12">
        <f>VALUE($I$49)/100</f>
        <v>1</v>
      </c>
      <c r="BO49" s="12">
        <v>0</v>
      </c>
      <c r="BP49" s="12">
        <v>0</v>
      </c>
      <c r="BQ49" s="12">
        <v>0</v>
      </c>
      <c r="BR49" s="12">
        <v>0</v>
      </c>
      <c r="BS49" s="12">
        <v>0</v>
      </c>
      <c r="BT49" s="12">
        <v>0</v>
      </c>
      <c r="BU49" s="12">
        <v>0</v>
      </c>
      <c r="BV49" s="12">
        <v>0</v>
      </c>
      <c r="BW49" s="12">
        <v>0</v>
      </c>
      <c r="BX49" s="12">
        <v>0</v>
      </c>
      <c r="BY49" s="12">
        <v>0</v>
      </c>
      <c r="BZ49" s="12">
        <v>0</v>
      </c>
      <c r="CA49" s="12">
        <v>0</v>
      </c>
    </row>
    <row r="50" spans="1:79" ht="15" hidden="1" x14ac:dyDescent="0.25">
      <c r="A50" s="12" t="s">
        <v>102</v>
      </c>
      <c r="B50" s="12" t="s">
        <v>106</v>
      </c>
      <c r="C50" s="12" t="s">
        <v>106</v>
      </c>
      <c r="D50" s="31" t="s">
        <v>246</v>
      </c>
      <c r="E50" s="31" t="s">
        <v>153</v>
      </c>
      <c r="F50" s="31" t="s">
        <v>175</v>
      </c>
      <c r="G50" s="31" t="s">
        <v>153</v>
      </c>
      <c r="H50" s="31" t="s">
        <v>153</v>
      </c>
      <c r="I50" s="31" t="s">
        <v>153</v>
      </c>
      <c r="J50" s="31" t="s">
        <v>153</v>
      </c>
      <c r="K50" s="31" t="s">
        <v>153</v>
      </c>
      <c r="L50" s="31">
        <f>VALUE(0)</f>
        <v>0</v>
      </c>
      <c r="M50" s="31">
        <f>VALUE(0)</f>
        <v>0</v>
      </c>
      <c r="N50" s="31">
        <f>VALUE(0)</f>
        <v>0</v>
      </c>
      <c r="O50" s="31">
        <f>VALUE(2)</f>
        <v>2</v>
      </c>
      <c r="P50" s="31">
        <f>VALUE(2)</f>
        <v>2</v>
      </c>
      <c r="Q50" s="31">
        <f>VALUE(2)</f>
        <v>2</v>
      </c>
      <c r="R50" s="31">
        <f>VALUE(2)</f>
        <v>2</v>
      </c>
      <c r="S50" s="31">
        <f>VALUE(2)</f>
        <v>2</v>
      </c>
      <c r="T50" s="31">
        <f>VALUE(0)</f>
        <v>0</v>
      </c>
      <c r="U50" s="31">
        <f>VALUE(0)</f>
        <v>0</v>
      </c>
      <c r="V50" s="31">
        <f>VALUE(0)</f>
        <v>0</v>
      </c>
      <c r="W50" s="31">
        <f>VALUE(2)</f>
        <v>2</v>
      </c>
      <c r="X50" s="31">
        <f>VALUE(2)</f>
        <v>2</v>
      </c>
      <c r="Y50" s="31">
        <f>VALUE(2)</f>
        <v>2</v>
      </c>
      <c r="Z50" s="31">
        <f>VALUE(2)</f>
        <v>2</v>
      </c>
      <c r="AA50" s="31">
        <f>VALUE(0)</f>
        <v>0</v>
      </c>
      <c r="AB50" s="31">
        <f>VALUE(0)</f>
        <v>0</v>
      </c>
      <c r="AC50" s="31">
        <f>VALUE(2)</f>
        <v>2</v>
      </c>
      <c r="AD50" s="31">
        <f>VALUE(2)</f>
        <v>2</v>
      </c>
      <c r="AE50" s="31">
        <f>VALUE(2)</f>
        <v>2</v>
      </c>
      <c r="AF50" s="31">
        <f>VALUE(2)</f>
        <v>2</v>
      </c>
      <c r="AG50" s="31">
        <f>VALUE(2)</f>
        <v>2</v>
      </c>
      <c r="AH50" s="31">
        <f>VALUE(0)</f>
        <v>0</v>
      </c>
      <c r="AI50" s="31">
        <f>VALUE(0)</f>
        <v>0</v>
      </c>
      <c r="AJ50" s="31">
        <f>VALUE(2)</f>
        <v>2</v>
      </c>
      <c r="AK50" s="31">
        <f>VALUE(2)</f>
        <v>2</v>
      </c>
      <c r="AL50" s="31">
        <f>VALUE(2)</f>
        <v>2</v>
      </c>
      <c r="AM50" s="31">
        <f>VALUE(2)</f>
        <v>2</v>
      </c>
      <c r="AN50" s="31">
        <f>VALUE(2)</f>
        <v>2</v>
      </c>
      <c r="AO50" s="31">
        <f>VALUE(0)</f>
        <v>0</v>
      </c>
      <c r="AP50" s="31">
        <v>0</v>
      </c>
      <c r="AQ50" s="31">
        <v>0</v>
      </c>
      <c r="AR50" s="31">
        <v>0</v>
      </c>
      <c r="AS50" s="31">
        <v>0</v>
      </c>
      <c r="AT50" s="31">
        <v>0</v>
      </c>
      <c r="AU50" s="31">
        <v>0</v>
      </c>
      <c r="AV50" s="31">
        <v>0</v>
      </c>
      <c r="AW50" s="31">
        <v>0</v>
      </c>
      <c r="AX50" s="31">
        <v>0</v>
      </c>
      <c r="AY50" s="31">
        <v>0</v>
      </c>
      <c r="AZ50" s="31">
        <v>0</v>
      </c>
      <c r="BA50" s="31">
        <v>0</v>
      </c>
      <c r="BB50" s="31">
        <v>0</v>
      </c>
      <c r="BC50" s="31">
        <v>0</v>
      </c>
      <c r="BD50" s="31">
        <v>0</v>
      </c>
      <c r="BE50" s="31">
        <v>0</v>
      </c>
      <c r="BF50" s="31">
        <v>0</v>
      </c>
      <c r="BG50" s="31">
        <v>0</v>
      </c>
      <c r="BH50" s="31">
        <v>0</v>
      </c>
      <c r="BI50" s="31">
        <v>0</v>
      </c>
      <c r="BJ50" s="31">
        <v>0</v>
      </c>
      <c r="BK50" s="12">
        <v>0</v>
      </c>
      <c r="BL50" s="12">
        <v>0</v>
      </c>
      <c r="BM50" s="12">
        <v>0</v>
      </c>
      <c r="BN50" s="12"/>
      <c r="BO50" s="12">
        <v>0</v>
      </c>
      <c r="BP50" s="12">
        <v>0</v>
      </c>
      <c r="BQ50" s="12">
        <v>0</v>
      </c>
      <c r="BR50" s="12">
        <v>0</v>
      </c>
      <c r="BS50" s="12">
        <v>0</v>
      </c>
      <c r="BT50" s="12">
        <v>0</v>
      </c>
      <c r="BU50" s="12">
        <v>0</v>
      </c>
      <c r="BV50" s="12">
        <v>0</v>
      </c>
      <c r="BW50" s="12">
        <v>0</v>
      </c>
      <c r="BX50" s="12">
        <v>0</v>
      </c>
      <c r="BY50" s="12">
        <v>0</v>
      </c>
      <c r="BZ50" s="12">
        <v>0</v>
      </c>
      <c r="CA50" s="12">
        <v>0</v>
      </c>
    </row>
    <row r="51" spans="1:79" hidden="1" x14ac:dyDescent="0.2">
      <c r="A51" s="12" t="s">
        <v>102</v>
      </c>
      <c r="B51" s="12" t="s">
        <v>107</v>
      </c>
      <c r="C51" s="12" t="s">
        <v>107</v>
      </c>
      <c r="D51" s="22" t="s">
        <v>247</v>
      </c>
      <c r="E51" s="22" t="s">
        <v>149</v>
      </c>
      <c r="F51" s="22" t="s">
        <v>665</v>
      </c>
      <c r="G51" s="22" t="s">
        <v>666</v>
      </c>
      <c r="H51" s="22" t="s">
        <v>166</v>
      </c>
      <c r="I51" s="22" t="s">
        <v>151</v>
      </c>
      <c r="J51" s="22" t="s">
        <v>152</v>
      </c>
      <c r="K51" s="22" t="s">
        <v>68</v>
      </c>
      <c r="L51" s="54" t="s">
        <v>153</v>
      </c>
      <c r="M51" s="24" t="s">
        <v>156</v>
      </c>
      <c r="N51" s="24" t="s">
        <v>153</v>
      </c>
      <c r="O51" s="24" t="s">
        <v>156</v>
      </c>
      <c r="P51" s="23" t="s">
        <v>153</v>
      </c>
      <c r="Q51" s="23" t="s">
        <v>153</v>
      </c>
      <c r="R51" s="23" t="s">
        <v>153</v>
      </c>
      <c r="S51" s="23" t="s">
        <v>153</v>
      </c>
      <c r="T51" s="23" t="s">
        <v>153</v>
      </c>
      <c r="U51" s="24" t="s">
        <v>153</v>
      </c>
      <c r="V51" s="54" t="s">
        <v>153</v>
      </c>
      <c r="W51" s="28" t="s">
        <v>338</v>
      </c>
      <c r="X51" s="28" t="s">
        <v>338</v>
      </c>
      <c r="Y51" s="23" t="s">
        <v>153</v>
      </c>
      <c r="Z51" s="23" t="s">
        <v>153</v>
      </c>
      <c r="AA51" s="24" t="s">
        <v>156</v>
      </c>
      <c r="AB51" s="24" t="s">
        <v>153</v>
      </c>
      <c r="AC51" s="24" t="s">
        <v>156</v>
      </c>
      <c r="AD51" s="23" t="s">
        <v>153</v>
      </c>
      <c r="AE51" s="23" t="s">
        <v>153</v>
      </c>
      <c r="AF51" s="23" t="s">
        <v>153</v>
      </c>
      <c r="AG51" s="23" t="s">
        <v>153</v>
      </c>
      <c r="AH51" s="23" t="s">
        <v>153</v>
      </c>
      <c r="AI51" s="24" t="s">
        <v>153</v>
      </c>
      <c r="AJ51" s="23" t="s">
        <v>153</v>
      </c>
      <c r="AK51" s="23" t="s">
        <v>153</v>
      </c>
      <c r="AL51" s="23" t="s">
        <v>153</v>
      </c>
      <c r="AM51" s="23" t="s">
        <v>153</v>
      </c>
      <c r="AN51" s="23" t="s">
        <v>153</v>
      </c>
      <c r="AO51" s="24" t="s">
        <v>156</v>
      </c>
      <c r="AP51" s="23">
        <f>VALUE(0)</f>
        <v>0</v>
      </c>
      <c r="AQ51" s="23">
        <f>VALUE(0)</f>
        <v>0</v>
      </c>
      <c r="AR51" s="23">
        <f>VALUE(0)</f>
        <v>0</v>
      </c>
      <c r="AS51" s="23">
        <f>VALUE(0)</f>
        <v>0</v>
      </c>
      <c r="AT51" s="23">
        <f>VALUE(2)</f>
        <v>2</v>
      </c>
      <c r="AU51" s="23">
        <f>VALUE(0)</f>
        <v>0</v>
      </c>
      <c r="AV51" s="23">
        <f>VALUE(4)</f>
        <v>4</v>
      </c>
      <c r="AW51" s="23">
        <f>VALUE(0)</f>
        <v>0</v>
      </c>
      <c r="AX51" s="23" t="s">
        <v>248</v>
      </c>
      <c r="AY51" s="23">
        <f>VALUE(0)</f>
        <v>0</v>
      </c>
      <c r="AZ51" s="23">
        <f>VALUE(0)</f>
        <v>0</v>
      </c>
      <c r="BA51" s="23">
        <f>VALUE(0)</f>
        <v>0</v>
      </c>
      <c r="BB51" s="23">
        <f>VALUE(0)</f>
        <v>0</v>
      </c>
      <c r="BC51" s="23">
        <f>VALUE(0)</f>
        <v>0</v>
      </c>
      <c r="BD51" s="23">
        <f>VALUE(0)</f>
        <v>0</v>
      </c>
      <c r="BE51" s="23">
        <f>VALUE(0)</f>
        <v>0</v>
      </c>
      <c r="BF51" s="23">
        <f>VALUE(0)</f>
        <v>0</v>
      </c>
      <c r="BG51" s="23">
        <f>VALUE(0)</f>
        <v>0</v>
      </c>
      <c r="BH51" s="23">
        <f>VALUE(0)</f>
        <v>0</v>
      </c>
      <c r="BI51" s="23">
        <f>VALUE(0)</f>
        <v>0</v>
      </c>
      <c r="BJ51" s="23">
        <f>VALUE(0)</f>
        <v>0</v>
      </c>
      <c r="BK51" s="12">
        <f>$AX$51*24</f>
        <v>16.333333333333332</v>
      </c>
      <c r="BL51" s="12">
        <f>$AY$51*24</f>
        <v>0</v>
      </c>
      <c r="BM51" s="12">
        <f>$BJ$51*24</f>
        <v>0</v>
      </c>
      <c r="BN51" s="12">
        <f>VALUE($I$51)/100</f>
        <v>1</v>
      </c>
      <c r="BO51" s="12">
        <v>0</v>
      </c>
      <c r="BP51" s="12">
        <v>0</v>
      </c>
      <c r="BQ51" s="12">
        <v>0</v>
      </c>
      <c r="BR51" s="12">
        <v>0</v>
      </c>
      <c r="BS51" s="12">
        <v>0</v>
      </c>
      <c r="BT51" s="12">
        <v>0</v>
      </c>
      <c r="BU51" s="12">
        <v>0</v>
      </c>
      <c r="BV51" s="12">
        <v>0</v>
      </c>
      <c r="BW51" s="12">
        <v>0</v>
      </c>
      <c r="BX51" s="12">
        <v>0</v>
      </c>
      <c r="BY51" s="12">
        <v>2</v>
      </c>
      <c r="BZ51" s="12">
        <v>0</v>
      </c>
      <c r="CA51" s="12">
        <v>0</v>
      </c>
    </row>
    <row r="52" spans="1:79" hidden="1" x14ac:dyDescent="0.2">
      <c r="A52" s="12" t="s">
        <v>102</v>
      </c>
      <c r="B52" s="12" t="s">
        <v>107</v>
      </c>
      <c r="C52" s="12" t="s">
        <v>107</v>
      </c>
      <c r="D52" s="22" t="s">
        <v>249</v>
      </c>
      <c r="E52" s="22" t="s">
        <v>149</v>
      </c>
      <c r="F52" s="22" t="s">
        <v>667</v>
      </c>
      <c r="G52" s="22" t="s">
        <v>668</v>
      </c>
      <c r="H52" s="22" t="s">
        <v>166</v>
      </c>
      <c r="I52" s="22" t="s">
        <v>151</v>
      </c>
      <c r="J52" s="22" t="s">
        <v>152</v>
      </c>
      <c r="K52" s="22" t="s">
        <v>68</v>
      </c>
      <c r="L52" s="54" t="s">
        <v>153</v>
      </c>
      <c r="M52" s="23" t="s">
        <v>153</v>
      </c>
      <c r="N52" s="24" t="s">
        <v>153</v>
      </c>
      <c r="O52" s="23" t="s">
        <v>153</v>
      </c>
      <c r="P52" s="23" t="s">
        <v>153</v>
      </c>
      <c r="Q52" s="23" t="s">
        <v>153</v>
      </c>
      <c r="R52" s="23" t="s">
        <v>153</v>
      </c>
      <c r="S52" s="23" t="s">
        <v>153</v>
      </c>
      <c r="T52" s="24" t="s">
        <v>156</v>
      </c>
      <c r="U52" s="24" t="s">
        <v>153</v>
      </c>
      <c r="V52" s="54" t="s">
        <v>156</v>
      </c>
      <c r="W52" s="23" t="s">
        <v>153</v>
      </c>
      <c r="X52" s="23" t="s">
        <v>153</v>
      </c>
      <c r="Y52" s="23" t="s">
        <v>153</v>
      </c>
      <c r="Z52" s="23" t="s">
        <v>153</v>
      </c>
      <c r="AA52" s="23" t="s">
        <v>153</v>
      </c>
      <c r="AB52" s="24" t="s">
        <v>153</v>
      </c>
      <c r="AC52" s="23" t="s">
        <v>153</v>
      </c>
      <c r="AD52" s="23" t="s">
        <v>153</v>
      </c>
      <c r="AE52" s="23" t="s">
        <v>153</v>
      </c>
      <c r="AF52" s="23" t="s">
        <v>153</v>
      </c>
      <c r="AG52" s="23" t="s">
        <v>153</v>
      </c>
      <c r="AH52" s="24" t="s">
        <v>156</v>
      </c>
      <c r="AI52" s="24" t="s">
        <v>153</v>
      </c>
      <c r="AJ52" s="24" t="s">
        <v>156</v>
      </c>
      <c r="AK52" s="23" t="s">
        <v>153</v>
      </c>
      <c r="AL52" s="23" t="s">
        <v>153</v>
      </c>
      <c r="AM52" s="23" t="s">
        <v>153</v>
      </c>
      <c r="AN52" s="23" t="s">
        <v>153</v>
      </c>
      <c r="AO52" s="23" t="s">
        <v>153</v>
      </c>
      <c r="AP52" s="23">
        <f>VALUE(0)</f>
        <v>0</v>
      </c>
      <c r="AQ52" s="23">
        <f>VALUE(0)</f>
        <v>0</v>
      </c>
      <c r="AR52" s="23">
        <f>VALUE(0)</f>
        <v>0</v>
      </c>
      <c r="AS52" s="23">
        <f>VALUE(0)</f>
        <v>0</v>
      </c>
      <c r="AT52" s="23">
        <f>VALUE(0)</f>
        <v>0</v>
      </c>
      <c r="AU52" s="23">
        <f>VALUE(0)</f>
        <v>0</v>
      </c>
      <c r="AV52" s="23">
        <f>VALUE(3)</f>
        <v>3</v>
      </c>
      <c r="AW52" s="23">
        <f>VALUE(0)</f>
        <v>0</v>
      </c>
      <c r="AX52" s="23" t="s">
        <v>1185</v>
      </c>
      <c r="AY52" s="23">
        <f>VALUE(0)</f>
        <v>0</v>
      </c>
      <c r="AZ52" s="23">
        <f>VALUE(0)</f>
        <v>0</v>
      </c>
      <c r="BA52" s="23">
        <f>VALUE(0)</f>
        <v>0</v>
      </c>
      <c r="BB52" s="23">
        <f>VALUE(0)</f>
        <v>0</v>
      </c>
      <c r="BC52" s="23">
        <f>VALUE(0)</f>
        <v>0</v>
      </c>
      <c r="BD52" s="23">
        <f>VALUE(0)</f>
        <v>0</v>
      </c>
      <c r="BE52" s="23">
        <f>VALUE(0)</f>
        <v>0</v>
      </c>
      <c r="BF52" s="23">
        <f>VALUE(0)</f>
        <v>0</v>
      </c>
      <c r="BG52" s="23">
        <f>VALUE(0)</f>
        <v>0</v>
      </c>
      <c r="BH52" s="23">
        <f>VALUE(0)</f>
        <v>0</v>
      </c>
      <c r="BI52" s="23">
        <f>VALUE(0)</f>
        <v>0</v>
      </c>
      <c r="BJ52" s="23">
        <f>VALUE(0)</f>
        <v>0</v>
      </c>
      <c r="BK52" s="12">
        <f>$AX$52*24</f>
        <v>88.75</v>
      </c>
      <c r="BL52" s="12">
        <f>$AY$52*24</f>
        <v>0</v>
      </c>
      <c r="BM52" s="12">
        <f>$BJ$52*24</f>
        <v>0</v>
      </c>
      <c r="BN52" s="12">
        <f>VALUE($I$52)/100</f>
        <v>1</v>
      </c>
      <c r="BO52" s="12">
        <v>0</v>
      </c>
      <c r="BP52" s="12">
        <v>0</v>
      </c>
      <c r="BQ52" s="12">
        <v>0</v>
      </c>
      <c r="BR52" s="12">
        <v>0</v>
      </c>
      <c r="BS52" s="12">
        <v>0</v>
      </c>
      <c r="BT52" s="12">
        <v>0</v>
      </c>
      <c r="BU52" s="12">
        <v>0</v>
      </c>
      <c r="BV52" s="12">
        <v>0</v>
      </c>
      <c r="BW52" s="12">
        <v>0</v>
      </c>
      <c r="BX52" s="12">
        <v>0</v>
      </c>
      <c r="BY52" s="12">
        <v>0</v>
      </c>
      <c r="BZ52" s="12">
        <v>0</v>
      </c>
      <c r="CA52" s="12">
        <v>0</v>
      </c>
    </row>
    <row r="53" spans="1:79" hidden="1" x14ac:dyDescent="0.2">
      <c r="A53" s="12" t="s">
        <v>102</v>
      </c>
      <c r="B53" s="12" t="s">
        <v>107</v>
      </c>
      <c r="C53" s="12" t="s">
        <v>107</v>
      </c>
      <c r="D53" s="22" t="s">
        <v>250</v>
      </c>
      <c r="E53" s="22" t="s">
        <v>149</v>
      </c>
      <c r="F53" s="22" t="s">
        <v>669</v>
      </c>
      <c r="G53" s="22" t="s">
        <v>670</v>
      </c>
      <c r="H53" s="22" t="s">
        <v>166</v>
      </c>
      <c r="I53" s="22" t="s">
        <v>151</v>
      </c>
      <c r="J53" s="22" t="s">
        <v>152</v>
      </c>
      <c r="K53" s="22" t="s">
        <v>68</v>
      </c>
      <c r="L53" s="54" t="s">
        <v>153</v>
      </c>
      <c r="M53" s="23" t="s">
        <v>153</v>
      </c>
      <c r="N53" s="24" t="s">
        <v>153</v>
      </c>
      <c r="O53" s="23" t="s">
        <v>153</v>
      </c>
      <c r="P53" s="23" t="s">
        <v>153</v>
      </c>
      <c r="Q53" s="23" t="s">
        <v>153</v>
      </c>
      <c r="R53" s="23" t="s">
        <v>153</v>
      </c>
      <c r="S53" s="23" t="s">
        <v>153</v>
      </c>
      <c r="T53" s="24" t="s">
        <v>156</v>
      </c>
      <c r="U53" s="24" t="s">
        <v>153</v>
      </c>
      <c r="V53" s="54" t="s">
        <v>156</v>
      </c>
      <c r="W53" s="23" t="s">
        <v>153</v>
      </c>
      <c r="X53" s="23" t="s">
        <v>153</v>
      </c>
      <c r="Y53" s="23" t="s">
        <v>153</v>
      </c>
      <c r="Z53" s="23" t="s">
        <v>153</v>
      </c>
      <c r="AA53" s="23" t="s">
        <v>153</v>
      </c>
      <c r="AB53" s="24" t="s">
        <v>153</v>
      </c>
      <c r="AC53" s="23" t="s">
        <v>153</v>
      </c>
      <c r="AD53" s="23" t="s">
        <v>153</v>
      </c>
      <c r="AE53" s="23" t="s">
        <v>153</v>
      </c>
      <c r="AF53" s="23" t="s">
        <v>153</v>
      </c>
      <c r="AG53" s="23" t="s">
        <v>153</v>
      </c>
      <c r="AH53" s="24" t="s">
        <v>156</v>
      </c>
      <c r="AI53" s="24" t="s">
        <v>153</v>
      </c>
      <c r="AJ53" s="24" t="s">
        <v>156</v>
      </c>
      <c r="AK53" s="23" t="s">
        <v>153</v>
      </c>
      <c r="AL53" s="23" t="s">
        <v>153</v>
      </c>
      <c r="AM53" s="23" t="s">
        <v>153</v>
      </c>
      <c r="AN53" s="23" t="s">
        <v>153</v>
      </c>
      <c r="AO53" s="23" t="s">
        <v>153</v>
      </c>
      <c r="AP53" s="23">
        <f>VALUE(0)</f>
        <v>0</v>
      </c>
      <c r="AQ53" s="23">
        <f>VALUE(0)</f>
        <v>0</v>
      </c>
      <c r="AR53" s="23">
        <f>VALUE(0)</f>
        <v>0</v>
      </c>
      <c r="AS53" s="23">
        <f>VALUE(0)</f>
        <v>0</v>
      </c>
      <c r="AT53" s="23">
        <f>VALUE(0)</f>
        <v>0</v>
      </c>
      <c r="AU53" s="23">
        <f>VALUE(0)</f>
        <v>0</v>
      </c>
      <c r="AV53" s="23">
        <f>VALUE(0)</f>
        <v>0</v>
      </c>
      <c r="AW53" s="23">
        <f>VALUE(0)</f>
        <v>0</v>
      </c>
      <c r="AX53" s="23" t="s">
        <v>1186</v>
      </c>
      <c r="AY53" s="23">
        <f>VALUE(0)</f>
        <v>0</v>
      </c>
      <c r="AZ53" s="23">
        <f>VALUE(0)</f>
        <v>0</v>
      </c>
      <c r="BA53" s="23">
        <f>VALUE(0)</f>
        <v>0</v>
      </c>
      <c r="BB53" s="23">
        <f>VALUE(0)</f>
        <v>0</v>
      </c>
      <c r="BC53" s="23">
        <f>VALUE(0)</f>
        <v>0</v>
      </c>
      <c r="BD53" s="23">
        <f>VALUE(0)</f>
        <v>0</v>
      </c>
      <c r="BE53" s="23">
        <f>VALUE(0)</f>
        <v>0</v>
      </c>
      <c r="BF53" s="23">
        <f>VALUE(0)</f>
        <v>0</v>
      </c>
      <c r="BG53" s="23">
        <f>VALUE(0)</f>
        <v>0</v>
      </c>
      <c r="BH53" s="23">
        <f>VALUE(0)</f>
        <v>0</v>
      </c>
      <c r="BI53" s="23">
        <f>VALUE(0)</f>
        <v>0</v>
      </c>
      <c r="BJ53" s="23">
        <f>VALUE(0)</f>
        <v>0</v>
      </c>
      <c r="BK53" s="12">
        <f>$AX$53*24</f>
        <v>4.833333333333333</v>
      </c>
      <c r="BL53" s="12">
        <f>$AY$53*24</f>
        <v>0</v>
      </c>
      <c r="BM53" s="12">
        <f>$BJ$53*24</f>
        <v>0</v>
      </c>
      <c r="BN53" s="12">
        <f>VALUE($I$53)/100</f>
        <v>1</v>
      </c>
      <c r="BO53" s="12">
        <v>0</v>
      </c>
      <c r="BP53" s="12">
        <v>0</v>
      </c>
      <c r="BQ53" s="12">
        <v>0</v>
      </c>
      <c r="BR53" s="12">
        <v>0</v>
      </c>
      <c r="BS53" s="12">
        <v>0</v>
      </c>
      <c r="BT53" s="12">
        <v>0</v>
      </c>
      <c r="BU53" s="12">
        <v>0</v>
      </c>
      <c r="BV53" s="12">
        <v>0</v>
      </c>
      <c r="BW53" s="12">
        <v>0</v>
      </c>
      <c r="BX53" s="12">
        <v>0</v>
      </c>
      <c r="BY53" s="12">
        <v>0</v>
      </c>
      <c r="BZ53" s="12">
        <v>0</v>
      </c>
      <c r="CA53" s="12">
        <v>0</v>
      </c>
    </row>
    <row r="54" spans="1:79" hidden="1" x14ac:dyDescent="0.2">
      <c r="A54" s="12" t="s">
        <v>102</v>
      </c>
      <c r="B54" s="12" t="s">
        <v>107</v>
      </c>
      <c r="C54" s="12" t="s">
        <v>107</v>
      </c>
      <c r="D54" s="22" t="s">
        <v>251</v>
      </c>
      <c r="E54" s="22" t="s">
        <v>149</v>
      </c>
      <c r="F54" s="22" t="s">
        <v>671</v>
      </c>
      <c r="G54" s="22" t="s">
        <v>672</v>
      </c>
      <c r="H54" s="22" t="s">
        <v>166</v>
      </c>
      <c r="I54" s="22" t="s">
        <v>151</v>
      </c>
      <c r="J54" s="22" t="s">
        <v>152</v>
      </c>
      <c r="K54" s="22" t="s">
        <v>68</v>
      </c>
      <c r="L54" s="54" t="s">
        <v>153</v>
      </c>
      <c r="M54" s="24" t="s">
        <v>156</v>
      </c>
      <c r="N54" s="24" t="s">
        <v>153</v>
      </c>
      <c r="O54" s="24" t="s">
        <v>156</v>
      </c>
      <c r="P54" s="23" t="s">
        <v>153</v>
      </c>
      <c r="Q54" s="23" t="s">
        <v>153</v>
      </c>
      <c r="R54" s="23" t="s">
        <v>153</v>
      </c>
      <c r="S54" s="23" t="s">
        <v>153</v>
      </c>
      <c r="T54" s="23" t="s">
        <v>153</v>
      </c>
      <c r="U54" s="24" t="s">
        <v>153</v>
      </c>
      <c r="V54" s="54" t="s">
        <v>153</v>
      </c>
      <c r="W54" s="23" t="s">
        <v>153</v>
      </c>
      <c r="X54" s="23" t="s">
        <v>153</v>
      </c>
      <c r="Y54" s="23" t="s">
        <v>153</v>
      </c>
      <c r="Z54" s="23" t="s">
        <v>153</v>
      </c>
      <c r="AA54" s="24" t="s">
        <v>156</v>
      </c>
      <c r="AB54" s="24" t="s">
        <v>153</v>
      </c>
      <c r="AC54" s="24" t="s">
        <v>156</v>
      </c>
      <c r="AD54" s="23" t="s">
        <v>153</v>
      </c>
      <c r="AE54" s="23" t="s">
        <v>153</v>
      </c>
      <c r="AF54" s="23" t="s">
        <v>153</v>
      </c>
      <c r="AG54" s="23" t="s">
        <v>153</v>
      </c>
      <c r="AH54" s="23" t="s">
        <v>153</v>
      </c>
      <c r="AI54" s="24" t="s">
        <v>153</v>
      </c>
      <c r="AJ54" s="23" t="s">
        <v>153</v>
      </c>
      <c r="AK54" s="23" t="s">
        <v>153</v>
      </c>
      <c r="AL54" s="23" t="s">
        <v>153</v>
      </c>
      <c r="AM54" s="23" t="s">
        <v>153</v>
      </c>
      <c r="AN54" s="23" t="s">
        <v>153</v>
      </c>
      <c r="AO54" s="24" t="s">
        <v>156</v>
      </c>
      <c r="AP54" s="23">
        <f>VALUE(0)</f>
        <v>0</v>
      </c>
      <c r="AQ54" s="23">
        <f>VALUE(0)</f>
        <v>0</v>
      </c>
      <c r="AR54" s="23">
        <f>VALUE(0)</f>
        <v>0</v>
      </c>
      <c r="AS54" s="23">
        <f>VALUE(0)</f>
        <v>0</v>
      </c>
      <c r="AT54" s="23">
        <f>VALUE(0)</f>
        <v>0</v>
      </c>
      <c r="AU54" s="23">
        <f>VALUE(0)</f>
        <v>0</v>
      </c>
      <c r="AV54" s="23">
        <f>VALUE(2.5)</f>
        <v>2.5</v>
      </c>
      <c r="AW54" s="23">
        <f>VALUE(0)</f>
        <v>0</v>
      </c>
      <c r="AX54" s="23" t="s">
        <v>252</v>
      </c>
      <c r="AY54" s="23">
        <f>VALUE(0)</f>
        <v>0</v>
      </c>
      <c r="AZ54" s="23">
        <f>VALUE(0)</f>
        <v>0</v>
      </c>
      <c r="BA54" s="23">
        <f>VALUE(0)</f>
        <v>0</v>
      </c>
      <c r="BB54" s="23">
        <f>VALUE(0)</f>
        <v>0</v>
      </c>
      <c r="BC54" s="23">
        <f>VALUE(0)</f>
        <v>0</v>
      </c>
      <c r="BD54" s="23">
        <f>VALUE(0)</f>
        <v>0</v>
      </c>
      <c r="BE54" s="23">
        <f>VALUE(0)</f>
        <v>0</v>
      </c>
      <c r="BF54" s="23">
        <f>VALUE(0)</f>
        <v>0</v>
      </c>
      <c r="BG54" s="23">
        <f>VALUE(0)</f>
        <v>0</v>
      </c>
      <c r="BH54" s="23">
        <f>VALUE(0)</f>
        <v>0</v>
      </c>
      <c r="BI54" s="23">
        <f>VALUE(0)</f>
        <v>0</v>
      </c>
      <c r="BJ54" s="23">
        <f>VALUE(0)</f>
        <v>0</v>
      </c>
      <c r="BK54" s="12">
        <f>$AX$54*24</f>
        <v>7.25</v>
      </c>
      <c r="BL54" s="12">
        <f>$AY$54*24</f>
        <v>0</v>
      </c>
      <c r="BM54" s="12">
        <f>$BJ$54*24</f>
        <v>0</v>
      </c>
      <c r="BN54" s="12">
        <f>VALUE($I$54)/100</f>
        <v>1</v>
      </c>
      <c r="BO54" s="12">
        <v>0</v>
      </c>
      <c r="BP54" s="12">
        <v>0</v>
      </c>
      <c r="BQ54" s="12">
        <v>0</v>
      </c>
      <c r="BR54" s="12">
        <v>0</v>
      </c>
      <c r="BS54" s="12">
        <v>0</v>
      </c>
      <c r="BT54" s="12">
        <v>0</v>
      </c>
      <c r="BU54" s="12">
        <v>0</v>
      </c>
      <c r="BV54" s="12">
        <v>0</v>
      </c>
      <c r="BW54" s="12">
        <v>0</v>
      </c>
      <c r="BX54" s="12">
        <v>0</v>
      </c>
      <c r="BY54" s="12">
        <v>0</v>
      </c>
      <c r="BZ54" s="12">
        <v>0</v>
      </c>
      <c r="CA54" s="12">
        <v>0</v>
      </c>
    </row>
    <row r="55" spans="1:79" hidden="1" x14ac:dyDescent="0.2">
      <c r="A55" s="12" t="s">
        <v>102</v>
      </c>
      <c r="B55" s="12" t="s">
        <v>107</v>
      </c>
      <c r="C55" s="12" t="s">
        <v>107</v>
      </c>
      <c r="D55" s="22" t="s">
        <v>253</v>
      </c>
      <c r="E55" s="22" t="s">
        <v>149</v>
      </c>
      <c r="F55" s="22" t="s">
        <v>673</v>
      </c>
      <c r="G55" s="22" t="s">
        <v>674</v>
      </c>
      <c r="H55" s="22" t="s">
        <v>166</v>
      </c>
      <c r="I55" s="22" t="s">
        <v>151</v>
      </c>
      <c r="J55" s="22" t="s">
        <v>152</v>
      </c>
      <c r="K55" s="22" t="s">
        <v>68</v>
      </c>
      <c r="L55" s="54" t="s">
        <v>153</v>
      </c>
      <c r="M55" s="23" t="s">
        <v>153</v>
      </c>
      <c r="N55" s="24" t="s">
        <v>153</v>
      </c>
      <c r="O55" s="23" t="s">
        <v>153</v>
      </c>
      <c r="P55" s="23" t="s">
        <v>153</v>
      </c>
      <c r="Q55" s="23" t="s">
        <v>153</v>
      </c>
      <c r="R55" s="23" t="s">
        <v>153</v>
      </c>
      <c r="S55" s="23" t="s">
        <v>153</v>
      </c>
      <c r="T55" s="24" t="s">
        <v>156</v>
      </c>
      <c r="U55" s="24" t="s">
        <v>153</v>
      </c>
      <c r="V55" s="54" t="s">
        <v>156</v>
      </c>
      <c r="W55" s="23" t="s">
        <v>153</v>
      </c>
      <c r="X55" s="23" t="s">
        <v>153</v>
      </c>
      <c r="Y55" s="23" t="s">
        <v>153</v>
      </c>
      <c r="Z55" s="23" t="s">
        <v>153</v>
      </c>
      <c r="AA55" s="23" t="s">
        <v>153</v>
      </c>
      <c r="AB55" s="24" t="s">
        <v>153</v>
      </c>
      <c r="AC55" s="23" t="s">
        <v>153</v>
      </c>
      <c r="AD55" s="23" t="s">
        <v>153</v>
      </c>
      <c r="AE55" s="23" t="s">
        <v>153</v>
      </c>
      <c r="AF55" s="23" t="s">
        <v>153</v>
      </c>
      <c r="AG55" s="23" t="s">
        <v>153</v>
      </c>
      <c r="AH55" s="24" t="s">
        <v>156</v>
      </c>
      <c r="AI55" s="24" t="s">
        <v>153</v>
      </c>
      <c r="AJ55" s="24" t="s">
        <v>156</v>
      </c>
      <c r="AK55" s="23" t="s">
        <v>153</v>
      </c>
      <c r="AL55" s="23" t="s">
        <v>153</v>
      </c>
      <c r="AM55" s="23" t="s">
        <v>153</v>
      </c>
      <c r="AN55" s="23" t="s">
        <v>153</v>
      </c>
      <c r="AO55" s="23" t="s">
        <v>153</v>
      </c>
      <c r="AP55" s="23">
        <f>VALUE(0)</f>
        <v>0</v>
      </c>
      <c r="AQ55" s="23">
        <f>VALUE(0)</f>
        <v>0</v>
      </c>
      <c r="AR55" s="23">
        <f>VALUE(0)</f>
        <v>0</v>
      </c>
      <c r="AS55" s="23">
        <f>VALUE(0)</f>
        <v>0</v>
      </c>
      <c r="AT55" s="23">
        <f>VALUE(0)</f>
        <v>0</v>
      </c>
      <c r="AU55" s="23">
        <f>VALUE(0)</f>
        <v>0</v>
      </c>
      <c r="AV55" s="23">
        <f>VALUE(9.5)</f>
        <v>9.5</v>
      </c>
      <c r="AW55" s="23">
        <f>VALUE(0)</f>
        <v>0</v>
      </c>
      <c r="AX55" s="23" t="s">
        <v>1187</v>
      </c>
      <c r="AY55" s="23">
        <f>VALUE(0)</f>
        <v>0</v>
      </c>
      <c r="AZ55" s="23">
        <f>VALUE(0)</f>
        <v>0</v>
      </c>
      <c r="BA55" s="23">
        <f>VALUE(0)</f>
        <v>0</v>
      </c>
      <c r="BB55" s="23">
        <f>VALUE(0)</f>
        <v>0</v>
      </c>
      <c r="BC55" s="23">
        <f>VALUE(0)</f>
        <v>0</v>
      </c>
      <c r="BD55" s="23">
        <f>VALUE(0)</f>
        <v>0</v>
      </c>
      <c r="BE55" s="23">
        <f>VALUE(0)</f>
        <v>0</v>
      </c>
      <c r="BF55" s="23">
        <f>VALUE(0)</f>
        <v>0</v>
      </c>
      <c r="BG55" s="23">
        <f>VALUE(0)</f>
        <v>0</v>
      </c>
      <c r="BH55" s="23">
        <f>VALUE(0)</f>
        <v>0</v>
      </c>
      <c r="BI55" s="23">
        <f>VALUE(0)</f>
        <v>0</v>
      </c>
      <c r="BJ55" s="23">
        <f>VALUE(0)</f>
        <v>0</v>
      </c>
      <c r="BK55" s="12">
        <f>$AX$55*24</f>
        <v>8.85</v>
      </c>
      <c r="BL55" s="12">
        <f>$AY$55*24</f>
        <v>0</v>
      </c>
      <c r="BM55" s="12">
        <f>$BJ$55*24</f>
        <v>0</v>
      </c>
      <c r="BN55" s="12">
        <f>VALUE($I$55)/100</f>
        <v>1</v>
      </c>
      <c r="BO55" s="12">
        <v>0</v>
      </c>
      <c r="BP55" s="12">
        <v>0</v>
      </c>
      <c r="BQ55" s="12">
        <v>0</v>
      </c>
      <c r="BR55" s="12">
        <v>0</v>
      </c>
      <c r="BS55" s="12">
        <v>0</v>
      </c>
      <c r="BT55" s="12">
        <v>0</v>
      </c>
      <c r="BU55" s="12">
        <v>0</v>
      </c>
      <c r="BV55" s="12">
        <v>0</v>
      </c>
      <c r="BW55" s="12">
        <v>0</v>
      </c>
      <c r="BX55" s="12">
        <v>0</v>
      </c>
      <c r="BY55" s="12">
        <v>0</v>
      </c>
      <c r="BZ55" s="12">
        <v>0</v>
      </c>
      <c r="CA55" s="12">
        <v>0</v>
      </c>
    </row>
    <row r="56" spans="1:79" hidden="1" x14ac:dyDescent="0.2">
      <c r="A56" s="12" t="s">
        <v>102</v>
      </c>
      <c r="B56" s="12" t="s">
        <v>107</v>
      </c>
      <c r="C56" s="12" t="s">
        <v>107</v>
      </c>
      <c r="D56" s="22" t="s">
        <v>254</v>
      </c>
      <c r="E56" s="22" t="s">
        <v>149</v>
      </c>
      <c r="F56" s="22" t="s">
        <v>675</v>
      </c>
      <c r="G56" s="22" t="s">
        <v>676</v>
      </c>
      <c r="H56" s="22" t="s">
        <v>150</v>
      </c>
      <c r="I56" s="22" t="s">
        <v>151</v>
      </c>
      <c r="J56" s="22" t="s">
        <v>152</v>
      </c>
      <c r="K56" s="22" t="s">
        <v>68</v>
      </c>
      <c r="L56" s="54" t="s">
        <v>153</v>
      </c>
      <c r="M56" s="23" t="s">
        <v>153</v>
      </c>
      <c r="N56" s="24" t="s">
        <v>153</v>
      </c>
      <c r="O56" s="23" t="s">
        <v>153</v>
      </c>
      <c r="P56" s="23" t="s">
        <v>153</v>
      </c>
      <c r="Q56" s="24" t="s">
        <v>156</v>
      </c>
      <c r="R56" s="23" t="s">
        <v>153</v>
      </c>
      <c r="S56" s="23" t="s">
        <v>153</v>
      </c>
      <c r="T56" s="24" t="s">
        <v>156</v>
      </c>
      <c r="U56" s="24" t="s">
        <v>153</v>
      </c>
      <c r="V56" s="54" t="s">
        <v>153</v>
      </c>
      <c r="W56" s="23" t="s">
        <v>153</v>
      </c>
      <c r="X56" s="23" t="s">
        <v>153</v>
      </c>
      <c r="Y56" s="23" t="s">
        <v>153</v>
      </c>
      <c r="Z56" s="23" t="s">
        <v>153</v>
      </c>
      <c r="AA56" s="28" t="s">
        <v>338</v>
      </c>
      <c r="AB56" s="24" t="s">
        <v>153</v>
      </c>
      <c r="AC56" s="23" t="s">
        <v>153</v>
      </c>
      <c r="AD56" s="23" t="s">
        <v>153</v>
      </c>
      <c r="AE56" s="24" t="s">
        <v>156</v>
      </c>
      <c r="AF56" s="23" t="s">
        <v>153</v>
      </c>
      <c r="AG56" s="23" t="s">
        <v>153</v>
      </c>
      <c r="AH56" s="24" t="s">
        <v>156</v>
      </c>
      <c r="AI56" s="24" t="s">
        <v>153</v>
      </c>
      <c r="AJ56" s="23" t="s">
        <v>153</v>
      </c>
      <c r="AK56" s="23" t="s">
        <v>153</v>
      </c>
      <c r="AL56" s="23" t="s">
        <v>153</v>
      </c>
      <c r="AM56" s="23" t="s">
        <v>153</v>
      </c>
      <c r="AN56" s="23" t="s">
        <v>153</v>
      </c>
      <c r="AO56" s="23" t="s">
        <v>153</v>
      </c>
      <c r="AP56" s="23">
        <f>VALUE(0)</f>
        <v>0</v>
      </c>
      <c r="AQ56" s="23">
        <f>VALUE(0)</f>
        <v>0</v>
      </c>
      <c r="AR56" s="23">
        <f>VALUE(0)</f>
        <v>0</v>
      </c>
      <c r="AS56" s="23">
        <f>VALUE(0)</f>
        <v>0</v>
      </c>
      <c r="AT56" s="23">
        <f>VALUE(1)</f>
        <v>1</v>
      </c>
      <c r="AU56" s="23">
        <f>VALUE(0)</f>
        <v>0</v>
      </c>
      <c r="AV56" s="23">
        <f>VALUE(8)</f>
        <v>8</v>
      </c>
      <c r="AW56" s="23">
        <f>VALUE(0)</f>
        <v>0</v>
      </c>
      <c r="AX56" s="23" t="s">
        <v>171</v>
      </c>
      <c r="AY56" s="23" t="s">
        <v>255</v>
      </c>
      <c r="AZ56" s="23">
        <f>VALUE(0)</f>
        <v>0</v>
      </c>
      <c r="BA56" s="23">
        <f>VALUE(0)</f>
        <v>0</v>
      </c>
      <c r="BB56" s="23">
        <f>VALUE(0)</f>
        <v>0</v>
      </c>
      <c r="BC56" s="23">
        <f>VALUE(0)</f>
        <v>0</v>
      </c>
      <c r="BD56" s="23">
        <f>VALUE(0)</f>
        <v>0</v>
      </c>
      <c r="BE56" s="23">
        <f>VALUE(0)</f>
        <v>0</v>
      </c>
      <c r="BF56" s="23">
        <f>VALUE(0)</f>
        <v>0</v>
      </c>
      <c r="BG56" s="23">
        <f>VALUE(0)</f>
        <v>0</v>
      </c>
      <c r="BH56" s="23">
        <f>VALUE(0)</f>
        <v>0</v>
      </c>
      <c r="BI56" s="23">
        <f>VALUE(0)</f>
        <v>0</v>
      </c>
      <c r="BJ56" s="23">
        <f>VALUE(0)</f>
        <v>0</v>
      </c>
      <c r="BK56" s="12">
        <f>$AX$56*24</f>
        <v>5.833333333333333</v>
      </c>
      <c r="BL56" s="12">
        <f>$AY$56*24</f>
        <v>2.5</v>
      </c>
      <c r="BM56" s="12">
        <f>$BJ$56*24</f>
        <v>0</v>
      </c>
      <c r="BN56" s="12">
        <f>VALUE($I$56)/100</f>
        <v>1</v>
      </c>
      <c r="BO56" s="12">
        <v>0</v>
      </c>
      <c r="BP56" s="12">
        <v>0</v>
      </c>
      <c r="BQ56" s="12">
        <v>0</v>
      </c>
      <c r="BR56" s="12">
        <v>0</v>
      </c>
      <c r="BS56" s="12">
        <v>0</v>
      </c>
      <c r="BT56" s="12">
        <v>0</v>
      </c>
      <c r="BU56" s="12">
        <v>0</v>
      </c>
      <c r="BV56" s="12">
        <v>0</v>
      </c>
      <c r="BW56" s="12">
        <v>0</v>
      </c>
      <c r="BX56" s="12">
        <v>0</v>
      </c>
      <c r="BY56" s="12">
        <v>1</v>
      </c>
      <c r="BZ56" s="12">
        <v>0</v>
      </c>
      <c r="CA56" s="12">
        <v>0</v>
      </c>
    </row>
    <row r="57" spans="1:79" hidden="1" x14ac:dyDescent="0.2">
      <c r="A57" s="12" t="s">
        <v>102</v>
      </c>
      <c r="B57" s="12" t="s">
        <v>107</v>
      </c>
      <c r="C57" s="12" t="s">
        <v>107</v>
      </c>
      <c r="D57" s="22" t="s">
        <v>256</v>
      </c>
      <c r="E57" s="22" t="s">
        <v>149</v>
      </c>
      <c r="F57" s="22" t="s">
        <v>677</v>
      </c>
      <c r="G57" s="22" t="s">
        <v>678</v>
      </c>
      <c r="H57" s="22" t="s">
        <v>150</v>
      </c>
      <c r="I57" s="22" t="s">
        <v>151</v>
      </c>
      <c r="J57" s="22" t="s">
        <v>152</v>
      </c>
      <c r="K57" s="22" t="s">
        <v>68</v>
      </c>
      <c r="L57" s="54" t="s">
        <v>153</v>
      </c>
      <c r="M57" s="28" t="s">
        <v>163</v>
      </c>
      <c r="N57" s="24" t="s">
        <v>153</v>
      </c>
      <c r="O57" s="23" t="s">
        <v>153</v>
      </c>
      <c r="P57" s="23" t="s">
        <v>153</v>
      </c>
      <c r="Q57" s="23" t="s">
        <v>153</v>
      </c>
      <c r="R57" s="23" t="s">
        <v>153</v>
      </c>
      <c r="S57" s="23" t="s">
        <v>153</v>
      </c>
      <c r="T57" s="24" t="s">
        <v>156</v>
      </c>
      <c r="U57" s="24" t="s">
        <v>153</v>
      </c>
      <c r="V57" s="54" t="s">
        <v>153</v>
      </c>
      <c r="W57" s="23" t="s">
        <v>153</v>
      </c>
      <c r="X57" s="24" t="s">
        <v>156</v>
      </c>
      <c r="Y57" s="23" t="s">
        <v>153</v>
      </c>
      <c r="Z57" s="23" t="s">
        <v>153</v>
      </c>
      <c r="AA57" s="23" t="s">
        <v>153</v>
      </c>
      <c r="AB57" s="24" t="s">
        <v>153</v>
      </c>
      <c r="AC57" s="23" t="s">
        <v>153</v>
      </c>
      <c r="AD57" s="23" t="s">
        <v>153</v>
      </c>
      <c r="AE57" s="23" t="s">
        <v>153</v>
      </c>
      <c r="AF57" s="23" t="s">
        <v>153</v>
      </c>
      <c r="AG57" s="23" t="s">
        <v>153</v>
      </c>
      <c r="AH57" s="24" t="s">
        <v>156</v>
      </c>
      <c r="AI57" s="24" t="s">
        <v>153</v>
      </c>
      <c r="AJ57" s="23" t="s">
        <v>153</v>
      </c>
      <c r="AK57" s="23" t="s">
        <v>153</v>
      </c>
      <c r="AL57" s="24" t="s">
        <v>156</v>
      </c>
      <c r="AM57" s="23" t="s">
        <v>153</v>
      </c>
      <c r="AN57" s="23" t="s">
        <v>153</v>
      </c>
      <c r="AO57" s="23" t="s">
        <v>153</v>
      </c>
      <c r="AP57" s="23">
        <f>VALUE(0)</f>
        <v>0</v>
      </c>
      <c r="AQ57" s="23">
        <f>VALUE(0)</f>
        <v>0</v>
      </c>
      <c r="AR57" s="23">
        <f>VALUE(0)</f>
        <v>0</v>
      </c>
      <c r="AS57" s="23">
        <f>VALUE(0)</f>
        <v>0</v>
      </c>
      <c r="AT57" s="23">
        <f>VALUE(0)</f>
        <v>0</v>
      </c>
      <c r="AU57" s="23">
        <f>VALUE(1)</f>
        <v>1</v>
      </c>
      <c r="AV57" s="23">
        <f>VALUE(12)</f>
        <v>12</v>
      </c>
      <c r="AW57" s="23">
        <f>VALUE(0)</f>
        <v>0</v>
      </c>
      <c r="AX57" s="23" t="s">
        <v>1188</v>
      </c>
      <c r="AY57" s="23" t="s">
        <v>171</v>
      </c>
      <c r="AZ57" s="23">
        <f>VALUE(0)</f>
        <v>0</v>
      </c>
      <c r="BA57" s="23">
        <f>VALUE(0)</f>
        <v>0</v>
      </c>
      <c r="BB57" s="23">
        <f>VALUE(0)</f>
        <v>0</v>
      </c>
      <c r="BC57" s="23">
        <f>VALUE(0)</f>
        <v>0</v>
      </c>
      <c r="BD57" s="23">
        <f>VALUE(0)</f>
        <v>0</v>
      </c>
      <c r="BE57" s="23">
        <f>VALUE(0)</f>
        <v>0</v>
      </c>
      <c r="BF57" s="23">
        <f>VALUE(0)</f>
        <v>0</v>
      </c>
      <c r="BG57" s="23">
        <f>VALUE(0)</f>
        <v>0</v>
      </c>
      <c r="BH57" s="23">
        <f>VALUE(0)</f>
        <v>0</v>
      </c>
      <c r="BI57" s="23">
        <f>VALUE(0)</f>
        <v>0</v>
      </c>
      <c r="BJ57" s="23">
        <f>VALUE(0)</f>
        <v>0</v>
      </c>
      <c r="BK57" s="12">
        <f>$AX$57*24</f>
        <v>24.5</v>
      </c>
      <c r="BL57" s="12">
        <f>$AY$57*24</f>
        <v>5.833333333333333</v>
      </c>
      <c r="BM57" s="12">
        <f>$BJ$57*24</f>
        <v>0</v>
      </c>
      <c r="BN57" s="12">
        <f>VALUE($I$57)/100</f>
        <v>1</v>
      </c>
      <c r="BO57" s="12">
        <v>0</v>
      </c>
      <c r="BP57" s="12">
        <v>0</v>
      </c>
      <c r="BQ57" s="12">
        <v>0</v>
      </c>
      <c r="BR57" s="12">
        <v>0</v>
      </c>
      <c r="BS57" s="12">
        <v>0</v>
      </c>
      <c r="BT57" s="12">
        <v>0</v>
      </c>
      <c r="BU57" s="12">
        <v>0</v>
      </c>
      <c r="BV57" s="12">
        <v>0</v>
      </c>
      <c r="BW57" s="12">
        <v>0</v>
      </c>
      <c r="BX57" s="12">
        <v>0</v>
      </c>
      <c r="BY57" s="12">
        <v>0</v>
      </c>
      <c r="BZ57" s="12">
        <v>0</v>
      </c>
      <c r="CA57" s="12">
        <v>0</v>
      </c>
    </row>
    <row r="58" spans="1:79" hidden="1" x14ac:dyDescent="0.2">
      <c r="A58" s="12" t="s">
        <v>102</v>
      </c>
      <c r="B58" s="12" t="s">
        <v>107</v>
      </c>
      <c r="C58" s="12" t="s">
        <v>107</v>
      </c>
      <c r="D58" s="22" t="s">
        <v>258</v>
      </c>
      <c r="E58" s="22" t="s">
        <v>149</v>
      </c>
      <c r="F58" s="22" t="s">
        <v>679</v>
      </c>
      <c r="G58" s="22" t="s">
        <v>680</v>
      </c>
      <c r="H58" s="22" t="s">
        <v>150</v>
      </c>
      <c r="I58" s="22" t="s">
        <v>151</v>
      </c>
      <c r="J58" s="22" t="s">
        <v>152</v>
      </c>
      <c r="K58" s="22" t="s">
        <v>68</v>
      </c>
      <c r="L58" s="54" t="s">
        <v>153</v>
      </c>
      <c r="M58" s="24" t="s">
        <v>156</v>
      </c>
      <c r="N58" s="24" t="s">
        <v>153</v>
      </c>
      <c r="O58" s="24" t="s">
        <v>156</v>
      </c>
      <c r="P58" s="28" t="s">
        <v>163</v>
      </c>
      <c r="Q58" s="28" t="s">
        <v>163</v>
      </c>
      <c r="R58" s="28" t="s">
        <v>163</v>
      </c>
      <c r="S58" s="28" t="s">
        <v>163</v>
      </c>
      <c r="T58" s="28" t="s">
        <v>163</v>
      </c>
      <c r="U58" s="24" t="s">
        <v>153</v>
      </c>
      <c r="V58" s="54" t="s">
        <v>153</v>
      </c>
      <c r="W58" s="28" t="s">
        <v>163</v>
      </c>
      <c r="X58" s="28" t="s">
        <v>163</v>
      </c>
      <c r="Y58" s="28" t="s">
        <v>163</v>
      </c>
      <c r="Z58" s="28" t="s">
        <v>163</v>
      </c>
      <c r="AA58" s="28" t="s">
        <v>163</v>
      </c>
      <c r="AB58" s="24" t="s">
        <v>153</v>
      </c>
      <c r="AC58" s="28" t="s">
        <v>163</v>
      </c>
      <c r="AD58" s="23" t="s">
        <v>153</v>
      </c>
      <c r="AE58" s="23" t="s">
        <v>153</v>
      </c>
      <c r="AF58" s="23" t="s">
        <v>153</v>
      </c>
      <c r="AG58" s="23" t="s">
        <v>153</v>
      </c>
      <c r="AH58" s="23" t="s">
        <v>153</v>
      </c>
      <c r="AI58" s="24" t="s">
        <v>153</v>
      </c>
      <c r="AJ58" s="23" t="s">
        <v>153</v>
      </c>
      <c r="AK58" s="23" t="s">
        <v>153</v>
      </c>
      <c r="AL58" s="23" t="s">
        <v>153</v>
      </c>
      <c r="AM58" s="23" t="s">
        <v>153</v>
      </c>
      <c r="AN58" s="23" t="s">
        <v>153</v>
      </c>
      <c r="AO58" s="24" t="s">
        <v>156</v>
      </c>
      <c r="AP58" s="23">
        <f>VALUE(0)</f>
        <v>0</v>
      </c>
      <c r="AQ58" s="23">
        <f>VALUE(0)</f>
        <v>0</v>
      </c>
      <c r="AR58" s="23">
        <f>VALUE(0)</f>
        <v>0</v>
      </c>
      <c r="AS58" s="23">
        <f>VALUE(0)</f>
        <v>0</v>
      </c>
      <c r="AT58" s="23">
        <f>VALUE(0)</f>
        <v>0</v>
      </c>
      <c r="AU58" s="23">
        <f>VALUE(11)</f>
        <v>11</v>
      </c>
      <c r="AV58" s="23">
        <f>VALUE(0.5)</f>
        <v>0.5</v>
      </c>
      <c r="AW58" s="23">
        <f>VALUE(0)</f>
        <v>0</v>
      </c>
      <c r="AX58" s="23" t="s">
        <v>176</v>
      </c>
      <c r="AY58" s="23" t="s">
        <v>259</v>
      </c>
      <c r="AZ58" s="23">
        <f>VALUE(0)</f>
        <v>0</v>
      </c>
      <c r="BA58" s="23">
        <f>VALUE(0)</f>
        <v>0</v>
      </c>
      <c r="BB58" s="23">
        <f>VALUE(0)</f>
        <v>0</v>
      </c>
      <c r="BC58" s="23">
        <f>VALUE(0)</f>
        <v>0</v>
      </c>
      <c r="BD58" s="23">
        <f>VALUE(0)</f>
        <v>0</v>
      </c>
      <c r="BE58" s="23">
        <f>VALUE(0)</f>
        <v>0</v>
      </c>
      <c r="BF58" s="23">
        <f>VALUE(0)</f>
        <v>0</v>
      </c>
      <c r="BG58" s="23">
        <f>VALUE(0)</f>
        <v>0</v>
      </c>
      <c r="BH58" s="23">
        <f>VALUE(0)</f>
        <v>0</v>
      </c>
      <c r="BI58" s="23">
        <f>VALUE(0)</f>
        <v>0</v>
      </c>
      <c r="BJ58" s="23">
        <f>VALUE(0)</f>
        <v>0</v>
      </c>
      <c r="BK58" s="12">
        <f>$AX$58*24</f>
        <v>0</v>
      </c>
      <c r="BL58" s="12">
        <f>$AY$58*24</f>
        <v>6.5</v>
      </c>
      <c r="BM58" s="12">
        <f>$BJ$58*24</f>
        <v>0</v>
      </c>
      <c r="BN58" s="12">
        <f>VALUE($I$58)/100</f>
        <v>1</v>
      </c>
      <c r="BO58" s="12">
        <v>0</v>
      </c>
      <c r="BP58" s="12">
        <v>0</v>
      </c>
      <c r="BQ58" s="12">
        <v>0</v>
      </c>
      <c r="BR58" s="12">
        <v>0</v>
      </c>
      <c r="BS58" s="12">
        <v>0</v>
      </c>
      <c r="BT58" s="12">
        <v>0</v>
      </c>
      <c r="BU58" s="12">
        <v>0</v>
      </c>
      <c r="BV58" s="12">
        <v>0</v>
      </c>
      <c r="BW58" s="12">
        <v>0</v>
      </c>
      <c r="BX58" s="12">
        <v>0</v>
      </c>
      <c r="BY58" s="12">
        <v>0</v>
      </c>
      <c r="BZ58" s="12">
        <v>0</v>
      </c>
      <c r="CA58" s="12">
        <v>0</v>
      </c>
    </row>
    <row r="59" spans="1:79" ht="15" hidden="1" x14ac:dyDescent="0.25">
      <c r="A59" s="12" t="s">
        <v>102</v>
      </c>
      <c r="B59" s="12" t="s">
        <v>107</v>
      </c>
      <c r="C59" s="12" t="s">
        <v>107</v>
      </c>
      <c r="D59" s="31" t="s">
        <v>333</v>
      </c>
      <c r="E59" s="31" t="s">
        <v>153</v>
      </c>
      <c r="F59" s="31" t="s">
        <v>175</v>
      </c>
      <c r="G59" s="31" t="s">
        <v>153</v>
      </c>
      <c r="H59" s="31" t="s">
        <v>153</v>
      </c>
      <c r="I59" s="31" t="s">
        <v>153</v>
      </c>
      <c r="J59" s="31" t="s">
        <v>153</v>
      </c>
      <c r="K59" s="31" t="s">
        <v>153</v>
      </c>
      <c r="L59" s="31">
        <f>VALUE(0)</f>
        <v>0</v>
      </c>
      <c r="M59" s="31">
        <f>VALUE(4)</f>
        <v>4</v>
      </c>
      <c r="N59" s="31">
        <f>VALUE(0)</f>
        <v>0</v>
      </c>
      <c r="O59" s="31">
        <f>VALUE(5)</f>
        <v>5</v>
      </c>
      <c r="P59" s="31">
        <f>VALUE(7)</f>
        <v>7</v>
      </c>
      <c r="Q59" s="31">
        <f>VALUE(6)</f>
        <v>6</v>
      </c>
      <c r="R59" s="31">
        <f>VALUE(7)</f>
        <v>7</v>
      </c>
      <c r="S59" s="31">
        <f>VALUE(7)</f>
        <v>7</v>
      </c>
      <c r="T59" s="31">
        <f>VALUE(2)</f>
        <v>2</v>
      </c>
      <c r="U59" s="31">
        <f>VALUE(0)</f>
        <v>0</v>
      </c>
      <c r="V59" s="31">
        <f>VALUE(0)</f>
        <v>0</v>
      </c>
      <c r="W59" s="31">
        <f>VALUE(6)</f>
        <v>6</v>
      </c>
      <c r="X59" s="31">
        <f>VALUE(5)</f>
        <v>5</v>
      </c>
      <c r="Y59" s="31">
        <f>VALUE(7)</f>
        <v>7</v>
      </c>
      <c r="Z59" s="31">
        <f>VALUE(7)</f>
        <v>7</v>
      </c>
      <c r="AA59" s="31">
        <f>VALUE(4)</f>
        <v>4</v>
      </c>
      <c r="AB59" s="31">
        <f>VALUE(0)</f>
        <v>0</v>
      </c>
      <c r="AC59" s="31">
        <f>VALUE(5)</f>
        <v>5</v>
      </c>
      <c r="AD59" s="31">
        <f>VALUE(8)</f>
        <v>8</v>
      </c>
      <c r="AE59" s="31">
        <f>VALUE(7)</f>
        <v>7</v>
      </c>
      <c r="AF59" s="31">
        <f>VALUE(8)</f>
        <v>8</v>
      </c>
      <c r="AG59" s="31">
        <f>VALUE(8)</f>
        <v>8</v>
      </c>
      <c r="AH59" s="31">
        <f>VALUE(3)</f>
        <v>3</v>
      </c>
      <c r="AI59" s="31">
        <f>VALUE(0)</f>
        <v>0</v>
      </c>
      <c r="AJ59" s="31">
        <f>VALUE(5)</f>
        <v>5</v>
      </c>
      <c r="AK59" s="31">
        <f>VALUE(8)</f>
        <v>8</v>
      </c>
      <c r="AL59" s="31">
        <f>VALUE(7)</f>
        <v>7</v>
      </c>
      <c r="AM59" s="31">
        <f>VALUE(8)</f>
        <v>8</v>
      </c>
      <c r="AN59" s="31">
        <f>VALUE(8)</f>
        <v>8</v>
      </c>
      <c r="AO59" s="31">
        <f>VALUE(5)</f>
        <v>5</v>
      </c>
      <c r="AP59" s="31">
        <v>0</v>
      </c>
      <c r="AQ59" s="31">
        <v>0</v>
      </c>
      <c r="AR59" s="31">
        <v>0</v>
      </c>
      <c r="AS59" s="31">
        <v>0</v>
      </c>
      <c r="AT59" s="31">
        <v>0</v>
      </c>
      <c r="AU59" s="31">
        <v>0</v>
      </c>
      <c r="AV59" s="31">
        <v>0</v>
      </c>
      <c r="AW59" s="31">
        <v>0</v>
      </c>
      <c r="AX59" s="31">
        <v>0</v>
      </c>
      <c r="AY59" s="31">
        <v>0</v>
      </c>
      <c r="AZ59" s="31">
        <v>0</v>
      </c>
      <c r="BA59" s="31">
        <v>0</v>
      </c>
      <c r="BB59" s="31">
        <v>0</v>
      </c>
      <c r="BC59" s="31">
        <v>0</v>
      </c>
      <c r="BD59" s="31">
        <v>0</v>
      </c>
      <c r="BE59" s="31">
        <v>0</v>
      </c>
      <c r="BF59" s="31">
        <v>0</v>
      </c>
      <c r="BG59" s="31">
        <v>0</v>
      </c>
      <c r="BH59" s="31">
        <v>0</v>
      </c>
      <c r="BI59" s="31">
        <v>0</v>
      </c>
      <c r="BJ59" s="31">
        <v>0</v>
      </c>
      <c r="BK59" s="12">
        <v>0</v>
      </c>
      <c r="BL59" s="12">
        <v>0</v>
      </c>
      <c r="BM59" s="12">
        <v>0</v>
      </c>
      <c r="BN59" s="12"/>
      <c r="BO59" s="12">
        <v>0</v>
      </c>
      <c r="BP59" s="12">
        <v>0</v>
      </c>
      <c r="BQ59" s="12">
        <v>0</v>
      </c>
      <c r="BR59" s="12">
        <v>0</v>
      </c>
      <c r="BS59" s="12">
        <v>0</v>
      </c>
      <c r="BT59" s="12">
        <v>0</v>
      </c>
      <c r="BU59" s="12">
        <v>0</v>
      </c>
      <c r="BV59" s="12">
        <v>0</v>
      </c>
      <c r="BW59" s="12">
        <v>0</v>
      </c>
      <c r="BX59" s="12">
        <v>0</v>
      </c>
      <c r="BY59" s="12">
        <v>0</v>
      </c>
      <c r="BZ59" s="12">
        <v>0</v>
      </c>
      <c r="CA59" s="12">
        <v>0</v>
      </c>
    </row>
    <row r="60" spans="1:79" hidden="1" x14ac:dyDescent="0.2">
      <c r="A60" s="12" t="s">
        <v>102</v>
      </c>
      <c r="B60" s="12" t="s">
        <v>108</v>
      </c>
      <c r="C60" s="12" t="s">
        <v>108</v>
      </c>
      <c r="D60" s="22" t="s">
        <v>260</v>
      </c>
      <c r="E60" s="22" t="s">
        <v>173</v>
      </c>
      <c r="F60" s="22" t="s">
        <v>681</v>
      </c>
      <c r="G60" s="22" t="s">
        <v>682</v>
      </c>
      <c r="H60" s="22" t="s">
        <v>150</v>
      </c>
      <c r="I60" s="22" t="s">
        <v>151</v>
      </c>
      <c r="J60" s="22" t="s">
        <v>162</v>
      </c>
      <c r="K60" s="22" t="s">
        <v>69</v>
      </c>
      <c r="L60" s="54" t="s">
        <v>156</v>
      </c>
      <c r="M60" s="23" t="s">
        <v>153</v>
      </c>
      <c r="N60" s="24" t="s">
        <v>153</v>
      </c>
      <c r="O60" s="23" t="s">
        <v>153</v>
      </c>
      <c r="P60" s="23" t="s">
        <v>153</v>
      </c>
      <c r="Q60" s="24" t="s">
        <v>156</v>
      </c>
      <c r="R60" s="23" t="s">
        <v>153</v>
      </c>
      <c r="S60" s="23" t="s">
        <v>153</v>
      </c>
      <c r="T60" s="23" t="s">
        <v>153</v>
      </c>
      <c r="U60" s="24" t="s">
        <v>153</v>
      </c>
      <c r="V60" s="54" t="s">
        <v>153</v>
      </c>
      <c r="W60" s="23" t="s">
        <v>153</v>
      </c>
      <c r="X60" s="23" t="s">
        <v>153</v>
      </c>
      <c r="Y60" s="24" t="s">
        <v>156</v>
      </c>
      <c r="Z60" s="23" t="s">
        <v>153</v>
      </c>
      <c r="AA60" s="23" t="s">
        <v>153</v>
      </c>
      <c r="AB60" s="24" t="s">
        <v>153</v>
      </c>
      <c r="AC60" s="23" t="s">
        <v>153</v>
      </c>
      <c r="AD60" s="23" t="s">
        <v>153</v>
      </c>
      <c r="AE60" s="24" t="s">
        <v>156</v>
      </c>
      <c r="AF60" s="23" t="s">
        <v>153</v>
      </c>
      <c r="AG60" s="23" t="s">
        <v>153</v>
      </c>
      <c r="AH60" s="23" t="s">
        <v>153</v>
      </c>
      <c r="AI60" s="24" t="s">
        <v>153</v>
      </c>
      <c r="AJ60" s="23" t="s">
        <v>153</v>
      </c>
      <c r="AK60" s="23" t="s">
        <v>153</v>
      </c>
      <c r="AL60" s="23" t="s">
        <v>153</v>
      </c>
      <c r="AM60" s="23" t="s">
        <v>153</v>
      </c>
      <c r="AN60" s="24" t="s">
        <v>156</v>
      </c>
      <c r="AO60" s="30" t="s">
        <v>29</v>
      </c>
      <c r="AP60" s="23">
        <f>VALUE(0)</f>
        <v>0</v>
      </c>
      <c r="AQ60" s="23">
        <f>VALUE(0)</f>
        <v>0</v>
      </c>
      <c r="AR60" s="23">
        <f>VALUE(0)</f>
        <v>0</v>
      </c>
      <c r="AS60" s="23">
        <f>VALUE(0)</f>
        <v>0</v>
      </c>
      <c r="AT60" s="23">
        <f>VALUE(0)</f>
        <v>0</v>
      </c>
      <c r="AU60" s="23">
        <f>VALUE(0)</f>
        <v>0</v>
      </c>
      <c r="AV60" s="23">
        <f>VALUE(6)</f>
        <v>6</v>
      </c>
      <c r="AW60" s="23">
        <f>VALUE(0)</f>
        <v>0</v>
      </c>
      <c r="AX60" s="23" t="s">
        <v>445</v>
      </c>
      <c r="AY60" s="23" t="s">
        <v>1189</v>
      </c>
      <c r="AZ60" s="23">
        <f>VALUE(0)</f>
        <v>0</v>
      </c>
      <c r="BA60" s="23">
        <f>VALUE(0)</f>
        <v>0</v>
      </c>
      <c r="BB60" s="23">
        <f>VALUE(0)</f>
        <v>0</v>
      </c>
      <c r="BC60" s="23">
        <f>VALUE(0)</f>
        <v>0</v>
      </c>
      <c r="BD60" s="23">
        <f>VALUE(0)</f>
        <v>0</v>
      </c>
      <c r="BE60" s="23">
        <f>VALUE(0)</f>
        <v>0</v>
      </c>
      <c r="BF60" s="23">
        <f>VALUE(0)</f>
        <v>0</v>
      </c>
      <c r="BG60" s="23">
        <f>VALUE(0)</f>
        <v>0</v>
      </c>
      <c r="BH60" s="23">
        <f>VALUE(0)</f>
        <v>0</v>
      </c>
      <c r="BI60" s="23">
        <f>VALUE(0)</f>
        <v>0</v>
      </c>
      <c r="BJ60" s="23">
        <f>VALUE(0)</f>
        <v>0</v>
      </c>
      <c r="BK60" s="12">
        <f>$AX$60*24</f>
        <v>17.5</v>
      </c>
      <c r="BL60" s="12">
        <f>$AY$60*24</f>
        <v>142</v>
      </c>
      <c r="BM60" s="12">
        <f>$BJ$60*24</f>
        <v>0</v>
      </c>
      <c r="BN60" s="12">
        <f>VALUE($I$60)/100</f>
        <v>1</v>
      </c>
      <c r="BO60" s="12">
        <v>0</v>
      </c>
      <c r="BP60" s="12">
        <v>0</v>
      </c>
      <c r="BQ60" s="12">
        <v>0</v>
      </c>
      <c r="BR60" s="12">
        <v>0</v>
      </c>
      <c r="BS60" s="12">
        <v>0</v>
      </c>
      <c r="BT60" s="12">
        <v>0</v>
      </c>
      <c r="BU60" s="12">
        <v>0</v>
      </c>
      <c r="BV60" s="12">
        <v>0</v>
      </c>
      <c r="BW60" s="12">
        <v>0</v>
      </c>
      <c r="BX60" s="12">
        <v>0</v>
      </c>
      <c r="BY60" s="12">
        <v>0</v>
      </c>
      <c r="BZ60" s="12">
        <v>0</v>
      </c>
      <c r="CA60" s="12">
        <v>0</v>
      </c>
    </row>
    <row r="61" spans="1:79" ht="15" hidden="1" x14ac:dyDescent="0.25">
      <c r="A61" s="12" t="s">
        <v>102</v>
      </c>
      <c r="B61" s="12" t="s">
        <v>108</v>
      </c>
      <c r="C61" s="12" t="s">
        <v>108</v>
      </c>
      <c r="D61" s="31" t="s">
        <v>262</v>
      </c>
      <c r="E61" s="31" t="s">
        <v>153</v>
      </c>
      <c r="F61" s="31" t="s">
        <v>175</v>
      </c>
      <c r="G61" s="31" t="s">
        <v>153</v>
      </c>
      <c r="H61" s="31" t="s">
        <v>153</v>
      </c>
      <c r="I61" s="31" t="s">
        <v>153</v>
      </c>
      <c r="J61" s="31" t="s">
        <v>153</v>
      </c>
      <c r="K61" s="31" t="s">
        <v>153</v>
      </c>
      <c r="L61" s="31">
        <f>VALUE(0)</f>
        <v>0</v>
      </c>
      <c r="M61" s="31">
        <f>VALUE(1)</f>
        <v>1</v>
      </c>
      <c r="N61" s="31">
        <f>VALUE(0)</f>
        <v>0</v>
      </c>
      <c r="O61" s="31">
        <f>VALUE(1)</f>
        <v>1</v>
      </c>
      <c r="P61" s="31">
        <f>VALUE(1)</f>
        <v>1</v>
      </c>
      <c r="Q61" s="31">
        <f>VALUE(0)</f>
        <v>0</v>
      </c>
      <c r="R61" s="31">
        <f>VALUE(1)</f>
        <v>1</v>
      </c>
      <c r="S61" s="31">
        <f>VALUE(1)</f>
        <v>1</v>
      </c>
      <c r="T61" s="31">
        <f>VALUE(1)</f>
        <v>1</v>
      </c>
      <c r="U61" s="31">
        <f>VALUE(0)</f>
        <v>0</v>
      </c>
      <c r="V61" s="31">
        <f>VALUE(0)</f>
        <v>0</v>
      </c>
      <c r="W61" s="31">
        <f>VALUE(1)</f>
        <v>1</v>
      </c>
      <c r="X61" s="31">
        <f>VALUE(1)</f>
        <v>1</v>
      </c>
      <c r="Y61" s="31">
        <f>VALUE(0)</f>
        <v>0</v>
      </c>
      <c r="Z61" s="31">
        <f>VALUE(1)</f>
        <v>1</v>
      </c>
      <c r="AA61" s="31">
        <f>VALUE(1)</f>
        <v>1</v>
      </c>
      <c r="AB61" s="31">
        <f>VALUE(0)</f>
        <v>0</v>
      </c>
      <c r="AC61" s="31">
        <f>VALUE(1)</f>
        <v>1</v>
      </c>
      <c r="AD61" s="31">
        <f>VALUE(1)</f>
        <v>1</v>
      </c>
      <c r="AE61" s="31">
        <f>VALUE(0)</f>
        <v>0</v>
      </c>
      <c r="AF61" s="31">
        <f>VALUE(1)</f>
        <v>1</v>
      </c>
      <c r="AG61" s="31">
        <f>VALUE(1)</f>
        <v>1</v>
      </c>
      <c r="AH61" s="31">
        <f>VALUE(1)</f>
        <v>1</v>
      </c>
      <c r="AI61" s="31">
        <f>VALUE(0)</f>
        <v>0</v>
      </c>
      <c r="AJ61" s="31">
        <f>VALUE(1)</f>
        <v>1</v>
      </c>
      <c r="AK61" s="31">
        <f>VALUE(1)</f>
        <v>1</v>
      </c>
      <c r="AL61" s="31">
        <f>VALUE(1)</f>
        <v>1</v>
      </c>
      <c r="AM61" s="31">
        <f>VALUE(1)</f>
        <v>1</v>
      </c>
      <c r="AN61" s="31">
        <f>VALUE(0)</f>
        <v>0</v>
      </c>
      <c r="AO61" s="31">
        <f>VALUE(0)</f>
        <v>0</v>
      </c>
      <c r="AP61" s="31">
        <v>0</v>
      </c>
      <c r="AQ61" s="31">
        <v>0</v>
      </c>
      <c r="AR61" s="31">
        <v>0</v>
      </c>
      <c r="AS61" s="31">
        <v>0</v>
      </c>
      <c r="AT61" s="31">
        <v>0</v>
      </c>
      <c r="AU61" s="31">
        <v>0</v>
      </c>
      <c r="AV61" s="31">
        <v>0</v>
      </c>
      <c r="AW61" s="31">
        <v>0</v>
      </c>
      <c r="AX61" s="31">
        <v>0</v>
      </c>
      <c r="AY61" s="31">
        <v>0</v>
      </c>
      <c r="AZ61" s="31">
        <v>0</v>
      </c>
      <c r="BA61" s="31">
        <v>0</v>
      </c>
      <c r="BB61" s="31">
        <v>0</v>
      </c>
      <c r="BC61" s="31">
        <v>0</v>
      </c>
      <c r="BD61" s="31">
        <v>0</v>
      </c>
      <c r="BE61" s="31">
        <v>0</v>
      </c>
      <c r="BF61" s="31">
        <v>0</v>
      </c>
      <c r="BG61" s="31">
        <v>0</v>
      </c>
      <c r="BH61" s="31">
        <v>0</v>
      </c>
      <c r="BI61" s="31">
        <v>0</v>
      </c>
      <c r="BJ61" s="31">
        <v>0</v>
      </c>
      <c r="BK61" s="12">
        <v>0</v>
      </c>
      <c r="BL61" s="12">
        <v>0</v>
      </c>
      <c r="BM61" s="12">
        <v>0</v>
      </c>
      <c r="BN61" s="12"/>
      <c r="BO61" s="12">
        <v>0</v>
      </c>
      <c r="BP61" s="12">
        <v>0</v>
      </c>
      <c r="BQ61" s="12">
        <v>0</v>
      </c>
      <c r="BR61" s="12">
        <v>0</v>
      </c>
      <c r="BS61" s="12">
        <v>0</v>
      </c>
      <c r="BT61" s="12">
        <v>0</v>
      </c>
      <c r="BU61" s="12">
        <v>0</v>
      </c>
      <c r="BV61" s="12">
        <v>0</v>
      </c>
      <c r="BW61" s="12">
        <v>0</v>
      </c>
      <c r="BX61" s="12">
        <v>0</v>
      </c>
      <c r="BY61" s="12">
        <v>0</v>
      </c>
      <c r="BZ61" s="12">
        <v>0</v>
      </c>
      <c r="CA61" s="12">
        <v>0</v>
      </c>
    </row>
    <row r="62" spans="1:79" hidden="1" x14ac:dyDescent="0.2">
      <c r="A62" s="12" t="s">
        <v>102</v>
      </c>
      <c r="B62" s="12" t="s">
        <v>109</v>
      </c>
      <c r="C62" s="12" t="s">
        <v>109</v>
      </c>
      <c r="D62" s="22" t="s">
        <v>263</v>
      </c>
      <c r="E62" s="22" t="s">
        <v>161</v>
      </c>
      <c r="F62" s="22" t="s">
        <v>683</v>
      </c>
      <c r="G62" s="22" t="s">
        <v>684</v>
      </c>
      <c r="H62" s="22" t="s">
        <v>150</v>
      </c>
      <c r="I62" s="22" t="s">
        <v>151</v>
      </c>
      <c r="J62" s="22" t="s">
        <v>264</v>
      </c>
      <c r="K62" s="22" t="s">
        <v>70</v>
      </c>
      <c r="L62" s="54" t="s">
        <v>153</v>
      </c>
      <c r="M62" s="23" t="s">
        <v>153</v>
      </c>
      <c r="N62" s="24" t="s">
        <v>153</v>
      </c>
      <c r="O62" s="23" t="s">
        <v>153</v>
      </c>
      <c r="P62" s="23" t="s">
        <v>153</v>
      </c>
      <c r="Q62" s="23" t="s">
        <v>153</v>
      </c>
      <c r="R62" s="23" t="s">
        <v>153</v>
      </c>
      <c r="S62" s="23" t="s">
        <v>153</v>
      </c>
      <c r="T62" s="24" t="s">
        <v>156</v>
      </c>
      <c r="U62" s="24" t="s">
        <v>153</v>
      </c>
      <c r="V62" s="54" t="s">
        <v>153</v>
      </c>
      <c r="W62" s="23" t="s">
        <v>153</v>
      </c>
      <c r="X62" s="23" t="s">
        <v>153</v>
      </c>
      <c r="Y62" s="23" t="s">
        <v>153</v>
      </c>
      <c r="Z62" s="23" t="s">
        <v>153</v>
      </c>
      <c r="AA62" s="23" t="s">
        <v>153</v>
      </c>
      <c r="AB62" s="24" t="s">
        <v>153</v>
      </c>
      <c r="AC62" s="23" t="s">
        <v>153</v>
      </c>
      <c r="AD62" s="23" t="s">
        <v>153</v>
      </c>
      <c r="AE62" s="23" t="s">
        <v>153</v>
      </c>
      <c r="AF62" s="23" t="s">
        <v>153</v>
      </c>
      <c r="AG62" s="23" t="s">
        <v>153</v>
      </c>
      <c r="AH62" s="24" t="s">
        <v>156</v>
      </c>
      <c r="AI62" s="24" t="s">
        <v>153</v>
      </c>
      <c r="AJ62" s="23" t="s">
        <v>153</v>
      </c>
      <c r="AK62" s="23" t="s">
        <v>153</v>
      </c>
      <c r="AL62" s="23" t="s">
        <v>153</v>
      </c>
      <c r="AM62" s="23" t="s">
        <v>153</v>
      </c>
      <c r="AN62" s="23" t="s">
        <v>153</v>
      </c>
      <c r="AO62" s="23" t="s">
        <v>153</v>
      </c>
      <c r="AP62" s="23">
        <f>VALUE(0)</f>
        <v>0</v>
      </c>
      <c r="AQ62" s="23">
        <f>VALUE(0)</f>
        <v>0</v>
      </c>
      <c r="AR62" s="23">
        <f>VALUE(0)</f>
        <v>0</v>
      </c>
      <c r="AS62" s="23">
        <f>VALUE(0)</f>
        <v>0</v>
      </c>
      <c r="AT62" s="23">
        <f>VALUE(0)</f>
        <v>0</v>
      </c>
      <c r="AU62" s="23">
        <f>VALUE(0)</f>
        <v>0</v>
      </c>
      <c r="AV62" s="23">
        <f>VALUE(5)</f>
        <v>5</v>
      </c>
      <c r="AW62" s="23">
        <f>VALUE(0)</f>
        <v>0</v>
      </c>
      <c r="AX62" s="23" t="s">
        <v>171</v>
      </c>
      <c r="AY62" s="23" t="s">
        <v>265</v>
      </c>
      <c r="AZ62" s="23">
        <f>VALUE(0)</f>
        <v>0</v>
      </c>
      <c r="BA62" s="23">
        <f>VALUE(0)</f>
        <v>0</v>
      </c>
      <c r="BB62" s="23">
        <f>VALUE(0)</f>
        <v>0</v>
      </c>
      <c r="BC62" s="23">
        <f>VALUE(0)</f>
        <v>0</v>
      </c>
      <c r="BD62" s="23">
        <f>VALUE(0)</f>
        <v>0</v>
      </c>
      <c r="BE62" s="23">
        <f>VALUE(0)</f>
        <v>0</v>
      </c>
      <c r="BF62" s="23">
        <f>VALUE(0)</f>
        <v>0</v>
      </c>
      <c r="BG62" s="23">
        <f>VALUE(0)</f>
        <v>0</v>
      </c>
      <c r="BH62" s="23">
        <f>VALUE(0)</f>
        <v>0</v>
      </c>
      <c r="BI62" s="23">
        <f>VALUE(0)</f>
        <v>0</v>
      </c>
      <c r="BJ62" s="23">
        <f>VALUE(0)</f>
        <v>0</v>
      </c>
      <c r="BK62" s="12">
        <f>$AX$62*24</f>
        <v>5.833333333333333</v>
      </c>
      <c r="BL62" s="12">
        <f>$AY$62*24</f>
        <v>5.7666666666666666</v>
      </c>
      <c r="BM62" s="12">
        <f>$BJ$62*24</f>
        <v>0</v>
      </c>
      <c r="BN62" s="12">
        <f>VALUE($I$62)/100</f>
        <v>1</v>
      </c>
      <c r="BO62" s="12">
        <v>0</v>
      </c>
      <c r="BP62" s="12">
        <v>0</v>
      </c>
      <c r="BQ62" s="12">
        <v>0</v>
      </c>
      <c r="BR62" s="12">
        <v>0</v>
      </c>
      <c r="BS62" s="12">
        <v>0</v>
      </c>
      <c r="BT62" s="12">
        <v>0</v>
      </c>
      <c r="BU62" s="12">
        <v>0</v>
      </c>
      <c r="BV62" s="12">
        <v>0</v>
      </c>
      <c r="BW62" s="12">
        <v>0</v>
      </c>
      <c r="BX62" s="12">
        <v>0</v>
      </c>
      <c r="BY62" s="12">
        <v>0</v>
      </c>
      <c r="BZ62" s="12">
        <v>0</v>
      </c>
      <c r="CA62" s="12">
        <v>0</v>
      </c>
    </row>
    <row r="63" spans="1:79" ht="16.5" hidden="1" x14ac:dyDescent="0.2">
      <c r="A63" s="12" t="s">
        <v>102</v>
      </c>
      <c r="B63" s="12" t="s">
        <v>109</v>
      </c>
      <c r="C63" s="12" t="s">
        <v>109</v>
      </c>
      <c r="D63" s="22" t="s">
        <v>266</v>
      </c>
      <c r="E63" s="22" t="s">
        <v>173</v>
      </c>
      <c r="F63" s="22" t="s">
        <v>685</v>
      </c>
      <c r="G63" s="22" t="s">
        <v>686</v>
      </c>
      <c r="H63" s="22" t="s">
        <v>150</v>
      </c>
      <c r="I63" s="22" t="s">
        <v>151</v>
      </c>
      <c r="J63" s="22" t="s">
        <v>181</v>
      </c>
      <c r="K63" s="22" t="s">
        <v>70</v>
      </c>
      <c r="L63" s="54" t="s">
        <v>153</v>
      </c>
      <c r="M63" s="24" t="s">
        <v>156</v>
      </c>
      <c r="N63" s="24" t="s">
        <v>153</v>
      </c>
      <c r="O63" s="28" t="s">
        <v>163</v>
      </c>
      <c r="P63" s="28" t="s">
        <v>163</v>
      </c>
      <c r="Q63" s="28" t="s">
        <v>163</v>
      </c>
      <c r="R63" s="28" t="s">
        <v>163</v>
      </c>
      <c r="S63" s="28" t="s">
        <v>163</v>
      </c>
      <c r="T63" s="28" t="s">
        <v>163</v>
      </c>
      <c r="U63" s="24" t="s">
        <v>153</v>
      </c>
      <c r="V63" s="54" t="s">
        <v>153</v>
      </c>
      <c r="W63" s="26" t="s">
        <v>267</v>
      </c>
      <c r="X63" s="26" t="s">
        <v>267</v>
      </c>
      <c r="Y63" s="26" t="s">
        <v>267</v>
      </c>
      <c r="Z63" s="26" t="s">
        <v>267</v>
      </c>
      <c r="AA63" s="24" t="s">
        <v>156</v>
      </c>
      <c r="AB63" s="24" t="s">
        <v>153</v>
      </c>
      <c r="AC63" s="28" t="s">
        <v>163</v>
      </c>
      <c r="AD63" s="28" t="s">
        <v>163</v>
      </c>
      <c r="AE63" s="28" t="s">
        <v>163</v>
      </c>
      <c r="AF63" s="28" t="s">
        <v>163</v>
      </c>
      <c r="AG63" s="28" t="s">
        <v>163</v>
      </c>
      <c r="AH63" s="28" t="s">
        <v>163</v>
      </c>
      <c r="AI63" s="24" t="s">
        <v>153</v>
      </c>
      <c r="AJ63" s="26" t="s">
        <v>267</v>
      </c>
      <c r="AK63" s="26" t="s">
        <v>267</v>
      </c>
      <c r="AL63" s="26" t="s">
        <v>267</v>
      </c>
      <c r="AM63" s="26" t="s">
        <v>267</v>
      </c>
      <c r="AN63" s="26" t="s">
        <v>267</v>
      </c>
      <c r="AO63" s="24" t="s">
        <v>156</v>
      </c>
      <c r="AP63" s="23">
        <f>VALUE(0)</f>
        <v>0</v>
      </c>
      <c r="AQ63" s="23">
        <f>VALUE(0)</f>
        <v>0</v>
      </c>
      <c r="AR63" s="23">
        <f>VALUE(0)</f>
        <v>0</v>
      </c>
      <c r="AS63" s="23">
        <f>VALUE(0)</f>
        <v>0</v>
      </c>
      <c r="AT63" s="23">
        <f>VALUE(0)</f>
        <v>0</v>
      </c>
      <c r="AU63" s="23">
        <f>VALUE(12)</f>
        <v>12</v>
      </c>
      <c r="AV63" s="23">
        <f>VALUE(2)</f>
        <v>2</v>
      </c>
      <c r="AW63" s="23">
        <f>VALUE(0)</f>
        <v>0</v>
      </c>
      <c r="AX63" s="23" t="s">
        <v>268</v>
      </c>
      <c r="AY63" s="23" t="s">
        <v>269</v>
      </c>
      <c r="AZ63" s="23">
        <f>VALUE(0)</f>
        <v>0</v>
      </c>
      <c r="BA63" s="23">
        <f>VALUE(0)</f>
        <v>0</v>
      </c>
      <c r="BB63" s="23">
        <f>VALUE(0)</f>
        <v>0</v>
      </c>
      <c r="BC63" s="23">
        <f>VALUE(0)</f>
        <v>0</v>
      </c>
      <c r="BD63" s="23">
        <f>VALUE(0)</f>
        <v>0</v>
      </c>
      <c r="BE63" s="23">
        <f>VALUE(0)</f>
        <v>0</v>
      </c>
      <c r="BF63" s="23">
        <f>VALUE(0)</f>
        <v>0</v>
      </c>
      <c r="BG63" s="23">
        <f>VALUE(0)</f>
        <v>0</v>
      </c>
      <c r="BH63" s="23">
        <f>VALUE(0)</f>
        <v>0</v>
      </c>
      <c r="BI63" s="23">
        <f>VALUE(0)</f>
        <v>0</v>
      </c>
      <c r="BJ63" s="23">
        <f>VALUE(0)</f>
        <v>0</v>
      </c>
      <c r="BK63" s="12">
        <f>$AX$63*24</f>
        <v>5.5333333333333332</v>
      </c>
      <c r="BL63" s="12">
        <f>$AY$63*24</f>
        <v>2.25</v>
      </c>
      <c r="BM63" s="12">
        <f>$BJ$63*24</f>
        <v>0</v>
      </c>
      <c r="BN63" s="12">
        <f>VALUE($I$63)/100</f>
        <v>1</v>
      </c>
      <c r="BO63" s="12">
        <v>0</v>
      </c>
      <c r="BP63" s="12">
        <v>0</v>
      </c>
      <c r="BQ63" s="12">
        <v>0</v>
      </c>
      <c r="BR63" s="12">
        <v>0</v>
      </c>
      <c r="BS63" s="12">
        <v>0</v>
      </c>
      <c r="BT63" s="12">
        <v>0</v>
      </c>
      <c r="BU63" s="12">
        <v>0</v>
      </c>
      <c r="BV63" s="12">
        <v>0</v>
      </c>
      <c r="BW63" s="12">
        <v>0</v>
      </c>
      <c r="BX63" s="12">
        <v>0</v>
      </c>
      <c r="BY63" s="12">
        <v>0</v>
      </c>
      <c r="BZ63" s="12">
        <v>0</v>
      </c>
      <c r="CA63" s="12">
        <v>0</v>
      </c>
    </row>
    <row r="64" spans="1:79" hidden="1" x14ac:dyDescent="0.2">
      <c r="A64" s="12" t="s">
        <v>102</v>
      </c>
      <c r="B64" s="12" t="s">
        <v>109</v>
      </c>
      <c r="C64" s="12" t="s">
        <v>109</v>
      </c>
      <c r="D64" s="22" t="s">
        <v>270</v>
      </c>
      <c r="E64" s="22" t="s">
        <v>161</v>
      </c>
      <c r="F64" s="22" t="s">
        <v>687</v>
      </c>
      <c r="G64" s="22" t="s">
        <v>688</v>
      </c>
      <c r="H64" s="22" t="s">
        <v>150</v>
      </c>
      <c r="I64" s="22" t="s">
        <v>151</v>
      </c>
      <c r="J64" s="22" t="s">
        <v>181</v>
      </c>
      <c r="K64" s="22" t="s">
        <v>70</v>
      </c>
      <c r="L64" s="54" t="s">
        <v>153</v>
      </c>
      <c r="M64" s="24" t="s">
        <v>156</v>
      </c>
      <c r="N64" s="24" t="s">
        <v>153</v>
      </c>
      <c r="O64" s="23" t="s">
        <v>153</v>
      </c>
      <c r="P64" s="23" t="s">
        <v>153</v>
      </c>
      <c r="Q64" s="23" t="s">
        <v>153</v>
      </c>
      <c r="R64" s="23" t="s">
        <v>153</v>
      </c>
      <c r="S64" s="23" t="s">
        <v>153</v>
      </c>
      <c r="T64" s="23" t="s">
        <v>153</v>
      </c>
      <c r="U64" s="24" t="s">
        <v>153</v>
      </c>
      <c r="V64" s="54" t="s">
        <v>153</v>
      </c>
      <c r="W64" s="23" t="s">
        <v>153</v>
      </c>
      <c r="X64" s="23" t="s">
        <v>153</v>
      </c>
      <c r="Y64" s="23" t="s">
        <v>153</v>
      </c>
      <c r="Z64" s="23" t="s">
        <v>153</v>
      </c>
      <c r="AA64" s="24" t="s">
        <v>156</v>
      </c>
      <c r="AB64" s="24" t="s">
        <v>153</v>
      </c>
      <c r="AC64" s="23" t="s">
        <v>153</v>
      </c>
      <c r="AD64" s="23" t="s">
        <v>153</v>
      </c>
      <c r="AE64" s="23" t="s">
        <v>153</v>
      </c>
      <c r="AF64" s="23" t="s">
        <v>153</v>
      </c>
      <c r="AG64" s="23" t="s">
        <v>153</v>
      </c>
      <c r="AH64" s="23" t="s">
        <v>153</v>
      </c>
      <c r="AI64" s="24" t="s">
        <v>153</v>
      </c>
      <c r="AJ64" s="23" t="s">
        <v>153</v>
      </c>
      <c r="AK64" s="23" t="s">
        <v>153</v>
      </c>
      <c r="AL64" s="23" t="s">
        <v>153</v>
      </c>
      <c r="AM64" s="23" t="s">
        <v>153</v>
      </c>
      <c r="AN64" s="23" t="s">
        <v>153</v>
      </c>
      <c r="AO64" s="24" t="s">
        <v>156</v>
      </c>
      <c r="AP64" s="23">
        <f>VALUE(0)</f>
        <v>0</v>
      </c>
      <c r="AQ64" s="23">
        <f>VALUE(0)</f>
        <v>0</v>
      </c>
      <c r="AR64" s="23">
        <f>VALUE(0)</f>
        <v>0</v>
      </c>
      <c r="AS64" s="23">
        <f>VALUE(0)</f>
        <v>0</v>
      </c>
      <c r="AT64" s="23">
        <f>VALUE(0)</f>
        <v>0</v>
      </c>
      <c r="AU64" s="23">
        <f>VALUE(0)</f>
        <v>0</v>
      </c>
      <c r="AV64" s="23">
        <f>VALUE(4)</f>
        <v>4</v>
      </c>
      <c r="AW64" s="23">
        <f>VALUE(0)</f>
        <v>0</v>
      </c>
      <c r="AX64" s="23" t="s">
        <v>271</v>
      </c>
      <c r="AY64" s="23">
        <f>VALUE(0)</f>
        <v>0</v>
      </c>
      <c r="AZ64" s="23">
        <f>VALUE(0)</f>
        <v>0</v>
      </c>
      <c r="BA64" s="23">
        <f>VALUE(0)</f>
        <v>0</v>
      </c>
      <c r="BB64" s="23">
        <f>VALUE(0)</f>
        <v>0</v>
      </c>
      <c r="BC64" s="23">
        <f>VALUE(0)</f>
        <v>0</v>
      </c>
      <c r="BD64" s="23">
        <f>VALUE(0)</f>
        <v>0</v>
      </c>
      <c r="BE64" s="23">
        <f>VALUE(0)</f>
        <v>0</v>
      </c>
      <c r="BF64" s="23">
        <f>VALUE(0)</f>
        <v>0</v>
      </c>
      <c r="BG64" s="23">
        <f>VALUE(0)</f>
        <v>0</v>
      </c>
      <c r="BH64" s="23">
        <f>VALUE(0)</f>
        <v>0</v>
      </c>
      <c r="BI64" s="23">
        <f>VALUE(0)</f>
        <v>0</v>
      </c>
      <c r="BJ64" s="23">
        <f>VALUE(0)</f>
        <v>0</v>
      </c>
      <c r="BK64" s="12">
        <f>$AX$64*24</f>
        <v>13.783333333333331</v>
      </c>
      <c r="BL64" s="12">
        <f>$AY$64*24</f>
        <v>0</v>
      </c>
      <c r="BM64" s="12">
        <f>$BJ$64*24</f>
        <v>0</v>
      </c>
      <c r="BN64" s="12">
        <f>VALUE($I$64)/100</f>
        <v>1</v>
      </c>
      <c r="BO64" s="12">
        <v>0</v>
      </c>
      <c r="BP64" s="12">
        <v>0</v>
      </c>
      <c r="BQ64" s="12">
        <v>0</v>
      </c>
      <c r="BR64" s="12">
        <v>0</v>
      </c>
      <c r="BS64" s="12">
        <v>0</v>
      </c>
      <c r="BT64" s="12">
        <v>0</v>
      </c>
      <c r="BU64" s="12">
        <v>0</v>
      </c>
      <c r="BV64" s="12">
        <v>0</v>
      </c>
      <c r="BW64" s="12">
        <v>0</v>
      </c>
      <c r="BX64" s="12">
        <v>0</v>
      </c>
      <c r="BY64" s="12">
        <v>0</v>
      </c>
      <c r="BZ64" s="12">
        <v>0</v>
      </c>
      <c r="CA64" s="12">
        <v>0</v>
      </c>
    </row>
    <row r="65" spans="1:79" hidden="1" x14ac:dyDescent="0.2">
      <c r="A65" s="12" t="s">
        <v>102</v>
      </c>
      <c r="B65" s="12" t="s">
        <v>109</v>
      </c>
      <c r="C65" s="12" t="s">
        <v>109</v>
      </c>
      <c r="D65" s="22" t="s">
        <v>240</v>
      </c>
      <c r="E65" s="22" t="s">
        <v>159</v>
      </c>
      <c r="F65" s="22" t="s">
        <v>689</v>
      </c>
      <c r="G65" s="22" t="s">
        <v>690</v>
      </c>
      <c r="H65" s="22" t="s">
        <v>150</v>
      </c>
      <c r="I65" s="22" t="s">
        <v>151</v>
      </c>
      <c r="J65" s="22" t="s">
        <v>181</v>
      </c>
      <c r="K65" s="22" t="s">
        <v>70</v>
      </c>
      <c r="L65" s="54" t="s">
        <v>153</v>
      </c>
      <c r="M65" s="24" t="s">
        <v>156</v>
      </c>
      <c r="N65" s="24" t="s">
        <v>153</v>
      </c>
      <c r="O65" s="23" t="s">
        <v>153</v>
      </c>
      <c r="P65" s="23" t="s">
        <v>153</v>
      </c>
      <c r="Q65" s="23" t="s">
        <v>153</v>
      </c>
      <c r="R65" s="23" t="s">
        <v>153</v>
      </c>
      <c r="S65" s="23" t="s">
        <v>153</v>
      </c>
      <c r="T65" s="23" t="s">
        <v>153</v>
      </c>
      <c r="U65" s="24" t="s">
        <v>153</v>
      </c>
      <c r="V65" s="54" t="s">
        <v>153</v>
      </c>
      <c r="W65" s="28" t="s">
        <v>163</v>
      </c>
      <c r="X65" s="28" t="s">
        <v>163</v>
      </c>
      <c r="Y65" s="28" t="s">
        <v>163</v>
      </c>
      <c r="Z65" s="28" t="s">
        <v>163</v>
      </c>
      <c r="AA65" s="28" t="s">
        <v>163</v>
      </c>
      <c r="AB65" s="24" t="s">
        <v>153</v>
      </c>
      <c r="AC65" s="23" t="s">
        <v>153</v>
      </c>
      <c r="AD65" s="23" t="s">
        <v>153</v>
      </c>
      <c r="AE65" s="23" t="s">
        <v>153</v>
      </c>
      <c r="AF65" s="23" t="s">
        <v>153</v>
      </c>
      <c r="AG65" s="23" t="s">
        <v>153</v>
      </c>
      <c r="AH65" s="23" t="s">
        <v>153</v>
      </c>
      <c r="AI65" s="24" t="s">
        <v>153</v>
      </c>
      <c r="AJ65" s="23" t="s">
        <v>153</v>
      </c>
      <c r="AK65" s="23" t="s">
        <v>153</v>
      </c>
      <c r="AL65" s="23" t="s">
        <v>153</v>
      </c>
      <c r="AM65" s="23" t="s">
        <v>153</v>
      </c>
      <c r="AN65" s="23" t="s">
        <v>153</v>
      </c>
      <c r="AO65" s="24" t="s">
        <v>156</v>
      </c>
      <c r="AP65" s="23">
        <f>VALUE(0)</f>
        <v>0</v>
      </c>
      <c r="AQ65" s="23">
        <f>VALUE(0)</f>
        <v>0</v>
      </c>
      <c r="AR65" s="23">
        <f>VALUE(0)</f>
        <v>0</v>
      </c>
      <c r="AS65" s="23">
        <f>VALUE(17)</f>
        <v>17</v>
      </c>
      <c r="AT65" s="23">
        <f>VALUE(0)</f>
        <v>0</v>
      </c>
      <c r="AU65" s="23">
        <f>VALUE(5)</f>
        <v>5</v>
      </c>
      <c r="AV65" s="23">
        <f>VALUE(0)</f>
        <v>0</v>
      </c>
      <c r="AW65" s="23">
        <f>VALUE(0)</f>
        <v>0</v>
      </c>
      <c r="AX65" s="23" t="s">
        <v>176</v>
      </c>
      <c r="AY65" s="23" t="s">
        <v>272</v>
      </c>
      <c r="AZ65" s="23">
        <f>VALUE(0)</f>
        <v>0</v>
      </c>
      <c r="BA65" s="23">
        <f>VALUE(0)</f>
        <v>0</v>
      </c>
      <c r="BB65" s="23">
        <f>VALUE(0)</f>
        <v>0</v>
      </c>
      <c r="BC65" s="23">
        <f>VALUE(0)</f>
        <v>0</v>
      </c>
      <c r="BD65" s="23">
        <f>VALUE(0)</f>
        <v>0</v>
      </c>
      <c r="BE65" s="23">
        <f>VALUE(0)</f>
        <v>0</v>
      </c>
      <c r="BF65" s="23">
        <f>VALUE(0)</f>
        <v>0</v>
      </c>
      <c r="BG65" s="23">
        <f>VALUE(0)</f>
        <v>0</v>
      </c>
      <c r="BH65" s="23">
        <f>VALUE(0)</f>
        <v>0</v>
      </c>
      <c r="BI65" s="23">
        <f>VALUE(0)</f>
        <v>0</v>
      </c>
      <c r="BJ65" s="23">
        <f>VALUE(0)</f>
        <v>0</v>
      </c>
      <c r="BK65" s="12">
        <f>$AX$65*24</f>
        <v>0</v>
      </c>
      <c r="BL65" s="12">
        <f>$AY$65*24</f>
        <v>11.833333333333334</v>
      </c>
      <c r="BM65" s="12">
        <f>$BJ$65*24</f>
        <v>0</v>
      </c>
      <c r="BN65" s="12">
        <f>VALUE($I$65)/100</f>
        <v>1</v>
      </c>
      <c r="BO65" s="12">
        <v>0</v>
      </c>
      <c r="BP65" s="12">
        <v>0</v>
      </c>
      <c r="BQ65" s="12">
        <v>0</v>
      </c>
      <c r="BR65" s="12">
        <v>0</v>
      </c>
      <c r="BS65" s="12">
        <v>0</v>
      </c>
      <c r="BT65" s="12">
        <v>0</v>
      </c>
      <c r="BU65" s="12">
        <v>0</v>
      </c>
      <c r="BV65" s="12">
        <v>0</v>
      </c>
      <c r="BW65" s="12">
        <v>0</v>
      </c>
      <c r="BX65" s="12">
        <v>0</v>
      </c>
      <c r="BY65" s="12">
        <v>0</v>
      </c>
      <c r="BZ65" s="12">
        <v>0</v>
      </c>
      <c r="CA65" s="12">
        <v>0</v>
      </c>
    </row>
    <row r="66" spans="1:79" hidden="1" x14ac:dyDescent="0.2">
      <c r="A66" s="12" t="s">
        <v>102</v>
      </c>
      <c r="B66" s="12" t="s">
        <v>109</v>
      </c>
      <c r="C66" s="12" t="s">
        <v>109</v>
      </c>
      <c r="D66" s="22" t="s">
        <v>273</v>
      </c>
      <c r="E66" s="22" t="s">
        <v>161</v>
      </c>
      <c r="F66" s="22" t="s">
        <v>691</v>
      </c>
      <c r="G66" s="22" t="s">
        <v>692</v>
      </c>
      <c r="H66" s="22" t="s">
        <v>150</v>
      </c>
      <c r="I66" s="22" t="s">
        <v>151</v>
      </c>
      <c r="J66" s="22" t="s">
        <v>181</v>
      </c>
      <c r="K66" s="22" t="s">
        <v>70</v>
      </c>
      <c r="L66" s="54" t="s">
        <v>153</v>
      </c>
      <c r="M66" s="23" t="s">
        <v>153</v>
      </c>
      <c r="N66" s="24" t="s">
        <v>153</v>
      </c>
      <c r="O66" s="28" t="s">
        <v>338</v>
      </c>
      <c r="P66" s="23" t="s">
        <v>153</v>
      </c>
      <c r="Q66" s="23" t="s">
        <v>153</v>
      </c>
      <c r="R66" s="23" t="s">
        <v>153</v>
      </c>
      <c r="S66" s="23" t="s">
        <v>153</v>
      </c>
      <c r="T66" s="23" t="s">
        <v>153</v>
      </c>
      <c r="U66" s="24" t="s">
        <v>153</v>
      </c>
      <c r="V66" s="54" t="s">
        <v>156</v>
      </c>
      <c r="W66" s="24" t="s">
        <v>156</v>
      </c>
      <c r="X66" s="23" t="s">
        <v>153</v>
      </c>
      <c r="Y66" s="23" t="s">
        <v>153</v>
      </c>
      <c r="Z66" s="23" t="s">
        <v>153</v>
      </c>
      <c r="AA66" s="23" t="s">
        <v>153</v>
      </c>
      <c r="AB66" s="24" t="s">
        <v>153</v>
      </c>
      <c r="AC66" s="23" t="s">
        <v>153</v>
      </c>
      <c r="AD66" s="23" t="s">
        <v>153</v>
      </c>
      <c r="AE66" s="23" t="s">
        <v>153</v>
      </c>
      <c r="AF66" s="23" t="s">
        <v>153</v>
      </c>
      <c r="AG66" s="23" t="s">
        <v>153</v>
      </c>
      <c r="AH66" s="23" t="s">
        <v>153</v>
      </c>
      <c r="AI66" s="24" t="s">
        <v>153</v>
      </c>
      <c r="AJ66" s="23" t="s">
        <v>153</v>
      </c>
      <c r="AK66" s="23" t="s">
        <v>153</v>
      </c>
      <c r="AL66" s="23" t="s">
        <v>153</v>
      </c>
      <c r="AM66" s="23" t="s">
        <v>153</v>
      </c>
      <c r="AN66" s="23" t="s">
        <v>153</v>
      </c>
      <c r="AO66" s="23" t="s">
        <v>153</v>
      </c>
      <c r="AP66" s="23">
        <f>VALUE(0)</f>
        <v>0</v>
      </c>
      <c r="AQ66" s="23">
        <f>VALUE(0)</f>
        <v>0</v>
      </c>
      <c r="AR66" s="23">
        <f>VALUE(0)</f>
        <v>0</v>
      </c>
      <c r="AS66" s="23">
        <f>VALUE(0)</f>
        <v>0</v>
      </c>
      <c r="AT66" s="23">
        <f>VALUE(1)</f>
        <v>1</v>
      </c>
      <c r="AU66" s="23">
        <f>VALUE(0)</f>
        <v>0</v>
      </c>
      <c r="AV66" s="23">
        <f>VALUE(5)</f>
        <v>5</v>
      </c>
      <c r="AW66" s="23">
        <f>VALUE(0)</f>
        <v>0</v>
      </c>
      <c r="AX66" s="23" t="s">
        <v>176</v>
      </c>
      <c r="AY66" s="23">
        <f>VALUE(0)</f>
        <v>0</v>
      </c>
      <c r="AZ66" s="23">
        <f>VALUE(0)</f>
        <v>0</v>
      </c>
      <c r="BA66" s="23">
        <f>VALUE(0)</f>
        <v>0</v>
      </c>
      <c r="BB66" s="23">
        <f>VALUE(0)</f>
        <v>0</v>
      </c>
      <c r="BC66" s="23">
        <f>VALUE(0)</f>
        <v>0</v>
      </c>
      <c r="BD66" s="23">
        <f>VALUE(0)</f>
        <v>0</v>
      </c>
      <c r="BE66" s="23">
        <f>VALUE(0)</f>
        <v>0</v>
      </c>
      <c r="BF66" s="23">
        <f>VALUE(0)</f>
        <v>0</v>
      </c>
      <c r="BG66" s="23">
        <f>VALUE(0)</f>
        <v>0</v>
      </c>
      <c r="BH66" s="23">
        <f>VALUE(0)</f>
        <v>0</v>
      </c>
      <c r="BI66" s="23">
        <f>VALUE(0)</f>
        <v>0</v>
      </c>
      <c r="BJ66" s="23">
        <f>VALUE(0)</f>
        <v>0</v>
      </c>
      <c r="BK66" s="12">
        <f>$AX$66*24</f>
        <v>0</v>
      </c>
      <c r="BL66" s="12">
        <f>$AY$66*24</f>
        <v>0</v>
      </c>
      <c r="BM66" s="12">
        <f>$BJ$66*24</f>
        <v>0</v>
      </c>
      <c r="BN66" s="12">
        <f>VALUE($I$66)/100</f>
        <v>1</v>
      </c>
      <c r="BO66" s="12">
        <v>0</v>
      </c>
      <c r="BP66" s="12">
        <v>0</v>
      </c>
      <c r="BQ66" s="12">
        <v>0</v>
      </c>
      <c r="BR66" s="12">
        <v>0</v>
      </c>
      <c r="BS66" s="12">
        <v>0</v>
      </c>
      <c r="BT66" s="12">
        <v>0</v>
      </c>
      <c r="BU66" s="12">
        <v>0</v>
      </c>
      <c r="BV66" s="12">
        <v>0</v>
      </c>
      <c r="BW66" s="12">
        <v>0</v>
      </c>
      <c r="BX66" s="12">
        <v>0</v>
      </c>
      <c r="BY66" s="12">
        <v>1</v>
      </c>
      <c r="BZ66" s="12">
        <v>0</v>
      </c>
      <c r="CA66" s="12">
        <v>0</v>
      </c>
    </row>
    <row r="67" spans="1:79" hidden="1" x14ac:dyDescent="0.2">
      <c r="A67" s="12" t="s">
        <v>102</v>
      </c>
      <c r="B67" s="12" t="s">
        <v>109</v>
      </c>
      <c r="C67" s="12" t="s">
        <v>109</v>
      </c>
      <c r="D67" s="22" t="s">
        <v>274</v>
      </c>
      <c r="E67" s="22" t="s">
        <v>161</v>
      </c>
      <c r="F67" s="22" t="s">
        <v>693</v>
      </c>
      <c r="G67" s="22" t="s">
        <v>694</v>
      </c>
      <c r="H67" s="22" t="s">
        <v>166</v>
      </c>
      <c r="I67" s="22" t="s">
        <v>151</v>
      </c>
      <c r="J67" s="22" t="s">
        <v>181</v>
      </c>
      <c r="K67" s="22" t="s">
        <v>70</v>
      </c>
      <c r="L67" s="54" t="s">
        <v>153</v>
      </c>
      <c r="M67" s="23" t="s">
        <v>153</v>
      </c>
      <c r="N67" s="24" t="s">
        <v>153</v>
      </c>
      <c r="O67" s="23" t="s">
        <v>153</v>
      </c>
      <c r="P67" s="23" t="s">
        <v>153</v>
      </c>
      <c r="Q67" s="23" t="s">
        <v>153</v>
      </c>
      <c r="R67" s="23" t="s">
        <v>153</v>
      </c>
      <c r="S67" s="23" t="s">
        <v>153</v>
      </c>
      <c r="T67" s="23" t="s">
        <v>153</v>
      </c>
      <c r="U67" s="24" t="s">
        <v>153</v>
      </c>
      <c r="V67" s="54" t="s">
        <v>153</v>
      </c>
      <c r="W67" s="23" t="s">
        <v>153</v>
      </c>
      <c r="X67" s="23" t="s">
        <v>153</v>
      </c>
      <c r="Y67" s="23" t="s">
        <v>153</v>
      </c>
      <c r="Z67" s="23" t="s">
        <v>153</v>
      </c>
      <c r="AA67" s="23" t="s">
        <v>153</v>
      </c>
      <c r="AB67" s="24" t="s">
        <v>153</v>
      </c>
      <c r="AC67" s="24" t="s">
        <v>156</v>
      </c>
      <c r="AD67" s="24" t="s">
        <v>156</v>
      </c>
      <c r="AE67" s="23" t="s">
        <v>153</v>
      </c>
      <c r="AF67" s="23" t="s">
        <v>153</v>
      </c>
      <c r="AG67" s="23" t="s">
        <v>153</v>
      </c>
      <c r="AH67" s="23" t="s">
        <v>153</v>
      </c>
      <c r="AI67" s="24" t="s">
        <v>153</v>
      </c>
      <c r="AJ67" s="23" t="s">
        <v>153</v>
      </c>
      <c r="AK67" s="23" t="s">
        <v>153</v>
      </c>
      <c r="AL67" s="23" t="s">
        <v>153</v>
      </c>
      <c r="AM67" s="23" t="s">
        <v>153</v>
      </c>
      <c r="AN67" s="23" t="s">
        <v>153</v>
      </c>
      <c r="AO67" s="23" t="s">
        <v>153</v>
      </c>
      <c r="AP67" s="23">
        <f>VALUE(0)</f>
        <v>0</v>
      </c>
      <c r="AQ67" s="23">
        <f>VALUE(0)</f>
        <v>0</v>
      </c>
      <c r="AR67" s="23">
        <f>VALUE(0)</f>
        <v>0</v>
      </c>
      <c r="AS67" s="23">
        <f>VALUE(0)</f>
        <v>0</v>
      </c>
      <c r="AT67" s="23">
        <f>VALUE(0)</f>
        <v>0</v>
      </c>
      <c r="AU67" s="23">
        <f>VALUE(0)</f>
        <v>0</v>
      </c>
      <c r="AV67" s="23">
        <f>VALUE(2.5)</f>
        <v>2.5</v>
      </c>
      <c r="AW67" s="23">
        <f>VALUE(0)</f>
        <v>0</v>
      </c>
      <c r="AX67" s="23" t="s">
        <v>275</v>
      </c>
      <c r="AY67" s="23">
        <f>VALUE(0)</f>
        <v>0</v>
      </c>
      <c r="AZ67" s="23">
        <f>VALUE(0)</f>
        <v>0</v>
      </c>
      <c r="BA67" s="23">
        <f>VALUE(0)</f>
        <v>0</v>
      </c>
      <c r="BB67" s="23">
        <f>VALUE(0)</f>
        <v>0</v>
      </c>
      <c r="BC67" s="23">
        <f>VALUE(0)</f>
        <v>0</v>
      </c>
      <c r="BD67" s="23">
        <f>VALUE(0)</f>
        <v>0</v>
      </c>
      <c r="BE67" s="23">
        <f>VALUE(0)</f>
        <v>0</v>
      </c>
      <c r="BF67" s="23">
        <f>VALUE(0)</f>
        <v>0</v>
      </c>
      <c r="BG67" s="23">
        <f>VALUE(0)</f>
        <v>0</v>
      </c>
      <c r="BH67" s="23">
        <f>VALUE(0)</f>
        <v>0</v>
      </c>
      <c r="BI67" s="23">
        <f>VALUE(0)</f>
        <v>0</v>
      </c>
      <c r="BJ67" s="23">
        <f>VALUE(0)</f>
        <v>0</v>
      </c>
      <c r="BK67" s="12">
        <f>$AX$67*24</f>
        <v>4.2166666666666668</v>
      </c>
      <c r="BL67" s="12">
        <f>$AY$67*24</f>
        <v>0</v>
      </c>
      <c r="BM67" s="12">
        <f>$BJ$67*24</f>
        <v>0</v>
      </c>
      <c r="BN67" s="12">
        <f>VALUE($I$67)/100</f>
        <v>1</v>
      </c>
      <c r="BO67" s="12">
        <v>0</v>
      </c>
      <c r="BP67" s="12">
        <v>0</v>
      </c>
      <c r="BQ67" s="12">
        <v>0</v>
      </c>
      <c r="BR67" s="12">
        <v>0</v>
      </c>
      <c r="BS67" s="12">
        <v>0</v>
      </c>
      <c r="BT67" s="12">
        <v>0</v>
      </c>
      <c r="BU67" s="12">
        <v>0</v>
      </c>
      <c r="BV67" s="12">
        <v>0</v>
      </c>
      <c r="BW67" s="12">
        <v>0</v>
      </c>
      <c r="BX67" s="12">
        <v>0</v>
      </c>
      <c r="BY67" s="12">
        <v>0</v>
      </c>
      <c r="BZ67" s="12">
        <v>0</v>
      </c>
      <c r="CA67" s="12">
        <v>0</v>
      </c>
    </row>
    <row r="68" spans="1:79" hidden="1" x14ac:dyDescent="0.2">
      <c r="A68" s="12" t="s">
        <v>102</v>
      </c>
      <c r="B68" s="12" t="s">
        <v>109</v>
      </c>
      <c r="C68" s="12" t="s">
        <v>109</v>
      </c>
      <c r="D68" s="22" t="s">
        <v>276</v>
      </c>
      <c r="E68" s="22" t="s">
        <v>161</v>
      </c>
      <c r="F68" s="22" t="s">
        <v>695</v>
      </c>
      <c r="G68" s="22" t="s">
        <v>696</v>
      </c>
      <c r="H68" s="22" t="s">
        <v>150</v>
      </c>
      <c r="I68" s="22" t="s">
        <v>151</v>
      </c>
      <c r="J68" s="22" t="s">
        <v>181</v>
      </c>
      <c r="K68" s="22" t="s">
        <v>70</v>
      </c>
      <c r="L68" s="54" t="s">
        <v>153</v>
      </c>
      <c r="M68" s="23" t="s">
        <v>153</v>
      </c>
      <c r="N68" s="24" t="s">
        <v>153</v>
      </c>
      <c r="O68" s="24" t="s">
        <v>156</v>
      </c>
      <c r="P68" s="24" t="s">
        <v>156</v>
      </c>
      <c r="Q68" s="23" t="s">
        <v>153</v>
      </c>
      <c r="R68" s="23" t="s">
        <v>153</v>
      </c>
      <c r="S68" s="23" t="s">
        <v>153</v>
      </c>
      <c r="T68" s="23" t="s">
        <v>153</v>
      </c>
      <c r="U68" s="24" t="s">
        <v>153</v>
      </c>
      <c r="V68" s="54" t="s">
        <v>153</v>
      </c>
      <c r="W68" s="33" t="s">
        <v>201</v>
      </c>
      <c r="X68" s="33" t="s">
        <v>201</v>
      </c>
      <c r="Y68" s="33" t="s">
        <v>201</v>
      </c>
      <c r="Z68" s="33" t="s">
        <v>201</v>
      </c>
      <c r="AA68" s="33" t="s">
        <v>201</v>
      </c>
      <c r="AB68" s="24" t="s">
        <v>153</v>
      </c>
      <c r="AC68" s="33" t="s">
        <v>201</v>
      </c>
      <c r="AD68" s="33" t="s">
        <v>201</v>
      </c>
      <c r="AE68" s="33" t="s">
        <v>201</v>
      </c>
      <c r="AF68" s="33" t="s">
        <v>201</v>
      </c>
      <c r="AG68" s="33" t="s">
        <v>201</v>
      </c>
      <c r="AH68" s="33" t="s">
        <v>201</v>
      </c>
      <c r="AI68" s="24" t="s">
        <v>153</v>
      </c>
      <c r="AJ68" s="24" t="s">
        <v>156</v>
      </c>
      <c r="AK68" s="24" t="s">
        <v>156</v>
      </c>
      <c r="AL68" s="28" t="s">
        <v>163</v>
      </c>
      <c r="AM68" s="28" t="s">
        <v>163</v>
      </c>
      <c r="AN68" s="28" t="s">
        <v>163</v>
      </c>
      <c r="AO68" s="28" t="s">
        <v>163</v>
      </c>
      <c r="AP68" s="23">
        <f>VALUE(0)</f>
        <v>0</v>
      </c>
      <c r="AQ68" s="23">
        <f>VALUE(0)</f>
        <v>0</v>
      </c>
      <c r="AR68" s="23">
        <f>VALUE(0)</f>
        <v>0</v>
      </c>
      <c r="AS68" s="23">
        <f>VALUE(0)</f>
        <v>0</v>
      </c>
      <c r="AT68" s="23">
        <f>VALUE(0)</f>
        <v>0</v>
      </c>
      <c r="AU68" s="23">
        <f>VALUE(4)</f>
        <v>4</v>
      </c>
      <c r="AV68" s="23">
        <f>VALUE(6)</f>
        <v>6</v>
      </c>
      <c r="AW68" s="23">
        <f>VALUE(0)</f>
        <v>0</v>
      </c>
      <c r="AX68" s="23" t="s">
        <v>277</v>
      </c>
      <c r="AY68" s="23">
        <f>VALUE(0)</f>
        <v>0</v>
      </c>
      <c r="AZ68" s="23">
        <f>VALUE(0)</f>
        <v>0</v>
      </c>
      <c r="BA68" s="23">
        <f>VALUE(0)</f>
        <v>0</v>
      </c>
      <c r="BB68" s="23">
        <f>VALUE(11)</f>
        <v>11</v>
      </c>
      <c r="BC68" s="23">
        <f>VALUE(0)</f>
        <v>0</v>
      </c>
      <c r="BD68" s="23">
        <f>VALUE(0)</f>
        <v>0</v>
      </c>
      <c r="BE68" s="23">
        <f>VALUE(0)</f>
        <v>0</v>
      </c>
      <c r="BF68" s="23">
        <f>VALUE(0)</f>
        <v>0</v>
      </c>
      <c r="BG68" s="23">
        <f>VALUE(0)</f>
        <v>0</v>
      </c>
      <c r="BH68" s="23">
        <f>VALUE(0)</f>
        <v>0</v>
      </c>
      <c r="BI68" s="23">
        <f>VALUE(0)</f>
        <v>0</v>
      </c>
      <c r="BJ68" s="23">
        <f>VALUE(0)</f>
        <v>0</v>
      </c>
      <c r="BK68" s="12">
        <f>$AX$68*24</f>
        <v>28.716666666666661</v>
      </c>
      <c r="BL68" s="12">
        <f>$AY$68*24</f>
        <v>0</v>
      </c>
      <c r="BM68" s="12">
        <f>$BJ$68*24</f>
        <v>0</v>
      </c>
      <c r="BN68" s="12">
        <f>VALUE($I$68)/100</f>
        <v>1</v>
      </c>
      <c r="BO68" s="12">
        <v>0</v>
      </c>
      <c r="BP68" s="12">
        <v>0</v>
      </c>
      <c r="BQ68" s="12">
        <v>0</v>
      </c>
      <c r="BR68" s="12">
        <v>0</v>
      </c>
      <c r="BS68" s="12">
        <v>0</v>
      </c>
      <c r="BT68" s="12">
        <v>0</v>
      </c>
      <c r="BU68" s="12">
        <v>0</v>
      </c>
      <c r="BV68" s="12">
        <v>0</v>
      </c>
      <c r="BW68" s="12">
        <v>0</v>
      </c>
      <c r="BX68" s="12">
        <v>0</v>
      </c>
      <c r="BY68" s="12">
        <v>0</v>
      </c>
      <c r="BZ68" s="12">
        <v>0</v>
      </c>
      <c r="CA68" s="12">
        <v>0</v>
      </c>
    </row>
    <row r="69" spans="1:79" hidden="1" x14ac:dyDescent="0.2">
      <c r="A69" s="12" t="s">
        <v>102</v>
      </c>
      <c r="B69" s="12" t="s">
        <v>109</v>
      </c>
      <c r="C69" s="12" t="s">
        <v>109</v>
      </c>
      <c r="D69" s="22" t="s">
        <v>278</v>
      </c>
      <c r="E69" s="22" t="s">
        <v>161</v>
      </c>
      <c r="F69" s="22" t="s">
        <v>697</v>
      </c>
      <c r="G69" s="22" t="s">
        <v>698</v>
      </c>
      <c r="H69" s="22" t="s">
        <v>279</v>
      </c>
      <c r="I69" s="22" t="s">
        <v>151</v>
      </c>
      <c r="J69" s="22" t="s">
        <v>181</v>
      </c>
      <c r="K69" s="22" t="s">
        <v>70</v>
      </c>
      <c r="L69" s="54" t="s">
        <v>153</v>
      </c>
      <c r="M69" s="23" t="s">
        <v>153</v>
      </c>
      <c r="N69" s="24" t="s">
        <v>153</v>
      </c>
      <c r="O69" s="23" t="s">
        <v>266</v>
      </c>
      <c r="P69" s="23" t="s">
        <v>266</v>
      </c>
      <c r="Q69" s="23" t="s">
        <v>266</v>
      </c>
      <c r="R69" s="23" t="s">
        <v>266</v>
      </c>
      <c r="S69" s="23" t="s">
        <v>266</v>
      </c>
      <c r="T69" s="23" t="s">
        <v>266</v>
      </c>
      <c r="U69" s="24" t="s">
        <v>153</v>
      </c>
      <c r="V69" s="54" t="s">
        <v>153</v>
      </c>
      <c r="W69" s="23" t="s">
        <v>240</v>
      </c>
      <c r="X69" s="23" t="s">
        <v>240</v>
      </c>
      <c r="Y69" s="23" t="s">
        <v>240</v>
      </c>
      <c r="Z69" s="23" t="s">
        <v>240</v>
      </c>
      <c r="AA69" s="23" t="s">
        <v>240</v>
      </c>
      <c r="AB69" s="24" t="s">
        <v>153</v>
      </c>
      <c r="AC69" s="27" t="s">
        <v>153</v>
      </c>
      <c r="AD69" s="27" t="s">
        <v>153</v>
      </c>
      <c r="AE69" s="27" t="s">
        <v>153</v>
      </c>
      <c r="AF69" s="27" t="s">
        <v>153</v>
      </c>
      <c r="AG69" s="27" t="s">
        <v>153</v>
      </c>
      <c r="AH69" s="27" t="s">
        <v>153</v>
      </c>
      <c r="AI69" s="24" t="s">
        <v>153</v>
      </c>
      <c r="AJ69" s="27" t="s">
        <v>153</v>
      </c>
      <c r="AK69" s="27" t="s">
        <v>153</v>
      </c>
      <c r="AL69" s="27" t="s">
        <v>153</v>
      </c>
      <c r="AM69" s="27" t="s">
        <v>153</v>
      </c>
      <c r="AN69" s="27" t="s">
        <v>153</v>
      </c>
      <c r="AO69" s="27" t="s">
        <v>153</v>
      </c>
      <c r="AP69" s="23">
        <f>VALUE(0)</f>
        <v>0</v>
      </c>
      <c r="AQ69" s="23">
        <f>VALUE(0)</f>
        <v>0</v>
      </c>
      <c r="AR69" s="23">
        <f>VALUE(0)</f>
        <v>0</v>
      </c>
      <c r="AS69" s="23">
        <f>VALUE(0)</f>
        <v>0</v>
      </c>
      <c r="AT69" s="23">
        <f>VALUE(0)</f>
        <v>0</v>
      </c>
      <c r="AU69" s="23">
        <f>VALUE(0)</f>
        <v>0</v>
      </c>
      <c r="AV69" s="23">
        <f>VALUE(0)</f>
        <v>0</v>
      </c>
      <c r="AW69" s="23">
        <f>VALUE(0)</f>
        <v>0</v>
      </c>
      <c r="AX69" s="23">
        <f>VALUE(0)</f>
        <v>0</v>
      </c>
      <c r="AY69" s="23">
        <f>VALUE(0)</f>
        <v>0</v>
      </c>
      <c r="AZ69" s="23">
        <f>VALUE(0)</f>
        <v>0</v>
      </c>
      <c r="BA69" s="23">
        <f>VALUE(0)</f>
        <v>0</v>
      </c>
      <c r="BB69" s="23">
        <f>VALUE(0)</f>
        <v>0</v>
      </c>
      <c r="BC69" s="23">
        <f>VALUE(0)</f>
        <v>0</v>
      </c>
      <c r="BD69" s="23">
        <f>VALUE(0)</f>
        <v>0</v>
      </c>
      <c r="BE69" s="23">
        <f>VALUE(0)</f>
        <v>0</v>
      </c>
      <c r="BF69" s="23">
        <f>VALUE(0)</f>
        <v>0</v>
      </c>
      <c r="BG69" s="23">
        <f>VALUE(0)</f>
        <v>0</v>
      </c>
      <c r="BH69" s="23">
        <f>VALUE(0)</f>
        <v>0</v>
      </c>
      <c r="BI69" s="23">
        <f>VALUE(0)</f>
        <v>0</v>
      </c>
      <c r="BJ69" s="23">
        <f>VALUE(0)</f>
        <v>0</v>
      </c>
      <c r="BK69" s="12">
        <f>$AX$69*24</f>
        <v>0</v>
      </c>
      <c r="BL69" s="12">
        <f>$AY$69*24</f>
        <v>0</v>
      </c>
      <c r="BM69" s="12">
        <f>$BJ$69*24</f>
        <v>0</v>
      </c>
      <c r="BN69" s="12">
        <f>VALUE($I$69)/100</f>
        <v>1</v>
      </c>
      <c r="BO69" s="12">
        <v>0</v>
      </c>
      <c r="BP69" s="12">
        <v>0</v>
      </c>
      <c r="BQ69" s="12">
        <v>0</v>
      </c>
      <c r="BR69" s="12">
        <v>0</v>
      </c>
      <c r="BS69" s="12">
        <v>0</v>
      </c>
      <c r="BT69" s="12">
        <v>0</v>
      </c>
      <c r="BU69" s="12">
        <v>0</v>
      </c>
      <c r="BV69" s="12">
        <v>0</v>
      </c>
      <c r="BW69" s="12">
        <v>0</v>
      </c>
      <c r="BX69" s="12">
        <v>0</v>
      </c>
      <c r="BY69" s="12">
        <v>0</v>
      </c>
      <c r="BZ69" s="12">
        <v>0</v>
      </c>
      <c r="CA69" s="12">
        <v>0</v>
      </c>
    </row>
    <row r="70" spans="1:79" hidden="1" x14ac:dyDescent="0.2">
      <c r="A70" s="12" t="s">
        <v>102</v>
      </c>
      <c r="B70" s="12" t="s">
        <v>109</v>
      </c>
      <c r="C70" s="12" t="s">
        <v>109</v>
      </c>
      <c r="D70" s="22" t="s">
        <v>278</v>
      </c>
      <c r="E70" s="22" t="s">
        <v>161</v>
      </c>
      <c r="F70" s="22" t="s">
        <v>699</v>
      </c>
      <c r="G70" s="22" t="s">
        <v>700</v>
      </c>
      <c r="H70" s="22" t="s">
        <v>150</v>
      </c>
      <c r="I70" s="22" t="s">
        <v>151</v>
      </c>
      <c r="J70" s="22" t="s">
        <v>181</v>
      </c>
      <c r="K70" s="22" t="s">
        <v>70</v>
      </c>
      <c r="L70" s="54" t="s">
        <v>153</v>
      </c>
      <c r="M70" s="28" t="s">
        <v>163</v>
      </c>
      <c r="N70" s="24" t="s">
        <v>153</v>
      </c>
      <c r="O70" s="23" t="s">
        <v>153</v>
      </c>
      <c r="P70" s="23" t="s">
        <v>153</v>
      </c>
      <c r="Q70" s="23" t="s">
        <v>153</v>
      </c>
      <c r="R70" s="23" t="s">
        <v>153</v>
      </c>
      <c r="S70" s="23" t="s">
        <v>153</v>
      </c>
      <c r="T70" s="24" t="s">
        <v>156</v>
      </c>
      <c r="U70" s="24" t="s">
        <v>153</v>
      </c>
      <c r="V70" s="54" t="s">
        <v>153</v>
      </c>
      <c r="W70" s="23" t="s">
        <v>153</v>
      </c>
      <c r="X70" s="23" t="s">
        <v>153</v>
      </c>
      <c r="Y70" s="23" t="s">
        <v>153</v>
      </c>
      <c r="Z70" s="23" t="s">
        <v>153</v>
      </c>
      <c r="AA70" s="23" t="s">
        <v>153</v>
      </c>
      <c r="AB70" s="24" t="s">
        <v>153</v>
      </c>
      <c r="AC70" s="23" t="s">
        <v>153</v>
      </c>
      <c r="AD70" s="23" t="s">
        <v>153</v>
      </c>
      <c r="AE70" s="23" t="s">
        <v>153</v>
      </c>
      <c r="AF70" s="23" t="s">
        <v>153</v>
      </c>
      <c r="AG70" s="23" t="s">
        <v>153</v>
      </c>
      <c r="AH70" s="24" t="s">
        <v>156</v>
      </c>
      <c r="AI70" s="24" t="s">
        <v>153</v>
      </c>
      <c r="AJ70" s="23" t="s">
        <v>153</v>
      </c>
      <c r="AK70" s="23" t="s">
        <v>153</v>
      </c>
      <c r="AL70" s="23" t="s">
        <v>153</v>
      </c>
      <c r="AM70" s="23" t="s">
        <v>153</v>
      </c>
      <c r="AN70" s="23" t="s">
        <v>153</v>
      </c>
      <c r="AO70" s="23" t="s">
        <v>153</v>
      </c>
      <c r="AP70" s="23">
        <f>VALUE(0)</f>
        <v>0</v>
      </c>
      <c r="AQ70" s="23">
        <f>VALUE(0)</f>
        <v>0</v>
      </c>
      <c r="AR70" s="23">
        <f>VALUE(0)</f>
        <v>0</v>
      </c>
      <c r="AS70" s="23">
        <f>VALUE(0)</f>
        <v>0</v>
      </c>
      <c r="AT70" s="23">
        <f>VALUE(0)</f>
        <v>0</v>
      </c>
      <c r="AU70" s="23">
        <f>VALUE(1)</f>
        <v>1</v>
      </c>
      <c r="AV70" s="23">
        <f>VALUE(7)</f>
        <v>7</v>
      </c>
      <c r="AW70" s="23">
        <f>VALUE(0)</f>
        <v>0</v>
      </c>
      <c r="AX70" s="23">
        <f>VALUE(0)</f>
        <v>0</v>
      </c>
      <c r="AY70" s="23" t="s">
        <v>281</v>
      </c>
      <c r="AZ70" s="23">
        <f>VALUE(0)</f>
        <v>0</v>
      </c>
      <c r="BA70" s="23">
        <f>VALUE(0)</f>
        <v>0</v>
      </c>
      <c r="BB70" s="23">
        <f>VALUE(0)</f>
        <v>0</v>
      </c>
      <c r="BC70" s="23">
        <f>VALUE(0)</f>
        <v>0</v>
      </c>
      <c r="BD70" s="23">
        <f>VALUE(0)</f>
        <v>0</v>
      </c>
      <c r="BE70" s="23">
        <f>VALUE(0)</f>
        <v>0</v>
      </c>
      <c r="BF70" s="23">
        <f>VALUE(0)</f>
        <v>0</v>
      </c>
      <c r="BG70" s="23">
        <f>VALUE(0)</f>
        <v>0</v>
      </c>
      <c r="BH70" s="23">
        <f>VALUE(0)</f>
        <v>0</v>
      </c>
      <c r="BI70" s="23">
        <f>VALUE(0)</f>
        <v>0</v>
      </c>
      <c r="BJ70" s="23">
        <f>VALUE(0)</f>
        <v>0</v>
      </c>
      <c r="BK70" s="12">
        <f>$AX$70*24</f>
        <v>0</v>
      </c>
      <c r="BL70" s="12">
        <f>$AY$70*24</f>
        <v>6.7166666666666668</v>
      </c>
      <c r="BM70" s="12">
        <f>$BJ$70*24</f>
        <v>0</v>
      </c>
      <c r="BN70" s="12">
        <f>VALUE($I$70)/100</f>
        <v>1</v>
      </c>
      <c r="BO70" s="12">
        <v>0</v>
      </c>
      <c r="BP70" s="12">
        <v>0</v>
      </c>
      <c r="BQ70" s="12">
        <v>0</v>
      </c>
      <c r="BR70" s="12">
        <v>0</v>
      </c>
      <c r="BS70" s="12">
        <v>0</v>
      </c>
      <c r="BT70" s="12">
        <v>0</v>
      </c>
      <c r="BU70" s="12">
        <v>0</v>
      </c>
      <c r="BV70" s="12">
        <v>0</v>
      </c>
      <c r="BW70" s="12">
        <v>0</v>
      </c>
      <c r="BX70" s="12">
        <v>0</v>
      </c>
      <c r="BY70" s="12">
        <v>0</v>
      </c>
      <c r="BZ70" s="12">
        <v>0</v>
      </c>
      <c r="CA70" s="12">
        <v>0</v>
      </c>
    </row>
    <row r="71" spans="1:79" hidden="1" x14ac:dyDescent="0.2">
      <c r="A71" s="12" t="s">
        <v>102</v>
      </c>
      <c r="B71" s="12" t="s">
        <v>109</v>
      </c>
      <c r="C71" s="12" t="s">
        <v>109</v>
      </c>
      <c r="D71" s="22" t="s">
        <v>280</v>
      </c>
      <c r="E71" s="22" t="s">
        <v>161</v>
      </c>
      <c r="F71" s="22" t="s">
        <v>701</v>
      </c>
      <c r="G71" s="22" t="s">
        <v>702</v>
      </c>
      <c r="H71" s="22" t="s">
        <v>166</v>
      </c>
      <c r="I71" s="22" t="s">
        <v>151</v>
      </c>
      <c r="J71" s="22" t="s">
        <v>181</v>
      </c>
      <c r="K71" s="22" t="s">
        <v>70</v>
      </c>
      <c r="L71" s="54" t="s">
        <v>153</v>
      </c>
      <c r="M71" s="23" t="s">
        <v>153</v>
      </c>
      <c r="N71" s="24" t="s">
        <v>153</v>
      </c>
      <c r="O71" s="23" t="s">
        <v>153</v>
      </c>
      <c r="P71" s="23" t="s">
        <v>153</v>
      </c>
      <c r="Q71" s="23" t="s">
        <v>153</v>
      </c>
      <c r="R71" s="23" t="s">
        <v>153</v>
      </c>
      <c r="S71" s="23" t="s">
        <v>153</v>
      </c>
      <c r="T71" s="24" t="s">
        <v>156</v>
      </c>
      <c r="U71" s="24" t="s">
        <v>153</v>
      </c>
      <c r="V71" s="54" t="s">
        <v>153</v>
      </c>
      <c r="W71" s="23" t="s">
        <v>153</v>
      </c>
      <c r="X71" s="23" t="s">
        <v>153</v>
      </c>
      <c r="Y71" s="23" t="s">
        <v>153</v>
      </c>
      <c r="Z71" s="23" t="s">
        <v>153</v>
      </c>
      <c r="AA71" s="23" t="s">
        <v>153</v>
      </c>
      <c r="AB71" s="24" t="s">
        <v>153</v>
      </c>
      <c r="AC71" s="23" t="s">
        <v>153</v>
      </c>
      <c r="AD71" s="23" t="s">
        <v>153</v>
      </c>
      <c r="AE71" s="23" t="s">
        <v>153</v>
      </c>
      <c r="AF71" s="23" t="s">
        <v>153</v>
      </c>
      <c r="AG71" s="23" t="s">
        <v>153</v>
      </c>
      <c r="AH71" s="24" t="s">
        <v>156</v>
      </c>
      <c r="AI71" s="24" t="s">
        <v>153</v>
      </c>
      <c r="AJ71" s="28" t="s">
        <v>163</v>
      </c>
      <c r="AK71" s="28" t="s">
        <v>163</v>
      </c>
      <c r="AL71" s="28" t="s">
        <v>163</v>
      </c>
      <c r="AM71" s="28" t="s">
        <v>163</v>
      </c>
      <c r="AN71" s="28" t="s">
        <v>163</v>
      </c>
      <c r="AO71" s="28" t="s">
        <v>163</v>
      </c>
      <c r="AP71" s="23">
        <f>VALUE(0)</f>
        <v>0</v>
      </c>
      <c r="AQ71" s="23">
        <f>VALUE(0)</f>
        <v>0</v>
      </c>
      <c r="AR71" s="23">
        <f>VALUE(0)</f>
        <v>0</v>
      </c>
      <c r="AS71" s="23">
        <f>VALUE(0)</f>
        <v>0</v>
      </c>
      <c r="AT71" s="23">
        <f>VALUE(0)</f>
        <v>0</v>
      </c>
      <c r="AU71" s="23">
        <f>VALUE(6)</f>
        <v>6</v>
      </c>
      <c r="AV71" s="23">
        <f>VALUE(1)</f>
        <v>1</v>
      </c>
      <c r="AW71" s="23">
        <f>VALUE(0)</f>
        <v>0</v>
      </c>
      <c r="AX71" s="23" t="s">
        <v>282</v>
      </c>
      <c r="AY71" s="23">
        <f>VALUE(0)</f>
        <v>0</v>
      </c>
      <c r="AZ71" s="23">
        <f>VALUE(0)</f>
        <v>0</v>
      </c>
      <c r="BA71" s="23">
        <f>VALUE(0)</f>
        <v>0</v>
      </c>
      <c r="BB71" s="23">
        <f>VALUE(0)</f>
        <v>0</v>
      </c>
      <c r="BC71" s="23">
        <f>VALUE(0)</f>
        <v>0</v>
      </c>
      <c r="BD71" s="23">
        <f>VALUE(0)</f>
        <v>0</v>
      </c>
      <c r="BE71" s="23">
        <f>VALUE(0)</f>
        <v>0</v>
      </c>
      <c r="BF71" s="23">
        <f>VALUE(0)</f>
        <v>0</v>
      </c>
      <c r="BG71" s="23">
        <f>VALUE(0)</f>
        <v>0</v>
      </c>
      <c r="BH71" s="23">
        <f>VALUE(0)</f>
        <v>0</v>
      </c>
      <c r="BI71" s="23">
        <f>VALUE(0)</f>
        <v>0</v>
      </c>
      <c r="BJ71" s="23">
        <f>VALUE(0)</f>
        <v>0</v>
      </c>
      <c r="BK71" s="12">
        <f>$AX$71*24</f>
        <v>5.9833333333333334</v>
      </c>
      <c r="BL71" s="12">
        <f>$AY$71*24</f>
        <v>0</v>
      </c>
      <c r="BM71" s="12">
        <f>$BJ$71*24</f>
        <v>0</v>
      </c>
      <c r="BN71" s="12">
        <f>VALUE($I$71)/100</f>
        <v>1</v>
      </c>
      <c r="BO71" s="12">
        <v>0</v>
      </c>
      <c r="BP71" s="12">
        <v>0</v>
      </c>
      <c r="BQ71" s="12">
        <v>0</v>
      </c>
      <c r="BR71" s="12">
        <v>0</v>
      </c>
      <c r="BS71" s="12">
        <v>0</v>
      </c>
      <c r="BT71" s="12">
        <v>0</v>
      </c>
      <c r="BU71" s="12">
        <v>0</v>
      </c>
      <c r="BV71" s="12">
        <v>0</v>
      </c>
      <c r="BW71" s="12">
        <v>0</v>
      </c>
      <c r="BX71" s="12">
        <v>0</v>
      </c>
      <c r="BY71" s="12">
        <v>0</v>
      </c>
      <c r="BZ71" s="12">
        <v>0</v>
      </c>
      <c r="CA71" s="12">
        <v>0</v>
      </c>
    </row>
    <row r="72" spans="1:79" hidden="1" x14ac:dyDescent="0.2">
      <c r="A72" s="12" t="s">
        <v>102</v>
      </c>
      <c r="B72" s="12" t="s">
        <v>109</v>
      </c>
      <c r="C72" s="12" t="s">
        <v>109</v>
      </c>
      <c r="D72" s="22" t="s">
        <v>283</v>
      </c>
      <c r="E72" s="22" t="s">
        <v>161</v>
      </c>
      <c r="F72" s="22" t="s">
        <v>703</v>
      </c>
      <c r="G72" s="22" t="s">
        <v>704</v>
      </c>
      <c r="H72" s="22" t="s">
        <v>166</v>
      </c>
      <c r="I72" s="22" t="s">
        <v>151</v>
      </c>
      <c r="J72" s="22" t="s">
        <v>181</v>
      </c>
      <c r="K72" s="22" t="s">
        <v>70</v>
      </c>
      <c r="L72" s="54" t="s">
        <v>153</v>
      </c>
      <c r="M72" s="28" t="s">
        <v>163</v>
      </c>
      <c r="N72" s="24" t="s">
        <v>153</v>
      </c>
      <c r="O72" s="23" t="s">
        <v>153</v>
      </c>
      <c r="P72" s="23" t="s">
        <v>153</v>
      </c>
      <c r="Q72" s="23" t="s">
        <v>153</v>
      </c>
      <c r="R72" s="23" t="s">
        <v>153</v>
      </c>
      <c r="S72" s="23" t="s">
        <v>153</v>
      </c>
      <c r="T72" s="23" t="s">
        <v>153</v>
      </c>
      <c r="U72" s="24" t="s">
        <v>153</v>
      </c>
      <c r="V72" s="54" t="s">
        <v>153</v>
      </c>
      <c r="W72" s="23" t="s">
        <v>153</v>
      </c>
      <c r="X72" s="23" t="s">
        <v>153</v>
      </c>
      <c r="Y72" s="23" t="s">
        <v>153</v>
      </c>
      <c r="Z72" s="23" t="s">
        <v>153</v>
      </c>
      <c r="AA72" s="24" t="s">
        <v>156</v>
      </c>
      <c r="AB72" s="24" t="s">
        <v>153</v>
      </c>
      <c r="AC72" s="23" t="s">
        <v>153</v>
      </c>
      <c r="AD72" s="23" t="s">
        <v>153</v>
      </c>
      <c r="AE72" s="23" t="s">
        <v>153</v>
      </c>
      <c r="AF72" s="23" t="s">
        <v>153</v>
      </c>
      <c r="AG72" s="23" t="s">
        <v>153</v>
      </c>
      <c r="AH72" s="23" t="s">
        <v>153</v>
      </c>
      <c r="AI72" s="24" t="s">
        <v>153</v>
      </c>
      <c r="AJ72" s="23" t="s">
        <v>153</v>
      </c>
      <c r="AK72" s="23" t="s">
        <v>153</v>
      </c>
      <c r="AL72" s="23" t="s">
        <v>153</v>
      </c>
      <c r="AM72" s="23" t="s">
        <v>153</v>
      </c>
      <c r="AN72" s="23" t="s">
        <v>153</v>
      </c>
      <c r="AO72" s="24" t="s">
        <v>156</v>
      </c>
      <c r="AP72" s="23">
        <f>VALUE(0)</f>
        <v>0</v>
      </c>
      <c r="AQ72" s="23">
        <f>VALUE(0)</f>
        <v>0</v>
      </c>
      <c r="AR72" s="23">
        <f>VALUE(0)</f>
        <v>0</v>
      </c>
      <c r="AS72" s="23">
        <f>VALUE(0)</f>
        <v>0</v>
      </c>
      <c r="AT72" s="23">
        <f>VALUE(0)</f>
        <v>0</v>
      </c>
      <c r="AU72" s="23">
        <f>VALUE(1)</f>
        <v>1</v>
      </c>
      <c r="AV72" s="23">
        <f>VALUE(4.5)</f>
        <v>4.5</v>
      </c>
      <c r="AW72" s="23">
        <f>VALUE(0)</f>
        <v>0</v>
      </c>
      <c r="AX72" s="23" t="s">
        <v>284</v>
      </c>
      <c r="AY72" s="23">
        <f>VALUE(0)</f>
        <v>0</v>
      </c>
      <c r="AZ72" s="23">
        <f>VALUE(0)</f>
        <v>0</v>
      </c>
      <c r="BA72" s="23">
        <f>VALUE(0)</f>
        <v>0</v>
      </c>
      <c r="BB72" s="23">
        <f>VALUE(0)</f>
        <v>0</v>
      </c>
      <c r="BC72" s="23">
        <f>VALUE(0)</f>
        <v>0</v>
      </c>
      <c r="BD72" s="23">
        <f>VALUE(0)</f>
        <v>0</v>
      </c>
      <c r="BE72" s="23">
        <f>VALUE(0)</f>
        <v>0</v>
      </c>
      <c r="BF72" s="23">
        <f>VALUE(0)</f>
        <v>0</v>
      </c>
      <c r="BG72" s="23">
        <f>VALUE(0)</f>
        <v>0</v>
      </c>
      <c r="BH72" s="23">
        <f>VALUE(0)</f>
        <v>0</v>
      </c>
      <c r="BI72" s="23">
        <f>VALUE(0)</f>
        <v>0</v>
      </c>
      <c r="BJ72" s="23">
        <f>VALUE(0)</f>
        <v>0</v>
      </c>
      <c r="BK72" s="12">
        <f>$AX$72*24</f>
        <v>12.966666666666665</v>
      </c>
      <c r="BL72" s="12">
        <f>$AY$72*24</f>
        <v>0</v>
      </c>
      <c r="BM72" s="12">
        <f>$BJ$72*24</f>
        <v>0</v>
      </c>
      <c r="BN72" s="12">
        <f>VALUE($I$72)/100</f>
        <v>1</v>
      </c>
      <c r="BO72" s="12">
        <v>0</v>
      </c>
      <c r="BP72" s="12">
        <v>0</v>
      </c>
      <c r="BQ72" s="12">
        <v>0</v>
      </c>
      <c r="BR72" s="12">
        <v>0</v>
      </c>
      <c r="BS72" s="12">
        <v>0</v>
      </c>
      <c r="BT72" s="12">
        <v>0</v>
      </c>
      <c r="BU72" s="12">
        <v>0</v>
      </c>
      <c r="BV72" s="12">
        <v>0</v>
      </c>
      <c r="BW72" s="12">
        <v>0</v>
      </c>
      <c r="BX72" s="12">
        <v>0</v>
      </c>
      <c r="BY72" s="12">
        <v>0</v>
      </c>
      <c r="BZ72" s="12">
        <v>0</v>
      </c>
      <c r="CA72" s="12">
        <v>0</v>
      </c>
    </row>
    <row r="73" spans="1:79" hidden="1" x14ac:dyDescent="0.2">
      <c r="A73" s="12" t="s">
        <v>102</v>
      </c>
      <c r="B73" s="12" t="s">
        <v>109</v>
      </c>
      <c r="C73" s="12" t="s">
        <v>109</v>
      </c>
      <c r="D73" s="22" t="s">
        <v>285</v>
      </c>
      <c r="E73" s="22" t="s">
        <v>161</v>
      </c>
      <c r="F73" s="22" t="s">
        <v>705</v>
      </c>
      <c r="G73" s="22" t="s">
        <v>706</v>
      </c>
      <c r="H73" s="22" t="s">
        <v>166</v>
      </c>
      <c r="I73" s="22" t="s">
        <v>151</v>
      </c>
      <c r="J73" s="22" t="s">
        <v>181</v>
      </c>
      <c r="K73" s="22" t="s">
        <v>70</v>
      </c>
      <c r="L73" s="54" t="s">
        <v>153</v>
      </c>
      <c r="M73" s="23" t="s">
        <v>153</v>
      </c>
      <c r="N73" s="24" t="s">
        <v>153</v>
      </c>
      <c r="O73" s="23" t="s">
        <v>153</v>
      </c>
      <c r="P73" s="23" t="s">
        <v>153</v>
      </c>
      <c r="Q73" s="23" t="s">
        <v>153</v>
      </c>
      <c r="R73" s="23" t="s">
        <v>153</v>
      </c>
      <c r="S73" s="23" t="s">
        <v>153</v>
      </c>
      <c r="T73" s="24" t="s">
        <v>156</v>
      </c>
      <c r="U73" s="24" t="s">
        <v>153</v>
      </c>
      <c r="V73" s="54" t="s">
        <v>153</v>
      </c>
      <c r="W73" s="23" t="s">
        <v>153</v>
      </c>
      <c r="X73" s="23" t="s">
        <v>153</v>
      </c>
      <c r="Y73" s="23" t="s">
        <v>153</v>
      </c>
      <c r="Z73" s="23" t="s">
        <v>153</v>
      </c>
      <c r="AA73" s="23" t="s">
        <v>153</v>
      </c>
      <c r="AB73" s="24" t="s">
        <v>153</v>
      </c>
      <c r="AC73" s="23" t="s">
        <v>153</v>
      </c>
      <c r="AD73" s="23" t="s">
        <v>153</v>
      </c>
      <c r="AE73" s="23" t="s">
        <v>153</v>
      </c>
      <c r="AF73" s="23" t="s">
        <v>153</v>
      </c>
      <c r="AG73" s="23" t="s">
        <v>153</v>
      </c>
      <c r="AH73" s="24" t="s">
        <v>156</v>
      </c>
      <c r="AI73" s="24" t="s">
        <v>153</v>
      </c>
      <c r="AJ73" s="23" t="s">
        <v>153</v>
      </c>
      <c r="AK73" s="23" t="s">
        <v>153</v>
      </c>
      <c r="AL73" s="23" t="s">
        <v>153</v>
      </c>
      <c r="AM73" s="23" t="s">
        <v>153</v>
      </c>
      <c r="AN73" s="23" t="s">
        <v>153</v>
      </c>
      <c r="AO73" s="23" t="s">
        <v>153</v>
      </c>
      <c r="AP73" s="23">
        <f>VALUE(0)</f>
        <v>0</v>
      </c>
      <c r="AQ73" s="23">
        <f>VALUE(0)</f>
        <v>0</v>
      </c>
      <c r="AR73" s="23">
        <f>VALUE(0)</f>
        <v>0</v>
      </c>
      <c r="AS73" s="23">
        <f>VALUE(0)</f>
        <v>0</v>
      </c>
      <c r="AT73" s="23">
        <f>VALUE(0)</f>
        <v>0</v>
      </c>
      <c r="AU73" s="23">
        <f>VALUE(0)</f>
        <v>0</v>
      </c>
      <c r="AV73" s="23">
        <f>VALUE(5.5)</f>
        <v>5.5</v>
      </c>
      <c r="AW73" s="23">
        <f>VALUE(0)</f>
        <v>0</v>
      </c>
      <c r="AX73" s="23" t="s">
        <v>286</v>
      </c>
      <c r="AY73" s="23">
        <f>VALUE(0)</f>
        <v>0</v>
      </c>
      <c r="AZ73" s="23">
        <f>VALUE(0)</f>
        <v>0</v>
      </c>
      <c r="BA73" s="23">
        <f>VALUE(0)</f>
        <v>0</v>
      </c>
      <c r="BB73" s="23">
        <f>VALUE(0)</f>
        <v>0</v>
      </c>
      <c r="BC73" s="23">
        <f>VALUE(0)</f>
        <v>0</v>
      </c>
      <c r="BD73" s="23">
        <f>VALUE(0)</f>
        <v>0</v>
      </c>
      <c r="BE73" s="23">
        <f>VALUE(0)</f>
        <v>0</v>
      </c>
      <c r="BF73" s="23">
        <f>VALUE(0)</f>
        <v>0</v>
      </c>
      <c r="BG73" s="23">
        <f>VALUE(0)</f>
        <v>0</v>
      </c>
      <c r="BH73" s="23">
        <f>VALUE(0)</f>
        <v>0</v>
      </c>
      <c r="BI73" s="23">
        <f>VALUE(0)</f>
        <v>0</v>
      </c>
      <c r="BJ73" s="23">
        <f>VALUE(0)</f>
        <v>0</v>
      </c>
      <c r="BK73" s="12">
        <f>$AX$73*24</f>
        <v>8.7333333333333325</v>
      </c>
      <c r="BL73" s="12">
        <f>$AY$73*24</f>
        <v>0</v>
      </c>
      <c r="BM73" s="12">
        <f>$BJ$73*24</f>
        <v>0</v>
      </c>
      <c r="BN73" s="12">
        <f>VALUE($I$73)/100</f>
        <v>1</v>
      </c>
      <c r="BO73" s="12">
        <v>0</v>
      </c>
      <c r="BP73" s="12">
        <v>0</v>
      </c>
      <c r="BQ73" s="12">
        <v>0</v>
      </c>
      <c r="BR73" s="12">
        <v>0</v>
      </c>
      <c r="BS73" s="12">
        <v>0</v>
      </c>
      <c r="BT73" s="12">
        <v>0</v>
      </c>
      <c r="BU73" s="12">
        <v>0</v>
      </c>
      <c r="BV73" s="12">
        <v>0</v>
      </c>
      <c r="BW73" s="12">
        <v>0</v>
      </c>
      <c r="BX73" s="12">
        <v>0</v>
      </c>
      <c r="BY73" s="12">
        <v>0</v>
      </c>
      <c r="BZ73" s="12">
        <v>0</v>
      </c>
      <c r="CA73" s="12">
        <v>0</v>
      </c>
    </row>
    <row r="74" spans="1:79" ht="15" hidden="1" x14ac:dyDescent="0.25">
      <c r="A74" s="12" t="s">
        <v>102</v>
      </c>
      <c r="B74" s="12" t="s">
        <v>109</v>
      </c>
      <c r="C74" s="12" t="s">
        <v>109</v>
      </c>
      <c r="D74" s="31" t="s">
        <v>585</v>
      </c>
      <c r="E74" s="31" t="s">
        <v>153</v>
      </c>
      <c r="F74" s="31" t="s">
        <v>175</v>
      </c>
      <c r="G74" s="31" t="s">
        <v>153</v>
      </c>
      <c r="H74" s="31" t="s">
        <v>153</v>
      </c>
      <c r="I74" s="31" t="s">
        <v>153</v>
      </c>
      <c r="J74" s="31" t="s">
        <v>153</v>
      </c>
      <c r="K74" s="31" t="s">
        <v>153</v>
      </c>
      <c r="L74" s="31">
        <f>VALUE(0)</f>
        <v>0</v>
      </c>
      <c r="M74" s="31">
        <f>VALUE(7)</f>
        <v>7</v>
      </c>
      <c r="N74" s="31">
        <f>VALUE(0)</f>
        <v>0</v>
      </c>
      <c r="O74" s="31">
        <f>VALUE(9)</f>
        <v>9</v>
      </c>
      <c r="P74" s="31">
        <f>VALUE(10)</f>
        <v>10</v>
      </c>
      <c r="Q74" s="31">
        <f>VALUE(11)</f>
        <v>11</v>
      </c>
      <c r="R74" s="31">
        <f>VALUE(11)</f>
        <v>11</v>
      </c>
      <c r="S74" s="31">
        <f>VALUE(11)</f>
        <v>11</v>
      </c>
      <c r="T74" s="31">
        <f>VALUE(7)</f>
        <v>7</v>
      </c>
      <c r="U74" s="31">
        <f>VALUE(0)</f>
        <v>0</v>
      </c>
      <c r="V74" s="31">
        <f>VALUE(0)</f>
        <v>0</v>
      </c>
      <c r="W74" s="31">
        <f>VALUE(9)</f>
        <v>9</v>
      </c>
      <c r="X74" s="31">
        <f>VALUE(10)</f>
        <v>10</v>
      </c>
      <c r="Y74" s="31">
        <f>VALUE(10)</f>
        <v>10</v>
      </c>
      <c r="Z74" s="31">
        <f>VALUE(10)</f>
        <v>10</v>
      </c>
      <c r="AA74" s="31">
        <f>VALUE(7)</f>
        <v>7</v>
      </c>
      <c r="AB74" s="31">
        <f>VALUE(0)</f>
        <v>0</v>
      </c>
      <c r="AC74" s="31">
        <f>VALUE(8)</f>
        <v>8</v>
      </c>
      <c r="AD74" s="31">
        <f>VALUE(8)</f>
        <v>8</v>
      </c>
      <c r="AE74" s="31">
        <f>VALUE(9)</f>
        <v>9</v>
      </c>
      <c r="AF74" s="31">
        <f>VALUE(9)</f>
        <v>9</v>
      </c>
      <c r="AG74" s="31">
        <f>VALUE(9)</f>
        <v>9</v>
      </c>
      <c r="AH74" s="31">
        <f>VALUE(5)</f>
        <v>5</v>
      </c>
      <c r="AI74" s="31">
        <f>VALUE(0)</f>
        <v>0</v>
      </c>
      <c r="AJ74" s="31">
        <f>VALUE(9)</f>
        <v>9</v>
      </c>
      <c r="AK74" s="31">
        <f>VALUE(9)</f>
        <v>9</v>
      </c>
      <c r="AL74" s="31">
        <f>VALUE(9)</f>
        <v>9</v>
      </c>
      <c r="AM74" s="31">
        <f>VALUE(9)</f>
        <v>9</v>
      </c>
      <c r="AN74" s="31">
        <f>VALUE(9)</f>
        <v>9</v>
      </c>
      <c r="AO74" s="31">
        <f>VALUE(5)</f>
        <v>5</v>
      </c>
      <c r="AP74" s="31">
        <v>0</v>
      </c>
      <c r="AQ74" s="31">
        <v>0</v>
      </c>
      <c r="AR74" s="31">
        <v>0</v>
      </c>
      <c r="AS74" s="31">
        <v>0</v>
      </c>
      <c r="AT74" s="31">
        <v>0</v>
      </c>
      <c r="AU74" s="31">
        <v>0</v>
      </c>
      <c r="AV74" s="31">
        <v>0</v>
      </c>
      <c r="AW74" s="31">
        <v>0</v>
      </c>
      <c r="AX74" s="31">
        <v>0</v>
      </c>
      <c r="AY74" s="31">
        <v>0</v>
      </c>
      <c r="AZ74" s="31">
        <v>0</v>
      </c>
      <c r="BA74" s="31">
        <v>0</v>
      </c>
      <c r="BB74" s="31">
        <v>0</v>
      </c>
      <c r="BC74" s="31">
        <v>0</v>
      </c>
      <c r="BD74" s="31">
        <v>0</v>
      </c>
      <c r="BE74" s="31">
        <v>0</v>
      </c>
      <c r="BF74" s="31">
        <v>0</v>
      </c>
      <c r="BG74" s="31">
        <v>0</v>
      </c>
      <c r="BH74" s="31">
        <v>0</v>
      </c>
      <c r="BI74" s="31">
        <v>0</v>
      </c>
      <c r="BJ74" s="31">
        <v>0</v>
      </c>
      <c r="BK74" s="12">
        <v>0</v>
      </c>
      <c r="BL74" s="12">
        <v>0</v>
      </c>
      <c r="BM74" s="12">
        <v>0</v>
      </c>
      <c r="BN74" s="12"/>
      <c r="BO74" s="12">
        <v>0</v>
      </c>
      <c r="BP74" s="12">
        <v>0</v>
      </c>
      <c r="BQ74" s="12">
        <v>0</v>
      </c>
      <c r="BR74" s="12">
        <v>0</v>
      </c>
      <c r="BS74" s="12">
        <v>0</v>
      </c>
      <c r="BT74" s="12">
        <v>0</v>
      </c>
      <c r="BU74" s="12">
        <v>0</v>
      </c>
      <c r="BV74" s="12">
        <v>0</v>
      </c>
      <c r="BW74" s="12">
        <v>0</v>
      </c>
      <c r="BX74" s="12">
        <v>0</v>
      </c>
      <c r="BY74" s="12">
        <v>0</v>
      </c>
      <c r="BZ74" s="12">
        <v>0</v>
      </c>
      <c r="CA74" s="12">
        <v>0</v>
      </c>
    </row>
    <row r="75" spans="1:79" ht="16.5" hidden="1" x14ac:dyDescent="0.2">
      <c r="A75" s="12" t="s">
        <v>102</v>
      </c>
      <c r="B75" s="12" t="s">
        <v>110</v>
      </c>
      <c r="C75" s="12" t="s">
        <v>110</v>
      </c>
      <c r="D75" s="22" t="s">
        <v>1190</v>
      </c>
      <c r="E75" s="22" t="s">
        <v>161</v>
      </c>
      <c r="F75" s="22" t="s">
        <v>707</v>
      </c>
      <c r="G75" s="22" t="s">
        <v>708</v>
      </c>
      <c r="H75" s="22" t="s">
        <v>150</v>
      </c>
      <c r="I75" s="22" t="s">
        <v>151</v>
      </c>
      <c r="J75" s="22" t="s">
        <v>264</v>
      </c>
      <c r="K75" s="22" t="s">
        <v>71</v>
      </c>
      <c r="L75" s="54" t="s">
        <v>153</v>
      </c>
      <c r="M75" s="23" t="s">
        <v>287</v>
      </c>
      <c r="N75" s="24" t="s">
        <v>153</v>
      </c>
      <c r="O75" s="26" t="s">
        <v>1191</v>
      </c>
      <c r="P75" s="26" t="s">
        <v>1191</v>
      </c>
      <c r="Q75" s="26" t="s">
        <v>1191</v>
      </c>
      <c r="R75" s="24" t="s">
        <v>156</v>
      </c>
      <c r="S75" s="24" t="s">
        <v>156</v>
      </c>
      <c r="T75" s="24" t="s">
        <v>156</v>
      </c>
      <c r="U75" s="24" t="s">
        <v>153</v>
      </c>
      <c r="V75" s="54" t="s">
        <v>153</v>
      </c>
      <c r="W75" s="26" t="s">
        <v>1191</v>
      </c>
      <c r="X75" s="26" t="s">
        <v>1191</v>
      </c>
      <c r="Y75" s="23" t="s">
        <v>291</v>
      </c>
      <c r="Z75" s="23" t="s">
        <v>291</v>
      </c>
      <c r="AA75" s="26" t="s">
        <v>1191</v>
      </c>
      <c r="AB75" s="24" t="s">
        <v>153</v>
      </c>
      <c r="AC75" s="26" t="s">
        <v>1191</v>
      </c>
      <c r="AD75" s="26" t="s">
        <v>1191</v>
      </c>
      <c r="AE75" s="26" t="s">
        <v>1191</v>
      </c>
      <c r="AF75" s="26" t="s">
        <v>1191</v>
      </c>
      <c r="AG75" s="26" t="s">
        <v>1191</v>
      </c>
      <c r="AH75" s="26" t="s">
        <v>1191</v>
      </c>
      <c r="AI75" s="24" t="s">
        <v>153</v>
      </c>
      <c r="AJ75" s="26" t="s">
        <v>1191</v>
      </c>
      <c r="AK75" s="26" t="s">
        <v>1191</v>
      </c>
      <c r="AL75" s="26" t="s">
        <v>1191</v>
      </c>
      <c r="AM75" s="23" t="s">
        <v>288</v>
      </c>
      <c r="AN75" s="23" t="s">
        <v>288</v>
      </c>
      <c r="AO75" s="23" t="s">
        <v>288</v>
      </c>
      <c r="AP75" s="23">
        <f>VALUE(51)</f>
        <v>51</v>
      </c>
      <c r="AQ75" s="23">
        <f>VALUE(0)</f>
        <v>0</v>
      </c>
      <c r="AR75" s="23">
        <f>VALUE(0)</f>
        <v>0</v>
      </c>
      <c r="AS75" s="23">
        <f>VALUE(0)</f>
        <v>0</v>
      </c>
      <c r="AT75" s="23">
        <f>VALUE(0)</f>
        <v>0</v>
      </c>
      <c r="AU75" s="23">
        <f>VALUE(0)</f>
        <v>0</v>
      </c>
      <c r="AV75" s="23">
        <f>VALUE(8)</f>
        <v>8</v>
      </c>
      <c r="AW75" s="23">
        <f>VALUE(0)</f>
        <v>0</v>
      </c>
      <c r="AX75" s="23" t="s">
        <v>289</v>
      </c>
      <c r="AY75" s="23" t="s">
        <v>290</v>
      </c>
      <c r="AZ75" s="23">
        <f>VALUE(0)</f>
        <v>0</v>
      </c>
      <c r="BA75" s="23">
        <f>VALUE(0)</f>
        <v>0</v>
      </c>
      <c r="BB75" s="23">
        <f>VALUE(0)</f>
        <v>0</v>
      </c>
      <c r="BC75" s="23">
        <f>VALUE(0)</f>
        <v>0</v>
      </c>
      <c r="BD75" s="23">
        <f>VALUE(0)</f>
        <v>0</v>
      </c>
      <c r="BE75" s="23">
        <f>VALUE(0)</f>
        <v>0</v>
      </c>
      <c r="BF75" s="23">
        <f>VALUE(0)</f>
        <v>0</v>
      </c>
      <c r="BG75" s="23">
        <f>VALUE(0)</f>
        <v>0</v>
      </c>
      <c r="BH75" s="23">
        <f>VALUE(0)</f>
        <v>0</v>
      </c>
      <c r="BI75" s="23">
        <f>VALUE(0)</f>
        <v>0</v>
      </c>
      <c r="BJ75" s="23">
        <f>VALUE(0)</f>
        <v>0</v>
      </c>
      <c r="BK75" s="12">
        <f>$AX$75*24</f>
        <v>5.583333333333333</v>
      </c>
      <c r="BL75" s="12">
        <f>$AY$75*24</f>
        <v>4.4000000000000004</v>
      </c>
      <c r="BM75" s="12">
        <f>$BJ$75*24</f>
        <v>0</v>
      </c>
      <c r="BN75" s="12">
        <f>VALUE($I$75)/100</f>
        <v>1</v>
      </c>
      <c r="BO75" s="12">
        <v>0</v>
      </c>
      <c r="BP75" s="12">
        <v>0</v>
      </c>
      <c r="BQ75" s="12">
        <v>0</v>
      </c>
      <c r="BR75" s="12">
        <v>0</v>
      </c>
      <c r="BS75" s="12">
        <v>0</v>
      </c>
      <c r="BT75" s="12">
        <v>0</v>
      </c>
      <c r="BU75" s="12">
        <v>0</v>
      </c>
      <c r="BV75" s="12">
        <v>0</v>
      </c>
      <c r="BW75" s="12">
        <v>0</v>
      </c>
      <c r="BX75" s="12">
        <v>0</v>
      </c>
      <c r="BY75" s="12">
        <v>0</v>
      </c>
      <c r="BZ75" s="12">
        <v>0</v>
      </c>
      <c r="CA75" s="12">
        <v>0</v>
      </c>
    </row>
    <row r="76" spans="1:79" x14ac:dyDescent="0.2">
      <c r="A76" s="12" t="s">
        <v>102</v>
      </c>
      <c r="B76" s="12" t="s">
        <v>110</v>
      </c>
      <c r="C76" s="12" t="s">
        <v>110</v>
      </c>
      <c r="D76" s="22" t="s">
        <v>291</v>
      </c>
      <c r="E76" s="22" t="s">
        <v>161</v>
      </c>
      <c r="F76" s="22" t="s">
        <v>709</v>
      </c>
      <c r="G76" s="22" t="s">
        <v>710</v>
      </c>
      <c r="H76" s="22" t="s">
        <v>150</v>
      </c>
      <c r="I76" s="22" t="s">
        <v>151</v>
      </c>
      <c r="J76" s="22" t="s">
        <v>162</v>
      </c>
      <c r="K76" s="22" t="s">
        <v>71</v>
      </c>
      <c r="L76" s="54" t="s">
        <v>153</v>
      </c>
      <c r="M76" s="23" t="s">
        <v>153</v>
      </c>
      <c r="N76" s="24" t="s">
        <v>153</v>
      </c>
      <c r="O76" s="23" t="s">
        <v>153</v>
      </c>
      <c r="P76" s="23" t="s">
        <v>153</v>
      </c>
      <c r="Q76" s="23" t="s">
        <v>153</v>
      </c>
      <c r="R76" s="29" t="s">
        <v>29</v>
      </c>
      <c r="S76" s="29" t="s">
        <v>29</v>
      </c>
      <c r="T76" s="23" t="s">
        <v>153</v>
      </c>
      <c r="U76" s="24" t="s">
        <v>153</v>
      </c>
      <c r="V76" s="54" t="s">
        <v>153</v>
      </c>
      <c r="W76" s="23" t="s">
        <v>153</v>
      </c>
      <c r="X76" s="23" t="s">
        <v>153</v>
      </c>
      <c r="Y76" s="29" t="s">
        <v>29</v>
      </c>
      <c r="Z76" s="29" t="s">
        <v>29</v>
      </c>
      <c r="AA76" s="23" t="s">
        <v>153</v>
      </c>
      <c r="AB76" s="24" t="s">
        <v>153</v>
      </c>
      <c r="AC76" s="23" t="s">
        <v>153</v>
      </c>
      <c r="AD76" s="23" t="s">
        <v>153</v>
      </c>
      <c r="AE76" s="23" t="s">
        <v>153</v>
      </c>
      <c r="AF76" s="24" t="s">
        <v>156</v>
      </c>
      <c r="AG76" s="24" t="s">
        <v>156</v>
      </c>
      <c r="AH76" s="24" t="s">
        <v>156</v>
      </c>
      <c r="AI76" s="24" t="s">
        <v>153</v>
      </c>
      <c r="AJ76" s="28" t="s">
        <v>163</v>
      </c>
      <c r="AK76" s="28" t="s">
        <v>163</v>
      </c>
      <c r="AL76" s="28" t="s">
        <v>163</v>
      </c>
      <c r="AM76" s="28" t="s">
        <v>163</v>
      </c>
      <c r="AN76" s="28" t="s">
        <v>163</v>
      </c>
      <c r="AO76" s="28" t="s">
        <v>163</v>
      </c>
      <c r="AP76" s="23">
        <f>VALUE(32)</f>
        <v>32</v>
      </c>
      <c r="AQ76" s="23">
        <f>VALUE(0)</f>
        <v>0</v>
      </c>
      <c r="AR76" s="23">
        <f>VALUE(4)</f>
        <v>4</v>
      </c>
      <c r="AS76" s="23">
        <f>VALUE(0)</f>
        <v>0</v>
      </c>
      <c r="AT76" s="23">
        <f>VALUE(0)</f>
        <v>0</v>
      </c>
      <c r="AU76" s="23">
        <f>VALUE(6)</f>
        <v>6</v>
      </c>
      <c r="AV76" s="23">
        <f>VALUE(6)</f>
        <v>6</v>
      </c>
      <c r="AW76" s="23">
        <f>VALUE(0)</f>
        <v>0</v>
      </c>
      <c r="AX76" s="23" t="s">
        <v>292</v>
      </c>
      <c r="AY76" s="23" t="s">
        <v>176</v>
      </c>
      <c r="AZ76" s="23">
        <f>VALUE(0)</f>
        <v>0</v>
      </c>
      <c r="BA76" s="23">
        <f>VALUE(0)</f>
        <v>0</v>
      </c>
      <c r="BB76" s="23">
        <f>VALUE(0)</f>
        <v>0</v>
      </c>
      <c r="BC76" s="23">
        <f>VALUE(0)</f>
        <v>0</v>
      </c>
      <c r="BD76" s="23">
        <f>VALUE(0)</f>
        <v>0</v>
      </c>
      <c r="BE76" s="23">
        <f>VALUE(0)</f>
        <v>0</v>
      </c>
      <c r="BF76" s="23">
        <f>VALUE(0)</f>
        <v>0</v>
      </c>
      <c r="BG76" s="23">
        <f>VALUE(0)</f>
        <v>0</v>
      </c>
      <c r="BH76" s="23">
        <f>VALUE(0)</f>
        <v>0</v>
      </c>
      <c r="BI76" s="23">
        <f>VALUE(0)</f>
        <v>0</v>
      </c>
      <c r="BJ76" s="23">
        <f>VALUE(0)</f>
        <v>0</v>
      </c>
      <c r="BK76" s="12">
        <f>$AX$76*24</f>
        <v>3.6499999999999995</v>
      </c>
      <c r="BL76" s="12">
        <f>$AY$76*24</f>
        <v>0</v>
      </c>
      <c r="BM76" s="12">
        <f>$BJ$76*24</f>
        <v>0</v>
      </c>
      <c r="BN76" s="12">
        <f>VALUE($I$76)/100</f>
        <v>1</v>
      </c>
      <c r="BO76" s="12">
        <v>0</v>
      </c>
      <c r="BP76" s="12">
        <v>0</v>
      </c>
      <c r="BQ76" s="12">
        <v>0</v>
      </c>
      <c r="BR76" s="12">
        <v>0</v>
      </c>
      <c r="BS76" s="12">
        <v>0</v>
      </c>
      <c r="BT76" s="12">
        <v>0</v>
      </c>
      <c r="BU76" s="12">
        <v>0</v>
      </c>
      <c r="BV76" s="12">
        <v>0</v>
      </c>
      <c r="BW76" s="12">
        <v>0</v>
      </c>
      <c r="BX76" s="12">
        <v>0</v>
      </c>
      <c r="BY76" s="12">
        <v>0</v>
      </c>
      <c r="BZ76" s="12">
        <v>0</v>
      </c>
      <c r="CA76" s="12">
        <v>0</v>
      </c>
    </row>
    <row r="77" spans="1:79" hidden="1" x14ac:dyDescent="0.2">
      <c r="A77" s="12" t="s">
        <v>102</v>
      </c>
      <c r="B77" s="12" t="s">
        <v>110</v>
      </c>
      <c r="C77" s="12" t="s">
        <v>110</v>
      </c>
      <c r="D77" s="22" t="s">
        <v>293</v>
      </c>
      <c r="E77" s="22" t="s">
        <v>161</v>
      </c>
      <c r="F77" s="22" t="s">
        <v>711</v>
      </c>
      <c r="G77" s="22" t="s">
        <v>712</v>
      </c>
      <c r="H77" s="22" t="s">
        <v>150</v>
      </c>
      <c r="I77" s="22" t="s">
        <v>151</v>
      </c>
      <c r="J77" s="22" t="s">
        <v>162</v>
      </c>
      <c r="K77" s="22" t="s">
        <v>71</v>
      </c>
      <c r="L77" s="54" t="s">
        <v>153</v>
      </c>
      <c r="M77" s="24" t="s">
        <v>156</v>
      </c>
      <c r="N77" s="24" t="s">
        <v>153</v>
      </c>
      <c r="O77" s="24" t="s">
        <v>156</v>
      </c>
      <c r="P77" s="24" t="s">
        <v>156</v>
      </c>
      <c r="Q77" s="24" t="s">
        <v>156</v>
      </c>
      <c r="R77" s="28" t="s">
        <v>163</v>
      </c>
      <c r="S77" s="28" t="s">
        <v>163</v>
      </c>
      <c r="T77" s="28" t="s">
        <v>163</v>
      </c>
      <c r="U77" s="24" t="s">
        <v>153</v>
      </c>
      <c r="V77" s="54" t="s">
        <v>153</v>
      </c>
      <c r="W77" s="28" t="s">
        <v>163</v>
      </c>
      <c r="X77" s="28" t="s">
        <v>163</v>
      </c>
      <c r="Y77" s="28" t="s">
        <v>163</v>
      </c>
      <c r="Z77" s="28" t="s">
        <v>163</v>
      </c>
      <c r="AA77" s="28" t="s">
        <v>163</v>
      </c>
      <c r="AB77" s="24" t="s">
        <v>153</v>
      </c>
      <c r="AC77" s="23" t="s">
        <v>153</v>
      </c>
      <c r="AD77" s="23" t="s">
        <v>153</v>
      </c>
      <c r="AE77" s="23" t="s">
        <v>153</v>
      </c>
      <c r="AF77" s="23" t="s">
        <v>153</v>
      </c>
      <c r="AG77" s="23" t="s">
        <v>153</v>
      </c>
      <c r="AH77" s="23" t="s">
        <v>153</v>
      </c>
      <c r="AI77" s="24" t="s">
        <v>153</v>
      </c>
      <c r="AJ77" s="23" t="s">
        <v>153</v>
      </c>
      <c r="AK77" s="23" t="s">
        <v>153</v>
      </c>
      <c r="AL77" s="23" t="s">
        <v>153</v>
      </c>
      <c r="AM77" s="23" t="s">
        <v>153</v>
      </c>
      <c r="AN77" s="23" t="s">
        <v>153</v>
      </c>
      <c r="AO77" s="23" t="s">
        <v>153</v>
      </c>
      <c r="AP77" s="23">
        <f>VALUE(49)</f>
        <v>49</v>
      </c>
      <c r="AQ77" s="23">
        <f>VALUE(0)</f>
        <v>0</v>
      </c>
      <c r="AR77" s="23">
        <f>VALUE(0)</f>
        <v>0</v>
      </c>
      <c r="AS77" s="23">
        <f>VALUE(0)</f>
        <v>0</v>
      </c>
      <c r="AT77" s="23">
        <f>VALUE(0)</f>
        <v>0</v>
      </c>
      <c r="AU77" s="23">
        <f>VALUE(8)</f>
        <v>8</v>
      </c>
      <c r="AV77" s="23">
        <f>VALUE(7)</f>
        <v>7</v>
      </c>
      <c r="AW77" s="23">
        <f>VALUE(0)</f>
        <v>0</v>
      </c>
      <c r="AX77" s="23" t="s">
        <v>294</v>
      </c>
      <c r="AY77" s="23" t="s">
        <v>295</v>
      </c>
      <c r="AZ77" s="23">
        <f>VALUE(0)</f>
        <v>0</v>
      </c>
      <c r="BA77" s="23">
        <f>VALUE(0)</f>
        <v>0</v>
      </c>
      <c r="BB77" s="23">
        <f>VALUE(0)</f>
        <v>0</v>
      </c>
      <c r="BC77" s="23">
        <f>VALUE(0)</f>
        <v>0</v>
      </c>
      <c r="BD77" s="23">
        <f>VALUE(0)</f>
        <v>0</v>
      </c>
      <c r="BE77" s="23">
        <f>VALUE(0)</f>
        <v>0</v>
      </c>
      <c r="BF77" s="23">
        <f>VALUE(0)</f>
        <v>0</v>
      </c>
      <c r="BG77" s="23">
        <f>VALUE(0)</f>
        <v>0</v>
      </c>
      <c r="BH77" s="23">
        <f>VALUE(0)</f>
        <v>0</v>
      </c>
      <c r="BI77" s="23">
        <f>VALUE(0)</f>
        <v>0</v>
      </c>
      <c r="BJ77" s="23">
        <f>VALUE(0)</f>
        <v>0</v>
      </c>
      <c r="BK77" s="12">
        <f>$AX$77*24</f>
        <v>2.1666666666666665</v>
      </c>
      <c r="BL77" s="12">
        <f>$AY$77*24</f>
        <v>0.73333333333333328</v>
      </c>
      <c r="BM77" s="12">
        <f>$BJ$77*24</f>
        <v>0</v>
      </c>
      <c r="BN77" s="12">
        <f>VALUE($I$77)/100</f>
        <v>1</v>
      </c>
      <c r="BO77" s="12">
        <v>0</v>
      </c>
      <c r="BP77" s="12">
        <v>0</v>
      </c>
      <c r="BQ77" s="12">
        <v>0</v>
      </c>
      <c r="BR77" s="12">
        <v>0</v>
      </c>
      <c r="BS77" s="12">
        <v>0</v>
      </c>
      <c r="BT77" s="12">
        <v>0</v>
      </c>
      <c r="BU77" s="12">
        <v>0</v>
      </c>
      <c r="BV77" s="12">
        <v>0</v>
      </c>
      <c r="BW77" s="12">
        <v>0</v>
      </c>
      <c r="BX77" s="12">
        <v>0</v>
      </c>
      <c r="BY77" s="12">
        <v>0</v>
      </c>
      <c r="BZ77" s="12">
        <v>0</v>
      </c>
      <c r="CA77" s="12">
        <v>0</v>
      </c>
    </row>
    <row r="78" spans="1:79" hidden="1" x14ac:dyDescent="0.2">
      <c r="A78" s="12" t="s">
        <v>102</v>
      </c>
      <c r="B78" s="12" t="s">
        <v>110</v>
      </c>
      <c r="C78" s="12" t="s">
        <v>110</v>
      </c>
      <c r="D78" s="22" t="s">
        <v>288</v>
      </c>
      <c r="E78" s="22" t="s">
        <v>161</v>
      </c>
      <c r="F78" s="22" t="s">
        <v>713</v>
      </c>
      <c r="G78" s="22" t="s">
        <v>714</v>
      </c>
      <c r="H78" s="22" t="s">
        <v>166</v>
      </c>
      <c r="I78" s="22" t="s">
        <v>151</v>
      </c>
      <c r="J78" s="22" t="s">
        <v>162</v>
      </c>
      <c r="K78" s="22" t="s">
        <v>71</v>
      </c>
      <c r="L78" s="54" t="s">
        <v>153</v>
      </c>
      <c r="M78" s="28" t="s">
        <v>163</v>
      </c>
      <c r="N78" s="24" t="s">
        <v>153</v>
      </c>
      <c r="O78" s="23" t="s">
        <v>153</v>
      </c>
      <c r="P78" s="23" t="s">
        <v>153</v>
      </c>
      <c r="Q78" s="23" t="s">
        <v>153</v>
      </c>
      <c r="R78" s="23" t="s">
        <v>153</v>
      </c>
      <c r="S78" s="23" t="s">
        <v>153</v>
      </c>
      <c r="T78" s="23" t="s">
        <v>153</v>
      </c>
      <c r="U78" s="24" t="s">
        <v>153</v>
      </c>
      <c r="V78" s="54" t="s">
        <v>153</v>
      </c>
      <c r="W78" s="23" t="s">
        <v>153</v>
      </c>
      <c r="X78" s="23" t="s">
        <v>153</v>
      </c>
      <c r="Y78" s="23" t="s">
        <v>153</v>
      </c>
      <c r="Z78" s="23" t="s">
        <v>153</v>
      </c>
      <c r="AA78" s="23" t="s">
        <v>153</v>
      </c>
      <c r="AB78" s="24" t="s">
        <v>153</v>
      </c>
      <c r="AC78" s="23" t="s">
        <v>153</v>
      </c>
      <c r="AD78" s="23" t="s">
        <v>153</v>
      </c>
      <c r="AE78" s="23" t="s">
        <v>153</v>
      </c>
      <c r="AF78" s="23" t="s">
        <v>153</v>
      </c>
      <c r="AG78" s="23" t="s">
        <v>153</v>
      </c>
      <c r="AH78" s="23" t="s">
        <v>153</v>
      </c>
      <c r="AI78" s="24" t="s">
        <v>153</v>
      </c>
      <c r="AJ78" s="23" t="s">
        <v>153</v>
      </c>
      <c r="AK78" s="23" t="s">
        <v>153</v>
      </c>
      <c r="AL78" s="23" t="s">
        <v>153</v>
      </c>
      <c r="AM78" s="24" t="s">
        <v>156</v>
      </c>
      <c r="AN78" s="24" t="s">
        <v>156</v>
      </c>
      <c r="AO78" s="24" t="s">
        <v>156</v>
      </c>
      <c r="AP78" s="23">
        <f>VALUE(46)</f>
        <v>46</v>
      </c>
      <c r="AQ78" s="23">
        <f>VALUE(0)</f>
        <v>0</v>
      </c>
      <c r="AR78" s="23">
        <f>VALUE(0)</f>
        <v>0</v>
      </c>
      <c r="AS78" s="23">
        <f>VALUE(0)</f>
        <v>0</v>
      </c>
      <c r="AT78" s="23">
        <f>VALUE(0)</f>
        <v>0</v>
      </c>
      <c r="AU78" s="23">
        <f>VALUE(1)</f>
        <v>1</v>
      </c>
      <c r="AV78" s="23">
        <f>VALUE(6)</f>
        <v>6</v>
      </c>
      <c r="AW78" s="23">
        <f>VALUE(0)</f>
        <v>0</v>
      </c>
      <c r="AX78" s="23" t="s">
        <v>1192</v>
      </c>
      <c r="AY78" s="23">
        <f>VALUE(0)</f>
        <v>0</v>
      </c>
      <c r="AZ78" s="23">
        <f>VALUE(0)</f>
        <v>0</v>
      </c>
      <c r="BA78" s="23">
        <f>VALUE(0)</f>
        <v>0</v>
      </c>
      <c r="BB78" s="23">
        <f>VALUE(0)</f>
        <v>0</v>
      </c>
      <c r="BC78" s="23">
        <f>VALUE(0)</f>
        <v>0</v>
      </c>
      <c r="BD78" s="23">
        <f>VALUE(0)</f>
        <v>0</v>
      </c>
      <c r="BE78" s="23">
        <f>VALUE(0)</f>
        <v>0</v>
      </c>
      <c r="BF78" s="23">
        <f>VALUE(0)</f>
        <v>0</v>
      </c>
      <c r="BG78" s="23">
        <f>VALUE(0)</f>
        <v>0</v>
      </c>
      <c r="BH78" s="23">
        <f>VALUE(0)</f>
        <v>0</v>
      </c>
      <c r="BI78" s="23">
        <f>VALUE(0)</f>
        <v>0</v>
      </c>
      <c r="BJ78" s="23">
        <f>VALUE(0)</f>
        <v>0</v>
      </c>
      <c r="BK78" s="12">
        <f>$AX$78*24</f>
        <v>61.45</v>
      </c>
      <c r="BL78" s="12">
        <f>$AY$78*24</f>
        <v>0</v>
      </c>
      <c r="BM78" s="12">
        <f>$BJ$78*24</f>
        <v>0</v>
      </c>
      <c r="BN78" s="12">
        <f>VALUE($I$78)/100</f>
        <v>1</v>
      </c>
      <c r="BO78" s="12">
        <v>0</v>
      </c>
      <c r="BP78" s="12">
        <v>0</v>
      </c>
      <c r="BQ78" s="12">
        <v>0</v>
      </c>
      <c r="BR78" s="12">
        <v>0</v>
      </c>
      <c r="BS78" s="12">
        <v>0</v>
      </c>
      <c r="BT78" s="12">
        <v>0</v>
      </c>
      <c r="BU78" s="12">
        <v>0</v>
      </c>
      <c r="BV78" s="12">
        <v>0</v>
      </c>
      <c r="BW78" s="12">
        <v>0</v>
      </c>
      <c r="BX78" s="12">
        <v>0</v>
      </c>
      <c r="BY78" s="12">
        <v>0</v>
      </c>
      <c r="BZ78" s="12">
        <v>0</v>
      </c>
      <c r="CA78" s="12">
        <v>0</v>
      </c>
    </row>
    <row r="79" spans="1:79" hidden="1" x14ac:dyDescent="0.2">
      <c r="A79" s="12" t="s">
        <v>102</v>
      </c>
      <c r="B79" s="12" t="s">
        <v>110</v>
      </c>
      <c r="C79" s="12" t="s">
        <v>110</v>
      </c>
      <c r="D79" s="22" t="s">
        <v>296</v>
      </c>
      <c r="E79" s="22" t="s">
        <v>161</v>
      </c>
      <c r="F79" s="22" t="s">
        <v>715</v>
      </c>
      <c r="G79" s="22" t="s">
        <v>716</v>
      </c>
      <c r="H79" s="22" t="s">
        <v>150</v>
      </c>
      <c r="I79" s="22" t="s">
        <v>151</v>
      </c>
      <c r="J79" s="22" t="s">
        <v>162</v>
      </c>
      <c r="K79" s="22" t="s">
        <v>71</v>
      </c>
      <c r="L79" s="54" t="s">
        <v>153</v>
      </c>
      <c r="M79" s="23" t="s">
        <v>153</v>
      </c>
      <c r="N79" s="24" t="s">
        <v>153</v>
      </c>
      <c r="O79" s="23" t="s">
        <v>153</v>
      </c>
      <c r="P79" s="23" t="s">
        <v>153</v>
      </c>
      <c r="Q79" s="23" t="s">
        <v>153</v>
      </c>
      <c r="R79" s="23" t="s">
        <v>153</v>
      </c>
      <c r="S79" s="23" t="s">
        <v>153</v>
      </c>
      <c r="T79" s="23" t="s">
        <v>153</v>
      </c>
      <c r="U79" s="24" t="s">
        <v>153</v>
      </c>
      <c r="V79" s="54" t="s">
        <v>153</v>
      </c>
      <c r="W79" s="23" t="s">
        <v>153</v>
      </c>
      <c r="X79" s="23" t="s">
        <v>153</v>
      </c>
      <c r="Y79" s="24" t="s">
        <v>156</v>
      </c>
      <c r="Z79" s="24" t="s">
        <v>156</v>
      </c>
      <c r="AA79" s="24" t="s">
        <v>156</v>
      </c>
      <c r="AB79" s="24" t="s">
        <v>153</v>
      </c>
      <c r="AC79" s="28" t="s">
        <v>163</v>
      </c>
      <c r="AD79" s="28" t="s">
        <v>163</v>
      </c>
      <c r="AE79" s="28" t="s">
        <v>163</v>
      </c>
      <c r="AF79" s="23" t="s">
        <v>153</v>
      </c>
      <c r="AG79" s="23" t="s">
        <v>153</v>
      </c>
      <c r="AH79" s="23" t="s">
        <v>153</v>
      </c>
      <c r="AI79" s="24" t="s">
        <v>153</v>
      </c>
      <c r="AJ79" s="23" t="s">
        <v>153</v>
      </c>
      <c r="AK79" s="23" t="s">
        <v>153</v>
      </c>
      <c r="AL79" s="23" t="s">
        <v>153</v>
      </c>
      <c r="AM79" s="23" t="s">
        <v>153</v>
      </c>
      <c r="AN79" s="23" t="s">
        <v>153</v>
      </c>
      <c r="AO79" s="23" t="s">
        <v>153</v>
      </c>
      <c r="AP79" s="23">
        <f>VALUE(54)</f>
        <v>54</v>
      </c>
      <c r="AQ79" s="23">
        <f>VALUE(0)</f>
        <v>0</v>
      </c>
      <c r="AR79" s="23">
        <f>VALUE(0)</f>
        <v>0</v>
      </c>
      <c r="AS79" s="23">
        <f>VALUE(0)</f>
        <v>0</v>
      </c>
      <c r="AT79" s="23">
        <f>VALUE(0)</f>
        <v>0</v>
      </c>
      <c r="AU79" s="23">
        <f>VALUE(3)</f>
        <v>3</v>
      </c>
      <c r="AV79" s="23">
        <f>VALUE(13)</f>
        <v>13</v>
      </c>
      <c r="AW79" s="23">
        <f>VALUE(0)</f>
        <v>0</v>
      </c>
      <c r="AX79" s="23" t="s">
        <v>158</v>
      </c>
      <c r="AY79" s="23" t="s">
        <v>297</v>
      </c>
      <c r="AZ79" s="23">
        <f>VALUE(0)</f>
        <v>0</v>
      </c>
      <c r="BA79" s="23">
        <f>VALUE(0)</f>
        <v>0</v>
      </c>
      <c r="BB79" s="23">
        <f>VALUE(0)</f>
        <v>0</v>
      </c>
      <c r="BC79" s="23">
        <f>VALUE(0)</f>
        <v>0</v>
      </c>
      <c r="BD79" s="23">
        <f>VALUE(0)</f>
        <v>0</v>
      </c>
      <c r="BE79" s="23">
        <f>VALUE(0)</f>
        <v>0</v>
      </c>
      <c r="BF79" s="23">
        <f>VALUE(0)</f>
        <v>0</v>
      </c>
      <c r="BG79" s="23">
        <f>VALUE(0)</f>
        <v>0</v>
      </c>
      <c r="BH79" s="23">
        <f>VALUE(0)</f>
        <v>0</v>
      </c>
      <c r="BI79" s="23">
        <f>VALUE(0)</f>
        <v>0</v>
      </c>
      <c r="BJ79" s="23">
        <f>VALUE(0)</f>
        <v>0</v>
      </c>
      <c r="BK79" s="12">
        <f>$AX$79*24</f>
        <v>11.666666666666666</v>
      </c>
      <c r="BL79" s="12">
        <f>$AY$79*24</f>
        <v>2.4500000000000002</v>
      </c>
      <c r="BM79" s="12">
        <f>$BJ$79*24</f>
        <v>0</v>
      </c>
      <c r="BN79" s="12">
        <f>VALUE($I$79)/100</f>
        <v>1</v>
      </c>
      <c r="BO79" s="12">
        <v>0</v>
      </c>
      <c r="BP79" s="12">
        <v>0</v>
      </c>
      <c r="BQ79" s="12">
        <v>0</v>
      </c>
      <c r="BR79" s="12">
        <v>0</v>
      </c>
      <c r="BS79" s="12">
        <v>0</v>
      </c>
      <c r="BT79" s="12">
        <v>0</v>
      </c>
      <c r="BU79" s="12">
        <v>0</v>
      </c>
      <c r="BV79" s="12">
        <v>0</v>
      </c>
      <c r="BW79" s="12">
        <v>0</v>
      </c>
      <c r="BX79" s="12">
        <v>0</v>
      </c>
      <c r="BY79" s="12">
        <v>0</v>
      </c>
      <c r="BZ79" s="12">
        <v>0</v>
      </c>
      <c r="CA79" s="12">
        <v>0</v>
      </c>
    </row>
    <row r="80" spans="1:79" hidden="1" x14ac:dyDescent="0.2">
      <c r="A80" s="12" t="s">
        <v>102</v>
      </c>
      <c r="B80" s="12" t="s">
        <v>110</v>
      </c>
      <c r="C80" s="12" t="s">
        <v>110</v>
      </c>
      <c r="D80" s="22" t="s">
        <v>298</v>
      </c>
      <c r="E80" s="22" t="s">
        <v>161</v>
      </c>
      <c r="F80" s="22" t="s">
        <v>717</v>
      </c>
      <c r="G80" s="22" t="s">
        <v>718</v>
      </c>
      <c r="H80" s="22" t="s">
        <v>150</v>
      </c>
      <c r="I80" s="22" t="s">
        <v>151</v>
      </c>
      <c r="J80" s="22" t="s">
        <v>162</v>
      </c>
      <c r="K80" s="22" t="s">
        <v>71</v>
      </c>
      <c r="L80" s="54" t="s">
        <v>153</v>
      </c>
      <c r="M80" s="23" t="s">
        <v>153</v>
      </c>
      <c r="N80" s="24" t="s">
        <v>153</v>
      </c>
      <c r="O80" s="23" t="s">
        <v>153</v>
      </c>
      <c r="P80" s="23" t="s">
        <v>153</v>
      </c>
      <c r="Q80" s="23" t="s">
        <v>153</v>
      </c>
      <c r="R80" s="23" t="s">
        <v>153</v>
      </c>
      <c r="S80" s="23" t="s">
        <v>153</v>
      </c>
      <c r="T80" s="23" t="s">
        <v>153</v>
      </c>
      <c r="U80" s="24" t="s">
        <v>153</v>
      </c>
      <c r="V80" s="54" t="s">
        <v>156</v>
      </c>
      <c r="W80" s="24" t="s">
        <v>156</v>
      </c>
      <c r="X80" s="24" t="s">
        <v>156</v>
      </c>
      <c r="Y80" s="23" t="s">
        <v>153</v>
      </c>
      <c r="Z80" s="23" t="s">
        <v>153</v>
      </c>
      <c r="AA80" s="23" t="s">
        <v>153</v>
      </c>
      <c r="AB80" s="24" t="s">
        <v>153</v>
      </c>
      <c r="AC80" s="23" t="s">
        <v>153</v>
      </c>
      <c r="AD80" s="23" t="s">
        <v>153</v>
      </c>
      <c r="AE80" s="23" t="s">
        <v>153</v>
      </c>
      <c r="AF80" s="23" t="s">
        <v>153</v>
      </c>
      <c r="AG80" s="23" t="s">
        <v>153</v>
      </c>
      <c r="AH80" s="23" t="s">
        <v>153</v>
      </c>
      <c r="AI80" s="24" t="s">
        <v>153</v>
      </c>
      <c r="AJ80" s="23" t="s">
        <v>153</v>
      </c>
      <c r="AK80" s="23" t="s">
        <v>153</v>
      </c>
      <c r="AL80" s="23" t="s">
        <v>153</v>
      </c>
      <c r="AM80" s="23" t="s">
        <v>153</v>
      </c>
      <c r="AN80" s="23" t="s">
        <v>153</v>
      </c>
      <c r="AO80" s="23" t="s">
        <v>153</v>
      </c>
      <c r="AP80" s="23">
        <f>VALUE(59)</f>
        <v>59</v>
      </c>
      <c r="AQ80" s="23">
        <f>VALUE(0)</f>
        <v>0</v>
      </c>
      <c r="AR80" s="23">
        <f>VALUE(0)</f>
        <v>0</v>
      </c>
      <c r="AS80" s="23">
        <f>VALUE(0)</f>
        <v>0</v>
      </c>
      <c r="AT80" s="23">
        <f>VALUE(0)</f>
        <v>0</v>
      </c>
      <c r="AU80" s="23">
        <f>VALUE(0)</f>
        <v>0</v>
      </c>
      <c r="AV80" s="23">
        <f>VALUE(6)</f>
        <v>6</v>
      </c>
      <c r="AW80" s="23">
        <f>VALUE(0)</f>
        <v>0</v>
      </c>
      <c r="AX80" s="23">
        <f>VALUE(0)</f>
        <v>0</v>
      </c>
      <c r="AY80" s="23">
        <f>VALUE(0)</f>
        <v>0</v>
      </c>
      <c r="AZ80" s="23">
        <f>VALUE(0)</f>
        <v>0</v>
      </c>
      <c r="BA80" s="23">
        <f>VALUE(0)</f>
        <v>0</v>
      </c>
      <c r="BB80" s="23">
        <f>VALUE(0)</f>
        <v>0</v>
      </c>
      <c r="BC80" s="23">
        <f>VALUE(0)</f>
        <v>0</v>
      </c>
      <c r="BD80" s="23">
        <f>VALUE(0)</f>
        <v>0</v>
      </c>
      <c r="BE80" s="23">
        <f>VALUE(0)</f>
        <v>0</v>
      </c>
      <c r="BF80" s="23">
        <f>VALUE(0)</f>
        <v>0</v>
      </c>
      <c r="BG80" s="23">
        <f>VALUE(0)</f>
        <v>0</v>
      </c>
      <c r="BH80" s="23">
        <f>VALUE(0)</f>
        <v>0</v>
      </c>
      <c r="BI80" s="23">
        <f>VALUE(0)</f>
        <v>0</v>
      </c>
      <c r="BJ80" s="23">
        <f>VALUE(0)</f>
        <v>0</v>
      </c>
      <c r="BK80" s="12">
        <f>$AX$80*24</f>
        <v>0</v>
      </c>
      <c r="BL80" s="12">
        <f>$AY$80*24</f>
        <v>0</v>
      </c>
      <c r="BM80" s="12">
        <f>$BJ$80*24</f>
        <v>0</v>
      </c>
      <c r="BN80" s="12">
        <f>VALUE($I$80)/100</f>
        <v>1</v>
      </c>
      <c r="BO80" s="12">
        <v>0</v>
      </c>
      <c r="BP80" s="12">
        <v>0</v>
      </c>
      <c r="BQ80" s="12">
        <v>0</v>
      </c>
      <c r="BR80" s="12">
        <v>0</v>
      </c>
      <c r="BS80" s="12">
        <v>0</v>
      </c>
      <c r="BT80" s="12">
        <v>0</v>
      </c>
      <c r="BU80" s="12">
        <v>0</v>
      </c>
      <c r="BV80" s="12">
        <v>0</v>
      </c>
      <c r="BW80" s="12">
        <v>0</v>
      </c>
      <c r="BX80" s="12">
        <v>0</v>
      </c>
      <c r="BY80" s="12">
        <v>0</v>
      </c>
      <c r="BZ80" s="12">
        <v>0</v>
      </c>
      <c r="CA80" s="12">
        <v>0</v>
      </c>
    </row>
    <row r="81" spans="1:79" hidden="1" x14ac:dyDescent="0.2">
      <c r="A81" s="12" t="s">
        <v>102</v>
      </c>
      <c r="B81" s="12" t="s">
        <v>110</v>
      </c>
      <c r="C81" s="12" t="s">
        <v>110</v>
      </c>
      <c r="D81" s="22" t="s">
        <v>287</v>
      </c>
      <c r="E81" s="22" t="s">
        <v>161</v>
      </c>
      <c r="F81" s="22" t="s">
        <v>719</v>
      </c>
      <c r="G81" s="22" t="s">
        <v>720</v>
      </c>
      <c r="H81" s="22" t="s">
        <v>150</v>
      </c>
      <c r="I81" s="22" t="s">
        <v>151</v>
      </c>
      <c r="J81" s="22" t="s">
        <v>162</v>
      </c>
      <c r="K81" s="22" t="s">
        <v>71</v>
      </c>
      <c r="L81" s="54" t="s">
        <v>156</v>
      </c>
      <c r="M81" s="24" t="s">
        <v>156</v>
      </c>
      <c r="N81" s="24" t="s">
        <v>153</v>
      </c>
      <c r="O81" s="28" t="s">
        <v>163</v>
      </c>
      <c r="P81" s="28" t="s">
        <v>163</v>
      </c>
      <c r="Q81" s="28" t="s">
        <v>163</v>
      </c>
      <c r="R81" s="23" t="s">
        <v>153</v>
      </c>
      <c r="S81" s="23" t="s">
        <v>153</v>
      </c>
      <c r="T81" s="23" t="s">
        <v>153</v>
      </c>
      <c r="U81" s="24" t="s">
        <v>153</v>
      </c>
      <c r="V81" s="54" t="s">
        <v>153</v>
      </c>
      <c r="W81" s="23" t="s">
        <v>153</v>
      </c>
      <c r="X81" s="23" t="s">
        <v>153</v>
      </c>
      <c r="Y81" s="23" t="s">
        <v>153</v>
      </c>
      <c r="Z81" s="23" t="s">
        <v>153</v>
      </c>
      <c r="AA81" s="23" t="s">
        <v>153</v>
      </c>
      <c r="AB81" s="24" t="s">
        <v>153</v>
      </c>
      <c r="AC81" s="23" t="s">
        <v>153</v>
      </c>
      <c r="AD81" s="23" t="s">
        <v>153</v>
      </c>
      <c r="AE81" s="23" t="s">
        <v>153</v>
      </c>
      <c r="AF81" s="23" t="s">
        <v>153</v>
      </c>
      <c r="AG81" s="23" t="s">
        <v>153</v>
      </c>
      <c r="AH81" s="23" t="s">
        <v>153</v>
      </c>
      <c r="AI81" s="24" t="s">
        <v>153</v>
      </c>
      <c r="AJ81" s="24" t="s">
        <v>156</v>
      </c>
      <c r="AK81" s="24" t="s">
        <v>156</v>
      </c>
      <c r="AL81" s="24" t="s">
        <v>156</v>
      </c>
      <c r="AM81" s="23" t="s">
        <v>153</v>
      </c>
      <c r="AN81" s="23" t="s">
        <v>153</v>
      </c>
      <c r="AO81" s="23" t="s">
        <v>153</v>
      </c>
      <c r="AP81" s="23">
        <f>VALUE(51)</f>
        <v>51</v>
      </c>
      <c r="AQ81" s="23">
        <f>VALUE(0)</f>
        <v>0</v>
      </c>
      <c r="AR81" s="23">
        <f>VALUE(0)</f>
        <v>0</v>
      </c>
      <c r="AS81" s="23">
        <f>VALUE(0)</f>
        <v>0</v>
      </c>
      <c r="AT81" s="23">
        <f>VALUE(0)</f>
        <v>0</v>
      </c>
      <c r="AU81" s="23">
        <f>VALUE(3)</f>
        <v>3</v>
      </c>
      <c r="AV81" s="23">
        <f>VALUE(8)</f>
        <v>8</v>
      </c>
      <c r="AW81" s="23">
        <f>VALUE(0)</f>
        <v>0</v>
      </c>
      <c r="AX81" s="23" t="s">
        <v>1193</v>
      </c>
      <c r="AY81" s="23" t="s">
        <v>299</v>
      </c>
      <c r="AZ81" s="23">
        <f>VALUE(0)</f>
        <v>0</v>
      </c>
      <c r="BA81" s="23">
        <f>VALUE(0)</f>
        <v>0</v>
      </c>
      <c r="BB81" s="23">
        <f>VALUE(0)</f>
        <v>0</v>
      </c>
      <c r="BC81" s="23">
        <f>VALUE(0)</f>
        <v>0</v>
      </c>
      <c r="BD81" s="23">
        <f>VALUE(0)</f>
        <v>0</v>
      </c>
      <c r="BE81" s="23">
        <f>VALUE(0)</f>
        <v>0</v>
      </c>
      <c r="BF81" s="23">
        <f>VALUE(0)</f>
        <v>0</v>
      </c>
      <c r="BG81" s="23">
        <f>VALUE(0)</f>
        <v>0</v>
      </c>
      <c r="BH81" s="23">
        <f>VALUE(0)</f>
        <v>0</v>
      </c>
      <c r="BI81" s="23">
        <f>VALUE(0)</f>
        <v>0</v>
      </c>
      <c r="BJ81" s="23">
        <f>VALUE(0)</f>
        <v>0</v>
      </c>
      <c r="BK81" s="12">
        <f>$AX$81*24</f>
        <v>4.5</v>
      </c>
      <c r="BL81" s="12">
        <f>$AY$81*24</f>
        <v>1.65</v>
      </c>
      <c r="BM81" s="12">
        <f>$BJ$81*24</f>
        <v>0</v>
      </c>
      <c r="BN81" s="12">
        <f>VALUE($I$81)/100</f>
        <v>1</v>
      </c>
      <c r="BO81" s="12">
        <v>0</v>
      </c>
      <c r="BP81" s="12">
        <v>0</v>
      </c>
      <c r="BQ81" s="12">
        <v>0</v>
      </c>
      <c r="BR81" s="12">
        <v>0</v>
      </c>
      <c r="BS81" s="12">
        <v>0</v>
      </c>
      <c r="BT81" s="12">
        <v>0</v>
      </c>
      <c r="BU81" s="12">
        <v>0</v>
      </c>
      <c r="BV81" s="12">
        <v>0</v>
      </c>
      <c r="BW81" s="12">
        <v>0</v>
      </c>
      <c r="BX81" s="12">
        <v>0</v>
      </c>
      <c r="BY81" s="12">
        <v>0</v>
      </c>
      <c r="BZ81" s="12">
        <v>0</v>
      </c>
      <c r="CA81" s="12">
        <v>0</v>
      </c>
    </row>
    <row r="82" spans="1:79" hidden="1" x14ac:dyDescent="0.2">
      <c r="A82" s="12" t="s">
        <v>102</v>
      </c>
      <c r="B82" s="12" t="s">
        <v>110</v>
      </c>
      <c r="C82" s="12" t="s">
        <v>110</v>
      </c>
      <c r="D82" s="22" t="s">
        <v>300</v>
      </c>
      <c r="E82" s="22" t="s">
        <v>161</v>
      </c>
      <c r="F82" s="22" t="s">
        <v>721</v>
      </c>
      <c r="G82" s="22" t="s">
        <v>722</v>
      </c>
      <c r="H82" s="22" t="s">
        <v>150</v>
      </c>
      <c r="I82" s="22" t="s">
        <v>151</v>
      </c>
      <c r="J82" s="22" t="s">
        <v>162</v>
      </c>
      <c r="K82" s="22" t="s">
        <v>71</v>
      </c>
      <c r="L82" s="54" t="s">
        <v>153</v>
      </c>
      <c r="M82" s="23" t="s">
        <v>153</v>
      </c>
      <c r="N82" s="24" t="s">
        <v>153</v>
      </c>
      <c r="O82" s="23" t="s">
        <v>153</v>
      </c>
      <c r="P82" s="23" t="s">
        <v>153</v>
      </c>
      <c r="Q82" s="23" t="s">
        <v>153</v>
      </c>
      <c r="R82" s="23" t="s">
        <v>153</v>
      </c>
      <c r="S82" s="23" t="s">
        <v>153</v>
      </c>
      <c r="T82" s="23" t="s">
        <v>153</v>
      </c>
      <c r="U82" s="24" t="s">
        <v>153</v>
      </c>
      <c r="V82" s="54" t="s">
        <v>153</v>
      </c>
      <c r="W82" s="23" t="s">
        <v>153</v>
      </c>
      <c r="X82" s="23" t="s">
        <v>153</v>
      </c>
      <c r="Y82" s="23" t="s">
        <v>153</v>
      </c>
      <c r="Z82" s="23" t="s">
        <v>153</v>
      </c>
      <c r="AA82" s="23" t="s">
        <v>153</v>
      </c>
      <c r="AB82" s="24" t="s">
        <v>153</v>
      </c>
      <c r="AC82" s="23" t="s">
        <v>153</v>
      </c>
      <c r="AD82" s="23" t="s">
        <v>153</v>
      </c>
      <c r="AE82" s="23" t="s">
        <v>153</v>
      </c>
      <c r="AF82" s="23" t="s">
        <v>153</v>
      </c>
      <c r="AG82" s="23" t="s">
        <v>153</v>
      </c>
      <c r="AH82" s="23" t="s">
        <v>153</v>
      </c>
      <c r="AI82" s="24" t="s">
        <v>153</v>
      </c>
      <c r="AJ82" s="23" t="s">
        <v>153</v>
      </c>
      <c r="AK82" s="23" t="s">
        <v>153</v>
      </c>
      <c r="AL82" s="23" t="s">
        <v>153</v>
      </c>
      <c r="AM82" s="24" t="s">
        <v>156</v>
      </c>
      <c r="AN82" s="24" t="s">
        <v>156</v>
      </c>
      <c r="AO82" s="24" t="s">
        <v>156</v>
      </c>
      <c r="AP82" s="23">
        <f>VALUE(56)</f>
        <v>56</v>
      </c>
      <c r="AQ82" s="23">
        <f>VALUE(0)</f>
        <v>0</v>
      </c>
      <c r="AR82" s="23">
        <f>VALUE(0)</f>
        <v>0</v>
      </c>
      <c r="AS82" s="23">
        <f>VALUE(0)</f>
        <v>0</v>
      </c>
      <c r="AT82" s="23">
        <f>VALUE(0)</f>
        <v>0</v>
      </c>
      <c r="AU82" s="23">
        <f>VALUE(0)</f>
        <v>0</v>
      </c>
      <c r="AV82" s="23">
        <f>VALUE(7)</f>
        <v>7</v>
      </c>
      <c r="AW82" s="23">
        <f>VALUE(0)</f>
        <v>0</v>
      </c>
      <c r="AX82" s="23" t="s">
        <v>1193</v>
      </c>
      <c r="AY82" s="23" t="s">
        <v>301</v>
      </c>
      <c r="AZ82" s="23">
        <f>VALUE(0)</f>
        <v>0</v>
      </c>
      <c r="BA82" s="23">
        <f>VALUE(0)</f>
        <v>0</v>
      </c>
      <c r="BB82" s="23">
        <f>VALUE(0)</f>
        <v>0</v>
      </c>
      <c r="BC82" s="23">
        <f>VALUE(0)</f>
        <v>0</v>
      </c>
      <c r="BD82" s="23">
        <f>VALUE(0)</f>
        <v>0</v>
      </c>
      <c r="BE82" s="23">
        <f>VALUE(0)</f>
        <v>0</v>
      </c>
      <c r="BF82" s="23">
        <f>VALUE(0)</f>
        <v>0</v>
      </c>
      <c r="BG82" s="23">
        <f>VALUE(0)</f>
        <v>0</v>
      </c>
      <c r="BH82" s="23">
        <f>VALUE(0)</f>
        <v>0</v>
      </c>
      <c r="BI82" s="23">
        <f>VALUE(0)</f>
        <v>0</v>
      </c>
      <c r="BJ82" s="23">
        <f>VALUE(0)</f>
        <v>0</v>
      </c>
      <c r="BK82" s="12">
        <f>$AX$82*24</f>
        <v>4.5</v>
      </c>
      <c r="BL82" s="12">
        <f>$AY$82*24</f>
        <v>25.216666666666665</v>
      </c>
      <c r="BM82" s="12">
        <f>$BJ$82*24</f>
        <v>0</v>
      </c>
      <c r="BN82" s="12">
        <f>VALUE($I$82)/100</f>
        <v>1</v>
      </c>
      <c r="BO82" s="12">
        <v>0</v>
      </c>
      <c r="BP82" s="12">
        <v>0</v>
      </c>
      <c r="BQ82" s="12">
        <v>0</v>
      </c>
      <c r="BR82" s="12">
        <v>0</v>
      </c>
      <c r="BS82" s="12">
        <v>0</v>
      </c>
      <c r="BT82" s="12">
        <v>0</v>
      </c>
      <c r="BU82" s="12">
        <v>0</v>
      </c>
      <c r="BV82" s="12">
        <v>0</v>
      </c>
      <c r="BW82" s="12">
        <v>0</v>
      </c>
      <c r="BX82" s="12">
        <v>0</v>
      </c>
      <c r="BY82" s="12">
        <v>0</v>
      </c>
      <c r="BZ82" s="12">
        <v>0</v>
      </c>
      <c r="CA82" s="12">
        <v>0</v>
      </c>
    </row>
    <row r="83" spans="1:79" hidden="1" x14ac:dyDescent="0.2">
      <c r="A83" s="12" t="s">
        <v>102</v>
      </c>
      <c r="B83" s="12" t="s">
        <v>110</v>
      </c>
      <c r="C83" s="12" t="s">
        <v>110</v>
      </c>
      <c r="D83" s="22" t="s">
        <v>302</v>
      </c>
      <c r="E83" s="22" t="s">
        <v>159</v>
      </c>
      <c r="F83" s="22" t="s">
        <v>303</v>
      </c>
      <c r="G83" s="22" t="s">
        <v>304</v>
      </c>
      <c r="H83" s="22" t="s">
        <v>150</v>
      </c>
      <c r="I83" s="22" t="s">
        <v>151</v>
      </c>
      <c r="J83" s="22" t="s">
        <v>162</v>
      </c>
      <c r="K83" s="22" t="s">
        <v>71</v>
      </c>
      <c r="L83" s="54" t="s">
        <v>153</v>
      </c>
      <c r="M83" s="23" t="s">
        <v>288</v>
      </c>
      <c r="N83" s="24" t="s">
        <v>153</v>
      </c>
      <c r="O83" s="23" t="s">
        <v>287</v>
      </c>
      <c r="P83" s="23" t="s">
        <v>287</v>
      </c>
      <c r="Q83" s="23" t="s">
        <v>287</v>
      </c>
      <c r="R83" s="23" t="s">
        <v>291</v>
      </c>
      <c r="S83" s="23" t="s">
        <v>291</v>
      </c>
      <c r="T83" s="23" t="s">
        <v>305</v>
      </c>
      <c r="U83" s="24" t="s">
        <v>153</v>
      </c>
      <c r="V83" s="54" t="s">
        <v>153</v>
      </c>
      <c r="W83" s="23" t="s">
        <v>293</v>
      </c>
      <c r="X83" s="23" t="s">
        <v>293</v>
      </c>
      <c r="Y83" s="23" t="s">
        <v>293</v>
      </c>
      <c r="Z83" s="23" t="s">
        <v>293</v>
      </c>
      <c r="AA83" s="23" t="s">
        <v>293</v>
      </c>
      <c r="AB83" s="24" t="s">
        <v>153</v>
      </c>
      <c r="AC83" s="23" t="s">
        <v>296</v>
      </c>
      <c r="AD83" s="23" t="s">
        <v>296</v>
      </c>
      <c r="AE83" s="23" t="s">
        <v>296</v>
      </c>
      <c r="AF83" s="24" t="s">
        <v>156</v>
      </c>
      <c r="AG83" s="24" t="s">
        <v>156</v>
      </c>
      <c r="AH83" s="24" t="s">
        <v>156</v>
      </c>
      <c r="AI83" s="24" t="s">
        <v>153</v>
      </c>
      <c r="AJ83" s="23" t="s">
        <v>287</v>
      </c>
      <c r="AK83" s="23" t="s">
        <v>287</v>
      </c>
      <c r="AL83" s="23" t="s">
        <v>287</v>
      </c>
      <c r="AM83" s="23" t="s">
        <v>300</v>
      </c>
      <c r="AN83" s="23" t="s">
        <v>300</v>
      </c>
      <c r="AO83" s="23" t="s">
        <v>300</v>
      </c>
      <c r="AP83" s="23">
        <f>VALUE(51)</f>
        <v>51</v>
      </c>
      <c r="AQ83" s="23">
        <f>VALUE(0)</f>
        <v>0</v>
      </c>
      <c r="AR83" s="23">
        <f>VALUE(0)</f>
        <v>0</v>
      </c>
      <c r="AS83" s="23">
        <f>VALUE(0)</f>
        <v>0</v>
      </c>
      <c r="AT83" s="23">
        <f>VALUE(0)</f>
        <v>0</v>
      </c>
      <c r="AU83" s="23">
        <f>VALUE(0)</f>
        <v>0</v>
      </c>
      <c r="AV83" s="23">
        <f>VALUE(2)</f>
        <v>2</v>
      </c>
      <c r="AW83" s="23">
        <f>VALUE(0)</f>
        <v>0</v>
      </c>
      <c r="AX83" s="23" t="s">
        <v>1193</v>
      </c>
      <c r="AY83" s="23" t="s">
        <v>306</v>
      </c>
      <c r="AZ83" s="23">
        <f>VALUE(0)</f>
        <v>0</v>
      </c>
      <c r="BA83" s="23">
        <f>VALUE(0)</f>
        <v>0</v>
      </c>
      <c r="BB83" s="23">
        <f>VALUE(0)</f>
        <v>0</v>
      </c>
      <c r="BC83" s="23">
        <f>VALUE(0)</f>
        <v>0</v>
      </c>
      <c r="BD83" s="23">
        <f>VALUE(0)</f>
        <v>0</v>
      </c>
      <c r="BE83" s="23">
        <f>VALUE(0)</f>
        <v>0</v>
      </c>
      <c r="BF83" s="23">
        <f>VALUE(0)</f>
        <v>0</v>
      </c>
      <c r="BG83" s="23">
        <f>VALUE(0)</f>
        <v>0</v>
      </c>
      <c r="BH83" s="23">
        <f>VALUE(0)</f>
        <v>0</v>
      </c>
      <c r="BI83" s="23">
        <f>VALUE(0)</f>
        <v>0</v>
      </c>
      <c r="BJ83" s="23">
        <f>VALUE(0)</f>
        <v>0</v>
      </c>
      <c r="BK83" s="12">
        <f>$AX$83*24</f>
        <v>4.5</v>
      </c>
      <c r="BL83" s="12">
        <f>$AY$83*24</f>
        <v>6.5499999999999989</v>
      </c>
      <c r="BM83" s="12">
        <f>$BJ$83*24</f>
        <v>0</v>
      </c>
      <c r="BN83" s="12">
        <f>VALUE($I$83)/100</f>
        <v>1</v>
      </c>
      <c r="BO83" s="12">
        <v>0</v>
      </c>
      <c r="BP83" s="12">
        <v>0</v>
      </c>
      <c r="BQ83" s="12">
        <v>0</v>
      </c>
      <c r="BR83" s="12">
        <v>0</v>
      </c>
      <c r="BS83" s="12">
        <v>0</v>
      </c>
      <c r="BT83" s="12">
        <v>0</v>
      </c>
      <c r="BU83" s="12">
        <v>0</v>
      </c>
      <c r="BV83" s="12">
        <v>0</v>
      </c>
      <c r="BW83" s="12">
        <v>0</v>
      </c>
      <c r="BX83" s="12">
        <v>0</v>
      </c>
      <c r="BY83" s="12">
        <v>0</v>
      </c>
      <c r="BZ83" s="12">
        <v>0</v>
      </c>
      <c r="CA83" s="12">
        <v>0</v>
      </c>
    </row>
    <row r="84" spans="1:79" hidden="1" x14ac:dyDescent="0.2">
      <c r="A84" s="12" t="s">
        <v>102</v>
      </c>
      <c r="B84" s="12" t="s">
        <v>110</v>
      </c>
      <c r="C84" s="12" t="s">
        <v>110</v>
      </c>
      <c r="D84" s="22" t="s">
        <v>307</v>
      </c>
      <c r="E84" s="22" t="s">
        <v>173</v>
      </c>
      <c r="F84" s="22" t="s">
        <v>723</v>
      </c>
      <c r="G84" s="22" t="s">
        <v>724</v>
      </c>
      <c r="H84" s="22" t="s">
        <v>150</v>
      </c>
      <c r="I84" s="22" t="s">
        <v>151</v>
      </c>
      <c r="J84" s="22" t="s">
        <v>162</v>
      </c>
      <c r="K84" s="22" t="s">
        <v>71</v>
      </c>
      <c r="L84" s="54" t="s">
        <v>153</v>
      </c>
      <c r="M84" s="23" t="s">
        <v>293</v>
      </c>
      <c r="N84" s="24" t="s">
        <v>153</v>
      </c>
      <c r="O84" s="23" t="s">
        <v>293</v>
      </c>
      <c r="P84" s="23" t="s">
        <v>293</v>
      </c>
      <c r="Q84" s="23" t="s">
        <v>293</v>
      </c>
      <c r="R84" s="23" t="s">
        <v>293</v>
      </c>
      <c r="S84" s="23" t="s">
        <v>293</v>
      </c>
      <c r="T84" s="23" t="s">
        <v>293</v>
      </c>
      <c r="U84" s="24" t="s">
        <v>153</v>
      </c>
      <c r="V84" s="54" t="s">
        <v>153</v>
      </c>
      <c r="W84" s="23" t="s">
        <v>298</v>
      </c>
      <c r="X84" s="23" t="s">
        <v>298</v>
      </c>
      <c r="Y84" s="23" t="s">
        <v>296</v>
      </c>
      <c r="Z84" s="23" t="s">
        <v>296</v>
      </c>
      <c r="AA84" s="23" t="s">
        <v>296</v>
      </c>
      <c r="AB84" s="24" t="s">
        <v>153</v>
      </c>
      <c r="AC84" s="24" t="s">
        <v>156</v>
      </c>
      <c r="AD84" s="24" t="s">
        <v>156</v>
      </c>
      <c r="AE84" s="24" t="s">
        <v>156</v>
      </c>
      <c r="AF84" s="23" t="s">
        <v>291</v>
      </c>
      <c r="AG84" s="23" t="s">
        <v>291</v>
      </c>
      <c r="AH84" s="23" t="s">
        <v>291</v>
      </c>
      <c r="AI84" s="24" t="s">
        <v>153</v>
      </c>
      <c r="AJ84" s="23" t="s">
        <v>291</v>
      </c>
      <c r="AK84" s="23" t="s">
        <v>291</v>
      </c>
      <c r="AL84" s="23" t="s">
        <v>291</v>
      </c>
      <c r="AM84" s="23" t="s">
        <v>291</v>
      </c>
      <c r="AN84" s="23" t="s">
        <v>291</v>
      </c>
      <c r="AO84" s="23" t="s">
        <v>291</v>
      </c>
      <c r="AP84" s="23">
        <f>VALUE(54)</f>
        <v>54</v>
      </c>
      <c r="AQ84" s="23">
        <f>VALUE(0)</f>
        <v>0</v>
      </c>
      <c r="AR84" s="23">
        <f>VALUE(0)</f>
        <v>0</v>
      </c>
      <c r="AS84" s="23">
        <f>VALUE(0)</f>
        <v>0</v>
      </c>
      <c r="AT84" s="23">
        <f>VALUE(0)</f>
        <v>0</v>
      </c>
      <c r="AU84" s="23">
        <f>VALUE(0)</f>
        <v>0</v>
      </c>
      <c r="AV84" s="23">
        <f>VALUE(4)</f>
        <v>4</v>
      </c>
      <c r="AW84" s="23">
        <f>VALUE(0)</f>
        <v>0</v>
      </c>
      <c r="AX84" s="23" t="s">
        <v>171</v>
      </c>
      <c r="AY84" s="23" t="s">
        <v>308</v>
      </c>
      <c r="AZ84" s="23">
        <f>VALUE(0)</f>
        <v>0</v>
      </c>
      <c r="BA84" s="23">
        <f>VALUE(0)</f>
        <v>0</v>
      </c>
      <c r="BB84" s="23">
        <f>VALUE(0)</f>
        <v>0</v>
      </c>
      <c r="BC84" s="23">
        <f>VALUE(0)</f>
        <v>0</v>
      </c>
      <c r="BD84" s="23">
        <f>VALUE(0)</f>
        <v>0</v>
      </c>
      <c r="BE84" s="23">
        <f>VALUE(0)</f>
        <v>0</v>
      </c>
      <c r="BF84" s="23">
        <f>VALUE(0)</f>
        <v>0</v>
      </c>
      <c r="BG84" s="23">
        <f>VALUE(0)</f>
        <v>0</v>
      </c>
      <c r="BH84" s="23">
        <f>VALUE(0)</f>
        <v>0</v>
      </c>
      <c r="BI84" s="23">
        <f>VALUE(0)</f>
        <v>0</v>
      </c>
      <c r="BJ84" s="23">
        <f>VALUE(0)</f>
        <v>0</v>
      </c>
      <c r="BK84" s="12">
        <f>$AX$84*24</f>
        <v>5.833333333333333</v>
      </c>
      <c r="BL84" s="12">
        <f>$AY$84*24</f>
        <v>3.7833333333333332</v>
      </c>
      <c r="BM84" s="12">
        <f>$BJ$84*24</f>
        <v>0</v>
      </c>
      <c r="BN84" s="12">
        <f>VALUE($I$84)/100</f>
        <v>1</v>
      </c>
      <c r="BO84" s="12">
        <v>0</v>
      </c>
      <c r="BP84" s="12">
        <v>0</v>
      </c>
      <c r="BQ84" s="12">
        <v>0</v>
      </c>
      <c r="BR84" s="12">
        <v>0</v>
      </c>
      <c r="BS84" s="12">
        <v>0</v>
      </c>
      <c r="BT84" s="12">
        <v>0</v>
      </c>
      <c r="BU84" s="12">
        <v>0</v>
      </c>
      <c r="BV84" s="12">
        <v>0</v>
      </c>
      <c r="BW84" s="12">
        <v>0</v>
      </c>
      <c r="BX84" s="12">
        <v>0</v>
      </c>
      <c r="BY84" s="12">
        <v>0</v>
      </c>
      <c r="BZ84" s="12">
        <v>0</v>
      </c>
      <c r="CA84" s="12">
        <v>0</v>
      </c>
    </row>
    <row r="85" spans="1:79" ht="15" hidden="1" x14ac:dyDescent="0.25">
      <c r="A85" s="12" t="s">
        <v>102</v>
      </c>
      <c r="B85" s="12" t="s">
        <v>110</v>
      </c>
      <c r="C85" s="12" t="s">
        <v>110</v>
      </c>
      <c r="D85" s="31" t="s">
        <v>582</v>
      </c>
      <c r="E85" s="31" t="s">
        <v>153</v>
      </c>
      <c r="F85" s="31" t="s">
        <v>175</v>
      </c>
      <c r="G85" s="31" t="s">
        <v>153</v>
      </c>
      <c r="H85" s="31" t="s">
        <v>153</v>
      </c>
      <c r="I85" s="31" t="s">
        <v>153</v>
      </c>
      <c r="J85" s="31" t="s">
        <v>153</v>
      </c>
      <c r="K85" s="31" t="s">
        <v>153</v>
      </c>
      <c r="L85" s="31">
        <f>VALUE(0)</f>
        <v>0</v>
      </c>
      <c r="M85" s="31">
        <f>VALUE(7)</f>
        <v>7</v>
      </c>
      <c r="N85" s="31">
        <f>VALUE(0)</f>
        <v>0</v>
      </c>
      <c r="O85" s="31">
        <f>VALUE(8)</f>
        <v>8</v>
      </c>
      <c r="P85" s="31">
        <f>VALUE(8)</f>
        <v>8</v>
      </c>
      <c r="Q85" s="31">
        <f>VALUE(8)</f>
        <v>8</v>
      </c>
      <c r="R85" s="31">
        <f>VALUE(7)</f>
        <v>7</v>
      </c>
      <c r="S85" s="31">
        <f>VALUE(7)</f>
        <v>7</v>
      </c>
      <c r="T85" s="31">
        <f>VALUE(8)</f>
        <v>8</v>
      </c>
      <c r="U85" s="31">
        <f>VALUE(0)</f>
        <v>0</v>
      </c>
      <c r="V85" s="31">
        <f>VALUE(0)</f>
        <v>0</v>
      </c>
      <c r="W85" s="31">
        <f>VALUE(8)</f>
        <v>8</v>
      </c>
      <c r="X85" s="31">
        <f>VALUE(8)</f>
        <v>8</v>
      </c>
      <c r="Y85" s="31">
        <f>VALUE(7)</f>
        <v>7</v>
      </c>
      <c r="Z85" s="31">
        <f>VALUE(7)</f>
        <v>7</v>
      </c>
      <c r="AA85" s="31">
        <f>VALUE(8)</f>
        <v>8</v>
      </c>
      <c r="AB85" s="31">
        <f>VALUE(0)</f>
        <v>0</v>
      </c>
      <c r="AC85" s="31">
        <f>VALUE(8)</f>
        <v>8</v>
      </c>
      <c r="AD85" s="31">
        <f>VALUE(8)</f>
        <v>8</v>
      </c>
      <c r="AE85" s="31">
        <f>VALUE(8)</f>
        <v>8</v>
      </c>
      <c r="AF85" s="31">
        <f>VALUE(8)</f>
        <v>8</v>
      </c>
      <c r="AG85" s="31">
        <f>VALUE(8)</f>
        <v>8</v>
      </c>
      <c r="AH85" s="31">
        <f>VALUE(8)</f>
        <v>8</v>
      </c>
      <c r="AI85" s="31">
        <f>VALUE(0)</f>
        <v>0</v>
      </c>
      <c r="AJ85" s="31">
        <f>VALUE(8)</f>
        <v>8</v>
      </c>
      <c r="AK85" s="31">
        <f>VALUE(8)</f>
        <v>8</v>
      </c>
      <c r="AL85" s="31">
        <f>VALUE(8)</f>
        <v>8</v>
      </c>
      <c r="AM85" s="31">
        <f>VALUE(7)</f>
        <v>7</v>
      </c>
      <c r="AN85" s="31">
        <f>VALUE(7)</f>
        <v>7</v>
      </c>
      <c r="AO85" s="31">
        <f>VALUE(7)</f>
        <v>7</v>
      </c>
      <c r="AP85" s="31">
        <v>0</v>
      </c>
      <c r="AQ85" s="31">
        <v>0</v>
      </c>
      <c r="AR85" s="31">
        <v>0</v>
      </c>
      <c r="AS85" s="31">
        <v>0</v>
      </c>
      <c r="AT85" s="31">
        <v>0</v>
      </c>
      <c r="AU85" s="31">
        <v>0</v>
      </c>
      <c r="AV85" s="31">
        <v>0</v>
      </c>
      <c r="AW85" s="31">
        <v>0</v>
      </c>
      <c r="AX85" s="31">
        <v>0</v>
      </c>
      <c r="AY85" s="31">
        <v>0</v>
      </c>
      <c r="AZ85" s="31">
        <v>0</v>
      </c>
      <c r="BA85" s="31">
        <v>0</v>
      </c>
      <c r="BB85" s="31">
        <v>0</v>
      </c>
      <c r="BC85" s="31">
        <v>0</v>
      </c>
      <c r="BD85" s="31">
        <v>0</v>
      </c>
      <c r="BE85" s="31">
        <v>0</v>
      </c>
      <c r="BF85" s="31">
        <v>0</v>
      </c>
      <c r="BG85" s="31">
        <v>0</v>
      </c>
      <c r="BH85" s="31">
        <v>0</v>
      </c>
      <c r="BI85" s="31">
        <v>0</v>
      </c>
      <c r="BJ85" s="31">
        <v>0</v>
      </c>
      <c r="BK85" s="12">
        <v>0</v>
      </c>
      <c r="BL85" s="12">
        <v>0</v>
      </c>
      <c r="BM85" s="12">
        <v>0</v>
      </c>
      <c r="BN85" s="12"/>
      <c r="BO85" s="12">
        <v>0</v>
      </c>
      <c r="BP85" s="12">
        <v>0</v>
      </c>
      <c r="BQ85" s="12">
        <v>0</v>
      </c>
      <c r="BR85" s="12">
        <v>0</v>
      </c>
      <c r="BS85" s="12">
        <v>0</v>
      </c>
      <c r="BT85" s="12">
        <v>0</v>
      </c>
      <c r="BU85" s="12">
        <v>0</v>
      </c>
      <c r="BV85" s="12">
        <v>0</v>
      </c>
      <c r="BW85" s="12">
        <v>0</v>
      </c>
      <c r="BX85" s="12">
        <v>0</v>
      </c>
      <c r="BY85" s="12">
        <v>0</v>
      </c>
      <c r="BZ85" s="12">
        <v>0</v>
      </c>
      <c r="CA85" s="12">
        <v>0</v>
      </c>
    </row>
    <row r="86" spans="1:79" x14ac:dyDescent="0.2">
      <c r="A86" s="12" t="s">
        <v>102</v>
      </c>
      <c r="B86" s="12" t="s">
        <v>111</v>
      </c>
      <c r="C86" s="12" t="s">
        <v>111</v>
      </c>
      <c r="D86" s="22" t="s">
        <v>310</v>
      </c>
      <c r="E86" s="22" t="s">
        <v>159</v>
      </c>
      <c r="F86" s="22" t="s">
        <v>725</v>
      </c>
      <c r="G86" s="22" t="s">
        <v>726</v>
      </c>
      <c r="H86" s="22" t="s">
        <v>166</v>
      </c>
      <c r="I86" s="22" t="s">
        <v>151</v>
      </c>
      <c r="J86" s="22" t="s">
        <v>311</v>
      </c>
      <c r="K86" s="22" t="s">
        <v>72</v>
      </c>
      <c r="L86" s="54" t="s">
        <v>153</v>
      </c>
      <c r="M86" s="23" t="s">
        <v>153</v>
      </c>
      <c r="N86" s="24" t="s">
        <v>153</v>
      </c>
      <c r="O86" s="23" t="s">
        <v>153</v>
      </c>
      <c r="P86" s="23" t="s">
        <v>153</v>
      </c>
      <c r="Q86" s="29" t="s">
        <v>218</v>
      </c>
      <c r="R86" s="23" t="s">
        <v>153</v>
      </c>
      <c r="S86" s="23" t="s">
        <v>153</v>
      </c>
      <c r="T86" s="23" t="s">
        <v>153</v>
      </c>
      <c r="U86" s="24" t="s">
        <v>153</v>
      </c>
      <c r="V86" s="54" t="s">
        <v>153</v>
      </c>
      <c r="W86" s="23" t="s">
        <v>313</v>
      </c>
      <c r="X86" s="23" t="s">
        <v>313</v>
      </c>
      <c r="Y86" s="23" t="s">
        <v>313</v>
      </c>
      <c r="Z86" s="23" t="s">
        <v>313</v>
      </c>
      <c r="AA86" s="23" t="s">
        <v>313</v>
      </c>
      <c r="AB86" s="24" t="s">
        <v>153</v>
      </c>
      <c r="AC86" s="23" t="s">
        <v>153</v>
      </c>
      <c r="AD86" s="23" t="s">
        <v>153</v>
      </c>
      <c r="AE86" s="29" t="s">
        <v>218</v>
      </c>
      <c r="AF86" s="23" t="s">
        <v>153</v>
      </c>
      <c r="AG86" s="23" t="s">
        <v>153</v>
      </c>
      <c r="AH86" s="23" t="s">
        <v>153</v>
      </c>
      <c r="AI86" s="24" t="s">
        <v>153</v>
      </c>
      <c r="AJ86" s="23" t="s">
        <v>314</v>
      </c>
      <c r="AK86" s="23" t="s">
        <v>314</v>
      </c>
      <c r="AL86" s="23" t="s">
        <v>314</v>
      </c>
      <c r="AM86" s="23" t="s">
        <v>314</v>
      </c>
      <c r="AN86" s="23" t="s">
        <v>314</v>
      </c>
      <c r="AO86" s="23" t="s">
        <v>153</v>
      </c>
      <c r="AP86" s="23">
        <f>VALUE(0)</f>
        <v>0</v>
      </c>
      <c r="AQ86" s="23">
        <f>VALUE(0)</f>
        <v>0</v>
      </c>
      <c r="AR86" s="23">
        <f>VALUE(2)</f>
        <v>2</v>
      </c>
      <c r="AS86" s="23">
        <f>VALUE(12)</f>
        <v>12</v>
      </c>
      <c r="AT86" s="23">
        <f>VALUE(0)</f>
        <v>0</v>
      </c>
      <c r="AU86" s="23">
        <f>VALUE(0)</f>
        <v>0</v>
      </c>
      <c r="AV86" s="23">
        <f>VALUE(2)</f>
        <v>2</v>
      </c>
      <c r="AW86" s="23">
        <f>VALUE(0)</f>
        <v>0</v>
      </c>
      <c r="AX86" s="23" t="s">
        <v>1194</v>
      </c>
      <c r="AY86" s="23">
        <f>VALUE(0)</f>
        <v>0</v>
      </c>
      <c r="AZ86" s="23">
        <f>VALUE(0)</f>
        <v>0</v>
      </c>
      <c r="BA86" s="23">
        <f>VALUE(0)</f>
        <v>0</v>
      </c>
      <c r="BB86" s="23">
        <f>VALUE(0)</f>
        <v>0</v>
      </c>
      <c r="BC86" s="23">
        <f>VALUE(0)</f>
        <v>0</v>
      </c>
      <c r="BD86" s="23">
        <f>VALUE(0)</f>
        <v>0</v>
      </c>
      <c r="BE86" s="23">
        <f>VALUE(0)</f>
        <v>0</v>
      </c>
      <c r="BF86" s="23">
        <f>VALUE(0)</f>
        <v>0</v>
      </c>
      <c r="BG86" s="23">
        <f>VALUE(0)</f>
        <v>0</v>
      </c>
      <c r="BH86" s="23">
        <f>VALUE(0)</f>
        <v>0</v>
      </c>
      <c r="BI86" s="23">
        <f>VALUE(0)</f>
        <v>0</v>
      </c>
      <c r="BJ86" s="23">
        <f>VALUE(0)</f>
        <v>0</v>
      </c>
      <c r="BK86" s="12">
        <f>$AX$86*24</f>
        <v>20.666666666666668</v>
      </c>
      <c r="BL86" s="12">
        <f>$AY$86*24</f>
        <v>0</v>
      </c>
      <c r="BM86" s="12">
        <f>$BJ$86*24</f>
        <v>0</v>
      </c>
      <c r="BN86" s="12">
        <f>VALUE($I$86)/100</f>
        <v>1</v>
      </c>
      <c r="BO86" s="12">
        <v>0</v>
      </c>
      <c r="BP86" s="12">
        <v>0</v>
      </c>
      <c r="BQ86" s="12">
        <v>0</v>
      </c>
      <c r="BR86" s="12">
        <v>0</v>
      </c>
      <c r="BS86" s="12">
        <v>2</v>
      </c>
      <c r="BT86" s="12">
        <v>0</v>
      </c>
      <c r="BU86" s="12">
        <v>0</v>
      </c>
      <c r="BV86" s="12">
        <v>0</v>
      </c>
      <c r="BW86" s="12">
        <v>0</v>
      </c>
      <c r="BX86" s="12">
        <v>0</v>
      </c>
      <c r="BY86" s="12">
        <v>0</v>
      </c>
      <c r="BZ86" s="12">
        <v>0</v>
      </c>
      <c r="CA86" s="12">
        <v>0</v>
      </c>
    </row>
    <row r="87" spans="1:79" hidden="1" x14ac:dyDescent="0.2">
      <c r="A87" s="12" t="s">
        <v>102</v>
      </c>
      <c r="B87" s="12" t="s">
        <v>111</v>
      </c>
      <c r="C87" s="12" t="s">
        <v>111</v>
      </c>
      <c r="D87" s="22" t="s">
        <v>313</v>
      </c>
      <c r="E87" s="22" t="s">
        <v>161</v>
      </c>
      <c r="F87" s="22" t="s">
        <v>727</v>
      </c>
      <c r="G87" s="22" t="s">
        <v>728</v>
      </c>
      <c r="H87" s="22" t="s">
        <v>166</v>
      </c>
      <c r="I87" s="22" t="s">
        <v>151</v>
      </c>
      <c r="J87" s="22" t="s">
        <v>311</v>
      </c>
      <c r="K87" s="22" t="s">
        <v>72</v>
      </c>
      <c r="L87" s="54" t="s">
        <v>153</v>
      </c>
      <c r="M87" s="23" t="s">
        <v>153</v>
      </c>
      <c r="N87" s="24" t="s">
        <v>153</v>
      </c>
      <c r="O87" s="23" t="s">
        <v>153</v>
      </c>
      <c r="P87" s="23" t="s">
        <v>153</v>
      </c>
      <c r="Q87" s="23" t="s">
        <v>153</v>
      </c>
      <c r="R87" s="23" t="s">
        <v>153</v>
      </c>
      <c r="S87" s="23" t="s">
        <v>153</v>
      </c>
      <c r="T87" s="24" t="s">
        <v>156</v>
      </c>
      <c r="U87" s="24" t="s">
        <v>153</v>
      </c>
      <c r="V87" s="54" t="s">
        <v>153</v>
      </c>
      <c r="W87" s="28" t="s">
        <v>163</v>
      </c>
      <c r="X87" s="28" t="s">
        <v>163</v>
      </c>
      <c r="Y87" s="28" t="s">
        <v>163</v>
      </c>
      <c r="Z87" s="28" t="s">
        <v>163</v>
      </c>
      <c r="AA87" s="28" t="s">
        <v>163</v>
      </c>
      <c r="AB87" s="24" t="s">
        <v>153</v>
      </c>
      <c r="AC87" s="23" t="s">
        <v>153</v>
      </c>
      <c r="AD87" s="23" t="s">
        <v>153</v>
      </c>
      <c r="AE87" s="23" t="s">
        <v>153</v>
      </c>
      <c r="AF87" s="23" t="s">
        <v>153</v>
      </c>
      <c r="AG87" s="23" t="s">
        <v>153</v>
      </c>
      <c r="AH87" s="24" t="s">
        <v>156</v>
      </c>
      <c r="AI87" s="24" t="s">
        <v>153</v>
      </c>
      <c r="AJ87" s="23" t="s">
        <v>153</v>
      </c>
      <c r="AK87" s="23" t="s">
        <v>153</v>
      </c>
      <c r="AL87" s="23" t="s">
        <v>153</v>
      </c>
      <c r="AM87" s="23" t="s">
        <v>153</v>
      </c>
      <c r="AN87" s="23" t="s">
        <v>153</v>
      </c>
      <c r="AO87" s="23" t="s">
        <v>153</v>
      </c>
      <c r="AP87" s="23">
        <f>VALUE(0)</f>
        <v>0</v>
      </c>
      <c r="AQ87" s="23">
        <f>VALUE(0)</f>
        <v>0</v>
      </c>
      <c r="AR87" s="23">
        <f>VALUE(0)</f>
        <v>0</v>
      </c>
      <c r="AS87" s="23">
        <f>VALUE(0)</f>
        <v>0</v>
      </c>
      <c r="AT87" s="23">
        <f>VALUE(0)</f>
        <v>0</v>
      </c>
      <c r="AU87" s="23">
        <f>VALUE(5)</f>
        <v>5</v>
      </c>
      <c r="AV87" s="23">
        <f>VALUE(2)</f>
        <v>2</v>
      </c>
      <c r="AW87" s="23">
        <f>VALUE(0)</f>
        <v>0</v>
      </c>
      <c r="AX87" s="23" t="s">
        <v>1195</v>
      </c>
      <c r="AY87" s="23">
        <f>VALUE(0)</f>
        <v>0</v>
      </c>
      <c r="AZ87" s="23">
        <f>VALUE(0)</f>
        <v>0</v>
      </c>
      <c r="BA87" s="23">
        <f>VALUE(0)</f>
        <v>0</v>
      </c>
      <c r="BB87" s="23">
        <f>VALUE(0)</f>
        <v>0</v>
      </c>
      <c r="BC87" s="23">
        <f>VALUE(0)</f>
        <v>0</v>
      </c>
      <c r="BD87" s="23">
        <f>VALUE(0)</f>
        <v>0</v>
      </c>
      <c r="BE87" s="23">
        <f>VALUE(0)</f>
        <v>0</v>
      </c>
      <c r="BF87" s="23">
        <f>VALUE(0)</f>
        <v>0</v>
      </c>
      <c r="BG87" s="23">
        <f>VALUE(0)</f>
        <v>0</v>
      </c>
      <c r="BH87" s="23">
        <f>VALUE(0)</f>
        <v>0</v>
      </c>
      <c r="BI87" s="23">
        <f>VALUE(0)</f>
        <v>0</v>
      </c>
      <c r="BJ87" s="23">
        <f>VALUE(0)</f>
        <v>0</v>
      </c>
      <c r="BK87" s="12">
        <f>$AX$87*24</f>
        <v>11.783333333333333</v>
      </c>
      <c r="BL87" s="12">
        <f>$AY$87*24</f>
        <v>0</v>
      </c>
      <c r="BM87" s="12">
        <f>$BJ$87*24</f>
        <v>0</v>
      </c>
      <c r="BN87" s="12">
        <f>VALUE($I$87)/100</f>
        <v>1</v>
      </c>
      <c r="BO87" s="12">
        <v>0</v>
      </c>
      <c r="BP87" s="12">
        <v>0</v>
      </c>
      <c r="BQ87" s="12">
        <v>0</v>
      </c>
      <c r="BR87" s="12">
        <v>0</v>
      </c>
      <c r="BS87" s="12">
        <v>0</v>
      </c>
      <c r="BT87" s="12">
        <v>0</v>
      </c>
      <c r="BU87" s="12">
        <v>0</v>
      </c>
      <c r="BV87" s="12">
        <v>0</v>
      </c>
      <c r="BW87" s="12">
        <v>0</v>
      </c>
      <c r="BX87" s="12">
        <v>0</v>
      </c>
      <c r="BY87" s="12">
        <v>0</v>
      </c>
      <c r="BZ87" s="12">
        <v>0</v>
      </c>
      <c r="CA87" s="12">
        <v>0</v>
      </c>
    </row>
    <row r="88" spans="1:79" x14ac:dyDescent="0.2">
      <c r="A88" s="12" t="s">
        <v>102</v>
      </c>
      <c r="B88" s="12" t="s">
        <v>111</v>
      </c>
      <c r="C88" s="12" t="s">
        <v>111</v>
      </c>
      <c r="D88" s="22" t="s">
        <v>314</v>
      </c>
      <c r="E88" s="22" t="s">
        <v>161</v>
      </c>
      <c r="F88" s="22" t="s">
        <v>729</v>
      </c>
      <c r="G88" s="22" t="s">
        <v>730</v>
      </c>
      <c r="H88" s="22" t="s">
        <v>150</v>
      </c>
      <c r="I88" s="22" t="s">
        <v>151</v>
      </c>
      <c r="J88" s="22" t="s">
        <v>311</v>
      </c>
      <c r="K88" s="22" t="s">
        <v>72</v>
      </c>
      <c r="L88" s="54" t="s">
        <v>153</v>
      </c>
      <c r="M88" s="23" t="s">
        <v>153</v>
      </c>
      <c r="N88" s="24" t="s">
        <v>153</v>
      </c>
      <c r="O88" s="23" t="s">
        <v>153</v>
      </c>
      <c r="P88" s="23" t="s">
        <v>153</v>
      </c>
      <c r="Q88" s="23" t="s">
        <v>153</v>
      </c>
      <c r="R88" s="23" t="s">
        <v>153</v>
      </c>
      <c r="S88" s="23" t="s">
        <v>153</v>
      </c>
      <c r="T88" s="24" t="s">
        <v>156</v>
      </c>
      <c r="U88" s="24" t="s">
        <v>153</v>
      </c>
      <c r="V88" s="54" t="s">
        <v>153</v>
      </c>
      <c r="W88" s="23" t="s">
        <v>153</v>
      </c>
      <c r="X88" s="23" t="s">
        <v>153</v>
      </c>
      <c r="Y88" s="23" t="s">
        <v>153</v>
      </c>
      <c r="Z88" s="23" t="s">
        <v>153</v>
      </c>
      <c r="AA88" s="24" t="s">
        <v>156</v>
      </c>
      <c r="AB88" s="24" t="s">
        <v>153</v>
      </c>
      <c r="AC88" s="23" t="s">
        <v>153</v>
      </c>
      <c r="AD88" s="23" t="s">
        <v>153</v>
      </c>
      <c r="AE88" s="23" t="s">
        <v>153</v>
      </c>
      <c r="AF88" s="23" t="s">
        <v>153</v>
      </c>
      <c r="AG88" s="23" t="s">
        <v>153</v>
      </c>
      <c r="AH88" s="24" t="s">
        <v>156</v>
      </c>
      <c r="AI88" s="24" t="s">
        <v>153</v>
      </c>
      <c r="AJ88" s="29" t="s">
        <v>163</v>
      </c>
      <c r="AK88" s="29" t="s">
        <v>163</v>
      </c>
      <c r="AL88" s="29" t="s">
        <v>163</v>
      </c>
      <c r="AM88" s="29" t="s">
        <v>163</v>
      </c>
      <c r="AN88" s="29" t="s">
        <v>163</v>
      </c>
      <c r="AO88" s="23" t="s">
        <v>153</v>
      </c>
      <c r="AP88" s="23">
        <f>VALUE(0)</f>
        <v>0</v>
      </c>
      <c r="AQ88" s="23">
        <f>VALUE(0)</f>
        <v>0</v>
      </c>
      <c r="AR88" s="23">
        <f>VALUE(5)</f>
        <v>5</v>
      </c>
      <c r="AS88" s="23">
        <f>VALUE(0)</f>
        <v>0</v>
      </c>
      <c r="AT88" s="23">
        <f>VALUE(0)</f>
        <v>0</v>
      </c>
      <c r="AU88" s="23">
        <f>VALUE(0)</f>
        <v>0</v>
      </c>
      <c r="AV88" s="23">
        <f>VALUE(8)</f>
        <v>8</v>
      </c>
      <c r="AW88" s="23">
        <f>VALUE(0)</f>
        <v>0</v>
      </c>
      <c r="AX88" s="23" t="s">
        <v>171</v>
      </c>
      <c r="AY88" s="23" t="s">
        <v>315</v>
      </c>
      <c r="AZ88" s="23">
        <f>VALUE(0)</f>
        <v>0</v>
      </c>
      <c r="BA88" s="23">
        <f>VALUE(0)</f>
        <v>0</v>
      </c>
      <c r="BB88" s="23">
        <f>VALUE(0)</f>
        <v>0</v>
      </c>
      <c r="BC88" s="23">
        <f>VALUE(0)</f>
        <v>0</v>
      </c>
      <c r="BD88" s="23">
        <f>VALUE(0)</f>
        <v>0</v>
      </c>
      <c r="BE88" s="23">
        <f>VALUE(0)</f>
        <v>0</v>
      </c>
      <c r="BF88" s="23">
        <f>VALUE(0)</f>
        <v>0</v>
      </c>
      <c r="BG88" s="23">
        <f>VALUE(0)</f>
        <v>0</v>
      </c>
      <c r="BH88" s="23">
        <f>VALUE(0)</f>
        <v>0</v>
      </c>
      <c r="BI88" s="23">
        <f>VALUE(0)</f>
        <v>0</v>
      </c>
      <c r="BJ88" s="23">
        <f>VALUE(0)</f>
        <v>0</v>
      </c>
      <c r="BK88" s="12">
        <f>$AX$88*24</f>
        <v>5.833333333333333</v>
      </c>
      <c r="BL88" s="12">
        <f>$AY$88*24</f>
        <v>8.4666666666666668</v>
      </c>
      <c r="BM88" s="12">
        <f>$BJ$88*24</f>
        <v>0</v>
      </c>
      <c r="BN88" s="12">
        <f>VALUE($I$88)/100</f>
        <v>1</v>
      </c>
      <c r="BO88" s="12">
        <v>0</v>
      </c>
      <c r="BP88" s="12">
        <v>0</v>
      </c>
      <c r="BQ88" s="12">
        <v>0</v>
      </c>
      <c r="BR88" s="12">
        <v>0</v>
      </c>
      <c r="BS88" s="12">
        <v>0</v>
      </c>
      <c r="BT88" s="12">
        <v>5</v>
      </c>
      <c r="BU88" s="12">
        <v>0</v>
      </c>
      <c r="BV88" s="12">
        <v>0</v>
      </c>
      <c r="BW88" s="12">
        <v>0</v>
      </c>
      <c r="BX88" s="12">
        <v>0</v>
      </c>
      <c r="BY88" s="12">
        <v>0</v>
      </c>
      <c r="BZ88" s="12">
        <v>0</v>
      </c>
      <c r="CA88" s="12">
        <v>0</v>
      </c>
    </row>
    <row r="89" spans="1:79" ht="16.5" x14ac:dyDescent="0.2">
      <c r="A89" s="12" t="s">
        <v>102</v>
      </c>
      <c r="B89" s="12" t="s">
        <v>111</v>
      </c>
      <c r="C89" s="12" t="s">
        <v>111</v>
      </c>
      <c r="D89" s="22" t="s">
        <v>312</v>
      </c>
      <c r="E89" s="22" t="s">
        <v>161</v>
      </c>
      <c r="F89" s="22" t="s">
        <v>731</v>
      </c>
      <c r="G89" s="22" t="s">
        <v>732</v>
      </c>
      <c r="H89" s="22" t="s">
        <v>150</v>
      </c>
      <c r="I89" s="22" t="s">
        <v>151</v>
      </c>
      <c r="J89" s="22" t="s">
        <v>311</v>
      </c>
      <c r="K89" s="22" t="s">
        <v>72</v>
      </c>
      <c r="L89" s="54" t="s">
        <v>153</v>
      </c>
      <c r="M89" s="24" t="s">
        <v>156</v>
      </c>
      <c r="N89" s="24" t="s">
        <v>153</v>
      </c>
      <c r="O89" s="26" t="s">
        <v>316</v>
      </c>
      <c r="P89" s="26" t="s">
        <v>316</v>
      </c>
      <c r="Q89" s="26" t="s">
        <v>316</v>
      </c>
      <c r="R89" s="26" t="s">
        <v>316</v>
      </c>
      <c r="S89" s="26" t="s">
        <v>316</v>
      </c>
      <c r="T89" s="24" t="s">
        <v>156</v>
      </c>
      <c r="U89" s="24" t="s">
        <v>153</v>
      </c>
      <c r="V89" s="54" t="s">
        <v>153</v>
      </c>
      <c r="W89" s="26" t="s">
        <v>316</v>
      </c>
      <c r="X89" s="26" t="s">
        <v>316</v>
      </c>
      <c r="Y89" s="26" t="s">
        <v>316</v>
      </c>
      <c r="Z89" s="29" t="s">
        <v>218</v>
      </c>
      <c r="AA89" s="23" t="s">
        <v>153</v>
      </c>
      <c r="AB89" s="24" t="s">
        <v>153</v>
      </c>
      <c r="AC89" s="26" t="s">
        <v>316</v>
      </c>
      <c r="AD89" s="26" t="s">
        <v>316</v>
      </c>
      <c r="AE89" s="26" t="s">
        <v>316</v>
      </c>
      <c r="AF89" s="26" t="s">
        <v>316</v>
      </c>
      <c r="AG89" s="26" t="s">
        <v>316</v>
      </c>
      <c r="AH89" s="24" t="s">
        <v>156</v>
      </c>
      <c r="AI89" s="24" t="s">
        <v>153</v>
      </c>
      <c r="AJ89" s="26" t="s">
        <v>316</v>
      </c>
      <c r="AK89" s="26" t="s">
        <v>316</v>
      </c>
      <c r="AL89" s="26" t="s">
        <v>316</v>
      </c>
      <c r="AM89" s="26" t="s">
        <v>316</v>
      </c>
      <c r="AN89" s="26" t="s">
        <v>316</v>
      </c>
      <c r="AO89" s="24" t="s">
        <v>156</v>
      </c>
      <c r="AP89" s="23">
        <f>VALUE(0)</f>
        <v>0</v>
      </c>
      <c r="AQ89" s="23">
        <f>VALUE(0)</f>
        <v>0</v>
      </c>
      <c r="AR89" s="23">
        <f>VALUE(1)</f>
        <v>1</v>
      </c>
      <c r="AS89" s="23">
        <f>VALUE(0)</f>
        <v>0</v>
      </c>
      <c r="AT89" s="23">
        <f>VALUE(0)</f>
        <v>0</v>
      </c>
      <c r="AU89" s="23">
        <f>VALUE(0)</f>
        <v>0</v>
      </c>
      <c r="AV89" s="23">
        <f>VALUE(5)</f>
        <v>5</v>
      </c>
      <c r="AW89" s="23">
        <f>VALUE(0)</f>
        <v>0</v>
      </c>
      <c r="AX89" s="23" t="s">
        <v>317</v>
      </c>
      <c r="AY89" s="23" t="s">
        <v>318</v>
      </c>
      <c r="AZ89" s="23">
        <f>VALUE(0)</f>
        <v>0</v>
      </c>
      <c r="BA89" s="23">
        <f>VALUE(0)</f>
        <v>0</v>
      </c>
      <c r="BB89" s="23">
        <f>VALUE(0)</f>
        <v>0</v>
      </c>
      <c r="BC89" s="23">
        <f>VALUE(0)</f>
        <v>0</v>
      </c>
      <c r="BD89" s="23">
        <f>VALUE(0)</f>
        <v>0</v>
      </c>
      <c r="BE89" s="23">
        <f>VALUE(0)</f>
        <v>0</v>
      </c>
      <c r="BF89" s="23">
        <f>VALUE(0)</f>
        <v>0</v>
      </c>
      <c r="BG89" s="23">
        <f>VALUE(0)</f>
        <v>0</v>
      </c>
      <c r="BH89" s="23">
        <f>VALUE(0)</f>
        <v>0</v>
      </c>
      <c r="BI89" s="23">
        <f>VALUE(0)</f>
        <v>0</v>
      </c>
      <c r="BJ89" s="23">
        <f>VALUE(0)</f>
        <v>0</v>
      </c>
      <c r="BK89" s="12">
        <f>$AX$89*24</f>
        <v>1.0833333333333333</v>
      </c>
      <c r="BL89" s="12">
        <f>$AY$89*24</f>
        <v>4.0166666666666666</v>
      </c>
      <c r="BM89" s="12">
        <f>$BJ$89*24</f>
        <v>0</v>
      </c>
      <c r="BN89" s="12">
        <f>VALUE($I$89)/100</f>
        <v>1</v>
      </c>
      <c r="BO89" s="12">
        <v>0</v>
      </c>
      <c r="BP89" s="12">
        <v>0</v>
      </c>
      <c r="BQ89" s="12">
        <v>0</v>
      </c>
      <c r="BR89" s="12">
        <v>0</v>
      </c>
      <c r="BS89" s="12">
        <v>1</v>
      </c>
      <c r="BT89" s="12">
        <v>0</v>
      </c>
      <c r="BU89" s="12">
        <v>0</v>
      </c>
      <c r="BV89" s="12">
        <v>0</v>
      </c>
      <c r="BW89" s="12">
        <v>0</v>
      </c>
      <c r="BX89" s="12">
        <v>0</v>
      </c>
      <c r="BY89" s="12">
        <v>0</v>
      </c>
      <c r="BZ89" s="12">
        <v>0</v>
      </c>
      <c r="CA89" s="12">
        <v>0</v>
      </c>
    </row>
    <row r="90" spans="1:79" hidden="1" x14ac:dyDescent="0.2">
      <c r="A90" s="12" t="s">
        <v>102</v>
      </c>
      <c r="B90" s="12" t="s">
        <v>111</v>
      </c>
      <c r="C90" s="12" t="s">
        <v>111</v>
      </c>
      <c r="D90" s="22" t="s">
        <v>319</v>
      </c>
      <c r="E90" s="22" t="s">
        <v>161</v>
      </c>
      <c r="F90" s="22" t="s">
        <v>733</v>
      </c>
      <c r="G90" s="22" t="s">
        <v>734</v>
      </c>
      <c r="H90" s="22" t="s">
        <v>166</v>
      </c>
      <c r="I90" s="22" t="s">
        <v>151</v>
      </c>
      <c r="J90" s="22" t="s">
        <v>311</v>
      </c>
      <c r="K90" s="22" t="s">
        <v>72</v>
      </c>
      <c r="L90" s="54" t="s">
        <v>153</v>
      </c>
      <c r="M90" s="24" t="s">
        <v>156</v>
      </c>
      <c r="N90" s="24" t="s">
        <v>153</v>
      </c>
      <c r="O90" s="23" t="s">
        <v>153</v>
      </c>
      <c r="P90" s="23" t="s">
        <v>153</v>
      </c>
      <c r="Q90" s="23" t="s">
        <v>153</v>
      </c>
      <c r="R90" s="23" t="s">
        <v>153</v>
      </c>
      <c r="S90" s="23" t="s">
        <v>153</v>
      </c>
      <c r="T90" s="24" t="s">
        <v>156</v>
      </c>
      <c r="U90" s="24" t="s">
        <v>153</v>
      </c>
      <c r="V90" s="54" t="s">
        <v>153</v>
      </c>
      <c r="W90" s="23" t="s">
        <v>153</v>
      </c>
      <c r="X90" s="23" t="s">
        <v>153</v>
      </c>
      <c r="Y90" s="23" t="s">
        <v>153</v>
      </c>
      <c r="Z90" s="23" t="s">
        <v>153</v>
      </c>
      <c r="AA90" s="24" t="s">
        <v>156</v>
      </c>
      <c r="AB90" s="24" t="s">
        <v>153</v>
      </c>
      <c r="AC90" s="23" t="s">
        <v>153</v>
      </c>
      <c r="AD90" s="23" t="s">
        <v>153</v>
      </c>
      <c r="AE90" s="23" t="s">
        <v>153</v>
      </c>
      <c r="AF90" s="23" t="s">
        <v>153</v>
      </c>
      <c r="AG90" s="23" t="s">
        <v>153</v>
      </c>
      <c r="AH90" s="23" t="s">
        <v>153</v>
      </c>
      <c r="AI90" s="24" t="s">
        <v>153</v>
      </c>
      <c r="AJ90" s="23" t="s">
        <v>153</v>
      </c>
      <c r="AK90" s="23" t="s">
        <v>153</v>
      </c>
      <c r="AL90" s="23" t="s">
        <v>153</v>
      </c>
      <c r="AM90" s="23" t="s">
        <v>153</v>
      </c>
      <c r="AN90" s="23" t="s">
        <v>153</v>
      </c>
      <c r="AO90" s="24" t="s">
        <v>156</v>
      </c>
      <c r="AP90" s="23">
        <f>VALUE(0)</f>
        <v>0</v>
      </c>
      <c r="AQ90" s="23">
        <f>VALUE(0)</f>
        <v>0</v>
      </c>
      <c r="AR90" s="23">
        <f>VALUE(0)</f>
        <v>0</v>
      </c>
      <c r="AS90" s="23">
        <f>VALUE(0)</f>
        <v>0</v>
      </c>
      <c r="AT90" s="23">
        <f>VALUE(0)</f>
        <v>0</v>
      </c>
      <c r="AU90" s="23">
        <f>VALUE(0)</f>
        <v>0</v>
      </c>
      <c r="AV90" s="23">
        <f>VALUE(3)</f>
        <v>3</v>
      </c>
      <c r="AW90" s="23">
        <f>VALUE(0)</f>
        <v>0</v>
      </c>
      <c r="AX90" s="23" t="s">
        <v>320</v>
      </c>
      <c r="AY90" s="23">
        <f>VALUE(0)</f>
        <v>0</v>
      </c>
      <c r="AZ90" s="23">
        <f>VALUE(0)</f>
        <v>0</v>
      </c>
      <c r="BA90" s="23">
        <f>VALUE(0)</f>
        <v>0</v>
      </c>
      <c r="BB90" s="23">
        <f>VALUE(0)</f>
        <v>0</v>
      </c>
      <c r="BC90" s="23">
        <f>VALUE(0)</f>
        <v>0</v>
      </c>
      <c r="BD90" s="23">
        <f>VALUE(0)</f>
        <v>0</v>
      </c>
      <c r="BE90" s="23">
        <f>VALUE(0)</f>
        <v>0</v>
      </c>
      <c r="BF90" s="23">
        <f>VALUE(0)</f>
        <v>0</v>
      </c>
      <c r="BG90" s="23">
        <f>VALUE(0)</f>
        <v>0</v>
      </c>
      <c r="BH90" s="23">
        <f>VALUE(0)</f>
        <v>0</v>
      </c>
      <c r="BI90" s="23">
        <f>VALUE(0)</f>
        <v>0</v>
      </c>
      <c r="BJ90" s="23">
        <f>VALUE(0)</f>
        <v>0</v>
      </c>
      <c r="BK90" s="12">
        <f>$AX$90*24</f>
        <v>8.4166666666666661</v>
      </c>
      <c r="BL90" s="12">
        <f>$AY$90*24</f>
        <v>0</v>
      </c>
      <c r="BM90" s="12">
        <f>$BJ$90*24</f>
        <v>0</v>
      </c>
      <c r="BN90" s="12">
        <f>VALUE($I$90)/100</f>
        <v>1</v>
      </c>
      <c r="BO90" s="12">
        <v>0</v>
      </c>
      <c r="BP90" s="12">
        <v>0</v>
      </c>
      <c r="BQ90" s="12">
        <v>0</v>
      </c>
      <c r="BR90" s="12">
        <v>0</v>
      </c>
      <c r="BS90" s="12">
        <v>0</v>
      </c>
      <c r="BT90" s="12">
        <v>0</v>
      </c>
      <c r="BU90" s="12">
        <v>0</v>
      </c>
      <c r="BV90" s="12">
        <v>0</v>
      </c>
      <c r="BW90" s="12">
        <v>0</v>
      </c>
      <c r="BX90" s="12">
        <v>0</v>
      </c>
      <c r="BY90" s="12">
        <v>0</v>
      </c>
      <c r="BZ90" s="12">
        <v>0</v>
      </c>
      <c r="CA90" s="12">
        <v>0</v>
      </c>
    </row>
    <row r="91" spans="1:79" hidden="1" x14ac:dyDescent="0.2">
      <c r="A91" s="12" t="s">
        <v>102</v>
      </c>
      <c r="B91" s="12" t="s">
        <v>111</v>
      </c>
      <c r="C91" s="12" t="s">
        <v>111</v>
      </c>
      <c r="D91" s="22" t="s">
        <v>321</v>
      </c>
      <c r="E91" s="22" t="s">
        <v>161</v>
      </c>
      <c r="F91" s="22" t="s">
        <v>735</v>
      </c>
      <c r="G91" s="22" t="s">
        <v>736</v>
      </c>
      <c r="H91" s="22" t="s">
        <v>150</v>
      </c>
      <c r="I91" s="22" t="s">
        <v>151</v>
      </c>
      <c r="J91" s="22" t="s">
        <v>311</v>
      </c>
      <c r="K91" s="22" t="s">
        <v>72</v>
      </c>
      <c r="L91" s="54" t="s">
        <v>153</v>
      </c>
      <c r="M91" s="24" t="s">
        <v>156</v>
      </c>
      <c r="N91" s="24" t="s">
        <v>153</v>
      </c>
      <c r="O91" s="23" t="s">
        <v>153</v>
      </c>
      <c r="P91" s="23" t="s">
        <v>153</v>
      </c>
      <c r="Q91" s="23" t="s">
        <v>153</v>
      </c>
      <c r="R91" s="23" t="s">
        <v>153</v>
      </c>
      <c r="S91" s="23" t="s">
        <v>153</v>
      </c>
      <c r="T91" s="23" t="s">
        <v>153</v>
      </c>
      <c r="U91" s="24" t="s">
        <v>153</v>
      </c>
      <c r="V91" s="54" t="s">
        <v>153</v>
      </c>
      <c r="W91" s="23" t="s">
        <v>153</v>
      </c>
      <c r="X91" s="23" t="s">
        <v>153</v>
      </c>
      <c r="Y91" s="23" t="s">
        <v>153</v>
      </c>
      <c r="Z91" s="23" t="s">
        <v>153</v>
      </c>
      <c r="AA91" s="24" t="s">
        <v>156</v>
      </c>
      <c r="AB91" s="24" t="s">
        <v>153</v>
      </c>
      <c r="AC91" s="23" t="s">
        <v>153</v>
      </c>
      <c r="AD91" s="23" t="s">
        <v>153</v>
      </c>
      <c r="AE91" s="23" t="s">
        <v>153</v>
      </c>
      <c r="AF91" s="23" t="s">
        <v>153</v>
      </c>
      <c r="AG91" s="23" t="s">
        <v>153</v>
      </c>
      <c r="AH91" s="24" t="s">
        <v>156</v>
      </c>
      <c r="AI91" s="24" t="s">
        <v>153</v>
      </c>
      <c r="AJ91" s="23" t="s">
        <v>153</v>
      </c>
      <c r="AK91" s="23" t="s">
        <v>153</v>
      </c>
      <c r="AL91" s="23" t="s">
        <v>153</v>
      </c>
      <c r="AM91" s="23" t="s">
        <v>153</v>
      </c>
      <c r="AN91" s="23" t="s">
        <v>153</v>
      </c>
      <c r="AO91" s="24" t="s">
        <v>156</v>
      </c>
      <c r="AP91" s="23">
        <f>VALUE(0)</f>
        <v>0</v>
      </c>
      <c r="AQ91" s="23">
        <f>VALUE(0)</f>
        <v>0</v>
      </c>
      <c r="AR91" s="23">
        <f>VALUE(0)</f>
        <v>0</v>
      </c>
      <c r="AS91" s="23">
        <f>VALUE(0)</f>
        <v>0</v>
      </c>
      <c r="AT91" s="23">
        <f>VALUE(0)</f>
        <v>0</v>
      </c>
      <c r="AU91" s="23">
        <f>VALUE(0)</f>
        <v>0</v>
      </c>
      <c r="AV91" s="23">
        <f>VALUE(4)</f>
        <v>4</v>
      </c>
      <c r="AW91" s="23">
        <f>VALUE(0)</f>
        <v>0</v>
      </c>
      <c r="AX91" s="23" t="s">
        <v>176</v>
      </c>
      <c r="AY91" s="23" t="s">
        <v>322</v>
      </c>
      <c r="AZ91" s="23">
        <f>VALUE(0)</f>
        <v>0</v>
      </c>
      <c r="BA91" s="23">
        <f>VALUE(0)</f>
        <v>0</v>
      </c>
      <c r="BB91" s="23">
        <f>VALUE(0)</f>
        <v>0</v>
      </c>
      <c r="BC91" s="23">
        <f>VALUE(0)</f>
        <v>0</v>
      </c>
      <c r="BD91" s="23">
        <f>VALUE(0)</f>
        <v>0</v>
      </c>
      <c r="BE91" s="23">
        <f>VALUE(0)</f>
        <v>0</v>
      </c>
      <c r="BF91" s="23">
        <f>VALUE(0)</f>
        <v>0</v>
      </c>
      <c r="BG91" s="23">
        <f>VALUE(0)</f>
        <v>0</v>
      </c>
      <c r="BH91" s="23">
        <f>VALUE(0)</f>
        <v>0</v>
      </c>
      <c r="BI91" s="23">
        <f>VALUE(0)</f>
        <v>0</v>
      </c>
      <c r="BJ91" s="23">
        <f>VALUE(0)</f>
        <v>0</v>
      </c>
      <c r="BK91" s="12">
        <f>$AX$91*24</f>
        <v>0</v>
      </c>
      <c r="BL91" s="12">
        <f>$AY$91*24</f>
        <v>16.166666666666668</v>
      </c>
      <c r="BM91" s="12">
        <f>$BJ$91*24</f>
        <v>0</v>
      </c>
      <c r="BN91" s="12">
        <f>VALUE($I$91)/100</f>
        <v>1</v>
      </c>
      <c r="BO91" s="12">
        <v>0</v>
      </c>
      <c r="BP91" s="12">
        <v>0</v>
      </c>
      <c r="BQ91" s="12">
        <v>0</v>
      </c>
      <c r="BR91" s="12">
        <v>0</v>
      </c>
      <c r="BS91" s="12">
        <v>0</v>
      </c>
      <c r="BT91" s="12">
        <v>0</v>
      </c>
      <c r="BU91" s="12">
        <v>0</v>
      </c>
      <c r="BV91" s="12">
        <v>0</v>
      </c>
      <c r="BW91" s="12">
        <v>0</v>
      </c>
      <c r="BX91" s="12">
        <v>0</v>
      </c>
      <c r="BY91" s="12">
        <v>0</v>
      </c>
      <c r="BZ91" s="12">
        <v>0</v>
      </c>
      <c r="CA91" s="12">
        <v>0</v>
      </c>
    </row>
    <row r="92" spans="1:79" ht="15" hidden="1" x14ac:dyDescent="0.25">
      <c r="A92" s="12" t="s">
        <v>102</v>
      </c>
      <c r="B92" s="12" t="s">
        <v>111</v>
      </c>
      <c r="C92" s="12" t="s">
        <v>111</v>
      </c>
      <c r="D92" s="31" t="s">
        <v>323</v>
      </c>
      <c r="E92" s="31" t="s">
        <v>153</v>
      </c>
      <c r="F92" s="31" t="s">
        <v>175</v>
      </c>
      <c r="G92" s="31" t="s">
        <v>153</v>
      </c>
      <c r="H92" s="31" t="s">
        <v>153</v>
      </c>
      <c r="I92" s="31" t="s">
        <v>153</v>
      </c>
      <c r="J92" s="31" t="s">
        <v>153</v>
      </c>
      <c r="K92" s="31" t="s">
        <v>153</v>
      </c>
      <c r="L92" s="31">
        <f>VALUE(0)</f>
        <v>0</v>
      </c>
      <c r="M92" s="31">
        <f>VALUE(3)</f>
        <v>3</v>
      </c>
      <c r="N92" s="31">
        <f>VALUE(0)</f>
        <v>0</v>
      </c>
      <c r="O92" s="31">
        <f>VALUE(6)</f>
        <v>6</v>
      </c>
      <c r="P92" s="31">
        <f>VALUE(6)</f>
        <v>6</v>
      </c>
      <c r="Q92" s="31">
        <f>VALUE(5)</f>
        <v>5</v>
      </c>
      <c r="R92" s="31">
        <f>VALUE(6)</f>
        <v>6</v>
      </c>
      <c r="S92" s="31">
        <f>VALUE(6)</f>
        <v>6</v>
      </c>
      <c r="T92" s="31">
        <f>VALUE(2)</f>
        <v>2</v>
      </c>
      <c r="U92" s="31">
        <f>VALUE(0)</f>
        <v>0</v>
      </c>
      <c r="V92" s="31">
        <f>VALUE(0)</f>
        <v>0</v>
      </c>
      <c r="W92" s="31">
        <f>VALUE(5)</f>
        <v>5</v>
      </c>
      <c r="X92" s="31">
        <f>VALUE(5)</f>
        <v>5</v>
      </c>
      <c r="Y92" s="31">
        <f>VALUE(5)</f>
        <v>5</v>
      </c>
      <c r="Z92" s="31">
        <f>VALUE(4)</f>
        <v>4</v>
      </c>
      <c r="AA92" s="31">
        <f>VALUE(2)</f>
        <v>2</v>
      </c>
      <c r="AB92" s="31">
        <f>VALUE(0)</f>
        <v>0</v>
      </c>
      <c r="AC92" s="31">
        <f>VALUE(6)</f>
        <v>6</v>
      </c>
      <c r="AD92" s="31">
        <f>VALUE(6)</f>
        <v>6</v>
      </c>
      <c r="AE92" s="31">
        <f>VALUE(5)</f>
        <v>5</v>
      </c>
      <c r="AF92" s="31">
        <f>VALUE(6)</f>
        <v>6</v>
      </c>
      <c r="AG92" s="31">
        <f>VALUE(6)</f>
        <v>6</v>
      </c>
      <c r="AH92" s="31">
        <f>VALUE(2)</f>
        <v>2</v>
      </c>
      <c r="AI92" s="31">
        <f>VALUE(0)</f>
        <v>0</v>
      </c>
      <c r="AJ92" s="31">
        <f>VALUE(5)</f>
        <v>5</v>
      </c>
      <c r="AK92" s="31">
        <f>VALUE(5)</f>
        <v>5</v>
      </c>
      <c r="AL92" s="31">
        <f>VALUE(5)</f>
        <v>5</v>
      </c>
      <c r="AM92" s="31">
        <f>VALUE(5)</f>
        <v>5</v>
      </c>
      <c r="AN92" s="31">
        <f>VALUE(5)</f>
        <v>5</v>
      </c>
      <c r="AO92" s="31">
        <f>VALUE(3)</f>
        <v>3</v>
      </c>
      <c r="AP92" s="31">
        <v>0</v>
      </c>
      <c r="AQ92" s="31">
        <v>0</v>
      </c>
      <c r="AR92" s="31">
        <v>0</v>
      </c>
      <c r="AS92" s="31">
        <v>0</v>
      </c>
      <c r="AT92" s="31">
        <v>0</v>
      </c>
      <c r="AU92" s="31">
        <v>0</v>
      </c>
      <c r="AV92" s="31">
        <v>0</v>
      </c>
      <c r="AW92" s="31">
        <v>0</v>
      </c>
      <c r="AX92" s="31">
        <v>0</v>
      </c>
      <c r="AY92" s="31">
        <v>0</v>
      </c>
      <c r="AZ92" s="31">
        <v>0</v>
      </c>
      <c r="BA92" s="31">
        <v>0</v>
      </c>
      <c r="BB92" s="31">
        <v>0</v>
      </c>
      <c r="BC92" s="31">
        <v>0</v>
      </c>
      <c r="BD92" s="31">
        <v>0</v>
      </c>
      <c r="BE92" s="31">
        <v>0</v>
      </c>
      <c r="BF92" s="31">
        <v>0</v>
      </c>
      <c r="BG92" s="31">
        <v>0</v>
      </c>
      <c r="BH92" s="31">
        <v>0</v>
      </c>
      <c r="BI92" s="31">
        <v>0</v>
      </c>
      <c r="BJ92" s="31">
        <v>0</v>
      </c>
      <c r="BK92" s="12">
        <v>0</v>
      </c>
      <c r="BL92" s="12">
        <v>0</v>
      </c>
      <c r="BM92" s="12">
        <v>0</v>
      </c>
      <c r="BN92" s="12"/>
      <c r="BO92" s="12">
        <v>0</v>
      </c>
      <c r="BP92" s="12">
        <v>0</v>
      </c>
      <c r="BQ92" s="12">
        <v>0</v>
      </c>
      <c r="BR92" s="12">
        <v>0</v>
      </c>
      <c r="BS92" s="12">
        <v>0</v>
      </c>
      <c r="BT92" s="12">
        <v>0</v>
      </c>
      <c r="BU92" s="12">
        <v>0</v>
      </c>
      <c r="BV92" s="12">
        <v>0</v>
      </c>
      <c r="BW92" s="12">
        <v>0</v>
      </c>
      <c r="BX92" s="12">
        <v>0</v>
      </c>
      <c r="BY92" s="12">
        <v>0</v>
      </c>
      <c r="BZ92" s="12">
        <v>0</v>
      </c>
      <c r="CA92" s="12">
        <v>0</v>
      </c>
    </row>
    <row r="93" spans="1:79" hidden="1" x14ac:dyDescent="0.2">
      <c r="A93" s="12" t="s">
        <v>102</v>
      </c>
      <c r="B93" s="12" t="s">
        <v>112</v>
      </c>
      <c r="C93" s="12" t="s">
        <v>112</v>
      </c>
      <c r="D93" s="22" t="s">
        <v>324</v>
      </c>
      <c r="E93" s="22" t="s">
        <v>161</v>
      </c>
      <c r="F93" s="22" t="s">
        <v>735</v>
      </c>
      <c r="G93" s="22" t="s">
        <v>736</v>
      </c>
      <c r="H93" s="22" t="s">
        <v>150</v>
      </c>
      <c r="I93" s="22" t="s">
        <v>151</v>
      </c>
      <c r="J93" s="22" t="s">
        <v>162</v>
      </c>
      <c r="K93" s="22" t="s">
        <v>73</v>
      </c>
      <c r="L93" s="54" t="s">
        <v>153</v>
      </c>
      <c r="M93" s="23" t="s">
        <v>153</v>
      </c>
      <c r="N93" s="24" t="s">
        <v>153</v>
      </c>
      <c r="O93" s="23" t="s">
        <v>153</v>
      </c>
      <c r="P93" s="23" t="s">
        <v>153</v>
      </c>
      <c r="Q93" s="23" t="s">
        <v>153</v>
      </c>
      <c r="R93" s="23" t="s">
        <v>153</v>
      </c>
      <c r="S93" s="23" t="s">
        <v>153</v>
      </c>
      <c r="T93" s="23" t="s">
        <v>153</v>
      </c>
      <c r="U93" s="24" t="s">
        <v>153</v>
      </c>
      <c r="V93" s="54" t="s">
        <v>153</v>
      </c>
      <c r="W93" s="23" t="s">
        <v>153</v>
      </c>
      <c r="X93" s="23" t="s">
        <v>153</v>
      </c>
      <c r="Y93" s="23" t="s">
        <v>153</v>
      </c>
      <c r="Z93" s="23" t="s">
        <v>153</v>
      </c>
      <c r="AA93" s="23" t="s">
        <v>153</v>
      </c>
      <c r="AB93" s="24" t="s">
        <v>153</v>
      </c>
      <c r="AC93" s="23" t="s">
        <v>153</v>
      </c>
      <c r="AD93" s="23" t="s">
        <v>153</v>
      </c>
      <c r="AE93" s="23" t="s">
        <v>153</v>
      </c>
      <c r="AF93" s="23" t="s">
        <v>153</v>
      </c>
      <c r="AG93" s="23" t="s">
        <v>153</v>
      </c>
      <c r="AH93" s="23" t="s">
        <v>153</v>
      </c>
      <c r="AI93" s="24" t="s">
        <v>153</v>
      </c>
      <c r="AJ93" s="24" t="s">
        <v>156</v>
      </c>
      <c r="AK93" s="24" t="s">
        <v>156</v>
      </c>
      <c r="AL93" s="24" t="s">
        <v>156</v>
      </c>
      <c r="AM93" s="23" t="s">
        <v>153</v>
      </c>
      <c r="AN93" s="23" t="s">
        <v>153</v>
      </c>
      <c r="AO93" s="23" t="s">
        <v>153</v>
      </c>
      <c r="AP93" s="23">
        <f>VALUE(0)</f>
        <v>0</v>
      </c>
      <c r="AQ93" s="23">
        <f>VALUE(0)</f>
        <v>0</v>
      </c>
      <c r="AR93" s="23">
        <f>VALUE(0)</f>
        <v>0</v>
      </c>
      <c r="AS93" s="23">
        <f>VALUE(0)</f>
        <v>0</v>
      </c>
      <c r="AT93" s="23">
        <f>VALUE(0)</f>
        <v>0</v>
      </c>
      <c r="AU93" s="23">
        <f>VALUE(0)</f>
        <v>0</v>
      </c>
      <c r="AV93" s="23">
        <f>VALUE(32)</f>
        <v>32</v>
      </c>
      <c r="AW93" s="23">
        <f>VALUE(5)</f>
        <v>5</v>
      </c>
      <c r="AX93" s="23" t="s">
        <v>171</v>
      </c>
      <c r="AY93" s="23" t="s">
        <v>325</v>
      </c>
      <c r="AZ93" s="23">
        <f>VALUE(0)</f>
        <v>0</v>
      </c>
      <c r="BA93" s="23">
        <f>VALUE(0)</f>
        <v>0</v>
      </c>
      <c r="BB93" s="23">
        <f>VALUE(0)</f>
        <v>0</v>
      </c>
      <c r="BC93" s="23">
        <f>VALUE(0)</f>
        <v>0</v>
      </c>
      <c r="BD93" s="23">
        <f>VALUE(0)</f>
        <v>0</v>
      </c>
      <c r="BE93" s="23">
        <f>VALUE(0)</f>
        <v>0</v>
      </c>
      <c r="BF93" s="23">
        <f>VALUE(0)</f>
        <v>0</v>
      </c>
      <c r="BG93" s="23">
        <f>VALUE(0)</f>
        <v>0</v>
      </c>
      <c r="BH93" s="23">
        <f>VALUE(0)</f>
        <v>0</v>
      </c>
      <c r="BI93" s="23">
        <f>VALUE(0)</f>
        <v>0</v>
      </c>
      <c r="BJ93" s="23">
        <f>VALUE(0)</f>
        <v>0</v>
      </c>
      <c r="BK93" s="12">
        <f>$AX$93*24</f>
        <v>5.833333333333333</v>
      </c>
      <c r="BL93" s="12">
        <f>$AY$93*24</f>
        <v>31.533333333333331</v>
      </c>
      <c r="BM93" s="12">
        <f>$BJ$93*24</f>
        <v>0</v>
      </c>
      <c r="BN93" s="12">
        <f>VALUE($I$93)/100</f>
        <v>1</v>
      </c>
      <c r="BO93" s="12">
        <v>0</v>
      </c>
      <c r="BP93" s="12">
        <v>0</v>
      </c>
      <c r="BQ93" s="12">
        <v>0</v>
      </c>
      <c r="BR93" s="12">
        <v>0</v>
      </c>
      <c r="BS93" s="12">
        <v>0</v>
      </c>
      <c r="BT93" s="12">
        <v>0</v>
      </c>
      <c r="BU93" s="12">
        <v>0</v>
      </c>
      <c r="BV93" s="12">
        <v>0</v>
      </c>
      <c r="BW93" s="12">
        <v>0</v>
      </c>
      <c r="BX93" s="12">
        <v>0</v>
      </c>
      <c r="BY93" s="12">
        <v>0</v>
      </c>
      <c r="BZ93" s="12">
        <v>0</v>
      </c>
      <c r="CA93" s="12">
        <v>0</v>
      </c>
    </row>
    <row r="94" spans="1:79" hidden="1" x14ac:dyDescent="0.2">
      <c r="A94" s="12" t="s">
        <v>102</v>
      </c>
      <c r="B94" s="12" t="s">
        <v>112</v>
      </c>
      <c r="C94" s="12" t="s">
        <v>112</v>
      </c>
      <c r="D94" s="22" t="s">
        <v>157</v>
      </c>
      <c r="E94" s="22" t="s">
        <v>161</v>
      </c>
      <c r="F94" s="22" t="s">
        <v>737</v>
      </c>
      <c r="G94" s="22" t="s">
        <v>738</v>
      </c>
      <c r="H94" s="22" t="s">
        <v>150</v>
      </c>
      <c r="I94" s="22" t="s">
        <v>151</v>
      </c>
      <c r="J94" s="22" t="s">
        <v>162</v>
      </c>
      <c r="K94" s="22" t="s">
        <v>73</v>
      </c>
      <c r="L94" s="54" t="s">
        <v>153</v>
      </c>
      <c r="M94" s="23" t="s">
        <v>153</v>
      </c>
      <c r="N94" s="24" t="s">
        <v>153</v>
      </c>
      <c r="O94" s="23" t="s">
        <v>153</v>
      </c>
      <c r="P94" s="23" t="s">
        <v>153</v>
      </c>
      <c r="Q94" s="23" t="s">
        <v>153</v>
      </c>
      <c r="R94" s="25" t="s">
        <v>1196</v>
      </c>
      <c r="S94" s="25" t="s">
        <v>1196</v>
      </c>
      <c r="T94" s="25" t="s">
        <v>1196</v>
      </c>
      <c r="U94" s="24" t="s">
        <v>153</v>
      </c>
      <c r="V94" s="54" t="s">
        <v>153</v>
      </c>
      <c r="W94" s="23" t="s">
        <v>154</v>
      </c>
      <c r="X94" s="23" t="s">
        <v>154</v>
      </c>
      <c r="Y94" s="23" t="s">
        <v>154</v>
      </c>
      <c r="Z94" s="23" t="s">
        <v>154</v>
      </c>
      <c r="AA94" s="23" t="s">
        <v>154</v>
      </c>
      <c r="AB94" s="24" t="s">
        <v>153</v>
      </c>
      <c r="AC94" s="28" t="s">
        <v>163</v>
      </c>
      <c r="AD94" s="28" t="s">
        <v>163</v>
      </c>
      <c r="AE94" s="28" t="s">
        <v>163</v>
      </c>
      <c r="AF94" s="28" t="s">
        <v>163</v>
      </c>
      <c r="AG94" s="28" t="s">
        <v>163</v>
      </c>
      <c r="AH94" s="28" t="s">
        <v>163</v>
      </c>
      <c r="AI94" s="24" t="s">
        <v>153</v>
      </c>
      <c r="AJ94" s="23" t="s">
        <v>154</v>
      </c>
      <c r="AK94" s="23" t="s">
        <v>154</v>
      </c>
      <c r="AL94" s="23" t="s">
        <v>154</v>
      </c>
      <c r="AM94" s="24" t="s">
        <v>156</v>
      </c>
      <c r="AN94" s="24" t="s">
        <v>156</v>
      </c>
      <c r="AO94" s="24" t="s">
        <v>156</v>
      </c>
      <c r="AP94" s="23">
        <f>VALUE(3)</f>
        <v>3</v>
      </c>
      <c r="AQ94" s="23">
        <f>VALUE(0)</f>
        <v>0</v>
      </c>
      <c r="AR94" s="23">
        <f>VALUE(0)</f>
        <v>0</v>
      </c>
      <c r="AS94" s="23">
        <f>VALUE(0)</f>
        <v>0</v>
      </c>
      <c r="AT94" s="23">
        <f>VALUE(0)</f>
        <v>0</v>
      </c>
      <c r="AU94" s="23">
        <f>VALUE(6)</f>
        <v>6</v>
      </c>
      <c r="AV94" s="23">
        <f>VALUE(2)</f>
        <v>2</v>
      </c>
      <c r="AW94" s="23">
        <f>VALUE(0)</f>
        <v>0</v>
      </c>
      <c r="AX94" s="23" t="s">
        <v>171</v>
      </c>
      <c r="AY94" s="23" t="s">
        <v>326</v>
      </c>
      <c r="AZ94" s="23">
        <f>VALUE(0)</f>
        <v>0</v>
      </c>
      <c r="BA94" s="23">
        <f>VALUE(0)</f>
        <v>0</v>
      </c>
      <c r="BB94" s="23">
        <f>VALUE(0)</f>
        <v>0</v>
      </c>
      <c r="BC94" s="23">
        <f>VALUE(0)</f>
        <v>0</v>
      </c>
      <c r="BD94" s="23">
        <f>VALUE(3)</f>
        <v>3</v>
      </c>
      <c r="BE94" s="23">
        <f>VALUE(0)</f>
        <v>0</v>
      </c>
      <c r="BF94" s="23">
        <f>VALUE(0)</f>
        <v>0</v>
      </c>
      <c r="BG94" s="23">
        <f>VALUE(0)</f>
        <v>0</v>
      </c>
      <c r="BH94" s="23">
        <f>VALUE(0)</f>
        <v>0</v>
      </c>
      <c r="BI94" s="23">
        <f>VALUE(0)</f>
        <v>0</v>
      </c>
      <c r="BJ94" s="23">
        <f>VALUE(0)</f>
        <v>0</v>
      </c>
      <c r="BK94" s="12">
        <f>$AX$94*24</f>
        <v>5.833333333333333</v>
      </c>
      <c r="BL94" s="12">
        <f>$AY$94*24</f>
        <v>11.633333333333333</v>
      </c>
      <c r="BM94" s="12">
        <f>$BJ$94*24</f>
        <v>0</v>
      </c>
      <c r="BN94" s="12">
        <f>VALUE($I$94)/100</f>
        <v>1</v>
      </c>
      <c r="BO94" s="12">
        <v>0</v>
      </c>
      <c r="BP94" s="12">
        <v>0</v>
      </c>
      <c r="BQ94" s="12">
        <v>0</v>
      </c>
      <c r="BR94" s="12">
        <v>3</v>
      </c>
      <c r="BS94" s="12">
        <v>0</v>
      </c>
      <c r="BT94" s="12">
        <v>0</v>
      </c>
      <c r="BU94" s="12">
        <v>0</v>
      </c>
      <c r="BV94" s="12">
        <v>0</v>
      </c>
      <c r="BW94" s="12">
        <v>0</v>
      </c>
      <c r="BX94" s="12">
        <v>0</v>
      </c>
      <c r="BY94" s="12">
        <v>0</v>
      </c>
      <c r="BZ94" s="12">
        <v>0</v>
      </c>
      <c r="CA94" s="12">
        <v>0</v>
      </c>
    </row>
    <row r="95" spans="1:79" x14ac:dyDescent="0.2">
      <c r="A95" s="12" t="s">
        <v>102</v>
      </c>
      <c r="B95" s="12" t="s">
        <v>112</v>
      </c>
      <c r="C95" s="12" t="s">
        <v>112</v>
      </c>
      <c r="D95" s="22" t="s">
        <v>327</v>
      </c>
      <c r="E95" s="22" t="s">
        <v>161</v>
      </c>
      <c r="F95" s="22" t="s">
        <v>739</v>
      </c>
      <c r="G95" s="22" t="s">
        <v>740</v>
      </c>
      <c r="H95" s="22" t="s">
        <v>166</v>
      </c>
      <c r="I95" s="22" t="s">
        <v>151</v>
      </c>
      <c r="J95" s="22" t="s">
        <v>162</v>
      </c>
      <c r="K95" s="22" t="s">
        <v>73</v>
      </c>
      <c r="L95" s="54" t="s">
        <v>153</v>
      </c>
      <c r="M95" s="28" t="s">
        <v>163</v>
      </c>
      <c r="N95" s="24" t="s">
        <v>153</v>
      </c>
      <c r="O95" s="23" t="s">
        <v>153</v>
      </c>
      <c r="P95" s="23" t="s">
        <v>153</v>
      </c>
      <c r="Q95" s="23" t="s">
        <v>153</v>
      </c>
      <c r="R95" s="23" t="s">
        <v>153</v>
      </c>
      <c r="S95" s="23" t="s">
        <v>153</v>
      </c>
      <c r="T95" s="23" t="s">
        <v>153</v>
      </c>
      <c r="U95" s="24" t="s">
        <v>153</v>
      </c>
      <c r="V95" s="54" t="s">
        <v>153</v>
      </c>
      <c r="W95" s="23" t="s">
        <v>153</v>
      </c>
      <c r="X95" s="23" t="s">
        <v>153</v>
      </c>
      <c r="Y95" s="23" t="s">
        <v>153</v>
      </c>
      <c r="Z95" s="29" t="s">
        <v>218</v>
      </c>
      <c r="AA95" s="23" t="s">
        <v>153</v>
      </c>
      <c r="AB95" s="24" t="s">
        <v>153</v>
      </c>
      <c r="AC95" s="24" t="s">
        <v>156</v>
      </c>
      <c r="AD95" s="24" t="s">
        <v>156</v>
      </c>
      <c r="AE95" s="24" t="s">
        <v>156</v>
      </c>
      <c r="AF95" s="23" t="s">
        <v>153</v>
      </c>
      <c r="AG95" s="23" t="s">
        <v>153</v>
      </c>
      <c r="AH95" s="23" t="s">
        <v>153</v>
      </c>
      <c r="AI95" s="24" t="s">
        <v>153</v>
      </c>
      <c r="AJ95" s="23" t="s">
        <v>153</v>
      </c>
      <c r="AK95" s="23" t="s">
        <v>153</v>
      </c>
      <c r="AL95" s="23" t="s">
        <v>153</v>
      </c>
      <c r="AM95" s="23" t="s">
        <v>153</v>
      </c>
      <c r="AN95" s="23" t="s">
        <v>153</v>
      </c>
      <c r="AO95" s="23" t="s">
        <v>153</v>
      </c>
      <c r="AP95" s="23">
        <f>VALUE(6)</f>
        <v>6</v>
      </c>
      <c r="AQ95" s="23">
        <f>VALUE(0)</f>
        <v>0</v>
      </c>
      <c r="AR95" s="23">
        <f>VALUE(1)</f>
        <v>1</v>
      </c>
      <c r="AS95" s="23">
        <f>VALUE(0)</f>
        <v>0</v>
      </c>
      <c r="AT95" s="23">
        <f>VALUE(0)</f>
        <v>0</v>
      </c>
      <c r="AU95" s="23">
        <f>VALUE(1)</f>
        <v>1</v>
      </c>
      <c r="AV95" s="23">
        <f>VALUE(2)</f>
        <v>2</v>
      </c>
      <c r="AW95" s="23">
        <f>VALUE(0)</f>
        <v>0</v>
      </c>
      <c r="AX95" s="23" t="s">
        <v>328</v>
      </c>
      <c r="AY95" s="23">
        <f>VALUE(0)</f>
        <v>0</v>
      </c>
      <c r="AZ95" s="23">
        <f>VALUE(0)</f>
        <v>0</v>
      </c>
      <c r="BA95" s="23">
        <f>VALUE(0)</f>
        <v>0</v>
      </c>
      <c r="BB95" s="23">
        <f>VALUE(0)</f>
        <v>0</v>
      </c>
      <c r="BC95" s="23">
        <f>VALUE(0)</f>
        <v>0</v>
      </c>
      <c r="BD95" s="23">
        <f>VALUE(0)</f>
        <v>0</v>
      </c>
      <c r="BE95" s="23">
        <f>VALUE(0)</f>
        <v>0</v>
      </c>
      <c r="BF95" s="23">
        <f>VALUE(0)</f>
        <v>0</v>
      </c>
      <c r="BG95" s="23">
        <f>VALUE(0)</f>
        <v>0</v>
      </c>
      <c r="BH95" s="23">
        <f>VALUE(0)</f>
        <v>0</v>
      </c>
      <c r="BI95" s="23">
        <f>VALUE(0)</f>
        <v>0</v>
      </c>
      <c r="BJ95" s="23">
        <f>VALUE(0)</f>
        <v>0</v>
      </c>
      <c r="BK95" s="12">
        <f>$AX$95*24</f>
        <v>28.683333333333337</v>
      </c>
      <c r="BL95" s="12">
        <f>$AY$95*24</f>
        <v>0</v>
      </c>
      <c r="BM95" s="12">
        <f>$BJ$95*24</f>
        <v>0</v>
      </c>
      <c r="BN95" s="12">
        <f>VALUE($I$95)/100</f>
        <v>1</v>
      </c>
      <c r="BO95" s="12">
        <v>0</v>
      </c>
      <c r="BP95" s="12">
        <v>0</v>
      </c>
      <c r="BQ95" s="12">
        <v>0</v>
      </c>
      <c r="BR95" s="12">
        <v>0</v>
      </c>
      <c r="BS95" s="12">
        <v>1</v>
      </c>
      <c r="BT95" s="12">
        <v>0</v>
      </c>
      <c r="BU95" s="12">
        <v>0</v>
      </c>
      <c r="BV95" s="12">
        <v>0</v>
      </c>
      <c r="BW95" s="12">
        <v>0</v>
      </c>
      <c r="BX95" s="12">
        <v>0</v>
      </c>
      <c r="BY95" s="12">
        <v>0</v>
      </c>
      <c r="BZ95" s="12">
        <v>0</v>
      </c>
      <c r="CA95" s="12">
        <v>0</v>
      </c>
    </row>
    <row r="96" spans="1:79" hidden="1" x14ac:dyDescent="0.2">
      <c r="A96" s="12" t="s">
        <v>102</v>
      </c>
      <c r="B96" s="12" t="s">
        <v>112</v>
      </c>
      <c r="C96" s="12" t="s">
        <v>112</v>
      </c>
      <c r="D96" s="22" t="s">
        <v>154</v>
      </c>
      <c r="E96" s="22" t="s">
        <v>161</v>
      </c>
      <c r="F96" s="22" t="s">
        <v>741</v>
      </c>
      <c r="G96" s="22" t="s">
        <v>742</v>
      </c>
      <c r="H96" s="22" t="s">
        <v>150</v>
      </c>
      <c r="I96" s="22" t="s">
        <v>151</v>
      </c>
      <c r="J96" s="22" t="s">
        <v>162</v>
      </c>
      <c r="K96" s="22" t="s">
        <v>73</v>
      </c>
      <c r="L96" s="54" t="s">
        <v>153</v>
      </c>
      <c r="M96" s="28" t="s">
        <v>163</v>
      </c>
      <c r="N96" s="24" t="s">
        <v>153</v>
      </c>
      <c r="O96" s="35" t="s">
        <v>170</v>
      </c>
      <c r="P96" s="35" t="s">
        <v>170</v>
      </c>
      <c r="Q96" s="25" t="s">
        <v>169</v>
      </c>
      <c r="R96" s="23" t="s">
        <v>169</v>
      </c>
      <c r="S96" s="23" t="s">
        <v>169</v>
      </c>
      <c r="T96" s="23" t="s">
        <v>169</v>
      </c>
      <c r="U96" s="24" t="s">
        <v>153</v>
      </c>
      <c r="V96" s="54" t="s">
        <v>153</v>
      </c>
      <c r="W96" s="23" t="s">
        <v>167</v>
      </c>
      <c r="X96" s="23" t="s">
        <v>167</v>
      </c>
      <c r="Y96" s="23" t="s">
        <v>157</v>
      </c>
      <c r="Z96" s="23" t="s">
        <v>327</v>
      </c>
      <c r="AA96" s="23" t="s">
        <v>157</v>
      </c>
      <c r="AB96" s="24" t="s">
        <v>153</v>
      </c>
      <c r="AC96" s="23" t="s">
        <v>157</v>
      </c>
      <c r="AD96" s="23" t="s">
        <v>157</v>
      </c>
      <c r="AE96" s="23" t="s">
        <v>157</v>
      </c>
      <c r="AF96" s="34" t="s">
        <v>157</v>
      </c>
      <c r="AG96" s="34" t="s">
        <v>157</v>
      </c>
      <c r="AH96" s="34" t="s">
        <v>157</v>
      </c>
      <c r="AI96" s="24" t="s">
        <v>153</v>
      </c>
      <c r="AJ96" s="23" t="s">
        <v>169</v>
      </c>
      <c r="AK96" s="23" t="s">
        <v>169</v>
      </c>
      <c r="AL96" s="23" t="s">
        <v>169</v>
      </c>
      <c r="AM96" s="25" t="s">
        <v>157</v>
      </c>
      <c r="AN96" s="25" t="s">
        <v>157</v>
      </c>
      <c r="AO96" s="25" t="s">
        <v>157</v>
      </c>
      <c r="AP96" s="23">
        <f>VALUE(4)</f>
        <v>4</v>
      </c>
      <c r="AQ96" s="23">
        <f>VALUE(0)</f>
        <v>0</v>
      </c>
      <c r="AR96" s="23">
        <f>VALUE(0)</f>
        <v>0</v>
      </c>
      <c r="AS96" s="23">
        <f>VALUE(0)</f>
        <v>0</v>
      </c>
      <c r="AT96" s="23">
        <f>VALUE(0)</f>
        <v>0</v>
      </c>
      <c r="AU96" s="23">
        <f>VALUE(1)</f>
        <v>1</v>
      </c>
      <c r="AV96" s="23">
        <f>VALUE(1)</f>
        <v>1</v>
      </c>
      <c r="AW96" s="23">
        <f>VALUE(0)</f>
        <v>0</v>
      </c>
      <c r="AX96" s="23">
        <f>VALUE(0)</f>
        <v>0</v>
      </c>
      <c r="AY96" s="23">
        <f>VALUE(0)</f>
        <v>0</v>
      </c>
      <c r="AZ96" s="23">
        <f>VALUE(0)</f>
        <v>0</v>
      </c>
      <c r="BA96" s="23">
        <f>VALUE(0)</f>
        <v>0</v>
      </c>
      <c r="BB96" s="23">
        <f>VALUE(0)</f>
        <v>0</v>
      </c>
      <c r="BC96" s="23">
        <f>VALUE(0)</f>
        <v>0</v>
      </c>
      <c r="BD96" s="23">
        <f>VALUE(0)</f>
        <v>0</v>
      </c>
      <c r="BE96" s="23">
        <f>VALUE(2)</f>
        <v>2</v>
      </c>
      <c r="BF96" s="23">
        <f>VALUE(0)</f>
        <v>0</v>
      </c>
      <c r="BG96" s="23">
        <f>VALUE(0)</f>
        <v>0</v>
      </c>
      <c r="BH96" s="23">
        <f>VALUE(0)</f>
        <v>0</v>
      </c>
      <c r="BI96" s="23">
        <f>VALUE(0)</f>
        <v>0</v>
      </c>
      <c r="BJ96" s="23">
        <f>VALUE(0)</f>
        <v>0</v>
      </c>
      <c r="BK96" s="12">
        <f>$AX$96*24</f>
        <v>0</v>
      </c>
      <c r="BL96" s="12">
        <f>$AY$96*24</f>
        <v>0</v>
      </c>
      <c r="BM96" s="12">
        <f>$BJ$96*24</f>
        <v>0</v>
      </c>
      <c r="BN96" s="12">
        <f>VALUE($I$96)/100</f>
        <v>1</v>
      </c>
      <c r="BO96" s="12">
        <v>0</v>
      </c>
      <c r="BP96" s="12">
        <v>0</v>
      </c>
      <c r="BQ96" s="12">
        <v>0</v>
      </c>
      <c r="BR96" s="12">
        <v>0</v>
      </c>
      <c r="BS96" s="12">
        <v>0</v>
      </c>
      <c r="BT96" s="12">
        <v>0</v>
      </c>
      <c r="BU96" s="12">
        <v>0</v>
      </c>
      <c r="BV96" s="12">
        <v>0</v>
      </c>
      <c r="BW96" s="12">
        <v>0</v>
      </c>
      <c r="BX96" s="12">
        <v>0</v>
      </c>
      <c r="BY96" s="12">
        <v>0</v>
      </c>
      <c r="BZ96" s="12">
        <v>0</v>
      </c>
      <c r="CA96" s="12">
        <v>0</v>
      </c>
    </row>
    <row r="97" spans="1:79" ht="16.5" hidden="1" x14ac:dyDescent="0.2">
      <c r="A97" s="12" t="s">
        <v>102</v>
      </c>
      <c r="B97" s="12" t="s">
        <v>112</v>
      </c>
      <c r="C97" s="12" t="s">
        <v>112</v>
      </c>
      <c r="D97" s="22" t="s">
        <v>329</v>
      </c>
      <c r="E97" s="22" t="s">
        <v>159</v>
      </c>
      <c r="F97" s="22" t="s">
        <v>743</v>
      </c>
      <c r="G97" s="22" t="s">
        <v>744</v>
      </c>
      <c r="H97" s="22" t="s">
        <v>150</v>
      </c>
      <c r="I97" s="22" t="s">
        <v>151</v>
      </c>
      <c r="J97" s="22" t="s">
        <v>162</v>
      </c>
      <c r="K97" s="22" t="s">
        <v>73</v>
      </c>
      <c r="L97" s="54" t="s">
        <v>153</v>
      </c>
      <c r="M97" s="23" t="s">
        <v>327</v>
      </c>
      <c r="N97" s="24" t="s">
        <v>153</v>
      </c>
      <c r="O97" s="26" t="s">
        <v>1197</v>
      </c>
      <c r="P97" s="26" t="s">
        <v>1197</v>
      </c>
      <c r="Q97" s="26" t="s">
        <v>1197</v>
      </c>
      <c r="R97" s="26" t="s">
        <v>1197</v>
      </c>
      <c r="S97" s="26" t="s">
        <v>1197</v>
      </c>
      <c r="T97" s="26" t="s">
        <v>1197</v>
      </c>
      <c r="U97" s="24" t="s">
        <v>153</v>
      </c>
      <c r="V97" s="54" t="s">
        <v>153</v>
      </c>
      <c r="W97" s="28" t="s">
        <v>163</v>
      </c>
      <c r="X97" s="26" t="s">
        <v>1197</v>
      </c>
      <c r="Y97" s="26" t="s">
        <v>1197</v>
      </c>
      <c r="Z97" s="26" t="s">
        <v>1197</v>
      </c>
      <c r="AA97" s="26" t="s">
        <v>1197</v>
      </c>
      <c r="AB97" s="24" t="s">
        <v>153</v>
      </c>
      <c r="AC97" s="28" t="s">
        <v>163</v>
      </c>
      <c r="AD97" s="28" t="s">
        <v>163</v>
      </c>
      <c r="AE97" s="28" t="s">
        <v>163</v>
      </c>
      <c r="AF97" s="28" t="s">
        <v>163</v>
      </c>
      <c r="AG97" s="28" t="s">
        <v>163</v>
      </c>
      <c r="AH97" s="28" t="s">
        <v>163</v>
      </c>
      <c r="AI97" s="24" t="s">
        <v>153</v>
      </c>
      <c r="AJ97" s="26" t="s">
        <v>1197</v>
      </c>
      <c r="AK97" s="26" t="s">
        <v>1197</v>
      </c>
      <c r="AL97" s="26" t="s">
        <v>1197</v>
      </c>
      <c r="AM97" s="26" t="s">
        <v>1197</v>
      </c>
      <c r="AN97" s="26" t="s">
        <v>1197</v>
      </c>
      <c r="AO97" s="26" t="s">
        <v>1197</v>
      </c>
      <c r="AP97" s="23">
        <f>VALUE(3)</f>
        <v>3</v>
      </c>
      <c r="AQ97" s="23">
        <f>VALUE(0)</f>
        <v>0</v>
      </c>
      <c r="AR97" s="23">
        <f>VALUE(0)</f>
        <v>0</v>
      </c>
      <c r="AS97" s="23">
        <f>VALUE(0)</f>
        <v>0</v>
      </c>
      <c r="AT97" s="23">
        <f>VALUE(0)</f>
        <v>0</v>
      </c>
      <c r="AU97" s="23">
        <f>VALUE(7)</f>
        <v>7</v>
      </c>
      <c r="AV97" s="23">
        <f>VALUE(0)</f>
        <v>0</v>
      </c>
      <c r="AW97" s="23">
        <f>VALUE(0)</f>
        <v>0</v>
      </c>
      <c r="AX97" s="23" t="s">
        <v>176</v>
      </c>
      <c r="AY97" s="23" t="s">
        <v>330</v>
      </c>
      <c r="AZ97" s="23">
        <f>VALUE(0)</f>
        <v>0</v>
      </c>
      <c r="BA97" s="23">
        <f>VALUE(0)</f>
        <v>0</v>
      </c>
      <c r="BB97" s="23">
        <f>VALUE(0)</f>
        <v>0</v>
      </c>
      <c r="BC97" s="23">
        <f>VALUE(0)</f>
        <v>0</v>
      </c>
      <c r="BD97" s="23">
        <f>VALUE(0)</f>
        <v>0</v>
      </c>
      <c r="BE97" s="23">
        <f>VALUE(0)</f>
        <v>0</v>
      </c>
      <c r="BF97" s="23">
        <f>VALUE(0)</f>
        <v>0</v>
      </c>
      <c r="BG97" s="23">
        <f>VALUE(0)</f>
        <v>0</v>
      </c>
      <c r="BH97" s="23">
        <f>VALUE(0)</f>
        <v>0</v>
      </c>
      <c r="BI97" s="23">
        <f>VALUE(0)</f>
        <v>0</v>
      </c>
      <c r="BJ97" s="23">
        <f>VALUE(0)</f>
        <v>0</v>
      </c>
      <c r="BK97" s="12">
        <f>$AX$97*24</f>
        <v>0</v>
      </c>
      <c r="BL97" s="12">
        <f>$AY$97*24</f>
        <v>22.9</v>
      </c>
      <c r="BM97" s="12">
        <f>$BJ$97*24</f>
        <v>0</v>
      </c>
      <c r="BN97" s="12">
        <f>VALUE($I$97)/100</f>
        <v>1</v>
      </c>
      <c r="BO97" s="12">
        <v>0</v>
      </c>
      <c r="BP97" s="12">
        <v>0</v>
      </c>
      <c r="BQ97" s="12">
        <v>0</v>
      </c>
      <c r="BR97" s="12">
        <v>0</v>
      </c>
      <c r="BS97" s="12">
        <v>0</v>
      </c>
      <c r="BT97" s="12">
        <v>0</v>
      </c>
      <c r="BU97" s="12">
        <v>0</v>
      </c>
      <c r="BV97" s="12">
        <v>0</v>
      </c>
      <c r="BW97" s="12">
        <v>0</v>
      </c>
      <c r="BX97" s="12">
        <v>0</v>
      </c>
      <c r="BY97" s="12">
        <v>0</v>
      </c>
      <c r="BZ97" s="12">
        <v>0</v>
      </c>
      <c r="CA97" s="12">
        <v>0</v>
      </c>
    </row>
    <row r="98" spans="1:79" ht="16.5" hidden="1" x14ac:dyDescent="0.2">
      <c r="A98" s="12" t="s">
        <v>102</v>
      </c>
      <c r="B98" s="12" t="s">
        <v>112</v>
      </c>
      <c r="C98" s="12" t="s">
        <v>112</v>
      </c>
      <c r="D98" s="22" t="s">
        <v>159</v>
      </c>
      <c r="E98" s="22" t="s">
        <v>159</v>
      </c>
      <c r="F98" s="22" t="s">
        <v>745</v>
      </c>
      <c r="G98" s="22" t="s">
        <v>746</v>
      </c>
      <c r="H98" s="22" t="s">
        <v>150</v>
      </c>
      <c r="I98" s="22" t="s">
        <v>151</v>
      </c>
      <c r="J98" s="22" t="s">
        <v>162</v>
      </c>
      <c r="K98" s="22" t="s">
        <v>73</v>
      </c>
      <c r="L98" s="54" t="s">
        <v>153</v>
      </c>
      <c r="M98" s="23" t="s">
        <v>169</v>
      </c>
      <c r="N98" s="24" t="s">
        <v>153</v>
      </c>
      <c r="O98" s="23" t="s">
        <v>160</v>
      </c>
      <c r="P98" s="23" t="s">
        <v>160</v>
      </c>
      <c r="Q98" s="23" t="s">
        <v>160</v>
      </c>
      <c r="R98" s="23" t="s">
        <v>160</v>
      </c>
      <c r="S98" s="23" t="s">
        <v>160</v>
      </c>
      <c r="T98" s="23" t="s">
        <v>160</v>
      </c>
      <c r="U98" s="24" t="s">
        <v>153</v>
      </c>
      <c r="V98" s="54" t="s">
        <v>153</v>
      </c>
      <c r="W98" s="26" t="s">
        <v>1197</v>
      </c>
      <c r="X98" s="28" t="s">
        <v>163</v>
      </c>
      <c r="Y98" s="28" t="s">
        <v>163</v>
      </c>
      <c r="Z98" s="28" t="s">
        <v>163</v>
      </c>
      <c r="AA98" s="28" t="s">
        <v>163</v>
      </c>
      <c r="AB98" s="24" t="s">
        <v>153</v>
      </c>
      <c r="AC98" s="26" t="s">
        <v>1197</v>
      </c>
      <c r="AD98" s="26" t="s">
        <v>1197</v>
      </c>
      <c r="AE98" s="26" t="s">
        <v>1197</v>
      </c>
      <c r="AF98" s="23" t="s">
        <v>154</v>
      </c>
      <c r="AG98" s="23" t="s">
        <v>154</v>
      </c>
      <c r="AH98" s="23" t="s">
        <v>154</v>
      </c>
      <c r="AI98" s="24" t="s">
        <v>153</v>
      </c>
      <c r="AJ98" s="23" t="s">
        <v>324</v>
      </c>
      <c r="AK98" s="23" t="s">
        <v>324</v>
      </c>
      <c r="AL98" s="23" t="s">
        <v>324</v>
      </c>
      <c r="AM98" s="23" t="s">
        <v>169</v>
      </c>
      <c r="AN98" s="23" t="s">
        <v>160</v>
      </c>
      <c r="AO98" s="23" t="s">
        <v>160</v>
      </c>
      <c r="AP98" s="23">
        <f>VALUE(3)</f>
        <v>3</v>
      </c>
      <c r="AQ98" s="23">
        <f>VALUE(0)</f>
        <v>0</v>
      </c>
      <c r="AR98" s="23">
        <f>VALUE(0)</f>
        <v>0</v>
      </c>
      <c r="AS98" s="23">
        <f>VALUE(0)</f>
        <v>0</v>
      </c>
      <c r="AT98" s="23">
        <f>VALUE(0)</f>
        <v>0</v>
      </c>
      <c r="AU98" s="23">
        <f>VALUE(4)</f>
        <v>4</v>
      </c>
      <c r="AV98" s="23">
        <f>VALUE(2)</f>
        <v>2</v>
      </c>
      <c r="AW98" s="23">
        <f>VALUE(0)</f>
        <v>0</v>
      </c>
      <c r="AX98" s="23" t="s">
        <v>171</v>
      </c>
      <c r="AY98" s="23" t="s">
        <v>331</v>
      </c>
      <c r="AZ98" s="23">
        <f>VALUE(0)</f>
        <v>0</v>
      </c>
      <c r="BA98" s="23">
        <f>VALUE(0)</f>
        <v>0</v>
      </c>
      <c r="BB98" s="23">
        <f>VALUE(0)</f>
        <v>0</v>
      </c>
      <c r="BC98" s="23">
        <f>VALUE(0)</f>
        <v>0</v>
      </c>
      <c r="BD98" s="23">
        <f>VALUE(0)</f>
        <v>0</v>
      </c>
      <c r="BE98" s="23">
        <f>VALUE(0)</f>
        <v>0</v>
      </c>
      <c r="BF98" s="23">
        <f>VALUE(0)</f>
        <v>0</v>
      </c>
      <c r="BG98" s="23">
        <f>VALUE(0)</f>
        <v>0</v>
      </c>
      <c r="BH98" s="23">
        <f>VALUE(0)</f>
        <v>0</v>
      </c>
      <c r="BI98" s="23">
        <f>VALUE(0)</f>
        <v>0</v>
      </c>
      <c r="BJ98" s="23">
        <f>VALUE(0)</f>
        <v>0</v>
      </c>
      <c r="BK98" s="12">
        <f>$AX$98*24</f>
        <v>5.833333333333333</v>
      </c>
      <c r="BL98" s="12">
        <f>$AY$98*24</f>
        <v>16.416666666666668</v>
      </c>
      <c r="BM98" s="12">
        <f>$BJ$98*24</f>
        <v>0</v>
      </c>
      <c r="BN98" s="12">
        <f>VALUE($I$98)/100</f>
        <v>1</v>
      </c>
      <c r="BO98" s="12">
        <v>0</v>
      </c>
      <c r="BP98" s="12">
        <v>0</v>
      </c>
      <c r="BQ98" s="12">
        <v>0</v>
      </c>
      <c r="BR98" s="12">
        <v>0</v>
      </c>
      <c r="BS98" s="12">
        <v>0</v>
      </c>
      <c r="BT98" s="12">
        <v>0</v>
      </c>
      <c r="BU98" s="12">
        <v>0</v>
      </c>
      <c r="BV98" s="12">
        <v>0</v>
      </c>
      <c r="BW98" s="12">
        <v>0</v>
      </c>
      <c r="BX98" s="12">
        <v>0</v>
      </c>
      <c r="BY98" s="12">
        <v>0</v>
      </c>
      <c r="BZ98" s="12">
        <v>0</v>
      </c>
      <c r="CA98" s="12">
        <v>0</v>
      </c>
    </row>
    <row r="99" spans="1:79" hidden="1" x14ac:dyDescent="0.2">
      <c r="A99" s="12" t="s">
        <v>102</v>
      </c>
      <c r="B99" s="12" t="s">
        <v>112</v>
      </c>
      <c r="C99" s="12" t="s">
        <v>112</v>
      </c>
      <c r="D99" s="22" t="s">
        <v>1198</v>
      </c>
      <c r="E99" s="22" t="s">
        <v>332</v>
      </c>
      <c r="F99" s="22" t="s">
        <v>747</v>
      </c>
      <c r="G99" s="22" t="s">
        <v>748</v>
      </c>
      <c r="H99" s="22" t="s">
        <v>150</v>
      </c>
      <c r="I99" s="22" t="s">
        <v>151</v>
      </c>
      <c r="J99" s="22" t="s">
        <v>162</v>
      </c>
      <c r="K99" s="22" t="s">
        <v>73</v>
      </c>
      <c r="L99" s="54" t="s">
        <v>153</v>
      </c>
      <c r="M99" s="23" t="s">
        <v>167</v>
      </c>
      <c r="N99" s="24" t="s">
        <v>153</v>
      </c>
      <c r="O99" s="23" t="s">
        <v>154</v>
      </c>
      <c r="P99" s="23" t="s">
        <v>154</v>
      </c>
      <c r="Q99" s="23" t="s">
        <v>154</v>
      </c>
      <c r="R99" s="23" t="s">
        <v>157</v>
      </c>
      <c r="S99" s="23" t="s">
        <v>157</v>
      </c>
      <c r="T99" s="23" t="s">
        <v>157</v>
      </c>
      <c r="U99" s="24" t="s">
        <v>153</v>
      </c>
      <c r="V99" s="54" t="s">
        <v>153</v>
      </c>
      <c r="W99" s="25" t="s">
        <v>157</v>
      </c>
      <c r="X99" s="23" t="s">
        <v>157</v>
      </c>
      <c r="Y99" s="23" t="s">
        <v>165</v>
      </c>
      <c r="Z99" s="23" t="s">
        <v>165</v>
      </c>
      <c r="AA99" s="23" t="s">
        <v>165</v>
      </c>
      <c r="AB99" s="24" t="s">
        <v>153</v>
      </c>
      <c r="AC99" s="23" t="s">
        <v>327</v>
      </c>
      <c r="AD99" s="23" t="s">
        <v>327</v>
      </c>
      <c r="AE99" s="23" t="s">
        <v>327</v>
      </c>
      <c r="AF99" s="23" t="s">
        <v>153</v>
      </c>
      <c r="AG99" s="23" t="s">
        <v>153</v>
      </c>
      <c r="AH99" s="23" t="s">
        <v>153</v>
      </c>
      <c r="AI99" s="24" t="s">
        <v>153</v>
      </c>
      <c r="AJ99" s="23" t="s">
        <v>157</v>
      </c>
      <c r="AK99" s="23" t="s">
        <v>157</v>
      </c>
      <c r="AL99" s="23" t="s">
        <v>157</v>
      </c>
      <c r="AM99" s="25" t="s">
        <v>157</v>
      </c>
      <c r="AN99" s="25" t="s">
        <v>157</v>
      </c>
      <c r="AO99" s="23" t="s">
        <v>167</v>
      </c>
      <c r="AP99" s="23">
        <f>VALUE(4)</f>
        <v>4</v>
      </c>
      <c r="AQ99" s="23">
        <f>VALUE(0)</f>
        <v>0</v>
      </c>
      <c r="AR99" s="23">
        <f>VALUE(0)</f>
        <v>0</v>
      </c>
      <c r="AS99" s="23">
        <f>VALUE(3)</f>
        <v>3</v>
      </c>
      <c r="AT99" s="23">
        <f>VALUE(0)</f>
        <v>0</v>
      </c>
      <c r="AU99" s="23">
        <f>VALUE(0)</f>
        <v>0</v>
      </c>
      <c r="AV99" s="23">
        <f>VALUE(2)</f>
        <v>2</v>
      </c>
      <c r="AW99" s="23">
        <f>VALUE(0)</f>
        <v>0</v>
      </c>
      <c r="AX99" s="23" t="s">
        <v>158</v>
      </c>
      <c r="AY99" s="23" t="s">
        <v>171</v>
      </c>
      <c r="AZ99" s="23">
        <f>VALUE(0)</f>
        <v>0</v>
      </c>
      <c r="BA99" s="23">
        <f>VALUE(0)</f>
        <v>0</v>
      </c>
      <c r="BB99" s="23">
        <f>VALUE(0)</f>
        <v>0</v>
      </c>
      <c r="BC99" s="23">
        <f>VALUE(0)</f>
        <v>0</v>
      </c>
      <c r="BD99" s="23">
        <f>VALUE(0)</f>
        <v>0</v>
      </c>
      <c r="BE99" s="23">
        <f>VALUE(0)</f>
        <v>0</v>
      </c>
      <c r="BF99" s="23">
        <f>VALUE(0)</f>
        <v>0</v>
      </c>
      <c r="BG99" s="23">
        <f>VALUE(0)</f>
        <v>0</v>
      </c>
      <c r="BH99" s="23">
        <f>VALUE(0)</f>
        <v>0</v>
      </c>
      <c r="BI99" s="23">
        <f>VALUE(0)</f>
        <v>0</v>
      </c>
      <c r="BJ99" s="23">
        <f>VALUE(0)</f>
        <v>0</v>
      </c>
      <c r="BK99" s="12">
        <f>$AX$99*24</f>
        <v>11.666666666666666</v>
      </c>
      <c r="BL99" s="12">
        <f>$AY$99*24</f>
        <v>5.833333333333333</v>
      </c>
      <c r="BM99" s="12">
        <f>$BJ$99*24</f>
        <v>0</v>
      </c>
      <c r="BN99" s="12">
        <f>VALUE($I$99)/100</f>
        <v>1</v>
      </c>
      <c r="BO99" s="12">
        <v>0</v>
      </c>
      <c r="BP99" s="12">
        <v>0</v>
      </c>
      <c r="BQ99" s="12">
        <v>0</v>
      </c>
      <c r="BR99" s="12">
        <v>0</v>
      </c>
      <c r="BS99" s="12">
        <v>0</v>
      </c>
      <c r="BT99" s="12">
        <v>0</v>
      </c>
      <c r="BU99" s="12">
        <v>0</v>
      </c>
      <c r="BV99" s="12">
        <v>0</v>
      </c>
      <c r="BW99" s="12">
        <v>0</v>
      </c>
      <c r="BX99" s="12">
        <v>0</v>
      </c>
      <c r="BY99" s="12">
        <v>0</v>
      </c>
      <c r="BZ99" s="12">
        <v>0</v>
      </c>
      <c r="CA99" s="12">
        <v>0</v>
      </c>
    </row>
    <row r="100" spans="1:79" ht="15" hidden="1" x14ac:dyDescent="0.25">
      <c r="A100" s="12" t="s">
        <v>102</v>
      </c>
      <c r="B100" s="12" t="s">
        <v>112</v>
      </c>
      <c r="C100" s="12" t="s">
        <v>112</v>
      </c>
      <c r="D100" s="31" t="s">
        <v>590</v>
      </c>
      <c r="E100" s="31" t="s">
        <v>153</v>
      </c>
      <c r="F100" s="31" t="s">
        <v>175</v>
      </c>
      <c r="G100" s="31" t="s">
        <v>153</v>
      </c>
      <c r="H100" s="31" t="s">
        <v>153</v>
      </c>
      <c r="I100" s="31" t="s">
        <v>153</v>
      </c>
      <c r="J100" s="31" t="s">
        <v>153</v>
      </c>
      <c r="K100" s="31" t="s">
        <v>153</v>
      </c>
      <c r="L100" s="31">
        <f>VALUE(0)</f>
        <v>0</v>
      </c>
      <c r="M100" s="31">
        <f>VALUE(5)</f>
        <v>5</v>
      </c>
      <c r="N100" s="31">
        <f>VALUE(0)</f>
        <v>0</v>
      </c>
      <c r="O100" s="31">
        <f>VALUE(6)</f>
        <v>6</v>
      </c>
      <c r="P100" s="31">
        <f>VALUE(6)</f>
        <v>6</v>
      </c>
      <c r="Q100" s="31">
        <f>VALUE(7)</f>
        <v>7</v>
      </c>
      <c r="R100" s="31">
        <f>VALUE(7)</f>
        <v>7</v>
      </c>
      <c r="S100" s="31">
        <f>VALUE(7)</f>
        <v>7</v>
      </c>
      <c r="T100" s="31">
        <f>VALUE(7)</f>
        <v>7</v>
      </c>
      <c r="U100" s="31">
        <f>VALUE(0)</f>
        <v>0</v>
      </c>
      <c r="V100" s="31">
        <f>VALUE(0)</f>
        <v>0</v>
      </c>
      <c r="W100" s="31">
        <f>VALUE(6)</f>
        <v>6</v>
      </c>
      <c r="X100" s="31">
        <f>VALUE(6)</f>
        <v>6</v>
      </c>
      <c r="Y100" s="31">
        <f>VALUE(6)</f>
        <v>6</v>
      </c>
      <c r="Z100" s="31">
        <f>VALUE(5)</f>
        <v>5</v>
      </c>
      <c r="AA100" s="31">
        <f>VALUE(6)</f>
        <v>6</v>
      </c>
      <c r="AB100" s="31">
        <f>VALUE(0)</f>
        <v>0</v>
      </c>
      <c r="AC100" s="31">
        <f>VALUE(4)</f>
        <v>4</v>
      </c>
      <c r="AD100" s="31">
        <f>VALUE(4)</f>
        <v>4</v>
      </c>
      <c r="AE100" s="31">
        <f>VALUE(4)</f>
        <v>4</v>
      </c>
      <c r="AF100" s="31">
        <f>VALUE(4)</f>
        <v>4</v>
      </c>
      <c r="AG100" s="31">
        <f>VALUE(4)</f>
        <v>4</v>
      </c>
      <c r="AH100" s="31">
        <f>VALUE(4)</f>
        <v>4</v>
      </c>
      <c r="AI100" s="31">
        <f>VALUE(0)</f>
        <v>0</v>
      </c>
      <c r="AJ100" s="31">
        <f>VALUE(6)</f>
        <v>6</v>
      </c>
      <c r="AK100" s="31">
        <f>VALUE(6)</f>
        <v>6</v>
      </c>
      <c r="AL100" s="31">
        <f>VALUE(6)</f>
        <v>6</v>
      </c>
      <c r="AM100" s="31">
        <f>VALUE(6)</f>
        <v>6</v>
      </c>
      <c r="AN100" s="31">
        <f>VALUE(6)</f>
        <v>6</v>
      </c>
      <c r="AO100" s="31">
        <f>VALUE(6)</f>
        <v>6</v>
      </c>
      <c r="AP100" s="31">
        <v>0</v>
      </c>
      <c r="AQ100" s="31">
        <v>0</v>
      </c>
      <c r="AR100" s="31">
        <v>0</v>
      </c>
      <c r="AS100" s="31">
        <v>0</v>
      </c>
      <c r="AT100" s="31">
        <v>0</v>
      </c>
      <c r="AU100" s="31">
        <v>0</v>
      </c>
      <c r="AV100" s="31">
        <v>0</v>
      </c>
      <c r="AW100" s="31">
        <v>0</v>
      </c>
      <c r="AX100" s="31">
        <v>0</v>
      </c>
      <c r="AY100" s="31">
        <v>0</v>
      </c>
      <c r="AZ100" s="31">
        <v>0</v>
      </c>
      <c r="BA100" s="31">
        <v>0</v>
      </c>
      <c r="BB100" s="31">
        <v>0</v>
      </c>
      <c r="BC100" s="31">
        <v>0</v>
      </c>
      <c r="BD100" s="31">
        <v>0</v>
      </c>
      <c r="BE100" s="31">
        <v>0</v>
      </c>
      <c r="BF100" s="31">
        <v>0</v>
      </c>
      <c r="BG100" s="31">
        <v>0</v>
      </c>
      <c r="BH100" s="31">
        <v>0</v>
      </c>
      <c r="BI100" s="31">
        <v>0</v>
      </c>
      <c r="BJ100" s="31">
        <v>0</v>
      </c>
      <c r="BK100" s="12">
        <v>0</v>
      </c>
      <c r="BL100" s="12">
        <v>0</v>
      </c>
      <c r="BM100" s="12">
        <v>0</v>
      </c>
      <c r="BN100" s="12"/>
      <c r="BO100" s="12">
        <v>0</v>
      </c>
      <c r="BP100" s="12">
        <v>0</v>
      </c>
      <c r="BQ100" s="12">
        <v>0</v>
      </c>
      <c r="BR100" s="12">
        <v>0</v>
      </c>
      <c r="BS100" s="12">
        <v>0</v>
      </c>
      <c r="BT100" s="12">
        <v>0</v>
      </c>
      <c r="BU100" s="12">
        <v>0</v>
      </c>
      <c r="BV100" s="12">
        <v>0</v>
      </c>
      <c r="BW100" s="12">
        <v>0</v>
      </c>
      <c r="BX100" s="12">
        <v>0</v>
      </c>
      <c r="BY100" s="12">
        <v>0</v>
      </c>
      <c r="BZ100" s="12">
        <v>0</v>
      </c>
      <c r="CA100" s="12">
        <v>0</v>
      </c>
    </row>
    <row r="101" spans="1:79" hidden="1" x14ac:dyDescent="0.2">
      <c r="A101" s="12" t="s">
        <v>113</v>
      </c>
      <c r="B101" s="12" t="s">
        <v>114</v>
      </c>
      <c r="C101" s="12" t="s">
        <v>114</v>
      </c>
      <c r="D101" s="22" t="s">
        <v>334</v>
      </c>
      <c r="E101" s="22" t="s">
        <v>149</v>
      </c>
      <c r="F101" s="22" t="s">
        <v>749</v>
      </c>
      <c r="G101" s="22" t="s">
        <v>750</v>
      </c>
      <c r="H101" s="22" t="s">
        <v>150</v>
      </c>
      <c r="I101" s="22" t="s">
        <v>151</v>
      </c>
      <c r="J101" s="22" t="s">
        <v>335</v>
      </c>
      <c r="K101" s="22" t="s">
        <v>74</v>
      </c>
      <c r="L101" s="54" t="s">
        <v>153</v>
      </c>
      <c r="M101" s="24" t="s">
        <v>153</v>
      </c>
      <c r="N101" s="24" t="s">
        <v>153</v>
      </c>
      <c r="O101" s="23" t="s">
        <v>153</v>
      </c>
      <c r="P101" s="23" t="s">
        <v>153</v>
      </c>
      <c r="Q101" s="24" t="s">
        <v>156</v>
      </c>
      <c r="R101" s="23" t="s">
        <v>153</v>
      </c>
      <c r="S101" s="23" t="s">
        <v>153</v>
      </c>
      <c r="T101" s="24" t="s">
        <v>153</v>
      </c>
      <c r="U101" s="24" t="s">
        <v>153</v>
      </c>
      <c r="V101" s="54" t="s">
        <v>153</v>
      </c>
      <c r="W101" s="23" t="s">
        <v>153</v>
      </c>
      <c r="X101" s="23" t="s">
        <v>153</v>
      </c>
      <c r="Y101" s="23" t="s">
        <v>153</v>
      </c>
      <c r="Z101" s="23" t="s">
        <v>153</v>
      </c>
      <c r="AA101" s="24" t="s">
        <v>153</v>
      </c>
      <c r="AB101" s="24" t="s">
        <v>153</v>
      </c>
      <c r="AC101" s="23" t="s">
        <v>153</v>
      </c>
      <c r="AD101" s="23" t="s">
        <v>153</v>
      </c>
      <c r="AE101" s="24" t="s">
        <v>156</v>
      </c>
      <c r="AF101" s="23" t="s">
        <v>153</v>
      </c>
      <c r="AG101" s="23" t="s">
        <v>153</v>
      </c>
      <c r="AH101" s="24" t="s">
        <v>153</v>
      </c>
      <c r="AI101" s="24" t="s">
        <v>153</v>
      </c>
      <c r="AJ101" s="23" t="s">
        <v>153</v>
      </c>
      <c r="AK101" s="23" t="s">
        <v>153</v>
      </c>
      <c r="AL101" s="23" t="s">
        <v>153</v>
      </c>
      <c r="AM101" s="23" t="s">
        <v>153</v>
      </c>
      <c r="AN101" s="23" t="s">
        <v>153</v>
      </c>
      <c r="AO101" s="24" t="s">
        <v>153</v>
      </c>
      <c r="AP101" s="23">
        <f>VALUE(0)</f>
        <v>0</v>
      </c>
      <c r="AQ101" s="23">
        <f>VALUE(0)</f>
        <v>0</v>
      </c>
      <c r="AR101" s="23">
        <f>VALUE(0)</f>
        <v>0</v>
      </c>
      <c r="AS101" s="23">
        <f>VALUE(0)</f>
        <v>0</v>
      </c>
      <c r="AT101" s="23">
        <f>VALUE(0)</f>
        <v>0</v>
      </c>
      <c r="AU101" s="23">
        <f>VALUE(0)</f>
        <v>0</v>
      </c>
      <c r="AV101" s="23">
        <f>VALUE(6)</f>
        <v>6</v>
      </c>
      <c r="AW101" s="23">
        <f>VALUE(0)</f>
        <v>0</v>
      </c>
      <c r="AX101" s="23" t="s">
        <v>1199</v>
      </c>
      <c r="AY101" s="23">
        <f>VALUE(0)</f>
        <v>0</v>
      </c>
      <c r="AZ101" s="23">
        <f>VALUE(0)</f>
        <v>0</v>
      </c>
      <c r="BA101" s="23">
        <f>VALUE(0)</f>
        <v>0</v>
      </c>
      <c r="BB101" s="23">
        <f>VALUE(0)</f>
        <v>0</v>
      </c>
      <c r="BC101" s="23">
        <f>VALUE(0)</f>
        <v>0</v>
      </c>
      <c r="BD101" s="23">
        <f>VALUE(0)</f>
        <v>0</v>
      </c>
      <c r="BE101" s="23">
        <f>VALUE(0)</f>
        <v>0</v>
      </c>
      <c r="BF101" s="23">
        <f>VALUE(0)</f>
        <v>0</v>
      </c>
      <c r="BG101" s="23">
        <f>VALUE(0)</f>
        <v>0</v>
      </c>
      <c r="BH101" s="23">
        <f>VALUE(0)</f>
        <v>0</v>
      </c>
      <c r="BI101" s="23">
        <f>VALUE(0)</f>
        <v>0</v>
      </c>
      <c r="BJ101" s="23">
        <f>VALUE(0)</f>
        <v>0</v>
      </c>
      <c r="BK101" s="12">
        <f>$AX$101*24</f>
        <v>7</v>
      </c>
      <c r="BL101" s="12">
        <f>$AY$101*24</f>
        <v>0</v>
      </c>
      <c r="BM101" s="12">
        <f>$BJ$101*24</f>
        <v>0</v>
      </c>
      <c r="BN101" s="12">
        <f>VALUE($I$101)/100</f>
        <v>1</v>
      </c>
      <c r="BO101" s="12">
        <v>0</v>
      </c>
      <c r="BP101" s="12">
        <v>0</v>
      </c>
      <c r="BQ101" s="12">
        <v>0</v>
      </c>
      <c r="BR101" s="12">
        <v>0</v>
      </c>
      <c r="BS101" s="12">
        <v>0</v>
      </c>
      <c r="BT101" s="12">
        <v>0</v>
      </c>
      <c r="BU101" s="12">
        <v>0</v>
      </c>
      <c r="BV101" s="12">
        <v>0</v>
      </c>
      <c r="BW101" s="12">
        <v>0</v>
      </c>
      <c r="BX101" s="12">
        <v>0</v>
      </c>
      <c r="BY101" s="12">
        <v>0</v>
      </c>
      <c r="BZ101" s="12">
        <v>0</v>
      </c>
      <c r="CA101" s="12">
        <v>0</v>
      </c>
    </row>
    <row r="102" spans="1:79" ht="15" hidden="1" x14ac:dyDescent="0.25">
      <c r="A102" s="12" t="s">
        <v>113</v>
      </c>
      <c r="B102" s="12" t="s">
        <v>114</v>
      </c>
      <c r="C102" s="12" t="s">
        <v>114</v>
      </c>
      <c r="D102" s="31" t="s">
        <v>262</v>
      </c>
      <c r="E102" s="31" t="s">
        <v>153</v>
      </c>
      <c r="F102" s="31" t="s">
        <v>175</v>
      </c>
      <c r="G102" s="31" t="s">
        <v>153</v>
      </c>
      <c r="H102" s="31" t="s">
        <v>153</v>
      </c>
      <c r="I102" s="31" t="s">
        <v>153</v>
      </c>
      <c r="J102" s="31" t="s">
        <v>153</v>
      </c>
      <c r="K102" s="31" t="s">
        <v>153</v>
      </c>
      <c r="L102" s="31">
        <f>VALUE(0)</f>
        <v>0</v>
      </c>
      <c r="M102" s="31">
        <f>VALUE(0)</f>
        <v>0</v>
      </c>
      <c r="N102" s="31">
        <f>VALUE(0)</f>
        <v>0</v>
      </c>
      <c r="O102" s="31">
        <f>VALUE(1)</f>
        <v>1</v>
      </c>
      <c r="P102" s="31">
        <f>VALUE(1)</f>
        <v>1</v>
      </c>
      <c r="Q102" s="31">
        <f>VALUE(0)</f>
        <v>0</v>
      </c>
      <c r="R102" s="31">
        <f>VALUE(1)</f>
        <v>1</v>
      </c>
      <c r="S102" s="31">
        <f>VALUE(1)</f>
        <v>1</v>
      </c>
      <c r="T102" s="31">
        <f>VALUE(0)</f>
        <v>0</v>
      </c>
      <c r="U102" s="31">
        <f>VALUE(0)</f>
        <v>0</v>
      </c>
      <c r="V102" s="31">
        <f>VALUE(0)</f>
        <v>0</v>
      </c>
      <c r="W102" s="31">
        <f>VALUE(1)</f>
        <v>1</v>
      </c>
      <c r="X102" s="31">
        <f>VALUE(1)</f>
        <v>1</v>
      </c>
      <c r="Y102" s="31">
        <f>VALUE(1)</f>
        <v>1</v>
      </c>
      <c r="Z102" s="31">
        <f>VALUE(1)</f>
        <v>1</v>
      </c>
      <c r="AA102" s="31">
        <f>VALUE(0)</f>
        <v>0</v>
      </c>
      <c r="AB102" s="31">
        <f>VALUE(0)</f>
        <v>0</v>
      </c>
      <c r="AC102" s="31">
        <f>VALUE(1)</f>
        <v>1</v>
      </c>
      <c r="AD102" s="31">
        <f>VALUE(1)</f>
        <v>1</v>
      </c>
      <c r="AE102" s="31">
        <f>VALUE(0)</f>
        <v>0</v>
      </c>
      <c r="AF102" s="31">
        <f>VALUE(1)</f>
        <v>1</v>
      </c>
      <c r="AG102" s="31">
        <f>VALUE(1)</f>
        <v>1</v>
      </c>
      <c r="AH102" s="31">
        <f>VALUE(0)</f>
        <v>0</v>
      </c>
      <c r="AI102" s="31">
        <f>VALUE(0)</f>
        <v>0</v>
      </c>
      <c r="AJ102" s="31">
        <f>VALUE(1)</f>
        <v>1</v>
      </c>
      <c r="AK102" s="31">
        <f>VALUE(1)</f>
        <v>1</v>
      </c>
      <c r="AL102" s="31">
        <f>VALUE(1)</f>
        <v>1</v>
      </c>
      <c r="AM102" s="31">
        <f>VALUE(1)</f>
        <v>1</v>
      </c>
      <c r="AN102" s="31">
        <f>VALUE(1)</f>
        <v>1</v>
      </c>
      <c r="AO102" s="31">
        <f>VALUE(0)</f>
        <v>0</v>
      </c>
      <c r="AP102" s="31">
        <v>0</v>
      </c>
      <c r="AQ102" s="31">
        <v>0</v>
      </c>
      <c r="AR102" s="31">
        <v>0</v>
      </c>
      <c r="AS102" s="31">
        <v>0</v>
      </c>
      <c r="AT102" s="31">
        <v>0</v>
      </c>
      <c r="AU102" s="31">
        <v>0</v>
      </c>
      <c r="AV102" s="31">
        <v>0</v>
      </c>
      <c r="AW102" s="31">
        <v>0</v>
      </c>
      <c r="AX102" s="31">
        <v>0</v>
      </c>
      <c r="AY102" s="31">
        <v>0</v>
      </c>
      <c r="AZ102" s="31">
        <v>0</v>
      </c>
      <c r="BA102" s="31">
        <v>0</v>
      </c>
      <c r="BB102" s="31">
        <v>0</v>
      </c>
      <c r="BC102" s="31">
        <v>0</v>
      </c>
      <c r="BD102" s="31">
        <v>0</v>
      </c>
      <c r="BE102" s="31">
        <v>0</v>
      </c>
      <c r="BF102" s="31">
        <v>0</v>
      </c>
      <c r="BG102" s="31">
        <v>0</v>
      </c>
      <c r="BH102" s="31">
        <v>0</v>
      </c>
      <c r="BI102" s="31">
        <v>0</v>
      </c>
      <c r="BJ102" s="31">
        <v>0</v>
      </c>
      <c r="BK102" s="12">
        <v>0</v>
      </c>
      <c r="BL102" s="12">
        <v>0</v>
      </c>
      <c r="BM102" s="12">
        <v>0</v>
      </c>
      <c r="BN102" s="12"/>
      <c r="BO102" s="12">
        <v>0</v>
      </c>
      <c r="BP102" s="12">
        <v>0</v>
      </c>
      <c r="BQ102" s="12">
        <v>0</v>
      </c>
      <c r="BR102" s="12">
        <v>0</v>
      </c>
      <c r="BS102" s="12">
        <v>0</v>
      </c>
      <c r="BT102" s="12">
        <v>0</v>
      </c>
      <c r="BU102" s="12">
        <v>0</v>
      </c>
      <c r="BV102" s="12">
        <v>0</v>
      </c>
      <c r="BW102" s="12">
        <v>0</v>
      </c>
      <c r="BX102" s="12">
        <v>0</v>
      </c>
      <c r="BY102" s="12">
        <v>0</v>
      </c>
      <c r="BZ102" s="12">
        <v>0</v>
      </c>
      <c r="CA102" s="12">
        <v>0</v>
      </c>
    </row>
    <row r="103" spans="1:79" hidden="1" x14ac:dyDescent="0.2">
      <c r="A103" s="12" t="s">
        <v>113</v>
      </c>
      <c r="B103" s="12" t="s">
        <v>115</v>
      </c>
      <c r="C103" s="12" t="s">
        <v>115</v>
      </c>
      <c r="D103" s="22" t="s">
        <v>336</v>
      </c>
      <c r="E103" s="22" t="s">
        <v>149</v>
      </c>
      <c r="F103" s="22" t="s">
        <v>749</v>
      </c>
      <c r="G103" s="22" t="s">
        <v>750</v>
      </c>
      <c r="H103" s="22" t="s">
        <v>166</v>
      </c>
      <c r="I103" s="22" t="s">
        <v>151</v>
      </c>
      <c r="J103" s="22" t="s">
        <v>337</v>
      </c>
      <c r="K103" s="22" t="s">
        <v>75</v>
      </c>
      <c r="L103" s="54" t="s">
        <v>153</v>
      </c>
      <c r="M103" s="24" t="s">
        <v>153</v>
      </c>
      <c r="N103" s="24" t="s">
        <v>153</v>
      </c>
      <c r="O103" s="23" t="s">
        <v>153</v>
      </c>
      <c r="P103" s="23" t="s">
        <v>153</v>
      </c>
      <c r="Q103" s="23" t="s">
        <v>153</v>
      </c>
      <c r="R103" s="23" t="s">
        <v>153</v>
      </c>
      <c r="S103" s="23" t="s">
        <v>153</v>
      </c>
      <c r="T103" s="24" t="s">
        <v>153</v>
      </c>
      <c r="U103" s="24" t="s">
        <v>153</v>
      </c>
      <c r="V103" s="54" t="s">
        <v>153</v>
      </c>
      <c r="W103" s="23" t="s">
        <v>153</v>
      </c>
      <c r="X103" s="23" t="s">
        <v>153</v>
      </c>
      <c r="Y103" s="23" t="s">
        <v>153</v>
      </c>
      <c r="Z103" s="23" t="s">
        <v>153</v>
      </c>
      <c r="AA103" s="24" t="s">
        <v>153</v>
      </c>
      <c r="AB103" s="24" t="s">
        <v>153</v>
      </c>
      <c r="AC103" s="23" t="s">
        <v>153</v>
      </c>
      <c r="AD103" s="23" t="s">
        <v>153</v>
      </c>
      <c r="AE103" s="23" t="s">
        <v>153</v>
      </c>
      <c r="AF103" s="23" t="s">
        <v>153</v>
      </c>
      <c r="AG103" s="23" t="s">
        <v>153</v>
      </c>
      <c r="AH103" s="24" t="s">
        <v>153</v>
      </c>
      <c r="AI103" s="24" t="s">
        <v>153</v>
      </c>
      <c r="AJ103" s="23" t="s">
        <v>153</v>
      </c>
      <c r="AK103" s="23" t="s">
        <v>153</v>
      </c>
      <c r="AL103" s="23" t="s">
        <v>153</v>
      </c>
      <c r="AM103" s="23" t="s">
        <v>153</v>
      </c>
      <c r="AN103" s="23" t="s">
        <v>153</v>
      </c>
      <c r="AO103" s="24" t="s">
        <v>153</v>
      </c>
      <c r="AP103" s="23">
        <f>VALUE(0)</f>
        <v>0</v>
      </c>
      <c r="AQ103" s="23">
        <f>VALUE(0)</f>
        <v>0</v>
      </c>
      <c r="AR103" s="23">
        <f>VALUE(0)</f>
        <v>0</v>
      </c>
      <c r="AS103" s="23">
        <f>VALUE(0)</f>
        <v>0</v>
      </c>
      <c r="AT103" s="23">
        <f>VALUE(0)</f>
        <v>0</v>
      </c>
      <c r="AU103" s="23">
        <f>VALUE(0)</f>
        <v>0</v>
      </c>
      <c r="AV103" s="23">
        <f>VALUE(4)</f>
        <v>4</v>
      </c>
      <c r="AW103" s="23">
        <f>VALUE(0)</f>
        <v>0</v>
      </c>
      <c r="AX103" s="23">
        <f>VALUE(0)</f>
        <v>0</v>
      </c>
      <c r="AY103" s="23">
        <f>VALUE(0)</f>
        <v>0</v>
      </c>
      <c r="AZ103" s="23">
        <f>VALUE(0)</f>
        <v>0</v>
      </c>
      <c r="BA103" s="23">
        <f>VALUE(0)</f>
        <v>0</v>
      </c>
      <c r="BB103" s="23">
        <f>VALUE(0)</f>
        <v>0</v>
      </c>
      <c r="BC103" s="23">
        <f>VALUE(0)</f>
        <v>0</v>
      </c>
      <c r="BD103" s="23">
        <f>VALUE(0)</f>
        <v>0</v>
      </c>
      <c r="BE103" s="23">
        <f>VALUE(0)</f>
        <v>0</v>
      </c>
      <c r="BF103" s="23">
        <f>VALUE(0)</f>
        <v>0</v>
      </c>
      <c r="BG103" s="23">
        <f>VALUE(0)</f>
        <v>0</v>
      </c>
      <c r="BH103" s="23">
        <f>VALUE(0)</f>
        <v>0</v>
      </c>
      <c r="BI103" s="23">
        <f>VALUE(0)</f>
        <v>0</v>
      </c>
      <c r="BJ103" s="23">
        <f>VALUE(0)</f>
        <v>0</v>
      </c>
      <c r="BK103" s="12">
        <f>$AX$103*24</f>
        <v>0</v>
      </c>
      <c r="BL103" s="12">
        <f>$AY$103*24</f>
        <v>0</v>
      </c>
      <c r="BM103" s="12">
        <f>$BJ$103*24</f>
        <v>0</v>
      </c>
      <c r="BN103" s="12">
        <f>VALUE($I$103)/100</f>
        <v>1</v>
      </c>
      <c r="BO103" s="12">
        <v>0</v>
      </c>
      <c r="BP103" s="12">
        <v>0</v>
      </c>
      <c r="BQ103" s="12">
        <v>0</v>
      </c>
      <c r="BR103" s="12">
        <v>0</v>
      </c>
      <c r="BS103" s="12">
        <v>0</v>
      </c>
      <c r="BT103" s="12">
        <v>0</v>
      </c>
      <c r="BU103" s="12">
        <v>0</v>
      </c>
      <c r="BV103" s="12">
        <v>0</v>
      </c>
      <c r="BW103" s="12">
        <v>0</v>
      </c>
      <c r="BX103" s="12">
        <v>0</v>
      </c>
      <c r="BY103" s="12">
        <v>0</v>
      </c>
      <c r="BZ103" s="12">
        <v>0</v>
      </c>
      <c r="CA103" s="12">
        <v>0</v>
      </c>
    </row>
    <row r="104" spans="1:79" hidden="1" x14ac:dyDescent="0.2">
      <c r="A104" s="12" t="s">
        <v>113</v>
      </c>
      <c r="B104" s="12" t="s">
        <v>115</v>
      </c>
      <c r="C104" s="12" t="s">
        <v>115</v>
      </c>
      <c r="D104" s="22" t="s">
        <v>339</v>
      </c>
      <c r="E104" s="22" t="s">
        <v>173</v>
      </c>
      <c r="F104" s="22" t="s">
        <v>1200</v>
      </c>
      <c r="G104" s="22" t="s">
        <v>751</v>
      </c>
      <c r="H104" s="22" t="s">
        <v>166</v>
      </c>
      <c r="I104" s="22" t="s">
        <v>151</v>
      </c>
      <c r="J104" s="22" t="s">
        <v>340</v>
      </c>
      <c r="K104" s="22" t="s">
        <v>75</v>
      </c>
      <c r="L104" s="54" t="s">
        <v>153</v>
      </c>
      <c r="M104" s="24" t="s">
        <v>153</v>
      </c>
      <c r="N104" s="24" t="s">
        <v>153</v>
      </c>
      <c r="O104" s="23" t="s">
        <v>153</v>
      </c>
      <c r="P104" s="23" t="s">
        <v>153</v>
      </c>
      <c r="Q104" s="23" t="s">
        <v>153</v>
      </c>
      <c r="R104" s="23" t="s">
        <v>153</v>
      </c>
      <c r="S104" s="23" t="s">
        <v>153</v>
      </c>
      <c r="T104" s="24" t="s">
        <v>153</v>
      </c>
      <c r="U104" s="24" t="s">
        <v>153</v>
      </c>
      <c r="V104" s="54" t="s">
        <v>153</v>
      </c>
      <c r="W104" s="23" t="s">
        <v>153</v>
      </c>
      <c r="X104" s="23" t="s">
        <v>153</v>
      </c>
      <c r="Y104" s="23" t="s">
        <v>153</v>
      </c>
      <c r="Z104" s="23" t="s">
        <v>153</v>
      </c>
      <c r="AA104" s="24" t="s">
        <v>153</v>
      </c>
      <c r="AB104" s="24" t="s">
        <v>153</v>
      </c>
      <c r="AC104" s="23" t="s">
        <v>153</v>
      </c>
      <c r="AD104" s="23" t="s">
        <v>153</v>
      </c>
      <c r="AE104" s="23" t="s">
        <v>153</v>
      </c>
      <c r="AF104" s="23" t="s">
        <v>153</v>
      </c>
      <c r="AG104" s="23" t="s">
        <v>153</v>
      </c>
      <c r="AH104" s="24" t="s">
        <v>153</v>
      </c>
      <c r="AI104" s="24" t="s">
        <v>153</v>
      </c>
      <c r="AJ104" s="23" t="s">
        <v>153</v>
      </c>
      <c r="AK104" s="23" t="s">
        <v>153</v>
      </c>
      <c r="AL104" s="23" t="s">
        <v>153</v>
      </c>
      <c r="AM104" s="23" t="s">
        <v>153</v>
      </c>
      <c r="AN104" s="23" t="s">
        <v>153</v>
      </c>
      <c r="AO104" s="24" t="s">
        <v>153</v>
      </c>
      <c r="AP104" s="23">
        <f>VALUE(0)</f>
        <v>0</v>
      </c>
      <c r="AQ104" s="23">
        <f>VALUE(0)</f>
        <v>0</v>
      </c>
      <c r="AR104" s="23">
        <f>VALUE(0)</f>
        <v>0</v>
      </c>
      <c r="AS104" s="23">
        <f>VALUE(0)</f>
        <v>0</v>
      </c>
      <c r="AT104" s="23">
        <f>VALUE(0)</f>
        <v>0</v>
      </c>
      <c r="AU104" s="23">
        <f>VALUE(0)</f>
        <v>0</v>
      </c>
      <c r="AV104" s="23">
        <f>VALUE(6)</f>
        <v>6</v>
      </c>
      <c r="AW104" s="23">
        <f>VALUE(0)</f>
        <v>0</v>
      </c>
      <c r="AX104" s="23" t="s">
        <v>341</v>
      </c>
      <c r="AY104" s="23">
        <f>VALUE(0)</f>
        <v>0</v>
      </c>
      <c r="AZ104" s="23">
        <f>VALUE(0)</f>
        <v>0</v>
      </c>
      <c r="BA104" s="23">
        <f>VALUE(0)</f>
        <v>0</v>
      </c>
      <c r="BB104" s="23">
        <f>VALUE(0)</f>
        <v>0</v>
      </c>
      <c r="BC104" s="23">
        <f>VALUE(0)</f>
        <v>0</v>
      </c>
      <c r="BD104" s="23">
        <f>VALUE(0)</f>
        <v>0</v>
      </c>
      <c r="BE104" s="23">
        <f>VALUE(0)</f>
        <v>0</v>
      </c>
      <c r="BF104" s="23">
        <f>VALUE(0)</f>
        <v>0</v>
      </c>
      <c r="BG104" s="23">
        <f>VALUE(0)</f>
        <v>0</v>
      </c>
      <c r="BH104" s="23">
        <f>VALUE(0)</f>
        <v>0</v>
      </c>
      <c r="BI104" s="23">
        <f>VALUE(0)</f>
        <v>0</v>
      </c>
      <c r="BJ104" s="23">
        <f>VALUE(0)</f>
        <v>0</v>
      </c>
      <c r="BK104" s="12">
        <f>$AX$104*24</f>
        <v>0.78333333333333344</v>
      </c>
      <c r="BL104" s="12">
        <f>$AY$104*24</f>
        <v>0</v>
      </c>
      <c r="BM104" s="12">
        <f>$BJ$104*24</f>
        <v>0</v>
      </c>
      <c r="BN104" s="12">
        <f>VALUE($I$104)/100</f>
        <v>1</v>
      </c>
      <c r="BO104" s="12">
        <v>0</v>
      </c>
      <c r="BP104" s="12">
        <v>0</v>
      </c>
      <c r="BQ104" s="12">
        <v>0</v>
      </c>
      <c r="BR104" s="12">
        <v>0</v>
      </c>
      <c r="BS104" s="12">
        <v>0</v>
      </c>
      <c r="BT104" s="12">
        <v>0</v>
      </c>
      <c r="BU104" s="12">
        <v>0</v>
      </c>
      <c r="BV104" s="12">
        <v>0</v>
      </c>
      <c r="BW104" s="12">
        <v>0</v>
      </c>
      <c r="BX104" s="12">
        <v>0</v>
      </c>
      <c r="BY104" s="12">
        <v>0</v>
      </c>
      <c r="BZ104" s="12">
        <v>0</v>
      </c>
      <c r="CA104" s="12">
        <v>0</v>
      </c>
    </row>
    <row r="105" spans="1:79" ht="15" hidden="1" x14ac:dyDescent="0.25">
      <c r="A105" s="12" t="s">
        <v>113</v>
      </c>
      <c r="B105" s="12" t="s">
        <v>115</v>
      </c>
      <c r="C105" s="12" t="s">
        <v>115</v>
      </c>
      <c r="D105" s="31" t="s">
        <v>246</v>
      </c>
      <c r="E105" s="31" t="s">
        <v>153</v>
      </c>
      <c r="F105" s="31" t="s">
        <v>175</v>
      </c>
      <c r="G105" s="31" t="s">
        <v>153</v>
      </c>
      <c r="H105" s="31" t="s">
        <v>153</v>
      </c>
      <c r="I105" s="31" t="s">
        <v>153</v>
      </c>
      <c r="J105" s="31" t="s">
        <v>153</v>
      </c>
      <c r="K105" s="31" t="s">
        <v>153</v>
      </c>
      <c r="L105" s="31">
        <f>VALUE(0)</f>
        <v>0</v>
      </c>
      <c r="M105" s="31">
        <f>VALUE(0)</f>
        <v>0</v>
      </c>
      <c r="N105" s="31">
        <f>VALUE(0)</f>
        <v>0</v>
      </c>
      <c r="O105" s="31">
        <f>VALUE(2)</f>
        <v>2</v>
      </c>
      <c r="P105" s="31">
        <f>VALUE(2)</f>
        <v>2</v>
      </c>
      <c r="Q105" s="31">
        <f>VALUE(2)</f>
        <v>2</v>
      </c>
      <c r="R105" s="31">
        <f>VALUE(2)</f>
        <v>2</v>
      </c>
      <c r="S105" s="31">
        <f>VALUE(2)</f>
        <v>2</v>
      </c>
      <c r="T105" s="31">
        <f>VALUE(0)</f>
        <v>0</v>
      </c>
      <c r="U105" s="31">
        <f>VALUE(0)</f>
        <v>0</v>
      </c>
      <c r="V105" s="31">
        <f>VALUE(0)</f>
        <v>0</v>
      </c>
      <c r="W105" s="31">
        <f>VALUE(2)</f>
        <v>2</v>
      </c>
      <c r="X105" s="31">
        <f>VALUE(2)</f>
        <v>2</v>
      </c>
      <c r="Y105" s="31">
        <f>VALUE(2)</f>
        <v>2</v>
      </c>
      <c r="Z105" s="31">
        <f>VALUE(2)</f>
        <v>2</v>
      </c>
      <c r="AA105" s="31">
        <f>VALUE(0)</f>
        <v>0</v>
      </c>
      <c r="AB105" s="31">
        <f>VALUE(0)</f>
        <v>0</v>
      </c>
      <c r="AC105" s="31">
        <f>VALUE(2)</f>
        <v>2</v>
      </c>
      <c r="AD105" s="31">
        <f>VALUE(2)</f>
        <v>2</v>
      </c>
      <c r="AE105" s="31">
        <f>VALUE(2)</f>
        <v>2</v>
      </c>
      <c r="AF105" s="31">
        <f>VALUE(2)</f>
        <v>2</v>
      </c>
      <c r="AG105" s="31">
        <f>VALUE(2)</f>
        <v>2</v>
      </c>
      <c r="AH105" s="31">
        <f>VALUE(0)</f>
        <v>0</v>
      </c>
      <c r="AI105" s="31">
        <f>VALUE(0)</f>
        <v>0</v>
      </c>
      <c r="AJ105" s="31">
        <f>VALUE(2)</f>
        <v>2</v>
      </c>
      <c r="AK105" s="31">
        <f>VALUE(2)</f>
        <v>2</v>
      </c>
      <c r="AL105" s="31">
        <f>VALUE(2)</f>
        <v>2</v>
      </c>
      <c r="AM105" s="31">
        <f>VALUE(2)</f>
        <v>2</v>
      </c>
      <c r="AN105" s="31">
        <f>VALUE(2)</f>
        <v>2</v>
      </c>
      <c r="AO105" s="31">
        <f>VALUE(0)</f>
        <v>0</v>
      </c>
      <c r="AP105" s="31">
        <v>0</v>
      </c>
      <c r="AQ105" s="31">
        <v>0</v>
      </c>
      <c r="AR105" s="31">
        <v>0</v>
      </c>
      <c r="AS105" s="31">
        <v>0</v>
      </c>
      <c r="AT105" s="31">
        <v>0</v>
      </c>
      <c r="AU105" s="31">
        <v>0</v>
      </c>
      <c r="AV105" s="31">
        <v>0</v>
      </c>
      <c r="AW105" s="31">
        <v>0</v>
      </c>
      <c r="AX105" s="31">
        <v>0</v>
      </c>
      <c r="AY105" s="31">
        <v>0</v>
      </c>
      <c r="AZ105" s="31">
        <v>0</v>
      </c>
      <c r="BA105" s="31">
        <v>0</v>
      </c>
      <c r="BB105" s="31">
        <v>0</v>
      </c>
      <c r="BC105" s="31">
        <v>0</v>
      </c>
      <c r="BD105" s="31">
        <v>0</v>
      </c>
      <c r="BE105" s="31">
        <v>0</v>
      </c>
      <c r="BF105" s="31">
        <v>0</v>
      </c>
      <c r="BG105" s="31">
        <v>0</v>
      </c>
      <c r="BH105" s="31">
        <v>0</v>
      </c>
      <c r="BI105" s="31">
        <v>0</v>
      </c>
      <c r="BJ105" s="31">
        <v>0</v>
      </c>
      <c r="BK105" s="12">
        <v>0</v>
      </c>
      <c r="BL105" s="12">
        <v>0</v>
      </c>
      <c r="BM105" s="12">
        <v>0</v>
      </c>
      <c r="BN105" s="12"/>
      <c r="BO105" s="12">
        <v>0</v>
      </c>
      <c r="BP105" s="12">
        <v>0</v>
      </c>
      <c r="BQ105" s="12">
        <v>0</v>
      </c>
      <c r="BR105" s="12">
        <v>0</v>
      </c>
      <c r="BS105" s="12">
        <v>0</v>
      </c>
      <c r="BT105" s="12">
        <v>0</v>
      </c>
      <c r="BU105" s="12">
        <v>0</v>
      </c>
      <c r="BV105" s="12">
        <v>0</v>
      </c>
      <c r="BW105" s="12">
        <v>0</v>
      </c>
      <c r="BX105" s="12">
        <v>0</v>
      </c>
      <c r="BY105" s="12">
        <v>0</v>
      </c>
      <c r="BZ105" s="12">
        <v>0</v>
      </c>
      <c r="CA105" s="12">
        <v>0</v>
      </c>
    </row>
    <row r="106" spans="1:79" hidden="1" x14ac:dyDescent="0.2">
      <c r="A106" s="12" t="s">
        <v>113</v>
      </c>
      <c r="B106" s="12" t="s">
        <v>116</v>
      </c>
      <c r="C106" s="12" t="s">
        <v>116</v>
      </c>
      <c r="D106" s="22" t="s">
        <v>342</v>
      </c>
      <c r="E106" s="22" t="s">
        <v>173</v>
      </c>
      <c r="F106" s="22" t="s">
        <v>752</v>
      </c>
      <c r="G106" s="22" t="s">
        <v>753</v>
      </c>
      <c r="H106" s="22" t="s">
        <v>166</v>
      </c>
      <c r="I106" s="22" t="s">
        <v>343</v>
      </c>
      <c r="J106" s="22" t="s">
        <v>344</v>
      </c>
      <c r="K106" s="22" t="s">
        <v>76</v>
      </c>
      <c r="L106" s="54" t="s">
        <v>153</v>
      </c>
      <c r="M106" s="24" t="s">
        <v>153</v>
      </c>
      <c r="N106" s="24" t="s">
        <v>153</v>
      </c>
      <c r="O106" s="23" t="s">
        <v>153</v>
      </c>
      <c r="P106" s="23" t="s">
        <v>153</v>
      </c>
      <c r="Q106" s="23" t="s">
        <v>153</v>
      </c>
      <c r="R106" s="23" t="s">
        <v>153</v>
      </c>
      <c r="S106" s="23" t="s">
        <v>153</v>
      </c>
      <c r="T106" s="24" t="s">
        <v>153</v>
      </c>
      <c r="U106" s="24" t="s">
        <v>153</v>
      </c>
      <c r="V106" s="54" t="s">
        <v>156</v>
      </c>
      <c r="W106" s="23" t="s">
        <v>153</v>
      </c>
      <c r="X106" s="23" t="s">
        <v>153</v>
      </c>
      <c r="Y106" s="23" t="s">
        <v>153</v>
      </c>
      <c r="Z106" s="23" t="s">
        <v>153</v>
      </c>
      <c r="AA106" s="24" t="s">
        <v>153</v>
      </c>
      <c r="AB106" s="24" t="s">
        <v>153</v>
      </c>
      <c r="AC106" s="23" t="s">
        <v>153</v>
      </c>
      <c r="AD106" s="23" t="s">
        <v>153</v>
      </c>
      <c r="AE106" s="23" t="s">
        <v>153</v>
      </c>
      <c r="AF106" s="23" t="s">
        <v>153</v>
      </c>
      <c r="AG106" s="23" t="s">
        <v>153</v>
      </c>
      <c r="AH106" s="24" t="s">
        <v>153</v>
      </c>
      <c r="AI106" s="24" t="s">
        <v>153</v>
      </c>
      <c r="AJ106" s="24" t="s">
        <v>156</v>
      </c>
      <c r="AK106" s="23" t="s">
        <v>153</v>
      </c>
      <c r="AL106" s="23" t="s">
        <v>153</v>
      </c>
      <c r="AM106" s="23" t="s">
        <v>153</v>
      </c>
      <c r="AN106" s="23" t="s">
        <v>153</v>
      </c>
      <c r="AO106" s="24" t="s">
        <v>153</v>
      </c>
      <c r="AP106" s="23">
        <f>VALUE(0)</f>
        <v>0</v>
      </c>
      <c r="AQ106" s="23">
        <f>VALUE(0)</f>
        <v>0</v>
      </c>
      <c r="AR106" s="23">
        <f>VALUE(0)</f>
        <v>0</v>
      </c>
      <c r="AS106" s="23">
        <f>VALUE(0)</f>
        <v>0</v>
      </c>
      <c r="AT106" s="23">
        <f>VALUE(0)</f>
        <v>0</v>
      </c>
      <c r="AU106" s="23">
        <f>VALUE(0)</f>
        <v>0</v>
      </c>
      <c r="AV106" s="23">
        <f>VALUE(13)</f>
        <v>13</v>
      </c>
      <c r="AW106" s="23">
        <f>VALUE(0)</f>
        <v>0</v>
      </c>
      <c r="AX106" s="23" t="s">
        <v>1201</v>
      </c>
      <c r="AY106" s="23">
        <f>VALUE(0)</f>
        <v>0</v>
      </c>
      <c r="AZ106" s="23">
        <f>VALUE(0)</f>
        <v>0</v>
      </c>
      <c r="BA106" s="23">
        <f>VALUE(0)</f>
        <v>0</v>
      </c>
      <c r="BB106" s="23">
        <f>VALUE(0)</f>
        <v>0</v>
      </c>
      <c r="BC106" s="23">
        <f>VALUE(0)</f>
        <v>0</v>
      </c>
      <c r="BD106" s="23">
        <f>VALUE(0)</f>
        <v>0</v>
      </c>
      <c r="BE106" s="23">
        <f>VALUE(0)</f>
        <v>0</v>
      </c>
      <c r="BF106" s="23">
        <f>VALUE(0)</f>
        <v>0</v>
      </c>
      <c r="BG106" s="23">
        <f>VALUE(0)</f>
        <v>0</v>
      </c>
      <c r="BH106" s="23">
        <f>VALUE(0)</f>
        <v>0</v>
      </c>
      <c r="BI106" s="23">
        <f>VALUE(0)</f>
        <v>0</v>
      </c>
      <c r="BJ106" s="23">
        <f>VALUE(0)</f>
        <v>0</v>
      </c>
      <c r="BK106" s="12">
        <f>$AX$106*24</f>
        <v>77.566666666666663</v>
      </c>
      <c r="BL106" s="12">
        <f>$AY$106*24</f>
        <v>0</v>
      </c>
      <c r="BM106" s="12">
        <f>$BJ$106*24</f>
        <v>0</v>
      </c>
      <c r="BN106" s="12">
        <f>VALUE($I$106)/100</f>
        <v>0.7</v>
      </c>
      <c r="BO106" s="12">
        <v>0</v>
      </c>
      <c r="BP106" s="12">
        <v>0</v>
      </c>
      <c r="BQ106" s="12">
        <v>0</v>
      </c>
      <c r="BR106" s="12">
        <v>0</v>
      </c>
      <c r="BS106" s="12">
        <v>0</v>
      </c>
      <c r="BT106" s="12">
        <v>0</v>
      </c>
      <c r="BU106" s="12">
        <v>0</v>
      </c>
      <c r="BV106" s="12">
        <v>0</v>
      </c>
      <c r="BW106" s="12">
        <v>0</v>
      </c>
      <c r="BX106" s="12">
        <v>0</v>
      </c>
      <c r="BY106" s="12">
        <v>0</v>
      </c>
      <c r="BZ106" s="12">
        <v>0</v>
      </c>
      <c r="CA106" s="12">
        <v>0</v>
      </c>
    </row>
    <row r="107" spans="1:79" hidden="1" x14ac:dyDescent="0.2">
      <c r="A107" s="12" t="s">
        <v>113</v>
      </c>
      <c r="B107" s="12" t="s">
        <v>116</v>
      </c>
      <c r="C107" s="12" t="s">
        <v>116</v>
      </c>
      <c r="D107" s="22" t="s">
        <v>1202</v>
      </c>
      <c r="E107" s="22" t="s">
        <v>173</v>
      </c>
      <c r="F107" s="22" t="s">
        <v>754</v>
      </c>
      <c r="G107" s="22" t="s">
        <v>755</v>
      </c>
      <c r="H107" s="22" t="s">
        <v>190</v>
      </c>
      <c r="I107" s="22" t="s">
        <v>151</v>
      </c>
      <c r="J107" s="22" t="s">
        <v>1203</v>
      </c>
      <c r="K107" s="22" t="s">
        <v>76</v>
      </c>
      <c r="L107" s="54" t="s">
        <v>153</v>
      </c>
      <c r="M107" s="23" t="s">
        <v>153</v>
      </c>
      <c r="N107" s="24" t="s">
        <v>153</v>
      </c>
      <c r="O107" s="23" t="s">
        <v>153</v>
      </c>
      <c r="P107" s="28" t="s">
        <v>163</v>
      </c>
      <c r="Q107" s="28" t="s">
        <v>163</v>
      </c>
      <c r="R107" s="23" t="s">
        <v>153</v>
      </c>
      <c r="S107" s="23" t="s">
        <v>153</v>
      </c>
      <c r="T107" s="23" t="s">
        <v>153</v>
      </c>
      <c r="U107" s="24" t="s">
        <v>153</v>
      </c>
      <c r="V107" s="54" t="s">
        <v>153</v>
      </c>
      <c r="W107" s="28" t="s">
        <v>163</v>
      </c>
      <c r="X107" s="28" t="s">
        <v>163</v>
      </c>
      <c r="Y107" s="23" t="s">
        <v>153</v>
      </c>
      <c r="Z107" s="23" t="s">
        <v>153</v>
      </c>
      <c r="AA107" s="23" t="s">
        <v>153</v>
      </c>
      <c r="AB107" s="24" t="s">
        <v>153</v>
      </c>
      <c r="AC107" s="23" t="s">
        <v>153</v>
      </c>
      <c r="AD107" s="28" t="s">
        <v>163</v>
      </c>
      <c r="AE107" s="28" t="s">
        <v>163</v>
      </c>
      <c r="AF107" s="23" t="s">
        <v>153</v>
      </c>
      <c r="AG107" s="23" t="s">
        <v>153</v>
      </c>
      <c r="AH107" s="23" t="s">
        <v>153</v>
      </c>
      <c r="AI107" s="24" t="s">
        <v>153</v>
      </c>
      <c r="AJ107" s="23" t="s">
        <v>153</v>
      </c>
      <c r="AK107" s="28" t="s">
        <v>163</v>
      </c>
      <c r="AL107" s="28" t="s">
        <v>163</v>
      </c>
      <c r="AM107" s="23" t="s">
        <v>153</v>
      </c>
      <c r="AN107" s="35" t="s">
        <v>170</v>
      </c>
      <c r="AO107" s="23" t="s">
        <v>153</v>
      </c>
      <c r="AP107" s="23">
        <f>VALUE(0)</f>
        <v>0</v>
      </c>
      <c r="AQ107" s="23">
        <f>VALUE(0)</f>
        <v>0</v>
      </c>
      <c r="AR107" s="23">
        <f>VALUE(0)</f>
        <v>0</v>
      </c>
      <c r="AS107" s="23">
        <f>VALUE(0)</f>
        <v>0</v>
      </c>
      <c r="AT107" s="23">
        <f>VALUE(0)</f>
        <v>0</v>
      </c>
      <c r="AU107" s="23">
        <f>VALUE(8)</f>
        <v>8</v>
      </c>
      <c r="AV107" s="23">
        <f>VALUE(0)</f>
        <v>0</v>
      </c>
      <c r="AW107" s="23">
        <f>VALUE(0)</f>
        <v>0</v>
      </c>
      <c r="AX107" s="23" t="s">
        <v>345</v>
      </c>
      <c r="AY107" s="23">
        <f>VALUE(0)</f>
        <v>0</v>
      </c>
      <c r="AZ107" s="23">
        <f>VALUE(0)</f>
        <v>0</v>
      </c>
      <c r="BA107" s="23">
        <f>VALUE(0)</f>
        <v>0</v>
      </c>
      <c r="BB107" s="23">
        <f>VALUE(0)</f>
        <v>0</v>
      </c>
      <c r="BC107" s="23">
        <f>VALUE(0)</f>
        <v>0</v>
      </c>
      <c r="BD107" s="23">
        <f>VALUE(0)</f>
        <v>0</v>
      </c>
      <c r="BE107" s="23">
        <f>VALUE(1)</f>
        <v>1</v>
      </c>
      <c r="BF107" s="23">
        <f>VALUE(0)</f>
        <v>0</v>
      </c>
      <c r="BG107" s="23">
        <f>VALUE(0)</f>
        <v>0</v>
      </c>
      <c r="BH107" s="23">
        <f>VALUE(0)</f>
        <v>0</v>
      </c>
      <c r="BI107" s="23">
        <f>VALUE(0)</f>
        <v>0</v>
      </c>
      <c r="BJ107" s="23">
        <f>VALUE(0)</f>
        <v>0</v>
      </c>
      <c r="BK107" s="12">
        <f>$AX$107*24</f>
        <v>0.25</v>
      </c>
      <c r="BL107" s="12">
        <f>$AY$107*24</f>
        <v>0</v>
      </c>
      <c r="BM107" s="12">
        <f>$BJ$107*24</f>
        <v>0</v>
      </c>
      <c r="BN107" s="12">
        <f>VALUE($I$107)/100</f>
        <v>1</v>
      </c>
      <c r="BO107" s="12">
        <v>0</v>
      </c>
      <c r="BP107" s="12">
        <v>0</v>
      </c>
      <c r="BQ107" s="12">
        <v>0</v>
      </c>
      <c r="BR107" s="12">
        <v>0</v>
      </c>
      <c r="BS107" s="12">
        <v>0</v>
      </c>
      <c r="BT107" s="12">
        <v>0</v>
      </c>
      <c r="BU107" s="12">
        <v>0</v>
      </c>
      <c r="BV107" s="12">
        <v>0</v>
      </c>
      <c r="BW107" s="12">
        <v>0</v>
      </c>
      <c r="BX107" s="12">
        <v>0</v>
      </c>
      <c r="BY107" s="12">
        <v>0</v>
      </c>
      <c r="BZ107" s="12">
        <v>0</v>
      </c>
      <c r="CA107" s="12">
        <v>0</v>
      </c>
    </row>
    <row r="108" spans="1:79" ht="15" hidden="1" x14ac:dyDescent="0.25">
      <c r="A108" s="12" t="s">
        <v>113</v>
      </c>
      <c r="B108" s="12" t="s">
        <v>116</v>
      </c>
      <c r="C108" s="12" t="s">
        <v>116</v>
      </c>
      <c r="D108" s="31" t="s">
        <v>246</v>
      </c>
      <c r="E108" s="31" t="s">
        <v>153</v>
      </c>
      <c r="F108" s="31" t="s">
        <v>175</v>
      </c>
      <c r="G108" s="31" t="s">
        <v>153</v>
      </c>
      <c r="H108" s="31" t="s">
        <v>153</v>
      </c>
      <c r="I108" s="31" t="s">
        <v>153</v>
      </c>
      <c r="J108" s="31" t="s">
        <v>153</v>
      </c>
      <c r="K108" s="31" t="s">
        <v>153</v>
      </c>
      <c r="L108" s="31">
        <f>VALUE(0)</f>
        <v>0</v>
      </c>
      <c r="M108" s="31">
        <f>VALUE(1)</f>
        <v>1</v>
      </c>
      <c r="N108" s="31">
        <f>VALUE(0)</f>
        <v>0</v>
      </c>
      <c r="O108" s="31">
        <f>VALUE(2)</f>
        <v>2</v>
      </c>
      <c r="P108" s="31">
        <f>VALUE(1)</f>
        <v>1</v>
      </c>
      <c r="Q108" s="31">
        <f>VALUE(1)</f>
        <v>1</v>
      </c>
      <c r="R108" s="31">
        <f>VALUE(2)</f>
        <v>2</v>
      </c>
      <c r="S108" s="31">
        <f>VALUE(2)</f>
        <v>2</v>
      </c>
      <c r="T108" s="31">
        <f>VALUE(1)</f>
        <v>1</v>
      </c>
      <c r="U108" s="31">
        <f>VALUE(0)</f>
        <v>0</v>
      </c>
      <c r="V108" s="31">
        <f>VALUE(0)</f>
        <v>0</v>
      </c>
      <c r="W108" s="31">
        <f>VALUE(1)</f>
        <v>1</v>
      </c>
      <c r="X108" s="31">
        <f>VALUE(1)</f>
        <v>1</v>
      </c>
      <c r="Y108" s="31">
        <f>VALUE(2)</f>
        <v>2</v>
      </c>
      <c r="Z108" s="31">
        <f>VALUE(2)</f>
        <v>2</v>
      </c>
      <c r="AA108" s="31">
        <f>VALUE(1)</f>
        <v>1</v>
      </c>
      <c r="AB108" s="31">
        <f>VALUE(0)</f>
        <v>0</v>
      </c>
      <c r="AC108" s="31">
        <f>VALUE(2)</f>
        <v>2</v>
      </c>
      <c r="AD108" s="31">
        <f>VALUE(1)</f>
        <v>1</v>
      </c>
      <c r="AE108" s="31">
        <f>VALUE(1)</f>
        <v>1</v>
      </c>
      <c r="AF108" s="31">
        <f>VALUE(2)</f>
        <v>2</v>
      </c>
      <c r="AG108" s="31">
        <f>VALUE(2)</f>
        <v>2</v>
      </c>
      <c r="AH108" s="31">
        <f>VALUE(1)</f>
        <v>1</v>
      </c>
      <c r="AI108" s="31">
        <f>VALUE(0)</f>
        <v>0</v>
      </c>
      <c r="AJ108" s="31">
        <f>VALUE(1)</f>
        <v>1</v>
      </c>
      <c r="AK108" s="31">
        <f>VALUE(1)</f>
        <v>1</v>
      </c>
      <c r="AL108" s="31">
        <f>VALUE(1)</f>
        <v>1</v>
      </c>
      <c r="AM108" s="31">
        <f>VALUE(2)</f>
        <v>2</v>
      </c>
      <c r="AN108" s="31">
        <f>VALUE(1)</f>
        <v>1</v>
      </c>
      <c r="AO108" s="31">
        <f>VALUE(1)</f>
        <v>1</v>
      </c>
      <c r="AP108" s="31">
        <v>0</v>
      </c>
      <c r="AQ108" s="31">
        <v>0</v>
      </c>
      <c r="AR108" s="31">
        <v>0</v>
      </c>
      <c r="AS108" s="31">
        <v>0</v>
      </c>
      <c r="AT108" s="31">
        <v>0</v>
      </c>
      <c r="AU108" s="31">
        <v>0</v>
      </c>
      <c r="AV108" s="31">
        <v>0</v>
      </c>
      <c r="AW108" s="31">
        <v>0</v>
      </c>
      <c r="AX108" s="31">
        <v>0</v>
      </c>
      <c r="AY108" s="31">
        <v>0</v>
      </c>
      <c r="AZ108" s="31">
        <v>0</v>
      </c>
      <c r="BA108" s="31">
        <v>0</v>
      </c>
      <c r="BB108" s="31">
        <v>0</v>
      </c>
      <c r="BC108" s="31">
        <v>0</v>
      </c>
      <c r="BD108" s="31">
        <v>0</v>
      </c>
      <c r="BE108" s="31">
        <v>0</v>
      </c>
      <c r="BF108" s="31">
        <v>0</v>
      </c>
      <c r="BG108" s="31">
        <v>0</v>
      </c>
      <c r="BH108" s="31">
        <v>0</v>
      </c>
      <c r="BI108" s="31">
        <v>0</v>
      </c>
      <c r="BJ108" s="31">
        <v>0</v>
      </c>
      <c r="BK108" s="12">
        <v>0</v>
      </c>
      <c r="BL108" s="12">
        <v>0</v>
      </c>
      <c r="BM108" s="12">
        <v>0</v>
      </c>
      <c r="BN108" s="12"/>
      <c r="BO108" s="12">
        <v>0</v>
      </c>
      <c r="BP108" s="12">
        <v>0</v>
      </c>
      <c r="BQ108" s="12">
        <v>0</v>
      </c>
      <c r="BR108" s="12">
        <v>0</v>
      </c>
      <c r="BS108" s="12">
        <v>0</v>
      </c>
      <c r="BT108" s="12">
        <v>0</v>
      </c>
      <c r="BU108" s="12">
        <v>0</v>
      </c>
      <c r="BV108" s="12">
        <v>0</v>
      </c>
      <c r="BW108" s="12">
        <v>0</v>
      </c>
      <c r="BX108" s="12">
        <v>0</v>
      </c>
      <c r="BY108" s="12">
        <v>0</v>
      </c>
      <c r="BZ108" s="12">
        <v>0</v>
      </c>
      <c r="CA108" s="12">
        <v>0</v>
      </c>
    </row>
    <row r="109" spans="1:79" hidden="1" x14ac:dyDescent="0.2">
      <c r="A109" s="12" t="s">
        <v>113</v>
      </c>
      <c r="B109" s="12" t="s">
        <v>117</v>
      </c>
      <c r="C109" s="12" t="s">
        <v>117</v>
      </c>
      <c r="D109" s="22" t="s">
        <v>346</v>
      </c>
      <c r="E109" s="22" t="s">
        <v>149</v>
      </c>
      <c r="F109" s="22" t="s">
        <v>756</v>
      </c>
      <c r="G109" s="22" t="s">
        <v>757</v>
      </c>
      <c r="H109" s="22" t="s">
        <v>166</v>
      </c>
      <c r="I109" s="22" t="s">
        <v>151</v>
      </c>
      <c r="J109" s="22" t="s">
        <v>347</v>
      </c>
      <c r="K109" s="22" t="s">
        <v>77</v>
      </c>
      <c r="L109" s="54" t="s">
        <v>153</v>
      </c>
      <c r="M109" s="24" t="s">
        <v>153</v>
      </c>
      <c r="N109" s="24" t="s">
        <v>153</v>
      </c>
      <c r="O109" s="23" t="s">
        <v>153</v>
      </c>
      <c r="P109" s="23" t="s">
        <v>153</v>
      </c>
      <c r="Q109" s="23" t="s">
        <v>153</v>
      </c>
      <c r="R109" s="23" t="s">
        <v>153</v>
      </c>
      <c r="S109" s="23" t="s">
        <v>153</v>
      </c>
      <c r="T109" s="24" t="s">
        <v>153</v>
      </c>
      <c r="U109" s="24" t="s">
        <v>153</v>
      </c>
      <c r="V109" s="54" t="s">
        <v>153</v>
      </c>
      <c r="W109" s="23" t="s">
        <v>153</v>
      </c>
      <c r="X109" s="24" t="s">
        <v>156</v>
      </c>
      <c r="Y109" s="23" t="s">
        <v>153</v>
      </c>
      <c r="Z109" s="23" t="s">
        <v>153</v>
      </c>
      <c r="AA109" s="24" t="s">
        <v>153</v>
      </c>
      <c r="AB109" s="24" t="s">
        <v>153</v>
      </c>
      <c r="AC109" s="23" t="s">
        <v>153</v>
      </c>
      <c r="AD109" s="23" t="s">
        <v>153</v>
      </c>
      <c r="AE109" s="23" t="s">
        <v>153</v>
      </c>
      <c r="AF109" s="23" t="s">
        <v>153</v>
      </c>
      <c r="AG109" s="23" t="s">
        <v>153</v>
      </c>
      <c r="AH109" s="24" t="s">
        <v>153</v>
      </c>
      <c r="AI109" s="24" t="s">
        <v>153</v>
      </c>
      <c r="AJ109" s="23" t="s">
        <v>153</v>
      </c>
      <c r="AK109" s="23" t="s">
        <v>153</v>
      </c>
      <c r="AL109" s="24" t="s">
        <v>156</v>
      </c>
      <c r="AM109" s="23" t="s">
        <v>153</v>
      </c>
      <c r="AN109" s="23" t="s">
        <v>153</v>
      </c>
      <c r="AO109" s="24" t="s">
        <v>153</v>
      </c>
      <c r="AP109" s="23">
        <f>VALUE(0)</f>
        <v>0</v>
      </c>
      <c r="AQ109" s="23">
        <f>VALUE(0)</f>
        <v>0</v>
      </c>
      <c r="AR109" s="23">
        <f>VALUE(0)</f>
        <v>0</v>
      </c>
      <c r="AS109" s="23">
        <f>VALUE(0)</f>
        <v>0</v>
      </c>
      <c r="AT109" s="23">
        <f>VALUE(0)</f>
        <v>0</v>
      </c>
      <c r="AU109" s="23">
        <f>VALUE(0)</f>
        <v>0</v>
      </c>
      <c r="AV109" s="23">
        <f>VALUE(8)</f>
        <v>8</v>
      </c>
      <c r="AW109" s="23">
        <f>VALUE(0)</f>
        <v>0</v>
      </c>
      <c r="AX109" s="23" t="s">
        <v>1204</v>
      </c>
      <c r="AY109" s="23">
        <f>VALUE(0)</f>
        <v>0</v>
      </c>
      <c r="AZ109" s="23">
        <f>VALUE(0)</f>
        <v>0</v>
      </c>
      <c r="BA109" s="23">
        <f>VALUE(0)</f>
        <v>0</v>
      </c>
      <c r="BB109" s="23">
        <f>VALUE(0)</f>
        <v>0</v>
      </c>
      <c r="BC109" s="23">
        <f>VALUE(0)</f>
        <v>0</v>
      </c>
      <c r="BD109" s="23">
        <f>VALUE(0)</f>
        <v>0</v>
      </c>
      <c r="BE109" s="23">
        <f>VALUE(0)</f>
        <v>0</v>
      </c>
      <c r="BF109" s="23">
        <f>VALUE(0)</f>
        <v>0</v>
      </c>
      <c r="BG109" s="23">
        <f>VALUE(0)</f>
        <v>0</v>
      </c>
      <c r="BH109" s="23">
        <f>VALUE(0)</f>
        <v>0</v>
      </c>
      <c r="BI109" s="23">
        <f>VALUE(0)</f>
        <v>0</v>
      </c>
      <c r="BJ109" s="23">
        <f>VALUE(0)</f>
        <v>0</v>
      </c>
      <c r="BK109" s="12">
        <f>$AX$109*24</f>
        <v>4.8666666666666671</v>
      </c>
      <c r="BL109" s="12">
        <f>$AY$109*24</f>
        <v>0</v>
      </c>
      <c r="BM109" s="12">
        <f>$BJ$109*24</f>
        <v>0</v>
      </c>
      <c r="BN109" s="12">
        <f>VALUE($I$109)/100</f>
        <v>1</v>
      </c>
      <c r="BO109" s="12">
        <v>0</v>
      </c>
      <c r="BP109" s="12">
        <v>0</v>
      </c>
      <c r="BQ109" s="12">
        <v>0</v>
      </c>
      <c r="BR109" s="12">
        <v>0</v>
      </c>
      <c r="BS109" s="12">
        <v>0</v>
      </c>
      <c r="BT109" s="12">
        <v>0</v>
      </c>
      <c r="BU109" s="12">
        <v>0</v>
      </c>
      <c r="BV109" s="12">
        <v>0</v>
      </c>
      <c r="BW109" s="12">
        <v>0</v>
      </c>
      <c r="BX109" s="12">
        <v>0</v>
      </c>
      <c r="BY109" s="12">
        <v>0</v>
      </c>
      <c r="BZ109" s="12">
        <v>0</v>
      </c>
      <c r="CA109" s="12">
        <v>0</v>
      </c>
    </row>
    <row r="110" spans="1:79" hidden="1" x14ac:dyDescent="0.2">
      <c r="A110" s="12" t="s">
        <v>113</v>
      </c>
      <c r="B110" s="12" t="s">
        <v>117</v>
      </c>
      <c r="C110" s="12" t="s">
        <v>117</v>
      </c>
      <c r="D110" s="22" t="s">
        <v>348</v>
      </c>
      <c r="E110" s="22" t="s">
        <v>173</v>
      </c>
      <c r="F110" s="22" t="s">
        <v>758</v>
      </c>
      <c r="G110" s="22" t="s">
        <v>759</v>
      </c>
      <c r="H110" s="22" t="s">
        <v>349</v>
      </c>
      <c r="I110" s="22" t="s">
        <v>151</v>
      </c>
      <c r="J110" s="22" t="s">
        <v>347</v>
      </c>
      <c r="K110" s="22" t="s">
        <v>77</v>
      </c>
      <c r="L110" s="54" t="s">
        <v>153</v>
      </c>
      <c r="M110" s="24" t="s">
        <v>153</v>
      </c>
      <c r="N110" s="24" t="s">
        <v>153</v>
      </c>
      <c r="O110" s="23" t="s">
        <v>153</v>
      </c>
      <c r="P110" s="23" t="s">
        <v>153</v>
      </c>
      <c r="Q110" s="23" t="s">
        <v>153</v>
      </c>
      <c r="R110" s="23" t="s">
        <v>153</v>
      </c>
      <c r="S110" s="23" t="s">
        <v>153</v>
      </c>
      <c r="T110" s="24" t="s">
        <v>153</v>
      </c>
      <c r="U110" s="24" t="s">
        <v>153</v>
      </c>
      <c r="V110" s="54" t="s">
        <v>156</v>
      </c>
      <c r="W110" s="23" t="s">
        <v>153</v>
      </c>
      <c r="X110" s="23" t="s">
        <v>153</v>
      </c>
      <c r="Y110" s="23" t="s">
        <v>153</v>
      </c>
      <c r="Z110" s="23" t="s">
        <v>153</v>
      </c>
      <c r="AA110" s="24" t="s">
        <v>153</v>
      </c>
      <c r="AB110" s="24" t="s">
        <v>153</v>
      </c>
      <c r="AC110" s="23" t="s">
        <v>153</v>
      </c>
      <c r="AD110" s="23" t="s">
        <v>153</v>
      </c>
      <c r="AE110" s="23" t="s">
        <v>153</v>
      </c>
      <c r="AF110" s="23" t="s">
        <v>153</v>
      </c>
      <c r="AG110" s="23" t="s">
        <v>153</v>
      </c>
      <c r="AH110" s="24" t="s">
        <v>153</v>
      </c>
      <c r="AI110" s="24" t="s">
        <v>153</v>
      </c>
      <c r="AJ110" s="24" t="s">
        <v>156</v>
      </c>
      <c r="AK110" s="23" t="s">
        <v>153</v>
      </c>
      <c r="AL110" s="23" t="s">
        <v>153</v>
      </c>
      <c r="AM110" s="23" t="s">
        <v>153</v>
      </c>
      <c r="AN110" s="23" t="s">
        <v>153</v>
      </c>
      <c r="AO110" s="24" t="s">
        <v>153</v>
      </c>
      <c r="AP110" s="23">
        <f>VALUE(0)</f>
        <v>0</v>
      </c>
      <c r="AQ110" s="23">
        <f>VALUE(0)</f>
        <v>0</v>
      </c>
      <c r="AR110" s="23">
        <f>VALUE(0)</f>
        <v>0</v>
      </c>
      <c r="AS110" s="23">
        <f>VALUE(0)</f>
        <v>0</v>
      </c>
      <c r="AT110" s="23">
        <f>VALUE(0)</f>
        <v>0</v>
      </c>
      <c r="AU110" s="23">
        <f>VALUE(0)</f>
        <v>0</v>
      </c>
      <c r="AV110" s="23">
        <f>VALUE(10)</f>
        <v>10</v>
      </c>
      <c r="AW110" s="23">
        <f>VALUE(0)</f>
        <v>0</v>
      </c>
      <c r="AX110" s="23" t="s">
        <v>1199</v>
      </c>
      <c r="AY110" s="23">
        <f>VALUE(0)</f>
        <v>0</v>
      </c>
      <c r="AZ110" s="23">
        <f>VALUE(0)</f>
        <v>0</v>
      </c>
      <c r="BA110" s="23">
        <f>VALUE(0)</f>
        <v>0</v>
      </c>
      <c r="BB110" s="23">
        <f>VALUE(0)</f>
        <v>0</v>
      </c>
      <c r="BC110" s="23">
        <f>VALUE(0)</f>
        <v>0</v>
      </c>
      <c r="BD110" s="23">
        <f>VALUE(0)</f>
        <v>0</v>
      </c>
      <c r="BE110" s="23">
        <f>VALUE(0)</f>
        <v>0</v>
      </c>
      <c r="BF110" s="23">
        <f>VALUE(0)</f>
        <v>0</v>
      </c>
      <c r="BG110" s="23">
        <f>VALUE(0)</f>
        <v>0</v>
      </c>
      <c r="BH110" s="23">
        <f>VALUE(0)</f>
        <v>0</v>
      </c>
      <c r="BI110" s="23">
        <f>VALUE(0)</f>
        <v>0</v>
      </c>
      <c r="BJ110" s="23">
        <f>VALUE(0)</f>
        <v>0</v>
      </c>
      <c r="BK110" s="12">
        <f>$AX$110*24</f>
        <v>7</v>
      </c>
      <c r="BL110" s="12">
        <f>$AY$110*24</f>
        <v>0</v>
      </c>
      <c r="BM110" s="12">
        <f>$BJ$110*24</f>
        <v>0</v>
      </c>
      <c r="BN110" s="12">
        <f>VALUE($I$110)/100</f>
        <v>1</v>
      </c>
      <c r="BO110" s="12">
        <v>0</v>
      </c>
      <c r="BP110" s="12">
        <v>0</v>
      </c>
      <c r="BQ110" s="12">
        <v>0</v>
      </c>
      <c r="BR110" s="12">
        <v>0</v>
      </c>
      <c r="BS110" s="12">
        <v>0</v>
      </c>
      <c r="BT110" s="12">
        <v>0</v>
      </c>
      <c r="BU110" s="12">
        <v>0</v>
      </c>
      <c r="BV110" s="12">
        <v>0</v>
      </c>
      <c r="BW110" s="12">
        <v>0</v>
      </c>
      <c r="BX110" s="12">
        <v>0</v>
      </c>
      <c r="BY110" s="12">
        <v>0</v>
      </c>
      <c r="BZ110" s="12">
        <v>0</v>
      </c>
      <c r="CA110" s="12">
        <v>0</v>
      </c>
    </row>
    <row r="111" spans="1:79" hidden="1" x14ac:dyDescent="0.2">
      <c r="A111" s="12" t="s">
        <v>113</v>
      </c>
      <c r="B111" s="12" t="s">
        <v>117</v>
      </c>
      <c r="C111" s="12" t="s">
        <v>117</v>
      </c>
      <c r="D111" s="22" t="s">
        <v>350</v>
      </c>
      <c r="E111" s="22" t="s">
        <v>149</v>
      </c>
      <c r="F111" s="22" t="s">
        <v>760</v>
      </c>
      <c r="G111" s="22" t="s">
        <v>761</v>
      </c>
      <c r="H111" s="22" t="s">
        <v>166</v>
      </c>
      <c r="I111" s="22" t="s">
        <v>151</v>
      </c>
      <c r="J111" s="22" t="s">
        <v>351</v>
      </c>
      <c r="K111" s="22" t="s">
        <v>77</v>
      </c>
      <c r="L111" s="54" t="s">
        <v>153</v>
      </c>
      <c r="M111" s="24" t="s">
        <v>153</v>
      </c>
      <c r="N111" s="24" t="s">
        <v>153</v>
      </c>
      <c r="O111" s="23" t="s">
        <v>153</v>
      </c>
      <c r="P111" s="23" t="s">
        <v>153</v>
      </c>
      <c r="Q111" s="23" t="s">
        <v>153</v>
      </c>
      <c r="R111" s="23" t="s">
        <v>153</v>
      </c>
      <c r="S111" s="23" t="s">
        <v>153</v>
      </c>
      <c r="T111" s="24" t="s">
        <v>153</v>
      </c>
      <c r="U111" s="24" t="s">
        <v>153</v>
      </c>
      <c r="V111" s="54" t="s">
        <v>153</v>
      </c>
      <c r="W111" s="30" t="s">
        <v>28</v>
      </c>
      <c r="X111" s="23" t="s">
        <v>153</v>
      </c>
      <c r="Y111" s="23" t="s">
        <v>153</v>
      </c>
      <c r="Z111" s="23" t="s">
        <v>153</v>
      </c>
      <c r="AA111" s="24" t="s">
        <v>153</v>
      </c>
      <c r="AB111" s="24" t="s">
        <v>153</v>
      </c>
      <c r="AC111" s="23" t="s">
        <v>153</v>
      </c>
      <c r="AD111" s="23" t="s">
        <v>153</v>
      </c>
      <c r="AE111" s="23" t="s">
        <v>153</v>
      </c>
      <c r="AF111" s="23" t="s">
        <v>153</v>
      </c>
      <c r="AG111" s="23" t="s">
        <v>153</v>
      </c>
      <c r="AH111" s="24" t="s">
        <v>153</v>
      </c>
      <c r="AI111" s="24" t="s">
        <v>153</v>
      </c>
      <c r="AJ111" s="23" t="s">
        <v>153</v>
      </c>
      <c r="AK111" s="23" t="s">
        <v>153</v>
      </c>
      <c r="AL111" s="23" t="s">
        <v>153</v>
      </c>
      <c r="AM111" s="23" t="s">
        <v>153</v>
      </c>
      <c r="AN111" s="23" t="s">
        <v>153</v>
      </c>
      <c r="AO111" s="24" t="s">
        <v>153</v>
      </c>
      <c r="AP111" s="23">
        <f>VALUE(0)</f>
        <v>0</v>
      </c>
      <c r="AQ111" s="23">
        <f>VALUE(0)</f>
        <v>0</v>
      </c>
      <c r="AR111" s="23">
        <f>VALUE(0)</f>
        <v>0</v>
      </c>
      <c r="AS111" s="23">
        <f>VALUE(0)</f>
        <v>0</v>
      </c>
      <c r="AT111" s="23">
        <f>VALUE(0)</f>
        <v>0</v>
      </c>
      <c r="AU111" s="23">
        <f>VALUE(0)</f>
        <v>0</v>
      </c>
      <c r="AV111" s="23">
        <f>VALUE(4)</f>
        <v>4</v>
      </c>
      <c r="AW111" s="23">
        <f>VALUE(0)</f>
        <v>0</v>
      </c>
      <c r="AX111" s="23" t="s">
        <v>352</v>
      </c>
      <c r="AY111" s="23">
        <f>VALUE(0)</f>
        <v>0</v>
      </c>
      <c r="AZ111" s="23">
        <f>VALUE(0)</f>
        <v>0</v>
      </c>
      <c r="BA111" s="23">
        <f>VALUE(0)</f>
        <v>0</v>
      </c>
      <c r="BB111" s="23">
        <f>VALUE(0)</f>
        <v>0</v>
      </c>
      <c r="BC111" s="23">
        <f>VALUE(0)</f>
        <v>0</v>
      </c>
      <c r="BD111" s="23">
        <f>VALUE(0)</f>
        <v>0</v>
      </c>
      <c r="BE111" s="23">
        <f>VALUE(0)</f>
        <v>0</v>
      </c>
      <c r="BF111" s="23">
        <f>VALUE(0)</f>
        <v>0</v>
      </c>
      <c r="BG111" s="23">
        <f>VALUE(0)</f>
        <v>0</v>
      </c>
      <c r="BH111" s="23">
        <f>VALUE(0)</f>
        <v>0</v>
      </c>
      <c r="BI111" s="23">
        <f>VALUE(0)</f>
        <v>0</v>
      </c>
      <c r="BJ111" s="23">
        <f>VALUE(0)</f>
        <v>0</v>
      </c>
      <c r="BK111" s="12">
        <f>$AX$111*24</f>
        <v>12.183333333333334</v>
      </c>
      <c r="BL111" s="12">
        <f>$AY$111*24</f>
        <v>0</v>
      </c>
      <c r="BM111" s="12">
        <f>$BJ$111*24</f>
        <v>0</v>
      </c>
      <c r="BN111" s="12">
        <f>VALUE($I$111)/100</f>
        <v>1</v>
      </c>
      <c r="BO111" s="12">
        <v>0</v>
      </c>
      <c r="BP111" s="12">
        <v>0</v>
      </c>
      <c r="BQ111" s="12">
        <v>1</v>
      </c>
      <c r="BR111" s="12">
        <v>0</v>
      </c>
      <c r="BS111" s="12">
        <v>0</v>
      </c>
      <c r="BT111" s="12">
        <v>0</v>
      </c>
      <c r="BU111" s="12">
        <v>0</v>
      </c>
      <c r="BV111" s="12">
        <v>0</v>
      </c>
      <c r="BW111" s="12">
        <v>0</v>
      </c>
      <c r="BX111" s="12">
        <v>0</v>
      </c>
      <c r="BY111" s="12">
        <v>0</v>
      </c>
      <c r="BZ111" s="12">
        <v>0</v>
      </c>
      <c r="CA111" s="12">
        <v>0</v>
      </c>
    </row>
    <row r="112" spans="1:79" hidden="1" x14ac:dyDescent="0.2">
      <c r="A112" s="12" t="s">
        <v>113</v>
      </c>
      <c r="B112" s="12" t="s">
        <v>117</v>
      </c>
      <c r="C112" s="12" t="s">
        <v>117</v>
      </c>
      <c r="D112" s="22" t="s">
        <v>353</v>
      </c>
      <c r="E112" s="22" t="s">
        <v>149</v>
      </c>
      <c r="F112" s="22" t="s">
        <v>762</v>
      </c>
      <c r="G112" s="22" t="s">
        <v>763</v>
      </c>
      <c r="H112" s="22" t="s">
        <v>150</v>
      </c>
      <c r="I112" s="22" t="s">
        <v>151</v>
      </c>
      <c r="J112" s="22" t="s">
        <v>351</v>
      </c>
      <c r="K112" s="22" t="s">
        <v>77</v>
      </c>
      <c r="L112" s="54" t="s">
        <v>153</v>
      </c>
      <c r="M112" s="24" t="s">
        <v>153</v>
      </c>
      <c r="N112" s="24" t="s">
        <v>153</v>
      </c>
      <c r="O112" s="23" t="s">
        <v>153</v>
      </c>
      <c r="P112" s="23" t="s">
        <v>153</v>
      </c>
      <c r="Q112" s="23" t="s">
        <v>153</v>
      </c>
      <c r="R112" s="23" t="s">
        <v>153</v>
      </c>
      <c r="S112" s="23" t="s">
        <v>153</v>
      </c>
      <c r="T112" s="24" t="s">
        <v>153</v>
      </c>
      <c r="U112" s="24" t="s">
        <v>153</v>
      </c>
      <c r="V112" s="54" t="s">
        <v>153</v>
      </c>
      <c r="W112" s="23" t="s">
        <v>153</v>
      </c>
      <c r="X112" s="23" t="s">
        <v>153</v>
      </c>
      <c r="Y112" s="23" t="s">
        <v>153</v>
      </c>
      <c r="Z112" s="23" t="s">
        <v>153</v>
      </c>
      <c r="AA112" s="24" t="s">
        <v>153</v>
      </c>
      <c r="AB112" s="24" t="s">
        <v>153</v>
      </c>
      <c r="AC112" s="28" t="s">
        <v>163</v>
      </c>
      <c r="AD112" s="28" t="s">
        <v>163</v>
      </c>
      <c r="AE112" s="28" t="s">
        <v>163</v>
      </c>
      <c r="AF112" s="28" t="s">
        <v>163</v>
      </c>
      <c r="AG112" s="28" t="s">
        <v>163</v>
      </c>
      <c r="AH112" s="24" t="s">
        <v>153</v>
      </c>
      <c r="AI112" s="24" t="s">
        <v>153</v>
      </c>
      <c r="AJ112" s="28" t="s">
        <v>163</v>
      </c>
      <c r="AK112" s="28" t="s">
        <v>163</v>
      </c>
      <c r="AL112" s="28" t="s">
        <v>163</v>
      </c>
      <c r="AM112" s="28" t="s">
        <v>163</v>
      </c>
      <c r="AN112" s="28" t="s">
        <v>163</v>
      </c>
      <c r="AO112" s="24" t="s">
        <v>153</v>
      </c>
      <c r="AP112" s="23">
        <f>VALUE(0)</f>
        <v>0</v>
      </c>
      <c r="AQ112" s="23">
        <f>VALUE(0)</f>
        <v>0</v>
      </c>
      <c r="AR112" s="23">
        <f>VALUE(0)</f>
        <v>0</v>
      </c>
      <c r="AS112" s="23">
        <f>VALUE(0)</f>
        <v>0</v>
      </c>
      <c r="AT112" s="23">
        <f>VALUE(0)</f>
        <v>0</v>
      </c>
      <c r="AU112" s="23">
        <f>VALUE(10)</f>
        <v>10</v>
      </c>
      <c r="AV112" s="23">
        <f>VALUE(0)</f>
        <v>0</v>
      </c>
      <c r="AW112" s="23">
        <f>VALUE(0)</f>
        <v>0</v>
      </c>
      <c r="AX112" s="23" t="s">
        <v>176</v>
      </c>
      <c r="AY112" s="23" t="s">
        <v>354</v>
      </c>
      <c r="AZ112" s="23">
        <f>VALUE(0)</f>
        <v>0</v>
      </c>
      <c r="BA112" s="23">
        <f>VALUE(0)</f>
        <v>0</v>
      </c>
      <c r="BB112" s="23">
        <f>VALUE(0)</f>
        <v>0</v>
      </c>
      <c r="BC112" s="23">
        <f>VALUE(0)</f>
        <v>0</v>
      </c>
      <c r="BD112" s="23">
        <f>VALUE(0)</f>
        <v>0</v>
      </c>
      <c r="BE112" s="23">
        <f>VALUE(0)</f>
        <v>0</v>
      </c>
      <c r="BF112" s="23">
        <f>VALUE(0)</f>
        <v>0</v>
      </c>
      <c r="BG112" s="23">
        <f>VALUE(0)</f>
        <v>0</v>
      </c>
      <c r="BH112" s="23">
        <f>VALUE(0)</f>
        <v>0</v>
      </c>
      <c r="BI112" s="23">
        <f>VALUE(0)</f>
        <v>0</v>
      </c>
      <c r="BJ112" s="23">
        <f>VALUE(0)</f>
        <v>0</v>
      </c>
      <c r="BK112" s="12">
        <f>$AX$112*24</f>
        <v>0</v>
      </c>
      <c r="BL112" s="12">
        <f>$AY$112*24</f>
        <v>35.549999999999997</v>
      </c>
      <c r="BM112" s="12">
        <f>$BJ$112*24</f>
        <v>0</v>
      </c>
      <c r="BN112" s="12">
        <f>VALUE($I$112)/100</f>
        <v>1</v>
      </c>
      <c r="BO112" s="12">
        <v>0</v>
      </c>
      <c r="BP112" s="12">
        <v>0</v>
      </c>
      <c r="BQ112" s="12">
        <v>0</v>
      </c>
      <c r="BR112" s="12">
        <v>0</v>
      </c>
      <c r="BS112" s="12">
        <v>0</v>
      </c>
      <c r="BT112" s="12">
        <v>0</v>
      </c>
      <c r="BU112" s="12">
        <v>0</v>
      </c>
      <c r="BV112" s="12">
        <v>0</v>
      </c>
      <c r="BW112" s="12">
        <v>0</v>
      </c>
      <c r="BX112" s="12">
        <v>0</v>
      </c>
      <c r="BY112" s="12">
        <v>0</v>
      </c>
      <c r="BZ112" s="12">
        <v>0</v>
      </c>
      <c r="CA112" s="12">
        <v>0</v>
      </c>
    </row>
    <row r="113" spans="1:79" ht="15" hidden="1" x14ac:dyDescent="0.25">
      <c r="A113" s="12" t="s">
        <v>113</v>
      </c>
      <c r="B113" s="12" t="s">
        <v>117</v>
      </c>
      <c r="C113" s="12" t="s">
        <v>117</v>
      </c>
      <c r="D113" s="31" t="s">
        <v>355</v>
      </c>
      <c r="E113" s="31" t="s">
        <v>153</v>
      </c>
      <c r="F113" s="31" t="s">
        <v>175</v>
      </c>
      <c r="G113" s="31" t="s">
        <v>153</v>
      </c>
      <c r="H113" s="31" t="s">
        <v>153</v>
      </c>
      <c r="I113" s="31" t="s">
        <v>153</v>
      </c>
      <c r="J113" s="31" t="s">
        <v>153</v>
      </c>
      <c r="K113" s="31" t="s">
        <v>153</v>
      </c>
      <c r="L113" s="31">
        <f>VALUE(0)</f>
        <v>0</v>
      </c>
      <c r="M113" s="31">
        <f>VALUE(0)</f>
        <v>0</v>
      </c>
      <c r="N113" s="31">
        <f>VALUE(0)</f>
        <v>0</v>
      </c>
      <c r="O113" s="31">
        <f>VALUE(4)</f>
        <v>4</v>
      </c>
      <c r="P113" s="31">
        <f>VALUE(4)</f>
        <v>4</v>
      </c>
      <c r="Q113" s="31">
        <f>VALUE(4)</f>
        <v>4</v>
      </c>
      <c r="R113" s="31">
        <f>VALUE(4)</f>
        <v>4</v>
      </c>
      <c r="S113" s="31">
        <f>VALUE(4)</f>
        <v>4</v>
      </c>
      <c r="T113" s="31">
        <f>VALUE(0)</f>
        <v>0</v>
      </c>
      <c r="U113" s="31">
        <f>VALUE(0)</f>
        <v>0</v>
      </c>
      <c r="V113" s="31">
        <f>VALUE(0)</f>
        <v>0</v>
      </c>
      <c r="W113" s="31">
        <f>VALUE(3)</f>
        <v>3</v>
      </c>
      <c r="X113" s="31">
        <f>VALUE(3)</f>
        <v>3</v>
      </c>
      <c r="Y113" s="31">
        <f>VALUE(4)</f>
        <v>4</v>
      </c>
      <c r="Z113" s="31">
        <f>VALUE(4)</f>
        <v>4</v>
      </c>
      <c r="AA113" s="31">
        <f>VALUE(0)</f>
        <v>0</v>
      </c>
      <c r="AB113" s="31">
        <f>VALUE(0)</f>
        <v>0</v>
      </c>
      <c r="AC113" s="31">
        <f>VALUE(3)</f>
        <v>3</v>
      </c>
      <c r="AD113" s="31">
        <f>VALUE(3)</f>
        <v>3</v>
      </c>
      <c r="AE113" s="31">
        <f>VALUE(3)</f>
        <v>3</v>
      </c>
      <c r="AF113" s="31">
        <f>VALUE(3)</f>
        <v>3</v>
      </c>
      <c r="AG113" s="31">
        <f>VALUE(3)</f>
        <v>3</v>
      </c>
      <c r="AH113" s="31">
        <f>VALUE(0)</f>
        <v>0</v>
      </c>
      <c r="AI113" s="31">
        <f>VALUE(0)</f>
        <v>0</v>
      </c>
      <c r="AJ113" s="31">
        <f>VALUE(2)</f>
        <v>2</v>
      </c>
      <c r="AK113" s="31">
        <f>VALUE(3)</f>
        <v>3</v>
      </c>
      <c r="AL113" s="31">
        <f>VALUE(2)</f>
        <v>2</v>
      </c>
      <c r="AM113" s="31">
        <f>VALUE(3)</f>
        <v>3</v>
      </c>
      <c r="AN113" s="31">
        <f>VALUE(3)</f>
        <v>3</v>
      </c>
      <c r="AO113" s="31">
        <f>VALUE(0)</f>
        <v>0</v>
      </c>
      <c r="AP113" s="31">
        <v>0</v>
      </c>
      <c r="AQ113" s="31">
        <v>0</v>
      </c>
      <c r="AR113" s="31">
        <v>0</v>
      </c>
      <c r="AS113" s="31">
        <v>0</v>
      </c>
      <c r="AT113" s="31">
        <v>0</v>
      </c>
      <c r="AU113" s="31">
        <v>0</v>
      </c>
      <c r="AV113" s="31">
        <v>0</v>
      </c>
      <c r="AW113" s="31">
        <v>0</v>
      </c>
      <c r="AX113" s="31">
        <v>0</v>
      </c>
      <c r="AY113" s="31">
        <v>0</v>
      </c>
      <c r="AZ113" s="31">
        <v>0</v>
      </c>
      <c r="BA113" s="31">
        <v>0</v>
      </c>
      <c r="BB113" s="31">
        <v>0</v>
      </c>
      <c r="BC113" s="31">
        <v>0</v>
      </c>
      <c r="BD113" s="31">
        <v>0</v>
      </c>
      <c r="BE113" s="31">
        <v>0</v>
      </c>
      <c r="BF113" s="31">
        <v>0</v>
      </c>
      <c r="BG113" s="31">
        <v>0</v>
      </c>
      <c r="BH113" s="31">
        <v>0</v>
      </c>
      <c r="BI113" s="31">
        <v>0</v>
      </c>
      <c r="BJ113" s="31">
        <v>0</v>
      </c>
      <c r="BK113" s="12">
        <v>0</v>
      </c>
      <c r="BL113" s="12">
        <v>0</v>
      </c>
      <c r="BM113" s="12">
        <v>0</v>
      </c>
      <c r="BN113" s="12"/>
      <c r="BO113" s="12">
        <v>0</v>
      </c>
      <c r="BP113" s="12">
        <v>0</v>
      </c>
      <c r="BQ113" s="12">
        <v>0</v>
      </c>
      <c r="BR113" s="12">
        <v>0</v>
      </c>
      <c r="BS113" s="12">
        <v>0</v>
      </c>
      <c r="BT113" s="12">
        <v>0</v>
      </c>
      <c r="BU113" s="12">
        <v>0</v>
      </c>
      <c r="BV113" s="12">
        <v>0</v>
      </c>
      <c r="BW113" s="12">
        <v>0</v>
      </c>
      <c r="BX113" s="12">
        <v>0</v>
      </c>
      <c r="BY113" s="12">
        <v>0</v>
      </c>
      <c r="BZ113" s="12">
        <v>0</v>
      </c>
      <c r="CA113" s="12">
        <v>0</v>
      </c>
    </row>
    <row r="114" spans="1:79" hidden="1" x14ac:dyDescent="0.2">
      <c r="A114" s="12" t="s">
        <v>113</v>
      </c>
      <c r="B114" s="12" t="s">
        <v>118</v>
      </c>
      <c r="C114" s="12" t="s">
        <v>118</v>
      </c>
      <c r="D114" s="22" t="s">
        <v>356</v>
      </c>
      <c r="E114" s="22" t="s">
        <v>149</v>
      </c>
      <c r="F114" s="22" t="s">
        <v>764</v>
      </c>
      <c r="G114" s="22" t="s">
        <v>765</v>
      </c>
      <c r="H114" s="22" t="s">
        <v>166</v>
      </c>
      <c r="I114" s="22" t="s">
        <v>151</v>
      </c>
      <c r="J114" s="22" t="s">
        <v>357</v>
      </c>
      <c r="K114" s="22" t="s">
        <v>78</v>
      </c>
      <c r="L114" s="54" t="s">
        <v>153</v>
      </c>
      <c r="M114" s="24" t="s">
        <v>153</v>
      </c>
      <c r="N114" s="24" t="s">
        <v>153</v>
      </c>
      <c r="O114" s="23" t="s">
        <v>153</v>
      </c>
      <c r="P114" s="23" t="s">
        <v>153</v>
      </c>
      <c r="Q114" s="30" t="s">
        <v>1205</v>
      </c>
      <c r="R114" s="23" t="s">
        <v>153</v>
      </c>
      <c r="S114" s="23" t="s">
        <v>153</v>
      </c>
      <c r="T114" s="24" t="s">
        <v>153</v>
      </c>
      <c r="U114" s="24" t="s">
        <v>153</v>
      </c>
      <c r="V114" s="54" t="s">
        <v>153</v>
      </c>
      <c r="W114" s="23" t="s">
        <v>153</v>
      </c>
      <c r="X114" s="23" t="s">
        <v>153</v>
      </c>
      <c r="Y114" s="23" t="s">
        <v>153</v>
      </c>
      <c r="Z114" s="23" t="s">
        <v>153</v>
      </c>
      <c r="AA114" s="24" t="s">
        <v>153</v>
      </c>
      <c r="AB114" s="24" t="s">
        <v>153</v>
      </c>
      <c r="AC114" s="23" t="s">
        <v>153</v>
      </c>
      <c r="AD114" s="23" t="s">
        <v>153</v>
      </c>
      <c r="AE114" s="23" t="s">
        <v>153</v>
      </c>
      <c r="AF114" s="23" t="s">
        <v>153</v>
      </c>
      <c r="AG114" s="23" t="s">
        <v>153</v>
      </c>
      <c r="AH114" s="24" t="s">
        <v>153</v>
      </c>
      <c r="AI114" s="24" t="s">
        <v>153</v>
      </c>
      <c r="AJ114" s="23" t="s">
        <v>153</v>
      </c>
      <c r="AK114" s="23" t="s">
        <v>153</v>
      </c>
      <c r="AL114" s="23" t="s">
        <v>153</v>
      </c>
      <c r="AM114" s="23" t="s">
        <v>153</v>
      </c>
      <c r="AN114" s="23" t="s">
        <v>153</v>
      </c>
      <c r="AO114" s="24" t="s">
        <v>153</v>
      </c>
      <c r="AP114" s="23">
        <f>VALUE(0)</f>
        <v>0</v>
      </c>
      <c r="AQ114" s="23">
        <f>VALUE(0)</f>
        <v>0</v>
      </c>
      <c r="AR114" s="23">
        <f>VALUE(0)</f>
        <v>0</v>
      </c>
      <c r="AS114" s="23">
        <f>VALUE(0)</f>
        <v>0</v>
      </c>
      <c r="AT114" s="23">
        <f>VALUE(0)</f>
        <v>0</v>
      </c>
      <c r="AU114" s="23">
        <f>VALUE(0)</f>
        <v>0</v>
      </c>
      <c r="AV114" s="23">
        <f>VALUE(18)</f>
        <v>18</v>
      </c>
      <c r="AW114" s="23">
        <f>VALUE(0)</f>
        <v>0</v>
      </c>
      <c r="AX114" s="23">
        <f>VALUE(0)</f>
        <v>0</v>
      </c>
      <c r="AY114" s="23">
        <f>VALUE(0)</f>
        <v>0</v>
      </c>
      <c r="AZ114" s="23">
        <f>VALUE(0)</f>
        <v>0</v>
      </c>
      <c r="BA114" s="23">
        <f>VALUE(0)</f>
        <v>0</v>
      </c>
      <c r="BB114" s="23">
        <f>VALUE(0)</f>
        <v>0</v>
      </c>
      <c r="BC114" s="23">
        <f>VALUE(0)</f>
        <v>0</v>
      </c>
      <c r="BD114" s="23">
        <f>VALUE(0)</f>
        <v>0</v>
      </c>
      <c r="BE114" s="23">
        <f>VALUE(0)</f>
        <v>0</v>
      </c>
      <c r="BF114" s="23">
        <f>VALUE(0)</f>
        <v>0</v>
      </c>
      <c r="BG114" s="23">
        <f>VALUE(0)</f>
        <v>0</v>
      </c>
      <c r="BH114" s="23">
        <f>VALUE(0)</f>
        <v>0</v>
      </c>
      <c r="BI114" s="23">
        <f>VALUE(0)</f>
        <v>0</v>
      </c>
      <c r="BJ114" s="23">
        <f>VALUE(0)</f>
        <v>0</v>
      </c>
      <c r="BK114" s="12">
        <f>$AX$114*24</f>
        <v>0</v>
      </c>
      <c r="BL114" s="12">
        <f>$AY$114*24</f>
        <v>0</v>
      </c>
      <c r="BM114" s="12">
        <f>$BJ$114*24</f>
        <v>0</v>
      </c>
      <c r="BN114" s="12">
        <f>VALUE($I$114)/100</f>
        <v>1</v>
      </c>
      <c r="BO114" s="12">
        <v>0</v>
      </c>
      <c r="BP114" s="12">
        <v>0</v>
      </c>
      <c r="BQ114" s="12">
        <v>0</v>
      </c>
      <c r="BR114" s="12">
        <v>0</v>
      </c>
      <c r="BS114" s="12">
        <v>0</v>
      </c>
      <c r="BT114" s="12">
        <v>0</v>
      </c>
      <c r="BU114" s="12">
        <v>0</v>
      </c>
      <c r="BV114" s="12">
        <v>0</v>
      </c>
      <c r="BW114" s="12">
        <v>0</v>
      </c>
      <c r="BX114" s="12">
        <v>0</v>
      </c>
      <c r="BY114" s="12">
        <v>0</v>
      </c>
      <c r="BZ114" s="12">
        <v>0</v>
      </c>
      <c r="CA114" s="12">
        <v>0</v>
      </c>
    </row>
    <row r="115" spans="1:79" hidden="1" x14ac:dyDescent="0.2">
      <c r="A115" s="12" t="s">
        <v>113</v>
      </c>
      <c r="B115" s="12" t="s">
        <v>118</v>
      </c>
      <c r="C115" s="12" t="s">
        <v>118</v>
      </c>
      <c r="D115" s="22" t="s">
        <v>358</v>
      </c>
      <c r="E115" s="22" t="s">
        <v>149</v>
      </c>
      <c r="F115" s="22" t="s">
        <v>766</v>
      </c>
      <c r="G115" s="22" t="s">
        <v>767</v>
      </c>
      <c r="H115" s="22" t="s">
        <v>166</v>
      </c>
      <c r="I115" s="22" t="s">
        <v>151</v>
      </c>
      <c r="J115" s="22" t="s">
        <v>359</v>
      </c>
      <c r="K115" s="22" t="s">
        <v>78</v>
      </c>
      <c r="L115" s="54" t="s">
        <v>153</v>
      </c>
      <c r="M115" s="24" t="s">
        <v>153</v>
      </c>
      <c r="N115" s="24" t="s">
        <v>153</v>
      </c>
      <c r="O115" s="24" t="s">
        <v>156</v>
      </c>
      <c r="P115" s="23" t="s">
        <v>153</v>
      </c>
      <c r="Q115" s="23" t="s">
        <v>153</v>
      </c>
      <c r="R115" s="23" t="s">
        <v>153</v>
      </c>
      <c r="S115" s="23" t="s">
        <v>153</v>
      </c>
      <c r="T115" s="24" t="s">
        <v>153</v>
      </c>
      <c r="U115" s="24" t="s">
        <v>153</v>
      </c>
      <c r="V115" s="54" t="s">
        <v>153</v>
      </c>
      <c r="W115" s="23" t="s">
        <v>153</v>
      </c>
      <c r="X115" s="23" t="s">
        <v>153</v>
      </c>
      <c r="Y115" s="23" t="s">
        <v>153</v>
      </c>
      <c r="Z115" s="23" t="s">
        <v>153</v>
      </c>
      <c r="AA115" s="24" t="s">
        <v>153</v>
      </c>
      <c r="AB115" s="24" t="s">
        <v>153</v>
      </c>
      <c r="AC115" s="24" t="s">
        <v>156</v>
      </c>
      <c r="AD115" s="23" t="s">
        <v>153</v>
      </c>
      <c r="AE115" s="23" t="s">
        <v>153</v>
      </c>
      <c r="AF115" s="23" t="s">
        <v>153</v>
      </c>
      <c r="AG115" s="23" t="s">
        <v>153</v>
      </c>
      <c r="AH115" s="24" t="s">
        <v>153</v>
      </c>
      <c r="AI115" s="24" t="s">
        <v>153</v>
      </c>
      <c r="AJ115" s="23" t="s">
        <v>153</v>
      </c>
      <c r="AK115" s="23" t="s">
        <v>153</v>
      </c>
      <c r="AL115" s="23" t="s">
        <v>153</v>
      </c>
      <c r="AM115" s="23" t="s">
        <v>153</v>
      </c>
      <c r="AN115" s="23" t="s">
        <v>153</v>
      </c>
      <c r="AO115" s="24" t="s">
        <v>153</v>
      </c>
      <c r="AP115" s="23">
        <f>VALUE(0)</f>
        <v>0</v>
      </c>
      <c r="AQ115" s="23">
        <f>VALUE(0)</f>
        <v>0</v>
      </c>
      <c r="AR115" s="23">
        <f>VALUE(0)</f>
        <v>0</v>
      </c>
      <c r="AS115" s="23">
        <f>VALUE(0)</f>
        <v>0</v>
      </c>
      <c r="AT115" s="23">
        <f>VALUE(0)</f>
        <v>0</v>
      </c>
      <c r="AU115" s="23">
        <f>VALUE(0)</f>
        <v>0</v>
      </c>
      <c r="AV115" s="23">
        <f>VALUE(5.5)</f>
        <v>5.5</v>
      </c>
      <c r="AW115" s="23">
        <f>VALUE(0)</f>
        <v>0</v>
      </c>
      <c r="AX115" s="23" t="s">
        <v>1206</v>
      </c>
      <c r="AY115" s="23">
        <f>VALUE(0)</f>
        <v>0</v>
      </c>
      <c r="AZ115" s="23">
        <f>VALUE(0)</f>
        <v>0</v>
      </c>
      <c r="BA115" s="23">
        <f>VALUE(0)</f>
        <v>0</v>
      </c>
      <c r="BB115" s="23">
        <f>VALUE(0)</f>
        <v>0</v>
      </c>
      <c r="BC115" s="23">
        <f>VALUE(0)</f>
        <v>0</v>
      </c>
      <c r="BD115" s="23">
        <f>VALUE(0)</f>
        <v>0</v>
      </c>
      <c r="BE115" s="23">
        <f>VALUE(0)</f>
        <v>0</v>
      </c>
      <c r="BF115" s="23">
        <f>VALUE(0)</f>
        <v>0</v>
      </c>
      <c r="BG115" s="23">
        <f>VALUE(0)</f>
        <v>0</v>
      </c>
      <c r="BH115" s="23">
        <f>VALUE(0)</f>
        <v>0</v>
      </c>
      <c r="BI115" s="23">
        <f>VALUE(0)</f>
        <v>0</v>
      </c>
      <c r="BJ115" s="23">
        <f>VALUE(0)</f>
        <v>0</v>
      </c>
      <c r="BK115" s="12">
        <f>$AX$115*24</f>
        <v>7.8000000000000007</v>
      </c>
      <c r="BL115" s="12">
        <f>$AY$115*24</f>
        <v>0</v>
      </c>
      <c r="BM115" s="12">
        <f>$BJ$115*24</f>
        <v>0</v>
      </c>
      <c r="BN115" s="12">
        <f>VALUE($I$115)/100</f>
        <v>1</v>
      </c>
      <c r="BO115" s="12">
        <v>0</v>
      </c>
      <c r="BP115" s="12">
        <v>0</v>
      </c>
      <c r="BQ115" s="12">
        <v>0</v>
      </c>
      <c r="BR115" s="12">
        <v>0</v>
      </c>
      <c r="BS115" s="12">
        <v>0</v>
      </c>
      <c r="BT115" s="12">
        <v>0</v>
      </c>
      <c r="BU115" s="12">
        <v>0</v>
      </c>
      <c r="BV115" s="12">
        <v>0</v>
      </c>
      <c r="BW115" s="12">
        <v>0</v>
      </c>
      <c r="BX115" s="12">
        <v>0</v>
      </c>
      <c r="BY115" s="12">
        <v>0</v>
      </c>
      <c r="BZ115" s="12">
        <v>0</v>
      </c>
      <c r="CA115" s="12">
        <v>0</v>
      </c>
    </row>
    <row r="116" spans="1:79" ht="15" hidden="1" x14ac:dyDescent="0.25">
      <c r="A116" s="12" t="s">
        <v>113</v>
      </c>
      <c r="B116" s="12" t="s">
        <v>118</v>
      </c>
      <c r="C116" s="12" t="s">
        <v>118</v>
      </c>
      <c r="D116" s="31" t="s">
        <v>246</v>
      </c>
      <c r="E116" s="31" t="s">
        <v>153</v>
      </c>
      <c r="F116" s="31" t="s">
        <v>175</v>
      </c>
      <c r="G116" s="31" t="s">
        <v>153</v>
      </c>
      <c r="H116" s="31" t="s">
        <v>153</v>
      </c>
      <c r="I116" s="31" t="s">
        <v>153</v>
      </c>
      <c r="J116" s="31" t="s">
        <v>153</v>
      </c>
      <c r="K116" s="31" t="s">
        <v>153</v>
      </c>
      <c r="L116" s="31">
        <f>VALUE(0)</f>
        <v>0</v>
      </c>
      <c r="M116" s="31">
        <f>VALUE(0)</f>
        <v>0</v>
      </c>
      <c r="N116" s="31">
        <f>VALUE(0)</f>
        <v>0</v>
      </c>
      <c r="O116" s="31">
        <f>VALUE(1)</f>
        <v>1</v>
      </c>
      <c r="P116" s="31">
        <f>VALUE(2)</f>
        <v>2</v>
      </c>
      <c r="Q116" s="31">
        <f>VALUE(1)</f>
        <v>1</v>
      </c>
      <c r="R116" s="31">
        <f>VALUE(2)</f>
        <v>2</v>
      </c>
      <c r="S116" s="31">
        <f>VALUE(2)</f>
        <v>2</v>
      </c>
      <c r="T116" s="31">
        <f>VALUE(0)</f>
        <v>0</v>
      </c>
      <c r="U116" s="31">
        <f>VALUE(0)</f>
        <v>0</v>
      </c>
      <c r="V116" s="31">
        <f>VALUE(0)</f>
        <v>0</v>
      </c>
      <c r="W116" s="31">
        <f>VALUE(2)</f>
        <v>2</v>
      </c>
      <c r="X116" s="31">
        <f>VALUE(2)</f>
        <v>2</v>
      </c>
      <c r="Y116" s="31">
        <f>VALUE(2)</f>
        <v>2</v>
      </c>
      <c r="Z116" s="31">
        <f>VALUE(2)</f>
        <v>2</v>
      </c>
      <c r="AA116" s="31">
        <f>VALUE(0)</f>
        <v>0</v>
      </c>
      <c r="AB116" s="31">
        <f>VALUE(0)</f>
        <v>0</v>
      </c>
      <c r="AC116" s="31">
        <f>VALUE(1)</f>
        <v>1</v>
      </c>
      <c r="AD116" s="31">
        <f>VALUE(2)</f>
        <v>2</v>
      </c>
      <c r="AE116" s="31">
        <f>VALUE(2)</f>
        <v>2</v>
      </c>
      <c r="AF116" s="31">
        <f>VALUE(2)</f>
        <v>2</v>
      </c>
      <c r="AG116" s="31">
        <f>VALUE(2)</f>
        <v>2</v>
      </c>
      <c r="AH116" s="31">
        <f>VALUE(0)</f>
        <v>0</v>
      </c>
      <c r="AI116" s="31">
        <f>VALUE(0)</f>
        <v>0</v>
      </c>
      <c r="AJ116" s="31">
        <f>VALUE(2)</f>
        <v>2</v>
      </c>
      <c r="AK116" s="31">
        <f>VALUE(2)</f>
        <v>2</v>
      </c>
      <c r="AL116" s="31">
        <f>VALUE(2)</f>
        <v>2</v>
      </c>
      <c r="AM116" s="31">
        <f>VALUE(2)</f>
        <v>2</v>
      </c>
      <c r="AN116" s="31">
        <f>VALUE(2)</f>
        <v>2</v>
      </c>
      <c r="AO116" s="31">
        <f>VALUE(0)</f>
        <v>0</v>
      </c>
      <c r="AP116" s="31">
        <v>0</v>
      </c>
      <c r="AQ116" s="31">
        <v>0</v>
      </c>
      <c r="AR116" s="31">
        <v>0</v>
      </c>
      <c r="AS116" s="31">
        <v>0</v>
      </c>
      <c r="AT116" s="31">
        <v>0</v>
      </c>
      <c r="AU116" s="31">
        <v>0</v>
      </c>
      <c r="AV116" s="31">
        <v>0</v>
      </c>
      <c r="AW116" s="31">
        <v>0</v>
      </c>
      <c r="AX116" s="31">
        <v>0</v>
      </c>
      <c r="AY116" s="31">
        <v>0</v>
      </c>
      <c r="AZ116" s="31">
        <v>0</v>
      </c>
      <c r="BA116" s="31">
        <v>0</v>
      </c>
      <c r="BB116" s="31">
        <v>0</v>
      </c>
      <c r="BC116" s="31">
        <v>0</v>
      </c>
      <c r="BD116" s="31">
        <v>0</v>
      </c>
      <c r="BE116" s="31">
        <v>0</v>
      </c>
      <c r="BF116" s="31">
        <v>0</v>
      </c>
      <c r="BG116" s="31">
        <v>0</v>
      </c>
      <c r="BH116" s="31">
        <v>0</v>
      </c>
      <c r="BI116" s="31">
        <v>0</v>
      </c>
      <c r="BJ116" s="31">
        <v>0</v>
      </c>
      <c r="BK116" s="12">
        <v>0</v>
      </c>
      <c r="BL116" s="12">
        <v>0</v>
      </c>
      <c r="BM116" s="12">
        <v>0</v>
      </c>
      <c r="BN116" s="12"/>
      <c r="BO116" s="12">
        <v>0</v>
      </c>
      <c r="BP116" s="12">
        <v>0</v>
      </c>
      <c r="BQ116" s="12">
        <v>0</v>
      </c>
      <c r="BR116" s="12">
        <v>0</v>
      </c>
      <c r="BS116" s="12">
        <v>0</v>
      </c>
      <c r="BT116" s="12">
        <v>0</v>
      </c>
      <c r="BU116" s="12">
        <v>0</v>
      </c>
      <c r="BV116" s="12">
        <v>0</v>
      </c>
      <c r="BW116" s="12">
        <v>0</v>
      </c>
      <c r="BX116" s="12">
        <v>0</v>
      </c>
      <c r="BY116" s="12">
        <v>0</v>
      </c>
      <c r="BZ116" s="12">
        <v>0</v>
      </c>
      <c r="CA116" s="12">
        <v>0</v>
      </c>
    </row>
    <row r="117" spans="1:79" ht="15" hidden="1" x14ac:dyDescent="0.25">
      <c r="A117" s="12" t="s">
        <v>113</v>
      </c>
      <c r="B117" s="12" t="s">
        <v>119</v>
      </c>
      <c r="C117" s="12" t="s">
        <v>119</v>
      </c>
      <c r="D117" s="31" t="s">
        <v>488</v>
      </c>
      <c r="E117" s="31" t="s">
        <v>153</v>
      </c>
      <c r="F117" s="31" t="s">
        <v>175</v>
      </c>
      <c r="G117" s="31" t="s">
        <v>153</v>
      </c>
      <c r="H117" s="31" t="s">
        <v>153</v>
      </c>
      <c r="I117" s="31" t="s">
        <v>153</v>
      </c>
      <c r="J117" s="31" t="s">
        <v>153</v>
      </c>
      <c r="K117" s="31" t="s">
        <v>153</v>
      </c>
      <c r="L117" s="31">
        <f>VALUE(0)</f>
        <v>0</v>
      </c>
      <c r="M117" s="31">
        <f>VALUE(0)</f>
        <v>0</v>
      </c>
      <c r="N117" s="31">
        <f>VALUE(0)</f>
        <v>0</v>
      </c>
      <c r="O117" s="31">
        <f>VALUE(0)</f>
        <v>0</v>
      </c>
      <c r="P117" s="31">
        <f>VALUE(0)</f>
        <v>0</v>
      </c>
      <c r="Q117" s="31">
        <f>VALUE(0)</f>
        <v>0</v>
      </c>
      <c r="R117" s="31">
        <f>VALUE(0)</f>
        <v>0</v>
      </c>
      <c r="S117" s="31">
        <f>VALUE(0)</f>
        <v>0</v>
      </c>
      <c r="T117" s="31">
        <f>VALUE(0)</f>
        <v>0</v>
      </c>
      <c r="U117" s="31">
        <f>VALUE(0)</f>
        <v>0</v>
      </c>
      <c r="V117" s="31">
        <f>VALUE(0)</f>
        <v>0</v>
      </c>
      <c r="W117" s="31">
        <f>VALUE(0)</f>
        <v>0</v>
      </c>
      <c r="X117" s="31">
        <f>VALUE(0)</f>
        <v>0</v>
      </c>
      <c r="Y117" s="31">
        <f>VALUE(0)</f>
        <v>0</v>
      </c>
      <c r="Z117" s="31">
        <f>VALUE(0)</f>
        <v>0</v>
      </c>
      <c r="AA117" s="31">
        <f>VALUE(0)</f>
        <v>0</v>
      </c>
      <c r="AB117" s="31">
        <f>VALUE(0)</f>
        <v>0</v>
      </c>
      <c r="AC117" s="31">
        <f>VALUE(0)</f>
        <v>0</v>
      </c>
      <c r="AD117" s="31">
        <f>VALUE(0)</f>
        <v>0</v>
      </c>
      <c r="AE117" s="31">
        <f>VALUE(0)</f>
        <v>0</v>
      </c>
      <c r="AF117" s="31">
        <f>VALUE(0)</f>
        <v>0</v>
      </c>
      <c r="AG117" s="31">
        <f>VALUE(0)</f>
        <v>0</v>
      </c>
      <c r="AH117" s="31">
        <f>VALUE(0)</f>
        <v>0</v>
      </c>
      <c r="AI117" s="31">
        <f>VALUE(0)</f>
        <v>0</v>
      </c>
      <c r="AJ117" s="31">
        <f>VALUE(0)</f>
        <v>0</v>
      </c>
      <c r="AK117" s="31">
        <f>VALUE(0)</f>
        <v>0</v>
      </c>
      <c r="AL117" s="31">
        <f>VALUE(0)</f>
        <v>0</v>
      </c>
      <c r="AM117" s="31">
        <f>VALUE(0)</f>
        <v>0</v>
      </c>
      <c r="AN117" s="31">
        <f>VALUE(0)</f>
        <v>0</v>
      </c>
      <c r="AO117" s="31">
        <f>VALUE(0)</f>
        <v>0</v>
      </c>
      <c r="AP117" s="31">
        <v>0</v>
      </c>
      <c r="AQ117" s="31">
        <v>0</v>
      </c>
      <c r="AR117" s="31">
        <v>0</v>
      </c>
      <c r="AS117" s="31">
        <v>0</v>
      </c>
      <c r="AT117" s="31">
        <v>0</v>
      </c>
      <c r="AU117" s="31">
        <v>0</v>
      </c>
      <c r="AV117" s="31">
        <v>0</v>
      </c>
      <c r="AW117" s="31">
        <v>0</v>
      </c>
      <c r="AX117" s="31">
        <v>0</v>
      </c>
      <c r="AY117" s="31">
        <v>0</v>
      </c>
      <c r="AZ117" s="31">
        <v>0</v>
      </c>
      <c r="BA117" s="31">
        <v>0</v>
      </c>
      <c r="BB117" s="31">
        <v>0</v>
      </c>
      <c r="BC117" s="31">
        <v>0</v>
      </c>
      <c r="BD117" s="31">
        <v>0</v>
      </c>
      <c r="BE117" s="31">
        <v>0</v>
      </c>
      <c r="BF117" s="31">
        <v>0</v>
      </c>
      <c r="BG117" s="31">
        <v>0</v>
      </c>
      <c r="BH117" s="31">
        <v>0</v>
      </c>
      <c r="BI117" s="31">
        <v>0</v>
      </c>
      <c r="BJ117" s="31">
        <v>0</v>
      </c>
      <c r="BK117" s="12">
        <v>0</v>
      </c>
      <c r="BL117" s="12">
        <v>0</v>
      </c>
      <c r="BM117" s="12">
        <v>0</v>
      </c>
      <c r="BN117" s="12"/>
      <c r="BO117" s="12">
        <v>0</v>
      </c>
      <c r="BP117" s="12">
        <v>0</v>
      </c>
      <c r="BQ117" s="12">
        <v>0</v>
      </c>
      <c r="BR117" s="12">
        <v>0</v>
      </c>
      <c r="BS117" s="12">
        <v>0</v>
      </c>
      <c r="BT117" s="12">
        <v>0</v>
      </c>
      <c r="BU117" s="12">
        <v>0</v>
      </c>
      <c r="BV117" s="12">
        <v>0</v>
      </c>
      <c r="BW117" s="12">
        <v>0</v>
      </c>
      <c r="BX117" s="12">
        <v>0</v>
      </c>
      <c r="BY117" s="12">
        <v>0</v>
      </c>
      <c r="BZ117" s="12">
        <v>0</v>
      </c>
      <c r="CA117" s="12">
        <v>0</v>
      </c>
    </row>
    <row r="118" spans="1:79" hidden="1" x14ac:dyDescent="0.2">
      <c r="A118" s="12" t="s">
        <v>120</v>
      </c>
      <c r="B118" s="12" t="s">
        <v>121</v>
      </c>
      <c r="C118" s="12" t="s">
        <v>121</v>
      </c>
      <c r="D118" s="22" t="s">
        <v>360</v>
      </c>
      <c r="E118" s="22" t="s">
        <v>161</v>
      </c>
      <c r="F118" s="22" t="s">
        <v>768</v>
      </c>
      <c r="G118" s="22" t="s">
        <v>769</v>
      </c>
      <c r="H118" s="22" t="s">
        <v>150</v>
      </c>
      <c r="I118" s="22" t="s">
        <v>151</v>
      </c>
      <c r="J118" s="22" t="s">
        <v>311</v>
      </c>
      <c r="K118" s="22" t="s">
        <v>80</v>
      </c>
      <c r="L118" s="54" t="s">
        <v>153</v>
      </c>
      <c r="M118" s="24" t="s">
        <v>156</v>
      </c>
      <c r="N118" s="24" t="s">
        <v>153</v>
      </c>
      <c r="O118" s="28" t="s">
        <v>163</v>
      </c>
      <c r="P118" s="28" t="s">
        <v>163</v>
      </c>
      <c r="Q118" s="28" t="s">
        <v>163</v>
      </c>
      <c r="R118" s="28" t="s">
        <v>163</v>
      </c>
      <c r="S118" s="28" t="s">
        <v>163</v>
      </c>
      <c r="T118" s="28" t="s">
        <v>163</v>
      </c>
      <c r="U118" s="24" t="s">
        <v>153</v>
      </c>
      <c r="V118" s="54" t="s">
        <v>153</v>
      </c>
      <c r="W118" s="23" t="s">
        <v>153</v>
      </c>
      <c r="X118" s="23" t="s">
        <v>153</v>
      </c>
      <c r="Y118" s="23" t="s">
        <v>153</v>
      </c>
      <c r="Z118" s="23" t="s">
        <v>153</v>
      </c>
      <c r="AA118" s="24" t="s">
        <v>156</v>
      </c>
      <c r="AB118" s="24" t="s">
        <v>153</v>
      </c>
      <c r="AC118" s="23" t="s">
        <v>153</v>
      </c>
      <c r="AD118" s="23" t="s">
        <v>153</v>
      </c>
      <c r="AE118" s="23" t="s">
        <v>153</v>
      </c>
      <c r="AF118" s="23" t="s">
        <v>153</v>
      </c>
      <c r="AG118" s="23" t="s">
        <v>153</v>
      </c>
      <c r="AH118" s="24" t="s">
        <v>156</v>
      </c>
      <c r="AI118" s="24" t="s">
        <v>153</v>
      </c>
      <c r="AJ118" s="23" t="s">
        <v>153</v>
      </c>
      <c r="AK118" s="23" t="s">
        <v>153</v>
      </c>
      <c r="AL118" s="23" t="s">
        <v>153</v>
      </c>
      <c r="AM118" s="23" t="s">
        <v>153</v>
      </c>
      <c r="AN118" s="23" t="s">
        <v>153</v>
      </c>
      <c r="AO118" s="24" t="s">
        <v>156</v>
      </c>
      <c r="AP118" s="23">
        <f>VALUE(0)</f>
        <v>0</v>
      </c>
      <c r="AQ118" s="23">
        <f>VALUE(0)</f>
        <v>0</v>
      </c>
      <c r="AR118" s="23">
        <f>VALUE(0)</f>
        <v>0</v>
      </c>
      <c r="AS118" s="23">
        <f>VALUE(0)</f>
        <v>0</v>
      </c>
      <c r="AT118" s="23">
        <f>VALUE(0)</f>
        <v>0</v>
      </c>
      <c r="AU118" s="23">
        <f>VALUE(6)</f>
        <v>6</v>
      </c>
      <c r="AV118" s="23">
        <f>VALUE(8)</f>
        <v>8</v>
      </c>
      <c r="AW118" s="23">
        <f>VALUE(0)</f>
        <v>0</v>
      </c>
      <c r="AX118" s="23" t="s">
        <v>171</v>
      </c>
      <c r="AY118" s="23" t="s">
        <v>1207</v>
      </c>
      <c r="AZ118" s="23">
        <f>VALUE(0)</f>
        <v>0</v>
      </c>
      <c r="BA118" s="23">
        <f>VALUE(0)</f>
        <v>0</v>
      </c>
      <c r="BB118" s="23">
        <f>VALUE(0)</f>
        <v>0</v>
      </c>
      <c r="BC118" s="23">
        <f>VALUE(0)</f>
        <v>0</v>
      </c>
      <c r="BD118" s="23">
        <f>VALUE(0)</f>
        <v>0</v>
      </c>
      <c r="BE118" s="23">
        <f>VALUE(0)</f>
        <v>0</v>
      </c>
      <c r="BF118" s="23">
        <f>VALUE(0)</f>
        <v>0</v>
      </c>
      <c r="BG118" s="23">
        <f>VALUE(0)</f>
        <v>0</v>
      </c>
      <c r="BH118" s="23">
        <f>VALUE(0)</f>
        <v>0</v>
      </c>
      <c r="BI118" s="23">
        <f>VALUE(0)</f>
        <v>0</v>
      </c>
      <c r="BJ118" s="23">
        <f>VALUE(0)</f>
        <v>0</v>
      </c>
      <c r="BK118" s="12">
        <f>$AX$118*24</f>
        <v>5.833333333333333</v>
      </c>
      <c r="BL118" s="12">
        <f>$AY$118*24</f>
        <v>74.11666666666666</v>
      </c>
      <c r="BM118" s="12">
        <f>$BJ$118*24</f>
        <v>0</v>
      </c>
      <c r="BN118" s="12">
        <f>VALUE($I$118)/100</f>
        <v>1</v>
      </c>
      <c r="BO118" s="12">
        <v>0</v>
      </c>
      <c r="BP118" s="12">
        <v>0</v>
      </c>
      <c r="BQ118" s="12">
        <v>0</v>
      </c>
      <c r="BR118" s="12">
        <v>0</v>
      </c>
      <c r="BS118" s="12">
        <v>0</v>
      </c>
      <c r="BT118" s="12">
        <v>0</v>
      </c>
      <c r="BU118" s="12">
        <v>0</v>
      </c>
      <c r="BV118" s="12">
        <v>0</v>
      </c>
      <c r="BW118" s="12">
        <v>0</v>
      </c>
      <c r="BX118" s="12">
        <v>0</v>
      </c>
      <c r="BY118" s="12">
        <v>0</v>
      </c>
      <c r="BZ118" s="12">
        <v>0</v>
      </c>
      <c r="CA118" s="12">
        <v>0</v>
      </c>
    </row>
    <row r="119" spans="1:79" ht="16.5" hidden="1" x14ac:dyDescent="0.2">
      <c r="A119" s="12" t="s">
        <v>120</v>
      </c>
      <c r="B119" s="12" t="s">
        <v>121</v>
      </c>
      <c r="C119" s="12" t="s">
        <v>121</v>
      </c>
      <c r="D119" s="22" t="s">
        <v>361</v>
      </c>
      <c r="E119" s="22" t="s">
        <v>161</v>
      </c>
      <c r="F119" s="22" t="s">
        <v>770</v>
      </c>
      <c r="G119" s="22" t="s">
        <v>771</v>
      </c>
      <c r="H119" s="22" t="s">
        <v>150</v>
      </c>
      <c r="I119" s="22" t="s">
        <v>151</v>
      </c>
      <c r="J119" s="22" t="s">
        <v>162</v>
      </c>
      <c r="K119" s="22" t="s">
        <v>80</v>
      </c>
      <c r="L119" s="54" t="s">
        <v>153</v>
      </c>
      <c r="M119" s="23" t="s">
        <v>153</v>
      </c>
      <c r="N119" s="24" t="s">
        <v>153</v>
      </c>
      <c r="O119" s="24" t="s">
        <v>156</v>
      </c>
      <c r="P119" s="24" t="s">
        <v>156</v>
      </c>
      <c r="Q119" s="24" t="s">
        <v>156</v>
      </c>
      <c r="R119" s="26" t="s">
        <v>362</v>
      </c>
      <c r="S119" s="26" t="s">
        <v>362</v>
      </c>
      <c r="T119" s="23" t="s">
        <v>153</v>
      </c>
      <c r="U119" s="24" t="s">
        <v>153</v>
      </c>
      <c r="V119" s="54" t="s">
        <v>153</v>
      </c>
      <c r="W119" s="28" t="s">
        <v>163</v>
      </c>
      <c r="X119" s="28" t="s">
        <v>163</v>
      </c>
      <c r="Y119" s="28" t="s">
        <v>163</v>
      </c>
      <c r="Z119" s="28" t="s">
        <v>163</v>
      </c>
      <c r="AA119" s="28" t="s">
        <v>163</v>
      </c>
      <c r="AB119" s="24" t="s">
        <v>153</v>
      </c>
      <c r="AC119" s="28" t="s">
        <v>163</v>
      </c>
      <c r="AD119" s="28" t="s">
        <v>163</v>
      </c>
      <c r="AE119" s="28" t="s">
        <v>163</v>
      </c>
      <c r="AF119" s="28" t="s">
        <v>163</v>
      </c>
      <c r="AG119" s="26" t="s">
        <v>362</v>
      </c>
      <c r="AH119" s="23" t="s">
        <v>153</v>
      </c>
      <c r="AI119" s="24" t="s">
        <v>153</v>
      </c>
      <c r="AJ119" s="26" t="s">
        <v>362</v>
      </c>
      <c r="AK119" s="26" t="s">
        <v>362</v>
      </c>
      <c r="AL119" s="26" t="s">
        <v>362</v>
      </c>
      <c r="AM119" s="26" t="s">
        <v>362</v>
      </c>
      <c r="AN119" s="26" t="s">
        <v>362</v>
      </c>
      <c r="AO119" s="23" t="s">
        <v>153</v>
      </c>
      <c r="AP119" s="23">
        <f>VALUE(2)</f>
        <v>2</v>
      </c>
      <c r="AQ119" s="23">
        <f>VALUE(0)</f>
        <v>0</v>
      </c>
      <c r="AR119" s="23">
        <f>VALUE(0)</f>
        <v>0</v>
      </c>
      <c r="AS119" s="23">
        <f>VALUE(0)</f>
        <v>0</v>
      </c>
      <c r="AT119" s="23">
        <f>VALUE(0)</f>
        <v>0</v>
      </c>
      <c r="AU119" s="23">
        <f>VALUE(9)</f>
        <v>9</v>
      </c>
      <c r="AV119" s="23">
        <f>VALUE(3)</f>
        <v>3</v>
      </c>
      <c r="AW119" s="23">
        <f>VALUE(0)</f>
        <v>0</v>
      </c>
      <c r="AX119" s="23" t="s">
        <v>171</v>
      </c>
      <c r="AY119" s="23" t="s">
        <v>363</v>
      </c>
      <c r="AZ119" s="23">
        <f>VALUE(0)</f>
        <v>0</v>
      </c>
      <c r="BA119" s="23">
        <f>VALUE(0)</f>
        <v>0</v>
      </c>
      <c r="BB119" s="23">
        <f>VALUE(0)</f>
        <v>0</v>
      </c>
      <c r="BC119" s="23">
        <f>VALUE(0)</f>
        <v>0</v>
      </c>
      <c r="BD119" s="23">
        <f>VALUE(0)</f>
        <v>0</v>
      </c>
      <c r="BE119" s="23">
        <f>VALUE(0)</f>
        <v>0</v>
      </c>
      <c r="BF119" s="23">
        <f>VALUE(0)</f>
        <v>0</v>
      </c>
      <c r="BG119" s="23">
        <f>VALUE(0)</f>
        <v>0</v>
      </c>
      <c r="BH119" s="23">
        <f>VALUE(0)</f>
        <v>0</v>
      </c>
      <c r="BI119" s="23">
        <f>VALUE(0)</f>
        <v>0</v>
      </c>
      <c r="BJ119" s="23">
        <f>VALUE(0)</f>
        <v>0</v>
      </c>
      <c r="BK119" s="12">
        <f>$AX$119*24</f>
        <v>5.833333333333333</v>
      </c>
      <c r="BL119" s="12">
        <f>$AY$119*24</f>
        <v>20.033333333333335</v>
      </c>
      <c r="BM119" s="12">
        <f>$BJ$119*24</f>
        <v>0</v>
      </c>
      <c r="BN119" s="12">
        <f>VALUE($I$119)/100</f>
        <v>1</v>
      </c>
      <c r="BO119" s="12">
        <v>0</v>
      </c>
      <c r="BP119" s="12">
        <v>0</v>
      </c>
      <c r="BQ119" s="12">
        <v>0</v>
      </c>
      <c r="BR119" s="12">
        <v>0</v>
      </c>
      <c r="BS119" s="12">
        <v>0</v>
      </c>
      <c r="BT119" s="12">
        <v>0</v>
      </c>
      <c r="BU119" s="12">
        <v>0</v>
      </c>
      <c r="BV119" s="12">
        <v>0</v>
      </c>
      <c r="BW119" s="12">
        <v>0</v>
      </c>
      <c r="BX119" s="12">
        <v>0</v>
      </c>
      <c r="BY119" s="12">
        <v>0</v>
      </c>
      <c r="BZ119" s="12">
        <v>0</v>
      </c>
      <c r="CA119" s="12">
        <v>0</v>
      </c>
    </row>
    <row r="120" spans="1:79" hidden="1" x14ac:dyDescent="0.2">
      <c r="A120" s="12" t="s">
        <v>120</v>
      </c>
      <c r="B120" s="12" t="s">
        <v>121</v>
      </c>
      <c r="C120" s="12" t="s">
        <v>121</v>
      </c>
      <c r="D120" s="22" t="s">
        <v>364</v>
      </c>
      <c r="E120" s="22" t="s">
        <v>161</v>
      </c>
      <c r="F120" s="22" t="s">
        <v>772</v>
      </c>
      <c r="G120" s="22" t="s">
        <v>773</v>
      </c>
      <c r="H120" s="22" t="s">
        <v>150</v>
      </c>
      <c r="I120" s="22" t="s">
        <v>151</v>
      </c>
      <c r="J120" s="22" t="s">
        <v>162</v>
      </c>
      <c r="K120" s="22" t="s">
        <v>80</v>
      </c>
      <c r="L120" s="54" t="s">
        <v>153</v>
      </c>
      <c r="M120" s="23" t="s">
        <v>153</v>
      </c>
      <c r="N120" s="24" t="s">
        <v>153</v>
      </c>
      <c r="O120" s="23" t="s">
        <v>153</v>
      </c>
      <c r="P120" s="23" t="s">
        <v>153</v>
      </c>
      <c r="Q120" s="23" t="s">
        <v>153</v>
      </c>
      <c r="R120" s="23" t="s">
        <v>153</v>
      </c>
      <c r="S120" s="23" t="s">
        <v>153</v>
      </c>
      <c r="T120" s="23" t="s">
        <v>153</v>
      </c>
      <c r="U120" s="24" t="s">
        <v>153</v>
      </c>
      <c r="V120" s="54" t="s">
        <v>153</v>
      </c>
      <c r="W120" s="23" t="s">
        <v>153</v>
      </c>
      <c r="X120" s="23" t="s">
        <v>153</v>
      </c>
      <c r="Y120" s="23" t="s">
        <v>153</v>
      </c>
      <c r="Z120" s="23" t="s">
        <v>153</v>
      </c>
      <c r="AA120" s="23" t="s">
        <v>153</v>
      </c>
      <c r="AB120" s="24" t="s">
        <v>153</v>
      </c>
      <c r="AC120" s="23" t="s">
        <v>153</v>
      </c>
      <c r="AD120" s="23" t="s">
        <v>153</v>
      </c>
      <c r="AE120" s="23" t="s">
        <v>153</v>
      </c>
      <c r="AF120" s="23" t="s">
        <v>153</v>
      </c>
      <c r="AG120" s="24" t="s">
        <v>156</v>
      </c>
      <c r="AH120" s="24" t="s">
        <v>156</v>
      </c>
      <c r="AI120" s="24" t="s">
        <v>153</v>
      </c>
      <c r="AJ120" s="23" t="s">
        <v>153</v>
      </c>
      <c r="AK120" s="23" t="s">
        <v>153</v>
      </c>
      <c r="AL120" s="23" t="s">
        <v>153</v>
      </c>
      <c r="AM120" s="23" t="s">
        <v>153</v>
      </c>
      <c r="AN120" s="23" t="s">
        <v>153</v>
      </c>
      <c r="AO120" s="23" t="s">
        <v>153</v>
      </c>
      <c r="AP120" s="23">
        <f>VALUE(0)</f>
        <v>0</v>
      </c>
      <c r="AQ120" s="23">
        <f>VALUE(0)</f>
        <v>0</v>
      </c>
      <c r="AR120" s="23">
        <f>VALUE(0)</f>
        <v>0</v>
      </c>
      <c r="AS120" s="23">
        <f>VALUE(0)</f>
        <v>0</v>
      </c>
      <c r="AT120" s="23">
        <f>VALUE(0)</f>
        <v>0</v>
      </c>
      <c r="AU120" s="23">
        <f>VALUE(0)</f>
        <v>0</v>
      </c>
      <c r="AV120" s="23">
        <f>VALUE(10)</f>
        <v>10</v>
      </c>
      <c r="AW120" s="23">
        <f>VALUE(0)</f>
        <v>0</v>
      </c>
      <c r="AX120" s="23" t="s">
        <v>365</v>
      </c>
      <c r="AY120" s="23">
        <f>VALUE(0)</f>
        <v>0</v>
      </c>
      <c r="AZ120" s="23">
        <f>VALUE(0)</f>
        <v>0</v>
      </c>
      <c r="BA120" s="23">
        <f>VALUE(0)</f>
        <v>0</v>
      </c>
      <c r="BB120" s="23">
        <f>VALUE(0)</f>
        <v>0</v>
      </c>
      <c r="BC120" s="23">
        <f>VALUE(0)</f>
        <v>0</v>
      </c>
      <c r="BD120" s="23">
        <f>VALUE(0)</f>
        <v>0</v>
      </c>
      <c r="BE120" s="23">
        <f>VALUE(0)</f>
        <v>0</v>
      </c>
      <c r="BF120" s="23">
        <f>VALUE(0)</f>
        <v>0</v>
      </c>
      <c r="BG120" s="23">
        <f>VALUE(0)</f>
        <v>0</v>
      </c>
      <c r="BH120" s="23">
        <f>VALUE(0)</f>
        <v>0</v>
      </c>
      <c r="BI120" s="23">
        <f>VALUE(0)</f>
        <v>0</v>
      </c>
      <c r="BJ120" s="23">
        <f>VALUE(0)</f>
        <v>0</v>
      </c>
      <c r="BK120" s="12">
        <f>$AX$120*24</f>
        <v>5.3166666666666664</v>
      </c>
      <c r="BL120" s="12">
        <f>$AY$120*24</f>
        <v>0</v>
      </c>
      <c r="BM120" s="12">
        <f>$BJ$120*24</f>
        <v>0</v>
      </c>
      <c r="BN120" s="12">
        <f>VALUE($I$120)/100</f>
        <v>1</v>
      </c>
      <c r="BO120" s="12">
        <v>0</v>
      </c>
      <c r="BP120" s="12">
        <v>0</v>
      </c>
      <c r="BQ120" s="12">
        <v>0</v>
      </c>
      <c r="BR120" s="12">
        <v>0</v>
      </c>
      <c r="BS120" s="12">
        <v>0</v>
      </c>
      <c r="BT120" s="12">
        <v>0</v>
      </c>
      <c r="BU120" s="12">
        <v>0</v>
      </c>
      <c r="BV120" s="12">
        <v>0</v>
      </c>
      <c r="BW120" s="12">
        <v>0</v>
      </c>
      <c r="BX120" s="12">
        <v>0</v>
      </c>
      <c r="BY120" s="12">
        <v>0</v>
      </c>
      <c r="BZ120" s="12">
        <v>0</v>
      </c>
      <c r="CA120" s="12">
        <v>0</v>
      </c>
    </row>
    <row r="121" spans="1:79" ht="16.5" hidden="1" x14ac:dyDescent="0.2">
      <c r="A121" s="12" t="s">
        <v>120</v>
      </c>
      <c r="B121" s="12" t="s">
        <v>121</v>
      </c>
      <c r="C121" s="12" t="s">
        <v>121</v>
      </c>
      <c r="D121" s="22" t="s">
        <v>366</v>
      </c>
      <c r="E121" s="22" t="s">
        <v>159</v>
      </c>
      <c r="F121" s="22" t="s">
        <v>774</v>
      </c>
      <c r="G121" s="22" t="s">
        <v>775</v>
      </c>
      <c r="H121" s="22" t="s">
        <v>150</v>
      </c>
      <c r="I121" s="22" t="s">
        <v>151</v>
      </c>
      <c r="J121" s="22" t="s">
        <v>162</v>
      </c>
      <c r="K121" s="22" t="s">
        <v>80</v>
      </c>
      <c r="L121" s="54" t="s">
        <v>153</v>
      </c>
      <c r="M121" s="23" t="s">
        <v>222</v>
      </c>
      <c r="N121" s="24" t="s">
        <v>153</v>
      </c>
      <c r="O121" s="23" t="s">
        <v>153</v>
      </c>
      <c r="P121" s="23" t="s">
        <v>153</v>
      </c>
      <c r="Q121" s="23" t="s">
        <v>360</v>
      </c>
      <c r="R121" s="23" t="s">
        <v>360</v>
      </c>
      <c r="S121" s="23" t="s">
        <v>360</v>
      </c>
      <c r="T121" s="26" t="s">
        <v>367</v>
      </c>
      <c r="U121" s="24" t="s">
        <v>153</v>
      </c>
      <c r="V121" s="54" t="s">
        <v>153</v>
      </c>
      <c r="W121" s="23" t="s">
        <v>361</v>
      </c>
      <c r="X121" s="23" t="s">
        <v>361</v>
      </c>
      <c r="Y121" s="23" t="s">
        <v>361</v>
      </c>
      <c r="Z121" s="23" t="s">
        <v>361</v>
      </c>
      <c r="AA121" s="23" t="s">
        <v>361</v>
      </c>
      <c r="AB121" s="24" t="s">
        <v>153</v>
      </c>
      <c r="AC121" s="25" t="s">
        <v>361</v>
      </c>
      <c r="AD121" s="23" t="s">
        <v>153</v>
      </c>
      <c r="AE121" s="23" t="s">
        <v>153</v>
      </c>
      <c r="AF121" s="23" t="s">
        <v>153</v>
      </c>
      <c r="AG121" s="23" t="s">
        <v>364</v>
      </c>
      <c r="AH121" s="23" t="s">
        <v>364</v>
      </c>
      <c r="AI121" s="24" t="s">
        <v>153</v>
      </c>
      <c r="AJ121" s="23" t="s">
        <v>153</v>
      </c>
      <c r="AK121" s="23" t="s">
        <v>153</v>
      </c>
      <c r="AL121" s="23" t="s">
        <v>153</v>
      </c>
      <c r="AM121" s="23" t="s">
        <v>153</v>
      </c>
      <c r="AN121" s="24" t="s">
        <v>257</v>
      </c>
      <c r="AO121" s="24" t="s">
        <v>257</v>
      </c>
      <c r="AP121" s="23">
        <f>VALUE(0)</f>
        <v>0</v>
      </c>
      <c r="AQ121" s="23">
        <f>VALUE(0)</f>
        <v>0</v>
      </c>
      <c r="AR121" s="23">
        <f>VALUE(0)</f>
        <v>0</v>
      </c>
      <c r="AS121" s="23">
        <f>VALUE(7)</f>
        <v>7</v>
      </c>
      <c r="AT121" s="23">
        <f>VALUE(0)</f>
        <v>0</v>
      </c>
      <c r="AU121" s="23">
        <f>VALUE(0)</f>
        <v>0</v>
      </c>
      <c r="AV121" s="23">
        <f>VALUE(6)</f>
        <v>6</v>
      </c>
      <c r="AW121" s="23">
        <f>VALUE(0)</f>
        <v>0</v>
      </c>
      <c r="AX121" s="23" t="s">
        <v>227</v>
      </c>
      <c r="AY121" s="23" t="s">
        <v>368</v>
      </c>
      <c r="AZ121" s="23">
        <f>VALUE(0)</f>
        <v>0</v>
      </c>
      <c r="BA121" s="23">
        <f>VALUE(0)</f>
        <v>0</v>
      </c>
      <c r="BB121" s="23">
        <f>VALUE(0)</f>
        <v>0</v>
      </c>
      <c r="BC121" s="23">
        <f>VALUE(0)</f>
        <v>0</v>
      </c>
      <c r="BD121" s="23">
        <f>VALUE(0)</f>
        <v>0</v>
      </c>
      <c r="BE121" s="23">
        <f>VALUE(0)</f>
        <v>0</v>
      </c>
      <c r="BF121" s="23">
        <f>VALUE(0)</f>
        <v>0</v>
      </c>
      <c r="BG121" s="23">
        <f>VALUE(0)</f>
        <v>0</v>
      </c>
      <c r="BH121" s="23">
        <f>VALUE(0)</f>
        <v>0</v>
      </c>
      <c r="BI121" s="23">
        <f>VALUE(0)</f>
        <v>0</v>
      </c>
      <c r="BJ121" s="23">
        <f>VALUE(0)</f>
        <v>0</v>
      </c>
      <c r="BK121" s="12">
        <f>$AX$121*24</f>
        <v>2.8333333333333335</v>
      </c>
      <c r="BL121" s="12">
        <f>$AY$121*24</f>
        <v>3.55</v>
      </c>
      <c r="BM121" s="12">
        <f>$BJ$121*24</f>
        <v>0</v>
      </c>
      <c r="BN121" s="12">
        <f>VALUE($I$121)/100</f>
        <v>1</v>
      </c>
      <c r="BO121" s="12">
        <v>0</v>
      </c>
      <c r="BP121" s="12">
        <v>0</v>
      </c>
      <c r="BQ121" s="12">
        <v>0</v>
      </c>
      <c r="BR121" s="12">
        <v>1</v>
      </c>
      <c r="BS121" s="12">
        <v>0</v>
      </c>
      <c r="BT121" s="12">
        <v>0</v>
      </c>
      <c r="BU121" s="12">
        <v>0</v>
      </c>
      <c r="BV121" s="12">
        <v>0</v>
      </c>
      <c r="BW121" s="12">
        <v>0</v>
      </c>
      <c r="BX121" s="12">
        <v>0</v>
      </c>
      <c r="BY121" s="12">
        <v>0</v>
      </c>
      <c r="BZ121" s="12">
        <v>0</v>
      </c>
      <c r="CA121" s="12">
        <v>0</v>
      </c>
    </row>
    <row r="122" spans="1:79" ht="16.5" x14ac:dyDescent="0.2">
      <c r="A122" s="12" t="s">
        <v>120</v>
      </c>
      <c r="B122" s="12" t="s">
        <v>121</v>
      </c>
      <c r="C122" s="12" t="s">
        <v>121</v>
      </c>
      <c r="D122" s="22" t="s">
        <v>369</v>
      </c>
      <c r="E122" s="22" t="s">
        <v>173</v>
      </c>
      <c r="F122" s="22" t="s">
        <v>776</v>
      </c>
      <c r="G122" s="22" t="s">
        <v>777</v>
      </c>
      <c r="H122" s="22" t="s">
        <v>150</v>
      </c>
      <c r="I122" s="22" t="s">
        <v>151</v>
      </c>
      <c r="J122" s="22" t="s">
        <v>162</v>
      </c>
      <c r="K122" s="22" t="s">
        <v>80</v>
      </c>
      <c r="L122" s="54" t="s">
        <v>153</v>
      </c>
      <c r="M122" s="29" t="s">
        <v>170</v>
      </c>
      <c r="N122" s="24" t="s">
        <v>153</v>
      </c>
      <c r="O122" s="29" t="s">
        <v>170</v>
      </c>
      <c r="P122" s="29" t="s">
        <v>170</v>
      </c>
      <c r="Q122" s="29" t="s">
        <v>170</v>
      </c>
      <c r="R122" s="29" t="s">
        <v>170</v>
      </c>
      <c r="S122" s="29" t="s">
        <v>170</v>
      </c>
      <c r="T122" s="29" t="s">
        <v>170</v>
      </c>
      <c r="U122" s="24" t="s">
        <v>153</v>
      </c>
      <c r="V122" s="54" t="s">
        <v>153</v>
      </c>
      <c r="W122" s="29" t="s">
        <v>170</v>
      </c>
      <c r="X122" s="29" t="s">
        <v>170</v>
      </c>
      <c r="Y122" s="29" t="s">
        <v>170</v>
      </c>
      <c r="Z122" s="29" t="s">
        <v>170</v>
      </c>
      <c r="AA122" s="26" t="s">
        <v>370</v>
      </c>
      <c r="AB122" s="24" t="s">
        <v>153</v>
      </c>
      <c r="AC122" s="25" t="s">
        <v>1208</v>
      </c>
      <c r="AD122" s="23" t="s">
        <v>361</v>
      </c>
      <c r="AE122" s="23" t="s">
        <v>361</v>
      </c>
      <c r="AF122" s="23" t="s">
        <v>361</v>
      </c>
      <c r="AG122" s="24" t="s">
        <v>156</v>
      </c>
      <c r="AH122" s="24" t="s">
        <v>156</v>
      </c>
      <c r="AI122" s="24" t="s">
        <v>153</v>
      </c>
      <c r="AJ122" s="26" t="s">
        <v>1209</v>
      </c>
      <c r="AK122" s="26" t="s">
        <v>1209</v>
      </c>
      <c r="AL122" s="26" t="s">
        <v>1209</v>
      </c>
      <c r="AM122" s="26" t="s">
        <v>367</v>
      </c>
      <c r="AN122" s="26" t="s">
        <v>367</v>
      </c>
      <c r="AO122" s="26" t="s">
        <v>367</v>
      </c>
      <c r="AP122" s="23">
        <f>VALUE(10)</f>
        <v>10</v>
      </c>
      <c r="AQ122" s="23">
        <f>VALUE(0)</f>
        <v>0</v>
      </c>
      <c r="AR122" s="23">
        <f>VALUE(11)</f>
        <v>11</v>
      </c>
      <c r="AS122" s="23">
        <f>VALUE(0)</f>
        <v>0</v>
      </c>
      <c r="AT122" s="23">
        <f>VALUE(0)</f>
        <v>0</v>
      </c>
      <c r="AU122" s="23">
        <f>VALUE(0)</f>
        <v>0</v>
      </c>
      <c r="AV122" s="23">
        <f>VALUE(6)</f>
        <v>6</v>
      </c>
      <c r="AW122" s="23">
        <f>VALUE(0)</f>
        <v>0</v>
      </c>
      <c r="AX122" s="23" t="s">
        <v>171</v>
      </c>
      <c r="AY122" s="23" t="s">
        <v>371</v>
      </c>
      <c r="AZ122" s="23">
        <f>VALUE(0)</f>
        <v>0</v>
      </c>
      <c r="BA122" s="23">
        <f>VALUE(0)</f>
        <v>0</v>
      </c>
      <c r="BB122" s="23">
        <f>VALUE(0)</f>
        <v>0</v>
      </c>
      <c r="BC122" s="23">
        <f>VALUE(0)</f>
        <v>0</v>
      </c>
      <c r="BD122" s="23">
        <f>VALUE(4)</f>
        <v>4</v>
      </c>
      <c r="BE122" s="23">
        <f>VALUE(0)</f>
        <v>0</v>
      </c>
      <c r="BF122" s="23">
        <f>VALUE(0)</f>
        <v>0</v>
      </c>
      <c r="BG122" s="23">
        <f>VALUE(0)</f>
        <v>0</v>
      </c>
      <c r="BH122" s="23">
        <f>VALUE(0)</f>
        <v>0</v>
      </c>
      <c r="BI122" s="23">
        <f>VALUE(0)</f>
        <v>0</v>
      </c>
      <c r="BJ122" s="23">
        <f>VALUE(0)</f>
        <v>0</v>
      </c>
      <c r="BK122" s="12">
        <f>$AX$122*24</f>
        <v>5.833333333333333</v>
      </c>
      <c r="BL122" s="12">
        <f>$AY$122*24</f>
        <v>6.2166666666666668</v>
      </c>
      <c r="BM122" s="12">
        <f>$BJ$122*24</f>
        <v>0</v>
      </c>
      <c r="BN122" s="12">
        <f>VALUE($I$122)/100</f>
        <v>1</v>
      </c>
      <c r="BO122" s="12">
        <v>0</v>
      </c>
      <c r="BP122" s="12">
        <v>0</v>
      </c>
      <c r="BQ122" s="12">
        <v>0</v>
      </c>
      <c r="BR122" s="12">
        <v>1</v>
      </c>
      <c r="BS122" s="12">
        <v>0</v>
      </c>
      <c r="BT122" s="12">
        <v>0</v>
      </c>
      <c r="BU122" s="12">
        <v>11</v>
      </c>
      <c r="BV122" s="12">
        <v>0</v>
      </c>
      <c r="BW122" s="12">
        <v>0</v>
      </c>
      <c r="BX122" s="12">
        <v>0</v>
      </c>
      <c r="BY122" s="12">
        <v>0</v>
      </c>
      <c r="BZ122" s="12">
        <v>0</v>
      </c>
      <c r="CA122" s="12">
        <v>0</v>
      </c>
    </row>
    <row r="123" spans="1:79" ht="16.5" hidden="1" x14ac:dyDescent="0.2">
      <c r="A123" s="12" t="s">
        <v>120</v>
      </c>
      <c r="B123" s="12" t="s">
        <v>121</v>
      </c>
      <c r="C123" s="12" t="s">
        <v>121</v>
      </c>
      <c r="D123" s="22" t="s">
        <v>372</v>
      </c>
      <c r="E123" s="22" t="s">
        <v>173</v>
      </c>
      <c r="F123" s="22" t="s">
        <v>778</v>
      </c>
      <c r="G123" s="22" t="s">
        <v>779</v>
      </c>
      <c r="H123" s="22" t="s">
        <v>150</v>
      </c>
      <c r="I123" s="22" t="s">
        <v>151</v>
      </c>
      <c r="J123" s="22" t="s">
        <v>162</v>
      </c>
      <c r="K123" s="22" t="s">
        <v>80</v>
      </c>
      <c r="L123" s="54" t="s">
        <v>153</v>
      </c>
      <c r="M123" s="24" t="s">
        <v>156</v>
      </c>
      <c r="N123" s="24" t="s">
        <v>153</v>
      </c>
      <c r="O123" s="26" t="s">
        <v>367</v>
      </c>
      <c r="P123" s="26" t="s">
        <v>367</v>
      </c>
      <c r="Q123" s="26" t="s">
        <v>367</v>
      </c>
      <c r="R123" s="26" t="s">
        <v>367</v>
      </c>
      <c r="S123" s="26" t="s">
        <v>367</v>
      </c>
      <c r="T123" s="28" t="s">
        <v>163</v>
      </c>
      <c r="U123" s="24" t="s">
        <v>153</v>
      </c>
      <c r="V123" s="54" t="s">
        <v>153</v>
      </c>
      <c r="W123" s="26" t="s">
        <v>367</v>
      </c>
      <c r="X123" s="26" t="s">
        <v>367</v>
      </c>
      <c r="Y123" s="26" t="s">
        <v>367</v>
      </c>
      <c r="Z123" s="26" t="s">
        <v>367</v>
      </c>
      <c r="AA123" s="26" t="s">
        <v>367</v>
      </c>
      <c r="AB123" s="24" t="s">
        <v>153</v>
      </c>
      <c r="AC123" s="26" t="s">
        <v>367</v>
      </c>
      <c r="AD123" s="26" t="s">
        <v>367</v>
      </c>
      <c r="AE123" s="26" t="s">
        <v>367</v>
      </c>
      <c r="AF123" s="26" t="s">
        <v>367</v>
      </c>
      <c r="AG123" s="26" t="s">
        <v>367</v>
      </c>
      <c r="AH123" s="26" t="s">
        <v>367</v>
      </c>
      <c r="AI123" s="24" t="s">
        <v>153</v>
      </c>
      <c r="AJ123" s="26" t="s">
        <v>367</v>
      </c>
      <c r="AK123" s="26" t="s">
        <v>367</v>
      </c>
      <c r="AL123" s="26" t="s">
        <v>367</v>
      </c>
      <c r="AM123" s="24" t="s">
        <v>156</v>
      </c>
      <c r="AN123" s="24" t="s">
        <v>156</v>
      </c>
      <c r="AO123" s="24" t="s">
        <v>156</v>
      </c>
      <c r="AP123" s="23">
        <f>VALUE(2)</f>
        <v>2</v>
      </c>
      <c r="AQ123" s="23">
        <f>VALUE(0)</f>
        <v>0</v>
      </c>
      <c r="AR123" s="23">
        <f>VALUE(0)</f>
        <v>0</v>
      </c>
      <c r="AS123" s="23">
        <f>VALUE(0)</f>
        <v>0</v>
      </c>
      <c r="AT123" s="23">
        <f>VALUE(0)</f>
        <v>0</v>
      </c>
      <c r="AU123" s="23">
        <f>VALUE(1)</f>
        <v>1</v>
      </c>
      <c r="AV123" s="23">
        <f>VALUE(6)</f>
        <v>6</v>
      </c>
      <c r="AW123" s="23">
        <f>VALUE(0)</f>
        <v>0</v>
      </c>
      <c r="AX123" s="23" t="s">
        <v>176</v>
      </c>
      <c r="AY123" s="23" t="s">
        <v>373</v>
      </c>
      <c r="AZ123" s="23">
        <f>VALUE(0)</f>
        <v>0</v>
      </c>
      <c r="BA123" s="23">
        <f>VALUE(0)</f>
        <v>0</v>
      </c>
      <c r="BB123" s="23">
        <f>VALUE(0)</f>
        <v>0</v>
      </c>
      <c r="BC123" s="23">
        <f>VALUE(0)</f>
        <v>0</v>
      </c>
      <c r="BD123" s="23">
        <f>VALUE(0)</f>
        <v>0</v>
      </c>
      <c r="BE123" s="23">
        <f>VALUE(0)</f>
        <v>0</v>
      </c>
      <c r="BF123" s="23">
        <f>VALUE(0)</f>
        <v>0</v>
      </c>
      <c r="BG123" s="23">
        <f>VALUE(0)</f>
        <v>0</v>
      </c>
      <c r="BH123" s="23">
        <f>VALUE(0)</f>
        <v>0</v>
      </c>
      <c r="BI123" s="23">
        <f>VALUE(0)</f>
        <v>0</v>
      </c>
      <c r="BJ123" s="23">
        <f>VALUE(0)</f>
        <v>0</v>
      </c>
      <c r="BK123" s="12">
        <f>$AX$123*24</f>
        <v>0</v>
      </c>
      <c r="BL123" s="12">
        <f>$AY$123*24</f>
        <v>12.166666666666666</v>
      </c>
      <c r="BM123" s="12">
        <f>$BJ$123*24</f>
        <v>0</v>
      </c>
      <c r="BN123" s="12">
        <f>VALUE($I$123)/100</f>
        <v>1</v>
      </c>
      <c r="BO123" s="12">
        <v>0</v>
      </c>
      <c r="BP123" s="12">
        <v>0</v>
      </c>
      <c r="BQ123" s="12">
        <v>0</v>
      </c>
      <c r="BR123" s="12">
        <v>0</v>
      </c>
      <c r="BS123" s="12">
        <v>0</v>
      </c>
      <c r="BT123" s="12">
        <v>0</v>
      </c>
      <c r="BU123" s="12">
        <v>0</v>
      </c>
      <c r="BV123" s="12">
        <v>0</v>
      </c>
      <c r="BW123" s="12">
        <v>0</v>
      </c>
      <c r="BX123" s="12">
        <v>0</v>
      </c>
      <c r="BY123" s="12">
        <v>0</v>
      </c>
      <c r="BZ123" s="12">
        <v>0</v>
      </c>
      <c r="CA123" s="12">
        <v>0</v>
      </c>
    </row>
    <row r="124" spans="1:79" ht="15" hidden="1" x14ac:dyDescent="0.25">
      <c r="A124" s="12" t="s">
        <v>120</v>
      </c>
      <c r="B124" s="12" t="s">
        <v>121</v>
      </c>
      <c r="C124" s="12" t="s">
        <v>121</v>
      </c>
      <c r="D124" s="31" t="s">
        <v>323</v>
      </c>
      <c r="E124" s="31" t="s">
        <v>153</v>
      </c>
      <c r="F124" s="31" t="s">
        <v>175</v>
      </c>
      <c r="G124" s="31" t="s">
        <v>153</v>
      </c>
      <c r="H124" s="31" t="s">
        <v>153</v>
      </c>
      <c r="I124" s="31" t="s">
        <v>153</v>
      </c>
      <c r="J124" s="31" t="s">
        <v>153</v>
      </c>
      <c r="K124" s="31" t="s">
        <v>153</v>
      </c>
      <c r="L124" s="31">
        <f>VALUE(0)</f>
        <v>0</v>
      </c>
      <c r="M124" s="31">
        <f>VALUE(3)</f>
        <v>3</v>
      </c>
      <c r="N124" s="31">
        <f>VALUE(0)</f>
        <v>0</v>
      </c>
      <c r="O124" s="31">
        <f>VALUE(2)</f>
        <v>2</v>
      </c>
      <c r="P124" s="31">
        <f>VALUE(2)</f>
        <v>2</v>
      </c>
      <c r="Q124" s="31">
        <f>VALUE(3)</f>
        <v>3</v>
      </c>
      <c r="R124" s="31">
        <f>VALUE(4)</f>
        <v>4</v>
      </c>
      <c r="S124" s="31">
        <f>VALUE(4)</f>
        <v>4</v>
      </c>
      <c r="T124" s="31">
        <f>VALUE(3)</f>
        <v>3</v>
      </c>
      <c r="U124" s="31">
        <f>VALUE(0)</f>
        <v>0</v>
      </c>
      <c r="V124" s="31">
        <f>VALUE(0)</f>
        <v>0</v>
      </c>
      <c r="W124" s="31">
        <f>VALUE(4)</f>
        <v>4</v>
      </c>
      <c r="X124" s="31">
        <f>VALUE(4)</f>
        <v>4</v>
      </c>
      <c r="Y124" s="31">
        <f>VALUE(4)</f>
        <v>4</v>
      </c>
      <c r="Z124" s="31">
        <f>VALUE(4)</f>
        <v>4</v>
      </c>
      <c r="AA124" s="31">
        <f>VALUE(4)</f>
        <v>4</v>
      </c>
      <c r="AB124" s="31">
        <f>VALUE(0)</f>
        <v>0</v>
      </c>
      <c r="AC124" s="31">
        <f>VALUE(5)</f>
        <v>5</v>
      </c>
      <c r="AD124" s="31">
        <f>VALUE(5)</f>
        <v>5</v>
      </c>
      <c r="AE124" s="31">
        <f>VALUE(5)</f>
        <v>5</v>
      </c>
      <c r="AF124" s="31">
        <f>VALUE(5)</f>
        <v>5</v>
      </c>
      <c r="AG124" s="31">
        <f>VALUE(4)</f>
        <v>4</v>
      </c>
      <c r="AH124" s="31">
        <f>VALUE(3)</f>
        <v>3</v>
      </c>
      <c r="AI124" s="31">
        <f>VALUE(0)</f>
        <v>0</v>
      </c>
      <c r="AJ124" s="31">
        <f>VALUE(6)</f>
        <v>6</v>
      </c>
      <c r="AK124" s="31">
        <f>VALUE(6)</f>
        <v>6</v>
      </c>
      <c r="AL124" s="31">
        <f>VALUE(6)</f>
        <v>6</v>
      </c>
      <c r="AM124" s="31">
        <f>VALUE(5)</f>
        <v>5</v>
      </c>
      <c r="AN124" s="31">
        <f>VALUE(4)</f>
        <v>4</v>
      </c>
      <c r="AO124" s="31">
        <f>VALUE(3)</f>
        <v>3</v>
      </c>
      <c r="AP124" s="31">
        <v>0</v>
      </c>
      <c r="AQ124" s="31">
        <v>0</v>
      </c>
      <c r="AR124" s="31">
        <v>0</v>
      </c>
      <c r="AS124" s="31">
        <v>0</v>
      </c>
      <c r="AT124" s="31">
        <v>0</v>
      </c>
      <c r="AU124" s="31">
        <v>0</v>
      </c>
      <c r="AV124" s="31">
        <v>0</v>
      </c>
      <c r="AW124" s="31">
        <v>0</v>
      </c>
      <c r="AX124" s="31">
        <v>0</v>
      </c>
      <c r="AY124" s="31">
        <v>0</v>
      </c>
      <c r="AZ124" s="31">
        <v>0</v>
      </c>
      <c r="BA124" s="31">
        <v>0</v>
      </c>
      <c r="BB124" s="31">
        <v>0</v>
      </c>
      <c r="BC124" s="31">
        <v>0</v>
      </c>
      <c r="BD124" s="31">
        <v>0</v>
      </c>
      <c r="BE124" s="31">
        <v>0</v>
      </c>
      <c r="BF124" s="31">
        <v>0</v>
      </c>
      <c r="BG124" s="31">
        <v>0</v>
      </c>
      <c r="BH124" s="31">
        <v>0</v>
      </c>
      <c r="BI124" s="31">
        <v>0</v>
      </c>
      <c r="BJ124" s="31">
        <v>0</v>
      </c>
      <c r="BK124" s="12">
        <v>0</v>
      </c>
      <c r="BL124" s="12">
        <v>0</v>
      </c>
      <c r="BM124" s="12">
        <v>0</v>
      </c>
      <c r="BN124" s="12"/>
      <c r="BO124" s="12">
        <v>0</v>
      </c>
      <c r="BP124" s="12">
        <v>0</v>
      </c>
      <c r="BQ124" s="12">
        <v>0</v>
      </c>
      <c r="BR124" s="12">
        <v>0</v>
      </c>
      <c r="BS124" s="12">
        <v>0</v>
      </c>
      <c r="BT124" s="12">
        <v>0</v>
      </c>
      <c r="BU124" s="12">
        <v>0</v>
      </c>
      <c r="BV124" s="12">
        <v>0</v>
      </c>
      <c r="BW124" s="12">
        <v>0</v>
      </c>
      <c r="BX124" s="12">
        <v>0</v>
      </c>
      <c r="BY124" s="12">
        <v>0</v>
      </c>
      <c r="BZ124" s="12">
        <v>0</v>
      </c>
      <c r="CA124" s="12">
        <v>0</v>
      </c>
    </row>
    <row r="125" spans="1:79" ht="16.5" hidden="1" x14ac:dyDescent="0.2">
      <c r="A125" s="12" t="s">
        <v>120</v>
      </c>
      <c r="B125" s="12" t="s">
        <v>122</v>
      </c>
      <c r="C125" s="12" t="s">
        <v>122</v>
      </c>
      <c r="D125" s="22" t="s">
        <v>374</v>
      </c>
      <c r="E125" s="22" t="s">
        <v>173</v>
      </c>
      <c r="F125" s="22" t="s">
        <v>780</v>
      </c>
      <c r="G125" s="22" t="s">
        <v>781</v>
      </c>
      <c r="H125" s="22" t="s">
        <v>150</v>
      </c>
      <c r="I125" s="22" t="s">
        <v>151</v>
      </c>
      <c r="J125" s="22" t="s">
        <v>162</v>
      </c>
      <c r="K125" s="22" t="s">
        <v>81</v>
      </c>
      <c r="L125" s="54" t="s">
        <v>153</v>
      </c>
      <c r="M125" s="26" t="s">
        <v>591</v>
      </c>
      <c r="N125" s="24" t="s">
        <v>153</v>
      </c>
      <c r="O125" s="23" t="s">
        <v>391</v>
      </c>
      <c r="P125" s="23" t="s">
        <v>391</v>
      </c>
      <c r="Q125" s="26" t="s">
        <v>591</v>
      </c>
      <c r="R125" s="26" t="s">
        <v>591</v>
      </c>
      <c r="S125" s="26" t="s">
        <v>591</v>
      </c>
      <c r="T125" s="26" t="s">
        <v>591</v>
      </c>
      <c r="U125" s="24" t="s">
        <v>153</v>
      </c>
      <c r="V125" s="54" t="s">
        <v>153</v>
      </c>
      <c r="W125" s="26" t="s">
        <v>591</v>
      </c>
      <c r="X125" s="26" t="s">
        <v>591</v>
      </c>
      <c r="Y125" s="26" t="s">
        <v>591</v>
      </c>
      <c r="Z125" s="26" t="s">
        <v>591</v>
      </c>
      <c r="AA125" s="26" t="s">
        <v>591</v>
      </c>
      <c r="AB125" s="24" t="s">
        <v>153</v>
      </c>
      <c r="AC125" s="26" t="s">
        <v>591</v>
      </c>
      <c r="AD125" s="26" t="s">
        <v>591</v>
      </c>
      <c r="AE125" s="26" t="s">
        <v>591</v>
      </c>
      <c r="AF125" s="26" t="s">
        <v>591</v>
      </c>
      <c r="AG125" s="24" t="s">
        <v>156</v>
      </c>
      <c r="AH125" s="24" t="s">
        <v>156</v>
      </c>
      <c r="AI125" s="24" t="s">
        <v>153</v>
      </c>
      <c r="AJ125" s="25" t="s">
        <v>385</v>
      </c>
      <c r="AK125" s="26" t="s">
        <v>1210</v>
      </c>
      <c r="AL125" s="25" t="s">
        <v>429</v>
      </c>
      <c r="AM125" s="25" t="s">
        <v>429</v>
      </c>
      <c r="AN125" s="25" t="s">
        <v>429</v>
      </c>
      <c r="AO125" s="25" t="s">
        <v>429</v>
      </c>
      <c r="AP125" s="23">
        <f>VALUE(1)</f>
        <v>1</v>
      </c>
      <c r="AQ125" s="23">
        <f>VALUE(0)</f>
        <v>0</v>
      </c>
      <c r="AR125" s="23">
        <f>VALUE(0)</f>
        <v>0</v>
      </c>
      <c r="AS125" s="23">
        <f>VALUE(0)</f>
        <v>0</v>
      </c>
      <c r="AT125" s="23">
        <f>VALUE(0)</f>
        <v>0</v>
      </c>
      <c r="AU125" s="23">
        <f>VALUE(0)</f>
        <v>0</v>
      </c>
      <c r="AV125" s="23">
        <f>VALUE(5)</f>
        <v>5</v>
      </c>
      <c r="AW125" s="23">
        <f>VALUE(0)</f>
        <v>0</v>
      </c>
      <c r="AX125" s="23" t="s">
        <v>171</v>
      </c>
      <c r="AY125" s="23" t="s">
        <v>387</v>
      </c>
      <c r="AZ125" s="23">
        <f>VALUE(0)</f>
        <v>0</v>
      </c>
      <c r="BA125" s="23">
        <f>VALUE(0)</f>
        <v>0</v>
      </c>
      <c r="BB125" s="23">
        <f>VALUE(0)</f>
        <v>0</v>
      </c>
      <c r="BC125" s="23">
        <f>VALUE(0)</f>
        <v>0</v>
      </c>
      <c r="BD125" s="23">
        <f>VALUE(0)</f>
        <v>0</v>
      </c>
      <c r="BE125" s="23">
        <f>VALUE(0)</f>
        <v>0</v>
      </c>
      <c r="BF125" s="23">
        <f>VALUE(0)</f>
        <v>0</v>
      </c>
      <c r="BG125" s="23">
        <f>VALUE(0)</f>
        <v>0</v>
      </c>
      <c r="BH125" s="23">
        <f>VALUE(0)</f>
        <v>0</v>
      </c>
      <c r="BI125" s="23">
        <f>VALUE(0)</f>
        <v>0</v>
      </c>
      <c r="BJ125" s="23">
        <f>VALUE(0)</f>
        <v>0</v>
      </c>
      <c r="BK125" s="12">
        <f>$AX$125*24</f>
        <v>5.833333333333333</v>
      </c>
      <c r="BL125" s="12">
        <f>$AY$125*24</f>
        <v>3.35</v>
      </c>
      <c r="BM125" s="12">
        <f>$BJ$125*24</f>
        <v>0</v>
      </c>
      <c r="BN125" s="12">
        <f>VALUE($I$125)/100</f>
        <v>1</v>
      </c>
      <c r="BO125" s="12">
        <v>0</v>
      </c>
      <c r="BP125" s="12">
        <v>0</v>
      </c>
      <c r="BQ125" s="12">
        <v>0</v>
      </c>
      <c r="BR125" s="12">
        <v>0</v>
      </c>
      <c r="BS125" s="12">
        <v>0</v>
      </c>
      <c r="BT125" s="12">
        <v>0</v>
      </c>
      <c r="BU125" s="12">
        <v>0</v>
      </c>
      <c r="BV125" s="12">
        <v>0</v>
      </c>
      <c r="BW125" s="12">
        <v>0</v>
      </c>
      <c r="BX125" s="12">
        <v>0</v>
      </c>
      <c r="BY125" s="12">
        <v>0</v>
      </c>
      <c r="BZ125" s="12">
        <v>0</v>
      </c>
      <c r="CA125" s="12">
        <v>0</v>
      </c>
    </row>
    <row r="126" spans="1:79" hidden="1" x14ac:dyDescent="0.2">
      <c r="A126" s="12" t="s">
        <v>120</v>
      </c>
      <c r="B126" s="12" t="s">
        <v>122</v>
      </c>
      <c r="C126" s="12" t="s">
        <v>122</v>
      </c>
      <c r="D126" s="22" t="s">
        <v>377</v>
      </c>
      <c r="E126" s="22" t="s">
        <v>159</v>
      </c>
      <c r="F126" s="22" t="s">
        <v>782</v>
      </c>
      <c r="G126" s="22" t="s">
        <v>783</v>
      </c>
      <c r="H126" s="22" t="s">
        <v>150</v>
      </c>
      <c r="I126" s="22" t="s">
        <v>151</v>
      </c>
      <c r="J126" s="22" t="s">
        <v>162</v>
      </c>
      <c r="K126" s="22" t="s">
        <v>81</v>
      </c>
      <c r="L126" s="54" t="s">
        <v>153</v>
      </c>
      <c r="M126" s="28" t="s">
        <v>163</v>
      </c>
      <c r="N126" s="24" t="s">
        <v>153</v>
      </c>
      <c r="O126" s="25" t="s">
        <v>388</v>
      </c>
      <c r="P126" s="24" t="s">
        <v>156</v>
      </c>
      <c r="Q126" s="23" t="s">
        <v>153</v>
      </c>
      <c r="R126" s="23" t="s">
        <v>153</v>
      </c>
      <c r="S126" s="23" t="s">
        <v>153</v>
      </c>
      <c r="T126" s="23" t="s">
        <v>153</v>
      </c>
      <c r="U126" s="24" t="s">
        <v>153</v>
      </c>
      <c r="V126" s="54" t="s">
        <v>153</v>
      </c>
      <c r="W126" s="23" t="s">
        <v>153</v>
      </c>
      <c r="X126" s="23" t="s">
        <v>153</v>
      </c>
      <c r="Y126" s="23" t="s">
        <v>153</v>
      </c>
      <c r="Z126" s="23" t="s">
        <v>153</v>
      </c>
      <c r="AA126" s="23" t="s">
        <v>153</v>
      </c>
      <c r="AB126" s="24" t="s">
        <v>153</v>
      </c>
      <c r="AC126" s="23" t="s">
        <v>153</v>
      </c>
      <c r="AD126" s="23" t="s">
        <v>153</v>
      </c>
      <c r="AE126" s="24" t="s">
        <v>156</v>
      </c>
      <c r="AF126" s="24" t="s">
        <v>156</v>
      </c>
      <c r="AG126" s="23" t="s">
        <v>386</v>
      </c>
      <c r="AH126" s="23" t="s">
        <v>392</v>
      </c>
      <c r="AI126" s="24" t="s">
        <v>153</v>
      </c>
      <c r="AJ126" s="23" t="s">
        <v>153</v>
      </c>
      <c r="AK126" s="23" t="s">
        <v>153</v>
      </c>
      <c r="AL126" s="23" t="s">
        <v>153</v>
      </c>
      <c r="AM126" s="23" t="s">
        <v>153</v>
      </c>
      <c r="AN126" s="23" t="s">
        <v>153</v>
      </c>
      <c r="AO126" s="23" t="s">
        <v>153</v>
      </c>
      <c r="AP126" s="23">
        <f>VALUE(0)</f>
        <v>0</v>
      </c>
      <c r="AQ126" s="23">
        <f>VALUE(0)</f>
        <v>0</v>
      </c>
      <c r="AR126" s="23">
        <f>VALUE(0)</f>
        <v>0</v>
      </c>
      <c r="AS126" s="23">
        <f>VALUE(17)</f>
        <v>17</v>
      </c>
      <c r="AT126" s="23">
        <f>VALUE(0)</f>
        <v>0</v>
      </c>
      <c r="AU126" s="23">
        <f>VALUE(1)</f>
        <v>1</v>
      </c>
      <c r="AV126" s="23">
        <f>VALUE(0)</f>
        <v>0</v>
      </c>
      <c r="AW126" s="23">
        <f>VALUE(0)</f>
        <v>0</v>
      </c>
      <c r="AX126" s="23" t="s">
        <v>394</v>
      </c>
      <c r="AY126" s="23" t="s">
        <v>395</v>
      </c>
      <c r="AZ126" s="23">
        <f>VALUE(0)</f>
        <v>0</v>
      </c>
      <c r="BA126" s="23">
        <f>VALUE(0)</f>
        <v>0</v>
      </c>
      <c r="BB126" s="23">
        <f>VALUE(0)</f>
        <v>0</v>
      </c>
      <c r="BC126" s="23">
        <f>VALUE(0)</f>
        <v>0</v>
      </c>
      <c r="BD126" s="23">
        <f>VALUE(0)</f>
        <v>0</v>
      </c>
      <c r="BE126" s="23">
        <f>VALUE(0)</f>
        <v>0</v>
      </c>
      <c r="BF126" s="23">
        <f>VALUE(0)</f>
        <v>0</v>
      </c>
      <c r="BG126" s="23">
        <f>VALUE(0)</f>
        <v>0</v>
      </c>
      <c r="BH126" s="23">
        <f>VALUE(0)</f>
        <v>0</v>
      </c>
      <c r="BI126" s="23">
        <f>VALUE(0)</f>
        <v>0</v>
      </c>
      <c r="BJ126" s="23">
        <f>VALUE(0)</f>
        <v>0</v>
      </c>
      <c r="BK126" s="12">
        <f>$AX$126*24</f>
        <v>9.3333333333333339</v>
      </c>
      <c r="BL126" s="12">
        <f>$AY$126*24</f>
        <v>12.033333333333333</v>
      </c>
      <c r="BM126" s="12">
        <f>$BJ$126*24</f>
        <v>0</v>
      </c>
      <c r="BN126" s="12">
        <f>VALUE($I$126)/100</f>
        <v>1</v>
      </c>
      <c r="BO126" s="12">
        <v>0</v>
      </c>
      <c r="BP126" s="12">
        <v>0</v>
      </c>
      <c r="BQ126" s="12">
        <v>0</v>
      </c>
      <c r="BR126" s="12">
        <v>0</v>
      </c>
      <c r="BS126" s="12">
        <v>0</v>
      </c>
      <c r="BT126" s="12">
        <v>0</v>
      </c>
      <c r="BU126" s="12">
        <v>0</v>
      </c>
      <c r="BV126" s="12">
        <v>0</v>
      </c>
      <c r="BW126" s="12">
        <v>0</v>
      </c>
      <c r="BX126" s="12">
        <v>0</v>
      </c>
      <c r="BY126" s="12">
        <v>0</v>
      </c>
      <c r="BZ126" s="12">
        <v>0</v>
      </c>
      <c r="CA126" s="12">
        <v>0</v>
      </c>
    </row>
    <row r="127" spans="1:79" x14ac:dyDescent="0.2">
      <c r="A127" s="12" t="s">
        <v>120</v>
      </c>
      <c r="B127" s="12" t="s">
        <v>122</v>
      </c>
      <c r="C127" s="12" t="s">
        <v>122</v>
      </c>
      <c r="D127" s="22" t="s">
        <v>396</v>
      </c>
      <c r="E127" s="22" t="s">
        <v>159</v>
      </c>
      <c r="F127" s="22" t="s">
        <v>784</v>
      </c>
      <c r="G127" s="22" t="s">
        <v>785</v>
      </c>
      <c r="H127" s="22" t="s">
        <v>166</v>
      </c>
      <c r="I127" s="22" t="s">
        <v>151</v>
      </c>
      <c r="J127" s="22" t="s">
        <v>162</v>
      </c>
      <c r="K127" s="22" t="s">
        <v>81</v>
      </c>
      <c r="L127" s="54" t="s">
        <v>153</v>
      </c>
      <c r="M127" s="28" t="s">
        <v>163</v>
      </c>
      <c r="N127" s="24" t="s">
        <v>153</v>
      </c>
      <c r="O127" s="28" t="s">
        <v>163</v>
      </c>
      <c r="P127" s="28" t="s">
        <v>163</v>
      </c>
      <c r="Q127" s="28" t="s">
        <v>163</v>
      </c>
      <c r="R127" s="28" t="s">
        <v>163</v>
      </c>
      <c r="S127" s="28" t="s">
        <v>163</v>
      </c>
      <c r="T127" s="28" t="s">
        <v>163</v>
      </c>
      <c r="U127" s="24" t="s">
        <v>153</v>
      </c>
      <c r="V127" s="54" t="s">
        <v>153</v>
      </c>
      <c r="W127" s="23" t="s">
        <v>391</v>
      </c>
      <c r="X127" s="23" t="s">
        <v>391</v>
      </c>
      <c r="Y127" s="23" t="s">
        <v>391</v>
      </c>
      <c r="Z127" s="23" t="s">
        <v>391</v>
      </c>
      <c r="AA127" s="23" t="s">
        <v>391</v>
      </c>
      <c r="AB127" s="24" t="s">
        <v>153</v>
      </c>
      <c r="AC127" s="24" t="s">
        <v>156</v>
      </c>
      <c r="AD127" s="24" t="s">
        <v>156</v>
      </c>
      <c r="AE127" s="23" t="s">
        <v>383</v>
      </c>
      <c r="AF127" s="23" t="s">
        <v>383</v>
      </c>
      <c r="AG127" s="23" t="s">
        <v>383</v>
      </c>
      <c r="AH127" s="23" t="s">
        <v>383</v>
      </c>
      <c r="AI127" s="24" t="s">
        <v>153</v>
      </c>
      <c r="AJ127" s="23" t="s">
        <v>153</v>
      </c>
      <c r="AK127" s="23" t="s">
        <v>153</v>
      </c>
      <c r="AL127" s="29" t="s">
        <v>218</v>
      </c>
      <c r="AM127" s="23" t="s">
        <v>153</v>
      </c>
      <c r="AN127" s="23" t="s">
        <v>153</v>
      </c>
      <c r="AO127" s="23" t="s">
        <v>153</v>
      </c>
      <c r="AP127" s="23">
        <f>VALUE(0)</f>
        <v>0</v>
      </c>
      <c r="AQ127" s="23">
        <f>VALUE(0)</f>
        <v>0</v>
      </c>
      <c r="AR127" s="23">
        <f>VALUE(1)</f>
        <v>1</v>
      </c>
      <c r="AS127" s="23">
        <f>VALUE(5)</f>
        <v>5</v>
      </c>
      <c r="AT127" s="23">
        <f>VALUE(0)</f>
        <v>0</v>
      </c>
      <c r="AU127" s="23">
        <f>VALUE(7)</f>
        <v>7</v>
      </c>
      <c r="AV127" s="23">
        <f>VALUE(2.5)</f>
        <v>2.5</v>
      </c>
      <c r="AW127" s="23">
        <f>VALUE(0)</f>
        <v>0</v>
      </c>
      <c r="AX127" s="23" t="s">
        <v>1211</v>
      </c>
      <c r="AY127" s="23">
        <f>VALUE(0)</f>
        <v>0</v>
      </c>
      <c r="AZ127" s="23">
        <f>VALUE(0)</f>
        <v>0</v>
      </c>
      <c r="BA127" s="23">
        <f>VALUE(0)</f>
        <v>0</v>
      </c>
      <c r="BB127" s="23">
        <f>VALUE(0)</f>
        <v>0</v>
      </c>
      <c r="BC127" s="23">
        <f>VALUE(0)</f>
        <v>0</v>
      </c>
      <c r="BD127" s="23">
        <f>VALUE(0)</f>
        <v>0</v>
      </c>
      <c r="BE127" s="23">
        <f>VALUE(0)</f>
        <v>0</v>
      </c>
      <c r="BF127" s="23">
        <f>VALUE(0)</f>
        <v>0</v>
      </c>
      <c r="BG127" s="23">
        <f>VALUE(0)</f>
        <v>0</v>
      </c>
      <c r="BH127" s="23">
        <f>VALUE(0)</f>
        <v>0</v>
      </c>
      <c r="BI127" s="23">
        <f>VALUE(0)</f>
        <v>0</v>
      </c>
      <c r="BJ127" s="23">
        <f>VALUE(0)</f>
        <v>0</v>
      </c>
      <c r="BK127" s="12">
        <f>$AX$127*24</f>
        <v>53.283333333333331</v>
      </c>
      <c r="BL127" s="12">
        <f>$AY$127*24</f>
        <v>0</v>
      </c>
      <c r="BM127" s="12">
        <f>$BJ$127*24</f>
        <v>0</v>
      </c>
      <c r="BN127" s="12">
        <f>VALUE($I$127)/100</f>
        <v>1</v>
      </c>
      <c r="BO127" s="12">
        <v>0</v>
      </c>
      <c r="BP127" s="12">
        <v>0</v>
      </c>
      <c r="BQ127" s="12">
        <v>0</v>
      </c>
      <c r="BR127" s="12">
        <v>0</v>
      </c>
      <c r="BS127" s="12">
        <v>1</v>
      </c>
      <c r="BT127" s="12">
        <v>0</v>
      </c>
      <c r="BU127" s="12">
        <v>0</v>
      </c>
      <c r="BV127" s="12">
        <v>0</v>
      </c>
      <c r="BW127" s="12">
        <v>0</v>
      </c>
      <c r="BX127" s="12">
        <v>0</v>
      </c>
      <c r="BY127" s="12">
        <v>0</v>
      </c>
      <c r="BZ127" s="12">
        <v>0</v>
      </c>
      <c r="CA127" s="12">
        <v>0</v>
      </c>
    </row>
    <row r="128" spans="1:79" hidden="1" x14ac:dyDescent="0.2">
      <c r="A128" s="12" t="s">
        <v>120</v>
      </c>
      <c r="B128" s="12" t="s">
        <v>122</v>
      </c>
      <c r="C128" s="12" t="s">
        <v>122</v>
      </c>
      <c r="D128" s="22" t="s">
        <v>399</v>
      </c>
      <c r="E128" s="22" t="s">
        <v>173</v>
      </c>
      <c r="F128" s="22" t="s">
        <v>786</v>
      </c>
      <c r="G128" s="22" t="s">
        <v>787</v>
      </c>
      <c r="H128" s="22" t="s">
        <v>150</v>
      </c>
      <c r="I128" s="22" t="s">
        <v>151</v>
      </c>
      <c r="J128" s="22" t="s">
        <v>162</v>
      </c>
      <c r="K128" s="22" t="s">
        <v>81</v>
      </c>
      <c r="L128" s="54" t="s">
        <v>153</v>
      </c>
      <c r="M128" s="23" t="s">
        <v>386</v>
      </c>
      <c r="N128" s="24" t="s">
        <v>153</v>
      </c>
      <c r="O128" s="23" t="s">
        <v>386</v>
      </c>
      <c r="P128" s="23" t="s">
        <v>386</v>
      </c>
      <c r="Q128" s="28" t="s">
        <v>163</v>
      </c>
      <c r="R128" s="28" t="s">
        <v>163</v>
      </c>
      <c r="S128" s="28" t="s">
        <v>163</v>
      </c>
      <c r="T128" s="28" t="s">
        <v>163</v>
      </c>
      <c r="U128" s="24" t="s">
        <v>153</v>
      </c>
      <c r="V128" s="54" t="s">
        <v>153</v>
      </c>
      <c r="W128" s="28" t="s">
        <v>163</v>
      </c>
      <c r="X128" s="23" t="s">
        <v>386</v>
      </c>
      <c r="Y128" s="23" t="s">
        <v>386</v>
      </c>
      <c r="Z128" s="24" t="s">
        <v>156</v>
      </c>
      <c r="AA128" s="24" t="s">
        <v>156</v>
      </c>
      <c r="AB128" s="24" t="s">
        <v>153</v>
      </c>
      <c r="AC128" s="23" t="s">
        <v>392</v>
      </c>
      <c r="AD128" s="25" t="s">
        <v>392</v>
      </c>
      <c r="AE128" s="23" t="s">
        <v>392</v>
      </c>
      <c r="AF128" s="23" t="s">
        <v>392</v>
      </c>
      <c r="AG128" s="23" t="s">
        <v>392</v>
      </c>
      <c r="AH128" s="28" t="s">
        <v>163</v>
      </c>
      <c r="AI128" s="24" t="s">
        <v>153</v>
      </c>
      <c r="AJ128" s="23" t="s">
        <v>392</v>
      </c>
      <c r="AK128" s="23" t="s">
        <v>392</v>
      </c>
      <c r="AL128" s="23" t="s">
        <v>392</v>
      </c>
      <c r="AM128" s="23" t="s">
        <v>392</v>
      </c>
      <c r="AN128" s="23" t="s">
        <v>392</v>
      </c>
      <c r="AO128" s="23" t="s">
        <v>392</v>
      </c>
      <c r="AP128" s="23">
        <f>VALUE(0)</f>
        <v>0</v>
      </c>
      <c r="AQ128" s="23">
        <f>VALUE(0)</f>
        <v>0</v>
      </c>
      <c r="AR128" s="23">
        <f>VALUE(0)</f>
        <v>0</v>
      </c>
      <c r="AS128" s="23">
        <f>VALUE(0)</f>
        <v>0</v>
      </c>
      <c r="AT128" s="23">
        <f>VALUE(0)</f>
        <v>0</v>
      </c>
      <c r="AU128" s="23">
        <f>VALUE(6)</f>
        <v>6</v>
      </c>
      <c r="AV128" s="23">
        <f>VALUE(5)</f>
        <v>5</v>
      </c>
      <c r="AW128" s="23">
        <f>VALUE(0)</f>
        <v>0</v>
      </c>
      <c r="AX128" s="23" t="s">
        <v>171</v>
      </c>
      <c r="AY128" s="23">
        <f>VALUE(0)</f>
        <v>0</v>
      </c>
      <c r="AZ128" s="23">
        <f>VALUE(0)</f>
        <v>0</v>
      </c>
      <c r="BA128" s="23">
        <f>VALUE(0)</f>
        <v>0</v>
      </c>
      <c r="BB128" s="23">
        <f>VALUE(0)</f>
        <v>0</v>
      </c>
      <c r="BC128" s="23">
        <f>VALUE(0)</f>
        <v>0</v>
      </c>
      <c r="BD128" s="23">
        <f>VALUE(0)</f>
        <v>0</v>
      </c>
      <c r="BE128" s="23">
        <f>VALUE(0)</f>
        <v>0</v>
      </c>
      <c r="BF128" s="23">
        <f>VALUE(0)</f>
        <v>0</v>
      </c>
      <c r="BG128" s="23">
        <f>VALUE(0)</f>
        <v>0</v>
      </c>
      <c r="BH128" s="23">
        <f>VALUE(0)</f>
        <v>0</v>
      </c>
      <c r="BI128" s="23">
        <f>VALUE(0)</f>
        <v>0</v>
      </c>
      <c r="BJ128" s="23">
        <f>VALUE(0)</f>
        <v>0</v>
      </c>
      <c r="BK128" s="12">
        <f>$AX$128*24</f>
        <v>5.833333333333333</v>
      </c>
      <c r="BL128" s="12">
        <f>$AY$128*24</f>
        <v>0</v>
      </c>
      <c r="BM128" s="12">
        <f>$BJ$128*24</f>
        <v>0</v>
      </c>
      <c r="BN128" s="12">
        <f>VALUE($I$128)/100</f>
        <v>1</v>
      </c>
      <c r="BO128" s="12">
        <v>0</v>
      </c>
      <c r="BP128" s="12">
        <v>0</v>
      </c>
      <c r="BQ128" s="12">
        <v>0</v>
      </c>
      <c r="BR128" s="12">
        <v>0</v>
      </c>
      <c r="BS128" s="12">
        <v>0</v>
      </c>
      <c r="BT128" s="12">
        <v>0</v>
      </c>
      <c r="BU128" s="12">
        <v>0</v>
      </c>
      <c r="BV128" s="12">
        <v>0</v>
      </c>
      <c r="BW128" s="12">
        <v>0</v>
      </c>
      <c r="BX128" s="12">
        <v>0</v>
      </c>
      <c r="BY128" s="12">
        <v>0</v>
      </c>
      <c r="BZ128" s="12">
        <v>0</v>
      </c>
      <c r="CA128" s="12">
        <v>0</v>
      </c>
    </row>
    <row r="129" spans="1:79" ht="15" hidden="1" x14ac:dyDescent="0.25">
      <c r="A129" s="12" t="s">
        <v>120</v>
      </c>
      <c r="B129" s="12" t="s">
        <v>122</v>
      </c>
      <c r="C129" s="12" t="s">
        <v>122</v>
      </c>
      <c r="D129" s="31" t="s">
        <v>355</v>
      </c>
      <c r="E129" s="31" t="s">
        <v>153</v>
      </c>
      <c r="F129" s="31" t="s">
        <v>175</v>
      </c>
      <c r="G129" s="31" t="s">
        <v>153</v>
      </c>
      <c r="H129" s="31" t="s">
        <v>153</v>
      </c>
      <c r="I129" s="31" t="s">
        <v>153</v>
      </c>
      <c r="J129" s="31" t="s">
        <v>153</v>
      </c>
      <c r="K129" s="31" t="s">
        <v>153</v>
      </c>
      <c r="L129" s="31">
        <f>VALUE(0)</f>
        <v>0</v>
      </c>
      <c r="M129" s="31">
        <f>VALUE(2)</f>
        <v>2</v>
      </c>
      <c r="N129" s="31">
        <f>VALUE(0)</f>
        <v>0</v>
      </c>
      <c r="O129" s="31">
        <f>VALUE(3)</f>
        <v>3</v>
      </c>
      <c r="P129" s="31">
        <f>VALUE(2)</f>
        <v>2</v>
      </c>
      <c r="Q129" s="31">
        <f>VALUE(2)</f>
        <v>2</v>
      </c>
      <c r="R129" s="31">
        <f>VALUE(2)</f>
        <v>2</v>
      </c>
      <c r="S129" s="31">
        <f>VALUE(2)</f>
        <v>2</v>
      </c>
      <c r="T129" s="31">
        <f>VALUE(2)</f>
        <v>2</v>
      </c>
      <c r="U129" s="31">
        <f>VALUE(0)</f>
        <v>0</v>
      </c>
      <c r="V129" s="31">
        <f>VALUE(0)</f>
        <v>0</v>
      </c>
      <c r="W129" s="31">
        <f>VALUE(3)</f>
        <v>3</v>
      </c>
      <c r="X129" s="31">
        <f>VALUE(4)</f>
        <v>4</v>
      </c>
      <c r="Y129" s="31">
        <f>VALUE(4)</f>
        <v>4</v>
      </c>
      <c r="Z129" s="31">
        <f>VALUE(3)</f>
        <v>3</v>
      </c>
      <c r="AA129" s="31">
        <f>VALUE(3)</f>
        <v>3</v>
      </c>
      <c r="AB129" s="31">
        <f>VALUE(0)</f>
        <v>0</v>
      </c>
      <c r="AC129" s="31">
        <f>VALUE(3)</f>
        <v>3</v>
      </c>
      <c r="AD129" s="31">
        <f>VALUE(3)</f>
        <v>3</v>
      </c>
      <c r="AE129" s="31">
        <f>VALUE(3)</f>
        <v>3</v>
      </c>
      <c r="AF129" s="31">
        <f>VALUE(3)</f>
        <v>3</v>
      </c>
      <c r="AG129" s="31">
        <f>VALUE(3)</f>
        <v>3</v>
      </c>
      <c r="AH129" s="31">
        <f>VALUE(2)</f>
        <v>2</v>
      </c>
      <c r="AI129" s="31">
        <f>VALUE(0)</f>
        <v>0</v>
      </c>
      <c r="AJ129" s="31">
        <f>VALUE(4)</f>
        <v>4</v>
      </c>
      <c r="AK129" s="31">
        <f>VALUE(4)</f>
        <v>4</v>
      </c>
      <c r="AL129" s="31">
        <f>VALUE(3)</f>
        <v>3</v>
      </c>
      <c r="AM129" s="31">
        <f>VALUE(4)</f>
        <v>4</v>
      </c>
      <c r="AN129" s="31">
        <f>VALUE(4)</f>
        <v>4</v>
      </c>
      <c r="AO129" s="31">
        <f>VALUE(4)</f>
        <v>4</v>
      </c>
      <c r="AP129" s="31">
        <v>0</v>
      </c>
      <c r="AQ129" s="31">
        <v>0</v>
      </c>
      <c r="AR129" s="31">
        <v>0</v>
      </c>
      <c r="AS129" s="31">
        <v>0</v>
      </c>
      <c r="AT129" s="31">
        <v>0</v>
      </c>
      <c r="AU129" s="31">
        <v>0</v>
      </c>
      <c r="AV129" s="31">
        <v>0</v>
      </c>
      <c r="AW129" s="31">
        <v>0</v>
      </c>
      <c r="AX129" s="31">
        <v>0</v>
      </c>
      <c r="AY129" s="31">
        <v>0</v>
      </c>
      <c r="AZ129" s="31">
        <v>0</v>
      </c>
      <c r="BA129" s="31">
        <v>0</v>
      </c>
      <c r="BB129" s="31">
        <v>0</v>
      </c>
      <c r="BC129" s="31">
        <v>0</v>
      </c>
      <c r="BD129" s="31">
        <v>0</v>
      </c>
      <c r="BE129" s="31">
        <v>0</v>
      </c>
      <c r="BF129" s="31">
        <v>0</v>
      </c>
      <c r="BG129" s="31">
        <v>0</v>
      </c>
      <c r="BH129" s="31">
        <v>0</v>
      </c>
      <c r="BI129" s="31">
        <v>0</v>
      </c>
      <c r="BJ129" s="31">
        <v>0</v>
      </c>
      <c r="BK129" s="12">
        <v>0</v>
      </c>
      <c r="BL129" s="12">
        <v>0</v>
      </c>
      <c r="BM129" s="12">
        <v>0</v>
      </c>
      <c r="BN129" s="12"/>
      <c r="BO129" s="12">
        <v>0</v>
      </c>
      <c r="BP129" s="12">
        <v>0</v>
      </c>
      <c r="BQ129" s="12">
        <v>0</v>
      </c>
      <c r="BR129" s="12">
        <v>0</v>
      </c>
      <c r="BS129" s="12">
        <v>0</v>
      </c>
      <c r="BT129" s="12">
        <v>0</v>
      </c>
      <c r="BU129" s="12">
        <v>0</v>
      </c>
      <c r="BV129" s="12">
        <v>0</v>
      </c>
      <c r="BW129" s="12">
        <v>0</v>
      </c>
      <c r="BX129" s="12">
        <v>0</v>
      </c>
      <c r="BY129" s="12">
        <v>0</v>
      </c>
      <c r="BZ129" s="12">
        <v>0</v>
      </c>
      <c r="CA129" s="12">
        <v>0</v>
      </c>
    </row>
    <row r="130" spans="1:79" ht="16.5" hidden="1" x14ac:dyDescent="0.2">
      <c r="A130" s="12" t="s">
        <v>120</v>
      </c>
      <c r="B130" s="12" t="s">
        <v>1320</v>
      </c>
      <c r="C130" s="12" t="s">
        <v>1320</v>
      </c>
      <c r="D130" s="22" t="s">
        <v>1170</v>
      </c>
      <c r="E130" s="22" t="s">
        <v>149</v>
      </c>
      <c r="F130" s="22" t="s">
        <v>788</v>
      </c>
      <c r="G130" s="22" t="s">
        <v>789</v>
      </c>
      <c r="H130" s="22" t="s">
        <v>150</v>
      </c>
      <c r="I130" s="22" t="s">
        <v>151</v>
      </c>
      <c r="J130" s="22" t="s">
        <v>152</v>
      </c>
      <c r="K130" s="22" t="s">
        <v>1212</v>
      </c>
      <c r="L130" s="54" t="s">
        <v>153</v>
      </c>
      <c r="M130" s="24" t="s">
        <v>156</v>
      </c>
      <c r="N130" s="24" t="s">
        <v>153</v>
      </c>
      <c r="O130" s="24" t="s">
        <v>156</v>
      </c>
      <c r="P130" s="26" t="s">
        <v>1213</v>
      </c>
      <c r="Q130" s="26" t="s">
        <v>1213</v>
      </c>
      <c r="R130" s="26" t="s">
        <v>1213</v>
      </c>
      <c r="S130" s="26" t="s">
        <v>1213</v>
      </c>
      <c r="T130" s="26" t="s">
        <v>1213</v>
      </c>
      <c r="U130" s="24" t="s">
        <v>153</v>
      </c>
      <c r="V130" s="54" t="s">
        <v>153</v>
      </c>
      <c r="W130" s="26" t="s">
        <v>1213</v>
      </c>
      <c r="X130" s="26" t="s">
        <v>155</v>
      </c>
      <c r="Y130" s="26" t="s">
        <v>155</v>
      </c>
      <c r="Z130" s="26" t="s">
        <v>1213</v>
      </c>
      <c r="AA130" s="24" t="s">
        <v>156</v>
      </c>
      <c r="AB130" s="24" t="s">
        <v>153</v>
      </c>
      <c r="AC130" s="24" t="s">
        <v>156</v>
      </c>
      <c r="AD130" s="26" t="s">
        <v>1213</v>
      </c>
      <c r="AE130" s="26" t="s">
        <v>1213</v>
      </c>
      <c r="AF130" s="26" t="s">
        <v>1213</v>
      </c>
      <c r="AG130" s="26" t="s">
        <v>1213</v>
      </c>
      <c r="AH130" s="26" t="s">
        <v>1213</v>
      </c>
      <c r="AI130" s="24" t="s">
        <v>153</v>
      </c>
      <c r="AJ130" s="26" t="s">
        <v>1213</v>
      </c>
      <c r="AK130" s="35" t="s">
        <v>170</v>
      </c>
      <c r="AL130" s="35" t="s">
        <v>170</v>
      </c>
      <c r="AM130" s="35" t="s">
        <v>170</v>
      </c>
      <c r="AN130" s="35" t="s">
        <v>170</v>
      </c>
      <c r="AO130" s="24" t="s">
        <v>156</v>
      </c>
      <c r="AP130" s="23">
        <f>VALUE(0)</f>
        <v>0</v>
      </c>
      <c r="AQ130" s="23">
        <f>VALUE(0)</f>
        <v>0</v>
      </c>
      <c r="AR130" s="23">
        <f>VALUE(0)</f>
        <v>0</v>
      </c>
      <c r="AS130" s="23">
        <f>VALUE(0)</f>
        <v>0</v>
      </c>
      <c r="AT130" s="23">
        <f>VALUE(0)</f>
        <v>0</v>
      </c>
      <c r="AU130" s="23">
        <f>VALUE(0)</f>
        <v>0</v>
      </c>
      <c r="AV130" s="23">
        <f>VALUE(13)</f>
        <v>13</v>
      </c>
      <c r="AW130" s="23">
        <f>VALUE(0)</f>
        <v>0</v>
      </c>
      <c r="AX130" s="23" t="s">
        <v>1214</v>
      </c>
      <c r="AY130" s="23">
        <f>VALUE(0)</f>
        <v>0</v>
      </c>
      <c r="AZ130" s="23">
        <f>VALUE(0)</f>
        <v>0</v>
      </c>
      <c r="BA130" s="23">
        <f>VALUE(0)</f>
        <v>0</v>
      </c>
      <c r="BB130" s="23">
        <f>VALUE(0)</f>
        <v>0</v>
      </c>
      <c r="BC130" s="23">
        <f>VALUE(0)</f>
        <v>0</v>
      </c>
      <c r="BD130" s="23">
        <f>VALUE(0)</f>
        <v>0</v>
      </c>
      <c r="BE130" s="23">
        <f>VALUE(5)</f>
        <v>5</v>
      </c>
      <c r="BF130" s="23">
        <f>VALUE(0)</f>
        <v>0</v>
      </c>
      <c r="BG130" s="23">
        <f>VALUE(0)</f>
        <v>0</v>
      </c>
      <c r="BH130" s="23">
        <f>VALUE(0)</f>
        <v>0</v>
      </c>
      <c r="BI130" s="23">
        <f>VALUE(0)</f>
        <v>0</v>
      </c>
      <c r="BJ130" s="23">
        <f>VALUE(0)</f>
        <v>0</v>
      </c>
      <c r="BK130" s="12">
        <f>$AX$130*24</f>
        <v>18.016666666666666</v>
      </c>
      <c r="BL130" s="12">
        <f>$AY$130*24</f>
        <v>0</v>
      </c>
      <c r="BM130" s="12">
        <f>$BJ$130*24</f>
        <v>0</v>
      </c>
      <c r="BN130" s="12">
        <f>VALUE($I$130)/100</f>
        <v>1</v>
      </c>
      <c r="BO130" s="12">
        <v>0</v>
      </c>
      <c r="BP130" s="12">
        <v>0</v>
      </c>
      <c r="BQ130" s="12">
        <v>0</v>
      </c>
      <c r="BR130" s="12">
        <v>0</v>
      </c>
      <c r="BS130" s="12">
        <v>0</v>
      </c>
      <c r="BT130" s="12">
        <v>0</v>
      </c>
      <c r="BU130" s="12">
        <v>0</v>
      </c>
      <c r="BV130" s="12">
        <v>0</v>
      </c>
      <c r="BW130" s="12">
        <v>0</v>
      </c>
      <c r="BX130" s="12">
        <v>0</v>
      </c>
      <c r="BY130" s="12">
        <v>0</v>
      </c>
      <c r="BZ130" s="12">
        <v>0</v>
      </c>
      <c r="CA130" s="12">
        <v>0</v>
      </c>
    </row>
    <row r="131" spans="1:79" hidden="1" x14ac:dyDescent="0.2">
      <c r="A131" s="12" t="s">
        <v>120</v>
      </c>
      <c r="B131" s="12" t="s">
        <v>1320</v>
      </c>
      <c r="C131" s="12" t="s">
        <v>1320</v>
      </c>
      <c r="D131" s="22" t="s">
        <v>400</v>
      </c>
      <c r="E131" s="22" t="s">
        <v>161</v>
      </c>
      <c r="F131" s="22" t="s">
        <v>790</v>
      </c>
      <c r="G131" s="22" t="s">
        <v>791</v>
      </c>
      <c r="H131" s="22" t="s">
        <v>150</v>
      </c>
      <c r="I131" s="22" t="s">
        <v>151</v>
      </c>
      <c r="J131" s="22" t="s">
        <v>162</v>
      </c>
      <c r="K131" s="22" t="s">
        <v>1212</v>
      </c>
      <c r="L131" s="54" t="s">
        <v>153</v>
      </c>
      <c r="M131" s="23" t="s">
        <v>153</v>
      </c>
      <c r="N131" s="24" t="s">
        <v>153</v>
      </c>
      <c r="O131" s="23" t="s">
        <v>153</v>
      </c>
      <c r="P131" s="23" t="s">
        <v>153</v>
      </c>
      <c r="Q131" s="23" t="s">
        <v>153</v>
      </c>
      <c r="R131" s="23" t="s">
        <v>153</v>
      </c>
      <c r="S131" s="23" t="s">
        <v>153</v>
      </c>
      <c r="T131" s="23" t="s">
        <v>153</v>
      </c>
      <c r="U131" s="24" t="s">
        <v>153</v>
      </c>
      <c r="V131" s="54" t="s">
        <v>153</v>
      </c>
      <c r="W131" s="23" t="s">
        <v>153</v>
      </c>
      <c r="X131" s="23" t="s">
        <v>153</v>
      </c>
      <c r="Y131" s="23" t="s">
        <v>153</v>
      </c>
      <c r="Z131" s="23" t="s">
        <v>153</v>
      </c>
      <c r="AA131" s="23" t="s">
        <v>153</v>
      </c>
      <c r="AB131" s="24" t="s">
        <v>153</v>
      </c>
      <c r="AC131" s="23" t="s">
        <v>153</v>
      </c>
      <c r="AD131" s="23" t="s">
        <v>153</v>
      </c>
      <c r="AE131" s="23" t="s">
        <v>153</v>
      </c>
      <c r="AF131" s="23" t="s">
        <v>153</v>
      </c>
      <c r="AG131" s="23" t="s">
        <v>153</v>
      </c>
      <c r="AH131" s="23" t="s">
        <v>153</v>
      </c>
      <c r="AI131" s="24" t="s">
        <v>153</v>
      </c>
      <c r="AJ131" s="23" t="s">
        <v>153</v>
      </c>
      <c r="AK131" s="23" t="s">
        <v>153</v>
      </c>
      <c r="AL131" s="23" t="s">
        <v>153</v>
      </c>
      <c r="AM131" s="23" t="s">
        <v>153</v>
      </c>
      <c r="AN131" s="24" t="s">
        <v>156</v>
      </c>
      <c r="AO131" s="24" t="s">
        <v>156</v>
      </c>
      <c r="AP131" s="23">
        <f>VALUE(2)</f>
        <v>2</v>
      </c>
      <c r="AQ131" s="23">
        <f>VALUE(0)</f>
        <v>0</v>
      </c>
      <c r="AR131" s="23">
        <f>VALUE(0)</f>
        <v>0</v>
      </c>
      <c r="AS131" s="23">
        <f>VALUE(0)</f>
        <v>0</v>
      </c>
      <c r="AT131" s="23">
        <f>VALUE(0)</f>
        <v>0</v>
      </c>
      <c r="AU131" s="23">
        <f>VALUE(0)</f>
        <v>0</v>
      </c>
      <c r="AV131" s="23">
        <f>VALUE(1)</f>
        <v>1</v>
      </c>
      <c r="AW131" s="23">
        <f>VALUE(0)</f>
        <v>0</v>
      </c>
      <c r="AX131" s="23" t="s">
        <v>171</v>
      </c>
      <c r="AY131" s="23" t="s">
        <v>309</v>
      </c>
      <c r="AZ131" s="23">
        <f>VALUE(0)</f>
        <v>0</v>
      </c>
      <c r="BA131" s="23">
        <f>VALUE(0)</f>
        <v>0</v>
      </c>
      <c r="BB131" s="23">
        <f>VALUE(0)</f>
        <v>0</v>
      </c>
      <c r="BC131" s="23">
        <f>VALUE(0)</f>
        <v>0</v>
      </c>
      <c r="BD131" s="23">
        <f>VALUE(0)</f>
        <v>0</v>
      </c>
      <c r="BE131" s="23">
        <f>VALUE(0)</f>
        <v>0</v>
      </c>
      <c r="BF131" s="23">
        <f>VALUE(0)</f>
        <v>0</v>
      </c>
      <c r="BG131" s="23">
        <f>VALUE(0)</f>
        <v>0</v>
      </c>
      <c r="BH131" s="23">
        <f>VALUE(0)</f>
        <v>0</v>
      </c>
      <c r="BI131" s="23">
        <f>VALUE(0)</f>
        <v>0</v>
      </c>
      <c r="BJ131" s="23">
        <f>VALUE(0)</f>
        <v>0</v>
      </c>
      <c r="BK131" s="12">
        <f>$AX$131*24</f>
        <v>5.833333333333333</v>
      </c>
      <c r="BL131" s="12">
        <f>$AY$131*24</f>
        <v>4.583333333333333</v>
      </c>
      <c r="BM131" s="12">
        <f>$BJ$131*24</f>
        <v>0</v>
      </c>
      <c r="BN131" s="12">
        <f>VALUE($I$131)/100</f>
        <v>1</v>
      </c>
      <c r="BO131" s="12">
        <v>0</v>
      </c>
      <c r="BP131" s="12">
        <v>0</v>
      </c>
      <c r="BQ131" s="12">
        <v>0</v>
      </c>
      <c r="BR131" s="12">
        <v>0</v>
      </c>
      <c r="BS131" s="12">
        <v>0</v>
      </c>
      <c r="BT131" s="12">
        <v>0</v>
      </c>
      <c r="BU131" s="12">
        <v>0</v>
      </c>
      <c r="BV131" s="12">
        <v>0</v>
      </c>
      <c r="BW131" s="12">
        <v>0</v>
      </c>
      <c r="BX131" s="12">
        <v>0</v>
      </c>
      <c r="BY131" s="12">
        <v>0</v>
      </c>
      <c r="BZ131" s="12">
        <v>0</v>
      </c>
      <c r="CA131" s="12">
        <v>0</v>
      </c>
    </row>
    <row r="132" spans="1:79" hidden="1" x14ac:dyDescent="0.2">
      <c r="A132" s="12" t="s">
        <v>120</v>
      </c>
      <c r="B132" s="12" t="s">
        <v>1320</v>
      </c>
      <c r="C132" s="12" t="s">
        <v>1320</v>
      </c>
      <c r="D132" s="22" t="s">
        <v>401</v>
      </c>
      <c r="E132" s="22" t="s">
        <v>161</v>
      </c>
      <c r="F132" s="22" t="s">
        <v>792</v>
      </c>
      <c r="G132" s="22" t="s">
        <v>793</v>
      </c>
      <c r="H132" s="22" t="s">
        <v>166</v>
      </c>
      <c r="I132" s="22" t="s">
        <v>151</v>
      </c>
      <c r="J132" s="22" t="s">
        <v>162</v>
      </c>
      <c r="K132" s="22" t="s">
        <v>1212</v>
      </c>
      <c r="L132" s="54" t="s">
        <v>153</v>
      </c>
      <c r="M132" s="23" t="s">
        <v>153</v>
      </c>
      <c r="N132" s="24" t="s">
        <v>153</v>
      </c>
      <c r="O132" s="23" t="s">
        <v>153</v>
      </c>
      <c r="P132" s="23" t="s">
        <v>153</v>
      </c>
      <c r="Q132" s="23" t="s">
        <v>153</v>
      </c>
      <c r="R132" s="23" t="s">
        <v>153</v>
      </c>
      <c r="S132" s="23" t="s">
        <v>153</v>
      </c>
      <c r="T132" s="23" t="s">
        <v>153</v>
      </c>
      <c r="U132" s="24" t="s">
        <v>153</v>
      </c>
      <c r="V132" s="54" t="s">
        <v>153</v>
      </c>
      <c r="W132" s="23" t="s">
        <v>153</v>
      </c>
      <c r="X132" s="23" t="s">
        <v>153</v>
      </c>
      <c r="Y132" s="23" t="s">
        <v>153</v>
      </c>
      <c r="Z132" s="23" t="s">
        <v>153</v>
      </c>
      <c r="AA132" s="23" t="s">
        <v>153</v>
      </c>
      <c r="AB132" s="24" t="s">
        <v>153</v>
      </c>
      <c r="AC132" s="23" t="s">
        <v>153</v>
      </c>
      <c r="AD132" s="23" t="s">
        <v>153</v>
      </c>
      <c r="AE132" s="23" t="s">
        <v>153</v>
      </c>
      <c r="AF132" s="23" t="s">
        <v>153</v>
      </c>
      <c r="AG132" s="24" t="s">
        <v>156</v>
      </c>
      <c r="AH132" s="24" t="s">
        <v>156</v>
      </c>
      <c r="AI132" s="24" t="s">
        <v>153</v>
      </c>
      <c r="AJ132" s="23" t="s">
        <v>153</v>
      </c>
      <c r="AK132" s="23" t="s">
        <v>153</v>
      </c>
      <c r="AL132" s="23" t="s">
        <v>153</v>
      </c>
      <c r="AM132" s="23" t="s">
        <v>153</v>
      </c>
      <c r="AN132" s="23" t="s">
        <v>153</v>
      </c>
      <c r="AO132" s="23" t="s">
        <v>153</v>
      </c>
      <c r="AP132" s="23">
        <f>VALUE(0)</f>
        <v>0</v>
      </c>
      <c r="AQ132" s="23">
        <f>VALUE(0)</f>
        <v>0</v>
      </c>
      <c r="AR132" s="23">
        <f>VALUE(0)</f>
        <v>0</v>
      </c>
      <c r="AS132" s="23">
        <f>VALUE(0)</f>
        <v>0</v>
      </c>
      <c r="AT132" s="23">
        <f>VALUE(0)</f>
        <v>0</v>
      </c>
      <c r="AU132" s="23">
        <f>VALUE(0)</f>
        <v>0</v>
      </c>
      <c r="AV132" s="23">
        <f>VALUE(4)</f>
        <v>4</v>
      </c>
      <c r="AW132" s="23">
        <f>VALUE(0)</f>
        <v>0</v>
      </c>
      <c r="AX132" s="23" t="s">
        <v>402</v>
      </c>
      <c r="AY132" s="23">
        <f>VALUE(0)</f>
        <v>0</v>
      </c>
      <c r="AZ132" s="23">
        <f>VALUE(0)</f>
        <v>0</v>
      </c>
      <c r="BA132" s="23">
        <f>VALUE(0)</f>
        <v>0</v>
      </c>
      <c r="BB132" s="23">
        <f>VALUE(0)</f>
        <v>0</v>
      </c>
      <c r="BC132" s="23">
        <f>VALUE(0)</f>
        <v>0</v>
      </c>
      <c r="BD132" s="23">
        <f>VALUE(0)</f>
        <v>0</v>
      </c>
      <c r="BE132" s="23">
        <f>VALUE(0)</f>
        <v>0</v>
      </c>
      <c r="BF132" s="23">
        <f>VALUE(0)</f>
        <v>0</v>
      </c>
      <c r="BG132" s="23">
        <f>VALUE(0)</f>
        <v>0</v>
      </c>
      <c r="BH132" s="23">
        <f>VALUE(0)</f>
        <v>0</v>
      </c>
      <c r="BI132" s="23">
        <f>VALUE(0)</f>
        <v>0</v>
      </c>
      <c r="BJ132" s="23">
        <f>VALUE(0)</f>
        <v>0</v>
      </c>
      <c r="BK132" s="12">
        <f>$AX$132*24</f>
        <v>20.45</v>
      </c>
      <c r="BL132" s="12">
        <f>$AY$132*24</f>
        <v>0</v>
      </c>
      <c r="BM132" s="12">
        <f>$BJ$132*24</f>
        <v>0</v>
      </c>
      <c r="BN132" s="12">
        <f>VALUE($I$132)/100</f>
        <v>1</v>
      </c>
      <c r="BO132" s="12">
        <v>0</v>
      </c>
      <c r="BP132" s="12">
        <v>0</v>
      </c>
      <c r="BQ132" s="12">
        <v>0</v>
      </c>
      <c r="BR132" s="12">
        <v>0</v>
      </c>
      <c r="BS132" s="12">
        <v>0</v>
      </c>
      <c r="BT132" s="12">
        <v>0</v>
      </c>
      <c r="BU132" s="12">
        <v>0</v>
      </c>
      <c r="BV132" s="12">
        <v>0</v>
      </c>
      <c r="BW132" s="12">
        <v>0</v>
      </c>
      <c r="BX132" s="12">
        <v>0</v>
      </c>
      <c r="BY132" s="12">
        <v>0</v>
      </c>
      <c r="BZ132" s="12">
        <v>0</v>
      </c>
      <c r="CA132" s="12">
        <v>0</v>
      </c>
    </row>
    <row r="133" spans="1:79" hidden="1" x14ac:dyDescent="0.2">
      <c r="A133" s="12" t="s">
        <v>120</v>
      </c>
      <c r="B133" s="12" t="s">
        <v>1320</v>
      </c>
      <c r="C133" s="12" t="s">
        <v>1320</v>
      </c>
      <c r="D133" s="22" t="s">
        <v>381</v>
      </c>
      <c r="E133" s="22" t="s">
        <v>161</v>
      </c>
      <c r="F133" s="22" t="s">
        <v>794</v>
      </c>
      <c r="G133" s="22" t="s">
        <v>795</v>
      </c>
      <c r="H133" s="22" t="s">
        <v>191</v>
      </c>
      <c r="I133" s="22" t="s">
        <v>151</v>
      </c>
      <c r="J133" s="22" t="s">
        <v>162</v>
      </c>
      <c r="K133" s="22" t="s">
        <v>1212</v>
      </c>
      <c r="L133" s="54" t="s">
        <v>153</v>
      </c>
      <c r="M133" s="27" t="s">
        <v>153</v>
      </c>
      <c r="N133" s="24" t="s">
        <v>153</v>
      </c>
      <c r="O133" s="27" t="s">
        <v>153</v>
      </c>
      <c r="P133" s="27" t="s">
        <v>153</v>
      </c>
      <c r="Q133" s="27" t="s">
        <v>153</v>
      </c>
      <c r="R133" s="23" t="s">
        <v>153</v>
      </c>
      <c r="S133" s="23" t="s">
        <v>153</v>
      </c>
      <c r="T133" s="23" t="s">
        <v>153</v>
      </c>
      <c r="U133" s="24" t="s">
        <v>153</v>
      </c>
      <c r="V133" s="54" t="s">
        <v>153</v>
      </c>
      <c r="W133" s="23" t="s">
        <v>153</v>
      </c>
      <c r="X133" s="23" t="s">
        <v>153</v>
      </c>
      <c r="Y133" s="23" t="s">
        <v>153</v>
      </c>
      <c r="Z133" s="23" t="s">
        <v>153</v>
      </c>
      <c r="AA133" s="23" t="s">
        <v>153</v>
      </c>
      <c r="AB133" s="24" t="s">
        <v>153</v>
      </c>
      <c r="AC133" s="23" t="s">
        <v>153</v>
      </c>
      <c r="AD133" s="23" t="s">
        <v>153</v>
      </c>
      <c r="AE133" s="23" t="s">
        <v>153</v>
      </c>
      <c r="AF133" s="23" t="s">
        <v>153</v>
      </c>
      <c r="AG133" s="23" t="s">
        <v>153</v>
      </c>
      <c r="AH133" s="23" t="s">
        <v>153</v>
      </c>
      <c r="AI133" s="24" t="s">
        <v>153</v>
      </c>
      <c r="AJ133" s="27" t="s">
        <v>153</v>
      </c>
      <c r="AK133" s="27" t="s">
        <v>153</v>
      </c>
      <c r="AL133" s="27" t="s">
        <v>153</v>
      </c>
      <c r="AM133" s="27" t="s">
        <v>153</v>
      </c>
      <c r="AN133" s="27" t="s">
        <v>153</v>
      </c>
      <c r="AO133" s="27" t="s">
        <v>153</v>
      </c>
      <c r="AP133" s="23">
        <f>VALUE(0)</f>
        <v>0</v>
      </c>
      <c r="AQ133" s="23">
        <f>VALUE(0)</f>
        <v>0</v>
      </c>
      <c r="AR133" s="23">
        <f>VALUE(0)</f>
        <v>0</v>
      </c>
      <c r="AS133" s="23">
        <f>VALUE(0)</f>
        <v>0</v>
      </c>
      <c r="AT133" s="23">
        <f>VALUE(0)</f>
        <v>0</v>
      </c>
      <c r="AU133" s="23">
        <f>VALUE(0)</f>
        <v>0</v>
      </c>
      <c r="AV133" s="23">
        <f>VALUE(0)</f>
        <v>0</v>
      </c>
      <c r="AW133" s="23">
        <f>VALUE(0)</f>
        <v>0</v>
      </c>
      <c r="AX133" s="23">
        <f>VALUE(0)</f>
        <v>0</v>
      </c>
      <c r="AY133" s="23">
        <f>VALUE(0)</f>
        <v>0</v>
      </c>
      <c r="AZ133" s="23">
        <f>VALUE(0)</f>
        <v>0</v>
      </c>
      <c r="BA133" s="23">
        <f>VALUE(0)</f>
        <v>0</v>
      </c>
      <c r="BB133" s="23">
        <f>VALUE(0)</f>
        <v>0</v>
      </c>
      <c r="BC133" s="23">
        <f>VALUE(0)</f>
        <v>0</v>
      </c>
      <c r="BD133" s="23">
        <f>VALUE(0)</f>
        <v>0</v>
      </c>
      <c r="BE133" s="23">
        <f>VALUE(0)</f>
        <v>0</v>
      </c>
      <c r="BF133" s="23">
        <f>VALUE(0)</f>
        <v>0</v>
      </c>
      <c r="BG133" s="23">
        <f>VALUE(0)</f>
        <v>0</v>
      </c>
      <c r="BH133" s="23">
        <f>VALUE(0)</f>
        <v>0</v>
      </c>
      <c r="BI133" s="23">
        <f>VALUE(0)</f>
        <v>0</v>
      </c>
      <c r="BJ133" s="23">
        <f>VALUE(0)</f>
        <v>0</v>
      </c>
      <c r="BK133" s="12">
        <f>$AX$133*24</f>
        <v>0</v>
      </c>
      <c r="BL133" s="12">
        <f>$AY$133*24</f>
        <v>0</v>
      </c>
      <c r="BM133" s="12">
        <f>$BJ$133*24</f>
        <v>0</v>
      </c>
      <c r="BN133" s="12">
        <f>VALUE($I$133)/100</f>
        <v>1</v>
      </c>
      <c r="BO133" s="12">
        <v>0</v>
      </c>
      <c r="BP133" s="12">
        <v>0</v>
      </c>
      <c r="BQ133" s="12">
        <v>0</v>
      </c>
      <c r="BR133" s="12">
        <v>0</v>
      </c>
      <c r="BS133" s="12">
        <v>0</v>
      </c>
      <c r="BT133" s="12">
        <v>0</v>
      </c>
      <c r="BU133" s="12">
        <v>0</v>
      </c>
      <c r="BV133" s="12">
        <v>0</v>
      </c>
      <c r="BW133" s="12">
        <v>0</v>
      </c>
      <c r="BX133" s="12">
        <v>0</v>
      </c>
      <c r="BY133" s="12">
        <v>0</v>
      </c>
      <c r="BZ133" s="12">
        <v>0</v>
      </c>
      <c r="CA133" s="12">
        <v>0</v>
      </c>
    </row>
    <row r="134" spans="1:79" hidden="1" x14ac:dyDescent="0.2">
      <c r="A134" s="12" t="s">
        <v>120</v>
      </c>
      <c r="B134" s="12" t="s">
        <v>1320</v>
      </c>
      <c r="C134" s="12" t="s">
        <v>1320</v>
      </c>
      <c r="D134" s="22" t="s">
        <v>381</v>
      </c>
      <c r="E134" s="22" t="s">
        <v>161</v>
      </c>
      <c r="F134" s="22" t="s">
        <v>796</v>
      </c>
      <c r="G134" s="22" t="s">
        <v>797</v>
      </c>
      <c r="H134" s="22" t="s">
        <v>150</v>
      </c>
      <c r="I134" s="22" t="s">
        <v>151</v>
      </c>
      <c r="J134" s="22" t="s">
        <v>162</v>
      </c>
      <c r="K134" s="22" t="s">
        <v>1212</v>
      </c>
      <c r="L134" s="54" t="s">
        <v>153</v>
      </c>
      <c r="M134" s="23" t="s">
        <v>153</v>
      </c>
      <c r="N134" s="24" t="s">
        <v>153</v>
      </c>
      <c r="O134" s="23" t="s">
        <v>153</v>
      </c>
      <c r="P134" s="23" t="s">
        <v>153</v>
      </c>
      <c r="Q134" s="23" t="s">
        <v>153</v>
      </c>
      <c r="R134" s="23" t="s">
        <v>153</v>
      </c>
      <c r="S134" s="23" t="s">
        <v>153</v>
      </c>
      <c r="T134" s="23" t="s">
        <v>153</v>
      </c>
      <c r="U134" s="24" t="s">
        <v>153</v>
      </c>
      <c r="V134" s="54" t="s">
        <v>156</v>
      </c>
      <c r="W134" s="24" t="s">
        <v>156</v>
      </c>
      <c r="X134" s="28" t="s">
        <v>163</v>
      </c>
      <c r="Y134" s="28" t="s">
        <v>163</v>
      </c>
      <c r="Z134" s="28" t="s">
        <v>163</v>
      </c>
      <c r="AA134" s="28" t="s">
        <v>163</v>
      </c>
      <c r="AB134" s="24" t="s">
        <v>153</v>
      </c>
      <c r="AC134" s="28" t="s">
        <v>163</v>
      </c>
      <c r="AD134" s="28" t="s">
        <v>163</v>
      </c>
      <c r="AE134" s="28" t="s">
        <v>163</v>
      </c>
      <c r="AF134" s="28" t="s">
        <v>163</v>
      </c>
      <c r="AG134" s="28" t="s">
        <v>163</v>
      </c>
      <c r="AH134" s="28" t="s">
        <v>163</v>
      </c>
      <c r="AI134" s="24" t="s">
        <v>153</v>
      </c>
      <c r="AJ134" s="23" t="s">
        <v>153</v>
      </c>
      <c r="AK134" s="23" t="s">
        <v>153</v>
      </c>
      <c r="AL134" s="23" t="s">
        <v>153</v>
      </c>
      <c r="AM134" s="23" t="s">
        <v>153</v>
      </c>
      <c r="AN134" s="23" t="s">
        <v>153</v>
      </c>
      <c r="AO134" s="23" t="s">
        <v>153</v>
      </c>
      <c r="AP134" s="23">
        <f>VALUE(3)</f>
        <v>3</v>
      </c>
      <c r="AQ134" s="23">
        <f>VALUE(0)</f>
        <v>0</v>
      </c>
      <c r="AR134" s="23">
        <f>VALUE(0)</f>
        <v>0</v>
      </c>
      <c r="AS134" s="23">
        <f>VALUE(0)</f>
        <v>0</v>
      </c>
      <c r="AT134" s="23">
        <f>VALUE(0)</f>
        <v>0</v>
      </c>
      <c r="AU134" s="23">
        <f>VALUE(10)</f>
        <v>10</v>
      </c>
      <c r="AV134" s="23">
        <f>VALUE(9)</f>
        <v>9</v>
      </c>
      <c r="AW134" s="23">
        <f>VALUE(0)</f>
        <v>0</v>
      </c>
      <c r="AX134" s="23" t="s">
        <v>171</v>
      </c>
      <c r="AY134" s="23" t="s">
        <v>403</v>
      </c>
      <c r="AZ134" s="23">
        <f>VALUE(0)</f>
        <v>0</v>
      </c>
      <c r="BA134" s="23">
        <f>VALUE(0)</f>
        <v>0</v>
      </c>
      <c r="BB134" s="23">
        <f>VALUE(0)</f>
        <v>0</v>
      </c>
      <c r="BC134" s="23">
        <f>VALUE(0)</f>
        <v>0</v>
      </c>
      <c r="BD134" s="23">
        <f>VALUE(0)</f>
        <v>0</v>
      </c>
      <c r="BE134" s="23">
        <f>VALUE(0)</f>
        <v>0</v>
      </c>
      <c r="BF134" s="23">
        <f>VALUE(0)</f>
        <v>0</v>
      </c>
      <c r="BG134" s="23">
        <f>VALUE(0)</f>
        <v>0</v>
      </c>
      <c r="BH134" s="23">
        <f>VALUE(0)</f>
        <v>0</v>
      </c>
      <c r="BI134" s="23">
        <f>VALUE(0)</f>
        <v>0</v>
      </c>
      <c r="BJ134" s="23">
        <f>VALUE(0)</f>
        <v>0</v>
      </c>
      <c r="BK134" s="12">
        <f>$AX$134*24</f>
        <v>5.833333333333333</v>
      </c>
      <c r="BL134" s="12">
        <f>$AY$134*24</f>
        <v>2.1</v>
      </c>
      <c r="BM134" s="12">
        <f>$BJ$134*24</f>
        <v>0</v>
      </c>
      <c r="BN134" s="12">
        <f>VALUE($I$134)/100</f>
        <v>1</v>
      </c>
      <c r="BO134" s="12">
        <v>0</v>
      </c>
      <c r="BP134" s="12">
        <v>0</v>
      </c>
      <c r="BQ134" s="12">
        <v>0</v>
      </c>
      <c r="BR134" s="12">
        <v>0</v>
      </c>
      <c r="BS134" s="12">
        <v>0</v>
      </c>
      <c r="BT134" s="12">
        <v>0</v>
      </c>
      <c r="BU134" s="12">
        <v>0</v>
      </c>
      <c r="BV134" s="12">
        <v>0</v>
      </c>
      <c r="BW134" s="12">
        <v>0</v>
      </c>
      <c r="BX134" s="12">
        <v>0</v>
      </c>
      <c r="BY134" s="12">
        <v>0</v>
      </c>
      <c r="BZ134" s="12">
        <v>0</v>
      </c>
      <c r="CA134" s="12">
        <v>0</v>
      </c>
    </row>
    <row r="135" spans="1:79" hidden="1" x14ac:dyDescent="0.2">
      <c r="A135" s="12" t="s">
        <v>120</v>
      </c>
      <c r="B135" s="12" t="s">
        <v>1320</v>
      </c>
      <c r="C135" s="12" t="s">
        <v>1320</v>
      </c>
      <c r="D135" s="22" t="s">
        <v>375</v>
      </c>
      <c r="E135" s="22" t="s">
        <v>161</v>
      </c>
      <c r="F135" s="22" t="s">
        <v>798</v>
      </c>
      <c r="G135" s="22" t="s">
        <v>799</v>
      </c>
      <c r="H135" s="22" t="s">
        <v>150</v>
      </c>
      <c r="I135" s="22" t="s">
        <v>151</v>
      </c>
      <c r="J135" s="22" t="s">
        <v>162</v>
      </c>
      <c r="K135" s="22" t="s">
        <v>1212</v>
      </c>
      <c r="L135" s="54" t="s">
        <v>153</v>
      </c>
      <c r="M135" s="23" t="s">
        <v>153</v>
      </c>
      <c r="N135" s="24" t="s">
        <v>153</v>
      </c>
      <c r="O135" s="24" t="s">
        <v>156</v>
      </c>
      <c r="P135" s="24" t="s">
        <v>156</v>
      </c>
      <c r="Q135" s="23" t="s">
        <v>153</v>
      </c>
      <c r="R135" s="23" t="s">
        <v>153</v>
      </c>
      <c r="S135" s="23" t="s">
        <v>153</v>
      </c>
      <c r="T135" s="23" t="s">
        <v>153</v>
      </c>
      <c r="U135" s="24" t="s">
        <v>153</v>
      </c>
      <c r="V135" s="54" t="s">
        <v>153</v>
      </c>
      <c r="W135" s="23" t="s">
        <v>153</v>
      </c>
      <c r="X135" s="23" t="s">
        <v>153</v>
      </c>
      <c r="Y135" s="23" t="s">
        <v>153</v>
      </c>
      <c r="Z135" s="23" t="s">
        <v>153</v>
      </c>
      <c r="AA135" s="23" t="s">
        <v>153</v>
      </c>
      <c r="AB135" s="24" t="s">
        <v>153</v>
      </c>
      <c r="AC135" s="23" t="s">
        <v>153</v>
      </c>
      <c r="AD135" s="23" t="s">
        <v>153</v>
      </c>
      <c r="AE135" s="23" t="s">
        <v>153</v>
      </c>
      <c r="AF135" s="23" t="s">
        <v>153</v>
      </c>
      <c r="AG135" s="23" t="s">
        <v>153</v>
      </c>
      <c r="AH135" s="23" t="s">
        <v>153</v>
      </c>
      <c r="AI135" s="24" t="s">
        <v>153</v>
      </c>
      <c r="AJ135" s="23" t="s">
        <v>153</v>
      </c>
      <c r="AK135" s="23" t="s">
        <v>153</v>
      </c>
      <c r="AL135" s="23" t="s">
        <v>153</v>
      </c>
      <c r="AM135" s="23" t="s">
        <v>153</v>
      </c>
      <c r="AN135" s="23" t="s">
        <v>153</v>
      </c>
      <c r="AO135" s="23" t="s">
        <v>153</v>
      </c>
      <c r="AP135" s="23">
        <f>VALUE(0)</f>
        <v>0</v>
      </c>
      <c r="AQ135" s="23">
        <f>VALUE(0)</f>
        <v>0</v>
      </c>
      <c r="AR135" s="23">
        <f>VALUE(0)</f>
        <v>0</v>
      </c>
      <c r="AS135" s="23">
        <f>VALUE(0)</f>
        <v>0</v>
      </c>
      <c r="AT135" s="23">
        <f>VALUE(0)</f>
        <v>0</v>
      </c>
      <c r="AU135" s="23">
        <f>VALUE(0)</f>
        <v>0</v>
      </c>
      <c r="AV135" s="23">
        <f>VALUE(9)</f>
        <v>9</v>
      </c>
      <c r="AW135" s="23">
        <f>VALUE(0)</f>
        <v>0</v>
      </c>
      <c r="AX135" s="23" t="s">
        <v>404</v>
      </c>
      <c r="AY135" s="23">
        <f>VALUE(0)</f>
        <v>0</v>
      </c>
      <c r="AZ135" s="23">
        <f>VALUE(0)</f>
        <v>0</v>
      </c>
      <c r="BA135" s="23">
        <f>VALUE(0)</f>
        <v>0</v>
      </c>
      <c r="BB135" s="23">
        <f>VALUE(0)</f>
        <v>0</v>
      </c>
      <c r="BC135" s="23">
        <f>VALUE(0)</f>
        <v>0</v>
      </c>
      <c r="BD135" s="23">
        <f>VALUE(0)</f>
        <v>0</v>
      </c>
      <c r="BE135" s="23">
        <f>VALUE(0)</f>
        <v>0</v>
      </c>
      <c r="BF135" s="23">
        <f>VALUE(0)</f>
        <v>0</v>
      </c>
      <c r="BG135" s="23">
        <f>VALUE(0)</f>
        <v>0</v>
      </c>
      <c r="BH135" s="23">
        <f>VALUE(0)</f>
        <v>0</v>
      </c>
      <c r="BI135" s="23">
        <f>VALUE(0)</f>
        <v>0</v>
      </c>
      <c r="BJ135" s="23">
        <f>VALUE(0)</f>
        <v>0</v>
      </c>
      <c r="BK135" s="12">
        <f>$AX$135*24</f>
        <v>4.8499999999999996</v>
      </c>
      <c r="BL135" s="12">
        <f>$AY$135*24</f>
        <v>0</v>
      </c>
      <c r="BM135" s="12">
        <f>$BJ$135*24</f>
        <v>0</v>
      </c>
      <c r="BN135" s="12">
        <f>VALUE($I$135)/100</f>
        <v>1</v>
      </c>
      <c r="BO135" s="12">
        <v>0</v>
      </c>
      <c r="BP135" s="12">
        <v>0</v>
      </c>
      <c r="BQ135" s="12">
        <v>0</v>
      </c>
      <c r="BR135" s="12">
        <v>0</v>
      </c>
      <c r="BS135" s="12">
        <v>0</v>
      </c>
      <c r="BT135" s="12">
        <v>0</v>
      </c>
      <c r="BU135" s="12">
        <v>0</v>
      </c>
      <c r="BV135" s="12">
        <v>0</v>
      </c>
      <c r="BW135" s="12">
        <v>0</v>
      </c>
      <c r="BX135" s="12">
        <v>0</v>
      </c>
      <c r="BY135" s="12">
        <v>0</v>
      </c>
      <c r="BZ135" s="12">
        <v>0</v>
      </c>
      <c r="CA135" s="12">
        <v>0</v>
      </c>
    </row>
    <row r="136" spans="1:79" hidden="1" x14ac:dyDescent="0.2">
      <c r="A136" s="12" t="s">
        <v>120</v>
      </c>
      <c r="B136" s="12" t="s">
        <v>1320</v>
      </c>
      <c r="C136" s="12" t="s">
        <v>1320</v>
      </c>
      <c r="D136" s="22" t="s">
        <v>405</v>
      </c>
      <c r="E136" s="22" t="s">
        <v>161</v>
      </c>
      <c r="F136" s="22" t="s">
        <v>800</v>
      </c>
      <c r="G136" s="22" t="s">
        <v>801</v>
      </c>
      <c r="H136" s="22" t="s">
        <v>150</v>
      </c>
      <c r="I136" s="22" t="s">
        <v>151</v>
      </c>
      <c r="J136" s="22" t="s">
        <v>162</v>
      </c>
      <c r="K136" s="22" t="s">
        <v>1212</v>
      </c>
      <c r="L136" s="54" t="s">
        <v>153</v>
      </c>
      <c r="M136" s="23" t="s">
        <v>153</v>
      </c>
      <c r="N136" s="24" t="s">
        <v>153</v>
      </c>
      <c r="O136" s="23" t="s">
        <v>153</v>
      </c>
      <c r="P136" s="23" t="s">
        <v>153</v>
      </c>
      <c r="Q136" s="23" t="s">
        <v>153</v>
      </c>
      <c r="R136" s="23" t="s">
        <v>153</v>
      </c>
      <c r="S136" s="23" t="s">
        <v>153</v>
      </c>
      <c r="T136" s="23" t="s">
        <v>153</v>
      </c>
      <c r="U136" s="24" t="s">
        <v>153</v>
      </c>
      <c r="V136" s="54" t="s">
        <v>153</v>
      </c>
      <c r="W136" s="23" t="s">
        <v>153</v>
      </c>
      <c r="X136" s="23" t="s">
        <v>153</v>
      </c>
      <c r="Y136" s="23" t="s">
        <v>153</v>
      </c>
      <c r="Z136" s="23" t="s">
        <v>153</v>
      </c>
      <c r="AA136" s="23" t="s">
        <v>153</v>
      </c>
      <c r="AB136" s="24" t="s">
        <v>153</v>
      </c>
      <c r="AC136" s="23" t="s">
        <v>153</v>
      </c>
      <c r="AD136" s="23" t="s">
        <v>153</v>
      </c>
      <c r="AE136" s="24" t="s">
        <v>156</v>
      </c>
      <c r="AF136" s="24" t="s">
        <v>156</v>
      </c>
      <c r="AG136" s="23" t="s">
        <v>153</v>
      </c>
      <c r="AH136" s="23" t="s">
        <v>153</v>
      </c>
      <c r="AI136" s="24" t="s">
        <v>153</v>
      </c>
      <c r="AJ136" s="23" t="s">
        <v>153</v>
      </c>
      <c r="AK136" s="23" t="s">
        <v>153</v>
      </c>
      <c r="AL136" s="23" t="s">
        <v>153</v>
      </c>
      <c r="AM136" s="23" t="s">
        <v>153</v>
      </c>
      <c r="AN136" s="23" t="s">
        <v>153</v>
      </c>
      <c r="AO136" s="23" t="s">
        <v>153</v>
      </c>
      <c r="AP136" s="23">
        <f>VALUE(3)</f>
        <v>3</v>
      </c>
      <c r="AQ136" s="23">
        <f>VALUE(0)</f>
        <v>0</v>
      </c>
      <c r="AR136" s="23">
        <f>VALUE(0)</f>
        <v>0</v>
      </c>
      <c r="AS136" s="23">
        <f>VALUE(0)</f>
        <v>0</v>
      </c>
      <c r="AT136" s="23">
        <f>VALUE(0)</f>
        <v>0</v>
      </c>
      <c r="AU136" s="23">
        <f>VALUE(0)</f>
        <v>0</v>
      </c>
      <c r="AV136" s="23">
        <f>VALUE(0)</f>
        <v>0</v>
      </c>
      <c r="AW136" s="23">
        <f>VALUE(0)</f>
        <v>0</v>
      </c>
      <c r="AX136" s="23" t="s">
        <v>171</v>
      </c>
      <c r="AY136" s="23" t="s">
        <v>406</v>
      </c>
      <c r="AZ136" s="23">
        <f>VALUE(0)</f>
        <v>0</v>
      </c>
      <c r="BA136" s="23">
        <f>VALUE(0)</f>
        <v>0</v>
      </c>
      <c r="BB136" s="23">
        <f>VALUE(0)</f>
        <v>0</v>
      </c>
      <c r="BC136" s="23">
        <f>VALUE(0)</f>
        <v>0</v>
      </c>
      <c r="BD136" s="23">
        <f>VALUE(0)</f>
        <v>0</v>
      </c>
      <c r="BE136" s="23">
        <f>VALUE(0)</f>
        <v>0</v>
      </c>
      <c r="BF136" s="23">
        <f>VALUE(0)</f>
        <v>0</v>
      </c>
      <c r="BG136" s="23">
        <f>VALUE(0)</f>
        <v>0</v>
      </c>
      <c r="BH136" s="23">
        <f>VALUE(0)</f>
        <v>0</v>
      </c>
      <c r="BI136" s="23">
        <f>VALUE(0)</f>
        <v>0</v>
      </c>
      <c r="BJ136" s="23">
        <f>VALUE(0)</f>
        <v>0</v>
      </c>
      <c r="BK136" s="12">
        <f>$AX$136*24</f>
        <v>5.833333333333333</v>
      </c>
      <c r="BL136" s="12">
        <f>$AY$136*24</f>
        <v>9.9</v>
      </c>
      <c r="BM136" s="12">
        <f>$BJ$136*24</f>
        <v>0</v>
      </c>
      <c r="BN136" s="12">
        <f>VALUE($I$136)/100</f>
        <v>1</v>
      </c>
      <c r="BO136" s="12">
        <v>0</v>
      </c>
      <c r="BP136" s="12">
        <v>0</v>
      </c>
      <c r="BQ136" s="12">
        <v>0</v>
      </c>
      <c r="BR136" s="12">
        <v>0</v>
      </c>
      <c r="BS136" s="12">
        <v>0</v>
      </c>
      <c r="BT136" s="12">
        <v>0</v>
      </c>
      <c r="BU136" s="12">
        <v>0</v>
      </c>
      <c r="BV136" s="12">
        <v>0</v>
      </c>
      <c r="BW136" s="12">
        <v>0</v>
      </c>
      <c r="BX136" s="12">
        <v>0</v>
      </c>
      <c r="BY136" s="12">
        <v>0</v>
      </c>
      <c r="BZ136" s="12">
        <v>0</v>
      </c>
      <c r="CA136" s="12">
        <v>0</v>
      </c>
    </row>
    <row r="137" spans="1:79" x14ac:dyDescent="0.2">
      <c r="A137" s="12" t="s">
        <v>120</v>
      </c>
      <c r="B137" s="12" t="s">
        <v>1320</v>
      </c>
      <c r="C137" s="12" t="s">
        <v>1320</v>
      </c>
      <c r="D137" s="22" t="s">
        <v>383</v>
      </c>
      <c r="E137" s="22" t="s">
        <v>161</v>
      </c>
      <c r="F137" s="22" t="s">
        <v>802</v>
      </c>
      <c r="G137" s="22" t="s">
        <v>803</v>
      </c>
      <c r="H137" s="22" t="s">
        <v>166</v>
      </c>
      <c r="I137" s="22" t="s">
        <v>151</v>
      </c>
      <c r="J137" s="22" t="s">
        <v>162</v>
      </c>
      <c r="K137" s="22" t="s">
        <v>1212</v>
      </c>
      <c r="L137" s="54" t="s">
        <v>153</v>
      </c>
      <c r="M137" s="23" t="s">
        <v>153</v>
      </c>
      <c r="N137" s="24" t="s">
        <v>153</v>
      </c>
      <c r="O137" s="23" t="s">
        <v>153</v>
      </c>
      <c r="P137" s="23" t="s">
        <v>153</v>
      </c>
      <c r="Q137" s="23" t="s">
        <v>153</v>
      </c>
      <c r="R137" s="23" t="s">
        <v>153</v>
      </c>
      <c r="S137" s="23" t="s">
        <v>153</v>
      </c>
      <c r="T137" s="23" t="s">
        <v>153</v>
      </c>
      <c r="U137" s="24" t="s">
        <v>153</v>
      </c>
      <c r="V137" s="54" t="s">
        <v>153</v>
      </c>
      <c r="W137" s="23" t="s">
        <v>153</v>
      </c>
      <c r="X137" s="23" t="s">
        <v>153</v>
      </c>
      <c r="Y137" s="23" t="s">
        <v>153</v>
      </c>
      <c r="Z137" s="24" t="s">
        <v>156</v>
      </c>
      <c r="AA137" s="24" t="s">
        <v>156</v>
      </c>
      <c r="AB137" s="24" t="s">
        <v>153</v>
      </c>
      <c r="AC137" s="29" t="s">
        <v>163</v>
      </c>
      <c r="AD137" s="29" t="s">
        <v>163</v>
      </c>
      <c r="AE137" s="29" t="s">
        <v>163</v>
      </c>
      <c r="AF137" s="29" t="s">
        <v>163</v>
      </c>
      <c r="AG137" s="29" t="s">
        <v>163</v>
      </c>
      <c r="AH137" s="29" t="s">
        <v>163</v>
      </c>
      <c r="AI137" s="24" t="s">
        <v>153</v>
      </c>
      <c r="AJ137" s="23" t="s">
        <v>153</v>
      </c>
      <c r="AK137" s="23" t="s">
        <v>153</v>
      </c>
      <c r="AL137" s="23" t="s">
        <v>153</v>
      </c>
      <c r="AM137" s="23" t="s">
        <v>153</v>
      </c>
      <c r="AN137" s="23" t="s">
        <v>153</v>
      </c>
      <c r="AO137" s="23" t="s">
        <v>153</v>
      </c>
      <c r="AP137" s="23">
        <f>VALUE(3)</f>
        <v>3</v>
      </c>
      <c r="AQ137" s="23">
        <f>VALUE(0)</f>
        <v>0</v>
      </c>
      <c r="AR137" s="23">
        <f>VALUE(6)</f>
        <v>6</v>
      </c>
      <c r="AS137" s="23">
        <f>VALUE(0)</f>
        <v>0</v>
      </c>
      <c r="AT137" s="23">
        <f>VALUE(0)</f>
        <v>0</v>
      </c>
      <c r="AU137" s="23">
        <f>VALUE(0)</f>
        <v>0</v>
      </c>
      <c r="AV137" s="23">
        <f>VALUE(6)</f>
        <v>6</v>
      </c>
      <c r="AW137" s="23">
        <f>VALUE(3)</f>
        <v>3</v>
      </c>
      <c r="AX137" s="23" t="s">
        <v>1215</v>
      </c>
      <c r="AY137" s="23">
        <f>VALUE(0)</f>
        <v>0</v>
      </c>
      <c r="AZ137" s="23">
        <f>VALUE(0)</f>
        <v>0</v>
      </c>
      <c r="BA137" s="23">
        <f>VALUE(0)</f>
        <v>0</v>
      </c>
      <c r="BB137" s="23">
        <f>VALUE(0)</f>
        <v>0</v>
      </c>
      <c r="BC137" s="23">
        <f>VALUE(0)</f>
        <v>0</v>
      </c>
      <c r="BD137" s="23">
        <f>VALUE(0)</f>
        <v>0</v>
      </c>
      <c r="BE137" s="23">
        <f>VALUE(0)</f>
        <v>0</v>
      </c>
      <c r="BF137" s="23">
        <f>VALUE(0)</f>
        <v>0</v>
      </c>
      <c r="BG137" s="23">
        <f>VALUE(0)</f>
        <v>0</v>
      </c>
      <c r="BH137" s="23">
        <f>VALUE(0)</f>
        <v>0</v>
      </c>
      <c r="BI137" s="23">
        <f>VALUE(0)</f>
        <v>0</v>
      </c>
      <c r="BJ137" s="23">
        <f>VALUE(0)</f>
        <v>0</v>
      </c>
      <c r="BK137" s="12">
        <f>$AX$137*24</f>
        <v>27</v>
      </c>
      <c r="BL137" s="12">
        <f>$AY$137*24</f>
        <v>0</v>
      </c>
      <c r="BM137" s="12">
        <f>$BJ$137*24</f>
        <v>0</v>
      </c>
      <c r="BN137" s="12">
        <f>VALUE($I$137)/100</f>
        <v>1</v>
      </c>
      <c r="BO137" s="12">
        <v>0</v>
      </c>
      <c r="BP137" s="12">
        <v>0</v>
      </c>
      <c r="BQ137" s="12">
        <v>0</v>
      </c>
      <c r="BR137" s="12">
        <v>0</v>
      </c>
      <c r="BS137" s="12">
        <v>0</v>
      </c>
      <c r="BT137" s="12">
        <v>6</v>
      </c>
      <c r="BU137" s="12">
        <v>0</v>
      </c>
      <c r="BV137" s="12">
        <v>0</v>
      </c>
      <c r="BW137" s="12">
        <v>0</v>
      </c>
      <c r="BX137" s="12">
        <v>0</v>
      </c>
      <c r="BY137" s="12">
        <v>0</v>
      </c>
      <c r="BZ137" s="12">
        <v>0</v>
      </c>
      <c r="CA137" s="12">
        <v>0</v>
      </c>
    </row>
    <row r="138" spans="1:79" hidden="1" x14ac:dyDescent="0.2">
      <c r="A138" s="12" t="s">
        <v>120</v>
      </c>
      <c r="B138" s="12" t="s">
        <v>1320</v>
      </c>
      <c r="C138" s="12" t="s">
        <v>1320</v>
      </c>
      <c r="D138" s="22" t="s">
        <v>397</v>
      </c>
      <c r="E138" s="22" t="s">
        <v>161</v>
      </c>
      <c r="F138" s="22" t="s">
        <v>804</v>
      </c>
      <c r="G138" s="22" t="s">
        <v>805</v>
      </c>
      <c r="H138" s="22" t="s">
        <v>150</v>
      </c>
      <c r="I138" s="22" t="s">
        <v>151</v>
      </c>
      <c r="J138" s="22" t="s">
        <v>162</v>
      </c>
      <c r="K138" s="22" t="s">
        <v>1212</v>
      </c>
      <c r="L138" s="54" t="s">
        <v>153</v>
      </c>
      <c r="M138" s="28" t="s">
        <v>163</v>
      </c>
      <c r="N138" s="24" t="s">
        <v>153</v>
      </c>
      <c r="O138" s="28" t="s">
        <v>163</v>
      </c>
      <c r="P138" s="28" t="s">
        <v>163</v>
      </c>
      <c r="Q138" s="28" t="s">
        <v>163</v>
      </c>
      <c r="R138" s="28" t="s">
        <v>163</v>
      </c>
      <c r="S138" s="28" t="s">
        <v>163</v>
      </c>
      <c r="T138" s="28" t="s">
        <v>163</v>
      </c>
      <c r="U138" s="24" t="s">
        <v>153</v>
      </c>
      <c r="V138" s="54" t="s">
        <v>153</v>
      </c>
      <c r="W138" s="28" t="s">
        <v>163</v>
      </c>
      <c r="X138" s="28" t="s">
        <v>163</v>
      </c>
      <c r="Y138" s="28" t="s">
        <v>163</v>
      </c>
      <c r="Z138" s="28" t="s">
        <v>163</v>
      </c>
      <c r="AA138" s="28" t="s">
        <v>163</v>
      </c>
      <c r="AB138" s="24" t="s">
        <v>153</v>
      </c>
      <c r="AC138" s="23" t="s">
        <v>153</v>
      </c>
      <c r="AD138" s="23" t="s">
        <v>153</v>
      </c>
      <c r="AE138" s="23" t="s">
        <v>153</v>
      </c>
      <c r="AF138" s="23" t="s">
        <v>153</v>
      </c>
      <c r="AG138" s="23" t="s">
        <v>153</v>
      </c>
      <c r="AH138" s="23" t="s">
        <v>153</v>
      </c>
      <c r="AI138" s="24" t="s">
        <v>153</v>
      </c>
      <c r="AJ138" s="23" t="s">
        <v>153</v>
      </c>
      <c r="AK138" s="23" t="s">
        <v>153</v>
      </c>
      <c r="AL138" s="23" t="s">
        <v>153</v>
      </c>
      <c r="AM138" s="23" t="s">
        <v>153</v>
      </c>
      <c r="AN138" s="23" t="s">
        <v>153</v>
      </c>
      <c r="AO138" s="23" t="s">
        <v>153</v>
      </c>
      <c r="AP138" s="23">
        <f>VALUE(0)</f>
        <v>0</v>
      </c>
      <c r="AQ138" s="23">
        <f>VALUE(0)</f>
        <v>0</v>
      </c>
      <c r="AR138" s="23">
        <f>VALUE(0)</f>
        <v>0</v>
      </c>
      <c r="AS138" s="23">
        <f>VALUE(0)</f>
        <v>0</v>
      </c>
      <c r="AT138" s="23">
        <f>VALUE(0)</f>
        <v>0</v>
      </c>
      <c r="AU138" s="23">
        <f>VALUE(12)</f>
        <v>12</v>
      </c>
      <c r="AV138" s="23">
        <f>VALUE(5)</f>
        <v>5</v>
      </c>
      <c r="AW138" s="23">
        <f>VALUE(0)</f>
        <v>0</v>
      </c>
      <c r="AX138" s="23">
        <f>VALUE(0)</f>
        <v>0</v>
      </c>
      <c r="AY138" s="23">
        <f>VALUE(0)</f>
        <v>0</v>
      </c>
      <c r="AZ138" s="23">
        <f>VALUE(0)</f>
        <v>0</v>
      </c>
      <c r="BA138" s="23">
        <f>VALUE(0)</f>
        <v>0</v>
      </c>
      <c r="BB138" s="23">
        <f>VALUE(0)</f>
        <v>0</v>
      </c>
      <c r="BC138" s="23">
        <f>VALUE(0)</f>
        <v>0</v>
      </c>
      <c r="BD138" s="23">
        <f>VALUE(0)</f>
        <v>0</v>
      </c>
      <c r="BE138" s="23">
        <f>VALUE(0)</f>
        <v>0</v>
      </c>
      <c r="BF138" s="23">
        <f>VALUE(0)</f>
        <v>0</v>
      </c>
      <c r="BG138" s="23">
        <f>VALUE(0)</f>
        <v>0</v>
      </c>
      <c r="BH138" s="23">
        <f>VALUE(0)</f>
        <v>0</v>
      </c>
      <c r="BI138" s="23">
        <f>VALUE(0)</f>
        <v>0</v>
      </c>
      <c r="BJ138" s="23">
        <f>VALUE(0)</f>
        <v>0</v>
      </c>
      <c r="BK138" s="12">
        <f>$AX$138*24</f>
        <v>0</v>
      </c>
      <c r="BL138" s="12">
        <f>$AY$138*24</f>
        <v>0</v>
      </c>
      <c r="BM138" s="12">
        <f>$BJ$138*24</f>
        <v>0</v>
      </c>
      <c r="BN138" s="12">
        <f>VALUE($I$138)/100</f>
        <v>1</v>
      </c>
      <c r="BO138" s="12">
        <v>0</v>
      </c>
      <c r="BP138" s="12">
        <v>0</v>
      </c>
      <c r="BQ138" s="12">
        <v>0</v>
      </c>
      <c r="BR138" s="12">
        <v>0</v>
      </c>
      <c r="BS138" s="12">
        <v>0</v>
      </c>
      <c r="BT138" s="12">
        <v>0</v>
      </c>
      <c r="BU138" s="12">
        <v>0</v>
      </c>
      <c r="BV138" s="12">
        <v>0</v>
      </c>
      <c r="BW138" s="12">
        <v>0</v>
      </c>
      <c r="BX138" s="12">
        <v>0</v>
      </c>
      <c r="BY138" s="12">
        <v>0</v>
      </c>
      <c r="BZ138" s="12">
        <v>0</v>
      </c>
      <c r="CA138" s="12">
        <v>0</v>
      </c>
    </row>
    <row r="139" spans="1:79" hidden="1" x14ac:dyDescent="0.2">
      <c r="A139" s="12" t="s">
        <v>120</v>
      </c>
      <c r="B139" s="12" t="s">
        <v>1320</v>
      </c>
      <c r="C139" s="12" t="s">
        <v>1320</v>
      </c>
      <c r="D139" s="22" t="s">
        <v>397</v>
      </c>
      <c r="E139" s="22" t="s">
        <v>161</v>
      </c>
      <c r="F139" s="22" t="s">
        <v>806</v>
      </c>
      <c r="G139" s="22" t="s">
        <v>807</v>
      </c>
      <c r="H139" s="22" t="s">
        <v>190</v>
      </c>
      <c r="I139" s="22" t="s">
        <v>151</v>
      </c>
      <c r="J139" s="22" t="s">
        <v>162</v>
      </c>
      <c r="K139" s="22" t="s">
        <v>1212</v>
      </c>
      <c r="L139" s="54" t="s">
        <v>153</v>
      </c>
      <c r="M139" s="23" t="s">
        <v>153</v>
      </c>
      <c r="N139" s="24" t="s">
        <v>153</v>
      </c>
      <c r="O139" s="23" t="s">
        <v>153</v>
      </c>
      <c r="P139" s="23" t="s">
        <v>153</v>
      </c>
      <c r="Q139" s="23" t="s">
        <v>153</v>
      </c>
      <c r="R139" s="23" t="s">
        <v>153</v>
      </c>
      <c r="S139" s="23" t="s">
        <v>153</v>
      </c>
      <c r="T139" s="23" t="s">
        <v>153</v>
      </c>
      <c r="U139" s="24" t="s">
        <v>153</v>
      </c>
      <c r="V139" s="54" t="s">
        <v>153</v>
      </c>
      <c r="W139" s="23" t="s">
        <v>153</v>
      </c>
      <c r="X139" s="23" t="s">
        <v>153</v>
      </c>
      <c r="Y139" s="23" t="s">
        <v>153</v>
      </c>
      <c r="Z139" s="23" t="s">
        <v>153</v>
      </c>
      <c r="AA139" s="23" t="s">
        <v>153</v>
      </c>
      <c r="AB139" s="40" t="s">
        <v>153</v>
      </c>
      <c r="AC139" s="40" t="s">
        <v>153</v>
      </c>
      <c r="AD139" s="40" t="s">
        <v>153</v>
      </c>
      <c r="AE139" s="40" t="s">
        <v>153</v>
      </c>
      <c r="AF139" s="40" t="s">
        <v>153</v>
      </c>
      <c r="AG139" s="40" t="s">
        <v>153</v>
      </c>
      <c r="AH139" s="40" t="s">
        <v>153</v>
      </c>
      <c r="AI139" s="40" t="s">
        <v>153</v>
      </c>
      <c r="AJ139" s="40" t="s">
        <v>153</v>
      </c>
      <c r="AK139" s="40" t="s">
        <v>153</v>
      </c>
      <c r="AL139" s="40" t="s">
        <v>153</v>
      </c>
      <c r="AM139" s="40" t="s">
        <v>153</v>
      </c>
      <c r="AN139" s="40" t="s">
        <v>153</v>
      </c>
      <c r="AO139" s="40" t="s">
        <v>153</v>
      </c>
      <c r="AP139" s="23">
        <f>VALUE(0)</f>
        <v>0</v>
      </c>
      <c r="AQ139" s="23">
        <f>VALUE(0)</f>
        <v>0</v>
      </c>
      <c r="AR139" s="23">
        <f>VALUE(0)</f>
        <v>0</v>
      </c>
      <c r="AS139" s="23">
        <f>VALUE(0)</f>
        <v>0</v>
      </c>
      <c r="AT139" s="23">
        <f>VALUE(0)</f>
        <v>0</v>
      </c>
      <c r="AU139" s="23">
        <f>VALUE(0)</f>
        <v>0</v>
      </c>
      <c r="AV139" s="23">
        <f>VALUE(3)</f>
        <v>3</v>
      </c>
      <c r="AW139" s="23">
        <f>VALUE(0)</f>
        <v>0</v>
      </c>
      <c r="AX139" s="23">
        <f>VALUE(0)</f>
        <v>0</v>
      </c>
      <c r="AY139" s="23">
        <f>VALUE(0)</f>
        <v>0</v>
      </c>
      <c r="AZ139" s="23">
        <f>VALUE(0)</f>
        <v>0</v>
      </c>
      <c r="BA139" s="23">
        <f>VALUE(0)</f>
        <v>0</v>
      </c>
      <c r="BB139" s="23">
        <f>VALUE(0)</f>
        <v>0</v>
      </c>
      <c r="BC139" s="23">
        <f>VALUE(0)</f>
        <v>0</v>
      </c>
      <c r="BD139" s="23">
        <f>VALUE(0)</f>
        <v>0</v>
      </c>
      <c r="BE139" s="23">
        <f>VALUE(0)</f>
        <v>0</v>
      </c>
      <c r="BF139" s="23">
        <f>VALUE(0)</f>
        <v>0</v>
      </c>
      <c r="BG139" s="23">
        <f>VALUE(0)</f>
        <v>0</v>
      </c>
      <c r="BH139" s="23">
        <f>VALUE(0)</f>
        <v>0</v>
      </c>
      <c r="BI139" s="23">
        <f>VALUE(0)</f>
        <v>0</v>
      </c>
      <c r="BJ139" s="23">
        <f>VALUE(0)</f>
        <v>0</v>
      </c>
      <c r="BK139" s="12">
        <f>$AX$139*24</f>
        <v>0</v>
      </c>
      <c r="BL139" s="12">
        <f>$AY$139*24</f>
        <v>0</v>
      </c>
      <c r="BM139" s="12">
        <f>$BJ$139*24</f>
        <v>0</v>
      </c>
      <c r="BN139" s="12">
        <f>VALUE($I$139)/100</f>
        <v>1</v>
      </c>
      <c r="BO139" s="12">
        <v>0</v>
      </c>
      <c r="BP139" s="12">
        <v>0</v>
      </c>
      <c r="BQ139" s="12">
        <v>0</v>
      </c>
      <c r="BR139" s="12">
        <v>0</v>
      </c>
      <c r="BS139" s="12">
        <v>0</v>
      </c>
      <c r="BT139" s="12">
        <v>0</v>
      </c>
      <c r="BU139" s="12">
        <v>0</v>
      </c>
      <c r="BV139" s="12">
        <v>0</v>
      </c>
      <c r="BW139" s="12">
        <v>0</v>
      </c>
      <c r="BX139" s="12">
        <v>0</v>
      </c>
      <c r="BY139" s="12">
        <v>0</v>
      </c>
      <c r="BZ139" s="12">
        <v>0</v>
      </c>
      <c r="CA139" s="12">
        <v>0</v>
      </c>
    </row>
    <row r="140" spans="1:79" hidden="1" x14ac:dyDescent="0.2">
      <c r="A140" s="12" t="s">
        <v>120</v>
      </c>
      <c r="B140" s="12" t="s">
        <v>1320</v>
      </c>
      <c r="C140" s="12" t="s">
        <v>1320</v>
      </c>
      <c r="D140" s="22" t="s">
        <v>398</v>
      </c>
      <c r="E140" s="22" t="s">
        <v>161</v>
      </c>
      <c r="F140" s="22" t="s">
        <v>808</v>
      </c>
      <c r="G140" s="22" t="s">
        <v>809</v>
      </c>
      <c r="H140" s="22" t="s">
        <v>166</v>
      </c>
      <c r="I140" s="22" t="s">
        <v>194</v>
      </c>
      <c r="J140" s="22" t="s">
        <v>162</v>
      </c>
      <c r="K140" s="22" t="s">
        <v>1212</v>
      </c>
      <c r="L140" s="54" t="s">
        <v>156</v>
      </c>
      <c r="M140" s="24" t="s">
        <v>156</v>
      </c>
      <c r="N140" s="24" t="s">
        <v>153</v>
      </c>
      <c r="O140" s="23" t="s">
        <v>153</v>
      </c>
      <c r="P140" s="23" t="s">
        <v>153</v>
      </c>
      <c r="Q140" s="23" t="s">
        <v>153</v>
      </c>
      <c r="R140" s="23" t="s">
        <v>153</v>
      </c>
      <c r="S140" s="23" t="s">
        <v>153</v>
      </c>
      <c r="T140" s="23" t="s">
        <v>153</v>
      </c>
      <c r="U140" s="24" t="s">
        <v>153</v>
      </c>
      <c r="V140" s="54" t="s">
        <v>153</v>
      </c>
      <c r="W140" s="23" t="s">
        <v>153</v>
      </c>
      <c r="X140" s="23" t="s">
        <v>153</v>
      </c>
      <c r="Y140" s="23" t="s">
        <v>153</v>
      </c>
      <c r="Z140" s="23" t="s">
        <v>153</v>
      </c>
      <c r="AA140" s="23" t="s">
        <v>153</v>
      </c>
      <c r="AB140" s="24" t="s">
        <v>153</v>
      </c>
      <c r="AC140" s="23" t="s">
        <v>153</v>
      </c>
      <c r="AD140" s="23" t="s">
        <v>153</v>
      </c>
      <c r="AE140" s="23" t="s">
        <v>153</v>
      </c>
      <c r="AF140" s="23" t="s">
        <v>153</v>
      </c>
      <c r="AG140" s="23" t="s">
        <v>153</v>
      </c>
      <c r="AH140" s="23" t="s">
        <v>153</v>
      </c>
      <c r="AI140" s="24" t="s">
        <v>153</v>
      </c>
      <c r="AJ140" s="24" t="s">
        <v>195</v>
      </c>
      <c r="AK140" s="24" t="s">
        <v>195</v>
      </c>
      <c r="AL140" s="24" t="s">
        <v>195</v>
      </c>
      <c r="AM140" s="24" t="s">
        <v>195</v>
      </c>
      <c r="AN140" s="24" t="s">
        <v>195</v>
      </c>
      <c r="AO140" s="24" t="s">
        <v>195</v>
      </c>
      <c r="AP140" s="23">
        <f>VALUE(0)</f>
        <v>0</v>
      </c>
      <c r="AQ140" s="23">
        <f>VALUE(0)</f>
        <v>0</v>
      </c>
      <c r="AR140" s="23">
        <f>VALUE(0)</f>
        <v>0</v>
      </c>
      <c r="AS140" s="23">
        <f>VALUE(0)</f>
        <v>0</v>
      </c>
      <c r="AT140" s="23">
        <f>VALUE(0)</f>
        <v>0</v>
      </c>
      <c r="AU140" s="23">
        <f>VALUE(0)</f>
        <v>0</v>
      </c>
      <c r="AV140" s="23">
        <f>VALUE(1.5)</f>
        <v>1.5</v>
      </c>
      <c r="AW140" s="23">
        <f>VALUE(3)</f>
        <v>3</v>
      </c>
      <c r="AX140" s="23" t="s">
        <v>1216</v>
      </c>
      <c r="AY140" s="23">
        <f>VALUE(0)</f>
        <v>0</v>
      </c>
      <c r="AZ140" s="23">
        <f>VALUE(0)</f>
        <v>0</v>
      </c>
      <c r="BA140" s="23">
        <f>VALUE(0)</f>
        <v>0</v>
      </c>
      <c r="BB140" s="23">
        <f>VALUE(0)</f>
        <v>0</v>
      </c>
      <c r="BC140" s="23">
        <f>VALUE(0)</f>
        <v>0</v>
      </c>
      <c r="BD140" s="23">
        <f>VALUE(0)</f>
        <v>0</v>
      </c>
      <c r="BE140" s="23">
        <f>VALUE(0)</f>
        <v>0</v>
      </c>
      <c r="BF140" s="23">
        <f>VALUE(0)</f>
        <v>0</v>
      </c>
      <c r="BG140" s="23">
        <f>VALUE(0)</f>
        <v>0</v>
      </c>
      <c r="BH140" s="23">
        <f>VALUE(0)</f>
        <v>0</v>
      </c>
      <c r="BI140" s="23">
        <f>VALUE(0)</f>
        <v>0</v>
      </c>
      <c r="BJ140" s="23">
        <f>VALUE(0)</f>
        <v>0</v>
      </c>
      <c r="BK140" s="12">
        <f>$AX$140*24</f>
        <v>13.833333333333336</v>
      </c>
      <c r="BL140" s="12">
        <f>$AY$140*24</f>
        <v>0</v>
      </c>
      <c r="BM140" s="12">
        <f>$BJ$140*24</f>
        <v>0</v>
      </c>
      <c r="BN140" s="12">
        <f>VALUE($I$140)/100</f>
        <v>0.8</v>
      </c>
      <c r="BO140" s="12">
        <v>0</v>
      </c>
      <c r="BP140" s="12">
        <v>0</v>
      </c>
      <c r="BQ140" s="12">
        <v>0</v>
      </c>
      <c r="BR140" s="12">
        <v>0</v>
      </c>
      <c r="BS140" s="12">
        <v>0</v>
      </c>
      <c r="BT140" s="12">
        <v>0</v>
      </c>
      <c r="BU140" s="12">
        <v>0</v>
      </c>
      <c r="BV140" s="12">
        <v>0</v>
      </c>
      <c r="BW140" s="12">
        <v>0</v>
      </c>
      <c r="BX140" s="12">
        <v>0</v>
      </c>
      <c r="BY140" s="12">
        <v>0</v>
      </c>
      <c r="BZ140" s="12">
        <v>0</v>
      </c>
      <c r="CA140" s="12">
        <v>0</v>
      </c>
    </row>
    <row r="141" spans="1:79" hidden="1" x14ac:dyDescent="0.2">
      <c r="A141" s="12" t="s">
        <v>120</v>
      </c>
      <c r="B141" s="12" t="s">
        <v>1320</v>
      </c>
      <c r="C141" s="12" t="s">
        <v>1320</v>
      </c>
      <c r="D141" s="22" t="s">
        <v>1217</v>
      </c>
      <c r="E141" s="22" t="s">
        <v>159</v>
      </c>
      <c r="F141" s="22" t="s">
        <v>810</v>
      </c>
      <c r="G141" s="22" t="s">
        <v>811</v>
      </c>
      <c r="H141" s="22" t="s">
        <v>150</v>
      </c>
      <c r="I141" s="22" t="s">
        <v>151</v>
      </c>
      <c r="J141" s="22" t="s">
        <v>162</v>
      </c>
      <c r="K141" s="22" t="s">
        <v>1212</v>
      </c>
      <c r="L141" s="54" t="s">
        <v>153</v>
      </c>
      <c r="M141" s="23" t="s">
        <v>391</v>
      </c>
      <c r="N141" s="24" t="s">
        <v>153</v>
      </c>
      <c r="O141" s="28" t="s">
        <v>163</v>
      </c>
      <c r="P141" s="28" t="s">
        <v>163</v>
      </c>
      <c r="Q141" s="28" t="s">
        <v>163</v>
      </c>
      <c r="R141" s="28" t="s">
        <v>163</v>
      </c>
      <c r="S141" s="28" t="s">
        <v>163</v>
      </c>
      <c r="T141" s="28" t="s">
        <v>163</v>
      </c>
      <c r="U141" s="24" t="s">
        <v>153</v>
      </c>
      <c r="V141" s="54" t="s">
        <v>153</v>
      </c>
      <c r="W141" s="23" t="s">
        <v>260</v>
      </c>
      <c r="X141" s="23" t="s">
        <v>260</v>
      </c>
      <c r="Y141" s="23" t="s">
        <v>260</v>
      </c>
      <c r="Z141" s="23" t="s">
        <v>260</v>
      </c>
      <c r="AA141" s="23" t="s">
        <v>260</v>
      </c>
      <c r="AB141" s="24" t="s">
        <v>153</v>
      </c>
      <c r="AC141" s="23" t="s">
        <v>260</v>
      </c>
      <c r="AD141" s="23" t="s">
        <v>260</v>
      </c>
      <c r="AE141" s="23" t="s">
        <v>260</v>
      </c>
      <c r="AF141" s="23" t="s">
        <v>260</v>
      </c>
      <c r="AG141" s="24" t="s">
        <v>156</v>
      </c>
      <c r="AH141" s="24" t="s">
        <v>156</v>
      </c>
      <c r="AI141" s="24" t="s">
        <v>153</v>
      </c>
      <c r="AJ141" s="23" t="s">
        <v>260</v>
      </c>
      <c r="AK141" s="23" t="s">
        <v>260</v>
      </c>
      <c r="AL141" s="23" t="s">
        <v>260</v>
      </c>
      <c r="AM141" s="23" t="s">
        <v>260</v>
      </c>
      <c r="AN141" s="23" t="s">
        <v>260</v>
      </c>
      <c r="AO141" s="23" t="s">
        <v>260</v>
      </c>
      <c r="AP141" s="23">
        <f>VALUE(2)</f>
        <v>2</v>
      </c>
      <c r="AQ141" s="23">
        <f>VALUE(0)</f>
        <v>0</v>
      </c>
      <c r="AR141" s="23">
        <f>VALUE(0)</f>
        <v>0</v>
      </c>
      <c r="AS141" s="23">
        <f>VALUE(0)</f>
        <v>0</v>
      </c>
      <c r="AT141" s="23">
        <f>VALUE(0)</f>
        <v>0</v>
      </c>
      <c r="AU141" s="23">
        <f>VALUE(6)</f>
        <v>6</v>
      </c>
      <c r="AV141" s="23">
        <f>VALUE(0)</f>
        <v>0</v>
      </c>
      <c r="AW141" s="23">
        <f>VALUE(0)</f>
        <v>0</v>
      </c>
      <c r="AX141" s="23" t="s">
        <v>171</v>
      </c>
      <c r="AY141" s="23" t="s">
        <v>407</v>
      </c>
      <c r="AZ141" s="23">
        <f>VALUE(0)</f>
        <v>0</v>
      </c>
      <c r="BA141" s="23">
        <f>VALUE(0)</f>
        <v>0</v>
      </c>
      <c r="BB141" s="23">
        <f>VALUE(0)</f>
        <v>0</v>
      </c>
      <c r="BC141" s="23">
        <f>VALUE(0)</f>
        <v>0</v>
      </c>
      <c r="BD141" s="23">
        <f>VALUE(0)</f>
        <v>0</v>
      </c>
      <c r="BE141" s="23">
        <f>VALUE(0)</f>
        <v>0</v>
      </c>
      <c r="BF141" s="23">
        <f>VALUE(0)</f>
        <v>0</v>
      </c>
      <c r="BG141" s="23">
        <f>VALUE(0)</f>
        <v>0</v>
      </c>
      <c r="BH141" s="23">
        <f>VALUE(0)</f>
        <v>0</v>
      </c>
      <c r="BI141" s="23">
        <f>VALUE(0)</f>
        <v>0</v>
      </c>
      <c r="BJ141" s="23">
        <f>VALUE(0)</f>
        <v>0</v>
      </c>
      <c r="BK141" s="12">
        <f>$AX$141*24</f>
        <v>5.833333333333333</v>
      </c>
      <c r="BL141" s="12">
        <f>$AY$141*24</f>
        <v>1.2166666666666668</v>
      </c>
      <c r="BM141" s="12">
        <f>$BJ$141*24</f>
        <v>0</v>
      </c>
      <c r="BN141" s="12">
        <f>VALUE($I$141)/100</f>
        <v>1</v>
      </c>
      <c r="BO141" s="12">
        <v>0</v>
      </c>
      <c r="BP141" s="12">
        <v>0</v>
      </c>
      <c r="BQ141" s="12">
        <v>0</v>
      </c>
      <c r="BR141" s="12">
        <v>0</v>
      </c>
      <c r="BS141" s="12">
        <v>0</v>
      </c>
      <c r="BT141" s="12">
        <v>0</v>
      </c>
      <c r="BU141" s="12">
        <v>0</v>
      </c>
      <c r="BV141" s="12">
        <v>0</v>
      </c>
      <c r="BW141" s="12">
        <v>0</v>
      </c>
      <c r="BX141" s="12">
        <v>0</v>
      </c>
      <c r="BY141" s="12">
        <v>0</v>
      </c>
      <c r="BZ141" s="12">
        <v>0</v>
      </c>
      <c r="CA141" s="12">
        <v>0</v>
      </c>
    </row>
    <row r="142" spans="1:79" hidden="1" x14ac:dyDescent="0.2">
      <c r="A142" s="12" t="s">
        <v>120</v>
      </c>
      <c r="B142" s="12" t="s">
        <v>1320</v>
      </c>
      <c r="C142" s="12" t="s">
        <v>1320</v>
      </c>
      <c r="D142" s="22" t="s">
        <v>1218</v>
      </c>
      <c r="E142" s="22" t="s">
        <v>332</v>
      </c>
      <c r="F142" s="22" t="s">
        <v>812</v>
      </c>
      <c r="G142" s="22" t="s">
        <v>813</v>
      </c>
      <c r="H142" s="22" t="s">
        <v>150</v>
      </c>
      <c r="I142" s="22" t="s">
        <v>151</v>
      </c>
      <c r="J142" s="22" t="s">
        <v>162</v>
      </c>
      <c r="K142" s="22" t="s">
        <v>1212</v>
      </c>
      <c r="L142" s="54" t="s">
        <v>153</v>
      </c>
      <c r="M142" s="23" t="s">
        <v>398</v>
      </c>
      <c r="N142" s="24" t="s">
        <v>153</v>
      </c>
      <c r="O142" s="23" t="s">
        <v>375</v>
      </c>
      <c r="P142" s="23" t="s">
        <v>375</v>
      </c>
      <c r="Q142" s="23" t="s">
        <v>391</v>
      </c>
      <c r="R142" s="23" t="s">
        <v>391</v>
      </c>
      <c r="S142" s="23" t="s">
        <v>391</v>
      </c>
      <c r="T142" s="23" t="s">
        <v>391</v>
      </c>
      <c r="U142" s="24" t="s">
        <v>153</v>
      </c>
      <c r="V142" s="54" t="s">
        <v>153</v>
      </c>
      <c r="W142" s="25" t="s">
        <v>1219</v>
      </c>
      <c r="X142" s="24" t="s">
        <v>156</v>
      </c>
      <c r="Y142" s="24" t="s">
        <v>156</v>
      </c>
      <c r="Z142" s="23" t="s">
        <v>383</v>
      </c>
      <c r="AA142" s="23" t="s">
        <v>383</v>
      </c>
      <c r="AB142" s="24" t="s">
        <v>153</v>
      </c>
      <c r="AC142" s="23" t="s">
        <v>383</v>
      </c>
      <c r="AD142" s="23" t="s">
        <v>383</v>
      </c>
      <c r="AE142" s="23" t="s">
        <v>405</v>
      </c>
      <c r="AF142" s="23" t="s">
        <v>405</v>
      </c>
      <c r="AG142" s="23" t="s">
        <v>401</v>
      </c>
      <c r="AH142" s="23" t="s">
        <v>401</v>
      </c>
      <c r="AI142" s="24" t="s">
        <v>153</v>
      </c>
      <c r="AJ142" s="23" t="s">
        <v>398</v>
      </c>
      <c r="AK142" s="23" t="s">
        <v>398</v>
      </c>
      <c r="AL142" s="23" t="s">
        <v>391</v>
      </c>
      <c r="AM142" s="23" t="s">
        <v>391</v>
      </c>
      <c r="AN142" s="23" t="s">
        <v>400</v>
      </c>
      <c r="AO142" s="23" t="s">
        <v>400</v>
      </c>
      <c r="AP142" s="23">
        <f>VALUE(0)</f>
        <v>0</v>
      </c>
      <c r="AQ142" s="23">
        <f>VALUE(0)</f>
        <v>0</v>
      </c>
      <c r="AR142" s="23">
        <f>VALUE(0)</f>
        <v>0</v>
      </c>
      <c r="AS142" s="23">
        <f>VALUE(0)</f>
        <v>0</v>
      </c>
      <c r="AT142" s="23">
        <f>VALUE(0)</f>
        <v>0</v>
      </c>
      <c r="AU142" s="23">
        <f>VALUE(0)</f>
        <v>0</v>
      </c>
      <c r="AV142" s="23">
        <f>VALUE(5)</f>
        <v>5</v>
      </c>
      <c r="AW142" s="23">
        <f>VALUE(0)</f>
        <v>0</v>
      </c>
      <c r="AX142" s="23" t="s">
        <v>248</v>
      </c>
      <c r="AY142" s="23">
        <f>VALUE(0)</f>
        <v>0</v>
      </c>
      <c r="AZ142" s="23">
        <f>VALUE(0)</f>
        <v>0</v>
      </c>
      <c r="BA142" s="23">
        <f>VALUE(0)</f>
        <v>0</v>
      </c>
      <c r="BB142" s="23">
        <f>VALUE(0)</f>
        <v>0</v>
      </c>
      <c r="BC142" s="23">
        <f>VALUE(0)</f>
        <v>0</v>
      </c>
      <c r="BD142" s="23">
        <f>VALUE(1)</f>
        <v>1</v>
      </c>
      <c r="BE142" s="23">
        <f>VALUE(0)</f>
        <v>0</v>
      </c>
      <c r="BF142" s="23">
        <f>VALUE(0)</f>
        <v>0</v>
      </c>
      <c r="BG142" s="23">
        <f>VALUE(0)</f>
        <v>0</v>
      </c>
      <c r="BH142" s="23">
        <f>VALUE(0)</f>
        <v>0</v>
      </c>
      <c r="BI142" s="23">
        <f>VALUE(0)</f>
        <v>0</v>
      </c>
      <c r="BJ142" s="23">
        <f>VALUE(0)</f>
        <v>0</v>
      </c>
      <c r="BK142" s="12">
        <f>$AX$142*24</f>
        <v>16.333333333333332</v>
      </c>
      <c r="BL142" s="12">
        <f>$AY$142*24</f>
        <v>0</v>
      </c>
      <c r="BM142" s="12">
        <f>$BJ$142*24</f>
        <v>0</v>
      </c>
      <c r="BN142" s="12">
        <f>VALUE($I$142)/100</f>
        <v>1</v>
      </c>
      <c r="BO142" s="12">
        <v>0</v>
      </c>
      <c r="BP142" s="12">
        <v>0</v>
      </c>
      <c r="BQ142" s="12">
        <v>0</v>
      </c>
      <c r="BR142" s="12">
        <v>1</v>
      </c>
      <c r="BS142" s="12">
        <v>0</v>
      </c>
      <c r="BT142" s="12">
        <v>0</v>
      </c>
      <c r="BU142" s="12">
        <v>0</v>
      </c>
      <c r="BV142" s="12">
        <v>0</v>
      </c>
      <c r="BW142" s="12">
        <v>0</v>
      </c>
      <c r="BX142" s="12">
        <v>0</v>
      </c>
      <c r="BY142" s="12">
        <v>0</v>
      </c>
      <c r="BZ142" s="12">
        <v>0</v>
      </c>
      <c r="CA142" s="12">
        <v>0</v>
      </c>
    </row>
    <row r="143" spans="1:79" ht="15" hidden="1" x14ac:dyDescent="0.25">
      <c r="A143" s="12" t="s">
        <v>120</v>
      </c>
      <c r="B143" s="12" t="s">
        <v>1320</v>
      </c>
      <c r="C143" s="12" t="s">
        <v>1320</v>
      </c>
      <c r="D143" s="31" t="s">
        <v>202</v>
      </c>
      <c r="E143" s="31" t="s">
        <v>153</v>
      </c>
      <c r="F143" s="31" t="s">
        <v>175</v>
      </c>
      <c r="G143" s="31" t="s">
        <v>153</v>
      </c>
      <c r="H143" s="31" t="s">
        <v>153</v>
      </c>
      <c r="I143" s="31" t="s">
        <v>153</v>
      </c>
      <c r="J143" s="31" t="s">
        <v>153</v>
      </c>
      <c r="K143" s="31" t="s">
        <v>153</v>
      </c>
      <c r="L143" s="31">
        <f>VALUE(0)</f>
        <v>0</v>
      </c>
      <c r="M143" s="31">
        <f>VALUE(9)</f>
        <v>9</v>
      </c>
      <c r="N143" s="31">
        <f>VALUE(0)</f>
        <v>0</v>
      </c>
      <c r="O143" s="31">
        <f>VALUE(8)</f>
        <v>8</v>
      </c>
      <c r="P143" s="31">
        <f>VALUE(9)</f>
        <v>9</v>
      </c>
      <c r="Q143" s="31">
        <f>VALUE(10)</f>
        <v>10</v>
      </c>
      <c r="R143" s="31">
        <f>VALUE(11)</f>
        <v>11</v>
      </c>
      <c r="S143" s="31">
        <f>VALUE(11)</f>
        <v>11</v>
      </c>
      <c r="T143" s="31">
        <f>VALUE(11)</f>
        <v>11</v>
      </c>
      <c r="U143" s="31">
        <f>VALUE(0)</f>
        <v>0</v>
      </c>
      <c r="V143" s="31">
        <f>VALUE(0)</f>
        <v>0</v>
      </c>
      <c r="W143" s="31">
        <f>VALUE(11)</f>
        <v>11</v>
      </c>
      <c r="X143" s="31">
        <f>VALUE(9)</f>
        <v>9</v>
      </c>
      <c r="Y143" s="31">
        <f>VALUE(9)</f>
        <v>9</v>
      </c>
      <c r="Z143" s="31">
        <f>VALUE(10)</f>
        <v>10</v>
      </c>
      <c r="AA143" s="31">
        <f>VALUE(9)</f>
        <v>9</v>
      </c>
      <c r="AB143" s="31">
        <f>VALUE(0)</f>
        <v>0</v>
      </c>
      <c r="AC143" s="31">
        <f>VALUE(9)</f>
        <v>9</v>
      </c>
      <c r="AD143" s="31">
        <f>VALUE(10)</f>
        <v>10</v>
      </c>
      <c r="AE143" s="31">
        <f>VALUE(9)</f>
        <v>9</v>
      </c>
      <c r="AF143" s="31">
        <f>VALUE(9)</f>
        <v>9</v>
      </c>
      <c r="AG143" s="31">
        <f>VALUE(8)</f>
        <v>8</v>
      </c>
      <c r="AH143" s="31">
        <f>VALUE(8)</f>
        <v>8</v>
      </c>
      <c r="AI143" s="31">
        <f>VALUE(0)</f>
        <v>0</v>
      </c>
      <c r="AJ143" s="31">
        <f>VALUE(10)</f>
        <v>10</v>
      </c>
      <c r="AK143" s="31">
        <f>VALUE(9)</f>
        <v>9</v>
      </c>
      <c r="AL143" s="31">
        <f>VALUE(9)</f>
        <v>9</v>
      </c>
      <c r="AM143" s="31">
        <f>VALUE(9)</f>
        <v>9</v>
      </c>
      <c r="AN143" s="31">
        <f>VALUE(8)</f>
        <v>8</v>
      </c>
      <c r="AO143" s="31">
        <f>VALUE(8)</f>
        <v>8</v>
      </c>
      <c r="AP143" s="31">
        <v>0</v>
      </c>
      <c r="AQ143" s="31">
        <v>0</v>
      </c>
      <c r="AR143" s="31">
        <v>0</v>
      </c>
      <c r="AS143" s="31">
        <v>0</v>
      </c>
      <c r="AT143" s="31">
        <v>0</v>
      </c>
      <c r="AU143" s="31">
        <v>0</v>
      </c>
      <c r="AV143" s="31">
        <v>0</v>
      </c>
      <c r="AW143" s="31">
        <v>0</v>
      </c>
      <c r="AX143" s="31">
        <v>0</v>
      </c>
      <c r="AY143" s="31">
        <v>0</v>
      </c>
      <c r="AZ143" s="31">
        <v>0</v>
      </c>
      <c r="BA143" s="31">
        <v>0</v>
      </c>
      <c r="BB143" s="31">
        <v>0</v>
      </c>
      <c r="BC143" s="31">
        <v>0</v>
      </c>
      <c r="BD143" s="31">
        <v>0</v>
      </c>
      <c r="BE143" s="31">
        <v>0</v>
      </c>
      <c r="BF143" s="31">
        <v>0</v>
      </c>
      <c r="BG143" s="31">
        <v>0</v>
      </c>
      <c r="BH143" s="31">
        <v>0</v>
      </c>
      <c r="BI143" s="31">
        <v>0</v>
      </c>
      <c r="BJ143" s="31">
        <v>0</v>
      </c>
      <c r="BK143" s="12">
        <v>0</v>
      </c>
      <c r="BL143" s="12">
        <v>0</v>
      </c>
      <c r="BM143" s="12">
        <v>0</v>
      </c>
      <c r="BN143" s="12"/>
      <c r="BO143" s="12">
        <v>0</v>
      </c>
      <c r="BP143" s="12">
        <v>0</v>
      </c>
      <c r="BQ143" s="12">
        <v>0</v>
      </c>
      <c r="BR143" s="12">
        <v>0</v>
      </c>
      <c r="BS143" s="12">
        <v>0</v>
      </c>
      <c r="BT143" s="12">
        <v>0</v>
      </c>
      <c r="BU143" s="12">
        <v>0</v>
      </c>
      <c r="BV143" s="12">
        <v>0</v>
      </c>
      <c r="BW143" s="12">
        <v>0</v>
      </c>
      <c r="BX143" s="12">
        <v>0</v>
      </c>
      <c r="BY143" s="12">
        <v>0</v>
      </c>
      <c r="BZ143" s="12">
        <v>0</v>
      </c>
      <c r="CA143" s="12">
        <v>0</v>
      </c>
    </row>
    <row r="144" spans="1:79" hidden="1" x14ac:dyDescent="0.2">
      <c r="A144" s="12" t="s">
        <v>120</v>
      </c>
      <c r="B144" s="12" t="s">
        <v>123</v>
      </c>
      <c r="C144" s="12" t="s">
        <v>123</v>
      </c>
      <c r="D144" s="22" t="s">
        <v>392</v>
      </c>
      <c r="E144" s="22" t="s">
        <v>161</v>
      </c>
      <c r="F144" s="22" t="s">
        <v>814</v>
      </c>
      <c r="G144" s="22" t="s">
        <v>815</v>
      </c>
      <c r="H144" s="22" t="s">
        <v>150</v>
      </c>
      <c r="I144" s="22" t="s">
        <v>151</v>
      </c>
      <c r="J144" s="22" t="s">
        <v>162</v>
      </c>
      <c r="K144" s="22" t="s">
        <v>82</v>
      </c>
      <c r="L144" s="54" t="s">
        <v>153</v>
      </c>
      <c r="M144" s="23" t="s">
        <v>153</v>
      </c>
      <c r="N144" s="24" t="s">
        <v>153</v>
      </c>
      <c r="O144" s="23" t="s">
        <v>153</v>
      </c>
      <c r="P144" s="23" t="s">
        <v>153</v>
      </c>
      <c r="Q144" s="23" t="s">
        <v>153</v>
      </c>
      <c r="R144" s="23" t="s">
        <v>153</v>
      </c>
      <c r="S144" s="23" t="s">
        <v>153</v>
      </c>
      <c r="T144" s="23" t="s">
        <v>153</v>
      </c>
      <c r="U144" s="24" t="s">
        <v>153</v>
      </c>
      <c r="V144" s="54" t="s">
        <v>153</v>
      </c>
      <c r="W144" s="23" t="s">
        <v>153</v>
      </c>
      <c r="X144" s="23" t="s">
        <v>153</v>
      </c>
      <c r="Y144" s="23" t="s">
        <v>153</v>
      </c>
      <c r="Z144" s="23" t="s">
        <v>153</v>
      </c>
      <c r="AA144" s="23" t="s">
        <v>153</v>
      </c>
      <c r="AB144" s="24" t="s">
        <v>153</v>
      </c>
      <c r="AC144" s="24" t="s">
        <v>156</v>
      </c>
      <c r="AD144" s="23" t="s">
        <v>153</v>
      </c>
      <c r="AE144" s="24" t="s">
        <v>156</v>
      </c>
      <c r="AF144" s="24" t="s">
        <v>156</v>
      </c>
      <c r="AG144" s="24" t="s">
        <v>156</v>
      </c>
      <c r="AH144" s="28" t="s">
        <v>163</v>
      </c>
      <c r="AI144" s="24" t="s">
        <v>153</v>
      </c>
      <c r="AJ144" s="28" t="s">
        <v>163</v>
      </c>
      <c r="AK144" s="28" t="s">
        <v>163</v>
      </c>
      <c r="AL144" s="28" t="s">
        <v>163</v>
      </c>
      <c r="AM144" s="28" t="s">
        <v>163</v>
      </c>
      <c r="AN144" s="28" t="s">
        <v>163</v>
      </c>
      <c r="AO144" s="28" t="s">
        <v>163</v>
      </c>
      <c r="AP144" s="23">
        <f>VALUE(0)</f>
        <v>0</v>
      </c>
      <c r="AQ144" s="23">
        <f>VALUE(0)</f>
        <v>0</v>
      </c>
      <c r="AR144" s="23">
        <f>VALUE(0)</f>
        <v>0</v>
      </c>
      <c r="AS144" s="23">
        <f>VALUE(0)</f>
        <v>0</v>
      </c>
      <c r="AT144" s="23">
        <f>VALUE(0)</f>
        <v>0</v>
      </c>
      <c r="AU144" s="23">
        <f>VALUE(7)</f>
        <v>7</v>
      </c>
      <c r="AV144" s="23">
        <f>VALUE(2)</f>
        <v>2</v>
      </c>
      <c r="AW144" s="23">
        <f>VALUE(0)</f>
        <v>0</v>
      </c>
      <c r="AX144" s="23">
        <f>VALUE(0)</f>
        <v>0</v>
      </c>
      <c r="AY144" s="23" t="s">
        <v>408</v>
      </c>
      <c r="AZ144" s="23">
        <f>VALUE(0)</f>
        <v>0</v>
      </c>
      <c r="BA144" s="23">
        <f>VALUE(0)</f>
        <v>0</v>
      </c>
      <c r="BB144" s="23">
        <f>VALUE(0)</f>
        <v>0</v>
      </c>
      <c r="BC144" s="23">
        <f>VALUE(0)</f>
        <v>0</v>
      </c>
      <c r="BD144" s="23">
        <f>VALUE(0)</f>
        <v>0</v>
      </c>
      <c r="BE144" s="23">
        <f>VALUE(0)</f>
        <v>0</v>
      </c>
      <c r="BF144" s="23">
        <f>VALUE(0)</f>
        <v>0</v>
      </c>
      <c r="BG144" s="23">
        <f>VALUE(0)</f>
        <v>0</v>
      </c>
      <c r="BH144" s="23">
        <f>VALUE(0)</f>
        <v>0</v>
      </c>
      <c r="BI144" s="23">
        <f>VALUE(0)</f>
        <v>0</v>
      </c>
      <c r="BJ144" s="23">
        <f>VALUE(0)</f>
        <v>0</v>
      </c>
      <c r="BK144" s="12">
        <f>$AX$144*24</f>
        <v>0</v>
      </c>
      <c r="BL144" s="12">
        <f>$AY$144*24</f>
        <v>10.75</v>
      </c>
      <c r="BM144" s="12">
        <f>$BJ$144*24</f>
        <v>0</v>
      </c>
      <c r="BN144" s="12">
        <f>VALUE($I$144)/100</f>
        <v>1</v>
      </c>
      <c r="BO144" s="12">
        <v>0</v>
      </c>
      <c r="BP144" s="12">
        <v>0</v>
      </c>
      <c r="BQ144" s="12">
        <v>0</v>
      </c>
      <c r="BR144" s="12">
        <v>0</v>
      </c>
      <c r="BS144" s="12">
        <v>0</v>
      </c>
      <c r="BT144" s="12">
        <v>0</v>
      </c>
      <c r="BU144" s="12">
        <v>0</v>
      </c>
      <c r="BV144" s="12">
        <v>0</v>
      </c>
      <c r="BW144" s="12">
        <v>0</v>
      </c>
      <c r="BX144" s="12">
        <v>0</v>
      </c>
      <c r="BY144" s="12">
        <v>0</v>
      </c>
      <c r="BZ144" s="12">
        <v>0</v>
      </c>
      <c r="CA144" s="12">
        <v>0</v>
      </c>
    </row>
    <row r="145" spans="1:79" x14ac:dyDescent="0.2">
      <c r="A145" s="12" t="s">
        <v>120</v>
      </c>
      <c r="B145" s="12" t="s">
        <v>123</v>
      </c>
      <c r="C145" s="12" t="s">
        <v>123</v>
      </c>
      <c r="D145" s="22" t="s">
        <v>386</v>
      </c>
      <c r="E145" s="22" t="s">
        <v>161</v>
      </c>
      <c r="F145" s="22" t="s">
        <v>816</v>
      </c>
      <c r="G145" s="22" t="s">
        <v>817</v>
      </c>
      <c r="H145" s="22" t="s">
        <v>150</v>
      </c>
      <c r="I145" s="22" t="s">
        <v>151</v>
      </c>
      <c r="J145" s="22" t="s">
        <v>162</v>
      </c>
      <c r="K145" s="22" t="s">
        <v>82</v>
      </c>
      <c r="L145" s="54" t="s">
        <v>153</v>
      </c>
      <c r="M145" s="28" t="s">
        <v>163</v>
      </c>
      <c r="N145" s="24" t="s">
        <v>153</v>
      </c>
      <c r="O145" s="29" t="s">
        <v>218</v>
      </c>
      <c r="P145" s="29" t="s">
        <v>218</v>
      </c>
      <c r="Q145" s="23" t="s">
        <v>153</v>
      </c>
      <c r="R145" s="23" t="s">
        <v>153</v>
      </c>
      <c r="S145" s="23" t="s">
        <v>153</v>
      </c>
      <c r="T145" s="23" t="s">
        <v>153</v>
      </c>
      <c r="U145" s="24" t="s">
        <v>153</v>
      </c>
      <c r="V145" s="54" t="s">
        <v>153</v>
      </c>
      <c r="W145" s="23" t="s">
        <v>153</v>
      </c>
      <c r="X145" s="24" t="s">
        <v>156</v>
      </c>
      <c r="Y145" s="24" t="s">
        <v>156</v>
      </c>
      <c r="Z145" s="23" t="s">
        <v>153</v>
      </c>
      <c r="AA145" s="23" t="s">
        <v>153</v>
      </c>
      <c r="AB145" s="24" t="s">
        <v>153</v>
      </c>
      <c r="AC145" s="23" t="s">
        <v>153</v>
      </c>
      <c r="AD145" s="23" t="s">
        <v>153</v>
      </c>
      <c r="AE145" s="23" t="s">
        <v>153</v>
      </c>
      <c r="AF145" s="23" t="s">
        <v>153</v>
      </c>
      <c r="AG145" s="29" t="s">
        <v>218</v>
      </c>
      <c r="AH145" s="23" t="s">
        <v>153</v>
      </c>
      <c r="AI145" s="24" t="s">
        <v>153</v>
      </c>
      <c r="AJ145" s="23" t="s">
        <v>153</v>
      </c>
      <c r="AK145" s="23" t="s">
        <v>153</v>
      </c>
      <c r="AL145" s="23" t="s">
        <v>153</v>
      </c>
      <c r="AM145" s="23" t="s">
        <v>153</v>
      </c>
      <c r="AN145" s="23" t="s">
        <v>153</v>
      </c>
      <c r="AO145" s="23" t="s">
        <v>153</v>
      </c>
      <c r="AP145" s="23">
        <f>VALUE(0)</f>
        <v>0</v>
      </c>
      <c r="AQ145" s="23">
        <f>VALUE(0)</f>
        <v>0</v>
      </c>
      <c r="AR145" s="23">
        <f>VALUE(3)</f>
        <v>3</v>
      </c>
      <c r="AS145" s="23">
        <f>VALUE(0)</f>
        <v>0</v>
      </c>
      <c r="AT145" s="23">
        <f>VALUE(0)</f>
        <v>0</v>
      </c>
      <c r="AU145" s="23">
        <f>VALUE(1)</f>
        <v>1</v>
      </c>
      <c r="AV145" s="23">
        <f>VALUE(2)</f>
        <v>2</v>
      </c>
      <c r="AW145" s="23">
        <f>VALUE(0)</f>
        <v>0</v>
      </c>
      <c r="AX145" s="23" t="s">
        <v>158</v>
      </c>
      <c r="AY145" s="23">
        <f>VALUE(0)</f>
        <v>0</v>
      </c>
      <c r="AZ145" s="23">
        <f>VALUE(0)</f>
        <v>0</v>
      </c>
      <c r="BA145" s="23">
        <f>VALUE(0)</f>
        <v>0</v>
      </c>
      <c r="BB145" s="23">
        <f>VALUE(0)</f>
        <v>0</v>
      </c>
      <c r="BC145" s="23">
        <f>VALUE(0)</f>
        <v>0</v>
      </c>
      <c r="BD145" s="23">
        <f>VALUE(0)</f>
        <v>0</v>
      </c>
      <c r="BE145" s="23">
        <f>VALUE(0)</f>
        <v>0</v>
      </c>
      <c r="BF145" s="23">
        <f>VALUE(0)</f>
        <v>0</v>
      </c>
      <c r="BG145" s="23">
        <f>VALUE(0)</f>
        <v>0</v>
      </c>
      <c r="BH145" s="23">
        <f>VALUE(0)</f>
        <v>0</v>
      </c>
      <c r="BI145" s="23">
        <f>VALUE(0)</f>
        <v>0</v>
      </c>
      <c r="BJ145" s="23">
        <f>VALUE(0)</f>
        <v>0</v>
      </c>
      <c r="BK145" s="12">
        <f>$AX$145*24</f>
        <v>11.666666666666666</v>
      </c>
      <c r="BL145" s="12">
        <f>$AY$145*24</f>
        <v>0</v>
      </c>
      <c r="BM145" s="12">
        <f>$BJ$145*24</f>
        <v>0</v>
      </c>
      <c r="BN145" s="12">
        <f>VALUE($I$145)/100</f>
        <v>1</v>
      </c>
      <c r="BO145" s="12">
        <v>0</v>
      </c>
      <c r="BP145" s="12">
        <v>0</v>
      </c>
      <c r="BQ145" s="12">
        <v>0</v>
      </c>
      <c r="BR145" s="12">
        <v>0</v>
      </c>
      <c r="BS145" s="12">
        <v>3</v>
      </c>
      <c r="BT145" s="12">
        <v>0</v>
      </c>
      <c r="BU145" s="12">
        <v>0</v>
      </c>
      <c r="BV145" s="12">
        <v>0</v>
      </c>
      <c r="BW145" s="12">
        <v>0</v>
      </c>
      <c r="BX145" s="12">
        <v>0</v>
      </c>
      <c r="BY145" s="12">
        <v>0</v>
      </c>
      <c r="BZ145" s="12">
        <v>0</v>
      </c>
      <c r="CA145" s="12">
        <v>0</v>
      </c>
    </row>
    <row r="146" spans="1:79" hidden="1" x14ac:dyDescent="0.2">
      <c r="A146" s="12" t="s">
        <v>120</v>
      </c>
      <c r="B146" s="12" t="s">
        <v>123</v>
      </c>
      <c r="C146" s="12" t="s">
        <v>123</v>
      </c>
      <c r="D146" s="22" t="s">
        <v>409</v>
      </c>
      <c r="E146" s="22" t="s">
        <v>161</v>
      </c>
      <c r="F146" s="22" t="s">
        <v>818</v>
      </c>
      <c r="G146" s="22" t="s">
        <v>819</v>
      </c>
      <c r="H146" s="22" t="s">
        <v>150</v>
      </c>
      <c r="I146" s="22" t="s">
        <v>151</v>
      </c>
      <c r="J146" s="22" t="s">
        <v>162</v>
      </c>
      <c r="K146" s="22" t="s">
        <v>82</v>
      </c>
      <c r="L146" s="54" t="s">
        <v>153</v>
      </c>
      <c r="M146" s="23" t="s">
        <v>153</v>
      </c>
      <c r="N146" s="24" t="s">
        <v>153</v>
      </c>
      <c r="O146" s="24" t="s">
        <v>156</v>
      </c>
      <c r="P146" s="24" t="s">
        <v>156</v>
      </c>
      <c r="Q146" s="28" t="s">
        <v>163</v>
      </c>
      <c r="R146" s="28" t="s">
        <v>163</v>
      </c>
      <c r="S146" s="28" t="s">
        <v>163</v>
      </c>
      <c r="T146" s="28" t="s">
        <v>163</v>
      </c>
      <c r="U146" s="24" t="s">
        <v>153</v>
      </c>
      <c r="V146" s="54" t="s">
        <v>153</v>
      </c>
      <c r="W146" s="23" t="s">
        <v>153</v>
      </c>
      <c r="X146" s="23" t="s">
        <v>153</v>
      </c>
      <c r="Y146" s="23" t="s">
        <v>153</v>
      </c>
      <c r="Z146" s="23" t="s">
        <v>153</v>
      </c>
      <c r="AA146" s="23" t="s">
        <v>153</v>
      </c>
      <c r="AB146" s="24" t="s">
        <v>153</v>
      </c>
      <c r="AC146" s="23" t="s">
        <v>153</v>
      </c>
      <c r="AD146" s="23" t="s">
        <v>153</v>
      </c>
      <c r="AE146" s="23" t="s">
        <v>153</v>
      </c>
      <c r="AF146" s="23" t="s">
        <v>153</v>
      </c>
      <c r="AG146" s="23" t="s">
        <v>153</v>
      </c>
      <c r="AH146" s="23" t="s">
        <v>153</v>
      </c>
      <c r="AI146" s="24" t="s">
        <v>153</v>
      </c>
      <c r="AJ146" s="23" t="s">
        <v>153</v>
      </c>
      <c r="AK146" s="23" t="s">
        <v>153</v>
      </c>
      <c r="AL146" s="23" t="s">
        <v>153</v>
      </c>
      <c r="AM146" s="23" t="s">
        <v>153</v>
      </c>
      <c r="AN146" s="23" t="s">
        <v>153</v>
      </c>
      <c r="AO146" s="23" t="s">
        <v>153</v>
      </c>
      <c r="AP146" s="23">
        <f>VALUE(0)</f>
        <v>0</v>
      </c>
      <c r="AQ146" s="23">
        <f>VALUE(0)</f>
        <v>0</v>
      </c>
      <c r="AR146" s="23">
        <f>VALUE(0)</f>
        <v>0</v>
      </c>
      <c r="AS146" s="23">
        <f>VALUE(0)</f>
        <v>0</v>
      </c>
      <c r="AT146" s="23">
        <f>VALUE(0)</f>
        <v>0</v>
      </c>
      <c r="AU146" s="23">
        <f>VALUE(4)</f>
        <v>4</v>
      </c>
      <c r="AV146" s="23">
        <f>VALUE(3)</f>
        <v>3</v>
      </c>
      <c r="AW146" s="23">
        <f>VALUE(0)</f>
        <v>0</v>
      </c>
      <c r="AX146" s="23" t="s">
        <v>410</v>
      </c>
      <c r="AY146" s="23" t="s">
        <v>176</v>
      </c>
      <c r="AZ146" s="23">
        <f>VALUE(0)</f>
        <v>0</v>
      </c>
      <c r="BA146" s="23">
        <f>VALUE(0)</f>
        <v>0</v>
      </c>
      <c r="BB146" s="23">
        <f>VALUE(0)</f>
        <v>0</v>
      </c>
      <c r="BC146" s="23">
        <f>VALUE(0)</f>
        <v>0</v>
      </c>
      <c r="BD146" s="23">
        <f>VALUE(0)</f>
        <v>0</v>
      </c>
      <c r="BE146" s="23">
        <f>VALUE(0)</f>
        <v>0</v>
      </c>
      <c r="BF146" s="23">
        <f>VALUE(0)</f>
        <v>0</v>
      </c>
      <c r="BG146" s="23">
        <f>VALUE(0)</f>
        <v>0</v>
      </c>
      <c r="BH146" s="23">
        <f>VALUE(0)</f>
        <v>0</v>
      </c>
      <c r="BI146" s="23">
        <f>VALUE(0)</f>
        <v>0</v>
      </c>
      <c r="BJ146" s="23">
        <f>VALUE(0)</f>
        <v>0</v>
      </c>
      <c r="BK146" s="12">
        <f>$AX$146*24</f>
        <v>5.55</v>
      </c>
      <c r="BL146" s="12">
        <f>$AY$146*24</f>
        <v>0</v>
      </c>
      <c r="BM146" s="12">
        <f>$BJ$146*24</f>
        <v>0</v>
      </c>
      <c r="BN146" s="12">
        <f>VALUE($I$146)/100</f>
        <v>1</v>
      </c>
      <c r="BO146" s="12">
        <v>0</v>
      </c>
      <c r="BP146" s="12">
        <v>0</v>
      </c>
      <c r="BQ146" s="12">
        <v>0</v>
      </c>
      <c r="BR146" s="12">
        <v>0</v>
      </c>
      <c r="BS146" s="12">
        <v>0</v>
      </c>
      <c r="BT146" s="12">
        <v>0</v>
      </c>
      <c r="BU146" s="12">
        <v>0</v>
      </c>
      <c r="BV146" s="12">
        <v>0</v>
      </c>
      <c r="BW146" s="12">
        <v>0</v>
      </c>
      <c r="BX146" s="12">
        <v>0</v>
      </c>
      <c r="BY146" s="12">
        <v>0</v>
      </c>
      <c r="BZ146" s="12">
        <v>0</v>
      </c>
      <c r="CA146" s="12">
        <v>0</v>
      </c>
    </row>
    <row r="147" spans="1:79" hidden="1" x14ac:dyDescent="0.2">
      <c r="A147" s="12" t="s">
        <v>120</v>
      </c>
      <c r="B147" s="12" t="s">
        <v>123</v>
      </c>
      <c r="C147" s="12" t="s">
        <v>123</v>
      </c>
      <c r="D147" s="22" t="s">
        <v>411</v>
      </c>
      <c r="E147" s="22" t="s">
        <v>161</v>
      </c>
      <c r="F147" s="22" t="s">
        <v>820</v>
      </c>
      <c r="G147" s="22" t="s">
        <v>821</v>
      </c>
      <c r="H147" s="22" t="s">
        <v>150</v>
      </c>
      <c r="I147" s="22" t="s">
        <v>151</v>
      </c>
      <c r="J147" s="22" t="s">
        <v>162</v>
      </c>
      <c r="K147" s="22" t="s">
        <v>82</v>
      </c>
      <c r="L147" s="54" t="s">
        <v>153</v>
      </c>
      <c r="M147" s="23" t="s">
        <v>153</v>
      </c>
      <c r="N147" s="24" t="s">
        <v>153</v>
      </c>
      <c r="O147" s="23" t="s">
        <v>153</v>
      </c>
      <c r="P147" s="23" t="s">
        <v>153</v>
      </c>
      <c r="Q147" s="23" t="s">
        <v>153</v>
      </c>
      <c r="R147" s="23" t="s">
        <v>153</v>
      </c>
      <c r="S147" s="23" t="s">
        <v>153</v>
      </c>
      <c r="T147" s="23" t="s">
        <v>153</v>
      </c>
      <c r="U147" s="24" t="s">
        <v>153</v>
      </c>
      <c r="V147" s="54" t="s">
        <v>153</v>
      </c>
      <c r="W147" s="23" t="s">
        <v>153</v>
      </c>
      <c r="X147" s="23" t="s">
        <v>153</v>
      </c>
      <c r="Y147" s="23" t="s">
        <v>153</v>
      </c>
      <c r="Z147" s="23" t="s">
        <v>153</v>
      </c>
      <c r="AA147" s="23" t="s">
        <v>153</v>
      </c>
      <c r="AB147" s="24" t="s">
        <v>153</v>
      </c>
      <c r="AC147" s="23" t="s">
        <v>153</v>
      </c>
      <c r="AD147" s="23" t="s">
        <v>153</v>
      </c>
      <c r="AE147" s="23" t="s">
        <v>153</v>
      </c>
      <c r="AF147" s="23" t="s">
        <v>153</v>
      </c>
      <c r="AG147" s="23" t="s">
        <v>153</v>
      </c>
      <c r="AH147" s="23" t="s">
        <v>153</v>
      </c>
      <c r="AI147" s="24" t="s">
        <v>153</v>
      </c>
      <c r="AJ147" s="23" t="s">
        <v>153</v>
      </c>
      <c r="AK147" s="23" t="s">
        <v>153</v>
      </c>
      <c r="AL147" s="23" t="s">
        <v>153</v>
      </c>
      <c r="AM147" s="23" t="s">
        <v>153</v>
      </c>
      <c r="AN147" s="24" t="s">
        <v>156</v>
      </c>
      <c r="AO147" s="24" t="s">
        <v>156</v>
      </c>
      <c r="AP147" s="23">
        <f>VALUE(0)</f>
        <v>0</v>
      </c>
      <c r="AQ147" s="23">
        <f>VALUE(0)</f>
        <v>0</v>
      </c>
      <c r="AR147" s="23">
        <f>VALUE(0)</f>
        <v>0</v>
      </c>
      <c r="AS147" s="23">
        <f>VALUE(0)</f>
        <v>0</v>
      </c>
      <c r="AT147" s="23">
        <f>VALUE(0)</f>
        <v>0</v>
      </c>
      <c r="AU147" s="23">
        <f>VALUE(0)</f>
        <v>0</v>
      </c>
      <c r="AV147" s="23">
        <f>VALUE(2.5)</f>
        <v>2.5</v>
      </c>
      <c r="AW147" s="23">
        <f>VALUE(0)</f>
        <v>0</v>
      </c>
      <c r="AX147" s="23" t="s">
        <v>171</v>
      </c>
      <c r="AY147" s="23" t="s">
        <v>412</v>
      </c>
      <c r="AZ147" s="23">
        <f>VALUE(0)</f>
        <v>0</v>
      </c>
      <c r="BA147" s="23">
        <f>VALUE(0)</f>
        <v>0</v>
      </c>
      <c r="BB147" s="23">
        <f>VALUE(0)</f>
        <v>0</v>
      </c>
      <c r="BC147" s="23">
        <f>VALUE(0)</f>
        <v>0</v>
      </c>
      <c r="BD147" s="23">
        <f>VALUE(0)</f>
        <v>0</v>
      </c>
      <c r="BE147" s="23">
        <f>VALUE(0)</f>
        <v>0</v>
      </c>
      <c r="BF147" s="23">
        <f>VALUE(0)</f>
        <v>0</v>
      </c>
      <c r="BG147" s="23">
        <f>VALUE(0)</f>
        <v>0</v>
      </c>
      <c r="BH147" s="23">
        <f>VALUE(0)</f>
        <v>0</v>
      </c>
      <c r="BI147" s="23">
        <f>VALUE(0)</f>
        <v>0</v>
      </c>
      <c r="BJ147" s="23">
        <f>VALUE(0)</f>
        <v>0</v>
      </c>
      <c r="BK147" s="12">
        <f>$AX$147*24</f>
        <v>5.833333333333333</v>
      </c>
      <c r="BL147" s="12">
        <f>$AY$147*24</f>
        <v>3.9666666666666668</v>
      </c>
      <c r="BM147" s="12">
        <f>$BJ$147*24</f>
        <v>0</v>
      </c>
      <c r="BN147" s="12">
        <f>VALUE($I$147)/100</f>
        <v>1</v>
      </c>
      <c r="BO147" s="12">
        <v>0</v>
      </c>
      <c r="BP147" s="12">
        <v>0</v>
      </c>
      <c r="BQ147" s="12">
        <v>0</v>
      </c>
      <c r="BR147" s="12">
        <v>0</v>
      </c>
      <c r="BS147" s="12">
        <v>0</v>
      </c>
      <c r="BT147" s="12">
        <v>0</v>
      </c>
      <c r="BU147" s="12">
        <v>0</v>
      </c>
      <c r="BV147" s="12">
        <v>0</v>
      </c>
      <c r="BW147" s="12">
        <v>0</v>
      </c>
      <c r="BX147" s="12">
        <v>0</v>
      </c>
      <c r="BY147" s="12">
        <v>0</v>
      </c>
      <c r="BZ147" s="12">
        <v>0</v>
      </c>
      <c r="CA147" s="12">
        <v>0</v>
      </c>
    </row>
    <row r="148" spans="1:79" hidden="1" x14ac:dyDescent="0.2">
      <c r="A148" s="12" t="s">
        <v>120</v>
      </c>
      <c r="B148" s="12" t="s">
        <v>123</v>
      </c>
      <c r="C148" s="12" t="s">
        <v>123</v>
      </c>
      <c r="D148" s="22" t="s">
        <v>413</v>
      </c>
      <c r="E148" s="22" t="s">
        <v>161</v>
      </c>
      <c r="F148" s="22" t="s">
        <v>822</v>
      </c>
      <c r="G148" s="22" t="s">
        <v>823</v>
      </c>
      <c r="H148" s="22" t="s">
        <v>150</v>
      </c>
      <c r="I148" s="22" t="s">
        <v>151</v>
      </c>
      <c r="J148" s="22" t="s">
        <v>162</v>
      </c>
      <c r="K148" s="22" t="s">
        <v>82</v>
      </c>
      <c r="L148" s="54" t="s">
        <v>153</v>
      </c>
      <c r="M148" s="23" t="s">
        <v>153</v>
      </c>
      <c r="N148" s="24" t="s">
        <v>153</v>
      </c>
      <c r="O148" s="23" t="s">
        <v>153</v>
      </c>
      <c r="P148" s="23" t="s">
        <v>153</v>
      </c>
      <c r="Q148" s="23" t="s">
        <v>153</v>
      </c>
      <c r="R148" s="23" t="s">
        <v>153</v>
      </c>
      <c r="S148" s="23" t="s">
        <v>153</v>
      </c>
      <c r="T148" s="23" t="s">
        <v>153</v>
      </c>
      <c r="U148" s="24" t="s">
        <v>153</v>
      </c>
      <c r="V148" s="54" t="s">
        <v>153</v>
      </c>
      <c r="W148" s="23" t="s">
        <v>153</v>
      </c>
      <c r="X148" s="35" t="s">
        <v>170</v>
      </c>
      <c r="Y148" s="35" t="s">
        <v>170</v>
      </c>
      <c r="Z148" s="35" t="s">
        <v>170</v>
      </c>
      <c r="AA148" s="23" t="s">
        <v>153</v>
      </c>
      <c r="AB148" s="24" t="s">
        <v>153</v>
      </c>
      <c r="AC148" s="33" t="s">
        <v>201</v>
      </c>
      <c r="AD148" s="33" t="s">
        <v>201</v>
      </c>
      <c r="AE148" s="33" t="s">
        <v>201</v>
      </c>
      <c r="AF148" s="33" t="s">
        <v>201</v>
      </c>
      <c r="AG148" s="24" t="s">
        <v>156</v>
      </c>
      <c r="AH148" s="24" t="s">
        <v>156</v>
      </c>
      <c r="AI148" s="24" t="s">
        <v>153</v>
      </c>
      <c r="AJ148" s="23" t="s">
        <v>153</v>
      </c>
      <c r="AK148" s="23" t="s">
        <v>153</v>
      </c>
      <c r="AL148" s="33" t="s">
        <v>201</v>
      </c>
      <c r="AM148" s="23" t="s">
        <v>153</v>
      </c>
      <c r="AN148" s="23" t="s">
        <v>153</v>
      </c>
      <c r="AO148" s="23" t="s">
        <v>153</v>
      </c>
      <c r="AP148" s="23">
        <f>VALUE(0)</f>
        <v>0</v>
      </c>
      <c r="AQ148" s="23">
        <f>VALUE(0)</f>
        <v>0</v>
      </c>
      <c r="AR148" s="23">
        <f>VALUE(0)</f>
        <v>0</v>
      </c>
      <c r="AS148" s="23">
        <f>VALUE(0)</f>
        <v>0</v>
      </c>
      <c r="AT148" s="23">
        <f>VALUE(0)</f>
        <v>0</v>
      </c>
      <c r="AU148" s="23">
        <f>VALUE(0)</f>
        <v>0</v>
      </c>
      <c r="AV148" s="23">
        <f>VALUE(8)</f>
        <v>8</v>
      </c>
      <c r="AW148" s="23">
        <f>VALUE(0)</f>
        <v>0</v>
      </c>
      <c r="AX148" s="23" t="s">
        <v>158</v>
      </c>
      <c r="AY148" s="23" t="s">
        <v>414</v>
      </c>
      <c r="AZ148" s="23">
        <f>VALUE(0)</f>
        <v>0</v>
      </c>
      <c r="BA148" s="23">
        <f>VALUE(0)</f>
        <v>0</v>
      </c>
      <c r="BB148" s="23">
        <f>VALUE(5)</f>
        <v>5</v>
      </c>
      <c r="BC148" s="23">
        <f>VALUE(0)</f>
        <v>0</v>
      </c>
      <c r="BD148" s="23">
        <f>VALUE(0)</f>
        <v>0</v>
      </c>
      <c r="BE148" s="23">
        <f>VALUE(3)</f>
        <v>3</v>
      </c>
      <c r="BF148" s="23">
        <f>VALUE(0)</f>
        <v>0</v>
      </c>
      <c r="BG148" s="23">
        <f>VALUE(0)</f>
        <v>0</v>
      </c>
      <c r="BH148" s="23">
        <f>VALUE(0)</f>
        <v>0</v>
      </c>
      <c r="BI148" s="23">
        <f>VALUE(0)</f>
        <v>0</v>
      </c>
      <c r="BJ148" s="23">
        <f>VALUE(0)</f>
        <v>0</v>
      </c>
      <c r="BK148" s="12">
        <f>$AX$148*24</f>
        <v>11.666666666666666</v>
      </c>
      <c r="BL148" s="12">
        <f>$AY$148*24</f>
        <v>36.4</v>
      </c>
      <c r="BM148" s="12">
        <f>$BJ$148*24</f>
        <v>0</v>
      </c>
      <c r="BN148" s="12">
        <f>VALUE($I$148)/100</f>
        <v>1</v>
      </c>
      <c r="BO148" s="12">
        <v>0</v>
      </c>
      <c r="BP148" s="12">
        <v>0</v>
      </c>
      <c r="BQ148" s="12">
        <v>0</v>
      </c>
      <c r="BR148" s="12">
        <v>0</v>
      </c>
      <c r="BS148" s="12">
        <v>0</v>
      </c>
      <c r="BT148" s="12">
        <v>0</v>
      </c>
      <c r="BU148" s="12">
        <v>0</v>
      </c>
      <c r="BV148" s="12">
        <v>0</v>
      </c>
      <c r="BW148" s="12">
        <v>0</v>
      </c>
      <c r="BX148" s="12">
        <v>0</v>
      </c>
      <c r="BY148" s="12">
        <v>0</v>
      </c>
      <c r="BZ148" s="12">
        <v>0</v>
      </c>
      <c r="CA148" s="12">
        <v>0</v>
      </c>
    </row>
    <row r="149" spans="1:79" hidden="1" x14ac:dyDescent="0.2">
      <c r="A149" s="12" t="s">
        <v>120</v>
      </c>
      <c r="B149" s="12" t="s">
        <v>123</v>
      </c>
      <c r="C149" s="12" t="s">
        <v>123</v>
      </c>
      <c r="D149" s="22" t="s">
        <v>1220</v>
      </c>
      <c r="E149" s="22" t="s">
        <v>159</v>
      </c>
      <c r="F149" s="22" t="s">
        <v>824</v>
      </c>
      <c r="G149" s="22" t="s">
        <v>825</v>
      </c>
      <c r="H149" s="22" t="s">
        <v>150</v>
      </c>
      <c r="I149" s="22" t="s">
        <v>151</v>
      </c>
      <c r="J149" s="22" t="s">
        <v>162</v>
      </c>
      <c r="K149" s="22" t="s">
        <v>82</v>
      </c>
      <c r="L149" s="54" t="s">
        <v>153</v>
      </c>
      <c r="M149" s="23" t="s">
        <v>153</v>
      </c>
      <c r="N149" s="24" t="s">
        <v>153</v>
      </c>
      <c r="O149" s="23" t="s">
        <v>153</v>
      </c>
      <c r="P149" s="23" t="s">
        <v>153</v>
      </c>
      <c r="Q149" s="23" t="s">
        <v>153</v>
      </c>
      <c r="R149" s="23" t="s">
        <v>153</v>
      </c>
      <c r="S149" s="24" t="s">
        <v>156</v>
      </c>
      <c r="T149" s="24" t="s">
        <v>156</v>
      </c>
      <c r="U149" s="24" t="s">
        <v>153</v>
      </c>
      <c r="V149" s="54" t="s">
        <v>153</v>
      </c>
      <c r="W149" s="23" t="s">
        <v>153</v>
      </c>
      <c r="X149" s="23" t="s">
        <v>153</v>
      </c>
      <c r="Y149" s="23" t="s">
        <v>153</v>
      </c>
      <c r="Z149" s="23" t="s">
        <v>153</v>
      </c>
      <c r="AA149" s="23" t="s">
        <v>153</v>
      </c>
      <c r="AB149" s="24" t="s">
        <v>153</v>
      </c>
      <c r="AC149" s="23" t="s">
        <v>153</v>
      </c>
      <c r="AD149" s="23" t="s">
        <v>153</v>
      </c>
      <c r="AE149" s="23" t="s">
        <v>153</v>
      </c>
      <c r="AF149" s="23" t="s">
        <v>153</v>
      </c>
      <c r="AG149" s="23" t="s">
        <v>153</v>
      </c>
      <c r="AH149" s="23" t="s">
        <v>153</v>
      </c>
      <c r="AI149" s="24" t="s">
        <v>153</v>
      </c>
      <c r="AJ149" s="23" t="s">
        <v>153</v>
      </c>
      <c r="AK149" s="23" t="s">
        <v>153</v>
      </c>
      <c r="AL149" s="23" t="s">
        <v>153</v>
      </c>
      <c r="AM149" s="23" t="s">
        <v>153</v>
      </c>
      <c r="AN149" s="23" t="s">
        <v>153</v>
      </c>
      <c r="AO149" s="23" t="s">
        <v>153</v>
      </c>
      <c r="AP149" s="23">
        <f>VALUE(0)</f>
        <v>0</v>
      </c>
      <c r="AQ149" s="23">
        <f>VALUE(0)</f>
        <v>0</v>
      </c>
      <c r="AR149" s="23">
        <f>VALUE(0)</f>
        <v>0</v>
      </c>
      <c r="AS149" s="23">
        <f>VALUE(22)</f>
        <v>22</v>
      </c>
      <c r="AT149" s="23">
        <f>VALUE(0)</f>
        <v>0</v>
      </c>
      <c r="AU149" s="23">
        <f>VALUE(0)</f>
        <v>0</v>
      </c>
      <c r="AV149" s="23">
        <f>VALUE(2)</f>
        <v>2</v>
      </c>
      <c r="AW149" s="23">
        <f>VALUE(0)</f>
        <v>0</v>
      </c>
      <c r="AX149" s="23" t="s">
        <v>171</v>
      </c>
      <c r="AY149" s="23">
        <f>VALUE(0)</f>
        <v>0</v>
      </c>
      <c r="AZ149" s="23">
        <f>VALUE(0)</f>
        <v>0</v>
      </c>
      <c r="BA149" s="23">
        <f>VALUE(0)</f>
        <v>0</v>
      </c>
      <c r="BB149" s="23">
        <f>VALUE(0)</f>
        <v>0</v>
      </c>
      <c r="BC149" s="23">
        <f>VALUE(0)</f>
        <v>0</v>
      </c>
      <c r="BD149" s="23">
        <f>VALUE(0)</f>
        <v>0</v>
      </c>
      <c r="BE149" s="23">
        <f>VALUE(0)</f>
        <v>0</v>
      </c>
      <c r="BF149" s="23">
        <f>VALUE(0)</f>
        <v>0</v>
      </c>
      <c r="BG149" s="23">
        <f>VALUE(0)</f>
        <v>0</v>
      </c>
      <c r="BH149" s="23">
        <f>VALUE(0)</f>
        <v>0</v>
      </c>
      <c r="BI149" s="23">
        <f>VALUE(0)</f>
        <v>0</v>
      </c>
      <c r="BJ149" s="23">
        <f>VALUE(0)</f>
        <v>0</v>
      </c>
      <c r="BK149" s="12">
        <f>$AX$149*24</f>
        <v>5.833333333333333</v>
      </c>
      <c r="BL149" s="12">
        <f>$AY$149*24</f>
        <v>0</v>
      </c>
      <c r="BM149" s="12">
        <f>$BJ$149*24</f>
        <v>0</v>
      </c>
      <c r="BN149" s="12">
        <f>VALUE($I$149)/100</f>
        <v>1</v>
      </c>
      <c r="BO149" s="12">
        <v>0</v>
      </c>
      <c r="BP149" s="12">
        <v>0</v>
      </c>
      <c r="BQ149" s="12">
        <v>0</v>
      </c>
      <c r="BR149" s="12">
        <v>0</v>
      </c>
      <c r="BS149" s="12">
        <v>0</v>
      </c>
      <c r="BT149" s="12">
        <v>0</v>
      </c>
      <c r="BU149" s="12">
        <v>0</v>
      </c>
      <c r="BV149" s="12">
        <v>0</v>
      </c>
      <c r="BW149" s="12">
        <v>0</v>
      </c>
      <c r="BX149" s="12">
        <v>0</v>
      </c>
      <c r="BY149" s="12">
        <v>0</v>
      </c>
      <c r="BZ149" s="12">
        <v>0</v>
      </c>
      <c r="CA149" s="12">
        <v>0</v>
      </c>
    </row>
    <row r="150" spans="1:79" ht="15" hidden="1" x14ac:dyDescent="0.25">
      <c r="A150" s="12" t="s">
        <v>120</v>
      </c>
      <c r="B150" s="12" t="s">
        <v>123</v>
      </c>
      <c r="C150" s="12" t="s">
        <v>123</v>
      </c>
      <c r="D150" s="31" t="s">
        <v>323</v>
      </c>
      <c r="E150" s="31" t="s">
        <v>153</v>
      </c>
      <c r="F150" s="31" t="s">
        <v>175</v>
      </c>
      <c r="G150" s="31" t="s">
        <v>153</v>
      </c>
      <c r="H150" s="31" t="s">
        <v>153</v>
      </c>
      <c r="I150" s="31" t="s">
        <v>153</v>
      </c>
      <c r="J150" s="31" t="s">
        <v>153</v>
      </c>
      <c r="K150" s="31" t="s">
        <v>153</v>
      </c>
      <c r="L150" s="31">
        <f>VALUE(0)</f>
        <v>0</v>
      </c>
      <c r="M150" s="31">
        <f>VALUE(5)</f>
        <v>5</v>
      </c>
      <c r="N150" s="31">
        <f>VALUE(0)</f>
        <v>0</v>
      </c>
      <c r="O150" s="31">
        <f>VALUE(4)</f>
        <v>4</v>
      </c>
      <c r="P150" s="31">
        <f>VALUE(4)</f>
        <v>4</v>
      </c>
      <c r="Q150" s="31">
        <f>VALUE(5)</f>
        <v>5</v>
      </c>
      <c r="R150" s="31">
        <f>VALUE(5)</f>
        <v>5</v>
      </c>
      <c r="S150" s="31">
        <f>VALUE(4)</f>
        <v>4</v>
      </c>
      <c r="T150" s="31">
        <f>VALUE(4)</f>
        <v>4</v>
      </c>
      <c r="U150" s="31">
        <f>VALUE(0)</f>
        <v>0</v>
      </c>
      <c r="V150" s="31">
        <f>VALUE(0)</f>
        <v>0</v>
      </c>
      <c r="W150" s="31">
        <f>VALUE(6)</f>
        <v>6</v>
      </c>
      <c r="X150" s="31">
        <f>VALUE(4)</f>
        <v>4</v>
      </c>
      <c r="Y150" s="31">
        <f>VALUE(4)</f>
        <v>4</v>
      </c>
      <c r="Z150" s="31">
        <f>VALUE(5)</f>
        <v>5</v>
      </c>
      <c r="AA150" s="31">
        <f>VALUE(6)</f>
        <v>6</v>
      </c>
      <c r="AB150" s="31">
        <f>VALUE(0)</f>
        <v>0</v>
      </c>
      <c r="AC150" s="31">
        <f>VALUE(4)</f>
        <v>4</v>
      </c>
      <c r="AD150" s="31">
        <f>VALUE(5)</f>
        <v>5</v>
      </c>
      <c r="AE150" s="31">
        <f>VALUE(4)</f>
        <v>4</v>
      </c>
      <c r="AF150" s="31">
        <f>VALUE(4)</f>
        <v>4</v>
      </c>
      <c r="AG150" s="31">
        <f>VALUE(3)</f>
        <v>3</v>
      </c>
      <c r="AH150" s="31">
        <f>VALUE(4)</f>
        <v>4</v>
      </c>
      <c r="AI150" s="31">
        <f>VALUE(0)</f>
        <v>0</v>
      </c>
      <c r="AJ150" s="31">
        <f>VALUE(5)</f>
        <v>5</v>
      </c>
      <c r="AK150" s="31">
        <f>VALUE(5)</f>
        <v>5</v>
      </c>
      <c r="AL150" s="31">
        <f>VALUE(4)</f>
        <v>4</v>
      </c>
      <c r="AM150" s="31">
        <f>VALUE(5)</f>
        <v>5</v>
      </c>
      <c r="AN150" s="31">
        <f>VALUE(4)</f>
        <v>4</v>
      </c>
      <c r="AO150" s="31">
        <f>VALUE(4)</f>
        <v>4</v>
      </c>
      <c r="AP150" s="31">
        <v>0</v>
      </c>
      <c r="AQ150" s="31">
        <v>0</v>
      </c>
      <c r="AR150" s="31">
        <v>0</v>
      </c>
      <c r="AS150" s="31">
        <v>0</v>
      </c>
      <c r="AT150" s="31">
        <v>0</v>
      </c>
      <c r="AU150" s="31">
        <v>0</v>
      </c>
      <c r="AV150" s="31">
        <v>0</v>
      </c>
      <c r="AW150" s="31">
        <v>0</v>
      </c>
      <c r="AX150" s="31">
        <v>0</v>
      </c>
      <c r="AY150" s="31">
        <v>0</v>
      </c>
      <c r="AZ150" s="31">
        <v>0</v>
      </c>
      <c r="BA150" s="31">
        <v>0</v>
      </c>
      <c r="BB150" s="31">
        <v>0</v>
      </c>
      <c r="BC150" s="31">
        <v>0</v>
      </c>
      <c r="BD150" s="31">
        <v>0</v>
      </c>
      <c r="BE150" s="31">
        <v>0</v>
      </c>
      <c r="BF150" s="31">
        <v>0</v>
      </c>
      <c r="BG150" s="31">
        <v>0</v>
      </c>
      <c r="BH150" s="31">
        <v>0</v>
      </c>
      <c r="BI150" s="31">
        <v>0</v>
      </c>
      <c r="BJ150" s="31">
        <v>0</v>
      </c>
      <c r="BK150" s="12">
        <v>0</v>
      </c>
      <c r="BL150" s="12">
        <v>0</v>
      </c>
      <c r="BM150" s="12">
        <v>0</v>
      </c>
      <c r="BN150" s="12"/>
      <c r="BO150" s="12">
        <v>0</v>
      </c>
      <c r="BP150" s="12">
        <v>0</v>
      </c>
      <c r="BQ150" s="12">
        <v>0</v>
      </c>
      <c r="BR150" s="12">
        <v>0</v>
      </c>
      <c r="BS150" s="12">
        <v>0</v>
      </c>
      <c r="BT150" s="12">
        <v>0</v>
      </c>
      <c r="BU150" s="12">
        <v>0</v>
      </c>
      <c r="BV150" s="12">
        <v>0</v>
      </c>
      <c r="BW150" s="12">
        <v>0</v>
      </c>
      <c r="BX150" s="12">
        <v>0</v>
      </c>
      <c r="BY150" s="12">
        <v>0</v>
      </c>
      <c r="BZ150" s="12">
        <v>0</v>
      </c>
      <c r="CA150" s="12">
        <v>0</v>
      </c>
    </row>
    <row r="151" spans="1:79" hidden="1" x14ac:dyDescent="0.2">
      <c r="A151" s="12" t="s">
        <v>120</v>
      </c>
      <c r="B151" s="12" t="s">
        <v>124</v>
      </c>
      <c r="C151" s="12" t="s">
        <v>124</v>
      </c>
      <c r="D151" s="22" t="s">
        <v>388</v>
      </c>
      <c r="E151" s="22" t="s">
        <v>161</v>
      </c>
      <c r="F151" s="22" t="s">
        <v>826</v>
      </c>
      <c r="G151" s="22" t="s">
        <v>827</v>
      </c>
      <c r="H151" s="22" t="s">
        <v>150</v>
      </c>
      <c r="I151" s="22" t="s">
        <v>151</v>
      </c>
      <c r="J151" s="22" t="s">
        <v>162</v>
      </c>
      <c r="K151" s="22" t="s">
        <v>83</v>
      </c>
      <c r="L151" s="54" t="s">
        <v>153</v>
      </c>
      <c r="M151" s="32" t="s">
        <v>416</v>
      </c>
      <c r="N151" s="24" t="s">
        <v>153</v>
      </c>
      <c r="O151" s="23" t="s">
        <v>153</v>
      </c>
      <c r="P151" s="23" t="s">
        <v>153</v>
      </c>
      <c r="Q151" s="23" t="s">
        <v>153</v>
      </c>
      <c r="R151" s="23" t="s">
        <v>153</v>
      </c>
      <c r="S151" s="23" t="s">
        <v>153</v>
      </c>
      <c r="T151" s="23" t="s">
        <v>153</v>
      </c>
      <c r="U151" s="24" t="s">
        <v>153</v>
      </c>
      <c r="V151" s="54" t="s">
        <v>153</v>
      </c>
      <c r="W151" s="25" t="s">
        <v>393</v>
      </c>
      <c r="X151" s="25" t="s">
        <v>393</v>
      </c>
      <c r="Y151" s="25" t="s">
        <v>393</v>
      </c>
      <c r="Z151" s="25" t="s">
        <v>393</v>
      </c>
      <c r="AA151" s="25" t="s">
        <v>393</v>
      </c>
      <c r="AB151" s="24" t="s">
        <v>153</v>
      </c>
      <c r="AC151" s="25" t="s">
        <v>393</v>
      </c>
      <c r="AD151" s="25" t="s">
        <v>393</v>
      </c>
      <c r="AE151" s="25" t="s">
        <v>393</v>
      </c>
      <c r="AF151" s="25" t="s">
        <v>393</v>
      </c>
      <c r="AG151" s="25" t="s">
        <v>393</v>
      </c>
      <c r="AH151" s="25" t="s">
        <v>393</v>
      </c>
      <c r="AI151" s="24" t="s">
        <v>153</v>
      </c>
      <c r="AJ151" s="25" t="s">
        <v>393</v>
      </c>
      <c r="AK151" s="25" t="s">
        <v>393</v>
      </c>
      <c r="AL151" s="25" t="s">
        <v>393</v>
      </c>
      <c r="AM151" s="25" t="s">
        <v>393</v>
      </c>
      <c r="AN151" s="25" t="s">
        <v>393</v>
      </c>
      <c r="AO151" s="25" t="s">
        <v>393</v>
      </c>
      <c r="AP151" s="23">
        <f>VALUE(0)</f>
        <v>0</v>
      </c>
      <c r="AQ151" s="23">
        <f>VALUE(0)</f>
        <v>0</v>
      </c>
      <c r="AR151" s="23">
        <f>VALUE(0)</f>
        <v>0</v>
      </c>
      <c r="AS151" s="23">
        <f>VALUE(0)</f>
        <v>0</v>
      </c>
      <c r="AT151" s="23">
        <f>VALUE(0)</f>
        <v>0</v>
      </c>
      <c r="AU151" s="23">
        <f>VALUE(0)</f>
        <v>0</v>
      </c>
      <c r="AV151" s="23">
        <f>VALUE(11)</f>
        <v>11</v>
      </c>
      <c r="AW151" s="23">
        <f>VALUE(0)</f>
        <v>0</v>
      </c>
      <c r="AX151" s="23" t="s">
        <v>171</v>
      </c>
      <c r="AY151" s="23" t="s">
        <v>417</v>
      </c>
      <c r="AZ151" s="23">
        <f>VALUE(0)</f>
        <v>0</v>
      </c>
      <c r="BA151" s="23">
        <f>VALUE(1)</f>
        <v>1</v>
      </c>
      <c r="BB151" s="23">
        <f>VALUE(0)</f>
        <v>0</v>
      </c>
      <c r="BC151" s="23">
        <f>VALUE(0)</f>
        <v>0</v>
      </c>
      <c r="BD151" s="23">
        <f>VALUE(0)</f>
        <v>0</v>
      </c>
      <c r="BE151" s="23">
        <f>VALUE(0)</f>
        <v>0</v>
      </c>
      <c r="BF151" s="23">
        <f>VALUE(0)</f>
        <v>0</v>
      </c>
      <c r="BG151" s="23">
        <f>VALUE(0)</f>
        <v>0</v>
      </c>
      <c r="BH151" s="23">
        <f>VALUE(0)</f>
        <v>0</v>
      </c>
      <c r="BI151" s="23">
        <f>VALUE(0)</f>
        <v>0</v>
      </c>
      <c r="BJ151" s="23">
        <f>VALUE(0)</f>
        <v>0</v>
      </c>
      <c r="BK151" s="12">
        <f>$AX$151*24</f>
        <v>5.833333333333333</v>
      </c>
      <c r="BL151" s="12">
        <f>$AY$151*24</f>
        <v>16.533333333333335</v>
      </c>
      <c r="BM151" s="12">
        <f>$BJ$151*24</f>
        <v>0</v>
      </c>
      <c r="BN151" s="12">
        <f>VALUE($I$151)/100</f>
        <v>1</v>
      </c>
      <c r="BO151" s="12">
        <v>0</v>
      </c>
      <c r="BP151" s="12">
        <v>0</v>
      </c>
      <c r="BQ151" s="12">
        <v>0</v>
      </c>
      <c r="BR151" s="12">
        <v>0</v>
      </c>
      <c r="BS151" s="12">
        <v>0</v>
      </c>
      <c r="BT151" s="12">
        <v>0</v>
      </c>
      <c r="BU151" s="12">
        <v>0</v>
      </c>
      <c r="BV151" s="12">
        <v>0</v>
      </c>
      <c r="BW151" s="12">
        <v>0</v>
      </c>
      <c r="BX151" s="12">
        <v>0</v>
      </c>
      <c r="BY151" s="12">
        <v>0</v>
      </c>
      <c r="BZ151" s="12">
        <v>0</v>
      </c>
      <c r="CA151" s="12">
        <v>0</v>
      </c>
    </row>
    <row r="152" spans="1:79" hidden="1" x14ac:dyDescent="0.2">
      <c r="A152" s="12" t="s">
        <v>120</v>
      </c>
      <c r="B152" s="12" t="s">
        <v>124</v>
      </c>
      <c r="C152" s="12" t="s">
        <v>124</v>
      </c>
      <c r="D152" s="22" t="s">
        <v>418</v>
      </c>
      <c r="E152" s="22" t="s">
        <v>161</v>
      </c>
      <c r="F152" s="22" t="s">
        <v>828</v>
      </c>
      <c r="G152" s="22" t="s">
        <v>829</v>
      </c>
      <c r="H152" s="22" t="s">
        <v>166</v>
      </c>
      <c r="I152" s="22" t="s">
        <v>151</v>
      </c>
      <c r="J152" s="22" t="s">
        <v>162</v>
      </c>
      <c r="K152" s="22" t="s">
        <v>83</v>
      </c>
      <c r="L152" s="54" t="s">
        <v>153</v>
      </c>
      <c r="M152" s="23" t="s">
        <v>153</v>
      </c>
      <c r="N152" s="24" t="s">
        <v>153</v>
      </c>
      <c r="O152" s="24" t="s">
        <v>156</v>
      </c>
      <c r="P152" s="24" t="s">
        <v>156</v>
      </c>
      <c r="Q152" s="23" t="s">
        <v>153</v>
      </c>
      <c r="R152" s="23" t="s">
        <v>153</v>
      </c>
      <c r="S152" s="23" t="s">
        <v>153</v>
      </c>
      <c r="T152" s="23" t="s">
        <v>153</v>
      </c>
      <c r="U152" s="24" t="s">
        <v>153</v>
      </c>
      <c r="V152" s="54" t="s">
        <v>153</v>
      </c>
      <c r="W152" s="23" t="s">
        <v>153</v>
      </c>
      <c r="X152" s="23" t="s">
        <v>153</v>
      </c>
      <c r="Y152" s="23" t="s">
        <v>153</v>
      </c>
      <c r="Z152" s="23" t="s">
        <v>153</v>
      </c>
      <c r="AA152" s="23" t="s">
        <v>153</v>
      </c>
      <c r="AB152" s="24" t="s">
        <v>153</v>
      </c>
      <c r="AC152" s="23" t="s">
        <v>153</v>
      </c>
      <c r="AD152" s="23" t="s">
        <v>153</v>
      </c>
      <c r="AE152" s="23" t="s">
        <v>153</v>
      </c>
      <c r="AF152" s="23" t="s">
        <v>153</v>
      </c>
      <c r="AG152" s="23" t="s">
        <v>153</v>
      </c>
      <c r="AH152" s="23" t="s">
        <v>153</v>
      </c>
      <c r="AI152" s="24" t="s">
        <v>153</v>
      </c>
      <c r="AJ152" s="28" t="s">
        <v>163</v>
      </c>
      <c r="AK152" s="28" t="s">
        <v>163</v>
      </c>
      <c r="AL152" s="23" t="s">
        <v>153</v>
      </c>
      <c r="AM152" s="23" t="s">
        <v>153</v>
      </c>
      <c r="AN152" s="23" t="s">
        <v>153</v>
      </c>
      <c r="AO152" s="23" t="s">
        <v>153</v>
      </c>
      <c r="AP152" s="23">
        <f>VALUE(0)</f>
        <v>0</v>
      </c>
      <c r="AQ152" s="23">
        <f>VALUE(0)</f>
        <v>0</v>
      </c>
      <c r="AR152" s="23">
        <f>VALUE(0)</f>
        <v>0</v>
      </c>
      <c r="AS152" s="23">
        <f>VALUE(0)</f>
        <v>0</v>
      </c>
      <c r="AT152" s="23">
        <f>VALUE(0)</f>
        <v>0</v>
      </c>
      <c r="AU152" s="23">
        <f>VALUE(2)</f>
        <v>2</v>
      </c>
      <c r="AV152" s="23">
        <f>VALUE(1)</f>
        <v>1</v>
      </c>
      <c r="AW152" s="23">
        <f>VALUE(0)</f>
        <v>0</v>
      </c>
      <c r="AX152" s="23" t="s">
        <v>1221</v>
      </c>
      <c r="AY152" s="23">
        <f>VALUE(0)</f>
        <v>0</v>
      </c>
      <c r="AZ152" s="23">
        <f>VALUE(0)</f>
        <v>0</v>
      </c>
      <c r="BA152" s="23">
        <f>VALUE(0)</f>
        <v>0</v>
      </c>
      <c r="BB152" s="23">
        <f>VALUE(0)</f>
        <v>0</v>
      </c>
      <c r="BC152" s="23">
        <f>VALUE(0)</f>
        <v>0</v>
      </c>
      <c r="BD152" s="23">
        <f>VALUE(0)</f>
        <v>0</v>
      </c>
      <c r="BE152" s="23">
        <f>VALUE(0)</f>
        <v>0</v>
      </c>
      <c r="BF152" s="23">
        <f>VALUE(0)</f>
        <v>0</v>
      </c>
      <c r="BG152" s="23">
        <f>VALUE(0)</f>
        <v>0</v>
      </c>
      <c r="BH152" s="23">
        <f>VALUE(0)</f>
        <v>0</v>
      </c>
      <c r="BI152" s="23">
        <f>VALUE(0)</f>
        <v>0</v>
      </c>
      <c r="BJ152" s="23">
        <f>VALUE(0)</f>
        <v>0</v>
      </c>
      <c r="BK152" s="12">
        <f>$AX$152*24</f>
        <v>47.85</v>
      </c>
      <c r="BL152" s="12">
        <f>$AY$152*24</f>
        <v>0</v>
      </c>
      <c r="BM152" s="12">
        <f>$BJ$152*24</f>
        <v>0</v>
      </c>
      <c r="BN152" s="12">
        <f>VALUE($I$152)/100</f>
        <v>1</v>
      </c>
      <c r="BO152" s="12">
        <v>0</v>
      </c>
      <c r="BP152" s="12">
        <v>0</v>
      </c>
      <c r="BQ152" s="12">
        <v>0</v>
      </c>
      <c r="BR152" s="12">
        <v>0</v>
      </c>
      <c r="BS152" s="12">
        <v>0</v>
      </c>
      <c r="BT152" s="12">
        <v>0</v>
      </c>
      <c r="BU152" s="12">
        <v>0</v>
      </c>
      <c r="BV152" s="12">
        <v>0</v>
      </c>
      <c r="BW152" s="12">
        <v>0</v>
      </c>
      <c r="BX152" s="12">
        <v>0</v>
      </c>
      <c r="BY152" s="12">
        <v>0</v>
      </c>
      <c r="BZ152" s="12">
        <v>0</v>
      </c>
      <c r="CA152" s="12">
        <v>0</v>
      </c>
    </row>
    <row r="153" spans="1:79" hidden="1" x14ac:dyDescent="0.2">
      <c r="A153" s="12" t="s">
        <v>120</v>
      </c>
      <c r="B153" s="12" t="s">
        <v>124</v>
      </c>
      <c r="C153" s="12" t="s">
        <v>124</v>
      </c>
      <c r="D153" s="22" t="s">
        <v>419</v>
      </c>
      <c r="E153" s="22" t="s">
        <v>161</v>
      </c>
      <c r="F153" s="22" t="s">
        <v>1222</v>
      </c>
      <c r="G153" s="22" t="s">
        <v>830</v>
      </c>
      <c r="H153" s="22" t="s">
        <v>150</v>
      </c>
      <c r="I153" s="22" t="s">
        <v>151</v>
      </c>
      <c r="J153" s="22" t="s">
        <v>162</v>
      </c>
      <c r="K153" s="22" t="s">
        <v>83</v>
      </c>
      <c r="L153" s="54" t="s">
        <v>153</v>
      </c>
      <c r="M153" s="23" t="s">
        <v>153</v>
      </c>
      <c r="N153" s="24" t="s">
        <v>153</v>
      </c>
      <c r="O153" s="28" t="s">
        <v>163</v>
      </c>
      <c r="P153" s="28" t="s">
        <v>163</v>
      </c>
      <c r="Q153" s="28" t="s">
        <v>163</v>
      </c>
      <c r="R153" s="28" t="s">
        <v>163</v>
      </c>
      <c r="S153" s="28" t="s">
        <v>163</v>
      </c>
      <c r="T153" s="28" t="s">
        <v>163</v>
      </c>
      <c r="U153" s="24" t="s">
        <v>153</v>
      </c>
      <c r="V153" s="54" t="s">
        <v>153</v>
      </c>
      <c r="W153" s="23" t="s">
        <v>153</v>
      </c>
      <c r="X153" s="23" t="s">
        <v>153</v>
      </c>
      <c r="Y153" s="23" t="s">
        <v>153</v>
      </c>
      <c r="Z153" s="23" t="s">
        <v>153</v>
      </c>
      <c r="AA153" s="23" t="s">
        <v>153</v>
      </c>
      <c r="AB153" s="24" t="s">
        <v>153</v>
      </c>
      <c r="AC153" s="23" t="s">
        <v>153</v>
      </c>
      <c r="AD153" s="23" t="s">
        <v>153</v>
      </c>
      <c r="AE153" s="23" t="s">
        <v>153</v>
      </c>
      <c r="AF153" s="23" t="s">
        <v>153</v>
      </c>
      <c r="AG153" s="23" t="s">
        <v>153</v>
      </c>
      <c r="AH153" s="23" t="s">
        <v>153</v>
      </c>
      <c r="AI153" s="24" t="s">
        <v>153</v>
      </c>
      <c r="AJ153" s="23" t="s">
        <v>153</v>
      </c>
      <c r="AK153" s="23" t="s">
        <v>153</v>
      </c>
      <c r="AL153" s="24" t="s">
        <v>156</v>
      </c>
      <c r="AM153" s="24" t="s">
        <v>156</v>
      </c>
      <c r="AN153" s="23" t="s">
        <v>153</v>
      </c>
      <c r="AO153" s="23" t="s">
        <v>153</v>
      </c>
      <c r="AP153" s="23">
        <f>VALUE(0)</f>
        <v>0</v>
      </c>
      <c r="AQ153" s="23">
        <f>VALUE(0)</f>
        <v>0</v>
      </c>
      <c r="AR153" s="23">
        <f>VALUE(0)</f>
        <v>0</v>
      </c>
      <c r="AS153" s="23">
        <f>VALUE(0)</f>
        <v>0</v>
      </c>
      <c r="AT153" s="23">
        <f>VALUE(0)</f>
        <v>0</v>
      </c>
      <c r="AU153" s="23">
        <f>VALUE(6)</f>
        <v>6</v>
      </c>
      <c r="AV153" s="23">
        <f>VALUE(5)</f>
        <v>5</v>
      </c>
      <c r="AW153" s="23">
        <f>VALUE(0)</f>
        <v>0</v>
      </c>
      <c r="AX153" s="23" t="s">
        <v>171</v>
      </c>
      <c r="AY153" s="23" t="s">
        <v>1223</v>
      </c>
      <c r="AZ153" s="23">
        <f>VALUE(0)</f>
        <v>0</v>
      </c>
      <c r="BA153" s="23">
        <f>VALUE(0)</f>
        <v>0</v>
      </c>
      <c r="BB153" s="23">
        <f>VALUE(0)</f>
        <v>0</v>
      </c>
      <c r="BC153" s="23">
        <f>VALUE(0)</f>
        <v>0</v>
      </c>
      <c r="BD153" s="23">
        <f>VALUE(0)</f>
        <v>0</v>
      </c>
      <c r="BE153" s="23">
        <f>VALUE(0)</f>
        <v>0</v>
      </c>
      <c r="BF153" s="23">
        <f>VALUE(0)</f>
        <v>0</v>
      </c>
      <c r="BG153" s="23">
        <f>VALUE(0)</f>
        <v>0</v>
      </c>
      <c r="BH153" s="23">
        <f>VALUE(0)</f>
        <v>0</v>
      </c>
      <c r="BI153" s="23">
        <f>VALUE(0)</f>
        <v>0</v>
      </c>
      <c r="BJ153" s="23">
        <f>VALUE(0)</f>
        <v>0</v>
      </c>
      <c r="BK153" s="12">
        <f>$AX$153*24</f>
        <v>5.833333333333333</v>
      </c>
      <c r="BL153" s="12">
        <f>$AY$153*24</f>
        <v>58.3</v>
      </c>
      <c r="BM153" s="12">
        <f>$BJ$153*24</f>
        <v>0</v>
      </c>
      <c r="BN153" s="12">
        <f>VALUE($I$153)/100</f>
        <v>1</v>
      </c>
      <c r="BO153" s="12">
        <v>0</v>
      </c>
      <c r="BP153" s="12">
        <v>0</v>
      </c>
      <c r="BQ153" s="12">
        <v>0</v>
      </c>
      <c r="BR153" s="12">
        <v>0</v>
      </c>
      <c r="BS153" s="12">
        <v>0</v>
      </c>
      <c r="BT153" s="12">
        <v>0</v>
      </c>
      <c r="BU153" s="12">
        <v>0</v>
      </c>
      <c r="BV153" s="12">
        <v>0</v>
      </c>
      <c r="BW153" s="12">
        <v>0</v>
      </c>
      <c r="BX153" s="12">
        <v>0</v>
      </c>
      <c r="BY153" s="12">
        <v>0</v>
      </c>
      <c r="BZ153" s="12">
        <v>0</v>
      </c>
      <c r="CA153" s="12">
        <v>0</v>
      </c>
    </row>
    <row r="154" spans="1:79" hidden="1" x14ac:dyDescent="0.2">
      <c r="A154" s="12" t="s">
        <v>120</v>
      </c>
      <c r="B154" s="12" t="s">
        <v>124</v>
      </c>
      <c r="C154" s="12" t="s">
        <v>124</v>
      </c>
      <c r="D154" s="22" t="s">
        <v>376</v>
      </c>
      <c r="E154" s="22" t="s">
        <v>161</v>
      </c>
      <c r="F154" s="22" t="s">
        <v>831</v>
      </c>
      <c r="G154" s="22" t="s">
        <v>832</v>
      </c>
      <c r="H154" s="22" t="s">
        <v>242</v>
      </c>
      <c r="I154" s="22" t="s">
        <v>151</v>
      </c>
      <c r="J154" s="22" t="s">
        <v>162</v>
      </c>
      <c r="K154" s="22" t="s">
        <v>83</v>
      </c>
      <c r="L154" s="54" t="s">
        <v>153</v>
      </c>
      <c r="M154" s="23" t="s">
        <v>153</v>
      </c>
      <c r="N154" s="24" t="s">
        <v>153</v>
      </c>
      <c r="O154" s="23" t="s">
        <v>153</v>
      </c>
      <c r="P154" s="23" t="s">
        <v>153</v>
      </c>
      <c r="Q154" s="23" t="s">
        <v>153</v>
      </c>
      <c r="R154" s="23" t="s">
        <v>153</v>
      </c>
      <c r="S154" s="23" t="s">
        <v>153</v>
      </c>
      <c r="T154" s="23" t="s">
        <v>153</v>
      </c>
      <c r="U154" s="24" t="s">
        <v>153</v>
      </c>
      <c r="V154" s="54" t="s">
        <v>153</v>
      </c>
      <c r="W154" s="27" t="s">
        <v>153</v>
      </c>
      <c r="X154" s="27" t="s">
        <v>153</v>
      </c>
      <c r="Y154" s="27" t="s">
        <v>153</v>
      </c>
      <c r="Z154" s="27" t="s">
        <v>153</v>
      </c>
      <c r="AA154" s="27" t="s">
        <v>153</v>
      </c>
      <c r="AB154" s="24" t="s">
        <v>153</v>
      </c>
      <c r="AC154" s="27" t="s">
        <v>153</v>
      </c>
      <c r="AD154" s="27" t="s">
        <v>153</v>
      </c>
      <c r="AE154" s="27" t="s">
        <v>153</v>
      </c>
      <c r="AF154" s="27" t="s">
        <v>153</v>
      </c>
      <c r="AG154" s="27" t="s">
        <v>153</v>
      </c>
      <c r="AH154" s="27" t="s">
        <v>153</v>
      </c>
      <c r="AI154" s="24" t="s">
        <v>153</v>
      </c>
      <c r="AJ154" s="27" t="s">
        <v>153</v>
      </c>
      <c r="AK154" s="27" t="s">
        <v>153</v>
      </c>
      <c r="AL154" s="27" t="s">
        <v>153</v>
      </c>
      <c r="AM154" s="27" t="s">
        <v>153</v>
      </c>
      <c r="AN154" s="27" t="s">
        <v>153</v>
      </c>
      <c r="AO154" s="27" t="s">
        <v>153</v>
      </c>
      <c r="AP154" s="23">
        <f>VALUE(0)</f>
        <v>0</v>
      </c>
      <c r="AQ154" s="23">
        <f>VALUE(0)</f>
        <v>0</v>
      </c>
      <c r="AR154" s="23">
        <f>VALUE(0)</f>
        <v>0</v>
      </c>
      <c r="AS154" s="23">
        <f>VALUE(0)</f>
        <v>0</v>
      </c>
      <c r="AT154" s="23">
        <f>VALUE(0)</f>
        <v>0</v>
      </c>
      <c r="AU154" s="23">
        <f>VALUE(0)</f>
        <v>0</v>
      </c>
      <c r="AV154" s="23">
        <f>VALUE(0)</f>
        <v>0</v>
      </c>
      <c r="AW154" s="23">
        <f>VALUE(0)</f>
        <v>0</v>
      </c>
      <c r="AX154" s="23">
        <f>VALUE(0)</f>
        <v>0</v>
      </c>
      <c r="AY154" s="23">
        <f>VALUE(0)</f>
        <v>0</v>
      </c>
      <c r="AZ154" s="23">
        <f>VALUE(0)</f>
        <v>0</v>
      </c>
      <c r="BA154" s="23">
        <f>VALUE(0)</f>
        <v>0</v>
      </c>
      <c r="BB154" s="23">
        <f>VALUE(0)</f>
        <v>0</v>
      </c>
      <c r="BC154" s="23">
        <f>VALUE(0)</f>
        <v>0</v>
      </c>
      <c r="BD154" s="23">
        <f>VALUE(0)</f>
        <v>0</v>
      </c>
      <c r="BE154" s="23">
        <f>VALUE(0)</f>
        <v>0</v>
      </c>
      <c r="BF154" s="23">
        <f>VALUE(0)</f>
        <v>0</v>
      </c>
      <c r="BG154" s="23">
        <f>VALUE(0)</f>
        <v>0</v>
      </c>
      <c r="BH154" s="23">
        <f>VALUE(0)</f>
        <v>0</v>
      </c>
      <c r="BI154" s="23">
        <f>VALUE(0)</f>
        <v>0</v>
      </c>
      <c r="BJ154" s="23">
        <f>VALUE(0)</f>
        <v>0</v>
      </c>
      <c r="BK154" s="12">
        <f>$AX$154*24</f>
        <v>0</v>
      </c>
      <c r="BL154" s="12">
        <f>$AY$154*24</f>
        <v>0</v>
      </c>
      <c r="BM154" s="12">
        <f>$BJ$154*24</f>
        <v>0</v>
      </c>
      <c r="BN154" s="12">
        <f>VALUE($I$154)/100</f>
        <v>1</v>
      </c>
      <c r="BO154" s="12">
        <v>0</v>
      </c>
      <c r="BP154" s="12">
        <v>0</v>
      </c>
      <c r="BQ154" s="12">
        <v>0</v>
      </c>
      <c r="BR154" s="12">
        <v>0</v>
      </c>
      <c r="BS154" s="12">
        <v>0</v>
      </c>
      <c r="BT154" s="12">
        <v>0</v>
      </c>
      <c r="BU154" s="12">
        <v>0</v>
      </c>
      <c r="BV154" s="12">
        <v>0</v>
      </c>
      <c r="BW154" s="12">
        <v>0</v>
      </c>
      <c r="BX154" s="12">
        <v>0</v>
      </c>
      <c r="BY154" s="12">
        <v>0</v>
      </c>
      <c r="BZ154" s="12">
        <v>0</v>
      </c>
      <c r="CA154" s="12">
        <v>0</v>
      </c>
    </row>
    <row r="155" spans="1:79" hidden="1" x14ac:dyDescent="0.2">
      <c r="A155" s="12" t="s">
        <v>120</v>
      </c>
      <c r="B155" s="12" t="s">
        <v>124</v>
      </c>
      <c r="C155" s="12" t="s">
        <v>124</v>
      </c>
      <c r="D155" s="22" t="s">
        <v>382</v>
      </c>
      <c r="E155" s="22" t="s">
        <v>161</v>
      </c>
      <c r="F155" s="22" t="s">
        <v>1224</v>
      </c>
      <c r="G155" s="22" t="s">
        <v>833</v>
      </c>
      <c r="H155" s="22" t="s">
        <v>190</v>
      </c>
      <c r="I155" s="22" t="s">
        <v>151</v>
      </c>
      <c r="J155" s="22" t="s">
        <v>162</v>
      </c>
      <c r="K155" s="22" t="s">
        <v>83</v>
      </c>
      <c r="L155" s="54" t="s">
        <v>153</v>
      </c>
      <c r="M155" s="23" t="s">
        <v>153</v>
      </c>
      <c r="N155" s="24" t="s">
        <v>153</v>
      </c>
      <c r="O155" s="23" t="s">
        <v>153</v>
      </c>
      <c r="P155" s="23" t="s">
        <v>153</v>
      </c>
      <c r="Q155" s="23" t="s">
        <v>153</v>
      </c>
      <c r="R155" s="23" t="s">
        <v>153</v>
      </c>
      <c r="S155" s="23" t="s">
        <v>153</v>
      </c>
      <c r="T155" s="23" t="s">
        <v>153</v>
      </c>
      <c r="U155" s="24" t="s">
        <v>153</v>
      </c>
      <c r="V155" s="54" t="s">
        <v>153</v>
      </c>
      <c r="W155" s="40" t="s">
        <v>153</v>
      </c>
      <c r="X155" s="40" t="s">
        <v>153</v>
      </c>
      <c r="Y155" s="40" t="s">
        <v>153</v>
      </c>
      <c r="Z155" s="40" t="s">
        <v>153</v>
      </c>
      <c r="AA155" s="40" t="s">
        <v>153</v>
      </c>
      <c r="AB155" s="40" t="s">
        <v>153</v>
      </c>
      <c r="AC155" s="40" t="s">
        <v>153</v>
      </c>
      <c r="AD155" s="40" t="s">
        <v>153</v>
      </c>
      <c r="AE155" s="40" t="s">
        <v>153</v>
      </c>
      <c r="AF155" s="40" t="s">
        <v>153</v>
      </c>
      <c r="AG155" s="40" t="s">
        <v>153</v>
      </c>
      <c r="AH155" s="40" t="s">
        <v>153</v>
      </c>
      <c r="AI155" s="40" t="s">
        <v>153</v>
      </c>
      <c r="AJ155" s="40" t="s">
        <v>153</v>
      </c>
      <c r="AK155" s="40" t="s">
        <v>153</v>
      </c>
      <c r="AL155" s="40" t="s">
        <v>153</v>
      </c>
      <c r="AM155" s="40" t="s">
        <v>153</v>
      </c>
      <c r="AN155" s="40" t="s">
        <v>153</v>
      </c>
      <c r="AO155" s="40" t="s">
        <v>153</v>
      </c>
      <c r="AP155" s="23">
        <f>VALUE(0)</f>
        <v>0</v>
      </c>
      <c r="AQ155" s="23">
        <f>VALUE(0)</f>
        <v>0</v>
      </c>
      <c r="AR155" s="23">
        <f>VALUE(0)</f>
        <v>0</v>
      </c>
      <c r="AS155" s="23">
        <f>VALUE(0)</f>
        <v>0</v>
      </c>
      <c r="AT155" s="23">
        <f>VALUE(0)</f>
        <v>0</v>
      </c>
      <c r="AU155" s="23">
        <f>VALUE(0)</f>
        <v>0</v>
      </c>
      <c r="AV155" s="23">
        <f>VALUE(18)</f>
        <v>18</v>
      </c>
      <c r="AW155" s="23">
        <f>VALUE(0)</f>
        <v>0</v>
      </c>
      <c r="AX155" s="23">
        <f>VALUE(0)</f>
        <v>0</v>
      </c>
      <c r="AY155" s="23">
        <f>VALUE(0)</f>
        <v>0</v>
      </c>
      <c r="AZ155" s="23">
        <f>VALUE(0)</f>
        <v>0</v>
      </c>
      <c r="BA155" s="23">
        <f>VALUE(0)</f>
        <v>0</v>
      </c>
      <c r="BB155" s="23">
        <f>VALUE(0)</f>
        <v>0</v>
      </c>
      <c r="BC155" s="23">
        <f>VALUE(0)</f>
        <v>0</v>
      </c>
      <c r="BD155" s="23">
        <f>VALUE(0)</f>
        <v>0</v>
      </c>
      <c r="BE155" s="23">
        <f>VALUE(0)</f>
        <v>0</v>
      </c>
      <c r="BF155" s="23">
        <f>VALUE(0)</f>
        <v>0</v>
      </c>
      <c r="BG155" s="23">
        <f>VALUE(0)</f>
        <v>0</v>
      </c>
      <c r="BH155" s="23">
        <f>VALUE(0)</f>
        <v>0</v>
      </c>
      <c r="BI155" s="23">
        <f>VALUE(0)</f>
        <v>0</v>
      </c>
      <c r="BJ155" s="23">
        <f>VALUE(0)</f>
        <v>0</v>
      </c>
      <c r="BK155" s="12">
        <f>$AX$155*24</f>
        <v>0</v>
      </c>
      <c r="BL155" s="12">
        <f>$AY$155*24</f>
        <v>0</v>
      </c>
      <c r="BM155" s="12">
        <f>$BJ$155*24</f>
        <v>0</v>
      </c>
      <c r="BN155" s="12">
        <f>VALUE($I$155)/100</f>
        <v>1</v>
      </c>
      <c r="BO155" s="12">
        <v>0</v>
      </c>
      <c r="BP155" s="12">
        <v>0</v>
      </c>
      <c r="BQ155" s="12">
        <v>0</v>
      </c>
      <c r="BR155" s="12">
        <v>0</v>
      </c>
      <c r="BS155" s="12">
        <v>0</v>
      </c>
      <c r="BT155" s="12">
        <v>0</v>
      </c>
      <c r="BU155" s="12">
        <v>0</v>
      </c>
      <c r="BV155" s="12">
        <v>0</v>
      </c>
      <c r="BW155" s="12">
        <v>0</v>
      </c>
      <c r="BX155" s="12">
        <v>0</v>
      </c>
      <c r="BY155" s="12">
        <v>0</v>
      </c>
      <c r="BZ155" s="12">
        <v>0</v>
      </c>
      <c r="CA155" s="12">
        <v>0</v>
      </c>
    </row>
    <row r="156" spans="1:79" hidden="1" x14ac:dyDescent="0.2">
      <c r="A156" s="12" t="s">
        <v>120</v>
      </c>
      <c r="B156" s="12" t="s">
        <v>124</v>
      </c>
      <c r="C156" s="12" t="s">
        <v>124</v>
      </c>
      <c r="D156" s="22" t="s">
        <v>382</v>
      </c>
      <c r="E156" s="22" t="s">
        <v>161</v>
      </c>
      <c r="F156" s="22" t="s">
        <v>834</v>
      </c>
      <c r="G156" s="22" t="s">
        <v>835</v>
      </c>
      <c r="H156" s="22" t="s">
        <v>166</v>
      </c>
      <c r="I156" s="22" t="s">
        <v>151</v>
      </c>
      <c r="J156" s="22" t="s">
        <v>162</v>
      </c>
      <c r="K156" s="22" t="s">
        <v>83</v>
      </c>
      <c r="L156" s="54" t="s">
        <v>153</v>
      </c>
      <c r="M156" s="32" t="s">
        <v>188</v>
      </c>
      <c r="N156" s="24" t="s">
        <v>153</v>
      </c>
      <c r="O156" s="32" t="s">
        <v>188</v>
      </c>
      <c r="P156" s="32" t="s">
        <v>188</v>
      </c>
      <c r="Q156" s="32" t="s">
        <v>188</v>
      </c>
      <c r="R156" s="32" t="s">
        <v>188</v>
      </c>
      <c r="S156" s="32" t="s">
        <v>188</v>
      </c>
      <c r="T156" s="32" t="s">
        <v>188</v>
      </c>
      <c r="U156" s="24" t="s">
        <v>153</v>
      </c>
      <c r="V156" s="54" t="s">
        <v>156</v>
      </c>
      <c r="W156" s="24" t="s">
        <v>156</v>
      </c>
      <c r="X156" s="23" t="s">
        <v>153</v>
      </c>
      <c r="Y156" s="23" t="s">
        <v>153</v>
      </c>
      <c r="Z156" s="23" t="s">
        <v>153</v>
      </c>
      <c r="AA156" s="23" t="s">
        <v>153</v>
      </c>
      <c r="AB156" s="24" t="s">
        <v>153</v>
      </c>
      <c r="AC156" s="23" t="s">
        <v>153</v>
      </c>
      <c r="AD156" s="23" t="s">
        <v>153</v>
      </c>
      <c r="AE156" s="23" t="s">
        <v>153</v>
      </c>
      <c r="AF156" s="23" t="s">
        <v>153</v>
      </c>
      <c r="AG156" s="23" t="s">
        <v>153</v>
      </c>
      <c r="AH156" s="23" t="s">
        <v>153</v>
      </c>
      <c r="AI156" s="24" t="s">
        <v>153</v>
      </c>
      <c r="AJ156" s="23" t="s">
        <v>153</v>
      </c>
      <c r="AK156" s="23" t="s">
        <v>153</v>
      </c>
      <c r="AL156" s="23" t="s">
        <v>153</v>
      </c>
      <c r="AM156" s="23" t="s">
        <v>153</v>
      </c>
      <c r="AN156" s="23" t="s">
        <v>153</v>
      </c>
      <c r="AO156" s="23" t="s">
        <v>153</v>
      </c>
      <c r="AP156" s="23">
        <f>VALUE(0)</f>
        <v>0</v>
      </c>
      <c r="AQ156" s="23">
        <f>VALUE(0)</f>
        <v>0</v>
      </c>
      <c r="AR156" s="23">
        <f>VALUE(0)</f>
        <v>0</v>
      </c>
      <c r="AS156" s="23">
        <f>VALUE(0)</f>
        <v>0</v>
      </c>
      <c r="AT156" s="23">
        <f>VALUE(0)</f>
        <v>0</v>
      </c>
      <c r="AU156" s="23">
        <f>VALUE(0)</f>
        <v>0</v>
      </c>
      <c r="AV156" s="23">
        <f>VALUE(29.5)</f>
        <v>29.5</v>
      </c>
      <c r="AW156" s="23">
        <f>VALUE(0)</f>
        <v>0</v>
      </c>
      <c r="AX156" s="23" t="s">
        <v>1225</v>
      </c>
      <c r="AY156" s="23">
        <f>VALUE(0)</f>
        <v>0</v>
      </c>
      <c r="AZ156" s="23">
        <f>VALUE(7)</f>
        <v>7</v>
      </c>
      <c r="BA156" s="23">
        <f>VALUE(0)</f>
        <v>0</v>
      </c>
      <c r="BB156" s="23">
        <f>VALUE(0)</f>
        <v>0</v>
      </c>
      <c r="BC156" s="23">
        <f>VALUE(0)</f>
        <v>0</v>
      </c>
      <c r="BD156" s="23">
        <f>VALUE(0)</f>
        <v>0</v>
      </c>
      <c r="BE156" s="23">
        <f>VALUE(0)</f>
        <v>0</v>
      </c>
      <c r="BF156" s="23">
        <f>VALUE(0)</f>
        <v>0</v>
      </c>
      <c r="BG156" s="23">
        <f>VALUE(0)</f>
        <v>0</v>
      </c>
      <c r="BH156" s="23">
        <f>VALUE(0)</f>
        <v>0</v>
      </c>
      <c r="BI156" s="23">
        <f>VALUE(0)</f>
        <v>0</v>
      </c>
      <c r="BJ156" s="23">
        <f>VALUE(0)</f>
        <v>0</v>
      </c>
      <c r="BK156" s="12">
        <f>$AX$156*24</f>
        <v>31.966666666666665</v>
      </c>
      <c r="BL156" s="12">
        <f>$AY$156*24</f>
        <v>0</v>
      </c>
      <c r="BM156" s="12">
        <f>$BJ$156*24</f>
        <v>0</v>
      </c>
      <c r="BN156" s="12">
        <f>VALUE($I$156)/100</f>
        <v>1</v>
      </c>
      <c r="BO156" s="12">
        <v>0</v>
      </c>
      <c r="BP156" s="12">
        <v>0</v>
      </c>
      <c r="BQ156" s="12">
        <v>0</v>
      </c>
      <c r="BR156" s="12">
        <v>0</v>
      </c>
      <c r="BS156" s="12">
        <v>0</v>
      </c>
      <c r="BT156" s="12">
        <v>0</v>
      </c>
      <c r="BU156" s="12">
        <v>0</v>
      </c>
      <c r="BV156" s="12">
        <v>0</v>
      </c>
      <c r="BW156" s="12">
        <v>0</v>
      </c>
      <c r="BX156" s="12">
        <v>0</v>
      </c>
      <c r="BY156" s="12">
        <v>0</v>
      </c>
      <c r="BZ156" s="12">
        <v>0</v>
      </c>
      <c r="CA156" s="12">
        <v>0</v>
      </c>
    </row>
    <row r="157" spans="1:79" hidden="1" x14ac:dyDescent="0.2">
      <c r="A157" s="12" t="s">
        <v>120</v>
      </c>
      <c r="B157" s="12" t="s">
        <v>124</v>
      </c>
      <c r="C157" s="12" t="s">
        <v>124</v>
      </c>
      <c r="D157" s="22" t="s">
        <v>420</v>
      </c>
      <c r="E157" s="22" t="s">
        <v>161</v>
      </c>
      <c r="F157" s="22" t="s">
        <v>1226</v>
      </c>
      <c r="G157" s="22" t="s">
        <v>836</v>
      </c>
      <c r="H157" s="22" t="s">
        <v>150</v>
      </c>
      <c r="I157" s="22" t="s">
        <v>151</v>
      </c>
      <c r="J157" s="22" t="s">
        <v>162</v>
      </c>
      <c r="K157" s="22" t="s">
        <v>83</v>
      </c>
      <c r="L157" s="54" t="s">
        <v>153</v>
      </c>
      <c r="M157" s="23" t="s">
        <v>153</v>
      </c>
      <c r="N157" s="24" t="s">
        <v>153</v>
      </c>
      <c r="O157" s="24" t="s">
        <v>156</v>
      </c>
      <c r="P157" s="24" t="s">
        <v>156</v>
      </c>
      <c r="Q157" s="23" t="s">
        <v>153</v>
      </c>
      <c r="R157" s="23" t="s">
        <v>153</v>
      </c>
      <c r="S157" s="23" t="s">
        <v>153</v>
      </c>
      <c r="T157" s="23" t="s">
        <v>153</v>
      </c>
      <c r="U157" s="24" t="s">
        <v>153</v>
      </c>
      <c r="V157" s="54" t="s">
        <v>153</v>
      </c>
      <c r="W157" s="23" t="s">
        <v>153</v>
      </c>
      <c r="X157" s="23" t="s">
        <v>153</v>
      </c>
      <c r="Y157" s="23" t="s">
        <v>153</v>
      </c>
      <c r="Z157" s="23" t="s">
        <v>153</v>
      </c>
      <c r="AA157" s="23" t="s">
        <v>153</v>
      </c>
      <c r="AB157" s="24" t="s">
        <v>153</v>
      </c>
      <c r="AC157" s="23" t="s">
        <v>153</v>
      </c>
      <c r="AD157" s="23" t="s">
        <v>153</v>
      </c>
      <c r="AE157" s="23" t="s">
        <v>153</v>
      </c>
      <c r="AF157" s="23" t="s">
        <v>153</v>
      </c>
      <c r="AG157" s="23" t="s">
        <v>153</v>
      </c>
      <c r="AH157" s="23" t="s">
        <v>153</v>
      </c>
      <c r="AI157" s="24" t="s">
        <v>153</v>
      </c>
      <c r="AJ157" s="23" t="s">
        <v>153</v>
      </c>
      <c r="AK157" s="23" t="s">
        <v>153</v>
      </c>
      <c r="AL157" s="23" t="s">
        <v>153</v>
      </c>
      <c r="AM157" s="23" t="s">
        <v>153</v>
      </c>
      <c r="AN157" s="23" t="s">
        <v>153</v>
      </c>
      <c r="AO157" s="23" t="s">
        <v>153</v>
      </c>
      <c r="AP157" s="23">
        <f>VALUE(0)</f>
        <v>0</v>
      </c>
      <c r="AQ157" s="23">
        <f>VALUE(0)</f>
        <v>0</v>
      </c>
      <c r="AR157" s="23">
        <f>VALUE(0)</f>
        <v>0</v>
      </c>
      <c r="AS157" s="23">
        <f>VALUE(0)</f>
        <v>0</v>
      </c>
      <c r="AT157" s="23">
        <f>VALUE(0)</f>
        <v>0</v>
      </c>
      <c r="AU157" s="23">
        <f>VALUE(0)</f>
        <v>0</v>
      </c>
      <c r="AV157" s="23">
        <f>VALUE(3)</f>
        <v>3</v>
      </c>
      <c r="AW157" s="23">
        <f>VALUE(0)</f>
        <v>0</v>
      </c>
      <c r="AX157" s="23">
        <f>VALUE(0)</f>
        <v>0</v>
      </c>
      <c r="AY157" s="23" t="s">
        <v>421</v>
      </c>
      <c r="AZ157" s="23">
        <f>VALUE(0)</f>
        <v>0</v>
      </c>
      <c r="BA157" s="23">
        <f>VALUE(0)</f>
        <v>0</v>
      </c>
      <c r="BB157" s="23">
        <f>VALUE(0)</f>
        <v>0</v>
      </c>
      <c r="BC157" s="23">
        <f>VALUE(0)</f>
        <v>0</v>
      </c>
      <c r="BD157" s="23">
        <f>VALUE(0)</f>
        <v>0</v>
      </c>
      <c r="BE157" s="23">
        <f>VALUE(0)</f>
        <v>0</v>
      </c>
      <c r="BF157" s="23">
        <f>VALUE(0)</f>
        <v>0</v>
      </c>
      <c r="BG157" s="23">
        <f>VALUE(0)</f>
        <v>0</v>
      </c>
      <c r="BH157" s="23">
        <f>VALUE(0)</f>
        <v>0</v>
      </c>
      <c r="BI157" s="23">
        <f>VALUE(0)</f>
        <v>0</v>
      </c>
      <c r="BJ157" s="23">
        <f>VALUE(0)</f>
        <v>0</v>
      </c>
      <c r="BK157" s="12">
        <f>$AX$157*24</f>
        <v>0</v>
      </c>
      <c r="BL157" s="12">
        <f>$AY$157*24</f>
        <v>5.85</v>
      </c>
      <c r="BM157" s="12">
        <f>$BJ$157*24</f>
        <v>0</v>
      </c>
      <c r="BN157" s="12">
        <f>VALUE($I$157)/100</f>
        <v>1</v>
      </c>
      <c r="BO157" s="12">
        <v>0</v>
      </c>
      <c r="BP157" s="12">
        <v>0</v>
      </c>
      <c r="BQ157" s="12">
        <v>0</v>
      </c>
      <c r="BR157" s="12">
        <v>0</v>
      </c>
      <c r="BS157" s="12">
        <v>0</v>
      </c>
      <c r="BT157" s="12">
        <v>0</v>
      </c>
      <c r="BU157" s="12">
        <v>0</v>
      </c>
      <c r="BV157" s="12">
        <v>0</v>
      </c>
      <c r="BW157" s="12">
        <v>0</v>
      </c>
      <c r="BX157" s="12">
        <v>0</v>
      </c>
      <c r="BY157" s="12">
        <v>0</v>
      </c>
      <c r="BZ157" s="12">
        <v>0</v>
      </c>
      <c r="CA157" s="12">
        <v>0</v>
      </c>
    </row>
    <row r="158" spans="1:79" hidden="1" x14ac:dyDescent="0.2">
      <c r="A158" s="12" t="s">
        <v>120</v>
      </c>
      <c r="B158" s="12" t="s">
        <v>124</v>
      </c>
      <c r="C158" s="12" t="s">
        <v>124</v>
      </c>
      <c r="D158" s="22" t="s">
        <v>390</v>
      </c>
      <c r="E158" s="22" t="s">
        <v>161</v>
      </c>
      <c r="F158" s="22" t="s">
        <v>837</v>
      </c>
      <c r="G158" s="22" t="s">
        <v>838</v>
      </c>
      <c r="H158" s="22" t="s">
        <v>150</v>
      </c>
      <c r="I158" s="22" t="s">
        <v>151</v>
      </c>
      <c r="J158" s="22" t="s">
        <v>162</v>
      </c>
      <c r="K158" s="22" t="s">
        <v>83</v>
      </c>
      <c r="L158" s="54" t="s">
        <v>153</v>
      </c>
      <c r="M158" s="23" t="s">
        <v>153</v>
      </c>
      <c r="N158" s="24" t="s">
        <v>153</v>
      </c>
      <c r="O158" s="23" t="s">
        <v>153</v>
      </c>
      <c r="P158" s="23" t="s">
        <v>153</v>
      </c>
      <c r="Q158" s="23" t="s">
        <v>153</v>
      </c>
      <c r="R158" s="23" t="s">
        <v>153</v>
      </c>
      <c r="S158" s="23" t="s">
        <v>153</v>
      </c>
      <c r="T158" s="23" t="s">
        <v>153</v>
      </c>
      <c r="U158" s="24" t="s">
        <v>153</v>
      </c>
      <c r="V158" s="54" t="s">
        <v>153</v>
      </c>
      <c r="W158" s="23" t="s">
        <v>153</v>
      </c>
      <c r="X158" s="23" t="s">
        <v>153</v>
      </c>
      <c r="Y158" s="23" t="s">
        <v>153</v>
      </c>
      <c r="Z158" s="23" t="s">
        <v>153</v>
      </c>
      <c r="AA158" s="23" t="s">
        <v>153</v>
      </c>
      <c r="AB158" s="24" t="s">
        <v>153</v>
      </c>
      <c r="AC158" s="23" t="s">
        <v>153</v>
      </c>
      <c r="AD158" s="23" t="s">
        <v>153</v>
      </c>
      <c r="AE158" s="23" t="s">
        <v>153</v>
      </c>
      <c r="AF158" s="23" t="s">
        <v>153</v>
      </c>
      <c r="AG158" s="23" t="s">
        <v>153</v>
      </c>
      <c r="AH158" s="23" t="s">
        <v>153</v>
      </c>
      <c r="AI158" s="24" t="s">
        <v>153</v>
      </c>
      <c r="AJ158" s="23" t="s">
        <v>153</v>
      </c>
      <c r="AK158" s="23" t="s">
        <v>153</v>
      </c>
      <c r="AL158" s="24" t="s">
        <v>156</v>
      </c>
      <c r="AM158" s="24" t="s">
        <v>156</v>
      </c>
      <c r="AN158" s="23" t="s">
        <v>153</v>
      </c>
      <c r="AO158" s="23" t="s">
        <v>153</v>
      </c>
      <c r="AP158" s="23">
        <f>VALUE(0)</f>
        <v>0</v>
      </c>
      <c r="AQ158" s="23">
        <f>VALUE(0)</f>
        <v>0</v>
      </c>
      <c r="AR158" s="23">
        <f>VALUE(0)</f>
        <v>0</v>
      </c>
      <c r="AS158" s="23">
        <f>VALUE(0)</f>
        <v>0</v>
      </c>
      <c r="AT158" s="23">
        <f>VALUE(0)</f>
        <v>0</v>
      </c>
      <c r="AU158" s="23">
        <f>VALUE(0)</f>
        <v>0</v>
      </c>
      <c r="AV158" s="23">
        <f>VALUE(2)</f>
        <v>2</v>
      </c>
      <c r="AW158" s="23">
        <f>VALUE(0)</f>
        <v>0</v>
      </c>
      <c r="AX158" s="23" t="s">
        <v>255</v>
      </c>
      <c r="AY158" s="23" t="s">
        <v>422</v>
      </c>
      <c r="AZ158" s="23">
        <f>VALUE(0)</f>
        <v>0</v>
      </c>
      <c r="BA158" s="23">
        <f>VALUE(0)</f>
        <v>0</v>
      </c>
      <c r="BB158" s="23">
        <f>VALUE(0)</f>
        <v>0</v>
      </c>
      <c r="BC158" s="23">
        <f>VALUE(0)</f>
        <v>0</v>
      </c>
      <c r="BD158" s="23">
        <f>VALUE(0)</f>
        <v>0</v>
      </c>
      <c r="BE158" s="23">
        <f>VALUE(0)</f>
        <v>0</v>
      </c>
      <c r="BF158" s="23">
        <f>VALUE(0)</f>
        <v>0</v>
      </c>
      <c r="BG158" s="23">
        <f>VALUE(0)</f>
        <v>0</v>
      </c>
      <c r="BH158" s="23">
        <f>VALUE(0)</f>
        <v>0</v>
      </c>
      <c r="BI158" s="23">
        <f>VALUE(0)</f>
        <v>0</v>
      </c>
      <c r="BJ158" s="23">
        <f>VALUE(0)</f>
        <v>0</v>
      </c>
      <c r="BK158" s="12">
        <f>$AX$158*24</f>
        <v>2.5</v>
      </c>
      <c r="BL158" s="12">
        <f>$AY$158*24</f>
        <v>3.8166666666666664</v>
      </c>
      <c r="BM158" s="12">
        <f>$BJ$158*24</f>
        <v>0</v>
      </c>
      <c r="BN158" s="12">
        <f>VALUE($I$158)/100</f>
        <v>1</v>
      </c>
      <c r="BO158" s="12">
        <v>0</v>
      </c>
      <c r="BP158" s="12">
        <v>0</v>
      </c>
      <c r="BQ158" s="12">
        <v>0</v>
      </c>
      <c r="BR158" s="12">
        <v>0</v>
      </c>
      <c r="BS158" s="12">
        <v>0</v>
      </c>
      <c r="BT158" s="12">
        <v>0</v>
      </c>
      <c r="BU158" s="12">
        <v>0</v>
      </c>
      <c r="BV158" s="12">
        <v>0</v>
      </c>
      <c r="BW158" s="12">
        <v>0</v>
      </c>
      <c r="BX158" s="12">
        <v>0</v>
      </c>
      <c r="BY158" s="12">
        <v>0</v>
      </c>
      <c r="BZ158" s="12">
        <v>0</v>
      </c>
      <c r="CA158" s="12">
        <v>0</v>
      </c>
    </row>
    <row r="159" spans="1:79" hidden="1" x14ac:dyDescent="0.2">
      <c r="A159" s="12" t="s">
        <v>120</v>
      </c>
      <c r="B159" s="12" t="s">
        <v>124</v>
      </c>
      <c r="C159" s="12" t="s">
        <v>124</v>
      </c>
      <c r="D159" s="22" t="s">
        <v>384</v>
      </c>
      <c r="E159" s="22" t="s">
        <v>161</v>
      </c>
      <c r="F159" s="22" t="s">
        <v>839</v>
      </c>
      <c r="G159" s="22" t="s">
        <v>840</v>
      </c>
      <c r="H159" s="22" t="s">
        <v>150</v>
      </c>
      <c r="I159" s="22" t="s">
        <v>151</v>
      </c>
      <c r="J159" s="22" t="s">
        <v>162</v>
      </c>
      <c r="K159" s="22" t="s">
        <v>83</v>
      </c>
      <c r="L159" s="54" t="s">
        <v>153</v>
      </c>
      <c r="M159" s="23" t="s">
        <v>153</v>
      </c>
      <c r="N159" s="24" t="s">
        <v>153</v>
      </c>
      <c r="O159" s="23" t="s">
        <v>153</v>
      </c>
      <c r="P159" s="23" t="s">
        <v>153</v>
      </c>
      <c r="Q159" s="23" t="s">
        <v>153</v>
      </c>
      <c r="R159" s="23" t="s">
        <v>153</v>
      </c>
      <c r="S159" s="23" t="s">
        <v>153</v>
      </c>
      <c r="T159" s="23" t="s">
        <v>153</v>
      </c>
      <c r="U159" s="24" t="s">
        <v>153</v>
      </c>
      <c r="V159" s="54" t="s">
        <v>153</v>
      </c>
      <c r="W159" s="23" t="s">
        <v>153</v>
      </c>
      <c r="X159" s="23" t="s">
        <v>153</v>
      </c>
      <c r="Y159" s="23" t="s">
        <v>153</v>
      </c>
      <c r="Z159" s="23" t="s">
        <v>153</v>
      </c>
      <c r="AA159" s="23" t="s">
        <v>153</v>
      </c>
      <c r="AB159" s="24" t="s">
        <v>153</v>
      </c>
      <c r="AC159" s="23" t="s">
        <v>153</v>
      </c>
      <c r="AD159" s="23" t="s">
        <v>153</v>
      </c>
      <c r="AE159" s="23" t="s">
        <v>153</v>
      </c>
      <c r="AF159" s="23" t="s">
        <v>153</v>
      </c>
      <c r="AG159" s="23" t="s">
        <v>153</v>
      </c>
      <c r="AH159" s="23" t="s">
        <v>153</v>
      </c>
      <c r="AI159" s="24" t="s">
        <v>153</v>
      </c>
      <c r="AJ159" s="23" t="s">
        <v>153</v>
      </c>
      <c r="AK159" s="23" t="s">
        <v>153</v>
      </c>
      <c r="AL159" s="23" t="s">
        <v>153</v>
      </c>
      <c r="AM159" s="23" t="s">
        <v>153</v>
      </c>
      <c r="AN159" s="24" t="s">
        <v>156</v>
      </c>
      <c r="AO159" s="24" t="s">
        <v>156</v>
      </c>
      <c r="AP159" s="23">
        <f>VALUE(0)</f>
        <v>0</v>
      </c>
      <c r="AQ159" s="23">
        <f>VALUE(0)</f>
        <v>0</v>
      </c>
      <c r="AR159" s="23">
        <f>VALUE(0)</f>
        <v>0</v>
      </c>
      <c r="AS159" s="23">
        <f>VALUE(0)</f>
        <v>0</v>
      </c>
      <c r="AT159" s="23">
        <f>VALUE(0)</f>
        <v>0</v>
      </c>
      <c r="AU159" s="23">
        <f>VALUE(0)</f>
        <v>0</v>
      </c>
      <c r="AV159" s="23">
        <f>VALUE(3)</f>
        <v>3</v>
      </c>
      <c r="AW159" s="23">
        <f>VALUE(0)</f>
        <v>0</v>
      </c>
      <c r="AX159" s="23" t="s">
        <v>171</v>
      </c>
      <c r="AY159" s="23" t="s">
        <v>1227</v>
      </c>
      <c r="AZ159" s="23">
        <f>VALUE(0)</f>
        <v>0</v>
      </c>
      <c r="BA159" s="23">
        <f>VALUE(0)</f>
        <v>0</v>
      </c>
      <c r="BB159" s="23">
        <f>VALUE(0)</f>
        <v>0</v>
      </c>
      <c r="BC159" s="23">
        <f>VALUE(0)</f>
        <v>0</v>
      </c>
      <c r="BD159" s="23">
        <f>VALUE(0)</f>
        <v>0</v>
      </c>
      <c r="BE159" s="23">
        <f>VALUE(0)</f>
        <v>0</v>
      </c>
      <c r="BF159" s="23">
        <f>VALUE(0)</f>
        <v>0</v>
      </c>
      <c r="BG159" s="23">
        <f>VALUE(0)</f>
        <v>0</v>
      </c>
      <c r="BH159" s="23">
        <f>VALUE(0)</f>
        <v>0</v>
      </c>
      <c r="BI159" s="23">
        <f>VALUE(0)</f>
        <v>0</v>
      </c>
      <c r="BJ159" s="23">
        <f>VALUE(0)</f>
        <v>0</v>
      </c>
      <c r="BK159" s="12">
        <f>$AX$159*24</f>
        <v>5.833333333333333</v>
      </c>
      <c r="BL159" s="12">
        <f>$AY$159*24</f>
        <v>44.9</v>
      </c>
      <c r="BM159" s="12">
        <f>$BJ$159*24</f>
        <v>0</v>
      </c>
      <c r="BN159" s="12">
        <f>VALUE($I$159)/100</f>
        <v>1</v>
      </c>
      <c r="BO159" s="12">
        <v>0</v>
      </c>
      <c r="BP159" s="12">
        <v>0</v>
      </c>
      <c r="BQ159" s="12">
        <v>0</v>
      </c>
      <c r="BR159" s="12">
        <v>0</v>
      </c>
      <c r="BS159" s="12">
        <v>0</v>
      </c>
      <c r="BT159" s="12">
        <v>0</v>
      </c>
      <c r="BU159" s="12">
        <v>0</v>
      </c>
      <c r="BV159" s="12">
        <v>0</v>
      </c>
      <c r="BW159" s="12">
        <v>0</v>
      </c>
      <c r="BX159" s="12">
        <v>0</v>
      </c>
      <c r="BY159" s="12">
        <v>0</v>
      </c>
      <c r="BZ159" s="12">
        <v>0</v>
      </c>
      <c r="CA159" s="12">
        <v>0</v>
      </c>
    </row>
    <row r="160" spans="1:79" hidden="1" x14ac:dyDescent="0.2">
      <c r="A160" s="12" t="s">
        <v>120</v>
      </c>
      <c r="B160" s="12" t="s">
        <v>124</v>
      </c>
      <c r="C160" s="12" t="s">
        <v>124</v>
      </c>
      <c r="D160" s="22" t="s">
        <v>423</v>
      </c>
      <c r="E160" s="22" t="s">
        <v>161</v>
      </c>
      <c r="F160" s="22" t="s">
        <v>1228</v>
      </c>
      <c r="G160" s="22" t="s">
        <v>841</v>
      </c>
      <c r="H160" s="22" t="s">
        <v>150</v>
      </c>
      <c r="I160" s="22" t="s">
        <v>151</v>
      </c>
      <c r="J160" s="22" t="s">
        <v>162</v>
      </c>
      <c r="K160" s="22" t="s">
        <v>83</v>
      </c>
      <c r="L160" s="54" t="s">
        <v>153</v>
      </c>
      <c r="M160" s="28" t="s">
        <v>163</v>
      </c>
      <c r="N160" s="24" t="s">
        <v>153</v>
      </c>
      <c r="O160" s="23" t="s">
        <v>153</v>
      </c>
      <c r="P160" s="23" t="s">
        <v>153</v>
      </c>
      <c r="Q160" s="23" t="s">
        <v>153</v>
      </c>
      <c r="R160" s="23" t="s">
        <v>153</v>
      </c>
      <c r="S160" s="23" t="s">
        <v>153</v>
      </c>
      <c r="T160" s="23" t="s">
        <v>153</v>
      </c>
      <c r="U160" s="24" t="s">
        <v>153</v>
      </c>
      <c r="V160" s="54" t="s">
        <v>153</v>
      </c>
      <c r="W160" s="23" t="s">
        <v>153</v>
      </c>
      <c r="X160" s="23" t="s">
        <v>153</v>
      </c>
      <c r="Y160" s="23" t="s">
        <v>153</v>
      </c>
      <c r="Z160" s="24" t="s">
        <v>156</v>
      </c>
      <c r="AA160" s="24" t="s">
        <v>156</v>
      </c>
      <c r="AB160" s="24" t="s">
        <v>153</v>
      </c>
      <c r="AC160" s="23" t="s">
        <v>153</v>
      </c>
      <c r="AD160" s="23" t="s">
        <v>153</v>
      </c>
      <c r="AE160" s="23" t="s">
        <v>153</v>
      </c>
      <c r="AF160" s="23" t="s">
        <v>153</v>
      </c>
      <c r="AG160" s="23" t="s">
        <v>153</v>
      </c>
      <c r="AH160" s="23" t="s">
        <v>153</v>
      </c>
      <c r="AI160" s="24" t="s">
        <v>153</v>
      </c>
      <c r="AJ160" s="23" t="s">
        <v>153</v>
      </c>
      <c r="AK160" s="23" t="s">
        <v>153</v>
      </c>
      <c r="AL160" s="23" t="s">
        <v>153</v>
      </c>
      <c r="AM160" s="23" t="s">
        <v>153</v>
      </c>
      <c r="AN160" s="23" t="s">
        <v>153</v>
      </c>
      <c r="AO160" s="23" t="s">
        <v>153</v>
      </c>
      <c r="AP160" s="23">
        <f>VALUE(3)</f>
        <v>3</v>
      </c>
      <c r="AQ160" s="23">
        <f>VALUE(0)</f>
        <v>0</v>
      </c>
      <c r="AR160" s="23">
        <f>VALUE(0)</f>
        <v>0</v>
      </c>
      <c r="AS160" s="23">
        <f>VALUE(0)</f>
        <v>0</v>
      </c>
      <c r="AT160" s="23">
        <f>VALUE(0)</f>
        <v>0</v>
      </c>
      <c r="AU160" s="23">
        <f>VALUE(1)</f>
        <v>1</v>
      </c>
      <c r="AV160" s="23">
        <f>VALUE(4)</f>
        <v>4</v>
      </c>
      <c r="AW160" s="23">
        <f>VALUE(0)</f>
        <v>0</v>
      </c>
      <c r="AX160" s="23" t="s">
        <v>176</v>
      </c>
      <c r="AY160" s="23" t="s">
        <v>424</v>
      </c>
      <c r="AZ160" s="23">
        <f>VALUE(0)</f>
        <v>0</v>
      </c>
      <c r="BA160" s="23">
        <f>VALUE(0)</f>
        <v>0</v>
      </c>
      <c r="BB160" s="23">
        <f>VALUE(0)</f>
        <v>0</v>
      </c>
      <c r="BC160" s="23">
        <f>VALUE(0)</f>
        <v>0</v>
      </c>
      <c r="BD160" s="23">
        <f>VALUE(0)</f>
        <v>0</v>
      </c>
      <c r="BE160" s="23">
        <f>VALUE(0)</f>
        <v>0</v>
      </c>
      <c r="BF160" s="23">
        <f>VALUE(0)</f>
        <v>0</v>
      </c>
      <c r="BG160" s="23">
        <f>VALUE(0)</f>
        <v>0</v>
      </c>
      <c r="BH160" s="23">
        <f>VALUE(0)</f>
        <v>0</v>
      </c>
      <c r="BI160" s="23">
        <f>VALUE(0)</f>
        <v>0</v>
      </c>
      <c r="BJ160" s="23">
        <f>VALUE(0)</f>
        <v>0</v>
      </c>
      <c r="BK160" s="12">
        <f>$AX$160*24</f>
        <v>0</v>
      </c>
      <c r="BL160" s="12">
        <f>$AY$160*24</f>
        <v>2.4666666666666668</v>
      </c>
      <c r="BM160" s="12">
        <f>$BJ$160*24</f>
        <v>0</v>
      </c>
      <c r="BN160" s="12">
        <f>VALUE($I$160)/100</f>
        <v>1</v>
      </c>
      <c r="BO160" s="12">
        <v>0</v>
      </c>
      <c r="BP160" s="12">
        <v>0</v>
      </c>
      <c r="BQ160" s="12">
        <v>0</v>
      </c>
      <c r="BR160" s="12">
        <v>0</v>
      </c>
      <c r="BS160" s="12">
        <v>0</v>
      </c>
      <c r="BT160" s="12">
        <v>0</v>
      </c>
      <c r="BU160" s="12">
        <v>0</v>
      </c>
      <c r="BV160" s="12">
        <v>0</v>
      </c>
      <c r="BW160" s="12">
        <v>0</v>
      </c>
      <c r="BX160" s="12">
        <v>0</v>
      </c>
      <c r="BY160" s="12">
        <v>0</v>
      </c>
      <c r="BZ160" s="12">
        <v>0</v>
      </c>
      <c r="CA160" s="12">
        <v>0</v>
      </c>
    </row>
    <row r="161" spans="1:79" hidden="1" x14ac:dyDescent="0.2">
      <c r="A161" s="12" t="s">
        <v>120</v>
      </c>
      <c r="B161" s="12" t="s">
        <v>124</v>
      </c>
      <c r="C161" s="12" t="s">
        <v>124</v>
      </c>
      <c r="D161" s="22" t="s">
        <v>380</v>
      </c>
      <c r="E161" s="22" t="s">
        <v>161</v>
      </c>
      <c r="F161" s="22" t="s">
        <v>842</v>
      </c>
      <c r="G161" s="22" t="s">
        <v>843</v>
      </c>
      <c r="H161" s="22" t="s">
        <v>166</v>
      </c>
      <c r="I161" s="22" t="s">
        <v>151</v>
      </c>
      <c r="J161" s="22" t="s">
        <v>162</v>
      </c>
      <c r="K161" s="22" t="s">
        <v>83</v>
      </c>
      <c r="L161" s="54" t="s">
        <v>153</v>
      </c>
      <c r="M161" s="23" t="s">
        <v>153</v>
      </c>
      <c r="N161" s="24" t="s">
        <v>153</v>
      </c>
      <c r="O161" s="23" t="s">
        <v>153</v>
      </c>
      <c r="P161" s="23" t="s">
        <v>153</v>
      </c>
      <c r="Q161" s="23" t="s">
        <v>153</v>
      </c>
      <c r="R161" s="23" t="s">
        <v>153</v>
      </c>
      <c r="S161" s="24" t="s">
        <v>156</v>
      </c>
      <c r="T161" s="24" t="s">
        <v>156</v>
      </c>
      <c r="U161" s="24" t="s">
        <v>153</v>
      </c>
      <c r="V161" s="54" t="s">
        <v>153</v>
      </c>
      <c r="W161" s="28" t="s">
        <v>163</v>
      </c>
      <c r="X161" s="28" t="s">
        <v>163</v>
      </c>
      <c r="Y161" s="28" t="s">
        <v>163</v>
      </c>
      <c r="Z161" s="28" t="s">
        <v>163</v>
      </c>
      <c r="AA161" s="28" t="s">
        <v>163</v>
      </c>
      <c r="AB161" s="24" t="s">
        <v>153</v>
      </c>
      <c r="AC161" s="23" t="s">
        <v>153</v>
      </c>
      <c r="AD161" s="23" t="s">
        <v>153</v>
      </c>
      <c r="AE161" s="23" t="s">
        <v>153</v>
      </c>
      <c r="AF161" s="23" t="s">
        <v>153</v>
      </c>
      <c r="AG161" s="23" t="s">
        <v>153</v>
      </c>
      <c r="AH161" s="23" t="s">
        <v>153</v>
      </c>
      <c r="AI161" s="24" t="s">
        <v>153</v>
      </c>
      <c r="AJ161" s="23" t="s">
        <v>153</v>
      </c>
      <c r="AK161" s="23" t="s">
        <v>153</v>
      </c>
      <c r="AL161" s="23" t="s">
        <v>153</v>
      </c>
      <c r="AM161" s="23" t="s">
        <v>153</v>
      </c>
      <c r="AN161" s="23" t="s">
        <v>153</v>
      </c>
      <c r="AO161" s="23" t="s">
        <v>153</v>
      </c>
      <c r="AP161" s="23">
        <f>VALUE(0)</f>
        <v>0</v>
      </c>
      <c r="AQ161" s="23">
        <f>VALUE(0)</f>
        <v>0</v>
      </c>
      <c r="AR161" s="23">
        <f>VALUE(0)</f>
        <v>0</v>
      </c>
      <c r="AS161" s="23">
        <f>VALUE(0)</f>
        <v>0</v>
      </c>
      <c r="AT161" s="23">
        <f>VALUE(0)</f>
        <v>0</v>
      </c>
      <c r="AU161" s="23">
        <f>VALUE(5)</f>
        <v>5</v>
      </c>
      <c r="AV161" s="23">
        <f>VALUE(0.5)</f>
        <v>0.5</v>
      </c>
      <c r="AW161" s="23">
        <f>VALUE(0)</f>
        <v>0</v>
      </c>
      <c r="AX161" s="23" t="s">
        <v>1229</v>
      </c>
      <c r="AY161" s="23">
        <f>VALUE(0)</f>
        <v>0</v>
      </c>
      <c r="AZ161" s="23">
        <f>VALUE(0)</f>
        <v>0</v>
      </c>
      <c r="BA161" s="23">
        <f>VALUE(0)</f>
        <v>0</v>
      </c>
      <c r="BB161" s="23">
        <f>VALUE(0)</f>
        <v>0</v>
      </c>
      <c r="BC161" s="23">
        <f>VALUE(0)</f>
        <v>0</v>
      </c>
      <c r="BD161" s="23">
        <f>VALUE(0)</f>
        <v>0</v>
      </c>
      <c r="BE161" s="23">
        <f>VALUE(0)</f>
        <v>0</v>
      </c>
      <c r="BF161" s="23">
        <f>VALUE(0)</f>
        <v>0</v>
      </c>
      <c r="BG161" s="23">
        <f>VALUE(0)</f>
        <v>0</v>
      </c>
      <c r="BH161" s="23">
        <f>VALUE(0)</f>
        <v>0</v>
      </c>
      <c r="BI161" s="23">
        <f>VALUE(0)</f>
        <v>0</v>
      </c>
      <c r="BJ161" s="23">
        <f>VALUE(0)</f>
        <v>0</v>
      </c>
      <c r="BK161" s="12">
        <f>$AX$161*24</f>
        <v>55.349999999999994</v>
      </c>
      <c r="BL161" s="12">
        <f>$AY$161*24</f>
        <v>0</v>
      </c>
      <c r="BM161" s="12">
        <f>$BJ$161*24</f>
        <v>0</v>
      </c>
      <c r="BN161" s="12">
        <f>VALUE($I$161)/100</f>
        <v>1</v>
      </c>
      <c r="BO161" s="12">
        <v>0</v>
      </c>
      <c r="BP161" s="12">
        <v>0</v>
      </c>
      <c r="BQ161" s="12">
        <v>0</v>
      </c>
      <c r="BR161" s="12">
        <v>0</v>
      </c>
      <c r="BS161" s="12">
        <v>0</v>
      </c>
      <c r="BT161" s="12">
        <v>0</v>
      </c>
      <c r="BU161" s="12">
        <v>0</v>
      </c>
      <c r="BV161" s="12">
        <v>0</v>
      </c>
      <c r="BW161" s="12">
        <v>0</v>
      </c>
      <c r="BX161" s="12">
        <v>0</v>
      </c>
      <c r="BY161" s="12">
        <v>0</v>
      </c>
      <c r="BZ161" s="12">
        <v>0</v>
      </c>
      <c r="CA161" s="12">
        <v>0</v>
      </c>
    </row>
    <row r="162" spans="1:79" hidden="1" x14ac:dyDescent="0.2">
      <c r="A162" s="12" t="s">
        <v>120</v>
      </c>
      <c r="B162" s="12" t="s">
        <v>124</v>
      </c>
      <c r="C162" s="12" t="s">
        <v>124</v>
      </c>
      <c r="D162" s="22" t="s">
        <v>426</v>
      </c>
      <c r="E162" s="22" t="s">
        <v>161</v>
      </c>
      <c r="F162" s="22" t="s">
        <v>844</v>
      </c>
      <c r="G162" s="22" t="s">
        <v>845</v>
      </c>
      <c r="H162" s="22" t="s">
        <v>150</v>
      </c>
      <c r="I162" s="22" t="s">
        <v>151</v>
      </c>
      <c r="J162" s="22" t="s">
        <v>162</v>
      </c>
      <c r="K162" s="22" t="s">
        <v>83</v>
      </c>
      <c r="L162" s="54" t="s">
        <v>153</v>
      </c>
      <c r="M162" s="23" t="s">
        <v>153</v>
      </c>
      <c r="N162" s="24" t="s">
        <v>153</v>
      </c>
      <c r="O162" s="23" t="s">
        <v>153</v>
      </c>
      <c r="P162" s="23" t="s">
        <v>153</v>
      </c>
      <c r="Q162" s="23" t="s">
        <v>153</v>
      </c>
      <c r="R162" s="23" t="s">
        <v>153</v>
      </c>
      <c r="S162" s="23" t="s">
        <v>153</v>
      </c>
      <c r="T162" s="23" t="s">
        <v>153</v>
      </c>
      <c r="U162" s="24" t="s">
        <v>153</v>
      </c>
      <c r="V162" s="54" t="s">
        <v>153</v>
      </c>
      <c r="W162" s="23" t="s">
        <v>153</v>
      </c>
      <c r="X162" s="23" t="s">
        <v>153</v>
      </c>
      <c r="Y162" s="23" t="s">
        <v>153</v>
      </c>
      <c r="Z162" s="23" t="s">
        <v>153</v>
      </c>
      <c r="AA162" s="23" t="s">
        <v>153</v>
      </c>
      <c r="AB162" s="24" t="s">
        <v>153</v>
      </c>
      <c r="AC162" s="24" t="s">
        <v>156</v>
      </c>
      <c r="AD162" s="24" t="s">
        <v>156</v>
      </c>
      <c r="AE162" s="23" t="s">
        <v>153</v>
      </c>
      <c r="AF162" s="23" t="s">
        <v>153</v>
      </c>
      <c r="AG162" s="23" t="s">
        <v>153</v>
      </c>
      <c r="AH162" s="23" t="s">
        <v>153</v>
      </c>
      <c r="AI162" s="24" t="s">
        <v>153</v>
      </c>
      <c r="AJ162" s="23" t="s">
        <v>153</v>
      </c>
      <c r="AK162" s="23" t="s">
        <v>153</v>
      </c>
      <c r="AL162" s="23" t="s">
        <v>153</v>
      </c>
      <c r="AM162" s="23" t="s">
        <v>153</v>
      </c>
      <c r="AN162" s="23" t="s">
        <v>153</v>
      </c>
      <c r="AO162" s="23" t="s">
        <v>153</v>
      </c>
      <c r="AP162" s="23">
        <f>VALUE(0)</f>
        <v>0</v>
      </c>
      <c r="AQ162" s="23">
        <f>VALUE(0)</f>
        <v>0</v>
      </c>
      <c r="AR162" s="23">
        <f>VALUE(0)</f>
        <v>0</v>
      </c>
      <c r="AS162" s="23">
        <f>VALUE(0)</f>
        <v>0</v>
      </c>
      <c r="AT162" s="23">
        <f>VALUE(0)</f>
        <v>0</v>
      </c>
      <c r="AU162" s="23">
        <f>VALUE(0)</f>
        <v>0</v>
      </c>
      <c r="AV162" s="23">
        <f>VALUE(6)</f>
        <v>6</v>
      </c>
      <c r="AW162" s="23">
        <f>VALUE(0)</f>
        <v>0</v>
      </c>
      <c r="AX162" s="23" t="s">
        <v>171</v>
      </c>
      <c r="AY162" s="23" t="s">
        <v>427</v>
      </c>
      <c r="AZ162" s="23">
        <f>VALUE(0)</f>
        <v>0</v>
      </c>
      <c r="BA162" s="23">
        <f>VALUE(0)</f>
        <v>0</v>
      </c>
      <c r="BB162" s="23">
        <f>VALUE(0)</f>
        <v>0</v>
      </c>
      <c r="BC162" s="23">
        <f>VALUE(0)</f>
        <v>0</v>
      </c>
      <c r="BD162" s="23">
        <f>VALUE(0)</f>
        <v>0</v>
      </c>
      <c r="BE162" s="23">
        <f>VALUE(0)</f>
        <v>0</v>
      </c>
      <c r="BF162" s="23">
        <f>VALUE(0)</f>
        <v>0</v>
      </c>
      <c r="BG162" s="23">
        <f>VALUE(0)</f>
        <v>0</v>
      </c>
      <c r="BH162" s="23">
        <f>VALUE(0)</f>
        <v>0</v>
      </c>
      <c r="BI162" s="23">
        <f>VALUE(0)</f>
        <v>0</v>
      </c>
      <c r="BJ162" s="23">
        <f>VALUE(0)</f>
        <v>0</v>
      </c>
      <c r="BK162" s="12">
        <f>$AX$162*24</f>
        <v>5.833333333333333</v>
      </c>
      <c r="BL162" s="12">
        <f>$AY$162*24</f>
        <v>9.0500000000000007</v>
      </c>
      <c r="BM162" s="12">
        <f>$BJ$162*24</f>
        <v>0</v>
      </c>
      <c r="BN162" s="12">
        <f>VALUE($I$162)/100</f>
        <v>1</v>
      </c>
      <c r="BO162" s="12">
        <v>0</v>
      </c>
      <c r="BP162" s="12">
        <v>0</v>
      </c>
      <c r="BQ162" s="12">
        <v>0</v>
      </c>
      <c r="BR162" s="12">
        <v>0</v>
      </c>
      <c r="BS162" s="12">
        <v>0</v>
      </c>
      <c r="BT162" s="12">
        <v>0</v>
      </c>
      <c r="BU162" s="12">
        <v>0</v>
      </c>
      <c r="BV162" s="12">
        <v>0</v>
      </c>
      <c r="BW162" s="12">
        <v>0</v>
      </c>
      <c r="BX162" s="12">
        <v>0</v>
      </c>
      <c r="BY162" s="12">
        <v>0</v>
      </c>
      <c r="BZ162" s="12">
        <v>0</v>
      </c>
      <c r="CA162" s="12">
        <v>0</v>
      </c>
    </row>
    <row r="163" spans="1:79" hidden="1" x14ac:dyDescent="0.2">
      <c r="A163" s="12" t="s">
        <v>120</v>
      </c>
      <c r="B163" s="12" t="s">
        <v>124</v>
      </c>
      <c r="C163" s="12" t="s">
        <v>124</v>
      </c>
      <c r="D163" s="22" t="s">
        <v>385</v>
      </c>
      <c r="E163" s="22" t="s">
        <v>161</v>
      </c>
      <c r="F163" s="22" t="s">
        <v>846</v>
      </c>
      <c r="G163" s="22" t="s">
        <v>847</v>
      </c>
      <c r="H163" s="22" t="s">
        <v>150</v>
      </c>
      <c r="I163" s="22" t="s">
        <v>151</v>
      </c>
      <c r="J163" s="22" t="s">
        <v>162</v>
      </c>
      <c r="K163" s="22" t="s">
        <v>83</v>
      </c>
      <c r="L163" s="54" t="s">
        <v>156</v>
      </c>
      <c r="M163" s="24" t="s">
        <v>156</v>
      </c>
      <c r="N163" s="24" t="s">
        <v>153</v>
      </c>
      <c r="O163" s="23" t="s">
        <v>153</v>
      </c>
      <c r="P163" s="23" t="s">
        <v>153</v>
      </c>
      <c r="Q163" s="23" t="s">
        <v>153</v>
      </c>
      <c r="R163" s="23" t="s">
        <v>153</v>
      </c>
      <c r="S163" s="23" t="s">
        <v>153</v>
      </c>
      <c r="T163" s="23" t="s">
        <v>153</v>
      </c>
      <c r="U163" s="24" t="s">
        <v>153</v>
      </c>
      <c r="V163" s="54" t="s">
        <v>153</v>
      </c>
      <c r="W163" s="23" t="s">
        <v>153</v>
      </c>
      <c r="X163" s="23" t="s">
        <v>153</v>
      </c>
      <c r="Y163" s="23" t="s">
        <v>153</v>
      </c>
      <c r="Z163" s="23" t="s">
        <v>153</v>
      </c>
      <c r="AA163" s="23" t="s">
        <v>153</v>
      </c>
      <c r="AB163" s="24" t="s">
        <v>153</v>
      </c>
      <c r="AC163" s="23" t="s">
        <v>153</v>
      </c>
      <c r="AD163" s="23" t="s">
        <v>153</v>
      </c>
      <c r="AE163" s="23" t="s">
        <v>153</v>
      </c>
      <c r="AF163" s="23" t="s">
        <v>153</v>
      </c>
      <c r="AG163" s="23" t="s">
        <v>153</v>
      </c>
      <c r="AH163" s="23" t="s">
        <v>153</v>
      </c>
      <c r="AI163" s="24" t="s">
        <v>153</v>
      </c>
      <c r="AJ163" s="24" t="s">
        <v>156</v>
      </c>
      <c r="AK163" s="24" t="s">
        <v>156</v>
      </c>
      <c r="AL163" s="28" t="s">
        <v>163</v>
      </c>
      <c r="AM163" s="28" t="s">
        <v>163</v>
      </c>
      <c r="AN163" s="28" t="s">
        <v>163</v>
      </c>
      <c r="AO163" s="28" t="s">
        <v>163</v>
      </c>
      <c r="AP163" s="23">
        <f>VALUE(3)</f>
        <v>3</v>
      </c>
      <c r="AQ163" s="23">
        <f>VALUE(0)</f>
        <v>0</v>
      </c>
      <c r="AR163" s="23">
        <f>VALUE(0)</f>
        <v>0</v>
      </c>
      <c r="AS163" s="23">
        <f>VALUE(0)</f>
        <v>0</v>
      </c>
      <c r="AT163" s="23">
        <f>VALUE(0)</f>
        <v>0</v>
      </c>
      <c r="AU163" s="23">
        <f>VALUE(4)</f>
        <v>4</v>
      </c>
      <c r="AV163" s="23">
        <f>VALUE(7)</f>
        <v>7</v>
      </c>
      <c r="AW163" s="23">
        <f>VALUE(0)</f>
        <v>0</v>
      </c>
      <c r="AX163" s="23" t="s">
        <v>445</v>
      </c>
      <c r="AY163" s="23" t="s">
        <v>1230</v>
      </c>
      <c r="AZ163" s="23">
        <f>VALUE(0)</f>
        <v>0</v>
      </c>
      <c r="BA163" s="23">
        <f>VALUE(0)</f>
        <v>0</v>
      </c>
      <c r="BB163" s="23">
        <f>VALUE(0)</f>
        <v>0</v>
      </c>
      <c r="BC163" s="23">
        <f>VALUE(0)</f>
        <v>0</v>
      </c>
      <c r="BD163" s="23">
        <f>VALUE(0)</f>
        <v>0</v>
      </c>
      <c r="BE163" s="23">
        <f>VALUE(0)</f>
        <v>0</v>
      </c>
      <c r="BF163" s="23">
        <f>VALUE(0)</f>
        <v>0</v>
      </c>
      <c r="BG163" s="23">
        <f>VALUE(0)</f>
        <v>0</v>
      </c>
      <c r="BH163" s="23">
        <f>VALUE(0)</f>
        <v>0</v>
      </c>
      <c r="BI163" s="23">
        <f>VALUE(0)</f>
        <v>0</v>
      </c>
      <c r="BJ163" s="23">
        <f>VALUE(0)</f>
        <v>0</v>
      </c>
      <c r="BK163" s="12">
        <f>$AX$163*24</f>
        <v>17.5</v>
      </c>
      <c r="BL163" s="12">
        <f>$AY$163*24</f>
        <v>22.033333333333335</v>
      </c>
      <c r="BM163" s="12">
        <f>$BJ$163*24</f>
        <v>0</v>
      </c>
      <c r="BN163" s="12">
        <f>VALUE($I$163)/100</f>
        <v>1</v>
      </c>
      <c r="BO163" s="12">
        <v>0</v>
      </c>
      <c r="BP163" s="12">
        <v>0</v>
      </c>
      <c r="BQ163" s="12">
        <v>0</v>
      </c>
      <c r="BR163" s="12">
        <v>0</v>
      </c>
      <c r="BS163" s="12">
        <v>0</v>
      </c>
      <c r="BT163" s="12">
        <v>0</v>
      </c>
      <c r="BU163" s="12">
        <v>0</v>
      </c>
      <c r="BV163" s="12">
        <v>0</v>
      </c>
      <c r="BW163" s="12">
        <v>0</v>
      </c>
      <c r="BX163" s="12">
        <v>0</v>
      </c>
      <c r="BY163" s="12">
        <v>0</v>
      </c>
      <c r="BZ163" s="12">
        <v>0</v>
      </c>
      <c r="CA163" s="12">
        <v>0</v>
      </c>
    </row>
    <row r="164" spans="1:79" hidden="1" x14ac:dyDescent="0.2">
      <c r="A164" s="12" t="s">
        <v>120</v>
      </c>
      <c r="B164" s="12" t="s">
        <v>124</v>
      </c>
      <c r="C164" s="12" t="s">
        <v>124</v>
      </c>
      <c r="D164" s="22" t="s">
        <v>378</v>
      </c>
      <c r="E164" s="22" t="s">
        <v>161</v>
      </c>
      <c r="F164" s="22" t="s">
        <v>848</v>
      </c>
      <c r="G164" s="22" t="s">
        <v>849</v>
      </c>
      <c r="H164" s="22" t="s">
        <v>150</v>
      </c>
      <c r="I164" s="22" t="s">
        <v>151</v>
      </c>
      <c r="J164" s="22" t="s">
        <v>162</v>
      </c>
      <c r="K164" s="22" t="s">
        <v>83</v>
      </c>
      <c r="L164" s="54" t="s">
        <v>153</v>
      </c>
      <c r="M164" s="23" t="s">
        <v>153</v>
      </c>
      <c r="N164" s="24" t="s">
        <v>153</v>
      </c>
      <c r="O164" s="23" t="s">
        <v>153</v>
      </c>
      <c r="P164" s="23" t="s">
        <v>153</v>
      </c>
      <c r="Q164" s="23" t="s">
        <v>153</v>
      </c>
      <c r="R164" s="23" t="s">
        <v>153</v>
      </c>
      <c r="S164" s="23" t="s">
        <v>153</v>
      </c>
      <c r="T164" s="23" t="s">
        <v>153</v>
      </c>
      <c r="U164" s="24" t="s">
        <v>153</v>
      </c>
      <c r="V164" s="54" t="s">
        <v>153</v>
      </c>
      <c r="W164" s="30" t="s">
        <v>29</v>
      </c>
      <c r="X164" s="24" t="s">
        <v>156</v>
      </c>
      <c r="Y164" s="24" t="s">
        <v>156</v>
      </c>
      <c r="Z164" s="28" t="s">
        <v>163</v>
      </c>
      <c r="AA164" s="28" t="s">
        <v>163</v>
      </c>
      <c r="AB164" s="24" t="s">
        <v>153</v>
      </c>
      <c r="AC164" s="28" t="s">
        <v>163</v>
      </c>
      <c r="AD164" s="28" t="s">
        <v>163</v>
      </c>
      <c r="AE164" s="28" t="s">
        <v>163</v>
      </c>
      <c r="AF164" s="28" t="s">
        <v>163</v>
      </c>
      <c r="AG164" s="28" t="s">
        <v>163</v>
      </c>
      <c r="AH164" s="28" t="s">
        <v>163</v>
      </c>
      <c r="AI164" s="24" t="s">
        <v>153</v>
      </c>
      <c r="AJ164" s="28" t="s">
        <v>163</v>
      </c>
      <c r="AK164" s="28" t="s">
        <v>163</v>
      </c>
      <c r="AL164" s="28" t="s">
        <v>163</v>
      </c>
      <c r="AM164" s="28" t="s">
        <v>163</v>
      </c>
      <c r="AN164" s="28" t="s">
        <v>163</v>
      </c>
      <c r="AO164" s="28" t="s">
        <v>163</v>
      </c>
      <c r="AP164" s="23">
        <f>VALUE(0)</f>
        <v>0</v>
      </c>
      <c r="AQ164" s="23">
        <f>VALUE(0)</f>
        <v>0</v>
      </c>
      <c r="AR164" s="23">
        <f>VALUE(0)</f>
        <v>0</v>
      </c>
      <c r="AS164" s="23">
        <f>VALUE(0)</f>
        <v>0</v>
      </c>
      <c r="AT164" s="23">
        <f>VALUE(0)</f>
        <v>0</v>
      </c>
      <c r="AU164" s="23">
        <f>VALUE(14)</f>
        <v>14</v>
      </c>
      <c r="AV164" s="23">
        <f>VALUE(0)</f>
        <v>0</v>
      </c>
      <c r="AW164" s="23">
        <f>VALUE(0)</f>
        <v>0</v>
      </c>
      <c r="AX164" s="23" t="s">
        <v>171</v>
      </c>
      <c r="AY164" s="23" t="s">
        <v>428</v>
      </c>
      <c r="AZ164" s="23">
        <f>VALUE(0)</f>
        <v>0</v>
      </c>
      <c r="BA164" s="23">
        <f>VALUE(0)</f>
        <v>0</v>
      </c>
      <c r="BB164" s="23">
        <f>VALUE(0)</f>
        <v>0</v>
      </c>
      <c r="BC164" s="23">
        <f>VALUE(0)</f>
        <v>0</v>
      </c>
      <c r="BD164" s="23">
        <f>VALUE(0)</f>
        <v>0</v>
      </c>
      <c r="BE164" s="23">
        <f>VALUE(0)</f>
        <v>0</v>
      </c>
      <c r="BF164" s="23">
        <f>VALUE(0)</f>
        <v>0</v>
      </c>
      <c r="BG164" s="23">
        <f>VALUE(0)</f>
        <v>0</v>
      </c>
      <c r="BH164" s="23">
        <f>VALUE(0)</f>
        <v>0</v>
      </c>
      <c r="BI164" s="23">
        <f>VALUE(0)</f>
        <v>0</v>
      </c>
      <c r="BJ164" s="23">
        <f>VALUE(0)</f>
        <v>0</v>
      </c>
      <c r="BK164" s="12">
        <f>$AX$164*24</f>
        <v>5.833333333333333</v>
      </c>
      <c r="BL164" s="12">
        <f>$AY$164*24</f>
        <v>8.7666666666666675</v>
      </c>
      <c r="BM164" s="12">
        <f>$BJ$164*24</f>
        <v>0</v>
      </c>
      <c r="BN164" s="12">
        <f>VALUE($I$164)/100</f>
        <v>1</v>
      </c>
      <c r="BO164" s="12">
        <v>0</v>
      </c>
      <c r="BP164" s="12">
        <v>0</v>
      </c>
      <c r="BQ164" s="12">
        <v>0</v>
      </c>
      <c r="BR164" s="12">
        <v>0</v>
      </c>
      <c r="BS164" s="12">
        <v>0</v>
      </c>
      <c r="BT164" s="12">
        <v>0</v>
      </c>
      <c r="BU164" s="12">
        <v>0</v>
      </c>
      <c r="BV164" s="12">
        <v>0</v>
      </c>
      <c r="BW164" s="12">
        <v>0</v>
      </c>
      <c r="BX164" s="12">
        <v>0</v>
      </c>
      <c r="BY164" s="12">
        <v>0</v>
      </c>
      <c r="BZ164" s="12">
        <v>0</v>
      </c>
      <c r="CA164" s="12">
        <v>0</v>
      </c>
    </row>
    <row r="165" spans="1:79" hidden="1" x14ac:dyDescent="0.2">
      <c r="A165" s="12" t="s">
        <v>120</v>
      </c>
      <c r="B165" s="12" t="s">
        <v>124</v>
      </c>
      <c r="C165" s="12" t="s">
        <v>124</v>
      </c>
      <c r="D165" s="22" t="s">
        <v>378</v>
      </c>
      <c r="E165" s="22" t="s">
        <v>161</v>
      </c>
      <c r="F165" s="22" t="s">
        <v>1231</v>
      </c>
      <c r="G165" s="22" t="s">
        <v>850</v>
      </c>
      <c r="H165" s="22" t="s">
        <v>191</v>
      </c>
      <c r="I165" s="22" t="s">
        <v>151</v>
      </c>
      <c r="J165" s="22" t="s">
        <v>162</v>
      </c>
      <c r="K165" s="22" t="s">
        <v>83</v>
      </c>
      <c r="L165" s="54" t="s">
        <v>153</v>
      </c>
      <c r="M165" s="27" t="s">
        <v>153</v>
      </c>
      <c r="N165" s="24" t="s">
        <v>153</v>
      </c>
      <c r="O165" s="27" t="s">
        <v>153</v>
      </c>
      <c r="P165" s="27" t="s">
        <v>153</v>
      </c>
      <c r="Q165" s="27" t="s">
        <v>153</v>
      </c>
      <c r="R165" s="23" t="s">
        <v>1232</v>
      </c>
      <c r="S165" s="23" t="s">
        <v>1232</v>
      </c>
      <c r="T165" s="23" t="s">
        <v>1232</v>
      </c>
      <c r="U165" s="24" t="s">
        <v>153</v>
      </c>
      <c r="V165" s="54" t="s">
        <v>153</v>
      </c>
      <c r="W165" s="23" t="s">
        <v>153</v>
      </c>
      <c r="X165" s="23" t="s">
        <v>153</v>
      </c>
      <c r="Y165" s="23" t="s">
        <v>153</v>
      </c>
      <c r="Z165" s="23" t="s">
        <v>153</v>
      </c>
      <c r="AA165" s="23" t="s">
        <v>153</v>
      </c>
      <c r="AB165" s="24" t="s">
        <v>153</v>
      </c>
      <c r="AC165" s="23" t="s">
        <v>153</v>
      </c>
      <c r="AD165" s="23" t="s">
        <v>153</v>
      </c>
      <c r="AE165" s="23" t="s">
        <v>153</v>
      </c>
      <c r="AF165" s="23" t="s">
        <v>153</v>
      </c>
      <c r="AG165" s="23" t="s">
        <v>153</v>
      </c>
      <c r="AH165" s="23" t="s">
        <v>153</v>
      </c>
      <c r="AI165" s="24" t="s">
        <v>153</v>
      </c>
      <c r="AJ165" s="23" t="s">
        <v>153</v>
      </c>
      <c r="AK165" s="23" t="s">
        <v>153</v>
      </c>
      <c r="AL165" s="23" t="s">
        <v>153</v>
      </c>
      <c r="AM165" s="23" t="s">
        <v>153</v>
      </c>
      <c r="AN165" s="23" t="s">
        <v>153</v>
      </c>
      <c r="AO165" s="23" t="s">
        <v>153</v>
      </c>
      <c r="AP165" s="23">
        <f>VALUE(0)</f>
        <v>0</v>
      </c>
      <c r="AQ165" s="23">
        <f>VALUE(0)</f>
        <v>0</v>
      </c>
      <c r="AR165" s="23">
        <f>VALUE(0)</f>
        <v>0</v>
      </c>
      <c r="AS165" s="23">
        <f>VALUE(0)</f>
        <v>0</v>
      </c>
      <c r="AT165" s="23">
        <f>VALUE(0)</f>
        <v>0</v>
      </c>
      <c r="AU165" s="23">
        <f>VALUE(0)</f>
        <v>0</v>
      </c>
      <c r="AV165" s="23">
        <f>VALUE(0)</f>
        <v>0</v>
      </c>
      <c r="AW165" s="23">
        <f>VALUE(0)</f>
        <v>0</v>
      </c>
      <c r="AX165" s="23">
        <f>VALUE(0)</f>
        <v>0</v>
      </c>
      <c r="AY165" s="23">
        <f>VALUE(0)</f>
        <v>0</v>
      </c>
      <c r="AZ165" s="23">
        <f>VALUE(0)</f>
        <v>0</v>
      </c>
      <c r="BA165" s="23">
        <f>VALUE(0)</f>
        <v>0</v>
      </c>
      <c r="BB165" s="23">
        <f>VALUE(0)</f>
        <v>0</v>
      </c>
      <c r="BC165" s="23">
        <f>VALUE(0)</f>
        <v>0</v>
      </c>
      <c r="BD165" s="23">
        <f>VALUE(3)</f>
        <v>3</v>
      </c>
      <c r="BE165" s="23">
        <f>VALUE(0)</f>
        <v>0</v>
      </c>
      <c r="BF165" s="23">
        <f>VALUE(0)</f>
        <v>0</v>
      </c>
      <c r="BG165" s="23">
        <f>VALUE(0)</f>
        <v>0</v>
      </c>
      <c r="BH165" s="23">
        <f>VALUE(0)</f>
        <v>0</v>
      </c>
      <c r="BI165" s="23">
        <f>VALUE(0)</f>
        <v>0</v>
      </c>
      <c r="BJ165" s="23">
        <f>VALUE(0)</f>
        <v>0</v>
      </c>
      <c r="BK165" s="12">
        <f>$AX$165*24</f>
        <v>0</v>
      </c>
      <c r="BL165" s="12">
        <f>$AY$165*24</f>
        <v>0</v>
      </c>
      <c r="BM165" s="12">
        <f>$BJ$165*24</f>
        <v>0</v>
      </c>
      <c r="BN165" s="12">
        <f>VALUE($I$165)/100</f>
        <v>1</v>
      </c>
      <c r="BO165" s="12">
        <v>0</v>
      </c>
      <c r="BP165" s="12">
        <v>0</v>
      </c>
      <c r="BQ165" s="12">
        <v>0</v>
      </c>
      <c r="BR165" s="12">
        <v>0</v>
      </c>
      <c r="BS165" s="12">
        <v>0</v>
      </c>
      <c r="BT165" s="12">
        <v>0</v>
      </c>
      <c r="BU165" s="12">
        <v>0</v>
      </c>
      <c r="BV165" s="12">
        <v>0</v>
      </c>
      <c r="BW165" s="12">
        <v>0</v>
      </c>
      <c r="BX165" s="12">
        <v>0</v>
      </c>
      <c r="BY165" s="12">
        <v>0</v>
      </c>
      <c r="BZ165" s="12">
        <v>0</v>
      </c>
      <c r="CA165" s="12">
        <v>0</v>
      </c>
    </row>
    <row r="166" spans="1:79" hidden="1" x14ac:dyDescent="0.2">
      <c r="A166" s="12" t="s">
        <v>120</v>
      </c>
      <c r="B166" s="12" t="s">
        <v>124</v>
      </c>
      <c r="C166" s="12" t="s">
        <v>124</v>
      </c>
      <c r="D166" s="22" t="s">
        <v>389</v>
      </c>
      <c r="E166" s="22" t="s">
        <v>161</v>
      </c>
      <c r="F166" s="22" t="s">
        <v>851</v>
      </c>
      <c r="G166" s="22" t="s">
        <v>852</v>
      </c>
      <c r="H166" s="22" t="s">
        <v>279</v>
      </c>
      <c r="I166" s="22" t="s">
        <v>151</v>
      </c>
      <c r="J166" s="22" t="s">
        <v>162</v>
      </c>
      <c r="K166" s="22" t="s">
        <v>83</v>
      </c>
      <c r="L166" s="54" t="s">
        <v>153</v>
      </c>
      <c r="M166" s="27" t="s">
        <v>153</v>
      </c>
      <c r="N166" s="24" t="s">
        <v>153</v>
      </c>
      <c r="O166" s="23" t="s">
        <v>153</v>
      </c>
      <c r="P166" s="23" t="s">
        <v>153</v>
      </c>
      <c r="Q166" s="25" t="s">
        <v>1233</v>
      </c>
      <c r="R166" s="25" t="s">
        <v>1233</v>
      </c>
      <c r="S166" s="23" t="s">
        <v>380</v>
      </c>
      <c r="T166" s="23" t="s">
        <v>380</v>
      </c>
      <c r="U166" s="24" t="s">
        <v>153</v>
      </c>
      <c r="V166" s="54" t="s">
        <v>153</v>
      </c>
      <c r="W166" s="23" t="s">
        <v>380</v>
      </c>
      <c r="X166" s="23" t="s">
        <v>380</v>
      </c>
      <c r="Y166" s="23" t="s">
        <v>380</v>
      </c>
      <c r="Z166" s="23" t="s">
        <v>380</v>
      </c>
      <c r="AA166" s="23" t="s">
        <v>380</v>
      </c>
      <c r="AB166" s="24" t="s">
        <v>153</v>
      </c>
      <c r="AC166" s="23" t="s">
        <v>388</v>
      </c>
      <c r="AD166" s="23" t="s">
        <v>388</v>
      </c>
      <c r="AE166" s="23" t="s">
        <v>388</v>
      </c>
      <c r="AF166" s="23" t="s">
        <v>388</v>
      </c>
      <c r="AG166" s="23" t="s">
        <v>388</v>
      </c>
      <c r="AH166" s="23" t="s">
        <v>388</v>
      </c>
      <c r="AI166" s="24" t="s">
        <v>153</v>
      </c>
      <c r="AJ166" s="23" t="s">
        <v>388</v>
      </c>
      <c r="AK166" s="23" t="s">
        <v>388</v>
      </c>
      <c r="AL166" s="23" t="s">
        <v>388</v>
      </c>
      <c r="AM166" s="23" t="s">
        <v>388</v>
      </c>
      <c r="AN166" s="23" t="s">
        <v>388</v>
      </c>
      <c r="AO166" s="23" t="s">
        <v>388</v>
      </c>
      <c r="AP166" s="23">
        <f>VALUE(0)</f>
        <v>0</v>
      </c>
      <c r="AQ166" s="23">
        <f>VALUE(0)</f>
        <v>0</v>
      </c>
      <c r="AR166" s="23">
        <f>VALUE(0)</f>
        <v>0</v>
      </c>
      <c r="AS166" s="23">
        <f>VALUE(0)</f>
        <v>0</v>
      </c>
      <c r="AT166" s="23">
        <f>VALUE(0)</f>
        <v>0</v>
      </c>
      <c r="AU166" s="23">
        <f>VALUE(0)</f>
        <v>0</v>
      </c>
      <c r="AV166" s="23">
        <f>VALUE(0)</f>
        <v>0</v>
      </c>
      <c r="AW166" s="23">
        <f>VALUE(0)</f>
        <v>0</v>
      </c>
      <c r="AX166" s="23">
        <f>VALUE(0)</f>
        <v>0</v>
      </c>
      <c r="AY166" s="23">
        <f>VALUE(0)</f>
        <v>0</v>
      </c>
      <c r="AZ166" s="23">
        <f>VALUE(0)</f>
        <v>0</v>
      </c>
      <c r="BA166" s="23">
        <f>VALUE(0)</f>
        <v>0</v>
      </c>
      <c r="BB166" s="23">
        <f>VALUE(0)</f>
        <v>0</v>
      </c>
      <c r="BC166" s="23">
        <f>VALUE(0)</f>
        <v>0</v>
      </c>
      <c r="BD166" s="23">
        <f>VALUE(2)</f>
        <v>2</v>
      </c>
      <c r="BE166" s="23">
        <f>VALUE(0)</f>
        <v>0</v>
      </c>
      <c r="BF166" s="23">
        <f>VALUE(0)</f>
        <v>0</v>
      </c>
      <c r="BG166" s="23">
        <f>VALUE(0)</f>
        <v>0</v>
      </c>
      <c r="BH166" s="23">
        <f>VALUE(0)</f>
        <v>0</v>
      </c>
      <c r="BI166" s="23">
        <f>VALUE(0)</f>
        <v>0</v>
      </c>
      <c r="BJ166" s="23">
        <f>VALUE(0)</f>
        <v>0</v>
      </c>
      <c r="BK166" s="12">
        <f>$AX$166*24</f>
        <v>0</v>
      </c>
      <c r="BL166" s="12">
        <f>$AY$166*24</f>
        <v>0</v>
      </c>
      <c r="BM166" s="12">
        <f>$BJ$166*24</f>
        <v>0</v>
      </c>
      <c r="BN166" s="12">
        <f>VALUE($I$166)/100</f>
        <v>1</v>
      </c>
      <c r="BO166" s="12">
        <v>0</v>
      </c>
      <c r="BP166" s="12">
        <v>0</v>
      </c>
      <c r="BQ166" s="12">
        <v>0</v>
      </c>
      <c r="BR166" s="12">
        <v>2</v>
      </c>
      <c r="BS166" s="12">
        <v>0</v>
      </c>
      <c r="BT166" s="12">
        <v>0</v>
      </c>
      <c r="BU166" s="12">
        <v>0</v>
      </c>
      <c r="BV166" s="12">
        <v>0</v>
      </c>
      <c r="BW166" s="12">
        <v>0</v>
      </c>
      <c r="BX166" s="12">
        <v>0</v>
      </c>
      <c r="BY166" s="12">
        <v>0</v>
      </c>
      <c r="BZ166" s="12">
        <v>0</v>
      </c>
      <c r="CA166" s="12">
        <v>0</v>
      </c>
    </row>
    <row r="167" spans="1:79" hidden="1" x14ac:dyDescent="0.2">
      <c r="A167" s="12" t="s">
        <v>120</v>
      </c>
      <c r="B167" s="12" t="s">
        <v>124</v>
      </c>
      <c r="C167" s="12" t="s">
        <v>124</v>
      </c>
      <c r="D167" s="22" t="s">
        <v>379</v>
      </c>
      <c r="E167" s="22" t="s">
        <v>161</v>
      </c>
      <c r="F167" s="22" t="s">
        <v>853</v>
      </c>
      <c r="G167" s="22" t="s">
        <v>854</v>
      </c>
      <c r="H167" s="22" t="s">
        <v>166</v>
      </c>
      <c r="I167" s="22" t="s">
        <v>151</v>
      </c>
      <c r="J167" s="22" t="s">
        <v>162</v>
      </c>
      <c r="K167" s="22" t="s">
        <v>83</v>
      </c>
      <c r="L167" s="54" t="s">
        <v>153</v>
      </c>
      <c r="M167" s="23" t="s">
        <v>153</v>
      </c>
      <c r="N167" s="24" t="s">
        <v>153</v>
      </c>
      <c r="O167" s="23" t="s">
        <v>153</v>
      </c>
      <c r="P167" s="23" t="s">
        <v>153</v>
      </c>
      <c r="Q167" s="23" t="s">
        <v>153</v>
      </c>
      <c r="R167" s="23" t="s">
        <v>153</v>
      </c>
      <c r="S167" s="23" t="s">
        <v>153</v>
      </c>
      <c r="T167" s="23" t="s">
        <v>153</v>
      </c>
      <c r="U167" s="24" t="s">
        <v>153</v>
      </c>
      <c r="V167" s="54" t="s">
        <v>153</v>
      </c>
      <c r="W167" s="23" t="s">
        <v>153</v>
      </c>
      <c r="X167" s="23" t="s">
        <v>153</v>
      </c>
      <c r="Y167" s="23" t="s">
        <v>153</v>
      </c>
      <c r="Z167" s="23" t="s">
        <v>153</v>
      </c>
      <c r="AA167" s="23" t="s">
        <v>153</v>
      </c>
      <c r="AB167" s="24" t="s">
        <v>153</v>
      </c>
      <c r="AC167" s="23" t="s">
        <v>153</v>
      </c>
      <c r="AD167" s="23" t="s">
        <v>153</v>
      </c>
      <c r="AE167" s="23" t="s">
        <v>153</v>
      </c>
      <c r="AF167" s="23" t="s">
        <v>153</v>
      </c>
      <c r="AG167" s="23" t="s">
        <v>153</v>
      </c>
      <c r="AH167" s="23" t="s">
        <v>153</v>
      </c>
      <c r="AI167" s="24" t="s">
        <v>153</v>
      </c>
      <c r="AJ167" s="23" t="s">
        <v>153</v>
      </c>
      <c r="AK167" s="23" t="s">
        <v>153</v>
      </c>
      <c r="AL167" s="23" t="s">
        <v>153</v>
      </c>
      <c r="AM167" s="23" t="s">
        <v>153</v>
      </c>
      <c r="AN167" s="24" t="s">
        <v>156</v>
      </c>
      <c r="AO167" s="24" t="s">
        <v>156</v>
      </c>
      <c r="AP167" s="23">
        <f>VALUE(1)</f>
        <v>1</v>
      </c>
      <c r="AQ167" s="23">
        <f>VALUE(0)</f>
        <v>0</v>
      </c>
      <c r="AR167" s="23">
        <f>VALUE(0)</f>
        <v>0</v>
      </c>
      <c r="AS167" s="23">
        <f>VALUE(0)</f>
        <v>0</v>
      </c>
      <c r="AT167" s="23">
        <f>VALUE(0)</f>
        <v>0</v>
      </c>
      <c r="AU167" s="23">
        <f>VALUE(0)</f>
        <v>0</v>
      </c>
      <c r="AV167" s="23">
        <f>VALUE(1)</f>
        <v>1</v>
      </c>
      <c r="AW167" s="23">
        <f>VALUE(3)</f>
        <v>3</v>
      </c>
      <c r="AX167" s="23" t="s">
        <v>1234</v>
      </c>
      <c r="AY167" s="23">
        <f>VALUE(0)</f>
        <v>0</v>
      </c>
      <c r="AZ167" s="23">
        <f>VALUE(0)</f>
        <v>0</v>
      </c>
      <c r="BA167" s="23">
        <f>VALUE(0)</f>
        <v>0</v>
      </c>
      <c r="BB167" s="23">
        <f>VALUE(0)</f>
        <v>0</v>
      </c>
      <c r="BC167" s="23">
        <f>VALUE(0)</f>
        <v>0</v>
      </c>
      <c r="BD167" s="23">
        <f>VALUE(0)</f>
        <v>0</v>
      </c>
      <c r="BE167" s="23">
        <f>VALUE(0)</f>
        <v>0</v>
      </c>
      <c r="BF167" s="23">
        <f>VALUE(0)</f>
        <v>0</v>
      </c>
      <c r="BG167" s="23">
        <f>VALUE(0)</f>
        <v>0</v>
      </c>
      <c r="BH167" s="23">
        <f>VALUE(0)</f>
        <v>0</v>
      </c>
      <c r="BI167" s="23">
        <f>VALUE(0)</f>
        <v>0</v>
      </c>
      <c r="BJ167" s="23">
        <f>VALUE(0)</f>
        <v>0</v>
      </c>
      <c r="BK167" s="12">
        <f>$AX$167*24</f>
        <v>9.8833333333333329</v>
      </c>
      <c r="BL167" s="12">
        <f>$AY$167*24</f>
        <v>0</v>
      </c>
      <c r="BM167" s="12">
        <f>$BJ$167*24</f>
        <v>0</v>
      </c>
      <c r="BN167" s="12">
        <f>VALUE($I$167)/100</f>
        <v>1</v>
      </c>
      <c r="BO167" s="12">
        <v>0</v>
      </c>
      <c r="BP167" s="12">
        <v>0</v>
      </c>
      <c r="BQ167" s="12">
        <v>0</v>
      </c>
      <c r="BR167" s="12">
        <v>0</v>
      </c>
      <c r="BS167" s="12">
        <v>0</v>
      </c>
      <c r="BT167" s="12">
        <v>0</v>
      </c>
      <c r="BU167" s="12">
        <v>0</v>
      </c>
      <c r="BV167" s="12">
        <v>0</v>
      </c>
      <c r="BW167" s="12">
        <v>0</v>
      </c>
      <c r="BX167" s="12">
        <v>0</v>
      </c>
      <c r="BY167" s="12">
        <v>0</v>
      </c>
      <c r="BZ167" s="12">
        <v>0</v>
      </c>
      <c r="CA167" s="12">
        <v>0</v>
      </c>
    </row>
    <row r="168" spans="1:79" x14ac:dyDescent="0.2">
      <c r="A168" s="12" t="s">
        <v>120</v>
      </c>
      <c r="B168" s="12" t="s">
        <v>124</v>
      </c>
      <c r="C168" s="12" t="s">
        <v>124</v>
      </c>
      <c r="D168" s="22" t="s">
        <v>429</v>
      </c>
      <c r="E168" s="22" t="s">
        <v>161</v>
      </c>
      <c r="F168" s="22" t="s">
        <v>1235</v>
      </c>
      <c r="G168" s="22" t="s">
        <v>855</v>
      </c>
      <c r="H168" s="22" t="s">
        <v>166</v>
      </c>
      <c r="I168" s="22" t="s">
        <v>151</v>
      </c>
      <c r="J168" s="22" t="s">
        <v>162</v>
      </c>
      <c r="K168" s="22" t="s">
        <v>83</v>
      </c>
      <c r="L168" s="54" t="s">
        <v>153</v>
      </c>
      <c r="M168" s="29" t="s">
        <v>1175</v>
      </c>
      <c r="N168" s="24" t="s">
        <v>153</v>
      </c>
      <c r="O168" s="29" t="s">
        <v>1175</v>
      </c>
      <c r="P168" s="29" t="s">
        <v>1175</v>
      </c>
      <c r="Q168" s="29" t="s">
        <v>1175</v>
      </c>
      <c r="R168" s="29" t="s">
        <v>1175</v>
      </c>
      <c r="S168" s="29" t="s">
        <v>1175</v>
      </c>
      <c r="T168" s="29" t="s">
        <v>1175</v>
      </c>
      <c r="U168" s="24" t="s">
        <v>153</v>
      </c>
      <c r="V168" s="54" t="s">
        <v>153</v>
      </c>
      <c r="W168" s="29" t="s">
        <v>1175</v>
      </c>
      <c r="X168" s="29" t="s">
        <v>1175</v>
      </c>
      <c r="Y168" s="29" t="s">
        <v>1175</v>
      </c>
      <c r="Z168" s="29" t="s">
        <v>1175</v>
      </c>
      <c r="AA168" s="29" t="s">
        <v>1175</v>
      </c>
      <c r="AB168" s="24" t="s">
        <v>153</v>
      </c>
      <c r="AC168" s="23" t="s">
        <v>153</v>
      </c>
      <c r="AD168" s="23" t="s">
        <v>153</v>
      </c>
      <c r="AE168" s="23" t="s">
        <v>153</v>
      </c>
      <c r="AF168" s="23" t="s">
        <v>153</v>
      </c>
      <c r="AG168" s="24" t="s">
        <v>156</v>
      </c>
      <c r="AH168" s="24" t="s">
        <v>156</v>
      </c>
      <c r="AI168" s="24" t="s">
        <v>153</v>
      </c>
      <c r="AJ168" s="23" t="s">
        <v>153</v>
      </c>
      <c r="AK168" s="23" t="s">
        <v>153</v>
      </c>
      <c r="AL168" s="23" t="s">
        <v>153</v>
      </c>
      <c r="AM168" s="23" t="s">
        <v>153</v>
      </c>
      <c r="AN168" s="23" t="s">
        <v>153</v>
      </c>
      <c r="AO168" s="23" t="s">
        <v>153</v>
      </c>
      <c r="AP168" s="23">
        <f>VALUE(0)</f>
        <v>0</v>
      </c>
      <c r="AQ168" s="23">
        <f>VALUE(0)</f>
        <v>0</v>
      </c>
      <c r="AR168" s="23">
        <f>VALUE(12)</f>
        <v>12</v>
      </c>
      <c r="AS168" s="23">
        <f>VALUE(0)</f>
        <v>0</v>
      </c>
      <c r="AT168" s="23">
        <f>VALUE(0)</f>
        <v>0</v>
      </c>
      <c r="AU168" s="23">
        <f>VALUE(0)</f>
        <v>0</v>
      </c>
      <c r="AV168" s="23">
        <f>VALUE(32)</f>
        <v>32</v>
      </c>
      <c r="AW168" s="23">
        <f>VALUE(4)</f>
        <v>4</v>
      </c>
      <c r="AX168" s="23" t="s">
        <v>430</v>
      </c>
      <c r="AY168" s="23">
        <f>VALUE(0)</f>
        <v>0</v>
      </c>
      <c r="AZ168" s="23">
        <f>VALUE(0)</f>
        <v>0</v>
      </c>
      <c r="BA168" s="23">
        <f>VALUE(0)</f>
        <v>0</v>
      </c>
      <c r="BB168" s="23">
        <f>VALUE(0)</f>
        <v>0</v>
      </c>
      <c r="BC168" s="23">
        <f>VALUE(0)</f>
        <v>0</v>
      </c>
      <c r="BD168" s="23">
        <f>VALUE(0)</f>
        <v>0</v>
      </c>
      <c r="BE168" s="23">
        <f>VALUE(0)</f>
        <v>0</v>
      </c>
      <c r="BF168" s="23">
        <f>VALUE(0)</f>
        <v>0</v>
      </c>
      <c r="BG168" s="23">
        <f>VALUE(0)</f>
        <v>0</v>
      </c>
      <c r="BH168" s="23">
        <f>VALUE(0)</f>
        <v>0</v>
      </c>
      <c r="BI168" s="23">
        <f>VALUE(0)</f>
        <v>0</v>
      </c>
      <c r="BJ168" s="23">
        <f>VALUE(0)</f>
        <v>0</v>
      </c>
      <c r="BK168" s="12">
        <f>$AX$168*24</f>
        <v>28.216666666666665</v>
      </c>
      <c r="BL168" s="12">
        <f>$AY$168*24</f>
        <v>0</v>
      </c>
      <c r="BM168" s="12">
        <f>$BJ$168*24</f>
        <v>0</v>
      </c>
      <c r="BN168" s="12">
        <f>VALUE($I$168)/100</f>
        <v>1</v>
      </c>
      <c r="BO168" s="12">
        <v>0</v>
      </c>
      <c r="BP168" s="12">
        <v>0</v>
      </c>
      <c r="BQ168" s="12">
        <v>0</v>
      </c>
      <c r="BR168" s="12">
        <v>0</v>
      </c>
      <c r="BS168" s="12">
        <v>0</v>
      </c>
      <c r="BT168" s="12">
        <v>0</v>
      </c>
      <c r="BU168" s="12">
        <v>0</v>
      </c>
      <c r="BV168" s="12">
        <v>12</v>
      </c>
      <c r="BW168" s="12">
        <v>0</v>
      </c>
      <c r="BX168" s="12">
        <v>0</v>
      </c>
      <c r="BY168" s="12">
        <v>0</v>
      </c>
      <c r="BZ168" s="12">
        <v>0</v>
      </c>
      <c r="CA168" s="12">
        <v>0</v>
      </c>
    </row>
    <row r="169" spans="1:79" hidden="1" x14ac:dyDescent="0.2">
      <c r="A169" s="12" t="s">
        <v>120</v>
      </c>
      <c r="B169" s="12" t="s">
        <v>124</v>
      </c>
      <c r="C169" s="12" t="s">
        <v>124</v>
      </c>
      <c r="D169" s="22" t="s">
        <v>429</v>
      </c>
      <c r="E169" s="22" t="s">
        <v>161</v>
      </c>
      <c r="F169" s="22" t="s">
        <v>856</v>
      </c>
      <c r="G169" s="22" t="s">
        <v>857</v>
      </c>
      <c r="H169" s="22" t="s">
        <v>190</v>
      </c>
      <c r="I169" s="22" t="s">
        <v>151</v>
      </c>
      <c r="J169" s="22" t="s">
        <v>162</v>
      </c>
      <c r="K169" s="22" t="s">
        <v>83</v>
      </c>
      <c r="L169" s="54" t="s">
        <v>153</v>
      </c>
      <c r="M169" s="23" t="s">
        <v>153</v>
      </c>
      <c r="N169" s="24" t="s">
        <v>153</v>
      </c>
      <c r="O169" s="40" t="s">
        <v>153</v>
      </c>
      <c r="P169" s="23" t="s">
        <v>153</v>
      </c>
      <c r="Q169" s="23" t="s">
        <v>153</v>
      </c>
      <c r="R169" s="23" t="s">
        <v>153</v>
      </c>
      <c r="S169" s="23" t="s">
        <v>153</v>
      </c>
      <c r="T169" s="23" t="s">
        <v>153</v>
      </c>
      <c r="U169" s="24" t="s">
        <v>153</v>
      </c>
      <c r="V169" s="40" t="s">
        <v>153</v>
      </c>
      <c r="W169" s="40" t="s">
        <v>153</v>
      </c>
      <c r="X169" s="40" t="s">
        <v>153</v>
      </c>
      <c r="Y169" s="40" t="s">
        <v>153</v>
      </c>
      <c r="Z169" s="40" t="s">
        <v>153</v>
      </c>
      <c r="AA169" s="40" t="s">
        <v>153</v>
      </c>
      <c r="AB169" s="40" t="s">
        <v>153</v>
      </c>
      <c r="AC169" s="40" t="s">
        <v>153</v>
      </c>
      <c r="AD169" s="40" t="s">
        <v>153</v>
      </c>
      <c r="AE169" s="40" t="s">
        <v>153</v>
      </c>
      <c r="AF169" s="40" t="s">
        <v>153</v>
      </c>
      <c r="AG169" s="40" t="s">
        <v>153</v>
      </c>
      <c r="AH169" s="40" t="s">
        <v>153</v>
      </c>
      <c r="AI169" s="40" t="s">
        <v>153</v>
      </c>
      <c r="AJ169" s="40" t="s">
        <v>153</v>
      </c>
      <c r="AK169" s="40" t="s">
        <v>153</v>
      </c>
      <c r="AL169" s="40" t="s">
        <v>153</v>
      </c>
      <c r="AM169" s="40" t="s">
        <v>153</v>
      </c>
      <c r="AN169" s="40" t="s">
        <v>153</v>
      </c>
      <c r="AO169" s="40" t="s">
        <v>153</v>
      </c>
      <c r="AP169" s="23">
        <f>VALUE(0)</f>
        <v>0</v>
      </c>
      <c r="AQ169" s="23">
        <f>VALUE(0)</f>
        <v>0</v>
      </c>
      <c r="AR169" s="23">
        <f>VALUE(0)</f>
        <v>0</v>
      </c>
      <c r="AS169" s="23">
        <f>VALUE(0)</f>
        <v>0</v>
      </c>
      <c r="AT169" s="23">
        <f>VALUE(0)</f>
        <v>0</v>
      </c>
      <c r="AU169" s="23">
        <f>VALUE(0)</f>
        <v>0</v>
      </c>
      <c r="AV169" s="23">
        <f>VALUE(4)</f>
        <v>4</v>
      </c>
      <c r="AW169" s="23">
        <f>VALUE(0)</f>
        <v>0</v>
      </c>
      <c r="AX169" s="23" t="s">
        <v>171</v>
      </c>
      <c r="AY169" s="23">
        <f>VALUE(0)</f>
        <v>0</v>
      </c>
      <c r="AZ169" s="23">
        <f>VALUE(0)</f>
        <v>0</v>
      </c>
      <c r="BA169" s="23">
        <f>VALUE(0)</f>
        <v>0</v>
      </c>
      <c r="BB169" s="23">
        <f>VALUE(0)</f>
        <v>0</v>
      </c>
      <c r="BC169" s="23">
        <f>VALUE(0)</f>
        <v>0</v>
      </c>
      <c r="BD169" s="23">
        <f>VALUE(0)</f>
        <v>0</v>
      </c>
      <c r="BE169" s="23">
        <f>VALUE(0)</f>
        <v>0</v>
      </c>
      <c r="BF169" s="23">
        <f>VALUE(0)</f>
        <v>0</v>
      </c>
      <c r="BG169" s="23">
        <f>VALUE(0)</f>
        <v>0</v>
      </c>
      <c r="BH169" s="23">
        <f>VALUE(0)</f>
        <v>0</v>
      </c>
      <c r="BI169" s="23">
        <f>VALUE(0)</f>
        <v>0</v>
      </c>
      <c r="BJ169" s="23">
        <f>VALUE(0)</f>
        <v>0</v>
      </c>
      <c r="BK169" s="12">
        <f>$AX$169*24</f>
        <v>5.833333333333333</v>
      </c>
      <c r="BL169" s="12">
        <f>$AY$169*24</f>
        <v>0</v>
      </c>
      <c r="BM169" s="12">
        <f>$BJ$169*24</f>
        <v>0</v>
      </c>
      <c r="BN169" s="12">
        <f>VALUE($I$169)/100</f>
        <v>1</v>
      </c>
      <c r="BO169" s="12">
        <v>0</v>
      </c>
      <c r="BP169" s="12">
        <v>0</v>
      </c>
      <c r="BQ169" s="12">
        <v>0</v>
      </c>
      <c r="BR169" s="12">
        <v>0</v>
      </c>
      <c r="BS169" s="12">
        <v>0</v>
      </c>
      <c r="BT169" s="12">
        <v>0</v>
      </c>
      <c r="BU169" s="12">
        <v>0</v>
      </c>
      <c r="BV169" s="12">
        <v>0</v>
      </c>
      <c r="BW169" s="12">
        <v>0</v>
      </c>
      <c r="BX169" s="12">
        <v>0</v>
      </c>
      <c r="BY169" s="12">
        <v>0</v>
      </c>
      <c r="BZ169" s="12">
        <v>0</v>
      </c>
      <c r="CA169" s="12">
        <v>0</v>
      </c>
    </row>
    <row r="170" spans="1:79" x14ac:dyDescent="0.2">
      <c r="A170" s="12" t="s">
        <v>120</v>
      </c>
      <c r="B170" s="12" t="s">
        <v>124</v>
      </c>
      <c r="C170" s="12" t="s">
        <v>124</v>
      </c>
      <c r="D170" s="22" t="s">
        <v>431</v>
      </c>
      <c r="E170" s="22" t="s">
        <v>159</v>
      </c>
      <c r="F170" s="22" t="s">
        <v>858</v>
      </c>
      <c r="G170" s="22" t="s">
        <v>859</v>
      </c>
      <c r="H170" s="22" t="s">
        <v>150</v>
      </c>
      <c r="I170" s="22" t="s">
        <v>151</v>
      </c>
      <c r="J170" s="22" t="s">
        <v>162</v>
      </c>
      <c r="K170" s="22" t="s">
        <v>83</v>
      </c>
      <c r="L170" s="54" t="s">
        <v>153</v>
      </c>
      <c r="M170" s="28" t="s">
        <v>163</v>
      </c>
      <c r="N170" s="24" t="s">
        <v>153</v>
      </c>
      <c r="O170" s="28" t="s">
        <v>163</v>
      </c>
      <c r="P170" s="25" t="s">
        <v>388</v>
      </c>
      <c r="Q170" s="25" t="s">
        <v>388</v>
      </c>
      <c r="R170" s="25" t="s">
        <v>388</v>
      </c>
      <c r="S170" s="24" t="s">
        <v>156</v>
      </c>
      <c r="T170" s="24" t="s">
        <v>156</v>
      </c>
      <c r="U170" s="24" t="s">
        <v>153</v>
      </c>
      <c r="V170" s="54" t="s">
        <v>153</v>
      </c>
      <c r="W170" s="23" t="s">
        <v>429</v>
      </c>
      <c r="X170" s="23" t="s">
        <v>429</v>
      </c>
      <c r="Y170" s="23" t="s">
        <v>429</v>
      </c>
      <c r="Z170" s="23" t="s">
        <v>429</v>
      </c>
      <c r="AA170" s="23" t="s">
        <v>429</v>
      </c>
      <c r="AB170" s="24" t="s">
        <v>153</v>
      </c>
      <c r="AC170" s="25" t="s">
        <v>429</v>
      </c>
      <c r="AD170" s="25" t="s">
        <v>429</v>
      </c>
      <c r="AE170" s="25" t="s">
        <v>429</v>
      </c>
      <c r="AF170" s="25" t="s">
        <v>429</v>
      </c>
      <c r="AG170" s="29" t="s">
        <v>163</v>
      </c>
      <c r="AH170" s="29" t="s">
        <v>163</v>
      </c>
      <c r="AI170" s="24" t="s">
        <v>153</v>
      </c>
      <c r="AJ170" s="25" t="s">
        <v>1236</v>
      </c>
      <c r="AK170" s="23" t="s">
        <v>385</v>
      </c>
      <c r="AL170" s="23" t="s">
        <v>385</v>
      </c>
      <c r="AM170" s="23" t="s">
        <v>385</v>
      </c>
      <c r="AN170" s="23" t="s">
        <v>385</v>
      </c>
      <c r="AO170" s="23" t="s">
        <v>385</v>
      </c>
      <c r="AP170" s="23">
        <f>VALUE(0)</f>
        <v>0</v>
      </c>
      <c r="AQ170" s="23">
        <f>VALUE(0)</f>
        <v>0</v>
      </c>
      <c r="AR170" s="23">
        <f>VALUE(2)</f>
        <v>2</v>
      </c>
      <c r="AS170" s="23">
        <f>VALUE(0)</f>
        <v>0</v>
      </c>
      <c r="AT170" s="23">
        <f>VALUE(0)</f>
        <v>0</v>
      </c>
      <c r="AU170" s="23">
        <f>VALUE(2)</f>
        <v>2</v>
      </c>
      <c r="AV170" s="23">
        <f>VALUE(2)</f>
        <v>2</v>
      </c>
      <c r="AW170" s="23">
        <f>VALUE(0)</f>
        <v>0</v>
      </c>
      <c r="AX170" s="23" t="s">
        <v>1237</v>
      </c>
      <c r="AY170" s="23">
        <f>VALUE(0)</f>
        <v>0</v>
      </c>
      <c r="AZ170" s="23">
        <f>VALUE(0)</f>
        <v>0</v>
      </c>
      <c r="BA170" s="23">
        <f>VALUE(0)</f>
        <v>0</v>
      </c>
      <c r="BB170" s="23">
        <f>VALUE(0)</f>
        <v>0</v>
      </c>
      <c r="BC170" s="23">
        <f>VALUE(0)</f>
        <v>0</v>
      </c>
      <c r="BD170" s="23">
        <f>VALUE(1)</f>
        <v>1</v>
      </c>
      <c r="BE170" s="23">
        <f>VALUE(0)</f>
        <v>0</v>
      </c>
      <c r="BF170" s="23">
        <f>VALUE(0)</f>
        <v>0</v>
      </c>
      <c r="BG170" s="23">
        <f>VALUE(0)</f>
        <v>0</v>
      </c>
      <c r="BH170" s="23">
        <f>VALUE(0)</f>
        <v>0</v>
      </c>
      <c r="BI170" s="23">
        <f>VALUE(0)</f>
        <v>0</v>
      </c>
      <c r="BJ170" s="23">
        <f>VALUE(0)</f>
        <v>0</v>
      </c>
      <c r="BK170" s="12">
        <f>$AX$170*24</f>
        <v>12.866666666666667</v>
      </c>
      <c r="BL170" s="12">
        <f>$AY$170*24</f>
        <v>0</v>
      </c>
      <c r="BM170" s="12">
        <f>$BJ$170*24</f>
        <v>0</v>
      </c>
      <c r="BN170" s="12">
        <f>VALUE($I$170)/100</f>
        <v>1</v>
      </c>
      <c r="BO170" s="12">
        <v>0</v>
      </c>
      <c r="BP170" s="12">
        <v>0</v>
      </c>
      <c r="BQ170" s="12">
        <v>0</v>
      </c>
      <c r="BR170" s="12">
        <v>1</v>
      </c>
      <c r="BS170" s="12">
        <v>0</v>
      </c>
      <c r="BT170" s="12">
        <v>2</v>
      </c>
      <c r="BU170" s="12">
        <v>0</v>
      </c>
      <c r="BV170" s="12">
        <v>0</v>
      </c>
      <c r="BW170" s="12">
        <v>0</v>
      </c>
      <c r="BX170" s="12">
        <v>0</v>
      </c>
      <c r="BY170" s="12">
        <v>0</v>
      </c>
      <c r="BZ170" s="12">
        <v>0</v>
      </c>
      <c r="CA170" s="12">
        <v>0</v>
      </c>
    </row>
    <row r="171" spans="1:79" hidden="1" x14ac:dyDescent="0.2">
      <c r="A171" s="12" t="s">
        <v>120</v>
      </c>
      <c r="B171" s="12" t="s">
        <v>124</v>
      </c>
      <c r="C171" s="12" t="s">
        <v>124</v>
      </c>
      <c r="D171" s="22" t="s">
        <v>433</v>
      </c>
      <c r="E171" s="22" t="s">
        <v>332</v>
      </c>
      <c r="F171" s="22" t="s">
        <v>860</v>
      </c>
      <c r="G171" s="22" t="s">
        <v>861</v>
      </c>
      <c r="H171" s="22" t="s">
        <v>150</v>
      </c>
      <c r="I171" s="22" t="s">
        <v>151</v>
      </c>
      <c r="J171" s="22" t="s">
        <v>162</v>
      </c>
      <c r="K171" s="22" t="s">
        <v>83</v>
      </c>
      <c r="L171" s="54" t="s">
        <v>153</v>
      </c>
      <c r="M171" s="23" t="s">
        <v>385</v>
      </c>
      <c r="N171" s="24" t="s">
        <v>153</v>
      </c>
      <c r="O171" s="23" t="s">
        <v>418</v>
      </c>
      <c r="P171" s="23" t="s">
        <v>418</v>
      </c>
      <c r="Q171" s="23" t="s">
        <v>389</v>
      </c>
      <c r="R171" s="23" t="s">
        <v>389</v>
      </c>
      <c r="S171" s="23" t="s">
        <v>389</v>
      </c>
      <c r="T171" s="23" t="s">
        <v>389</v>
      </c>
      <c r="U171" s="24" t="s">
        <v>153</v>
      </c>
      <c r="V171" s="54" t="s">
        <v>153</v>
      </c>
      <c r="W171" s="23" t="s">
        <v>388</v>
      </c>
      <c r="X171" s="23" t="s">
        <v>388</v>
      </c>
      <c r="Y171" s="23" t="s">
        <v>388</v>
      </c>
      <c r="Z171" s="24" t="s">
        <v>156</v>
      </c>
      <c r="AA171" s="24" t="s">
        <v>156</v>
      </c>
      <c r="AB171" s="24" t="s">
        <v>153</v>
      </c>
      <c r="AC171" s="24" t="s">
        <v>156</v>
      </c>
      <c r="AD171" s="24" t="s">
        <v>156</v>
      </c>
      <c r="AE171" s="28" t="s">
        <v>163</v>
      </c>
      <c r="AF171" s="28" t="s">
        <v>163</v>
      </c>
      <c r="AG171" s="28" t="s">
        <v>163</v>
      </c>
      <c r="AH171" s="28" t="s">
        <v>163</v>
      </c>
      <c r="AI171" s="24" t="s">
        <v>153</v>
      </c>
      <c r="AJ171" s="25" t="s">
        <v>429</v>
      </c>
      <c r="AK171" s="25" t="s">
        <v>429</v>
      </c>
      <c r="AL171" s="23" t="s">
        <v>419</v>
      </c>
      <c r="AM171" s="23" t="s">
        <v>419</v>
      </c>
      <c r="AN171" s="23" t="s">
        <v>384</v>
      </c>
      <c r="AO171" s="23" t="s">
        <v>384</v>
      </c>
      <c r="AP171" s="23">
        <f>VALUE(0)</f>
        <v>0</v>
      </c>
      <c r="AQ171" s="23">
        <f>VALUE(0)</f>
        <v>0</v>
      </c>
      <c r="AR171" s="23">
        <f>VALUE(0)</f>
        <v>0</v>
      </c>
      <c r="AS171" s="23">
        <f>VALUE(0)</f>
        <v>0</v>
      </c>
      <c r="AT171" s="23">
        <f>VALUE(0)</f>
        <v>0</v>
      </c>
      <c r="AU171" s="23">
        <f>VALUE(4)</f>
        <v>4</v>
      </c>
      <c r="AV171" s="23">
        <f>VALUE(4)</f>
        <v>4</v>
      </c>
      <c r="AW171" s="23">
        <f>VALUE(0)</f>
        <v>0</v>
      </c>
      <c r="AX171" s="23" t="s">
        <v>176</v>
      </c>
      <c r="AY171" s="23" t="s">
        <v>176</v>
      </c>
      <c r="AZ171" s="23">
        <f>VALUE(0)</f>
        <v>0</v>
      </c>
      <c r="BA171" s="23">
        <f>VALUE(0)</f>
        <v>0</v>
      </c>
      <c r="BB171" s="23">
        <f>VALUE(0)</f>
        <v>0</v>
      </c>
      <c r="BC171" s="23">
        <f>VALUE(0)</f>
        <v>0</v>
      </c>
      <c r="BD171" s="23">
        <f>VALUE(0)</f>
        <v>0</v>
      </c>
      <c r="BE171" s="23">
        <f>VALUE(0)</f>
        <v>0</v>
      </c>
      <c r="BF171" s="23">
        <f>VALUE(0)</f>
        <v>0</v>
      </c>
      <c r="BG171" s="23">
        <f>VALUE(0)</f>
        <v>0</v>
      </c>
      <c r="BH171" s="23">
        <f>VALUE(0)</f>
        <v>0</v>
      </c>
      <c r="BI171" s="23">
        <f>VALUE(0)</f>
        <v>0</v>
      </c>
      <c r="BJ171" s="23">
        <f>VALUE(0)</f>
        <v>0</v>
      </c>
      <c r="BK171" s="12">
        <f>$AX$171*24</f>
        <v>0</v>
      </c>
      <c r="BL171" s="12">
        <f>$AY$171*24</f>
        <v>0</v>
      </c>
      <c r="BM171" s="12">
        <f>$BJ$171*24</f>
        <v>0</v>
      </c>
      <c r="BN171" s="12">
        <f>VALUE($I$171)/100</f>
        <v>1</v>
      </c>
      <c r="BO171" s="12">
        <v>0</v>
      </c>
      <c r="BP171" s="12">
        <v>0</v>
      </c>
      <c r="BQ171" s="12">
        <v>0</v>
      </c>
      <c r="BR171" s="12">
        <v>0</v>
      </c>
      <c r="BS171" s="12">
        <v>0</v>
      </c>
      <c r="BT171" s="12">
        <v>0</v>
      </c>
      <c r="BU171" s="12">
        <v>0</v>
      </c>
      <c r="BV171" s="12">
        <v>0</v>
      </c>
      <c r="BW171" s="12">
        <v>0</v>
      </c>
      <c r="BX171" s="12">
        <v>0</v>
      </c>
      <c r="BY171" s="12">
        <v>0</v>
      </c>
      <c r="BZ171" s="12">
        <v>0</v>
      </c>
      <c r="CA171" s="12">
        <v>0</v>
      </c>
    </row>
    <row r="172" spans="1:79" hidden="1" x14ac:dyDescent="0.2">
      <c r="A172" s="12" t="s">
        <v>120</v>
      </c>
      <c r="B172" s="12" t="s">
        <v>124</v>
      </c>
      <c r="C172" s="12" t="s">
        <v>124</v>
      </c>
      <c r="D172" s="22" t="s">
        <v>434</v>
      </c>
      <c r="E172" s="22" t="s">
        <v>332</v>
      </c>
      <c r="F172" s="22" t="s">
        <v>862</v>
      </c>
      <c r="G172" s="22" t="s">
        <v>863</v>
      </c>
      <c r="H172" s="22" t="s">
        <v>150</v>
      </c>
      <c r="I172" s="22" t="s">
        <v>151</v>
      </c>
      <c r="J172" s="22" t="s">
        <v>162</v>
      </c>
      <c r="K172" s="22" t="s">
        <v>83</v>
      </c>
      <c r="L172" s="54" t="s">
        <v>153</v>
      </c>
      <c r="M172" s="23" t="s">
        <v>423</v>
      </c>
      <c r="N172" s="24" t="s">
        <v>153</v>
      </c>
      <c r="O172" s="23" t="s">
        <v>420</v>
      </c>
      <c r="P172" s="23" t="s">
        <v>420</v>
      </c>
      <c r="Q172" s="24" t="s">
        <v>156</v>
      </c>
      <c r="R172" s="24" t="s">
        <v>156</v>
      </c>
      <c r="S172" s="25" t="s">
        <v>388</v>
      </c>
      <c r="T172" s="25" t="s">
        <v>388</v>
      </c>
      <c r="U172" s="24" t="s">
        <v>153</v>
      </c>
      <c r="V172" s="54" t="s">
        <v>153</v>
      </c>
      <c r="W172" s="23" t="s">
        <v>382</v>
      </c>
      <c r="X172" s="25" t="s">
        <v>1238</v>
      </c>
      <c r="Y172" s="25" t="s">
        <v>1238</v>
      </c>
      <c r="Z172" s="23" t="s">
        <v>423</v>
      </c>
      <c r="AA172" s="23" t="s">
        <v>423</v>
      </c>
      <c r="AB172" s="24" t="s">
        <v>153</v>
      </c>
      <c r="AC172" s="23" t="s">
        <v>426</v>
      </c>
      <c r="AD172" s="23" t="s">
        <v>426</v>
      </c>
      <c r="AE172" s="23" t="s">
        <v>389</v>
      </c>
      <c r="AF172" s="23" t="s">
        <v>389</v>
      </c>
      <c r="AG172" s="23" t="s">
        <v>429</v>
      </c>
      <c r="AH172" s="23" t="s">
        <v>429</v>
      </c>
      <c r="AI172" s="24" t="s">
        <v>153</v>
      </c>
      <c r="AJ172" s="23" t="s">
        <v>418</v>
      </c>
      <c r="AK172" s="23" t="s">
        <v>418</v>
      </c>
      <c r="AL172" s="23" t="s">
        <v>390</v>
      </c>
      <c r="AM172" s="23" t="s">
        <v>390</v>
      </c>
      <c r="AN172" s="23" t="s">
        <v>379</v>
      </c>
      <c r="AO172" s="23" t="s">
        <v>379</v>
      </c>
      <c r="AP172" s="23">
        <f>VALUE(0)</f>
        <v>0</v>
      </c>
      <c r="AQ172" s="23">
        <f>VALUE(0)</f>
        <v>0</v>
      </c>
      <c r="AR172" s="23">
        <f>VALUE(0)</f>
        <v>0</v>
      </c>
      <c r="AS172" s="23">
        <f>VALUE(0)</f>
        <v>0</v>
      </c>
      <c r="AT172" s="23">
        <f>VALUE(0)</f>
        <v>0</v>
      </c>
      <c r="AU172" s="23">
        <f>VALUE(0)</f>
        <v>0</v>
      </c>
      <c r="AV172" s="23">
        <f>VALUE(2)</f>
        <v>2</v>
      </c>
      <c r="AW172" s="23">
        <f>VALUE(0)</f>
        <v>0</v>
      </c>
      <c r="AX172" s="23" t="s">
        <v>171</v>
      </c>
      <c r="AY172" s="23">
        <f>VALUE(0)</f>
        <v>0</v>
      </c>
      <c r="AZ172" s="23">
        <f>VALUE(0)</f>
        <v>0</v>
      </c>
      <c r="BA172" s="23">
        <f>VALUE(0)</f>
        <v>0</v>
      </c>
      <c r="BB172" s="23">
        <f>VALUE(0)</f>
        <v>0</v>
      </c>
      <c r="BC172" s="23">
        <f>VALUE(0)</f>
        <v>0</v>
      </c>
      <c r="BD172" s="23">
        <f>VALUE(2)</f>
        <v>2</v>
      </c>
      <c r="BE172" s="23">
        <f>VALUE(0)</f>
        <v>0</v>
      </c>
      <c r="BF172" s="23">
        <f>VALUE(0)</f>
        <v>0</v>
      </c>
      <c r="BG172" s="23">
        <f>VALUE(0)</f>
        <v>0</v>
      </c>
      <c r="BH172" s="23">
        <f>VALUE(0)</f>
        <v>0</v>
      </c>
      <c r="BI172" s="23">
        <f>VALUE(0)</f>
        <v>0</v>
      </c>
      <c r="BJ172" s="23">
        <f>VALUE(0)</f>
        <v>0</v>
      </c>
      <c r="BK172" s="12">
        <f>$AX$172*24</f>
        <v>5.833333333333333</v>
      </c>
      <c r="BL172" s="12">
        <f>$AY$172*24</f>
        <v>0</v>
      </c>
      <c r="BM172" s="12">
        <f>$BJ$172*24</f>
        <v>0</v>
      </c>
      <c r="BN172" s="12">
        <f>VALUE($I$172)/100</f>
        <v>1</v>
      </c>
      <c r="BO172" s="12">
        <v>0</v>
      </c>
      <c r="BP172" s="12">
        <v>0</v>
      </c>
      <c r="BQ172" s="12">
        <v>0</v>
      </c>
      <c r="BR172" s="12">
        <v>2</v>
      </c>
      <c r="BS172" s="12">
        <v>0</v>
      </c>
      <c r="BT172" s="12">
        <v>0</v>
      </c>
      <c r="BU172" s="12">
        <v>0</v>
      </c>
      <c r="BV172" s="12">
        <v>0</v>
      </c>
      <c r="BW172" s="12">
        <v>0</v>
      </c>
      <c r="BX172" s="12">
        <v>0</v>
      </c>
      <c r="BY172" s="12">
        <v>0</v>
      </c>
      <c r="BZ172" s="12">
        <v>0</v>
      </c>
      <c r="CA172" s="12">
        <v>0</v>
      </c>
    </row>
    <row r="173" spans="1:79" hidden="1" x14ac:dyDescent="0.2">
      <c r="A173" s="12" t="s">
        <v>120</v>
      </c>
      <c r="B173" s="12" t="s">
        <v>124</v>
      </c>
      <c r="C173" s="12" t="s">
        <v>124</v>
      </c>
      <c r="D173" s="22" t="s">
        <v>435</v>
      </c>
      <c r="E173" s="22" t="s">
        <v>173</v>
      </c>
      <c r="F173" s="22" t="s">
        <v>1239</v>
      </c>
      <c r="G173" s="22" t="s">
        <v>864</v>
      </c>
      <c r="H173" s="22" t="s">
        <v>150</v>
      </c>
      <c r="I173" s="22" t="s">
        <v>151</v>
      </c>
      <c r="J173" s="22" t="s">
        <v>162</v>
      </c>
      <c r="K173" s="22" t="s">
        <v>83</v>
      </c>
      <c r="L173" s="54" t="s">
        <v>153</v>
      </c>
      <c r="M173" s="23" t="s">
        <v>389</v>
      </c>
      <c r="N173" s="24" t="s">
        <v>153</v>
      </c>
      <c r="O173" s="23" t="s">
        <v>419</v>
      </c>
      <c r="P173" s="23" t="s">
        <v>419</v>
      </c>
      <c r="Q173" s="23" t="s">
        <v>419</v>
      </c>
      <c r="R173" s="23" t="s">
        <v>419</v>
      </c>
      <c r="S173" s="23" t="s">
        <v>419</v>
      </c>
      <c r="T173" s="23" t="s">
        <v>419</v>
      </c>
      <c r="U173" s="24" t="s">
        <v>153</v>
      </c>
      <c r="V173" s="54" t="s">
        <v>153</v>
      </c>
      <c r="W173" s="23" t="s">
        <v>389</v>
      </c>
      <c r="X173" s="23" t="s">
        <v>389</v>
      </c>
      <c r="Y173" s="23" t="s">
        <v>389</v>
      </c>
      <c r="Z173" s="23" t="s">
        <v>389</v>
      </c>
      <c r="AA173" s="23" t="s">
        <v>389</v>
      </c>
      <c r="AB173" s="24" t="s">
        <v>153</v>
      </c>
      <c r="AC173" s="23" t="s">
        <v>389</v>
      </c>
      <c r="AD173" s="23" t="s">
        <v>389</v>
      </c>
      <c r="AE173" s="24" t="s">
        <v>156</v>
      </c>
      <c r="AF173" s="24" t="s">
        <v>156</v>
      </c>
      <c r="AG173" s="23" t="s">
        <v>389</v>
      </c>
      <c r="AH173" s="23" t="s">
        <v>389</v>
      </c>
      <c r="AI173" s="24" t="s">
        <v>153</v>
      </c>
      <c r="AJ173" s="23" t="s">
        <v>389</v>
      </c>
      <c r="AK173" s="23" t="s">
        <v>389</v>
      </c>
      <c r="AL173" s="23" t="s">
        <v>389</v>
      </c>
      <c r="AM173" s="23" t="s">
        <v>389</v>
      </c>
      <c r="AN173" s="23" t="s">
        <v>389</v>
      </c>
      <c r="AO173" s="23" t="s">
        <v>389</v>
      </c>
      <c r="AP173" s="23">
        <f>VALUE(0)</f>
        <v>0</v>
      </c>
      <c r="AQ173" s="23">
        <f>VALUE(0)</f>
        <v>0</v>
      </c>
      <c r="AR173" s="23">
        <f>VALUE(0)</f>
        <v>0</v>
      </c>
      <c r="AS173" s="23">
        <f>VALUE(0)</f>
        <v>0</v>
      </c>
      <c r="AT173" s="23">
        <f>VALUE(0)</f>
        <v>0</v>
      </c>
      <c r="AU173" s="23">
        <f>VALUE(0)</f>
        <v>0</v>
      </c>
      <c r="AV173" s="23">
        <f>VALUE(1)</f>
        <v>1</v>
      </c>
      <c r="AW173" s="23">
        <f>VALUE(0)</f>
        <v>0</v>
      </c>
      <c r="AX173" s="23">
        <f>VALUE(0)</f>
        <v>0</v>
      </c>
      <c r="AY173" s="23">
        <f>VALUE(0)</f>
        <v>0</v>
      </c>
      <c r="AZ173" s="23">
        <f>VALUE(0)</f>
        <v>0</v>
      </c>
      <c r="BA173" s="23">
        <f>VALUE(0)</f>
        <v>0</v>
      </c>
      <c r="BB173" s="23">
        <f>VALUE(0)</f>
        <v>0</v>
      </c>
      <c r="BC173" s="23">
        <f>VALUE(0)</f>
        <v>0</v>
      </c>
      <c r="BD173" s="23">
        <f>VALUE(0)</f>
        <v>0</v>
      </c>
      <c r="BE173" s="23">
        <f>VALUE(0)</f>
        <v>0</v>
      </c>
      <c r="BF173" s="23">
        <f>VALUE(0)</f>
        <v>0</v>
      </c>
      <c r="BG173" s="23">
        <f>VALUE(0)</f>
        <v>0</v>
      </c>
      <c r="BH173" s="23">
        <f>VALUE(0)</f>
        <v>0</v>
      </c>
      <c r="BI173" s="23">
        <f>VALUE(0)</f>
        <v>0</v>
      </c>
      <c r="BJ173" s="23">
        <f>VALUE(0)</f>
        <v>0</v>
      </c>
      <c r="BK173" s="12">
        <f>$AX$173*24</f>
        <v>0</v>
      </c>
      <c r="BL173" s="12">
        <f>$AY$173*24</f>
        <v>0</v>
      </c>
      <c r="BM173" s="12">
        <f>$BJ$173*24</f>
        <v>0</v>
      </c>
      <c r="BN173" s="12">
        <f>VALUE($I$173)/100</f>
        <v>1</v>
      </c>
      <c r="BO173" s="12">
        <v>0</v>
      </c>
      <c r="BP173" s="12">
        <v>0</v>
      </c>
      <c r="BQ173" s="12">
        <v>0</v>
      </c>
      <c r="BR173" s="12">
        <v>0</v>
      </c>
      <c r="BS173" s="12">
        <v>0</v>
      </c>
      <c r="BT173" s="12">
        <v>0</v>
      </c>
      <c r="BU173" s="12">
        <v>0</v>
      </c>
      <c r="BV173" s="12">
        <v>0</v>
      </c>
      <c r="BW173" s="12">
        <v>0</v>
      </c>
      <c r="BX173" s="12">
        <v>0</v>
      </c>
      <c r="BY173" s="12">
        <v>0</v>
      </c>
      <c r="BZ173" s="12">
        <v>0</v>
      </c>
      <c r="CA173" s="12">
        <v>0</v>
      </c>
    </row>
    <row r="174" spans="1:79" hidden="1" x14ac:dyDescent="0.2">
      <c r="A174" s="12" t="s">
        <v>120</v>
      </c>
      <c r="B174" s="12" t="s">
        <v>124</v>
      </c>
      <c r="C174" s="12" t="s">
        <v>124</v>
      </c>
      <c r="D174" s="22" t="s">
        <v>1240</v>
      </c>
      <c r="E174" s="22" t="s">
        <v>173</v>
      </c>
      <c r="F174" s="22" t="s">
        <v>865</v>
      </c>
      <c r="G174" s="22" t="s">
        <v>866</v>
      </c>
      <c r="H174" s="22" t="s">
        <v>150</v>
      </c>
      <c r="I174" s="22" t="s">
        <v>415</v>
      </c>
      <c r="J174" s="22" t="s">
        <v>162</v>
      </c>
      <c r="K174" s="22" t="s">
        <v>83</v>
      </c>
      <c r="L174" s="54" t="s">
        <v>153</v>
      </c>
      <c r="M174" s="28" t="s">
        <v>163</v>
      </c>
      <c r="N174" s="24" t="s">
        <v>153</v>
      </c>
      <c r="O174" s="23" t="s">
        <v>153</v>
      </c>
      <c r="P174" s="23" t="s">
        <v>153</v>
      </c>
      <c r="Q174" s="23" t="s">
        <v>153</v>
      </c>
      <c r="R174" s="23" t="s">
        <v>153</v>
      </c>
      <c r="S174" s="23" t="s">
        <v>153</v>
      </c>
      <c r="T174" s="23" t="s">
        <v>153</v>
      </c>
      <c r="U174" s="24" t="s">
        <v>153</v>
      </c>
      <c r="V174" s="54" t="s">
        <v>153</v>
      </c>
      <c r="W174" s="25" t="s">
        <v>393</v>
      </c>
      <c r="X174" s="25" t="s">
        <v>393</v>
      </c>
      <c r="Y174" s="25" t="s">
        <v>393</v>
      </c>
      <c r="Z174" s="25" t="s">
        <v>393</v>
      </c>
      <c r="AA174" s="25" t="s">
        <v>393</v>
      </c>
      <c r="AB174" s="24" t="s">
        <v>153</v>
      </c>
      <c r="AC174" s="25" t="s">
        <v>393</v>
      </c>
      <c r="AD174" s="25" t="s">
        <v>393</v>
      </c>
      <c r="AE174" s="25" t="s">
        <v>393</v>
      </c>
      <c r="AF174" s="25" t="s">
        <v>393</v>
      </c>
      <c r="AG174" s="25" t="s">
        <v>393</v>
      </c>
      <c r="AH174" s="25" t="s">
        <v>393</v>
      </c>
      <c r="AI174" s="24" t="s">
        <v>153</v>
      </c>
      <c r="AJ174" s="25" t="s">
        <v>393</v>
      </c>
      <c r="AK174" s="25" t="s">
        <v>393</v>
      </c>
      <c r="AL174" s="25" t="s">
        <v>393</v>
      </c>
      <c r="AM174" s="25" t="s">
        <v>393</v>
      </c>
      <c r="AN174" s="25" t="s">
        <v>393</v>
      </c>
      <c r="AO174" s="25" t="s">
        <v>393</v>
      </c>
      <c r="AP174" s="23">
        <f>VALUE(0)</f>
        <v>0</v>
      </c>
      <c r="AQ174" s="23">
        <f>VALUE(0)</f>
        <v>0</v>
      </c>
      <c r="AR174" s="23">
        <f>VALUE(0)</f>
        <v>0</v>
      </c>
      <c r="AS174" s="23">
        <f>VALUE(0)</f>
        <v>0</v>
      </c>
      <c r="AT174" s="23">
        <f>VALUE(0)</f>
        <v>0</v>
      </c>
      <c r="AU174" s="23">
        <f>VALUE(1)</f>
        <v>1</v>
      </c>
      <c r="AV174" s="23">
        <f>VALUE(0)</f>
        <v>0</v>
      </c>
      <c r="AW174" s="23">
        <f>VALUE(0)</f>
        <v>0</v>
      </c>
      <c r="AX174" s="23">
        <f>VALUE(0)</f>
        <v>0</v>
      </c>
      <c r="AY174" s="23" t="s">
        <v>436</v>
      </c>
      <c r="AZ174" s="23">
        <f>VALUE(0)</f>
        <v>0</v>
      </c>
      <c r="BA174" s="23">
        <f>VALUE(0)</f>
        <v>0</v>
      </c>
      <c r="BB174" s="23">
        <f>VALUE(0)</f>
        <v>0</v>
      </c>
      <c r="BC174" s="23">
        <f>VALUE(0)</f>
        <v>0</v>
      </c>
      <c r="BD174" s="23">
        <f>VALUE(0)</f>
        <v>0</v>
      </c>
      <c r="BE174" s="23">
        <f>VALUE(0)</f>
        <v>0</v>
      </c>
      <c r="BF174" s="23">
        <f>VALUE(0)</f>
        <v>0</v>
      </c>
      <c r="BG174" s="23">
        <f>VALUE(0)</f>
        <v>0</v>
      </c>
      <c r="BH174" s="23">
        <f>VALUE(0)</f>
        <v>0</v>
      </c>
      <c r="BI174" s="23">
        <f>VALUE(0)</f>
        <v>0</v>
      </c>
      <c r="BJ174" s="23">
        <f>VALUE(0)</f>
        <v>0</v>
      </c>
      <c r="BK174" s="12">
        <f>$AX$174*24</f>
        <v>0</v>
      </c>
      <c r="BL174" s="12">
        <f>$AY$174*24</f>
        <v>12.533333333333335</v>
      </c>
      <c r="BM174" s="12">
        <f>$BJ$174*24</f>
        <v>0</v>
      </c>
      <c r="BN174" s="12">
        <f>VALUE($I$174)/100</f>
        <v>0.5</v>
      </c>
      <c r="BO174" s="12">
        <v>0</v>
      </c>
      <c r="BP174" s="12">
        <v>0</v>
      </c>
      <c r="BQ174" s="12">
        <v>0</v>
      </c>
      <c r="BR174" s="12">
        <v>0</v>
      </c>
      <c r="BS174" s="12">
        <v>0</v>
      </c>
      <c r="BT174" s="12">
        <v>0</v>
      </c>
      <c r="BU174" s="12">
        <v>0</v>
      </c>
      <c r="BV174" s="12">
        <v>0</v>
      </c>
      <c r="BW174" s="12">
        <v>0</v>
      </c>
      <c r="BX174" s="12">
        <v>0</v>
      </c>
      <c r="BY174" s="12">
        <v>0</v>
      </c>
      <c r="BZ174" s="12">
        <v>0</v>
      </c>
      <c r="CA174" s="12">
        <v>0</v>
      </c>
    </row>
    <row r="175" spans="1:79" hidden="1" x14ac:dyDescent="0.2">
      <c r="A175" s="12" t="s">
        <v>120</v>
      </c>
      <c r="B175" s="12" t="s">
        <v>124</v>
      </c>
      <c r="C175" s="12" t="s">
        <v>124</v>
      </c>
      <c r="D175" s="22" t="s">
        <v>393</v>
      </c>
      <c r="E175" s="22" t="s">
        <v>173</v>
      </c>
      <c r="F175" s="22" t="s">
        <v>867</v>
      </c>
      <c r="G175" s="22" t="s">
        <v>868</v>
      </c>
      <c r="H175" s="22" t="s">
        <v>190</v>
      </c>
      <c r="I175" s="22" t="s">
        <v>151</v>
      </c>
      <c r="J175" s="22" t="s">
        <v>162</v>
      </c>
      <c r="K175" s="22" t="s">
        <v>83</v>
      </c>
      <c r="L175" s="54" t="s">
        <v>153</v>
      </c>
      <c r="M175" s="23" t="s">
        <v>153</v>
      </c>
      <c r="N175" s="24" t="s">
        <v>153</v>
      </c>
      <c r="O175" s="23" t="s">
        <v>153</v>
      </c>
      <c r="P175" s="23" t="s">
        <v>153</v>
      </c>
      <c r="Q175" s="23" t="s">
        <v>153</v>
      </c>
      <c r="R175" s="23" t="s">
        <v>153</v>
      </c>
      <c r="S175" s="23" t="s">
        <v>153</v>
      </c>
      <c r="T175" s="23" t="s">
        <v>153</v>
      </c>
      <c r="U175" s="24" t="s">
        <v>153</v>
      </c>
      <c r="V175" s="54" t="s">
        <v>153</v>
      </c>
      <c r="W175" s="23" t="s">
        <v>153</v>
      </c>
      <c r="X175" s="23" t="s">
        <v>153</v>
      </c>
      <c r="Y175" s="23" t="s">
        <v>153</v>
      </c>
      <c r="Z175" s="23" t="s">
        <v>153</v>
      </c>
      <c r="AA175" s="23" t="s">
        <v>153</v>
      </c>
      <c r="AB175" s="40" t="s">
        <v>153</v>
      </c>
      <c r="AC175" s="40" t="s">
        <v>153</v>
      </c>
      <c r="AD175" s="40" t="s">
        <v>153</v>
      </c>
      <c r="AE175" s="40" t="s">
        <v>153</v>
      </c>
      <c r="AF175" s="40" t="s">
        <v>153</v>
      </c>
      <c r="AG175" s="40" t="s">
        <v>153</v>
      </c>
      <c r="AH175" s="40" t="s">
        <v>153</v>
      </c>
      <c r="AI175" s="40" t="s">
        <v>153</v>
      </c>
      <c r="AJ175" s="40" t="s">
        <v>153</v>
      </c>
      <c r="AK175" s="40" t="s">
        <v>153</v>
      </c>
      <c r="AL175" s="40" t="s">
        <v>153</v>
      </c>
      <c r="AM175" s="40" t="s">
        <v>153</v>
      </c>
      <c r="AN175" s="40" t="s">
        <v>153</v>
      </c>
      <c r="AO175" s="40" t="s">
        <v>153</v>
      </c>
      <c r="AP175" s="23">
        <f>VALUE(0)</f>
        <v>0</v>
      </c>
      <c r="AQ175" s="23">
        <f>VALUE(0)</f>
        <v>0</v>
      </c>
      <c r="AR175" s="23">
        <f>VALUE(0)</f>
        <v>0</v>
      </c>
      <c r="AS175" s="23">
        <f>VALUE(0)</f>
        <v>0</v>
      </c>
      <c r="AT175" s="23">
        <f>VALUE(0)</f>
        <v>0</v>
      </c>
      <c r="AU175" s="23">
        <f>VALUE(0)</f>
        <v>0</v>
      </c>
      <c r="AV175" s="23">
        <f>VALUE(3)</f>
        <v>3</v>
      </c>
      <c r="AW175" s="23">
        <f>VALUE(0)</f>
        <v>0</v>
      </c>
      <c r="AX175" s="23">
        <f>VALUE(0)</f>
        <v>0</v>
      </c>
      <c r="AY175" s="23">
        <f>VALUE(0)</f>
        <v>0</v>
      </c>
      <c r="AZ175" s="23">
        <f>VALUE(0)</f>
        <v>0</v>
      </c>
      <c r="BA175" s="23">
        <f>VALUE(0)</f>
        <v>0</v>
      </c>
      <c r="BB175" s="23">
        <f>VALUE(0)</f>
        <v>0</v>
      </c>
      <c r="BC175" s="23">
        <f>VALUE(0)</f>
        <v>0</v>
      </c>
      <c r="BD175" s="23">
        <f>VALUE(0)</f>
        <v>0</v>
      </c>
      <c r="BE175" s="23">
        <f>VALUE(0)</f>
        <v>0</v>
      </c>
      <c r="BF175" s="23">
        <f>VALUE(0)</f>
        <v>0</v>
      </c>
      <c r="BG175" s="23">
        <f>VALUE(0)</f>
        <v>0</v>
      </c>
      <c r="BH175" s="23">
        <f>VALUE(0)</f>
        <v>0</v>
      </c>
      <c r="BI175" s="23">
        <f>VALUE(0)</f>
        <v>0</v>
      </c>
      <c r="BJ175" s="23">
        <f>VALUE(0)</f>
        <v>0</v>
      </c>
      <c r="BK175" s="12">
        <f>$AX$175*24</f>
        <v>0</v>
      </c>
      <c r="BL175" s="12">
        <f>$AY$175*24</f>
        <v>0</v>
      </c>
      <c r="BM175" s="12">
        <f>$BJ$175*24</f>
        <v>0</v>
      </c>
      <c r="BN175" s="12">
        <f>VALUE($I$175)/100</f>
        <v>1</v>
      </c>
      <c r="BO175" s="12">
        <v>0</v>
      </c>
      <c r="BP175" s="12">
        <v>0</v>
      </c>
      <c r="BQ175" s="12">
        <v>0</v>
      </c>
      <c r="BR175" s="12">
        <v>0</v>
      </c>
      <c r="BS175" s="12">
        <v>0</v>
      </c>
      <c r="BT175" s="12">
        <v>0</v>
      </c>
      <c r="BU175" s="12">
        <v>0</v>
      </c>
      <c r="BV175" s="12">
        <v>0</v>
      </c>
      <c r="BW175" s="12">
        <v>0</v>
      </c>
      <c r="BX175" s="12">
        <v>0</v>
      </c>
      <c r="BY175" s="12">
        <v>0</v>
      </c>
      <c r="BZ175" s="12">
        <v>0</v>
      </c>
      <c r="CA175" s="12">
        <v>0</v>
      </c>
    </row>
    <row r="176" spans="1:79" ht="15" hidden="1" x14ac:dyDescent="0.25">
      <c r="A176" s="12" t="s">
        <v>120</v>
      </c>
      <c r="B176" s="12" t="s">
        <v>124</v>
      </c>
      <c r="C176" s="12" t="s">
        <v>124</v>
      </c>
      <c r="D176" s="31" t="s">
        <v>581</v>
      </c>
      <c r="E176" s="31" t="s">
        <v>153</v>
      </c>
      <c r="F176" s="31" t="s">
        <v>175</v>
      </c>
      <c r="G176" s="31" t="s">
        <v>153</v>
      </c>
      <c r="H176" s="31" t="s">
        <v>153</v>
      </c>
      <c r="I176" s="31" t="s">
        <v>153</v>
      </c>
      <c r="J176" s="31" t="s">
        <v>153</v>
      </c>
      <c r="K176" s="31" t="s">
        <v>153</v>
      </c>
      <c r="L176" s="31">
        <f>VALUE(0)</f>
        <v>0</v>
      </c>
      <c r="M176" s="31">
        <f>VALUE(16)</f>
        <v>16</v>
      </c>
      <c r="N176" s="31">
        <f>VALUE(0)</f>
        <v>0</v>
      </c>
      <c r="O176" s="31">
        <f>VALUE(17)</f>
        <v>17</v>
      </c>
      <c r="P176" s="31">
        <f>VALUE(19)</f>
        <v>19</v>
      </c>
      <c r="Q176" s="31">
        <f>VALUE(20)</f>
        <v>20</v>
      </c>
      <c r="R176" s="31">
        <f>VALUE(21)</f>
        <v>21</v>
      </c>
      <c r="S176" s="31">
        <f>VALUE(20)</f>
        <v>20</v>
      </c>
      <c r="T176" s="31">
        <f>VALUE(20)</f>
        <v>20</v>
      </c>
      <c r="U176" s="31">
        <f>VALUE(0)</f>
        <v>0</v>
      </c>
      <c r="V176" s="31">
        <f>VALUE(0)</f>
        <v>0</v>
      </c>
      <c r="W176" s="31">
        <f>VALUE(18)</f>
        <v>18</v>
      </c>
      <c r="X176" s="31">
        <f>VALUE(19)</f>
        <v>19</v>
      </c>
      <c r="Y176" s="31">
        <f>VALUE(19)</f>
        <v>19</v>
      </c>
      <c r="Z176" s="31">
        <f>VALUE(17)</f>
        <v>17</v>
      </c>
      <c r="AA176" s="31">
        <f>VALUE(17)</f>
        <v>17</v>
      </c>
      <c r="AB176" s="31">
        <f>VALUE(0)</f>
        <v>0</v>
      </c>
      <c r="AC176" s="31">
        <f>VALUE(18)</f>
        <v>18</v>
      </c>
      <c r="AD176" s="31">
        <f>VALUE(18)</f>
        <v>18</v>
      </c>
      <c r="AE176" s="31">
        <f>VALUE(18)</f>
        <v>18</v>
      </c>
      <c r="AF176" s="31">
        <f>VALUE(18)</f>
        <v>18</v>
      </c>
      <c r="AG176" s="31">
        <f>VALUE(17)</f>
        <v>17</v>
      </c>
      <c r="AH176" s="31">
        <f>VALUE(17)</f>
        <v>17</v>
      </c>
      <c r="AI176" s="31">
        <f>VALUE(0)</f>
        <v>0</v>
      </c>
      <c r="AJ176" s="31">
        <f>VALUE(18)</f>
        <v>18</v>
      </c>
      <c r="AK176" s="31">
        <f>VALUE(18)</f>
        <v>18</v>
      </c>
      <c r="AL176" s="31">
        <f>VALUE(17)</f>
        <v>17</v>
      </c>
      <c r="AM176" s="31">
        <f>VALUE(17)</f>
        <v>17</v>
      </c>
      <c r="AN176" s="31">
        <f>VALUE(17)</f>
        <v>17</v>
      </c>
      <c r="AO176" s="31">
        <f>VALUE(17)</f>
        <v>17</v>
      </c>
      <c r="AP176" s="31">
        <v>0</v>
      </c>
      <c r="AQ176" s="31">
        <v>0</v>
      </c>
      <c r="AR176" s="31">
        <v>0</v>
      </c>
      <c r="AS176" s="31">
        <v>0</v>
      </c>
      <c r="AT176" s="31">
        <v>0</v>
      </c>
      <c r="AU176" s="31">
        <v>0</v>
      </c>
      <c r="AV176" s="31">
        <v>0</v>
      </c>
      <c r="AW176" s="31">
        <v>0</v>
      </c>
      <c r="AX176" s="31">
        <v>0</v>
      </c>
      <c r="AY176" s="31">
        <v>0</v>
      </c>
      <c r="AZ176" s="31">
        <v>0</v>
      </c>
      <c r="BA176" s="31">
        <v>0</v>
      </c>
      <c r="BB176" s="31">
        <v>0</v>
      </c>
      <c r="BC176" s="31">
        <v>0</v>
      </c>
      <c r="BD176" s="31">
        <v>0</v>
      </c>
      <c r="BE176" s="31">
        <v>0</v>
      </c>
      <c r="BF176" s="31">
        <v>0</v>
      </c>
      <c r="BG176" s="31">
        <v>0</v>
      </c>
      <c r="BH176" s="31">
        <v>0</v>
      </c>
      <c r="BI176" s="31">
        <v>0</v>
      </c>
      <c r="BJ176" s="31">
        <v>0</v>
      </c>
      <c r="BK176" s="12">
        <v>0</v>
      </c>
      <c r="BL176" s="12">
        <v>0</v>
      </c>
      <c r="BM176" s="12">
        <v>0</v>
      </c>
      <c r="BN176" s="12"/>
      <c r="BO176" s="12">
        <v>0</v>
      </c>
      <c r="BP176" s="12">
        <v>0</v>
      </c>
      <c r="BQ176" s="12">
        <v>0</v>
      </c>
      <c r="BR176" s="12">
        <v>0</v>
      </c>
      <c r="BS176" s="12">
        <v>0</v>
      </c>
      <c r="BT176" s="12">
        <v>0</v>
      </c>
      <c r="BU176" s="12">
        <v>0</v>
      </c>
      <c r="BV176" s="12">
        <v>0</v>
      </c>
      <c r="BW176" s="12">
        <v>0</v>
      </c>
      <c r="BX176" s="12">
        <v>0</v>
      </c>
      <c r="BY176" s="12">
        <v>0</v>
      </c>
      <c r="BZ176" s="12">
        <v>0</v>
      </c>
      <c r="CA176" s="12">
        <v>0</v>
      </c>
    </row>
    <row r="177" spans="1:79" hidden="1" x14ac:dyDescent="0.2">
      <c r="A177" s="12" t="s">
        <v>120</v>
      </c>
      <c r="B177" s="12" t="s">
        <v>125</v>
      </c>
      <c r="C177" s="12" t="s">
        <v>125</v>
      </c>
      <c r="D177" s="22" t="s">
        <v>437</v>
      </c>
      <c r="E177" s="22" t="s">
        <v>161</v>
      </c>
      <c r="F177" s="22" t="s">
        <v>869</v>
      </c>
      <c r="G177" s="22" t="s">
        <v>870</v>
      </c>
      <c r="H177" s="22" t="s">
        <v>190</v>
      </c>
      <c r="I177" s="22" t="s">
        <v>151</v>
      </c>
      <c r="J177" s="22" t="s">
        <v>162</v>
      </c>
      <c r="K177" s="22" t="s">
        <v>84</v>
      </c>
      <c r="L177" s="54" t="s">
        <v>153</v>
      </c>
      <c r="M177" s="23" t="s">
        <v>153</v>
      </c>
      <c r="N177" s="24" t="s">
        <v>153</v>
      </c>
      <c r="O177" s="23" t="s">
        <v>153</v>
      </c>
      <c r="P177" s="23" t="s">
        <v>153</v>
      </c>
      <c r="Q177" s="23" t="s">
        <v>153</v>
      </c>
      <c r="R177" s="23" t="s">
        <v>153</v>
      </c>
      <c r="S177" s="23" t="s">
        <v>153</v>
      </c>
      <c r="T177" s="23" t="s">
        <v>153</v>
      </c>
      <c r="U177" s="24" t="s">
        <v>153</v>
      </c>
      <c r="V177" s="54" t="s">
        <v>153</v>
      </c>
      <c r="W177" s="23" t="s">
        <v>153</v>
      </c>
      <c r="X177" s="23" t="s">
        <v>153</v>
      </c>
      <c r="Y177" s="23" t="s">
        <v>153</v>
      </c>
      <c r="Z177" s="23" t="s">
        <v>153</v>
      </c>
      <c r="AA177" s="23" t="s">
        <v>153</v>
      </c>
      <c r="AB177" s="24" t="s">
        <v>153</v>
      </c>
      <c r="AC177" s="23" t="s">
        <v>153</v>
      </c>
      <c r="AD177" s="23" t="s">
        <v>153</v>
      </c>
      <c r="AE177" s="23" t="s">
        <v>153</v>
      </c>
      <c r="AF177" s="23" t="s">
        <v>153</v>
      </c>
      <c r="AG177" s="23" t="s">
        <v>153</v>
      </c>
      <c r="AH177" s="23" t="s">
        <v>153</v>
      </c>
      <c r="AI177" s="24" t="s">
        <v>153</v>
      </c>
      <c r="AJ177" s="23" t="s">
        <v>153</v>
      </c>
      <c r="AK177" s="23" t="s">
        <v>153</v>
      </c>
      <c r="AL177" s="23" t="s">
        <v>153</v>
      </c>
      <c r="AM177" s="23" t="s">
        <v>153</v>
      </c>
      <c r="AN177" s="23" t="s">
        <v>153</v>
      </c>
      <c r="AO177" s="23" t="s">
        <v>153</v>
      </c>
      <c r="AP177" s="23">
        <f>VALUE(2)</f>
        <v>2</v>
      </c>
      <c r="AQ177" s="23">
        <f>VALUE(0)</f>
        <v>0</v>
      </c>
      <c r="AR177" s="23">
        <f>VALUE(0)</f>
        <v>0</v>
      </c>
      <c r="AS177" s="23">
        <f>VALUE(0)</f>
        <v>0</v>
      </c>
      <c r="AT177" s="23">
        <f>VALUE(0)</f>
        <v>0</v>
      </c>
      <c r="AU177" s="23">
        <f>VALUE(0)</f>
        <v>0</v>
      </c>
      <c r="AV177" s="23">
        <f>VALUE(7)</f>
        <v>7</v>
      </c>
      <c r="AW177" s="23">
        <f>VALUE(0)</f>
        <v>0</v>
      </c>
      <c r="AX177" s="23">
        <f>VALUE(0)</f>
        <v>0</v>
      </c>
      <c r="AY177" s="23">
        <f>VALUE(0)</f>
        <v>0</v>
      </c>
      <c r="AZ177" s="23">
        <f>VALUE(0)</f>
        <v>0</v>
      </c>
      <c r="BA177" s="23">
        <f>VALUE(0)</f>
        <v>0</v>
      </c>
      <c r="BB177" s="23">
        <f>VALUE(0)</f>
        <v>0</v>
      </c>
      <c r="BC177" s="23">
        <f>VALUE(0)</f>
        <v>0</v>
      </c>
      <c r="BD177" s="23">
        <f>VALUE(0)</f>
        <v>0</v>
      </c>
      <c r="BE177" s="23">
        <f>VALUE(0)</f>
        <v>0</v>
      </c>
      <c r="BF177" s="23">
        <f>VALUE(0)</f>
        <v>0</v>
      </c>
      <c r="BG177" s="23">
        <f>VALUE(0)</f>
        <v>0</v>
      </c>
      <c r="BH177" s="23">
        <f>VALUE(0)</f>
        <v>0</v>
      </c>
      <c r="BI177" s="23">
        <f>VALUE(0)</f>
        <v>0</v>
      </c>
      <c r="BJ177" s="23">
        <f>VALUE(0)</f>
        <v>0</v>
      </c>
      <c r="BK177" s="12">
        <f>$AX$177*24</f>
        <v>0</v>
      </c>
      <c r="BL177" s="12">
        <f>$AY$177*24</f>
        <v>0</v>
      </c>
      <c r="BM177" s="12">
        <f>$BJ$177*24</f>
        <v>0</v>
      </c>
      <c r="BN177" s="12">
        <f>VALUE($I$177)/100</f>
        <v>1</v>
      </c>
      <c r="BO177" s="12">
        <v>0</v>
      </c>
      <c r="BP177" s="12">
        <v>0</v>
      </c>
      <c r="BQ177" s="12">
        <v>0</v>
      </c>
      <c r="BR177" s="12">
        <v>0</v>
      </c>
      <c r="BS177" s="12">
        <v>0</v>
      </c>
      <c r="BT177" s="12">
        <v>0</v>
      </c>
      <c r="BU177" s="12">
        <v>0</v>
      </c>
      <c r="BV177" s="12">
        <v>0</v>
      </c>
      <c r="BW177" s="12">
        <v>0</v>
      </c>
      <c r="BX177" s="12">
        <v>0</v>
      </c>
      <c r="BY177" s="12">
        <v>0</v>
      </c>
      <c r="BZ177" s="12">
        <v>0</v>
      </c>
      <c r="CA177" s="12">
        <v>0</v>
      </c>
    </row>
    <row r="178" spans="1:79" x14ac:dyDescent="0.2">
      <c r="A178" s="12" t="s">
        <v>120</v>
      </c>
      <c r="B178" s="12" t="s">
        <v>125</v>
      </c>
      <c r="C178" s="12" t="s">
        <v>125</v>
      </c>
      <c r="D178" s="22" t="s">
        <v>438</v>
      </c>
      <c r="E178" s="22" t="s">
        <v>161</v>
      </c>
      <c r="F178" s="22" t="s">
        <v>871</v>
      </c>
      <c r="G178" s="22" t="s">
        <v>872</v>
      </c>
      <c r="H178" s="22" t="s">
        <v>150</v>
      </c>
      <c r="I178" s="22" t="s">
        <v>151</v>
      </c>
      <c r="J178" s="22" t="s">
        <v>162</v>
      </c>
      <c r="K178" s="22" t="s">
        <v>84</v>
      </c>
      <c r="L178" s="54" t="s">
        <v>153</v>
      </c>
      <c r="M178" s="23" t="s">
        <v>153</v>
      </c>
      <c r="N178" s="24" t="s">
        <v>153</v>
      </c>
      <c r="O178" s="23" t="s">
        <v>153</v>
      </c>
      <c r="P178" s="23" t="s">
        <v>153</v>
      </c>
      <c r="Q178" s="23" t="s">
        <v>153</v>
      </c>
      <c r="R178" s="23" t="s">
        <v>153</v>
      </c>
      <c r="S178" s="23" t="s">
        <v>153</v>
      </c>
      <c r="T178" s="23" t="s">
        <v>153</v>
      </c>
      <c r="U178" s="24" t="s">
        <v>153</v>
      </c>
      <c r="V178" s="54" t="s">
        <v>153</v>
      </c>
      <c r="W178" s="23" t="s">
        <v>153</v>
      </c>
      <c r="X178" s="23" t="s">
        <v>153</v>
      </c>
      <c r="Y178" s="23" t="s">
        <v>153</v>
      </c>
      <c r="Z178" s="23" t="s">
        <v>153</v>
      </c>
      <c r="AA178" s="23" t="s">
        <v>153</v>
      </c>
      <c r="AB178" s="24" t="s">
        <v>153</v>
      </c>
      <c r="AC178" s="29" t="s">
        <v>163</v>
      </c>
      <c r="AD178" s="29" t="s">
        <v>163</v>
      </c>
      <c r="AE178" s="24" t="s">
        <v>156</v>
      </c>
      <c r="AF178" s="24" t="s">
        <v>156</v>
      </c>
      <c r="AG178" s="28" t="s">
        <v>163</v>
      </c>
      <c r="AH178" s="28" t="s">
        <v>163</v>
      </c>
      <c r="AI178" s="24" t="s">
        <v>153</v>
      </c>
      <c r="AJ178" s="28" t="s">
        <v>163</v>
      </c>
      <c r="AK178" s="28" t="s">
        <v>163</v>
      </c>
      <c r="AL178" s="28" t="s">
        <v>163</v>
      </c>
      <c r="AM178" s="28" t="s">
        <v>163</v>
      </c>
      <c r="AN178" s="28" t="s">
        <v>163</v>
      </c>
      <c r="AO178" s="28" t="s">
        <v>163</v>
      </c>
      <c r="AP178" s="23">
        <f>VALUE(7)</f>
        <v>7</v>
      </c>
      <c r="AQ178" s="23">
        <f>VALUE(0)</f>
        <v>0</v>
      </c>
      <c r="AR178" s="23">
        <f>VALUE(2)</f>
        <v>2</v>
      </c>
      <c r="AS178" s="23">
        <f>VALUE(0)</f>
        <v>0</v>
      </c>
      <c r="AT178" s="23">
        <f>VALUE(0)</f>
        <v>0</v>
      </c>
      <c r="AU178" s="23">
        <f>VALUE(8)</f>
        <v>8</v>
      </c>
      <c r="AV178" s="23">
        <f>VALUE(1)</f>
        <v>1</v>
      </c>
      <c r="AW178" s="23">
        <f>VALUE(0)</f>
        <v>0</v>
      </c>
      <c r="AX178" s="23" t="s">
        <v>176</v>
      </c>
      <c r="AY178" s="23" t="s">
        <v>439</v>
      </c>
      <c r="AZ178" s="23">
        <f>VALUE(0)</f>
        <v>0</v>
      </c>
      <c r="BA178" s="23">
        <f>VALUE(0)</f>
        <v>0</v>
      </c>
      <c r="BB178" s="23">
        <f>VALUE(0)</f>
        <v>0</v>
      </c>
      <c r="BC178" s="23">
        <f>VALUE(0)</f>
        <v>0</v>
      </c>
      <c r="BD178" s="23">
        <f>VALUE(0)</f>
        <v>0</v>
      </c>
      <c r="BE178" s="23">
        <f>VALUE(0)</f>
        <v>0</v>
      </c>
      <c r="BF178" s="23">
        <f>VALUE(0)</f>
        <v>0</v>
      </c>
      <c r="BG178" s="23">
        <f>VALUE(0)</f>
        <v>0</v>
      </c>
      <c r="BH178" s="23">
        <f>VALUE(0)</f>
        <v>0</v>
      </c>
      <c r="BI178" s="23">
        <f>VALUE(0)</f>
        <v>0</v>
      </c>
      <c r="BJ178" s="23">
        <f>VALUE(0)</f>
        <v>0</v>
      </c>
      <c r="BK178" s="12">
        <f>$AX$178*24</f>
        <v>0</v>
      </c>
      <c r="BL178" s="12">
        <f>$AY$178*24</f>
        <v>8.3333333333333329E-2</v>
      </c>
      <c r="BM178" s="12">
        <f>$BJ$178*24</f>
        <v>0</v>
      </c>
      <c r="BN178" s="12">
        <f>VALUE($I$178)/100</f>
        <v>1</v>
      </c>
      <c r="BO178" s="12">
        <v>0</v>
      </c>
      <c r="BP178" s="12">
        <v>0</v>
      </c>
      <c r="BQ178" s="12">
        <v>0</v>
      </c>
      <c r="BR178" s="12">
        <v>0</v>
      </c>
      <c r="BS178" s="12">
        <v>0</v>
      </c>
      <c r="BT178" s="12">
        <v>2</v>
      </c>
      <c r="BU178" s="12">
        <v>0</v>
      </c>
      <c r="BV178" s="12">
        <v>0</v>
      </c>
      <c r="BW178" s="12">
        <v>0</v>
      </c>
      <c r="BX178" s="12">
        <v>0</v>
      </c>
      <c r="BY178" s="12">
        <v>0</v>
      </c>
      <c r="BZ178" s="12">
        <v>0</v>
      </c>
      <c r="CA178" s="12">
        <v>0</v>
      </c>
    </row>
    <row r="179" spans="1:79" hidden="1" x14ac:dyDescent="0.2">
      <c r="A179" s="12" t="s">
        <v>120</v>
      </c>
      <c r="B179" s="12" t="s">
        <v>125</v>
      </c>
      <c r="C179" s="12" t="s">
        <v>125</v>
      </c>
      <c r="D179" s="22" t="s">
        <v>440</v>
      </c>
      <c r="E179" s="22" t="s">
        <v>161</v>
      </c>
      <c r="F179" s="22" t="s">
        <v>873</v>
      </c>
      <c r="G179" s="22" t="s">
        <v>874</v>
      </c>
      <c r="H179" s="22" t="s">
        <v>150</v>
      </c>
      <c r="I179" s="22" t="s">
        <v>151</v>
      </c>
      <c r="J179" s="22" t="s">
        <v>162</v>
      </c>
      <c r="K179" s="22" t="s">
        <v>84</v>
      </c>
      <c r="L179" s="54" t="s">
        <v>153</v>
      </c>
      <c r="M179" s="23" t="s">
        <v>153</v>
      </c>
      <c r="N179" s="24" t="s">
        <v>153</v>
      </c>
      <c r="O179" s="23" t="s">
        <v>153</v>
      </c>
      <c r="P179" s="23" t="s">
        <v>153</v>
      </c>
      <c r="Q179" s="23" t="s">
        <v>153</v>
      </c>
      <c r="R179" s="23" t="s">
        <v>153</v>
      </c>
      <c r="S179" s="23" t="s">
        <v>153</v>
      </c>
      <c r="T179" s="23" t="s">
        <v>153</v>
      </c>
      <c r="U179" s="24" t="s">
        <v>153</v>
      </c>
      <c r="V179" s="54" t="s">
        <v>153</v>
      </c>
      <c r="W179" s="23" t="s">
        <v>153</v>
      </c>
      <c r="X179" s="23" t="s">
        <v>153</v>
      </c>
      <c r="Y179" s="23" t="s">
        <v>153</v>
      </c>
      <c r="Z179" s="24" t="s">
        <v>156</v>
      </c>
      <c r="AA179" s="24" t="s">
        <v>156</v>
      </c>
      <c r="AB179" s="24" t="s">
        <v>153</v>
      </c>
      <c r="AC179" s="23" t="s">
        <v>153</v>
      </c>
      <c r="AD179" s="23" t="s">
        <v>153</v>
      </c>
      <c r="AE179" s="23" t="s">
        <v>153</v>
      </c>
      <c r="AF179" s="23" t="s">
        <v>153</v>
      </c>
      <c r="AG179" s="23" t="s">
        <v>153</v>
      </c>
      <c r="AH179" s="23" t="s">
        <v>153</v>
      </c>
      <c r="AI179" s="24" t="s">
        <v>153</v>
      </c>
      <c r="AJ179" s="23" t="s">
        <v>153</v>
      </c>
      <c r="AK179" s="23" t="s">
        <v>153</v>
      </c>
      <c r="AL179" s="23" t="s">
        <v>153</v>
      </c>
      <c r="AM179" s="23" t="s">
        <v>153</v>
      </c>
      <c r="AN179" s="23" t="s">
        <v>153</v>
      </c>
      <c r="AO179" s="23" t="s">
        <v>153</v>
      </c>
      <c r="AP179" s="23">
        <f>VALUE(18)</f>
        <v>18</v>
      </c>
      <c r="AQ179" s="23">
        <f>VALUE(0)</f>
        <v>0</v>
      </c>
      <c r="AR179" s="23">
        <f>VALUE(0)</f>
        <v>0</v>
      </c>
      <c r="AS179" s="23">
        <f>VALUE(0)</f>
        <v>0</v>
      </c>
      <c r="AT179" s="23">
        <f>VALUE(0)</f>
        <v>0</v>
      </c>
      <c r="AU179" s="23">
        <f>VALUE(0)</f>
        <v>0</v>
      </c>
      <c r="AV179" s="23">
        <f>VALUE(0)</f>
        <v>0</v>
      </c>
      <c r="AW179" s="23">
        <f>VALUE(0)</f>
        <v>0</v>
      </c>
      <c r="AX179" s="23" t="s">
        <v>158</v>
      </c>
      <c r="AY179" s="23" t="s">
        <v>441</v>
      </c>
      <c r="AZ179" s="23">
        <f>VALUE(0)</f>
        <v>0</v>
      </c>
      <c r="BA179" s="23">
        <f>VALUE(0)</f>
        <v>0</v>
      </c>
      <c r="BB179" s="23">
        <f>VALUE(0)</f>
        <v>0</v>
      </c>
      <c r="BC179" s="23">
        <f>VALUE(0)</f>
        <v>0</v>
      </c>
      <c r="BD179" s="23">
        <f>VALUE(0)</f>
        <v>0</v>
      </c>
      <c r="BE179" s="23">
        <f>VALUE(0)</f>
        <v>0</v>
      </c>
      <c r="BF179" s="23">
        <f>VALUE(0)</f>
        <v>0</v>
      </c>
      <c r="BG179" s="23">
        <f>VALUE(0)</f>
        <v>0</v>
      </c>
      <c r="BH179" s="23">
        <f>VALUE(0)</f>
        <v>0</v>
      </c>
      <c r="BI179" s="23">
        <f>VALUE(0)</f>
        <v>0</v>
      </c>
      <c r="BJ179" s="23">
        <f>VALUE(0)</f>
        <v>0</v>
      </c>
      <c r="BK179" s="12">
        <f>$AX$179*24</f>
        <v>11.666666666666666</v>
      </c>
      <c r="BL179" s="12">
        <f>$AY$179*24</f>
        <v>16.183333333333334</v>
      </c>
      <c r="BM179" s="12">
        <f>$BJ$179*24</f>
        <v>0</v>
      </c>
      <c r="BN179" s="12">
        <f>VALUE($I$179)/100</f>
        <v>1</v>
      </c>
      <c r="BO179" s="12">
        <v>0</v>
      </c>
      <c r="BP179" s="12">
        <v>0</v>
      </c>
      <c r="BQ179" s="12">
        <v>0</v>
      </c>
      <c r="BR179" s="12">
        <v>0</v>
      </c>
      <c r="BS179" s="12">
        <v>0</v>
      </c>
      <c r="BT179" s="12">
        <v>0</v>
      </c>
      <c r="BU179" s="12">
        <v>0</v>
      </c>
      <c r="BV179" s="12">
        <v>0</v>
      </c>
      <c r="BW179" s="12">
        <v>0</v>
      </c>
      <c r="BX179" s="12">
        <v>0</v>
      </c>
      <c r="BY179" s="12">
        <v>0</v>
      </c>
      <c r="BZ179" s="12">
        <v>0</v>
      </c>
      <c r="CA179" s="12">
        <v>0</v>
      </c>
    </row>
    <row r="180" spans="1:79" x14ac:dyDescent="0.2">
      <c r="A180" s="12" t="s">
        <v>120</v>
      </c>
      <c r="B180" s="12" t="s">
        <v>125</v>
      </c>
      <c r="C180" s="12" t="s">
        <v>125</v>
      </c>
      <c r="D180" s="22" t="s">
        <v>442</v>
      </c>
      <c r="E180" s="22" t="s">
        <v>161</v>
      </c>
      <c r="F180" s="22" t="s">
        <v>875</v>
      </c>
      <c r="G180" s="22" t="s">
        <v>876</v>
      </c>
      <c r="H180" s="22" t="s">
        <v>150</v>
      </c>
      <c r="I180" s="22" t="s">
        <v>151</v>
      </c>
      <c r="J180" s="22" t="s">
        <v>162</v>
      </c>
      <c r="K180" s="22" t="s">
        <v>84</v>
      </c>
      <c r="L180" s="54" t="s">
        <v>153</v>
      </c>
      <c r="M180" s="29" t="s">
        <v>163</v>
      </c>
      <c r="N180" s="24" t="s">
        <v>153</v>
      </c>
      <c r="O180" s="23" t="s">
        <v>153</v>
      </c>
      <c r="P180" s="23" t="s">
        <v>153</v>
      </c>
      <c r="Q180" s="23" t="s">
        <v>153</v>
      </c>
      <c r="R180" s="23" t="s">
        <v>153</v>
      </c>
      <c r="S180" s="24" t="s">
        <v>156</v>
      </c>
      <c r="T180" s="24" t="s">
        <v>156</v>
      </c>
      <c r="U180" s="24" t="s">
        <v>153</v>
      </c>
      <c r="V180" s="54" t="s">
        <v>153</v>
      </c>
      <c r="W180" s="23" t="s">
        <v>153</v>
      </c>
      <c r="X180" s="23" t="s">
        <v>153</v>
      </c>
      <c r="Y180" s="23" t="s">
        <v>153</v>
      </c>
      <c r="Z180" s="23" t="s">
        <v>153</v>
      </c>
      <c r="AA180" s="23" t="s">
        <v>153</v>
      </c>
      <c r="AB180" s="24" t="s">
        <v>153</v>
      </c>
      <c r="AC180" s="23" t="s">
        <v>153</v>
      </c>
      <c r="AD180" s="23" t="s">
        <v>153</v>
      </c>
      <c r="AE180" s="23" t="s">
        <v>153</v>
      </c>
      <c r="AF180" s="23" t="s">
        <v>153</v>
      </c>
      <c r="AG180" s="23" t="s">
        <v>153</v>
      </c>
      <c r="AH180" s="23" t="s">
        <v>153</v>
      </c>
      <c r="AI180" s="24" t="s">
        <v>153</v>
      </c>
      <c r="AJ180" s="23" t="s">
        <v>153</v>
      </c>
      <c r="AK180" s="23" t="s">
        <v>153</v>
      </c>
      <c r="AL180" s="23" t="s">
        <v>153</v>
      </c>
      <c r="AM180" s="23" t="s">
        <v>153</v>
      </c>
      <c r="AN180" s="23" t="s">
        <v>153</v>
      </c>
      <c r="AO180" s="23" t="s">
        <v>153</v>
      </c>
      <c r="AP180" s="23">
        <f>VALUE(16)</f>
        <v>16</v>
      </c>
      <c r="AQ180" s="23">
        <f>VALUE(0)</f>
        <v>0</v>
      </c>
      <c r="AR180" s="23">
        <f>VALUE(1)</f>
        <v>1</v>
      </c>
      <c r="AS180" s="23">
        <f>VALUE(0)</f>
        <v>0</v>
      </c>
      <c r="AT180" s="23">
        <f>VALUE(0)</f>
        <v>0</v>
      </c>
      <c r="AU180" s="23">
        <f>VALUE(0)</f>
        <v>0</v>
      </c>
      <c r="AV180" s="23">
        <f>VALUE(0)</f>
        <v>0</v>
      </c>
      <c r="AW180" s="23">
        <f>VALUE(0)</f>
        <v>0</v>
      </c>
      <c r="AX180" s="23" t="s">
        <v>176</v>
      </c>
      <c r="AY180" s="23" t="s">
        <v>443</v>
      </c>
      <c r="AZ180" s="23">
        <f>VALUE(0)</f>
        <v>0</v>
      </c>
      <c r="BA180" s="23">
        <f>VALUE(0)</f>
        <v>0</v>
      </c>
      <c r="BB180" s="23">
        <f>VALUE(0)</f>
        <v>0</v>
      </c>
      <c r="BC180" s="23">
        <f>VALUE(0)</f>
        <v>0</v>
      </c>
      <c r="BD180" s="23">
        <f>VALUE(0)</f>
        <v>0</v>
      </c>
      <c r="BE180" s="23">
        <f>VALUE(0)</f>
        <v>0</v>
      </c>
      <c r="BF180" s="23">
        <f>VALUE(0)</f>
        <v>0</v>
      </c>
      <c r="BG180" s="23">
        <f>VALUE(0)</f>
        <v>0</v>
      </c>
      <c r="BH180" s="23">
        <f>VALUE(0)</f>
        <v>0</v>
      </c>
      <c r="BI180" s="23">
        <f>VALUE(0)</f>
        <v>0</v>
      </c>
      <c r="BJ180" s="23">
        <f>VALUE(0)</f>
        <v>0</v>
      </c>
      <c r="BK180" s="12">
        <f>$AX$180*24</f>
        <v>0</v>
      </c>
      <c r="BL180" s="12">
        <f>$AY$180*24</f>
        <v>5.4333333333333336</v>
      </c>
      <c r="BM180" s="12">
        <f>$BJ$180*24</f>
        <v>0</v>
      </c>
      <c r="BN180" s="12">
        <f>VALUE($I$180)/100</f>
        <v>1</v>
      </c>
      <c r="BO180" s="12">
        <v>0</v>
      </c>
      <c r="BP180" s="12">
        <v>0</v>
      </c>
      <c r="BQ180" s="12">
        <v>0</v>
      </c>
      <c r="BR180" s="12">
        <v>0</v>
      </c>
      <c r="BS180" s="12">
        <v>0</v>
      </c>
      <c r="BT180" s="12">
        <v>1</v>
      </c>
      <c r="BU180" s="12">
        <v>0</v>
      </c>
      <c r="BV180" s="12">
        <v>0</v>
      </c>
      <c r="BW180" s="12">
        <v>0</v>
      </c>
      <c r="BX180" s="12">
        <v>0</v>
      </c>
      <c r="BY180" s="12">
        <v>0</v>
      </c>
      <c r="BZ180" s="12">
        <v>0</v>
      </c>
      <c r="CA180" s="12">
        <v>0</v>
      </c>
    </row>
    <row r="181" spans="1:79" x14ac:dyDescent="0.2">
      <c r="A181" s="12" t="s">
        <v>120</v>
      </c>
      <c r="B181" s="12" t="s">
        <v>125</v>
      </c>
      <c r="C181" s="12" t="s">
        <v>125</v>
      </c>
      <c r="D181" s="22" t="s">
        <v>444</v>
      </c>
      <c r="E181" s="22" t="s">
        <v>161</v>
      </c>
      <c r="F181" s="22" t="s">
        <v>877</v>
      </c>
      <c r="G181" s="22" t="s">
        <v>878</v>
      </c>
      <c r="H181" s="22" t="s">
        <v>150</v>
      </c>
      <c r="I181" s="22" t="s">
        <v>151</v>
      </c>
      <c r="J181" s="22" t="s">
        <v>162</v>
      </c>
      <c r="K181" s="22" t="s">
        <v>84</v>
      </c>
      <c r="L181" s="54" t="s">
        <v>156</v>
      </c>
      <c r="M181" s="24" t="s">
        <v>156</v>
      </c>
      <c r="N181" s="24" t="s">
        <v>153</v>
      </c>
      <c r="O181" s="28" t="s">
        <v>163</v>
      </c>
      <c r="P181" s="28" t="s">
        <v>163</v>
      </c>
      <c r="Q181" s="28" t="s">
        <v>163</v>
      </c>
      <c r="R181" s="29" t="s">
        <v>163</v>
      </c>
      <c r="S181" s="29" t="s">
        <v>163</v>
      </c>
      <c r="T181" s="29" t="s">
        <v>163</v>
      </c>
      <c r="U181" s="24" t="s">
        <v>153</v>
      </c>
      <c r="V181" s="54" t="s">
        <v>153</v>
      </c>
      <c r="W181" s="55" t="s">
        <v>1241</v>
      </c>
      <c r="X181" s="55" t="s">
        <v>1241</v>
      </c>
      <c r="Y181" s="55" t="s">
        <v>1241</v>
      </c>
      <c r="Z181" s="55" t="s">
        <v>1241</v>
      </c>
      <c r="AA181" s="55" t="s">
        <v>1241</v>
      </c>
      <c r="AB181" s="24" t="s">
        <v>153</v>
      </c>
      <c r="AC181" s="23" t="s">
        <v>153</v>
      </c>
      <c r="AD181" s="23" t="s">
        <v>153</v>
      </c>
      <c r="AE181" s="23" t="s">
        <v>153</v>
      </c>
      <c r="AF181" s="23" t="s">
        <v>153</v>
      </c>
      <c r="AG181" s="23" t="s">
        <v>153</v>
      </c>
      <c r="AH181" s="23" t="s">
        <v>153</v>
      </c>
      <c r="AI181" s="24" t="s">
        <v>153</v>
      </c>
      <c r="AJ181" s="24" t="s">
        <v>156</v>
      </c>
      <c r="AK181" s="24" t="s">
        <v>156</v>
      </c>
      <c r="AL181" s="23" t="s">
        <v>153</v>
      </c>
      <c r="AM181" s="23" t="s">
        <v>153</v>
      </c>
      <c r="AN181" s="23" t="s">
        <v>153</v>
      </c>
      <c r="AO181" s="23" t="s">
        <v>153</v>
      </c>
      <c r="AP181" s="23">
        <f>VALUE(14)</f>
        <v>14</v>
      </c>
      <c r="AQ181" s="23">
        <f>VALUE(0)</f>
        <v>0</v>
      </c>
      <c r="AR181" s="23">
        <f>VALUE(3)</f>
        <v>3</v>
      </c>
      <c r="AS181" s="23">
        <f>VALUE(0)</f>
        <v>0</v>
      </c>
      <c r="AT181" s="23">
        <f>VALUE(0)</f>
        <v>0</v>
      </c>
      <c r="AU181" s="23">
        <f>VALUE(3)</f>
        <v>3</v>
      </c>
      <c r="AV181" s="23">
        <f>VALUE(1)</f>
        <v>1</v>
      </c>
      <c r="AW181" s="23">
        <f>VALUE(0)</f>
        <v>0</v>
      </c>
      <c r="AX181" s="23" t="s">
        <v>158</v>
      </c>
      <c r="AY181" s="23" t="s">
        <v>446</v>
      </c>
      <c r="AZ181" s="23">
        <f>VALUE(0)</f>
        <v>0</v>
      </c>
      <c r="BA181" s="23">
        <f>VALUE(0)</f>
        <v>0</v>
      </c>
      <c r="BB181" s="23">
        <f>VALUE(0)</f>
        <v>0</v>
      </c>
      <c r="BC181" s="23">
        <f>VALUE(0)</f>
        <v>0</v>
      </c>
      <c r="BD181" s="23">
        <f>VALUE(0)</f>
        <v>0</v>
      </c>
      <c r="BE181" s="23">
        <f>VALUE(0)</f>
        <v>0</v>
      </c>
      <c r="BF181" s="23">
        <f>VALUE(0)</f>
        <v>0</v>
      </c>
      <c r="BG181" s="23">
        <f>VALUE(0)</f>
        <v>0</v>
      </c>
      <c r="BH181" s="23">
        <f>VALUE(0)</f>
        <v>0</v>
      </c>
      <c r="BI181" s="23">
        <f>VALUE(0)</f>
        <v>0</v>
      </c>
      <c r="BJ181" s="23">
        <f>VALUE(0)</f>
        <v>0</v>
      </c>
      <c r="BK181" s="12">
        <f>$AX$181*24</f>
        <v>11.666666666666666</v>
      </c>
      <c r="BL181" s="12">
        <f>$AY$181*24</f>
        <v>21.433333333333334</v>
      </c>
      <c r="BM181" s="12">
        <f>$BJ$181*24</f>
        <v>0</v>
      </c>
      <c r="BN181" s="12">
        <f>VALUE($I$181)/100</f>
        <v>1</v>
      </c>
      <c r="BO181" s="12">
        <v>0</v>
      </c>
      <c r="BP181" s="12">
        <v>5</v>
      </c>
      <c r="BQ181" s="12">
        <v>0</v>
      </c>
      <c r="BR181" s="12">
        <v>0</v>
      </c>
      <c r="BS181" s="12">
        <v>0</v>
      </c>
      <c r="BT181" s="12">
        <v>3</v>
      </c>
      <c r="BU181" s="12">
        <v>0</v>
      </c>
      <c r="BV181" s="12">
        <v>0</v>
      </c>
      <c r="BW181" s="12">
        <v>0</v>
      </c>
      <c r="BX181" s="12">
        <v>0</v>
      </c>
      <c r="BY181" s="12">
        <v>0</v>
      </c>
      <c r="BZ181" s="12">
        <v>0</v>
      </c>
      <c r="CA181" s="12">
        <v>0</v>
      </c>
    </row>
    <row r="182" spans="1:79" hidden="1" x14ac:dyDescent="0.2">
      <c r="A182" s="12" t="s">
        <v>120</v>
      </c>
      <c r="B182" s="12" t="s">
        <v>125</v>
      </c>
      <c r="C182" s="12" t="s">
        <v>125</v>
      </c>
      <c r="D182" s="22" t="s">
        <v>444</v>
      </c>
      <c r="E182" s="22" t="s">
        <v>161</v>
      </c>
      <c r="F182" s="22" t="s">
        <v>879</v>
      </c>
      <c r="G182" s="22" t="s">
        <v>880</v>
      </c>
      <c r="H182" s="22" t="s">
        <v>190</v>
      </c>
      <c r="I182" s="22" t="s">
        <v>151</v>
      </c>
      <c r="J182" s="22" t="s">
        <v>162</v>
      </c>
      <c r="K182" s="22" t="s">
        <v>84</v>
      </c>
      <c r="L182" s="54" t="s">
        <v>153</v>
      </c>
      <c r="M182" s="23" t="s">
        <v>153</v>
      </c>
      <c r="N182" s="24" t="s">
        <v>153</v>
      </c>
      <c r="O182" s="23" t="s">
        <v>153</v>
      </c>
      <c r="P182" s="23" t="s">
        <v>153</v>
      </c>
      <c r="Q182" s="23" t="s">
        <v>153</v>
      </c>
      <c r="R182" s="23" t="s">
        <v>153</v>
      </c>
      <c r="S182" s="23" t="s">
        <v>153</v>
      </c>
      <c r="T182" s="23" t="s">
        <v>153</v>
      </c>
      <c r="U182" s="24" t="s">
        <v>153</v>
      </c>
      <c r="V182" s="54" t="s">
        <v>153</v>
      </c>
      <c r="W182" s="23" t="s">
        <v>153</v>
      </c>
      <c r="X182" s="23" t="s">
        <v>153</v>
      </c>
      <c r="Y182" s="23" t="s">
        <v>153</v>
      </c>
      <c r="Z182" s="23" t="s">
        <v>153</v>
      </c>
      <c r="AA182" s="23" t="s">
        <v>153</v>
      </c>
      <c r="AB182" s="40" t="s">
        <v>153</v>
      </c>
      <c r="AC182" s="40" t="s">
        <v>153</v>
      </c>
      <c r="AD182" s="40" t="s">
        <v>153</v>
      </c>
      <c r="AE182" s="40" t="s">
        <v>153</v>
      </c>
      <c r="AF182" s="40" t="s">
        <v>153</v>
      </c>
      <c r="AG182" s="40" t="s">
        <v>153</v>
      </c>
      <c r="AH182" s="40" t="s">
        <v>153</v>
      </c>
      <c r="AI182" s="40" t="s">
        <v>153</v>
      </c>
      <c r="AJ182" s="40" t="s">
        <v>153</v>
      </c>
      <c r="AK182" s="40" t="s">
        <v>153</v>
      </c>
      <c r="AL182" s="40" t="s">
        <v>153</v>
      </c>
      <c r="AM182" s="40" t="s">
        <v>153</v>
      </c>
      <c r="AN182" s="40" t="s">
        <v>153</v>
      </c>
      <c r="AO182" s="40" t="s">
        <v>153</v>
      </c>
      <c r="AP182" s="23">
        <f>VALUE(2)</f>
        <v>2</v>
      </c>
      <c r="AQ182" s="23">
        <f>VALUE(0)</f>
        <v>0</v>
      </c>
      <c r="AR182" s="23">
        <f>VALUE(0)</f>
        <v>0</v>
      </c>
      <c r="AS182" s="23">
        <f>VALUE(0)</f>
        <v>0</v>
      </c>
      <c r="AT182" s="23">
        <f>VALUE(0)</f>
        <v>0</v>
      </c>
      <c r="AU182" s="23">
        <f>VALUE(0)</f>
        <v>0</v>
      </c>
      <c r="AV182" s="23">
        <f>VALUE(6)</f>
        <v>6</v>
      </c>
      <c r="AW182" s="23">
        <f>VALUE(0)</f>
        <v>0</v>
      </c>
      <c r="AX182" s="23">
        <f>VALUE(0)</f>
        <v>0</v>
      </c>
      <c r="AY182" s="23">
        <f>VALUE(0)</f>
        <v>0</v>
      </c>
      <c r="AZ182" s="23">
        <f>VALUE(0)</f>
        <v>0</v>
      </c>
      <c r="BA182" s="23">
        <f>VALUE(0)</f>
        <v>0</v>
      </c>
      <c r="BB182" s="23">
        <f>VALUE(0)</f>
        <v>0</v>
      </c>
      <c r="BC182" s="23">
        <f>VALUE(0)</f>
        <v>0</v>
      </c>
      <c r="BD182" s="23">
        <f>VALUE(0)</f>
        <v>0</v>
      </c>
      <c r="BE182" s="23">
        <f>VALUE(0)</f>
        <v>0</v>
      </c>
      <c r="BF182" s="23">
        <f>VALUE(0)</f>
        <v>0</v>
      </c>
      <c r="BG182" s="23">
        <f>VALUE(0)</f>
        <v>0</v>
      </c>
      <c r="BH182" s="23">
        <f>VALUE(0)</f>
        <v>0</v>
      </c>
      <c r="BI182" s="23">
        <f>VALUE(0)</f>
        <v>0</v>
      </c>
      <c r="BJ182" s="23">
        <f>VALUE(0)</f>
        <v>0</v>
      </c>
      <c r="BK182" s="12">
        <f>$AX$182*24</f>
        <v>0</v>
      </c>
      <c r="BL182" s="12">
        <f>$AY$182*24</f>
        <v>0</v>
      </c>
      <c r="BM182" s="12">
        <f>$BJ$182*24</f>
        <v>0</v>
      </c>
      <c r="BN182" s="12">
        <f>VALUE($I$182)/100</f>
        <v>1</v>
      </c>
      <c r="BO182" s="12">
        <v>0</v>
      </c>
      <c r="BP182" s="12">
        <v>0</v>
      </c>
      <c r="BQ182" s="12">
        <v>0</v>
      </c>
      <c r="BR182" s="12">
        <v>0</v>
      </c>
      <c r="BS182" s="12">
        <v>0</v>
      </c>
      <c r="BT182" s="12">
        <v>0</v>
      </c>
      <c r="BU182" s="12">
        <v>0</v>
      </c>
      <c r="BV182" s="12">
        <v>0</v>
      </c>
      <c r="BW182" s="12">
        <v>0</v>
      </c>
      <c r="BX182" s="12">
        <v>0</v>
      </c>
      <c r="BY182" s="12">
        <v>0</v>
      </c>
      <c r="BZ182" s="12">
        <v>0</v>
      </c>
      <c r="CA182" s="12">
        <v>0</v>
      </c>
    </row>
    <row r="183" spans="1:79" hidden="1" x14ac:dyDescent="0.2">
      <c r="A183" s="12" t="s">
        <v>120</v>
      </c>
      <c r="B183" s="12" t="s">
        <v>125</v>
      </c>
      <c r="C183" s="12" t="s">
        <v>125</v>
      </c>
      <c r="D183" s="22" t="s">
        <v>447</v>
      </c>
      <c r="E183" s="22" t="s">
        <v>161</v>
      </c>
      <c r="F183" s="22" t="s">
        <v>881</v>
      </c>
      <c r="G183" s="22" t="s">
        <v>882</v>
      </c>
      <c r="H183" s="22" t="s">
        <v>166</v>
      </c>
      <c r="I183" s="22" t="s">
        <v>151</v>
      </c>
      <c r="J183" s="22" t="s">
        <v>162</v>
      </c>
      <c r="K183" s="22" t="s">
        <v>84</v>
      </c>
      <c r="L183" s="54" t="s">
        <v>153</v>
      </c>
      <c r="M183" s="28" t="s">
        <v>163</v>
      </c>
      <c r="N183" s="24" t="s">
        <v>153</v>
      </c>
      <c r="O183" s="23" t="s">
        <v>153</v>
      </c>
      <c r="P183" s="23" t="s">
        <v>153</v>
      </c>
      <c r="Q183" s="23" t="s">
        <v>153</v>
      </c>
      <c r="R183" s="23" t="s">
        <v>153</v>
      </c>
      <c r="S183" s="23" t="s">
        <v>153</v>
      </c>
      <c r="T183" s="23" t="s">
        <v>153</v>
      </c>
      <c r="U183" s="24" t="s">
        <v>153</v>
      </c>
      <c r="V183" s="54" t="s">
        <v>153</v>
      </c>
      <c r="W183" s="23" t="s">
        <v>153</v>
      </c>
      <c r="X183" s="23" t="s">
        <v>153</v>
      </c>
      <c r="Y183" s="23" t="s">
        <v>153</v>
      </c>
      <c r="Z183" s="23" t="s">
        <v>153</v>
      </c>
      <c r="AA183" s="23" t="s">
        <v>153</v>
      </c>
      <c r="AB183" s="24" t="s">
        <v>153</v>
      </c>
      <c r="AC183" s="24" t="s">
        <v>156</v>
      </c>
      <c r="AD183" s="24" t="s">
        <v>156</v>
      </c>
      <c r="AE183" s="23" t="s">
        <v>153</v>
      </c>
      <c r="AF183" s="23" t="s">
        <v>153</v>
      </c>
      <c r="AG183" s="23" t="s">
        <v>153</v>
      </c>
      <c r="AH183" s="23" t="s">
        <v>153</v>
      </c>
      <c r="AI183" s="24" t="s">
        <v>153</v>
      </c>
      <c r="AJ183" s="23" t="s">
        <v>153</v>
      </c>
      <c r="AK183" s="23" t="s">
        <v>153</v>
      </c>
      <c r="AL183" s="23" t="s">
        <v>153</v>
      </c>
      <c r="AM183" s="23" t="s">
        <v>153</v>
      </c>
      <c r="AN183" s="23" t="s">
        <v>153</v>
      </c>
      <c r="AO183" s="23" t="s">
        <v>153</v>
      </c>
      <c r="AP183" s="23">
        <f>VALUE(18)</f>
        <v>18</v>
      </c>
      <c r="AQ183" s="23">
        <f>VALUE(0)</f>
        <v>0</v>
      </c>
      <c r="AR183" s="23">
        <f>VALUE(0)</f>
        <v>0</v>
      </c>
      <c r="AS183" s="23">
        <f>VALUE(0)</f>
        <v>0</v>
      </c>
      <c r="AT183" s="23">
        <f>VALUE(0)</f>
        <v>0</v>
      </c>
      <c r="AU183" s="23">
        <f>VALUE(1)</f>
        <v>1</v>
      </c>
      <c r="AV183" s="23">
        <f>VALUE(2)</f>
        <v>2</v>
      </c>
      <c r="AW183" s="23">
        <f>VALUE(0)</f>
        <v>0</v>
      </c>
      <c r="AX183" s="23" t="s">
        <v>1242</v>
      </c>
      <c r="AY183" s="23">
        <f>VALUE(0)</f>
        <v>0</v>
      </c>
      <c r="AZ183" s="23">
        <f>VALUE(0)</f>
        <v>0</v>
      </c>
      <c r="BA183" s="23">
        <f>VALUE(0)</f>
        <v>0</v>
      </c>
      <c r="BB183" s="23">
        <f>VALUE(0)</f>
        <v>0</v>
      </c>
      <c r="BC183" s="23">
        <f>VALUE(0)</f>
        <v>0</v>
      </c>
      <c r="BD183" s="23">
        <f>VALUE(0)</f>
        <v>0</v>
      </c>
      <c r="BE183" s="23">
        <f>VALUE(0)</f>
        <v>0</v>
      </c>
      <c r="BF183" s="23">
        <f>VALUE(0)</f>
        <v>0</v>
      </c>
      <c r="BG183" s="23">
        <f>VALUE(0)</f>
        <v>0</v>
      </c>
      <c r="BH183" s="23">
        <f>VALUE(0)</f>
        <v>0</v>
      </c>
      <c r="BI183" s="23">
        <f>VALUE(0)</f>
        <v>0</v>
      </c>
      <c r="BJ183" s="23">
        <f>VALUE(0)</f>
        <v>0</v>
      </c>
      <c r="BK183" s="12">
        <f>$AX$183*24</f>
        <v>20.166666666666668</v>
      </c>
      <c r="BL183" s="12">
        <f>$AY$183*24</f>
        <v>0</v>
      </c>
      <c r="BM183" s="12">
        <f>$BJ$183*24</f>
        <v>0</v>
      </c>
      <c r="BN183" s="12">
        <f>VALUE($I$183)/100</f>
        <v>1</v>
      </c>
      <c r="BO183" s="12">
        <v>0</v>
      </c>
      <c r="BP183" s="12">
        <v>0</v>
      </c>
      <c r="BQ183" s="12">
        <v>0</v>
      </c>
      <c r="BR183" s="12">
        <v>0</v>
      </c>
      <c r="BS183" s="12">
        <v>0</v>
      </c>
      <c r="BT183" s="12">
        <v>0</v>
      </c>
      <c r="BU183" s="12">
        <v>0</v>
      </c>
      <c r="BV183" s="12">
        <v>0</v>
      </c>
      <c r="BW183" s="12">
        <v>0</v>
      </c>
      <c r="BX183" s="12">
        <v>0</v>
      </c>
      <c r="BY183" s="12">
        <v>0</v>
      </c>
      <c r="BZ183" s="12">
        <v>0</v>
      </c>
      <c r="CA183" s="12">
        <v>0</v>
      </c>
    </row>
    <row r="184" spans="1:79" hidden="1" x14ac:dyDescent="0.2">
      <c r="A184" s="12" t="s">
        <v>120</v>
      </c>
      <c r="B184" s="12" t="s">
        <v>125</v>
      </c>
      <c r="C184" s="12" t="s">
        <v>125</v>
      </c>
      <c r="D184" s="22" t="s">
        <v>447</v>
      </c>
      <c r="E184" s="22" t="s">
        <v>161</v>
      </c>
      <c r="F184" s="22" t="s">
        <v>1243</v>
      </c>
      <c r="G184" s="22" t="s">
        <v>883</v>
      </c>
      <c r="H184" s="22" t="s">
        <v>279</v>
      </c>
      <c r="I184" s="22" t="s">
        <v>151</v>
      </c>
      <c r="J184" s="22" t="s">
        <v>162</v>
      </c>
      <c r="K184" s="22" t="s">
        <v>84</v>
      </c>
      <c r="L184" s="54" t="s">
        <v>153</v>
      </c>
      <c r="M184" s="23" t="s">
        <v>153</v>
      </c>
      <c r="N184" s="24" t="s">
        <v>153</v>
      </c>
      <c r="O184" s="23" t="s">
        <v>448</v>
      </c>
      <c r="P184" s="23" t="s">
        <v>448</v>
      </c>
      <c r="Q184" s="23" t="s">
        <v>448</v>
      </c>
      <c r="R184" s="23" t="s">
        <v>448</v>
      </c>
      <c r="S184" s="23" t="s">
        <v>448</v>
      </c>
      <c r="T184" s="23" t="s">
        <v>448</v>
      </c>
      <c r="U184" s="24" t="s">
        <v>153</v>
      </c>
      <c r="V184" s="54" t="s">
        <v>153</v>
      </c>
      <c r="W184" s="27" t="s">
        <v>153</v>
      </c>
      <c r="X184" s="27" t="s">
        <v>153</v>
      </c>
      <c r="Y184" s="27" t="s">
        <v>153</v>
      </c>
      <c r="Z184" s="27" t="s">
        <v>153</v>
      </c>
      <c r="AA184" s="27" t="s">
        <v>153</v>
      </c>
      <c r="AB184" s="24" t="s">
        <v>153</v>
      </c>
      <c r="AC184" s="27" t="s">
        <v>153</v>
      </c>
      <c r="AD184" s="27" t="s">
        <v>153</v>
      </c>
      <c r="AE184" s="27" t="s">
        <v>153</v>
      </c>
      <c r="AF184" s="27" t="s">
        <v>153</v>
      </c>
      <c r="AG184" s="27" t="s">
        <v>153</v>
      </c>
      <c r="AH184" s="27" t="s">
        <v>153</v>
      </c>
      <c r="AI184" s="24" t="s">
        <v>153</v>
      </c>
      <c r="AJ184" s="27" t="s">
        <v>153</v>
      </c>
      <c r="AK184" s="27" t="s">
        <v>153</v>
      </c>
      <c r="AL184" s="27" t="s">
        <v>153</v>
      </c>
      <c r="AM184" s="27" t="s">
        <v>153</v>
      </c>
      <c r="AN184" s="27" t="s">
        <v>153</v>
      </c>
      <c r="AO184" s="27" t="s">
        <v>153</v>
      </c>
      <c r="AP184" s="23">
        <f>VALUE(0)</f>
        <v>0</v>
      </c>
      <c r="AQ184" s="23">
        <f>VALUE(0)</f>
        <v>0</v>
      </c>
      <c r="AR184" s="23">
        <f>VALUE(0)</f>
        <v>0</v>
      </c>
      <c r="AS184" s="23">
        <f>VALUE(0)</f>
        <v>0</v>
      </c>
      <c r="AT184" s="23">
        <f>VALUE(0)</f>
        <v>0</v>
      </c>
      <c r="AU184" s="23">
        <f>VALUE(0)</f>
        <v>0</v>
      </c>
      <c r="AV184" s="23">
        <f>VALUE(0)</f>
        <v>0</v>
      </c>
      <c r="AW184" s="23">
        <f>VALUE(0)</f>
        <v>0</v>
      </c>
      <c r="AX184" s="23">
        <f>VALUE(0)</f>
        <v>0</v>
      </c>
      <c r="AY184" s="23">
        <f>VALUE(0)</f>
        <v>0</v>
      </c>
      <c r="AZ184" s="23">
        <f>VALUE(0)</f>
        <v>0</v>
      </c>
      <c r="BA184" s="23">
        <f>VALUE(0)</f>
        <v>0</v>
      </c>
      <c r="BB184" s="23">
        <f>VALUE(0)</f>
        <v>0</v>
      </c>
      <c r="BC184" s="23">
        <f>VALUE(0)</f>
        <v>0</v>
      </c>
      <c r="BD184" s="23">
        <f>VALUE(0)</f>
        <v>0</v>
      </c>
      <c r="BE184" s="23">
        <f>VALUE(0)</f>
        <v>0</v>
      </c>
      <c r="BF184" s="23">
        <f>VALUE(0)</f>
        <v>0</v>
      </c>
      <c r="BG184" s="23">
        <f>VALUE(0)</f>
        <v>0</v>
      </c>
      <c r="BH184" s="23">
        <f>VALUE(0)</f>
        <v>0</v>
      </c>
      <c r="BI184" s="23">
        <f>VALUE(0)</f>
        <v>0</v>
      </c>
      <c r="BJ184" s="23">
        <f>VALUE(0)</f>
        <v>0</v>
      </c>
      <c r="BK184" s="12">
        <f>$AX$184*24</f>
        <v>0</v>
      </c>
      <c r="BL184" s="12">
        <f>$AY$184*24</f>
        <v>0</v>
      </c>
      <c r="BM184" s="12">
        <f>$BJ$184*24</f>
        <v>0</v>
      </c>
      <c r="BN184" s="12">
        <f>VALUE($I$184)/100</f>
        <v>1</v>
      </c>
      <c r="BO184" s="12">
        <v>0</v>
      </c>
      <c r="BP184" s="12">
        <v>0</v>
      </c>
      <c r="BQ184" s="12">
        <v>0</v>
      </c>
      <c r="BR184" s="12">
        <v>0</v>
      </c>
      <c r="BS184" s="12">
        <v>0</v>
      </c>
      <c r="BT184" s="12">
        <v>0</v>
      </c>
      <c r="BU184" s="12">
        <v>0</v>
      </c>
      <c r="BV184" s="12">
        <v>0</v>
      </c>
      <c r="BW184" s="12">
        <v>0</v>
      </c>
      <c r="BX184" s="12">
        <v>0</v>
      </c>
      <c r="BY184" s="12">
        <v>0</v>
      </c>
      <c r="BZ184" s="12">
        <v>0</v>
      </c>
      <c r="CA184" s="12">
        <v>0</v>
      </c>
    </row>
    <row r="185" spans="1:79" hidden="1" x14ac:dyDescent="0.2">
      <c r="A185" s="12" t="s">
        <v>120</v>
      </c>
      <c r="B185" s="12" t="s">
        <v>125</v>
      </c>
      <c r="C185" s="12" t="s">
        <v>125</v>
      </c>
      <c r="D185" s="22" t="s">
        <v>451</v>
      </c>
      <c r="E185" s="22" t="s">
        <v>161</v>
      </c>
      <c r="F185" s="22" t="s">
        <v>884</v>
      </c>
      <c r="G185" s="22" t="s">
        <v>885</v>
      </c>
      <c r="H185" s="22" t="s">
        <v>166</v>
      </c>
      <c r="I185" s="22" t="s">
        <v>194</v>
      </c>
      <c r="J185" s="22" t="s">
        <v>162</v>
      </c>
      <c r="K185" s="22" t="s">
        <v>84</v>
      </c>
      <c r="L185" s="54" t="s">
        <v>153</v>
      </c>
      <c r="M185" s="24" t="s">
        <v>195</v>
      </c>
      <c r="N185" s="24" t="s">
        <v>153</v>
      </c>
      <c r="O185" s="23" t="s">
        <v>153</v>
      </c>
      <c r="P185" s="23" t="s">
        <v>153</v>
      </c>
      <c r="Q185" s="23" t="s">
        <v>153</v>
      </c>
      <c r="R185" s="23" t="s">
        <v>153</v>
      </c>
      <c r="S185" s="23" t="s">
        <v>153</v>
      </c>
      <c r="T185" s="23" t="s">
        <v>153</v>
      </c>
      <c r="U185" s="24" t="s">
        <v>153</v>
      </c>
      <c r="V185" s="54" t="s">
        <v>153</v>
      </c>
      <c r="W185" s="23" t="s">
        <v>153</v>
      </c>
      <c r="X185" s="24" t="s">
        <v>156</v>
      </c>
      <c r="Y185" s="24" t="s">
        <v>156</v>
      </c>
      <c r="Z185" s="23" t="s">
        <v>153</v>
      </c>
      <c r="AA185" s="23" t="s">
        <v>153</v>
      </c>
      <c r="AB185" s="24" t="s">
        <v>153</v>
      </c>
      <c r="AC185" s="23" t="s">
        <v>153</v>
      </c>
      <c r="AD185" s="23" t="s">
        <v>153</v>
      </c>
      <c r="AE185" s="23" t="s">
        <v>153</v>
      </c>
      <c r="AF185" s="24" t="s">
        <v>195</v>
      </c>
      <c r="AG185" s="24" t="s">
        <v>195</v>
      </c>
      <c r="AH185" s="24" t="s">
        <v>195</v>
      </c>
      <c r="AI185" s="24" t="s">
        <v>153</v>
      </c>
      <c r="AJ185" s="23" t="s">
        <v>153</v>
      </c>
      <c r="AK185" s="23" t="s">
        <v>153</v>
      </c>
      <c r="AL185" s="23" t="s">
        <v>153</v>
      </c>
      <c r="AM185" s="23" t="s">
        <v>153</v>
      </c>
      <c r="AN185" s="23" t="s">
        <v>153</v>
      </c>
      <c r="AO185" s="23" t="s">
        <v>153</v>
      </c>
      <c r="AP185" s="23">
        <f>VALUE(15)</f>
        <v>15</v>
      </c>
      <c r="AQ185" s="23">
        <f>VALUE(0)</f>
        <v>0</v>
      </c>
      <c r="AR185" s="23">
        <f>VALUE(0)</f>
        <v>0</v>
      </c>
      <c r="AS185" s="23">
        <f>VALUE(0)</f>
        <v>0</v>
      </c>
      <c r="AT185" s="23">
        <f>VALUE(0)</f>
        <v>0</v>
      </c>
      <c r="AU185" s="23">
        <f>VALUE(0)</f>
        <v>0</v>
      </c>
      <c r="AV185" s="23">
        <f>VALUE(1)</f>
        <v>1</v>
      </c>
      <c r="AW185" s="23">
        <f>VALUE(0)</f>
        <v>0</v>
      </c>
      <c r="AX185" s="23" t="s">
        <v>452</v>
      </c>
      <c r="AY185" s="23">
        <f>VALUE(0)</f>
        <v>0</v>
      </c>
      <c r="AZ185" s="23">
        <f>VALUE(0)</f>
        <v>0</v>
      </c>
      <c r="BA185" s="23">
        <f>VALUE(0)</f>
        <v>0</v>
      </c>
      <c r="BB185" s="23">
        <f>VALUE(0)</f>
        <v>0</v>
      </c>
      <c r="BC185" s="23">
        <f>VALUE(0)</f>
        <v>0</v>
      </c>
      <c r="BD185" s="23">
        <f>VALUE(0)</f>
        <v>0</v>
      </c>
      <c r="BE185" s="23">
        <f>VALUE(0)</f>
        <v>0</v>
      </c>
      <c r="BF185" s="23">
        <f>VALUE(0)</f>
        <v>0</v>
      </c>
      <c r="BG185" s="23">
        <f>VALUE(0)</f>
        <v>0</v>
      </c>
      <c r="BH185" s="23">
        <f>VALUE(0)</f>
        <v>0</v>
      </c>
      <c r="BI185" s="23">
        <f>VALUE(0)</f>
        <v>0</v>
      </c>
      <c r="BJ185" s="23">
        <f>VALUE(0)</f>
        <v>0</v>
      </c>
      <c r="BK185" s="12">
        <f>$AX$185*24</f>
        <v>21.266666666666666</v>
      </c>
      <c r="BL185" s="12">
        <f>$AY$185*24</f>
        <v>0</v>
      </c>
      <c r="BM185" s="12">
        <f>$BJ$185*24</f>
        <v>0</v>
      </c>
      <c r="BN185" s="12">
        <f>VALUE($I$185)/100</f>
        <v>0.8</v>
      </c>
      <c r="BO185" s="12">
        <v>0</v>
      </c>
      <c r="BP185" s="12">
        <v>0</v>
      </c>
      <c r="BQ185" s="12">
        <v>0</v>
      </c>
      <c r="BR185" s="12">
        <v>0</v>
      </c>
      <c r="BS185" s="12">
        <v>0</v>
      </c>
      <c r="BT185" s="12">
        <v>0</v>
      </c>
      <c r="BU185" s="12">
        <v>0</v>
      </c>
      <c r="BV185" s="12">
        <v>0</v>
      </c>
      <c r="BW185" s="12">
        <v>0</v>
      </c>
      <c r="BX185" s="12">
        <v>0</v>
      </c>
      <c r="BY185" s="12">
        <v>0</v>
      </c>
      <c r="BZ185" s="12">
        <v>0</v>
      </c>
      <c r="CA185" s="12">
        <v>0</v>
      </c>
    </row>
    <row r="186" spans="1:79" hidden="1" x14ac:dyDescent="0.2">
      <c r="A186" s="12" t="s">
        <v>120</v>
      </c>
      <c r="B186" s="12" t="s">
        <v>125</v>
      </c>
      <c r="C186" s="12" t="s">
        <v>125</v>
      </c>
      <c r="D186" s="22" t="s">
        <v>453</v>
      </c>
      <c r="E186" s="22" t="s">
        <v>161</v>
      </c>
      <c r="F186" s="22" t="s">
        <v>1244</v>
      </c>
      <c r="G186" s="22" t="s">
        <v>886</v>
      </c>
      <c r="H186" s="22" t="s">
        <v>150</v>
      </c>
      <c r="I186" s="22" t="s">
        <v>151</v>
      </c>
      <c r="J186" s="22" t="s">
        <v>162</v>
      </c>
      <c r="K186" s="22" t="s">
        <v>84</v>
      </c>
      <c r="L186" s="54" t="s">
        <v>153</v>
      </c>
      <c r="M186" s="23" t="s">
        <v>153</v>
      </c>
      <c r="N186" s="24" t="s">
        <v>153</v>
      </c>
      <c r="O186" s="23" t="s">
        <v>153</v>
      </c>
      <c r="P186" s="23" t="s">
        <v>153</v>
      </c>
      <c r="Q186" s="24" t="s">
        <v>156</v>
      </c>
      <c r="R186" s="24" t="s">
        <v>156</v>
      </c>
      <c r="S186" s="23" t="s">
        <v>153</v>
      </c>
      <c r="T186" s="23" t="s">
        <v>153</v>
      </c>
      <c r="U186" s="24" t="s">
        <v>153</v>
      </c>
      <c r="V186" s="54" t="s">
        <v>153</v>
      </c>
      <c r="W186" s="23" t="s">
        <v>153</v>
      </c>
      <c r="X186" s="23" t="s">
        <v>153</v>
      </c>
      <c r="Y186" s="23" t="s">
        <v>153</v>
      </c>
      <c r="Z186" s="23" t="s">
        <v>153</v>
      </c>
      <c r="AA186" s="23" t="s">
        <v>153</v>
      </c>
      <c r="AB186" s="24" t="s">
        <v>153</v>
      </c>
      <c r="AC186" s="23" t="s">
        <v>153</v>
      </c>
      <c r="AD186" s="23" t="s">
        <v>153</v>
      </c>
      <c r="AE186" s="23" t="s">
        <v>153</v>
      </c>
      <c r="AF186" s="23" t="s">
        <v>153</v>
      </c>
      <c r="AG186" s="23" t="s">
        <v>153</v>
      </c>
      <c r="AH186" s="23" t="s">
        <v>153</v>
      </c>
      <c r="AI186" s="24" t="s">
        <v>153</v>
      </c>
      <c r="AJ186" s="23" t="s">
        <v>153</v>
      </c>
      <c r="AK186" s="23" t="s">
        <v>153</v>
      </c>
      <c r="AL186" s="23" t="s">
        <v>153</v>
      </c>
      <c r="AM186" s="23" t="s">
        <v>153</v>
      </c>
      <c r="AN186" s="23" t="s">
        <v>153</v>
      </c>
      <c r="AO186" s="23" t="s">
        <v>153</v>
      </c>
      <c r="AP186" s="23">
        <f>VALUE(17)</f>
        <v>17</v>
      </c>
      <c r="AQ186" s="23">
        <f>VALUE(0)</f>
        <v>0</v>
      </c>
      <c r="AR186" s="23">
        <f>VALUE(0)</f>
        <v>0</v>
      </c>
      <c r="AS186" s="23">
        <f>VALUE(0)</f>
        <v>0</v>
      </c>
      <c r="AT186" s="23">
        <f>VALUE(0)</f>
        <v>0</v>
      </c>
      <c r="AU186" s="23">
        <f>VALUE(0)</f>
        <v>0</v>
      </c>
      <c r="AV186" s="23">
        <f>VALUE(4)</f>
        <v>4</v>
      </c>
      <c r="AW186" s="23">
        <f>VALUE(0)</f>
        <v>0</v>
      </c>
      <c r="AX186" s="23" t="s">
        <v>445</v>
      </c>
      <c r="AY186" s="23" t="s">
        <v>187</v>
      </c>
      <c r="AZ186" s="23">
        <f>VALUE(0)</f>
        <v>0</v>
      </c>
      <c r="BA186" s="23">
        <f>VALUE(0)</f>
        <v>0</v>
      </c>
      <c r="BB186" s="23">
        <f>VALUE(0)</f>
        <v>0</v>
      </c>
      <c r="BC186" s="23">
        <f>VALUE(0)</f>
        <v>0</v>
      </c>
      <c r="BD186" s="23">
        <f>VALUE(0)</f>
        <v>0</v>
      </c>
      <c r="BE186" s="23">
        <f>VALUE(0)</f>
        <v>0</v>
      </c>
      <c r="BF186" s="23">
        <f>VALUE(0)</f>
        <v>0</v>
      </c>
      <c r="BG186" s="23">
        <f>VALUE(0)</f>
        <v>0</v>
      </c>
      <c r="BH186" s="23">
        <f>VALUE(0)</f>
        <v>0</v>
      </c>
      <c r="BI186" s="23">
        <f>VALUE(0)</f>
        <v>0</v>
      </c>
      <c r="BJ186" s="23">
        <f>VALUE(0)</f>
        <v>0</v>
      </c>
      <c r="BK186" s="12">
        <f>$AX$186*24</f>
        <v>17.5</v>
      </c>
      <c r="BL186" s="12">
        <f>$AY$186*24</f>
        <v>6.1833333333333336</v>
      </c>
      <c r="BM186" s="12">
        <f>$BJ$186*24</f>
        <v>0</v>
      </c>
      <c r="BN186" s="12">
        <f>VALUE($I$186)/100</f>
        <v>1</v>
      </c>
      <c r="BO186" s="12">
        <v>0</v>
      </c>
      <c r="BP186" s="12">
        <v>0</v>
      </c>
      <c r="BQ186" s="12">
        <v>0</v>
      </c>
      <c r="BR186" s="12">
        <v>0</v>
      </c>
      <c r="BS186" s="12">
        <v>0</v>
      </c>
      <c r="BT186" s="12">
        <v>0</v>
      </c>
      <c r="BU186" s="12">
        <v>0</v>
      </c>
      <c r="BV186" s="12">
        <v>0</v>
      </c>
      <c r="BW186" s="12">
        <v>0</v>
      </c>
      <c r="BX186" s="12">
        <v>0</v>
      </c>
      <c r="BY186" s="12">
        <v>0</v>
      </c>
      <c r="BZ186" s="12">
        <v>0</v>
      </c>
      <c r="CA186" s="12">
        <v>0</v>
      </c>
    </row>
    <row r="187" spans="1:79" hidden="1" x14ac:dyDescent="0.2">
      <c r="A187" s="12" t="s">
        <v>120</v>
      </c>
      <c r="B187" s="12" t="s">
        <v>125</v>
      </c>
      <c r="C187" s="12" t="s">
        <v>125</v>
      </c>
      <c r="D187" s="22" t="s">
        <v>454</v>
      </c>
      <c r="E187" s="22" t="s">
        <v>161</v>
      </c>
      <c r="F187" s="22" t="s">
        <v>887</v>
      </c>
      <c r="G187" s="22" t="s">
        <v>888</v>
      </c>
      <c r="H187" s="22" t="s">
        <v>150</v>
      </c>
      <c r="I187" s="22" t="s">
        <v>151</v>
      </c>
      <c r="J187" s="22" t="s">
        <v>162</v>
      </c>
      <c r="K187" s="22" t="s">
        <v>84</v>
      </c>
      <c r="L187" s="54" t="s">
        <v>153</v>
      </c>
      <c r="M187" s="23" t="s">
        <v>153</v>
      </c>
      <c r="N187" s="24" t="s">
        <v>153</v>
      </c>
      <c r="O187" s="23" t="s">
        <v>153</v>
      </c>
      <c r="P187" s="23" t="s">
        <v>153</v>
      </c>
      <c r="Q187" s="23" t="s">
        <v>153</v>
      </c>
      <c r="R187" s="23" t="s">
        <v>153</v>
      </c>
      <c r="S187" s="23" t="s">
        <v>153</v>
      </c>
      <c r="T187" s="23" t="s">
        <v>153</v>
      </c>
      <c r="U187" s="24" t="s">
        <v>153</v>
      </c>
      <c r="V187" s="54" t="s">
        <v>153</v>
      </c>
      <c r="W187" s="28" t="s">
        <v>163</v>
      </c>
      <c r="X187" s="28" t="s">
        <v>163</v>
      </c>
      <c r="Y187" s="28" t="s">
        <v>163</v>
      </c>
      <c r="Z187" s="28" t="s">
        <v>163</v>
      </c>
      <c r="AA187" s="28" t="s">
        <v>163</v>
      </c>
      <c r="AB187" s="24" t="s">
        <v>153</v>
      </c>
      <c r="AC187" s="23" t="s">
        <v>153</v>
      </c>
      <c r="AD187" s="23" t="s">
        <v>153</v>
      </c>
      <c r="AE187" s="23" t="s">
        <v>153</v>
      </c>
      <c r="AF187" s="23" t="s">
        <v>153</v>
      </c>
      <c r="AG187" s="23" t="s">
        <v>153</v>
      </c>
      <c r="AH187" s="23" t="s">
        <v>153</v>
      </c>
      <c r="AI187" s="24" t="s">
        <v>153</v>
      </c>
      <c r="AJ187" s="23" t="s">
        <v>153</v>
      </c>
      <c r="AK187" s="23" t="s">
        <v>153</v>
      </c>
      <c r="AL187" s="23" t="s">
        <v>153</v>
      </c>
      <c r="AM187" s="23" t="s">
        <v>153</v>
      </c>
      <c r="AN187" s="24" t="s">
        <v>156</v>
      </c>
      <c r="AO187" s="24" t="s">
        <v>156</v>
      </c>
      <c r="AP187" s="23">
        <f>VALUE(12)</f>
        <v>12</v>
      </c>
      <c r="AQ187" s="23">
        <f>VALUE(0)</f>
        <v>0</v>
      </c>
      <c r="AR187" s="23">
        <f>VALUE(0)</f>
        <v>0</v>
      </c>
      <c r="AS187" s="23">
        <f>VALUE(0)</f>
        <v>0</v>
      </c>
      <c r="AT187" s="23">
        <f>VALUE(0)</f>
        <v>0</v>
      </c>
      <c r="AU187" s="23">
        <f>VALUE(5)</f>
        <v>5</v>
      </c>
      <c r="AV187" s="23">
        <f>VALUE(3)</f>
        <v>3</v>
      </c>
      <c r="AW187" s="23">
        <f>VALUE(0)</f>
        <v>0</v>
      </c>
      <c r="AX187" s="23">
        <f>VALUE(0)</f>
        <v>0</v>
      </c>
      <c r="AY187" s="23" t="s">
        <v>455</v>
      </c>
      <c r="AZ187" s="23">
        <f>VALUE(0)</f>
        <v>0</v>
      </c>
      <c r="BA187" s="23">
        <f>VALUE(0)</f>
        <v>0</v>
      </c>
      <c r="BB187" s="23">
        <f>VALUE(0)</f>
        <v>0</v>
      </c>
      <c r="BC187" s="23">
        <f>VALUE(0)</f>
        <v>0</v>
      </c>
      <c r="BD187" s="23">
        <f>VALUE(0)</f>
        <v>0</v>
      </c>
      <c r="BE187" s="23">
        <f>VALUE(0)</f>
        <v>0</v>
      </c>
      <c r="BF187" s="23">
        <f>VALUE(0)</f>
        <v>0</v>
      </c>
      <c r="BG187" s="23">
        <f>VALUE(0)</f>
        <v>0</v>
      </c>
      <c r="BH187" s="23">
        <f>VALUE(0)</f>
        <v>0</v>
      </c>
      <c r="BI187" s="23">
        <f>VALUE(0)</f>
        <v>0</v>
      </c>
      <c r="BJ187" s="23">
        <f>VALUE(0)</f>
        <v>0</v>
      </c>
      <c r="BK187" s="12">
        <f>$AX$187*24</f>
        <v>0</v>
      </c>
      <c r="BL187" s="12">
        <f>$AY$187*24</f>
        <v>3.2333333333333334</v>
      </c>
      <c r="BM187" s="12">
        <f>$BJ$187*24</f>
        <v>0</v>
      </c>
      <c r="BN187" s="12">
        <f>VALUE($I$187)/100</f>
        <v>1</v>
      </c>
      <c r="BO187" s="12">
        <v>0</v>
      </c>
      <c r="BP187" s="12">
        <v>0</v>
      </c>
      <c r="BQ187" s="12">
        <v>0</v>
      </c>
      <c r="BR187" s="12">
        <v>0</v>
      </c>
      <c r="BS187" s="12">
        <v>0</v>
      </c>
      <c r="BT187" s="12">
        <v>0</v>
      </c>
      <c r="BU187" s="12">
        <v>0</v>
      </c>
      <c r="BV187" s="12">
        <v>0</v>
      </c>
      <c r="BW187" s="12">
        <v>0</v>
      </c>
      <c r="BX187" s="12">
        <v>0</v>
      </c>
      <c r="BY187" s="12">
        <v>0</v>
      </c>
      <c r="BZ187" s="12">
        <v>0</v>
      </c>
      <c r="CA187" s="12">
        <v>0</v>
      </c>
    </row>
    <row r="188" spans="1:79" hidden="1" x14ac:dyDescent="0.2">
      <c r="A188" s="12" t="s">
        <v>120</v>
      </c>
      <c r="B188" s="12" t="s">
        <v>125</v>
      </c>
      <c r="C188" s="12" t="s">
        <v>125</v>
      </c>
      <c r="D188" s="22" t="s">
        <v>456</v>
      </c>
      <c r="E188" s="22" t="s">
        <v>161</v>
      </c>
      <c r="F188" s="22" t="s">
        <v>1245</v>
      </c>
      <c r="G188" s="22" t="s">
        <v>889</v>
      </c>
      <c r="H188" s="22" t="s">
        <v>190</v>
      </c>
      <c r="I188" s="22" t="s">
        <v>151</v>
      </c>
      <c r="J188" s="22" t="s">
        <v>162</v>
      </c>
      <c r="K188" s="22" t="s">
        <v>84</v>
      </c>
      <c r="L188" s="54" t="s">
        <v>153</v>
      </c>
      <c r="M188" s="23" t="s">
        <v>153</v>
      </c>
      <c r="N188" s="24" t="s">
        <v>153</v>
      </c>
      <c r="O188" s="23" t="s">
        <v>153</v>
      </c>
      <c r="P188" s="23" t="s">
        <v>153</v>
      </c>
      <c r="Q188" s="23" t="s">
        <v>153</v>
      </c>
      <c r="R188" s="23" t="s">
        <v>153</v>
      </c>
      <c r="S188" s="23" t="s">
        <v>153</v>
      </c>
      <c r="T188" s="23" t="s">
        <v>153</v>
      </c>
      <c r="U188" s="24" t="s">
        <v>153</v>
      </c>
      <c r="V188" s="54" t="s">
        <v>153</v>
      </c>
      <c r="W188" s="23" t="s">
        <v>153</v>
      </c>
      <c r="X188" s="23" t="s">
        <v>153</v>
      </c>
      <c r="Y188" s="23" t="s">
        <v>153</v>
      </c>
      <c r="Z188" s="23" t="s">
        <v>153</v>
      </c>
      <c r="AA188" s="23" t="s">
        <v>153</v>
      </c>
      <c r="AB188" s="24" t="s">
        <v>153</v>
      </c>
      <c r="AC188" s="23" t="s">
        <v>153</v>
      </c>
      <c r="AD188" s="23" t="s">
        <v>153</v>
      </c>
      <c r="AE188" s="23" t="s">
        <v>153</v>
      </c>
      <c r="AF188" s="23" t="s">
        <v>153</v>
      </c>
      <c r="AG188" s="24" t="s">
        <v>156</v>
      </c>
      <c r="AH188" s="24" t="s">
        <v>156</v>
      </c>
      <c r="AI188" s="24" t="s">
        <v>153</v>
      </c>
      <c r="AJ188" s="23" t="s">
        <v>153</v>
      </c>
      <c r="AK188" s="23" t="s">
        <v>153</v>
      </c>
      <c r="AL188" s="23" t="s">
        <v>153</v>
      </c>
      <c r="AM188" s="23" t="s">
        <v>153</v>
      </c>
      <c r="AN188" s="23" t="s">
        <v>153</v>
      </c>
      <c r="AO188" s="23" t="s">
        <v>153</v>
      </c>
      <c r="AP188" s="23">
        <f>VALUE(0)</f>
        <v>0</v>
      </c>
      <c r="AQ188" s="23">
        <f>VALUE(0)</f>
        <v>0</v>
      </c>
      <c r="AR188" s="23">
        <f>VALUE(0)</f>
        <v>0</v>
      </c>
      <c r="AS188" s="23">
        <f>VALUE(0)</f>
        <v>0</v>
      </c>
      <c r="AT188" s="23">
        <f>VALUE(0)</f>
        <v>0</v>
      </c>
      <c r="AU188" s="23">
        <f>VALUE(0)</f>
        <v>0</v>
      </c>
      <c r="AV188" s="23">
        <f>VALUE(7)</f>
        <v>7</v>
      </c>
      <c r="AW188" s="23">
        <f>VALUE(0)</f>
        <v>0</v>
      </c>
      <c r="AX188" s="23">
        <f>VALUE(0)</f>
        <v>0</v>
      </c>
      <c r="AY188" s="23">
        <f>VALUE(0)</f>
        <v>0</v>
      </c>
      <c r="AZ188" s="23">
        <f>VALUE(0)</f>
        <v>0</v>
      </c>
      <c r="BA188" s="23">
        <f>VALUE(0)</f>
        <v>0</v>
      </c>
      <c r="BB188" s="23">
        <f>VALUE(0)</f>
        <v>0</v>
      </c>
      <c r="BC188" s="23">
        <f>VALUE(0)</f>
        <v>0</v>
      </c>
      <c r="BD188" s="23">
        <f>VALUE(0)</f>
        <v>0</v>
      </c>
      <c r="BE188" s="23">
        <f>VALUE(0)</f>
        <v>0</v>
      </c>
      <c r="BF188" s="23">
        <f>VALUE(0)</f>
        <v>0</v>
      </c>
      <c r="BG188" s="23">
        <f>VALUE(0)</f>
        <v>0</v>
      </c>
      <c r="BH188" s="23">
        <f>VALUE(0)</f>
        <v>0</v>
      </c>
      <c r="BI188" s="23">
        <f>VALUE(0)</f>
        <v>0</v>
      </c>
      <c r="BJ188" s="23">
        <f>VALUE(0)</f>
        <v>0</v>
      </c>
      <c r="BK188" s="12">
        <f>$AX$188*24</f>
        <v>0</v>
      </c>
      <c r="BL188" s="12">
        <f>$AY$188*24</f>
        <v>0</v>
      </c>
      <c r="BM188" s="12">
        <f>$BJ$188*24</f>
        <v>0</v>
      </c>
      <c r="BN188" s="12">
        <f>VALUE($I$188)/100</f>
        <v>1</v>
      </c>
      <c r="BO188" s="12">
        <v>0</v>
      </c>
      <c r="BP188" s="12">
        <v>0</v>
      </c>
      <c r="BQ188" s="12">
        <v>0</v>
      </c>
      <c r="BR188" s="12">
        <v>0</v>
      </c>
      <c r="BS188" s="12">
        <v>0</v>
      </c>
      <c r="BT188" s="12">
        <v>0</v>
      </c>
      <c r="BU188" s="12">
        <v>0</v>
      </c>
      <c r="BV188" s="12">
        <v>0</v>
      </c>
      <c r="BW188" s="12">
        <v>0</v>
      </c>
      <c r="BX188" s="12">
        <v>0</v>
      </c>
      <c r="BY188" s="12">
        <v>0</v>
      </c>
      <c r="BZ188" s="12">
        <v>0</v>
      </c>
      <c r="CA188" s="12">
        <v>0</v>
      </c>
    </row>
    <row r="189" spans="1:79" hidden="1" x14ac:dyDescent="0.2">
      <c r="A189" s="12" t="s">
        <v>120</v>
      </c>
      <c r="B189" s="12" t="s">
        <v>125</v>
      </c>
      <c r="C189" s="12" t="s">
        <v>125</v>
      </c>
      <c r="D189" s="22" t="s">
        <v>456</v>
      </c>
      <c r="E189" s="22" t="s">
        <v>161</v>
      </c>
      <c r="F189" s="22" t="s">
        <v>890</v>
      </c>
      <c r="G189" s="22" t="s">
        <v>891</v>
      </c>
      <c r="H189" s="22" t="s">
        <v>150</v>
      </c>
      <c r="I189" s="22" t="s">
        <v>151</v>
      </c>
      <c r="J189" s="22" t="s">
        <v>162</v>
      </c>
      <c r="K189" s="22" t="s">
        <v>84</v>
      </c>
      <c r="L189" s="54" t="s">
        <v>153</v>
      </c>
      <c r="M189" s="32" t="s">
        <v>416</v>
      </c>
      <c r="N189" s="24" t="s">
        <v>153</v>
      </c>
      <c r="O189" s="32" t="s">
        <v>416</v>
      </c>
      <c r="P189" s="32" t="s">
        <v>416</v>
      </c>
      <c r="Q189" s="32" t="s">
        <v>416</v>
      </c>
      <c r="R189" s="32" t="s">
        <v>416</v>
      </c>
      <c r="S189" s="32" t="s">
        <v>416</v>
      </c>
      <c r="T189" s="32" t="s">
        <v>416</v>
      </c>
      <c r="U189" s="24" t="s">
        <v>153</v>
      </c>
      <c r="V189" s="54" t="s">
        <v>153</v>
      </c>
      <c r="W189" s="32" t="s">
        <v>416</v>
      </c>
      <c r="X189" s="32" t="s">
        <v>416</v>
      </c>
      <c r="Y189" s="32" t="s">
        <v>416</v>
      </c>
      <c r="Z189" s="32" t="s">
        <v>416</v>
      </c>
      <c r="AA189" s="32" t="s">
        <v>416</v>
      </c>
      <c r="AB189" s="24" t="s">
        <v>153</v>
      </c>
      <c r="AC189" s="32" t="s">
        <v>416</v>
      </c>
      <c r="AD189" s="32" t="s">
        <v>416</v>
      </c>
      <c r="AE189" s="32" t="s">
        <v>416</v>
      </c>
      <c r="AF189" s="32" t="s">
        <v>416</v>
      </c>
      <c r="AG189" s="32" t="s">
        <v>416</v>
      </c>
      <c r="AH189" s="32" t="s">
        <v>416</v>
      </c>
      <c r="AI189" s="24" t="s">
        <v>153</v>
      </c>
      <c r="AJ189" s="32" t="s">
        <v>416</v>
      </c>
      <c r="AK189" s="32" t="s">
        <v>416</v>
      </c>
      <c r="AL189" s="32" t="s">
        <v>416</v>
      </c>
      <c r="AM189" s="32" t="s">
        <v>416</v>
      </c>
      <c r="AN189" s="32" t="s">
        <v>416</v>
      </c>
      <c r="AO189" s="32" t="s">
        <v>416</v>
      </c>
      <c r="AP189" s="23">
        <f>VALUE(3)</f>
        <v>3</v>
      </c>
      <c r="AQ189" s="23">
        <f>VALUE(0)</f>
        <v>0</v>
      </c>
      <c r="AR189" s="23">
        <f>VALUE(0)</f>
        <v>0</v>
      </c>
      <c r="AS189" s="23">
        <f>VALUE(0)</f>
        <v>0</v>
      </c>
      <c r="AT189" s="23">
        <f>VALUE(0)</f>
        <v>0</v>
      </c>
      <c r="AU189" s="23">
        <f>VALUE(0)</f>
        <v>0</v>
      </c>
      <c r="AV189" s="23">
        <f>VALUE(2)</f>
        <v>2</v>
      </c>
      <c r="AW189" s="23">
        <f>VALUE(0)</f>
        <v>0</v>
      </c>
      <c r="AX189" s="23" t="s">
        <v>158</v>
      </c>
      <c r="AY189" s="23" t="s">
        <v>457</v>
      </c>
      <c r="AZ189" s="23">
        <f>VALUE(0)</f>
        <v>0</v>
      </c>
      <c r="BA189" s="23">
        <f>VALUE(24)</f>
        <v>24</v>
      </c>
      <c r="BB189" s="23">
        <f>VALUE(0)</f>
        <v>0</v>
      </c>
      <c r="BC189" s="23">
        <f>VALUE(0)</f>
        <v>0</v>
      </c>
      <c r="BD189" s="23">
        <f>VALUE(0)</f>
        <v>0</v>
      </c>
      <c r="BE189" s="23">
        <f>VALUE(0)</f>
        <v>0</v>
      </c>
      <c r="BF189" s="23">
        <f>VALUE(0)</f>
        <v>0</v>
      </c>
      <c r="BG189" s="23">
        <f>VALUE(0)</f>
        <v>0</v>
      </c>
      <c r="BH189" s="23">
        <f>VALUE(0)</f>
        <v>0</v>
      </c>
      <c r="BI189" s="23">
        <f>VALUE(0)</f>
        <v>0</v>
      </c>
      <c r="BJ189" s="23">
        <f>VALUE(0)</f>
        <v>0</v>
      </c>
      <c r="BK189" s="12">
        <f>$AX$189*24</f>
        <v>11.666666666666666</v>
      </c>
      <c r="BL189" s="12">
        <f>$AY$189*24</f>
        <v>26.766666666666666</v>
      </c>
      <c r="BM189" s="12">
        <f>$BJ$189*24</f>
        <v>0</v>
      </c>
      <c r="BN189" s="12">
        <f>VALUE($I$189)/100</f>
        <v>1</v>
      </c>
      <c r="BO189" s="12">
        <v>0</v>
      </c>
      <c r="BP189" s="12">
        <v>0</v>
      </c>
      <c r="BQ189" s="12">
        <v>0</v>
      </c>
      <c r="BR189" s="12">
        <v>0</v>
      </c>
      <c r="BS189" s="12">
        <v>0</v>
      </c>
      <c r="BT189" s="12">
        <v>0</v>
      </c>
      <c r="BU189" s="12">
        <v>0</v>
      </c>
      <c r="BV189" s="12">
        <v>0</v>
      </c>
      <c r="BW189" s="12">
        <v>0</v>
      </c>
      <c r="BX189" s="12">
        <v>0</v>
      </c>
      <c r="BY189" s="12">
        <v>0</v>
      </c>
      <c r="BZ189" s="12">
        <v>0</v>
      </c>
      <c r="CA189" s="12">
        <v>0</v>
      </c>
    </row>
    <row r="190" spans="1:79" hidden="1" x14ac:dyDescent="0.2">
      <c r="A190" s="12" t="s">
        <v>120</v>
      </c>
      <c r="B190" s="12" t="s">
        <v>125</v>
      </c>
      <c r="C190" s="12" t="s">
        <v>125</v>
      </c>
      <c r="D190" s="22" t="s">
        <v>458</v>
      </c>
      <c r="E190" s="22" t="s">
        <v>161</v>
      </c>
      <c r="F190" s="22" t="s">
        <v>892</v>
      </c>
      <c r="G190" s="22" t="s">
        <v>893</v>
      </c>
      <c r="H190" s="22" t="s">
        <v>150</v>
      </c>
      <c r="I190" s="22" t="s">
        <v>151</v>
      </c>
      <c r="J190" s="22" t="s">
        <v>162</v>
      </c>
      <c r="K190" s="22" t="s">
        <v>84</v>
      </c>
      <c r="L190" s="54" t="s">
        <v>153</v>
      </c>
      <c r="M190" s="23" t="s">
        <v>459</v>
      </c>
      <c r="N190" s="24" t="s">
        <v>153</v>
      </c>
      <c r="O190" s="23" t="s">
        <v>459</v>
      </c>
      <c r="P190" s="23" t="s">
        <v>459</v>
      </c>
      <c r="Q190" s="23" t="s">
        <v>459</v>
      </c>
      <c r="R190" s="23" t="s">
        <v>459</v>
      </c>
      <c r="S190" s="23" t="s">
        <v>459</v>
      </c>
      <c r="T190" s="23" t="s">
        <v>459</v>
      </c>
      <c r="U190" s="24" t="s">
        <v>153</v>
      </c>
      <c r="V190" s="54" t="s">
        <v>153</v>
      </c>
      <c r="W190" s="23" t="s">
        <v>459</v>
      </c>
      <c r="X190" s="23" t="s">
        <v>459</v>
      </c>
      <c r="Y190" s="23" t="s">
        <v>459</v>
      </c>
      <c r="Z190" s="23" t="s">
        <v>459</v>
      </c>
      <c r="AA190" s="23" t="s">
        <v>459</v>
      </c>
      <c r="AB190" s="24" t="s">
        <v>153</v>
      </c>
      <c r="AC190" s="23" t="s">
        <v>459</v>
      </c>
      <c r="AD190" s="23" t="s">
        <v>459</v>
      </c>
      <c r="AE190" s="23" t="s">
        <v>459</v>
      </c>
      <c r="AF190" s="23" t="s">
        <v>459</v>
      </c>
      <c r="AG190" s="23" t="s">
        <v>459</v>
      </c>
      <c r="AH190" s="23" t="s">
        <v>459</v>
      </c>
      <c r="AI190" s="24" t="s">
        <v>153</v>
      </c>
      <c r="AJ190" s="23" t="s">
        <v>459</v>
      </c>
      <c r="AK190" s="23" t="s">
        <v>459</v>
      </c>
      <c r="AL190" s="24" t="s">
        <v>156</v>
      </c>
      <c r="AM190" s="24" t="s">
        <v>156</v>
      </c>
      <c r="AN190" s="23" t="s">
        <v>459</v>
      </c>
      <c r="AO190" s="23" t="s">
        <v>459</v>
      </c>
      <c r="AP190" s="23">
        <f>VALUE(17)</f>
        <v>17</v>
      </c>
      <c r="AQ190" s="23">
        <f>VALUE(0)</f>
        <v>0</v>
      </c>
      <c r="AR190" s="23">
        <f>VALUE(0)</f>
        <v>0</v>
      </c>
      <c r="AS190" s="23">
        <f>VALUE(0)</f>
        <v>0</v>
      </c>
      <c r="AT190" s="23">
        <f>VALUE(0)</f>
        <v>0</v>
      </c>
      <c r="AU190" s="23">
        <f>VALUE(0)</f>
        <v>0</v>
      </c>
      <c r="AV190" s="23">
        <f>VALUE(2)</f>
        <v>2</v>
      </c>
      <c r="AW190" s="23">
        <f>VALUE(0)</f>
        <v>0</v>
      </c>
      <c r="AX190" s="23">
        <f>VALUE(0)</f>
        <v>0</v>
      </c>
      <c r="AY190" s="23" t="s">
        <v>460</v>
      </c>
      <c r="AZ190" s="23">
        <f>VALUE(0)</f>
        <v>0</v>
      </c>
      <c r="BA190" s="23">
        <f>VALUE(0)</f>
        <v>0</v>
      </c>
      <c r="BB190" s="23">
        <f>VALUE(0)</f>
        <v>0</v>
      </c>
      <c r="BC190" s="23">
        <f>VALUE(0)</f>
        <v>0</v>
      </c>
      <c r="BD190" s="23">
        <f>VALUE(0)</f>
        <v>0</v>
      </c>
      <c r="BE190" s="23">
        <f>VALUE(0)</f>
        <v>0</v>
      </c>
      <c r="BF190" s="23">
        <f>VALUE(0)</f>
        <v>0</v>
      </c>
      <c r="BG190" s="23">
        <f>VALUE(0)</f>
        <v>0</v>
      </c>
      <c r="BH190" s="23">
        <f>VALUE(0)</f>
        <v>0</v>
      </c>
      <c r="BI190" s="23">
        <f>VALUE(0)</f>
        <v>0</v>
      </c>
      <c r="BJ190" s="23">
        <f>VALUE(0)</f>
        <v>0</v>
      </c>
      <c r="BK190" s="12">
        <f>$AX$190*24</f>
        <v>0</v>
      </c>
      <c r="BL190" s="12">
        <f>$AY$190*24</f>
        <v>4.3666666666666663</v>
      </c>
      <c r="BM190" s="12">
        <f>$BJ$190*24</f>
        <v>0</v>
      </c>
      <c r="BN190" s="12">
        <f>VALUE($I$190)/100</f>
        <v>1</v>
      </c>
      <c r="BO190" s="12">
        <v>0</v>
      </c>
      <c r="BP190" s="12">
        <v>0</v>
      </c>
      <c r="BQ190" s="12">
        <v>0</v>
      </c>
      <c r="BR190" s="12">
        <v>0</v>
      </c>
      <c r="BS190" s="12">
        <v>0</v>
      </c>
      <c r="BT190" s="12">
        <v>0</v>
      </c>
      <c r="BU190" s="12">
        <v>0</v>
      </c>
      <c r="BV190" s="12">
        <v>0</v>
      </c>
      <c r="BW190" s="12">
        <v>0</v>
      </c>
      <c r="BX190" s="12">
        <v>0</v>
      </c>
      <c r="BY190" s="12">
        <v>0</v>
      </c>
      <c r="BZ190" s="12">
        <v>0</v>
      </c>
      <c r="CA190" s="12">
        <v>0</v>
      </c>
    </row>
    <row r="191" spans="1:79" hidden="1" x14ac:dyDescent="0.2">
      <c r="A191" s="12" t="s">
        <v>120</v>
      </c>
      <c r="B191" s="12" t="s">
        <v>125</v>
      </c>
      <c r="C191" s="12" t="s">
        <v>125</v>
      </c>
      <c r="D191" s="22" t="s">
        <v>587</v>
      </c>
      <c r="E191" s="22" t="s">
        <v>173</v>
      </c>
      <c r="F191" s="22" t="s">
        <v>894</v>
      </c>
      <c r="G191" s="22" t="s">
        <v>895</v>
      </c>
      <c r="H191" s="22" t="s">
        <v>150</v>
      </c>
      <c r="I191" s="22" t="s">
        <v>151</v>
      </c>
      <c r="J191" s="22" t="s">
        <v>162</v>
      </c>
      <c r="K191" s="22" t="s">
        <v>84</v>
      </c>
      <c r="L191" s="54" t="s">
        <v>153</v>
      </c>
      <c r="M191" s="23" t="s">
        <v>442</v>
      </c>
      <c r="N191" s="24" t="s">
        <v>153</v>
      </c>
      <c r="O191" s="25" t="s">
        <v>1246</v>
      </c>
      <c r="P191" s="25" t="s">
        <v>1247</v>
      </c>
      <c r="Q191" s="25" t="s">
        <v>1247</v>
      </c>
      <c r="R191" s="25" t="s">
        <v>1247</v>
      </c>
      <c r="S191" s="25" t="s">
        <v>451</v>
      </c>
      <c r="T191" s="25" t="s">
        <v>451</v>
      </c>
      <c r="U191" s="24" t="s">
        <v>153</v>
      </c>
      <c r="V191" s="54" t="s">
        <v>156</v>
      </c>
      <c r="W191" s="24" t="s">
        <v>156</v>
      </c>
      <c r="X191" s="28" t="s">
        <v>163</v>
      </c>
      <c r="Y191" s="25" t="s">
        <v>1246</v>
      </c>
      <c r="Z191" s="25" t="s">
        <v>1246</v>
      </c>
      <c r="AA191" s="25" t="s">
        <v>1246</v>
      </c>
      <c r="AB191" s="24" t="s">
        <v>153</v>
      </c>
      <c r="AC191" s="23" t="s">
        <v>438</v>
      </c>
      <c r="AD191" s="23" t="s">
        <v>438</v>
      </c>
      <c r="AE191" s="25" t="s">
        <v>438</v>
      </c>
      <c r="AF191" s="25" t="s">
        <v>438</v>
      </c>
      <c r="AG191" s="23" t="s">
        <v>438</v>
      </c>
      <c r="AH191" s="23" t="s">
        <v>438</v>
      </c>
      <c r="AI191" s="24" t="s">
        <v>153</v>
      </c>
      <c r="AJ191" s="23" t="s">
        <v>438</v>
      </c>
      <c r="AK191" s="23" t="s">
        <v>438</v>
      </c>
      <c r="AL191" s="23" t="s">
        <v>438</v>
      </c>
      <c r="AM191" s="23" t="s">
        <v>438</v>
      </c>
      <c r="AN191" s="23" t="s">
        <v>438</v>
      </c>
      <c r="AO191" s="23" t="s">
        <v>438</v>
      </c>
      <c r="AP191" s="23">
        <f>VALUE(4)</f>
        <v>4</v>
      </c>
      <c r="AQ191" s="23">
        <f>VALUE(0)</f>
        <v>0</v>
      </c>
      <c r="AR191" s="23">
        <f>VALUE(0)</f>
        <v>0</v>
      </c>
      <c r="AS191" s="23">
        <f>VALUE(0)</f>
        <v>0</v>
      </c>
      <c r="AT191" s="23">
        <f>VALUE(0)</f>
        <v>0</v>
      </c>
      <c r="AU191" s="23">
        <f>VALUE(1)</f>
        <v>1</v>
      </c>
      <c r="AV191" s="23">
        <f>VALUE(3)</f>
        <v>3</v>
      </c>
      <c r="AW191" s="23">
        <f>VALUE(0)</f>
        <v>0</v>
      </c>
      <c r="AX191" s="23">
        <f>VALUE(0)</f>
        <v>0</v>
      </c>
      <c r="AY191" s="23">
        <f>VALUE(0)</f>
        <v>0</v>
      </c>
      <c r="AZ191" s="23">
        <f>VALUE(0)</f>
        <v>0</v>
      </c>
      <c r="BA191" s="23">
        <f>VALUE(0)</f>
        <v>0</v>
      </c>
      <c r="BB191" s="23">
        <f>VALUE(0)</f>
        <v>0</v>
      </c>
      <c r="BC191" s="23">
        <f>VALUE(0)</f>
        <v>0</v>
      </c>
      <c r="BD191" s="23">
        <f>VALUE(7)</f>
        <v>7</v>
      </c>
      <c r="BE191" s="23">
        <f>VALUE(0)</f>
        <v>0</v>
      </c>
      <c r="BF191" s="23">
        <f>VALUE(0)</f>
        <v>0</v>
      </c>
      <c r="BG191" s="23">
        <f>VALUE(0)</f>
        <v>0</v>
      </c>
      <c r="BH191" s="23">
        <f>VALUE(0)</f>
        <v>0</v>
      </c>
      <c r="BI191" s="23">
        <f>VALUE(0)</f>
        <v>0</v>
      </c>
      <c r="BJ191" s="23">
        <f>VALUE(0)</f>
        <v>0</v>
      </c>
      <c r="BK191" s="12">
        <f>$AX$191*24</f>
        <v>0</v>
      </c>
      <c r="BL191" s="12">
        <f>$AY$191*24</f>
        <v>0</v>
      </c>
      <c r="BM191" s="12">
        <f>$BJ$191*24</f>
        <v>0</v>
      </c>
      <c r="BN191" s="12">
        <f>VALUE($I$191)/100</f>
        <v>1</v>
      </c>
      <c r="BO191" s="12">
        <v>0</v>
      </c>
      <c r="BP191" s="12">
        <v>0</v>
      </c>
      <c r="BQ191" s="12">
        <v>0</v>
      </c>
      <c r="BR191" s="12">
        <v>7</v>
      </c>
      <c r="BS191" s="12">
        <v>0</v>
      </c>
      <c r="BT191" s="12">
        <v>0</v>
      </c>
      <c r="BU191" s="12">
        <v>0</v>
      </c>
      <c r="BV191" s="12">
        <v>0</v>
      </c>
      <c r="BW191" s="12">
        <v>0</v>
      </c>
      <c r="BX191" s="12">
        <v>0</v>
      </c>
      <c r="BY191" s="12">
        <v>0</v>
      </c>
      <c r="BZ191" s="12">
        <v>0</v>
      </c>
      <c r="CA191" s="12">
        <v>0</v>
      </c>
    </row>
    <row r="192" spans="1:79" hidden="1" x14ac:dyDescent="0.2">
      <c r="A192" s="12" t="s">
        <v>120</v>
      </c>
      <c r="B192" s="12" t="s">
        <v>125</v>
      </c>
      <c r="C192" s="12" t="s">
        <v>125</v>
      </c>
      <c r="D192" s="22" t="s">
        <v>461</v>
      </c>
      <c r="E192" s="22" t="s">
        <v>332</v>
      </c>
      <c r="F192" s="22" t="s">
        <v>896</v>
      </c>
      <c r="G192" s="22" t="s">
        <v>897</v>
      </c>
      <c r="H192" s="22" t="s">
        <v>150</v>
      </c>
      <c r="I192" s="22" t="s">
        <v>151</v>
      </c>
      <c r="J192" s="22" t="s">
        <v>162</v>
      </c>
      <c r="K192" s="22" t="s">
        <v>84</v>
      </c>
      <c r="L192" s="54" t="s">
        <v>153</v>
      </c>
      <c r="M192" s="23" t="s">
        <v>451</v>
      </c>
      <c r="N192" s="24" t="s">
        <v>153</v>
      </c>
      <c r="O192" s="24" t="s">
        <v>156</v>
      </c>
      <c r="P192" s="24" t="s">
        <v>156</v>
      </c>
      <c r="Q192" s="23" t="s">
        <v>453</v>
      </c>
      <c r="R192" s="23" t="s">
        <v>453</v>
      </c>
      <c r="S192" s="23" t="s">
        <v>442</v>
      </c>
      <c r="T192" s="23" t="s">
        <v>442</v>
      </c>
      <c r="U192" s="24" t="s">
        <v>153</v>
      </c>
      <c r="V192" s="54" t="s">
        <v>153</v>
      </c>
      <c r="W192" s="25" t="s">
        <v>438</v>
      </c>
      <c r="X192" s="23" t="s">
        <v>451</v>
      </c>
      <c r="Y192" s="23" t="s">
        <v>451</v>
      </c>
      <c r="Z192" s="23" t="s">
        <v>440</v>
      </c>
      <c r="AA192" s="23" t="s">
        <v>440</v>
      </c>
      <c r="AB192" s="24" t="s">
        <v>153</v>
      </c>
      <c r="AC192" s="23" t="s">
        <v>447</v>
      </c>
      <c r="AD192" s="23" t="s">
        <v>447</v>
      </c>
      <c r="AE192" s="25" t="s">
        <v>438</v>
      </c>
      <c r="AF192" s="25" t="s">
        <v>438</v>
      </c>
      <c r="AG192" s="23" t="s">
        <v>456</v>
      </c>
      <c r="AH192" s="23" t="s">
        <v>456</v>
      </c>
      <c r="AI192" s="24" t="s">
        <v>153</v>
      </c>
      <c r="AJ192" s="23" t="s">
        <v>444</v>
      </c>
      <c r="AK192" s="23" t="s">
        <v>444</v>
      </c>
      <c r="AL192" s="23" t="s">
        <v>459</v>
      </c>
      <c r="AM192" s="23" t="s">
        <v>459</v>
      </c>
      <c r="AN192" s="23" t="s">
        <v>454</v>
      </c>
      <c r="AO192" s="23" t="s">
        <v>454</v>
      </c>
      <c r="AP192" s="23">
        <f>VALUE(11)</f>
        <v>11</v>
      </c>
      <c r="AQ192" s="23">
        <f>VALUE(0)</f>
        <v>0</v>
      </c>
      <c r="AR192" s="23">
        <f>VALUE(0)</f>
        <v>0</v>
      </c>
      <c r="AS192" s="23">
        <f>VALUE(0)</f>
        <v>0</v>
      </c>
      <c r="AT192" s="23">
        <f>VALUE(0)</f>
        <v>0</v>
      </c>
      <c r="AU192" s="23">
        <f>VALUE(0)</f>
        <v>0</v>
      </c>
      <c r="AV192" s="23">
        <f>VALUE(2)</f>
        <v>2</v>
      </c>
      <c r="AW192" s="23">
        <f>VALUE(0)</f>
        <v>0</v>
      </c>
      <c r="AX192" s="23">
        <f>VALUE(0)</f>
        <v>0</v>
      </c>
      <c r="AY192" s="23">
        <f>VALUE(0)</f>
        <v>0</v>
      </c>
      <c r="AZ192" s="23">
        <f>VALUE(0)</f>
        <v>0</v>
      </c>
      <c r="BA192" s="23">
        <f>VALUE(0)</f>
        <v>0</v>
      </c>
      <c r="BB192" s="23">
        <f>VALUE(0)</f>
        <v>0</v>
      </c>
      <c r="BC192" s="23">
        <f>VALUE(0)</f>
        <v>0</v>
      </c>
      <c r="BD192" s="23">
        <f>VALUE(0)</f>
        <v>0</v>
      </c>
      <c r="BE192" s="23">
        <f>VALUE(0)</f>
        <v>0</v>
      </c>
      <c r="BF192" s="23">
        <f>VALUE(0)</f>
        <v>0</v>
      </c>
      <c r="BG192" s="23">
        <f>VALUE(0)</f>
        <v>0</v>
      </c>
      <c r="BH192" s="23">
        <f>VALUE(0)</f>
        <v>0</v>
      </c>
      <c r="BI192" s="23">
        <f>VALUE(0)</f>
        <v>0</v>
      </c>
      <c r="BJ192" s="23">
        <f>VALUE(0)</f>
        <v>0</v>
      </c>
      <c r="BK192" s="12">
        <f>$AX$192*24</f>
        <v>0</v>
      </c>
      <c r="BL192" s="12">
        <f>$AY$192*24</f>
        <v>0</v>
      </c>
      <c r="BM192" s="12">
        <f>$BJ$192*24</f>
        <v>0</v>
      </c>
      <c r="BN192" s="12">
        <f>VALUE($I$192)/100</f>
        <v>1</v>
      </c>
      <c r="BO192" s="12">
        <v>0</v>
      </c>
      <c r="BP192" s="12">
        <v>0</v>
      </c>
      <c r="BQ192" s="12">
        <v>0</v>
      </c>
      <c r="BR192" s="12">
        <v>0</v>
      </c>
      <c r="BS192" s="12">
        <v>0</v>
      </c>
      <c r="BT192" s="12">
        <v>0</v>
      </c>
      <c r="BU192" s="12">
        <v>0</v>
      </c>
      <c r="BV192" s="12">
        <v>0</v>
      </c>
      <c r="BW192" s="12">
        <v>0</v>
      </c>
      <c r="BX192" s="12">
        <v>0</v>
      </c>
      <c r="BY192" s="12">
        <v>0</v>
      </c>
      <c r="BZ192" s="12">
        <v>0</v>
      </c>
      <c r="CA192" s="12">
        <v>0</v>
      </c>
    </row>
    <row r="193" spans="1:79" ht="15" hidden="1" x14ac:dyDescent="0.25">
      <c r="A193" s="12" t="s">
        <v>120</v>
      </c>
      <c r="B193" s="12" t="s">
        <v>125</v>
      </c>
      <c r="C193" s="12" t="s">
        <v>125</v>
      </c>
      <c r="D193" s="31" t="s">
        <v>1248</v>
      </c>
      <c r="E193" s="31" t="s">
        <v>153</v>
      </c>
      <c r="F193" s="31" t="s">
        <v>175</v>
      </c>
      <c r="G193" s="31" t="s">
        <v>153</v>
      </c>
      <c r="H193" s="31" t="s">
        <v>153</v>
      </c>
      <c r="I193" s="31" t="s">
        <v>153</v>
      </c>
      <c r="J193" s="31" t="s">
        <v>153</v>
      </c>
      <c r="K193" s="31" t="s">
        <v>153</v>
      </c>
      <c r="L193" s="31">
        <f>VALUE(0)</f>
        <v>0</v>
      </c>
      <c r="M193" s="31">
        <f>VALUE(11)</f>
        <v>11</v>
      </c>
      <c r="N193" s="31">
        <f>VALUE(0)</f>
        <v>0</v>
      </c>
      <c r="O193" s="31">
        <f>VALUE(13)</f>
        <v>13</v>
      </c>
      <c r="P193" s="31">
        <f>VALUE(13)</f>
        <v>13</v>
      </c>
      <c r="Q193" s="31">
        <f>VALUE(13)</f>
        <v>13</v>
      </c>
      <c r="R193" s="31">
        <f>VALUE(13)</f>
        <v>13</v>
      </c>
      <c r="S193" s="31">
        <f>VALUE(13)</f>
        <v>13</v>
      </c>
      <c r="T193" s="31">
        <f>VALUE(13)</f>
        <v>13</v>
      </c>
      <c r="U193" s="31">
        <f>VALUE(0)</f>
        <v>0</v>
      </c>
      <c r="V193" s="31">
        <f>VALUE(0)</f>
        <v>0</v>
      </c>
      <c r="W193" s="31">
        <f>VALUE(11)</f>
        <v>11</v>
      </c>
      <c r="X193" s="31">
        <f>VALUE(10)</f>
        <v>10</v>
      </c>
      <c r="Y193" s="31">
        <f>VALUE(11)</f>
        <v>11</v>
      </c>
      <c r="Z193" s="31">
        <f>VALUE(11)</f>
        <v>11</v>
      </c>
      <c r="AA193" s="31">
        <f>VALUE(11)</f>
        <v>11</v>
      </c>
      <c r="AB193" s="31">
        <f>VALUE(0)</f>
        <v>0</v>
      </c>
      <c r="AC193" s="31">
        <f>VALUE(11)</f>
        <v>11</v>
      </c>
      <c r="AD193" s="31">
        <f>VALUE(11)</f>
        <v>11</v>
      </c>
      <c r="AE193" s="31">
        <f>VALUE(12)</f>
        <v>12</v>
      </c>
      <c r="AF193" s="31">
        <f>VALUE(11)</f>
        <v>11</v>
      </c>
      <c r="AG193" s="31">
        <f>VALUE(10)</f>
        <v>10</v>
      </c>
      <c r="AH193" s="31">
        <f>VALUE(10)</f>
        <v>10</v>
      </c>
      <c r="AI193" s="31">
        <f>VALUE(0)</f>
        <v>0</v>
      </c>
      <c r="AJ193" s="31">
        <f>VALUE(11)</f>
        <v>11</v>
      </c>
      <c r="AK193" s="31">
        <f>VALUE(11)</f>
        <v>11</v>
      </c>
      <c r="AL193" s="31">
        <f>VALUE(11)</f>
        <v>11</v>
      </c>
      <c r="AM193" s="31">
        <f>VALUE(11)</f>
        <v>11</v>
      </c>
      <c r="AN193" s="31">
        <f>VALUE(11)</f>
        <v>11</v>
      </c>
      <c r="AO193" s="31">
        <f>VALUE(11)</f>
        <v>11</v>
      </c>
      <c r="AP193" s="31">
        <v>0</v>
      </c>
      <c r="AQ193" s="31">
        <v>0</v>
      </c>
      <c r="AR193" s="31">
        <v>0</v>
      </c>
      <c r="AS193" s="31">
        <v>0</v>
      </c>
      <c r="AT193" s="31">
        <v>0</v>
      </c>
      <c r="AU193" s="31">
        <v>0</v>
      </c>
      <c r="AV193" s="31">
        <v>0</v>
      </c>
      <c r="AW193" s="31">
        <v>0</v>
      </c>
      <c r="AX193" s="31">
        <v>0</v>
      </c>
      <c r="AY193" s="31">
        <v>0</v>
      </c>
      <c r="AZ193" s="31">
        <v>0</v>
      </c>
      <c r="BA193" s="31">
        <v>0</v>
      </c>
      <c r="BB193" s="31">
        <v>0</v>
      </c>
      <c r="BC193" s="31">
        <v>0</v>
      </c>
      <c r="BD193" s="31">
        <v>0</v>
      </c>
      <c r="BE193" s="31">
        <v>0</v>
      </c>
      <c r="BF193" s="31">
        <v>0</v>
      </c>
      <c r="BG193" s="31">
        <v>0</v>
      </c>
      <c r="BH193" s="31">
        <v>0</v>
      </c>
      <c r="BI193" s="31">
        <v>0</v>
      </c>
      <c r="BJ193" s="31">
        <v>0</v>
      </c>
      <c r="BK193" s="12">
        <v>0</v>
      </c>
      <c r="BL193" s="12">
        <v>0</v>
      </c>
      <c r="BM193" s="12">
        <v>0</v>
      </c>
      <c r="BN193" s="12"/>
      <c r="BO193" s="12">
        <v>0</v>
      </c>
      <c r="BP193" s="12">
        <v>0</v>
      </c>
      <c r="BQ193" s="12">
        <v>0</v>
      </c>
      <c r="BR193" s="12">
        <v>0</v>
      </c>
      <c r="BS193" s="12">
        <v>0</v>
      </c>
      <c r="BT193" s="12">
        <v>0</v>
      </c>
      <c r="BU193" s="12">
        <v>0</v>
      </c>
      <c r="BV193" s="12">
        <v>0</v>
      </c>
      <c r="BW193" s="12">
        <v>0</v>
      </c>
      <c r="BX193" s="12">
        <v>0</v>
      </c>
      <c r="BY193" s="12">
        <v>0</v>
      </c>
      <c r="BZ193" s="12">
        <v>0</v>
      </c>
      <c r="CA193" s="12">
        <v>0</v>
      </c>
    </row>
    <row r="194" spans="1:79" hidden="1" x14ac:dyDescent="0.2">
      <c r="A194" s="12" t="s">
        <v>120</v>
      </c>
      <c r="B194" s="12" t="s">
        <v>126</v>
      </c>
      <c r="C194" s="12" t="s">
        <v>126</v>
      </c>
      <c r="D194" s="22" t="s">
        <v>462</v>
      </c>
      <c r="E194" s="22" t="s">
        <v>161</v>
      </c>
      <c r="F194" s="22" t="s">
        <v>898</v>
      </c>
      <c r="G194" s="22" t="s">
        <v>899</v>
      </c>
      <c r="H194" s="22" t="s">
        <v>150</v>
      </c>
      <c r="I194" s="22" t="s">
        <v>151</v>
      </c>
      <c r="J194" s="22" t="s">
        <v>162</v>
      </c>
      <c r="K194" s="22" t="s">
        <v>85</v>
      </c>
      <c r="L194" s="54" t="s">
        <v>153</v>
      </c>
      <c r="M194" s="23" t="s">
        <v>153</v>
      </c>
      <c r="N194" s="24" t="s">
        <v>153</v>
      </c>
      <c r="O194" s="28" t="s">
        <v>163</v>
      </c>
      <c r="P194" s="28" t="s">
        <v>163</v>
      </c>
      <c r="Q194" s="28" t="s">
        <v>163</v>
      </c>
      <c r="R194" s="28" t="s">
        <v>163</v>
      </c>
      <c r="S194" s="28" t="s">
        <v>163</v>
      </c>
      <c r="T194" s="28" t="s">
        <v>163</v>
      </c>
      <c r="U194" s="24" t="s">
        <v>153</v>
      </c>
      <c r="V194" s="54" t="s">
        <v>153</v>
      </c>
      <c r="W194" s="23" t="s">
        <v>153</v>
      </c>
      <c r="X194" s="23" t="s">
        <v>153</v>
      </c>
      <c r="Y194" s="23" t="s">
        <v>153</v>
      </c>
      <c r="Z194" s="23" t="s">
        <v>153</v>
      </c>
      <c r="AA194" s="23" t="s">
        <v>153</v>
      </c>
      <c r="AB194" s="24" t="s">
        <v>153</v>
      </c>
      <c r="AC194" s="23" t="s">
        <v>153</v>
      </c>
      <c r="AD194" s="23" t="s">
        <v>153</v>
      </c>
      <c r="AE194" s="23" t="s">
        <v>153</v>
      </c>
      <c r="AF194" s="23" t="s">
        <v>153</v>
      </c>
      <c r="AG194" s="23" t="s">
        <v>153</v>
      </c>
      <c r="AH194" s="23" t="s">
        <v>153</v>
      </c>
      <c r="AI194" s="24" t="s">
        <v>153</v>
      </c>
      <c r="AJ194" s="23" t="s">
        <v>153</v>
      </c>
      <c r="AK194" s="23" t="s">
        <v>153</v>
      </c>
      <c r="AL194" s="23" t="s">
        <v>153</v>
      </c>
      <c r="AM194" s="23" t="s">
        <v>153</v>
      </c>
      <c r="AN194" s="23" t="s">
        <v>153</v>
      </c>
      <c r="AO194" s="23" t="s">
        <v>153</v>
      </c>
      <c r="AP194" s="23">
        <f>VALUE(2)</f>
        <v>2</v>
      </c>
      <c r="AQ194" s="23">
        <f>VALUE(0)</f>
        <v>0</v>
      </c>
      <c r="AR194" s="23">
        <f>VALUE(0)</f>
        <v>0</v>
      </c>
      <c r="AS194" s="23">
        <f>VALUE(0)</f>
        <v>0</v>
      </c>
      <c r="AT194" s="23">
        <f>VALUE(0)</f>
        <v>0</v>
      </c>
      <c r="AU194" s="23">
        <f>VALUE(6)</f>
        <v>6</v>
      </c>
      <c r="AV194" s="23">
        <f>VALUE(0)</f>
        <v>0</v>
      </c>
      <c r="AW194" s="23">
        <f>VALUE(0)</f>
        <v>0</v>
      </c>
      <c r="AX194" s="23" t="s">
        <v>463</v>
      </c>
      <c r="AY194" s="23" t="s">
        <v>1249</v>
      </c>
      <c r="AZ194" s="23">
        <f>VALUE(0)</f>
        <v>0</v>
      </c>
      <c r="BA194" s="23">
        <f>VALUE(0)</f>
        <v>0</v>
      </c>
      <c r="BB194" s="23">
        <f>VALUE(0)</f>
        <v>0</v>
      </c>
      <c r="BC194" s="23">
        <f>VALUE(0)</f>
        <v>0</v>
      </c>
      <c r="BD194" s="23">
        <f>VALUE(0)</f>
        <v>0</v>
      </c>
      <c r="BE194" s="23">
        <f>VALUE(0)</f>
        <v>0</v>
      </c>
      <c r="BF194" s="23">
        <f>VALUE(0)</f>
        <v>0</v>
      </c>
      <c r="BG194" s="23">
        <f>VALUE(0)</f>
        <v>0</v>
      </c>
      <c r="BH194" s="23">
        <f>VALUE(0)</f>
        <v>0</v>
      </c>
      <c r="BI194" s="23">
        <f>VALUE(0)</f>
        <v>0</v>
      </c>
      <c r="BJ194" s="23">
        <f>VALUE(0)</f>
        <v>0</v>
      </c>
      <c r="BK194" s="12">
        <f>$AX$194*24</f>
        <v>11.316666666666666</v>
      </c>
      <c r="BL194" s="12">
        <f>$AY$194*24</f>
        <v>56.350000000000009</v>
      </c>
      <c r="BM194" s="12">
        <f>$BJ$194*24</f>
        <v>0</v>
      </c>
      <c r="BN194" s="12">
        <f>VALUE($I$194)/100</f>
        <v>1</v>
      </c>
      <c r="BO194" s="12">
        <v>0</v>
      </c>
      <c r="BP194" s="12">
        <v>0</v>
      </c>
      <c r="BQ194" s="12">
        <v>0</v>
      </c>
      <c r="BR194" s="12">
        <v>0</v>
      </c>
      <c r="BS194" s="12">
        <v>0</v>
      </c>
      <c r="BT194" s="12">
        <v>0</v>
      </c>
      <c r="BU194" s="12">
        <v>0</v>
      </c>
      <c r="BV194" s="12">
        <v>0</v>
      </c>
      <c r="BW194" s="12">
        <v>0</v>
      </c>
      <c r="BX194" s="12">
        <v>0</v>
      </c>
      <c r="BY194" s="12">
        <v>0</v>
      </c>
      <c r="BZ194" s="12">
        <v>0</v>
      </c>
      <c r="CA194" s="12">
        <v>0</v>
      </c>
    </row>
    <row r="195" spans="1:79" hidden="1" x14ac:dyDescent="0.2">
      <c r="A195" s="12" t="s">
        <v>120</v>
      </c>
      <c r="B195" s="12" t="s">
        <v>126</v>
      </c>
      <c r="C195" s="12" t="s">
        <v>126</v>
      </c>
      <c r="D195" s="22" t="s">
        <v>449</v>
      </c>
      <c r="E195" s="22" t="s">
        <v>161</v>
      </c>
      <c r="F195" s="22" t="s">
        <v>900</v>
      </c>
      <c r="G195" s="22" t="s">
        <v>901</v>
      </c>
      <c r="H195" s="22" t="s">
        <v>166</v>
      </c>
      <c r="I195" s="22" t="s">
        <v>151</v>
      </c>
      <c r="J195" s="22" t="s">
        <v>162</v>
      </c>
      <c r="K195" s="22" t="s">
        <v>85</v>
      </c>
      <c r="L195" s="54" t="s">
        <v>156</v>
      </c>
      <c r="M195" s="24" t="s">
        <v>156</v>
      </c>
      <c r="N195" s="24" t="s">
        <v>153</v>
      </c>
      <c r="O195" s="23" t="s">
        <v>153</v>
      </c>
      <c r="P195" s="23" t="s">
        <v>153</v>
      </c>
      <c r="Q195" s="23" t="s">
        <v>153</v>
      </c>
      <c r="R195" s="23" t="s">
        <v>153</v>
      </c>
      <c r="S195" s="23" t="s">
        <v>153</v>
      </c>
      <c r="T195" s="23" t="s">
        <v>153</v>
      </c>
      <c r="U195" s="24" t="s">
        <v>153</v>
      </c>
      <c r="V195" s="54" t="s">
        <v>153</v>
      </c>
      <c r="W195" s="28" t="s">
        <v>163</v>
      </c>
      <c r="X195" s="28" t="s">
        <v>163</v>
      </c>
      <c r="Y195" s="28" t="s">
        <v>163</v>
      </c>
      <c r="Z195" s="28" t="s">
        <v>163</v>
      </c>
      <c r="AA195" s="28" t="s">
        <v>163</v>
      </c>
      <c r="AB195" s="24" t="s">
        <v>153</v>
      </c>
      <c r="AC195" s="23" t="s">
        <v>153</v>
      </c>
      <c r="AD195" s="23" t="s">
        <v>153</v>
      </c>
      <c r="AE195" s="23" t="s">
        <v>153</v>
      </c>
      <c r="AF195" s="23" t="s">
        <v>153</v>
      </c>
      <c r="AG195" s="23" t="s">
        <v>153</v>
      </c>
      <c r="AH195" s="23" t="s">
        <v>153</v>
      </c>
      <c r="AI195" s="24" t="s">
        <v>153</v>
      </c>
      <c r="AJ195" s="28" t="s">
        <v>163</v>
      </c>
      <c r="AK195" s="28" t="s">
        <v>163</v>
      </c>
      <c r="AL195" s="28" t="s">
        <v>163</v>
      </c>
      <c r="AM195" s="28" t="s">
        <v>163</v>
      </c>
      <c r="AN195" s="28" t="s">
        <v>163</v>
      </c>
      <c r="AO195" s="28" t="s">
        <v>163</v>
      </c>
      <c r="AP195" s="23">
        <f>VALUE(2)</f>
        <v>2</v>
      </c>
      <c r="AQ195" s="23">
        <f>VALUE(0)</f>
        <v>0</v>
      </c>
      <c r="AR195" s="23">
        <f>VALUE(0)</f>
        <v>0</v>
      </c>
      <c r="AS195" s="23">
        <f>VALUE(0)</f>
        <v>0</v>
      </c>
      <c r="AT195" s="23">
        <f>VALUE(0)</f>
        <v>0</v>
      </c>
      <c r="AU195" s="23">
        <f>VALUE(11)</f>
        <v>11</v>
      </c>
      <c r="AV195" s="23">
        <f>VALUE(7)</f>
        <v>7</v>
      </c>
      <c r="AW195" s="23">
        <f>VALUE(0)</f>
        <v>0</v>
      </c>
      <c r="AX195" s="23" t="s">
        <v>1250</v>
      </c>
      <c r="AY195" s="23">
        <f>VALUE(0)</f>
        <v>0</v>
      </c>
      <c r="AZ195" s="23">
        <f>VALUE(0)</f>
        <v>0</v>
      </c>
      <c r="BA195" s="23">
        <f>VALUE(0)</f>
        <v>0</v>
      </c>
      <c r="BB195" s="23">
        <f>VALUE(0)</f>
        <v>0</v>
      </c>
      <c r="BC195" s="23">
        <f>VALUE(0)</f>
        <v>0</v>
      </c>
      <c r="BD195" s="23">
        <f>VALUE(0)</f>
        <v>0</v>
      </c>
      <c r="BE195" s="23">
        <f>VALUE(0)</f>
        <v>0</v>
      </c>
      <c r="BF195" s="23">
        <f>VALUE(0)</f>
        <v>0</v>
      </c>
      <c r="BG195" s="23">
        <f>VALUE(0)</f>
        <v>0</v>
      </c>
      <c r="BH195" s="23">
        <f>VALUE(0)</f>
        <v>0</v>
      </c>
      <c r="BI195" s="23">
        <f>VALUE(0)</f>
        <v>0</v>
      </c>
      <c r="BJ195" s="23">
        <f>VALUE(0)</f>
        <v>0</v>
      </c>
      <c r="BK195" s="12">
        <f>$AX$195*24</f>
        <v>18.55</v>
      </c>
      <c r="BL195" s="12">
        <f>$AY$195*24</f>
        <v>0</v>
      </c>
      <c r="BM195" s="12">
        <f>$BJ$195*24</f>
        <v>0</v>
      </c>
      <c r="BN195" s="12">
        <f>VALUE($I$195)/100</f>
        <v>1</v>
      </c>
      <c r="BO195" s="12">
        <v>0</v>
      </c>
      <c r="BP195" s="12">
        <v>0</v>
      </c>
      <c r="BQ195" s="12">
        <v>0</v>
      </c>
      <c r="BR195" s="12">
        <v>0</v>
      </c>
      <c r="BS195" s="12">
        <v>0</v>
      </c>
      <c r="BT195" s="12">
        <v>0</v>
      </c>
      <c r="BU195" s="12">
        <v>0</v>
      </c>
      <c r="BV195" s="12">
        <v>0</v>
      </c>
      <c r="BW195" s="12">
        <v>0</v>
      </c>
      <c r="BX195" s="12">
        <v>0</v>
      </c>
      <c r="BY195" s="12">
        <v>0</v>
      </c>
      <c r="BZ195" s="12">
        <v>0</v>
      </c>
      <c r="CA195" s="12">
        <v>0</v>
      </c>
    </row>
    <row r="196" spans="1:79" hidden="1" x14ac:dyDescent="0.2">
      <c r="A196" s="12" t="s">
        <v>120</v>
      </c>
      <c r="B196" s="12" t="s">
        <v>126</v>
      </c>
      <c r="C196" s="12" t="s">
        <v>126</v>
      </c>
      <c r="D196" s="22" t="s">
        <v>448</v>
      </c>
      <c r="E196" s="22" t="s">
        <v>161</v>
      </c>
      <c r="F196" s="22" t="s">
        <v>902</v>
      </c>
      <c r="G196" s="22" t="s">
        <v>903</v>
      </c>
      <c r="H196" s="22" t="s">
        <v>150</v>
      </c>
      <c r="I196" s="22" t="s">
        <v>151</v>
      </c>
      <c r="J196" s="22" t="s">
        <v>162</v>
      </c>
      <c r="K196" s="22" t="s">
        <v>85</v>
      </c>
      <c r="L196" s="54" t="s">
        <v>153</v>
      </c>
      <c r="M196" s="23" t="s">
        <v>153</v>
      </c>
      <c r="N196" s="24" t="s">
        <v>153</v>
      </c>
      <c r="O196" s="23" t="s">
        <v>462</v>
      </c>
      <c r="P196" s="23" t="s">
        <v>462</v>
      </c>
      <c r="Q196" s="23" t="s">
        <v>462</v>
      </c>
      <c r="R196" s="23" t="s">
        <v>462</v>
      </c>
      <c r="S196" s="25" t="s">
        <v>454</v>
      </c>
      <c r="T196" s="25" t="s">
        <v>454</v>
      </c>
      <c r="U196" s="24" t="s">
        <v>153</v>
      </c>
      <c r="V196" s="54" t="s">
        <v>153</v>
      </c>
      <c r="W196" s="23" t="s">
        <v>454</v>
      </c>
      <c r="X196" s="23" t="s">
        <v>454</v>
      </c>
      <c r="Y196" s="23" t="s">
        <v>454</v>
      </c>
      <c r="Z196" s="23" t="s">
        <v>454</v>
      </c>
      <c r="AA196" s="23" t="s">
        <v>454</v>
      </c>
      <c r="AB196" s="24" t="s">
        <v>153</v>
      </c>
      <c r="AC196" s="23" t="s">
        <v>153</v>
      </c>
      <c r="AD196" s="23" t="s">
        <v>153</v>
      </c>
      <c r="AE196" s="23" t="s">
        <v>153</v>
      </c>
      <c r="AF196" s="23" t="s">
        <v>451</v>
      </c>
      <c r="AG196" s="23" t="s">
        <v>451</v>
      </c>
      <c r="AH196" s="23" t="s">
        <v>451</v>
      </c>
      <c r="AI196" s="24" t="s">
        <v>153</v>
      </c>
      <c r="AJ196" s="23" t="s">
        <v>153</v>
      </c>
      <c r="AK196" s="23" t="s">
        <v>153</v>
      </c>
      <c r="AL196" s="23" t="s">
        <v>153</v>
      </c>
      <c r="AM196" s="23" t="s">
        <v>153</v>
      </c>
      <c r="AN196" s="23" t="s">
        <v>153</v>
      </c>
      <c r="AO196" s="23" t="s">
        <v>153</v>
      </c>
      <c r="AP196" s="23">
        <f>VALUE(7)</f>
        <v>7</v>
      </c>
      <c r="AQ196" s="23">
        <f>VALUE(0)</f>
        <v>0</v>
      </c>
      <c r="AR196" s="23">
        <f>VALUE(0)</f>
        <v>0</v>
      </c>
      <c r="AS196" s="23">
        <f>VALUE(0)</f>
        <v>0</v>
      </c>
      <c r="AT196" s="23">
        <f>VALUE(0)</f>
        <v>0</v>
      </c>
      <c r="AU196" s="23">
        <f>VALUE(0)</f>
        <v>0</v>
      </c>
      <c r="AV196" s="23">
        <f>VALUE(18)</f>
        <v>18</v>
      </c>
      <c r="AW196" s="23">
        <f>VALUE(0)</f>
        <v>0</v>
      </c>
      <c r="AX196" s="23">
        <f>VALUE(0)</f>
        <v>0</v>
      </c>
      <c r="AY196" s="23">
        <f>VALUE(0)</f>
        <v>0</v>
      </c>
      <c r="AZ196" s="23">
        <f>VALUE(0)</f>
        <v>0</v>
      </c>
      <c r="BA196" s="23">
        <f>VALUE(0)</f>
        <v>0</v>
      </c>
      <c r="BB196" s="23">
        <f>VALUE(0)</f>
        <v>0</v>
      </c>
      <c r="BC196" s="23">
        <f>VALUE(0)</f>
        <v>0</v>
      </c>
      <c r="BD196" s="23">
        <f>VALUE(0)</f>
        <v>0</v>
      </c>
      <c r="BE196" s="23">
        <f>VALUE(0)</f>
        <v>0</v>
      </c>
      <c r="BF196" s="23">
        <f>VALUE(0)</f>
        <v>0</v>
      </c>
      <c r="BG196" s="23">
        <f>VALUE(0)</f>
        <v>0</v>
      </c>
      <c r="BH196" s="23">
        <f>VALUE(0)</f>
        <v>0</v>
      </c>
      <c r="BI196" s="23">
        <f>VALUE(0)</f>
        <v>0</v>
      </c>
      <c r="BJ196" s="23">
        <f>VALUE(0)</f>
        <v>0</v>
      </c>
      <c r="BK196" s="12">
        <f>$AX$196*24</f>
        <v>0</v>
      </c>
      <c r="BL196" s="12">
        <f>$AY$196*24</f>
        <v>0</v>
      </c>
      <c r="BM196" s="12">
        <f>$BJ$196*24</f>
        <v>0</v>
      </c>
      <c r="BN196" s="12">
        <f>VALUE($I$196)/100</f>
        <v>1</v>
      </c>
      <c r="BO196" s="12">
        <v>0</v>
      </c>
      <c r="BP196" s="12">
        <v>0</v>
      </c>
      <c r="BQ196" s="12">
        <v>0</v>
      </c>
      <c r="BR196" s="12">
        <v>0</v>
      </c>
      <c r="BS196" s="12">
        <v>0</v>
      </c>
      <c r="BT196" s="12">
        <v>0</v>
      </c>
      <c r="BU196" s="12">
        <v>0</v>
      </c>
      <c r="BV196" s="12">
        <v>0</v>
      </c>
      <c r="BW196" s="12">
        <v>0</v>
      </c>
      <c r="BX196" s="12">
        <v>0</v>
      </c>
      <c r="BY196" s="12">
        <v>0</v>
      </c>
      <c r="BZ196" s="12">
        <v>0</v>
      </c>
      <c r="CA196" s="12">
        <v>0</v>
      </c>
    </row>
    <row r="197" spans="1:79" hidden="1" x14ac:dyDescent="0.2">
      <c r="A197" s="12" t="s">
        <v>120</v>
      </c>
      <c r="B197" s="12" t="s">
        <v>126</v>
      </c>
      <c r="C197" s="12" t="s">
        <v>126</v>
      </c>
      <c r="D197" s="22" t="s">
        <v>450</v>
      </c>
      <c r="E197" s="22" t="s">
        <v>161</v>
      </c>
      <c r="F197" s="22" t="s">
        <v>904</v>
      </c>
      <c r="G197" s="22" t="s">
        <v>905</v>
      </c>
      <c r="H197" s="22" t="s">
        <v>242</v>
      </c>
      <c r="I197" s="22" t="s">
        <v>151</v>
      </c>
      <c r="J197" s="22" t="s">
        <v>162</v>
      </c>
      <c r="K197" s="22" t="s">
        <v>85</v>
      </c>
      <c r="L197" s="54" t="s">
        <v>153</v>
      </c>
      <c r="M197" s="23" t="s">
        <v>153</v>
      </c>
      <c r="N197" s="24" t="s">
        <v>153</v>
      </c>
      <c r="O197" s="23" t="s">
        <v>153</v>
      </c>
      <c r="P197" s="23" t="s">
        <v>153</v>
      </c>
      <c r="Q197" s="23" t="s">
        <v>153</v>
      </c>
      <c r="R197" s="23" t="s">
        <v>153</v>
      </c>
      <c r="S197" s="23" t="s">
        <v>153</v>
      </c>
      <c r="T197" s="23" t="s">
        <v>153</v>
      </c>
      <c r="U197" s="24" t="s">
        <v>153</v>
      </c>
      <c r="V197" s="54" t="s">
        <v>153</v>
      </c>
      <c r="W197" s="23" t="s">
        <v>153</v>
      </c>
      <c r="X197" s="23" t="s">
        <v>153</v>
      </c>
      <c r="Y197" s="23" t="s">
        <v>153</v>
      </c>
      <c r="Z197" s="23" t="s">
        <v>153</v>
      </c>
      <c r="AA197" s="23" t="s">
        <v>153</v>
      </c>
      <c r="AB197" s="24" t="s">
        <v>153</v>
      </c>
      <c r="AC197" s="27" t="s">
        <v>153</v>
      </c>
      <c r="AD197" s="27" t="s">
        <v>153</v>
      </c>
      <c r="AE197" s="27" t="s">
        <v>153</v>
      </c>
      <c r="AF197" s="27" t="s">
        <v>153</v>
      </c>
      <c r="AG197" s="27" t="s">
        <v>153</v>
      </c>
      <c r="AH197" s="27" t="s">
        <v>153</v>
      </c>
      <c r="AI197" s="24" t="s">
        <v>153</v>
      </c>
      <c r="AJ197" s="27" t="s">
        <v>153</v>
      </c>
      <c r="AK197" s="27" t="s">
        <v>153</v>
      </c>
      <c r="AL197" s="27" t="s">
        <v>153</v>
      </c>
      <c r="AM197" s="27" t="s">
        <v>153</v>
      </c>
      <c r="AN197" s="27" t="s">
        <v>153</v>
      </c>
      <c r="AO197" s="27" t="s">
        <v>153</v>
      </c>
      <c r="AP197" s="23">
        <f>VALUE(0)</f>
        <v>0</v>
      </c>
      <c r="AQ197" s="23">
        <f>VALUE(0)</f>
        <v>0</v>
      </c>
      <c r="AR197" s="23">
        <f>VALUE(0)</f>
        <v>0</v>
      </c>
      <c r="AS197" s="23">
        <f>VALUE(0)</f>
        <v>0</v>
      </c>
      <c r="AT197" s="23">
        <f>VALUE(0)</f>
        <v>0</v>
      </c>
      <c r="AU197" s="23">
        <f>VALUE(0)</f>
        <v>0</v>
      </c>
      <c r="AV197" s="23">
        <f>VALUE(0)</f>
        <v>0</v>
      </c>
      <c r="AW197" s="23">
        <f>VALUE(0)</f>
        <v>0</v>
      </c>
      <c r="AX197" s="23">
        <f>VALUE(0)</f>
        <v>0</v>
      </c>
      <c r="AY197" s="23">
        <f>VALUE(0)</f>
        <v>0</v>
      </c>
      <c r="AZ197" s="23">
        <f>VALUE(0)</f>
        <v>0</v>
      </c>
      <c r="BA197" s="23">
        <f>VALUE(0)</f>
        <v>0</v>
      </c>
      <c r="BB197" s="23">
        <f>VALUE(0)</f>
        <v>0</v>
      </c>
      <c r="BC197" s="23">
        <f>VALUE(0)</f>
        <v>0</v>
      </c>
      <c r="BD197" s="23">
        <f>VALUE(0)</f>
        <v>0</v>
      </c>
      <c r="BE197" s="23">
        <f>VALUE(0)</f>
        <v>0</v>
      </c>
      <c r="BF197" s="23">
        <f>VALUE(0)</f>
        <v>0</v>
      </c>
      <c r="BG197" s="23">
        <f>VALUE(0)</f>
        <v>0</v>
      </c>
      <c r="BH197" s="23">
        <f>VALUE(0)</f>
        <v>0</v>
      </c>
      <c r="BI197" s="23">
        <f>VALUE(0)</f>
        <v>0</v>
      </c>
      <c r="BJ197" s="23">
        <f>VALUE(0)</f>
        <v>0</v>
      </c>
      <c r="BK197" s="12">
        <f>$AX$197*24</f>
        <v>0</v>
      </c>
      <c r="BL197" s="12">
        <f>$AY$197*24</f>
        <v>0</v>
      </c>
      <c r="BM197" s="12">
        <f>$BJ$197*24</f>
        <v>0</v>
      </c>
      <c r="BN197" s="12">
        <f>VALUE($I$197)/100</f>
        <v>1</v>
      </c>
      <c r="BO197" s="12">
        <v>0</v>
      </c>
      <c r="BP197" s="12">
        <v>0</v>
      </c>
      <c r="BQ197" s="12">
        <v>0</v>
      </c>
      <c r="BR197" s="12">
        <v>0</v>
      </c>
      <c r="BS197" s="12">
        <v>0</v>
      </c>
      <c r="BT197" s="12">
        <v>0</v>
      </c>
      <c r="BU197" s="12">
        <v>0</v>
      </c>
      <c r="BV197" s="12">
        <v>0</v>
      </c>
      <c r="BW197" s="12">
        <v>0</v>
      </c>
      <c r="BX197" s="12">
        <v>0</v>
      </c>
      <c r="BY197" s="12">
        <v>0</v>
      </c>
      <c r="BZ197" s="12">
        <v>0</v>
      </c>
      <c r="CA197" s="12">
        <v>0</v>
      </c>
    </row>
    <row r="198" spans="1:79" x14ac:dyDescent="0.2">
      <c r="A198" s="12" t="s">
        <v>120</v>
      </c>
      <c r="B198" s="12" t="s">
        <v>126</v>
      </c>
      <c r="C198" s="12" t="s">
        <v>126</v>
      </c>
      <c r="D198" s="22" t="s">
        <v>450</v>
      </c>
      <c r="E198" s="22" t="s">
        <v>161</v>
      </c>
      <c r="F198" s="22" t="s">
        <v>906</v>
      </c>
      <c r="G198" s="22" t="s">
        <v>907</v>
      </c>
      <c r="H198" s="22" t="s">
        <v>150</v>
      </c>
      <c r="I198" s="22" t="s">
        <v>151</v>
      </c>
      <c r="J198" s="22" t="s">
        <v>162</v>
      </c>
      <c r="K198" s="22" t="s">
        <v>85</v>
      </c>
      <c r="L198" s="54" t="s">
        <v>153</v>
      </c>
      <c r="M198" s="23" t="s">
        <v>153</v>
      </c>
      <c r="N198" s="24" t="s">
        <v>153</v>
      </c>
      <c r="O198" s="29" t="s">
        <v>163</v>
      </c>
      <c r="P198" s="29" t="s">
        <v>163</v>
      </c>
      <c r="Q198" s="29" t="s">
        <v>163</v>
      </c>
      <c r="R198" s="29" t="s">
        <v>163</v>
      </c>
      <c r="S198" s="29" t="s">
        <v>163</v>
      </c>
      <c r="T198" s="29" t="s">
        <v>163</v>
      </c>
      <c r="U198" s="24" t="s">
        <v>153</v>
      </c>
      <c r="V198" s="54" t="s">
        <v>153</v>
      </c>
      <c r="W198" s="29" t="s">
        <v>163</v>
      </c>
      <c r="X198" s="29" t="s">
        <v>163</v>
      </c>
      <c r="Y198" s="29" t="s">
        <v>163</v>
      </c>
      <c r="Z198" s="29" t="s">
        <v>163</v>
      </c>
      <c r="AA198" s="29" t="s">
        <v>163</v>
      </c>
      <c r="AB198" s="24" t="s">
        <v>153</v>
      </c>
      <c r="AC198" s="23" t="s">
        <v>153</v>
      </c>
      <c r="AD198" s="23" t="s">
        <v>153</v>
      </c>
      <c r="AE198" s="23" t="s">
        <v>153</v>
      </c>
      <c r="AF198" s="23" t="s">
        <v>153</v>
      </c>
      <c r="AG198" s="23" t="s">
        <v>153</v>
      </c>
      <c r="AH198" s="23" t="s">
        <v>153</v>
      </c>
      <c r="AI198" s="24" t="s">
        <v>153</v>
      </c>
      <c r="AJ198" s="23" t="s">
        <v>153</v>
      </c>
      <c r="AK198" s="23" t="s">
        <v>153</v>
      </c>
      <c r="AL198" s="23" t="s">
        <v>153</v>
      </c>
      <c r="AM198" s="23" t="s">
        <v>153</v>
      </c>
      <c r="AN198" s="23" t="s">
        <v>153</v>
      </c>
      <c r="AO198" s="23" t="s">
        <v>153</v>
      </c>
      <c r="AP198" s="23">
        <f>VALUE(4)</f>
        <v>4</v>
      </c>
      <c r="AQ198" s="23">
        <f>VALUE(0)</f>
        <v>0</v>
      </c>
      <c r="AR198" s="23">
        <f>VALUE(11)</f>
        <v>11</v>
      </c>
      <c r="AS198" s="23">
        <f>VALUE(0)</f>
        <v>0</v>
      </c>
      <c r="AT198" s="23">
        <f>VALUE(0)</f>
        <v>0</v>
      </c>
      <c r="AU198" s="23">
        <f>VALUE(0)</f>
        <v>0</v>
      </c>
      <c r="AV198" s="23">
        <f>VALUE(8)</f>
        <v>8</v>
      </c>
      <c r="AW198" s="23">
        <f>VALUE(0)</f>
        <v>0</v>
      </c>
      <c r="AX198" s="23" t="s">
        <v>171</v>
      </c>
      <c r="AY198" s="23" t="s">
        <v>465</v>
      </c>
      <c r="AZ198" s="23">
        <f>VALUE(0)</f>
        <v>0</v>
      </c>
      <c r="BA198" s="23">
        <f>VALUE(0)</f>
        <v>0</v>
      </c>
      <c r="BB198" s="23">
        <f>VALUE(0)</f>
        <v>0</v>
      </c>
      <c r="BC198" s="23">
        <f>VALUE(0)</f>
        <v>0</v>
      </c>
      <c r="BD198" s="23">
        <f>VALUE(0)</f>
        <v>0</v>
      </c>
      <c r="BE198" s="23">
        <f>VALUE(0)</f>
        <v>0</v>
      </c>
      <c r="BF198" s="23">
        <f>VALUE(0)</f>
        <v>0</v>
      </c>
      <c r="BG198" s="23">
        <f>VALUE(0)</f>
        <v>0</v>
      </c>
      <c r="BH198" s="23">
        <f>VALUE(0)</f>
        <v>0</v>
      </c>
      <c r="BI198" s="23">
        <f>VALUE(0)</f>
        <v>0</v>
      </c>
      <c r="BJ198" s="23">
        <f>VALUE(0)</f>
        <v>0</v>
      </c>
      <c r="BK198" s="12">
        <f>$AX$198*24</f>
        <v>5.833333333333333</v>
      </c>
      <c r="BL198" s="12">
        <f>$AY$198*24</f>
        <v>6.25</v>
      </c>
      <c r="BM198" s="12">
        <f>$BJ$198*24</f>
        <v>0</v>
      </c>
      <c r="BN198" s="12">
        <f>VALUE($I$198)/100</f>
        <v>1</v>
      </c>
      <c r="BO198" s="12">
        <v>0</v>
      </c>
      <c r="BP198" s="12">
        <v>0</v>
      </c>
      <c r="BQ198" s="12">
        <v>0</v>
      </c>
      <c r="BR198" s="12">
        <v>0</v>
      </c>
      <c r="BS198" s="12">
        <v>0</v>
      </c>
      <c r="BT198" s="12">
        <v>11</v>
      </c>
      <c r="BU198" s="12">
        <v>0</v>
      </c>
      <c r="BV198" s="12">
        <v>0</v>
      </c>
      <c r="BW198" s="12">
        <v>0</v>
      </c>
      <c r="BX198" s="12">
        <v>0</v>
      </c>
      <c r="BY198" s="12">
        <v>0</v>
      </c>
      <c r="BZ198" s="12">
        <v>0</v>
      </c>
      <c r="CA198" s="12">
        <v>0</v>
      </c>
    </row>
    <row r="199" spans="1:79" hidden="1" x14ac:dyDescent="0.2">
      <c r="A199" s="12" t="s">
        <v>120</v>
      </c>
      <c r="B199" s="12" t="s">
        <v>126</v>
      </c>
      <c r="C199" s="12" t="s">
        <v>126</v>
      </c>
      <c r="D199" s="22" t="s">
        <v>466</v>
      </c>
      <c r="E199" s="22" t="s">
        <v>161</v>
      </c>
      <c r="F199" s="22" t="s">
        <v>908</v>
      </c>
      <c r="G199" s="22" t="s">
        <v>909</v>
      </c>
      <c r="H199" s="22" t="s">
        <v>166</v>
      </c>
      <c r="I199" s="22" t="s">
        <v>151</v>
      </c>
      <c r="J199" s="22" t="s">
        <v>162</v>
      </c>
      <c r="K199" s="22" t="s">
        <v>85</v>
      </c>
      <c r="L199" s="54" t="s">
        <v>153</v>
      </c>
      <c r="M199" s="23" t="s">
        <v>153</v>
      </c>
      <c r="N199" s="24" t="s">
        <v>153</v>
      </c>
      <c r="O199" s="23" t="s">
        <v>153</v>
      </c>
      <c r="P199" s="23" t="s">
        <v>153</v>
      </c>
      <c r="Q199" s="23" t="s">
        <v>153</v>
      </c>
      <c r="R199" s="23" t="s">
        <v>153</v>
      </c>
      <c r="S199" s="23" t="s">
        <v>153</v>
      </c>
      <c r="T199" s="23" t="s">
        <v>153</v>
      </c>
      <c r="U199" s="24" t="s">
        <v>153</v>
      </c>
      <c r="V199" s="54" t="s">
        <v>153</v>
      </c>
      <c r="W199" s="23" t="s">
        <v>153</v>
      </c>
      <c r="X199" s="23" t="s">
        <v>153</v>
      </c>
      <c r="Y199" s="23" t="s">
        <v>153</v>
      </c>
      <c r="Z199" s="23" t="s">
        <v>153</v>
      </c>
      <c r="AA199" s="23" t="s">
        <v>153</v>
      </c>
      <c r="AB199" s="24" t="s">
        <v>153</v>
      </c>
      <c r="AC199" s="23" t="s">
        <v>153</v>
      </c>
      <c r="AD199" s="23" t="s">
        <v>153</v>
      </c>
      <c r="AE199" s="23" t="s">
        <v>153</v>
      </c>
      <c r="AF199" s="23" t="s">
        <v>153</v>
      </c>
      <c r="AG199" s="23" t="s">
        <v>153</v>
      </c>
      <c r="AH199" s="23" t="s">
        <v>153</v>
      </c>
      <c r="AI199" s="24" t="s">
        <v>153</v>
      </c>
      <c r="AJ199" s="23" t="s">
        <v>153</v>
      </c>
      <c r="AK199" s="23" t="s">
        <v>153</v>
      </c>
      <c r="AL199" s="23" t="s">
        <v>153</v>
      </c>
      <c r="AM199" s="24" t="s">
        <v>156</v>
      </c>
      <c r="AN199" s="24" t="s">
        <v>156</v>
      </c>
      <c r="AO199" s="24" t="s">
        <v>156</v>
      </c>
      <c r="AP199" s="23">
        <f>VALUE(2)</f>
        <v>2</v>
      </c>
      <c r="AQ199" s="23">
        <f>VALUE(0)</f>
        <v>0</v>
      </c>
      <c r="AR199" s="23">
        <f>VALUE(0)</f>
        <v>0</v>
      </c>
      <c r="AS199" s="23">
        <f>VALUE(0)</f>
        <v>0</v>
      </c>
      <c r="AT199" s="23">
        <f>VALUE(0)</f>
        <v>0</v>
      </c>
      <c r="AU199" s="23">
        <f>VALUE(0)</f>
        <v>0</v>
      </c>
      <c r="AV199" s="23">
        <f>VALUE(9)</f>
        <v>9</v>
      </c>
      <c r="AW199" s="23">
        <f>VALUE(0)</f>
        <v>0</v>
      </c>
      <c r="AX199" s="23" t="s">
        <v>1251</v>
      </c>
      <c r="AY199" s="23">
        <f>VALUE(0)</f>
        <v>0</v>
      </c>
      <c r="AZ199" s="23">
        <f>VALUE(0)</f>
        <v>0</v>
      </c>
      <c r="BA199" s="23">
        <f>VALUE(0)</f>
        <v>0</v>
      </c>
      <c r="BB199" s="23">
        <f>VALUE(0)</f>
        <v>0</v>
      </c>
      <c r="BC199" s="23">
        <f>VALUE(0)</f>
        <v>0</v>
      </c>
      <c r="BD199" s="23">
        <f>VALUE(0)</f>
        <v>0</v>
      </c>
      <c r="BE199" s="23">
        <f>VALUE(0)</f>
        <v>0</v>
      </c>
      <c r="BF199" s="23">
        <f>VALUE(0)</f>
        <v>0</v>
      </c>
      <c r="BG199" s="23">
        <f>VALUE(0)</f>
        <v>0</v>
      </c>
      <c r="BH199" s="23">
        <f>VALUE(0)</f>
        <v>0</v>
      </c>
      <c r="BI199" s="23">
        <f>VALUE(0)</f>
        <v>0</v>
      </c>
      <c r="BJ199" s="23">
        <f>VALUE(0)</f>
        <v>0</v>
      </c>
      <c r="BK199" s="12">
        <f>$AX$199*24</f>
        <v>32.6</v>
      </c>
      <c r="BL199" s="12">
        <f>$AY$199*24</f>
        <v>0</v>
      </c>
      <c r="BM199" s="12">
        <f>$BJ$199*24</f>
        <v>0</v>
      </c>
      <c r="BN199" s="12">
        <f>VALUE($I$199)/100</f>
        <v>1</v>
      </c>
      <c r="BO199" s="12">
        <v>0</v>
      </c>
      <c r="BP199" s="12">
        <v>0</v>
      </c>
      <c r="BQ199" s="12">
        <v>0</v>
      </c>
      <c r="BR199" s="12">
        <v>0</v>
      </c>
      <c r="BS199" s="12">
        <v>0</v>
      </c>
      <c r="BT199" s="12">
        <v>0</v>
      </c>
      <c r="BU199" s="12">
        <v>0</v>
      </c>
      <c r="BV199" s="12">
        <v>0</v>
      </c>
      <c r="BW199" s="12">
        <v>0</v>
      </c>
      <c r="BX199" s="12">
        <v>0</v>
      </c>
      <c r="BY199" s="12">
        <v>0</v>
      </c>
      <c r="BZ199" s="12">
        <v>0</v>
      </c>
      <c r="CA199" s="12">
        <v>0</v>
      </c>
    </row>
    <row r="200" spans="1:79" hidden="1" x14ac:dyDescent="0.2">
      <c r="A200" s="12" t="s">
        <v>120</v>
      </c>
      <c r="B200" s="12" t="s">
        <v>126</v>
      </c>
      <c r="C200" s="12" t="s">
        <v>126</v>
      </c>
      <c r="D200" s="22" t="s">
        <v>467</v>
      </c>
      <c r="E200" s="22" t="s">
        <v>161</v>
      </c>
      <c r="F200" s="22" t="s">
        <v>910</v>
      </c>
      <c r="G200" s="22" t="s">
        <v>911</v>
      </c>
      <c r="H200" s="22" t="s">
        <v>150</v>
      </c>
      <c r="I200" s="22" t="s">
        <v>151</v>
      </c>
      <c r="J200" s="22" t="s">
        <v>162</v>
      </c>
      <c r="K200" s="22" t="s">
        <v>85</v>
      </c>
      <c r="L200" s="54" t="s">
        <v>153</v>
      </c>
      <c r="M200" s="28" t="s">
        <v>163</v>
      </c>
      <c r="N200" s="24" t="s">
        <v>153</v>
      </c>
      <c r="O200" s="23" t="s">
        <v>153</v>
      </c>
      <c r="P200" s="23" t="s">
        <v>153</v>
      </c>
      <c r="Q200" s="23" t="s">
        <v>153</v>
      </c>
      <c r="R200" s="23" t="s">
        <v>153</v>
      </c>
      <c r="S200" s="23" t="s">
        <v>153</v>
      </c>
      <c r="T200" s="23" t="s">
        <v>153</v>
      </c>
      <c r="U200" s="24" t="s">
        <v>153</v>
      </c>
      <c r="V200" s="54" t="s">
        <v>153</v>
      </c>
      <c r="W200" s="23" t="s">
        <v>153</v>
      </c>
      <c r="X200" s="23" t="s">
        <v>153</v>
      </c>
      <c r="Y200" s="23" t="s">
        <v>153</v>
      </c>
      <c r="Z200" s="23" t="s">
        <v>153</v>
      </c>
      <c r="AA200" s="23" t="s">
        <v>153</v>
      </c>
      <c r="AB200" s="24" t="s">
        <v>153</v>
      </c>
      <c r="AC200" s="24" t="s">
        <v>156</v>
      </c>
      <c r="AD200" s="24" t="s">
        <v>156</v>
      </c>
      <c r="AE200" s="24" t="s">
        <v>156</v>
      </c>
      <c r="AF200" s="28" t="s">
        <v>163</v>
      </c>
      <c r="AG200" s="28" t="s">
        <v>163</v>
      </c>
      <c r="AH200" s="28" t="s">
        <v>163</v>
      </c>
      <c r="AI200" s="24" t="s">
        <v>153</v>
      </c>
      <c r="AJ200" s="23" t="s">
        <v>153</v>
      </c>
      <c r="AK200" s="23" t="s">
        <v>153</v>
      </c>
      <c r="AL200" s="23" t="s">
        <v>153</v>
      </c>
      <c r="AM200" s="23" t="s">
        <v>153</v>
      </c>
      <c r="AN200" s="23" t="s">
        <v>153</v>
      </c>
      <c r="AO200" s="23" t="s">
        <v>153</v>
      </c>
      <c r="AP200" s="23">
        <f>VALUE(2)</f>
        <v>2</v>
      </c>
      <c r="AQ200" s="23">
        <f>VALUE(0)</f>
        <v>0</v>
      </c>
      <c r="AR200" s="23">
        <f>VALUE(0)</f>
        <v>0</v>
      </c>
      <c r="AS200" s="23">
        <f>VALUE(0)</f>
        <v>0</v>
      </c>
      <c r="AT200" s="23">
        <f>VALUE(0)</f>
        <v>0</v>
      </c>
      <c r="AU200" s="23">
        <f>VALUE(4)</f>
        <v>4</v>
      </c>
      <c r="AV200" s="23">
        <f>VALUE(13)</f>
        <v>13</v>
      </c>
      <c r="AW200" s="23">
        <f>VALUE(0)</f>
        <v>0</v>
      </c>
      <c r="AX200" s="23" t="s">
        <v>171</v>
      </c>
      <c r="AY200" s="23" t="s">
        <v>176</v>
      </c>
      <c r="AZ200" s="23">
        <f>VALUE(0)</f>
        <v>0</v>
      </c>
      <c r="BA200" s="23">
        <f>VALUE(0)</f>
        <v>0</v>
      </c>
      <c r="BB200" s="23">
        <f>VALUE(0)</f>
        <v>0</v>
      </c>
      <c r="BC200" s="23">
        <f>VALUE(0)</f>
        <v>0</v>
      </c>
      <c r="BD200" s="23">
        <f>VALUE(0)</f>
        <v>0</v>
      </c>
      <c r="BE200" s="23">
        <f>VALUE(0)</f>
        <v>0</v>
      </c>
      <c r="BF200" s="23">
        <f>VALUE(0)</f>
        <v>0</v>
      </c>
      <c r="BG200" s="23">
        <f>VALUE(0)</f>
        <v>0</v>
      </c>
      <c r="BH200" s="23">
        <f>VALUE(0)</f>
        <v>0</v>
      </c>
      <c r="BI200" s="23">
        <f>VALUE(0)</f>
        <v>0</v>
      </c>
      <c r="BJ200" s="23">
        <f>VALUE(0)</f>
        <v>0</v>
      </c>
      <c r="BK200" s="12">
        <f>$AX$200*24</f>
        <v>5.833333333333333</v>
      </c>
      <c r="BL200" s="12">
        <f>$AY$200*24</f>
        <v>0</v>
      </c>
      <c r="BM200" s="12">
        <f>$BJ$200*24</f>
        <v>0</v>
      </c>
      <c r="BN200" s="12">
        <f>VALUE($I$200)/100</f>
        <v>1</v>
      </c>
      <c r="BO200" s="12">
        <v>0</v>
      </c>
      <c r="BP200" s="12">
        <v>0</v>
      </c>
      <c r="BQ200" s="12">
        <v>0</v>
      </c>
      <c r="BR200" s="12">
        <v>0</v>
      </c>
      <c r="BS200" s="12">
        <v>0</v>
      </c>
      <c r="BT200" s="12">
        <v>0</v>
      </c>
      <c r="BU200" s="12">
        <v>0</v>
      </c>
      <c r="BV200" s="12">
        <v>0</v>
      </c>
      <c r="BW200" s="12">
        <v>0</v>
      </c>
      <c r="BX200" s="12">
        <v>0</v>
      </c>
      <c r="BY200" s="12">
        <v>0</v>
      </c>
      <c r="BZ200" s="12">
        <v>0</v>
      </c>
      <c r="CA200" s="12">
        <v>0</v>
      </c>
    </row>
    <row r="201" spans="1:79" hidden="1" x14ac:dyDescent="0.2">
      <c r="A201" s="12" t="s">
        <v>120</v>
      </c>
      <c r="B201" s="12" t="s">
        <v>126</v>
      </c>
      <c r="C201" s="12" t="s">
        <v>126</v>
      </c>
      <c r="D201" s="22" t="s">
        <v>468</v>
      </c>
      <c r="E201" s="22" t="s">
        <v>161</v>
      </c>
      <c r="F201" s="22" t="s">
        <v>912</v>
      </c>
      <c r="G201" s="22" t="s">
        <v>913</v>
      </c>
      <c r="H201" s="22" t="s">
        <v>166</v>
      </c>
      <c r="I201" s="22" t="s">
        <v>194</v>
      </c>
      <c r="J201" s="22" t="s">
        <v>162</v>
      </c>
      <c r="K201" s="22" t="s">
        <v>85</v>
      </c>
      <c r="L201" s="54" t="s">
        <v>153</v>
      </c>
      <c r="M201" s="23" t="s">
        <v>153</v>
      </c>
      <c r="N201" s="24" t="s">
        <v>153</v>
      </c>
      <c r="O201" s="24" t="s">
        <v>195</v>
      </c>
      <c r="P201" s="24" t="s">
        <v>195</v>
      </c>
      <c r="Q201" s="24" t="s">
        <v>195</v>
      </c>
      <c r="R201" s="24" t="s">
        <v>195</v>
      </c>
      <c r="S201" s="24" t="s">
        <v>195</v>
      </c>
      <c r="T201" s="24" t="s">
        <v>195</v>
      </c>
      <c r="U201" s="24" t="s">
        <v>153</v>
      </c>
      <c r="V201" s="54" t="s">
        <v>153</v>
      </c>
      <c r="W201" s="23" t="s">
        <v>153</v>
      </c>
      <c r="X201" s="23" t="s">
        <v>153</v>
      </c>
      <c r="Y201" s="23" t="s">
        <v>153</v>
      </c>
      <c r="Z201" s="23" t="s">
        <v>153</v>
      </c>
      <c r="AA201" s="23" t="s">
        <v>153</v>
      </c>
      <c r="AB201" s="24" t="s">
        <v>153</v>
      </c>
      <c r="AC201" s="23" t="s">
        <v>153</v>
      </c>
      <c r="AD201" s="23" t="s">
        <v>153</v>
      </c>
      <c r="AE201" s="23" t="s">
        <v>153</v>
      </c>
      <c r="AF201" s="23" t="s">
        <v>153</v>
      </c>
      <c r="AG201" s="23" t="s">
        <v>153</v>
      </c>
      <c r="AH201" s="23" t="s">
        <v>153</v>
      </c>
      <c r="AI201" s="24" t="s">
        <v>153</v>
      </c>
      <c r="AJ201" s="23" t="s">
        <v>153</v>
      </c>
      <c r="AK201" s="23" t="s">
        <v>153</v>
      </c>
      <c r="AL201" s="23" t="s">
        <v>153</v>
      </c>
      <c r="AM201" s="24" t="s">
        <v>195</v>
      </c>
      <c r="AN201" s="24" t="s">
        <v>195</v>
      </c>
      <c r="AO201" s="24" t="s">
        <v>195</v>
      </c>
      <c r="AP201" s="23">
        <f>VALUE(2)</f>
        <v>2</v>
      </c>
      <c r="AQ201" s="23">
        <f>VALUE(0)</f>
        <v>0</v>
      </c>
      <c r="AR201" s="23">
        <f>VALUE(0)</f>
        <v>0</v>
      </c>
      <c r="AS201" s="23">
        <f>VALUE(0)</f>
        <v>0</v>
      </c>
      <c r="AT201" s="23">
        <f>VALUE(0)</f>
        <v>0</v>
      </c>
      <c r="AU201" s="23">
        <f>VALUE(0)</f>
        <v>0</v>
      </c>
      <c r="AV201" s="23">
        <f>VALUE(1.5)</f>
        <v>1.5</v>
      </c>
      <c r="AW201" s="23">
        <f>VALUE(0)</f>
        <v>0</v>
      </c>
      <c r="AX201" s="23" t="s">
        <v>1252</v>
      </c>
      <c r="AY201" s="23">
        <f>VALUE(0)</f>
        <v>0</v>
      </c>
      <c r="AZ201" s="23">
        <f>VALUE(0)</f>
        <v>0</v>
      </c>
      <c r="BA201" s="23">
        <f>VALUE(0)</f>
        <v>0</v>
      </c>
      <c r="BB201" s="23">
        <f>VALUE(0)</f>
        <v>0</v>
      </c>
      <c r="BC201" s="23">
        <f>VALUE(0)</f>
        <v>0</v>
      </c>
      <c r="BD201" s="23">
        <f>VALUE(0)</f>
        <v>0</v>
      </c>
      <c r="BE201" s="23">
        <f>VALUE(0)</f>
        <v>0</v>
      </c>
      <c r="BF201" s="23">
        <f>VALUE(0)</f>
        <v>0</v>
      </c>
      <c r="BG201" s="23">
        <f>VALUE(0)</f>
        <v>0</v>
      </c>
      <c r="BH201" s="23">
        <f>VALUE(0)</f>
        <v>0</v>
      </c>
      <c r="BI201" s="23">
        <f>VALUE(0)</f>
        <v>0</v>
      </c>
      <c r="BJ201" s="23">
        <f>VALUE(0)</f>
        <v>0</v>
      </c>
      <c r="BK201" s="12">
        <f>$AX$201*24</f>
        <v>39.56666666666667</v>
      </c>
      <c r="BL201" s="12">
        <f>$AY$201*24</f>
        <v>0</v>
      </c>
      <c r="BM201" s="12">
        <f>$BJ$201*24</f>
        <v>0</v>
      </c>
      <c r="BN201" s="12">
        <f>VALUE($I$201)/100</f>
        <v>0.8</v>
      </c>
      <c r="BO201" s="12">
        <v>0</v>
      </c>
      <c r="BP201" s="12">
        <v>0</v>
      </c>
      <c r="BQ201" s="12">
        <v>0</v>
      </c>
      <c r="BR201" s="12">
        <v>0</v>
      </c>
      <c r="BS201" s="12">
        <v>0</v>
      </c>
      <c r="BT201" s="12">
        <v>0</v>
      </c>
      <c r="BU201" s="12">
        <v>0</v>
      </c>
      <c r="BV201" s="12">
        <v>0</v>
      </c>
      <c r="BW201" s="12">
        <v>0</v>
      </c>
      <c r="BX201" s="12">
        <v>0</v>
      </c>
      <c r="BY201" s="12">
        <v>0</v>
      </c>
      <c r="BZ201" s="12">
        <v>0</v>
      </c>
      <c r="CA201" s="12">
        <v>0</v>
      </c>
    </row>
    <row r="202" spans="1:79" hidden="1" x14ac:dyDescent="0.2">
      <c r="A202" s="12" t="s">
        <v>120</v>
      </c>
      <c r="B202" s="12" t="s">
        <v>126</v>
      </c>
      <c r="C202" s="12" t="s">
        <v>126</v>
      </c>
      <c r="D202" s="22" t="s">
        <v>469</v>
      </c>
      <c r="E202" s="22" t="s">
        <v>173</v>
      </c>
      <c r="F202" s="22" t="s">
        <v>914</v>
      </c>
      <c r="G202" s="22" t="s">
        <v>915</v>
      </c>
      <c r="H202" s="22" t="s">
        <v>279</v>
      </c>
      <c r="I202" s="22" t="s">
        <v>151</v>
      </c>
      <c r="J202" s="22" t="s">
        <v>162</v>
      </c>
      <c r="K202" s="22" t="s">
        <v>85</v>
      </c>
      <c r="L202" s="54" t="s">
        <v>153</v>
      </c>
      <c r="M202" s="23" t="s">
        <v>469</v>
      </c>
      <c r="N202" s="24" t="s">
        <v>153</v>
      </c>
      <c r="O202" s="23" t="s">
        <v>469</v>
      </c>
      <c r="P202" s="23" t="s">
        <v>469</v>
      </c>
      <c r="Q202" s="23" t="s">
        <v>469</v>
      </c>
      <c r="R202" s="23" t="s">
        <v>469</v>
      </c>
      <c r="S202" s="23" t="s">
        <v>469</v>
      </c>
      <c r="T202" s="23" t="s">
        <v>469</v>
      </c>
      <c r="U202" s="24" t="s">
        <v>153</v>
      </c>
      <c r="V202" s="54" t="s">
        <v>153</v>
      </c>
      <c r="W202" s="27" t="s">
        <v>153</v>
      </c>
      <c r="X202" s="27" t="s">
        <v>153</v>
      </c>
      <c r="Y202" s="27" t="s">
        <v>153</v>
      </c>
      <c r="Z202" s="27" t="s">
        <v>153</v>
      </c>
      <c r="AA202" s="27" t="s">
        <v>153</v>
      </c>
      <c r="AB202" s="24" t="s">
        <v>153</v>
      </c>
      <c r="AC202" s="27" t="s">
        <v>153</v>
      </c>
      <c r="AD202" s="27" t="s">
        <v>153</v>
      </c>
      <c r="AE202" s="27" t="s">
        <v>153</v>
      </c>
      <c r="AF202" s="27" t="s">
        <v>153</v>
      </c>
      <c r="AG202" s="27" t="s">
        <v>153</v>
      </c>
      <c r="AH202" s="27" t="s">
        <v>153</v>
      </c>
      <c r="AI202" s="24" t="s">
        <v>153</v>
      </c>
      <c r="AJ202" s="27" t="s">
        <v>153</v>
      </c>
      <c r="AK202" s="27" t="s">
        <v>153</v>
      </c>
      <c r="AL202" s="27" t="s">
        <v>153</v>
      </c>
      <c r="AM202" s="27" t="s">
        <v>153</v>
      </c>
      <c r="AN202" s="27" t="s">
        <v>153</v>
      </c>
      <c r="AO202" s="27" t="s">
        <v>153</v>
      </c>
      <c r="AP202" s="23">
        <f>VALUE(0)</f>
        <v>0</v>
      </c>
      <c r="AQ202" s="23">
        <f>VALUE(0)</f>
        <v>0</v>
      </c>
      <c r="AR202" s="23">
        <f>VALUE(0)</f>
        <v>0</v>
      </c>
      <c r="AS202" s="23">
        <f>VALUE(0)</f>
        <v>0</v>
      </c>
      <c r="AT202" s="23">
        <f>VALUE(0)</f>
        <v>0</v>
      </c>
      <c r="AU202" s="23">
        <f>VALUE(0)</f>
        <v>0</v>
      </c>
      <c r="AV202" s="23">
        <f>VALUE(0)</f>
        <v>0</v>
      </c>
      <c r="AW202" s="23">
        <f>VALUE(0)</f>
        <v>0</v>
      </c>
      <c r="AX202" s="23">
        <f>VALUE(0)</f>
        <v>0</v>
      </c>
      <c r="AY202" s="23">
        <f>VALUE(0)</f>
        <v>0</v>
      </c>
      <c r="AZ202" s="23">
        <f>VALUE(0)</f>
        <v>0</v>
      </c>
      <c r="BA202" s="23">
        <f>VALUE(0)</f>
        <v>0</v>
      </c>
      <c r="BB202" s="23">
        <f>VALUE(0)</f>
        <v>0</v>
      </c>
      <c r="BC202" s="23">
        <f>VALUE(0)</f>
        <v>0</v>
      </c>
      <c r="BD202" s="23">
        <f>VALUE(0)</f>
        <v>0</v>
      </c>
      <c r="BE202" s="23">
        <f>VALUE(0)</f>
        <v>0</v>
      </c>
      <c r="BF202" s="23">
        <f>VALUE(0)</f>
        <v>0</v>
      </c>
      <c r="BG202" s="23">
        <f>VALUE(0)</f>
        <v>0</v>
      </c>
      <c r="BH202" s="23">
        <f>VALUE(0)</f>
        <v>0</v>
      </c>
      <c r="BI202" s="23">
        <f>VALUE(0)</f>
        <v>0</v>
      </c>
      <c r="BJ202" s="23">
        <f>VALUE(0)</f>
        <v>0</v>
      </c>
      <c r="BK202" s="12">
        <f>$AX$202*24</f>
        <v>0</v>
      </c>
      <c r="BL202" s="12">
        <f>$AY$202*24</f>
        <v>0</v>
      </c>
      <c r="BM202" s="12">
        <f>$BJ$202*24</f>
        <v>0</v>
      </c>
      <c r="BN202" s="12">
        <f>VALUE($I$202)/100</f>
        <v>1</v>
      </c>
      <c r="BO202" s="12">
        <v>0</v>
      </c>
      <c r="BP202" s="12">
        <v>0</v>
      </c>
      <c r="BQ202" s="12">
        <v>0</v>
      </c>
      <c r="BR202" s="12">
        <v>0</v>
      </c>
      <c r="BS202" s="12">
        <v>0</v>
      </c>
      <c r="BT202" s="12">
        <v>0</v>
      </c>
      <c r="BU202" s="12">
        <v>0</v>
      </c>
      <c r="BV202" s="12">
        <v>0</v>
      </c>
      <c r="BW202" s="12">
        <v>0</v>
      </c>
      <c r="BX202" s="12">
        <v>0</v>
      </c>
      <c r="BY202" s="12">
        <v>0</v>
      </c>
      <c r="BZ202" s="12">
        <v>0</v>
      </c>
      <c r="CA202" s="12">
        <v>0</v>
      </c>
    </row>
    <row r="203" spans="1:79" hidden="1" x14ac:dyDescent="0.2">
      <c r="A203" s="12" t="s">
        <v>120</v>
      </c>
      <c r="B203" s="12" t="s">
        <v>126</v>
      </c>
      <c r="C203" s="12" t="s">
        <v>126</v>
      </c>
      <c r="D203" s="22" t="s">
        <v>469</v>
      </c>
      <c r="E203" s="22" t="s">
        <v>161</v>
      </c>
      <c r="F203" s="22" t="s">
        <v>916</v>
      </c>
      <c r="G203" s="22" t="s">
        <v>917</v>
      </c>
      <c r="H203" s="22" t="s">
        <v>150</v>
      </c>
      <c r="I203" s="22" t="s">
        <v>151</v>
      </c>
      <c r="J203" s="22" t="s">
        <v>162</v>
      </c>
      <c r="K203" s="22" t="s">
        <v>85</v>
      </c>
      <c r="L203" s="54" t="s">
        <v>153</v>
      </c>
      <c r="M203" s="23" t="s">
        <v>467</v>
      </c>
      <c r="N203" s="24" t="s">
        <v>153</v>
      </c>
      <c r="O203" s="25" t="s">
        <v>449</v>
      </c>
      <c r="P203" s="25" t="s">
        <v>1253</v>
      </c>
      <c r="Q203" s="25" t="s">
        <v>1253</v>
      </c>
      <c r="R203" s="25" t="s">
        <v>1253</v>
      </c>
      <c r="S203" s="23" t="s">
        <v>468</v>
      </c>
      <c r="T203" s="23" t="s">
        <v>468</v>
      </c>
      <c r="U203" s="24" t="s">
        <v>153</v>
      </c>
      <c r="V203" s="54" t="s">
        <v>153</v>
      </c>
      <c r="W203" s="23" t="s">
        <v>449</v>
      </c>
      <c r="X203" s="23" t="s">
        <v>449</v>
      </c>
      <c r="Y203" s="23" t="s">
        <v>449</v>
      </c>
      <c r="Z203" s="23" t="s">
        <v>449</v>
      </c>
      <c r="AA203" s="23" t="s">
        <v>449</v>
      </c>
      <c r="AB203" s="24" t="s">
        <v>153</v>
      </c>
      <c r="AC203" s="23" t="s">
        <v>467</v>
      </c>
      <c r="AD203" s="23" t="s">
        <v>459</v>
      </c>
      <c r="AE203" s="23" t="s">
        <v>459</v>
      </c>
      <c r="AF203" s="24" t="s">
        <v>156</v>
      </c>
      <c r="AG203" s="24" t="s">
        <v>156</v>
      </c>
      <c r="AH203" s="24" t="s">
        <v>156</v>
      </c>
      <c r="AI203" s="24" t="s">
        <v>153</v>
      </c>
      <c r="AJ203" s="23" t="s">
        <v>459</v>
      </c>
      <c r="AK203" s="23" t="s">
        <v>459</v>
      </c>
      <c r="AL203" s="23" t="s">
        <v>459</v>
      </c>
      <c r="AM203" s="23" t="s">
        <v>459</v>
      </c>
      <c r="AN203" s="23" t="s">
        <v>459</v>
      </c>
      <c r="AO203" s="23" t="s">
        <v>459</v>
      </c>
      <c r="AP203" s="23">
        <f>VALUE(12)</f>
        <v>12</v>
      </c>
      <c r="AQ203" s="23">
        <f>VALUE(0)</f>
        <v>0</v>
      </c>
      <c r="AR203" s="23">
        <f>VALUE(0)</f>
        <v>0</v>
      </c>
      <c r="AS203" s="23">
        <f>VALUE(0)</f>
        <v>0</v>
      </c>
      <c r="AT203" s="23">
        <f>VALUE(0)</f>
        <v>0</v>
      </c>
      <c r="AU203" s="23">
        <f>VALUE(0)</f>
        <v>0</v>
      </c>
      <c r="AV203" s="23">
        <f>VALUE(4)</f>
        <v>4</v>
      </c>
      <c r="AW203" s="23">
        <f>VALUE(0)</f>
        <v>0</v>
      </c>
      <c r="AX203" s="23" t="s">
        <v>171</v>
      </c>
      <c r="AY203" s="23" t="s">
        <v>470</v>
      </c>
      <c r="AZ203" s="23">
        <f>VALUE(0)</f>
        <v>0</v>
      </c>
      <c r="BA203" s="23">
        <f>VALUE(0)</f>
        <v>0</v>
      </c>
      <c r="BB203" s="23">
        <f>VALUE(0)</f>
        <v>0</v>
      </c>
      <c r="BC203" s="23">
        <f>VALUE(0)</f>
        <v>0</v>
      </c>
      <c r="BD203" s="23">
        <f>VALUE(3)</f>
        <v>3</v>
      </c>
      <c r="BE203" s="23">
        <f>VALUE(0)</f>
        <v>0</v>
      </c>
      <c r="BF203" s="23">
        <f>VALUE(0)</f>
        <v>0</v>
      </c>
      <c r="BG203" s="23">
        <f>VALUE(0)</f>
        <v>0</v>
      </c>
      <c r="BH203" s="23">
        <f>VALUE(0)</f>
        <v>0</v>
      </c>
      <c r="BI203" s="23">
        <f>VALUE(0)</f>
        <v>0</v>
      </c>
      <c r="BJ203" s="23">
        <f>VALUE(0)</f>
        <v>0</v>
      </c>
      <c r="BK203" s="12">
        <f>$AX$203*24</f>
        <v>5.833333333333333</v>
      </c>
      <c r="BL203" s="12">
        <f>$AY$203*24</f>
        <v>10</v>
      </c>
      <c r="BM203" s="12">
        <f>$BJ$203*24</f>
        <v>0</v>
      </c>
      <c r="BN203" s="12">
        <f>VALUE($I$203)/100</f>
        <v>1</v>
      </c>
      <c r="BO203" s="12">
        <v>0</v>
      </c>
      <c r="BP203" s="12">
        <v>0</v>
      </c>
      <c r="BQ203" s="12">
        <v>0</v>
      </c>
      <c r="BR203" s="12">
        <v>3</v>
      </c>
      <c r="BS203" s="12">
        <v>0</v>
      </c>
      <c r="BT203" s="12">
        <v>0</v>
      </c>
      <c r="BU203" s="12">
        <v>0</v>
      </c>
      <c r="BV203" s="12">
        <v>0</v>
      </c>
      <c r="BW203" s="12">
        <v>0</v>
      </c>
      <c r="BX203" s="12">
        <v>0</v>
      </c>
      <c r="BY203" s="12">
        <v>0</v>
      </c>
      <c r="BZ203" s="12">
        <v>0</v>
      </c>
      <c r="CA203" s="12">
        <v>0</v>
      </c>
    </row>
    <row r="204" spans="1:79" hidden="1" x14ac:dyDescent="0.2">
      <c r="A204" s="12" t="s">
        <v>120</v>
      </c>
      <c r="B204" s="12" t="s">
        <v>126</v>
      </c>
      <c r="C204" s="12" t="s">
        <v>126</v>
      </c>
      <c r="D204" s="22" t="s">
        <v>589</v>
      </c>
      <c r="E204" s="22" t="s">
        <v>173</v>
      </c>
      <c r="F204" s="22" t="s">
        <v>918</v>
      </c>
      <c r="G204" s="22" t="s">
        <v>919</v>
      </c>
      <c r="H204" s="22" t="s">
        <v>150</v>
      </c>
      <c r="I204" s="22" t="s">
        <v>151</v>
      </c>
      <c r="J204" s="22" t="s">
        <v>162</v>
      </c>
      <c r="K204" s="22" t="s">
        <v>85</v>
      </c>
      <c r="L204" s="54" t="s">
        <v>153</v>
      </c>
      <c r="M204" s="23" t="s">
        <v>449</v>
      </c>
      <c r="N204" s="24" t="s">
        <v>153</v>
      </c>
      <c r="O204" s="25" t="s">
        <v>464</v>
      </c>
      <c r="P204" s="25" t="s">
        <v>464</v>
      </c>
      <c r="Q204" s="25" t="s">
        <v>464</v>
      </c>
      <c r="R204" s="25" t="s">
        <v>464</v>
      </c>
      <c r="S204" s="25" t="s">
        <v>464</v>
      </c>
      <c r="T204" s="25" t="s">
        <v>464</v>
      </c>
      <c r="U204" s="24" t="s">
        <v>153</v>
      </c>
      <c r="V204" s="54" t="s">
        <v>153</v>
      </c>
      <c r="W204" s="25" t="s">
        <v>464</v>
      </c>
      <c r="X204" s="25" t="s">
        <v>464</v>
      </c>
      <c r="Y204" s="25" t="s">
        <v>464</v>
      </c>
      <c r="Z204" s="25" t="s">
        <v>464</v>
      </c>
      <c r="AA204" s="25" t="s">
        <v>464</v>
      </c>
      <c r="AB204" s="24" t="s">
        <v>153</v>
      </c>
      <c r="AC204" s="23" t="s">
        <v>464</v>
      </c>
      <c r="AD204" s="25" t="s">
        <v>450</v>
      </c>
      <c r="AE204" s="25" t="s">
        <v>450</v>
      </c>
      <c r="AF204" s="25" t="s">
        <v>450</v>
      </c>
      <c r="AG204" s="25" t="s">
        <v>450</v>
      </c>
      <c r="AH204" s="25" t="s">
        <v>450</v>
      </c>
      <c r="AI204" s="24" t="s">
        <v>153</v>
      </c>
      <c r="AJ204" s="24" t="s">
        <v>156</v>
      </c>
      <c r="AK204" s="24" t="s">
        <v>156</v>
      </c>
      <c r="AL204" s="24" t="s">
        <v>156</v>
      </c>
      <c r="AM204" s="23" t="s">
        <v>468</v>
      </c>
      <c r="AN204" s="23" t="s">
        <v>468</v>
      </c>
      <c r="AO204" s="23" t="s">
        <v>468</v>
      </c>
      <c r="AP204" s="23">
        <f>VALUE(4)</f>
        <v>4</v>
      </c>
      <c r="AQ204" s="23">
        <f>VALUE(0)</f>
        <v>0</v>
      </c>
      <c r="AR204" s="23">
        <f>VALUE(0)</f>
        <v>0</v>
      </c>
      <c r="AS204" s="23">
        <f>VALUE(0)</f>
        <v>0</v>
      </c>
      <c r="AT204" s="23">
        <f>VALUE(0)</f>
        <v>0</v>
      </c>
      <c r="AU204" s="23">
        <f>VALUE(0)</f>
        <v>0</v>
      </c>
      <c r="AV204" s="23">
        <f>VALUE(1)</f>
        <v>1</v>
      </c>
      <c r="AW204" s="23">
        <f>VALUE(0)</f>
        <v>0</v>
      </c>
      <c r="AX204" s="23" t="s">
        <v>171</v>
      </c>
      <c r="AY204" s="23">
        <f>VALUE(0)</f>
        <v>0</v>
      </c>
      <c r="AZ204" s="23">
        <f>VALUE(0)</f>
        <v>0</v>
      </c>
      <c r="BA204" s="23">
        <f>VALUE(0)</f>
        <v>0</v>
      </c>
      <c r="BB204" s="23">
        <f>VALUE(0)</f>
        <v>0</v>
      </c>
      <c r="BC204" s="23">
        <f>VALUE(0)</f>
        <v>0</v>
      </c>
      <c r="BD204" s="23">
        <f>VALUE(0)</f>
        <v>0</v>
      </c>
      <c r="BE204" s="23">
        <f>VALUE(0)</f>
        <v>0</v>
      </c>
      <c r="BF204" s="23">
        <f>VALUE(0)</f>
        <v>0</v>
      </c>
      <c r="BG204" s="23">
        <f>VALUE(0)</f>
        <v>0</v>
      </c>
      <c r="BH204" s="23">
        <f>VALUE(0)</f>
        <v>0</v>
      </c>
      <c r="BI204" s="23">
        <f>VALUE(0)</f>
        <v>0</v>
      </c>
      <c r="BJ204" s="23">
        <f>VALUE(0)</f>
        <v>0</v>
      </c>
      <c r="BK204" s="12">
        <f>$AX$204*24</f>
        <v>5.833333333333333</v>
      </c>
      <c r="BL204" s="12">
        <f>$AY$204*24</f>
        <v>0</v>
      </c>
      <c r="BM204" s="12">
        <f>$BJ$204*24</f>
        <v>0</v>
      </c>
      <c r="BN204" s="12">
        <f>VALUE($I$204)/100</f>
        <v>1</v>
      </c>
      <c r="BO204" s="12">
        <v>0</v>
      </c>
      <c r="BP204" s="12">
        <v>0</v>
      </c>
      <c r="BQ204" s="12">
        <v>0</v>
      </c>
      <c r="BR204" s="12">
        <v>0</v>
      </c>
      <c r="BS204" s="12">
        <v>0</v>
      </c>
      <c r="BT204" s="12">
        <v>0</v>
      </c>
      <c r="BU204" s="12">
        <v>0</v>
      </c>
      <c r="BV204" s="12">
        <v>0</v>
      </c>
      <c r="BW204" s="12">
        <v>0</v>
      </c>
      <c r="BX204" s="12">
        <v>0</v>
      </c>
      <c r="BY204" s="12">
        <v>0</v>
      </c>
      <c r="BZ204" s="12">
        <v>0</v>
      </c>
      <c r="CA204" s="12">
        <v>0</v>
      </c>
    </row>
    <row r="205" spans="1:79" hidden="1" x14ac:dyDescent="0.2">
      <c r="A205" s="12" t="s">
        <v>120</v>
      </c>
      <c r="B205" s="12" t="s">
        <v>126</v>
      </c>
      <c r="C205" s="12" t="s">
        <v>126</v>
      </c>
      <c r="D205" s="22" t="s">
        <v>1254</v>
      </c>
      <c r="E205" s="22" t="s">
        <v>159</v>
      </c>
      <c r="F205" s="22" t="s">
        <v>920</v>
      </c>
      <c r="G205" s="22" t="s">
        <v>921</v>
      </c>
      <c r="H205" s="22" t="s">
        <v>150</v>
      </c>
      <c r="I205" s="22" t="s">
        <v>151</v>
      </c>
      <c r="J205" s="22" t="s">
        <v>162</v>
      </c>
      <c r="K205" s="22" t="s">
        <v>85</v>
      </c>
      <c r="L205" s="54" t="s">
        <v>153</v>
      </c>
      <c r="M205" s="23" t="s">
        <v>464</v>
      </c>
      <c r="N205" s="24" t="s">
        <v>153</v>
      </c>
      <c r="O205" s="25" t="s">
        <v>464</v>
      </c>
      <c r="P205" s="25" t="s">
        <v>464</v>
      </c>
      <c r="Q205" s="25" t="s">
        <v>464</v>
      </c>
      <c r="R205" s="25" t="s">
        <v>464</v>
      </c>
      <c r="S205" s="25" t="s">
        <v>464</v>
      </c>
      <c r="T205" s="25" t="s">
        <v>464</v>
      </c>
      <c r="U205" s="24" t="s">
        <v>153</v>
      </c>
      <c r="V205" s="54" t="s">
        <v>153</v>
      </c>
      <c r="W205" s="25" t="s">
        <v>464</v>
      </c>
      <c r="X205" s="25" t="s">
        <v>464</v>
      </c>
      <c r="Y205" s="25" t="s">
        <v>464</v>
      </c>
      <c r="Z205" s="25" t="s">
        <v>464</v>
      </c>
      <c r="AA205" s="25" t="s">
        <v>464</v>
      </c>
      <c r="AB205" s="24" t="s">
        <v>153</v>
      </c>
      <c r="AC205" s="24" t="s">
        <v>156</v>
      </c>
      <c r="AD205" s="24" t="s">
        <v>156</v>
      </c>
      <c r="AE205" s="24" t="s">
        <v>156</v>
      </c>
      <c r="AF205" s="23" t="s">
        <v>464</v>
      </c>
      <c r="AG205" s="23" t="s">
        <v>464</v>
      </c>
      <c r="AH205" s="23" t="s">
        <v>464</v>
      </c>
      <c r="AI205" s="24" t="s">
        <v>153</v>
      </c>
      <c r="AJ205" s="23" t="s">
        <v>464</v>
      </c>
      <c r="AK205" s="23" t="s">
        <v>464</v>
      </c>
      <c r="AL205" s="23" t="s">
        <v>464</v>
      </c>
      <c r="AM205" s="23" t="s">
        <v>464</v>
      </c>
      <c r="AN205" s="23" t="s">
        <v>464</v>
      </c>
      <c r="AO205" s="23" t="s">
        <v>464</v>
      </c>
      <c r="AP205" s="23">
        <f>VALUE(2)</f>
        <v>2</v>
      </c>
      <c r="AQ205" s="23">
        <f>VALUE(0)</f>
        <v>0</v>
      </c>
      <c r="AR205" s="23">
        <f>VALUE(0)</f>
        <v>0</v>
      </c>
      <c r="AS205" s="23">
        <f>VALUE(0)</f>
        <v>0</v>
      </c>
      <c r="AT205" s="23">
        <f>VALUE(0)</f>
        <v>0</v>
      </c>
      <c r="AU205" s="23">
        <f>VALUE(0)</f>
        <v>0</v>
      </c>
      <c r="AV205" s="23">
        <f>VALUE(6)</f>
        <v>6</v>
      </c>
      <c r="AW205" s="23">
        <f>VALUE(0)</f>
        <v>0</v>
      </c>
      <c r="AX205" s="23" t="s">
        <v>171</v>
      </c>
      <c r="AY205" s="23" t="s">
        <v>471</v>
      </c>
      <c r="AZ205" s="23">
        <f>VALUE(0)</f>
        <v>0</v>
      </c>
      <c r="BA205" s="23">
        <f>VALUE(0)</f>
        <v>0</v>
      </c>
      <c r="BB205" s="23">
        <f>VALUE(0)</f>
        <v>0</v>
      </c>
      <c r="BC205" s="23">
        <f>VALUE(0)</f>
        <v>0</v>
      </c>
      <c r="BD205" s="23">
        <f>VALUE(0)</f>
        <v>0</v>
      </c>
      <c r="BE205" s="23">
        <f>VALUE(0)</f>
        <v>0</v>
      </c>
      <c r="BF205" s="23">
        <f>VALUE(0)</f>
        <v>0</v>
      </c>
      <c r="BG205" s="23">
        <f>VALUE(0)</f>
        <v>0</v>
      </c>
      <c r="BH205" s="23">
        <f>VALUE(0)</f>
        <v>0</v>
      </c>
      <c r="BI205" s="23">
        <f>VALUE(0)</f>
        <v>0</v>
      </c>
      <c r="BJ205" s="23">
        <f>VALUE(0)</f>
        <v>0</v>
      </c>
      <c r="BK205" s="12">
        <f>$AX$205*24</f>
        <v>5.833333333333333</v>
      </c>
      <c r="BL205" s="12">
        <f>$AY$205*24</f>
        <v>4.3166666666666664</v>
      </c>
      <c r="BM205" s="12">
        <f>$BJ$205*24</f>
        <v>0</v>
      </c>
      <c r="BN205" s="12">
        <f>VALUE($I$205)/100</f>
        <v>1</v>
      </c>
      <c r="BO205" s="12">
        <v>0</v>
      </c>
      <c r="BP205" s="12">
        <v>0</v>
      </c>
      <c r="BQ205" s="12">
        <v>0</v>
      </c>
      <c r="BR205" s="12">
        <v>0</v>
      </c>
      <c r="BS205" s="12">
        <v>0</v>
      </c>
      <c r="BT205" s="12">
        <v>0</v>
      </c>
      <c r="BU205" s="12">
        <v>0</v>
      </c>
      <c r="BV205" s="12">
        <v>0</v>
      </c>
      <c r="BW205" s="12">
        <v>0</v>
      </c>
      <c r="BX205" s="12">
        <v>0</v>
      </c>
      <c r="BY205" s="12">
        <v>0</v>
      </c>
      <c r="BZ205" s="12">
        <v>0</v>
      </c>
      <c r="CA205" s="12">
        <v>0</v>
      </c>
    </row>
    <row r="206" spans="1:79" hidden="1" x14ac:dyDescent="0.2">
      <c r="A206" s="12" t="s">
        <v>120</v>
      </c>
      <c r="B206" s="12" t="s">
        <v>126</v>
      </c>
      <c r="C206" s="12" t="s">
        <v>126</v>
      </c>
      <c r="D206" s="22" t="s">
        <v>472</v>
      </c>
      <c r="E206" s="22" t="s">
        <v>332</v>
      </c>
      <c r="F206" s="22" t="s">
        <v>922</v>
      </c>
      <c r="G206" s="22" t="s">
        <v>923</v>
      </c>
      <c r="H206" s="22" t="s">
        <v>150</v>
      </c>
      <c r="I206" s="22" t="s">
        <v>151</v>
      </c>
      <c r="J206" s="22" t="s">
        <v>162</v>
      </c>
      <c r="K206" s="22" t="s">
        <v>85</v>
      </c>
      <c r="L206" s="54" t="s">
        <v>153</v>
      </c>
      <c r="M206" s="28" t="s">
        <v>163</v>
      </c>
      <c r="N206" s="24" t="s">
        <v>153</v>
      </c>
      <c r="O206" s="23" t="s">
        <v>468</v>
      </c>
      <c r="P206" s="25" t="s">
        <v>468</v>
      </c>
      <c r="Q206" s="25" t="s">
        <v>468</v>
      </c>
      <c r="R206" s="25" t="s">
        <v>468</v>
      </c>
      <c r="S206" s="23" t="s">
        <v>462</v>
      </c>
      <c r="T206" s="23" t="s">
        <v>462</v>
      </c>
      <c r="U206" s="24" t="s">
        <v>153</v>
      </c>
      <c r="V206" s="54" t="s">
        <v>156</v>
      </c>
      <c r="W206" s="24" t="s">
        <v>156</v>
      </c>
      <c r="X206" s="24" t="s">
        <v>156</v>
      </c>
      <c r="Y206" s="23" t="s">
        <v>153</v>
      </c>
      <c r="Z206" s="23" t="s">
        <v>153</v>
      </c>
      <c r="AA206" s="23" t="s">
        <v>153</v>
      </c>
      <c r="AB206" s="24" t="s">
        <v>153</v>
      </c>
      <c r="AC206" s="25" t="s">
        <v>450</v>
      </c>
      <c r="AD206" s="23" t="s">
        <v>467</v>
      </c>
      <c r="AE206" s="23" t="s">
        <v>467</v>
      </c>
      <c r="AF206" s="23" t="s">
        <v>459</v>
      </c>
      <c r="AG206" s="23" t="s">
        <v>459</v>
      </c>
      <c r="AH206" s="23" t="s">
        <v>459</v>
      </c>
      <c r="AI206" s="24" t="s">
        <v>153</v>
      </c>
      <c r="AJ206" s="23" t="s">
        <v>153</v>
      </c>
      <c r="AK206" s="23" t="s">
        <v>153</v>
      </c>
      <c r="AL206" s="23" t="s">
        <v>153</v>
      </c>
      <c r="AM206" s="23" t="s">
        <v>466</v>
      </c>
      <c r="AN206" s="23" t="s">
        <v>466</v>
      </c>
      <c r="AO206" s="23" t="s">
        <v>466</v>
      </c>
      <c r="AP206" s="23">
        <f>VALUE(2)</f>
        <v>2</v>
      </c>
      <c r="AQ206" s="23">
        <f>VALUE(0)</f>
        <v>0</v>
      </c>
      <c r="AR206" s="23">
        <f>VALUE(0)</f>
        <v>0</v>
      </c>
      <c r="AS206" s="23">
        <f>VALUE(6)</f>
        <v>6</v>
      </c>
      <c r="AT206" s="23">
        <f>VALUE(0)</f>
        <v>0</v>
      </c>
      <c r="AU206" s="23">
        <f>VALUE(1)</f>
        <v>1</v>
      </c>
      <c r="AV206" s="23">
        <f>VALUE(3)</f>
        <v>3</v>
      </c>
      <c r="AW206" s="23">
        <f>VALUE(0)</f>
        <v>0</v>
      </c>
      <c r="AX206" s="23" t="s">
        <v>176</v>
      </c>
      <c r="AY206" s="23" t="s">
        <v>473</v>
      </c>
      <c r="AZ206" s="23">
        <f>VALUE(0)</f>
        <v>0</v>
      </c>
      <c r="BA206" s="23">
        <f>VALUE(0)</f>
        <v>0</v>
      </c>
      <c r="BB206" s="23">
        <f>VALUE(0)</f>
        <v>0</v>
      </c>
      <c r="BC206" s="23">
        <f>VALUE(0)</f>
        <v>0</v>
      </c>
      <c r="BD206" s="23">
        <f>VALUE(0)</f>
        <v>0</v>
      </c>
      <c r="BE206" s="23">
        <f>VALUE(0)</f>
        <v>0</v>
      </c>
      <c r="BF206" s="23">
        <f>VALUE(0)</f>
        <v>0</v>
      </c>
      <c r="BG206" s="23">
        <f>VALUE(0)</f>
        <v>0</v>
      </c>
      <c r="BH206" s="23">
        <f>VALUE(0)</f>
        <v>0</v>
      </c>
      <c r="BI206" s="23">
        <f>VALUE(0)</f>
        <v>0</v>
      </c>
      <c r="BJ206" s="23">
        <f>VALUE(0)</f>
        <v>0</v>
      </c>
      <c r="BK206" s="12">
        <f>$AX$206*24</f>
        <v>0</v>
      </c>
      <c r="BL206" s="12">
        <f>$AY$206*24</f>
        <v>3.6833333333333336</v>
      </c>
      <c r="BM206" s="12">
        <f>$BJ$206*24</f>
        <v>0</v>
      </c>
      <c r="BN206" s="12">
        <f>VALUE($I$206)/100</f>
        <v>1</v>
      </c>
      <c r="BO206" s="12">
        <v>0</v>
      </c>
      <c r="BP206" s="12">
        <v>0</v>
      </c>
      <c r="BQ206" s="12">
        <v>0</v>
      </c>
      <c r="BR206" s="12">
        <v>0</v>
      </c>
      <c r="BS206" s="12">
        <v>0</v>
      </c>
      <c r="BT206" s="12">
        <v>0</v>
      </c>
      <c r="BU206" s="12">
        <v>0</v>
      </c>
      <c r="BV206" s="12">
        <v>0</v>
      </c>
      <c r="BW206" s="12">
        <v>0</v>
      </c>
      <c r="BX206" s="12">
        <v>0</v>
      </c>
      <c r="BY206" s="12">
        <v>0</v>
      </c>
      <c r="BZ206" s="12">
        <v>0</v>
      </c>
      <c r="CA206" s="12">
        <v>0</v>
      </c>
    </row>
    <row r="207" spans="1:79" ht="15" hidden="1" x14ac:dyDescent="0.25">
      <c r="A207" s="12" t="s">
        <v>120</v>
      </c>
      <c r="B207" s="12" t="s">
        <v>126</v>
      </c>
      <c r="C207" s="12" t="s">
        <v>126</v>
      </c>
      <c r="D207" s="31" t="s">
        <v>202</v>
      </c>
      <c r="E207" s="31" t="s">
        <v>153</v>
      </c>
      <c r="F207" s="31" t="s">
        <v>175</v>
      </c>
      <c r="G207" s="31" t="s">
        <v>153</v>
      </c>
      <c r="H207" s="31" t="s">
        <v>153</v>
      </c>
      <c r="I207" s="31" t="s">
        <v>153</v>
      </c>
      <c r="J207" s="31" t="s">
        <v>153</v>
      </c>
      <c r="K207" s="31" t="s">
        <v>153</v>
      </c>
      <c r="L207" s="31">
        <f>VALUE(0)</f>
        <v>0</v>
      </c>
      <c r="M207" s="31">
        <f>VALUE(10)</f>
        <v>10</v>
      </c>
      <c r="N207" s="31">
        <f>VALUE(0)</f>
        <v>0</v>
      </c>
      <c r="O207" s="31">
        <f>VALUE(10)</f>
        <v>10</v>
      </c>
      <c r="P207" s="31">
        <f>VALUE(10)</f>
        <v>10</v>
      </c>
      <c r="Q207" s="31">
        <f>VALUE(10)</f>
        <v>10</v>
      </c>
      <c r="R207" s="31">
        <f>VALUE(10)</f>
        <v>10</v>
      </c>
      <c r="S207" s="31">
        <f>VALUE(10)</f>
        <v>10</v>
      </c>
      <c r="T207" s="31">
        <f>VALUE(10)</f>
        <v>10</v>
      </c>
      <c r="U207" s="31">
        <f>VALUE(0)</f>
        <v>0</v>
      </c>
      <c r="V207" s="31">
        <f>VALUE(0)</f>
        <v>0</v>
      </c>
      <c r="W207" s="31">
        <f>VALUE(9)</f>
        <v>9</v>
      </c>
      <c r="X207" s="31">
        <f>VALUE(9)</f>
        <v>9</v>
      </c>
      <c r="Y207" s="31">
        <f>VALUE(10)</f>
        <v>10</v>
      </c>
      <c r="Z207" s="31">
        <f>VALUE(10)</f>
        <v>10</v>
      </c>
      <c r="AA207" s="31">
        <f>VALUE(10)</f>
        <v>10</v>
      </c>
      <c r="AB207" s="31">
        <f>VALUE(0)</f>
        <v>0</v>
      </c>
      <c r="AC207" s="31">
        <f>VALUE(9)</f>
        <v>9</v>
      </c>
      <c r="AD207" s="31">
        <f>VALUE(9)</f>
        <v>9</v>
      </c>
      <c r="AE207" s="31">
        <f>VALUE(9)</f>
        <v>9</v>
      </c>
      <c r="AF207" s="31">
        <f>VALUE(9)</f>
        <v>9</v>
      </c>
      <c r="AG207" s="31">
        <f>VALUE(9)</f>
        <v>9</v>
      </c>
      <c r="AH207" s="31">
        <f>VALUE(9)</f>
        <v>9</v>
      </c>
      <c r="AI207" s="31">
        <f>VALUE(0)</f>
        <v>0</v>
      </c>
      <c r="AJ207" s="31">
        <f>VALUE(9)</f>
        <v>9</v>
      </c>
      <c r="AK207" s="31">
        <f>VALUE(9)</f>
        <v>9</v>
      </c>
      <c r="AL207" s="31">
        <f>VALUE(9)</f>
        <v>9</v>
      </c>
      <c r="AM207" s="31">
        <f>VALUE(8)</f>
        <v>8</v>
      </c>
      <c r="AN207" s="31">
        <f>VALUE(8)</f>
        <v>8</v>
      </c>
      <c r="AO207" s="31">
        <f>VALUE(8)</f>
        <v>8</v>
      </c>
      <c r="AP207" s="31">
        <v>0</v>
      </c>
      <c r="AQ207" s="31">
        <v>0</v>
      </c>
      <c r="AR207" s="31">
        <v>0</v>
      </c>
      <c r="AS207" s="31">
        <v>0</v>
      </c>
      <c r="AT207" s="31">
        <v>0</v>
      </c>
      <c r="AU207" s="31">
        <v>0</v>
      </c>
      <c r="AV207" s="31">
        <v>0</v>
      </c>
      <c r="AW207" s="31">
        <v>0</v>
      </c>
      <c r="AX207" s="31">
        <v>0</v>
      </c>
      <c r="AY207" s="31">
        <v>0</v>
      </c>
      <c r="AZ207" s="31">
        <v>0</v>
      </c>
      <c r="BA207" s="31">
        <v>0</v>
      </c>
      <c r="BB207" s="31">
        <v>0</v>
      </c>
      <c r="BC207" s="31">
        <v>0</v>
      </c>
      <c r="BD207" s="31">
        <v>0</v>
      </c>
      <c r="BE207" s="31">
        <v>0</v>
      </c>
      <c r="BF207" s="31">
        <v>0</v>
      </c>
      <c r="BG207" s="31">
        <v>0</v>
      </c>
      <c r="BH207" s="31">
        <v>0</v>
      </c>
      <c r="BI207" s="31">
        <v>0</v>
      </c>
      <c r="BJ207" s="31">
        <v>0</v>
      </c>
      <c r="BK207" s="12">
        <v>0</v>
      </c>
      <c r="BL207" s="12">
        <v>0</v>
      </c>
      <c r="BM207" s="12">
        <v>0</v>
      </c>
      <c r="BN207" s="12"/>
      <c r="BO207" s="12">
        <v>0</v>
      </c>
      <c r="BP207" s="12">
        <v>0</v>
      </c>
      <c r="BQ207" s="12">
        <v>0</v>
      </c>
      <c r="BR207" s="12">
        <v>0</v>
      </c>
      <c r="BS207" s="12">
        <v>0</v>
      </c>
      <c r="BT207" s="12">
        <v>0</v>
      </c>
      <c r="BU207" s="12">
        <v>0</v>
      </c>
      <c r="BV207" s="12">
        <v>0</v>
      </c>
      <c r="BW207" s="12">
        <v>0</v>
      </c>
      <c r="BX207" s="12">
        <v>0</v>
      </c>
      <c r="BY207" s="12">
        <v>0</v>
      </c>
      <c r="BZ207" s="12">
        <v>0</v>
      </c>
      <c r="CA207" s="12">
        <v>0</v>
      </c>
    </row>
    <row r="208" spans="1:79" hidden="1" x14ac:dyDescent="0.2">
      <c r="A208" s="12" t="s">
        <v>127</v>
      </c>
      <c r="B208" s="12" t="s">
        <v>128</v>
      </c>
      <c r="C208" s="12" t="s">
        <v>128</v>
      </c>
      <c r="D208" s="22" t="s">
        <v>474</v>
      </c>
      <c r="E208" s="22" t="s">
        <v>173</v>
      </c>
      <c r="F208" s="22" t="s">
        <v>924</v>
      </c>
      <c r="G208" s="22" t="s">
        <v>925</v>
      </c>
      <c r="H208" s="22" t="s">
        <v>150</v>
      </c>
      <c r="I208" s="22" t="s">
        <v>415</v>
      </c>
      <c r="J208" s="22" t="s">
        <v>162</v>
      </c>
      <c r="K208" s="22" t="s">
        <v>86</v>
      </c>
      <c r="L208" s="54" t="s">
        <v>153</v>
      </c>
      <c r="M208" s="33" t="s">
        <v>475</v>
      </c>
      <c r="N208" s="24" t="s">
        <v>153</v>
      </c>
      <c r="O208" s="33" t="s">
        <v>475</v>
      </c>
      <c r="P208" s="33" t="s">
        <v>475</v>
      </c>
      <c r="Q208" s="33" t="s">
        <v>475</v>
      </c>
      <c r="R208" s="33" t="s">
        <v>475</v>
      </c>
      <c r="S208" s="33" t="s">
        <v>475</v>
      </c>
      <c r="T208" s="33" t="s">
        <v>475</v>
      </c>
      <c r="U208" s="24" t="s">
        <v>153</v>
      </c>
      <c r="V208" s="54" t="s">
        <v>153</v>
      </c>
      <c r="W208" s="33" t="s">
        <v>475</v>
      </c>
      <c r="X208" s="33" t="s">
        <v>475</v>
      </c>
      <c r="Y208" s="33" t="s">
        <v>475</v>
      </c>
      <c r="Z208" s="33" t="s">
        <v>475</v>
      </c>
      <c r="AA208" s="33" t="s">
        <v>475</v>
      </c>
      <c r="AB208" s="24" t="s">
        <v>153</v>
      </c>
      <c r="AC208" s="33" t="s">
        <v>475</v>
      </c>
      <c r="AD208" s="33" t="s">
        <v>475</v>
      </c>
      <c r="AE208" s="33" t="s">
        <v>475</v>
      </c>
      <c r="AF208" s="33" t="s">
        <v>475</v>
      </c>
      <c r="AG208" s="33" t="s">
        <v>475</v>
      </c>
      <c r="AH208" s="33" t="s">
        <v>475</v>
      </c>
      <c r="AI208" s="24" t="s">
        <v>153</v>
      </c>
      <c r="AJ208" s="33" t="s">
        <v>475</v>
      </c>
      <c r="AK208" s="33" t="s">
        <v>475</v>
      </c>
      <c r="AL208" s="33" t="s">
        <v>475</v>
      </c>
      <c r="AM208" s="33" t="s">
        <v>475</v>
      </c>
      <c r="AN208" s="33" t="s">
        <v>475</v>
      </c>
      <c r="AO208" s="33" t="s">
        <v>475</v>
      </c>
      <c r="AP208" s="23">
        <f>VALUE(0)</f>
        <v>0</v>
      </c>
      <c r="AQ208" s="23">
        <f>VALUE(0)</f>
        <v>0</v>
      </c>
      <c r="AR208" s="23">
        <f>VALUE(0)</f>
        <v>0</v>
      </c>
      <c r="AS208" s="23">
        <f>VALUE(0)</f>
        <v>0</v>
      </c>
      <c r="AT208" s="23">
        <f>VALUE(0)</f>
        <v>0</v>
      </c>
      <c r="AU208" s="23">
        <f>VALUE(0)</f>
        <v>0</v>
      </c>
      <c r="AV208" s="23">
        <f>VALUE(0)</f>
        <v>0</v>
      </c>
      <c r="AW208" s="23">
        <f>VALUE(4)</f>
        <v>4</v>
      </c>
      <c r="AX208" s="23">
        <f>VALUE(0)</f>
        <v>0</v>
      </c>
      <c r="AY208" s="23" t="s">
        <v>476</v>
      </c>
      <c r="AZ208" s="23">
        <f>VALUE(0)</f>
        <v>0</v>
      </c>
      <c r="BA208" s="23">
        <f>VALUE(0)</f>
        <v>0</v>
      </c>
      <c r="BB208" s="23">
        <f>VALUE(0)</f>
        <v>0</v>
      </c>
      <c r="BC208" s="23">
        <f>VALUE(0)</f>
        <v>0</v>
      </c>
      <c r="BD208" s="23">
        <f>VALUE(0)</f>
        <v>0</v>
      </c>
      <c r="BE208" s="23">
        <f>VALUE(0)</f>
        <v>0</v>
      </c>
      <c r="BF208" s="23">
        <f>VALUE(0)</f>
        <v>0</v>
      </c>
      <c r="BG208" s="23">
        <f>VALUE(0)</f>
        <v>0</v>
      </c>
      <c r="BH208" s="23">
        <f>VALUE(0)</f>
        <v>0</v>
      </c>
      <c r="BI208" s="23">
        <f>VALUE(0)</f>
        <v>0</v>
      </c>
      <c r="BJ208" s="23">
        <f>VALUE(0)</f>
        <v>0</v>
      </c>
      <c r="BK208" s="12">
        <f>$AX$208*24</f>
        <v>0</v>
      </c>
      <c r="BL208" s="12">
        <f>$AY$208*24</f>
        <v>5.2833333333333332</v>
      </c>
      <c r="BM208" s="12">
        <f>$BJ$208*24</f>
        <v>0</v>
      </c>
      <c r="BN208" s="12">
        <f>VALUE($I$208)/100</f>
        <v>0.5</v>
      </c>
      <c r="BO208" s="12">
        <v>0</v>
      </c>
      <c r="BP208" s="12">
        <v>0</v>
      </c>
      <c r="BQ208" s="12">
        <v>0</v>
      </c>
      <c r="BR208" s="12">
        <v>0</v>
      </c>
      <c r="BS208" s="12">
        <v>0</v>
      </c>
      <c r="BT208" s="12">
        <v>0</v>
      </c>
      <c r="BU208" s="12">
        <v>0</v>
      </c>
      <c r="BV208" s="12">
        <v>0</v>
      </c>
      <c r="BW208" s="12">
        <v>0</v>
      </c>
      <c r="BX208" s="12">
        <v>0</v>
      </c>
      <c r="BY208" s="12">
        <v>0</v>
      </c>
      <c r="BZ208" s="12">
        <v>0</v>
      </c>
      <c r="CA208" s="12">
        <v>0</v>
      </c>
    </row>
    <row r="209" spans="1:79" ht="15" hidden="1" x14ac:dyDescent="0.25">
      <c r="A209" s="12" t="s">
        <v>127</v>
      </c>
      <c r="B209" s="12" t="s">
        <v>128</v>
      </c>
      <c r="C209" s="12" t="s">
        <v>128</v>
      </c>
      <c r="D209" s="31" t="s">
        <v>262</v>
      </c>
      <c r="E209" s="31" t="s">
        <v>153</v>
      </c>
      <c r="F209" s="31" t="s">
        <v>175</v>
      </c>
      <c r="G209" s="31" t="s">
        <v>153</v>
      </c>
      <c r="H209" s="31" t="s">
        <v>153</v>
      </c>
      <c r="I209" s="31" t="s">
        <v>153</v>
      </c>
      <c r="J209" s="31" t="s">
        <v>153</v>
      </c>
      <c r="K209" s="31" t="s">
        <v>153</v>
      </c>
      <c r="L209" s="31">
        <f>VALUE(0)</f>
        <v>0</v>
      </c>
      <c r="M209" s="31">
        <f>VALUE(0)</f>
        <v>0</v>
      </c>
      <c r="N209" s="31">
        <f>VALUE(0)</f>
        <v>0</v>
      </c>
      <c r="O209" s="31">
        <f>VALUE(0)</f>
        <v>0</v>
      </c>
      <c r="P209" s="31">
        <f>VALUE(0)</f>
        <v>0</v>
      </c>
      <c r="Q209" s="31">
        <f>VALUE(0)</f>
        <v>0</v>
      </c>
      <c r="R209" s="31">
        <f>VALUE(0)</f>
        <v>0</v>
      </c>
      <c r="S209" s="31">
        <f>VALUE(0)</f>
        <v>0</v>
      </c>
      <c r="T209" s="31">
        <f>VALUE(0)</f>
        <v>0</v>
      </c>
      <c r="U209" s="31">
        <f>VALUE(0)</f>
        <v>0</v>
      </c>
      <c r="V209" s="31">
        <f>VALUE(0)</f>
        <v>0</v>
      </c>
      <c r="W209" s="31">
        <f>VALUE(0)</f>
        <v>0</v>
      </c>
      <c r="X209" s="31">
        <f>VALUE(0)</f>
        <v>0</v>
      </c>
      <c r="Y209" s="31">
        <f>VALUE(0)</f>
        <v>0</v>
      </c>
      <c r="Z209" s="31">
        <f>VALUE(0)</f>
        <v>0</v>
      </c>
      <c r="AA209" s="31">
        <f>VALUE(0)</f>
        <v>0</v>
      </c>
      <c r="AB209" s="31">
        <f>VALUE(0)</f>
        <v>0</v>
      </c>
      <c r="AC209" s="31">
        <f>VALUE(0)</f>
        <v>0</v>
      </c>
      <c r="AD209" s="31">
        <f>VALUE(0)</f>
        <v>0</v>
      </c>
      <c r="AE209" s="31">
        <f>VALUE(0)</f>
        <v>0</v>
      </c>
      <c r="AF209" s="31">
        <f>VALUE(0)</f>
        <v>0</v>
      </c>
      <c r="AG209" s="31">
        <f>VALUE(0)</f>
        <v>0</v>
      </c>
      <c r="AH209" s="31">
        <f>VALUE(0)</f>
        <v>0</v>
      </c>
      <c r="AI209" s="31">
        <f>VALUE(0)</f>
        <v>0</v>
      </c>
      <c r="AJ209" s="31">
        <f>VALUE(0)</f>
        <v>0</v>
      </c>
      <c r="AK209" s="31">
        <f>VALUE(0)</f>
        <v>0</v>
      </c>
      <c r="AL209" s="31">
        <f>VALUE(0)</f>
        <v>0</v>
      </c>
      <c r="AM209" s="31">
        <f>VALUE(0)</f>
        <v>0</v>
      </c>
      <c r="AN209" s="31">
        <f>VALUE(0)</f>
        <v>0</v>
      </c>
      <c r="AO209" s="31">
        <f>VALUE(0)</f>
        <v>0</v>
      </c>
      <c r="AP209" s="31">
        <v>0</v>
      </c>
      <c r="AQ209" s="31">
        <v>0</v>
      </c>
      <c r="AR209" s="31">
        <v>0</v>
      </c>
      <c r="AS209" s="31">
        <v>0</v>
      </c>
      <c r="AT209" s="31">
        <v>0</v>
      </c>
      <c r="AU209" s="31">
        <v>0</v>
      </c>
      <c r="AV209" s="31">
        <v>0</v>
      </c>
      <c r="AW209" s="31">
        <v>0</v>
      </c>
      <c r="AX209" s="31">
        <v>0</v>
      </c>
      <c r="AY209" s="31">
        <v>0</v>
      </c>
      <c r="AZ209" s="31">
        <v>0</v>
      </c>
      <c r="BA209" s="31">
        <v>0</v>
      </c>
      <c r="BB209" s="31">
        <v>0</v>
      </c>
      <c r="BC209" s="31">
        <v>0</v>
      </c>
      <c r="BD209" s="31">
        <v>0</v>
      </c>
      <c r="BE209" s="31">
        <v>0</v>
      </c>
      <c r="BF209" s="31">
        <v>0</v>
      </c>
      <c r="BG209" s="31">
        <v>0</v>
      </c>
      <c r="BH209" s="31">
        <v>0</v>
      </c>
      <c r="BI209" s="31">
        <v>0</v>
      </c>
      <c r="BJ209" s="31">
        <v>0</v>
      </c>
      <c r="BK209" s="12">
        <v>0</v>
      </c>
      <c r="BL209" s="12">
        <v>0</v>
      </c>
      <c r="BM209" s="12">
        <v>0</v>
      </c>
      <c r="BN209" s="12"/>
      <c r="BO209" s="12">
        <v>0</v>
      </c>
      <c r="BP209" s="12">
        <v>0</v>
      </c>
      <c r="BQ209" s="12">
        <v>0</v>
      </c>
      <c r="BR209" s="12">
        <v>0</v>
      </c>
      <c r="BS209" s="12">
        <v>0</v>
      </c>
      <c r="BT209" s="12">
        <v>0</v>
      </c>
      <c r="BU209" s="12">
        <v>0</v>
      </c>
      <c r="BV209" s="12">
        <v>0</v>
      </c>
      <c r="BW209" s="12">
        <v>0</v>
      </c>
      <c r="BX209" s="12">
        <v>0</v>
      </c>
      <c r="BY209" s="12">
        <v>0</v>
      </c>
      <c r="BZ209" s="12">
        <v>0</v>
      </c>
      <c r="CA209" s="12">
        <v>0</v>
      </c>
    </row>
    <row r="210" spans="1:79" hidden="1" x14ac:dyDescent="0.2">
      <c r="A210" s="12" t="s">
        <v>127</v>
      </c>
      <c r="B210" s="12" t="s">
        <v>129</v>
      </c>
      <c r="C210" s="12" t="s">
        <v>129</v>
      </c>
      <c r="D210" s="22" t="s">
        <v>477</v>
      </c>
      <c r="E210" s="22" t="s">
        <v>173</v>
      </c>
      <c r="F210" s="22" t="s">
        <v>924</v>
      </c>
      <c r="G210" s="22" t="s">
        <v>925</v>
      </c>
      <c r="H210" s="22" t="s">
        <v>166</v>
      </c>
      <c r="I210" s="22" t="s">
        <v>151</v>
      </c>
      <c r="J210" s="22" t="s">
        <v>162</v>
      </c>
      <c r="K210" s="22" t="s">
        <v>87</v>
      </c>
      <c r="L210" s="54" t="s">
        <v>153</v>
      </c>
      <c r="M210" s="32" t="s">
        <v>188</v>
      </c>
      <c r="N210" s="24" t="s">
        <v>153</v>
      </c>
      <c r="O210" s="32" t="s">
        <v>188</v>
      </c>
      <c r="P210" s="32" t="s">
        <v>188</v>
      </c>
      <c r="Q210" s="32" t="s">
        <v>188</v>
      </c>
      <c r="R210" s="32" t="s">
        <v>188</v>
      </c>
      <c r="S210" s="32" t="s">
        <v>188</v>
      </c>
      <c r="T210" s="32" t="s">
        <v>188</v>
      </c>
      <c r="U210" s="24" t="s">
        <v>153</v>
      </c>
      <c r="V210" s="54" t="s">
        <v>153</v>
      </c>
      <c r="W210" s="32" t="s">
        <v>188</v>
      </c>
      <c r="X210" s="32" t="s">
        <v>188</v>
      </c>
      <c r="Y210" s="32" t="s">
        <v>188</v>
      </c>
      <c r="Z210" s="32" t="s">
        <v>188</v>
      </c>
      <c r="AA210" s="32" t="s">
        <v>188</v>
      </c>
      <c r="AB210" s="24" t="s">
        <v>153</v>
      </c>
      <c r="AC210" s="32" t="s">
        <v>188</v>
      </c>
      <c r="AD210" s="32" t="s">
        <v>188</v>
      </c>
      <c r="AE210" s="32" t="s">
        <v>188</v>
      </c>
      <c r="AF210" s="32" t="s">
        <v>188</v>
      </c>
      <c r="AG210" s="32" t="s">
        <v>188</v>
      </c>
      <c r="AH210" s="32" t="s">
        <v>188</v>
      </c>
      <c r="AI210" s="24" t="s">
        <v>153</v>
      </c>
      <c r="AJ210" s="32" t="s">
        <v>188</v>
      </c>
      <c r="AK210" s="32" t="s">
        <v>188</v>
      </c>
      <c r="AL210" s="32" t="s">
        <v>188</v>
      </c>
      <c r="AM210" s="32" t="s">
        <v>188</v>
      </c>
      <c r="AN210" s="32" t="s">
        <v>188</v>
      </c>
      <c r="AO210" s="32" t="s">
        <v>188</v>
      </c>
      <c r="AP210" s="23">
        <f>VALUE(0)</f>
        <v>0</v>
      </c>
      <c r="AQ210" s="23">
        <f>VALUE(0)</f>
        <v>0</v>
      </c>
      <c r="AR210" s="23">
        <f>VALUE(0)</f>
        <v>0</v>
      </c>
      <c r="AS210" s="23">
        <f>VALUE(0)</f>
        <v>0</v>
      </c>
      <c r="AT210" s="23">
        <f>VALUE(0)</f>
        <v>0</v>
      </c>
      <c r="AU210" s="23">
        <f>VALUE(0)</f>
        <v>0</v>
      </c>
      <c r="AV210" s="23">
        <f>VALUE(0.5)</f>
        <v>0.5</v>
      </c>
      <c r="AW210" s="23">
        <f>VALUE(4)</f>
        <v>4</v>
      </c>
      <c r="AX210" s="23" t="s">
        <v>1255</v>
      </c>
      <c r="AY210" s="23">
        <f>VALUE(0)</f>
        <v>0</v>
      </c>
      <c r="AZ210" s="23">
        <f>VALUE(0)</f>
        <v>0</v>
      </c>
      <c r="BA210" s="23">
        <f>VALUE(0)</f>
        <v>0</v>
      </c>
      <c r="BB210" s="23">
        <f>VALUE(0)</f>
        <v>0</v>
      </c>
      <c r="BC210" s="23">
        <f>VALUE(0)</f>
        <v>0</v>
      </c>
      <c r="BD210" s="23">
        <f>VALUE(0)</f>
        <v>0</v>
      </c>
      <c r="BE210" s="23">
        <f>VALUE(0)</f>
        <v>0</v>
      </c>
      <c r="BF210" s="23">
        <f>VALUE(0)</f>
        <v>0</v>
      </c>
      <c r="BG210" s="23">
        <f>VALUE(0)</f>
        <v>0</v>
      </c>
      <c r="BH210" s="23">
        <f>VALUE(24)</f>
        <v>24</v>
      </c>
      <c r="BI210" s="23">
        <f>VALUE(0)</f>
        <v>0</v>
      </c>
      <c r="BJ210" s="23">
        <f>VALUE(0)</f>
        <v>0</v>
      </c>
      <c r="BK210" s="12">
        <f>$AX$210*24</f>
        <v>8.3833333333333329</v>
      </c>
      <c r="BL210" s="12">
        <f>$AY$210*24</f>
        <v>0</v>
      </c>
      <c r="BM210" s="12">
        <f>$BJ$210*24</f>
        <v>0</v>
      </c>
      <c r="BN210" s="12">
        <f>VALUE($I$210)/100</f>
        <v>1</v>
      </c>
      <c r="BO210" s="12">
        <v>0</v>
      </c>
      <c r="BP210" s="12">
        <v>0</v>
      </c>
      <c r="BQ210" s="12">
        <v>0</v>
      </c>
      <c r="BR210" s="12">
        <v>0</v>
      </c>
      <c r="BS210" s="12">
        <v>0</v>
      </c>
      <c r="BT210" s="12">
        <v>0</v>
      </c>
      <c r="BU210" s="12">
        <v>0</v>
      </c>
      <c r="BV210" s="12">
        <v>0</v>
      </c>
      <c r="BW210" s="12">
        <v>0</v>
      </c>
      <c r="BX210" s="12">
        <v>0</v>
      </c>
      <c r="BY210" s="12">
        <v>0</v>
      </c>
      <c r="BZ210" s="12">
        <v>0</v>
      </c>
      <c r="CA210" s="12">
        <v>0</v>
      </c>
    </row>
    <row r="211" spans="1:79" ht="15" hidden="1" x14ac:dyDescent="0.25">
      <c r="A211" s="12" t="s">
        <v>127</v>
      </c>
      <c r="B211" s="12" t="s">
        <v>129</v>
      </c>
      <c r="C211" s="12" t="s">
        <v>129</v>
      </c>
      <c r="D211" s="31" t="s">
        <v>262</v>
      </c>
      <c r="E211" s="31" t="s">
        <v>153</v>
      </c>
      <c r="F211" s="31" t="s">
        <v>175</v>
      </c>
      <c r="G211" s="31" t="s">
        <v>153</v>
      </c>
      <c r="H211" s="31" t="s">
        <v>153</v>
      </c>
      <c r="I211" s="31" t="s">
        <v>153</v>
      </c>
      <c r="J211" s="31" t="s">
        <v>153</v>
      </c>
      <c r="K211" s="31" t="s">
        <v>153</v>
      </c>
      <c r="L211" s="31">
        <f>VALUE(0)</f>
        <v>0</v>
      </c>
      <c r="M211" s="31">
        <f>VALUE(0)</f>
        <v>0</v>
      </c>
      <c r="N211" s="31">
        <f>VALUE(0)</f>
        <v>0</v>
      </c>
      <c r="O211" s="31">
        <f>VALUE(0)</f>
        <v>0</v>
      </c>
      <c r="P211" s="31">
        <f>VALUE(0)</f>
        <v>0</v>
      </c>
      <c r="Q211" s="31">
        <f>VALUE(0)</f>
        <v>0</v>
      </c>
      <c r="R211" s="31">
        <f>VALUE(0)</f>
        <v>0</v>
      </c>
      <c r="S211" s="31">
        <f>VALUE(0)</f>
        <v>0</v>
      </c>
      <c r="T211" s="31">
        <f>VALUE(0)</f>
        <v>0</v>
      </c>
      <c r="U211" s="31">
        <f>VALUE(0)</f>
        <v>0</v>
      </c>
      <c r="V211" s="31">
        <f>VALUE(0)</f>
        <v>0</v>
      </c>
      <c r="W211" s="31">
        <f>VALUE(0)</f>
        <v>0</v>
      </c>
      <c r="X211" s="31">
        <f>VALUE(0)</f>
        <v>0</v>
      </c>
      <c r="Y211" s="31">
        <f>VALUE(0)</f>
        <v>0</v>
      </c>
      <c r="Z211" s="31">
        <f>VALUE(0)</f>
        <v>0</v>
      </c>
      <c r="AA211" s="31">
        <f>VALUE(0)</f>
        <v>0</v>
      </c>
      <c r="AB211" s="31">
        <f>VALUE(0)</f>
        <v>0</v>
      </c>
      <c r="AC211" s="31">
        <f>VALUE(0)</f>
        <v>0</v>
      </c>
      <c r="AD211" s="31">
        <f>VALUE(0)</f>
        <v>0</v>
      </c>
      <c r="AE211" s="31">
        <f>VALUE(0)</f>
        <v>0</v>
      </c>
      <c r="AF211" s="31">
        <f>VALUE(0)</f>
        <v>0</v>
      </c>
      <c r="AG211" s="31">
        <f>VALUE(0)</f>
        <v>0</v>
      </c>
      <c r="AH211" s="31">
        <f>VALUE(0)</f>
        <v>0</v>
      </c>
      <c r="AI211" s="31">
        <f>VALUE(0)</f>
        <v>0</v>
      </c>
      <c r="AJ211" s="31">
        <f>VALUE(0)</f>
        <v>0</v>
      </c>
      <c r="AK211" s="31">
        <f>VALUE(0)</f>
        <v>0</v>
      </c>
      <c r="AL211" s="31">
        <f>VALUE(0)</f>
        <v>0</v>
      </c>
      <c r="AM211" s="31">
        <f>VALUE(0)</f>
        <v>0</v>
      </c>
      <c r="AN211" s="31">
        <f>VALUE(0)</f>
        <v>0</v>
      </c>
      <c r="AO211" s="31">
        <f>VALUE(0)</f>
        <v>0</v>
      </c>
      <c r="AP211" s="31">
        <v>0</v>
      </c>
      <c r="AQ211" s="31">
        <v>0</v>
      </c>
      <c r="AR211" s="31">
        <v>0</v>
      </c>
      <c r="AS211" s="31">
        <v>0</v>
      </c>
      <c r="AT211" s="31">
        <v>0</v>
      </c>
      <c r="AU211" s="31">
        <v>0</v>
      </c>
      <c r="AV211" s="31">
        <v>0</v>
      </c>
      <c r="AW211" s="31">
        <v>0</v>
      </c>
      <c r="AX211" s="31">
        <v>0</v>
      </c>
      <c r="AY211" s="31">
        <v>0</v>
      </c>
      <c r="AZ211" s="31">
        <v>0</v>
      </c>
      <c r="BA211" s="31">
        <v>0</v>
      </c>
      <c r="BB211" s="31">
        <v>0</v>
      </c>
      <c r="BC211" s="31">
        <v>0</v>
      </c>
      <c r="BD211" s="31">
        <v>0</v>
      </c>
      <c r="BE211" s="31">
        <v>0</v>
      </c>
      <c r="BF211" s="31">
        <v>0</v>
      </c>
      <c r="BG211" s="31">
        <v>0</v>
      </c>
      <c r="BH211" s="31">
        <v>0</v>
      </c>
      <c r="BI211" s="31">
        <v>0</v>
      </c>
      <c r="BJ211" s="31">
        <v>0</v>
      </c>
      <c r="BK211" s="12">
        <v>0</v>
      </c>
      <c r="BL211" s="12">
        <v>0</v>
      </c>
      <c r="BM211" s="12">
        <v>0</v>
      </c>
      <c r="BN211" s="12"/>
      <c r="BO211" s="12">
        <v>0</v>
      </c>
      <c r="BP211" s="12">
        <v>0</v>
      </c>
      <c r="BQ211" s="12">
        <v>0</v>
      </c>
      <c r="BR211" s="12">
        <v>0</v>
      </c>
      <c r="BS211" s="12">
        <v>0</v>
      </c>
      <c r="BT211" s="12">
        <v>0</v>
      </c>
      <c r="BU211" s="12">
        <v>0</v>
      </c>
      <c r="BV211" s="12">
        <v>0</v>
      </c>
      <c r="BW211" s="12">
        <v>0</v>
      </c>
      <c r="BX211" s="12">
        <v>0</v>
      </c>
      <c r="BY211" s="12">
        <v>0</v>
      </c>
      <c r="BZ211" s="12">
        <v>0</v>
      </c>
      <c r="CA211" s="12">
        <v>0</v>
      </c>
    </row>
    <row r="212" spans="1:79" hidden="1" x14ac:dyDescent="0.2">
      <c r="A212" s="12" t="s">
        <v>127</v>
      </c>
      <c r="B212" s="12" t="s">
        <v>130</v>
      </c>
      <c r="C212" s="12" t="s">
        <v>130</v>
      </c>
      <c r="D212" s="22" t="s">
        <v>478</v>
      </c>
      <c r="E212" s="22" t="s">
        <v>173</v>
      </c>
      <c r="F212" s="22" t="s">
        <v>926</v>
      </c>
      <c r="G212" s="22" t="s">
        <v>927</v>
      </c>
      <c r="H212" s="22" t="s">
        <v>150</v>
      </c>
      <c r="I212" s="22" t="s">
        <v>151</v>
      </c>
      <c r="J212" s="22" t="s">
        <v>162</v>
      </c>
      <c r="K212" s="22" t="s">
        <v>88</v>
      </c>
      <c r="L212" s="54" t="s">
        <v>153</v>
      </c>
      <c r="M212" s="33" t="s">
        <v>475</v>
      </c>
      <c r="N212" s="24" t="s">
        <v>153</v>
      </c>
      <c r="O212" s="33" t="s">
        <v>475</v>
      </c>
      <c r="P212" s="33" t="s">
        <v>475</v>
      </c>
      <c r="Q212" s="33" t="s">
        <v>475</v>
      </c>
      <c r="R212" s="33" t="s">
        <v>475</v>
      </c>
      <c r="S212" s="33" t="s">
        <v>475</v>
      </c>
      <c r="T212" s="33" t="s">
        <v>475</v>
      </c>
      <c r="U212" s="24" t="s">
        <v>153</v>
      </c>
      <c r="V212" s="54" t="s">
        <v>156</v>
      </c>
      <c r="W212" s="33" t="s">
        <v>475</v>
      </c>
      <c r="X212" s="33" t="s">
        <v>475</v>
      </c>
      <c r="Y212" s="33" t="s">
        <v>475</v>
      </c>
      <c r="Z212" s="33" t="s">
        <v>475</v>
      </c>
      <c r="AA212" s="33" t="s">
        <v>475</v>
      </c>
      <c r="AB212" s="24" t="s">
        <v>153</v>
      </c>
      <c r="AC212" s="33" t="s">
        <v>475</v>
      </c>
      <c r="AD212" s="33" t="s">
        <v>475</v>
      </c>
      <c r="AE212" s="33" t="s">
        <v>475</v>
      </c>
      <c r="AF212" s="33" t="s">
        <v>475</v>
      </c>
      <c r="AG212" s="33" t="s">
        <v>475</v>
      </c>
      <c r="AH212" s="33" t="s">
        <v>475</v>
      </c>
      <c r="AI212" s="24" t="s">
        <v>153</v>
      </c>
      <c r="AJ212" s="33" t="s">
        <v>475</v>
      </c>
      <c r="AK212" s="33" t="s">
        <v>475</v>
      </c>
      <c r="AL212" s="33" t="s">
        <v>475</v>
      </c>
      <c r="AM212" s="33" t="s">
        <v>475</v>
      </c>
      <c r="AN212" s="33" t="s">
        <v>475</v>
      </c>
      <c r="AO212" s="33" t="s">
        <v>475</v>
      </c>
      <c r="AP212" s="23">
        <f>VALUE(0)</f>
        <v>0</v>
      </c>
      <c r="AQ212" s="23">
        <f>VALUE(0)</f>
        <v>0</v>
      </c>
      <c r="AR212" s="23">
        <f>VALUE(0)</f>
        <v>0</v>
      </c>
      <c r="AS212" s="23">
        <f>VALUE(0)</f>
        <v>0</v>
      </c>
      <c r="AT212" s="23">
        <f>VALUE(0)</f>
        <v>0</v>
      </c>
      <c r="AU212" s="23">
        <f>VALUE(0)</f>
        <v>0</v>
      </c>
      <c r="AV212" s="23">
        <f>VALUE(0)</f>
        <v>0</v>
      </c>
      <c r="AW212" s="23">
        <f>VALUE(5)</f>
        <v>5</v>
      </c>
      <c r="AX212" s="23" t="s">
        <v>1256</v>
      </c>
      <c r="AY212" s="23">
        <f>VALUE(0)</f>
        <v>0</v>
      </c>
      <c r="AZ212" s="23">
        <f>VALUE(0)</f>
        <v>0</v>
      </c>
      <c r="BA212" s="23">
        <f>VALUE(0)</f>
        <v>0</v>
      </c>
      <c r="BB212" s="23">
        <f>VALUE(0)</f>
        <v>0</v>
      </c>
      <c r="BC212" s="23">
        <f>VALUE(0)</f>
        <v>0</v>
      </c>
      <c r="BD212" s="23">
        <f>VALUE(0)</f>
        <v>0</v>
      </c>
      <c r="BE212" s="23">
        <f>VALUE(0)</f>
        <v>0</v>
      </c>
      <c r="BF212" s="23">
        <f>VALUE(0)</f>
        <v>0</v>
      </c>
      <c r="BG212" s="23">
        <f>VALUE(0)</f>
        <v>0</v>
      </c>
      <c r="BH212" s="23">
        <f>VALUE(0)</f>
        <v>0</v>
      </c>
      <c r="BI212" s="23">
        <f>VALUE(0)</f>
        <v>0</v>
      </c>
      <c r="BJ212" s="23">
        <f>VALUE(0)</f>
        <v>0</v>
      </c>
      <c r="BK212" s="12">
        <f>$AX$212*24</f>
        <v>22.5</v>
      </c>
      <c r="BL212" s="12">
        <f>$AY$212*24</f>
        <v>0</v>
      </c>
      <c r="BM212" s="12">
        <f>$BJ$212*24</f>
        <v>0</v>
      </c>
      <c r="BN212" s="12">
        <f>VALUE($I$212)/100</f>
        <v>1</v>
      </c>
      <c r="BO212" s="12">
        <v>0</v>
      </c>
      <c r="BP212" s="12">
        <v>0</v>
      </c>
      <c r="BQ212" s="12">
        <v>0</v>
      </c>
      <c r="BR212" s="12">
        <v>0</v>
      </c>
      <c r="BS212" s="12">
        <v>0</v>
      </c>
      <c r="BT212" s="12">
        <v>0</v>
      </c>
      <c r="BU212" s="12">
        <v>0</v>
      </c>
      <c r="BV212" s="12">
        <v>0</v>
      </c>
      <c r="BW212" s="12">
        <v>0</v>
      </c>
      <c r="BX212" s="12">
        <v>0</v>
      </c>
      <c r="BY212" s="12">
        <v>0</v>
      </c>
      <c r="BZ212" s="12">
        <v>0</v>
      </c>
      <c r="CA212" s="12">
        <v>0</v>
      </c>
    </row>
    <row r="213" spans="1:79" hidden="1" x14ac:dyDescent="0.2">
      <c r="A213" s="12" t="s">
        <v>127</v>
      </c>
      <c r="B213" s="12" t="s">
        <v>130</v>
      </c>
      <c r="C213" s="12" t="s">
        <v>130</v>
      </c>
      <c r="D213" s="22" t="s">
        <v>478</v>
      </c>
      <c r="E213" s="22" t="s">
        <v>173</v>
      </c>
      <c r="F213" s="22" t="s">
        <v>928</v>
      </c>
      <c r="G213" s="22" t="s">
        <v>929</v>
      </c>
      <c r="H213" s="22" t="s">
        <v>150</v>
      </c>
      <c r="I213" s="22" t="s">
        <v>151</v>
      </c>
      <c r="J213" s="22" t="s">
        <v>162</v>
      </c>
      <c r="K213" s="22" t="s">
        <v>88</v>
      </c>
      <c r="L213" s="54" t="s">
        <v>153</v>
      </c>
      <c r="M213" s="33" t="s">
        <v>475</v>
      </c>
      <c r="N213" s="24" t="s">
        <v>153</v>
      </c>
      <c r="O213" s="33" t="s">
        <v>475</v>
      </c>
      <c r="P213" s="33" t="s">
        <v>475</v>
      </c>
      <c r="Q213" s="33" t="s">
        <v>475</v>
      </c>
      <c r="R213" s="33" t="s">
        <v>475</v>
      </c>
      <c r="S213" s="33" t="s">
        <v>475</v>
      </c>
      <c r="T213" s="33" t="s">
        <v>475</v>
      </c>
      <c r="U213" s="24" t="s">
        <v>153</v>
      </c>
      <c r="V213" s="54" t="s">
        <v>153</v>
      </c>
      <c r="W213" s="33" t="s">
        <v>475</v>
      </c>
      <c r="X213" s="33" t="s">
        <v>475</v>
      </c>
      <c r="Y213" s="33" t="s">
        <v>475</v>
      </c>
      <c r="Z213" s="33" t="s">
        <v>475</v>
      </c>
      <c r="AA213" s="33" t="s">
        <v>475</v>
      </c>
      <c r="AB213" s="24" t="s">
        <v>153</v>
      </c>
      <c r="AC213" s="33" t="s">
        <v>475</v>
      </c>
      <c r="AD213" s="33" t="s">
        <v>475</v>
      </c>
      <c r="AE213" s="33" t="s">
        <v>475</v>
      </c>
      <c r="AF213" s="33" t="s">
        <v>475</v>
      </c>
      <c r="AG213" s="33" t="s">
        <v>475</v>
      </c>
      <c r="AH213" s="33" t="s">
        <v>475</v>
      </c>
      <c r="AI213" s="24" t="s">
        <v>153</v>
      </c>
      <c r="AJ213" s="33" t="s">
        <v>475</v>
      </c>
      <c r="AK213" s="33" t="s">
        <v>475</v>
      </c>
      <c r="AL213" s="33" t="s">
        <v>475</v>
      </c>
      <c r="AM213" s="33" t="s">
        <v>475</v>
      </c>
      <c r="AN213" s="33" t="s">
        <v>475</v>
      </c>
      <c r="AO213" s="33" t="s">
        <v>475</v>
      </c>
      <c r="AP213" s="23">
        <f>VALUE(0)</f>
        <v>0</v>
      </c>
      <c r="AQ213" s="23">
        <f>VALUE(0)</f>
        <v>0</v>
      </c>
      <c r="AR213" s="23">
        <f>VALUE(0)</f>
        <v>0</v>
      </c>
      <c r="AS213" s="23">
        <f>VALUE(0)</f>
        <v>0</v>
      </c>
      <c r="AT213" s="23">
        <f>VALUE(0)</f>
        <v>0</v>
      </c>
      <c r="AU213" s="23">
        <f>VALUE(0)</f>
        <v>0</v>
      </c>
      <c r="AV213" s="23">
        <f>VALUE(0)</f>
        <v>0</v>
      </c>
      <c r="AW213" s="23">
        <f>VALUE(0)</f>
        <v>0</v>
      </c>
      <c r="AX213" s="23" t="s">
        <v>171</v>
      </c>
      <c r="AY213" s="23" t="s">
        <v>214</v>
      </c>
      <c r="AZ213" s="23">
        <f>VALUE(0)</f>
        <v>0</v>
      </c>
      <c r="BA213" s="23">
        <f>VALUE(0)</f>
        <v>0</v>
      </c>
      <c r="BB213" s="23">
        <f>VALUE(0)</f>
        <v>0</v>
      </c>
      <c r="BC213" s="23">
        <f>VALUE(0)</f>
        <v>0</v>
      </c>
      <c r="BD213" s="23">
        <f>VALUE(0)</f>
        <v>0</v>
      </c>
      <c r="BE213" s="23">
        <f>VALUE(0)</f>
        <v>0</v>
      </c>
      <c r="BF213" s="23">
        <f>VALUE(0)</f>
        <v>0</v>
      </c>
      <c r="BG213" s="23">
        <f>VALUE(0)</f>
        <v>0</v>
      </c>
      <c r="BH213" s="23">
        <f>VALUE(0)</f>
        <v>0</v>
      </c>
      <c r="BI213" s="23">
        <f>VALUE(0)</f>
        <v>0</v>
      </c>
      <c r="BJ213" s="23">
        <f>VALUE(0)</f>
        <v>0</v>
      </c>
      <c r="BK213" s="12">
        <f>$AX$213*24</f>
        <v>5.833333333333333</v>
      </c>
      <c r="BL213" s="12">
        <f>$AY$213*24</f>
        <v>2.4</v>
      </c>
      <c r="BM213" s="12">
        <f>$BJ$213*24</f>
        <v>0</v>
      </c>
      <c r="BN213" s="12">
        <f>VALUE($I$213)/100</f>
        <v>1</v>
      </c>
      <c r="BO213" s="12">
        <v>0</v>
      </c>
      <c r="BP213" s="12">
        <v>0</v>
      </c>
      <c r="BQ213" s="12">
        <v>0</v>
      </c>
      <c r="BR213" s="12">
        <v>0</v>
      </c>
      <c r="BS213" s="12">
        <v>0</v>
      </c>
      <c r="BT213" s="12">
        <v>0</v>
      </c>
      <c r="BU213" s="12">
        <v>0</v>
      </c>
      <c r="BV213" s="12">
        <v>0</v>
      </c>
      <c r="BW213" s="12">
        <v>0</v>
      </c>
      <c r="BX213" s="12">
        <v>0</v>
      </c>
      <c r="BY213" s="12">
        <v>0</v>
      </c>
      <c r="BZ213" s="12">
        <v>0</v>
      </c>
      <c r="CA213" s="12">
        <v>0</v>
      </c>
    </row>
    <row r="214" spans="1:79" hidden="1" x14ac:dyDescent="0.2">
      <c r="A214" s="12" t="s">
        <v>127</v>
      </c>
      <c r="B214" s="12" t="s">
        <v>130</v>
      </c>
      <c r="C214" s="12" t="s">
        <v>130</v>
      </c>
      <c r="D214" s="22" t="s">
        <v>478</v>
      </c>
      <c r="E214" s="22" t="s">
        <v>173</v>
      </c>
      <c r="F214" s="22" t="s">
        <v>1257</v>
      </c>
      <c r="G214" s="22" t="s">
        <v>930</v>
      </c>
      <c r="H214" s="22" t="s">
        <v>166</v>
      </c>
      <c r="I214" s="22" t="s">
        <v>151</v>
      </c>
      <c r="J214" s="22" t="s">
        <v>162</v>
      </c>
      <c r="K214" s="22" t="s">
        <v>88</v>
      </c>
      <c r="L214" s="54" t="s">
        <v>153</v>
      </c>
      <c r="M214" s="33" t="s">
        <v>475</v>
      </c>
      <c r="N214" s="24" t="s">
        <v>153</v>
      </c>
      <c r="O214" s="33" t="s">
        <v>475</v>
      </c>
      <c r="P214" s="33" t="s">
        <v>475</v>
      </c>
      <c r="Q214" s="33" t="s">
        <v>475</v>
      </c>
      <c r="R214" s="33" t="s">
        <v>475</v>
      </c>
      <c r="S214" s="33" t="s">
        <v>475</v>
      </c>
      <c r="T214" s="33" t="s">
        <v>475</v>
      </c>
      <c r="U214" s="24" t="s">
        <v>153</v>
      </c>
      <c r="V214" s="54" t="s">
        <v>153</v>
      </c>
      <c r="W214" s="33" t="s">
        <v>475</v>
      </c>
      <c r="X214" s="33" t="s">
        <v>475</v>
      </c>
      <c r="Y214" s="33" t="s">
        <v>475</v>
      </c>
      <c r="Z214" s="33" t="s">
        <v>475</v>
      </c>
      <c r="AA214" s="33" t="s">
        <v>475</v>
      </c>
      <c r="AB214" s="24" t="s">
        <v>153</v>
      </c>
      <c r="AC214" s="33" t="s">
        <v>475</v>
      </c>
      <c r="AD214" s="33" t="s">
        <v>475</v>
      </c>
      <c r="AE214" s="33" t="s">
        <v>475</v>
      </c>
      <c r="AF214" s="33" t="s">
        <v>475</v>
      </c>
      <c r="AG214" s="33" t="s">
        <v>475</v>
      </c>
      <c r="AH214" s="33" t="s">
        <v>475</v>
      </c>
      <c r="AI214" s="24" t="s">
        <v>153</v>
      </c>
      <c r="AJ214" s="33" t="s">
        <v>475</v>
      </c>
      <c r="AK214" s="33" t="s">
        <v>475</v>
      </c>
      <c r="AL214" s="33" t="s">
        <v>475</v>
      </c>
      <c r="AM214" s="33" t="s">
        <v>475</v>
      </c>
      <c r="AN214" s="33" t="s">
        <v>475</v>
      </c>
      <c r="AO214" s="33" t="s">
        <v>475</v>
      </c>
      <c r="AP214" s="23">
        <f>VALUE(0)</f>
        <v>0</v>
      </c>
      <c r="AQ214" s="23">
        <f>VALUE(0)</f>
        <v>0</v>
      </c>
      <c r="AR214" s="23">
        <f>VALUE(0)</f>
        <v>0</v>
      </c>
      <c r="AS214" s="23">
        <f>VALUE(0)</f>
        <v>0</v>
      </c>
      <c r="AT214" s="23">
        <f>VALUE(0)</f>
        <v>0</v>
      </c>
      <c r="AU214" s="23">
        <f>VALUE(0)</f>
        <v>0</v>
      </c>
      <c r="AV214" s="23">
        <f>VALUE(0.5)</f>
        <v>0.5</v>
      </c>
      <c r="AW214" s="23">
        <f>VALUE(0)</f>
        <v>0</v>
      </c>
      <c r="AX214" s="23" t="s">
        <v>479</v>
      </c>
      <c r="AY214" s="23">
        <f>VALUE(0)</f>
        <v>0</v>
      </c>
      <c r="AZ214" s="23">
        <f>VALUE(0)</f>
        <v>0</v>
      </c>
      <c r="BA214" s="23">
        <f>VALUE(0)</f>
        <v>0</v>
      </c>
      <c r="BB214" s="23">
        <f>VALUE(0)</f>
        <v>0</v>
      </c>
      <c r="BC214" s="23">
        <f>VALUE(0)</f>
        <v>0</v>
      </c>
      <c r="BD214" s="23">
        <f>VALUE(0)</f>
        <v>0</v>
      </c>
      <c r="BE214" s="23">
        <f>VALUE(0)</f>
        <v>0</v>
      </c>
      <c r="BF214" s="23">
        <f>VALUE(0)</f>
        <v>0</v>
      </c>
      <c r="BG214" s="23">
        <f>VALUE(0)</f>
        <v>0</v>
      </c>
      <c r="BH214" s="23">
        <f>VALUE(0)</f>
        <v>0</v>
      </c>
      <c r="BI214" s="23">
        <f>VALUE(0)</f>
        <v>0</v>
      </c>
      <c r="BJ214" s="23">
        <f>VALUE(0)</f>
        <v>0</v>
      </c>
      <c r="BK214" s="12">
        <f>$AX$214*24</f>
        <v>4.5999999999999996</v>
      </c>
      <c r="BL214" s="12">
        <f>$AY$214*24</f>
        <v>0</v>
      </c>
      <c r="BM214" s="12">
        <f>$BJ$214*24</f>
        <v>0</v>
      </c>
      <c r="BN214" s="12">
        <f>VALUE($I$214)/100</f>
        <v>1</v>
      </c>
      <c r="BO214" s="12">
        <v>0</v>
      </c>
      <c r="BP214" s="12">
        <v>0</v>
      </c>
      <c r="BQ214" s="12">
        <v>0</v>
      </c>
      <c r="BR214" s="12">
        <v>0</v>
      </c>
      <c r="BS214" s="12">
        <v>0</v>
      </c>
      <c r="BT214" s="12">
        <v>0</v>
      </c>
      <c r="BU214" s="12">
        <v>0</v>
      </c>
      <c r="BV214" s="12">
        <v>0</v>
      </c>
      <c r="BW214" s="12">
        <v>0</v>
      </c>
      <c r="BX214" s="12">
        <v>0</v>
      </c>
      <c r="BY214" s="12">
        <v>0</v>
      </c>
      <c r="BZ214" s="12">
        <v>0</v>
      </c>
      <c r="CA214" s="12">
        <v>0</v>
      </c>
    </row>
    <row r="215" spans="1:79" ht="15" hidden="1" x14ac:dyDescent="0.25">
      <c r="A215" s="12" t="s">
        <v>127</v>
      </c>
      <c r="B215" s="12" t="s">
        <v>130</v>
      </c>
      <c r="C215" s="12" t="s">
        <v>130</v>
      </c>
      <c r="D215" s="31" t="s">
        <v>1258</v>
      </c>
      <c r="E215" s="31" t="s">
        <v>153</v>
      </c>
      <c r="F215" s="31" t="s">
        <v>175</v>
      </c>
      <c r="G215" s="31" t="s">
        <v>153</v>
      </c>
      <c r="H215" s="31" t="s">
        <v>153</v>
      </c>
      <c r="I215" s="31" t="s">
        <v>153</v>
      </c>
      <c r="J215" s="31" t="s">
        <v>153</v>
      </c>
      <c r="K215" s="31" t="s">
        <v>153</v>
      </c>
      <c r="L215" s="31">
        <f>VALUE(0)</f>
        <v>0</v>
      </c>
      <c r="M215" s="31">
        <f>VALUE(0)</f>
        <v>0</v>
      </c>
      <c r="N215" s="31">
        <f>VALUE(0)</f>
        <v>0</v>
      </c>
      <c r="O215" s="31">
        <f>VALUE(0)</f>
        <v>0</v>
      </c>
      <c r="P215" s="31">
        <f>VALUE(0)</f>
        <v>0</v>
      </c>
      <c r="Q215" s="31">
        <f>VALUE(0)</f>
        <v>0</v>
      </c>
      <c r="R215" s="31">
        <f>VALUE(0)</f>
        <v>0</v>
      </c>
      <c r="S215" s="31">
        <f>VALUE(0)</f>
        <v>0</v>
      </c>
      <c r="T215" s="31">
        <f>VALUE(0)</f>
        <v>0</v>
      </c>
      <c r="U215" s="31">
        <f>VALUE(0)</f>
        <v>0</v>
      </c>
      <c r="V215" s="31">
        <f>VALUE(0)</f>
        <v>0</v>
      </c>
      <c r="W215" s="31">
        <f>VALUE(0)</f>
        <v>0</v>
      </c>
      <c r="X215" s="31">
        <f>VALUE(0)</f>
        <v>0</v>
      </c>
      <c r="Y215" s="31">
        <f>VALUE(0)</f>
        <v>0</v>
      </c>
      <c r="Z215" s="31">
        <f>VALUE(0)</f>
        <v>0</v>
      </c>
      <c r="AA215" s="31">
        <f>VALUE(0)</f>
        <v>0</v>
      </c>
      <c r="AB215" s="31">
        <f>VALUE(0)</f>
        <v>0</v>
      </c>
      <c r="AC215" s="31">
        <f>VALUE(0)</f>
        <v>0</v>
      </c>
      <c r="AD215" s="31">
        <f>VALUE(0)</f>
        <v>0</v>
      </c>
      <c r="AE215" s="31">
        <f>VALUE(0)</f>
        <v>0</v>
      </c>
      <c r="AF215" s="31">
        <f>VALUE(0)</f>
        <v>0</v>
      </c>
      <c r="AG215" s="31">
        <f>VALUE(0)</f>
        <v>0</v>
      </c>
      <c r="AH215" s="31">
        <f>VALUE(0)</f>
        <v>0</v>
      </c>
      <c r="AI215" s="31">
        <f>VALUE(0)</f>
        <v>0</v>
      </c>
      <c r="AJ215" s="31">
        <f>VALUE(0)</f>
        <v>0</v>
      </c>
      <c r="AK215" s="31">
        <f>VALUE(0)</f>
        <v>0</v>
      </c>
      <c r="AL215" s="31">
        <f>VALUE(0)</f>
        <v>0</v>
      </c>
      <c r="AM215" s="31">
        <f>VALUE(0)</f>
        <v>0</v>
      </c>
      <c r="AN215" s="31">
        <f>VALUE(0)</f>
        <v>0</v>
      </c>
      <c r="AO215" s="31">
        <f>VALUE(0)</f>
        <v>0</v>
      </c>
      <c r="AP215" s="31">
        <v>0</v>
      </c>
      <c r="AQ215" s="31">
        <v>0</v>
      </c>
      <c r="AR215" s="31">
        <v>0</v>
      </c>
      <c r="AS215" s="31">
        <v>0</v>
      </c>
      <c r="AT215" s="31">
        <v>0</v>
      </c>
      <c r="AU215" s="31">
        <v>0</v>
      </c>
      <c r="AV215" s="31">
        <v>0</v>
      </c>
      <c r="AW215" s="31">
        <v>0</v>
      </c>
      <c r="AX215" s="31">
        <v>0</v>
      </c>
      <c r="AY215" s="31">
        <v>0</v>
      </c>
      <c r="AZ215" s="31">
        <v>0</v>
      </c>
      <c r="BA215" s="31">
        <v>0</v>
      </c>
      <c r="BB215" s="31">
        <v>0</v>
      </c>
      <c r="BC215" s="31">
        <v>0</v>
      </c>
      <c r="BD215" s="31">
        <v>0</v>
      </c>
      <c r="BE215" s="31">
        <v>0</v>
      </c>
      <c r="BF215" s="31">
        <v>0</v>
      </c>
      <c r="BG215" s="31">
        <v>0</v>
      </c>
      <c r="BH215" s="31">
        <v>0</v>
      </c>
      <c r="BI215" s="31">
        <v>0</v>
      </c>
      <c r="BJ215" s="31">
        <v>0</v>
      </c>
      <c r="BK215" s="12">
        <v>0</v>
      </c>
      <c r="BL215" s="12">
        <v>0</v>
      </c>
      <c r="BM215" s="12">
        <v>0</v>
      </c>
      <c r="BN215" s="12"/>
      <c r="BO215" s="12">
        <v>0</v>
      </c>
      <c r="BP215" s="12">
        <v>0</v>
      </c>
      <c r="BQ215" s="12">
        <v>0</v>
      </c>
      <c r="BR215" s="12">
        <v>0</v>
      </c>
      <c r="BS215" s="12">
        <v>0</v>
      </c>
      <c r="BT215" s="12">
        <v>0</v>
      </c>
      <c r="BU215" s="12">
        <v>0</v>
      </c>
      <c r="BV215" s="12">
        <v>0</v>
      </c>
      <c r="BW215" s="12">
        <v>0</v>
      </c>
      <c r="BX215" s="12">
        <v>0</v>
      </c>
      <c r="BY215" s="12">
        <v>0</v>
      </c>
      <c r="BZ215" s="12">
        <v>0</v>
      </c>
      <c r="CA215" s="12">
        <v>0</v>
      </c>
    </row>
    <row r="216" spans="1:79" hidden="1" x14ac:dyDescent="0.2">
      <c r="A216" s="12" t="s">
        <v>127</v>
      </c>
      <c r="B216" s="12" t="s">
        <v>131</v>
      </c>
      <c r="C216" s="12" t="s">
        <v>131</v>
      </c>
      <c r="D216" s="22" t="s">
        <v>480</v>
      </c>
      <c r="E216" s="22" t="s">
        <v>173</v>
      </c>
      <c r="F216" s="22" t="s">
        <v>931</v>
      </c>
      <c r="G216" s="22" t="s">
        <v>932</v>
      </c>
      <c r="H216" s="22" t="s">
        <v>150</v>
      </c>
      <c r="I216" s="22" t="s">
        <v>343</v>
      </c>
      <c r="J216" s="22" t="s">
        <v>162</v>
      </c>
      <c r="K216" s="22" t="s">
        <v>89</v>
      </c>
      <c r="L216" s="54" t="s">
        <v>153</v>
      </c>
      <c r="M216" s="33" t="s">
        <v>475</v>
      </c>
      <c r="N216" s="24" t="s">
        <v>153</v>
      </c>
      <c r="O216" s="33" t="s">
        <v>475</v>
      </c>
      <c r="P216" s="33" t="s">
        <v>475</v>
      </c>
      <c r="Q216" s="33" t="s">
        <v>475</v>
      </c>
      <c r="R216" s="33" t="s">
        <v>475</v>
      </c>
      <c r="S216" s="33" t="s">
        <v>475</v>
      </c>
      <c r="T216" s="33" t="s">
        <v>475</v>
      </c>
      <c r="U216" s="24" t="s">
        <v>153</v>
      </c>
      <c r="V216" s="54" t="s">
        <v>153</v>
      </c>
      <c r="W216" s="33" t="s">
        <v>475</v>
      </c>
      <c r="X216" s="33" t="s">
        <v>475</v>
      </c>
      <c r="Y216" s="33" t="s">
        <v>475</v>
      </c>
      <c r="Z216" s="33" t="s">
        <v>475</v>
      </c>
      <c r="AA216" s="33" t="s">
        <v>475</v>
      </c>
      <c r="AB216" s="24" t="s">
        <v>153</v>
      </c>
      <c r="AC216" s="33" t="s">
        <v>475</v>
      </c>
      <c r="AD216" s="33" t="s">
        <v>475</v>
      </c>
      <c r="AE216" s="33" t="s">
        <v>475</v>
      </c>
      <c r="AF216" s="33" t="s">
        <v>475</v>
      </c>
      <c r="AG216" s="33" t="s">
        <v>475</v>
      </c>
      <c r="AH216" s="33" t="s">
        <v>475</v>
      </c>
      <c r="AI216" s="24" t="s">
        <v>153</v>
      </c>
      <c r="AJ216" s="33" t="s">
        <v>475</v>
      </c>
      <c r="AK216" s="33" t="s">
        <v>475</v>
      </c>
      <c r="AL216" s="33" t="s">
        <v>475</v>
      </c>
      <c r="AM216" s="33" t="s">
        <v>475</v>
      </c>
      <c r="AN216" s="33" t="s">
        <v>475</v>
      </c>
      <c r="AO216" s="33" t="s">
        <v>475</v>
      </c>
      <c r="AP216" s="23">
        <f>VALUE(0)</f>
        <v>0</v>
      </c>
      <c r="AQ216" s="23">
        <f>VALUE(0)</f>
        <v>0</v>
      </c>
      <c r="AR216" s="23">
        <f>VALUE(0)</f>
        <v>0</v>
      </c>
      <c r="AS216" s="23">
        <f>VALUE(0)</f>
        <v>0</v>
      </c>
      <c r="AT216" s="23">
        <f>VALUE(0)</f>
        <v>0</v>
      </c>
      <c r="AU216" s="23">
        <f>VALUE(0)</f>
        <v>0</v>
      </c>
      <c r="AV216" s="23">
        <f>VALUE(0)</f>
        <v>0</v>
      </c>
      <c r="AW216" s="23">
        <f>VALUE(0)</f>
        <v>0</v>
      </c>
      <c r="AX216" s="23" t="s">
        <v>481</v>
      </c>
      <c r="AY216" s="23" t="s">
        <v>403</v>
      </c>
      <c r="AZ216" s="23">
        <f>VALUE(0)</f>
        <v>0</v>
      </c>
      <c r="BA216" s="23">
        <f>VALUE(0)</f>
        <v>0</v>
      </c>
      <c r="BB216" s="23">
        <f>VALUE(0)</f>
        <v>0</v>
      </c>
      <c r="BC216" s="23">
        <f>VALUE(0)</f>
        <v>0</v>
      </c>
      <c r="BD216" s="23">
        <f>VALUE(0)</f>
        <v>0</v>
      </c>
      <c r="BE216" s="23">
        <f>VALUE(0)</f>
        <v>0</v>
      </c>
      <c r="BF216" s="23">
        <f>VALUE(0)</f>
        <v>0</v>
      </c>
      <c r="BG216" s="23">
        <f>VALUE(0)</f>
        <v>0</v>
      </c>
      <c r="BH216" s="23">
        <f>VALUE(0)</f>
        <v>0</v>
      </c>
      <c r="BI216" s="23">
        <f>VALUE(0)</f>
        <v>0</v>
      </c>
      <c r="BJ216" s="23">
        <f>VALUE(0)</f>
        <v>0</v>
      </c>
      <c r="BK216" s="12">
        <f>$AX$216*24</f>
        <v>8.1666666666666661</v>
      </c>
      <c r="BL216" s="12">
        <f>$AY$216*24</f>
        <v>2.1</v>
      </c>
      <c r="BM216" s="12">
        <f>$BJ$216*24</f>
        <v>0</v>
      </c>
      <c r="BN216" s="12">
        <f>VALUE($I$216)/100</f>
        <v>0.7</v>
      </c>
      <c r="BO216" s="12">
        <v>0</v>
      </c>
      <c r="BP216" s="12">
        <v>0</v>
      </c>
      <c r="BQ216" s="12">
        <v>0</v>
      </c>
      <c r="BR216" s="12">
        <v>0</v>
      </c>
      <c r="BS216" s="12">
        <v>0</v>
      </c>
      <c r="BT216" s="12">
        <v>0</v>
      </c>
      <c r="BU216" s="12">
        <v>0</v>
      </c>
      <c r="BV216" s="12">
        <v>0</v>
      </c>
      <c r="BW216" s="12">
        <v>0</v>
      </c>
      <c r="BX216" s="12">
        <v>0</v>
      </c>
      <c r="BY216" s="12">
        <v>0</v>
      </c>
      <c r="BZ216" s="12">
        <v>0</v>
      </c>
      <c r="CA216" s="12">
        <v>0</v>
      </c>
    </row>
    <row r="217" spans="1:79" hidden="1" x14ac:dyDescent="0.2">
      <c r="A217" s="12" t="s">
        <v>127</v>
      </c>
      <c r="B217" s="12" t="s">
        <v>131</v>
      </c>
      <c r="C217" s="12" t="s">
        <v>131</v>
      </c>
      <c r="D217" s="22" t="s">
        <v>480</v>
      </c>
      <c r="E217" s="22" t="s">
        <v>173</v>
      </c>
      <c r="F217" s="22" t="s">
        <v>933</v>
      </c>
      <c r="G217" s="22" t="s">
        <v>934</v>
      </c>
      <c r="H217" s="22" t="s">
        <v>150</v>
      </c>
      <c r="I217" s="22" t="s">
        <v>343</v>
      </c>
      <c r="J217" s="22" t="s">
        <v>162</v>
      </c>
      <c r="K217" s="22" t="s">
        <v>89</v>
      </c>
      <c r="L217" s="54" t="s">
        <v>156</v>
      </c>
      <c r="M217" s="33" t="s">
        <v>475</v>
      </c>
      <c r="N217" s="24" t="s">
        <v>153</v>
      </c>
      <c r="O217" s="33" t="s">
        <v>475</v>
      </c>
      <c r="P217" s="33" t="s">
        <v>475</v>
      </c>
      <c r="Q217" s="33" t="s">
        <v>475</v>
      </c>
      <c r="R217" s="33" t="s">
        <v>475</v>
      </c>
      <c r="S217" s="33" t="s">
        <v>475</v>
      </c>
      <c r="T217" s="33" t="s">
        <v>475</v>
      </c>
      <c r="U217" s="24" t="s">
        <v>153</v>
      </c>
      <c r="V217" s="54" t="s">
        <v>153</v>
      </c>
      <c r="W217" s="33" t="s">
        <v>475</v>
      </c>
      <c r="X217" s="33" t="s">
        <v>475</v>
      </c>
      <c r="Y217" s="33" t="s">
        <v>475</v>
      </c>
      <c r="Z217" s="33" t="s">
        <v>475</v>
      </c>
      <c r="AA217" s="33" t="s">
        <v>475</v>
      </c>
      <c r="AB217" s="24" t="s">
        <v>153</v>
      </c>
      <c r="AC217" s="33" t="s">
        <v>475</v>
      </c>
      <c r="AD217" s="33" t="s">
        <v>475</v>
      </c>
      <c r="AE217" s="33" t="s">
        <v>475</v>
      </c>
      <c r="AF217" s="33" t="s">
        <v>475</v>
      </c>
      <c r="AG217" s="33" t="s">
        <v>475</v>
      </c>
      <c r="AH217" s="33" t="s">
        <v>475</v>
      </c>
      <c r="AI217" s="24" t="s">
        <v>153</v>
      </c>
      <c r="AJ217" s="33" t="s">
        <v>475</v>
      </c>
      <c r="AK217" s="33" t="s">
        <v>475</v>
      </c>
      <c r="AL217" s="33" t="s">
        <v>475</v>
      </c>
      <c r="AM217" s="33" t="s">
        <v>475</v>
      </c>
      <c r="AN217" s="33" t="s">
        <v>475</v>
      </c>
      <c r="AO217" s="33" t="s">
        <v>475</v>
      </c>
      <c r="AP217" s="23">
        <f>VALUE(0)</f>
        <v>0</v>
      </c>
      <c r="AQ217" s="23">
        <f>VALUE(0)</f>
        <v>0</v>
      </c>
      <c r="AR217" s="23">
        <f>VALUE(0)</f>
        <v>0</v>
      </c>
      <c r="AS217" s="23">
        <f>VALUE(0)</f>
        <v>0</v>
      </c>
      <c r="AT217" s="23">
        <f>VALUE(0)</f>
        <v>0</v>
      </c>
      <c r="AU217" s="23">
        <f>VALUE(0)</f>
        <v>0</v>
      </c>
      <c r="AV217" s="23">
        <f>VALUE(0)</f>
        <v>0</v>
      </c>
      <c r="AW217" s="23">
        <f>VALUE(0)</f>
        <v>0</v>
      </c>
      <c r="AX217" s="23" t="s">
        <v>1259</v>
      </c>
      <c r="AY217" s="23" t="s">
        <v>482</v>
      </c>
      <c r="AZ217" s="23">
        <f>VALUE(0)</f>
        <v>0</v>
      </c>
      <c r="BA217" s="23">
        <f>VALUE(0)</f>
        <v>0</v>
      </c>
      <c r="BB217" s="23">
        <f>VALUE(0)</f>
        <v>0</v>
      </c>
      <c r="BC217" s="23">
        <f>VALUE(0)</f>
        <v>0</v>
      </c>
      <c r="BD217" s="23">
        <f>VALUE(0)</f>
        <v>0</v>
      </c>
      <c r="BE217" s="23">
        <f>VALUE(0)</f>
        <v>0</v>
      </c>
      <c r="BF217" s="23">
        <f>VALUE(0)</f>
        <v>0</v>
      </c>
      <c r="BG217" s="23">
        <f>VALUE(0)</f>
        <v>0</v>
      </c>
      <c r="BH217" s="23">
        <f>VALUE(0)</f>
        <v>0</v>
      </c>
      <c r="BI217" s="23">
        <f>VALUE(0)</f>
        <v>0</v>
      </c>
      <c r="BJ217" s="23">
        <f>VALUE(0)</f>
        <v>0</v>
      </c>
      <c r="BK217" s="12">
        <f>$AX$217*24</f>
        <v>12.25</v>
      </c>
      <c r="BL217" s="12">
        <f>$AY$217*24</f>
        <v>2.85</v>
      </c>
      <c r="BM217" s="12">
        <f>$BJ$217*24</f>
        <v>0</v>
      </c>
      <c r="BN217" s="12">
        <f>VALUE($I$217)/100</f>
        <v>0.7</v>
      </c>
      <c r="BO217" s="12">
        <v>0</v>
      </c>
      <c r="BP217" s="12">
        <v>0</v>
      </c>
      <c r="BQ217" s="12">
        <v>0</v>
      </c>
      <c r="BR217" s="12">
        <v>0</v>
      </c>
      <c r="BS217" s="12">
        <v>0</v>
      </c>
      <c r="BT217" s="12">
        <v>0</v>
      </c>
      <c r="BU217" s="12">
        <v>0</v>
      </c>
      <c r="BV217" s="12">
        <v>0</v>
      </c>
      <c r="BW217" s="12">
        <v>0</v>
      </c>
      <c r="BX217" s="12">
        <v>0</v>
      </c>
      <c r="BY217" s="12">
        <v>0</v>
      </c>
      <c r="BZ217" s="12">
        <v>0</v>
      </c>
      <c r="CA217" s="12">
        <v>0</v>
      </c>
    </row>
    <row r="218" spans="1:79" hidden="1" x14ac:dyDescent="0.2">
      <c r="A218" s="12" t="s">
        <v>127</v>
      </c>
      <c r="B218" s="12" t="s">
        <v>131</v>
      </c>
      <c r="C218" s="12" t="s">
        <v>131</v>
      </c>
      <c r="D218" s="22" t="s">
        <v>480</v>
      </c>
      <c r="E218" s="22" t="s">
        <v>173</v>
      </c>
      <c r="F218" s="22" t="s">
        <v>935</v>
      </c>
      <c r="G218" s="22" t="s">
        <v>936</v>
      </c>
      <c r="H218" s="22" t="s">
        <v>150</v>
      </c>
      <c r="I218" s="22" t="s">
        <v>343</v>
      </c>
      <c r="J218" s="22" t="s">
        <v>162</v>
      </c>
      <c r="K218" s="22" t="s">
        <v>89</v>
      </c>
      <c r="L218" s="54" t="s">
        <v>156</v>
      </c>
      <c r="M218" s="33" t="s">
        <v>475</v>
      </c>
      <c r="N218" s="24" t="s">
        <v>153</v>
      </c>
      <c r="O218" s="33" t="s">
        <v>475</v>
      </c>
      <c r="P218" s="33" t="s">
        <v>475</v>
      </c>
      <c r="Q218" s="33" t="s">
        <v>475</v>
      </c>
      <c r="R218" s="33" t="s">
        <v>475</v>
      </c>
      <c r="S218" s="33" t="s">
        <v>475</v>
      </c>
      <c r="T218" s="33" t="s">
        <v>475</v>
      </c>
      <c r="U218" s="24" t="s">
        <v>153</v>
      </c>
      <c r="V218" s="54" t="s">
        <v>153</v>
      </c>
      <c r="W218" s="33" t="s">
        <v>475</v>
      </c>
      <c r="X218" s="33" t="s">
        <v>475</v>
      </c>
      <c r="Y218" s="33" t="s">
        <v>475</v>
      </c>
      <c r="Z218" s="33" t="s">
        <v>475</v>
      </c>
      <c r="AA218" s="33" t="s">
        <v>475</v>
      </c>
      <c r="AB218" s="24" t="s">
        <v>153</v>
      </c>
      <c r="AC218" s="33" t="s">
        <v>475</v>
      </c>
      <c r="AD218" s="33" t="s">
        <v>475</v>
      </c>
      <c r="AE218" s="33" t="s">
        <v>475</v>
      </c>
      <c r="AF218" s="33" t="s">
        <v>475</v>
      </c>
      <c r="AG218" s="33" t="s">
        <v>475</v>
      </c>
      <c r="AH218" s="33" t="s">
        <v>475</v>
      </c>
      <c r="AI218" s="24" t="s">
        <v>153</v>
      </c>
      <c r="AJ218" s="33" t="s">
        <v>475</v>
      </c>
      <c r="AK218" s="33" t="s">
        <v>475</v>
      </c>
      <c r="AL218" s="33" t="s">
        <v>475</v>
      </c>
      <c r="AM218" s="33" t="s">
        <v>475</v>
      </c>
      <c r="AN218" s="33" t="s">
        <v>475</v>
      </c>
      <c r="AO218" s="33" t="s">
        <v>475</v>
      </c>
      <c r="AP218" s="23">
        <f>VALUE(0)</f>
        <v>0</v>
      </c>
      <c r="AQ218" s="23">
        <f>VALUE(0)</f>
        <v>0</v>
      </c>
      <c r="AR218" s="23">
        <f>VALUE(0)</f>
        <v>0</v>
      </c>
      <c r="AS218" s="23">
        <f>VALUE(0)</f>
        <v>0</v>
      </c>
      <c r="AT218" s="23">
        <f>VALUE(0)</f>
        <v>0</v>
      </c>
      <c r="AU218" s="23">
        <f>VALUE(0)</f>
        <v>0</v>
      </c>
      <c r="AV218" s="23">
        <f>VALUE(0)</f>
        <v>0</v>
      </c>
      <c r="AW218" s="23">
        <f>VALUE(0)</f>
        <v>0</v>
      </c>
      <c r="AX218" s="23" t="s">
        <v>421</v>
      </c>
      <c r="AY218" s="23">
        <f>VALUE(0)</f>
        <v>0</v>
      </c>
      <c r="AZ218" s="23">
        <f>VALUE(0)</f>
        <v>0</v>
      </c>
      <c r="BA218" s="23">
        <f>VALUE(0)</f>
        <v>0</v>
      </c>
      <c r="BB218" s="23">
        <f>VALUE(0)</f>
        <v>0</v>
      </c>
      <c r="BC218" s="23">
        <f>VALUE(0)</f>
        <v>0</v>
      </c>
      <c r="BD218" s="23">
        <f>VALUE(0)</f>
        <v>0</v>
      </c>
      <c r="BE218" s="23">
        <f>VALUE(0)</f>
        <v>0</v>
      </c>
      <c r="BF218" s="23">
        <f>VALUE(0)</f>
        <v>0</v>
      </c>
      <c r="BG218" s="23">
        <f>VALUE(0)</f>
        <v>0</v>
      </c>
      <c r="BH218" s="23">
        <f>VALUE(0)</f>
        <v>0</v>
      </c>
      <c r="BI218" s="23">
        <f>VALUE(0)</f>
        <v>0</v>
      </c>
      <c r="BJ218" s="23">
        <f>VALUE(0)</f>
        <v>0</v>
      </c>
      <c r="BK218" s="12">
        <f>$AX$218*24</f>
        <v>5.85</v>
      </c>
      <c r="BL218" s="12">
        <f>$AY$218*24</f>
        <v>0</v>
      </c>
      <c r="BM218" s="12">
        <f>$BJ$218*24</f>
        <v>0</v>
      </c>
      <c r="BN218" s="12">
        <f>VALUE($I$218)/100</f>
        <v>0.7</v>
      </c>
      <c r="BO218" s="12">
        <v>0</v>
      </c>
      <c r="BP218" s="12">
        <v>0</v>
      </c>
      <c r="BQ218" s="12">
        <v>0</v>
      </c>
      <c r="BR218" s="12">
        <v>0</v>
      </c>
      <c r="BS218" s="12">
        <v>0</v>
      </c>
      <c r="BT218" s="12">
        <v>0</v>
      </c>
      <c r="BU218" s="12">
        <v>0</v>
      </c>
      <c r="BV218" s="12">
        <v>0</v>
      </c>
      <c r="BW218" s="12">
        <v>0</v>
      </c>
      <c r="BX218" s="12">
        <v>0</v>
      </c>
      <c r="BY218" s="12">
        <v>0</v>
      </c>
      <c r="BZ218" s="12">
        <v>0</v>
      </c>
      <c r="CA218" s="12">
        <v>0</v>
      </c>
    </row>
    <row r="219" spans="1:79" hidden="1" x14ac:dyDescent="0.2">
      <c r="A219" s="12" t="s">
        <v>127</v>
      </c>
      <c r="B219" s="12" t="s">
        <v>131</v>
      </c>
      <c r="C219" s="12" t="s">
        <v>131</v>
      </c>
      <c r="D219" s="22" t="s">
        <v>480</v>
      </c>
      <c r="E219" s="22" t="s">
        <v>173</v>
      </c>
      <c r="F219" s="22" t="s">
        <v>937</v>
      </c>
      <c r="G219" s="22" t="s">
        <v>938</v>
      </c>
      <c r="H219" s="22" t="s">
        <v>166</v>
      </c>
      <c r="I219" s="22" t="s">
        <v>343</v>
      </c>
      <c r="J219" s="22" t="s">
        <v>162</v>
      </c>
      <c r="K219" s="22" t="s">
        <v>89</v>
      </c>
      <c r="L219" s="54" t="s">
        <v>153</v>
      </c>
      <c r="M219" s="33" t="s">
        <v>475</v>
      </c>
      <c r="N219" s="24" t="s">
        <v>153</v>
      </c>
      <c r="O219" s="33" t="s">
        <v>475</v>
      </c>
      <c r="P219" s="33" t="s">
        <v>475</v>
      </c>
      <c r="Q219" s="33" t="s">
        <v>475</v>
      </c>
      <c r="R219" s="33" t="s">
        <v>475</v>
      </c>
      <c r="S219" s="33" t="s">
        <v>475</v>
      </c>
      <c r="T219" s="33" t="s">
        <v>475</v>
      </c>
      <c r="U219" s="24" t="s">
        <v>153</v>
      </c>
      <c r="V219" s="54" t="s">
        <v>153</v>
      </c>
      <c r="W219" s="33" t="s">
        <v>475</v>
      </c>
      <c r="X219" s="33" t="s">
        <v>475</v>
      </c>
      <c r="Y219" s="33" t="s">
        <v>475</v>
      </c>
      <c r="Z219" s="33" t="s">
        <v>475</v>
      </c>
      <c r="AA219" s="33" t="s">
        <v>475</v>
      </c>
      <c r="AB219" s="24" t="s">
        <v>153</v>
      </c>
      <c r="AC219" s="33" t="s">
        <v>475</v>
      </c>
      <c r="AD219" s="33" t="s">
        <v>475</v>
      </c>
      <c r="AE219" s="33" t="s">
        <v>475</v>
      </c>
      <c r="AF219" s="33" t="s">
        <v>475</v>
      </c>
      <c r="AG219" s="33" t="s">
        <v>475</v>
      </c>
      <c r="AH219" s="33" t="s">
        <v>475</v>
      </c>
      <c r="AI219" s="24" t="s">
        <v>153</v>
      </c>
      <c r="AJ219" s="33" t="s">
        <v>475</v>
      </c>
      <c r="AK219" s="33" t="s">
        <v>475</v>
      </c>
      <c r="AL219" s="33" t="s">
        <v>475</v>
      </c>
      <c r="AM219" s="33" t="s">
        <v>475</v>
      </c>
      <c r="AN219" s="33" t="s">
        <v>475</v>
      </c>
      <c r="AO219" s="33" t="s">
        <v>475</v>
      </c>
      <c r="AP219" s="23">
        <f>VALUE(0)</f>
        <v>0</v>
      </c>
      <c r="AQ219" s="23">
        <f>VALUE(0)</f>
        <v>0</v>
      </c>
      <c r="AR219" s="23">
        <f>VALUE(0)</f>
        <v>0</v>
      </c>
      <c r="AS219" s="23">
        <f>VALUE(0)</f>
        <v>0</v>
      </c>
      <c r="AT219" s="23">
        <f>VALUE(0)</f>
        <v>0</v>
      </c>
      <c r="AU219" s="23">
        <f>VALUE(0)</f>
        <v>0</v>
      </c>
      <c r="AV219" s="23">
        <f>VALUE(0)</f>
        <v>0</v>
      </c>
      <c r="AW219" s="23">
        <f>VALUE(0)</f>
        <v>0</v>
      </c>
      <c r="AX219" s="23" t="s">
        <v>483</v>
      </c>
      <c r="AY219" s="23">
        <f>VALUE(0)</f>
        <v>0</v>
      </c>
      <c r="AZ219" s="23">
        <f>VALUE(0)</f>
        <v>0</v>
      </c>
      <c r="BA219" s="23">
        <f>VALUE(0)</f>
        <v>0</v>
      </c>
      <c r="BB219" s="23">
        <f>VALUE(0)</f>
        <v>0</v>
      </c>
      <c r="BC219" s="23">
        <f>VALUE(0)</f>
        <v>0</v>
      </c>
      <c r="BD219" s="23">
        <f>VALUE(0)</f>
        <v>0</v>
      </c>
      <c r="BE219" s="23">
        <f>VALUE(0)</f>
        <v>0</v>
      </c>
      <c r="BF219" s="23">
        <f>VALUE(0)</f>
        <v>0</v>
      </c>
      <c r="BG219" s="23">
        <f>VALUE(0)</f>
        <v>0</v>
      </c>
      <c r="BH219" s="23">
        <f>VALUE(0)</f>
        <v>0</v>
      </c>
      <c r="BI219" s="23">
        <f>VALUE(0)</f>
        <v>0</v>
      </c>
      <c r="BJ219" s="23">
        <f>VALUE(0)</f>
        <v>0</v>
      </c>
      <c r="BK219" s="12">
        <f>$AX$219*24</f>
        <v>4.7333333333333334</v>
      </c>
      <c r="BL219" s="12">
        <f>$AY$219*24</f>
        <v>0</v>
      </c>
      <c r="BM219" s="12">
        <f>$BJ$219*24</f>
        <v>0</v>
      </c>
      <c r="BN219" s="12">
        <f>VALUE($I$219)/100</f>
        <v>0.7</v>
      </c>
      <c r="BO219" s="12">
        <v>0</v>
      </c>
      <c r="BP219" s="12">
        <v>0</v>
      </c>
      <c r="BQ219" s="12">
        <v>0</v>
      </c>
      <c r="BR219" s="12">
        <v>0</v>
      </c>
      <c r="BS219" s="12">
        <v>0</v>
      </c>
      <c r="BT219" s="12">
        <v>0</v>
      </c>
      <c r="BU219" s="12">
        <v>0</v>
      </c>
      <c r="BV219" s="12">
        <v>0</v>
      </c>
      <c r="BW219" s="12">
        <v>0</v>
      </c>
      <c r="BX219" s="12">
        <v>0</v>
      </c>
      <c r="BY219" s="12">
        <v>0</v>
      </c>
      <c r="BZ219" s="12">
        <v>0</v>
      </c>
      <c r="CA219" s="12">
        <v>0</v>
      </c>
    </row>
    <row r="220" spans="1:79" hidden="1" x14ac:dyDescent="0.2">
      <c r="A220" s="12" t="s">
        <v>127</v>
      </c>
      <c r="B220" s="12" t="s">
        <v>131</v>
      </c>
      <c r="C220" s="12" t="s">
        <v>131</v>
      </c>
      <c r="D220" s="22" t="s">
        <v>480</v>
      </c>
      <c r="E220" s="22" t="s">
        <v>173</v>
      </c>
      <c r="F220" s="22" t="s">
        <v>939</v>
      </c>
      <c r="G220" s="22" t="s">
        <v>940</v>
      </c>
      <c r="H220" s="22" t="s">
        <v>166</v>
      </c>
      <c r="I220" s="22" t="s">
        <v>343</v>
      </c>
      <c r="J220" s="22" t="s">
        <v>162</v>
      </c>
      <c r="K220" s="22" t="s">
        <v>89</v>
      </c>
      <c r="L220" s="54" t="s">
        <v>153</v>
      </c>
      <c r="M220" s="33" t="s">
        <v>475</v>
      </c>
      <c r="N220" s="24" t="s">
        <v>153</v>
      </c>
      <c r="O220" s="33" t="s">
        <v>475</v>
      </c>
      <c r="P220" s="33" t="s">
        <v>475</v>
      </c>
      <c r="Q220" s="33" t="s">
        <v>475</v>
      </c>
      <c r="R220" s="33" t="s">
        <v>475</v>
      </c>
      <c r="S220" s="33" t="s">
        <v>475</v>
      </c>
      <c r="T220" s="33" t="s">
        <v>475</v>
      </c>
      <c r="U220" s="24" t="s">
        <v>153</v>
      </c>
      <c r="V220" s="54" t="s">
        <v>153</v>
      </c>
      <c r="W220" s="33" t="s">
        <v>475</v>
      </c>
      <c r="X220" s="33" t="s">
        <v>475</v>
      </c>
      <c r="Y220" s="33" t="s">
        <v>475</v>
      </c>
      <c r="Z220" s="33" t="s">
        <v>475</v>
      </c>
      <c r="AA220" s="33" t="s">
        <v>475</v>
      </c>
      <c r="AB220" s="24" t="s">
        <v>153</v>
      </c>
      <c r="AC220" s="33" t="s">
        <v>475</v>
      </c>
      <c r="AD220" s="33" t="s">
        <v>475</v>
      </c>
      <c r="AE220" s="33" t="s">
        <v>475</v>
      </c>
      <c r="AF220" s="33" t="s">
        <v>475</v>
      </c>
      <c r="AG220" s="33" t="s">
        <v>475</v>
      </c>
      <c r="AH220" s="33" t="s">
        <v>475</v>
      </c>
      <c r="AI220" s="24" t="s">
        <v>153</v>
      </c>
      <c r="AJ220" s="33" t="s">
        <v>475</v>
      </c>
      <c r="AK220" s="33" t="s">
        <v>475</v>
      </c>
      <c r="AL220" s="33" t="s">
        <v>475</v>
      </c>
      <c r="AM220" s="33" t="s">
        <v>475</v>
      </c>
      <c r="AN220" s="33" t="s">
        <v>475</v>
      </c>
      <c r="AO220" s="33" t="s">
        <v>475</v>
      </c>
      <c r="AP220" s="23">
        <f>VALUE(0)</f>
        <v>0</v>
      </c>
      <c r="AQ220" s="23">
        <f>VALUE(0)</f>
        <v>0</v>
      </c>
      <c r="AR220" s="23">
        <f>VALUE(0)</f>
        <v>0</v>
      </c>
      <c r="AS220" s="23">
        <f>VALUE(0)</f>
        <v>0</v>
      </c>
      <c r="AT220" s="23">
        <f>VALUE(0)</f>
        <v>0</v>
      </c>
      <c r="AU220" s="23">
        <f>VALUE(0)</f>
        <v>0</v>
      </c>
      <c r="AV220" s="23">
        <f>VALUE(0)</f>
        <v>0</v>
      </c>
      <c r="AW220" s="23">
        <f>VALUE(0)</f>
        <v>0</v>
      </c>
      <c r="AX220" s="23" t="s">
        <v>403</v>
      </c>
      <c r="AY220" s="23">
        <f>VALUE(0)</f>
        <v>0</v>
      </c>
      <c r="AZ220" s="23">
        <f>VALUE(0)</f>
        <v>0</v>
      </c>
      <c r="BA220" s="23">
        <f>VALUE(0)</f>
        <v>0</v>
      </c>
      <c r="BB220" s="23">
        <f>VALUE(0)</f>
        <v>0</v>
      </c>
      <c r="BC220" s="23">
        <f>VALUE(0)</f>
        <v>0</v>
      </c>
      <c r="BD220" s="23">
        <f>VALUE(0)</f>
        <v>0</v>
      </c>
      <c r="BE220" s="23">
        <f>VALUE(0)</f>
        <v>0</v>
      </c>
      <c r="BF220" s="23">
        <f>VALUE(0)</f>
        <v>0</v>
      </c>
      <c r="BG220" s="23">
        <f>VALUE(0)</f>
        <v>0</v>
      </c>
      <c r="BH220" s="23">
        <f>VALUE(0)</f>
        <v>0</v>
      </c>
      <c r="BI220" s="23">
        <f>VALUE(0)</f>
        <v>0</v>
      </c>
      <c r="BJ220" s="23">
        <f>VALUE(0)</f>
        <v>0</v>
      </c>
      <c r="BK220" s="12">
        <f>$AX$220*24</f>
        <v>2.1</v>
      </c>
      <c r="BL220" s="12">
        <f>$AY$220*24</f>
        <v>0</v>
      </c>
      <c r="BM220" s="12">
        <f>$BJ$220*24</f>
        <v>0</v>
      </c>
      <c r="BN220" s="12">
        <f>VALUE($I$220)/100</f>
        <v>0.7</v>
      </c>
      <c r="BO220" s="12">
        <v>0</v>
      </c>
      <c r="BP220" s="12">
        <v>0</v>
      </c>
      <c r="BQ220" s="12">
        <v>0</v>
      </c>
      <c r="BR220" s="12">
        <v>0</v>
      </c>
      <c r="BS220" s="12">
        <v>0</v>
      </c>
      <c r="BT220" s="12">
        <v>0</v>
      </c>
      <c r="BU220" s="12">
        <v>0</v>
      </c>
      <c r="BV220" s="12">
        <v>0</v>
      </c>
      <c r="BW220" s="12">
        <v>0</v>
      </c>
      <c r="BX220" s="12">
        <v>0</v>
      </c>
      <c r="BY220" s="12">
        <v>0</v>
      </c>
      <c r="BZ220" s="12">
        <v>0</v>
      </c>
      <c r="CA220" s="12">
        <v>0</v>
      </c>
    </row>
    <row r="221" spans="1:79" hidden="1" x14ac:dyDescent="0.2">
      <c r="A221" s="12" t="s">
        <v>127</v>
      </c>
      <c r="B221" s="12" t="s">
        <v>131</v>
      </c>
      <c r="C221" s="12" t="s">
        <v>131</v>
      </c>
      <c r="D221" s="22" t="s">
        <v>480</v>
      </c>
      <c r="E221" s="22" t="s">
        <v>173</v>
      </c>
      <c r="F221" s="22" t="s">
        <v>941</v>
      </c>
      <c r="G221" s="22" t="s">
        <v>942</v>
      </c>
      <c r="H221" s="22" t="s">
        <v>166</v>
      </c>
      <c r="I221" s="22" t="s">
        <v>343</v>
      </c>
      <c r="J221" s="22" t="s">
        <v>162</v>
      </c>
      <c r="K221" s="22" t="s">
        <v>89</v>
      </c>
      <c r="L221" s="54" t="s">
        <v>153</v>
      </c>
      <c r="M221" s="33" t="s">
        <v>475</v>
      </c>
      <c r="N221" s="24" t="s">
        <v>153</v>
      </c>
      <c r="O221" s="33" t="s">
        <v>475</v>
      </c>
      <c r="P221" s="33" t="s">
        <v>475</v>
      </c>
      <c r="Q221" s="33" t="s">
        <v>475</v>
      </c>
      <c r="R221" s="33" t="s">
        <v>475</v>
      </c>
      <c r="S221" s="33" t="s">
        <v>475</v>
      </c>
      <c r="T221" s="33" t="s">
        <v>475</v>
      </c>
      <c r="U221" s="24" t="s">
        <v>153</v>
      </c>
      <c r="V221" s="54" t="s">
        <v>153</v>
      </c>
      <c r="W221" s="33" t="s">
        <v>475</v>
      </c>
      <c r="X221" s="33" t="s">
        <v>475</v>
      </c>
      <c r="Y221" s="33" t="s">
        <v>475</v>
      </c>
      <c r="Z221" s="33" t="s">
        <v>475</v>
      </c>
      <c r="AA221" s="33" t="s">
        <v>475</v>
      </c>
      <c r="AB221" s="24" t="s">
        <v>153</v>
      </c>
      <c r="AC221" s="33" t="s">
        <v>475</v>
      </c>
      <c r="AD221" s="33" t="s">
        <v>475</v>
      </c>
      <c r="AE221" s="33" t="s">
        <v>475</v>
      </c>
      <c r="AF221" s="33" t="s">
        <v>475</v>
      </c>
      <c r="AG221" s="33" t="s">
        <v>475</v>
      </c>
      <c r="AH221" s="33" t="s">
        <v>475</v>
      </c>
      <c r="AI221" s="24" t="s">
        <v>153</v>
      </c>
      <c r="AJ221" s="33" t="s">
        <v>475</v>
      </c>
      <c r="AK221" s="33" t="s">
        <v>475</v>
      </c>
      <c r="AL221" s="33" t="s">
        <v>475</v>
      </c>
      <c r="AM221" s="33" t="s">
        <v>475</v>
      </c>
      <c r="AN221" s="33" t="s">
        <v>475</v>
      </c>
      <c r="AO221" s="33" t="s">
        <v>475</v>
      </c>
      <c r="AP221" s="23">
        <f>VALUE(0)</f>
        <v>0</v>
      </c>
      <c r="AQ221" s="23">
        <f>VALUE(0)</f>
        <v>0</v>
      </c>
      <c r="AR221" s="23">
        <f>VALUE(0)</f>
        <v>0</v>
      </c>
      <c r="AS221" s="23">
        <f>VALUE(0)</f>
        <v>0</v>
      </c>
      <c r="AT221" s="23">
        <f>VALUE(0)</f>
        <v>0</v>
      </c>
      <c r="AU221" s="23">
        <f>VALUE(0)</f>
        <v>0</v>
      </c>
      <c r="AV221" s="23">
        <f>VALUE(0)</f>
        <v>0</v>
      </c>
      <c r="AW221" s="23">
        <f>VALUE(0)</f>
        <v>0</v>
      </c>
      <c r="AX221" s="23" t="s">
        <v>484</v>
      </c>
      <c r="AY221" s="23">
        <f>VALUE(0)</f>
        <v>0</v>
      </c>
      <c r="AZ221" s="23">
        <f>VALUE(0)</f>
        <v>0</v>
      </c>
      <c r="BA221" s="23">
        <f>VALUE(0)</f>
        <v>0</v>
      </c>
      <c r="BB221" s="23">
        <f>VALUE(0)</f>
        <v>0</v>
      </c>
      <c r="BC221" s="23">
        <f>VALUE(0)</f>
        <v>0</v>
      </c>
      <c r="BD221" s="23">
        <f>VALUE(0)</f>
        <v>0</v>
      </c>
      <c r="BE221" s="23">
        <f>VALUE(0)</f>
        <v>0</v>
      </c>
      <c r="BF221" s="23">
        <f>VALUE(0)</f>
        <v>0</v>
      </c>
      <c r="BG221" s="23">
        <f>VALUE(0)</f>
        <v>0</v>
      </c>
      <c r="BH221" s="23">
        <f>VALUE(0)</f>
        <v>0</v>
      </c>
      <c r="BI221" s="23">
        <f>VALUE(0)</f>
        <v>0</v>
      </c>
      <c r="BJ221" s="23">
        <f>VALUE(0)</f>
        <v>0</v>
      </c>
      <c r="BK221" s="12">
        <f>$AX$221*24</f>
        <v>12.75</v>
      </c>
      <c r="BL221" s="12">
        <f>$AY$221*24</f>
        <v>0</v>
      </c>
      <c r="BM221" s="12">
        <f>$BJ$221*24</f>
        <v>0</v>
      </c>
      <c r="BN221" s="12">
        <f>VALUE($I$221)/100</f>
        <v>0.7</v>
      </c>
      <c r="BO221" s="12">
        <v>0</v>
      </c>
      <c r="BP221" s="12">
        <v>0</v>
      </c>
      <c r="BQ221" s="12">
        <v>0</v>
      </c>
      <c r="BR221" s="12">
        <v>0</v>
      </c>
      <c r="BS221" s="12">
        <v>0</v>
      </c>
      <c r="BT221" s="12">
        <v>0</v>
      </c>
      <c r="BU221" s="12">
        <v>0</v>
      </c>
      <c r="BV221" s="12">
        <v>0</v>
      </c>
      <c r="BW221" s="12">
        <v>0</v>
      </c>
      <c r="BX221" s="12">
        <v>0</v>
      </c>
      <c r="BY221" s="12">
        <v>0</v>
      </c>
      <c r="BZ221" s="12">
        <v>0</v>
      </c>
      <c r="CA221" s="12">
        <v>0</v>
      </c>
    </row>
    <row r="222" spans="1:79" hidden="1" x14ac:dyDescent="0.2">
      <c r="A222" s="12" t="s">
        <v>127</v>
      </c>
      <c r="B222" s="12" t="s">
        <v>131</v>
      </c>
      <c r="C222" s="12" t="s">
        <v>131</v>
      </c>
      <c r="D222" s="22" t="s">
        <v>480</v>
      </c>
      <c r="E222" s="22" t="s">
        <v>173</v>
      </c>
      <c r="F222" s="22" t="s">
        <v>943</v>
      </c>
      <c r="G222" s="22" t="s">
        <v>944</v>
      </c>
      <c r="H222" s="22" t="s">
        <v>150</v>
      </c>
      <c r="I222" s="22" t="s">
        <v>343</v>
      </c>
      <c r="J222" s="22" t="s">
        <v>162</v>
      </c>
      <c r="K222" s="22" t="s">
        <v>89</v>
      </c>
      <c r="L222" s="54" t="s">
        <v>153</v>
      </c>
      <c r="M222" s="33" t="s">
        <v>475</v>
      </c>
      <c r="N222" s="24" t="s">
        <v>153</v>
      </c>
      <c r="O222" s="33" t="s">
        <v>475</v>
      </c>
      <c r="P222" s="33" t="s">
        <v>475</v>
      </c>
      <c r="Q222" s="33" t="s">
        <v>475</v>
      </c>
      <c r="R222" s="33" t="s">
        <v>475</v>
      </c>
      <c r="S222" s="33" t="s">
        <v>475</v>
      </c>
      <c r="T222" s="33" t="s">
        <v>475</v>
      </c>
      <c r="U222" s="24" t="s">
        <v>153</v>
      </c>
      <c r="V222" s="54" t="s">
        <v>153</v>
      </c>
      <c r="W222" s="33" t="s">
        <v>475</v>
      </c>
      <c r="X222" s="33" t="s">
        <v>475</v>
      </c>
      <c r="Y222" s="33" t="s">
        <v>475</v>
      </c>
      <c r="Z222" s="33" t="s">
        <v>475</v>
      </c>
      <c r="AA222" s="33" t="s">
        <v>475</v>
      </c>
      <c r="AB222" s="24" t="s">
        <v>153</v>
      </c>
      <c r="AC222" s="33" t="s">
        <v>475</v>
      </c>
      <c r="AD222" s="33" t="s">
        <v>475</v>
      </c>
      <c r="AE222" s="33" t="s">
        <v>475</v>
      </c>
      <c r="AF222" s="33" t="s">
        <v>475</v>
      </c>
      <c r="AG222" s="33" t="s">
        <v>475</v>
      </c>
      <c r="AH222" s="33" t="s">
        <v>475</v>
      </c>
      <c r="AI222" s="24" t="s">
        <v>153</v>
      </c>
      <c r="AJ222" s="33" t="s">
        <v>475</v>
      </c>
      <c r="AK222" s="33" t="s">
        <v>475</v>
      </c>
      <c r="AL222" s="33" t="s">
        <v>475</v>
      </c>
      <c r="AM222" s="33" t="s">
        <v>475</v>
      </c>
      <c r="AN222" s="33" t="s">
        <v>475</v>
      </c>
      <c r="AO222" s="33" t="s">
        <v>475</v>
      </c>
      <c r="AP222" s="23">
        <f>VALUE(0)</f>
        <v>0</v>
      </c>
      <c r="AQ222" s="23">
        <f>VALUE(0)</f>
        <v>0</v>
      </c>
      <c r="AR222" s="23">
        <f>VALUE(0)</f>
        <v>0</v>
      </c>
      <c r="AS222" s="23">
        <f>VALUE(0)</f>
        <v>0</v>
      </c>
      <c r="AT222" s="23">
        <f>VALUE(0)</f>
        <v>0</v>
      </c>
      <c r="AU222" s="23">
        <f>VALUE(0)</f>
        <v>0</v>
      </c>
      <c r="AV222" s="23">
        <f>VALUE(0)</f>
        <v>0</v>
      </c>
      <c r="AW222" s="23">
        <f>VALUE(0)</f>
        <v>0</v>
      </c>
      <c r="AX222" s="23" t="s">
        <v>309</v>
      </c>
      <c r="AY222" s="23" t="s">
        <v>485</v>
      </c>
      <c r="AZ222" s="23">
        <f>VALUE(0)</f>
        <v>0</v>
      </c>
      <c r="BA222" s="23">
        <f>VALUE(0)</f>
        <v>0</v>
      </c>
      <c r="BB222" s="23">
        <f>VALUE(0)</f>
        <v>0</v>
      </c>
      <c r="BC222" s="23">
        <f>VALUE(0)</f>
        <v>0</v>
      </c>
      <c r="BD222" s="23">
        <f>VALUE(0)</f>
        <v>0</v>
      </c>
      <c r="BE222" s="23">
        <f>VALUE(0)</f>
        <v>0</v>
      </c>
      <c r="BF222" s="23">
        <f>VALUE(0)</f>
        <v>0</v>
      </c>
      <c r="BG222" s="23">
        <f>VALUE(0)</f>
        <v>0</v>
      </c>
      <c r="BH222" s="23">
        <f>VALUE(0)</f>
        <v>0</v>
      </c>
      <c r="BI222" s="23">
        <f>VALUE(0)</f>
        <v>0</v>
      </c>
      <c r="BJ222" s="23">
        <f>VALUE(0)</f>
        <v>0</v>
      </c>
      <c r="BK222" s="12">
        <f>$AX$222*24</f>
        <v>4.583333333333333</v>
      </c>
      <c r="BL222" s="12">
        <f>$AY$222*24</f>
        <v>3.8333333333333339</v>
      </c>
      <c r="BM222" s="12">
        <f>$BJ$222*24</f>
        <v>0</v>
      </c>
      <c r="BN222" s="12">
        <f>VALUE($I$222)/100</f>
        <v>0.7</v>
      </c>
      <c r="BO222" s="12">
        <v>0</v>
      </c>
      <c r="BP222" s="12">
        <v>0</v>
      </c>
      <c r="BQ222" s="12">
        <v>0</v>
      </c>
      <c r="BR222" s="12">
        <v>0</v>
      </c>
      <c r="BS222" s="12">
        <v>0</v>
      </c>
      <c r="BT222" s="12">
        <v>0</v>
      </c>
      <c r="BU222" s="12">
        <v>0</v>
      </c>
      <c r="BV222" s="12">
        <v>0</v>
      </c>
      <c r="BW222" s="12">
        <v>0</v>
      </c>
      <c r="BX222" s="12">
        <v>0</v>
      </c>
      <c r="BY222" s="12">
        <v>0</v>
      </c>
      <c r="BZ222" s="12">
        <v>0</v>
      </c>
      <c r="CA222" s="12">
        <v>0</v>
      </c>
    </row>
    <row r="223" spans="1:79" hidden="1" x14ac:dyDescent="0.2">
      <c r="A223" s="12" t="s">
        <v>127</v>
      </c>
      <c r="B223" s="12" t="s">
        <v>131</v>
      </c>
      <c r="C223" s="12" t="s">
        <v>131</v>
      </c>
      <c r="D223" s="22" t="s">
        <v>480</v>
      </c>
      <c r="E223" s="22" t="s">
        <v>173</v>
      </c>
      <c r="F223" s="22" t="s">
        <v>945</v>
      </c>
      <c r="G223" s="22" t="s">
        <v>946</v>
      </c>
      <c r="H223" s="22" t="s">
        <v>166</v>
      </c>
      <c r="I223" s="22" t="s">
        <v>343</v>
      </c>
      <c r="J223" s="22" t="s">
        <v>162</v>
      </c>
      <c r="K223" s="22" t="s">
        <v>89</v>
      </c>
      <c r="L223" s="54" t="s">
        <v>153</v>
      </c>
      <c r="M223" s="33" t="s">
        <v>475</v>
      </c>
      <c r="N223" s="24" t="s">
        <v>153</v>
      </c>
      <c r="O223" s="33" t="s">
        <v>475</v>
      </c>
      <c r="P223" s="33" t="s">
        <v>475</v>
      </c>
      <c r="Q223" s="33" t="s">
        <v>475</v>
      </c>
      <c r="R223" s="33" t="s">
        <v>475</v>
      </c>
      <c r="S223" s="33" t="s">
        <v>475</v>
      </c>
      <c r="T223" s="33" t="s">
        <v>475</v>
      </c>
      <c r="U223" s="24" t="s">
        <v>153</v>
      </c>
      <c r="V223" s="54" t="s">
        <v>156</v>
      </c>
      <c r="W223" s="33" t="s">
        <v>475</v>
      </c>
      <c r="X223" s="33" t="s">
        <v>475</v>
      </c>
      <c r="Y223" s="33" t="s">
        <v>475</v>
      </c>
      <c r="Z223" s="33" t="s">
        <v>475</v>
      </c>
      <c r="AA223" s="33" t="s">
        <v>475</v>
      </c>
      <c r="AB223" s="24" t="s">
        <v>153</v>
      </c>
      <c r="AC223" s="33" t="s">
        <v>475</v>
      </c>
      <c r="AD223" s="33" t="s">
        <v>475</v>
      </c>
      <c r="AE223" s="33" t="s">
        <v>475</v>
      </c>
      <c r="AF223" s="33" t="s">
        <v>475</v>
      </c>
      <c r="AG223" s="33" t="s">
        <v>475</v>
      </c>
      <c r="AH223" s="33" t="s">
        <v>475</v>
      </c>
      <c r="AI223" s="24" t="s">
        <v>153</v>
      </c>
      <c r="AJ223" s="33" t="s">
        <v>475</v>
      </c>
      <c r="AK223" s="33" t="s">
        <v>475</v>
      </c>
      <c r="AL223" s="33" t="s">
        <v>475</v>
      </c>
      <c r="AM223" s="33" t="s">
        <v>475</v>
      </c>
      <c r="AN223" s="33" t="s">
        <v>475</v>
      </c>
      <c r="AO223" s="33" t="s">
        <v>475</v>
      </c>
      <c r="AP223" s="23">
        <f>VALUE(0)</f>
        <v>0</v>
      </c>
      <c r="AQ223" s="23">
        <f>VALUE(0)</f>
        <v>0</v>
      </c>
      <c r="AR223" s="23">
        <f>VALUE(0)</f>
        <v>0</v>
      </c>
      <c r="AS223" s="23">
        <f>VALUE(0)</f>
        <v>0</v>
      </c>
      <c r="AT223" s="23">
        <f>VALUE(0)</f>
        <v>0</v>
      </c>
      <c r="AU223" s="23">
        <f>VALUE(0)</f>
        <v>0</v>
      </c>
      <c r="AV223" s="23">
        <f>VALUE(0)</f>
        <v>0</v>
      </c>
      <c r="AW223" s="23">
        <f>VALUE(0)</f>
        <v>0</v>
      </c>
      <c r="AX223" s="23" t="s">
        <v>487</v>
      </c>
      <c r="AY223" s="23">
        <f>VALUE(0)</f>
        <v>0</v>
      </c>
      <c r="AZ223" s="23">
        <f>VALUE(0)</f>
        <v>0</v>
      </c>
      <c r="BA223" s="23">
        <f>VALUE(0)</f>
        <v>0</v>
      </c>
      <c r="BB223" s="23">
        <f>VALUE(0)</f>
        <v>0</v>
      </c>
      <c r="BC223" s="23">
        <f>VALUE(0)</f>
        <v>0</v>
      </c>
      <c r="BD223" s="23">
        <f>VALUE(0)</f>
        <v>0</v>
      </c>
      <c r="BE223" s="23">
        <f>VALUE(0)</f>
        <v>0</v>
      </c>
      <c r="BF223" s="23">
        <f>VALUE(0)</f>
        <v>0</v>
      </c>
      <c r="BG223" s="23">
        <f>VALUE(0)</f>
        <v>0</v>
      </c>
      <c r="BH223" s="23">
        <f>VALUE(0)</f>
        <v>0</v>
      </c>
      <c r="BI223" s="23">
        <f>VALUE(0)</f>
        <v>0</v>
      </c>
      <c r="BJ223" s="23">
        <f>VALUE(0)</f>
        <v>0</v>
      </c>
      <c r="BK223" s="12">
        <f>$AX$223*24</f>
        <v>4.083333333333333</v>
      </c>
      <c r="BL223" s="12">
        <f>$AY$223*24</f>
        <v>0</v>
      </c>
      <c r="BM223" s="12">
        <f>$BJ$223*24</f>
        <v>0</v>
      </c>
      <c r="BN223" s="12">
        <f>VALUE($I$223)/100</f>
        <v>0.7</v>
      </c>
      <c r="BO223" s="12">
        <v>0</v>
      </c>
      <c r="BP223" s="12">
        <v>0</v>
      </c>
      <c r="BQ223" s="12">
        <v>0</v>
      </c>
      <c r="BR223" s="12">
        <v>0</v>
      </c>
      <c r="BS223" s="12">
        <v>0</v>
      </c>
      <c r="BT223" s="12">
        <v>0</v>
      </c>
      <c r="BU223" s="12">
        <v>0</v>
      </c>
      <c r="BV223" s="12">
        <v>0</v>
      </c>
      <c r="BW223" s="12">
        <v>0</v>
      </c>
      <c r="BX223" s="12">
        <v>0</v>
      </c>
      <c r="BY223" s="12">
        <v>0</v>
      </c>
      <c r="BZ223" s="12">
        <v>0</v>
      </c>
      <c r="CA223" s="12">
        <v>0</v>
      </c>
    </row>
    <row r="224" spans="1:79" hidden="1" x14ac:dyDescent="0.2">
      <c r="A224" s="12" t="s">
        <v>127</v>
      </c>
      <c r="B224" s="12" t="s">
        <v>131</v>
      </c>
      <c r="C224" s="12" t="s">
        <v>131</v>
      </c>
      <c r="D224" s="22" t="s">
        <v>480</v>
      </c>
      <c r="E224" s="22" t="s">
        <v>173</v>
      </c>
      <c r="F224" s="22" t="s">
        <v>947</v>
      </c>
      <c r="G224" s="22" t="s">
        <v>948</v>
      </c>
      <c r="H224" s="22" t="s">
        <v>166</v>
      </c>
      <c r="I224" s="22" t="s">
        <v>343</v>
      </c>
      <c r="J224" s="22" t="s">
        <v>162</v>
      </c>
      <c r="K224" s="22" t="s">
        <v>89</v>
      </c>
      <c r="L224" s="54" t="s">
        <v>153</v>
      </c>
      <c r="M224" s="33" t="s">
        <v>475</v>
      </c>
      <c r="N224" s="24" t="s">
        <v>153</v>
      </c>
      <c r="O224" s="33" t="s">
        <v>475</v>
      </c>
      <c r="P224" s="33" t="s">
        <v>475</v>
      </c>
      <c r="Q224" s="33" t="s">
        <v>475</v>
      </c>
      <c r="R224" s="33" t="s">
        <v>475</v>
      </c>
      <c r="S224" s="33" t="s">
        <v>475</v>
      </c>
      <c r="T224" s="33" t="s">
        <v>475</v>
      </c>
      <c r="U224" s="24" t="s">
        <v>153</v>
      </c>
      <c r="V224" s="54" t="s">
        <v>156</v>
      </c>
      <c r="W224" s="33" t="s">
        <v>475</v>
      </c>
      <c r="X224" s="33" t="s">
        <v>475</v>
      </c>
      <c r="Y224" s="33" t="s">
        <v>475</v>
      </c>
      <c r="Z224" s="33" t="s">
        <v>475</v>
      </c>
      <c r="AA224" s="33" t="s">
        <v>475</v>
      </c>
      <c r="AB224" s="24" t="s">
        <v>153</v>
      </c>
      <c r="AC224" s="33" t="s">
        <v>475</v>
      </c>
      <c r="AD224" s="33" t="s">
        <v>475</v>
      </c>
      <c r="AE224" s="33" t="s">
        <v>475</v>
      </c>
      <c r="AF224" s="33" t="s">
        <v>475</v>
      </c>
      <c r="AG224" s="33" t="s">
        <v>475</v>
      </c>
      <c r="AH224" s="33" t="s">
        <v>475</v>
      </c>
      <c r="AI224" s="24" t="s">
        <v>153</v>
      </c>
      <c r="AJ224" s="33" t="s">
        <v>475</v>
      </c>
      <c r="AK224" s="33" t="s">
        <v>475</v>
      </c>
      <c r="AL224" s="33" t="s">
        <v>475</v>
      </c>
      <c r="AM224" s="33" t="s">
        <v>475</v>
      </c>
      <c r="AN224" s="33" t="s">
        <v>475</v>
      </c>
      <c r="AO224" s="33" t="s">
        <v>475</v>
      </c>
      <c r="AP224" s="23">
        <f>VALUE(0)</f>
        <v>0</v>
      </c>
      <c r="AQ224" s="23">
        <f>VALUE(0)</f>
        <v>0</v>
      </c>
      <c r="AR224" s="23">
        <f>VALUE(0)</f>
        <v>0</v>
      </c>
      <c r="AS224" s="23">
        <f>VALUE(0)</f>
        <v>0</v>
      </c>
      <c r="AT224" s="23">
        <f>VALUE(0)</f>
        <v>0</v>
      </c>
      <c r="AU224" s="23">
        <f>VALUE(0)</f>
        <v>0</v>
      </c>
      <c r="AV224" s="23">
        <f>VALUE(0)</f>
        <v>0</v>
      </c>
      <c r="AW224" s="23">
        <f>VALUE(0)</f>
        <v>0</v>
      </c>
      <c r="AX224" s="23" t="s">
        <v>1260</v>
      </c>
      <c r="AY224" s="23">
        <f>VALUE(0)</f>
        <v>0</v>
      </c>
      <c r="AZ224" s="23">
        <f>VALUE(0)</f>
        <v>0</v>
      </c>
      <c r="BA224" s="23">
        <f>VALUE(0)</f>
        <v>0</v>
      </c>
      <c r="BB224" s="23">
        <f>VALUE(0)</f>
        <v>0</v>
      </c>
      <c r="BC224" s="23">
        <f>VALUE(0)</f>
        <v>0</v>
      </c>
      <c r="BD224" s="23">
        <f>VALUE(0)</f>
        <v>0</v>
      </c>
      <c r="BE224" s="23">
        <f>VALUE(0)</f>
        <v>0</v>
      </c>
      <c r="BF224" s="23">
        <f>VALUE(0)</f>
        <v>0</v>
      </c>
      <c r="BG224" s="23">
        <f>VALUE(0)</f>
        <v>0</v>
      </c>
      <c r="BH224" s="23">
        <f>VALUE(0)</f>
        <v>0</v>
      </c>
      <c r="BI224" s="23">
        <f>VALUE(0)</f>
        <v>0</v>
      </c>
      <c r="BJ224" s="23">
        <f>VALUE(0)</f>
        <v>0</v>
      </c>
      <c r="BK224" s="12">
        <f>$AX$224*24</f>
        <v>11.733333333333333</v>
      </c>
      <c r="BL224" s="12">
        <f>$AY$224*24</f>
        <v>0</v>
      </c>
      <c r="BM224" s="12">
        <f>$BJ$224*24</f>
        <v>0</v>
      </c>
      <c r="BN224" s="12">
        <f>VALUE($I$224)/100</f>
        <v>0.7</v>
      </c>
      <c r="BO224" s="12">
        <v>0</v>
      </c>
      <c r="BP224" s="12">
        <v>0</v>
      </c>
      <c r="BQ224" s="12">
        <v>0</v>
      </c>
      <c r="BR224" s="12">
        <v>0</v>
      </c>
      <c r="BS224" s="12">
        <v>0</v>
      </c>
      <c r="BT224" s="12">
        <v>0</v>
      </c>
      <c r="BU224" s="12">
        <v>0</v>
      </c>
      <c r="BV224" s="12">
        <v>0</v>
      </c>
      <c r="BW224" s="12">
        <v>0</v>
      </c>
      <c r="BX224" s="12">
        <v>0</v>
      </c>
      <c r="BY224" s="12">
        <v>0</v>
      </c>
      <c r="BZ224" s="12">
        <v>0</v>
      </c>
      <c r="CA224" s="12">
        <v>0</v>
      </c>
    </row>
    <row r="225" spans="1:79" hidden="1" x14ac:dyDescent="0.2">
      <c r="A225" s="12" t="s">
        <v>127</v>
      </c>
      <c r="B225" s="12" t="s">
        <v>131</v>
      </c>
      <c r="C225" s="12" t="s">
        <v>131</v>
      </c>
      <c r="D225" s="22" t="s">
        <v>480</v>
      </c>
      <c r="E225" s="22" t="s">
        <v>173</v>
      </c>
      <c r="F225" s="22" t="s">
        <v>949</v>
      </c>
      <c r="G225" s="22" t="s">
        <v>950</v>
      </c>
      <c r="H225" s="22" t="s">
        <v>166</v>
      </c>
      <c r="I225" s="22" t="s">
        <v>343</v>
      </c>
      <c r="J225" s="22" t="s">
        <v>162</v>
      </c>
      <c r="K225" s="22" t="s">
        <v>89</v>
      </c>
      <c r="L225" s="54" t="s">
        <v>153</v>
      </c>
      <c r="M225" s="24" t="s">
        <v>153</v>
      </c>
      <c r="N225" s="24" t="s">
        <v>153</v>
      </c>
      <c r="O225" s="33" t="s">
        <v>475</v>
      </c>
      <c r="P225" s="33" t="s">
        <v>475</v>
      </c>
      <c r="Q225" s="33" t="s">
        <v>475</v>
      </c>
      <c r="R225" s="33" t="s">
        <v>475</v>
      </c>
      <c r="S225" s="33" t="s">
        <v>475</v>
      </c>
      <c r="T225" s="24" t="s">
        <v>153</v>
      </c>
      <c r="U225" s="24" t="s">
        <v>153</v>
      </c>
      <c r="V225" s="54" t="s">
        <v>153</v>
      </c>
      <c r="W225" s="33" t="s">
        <v>475</v>
      </c>
      <c r="X225" s="33" t="s">
        <v>475</v>
      </c>
      <c r="Y225" s="33" t="s">
        <v>475</v>
      </c>
      <c r="Z225" s="33" t="s">
        <v>475</v>
      </c>
      <c r="AA225" s="24" t="s">
        <v>153</v>
      </c>
      <c r="AB225" s="24" t="s">
        <v>153</v>
      </c>
      <c r="AC225" s="33" t="s">
        <v>475</v>
      </c>
      <c r="AD225" s="33" t="s">
        <v>475</v>
      </c>
      <c r="AE225" s="33" t="s">
        <v>475</v>
      </c>
      <c r="AF225" s="33" t="s">
        <v>475</v>
      </c>
      <c r="AG225" s="33" t="s">
        <v>475</v>
      </c>
      <c r="AH225" s="24" t="s">
        <v>153</v>
      </c>
      <c r="AI225" s="24" t="s">
        <v>153</v>
      </c>
      <c r="AJ225" s="33" t="s">
        <v>475</v>
      </c>
      <c r="AK225" s="33" t="s">
        <v>475</v>
      </c>
      <c r="AL225" s="33" t="s">
        <v>475</v>
      </c>
      <c r="AM225" s="33" t="s">
        <v>475</v>
      </c>
      <c r="AN225" s="33" t="s">
        <v>475</v>
      </c>
      <c r="AO225" s="24" t="s">
        <v>153</v>
      </c>
      <c r="AP225" s="23">
        <f>VALUE(0)</f>
        <v>0</v>
      </c>
      <c r="AQ225" s="23">
        <f>VALUE(0)</f>
        <v>0</v>
      </c>
      <c r="AR225" s="23">
        <f>VALUE(0)</f>
        <v>0</v>
      </c>
      <c r="AS225" s="23">
        <f>VALUE(0)</f>
        <v>0</v>
      </c>
      <c r="AT225" s="23">
        <f>VALUE(0)</f>
        <v>0</v>
      </c>
      <c r="AU225" s="23">
        <f>VALUE(0)</f>
        <v>0</v>
      </c>
      <c r="AV225" s="23">
        <f>VALUE(0)</f>
        <v>0</v>
      </c>
      <c r="AW225" s="23">
        <f>VALUE(0)</f>
        <v>0</v>
      </c>
      <c r="AX225" s="23" t="s">
        <v>1261</v>
      </c>
      <c r="AY225" s="23">
        <f>VALUE(0)</f>
        <v>0</v>
      </c>
      <c r="AZ225" s="23">
        <f>VALUE(0)</f>
        <v>0</v>
      </c>
      <c r="BA225" s="23">
        <f>VALUE(0)</f>
        <v>0</v>
      </c>
      <c r="BB225" s="23">
        <f>VALUE(0)</f>
        <v>0</v>
      </c>
      <c r="BC225" s="23">
        <f>VALUE(0)</f>
        <v>0</v>
      </c>
      <c r="BD225" s="23">
        <f>VALUE(0)</f>
        <v>0</v>
      </c>
      <c r="BE225" s="23">
        <f>VALUE(0)</f>
        <v>0</v>
      </c>
      <c r="BF225" s="23">
        <f>VALUE(0)</f>
        <v>0</v>
      </c>
      <c r="BG225" s="23">
        <f>VALUE(0)</f>
        <v>0</v>
      </c>
      <c r="BH225" s="23">
        <f>VALUE(0)</f>
        <v>0</v>
      </c>
      <c r="BI225" s="23">
        <f>VALUE(0)</f>
        <v>0</v>
      </c>
      <c r="BJ225" s="23">
        <f>VALUE(0)</f>
        <v>0</v>
      </c>
      <c r="BK225" s="12">
        <f>$AX$225*24</f>
        <v>16.350000000000001</v>
      </c>
      <c r="BL225" s="12">
        <f>$AY$225*24</f>
        <v>0</v>
      </c>
      <c r="BM225" s="12">
        <f>$BJ$225*24</f>
        <v>0</v>
      </c>
      <c r="BN225" s="12">
        <f>VALUE($I$225)/100</f>
        <v>0.7</v>
      </c>
      <c r="BO225" s="12">
        <v>0</v>
      </c>
      <c r="BP225" s="12">
        <v>0</v>
      </c>
      <c r="BQ225" s="12">
        <v>0</v>
      </c>
      <c r="BR225" s="12">
        <v>0</v>
      </c>
      <c r="BS225" s="12">
        <v>0</v>
      </c>
      <c r="BT225" s="12">
        <v>0</v>
      </c>
      <c r="BU225" s="12">
        <v>0</v>
      </c>
      <c r="BV225" s="12">
        <v>0</v>
      </c>
      <c r="BW225" s="12">
        <v>0</v>
      </c>
      <c r="BX225" s="12">
        <v>0</v>
      </c>
      <c r="BY225" s="12">
        <v>0</v>
      </c>
      <c r="BZ225" s="12">
        <v>0</v>
      </c>
      <c r="CA225" s="12">
        <v>0</v>
      </c>
    </row>
    <row r="226" spans="1:79" hidden="1" x14ac:dyDescent="0.2">
      <c r="A226" s="12" t="s">
        <v>127</v>
      </c>
      <c r="B226" s="12" t="s">
        <v>131</v>
      </c>
      <c r="C226" s="12" t="s">
        <v>131</v>
      </c>
      <c r="D226" s="22" t="s">
        <v>480</v>
      </c>
      <c r="E226" s="22" t="s">
        <v>173</v>
      </c>
      <c r="F226" s="22" t="s">
        <v>951</v>
      </c>
      <c r="G226" s="22" t="s">
        <v>952</v>
      </c>
      <c r="H226" s="22" t="s">
        <v>166</v>
      </c>
      <c r="I226" s="22" t="s">
        <v>343</v>
      </c>
      <c r="J226" s="22" t="s">
        <v>162</v>
      </c>
      <c r="K226" s="22" t="s">
        <v>89</v>
      </c>
      <c r="L226" s="54" t="s">
        <v>153</v>
      </c>
      <c r="M226" s="33" t="s">
        <v>475</v>
      </c>
      <c r="N226" s="24" t="s">
        <v>153</v>
      </c>
      <c r="O226" s="33" t="s">
        <v>475</v>
      </c>
      <c r="P226" s="33" t="s">
        <v>475</v>
      </c>
      <c r="Q226" s="33" t="s">
        <v>475</v>
      </c>
      <c r="R226" s="33" t="s">
        <v>475</v>
      </c>
      <c r="S226" s="33" t="s">
        <v>475</v>
      </c>
      <c r="T226" s="33" t="s">
        <v>475</v>
      </c>
      <c r="U226" s="24" t="s">
        <v>153</v>
      </c>
      <c r="V226" s="54" t="s">
        <v>153</v>
      </c>
      <c r="W226" s="33" t="s">
        <v>475</v>
      </c>
      <c r="X226" s="33" t="s">
        <v>475</v>
      </c>
      <c r="Y226" s="33" t="s">
        <v>475</v>
      </c>
      <c r="Z226" s="33" t="s">
        <v>475</v>
      </c>
      <c r="AA226" s="33" t="s">
        <v>475</v>
      </c>
      <c r="AB226" s="24" t="s">
        <v>153</v>
      </c>
      <c r="AC226" s="33" t="s">
        <v>475</v>
      </c>
      <c r="AD226" s="33" t="s">
        <v>475</v>
      </c>
      <c r="AE226" s="33" t="s">
        <v>475</v>
      </c>
      <c r="AF226" s="33" t="s">
        <v>475</v>
      </c>
      <c r="AG226" s="33" t="s">
        <v>475</v>
      </c>
      <c r="AH226" s="33" t="s">
        <v>475</v>
      </c>
      <c r="AI226" s="24" t="s">
        <v>153</v>
      </c>
      <c r="AJ226" s="33" t="s">
        <v>475</v>
      </c>
      <c r="AK226" s="33" t="s">
        <v>475</v>
      </c>
      <c r="AL226" s="33" t="s">
        <v>475</v>
      </c>
      <c r="AM226" s="33" t="s">
        <v>475</v>
      </c>
      <c r="AN226" s="33" t="s">
        <v>475</v>
      </c>
      <c r="AO226" s="33" t="s">
        <v>475</v>
      </c>
      <c r="AP226" s="23">
        <f>VALUE(0)</f>
        <v>0</v>
      </c>
      <c r="AQ226" s="23">
        <f>VALUE(0)</f>
        <v>0</v>
      </c>
      <c r="AR226" s="23">
        <f>VALUE(0)</f>
        <v>0</v>
      </c>
      <c r="AS226" s="23">
        <f>VALUE(0)</f>
        <v>0</v>
      </c>
      <c r="AT226" s="23">
        <f>VALUE(0)</f>
        <v>0</v>
      </c>
      <c r="AU226" s="23">
        <f>VALUE(0)</f>
        <v>0</v>
      </c>
      <c r="AV226" s="23">
        <f>VALUE(0)</f>
        <v>0</v>
      </c>
      <c r="AW226" s="23">
        <f>VALUE(0)</f>
        <v>0</v>
      </c>
      <c r="AX226" s="23" t="s">
        <v>486</v>
      </c>
      <c r="AY226" s="23">
        <f>VALUE(0)</f>
        <v>0</v>
      </c>
      <c r="AZ226" s="23">
        <f>VALUE(0)</f>
        <v>0</v>
      </c>
      <c r="BA226" s="23">
        <f>VALUE(0)</f>
        <v>0</v>
      </c>
      <c r="BB226" s="23">
        <f>VALUE(0)</f>
        <v>0</v>
      </c>
      <c r="BC226" s="23">
        <f>VALUE(0)</f>
        <v>0</v>
      </c>
      <c r="BD226" s="23">
        <f>VALUE(0)</f>
        <v>0</v>
      </c>
      <c r="BE226" s="23">
        <f>VALUE(0)</f>
        <v>0</v>
      </c>
      <c r="BF226" s="23">
        <f>VALUE(0)</f>
        <v>0</v>
      </c>
      <c r="BG226" s="23">
        <f>VALUE(0)</f>
        <v>0</v>
      </c>
      <c r="BH226" s="23">
        <f>VALUE(0)</f>
        <v>0</v>
      </c>
      <c r="BI226" s="23">
        <f>VALUE(0)</f>
        <v>0</v>
      </c>
      <c r="BJ226" s="23">
        <f>VALUE(0)</f>
        <v>0</v>
      </c>
      <c r="BK226" s="12">
        <f>$AX$226*24</f>
        <v>8.5666666666666664</v>
      </c>
      <c r="BL226" s="12">
        <f>$AY$226*24</f>
        <v>0</v>
      </c>
      <c r="BM226" s="12">
        <f>$BJ$226*24</f>
        <v>0</v>
      </c>
      <c r="BN226" s="12">
        <f>VALUE($I$226)/100</f>
        <v>0.7</v>
      </c>
      <c r="BO226" s="12">
        <v>0</v>
      </c>
      <c r="BP226" s="12">
        <v>0</v>
      </c>
      <c r="BQ226" s="12">
        <v>0</v>
      </c>
      <c r="BR226" s="12">
        <v>0</v>
      </c>
      <c r="BS226" s="12">
        <v>0</v>
      </c>
      <c r="BT226" s="12">
        <v>0</v>
      </c>
      <c r="BU226" s="12">
        <v>0</v>
      </c>
      <c r="BV226" s="12">
        <v>0</v>
      </c>
      <c r="BW226" s="12">
        <v>0</v>
      </c>
      <c r="BX226" s="12">
        <v>0</v>
      </c>
      <c r="BY226" s="12">
        <v>0</v>
      </c>
      <c r="BZ226" s="12">
        <v>0</v>
      </c>
      <c r="CA226" s="12">
        <v>0</v>
      </c>
    </row>
    <row r="227" spans="1:79" hidden="1" x14ac:dyDescent="0.2">
      <c r="A227" s="12" t="s">
        <v>127</v>
      </c>
      <c r="B227" s="12" t="s">
        <v>131</v>
      </c>
      <c r="C227" s="12" t="s">
        <v>131</v>
      </c>
      <c r="D227" s="22" t="s">
        <v>480</v>
      </c>
      <c r="E227" s="22" t="s">
        <v>173</v>
      </c>
      <c r="F227" s="22" t="s">
        <v>1262</v>
      </c>
      <c r="G227" s="22" t="s">
        <v>953</v>
      </c>
      <c r="H227" s="22" t="s">
        <v>166</v>
      </c>
      <c r="I227" s="22" t="s">
        <v>343</v>
      </c>
      <c r="J227" s="22" t="s">
        <v>162</v>
      </c>
      <c r="K227" s="22" t="s">
        <v>89</v>
      </c>
      <c r="L227" s="54" t="s">
        <v>153</v>
      </c>
      <c r="M227" s="33" t="s">
        <v>475</v>
      </c>
      <c r="N227" s="24" t="s">
        <v>153</v>
      </c>
      <c r="O227" s="33" t="s">
        <v>475</v>
      </c>
      <c r="P227" s="33" t="s">
        <v>475</v>
      </c>
      <c r="Q227" s="33" t="s">
        <v>475</v>
      </c>
      <c r="R227" s="33" t="s">
        <v>475</v>
      </c>
      <c r="S227" s="33" t="s">
        <v>475</v>
      </c>
      <c r="T227" s="33" t="s">
        <v>475</v>
      </c>
      <c r="U227" s="24" t="s">
        <v>153</v>
      </c>
      <c r="V227" s="54" t="s">
        <v>153</v>
      </c>
      <c r="W227" s="33" t="s">
        <v>475</v>
      </c>
      <c r="X227" s="33" t="s">
        <v>475</v>
      </c>
      <c r="Y227" s="33" t="s">
        <v>475</v>
      </c>
      <c r="Z227" s="33" t="s">
        <v>475</v>
      </c>
      <c r="AA227" s="33" t="s">
        <v>475</v>
      </c>
      <c r="AB227" s="24" t="s">
        <v>153</v>
      </c>
      <c r="AC227" s="33" t="s">
        <v>475</v>
      </c>
      <c r="AD227" s="33" t="s">
        <v>475</v>
      </c>
      <c r="AE227" s="33" t="s">
        <v>475</v>
      </c>
      <c r="AF227" s="33" t="s">
        <v>475</v>
      </c>
      <c r="AG227" s="33" t="s">
        <v>475</v>
      </c>
      <c r="AH227" s="33" t="s">
        <v>475</v>
      </c>
      <c r="AI227" s="24" t="s">
        <v>153</v>
      </c>
      <c r="AJ227" s="33" t="s">
        <v>475</v>
      </c>
      <c r="AK227" s="33" t="s">
        <v>475</v>
      </c>
      <c r="AL227" s="33" t="s">
        <v>475</v>
      </c>
      <c r="AM227" s="33" t="s">
        <v>475</v>
      </c>
      <c r="AN227" s="33" t="s">
        <v>475</v>
      </c>
      <c r="AO227" s="33" t="s">
        <v>475</v>
      </c>
      <c r="AP227" s="23">
        <f>VALUE(0)</f>
        <v>0</v>
      </c>
      <c r="AQ227" s="23">
        <f>VALUE(0)</f>
        <v>0</v>
      </c>
      <c r="AR227" s="23">
        <f>VALUE(0)</f>
        <v>0</v>
      </c>
      <c r="AS227" s="23">
        <f>VALUE(0)</f>
        <v>0</v>
      </c>
      <c r="AT227" s="23">
        <f>VALUE(0)</f>
        <v>0</v>
      </c>
      <c r="AU227" s="23">
        <f>VALUE(0)</f>
        <v>0</v>
      </c>
      <c r="AV227" s="23">
        <f>VALUE(0)</f>
        <v>0</v>
      </c>
      <c r="AW227" s="23">
        <f>VALUE(0)</f>
        <v>0</v>
      </c>
      <c r="AX227" s="23" t="s">
        <v>487</v>
      </c>
      <c r="AY227" s="23">
        <f>VALUE(0)</f>
        <v>0</v>
      </c>
      <c r="AZ227" s="23">
        <f>VALUE(0)</f>
        <v>0</v>
      </c>
      <c r="BA227" s="23">
        <f>VALUE(0)</f>
        <v>0</v>
      </c>
      <c r="BB227" s="23">
        <f>VALUE(0)</f>
        <v>0</v>
      </c>
      <c r="BC227" s="23">
        <f>VALUE(0)</f>
        <v>0</v>
      </c>
      <c r="BD227" s="23">
        <f>VALUE(0)</f>
        <v>0</v>
      </c>
      <c r="BE227" s="23">
        <f>VALUE(0)</f>
        <v>0</v>
      </c>
      <c r="BF227" s="23">
        <f>VALUE(0)</f>
        <v>0</v>
      </c>
      <c r="BG227" s="23">
        <f>VALUE(0)</f>
        <v>0</v>
      </c>
      <c r="BH227" s="23">
        <f>VALUE(0)</f>
        <v>0</v>
      </c>
      <c r="BI227" s="23">
        <f>VALUE(0)</f>
        <v>0</v>
      </c>
      <c r="BJ227" s="23">
        <f>VALUE(0)</f>
        <v>0</v>
      </c>
      <c r="BK227" s="12">
        <f>$AX$227*24</f>
        <v>4.083333333333333</v>
      </c>
      <c r="BL227" s="12">
        <f>$AY$227*24</f>
        <v>0</v>
      </c>
      <c r="BM227" s="12">
        <f>$BJ$227*24</f>
        <v>0</v>
      </c>
      <c r="BN227" s="12">
        <f>VALUE($I$227)/100</f>
        <v>0.7</v>
      </c>
      <c r="BO227" s="12">
        <v>0</v>
      </c>
      <c r="BP227" s="12">
        <v>0</v>
      </c>
      <c r="BQ227" s="12">
        <v>0</v>
      </c>
      <c r="BR227" s="12">
        <v>0</v>
      </c>
      <c r="BS227" s="12">
        <v>0</v>
      </c>
      <c r="BT227" s="12">
        <v>0</v>
      </c>
      <c r="BU227" s="12">
        <v>0</v>
      </c>
      <c r="BV227" s="12">
        <v>0</v>
      </c>
      <c r="BW227" s="12">
        <v>0</v>
      </c>
      <c r="BX227" s="12">
        <v>0</v>
      </c>
      <c r="BY227" s="12">
        <v>0</v>
      </c>
      <c r="BZ227" s="12">
        <v>0</v>
      </c>
      <c r="CA227" s="12">
        <v>0</v>
      </c>
    </row>
    <row r="228" spans="1:79" hidden="1" x14ac:dyDescent="0.2">
      <c r="A228" s="12" t="s">
        <v>127</v>
      </c>
      <c r="B228" s="12" t="s">
        <v>131</v>
      </c>
      <c r="C228" s="12" t="s">
        <v>131</v>
      </c>
      <c r="D228" s="22" t="s">
        <v>480</v>
      </c>
      <c r="E228" s="22" t="s">
        <v>173</v>
      </c>
      <c r="F228" s="22" t="s">
        <v>954</v>
      </c>
      <c r="G228" s="22" t="s">
        <v>955</v>
      </c>
      <c r="H228" s="22" t="s">
        <v>166</v>
      </c>
      <c r="I228" s="22" t="s">
        <v>343</v>
      </c>
      <c r="J228" s="22" t="s">
        <v>162</v>
      </c>
      <c r="K228" s="22" t="s">
        <v>89</v>
      </c>
      <c r="L228" s="54" t="s">
        <v>153</v>
      </c>
      <c r="M228" s="33" t="s">
        <v>475</v>
      </c>
      <c r="N228" s="24" t="s">
        <v>153</v>
      </c>
      <c r="O228" s="33" t="s">
        <v>475</v>
      </c>
      <c r="P228" s="33" t="s">
        <v>475</v>
      </c>
      <c r="Q228" s="33" t="s">
        <v>475</v>
      </c>
      <c r="R228" s="33" t="s">
        <v>475</v>
      </c>
      <c r="S228" s="33" t="s">
        <v>475</v>
      </c>
      <c r="T228" s="33" t="s">
        <v>475</v>
      </c>
      <c r="U228" s="24" t="s">
        <v>153</v>
      </c>
      <c r="V228" s="54" t="s">
        <v>153</v>
      </c>
      <c r="W228" s="33" t="s">
        <v>475</v>
      </c>
      <c r="X228" s="33" t="s">
        <v>475</v>
      </c>
      <c r="Y228" s="33" t="s">
        <v>475</v>
      </c>
      <c r="Z228" s="33" t="s">
        <v>475</v>
      </c>
      <c r="AA228" s="33" t="s">
        <v>475</v>
      </c>
      <c r="AB228" s="24" t="s">
        <v>153</v>
      </c>
      <c r="AC228" s="33" t="s">
        <v>475</v>
      </c>
      <c r="AD228" s="33" t="s">
        <v>475</v>
      </c>
      <c r="AE228" s="33" t="s">
        <v>475</v>
      </c>
      <c r="AF228" s="33" t="s">
        <v>475</v>
      </c>
      <c r="AG228" s="33" t="s">
        <v>475</v>
      </c>
      <c r="AH228" s="33" t="s">
        <v>475</v>
      </c>
      <c r="AI228" s="24" t="s">
        <v>153</v>
      </c>
      <c r="AJ228" s="33" t="s">
        <v>475</v>
      </c>
      <c r="AK228" s="33" t="s">
        <v>475</v>
      </c>
      <c r="AL228" s="33" t="s">
        <v>475</v>
      </c>
      <c r="AM228" s="33" t="s">
        <v>475</v>
      </c>
      <c r="AN228" s="33" t="s">
        <v>475</v>
      </c>
      <c r="AO228" s="33" t="s">
        <v>475</v>
      </c>
      <c r="AP228" s="23">
        <f>VALUE(0)</f>
        <v>0</v>
      </c>
      <c r="AQ228" s="23">
        <f>VALUE(0)</f>
        <v>0</v>
      </c>
      <c r="AR228" s="23">
        <f>VALUE(0)</f>
        <v>0</v>
      </c>
      <c r="AS228" s="23">
        <f>VALUE(0)</f>
        <v>0</v>
      </c>
      <c r="AT228" s="23">
        <f>VALUE(0)</f>
        <v>0</v>
      </c>
      <c r="AU228" s="23">
        <f>VALUE(0)</f>
        <v>0</v>
      </c>
      <c r="AV228" s="23">
        <f>VALUE(2.5)</f>
        <v>2.5</v>
      </c>
      <c r="AW228" s="23">
        <f>VALUE(0)</f>
        <v>0</v>
      </c>
      <c r="AX228" s="23" t="s">
        <v>290</v>
      </c>
      <c r="AY228" s="23">
        <f>VALUE(0)</f>
        <v>0</v>
      </c>
      <c r="AZ228" s="23">
        <f>VALUE(0)</f>
        <v>0</v>
      </c>
      <c r="BA228" s="23">
        <f>VALUE(0)</f>
        <v>0</v>
      </c>
      <c r="BB228" s="23">
        <f>VALUE(0)</f>
        <v>0</v>
      </c>
      <c r="BC228" s="23">
        <f>VALUE(0)</f>
        <v>0</v>
      </c>
      <c r="BD228" s="23">
        <f>VALUE(0)</f>
        <v>0</v>
      </c>
      <c r="BE228" s="23">
        <f>VALUE(0)</f>
        <v>0</v>
      </c>
      <c r="BF228" s="23">
        <f>VALUE(0)</f>
        <v>0</v>
      </c>
      <c r="BG228" s="23">
        <f>VALUE(0)</f>
        <v>0</v>
      </c>
      <c r="BH228" s="23">
        <f>VALUE(0)</f>
        <v>0</v>
      </c>
      <c r="BI228" s="23">
        <f>VALUE(0)</f>
        <v>0</v>
      </c>
      <c r="BJ228" s="23">
        <f>VALUE(0)</f>
        <v>0</v>
      </c>
      <c r="BK228" s="12">
        <f>$AX$228*24</f>
        <v>4.4000000000000004</v>
      </c>
      <c r="BL228" s="12">
        <f>$AY$228*24</f>
        <v>0</v>
      </c>
      <c r="BM228" s="12">
        <f>$BJ$228*24</f>
        <v>0</v>
      </c>
      <c r="BN228" s="12">
        <f>VALUE($I$228)/100</f>
        <v>0.7</v>
      </c>
      <c r="BO228" s="12">
        <v>0</v>
      </c>
      <c r="BP228" s="12">
        <v>0</v>
      </c>
      <c r="BQ228" s="12">
        <v>0</v>
      </c>
      <c r="BR228" s="12">
        <v>0</v>
      </c>
      <c r="BS228" s="12">
        <v>0</v>
      </c>
      <c r="BT228" s="12">
        <v>0</v>
      </c>
      <c r="BU228" s="12">
        <v>0</v>
      </c>
      <c r="BV228" s="12">
        <v>0</v>
      </c>
      <c r="BW228" s="12">
        <v>0</v>
      </c>
      <c r="BX228" s="12">
        <v>0</v>
      </c>
      <c r="BY228" s="12">
        <v>0</v>
      </c>
      <c r="BZ228" s="12">
        <v>0</v>
      </c>
      <c r="CA228" s="12">
        <v>0</v>
      </c>
    </row>
    <row r="229" spans="1:79" hidden="1" x14ac:dyDescent="0.2">
      <c r="A229" s="12" t="s">
        <v>127</v>
      </c>
      <c r="B229" s="12" t="s">
        <v>131</v>
      </c>
      <c r="C229" s="12" t="s">
        <v>131</v>
      </c>
      <c r="D229" s="22" t="s">
        <v>480</v>
      </c>
      <c r="E229" s="22" t="s">
        <v>173</v>
      </c>
      <c r="F229" s="22" t="s">
        <v>956</v>
      </c>
      <c r="G229" s="22" t="s">
        <v>957</v>
      </c>
      <c r="H229" s="22" t="s">
        <v>166</v>
      </c>
      <c r="I229" s="22" t="s">
        <v>343</v>
      </c>
      <c r="J229" s="22" t="s">
        <v>162</v>
      </c>
      <c r="K229" s="22" t="s">
        <v>89</v>
      </c>
      <c r="L229" s="54" t="s">
        <v>153</v>
      </c>
      <c r="M229" s="24" t="s">
        <v>156</v>
      </c>
      <c r="N229" s="24" t="s">
        <v>153</v>
      </c>
      <c r="O229" s="24" t="s">
        <v>156</v>
      </c>
      <c r="P229" s="23" t="s">
        <v>153</v>
      </c>
      <c r="Q229" s="23" t="s">
        <v>153</v>
      </c>
      <c r="R229" s="23" t="s">
        <v>153</v>
      </c>
      <c r="S229" s="23" t="s">
        <v>153</v>
      </c>
      <c r="T229" s="23" t="s">
        <v>153</v>
      </c>
      <c r="U229" s="24" t="s">
        <v>153</v>
      </c>
      <c r="V229" s="54" t="s">
        <v>153</v>
      </c>
      <c r="W229" s="23" t="s">
        <v>153</v>
      </c>
      <c r="X229" s="23" t="s">
        <v>153</v>
      </c>
      <c r="Y229" s="23" t="s">
        <v>153</v>
      </c>
      <c r="Z229" s="23" t="s">
        <v>153</v>
      </c>
      <c r="AA229" s="24" t="s">
        <v>156</v>
      </c>
      <c r="AB229" s="24" t="s">
        <v>153</v>
      </c>
      <c r="AC229" s="24" t="s">
        <v>156</v>
      </c>
      <c r="AD229" s="23" t="s">
        <v>153</v>
      </c>
      <c r="AE229" s="23" t="s">
        <v>153</v>
      </c>
      <c r="AF229" s="23" t="s">
        <v>153</v>
      </c>
      <c r="AG229" s="23" t="s">
        <v>153</v>
      </c>
      <c r="AH229" s="23" t="s">
        <v>153</v>
      </c>
      <c r="AI229" s="24" t="s">
        <v>153</v>
      </c>
      <c r="AJ229" s="23" t="s">
        <v>153</v>
      </c>
      <c r="AK229" s="23" t="s">
        <v>153</v>
      </c>
      <c r="AL229" s="23" t="s">
        <v>153</v>
      </c>
      <c r="AM229" s="23" t="s">
        <v>153</v>
      </c>
      <c r="AN229" s="23" t="s">
        <v>153</v>
      </c>
      <c r="AO229" s="24" t="s">
        <v>156</v>
      </c>
      <c r="AP229" s="23">
        <f>VALUE(0)</f>
        <v>0</v>
      </c>
      <c r="AQ229" s="23">
        <f>VALUE(0)</f>
        <v>0</v>
      </c>
      <c r="AR229" s="23">
        <f>VALUE(0)</f>
        <v>0</v>
      </c>
      <c r="AS229" s="23">
        <f>VALUE(0)</f>
        <v>0</v>
      </c>
      <c r="AT229" s="23">
        <f>VALUE(0)</f>
        <v>0</v>
      </c>
      <c r="AU229" s="23">
        <f>VALUE(0)</f>
        <v>0</v>
      </c>
      <c r="AV229" s="23">
        <f>VALUE(0)</f>
        <v>0</v>
      </c>
      <c r="AW229" s="23">
        <f>VALUE(0)</f>
        <v>0</v>
      </c>
      <c r="AX229" s="23" t="s">
        <v>487</v>
      </c>
      <c r="AY229" s="23">
        <f>VALUE(0)</f>
        <v>0</v>
      </c>
      <c r="AZ229" s="23">
        <f>VALUE(0)</f>
        <v>0</v>
      </c>
      <c r="BA229" s="23">
        <f>VALUE(0)</f>
        <v>0</v>
      </c>
      <c r="BB229" s="23">
        <f>VALUE(0)</f>
        <v>0</v>
      </c>
      <c r="BC229" s="23">
        <f>VALUE(0)</f>
        <v>0</v>
      </c>
      <c r="BD229" s="23">
        <f>VALUE(0)</f>
        <v>0</v>
      </c>
      <c r="BE229" s="23">
        <f>VALUE(0)</f>
        <v>0</v>
      </c>
      <c r="BF229" s="23">
        <f>VALUE(0)</f>
        <v>0</v>
      </c>
      <c r="BG229" s="23">
        <f>VALUE(0)</f>
        <v>0</v>
      </c>
      <c r="BH229" s="23">
        <f>VALUE(0)</f>
        <v>0</v>
      </c>
      <c r="BI229" s="23">
        <f>VALUE(0)</f>
        <v>0</v>
      </c>
      <c r="BJ229" s="23">
        <f>VALUE(0)</f>
        <v>0</v>
      </c>
      <c r="BK229" s="12">
        <f>$AX$229*24</f>
        <v>4.083333333333333</v>
      </c>
      <c r="BL229" s="12">
        <f>$AY$229*24</f>
        <v>0</v>
      </c>
      <c r="BM229" s="12">
        <f>$BJ$229*24</f>
        <v>0</v>
      </c>
      <c r="BN229" s="12">
        <f>VALUE($I$229)/100</f>
        <v>0.7</v>
      </c>
      <c r="BO229" s="12">
        <v>0</v>
      </c>
      <c r="BP229" s="12">
        <v>0</v>
      </c>
      <c r="BQ229" s="12">
        <v>0</v>
      </c>
      <c r="BR229" s="12">
        <v>0</v>
      </c>
      <c r="BS229" s="12">
        <v>0</v>
      </c>
      <c r="BT229" s="12">
        <v>0</v>
      </c>
      <c r="BU229" s="12">
        <v>0</v>
      </c>
      <c r="BV229" s="12">
        <v>0</v>
      </c>
      <c r="BW229" s="12">
        <v>0</v>
      </c>
      <c r="BX229" s="12">
        <v>0</v>
      </c>
      <c r="BY229" s="12">
        <v>0</v>
      </c>
      <c r="BZ229" s="12">
        <v>0</v>
      </c>
      <c r="CA229" s="12">
        <v>0</v>
      </c>
    </row>
    <row r="230" spans="1:79" hidden="1" x14ac:dyDescent="0.2">
      <c r="A230" s="12" t="s">
        <v>127</v>
      </c>
      <c r="B230" s="12" t="s">
        <v>131</v>
      </c>
      <c r="C230" s="12" t="s">
        <v>131</v>
      </c>
      <c r="D230" s="22" t="s">
        <v>480</v>
      </c>
      <c r="E230" s="22" t="s">
        <v>173</v>
      </c>
      <c r="F230" s="22" t="s">
        <v>958</v>
      </c>
      <c r="G230" s="22" t="s">
        <v>959</v>
      </c>
      <c r="H230" s="22" t="s">
        <v>150</v>
      </c>
      <c r="I230" s="22" t="s">
        <v>343</v>
      </c>
      <c r="J230" s="22" t="s">
        <v>162</v>
      </c>
      <c r="K230" s="22" t="s">
        <v>89</v>
      </c>
      <c r="L230" s="54" t="s">
        <v>153</v>
      </c>
      <c r="M230" s="33" t="s">
        <v>475</v>
      </c>
      <c r="N230" s="24" t="s">
        <v>153</v>
      </c>
      <c r="O230" s="33" t="s">
        <v>475</v>
      </c>
      <c r="P230" s="33" t="s">
        <v>475</v>
      </c>
      <c r="Q230" s="33" t="s">
        <v>475</v>
      </c>
      <c r="R230" s="33" t="s">
        <v>475</v>
      </c>
      <c r="S230" s="33" t="s">
        <v>475</v>
      </c>
      <c r="T230" s="33" t="s">
        <v>475</v>
      </c>
      <c r="U230" s="24" t="s">
        <v>153</v>
      </c>
      <c r="V230" s="54" t="s">
        <v>153</v>
      </c>
      <c r="W230" s="33" t="s">
        <v>475</v>
      </c>
      <c r="X230" s="33" t="s">
        <v>475</v>
      </c>
      <c r="Y230" s="33" t="s">
        <v>475</v>
      </c>
      <c r="Z230" s="33" t="s">
        <v>475</v>
      </c>
      <c r="AA230" s="33" t="s">
        <v>475</v>
      </c>
      <c r="AB230" s="24" t="s">
        <v>153</v>
      </c>
      <c r="AC230" s="33" t="s">
        <v>475</v>
      </c>
      <c r="AD230" s="33" t="s">
        <v>475</v>
      </c>
      <c r="AE230" s="33" t="s">
        <v>475</v>
      </c>
      <c r="AF230" s="33" t="s">
        <v>475</v>
      </c>
      <c r="AG230" s="33" t="s">
        <v>475</v>
      </c>
      <c r="AH230" s="33" t="s">
        <v>475</v>
      </c>
      <c r="AI230" s="24" t="s">
        <v>153</v>
      </c>
      <c r="AJ230" s="33" t="s">
        <v>475</v>
      </c>
      <c r="AK230" s="33" t="s">
        <v>475</v>
      </c>
      <c r="AL230" s="33" t="s">
        <v>475</v>
      </c>
      <c r="AM230" s="33" t="s">
        <v>475</v>
      </c>
      <c r="AN230" s="33" t="s">
        <v>475</v>
      </c>
      <c r="AO230" s="33" t="s">
        <v>475</v>
      </c>
      <c r="AP230" s="23">
        <f>VALUE(0)</f>
        <v>0</v>
      </c>
      <c r="AQ230" s="23">
        <f>VALUE(0)</f>
        <v>0</v>
      </c>
      <c r="AR230" s="23">
        <f>VALUE(0)</f>
        <v>0</v>
      </c>
      <c r="AS230" s="23">
        <f>VALUE(0)</f>
        <v>0</v>
      </c>
      <c r="AT230" s="23">
        <f>VALUE(0)</f>
        <v>0</v>
      </c>
      <c r="AU230" s="23">
        <f>VALUE(0)</f>
        <v>0</v>
      </c>
      <c r="AV230" s="23">
        <f>VALUE(0)</f>
        <v>0</v>
      </c>
      <c r="AW230" s="23">
        <f>VALUE(0)</f>
        <v>0</v>
      </c>
      <c r="AX230" s="23" t="s">
        <v>487</v>
      </c>
      <c r="AY230" s="23">
        <f>VALUE(0)</f>
        <v>0</v>
      </c>
      <c r="AZ230" s="23">
        <f>VALUE(0)</f>
        <v>0</v>
      </c>
      <c r="BA230" s="23">
        <f>VALUE(0)</f>
        <v>0</v>
      </c>
      <c r="BB230" s="23">
        <f>VALUE(0)</f>
        <v>0</v>
      </c>
      <c r="BC230" s="23">
        <f>VALUE(0)</f>
        <v>0</v>
      </c>
      <c r="BD230" s="23">
        <f>VALUE(0)</f>
        <v>0</v>
      </c>
      <c r="BE230" s="23">
        <f>VALUE(0)</f>
        <v>0</v>
      </c>
      <c r="BF230" s="23">
        <f>VALUE(0)</f>
        <v>0</v>
      </c>
      <c r="BG230" s="23">
        <f>VALUE(0)</f>
        <v>0</v>
      </c>
      <c r="BH230" s="23">
        <f>VALUE(0)</f>
        <v>0</v>
      </c>
      <c r="BI230" s="23">
        <f>VALUE(0)</f>
        <v>0</v>
      </c>
      <c r="BJ230" s="23">
        <f>VALUE(0)</f>
        <v>0</v>
      </c>
      <c r="BK230" s="12">
        <f>$AX$230*24</f>
        <v>4.083333333333333</v>
      </c>
      <c r="BL230" s="12">
        <f>$AY$230*24</f>
        <v>0</v>
      </c>
      <c r="BM230" s="12">
        <f>$BJ$230*24</f>
        <v>0</v>
      </c>
      <c r="BN230" s="12">
        <f>VALUE($I$230)/100</f>
        <v>0.7</v>
      </c>
      <c r="BO230" s="12">
        <v>0</v>
      </c>
      <c r="BP230" s="12">
        <v>0</v>
      </c>
      <c r="BQ230" s="12">
        <v>0</v>
      </c>
      <c r="BR230" s="12">
        <v>0</v>
      </c>
      <c r="BS230" s="12">
        <v>0</v>
      </c>
      <c r="BT230" s="12">
        <v>0</v>
      </c>
      <c r="BU230" s="12">
        <v>0</v>
      </c>
      <c r="BV230" s="12">
        <v>0</v>
      </c>
      <c r="BW230" s="12">
        <v>0</v>
      </c>
      <c r="BX230" s="12">
        <v>0</v>
      </c>
      <c r="BY230" s="12">
        <v>0</v>
      </c>
      <c r="BZ230" s="12">
        <v>0</v>
      </c>
      <c r="CA230" s="12">
        <v>0</v>
      </c>
    </row>
    <row r="231" spans="1:79" hidden="1" x14ac:dyDescent="0.2">
      <c r="A231" s="12" t="s">
        <v>127</v>
      </c>
      <c r="B231" s="12" t="s">
        <v>131</v>
      </c>
      <c r="C231" s="12" t="s">
        <v>131</v>
      </c>
      <c r="D231" s="22" t="s">
        <v>480</v>
      </c>
      <c r="E231" s="22" t="s">
        <v>173</v>
      </c>
      <c r="F231" s="22" t="s">
        <v>960</v>
      </c>
      <c r="G231" s="22" t="s">
        <v>961</v>
      </c>
      <c r="H231" s="22" t="s">
        <v>166</v>
      </c>
      <c r="I231" s="22" t="s">
        <v>343</v>
      </c>
      <c r="J231" s="22" t="s">
        <v>181</v>
      </c>
      <c r="K231" s="22" t="s">
        <v>89</v>
      </c>
      <c r="L231" s="54" t="s">
        <v>153</v>
      </c>
      <c r="M231" s="33" t="s">
        <v>475</v>
      </c>
      <c r="N231" s="24" t="s">
        <v>153</v>
      </c>
      <c r="O231" s="33" t="s">
        <v>475</v>
      </c>
      <c r="P231" s="33" t="s">
        <v>475</v>
      </c>
      <c r="Q231" s="33" t="s">
        <v>475</v>
      </c>
      <c r="R231" s="33" t="s">
        <v>475</v>
      </c>
      <c r="S231" s="33" t="s">
        <v>475</v>
      </c>
      <c r="T231" s="33" t="s">
        <v>475</v>
      </c>
      <c r="U231" s="24" t="s">
        <v>153</v>
      </c>
      <c r="V231" s="54" t="s">
        <v>153</v>
      </c>
      <c r="W231" s="33" t="s">
        <v>475</v>
      </c>
      <c r="X231" s="33" t="s">
        <v>475</v>
      </c>
      <c r="Y231" s="33" t="s">
        <v>475</v>
      </c>
      <c r="Z231" s="33" t="s">
        <v>475</v>
      </c>
      <c r="AA231" s="33" t="s">
        <v>475</v>
      </c>
      <c r="AB231" s="24" t="s">
        <v>153</v>
      </c>
      <c r="AC231" s="33" t="s">
        <v>475</v>
      </c>
      <c r="AD231" s="33" t="s">
        <v>475</v>
      </c>
      <c r="AE231" s="33" t="s">
        <v>475</v>
      </c>
      <c r="AF231" s="33" t="s">
        <v>475</v>
      </c>
      <c r="AG231" s="33" t="s">
        <v>475</v>
      </c>
      <c r="AH231" s="33" t="s">
        <v>475</v>
      </c>
      <c r="AI231" s="24" t="s">
        <v>153</v>
      </c>
      <c r="AJ231" s="33" t="s">
        <v>475</v>
      </c>
      <c r="AK231" s="33" t="s">
        <v>475</v>
      </c>
      <c r="AL231" s="33" t="s">
        <v>475</v>
      </c>
      <c r="AM231" s="33" t="s">
        <v>475</v>
      </c>
      <c r="AN231" s="33" t="s">
        <v>475</v>
      </c>
      <c r="AO231" s="33" t="s">
        <v>475</v>
      </c>
      <c r="AP231" s="23">
        <f>VALUE(0)</f>
        <v>0</v>
      </c>
      <c r="AQ231" s="23">
        <f>VALUE(0)</f>
        <v>0</v>
      </c>
      <c r="AR231" s="23">
        <f>VALUE(0)</f>
        <v>0</v>
      </c>
      <c r="AS231" s="23">
        <f>VALUE(0)</f>
        <v>0</v>
      </c>
      <c r="AT231" s="23">
        <f>VALUE(0)</f>
        <v>0</v>
      </c>
      <c r="AU231" s="23">
        <f>VALUE(0)</f>
        <v>0</v>
      </c>
      <c r="AV231" s="23">
        <f>VALUE(1.5)</f>
        <v>1.5</v>
      </c>
      <c r="AW231" s="23">
        <f>VALUE(0)</f>
        <v>0</v>
      </c>
      <c r="AX231" s="23" t="s">
        <v>171</v>
      </c>
      <c r="AY231" s="23">
        <f>VALUE(0)</f>
        <v>0</v>
      </c>
      <c r="AZ231" s="23">
        <f>VALUE(0)</f>
        <v>0</v>
      </c>
      <c r="BA231" s="23">
        <f>VALUE(0)</f>
        <v>0</v>
      </c>
      <c r="BB231" s="23">
        <f>VALUE(0)</f>
        <v>0</v>
      </c>
      <c r="BC231" s="23">
        <f>VALUE(0)</f>
        <v>0</v>
      </c>
      <c r="BD231" s="23">
        <f>VALUE(0)</f>
        <v>0</v>
      </c>
      <c r="BE231" s="23">
        <f>VALUE(0)</f>
        <v>0</v>
      </c>
      <c r="BF231" s="23">
        <f>VALUE(0)</f>
        <v>0</v>
      </c>
      <c r="BG231" s="23">
        <f>VALUE(0)</f>
        <v>0</v>
      </c>
      <c r="BH231" s="23">
        <f>VALUE(0)</f>
        <v>0</v>
      </c>
      <c r="BI231" s="23">
        <f>VALUE(0)</f>
        <v>0</v>
      </c>
      <c r="BJ231" s="23">
        <f>VALUE(0)</f>
        <v>0</v>
      </c>
      <c r="BK231" s="12">
        <f>$AX$231*24</f>
        <v>5.833333333333333</v>
      </c>
      <c r="BL231" s="12">
        <f>$AY$231*24</f>
        <v>0</v>
      </c>
      <c r="BM231" s="12">
        <f>$BJ$231*24</f>
        <v>0</v>
      </c>
      <c r="BN231" s="12">
        <f>VALUE($I$231)/100</f>
        <v>0.7</v>
      </c>
      <c r="BO231" s="12">
        <v>0</v>
      </c>
      <c r="BP231" s="12">
        <v>0</v>
      </c>
      <c r="BQ231" s="12">
        <v>0</v>
      </c>
      <c r="BR231" s="12">
        <v>0</v>
      </c>
      <c r="BS231" s="12">
        <v>0</v>
      </c>
      <c r="BT231" s="12">
        <v>0</v>
      </c>
      <c r="BU231" s="12">
        <v>0</v>
      </c>
      <c r="BV231" s="12">
        <v>0</v>
      </c>
      <c r="BW231" s="12">
        <v>0</v>
      </c>
      <c r="BX231" s="12">
        <v>0</v>
      </c>
      <c r="BY231" s="12">
        <v>0</v>
      </c>
      <c r="BZ231" s="12">
        <v>0</v>
      </c>
      <c r="CA231" s="12">
        <v>0</v>
      </c>
    </row>
    <row r="232" spans="1:79" ht="15" hidden="1" x14ac:dyDescent="0.25">
      <c r="A232" s="12" t="s">
        <v>127</v>
      </c>
      <c r="B232" s="12" t="s">
        <v>131</v>
      </c>
      <c r="C232" s="12" t="s">
        <v>131</v>
      </c>
      <c r="D232" s="31" t="s">
        <v>1248</v>
      </c>
      <c r="E232" s="31" t="s">
        <v>153</v>
      </c>
      <c r="F232" s="31" t="s">
        <v>175</v>
      </c>
      <c r="G232" s="31" t="s">
        <v>153</v>
      </c>
      <c r="H232" s="31" t="s">
        <v>153</v>
      </c>
      <c r="I232" s="31" t="s">
        <v>153</v>
      </c>
      <c r="J232" s="31" t="s">
        <v>153</v>
      </c>
      <c r="K232" s="31" t="s">
        <v>153</v>
      </c>
      <c r="L232" s="31">
        <f>VALUE(0)</f>
        <v>0</v>
      </c>
      <c r="M232" s="31">
        <f>VALUE(0)</f>
        <v>0</v>
      </c>
      <c r="N232" s="31">
        <f>VALUE(0)</f>
        <v>0</v>
      </c>
      <c r="O232" s="31">
        <f>VALUE(0)</f>
        <v>0</v>
      </c>
      <c r="P232" s="31">
        <f>VALUE(1)</f>
        <v>1</v>
      </c>
      <c r="Q232" s="31">
        <f>VALUE(1)</f>
        <v>1</v>
      </c>
      <c r="R232" s="31">
        <f>VALUE(1)</f>
        <v>1</v>
      </c>
      <c r="S232" s="31">
        <f>VALUE(1)</f>
        <v>1</v>
      </c>
      <c r="T232" s="31">
        <f>VALUE(1)</f>
        <v>1</v>
      </c>
      <c r="U232" s="31">
        <f>VALUE(0)</f>
        <v>0</v>
      </c>
      <c r="V232" s="31">
        <f>VALUE(0)</f>
        <v>0</v>
      </c>
      <c r="W232" s="31">
        <f>VALUE(1)</f>
        <v>1</v>
      </c>
      <c r="X232" s="31">
        <f>VALUE(1)</f>
        <v>1</v>
      </c>
      <c r="Y232" s="31">
        <f>VALUE(1)</f>
        <v>1</v>
      </c>
      <c r="Z232" s="31">
        <f>VALUE(1)</f>
        <v>1</v>
      </c>
      <c r="AA232" s="31">
        <f>VALUE(0)</f>
        <v>0</v>
      </c>
      <c r="AB232" s="31">
        <f>VALUE(0)</f>
        <v>0</v>
      </c>
      <c r="AC232" s="31">
        <f>VALUE(0)</f>
        <v>0</v>
      </c>
      <c r="AD232" s="31">
        <f>VALUE(1)</f>
        <v>1</v>
      </c>
      <c r="AE232" s="31">
        <f>VALUE(1)</f>
        <v>1</v>
      </c>
      <c r="AF232" s="31">
        <f>VALUE(1)</f>
        <v>1</v>
      </c>
      <c r="AG232" s="31">
        <f>VALUE(1)</f>
        <v>1</v>
      </c>
      <c r="AH232" s="31">
        <f>VALUE(1)</f>
        <v>1</v>
      </c>
      <c r="AI232" s="31">
        <f>VALUE(0)</f>
        <v>0</v>
      </c>
      <c r="AJ232" s="31">
        <f>VALUE(1)</f>
        <v>1</v>
      </c>
      <c r="AK232" s="31">
        <f>VALUE(1)</f>
        <v>1</v>
      </c>
      <c r="AL232" s="31">
        <f>VALUE(1)</f>
        <v>1</v>
      </c>
      <c r="AM232" s="31">
        <f>VALUE(1)</f>
        <v>1</v>
      </c>
      <c r="AN232" s="31">
        <f>VALUE(1)</f>
        <v>1</v>
      </c>
      <c r="AO232" s="31">
        <f>VALUE(0)</f>
        <v>0</v>
      </c>
      <c r="AP232" s="31">
        <v>0</v>
      </c>
      <c r="AQ232" s="31">
        <v>0</v>
      </c>
      <c r="AR232" s="31">
        <v>0</v>
      </c>
      <c r="AS232" s="31">
        <v>0</v>
      </c>
      <c r="AT232" s="31">
        <v>0</v>
      </c>
      <c r="AU232" s="31">
        <v>0</v>
      </c>
      <c r="AV232" s="31">
        <v>0</v>
      </c>
      <c r="AW232" s="31">
        <v>0</v>
      </c>
      <c r="AX232" s="31">
        <v>0</v>
      </c>
      <c r="AY232" s="31">
        <v>0</v>
      </c>
      <c r="AZ232" s="31">
        <v>0</v>
      </c>
      <c r="BA232" s="31">
        <v>0</v>
      </c>
      <c r="BB232" s="31">
        <v>0</v>
      </c>
      <c r="BC232" s="31">
        <v>0</v>
      </c>
      <c r="BD232" s="31">
        <v>0</v>
      </c>
      <c r="BE232" s="31">
        <v>0</v>
      </c>
      <c r="BF232" s="31">
        <v>0</v>
      </c>
      <c r="BG232" s="31">
        <v>0</v>
      </c>
      <c r="BH232" s="31">
        <v>0</v>
      </c>
      <c r="BI232" s="31">
        <v>0</v>
      </c>
      <c r="BJ232" s="31">
        <v>0</v>
      </c>
      <c r="BK232" s="12">
        <v>0</v>
      </c>
      <c r="BL232" s="12">
        <v>0</v>
      </c>
      <c r="BM232" s="12">
        <v>0</v>
      </c>
      <c r="BN232" s="12"/>
      <c r="BO232" s="12">
        <v>0</v>
      </c>
      <c r="BP232" s="12">
        <v>0</v>
      </c>
      <c r="BQ232" s="12">
        <v>0</v>
      </c>
      <c r="BR232" s="12">
        <v>0</v>
      </c>
      <c r="BS232" s="12">
        <v>0</v>
      </c>
      <c r="BT232" s="12">
        <v>0</v>
      </c>
      <c r="BU232" s="12">
        <v>0</v>
      </c>
      <c r="BV232" s="12">
        <v>0</v>
      </c>
      <c r="BW232" s="12">
        <v>0</v>
      </c>
      <c r="BX232" s="12">
        <v>0</v>
      </c>
      <c r="BY232" s="12">
        <v>0</v>
      </c>
      <c r="BZ232" s="12">
        <v>0</v>
      </c>
      <c r="CA232" s="12">
        <v>0</v>
      </c>
    </row>
    <row r="233" spans="1:79" ht="15" hidden="1" x14ac:dyDescent="0.25">
      <c r="A233" s="12" t="s">
        <v>132</v>
      </c>
      <c r="B233" s="12" t="s">
        <v>133</v>
      </c>
      <c r="C233" s="12" t="s">
        <v>133</v>
      </c>
      <c r="D233" s="31" t="s">
        <v>488</v>
      </c>
      <c r="E233" s="31" t="s">
        <v>153</v>
      </c>
      <c r="F233" s="31" t="s">
        <v>175</v>
      </c>
      <c r="G233" s="31" t="s">
        <v>153</v>
      </c>
      <c r="H233" s="31" t="s">
        <v>153</v>
      </c>
      <c r="I233" s="31" t="s">
        <v>153</v>
      </c>
      <c r="J233" s="31" t="s">
        <v>153</v>
      </c>
      <c r="K233" s="31" t="s">
        <v>153</v>
      </c>
      <c r="L233" s="31">
        <f>VALUE(0)</f>
        <v>0</v>
      </c>
      <c r="M233" s="31">
        <f>VALUE(0)</f>
        <v>0</v>
      </c>
      <c r="N233" s="31">
        <f>VALUE(0)</f>
        <v>0</v>
      </c>
      <c r="O233" s="31">
        <f>VALUE(0)</f>
        <v>0</v>
      </c>
      <c r="P233" s="31">
        <f>VALUE(0)</f>
        <v>0</v>
      </c>
      <c r="Q233" s="31">
        <f>VALUE(0)</f>
        <v>0</v>
      </c>
      <c r="R233" s="31">
        <f>VALUE(0)</f>
        <v>0</v>
      </c>
      <c r="S233" s="31">
        <f>VALUE(0)</f>
        <v>0</v>
      </c>
      <c r="T233" s="31">
        <f>VALUE(0)</f>
        <v>0</v>
      </c>
      <c r="U233" s="31">
        <f>VALUE(0)</f>
        <v>0</v>
      </c>
      <c r="V233" s="31">
        <f>VALUE(0)</f>
        <v>0</v>
      </c>
      <c r="W233" s="31">
        <f>VALUE(0)</f>
        <v>0</v>
      </c>
      <c r="X233" s="31">
        <f>VALUE(0)</f>
        <v>0</v>
      </c>
      <c r="Y233" s="31">
        <f>VALUE(0)</f>
        <v>0</v>
      </c>
      <c r="Z233" s="31">
        <f>VALUE(0)</f>
        <v>0</v>
      </c>
      <c r="AA233" s="31">
        <f>VALUE(0)</f>
        <v>0</v>
      </c>
      <c r="AB233" s="31">
        <f>VALUE(0)</f>
        <v>0</v>
      </c>
      <c r="AC233" s="31">
        <f>VALUE(0)</f>
        <v>0</v>
      </c>
      <c r="AD233" s="31">
        <f>VALUE(0)</f>
        <v>0</v>
      </c>
      <c r="AE233" s="31">
        <f>VALUE(0)</f>
        <v>0</v>
      </c>
      <c r="AF233" s="31">
        <f>VALUE(0)</f>
        <v>0</v>
      </c>
      <c r="AG233" s="31">
        <f>VALUE(0)</f>
        <v>0</v>
      </c>
      <c r="AH233" s="31">
        <f>VALUE(0)</f>
        <v>0</v>
      </c>
      <c r="AI233" s="31">
        <f>VALUE(0)</f>
        <v>0</v>
      </c>
      <c r="AJ233" s="31">
        <f>VALUE(0)</f>
        <v>0</v>
      </c>
      <c r="AK233" s="31">
        <f>VALUE(0)</f>
        <v>0</v>
      </c>
      <c r="AL233" s="31">
        <f>VALUE(0)</f>
        <v>0</v>
      </c>
      <c r="AM233" s="31">
        <f>VALUE(0)</f>
        <v>0</v>
      </c>
      <c r="AN233" s="31">
        <f>VALUE(0)</f>
        <v>0</v>
      </c>
      <c r="AO233" s="31">
        <f>VALUE(0)</f>
        <v>0</v>
      </c>
      <c r="AP233" s="31">
        <v>0</v>
      </c>
      <c r="AQ233" s="31">
        <v>0</v>
      </c>
      <c r="AR233" s="31">
        <v>0</v>
      </c>
      <c r="AS233" s="31">
        <v>0</v>
      </c>
      <c r="AT233" s="31">
        <v>0</v>
      </c>
      <c r="AU233" s="31">
        <v>0</v>
      </c>
      <c r="AV233" s="31">
        <v>0</v>
      </c>
      <c r="AW233" s="31">
        <v>0</v>
      </c>
      <c r="AX233" s="31">
        <v>0</v>
      </c>
      <c r="AY233" s="31">
        <v>0</v>
      </c>
      <c r="AZ233" s="31">
        <v>0</v>
      </c>
      <c r="BA233" s="31">
        <v>0</v>
      </c>
      <c r="BB233" s="31">
        <v>0</v>
      </c>
      <c r="BC233" s="31">
        <v>0</v>
      </c>
      <c r="BD233" s="31">
        <v>0</v>
      </c>
      <c r="BE233" s="31">
        <v>0</v>
      </c>
      <c r="BF233" s="31">
        <v>0</v>
      </c>
      <c r="BG233" s="31">
        <v>0</v>
      </c>
      <c r="BH233" s="31">
        <v>0</v>
      </c>
      <c r="BI233" s="31">
        <v>0</v>
      </c>
      <c r="BJ233" s="31">
        <v>0</v>
      </c>
      <c r="BK233" s="12">
        <v>0</v>
      </c>
      <c r="BL233" s="12">
        <v>0</v>
      </c>
      <c r="BM233" s="12">
        <v>0</v>
      </c>
      <c r="BN233" s="12"/>
      <c r="BO233" s="12">
        <v>0</v>
      </c>
      <c r="BP233" s="12">
        <v>0</v>
      </c>
      <c r="BQ233" s="12">
        <v>0</v>
      </c>
      <c r="BR233" s="12">
        <v>0</v>
      </c>
      <c r="BS233" s="12">
        <v>0</v>
      </c>
      <c r="BT233" s="12">
        <v>0</v>
      </c>
      <c r="BU233" s="12">
        <v>0</v>
      </c>
      <c r="BV233" s="12">
        <v>0</v>
      </c>
      <c r="BW233" s="12">
        <v>0</v>
      </c>
      <c r="BX233" s="12">
        <v>0</v>
      </c>
      <c r="BY233" s="12">
        <v>0</v>
      </c>
      <c r="BZ233" s="12">
        <v>0</v>
      </c>
      <c r="CA233" s="12">
        <v>0</v>
      </c>
    </row>
    <row r="234" spans="1:79" ht="15" hidden="1" x14ac:dyDescent="0.25">
      <c r="A234" s="12" t="s">
        <v>132</v>
      </c>
      <c r="B234" s="12" t="s">
        <v>134</v>
      </c>
      <c r="C234" s="12" t="s">
        <v>134</v>
      </c>
      <c r="D234" s="31" t="s">
        <v>488</v>
      </c>
      <c r="E234" s="31" t="s">
        <v>153</v>
      </c>
      <c r="F234" s="31" t="s">
        <v>175</v>
      </c>
      <c r="G234" s="31" t="s">
        <v>153</v>
      </c>
      <c r="H234" s="31" t="s">
        <v>153</v>
      </c>
      <c r="I234" s="31" t="s">
        <v>153</v>
      </c>
      <c r="J234" s="31" t="s">
        <v>153</v>
      </c>
      <c r="K234" s="31" t="s">
        <v>153</v>
      </c>
      <c r="L234" s="31">
        <f>VALUE(0)</f>
        <v>0</v>
      </c>
      <c r="M234" s="31">
        <f>VALUE(0)</f>
        <v>0</v>
      </c>
      <c r="N234" s="31">
        <f>VALUE(0)</f>
        <v>0</v>
      </c>
      <c r="O234" s="31">
        <f>VALUE(0)</f>
        <v>0</v>
      </c>
      <c r="P234" s="31">
        <f>VALUE(0)</f>
        <v>0</v>
      </c>
      <c r="Q234" s="31">
        <f>VALUE(0)</f>
        <v>0</v>
      </c>
      <c r="R234" s="31">
        <f>VALUE(0)</f>
        <v>0</v>
      </c>
      <c r="S234" s="31">
        <f>VALUE(0)</f>
        <v>0</v>
      </c>
      <c r="T234" s="31">
        <f>VALUE(0)</f>
        <v>0</v>
      </c>
      <c r="U234" s="31">
        <f>VALUE(0)</f>
        <v>0</v>
      </c>
      <c r="V234" s="31">
        <f>VALUE(0)</f>
        <v>0</v>
      </c>
      <c r="W234" s="31">
        <f>VALUE(0)</f>
        <v>0</v>
      </c>
      <c r="X234" s="31">
        <f>VALUE(0)</f>
        <v>0</v>
      </c>
      <c r="Y234" s="31">
        <f>VALUE(0)</f>
        <v>0</v>
      </c>
      <c r="Z234" s="31">
        <f>VALUE(0)</f>
        <v>0</v>
      </c>
      <c r="AA234" s="31">
        <f>VALUE(0)</f>
        <v>0</v>
      </c>
      <c r="AB234" s="31">
        <f>VALUE(0)</f>
        <v>0</v>
      </c>
      <c r="AC234" s="31">
        <f>VALUE(0)</f>
        <v>0</v>
      </c>
      <c r="AD234" s="31">
        <f>VALUE(0)</f>
        <v>0</v>
      </c>
      <c r="AE234" s="31">
        <f>VALUE(0)</f>
        <v>0</v>
      </c>
      <c r="AF234" s="31">
        <f>VALUE(0)</f>
        <v>0</v>
      </c>
      <c r="AG234" s="31">
        <f>VALUE(0)</f>
        <v>0</v>
      </c>
      <c r="AH234" s="31">
        <f>VALUE(0)</f>
        <v>0</v>
      </c>
      <c r="AI234" s="31">
        <f>VALUE(0)</f>
        <v>0</v>
      </c>
      <c r="AJ234" s="31">
        <f>VALUE(0)</f>
        <v>0</v>
      </c>
      <c r="AK234" s="31">
        <f>VALUE(0)</f>
        <v>0</v>
      </c>
      <c r="AL234" s="31">
        <f>VALUE(0)</f>
        <v>0</v>
      </c>
      <c r="AM234" s="31">
        <f>VALUE(0)</f>
        <v>0</v>
      </c>
      <c r="AN234" s="31">
        <f>VALUE(0)</f>
        <v>0</v>
      </c>
      <c r="AO234" s="31">
        <f>VALUE(0)</f>
        <v>0</v>
      </c>
      <c r="AP234" s="31">
        <v>0</v>
      </c>
      <c r="AQ234" s="31">
        <v>0</v>
      </c>
      <c r="AR234" s="31">
        <v>0</v>
      </c>
      <c r="AS234" s="31">
        <v>0</v>
      </c>
      <c r="AT234" s="31">
        <v>0</v>
      </c>
      <c r="AU234" s="31">
        <v>0</v>
      </c>
      <c r="AV234" s="31">
        <v>0</v>
      </c>
      <c r="AW234" s="31">
        <v>0</v>
      </c>
      <c r="AX234" s="31">
        <v>0</v>
      </c>
      <c r="AY234" s="31">
        <v>0</v>
      </c>
      <c r="AZ234" s="31">
        <v>0</v>
      </c>
      <c r="BA234" s="31">
        <v>0</v>
      </c>
      <c r="BB234" s="31">
        <v>0</v>
      </c>
      <c r="BC234" s="31">
        <v>0</v>
      </c>
      <c r="BD234" s="31">
        <v>0</v>
      </c>
      <c r="BE234" s="31">
        <v>0</v>
      </c>
      <c r="BF234" s="31">
        <v>0</v>
      </c>
      <c r="BG234" s="31">
        <v>0</v>
      </c>
      <c r="BH234" s="31">
        <v>0</v>
      </c>
      <c r="BI234" s="31">
        <v>0</v>
      </c>
      <c r="BJ234" s="31">
        <v>0</v>
      </c>
      <c r="BK234" s="12">
        <v>0</v>
      </c>
      <c r="BL234" s="12">
        <v>0</v>
      </c>
      <c r="BM234" s="12">
        <v>0</v>
      </c>
      <c r="BN234" s="12"/>
      <c r="BO234" s="12">
        <v>0</v>
      </c>
      <c r="BP234" s="12">
        <v>0</v>
      </c>
      <c r="BQ234" s="12">
        <v>0</v>
      </c>
      <c r="BR234" s="12">
        <v>0</v>
      </c>
      <c r="BS234" s="12">
        <v>0</v>
      </c>
      <c r="BT234" s="12">
        <v>0</v>
      </c>
      <c r="BU234" s="12">
        <v>0</v>
      </c>
      <c r="BV234" s="12">
        <v>0</v>
      </c>
      <c r="BW234" s="12">
        <v>0</v>
      </c>
      <c r="BX234" s="12">
        <v>0</v>
      </c>
      <c r="BY234" s="12">
        <v>0</v>
      </c>
      <c r="BZ234" s="12">
        <v>0</v>
      </c>
      <c r="CA234" s="12">
        <v>0</v>
      </c>
    </row>
    <row r="235" spans="1:79" ht="16.5" x14ac:dyDescent="0.2">
      <c r="A235" s="12" t="s">
        <v>135</v>
      </c>
      <c r="B235" s="12" t="s">
        <v>136</v>
      </c>
      <c r="C235" s="12" t="s">
        <v>136</v>
      </c>
      <c r="D235" s="22" t="s">
        <v>1263</v>
      </c>
      <c r="E235" s="22" t="s">
        <v>149</v>
      </c>
      <c r="F235" s="22" t="s">
        <v>962</v>
      </c>
      <c r="G235" s="22" t="s">
        <v>963</v>
      </c>
      <c r="H235" s="22" t="s">
        <v>150</v>
      </c>
      <c r="I235" s="22" t="s">
        <v>151</v>
      </c>
      <c r="J235" s="22" t="s">
        <v>152</v>
      </c>
      <c r="K235" s="22" t="s">
        <v>92</v>
      </c>
      <c r="L235" s="54" t="s">
        <v>153</v>
      </c>
      <c r="M235" s="24" t="s">
        <v>156</v>
      </c>
      <c r="N235" s="24" t="s">
        <v>153</v>
      </c>
      <c r="O235" s="34" t="s">
        <v>489</v>
      </c>
      <c r="P235" s="23" t="s">
        <v>489</v>
      </c>
      <c r="Q235" s="23" t="s">
        <v>489</v>
      </c>
      <c r="R235" s="23" t="s">
        <v>489</v>
      </c>
      <c r="S235" s="23" t="s">
        <v>490</v>
      </c>
      <c r="T235" s="23" t="s">
        <v>490</v>
      </c>
      <c r="U235" s="24" t="s">
        <v>153</v>
      </c>
      <c r="V235" s="54" t="s">
        <v>153</v>
      </c>
      <c r="W235" s="26" t="s">
        <v>1264</v>
      </c>
      <c r="X235" s="26" t="s">
        <v>155</v>
      </c>
      <c r="Y235" s="23" t="s">
        <v>155</v>
      </c>
      <c r="Z235" s="25" t="s">
        <v>1265</v>
      </c>
      <c r="AA235" s="24" t="s">
        <v>156</v>
      </c>
      <c r="AB235" s="24" t="s">
        <v>153</v>
      </c>
      <c r="AC235" s="34" t="s">
        <v>492</v>
      </c>
      <c r="AD235" s="23" t="s">
        <v>492</v>
      </c>
      <c r="AE235" s="23" t="s">
        <v>491</v>
      </c>
      <c r="AF235" s="26" t="s">
        <v>1264</v>
      </c>
      <c r="AG235" s="26" t="s">
        <v>1264</v>
      </c>
      <c r="AH235" s="29" t="s">
        <v>163</v>
      </c>
      <c r="AI235" s="24" t="s">
        <v>153</v>
      </c>
      <c r="AJ235" s="29" t="s">
        <v>163</v>
      </c>
      <c r="AK235" s="35" t="s">
        <v>170</v>
      </c>
      <c r="AL235" s="35" t="s">
        <v>170</v>
      </c>
      <c r="AM235" s="35" t="s">
        <v>170</v>
      </c>
      <c r="AN235" s="35" t="s">
        <v>170</v>
      </c>
      <c r="AO235" s="24" t="s">
        <v>156</v>
      </c>
      <c r="AP235" s="23">
        <f>VALUE(0)</f>
        <v>0</v>
      </c>
      <c r="AQ235" s="23">
        <f>VALUE(0)</f>
        <v>0</v>
      </c>
      <c r="AR235" s="23">
        <f>VALUE(2)</f>
        <v>2</v>
      </c>
      <c r="AS235" s="23">
        <f>VALUE(0)</f>
        <v>0</v>
      </c>
      <c r="AT235" s="23">
        <f>VALUE(0)</f>
        <v>0</v>
      </c>
      <c r="AU235" s="23">
        <f>VALUE(0)</f>
        <v>0</v>
      </c>
      <c r="AV235" s="23">
        <f>VALUE(19)</f>
        <v>19</v>
      </c>
      <c r="AW235" s="23">
        <f>VALUE(0)</f>
        <v>0</v>
      </c>
      <c r="AX235" s="23" t="s">
        <v>171</v>
      </c>
      <c r="AY235" s="23" t="s">
        <v>292</v>
      </c>
      <c r="AZ235" s="23">
        <f>VALUE(0)</f>
        <v>0</v>
      </c>
      <c r="BA235" s="23">
        <f>VALUE(0)</f>
        <v>0</v>
      </c>
      <c r="BB235" s="23">
        <f>VALUE(0)</f>
        <v>0</v>
      </c>
      <c r="BC235" s="23">
        <f>VALUE(0)</f>
        <v>0</v>
      </c>
      <c r="BD235" s="23">
        <f>VALUE(2)</f>
        <v>2</v>
      </c>
      <c r="BE235" s="23">
        <f>VALUE(5)</f>
        <v>5</v>
      </c>
      <c r="BF235" s="23">
        <f>VALUE(0)</f>
        <v>0</v>
      </c>
      <c r="BG235" s="23">
        <f>VALUE(0)</f>
        <v>0</v>
      </c>
      <c r="BH235" s="23">
        <f>VALUE(0)</f>
        <v>0</v>
      </c>
      <c r="BI235" s="23">
        <f>VALUE(0)</f>
        <v>0</v>
      </c>
      <c r="BJ235" s="23">
        <f>VALUE(0)</f>
        <v>0</v>
      </c>
      <c r="BK235" s="12">
        <f>$AX$235*24</f>
        <v>5.833333333333333</v>
      </c>
      <c r="BL235" s="12">
        <f>$AY$235*24</f>
        <v>3.6499999999999995</v>
      </c>
      <c r="BM235" s="12">
        <f>$BJ$235*24</f>
        <v>0</v>
      </c>
      <c r="BN235" s="12">
        <f>VALUE($I$235)/100</f>
        <v>1</v>
      </c>
      <c r="BO235" s="12">
        <v>0</v>
      </c>
      <c r="BP235" s="12">
        <v>0</v>
      </c>
      <c r="BQ235" s="12">
        <v>0</v>
      </c>
      <c r="BR235" s="12">
        <v>1</v>
      </c>
      <c r="BS235" s="12">
        <v>0</v>
      </c>
      <c r="BT235" s="12">
        <v>2</v>
      </c>
      <c r="BU235" s="12">
        <v>0</v>
      </c>
      <c r="BV235" s="12">
        <v>0</v>
      </c>
      <c r="BW235" s="12">
        <v>0</v>
      </c>
      <c r="BX235" s="12">
        <v>0</v>
      </c>
      <c r="BY235" s="12">
        <v>0</v>
      </c>
      <c r="BZ235" s="12">
        <v>0</v>
      </c>
      <c r="CA235" s="12">
        <v>0</v>
      </c>
    </row>
    <row r="236" spans="1:79" hidden="1" x14ac:dyDescent="0.2">
      <c r="A236" s="12" t="s">
        <v>135</v>
      </c>
      <c r="B236" s="12" t="s">
        <v>136</v>
      </c>
      <c r="C236" s="12" t="s">
        <v>136</v>
      </c>
      <c r="D236" s="22" t="s">
        <v>494</v>
      </c>
      <c r="E236" s="22" t="s">
        <v>161</v>
      </c>
      <c r="F236" s="22" t="s">
        <v>964</v>
      </c>
      <c r="G236" s="22" t="s">
        <v>965</v>
      </c>
      <c r="H236" s="22" t="s">
        <v>150</v>
      </c>
      <c r="I236" s="22" t="s">
        <v>151</v>
      </c>
      <c r="J236" s="22" t="s">
        <v>162</v>
      </c>
      <c r="K236" s="22" t="s">
        <v>92</v>
      </c>
      <c r="L236" s="54" t="s">
        <v>153</v>
      </c>
      <c r="M236" s="23" t="s">
        <v>153</v>
      </c>
      <c r="N236" s="24" t="s">
        <v>153</v>
      </c>
      <c r="O236" s="23" t="s">
        <v>153</v>
      </c>
      <c r="P236" s="23" t="s">
        <v>153</v>
      </c>
      <c r="Q236" s="23" t="s">
        <v>153</v>
      </c>
      <c r="R236" s="23" t="s">
        <v>153</v>
      </c>
      <c r="S236" s="23" t="s">
        <v>153</v>
      </c>
      <c r="T236" s="23" t="s">
        <v>153</v>
      </c>
      <c r="U236" s="24" t="s">
        <v>153</v>
      </c>
      <c r="V236" s="54" t="s">
        <v>153</v>
      </c>
      <c r="W236" s="28" t="s">
        <v>338</v>
      </c>
      <c r="X236" s="28" t="s">
        <v>338</v>
      </c>
      <c r="Y236" s="28" t="s">
        <v>338</v>
      </c>
      <c r="Z236" s="28" t="s">
        <v>338</v>
      </c>
      <c r="AA236" s="28" t="s">
        <v>338</v>
      </c>
      <c r="AB236" s="24" t="s">
        <v>153</v>
      </c>
      <c r="AC236" s="23" t="s">
        <v>153</v>
      </c>
      <c r="AD236" s="23" t="s">
        <v>153</v>
      </c>
      <c r="AE236" s="23" t="s">
        <v>153</v>
      </c>
      <c r="AF236" s="23" t="s">
        <v>153</v>
      </c>
      <c r="AG236" s="24" t="s">
        <v>156</v>
      </c>
      <c r="AH236" s="24" t="s">
        <v>156</v>
      </c>
      <c r="AI236" s="24" t="s">
        <v>153</v>
      </c>
      <c r="AJ236" s="23" t="s">
        <v>153</v>
      </c>
      <c r="AK236" s="23" t="s">
        <v>153</v>
      </c>
      <c r="AL236" s="23" t="s">
        <v>153</v>
      </c>
      <c r="AM236" s="23" t="s">
        <v>153</v>
      </c>
      <c r="AN236" s="23" t="s">
        <v>153</v>
      </c>
      <c r="AO236" s="23" t="s">
        <v>153</v>
      </c>
      <c r="AP236" s="23">
        <f>VALUE(0)</f>
        <v>0</v>
      </c>
      <c r="AQ236" s="23">
        <f>VALUE(0)</f>
        <v>0</v>
      </c>
      <c r="AR236" s="23">
        <f>VALUE(0)</f>
        <v>0</v>
      </c>
      <c r="AS236" s="23">
        <f>VALUE(0)</f>
        <v>0</v>
      </c>
      <c r="AT236" s="23">
        <f>VALUE(5)</f>
        <v>5</v>
      </c>
      <c r="AU236" s="23">
        <f>VALUE(0)</f>
        <v>0</v>
      </c>
      <c r="AV236" s="23">
        <f>VALUE(8)</f>
        <v>8</v>
      </c>
      <c r="AW236" s="23">
        <f>VALUE(0)</f>
        <v>0</v>
      </c>
      <c r="AX236" s="23" t="s">
        <v>171</v>
      </c>
      <c r="AY236" s="23" t="s">
        <v>424</v>
      </c>
      <c r="AZ236" s="23">
        <f>VALUE(0)</f>
        <v>0</v>
      </c>
      <c r="BA236" s="23">
        <f>VALUE(0)</f>
        <v>0</v>
      </c>
      <c r="BB236" s="23">
        <f>VALUE(0)</f>
        <v>0</v>
      </c>
      <c r="BC236" s="23">
        <f>VALUE(0)</f>
        <v>0</v>
      </c>
      <c r="BD236" s="23">
        <f>VALUE(0)</f>
        <v>0</v>
      </c>
      <c r="BE236" s="23">
        <f>VALUE(0)</f>
        <v>0</v>
      </c>
      <c r="BF236" s="23">
        <f>VALUE(0)</f>
        <v>0</v>
      </c>
      <c r="BG236" s="23">
        <f>VALUE(0)</f>
        <v>0</v>
      </c>
      <c r="BH236" s="23">
        <f>VALUE(0)</f>
        <v>0</v>
      </c>
      <c r="BI236" s="23">
        <f>VALUE(0)</f>
        <v>0</v>
      </c>
      <c r="BJ236" s="23">
        <f>VALUE(0)</f>
        <v>0</v>
      </c>
      <c r="BK236" s="12">
        <f>$AX$236*24</f>
        <v>5.833333333333333</v>
      </c>
      <c r="BL236" s="12">
        <f>$AY$236*24</f>
        <v>2.4666666666666668</v>
      </c>
      <c r="BM236" s="12">
        <f>$BJ$236*24</f>
        <v>0</v>
      </c>
      <c r="BN236" s="12">
        <f>VALUE($I$236)/100</f>
        <v>1</v>
      </c>
      <c r="BO236" s="12">
        <v>0</v>
      </c>
      <c r="BP236" s="12">
        <v>0</v>
      </c>
      <c r="BQ236" s="12">
        <v>0</v>
      </c>
      <c r="BR236" s="12">
        <v>0</v>
      </c>
      <c r="BS236" s="12">
        <v>0</v>
      </c>
      <c r="BT236" s="12">
        <v>0</v>
      </c>
      <c r="BU236" s="12">
        <v>0</v>
      </c>
      <c r="BV236" s="12">
        <v>0</v>
      </c>
      <c r="BW236" s="12">
        <v>0</v>
      </c>
      <c r="BX236" s="12">
        <v>0</v>
      </c>
      <c r="BY236" s="12">
        <v>5</v>
      </c>
      <c r="BZ236" s="12">
        <v>0</v>
      </c>
      <c r="CA236" s="12">
        <v>0</v>
      </c>
    </row>
    <row r="237" spans="1:79" hidden="1" x14ac:dyDescent="0.2">
      <c r="A237" s="12" t="s">
        <v>135</v>
      </c>
      <c r="B237" s="12" t="s">
        <v>136</v>
      </c>
      <c r="C237" s="12" t="s">
        <v>136</v>
      </c>
      <c r="D237" s="22" t="s">
        <v>495</v>
      </c>
      <c r="E237" s="22" t="s">
        <v>161</v>
      </c>
      <c r="F237" s="22" t="s">
        <v>966</v>
      </c>
      <c r="G237" s="22" t="s">
        <v>967</v>
      </c>
      <c r="H237" s="22" t="s">
        <v>150</v>
      </c>
      <c r="I237" s="22" t="s">
        <v>151</v>
      </c>
      <c r="J237" s="22" t="s">
        <v>162</v>
      </c>
      <c r="K237" s="22" t="s">
        <v>92</v>
      </c>
      <c r="L237" s="54" t="s">
        <v>153</v>
      </c>
      <c r="M237" s="23" t="s">
        <v>153</v>
      </c>
      <c r="N237" s="24" t="s">
        <v>153</v>
      </c>
      <c r="O237" s="23" t="s">
        <v>153</v>
      </c>
      <c r="P237" s="23" t="s">
        <v>153</v>
      </c>
      <c r="Q237" s="23" t="s">
        <v>153</v>
      </c>
      <c r="R237" s="23" t="s">
        <v>153</v>
      </c>
      <c r="S237" s="23" t="s">
        <v>153</v>
      </c>
      <c r="T237" s="23" t="s">
        <v>153</v>
      </c>
      <c r="U237" s="24" t="s">
        <v>153</v>
      </c>
      <c r="V237" s="54" t="s">
        <v>156</v>
      </c>
      <c r="W237" s="24" t="s">
        <v>156</v>
      </c>
      <c r="X237" s="23" t="s">
        <v>153</v>
      </c>
      <c r="Y237" s="23" t="s">
        <v>153</v>
      </c>
      <c r="Z237" s="23" t="s">
        <v>153</v>
      </c>
      <c r="AA237" s="23" t="s">
        <v>153</v>
      </c>
      <c r="AB237" s="24" t="s">
        <v>153</v>
      </c>
      <c r="AC237" s="23" t="s">
        <v>153</v>
      </c>
      <c r="AD237" s="23" t="s">
        <v>153</v>
      </c>
      <c r="AE237" s="23" t="s">
        <v>153</v>
      </c>
      <c r="AF237" s="23" t="s">
        <v>153</v>
      </c>
      <c r="AG237" s="23" t="s">
        <v>153</v>
      </c>
      <c r="AH237" s="23" t="s">
        <v>153</v>
      </c>
      <c r="AI237" s="24" t="s">
        <v>153</v>
      </c>
      <c r="AJ237" s="23" t="s">
        <v>153</v>
      </c>
      <c r="AK237" s="23" t="s">
        <v>153</v>
      </c>
      <c r="AL237" s="23" t="s">
        <v>153</v>
      </c>
      <c r="AM237" s="23" t="s">
        <v>153</v>
      </c>
      <c r="AN237" s="23" t="s">
        <v>153</v>
      </c>
      <c r="AO237" s="23" t="s">
        <v>153</v>
      </c>
      <c r="AP237" s="23">
        <f>VALUE(0)</f>
        <v>0</v>
      </c>
      <c r="AQ237" s="23">
        <f>VALUE(0)</f>
        <v>0</v>
      </c>
      <c r="AR237" s="23">
        <f>VALUE(0)</f>
        <v>0</v>
      </c>
      <c r="AS237" s="23">
        <f>VALUE(0)</f>
        <v>0</v>
      </c>
      <c r="AT237" s="23">
        <f>VALUE(0)</f>
        <v>0</v>
      </c>
      <c r="AU237" s="23">
        <f>VALUE(0)</f>
        <v>0</v>
      </c>
      <c r="AV237" s="23">
        <f>VALUE(11)</f>
        <v>11</v>
      </c>
      <c r="AW237" s="23">
        <f>VALUE(0)</f>
        <v>0</v>
      </c>
      <c r="AX237" s="23" t="s">
        <v>158</v>
      </c>
      <c r="AY237" s="23" t="s">
        <v>496</v>
      </c>
      <c r="AZ237" s="23">
        <f>VALUE(0)</f>
        <v>0</v>
      </c>
      <c r="BA237" s="23">
        <f>VALUE(0)</f>
        <v>0</v>
      </c>
      <c r="BB237" s="23">
        <f>VALUE(0)</f>
        <v>0</v>
      </c>
      <c r="BC237" s="23">
        <f>VALUE(0)</f>
        <v>0</v>
      </c>
      <c r="BD237" s="23">
        <f>VALUE(0)</f>
        <v>0</v>
      </c>
      <c r="BE237" s="23">
        <f>VALUE(0)</f>
        <v>0</v>
      </c>
      <c r="BF237" s="23">
        <f>VALUE(0)</f>
        <v>0</v>
      </c>
      <c r="BG237" s="23">
        <f>VALUE(0)</f>
        <v>0</v>
      </c>
      <c r="BH237" s="23">
        <f>VALUE(0)</f>
        <v>0</v>
      </c>
      <c r="BI237" s="23">
        <f>VALUE(0)</f>
        <v>0</v>
      </c>
      <c r="BJ237" s="23">
        <f>VALUE(0)</f>
        <v>0</v>
      </c>
      <c r="BK237" s="12">
        <f>$AX$237*24</f>
        <v>11.666666666666666</v>
      </c>
      <c r="BL237" s="12">
        <f>$AY$237*24</f>
        <v>0.71666666666666667</v>
      </c>
      <c r="BM237" s="12">
        <f>$BJ$237*24</f>
        <v>0</v>
      </c>
      <c r="BN237" s="12">
        <f>VALUE($I$237)/100</f>
        <v>1</v>
      </c>
      <c r="BO237" s="12">
        <v>0</v>
      </c>
      <c r="BP237" s="12">
        <v>0</v>
      </c>
      <c r="BQ237" s="12">
        <v>0</v>
      </c>
      <c r="BR237" s="12">
        <v>0</v>
      </c>
      <c r="BS237" s="12">
        <v>0</v>
      </c>
      <c r="BT237" s="12">
        <v>0</v>
      </c>
      <c r="BU237" s="12">
        <v>0</v>
      </c>
      <c r="BV237" s="12">
        <v>0</v>
      </c>
      <c r="BW237" s="12">
        <v>0</v>
      </c>
      <c r="BX237" s="12">
        <v>0</v>
      </c>
      <c r="BY237" s="12">
        <v>0</v>
      </c>
      <c r="BZ237" s="12">
        <v>0</v>
      </c>
      <c r="CA237" s="12">
        <v>0</v>
      </c>
    </row>
    <row r="238" spans="1:79" hidden="1" x14ac:dyDescent="0.2">
      <c r="A238" s="12" t="s">
        <v>135</v>
      </c>
      <c r="B238" s="12" t="s">
        <v>136</v>
      </c>
      <c r="C238" s="12" t="s">
        <v>136</v>
      </c>
      <c r="D238" s="22" t="s">
        <v>497</v>
      </c>
      <c r="E238" s="22" t="s">
        <v>161</v>
      </c>
      <c r="F238" s="22" t="s">
        <v>968</v>
      </c>
      <c r="G238" s="22" t="s">
        <v>969</v>
      </c>
      <c r="H238" s="22" t="s">
        <v>150</v>
      </c>
      <c r="I238" s="22" t="s">
        <v>151</v>
      </c>
      <c r="J238" s="22" t="s">
        <v>162</v>
      </c>
      <c r="K238" s="22" t="s">
        <v>92</v>
      </c>
      <c r="L238" s="28" t="s">
        <v>338</v>
      </c>
      <c r="M238" s="28" t="s">
        <v>338</v>
      </c>
      <c r="N238" s="24" t="s">
        <v>153</v>
      </c>
      <c r="O238" s="23" t="s">
        <v>153</v>
      </c>
      <c r="P238" s="23" t="s">
        <v>153</v>
      </c>
      <c r="Q238" s="23" t="s">
        <v>153</v>
      </c>
      <c r="R238" s="23" t="s">
        <v>153</v>
      </c>
      <c r="S238" s="23" t="s">
        <v>153</v>
      </c>
      <c r="T238" s="23" t="s">
        <v>153</v>
      </c>
      <c r="U238" s="24" t="s">
        <v>153</v>
      </c>
      <c r="V238" s="54" t="s">
        <v>153</v>
      </c>
      <c r="W238" s="23" t="s">
        <v>153</v>
      </c>
      <c r="X238" s="23" t="s">
        <v>153</v>
      </c>
      <c r="Y238" s="23" t="s">
        <v>153</v>
      </c>
      <c r="Z238" s="23" t="s">
        <v>153</v>
      </c>
      <c r="AA238" s="23" t="s">
        <v>153</v>
      </c>
      <c r="AB238" s="24" t="s">
        <v>153</v>
      </c>
      <c r="AC238" s="23" t="s">
        <v>153</v>
      </c>
      <c r="AD238" s="23" t="s">
        <v>153</v>
      </c>
      <c r="AE238" s="23" t="s">
        <v>153</v>
      </c>
      <c r="AF238" s="23" t="s">
        <v>153</v>
      </c>
      <c r="AG238" s="23" t="s">
        <v>153</v>
      </c>
      <c r="AH238" s="23" t="s">
        <v>153</v>
      </c>
      <c r="AI238" s="24" t="s">
        <v>153</v>
      </c>
      <c r="AJ238" s="23" t="s">
        <v>153</v>
      </c>
      <c r="AK238" s="23" t="s">
        <v>153</v>
      </c>
      <c r="AL238" s="24" t="s">
        <v>156</v>
      </c>
      <c r="AM238" s="24" t="s">
        <v>156</v>
      </c>
      <c r="AN238" s="23" t="s">
        <v>153</v>
      </c>
      <c r="AO238" s="23" t="s">
        <v>153</v>
      </c>
      <c r="AP238" s="23">
        <f>VALUE(0)</f>
        <v>0</v>
      </c>
      <c r="AQ238" s="23">
        <f>VALUE(0)</f>
        <v>0</v>
      </c>
      <c r="AR238" s="23">
        <f>VALUE(0)</f>
        <v>0</v>
      </c>
      <c r="AS238" s="23">
        <f>VALUE(0)</f>
        <v>0</v>
      </c>
      <c r="AT238" s="23">
        <f>VALUE(2)</f>
        <v>2</v>
      </c>
      <c r="AU238" s="23">
        <f>VALUE(0)</f>
        <v>0</v>
      </c>
      <c r="AV238" s="23">
        <f>VALUE(6)</f>
        <v>6</v>
      </c>
      <c r="AW238" s="23">
        <f>VALUE(0)</f>
        <v>0</v>
      </c>
      <c r="AX238" s="23" t="s">
        <v>176</v>
      </c>
      <c r="AY238" s="23" t="s">
        <v>432</v>
      </c>
      <c r="AZ238" s="23">
        <f>VALUE(0)</f>
        <v>0</v>
      </c>
      <c r="BA238" s="23">
        <f>VALUE(0)</f>
        <v>0</v>
      </c>
      <c r="BB238" s="23">
        <f>VALUE(0)</f>
        <v>0</v>
      </c>
      <c r="BC238" s="23">
        <f>VALUE(0)</f>
        <v>0</v>
      </c>
      <c r="BD238" s="23">
        <f>VALUE(0)</f>
        <v>0</v>
      </c>
      <c r="BE238" s="23">
        <f>VALUE(0)</f>
        <v>0</v>
      </c>
      <c r="BF238" s="23">
        <f>VALUE(0)</f>
        <v>0</v>
      </c>
      <c r="BG238" s="23">
        <f>VALUE(0)</f>
        <v>0</v>
      </c>
      <c r="BH238" s="23">
        <f>VALUE(0)</f>
        <v>0</v>
      </c>
      <c r="BI238" s="23">
        <f>VALUE(0)</f>
        <v>0</v>
      </c>
      <c r="BJ238" s="23">
        <f>VALUE(0)</f>
        <v>0</v>
      </c>
      <c r="BK238" s="12">
        <f>$AX$238*24</f>
        <v>0</v>
      </c>
      <c r="BL238" s="12">
        <f>$AY$238*24</f>
        <v>3</v>
      </c>
      <c r="BM238" s="12">
        <f>$BJ$238*24</f>
        <v>0</v>
      </c>
      <c r="BN238" s="12">
        <f>VALUE($I$238)/100</f>
        <v>1</v>
      </c>
      <c r="BO238" s="12">
        <v>0</v>
      </c>
      <c r="BP238" s="12">
        <v>0</v>
      </c>
      <c r="BQ238" s="12">
        <v>0</v>
      </c>
      <c r="BR238" s="12">
        <v>0</v>
      </c>
      <c r="BS238" s="12">
        <v>0</v>
      </c>
      <c r="BT238" s="12">
        <v>0</v>
      </c>
      <c r="BU238" s="12">
        <v>0</v>
      </c>
      <c r="BV238" s="12">
        <v>0</v>
      </c>
      <c r="BW238" s="12">
        <v>0</v>
      </c>
      <c r="BX238" s="12">
        <v>0</v>
      </c>
      <c r="BY238" s="12">
        <v>2</v>
      </c>
      <c r="BZ238" s="12">
        <v>0</v>
      </c>
      <c r="CA238" s="12">
        <v>0</v>
      </c>
    </row>
    <row r="239" spans="1:79" x14ac:dyDescent="0.2">
      <c r="A239" s="12" t="s">
        <v>135</v>
      </c>
      <c r="B239" s="12" t="s">
        <v>136</v>
      </c>
      <c r="C239" s="12" t="s">
        <v>136</v>
      </c>
      <c r="D239" s="22" t="s">
        <v>491</v>
      </c>
      <c r="E239" s="22" t="s">
        <v>161</v>
      </c>
      <c r="F239" s="22" t="s">
        <v>970</v>
      </c>
      <c r="G239" s="22" t="s">
        <v>971</v>
      </c>
      <c r="H239" s="22" t="s">
        <v>150</v>
      </c>
      <c r="I239" s="22" t="s">
        <v>151</v>
      </c>
      <c r="J239" s="22" t="s">
        <v>162</v>
      </c>
      <c r="K239" s="22" t="s">
        <v>92</v>
      </c>
      <c r="L239" s="54" t="s">
        <v>153</v>
      </c>
      <c r="M239" s="23" t="s">
        <v>153</v>
      </c>
      <c r="N239" s="24" t="s">
        <v>153</v>
      </c>
      <c r="O239" s="29" t="s">
        <v>163</v>
      </c>
      <c r="P239" s="29" t="s">
        <v>163</v>
      </c>
      <c r="Q239" s="29" t="s">
        <v>163</v>
      </c>
      <c r="R239" s="29" t="s">
        <v>163</v>
      </c>
      <c r="S239" s="29" t="s">
        <v>163</v>
      </c>
      <c r="T239" s="29" t="s">
        <v>163</v>
      </c>
      <c r="U239" s="24" t="s">
        <v>153</v>
      </c>
      <c r="V239" s="54" t="s">
        <v>153</v>
      </c>
      <c r="W239" s="23" t="s">
        <v>153</v>
      </c>
      <c r="X239" s="23" t="s">
        <v>153</v>
      </c>
      <c r="Y239" s="23" t="s">
        <v>153</v>
      </c>
      <c r="Z239" s="23" t="s">
        <v>153</v>
      </c>
      <c r="AA239" s="23" t="s">
        <v>153</v>
      </c>
      <c r="AB239" s="24" t="s">
        <v>153</v>
      </c>
      <c r="AC239" s="23" t="s">
        <v>153</v>
      </c>
      <c r="AD239" s="23" t="s">
        <v>153</v>
      </c>
      <c r="AE239" s="24" t="s">
        <v>156</v>
      </c>
      <c r="AF239" s="24" t="s">
        <v>156</v>
      </c>
      <c r="AG239" s="23" t="s">
        <v>153</v>
      </c>
      <c r="AH239" s="23" t="s">
        <v>153</v>
      </c>
      <c r="AI239" s="24" t="s">
        <v>153</v>
      </c>
      <c r="AJ239" s="23" t="s">
        <v>153</v>
      </c>
      <c r="AK239" s="23" t="s">
        <v>153</v>
      </c>
      <c r="AL239" s="23" t="s">
        <v>153</v>
      </c>
      <c r="AM239" s="23" t="s">
        <v>153</v>
      </c>
      <c r="AN239" s="23" t="s">
        <v>153</v>
      </c>
      <c r="AO239" s="23" t="s">
        <v>153</v>
      </c>
      <c r="AP239" s="23">
        <f>VALUE(0)</f>
        <v>0</v>
      </c>
      <c r="AQ239" s="23">
        <f>VALUE(0)</f>
        <v>0</v>
      </c>
      <c r="AR239" s="23">
        <f>VALUE(6)</f>
        <v>6</v>
      </c>
      <c r="AS239" s="23">
        <f>VALUE(0)</f>
        <v>0</v>
      </c>
      <c r="AT239" s="23">
        <f>VALUE(0)</f>
        <v>0</v>
      </c>
      <c r="AU239" s="23">
        <f>VALUE(0)</f>
        <v>0</v>
      </c>
      <c r="AV239" s="23">
        <f>VALUE(11)</f>
        <v>11</v>
      </c>
      <c r="AW239" s="23">
        <f>VALUE(0)</f>
        <v>0</v>
      </c>
      <c r="AX239" s="23" t="s">
        <v>261</v>
      </c>
      <c r="AY239" s="23" t="s">
        <v>1266</v>
      </c>
      <c r="AZ239" s="23">
        <f>VALUE(0)</f>
        <v>0</v>
      </c>
      <c r="BA239" s="23">
        <f>VALUE(0)</f>
        <v>0</v>
      </c>
      <c r="BB239" s="23">
        <f>VALUE(0)</f>
        <v>0</v>
      </c>
      <c r="BC239" s="23">
        <f>VALUE(0)</f>
        <v>0</v>
      </c>
      <c r="BD239" s="23">
        <f>VALUE(0)</f>
        <v>0</v>
      </c>
      <c r="BE239" s="23">
        <f>VALUE(0)</f>
        <v>0</v>
      </c>
      <c r="BF239" s="23">
        <f>VALUE(0)</f>
        <v>0</v>
      </c>
      <c r="BG239" s="23">
        <f>VALUE(0)</f>
        <v>0</v>
      </c>
      <c r="BH239" s="23">
        <f>VALUE(0)</f>
        <v>0</v>
      </c>
      <c r="BI239" s="23">
        <f>VALUE(0)</f>
        <v>0</v>
      </c>
      <c r="BJ239" s="23">
        <f>VALUE(0)</f>
        <v>0</v>
      </c>
      <c r="BK239" s="12">
        <f>$AX$239*24</f>
        <v>23.333333333333332</v>
      </c>
      <c r="BL239" s="12">
        <f>$AY$239*24</f>
        <v>38.450000000000003</v>
      </c>
      <c r="BM239" s="12">
        <f>$BJ$239*24</f>
        <v>0</v>
      </c>
      <c r="BN239" s="12">
        <f>VALUE($I$239)/100</f>
        <v>1</v>
      </c>
      <c r="BO239" s="12">
        <v>0</v>
      </c>
      <c r="BP239" s="12">
        <v>0</v>
      </c>
      <c r="BQ239" s="12">
        <v>0</v>
      </c>
      <c r="BR239" s="12">
        <v>0</v>
      </c>
      <c r="BS239" s="12">
        <v>0</v>
      </c>
      <c r="BT239" s="12">
        <v>6</v>
      </c>
      <c r="BU239" s="12">
        <v>0</v>
      </c>
      <c r="BV239" s="12">
        <v>0</v>
      </c>
      <c r="BW239" s="12">
        <v>0</v>
      </c>
      <c r="BX239" s="12">
        <v>0</v>
      </c>
      <c r="BY239" s="12">
        <v>0</v>
      </c>
      <c r="BZ239" s="12">
        <v>0</v>
      </c>
      <c r="CA239" s="12">
        <v>0</v>
      </c>
    </row>
    <row r="240" spans="1:79" hidden="1" x14ac:dyDescent="0.2">
      <c r="A240" s="12" t="s">
        <v>135</v>
      </c>
      <c r="B240" s="12" t="s">
        <v>136</v>
      </c>
      <c r="C240" s="12" t="s">
        <v>136</v>
      </c>
      <c r="D240" s="22" t="s">
        <v>498</v>
      </c>
      <c r="E240" s="22" t="s">
        <v>161</v>
      </c>
      <c r="F240" s="22" t="s">
        <v>972</v>
      </c>
      <c r="G240" s="22" t="s">
        <v>973</v>
      </c>
      <c r="H240" s="22" t="s">
        <v>150</v>
      </c>
      <c r="I240" s="22" t="s">
        <v>151</v>
      </c>
      <c r="J240" s="22" t="s">
        <v>162</v>
      </c>
      <c r="K240" s="22" t="s">
        <v>92</v>
      </c>
      <c r="L240" s="54" t="s">
        <v>153</v>
      </c>
      <c r="M240" s="23" t="s">
        <v>153</v>
      </c>
      <c r="N240" s="24" t="s">
        <v>153</v>
      </c>
      <c r="O240" s="23" t="s">
        <v>153</v>
      </c>
      <c r="P240" s="23" t="s">
        <v>153</v>
      </c>
      <c r="Q240" s="23" t="s">
        <v>153</v>
      </c>
      <c r="R240" s="23" t="s">
        <v>153</v>
      </c>
      <c r="S240" s="23" t="s">
        <v>153</v>
      </c>
      <c r="T240" s="23" t="s">
        <v>153</v>
      </c>
      <c r="U240" s="24" t="s">
        <v>153</v>
      </c>
      <c r="V240" s="54" t="s">
        <v>153</v>
      </c>
      <c r="W240" s="23" t="s">
        <v>153</v>
      </c>
      <c r="X240" s="23" t="s">
        <v>153</v>
      </c>
      <c r="Y240" s="23" t="s">
        <v>153</v>
      </c>
      <c r="Z240" s="24" t="s">
        <v>156</v>
      </c>
      <c r="AA240" s="24" t="s">
        <v>156</v>
      </c>
      <c r="AB240" s="24" t="s">
        <v>153</v>
      </c>
      <c r="AC240" s="28" t="s">
        <v>338</v>
      </c>
      <c r="AD240" s="28" t="s">
        <v>338</v>
      </c>
      <c r="AE240" s="28" t="s">
        <v>338</v>
      </c>
      <c r="AF240" s="23" t="s">
        <v>153</v>
      </c>
      <c r="AG240" s="23" t="s">
        <v>153</v>
      </c>
      <c r="AH240" s="23" t="s">
        <v>153</v>
      </c>
      <c r="AI240" s="24" t="s">
        <v>153</v>
      </c>
      <c r="AJ240" s="23" t="s">
        <v>153</v>
      </c>
      <c r="AK240" s="23" t="s">
        <v>153</v>
      </c>
      <c r="AL240" s="23" t="s">
        <v>153</v>
      </c>
      <c r="AM240" s="23" t="s">
        <v>153</v>
      </c>
      <c r="AN240" s="23" t="s">
        <v>153</v>
      </c>
      <c r="AO240" s="23" t="s">
        <v>153</v>
      </c>
      <c r="AP240" s="23">
        <f>VALUE(0)</f>
        <v>0</v>
      </c>
      <c r="AQ240" s="23">
        <f>VALUE(0)</f>
        <v>0</v>
      </c>
      <c r="AR240" s="23">
        <f>VALUE(0)</f>
        <v>0</v>
      </c>
      <c r="AS240" s="23">
        <f>VALUE(0)</f>
        <v>0</v>
      </c>
      <c r="AT240" s="23">
        <f>VALUE(3)</f>
        <v>3</v>
      </c>
      <c r="AU240" s="23">
        <f>VALUE(0)</f>
        <v>0</v>
      </c>
      <c r="AV240" s="23">
        <f>VALUE(6)</f>
        <v>6</v>
      </c>
      <c r="AW240" s="23">
        <f>VALUE(0)</f>
        <v>0</v>
      </c>
      <c r="AX240" s="23" t="s">
        <v>176</v>
      </c>
      <c r="AY240" s="23" t="s">
        <v>499</v>
      </c>
      <c r="AZ240" s="23">
        <f>VALUE(0)</f>
        <v>0</v>
      </c>
      <c r="BA240" s="23">
        <f>VALUE(0)</f>
        <v>0</v>
      </c>
      <c r="BB240" s="23">
        <f>VALUE(0)</f>
        <v>0</v>
      </c>
      <c r="BC240" s="23">
        <f>VALUE(0)</f>
        <v>0</v>
      </c>
      <c r="BD240" s="23">
        <f>VALUE(0)</f>
        <v>0</v>
      </c>
      <c r="BE240" s="23">
        <f>VALUE(0)</f>
        <v>0</v>
      </c>
      <c r="BF240" s="23">
        <f>VALUE(0)</f>
        <v>0</v>
      </c>
      <c r="BG240" s="23">
        <f>VALUE(0)</f>
        <v>0</v>
      </c>
      <c r="BH240" s="23">
        <f>VALUE(0)</f>
        <v>0</v>
      </c>
      <c r="BI240" s="23">
        <f>VALUE(0)</f>
        <v>0</v>
      </c>
      <c r="BJ240" s="23">
        <f>VALUE(0)</f>
        <v>0</v>
      </c>
      <c r="BK240" s="12">
        <f>$AX$240*24</f>
        <v>0</v>
      </c>
      <c r="BL240" s="12">
        <f>$AY$240*24</f>
        <v>16.716666666666665</v>
      </c>
      <c r="BM240" s="12">
        <f>$BJ$240*24</f>
        <v>0</v>
      </c>
      <c r="BN240" s="12">
        <f>VALUE($I$240)/100</f>
        <v>1</v>
      </c>
      <c r="BO240" s="12">
        <v>0</v>
      </c>
      <c r="BP240" s="12">
        <v>0</v>
      </c>
      <c r="BQ240" s="12">
        <v>0</v>
      </c>
      <c r="BR240" s="12">
        <v>0</v>
      </c>
      <c r="BS240" s="12">
        <v>0</v>
      </c>
      <c r="BT240" s="12">
        <v>0</v>
      </c>
      <c r="BU240" s="12">
        <v>0</v>
      </c>
      <c r="BV240" s="12">
        <v>0</v>
      </c>
      <c r="BW240" s="12">
        <v>0</v>
      </c>
      <c r="BX240" s="12">
        <v>0</v>
      </c>
      <c r="BY240" s="12">
        <v>3</v>
      </c>
      <c r="BZ240" s="12">
        <v>0</v>
      </c>
      <c r="CA240" s="12">
        <v>0</v>
      </c>
    </row>
    <row r="241" spans="1:79" x14ac:dyDescent="0.2">
      <c r="A241" s="12" t="s">
        <v>135</v>
      </c>
      <c r="B241" s="12" t="s">
        <v>136</v>
      </c>
      <c r="C241" s="12" t="s">
        <v>136</v>
      </c>
      <c r="D241" s="22" t="s">
        <v>500</v>
      </c>
      <c r="E241" s="22" t="s">
        <v>161</v>
      </c>
      <c r="F241" s="22" t="s">
        <v>974</v>
      </c>
      <c r="G241" s="22" t="s">
        <v>975</v>
      </c>
      <c r="H241" s="22" t="s">
        <v>150</v>
      </c>
      <c r="I241" s="22" t="s">
        <v>151</v>
      </c>
      <c r="J241" s="22" t="s">
        <v>162</v>
      </c>
      <c r="K241" s="22" t="s">
        <v>92</v>
      </c>
      <c r="L241" s="54" t="s">
        <v>156</v>
      </c>
      <c r="M241" s="23" t="s">
        <v>153</v>
      </c>
      <c r="N241" s="24" t="s">
        <v>153</v>
      </c>
      <c r="O241" s="23" t="s">
        <v>153</v>
      </c>
      <c r="P241" s="23" t="s">
        <v>153</v>
      </c>
      <c r="Q241" s="23" t="s">
        <v>153</v>
      </c>
      <c r="R241" s="29" t="s">
        <v>163</v>
      </c>
      <c r="S241" s="29" t="s">
        <v>163</v>
      </c>
      <c r="T241" s="29" t="s">
        <v>163</v>
      </c>
      <c r="U241" s="24" t="s">
        <v>153</v>
      </c>
      <c r="V241" s="54" t="s">
        <v>153</v>
      </c>
      <c r="W241" s="29" t="s">
        <v>163</v>
      </c>
      <c r="X241" s="23" t="s">
        <v>153</v>
      </c>
      <c r="Y241" s="23" t="s">
        <v>153</v>
      </c>
      <c r="Z241" s="23" t="s">
        <v>153</v>
      </c>
      <c r="AA241" s="23" t="s">
        <v>153</v>
      </c>
      <c r="AB241" s="24" t="s">
        <v>153</v>
      </c>
      <c r="AC241" s="23" t="s">
        <v>153</v>
      </c>
      <c r="AD241" s="23" t="s">
        <v>153</v>
      </c>
      <c r="AE241" s="23" t="s">
        <v>153</v>
      </c>
      <c r="AF241" s="23" t="s">
        <v>153</v>
      </c>
      <c r="AG241" s="23" t="s">
        <v>153</v>
      </c>
      <c r="AH241" s="23" t="s">
        <v>153</v>
      </c>
      <c r="AI241" s="24" t="s">
        <v>153</v>
      </c>
      <c r="AJ241" s="24" t="s">
        <v>156</v>
      </c>
      <c r="AK241" s="24" t="s">
        <v>156</v>
      </c>
      <c r="AL241" s="23" t="s">
        <v>153</v>
      </c>
      <c r="AM241" s="23" t="s">
        <v>153</v>
      </c>
      <c r="AN241" s="23" t="s">
        <v>153</v>
      </c>
      <c r="AO241" s="23" t="s">
        <v>153</v>
      </c>
      <c r="AP241" s="23">
        <f>VALUE(0)</f>
        <v>0</v>
      </c>
      <c r="AQ241" s="23">
        <f>VALUE(0)</f>
        <v>0</v>
      </c>
      <c r="AR241" s="23">
        <f>VALUE(4)</f>
        <v>4</v>
      </c>
      <c r="AS241" s="23">
        <f>VALUE(0)</f>
        <v>0</v>
      </c>
      <c r="AT241" s="23">
        <f>VALUE(0)</f>
        <v>0</v>
      </c>
      <c r="AU241" s="23">
        <f>VALUE(0)</f>
        <v>0</v>
      </c>
      <c r="AV241" s="23">
        <f>VALUE(10)</f>
        <v>10</v>
      </c>
      <c r="AW241" s="23">
        <f>VALUE(0)</f>
        <v>0</v>
      </c>
      <c r="AX241" s="23" t="s">
        <v>158</v>
      </c>
      <c r="AY241" s="23" t="s">
        <v>352</v>
      </c>
      <c r="AZ241" s="23">
        <f>VALUE(0)</f>
        <v>0</v>
      </c>
      <c r="BA241" s="23">
        <f>VALUE(0)</f>
        <v>0</v>
      </c>
      <c r="BB241" s="23">
        <f>VALUE(0)</f>
        <v>0</v>
      </c>
      <c r="BC241" s="23">
        <f>VALUE(0)</f>
        <v>0</v>
      </c>
      <c r="BD241" s="23">
        <f>VALUE(0)</f>
        <v>0</v>
      </c>
      <c r="BE241" s="23">
        <f>VALUE(0)</f>
        <v>0</v>
      </c>
      <c r="BF241" s="23">
        <f>VALUE(0)</f>
        <v>0</v>
      </c>
      <c r="BG241" s="23">
        <f>VALUE(0)</f>
        <v>0</v>
      </c>
      <c r="BH241" s="23">
        <f>VALUE(0)</f>
        <v>0</v>
      </c>
      <c r="BI241" s="23">
        <f>VALUE(0)</f>
        <v>0</v>
      </c>
      <c r="BJ241" s="23">
        <f>VALUE(0)</f>
        <v>0</v>
      </c>
      <c r="BK241" s="12">
        <f>$AX$241*24</f>
        <v>11.666666666666666</v>
      </c>
      <c r="BL241" s="12">
        <f>$AY$241*24</f>
        <v>12.183333333333334</v>
      </c>
      <c r="BM241" s="12">
        <f>$BJ$241*24</f>
        <v>0</v>
      </c>
      <c r="BN241" s="12">
        <f>VALUE($I$241)/100</f>
        <v>1</v>
      </c>
      <c r="BO241" s="12">
        <v>0</v>
      </c>
      <c r="BP241" s="12">
        <v>0</v>
      </c>
      <c r="BQ241" s="12">
        <v>0</v>
      </c>
      <c r="BR241" s="12">
        <v>0</v>
      </c>
      <c r="BS241" s="12">
        <v>0</v>
      </c>
      <c r="BT241" s="12">
        <v>4</v>
      </c>
      <c r="BU241" s="12">
        <v>0</v>
      </c>
      <c r="BV241" s="12">
        <v>0</v>
      </c>
      <c r="BW241" s="12">
        <v>0</v>
      </c>
      <c r="BX241" s="12">
        <v>0</v>
      </c>
      <c r="BY241" s="12">
        <v>0</v>
      </c>
      <c r="BZ241" s="12">
        <v>0</v>
      </c>
      <c r="CA241" s="12">
        <v>0</v>
      </c>
    </row>
    <row r="242" spans="1:79" hidden="1" x14ac:dyDescent="0.2">
      <c r="A242" s="12" t="s">
        <v>135</v>
      </c>
      <c r="B242" s="12" t="s">
        <v>136</v>
      </c>
      <c r="C242" s="12" t="s">
        <v>136</v>
      </c>
      <c r="D242" s="22" t="s">
        <v>489</v>
      </c>
      <c r="E242" s="22" t="s">
        <v>161</v>
      </c>
      <c r="F242" s="22" t="s">
        <v>976</v>
      </c>
      <c r="G242" s="22" t="s">
        <v>977</v>
      </c>
      <c r="H242" s="22" t="s">
        <v>150</v>
      </c>
      <c r="I242" s="22" t="s">
        <v>151</v>
      </c>
      <c r="J242" s="22" t="s">
        <v>162</v>
      </c>
      <c r="K242" s="22" t="s">
        <v>92</v>
      </c>
      <c r="L242" s="54" t="s">
        <v>153</v>
      </c>
      <c r="M242" s="23" t="s">
        <v>153</v>
      </c>
      <c r="N242" s="24" t="s">
        <v>153</v>
      </c>
      <c r="O242" s="35" t="s">
        <v>170</v>
      </c>
      <c r="P242" s="35" t="s">
        <v>170</v>
      </c>
      <c r="Q242" s="24" t="s">
        <v>156</v>
      </c>
      <c r="R242" s="24" t="s">
        <v>156</v>
      </c>
      <c r="S242" s="23" t="s">
        <v>153</v>
      </c>
      <c r="T242" s="23" t="s">
        <v>153</v>
      </c>
      <c r="U242" s="24" t="s">
        <v>153</v>
      </c>
      <c r="V242" s="54" t="s">
        <v>153</v>
      </c>
      <c r="W242" s="23" t="s">
        <v>153</v>
      </c>
      <c r="X242" s="23" t="s">
        <v>153</v>
      </c>
      <c r="Y242" s="23" t="s">
        <v>153</v>
      </c>
      <c r="Z242" s="23" t="s">
        <v>153</v>
      </c>
      <c r="AA242" s="23" t="s">
        <v>153</v>
      </c>
      <c r="AB242" s="24" t="s">
        <v>153</v>
      </c>
      <c r="AC242" s="23" t="s">
        <v>153</v>
      </c>
      <c r="AD242" s="23" t="s">
        <v>153</v>
      </c>
      <c r="AE242" s="23" t="s">
        <v>153</v>
      </c>
      <c r="AF242" s="23" t="s">
        <v>153</v>
      </c>
      <c r="AG242" s="23" t="s">
        <v>153</v>
      </c>
      <c r="AH242" s="23" t="s">
        <v>153</v>
      </c>
      <c r="AI242" s="24" t="s">
        <v>153</v>
      </c>
      <c r="AJ242" s="23" t="s">
        <v>153</v>
      </c>
      <c r="AK242" s="23" t="s">
        <v>153</v>
      </c>
      <c r="AL242" s="23" t="s">
        <v>153</v>
      </c>
      <c r="AM242" s="23" t="s">
        <v>153</v>
      </c>
      <c r="AN242" s="23" t="s">
        <v>153</v>
      </c>
      <c r="AO242" s="23" t="s">
        <v>153</v>
      </c>
      <c r="AP242" s="23">
        <f>VALUE(0)</f>
        <v>0</v>
      </c>
      <c r="AQ242" s="23">
        <f>VALUE(0)</f>
        <v>0</v>
      </c>
      <c r="AR242" s="23">
        <f>VALUE(0)</f>
        <v>0</v>
      </c>
      <c r="AS242" s="23">
        <f>VALUE(0)</f>
        <v>0</v>
      </c>
      <c r="AT242" s="23">
        <f>VALUE(0)</f>
        <v>0</v>
      </c>
      <c r="AU242" s="23">
        <f>VALUE(0)</f>
        <v>0</v>
      </c>
      <c r="AV242" s="23">
        <f>VALUE(16)</f>
        <v>16</v>
      </c>
      <c r="AW242" s="23">
        <f>VALUE(0)</f>
        <v>0</v>
      </c>
      <c r="AX242" s="23" t="s">
        <v>171</v>
      </c>
      <c r="AY242" s="23" t="s">
        <v>501</v>
      </c>
      <c r="AZ242" s="23">
        <f>VALUE(0)</f>
        <v>0</v>
      </c>
      <c r="BA242" s="23">
        <f>VALUE(0)</f>
        <v>0</v>
      </c>
      <c r="BB242" s="23">
        <f>VALUE(0)</f>
        <v>0</v>
      </c>
      <c r="BC242" s="23">
        <f>VALUE(0)</f>
        <v>0</v>
      </c>
      <c r="BD242" s="23">
        <f>VALUE(0)</f>
        <v>0</v>
      </c>
      <c r="BE242" s="23">
        <f>VALUE(2)</f>
        <v>2</v>
      </c>
      <c r="BF242" s="23">
        <f>VALUE(0)</f>
        <v>0</v>
      </c>
      <c r="BG242" s="23">
        <f>VALUE(0)</f>
        <v>0</v>
      </c>
      <c r="BH242" s="23">
        <f>VALUE(0)</f>
        <v>0</v>
      </c>
      <c r="BI242" s="23">
        <f>VALUE(0)</f>
        <v>0</v>
      </c>
      <c r="BJ242" s="23">
        <f>VALUE(0)</f>
        <v>0</v>
      </c>
      <c r="BK242" s="12">
        <f>$AX$242*24</f>
        <v>5.833333333333333</v>
      </c>
      <c r="BL242" s="12">
        <f>$AY$242*24</f>
        <v>78.533333333333331</v>
      </c>
      <c r="BM242" s="12">
        <f>$BJ$242*24</f>
        <v>0</v>
      </c>
      <c r="BN242" s="12">
        <f>VALUE($I$242)/100</f>
        <v>1</v>
      </c>
      <c r="BO242" s="12">
        <v>0</v>
      </c>
      <c r="BP242" s="12">
        <v>0</v>
      </c>
      <c r="BQ242" s="12">
        <v>0</v>
      </c>
      <c r="BR242" s="12">
        <v>0</v>
      </c>
      <c r="BS242" s="12">
        <v>0</v>
      </c>
      <c r="BT242" s="12">
        <v>0</v>
      </c>
      <c r="BU242" s="12">
        <v>0</v>
      </c>
      <c r="BV242" s="12">
        <v>0</v>
      </c>
      <c r="BW242" s="12">
        <v>0</v>
      </c>
      <c r="BX242" s="12">
        <v>0</v>
      </c>
      <c r="BY242" s="12">
        <v>0</v>
      </c>
      <c r="BZ242" s="12">
        <v>0</v>
      </c>
      <c r="CA242" s="12">
        <v>0</v>
      </c>
    </row>
    <row r="243" spans="1:79" hidden="1" x14ac:dyDescent="0.2">
      <c r="A243" s="12" t="s">
        <v>135</v>
      </c>
      <c r="B243" s="12" t="s">
        <v>136</v>
      </c>
      <c r="C243" s="12" t="s">
        <v>136</v>
      </c>
      <c r="D243" s="22" t="s">
        <v>502</v>
      </c>
      <c r="E243" s="22" t="s">
        <v>173</v>
      </c>
      <c r="F243" s="22" t="s">
        <v>978</v>
      </c>
      <c r="G243" s="22" t="s">
        <v>979</v>
      </c>
      <c r="H243" s="22" t="s">
        <v>150</v>
      </c>
      <c r="I243" s="22" t="s">
        <v>151</v>
      </c>
      <c r="J243" s="22" t="s">
        <v>162</v>
      </c>
      <c r="K243" s="22" t="s">
        <v>92</v>
      </c>
      <c r="L243" s="54" t="s">
        <v>153</v>
      </c>
      <c r="M243" s="24" t="s">
        <v>156</v>
      </c>
      <c r="N243" s="24" t="s">
        <v>153</v>
      </c>
      <c r="O243" s="23" t="s">
        <v>492</v>
      </c>
      <c r="P243" s="23" t="s">
        <v>492</v>
      </c>
      <c r="Q243" s="23" t="s">
        <v>492</v>
      </c>
      <c r="R243" s="23" t="s">
        <v>492</v>
      </c>
      <c r="S243" s="23" t="s">
        <v>492</v>
      </c>
      <c r="T243" s="23" t="s">
        <v>492</v>
      </c>
      <c r="U243" s="24" t="s">
        <v>153</v>
      </c>
      <c r="V243" s="54" t="s">
        <v>153</v>
      </c>
      <c r="W243" s="23" t="s">
        <v>492</v>
      </c>
      <c r="X243" s="23" t="s">
        <v>492</v>
      </c>
      <c r="Y243" s="23" t="s">
        <v>492</v>
      </c>
      <c r="Z243" s="23" t="s">
        <v>492</v>
      </c>
      <c r="AA243" s="23" t="s">
        <v>492</v>
      </c>
      <c r="AB243" s="24" t="s">
        <v>153</v>
      </c>
      <c r="AC243" s="24" t="s">
        <v>156</v>
      </c>
      <c r="AD243" s="24" t="s">
        <v>156</v>
      </c>
      <c r="AE243" s="23" t="s">
        <v>492</v>
      </c>
      <c r="AF243" s="23" t="s">
        <v>492</v>
      </c>
      <c r="AG243" s="23" t="s">
        <v>492</v>
      </c>
      <c r="AH243" s="23" t="s">
        <v>492</v>
      </c>
      <c r="AI243" s="24" t="s">
        <v>153</v>
      </c>
      <c r="AJ243" s="23" t="s">
        <v>492</v>
      </c>
      <c r="AK243" s="23" t="s">
        <v>492</v>
      </c>
      <c r="AL243" s="23" t="s">
        <v>492</v>
      </c>
      <c r="AM243" s="23" t="s">
        <v>492</v>
      </c>
      <c r="AN243" s="23" t="s">
        <v>492</v>
      </c>
      <c r="AO243" s="23" t="s">
        <v>492</v>
      </c>
      <c r="AP243" s="23">
        <f>VALUE(9)</f>
        <v>9</v>
      </c>
      <c r="AQ243" s="23">
        <f>VALUE(0)</f>
        <v>0</v>
      </c>
      <c r="AR243" s="23">
        <f>VALUE(0)</f>
        <v>0</v>
      </c>
      <c r="AS243" s="23">
        <f>VALUE(0)</f>
        <v>0</v>
      </c>
      <c r="AT243" s="23">
        <f>VALUE(0)</f>
        <v>0</v>
      </c>
      <c r="AU243" s="23">
        <f>VALUE(0)</f>
        <v>0</v>
      </c>
      <c r="AV243" s="23">
        <f>VALUE(8)</f>
        <v>8</v>
      </c>
      <c r="AW243" s="23">
        <f>VALUE(0)</f>
        <v>0</v>
      </c>
      <c r="AX243" s="23" t="s">
        <v>171</v>
      </c>
      <c r="AY243" s="23" t="s">
        <v>425</v>
      </c>
      <c r="AZ243" s="23">
        <f>VALUE(0)</f>
        <v>0</v>
      </c>
      <c r="BA243" s="23">
        <f>VALUE(0)</f>
        <v>0</v>
      </c>
      <c r="BB243" s="23">
        <f>VALUE(0)</f>
        <v>0</v>
      </c>
      <c r="BC243" s="23">
        <f>VALUE(0)</f>
        <v>0</v>
      </c>
      <c r="BD243" s="23">
        <f>VALUE(0)</f>
        <v>0</v>
      </c>
      <c r="BE243" s="23">
        <f>VALUE(0)</f>
        <v>0</v>
      </c>
      <c r="BF243" s="23">
        <f>VALUE(0)</f>
        <v>0</v>
      </c>
      <c r="BG243" s="23">
        <f>VALUE(0)</f>
        <v>0</v>
      </c>
      <c r="BH243" s="23">
        <f>VALUE(0)</f>
        <v>0</v>
      </c>
      <c r="BI243" s="23">
        <f>VALUE(0)</f>
        <v>0</v>
      </c>
      <c r="BJ243" s="23">
        <f>VALUE(0)</f>
        <v>0</v>
      </c>
      <c r="BK243" s="12">
        <f>$AX$243*24</f>
        <v>5.833333333333333</v>
      </c>
      <c r="BL243" s="12">
        <f>$AY$243*24</f>
        <v>1.4166666666666667</v>
      </c>
      <c r="BM243" s="12">
        <f>$BJ$243*24</f>
        <v>0</v>
      </c>
      <c r="BN243" s="12">
        <f>VALUE($I$243)/100</f>
        <v>1</v>
      </c>
      <c r="BO243" s="12">
        <v>0</v>
      </c>
      <c r="BP243" s="12">
        <v>0</v>
      </c>
      <c r="BQ243" s="12">
        <v>0</v>
      </c>
      <c r="BR243" s="12">
        <v>0</v>
      </c>
      <c r="BS243" s="12">
        <v>0</v>
      </c>
      <c r="BT243" s="12">
        <v>0</v>
      </c>
      <c r="BU243" s="12">
        <v>0</v>
      </c>
      <c r="BV243" s="12">
        <v>0</v>
      </c>
      <c r="BW243" s="12">
        <v>0</v>
      </c>
      <c r="BX243" s="12">
        <v>0</v>
      </c>
      <c r="BY243" s="12">
        <v>0</v>
      </c>
      <c r="BZ243" s="12">
        <v>0</v>
      </c>
      <c r="CA243" s="12">
        <v>0</v>
      </c>
    </row>
    <row r="244" spans="1:79" hidden="1" x14ac:dyDescent="0.2">
      <c r="A244" s="12" t="s">
        <v>135</v>
      </c>
      <c r="B244" s="12" t="s">
        <v>136</v>
      </c>
      <c r="C244" s="12" t="s">
        <v>136</v>
      </c>
      <c r="D244" s="22" t="s">
        <v>503</v>
      </c>
      <c r="E244" s="22" t="s">
        <v>159</v>
      </c>
      <c r="F244" s="22" t="s">
        <v>980</v>
      </c>
      <c r="G244" s="22" t="s">
        <v>981</v>
      </c>
      <c r="H244" s="22" t="s">
        <v>150</v>
      </c>
      <c r="I244" s="22" t="s">
        <v>151</v>
      </c>
      <c r="J244" s="22" t="s">
        <v>162</v>
      </c>
      <c r="K244" s="22" t="s">
        <v>92</v>
      </c>
      <c r="L244" s="54" t="s">
        <v>153</v>
      </c>
      <c r="M244" s="23" t="s">
        <v>490</v>
      </c>
      <c r="N244" s="24" t="s">
        <v>153</v>
      </c>
      <c r="O244" s="23" t="s">
        <v>490</v>
      </c>
      <c r="P244" s="23" t="s">
        <v>490</v>
      </c>
      <c r="Q244" s="23" t="s">
        <v>490</v>
      </c>
      <c r="R244" s="23" t="s">
        <v>490</v>
      </c>
      <c r="S244" s="24" t="s">
        <v>156</v>
      </c>
      <c r="T244" s="24" t="s">
        <v>156</v>
      </c>
      <c r="U244" s="24" t="s">
        <v>153</v>
      </c>
      <c r="V244" s="54" t="s">
        <v>153</v>
      </c>
      <c r="W244" s="23" t="s">
        <v>490</v>
      </c>
      <c r="X244" s="23" t="s">
        <v>490</v>
      </c>
      <c r="Y244" s="23" t="s">
        <v>490</v>
      </c>
      <c r="Z244" s="23" t="s">
        <v>490</v>
      </c>
      <c r="AA244" s="23" t="s">
        <v>490</v>
      </c>
      <c r="AB244" s="24" t="s">
        <v>153</v>
      </c>
      <c r="AC244" s="23" t="s">
        <v>490</v>
      </c>
      <c r="AD244" s="23" t="s">
        <v>490</v>
      </c>
      <c r="AE244" s="23" t="s">
        <v>490</v>
      </c>
      <c r="AF244" s="23" t="s">
        <v>490</v>
      </c>
      <c r="AG244" s="23" t="s">
        <v>490</v>
      </c>
      <c r="AH244" s="23" t="s">
        <v>490</v>
      </c>
      <c r="AI244" s="24" t="s">
        <v>153</v>
      </c>
      <c r="AJ244" s="23" t="s">
        <v>490</v>
      </c>
      <c r="AK244" s="23" t="s">
        <v>490</v>
      </c>
      <c r="AL244" s="23" t="s">
        <v>490</v>
      </c>
      <c r="AM244" s="23" t="s">
        <v>490</v>
      </c>
      <c r="AN244" s="23" t="s">
        <v>490</v>
      </c>
      <c r="AO244" s="23" t="s">
        <v>490</v>
      </c>
      <c r="AP244" s="23">
        <f>VALUE(0)</f>
        <v>0</v>
      </c>
      <c r="AQ244" s="23">
        <f>VALUE(0)</f>
        <v>0</v>
      </c>
      <c r="AR244" s="23">
        <f>VALUE(0)</f>
        <v>0</v>
      </c>
      <c r="AS244" s="23">
        <f>VALUE(0)</f>
        <v>0</v>
      </c>
      <c r="AT244" s="23">
        <f>VALUE(0)</f>
        <v>0</v>
      </c>
      <c r="AU244" s="23">
        <f>VALUE(0)</f>
        <v>0</v>
      </c>
      <c r="AV244" s="23">
        <f>VALUE(6)</f>
        <v>6</v>
      </c>
      <c r="AW244" s="23">
        <f>VALUE(0)</f>
        <v>0</v>
      </c>
      <c r="AX244" s="23" t="s">
        <v>171</v>
      </c>
      <c r="AY244" s="23" t="s">
        <v>504</v>
      </c>
      <c r="AZ244" s="23">
        <f>VALUE(0)</f>
        <v>0</v>
      </c>
      <c r="BA244" s="23">
        <f>VALUE(0)</f>
        <v>0</v>
      </c>
      <c r="BB244" s="23">
        <f>VALUE(0)</f>
        <v>0</v>
      </c>
      <c r="BC244" s="23">
        <f>VALUE(0)</f>
        <v>0</v>
      </c>
      <c r="BD244" s="23">
        <f>VALUE(0)</f>
        <v>0</v>
      </c>
      <c r="BE244" s="23">
        <f>VALUE(0)</f>
        <v>0</v>
      </c>
      <c r="BF244" s="23">
        <f>VALUE(0)</f>
        <v>0</v>
      </c>
      <c r="BG244" s="23">
        <f>VALUE(0)</f>
        <v>0</v>
      </c>
      <c r="BH244" s="23">
        <f>VALUE(0)</f>
        <v>0</v>
      </c>
      <c r="BI244" s="23">
        <f>VALUE(0)</f>
        <v>0</v>
      </c>
      <c r="BJ244" s="23">
        <f>VALUE(0)</f>
        <v>0</v>
      </c>
      <c r="BK244" s="12">
        <f>$AX$244*24</f>
        <v>5.833333333333333</v>
      </c>
      <c r="BL244" s="12">
        <f>$AY$244*24</f>
        <v>23.783333333333335</v>
      </c>
      <c r="BM244" s="12">
        <f>$BJ$244*24</f>
        <v>0</v>
      </c>
      <c r="BN244" s="12">
        <f>VALUE($I$244)/100</f>
        <v>1</v>
      </c>
      <c r="BO244" s="12">
        <v>0</v>
      </c>
      <c r="BP244" s="12">
        <v>0</v>
      </c>
      <c r="BQ244" s="12">
        <v>0</v>
      </c>
      <c r="BR244" s="12">
        <v>0</v>
      </c>
      <c r="BS244" s="12">
        <v>0</v>
      </c>
      <c r="BT244" s="12">
        <v>0</v>
      </c>
      <c r="BU244" s="12">
        <v>0</v>
      </c>
      <c r="BV244" s="12">
        <v>0</v>
      </c>
      <c r="BW244" s="12">
        <v>0</v>
      </c>
      <c r="BX244" s="12">
        <v>0</v>
      </c>
      <c r="BY244" s="12">
        <v>0</v>
      </c>
      <c r="BZ244" s="12">
        <v>0</v>
      </c>
      <c r="CA244" s="12">
        <v>0</v>
      </c>
    </row>
    <row r="245" spans="1:79" hidden="1" x14ac:dyDescent="0.2">
      <c r="A245" s="12" t="s">
        <v>135</v>
      </c>
      <c r="B245" s="12" t="s">
        <v>136</v>
      </c>
      <c r="C245" s="12" t="s">
        <v>136</v>
      </c>
      <c r="D245" s="22" t="s">
        <v>505</v>
      </c>
      <c r="E245" s="22" t="s">
        <v>173</v>
      </c>
      <c r="F245" s="22" t="s">
        <v>982</v>
      </c>
      <c r="G245" s="22" t="s">
        <v>983</v>
      </c>
      <c r="H245" s="22" t="s">
        <v>150</v>
      </c>
      <c r="I245" s="22" t="s">
        <v>151</v>
      </c>
      <c r="J245" s="22" t="s">
        <v>162</v>
      </c>
      <c r="K245" s="22" t="s">
        <v>92</v>
      </c>
      <c r="L245" s="54" t="s">
        <v>153</v>
      </c>
      <c r="M245" s="23" t="s">
        <v>492</v>
      </c>
      <c r="N245" s="24" t="s">
        <v>153</v>
      </c>
      <c r="O245" s="23" t="s">
        <v>491</v>
      </c>
      <c r="P245" s="23" t="s">
        <v>491</v>
      </c>
      <c r="Q245" s="23" t="s">
        <v>491</v>
      </c>
      <c r="R245" s="23" t="s">
        <v>491</v>
      </c>
      <c r="S245" s="23" t="s">
        <v>491</v>
      </c>
      <c r="T245" s="23" t="s">
        <v>491</v>
      </c>
      <c r="U245" s="24" t="s">
        <v>153</v>
      </c>
      <c r="V245" s="54" t="s">
        <v>153</v>
      </c>
      <c r="W245" s="23" t="s">
        <v>495</v>
      </c>
      <c r="X245" s="23" t="s">
        <v>153</v>
      </c>
      <c r="Y245" s="23" t="s">
        <v>153</v>
      </c>
      <c r="Z245" s="23" t="s">
        <v>498</v>
      </c>
      <c r="AA245" s="23" t="s">
        <v>498</v>
      </c>
      <c r="AB245" s="24" t="s">
        <v>153</v>
      </c>
      <c r="AC245" s="23" t="s">
        <v>498</v>
      </c>
      <c r="AD245" s="23" t="s">
        <v>498</v>
      </c>
      <c r="AE245" s="23" t="s">
        <v>498</v>
      </c>
      <c r="AF245" s="23" t="s">
        <v>491</v>
      </c>
      <c r="AG245" s="23" t="s">
        <v>494</v>
      </c>
      <c r="AH245" s="23" t="s">
        <v>494</v>
      </c>
      <c r="AI245" s="24" t="s">
        <v>153</v>
      </c>
      <c r="AJ245" s="23" t="s">
        <v>500</v>
      </c>
      <c r="AK245" s="23" t="s">
        <v>500</v>
      </c>
      <c r="AL245" s="23" t="s">
        <v>497</v>
      </c>
      <c r="AM245" s="23" t="s">
        <v>497</v>
      </c>
      <c r="AN245" s="24" t="s">
        <v>156</v>
      </c>
      <c r="AO245" s="24" t="s">
        <v>156</v>
      </c>
      <c r="AP245" s="23">
        <f>VALUE(0)</f>
        <v>0</v>
      </c>
      <c r="AQ245" s="23">
        <f>VALUE(0)</f>
        <v>0</v>
      </c>
      <c r="AR245" s="23">
        <f>VALUE(0)</f>
        <v>0</v>
      </c>
      <c r="AS245" s="23">
        <f>VALUE(0)</f>
        <v>0</v>
      </c>
      <c r="AT245" s="23">
        <f>VALUE(0)</f>
        <v>0</v>
      </c>
      <c r="AU245" s="23">
        <f>VALUE(0)</f>
        <v>0</v>
      </c>
      <c r="AV245" s="23">
        <f>VALUE(10)</f>
        <v>10</v>
      </c>
      <c r="AW245" s="23">
        <f>VALUE(0)</f>
        <v>0</v>
      </c>
      <c r="AX245" s="23" t="s">
        <v>158</v>
      </c>
      <c r="AY245" s="23" t="s">
        <v>171</v>
      </c>
      <c r="AZ245" s="23">
        <f>VALUE(0)</f>
        <v>0</v>
      </c>
      <c r="BA245" s="23">
        <f>VALUE(0)</f>
        <v>0</v>
      </c>
      <c r="BB245" s="23">
        <f>VALUE(0)</f>
        <v>0</v>
      </c>
      <c r="BC245" s="23">
        <f>VALUE(0)</f>
        <v>0</v>
      </c>
      <c r="BD245" s="23">
        <f>VALUE(0)</f>
        <v>0</v>
      </c>
      <c r="BE245" s="23">
        <f>VALUE(0)</f>
        <v>0</v>
      </c>
      <c r="BF245" s="23">
        <f>VALUE(0)</f>
        <v>0</v>
      </c>
      <c r="BG245" s="23">
        <f>VALUE(0)</f>
        <v>0</v>
      </c>
      <c r="BH245" s="23">
        <f>VALUE(0)</f>
        <v>0</v>
      </c>
      <c r="BI245" s="23">
        <f>VALUE(0)</f>
        <v>0</v>
      </c>
      <c r="BJ245" s="23">
        <f>VALUE(0)</f>
        <v>0</v>
      </c>
      <c r="BK245" s="12">
        <f>$AX$245*24</f>
        <v>11.666666666666666</v>
      </c>
      <c r="BL245" s="12">
        <f>$AY$245*24</f>
        <v>5.833333333333333</v>
      </c>
      <c r="BM245" s="12">
        <f>$BJ$245*24</f>
        <v>0</v>
      </c>
      <c r="BN245" s="12">
        <f>VALUE($I$245)/100</f>
        <v>1</v>
      </c>
      <c r="BO245" s="12">
        <v>0</v>
      </c>
      <c r="BP245" s="12">
        <v>0</v>
      </c>
      <c r="BQ245" s="12">
        <v>0</v>
      </c>
      <c r="BR245" s="12">
        <v>0</v>
      </c>
      <c r="BS245" s="12">
        <v>0</v>
      </c>
      <c r="BT245" s="12">
        <v>0</v>
      </c>
      <c r="BU245" s="12">
        <v>0</v>
      </c>
      <c r="BV245" s="12">
        <v>0</v>
      </c>
      <c r="BW245" s="12">
        <v>0</v>
      </c>
      <c r="BX245" s="12">
        <v>0</v>
      </c>
      <c r="BY245" s="12">
        <v>0</v>
      </c>
      <c r="BZ245" s="12">
        <v>0</v>
      </c>
      <c r="CA245" s="12">
        <v>0</v>
      </c>
    </row>
    <row r="246" spans="1:79" hidden="1" x14ac:dyDescent="0.2">
      <c r="A246" s="12" t="s">
        <v>135</v>
      </c>
      <c r="B246" s="12" t="s">
        <v>136</v>
      </c>
      <c r="C246" s="12" t="s">
        <v>136</v>
      </c>
      <c r="D246" s="22" t="s">
        <v>493</v>
      </c>
      <c r="E246" s="22" t="s">
        <v>161</v>
      </c>
      <c r="F246" s="22" t="s">
        <v>984</v>
      </c>
      <c r="G246" s="22" t="s">
        <v>985</v>
      </c>
      <c r="H246" s="22" t="s">
        <v>150</v>
      </c>
      <c r="I246" s="22" t="s">
        <v>1268</v>
      </c>
      <c r="J246" s="22" t="s">
        <v>181</v>
      </c>
      <c r="K246" s="22" t="s">
        <v>92</v>
      </c>
      <c r="L246" s="54" t="s">
        <v>153</v>
      </c>
      <c r="M246" s="24" t="s">
        <v>195</v>
      </c>
      <c r="N246" s="24" t="s">
        <v>153</v>
      </c>
      <c r="O246" s="24" t="s">
        <v>195</v>
      </c>
      <c r="P246" s="23" t="s">
        <v>153</v>
      </c>
      <c r="Q246" s="23" t="s">
        <v>153</v>
      </c>
      <c r="R246" s="23" t="s">
        <v>153</v>
      </c>
      <c r="S246" s="23" t="s">
        <v>153</v>
      </c>
      <c r="T246" s="23" t="s">
        <v>153</v>
      </c>
      <c r="U246" s="24" t="s">
        <v>153</v>
      </c>
      <c r="V246" s="54" t="s">
        <v>153</v>
      </c>
      <c r="W246" s="23" t="s">
        <v>153</v>
      </c>
      <c r="X246" s="23" t="s">
        <v>153</v>
      </c>
      <c r="Y246" s="23" t="s">
        <v>153</v>
      </c>
      <c r="Z246" s="23" t="s">
        <v>153</v>
      </c>
      <c r="AA246" s="24" t="s">
        <v>195</v>
      </c>
      <c r="AB246" s="24" t="s">
        <v>153</v>
      </c>
      <c r="AC246" s="24" t="s">
        <v>195</v>
      </c>
      <c r="AD246" s="23" t="s">
        <v>153</v>
      </c>
      <c r="AE246" s="23" t="s">
        <v>153</v>
      </c>
      <c r="AF246" s="23" t="s">
        <v>153</v>
      </c>
      <c r="AG246" s="23" t="s">
        <v>153</v>
      </c>
      <c r="AH246" s="23" t="s">
        <v>153</v>
      </c>
      <c r="AI246" s="24" t="s">
        <v>153</v>
      </c>
      <c r="AJ246" s="23" t="s">
        <v>153</v>
      </c>
      <c r="AK246" s="23" t="s">
        <v>153</v>
      </c>
      <c r="AL246" s="23" t="s">
        <v>153</v>
      </c>
      <c r="AM246" s="23" t="s">
        <v>153</v>
      </c>
      <c r="AN246" s="23" t="s">
        <v>153</v>
      </c>
      <c r="AO246" s="24" t="s">
        <v>195</v>
      </c>
      <c r="AP246" s="23">
        <f>VALUE(0)</f>
        <v>0</v>
      </c>
      <c r="AQ246" s="23">
        <f>VALUE(0)</f>
        <v>0</v>
      </c>
      <c r="AR246" s="23">
        <f>VALUE(0)</f>
        <v>0</v>
      </c>
      <c r="AS246" s="23">
        <f>VALUE(0)</f>
        <v>0</v>
      </c>
      <c r="AT246" s="23">
        <f>VALUE(0)</f>
        <v>0</v>
      </c>
      <c r="AU246" s="23">
        <f>VALUE(0)</f>
        <v>0</v>
      </c>
      <c r="AV246" s="23">
        <f>VALUE(12)</f>
        <v>12</v>
      </c>
      <c r="AW246" s="23">
        <f>VALUE(0)</f>
        <v>0</v>
      </c>
      <c r="AX246" s="23" t="s">
        <v>506</v>
      </c>
      <c r="AY246" s="23" t="s">
        <v>164</v>
      </c>
      <c r="AZ246" s="23">
        <f>VALUE(0)</f>
        <v>0</v>
      </c>
      <c r="BA246" s="23">
        <f>VALUE(0)</f>
        <v>0</v>
      </c>
      <c r="BB246" s="23">
        <f>VALUE(0)</f>
        <v>0</v>
      </c>
      <c r="BC246" s="23">
        <f>VALUE(0)</f>
        <v>0</v>
      </c>
      <c r="BD246" s="23">
        <f>VALUE(0)</f>
        <v>0</v>
      </c>
      <c r="BE246" s="23">
        <f>VALUE(0)</f>
        <v>0</v>
      </c>
      <c r="BF246" s="23">
        <f>VALUE(0)</f>
        <v>0</v>
      </c>
      <c r="BG246" s="23">
        <f>VALUE(0)</f>
        <v>0</v>
      </c>
      <c r="BH246" s="23">
        <f>VALUE(0)</f>
        <v>0</v>
      </c>
      <c r="BI246" s="23">
        <f>VALUE(0)</f>
        <v>0</v>
      </c>
      <c r="BJ246" s="23">
        <f>VALUE(0)</f>
        <v>0</v>
      </c>
      <c r="BK246" s="12">
        <f>$AX$246*24</f>
        <v>4</v>
      </c>
      <c r="BL246" s="12">
        <f>$AY$246*24</f>
        <v>1.1666666666666667</v>
      </c>
      <c r="BM246" s="12">
        <f>$BJ$246*24</f>
        <v>0</v>
      </c>
      <c r="BN246" s="12">
        <f>VALUE($I$246)/100</f>
        <v>0.68</v>
      </c>
      <c r="BO246" s="12">
        <v>0</v>
      </c>
      <c r="BP246" s="12">
        <v>0</v>
      </c>
      <c r="BQ246" s="12">
        <v>0</v>
      </c>
      <c r="BR246" s="12">
        <v>0</v>
      </c>
      <c r="BS246" s="12">
        <v>0</v>
      </c>
      <c r="BT246" s="12">
        <v>0</v>
      </c>
      <c r="BU246" s="12">
        <v>0</v>
      </c>
      <c r="BV246" s="12">
        <v>0</v>
      </c>
      <c r="BW246" s="12">
        <v>0</v>
      </c>
      <c r="BX246" s="12">
        <v>0</v>
      </c>
      <c r="BY246" s="12">
        <v>0</v>
      </c>
      <c r="BZ246" s="12">
        <v>0</v>
      </c>
      <c r="CA246" s="12">
        <v>0</v>
      </c>
    </row>
    <row r="247" spans="1:79" ht="15" hidden="1" x14ac:dyDescent="0.25">
      <c r="A247" s="12" t="s">
        <v>135</v>
      </c>
      <c r="B247" s="12" t="s">
        <v>136</v>
      </c>
      <c r="C247" s="12" t="s">
        <v>136</v>
      </c>
      <c r="D247" s="31" t="s">
        <v>585</v>
      </c>
      <c r="E247" s="31" t="s">
        <v>153</v>
      </c>
      <c r="F247" s="31" t="s">
        <v>175</v>
      </c>
      <c r="G247" s="31" t="s">
        <v>153</v>
      </c>
      <c r="H247" s="31" t="s">
        <v>153</v>
      </c>
      <c r="I247" s="31" t="s">
        <v>153</v>
      </c>
      <c r="J247" s="31" t="s">
        <v>153</v>
      </c>
      <c r="K247" s="31" t="s">
        <v>153</v>
      </c>
      <c r="L247" s="31">
        <f>VALUE(0)</f>
        <v>0</v>
      </c>
      <c r="M247" s="31">
        <f>VALUE(8)</f>
        <v>8</v>
      </c>
      <c r="N247" s="31">
        <f>VALUE(0)</f>
        <v>0</v>
      </c>
      <c r="O247" s="31">
        <f>VALUE(8)</f>
        <v>8</v>
      </c>
      <c r="P247" s="31">
        <f>VALUE(10)</f>
        <v>10</v>
      </c>
      <c r="Q247" s="31">
        <f>VALUE(10)</f>
        <v>10</v>
      </c>
      <c r="R247" s="31">
        <f>VALUE(9)</f>
        <v>9</v>
      </c>
      <c r="S247" s="31">
        <f>VALUE(9)</f>
        <v>9</v>
      </c>
      <c r="T247" s="31">
        <f>VALUE(9)</f>
        <v>9</v>
      </c>
      <c r="U247" s="31">
        <f>VALUE(0)</f>
        <v>0</v>
      </c>
      <c r="V247" s="31">
        <f>VALUE(0)</f>
        <v>0</v>
      </c>
      <c r="W247" s="31">
        <f>VALUE(9)</f>
        <v>9</v>
      </c>
      <c r="X247" s="31">
        <f>VALUE(10)</f>
        <v>10</v>
      </c>
      <c r="Y247" s="31">
        <f>VALUE(10)</f>
        <v>10</v>
      </c>
      <c r="Z247" s="31">
        <f>VALUE(10)</f>
        <v>10</v>
      </c>
      <c r="AA247" s="31">
        <f>VALUE(8)</f>
        <v>8</v>
      </c>
      <c r="AB247" s="31">
        <f>VALUE(0)</f>
        <v>0</v>
      </c>
      <c r="AC247" s="31">
        <f>VALUE(8)</f>
        <v>8</v>
      </c>
      <c r="AD247" s="31">
        <f>VALUE(10)</f>
        <v>10</v>
      </c>
      <c r="AE247" s="31">
        <f>VALUE(10)</f>
        <v>10</v>
      </c>
      <c r="AF247" s="31">
        <f>VALUE(11)</f>
        <v>11</v>
      </c>
      <c r="AG247" s="31">
        <f>VALUE(11)</f>
        <v>11</v>
      </c>
      <c r="AH247" s="31">
        <f>VALUE(10)</f>
        <v>10</v>
      </c>
      <c r="AI247" s="31">
        <f>VALUE(0)</f>
        <v>0</v>
      </c>
      <c r="AJ247" s="31">
        <f>VALUE(10)</f>
        <v>10</v>
      </c>
      <c r="AK247" s="31">
        <f>VALUE(10)</f>
        <v>10</v>
      </c>
      <c r="AL247" s="31">
        <f>VALUE(10)</f>
        <v>10</v>
      </c>
      <c r="AM247" s="31">
        <f>VALUE(10)</f>
        <v>10</v>
      </c>
      <c r="AN247" s="31">
        <f>VALUE(10)</f>
        <v>10</v>
      </c>
      <c r="AO247" s="31">
        <f>VALUE(9)</f>
        <v>9</v>
      </c>
      <c r="AP247" s="31">
        <v>0</v>
      </c>
      <c r="AQ247" s="31">
        <v>0</v>
      </c>
      <c r="AR247" s="31">
        <v>0</v>
      </c>
      <c r="AS247" s="31">
        <v>0</v>
      </c>
      <c r="AT247" s="31">
        <v>0</v>
      </c>
      <c r="AU247" s="31">
        <v>0</v>
      </c>
      <c r="AV247" s="31">
        <v>0</v>
      </c>
      <c r="AW247" s="31">
        <v>0</v>
      </c>
      <c r="AX247" s="31">
        <v>0</v>
      </c>
      <c r="AY247" s="31">
        <v>0</v>
      </c>
      <c r="AZ247" s="31">
        <v>0</v>
      </c>
      <c r="BA247" s="31">
        <v>0</v>
      </c>
      <c r="BB247" s="31">
        <v>0</v>
      </c>
      <c r="BC247" s="31">
        <v>0</v>
      </c>
      <c r="BD247" s="31">
        <v>0</v>
      </c>
      <c r="BE247" s="31">
        <v>0</v>
      </c>
      <c r="BF247" s="31">
        <v>0</v>
      </c>
      <c r="BG247" s="31">
        <v>0</v>
      </c>
      <c r="BH247" s="31">
        <v>0</v>
      </c>
      <c r="BI247" s="31">
        <v>0</v>
      </c>
      <c r="BJ247" s="31">
        <v>0</v>
      </c>
      <c r="BK247" s="12">
        <v>0</v>
      </c>
      <c r="BL247" s="12">
        <v>0</v>
      </c>
      <c r="BM247" s="12">
        <v>0</v>
      </c>
      <c r="BN247" s="12"/>
      <c r="BO247" s="12">
        <v>0</v>
      </c>
      <c r="BP247" s="12">
        <v>0</v>
      </c>
      <c r="BQ247" s="12">
        <v>0</v>
      </c>
      <c r="BR247" s="12">
        <v>0</v>
      </c>
      <c r="BS247" s="12">
        <v>0</v>
      </c>
      <c r="BT247" s="12">
        <v>0</v>
      </c>
      <c r="BU247" s="12">
        <v>0</v>
      </c>
      <c r="BV247" s="12">
        <v>0</v>
      </c>
      <c r="BW247" s="12">
        <v>0</v>
      </c>
      <c r="BX247" s="12">
        <v>0</v>
      </c>
      <c r="BY247" s="12">
        <v>0</v>
      </c>
      <c r="BZ247" s="12">
        <v>0</v>
      </c>
      <c r="CA247" s="12">
        <v>0</v>
      </c>
    </row>
    <row r="248" spans="1:79" hidden="1" x14ac:dyDescent="0.2">
      <c r="A248" s="12" t="s">
        <v>137</v>
      </c>
      <c r="B248" s="12" t="s">
        <v>138</v>
      </c>
      <c r="C248" s="12" t="s">
        <v>138</v>
      </c>
      <c r="D248" s="22" t="s">
        <v>491</v>
      </c>
      <c r="E248" s="22" t="s">
        <v>161</v>
      </c>
      <c r="F248" s="22" t="s">
        <v>986</v>
      </c>
      <c r="G248" s="22" t="s">
        <v>987</v>
      </c>
      <c r="H248" s="22" t="s">
        <v>150</v>
      </c>
      <c r="I248" s="22" t="s">
        <v>151</v>
      </c>
      <c r="J248" s="22" t="s">
        <v>162</v>
      </c>
      <c r="K248" s="22" t="s">
        <v>93</v>
      </c>
      <c r="L248" s="54" t="s">
        <v>153</v>
      </c>
      <c r="M248" s="23" t="s">
        <v>153</v>
      </c>
      <c r="N248" s="24" t="s">
        <v>153</v>
      </c>
      <c r="O248" s="23" t="s">
        <v>153</v>
      </c>
      <c r="P248" s="23" t="s">
        <v>153</v>
      </c>
      <c r="Q248" s="23" t="s">
        <v>153</v>
      </c>
      <c r="R248" s="23" t="s">
        <v>153</v>
      </c>
      <c r="S248" s="23" t="s">
        <v>153</v>
      </c>
      <c r="T248" s="23" t="s">
        <v>153</v>
      </c>
      <c r="U248" s="24" t="s">
        <v>153</v>
      </c>
      <c r="V248" s="54" t="s">
        <v>156</v>
      </c>
      <c r="W248" s="24" t="s">
        <v>156</v>
      </c>
      <c r="X248" s="28" t="s">
        <v>163</v>
      </c>
      <c r="Y248" s="28" t="s">
        <v>163</v>
      </c>
      <c r="Z248" s="23" t="s">
        <v>153</v>
      </c>
      <c r="AA248" s="23" t="s">
        <v>153</v>
      </c>
      <c r="AB248" s="24" t="s">
        <v>153</v>
      </c>
      <c r="AC248" s="23" t="s">
        <v>153</v>
      </c>
      <c r="AD248" s="23" t="s">
        <v>153</v>
      </c>
      <c r="AE248" s="23" t="s">
        <v>153</v>
      </c>
      <c r="AF248" s="23" t="s">
        <v>153</v>
      </c>
      <c r="AG248" s="23" t="s">
        <v>153</v>
      </c>
      <c r="AH248" s="23" t="s">
        <v>153</v>
      </c>
      <c r="AI248" s="24" t="s">
        <v>153</v>
      </c>
      <c r="AJ248" s="23" t="s">
        <v>153</v>
      </c>
      <c r="AK248" s="23" t="s">
        <v>153</v>
      </c>
      <c r="AL248" s="23" t="s">
        <v>153</v>
      </c>
      <c r="AM248" s="23" t="s">
        <v>153</v>
      </c>
      <c r="AN248" s="23" t="s">
        <v>153</v>
      </c>
      <c r="AO248" s="23" t="s">
        <v>153</v>
      </c>
      <c r="AP248" s="23">
        <f>VALUE(0)</f>
        <v>0</v>
      </c>
      <c r="AQ248" s="23">
        <f>VALUE(0)</f>
        <v>0</v>
      </c>
      <c r="AR248" s="23">
        <f>VALUE(0)</f>
        <v>0</v>
      </c>
      <c r="AS248" s="23">
        <f>VALUE(0)</f>
        <v>0</v>
      </c>
      <c r="AT248" s="23">
        <f>VALUE(0)</f>
        <v>0</v>
      </c>
      <c r="AU248" s="23">
        <f>VALUE(2)</f>
        <v>2</v>
      </c>
      <c r="AV248" s="23">
        <f>VALUE(2)</f>
        <v>2</v>
      </c>
      <c r="AW248" s="23">
        <f>VALUE(0)</f>
        <v>0</v>
      </c>
      <c r="AX248" s="23" t="s">
        <v>158</v>
      </c>
      <c r="AY248" s="23" t="s">
        <v>507</v>
      </c>
      <c r="AZ248" s="23">
        <f>VALUE(0)</f>
        <v>0</v>
      </c>
      <c r="BA248" s="23">
        <f>VALUE(0)</f>
        <v>0</v>
      </c>
      <c r="BB248" s="23">
        <f>VALUE(0)</f>
        <v>0</v>
      </c>
      <c r="BC248" s="23">
        <f>VALUE(0)</f>
        <v>0</v>
      </c>
      <c r="BD248" s="23">
        <f>VALUE(0)</f>
        <v>0</v>
      </c>
      <c r="BE248" s="23">
        <f>VALUE(0)</f>
        <v>0</v>
      </c>
      <c r="BF248" s="23">
        <f>VALUE(0)</f>
        <v>0</v>
      </c>
      <c r="BG248" s="23">
        <f>VALUE(0)</f>
        <v>0</v>
      </c>
      <c r="BH248" s="23">
        <f>VALUE(0)</f>
        <v>0</v>
      </c>
      <c r="BI248" s="23">
        <f>VALUE(0)</f>
        <v>0</v>
      </c>
      <c r="BJ248" s="23">
        <f>VALUE(0)</f>
        <v>0</v>
      </c>
      <c r="BK248" s="12">
        <f>$AX$248*24</f>
        <v>11.666666666666666</v>
      </c>
      <c r="BL248" s="12">
        <f>$AY$248*24</f>
        <v>1.9333333333333336</v>
      </c>
      <c r="BM248" s="12">
        <f>$BJ$248*24</f>
        <v>0</v>
      </c>
      <c r="BN248" s="12">
        <f>VALUE($I$248)/100</f>
        <v>1</v>
      </c>
      <c r="BO248" s="12">
        <v>0</v>
      </c>
      <c r="BP248" s="12">
        <v>0</v>
      </c>
      <c r="BQ248" s="12">
        <v>0</v>
      </c>
      <c r="BR248" s="12">
        <v>0</v>
      </c>
      <c r="BS248" s="12">
        <v>0</v>
      </c>
      <c r="BT248" s="12">
        <v>0</v>
      </c>
      <c r="BU248" s="12">
        <v>0</v>
      </c>
      <c r="BV248" s="12">
        <v>0</v>
      </c>
      <c r="BW248" s="12">
        <v>0</v>
      </c>
      <c r="BX248" s="12">
        <v>0</v>
      </c>
      <c r="BY248" s="12">
        <v>0</v>
      </c>
      <c r="BZ248" s="12">
        <v>0</v>
      </c>
      <c r="CA248" s="12">
        <v>0</v>
      </c>
    </row>
    <row r="249" spans="1:79" hidden="1" x14ac:dyDescent="0.2">
      <c r="A249" s="12" t="s">
        <v>137</v>
      </c>
      <c r="B249" s="12" t="s">
        <v>138</v>
      </c>
      <c r="C249" s="12" t="s">
        <v>138</v>
      </c>
      <c r="D249" s="22" t="s">
        <v>492</v>
      </c>
      <c r="E249" s="22" t="s">
        <v>161</v>
      </c>
      <c r="F249" s="22" t="s">
        <v>988</v>
      </c>
      <c r="G249" s="22" t="s">
        <v>989</v>
      </c>
      <c r="H249" s="22" t="s">
        <v>150</v>
      </c>
      <c r="I249" s="22" t="s">
        <v>151</v>
      </c>
      <c r="J249" s="22" t="s">
        <v>162</v>
      </c>
      <c r="K249" s="22" t="s">
        <v>93</v>
      </c>
      <c r="L249" s="54" t="s">
        <v>153</v>
      </c>
      <c r="M249" s="28" t="s">
        <v>163</v>
      </c>
      <c r="N249" s="24" t="s">
        <v>153</v>
      </c>
      <c r="O249" s="28" t="s">
        <v>163</v>
      </c>
      <c r="P249" s="28" t="s">
        <v>163</v>
      </c>
      <c r="Q249" s="23" t="s">
        <v>153</v>
      </c>
      <c r="R249" s="23" t="s">
        <v>153</v>
      </c>
      <c r="S249" s="23" t="s">
        <v>153</v>
      </c>
      <c r="T249" s="23" t="s">
        <v>153</v>
      </c>
      <c r="U249" s="24" t="s">
        <v>153</v>
      </c>
      <c r="V249" s="54" t="s">
        <v>153</v>
      </c>
      <c r="W249" s="30" t="s">
        <v>28</v>
      </c>
      <c r="X249" s="23" t="s">
        <v>153</v>
      </c>
      <c r="Y249" s="23" t="s">
        <v>153</v>
      </c>
      <c r="Z249" s="23" t="s">
        <v>153</v>
      </c>
      <c r="AA249" s="23" t="s">
        <v>153</v>
      </c>
      <c r="AB249" s="24" t="s">
        <v>153</v>
      </c>
      <c r="AC249" s="23" t="s">
        <v>153</v>
      </c>
      <c r="AD249" s="23" t="s">
        <v>153</v>
      </c>
      <c r="AE249" s="24" t="s">
        <v>156</v>
      </c>
      <c r="AF249" s="24" t="s">
        <v>156</v>
      </c>
      <c r="AG249" s="23" t="s">
        <v>153</v>
      </c>
      <c r="AH249" s="23" t="s">
        <v>153</v>
      </c>
      <c r="AI249" s="24" t="s">
        <v>153</v>
      </c>
      <c r="AJ249" s="23" t="s">
        <v>153</v>
      </c>
      <c r="AK249" s="23" t="s">
        <v>153</v>
      </c>
      <c r="AL249" s="23" t="s">
        <v>153</v>
      </c>
      <c r="AM249" s="23" t="s">
        <v>153</v>
      </c>
      <c r="AN249" s="23" t="s">
        <v>153</v>
      </c>
      <c r="AO249" s="23" t="s">
        <v>153</v>
      </c>
      <c r="AP249" s="23">
        <f>VALUE(0)</f>
        <v>0</v>
      </c>
      <c r="AQ249" s="23">
        <f>VALUE(0)</f>
        <v>0</v>
      </c>
      <c r="AR249" s="23">
        <f>VALUE(0)</f>
        <v>0</v>
      </c>
      <c r="AS249" s="23">
        <f>VALUE(0)</f>
        <v>0</v>
      </c>
      <c r="AT249" s="23">
        <f>VALUE(0)</f>
        <v>0</v>
      </c>
      <c r="AU249" s="23">
        <f>VALUE(3)</f>
        <v>3</v>
      </c>
      <c r="AV249" s="23">
        <f>VALUE(2)</f>
        <v>2</v>
      </c>
      <c r="AW249" s="23">
        <f>VALUE(0)</f>
        <v>0</v>
      </c>
      <c r="AX249" s="23" t="s">
        <v>445</v>
      </c>
      <c r="AY249" s="23" t="s">
        <v>508</v>
      </c>
      <c r="AZ249" s="23">
        <f>VALUE(0)</f>
        <v>0</v>
      </c>
      <c r="BA249" s="23">
        <f>VALUE(0)</f>
        <v>0</v>
      </c>
      <c r="BB249" s="23">
        <f>VALUE(0)</f>
        <v>0</v>
      </c>
      <c r="BC249" s="23">
        <f>VALUE(0)</f>
        <v>0</v>
      </c>
      <c r="BD249" s="23">
        <f>VALUE(0)</f>
        <v>0</v>
      </c>
      <c r="BE249" s="23">
        <f>VALUE(0)</f>
        <v>0</v>
      </c>
      <c r="BF249" s="23">
        <f>VALUE(0)</f>
        <v>0</v>
      </c>
      <c r="BG249" s="23">
        <f>VALUE(0)</f>
        <v>0</v>
      </c>
      <c r="BH249" s="23">
        <f>VALUE(0)</f>
        <v>0</v>
      </c>
      <c r="BI249" s="23">
        <f>VALUE(0)</f>
        <v>0</v>
      </c>
      <c r="BJ249" s="23">
        <f>VALUE(0)</f>
        <v>0</v>
      </c>
      <c r="BK249" s="12">
        <f>$AX$249*24</f>
        <v>17.5</v>
      </c>
      <c r="BL249" s="12">
        <f>$AY$249*24</f>
        <v>6.35</v>
      </c>
      <c r="BM249" s="12">
        <f>$BJ$249*24</f>
        <v>0</v>
      </c>
      <c r="BN249" s="12">
        <f>VALUE($I$249)/100</f>
        <v>1</v>
      </c>
      <c r="BO249" s="12">
        <v>0</v>
      </c>
      <c r="BP249" s="12">
        <v>0</v>
      </c>
      <c r="BQ249" s="12">
        <v>1</v>
      </c>
      <c r="BR249" s="12">
        <v>0</v>
      </c>
      <c r="BS249" s="12">
        <v>0</v>
      </c>
      <c r="BT249" s="12">
        <v>0</v>
      </c>
      <c r="BU249" s="12">
        <v>0</v>
      </c>
      <c r="BV249" s="12">
        <v>0</v>
      </c>
      <c r="BW249" s="12">
        <v>0</v>
      </c>
      <c r="BX249" s="12">
        <v>0</v>
      </c>
      <c r="BY249" s="12">
        <v>0</v>
      </c>
      <c r="BZ249" s="12">
        <v>0</v>
      </c>
      <c r="CA249" s="12">
        <v>0</v>
      </c>
    </row>
    <row r="250" spans="1:79" hidden="1" x14ac:dyDescent="0.2">
      <c r="A250" s="12" t="s">
        <v>137</v>
      </c>
      <c r="B250" s="12" t="s">
        <v>138</v>
      </c>
      <c r="C250" s="12" t="s">
        <v>138</v>
      </c>
      <c r="D250" s="22" t="s">
        <v>500</v>
      </c>
      <c r="E250" s="22" t="s">
        <v>161</v>
      </c>
      <c r="F250" s="22" t="s">
        <v>1269</v>
      </c>
      <c r="G250" s="22" t="s">
        <v>990</v>
      </c>
      <c r="H250" s="22" t="s">
        <v>166</v>
      </c>
      <c r="I250" s="22" t="s">
        <v>151</v>
      </c>
      <c r="J250" s="22" t="s">
        <v>162</v>
      </c>
      <c r="K250" s="22" t="s">
        <v>93</v>
      </c>
      <c r="L250" s="54" t="s">
        <v>153</v>
      </c>
      <c r="M250" s="23" t="s">
        <v>153</v>
      </c>
      <c r="N250" s="24" t="s">
        <v>153</v>
      </c>
      <c r="O250" s="23" t="s">
        <v>153</v>
      </c>
      <c r="P250" s="23" t="s">
        <v>153</v>
      </c>
      <c r="Q250" s="23" t="s">
        <v>153</v>
      </c>
      <c r="R250" s="23" t="s">
        <v>153</v>
      </c>
      <c r="S250" s="23" t="s">
        <v>153</v>
      </c>
      <c r="T250" s="23" t="s">
        <v>153</v>
      </c>
      <c r="U250" s="24" t="s">
        <v>153</v>
      </c>
      <c r="V250" s="54" t="s">
        <v>153</v>
      </c>
      <c r="W250" s="23" t="s">
        <v>153</v>
      </c>
      <c r="X250" s="23" t="s">
        <v>153</v>
      </c>
      <c r="Y250" s="23" t="s">
        <v>153</v>
      </c>
      <c r="Z250" s="24" t="s">
        <v>156</v>
      </c>
      <c r="AA250" s="24" t="s">
        <v>156</v>
      </c>
      <c r="AB250" s="24" t="s">
        <v>153</v>
      </c>
      <c r="AC250" s="28" t="s">
        <v>163</v>
      </c>
      <c r="AD250" s="28" t="s">
        <v>163</v>
      </c>
      <c r="AE250" s="28" t="s">
        <v>163</v>
      </c>
      <c r="AF250" s="28" t="s">
        <v>163</v>
      </c>
      <c r="AG250" s="28" t="s">
        <v>163</v>
      </c>
      <c r="AH250" s="28" t="s">
        <v>163</v>
      </c>
      <c r="AI250" s="24" t="s">
        <v>153</v>
      </c>
      <c r="AJ250" s="23" t="s">
        <v>153</v>
      </c>
      <c r="AK250" s="23" t="s">
        <v>153</v>
      </c>
      <c r="AL250" s="23" t="s">
        <v>153</v>
      </c>
      <c r="AM250" s="23" t="s">
        <v>153</v>
      </c>
      <c r="AN250" s="23" t="s">
        <v>153</v>
      </c>
      <c r="AO250" s="23" t="s">
        <v>153</v>
      </c>
      <c r="AP250" s="23">
        <f>VALUE(0)</f>
        <v>0</v>
      </c>
      <c r="AQ250" s="23">
        <f>VALUE(0)</f>
        <v>0</v>
      </c>
      <c r="AR250" s="23">
        <f>VALUE(0)</f>
        <v>0</v>
      </c>
      <c r="AS250" s="23">
        <f>VALUE(0)</f>
        <v>0</v>
      </c>
      <c r="AT250" s="23">
        <f>VALUE(0)</f>
        <v>0</v>
      </c>
      <c r="AU250" s="23">
        <f>VALUE(6)</f>
        <v>6</v>
      </c>
      <c r="AV250" s="23">
        <f>VALUE(2)</f>
        <v>2</v>
      </c>
      <c r="AW250" s="23">
        <f>VALUE(1)</f>
        <v>1</v>
      </c>
      <c r="AX250" s="23" t="s">
        <v>394</v>
      </c>
      <c r="AY250" s="23">
        <f>VALUE(0)</f>
        <v>0</v>
      </c>
      <c r="AZ250" s="23">
        <f>VALUE(0)</f>
        <v>0</v>
      </c>
      <c r="BA250" s="23">
        <f>VALUE(0)</f>
        <v>0</v>
      </c>
      <c r="BB250" s="23">
        <f>VALUE(0)</f>
        <v>0</v>
      </c>
      <c r="BC250" s="23">
        <f>VALUE(0)</f>
        <v>0</v>
      </c>
      <c r="BD250" s="23">
        <f>VALUE(0)</f>
        <v>0</v>
      </c>
      <c r="BE250" s="23">
        <f>VALUE(0)</f>
        <v>0</v>
      </c>
      <c r="BF250" s="23">
        <f>VALUE(0)</f>
        <v>0</v>
      </c>
      <c r="BG250" s="23">
        <f>VALUE(0)</f>
        <v>0</v>
      </c>
      <c r="BH250" s="23">
        <f>VALUE(0)</f>
        <v>0</v>
      </c>
      <c r="BI250" s="23">
        <f>VALUE(0)</f>
        <v>0</v>
      </c>
      <c r="BJ250" s="23">
        <f>VALUE(0)</f>
        <v>0</v>
      </c>
      <c r="BK250" s="12">
        <f>$AX$250*24</f>
        <v>9.3333333333333339</v>
      </c>
      <c r="BL250" s="12">
        <f>$AY$250*24</f>
        <v>0</v>
      </c>
      <c r="BM250" s="12">
        <f>$BJ$250*24</f>
        <v>0</v>
      </c>
      <c r="BN250" s="12">
        <f>VALUE($I$250)/100</f>
        <v>1</v>
      </c>
      <c r="BO250" s="12">
        <v>0</v>
      </c>
      <c r="BP250" s="12">
        <v>0</v>
      </c>
      <c r="BQ250" s="12">
        <v>0</v>
      </c>
      <c r="BR250" s="12">
        <v>0</v>
      </c>
      <c r="BS250" s="12">
        <v>0</v>
      </c>
      <c r="BT250" s="12">
        <v>0</v>
      </c>
      <c r="BU250" s="12">
        <v>0</v>
      </c>
      <c r="BV250" s="12">
        <v>0</v>
      </c>
      <c r="BW250" s="12">
        <v>0</v>
      </c>
      <c r="BX250" s="12">
        <v>0</v>
      </c>
      <c r="BY250" s="12">
        <v>0</v>
      </c>
      <c r="BZ250" s="12">
        <v>0</v>
      </c>
      <c r="CA250" s="12">
        <v>0</v>
      </c>
    </row>
    <row r="251" spans="1:79" hidden="1" x14ac:dyDescent="0.2">
      <c r="A251" s="12" t="s">
        <v>137</v>
      </c>
      <c r="B251" s="12" t="s">
        <v>138</v>
      </c>
      <c r="C251" s="12" t="s">
        <v>138</v>
      </c>
      <c r="D251" s="22" t="s">
        <v>489</v>
      </c>
      <c r="E251" s="22" t="s">
        <v>161</v>
      </c>
      <c r="F251" s="22" t="s">
        <v>991</v>
      </c>
      <c r="G251" s="22" t="s">
        <v>992</v>
      </c>
      <c r="H251" s="22" t="s">
        <v>150</v>
      </c>
      <c r="I251" s="22" t="s">
        <v>151</v>
      </c>
      <c r="J251" s="22" t="s">
        <v>162</v>
      </c>
      <c r="K251" s="22" t="s">
        <v>93</v>
      </c>
      <c r="L251" s="54" t="s">
        <v>153</v>
      </c>
      <c r="M251" s="23" t="s">
        <v>153</v>
      </c>
      <c r="N251" s="24" t="s">
        <v>153</v>
      </c>
      <c r="O251" s="23" t="s">
        <v>153</v>
      </c>
      <c r="P251" s="23" t="s">
        <v>153</v>
      </c>
      <c r="Q251" s="23" t="s">
        <v>153</v>
      </c>
      <c r="R251" s="23" t="s">
        <v>153</v>
      </c>
      <c r="S251" s="23" t="s">
        <v>153</v>
      </c>
      <c r="T251" s="23" t="s">
        <v>153</v>
      </c>
      <c r="U251" s="24" t="s">
        <v>153</v>
      </c>
      <c r="V251" s="54" t="s">
        <v>153</v>
      </c>
      <c r="W251" s="23" t="s">
        <v>153</v>
      </c>
      <c r="X251" s="23" t="s">
        <v>153</v>
      </c>
      <c r="Y251" s="23" t="s">
        <v>153</v>
      </c>
      <c r="Z251" s="23" t="s">
        <v>153</v>
      </c>
      <c r="AA251" s="23" t="s">
        <v>153</v>
      </c>
      <c r="AB251" s="24" t="s">
        <v>153</v>
      </c>
      <c r="AC251" s="23" t="s">
        <v>153</v>
      </c>
      <c r="AD251" s="23" t="s">
        <v>153</v>
      </c>
      <c r="AE251" s="23" t="s">
        <v>153</v>
      </c>
      <c r="AF251" s="23" t="s">
        <v>153</v>
      </c>
      <c r="AG251" s="23" t="s">
        <v>153</v>
      </c>
      <c r="AH251" s="23" t="s">
        <v>153</v>
      </c>
      <c r="AI251" s="24" t="s">
        <v>153</v>
      </c>
      <c r="AJ251" s="24" t="s">
        <v>156</v>
      </c>
      <c r="AK251" s="24" t="s">
        <v>156</v>
      </c>
      <c r="AL251" s="24" t="s">
        <v>156</v>
      </c>
      <c r="AM251" s="24" t="s">
        <v>156</v>
      </c>
      <c r="AN251" s="23" t="s">
        <v>153</v>
      </c>
      <c r="AO251" s="23" t="s">
        <v>153</v>
      </c>
      <c r="AP251" s="23">
        <f>VALUE(0)</f>
        <v>0</v>
      </c>
      <c r="AQ251" s="23">
        <f>VALUE(0)</f>
        <v>0</v>
      </c>
      <c r="AR251" s="23">
        <f>VALUE(0)</f>
        <v>0</v>
      </c>
      <c r="AS251" s="23">
        <f>VALUE(0)</f>
        <v>0</v>
      </c>
      <c r="AT251" s="23">
        <f>VALUE(0)</f>
        <v>0</v>
      </c>
      <c r="AU251" s="23">
        <f>VALUE(0)</f>
        <v>0</v>
      </c>
      <c r="AV251" s="23">
        <f>VALUE(0)</f>
        <v>0</v>
      </c>
      <c r="AW251" s="23">
        <f>VALUE(0)</f>
        <v>0</v>
      </c>
      <c r="AX251" s="23" t="s">
        <v>290</v>
      </c>
      <c r="AY251" s="23" t="s">
        <v>509</v>
      </c>
      <c r="AZ251" s="23">
        <f>VALUE(0)</f>
        <v>0</v>
      </c>
      <c r="BA251" s="23">
        <f>VALUE(0)</f>
        <v>0</v>
      </c>
      <c r="BB251" s="23">
        <f>VALUE(0)</f>
        <v>0</v>
      </c>
      <c r="BC251" s="23">
        <f>VALUE(0)</f>
        <v>0</v>
      </c>
      <c r="BD251" s="23">
        <f>VALUE(0)</f>
        <v>0</v>
      </c>
      <c r="BE251" s="23">
        <f>VALUE(0)</f>
        <v>0</v>
      </c>
      <c r="BF251" s="23">
        <f>VALUE(0)</f>
        <v>0</v>
      </c>
      <c r="BG251" s="23">
        <f>VALUE(0)</f>
        <v>0</v>
      </c>
      <c r="BH251" s="23">
        <f>VALUE(0)</f>
        <v>0</v>
      </c>
      <c r="BI251" s="23">
        <f>VALUE(0)</f>
        <v>0</v>
      </c>
      <c r="BJ251" s="23">
        <f>VALUE(0)</f>
        <v>0</v>
      </c>
      <c r="BK251" s="12">
        <f>$AX$251*24</f>
        <v>4.4000000000000004</v>
      </c>
      <c r="BL251" s="12">
        <f>$AY$251*24</f>
        <v>5.95</v>
      </c>
      <c r="BM251" s="12">
        <f>$BJ$251*24</f>
        <v>0</v>
      </c>
      <c r="BN251" s="12">
        <f>VALUE($I$251)/100</f>
        <v>1</v>
      </c>
      <c r="BO251" s="12">
        <v>0</v>
      </c>
      <c r="BP251" s="12">
        <v>0</v>
      </c>
      <c r="BQ251" s="12">
        <v>0</v>
      </c>
      <c r="BR251" s="12">
        <v>0</v>
      </c>
      <c r="BS251" s="12">
        <v>0</v>
      </c>
      <c r="BT251" s="12">
        <v>0</v>
      </c>
      <c r="BU251" s="12">
        <v>0</v>
      </c>
      <c r="BV251" s="12">
        <v>0</v>
      </c>
      <c r="BW251" s="12">
        <v>0</v>
      </c>
      <c r="BX251" s="12">
        <v>0</v>
      </c>
      <c r="BY251" s="12">
        <v>0</v>
      </c>
      <c r="BZ251" s="12">
        <v>0</v>
      </c>
      <c r="CA251" s="12">
        <v>0</v>
      </c>
    </row>
    <row r="252" spans="1:79" hidden="1" x14ac:dyDescent="0.2">
      <c r="A252" s="12" t="s">
        <v>137</v>
      </c>
      <c r="B252" s="12" t="s">
        <v>138</v>
      </c>
      <c r="C252" s="12" t="s">
        <v>138</v>
      </c>
      <c r="D252" s="22" t="s">
        <v>510</v>
      </c>
      <c r="E252" s="22" t="s">
        <v>161</v>
      </c>
      <c r="F252" s="22" t="s">
        <v>993</v>
      </c>
      <c r="G252" s="22" t="s">
        <v>994</v>
      </c>
      <c r="H252" s="22" t="s">
        <v>166</v>
      </c>
      <c r="I252" s="22" t="s">
        <v>151</v>
      </c>
      <c r="J252" s="22" t="s">
        <v>162</v>
      </c>
      <c r="K252" s="22" t="s">
        <v>93</v>
      </c>
      <c r="L252" s="54" t="s">
        <v>156</v>
      </c>
      <c r="M252" s="23" t="s">
        <v>153</v>
      </c>
      <c r="N252" s="24" t="s">
        <v>153</v>
      </c>
      <c r="O252" s="23" t="s">
        <v>153</v>
      </c>
      <c r="P252" s="23" t="s">
        <v>153</v>
      </c>
      <c r="Q252" s="23" t="s">
        <v>153</v>
      </c>
      <c r="R252" s="23" t="s">
        <v>153</v>
      </c>
      <c r="S252" s="23" t="s">
        <v>153</v>
      </c>
      <c r="T252" s="23" t="s">
        <v>153</v>
      </c>
      <c r="U252" s="24" t="s">
        <v>153</v>
      </c>
      <c r="V252" s="54" t="s">
        <v>153</v>
      </c>
      <c r="W252" s="23" t="s">
        <v>153</v>
      </c>
      <c r="X252" s="23" t="s">
        <v>153</v>
      </c>
      <c r="Y252" s="23" t="s">
        <v>153</v>
      </c>
      <c r="Z252" s="23" t="s">
        <v>153</v>
      </c>
      <c r="AA252" s="24" t="s">
        <v>156</v>
      </c>
      <c r="AB252" s="24" t="s">
        <v>153</v>
      </c>
      <c r="AC252" s="24" t="s">
        <v>156</v>
      </c>
      <c r="AD252" s="24" t="s">
        <v>156</v>
      </c>
      <c r="AE252" s="23" t="s">
        <v>153</v>
      </c>
      <c r="AF252" s="23" t="s">
        <v>153</v>
      </c>
      <c r="AG252" s="23" t="s">
        <v>153</v>
      </c>
      <c r="AH252" s="23" t="s">
        <v>153</v>
      </c>
      <c r="AI252" s="24" t="s">
        <v>153</v>
      </c>
      <c r="AJ252" s="23" t="s">
        <v>153</v>
      </c>
      <c r="AK252" s="23" t="s">
        <v>153</v>
      </c>
      <c r="AL252" s="23" t="s">
        <v>153</v>
      </c>
      <c r="AM252" s="23" t="s">
        <v>153</v>
      </c>
      <c r="AN252" s="23" t="s">
        <v>153</v>
      </c>
      <c r="AO252" s="23" t="s">
        <v>153</v>
      </c>
      <c r="AP252" s="23">
        <f>VALUE(0)</f>
        <v>0</v>
      </c>
      <c r="AQ252" s="23">
        <f>VALUE(0)</f>
        <v>0</v>
      </c>
      <c r="AR252" s="23">
        <f>VALUE(0)</f>
        <v>0</v>
      </c>
      <c r="AS252" s="23">
        <f>VALUE(0)</f>
        <v>0</v>
      </c>
      <c r="AT252" s="23">
        <f>VALUE(0)</f>
        <v>0</v>
      </c>
      <c r="AU252" s="23">
        <f>VALUE(0)</f>
        <v>0</v>
      </c>
      <c r="AV252" s="23">
        <f>VALUE(2.5)</f>
        <v>2.5</v>
      </c>
      <c r="AW252" s="23">
        <f>VALUE(0)</f>
        <v>0</v>
      </c>
      <c r="AX252" s="23" t="s">
        <v>1270</v>
      </c>
      <c r="AY252" s="23">
        <f>VALUE(0)</f>
        <v>0</v>
      </c>
      <c r="AZ252" s="23">
        <f>VALUE(0)</f>
        <v>0</v>
      </c>
      <c r="BA252" s="23">
        <f>VALUE(0)</f>
        <v>0</v>
      </c>
      <c r="BB252" s="23">
        <f>VALUE(0)</f>
        <v>0</v>
      </c>
      <c r="BC252" s="23">
        <f>VALUE(0)</f>
        <v>0</v>
      </c>
      <c r="BD252" s="23">
        <f>VALUE(0)</f>
        <v>0</v>
      </c>
      <c r="BE252" s="23">
        <f>VALUE(0)</f>
        <v>0</v>
      </c>
      <c r="BF252" s="23">
        <f>VALUE(0)</f>
        <v>0</v>
      </c>
      <c r="BG252" s="23">
        <f>VALUE(0)</f>
        <v>0</v>
      </c>
      <c r="BH252" s="23">
        <f>VALUE(0)</f>
        <v>0</v>
      </c>
      <c r="BI252" s="23">
        <f>VALUE(0)</f>
        <v>0</v>
      </c>
      <c r="BJ252" s="23">
        <f>VALUE(0)</f>
        <v>0</v>
      </c>
      <c r="BK252" s="12">
        <f>$AX$252*24</f>
        <v>2</v>
      </c>
      <c r="BL252" s="12">
        <f>$AY$252*24</f>
        <v>0</v>
      </c>
      <c r="BM252" s="12">
        <f>$BJ$252*24</f>
        <v>0</v>
      </c>
      <c r="BN252" s="12">
        <f>VALUE($I$252)/100</f>
        <v>1</v>
      </c>
      <c r="BO252" s="12">
        <v>0</v>
      </c>
      <c r="BP252" s="12">
        <v>0</v>
      </c>
      <c r="BQ252" s="12">
        <v>0</v>
      </c>
      <c r="BR252" s="12">
        <v>0</v>
      </c>
      <c r="BS252" s="12">
        <v>0</v>
      </c>
      <c r="BT252" s="12">
        <v>0</v>
      </c>
      <c r="BU252" s="12">
        <v>0</v>
      </c>
      <c r="BV252" s="12">
        <v>0</v>
      </c>
      <c r="BW252" s="12">
        <v>0</v>
      </c>
      <c r="BX252" s="12">
        <v>0</v>
      </c>
      <c r="BY252" s="12">
        <v>0</v>
      </c>
      <c r="BZ252" s="12">
        <v>0</v>
      </c>
      <c r="CA252" s="12">
        <v>0</v>
      </c>
    </row>
    <row r="253" spans="1:79" hidden="1" x14ac:dyDescent="0.2">
      <c r="A253" s="12" t="s">
        <v>137</v>
      </c>
      <c r="B253" s="12" t="s">
        <v>138</v>
      </c>
      <c r="C253" s="12" t="s">
        <v>138</v>
      </c>
      <c r="D253" s="22" t="s">
        <v>1271</v>
      </c>
      <c r="E253" s="22" t="s">
        <v>159</v>
      </c>
      <c r="F253" s="22" t="s">
        <v>995</v>
      </c>
      <c r="G253" s="22" t="s">
        <v>996</v>
      </c>
      <c r="H253" s="22" t="s">
        <v>150</v>
      </c>
      <c r="I253" s="22" t="s">
        <v>151</v>
      </c>
      <c r="J253" s="22" t="s">
        <v>162</v>
      </c>
      <c r="K253" s="22" t="s">
        <v>93</v>
      </c>
      <c r="L253" s="54" t="s">
        <v>153</v>
      </c>
      <c r="M253" s="28" t="s">
        <v>163</v>
      </c>
      <c r="N253" s="24" t="s">
        <v>153</v>
      </c>
      <c r="O253" s="25" t="s">
        <v>511</v>
      </c>
      <c r="P253" s="25" t="s">
        <v>511</v>
      </c>
      <c r="Q253" s="24" t="s">
        <v>156</v>
      </c>
      <c r="R253" s="24" t="s">
        <v>156</v>
      </c>
      <c r="S253" s="23" t="s">
        <v>490</v>
      </c>
      <c r="T253" s="23" t="s">
        <v>490</v>
      </c>
      <c r="U253" s="24" t="s">
        <v>153</v>
      </c>
      <c r="V253" s="54" t="s">
        <v>153</v>
      </c>
      <c r="W253" s="25" t="s">
        <v>513</v>
      </c>
      <c r="X253" s="23" t="s">
        <v>511</v>
      </c>
      <c r="Y253" s="23" t="s">
        <v>511</v>
      </c>
      <c r="Z253" s="23" t="s">
        <v>500</v>
      </c>
      <c r="AA253" s="23" t="s">
        <v>500</v>
      </c>
      <c r="AB253" s="24" t="s">
        <v>153</v>
      </c>
      <c r="AC253" s="23" t="s">
        <v>500</v>
      </c>
      <c r="AD253" s="23" t="s">
        <v>500</v>
      </c>
      <c r="AE253" s="23" t="s">
        <v>500</v>
      </c>
      <c r="AF253" s="23" t="s">
        <v>500</v>
      </c>
      <c r="AG253" s="23" t="s">
        <v>500</v>
      </c>
      <c r="AH253" s="23" t="s">
        <v>500</v>
      </c>
      <c r="AI253" s="24" t="s">
        <v>153</v>
      </c>
      <c r="AJ253" s="25" t="s">
        <v>522</v>
      </c>
      <c r="AK253" s="25" t="s">
        <v>522</v>
      </c>
      <c r="AL253" s="23" t="s">
        <v>498</v>
      </c>
      <c r="AM253" s="23" t="s">
        <v>498</v>
      </c>
      <c r="AN253" s="24" t="s">
        <v>156</v>
      </c>
      <c r="AO253" s="24" t="s">
        <v>156</v>
      </c>
      <c r="AP253" s="23">
        <f>VALUE(0)</f>
        <v>0</v>
      </c>
      <c r="AQ253" s="23">
        <f>VALUE(0)</f>
        <v>0</v>
      </c>
      <c r="AR253" s="23">
        <f>VALUE(0)</f>
        <v>0</v>
      </c>
      <c r="AS253" s="23">
        <f>VALUE(0)</f>
        <v>0</v>
      </c>
      <c r="AT253" s="23">
        <f>VALUE(0)</f>
        <v>0</v>
      </c>
      <c r="AU253" s="23">
        <f>VALUE(1)</f>
        <v>1</v>
      </c>
      <c r="AV253" s="23">
        <f>VALUE(3)</f>
        <v>3</v>
      </c>
      <c r="AW253" s="23">
        <f>VALUE(0)</f>
        <v>0</v>
      </c>
      <c r="AX253" s="23" t="s">
        <v>176</v>
      </c>
      <c r="AY253" s="23">
        <f>VALUE(0)</f>
        <v>0</v>
      </c>
      <c r="AZ253" s="23">
        <f>VALUE(0)</f>
        <v>0</v>
      </c>
      <c r="BA253" s="23">
        <f>VALUE(0)</f>
        <v>0</v>
      </c>
      <c r="BB253" s="23">
        <f>VALUE(0)</f>
        <v>0</v>
      </c>
      <c r="BC253" s="23">
        <f>VALUE(0)</f>
        <v>0</v>
      </c>
      <c r="BD253" s="23">
        <f>VALUE(0)</f>
        <v>0</v>
      </c>
      <c r="BE253" s="23">
        <f>VALUE(0)</f>
        <v>0</v>
      </c>
      <c r="BF253" s="23">
        <f>VALUE(0)</f>
        <v>0</v>
      </c>
      <c r="BG253" s="23">
        <f>VALUE(0)</f>
        <v>0</v>
      </c>
      <c r="BH253" s="23">
        <f>VALUE(0)</f>
        <v>0</v>
      </c>
      <c r="BI253" s="23">
        <f>VALUE(0)</f>
        <v>0</v>
      </c>
      <c r="BJ253" s="23">
        <f>VALUE(0)</f>
        <v>0</v>
      </c>
      <c r="BK253" s="12">
        <f>$AX$253*24</f>
        <v>0</v>
      </c>
      <c r="BL253" s="12">
        <f>$AY$253*24</f>
        <v>0</v>
      </c>
      <c r="BM253" s="12">
        <f>$BJ$253*24</f>
        <v>0</v>
      </c>
      <c r="BN253" s="12">
        <f>VALUE($I$253)/100</f>
        <v>1</v>
      </c>
      <c r="BO253" s="12">
        <v>0</v>
      </c>
      <c r="BP253" s="12">
        <v>0</v>
      </c>
      <c r="BQ253" s="12">
        <v>0</v>
      </c>
      <c r="BR253" s="12">
        <v>0</v>
      </c>
      <c r="BS253" s="12">
        <v>0</v>
      </c>
      <c r="BT253" s="12">
        <v>0</v>
      </c>
      <c r="BU253" s="12">
        <v>0</v>
      </c>
      <c r="BV253" s="12">
        <v>0</v>
      </c>
      <c r="BW253" s="12">
        <v>0</v>
      </c>
      <c r="BX253" s="12">
        <v>0</v>
      </c>
      <c r="BY253" s="12">
        <v>0</v>
      </c>
      <c r="BZ253" s="12">
        <v>0</v>
      </c>
      <c r="CA253" s="12">
        <v>0</v>
      </c>
    </row>
    <row r="254" spans="1:79" hidden="1" x14ac:dyDescent="0.2">
      <c r="A254" s="12" t="s">
        <v>137</v>
      </c>
      <c r="B254" s="12" t="s">
        <v>138</v>
      </c>
      <c r="C254" s="12" t="s">
        <v>138</v>
      </c>
      <c r="D254" s="22" t="s">
        <v>307</v>
      </c>
      <c r="E254" s="22" t="s">
        <v>173</v>
      </c>
      <c r="F254" s="22" t="s">
        <v>997</v>
      </c>
      <c r="G254" s="22" t="s">
        <v>998</v>
      </c>
      <c r="H254" s="22" t="s">
        <v>150</v>
      </c>
      <c r="I254" s="22" t="s">
        <v>151</v>
      </c>
      <c r="J254" s="22" t="s">
        <v>162</v>
      </c>
      <c r="K254" s="22" t="s">
        <v>93</v>
      </c>
      <c r="L254" s="54" t="s">
        <v>153</v>
      </c>
      <c r="M254" s="23" t="s">
        <v>497</v>
      </c>
      <c r="N254" s="24" t="s">
        <v>153</v>
      </c>
      <c r="O254" s="28" t="s">
        <v>163</v>
      </c>
      <c r="P254" s="28" t="s">
        <v>163</v>
      </c>
      <c r="Q254" s="28" t="s">
        <v>163</v>
      </c>
      <c r="R254" s="28" t="s">
        <v>163</v>
      </c>
      <c r="S254" s="28" t="s">
        <v>163</v>
      </c>
      <c r="T254" s="28" t="s">
        <v>163</v>
      </c>
      <c r="U254" s="24" t="s">
        <v>153</v>
      </c>
      <c r="V254" s="54" t="s">
        <v>153</v>
      </c>
      <c r="W254" s="23" t="s">
        <v>492</v>
      </c>
      <c r="X254" s="24" t="s">
        <v>156</v>
      </c>
      <c r="Y254" s="24" t="s">
        <v>156</v>
      </c>
      <c r="Z254" s="25" t="s">
        <v>510</v>
      </c>
      <c r="AA254" s="23" t="s">
        <v>510</v>
      </c>
      <c r="AB254" s="24" t="s">
        <v>153</v>
      </c>
      <c r="AC254" s="23" t="s">
        <v>510</v>
      </c>
      <c r="AD254" s="23" t="s">
        <v>510</v>
      </c>
      <c r="AE254" s="23" t="s">
        <v>492</v>
      </c>
      <c r="AF254" s="23" t="s">
        <v>492</v>
      </c>
      <c r="AG254" s="23" t="s">
        <v>493</v>
      </c>
      <c r="AH254" s="23" t="s">
        <v>493</v>
      </c>
      <c r="AI254" s="24" t="s">
        <v>153</v>
      </c>
      <c r="AJ254" s="23" t="s">
        <v>489</v>
      </c>
      <c r="AK254" s="23" t="s">
        <v>489</v>
      </c>
      <c r="AL254" s="23" t="s">
        <v>489</v>
      </c>
      <c r="AM254" s="23" t="s">
        <v>489</v>
      </c>
      <c r="AN254" s="25" t="s">
        <v>513</v>
      </c>
      <c r="AO254" s="25" t="s">
        <v>513</v>
      </c>
      <c r="AP254" s="23">
        <f>VALUE(0)</f>
        <v>0</v>
      </c>
      <c r="AQ254" s="23">
        <f>VALUE(0)</f>
        <v>0</v>
      </c>
      <c r="AR254" s="23">
        <f>VALUE(0)</f>
        <v>0</v>
      </c>
      <c r="AS254" s="23">
        <f>VALUE(0)</f>
        <v>0</v>
      </c>
      <c r="AT254" s="23">
        <f>VALUE(0)</f>
        <v>0</v>
      </c>
      <c r="AU254" s="23">
        <f>VALUE(6)</f>
        <v>6</v>
      </c>
      <c r="AV254" s="23">
        <f>VALUE(2)</f>
        <v>2</v>
      </c>
      <c r="AW254" s="23">
        <f>VALUE(0)</f>
        <v>0</v>
      </c>
      <c r="AX254" s="23" t="s">
        <v>158</v>
      </c>
      <c r="AY254" s="23" t="s">
        <v>345</v>
      </c>
      <c r="AZ254" s="23">
        <f>VALUE(0)</f>
        <v>0</v>
      </c>
      <c r="BA254" s="23">
        <f>VALUE(0)</f>
        <v>0</v>
      </c>
      <c r="BB254" s="23">
        <f>VALUE(0)</f>
        <v>0</v>
      </c>
      <c r="BC254" s="23">
        <f>VALUE(0)</f>
        <v>0</v>
      </c>
      <c r="BD254" s="23">
        <f>VALUE(0)</f>
        <v>0</v>
      </c>
      <c r="BE254" s="23">
        <f>VALUE(0)</f>
        <v>0</v>
      </c>
      <c r="BF254" s="23">
        <f>VALUE(0)</f>
        <v>0</v>
      </c>
      <c r="BG254" s="23">
        <f>VALUE(0)</f>
        <v>0</v>
      </c>
      <c r="BH254" s="23">
        <f>VALUE(0)</f>
        <v>0</v>
      </c>
      <c r="BI254" s="23">
        <f>VALUE(0)</f>
        <v>0</v>
      </c>
      <c r="BJ254" s="23">
        <f>VALUE(0)</f>
        <v>0</v>
      </c>
      <c r="BK254" s="12">
        <f>$AX$254*24</f>
        <v>11.666666666666666</v>
      </c>
      <c r="BL254" s="12">
        <f>$AY$254*24</f>
        <v>0.25</v>
      </c>
      <c r="BM254" s="12">
        <f>$BJ$254*24</f>
        <v>0</v>
      </c>
      <c r="BN254" s="12">
        <f>VALUE($I$254)/100</f>
        <v>1</v>
      </c>
      <c r="BO254" s="12">
        <v>0</v>
      </c>
      <c r="BP254" s="12">
        <v>0</v>
      </c>
      <c r="BQ254" s="12">
        <v>0</v>
      </c>
      <c r="BR254" s="12">
        <v>0</v>
      </c>
      <c r="BS254" s="12">
        <v>0</v>
      </c>
      <c r="BT254" s="12">
        <v>0</v>
      </c>
      <c r="BU254" s="12">
        <v>0</v>
      </c>
      <c r="BV254" s="12">
        <v>0</v>
      </c>
      <c r="BW254" s="12">
        <v>0</v>
      </c>
      <c r="BX254" s="12">
        <v>0</v>
      </c>
      <c r="BY254" s="12">
        <v>0</v>
      </c>
      <c r="BZ254" s="12">
        <v>0</v>
      </c>
      <c r="CA254" s="12">
        <v>0</v>
      </c>
    </row>
    <row r="255" spans="1:79" hidden="1" x14ac:dyDescent="0.2">
      <c r="A255" s="12" t="s">
        <v>137</v>
      </c>
      <c r="B255" s="12" t="s">
        <v>138</v>
      </c>
      <c r="C255" s="12" t="s">
        <v>138</v>
      </c>
      <c r="D255" s="22" t="s">
        <v>493</v>
      </c>
      <c r="E255" s="22" t="s">
        <v>161</v>
      </c>
      <c r="F255" s="22" t="s">
        <v>999</v>
      </c>
      <c r="G255" s="22" t="s">
        <v>1000</v>
      </c>
      <c r="H255" s="22" t="s">
        <v>166</v>
      </c>
      <c r="I255" s="22" t="s">
        <v>151</v>
      </c>
      <c r="J255" s="22" t="s">
        <v>181</v>
      </c>
      <c r="K255" s="22" t="s">
        <v>93</v>
      </c>
      <c r="L255" s="54" t="s">
        <v>153</v>
      </c>
      <c r="M255" s="23" t="s">
        <v>153</v>
      </c>
      <c r="N255" s="24" t="s">
        <v>153</v>
      </c>
      <c r="O255" s="23" t="s">
        <v>153</v>
      </c>
      <c r="P255" s="23" t="s">
        <v>153</v>
      </c>
      <c r="Q255" s="23" t="s">
        <v>153</v>
      </c>
      <c r="R255" s="23" t="s">
        <v>153</v>
      </c>
      <c r="S255" s="23" t="s">
        <v>153</v>
      </c>
      <c r="T255" s="23" t="s">
        <v>153</v>
      </c>
      <c r="U255" s="24" t="s">
        <v>153</v>
      </c>
      <c r="V255" s="54" t="s">
        <v>153</v>
      </c>
      <c r="W255" s="23" t="s">
        <v>153</v>
      </c>
      <c r="X255" s="23" t="s">
        <v>153</v>
      </c>
      <c r="Y255" s="23" t="s">
        <v>153</v>
      </c>
      <c r="Z255" s="23" t="s">
        <v>153</v>
      </c>
      <c r="AA255" s="23" t="s">
        <v>153</v>
      </c>
      <c r="AB255" s="24" t="s">
        <v>153</v>
      </c>
      <c r="AC255" s="23" t="s">
        <v>153</v>
      </c>
      <c r="AD255" s="23" t="s">
        <v>153</v>
      </c>
      <c r="AE255" s="23" t="s">
        <v>153</v>
      </c>
      <c r="AF255" s="23" t="s">
        <v>153</v>
      </c>
      <c r="AG255" s="24" t="s">
        <v>156</v>
      </c>
      <c r="AH255" s="24" t="s">
        <v>156</v>
      </c>
      <c r="AI255" s="24" t="s">
        <v>153</v>
      </c>
      <c r="AJ255" s="23" t="s">
        <v>153</v>
      </c>
      <c r="AK255" s="23" t="s">
        <v>153</v>
      </c>
      <c r="AL255" s="23" t="s">
        <v>153</v>
      </c>
      <c r="AM255" s="23" t="s">
        <v>153</v>
      </c>
      <c r="AN255" s="23" t="s">
        <v>153</v>
      </c>
      <c r="AO255" s="23" t="s">
        <v>153</v>
      </c>
      <c r="AP255" s="23">
        <f>VALUE(0)</f>
        <v>0</v>
      </c>
      <c r="AQ255" s="23">
        <f>VALUE(0)</f>
        <v>0</v>
      </c>
      <c r="AR255" s="23">
        <f>VALUE(0)</f>
        <v>0</v>
      </c>
      <c r="AS255" s="23">
        <f>VALUE(0)</f>
        <v>0</v>
      </c>
      <c r="AT255" s="23">
        <f>VALUE(0)</f>
        <v>0</v>
      </c>
      <c r="AU255" s="23">
        <f>VALUE(0)</f>
        <v>0</v>
      </c>
      <c r="AV255" s="23">
        <f>VALUE(0)</f>
        <v>0</v>
      </c>
      <c r="AW255" s="23">
        <f>VALUE(0)</f>
        <v>0</v>
      </c>
      <c r="AX255" s="23" t="s">
        <v>1272</v>
      </c>
      <c r="AY255" s="23">
        <f>VALUE(0)</f>
        <v>0</v>
      </c>
      <c r="AZ255" s="23">
        <f>VALUE(0)</f>
        <v>0</v>
      </c>
      <c r="BA255" s="23">
        <f>VALUE(0)</f>
        <v>0</v>
      </c>
      <c r="BB255" s="23">
        <f>VALUE(0)</f>
        <v>0</v>
      </c>
      <c r="BC255" s="23">
        <f>VALUE(0)</f>
        <v>0</v>
      </c>
      <c r="BD255" s="23">
        <f>VALUE(0)</f>
        <v>0</v>
      </c>
      <c r="BE255" s="23">
        <f>VALUE(0)</f>
        <v>0</v>
      </c>
      <c r="BF255" s="23">
        <f>VALUE(0)</f>
        <v>0</v>
      </c>
      <c r="BG255" s="23">
        <f>VALUE(0)</f>
        <v>0</v>
      </c>
      <c r="BH255" s="23">
        <f>VALUE(0)</f>
        <v>0</v>
      </c>
      <c r="BI255" s="23">
        <f>VALUE(0)</f>
        <v>0</v>
      </c>
      <c r="BJ255" s="23">
        <f>VALUE(0)</f>
        <v>0</v>
      </c>
      <c r="BK255" s="12">
        <f>$AX$255*24</f>
        <v>18.649999999999999</v>
      </c>
      <c r="BL255" s="12">
        <f>$AY$255*24</f>
        <v>0</v>
      </c>
      <c r="BM255" s="12">
        <f>$BJ$255*24</f>
        <v>0</v>
      </c>
      <c r="BN255" s="12">
        <f>VALUE($I$255)/100</f>
        <v>1</v>
      </c>
      <c r="BO255" s="12">
        <v>0</v>
      </c>
      <c r="BP255" s="12">
        <v>0</v>
      </c>
      <c r="BQ255" s="12">
        <v>0</v>
      </c>
      <c r="BR255" s="12">
        <v>0</v>
      </c>
      <c r="BS255" s="12">
        <v>0</v>
      </c>
      <c r="BT255" s="12">
        <v>0</v>
      </c>
      <c r="BU255" s="12">
        <v>0</v>
      </c>
      <c r="BV255" s="12">
        <v>0</v>
      </c>
      <c r="BW255" s="12">
        <v>0</v>
      </c>
      <c r="BX255" s="12">
        <v>0</v>
      </c>
      <c r="BY255" s="12">
        <v>0</v>
      </c>
      <c r="BZ255" s="12">
        <v>0</v>
      </c>
      <c r="CA255" s="12">
        <v>0</v>
      </c>
    </row>
    <row r="256" spans="1:79" ht="15" hidden="1" x14ac:dyDescent="0.25">
      <c r="A256" s="12" t="s">
        <v>137</v>
      </c>
      <c r="B256" s="12" t="s">
        <v>138</v>
      </c>
      <c r="C256" s="12" t="s">
        <v>138</v>
      </c>
      <c r="D256" s="31" t="s">
        <v>333</v>
      </c>
      <c r="E256" s="31" t="s">
        <v>153</v>
      </c>
      <c r="F256" s="31" t="s">
        <v>175</v>
      </c>
      <c r="G256" s="31" t="s">
        <v>153</v>
      </c>
      <c r="H256" s="31" t="s">
        <v>153</v>
      </c>
      <c r="I256" s="31" t="s">
        <v>153</v>
      </c>
      <c r="J256" s="31" t="s">
        <v>153</v>
      </c>
      <c r="K256" s="31" t="s">
        <v>153</v>
      </c>
      <c r="L256" s="31">
        <f>VALUE(0)</f>
        <v>0</v>
      </c>
      <c r="M256" s="31">
        <f>VALUE(6)</f>
        <v>6</v>
      </c>
      <c r="N256" s="31">
        <f>VALUE(0)</f>
        <v>0</v>
      </c>
      <c r="O256" s="31">
        <f>VALUE(6)</f>
        <v>6</v>
      </c>
      <c r="P256" s="31">
        <f>VALUE(6)</f>
        <v>6</v>
      </c>
      <c r="Q256" s="31">
        <f>VALUE(6)</f>
        <v>6</v>
      </c>
      <c r="R256" s="31">
        <f>VALUE(6)</f>
        <v>6</v>
      </c>
      <c r="S256" s="31">
        <f>VALUE(7)</f>
        <v>7</v>
      </c>
      <c r="T256" s="31">
        <f>VALUE(7)</f>
        <v>7</v>
      </c>
      <c r="U256" s="31">
        <f>VALUE(0)</f>
        <v>0</v>
      </c>
      <c r="V256" s="31">
        <f>VALUE(0)</f>
        <v>0</v>
      </c>
      <c r="W256" s="31">
        <f>VALUE(6)</f>
        <v>6</v>
      </c>
      <c r="X256" s="31">
        <f>VALUE(6)</f>
        <v>6</v>
      </c>
      <c r="Y256" s="31">
        <f>VALUE(6)</f>
        <v>6</v>
      </c>
      <c r="Z256" s="31">
        <f>VALUE(7)</f>
        <v>7</v>
      </c>
      <c r="AA256" s="31">
        <f>VALUE(6)</f>
        <v>6</v>
      </c>
      <c r="AB256" s="31">
        <f>VALUE(0)</f>
        <v>0</v>
      </c>
      <c r="AC256" s="31">
        <f>VALUE(6)</f>
        <v>6</v>
      </c>
      <c r="AD256" s="31">
        <f>VALUE(6)</f>
        <v>6</v>
      </c>
      <c r="AE256" s="31">
        <f>VALUE(6)</f>
        <v>6</v>
      </c>
      <c r="AF256" s="31">
        <f>VALUE(6)</f>
        <v>6</v>
      </c>
      <c r="AG256" s="31">
        <f>VALUE(6)</f>
        <v>6</v>
      </c>
      <c r="AH256" s="31">
        <f>VALUE(6)</f>
        <v>6</v>
      </c>
      <c r="AI256" s="31">
        <f>VALUE(0)</f>
        <v>0</v>
      </c>
      <c r="AJ256" s="31">
        <f>VALUE(7)</f>
        <v>7</v>
      </c>
      <c r="AK256" s="31">
        <f>VALUE(7)</f>
        <v>7</v>
      </c>
      <c r="AL256" s="31">
        <f>VALUE(7)</f>
        <v>7</v>
      </c>
      <c r="AM256" s="31">
        <f>VALUE(7)</f>
        <v>7</v>
      </c>
      <c r="AN256" s="31">
        <f>VALUE(7)</f>
        <v>7</v>
      </c>
      <c r="AO256" s="31">
        <f>VALUE(7)</f>
        <v>7</v>
      </c>
      <c r="AP256" s="31">
        <v>0</v>
      </c>
      <c r="AQ256" s="31">
        <v>0</v>
      </c>
      <c r="AR256" s="31">
        <v>0</v>
      </c>
      <c r="AS256" s="31">
        <v>0</v>
      </c>
      <c r="AT256" s="31">
        <v>0</v>
      </c>
      <c r="AU256" s="31">
        <v>0</v>
      </c>
      <c r="AV256" s="31">
        <v>0</v>
      </c>
      <c r="AW256" s="31">
        <v>0</v>
      </c>
      <c r="AX256" s="31">
        <v>0</v>
      </c>
      <c r="AY256" s="31">
        <v>0</v>
      </c>
      <c r="AZ256" s="31">
        <v>0</v>
      </c>
      <c r="BA256" s="31">
        <v>0</v>
      </c>
      <c r="BB256" s="31">
        <v>0</v>
      </c>
      <c r="BC256" s="31">
        <v>0</v>
      </c>
      <c r="BD256" s="31">
        <v>0</v>
      </c>
      <c r="BE256" s="31">
        <v>0</v>
      </c>
      <c r="BF256" s="31">
        <v>0</v>
      </c>
      <c r="BG256" s="31">
        <v>0</v>
      </c>
      <c r="BH256" s="31">
        <v>0</v>
      </c>
      <c r="BI256" s="31">
        <v>0</v>
      </c>
      <c r="BJ256" s="31">
        <v>0</v>
      </c>
      <c r="BK256" s="12">
        <v>0</v>
      </c>
      <c r="BL256" s="12">
        <v>0</v>
      </c>
      <c r="BM256" s="12">
        <v>0</v>
      </c>
      <c r="BN256" s="12"/>
      <c r="BO256" s="12">
        <v>0</v>
      </c>
      <c r="BP256" s="12">
        <v>0</v>
      </c>
      <c r="BQ256" s="12">
        <v>0</v>
      </c>
      <c r="BR256" s="12">
        <v>0</v>
      </c>
      <c r="BS256" s="12">
        <v>0</v>
      </c>
      <c r="BT256" s="12">
        <v>0</v>
      </c>
      <c r="BU256" s="12">
        <v>0</v>
      </c>
      <c r="BV256" s="12">
        <v>0</v>
      </c>
      <c r="BW256" s="12">
        <v>0</v>
      </c>
      <c r="BX256" s="12">
        <v>0</v>
      </c>
      <c r="BY256" s="12">
        <v>0</v>
      </c>
      <c r="BZ256" s="12">
        <v>0</v>
      </c>
      <c r="CA256" s="12">
        <v>0</v>
      </c>
    </row>
    <row r="257" spans="1:79" x14ac:dyDescent="0.2">
      <c r="A257" s="12" t="s">
        <v>137</v>
      </c>
      <c r="B257" s="12" t="s">
        <v>139</v>
      </c>
      <c r="C257" s="12" t="s">
        <v>139</v>
      </c>
      <c r="D257" s="22" t="s">
        <v>514</v>
      </c>
      <c r="E257" s="22" t="s">
        <v>161</v>
      </c>
      <c r="F257" s="22" t="s">
        <v>1001</v>
      </c>
      <c r="G257" s="22" t="s">
        <v>1002</v>
      </c>
      <c r="H257" s="22" t="s">
        <v>166</v>
      </c>
      <c r="I257" s="22" t="s">
        <v>151</v>
      </c>
      <c r="J257" s="22" t="s">
        <v>162</v>
      </c>
      <c r="K257" s="22" t="s">
        <v>94</v>
      </c>
      <c r="L257" s="54" t="s">
        <v>153</v>
      </c>
      <c r="M257" s="23" t="s">
        <v>153</v>
      </c>
      <c r="N257" s="24" t="s">
        <v>153</v>
      </c>
      <c r="O257" s="23" t="s">
        <v>153</v>
      </c>
      <c r="P257" s="23" t="s">
        <v>153</v>
      </c>
      <c r="Q257" s="23" t="s">
        <v>153</v>
      </c>
      <c r="R257" s="23" t="s">
        <v>153</v>
      </c>
      <c r="S257" s="23" t="s">
        <v>153</v>
      </c>
      <c r="T257" s="23" t="s">
        <v>153</v>
      </c>
      <c r="U257" s="24" t="s">
        <v>153</v>
      </c>
      <c r="V257" s="54" t="s">
        <v>153</v>
      </c>
      <c r="W257" s="28" t="s">
        <v>163</v>
      </c>
      <c r="X257" s="23" t="s">
        <v>153</v>
      </c>
      <c r="Y257" s="23" t="s">
        <v>153</v>
      </c>
      <c r="Z257" s="23" t="s">
        <v>153</v>
      </c>
      <c r="AA257" s="23" t="s">
        <v>153</v>
      </c>
      <c r="AB257" s="24" t="s">
        <v>153</v>
      </c>
      <c r="AC257" s="23" t="s">
        <v>153</v>
      </c>
      <c r="AD257" s="23" t="s">
        <v>153</v>
      </c>
      <c r="AE257" s="23" t="s">
        <v>153</v>
      </c>
      <c r="AF257" s="23" t="s">
        <v>153</v>
      </c>
      <c r="AG257" s="24" t="s">
        <v>156</v>
      </c>
      <c r="AH257" s="24" t="s">
        <v>156</v>
      </c>
      <c r="AI257" s="24" t="s">
        <v>153</v>
      </c>
      <c r="AJ257" s="23" t="s">
        <v>153</v>
      </c>
      <c r="AK257" s="23" t="s">
        <v>153</v>
      </c>
      <c r="AL257" s="23" t="s">
        <v>153</v>
      </c>
      <c r="AM257" s="23" t="s">
        <v>153</v>
      </c>
      <c r="AN257" s="29" t="s">
        <v>218</v>
      </c>
      <c r="AO257" s="29" t="s">
        <v>218</v>
      </c>
      <c r="AP257" s="23">
        <f>VALUE(0)</f>
        <v>0</v>
      </c>
      <c r="AQ257" s="23">
        <f>VALUE(0)</f>
        <v>0</v>
      </c>
      <c r="AR257" s="23">
        <f>VALUE(2)</f>
        <v>2</v>
      </c>
      <c r="AS257" s="23">
        <f>VALUE(0)</f>
        <v>0</v>
      </c>
      <c r="AT257" s="23">
        <f>VALUE(0)</f>
        <v>0</v>
      </c>
      <c r="AU257" s="23">
        <f>VALUE(1)</f>
        <v>1</v>
      </c>
      <c r="AV257" s="23">
        <f>VALUE(7)</f>
        <v>7</v>
      </c>
      <c r="AW257" s="23">
        <f>VALUE(0)</f>
        <v>0</v>
      </c>
      <c r="AX257" s="23" t="s">
        <v>1273</v>
      </c>
      <c r="AY257" s="23">
        <f>VALUE(0)</f>
        <v>0</v>
      </c>
      <c r="AZ257" s="23">
        <f>VALUE(0)</f>
        <v>0</v>
      </c>
      <c r="BA257" s="23">
        <f>VALUE(0)</f>
        <v>0</v>
      </c>
      <c r="BB257" s="23">
        <f>VALUE(0)</f>
        <v>0</v>
      </c>
      <c r="BC257" s="23">
        <f>VALUE(0)</f>
        <v>0</v>
      </c>
      <c r="BD257" s="23">
        <f>VALUE(0)</f>
        <v>0</v>
      </c>
      <c r="BE257" s="23">
        <f>VALUE(0)</f>
        <v>0</v>
      </c>
      <c r="BF257" s="23">
        <f>VALUE(0)</f>
        <v>0</v>
      </c>
      <c r="BG257" s="23">
        <f>VALUE(0)</f>
        <v>0</v>
      </c>
      <c r="BH257" s="23">
        <f>VALUE(0)</f>
        <v>0</v>
      </c>
      <c r="BI257" s="23">
        <f>VALUE(0)</f>
        <v>0</v>
      </c>
      <c r="BJ257" s="23">
        <f>VALUE(0)</f>
        <v>0</v>
      </c>
      <c r="BK257" s="12">
        <f>$AX$257*24</f>
        <v>11.583333333333334</v>
      </c>
      <c r="BL257" s="12">
        <f>$AY$257*24</f>
        <v>0</v>
      </c>
      <c r="BM257" s="12">
        <f>$BJ$257*24</f>
        <v>0</v>
      </c>
      <c r="BN257" s="12">
        <f>VALUE($I$257)/100</f>
        <v>1</v>
      </c>
      <c r="BO257" s="12">
        <v>0</v>
      </c>
      <c r="BP257" s="12">
        <v>0</v>
      </c>
      <c r="BQ257" s="12">
        <v>0</v>
      </c>
      <c r="BR257" s="12">
        <v>0</v>
      </c>
      <c r="BS257" s="12">
        <v>2</v>
      </c>
      <c r="BT257" s="12">
        <v>0</v>
      </c>
      <c r="BU257" s="12">
        <v>0</v>
      </c>
      <c r="BV257" s="12">
        <v>0</v>
      </c>
      <c r="BW257" s="12">
        <v>0</v>
      </c>
      <c r="BX257" s="12">
        <v>0</v>
      </c>
      <c r="BY257" s="12">
        <v>0</v>
      </c>
      <c r="BZ257" s="12">
        <v>0</v>
      </c>
      <c r="CA257" s="12">
        <v>0</v>
      </c>
    </row>
    <row r="258" spans="1:79" hidden="1" x14ac:dyDescent="0.2">
      <c r="A258" s="12" t="s">
        <v>137</v>
      </c>
      <c r="B258" s="12" t="s">
        <v>139</v>
      </c>
      <c r="C258" s="12" t="s">
        <v>139</v>
      </c>
      <c r="D258" s="22" t="s">
        <v>511</v>
      </c>
      <c r="E258" s="22" t="s">
        <v>161</v>
      </c>
      <c r="F258" s="22" t="s">
        <v>1003</v>
      </c>
      <c r="G258" s="22" t="s">
        <v>1004</v>
      </c>
      <c r="H258" s="22" t="s">
        <v>150</v>
      </c>
      <c r="I258" s="22" t="s">
        <v>151</v>
      </c>
      <c r="J258" s="22" t="s">
        <v>162</v>
      </c>
      <c r="K258" s="22" t="s">
        <v>94</v>
      </c>
      <c r="L258" s="54" t="s">
        <v>153</v>
      </c>
      <c r="M258" s="28" t="s">
        <v>163</v>
      </c>
      <c r="N258" s="24" t="s">
        <v>153</v>
      </c>
      <c r="O258" s="23" t="s">
        <v>153</v>
      </c>
      <c r="P258" s="23" t="s">
        <v>153</v>
      </c>
      <c r="Q258" s="23" t="s">
        <v>153</v>
      </c>
      <c r="R258" s="23" t="s">
        <v>498</v>
      </c>
      <c r="S258" s="23" t="s">
        <v>498</v>
      </c>
      <c r="T258" s="23" t="s">
        <v>498</v>
      </c>
      <c r="U258" s="24" t="s">
        <v>153</v>
      </c>
      <c r="V258" s="54" t="s">
        <v>153</v>
      </c>
      <c r="W258" s="23" t="s">
        <v>498</v>
      </c>
      <c r="X258" s="23" t="s">
        <v>498</v>
      </c>
      <c r="Y258" s="23" t="s">
        <v>498</v>
      </c>
      <c r="Z258" s="23" t="s">
        <v>498</v>
      </c>
      <c r="AA258" s="23" t="s">
        <v>498</v>
      </c>
      <c r="AB258" s="24" t="s">
        <v>153</v>
      </c>
      <c r="AC258" s="23" t="s">
        <v>498</v>
      </c>
      <c r="AD258" s="23" t="s">
        <v>498</v>
      </c>
      <c r="AE258" s="23" t="s">
        <v>498</v>
      </c>
      <c r="AF258" s="23" t="s">
        <v>498</v>
      </c>
      <c r="AG258" s="23" t="s">
        <v>498</v>
      </c>
      <c r="AH258" s="23" t="s">
        <v>498</v>
      </c>
      <c r="AI258" s="24" t="s">
        <v>153</v>
      </c>
      <c r="AJ258" s="23" t="s">
        <v>498</v>
      </c>
      <c r="AK258" s="23" t="s">
        <v>498</v>
      </c>
      <c r="AL258" s="24" t="s">
        <v>156</v>
      </c>
      <c r="AM258" s="24" t="s">
        <v>156</v>
      </c>
      <c r="AN258" s="23" t="s">
        <v>498</v>
      </c>
      <c r="AO258" s="23" t="s">
        <v>498</v>
      </c>
      <c r="AP258" s="23">
        <f>VALUE(0)</f>
        <v>0</v>
      </c>
      <c r="AQ258" s="23">
        <f>VALUE(0)</f>
        <v>0</v>
      </c>
      <c r="AR258" s="23">
        <f>VALUE(0)</f>
        <v>0</v>
      </c>
      <c r="AS258" s="23">
        <f>VALUE(0)</f>
        <v>0</v>
      </c>
      <c r="AT258" s="23">
        <f>VALUE(0)</f>
        <v>0</v>
      </c>
      <c r="AU258" s="23">
        <f>VALUE(1)</f>
        <v>1</v>
      </c>
      <c r="AV258" s="23">
        <f>VALUE(0)</f>
        <v>0</v>
      </c>
      <c r="AW258" s="23">
        <f>VALUE(0)</f>
        <v>0</v>
      </c>
      <c r="AX258" s="23" t="s">
        <v>515</v>
      </c>
      <c r="AY258" s="23" t="s">
        <v>1274</v>
      </c>
      <c r="AZ258" s="23">
        <f>VALUE(0)</f>
        <v>0</v>
      </c>
      <c r="BA258" s="23">
        <f>VALUE(0)</f>
        <v>0</v>
      </c>
      <c r="BB258" s="23">
        <f>VALUE(0)</f>
        <v>0</v>
      </c>
      <c r="BC258" s="23">
        <f>VALUE(0)</f>
        <v>0</v>
      </c>
      <c r="BD258" s="23">
        <f>VALUE(0)</f>
        <v>0</v>
      </c>
      <c r="BE258" s="23">
        <f>VALUE(0)</f>
        <v>0</v>
      </c>
      <c r="BF258" s="23">
        <f>VALUE(0)</f>
        <v>0</v>
      </c>
      <c r="BG258" s="23">
        <f>VALUE(0)</f>
        <v>0</v>
      </c>
      <c r="BH258" s="23">
        <f>VALUE(0)</f>
        <v>0</v>
      </c>
      <c r="BI258" s="23">
        <f>VALUE(0)</f>
        <v>0</v>
      </c>
      <c r="BJ258" s="23">
        <f>VALUE(0)</f>
        <v>0</v>
      </c>
      <c r="BK258" s="12">
        <f>$AX$258*24</f>
        <v>5.1166666666666663</v>
      </c>
      <c r="BL258" s="12">
        <f>$AY$258*24</f>
        <v>6.7333333333333334</v>
      </c>
      <c r="BM258" s="12">
        <f>$BJ$258*24</f>
        <v>0</v>
      </c>
      <c r="BN258" s="12">
        <f>VALUE($I$258)/100</f>
        <v>1</v>
      </c>
      <c r="BO258" s="12">
        <v>0</v>
      </c>
      <c r="BP258" s="12">
        <v>0</v>
      </c>
      <c r="BQ258" s="12">
        <v>0</v>
      </c>
      <c r="BR258" s="12">
        <v>0</v>
      </c>
      <c r="BS258" s="12">
        <v>0</v>
      </c>
      <c r="BT258" s="12">
        <v>0</v>
      </c>
      <c r="BU258" s="12">
        <v>0</v>
      </c>
      <c r="BV258" s="12">
        <v>0</v>
      </c>
      <c r="BW258" s="12">
        <v>0</v>
      </c>
      <c r="BX258" s="12">
        <v>0</v>
      </c>
      <c r="BY258" s="12">
        <v>0</v>
      </c>
      <c r="BZ258" s="12">
        <v>0</v>
      </c>
      <c r="CA258" s="12">
        <v>0</v>
      </c>
    </row>
    <row r="259" spans="1:79" hidden="1" x14ac:dyDescent="0.2">
      <c r="A259" s="12" t="s">
        <v>137</v>
      </c>
      <c r="B259" s="12" t="s">
        <v>139</v>
      </c>
      <c r="C259" s="12" t="s">
        <v>139</v>
      </c>
      <c r="D259" s="22" t="s">
        <v>512</v>
      </c>
      <c r="E259" s="22" t="s">
        <v>161</v>
      </c>
      <c r="F259" s="22" t="s">
        <v>1005</v>
      </c>
      <c r="G259" s="22" t="s">
        <v>1006</v>
      </c>
      <c r="H259" s="22" t="s">
        <v>150</v>
      </c>
      <c r="I259" s="22" t="s">
        <v>151</v>
      </c>
      <c r="J259" s="22" t="s">
        <v>162</v>
      </c>
      <c r="K259" s="22" t="s">
        <v>94</v>
      </c>
      <c r="L259" s="54" t="s">
        <v>153</v>
      </c>
      <c r="M259" s="23" t="s">
        <v>153</v>
      </c>
      <c r="N259" s="24" t="s">
        <v>153</v>
      </c>
      <c r="O259" s="24" t="s">
        <v>156</v>
      </c>
      <c r="P259" s="24" t="s">
        <v>156</v>
      </c>
      <c r="Q259" s="23" t="s">
        <v>153</v>
      </c>
      <c r="R259" s="28" t="s">
        <v>163</v>
      </c>
      <c r="S259" s="28" t="s">
        <v>163</v>
      </c>
      <c r="T259" s="28" t="s">
        <v>163</v>
      </c>
      <c r="U259" s="24" t="s">
        <v>153</v>
      </c>
      <c r="V259" s="54" t="s">
        <v>153</v>
      </c>
      <c r="W259" s="28" t="s">
        <v>163</v>
      </c>
      <c r="X259" s="28" t="s">
        <v>163</v>
      </c>
      <c r="Y259" s="28" t="s">
        <v>163</v>
      </c>
      <c r="Z259" s="28" t="s">
        <v>163</v>
      </c>
      <c r="AA259" s="28" t="s">
        <v>163</v>
      </c>
      <c r="AB259" s="24" t="s">
        <v>153</v>
      </c>
      <c r="AC259" s="23" t="s">
        <v>153</v>
      </c>
      <c r="AD259" s="23" t="s">
        <v>153</v>
      </c>
      <c r="AE259" s="23" t="s">
        <v>153</v>
      </c>
      <c r="AF259" s="23" t="s">
        <v>153</v>
      </c>
      <c r="AG259" s="23" t="s">
        <v>153</v>
      </c>
      <c r="AH259" s="23" t="s">
        <v>153</v>
      </c>
      <c r="AI259" s="24" t="s">
        <v>153</v>
      </c>
      <c r="AJ259" s="23" t="s">
        <v>153</v>
      </c>
      <c r="AK259" s="23" t="s">
        <v>153</v>
      </c>
      <c r="AL259" s="24" t="s">
        <v>156</v>
      </c>
      <c r="AM259" s="24" t="s">
        <v>156</v>
      </c>
      <c r="AN259" s="23" t="s">
        <v>153</v>
      </c>
      <c r="AO259" s="23" t="s">
        <v>153</v>
      </c>
      <c r="AP259" s="23">
        <f>VALUE(0)</f>
        <v>0</v>
      </c>
      <c r="AQ259" s="23">
        <f>VALUE(0)</f>
        <v>0</v>
      </c>
      <c r="AR259" s="23">
        <f>VALUE(0)</f>
        <v>0</v>
      </c>
      <c r="AS259" s="23">
        <f>VALUE(0)</f>
        <v>0</v>
      </c>
      <c r="AT259" s="23">
        <f>VALUE(0)</f>
        <v>0</v>
      </c>
      <c r="AU259" s="23">
        <f>VALUE(8)</f>
        <v>8</v>
      </c>
      <c r="AV259" s="23">
        <f>VALUE(1)</f>
        <v>1</v>
      </c>
      <c r="AW259" s="23">
        <f>VALUE(0)</f>
        <v>0</v>
      </c>
      <c r="AX259" s="23" t="s">
        <v>171</v>
      </c>
      <c r="AY259" s="23" t="s">
        <v>516</v>
      </c>
      <c r="AZ259" s="23">
        <f>VALUE(0)</f>
        <v>0</v>
      </c>
      <c r="BA259" s="23">
        <f>VALUE(0)</f>
        <v>0</v>
      </c>
      <c r="BB259" s="23">
        <f>VALUE(0)</f>
        <v>0</v>
      </c>
      <c r="BC259" s="23">
        <f>VALUE(0)</f>
        <v>0</v>
      </c>
      <c r="BD259" s="23">
        <f>VALUE(0)</f>
        <v>0</v>
      </c>
      <c r="BE259" s="23">
        <f>VALUE(0)</f>
        <v>0</v>
      </c>
      <c r="BF259" s="23">
        <f>VALUE(0)</f>
        <v>0</v>
      </c>
      <c r="BG259" s="23">
        <f>VALUE(0)</f>
        <v>0</v>
      </c>
      <c r="BH259" s="23">
        <f>VALUE(0)</f>
        <v>0</v>
      </c>
      <c r="BI259" s="23">
        <f>VALUE(0)</f>
        <v>0</v>
      </c>
      <c r="BJ259" s="23">
        <f>VALUE(0)</f>
        <v>0</v>
      </c>
      <c r="BK259" s="12">
        <f>$AX$259*24</f>
        <v>5.833333333333333</v>
      </c>
      <c r="BL259" s="12">
        <f>$AY$259*24</f>
        <v>11.883333333333333</v>
      </c>
      <c r="BM259" s="12">
        <f>$BJ$259*24</f>
        <v>0</v>
      </c>
      <c r="BN259" s="12">
        <f>VALUE($I$259)/100</f>
        <v>1</v>
      </c>
      <c r="BO259" s="12">
        <v>0</v>
      </c>
      <c r="BP259" s="12">
        <v>0</v>
      </c>
      <c r="BQ259" s="12">
        <v>0</v>
      </c>
      <c r="BR259" s="12">
        <v>0</v>
      </c>
      <c r="BS259" s="12">
        <v>0</v>
      </c>
      <c r="BT259" s="12">
        <v>0</v>
      </c>
      <c r="BU259" s="12">
        <v>0</v>
      </c>
      <c r="BV259" s="12">
        <v>0</v>
      </c>
      <c r="BW259" s="12">
        <v>0</v>
      </c>
      <c r="BX259" s="12">
        <v>0</v>
      </c>
      <c r="BY259" s="12">
        <v>0</v>
      </c>
      <c r="BZ259" s="12">
        <v>0</v>
      </c>
      <c r="CA259" s="12">
        <v>0</v>
      </c>
    </row>
    <row r="260" spans="1:79" hidden="1" x14ac:dyDescent="0.2">
      <c r="A260" s="12" t="s">
        <v>137</v>
      </c>
      <c r="B260" s="12" t="s">
        <v>139</v>
      </c>
      <c r="C260" s="12" t="s">
        <v>139</v>
      </c>
      <c r="D260" s="22" t="s">
        <v>512</v>
      </c>
      <c r="E260" s="22" t="s">
        <v>161</v>
      </c>
      <c r="F260" s="22" t="s">
        <v>1007</v>
      </c>
      <c r="G260" s="22" t="s">
        <v>1008</v>
      </c>
      <c r="H260" s="22" t="s">
        <v>191</v>
      </c>
      <c r="I260" s="22" t="s">
        <v>151</v>
      </c>
      <c r="J260" s="22" t="s">
        <v>162</v>
      </c>
      <c r="K260" s="22" t="s">
        <v>94</v>
      </c>
      <c r="L260" s="54" t="s">
        <v>153</v>
      </c>
      <c r="M260" s="23" t="s">
        <v>1275</v>
      </c>
      <c r="N260" s="24" t="s">
        <v>153</v>
      </c>
      <c r="O260" s="23" t="s">
        <v>153</v>
      </c>
      <c r="P260" s="23" t="s">
        <v>153</v>
      </c>
      <c r="Q260" s="23" t="s">
        <v>153</v>
      </c>
      <c r="R260" s="23" t="s">
        <v>153</v>
      </c>
      <c r="S260" s="23" t="s">
        <v>153</v>
      </c>
      <c r="T260" s="23" t="s">
        <v>153</v>
      </c>
      <c r="U260" s="24" t="s">
        <v>153</v>
      </c>
      <c r="V260" s="54" t="s">
        <v>153</v>
      </c>
      <c r="W260" s="23" t="s">
        <v>153</v>
      </c>
      <c r="X260" s="23" t="s">
        <v>153</v>
      </c>
      <c r="Y260" s="23" t="s">
        <v>153</v>
      </c>
      <c r="Z260" s="23" t="s">
        <v>153</v>
      </c>
      <c r="AA260" s="23" t="s">
        <v>153</v>
      </c>
      <c r="AB260" s="24" t="s">
        <v>153</v>
      </c>
      <c r="AC260" s="27" t="s">
        <v>153</v>
      </c>
      <c r="AD260" s="27" t="s">
        <v>153</v>
      </c>
      <c r="AE260" s="27" t="s">
        <v>153</v>
      </c>
      <c r="AF260" s="27" t="s">
        <v>153</v>
      </c>
      <c r="AG260" s="27" t="s">
        <v>153</v>
      </c>
      <c r="AH260" s="27" t="s">
        <v>153</v>
      </c>
      <c r="AI260" s="24" t="s">
        <v>153</v>
      </c>
      <c r="AJ260" s="27" t="s">
        <v>153</v>
      </c>
      <c r="AK260" s="27" t="s">
        <v>153</v>
      </c>
      <c r="AL260" s="27" t="s">
        <v>153</v>
      </c>
      <c r="AM260" s="27" t="s">
        <v>153</v>
      </c>
      <c r="AN260" s="27" t="s">
        <v>153</v>
      </c>
      <c r="AO260" s="27" t="s">
        <v>153</v>
      </c>
      <c r="AP260" s="23">
        <f>VALUE(0)</f>
        <v>0</v>
      </c>
      <c r="AQ260" s="23">
        <f>VALUE(0)</f>
        <v>0</v>
      </c>
      <c r="AR260" s="23">
        <f>VALUE(0)</f>
        <v>0</v>
      </c>
      <c r="AS260" s="23">
        <f>VALUE(0)</f>
        <v>0</v>
      </c>
      <c r="AT260" s="23">
        <f>VALUE(0)</f>
        <v>0</v>
      </c>
      <c r="AU260" s="23">
        <f>VALUE(0)</f>
        <v>0</v>
      </c>
      <c r="AV260" s="23">
        <f>VALUE(0)</f>
        <v>0</v>
      </c>
      <c r="AW260" s="23">
        <f>VALUE(0)</f>
        <v>0</v>
      </c>
      <c r="AX260" s="23">
        <f>VALUE(0)</f>
        <v>0</v>
      </c>
      <c r="AY260" s="23">
        <f>VALUE(0)</f>
        <v>0</v>
      </c>
      <c r="AZ260" s="23">
        <f>VALUE(0)</f>
        <v>0</v>
      </c>
      <c r="BA260" s="23">
        <f>VALUE(0)</f>
        <v>0</v>
      </c>
      <c r="BB260" s="23">
        <f>VALUE(0)</f>
        <v>0</v>
      </c>
      <c r="BC260" s="23">
        <f>VALUE(0)</f>
        <v>0</v>
      </c>
      <c r="BD260" s="23">
        <f>VALUE(1)</f>
        <v>1</v>
      </c>
      <c r="BE260" s="23">
        <f>VALUE(0)</f>
        <v>0</v>
      </c>
      <c r="BF260" s="23">
        <f>VALUE(0)</f>
        <v>0</v>
      </c>
      <c r="BG260" s="23">
        <f>VALUE(0)</f>
        <v>0</v>
      </c>
      <c r="BH260" s="23">
        <f>VALUE(0)</f>
        <v>0</v>
      </c>
      <c r="BI260" s="23">
        <f>VALUE(0)</f>
        <v>0</v>
      </c>
      <c r="BJ260" s="23">
        <f>VALUE(0)</f>
        <v>0</v>
      </c>
      <c r="BK260" s="12">
        <f>$AX$260*24</f>
        <v>0</v>
      </c>
      <c r="BL260" s="12">
        <f>$AY$260*24</f>
        <v>0</v>
      </c>
      <c r="BM260" s="12">
        <f>$BJ$260*24</f>
        <v>0</v>
      </c>
      <c r="BN260" s="12">
        <f>VALUE($I$260)/100</f>
        <v>1</v>
      </c>
      <c r="BO260" s="12">
        <v>0</v>
      </c>
      <c r="BP260" s="12">
        <v>0</v>
      </c>
      <c r="BQ260" s="12">
        <v>0</v>
      </c>
      <c r="BR260" s="12">
        <v>0</v>
      </c>
      <c r="BS260" s="12">
        <v>0</v>
      </c>
      <c r="BT260" s="12">
        <v>0</v>
      </c>
      <c r="BU260" s="12">
        <v>0</v>
      </c>
      <c r="BV260" s="12">
        <v>0</v>
      </c>
      <c r="BW260" s="12">
        <v>0</v>
      </c>
      <c r="BX260" s="12">
        <v>0</v>
      </c>
      <c r="BY260" s="12">
        <v>0</v>
      </c>
      <c r="BZ260" s="12">
        <v>0</v>
      </c>
      <c r="CA260" s="12">
        <v>0</v>
      </c>
    </row>
    <row r="261" spans="1:79" hidden="1" x14ac:dyDescent="0.2">
      <c r="A261" s="12" t="s">
        <v>137</v>
      </c>
      <c r="B261" s="12" t="s">
        <v>139</v>
      </c>
      <c r="C261" s="12" t="s">
        <v>139</v>
      </c>
      <c r="D261" s="22" t="s">
        <v>494</v>
      </c>
      <c r="E261" s="22" t="s">
        <v>161</v>
      </c>
      <c r="F261" s="22" t="s">
        <v>1009</v>
      </c>
      <c r="G261" s="22" t="s">
        <v>1010</v>
      </c>
      <c r="H261" s="22" t="s">
        <v>150</v>
      </c>
      <c r="I261" s="22" t="s">
        <v>151</v>
      </c>
      <c r="J261" s="22" t="s">
        <v>162</v>
      </c>
      <c r="K261" s="22" t="s">
        <v>94</v>
      </c>
      <c r="L261" s="54" t="s">
        <v>153</v>
      </c>
      <c r="M261" s="23" t="s">
        <v>153</v>
      </c>
      <c r="N261" s="24" t="s">
        <v>153</v>
      </c>
      <c r="O261" s="23" t="s">
        <v>153</v>
      </c>
      <c r="P261" s="23" t="s">
        <v>153</v>
      </c>
      <c r="Q261" s="23" t="s">
        <v>153</v>
      </c>
      <c r="R261" s="23" t="s">
        <v>153</v>
      </c>
      <c r="S261" s="23" t="s">
        <v>153</v>
      </c>
      <c r="T261" s="23" t="s">
        <v>153</v>
      </c>
      <c r="U261" s="24" t="s">
        <v>153</v>
      </c>
      <c r="V261" s="54" t="s">
        <v>153</v>
      </c>
      <c r="W261" s="23" t="s">
        <v>153</v>
      </c>
      <c r="X261" s="23" t="s">
        <v>153</v>
      </c>
      <c r="Y261" s="23" t="s">
        <v>153</v>
      </c>
      <c r="Z261" s="23" t="s">
        <v>153</v>
      </c>
      <c r="AA261" s="23" t="s">
        <v>153</v>
      </c>
      <c r="AB261" s="24" t="s">
        <v>153</v>
      </c>
      <c r="AC261" s="23" t="s">
        <v>153</v>
      </c>
      <c r="AD261" s="23" t="s">
        <v>153</v>
      </c>
      <c r="AE261" s="24" t="s">
        <v>156</v>
      </c>
      <c r="AF261" s="24" t="s">
        <v>156</v>
      </c>
      <c r="AG261" s="23" t="s">
        <v>153</v>
      </c>
      <c r="AH261" s="23" t="s">
        <v>153</v>
      </c>
      <c r="AI261" s="24" t="s">
        <v>153</v>
      </c>
      <c r="AJ261" s="23" t="s">
        <v>153</v>
      </c>
      <c r="AK261" s="23" t="s">
        <v>153</v>
      </c>
      <c r="AL261" s="23" t="s">
        <v>153</v>
      </c>
      <c r="AM261" s="23" t="s">
        <v>153</v>
      </c>
      <c r="AN261" s="23" t="s">
        <v>153</v>
      </c>
      <c r="AO261" s="23" t="s">
        <v>153</v>
      </c>
      <c r="AP261" s="23">
        <f>VALUE(0)</f>
        <v>0</v>
      </c>
      <c r="AQ261" s="23">
        <f>VALUE(0)</f>
        <v>0</v>
      </c>
      <c r="AR261" s="23">
        <f>VALUE(0)</f>
        <v>0</v>
      </c>
      <c r="AS261" s="23">
        <f>VALUE(0)</f>
        <v>0</v>
      </c>
      <c r="AT261" s="23">
        <f>VALUE(0)</f>
        <v>0</v>
      </c>
      <c r="AU261" s="23">
        <f>VALUE(0)</f>
        <v>0</v>
      </c>
      <c r="AV261" s="23">
        <f>VALUE(2)</f>
        <v>2</v>
      </c>
      <c r="AW261" s="23">
        <f>VALUE(0)</f>
        <v>0</v>
      </c>
      <c r="AX261" s="23" t="s">
        <v>171</v>
      </c>
      <c r="AY261" s="23" t="s">
        <v>517</v>
      </c>
      <c r="AZ261" s="23">
        <f>VALUE(0)</f>
        <v>0</v>
      </c>
      <c r="BA261" s="23">
        <f>VALUE(0)</f>
        <v>0</v>
      </c>
      <c r="BB261" s="23">
        <f>VALUE(0)</f>
        <v>0</v>
      </c>
      <c r="BC261" s="23">
        <f>VALUE(0)</f>
        <v>0</v>
      </c>
      <c r="BD261" s="23">
        <f>VALUE(0)</f>
        <v>0</v>
      </c>
      <c r="BE261" s="23">
        <f>VALUE(0)</f>
        <v>0</v>
      </c>
      <c r="BF261" s="23">
        <f>VALUE(0)</f>
        <v>0</v>
      </c>
      <c r="BG261" s="23">
        <f>VALUE(0)</f>
        <v>0</v>
      </c>
      <c r="BH261" s="23">
        <f>VALUE(0)</f>
        <v>0</v>
      </c>
      <c r="BI261" s="23">
        <f>VALUE(0)</f>
        <v>0</v>
      </c>
      <c r="BJ261" s="23">
        <f>VALUE(0)</f>
        <v>0</v>
      </c>
      <c r="BK261" s="12">
        <f>$AX$261*24</f>
        <v>5.833333333333333</v>
      </c>
      <c r="BL261" s="12">
        <f>$AY$261*24</f>
        <v>1.3</v>
      </c>
      <c r="BM261" s="12">
        <f>$BJ$261*24</f>
        <v>0</v>
      </c>
      <c r="BN261" s="12">
        <f>VALUE($I$261)/100</f>
        <v>1</v>
      </c>
      <c r="BO261" s="12">
        <v>0</v>
      </c>
      <c r="BP261" s="12">
        <v>0</v>
      </c>
      <c r="BQ261" s="12">
        <v>0</v>
      </c>
      <c r="BR261" s="12">
        <v>0</v>
      </c>
      <c r="BS261" s="12">
        <v>0</v>
      </c>
      <c r="BT261" s="12">
        <v>0</v>
      </c>
      <c r="BU261" s="12">
        <v>0</v>
      </c>
      <c r="BV261" s="12">
        <v>0</v>
      </c>
      <c r="BW261" s="12">
        <v>0</v>
      </c>
      <c r="BX261" s="12">
        <v>0</v>
      </c>
      <c r="BY261" s="12">
        <v>0</v>
      </c>
      <c r="BZ261" s="12">
        <v>0</v>
      </c>
      <c r="CA261" s="12">
        <v>0</v>
      </c>
    </row>
    <row r="262" spans="1:79" hidden="1" x14ac:dyDescent="0.2">
      <c r="A262" s="12" t="s">
        <v>137</v>
      </c>
      <c r="B262" s="12" t="s">
        <v>139</v>
      </c>
      <c r="C262" s="12" t="s">
        <v>139</v>
      </c>
      <c r="D262" s="22" t="s">
        <v>495</v>
      </c>
      <c r="E262" s="22" t="s">
        <v>161</v>
      </c>
      <c r="F262" s="22" t="s">
        <v>1011</v>
      </c>
      <c r="G262" s="22" t="s">
        <v>1012</v>
      </c>
      <c r="H262" s="22" t="s">
        <v>150</v>
      </c>
      <c r="I262" s="22" t="s">
        <v>151</v>
      </c>
      <c r="J262" s="22" t="s">
        <v>162</v>
      </c>
      <c r="K262" s="22" t="s">
        <v>94</v>
      </c>
      <c r="L262" s="54" t="s">
        <v>153</v>
      </c>
      <c r="M262" s="23" t="s">
        <v>153</v>
      </c>
      <c r="N262" s="24" t="s">
        <v>153</v>
      </c>
      <c r="O262" s="23" t="s">
        <v>153</v>
      </c>
      <c r="P262" s="23" t="s">
        <v>153</v>
      </c>
      <c r="Q262" s="23" t="s">
        <v>153</v>
      </c>
      <c r="R262" s="23" t="s">
        <v>153</v>
      </c>
      <c r="S262" s="23" t="s">
        <v>153</v>
      </c>
      <c r="T262" s="23" t="s">
        <v>153</v>
      </c>
      <c r="U262" s="24" t="s">
        <v>153</v>
      </c>
      <c r="V262" s="54" t="s">
        <v>153</v>
      </c>
      <c r="W262" s="28" t="s">
        <v>163</v>
      </c>
      <c r="X262" s="23" t="s">
        <v>153</v>
      </c>
      <c r="Y262" s="23" t="s">
        <v>153</v>
      </c>
      <c r="Z262" s="24" t="s">
        <v>156</v>
      </c>
      <c r="AA262" s="24" t="s">
        <v>156</v>
      </c>
      <c r="AB262" s="24" t="s">
        <v>153</v>
      </c>
      <c r="AC262" s="23" t="s">
        <v>153</v>
      </c>
      <c r="AD262" s="23" t="s">
        <v>153</v>
      </c>
      <c r="AE262" s="23" t="s">
        <v>153</v>
      </c>
      <c r="AF262" s="23" t="s">
        <v>153</v>
      </c>
      <c r="AG262" s="23" t="s">
        <v>153</v>
      </c>
      <c r="AH262" s="23" t="s">
        <v>153</v>
      </c>
      <c r="AI262" s="24" t="s">
        <v>153</v>
      </c>
      <c r="AJ262" s="23" t="s">
        <v>153</v>
      </c>
      <c r="AK262" s="23" t="s">
        <v>153</v>
      </c>
      <c r="AL262" s="23" t="s">
        <v>153</v>
      </c>
      <c r="AM262" s="23" t="s">
        <v>153</v>
      </c>
      <c r="AN262" s="23" t="s">
        <v>153</v>
      </c>
      <c r="AO262" s="23" t="s">
        <v>153</v>
      </c>
      <c r="AP262" s="23">
        <f>VALUE(0)</f>
        <v>0</v>
      </c>
      <c r="AQ262" s="23">
        <f>VALUE(0)</f>
        <v>0</v>
      </c>
      <c r="AR262" s="23">
        <f>VALUE(0)</f>
        <v>0</v>
      </c>
      <c r="AS262" s="23">
        <f>VALUE(0)</f>
        <v>0</v>
      </c>
      <c r="AT262" s="23">
        <f>VALUE(0)</f>
        <v>0</v>
      </c>
      <c r="AU262" s="23">
        <f>VALUE(1)</f>
        <v>1</v>
      </c>
      <c r="AV262" s="23">
        <f>VALUE(0)</f>
        <v>0</v>
      </c>
      <c r="AW262" s="23">
        <f>VALUE(0)</f>
        <v>0</v>
      </c>
      <c r="AX262" s="23" t="s">
        <v>171</v>
      </c>
      <c r="AY262" s="23" t="s">
        <v>404</v>
      </c>
      <c r="AZ262" s="23">
        <f>VALUE(0)</f>
        <v>0</v>
      </c>
      <c r="BA262" s="23">
        <f>VALUE(0)</f>
        <v>0</v>
      </c>
      <c r="BB262" s="23">
        <f>VALUE(0)</f>
        <v>0</v>
      </c>
      <c r="BC262" s="23">
        <f>VALUE(0)</f>
        <v>0</v>
      </c>
      <c r="BD262" s="23">
        <f>VALUE(0)</f>
        <v>0</v>
      </c>
      <c r="BE262" s="23">
        <f>VALUE(0)</f>
        <v>0</v>
      </c>
      <c r="BF262" s="23">
        <f>VALUE(0)</f>
        <v>0</v>
      </c>
      <c r="BG262" s="23">
        <f>VALUE(0)</f>
        <v>0</v>
      </c>
      <c r="BH262" s="23">
        <f>VALUE(0)</f>
        <v>0</v>
      </c>
      <c r="BI262" s="23">
        <f>VALUE(0)</f>
        <v>0</v>
      </c>
      <c r="BJ262" s="23">
        <f>VALUE(0)</f>
        <v>0</v>
      </c>
      <c r="BK262" s="12">
        <f>$AX$262*24</f>
        <v>5.833333333333333</v>
      </c>
      <c r="BL262" s="12">
        <f>$AY$262*24</f>
        <v>4.8499999999999996</v>
      </c>
      <c r="BM262" s="12">
        <f>$BJ$262*24</f>
        <v>0</v>
      </c>
      <c r="BN262" s="12">
        <f>VALUE($I$262)/100</f>
        <v>1</v>
      </c>
      <c r="BO262" s="12">
        <v>0</v>
      </c>
      <c r="BP262" s="12">
        <v>0</v>
      </c>
      <c r="BQ262" s="12">
        <v>0</v>
      </c>
      <c r="BR262" s="12">
        <v>0</v>
      </c>
      <c r="BS262" s="12">
        <v>0</v>
      </c>
      <c r="BT262" s="12">
        <v>0</v>
      </c>
      <c r="BU262" s="12">
        <v>0</v>
      </c>
      <c r="BV262" s="12">
        <v>0</v>
      </c>
      <c r="BW262" s="12">
        <v>0</v>
      </c>
      <c r="BX262" s="12">
        <v>0</v>
      </c>
      <c r="BY262" s="12">
        <v>0</v>
      </c>
      <c r="BZ262" s="12">
        <v>0</v>
      </c>
      <c r="CA262" s="12">
        <v>0</v>
      </c>
    </row>
    <row r="263" spans="1:79" hidden="1" x14ac:dyDescent="0.2">
      <c r="A263" s="12" t="s">
        <v>137</v>
      </c>
      <c r="B263" s="12" t="s">
        <v>139</v>
      </c>
      <c r="C263" s="12" t="s">
        <v>139</v>
      </c>
      <c r="D263" s="22" t="s">
        <v>490</v>
      </c>
      <c r="E263" s="22" t="s">
        <v>161</v>
      </c>
      <c r="F263" s="22" t="s">
        <v>1013</v>
      </c>
      <c r="G263" s="22" t="s">
        <v>1014</v>
      </c>
      <c r="H263" s="22" t="s">
        <v>191</v>
      </c>
      <c r="I263" s="22" t="s">
        <v>151</v>
      </c>
      <c r="J263" s="22" t="s">
        <v>162</v>
      </c>
      <c r="K263" s="22" t="s">
        <v>94</v>
      </c>
      <c r="L263" s="54" t="s">
        <v>153</v>
      </c>
      <c r="M263" s="23" t="s">
        <v>153</v>
      </c>
      <c r="N263" s="24" t="s">
        <v>153</v>
      </c>
      <c r="O263" s="27" t="s">
        <v>153</v>
      </c>
      <c r="P263" s="27" t="s">
        <v>153</v>
      </c>
      <c r="Q263" s="27" t="s">
        <v>153</v>
      </c>
      <c r="R263" s="27" t="s">
        <v>153</v>
      </c>
      <c r="S263" s="27" t="s">
        <v>153</v>
      </c>
      <c r="T263" s="27" t="s">
        <v>153</v>
      </c>
      <c r="U263" s="24" t="s">
        <v>153</v>
      </c>
      <c r="V263" s="54" t="s">
        <v>153</v>
      </c>
      <c r="W263" s="27" t="s">
        <v>153</v>
      </c>
      <c r="X263" s="27" t="s">
        <v>153</v>
      </c>
      <c r="Y263" s="27" t="s">
        <v>153</v>
      </c>
      <c r="Z263" s="27" t="s">
        <v>153</v>
      </c>
      <c r="AA263" s="27" t="s">
        <v>153</v>
      </c>
      <c r="AB263" s="24" t="s">
        <v>153</v>
      </c>
      <c r="AC263" s="27" t="s">
        <v>153</v>
      </c>
      <c r="AD263" s="27" t="s">
        <v>153</v>
      </c>
      <c r="AE263" s="27" t="s">
        <v>153</v>
      </c>
      <c r="AF263" s="27" t="s">
        <v>153</v>
      </c>
      <c r="AG263" s="27" t="s">
        <v>153</v>
      </c>
      <c r="AH263" s="27" t="s">
        <v>153</v>
      </c>
      <c r="AI263" s="24" t="s">
        <v>153</v>
      </c>
      <c r="AJ263" s="27" t="s">
        <v>153</v>
      </c>
      <c r="AK263" s="27" t="s">
        <v>153</v>
      </c>
      <c r="AL263" s="27" t="s">
        <v>153</v>
      </c>
      <c r="AM263" s="27" t="s">
        <v>153</v>
      </c>
      <c r="AN263" s="27" t="s">
        <v>153</v>
      </c>
      <c r="AO263" s="27" t="s">
        <v>153</v>
      </c>
      <c r="AP263" s="23">
        <f>VALUE(0)</f>
        <v>0</v>
      </c>
      <c r="AQ263" s="23">
        <f>VALUE(0)</f>
        <v>0</v>
      </c>
      <c r="AR263" s="23">
        <f>VALUE(0)</f>
        <v>0</v>
      </c>
      <c r="AS263" s="23">
        <f>VALUE(0)</f>
        <v>0</v>
      </c>
      <c r="AT263" s="23">
        <f>VALUE(0)</f>
        <v>0</v>
      </c>
      <c r="AU263" s="23">
        <f>VALUE(0)</f>
        <v>0</v>
      </c>
      <c r="AV263" s="23">
        <f>VALUE(0)</f>
        <v>0</v>
      </c>
      <c r="AW263" s="23">
        <f>VALUE(0)</f>
        <v>0</v>
      </c>
      <c r="AX263" s="23">
        <f>VALUE(0)</f>
        <v>0</v>
      </c>
      <c r="AY263" s="23">
        <f>VALUE(0)</f>
        <v>0</v>
      </c>
      <c r="AZ263" s="23">
        <f>VALUE(0)</f>
        <v>0</v>
      </c>
      <c r="BA263" s="23">
        <f>VALUE(0)</f>
        <v>0</v>
      </c>
      <c r="BB263" s="23">
        <f>VALUE(0)</f>
        <v>0</v>
      </c>
      <c r="BC263" s="23">
        <f>VALUE(0)</f>
        <v>0</v>
      </c>
      <c r="BD263" s="23">
        <f>VALUE(0)</f>
        <v>0</v>
      </c>
      <c r="BE263" s="23">
        <f>VALUE(0)</f>
        <v>0</v>
      </c>
      <c r="BF263" s="23">
        <f>VALUE(0)</f>
        <v>0</v>
      </c>
      <c r="BG263" s="23">
        <f>VALUE(0)</f>
        <v>0</v>
      </c>
      <c r="BH263" s="23">
        <f>VALUE(0)</f>
        <v>0</v>
      </c>
      <c r="BI263" s="23">
        <f>VALUE(0)</f>
        <v>0</v>
      </c>
      <c r="BJ263" s="23">
        <f>VALUE(0)</f>
        <v>0</v>
      </c>
      <c r="BK263" s="12">
        <f>$AX$263*24</f>
        <v>0</v>
      </c>
      <c r="BL263" s="12">
        <f>$AY$263*24</f>
        <v>0</v>
      </c>
      <c r="BM263" s="12">
        <f>$BJ$263*24</f>
        <v>0</v>
      </c>
      <c r="BN263" s="12">
        <f>VALUE($I$263)/100</f>
        <v>1</v>
      </c>
      <c r="BO263" s="12">
        <v>0</v>
      </c>
      <c r="BP263" s="12">
        <v>0</v>
      </c>
      <c r="BQ263" s="12">
        <v>0</v>
      </c>
      <c r="BR263" s="12">
        <v>0</v>
      </c>
      <c r="BS263" s="12">
        <v>0</v>
      </c>
      <c r="BT263" s="12">
        <v>0</v>
      </c>
      <c r="BU263" s="12">
        <v>0</v>
      </c>
      <c r="BV263" s="12">
        <v>0</v>
      </c>
      <c r="BW263" s="12">
        <v>0</v>
      </c>
      <c r="BX263" s="12">
        <v>0</v>
      </c>
      <c r="BY263" s="12">
        <v>0</v>
      </c>
      <c r="BZ263" s="12">
        <v>0</v>
      </c>
      <c r="CA263" s="12">
        <v>0</v>
      </c>
    </row>
    <row r="264" spans="1:79" hidden="1" x14ac:dyDescent="0.2">
      <c r="A264" s="12" t="s">
        <v>137</v>
      </c>
      <c r="B264" s="12" t="s">
        <v>139</v>
      </c>
      <c r="C264" s="12" t="s">
        <v>139</v>
      </c>
      <c r="D264" s="22" t="s">
        <v>490</v>
      </c>
      <c r="E264" s="22" t="s">
        <v>161</v>
      </c>
      <c r="F264" s="22" t="s">
        <v>1015</v>
      </c>
      <c r="G264" s="22" t="s">
        <v>1016</v>
      </c>
      <c r="H264" s="22" t="s">
        <v>150</v>
      </c>
      <c r="I264" s="22" t="s">
        <v>151</v>
      </c>
      <c r="J264" s="22" t="s">
        <v>162</v>
      </c>
      <c r="K264" s="22" t="s">
        <v>94</v>
      </c>
      <c r="L264" s="54" t="s">
        <v>153</v>
      </c>
      <c r="M264" s="28" t="s">
        <v>163</v>
      </c>
      <c r="N264" s="24" t="s">
        <v>153</v>
      </c>
      <c r="O264" s="23" t="s">
        <v>153</v>
      </c>
      <c r="P264" s="23" t="s">
        <v>153</v>
      </c>
      <c r="Q264" s="23" t="s">
        <v>153</v>
      </c>
      <c r="R264" s="23" t="s">
        <v>153</v>
      </c>
      <c r="S264" s="24" t="s">
        <v>156</v>
      </c>
      <c r="T264" s="24" t="s">
        <v>156</v>
      </c>
      <c r="U264" s="24" t="s">
        <v>153</v>
      </c>
      <c r="V264" s="54" t="s">
        <v>153</v>
      </c>
      <c r="W264" s="23" t="s">
        <v>153</v>
      </c>
      <c r="X264" s="23" t="s">
        <v>153</v>
      </c>
      <c r="Y264" s="23" t="s">
        <v>153</v>
      </c>
      <c r="Z264" s="23" t="s">
        <v>153</v>
      </c>
      <c r="AA264" s="23" t="s">
        <v>153</v>
      </c>
      <c r="AB264" s="24" t="s">
        <v>153</v>
      </c>
      <c r="AC264" s="23" t="s">
        <v>153</v>
      </c>
      <c r="AD264" s="23" t="s">
        <v>153</v>
      </c>
      <c r="AE264" s="23" t="s">
        <v>153</v>
      </c>
      <c r="AF264" s="23" t="s">
        <v>153</v>
      </c>
      <c r="AG264" s="23" t="s">
        <v>153</v>
      </c>
      <c r="AH264" s="23" t="s">
        <v>153</v>
      </c>
      <c r="AI264" s="24" t="s">
        <v>153</v>
      </c>
      <c r="AJ264" s="24" t="s">
        <v>156</v>
      </c>
      <c r="AK264" s="24" t="s">
        <v>156</v>
      </c>
      <c r="AL264" s="23" t="s">
        <v>153</v>
      </c>
      <c r="AM264" s="23" t="s">
        <v>153</v>
      </c>
      <c r="AN264" s="23" t="s">
        <v>153</v>
      </c>
      <c r="AO264" s="23" t="s">
        <v>153</v>
      </c>
      <c r="AP264" s="23">
        <f>VALUE(0)</f>
        <v>0</v>
      </c>
      <c r="AQ264" s="23">
        <f>VALUE(0)</f>
        <v>0</v>
      </c>
      <c r="AR264" s="23">
        <f>VALUE(0)</f>
        <v>0</v>
      </c>
      <c r="AS264" s="23">
        <f>VALUE(0)</f>
        <v>0</v>
      </c>
      <c r="AT264" s="23">
        <f>VALUE(0)</f>
        <v>0</v>
      </c>
      <c r="AU264" s="23">
        <f>VALUE(1)</f>
        <v>1</v>
      </c>
      <c r="AV264" s="23">
        <f>VALUE(0)</f>
        <v>0</v>
      </c>
      <c r="AW264" s="23">
        <f>VALUE(0)</f>
        <v>0</v>
      </c>
      <c r="AX264" s="23" t="s">
        <v>171</v>
      </c>
      <c r="AY264" s="23" t="s">
        <v>518</v>
      </c>
      <c r="AZ264" s="23">
        <f>VALUE(0)</f>
        <v>0</v>
      </c>
      <c r="BA264" s="23">
        <f>VALUE(0)</f>
        <v>0</v>
      </c>
      <c r="BB264" s="23">
        <f>VALUE(0)</f>
        <v>0</v>
      </c>
      <c r="BC264" s="23">
        <f>VALUE(0)</f>
        <v>0</v>
      </c>
      <c r="BD264" s="23">
        <f>VALUE(0)</f>
        <v>0</v>
      </c>
      <c r="BE264" s="23">
        <f>VALUE(0)</f>
        <v>0</v>
      </c>
      <c r="BF264" s="23">
        <f>VALUE(0)</f>
        <v>0</v>
      </c>
      <c r="BG264" s="23">
        <f>VALUE(0)</f>
        <v>0</v>
      </c>
      <c r="BH264" s="23">
        <f>VALUE(0)</f>
        <v>0</v>
      </c>
      <c r="BI264" s="23">
        <f>VALUE(0)</f>
        <v>0</v>
      </c>
      <c r="BJ264" s="23">
        <f>VALUE(0)</f>
        <v>0</v>
      </c>
      <c r="BK264" s="12">
        <f>$AX$264*24</f>
        <v>5.833333333333333</v>
      </c>
      <c r="BL264" s="12">
        <f>$AY$264*24</f>
        <v>3.8500000000000005</v>
      </c>
      <c r="BM264" s="12">
        <f>$BJ$264*24</f>
        <v>0</v>
      </c>
      <c r="BN264" s="12">
        <f>VALUE($I$264)/100</f>
        <v>1</v>
      </c>
      <c r="BO264" s="12">
        <v>0</v>
      </c>
      <c r="BP264" s="12">
        <v>0</v>
      </c>
      <c r="BQ264" s="12">
        <v>0</v>
      </c>
      <c r="BR264" s="12">
        <v>0</v>
      </c>
      <c r="BS264" s="12">
        <v>0</v>
      </c>
      <c r="BT264" s="12">
        <v>0</v>
      </c>
      <c r="BU264" s="12">
        <v>0</v>
      </c>
      <c r="BV264" s="12">
        <v>0</v>
      </c>
      <c r="BW264" s="12">
        <v>0</v>
      </c>
      <c r="BX264" s="12">
        <v>0</v>
      </c>
      <c r="BY264" s="12">
        <v>0</v>
      </c>
      <c r="BZ264" s="12">
        <v>0</v>
      </c>
      <c r="CA264" s="12">
        <v>0</v>
      </c>
    </row>
    <row r="265" spans="1:79" hidden="1" x14ac:dyDescent="0.2">
      <c r="A265" s="12" t="s">
        <v>137</v>
      </c>
      <c r="B265" s="12" t="s">
        <v>139</v>
      </c>
      <c r="C265" s="12" t="s">
        <v>139</v>
      </c>
      <c r="D265" s="22" t="s">
        <v>497</v>
      </c>
      <c r="E265" s="22" t="s">
        <v>161</v>
      </c>
      <c r="F265" s="22" t="s">
        <v>1276</v>
      </c>
      <c r="G265" s="22" t="s">
        <v>1017</v>
      </c>
      <c r="H265" s="22" t="s">
        <v>166</v>
      </c>
      <c r="I265" s="22" t="s">
        <v>151</v>
      </c>
      <c r="J265" s="22" t="s">
        <v>162</v>
      </c>
      <c r="K265" s="22" t="s">
        <v>94</v>
      </c>
      <c r="L265" s="54" t="s">
        <v>156</v>
      </c>
      <c r="M265" s="24" t="s">
        <v>156</v>
      </c>
      <c r="N265" s="24" t="s">
        <v>153</v>
      </c>
      <c r="O265" s="23" t="s">
        <v>153</v>
      </c>
      <c r="P265" s="23" t="s">
        <v>153</v>
      </c>
      <c r="Q265" s="23" t="s">
        <v>153</v>
      </c>
      <c r="R265" s="23" t="s">
        <v>153</v>
      </c>
      <c r="S265" s="23" t="s">
        <v>153</v>
      </c>
      <c r="T265" s="23" t="s">
        <v>153</v>
      </c>
      <c r="U265" s="24" t="s">
        <v>153</v>
      </c>
      <c r="V265" s="54" t="s">
        <v>153</v>
      </c>
      <c r="W265" s="23" t="s">
        <v>153</v>
      </c>
      <c r="X265" s="23" t="s">
        <v>153</v>
      </c>
      <c r="Y265" s="23" t="s">
        <v>153</v>
      </c>
      <c r="Z265" s="23" t="s">
        <v>153</v>
      </c>
      <c r="AA265" s="23" t="s">
        <v>153</v>
      </c>
      <c r="AB265" s="24" t="s">
        <v>153</v>
      </c>
      <c r="AC265" s="24" t="s">
        <v>156</v>
      </c>
      <c r="AD265" s="24" t="s">
        <v>156</v>
      </c>
      <c r="AE265" s="55" t="s">
        <v>1277</v>
      </c>
      <c r="AF265" s="55" t="s">
        <v>1277</v>
      </c>
      <c r="AG265" s="55" t="s">
        <v>1277</v>
      </c>
      <c r="AH265" s="55" t="s">
        <v>1277</v>
      </c>
      <c r="AI265" s="24" t="s">
        <v>153</v>
      </c>
      <c r="AJ265" s="23" t="s">
        <v>153</v>
      </c>
      <c r="AK265" s="23" t="s">
        <v>153</v>
      </c>
      <c r="AL265" s="23" t="s">
        <v>153</v>
      </c>
      <c r="AM265" s="23" t="s">
        <v>153</v>
      </c>
      <c r="AN265" s="23" t="s">
        <v>153</v>
      </c>
      <c r="AO265" s="23" t="s">
        <v>153</v>
      </c>
      <c r="AP265" s="23">
        <f>VALUE(0)</f>
        <v>0</v>
      </c>
      <c r="AQ265" s="23">
        <f>VALUE(0)</f>
        <v>0</v>
      </c>
      <c r="AR265" s="23">
        <f>VALUE(0)</f>
        <v>0</v>
      </c>
      <c r="AS265" s="23">
        <f>VALUE(0)</f>
        <v>0</v>
      </c>
      <c r="AT265" s="23">
        <f>VALUE(0)</f>
        <v>0</v>
      </c>
      <c r="AU265" s="23">
        <f>VALUE(0)</f>
        <v>0</v>
      </c>
      <c r="AV265" s="23">
        <f>VALUE(3)</f>
        <v>3</v>
      </c>
      <c r="AW265" s="23">
        <f>VALUE(0)</f>
        <v>0</v>
      </c>
      <c r="AX265" s="23" t="s">
        <v>1278</v>
      </c>
      <c r="AY265" s="23">
        <f>VALUE(0)</f>
        <v>0</v>
      </c>
      <c r="AZ265" s="23">
        <f>VALUE(0)</f>
        <v>0</v>
      </c>
      <c r="BA265" s="23">
        <f>VALUE(0)</f>
        <v>0</v>
      </c>
      <c r="BB265" s="23">
        <f>VALUE(0)</f>
        <v>0</v>
      </c>
      <c r="BC265" s="23">
        <f>VALUE(0)</f>
        <v>0</v>
      </c>
      <c r="BD265" s="23">
        <f>VALUE(0)</f>
        <v>0</v>
      </c>
      <c r="BE265" s="23">
        <f>VALUE(0)</f>
        <v>0</v>
      </c>
      <c r="BF265" s="23">
        <f>VALUE(0)</f>
        <v>0</v>
      </c>
      <c r="BG265" s="23">
        <f>VALUE(0)</f>
        <v>0</v>
      </c>
      <c r="BH265" s="23">
        <f>VALUE(0)</f>
        <v>0</v>
      </c>
      <c r="BI265" s="23">
        <f>VALUE(0)</f>
        <v>0</v>
      </c>
      <c r="BJ265" s="23">
        <f>VALUE(0)</f>
        <v>0</v>
      </c>
      <c r="BK265" s="12">
        <f>$AX$265*24</f>
        <v>6.3166666666666664</v>
      </c>
      <c r="BL265" s="12">
        <f>$AY$265*24</f>
        <v>0</v>
      </c>
      <c r="BM265" s="12">
        <f>$BJ$265*24</f>
        <v>0</v>
      </c>
      <c r="BN265" s="12">
        <f>VALUE($I$265)/100</f>
        <v>1</v>
      </c>
      <c r="BO265" s="12">
        <v>0</v>
      </c>
      <c r="BP265" s="12">
        <v>0</v>
      </c>
      <c r="BQ265" s="12">
        <v>0</v>
      </c>
      <c r="BR265" s="12">
        <v>0</v>
      </c>
      <c r="BS265" s="12">
        <v>0</v>
      </c>
      <c r="BT265" s="12">
        <v>0</v>
      </c>
      <c r="BU265" s="12">
        <v>0</v>
      </c>
      <c r="BV265" s="12">
        <v>0</v>
      </c>
      <c r="BW265" s="12">
        <v>0</v>
      </c>
      <c r="BX265" s="12">
        <v>0</v>
      </c>
      <c r="BY265" s="12">
        <v>0</v>
      </c>
      <c r="BZ265" s="12">
        <v>0</v>
      </c>
      <c r="CA265" s="12">
        <v>0</v>
      </c>
    </row>
    <row r="266" spans="1:79" hidden="1" x14ac:dyDescent="0.2">
      <c r="A266" s="12" t="s">
        <v>137</v>
      </c>
      <c r="B266" s="12" t="s">
        <v>139</v>
      </c>
      <c r="C266" s="12" t="s">
        <v>139</v>
      </c>
      <c r="D266" s="22" t="s">
        <v>519</v>
      </c>
      <c r="E266" s="22" t="s">
        <v>173</v>
      </c>
      <c r="F266" s="22" t="s">
        <v>1018</v>
      </c>
      <c r="G266" s="22" t="s">
        <v>1019</v>
      </c>
      <c r="H266" s="22" t="s">
        <v>190</v>
      </c>
      <c r="I266" s="22" t="s">
        <v>151</v>
      </c>
      <c r="J266" s="22" t="s">
        <v>162</v>
      </c>
      <c r="K266" s="22" t="s">
        <v>94</v>
      </c>
      <c r="L266" s="54" t="s">
        <v>153</v>
      </c>
      <c r="M266" s="23" t="s">
        <v>498</v>
      </c>
      <c r="N266" s="24" t="s">
        <v>153</v>
      </c>
      <c r="O266" s="23" t="s">
        <v>498</v>
      </c>
      <c r="P266" s="23" t="s">
        <v>498</v>
      </c>
      <c r="Q266" s="23" t="s">
        <v>498</v>
      </c>
      <c r="R266" s="23" t="s">
        <v>511</v>
      </c>
      <c r="S266" s="23" t="s">
        <v>511</v>
      </c>
      <c r="T266" s="23" t="s">
        <v>511</v>
      </c>
      <c r="U266" s="40" t="s">
        <v>153</v>
      </c>
      <c r="V266" s="40" t="s">
        <v>153</v>
      </c>
      <c r="W266" s="40" t="s">
        <v>153</v>
      </c>
      <c r="X266" s="40" t="s">
        <v>153</v>
      </c>
      <c r="Y266" s="40" t="s">
        <v>153</v>
      </c>
      <c r="Z266" s="40" t="s">
        <v>153</v>
      </c>
      <c r="AA266" s="40" t="s">
        <v>153</v>
      </c>
      <c r="AB266" s="40" t="s">
        <v>153</v>
      </c>
      <c r="AC266" s="40" t="s">
        <v>153</v>
      </c>
      <c r="AD266" s="40" t="s">
        <v>153</v>
      </c>
      <c r="AE266" s="40" t="s">
        <v>153</v>
      </c>
      <c r="AF266" s="40" t="s">
        <v>153</v>
      </c>
      <c r="AG266" s="40" t="s">
        <v>153</v>
      </c>
      <c r="AH266" s="40" t="s">
        <v>153</v>
      </c>
      <c r="AI266" s="40" t="s">
        <v>153</v>
      </c>
      <c r="AJ266" s="40" t="s">
        <v>153</v>
      </c>
      <c r="AK266" s="40" t="s">
        <v>153</v>
      </c>
      <c r="AL266" s="40" t="s">
        <v>153</v>
      </c>
      <c r="AM266" s="40" t="s">
        <v>153</v>
      </c>
      <c r="AN266" s="40" t="s">
        <v>153</v>
      </c>
      <c r="AO266" s="40" t="s">
        <v>153</v>
      </c>
      <c r="AP266" s="23">
        <f>VALUE(0)</f>
        <v>0</v>
      </c>
      <c r="AQ266" s="23">
        <f>VALUE(0)</f>
        <v>0</v>
      </c>
      <c r="AR266" s="23">
        <f>VALUE(0)</f>
        <v>0</v>
      </c>
      <c r="AS266" s="23">
        <f>VALUE(0)</f>
        <v>0</v>
      </c>
      <c r="AT266" s="23">
        <f>VALUE(0)</f>
        <v>0</v>
      </c>
      <c r="AU266" s="23">
        <f>VALUE(0)</f>
        <v>0</v>
      </c>
      <c r="AV266" s="23">
        <f>VALUE(4)</f>
        <v>4</v>
      </c>
      <c r="AW266" s="23">
        <f>VALUE(0)</f>
        <v>0</v>
      </c>
      <c r="AX266" s="23">
        <f>VALUE(0)</f>
        <v>0</v>
      </c>
      <c r="AY266" s="23">
        <f>VALUE(0)</f>
        <v>0</v>
      </c>
      <c r="AZ266" s="23">
        <f>VALUE(0)</f>
        <v>0</v>
      </c>
      <c r="BA266" s="23">
        <f>VALUE(0)</f>
        <v>0</v>
      </c>
      <c r="BB266" s="23">
        <f>VALUE(0)</f>
        <v>0</v>
      </c>
      <c r="BC266" s="23">
        <f>VALUE(0)</f>
        <v>0</v>
      </c>
      <c r="BD266" s="23">
        <f>VALUE(0)</f>
        <v>0</v>
      </c>
      <c r="BE266" s="23">
        <f>VALUE(0)</f>
        <v>0</v>
      </c>
      <c r="BF266" s="23">
        <f>VALUE(0)</f>
        <v>0</v>
      </c>
      <c r="BG266" s="23">
        <f>VALUE(0)</f>
        <v>0</v>
      </c>
      <c r="BH266" s="23">
        <f>VALUE(0)</f>
        <v>0</v>
      </c>
      <c r="BI266" s="23">
        <f>VALUE(0)</f>
        <v>0</v>
      </c>
      <c r="BJ266" s="23">
        <f>VALUE(0)</f>
        <v>0</v>
      </c>
      <c r="BK266" s="12">
        <f>$AX$266*24</f>
        <v>0</v>
      </c>
      <c r="BL266" s="12">
        <f>$AY$266*24</f>
        <v>0</v>
      </c>
      <c r="BM266" s="12">
        <f>$BJ$266*24</f>
        <v>0</v>
      </c>
      <c r="BN266" s="12">
        <f>VALUE($I$266)/100</f>
        <v>1</v>
      </c>
      <c r="BO266" s="12">
        <v>0</v>
      </c>
      <c r="BP266" s="12">
        <v>0</v>
      </c>
      <c r="BQ266" s="12">
        <v>0</v>
      </c>
      <c r="BR266" s="12">
        <v>0</v>
      </c>
      <c r="BS266" s="12">
        <v>0</v>
      </c>
      <c r="BT266" s="12">
        <v>0</v>
      </c>
      <c r="BU266" s="12">
        <v>0</v>
      </c>
      <c r="BV266" s="12">
        <v>0</v>
      </c>
      <c r="BW266" s="12">
        <v>0</v>
      </c>
      <c r="BX266" s="12">
        <v>0</v>
      </c>
      <c r="BY266" s="12">
        <v>0</v>
      </c>
      <c r="BZ266" s="12">
        <v>0</v>
      </c>
      <c r="CA266" s="12">
        <v>0</v>
      </c>
    </row>
    <row r="267" spans="1:79" hidden="1" x14ac:dyDescent="0.2">
      <c r="A267" s="12" t="s">
        <v>137</v>
      </c>
      <c r="B267" s="12" t="s">
        <v>139</v>
      </c>
      <c r="C267" s="12" t="s">
        <v>139</v>
      </c>
      <c r="D267" s="22" t="s">
        <v>519</v>
      </c>
      <c r="E267" s="22" t="s">
        <v>159</v>
      </c>
      <c r="F267" s="22" t="s">
        <v>1020</v>
      </c>
      <c r="G267" s="22" t="s">
        <v>1021</v>
      </c>
      <c r="H267" s="22" t="s">
        <v>150</v>
      </c>
      <c r="I267" s="22" t="s">
        <v>151</v>
      </c>
      <c r="J267" s="22" t="s">
        <v>162</v>
      </c>
      <c r="K267" s="22" t="s">
        <v>94</v>
      </c>
      <c r="L267" s="54" t="s">
        <v>153</v>
      </c>
      <c r="M267" s="23" t="s">
        <v>492</v>
      </c>
      <c r="N267" s="24" t="s">
        <v>153</v>
      </c>
      <c r="O267" s="23" t="s">
        <v>492</v>
      </c>
      <c r="P267" s="23" t="s">
        <v>492</v>
      </c>
      <c r="Q267" s="24" t="s">
        <v>156</v>
      </c>
      <c r="R267" s="24" t="s">
        <v>156</v>
      </c>
      <c r="S267" s="28" t="s">
        <v>163</v>
      </c>
      <c r="T267" s="28" t="s">
        <v>163</v>
      </c>
      <c r="U267" s="24" t="s">
        <v>153</v>
      </c>
      <c r="V267" s="54" t="s">
        <v>153</v>
      </c>
      <c r="W267" s="28" t="s">
        <v>163</v>
      </c>
      <c r="X267" s="28" t="s">
        <v>163</v>
      </c>
      <c r="Y267" s="28" t="s">
        <v>163</v>
      </c>
      <c r="Z267" s="28" t="s">
        <v>163</v>
      </c>
      <c r="AA267" s="28" t="s">
        <v>163</v>
      </c>
      <c r="AB267" s="24" t="s">
        <v>153</v>
      </c>
      <c r="AC267" s="28" t="s">
        <v>163</v>
      </c>
      <c r="AD267" s="25" t="s">
        <v>588</v>
      </c>
      <c r="AE267" s="25" t="s">
        <v>588</v>
      </c>
      <c r="AF267" s="25" t="s">
        <v>588</v>
      </c>
      <c r="AG267" s="23" t="s">
        <v>511</v>
      </c>
      <c r="AH267" s="23" t="s">
        <v>511</v>
      </c>
      <c r="AI267" s="24" t="s">
        <v>153</v>
      </c>
      <c r="AJ267" s="23" t="s">
        <v>511</v>
      </c>
      <c r="AK267" s="23" t="s">
        <v>511</v>
      </c>
      <c r="AL267" s="23" t="s">
        <v>511</v>
      </c>
      <c r="AM267" s="23" t="s">
        <v>511</v>
      </c>
      <c r="AN267" s="24" t="s">
        <v>156</v>
      </c>
      <c r="AO267" s="24" t="s">
        <v>156</v>
      </c>
      <c r="AP267" s="23">
        <f>VALUE(22)</f>
        <v>22</v>
      </c>
      <c r="AQ267" s="23">
        <f>VALUE(0)</f>
        <v>0</v>
      </c>
      <c r="AR267" s="23">
        <f>VALUE(0)</f>
        <v>0</v>
      </c>
      <c r="AS267" s="23">
        <f>VALUE(0)</f>
        <v>0</v>
      </c>
      <c r="AT267" s="23">
        <f>VALUE(0)</f>
        <v>0</v>
      </c>
      <c r="AU267" s="23">
        <f>VALUE(8)</f>
        <v>8</v>
      </c>
      <c r="AV267" s="23">
        <f>VALUE(0)</f>
        <v>0</v>
      </c>
      <c r="AW267" s="23">
        <f>VALUE(0)</f>
        <v>0</v>
      </c>
      <c r="AX267" s="23">
        <f>VALUE(0)</f>
        <v>0</v>
      </c>
      <c r="AY267" s="23">
        <f>VALUE(0)</f>
        <v>0</v>
      </c>
      <c r="AZ267" s="23">
        <f>VALUE(0)</f>
        <v>0</v>
      </c>
      <c r="BA267" s="23">
        <f>VALUE(0)</f>
        <v>0</v>
      </c>
      <c r="BB267" s="23">
        <f>VALUE(0)</f>
        <v>0</v>
      </c>
      <c r="BC267" s="23">
        <f>VALUE(0)</f>
        <v>0</v>
      </c>
      <c r="BD267" s="23">
        <f>VALUE(3)</f>
        <v>3</v>
      </c>
      <c r="BE267" s="23">
        <f>VALUE(0)</f>
        <v>0</v>
      </c>
      <c r="BF267" s="23">
        <f>VALUE(0)</f>
        <v>0</v>
      </c>
      <c r="BG267" s="23">
        <f>VALUE(0)</f>
        <v>0</v>
      </c>
      <c r="BH267" s="23">
        <f>VALUE(0)</f>
        <v>0</v>
      </c>
      <c r="BI267" s="23">
        <f>VALUE(0)</f>
        <v>0</v>
      </c>
      <c r="BJ267" s="23">
        <f>VALUE(0)</f>
        <v>0</v>
      </c>
      <c r="BK267" s="12">
        <f>$AX$267*24</f>
        <v>0</v>
      </c>
      <c r="BL267" s="12">
        <f>$AY$267*24</f>
        <v>0</v>
      </c>
      <c r="BM267" s="12">
        <f>$BJ$267*24</f>
        <v>0</v>
      </c>
      <c r="BN267" s="12">
        <f>VALUE($I$267)/100</f>
        <v>1</v>
      </c>
      <c r="BO267" s="12">
        <v>0</v>
      </c>
      <c r="BP267" s="12">
        <v>0</v>
      </c>
      <c r="BQ267" s="12">
        <v>0</v>
      </c>
      <c r="BR267" s="12">
        <v>3</v>
      </c>
      <c r="BS267" s="12">
        <v>0</v>
      </c>
      <c r="BT267" s="12">
        <v>0</v>
      </c>
      <c r="BU267" s="12">
        <v>0</v>
      </c>
      <c r="BV267" s="12">
        <v>0</v>
      </c>
      <c r="BW267" s="12">
        <v>0</v>
      </c>
      <c r="BX267" s="12">
        <v>0</v>
      </c>
      <c r="BY267" s="12">
        <v>0</v>
      </c>
      <c r="BZ267" s="12">
        <v>0</v>
      </c>
      <c r="CA267" s="12">
        <v>0</v>
      </c>
    </row>
    <row r="268" spans="1:79" ht="16.5" hidden="1" x14ac:dyDescent="0.2">
      <c r="A268" s="12" t="s">
        <v>137</v>
      </c>
      <c r="B268" s="12" t="s">
        <v>139</v>
      </c>
      <c r="C268" s="12" t="s">
        <v>139</v>
      </c>
      <c r="D268" s="22" t="s">
        <v>1279</v>
      </c>
      <c r="E268" s="22" t="s">
        <v>173</v>
      </c>
      <c r="F268" s="22" t="s">
        <v>1022</v>
      </c>
      <c r="G268" s="22" t="s">
        <v>1023</v>
      </c>
      <c r="H268" s="22" t="s">
        <v>150</v>
      </c>
      <c r="I268" s="22" t="s">
        <v>151</v>
      </c>
      <c r="J268" s="22" t="s">
        <v>162</v>
      </c>
      <c r="K268" s="22" t="s">
        <v>94</v>
      </c>
      <c r="L268" s="54" t="s">
        <v>153</v>
      </c>
      <c r="M268" s="32" t="s">
        <v>188</v>
      </c>
      <c r="N268" s="24" t="s">
        <v>153</v>
      </c>
      <c r="O268" s="32" t="s">
        <v>188</v>
      </c>
      <c r="P268" s="32" t="s">
        <v>188</v>
      </c>
      <c r="Q268" s="32" t="s">
        <v>188</v>
      </c>
      <c r="R268" s="32" t="s">
        <v>188</v>
      </c>
      <c r="S268" s="32" t="s">
        <v>188</v>
      </c>
      <c r="T268" s="32" t="s">
        <v>188</v>
      </c>
      <c r="U268" s="24" t="s">
        <v>153</v>
      </c>
      <c r="V268" s="54" t="s">
        <v>153</v>
      </c>
      <c r="W268" s="26" t="s">
        <v>1280</v>
      </c>
      <c r="X268" s="24" t="s">
        <v>156</v>
      </c>
      <c r="Y268" s="24" t="s">
        <v>156</v>
      </c>
      <c r="Z268" s="26" t="s">
        <v>1280</v>
      </c>
      <c r="AA268" s="26" t="s">
        <v>1280</v>
      </c>
      <c r="AB268" s="24" t="s">
        <v>153</v>
      </c>
      <c r="AC268" s="26" t="s">
        <v>1280</v>
      </c>
      <c r="AD268" s="26" t="s">
        <v>1280</v>
      </c>
      <c r="AE268" s="26" t="s">
        <v>1280</v>
      </c>
      <c r="AF268" s="26" t="s">
        <v>1280</v>
      </c>
      <c r="AG268" s="26" t="s">
        <v>1280</v>
      </c>
      <c r="AH268" s="26" t="s">
        <v>1280</v>
      </c>
      <c r="AI268" s="24" t="s">
        <v>153</v>
      </c>
      <c r="AJ268" s="26" t="s">
        <v>1280</v>
      </c>
      <c r="AK268" s="26" t="s">
        <v>1280</v>
      </c>
      <c r="AL268" s="26" t="s">
        <v>1280</v>
      </c>
      <c r="AM268" s="26" t="s">
        <v>1280</v>
      </c>
      <c r="AN268" s="26" t="s">
        <v>1280</v>
      </c>
      <c r="AO268" s="26" t="s">
        <v>1280</v>
      </c>
      <c r="AP268" s="23">
        <f>VALUE(0)</f>
        <v>0</v>
      </c>
      <c r="AQ268" s="23">
        <f>VALUE(0)</f>
        <v>0</v>
      </c>
      <c r="AR268" s="23">
        <f>VALUE(0)</f>
        <v>0</v>
      </c>
      <c r="AS268" s="23">
        <f>VALUE(0)</f>
        <v>0</v>
      </c>
      <c r="AT268" s="23">
        <f>VALUE(0)</f>
        <v>0</v>
      </c>
      <c r="AU268" s="23">
        <f>VALUE(0)</f>
        <v>0</v>
      </c>
      <c r="AV268" s="23">
        <f>VALUE(32)</f>
        <v>32</v>
      </c>
      <c r="AW268" s="23">
        <f>VALUE(0)</f>
        <v>0</v>
      </c>
      <c r="AX268" s="23" t="s">
        <v>520</v>
      </c>
      <c r="AY268" s="23" t="s">
        <v>1281</v>
      </c>
      <c r="AZ268" s="23">
        <f>VALUE(7)</f>
        <v>7</v>
      </c>
      <c r="BA268" s="23">
        <f>VALUE(0)</f>
        <v>0</v>
      </c>
      <c r="BB268" s="23">
        <f>VALUE(0)</f>
        <v>0</v>
      </c>
      <c r="BC268" s="23">
        <f>VALUE(0)</f>
        <v>0</v>
      </c>
      <c r="BD268" s="23">
        <f>VALUE(0)</f>
        <v>0</v>
      </c>
      <c r="BE268" s="23">
        <f>VALUE(0)</f>
        <v>0</v>
      </c>
      <c r="BF268" s="23">
        <f>VALUE(0)</f>
        <v>0</v>
      </c>
      <c r="BG268" s="23">
        <f>VALUE(0)</f>
        <v>0</v>
      </c>
      <c r="BH268" s="23">
        <f>VALUE(0)</f>
        <v>0</v>
      </c>
      <c r="BI268" s="23">
        <f>VALUE(0)</f>
        <v>0</v>
      </c>
      <c r="BJ268" s="23">
        <f>VALUE(0)</f>
        <v>0</v>
      </c>
      <c r="BK268" s="12">
        <f>$AX$268*24</f>
        <v>9.4833333333333325</v>
      </c>
      <c r="BL268" s="12">
        <f>$AY$268*24</f>
        <v>33.15</v>
      </c>
      <c r="BM268" s="12">
        <f>$BJ$268*24</f>
        <v>0</v>
      </c>
      <c r="BN268" s="12">
        <f>VALUE($I$268)/100</f>
        <v>1</v>
      </c>
      <c r="BO268" s="12">
        <v>0</v>
      </c>
      <c r="BP268" s="12">
        <v>0</v>
      </c>
      <c r="BQ268" s="12">
        <v>0</v>
      </c>
      <c r="BR268" s="12">
        <v>0</v>
      </c>
      <c r="BS268" s="12">
        <v>0</v>
      </c>
      <c r="BT268" s="12">
        <v>0</v>
      </c>
      <c r="BU268" s="12">
        <v>0</v>
      </c>
      <c r="BV268" s="12">
        <v>0</v>
      </c>
      <c r="BW268" s="12">
        <v>0</v>
      </c>
      <c r="BX268" s="12">
        <v>0</v>
      </c>
      <c r="BY268" s="12">
        <v>0</v>
      </c>
      <c r="BZ268" s="12">
        <v>0</v>
      </c>
      <c r="CA268" s="12">
        <v>0</v>
      </c>
    </row>
    <row r="269" spans="1:79" hidden="1" x14ac:dyDescent="0.2">
      <c r="A269" s="12" t="s">
        <v>137</v>
      </c>
      <c r="B269" s="12" t="s">
        <v>139</v>
      </c>
      <c r="C269" s="12" t="s">
        <v>139</v>
      </c>
      <c r="D269" s="22" t="s">
        <v>521</v>
      </c>
      <c r="E269" s="22" t="s">
        <v>173</v>
      </c>
      <c r="F269" s="22" t="s">
        <v>1024</v>
      </c>
      <c r="G269" s="22" t="s">
        <v>1025</v>
      </c>
      <c r="H269" s="22" t="s">
        <v>150</v>
      </c>
      <c r="I269" s="22" t="s">
        <v>151</v>
      </c>
      <c r="J269" s="22" t="s">
        <v>162</v>
      </c>
      <c r="K269" s="22" t="s">
        <v>94</v>
      </c>
      <c r="L269" s="54" t="s">
        <v>153</v>
      </c>
      <c r="M269" s="23" t="s">
        <v>511</v>
      </c>
      <c r="N269" s="24" t="s">
        <v>153</v>
      </c>
      <c r="O269" s="28" t="s">
        <v>163</v>
      </c>
      <c r="P269" s="28" t="s">
        <v>163</v>
      </c>
      <c r="Q269" s="28" t="s">
        <v>163</v>
      </c>
      <c r="R269" s="28" t="s">
        <v>163</v>
      </c>
      <c r="S269" s="28" t="s">
        <v>163</v>
      </c>
      <c r="T269" s="28" t="s">
        <v>163</v>
      </c>
      <c r="U269" s="24" t="s">
        <v>153</v>
      </c>
      <c r="V269" s="54" t="s">
        <v>153</v>
      </c>
      <c r="W269" s="23" t="s">
        <v>511</v>
      </c>
      <c r="X269" s="24" t="s">
        <v>156</v>
      </c>
      <c r="Y269" s="24" t="s">
        <v>156</v>
      </c>
      <c r="Z269" s="23" t="s">
        <v>511</v>
      </c>
      <c r="AA269" s="23" t="s">
        <v>511</v>
      </c>
      <c r="AB269" s="24" t="s">
        <v>153</v>
      </c>
      <c r="AC269" s="23" t="s">
        <v>511</v>
      </c>
      <c r="AD269" s="25" t="s">
        <v>511</v>
      </c>
      <c r="AE269" s="25" t="s">
        <v>511</v>
      </c>
      <c r="AF269" s="25" t="s">
        <v>511</v>
      </c>
      <c r="AG269" s="23" t="s">
        <v>514</v>
      </c>
      <c r="AH269" s="23" t="s">
        <v>514</v>
      </c>
      <c r="AI269" s="24" t="s">
        <v>153</v>
      </c>
      <c r="AJ269" s="23" t="s">
        <v>490</v>
      </c>
      <c r="AK269" s="23" t="s">
        <v>490</v>
      </c>
      <c r="AL269" s="23" t="s">
        <v>512</v>
      </c>
      <c r="AM269" s="23" t="s">
        <v>512</v>
      </c>
      <c r="AN269" s="23" t="s">
        <v>514</v>
      </c>
      <c r="AO269" s="23" t="s">
        <v>514</v>
      </c>
      <c r="AP269" s="23">
        <f>VALUE(0)</f>
        <v>0</v>
      </c>
      <c r="AQ269" s="23">
        <f>VALUE(0)</f>
        <v>0</v>
      </c>
      <c r="AR269" s="23">
        <f>VALUE(0)</f>
        <v>0</v>
      </c>
      <c r="AS269" s="23">
        <f>VALUE(0)</f>
        <v>0</v>
      </c>
      <c r="AT269" s="23">
        <f>VALUE(0)</f>
        <v>0</v>
      </c>
      <c r="AU269" s="23">
        <f>VALUE(6)</f>
        <v>6</v>
      </c>
      <c r="AV269" s="23">
        <f>VALUE(1)</f>
        <v>1</v>
      </c>
      <c r="AW269" s="23">
        <f>VALUE(0)</f>
        <v>0</v>
      </c>
      <c r="AX269" s="23" t="s">
        <v>515</v>
      </c>
      <c r="AY269" s="23" t="s">
        <v>523</v>
      </c>
      <c r="AZ269" s="23">
        <f>VALUE(0)</f>
        <v>0</v>
      </c>
      <c r="BA269" s="23">
        <f>VALUE(0)</f>
        <v>0</v>
      </c>
      <c r="BB269" s="23">
        <f>VALUE(0)</f>
        <v>0</v>
      </c>
      <c r="BC269" s="23">
        <f>VALUE(0)</f>
        <v>0</v>
      </c>
      <c r="BD269" s="23">
        <f>VALUE(0)</f>
        <v>0</v>
      </c>
      <c r="BE269" s="23">
        <f>VALUE(0)</f>
        <v>0</v>
      </c>
      <c r="BF269" s="23">
        <f>VALUE(0)</f>
        <v>0</v>
      </c>
      <c r="BG269" s="23">
        <f>VALUE(0)</f>
        <v>0</v>
      </c>
      <c r="BH269" s="23">
        <f>VALUE(0)</f>
        <v>0</v>
      </c>
      <c r="BI269" s="23">
        <f>VALUE(0)</f>
        <v>0</v>
      </c>
      <c r="BJ269" s="23">
        <f>VALUE(0)</f>
        <v>0</v>
      </c>
      <c r="BK269" s="12">
        <f>$AX$269*24</f>
        <v>5.1166666666666663</v>
      </c>
      <c r="BL269" s="12">
        <f>$AY$269*24</f>
        <v>4.3833333333333337</v>
      </c>
      <c r="BM269" s="12">
        <f>$BJ$269*24</f>
        <v>0</v>
      </c>
      <c r="BN269" s="12">
        <f>VALUE($I$269)/100</f>
        <v>1</v>
      </c>
      <c r="BO269" s="12">
        <v>0</v>
      </c>
      <c r="BP269" s="12">
        <v>0</v>
      </c>
      <c r="BQ269" s="12">
        <v>0</v>
      </c>
      <c r="BR269" s="12">
        <v>0</v>
      </c>
      <c r="BS269" s="12">
        <v>0</v>
      </c>
      <c r="BT269" s="12">
        <v>0</v>
      </c>
      <c r="BU269" s="12">
        <v>0</v>
      </c>
      <c r="BV269" s="12">
        <v>0</v>
      </c>
      <c r="BW269" s="12">
        <v>0</v>
      </c>
      <c r="BX269" s="12">
        <v>0</v>
      </c>
      <c r="BY269" s="12">
        <v>0</v>
      </c>
      <c r="BZ269" s="12">
        <v>0</v>
      </c>
      <c r="CA269" s="12">
        <v>0</v>
      </c>
    </row>
    <row r="270" spans="1:79" ht="15" hidden="1" x14ac:dyDescent="0.25">
      <c r="A270" s="12" t="s">
        <v>137</v>
      </c>
      <c r="B270" s="12" t="s">
        <v>139</v>
      </c>
      <c r="C270" s="12" t="s">
        <v>139</v>
      </c>
      <c r="D270" s="31" t="s">
        <v>202</v>
      </c>
      <c r="E270" s="31" t="s">
        <v>153</v>
      </c>
      <c r="F270" s="31" t="s">
        <v>175</v>
      </c>
      <c r="G270" s="31" t="s">
        <v>153</v>
      </c>
      <c r="H270" s="31" t="s">
        <v>153</v>
      </c>
      <c r="I270" s="31" t="s">
        <v>153</v>
      </c>
      <c r="J270" s="31" t="s">
        <v>153</v>
      </c>
      <c r="K270" s="31" t="s">
        <v>153</v>
      </c>
      <c r="L270" s="31">
        <f>VALUE(0)</f>
        <v>0</v>
      </c>
      <c r="M270" s="31">
        <f>VALUE(9)</f>
        <v>9</v>
      </c>
      <c r="N270" s="31">
        <f>VALUE(0)</f>
        <v>0</v>
      </c>
      <c r="O270" s="31">
        <f>VALUE(9)</f>
        <v>9</v>
      </c>
      <c r="P270" s="31">
        <f>VALUE(9)</f>
        <v>9</v>
      </c>
      <c r="Q270" s="31">
        <f>VALUE(9)</f>
        <v>9</v>
      </c>
      <c r="R270" s="31">
        <f>VALUE(8)</f>
        <v>8</v>
      </c>
      <c r="S270" s="31">
        <f>VALUE(7)</f>
        <v>7</v>
      </c>
      <c r="T270" s="31">
        <f>VALUE(7)</f>
        <v>7</v>
      </c>
      <c r="U270" s="31">
        <f>VALUE(0)</f>
        <v>0</v>
      </c>
      <c r="V270" s="31">
        <f>VALUE(0)</f>
        <v>0</v>
      </c>
      <c r="W270" s="31">
        <f>VALUE(7)</f>
        <v>7</v>
      </c>
      <c r="X270" s="31">
        <f>VALUE(7)</f>
        <v>7</v>
      </c>
      <c r="Y270" s="31">
        <f>VALUE(7)</f>
        <v>7</v>
      </c>
      <c r="Z270" s="31">
        <f>VALUE(8)</f>
        <v>8</v>
      </c>
      <c r="AA270" s="31">
        <f>VALUE(8)</f>
        <v>8</v>
      </c>
      <c r="AB270" s="31">
        <f>VALUE(0)</f>
        <v>0</v>
      </c>
      <c r="AC270" s="31">
        <f>VALUE(8)</f>
        <v>8</v>
      </c>
      <c r="AD270" s="31">
        <f>VALUE(9)</f>
        <v>9</v>
      </c>
      <c r="AE270" s="31">
        <f>VALUE(8)</f>
        <v>8</v>
      </c>
      <c r="AF270" s="31">
        <f>VALUE(8)</f>
        <v>8</v>
      </c>
      <c r="AG270" s="31">
        <f>VALUE(8)</f>
        <v>8</v>
      </c>
      <c r="AH270" s="31">
        <f>VALUE(8)</f>
        <v>8</v>
      </c>
      <c r="AI270" s="31">
        <f>VALUE(0)</f>
        <v>0</v>
      </c>
      <c r="AJ270" s="31">
        <f>VALUE(9)</f>
        <v>9</v>
      </c>
      <c r="AK270" s="31">
        <f>VALUE(9)</f>
        <v>9</v>
      </c>
      <c r="AL270" s="31">
        <f>VALUE(8)</f>
        <v>8</v>
      </c>
      <c r="AM270" s="31">
        <f>VALUE(8)</f>
        <v>8</v>
      </c>
      <c r="AN270" s="31">
        <f>VALUE(8)</f>
        <v>8</v>
      </c>
      <c r="AO270" s="31">
        <f>VALUE(8)</f>
        <v>8</v>
      </c>
      <c r="AP270" s="31">
        <v>0</v>
      </c>
      <c r="AQ270" s="31">
        <v>0</v>
      </c>
      <c r="AR270" s="31">
        <v>0</v>
      </c>
      <c r="AS270" s="31">
        <v>0</v>
      </c>
      <c r="AT270" s="31">
        <v>0</v>
      </c>
      <c r="AU270" s="31">
        <v>0</v>
      </c>
      <c r="AV270" s="31">
        <v>0</v>
      </c>
      <c r="AW270" s="31">
        <v>0</v>
      </c>
      <c r="AX270" s="31">
        <v>0</v>
      </c>
      <c r="AY270" s="31">
        <v>0</v>
      </c>
      <c r="AZ270" s="31">
        <v>0</v>
      </c>
      <c r="BA270" s="31">
        <v>0</v>
      </c>
      <c r="BB270" s="31">
        <v>0</v>
      </c>
      <c r="BC270" s="31">
        <v>0</v>
      </c>
      <c r="BD270" s="31">
        <v>0</v>
      </c>
      <c r="BE270" s="31">
        <v>0</v>
      </c>
      <c r="BF270" s="31">
        <v>0</v>
      </c>
      <c r="BG270" s="31">
        <v>0</v>
      </c>
      <c r="BH270" s="31">
        <v>0</v>
      </c>
      <c r="BI270" s="31">
        <v>0</v>
      </c>
      <c r="BJ270" s="31">
        <v>0</v>
      </c>
      <c r="BK270" s="12">
        <v>0</v>
      </c>
      <c r="BL270" s="12">
        <v>0</v>
      </c>
      <c r="BM270" s="12">
        <v>0</v>
      </c>
      <c r="BN270" s="12"/>
      <c r="BO270" s="12">
        <v>0</v>
      </c>
      <c r="BP270" s="12">
        <v>0</v>
      </c>
      <c r="BQ270" s="12">
        <v>0</v>
      </c>
      <c r="BR270" s="12">
        <v>0</v>
      </c>
      <c r="BS270" s="12">
        <v>0</v>
      </c>
      <c r="BT270" s="12">
        <v>0</v>
      </c>
      <c r="BU270" s="12">
        <v>0</v>
      </c>
      <c r="BV270" s="12">
        <v>0</v>
      </c>
      <c r="BW270" s="12">
        <v>0</v>
      </c>
      <c r="BX270" s="12">
        <v>0</v>
      </c>
      <c r="BY270" s="12">
        <v>0</v>
      </c>
      <c r="BZ270" s="12">
        <v>0</v>
      </c>
      <c r="CA270" s="12">
        <v>0</v>
      </c>
    </row>
    <row r="271" spans="1:79" hidden="1" x14ac:dyDescent="0.2">
      <c r="A271" s="12" t="s">
        <v>137</v>
      </c>
      <c r="B271" s="12" t="s">
        <v>140</v>
      </c>
      <c r="C271" s="12" t="s">
        <v>140</v>
      </c>
      <c r="D271" s="22" t="s">
        <v>513</v>
      </c>
      <c r="E271" s="22" t="s">
        <v>149</v>
      </c>
      <c r="F271" s="22" t="s">
        <v>1026</v>
      </c>
      <c r="G271" s="22" t="s">
        <v>1027</v>
      </c>
      <c r="H271" s="22" t="s">
        <v>150</v>
      </c>
      <c r="I271" s="22" t="s">
        <v>151</v>
      </c>
      <c r="J271" s="22" t="s">
        <v>524</v>
      </c>
      <c r="K271" s="22" t="s">
        <v>95</v>
      </c>
      <c r="L271" s="54" t="s">
        <v>153</v>
      </c>
      <c r="M271" s="32" t="s">
        <v>188</v>
      </c>
      <c r="N271" s="24" t="s">
        <v>153</v>
      </c>
      <c r="O271" s="32" t="s">
        <v>188</v>
      </c>
      <c r="P271" s="23" t="s">
        <v>459</v>
      </c>
      <c r="Q271" s="23" t="s">
        <v>459</v>
      </c>
      <c r="R271" s="23" t="s">
        <v>459</v>
      </c>
      <c r="S271" s="23" t="s">
        <v>459</v>
      </c>
      <c r="T271" s="23" t="s">
        <v>459</v>
      </c>
      <c r="U271" s="24" t="s">
        <v>153</v>
      </c>
      <c r="V271" s="54" t="s">
        <v>153</v>
      </c>
      <c r="W271" s="23" t="s">
        <v>459</v>
      </c>
      <c r="X271" s="23" t="s">
        <v>459</v>
      </c>
      <c r="Y271" s="23" t="s">
        <v>459</v>
      </c>
      <c r="Z271" s="24" t="s">
        <v>156</v>
      </c>
      <c r="AA271" s="24" t="s">
        <v>156</v>
      </c>
      <c r="AB271" s="24" t="s">
        <v>153</v>
      </c>
      <c r="AC271" s="23" t="s">
        <v>459</v>
      </c>
      <c r="AD271" s="23" t="s">
        <v>459</v>
      </c>
      <c r="AE271" s="23" t="s">
        <v>459</v>
      </c>
      <c r="AF271" s="23" t="s">
        <v>459</v>
      </c>
      <c r="AG271" s="23" t="s">
        <v>459</v>
      </c>
      <c r="AH271" s="23" t="s">
        <v>459</v>
      </c>
      <c r="AI271" s="24" t="s">
        <v>153</v>
      </c>
      <c r="AJ271" s="23" t="s">
        <v>459</v>
      </c>
      <c r="AK271" s="23" t="s">
        <v>459</v>
      </c>
      <c r="AL271" s="23" t="s">
        <v>459</v>
      </c>
      <c r="AM271" s="23" t="s">
        <v>459</v>
      </c>
      <c r="AN271" s="23" t="s">
        <v>459</v>
      </c>
      <c r="AO271" s="23" t="s">
        <v>459</v>
      </c>
      <c r="AP271" s="23">
        <f>VALUE(0)</f>
        <v>0</v>
      </c>
      <c r="AQ271" s="23">
        <f>VALUE(0)</f>
        <v>0</v>
      </c>
      <c r="AR271" s="23">
        <f>VALUE(0)</f>
        <v>0</v>
      </c>
      <c r="AS271" s="23">
        <f>VALUE(0)</f>
        <v>0</v>
      </c>
      <c r="AT271" s="23">
        <f>VALUE(0)</f>
        <v>0</v>
      </c>
      <c r="AU271" s="23">
        <f>VALUE(0)</f>
        <v>0</v>
      </c>
      <c r="AV271" s="23">
        <f>VALUE(11)</f>
        <v>11</v>
      </c>
      <c r="AW271" s="23">
        <f>VALUE(0)</f>
        <v>0</v>
      </c>
      <c r="AX271" s="23" t="s">
        <v>1282</v>
      </c>
      <c r="AY271" s="23" t="s">
        <v>176</v>
      </c>
      <c r="AZ271" s="23">
        <f>VALUE(2)</f>
        <v>2</v>
      </c>
      <c r="BA271" s="23">
        <f>VALUE(0)</f>
        <v>0</v>
      </c>
      <c r="BB271" s="23">
        <f>VALUE(0)</f>
        <v>0</v>
      </c>
      <c r="BC271" s="23">
        <f>VALUE(0)</f>
        <v>0</v>
      </c>
      <c r="BD271" s="23">
        <f>VALUE(0)</f>
        <v>0</v>
      </c>
      <c r="BE271" s="23">
        <f>VALUE(0)</f>
        <v>0</v>
      </c>
      <c r="BF271" s="23">
        <f>VALUE(0)</f>
        <v>0</v>
      </c>
      <c r="BG271" s="23">
        <f>VALUE(0)</f>
        <v>0</v>
      </c>
      <c r="BH271" s="23">
        <f>VALUE(0)</f>
        <v>0</v>
      </c>
      <c r="BI271" s="23">
        <f>VALUE(0)</f>
        <v>0</v>
      </c>
      <c r="BJ271" s="23">
        <f>VALUE(0)</f>
        <v>0</v>
      </c>
      <c r="BK271" s="12">
        <f>$AX$271*24</f>
        <v>1.8333333333333335</v>
      </c>
      <c r="BL271" s="12">
        <f>$AY$271*24</f>
        <v>0</v>
      </c>
      <c r="BM271" s="12">
        <f>$BJ$271*24</f>
        <v>0</v>
      </c>
      <c r="BN271" s="12">
        <f>VALUE($I$271)/100</f>
        <v>1</v>
      </c>
      <c r="BO271" s="12">
        <v>0</v>
      </c>
      <c r="BP271" s="12">
        <v>0</v>
      </c>
      <c r="BQ271" s="12">
        <v>0</v>
      </c>
      <c r="BR271" s="12">
        <v>0</v>
      </c>
      <c r="BS271" s="12">
        <v>0</v>
      </c>
      <c r="BT271" s="12">
        <v>0</v>
      </c>
      <c r="BU271" s="12">
        <v>0</v>
      </c>
      <c r="BV271" s="12">
        <v>0</v>
      </c>
      <c r="BW271" s="12">
        <v>0</v>
      </c>
      <c r="BX271" s="12">
        <v>0</v>
      </c>
      <c r="BY271" s="12">
        <v>0</v>
      </c>
      <c r="BZ271" s="12">
        <v>0</v>
      </c>
      <c r="CA271" s="12">
        <v>0</v>
      </c>
    </row>
    <row r="272" spans="1:79" ht="15" hidden="1" x14ac:dyDescent="0.25">
      <c r="A272" s="12" t="s">
        <v>137</v>
      </c>
      <c r="B272" s="12" t="s">
        <v>140</v>
      </c>
      <c r="C272" s="12" t="s">
        <v>140</v>
      </c>
      <c r="D272" s="31" t="s">
        <v>262</v>
      </c>
      <c r="E272" s="31" t="s">
        <v>153</v>
      </c>
      <c r="F272" s="31" t="s">
        <v>175</v>
      </c>
      <c r="G272" s="31" t="s">
        <v>153</v>
      </c>
      <c r="H272" s="31" t="s">
        <v>153</v>
      </c>
      <c r="I272" s="31" t="s">
        <v>153</v>
      </c>
      <c r="J272" s="31" t="s">
        <v>153</v>
      </c>
      <c r="K272" s="31" t="s">
        <v>153</v>
      </c>
      <c r="L272" s="31">
        <f>VALUE(0)</f>
        <v>0</v>
      </c>
      <c r="M272" s="31">
        <f>VALUE(0)</f>
        <v>0</v>
      </c>
      <c r="N272" s="31">
        <f>VALUE(0)</f>
        <v>0</v>
      </c>
      <c r="O272" s="31">
        <f>VALUE(0)</f>
        <v>0</v>
      </c>
      <c r="P272" s="31">
        <f>VALUE(1)</f>
        <v>1</v>
      </c>
      <c r="Q272" s="31">
        <f>VALUE(1)</f>
        <v>1</v>
      </c>
      <c r="R272" s="31">
        <f>VALUE(1)</f>
        <v>1</v>
      </c>
      <c r="S272" s="31">
        <f>VALUE(1)</f>
        <v>1</v>
      </c>
      <c r="T272" s="31">
        <f>VALUE(1)</f>
        <v>1</v>
      </c>
      <c r="U272" s="31">
        <f>VALUE(0)</f>
        <v>0</v>
      </c>
      <c r="V272" s="31">
        <f>VALUE(0)</f>
        <v>0</v>
      </c>
      <c r="W272" s="31">
        <f>VALUE(1)</f>
        <v>1</v>
      </c>
      <c r="X272" s="31">
        <f>VALUE(1)</f>
        <v>1</v>
      </c>
      <c r="Y272" s="31">
        <f>VALUE(1)</f>
        <v>1</v>
      </c>
      <c r="Z272" s="31">
        <f>VALUE(0)</f>
        <v>0</v>
      </c>
      <c r="AA272" s="31">
        <f>VALUE(0)</f>
        <v>0</v>
      </c>
      <c r="AB272" s="31">
        <f>VALUE(0)</f>
        <v>0</v>
      </c>
      <c r="AC272" s="31">
        <f>VALUE(1)</f>
        <v>1</v>
      </c>
      <c r="AD272" s="31">
        <f>VALUE(1)</f>
        <v>1</v>
      </c>
      <c r="AE272" s="31">
        <f>VALUE(1)</f>
        <v>1</v>
      </c>
      <c r="AF272" s="31">
        <f>VALUE(1)</f>
        <v>1</v>
      </c>
      <c r="AG272" s="31">
        <f>VALUE(1)</f>
        <v>1</v>
      </c>
      <c r="AH272" s="31">
        <f>VALUE(1)</f>
        <v>1</v>
      </c>
      <c r="AI272" s="31">
        <f>VALUE(0)</f>
        <v>0</v>
      </c>
      <c r="AJ272" s="31">
        <f>VALUE(1)</f>
        <v>1</v>
      </c>
      <c r="AK272" s="31">
        <f>VALUE(1)</f>
        <v>1</v>
      </c>
      <c r="AL272" s="31">
        <f>VALUE(1)</f>
        <v>1</v>
      </c>
      <c r="AM272" s="31">
        <f>VALUE(1)</f>
        <v>1</v>
      </c>
      <c r="AN272" s="31">
        <f>VALUE(1)</f>
        <v>1</v>
      </c>
      <c r="AO272" s="31">
        <f>VALUE(1)</f>
        <v>1</v>
      </c>
      <c r="AP272" s="31">
        <v>0</v>
      </c>
      <c r="AQ272" s="31">
        <v>0</v>
      </c>
      <c r="AR272" s="31">
        <v>0</v>
      </c>
      <c r="AS272" s="31">
        <v>0</v>
      </c>
      <c r="AT272" s="31">
        <v>0</v>
      </c>
      <c r="AU272" s="31">
        <v>0</v>
      </c>
      <c r="AV272" s="31">
        <v>0</v>
      </c>
      <c r="AW272" s="31">
        <v>0</v>
      </c>
      <c r="AX272" s="31">
        <v>0</v>
      </c>
      <c r="AY272" s="31">
        <v>0</v>
      </c>
      <c r="AZ272" s="31">
        <v>0</v>
      </c>
      <c r="BA272" s="31">
        <v>0</v>
      </c>
      <c r="BB272" s="31">
        <v>0</v>
      </c>
      <c r="BC272" s="31">
        <v>0</v>
      </c>
      <c r="BD272" s="31">
        <v>0</v>
      </c>
      <c r="BE272" s="31">
        <v>0</v>
      </c>
      <c r="BF272" s="31">
        <v>0</v>
      </c>
      <c r="BG272" s="31">
        <v>0</v>
      </c>
      <c r="BH272" s="31">
        <v>0</v>
      </c>
      <c r="BI272" s="31">
        <v>0</v>
      </c>
      <c r="BJ272" s="31">
        <v>0</v>
      </c>
      <c r="BK272" s="12">
        <v>0</v>
      </c>
      <c r="BL272" s="12">
        <v>0</v>
      </c>
      <c r="BM272" s="12">
        <v>0</v>
      </c>
      <c r="BN272" s="12"/>
      <c r="BO272" s="12">
        <v>0</v>
      </c>
      <c r="BP272" s="12">
        <v>0</v>
      </c>
      <c r="BQ272" s="12">
        <v>0</v>
      </c>
      <c r="BR272" s="12">
        <v>0</v>
      </c>
      <c r="BS272" s="12">
        <v>0</v>
      </c>
      <c r="BT272" s="12">
        <v>0</v>
      </c>
      <c r="BU272" s="12">
        <v>0</v>
      </c>
      <c r="BV272" s="12">
        <v>0</v>
      </c>
      <c r="BW272" s="12">
        <v>0</v>
      </c>
      <c r="BX272" s="12">
        <v>0</v>
      </c>
      <c r="BY272" s="12">
        <v>0</v>
      </c>
      <c r="BZ272" s="12">
        <v>0</v>
      </c>
      <c r="CA272" s="12">
        <v>0</v>
      </c>
    </row>
    <row r="273" spans="1:79" hidden="1" x14ac:dyDescent="0.2">
      <c r="A273" s="12" t="s">
        <v>141</v>
      </c>
      <c r="B273" s="12" t="s">
        <v>142</v>
      </c>
      <c r="C273" s="12" t="s">
        <v>142</v>
      </c>
      <c r="D273" s="22" t="s">
        <v>525</v>
      </c>
      <c r="E273" s="22" t="s">
        <v>161</v>
      </c>
      <c r="F273" s="22" t="s">
        <v>1028</v>
      </c>
      <c r="G273" s="22" t="s">
        <v>1029</v>
      </c>
      <c r="H273" s="22" t="s">
        <v>279</v>
      </c>
      <c r="I273" s="22" t="s">
        <v>151</v>
      </c>
      <c r="J273" s="22" t="s">
        <v>181</v>
      </c>
      <c r="K273" s="22" t="s">
        <v>96</v>
      </c>
      <c r="L273" s="54" t="s">
        <v>153</v>
      </c>
      <c r="M273" s="23" t="s">
        <v>153</v>
      </c>
      <c r="N273" s="24" t="s">
        <v>153</v>
      </c>
      <c r="O273" s="23" t="s">
        <v>153</v>
      </c>
      <c r="P273" s="23" t="s">
        <v>153</v>
      </c>
      <c r="Q273" s="23" t="s">
        <v>153</v>
      </c>
      <c r="R273" s="23" t="s">
        <v>153</v>
      </c>
      <c r="S273" s="23" t="s">
        <v>153</v>
      </c>
      <c r="T273" s="23" t="s">
        <v>153</v>
      </c>
      <c r="U273" s="24" t="s">
        <v>153</v>
      </c>
      <c r="V273" s="54" t="s">
        <v>153</v>
      </c>
      <c r="W273" s="27" t="s">
        <v>153</v>
      </c>
      <c r="X273" s="27" t="s">
        <v>153</v>
      </c>
      <c r="Y273" s="27" t="s">
        <v>153</v>
      </c>
      <c r="Z273" s="27" t="s">
        <v>153</v>
      </c>
      <c r="AA273" s="27" t="s">
        <v>153</v>
      </c>
      <c r="AB273" s="24" t="s">
        <v>153</v>
      </c>
      <c r="AC273" s="27" t="s">
        <v>153</v>
      </c>
      <c r="AD273" s="27" t="s">
        <v>153</v>
      </c>
      <c r="AE273" s="27" t="s">
        <v>153</v>
      </c>
      <c r="AF273" s="27" t="s">
        <v>153</v>
      </c>
      <c r="AG273" s="27" t="s">
        <v>153</v>
      </c>
      <c r="AH273" s="27" t="s">
        <v>153</v>
      </c>
      <c r="AI273" s="24" t="s">
        <v>153</v>
      </c>
      <c r="AJ273" s="27" t="s">
        <v>153</v>
      </c>
      <c r="AK273" s="27" t="s">
        <v>153</v>
      </c>
      <c r="AL273" s="27" t="s">
        <v>153</v>
      </c>
      <c r="AM273" s="27" t="s">
        <v>153</v>
      </c>
      <c r="AN273" s="27" t="s">
        <v>153</v>
      </c>
      <c r="AO273" s="27" t="s">
        <v>153</v>
      </c>
      <c r="AP273" s="23">
        <f>VALUE(0)</f>
        <v>0</v>
      </c>
      <c r="AQ273" s="23">
        <f>VALUE(0)</f>
        <v>0</v>
      </c>
      <c r="AR273" s="23">
        <f>VALUE(0)</f>
        <v>0</v>
      </c>
      <c r="AS273" s="23">
        <f>VALUE(0)</f>
        <v>0</v>
      </c>
      <c r="AT273" s="23">
        <f>VALUE(0)</f>
        <v>0</v>
      </c>
      <c r="AU273" s="23">
        <f>VALUE(0)</f>
        <v>0</v>
      </c>
      <c r="AV273" s="23">
        <f>VALUE(0)</f>
        <v>0</v>
      </c>
      <c r="AW273" s="23">
        <f>VALUE(0)</f>
        <v>0</v>
      </c>
      <c r="AX273" s="23">
        <f>VALUE(0)</f>
        <v>0</v>
      </c>
      <c r="AY273" s="23">
        <f>VALUE(0)</f>
        <v>0</v>
      </c>
      <c r="AZ273" s="23">
        <f>VALUE(0)</f>
        <v>0</v>
      </c>
      <c r="BA273" s="23">
        <f>VALUE(0)</f>
        <v>0</v>
      </c>
      <c r="BB273" s="23">
        <f>VALUE(0)</f>
        <v>0</v>
      </c>
      <c r="BC273" s="23">
        <f>VALUE(0)</f>
        <v>0</v>
      </c>
      <c r="BD273" s="23">
        <f>VALUE(0)</f>
        <v>0</v>
      </c>
      <c r="BE273" s="23">
        <f>VALUE(0)</f>
        <v>0</v>
      </c>
      <c r="BF273" s="23">
        <f>VALUE(0)</f>
        <v>0</v>
      </c>
      <c r="BG273" s="23">
        <f>VALUE(0)</f>
        <v>0</v>
      </c>
      <c r="BH273" s="23">
        <f>VALUE(0)</f>
        <v>0</v>
      </c>
      <c r="BI273" s="23">
        <f>VALUE(0)</f>
        <v>0</v>
      </c>
      <c r="BJ273" s="23">
        <f>VALUE(0)</f>
        <v>0</v>
      </c>
      <c r="BK273" s="12">
        <f>$AX$273*24</f>
        <v>0</v>
      </c>
      <c r="BL273" s="12">
        <f>$AY$273*24</f>
        <v>0</v>
      </c>
      <c r="BM273" s="12">
        <f>$BJ$273*24</f>
        <v>0</v>
      </c>
      <c r="BN273" s="12">
        <f>VALUE($I$273)/100</f>
        <v>1</v>
      </c>
      <c r="BO273" s="12">
        <v>0</v>
      </c>
      <c r="BP273" s="12">
        <v>0</v>
      </c>
      <c r="BQ273" s="12">
        <v>0</v>
      </c>
      <c r="BR273" s="12">
        <v>0</v>
      </c>
      <c r="BS273" s="12">
        <v>0</v>
      </c>
      <c r="BT273" s="12">
        <v>0</v>
      </c>
      <c r="BU273" s="12">
        <v>0</v>
      </c>
      <c r="BV273" s="12">
        <v>0</v>
      </c>
      <c r="BW273" s="12">
        <v>0</v>
      </c>
      <c r="BX273" s="12">
        <v>0</v>
      </c>
      <c r="BY273" s="12">
        <v>0</v>
      </c>
      <c r="BZ273" s="12">
        <v>0</v>
      </c>
      <c r="CA273" s="12">
        <v>0</v>
      </c>
    </row>
    <row r="274" spans="1:79" ht="16.5" hidden="1" x14ac:dyDescent="0.2">
      <c r="A274" s="12" t="s">
        <v>141</v>
      </c>
      <c r="B274" s="12" t="s">
        <v>142</v>
      </c>
      <c r="C274" s="12" t="s">
        <v>142</v>
      </c>
      <c r="D274" s="22" t="s">
        <v>525</v>
      </c>
      <c r="E274" s="22" t="s">
        <v>161</v>
      </c>
      <c r="F274" s="22" t="s">
        <v>1030</v>
      </c>
      <c r="G274" s="22" t="s">
        <v>1031</v>
      </c>
      <c r="H274" s="22" t="s">
        <v>150</v>
      </c>
      <c r="I274" s="22" t="s">
        <v>151</v>
      </c>
      <c r="J274" s="22" t="s">
        <v>181</v>
      </c>
      <c r="K274" s="22" t="s">
        <v>96</v>
      </c>
      <c r="L274" s="54" t="s">
        <v>153</v>
      </c>
      <c r="M274" s="32" t="s">
        <v>188</v>
      </c>
      <c r="N274" s="24" t="s">
        <v>153</v>
      </c>
      <c r="O274" s="32" t="s">
        <v>188</v>
      </c>
      <c r="P274" s="32" t="s">
        <v>188</v>
      </c>
      <c r="Q274" s="32" t="s">
        <v>188</v>
      </c>
      <c r="R274" s="32" t="s">
        <v>188</v>
      </c>
      <c r="S274" s="32" t="s">
        <v>188</v>
      </c>
      <c r="T274" s="32" t="s">
        <v>188</v>
      </c>
      <c r="U274" s="24" t="s">
        <v>153</v>
      </c>
      <c r="V274" s="54" t="s">
        <v>156</v>
      </c>
      <c r="W274" s="24" t="s">
        <v>156</v>
      </c>
      <c r="X274" s="23" t="s">
        <v>153</v>
      </c>
      <c r="Y274" s="23" t="s">
        <v>153</v>
      </c>
      <c r="Z274" s="23" t="s">
        <v>153</v>
      </c>
      <c r="AA274" s="26" t="s">
        <v>1283</v>
      </c>
      <c r="AB274" s="24" t="s">
        <v>153</v>
      </c>
      <c r="AC274" s="23" t="s">
        <v>153</v>
      </c>
      <c r="AD274" s="23" t="s">
        <v>153</v>
      </c>
      <c r="AE274" s="23" t="s">
        <v>153</v>
      </c>
      <c r="AF274" s="23" t="s">
        <v>153</v>
      </c>
      <c r="AG274" s="23" t="s">
        <v>153</v>
      </c>
      <c r="AH274" s="26" t="s">
        <v>1283</v>
      </c>
      <c r="AI274" s="24" t="s">
        <v>153</v>
      </c>
      <c r="AJ274" s="23" t="s">
        <v>153</v>
      </c>
      <c r="AK274" s="23" t="s">
        <v>153</v>
      </c>
      <c r="AL274" s="23" t="s">
        <v>153</v>
      </c>
      <c r="AM274" s="23" t="s">
        <v>153</v>
      </c>
      <c r="AN274" s="23" t="s">
        <v>153</v>
      </c>
      <c r="AO274" s="26" t="s">
        <v>1283</v>
      </c>
      <c r="AP274" s="23">
        <f>VALUE(0)</f>
        <v>0</v>
      </c>
      <c r="AQ274" s="23">
        <f>VALUE(0)</f>
        <v>0</v>
      </c>
      <c r="AR274" s="23">
        <f>VALUE(0)</f>
        <v>0</v>
      </c>
      <c r="AS274" s="23">
        <f>VALUE(0)</f>
        <v>0</v>
      </c>
      <c r="AT274" s="23">
        <f>VALUE(0)</f>
        <v>0</v>
      </c>
      <c r="AU274" s="23">
        <f>VALUE(0)</f>
        <v>0</v>
      </c>
      <c r="AV274" s="23">
        <f>VALUE(32)</f>
        <v>32</v>
      </c>
      <c r="AW274" s="23">
        <f>VALUE(0)</f>
        <v>0</v>
      </c>
      <c r="AX274" s="23" t="s">
        <v>171</v>
      </c>
      <c r="AY274" s="23" t="s">
        <v>586</v>
      </c>
      <c r="AZ274" s="23">
        <f>VALUE(7)</f>
        <v>7</v>
      </c>
      <c r="BA274" s="23">
        <f>VALUE(0)</f>
        <v>0</v>
      </c>
      <c r="BB274" s="23">
        <f>VALUE(0)</f>
        <v>0</v>
      </c>
      <c r="BC274" s="23">
        <f>VALUE(0)</f>
        <v>0</v>
      </c>
      <c r="BD274" s="23">
        <f>VALUE(0)</f>
        <v>0</v>
      </c>
      <c r="BE274" s="23">
        <f>VALUE(0)</f>
        <v>0</v>
      </c>
      <c r="BF274" s="23">
        <f>VALUE(0)</f>
        <v>0</v>
      </c>
      <c r="BG274" s="23">
        <f>VALUE(0)</f>
        <v>0</v>
      </c>
      <c r="BH274" s="23">
        <f>VALUE(0)</f>
        <v>0</v>
      </c>
      <c r="BI274" s="23">
        <f>VALUE(0)</f>
        <v>0</v>
      </c>
      <c r="BJ274" s="23">
        <f>VALUE(0)</f>
        <v>0</v>
      </c>
      <c r="BK274" s="12">
        <f>$AX$274*24</f>
        <v>5.833333333333333</v>
      </c>
      <c r="BL274" s="12">
        <f>$AY$274*24</f>
        <v>6.2333333333333343</v>
      </c>
      <c r="BM274" s="12">
        <f>$BJ$274*24</f>
        <v>0</v>
      </c>
      <c r="BN274" s="12">
        <f>VALUE($I$274)/100</f>
        <v>1</v>
      </c>
      <c r="BO274" s="12">
        <v>0</v>
      </c>
      <c r="BP274" s="12">
        <v>0</v>
      </c>
      <c r="BQ274" s="12">
        <v>0</v>
      </c>
      <c r="BR274" s="12">
        <v>0</v>
      </c>
      <c r="BS274" s="12">
        <v>0</v>
      </c>
      <c r="BT274" s="12">
        <v>0</v>
      </c>
      <c r="BU274" s="12">
        <v>0</v>
      </c>
      <c r="BV274" s="12">
        <v>0</v>
      </c>
      <c r="BW274" s="12">
        <v>0</v>
      </c>
      <c r="BX274" s="12">
        <v>0</v>
      </c>
      <c r="BY274" s="12">
        <v>0</v>
      </c>
      <c r="BZ274" s="12">
        <v>0</v>
      </c>
      <c r="CA274" s="12">
        <v>0</v>
      </c>
    </row>
    <row r="275" spans="1:79" ht="16.5" hidden="1" x14ac:dyDescent="0.2">
      <c r="A275" s="12" t="s">
        <v>141</v>
      </c>
      <c r="B275" s="12" t="s">
        <v>142</v>
      </c>
      <c r="C275" s="12" t="s">
        <v>142</v>
      </c>
      <c r="D275" s="22" t="s">
        <v>182</v>
      </c>
      <c r="E275" s="22" t="s">
        <v>161</v>
      </c>
      <c r="F275" s="22" t="s">
        <v>1032</v>
      </c>
      <c r="G275" s="22" t="s">
        <v>1033</v>
      </c>
      <c r="H275" s="22" t="s">
        <v>150</v>
      </c>
      <c r="I275" s="22" t="s">
        <v>151</v>
      </c>
      <c r="J275" s="22" t="s">
        <v>181</v>
      </c>
      <c r="K275" s="22" t="s">
        <v>96</v>
      </c>
      <c r="L275" s="54" t="s">
        <v>153</v>
      </c>
      <c r="M275" s="26" t="s">
        <v>526</v>
      </c>
      <c r="N275" s="24" t="s">
        <v>153</v>
      </c>
      <c r="O275" s="23" t="s">
        <v>153</v>
      </c>
      <c r="P275" s="23" t="s">
        <v>153</v>
      </c>
      <c r="Q275" s="23" t="s">
        <v>153</v>
      </c>
      <c r="R275" s="23" t="s">
        <v>153</v>
      </c>
      <c r="S275" s="23" t="s">
        <v>153</v>
      </c>
      <c r="T275" s="24" t="s">
        <v>156</v>
      </c>
      <c r="U275" s="24" t="s">
        <v>153</v>
      </c>
      <c r="V275" s="54" t="s">
        <v>153</v>
      </c>
      <c r="W275" s="23" t="s">
        <v>153</v>
      </c>
      <c r="X275" s="23" t="s">
        <v>153</v>
      </c>
      <c r="Y275" s="23" t="s">
        <v>153</v>
      </c>
      <c r="Z275" s="28" t="s">
        <v>163</v>
      </c>
      <c r="AA275" s="28" t="s">
        <v>163</v>
      </c>
      <c r="AB275" s="24" t="s">
        <v>153</v>
      </c>
      <c r="AC275" s="28" t="s">
        <v>163</v>
      </c>
      <c r="AD275" s="28" t="s">
        <v>163</v>
      </c>
      <c r="AE275" s="23" t="s">
        <v>153</v>
      </c>
      <c r="AF275" s="23" t="s">
        <v>153</v>
      </c>
      <c r="AG275" s="23" t="s">
        <v>153</v>
      </c>
      <c r="AH275" s="24" t="s">
        <v>156</v>
      </c>
      <c r="AI275" s="24" t="s">
        <v>153</v>
      </c>
      <c r="AJ275" s="23" t="s">
        <v>153</v>
      </c>
      <c r="AK275" s="23" t="s">
        <v>153</v>
      </c>
      <c r="AL275" s="23" t="s">
        <v>153</v>
      </c>
      <c r="AM275" s="23" t="s">
        <v>153</v>
      </c>
      <c r="AN275" s="23" t="s">
        <v>153</v>
      </c>
      <c r="AO275" s="26" t="s">
        <v>526</v>
      </c>
      <c r="AP275" s="23">
        <f>VALUE(0)</f>
        <v>0</v>
      </c>
      <c r="AQ275" s="23">
        <f>VALUE(0)</f>
        <v>0</v>
      </c>
      <c r="AR275" s="23">
        <f>VALUE(0)</f>
        <v>0</v>
      </c>
      <c r="AS275" s="23">
        <f>VALUE(0)</f>
        <v>0</v>
      </c>
      <c r="AT275" s="23">
        <f>VALUE(0)</f>
        <v>0</v>
      </c>
      <c r="AU275" s="23">
        <f>VALUE(4)</f>
        <v>4</v>
      </c>
      <c r="AV275" s="23">
        <f>VALUE(1)</f>
        <v>1</v>
      </c>
      <c r="AW275" s="23">
        <f>VALUE(0)</f>
        <v>0</v>
      </c>
      <c r="AX275" s="23" t="s">
        <v>176</v>
      </c>
      <c r="AY275" s="23" t="s">
        <v>408</v>
      </c>
      <c r="AZ275" s="23">
        <f>VALUE(0)</f>
        <v>0</v>
      </c>
      <c r="BA275" s="23">
        <f>VALUE(0)</f>
        <v>0</v>
      </c>
      <c r="BB275" s="23">
        <f>VALUE(0)</f>
        <v>0</v>
      </c>
      <c r="BC275" s="23">
        <f>VALUE(0)</f>
        <v>0</v>
      </c>
      <c r="BD275" s="23">
        <f>VALUE(0)</f>
        <v>0</v>
      </c>
      <c r="BE275" s="23">
        <f>VALUE(0)</f>
        <v>0</v>
      </c>
      <c r="BF275" s="23">
        <f>VALUE(0)</f>
        <v>0</v>
      </c>
      <c r="BG275" s="23">
        <f>VALUE(0)</f>
        <v>0</v>
      </c>
      <c r="BH275" s="23">
        <f>VALUE(0)</f>
        <v>0</v>
      </c>
      <c r="BI275" s="23">
        <f>VALUE(0)</f>
        <v>0</v>
      </c>
      <c r="BJ275" s="23">
        <f>VALUE(0)</f>
        <v>0</v>
      </c>
      <c r="BK275" s="12">
        <f>$AX$275*24</f>
        <v>0</v>
      </c>
      <c r="BL275" s="12">
        <f>$AY$275*24</f>
        <v>10.75</v>
      </c>
      <c r="BM275" s="12">
        <f>$BJ$275*24</f>
        <v>0</v>
      </c>
      <c r="BN275" s="12">
        <f>VALUE($I$275)/100</f>
        <v>1</v>
      </c>
      <c r="BO275" s="12">
        <v>0</v>
      </c>
      <c r="BP275" s="12">
        <v>0</v>
      </c>
      <c r="BQ275" s="12">
        <v>0</v>
      </c>
      <c r="BR275" s="12">
        <v>0</v>
      </c>
      <c r="BS275" s="12">
        <v>0</v>
      </c>
      <c r="BT275" s="12">
        <v>0</v>
      </c>
      <c r="BU275" s="12">
        <v>0</v>
      </c>
      <c r="BV275" s="12">
        <v>0</v>
      </c>
      <c r="BW275" s="12">
        <v>0</v>
      </c>
      <c r="BX275" s="12">
        <v>0</v>
      </c>
      <c r="BY275" s="12">
        <v>0</v>
      </c>
      <c r="BZ275" s="12">
        <v>0</v>
      </c>
      <c r="CA275" s="12">
        <v>0</v>
      </c>
    </row>
    <row r="276" spans="1:79" ht="16.5" hidden="1" x14ac:dyDescent="0.2">
      <c r="A276" s="12" t="s">
        <v>141</v>
      </c>
      <c r="B276" s="12" t="s">
        <v>142</v>
      </c>
      <c r="C276" s="12" t="s">
        <v>142</v>
      </c>
      <c r="D276" s="22" t="s">
        <v>185</v>
      </c>
      <c r="E276" s="22" t="s">
        <v>161</v>
      </c>
      <c r="F276" s="22" t="s">
        <v>1284</v>
      </c>
      <c r="G276" s="22" t="s">
        <v>1034</v>
      </c>
      <c r="H276" s="22" t="s">
        <v>166</v>
      </c>
      <c r="I276" s="22" t="s">
        <v>151</v>
      </c>
      <c r="J276" s="22" t="s">
        <v>181</v>
      </c>
      <c r="K276" s="22" t="s">
        <v>96</v>
      </c>
      <c r="L276" s="54" t="s">
        <v>153</v>
      </c>
      <c r="M276" s="24" t="s">
        <v>156</v>
      </c>
      <c r="N276" s="24" t="s">
        <v>153</v>
      </c>
      <c r="O276" s="28" t="s">
        <v>163</v>
      </c>
      <c r="P276" s="23" t="s">
        <v>153</v>
      </c>
      <c r="Q276" s="23" t="s">
        <v>153</v>
      </c>
      <c r="R276" s="23" t="s">
        <v>153</v>
      </c>
      <c r="S276" s="23" t="s">
        <v>153</v>
      </c>
      <c r="T276" s="26" t="s">
        <v>527</v>
      </c>
      <c r="U276" s="24" t="s">
        <v>153</v>
      </c>
      <c r="V276" s="54" t="s">
        <v>153</v>
      </c>
      <c r="W276" s="23" t="s">
        <v>153</v>
      </c>
      <c r="X276" s="23" t="s">
        <v>153</v>
      </c>
      <c r="Y276" s="23" t="s">
        <v>153</v>
      </c>
      <c r="Z276" s="23" t="s">
        <v>153</v>
      </c>
      <c r="AA276" s="24" t="s">
        <v>156</v>
      </c>
      <c r="AB276" s="24" t="s">
        <v>153</v>
      </c>
      <c r="AC276" s="28" t="s">
        <v>163</v>
      </c>
      <c r="AD276" s="28" t="s">
        <v>163</v>
      </c>
      <c r="AE276" s="28" t="s">
        <v>163</v>
      </c>
      <c r="AF276" s="28" t="s">
        <v>163</v>
      </c>
      <c r="AG276" s="28" t="s">
        <v>163</v>
      </c>
      <c r="AH276" s="28" t="s">
        <v>163</v>
      </c>
      <c r="AI276" s="24" t="s">
        <v>153</v>
      </c>
      <c r="AJ276" s="23" t="s">
        <v>153</v>
      </c>
      <c r="AK276" s="23" t="s">
        <v>153</v>
      </c>
      <c r="AL276" s="23" t="s">
        <v>153</v>
      </c>
      <c r="AM276" s="23" t="s">
        <v>153</v>
      </c>
      <c r="AN276" s="23" t="s">
        <v>153</v>
      </c>
      <c r="AO276" s="24" t="s">
        <v>156</v>
      </c>
      <c r="AP276" s="23">
        <f>VALUE(0)</f>
        <v>0</v>
      </c>
      <c r="AQ276" s="23">
        <f>VALUE(0)</f>
        <v>0</v>
      </c>
      <c r="AR276" s="23">
        <f>VALUE(0)</f>
        <v>0</v>
      </c>
      <c r="AS276" s="23">
        <f>VALUE(0)</f>
        <v>0</v>
      </c>
      <c r="AT276" s="23">
        <f>VALUE(0)</f>
        <v>0</v>
      </c>
      <c r="AU276" s="23">
        <f>VALUE(7)</f>
        <v>7</v>
      </c>
      <c r="AV276" s="23">
        <f>VALUE(1)</f>
        <v>1</v>
      </c>
      <c r="AW276" s="23">
        <f>VALUE(0)</f>
        <v>0</v>
      </c>
      <c r="AX276" s="23" t="s">
        <v>1285</v>
      </c>
      <c r="AY276" s="23">
        <f>VALUE(0)</f>
        <v>0</v>
      </c>
      <c r="AZ276" s="23">
        <f>VALUE(0)</f>
        <v>0</v>
      </c>
      <c r="BA276" s="23">
        <f>VALUE(0)</f>
        <v>0</v>
      </c>
      <c r="BB276" s="23">
        <f>VALUE(0)</f>
        <v>0</v>
      </c>
      <c r="BC276" s="23">
        <f>VALUE(0)</f>
        <v>0</v>
      </c>
      <c r="BD276" s="23">
        <f>VALUE(0)</f>
        <v>0</v>
      </c>
      <c r="BE276" s="23">
        <f>VALUE(0)</f>
        <v>0</v>
      </c>
      <c r="BF276" s="23">
        <f>VALUE(0)</f>
        <v>0</v>
      </c>
      <c r="BG276" s="23">
        <f>VALUE(0)</f>
        <v>0</v>
      </c>
      <c r="BH276" s="23">
        <f>VALUE(0)</f>
        <v>0</v>
      </c>
      <c r="BI276" s="23">
        <f>VALUE(0)</f>
        <v>0</v>
      </c>
      <c r="BJ276" s="23">
        <f>VALUE(0)</f>
        <v>0</v>
      </c>
      <c r="BK276" s="12">
        <f>$AX$276*24</f>
        <v>17.016666666666666</v>
      </c>
      <c r="BL276" s="12">
        <f>$AY$276*24</f>
        <v>0</v>
      </c>
      <c r="BM276" s="12">
        <f>$BJ$276*24</f>
        <v>0</v>
      </c>
      <c r="BN276" s="12">
        <f>VALUE($I$276)/100</f>
        <v>1</v>
      </c>
      <c r="BO276" s="12">
        <v>0</v>
      </c>
      <c r="BP276" s="12">
        <v>0</v>
      </c>
      <c r="BQ276" s="12">
        <v>0</v>
      </c>
      <c r="BR276" s="12">
        <v>0</v>
      </c>
      <c r="BS276" s="12">
        <v>0</v>
      </c>
      <c r="BT276" s="12">
        <v>0</v>
      </c>
      <c r="BU276" s="12">
        <v>0</v>
      </c>
      <c r="BV276" s="12">
        <v>0</v>
      </c>
      <c r="BW276" s="12">
        <v>0</v>
      </c>
      <c r="BX276" s="12">
        <v>0</v>
      </c>
      <c r="BY276" s="12">
        <v>0</v>
      </c>
      <c r="BZ276" s="12">
        <v>0</v>
      </c>
      <c r="CA276" s="12">
        <v>0</v>
      </c>
    </row>
    <row r="277" spans="1:79" ht="15" hidden="1" x14ac:dyDescent="0.25">
      <c r="A277" s="12" t="s">
        <v>141</v>
      </c>
      <c r="B277" s="12" t="s">
        <v>142</v>
      </c>
      <c r="C277" s="12" t="s">
        <v>142</v>
      </c>
      <c r="D277" s="31" t="s">
        <v>355</v>
      </c>
      <c r="E277" s="31" t="s">
        <v>153</v>
      </c>
      <c r="F277" s="31" t="s">
        <v>175</v>
      </c>
      <c r="G277" s="31" t="s">
        <v>153</v>
      </c>
      <c r="H277" s="31" t="s">
        <v>153</v>
      </c>
      <c r="I277" s="31" t="s">
        <v>153</v>
      </c>
      <c r="J277" s="31" t="s">
        <v>153</v>
      </c>
      <c r="K277" s="31" t="s">
        <v>153</v>
      </c>
      <c r="L277" s="31">
        <f>VALUE(0)</f>
        <v>0</v>
      </c>
      <c r="M277" s="31">
        <f>VALUE(2)</f>
        <v>2</v>
      </c>
      <c r="N277" s="31">
        <f>VALUE(0)</f>
        <v>0</v>
      </c>
      <c r="O277" s="31">
        <f>VALUE(2)</f>
        <v>2</v>
      </c>
      <c r="P277" s="31">
        <f>VALUE(3)</f>
        <v>3</v>
      </c>
      <c r="Q277" s="31">
        <f>VALUE(3)</f>
        <v>3</v>
      </c>
      <c r="R277" s="31">
        <f>VALUE(3)</f>
        <v>3</v>
      </c>
      <c r="S277" s="31">
        <f>VALUE(3)</f>
        <v>3</v>
      </c>
      <c r="T277" s="31">
        <f>VALUE(2)</f>
        <v>2</v>
      </c>
      <c r="U277" s="31">
        <f>VALUE(0)</f>
        <v>0</v>
      </c>
      <c r="V277" s="31">
        <f>VALUE(0)</f>
        <v>0</v>
      </c>
      <c r="W277" s="31">
        <f>VALUE(2)</f>
        <v>2</v>
      </c>
      <c r="X277" s="31">
        <f>VALUE(3)</f>
        <v>3</v>
      </c>
      <c r="Y277" s="31">
        <f>VALUE(3)</f>
        <v>3</v>
      </c>
      <c r="Z277" s="31">
        <f>VALUE(2)</f>
        <v>2</v>
      </c>
      <c r="AA277" s="31">
        <f>VALUE(1)</f>
        <v>1</v>
      </c>
      <c r="AB277" s="31">
        <f>VALUE(0)</f>
        <v>0</v>
      </c>
      <c r="AC277" s="31">
        <f>VALUE(1)</f>
        <v>1</v>
      </c>
      <c r="AD277" s="31">
        <f>VALUE(1)</f>
        <v>1</v>
      </c>
      <c r="AE277" s="31">
        <f>VALUE(2)</f>
        <v>2</v>
      </c>
      <c r="AF277" s="31">
        <f>VALUE(2)</f>
        <v>2</v>
      </c>
      <c r="AG277" s="31">
        <f>VALUE(2)</f>
        <v>2</v>
      </c>
      <c r="AH277" s="31">
        <f>VALUE(1)</f>
        <v>1</v>
      </c>
      <c r="AI277" s="31">
        <f>VALUE(0)</f>
        <v>0</v>
      </c>
      <c r="AJ277" s="31">
        <f>VALUE(3)</f>
        <v>3</v>
      </c>
      <c r="AK277" s="31">
        <f>VALUE(3)</f>
        <v>3</v>
      </c>
      <c r="AL277" s="31">
        <f>VALUE(3)</f>
        <v>3</v>
      </c>
      <c r="AM277" s="31">
        <f>VALUE(3)</f>
        <v>3</v>
      </c>
      <c r="AN277" s="31">
        <f>VALUE(3)</f>
        <v>3</v>
      </c>
      <c r="AO277" s="31">
        <f>VALUE(2)</f>
        <v>2</v>
      </c>
      <c r="AP277" s="31">
        <v>0</v>
      </c>
      <c r="AQ277" s="31">
        <v>0</v>
      </c>
      <c r="AR277" s="31">
        <v>0</v>
      </c>
      <c r="AS277" s="31">
        <v>0</v>
      </c>
      <c r="AT277" s="31">
        <v>0</v>
      </c>
      <c r="AU277" s="31">
        <v>0</v>
      </c>
      <c r="AV277" s="31">
        <v>0</v>
      </c>
      <c r="AW277" s="31">
        <v>0</v>
      </c>
      <c r="AX277" s="31">
        <v>0</v>
      </c>
      <c r="AY277" s="31">
        <v>0</v>
      </c>
      <c r="AZ277" s="31">
        <v>0</v>
      </c>
      <c r="BA277" s="31">
        <v>0</v>
      </c>
      <c r="BB277" s="31">
        <v>0</v>
      </c>
      <c r="BC277" s="31">
        <v>0</v>
      </c>
      <c r="BD277" s="31">
        <v>0</v>
      </c>
      <c r="BE277" s="31">
        <v>0</v>
      </c>
      <c r="BF277" s="31">
        <v>0</v>
      </c>
      <c r="BG277" s="31">
        <v>0</v>
      </c>
      <c r="BH277" s="31">
        <v>0</v>
      </c>
      <c r="BI277" s="31">
        <v>0</v>
      </c>
      <c r="BJ277" s="31">
        <v>0</v>
      </c>
      <c r="BK277" s="12">
        <v>0</v>
      </c>
      <c r="BL277" s="12">
        <v>0</v>
      </c>
      <c r="BM277" s="12">
        <v>0</v>
      </c>
      <c r="BN277" s="12"/>
      <c r="BO277" s="12">
        <v>0</v>
      </c>
      <c r="BP277" s="12">
        <v>0</v>
      </c>
      <c r="BQ277" s="12">
        <v>0</v>
      </c>
      <c r="BR277" s="12">
        <v>0</v>
      </c>
      <c r="BS277" s="12">
        <v>0</v>
      </c>
      <c r="BT277" s="12">
        <v>0</v>
      </c>
      <c r="BU277" s="12">
        <v>0</v>
      </c>
      <c r="BV277" s="12">
        <v>0</v>
      </c>
      <c r="BW277" s="12">
        <v>0</v>
      </c>
      <c r="BX277" s="12">
        <v>0</v>
      </c>
      <c r="BY277" s="12">
        <v>0</v>
      </c>
      <c r="BZ277" s="12">
        <v>0</v>
      </c>
      <c r="CA277" s="12">
        <v>0</v>
      </c>
    </row>
    <row r="278" spans="1:79" hidden="1" x14ac:dyDescent="0.2">
      <c r="A278" s="12" t="s">
        <v>141</v>
      </c>
      <c r="B278" s="12" t="s">
        <v>143</v>
      </c>
      <c r="C278" s="12" t="s">
        <v>143</v>
      </c>
      <c r="D278" s="22" t="s">
        <v>528</v>
      </c>
      <c r="E278" s="22" t="s">
        <v>159</v>
      </c>
      <c r="F278" s="22" t="s">
        <v>1035</v>
      </c>
      <c r="G278" s="22" t="s">
        <v>1036</v>
      </c>
      <c r="H278" s="22" t="s">
        <v>166</v>
      </c>
      <c r="I278" s="22" t="s">
        <v>151</v>
      </c>
      <c r="J278" s="22" t="s">
        <v>524</v>
      </c>
      <c r="K278" s="22" t="s">
        <v>97</v>
      </c>
      <c r="L278" s="54" t="s">
        <v>153</v>
      </c>
      <c r="M278" s="23" t="s">
        <v>287</v>
      </c>
      <c r="N278" s="24" t="s">
        <v>153</v>
      </c>
      <c r="O278" s="23" t="s">
        <v>584</v>
      </c>
      <c r="P278" s="23" t="s">
        <v>584</v>
      </c>
      <c r="Q278" s="23" t="s">
        <v>300</v>
      </c>
      <c r="R278" s="23" t="s">
        <v>300</v>
      </c>
      <c r="S278" s="23" t="s">
        <v>300</v>
      </c>
      <c r="T278" s="23" t="s">
        <v>300</v>
      </c>
      <c r="U278" s="24" t="s">
        <v>153</v>
      </c>
      <c r="V278" s="54" t="s">
        <v>156</v>
      </c>
      <c r="W278" s="24" t="s">
        <v>156</v>
      </c>
      <c r="X278" s="23" t="s">
        <v>529</v>
      </c>
      <c r="Y278" s="23" t="s">
        <v>529</v>
      </c>
      <c r="Z278" s="23" t="s">
        <v>529</v>
      </c>
      <c r="AA278" s="23" t="s">
        <v>529</v>
      </c>
      <c r="AB278" s="24" t="s">
        <v>153</v>
      </c>
      <c r="AC278" s="23" t="s">
        <v>300</v>
      </c>
      <c r="AD278" s="23" t="s">
        <v>300</v>
      </c>
      <c r="AE278" s="23" t="s">
        <v>300</v>
      </c>
      <c r="AF278" s="23" t="s">
        <v>300</v>
      </c>
      <c r="AG278" s="23" t="s">
        <v>529</v>
      </c>
      <c r="AH278" s="23" t="s">
        <v>529</v>
      </c>
      <c r="AI278" s="24" t="s">
        <v>153</v>
      </c>
      <c r="AJ278" s="23" t="s">
        <v>584</v>
      </c>
      <c r="AK278" s="23" t="s">
        <v>584</v>
      </c>
      <c r="AL278" s="23" t="s">
        <v>300</v>
      </c>
      <c r="AM278" s="23" t="s">
        <v>300</v>
      </c>
      <c r="AN278" s="23" t="s">
        <v>584</v>
      </c>
      <c r="AO278" s="23" t="s">
        <v>584</v>
      </c>
      <c r="AP278" s="23">
        <f>VALUE(22)</f>
        <v>22</v>
      </c>
      <c r="AQ278" s="23">
        <f>VALUE(0)</f>
        <v>0</v>
      </c>
      <c r="AR278" s="23">
        <f>VALUE(0)</f>
        <v>0</v>
      </c>
      <c r="AS278" s="23">
        <f>VALUE(0)</f>
        <v>0</v>
      </c>
      <c r="AT278" s="23">
        <f>VALUE(0)</f>
        <v>0</v>
      </c>
      <c r="AU278" s="23">
        <f>VALUE(0)</f>
        <v>0</v>
      </c>
      <c r="AV278" s="23">
        <f>VALUE(2)</f>
        <v>2</v>
      </c>
      <c r="AW278" s="23">
        <f>VALUE(0)</f>
        <v>0</v>
      </c>
      <c r="AX278" s="23" t="s">
        <v>1287</v>
      </c>
      <c r="AY278" s="23">
        <f>VALUE(0)</f>
        <v>0</v>
      </c>
      <c r="AZ278" s="23">
        <f>VALUE(0)</f>
        <v>0</v>
      </c>
      <c r="BA278" s="23">
        <f>VALUE(0)</f>
        <v>0</v>
      </c>
      <c r="BB278" s="23">
        <f>VALUE(0)</f>
        <v>0</v>
      </c>
      <c r="BC278" s="23">
        <f>VALUE(0)</f>
        <v>0</v>
      </c>
      <c r="BD278" s="23">
        <f>VALUE(0)</f>
        <v>0</v>
      </c>
      <c r="BE278" s="23">
        <f>VALUE(0)</f>
        <v>0</v>
      </c>
      <c r="BF278" s="23">
        <f>VALUE(0)</f>
        <v>0</v>
      </c>
      <c r="BG278" s="23">
        <f>VALUE(0)</f>
        <v>0</v>
      </c>
      <c r="BH278" s="23">
        <f>VALUE(0)</f>
        <v>0</v>
      </c>
      <c r="BI278" s="23">
        <f>VALUE(0)</f>
        <v>0</v>
      </c>
      <c r="BJ278" s="23">
        <f>VALUE(0)</f>
        <v>0</v>
      </c>
      <c r="BK278" s="12">
        <f>$AX$278*24</f>
        <v>1.1499999999999999</v>
      </c>
      <c r="BL278" s="12">
        <f>$AY$278*24</f>
        <v>0</v>
      </c>
      <c r="BM278" s="12">
        <f>$BJ$278*24</f>
        <v>0</v>
      </c>
      <c r="BN278" s="12">
        <f>VALUE($I$278)/100</f>
        <v>1</v>
      </c>
      <c r="BO278" s="12">
        <v>0</v>
      </c>
      <c r="BP278" s="12">
        <v>0</v>
      </c>
      <c r="BQ278" s="12">
        <v>0</v>
      </c>
      <c r="BR278" s="12">
        <v>0</v>
      </c>
      <c r="BS278" s="12">
        <v>0</v>
      </c>
      <c r="BT278" s="12">
        <v>0</v>
      </c>
      <c r="BU278" s="12">
        <v>0</v>
      </c>
      <c r="BV278" s="12">
        <v>0</v>
      </c>
      <c r="BW278" s="12">
        <v>0</v>
      </c>
      <c r="BX278" s="12">
        <v>0</v>
      </c>
      <c r="BY278" s="12">
        <v>0</v>
      </c>
      <c r="BZ278" s="12">
        <v>0</v>
      </c>
      <c r="CA278" s="12">
        <v>0</v>
      </c>
    </row>
    <row r="279" spans="1:79" ht="16.5" hidden="1" x14ac:dyDescent="0.2">
      <c r="A279" s="12" t="s">
        <v>141</v>
      </c>
      <c r="B279" s="12" t="s">
        <v>143</v>
      </c>
      <c r="C279" s="12" t="s">
        <v>143</v>
      </c>
      <c r="D279" s="22" t="s">
        <v>1288</v>
      </c>
      <c r="E279" s="22" t="s">
        <v>161</v>
      </c>
      <c r="F279" s="22" t="s">
        <v>1037</v>
      </c>
      <c r="G279" s="22" t="s">
        <v>1038</v>
      </c>
      <c r="H279" s="22" t="s">
        <v>166</v>
      </c>
      <c r="I279" s="22" t="s">
        <v>151</v>
      </c>
      <c r="J279" s="22" t="s">
        <v>530</v>
      </c>
      <c r="K279" s="22" t="s">
        <v>97</v>
      </c>
      <c r="L279" s="54" t="s">
        <v>153</v>
      </c>
      <c r="M279" s="26" t="s">
        <v>531</v>
      </c>
      <c r="N279" s="24" t="s">
        <v>153</v>
      </c>
      <c r="O279" s="23" t="s">
        <v>300</v>
      </c>
      <c r="P279" s="23" t="s">
        <v>300</v>
      </c>
      <c r="Q279" s="26" t="s">
        <v>531</v>
      </c>
      <c r="R279" s="26" t="s">
        <v>531</v>
      </c>
      <c r="S279" s="26" t="s">
        <v>531</v>
      </c>
      <c r="T279" s="26" t="s">
        <v>531</v>
      </c>
      <c r="U279" s="24" t="s">
        <v>153</v>
      </c>
      <c r="V279" s="54" t="s">
        <v>153</v>
      </c>
      <c r="W279" s="23" t="s">
        <v>529</v>
      </c>
      <c r="X279" s="26" t="s">
        <v>531</v>
      </c>
      <c r="Y279" s="26" t="s">
        <v>531</v>
      </c>
      <c r="Z279" s="26" t="s">
        <v>531</v>
      </c>
      <c r="AA279" s="26" t="s">
        <v>531</v>
      </c>
      <c r="AB279" s="24" t="s">
        <v>153</v>
      </c>
      <c r="AC279" s="23" t="s">
        <v>380</v>
      </c>
      <c r="AD279" s="23" t="s">
        <v>380</v>
      </c>
      <c r="AE279" s="26" t="s">
        <v>531</v>
      </c>
      <c r="AF279" s="26" t="s">
        <v>531</v>
      </c>
      <c r="AG279" s="26" t="s">
        <v>531</v>
      </c>
      <c r="AH279" s="26" t="s">
        <v>531</v>
      </c>
      <c r="AI279" s="24" t="s">
        <v>153</v>
      </c>
      <c r="AJ279" s="24" t="s">
        <v>156</v>
      </c>
      <c r="AK279" s="24" t="s">
        <v>156</v>
      </c>
      <c r="AL279" s="26" t="s">
        <v>531</v>
      </c>
      <c r="AM279" s="26" t="s">
        <v>531</v>
      </c>
      <c r="AN279" s="26" t="s">
        <v>531</v>
      </c>
      <c r="AO279" s="26" t="s">
        <v>531</v>
      </c>
      <c r="AP279" s="23">
        <f>VALUE(31)</f>
        <v>31</v>
      </c>
      <c r="AQ279" s="23">
        <f>VALUE(0)</f>
        <v>0</v>
      </c>
      <c r="AR279" s="23">
        <f>VALUE(0)</f>
        <v>0</v>
      </c>
      <c r="AS279" s="23">
        <f>VALUE(0)</f>
        <v>0</v>
      </c>
      <c r="AT279" s="23">
        <f>VALUE(0)</f>
        <v>0</v>
      </c>
      <c r="AU279" s="23">
        <f>VALUE(0)</f>
        <v>0</v>
      </c>
      <c r="AV279" s="23">
        <f>VALUE(2)</f>
        <v>2</v>
      </c>
      <c r="AW279" s="23">
        <f>VALUE(0)</f>
        <v>0</v>
      </c>
      <c r="AX279" s="23" t="s">
        <v>425</v>
      </c>
      <c r="AY279" s="23">
        <f>VALUE(0)</f>
        <v>0</v>
      </c>
      <c r="AZ279" s="23">
        <f>VALUE(0)</f>
        <v>0</v>
      </c>
      <c r="BA279" s="23">
        <f>VALUE(0)</f>
        <v>0</v>
      </c>
      <c r="BB279" s="23">
        <f>VALUE(0)</f>
        <v>0</v>
      </c>
      <c r="BC279" s="23">
        <f>VALUE(0)</f>
        <v>0</v>
      </c>
      <c r="BD279" s="23">
        <f>VALUE(0)</f>
        <v>0</v>
      </c>
      <c r="BE279" s="23">
        <f>VALUE(0)</f>
        <v>0</v>
      </c>
      <c r="BF279" s="23">
        <f>VALUE(0)</f>
        <v>0</v>
      </c>
      <c r="BG279" s="23">
        <f>VALUE(0)</f>
        <v>0</v>
      </c>
      <c r="BH279" s="23">
        <f>VALUE(0)</f>
        <v>0</v>
      </c>
      <c r="BI279" s="23">
        <f>VALUE(0)</f>
        <v>0</v>
      </c>
      <c r="BJ279" s="23">
        <f>VALUE(0)</f>
        <v>0</v>
      </c>
      <c r="BK279" s="12">
        <f>$AX$279*24</f>
        <v>1.4166666666666667</v>
      </c>
      <c r="BL279" s="12">
        <f>$AY$279*24</f>
        <v>0</v>
      </c>
      <c r="BM279" s="12">
        <f>$BJ$279*24</f>
        <v>0</v>
      </c>
      <c r="BN279" s="12">
        <f>VALUE($I$279)/100</f>
        <v>1</v>
      </c>
      <c r="BO279" s="12">
        <v>0</v>
      </c>
      <c r="BP279" s="12">
        <v>0</v>
      </c>
      <c r="BQ279" s="12">
        <v>0</v>
      </c>
      <c r="BR279" s="12">
        <v>0</v>
      </c>
      <c r="BS279" s="12">
        <v>0</v>
      </c>
      <c r="BT279" s="12">
        <v>0</v>
      </c>
      <c r="BU279" s="12">
        <v>0</v>
      </c>
      <c r="BV279" s="12">
        <v>0</v>
      </c>
      <c r="BW279" s="12">
        <v>0</v>
      </c>
      <c r="BX279" s="12">
        <v>0</v>
      </c>
      <c r="BY279" s="12">
        <v>0</v>
      </c>
      <c r="BZ279" s="12">
        <v>0</v>
      </c>
      <c r="CA279" s="12">
        <v>0</v>
      </c>
    </row>
    <row r="280" spans="1:79" hidden="1" x14ac:dyDescent="0.2">
      <c r="A280" s="12" t="s">
        <v>141</v>
      </c>
      <c r="B280" s="12" t="s">
        <v>143</v>
      </c>
      <c r="C280" s="12" t="s">
        <v>143</v>
      </c>
      <c r="D280" s="22" t="s">
        <v>287</v>
      </c>
      <c r="E280" s="22" t="s">
        <v>161</v>
      </c>
      <c r="F280" s="22" t="s">
        <v>1039</v>
      </c>
      <c r="G280" s="22" t="s">
        <v>1040</v>
      </c>
      <c r="H280" s="22" t="s">
        <v>150</v>
      </c>
      <c r="I280" s="22" t="s">
        <v>1289</v>
      </c>
      <c r="J280" s="22" t="s">
        <v>162</v>
      </c>
      <c r="K280" s="22" t="s">
        <v>97</v>
      </c>
      <c r="L280" s="54" t="s">
        <v>153</v>
      </c>
      <c r="M280" s="24" t="s">
        <v>195</v>
      </c>
      <c r="N280" s="24" t="s">
        <v>153</v>
      </c>
      <c r="O280" s="23" t="s">
        <v>153</v>
      </c>
      <c r="P280" s="23" t="s">
        <v>153</v>
      </c>
      <c r="Q280" s="23" t="s">
        <v>153</v>
      </c>
      <c r="R280" s="23" t="s">
        <v>153</v>
      </c>
      <c r="S280" s="23" t="s">
        <v>153</v>
      </c>
      <c r="T280" s="23" t="s">
        <v>153</v>
      </c>
      <c r="U280" s="24" t="s">
        <v>153</v>
      </c>
      <c r="V280" s="54" t="s">
        <v>153</v>
      </c>
      <c r="W280" s="23" t="s">
        <v>153</v>
      </c>
      <c r="X280" s="24" t="s">
        <v>156</v>
      </c>
      <c r="Y280" s="24" t="s">
        <v>156</v>
      </c>
      <c r="Z280" s="23" t="s">
        <v>153</v>
      </c>
      <c r="AA280" s="23" t="s">
        <v>153</v>
      </c>
      <c r="AB280" s="24" t="s">
        <v>153</v>
      </c>
      <c r="AC280" s="23" t="s">
        <v>153</v>
      </c>
      <c r="AD280" s="23" t="s">
        <v>153</v>
      </c>
      <c r="AE280" s="23" t="s">
        <v>153</v>
      </c>
      <c r="AF280" s="23" t="s">
        <v>153</v>
      </c>
      <c r="AG280" s="23" t="s">
        <v>153</v>
      </c>
      <c r="AH280" s="23" t="s">
        <v>153</v>
      </c>
      <c r="AI280" s="24" t="s">
        <v>153</v>
      </c>
      <c r="AJ280" s="23" t="s">
        <v>153</v>
      </c>
      <c r="AK280" s="23" t="s">
        <v>153</v>
      </c>
      <c r="AL280" s="23" t="s">
        <v>153</v>
      </c>
      <c r="AM280" s="23" t="s">
        <v>153</v>
      </c>
      <c r="AN280" s="23" t="s">
        <v>153</v>
      </c>
      <c r="AO280" s="23" t="s">
        <v>153</v>
      </c>
      <c r="AP280" s="23">
        <f>VALUE(0)</f>
        <v>0</v>
      </c>
      <c r="AQ280" s="23">
        <f>VALUE(0)</f>
        <v>0</v>
      </c>
      <c r="AR280" s="23">
        <f>VALUE(0)</f>
        <v>0</v>
      </c>
      <c r="AS280" s="23">
        <f>VALUE(0)</f>
        <v>0</v>
      </c>
      <c r="AT280" s="23">
        <f>VALUE(0)</f>
        <v>0</v>
      </c>
      <c r="AU280" s="23">
        <f>VALUE(0)</f>
        <v>0</v>
      </c>
      <c r="AV280" s="23">
        <f>VALUE(5.5)</f>
        <v>5.5</v>
      </c>
      <c r="AW280" s="23">
        <f>VALUE(0)</f>
        <v>0</v>
      </c>
      <c r="AX280" s="23" t="s">
        <v>532</v>
      </c>
      <c r="AY280" s="23" t="s">
        <v>407</v>
      </c>
      <c r="AZ280" s="23">
        <f>VALUE(0)</f>
        <v>0</v>
      </c>
      <c r="BA280" s="23">
        <f>VALUE(0)</f>
        <v>0</v>
      </c>
      <c r="BB280" s="23">
        <f>VALUE(0)</f>
        <v>0</v>
      </c>
      <c r="BC280" s="23">
        <f>VALUE(0)</f>
        <v>0</v>
      </c>
      <c r="BD280" s="23">
        <f>VALUE(0)</f>
        <v>0</v>
      </c>
      <c r="BE280" s="23">
        <f>VALUE(0)</f>
        <v>0</v>
      </c>
      <c r="BF280" s="23">
        <f>VALUE(0)</f>
        <v>0</v>
      </c>
      <c r="BG280" s="23">
        <f>VALUE(0)</f>
        <v>0</v>
      </c>
      <c r="BH280" s="23">
        <f>VALUE(0)</f>
        <v>0</v>
      </c>
      <c r="BI280" s="23">
        <f>VALUE(0)</f>
        <v>0</v>
      </c>
      <c r="BJ280" s="23">
        <f>VALUE(0)</f>
        <v>0</v>
      </c>
      <c r="BK280" s="12">
        <f>$AX$280*24</f>
        <v>11.65</v>
      </c>
      <c r="BL280" s="12">
        <f>$AY$280*24</f>
        <v>1.2166666666666668</v>
      </c>
      <c r="BM280" s="12">
        <f>$BJ$280*24</f>
        <v>0</v>
      </c>
      <c r="BN280" s="12">
        <f>VALUE($I$280)/100</f>
        <v>0.79</v>
      </c>
      <c r="BO280" s="12">
        <v>0</v>
      </c>
      <c r="BP280" s="12">
        <v>0</v>
      </c>
      <c r="BQ280" s="12">
        <v>0</v>
      </c>
      <c r="BR280" s="12">
        <v>0</v>
      </c>
      <c r="BS280" s="12">
        <v>0</v>
      </c>
      <c r="BT280" s="12">
        <v>0</v>
      </c>
      <c r="BU280" s="12">
        <v>0</v>
      </c>
      <c r="BV280" s="12">
        <v>0</v>
      </c>
      <c r="BW280" s="12">
        <v>0</v>
      </c>
      <c r="BX280" s="12">
        <v>0</v>
      </c>
      <c r="BY280" s="12">
        <v>0</v>
      </c>
      <c r="BZ280" s="12">
        <v>0</v>
      </c>
      <c r="CA280" s="12">
        <v>0</v>
      </c>
    </row>
    <row r="281" spans="1:79" hidden="1" x14ac:dyDescent="0.2">
      <c r="A281" s="12" t="s">
        <v>141</v>
      </c>
      <c r="B281" s="12" t="s">
        <v>143</v>
      </c>
      <c r="C281" s="12" t="s">
        <v>143</v>
      </c>
      <c r="D281" s="22" t="s">
        <v>529</v>
      </c>
      <c r="E281" s="22" t="s">
        <v>161</v>
      </c>
      <c r="F281" s="22" t="s">
        <v>1041</v>
      </c>
      <c r="G281" s="22" t="s">
        <v>1042</v>
      </c>
      <c r="H281" s="22" t="s">
        <v>150</v>
      </c>
      <c r="I281" s="22" t="s">
        <v>151</v>
      </c>
      <c r="J281" s="22" t="s">
        <v>162</v>
      </c>
      <c r="K281" s="22" t="s">
        <v>97</v>
      </c>
      <c r="L281" s="54" t="s">
        <v>153</v>
      </c>
      <c r="M281" s="23" t="s">
        <v>153</v>
      </c>
      <c r="N281" s="24" t="s">
        <v>153</v>
      </c>
      <c r="O281" s="23" t="s">
        <v>153</v>
      </c>
      <c r="P281" s="23" t="s">
        <v>153</v>
      </c>
      <c r="Q281" s="23" t="s">
        <v>153</v>
      </c>
      <c r="R281" s="23" t="s">
        <v>153</v>
      </c>
      <c r="S281" s="23" t="s">
        <v>153</v>
      </c>
      <c r="T281" s="23" t="s">
        <v>153</v>
      </c>
      <c r="U281" s="24" t="s">
        <v>153</v>
      </c>
      <c r="V281" s="54" t="s">
        <v>153</v>
      </c>
      <c r="W281" s="28" t="s">
        <v>163</v>
      </c>
      <c r="X281" s="28" t="s">
        <v>163</v>
      </c>
      <c r="Y281" s="28" t="s">
        <v>163</v>
      </c>
      <c r="Z281" s="28" t="s">
        <v>163</v>
      </c>
      <c r="AA281" s="28" t="s">
        <v>163</v>
      </c>
      <c r="AB281" s="24" t="s">
        <v>153</v>
      </c>
      <c r="AC281" s="23" t="s">
        <v>153</v>
      </c>
      <c r="AD281" s="23" t="s">
        <v>153</v>
      </c>
      <c r="AE281" s="23" t="s">
        <v>153</v>
      </c>
      <c r="AF281" s="23" t="s">
        <v>153</v>
      </c>
      <c r="AG281" s="24" t="s">
        <v>156</v>
      </c>
      <c r="AH281" s="24" t="s">
        <v>156</v>
      </c>
      <c r="AI281" s="24" t="s">
        <v>153</v>
      </c>
      <c r="AJ281" s="23" t="s">
        <v>153</v>
      </c>
      <c r="AK281" s="23" t="s">
        <v>153</v>
      </c>
      <c r="AL281" s="23" t="s">
        <v>153</v>
      </c>
      <c r="AM281" s="23" t="s">
        <v>153</v>
      </c>
      <c r="AN281" s="23" t="s">
        <v>153</v>
      </c>
      <c r="AO281" s="23" t="s">
        <v>153</v>
      </c>
      <c r="AP281" s="23">
        <f>VALUE(41)</f>
        <v>41</v>
      </c>
      <c r="AQ281" s="23">
        <f>VALUE(0)</f>
        <v>0</v>
      </c>
      <c r="AR281" s="23">
        <f>VALUE(0)</f>
        <v>0</v>
      </c>
      <c r="AS281" s="23">
        <f>VALUE(0)</f>
        <v>0</v>
      </c>
      <c r="AT281" s="23">
        <f>VALUE(0)</f>
        <v>0</v>
      </c>
      <c r="AU281" s="23">
        <f>VALUE(5)</f>
        <v>5</v>
      </c>
      <c r="AV281" s="23">
        <f>VALUE(4)</f>
        <v>4</v>
      </c>
      <c r="AW281" s="23">
        <f>VALUE(0)</f>
        <v>0</v>
      </c>
      <c r="AX281" s="23" t="s">
        <v>1290</v>
      </c>
      <c r="AY281" s="23" t="s">
        <v>1291</v>
      </c>
      <c r="AZ281" s="23">
        <f>VALUE(0)</f>
        <v>0</v>
      </c>
      <c r="BA281" s="23">
        <f>VALUE(0)</f>
        <v>0</v>
      </c>
      <c r="BB281" s="23">
        <f>VALUE(0)</f>
        <v>0</v>
      </c>
      <c r="BC281" s="23">
        <f>VALUE(0)</f>
        <v>0</v>
      </c>
      <c r="BD281" s="23">
        <f>VALUE(0)</f>
        <v>0</v>
      </c>
      <c r="BE281" s="23">
        <f>VALUE(0)</f>
        <v>0</v>
      </c>
      <c r="BF281" s="23">
        <f>VALUE(0)</f>
        <v>0</v>
      </c>
      <c r="BG281" s="23">
        <f>VALUE(0)</f>
        <v>0</v>
      </c>
      <c r="BH281" s="23">
        <f>VALUE(0)</f>
        <v>0</v>
      </c>
      <c r="BI281" s="23">
        <f>VALUE(0)</f>
        <v>0</v>
      </c>
      <c r="BJ281" s="23">
        <f>VALUE(0)</f>
        <v>0</v>
      </c>
      <c r="BK281" s="12">
        <f>$AX$281*24</f>
        <v>3.9333333333333336</v>
      </c>
      <c r="BL281" s="12">
        <f>$AY$281*24</f>
        <v>4.7833333333333332</v>
      </c>
      <c r="BM281" s="12">
        <f>$BJ$281*24</f>
        <v>0</v>
      </c>
      <c r="BN281" s="12">
        <f>VALUE($I$281)/100</f>
        <v>1</v>
      </c>
      <c r="BO281" s="12">
        <v>0</v>
      </c>
      <c r="BP281" s="12">
        <v>0</v>
      </c>
      <c r="BQ281" s="12">
        <v>0</v>
      </c>
      <c r="BR281" s="12">
        <v>0</v>
      </c>
      <c r="BS281" s="12">
        <v>0</v>
      </c>
      <c r="BT281" s="12">
        <v>0</v>
      </c>
      <c r="BU281" s="12">
        <v>0</v>
      </c>
      <c r="BV281" s="12">
        <v>0</v>
      </c>
      <c r="BW281" s="12">
        <v>0</v>
      </c>
      <c r="BX281" s="12">
        <v>0</v>
      </c>
      <c r="BY281" s="12">
        <v>0</v>
      </c>
      <c r="BZ281" s="12">
        <v>0</v>
      </c>
      <c r="CA281" s="12">
        <v>0</v>
      </c>
    </row>
    <row r="282" spans="1:79" hidden="1" x14ac:dyDescent="0.2">
      <c r="A282" s="12" t="s">
        <v>141</v>
      </c>
      <c r="B282" s="12" t="s">
        <v>143</v>
      </c>
      <c r="C282" s="12" t="s">
        <v>143</v>
      </c>
      <c r="D282" s="22" t="s">
        <v>426</v>
      </c>
      <c r="E282" s="22" t="s">
        <v>161</v>
      </c>
      <c r="F282" s="22" t="s">
        <v>1043</v>
      </c>
      <c r="G282" s="22" t="s">
        <v>1044</v>
      </c>
      <c r="H282" s="22" t="s">
        <v>150</v>
      </c>
      <c r="I282" s="22" t="s">
        <v>151</v>
      </c>
      <c r="J282" s="22" t="s">
        <v>162</v>
      </c>
      <c r="K282" s="22" t="s">
        <v>97</v>
      </c>
      <c r="L282" s="54" t="s">
        <v>153</v>
      </c>
      <c r="M282" s="23" t="s">
        <v>153</v>
      </c>
      <c r="N282" s="24" t="s">
        <v>153</v>
      </c>
      <c r="O282" s="23" t="s">
        <v>153</v>
      </c>
      <c r="P282" s="23" t="s">
        <v>153</v>
      </c>
      <c r="Q282" s="23" t="s">
        <v>153</v>
      </c>
      <c r="R282" s="23" t="s">
        <v>153</v>
      </c>
      <c r="S282" s="23" t="s">
        <v>153</v>
      </c>
      <c r="T282" s="23" t="s">
        <v>153</v>
      </c>
      <c r="U282" s="24" t="s">
        <v>153</v>
      </c>
      <c r="V282" s="54" t="s">
        <v>153</v>
      </c>
      <c r="W282" s="28" t="s">
        <v>163</v>
      </c>
      <c r="X282" s="28" t="s">
        <v>163</v>
      </c>
      <c r="Y282" s="28" t="s">
        <v>163</v>
      </c>
      <c r="Z282" s="28" t="s">
        <v>163</v>
      </c>
      <c r="AA282" s="28" t="s">
        <v>163</v>
      </c>
      <c r="AB282" s="24" t="s">
        <v>153</v>
      </c>
      <c r="AC282" s="28" t="s">
        <v>163</v>
      </c>
      <c r="AD282" s="28" t="s">
        <v>163</v>
      </c>
      <c r="AE282" s="28" t="s">
        <v>163</v>
      </c>
      <c r="AF282" s="28" t="s">
        <v>163</v>
      </c>
      <c r="AG282" s="28" t="s">
        <v>163</v>
      </c>
      <c r="AH282" s="28" t="s">
        <v>163</v>
      </c>
      <c r="AI282" s="24" t="s">
        <v>153</v>
      </c>
      <c r="AJ282" s="23" t="s">
        <v>153</v>
      </c>
      <c r="AK282" s="23" t="s">
        <v>153</v>
      </c>
      <c r="AL282" s="23" t="s">
        <v>153</v>
      </c>
      <c r="AM282" s="23" t="s">
        <v>153</v>
      </c>
      <c r="AN282" s="23" t="s">
        <v>153</v>
      </c>
      <c r="AO282" s="23" t="s">
        <v>153</v>
      </c>
      <c r="AP282" s="23">
        <f>VALUE(30)</f>
        <v>30</v>
      </c>
      <c r="AQ282" s="23">
        <f>VALUE(0)</f>
        <v>0</v>
      </c>
      <c r="AR282" s="23">
        <f>VALUE(0)</f>
        <v>0</v>
      </c>
      <c r="AS282" s="23">
        <f>VALUE(0)</f>
        <v>0</v>
      </c>
      <c r="AT282" s="23">
        <f>VALUE(0)</f>
        <v>0</v>
      </c>
      <c r="AU282" s="23">
        <f>VALUE(11)</f>
        <v>11</v>
      </c>
      <c r="AV282" s="23">
        <f>VALUE(3)</f>
        <v>3</v>
      </c>
      <c r="AW282" s="23">
        <f>VALUE(0)</f>
        <v>0</v>
      </c>
      <c r="AX282" s="23" t="s">
        <v>445</v>
      </c>
      <c r="AY282" s="23">
        <f>VALUE(0)</f>
        <v>0</v>
      </c>
      <c r="AZ282" s="23">
        <f>VALUE(0)</f>
        <v>0</v>
      </c>
      <c r="BA282" s="23">
        <f>VALUE(0)</f>
        <v>0</v>
      </c>
      <c r="BB282" s="23">
        <f>VALUE(0)</f>
        <v>0</v>
      </c>
      <c r="BC282" s="23">
        <f>VALUE(0)</f>
        <v>0</v>
      </c>
      <c r="BD282" s="23">
        <f>VALUE(0)</f>
        <v>0</v>
      </c>
      <c r="BE282" s="23">
        <f>VALUE(0)</f>
        <v>0</v>
      </c>
      <c r="BF282" s="23">
        <f>VALUE(0)</f>
        <v>0</v>
      </c>
      <c r="BG282" s="23">
        <f>VALUE(0)</f>
        <v>0</v>
      </c>
      <c r="BH282" s="23">
        <f>VALUE(0)</f>
        <v>0</v>
      </c>
      <c r="BI282" s="23">
        <f>VALUE(0)</f>
        <v>0</v>
      </c>
      <c r="BJ282" s="23">
        <f>VALUE(0)</f>
        <v>0</v>
      </c>
      <c r="BK282" s="12">
        <f>$AX$282*24</f>
        <v>17.5</v>
      </c>
      <c r="BL282" s="12">
        <f>$AY$282*24</f>
        <v>0</v>
      </c>
      <c r="BM282" s="12">
        <f>$BJ$282*24</f>
        <v>0</v>
      </c>
      <c r="BN282" s="12">
        <f>VALUE($I$282)/100</f>
        <v>1</v>
      </c>
      <c r="BO282" s="12">
        <v>0</v>
      </c>
      <c r="BP282" s="12">
        <v>0</v>
      </c>
      <c r="BQ282" s="12">
        <v>0</v>
      </c>
      <c r="BR282" s="12">
        <v>0</v>
      </c>
      <c r="BS282" s="12">
        <v>0</v>
      </c>
      <c r="BT282" s="12">
        <v>0</v>
      </c>
      <c r="BU282" s="12">
        <v>0</v>
      </c>
      <c r="BV282" s="12">
        <v>0</v>
      </c>
      <c r="BW282" s="12">
        <v>0</v>
      </c>
      <c r="BX282" s="12">
        <v>0</v>
      </c>
      <c r="BY282" s="12">
        <v>0</v>
      </c>
      <c r="BZ282" s="12">
        <v>0</v>
      </c>
      <c r="CA282" s="12">
        <v>0</v>
      </c>
    </row>
    <row r="283" spans="1:79" hidden="1" x14ac:dyDescent="0.2">
      <c r="A283" s="12" t="s">
        <v>141</v>
      </c>
      <c r="B283" s="12" t="s">
        <v>143</v>
      </c>
      <c r="C283" s="12" t="s">
        <v>143</v>
      </c>
      <c r="D283" s="22" t="s">
        <v>385</v>
      </c>
      <c r="E283" s="22" t="s">
        <v>161</v>
      </c>
      <c r="F283" s="22" t="s">
        <v>1045</v>
      </c>
      <c r="G283" s="22" t="s">
        <v>1046</v>
      </c>
      <c r="H283" s="22" t="s">
        <v>166</v>
      </c>
      <c r="I283" s="22" t="s">
        <v>151</v>
      </c>
      <c r="J283" s="22" t="s">
        <v>162</v>
      </c>
      <c r="K283" s="22" t="s">
        <v>97</v>
      </c>
      <c r="L283" s="54" t="s">
        <v>153</v>
      </c>
      <c r="M283" s="23" t="s">
        <v>153</v>
      </c>
      <c r="N283" s="24" t="s">
        <v>153</v>
      </c>
      <c r="O283" s="23" t="s">
        <v>153</v>
      </c>
      <c r="P283" s="23" t="s">
        <v>153</v>
      </c>
      <c r="Q283" s="23" t="s">
        <v>153</v>
      </c>
      <c r="R283" s="23" t="s">
        <v>153</v>
      </c>
      <c r="S283" s="23" t="s">
        <v>153</v>
      </c>
      <c r="T283" s="23" t="s">
        <v>153</v>
      </c>
      <c r="U283" s="24" t="s">
        <v>153</v>
      </c>
      <c r="V283" s="54" t="s">
        <v>153</v>
      </c>
      <c r="W283" s="23" t="s">
        <v>153</v>
      </c>
      <c r="X283" s="23" t="s">
        <v>153</v>
      </c>
      <c r="Y283" s="23" t="s">
        <v>153</v>
      </c>
      <c r="Z283" s="23" t="s">
        <v>153</v>
      </c>
      <c r="AA283" s="23" t="s">
        <v>153</v>
      </c>
      <c r="AB283" s="24" t="s">
        <v>153</v>
      </c>
      <c r="AC283" s="23" t="s">
        <v>153</v>
      </c>
      <c r="AD283" s="23" t="s">
        <v>153</v>
      </c>
      <c r="AE283" s="23" t="s">
        <v>153</v>
      </c>
      <c r="AF283" s="23" t="s">
        <v>153</v>
      </c>
      <c r="AG283" s="23" t="s">
        <v>153</v>
      </c>
      <c r="AH283" s="23" t="s">
        <v>153</v>
      </c>
      <c r="AI283" s="24" t="s">
        <v>153</v>
      </c>
      <c r="AJ283" s="28" t="s">
        <v>163</v>
      </c>
      <c r="AK283" s="28" t="s">
        <v>163</v>
      </c>
      <c r="AL283" s="28" t="s">
        <v>163</v>
      </c>
      <c r="AM283" s="30" t="s">
        <v>28</v>
      </c>
      <c r="AN283" s="24" t="s">
        <v>156</v>
      </c>
      <c r="AO283" s="24" t="s">
        <v>156</v>
      </c>
      <c r="AP283" s="23">
        <f>VALUE(40)</f>
        <v>40</v>
      </c>
      <c r="AQ283" s="23">
        <f>VALUE(0)</f>
        <v>0</v>
      </c>
      <c r="AR283" s="23">
        <f>VALUE(0)</f>
        <v>0</v>
      </c>
      <c r="AS283" s="23">
        <f>VALUE(0)</f>
        <v>0</v>
      </c>
      <c r="AT283" s="23">
        <f>VALUE(0)</f>
        <v>0</v>
      </c>
      <c r="AU283" s="23">
        <f>VALUE(3)</f>
        <v>3</v>
      </c>
      <c r="AV283" s="23">
        <f>VALUE(3)</f>
        <v>3</v>
      </c>
      <c r="AW283" s="23">
        <f>VALUE(0)</f>
        <v>0</v>
      </c>
      <c r="AX283" s="23" t="s">
        <v>533</v>
      </c>
      <c r="AY283" s="23">
        <f>VALUE(0)</f>
        <v>0</v>
      </c>
      <c r="AZ283" s="23">
        <f>VALUE(0)</f>
        <v>0</v>
      </c>
      <c r="BA283" s="23">
        <f>VALUE(0)</f>
        <v>0</v>
      </c>
      <c r="BB283" s="23">
        <f>VALUE(0)</f>
        <v>0</v>
      </c>
      <c r="BC283" s="23">
        <f>VALUE(0)</f>
        <v>0</v>
      </c>
      <c r="BD283" s="23">
        <f>VALUE(0)</f>
        <v>0</v>
      </c>
      <c r="BE283" s="23">
        <f>VALUE(0)</f>
        <v>0</v>
      </c>
      <c r="BF283" s="23">
        <f>VALUE(0)</f>
        <v>0</v>
      </c>
      <c r="BG283" s="23">
        <f>VALUE(0)</f>
        <v>0</v>
      </c>
      <c r="BH283" s="23">
        <f>VALUE(0)</f>
        <v>0</v>
      </c>
      <c r="BI283" s="23">
        <f>VALUE(0)</f>
        <v>0</v>
      </c>
      <c r="BJ283" s="23">
        <f>VALUE(0)</f>
        <v>0</v>
      </c>
      <c r="BK283" s="12">
        <f>$AX$283*24</f>
        <v>1.0166666666666666</v>
      </c>
      <c r="BL283" s="12">
        <f>$AY$283*24</f>
        <v>0</v>
      </c>
      <c r="BM283" s="12">
        <f>$BJ$283*24</f>
        <v>0</v>
      </c>
      <c r="BN283" s="12">
        <f>VALUE($I$283)/100</f>
        <v>1</v>
      </c>
      <c r="BO283" s="12">
        <v>0</v>
      </c>
      <c r="BP283" s="12">
        <v>0</v>
      </c>
      <c r="BQ283" s="12">
        <v>1</v>
      </c>
      <c r="BR283" s="12">
        <v>0</v>
      </c>
      <c r="BS283" s="12">
        <v>0</v>
      </c>
      <c r="BT283" s="12">
        <v>0</v>
      </c>
      <c r="BU283" s="12">
        <v>0</v>
      </c>
      <c r="BV283" s="12">
        <v>0</v>
      </c>
      <c r="BW283" s="12">
        <v>0</v>
      </c>
      <c r="BX283" s="12">
        <v>0</v>
      </c>
      <c r="BY283" s="12">
        <v>0</v>
      </c>
      <c r="BZ283" s="12">
        <v>0</v>
      </c>
      <c r="CA283" s="12">
        <v>0</v>
      </c>
    </row>
    <row r="284" spans="1:79" hidden="1" x14ac:dyDescent="0.2">
      <c r="A284" s="12" t="s">
        <v>141</v>
      </c>
      <c r="B284" s="12" t="s">
        <v>143</v>
      </c>
      <c r="C284" s="12" t="s">
        <v>143</v>
      </c>
      <c r="D284" s="22" t="s">
        <v>378</v>
      </c>
      <c r="E284" s="22" t="s">
        <v>161</v>
      </c>
      <c r="F284" s="22" t="s">
        <v>1292</v>
      </c>
      <c r="G284" s="22" t="s">
        <v>1047</v>
      </c>
      <c r="H284" s="22" t="s">
        <v>166</v>
      </c>
      <c r="I284" s="22" t="s">
        <v>151</v>
      </c>
      <c r="J284" s="22" t="s">
        <v>162</v>
      </c>
      <c r="K284" s="22" t="s">
        <v>97</v>
      </c>
      <c r="L284" s="54" t="s">
        <v>153</v>
      </c>
      <c r="M284" s="23" t="s">
        <v>153</v>
      </c>
      <c r="N284" s="24" t="s">
        <v>153</v>
      </c>
      <c r="O284" s="23" t="s">
        <v>153</v>
      </c>
      <c r="P284" s="23" t="s">
        <v>153</v>
      </c>
      <c r="Q284" s="23" t="s">
        <v>153</v>
      </c>
      <c r="R284" s="23" t="s">
        <v>153</v>
      </c>
      <c r="S284" s="23" t="s">
        <v>153</v>
      </c>
      <c r="T284" s="23" t="s">
        <v>153</v>
      </c>
      <c r="U284" s="24" t="s">
        <v>153</v>
      </c>
      <c r="V284" s="54" t="s">
        <v>153</v>
      </c>
      <c r="W284" s="23" t="s">
        <v>153</v>
      </c>
      <c r="X284" s="23" t="s">
        <v>153</v>
      </c>
      <c r="Y284" s="23" t="s">
        <v>153</v>
      </c>
      <c r="Z284" s="23" t="s">
        <v>153</v>
      </c>
      <c r="AA284" s="23" t="s">
        <v>153</v>
      </c>
      <c r="AB284" s="24" t="s">
        <v>153</v>
      </c>
      <c r="AC284" s="23" t="s">
        <v>153</v>
      </c>
      <c r="AD284" s="23" t="s">
        <v>153</v>
      </c>
      <c r="AE284" s="23" t="s">
        <v>153</v>
      </c>
      <c r="AF284" s="23" t="s">
        <v>153</v>
      </c>
      <c r="AG284" s="23" t="s">
        <v>153</v>
      </c>
      <c r="AH284" s="23" t="s">
        <v>153</v>
      </c>
      <c r="AI284" s="24" t="s">
        <v>153</v>
      </c>
      <c r="AJ284" s="23" t="s">
        <v>153</v>
      </c>
      <c r="AK284" s="23" t="s">
        <v>153</v>
      </c>
      <c r="AL284" s="23" t="s">
        <v>153</v>
      </c>
      <c r="AM284" s="23" t="s">
        <v>153</v>
      </c>
      <c r="AN284" s="23" t="s">
        <v>153</v>
      </c>
      <c r="AO284" s="23" t="s">
        <v>153</v>
      </c>
      <c r="AP284" s="23">
        <f>VALUE(44)</f>
        <v>44</v>
      </c>
      <c r="AQ284" s="23">
        <f>VALUE(0)</f>
        <v>0</v>
      </c>
      <c r="AR284" s="23">
        <f>VALUE(0)</f>
        <v>0</v>
      </c>
      <c r="AS284" s="23">
        <f>VALUE(0)</f>
        <v>0</v>
      </c>
      <c r="AT284" s="23">
        <f>VALUE(0)</f>
        <v>0</v>
      </c>
      <c r="AU284" s="23">
        <f>VALUE(0)</f>
        <v>0</v>
      </c>
      <c r="AV284" s="23">
        <f>VALUE(6)</f>
        <v>6</v>
      </c>
      <c r="AW284" s="23">
        <f>VALUE(0)</f>
        <v>0</v>
      </c>
      <c r="AX284" s="23" t="s">
        <v>1293</v>
      </c>
      <c r="AY284" s="23">
        <f>VALUE(0)</f>
        <v>0</v>
      </c>
      <c r="AZ284" s="23">
        <f>VALUE(0)</f>
        <v>0</v>
      </c>
      <c r="BA284" s="23">
        <f>VALUE(0)</f>
        <v>0</v>
      </c>
      <c r="BB284" s="23">
        <f>VALUE(0)</f>
        <v>0</v>
      </c>
      <c r="BC284" s="23">
        <f>VALUE(0)</f>
        <v>0</v>
      </c>
      <c r="BD284" s="23">
        <f>VALUE(0)</f>
        <v>0</v>
      </c>
      <c r="BE284" s="23">
        <f>VALUE(0)</f>
        <v>0</v>
      </c>
      <c r="BF284" s="23">
        <f>VALUE(0)</f>
        <v>0</v>
      </c>
      <c r="BG284" s="23">
        <f>VALUE(0)</f>
        <v>0</v>
      </c>
      <c r="BH284" s="23">
        <f>VALUE(0)</f>
        <v>0</v>
      </c>
      <c r="BI284" s="23">
        <f>VALUE(0)</f>
        <v>0</v>
      </c>
      <c r="BJ284" s="23">
        <f>VALUE(0)</f>
        <v>0</v>
      </c>
      <c r="BK284" s="12">
        <f>$AX$284*24</f>
        <v>35.333333333333336</v>
      </c>
      <c r="BL284" s="12">
        <f>$AY$284*24</f>
        <v>0</v>
      </c>
      <c r="BM284" s="12">
        <f>$BJ$284*24</f>
        <v>0</v>
      </c>
      <c r="BN284" s="12">
        <f>VALUE($I$284)/100</f>
        <v>1</v>
      </c>
      <c r="BO284" s="12">
        <v>0</v>
      </c>
      <c r="BP284" s="12">
        <v>0</v>
      </c>
      <c r="BQ284" s="12">
        <v>0</v>
      </c>
      <c r="BR284" s="12">
        <v>0</v>
      </c>
      <c r="BS284" s="12">
        <v>0</v>
      </c>
      <c r="BT284" s="12">
        <v>0</v>
      </c>
      <c r="BU284" s="12">
        <v>0</v>
      </c>
      <c r="BV284" s="12">
        <v>0</v>
      </c>
      <c r="BW284" s="12">
        <v>0</v>
      </c>
      <c r="BX284" s="12">
        <v>0</v>
      </c>
      <c r="BY284" s="12">
        <v>0</v>
      </c>
      <c r="BZ284" s="12">
        <v>0</v>
      </c>
      <c r="CA284" s="12">
        <v>0</v>
      </c>
    </row>
    <row r="285" spans="1:79" hidden="1" x14ac:dyDescent="0.2">
      <c r="A285" s="12" t="s">
        <v>141</v>
      </c>
      <c r="B285" s="12" t="s">
        <v>143</v>
      </c>
      <c r="C285" s="12" t="s">
        <v>143</v>
      </c>
      <c r="D285" s="22" t="s">
        <v>389</v>
      </c>
      <c r="E285" s="22" t="s">
        <v>161</v>
      </c>
      <c r="F285" s="22" t="s">
        <v>1048</v>
      </c>
      <c r="G285" s="22" t="s">
        <v>1049</v>
      </c>
      <c r="H285" s="22" t="s">
        <v>279</v>
      </c>
      <c r="I285" s="22" t="s">
        <v>151</v>
      </c>
      <c r="J285" s="22" t="s">
        <v>162</v>
      </c>
      <c r="K285" s="22" t="s">
        <v>97</v>
      </c>
      <c r="L285" s="54" t="s">
        <v>153</v>
      </c>
      <c r="M285" s="23" t="s">
        <v>153</v>
      </c>
      <c r="N285" s="24" t="s">
        <v>153</v>
      </c>
      <c r="O285" s="23" t="s">
        <v>153</v>
      </c>
      <c r="P285" s="23" t="s">
        <v>153</v>
      </c>
      <c r="Q285" s="23" t="s">
        <v>153</v>
      </c>
      <c r="R285" s="23" t="s">
        <v>153</v>
      </c>
      <c r="S285" s="23" t="s">
        <v>153</v>
      </c>
      <c r="T285" s="23" t="s">
        <v>153</v>
      </c>
      <c r="U285" s="24" t="s">
        <v>153</v>
      </c>
      <c r="V285" s="54" t="s">
        <v>153</v>
      </c>
      <c r="W285" s="23" t="s">
        <v>426</v>
      </c>
      <c r="X285" s="23" t="s">
        <v>426</v>
      </c>
      <c r="Y285" s="23" t="s">
        <v>426</v>
      </c>
      <c r="Z285" s="23" t="s">
        <v>426</v>
      </c>
      <c r="AA285" s="23" t="s">
        <v>426</v>
      </c>
      <c r="AB285" s="24" t="s">
        <v>153</v>
      </c>
      <c r="AC285" s="23" t="s">
        <v>426</v>
      </c>
      <c r="AD285" s="23" t="s">
        <v>426</v>
      </c>
      <c r="AE285" s="23" t="s">
        <v>426</v>
      </c>
      <c r="AF285" s="23" t="s">
        <v>426</v>
      </c>
      <c r="AG285" s="23" t="s">
        <v>426</v>
      </c>
      <c r="AH285" s="23" t="s">
        <v>426</v>
      </c>
      <c r="AI285" s="24" t="s">
        <v>153</v>
      </c>
      <c r="AJ285" s="23" t="s">
        <v>385</v>
      </c>
      <c r="AK285" s="23" t="s">
        <v>385</v>
      </c>
      <c r="AL285" s="23" t="s">
        <v>385</v>
      </c>
      <c r="AM285" s="23" t="s">
        <v>385</v>
      </c>
      <c r="AN285" s="23" t="s">
        <v>385</v>
      </c>
      <c r="AO285" s="23" t="s">
        <v>385</v>
      </c>
      <c r="AP285" s="23">
        <f>VALUE(0)</f>
        <v>0</v>
      </c>
      <c r="AQ285" s="23">
        <f>VALUE(0)</f>
        <v>0</v>
      </c>
      <c r="AR285" s="23">
        <f>VALUE(0)</f>
        <v>0</v>
      </c>
      <c r="AS285" s="23">
        <f>VALUE(0)</f>
        <v>0</v>
      </c>
      <c r="AT285" s="23">
        <f>VALUE(0)</f>
        <v>0</v>
      </c>
      <c r="AU285" s="23">
        <f>VALUE(0)</f>
        <v>0</v>
      </c>
      <c r="AV285" s="23">
        <f>VALUE(0)</f>
        <v>0</v>
      </c>
      <c r="AW285" s="23">
        <f>VALUE(0)</f>
        <v>0</v>
      </c>
      <c r="AX285" s="23">
        <f>VALUE(0)</f>
        <v>0</v>
      </c>
      <c r="AY285" s="23">
        <f>VALUE(0)</f>
        <v>0</v>
      </c>
      <c r="AZ285" s="23">
        <f>VALUE(0)</f>
        <v>0</v>
      </c>
      <c r="BA285" s="23">
        <f>VALUE(0)</f>
        <v>0</v>
      </c>
      <c r="BB285" s="23">
        <f>VALUE(0)</f>
        <v>0</v>
      </c>
      <c r="BC285" s="23">
        <f>VALUE(0)</f>
        <v>0</v>
      </c>
      <c r="BD285" s="23">
        <f>VALUE(0)</f>
        <v>0</v>
      </c>
      <c r="BE285" s="23">
        <f>VALUE(0)</f>
        <v>0</v>
      </c>
      <c r="BF285" s="23">
        <f>VALUE(0)</f>
        <v>0</v>
      </c>
      <c r="BG285" s="23">
        <f>VALUE(0)</f>
        <v>0</v>
      </c>
      <c r="BH285" s="23">
        <f>VALUE(0)</f>
        <v>0</v>
      </c>
      <c r="BI285" s="23">
        <f>VALUE(0)</f>
        <v>0</v>
      </c>
      <c r="BJ285" s="23">
        <f>VALUE(0)</f>
        <v>0</v>
      </c>
      <c r="BK285" s="12">
        <f>$AX$285*24</f>
        <v>0</v>
      </c>
      <c r="BL285" s="12">
        <f>$AY$285*24</f>
        <v>0</v>
      </c>
      <c r="BM285" s="12">
        <f>$BJ$285*24</f>
        <v>0</v>
      </c>
      <c r="BN285" s="12">
        <f>VALUE($I$285)/100</f>
        <v>1</v>
      </c>
      <c r="BO285" s="12">
        <v>0</v>
      </c>
      <c r="BP285" s="12">
        <v>0</v>
      </c>
      <c r="BQ285" s="12">
        <v>0</v>
      </c>
      <c r="BR285" s="12">
        <v>0</v>
      </c>
      <c r="BS285" s="12">
        <v>0</v>
      </c>
      <c r="BT285" s="12">
        <v>0</v>
      </c>
      <c r="BU285" s="12">
        <v>0</v>
      </c>
      <c r="BV285" s="12">
        <v>0</v>
      </c>
      <c r="BW285" s="12">
        <v>0</v>
      </c>
      <c r="BX285" s="12">
        <v>0</v>
      </c>
      <c r="BY285" s="12">
        <v>0</v>
      </c>
      <c r="BZ285" s="12">
        <v>0</v>
      </c>
      <c r="CA285" s="12">
        <v>0</v>
      </c>
    </row>
    <row r="286" spans="1:79" hidden="1" x14ac:dyDescent="0.2">
      <c r="A286" s="12" t="s">
        <v>141</v>
      </c>
      <c r="B286" s="12" t="s">
        <v>143</v>
      </c>
      <c r="C286" s="12" t="s">
        <v>143</v>
      </c>
      <c r="D286" s="22" t="s">
        <v>379</v>
      </c>
      <c r="E286" s="22" t="s">
        <v>161</v>
      </c>
      <c r="F286" s="22" t="s">
        <v>1050</v>
      </c>
      <c r="G286" s="22" t="s">
        <v>1051</v>
      </c>
      <c r="H286" s="22" t="s">
        <v>166</v>
      </c>
      <c r="I286" s="22" t="s">
        <v>151</v>
      </c>
      <c r="J286" s="22" t="s">
        <v>162</v>
      </c>
      <c r="K286" s="22" t="s">
        <v>97</v>
      </c>
      <c r="L286" s="54" t="s">
        <v>156</v>
      </c>
      <c r="M286" s="24" t="s">
        <v>156</v>
      </c>
      <c r="N286" s="24" t="s">
        <v>153</v>
      </c>
      <c r="O286" s="23" t="s">
        <v>153</v>
      </c>
      <c r="P286" s="23" t="s">
        <v>153</v>
      </c>
      <c r="Q286" s="23" t="s">
        <v>153</v>
      </c>
      <c r="R286" s="23" t="s">
        <v>153</v>
      </c>
      <c r="S286" s="23" t="s">
        <v>153</v>
      </c>
      <c r="T286" s="23" t="s">
        <v>153</v>
      </c>
      <c r="U286" s="24" t="s">
        <v>153</v>
      </c>
      <c r="V286" s="54" t="s">
        <v>153</v>
      </c>
      <c r="W286" s="23" t="s">
        <v>153</v>
      </c>
      <c r="X286" s="23" t="s">
        <v>153</v>
      </c>
      <c r="Y286" s="23" t="s">
        <v>153</v>
      </c>
      <c r="Z286" s="23" t="s">
        <v>153</v>
      </c>
      <c r="AA286" s="23" t="s">
        <v>153</v>
      </c>
      <c r="AB286" s="24" t="s">
        <v>153</v>
      </c>
      <c r="AC286" s="23" t="s">
        <v>153</v>
      </c>
      <c r="AD286" s="23" t="s">
        <v>153</v>
      </c>
      <c r="AE286" s="23" t="s">
        <v>153</v>
      </c>
      <c r="AF286" s="23" t="s">
        <v>153</v>
      </c>
      <c r="AG286" s="23" t="s">
        <v>153</v>
      </c>
      <c r="AH286" s="23" t="s">
        <v>153</v>
      </c>
      <c r="AI286" s="24" t="s">
        <v>153</v>
      </c>
      <c r="AJ286" s="23" t="s">
        <v>153</v>
      </c>
      <c r="AK286" s="23" t="s">
        <v>153</v>
      </c>
      <c r="AL286" s="23" t="s">
        <v>153</v>
      </c>
      <c r="AM286" s="23" t="s">
        <v>153</v>
      </c>
      <c r="AN286" s="23" t="s">
        <v>153</v>
      </c>
      <c r="AO286" s="23" t="s">
        <v>153</v>
      </c>
      <c r="AP286" s="23">
        <f>VALUE(41)</f>
        <v>41</v>
      </c>
      <c r="AQ286" s="23">
        <f>VALUE(0)</f>
        <v>0</v>
      </c>
      <c r="AR286" s="23">
        <f>VALUE(0)</f>
        <v>0</v>
      </c>
      <c r="AS286" s="23">
        <f>VALUE(0)</f>
        <v>0</v>
      </c>
      <c r="AT286" s="23">
        <f>VALUE(0)</f>
        <v>0</v>
      </c>
      <c r="AU286" s="23">
        <f>VALUE(0)</f>
        <v>0</v>
      </c>
      <c r="AV286" s="23">
        <f>VALUE(6)</f>
        <v>6</v>
      </c>
      <c r="AW286" s="23">
        <f>VALUE(0)</f>
        <v>0</v>
      </c>
      <c r="AX286" s="23" t="s">
        <v>1294</v>
      </c>
      <c r="AY286" s="23">
        <f>VALUE(0)</f>
        <v>0</v>
      </c>
      <c r="AZ286" s="23">
        <f>VALUE(0)</f>
        <v>0</v>
      </c>
      <c r="BA286" s="23">
        <f>VALUE(0)</f>
        <v>0</v>
      </c>
      <c r="BB286" s="23">
        <f>VALUE(0)</f>
        <v>0</v>
      </c>
      <c r="BC286" s="23">
        <f>VALUE(0)</f>
        <v>0</v>
      </c>
      <c r="BD286" s="23">
        <f>VALUE(0)</f>
        <v>0</v>
      </c>
      <c r="BE286" s="23">
        <f>VALUE(0)</f>
        <v>0</v>
      </c>
      <c r="BF286" s="23">
        <f>VALUE(0)</f>
        <v>0</v>
      </c>
      <c r="BG286" s="23">
        <f>VALUE(0)</f>
        <v>0</v>
      </c>
      <c r="BH286" s="23">
        <f>VALUE(0)</f>
        <v>0</v>
      </c>
      <c r="BI286" s="23">
        <f>VALUE(0)</f>
        <v>0</v>
      </c>
      <c r="BJ286" s="23">
        <f>VALUE(0)</f>
        <v>0</v>
      </c>
      <c r="BK286" s="12">
        <f>$AX$286*24</f>
        <v>12.133333333333333</v>
      </c>
      <c r="BL286" s="12">
        <f>$AY$286*24</f>
        <v>0</v>
      </c>
      <c r="BM286" s="12">
        <f>$BJ$286*24</f>
        <v>0</v>
      </c>
      <c r="BN286" s="12">
        <f>VALUE($I$286)/100</f>
        <v>1</v>
      </c>
      <c r="BO286" s="12">
        <v>0</v>
      </c>
      <c r="BP286" s="12">
        <v>0</v>
      </c>
      <c r="BQ286" s="12">
        <v>0</v>
      </c>
      <c r="BR286" s="12">
        <v>0</v>
      </c>
      <c r="BS286" s="12">
        <v>0</v>
      </c>
      <c r="BT286" s="12">
        <v>0</v>
      </c>
      <c r="BU286" s="12">
        <v>0</v>
      </c>
      <c r="BV286" s="12">
        <v>0</v>
      </c>
      <c r="BW286" s="12">
        <v>0</v>
      </c>
      <c r="BX286" s="12">
        <v>0</v>
      </c>
      <c r="BY286" s="12">
        <v>0</v>
      </c>
      <c r="BZ286" s="12">
        <v>0</v>
      </c>
      <c r="CA286" s="12">
        <v>0</v>
      </c>
    </row>
    <row r="287" spans="1:79" hidden="1" x14ac:dyDescent="0.2">
      <c r="A287" s="12" t="s">
        <v>141</v>
      </c>
      <c r="B287" s="12" t="s">
        <v>143</v>
      </c>
      <c r="C287" s="12" t="s">
        <v>143</v>
      </c>
      <c r="D287" s="22" t="s">
        <v>429</v>
      </c>
      <c r="E287" s="22" t="s">
        <v>161</v>
      </c>
      <c r="F287" s="22" t="s">
        <v>1052</v>
      </c>
      <c r="G287" s="22" t="s">
        <v>1053</v>
      </c>
      <c r="H287" s="22" t="s">
        <v>166</v>
      </c>
      <c r="I287" s="22" t="s">
        <v>151</v>
      </c>
      <c r="J287" s="22" t="s">
        <v>162</v>
      </c>
      <c r="K287" s="22" t="s">
        <v>97</v>
      </c>
      <c r="L287" s="54" t="s">
        <v>153</v>
      </c>
      <c r="M287" s="23" t="s">
        <v>153</v>
      </c>
      <c r="N287" s="24" t="s">
        <v>153</v>
      </c>
      <c r="O287" s="23" t="s">
        <v>153</v>
      </c>
      <c r="P287" s="23" t="s">
        <v>153</v>
      </c>
      <c r="Q287" s="23" t="s">
        <v>153</v>
      </c>
      <c r="R287" s="23" t="s">
        <v>153</v>
      </c>
      <c r="S287" s="24" t="s">
        <v>156</v>
      </c>
      <c r="T287" s="24" t="s">
        <v>156</v>
      </c>
      <c r="U287" s="24" t="s">
        <v>153</v>
      </c>
      <c r="V287" s="54" t="s">
        <v>153</v>
      </c>
      <c r="W287" s="23" t="s">
        <v>153</v>
      </c>
      <c r="X287" s="23" t="s">
        <v>153</v>
      </c>
      <c r="Y287" s="23" t="s">
        <v>153</v>
      </c>
      <c r="Z287" s="23" t="s">
        <v>153</v>
      </c>
      <c r="AA287" s="23" t="s">
        <v>153</v>
      </c>
      <c r="AB287" s="24" t="s">
        <v>153</v>
      </c>
      <c r="AC287" s="28" t="s">
        <v>163</v>
      </c>
      <c r="AD287" s="28" t="s">
        <v>163</v>
      </c>
      <c r="AE287" s="28" t="s">
        <v>163</v>
      </c>
      <c r="AF287" s="28" t="s">
        <v>163</v>
      </c>
      <c r="AG287" s="28" t="s">
        <v>163</v>
      </c>
      <c r="AH287" s="28" t="s">
        <v>163</v>
      </c>
      <c r="AI287" s="24" t="s">
        <v>153</v>
      </c>
      <c r="AJ287" s="28" t="s">
        <v>163</v>
      </c>
      <c r="AK287" s="28" t="s">
        <v>163</v>
      </c>
      <c r="AL287" s="28" t="s">
        <v>163</v>
      </c>
      <c r="AM287" s="28" t="s">
        <v>163</v>
      </c>
      <c r="AN287" s="23" t="s">
        <v>153</v>
      </c>
      <c r="AO287" s="23" t="s">
        <v>153</v>
      </c>
      <c r="AP287" s="23">
        <f>VALUE(36)</f>
        <v>36</v>
      </c>
      <c r="AQ287" s="23">
        <f>VALUE(0)</f>
        <v>0</v>
      </c>
      <c r="AR287" s="23">
        <f>VALUE(0)</f>
        <v>0</v>
      </c>
      <c r="AS287" s="23">
        <f>VALUE(0)</f>
        <v>0</v>
      </c>
      <c r="AT287" s="23">
        <f>VALUE(0)</f>
        <v>0</v>
      </c>
      <c r="AU287" s="23">
        <f>VALUE(10)</f>
        <v>10</v>
      </c>
      <c r="AV287" s="23">
        <f>VALUE(0)</f>
        <v>0</v>
      </c>
      <c r="AW287" s="23">
        <f>VALUE(0)</f>
        <v>0</v>
      </c>
      <c r="AX287" s="23" t="s">
        <v>1295</v>
      </c>
      <c r="AY287" s="23">
        <f>VALUE(0)</f>
        <v>0</v>
      </c>
      <c r="AZ287" s="23">
        <f>VALUE(0)</f>
        <v>0</v>
      </c>
      <c r="BA287" s="23">
        <f>VALUE(0)</f>
        <v>0</v>
      </c>
      <c r="BB287" s="23">
        <f>VALUE(0)</f>
        <v>0</v>
      </c>
      <c r="BC287" s="23">
        <f>VALUE(0)</f>
        <v>0</v>
      </c>
      <c r="BD287" s="23">
        <f>VALUE(0)</f>
        <v>0</v>
      </c>
      <c r="BE287" s="23">
        <f>VALUE(0)</f>
        <v>0</v>
      </c>
      <c r="BF287" s="23">
        <f>VALUE(0)</f>
        <v>0</v>
      </c>
      <c r="BG287" s="23">
        <f>VALUE(0)</f>
        <v>0</v>
      </c>
      <c r="BH287" s="23">
        <f>VALUE(0)</f>
        <v>0</v>
      </c>
      <c r="BI287" s="23">
        <f>VALUE(0)</f>
        <v>0</v>
      </c>
      <c r="BJ287" s="23">
        <f>VALUE(0)</f>
        <v>0</v>
      </c>
      <c r="BK287" s="12">
        <f>$AX$287*24</f>
        <v>4.5333333333333332</v>
      </c>
      <c r="BL287" s="12">
        <f>$AY$287*24</f>
        <v>0</v>
      </c>
      <c r="BM287" s="12">
        <f>$BJ$287*24</f>
        <v>0</v>
      </c>
      <c r="BN287" s="12">
        <f>VALUE($I$287)/100</f>
        <v>1</v>
      </c>
      <c r="BO287" s="12">
        <v>0</v>
      </c>
      <c r="BP287" s="12">
        <v>0</v>
      </c>
      <c r="BQ287" s="12">
        <v>0</v>
      </c>
      <c r="BR287" s="12">
        <v>0</v>
      </c>
      <c r="BS287" s="12">
        <v>0</v>
      </c>
      <c r="BT287" s="12">
        <v>0</v>
      </c>
      <c r="BU287" s="12">
        <v>0</v>
      </c>
      <c r="BV287" s="12">
        <v>0</v>
      </c>
      <c r="BW287" s="12">
        <v>0</v>
      </c>
      <c r="BX287" s="12">
        <v>0</v>
      </c>
      <c r="BY287" s="12">
        <v>0</v>
      </c>
      <c r="BZ287" s="12">
        <v>0</v>
      </c>
      <c r="CA287" s="12">
        <v>0</v>
      </c>
    </row>
    <row r="288" spans="1:79" hidden="1" x14ac:dyDescent="0.2">
      <c r="A288" s="12" t="s">
        <v>141</v>
      </c>
      <c r="B288" s="12" t="s">
        <v>143</v>
      </c>
      <c r="C288" s="12" t="s">
        <v>143</v>
      </c>
      <c r="D288" s="22" t="s">
        <v>534</v>
      </c>
      <c r="E288" s="22" t="s">
        <v>159</v>
      </c>
      <c r="F288" s="22" t="s">
        <v>535</v>
      </c>
      <c r="G288" s="22" t="s">
        <v>1054</v>
      </c>
      <c r="H288" s="22" t="s">
        <v>166</v>
      </c>
      <c r="I288" s="22" t="s">
        <v>151</v>
      </c>
      <c r="J288" s="22" t="s">
        <v>162</v>
      </c>
      <c r="K288" s="22" t="s">
        <v>97</v>
      </c>
      <c r="L288" s="54" t="s">
        <v>153</v>
      </c>
      <c r="M288" s="23" t="s">
        <v>300</v>
      </c>
      <c r="N288" s="24" t="s">
        <v>153</v>
      </c>
      <c r="O288" s="28" t="s">
        <v>163</v>
      </c>
      <c r="P288" s="28" t="s">
        <v>163</v>
      </c>
      <c r="Q288" s="28" t="s">
        <v>163</v>
      </c>
      <c r="R288" s="28" t="s">
        <v>163</v>
      </c>
      <c r="S288" s="28" t="s">
        <v>163</v>
      </c>
      <c r="T288" s="28" t="s">
        <v>163</v>
      </c>
      <c r="U288" s="24" t="s">
        <v>153</v>
      </c>
      <c r="V288" s="54" t="s">
        <v>153</v>
      </c>
      <c r="W288" s="23" t="s">
        <v>389</v>
      </c>
      <c r="X288" s="23" t="s">
        <v>389</v>
      </c>
      <c r="Y288" s="23" t="s">
        <v>389</v>
      </c>
      <c r="Z288" s="23" t="s">
        <v>389</v>
      </c>
      <c r="AA288" s="23" t="s">
        <v>389</v>
      </c>
      <c r="AB288" s="24" t="s">
        <v>153</v>
      </c>
      <c r="AC288" s="23" t="s">
        <v>185</v>
      </c>
      <c r="AD288" s="23" t="s">
        <v>185</v>
      </c>
      <c r="AE288" s="24" t="s">
        <v>156</v>
      </c>
      <c r="AF288" s="24" t="s">
        <v>156</v>
      </c>
      <c r="AG288" s="23" t="s">
        <v>185</v>
      </c>
      <c r="AH288" s="23" t="s">
        <v>185</v>
      </c>
      <c r="AI288" s="24" t="s">
        <v>153</v>
      </c>
      <c r="AJ288" s="23" t="s">
        <v>389</v>
      </c>
      <c r="AK288" s="23" t="s">
        <v>389</v>
      </c>
      <c r="AL288" s="23" t="s">
        <v>389</v>
      </c>
      <c r="AM288" s="23" t="s">
        <v>389</v>
      </c>
      <c r="AN288" s="23" t="s">
        <v>389</v>
      </c>
      <c r="AO288" s="23" t="s">
        <v>389</v>
      </c>
      <c r="AP288" s="23">
        <f>VALUE(24)</f>
        <v>24</v>
      </c>
      <c r="AQ288" s="23">
        <f>VALUE(0)</f>
        <v>0</v>
      </c>
      <c r="AR288" s="23">
        <f>VALUE(0)</f>
        <v>0</v>
      </c>
      <c r="AS288" s="23">
        <f>VALUE(0)</f>
        <v>0</v>
      </c>
      <c r="AT288" s="23">
        <f>VALUE(0)</f>
        <v>0</v>
      </c>
      <c r="AU288" s="23">
        <f>VALUE(6)</f>
        <v>6</v>
      </c>
      <c r="AV288" s="23">
        <f>VALUE(4)</f>
        <v>4</v>
      </c>
      <c r="AW288" s="23">
        <f>VALUE(0)</f>
        <v>0</v>
      </c>
      <c r="AX288" s="23" t="s">
        <v>1296</v>
      </c>
      <c r="AY288" s="23">
        <f>VALUE(0)</f>
        <v>0</v>
      </c>
      <c r="AZ288" s="23">
        <f>VALUE(0)</f>
        <v>0</v>
      </c>
      <c r="BA288" s="23">
        <f>VALUE(0)</f>
        <v>0</v>
      </c>
      <c r="BB288" s="23">
        <f>VALUE(0)</f>
        <v>0</v>
      </c>
      <c r="BC288" s="23">
        <f>VALUE(0)</f>
        <v>0</v>
      </c>
      <c r="BD288" s="23">
        <f>VALUE(0)</f>
        <v>0</v>
      </c>
      <c r="BE288" s="23">
        <f>VALUE(0)</f>
        <v>0</v>
      </c>
      <c r="BF288" s="23">
        <f>VALUE(0)</f>
        <v>0</v>
      </c>
      <c r="BG288" s="23">
        <f>VALUE(0)</f>
        <v>0</v>
      </c>
      <c r="BH288" s="23">
        <f>VALUE(0)</f>
        <v>0</v>
      </c>
      <c r="BI288" s="23">
        <f>VALUE(0)</f>
        <v>0</v>
      </c>
      <c r="BJ288" s="23">
        <f>VALUE(0)</f>
        <v>0</v>
      </c>
      <c r="BK288" s="12">
        <f>$AX$288*24</f>
        <v>35.700000000000003</v>
      </c>
      <c r="BL288" s="12">
        <f>$AY$288*24</f>
        <v>0</v>
      </c>
      <c r="BM288" s="12">
        <f>$BJ$288*24</f>
        <v>0</v>
      </c>
      <c r="BN288" s="12">
        <f>VALUE($I$288)/100</f>
        <v>1</v>
      </c>
      <c r="BO288" s="12">
        <v>0</v>
      </c>
      <c r="BP288" s="12">
        <v>0</v>
      </c>
      <c r="BQ288" s="12">
        <v>0</v>
      </c>
      <c r="BR288" s="12">
        <v>0</v>
      </c>
      <c r="BS288" s="12">
        <v>0</v>
      </c>
      <c r="BT288" s="12">
        <v>0</v>
      </c>
      <c r="BU288" s="12">
        <v>0</v>
      </c>
      <c r="BV288" s="12">
        <v>0</v>
      </c>
      <c r="BW288" s="12">
        <v>0</v>
      </c>
      <c r="BX288" s="12">
        <v>0</v>
      </c>
      <c r="BY288" s="12">
        <v>0</v>
      </c>
      <c r="BZ288" s="12">
        <v>0</v>
      </c>
      <c r="CA288" s="12">
        <v>0</v>
      </c>
    </row>
    <row r="289" spans="1:79" hidden="1" x14ac:dyDescent="0.2">
      <c r="A289" s="12" t="s">
        <v>141</v>
      </c>
      <c r="B289" s="12" t="s">
        <v>143</v>
      </c>
      <c r="C289" s="12" t="s">
        <v>143</v>
      </c>
      <c r="D289" s="22" t="s">
        <v>536</v>
      </c>
      <c r="E289" s="22" t="s">
        <v>159</v>
      </c>
      <c r="F289" s="22" t="s">
        <v>1055</v>
      </c>
      <c r="G289" s="22" t="s">
        <v>1056</v>
      </c>
      <c r="H289" s="22" t="s">
        <v>150</v>
      </c>
      <c r="I289" s="22" t="s">
        <v>151</v>
      </c>
      <c r="J289" s="22" t="s">
        <v>162</v>
      </c>
      <c r="K289" s="22" t="s">
        <v>97</v>
      </c>
      <c r="L289" s="54" t="s">
        <v>153</v>
      </c>
      <c r="M289" s="27" t="s">
        <v>153</v>
      </c>
      <c r="N289" s="27" t="s">
        <v>153</v>
      </c>
      <c r="O289" s="27" t="s">
        <v>153</v>
      </c>
      <c r="P289" s="27" t="s">
        <v>153</v>
      </c>
      <c r="Q289" s="27" t="s">
        <v>153</v>
      </c>
      <c r="R289" s="27" t="s">
        <v>153</v>
      </c>
      <c r="S289" s="27" t="s">
        <v>153</v>
      </c>
      <c r="T289" s="27" t="s">
        <v>153</v>
      </c>
      <c r="U289" s="27" t="s">
        <v>153</v>
      </c>
      <c r="V289" s="54" t="s">
        <v>153</v>
      </c>
      <c r="W289" s="27" t="s">
        <v>153</v>
      </c>
      <c r="X289" s="27" t="s">
        <v>153</v>
      </c>
      <c r="Y289" s="27" t="s">
        <v>153</v>
      </c>
      <c r="Z289" s="27" t="s">
        <v>153</v>
      </c>
      <c r="AA289" s="27" t="s">
        <v>153</v>
      </c>
      <c r="AB289" s="27" t="s">
        <v>153</v>
      </c>
      <c r="AC289" s="27" t="s">
        <v>153</v>
      </c>
      <c r="AD289" s="27" t="s">
        <v>153</v>
      </c>
      <c r="AE289" s="27" t="s">
        <v>153</v>
      </c>
      <c r="AF289" s="27" t="s">
        <v>153</v>
      </c>
      <c r="AG289" s="27" t="s">
        <v>153</v>
      </c>
      <c r="AH289" s="27" t="s">
        <v>153</v>
      </c>
      <c r="AI289" s="27" t="s">
        <v>153</v>
      </c>
      <c r="AJ289" s="27" t="s">
        <v>153</v>
      </c>
      <c r="AK289" s="27" t="s">
        <v>153</v>
      </c>
      <c r="AL289" s="27" t="s">
        <v>153</v>
      </c>
      <c r="AM289" s="27" t="s">
        <v>153</v>
      </c>
      <c r="AN289" s="27" t="s">
        <v>153</v>
      </c>
      <c r="AO289" s="27" t="s">
        <v>153</v>
      </c>
      <c r="AP289" s="23">
        <f>VALUE(0)</f>
        <v>0</v>
      </c>
      <c r="AQ289" s="23">
        <f>VALUE(0)</f>
        <v>0</v>
      </c>
      <c r="AR289" s="23">
        <f>VALUE(0)</f>
        <v>0</v>
      </c>
      <c r="AS289" s="23">
        <f>VALUE(0)</f>
        <v>0</v>
      </c>
      <c r="AT289" s="23">
        <f>VALUE(0)</f>
        <v>0</v>
      </c>
      <c r="AU289" s="23">
        <f>VALUE(0)</f>
        <v>0</v>
      </c>
      <c r="AV289" s="23">
        <f>VALUE(0)</f>
        <v>0</v>
      </c>
      <c r="AW289" s="23">
        <f>VALUE(0)</f>
        <v>0</v>
      </c>
      <c r="AX289" s="23">
        <f>VALUE(0)</f>
        <v>0</v>
      </c>
      <c r="AY289" s="23">
        <f>VALUE(0)</f>
        <v>0</v>
      </c>
      <c r="AZ289" s="23">
        <f>VALUE(0)</f>
        <v>0</v>
      </c>
      <c r="BA289" s="23">
        <f>VALUE(0)</f>
        <v>0</v>
      </c>
      <c r="BB289" s="23">
        <f>VALUE(0)</f>
        <v>0</v>
      </c>
      <c r="BC289" s="23">
        <f>VALUE(0)</f>
        <v>0</v>
      </c>
      <c r="BD289" s="23">
        <f>VALUE(0)</f>
        <v>0</v>
      </c>
      <c r="BE289" s="23">
        <f>VALUE(0)</f>
        <v>0</v>
      </c>
      <c r="BF289" s="23">
        <f>VALUE(0)</f>
        <v>0</v>
      </c>
      <c r="BG289" s="23">
        <f>VALUE(0)</f>
        <v>0</v>
      </c>
      <c r="BH289" s="23">
        <f>VALUE(0)</f>
        <v>0</v>
      </c>
      <c r="BI289" s="23">
        <f>VALUE(0)</f>
        <v>0</v>
      </c>
      <c r="BJ289" s="23">
        <f>VALUE(0)</f>
        <v>0</v>
      </c>
      <c r="BK289" s="12">
        <f>$AX$289*24</f>
        <v>0</v>
      </c>
      <c r="BL289" s="12">
        <f>$AY$289*24</f>
        <v>0</v>
      </c>
      <c r="BM289" s="12">
        <f>$BJ$289*24</f>
        <v>0</v>
      </c>
      <c r="BN289" s="12">
        <f>VALUE($I$289)/100</f>
        <v>1</v>
      </c>
      <c r="BO289" s="12">
        <v>0</v>
      </c>
      <c r="BP289" s="12">
        <v>0</v>
      </c>
      <c r="BQ289" s="12">
        <v>0</v>
      </c>
      <c r="BR289" s="12">
        <v>0</v>
      </c>
      <c r="BS289" s="12">
        <v>0</v>
      </c>
      <c r="BT289" s="12">
        <v>0</v>
      </c>
      <c r="BU289" s="12">
        <v>0</v>
      </c>
      <c r="BV289" s="12">
        <v>0</v>
      </c>
      <c r="BW289" s="12">
        <v>0</v>
      </c>
      <c r="BX289" s="12">
        <v>0</v>
      </c>
      <c r="BY289" s="12">
        <v>0</v>
      </c>
      <c r="BZ289" s="12">
        <v>0</v>
      </c>
      <c r="CA289" s="12">
        <v>0</v>
      </c>
    </row>
    <row r="290" spans="1:79" hidden="1" x14ac:dyDescent="0.2">
      <c r="A290" s="12" t="s">
        <v>141</v>
      </c>
      <c r="B290" s="12" t="s">
        <v>143</v>
      </c>
      <c r="C290" s="12" t="s">
        <v>143</v>
      </c>
      <c r="D290" s="22" t="s">
        <v>435</v>
      </c>
      <c r="E290" s="22" t="s">
        <v>173</v>
      </c>
      <c r="F290" s="22" t="s">
        <v>1057</v>
      </c>
      <c r="G290" s="22" t="s">
        <v>1058</v>
      </c>
      <c r="H290" s="22" t="s">
        <v>150</v>
      </c>
      <c r="I290" s="22" t="s">
        <v>151</v>
      </c>
      <c r="J290" s="22" t="s">
        <v>162</v>
      </c>
      <c r="K290" s="22" t="s">
        <v>97</v>
      </c>
      <c r="L290" s="54" t="s">
        <v>153</v>
      </c>
      <c r="M290" s="23" t="s">
        <v>380</v>
      </c>
      <c r="N290" s="24" t="s">
        <v>153</v>
      </c>
      <c r="O290" s="23" t="s">
        <v>380</v>
      </c>
      <c r="P290" s="23" t="s">
        <v>380</v>
      </c>
      <c r="Q290" s="23" t="s">
        <v>380</v>
      </c>
      <c r="R290" s="23" t="s">
        <v>380</v>
      </c>
      <c r="S290" s="23" t="s">
        <v>380</v>
      </c>
      <c r="T290" s="23" t="s">
        <v>380</v>
      </c>
      <c r="U290" s="24" t="s">
        <v>153</v>
      </c>
      <c r="V290" s="54" t="s">
        <v>153</v>
      </c>
      <c r="W290" s="23" t="s">
        <v>380</v>
      </c>
      <c r="X290" s="23" t="s">
        <v>380</v>
      </c>
      <c r="Y290" s="23" t="s">
        <v>380</v>
      </c>
      <c r="Z290" s="23" t="s">
        <v>380</v>
      </c>
      <c r="AA290" s="23" t="s">
        <v>380</v>
      </c>
      <c r="AB290" s="24" t="s">
        <v>153</v>
      </c>
      <c r="AC290" s="24" t="s">
        <v>156</v>
      </c>
      <c r="AD290" s="24" t="s">
        <v>156</v>
      </c>
      <c r="AE290" s="23" t="s">
        <v>380</v>
      </c>
      <c r="AF290" s="23" t="s">
        <v>380</v>
      </c>
      <c r="AG290" s="23" t="s">
        <v>380</v>
      </c>
      <c r="AH290" s="23" t="s">
        <v>380</v>
      </c>
      <c r="AI290" s="24" t="s">
        <v>153</v>
      </c>
      <c r="AJ290" s="23" t="s">
        <v>380</v>
      </c>
      <c r="AK290" s="23" t="s">
        <v>380</v>
      </c>
      <c r="AL290" s="23" t="s">
        <v>380</v>
      </c>
      <c r="AM290" s="23" t="s">
        <v>380</v>
      </c>
      <c r="AN290" s="23" t="s">
        <v>380</v>
      </c>
      <c r="AO290" s="23" t="s">
        <v>380</v>
      </c>
      <c r="AP290" s="23">
        <f>VALUE(32)</f>
        <v>32</v>
      </c>
      <c r="AQ290" s="23">
        <f>VALUE(0)</f>
        <v>0</v>
      </c>
      <c r="AR290" s="23">
        <f>VALUE(0)</f>
        <v>0</v>
      </c>
      <c r="AS290" s="23">
        <f>VALUE(0)</f>
        <v>0</v>
      </c>
      <c r="AT290" s="23">
        <f>VALUE(0)</f>
        <v>0</v>
      </c>
      <c r="AU290" s="23">
        <f>VALUE(0)</f>
        <v>0</v>
      </c>
      <c r="AV290" s="23">
        <f>VALUE(6)</f>
        <v>6</v>
      </c>
      <c r="AW290" s="23">
        <f>VALUE(0)</f>
        <v>0</v>
      </c>
      <c r="AX290" s="23">
        <f>VALUE(0)</f>
        <v>0</v>
      </c>
      <c r="AY290" s="23">
        <f>VALUE(0)</f>
        <v>0</v>
      </c>
      <c r="AZ290" s="23">
        <f>VALUE(0)</f>
        <v>0</v>
      </c>
      <c r="BA290" s="23">
        <f>VALUE(0)</f>
        <v>0</v>
      </c>
      <c r="BB290" s="23">
        <f>VALUE(0)</f>
        <v>0</v>
      </c>
      <c r="BC290" s="23">
        <f>VALUE(0)</f>
        <v>0</v>
      </c>
      <c r="BD290" s="23">
        <f>VALUE(0)</f>
        <v>0</v>
      </c>
      <c r="BE290" s="23">
        <f>VALUE(0)</f>
        <v>0</v>
      </c>
      <c r="BF290" s="23">
        <f>VALUE(0)</f>
        <v>0</v>
      </c>
      <c r="BG290" s="23">
        <f>VALUE(0)</f>
        <v>0</v>
      </c>
      <c r="BH290" s="23">
        <f>VALUE(0)</f>
        <v>0</v>
      </c>
      <c r="BI290" s="23">
        <f>VALUE(0)</f>
        <v>0</v>
      </c>
      <c r="BJ290" s="23">
        <f>VALUE(0)</f>
        <v>0</v>
      </c>
      <c r="BK290" s="12">
        <f>$AX$290*24</f>
        <v>0</v>
      </c>
      <c r="BL290" s="12">
        <f>$AY$290*24</f>
        <v>0</v>
      </c>
      <c r="BM290" s="12">
        <f>$BJ$290*24</f>
        <v>0</v>
      </c>
      <c r="BN290" s="12">
        <f>VALUE($I$290)/100</f>
        <v>1</v>
      </c>
      <c r="BO290" s="12">
        <v>0</v>
      </c>
      <c r="BP290" s="12">
        <v>0</v>
      </c>
      <c r="BQ290" s="12">
        <v>0</v>
      </c>
      <c r="BR290" s="12">
        <v>0</v>
      </c>
      <c r="BS290" s="12">
        <v>0</v>
      </c>
      <c r="BT290" s="12">
        <v>0</v>
      </c>
      <c r="BU290" s="12">
        <v>0</v>
      </c>
      <c r="BV290" s="12">
        <v>0</v>
      </c>
      <c r="BW290" s="12">
        <v>0</v>
      </c>
      <c r="BX290" s="12">
        <v>0</v>
      </c>
      <c r="BY290" s="12">
        <v>0</v>
      </c>
      <c r="BZ290" s="12">
        <v>0</v>
      </c>
      <c r="CA290" s="12">
        <v>0</v>
      </c>
    </row>
    <row r="291" spans="1:79" ht="15" hidden="1" x14ac:dyDescent="0.25">
      <c r="A291" s="12" t="s">
        <v>141</v>
      </c>
      <c r="B291" s="12" t="s">
        <v>143</v>
      </c>
      <c r="C291" s="12" t="s">
        <v>143</v>
      </c>
      <c r="D291" s="31" t="s">
        <v>202</v>
      </c>
      <c r="E291" s="31" t="s">
        <v>153</v>
      </c>
      <c r="F291" s="31" t="s">
        <v>175</v>
      </c>
      <c r="G291" s="31" t="s">
        <v>153</v>
      </c>
      <c r="H291" s="31" t="s">
        <v>153</v>
      </c>
      <c r="I291" s="31" t="s">
        <v>153</v>
      </c>
      <c r="J291" s="31" t="s">
        <v>153</v>
      </c>
      <c r="K291" s="31" t="s">
        <v>153</v>
      </c>
      <c r="L291" s="31">
        <f>VALUE(0)</f>
        <v>0</v>
      </c>
      <c r="M291" s="31">
        <f>VALUE(10)</f>
        <v>10</v>
      </c>
      <c r="N291" s="31">
        <f>VALUE(0)</f>
        <v>0</v>
      </c>
      <c r="O291" s="31">
        <f>VALUE(11)</f>
        <v>11</v>
      </c>
      <c r="P291" s="31">
        <f>VALUE(11)</f>
        <v>11</v>
      </c>
      <c r="Q291" s="31">
        <f>VALUE(11)</f>
        <v>11</v>
      </c>
      <c r="R291" s="31">
        <f>VALUE(11)</f>
        <v>11</v>
      </c>
      <c r="S291" s="31">
        <f>VALUE(10)</f>
        <v>10</v>
      </c>
      <c r="T291" s="31">
        <f>VALUE(10)</f>
        <v>10</v>
      </c>
      <c r="U291" s="31">
        <f>VALUE(0)</f>
        <v>0</v>
      </c>
      <c r="V291" s="31">
        <f>VALUE(0)</f>
        <v>0</v>
      </c>
      <c r="W291" s="31">
        <f>VALUE(10)</f>
        <v>10</v>
      </c>
      <c r="X291" s="31">
        <f>VALUE(10)</f>
        <v>10</v>
      </c>
      <c r="Y291" s="31">
        <f>VALUE(10)</f>
        <v>10</v>
      </c>
      <c r="Z291" s="31">
        <f>VALUE(11)</f>
        <v>11</v>
      </c>
      <c r="AA291" s="31">
        <f>VALUE(11)</f>
        <v>11</v>
      </c>
      <c r="AB291" s="31">
        <f>VALUE(0)</f>
        <v>0</v>
      </c>
      <c r="AC291" s="31">
        <f>VALUE(10)</f>
        <v>10</v>
      </c>
      <c r="AD291" s="31">
        <f>VALUE(10)</f>
        <v>10</v>
      </c>
      <c r="AE291" s="31">
        <f>VALUE(10)</f>
        <v>10</v>
      </c>
      <c r="AF291" s="31">
        <f>VALUE(10)</f>
        <v>10</v>
      </c>
      <c r="AG291" s="31">
        <f>VALUE(10)</f>
        <v>10</v>
      </c>
      <c r="AH291" s="31">
        <f>VALUE(10)</f>
        <v>10</v>
      </c>
      <c r="AI291" s="31">
        <f>VALUE(0)</f>
        <v>0</v>
      </c>
      <c r="AJ291" s="31">
        <f>VALUE(10)</f>
        <v>10</v>
      </c>
      <c r="AK291" s="31">
        <f>VALUE(10)</f>
        <v>10</v>
      </c>
      <c r="AL291" s="31">
        <f>VALUE(10)</f>
        <v>10</v>
      </c>
      <c r="AM291" s="31">
        <f>VALUE(10)</f>
        <v>10</v>
      </c>
      <c r="AN291" s="31">
        <f>VALUE(12)</f>
        <v>12</v>
      </c>
      <c r="AO291" s="31">
        <f>VALUE(12)</f>
        <v>12</v>
      </c>
      <c r="AP291" s="31">
        <v>0</v>
      </c>
      <c r="AQ291" s="31">
        <v>0</v>
      </c>
      <c r="AR291" s="31">
        <v>0</v>
      </c>
      <c r="AS291" s="31">
        <v>0</v>
      </c>
      <c r="AT291" s="31">
        <v>0</v>
      </c>
      <c r="AU291" s="31">
        <v>0</v>
      </c>
      <c r="AV291" s="31">
        <v>0</v>
      </c>
      <c r="AW291" s="31">
        <v>0</v>
      </c>
      <c r="AX291" s="31">
        <v>0</v>
      </c>
      <c r="AY291" s="31">
        <v>0</v>
      </c>
      <c r="AZ291" s="31">
        <v>0</v>
      </c>
      <c r="BA291" s="31">
        <v>0</v>
      </c>
      <c r="BB291" s="31">
        <v>0</v>
      </c>
      <c r="BC291" s="31">
        <v>0</v>
      </c>
      <c r="BD291" s="31">
        <v>0</v>
      </c>
      <c r="BE291" s="31">
        <v>0</v>
      </c>
      <c r="BF291" s="31">
        <v>0</v>
      </c>
      <c r="BG291" s="31">
        <v>0</v>
      </c>
      <c r="BH291" s="31">
        <v>0</v>
      </c>
      <c r="BI291" s="31">
        <v>0</v>
      </c>
      <c r="BJ291" s="31">
        <v>0</v>
      </c>
      <c r="BK291" s="12">
        <v>0</v>
      </c>
      <c r="BL291" s="12">
        <v>0</v>
      </c>
      <c r="BM291" s="12">
        <v>0</v>
      </c>
      <c r="BN291" s="12"/>
      <c r="BO291" s="12">
        <v>0</v>
      </c>
      <c r="BP291" s="12">
        <v>0</v>
      </c>
      <c r="BQ291" s="12">
        <v>0</v>
      </c>
      <c r="BR291" s="12">
        <v>0</v>
      </c>
      <c r="BS291" s="12">
        <v>0</v>
      </c>
      <c r="BT291" s="12">
        <v>0</v>
      </c>
      <c r="BU291" s="12">
        <v>0</v>
      </c>
      <c r="BV291" s="12">
        <v>0</v>
      </c>
      <c r="BW291" s="12">
        <v>0</v>
      </c>
      <c r="BX291" s="12">
        <v>0</v>
      </c>
      <c r="BY291" s="12">
        <v>0</v>
      </c>
      <c r="BZ291" s="12">
        <v>0</v>
      </c>
      <c r="CA291" s="12">
        <v>0</v>
      </c>
    </row>
    <row r="292" spans="1:79" hidden="1" x14ac:dyDescent="0.2">
      <c r="A292" s="12" t="s">
        <v>141</v>
      </c>
      <c r="B292" s="12" t="s">
        <v>144</v>
      </c>
      <c r="C292" s="12" t="s">
        <v>144</v>
      </c>
      <c r="D292" s="22" t="s">
        <v>1286</v>
      </c>
      <c r="E292" s="22" t="s">
        <v>149</v>
      </c>
      <c r="F292" s="22" t="s">
        <v>1059</v>
      </c>
      <c r="G292" s="22" t="s">
        <v>1060</v>
      </c>
      <c r="H292" s="22" t="s">
        <v>166</v>
      </c>
      <c r="I292" s="22" t="s">
        <v>151</v>
      </c>
      <c r="J292" s="22" t="s">
        <v>524</v>
      </c>
      <c r="K292" s="22" t="s">
        <v>98</v>
      </c>
      <c r="L292" s="54" t="s">
        <v>153</v>
      </c>
      <c r="M292" s="30" t="s">
        <v>28</v>
      </c>
      <c r="N292" s="24" t="s">
        <v>153</v>
      </c>
      <c r="O292" s="28" t="s">
        <v>163</v>
      </c>
      <c r="P292" s="28" t="s">
        <v>163</v>
      </c>
      <c r="Q292" s="28" t="s">
        <v>163</v>
      </c>
      <c r="R292" s="28" t="s">
        <v>163</v>
      </c>
      <c r="S292" s="28" t="s">
        <v>163</v>
      </c>
      <c r="T292" s="28" t="s">
        <v>163</v>
      </c>
      <c r="U292" s="24" t="s">
        <v>153</v>
      </c>
      <c r="V292" s="54" t="s">
        <v>153</v>
      </c>
      <c r="W292" s="23" t="s">
        <v>153</v>
      </c>
      <c r="X292" s="23" t="s">
        <v>537</v>
      </c>
      <c r="Y292" s="23" t="s">
        <v>537</v>
      </c>
      <c r="Z292" s="23" t="s">
        <v>537</v>
      </c>
      <c r="AA292" s="23" t="s">
        <v>537</v>
      </c>
      <c r="AB292" s="24" t="s">
        <v>153</v>
      </c>
      <c r="AC292" s="23" t="s">
        <v>182</v>
      </c>
      <c r="AD292" s="23" t="s">
        <v>182</v>
      </c>
      <c r="AE292" s="23" t="s">
        <v>538</v>
      </c>
      <c r="AF292" s="23" t="s">
        <v>538</v>
      </c>
      <c r="AG292" s="23" t="s">
        <v>539</v>
      </c>
      <c r="AH292" s="23" t="s">
        <v>539</v>
      </c>
      <c r="AI292" s="24" t="s">
        <v>153</v>
      </c>
      <c r="AJ292" s="25" t="s">
        <v>539</v>
      </c>
      <c r="AK292" s="25" t="s">
        <v>539</v>
      </c>
      <c r="AL292" s="25" t="s">
        <v>539</v>
      </c>
      <c r="AM292" s="25" t="s">
        <v>539</v>
      </c>
      <c r="AN292" s="25" t="s">
        <v>539</v>
      </c>
      <c r="AO292" s="25" t="s">
        <v>539</v>
      </c>
      <c r="AP292" s="23">
        <f>VALUE(23)</f>
        <v>23</v>
      </c>
      <c r="AQ292" s="23">
        <f>VALUE(0)</f>
        <v>0</v>
      </c>
      <c r="AR292" s="23">
        <f>VALUE(0)</f>
        <v>0</v>
      </c>
      <c r="AS292" s="23">
        <f>VALUE(0)</f>
        <v>0</v>
      </c>
      <c r="AT292" s="23">
        <f>VALUE(0)</f>
        <v>0</v>
      </c>
      <c r="AU292" s="23">
        <f>VALUE(6)</f>
        <v>6</v>
      </c>
      <c r="AV292" s="23">
        <f>VALUE(2)</f>
        <v>2</v>
      </c>
      <c r="AW292" s="23">
        <f>VALUE(0)</f>
        <v>0</v>
      </c>
      <c r="AX292" s="23" t="s">
        <v>1297</v>
      </c>
      <c r="AY292" s="23">
        <f>VALUE(0)</f>
        <v>0</v>
      </c>
      <c r="AZ292" s="23">
        <f>VALUE(0)</f>
        <v>0</v>
      </c>
      <c r="BA292" s="23">
        <f>VALUE(0)</f>
        <v>0</v>
      </c>
      <c r="BB292" s="23">
        <f>VALUE(0)</f>
        <v>0</v>
      </c>
      <c r="BC292" s="23">
        <f>VALUE(0)</f>
        <v>0</v>
      </c>
      <c r="BD292" s="23">
        <f>VALUE(0)</f>
        <v>0</v>
      </c>
      <c r="BE292" s="23">
        <f>VALUE(0)</f>
        <v>0</v>
      </c>
      <c r="BF292" s="23">
        <f>VALUE(0)</f>
        <v>0</v>
      </c>
      <c r="BG292" s="23">
        <f>VALUE(0)</f>
        <v>0</v>
      </c>
      <c r="BH292" s="23">
        <f>VALUE(0)</f>
        <v>0</v>
      </c>
      <c r="BI292" s="23">
        <f>VALUE(0)</f>
        <v>0</v>
      </c>
      <c r="BJ292" s="23">
        <f>VALUE(0)</f>
        <v>0</v>
      </c>
      <c r="BK292" s="12">
        <f>$AX$292*24</f>
        <v>96.483333333333334</v>
      </c>
      <c r="BL292" s="12">
        <f>$AY$292*24</f>
        <v>0</v>
      </c>
      <c r="BM292" s="12">
        <f>$BJ$292*24</f>
        <v>0</v>
      </c>
      <c r="BN292" s="12">
        <f>VALUE($I$292)/100</f>
        <v>1</v>
      </c>
      <c r="BO292" s="12">
        <v>0</v>
      </c>
      <c r="BP292" s="12">
        <v>0</v>
      </c>
      <c r="BQ292" s="12">
        <v>1</v>
      </c>
      <c r="BR292" s="12">
        <v>0</v>
      </c>
      <c r="BS292" s="12">
        <v>0</v>
      </c>
      <c r="BT292" s="12">
        <v>0</v>
      </c>
      <c r="BU292" s="12">
        <v>0</v>
      </c>
      <c r="BV292" s="12">
        <v>0</v>
      </c>
      <c r="BW292" s="12">
        <v>0</v>
      </c>
      <c r="BX292" s="12">
        <v>0</v>
      </c>
      <c r="BY292" s="12">
        <v>0</v>
      </c>
      <c r="BZ292" s="12">
        <v>0</v>
      </c>
      <c r="CA292" s="12">
        <v>0</v>
      </c>
    </row>
    <row r="293" spans="1:79" ht="16.5" hidden="1" x14ac:dyDescent="0.2">
      <c r="A293" s="12" t="s">
        <v>141</v>
      </c>
      <c r="B293" s="12" t="s">
        <v>144</v>
      </c>
      <c r="C293" s="12" t="s">
        <v>144</v>
      </c>
      <c r="D293" s="22" t="s">
        <v>1298</v>
      </c>
      <c r="E293" s="22" t="s">
        <v>161</v>
      </c>
      <c r="F293" s="22" t="s">
        <v>1061</v>
      </c>
      <c r="G293" s="22" t="s">
        <v>1062</v>
      </c>
      <c r="H293" s="22" t="s">
        <v>150</v>
      </c>
      <c r="I293" s="22" t="s">
        <v>151</v>
      </c>
      <c r="J293" s="22" t="s">
        <v>530</v>
      </c>
      <c r="K293" s="22" t="s">
        <v>98</v>
      </c>
      <c r="L293" s="54" t="s">
        <v>153</v>
      </c>
      <c r="M293" s="26" t="s">
        <v>1299</v>
      </c>
      <c r="N293" s="24" t="s">
        <v>153</v>
      </c>
      <c r="O293" s="23" t="s">
        <v>540</v>
      </c>
      <c r="P293" s="23" t="s">
        <v>540</v>
      </c>
      <c r="Q293" s="23" t="s">
        <v>153</v>
      </c>
      <c r="R293" s="23" t="s">
        <v>153</v>
      </c>
      <c r="S293" s="23" t="s">
        <v>153</v>
      </c>
      <c r="T293" s="26" t="s">
        <v>1299</v>
      </c>
      <c r="U293" s="24" t="s">
        <v>153</v>
      </c>
      <c r="V293" s="54" t="s">
        <v>153</v>
      </c>
      <c r="W293" s="23" t="s">
        <v>153</v>
      </c>
      <c r="X293" s="23" t="s">
        <v>153</v>
      </c>
      <c r="Y293" s="23" t="s">
        <v>153</v>
      </c>
      <c r="Z293" s="23" t="s">
        <v>153</v>
      </c>
      <c r="AA293" s="26" t="s">
        <v>1299</v>
      </c>
      <c r="AB293" s="24" t="s">
        <v>153</v>
      </c>
      <c r="AC293" s="23" t="s">
        <v>153</v>
      </c>
      <c r="AD293" s="23" t="s">
        <v>153</v>
      </c>
      <c r="AE293" s="23" t="s">
        <v>153</v>
      </c>
      <c r="AF293" s="23" t="s">
        <v>153</v>
      </c>
      <c r="AG293" s="23" t="s">
        <v>153</v>
      </c>
      <c r="AH293" s="26" t="s">
        <v>1299</v>
      </c>
      <c r="AI293" s="24" t="s">
        <v>153</v>
      </c>
      <c r="AJ293" s="23" t="s">
        <v>153</v>
      </c>
      <c r="AK293" s="23" t="s">
        <v>153</v>
      </c>
      <c r="AL293" s="24" t="s">
        <v>156</v>
      </c>
      <c r="AM293" s="24" t="s">
        <v>156</v>
      </c>
      <c r="AN293" s="23" t="s">
        <v>153</v>
      </c>
      <c r="AO293" s="26" t="s">
        <v>1299</v>
      </c>
      <c r="AP293" s="23">
        <f>VALUE(32)</f>
        <v>32</v>
      </c>
      <c r="AQ293" s="23">
        <f>VALUE(0)</f>
        <v>0</v>
      </c>
      <c r="AR293" s="23">
        <f>VALUE(0)</f>
        <v>0</v>
      </c>
      <c r="AS293" s="23">
        <f>VALUE(0)</f>
        <v>0</v>
      </c>
      <c r="AT293" s="23">
        <f>VALUE(0)</f>
        <v>0</v>
      </c>
      <c r="AU293" s="23">
        <f>VALUE(0)</f>
        <v>0</v>
      </c>
      <c r="AV293" s="23">
        <f>VALUE(2)</f>
        <v>2</v>
      </c>
      <c r="AW293" s="23">
        <f>VALUE(0)</f>
        <v>0</v>
      </c>
      <c r="AX293" s="23" t="s">
        <v>158</v>
      </c>
      <c r="AY293" s="23" t="s">
        <v>1300</v>
      </c>
      <c r="AZ293" s="23">
        <f>VALUE(0)</f>
        <v>0</v>
      </c>
      <c r="BA293" s="23">
        <f>VALUE(0)</f>
        <v>0</v>
      </c>
      <c r="BB293" s="23">
        <f>VALUE(0)</f>
        <v>0</v>
      </c>
      <c r="BC293" s="23">
        <f>VALUE(0)</f>
        <v>0</v>
      </c>
      <c r="BD293" s="23">
        <f>VALUE(0)</f>
        <v>0</v>
      </c>
      <c r="BE293" s="23">
        <f>VALUE(0)</f>
        <v>0</v>
      </c>
      <c r="BF293" s="23">
        <f>VALUE(0)</f>
        <v>0</v>
      </c>
      <c r="BG293" s="23">
        <f>VALUE(0)</f>
        <v>0</v>
      </c>
      <c r="BH293" s="23">
        <f>VALUE(0)</f>
        <v>0</v>
      </c>
      <c r="BI293" s="23">
        <f>VALUE(0)</f>
        <v>0</v>
      </c>
      <c r="BJ293" s="23">
        <f>VALUE(0)</f>
        <v>0</v>
      </c>
      <c r="BK293" s="12">
        <f>$AX$293*24</f>
        <v>11.666666666666666</v>
      </c>
      <c r="BL293" s="12">
        <f>$AY$293*24</f>
        <v>5.7</v>
      </c>
      <c r="BM293" s="12">
        <f>$BJ$293*24</f>
        <v>0</v>
      </c>
      <c r="BN293" s="12">
        <f>VALUE($I$293)/100</f>
        <v>1</v>
      </c>
      <c r="BO293" s="12">
        <v>0</v>
      </c>
      <c r="BP293" s="12">
        <v>0</v>
      </c>
      <c r="BQ293" s="12">
        <v>0</v>
      </c>
      <c r="BR293" s="12">
        <v>0</v>
      </c>
      <c r="BS293" s="12">
        <v>0</v>
      </c>
      <c r="BT293" s="12">
        <v>0</v>
      </c>
      <c r="BU293" s="12">
        <v>0</v>
      </c>
      <c r="BV293" s="12">
        <v>0</v>
      </c>
      <c r="BW293" s="12">
        <v>0</v>
      </c>
      <c r="BX293" s="12">
        <v>0</v>
      </c>
      <c r="BY293" s="12">
        <v>0</v>
      </c>
      <c r="BZ293" s="12">
        <v>0</v>
      </c>
      <c r="CA293" s="12">
        <v>0</v>
      </c>
    </row>
    <row r="294" spans="1:79" hidden="1" x14ac:dyDescent="0.2">
      <c r="A294" s="12" t="s">
        <v>141</v>
      </c>
      <c r="B294" s="12" t="s">
        <v>144</v>
      </c>
      <c r="C294" s="12" t="s">
        <v>144</v>
      </c>
      <c r="D294" s="22" t="s">
        <v>542</v>
      </c>
      <c r="E294" s="22" t="s">
        <v>161</v>
      </c>
      <c r="F294" s="22" t="s">
        <v>1063</v>
      </c>
      <c r="G294" s="22" t="s">
        <v>1064</v>
      </c>
      <c r="H294" s="22" t="s">
        <v>166</v>
      </c>
      <c r="I294" s="22" t="s">
        <v>151</v>
      </c>
      <c r="J294" s="22" t="s">
        <v>162</v>
      </c>
      <c r="K294" s="22" t="s">
        <v>98</v>
      </c>
      <c r="L294" s="54" t="s">
        <v>153</v>
      </c>
      <c r="M294" s="23" t="s">
        <v>153</v>
      </c>
      <c r="N294" s="24" t="s">
        <v>153</v>
      </c>
      <c r="O294" s="23" t="s">
        <v>153</v>
      </c>
      <c r="P294" s="23" t="s">
        <v>153</v>
      </c>
      <c r="Q294" s="23" t="s">
        <v>153</v>
      </c>
      <c r="R294" s="23" t="s">
        <v>153</v>
      </c>
      <c r="S294" s="24" t="s">
        <v>156</v>
      </c>
      <c r="T294" s="24" t="s">
        <v>156</v>
      </c>
      <c r="U294" s="24" t="s">
        <v>153</v>
      </c>
      <c r="V294" s="54" t="s">
        <v>153</v>
      </c>
      <c r="W294" s="23" t="s">
        <v>153</v>
      </c>
      <c r="X294" s="23" t="s">
        <v>153</v>
      </c>
      <c r="Y294" s="23" t="s">
        <v>153</v>
      </c>
      <c r="Z294" s="23" t="s">
        <v>153</v>
      </c>
      <c r="AA294" s="23" t="s">
        <v>153</v>
      </c>
      <c r="AB294" s="24" t="s">
        <v>153</v>
      </c>
      <c r="AC294" s="23" t="s">
        <v>153</v>
      </c>
      <c r="AD294" s="23" t="s">
        <v>153</v>
      </c>
      <c r="AE294" s="23" t="s">
        <v>153</v>
      </c>
      <c r="AF294" s="23" t="s">
        <v>153</v>
      </c>
      <c r="AG294" s="23" t="s">
        <v>153</v>
      </c>
      <c r="AH294" s="23" t="s">
        <v>153</v>
      </c>
      <c r="AI294" s="24" t="s">
        <v>153</v>
      </c>
      <c r="AJ294" s="23" t="s">
        <v>153</v>
      </c>
      <c r="AK294" s="23" t="s">
        <v>153</v>
      </c>
      <c r="AL294" s="23" t="s">
        <v>153</v>
      </c>
      <c r="AM294" s="23" t="s">
        <v>153</v>
      </c>
      <c r="AN294" s="23" t="s">
        <v>153</v>
      </c>
      <c r="AO294" s="23" t="s">
        <v>153</v>
      </c>
      <c r="AP294" s="23">
        <f>VALUE(30)</f>
        <v>30</v>
      </c>
      <c r="AQ294" s="23">
        <f>VALUE(0)</f>
        <v>0</v>
      </c>
      <c r="AR294" s="23">
        <f>VALUE(0)</f>
        <v>0</v>
      </c>
      <c r="AS294" s="23">
        <f>VALUE(0)</f>
        <v>0</v>
      </c>
      <c r="AT294" s="23">
        <f>VALUE(0)</f>
        <v>0</v>
      </c>
      <c r="AU294" s="23">
        <f>VALUE(0)</f>
        <v>0</v>
      </c>
      <c r="AV294" s="23">
        <f>VALUE(8)</f>
        <v>8</v>
      </c>
      <c r="AW294" s="23">
        <f>VALUE(0)</f>
        <v>0</v>
      </c>
      <c r="AX294" s="23" t="s">
        <v>1301</v>
      </c>
      <c r="AY294" s="23">
        <f>VALUE(0)</f>
        <v>0</v>
      </c>
      <c r="AZ294" s="23">
        <f>VALUE(0)</f>
        <v>0</v>
      </c>
      <c r="BA294" s="23">
        <f>VALUE(0)</f>
        <v>0</v>
      </c>
      <c r="BB294" s="23">
        <f>VALUE(0)</f>
        <v>0</v>
      </c>
      <c r="BC294" s="23">
        <f>VALUE(0)</f>
        <v>0</v>
      </c>
      <c r="BD294" s="23">
        <f>VALUE(0)</f>
        <v>0</v>
      </c>
      <c r="BE294" s="23">
        <f>VALUE(0)</f>
        <v>0</v>
      </c>
      <c r="BF294" s="23">
        <f>VALUE(0)</f>
        <v>0</v>
      </c>
      <c r="BG294" s="23">
        <f>VALUE(0)</f>
        <v>0</v>
      </c>
      <c r="BH294" s="23">
        <f>VALUE(0)</f>
        <v>0</v>
      </c>
      <c r="BI294" s="23">
        <f>VALUE(0)</f>
        <v>0</v>
      </c>
      <c r="BJ294" s="23">
        <f>VALUE(0)</f>
        <v>0</v>
      </c>
      <c r="BK294" s="12">
        <f>$AX$294*24</f>
        <v>18.816666666666666</v>
      </c>
      <c r="BL294" s="12">
        <f>$AY$294*24</f>
        <v>0</v>
      </c>
      <c r="BM294" s="12">
        <f>$BJ$294*24</f>
        <v>0</v>
      </c>
      <c r="BN294" s="12">
        <f>VALUE($I$294)/100</f>
        <v>1</v>
      </c>
      <c r="BO294" s="12">
        <v>0</v>
      </c>
      <c r="BP294" s="12">
        <v>0</v>
      </c>
      <c r="BQ294" s="12">
        <v>0</v>
      </c>
      <c r="BR294" s="12">
        <v>0</v>
      </c>
      <c r="BS294" s="12">
        <v>0</v>
      </c>
      <c r="BT294" s="12">
        <v>0</v>
      </c>
      <c r="BU294" s="12">
        <v>0</v>
      </c>
      <c r="BV294" s="12">
        <v>0</v>
      </c>
      <c r="BW294" s="12">
        <v>0</v>
      </c>
      <c r="BX294" s="12">
        <v>0</v>
      </c>
      <c r="BY294" s="12">
        <v>0</v>
      </c>
      <c r="BZ294" s="12">
        <v>0</v>
      </c>
      <c r="CA294" s="12">
        <v>0</v>
      </c>
    </row>
    <row r="295" spans="1:79" hidden="1" x14ac:dyDescent="0.2">
      <c r="A295" s="12" t="s">
        <v>141</v>
      </c>
      <c r="B295" s="12" t="s">
        <v>144</v>
      </c>
      <c r="C295" s="12" t="s">
        <v>144</v>
      </c>
      <c r="D295" s="22" t="s">
        <v>537</v>
      </c>
      <c r="E295" s="22" t="s">
        <v>161</v>
      </c>
      <c r="F295" s="22" t="s">
        <v>1065</v>
      </c>
      <c r="G295" s="22" t="s">
        <v>1066</v>
      </c>
      <c r="H295" s="22" t="s">
        <v>150</v>
      </c>
      <c r="I295" s="22" t="s">
        <v>151</v>
      </c>
      <c r="J295" s="22" t="s">
        <v>162</v>
      </c>
      <c r="K295" s="22" t="s">
        <v>98</v>
      </c>
      <c r="L295" s="54" t="s">
        <v>153</v>
      </c>
      <c r="M295" s="23" t="s">
        <v>153</v>
      </c>
      <c r="N295" s="24" t="s">
        <v>153</v>
      </c>
      <c r="O295" s="23" t="s">
        <v>153</v>
      </c>
      <c r="P295" s="23" t="s">
        <v>153</v>
      </c>
      <c r="Q295" s="24" t="s">
        <v>156</v>
      </c>
      <c r="R295" s="24" t="s">
        <v>156</v>
      </c>
      <c r="S295" s="23" t="s">
        <v>153</v>
      </c>
      <c r="T295" s="23" t="s">
        <v>153</v>
      </c>
      <c r="U295" s="24" t="s">
        <v>153</v>
      </c>
      <c r="V295" s="54" t="s">
        <v>153</v>
      </c>
      <c r="W295" s="28" t="s">
        <v>163</v>
      </c>
      <c r="X295" s="28" t="s">
        <v>163</v>
      </c>
      <c r="Y295" s="28" t="s">
        <v>163</v>
      </c>
      <c r="Z295" s="28" t="s">
        <v>163</v>
      </c>
      <c r="AA295" s="28" t="s">
        <v>163</v>
      </c>
      <c r="AB295" s="24" t="s">
        <v>153</v>
      </c>
      <c r="AC295" s="28" t="s">
        <v>163</v>
      </c>
      <c r="AD295" s="28" t="s">
        <v>163</v>
      </c>
      <c r="AE295" s="28" t="s">
        <v>163</v>
      </c>
      <c r="AF295" s="28" t="s">
        <v>163</v>
      </c>
      <c r="AG295" s="28" t="s">
        <v>163</v>
      </c>
      <c r="AH295" s="28" t="s">
        <v>163</v>
      </c>
      <c r="AI295" s="24" t="s">
        <v>153</v>
      </c>
      <c r="AJ295" s="23" t="s">
        <v>153</v>
      </c>
      <c r="AK295" s="23" t="s">
        <v>153</v>
      </c>
      <c r="AL295" s="23" t="s">
        <v>153</v>
      </c>
      <c r="AM295" s="23" t="s">
        <v>153</v>
      </c>
      <c r="AN295" s="23" t="s">
        <v>153</v>
      </c>
      <c r="AO295" s="23" t="s">
        <v>153</v>
      </c>
      <c r="AP295" s="23">
        <f>VALUE(35)</f>
        <v>35</v>
      </c>
      <c r="AQ295" s="23">
        <f>VALUE(0)</f>
        <v>0</v>
      </c>
      <c r="AR295" s="23">
        <f>VALUE(0)</f>
        <v>0</v>
      </c>
      <c r="AS295" s="23">
        <f>VALUE(0)</f>
        <v>0</v>
      </c>
      <c r="AT295" s="23">
        <f>VALUE(0)</f>
        <v>0</v>
      </c>
      <c r="AU295" s="23">
        <f>VALUE(11)</f>
        <v>11</v>
      </c>
      <c r="AV295" s="23">
        <f>VALUE(2)</f>
        <v>2</v>
      </c>
      <c r="AW295" s="23">
        <f>VALUE(0)</f>
        <v>0</v>
      </c>
      <c r="AX295" s="23">
        <f>VALUE(0)</f>
        <v>0</v>
      </c>
      <c r="AY295" s="23" t="s">
        <v>543</v>
      </c>
      <c r="AZ295" s="23">
        <f>VALUE(0)</f>
        <v>0</v>
      </c>
      <c r="BA295" s="23">
        <f>VALUE(0)</f>
        <v>0</v>
      </c>
      <c r="BB295" s="23">
        <f>VALUE(0)</f>
        <v>0</v>
      </c>
      <c r="BC295" s="23">
        <f>VALUE(0)</f>
        <v>0</v>
      </c>
      <c r="BD295" s="23">
        <f>VALUE(0)</f>
        <v>0</v>
      </c>
      <c r="BE295" s="23">
        <f>VALUE(0)</f>
        <v>0</v>
      </c>
      <c r="BF295" s="23">
        <f>VALUE(0)</f>
        <v>0</v>
      </c>
      <c r="BG295" s="23">
        <f>VALUE(0)</f>
        <v>0</v>
      </c>
      <c r="BH295" s="23">
        <f>VALUE(0)</f>
        <v>0</v>
      </c>
      <c r="BI295" s="23">
        <f>VALUE(0)</f>
        <v>0</v>
      </c>
      <c r="BJ295" s="23">
        <f>VALUE(0)</f>
        <v>0</v>
      </c>
      <c r="BK295" s="12">
        <f>$AX$295*24</f>
        <v>0</v>
      </c>
      <c r="BL295" s="12">
        <f>$AY$295*24</f>
        <v>33.116666666666667</v>
      </c>
      <c r="BM295" s="12">
        <f>$BJ$295*24</f>
        <v>0</v>
      </c>
      <c r="BN295" s="12">
        <f>VALUE($I$295)/100</f>
        <v>1</v>
      </c>
      <c r="BO295" s="12">
        <v>0</v>
      </c>
      <c r="BP295" s="12">
        <v>0</v>
      </c>
      <c r="BQ295" s="12">
        <v>0</v>
      </c>
      <c r="BR295" s="12">
        <v>0</v>
      </c>
      <c r="BS295" s="12">
        <v>0</v>
      </c>
      <c r="BT295" s="12">
        <v>0</v>
      </c>
      <c r="BU295" s="12">
        <v>0</v>
      </c>
      <c r="BV295" s="12">
        <v>0</v>
      </c>
      <c r="BW295" s="12">
        <v>0</v>
      </c>
      <c r="BX295" s="12">
        <v>0</v>
      </c>
      <c r="BY295" s="12">
        <v>0</v>
      </c>
      <c r="BZ295" s="12">
        <v>0</v>
      </c>
      <c r="CA295" s="12">
        <v>0</v>
      </c>
    </row>
    <row r="296" spans="1:79" hidden="1" x14ac:dyDescent="0.2">
      <c r="A296" s="12" t="s">
        <v>141</v>
      </c>
      <c r="B296" s="12" t="s">
        <v>144</v>
      </c>
      <c r="C296" s="12" t="s">
        <v>144</v>
      </c>
      <c r="D296" s="22" t="s">
        <v>539</v>
      </c>
      <c r="E296" s="22" t="s">
        <v>161</v>
      </c>
      <c r="F296" s="22" t="s">
        <v>1302</v>
      </c>
      <c r="G296" s="22" t="s">
        <v>1067</v>
      </c>
      <c r="H296" s="22" t="s">
        <v>150</v>
      </c>
      <c r="I296" s="22" t="s">
        <v>151</v>
      </c>
      <c r="J296" s="22" t="s">
        <v>162</v>
      </c>
      <c r="K296" s="22" t="s">
        <v>98</v>
      </c>
      <c r="L296" s="54" t="s">
        <v>153</v>
      </c>
      <c r="M296" s="23" t="s">
        <v>153</v>
      </c>
      <c r="N296" s="24" t="s">
        <v>153</v>
      </c>
      <c r="O296" s="23" t="s">
        <v>153</v>
      </c>
      <c r="P296" s="23" t="s">
        <v>153</v>
      </c>
      <c r="Q296" s="23" t="s">
        <v>153</v>
      </c>
      <c r="R296" s="23" t="s">
        <v>153</v>
      </c>
      <c r="S296" s="23" t="s">
        <v>153</v>
      </c>
      <c r="T296" s="23" t="s">
        <v>153</v>
      </c>
      <c r="U296" s="24" t="s">
        <v>153</v>
      </c>
      <c r="V296" s="54" t="s">
        <v>153</v>
      </c>
      <c r="W296" s="23" t="s">
        <v>153</v>
      </c>
      <c r="X296" s="23" t="s">
        <v>153</v>
      </c>
      <c r="Y296" s="23" t="s">
        <v>153</v>
      </c>
      <c r="Z296" s="23" t="s">
        <v>153</v>
      </c>
      <c r="AA296" s="23" t="s">
        <v>153</v>
      </c>
      <c r="AB296" s="24" t="s">
        <v>153</v>
      </c>
      <c r="AC296" s="23" t="s">
        <v>153</v>
      </c>
      <c r="AD296" s="23" t="s">
        <v>153</v>
      </c>
      <c r="AE296" s="23" t="s">
        <v>153</v>
      </c>
      <c r="AF296" s="23" t="s">
        <v>153</v>
      </c>
      <c r="AG296" s="24" t="s">
        <v>156</v>
      </c>
      <c r="AH296" s="24" t="s">
        <v>156</v>
      </c>
      <c r="AI296" s="24" t="s">
        <v>153</v>
      </c>
      <c r="AJ296" s="23" t="s">
        <v>153</v>
      </c>
      <c r="AK296" s="23" t="s">
        <v>153</v>
      </c>
      <c r="AL296" s="23" t="s">
        <v>153</v>
      </c>
      <c r="AM296" s="23" t="s">
        <v>153</v>
      </c>
      <c r="AN296" s="23" t="s">
        <v>153</v>
      </c>
      <c r="AO296" s="23" t="s">
        <v>153</v>
      </c>
      <c r="AP296" s="23">
        <f>VALUE(34)</f>
        <v>34</v>
      </c>
      <c r="AQ296" s="23">
        <f>VALUE(0)</f>
        <v>0</v>
      </c>
      <c r="AR296" s="23">
        <f>VALUE(0)</f>
        <v>0</v>
      </c>
      <c r="AS296" s="23">
        <f>VALUE(0)</f>
        <v>0</v>
      </c>
      <c r="AT296" s="23">
        <f>VALUE(0)</f>
        <v>0</v>
      </c>
      <c r="AU296" s="23">
        <f>VALUE(0)</f>
        <v>0</v>
      </c>
      <c r="AV296" s="23">
        <f>VALUE(2)</f>
        <v>2</v>
      </c>
      <c r="AW296" s="23">
        <f>VALUE(0)</f>
        <v>0</v>
      </c>
      <c r="AX296" s="23" t="s">
        <v>158</v>
      </c>
      <c r="AY296" s="23" t="s">
        <v>544</v>
      </c>
      <c r="AZ296" s="23">
        <f>VALUE(0)</f>
        <v>0</v>
      </c>
      <c r="BA296" s="23">
        <f>VALUE(0)</f>
        <v>0</v>
      </c>
      <c r="BB296" s="23">
        <f>VALUE(0)</f>
        <v>0</v>
      </c>
      <c r="BC296" s="23">
        <f>VALUE(0)</f>
        <v>0</v>
      </c>
      <c r="BD296" s="23">
        <f>VALUE(0)</f>
        <v>0</v>
      </c>
      <c r="BE296" s="23">
        <f>VALUE(0)</f>
        <v>0</v>
      </c>
      <c r="BF296" s="23">
        <f>VALUE(0)</f>
        <v>0</v>
      </c>
      <c r="BG296" s="23">
        <f>VALUE(0)</f>
        <v>0</v>
      </c>
      <c r="BH296" s="23">
        <f>VALUE(0)</f>
        <v>0</v>
      </c>
      <c r="BI296" s="23">
        <f>VALUE(0)</f>
        <v>0</v>
      </c>
      <c r="BJ296" s="23">
        <f>VALUE(0)</f>
        <v>0</v>
      </c>
      <c r="BK296" s="12">
        <f>$AX$296*24</f>
        <v>11.666666666666666</v>
      </c>
      <c r="BL296" s="12">
        <f>$AY$296*24</f>
        <v>21.933333333333334</v>
      </c>
      <c r="BM296" s="12">
        <f>$BJ$296*24</f>
        <v>0</v>
      </c>
      <c r="BN296" s="12">
        <f>VALUE($I$296)/100</f>
        <v>1</v>
      </c>
      <c r="BO296" s="12">
        <v>0</v>
      </c>
      <c r="BP296" s="12">
        <v>0</v>
      </c>
      <c r="BQ296" s="12">
        <v>0</v>
      </c>
      <c r="BR296" s="12">
        <v>0</v>
      </c>
      <c r="BS296" s="12">
        <v>0</v>
      </c>
      <c r="BT296" s="12">
        <v>0</v>
      </c>
      <c r="BU296" s="12">
        <v>0</v>
      </c>
      <c r="BV296" s="12">
        <v>0</v>
      </c>
      <c r="BW296" s="12">
        <v>0</v>
      </c>
      <c r="BX296" s="12">
        <v>0</v>
      </c>
      <c r="BY296" s="12">
        <v>0</v>
      </c>
      <c r="BZ296" s="12">
        <v>0</v>
      </c>
      <c r="CA296" s="12">
        <v>0</v>
      </c>
    </row>
    <row r="297" spans="1:79" hidden="1" x14ac:dyDescent="0.2">
      <c r="A297" s="12" t="s">
        <v>141</v>
      </c>
      <c r="B297" s="12" t="s">
        <v>144</v>
      </c>
      <c r="C297" s="12" t="s">
        <v>144</v>
      </c>
      <c r="D297" s="22" t="s">
        <v>545</v>
      </c>
      <c r="E297" s="22" t="s">
        <v>161</v>
      </c>
      <c r="F297" s="22" t="s">
        <v>1068</v>
      </c>
      <c r="G297" s="22" t="s">
        <v>1069</v>
      </c>
      <c r="H297" s="22" t="s">
        <v>150</v>
      </c>
      <c r="I297" s="22" t="s">
        <v>151</v>
      </c>
      <c r="J297" s="22" t="s">
        <v>162</v>
      </c>
      <c r="K297" s="22" t="s">
        <v>98</v>
      </c>
      <c r="L297" s="54" t="s">
        <v>153</v>
      </c>
      <c r="M297" s="23" t="s">
        <v>153</v>
      </c>
      <c r="N297" s="24" t="s">
        <v>153</v>
      </c>
      <c r="O297" s="23" t="s">
        <v>153</v>
      </c>
      <c r="P297" s="23" t="s">
        <v>153</v>
      </c>
      <c r="Q297" s="23" t="s">
        <v>153</v>
      </c>
      <c r="R297" s="23" t="s">
        <v>153</v>
      </c>
      <c r="S297" s="23" t="s">
        <v>153</v>
      </c>
      <c r="T297" s="23" t="s">
        <v>153</v>
      </c>
      <c r="U297" s="24" t="s">
        <v>153</v>
      </c>
      <c r="V297" s="54" t="s">
        <v>153</v>
      </c>
      <c r="W297" s="23" t="s">
        <v>153</v>
      </c>
      <c r="X297" s="23" t="s">
        <v>153</v>
      </c>
      <c r="Y297" s="23" t="s">
        <v>153</v>
      </c>
      <c r="Z297" s="23" t="s">
        <v>153</v>
      </c>
      <c r="AA297" s="23" t="s">
        <v>153</v>
      </c>
      <c r="AB297" s="24" t="s">
        <v>153</v>
      </c>
      <c r="AC297" s="23" t="s">
        <v>153</v>
      </c>
      <c r="AD297" s="23" t="s">
        <v>153</v>
      </c>
      <c r="AE297" s="23" t="s">
        <v>153</v>
      </c>
      <c r="AF297" s="23" t="s">
        <v>153</v>
      </c>
      <c r="AG297" s="23" t="s">
        <v>153</v>
      </c>
      <c r="AH297" s="23" t="s">
        <v>153</v>
      </c>
      <c r="AI297" s="24" t="s">
        <v>153</v>
      </c>
      <c r="AJ297" s="23" t="s">
        <v>153</v>
      </c>
      <c r="AK297" s="23" t="s">
        <v>153</v>
      </c>
      <c r="AL297" s="23" t="s">
        <v>153</v>
      </c>
      <c r="AM297" s="23" t="s">
        <v>153</v>
      </c>
      <c r="AN297" s="24" t="s">
        <v>156</v>
      </c>
      <c r="AO297" s="24" t="s">
        <v>156</v>
      </c>
      <c r="AP297" s="23">
        <f>VALUE(34)</f>
        <v>34</v>
      </c>
      <c r="AQ297" s="23">
        <f>VALUE(0)</f>
        <v>0</v>
      </c>
      <c r="AR297" s="23">
        <f>VALUE(0)</f>
        <v>0</v>
      </c>
      <c r="AS297" s="23">
        <f>VALUE(0)</f>
        <v>0</v>
      </c>
      <c r="AT297" s="23">
        <f>VALUE(0)</f>
        <v>0</v>
      </c>
      <c r="AU297" s="23">
        <f>VALUE(0)</f>
        <v>0</v>
      </c>
      <c r="AV297" s="23">
        <f>VALUE(2)</f>
        <v>2</v>
      </c>
      <c r="AW297" s="23">
        <f>VALUE(0)</f>
        <v>0</v>
      </c>
      <c r="AX297" s="23" t="s">
        <v>176</v>
      </c>
      <c r="AY297" s="23" t="s">
        <v>244</v>
      </c>
      <c r="AZ297" s="23">
        <f>VALUE(0)</f>
        <v>0</v>
      </c>
      <c r="BA297" s="23">
        <f>VALUE(0)</f>
        <v>0</v>
      </c>
      <c r="BB297" s="23">
        <f>VALUE(0)</f>
        <v>0</v>
      </c>
      <c r="BC297" s="23">
        <f>VALUE(0)</f>
        <v>0</v>
      </c>
      <c r="BD297" s="23">
        <f>VALUE(0)</f>
        <v>0</v>
      </c>
      <c r="BE297" s="23">
        <f>VALUE(0)</f>
        <v>0</v>
      </c>
      <c r="BF297" s="23">
        <f>VALUE(0)</f>
        <v>0</v>
      </c>
      <c r="BG297" s="23">
        <f>VALUE(0)</f>
        <v>0</v>
      </c>
      <c r="BH297" s="23">
        <f>VALUE(0)</f>
        <v>0</v>
      </c>
      <c r="BI297" s="23">
        <f>VALUE(0)</f>
        <v>0</v>
      </c>
      <c r="BJ297" s="23">
        <f>VALUE(0)</f>
        <v>0</v>
      </c>
      <c r="BK297" s="12">
        <f>$AX$297*24</f>
        <v>0</v>
      </c>
      <c r="BL297" s="12">
        <f>$AY$297*24</f>
        <v>0.23333333333333334</v>
      </c>
      <c r="BM297" s="12">
        <f>$BJ$297*24</f>
        <v>0</v>
      </c>
      <c r="BN297" s="12">
        <f>VALUE($I$297)/100</f>
        <v>1</v>
      </c>
      <c r="BO297" s="12">
        <v>0</v>
      </c>
      <c r="BP297" s="12">
        <v>0</v>
      </c>
      <c r="BQ297" s="12">
        <v>0</v>
      </c>
      <c r="BR297" s="12">
        <v>0</v>
      </c>
      <c r="BS297" s="12">
        <v>0</v>
      </c>
      <c r="BT297" s="12">
        <v>0</v>
      </c>
      <c r="BU297" s="12">
        <v>0</v>
      </c>
      <c r="BV297" s="12">
        <v>0</v>
      </c>
      <c r="BW297" s="12">
        <v>0</v>
      </c>
      <c r="BX297" s="12">
        <v>0</v>
      </c>
      <c r="BY297" s="12">
        <v>0</v>
      </c>
      <c r="BZ297" s="12">
        <v>0</v>
      </c>
      <c r="CA297" s="12">
        <v>0</v>
      </c>
    </row>
    <row r="298" spans="1:79" hidden="1" x14ac:dyDescent="0.2">
      <c r="A298" s="12" t="s">
        <v>141</v>
      </c>
      <c r="B298" s="12" t="s">
        <v>144</v>
      </c>
      <c r="C298" s="12" t="s">
        <v>144</v>
      </c>
      <c r="D298" s="22" t="s">
        <v>546</v>
      </c>
      <c r="E298" s="22" t="s">
        <v>161</v>
      </c>
      <c r="F298" s="22" t="s">
        <v>1070</v>
      </c>
      <c r="G298" s="22" t="s">
        <v>1071</v>
      </c>
      <c r="H298" s="22" t="s">
        <v>190</v>
      </c>
      <c r="I298" s="22" t="s">
        <v>151</v>
      </c>
      <c r="J298" s="22" t="s">
        <v>162</v>
      </c>
      <c r="K298" s="22" t="s">
        <v>98</v>
      </c>
      <c r="L298" s="27" t="s">
        <v>153</v>
      </c>
      <c r="M298" s="27" t="s">
        <v>153</v>
      </c>
      <c r="N298" s="27" t="s">
        <v>153</v>
      </c>
      <c r="O298" s="27" t="s">
        <v>153</v>
      </c>
      <c r="P298" s="27" t="s">
        <v>153</v>
      </c>
      <c r="Q298" s="27" t="s">
        <v>153</v>
      </c>
      <c r="R298" s="27" t="s">
        <v>153</v>
      </c>
      <c r="S298" s="27" t="s">
        <v>153</v>
      </c>
      <c r="T298" s="27" t="s">
        <v>153</v>
      </c>
      <c r="U298" s="27" t="s">
        <v>153</v>
      </c>
      <c r="V298" s="27" t="s">
        <v>153</v>
      </c>
      <c r="W298" s="27" t="s">
        <v>153</v>
      </c>
      <c r="X298" s="27" t="s">
        <v>153</v>
      </c>
      <c r="Y298" s="27" t="s">
        <v>153</v>
      </c>
      <c r="Z298" s="27" t="s">
        <v>153</v>
      </c>
      <c r="AA298" s="27" t="s">
        <v>153</v>
      </c>
      <c r="AB298" s="40" t="s">
        <v>153</v>
      </c>
      <c r="AC298" s="40" t="s">
        <v>153</v>
      </c>
      <c r="AD298" s="40" t="s">
        <v>153</v>
      </c>
      <c r="AE298" s="40" t="s">
        <v>153</v>
      </c>
      <c r="AF298" s="40" t="s">
        <v>153</v>
      </c>
      <c r="AG298" s="40" t="s">
        <v>153</v>
      </c>
      <c r="AH298" s="40" t="s">
        <v>153</v>
      </c>
      <c r="AI298" s="40" t="s">
        <v>153</v>
      </c>
      <c r="AJ298" s="40" t="s">
        <v>153</v>
      </c>
      <c r="AK298" s="40" t="s">
        <v>153</v>
      </c>
      <c r="AL298" s="40" t="s">
        <v>153</v>
      </c>
      <c r="AM298" s="40" t="s">
        <v>153</v>
      </c>
      <c r="AN298" s="40" t="s">
        <v>153</v>
      </c>
      <c r="AO298" s="40" t="s">
        <v>153</v>
      </c>
      <c r="AP298" s="23">
        <f>VALUE(1)</f>
        <v>1</v>
      </c>
      <c r="AQ298" s="23">
        <f>VALUE(0)</f>
        <v>0</v>
      </c>
      <c r="AR298" s="23">
        <f>VALUE(0)</f>
        <v>0</v>
      </c>
      <c r="AS298" s="23">
        <f>VALUE(0)</f>
        <v>0</v>
      </c>
      <c r="AT298" s="23">
        <f>VALUE(0)</f>
        <v>0</v>
      </c>
      <c r="AU298" s="23">
        <f>VALUE(0)</f>
        <v>0</v>
      </c>
      <c r="AV298" s="23">
        <f>VALUE(3)</f>
        <v>3</v>
      </c>
      <c r="AW298" s="23">
        <f>VALUE(0)</f>
        <v>0</v>
      </c>
      <c r="AX298" s="23">
        <f>VALUE(0)</f>
        <v>0</v>
      </c>
      <c r="AY298" s="23">
        <f>VALUE(0)</f>
        <v>0</v>
      </c>
      <c r="AZ298" s="23">
        <f>VALUE(0)</f>
        <v>0</v>
      </c>
      <c r="BA298" s="23">
        <f>VALUE(0)</f>
        <v>0</v>
      </c>
      <c r="BB298" s="23">
        <f>VALUE(0)</f>
        <v>0</v>
      </c>
      <c r="BC298" s="23">
        <f>VALUE(0)</f>
        <v>0</v>
      </c>
      <c r="BD298" s="23">
        <f>VALUE(0)</f>
        <v>0</v>
      </c>
      <c r="BE298" s="23">
        <f>VALUE(0)</f>
        <v>0</v>
      </c>
      <c r="BF298" s="23">
        <f>VALUE(0)</f>
        <v>0</v>
      </c>
      <c r="BG298" s="23">
        <f>VALUE(0)</f>
        <v>0</v>
      </c>
      <c r="BH298" s="23">
        <f>VALUE(0)</f>
        <v>0</v>
      </c>
      <c r="BI298" s="23">
        <f>VALUE(0)</f>
        <v>0</v>
      </c>
      <c r="BJ298" s="23">
        <f>VALUE(0)</f>
        <v>0</v>
      </c>
      <c r="BK298" s="12">
        <f>$AX$298*24</f>
        <v>0</v>
      </c>
      <c r="BL298" s="12">
        <f>$AY$298*24</f>
        <v>0</v>
      </c>
      <c r="BM298" s="12">
        <f>$BJ$298*24</f>
        <v>0</v>
      </c>
      <c r="BN298" s="12">
        <f>VALUE($I$298)/100</f>
        <v>1</v>
      </c>
      <c r="BO298" s="12">
        <v>0</v>
      </c>
      <c r="BP298" s="12">
        <v>0</v>
      </c>
      <c r="BQ298" s="12">
        <v>0</v>
      </c>
      <c r="BR298" s="12">
        <v>0</v>
      </c>
      <c r="BS298" s="12">
        <v>0</v>
      </c>
      <c r="BT298" s="12">
        <v>0</v>
      </c>
      <c r="BU298" s="12">
        <v>0</v>
      </c>
      <c r="BV298" s="12">
        <v>0</v>
      </c>
      <c r="BW298" s="12">
        <v>0</v>
      </c>
      <c r="BX298" s="12">
        <v>0</v>
      </c>
      <c r="BY298" s="12">
        <v>0</v>
      </c>
      <c r="BZ298" s="12">
        <v>0</v>
      </c>
      <c r="CA298" s="12">
        <v>0</v>
      </c>
    </row>
    <row r="299" spans="1:79" hidden="1" x14ac:dyDescent="0.2">
      <c r="A299" s="12" t="s">
        <v>141</v>
      </c>
      <c r="B299" s="12" t="s">
        <v>144</v>
      </c>
      <c r="C299" s="12" t="s">
        <v>144</v>
      </c>
      <c r="D299" s="22" t="s">
        <v>546</v>
      </c>
      <c r="E299" s="22" t="s">
        <v>161</v>
      </c>
      <c r="F299" s="22" t="s">
        <v>1303</v>
      </c>
      <c r="G299" s="22" t="s">
        <v>1072</v>
      </c>
      <c r="H299" s="22" t="s">
        <v>153</v>
      </c>
      <c r="I299" s="22" t="s">
        <v>151</v>
      </c>
      <c r="J299" s="22" t="s">
        <v>162</v>
      </c>
      <c r="K299" s="22" t="s">
        <v>98</v>
      </c>
      <c r="L299" s="54" t="s">
        <v>153</v>
      </c>
      <c r="M299" s="23" t="s">
        <v>153</v>
      </c>
      <c r="N299" s="40" t="s">
        <v>153</v>
      </c>
      <c r="O299" s="40" t="s">
        <v>153</v>
      </c>
      <c r="P299" s="40" t="s">
        <v>153</v>
      </c>
      <c r="Q299" s="40" t="s">
        <v>153</v>
      </c>
      <c r="R299" s="40" t="s">
        <v>153</v>
      </c>
      <c r="S299" s="40" t="s">
        <v>153</v>
      </c>
      <c r="T299" s="40" t="s">
        <v>153</v>
      </c>
      <c r="U299" s="40" t="s">
        <v>153</v>
      </c>
      <c r="V299" s="40" t="s">
        <v>153</v>
      </c>
      <c r="W299" s="40" t="s">
        <v>153</v>
      </c>
      <c r="X299" s="40" t="s">
        <v>153</v>
      </c>
      <c r="Y299" s="40" t="s">
        <v>153</v>
      </c>
      <c r="Z299" s="40" t="s">
        <v>153</v>
      </c>
      <c r="AA299" s="40" t="s">
        <v>153</v>
      </c>
      <c r="AB299" s="40" t="s">
        <v>153</v>
      </c>
      <c r="AC299" s="40" t="s">
        <v>153</v>
      </c>
      <c r="AD299" s="40" t="s">
        <v>153</v>
      </c>
      <c r="AE299" s="40" t="s">
        <v>153</v>
      </c>
      <c r="AF299" s="40" t="s">
        <v>153</v>
      </c>
      <c r="AG299" s="40" t="s">
        <v>153</v>
      </c>
      <c r="AH299" s="40" t="s">
        <v>153</v>
      </c>
      <c r="AI299" s="40" t="s">
        <v>153</v>
      </c>
      <c r="AJ299" s="40" t="s">
        <v>153</v>
      </c>
      <c r="AK299" s="40" t="s">
        <v>153</v>
      </c>
      <c r="AL299" s="40" t="s">
        <v>153</v>
      </c>
      <c r="AM299" s="40" t="s">
        <v>153</v>
      </c>
      <c r="AN299" s="40" t="s">
        <v>153</v>
      </c>
      <c r="AO299" s="40" t="s">
        <v>153</v>
      </c>
      <c r="AP299" s="23">
        <f>VALUE(9)</f>
        <v>9</v>
      </c>
      <c r="AQ299" s="23">
        <f>VALUE(0)</f>
        <v>0</v>
      </c>
      <c r="AR299" s="23">
        <f>VALUE(0)</f>
        <v>0</v>
      </c>
      <c r="AS299" s="23">
        <f>VALUE(0)</f>
        <v>0</v>
      </c>
      <c r="AT299" s="23">
        <f>VALUE(0)</f>
        <v>0</v>
      </c>
      <c r="AU299" s="23">
        <f>VALUE(0)</f>
        <v>0</v>
      </c>
      <c r="AV299" s="23">
        <f>VALUE(0)</f>
        <v>0</v>
      </c>
      <c r="AW299" s="23">
        <f>VALUE(0)</f>
        <v>0</v>
      </c>
      <c r="AX299" s="23">
        <f>VALUE(0)</f>
        <v>0</v>
      </c>
      <c r="AY299" s="23">
        <f>VALUE(0)</f>
        <v>0</v>
      </c>
      <c r="AZ299" s="23">
        <f>VALUE(0)</f>
        <v>0</v>
      </c>
      <c r="BA299" s="23">
        <f>VALUE(0)</f>
        <v>0</v>
      </c>
      <c r="BB299" s="23">
        <f>VALUE(0)</f>
        <v>0</v>
      </c>
      <c r="BC299" s="23">
        <f>VALUE(0)</f>
        <v>0</v>
      </c>
      <c r="BD299" s="23">
        <f>VALUE(0)</f>
        <v>0</v>
      </c>
      <c r="BE299" s="23">
        <f>VALUE(0)</f>
        <v>0</v>
      </c>
      <c r="BF299" s="23">
        <f>VALUE(0)</f>
        <v>0</v>
      </c>
      <c r="BG299" s="23">
        <f>VALUE(0)</f>
        <v>0</v>
      </c>
      <c r="BH299" s="23">
        <f>VALUE(0)</f>
        <v>0</v>
      </c>
      <c r="BI299" s="23">
        <f>VALUE(0)</f>
        <v>0</v>
      </c>
      <c r="BJ299" s="23">
        <f>VALUE(0)</f>
        <v>0</v>
      </c>
      <c r="BK299" s="12">
        <f>$AX$299*24</f>
        <v>0</v>
      </c>
      <c r="BL299" s="12">
        <f>$AY$299*24</f>
        <v>0</v>
      </c>
      <c r="BM299" s="12">
        <f>$BJ$299*24</f>
        <v>0</v>
      </c>
      <c r="BN299" s="12">
        <f>VALUE($I$299)/100</f>
        <v>1</v>
      </c>
      <c r="BO299" s="12">
        <v>0</v>
      </c>
      <c r="BP299" s="12">
        <v>0</v>
      </c>
      <c r="BQ299" s="12">
        <v>0</v>
      </c>
      <c r="BR299" s="12">
        <v>0</v>
      </c>
      <c r="BS299" s="12">
        <v>0</v>
      </c>
      <c r="BT299" s="12">
        <v>0</v>
      </c>
      <c r="BU299" s="12">
        <v>0</v>
      </c>
      <c r="BV299" s="12">
        <v>0</v>
      </c>
      <c r="BW299" s="12">
        <v>0</v>
      </c>
      <c r="BX299" s="12">
        <v>0</v>
      </c>
      <c r="BY299" s="12">
        <v>0</v>
      </c>
      <c r="BZ299" s="12">
        <v>0</v>
      </c>
      <c r="CA299" s="12">
        <v>0</v>
      </c>
    </row>
    <row r="300" spans="1:79" hidden="1" x14ac:dyDescent="0.2">
      <c r="A300" s="12" t="s">
        <v>141</v>
      </c>
      <c r="B300" s="12" t="s">
        <v>144</v>
      </c>
      <c r="C300" s="12" t="s">
        <v>144</v>
      </c>
      <c r="D300" s="22" t="s">
        <v>540</v>
      </c>
      <c r="E300" s="22" t="s">
        <v>161</v>
      </c>
      <c r="F300" s="22" t="s">
        <v>1073</v>
      </c>
      <c r="G300" s="22" t="s">
        <v>1074</v>
      </c>
      <c r="H300" s="22" t="s">
        <v>150</v>
      </c>
      <c r="I300" s="22" t="s">
        <v>151</v>
      </c>
      <c r="J300" s="22" t="s">
        <v>162</v>
      </c>
      <c r="K300" s="22" t="s">
        <v>98</v>
      </c>
      <c r="L300" s="54" t="s">
        <v>153</v>
      </c>
      <c r="M300" s="28" t="s">
        <v>163</v>
      </c>
      <c r="N300" s="24" t="s">
        <v>153</v>
      </c>
      <c r="O300" s="28" t="s">
        <v>163</v>
      </c>
      <c r="P300" s="28" t="s">
        <v>163</v>
      </c>
      <c r="Q300" s="23" t="s">
        <v>538</v>
      </c>
      <c r="R300" s="23" t="s">
        <v>538</v>
      </c>
      <c r="S300" s="23" t="s">
        <v>153</v>
      </c>
      <c r="T300" s="23" t="s">
        <v>153</v>
      </c>
      <c r="U300" s="24" t="s">
        <v>153</v>
      </c>
      <c r="V300" s="54" t="s">
        <v>153</v>
      </c>
      <c r="W300" s="23" t="s">
        <v>153</v>
      </c>
      <c r="X300" s="23" t="s">
        <v>153</v>
      </c>
      <c r="Y300" s="23" t="s">
        <v>153</v>
      </c>
      <c r="Z300" s="23" t="s">
        <v>153</v>
      </c>
      <c r="AA300" s="23" t="s">
        <v>153</v>
      </c>
      <c r="AB300" s="24" t="s">
        <v>153</v>
      </c>
      <c r="AC300" s="23" t="s">
        <v>153</v>
      </c>
      <c r="AD300" s="23" t="s">
        <v>153</v>
      </c>
      <c r="AE300" s="23" t="s">
        <v>153</v>
      </c>
      <c r="AF300" s="23" t="s">
        <v>153</v>
      </c>
      <c r="AG300" s="23" t="s">
        <v>153</v>
      </c>
      <c r="AH300" s="23" t="s">
        <v>153</v>
      </c>
      <c r="AI300" s="24" t="s">
        <v>153</v>
      </c>
      <c r="AJ300" s="23" t="s">
        <v>153</v>
      </c>
      <c r="AK300" s="23" t="s">
        <v>153</v>
      </c>
      <c r="AL300" s="23" t="s">
        <v>153</v>
      </c>
      <c r="AM300" s="23" t="s">
        <v>153</v>
      </c>
      <c r="AN300" s="23" t="s">
        <v>153</v>
      </c>
      <c r="AO300" s="23" t="s">
        <v>153</v>
      </c>
      <c r="AP300" s="23">
        <f>VALUE(38)</f>
        <v>38</v>
      </c>
      <c r="AQ300" s="23">
        <f>VALUE(0)</f>
        <v>0</v>
      </c>
      <c r="AR300" s="23">
        <f>VALUE(0)</f>
        <v>0</v>
      </c>
      <c r="AS300" s="23">
        <f>VALUE(0)</f>
        <v>0</v>
      </c>
      <c r="AT300" s="23">
        <f>VALUE(0)</f>
        <v>0</v>
      </c>
      <c r="AU300" s="23">
        <f>VALUE(3)</f>
        <v>3</v>
      </c>
      <c r="AV300" s="23">
        <f>VALUE(3)</f>
        <v>3</v>
      </c>
      <c r="AW300" s="23">
        <f>VALUE(0)</f>
        <v>0</v>
      </c>
      <c r="AX300" s="23" t="s">
        <v>171</v>
      </c>
      <c r="AY300" s="23">
        <f>VALUE(0)</f>
        <v>0</v>
      </c>
      <c r="AZ300" s="23">
        <f>VALUE(0)</f>
        <v>0</v>
      </c>
      <c r="BA300" s="23">
        <f>VALUE(0)</f>
        <v>0</v>
      </c>
      <c r="BB300" s="23">
        <f>VALUE(0)</f>
        <v>0</v>
      </c>
      <c r="BC300" s="23">
        <f>VALUE(0)</f>
        <v>0</v>
      </c>
      <c r="BD300" s="23">
        <f>VALUE(0)</f>
        <v>0</v>
      </c>
      <c r="BE300" s="23">
        <f>VALUE(0)</f>
        <v>0</v>
      </c>
      <c r="BF300" s="23">
        <f>VALUE(0)</f>
        <v>0</v>
      </c>
      <c r="BG300" s="23">
        <f>VALUE(0)</f>
        <v>0</v>
      </c>
      <c r="BH300" s="23">
        <f>VALUE(0)</f>
        <v>0</v>
      </c>
      <c r="BI300" s="23">
        <f>VALUE(0)</f>
        <v>0</v>
      </c>
      <c r="BJ300" s="23">
        <f>VALUE(0)</f>
        <v>0</v>
      </c>
      <c r="BK300" s="12">
        <f>$AX$300*24</f>
        <v>5.833333333333333</v>
      </c>
      <c r="BL300" s="12">
        <f>$AY$300*24</f>
        <v>0</v>
      </c>
      <c r="BM300" s="12">
        <f>$BJ$300*24</f>
        <v>0</v>
      </c>
      <c r="BN300" s="12">
        <f>VALUE($I$300)/100</f>
        <v>1</v>
      </c>
      <c r="BO300" s="12">
        <v>0</v>
      </c>
      <c r="BP300" s="12">
        <v>0</v>
      </c>
      <c r="BQ300" s="12">
        <v>0</v>
      </c>
      <c r="BR300" s="12">
        <v>0</v>
      </c>
      <c r="BS300" s="12">
        <v>0</v>
      </c>
      <c r="BT300" s="12">
        <v>0</v>
      </c>
      <c r="BU300" s="12">
        <v>0</v>
      </c>
      <c r="BV300" s="12">
        <v>0</v>
      </c>
      <c r="BW300" s="12">
        <v>0</v>
      </c>
      <c r="BX300" s="12">
        <v>0</v>
      </c>
      <c r="BY300" s="12">
        <v>0</v>
      </c>
      <c r="BZ300" s="12">
        <v>0</v>
      </c>
      <c r="CA300" s="12">
        <v>0</v>
      </c>
    </row>
    <row r="301" spans="1:79" x14ac:dyDescent="0.2">
      <c r="A301" s="12" t="s">
        <v>141</v>
      </c>
      <c r="B301" s="12" t="s">
        <v>144</v>
      </c>
      <c r="C301" s="12" t="s">
        <v>144</v>
      </c>
      <c r="D301" s="22" t="s">
        <v>547</v>
      </c>
      <c r="E301" s="22" t="s">
        <v>161</v>
      </c>
      <c r="F301" s="22" t="s">
        <v>1075</v>
      </c>
      <c r="G301" s="22" t="s">
        <v>1076</v>
      </c>
      <c r="H301" s="22" t="s">
        <v>150</v>
      </c>
      <c r="I301" s="22" t="s">
        <v>151</v>
      </c>
      <c r="J301" s="22" t="s">
        <v>162</v>
      </c>
      <c r="K301" s="22" t="s">
        <v>98</v>
      </c>
      <c r="L301" s="54" t="s">
        <v>153</v>
      </c>
      <c r="M301" s="29" t="s">
        <v>218</v>
      </c>
      <c r="N301" s="24" t="s">
        <v>153</v>
      </c>
      <c r="O301" s="29" t="s">
        <v>218</v>
      </c>
      <c r="P301" s="29" t="s">
        <v>218</v>
      </c>
      <c r="Q301" s="29" t="s">
        <v>218</v>
      </c>
      <c r="R301" s="29" t="s">
        <v>218</v>
      </c>
      <c r="S301" s="29" t="s">
        <v>218</v>
      </c>
      <c r="T301" s="29" t="s">
        <v>218</v>
      </c>
      <c r="U301" s="24" t="s">
        <v>153</v>
      </c>
      <c r="V301" s="54" t="s">
        <v>153</v>
      </c>
      <c r="W301" s="29" t="s">
        <v>218</v>
      </c>
      <c r="X301" s="29" t="s">
        <v>218</v>
      </c>
      <c r="Y301" s="29" t="s">
        <v>218</v>
      </c>
      <c r="Z301" s="29" t="s">
        <v>218</v>
      </c>
      <c r="AA301" s="29" t="s">
        <v>218</v>
      </c>
      <c r="AB301" s="24" t="s">
        <v>153</v>
      </c>
      <c r="AC301" s="29" t="s">
        <v>218</v>
      </c>
      <c r="AD301" s="29" t="s">
        <v>218</v>
      </c>
      <c r="AE301" s="29" t="s">
        <v>218</v>
      </c>
      <c r="AF301" s="29" t="s">
        <v>218</v>
      </c>
      <c r="AG301" s="29" t="s">
        <v>218</v>
      </c>
      <c r="AH301" s="29" t="s">
        <v>218</v>
      </c>
      <c r="AI301" s="24" t="s">
        <v>153</v>
      </c>
      <c r="AJ301" s="29" t="s">
        <v>218</v>
      </c>
      <c r="AK301" s="29" t="s">
        <v>218</v>
      </c>
      <c r="AL301" s="29" t="s">
        <v>218</v>
      </c>
      <c r="AM301" s="29" t="s">
        <v>218</v>
      </c>
      <c r="AN301" s="29" t="s">
        <v>218</v>
      </c>
      <c r="AO301" s="29" t="s">
        <v>218</v>
      </c>
      <c r="AP301" s="23">
        <f>VALUE(11)</f>
        <v>11</v>
      </c>
      <c r="AQ301" s="23">
        <f>VALUE(0)</f>
        <v>0</v>
      </c>
      <c r="AR301" s="23">
        <f>VALUE(24)</f>
        <v>24</v>
      </c>
      <c r="AS301" s="23">
        <f>VALUE(0)</f>
        <v>0</v>
      </c>
      <c r="AT301" s="23">
        <f>VALUE(0)</f>
        <v>0</v>
      </c>
      <c r="AU301" s="23">
        <f>VALUE(0)</f>
        <v>0</v>
      </c>
      <c r="AV301" s="23">
        <f>VALUE(14)</f>
        <v>14</v>
      </c>
      <c r="AW301" s="23">
        <f>VALUE(0)</f>
        <v>0</v>
      </c>
      <c r="AX301" s="23" t="s">
        <v>171</v>
      </c>
      <c r="AY301" s="23" t="s">
        <v>548</v>
      </c>
      <c r="AZ301" s="23">
        <f>VALUE(0)</f>
        <v>0</v>
      </c>
      <c r="BA301" s="23">
        <f>VALUE(0)</f>
        <v>0</v>
      </c>
      <c r="BB301" s="23">
        <f>VALUE(0)</f>
        <v>0</v>
      </c>
      <c r="BC301" s="23">
        <f>VALUE(0)</f>
        <v>0</v>
      </c>
      <c r="BD301" s="23">
        <f>VALUE(0)</f>
        <v>0</v>
      </c>
      <c r="BE301" s="23">
        <f>VALUE(0)</f>
        <v>0</v>
      </c>
      <c r="BF301" s="23">
        <f>VALUE(0)</f>
        <v>0</v>
      </c>
      <c r="BG301" s="23">
        <f>VALUE(0)</f>
        <v>0</v>
      </c>
      <c r="BH301" s="23">
        <f>VALUE(0)</f>
        <v>0</v>
      </c>
      <c r="BI301" s="23">
        <f>VALUE(0)</f>
        <v>0</v>
      </c>
      <c r="BJ301" s="23">
        <f>VALUE(0)</f>
        <v>0</v>
      </c>
      <c r="BK301" s="12">
        <f>$AX$301*24</f>
        <v>5.833333333333333</v>
      </c>
      <c r="BL301" s="12">
        <f>$AY$301*24</f>
        <v>4.6166666666666671</v>
      </c>
      <c r="BM301" s="12">
        <f>$BJ$301*24</f>
        <v>0</v>
      </c>
      <c r="BN301" s="12">
        <f>VALUE($I$301)/100</f>
        <v>1</v>
      </c>
      <c r="BO301" s="12">
        <v>0</v>
      </c>
      <c r="BP301" s="12">
        <v>0</v>
      </c>
      <c r="BQ301" s="12">
        <v>0</v>
      </c>
      <c r="BR301" s="12">
        <v>0</v>
      </c>
      <c r="BS301" s="12">
        <v>24</v>
      </c>
      <c r="BT301" s="12">
        <v>0</v>
      </c>
      <c r="BU301" s="12">
        <v>0</v>
      </c>
      <c r="BV301" s="12">
        <v>0</v>
      </c>
      <c r="BW301" s="12">
        <v>0</v>
      </c>
      <c r="BX301" s="12">
        <v>0</v>
      </c>
      <c r="BY301" s="12">
        <v>0</v>
      </c>
      <c r="BZ301" s="12">
        <v>0</v>
      </c>
      <c r="CA301" s="12">
        <v>0</v>
      </c>
    </row>
    <row r="302" spans="1:79" x14ac:dyDescent="0.2">
      <c r="A302" s="12" t="s">
        <v>141</v>
      </c>
      <c r="B302" s="12" t="s">
        <v>144</v>
      </c>
      <c r="C302" s="12" t="s">
        <v>144</v>
      </c>
      <c r="D302" s="22" t="s">
        <v>547</v>
      </c>
      <c r="E302" s="22" t="s">
        <v>161</v>
      </c>
      <c r="F302" s="22" t="s">
        <v>1304</v>
      </c>
      <c r="G302" s="22" t="s">
        <v>1077</v>
      </c>
      <c r="H302" s="22" t="s">
        <v>190</v>
      </c>
      <c r="I302" s="22" t="s">
        <v>151</v>
      </c>
      <c r="J302" s="22" t="s">
        <v>162</v>
      </c>
      <c r="K302" s="22" t="s">
        <v>98</v>
      </c>
      <c r="L302" s="54" t="s">
        <v>153</v>
      </c>
      <c r="M302" s="23" t="s">
        <v>153</v>
      </c>
      <c r="N302" s="24" t="s">
        <v>153</v>
      </c>
      <c r="O302" s="29" t="s">
        <v>163</v>
      </c>
      <c r="P302" s="23" t="s">
        <v>153</v>
      </c>
      <c r="Q302" s="23" t="s">
        <v>153</v>
      </c>
      <c r="R302" s="23" t="s">
        <v>153</v>
      </c>
      <c r="S302" s="23" t="s">
        <v>153</v>
      </c>
      <c r="T302" s="23" t="s">
        <v>153</v>
      </c>
      <c r="U302" s="24" t="s">
        <v>153</v>
      </c>
      <c r="V302" s="54" t="s">
        <v>153</v>
      </c>
      <c r="W302" s="23" t="s">
        <v>153</v>
      </c>
      <c r="X302" s="23" t="s">
        <v>153</v>
      </c>
      <c r="Y302" s="23" t="s">
        <v>153</v>
      </c>
      <c r="Z302" s="23" t="s">
        <v>153</v>
      </c>
      <c r="AA302" s="23" t="s">
        <v>153</v>
      </c>
      <c r="AB302" s="24" t="s">
        <v>153</v>
      </c>
      <c r="AC302" s="23" t="s">
        <v>153</v>
      </c>
      <c r="AD302" s="23" t="s">
        <v>153</v>
      </c>
      <c r="AE302" s="23" t="s">
        <v>153</v>
      </c>
      <c r="AF302" s="23" t="s">
        <v>153</v>
      </c>
      <c r="AG302" s="23" t="s">
        <v>153</v>
      </c>
      <c r="AH302" s="23" t="s">
        <v>153</v>
      </c>
      <c r="AI302" s="24" t="s">
        <v>153</v>
      </c>
      <c r="AJ302" s="23" t="s">
        <v>153</v>
      </c>
      <c r="AK302" s="23" t="s">
        <v>153</v>
      </c>
      <c r="AL302" s="23" t="s">
        <v>153</v>
      </c>
      <c r="AM302" s="23" t="s">
        <v>153</v>
      </c>
      <c r="AN302" s="23" t="s">
        <v>153</v>
      </c>
      <c r="AO302" s="23" t="s">
        <v>153</v>
      </c>
      <c r="AP302" s="23">
        <f>VALUE(6)</f>
        <v>6</v>
      </c>
      <c r="AQ302" s="23">
        <f>VALUE(0)</f>
        <v>0</v>
      </c>
      <c r="AR302" s="23">
        <f>VALUE(1)</f>
        <v>1</v>
      </c>
      <c r="AS302" s="23">
        <f>VALUE(0)</f>
        <v>0</v>
      </c>
      <c r="AT302" s="23">
        <f>VALUE(0)</f>
        <v>0</v>
      </c>
      <c r="AU302" s="23">
        <f>VALUE(0)</f>
        <v>0</v>
      </c>
      <c r="AV302" s="23">
        <f>VALUE(8)</f>
        <v>8</v>
      </c>
      <c r="AW302" s="23">
        <f>VALUE(0)</f>
        <v>0</v>
      </c>
      <c r="AX302" s="23" t="s">
        <v>171</v>
      </c>
      <c r="AY302" s="23">
        <f>VALUE(0)</f>
        <v>0</v>
      </c>
      <c r="AZ302" s="23">
        <f>VALUE(0)</f>
        <v>0</v>
      </c>
      <c r="BA302" s="23">
        <f>VALUE(0)</f>
        <v>0</v>
      </c>
      <c r="BB302" s="23">
        <f>VALUE(0)</f>
        <v>0</v>
      </c>
      <c r="BC302" s="23">
        <f>VALUE(0)</f>
        <v>0</v>
      </c>
      <c r="BD302" s="23">
        <f>VALUE(0)</f>
        <v>0</v>
      </c>
      <c r="BE302" s="23">
        <f>VALUE(0)</f>
        <v>0</v>
      </c>
      <c r="BF302" s="23">
        <f>VALUE(0)</f>
        <v>0</v>
      </c>
      <c r="BG302" s="23">
        <f>VALUE(0)</f>
        <v>0</v>
      </c>
      <c r="BH302" s="23">
        <f>VALUE(0)</f>
        <v>0</v>
      </c>
      <c r="BI302" s="23">
        <f>VALUE(0)</f>
        <v>0</v>
      </c>
      <c r="BJ302" s="23">
        <f>VALUE(0)</f>
        <v>0</v>
      </c>
      <c r="BK302" s="12">
        <f>$AX$302*24</f>
        <v>5.833333333333333</v>
      </c>
      <c r="BL302" s="12">
        <f>$AY$302*24</f>
        <v>0</v>
      </c>
      <c r="BM302" s="12">
        <f>$BJ$302*24</f>
        <v>0</v>
      </c>
      <c r="BN302" s="12">
        <f>VALUE($I$302)/100</f>
        <v>1</v>
      </c>
      <c r="BO302" s="12">
        <v>0</v>
      </c>
      <c r="BP302" s="12">
        <v>0</v>
      </c>
      <c r="BQ302" s="12">
        <v>0</v>
      </c>
      <c r="BR302" s="12">
        <v>0</v>
      </c>
      <c r="BS302" s="12">
        <v>0</v>
      </c>
      <c r="BT302" s="12">
        <v>1</v>
      </c>
      <c r="BU302" s="12">
        <v>0</v>
      </c>
      <c r="BV302" s="12">
        <v>0</v>
      </c>
      <c r="BW302" s="12">
        <v>0</v>
      </c>
      <c r="BX302" s="12">
        <v>0</v>
      </c>
      <c r="BY302" s="12">
        <v>0</v>
      </c>
      <c r="BZ302" s="12">
        <v>0</v>
      </c>
      <c r="CA302" s="12">
        <v>0</v>
      </c>
    </row>
    <row r="303" spans="1:79" hidden="1" x14ac:dyDescent="0.2">
      <c r="A303" s="12" t="s">
        <v>141</v>
      </c>
      <c r="B303" s="12" t="s">
        <v>144</v>
      </c>
      <c r="C303" s="12" t="s">
        <v>144</v>
      </c>
      <c r="D303" s="22" t="s">
        <v>1279</v>
      </c>
      <c r="E303" s="22" t="s">
        <v>173</v>
      </c>
      <c r="F303" s="22" t="s">
        <v>1078</v>
      </c>
      <c r="G303" s="22" t="s">
        <v>1079</v>
      </c>
      <c r="H303" s="22" t="s">
        <v>150</v>
      </c>
      <c r="I303" s="22" t="s">
        <v>151</v>
      </c>
      <c r="J303" s="22" t="s">
        <v>162</v>
      </c>
      <c r="K303" s="22" t="s">
        <v>98</v>
      </c>
      <c r="L303" s="54" t="s">
        <v>153</v>
      </c>
      <c r="M303" s="27" t="s">
        <v>153</v>
      </c>
      <c r="N303" s="27" t="s">
        <v>153</v>
      </c>
      <c r="O303" s="27" t="s">
        <v>153</v>
      </c>
      <c r="P303" s="27" t="s">
        <v>153</v>
      </c>
      <c r="Q303" s="27" t="s">
        <v>153</v>
      </c>
      <c r="R303" s="27" t="s">
        <v>153</v>
      </c>
      <c r="S303" s="27" t="s">
        <v>153</v>
      </c>
      <c r="T303" s="27" t="s">
        <v>153</v>
      </c>
      <c r="U303" s="27" t="s">
        <v>153</v>
      </c>
      <c r="V303" s="54" t="s">
        <v>153</v>
      </c>
      <c r="W303" s="27" t="s">
        <v>153</v>
      </c>
      <c r="X303" s="27" t="s">
        <v>153</v>
      </c>
      <c r="Y303" s="27" t="s">
        <v>153</v>
      </c>
      <c r="Z303" s="27" t="s">
        <v>153</v>
      </c>
      <c r="AA303" s="27" t="s">
        <v>153</v>
      </c>
      <c r="AB303" s="27" t="s">
        <v>153</v>
      </c>
      <c r="AC303" s="27" t="s">
        <v>153</v>
      </c>
      <c r="AD303" s="27" t="s">
        <v>153</v>
      </c>
      <c r="AE303" s="27" t="s">
        <v>153</v>
      </c>
      <c r="AF303" s="27" t="s">
        <v>153</v>
      </c>
      <c r="AG303" s="27" t="s">
        <v>153</v>
      </c>
      <c r="AH303" s="27" t="s">
        <v>153</v>
      </c>
      <c r="AI303" s="27" t="s">
        <v>153</v>
      </c>
      <c r="AJ303" s="27" t="s">
        <v>153</v>
      </c>
      <c r="AK303" s="27" t="s">
        <v>153</v>
      </c>
      <c r="AL303" s="27" t="s">
        <v>153</v>
      </c>
      <c r="AM303" s="27" t="s">
        <v>153</v>
      </c>
      <c r="AN303" s="27" t="s">
        <v>153</v>
      </c>
      <c r="AO303" s="27" t="s">
        <v>153</v>
      </c>
      <c r="AP303" s="23">
        <f>VALUE(0)</f>
        <v>0</v>
      </c>
      <c r="AQ303" s="23">
        <f>VALUE(0)</f>
        <v>0</v>
      </c>
      <c r="AR303" s="23">
        <f>VALUE(0)</f>
        <v>0</v>
      </c>
      <c r="AS303" s="23">
        <f>VALUE(0)</f>
        <v>0</v>
      </c>
      <c r="AT303" s="23">
        <f>VALUE(0)</f>
        <v>0</v>
      </c>
      <c r="AU303" s="23">
        <f>VALUE(0)</f>
        <v>0</v>
      </c>
      <c r="AV303" s="23">
        <f>VALUE(0)</f>
        <v>0</v>
      </c>
      <c r="AW303" s="23">
        <f>VALUE(0)</f>
        <v>0</v>
      </c>
      <c r="AX303" s="23">
        <f>VALUE(0)</f>
        <v>0</v>
      </c>
      <c r="AY303" s="23">
        <f>VALUE(0)</f>
        <v>0</v>
      </c>
      <c r="AZ303" s="23">
        <f>VALUE(0)</f>
        <v>0</v>
      </c>
      <c r="BA303" s="23">
        <f>VALUE(0)</f>
        <v>0</v>
      </c>
      <c r="BB303" s="23">
        <f>VALUE(0)</f>
        <v>0</v>
      </c>
      <c r="BC303" s="23">
        <f>VALUE(0)</f>
        <v>0</v>
      </c>
      <c r="BD303" s="23">
        <f>VALUE(0)</f>
        <v>0</v>
      </c>
      <c r="BE303" s="23">
        <f>VALUE(0)</f>
        <v>0</v>
      </c>
      <c r="BF303" s="23">
        <f>VALUE(0)</f>
        <v>0</v>
      </c>
      <c r="BG303" s="23">
        <f>VALUE(0)</f>
        <v>0</v>
      </c>
      <c r="BH303" s="23">
        <f>VALUE(0)</f>
        <v>0</v>
      </c>
      <c r="BI303" s="23">
        <f>VALUE(0)</f>
        <v>0</v>
      </c>
      <c r="BJ303" s="23">
        <f>VALUE(0)</f>
        <v>0</v>
      </c>
      <c r="BK303" s="12">
        <f>$AX$303*24</f>
        <v>0</v>
      </c>
      <c r="BL303" s="12">
        <f>$AY$303*24</f>
        <v>0</v>
      </c>
      <c r="BM303" s="12">
        <f>$BJ$303*24</f>
        <v>0</v>
      </c>
      <c r="BN303" s="12">
        <f>VALUE($I$303)/100</f>
        <v>1</v>
      </c>
      <c r="BO303" s="12">
        <v>0</v>
      </c>
      <c r="BP303" s="12">
        <v>0</v>
      </c>
      <c r="BQ303" s="12">
        <v>0</v>
      </c>
      <c r="BR303" s="12">
        <v>0</v>
      </c>
      <c r="BS303" s="12">
        <v>0</v>
      </c>
      <c r="BT303" s="12">
        <v>0</v>
      </c>
      <c r="BU303" s="12">
        <v>0</v>
      </c>
      <c r="BV303" s="12">
        <v>0</v>
      </c>
      <c r="BW303" s="12">
        <v>0</v>
      </c>
      <c r="BX303" s="12">
        <v>0</v>
      </c>
      <c r="BY303" s="12">
        <v>0</v>
      </c>
      <c r="BZ303" s="12">
        <v>0</v>
      </c>
      <c r="CA303" s="12">
        <v>0</v>
      </c>
    </row>
    <row r="304" spans="1:79" ht="16.5" hidden="1" x14ac:dyDescent="0.2">
      <c r="A304" s="12" t="s">
        <v>141</v>
      </c>
      <c r="B304" s="12" t="s">
        <v>144</v>
      </c>
      <c r="C304" s="12" t="s">
        <v>144</v>
      </c>
      <c r="D304" s="22" t="s">
        <v>549</v>
      </c>
      <c r="E304" s="22" t="s">
        <v>173</v>
      </c>
      <c r="F304" s="22" t="s">
        <v>1080</v>
      </c>
      <c r="G304" s="22" t="s">
        <v>1081</v>
      </c>
      <c r="H304" s="22" t="s">
        <v>166</v>
      </c>
      <c r="I304" s="22" t="s">
        <v>151</v>
      </c>
      <c r="J304" s="22" t="s">
        <v>162</v>
      </c>
      <c r="K304" s="22" t="s">
        <v>98</v>
      </c>
      <c r="L304" s="54" t="s">
        <v>153</v>
      </c>
      <c r="M304" s="26" t="s">
        <v>550</v>
      </c>
      <c r="N304" s="24" t="s">
        <v>153</v>
      </c>
      <c r="O304" s="23" t="s">
        <v>185</v>
      </c>
      <c r="P304" s="25" t="s">
        <v>1305</v>
      </c>
      <c r="Q304" s="23" t="s">
        <v>540</v>
      </c>
      <c r="R304" s="23" t="s">
        <v>540</v>
      </c>
      <c r="S304" s="23" t="s">
        <v>542</v>
      </c>
      <c r="T304" s="23" t="s">
        <v>542</v>
      </c>
      <c r="U304" s="24" t="s">
        <v>153</v>
      </c>
      <c r="V304" s="54" t="s">
        <v>153</v>
      </c>
      <c r="W304" s="23" t="s">
        <v>537</v>
      </c>
      <c r="X304" s="24" t="s">
        <v>156</v>
      </c>
      <c r="Y304" s="24" t="s">
        <v>156</v>
      </c>
      <c r="Z304" s="23" t="s">
        <v>182</v>
      </c>
      <c r="AA304" s="23" t="s">
        <v>182</v>
      </c>
      <c r="AB304" s="24" t="s">
        <v>153</v>
      </c>
      <c r="AC304" s="23" t="s">
        <v>537</v>
      </c>
      <c r="AD304" s="23" t="s">
        <v>537</v>
      </c>
      <c r="AE304" s="23" t="s">
        <v>537</v>
      </c>
      <c r="AF304" s="23" t="s">
        <v>537</v>
      </c>
      <c r="AG304" s="23" t="s">
        <v>537</v>
      </c>
      <c r="AH304" s="23" t="s">
        <v>537</v>
      </c>
      <c r="AI304" s="24" t="s">
        <v>153</v>
      </c>
      <c r="AJ304" s="28" t="s">
        <v>163</v>
      </c>
      <c r="AK304" s="28" t="s">
        <v>163</v>
      </c>
      <c r="AL304" s="28" t="s">
        <v>163</v>
      </c>
      <c r="AM304" s="28" t="s">
        <v>163</v>
      </c>
      <c r="AN304" s="28" t="s">
        <v>163</v>
      </c>
      <c r="AO304" s="28" t="s">
        <v>163</v>
      </c>
      <c r="AP304" s="23">
        <f>VALUE(14)</f>
        <v>14</v>
      </c>
      <c r="AQ304" s="23">
        <f>VALUE(0)</f>
        <v>0</v>
      </c>
      <c r="AR304" s="23">
        <f>VALUE(0)</f>
        <v>0</v>
      </c>
      <c r="AS304" s="23">
        <f>VALUE(0)</f>
        <v>0</v>
      </c>
      <c r="AT304" s="23">
        <f>VALUE(0)</f>
        <v>0</v>
      </c>
      <c r="AU304" s="23">
        <f>VALUE(6)</f>
        <v>6</v>
      </c>
      <c r="AV304" s="23">
        <f>VALUE(6)</f>
        <v>6</v>
      </c>
      <c r="AW304" s="23">
        <f>VALUE(0)</f>
        <v>0</v>
      </c>
      <c r="AX304" s="23" t="s">
        <v>551</v>
      </c>
      <c r="AY304" s="23">
        <f>VALUE(0)</f>
        <v>0</v>
      </c>
      <c r="AZ304" s="23">
        <f>VALUE(0)</f>
        <v>0</v>
      </c>
      <c r="BA304" s="23">
        <f>VALUE(0)</f>
        <v>0</v>
      </c>
      <c r="BB304" s="23">
        <f>VALUE(0)</f>
        <v>0</v>
      </c>
      <c r="BC304" s="23">
        <f>VALUE(0)</f>
        <v>0</v>
      </c>
      <c r="BD304" s="23">
        <f>VALUE(1)</f>
        <v>1</v>
      </c>
      <c r="BE304" s="23">
        <f>VALUE(0)</f>
        <v>0</v>
      </c>
      <c r="BF304" s="23">
        <f>VALUE(0)</f>
        <v>0</v>
      </c>
      <c r="BG304" s="23">
        <f>VALUE(0)</f>
        <v>0</v>
      </c>
      <c r="BH304" s="23">
        <f>VALUE(0)</f>
        <v>0</v>
      </c>
      <c r="BI304" s="23">
        <f>VALUE(0)</f>
        <v>0</v>
      </c>
      <c r="BJ304" s="23">
        <f>VALUE(0)</f>
        <v>0</v>
      </c>
      <c r="BK304" s="12">
        <f>$AX$304*24</f>
        <v>20.283333333333335</v>
      </c>
      <c r="BL304" s="12">
        <f>$AY$304*24</f>
        <v>0</v>
      </c>
      <c r="BM304" s="12">
        <f>$BJ$304*24</f>
        <v>0</v>
      </c>
      <c r="BN304" s="12">
        <f>VALUE($I$304)/100</f>
        <v>1</v>
      </c>
      <c r="BO304" s="12">
        <v>0</v>
      </c>
      <c r="BP304" s="12">
        <v>0</v>
      </c>
      <c r="BQ304" s="12">
        <v>0</v>
      </c>
      <c r="BR304" s="12">
        <v>1</v>
      </c>
      <c r="BS304" s="12">
        <v>0</v>
      </c>
      <c r="BT304" s="12">
        <v>0</v>
      </c>
      <c r="BU304" s="12">
        <v>0</v>
      </c>
      <c r="BV304" s="12">
        <v>0</v>
      </c>
      <c r="BW304" s="12">
        <v>0</v>
      </c>
      <c r="BX304" s="12">
        <v>0</v>
      </c>
      <c r="BY304" s="12">
        <v>0</v>
      </c>
      <c r="BZ304" s="12">
        <v>0</v>
      </c>
      <c r="CA304" s="12">
        <v>0</v>
      </c>
    </row>
    <row r="305" spans="1:79" ht="15" hidden="1" x14ac:dyDescent="0.25">
      <c r="A305" s="12" t="s">
        <v>141</v>
      </c>
      <c r="B305" s="12" t="s">
        <v>144</v>
      </c>
      <c r="C305" s="12" t="s">
        <v>144</v>
      </c>
      <c r="D305" s="31" t="s">
        <v>202</v>
      </c>
      <c r="E305" s="31" t="s">
        <v>153</v>
      </c>
      <c r="F305" s="31" t="s">
        <v>175</v>
      </c>
      <c r="G305" s="31" t="s">
        <v>153</v>
      </c>
      <c r="H305" s="31" t="s">
        <v>153</v>
      </c>
      <c r="I305" s="31" t="s">
        <v>153</v>
      </c>
      <c r="J305" s="31" t="s">
        <v>153</v>
      </c>
      <c r="K305" s="31" t="s">
        <v>153</v>
      </c>
      <c r="L305" s="31">
        <f>VALUE(0)</f>
        <v>0</v>
      </c>
      <c r="M305" s="31">
        <f>VALUE(9)</f>
        <v>9</v>
      </c>
      <c r="N305" s="31">
        <f>VALUE(0)</f>
        <v>0</v>
      </c>
      <c r="O305" s="31">
        <f>VALUE(7)</f>
        <v>7</v>
      </c>
      <c r="P305" s="31">
        <f>VALUE(8)</f>
        <v>8</v>
      </c>
      <c r="Q305" s="31">
        <f>VALUE(8)</f>
        <v>8</v>
      </c>
      <c r="R305" s="31">
        <f>VALUE(8)</f>
        <v>8</v>
      </c>
      <c r="S305" s="31">
        <f>VALUE(8)</f>
        <v>8</v>
      </c>
      <c r="T305" s="31">
        <f>VALUE(8)</f>
        <v>8</v>
      </c>
      <c r="U305" s="31">
        <f>VALUE(0)</f>
        <v>0</v>
      </c>
      <c r="V305" s="31">
        <f>VALUE(0)</f>
        <v>0</v>
      </c>
      <c r="W305" s="31">
        <f>VALUE(9)</f>
        <v>9</v>
      </c>
      <c r="X305" s="31">
        <f>VALUE(8)</f>
        <v>8</v>
      </c>
      <c r="Y305" s="31">
        <f>VALUE(8)</f>
        <v>8</v>
      </c>
      <c r="Z305" s="31">
        <f>VALUE(9)</f>
        <v>9</v>
      </c>
      <c r="AA305" s="31">
        <f>VALUE(9)</f>
        <v>9</v>
      </c>
      <c r="AB305" s="31">
        <f>VALUE(0)</f>
        <v>0</v>
      </c>
      <c r="AC305" s="31">
        <f>VALUE(9)</f>
        <v>9</v>
      </c>
      <c r="AD305" s="31">
        <f>VALUE(9)</f>
        <v>9</v>
      </c>
      <c r="AE305" s="31">
        <f>VALUE(8)</f>
        <v>8</v>
      </c>
      <c r="AF305" s="31">
        <f>VALUE(8)</f>
        <v>8</v>
      </c>
      <c r="AG305" s="31">
        <f>VALUE(8)</f>
        <v>8</v>
      </c>
      <c r="AH305" s="31">
        <f>VALUE(8)</f>
        <v>8</v>
      </c>
      <c r="AI305" s="31">
        <f>VALUE(0)</f>
        <v>0</v>
      </c>
      <c r="AJ305" s="31">
        <f>VALUE(9)</f>
        <v>9</v>
      </c>
      <c r="AK305" s="31">
        <f>VALUE(9)</f>
        <v>9</v>
      </c>
      <c r="AL305" s="31">
        <f>VALUE(8)</f>
        <v>8</v>
      </c>
      <c r="AM305" s="31">
        <f>VALUE(8)</f>
        <v>8</v>
      </c>
      <c r="AN305" s="31">
        <f>VALUE(8)</f>
        <v>8</v>
      </c>
      <c r="AO305" s="31">
        <f>VALUE(8)</f>
        <v>8</v>
      </c>
      <c r="AP305" s="31">
        <v>0</v>
      </c>
      <c r="AQ305" s="31">
        <v>0</v>
      </c>
      <c r="AR305" s="31">
        <v>0</v>
      </c>
      <c r="AS305" s="31">
        <v>0</v>
      </c>
      <c r="AT305" s="31">
        <v>0</v>
      </c>
      <c r="AU305" s="31">
        <v>0</v>
      </c>
      <c r="AV305" s="31">
        <v>0</v>
      </c>
      <c r="AW305" s="31">
        <v>0</v>
      </c>
      <c r="AX305" s="31">
        <v>0</v>
      </c>
      <c r="AY305" s="31">
        <v>0</v>
      </c>
      <c r="AZ305" s="31">
        <v>0</v>
      </c>
      <c r="BA305" s="31">
        <v>0</v>
      </c>
      <c r="BB305" s="31">
        <v>0</v>
      </c>
      <c r="BC305" s="31">
        <v>0</v>
      </c>
      <c r="BD305" s="31">
        <v>0</v>
      </c>
      <c r="BE305" s="31">
        <v>0</v>
      </c>
      <c r="BF305" s="31">
        <v>0</v>
      </c>
      <c r="BG305" s="31">
        <v>0</v>
      </c>
      <c r="BH305" s="31">
        <v>0</v>
      </c>
      <c r="BI305" s="31">
        <v>0</v>
      </c>
      <c r="BJ305" s="31">
        <v>0</v>
      </c>
      <c r="BK305" s="12">
        <v>0</v>
      </c>
      <c r="BL305" s="12">
        <v>0</v>
      </c>
      <c r="BM305" s="12">
        <v>0</v>
      </c>
      <c r="BN305" s="12"/>
      <c r="BO305" s="12">
        <v>0</v>
      </c>
      <c r="BP305" s="12">
        <v>0</v>
      </c>
      <c r="BQ305" s="12">
        <v>0</v>
      </c>
      <c r="BR305" s="12">
        <v>0</v>
      </c>
      <c r="BS305" s="12">
        <v>0</v>
      </c>
      <c r="BT305" s="12">
        <v>0</v>
      </c>
      <c r="BU305" s="12">
        <v>0</v>
      </c>
      <c r="BV305" s="12">
        <v>0</v>
      </c>
      <c r="BW305" s="12">
        <v>0</v>
      </c>
      <c r="BX305" s="12">
        <v>0</v>
      </c>
      <c r="BY305" s="12">
        <v>0</v>
      </c>
      <c r="BZ305" s="12">
        <v>0</v>
      </c>
      <c r="CA305" s="12">
        <v>0</v>
      </c>
    </row>
    <row r="306" spans="1:79" ht="16.5" x14ac:dyDescent="0.2">
      <c r="A306" s="12" t="s">
        <v>141</v>
      </c>
      <c r="B306" s="12" t="s">
        <v>145</v>
      </c>
      <c r="C306" s="12" t="s">
        <v>145</v>
      </c>
      <c r="D306" s="22" t="s">
        <v>1286</v>
      </c>
      <c r="E306" s="22" t="s">
        <v>149</v>
      </c>
      <c r="F306" s="22" t="s">
        <v>1082</v>
      </c>
      <c r="G306" s="22" t="s">
        <v>1083</v>
      </c>
      <c r="H306" s="22" t="s">
        <v>166</v>
      </c>
      <c r="I306" s="22" t="s">
        <v>151</v>
      </c>
      <c r="J306" s="22" t="s">
        <v>524</v>
      </c>
      <c r="K306" s="22" t="s">
        <v>99</v>
      </c>
      <c r="L306" s="54" t="s">
        <v>153</v>
      </c>
      <c r="M306" s="23" t="s">
        <v>562</v>
      </c>
      <c r="N306" s="24" t="s">
        <v>153</v>
      </c>
      <c r="O306" s="25" t="s">
        <v>552</v>
      </c>
      <c r="P306" s="26" t="s">
        <v>1306</v>
      </c>
      <c r="Q306" s="23" t="s">
        <v>553</v>
      </c>
      <c r="R306" s="23" t="s">
        <v>553</v>
      </c>
      <c r="S306" s="23" t="s">
        <v>553</v>
      </c>
      <c r="T306" s="23" t="s">
        <v>553</v>
      </c>
      <c r="U306" s="24" t="s">
        <v>153</v>
      </c>
      <c r="V306" s="54" t="s">
        <v>153</v>
      </c>
      <c r="W306" s="26" t="s">
        <v>1306</v>
      </c>
      <c r="X306" s="23" t="s">
        <v>287</v>
      </c>
      <c r="Y306" s="23" t="s">
        <v>287</v>
      </c>
      <c r="Z306" s="29" t="s">
        <v>218</v>
      </c>
      <c r="AA306" s="23" t="s">
        <v>552</v>
      </c>
      <c r="AB306" s="24" t="s">
        <v>153</v>
      </c>
      <c r="AC306" s="26" t="s">
        <v>1306</v>
      </c>
      <c r="AD306" s="26" t="s">
        <v>1306</v>
      </c>
      <c r="AE306" s="23" t="s">
        <v>1307</v>
      </c>
      <c r="AF306" s="23" t="s">
        <v>1307</v>
      </c>
      <c r="AG306" s="23" t="s">
        <v>1307</v>
      </c>
      <c r="AH306" s="23" t="s">
        <v>1307</v>
      </c>
      <c r="AI306" s="24" t="s">
        <v>153</v>
      </c>
      <c r="AJ306" s="23" t="s">
        <v>554</v>
      </c>
      <c r="AK306" s="23" t="s">
        <v>554</v>
      </c>
      <c r="AL306" s="23" t="s">
        <v>1308</v>
      </c>
      <c r="AM306" s="23" t="s">
        <v>1308</v>
      </c>
      <c r="AN306" s="23" t="s">
        <v>555</v>
      </c>
      <c r="AO306" s="23" t="s">
        <v>555</v>
      </c>
      <c r="AP306" s="23">
        <f>VALUE(29)</f>
        <v>29</v>
      </c>
      <c r="AQ306" s="23">
        <f>VALUE(0)</f>
        <v>0</v>
      </c>
      <c r="AR306" s="23">
        <f>VALUE(1)</f>
        <v>1</v>
      </c>
      <c r="AS306" s="23">
        <f>VALUE(0)</f>
        <v>0</v>
      </c>
      <c r="AT306" s="23">
        <f>VALUE(0)</f>
        <v>0</v>
      </c>
      <c r="AU306" s="23">
        <f>VALUE(0)</f>
        <v>0</v>
      </c>
      <c r="AV306" s="23">
        <f>VALUE(3)</f>
        <v>3</v>
      </c>
      <c r="AW306" s="23">
        <f>VALUE(0)</f>
        <v>0</v>
      </c>
      <c r="AX306" s="23" t="s">
        <v>1309</v>
      </c>
      <c r="AY306" s="23">
        <f>VALUE(0)</f>
        <v>0</v>
      </c>
      <c r="AZ306" s="23">
        <f>VALUE(0)</f>
        <v>0</v>
      </c>
      <c r="BA306" s="23">
        <f>VALUE(0)</f>
        <v>0</v>
      </c>
      <c r="BB306" s="23">
        <f>VALUE(0)</f>
        <v>0</v>
      </c>
      <c r="BC306" s="23">
        <f>VALUE(0)</f>
        <v>0</v>
      </c>
      <c r="BD306" s="23">
        <f>VALUE(0)</f>
        <v>0</v>
      </c>
      <c r="BE306" s="23">
        <f>VALUE(0)</f>
        <v>0</v>
      </c>
      <c r="BF306" s="23">
        <f>VALUE(0)</f>
        <v>0</v>
      </c>
      <c r="BG306" s="23">
        <f>VALUE(0)</f>
        <v>0</v>
      </c>
      <c r="BH306" s="23">
        <f>VALUE(0)</f>
        <v>0</v>
      </c>
      <c r="BI306" s="23">
        <f>VALUE(0)</f>
        <v>0</v>
      </c>
      <c r="BJ306" s="23">
        <f>VALUE(0)</f>
        <v>0</v>
      </c>
      <c r="BK306" s="12">
        <f>$AX$306*24</f>
        <v>36.1</v>
      </c>
      <c r="BL306" s="12">
        <f>$AY$306*24</f>
        <v>0</v>
      </c>
      <c r="BM306" s="12">
        <f>$BJ$306*24</f>
        <v>0</v>
      </c>
      <c r="BN306" s="12">
        <f>VALUE($I$306)/100</f>
        <v>1</v>
      </c>
      <c r="BO306" s="12">
        <v>0</v>
      </c>
      <c r="BP306" s="12">
        <v>0</v>
      </c>
      <c r="BQ306" s="12">
        <v>0</v>
      </c>
      <c r="BR306" s="12">
        <v>0</v>
      </c>
      <c r="BS306" s="12">
        <v>1</v>
      </c>
      <c r="BT306" s="12">
        <v>0</v>
      </c>
      <c r="BU306" s="12">
        <v>0</v>
      </c>
      <c r="BV306" s="12">
        <v>0</v>
      </c>
      <c r="BW306" s="12">
        <v>0</v>
      </c>
      <c r="BX306" s="12">
        <v>0</v>
      </c>
      <c r="BY306" s="12">
        <v>0</v>
      </c>
      <c r="BZ306" s="12">
        <v>0</v>
      </c>
      <c r="CA306" s="12">
        <v>0</v>
      </c>
    </row>
    <row r="307" spans="1:79" hidden="1" x14ac:dyDescent="0.2">
      <c r="A307" s="12" t="s">
        <v>141</v>
      </c>
      <c r="B307" s="12" t="s">
        <v>145</v>
      </c>
      <c r="C307" s="12" t="s">
        <v>145</v>
      </c>
      <c r="D307" s="22" t="s">
        <v>556</v>
      </c>
      <c r="E307" s="22" t="s">
        <v>161</v>
      </c>
      <c r="F307" s="22" t="s">
        <v>1084</v>
      </c>
      <c r="G307" s="22" t="s">
        <v>1085</v>
      </c>
      <c r="H307" s="22" t="s">
        <v>150</v>
      </c>
      <c r="I307" s="22" t="s">
        <v>557</v>
      </c>
      <c r="J307" s="22" t="s">
        <v>530</v>
      </c>
      <c r="K307" s="22" t="s">
        <v>99</v>
      </c>
      <c r="L307" s="54" t="s">
        <v>153</v>
      </c>
      <c r="M307" s="24" t="s">
        <v>195</v>
      </c>
      <c r="N307" s="24" t="s">
        <v>153</v>
      </c>
      <c r="O307" s="23" t="s">
        <v>558</v>
      </c>
      <c r="P307" s="23" t="s">
        <v>558</v>
      </c>
      <c r="Q307" s="23" t="s">
        <v>153</v>
      </c>
      <c r="R307" s="23" t="s">
        <v>153</v>
      </c>
      <c r="S307" s="23" t="s">
        <v>153</v>
      </c>
      <c r="T307" s="23" t="s">
        <v>153</v>
      </c>
      <c r="U307" s="24" t="s">
        <v>153</v>
      </c>
      <c r="V307" s="54" t="s">
        <v>153</v>
      </c>
      <c r="W307" s="23" t="s">
        <v>153</v>
      </c>
      <c r="X307" s="23" t="s">
        <v>153</v>
      </c>
      <c r="Y307" s="23" t="s">
        <v>153</v>
      </c>
      <c r="Z307" s="23" t="s">
        <v>552</v>
      </c>
      <c r="AA307" s="23" t="s">
        <v>153</v>
      </c>
      <c r="AB307" s="24" t="s">
        <v>153</v>
      </c>
      <c r="AC307" s="23" t="s">
        <v>153</v>
      </c>
      <c r="AD307" s="23" t="s">
        <v>153</v>
      </c>
      <c r="AE307" s="23" t="s">
        <v>153</v>
      </c>
      <c r="AF307" s="23" t="s">
        <v>153</v>
      </c>
      <c r="AG307" s="23" t="s">
        <v>153</v>
      </c>
      <c r="AH307" s="23" t="s">
        <v>153</v>
      </c>
      <c r="AI307" s="24" t="s">
        <v>153</v>
      </c>
      <c r="AJ307" s="23" t="s">
        <v>153</v>
      </c>
      <c r="AK307" s="23" t="s">
        <v>153</v>
      </c>
      <c r="AL307" s="24" t="s">
        <v>156</v>
      </c>
      <c r="AM307" s="24" t="s">
        <v>156</v>
      </c>
      <c r="AN307" s="23" t="s">
        <v>153</v>
      </c>
      <c r="AO307" s="23" t="s">
        <v>153</v>
      </c>
      <c r="AP307" s="23">
        <f>VALUE(22)</f>
        <v>22</v>
      </c>
      <c r="AQ307" s="23">
        <f>VALUE(0)</f>
        <v>0</v>
      </c>
      <c r="AR307" s="23">
        <f>VALUE(0)</f>
        <v>0</v>
      </c>
      <c r="AS307" s="23">
        <f>VALUE(0)</f>
        <v>0</v>
      </c>
      <c r="AT307" s="23">
        <f>VALUE(0)</f>
        <v>0</v>
      </c>
      <c r="AU307" s="23">
        <f>VALUE(0)</f>
        <v>0</v>
      </c>
      <c r="AV307" s="23">
        <f>VALUE(2)</f>
        <v>2</v>
      </c>
      <c r="AW307" s="23">
        <f>VALUE(0)</f>
        <v>0</v>
      </c>
      <c r="AX307" s="23" t="s">
        <v>289</v>
      </c>
      <c r="AY307" s="23" t="s">
        <v>255</v>
      </c>
      <c r="AZ307" s="23">
        <f>VALUE(0)</f>
        <v>0</v>
      </c>
      <c r="BA307" s="23">
        <f>VALUE(0)</f>
        <v>0</v>
      </c>
      <c r="BB307" s="23">
        <f>VALUE(0)</f>
        <v>0</v>
      </c>
      <c r="BC307" s="23">
        <f>VALUE(0)</f>
        <v>0</v>
      </c>
      <c r="BD307" s="23">
        <f>VALUE(0)</f>
        <v>0</v>
      </c>
      <c r="BE307" s="23">
        <f>VALUE(0)</f>
        <v>0</v>
      </c>
      <c r="BF307" s="23">
        <f>VALUE(0)</f>
        <v>0</v>
      </c>
      <c r="BG307" s="23">
        <f>VALUE(0)</f>
        <v>0</v>
      </c>
      <c r="BH307" s="23">
        <f>VALUE(0)</f>
        <v>0</v>
      </c>
      <c r="BI307" s="23">
        <f>VALUE(0)</f>
        <v>0</v>
      </c>
      <c r="BJ307" s="23">
        <f>VALUE(0)</f>
        <v>0</v>
      </c>
      <c r="BK307" s="12">
        <f>$AX$307*24</f>
        <v>5.583333333333333</v>
      </c>
      <c r="BL307" s="12">
        <f>$AY$307*24</f>
        <v>2.5</v>
      </c>
      <c r="BM307" s="12">
        <f>$BJ$307*24</f>
        <v>0</v>
      </c>
      <c r="BN307" s="12">
        <f>VALUE($I$307)/100</f>
        <v>0.78</v>
      </c>
      <c r="BO307" s="12">
        <v>0</v>
      </c>
      <c r="BP307" s="12">
        <v>0</v>
      </c>
      <c r="BQ307" s="12">
        <v>0</v>
      </c>
      <c r="BR307" s="12">
        <v>0</v>
      </c>
      <c r="BS307" s="12">
        <v>0</v>
      </c>
      <c r="BT307" s="12">
        <v>0</v>
      </c>
      <c r="BU307" s="12">
        <v>0</v>
      </c>
      <c r="BV307" s="12">
        <v>0</v>
      </c>
      <c r="BW307" s="12">
        <v>0</v>
      </c>
      <c r="BX307" s="12">
        <v>0</v>
      </c>
      <c r="BY307" s="12">
        <v>0</v>
      </c>
      <c r="BZ307" s="12">
        <v>0</v>
      </c>
      <c r="CA307" s="12">
        <v>0</v>
      </c>
    </row>
    <row r="308" spans="1:79" hidden="1" x14ac:dyDescent="0.2">
      <c r="A308" s="12" t="s">
        <v>141</v>
      </c>
      <c r="B308" s="12" t="s">
        <v>145</v>
      </c>
      <c r="C308" s="12" t="s">
        <v>145</v>
      </c>
      <c r="D308" s="22" t="s">
        <v>555</v>
      </c>
      <c r="E308" s="22" t="s">
        <v>161</v>
      </c>
      <c r="F308" s="22" t="s">
        <v>1086</v>
      </c>
      <c r="G308" s="22" t="s">
        <v>1087</v>
      </c>
      <c r="H308" s="22" t="s">
        <v>166</v>
      </c>
      <c r="I308" s="22" t="s">
        <v>151</v>
      </c>
      <c r="J308" s="22" t="s">
        <v>162</v>
      </c>
      <c r="K308" s="22" t="s">
        <v>99</v>
      </c>
      <c r="L308" s="54" t="s">
        <v>153</v>
      </c>
      <c r="M308" s="23" t="s">
        <v>153</v>
      </c>
      <c r="N308" s="24" t="s">
        <v>153</v>
      </c>
      <c r="O308" s="28" t="s">
        <v>163</v>
      </c>
      <c r="P308" s="28" t="s">
        <v>163</v>
      </c>
      <c r="Q308" s="28" t="s">
        <v>163</v>
      </c>
      <c r="R308" s="28" t="s">
        <v>163</v>
      </c>
      <c r="S308" s="28" t="s">
        <v>163</v>
      </c>
      <c r="T308" s="28" t="s">
        <v>163</v>
      </c>
      <c r="U308" s="24" t="s">
        <v>153</v>
      </c>
      <c r="V308" s="54" t="s">
        <v>153</v>
      </c>
      <c r="W308" s="23" t="s">
        <v>153</v>
      </c>
      <c r="X308" s="23" t="s">
        <v>153</v>
      </c>
      <c r="Y308" s="23" t="s">
        <v>153</v>
      </c>
      <c r="Z308" s="23" t="s">
        <v>153</v>
      </c>
      <c r="AA308" s="23" t="s">
        <v>153</v>
      </c>
      <c r="AB308" s="24" t="s">
        <v>153</v>
      </c>
      <c r="AC308" s="23" t="s">
        <v>153</v>
      </c>
      <c r="AD308" s="23" t="s">
        <v>153</v>
      </c>
      <c r="AE308" s="23" t="s">
        <v>153</v>
      </c>
      <c r="AF308" s="23" t="s">
        <v>153</v>
      </c>
      <c r="AG308" s="23" t="s">
        <v>153</v>
      </c>
      <c r="AH308" s="23" t="s">
        <v>153</v>
      </c>
      <c r="AI308" s="24" t="s">
        <v>153</v>
      </c>
      <c r="AJ308" s="23" t="s">
        <v>153</v>
      </c>
      <c r="AK308" s="23" t="s">
        <v>153</v>
      </c>
      <c r="AL308" s="23" t="s">
        <v>153</v>
      </c>
      <c r="AM308" s="23" t="s">
        <v>153</v>
      </c>
      <c r="AN308" s="24" t="s">
        <v>156</v>
      </c>
      <c r="AO308" s="24" t="s">
        <v>156</v>
      </c>
      <c r="AP308" s="23">
        <f>VALUE(32)</f>
        <v>32</v>
      </c>
      <c r="AQ308" s="23">
        <f>VALUE(0)</f>
        <v>0</v>
      </c>
      <c r="AR308" s="23">
        <f>VALUE(0)</f>
        <v>0</v>
      </c>
      <c r="AS308" s="23">
        <f>VALUE(0)</f>
        <v>0</v>
      </c>
      <c r="AT308" s="23">
        <f>VALUE(0)</f>
        <v>0</v>
      </c>
      <c r="AU308" s="23">
        <f>VALUE(6)</f>
        <v>6</v>
      </c>
      <c r="AV308" s="23">
        <f>VALUE(0)</f>
        <v>0</v>
      </c>
      <c r="AW308" s="23">
        <f>VALUE(2)</f>
        <v>2</v>
      </c>
      <c r="AX308" s="23" t="s">
        <v>560</v>
      </c>
      <c r="AY308" s="23">
        <f>VALUE(0)</f>
        <v>0</v>
      </c>
      <c r="AZ308" s="23">
        <f>VALUE(0)</f>
        <v>0</v>
      </c>
      <c r="BA308" s="23">
        <f>VALUE(0)</f>
        <v>0</v>
      </c>
      <c r="BB308" s="23">
        <f>VALUE(0)</f>
        <v>0</v>
      </c>
      <c r="BC308" s="23">
        <f>VALUE(0)</f>
        <v>0</v>
      </c>
      <c r="BD308" s="23">
        <f>VALUE(0)</f>
        <v>0</v>
      </c>
      <c r="BE308" s="23">
        <f>VALUE(0)</f>
        <v>0</v>
      </c>
      <c r="BF308" s="23">
        <f>VALUE(0)</f>
        <v>0</v>
      </c>
      <c r="BG308" s="23">
        <f>VALUE(0)</f>
        <v>0</v>
      </c>
      <c r="BH308" s="23">
        <f>VALUE(0)</f>
        <v>0</v>
      </c>
      <c r="BI308" s="23">
        <f>VALUE(0)</f>
        <v>0</v>
      </c>
      <c r="BJ308" s="23">
        <f>VALUE(0)</f>
        <v>0</v>
      </c>
      <c r="BK308" s="12">
        <f>$AX$308*24</f>
        <v>1.3166666666666667</v>
      </c>
      <c r="BL308" s="12">
        <f>$AY$308*24</f>
        <v>0</v>
      </c>
      <c r="BM308" s="12">
        <f>$BJ$308*24</f>
        <v>0</v>
      </c>
      <c r="BN308" s="12">
        <f>VALUE($I$308)/100</f>
        <v>1</v>
      </c>
      <c r="BO308" s="12">
        <v>0</v>
      </c>
      <c r="BP308" s="12">
        <v>0</v>
      </c>
      <c r="BQ308" s="12">
        <v>0</v>
      </c>
      <c r="BR308" s="12">
        <v>0</v>
      </c>
      <c r="BS308" s="12">
        <v>0</v>
      </c>
      <c r="BT308" s="12">
        <v>0</v>
      </c>
      <c r="BU308" s="12">
        <v>0</v>
      </c>
      <c r="BV308" s="12">
        <v>0</v>
      </c>
      <c r="BW308" s="12">
        <v>0</v>
      </c>
      <c r="BX308" s="12">
        <v>0</v>
      </c>
      <c r="BY308" s="12">
        <v>0</v>
      </c>
      <c r="BZ308" s="12">
        <v>0</v>
      </c>
      <c r="CA308" s="12">
        <v>0</v>
      </c>
    </row>
    <row r="309" spans="1:79" hidden="1" x14ac:dyDescent="0.2">
      <c r="A309" s="12" t="s">
        <v>141</v>
      </c>
      <c r="B309" s="12" t="s">
        <v>145</v>
      </c>
      <c r="C309" s="12" t="s">
        <v>145</v>
      </c>
      <c r="D309" s="22" t="s">
        <v>555</v>
      </c>
      <c r="E309" s="22" t="s">
        <v>161</v>
      </c>
      <c r="F309" s="22" t="s">
        <v>1088</v>
      </c>
      <c r="G309" s="22" t="s">
        <v>1089</v>
      </c>
      <c r="H309" s="22" t="s">
        <v>150</v>
      </c>
      <c r="I309" s="22" t="s">
        <v>343</v>
      </c>
      <c r="J309" s="22" t="s">
        <v>162</v>
      </c>
      <c r="K309" s="22" t="s">
        <v>99</v>
      </c>
      <c r="L309" s="54" t="s">
        <v>153</v>
      </c>
      <c r="M309" s="33" t="s">
        <v>475</v>
      </c>
      <c r="N309" s="24" t="s">
        <v>153</v>
      </c>
      <c r="O309" s="33" t="s">
        <v>475</v>
      </c>
      <c r="P309" s="33" t="s">
        <v>475</v>
      </c>
      <c r="Q309" s="33" t="s">
        <v>475</v>
      </c>
      <c r="R309" s="33" t="s">
        <v>475</v>
      </c>
      <c r="S309" s="33" t="s">
        <v>475</v>
      </c>
      <c r="T309" s="33" t="s">
        <v>475</v>
      </c>
      <c r="U309" s="24" t="s">
        <v>153</v>
      </c>
      <c r="V309" s="54" t="s">
        <v>156</v>
      </c>
      <c r="W309" s="33" t="s">
        <v>475</v>
      </c>
      <c r="X309" s="33" t="s">
        <v>475</v>
      </c>
      <c r="Y309" s="33" t="s">
        <v>475</v>
      </c>
      <c r="Z309" s="33" t="s">
        <v>475</v>
      </c>
      <c r="AA309" s="33" t="s">
        <v>475</v>
      </c>
      <c r="AB309" s="24" t="s">
        <v>153</v>
      </c>
      <c r="AC309" s="33" t="s">
        <v>475</v>
      </c>
      <c r="AD309" s="33" t="s">
        <v>475</v>
      </c>
      <c r="AE309" s="33" t="s">
        <v>475</v>
      </c>
      <c r="AF309" s="33" t="s">
        <v>475</v>
      </c>
      <c r="AG309" s="33" t="s">
        <v>475</v>
      </c>
      <c r="AH309" s="33" t="s">
        <v>475</v>
      </c>
      <c r="AI309" s="24" t="s">
        <v>153</v>
      </c>
      <c r="AJ309" s="33" t="s">
        <v>475</v>
      </c>
      <c r="AK309" s="33" t="s">
        <v>475</v>
      </c>
      <c r="AL309" s="33" t="s">
        <v>475</v>
      </c>
      <c r="AM309" s="33" t="s">
        <v>475</v>
      </c>
      <c r="AN309" s="33" t="s">
        <v>475</v>
      </c>
      <c r="AO309" s="33" t="s">
        <v>475</v>
      </c>
      <c r="AP309" s="23">
        <f>VALUE(0)</f>
        <v>0</v>
      </c>
      <c r="AQ309" s="23">
        <f>VALUE(0)</f>
        <v>0</v>
      </c>
      <c r="AR309" s="23">
        <f>VALUE(0)</f>
        <v>0</v>
      </c>
      <c r="AS309" s="23">
        <f>VALUE(0)</f>
        <v>0</v>
      </c>
      <c r="AT309" s="23">
        <f>VALUE(0)</f>
        <v>0</v>
      </c>
      <c r="AU309" s="23">
        <f>VALUE(0)</f>
        <v>0</v>
      </c>
      <c r="AV309" s="23">
        <f>VALUE(0)</f>
        <v>0</v>
      </c>
      <c r="AW309" s="23">
        <f>VALUE(0)</f>
        <v>0</v>
      </c>
      <c r="AX309" s="23" t="s">
        <v>487</v>
      </c>
      <c r="AY309" s="23" t="s">
        <v>176</v>
      </c>
      <c r="AZ309" s="23">
        <f>VALUE(0)</f>
        <v>0</v>
      </c>
      <c r="BA309" s="23">
        <f>VALUE(0)</f>
        <v>0</v>
      </c>
      <c r="BB309" s="23">
        <f>VALUE(0)</f>
        <v>0</v>
      </c>
      <c r="BC309" s="23">
        <f>VALUE(0)</f>
        <v>0</v>
      </c>
      <c r="BD309" s="23">
        <f>VALUE(0)</f>
        <v>0</v>
      </c>
      <c r="BE309" s="23">
        <f>VALUE(0)</f>
        <v>0</v>
      </c>
      <c r="BF309" s="23">
        <f>VALUE(0)</f>
        <v>0</v>
      </c>
      <c r="BG309" s="23">
        <f>VALUE(0)</f>
        <v>0</v>
      </c>
      <c r="BH309" s="23">
        <f>VALUE(0)</f>
        <v>0</v>
      </c>
      <c r="BI309" s="23">
        <f>VALUE(0)</f>
        <v>0</v>
      </c>
      <c r="BJ309" s="23">
        <f>VALUE(0)</f>
        <v>0</v>
      </c>
      <c r="BK309" s="12">
        <f>$AX$309*24</f>
        <v>4.083333333333333</v>
      </c>
      <c r="BL309" s="12">
        <f>$AY$309*24</f>
        <v>0</v>
      </c>
      <c r="BM309" s="12">
        <f>$BJ$309*24</f>
        <v>0</v>
      </c>
      <c r="BN309" s="12">
        <f>VALUE($I$309)/100</f>
        <v>0.7</v>
      </c>
      <c r="BO309" s="12">
        <v>0</v>
      </c>
      <c r="BP309" s="12">
        <v>0</v>
      </c>
      <c r="BQ309" s="12">
        <v>0</v>
      </c>
      <c r="BR309" s="12">
        <v>0</v>
      </c>
      <c r="BS309" s="12">
        <v>0</v>
      </c>
      <c r="BT309" s="12">
        <v>0</v>
      </c>
      <c r="BU309" s="12">
        <v>0</v>
      </c>
      <c r="BV309" s="12">
        <v>0</v>
      </c>
      <c r="BW309" s="12">
        <v>0</v>
      </c>
      <c r="BX309" s="12">
        <v>0</v>
      </c>
      <c r="BY309" s="12">
        <v>0</v>
      </c>
      <c r="BZ309" s="12">
        <v>0</v>
      </c>
      <c r="CA309" s="12">
        <v>0</v>
      </c>
    </row>
    <row r="310" spans="1:79" hidden="1" x14ac:dyDescent="0.2">
      <c r="A310" s="12" t="s">
        <v>141</v>
      </c>
      <c r="B310" s="12" t="s">
        <v>145</v>
      </c>
      <c r="C310" s="12" t="s">
        <v>145</v>
      </c>
      <c r="D310" s="22" t="s">
        <v>553</v>
      </c>
      <c r="E310" s="22" t="s">
        <v>161</v>
      </c>
      <c r="F310" s="22" t="s">
        <v>1310</v>
      </c>
      <c r="G310" s="22" t="s">
        <v>1090</v>
      </c>
      <c r="H310" s="22" t="s">
        <v>150</v>
      </c>
      <c r="I310" s="22" t="s">
        <v>151</v>
      </c>
      <c r="J310" s="22" t="s">
        <v>162</v>
      </c>
      <c r="K310" s="22" t="s">
        <v>99</v>
      </c>
      <c r="L310" s="54" t="s">
        <v>153</v>
      </c>
      <c r="M310" s="23" t="s">
        <v>153</v>
      </c>
      <c r="N310" s="24" t="s">
        <v>153</v>
      </c>
      <c r="O310" s="23" t="s">
        <v>153</v>
      </c>
      <c r="P310" s="23" t="s">
        <v>153</v>
      </c>
      <c r="Q310" s="24" t="s">
        <v>156</v>
      </c>
      <c r="R310" s="24" t="s">
        <v>156</v>
      </c>
      <c r="S310" s="28" t="s">
        <v>163</v>
      </c>
      <c r="T310" s="28" t="s">
        <v>163</v>
      </c>
      <c r="U310" s="24" t="s">
        <v>153</v>
      </c>
      <c r="V310" s="54" t="s">
        <v>153</v>
      </c>
      <c r="W310" s="23" t="s">
        <v>153</v>
      </c>
      <c r="X310" s="23" t="s">
        <v>153</v>
      </c>
      <c r="Y310" s="23" t="s">
        <v>153</v>
      </c>
      <c r="Z310" s="23" t="s">
        <v>153</v>
      </c>
      <c r="AA310" s="23" t="s">
        <v>153</v>
      </c>
      <c r="AB310" s="24" t="s">
        <v>153</v>
      </c>
      <c r="AC310" s="23" t="s">
        <v>153</v>
      </c>
      <c r="AD310" s="23" t="s">
        <v>153</v>
      </c>
      <c r="AE310" s="23" t="s">
        <v>153</v>
      </c>
      <c r="AF310" s="23" t="s">
        <v>153</v>
      </c>
      <c r="AG310" s="23" t="s">
        <v>153</v>
      </c>
      <c r="AH310" s="23" t="s">
        <v>153</v>
      </c>
      <c r="AI310" s="24" t="s">
        <v>153</v>
      </c>
      <c r="AJ310" s="23" t="s">
        <v>153</v>
      </c>
      <c r="AK310" s="23" t="s">
        <v>153</v>
      </c>
      <c r="AL310" s="23" t="s">
        <v>153</v>
      </c>
      <c r="AM310" s="23" t="s">
        <v>153</v>
      </c>
      <c r="AN310" s="23" t="s">
        <v>153</v>
      </c>
      <c r="AO310" s="23" t="s">
        <v>153</v>
      </c>
      <c r="AP310" s="23">
        <f>VALUE(28)</f>
        <v>28</v>
      </c>
      <c r="AQ310" s="23">
        <f>VALUE(0)</f>
        <v>0</v>
      </c>
      <c r="AR310" s="23">
        <f>VALUE(0)</f>
        <v>0</v>
      </c>
      <c r="AS310" s="23">
        <f>VALUE(0)</f>
        <v>0</v>
      </c>
      <c r="AT310" s="23">
        <f>VALUE(0)</f>
        <v>0</v>
      </c>
      <c r="AU310" s="23">
        <f>VALUE(2)</f>
        <v>2</v>
      </c>
      <c r="AV310" s="23">
        <f>VALUE(2)</f>
        <v>2</v>
      </c>
      <c r="AW310" s="23">
        <f>VALUE(0)</f>
        <v>0</v>
      </c>
      <c r="AX310" s="23" t="s">
        <v>176</v>
      </c>
      <c r="AY310" s="23" t="s">
        <v>561</v>
      </c>
      <c r="AZ310" s="23">
        <f>VALUE(0)</f>
        <v>0</v>
      </c>
      <c r="BA310" s="23">
        <f>VALUE(0)</f>
        <v>0</v>
      </c>
      <c r="BB310" s="23">
        <f>VALUE(0)</f>
        <v>0</v>
      </c>
      <c r="BC310" s="23">
        <f>VALUE(0)</f>
        <v>0</v>
      </c>
      <c r="BD310" s="23">
        <f>VALUE(0)</f>
        <v>0</v>
      </c>
      <c r="BE310" s="23">
        <f>VALUE(0)</f>
        <v>0</v>
      </c>
      <c r="BF310" s="23">
        <f>VALUE(0)</f>
        <v>0</v>
      </c>
      <c r="BG310" s="23">
        <f>VALUE(0)</f>
        <v>0</v>
      </c>
      <c r="BH310" s="23">
        <f>VALUE(0)</f>
        <v>0</v>
      </c>
      <c r="BI310" s="23">
        <f>VALUE(0)</f>
        <v>0</v>
      </c>
      <c r="BJ310" s="23">
        <f>VALUE(0)</f>
        <v>0</v>
      </c>
      <c r="BK310" s="12">
        <f>$AX$310*24</f>
        <v>0</v>
      </c>
      <c r="BL310" s="12">
        <f>$AY$310*24</f>
        <v>7.0666666666666664</v>
      </c>
      <c r="BM310" s="12">
        <f>$BJ$310*24</f>
        <v>0</v>
      </c>
      <c r="BN310" s="12">
        <f>VALUE($I$310)/100</f>
        <v>1</v>
      </c>
      <c r="BO310" s="12">
        <v>0</v>
      </c>
      <c r="BP310" s="12">
        <v>0</v>
      </c>
      <c r="BQ310" s="12">
        <v>0</v>
      </c>
      <c r="BR310" s="12">
        <v>0</v>
      </c>
      <c r="BS310" s="12">
        <v>0</v>
      </c>
      <c r="BT310" s="12">
        <v>0</v>
      </c>
      <c r="BU310" s="12">
        <v>0</v>
      </c>
      <c r="BV310" s="12">
        <v>0</v>
      </c>
      <c r="BW310" s="12">
        <v>0</v>
      </c>
      <c r="BX310" s="12">
        <v>0</v>
      </c>
      <c r="BY310" s="12">
        <v>0</v>
      </c>
      <c r="BZ310" s="12">
        <v>0</v>
      </c>
      <c r="CA310" s="12">
        <v>0</v>
      </c>
    </row>
    <row r="311" spans="1:79" hidden="1" x14ac:dyDescent="0.2">
      <c r="A311" s="12" t="s">
        <v>141</v>
      </c>
      <c r="B311" s="12" t="s">
        <v>145</v>
      </c>
      <c r="C311" s="12" t="s">
        <v>145</v>
      </c>
      <c r="D311" s="22" t="s">
        <v>562</v>
      </c>
      <c r="E311" s="22" t="s">
        <v>161</v>
      </c>
      <c r="F311" s="22" t="s">
        <v>1091</v>
      </c>
      <c r="G311" s="22" t="s">
        <v>1092</v>
      </c>
      <c r="H311" s="22" t="s">
        <v>166</v>
      </c>
      <c r="I311" s="22" t="s">
        <v>194</v>
      </c>
      <c r="J311" s="22" t="s">
        <v>162</v>
      </c>
      <c r="K311" s="22" t="s">
        <v>99</v>
      </c>
      <c r="L311" s="54" t="s">
        <v>153</v>
      </c>
      <c r="M311" s="28" t="s">
        <v>163</v>
      </c>
      <c r="N311" s="24" t="s">
        <v>153</v>
      </c>
      <c r="O311" s="23" t="s">
        <v>153</v>
      </c>
      <c r="P311" s="23" t="s">
        <v>153</v>
      </c>
      <c r="Q311" s="23" t="s">
        <v>153</v>
      </c>
      <c r="R311" s="23" t="s">
        <v>153</v>
      </c>
      <c r="S311" s="23" t="s">
        <v>153</v>
      </c>
      <c r="T311" s="23" t="s">
        <v>153</v>
      </c>
      <c r="U311" s="24" t="s">
        <v>153</v>
      </c>
      <c r="V311" s="54" t="s">
        <v>153</v>
      </c>
      <c r="W311" s="24" t="s">
        <v>195</v>
      </c>
      <c r="X311" s="24" t="s">
        <v>195</v>
      </c>
      <c r="Y311" s="24" t="s">
        <v>195</v>
      </c>
      <c r="Z311" s="24" t="s">
        <v>195</v>
      </c>
      <c r="AA311" s="24" t="s">
        <v>195</v>
      </c>
      <c r="AB311" s="24" t="s">
        <v>153</v>
      </c>
      <c r="AC311" s="23" t="s">
        <v>153</v>
      </c>
      <c r="AD311" s="23" t="s">
        <v>153</v>
      </c>
      <c r="AE311" s="23" t="s">
        <v>153</v>
      </c>
      <c r="AF311" s="23" t="s">
        <v>153</v>
      </c>
      <c r="AG311" s="23" t="s">
        <v>153</v>
      </c>
      <c r="AH311" s="23" t="s">
        <v>153</v>
      </c>
      <c r="AI311" s="24" t="s">
        <v>153</v>
      </c>
      <c r="AJ311" s="23" t="s">
        <v>153</v>
      </c>
      <c r="AK311" s="23" t="s">
        <v>153</v>
      </c>
      <c r="AL311" s="23" t="s">
        <v>153</v>
      </c>
      <c r="AM311" s="23" t="s">
        <v>153</v>
      </c>
      <c r="AN311" s="23" t="s">
        <v>153</v>
      </c>
      <c r="AO311" s="23" t="s">
        <v>153</v>
      </c>
      <c r="AP311" s="23">
        <f>VALUE(24)</f>
        <v>24</v>
      </c>
      <c r="AQ311" s="23">
        <f>VALUE(0)</f>
        <v>0</v>
      </c>
      <c r="AR311" s="23">
        <f>VALUE(0)</f>
        <v>0</v>
      </c>
      <c r="AS311" s="23">
        <f>VALUE(0)</f>
        <v>0</v>
      </c>
      <c r="AT311" s="23">
        <f>VALUE(0)</f>
        <v>0</v>
      </c>
      <c r="AU311" s="23">
        <f>VALUE(1)</f>
        <v>1</v>
      </c>
      <c r="AV311" s="23">
        <f>VALUE(19)</f>
        <v>19</v>
      </c>
      <c r="AW311" s="23">
        <f>VALUE(0)</f>
        <v>0</v>
      </c>
      <c r="AX311" s="23" t="s">
        <v>1311</v>
      </c>
      <c r="AY311" s="23">
        <f>VALUE(0)</f>
        <v>0</v>
      </c>
      <c r="AZ311" s="23">
        <f>VALUE(0)</f>
        <v>0</v>
      </c>
      <c r="BA311" s="23">
        <f>VALUE(0)</f>
        <v>0</v>
      </c>
      <c r="BB311" s="23">
        <f>VALUE(0)</f>
        <v>0</v>
      </c>
      <c r="BC311" s="23">
        <f>VALUE(0)</f>
        <v>0</v>
      </c>
      <c r="BD311" s="23">
        <f>VALUE(0)</f>
        <v>0</v>
      </c>
      <c r="BE311" s="23">
        <f>VALUE(0)</f>
        <v>0</v>
      </c>
      <c r="BF311" s="23">
        <f>VALUE(0)</f>
        <v>0</v>
      </c>
      <c r="BG311" s="23">
        <f>VALUE(0)</f>
        <v>0</v>
      </c>
      <c r="BH311" s="23">
        <f>VALUE(0)</f>
        <v>0</v>
      </c>
      <c r="BI311" s="23">
        <f>VALUE(0)</f>
        <v>0</v>
      </c>
      <c r="BJ311" s="23">
        <f>VALUE(0)</f>
        <v>0</v>
      </c>
      <c r="BK311" s="12">
        <f>$AX$311*24</f>
        <v>10.9</v>
      </c>
      <c r="BL311" s="12">
        <f>$AY$311*24</f>
        <v>0</v>
      </c>
      <c r="BM311" s="12">
        <f>$BJ$311*24</f>
        <v>0</v>
      </c>
      <c r="BN311" s="12">
        <f>VALUE($I$311)/100</f>
        <v>0.8</v>
      </c>
      <c r="BO311" s="12">
        <v>0</v>
      </c>
      <c r="BP311" s="12">
        <v>0</v>
      </c>
      <c r="BQ311" s="12">
        <v>0</v>
      </c>
      <c r="BR311" s="12">
        <v>0</v>
      </c>
      <c r="BS311" s="12">
        <v>0</v>
      </c>
      <c r="BT311" s="12">
        <v>0</v>
      </c>
      <c r="BU311" s="12">
        <v>0</v>
      </c>
      <c r="BV311" s="12">
        <v>0</v>
      </c>
      <c r="BW311" s="12">
        <v>0</v>
      </c>
      <c r="BX311" s="12">
        <v>0</v>
      </c>
      <c r="BY311" s="12">
        <v>0</v>
      </c>
      <c r="BZ311" s="12">
        <v>0</v>
      </c>
      <c r="CA311" s="12">
        <v>0</v>
      </c>
    </row>
    <row r="312" spans="1:79" hidden="1" x14ac:dyDescent="0.2">
      <c r="A312" s="12" t="s">
        <v>141</v>
      </c>
      <c r="B312" s="12" t="s">
        <v>145</v>
      </c>
      <c r="C312" s="12" t="s">
        <v>145</v>
      </c>
      <c r="D312" s="22" t="s">
        <v>558</v>
      </c>
      <c r="E312" s="22" t="s">
        <v>161</v>
      </c>
      <c r="F312" s="22" t="s">
        <v>1093</v>
      </c>
      <c r="G312" s="22" t="s">
        <v>1094</v>
      </c>
      <c r="H312" s="22" t="s">
        <v>150</v>
      </c>
      <c r="I312" s="22" t="s">
        <v>563</v>
      </c>
      <c r="J312" s="22" t="s">
        <v>162</v>
      </c>
      <c r="K312" s="22" t="s">
        <v>99</v>
      </c>
      <c r="L312" s="54" t="s">
        <v>153</v>
      </c>
      <c r="M312" s="23" t="s">
        <v>153</v>
      </c>
      <c r="N312" s="24" t="s">
        <v>153</v>
      </c>
      <c r="O312" s="24" t="s">
        <v>156</v>
      </c>
      <c r="P312" s="24" t="s">
        <v>156</v>
      </c>
      <c r="Q312" s="23" t="s">
        <v>153</v>
      </c>
      <c r="R312" s="23" t="s">
        <v>153</v>
      </c>
      <c r="S312" s="23" t="s">
        <v>153</v>
      </c>
      <c r="T312" s="23" t="s">
        <v>153</v>
      </c>
      <c r="U312" s="24" t="s">
        <v>153</v>
      </c>
      <c r="V312" s="54" t="s">
        <v>153</v>
      </c>
      <c r="W312" s="23" t="s">
        <v>153</v>
      </c>
      <c r="X312" s="23" t="s">
        <v>153</v>
      </c>
      <c r="Y312" s="23" t="s">
        <v>153</v>
      </c>
      <c r="Z312" s="23" t="s">
        <v>153</v>
      </c>
      <c r="AA312" s="23" t="s">
        <v>153</v>
      </c>
      <c r="AB312" s="24" t="s">
        <v>153</v>
      </c>
      <c r="AC312" s="23" t="s">
        <v>153</v>
      </c>
      <c r="AD312" s="23" t="s">
        <v>153</v>
      </c>
      <c r="AE312" s="23" t="s">
        <v>153</v>
      </c>
      <c r="AF312" s="23" t="s">
        <v>153</v>
      </c>
      <c r="AG312" s="23" t="s">
        <v>153</v>
      </c>
      <c r="AH312" s="23" t="s">
        <v>153</v>
      </c>
      <c r="AI312" s="24" t="s">
        <v>153</v>
      </c>
      <c r="AJ312" s="24" t="s">
        <v>195</v>
      </c>
      <c r="AK312" s="24" t="s">
        <v>195</v>
      </c>
      <c r="AL312" s="24" t="s">
        <v>195</v>
      </c>
      <c r="AM312" s="24" t="s">
        <v>195</v>
      </c>
      <c r="AN312" s="24" t="s">
        <v>195</v>
      </c>
      <c r="AO312" s="24" t="s">
        <v>195</v>
      </c>
      <c r="AP312" s="23">
        <f>VALUE(28)</f>
        <v>28</v>
      </c>
      <c r="AQ312" s="23">
        <f>VALUE(0)</f>
        <v>0</v>
      </c>
      <c r="AR312" s="23">
        <f>VALUE(0)</f>
        <v>0</v>
      </c>
      <c r="AS312" s="23">
        <f>VALUE(0)</f>
        <v>0</v>
      </c>
      <c r="AT312" s="23">
        <f>VALUE(0)</f>
        <v>0</v>
      </c>
      <c r="AU312" s="23">
        <f>VALUE(0)</f>
        <v>0</v>
      </c>
      <c r="AV312" s="23">
        <f>VALUE(0)</f>
        <v>0</v>
      </c>
      <c r="AW312" s="23">
        <f>VALUE(0)</f>
        <v>0</v>
      </c>
      <c r="AX312" s="23" t="s">
        <v>564</v>
      </c>
      <c r="AY312" s="23">
        <f>VALUE(0)</f>
        <v>0</v>
      </c>
      <c r="AZ312" s="23">
        <f>VALUE(0)</f>
        <v>0</v>
      </c>
      <c r="BA312" s="23">
        <f>VALUE(0)</f>
        <v>0</v>
      </c>
      <c r="BB312" s="23">
        <f>VALUE(0)</f>
        <v>0</v>
      </c>
      <c r="BC312" s="23">
        <f>VALUE(0)</f>
        <v>0</v>
      </c>
      <c r="BD312" s="23">
        <f>VALUE(0)</f>
        <v>0</v>
      </c>
      <c r="BE312" s="23">
        <f>VALUE(0)</f>
        <v>0</v>
      </c>
      <c r="BF312" s="23">
        <f>VALUE(0)</f>
        <v>0</v>
      </c>
      <c r="BG312" s="23">
        <f>VALUE(0)</f>
        <v>0</v>
      </c>
      <c r="BH312" s="23">
        <f>VALUE(0)</f>
        <v>0</v>
      </c>
      <c r="BI312" s="23">
        <f>VALUE(0)</f>
        <v>0</v>
      </c>
      <c r="BJ312" s="23">
        <f>VALUE(0)</f>
        <v>0</v>
      </c>
      <c r="BK312" s="12">
        <f>$AX$312*24</f>
        <v>5.8</v>
      </c>
      <c r="BL312" s="12">
        <f>$AY$312*24</f>
        <v>0</v>
      </c>
      <c r="BM312" s="12">
        <f>$BJ$312*24</f>
        <v>0</v>
      </c>
      <c r="BN312" s="12">
        <f>VALUE($I$312)/100</f>
        <v>0.77</v>
      </c>
      <c r="BO312" s="12">
        <v>0</v>
      </c>
      <c r="BP312" s="12">
        <v>0</v>
      </c>
      <c r="BQ312" s="12">
        <v>0</v>
      </c>
      <c r="BR312" s="12">
        <v>0</v>
      </c>
      <c r="BS312" s="12">
        <v>0</v>
      </c>
      <c r="BT312" s="12">
        <v>0</v>
      </c>
      <c r="BU312" s="12">
        <v>0</v>
      </c>
      <c r="BV312" s="12">
        <v>0</v>
      </c>
      <c r="BW312" s="12">
        <v>0</v>
      </c>
      <c r="BX312" s="12">
        <v>0</v>
      </c>
      <c r="BY312" s="12">
        <v>0</v>
      </c>
      <c r="BZ312" s="12">
        <v>0</v>
      </c>
      <c r="CA312" s="12">
        <v>0</v>
      </c>
    </row>
    <row r="313" spans="1:79" hidden="1" x14ac:dyDescent="0.2">
      <c r="A313" s="12" t="s">
        <v>141</v>
      </c>
      <c r="B313" s="12" t="s">
        <v>145</v>
      </c>
      <c r="C313" s="12" t="s">
        <v>145</v>
      </c>
      <c r="D313" s="22" t="s">
        <v>558</v>
      </c>
      <c r="E313" s="22" t="s">
        <v>161</v>
      </c>
      <c r="F313" s="22" t="s">
        <v>1095</v>
      </c>
      <c r="G313" s="22" t="s">
        <v>1096</v>
      </c>
      <c r="H313" s="22" t="s">
        <v>150</v>
      </c>
      <c r="I313" s="22" t="s">
        <v>151</v>
      </c>
      <c r="J313" s="22" t="s">
        <v>162</v>
      </c>
      <c r="K313" s="22" t="s">
        <v>99</v>
      </c>
      <c r="L313" s="54" t="s">
        <v>153</v>
      </c>
      <c r="M313" s="23" t="s">
        <v>554</v>
      </c>
      <c r="N313" s="24" t="s">
        <v>153</v>
      </c>
      <c r="O313" s="23" t="s">
        <v>554</v>
      </c>
      <c r="P313" s="23" t="s">
        <v>554</v>
      </c>
      <c r="Q313" s="23" t="s">
        <v>554</v>
      </c>
      <c r="R313" s="23" t="s">
        <v>554</v>
      </c>
      <c r="S313" s="23" t="s">
        <v>554</v>
      </c>
      <c r="T313" s="23" t="s">
        <v>554</v>
      </c>
      <c r="U313" s="24" t="s">
        <v>153</v>
      </c>
      <c r="V313" s="54" t="s">
        <v>153</v>
      </c>
      <c r="W313" s="23" t="s">
        <v>554</v>
      </c>
      <c r="X313" s="23" t="s">
        <v>554</v>
      </c>
      <c r="Y313" s="23" t="s">
        <v>554</v>
      </c>
      <c r="Z313" s="23" t="s">
        <v>554</v>
      </c>
      <c r="AA313" s="23" t="s">
        <v>554</v>
      </c>
      <c r="AB313" s="24" t="s">
        <v>153</v>
      </c>
      <c r="AC313" s="23" t="s">
        <v>554</v>
      </c>
      <c r="AD313" s="23" t="s">
        <v>554</v>
      </c>
      <c r="AE313" s="23" t="s">
        <v>554</v>
      </c>
      <c r="AF313" s="23" t="s">
        <v>554</v>
      </c>
      <c r="AG313" s="23" t="s">
        <v>554</v>
      </c>
      <c r="AH313" s="23" t="s">
        <v>554</v>
      </c>
      <c r="AI313" s="24" t="s">
        <v>153</v>
      </c>
      <c r="AJ313" s="24" t="s">
        <v>156</v>
      </c>
      <c r="AK313" s="24" t="s">
        <v>156</v>
      </c>
      <c r="AL313" s="23" t="s">
        <v>554</v>
      </c>
      <c r="AM313" s="23" t="s">
        <v>554</v>
      </c>
      <c r="AN313" s="28" t="s">
        <v>163</v>
      </c>
      <c r="AO313" s="28" t="s">
        <v>163</v>
      </c>
      <c r="AP313" s="23">
        <f>VALUE(25)</f>
        <v>25</v>
      </c>
      <c r="AQ313" s="23">
        <f>VALUE(0)</f>
        <v>0</v>
      </c>
      <c r="AR313" s="23">
        <f>VALUE(0)</f>
        <v>0</v>
      </c>
      <c r="AS313" s="23">
        <f>VALUE(0)</f>
        <v>0</v>
      </c>
      <c r="AT313" s="23">
        <f>VALUE(0)</f>
        <v>0</v>
      </c>
      <c r="AU313" s="23">
        <f>VALUE(2)</f>
        <v>2</v>
      </c>
      <c r="AV313" s="23">
        <f>VALUE(3)</f>
        <v>3</v>
      </c>
      <c r="AW313" s="23">
        <f>VALUE(0)</f>
        <v>0</v>
      </c>
      <c r="AX313" s="23" t="s">
        <v>176</v>
      </c>
      <c r="AY313" s="23" t="s">
        <v>565</v>
      </c>
      <c r="AZ313" s="23">
        <f>VALUE(0)</f>
        <v>0</v>
      </c>
      <c r="BA313" s="23">
        <f>VALUE(0)</f>
        <v>0</v>
      </c>
      <c r="BB313" s="23">
        <f>VALUE(0)</f>
        <v>0</v>
      </c>
      <c r="BC313" s="23">
        <f>VALUE(0)</f>
        <v>0</v>
      </c>
      <c r="BD313" s="23">
        <f>VALUE(0)</f>
        <v>0</v>
      </c>
      <c r="BE313" s="23">
        <f>VALUE(0)</f>
        <v>0</v>
      </c>
      <c r="BF313" s="23">
        <f>VALUE(0)</f>
        <v>0</v>
      </c>
      <c r="BG313" s="23">
        <f>VALUE(0)</f>
        <v>0</v>
      </c>
      <c r="BH313" s="23">
        <f>VALUE(0)</f>
        <v>0</v>
      </c>
      <c r="BI313" s="23">
        <f>VALUE(0)</f>
        <v>0</v>
      </c>
      <c r="BJ313" s="23">
        <f>VALUE(0)</f>
        <v>0</v>
      </c>
      <c r="BK313" s="12">
        <f>$AX$313*24</f>
        <v>0</v>
      </c>
      <c r="BL313" s="12">
        <f>$AY$313*24</f>
        <v>24.6</v>
      </c>
      <c r="BM313" s="12">
        <f>$BJ$313*24</f>
        <v>0</v>
      </c>
      <c r="BN313" s="12">
        <f>VALUE($I$313)/100</f>
        <v>1</v>
      </c>
      <c r="BO313" s="12">
        <v>0</v>
      </c>
      <c r="BP313" s="12">
        <v>0</v>
      </c>
      <c r="BQ313" s="12">
        <v>0</v>
      </c>
      <c r="BR313" s="12">
        <v>0</v>
      </c>
      <c r="BS313" s="12">
        <v>0</v>
      </c>
      <c r="BT313" s="12">
        <v>0</v>
      </c>
      <c r="BU313" s="12">
        <v>0</v>
      </c>
      <c r="BV313" s="12">
        <v>0</v>
      </c>
      <c r="BW313" s="12">
        <v>0</v>
      </c>
      <c r="BX313" s="12">
        <v>0</v>
      </c>
      <c r="BY313" s="12">
        <v>0</v>
      </c>
      <c r="BZ313" s="12">
        <v>0</v>
      </c>
      <c r="CA313" s="12">
        <v>0</v>
      </c>
    </row>
    <row r="314" spans="1:79" hidden="1" x14ac:dyDescent="0.2">
      <c r="A314" s="12" t="s">
        <v>141</v>
      </c>
      <c r="B314" s="12" t="s">
        <v>145</v>
      </c>
      <c r="C314" s="12" t="s">
        <v>145</v>
      </c>
      <c r="D314" s="22" t="s">
        <v>552</v>
      </c>
      <c r="E314" s="22" t="s">
        <v>161</v>
      </c>
      <c r="F314" s="22" t="s">
        <v>1097</v>
      </c>
      <c r="G314" s="22" t="s">
        <v>1098</v>
      </c>
      <c r="H314" s="22" t="s">
        <v>150</v>
      </c>
      <c r="I314" s="22" t="s">
        <v>566</v>
      </c>
      <c r="J314" s="22" t="s">
        <v>162</v>
      </c>
      <c r="K314" s="22" t="s">
        <v>99</v>
      </c>
      <c r="L314" s="54" t="s">
        <v>153</v>
      </c>
      <c r="M314" s="23" t="s">
        <v>153</v>
      </c>
      <c r="N314" s="24" t="s">
        <v>153</v>
      </c>
      <c r="O314" s="23" t="s">
        <v>153</v>
      </c>
      <c r="P314" s="23" t="s">
        <v>153</v>
      </c>
      <c r="Q314" s="23" t="s">
        <v>153</v>
      </c>
      <c r="R314" s="23" t="s">
        <v>153</v>
      </c>
      <c r="S314" s="23" t="s">
        <v>153</v>
      </c>
      <c r="T314" s="23" t="s">
        <v>153</v>
      </c>
      <c r="U314" s="24" t="s">
        <v>153</v>
      </c>
      <c r="V314" s="54" t="s">
        <v>153</v>
      </c>
      <c r="W314" s="23" t="s">
        <v>153</v>
      </c>
      <c r="X314" s="23" t="s">
        <v>153</v>
      </c>
      <c r="Y314" s="23" t="s">
        <v>153</v>
      </c>
      <c r="Z314" s="24" t="s">
        <v>156</v>
      </c>
      <c r="AA314" s="24" t="s">
        <v>156</v>
      </c>
      <c r="AB314" s="24" t="s">
        <v>153</v>
      </c>
      <c r="AC314" s="24" t="s">
        <v>195</v>
      </c>
      <c r="AD314" s="24" t="s">
        <v>195</v>
      </c>
      <c r="AE314" s="24" t="s">
        <v>195</v>
      </c>
      <c r="AF314" s="24" t="s">
        <v>195</v>
      </c>
      <c r="AG314" s="24" t="s">
        <v>195</v>
      </c>
      <c r="AH314" s="24" t="s">
        <v>195</v>
      </c>
      <c r="AI314" s="24" t="s">
        <v>153</v>
      </c>
      <c r="AJ314" s="23" t="s">
        <v>153</v>
      </c>
      <c r="AK314" s="23" t="s">
        <v>153</v>
      </c>
      <c r="AL314" s="23" t="s">
        <v>153</v>
      </c>
      <c r="AM314" s="23" t="s">
        <v>153</v>
      </c>
      <c r="AN314" s="23" t="s">
        <v>153</v>
      </c>
      <c r="AO314" s="23" t="s">
        <v>153</v>
      </c>
      <c r="AP314" s="23">
        <f>VALUE(22)</f>
        <v>22</v>
      </c>
      <c r="AQ314" s="23">
        <f>VALUE(0)</f>
        <v>0</v>
      </c>
      <c r="AR314" s="23">
        <f>VALUE(0)</f>
        <v>0</v>
      </c>
      <c r="AS314" s="23">
        <f>VALUE(0)</f>
        <v>0</v>
      </c>
      <c r="AT314" s="23">
        <f>VALUE(0)</f>
        <v>0</v>
      </c>
      <c r="AU314" s="23">
        <f>VALUE(0)</f>
        <v>0</v>
      </c>
      <c r="AV314" s="23">
        <f>VALUE(6)</f>
        <v>6</v>
      </c>
      <c r="AW314" s="23">
        <f>VALUE(2)</f>
        <v>2</v>
      </c>
      <c r="AX314" s="23" t="s">
        <v>567</v>
      </c>
      <c r="AY314" s="23" t="s">
        <v>485</v>
      </c>
      <c r="AZ314" s="23">
        <f>VALUE(0)</f>
        <v>0</v>
      </c>
      <c r="BA314" s="23">
        <f>VALUE(0)</f>
        <v>0</v>
      </c>
      <c r="BB314" s="23">
        <f>VALUE(0)</f>
        <v>0</v>
      </c>
      <c r="BC314" s="23">
        <f>VALUE(0)</f>
        <v>0</v>
      </c>
      <c r="BD314" s="23">
        <f>VALUE(0)</f>
        <v>0</v>
      </c>
      <c r="BE314" s="23">
        <f>VALUE(0)</f>
        <v>0</v>
      </c>
      <c r="BF314" s="23">
        <f>VALUE(0)</f>
        <v>0</v>
      </c>
      <c r="BG314" s="23">
        <f>VALUE(0)</f>
        <v>0</v>
      </c>
      <c r="BH314" s="23">
        <f>VALUE(0)</f>
        <v>0</v>
      </c>
      <c r="BI314" s="23">
        <f>VALUE(0)</f>
        <v>0</v>
      </c>
      <c r="BJ314" s="23">
        <f>VALUE(0)</f>
        <v>0</v>
      </c>
      <c r="BK314" s="12">
        <f>$AX$314*24</f>
        <v>2.5833333333333335</v>
      </c>
      <c r="BL314" s="12">
        <f>$AY$314*24</f>
        <v>3.8333333333333339</v>
      </c>
      <c r="BM314" s="12">
        <f>$BJ$314*24</f>
        <v>0</v>
      </c>
      <c r="BN314" s="12">
        <f>VALUE($I$314)/100</f>
        <v>0.76</v>
      </c>
      <c r="BO314" s="12">
        <v>0</v>
      </c>
      <c r="BP314" s="12">
        <v>0</v>
      </c>
      <c r="BQ314" s="12">
        <v>0</v>
      </c>
      <c r="BR314" s="12">
        <v>0</v>
      </c>
      <c r="BS314" s="12">
        <v>0</v>
      </c>
      <c r="BT314" s="12">
        <v>0</v>
      </c>
      <c r="BU314" s="12">
        <v>0</v>
      </c>
      <c r="BV314" s="12">
        <v>0</v>
      </c>
      <c r="BW314" s="12">
        <v>0</v>
      </c>
      <c r="BX314" s="12">
        <v>0</v>
      </c>
      <c r="BY314" s="12">
        <v>0</v>
      </c>
      <c r="BZ314" s="12">
        <v>0</v>
      </c>
      <c r="CA314" s="12">
        <v>0</v>
      </c>
    </row>
    <row r="315" spans="1:79" hidden="1" x14ac:dyDescent="0.2">
      <c r="A315" s="12" t="s">
        <v>141</v>
      </c>
      <c r="B315" s="12" t="s">
        <v>145</v>
      </c>
      <c r="C315" s="12" t="s">
        <v>145</v>
      </c>
      <c r="D315" s="22" t="s">
        <v>568</v>
      </c>
      <c r="E315" s="22" t="s">
        <v>161</v>
      </c>
      <c r="F315" s="22" t="s">
        <v>1099</v>
      </c>
      <c r="G315" s="22" t="s">
        <v>1100</v>
      </c>
      <c r="H315" s="22" t="s">
        <v>166</v>
      </c>
      <c r="I315" s="22" t="s">
        <v>151</v>
      </c>
      <c r="J315" s="22" t="s">
        <v>162</v>
      </c>
      <c r="K315" s="22" t="s">
        <v>99</v>
      </c>
      <c r="L315" s="54" t="s">
        <v>153</v>
      </c>
      <c r="M315" s="23" t="s">
        <v>153</v>
      </c>
      <c r="N315" s="24" t="s">
        <v>153</v>
      </c>
      <c r="O315" s="23" t="s">
        <v>153</v>
      </c>
      <c r="P315" s="23" t="s">
        <v>153</v>
      </c>
      <c r="Q315" s="23" t="s">
        <v>153</v>
      </c>
      <c r="R315" s="23" t="s">
        <v>153</v>
      </c>
      <c r="S315" s="24" t="s">
        <v>156</v>
      </c>
      <c r="T315" s="24" t="s">
        <v>156</v>
      </c>
      <c r="U315" s="24" t="s">
        <v>153</v>
      </c>
      <c r="V315" s="54" t="s">
        <v>153</v>
      </c>
      <c r="W315" s="23" t="s">
        <v>153</v>
      </c>
      <c r="X315" s="23" t="s">
        <v>153</v>
      </c>
      <c r="Y315" s="23" t="s">
        <v>153</v>
      </c>
      <c r="Z315" s="23" t="s">
        <v>153</v>
      </c>
      <c r="AA315" s="23" t="s">
        <v>153</v>
      </c>
      <c r="AB315" s="24" t="s">
        <v>153</v>
      </c>
      <c r="AC315" s="28" t="s">
        <v>163</v>
      </c>
      <c r="AD315" s="28" t="s">
        <v>163</v>
      </c>
      <c r="AE315" s="28" t="s">
        <v>163</v>
      </c>
      <c r="AF315" s="28" t="s">
        <v>163</v>
      </c>
      <c r="AG315" s="28" t="s">
        <v>163</v>
      </c>
      <c r="AH315" s="28" t="s">
        <v>163</v>
      </c>
      <c r="AI315" s="24" t="s">
        <v>153</v>
      </c>
      <c r="AJ315" s="28" t="s">
        <v>163</v>
      </c>
      <c r="AK315" s="28" t="s">
        <v>163</v>
      </c>
      <c r="AL315" s="28" t="s">
        <v>163</v>
      </c>
      <c r="AM315" s="28" t="s">
        <v>163</v>
      </c>
      <c r="AN315" s="28" t="s">
        <v>163</v>
      </c>
      <c r="AO315" s="28" t="s">
        <v>163</v>
      </c>
      <c r="AP315" s="23">
        <f>VALUE(0)</f>
        <v>0</v>
      </c>
      <c r="AQ315" s="23">
        <f>VALUE(0)</f>
        <v>0</v>
      </c>
      <c r="AR315" s="23">
        <f>VALUE(0)</f>
        <v>0</v>
      </c>
      <c r="AS315" s="23">
        <f>VALUE(0)</f>
        <v>0</v>
      </c>
      <c r="AT315" s="23">
        <f>VALUE(0)</f>
        <v>0</v>
      </c>
      <c r="AU315" s="23">
        <f>VALUE(12)</f>
        <v>12</v>
      </c>
      <c r="AV315" s="23">
        <f>VALUE(9)</f>
        <v>9</v>
      </c>
      <c r="AW315" s="23">
        <f>VALUE(0)</f>
        <v>0</v>
      </c>
      <c r="AX315" s="23" t="s">
        <v>569</v>
      </c>
      <c r="AY315" s="23">
        <f>VALUE(0)</f>
        <v>0</v>
      </c>
      <c r="AZ315" s="23">
        <f>VALUE(0)</f>
        <v>0</v>
      </c>
      <c r="BA315" s="23">
        <f>VALUE(0)</f>
        <v>0</v>
      </c>
      <c r="BB315" s="23">
        <f>VALUE(0)</f>
        <v>0</v>
      </c>
      <c r="BC315" s="23">
        <f>VALUE(0)</f>
        <v>0</v>
      </c>
      <c r="BD315" s="23">
        <f>VALUE(0)</f>
        <v>0</v>
      </c>
      <c r="BE315" s="23">
        <f>VALUE(0)</f>
        <v>0</v>
      </c>
      <c r="BF315" s="23">
        <f>VALUE(0)</f>
        <v>0</v>
      </c>
      <c r="BG315" s="23">
        <f>VALUE(0)</f>
        <v>0</v>
      </c>
      <c r="BH315" s="23">
        <f>VALUE(0)</f>
        <v>0</v>
      </c>
      <c r="BI315" s="23">
        <f>VALUE(0)</f>
        <v>0</v>
      </c>
      <c r="BJ315" s="23">
        <f>VALUE(0)</f>
        <v>0</v>
      </c>
      <c r="BK315" s="12">
        <f>$AX$315*24</f>
        <v>7.2833333333333332</v>
      </c>
      <c r="BL315" s="12">
        <f>$AY$315*24</f>
        <v>0</v>
      </c>
      <c r="BM315" s="12">
        <f>$BJ$315*24</f>
        <v>0</v>
      </c>
      <c r="BN315" s="12">
        <f>VALUE($I$315)/100</f>
        <v>1</v>
      </c>
      <c r="BO315" s="12">
        <v>0</v>
      </c>
      <c r="BP315" s="12">
        <v>0</v>
      </c>
      <c r="BQ315" s="12">
        <v>0</v>
      </c>
      <c r="BR315" s="12">
        <v>0</v>
      </c>
      <c r="BS315" s="12">
        <v>0</v>
      </c>
      <c r="BT315" s="12">
        <v>0</v>
      </c>
      <c r="BU315" s="12">
        <v>0</v>
      </c>
      <c r="BV315" s="12">
        <v>0</v>
      </c>
      <c r="BW315" s="12">
        <v>0</v>
      </c>
      <c r="BX315" s="12">
        <v>0</v>
      </c>
      <c r="BY315" s="12">
        <v>0</v>
      </c>
      <c r="BZ315" s="12">
        <v>0</v>
      </c>
      <c r="CA315" s="12">
        <v>0</v>
      </c>
    </row>
    <row r="316" spans="1:79" hidden="1" x14ac:dyDescent="0.2">
      <c r="A316" s="12" t="s">
        <v>141</v>
      </c>
      <c r="B316" s="12" t="s">
        <v>145</v>
      </c>
      <c r="C316" s="12" t="s">
        <v>145</v>
      </c>
      <c r="D316" s="22" t="s">
        <v>1267</v>
      </c>
      <c r="E316" s="22" t="s">
        <v>173</v>
      </c>
      <c r="F316" s="22" t="s">
        <v>1101</v>
      </c>
      <c r="G316" s="22" t="s">
        <v>1102</v>
      </c>
      <c r="H316" s="22" t="s">
        <v>150</v>
      </c>
      <c r="I316" s="22" t="s">
        <v>151</v>
      </c>
      <c r="J316" s="22" t="s">
        <v>162</v>
      </c>
      <c r="K316" s="22" t="s">
        <v>99</v>
      </c>
      <c r="L316" s="54" t="s">
        <v>153</v>
      </c>
      <c r="M316" s="27" t="s">
        <v>153</v>
      </c>
      <c r="N316" s="27" t="s">
        <v>153</v>
      </c>
      <c r="O316" s="27" t="s">
        <v>153</v>
      </c>
      <c r="P316" s="27" t="s">
        <v>153</v>
      </c>
      <c r="Q316" s="27" t="s">
        <v>153</v>
      </c>
      <c r="R316" s="27" t="s">
        <v>153</v>
      </c>
      <c r="S316" s="27" t="s">
        <v>153</v>
      </c>
      <c r="T316" s="27" t="s">
        <v>153</v>
      </c>
      <c r="U316" s="27" t="s">
        <v>153</v>
      </c>
      <c r="V316" s="54" t="s">
        <v>153</v>
      </c>
      <c r="W316" s="27" t="s">
        <v>153</v>
      </c>
      <c r="X316" s="27" t="s">
        <v>153</v>
      </c>
      <c r="Y316" s="27" t="s">
        <v>153</v>
      </c>
      <c r="Z316" s="27" t="s">
        <v>153</v>
      </c>
      <c r="AA316" s="27" t="s">
        <v>153</v>
      </c>
      <c r="AB316" s="27" t="s">
        <v>153</v>
      </c>
      <c r="AC316" s="27" t="s">
        <v>153</v>
      </c>
      <c r="AD316" s="27" t="s">
        <v>153</v>
      </c>
      <c r="AE316" s="27" t="s">
        <v>153</v>
      </c>
      <c r="AF316" s="27" t="s">
        <v>153</v>
      </c>
      <c r="AG316" s="27" t="s">
        <v>153</v>
      </c>
      <c r="AH316" s="27" t="s">
        <v>153</v>
      </c>
      <c r="AI316" s="27" t="s">
        <v>153</v>
      </c>
      <c r="AJ316" s="27" t="s">
        <v>153</v>
      </c>
      <c r="AK316" s="27" t="s">
        <v>153</v>
      </c>
      <c r="AL316" s="27" t="s">
        <v>153</v>
      </c>
      <c r="AM316" s="27" t="s">
        <v>153</v>
      </c>
      <c r="AN316" s="27" t="s">
        <v>153</v>
      </c>
      <c r="AO316" s="27" t="s">
        <v>153</v>
      </c>
      <c r="AP316" s="23">
        <f>VALUE(0)</f>
        <v>0</v>
      </c>
      <c r="AQ316" s="23">
        <f>VALUE(0)</f>
        <v>0</v>
      </c>
      <c r="AR316" s="23">
        <f>VALUE(0)</f>
        <v>0</v>
      </c>
      <c r="AS316" s="23">
        <f>VALUE(0)</f>
        <v>0</v>
      </c>
      <c r="AT316" s="23">
        <f>VALUE(0)</f>
        <v>0</v>
      </c>
      <c r="AU316" s="23">
        <f>VALUE(0)</f>
        <v>0</v>
      </c>
      <c r="AV316" s="23">
        <f>VALUE(0)</f>
        <v>0</v>
      </c>
      <c r="AW316" s="23">
        <f>VALUE(0)</f>
        <v>0</v>
      </c>
      <c r="AX316" s="23">
        <f>VALUE(0)</f>
        <v>0</v>
      </c>
      <c r="AY316" s="23">
        <f>VALUE(0)</f>
        <v>0</v>
      </c>
      <c r="AZ316" s="23">
        <f>VALUE(0)</f>
        <v>0</v>
      </c>
      <c r="BA316" s="23">
        <f>VALUE(0)</f>
        <v>0</v>
      </c>
      <c r="BB316" s="23">
        <f>VALUE(0)</f>
        <v>0</v>
      </c>
      <c r="BC316" s="23">
        <f>VALUE(0)</f>
        <v>0</v>
      </c>
      <c r="BD316" s="23">
        <f>VALUE(0)</f>
        <v>0</v>
      </c>
      <c r="BE316" s="23">
        <f>VALUE(0)</f>
        <v>0</v>
      </c>
      <c r="BF316" s="23">
        <f>VALUE(0)</f>
        <v>0</v>
      </c>
      <c r="BG316" s="23">
        <f>VALUE(0)</f>
        <v>0</v>
      </c>
      <c r="BH316" s="23">
        <f>VALUE(0)</f>
        <v>0</v>
      </c>
      <c r="BI316" s="23">
        <f>VALUE(0)</f>
        <v>0</v>
      </c>
      <c r="BJ316" s="23">
        <f>VALUE(0)</f>
        <v>0</v>
      </c>
      <c r="BK316" s="12">
        <f>$AX$316*24</f>
        <v>0</v>
      </c>
      <c r="BL316" s="12">
        <f>$AY$316*24</f>
        <v>0</v>
      </c>
      <c r="BM316" s="12">
        <f>$BJ$316*24</f>
        <v>0</v>
      </c>
      <c r="BN316" s="12">
        <f>VALUE($I$316)/100</f>
        <v>1</v>
      </c>
      <c r="BO316" s="12">
        <v>0</v>
      </c>
      <c r="BP316" s="12">
        <v>0</v>
      </c>
      <c r="BQ316" s="12">
        <v>0</v>
      </c>
      <c r="BR316" s="12">
        <v>0</v>
      </c>
      <c r="BS316" s="12">
        <v>0</v>
      </c>
      <c r="BT316" s="12">
        <v>0</v>
      </c>
      <c r="BU316" s="12">
        <v>0</v>
      </c>
      <c r="BV316" s="12">
        <v>0</v>
      </c>
      <c r="BW316" s="12">
        <v>0</v>
      </c>
      <c r="BX316" s="12">
        <v>0</v>
      </c>
      <c r="BY316" s="12">
        <v>0</v>
      </c>
      <c r="BZ316" s="12">
        <v>0</v>
      </c>
      <c r="CA316" s="12">
        <v>0</v>
      </c>
    </row>
    <row r="317" spans="1:79" ht="16.5" hidden="1" x14ac:dyDescent="0.2">
      <c r="A317" s="12" t="s">
        <v>141</v>
      </c>
      <c r="B317" s="12" t="s">
        <v>145</v>
      </c>
      <c r="C317" s="12" t="s">
        <v>145</v>
      </c>
      <c r="D317" s="22" t="s">
        <v>570</v>
      </c>
      <c r="E317" s="22" t="s">
        <v>161</v>
      </c>
      <c r="F317" s="22" t="s">
        <v>1103</v>
      </c>
      <c r="G317" s="22" t="s">
        <v>1104</v>
      </c>
      <c r="H317" s="22" t="s">
        <v>150</v>
      </c>
      <c r="I317" s="22" t="s">
        <v>151</v>
      </c>
      <c r="J317" s="22" t="s">
        <v>162</v>
      </c>
      <c r="K317" s="22" t="s">
        <v>99</v>
      </c>
      <c r="L317" s="54" t="s">
        <v>156</v>
      </c>
      <c r="M317" s="24" t="s">
        <v>156</v>
      </c>
      <c r="N317" s="24" t="s">
        <v>153</v>
      </c>
      <c r="O317" s="26" t="s">
        <v>550</v>
      </c>
      <c r="P317" s="26" t="s">
        <v>550</v>
      </c>
      <c r="Q317" s="26" t="s">
        <v>550</v>
      </c>
      <c r="R317" s="26" t="s">
        <v>550</v>
      </c>
      <c r="S317" s="23" t="s">
        <v>459</v>
      </c>
      <c r="T317" s="26" t="s">
        <v>550</v>
      </c>
      <c r="U317" s="24" t="s">
        <v>153</v>
      </c>
      <c r="V317" s="54" t="s">
        <v>153</v>
      </c>
      <c r="W317" s="26" t="s">
        <v>550</v>
      </c>
      <c r="X317" s="26" t="s">
        <v>550</v>
      </c>
      <c r="Y317" s="26" t="s">
        <v>550</v>
      </c>
      <c r="Z317" s="23" t="s">
        <v>459</v>
      </c>
      <c r="AA317" s="26" t="s">
        <v>550</v>
      </c>
      <c r="AB317" s="24" t="s">
        <v>153</v>
      </c>
      <c r="AC317" s="26" t="s">
        <v>550</v>
      </c>
      <c r="AD317" s="26" t="s">
        <v>550</v>
      </c>
      <c r="AE317" s="26" t="s">
        <v>550</v>
      </c>
      <c r="AF317" s="26" t="s">
        <v>550</v>
      </c>
      <c r="AG317" s="23" t="s">
        <v>459</v>
      </c>
      <c r="AH317" s="26" t="s">
        <v>550</v>
      </c>
      <c r="AI317" s="24" t="s">
        <v>153</v>
      </c>
      <c r="AJ317" s="26" t="s">
        <v>550</v>
      </c>
      <c r="AK317" s="26" t="s">
        <v>550</v>
      </c>
      <c r="AL317" s="26" t="s">
        <v>550</v>
      </c>
      <c r="AM317" s="26" t="s">
        <v>550</v>
      </c>
      <c r="AN317" s="23" t="s">
        <v>459</v>
      </c>
      <c r="AO317" s="26" t="s">
        <v>550</v>
      </c>
      <c r="AP317" s="23">
        <f>VALUE(0)</f>
        <v>0</v>
      </c>
      <c r="AQ317" s="23">
        <f>VALUE(0)</f>
        <v>0</v>
      </c>
      <c r="AR317" s="23">
        <f>VALUE(0)</f>
        <v>0</v>
      </c>
      <c r="AS317" s="23">
        <f>VALUE(0)</f>
        <v>0</v>
      </c>
      <c r="AT317" s="23">
        <f>VALUE(0)</f>
        <v>0</v>
      </c>
      <c r="AU317" s="23">
        <f>VALUE(0)</f>
        <v>0</v>
      </c>
      <c r="AV317" s="23">
        <f>VALUE(8)</f>
        <v>8</v>
      </c>
      <c r="AW317" s="23">
        <f>VALUE(0)</f>
        <v>0</v>
      </c>
      <c r="AX317" s="23" t="s">
        <v>176</v>
      </c>
      <c r="AY317" s="23" t="s">
        <v>571</v>
      </c>
      <c r="AZ317" s="23">
        <f>VALUE(0)</f>
        <v>0</v>
      </c>
      <c r="BA317" s="23">
        <f>VALUE(0)</f>
        <v>0</v>
      </c>
      <c r="BB317" s="23">
        <f>VALUE(0)</f>
        <v>0</v>
      </c>
      <c r="BC317" s="23">
        <f>VALUE(0)</f>
        <v>0</v>
      </c>
      <c r="BD317" s="23">
        <f>VALUE(0)</f>
        <v>0</v>
      </c>
      <c r="BE317" s="23">
        <f>VALUE(0)</f>
        <v>0</v>
      </c>
      <c r="BF317" s="23">
        <f>VALUE(0)</f>
        <v>0</v>
      </c>
      <c r="BG317" s="23">
        <f>VALUE(0)</f>
        <v>0</v>
      </c>
      <c r="BH317" s="23">
        <f>VALUE(0)</f>
        <v>0</v>
      </c>
      <c r="BI317" s="23">
        <f>VALUE(0)</f>
        <v>0</v>
      </c>
      <c r="BJ317" s="23">
        <f>VALUE(0)</f>
        <v>0</v>
      </c>
      <c r="BK317" s="12">
        <f>$AX$317*24</f>
        <v>0</v>
      </c>
      <c r="BL317" s="12">
        <f>$AY$317*24</f>
        <v>3.1000000000000005</v>
      </c>
      <c r="BM317" s="12">
        <f>$BJ$317*24</f>
        <v>0</v>
      </c>
      <c r="BN317" s="12">
        <f>VALUE($I$317)/100</f>
        <v>1</v>
      </c>
      <c r="BO317" s="12">
        <v>0</v>
      </c>
      <c r="BP317" s="12">
        <v>0</v>
      </c>
      <c r="BQ317" s="12">
        <v>0</v>
      </c>
      <c r="BR317" s="12">
        <v>0</v>
      </c>
      <c r="BS317" s="12">
        <v>0</v>
      </c>
      <c r="BT317" s="12">
        <v>0</v>
      </c>
      <c r="BU317" s="12">
        <v>0</v>
      </c>
      <c r="BV317" s="12">
        <v>0</v>
      </c>
      <c r="BW317" s="12">
        <v>0</v>
      </c>
      <c r="BX317" s="12">
        <v>0</v>
      </c>
      <c r="BY317" s="12">
        <v>0</v>
      </c>
      <c r="BZ317" s="12">
        <v>0</v>
      </c>
      <c r="CA317" s="12">
        <v>0</v>
      </c>
    </row>
    <row r="318" spans="1:79" hidden="1" x14ac:dyDescent="0.2">
      <c r="A318" s="12" t="s">
        <v>141</v>
      </c>
      <c r="B318" s="12" t="s">
        <v>145</v>
      </c>
      <c r="C318" s="12" t="s">
        <v>145</v>
      </c>
      <c r="D318" s="22" t="s">
        <v>1312</v>
      </c>
      <c r="E318" s="22" t="s">
        <v>173</v>
      </c>
      <c r="F318" s="22" t="s">
        <v>1105</v>
      </c>
      <c r="G318" s="22" t="s">
        <v>1106</v>
      </c>
      <c r="H318" s="22" t="s">
        <v>150</v>
      </c>
      <c r="I318" s="22" t="s">
        <v>151</v>
      </c>
      <c r="J318" s="22" t="s">
        <v>162</v>
      </c>
      <c r="K318" s="22" t="s">
        <v>99</v>
      </c>
      <c r="L318" s="54" t="s">
        <v>153</v>
      </c>
      <c r="M318" s="23" t="s">
        <v>1308</v>
      </c>
      <c r="N318" s="24" t="s">
        <v>153</v>
      </c>
      <c r="O318" s="23" t="s">
        <v>555</v>
      </c>
      <c r="P318" s="23" t="s">
        <v>555</v>
      </c>
      <c r="Q318" s="23" t="s">
        <v>555</v>
      </c>
      <c r="R318" s="23" t="s">
        <v>555</v>
      </c>
      <c r="S318" s="23" t="s">
        <v>568</v>
      </c>
      <c r="T318" s="23" t="s">
        <v>568</v>
      </c>
      <c r="U318" s="24" t="s">
        <v>153</v>
      </c>
      <c r="V318" s="54" t="s">
        <v>153</v>
      </c>
      <c r="W318" s="23" t="s">
        <v>562</v>
      </c>
      <c r="X318" s="23" t="s">
        <v>562</v>
      </c>
      <c r="Y318" s="23" t="s">
        <v>562</v>
      </c>
      <c r="Z318" s="23" t="s">
        <v>562</v>
      </c>
      <c r="AA318" s="23" t="s">
        <v>562</v>
      </c>
      <c r="AB318" s="24" t="s">
        <v>153</v>
      </c>
      <c r="AC318" s="23" t="s">
        <v>1307</v>
      </c>
      <c r="AD318" s="23" t="s">
        <v>1307</v>
      </c>
      <c r="AE318" s="24" t="s">
        <v>156</v>
      </c>
      <c r="AF318" s="24" t="s">
        <v>156</v>
      </c>
      <c r="AG318" s="23" t="s">
        <v>389</v>
      </c>
      <c r="AH318" s="23" t="s">
        <v>389</v>
      </c>
      <c r="AI318" s="24" t="s">
        <v>153</v>
      </c>
      <c r="AJ318" s="23" t="s">
        <v>1307</v>
      </c>
      <c r="AK318" s="23" t="s">
        <v>1307</v>
      </c>
      <c r="AL318" s="23" t="s">
        <v>1307</v>
      </c>
      <c r="AM318" s="23" t="s">
        <v>1307</v>
      </c>
      <c r="AN318" s="23" t="s">
        <v>1307</v>
      </c>
      <c r="AO318" s="23" t="s">
        <v>1307</v>
      </c>
      <c r="AP318" s="23">
        <f>VALUE(35)</f>
        <v>35</v>
      </c>
      <c r="AQ318" s="23">
        <f>VALUE(0)</f>
        <v>0</v>
      </c>
      <c r="AR318" s="23">
        <f>VALUE(0)</f>
        <v>0</v>
      </c>
      <c r="AS318" s="23">
        <f>VALUE(0)</f>
        <v>0</v>
      </c>
      <c r="AT318" s="23">
        <f>VALUE(0)</f>
        <v>0</v>
      </c>
      <c r="AU318" s="23">
        <f>VALUE(0)</f>
        <v>0</v>
      </c>
      <c r="AV318" s="23">
        <f>VALUE(2)</f>
        <v>2</v>
      </c>
      <c r="AW318" s="23">
        <f>VALUE(0)</f>
        <v>0</v>
      </c>
      <c r="AX318" s="23" t="s">
        <v>171</v>
      </c>
      <c r="AY318" s="23" t="s">
        <v>1313</v>
      </c>
      <c r="AZ318" s="23">
        <f>VALUE(0)</f>
        <v>0</v>
      </c>
      <c r="BA318" s="23">
        <f>VALUE(0)</f>
        <v>0</v>
      </c>
      <c r="BB318" s="23">
        <f>VALUE(0)</f>
        <v>0</v>
      </c>
      <c r="BC318" s="23">
        <f>VALUE(0)</f>
        <v>0</v>
      </c>
      <c r="BD318" s="23">
        <f>VALUE(0)</f>
        <v>0</v>
      </c>
      <c r="BE318" s="23">
        <f>VALUE(0)</f>
        <v>0</v>
      </c>
      <c r="BF318" s="23">
        <f>VALUE(0)</f>
        <v>0</v>
      </c>
      <c r="BG318" s="23">
        <f>VALUE(0)</f>
        <v>0</v>
      </c>
      <c r="BH318" s="23">
        <f>VALUE(0)</f>
        <v>0</v>
      </c>
      <c r="BI318" s="23">
        <f>VALUE(0)</f>
        <v>0</v>
      </c>
      <c r="BJ318" s="23">
        <f>VALUE(0)</f>
        <v>0</v>
      </c>
      <c r="BK318" s="12">
        <f>$AX$318*24</f>
        <v>5.833333333333333</v>
      </c>
      <c r="BL318" s="12">
        <f>$AY$318*24</f>
        <v>18.533333333333335</v>
      </c>
      <c r="BM318" s="12">
        <f>$BJ$318*24</f>
        <v>0</v>
      </c>
      <c r="BN318" s="12">
        <f>VALUE($I$318)/100</f>
        <v>1</v>
      </c>
      <c r="BO318" s="12">
        <v>0</v>
      </c>
      <c r="BP318" s="12">
        <v>0</v>
      </c>
      <c r="BQ318" s="12">
        <v>0</v>
      </c>
      <c r="BR318" s="12">
        <v>0</v>
      </c>
      <c r="BS318" s="12">
        <v>0</v>
      </c>
      <c r="BT318" s="12">
        <v>0</v>
      </c>
      <c r="BU318" s="12">
        <v>0</v>
      </c>
      <c r="BV318" s="12">
        <v>0</v>
      </c>
      <c r="BW318" s="12">
        <v>0</v>
      </c>
      <c r="BX318" s="12">
        <v>0</v>
      </c>
      <c r="BY318" s="12">
        <v>0</v>
      </c>
      <c r="BZ318" s="12">
        <v>0</v>
      </c>
      <c r="CA318" s="12">
        <v>0</v>
      </c>
    </row>
    <row r="319" spans="1:79" hidden="1" x14ac:dyDescent="0.2">
      <c r="A319" s="12" t="s">
        <v>141</v>
      </c>
      <c r="B319" s="12" t="s">
        <v>145</v>
      </c>
      <c r="C319" s="12" t="s">
        <v>145</v>
      </c>
      <c r="D319" s="22" t="s">
        <v>536</v>
      </c>
      <c r="E319" s="22" t="s">
        <v>159</v>
      </c>
      <c r="F319" s="22" t="s">
        <v>1107</v>
      </c>
      <c r="G319" s="22" t="s">
        <v>1108</v>
      </c>
      <c r="H319" s="22" t="s">
        <v>150</v>
      </c>
      <c r="I319" s="22" t="s">
        <v>151</v>
      </c>
      <c r="J319" s="22" t="s">
        <v>162</v>
      </c>
      <c r="K319" s="22" t="s">
        <v>99</v>
      </c>
      <c r="L319" s="54" t="s">
        <v>153</v>
      </c>
      <c r="M319" s="27" t="s">
        <v>153</v>
      </c>
      <c r="N319" s="27" t="s">
        <v>153</v>
      </c>
      <c r="O319" s="27" t="s">
        <v>153</v>
      </c>
      <c r="P319" s="27" t="s">
        <v>153</v>
      </c>
      <c r="Q319" s="27" t="s">
        <v>153</v>
      </c>
      <c r="R319" s="27" t="s">
        <v>153</v>
      </c>
      <c r="S319" s="27" t="s">
        <v>153</v>
      </c>
      <c r="T319" s="27" t="s">
        <v>153</v>
      </c>
      <c r="U319" s="27" t="s">
        <v>153</v>
      </c>
      <c r="V319" s="54" t="s">
        <v>153</v>
      </c>
      <c r="W319" s="27" t="s">
        <v>153</v>
      </c>
      <c r="X319" s="27" t="s">
        <v>153</v>
      </c>
      <c r="Y319" s="27" t="s">
        <v>153</v>
      </c>
      <c r="Z319" s="27" t="s">
        <v>153</v>
      </c>
      <c r="AA319" s="27" t="s">
        <v>153</v>
      </c>
      <c r="AB319" s="27" t="s">
        <v>153</v>
      </c>
      <c r="AC319" s="27" t="s">
        <v>153</v>
      </c>
      <c r="AD319" s="27" t="s">
        <v>153</v>
      </c>
      <c r="AE319" s="27" t="s">
        <v>153</v>
      </c>
      <c r="AF319" s="27" t="s">
        <v>153</v>
      </c>
      <c r="AG319" s="27" t="s">
        <v>153</v>
      </c>
      <c r="AH319" s="27" t="s">
        <v>153</v>
      </c>
      <c r="AI319" s="27" t="s">
        <v>153</v>
      </c>
      <c r="AJ319" s="27" t="s">
        <v>153</v>
      </c>
      <c r="AK319" s="27" t="s">
        <v>153</v>
      </c>
      <c r="AL319" s="27" t="s">
        <v>153</v>
      </c>
      <c r="AM319" s="27" t="s">
        <v>153</v>
      </c>
      <c r="AN319" s="27" t="s">
        <v>153</v>
      </c>
      <c r="AO319" s="27" t="s">
        <v>153</v>
      </c>
      <c r="AP319" s="23">
        <f>VALUE(0)</f>
        <v>0</v>
      </c>
      <c r="AQ319" s="23">
        <f>VALUE(0)</f>
        <v>0</v>
      </c>
      <c r="AR319" s="23">
        <f>VALUE(0)</f>
        <v>0</v>
      </c>
      <c r="AS319" s="23">
        <f>VALUE(0)</f>
        <v>0</v>
      </c>
      <c r="AT319" s="23">
        <f>VALUE(0)</f>
        <v>0</v>
      </c>
      <c r="AU319" s="23">
        <f>VALUE(0)</f>
        <v>0</v>
      </c>
      <c r="AV319" s="23">
        <f>VALUE(0)</f>
        <v>0</v>
      </c>
      <c r="AW319" s="23">
        <f>VALUE(0)</f>
        <v>0</v>
      </c>
      <c r="AX319" s="23">
        <f>VALUE(0)</f>
        <v>0</v>
      </c>
      <c r="AY319" s="23">
        <f>VALUE(0)</f>
        <v>0</v>
      </c>
      <c r="AZ319" s="23">
        <f>VALUE(0)</f>
        <v>0</v>
      </c>
      <c r="BA319" s="23">
        <f>VALUE(0)</f>
        <v>0</v>
      </c>
      <c r="BB319" s="23">
        <f>VALUE(0)</f>
        <v>0</v>
      </c>
      <c r="BC319" s="23">
        <f>VALUE(0)</f>
        <v>0</v>
      </c>
      <c r="BD319" s="23">
        <f>VALUE(0)</f>
        <v>0</v>
      </c>
      <c r="BE319" s="23">
        <f>VALUE(0)</f>
        <v>0</v>
      </c>
      <c r="BF319" s="23">
        <f>VALUE(0)</f>
        <v>0</v>
      </c>
      <c r="BG319" s="23">
        <f>VALUE(0)</f>
        <v>0</v>
      </c>
      <c r="BH319" s="23">
        <f>VALUE(0)</f>
        <v>0</v>
      </c>
      <c r="BI319" s="23">
        <f>VALUE(0)</f>
        <v>0</v>
      </c>
      <c r="BJ319" s="23">
        <f>VALUE(0)</f>
        <v>0</v>
      </c>
      <c r="BK319" s="12">
        <f>$AX$319*24</f>
        <v>0</v>
      </c>
      <c r="BL319" s="12">
        <f>$AY$319*24</f>
        <v>0</v>
      </c>
      <c r="BM319" s="12">
        <f>$BJ$319*24</f>
        <v>0</v>
      </c>
      <c r="BN319" s="12">
        <f>VALUE($I$319)/100</f>
        <v>1</v>
      </c>
      <c r="BO319" s="12">
        <v>0</v>
      </c>
      <c r="BP319" s="12">
        <v>0</v>
      </c>
      <c r="BQ319" s="12">
        <v>0</v>
      </c>
      <c r="BR319" s="12">
        <v>0</v>
      </c>
      <c r="BS319" s="12">
        <v>0</v>
      </c>
      <c r="BT319" s="12">
        <v>0</v>
      </c>
      <c r="BU319" s="12">
        <v>0</v>
      </c>
      <c r="BV319" s="12">
        <v>0</v>
      </c>
      <c r="BW319" s="12">
        <v>0</v>
      </c>
      <c r="BX319" s="12">
        <v>0</v>
      </c>
      <c r="BY319" s="12">
        <v>0</v>
      </c>
      <c r="BZ319" s="12">
        <v>0</v>
      </c>
      <c r="CA319" s="12">
        <v>0</v>
      </c>
    </row>
    <row r="320" spans="1:79" ht="15" hidden="1" x14ac:dyDescent="0.25">
      <c r="A320" s="12" t="s">
        <v>141</v>
      </c>
      <c r="B320" s="12" t="s">
        <v>145</v>
      </c>
      <c r="C320" s="12" t="s">
        <v>145</v>
      </c>
      <c r="D320" s="31" t="s">
        <v>202</v>
      </c>
      <c r="E320" s="31" t="s">
        <v>153</v>
      </c>
      <c r="F320" s="31" t="s">
        <v>175</v>
      </c>
      <c r="G320" s="31" t="s">
        <v>153</v>
      </c>
      <c r="H320" s="31" t="s">
        <v>153</v>
      </c>
      <c r="I320" s="31" t="s">
        <v>153</v>
      </c>
      <c r="J320" s="31" t="s">
        <v>153</v>
      </c>
      <c r="K320" s="31" t="s">
        <v>153</v>
      </c>
      <c r="L320" s="31">
        <f>VALUE(0)</f>
        <v>0</v>
      </c>
      <c r="M320" s="31">
        <f>VALUE(8)</f>
        <v>8</v>
      </c>
      <c r="N320" s="31">
        <f>VALUE(0)</f>
        <v>0</v>
      </c>
      <c r="O320" s="31">
        <f>VALUE(10)</f>
        <v>10</v>
      </c>
      <c r="P320" s="31">
        <f>VALUE(10)</f>
        <v>10</v>
      </c>
      <c r="Q320" s="31">
        <f>VALUE(10)</f>
        <v>10</v>
      </c>
      <c r="R320" s="31">
        <f>VALUE(10)</f>
        <v>10</v>
      </c>
      <c r="S320" s="31">
        <f>VALUE(9)</f>
        <v>9</v>
      </c>
      <c r="T320" s="31">
        <f>VALUE(9)</f>
        <v>9</v>
      </c>
      <c r="U320" s="31">
        <f>VALUE(0)</f>
        <v>0</v>
      </c>
      <c r="V320" s="31">
        <f>VALUE(0)</f>
        <v>0</v>
      </c>
      <c r="W320" s="31">
        <f>VALUE(11)</f>
        <v>11</v>
      </c>
      <c r="X320" s="31">
        <f>VALUE(11)</f>
        <v>11</v>
      </c>
      <c r="Y320" s="31">
        <f>VALUE(11)</f>
        <v>11</v>
      </c>
      <c r="Z320" s="31">
        <f>VALUE(9)</f>
        <v>9</v>
      </c>
      <c r="AA320" s="31">
        <f>VALUE(10)</f>
        <v>10</v>
      </c>
      <c r="AB320" s="31">
        <f>VALUE(0)</f>
        <v>0</v>
      </c>
      <c r="AC320" s="31">
        <f>VALUE(9)</f>
        <v>9</v>
      </c>
      <c r="AD320" s="31">
        <f>VALUE(9)</f>
        <v>9</v>
      </c>
      <c r="AE320" s="31">
        <f>VALUE(9)</f>
        <v>9</v>
      </c>
      <c r="AF320" s="31">
        <f>VALUE(9)</f>
        <v>9</v>
      </c>
      <c r="AG320" s="31">
        <f>VALUE(10)</f>
        <v>10</v>
      </c>
      <c r="AH320" s="31">
        <f>VALUE(10)</f>
        <v>10</v>
      </c>
      <c r="AI320" s="31">
        <f>VALUE(0)</f>
        <v>0</v>
      </c>
      <c r="AJ320" s="31">
        <f>VALUE(9)</f>
        <v>9</v>
      </c>
      <c r="AK320" s="31">
        <f>VALUE(9)</f>
        <v>9</v>
      </c>
      <c r="AL320" s="31">
        <f>VALUE(9)</f>
        <v>9</v>
      </c>
      <c r="AM320" s="31">
        <f>VALUE(9)</f>
        <v>9</v>
      </c>
      <c r="AN320" s="31">
        <f>VALUE(8)</f>
        <v>8</v>
      </c>
      <c r="AO320" s="31">
        <f>VALUE(8)</f>
        <v>8</v>
      </c>
      <c r="AP320" s="31">
        <v>0</v>
      </c>
      <c r="AQ320" s="31">
        <v>0</v>
      </c>
      <c r="AR320" s="31">
        <v>0</v>
      </c>
      <c r="AS320" s="31">
        <v>0</v>
      </c>
      <c r="AT320" s="31">
        <v>0</v>
      </c>
      <c r="AU320" s="31">
        <v>0</v>
      </c>
      <c r="AV320" s="31">
        <v>0</v>
      </c>
      <c r="AW320" s="31">
        <v>0</v>
      </c>
      <c r="AX320" s="31">
        <v>0</v>
      </c>
      <c r="AY320" s="31">
        <v>0</v>
      </c>
      <c r="AZ320" s="31">
        <v>0</v>
      </c>
      <c r="BA320" s="31">
        <v>0</v>
      </c>
      <c r="BB320" s="31">
        <v>0</v>
      </c>
      <c r="BC320" s="31">
        <v>0</v>
      </c>
      <c r="BD320" s="31">
        <v>0</v>
      </c>
      <c r="BE320" s="31">
        <v>0</v>
      </c>
      <c r="BF320" s="31">
        <v>0</v>
      </c>
      <c r="BG320" s="31">
        <v>0</v>
      </c>
      <c r="BH320" s="31">
        <v>0</v>
      </c>
      <c r="BI320" s="31">
        <v>0</v>
      </c>
      <c r="BJ320" s="31">
        <v>0</v>
      </c>
      <c r="BK320" s="12">
        <v>0</v>
      </c>
      <c r="BL320" s="12">
        <v>0</v>
      </c>
      <c r="BM320" s="12">
        <v>0</v>
      </c>
      <c r="BN320" s="12"/>
      <c r="BO320" s="12">
        <v>0</v>
      </c>
      <c r="BP320" s="12">
        <v>0</v>
      </c>
      <c r="BQ320" s="12">
        <v>0</v>
      </c>
      <c r="BR320" s="12">
        <v>0</v>
      </c>
      <c r="BS320" s="12">
        <v>0</v>
      </c>
      <c r="BT320" s="12">
        <v>0</v>
      </c>
      <c r="BU320" s="12">
        <v>0</v>
      </c>
      <c r="BV320" s="12">
        <v>0</v>
      </c>
      <c r="BW320" s="12">
        <v>0</v>
      </c>
      <c r="BX320" s="12">
        <v>0</v>
      </c>
      <c r="BY320" s="12">
        <v>0</v>
      </c>
      <c r="BZ320" s="12">
        <v>0</v>
      </c>
      <c r="CA320" s="12">
        <v>0</v>
      </c>
    </row>
    <row r="321" spans="1:79" ht="16.5" hidden="1" x14ac:dyDescent="0.2">
      <c r="A321" s="12" t="s">
        <v>141</v>
      </c>
      <c r="B321" s="12" t="s">
        <v>146</v>
      </c>
      <c r="C321" s="12" t="s">
        <v>146</v>
      </c>
      <c r="D321" s="22" t="s">
        <v>572</v>
      </c>
      <c r="E321" s="22" t="s">
        <v>173</v>
      </c>
      <c r="F321" s="22" t="s">
        <v>1109</v>
      </c>
      <c r="G321" s="22" t="s">
        <v>1110</v>
      </c>
      <c r="H321" s="22" t="s">
        <v>150</v>
      </c>
      <c r="I321" s="22" t="s">
        <v>151</v>
      </c>
      <c r="J321" s="22" t="s">
        <v>162</v>
      </c>
      <c r="K321" s="22" t="s">
        <v>100</v>
      </c>
      <c r="L321" s="54" t="s">
        <v>153</v>
      </c>
      <c r="M321" s="23" t="s">
        <v>1307</v>
      </c>
      <c r="N321" s="24" t="s">
        <v>153</v>
      </c>
      <c r="O321" s="23" t="s">
        <v>547</v>
      </c>
      <c r="P321" s="25" t="s">
        <v>552</v>
      </c>
      <c r="Q321" s="25" t="s">
        <v>552</v>
      </c>
      <c r="R321" s="25" t="s">
        <v>552</v>
      </c>
      <c r="S321" s="25" t="s">
        <v>552</v>
      </c>
      <c r="T321" s="25" t="s">
        <v>552</v>
      </c>
      <c r="U321" s="24" t="s">
        <v>153</v>
      </c>
      <c r="V321" s="54" t="s">
        <v>153</v>
      </c>
      <c r="W321" s="23" t="s">
        <v>153</v>
      </c>
      <c r="X321" s="23" t="s">
        <v>153</v>
      </c>
      <c r="Y321" s="23" t="s">
        <v>153</v>
      </c>
      <c r="Z321" s="23" t="s">
        <v>153</v>
      </c>
      <c r="AA321" s="26" t="s">
        <v>1314</v>
      </c>
      <c r="AB321" s="24" t="s">
        <v>153</v>
      </c>
      <c r="AC321" s="23" t="s">
        <v>552</v>
      </c>
      <c r="AD321" s="23" t="s">
        <v>552</v>
      </c>
      <c r="AE321" s="23" t="s">
        <v>552</v>
      </c>
      <c r="AF321" s="23" t="s">
        <v>552</v>
      </c>
      <c r="AG321" s="23" t="s">
        <v>552</v>
      </c>
      <c r="AH321" s="23" t="s">
        <v>552</v>
      </c>
      <c r="AI321" s="24" t="s">
        <v>153</v>
      </c>
      <c r="AJ321" s="24" t="s">
        <v>156</v>
      </c>
      <c r="AK321" s="24" t="s">
        <v>156</v>
      </c>
      <c r="AL321" s="23" t="s">
        <v>541</v>
      </c>
      <c r="AM321" s="23" t="s">
        <v>541</v>
      </c>
      <c r="AN321" s="23" t="s">
        <v>554</v>
      </c>
      <c r="AO321" s="23" t="s">
        <v>554</v>
      </c>
      <c r="AP321" s="23">
        <f>VALUE(23)</f>
        <v>23</v>
      </c>
      <c r="AQ321" s="23">
        <f>VALUE(0)</f>
        <v>0</v>
      </c>
      <c r="AR321" s="23">
        <f>VALUE(0)</f>
        <v>0</v>
      </c>
      <c r="AS321" s="23">
        <f>VALUE(0)</f>
        <v>0</v>
      </c>
      <c r="AT321" s="23">
        <f>VALUE(0)</f>
        <v>0</v>
      </c>
      <c r="AU321" s="23">
        <f>VALUE(0)</f>
        <v>0</v>
      </c>
      <c r="AV321" s="23">
        <f>VALUE(5)</f>
        <v>5</v>
      </c>
      <c r="AW321" s="23">
        <f>VALUE(0)</f>
        <v>0</v>
      </c>
      <c r="AX321" s="23">
        <f>VALUE(0)</f>
        <v>0</v>
      </c>
      <c r="AY321" s="23">
        <f>VALUE(0)</f>
        <v>0</v>
      </c>
      <c r="AZ321" s="23">
        <f>VALUE(0)</f>
        <v>0</v>
      </c>
      <c r="BA321" s="23">
        <f>VALUE(0)</f>
        <v>0</v>
      </c>
      <c r="BB321" s="23">
        <f>VALUE(0)</f>
        <v>0</v>
      </c>
      <c r="BC321" s="23">
        <f>VALUE(0)</f>
        <v>0</v>
      </c>
      <c r="BD321" s="23">
        <f>VALUE(0)</f>
        <v>0</v>
      </c>
      <c r="BE321" s="23">
        <f>VALUE(0)</f>
        <v>0</v>
      </c>
      <c r="BF321" s="23">
        <f>VALUE(0)</f>
        <v>0</v>
      </c>
      <c r="BG321" s="23">
        <f>VALUE(0)</f>
        <v>0</v>
      </c>
      <c r="BH321" s="23">
        <f>VALUE(0)</f>
        <v>0</v>
      </c>
      <c r="BI321" s="23">
        <f>VALUE(0)</f>
        <v>0</v>
      </c>
      <c r="BJ321" s="23">
        <f>VALUE(0)</f>
        <v>0</v>
      </c>
      <c r="BK321" s="12">
        <f>$AX$321*24</f>
        <v>0</v>
      </c>
      <c r="BL321" s="12">
        <f>$AY$321*24</f>
        <v>0</v>
      </c>
      <c r="BM321" s="12">
        <f>$BJ$321*24</f>
        <v>0</v>
      </c>
      <c r="BN321" s="12">
        <f>VALUE($I$321)/100</f>
        <v>1</v>
      </c>
      <c r="BO321" s="12">
        <v>0</v>
      </c>
      <c r="BP321" s="12">
        <v>0</v>
      </c>
      <c r="BQ321" s="12">
        <v>0</v>
      </c>
      <c r="BR321" s="12">
        <v>0</v>
      </c>
      <c r="BS321" s="12">
        <v>0</v>
      </c>
      <c r="BT321" s="12">
        <v>0</v>
      </c>
      <c r="BU321" s="12">
        <v>0</v>
      </c>
      <c r="BV321" s="12">
        <v>0</v>
      </c>
      <c r="BW321" s="12">
        <v>0</v>
      </c>
      <c r="BX321" s="12">
        <v>0</v>
      </c>
      <c r="BY321" s="12">
        <v>0</v>
      </c>
      <c r="BZ321" s="12">
        <v>0</v>
      </c>
      <c r="CA321" s="12">
        <v>0</v>
      </c>
    </row>
    <row r="322" spans="1:79" x14ac:dyDescent="0.2">
      <c r="A322" s="12" t="s">
        <v>141</v>
      </c>
      <c r="B322" s="12" t="s">
        <v>146</v>
      </c>
      <c r="C322" s="12" t="s">
        <v>146</v>
      </c>
      <c r="D322" s="22" t="s">
        <v>435</v>
      </c>
      <c r="E322" s="22" t="s">
        <v>173</v>
      </c>
      <c r="F322" s="22" t="s">
        <v>1111</v>
      </c>
      <c r="G322" s="22" t="s">
        <v>1112</v>
      </c>
      <c r="H322" s="22" t="s">
        <v>150</v>
      </c>
      <c r="I322" s="22" t="s">
        <v>151</v>
      </c>
      <c r="J322" s="22" t="s">
        <v>162</v>
      </c>
      <c r="K322" s="22" t="s">
        <v>100</v>
      </c>
      <c r="L322" s="54" t="s">
        <v>153</v>
      </c>
      <c r="M322" s="23" t="s">
        <v>559</v>
      </c>
      <c r="N322" s="24" t="s">
        <v>153</v>
      </c>
      <c r="O322" s="23" t="s">
        <v>559</v>
      </c>
      <c r="P322" s="23" t="s">
        <v>559</v>
      </c>
      <c r="Q322" s="23" t="s">
        <v>559</v>
      </c>
      <c r="R322" s="23" t="s">
        <v>559</v>
      </c>
      <c r="S322" s="23" t="s">
        <v>559</v>
      </c>
      <c r="T322" s="23" t="s">
        <v>559</v>
      </c>
      <c r="U322" s="24" t="s">
        <v>153</v>
      </c>
      <c r="V322" s="54" t="s">
        <v>153</v>
      </c>
      <c r="W322" s="23" t="s">
        <v>153</v>
      </c>
      <c r="X322" s="23" t="s">
        <v>153</v>
      </c>
      <c r="Y322" s="23" t="s">
        <v>153</v>
      </c>
      <c r="Z322" s="23" t="s">
        <v>153</v>
      </c>
      <c r="AA322" s="23" t="s">
        <v>153</v>
      </c>
      <c r="AB322" s="24" t="s">
        <v>153</v>
      </c>
      <c r="AC322" s="23" t="s">
        <v>559</v>
      </c>
      <c r="AD322" s="23" t="s">
        <v>559</v>
      </c>
      <c r="AE322" s="29" t="s">
        <v>1175</v>
      </c>
      <c r="AF322" s="29" t="s">
        <v>1175</v>
      </c>
      <c r="AG322" s="24" t="s">
        <v>156</v>
      </c>
      <c r="AH322" s="24" t="s">
        <v>156</v>
      </c>
      <c r="AI322" s="24" t="s">
        <v>153</v>
      </c>
      <c r="AJ322" s="23" t="s">
        <v>559</v>
      </c>
      <c r="AK322" s="23" t="s">
        <v>559</v>
      </c>
      <c r="AL322" s="23" t="s">
        <v>559</v>
      </c>
      <c r="AM322" s="23" t="s">
        <v>559</v>
      </c>
      <c r="AN322" s="23" t="s">
        <v>559</v>
      </c>
      <c r="AO322" s="23" t="s">
        <v>559</v>
      </c>
      <c r="AP322" s="23">
        <f>VALUE(35)</f>
        <v>35</v>
      </c>
      <c r="AQ322" s="23">
        <f>VALUE(0)</f>
        <v>0</v>
      </c>
      <c r="AR322" s="23">
        <f>VALUE(2)</f>
        <v>2</v>
      </c>
      <c r="AS322" s="23">
        <f>VALUE(0)</f>
        <v>0</v>
      </c>
      <c r="AT322" s="23">
        <f>VALUE(0)</f>
        <v>0</v>
      </c>
      <c r="AU322" s="23">
        <f>VALUE(0)</f>
        <v>0</v>
      </c>
      <c r="AV322" s="23">
        <f>VALUE(11)</f>
        <v>11</v>
      </c>
      <c r="AW322" s="23">
        <f>VALUE(0)</f>
        <v>0</v>
      </c>
      <c r="AX322" s="23">
        <f>VALUE(0)</f>
        <v>0</v>
      </c>
      <c r="AY322" s="23">
        <f>VALUE(0)</f>
        <v>0</v>
      </c>
      <c r="AZ322" s="23">
        <f>VALUE(0)</f>
        <v>0</v>
      </c>
      <c r="BA322" s="23">
        <f>VALUE(0)</f>
        <v>0</v>
      </c>
      <c r="BB322" s="23">
        <f>VALUE(0)</f>
        <v>0</v>
      </c>
      <c r="BC322" s="23">
        <f>VALUE(0)</f>
        <v>0</v>
      </c>
      <c r="BD322" s="23">
        <f>VALUE(0)</f>
        <v>0</v>
      </c>
      <c r="BE322" s="23">
        <f>VALUE(0)</f>
        <v>0</v>
      </c>
      <c r="BF322" s="23">
        <f>VALUE(0)</f>
        <v>0</v>
      </c>
      <c r="BG322" s="23">
        <f>VALUE(0)</f>
        <v>0</v>
      </c>
      <c r="BH322" s="23">
        <f>VALUE(0)</f>
        <v>0</v>
      </c>
      <c r="BI322" s="23">
        <f>VALUE(0)</f>
        <v>0</v>
      </c>
      <c r="BJ322" s="23">
        <f>VALUE(0)</f>
        <v>0</v>
      </c>
      <c r="BK322" s="12">
        <f>$AX$322*24</f>
        <v>0</v>
      </c>
      <c r="BL322" s="12">
        <f>$AY$322*24</f>
        <v>0</v>
      </c>
      <c r="BM322" s="12">
        <f>$BJ$322*24</f>
        <v>0</v>
      </c>
      <c r="BN322" s="12">
        <f>VALUE($I$322)/100</f>
        <v>1</v>
      </c>
      <c r="BO322" s="12">
        <v>0</v>
      </c>
      <c r="BP322" s="12">
        <v>0</v>
      </c>
      <c r="BQ322" s="12">
        <v>0</v>
      </c>
      <c r="BR322" s="12">
        <v>0</v>
      </c>
      <c r="BS322" s="12">
        <v>0</v>
      </c>
      <c r="BT322" s="12">
        <v>0</v>
      </c>
      <c r="BU322" s="12">
        <v>0</v>
      </c>
      <c r="BV322" s="12">
        <v>2</v>
      </c>
      <c r="BW322" s="12">
        <v>0</v>
      </c>
      <c r="BX322" s="12">
        <v>0</v>
      </c>
      <c r="BY322" s="12">
        <v>0</v>
      </c>
      <c r="BZ322" s="12">
        <v>0</v>
      </c>
      <c r="CA322" s="12">
        <v>0</v>
      </c>
    </row>
    <row r="323" spans="1:79" ht="15" hidden="1" x14ac:dyDescent="0.25">
      <c r="A323" s="12" t="s">
        <v>141</v>
      </c>
      <c r="B323" s="12" t="s">
        <v>146</v>
      </c>
      <c r="C323" s="12" t="s">
        <v>146</v>
      </c>
      <c r="D323" s="31" t="s">
        <v>246</v>
      </c>
      <c r="E323" s="31" t="s">
        <v>153</v>
      </c>
      <c r="F323" s="31" t="s">
        <v>175</v>
      </c>
      <c r="G323" s="31" t="s">
        <v>153</v>
      </c>
      <c r="H323" s="31" t="s">
        <v>153</v>
      </c>
      <c r="I323" s="31" t="s">
        <v>153</v>
      </c>
      <c r="J323" s="31" t="s">
        <v>153</v>
      </c>
      <c r="K323" s="31" t="s">
        <v>153</v>
      </c>
      <c r="L323" s="31">
        <f>VALUE(0)</f>
        <v>0</v>
      </c>
      <c r="M323" s="31">
        <f>VALUE(2)</f>
        <v>2</v>
      </c>
      <c r="N323" s="31">
        <f>VALUE(0)</f>
        <v>0</v>
      </c>
      <c r="O323" s="31">
        <f>VALUE(2)</f>
        <v>2</v>
      </c>
      <c r="P323" s="31">
        <f>VALUE(2)</f>
        <v>2</v>
      </c>
      <c r="Q323" s="31">
        <f>VALUE(2)</f>
        <v>2</v>
      </c>
      <c r="R323" s="31">
        <f>VALUE(2)</f>
        <v>2</v>
      </c>
      <c r="S323" s="31">
        <f>VALUE(2)</f>
        <v>2</v>
      </c>
      <c r="T323" s="31">
        <f>VALUE(2)</f>
        <v>2</v>
      </c>
      <c r="U323" s="31">
        <f>VALUE(0)</f>
        <v>0</v>
      </c>
      <c r="V323" s="31">
        <f>VALUE(0)</f>
        <v>0</v>
      </c>
      <c r="W323" s="31">
        <f>VALUE(2)</f>
        <v>2</v>
      </c>
      <c r="X323" s="31">
        <f>VALUE(2)</f>
        <v>2</v>
      </c>
      <c r="Y323" s="31">
        <f>VALUE(2)</f>
        <v>2</v>
      </c>
      <c r="Z323" s="31">
        <f>VALUE(2)</f>
        <v>2</v>
      </c>
      <c r="AA323" s="31">
        <f>VALUE(2)</f>
        <v>2</v>
      </c>
      <c r="AB323" s="31">
        <f>VALUE(0)</f>
        <v>0</v>
      </c>
      <c r="AC323" s="31">
        <f>VALUE(2)</f>
        <v>2</v>
      </c>
      <c r="AD323" s="31">
        <f>VALUE(2)</f>
        <v>2</v>
      </c>
      <c r="AE323" s="31">
        <f>VALUE(1)</f>
        <v>1</v>
      </c>
      <c r="AF323" s="31">
        <f>VALUE(1)</f>
        <v>1</v>
      </c>
      <c r="AG323" s="31">
        <f>VALUE(1)</f>
        <v>1</v>
      </c>
      <c r="AH323" s="31">
        <f>VALUE(1)</f>
        <v>1</v>
      </c>
      <c r="AI323" s="31">
        <f>VALUE(0)</f>
        <v>0</v>
      </c>
      <c r="AJ323" s="31">
        <f>VALUE(1)</f>
        <v>1</v>
      </c>
      <c r="AK323" s="31">
        <f>VALUE(1)</f>
        <v>1</v>
      </c>
      <c r="AL323" s="31">
        <f>VALUE(2)</f>
        <v>2</v>
      </c>
      <c r="AM323" s="31">
        <f>VALUE(2)</f>
        <v>2</v>
      </c>
      <c r="AN323" s="31">
        <f>VALUE(2)</f>
        <v>2</v>
      </c>
      <c r="AO323" s="31">
        <f>VALUE(2)</f>
        <v>2</v>
      </c>
      <c r="AP323" s="31">
        <v>0</v>
      </c>
      <c r="AQ323" s="31">
        <v>0</v>
      </c>
      <c r="AR323" s="31">
        <v>0</v>
      </c>
      <c r="AS323" s="31">
        <v>0</v>
      </c>
      <c r="AT323" s="31">
        <v>0</v>
      </c>
      <c r="AU323" s="31">
        <v>0</v>
      </c>
      <c r="AV323" s="31">
        <v>0</v>
      </c>
      <c r="AW323" s="31">
        <v>0</v>
      </c>
      <c r="AX323" s="31">
        <v>0</v>
      </c>
      <c r="AY323" s="31">
        <v>0</v>
      </c>
      <c r="AZ323" s="31">
        <v>0</v>
      </c>
      <c r="BA323" s="31">
        <v>0</v>
      </c>
      <c r="BB323" s="31">
        <v>0</v>
      </c>
      <c r="BC323" s="31">
        <v>0</v>
      </c>
      <c r="BD323" s="31">
        <v>0</v>
      </c>
      <c r="BE323" s="31">
        <v>0</v>
      </c>
      <c r="BF323" s="31">
        <v>0</v>
      </c>
      <c r="BG323" s="31">
        <v>0</v>
      </c>
      <c r="BH323" s="31">
        <v>0</v>
      </c>
      <c r="BI323" s="31">
        <v>0</v>
      </c>
      <c r="BJ323" s="31">
        <v>0</v>
      </c>
      <c r="BK323" s="12">
        <v>0</v>
      </c>
      <c r="BL323" s="12">
        <v>0</v>
      </c>
      <c r="BM323" s="12">
        <v>0</v>
      </c>
      <c r="BN323" s="12"/>
      <c r="BO323" s="12">
        <v>0</v>
      </c>
      <c r="BP323" s="12">
        <v>0</v>
      </c>
      <c r="BQ323" s="12">
        <v>0</v>
      </c>
      <c r="BR323" s="12">
        <v>0</v>
      </c>
      <c r="BS323" s="12">
        <v>0</v>
      </c>
      <c r="BT323" s="12">
        <v>0</v>
      </c>
      <c r="BU323" s="12">
        <v>0</v>
      </c>
      <c r="BV323" s="12">
        <v>0</v>
      </c>
      <c r="BW323" s="12">
        <v>0</v>
      </c>
      <c r="BX323" s="12">
        <v>0</v>
      </c>
      <c r="BY323" s="12">
        <v>0</v>
      </c>
      <c r="BZ323" s="12">
        <v>0</v>
      </c>
      <c r="CA323" s="12">
        <v>0</v>
      </c>
    </row>
    <row r="324" spans="1:79" hidden="1" x14ac:dyDescent="0.2">
      <c r="A324" s="12" t="s">
        <v>147</v>
      </c>
      <c r="B324" s="12" t="s">
        <v>148</v>
      </c>
      <c r="C324" s="12" t="s">
        <v>148</v>
      </c>
      <c r="D324" s="22" t="s">
        <v>573</v>
      </c>
      <c r="E324" s="22" t="s">
        <v>161</v>
      </c>
      <c r="F324" s="22" t="s">
        <v>1113</v>
      </c>
      <c r="G324" s="22" t="s">
        <v>1114</v>
      </c>
      <c r="H324" s="22" t="s">
        <v>166</v>
      </c>
      <c r="I324" s="22" t="s">
        <v>151</v>
      </c>
      <c r="J324" s="22" t="s">
        <v>162</v>
      </c>
      <c r="K324" s="22" t="s">
        <v>101</v>
      </c>
      <c r="L324" s="54" t="s">
        <v>153</v>
      </c>
      <c r="M324" s="23" t="s">
        <v>153</v>
      </c>
      <c r="N324" s="24" t="s">
        <v>153</v>
      </c>
      <c r="O324" s="23" t="s">
        <v>153</v>
      </c>
      <c r="P324" s="23" t="s">
        <v>153</v>
      </c>
      <c r="Q324" s="23" t="s">
        <v>153</v>
      </c>
      <c r="R324" s="23" t="s">
        <v>153</v>
      </c>
      <c r="S324" s="23" t="s">
        <v>153</v>
      </c>
      <c r="T324" s="23" t="s">
        <v>153</v>
      </c>
      <c r="U324" s="24" t="s">
        <v>153</v>
      </c>
      <c r="V324" s="54" t="s">
        <v>153</v>
      </c>
      <c r="W324" s="23" t="s">
        <v>153</v>
      </c>
      <c r="X324" s="23" t="s">
        <v>153</v>
      </c>
      <c r="Y324" s="23" t="s">
        <v>153</v>
      </c>
      <c r="Z324" s="23" t="s">
        <v>153</v>
      </c>
      <c r="AA324" s="23" t="s">
        <v>153</v>
      </c>
      <c r="AB324" s="24" t="s">
        <v>153</v>
      </c>
      <c r="AC324" s="23" t="s">
        <v>153</v>
      </c>
      <c r="AD324" s="23" t="s">
        <v>153</v>
      </c>
      <c r="AE324" s="23" t="s">
        <v>153</v>
      </c>
      <c r="AF324" s="24" t="s">
        <v>156</v>
      </c>
      <c r="AG324" s="24" t="s">
        <v>156</v>
      </c>
      <c r="AH324" s="24" t="s">
        <v>156</v>
      </c>
      <c r="AI324" s="24" t="s">
        <v>153</v>
      </c>
      <c r="AJ324" s="28" t="s">
        <v>338</v>
      </c>
      <c r="AK324" s="28" t="s">
        <v>338</v>
      </c>
      <c r="AL324" s="28" t="s">
        <v>338</v>
      </c>
      <c r="AM324" s="23" t="s">
        <v>153</v>
      </c>
      <c r="AN324" s="23" t="s">
        <v>153</v>
      </c>
      <c r="AO324" s="23" t="s">
        <v>153</v>
      </c>
      <c r="AP324" s="23">
        <f>VALUE(6)</f>
        <v>6</v>
      </c>
      <c r="AQ324" s="23">
        <f>VALUE(0)</f>
        <v>0</v>
      </c>
      <c r="AR324" s="23">
        <f>VALUE(0)</f>
        <v>0</v>
      </c>
      <c r="AS324" s="23">
        <f>VALUE(0)</f>
        <v>0</v>
      </c>
      <c r="AT324" s="23">
        <f>VALUE(3)</f>
        <v>3</v>
      </c>
      <c r="AU324" s="23">
        <f>VALUE(0)</f>
        <v>0</v>
      </c>
      <c r="AV324" s="23">
        <f>VALUE(5.5)</f>
        <v>5.5</v>
      </c>
      <c r="AW324" s="23">
        <f>VALUE(0)</f>
        <v>0</v>
      </c>
      <c r="AX324" s="23" t="s">
        <v>504</v>
      </c>
      <c r="AY324" s="23">
        <f>VALUE(0)</f>
        <v>0</v>
      </c>
      <c r="AZ324" s="23">
        <f>VALUE(0)</f>
        <v>0</v>
      </c>
      <c r="BA324" s="23">
        <f>VALUE(0)</f>
        <v>0</v>
      </c>
      <c r="BB324" s="23">
        <f>VALUE(0)</f>
        <v>0</v>
      </c>
      <c r="BC324" s="23">
        <f>VALUE(0)</f>
        <v>0</v>
      </c>
      <c r="BD324" s="23">
        <f>VALUE(0)</f>
        <v>0</v>
      </c>
      <c r="BE324" s="23">
        <f>VALUE(0)</f>
        <v>0</v>
      </c>
      <c r="BF324" s="23">
        <f>VALUE(0)</f>
        <v>0</v>
      </c>
      <c r="BG324" s="23">
        <f>VALUE(0)</f>
        <v>0</v>
      </c>
      <c r="BH324" s="23">
        <f>VALUE(0)</f>
        <v>0</v>
      </c>
      <c r="BI324" s="23">
        <f>VALUE(0)</f>
        <v>0</v>
      </c>
      <c r="BJ324" s="23">
        <f>VALUE(0)</f>
        <v>0</v>
      </c>
      <c r="BK324" s="12">
        <f>$AX$324*24</f>
        <v>23.783333333333335</v>
      </c>
      <c r="BL324" s="12">
        <f>$AY$324*24</f>
        <v>0</v>
      </c>
      <c r="BM324" s="12">
        <f>$BJ$324*24</f>
        <v>0</v>
      </c>
      <c r="BN324" s="12">
        <f>VALUE($I$324)/100</f>
        <v>1</v>
      </c>
      <c r="BO324" s="12">
        <v>0</v>
      </c>
      <c r="BP324" s="12">
        <v>0</v>
      </c>
      <c r="BQ324" s="12">
        <v>0</v>
      </c>
      <c r="BR324" s="12">
        <v>0</v>
      </c>
      <c r="BS324" s="12">
        <v>0</v>
      </c>
      <c r="BT324" s="12">
        <v>0</v>
      </c>
      <c r="BU324" s="12">
        <v>0</v>
      </c>
      <c r="BV324" s="12">
        <v>0</v>
      </c>
      <c r="BW324" s="12">
        <v>0</v>
      </c>
      <c r="BX324" s="12">
        <v>0</v>
      </c>
      <c r="BY324" s="12">
        <v>3</v>
      </c>
      <c r="BZ324" s="12">
        <v>0</v>
      </c>
      <c r="CA324" s="12">
        <v>0</v>
      </c>
    </row>
    <row r="325" spans="1:79" hidden="1" x14ac:dyDescent="0.2">
      <c r="A325" s="12" t="s">
        <v>147</v>
      </c>
      <c r="B325" s="12" t="s">
        <v>148</v>
      </c>
      <c r="C325" s="12" t="s">
        <v>148</v>
      </c>
      <c r="D325" s="22" t="s">
        <v>574</v>
      </c>
      <c r="E325" s="22" t="s">
        <v>161</v>
      </c>
      <c r="F325" s="22" t="s">
        <v>1115</v>
      </c>
      <c r="G325" s="22" t="s">
        <v>1116</v>
      </c>
      <c r="H325" s="22" t="s">
        <v>190</v>
      </c>
      <c r="I325" s="22" t="s">
        <v>151</v>
      </c>
      <c r="J325" s="22" t="s">
        <v>162</v>
      </c>
      <c r="K325" s="22" t="s">
        <v>101</v>
      </c>
      <c r="L325" s="54" t="s">
        <v>153</v>
      </c>
      <c r="M325" s="23" t="s">
        <v>153</v>
      </c>
      <c r="N325" s="24" t="s">
        <v>153</v>
      </c>
      <c r="O325" s="23" t="s">
        <v>153</v>
      </c>
      <c r="P325" s="23" t="s">
        <v>153</v>
      </c>
      <c r="Q325" s="23" t="s">
        <v>153</v>
      </c>
      <c r="R325" s="23" t="s">
        <v>153</v>
      </c>
      <c r="S325" s="23" t="s">
        <v>153</v>
      </c>
      <c r="T325" s="23" t="s">
        <v>153</v>
      </c>
      <c r="U325" s="40" t="s">
        <v>153</v>
      </c>
      <c r="V325" s="40" t="s">
        <v>153</v>
      </c>
      <c r="W325" s="40" t="s">
        <v>153</v>
      </c>
      <c r="X325" s="40" t="s">
        <v>153</v>
      </c>
      <c r="Y325" s="40" t="s">
        <v>153</v>
      </c>
      <c r="Z325" s="40" t="s">
        <v>153</v>
      </c>
      <c r="AA325" s="40" t="s">
        <v>153</v>
      </c>
      <c r="AB325" s="40" t="s">
        <v>153</v>
      </c>
      <c r="AC325" s="40" t="s">
        <v>153</v>
      </c>
      <c r="AD325" s="40" t="s">
        <v>153</v>
      </c>
      <c r="AE325" s="40" t="s">
        <v>153</v>
      </c>
      <c r="AF325" s="40" t="s">
        <v>153</v>
      </c>
      <c r="AG325" s="40" t="s">
        <v>153</v>
      </c>
      <c r="AH325" s="40" t="s">
        <v>153</v>
      </c>
      <c r="AI325" s="40" t="s">
        <v>153</v>
      </c>
      <c r="AJ325" s="40" t="s">
        <v>153</v>
      </c>
      <c r="AK325" s="40" t="s">
        <v>153</v>
      </c>
      <c r="AL325" s="40" t="s">
        <v>153</v>
      </c>
      <c r="AM325" s="40" t="s">
        <v>153</v>
      </c>
      <c r="AN325" s="40" t="s">
        <v>153</v>
      </c>
      <c r="AO325" s="40" t="s">
        <v>153</v>
      </c>
      <c r="AP325" s="23">
        <f>VALUE(0)</f>
        <v>0</v>
      </c>
      <c r="AQ325" s="23">
        <f>VALUE(0)</f>
        <v>0</v>
      </c>
      <c r="AR325" s="23">
        <f>VALUE(0)</f>
        <v>0</v>
      </c>
      <c r="AS325" s="23">
        <f>VALUE(0)</f>
        <v>0</v>
      </c>
      <c r="AT325" s="23">
        <f>VALUE(0)</f>
        <v>0</v>
      </c>
      <c r="AU325" s="23">
        <f>VALUE(0)</f>
        <v>0</v>
      </c>
      <c r="AV325" s="23">
        <f>VALUE(2)</f>
        <v>2</v>
      </c>
      <c r="AW325" s="23">
        <f>VALUE(0)</f>
        <v>0</v>
      </c>
      <c r="AX325" s="23">
        <f>VALUE(0)</f>
        <v>0</v>
      </c>
      <c r="AY325" s="23">
        <f>VALUE(0)</f>
        <v>0</v>
      </c>
      <c r="AZ325" s="23">
        <f>VALUE(0)</f>
        <v>0</v>
      </c>
      <c r="BA325" s="23">
        <f>VALUE(0)</f>
        <v>0</v>
      </c>
      <c r="BB325" s="23">
        <f>VALUE(0)</f>
        <v>0</v>
      </c>
      <c r="BC325" s="23">
        <f>VALUE(0)</f>
        <v>0</v>
      </c>
      <c r="BD325" s="23">
        <f>VALUE(0)</f>
        <v>0</v>
      </c>
      <c r="BE325" s="23">
        <f>VALUE(0)</f>
        <v>0</v>
      </c>
      <c r="BF325" s="23">
        <f>VALUE(0)</f>
        <v>0</v>
      </c>
      <c r="BG325" s="23">
        <f>VALUE(0)</f>
        <v>0</v>
      </c>
      <c r="BH325" s="23">
        <f>VALUE(0)</f>
        <v>0</v>
      </c>
      <c r="BI325" s="23">
        <f>VALUE(0)</f>
        <v>0</v>
      </c>
      <c r="BJ325" s="23">
        <f>VALUE(0)</f>
        <v>0</v>
      </c>
      <c r="BK325" s="12">
        <f>$AX$325*24</f>
        <v>0</v>
      </c>
      <c r="BL325" s="12">
        <f>$AY$325*24</f>
        <v>0</v>
      </c>
      <c r="BM325" s="12">
        <f>$BJ$325*24</f>
        <v>0</v>
      </c>
      <c r="BN325" s="12">
        <f>VALUE($I$325)/100</f>
        <v>1</v>
      </c>
      <c r="BO325" s="12">
        <v>0</v>
      </c>
      <c r="BP325" s="12">
        <v>0</v>
      </c>
      <c r="BQ325" s="12">
        <v>0</v>
      </c>
      <c r="BR325" s="12">
        <v>0</v>
      </c>
      <c r="BS325" s="12">
        <v>0</v>
      </c>
      <c r="BT325" s="12">
        <v>0</v>
      </c>
      <c r="BU325" s="12">
        <v>0</v>
      </c>
      <c r="BV325" s="12">
        <v>0</v>
      </c>
      <c r="BW325" s="12">
        <v>0</v>
      </c>
      <c r="BX325" s="12">
        <v>0</v>
      </c>
      <c r="BY325" s="12">
        <v>0</v>
      </c>
      <c r="BZ325" s="12">
        <v>0</v>
      </c>
      <c r="CA325" s="12">
        <v>0</v>
      </c>
    </row>
    <row r="326" spans="1:79" hidden="1" x14ac:dyDescent="0.2">
      <c r="A326" s="12" t="s">
        <v>147</v>
      </c>
      <c r="B326" s="12" t="s">
        <v>148</v>
      </c>
      <c r="C326" s="12" t="s">
        <v>148</v>
      </c>
      <c r="D326" s="22" t="s">
        <v>575</v>
      </c>
      <c r="E326" s="22" t="s">
        <v>161</v>
      </c>
      <c r="F326" s="22" t="s">
        <v>1315</v>
      </c>
      <c r="G326" s="22" t="s">
        <v>1117</v>
      </c>
      <c r="H326" s="22" t="s">
        <v>150</v>
      </c>
      <c r="I326" s="22" t="s">
        <v>151</v>
      </c>
      <c r="J326" s="22" t="s">
        <v>162</v>
      </c>
      <c r="K326" s="22" t="s">
        <v>101</v>
      </c>
      <c r="L326" s="54" t="s">
        <v>153</v>
      </c>
      <c r="M326" s="28" t="s">
        <v>163</v>
      </c>
      <c r="N326" s="24" t="s">
        <v>153</v>
      </c>
      <c r="O326" s="28" t="s">
        <v>163</v>
      </c>
      <c r="P326" s="28" t="s">
        <v>163</v>
      </c>
      <c r="Q326" s="28" t="s">
        <v>163</v>
      </c>
      <c r="R326" s="28" t="s">
        <v>163</v>
      </c>
      <c r="S326" s="28" t="s">
        <v>163</v>
      </c>
      <c r="T326" s="28" t="s">
        <v>163</v>
      </c>
      <c r="U326" s="24" t="s">
        <v>153</v>
      </c>
      <c r="V326" s="54" t="s">
        <v>153</v>
      </c>
      <c r="W326" s="23" t="s">
        <v>153</v>
      </c>
      <c r="X326" s="23" t="s">
        <v>153</v>
      </c>
      <c r="Y326" s="23" t="s">
        <v>153</v>
      </c>
      <c r="Z326" s="23" t="s">
        <v>153</v>
      </c>
      <c r="AA326" s="23" t="s">
        <v>153</v>
      </c>
      <c r="AB326" s="24" t="s">
        <v>153</v>
      </c>
      <c r="AC326" s="23" t="s">
        <v>153</v>
      </c>
      <c r="AD326" s="23" t="s">
        <v>153</v>
      </c>
      <c r="AE326" s="23" t="s">
        <v>153</v>
      </c>
      <c r="AF326" s="23" t="s">
        <v>153</v>
      </c>
      <c r="AG326" s="23" t="s">
        <v>153</v>
      </c>
      <c r="AH326" s="23" t="s">
        <v>153</v>
      </c>
      <c r="AI326" s="24" t="s">
        <v>153</v>
      </c>
      <c r="AJ326" s="23" t="s">
        <v>153</v>
      </c>
      <c r="AK326" s="23" t="s">
        <v>153</v>
      </c>
      <c r="AL326" s="23" t="s">
        <v>153</v>
      </c>
      <c r="AM326" s="23" t="s">
        <v>153</v>
      </c>
      <c r="AN326" s="23" t="s">
        <v>153</v>
      </c>
      <c r="AO326" s="23" t="s">
        <v>153</v>
      </c>
      <c r="AP326" s="23">
        <f>VALUE(7)</f>
        <v>7</v>
      </c>
      <c r="AQ326" s="23">
        <f>VALUE(0)</f>
        <v>0</v>
      </c>
      <c r="AR326" s="23">
        <f>VALUE(0)</f>
        <v>0</v>
      </c>
      <c r="AS326" s="23">
        <f>VALUE(0)</f>
        <v>0</v>
      </c>
      <c r="AT326" s="23">
        <f>VALUE(0)</f>
        <v>0</v>
      </c>
      <c r="AU326" s="23">
        <f>VALUE(7)</f>
        <v>7</v>
      </c>
      <c r="AV326" s="23">
        <f>VALUE(0)</f>
        <v>0</v>
      </c>
      <c r="AW326" s="23">
        <f>VALUE(0)</f>
        <v>0</v>
      </c>
      <c r="AX326" s="23" t="s">
        <v>176</v>
      </c>
      <c r="AY326" s="23" t="s">
        <v>571</v>
      </c>
      <c r="AZ326" s="23">
        <f>VALUE(0)</f>
        <v>0</v>
      </c>
      <c r="BA326" s="23">
        <f>VALUE(0)</f>
        <v>0</v>
      </c>
      <c r="BB326" s="23">
        <f>VALUE(0)</f>
        <v>0</v>
      </c>
      <c r="BC326" s="23">
        <f>VALUE(0)</f>
        <v>0</v>
      </c>
      <c r="BD326" s="23">
        <f>VALUE(0)</f>
        <v>0</v>
      </c>
      <c r="BE326" s="23">
        <f>VALUE(0)</f>
        <v>0</v>
      </c>
      <c r="BF326" s="23">
        <f>VALUE(0)</f>
        <v>0</v>
      </c>
      <c r="BG326" s="23">
        <f>VALUE(0)</f>
        <v>0</v>
      </c>
      <c r="BH326" s="23">
        <f>VALUE(0)</f>
        <v>0</v>
      </c>
      <c r="BI326" s="23">
        <f>VALUE(0)</f>
        <v>0</v>
      </c>
      <c r="BJ326" s="23">
        <f>VALUE(0)</f>
        <v>0</v>
      </c>
      <c r="BK326" s="12">
        <f>$AX$326*24</f>
        <v>0</v>
      </c>
      <c r="BL326" s="12">
        <f>$AY$326*24</f>
        <v>3.1000000000000005</v>
      </c>
      <c r="BM326" s="12">
        <f>$BJ$326*24</f>
        <v>0</v>
      </c>
      <c r="BN326" s="12">
        <f>VALUE($I$326)/100</f>
        <v>1</v>
      </c>
      <c r="BO326" s="12">
        <v>0</v>
      </c>
      <c r="BP326" s="12">
        <v>0</v>
      </c>
      <c r="BQ326" s="12">
        <v>0</v>
      </c>
      <c r="BR326" s="12">
        <v>0</v>
      </c>
      <c r="BS326" s="12">
        <v>0</v>
      </c>
      <c r="BT326" s="12">
        <v>0</v>
      </c>
      <c r="BU326" s="12">
        <v>0</v>
      </c>
      <c r="BV326" s="12">
        <v>0</v>
      </c>
      <c r="BW326" s="12">
        <v>0</v>
      </c>
      <c r="BX326" s="12">
        <v>0</v>
      </c>
      <c r="BY326" s="12">
        <v>0</v>
      </c>
      <c r="BZ326" s="12">
        <v>0</v>
      </c>
      <c r="CA326" s="12">
        <v>0</v>
      </c>
    </row>
    <row r="327" spans="1:79" hidden="1" x14ac:dyDescent="0.2">
      <c r="A327" s="12" t="s">
        <v>147</v>
      </c>
      <c r="B327" s="12" t="s">
        <v>148</v>
      </c>
      <c r="C327" s="12" t="s">
        <v>148</v>
      </c>
      <c r="D327" s="22" t="s">
        <v>576</v>
      </c>
      <c r="E327" s="22" t="s">
        <v>161</v>
      </c>
      <c r="F327" s="22" t="s">
        <v>1316</v>
      </c>
      <c r="G327" s="22" t="s">
        <v>1118</v>
      </c>
      <c r="H327" s="22" t="s">
        <v>166</v>
      </c>
      <c r="I327" s="22" t="s">
        <v>151</v>
      </c>
      <c r="J327" s="22" t="s">
        <v>162</v>
      </c>
      <c r="K327" s="22" t="s">
        <v>101</v>
      </c>
      <c r="L327" s="54" t="s">
        <v>156</v>
      </c>
      <c r="M327" s="24" t="s">
        <v>156</v>
      </c>
      <c r="N327" s="24" t="s">
        <v>153</v>
      </c>
      <c r="O327" s="23" t="s">
        <v>153</v>
      </c>
      <c r="P327" s="23" t="s">
        <v>153</v>
      </c>
      <c r="Q327" s="23" t="s">
        <v>153</v>
      </c>
      <c r="R327" s="23" t="s">
        <v>153</v>
      </c>
      <c r="S327" s="23" t="s">
        <v>153</v>
      </c>
      <c r="T327" s="23" t="s">
        <v>153</v>
      </c>
      <c r="U327" s="24" t="s">
        <v>153</v>
      </c>
      <c r="V327" s="54" t="s">
        <v>153</v>
      </c>
      <c r="W327" s="23" t="s">
        <v>153</v>
      </c>
      <c r="X327" s="23" t="s">
        <v>153</v>
      </c>
      <c r="Y327" s="23" t="s">
        <v>153</v>
      </c>
      <c r="Z327" s="23" t="s">
        <v>153</v>
      </c>
      <c r="AA327" s="23" t="s">
        <v>153</v>
      </c>
      <c r="AB327" s="24" t="s">
        <v>153</v>
      </c>
      <c r="AC327" s="23" t="s">
        <v>153</v>
      </c>
      <c r="AD327" s="23" t="s">
        <v>153</v>
      </c>
      <c r="AE327" s="23" t="s">
        <v>153</v>
      </c>
      <c r="AF327" s="23" t="s">
        <v>153</v>
      </c>
      <c r="AG327" s="23" t="s">
        <v>153</v>
      </c>
      <c r="AH327" s="23" t="s">
        <v>153</v>
      </c>
      <c r="AI327" s="24" t="s">
        <v>153</v>
      </c>
      <c r="AJ327" s="30" t="s">
        <v>28</v>
      </c>
      <c r="AK327" s="30" t="s">
        <v>28</v>
      </c>
      <c r="AL327" s="30" t="s">
        <v>28</v>
      </c>
      <c r="AM327" s="30" t="s">
        <v>28</v>
      </c>
      <c r="AN327" s="30" t="s">
        <v>28</v>
      </c>
      <c r="AO327" s="28" t="s">
        <v>163</v>
      </c>
      <c r="AP327" s="23">
        <f>VALUE(17)</f>
        <v>17</v>
      </c>
      <c r="AQ327" s="23">
        <f>VALUE(0)</f>
        <v>0</v>
      </c>
      <c r="AR327" s="23">
        <f>VALUE(0)</f>
        <v>0</v>
      </c>
      <c r="AS327" s="23">
        <f>VALUE(0)</f>
        <v>0</v>
      </c>
      <c r="AT327" s="23">
        <f>VALUE(0)</f>
        <v>0</v>
      </c>
      <c r="AU327" s="23">
        <f>VALUE(1)</f>
        <v>1</v>
      </c>
      <c r="AV327" s="23">
        <f>VALUE(2.5)</f>
        <v>2.5</v>
      </c>
      <c r="AW327" s="23">
        <f>VALUE(0)</f>
        <v>0</v>
      </c>
      <c r="AX327" s="23" t="s">
        <v>1317</v>
      </c>
      <c r="AY327" s="23">
        <f>VALUE(0)</f>
        <v>0</v>
      </c>
      <c r="AZ327" s="23">
        <f>VALUE(0)</f>
        <v>0</v>
      </c>
      <c r="BA327" s="23">
        <f>VALUE(0)</f>
        <v>0</v>
      </c>
      <c r="BB327" s="23">
        <f>VALUE(0)</f>
        <v>0</v>
      </c>
      <c r="BC327" s="23">
        <f>VALUE(0)</f>
        <v>0</v>
      </c>
      <c r="BD327" s="23">
        <f>VALUE(0)</f>
        <v>0</v>
      </c>
      <c r="BE327" s="23">
        <f>VALUE(0)</f>
        <v>0</v>
      </c>
      <c r="BF327" s="23">
        <f>VALUE(0)</f>
        <v>0</v>
      </c>
      <c r="BG327" s="23">
        <f>VALUE(0)</f>
        <v>0</v>
      </c>
      <c r="BH327" s="23">
        <f>VALUE(0)</f>
        <v>0</v>
      </c>
      <c r="BI327" s="23">
        <f>VALUE(0)</f>
        <v>0</v>
      </c>
      <c r="BJ327" s="23">
        <f>VALUE(0)</f>
        <v>0</v>
      </c>
      <c r="BK327" s="12">
        <f>$AX$327*24</f>
        <v>33</v>
      </c>
      <c r="BL327" s="12">
        <f>$AY$327*24</f>
        <v>0</v>
      </c>
      <c r="BM327" s="12">
        <f>$BJ$327*24</f>
        <v>0</v>
      </c>
      <c r="BN327" s="12">
        <f>VALUE($I$327)/100</f>
        <v>1</v>
      </c>
      <c r="BO327" s="12">
        <v>0</v>
      </c>
      <c r="BP327" s="12">
        <v>0</v>
      </c>
      <c r="BQ327" s="12">
        <v>5</v>
      </c>
      <c r="BR327" s="12">
        <v>0</v>
      </c>
      <c r="BS327" s="12">
        <v>0</v>
      </c>
      <c r="BT327" s="12">
        <v>0</v>
      </c>
      <c r="BU327" s="12">
        <v>0</v>
      </c>
      <c r="BV327" s="12">
        <v>0</v>
      </c>
      <c r="BW327" s="12">
        <v>0</v>
      </c>
      <c r="BX327" s="12">
        <v>0</v>
      </c>
      <c r="BY327" s="12">
        <v>0</v>
      </c>
      <c r="BZ327" s="12">
        <v>0</v>
      </c>
      <c r="CA327" s="12">
        <v>0</v>
      </c>
    </row>
    <row r="328" spans="1:79" hidden="1" x14ac:dyDescent="0.2">
      <c r="A328" s="12" t="s">
        <v>147</v>
      </c>
      <c r="B328" s="12" t="s">
        <v>148</v>
      </c>
      <c r="C328" s="12" t="s">
        <v>148</v>
      </c>
      <c r="D328" s="22" t="s">
        <v>577</v>
      </c>
      <c r="E328" s="22" t="s">
        <v>161</v>
      </c>
      <c r="F328" s="22" t="s">
        <v>1119</v>
      </c>
      <c r="G328" s="22" t="s">
        <v>1120</v>
      </c>
      <c r="H328" s="22" t="s">
        <v>166</v>
      </c>
      <c r="I328" s="22" t="s">
        <v>151</v>
      </c>
      <c r="J328" s="22" t="s">
        <v>162</v>
      </c>
      <c r="K328" s="22" t="s">
        <v>101</v>
      </c>
      <c r="L328" s="54" t="s">
        <v>153</v>
      </c>
      <c r="M328" s="23" t="s">
        <v>153</v>
      </c>
      <c r="N328" s="24" t="s">
        <v>153</v>
      </c>
      <c r="O328" s="28" t="s">
        <v>163</v>
      </c>
      <c r="P328" s="28" t="s">
        <v>163</v>
      </c>
      <c r="Q328" s="28" t="s">
        <v>163</v>
      </c>
      <c r="R328" s="23" t="s">
        <v>153</v>
      </c>
      <c r="S328" s="23" t="s">
        <v>153</v>
      </c>
      <c r="T328" s="23" t="s">
        <v>153</v>
      </c>
      <c r="U328" s="24" t="s">
        <v>153</v>
      </c>
      <c r="V328" s="54" t="s">
        <v>153</v>
      </c>
      <c r="W328" s="23" t="s">
        <v>153</v>
      </c>
      <c r="X328" s="23" t="s">
        <v>153</v>
      </c>
      <c r="Y328" s="24" t="s">
        <v>156</v>
      </c>
      <c r="Z328" s="24" t="s">
        <v>156</v>
      </c>
      <c r="AA328" s="24" t="s">
        <v>156</v>
      </c>
      <c r="AB328" s="24" t="s">
        <v>153</v>
      </c>
      <c r="AC328" s="28" t="s">
        <v>338</v>
      </c>
      <c r="AD328" s="28" t="s">
        <v>338</v>
      </c>
      <c r="AE328" s="28" t="s">
        <v>338</v>
      </c>
      <c r="AF328" s="28" t="s">
        <v>338</v>
      </c>
      <c r="AG328" s="28" t="s">
        <v>338</v>
      </c>
      <c r="AH328" s="28" t="s">
        <v>338</v>
      </c>
      <c r="AI328" s="24" t="s">
        <v>153</v>
      </c>
      <c r="AJ328" s="23" t="s">
        <v>153</v>
      </c>
      <c r="AK328" s="23" t="s">
        <v>153</v>
      </c>
      <c r="AL328" s="23" t="s">
        <v>153</v>
      </c>
      <c r="AM328" s="23" t="s">
        <v>153</v>
      </c>
      <c r="AN328" s="23" t="s">
        <v>153</v>
      </c>
      <c r="AO328" s="23" t="s">
        <v>153</v>
      </c>
      <c r="AP328" s="23">
        <f>VALUE(12)</f>
        <v>12</v>
      </c>
      <c r="AQ328" s="23">
        <f>VALUE(0)</f>
        <v>0</v>
      </c>
      <c r="AR328" s="23">
        <f>VALUE(0)</f>
        <v>0</v>
      </c>
      <c r="AS328" s="23">
        <f>VALUE(0)</f>
        <v>0</v>
      </c>
      <c r="AT328" s="23">
        <f>VALUE(6)</f>
        <v>6</v>
      </c>
      <c r="AU328" s="23">
        <f>VALUE(3)</f>
        <v>3</v>
      </c>
      <c r="AV328" s="23">
        <f>VALUE(12)</f>
        <v>12</v>
      </c>
      <c r="AW328" s="23">
        <f>VALUE(0)</f>
        <v>0</v>
      </c>
      <c r="AX328" s="23" t="s">
        <v>1318</v>
      </c>
      <c r="AY328" s="23">
        <f>VALUE(0)</f>
        <v>0</v>
      </c>
      <c r="AZ328" s="23">
        <f>VALUE(0)</f>
        <v>0</v>
      </c>
      <c r="BA328" s="23">
        <f>VALUE(0)</f>
        <v>0</v>
      </c>
      <c r="BB328" s="23">
        <f>VALUE(0)</f>
        <v>0</v>
      </c>
      <c r="BC328" s="23">
        <f>VALUE(0)</f>
        <v>0</v>
      </c>
      <c r="BD328" s="23">
        <f>VALUE(0)</f>
        <v>0</v>
      </c>
      <c r="BE328" s="23">
        <f>VALUE(0)</f>
        <v>0</v>
      </c>
      <c r="BF328" s="23">
        <f>VALUE(0)</f>
        <v>0</v>
      </c>
      <c r="BG328" s="23">
        <f>VALUE(0)</f>
        <v>0</v>
      </c>
      <c r="BH328" s="23">
        <f>VALUE(0)</f>
        <v>0</v>
      </c>
      <c r="BI328" s="23">
        <f>VALUE(0)</f>
        <v>0</v>
      </c>
      <c r="BJ328" s="23">
        <f>VALUE(0)</f>
        <v>0</v>
      </c>
      <c r="BK328" s="12">
        <f>$AX$328*24</f>
        <v>33.6</v>
      </c>
      <c r="BL328" s="12">
        <f>$AY$328*24</f>
        <v>0</v>
      </c>
      <c r="BM328" s="12">
        <f>$BJ$328*24</f>
        <v>0</v>
      </c>
      <c r="BN328" s="12">
        <f>VALUE($I$328)/100</f>
        <v>1</v>
      </c>
      <c r="BO328" s="12">
        <v>0</v>
      </c>
      <c r="BP328" s="12">
        <v>0</v>
      </c>
      <c r="BQ328" s="12">
        <v>0</v>
      </c>
      <c r="BR328" s="12">
        <v>0</v>
      </c>
      <c r="BS328" s="12">
        <v>0</v>
      </c>
      <c r="BT328" s="12">
        <v>0</v>
      </c>
      <c r="BU328" s="12">
        <v>0</v>
      </c>
      <c r="BV328" s="12">
        <v>0</v>
      </c>
      <c r="BW328" s="12">
        <v>0</v>
      </c>
      <c r="BX328" s="12">
        <v>0</v>
      </c>
      <c r="BY328" s="12">
        <v>6</v>
      </c>
      <c r="BZ328" s="12">
        <v>0</v>
      </c>
      <c r="CA328" s="12">
        <v>0</v>
      </c>
    </row>
    <row r="329" spans="1:79" x14ac:dyDescent="0.2">
      <c r="A329" s="12" t="s">
        <v>147</v>
      </c>
      <c r="B329" s="12" t="s">
        <v>148</v>
      </c>
      <c r="C329" s="12" t="s">
        <v>148</v>
      </c>
      <c r="D329" s="22" t="s">
        <v>159</v>
      </c>
      <c r="E329" s="22" t="s">
        <v>159</v>
      </c>
      <c r="F329" s="22" t="s">
        <v>1121</v>
      </c>
      <c r="G329" s="22" t="s">
        <v>1122</v>
      </c>
      <c r="H329" s="22" t="s">
        <v>150</v>
      </c>
      <c r="I329" s="22" t="s">
        <v>151</v>
      </c>
      <c r="J329" s="22" t="s">
        <v>162</v>
      </c>
      <c r="K329" s="22" t="s">
        <v>101</v>
      </c>
      <c r="L329" s="54" t="s">
        <v>153</v>
      </c>
      <c r="M329" s="23" t="s">
        <v>575</v>
      </c>
      <c r="N329" s="24" t="s">
        <v>153</v>
      </c>
      <c r="O329" s="23" t="s">
        <v>575</v>
      </c>
      <c r="P329" s="23" t="s">
        <v>575</v>
      </c>
      <c r="Q329" s="23" t="s">
        <v>575</v>
      </c>
      <c r="R329" s="23" t="s">
        <v>575</v>
      </c>
      <c r="S329" s="23" t="s">
        <v>575</v>
      </c>
      <c r="T329" s="23" t="s">
        <v>575</v>
      </c>
      <c r="U329" s="24" t="s">
        <v>153</v>
      </c>
      <c r="V329" s="54" t="s">
        <v>153</v>
      </c>
      <c r="W329" s="29" t="s">
        <v>163</v>
      </c>
      <c r="X329" s="29" t="s">
        <v>163</v>
      </c>
      <c r="Y329" s="29" t="s">
        <v>163</v>
      </c>
      <c r="Z329" s="29" t="s">
        <v>163</v>
      </c>
      <c r="AA329" s="29" t="s">
        <v>163</v>
      </c>
      <c r="AB329" s="24" t="s">
        <v>153</v>
      </c>
      <c r="AC329" s="23" t="s">
        <v>577</v>
      </c>
      <c r="AD329" s="23" t="s">
        <v>577</v>
      </c>
      <c r="AE329" s="23" t="s">
        <v>577</v>
      </c>
      <c r="AF329" s="23" t="s">
        <v>577</v>
      </c>
      <c r="AG329" s="23" t="s">
        <v>577</v>
      </c>
      <c r="AH329" s="23" t="s">
        <v>577</v>
      </c>
      <c r="AI329" s="24" t="s">
        <v>153</v>
      </c>
      <c r="AJ329" s="23" t="s">
        <v>576</v>
      </c>
      <c r="AK329" s="23" t="s">
        <v>576</v>
      </c>
      <c r="AL329" s="23" t="s">
        <v>576</v>
      </c>
      <c r="AM329" s="23" t="s">
        <v>576</v>
      </c>
      <c r="AN329" s="23" t="s">
        <v>576</v>
      </c>
      <c r="AO329" s="23" t="s">
        <v>576</v>
      </c>
      <c r="AP329" s="23">
        <f>VALUE(6)</f>
        <v>6</v>
      </c>
      <c r="AQ329" s="23">
        <f>VALUE(0)</f>
        <v>0</v>
      </c>
      <c r="AR329" s="23">
        <f>VALUE(5)</f>
        <v>5</v>
      </c>
      <c r="AS329" s="23">
        <f>VALUE(0)</f>
        <v>0</v>
      </c>
      <c r="AT329" s="23">
        <f>VALUE(0)</f>
        <v>0</v>
      </c>
      <c r="AU329" s="23">
        <f>VALUE(0)</f>
        <v>0</v>
      </c>
      <c r="AV329" s="23">
        <f>VALUE(2)</f>
        <v>2</v>
      </c>
      <c r="AW329" s="23">
        <f>VALUE(0)</f>
        <v>0</v>
      </c>
      <c r="AX329" s="23">
        <f>VALUE(0)</f>
        <v>0</v>
      </c>
      <c r="AY329" s="23" t="s">
        <v>578</v>
      </c>
      <c r="AZ329" s="23">
        <f>VALUE(0)</f>
        <v>0</v>
      </c>
      <c r="BA329" s="23">
        <f>VALUE(0)</f>
        <v>0</v>
      </c>
      <c r="BB329" s="23">
        <f>VALUE(0)</f>
        <v>0</v>
      </c>
      <c r="BC329" s="23">
        <f>VALUE(0)</f>
        <v>0</v>
      </c>
      <c r="BD329" s="23">
        <f>VALUE(0)</f>
        <v>0</v>
      </c>
      <c r="BE329" s="23">
        <f>VALUE(0)</f>
        <v>0</v>
      </c>
      <c r="BF329" s="23">
        <f>VALUE(0)</f>
        <v>0</v>
      </c>
      <c r="BG329" s="23">
        <f>VALUE(0)</f>
        <v>0</v>
      </c>
      <c r="BH329" s="23">
        <f>VALUE(0)</f>
        <v>0</v>
      </c>
      <c r="BI329" s="23">
        <f>VALUE(0)</f>
        <v>0</v>
      </c>
      <c r="BJ329" s="23">
        <f>VALUE(0)</f>
        <v>0</v>
      </c>
      <c r="BK329" s="12">
        <f>$AX$329*24</f>
        <v>0</v>
      </c>
      <c r="BL329" s="12">
        <f>$AY$329*24</f>
        <v>2.7666666666666666</v>
      </c>
      <c r="BM329" s="12">
        <f>$BJ$329*24</f>
        <v>0</v>
      </c>
      <c r="BN329" s="12">
        <f>VALUE($I$329)/100</f>
        <v>1</v>
      </c>
      <c r="BO329" s="12">
        <v>0</v>
      </c>
      <c r="BP329" s="12">
        <v>0</v>
      </c>
      <c r="BQ329" s="12">
        <v>0</v>
      </c>
      <c r="BR329" s="12">
        <v>0</v>
      </c>
      <c r="BS329" s="12">
        <v>0</v>
      </c>
      <c r="BT329" s="12">
        <v>5</v>
      </c>
      <c r="BU329" s="12">
        <v>0</v>
      </c>
      <c r="BV329" s="12">
        <v>0</v>
      </c>
      <c r="BW329" s="12">
        <v>0</v>
      </c>
      <c r="BX329" s="12">
        <v>0</v>
      </c>
      <c r="BY329" s="12">
        <v>0</v>
      </c>
      <c r="BZ329" s="12">
        <v>0</v>
      </c>
      <c r="CA329" s="12">
        <v>0</v>
      </c>
    </row>
    <row r="330" spans="1:79" hidden="1" x14ac:dyDescent="0.2">
      <c r="A330" s="12" t="s">
        <v>147</v>
      </c>
      <c r="B330" s="12" t="s">
        <v>148</v>
      </c>
      <c r="C330" s="12" t="s">
        <v>148</v>
      </c>
      <c r="D330" s="22" t="s">
        <v>1319</v>
      </c>
      <c r="E330" s="22" t="s">
        <v>161</v>
      </c>
      <c r="F330" s="22" t="s">
        <v>1123</v>
      </c>
      <c r="G330" s="22" t="s">
        <v>1124</v>
      </c>
      <c r="H330" s="22" t="s">
        <v>166</v>
      </c>
      <c r="I330" s="22" t="s">
        <v>151</v>
      </c>
      <c r="J330" s="22" t="s">
        <v>162</v>
      </c>
      <c r="K330" s="22" t="s">
        <v>101</v>
      </c>
      <c r="L330" s="54" t="s">
        <v>153</v>
      </c>
      <c r="M330" s="27" t="s">
        <v>153</v>
      </c>
      <c r="N330" s="27" t="s">
        <v>153</v>
      </c>
      <c r="O330" s="27" t="s">
        <v>153</v>
      </c>
      <c r="P330" s="27" t="s">
        <v>153</v>
      </c>
      <c r="Q330" s="27" t="s">
        <v>153</v>
      </c>
      <c r="R330" s="27" t="s">
        <v>153</v>
      </c>
      <c r="S330" s="27" t="s">
        <v>153</v>
      </c>
      <c r="T330" s="27" t="s">
        <v>153</v>
      </c>
      <c r="U330" s="27" t="s">
        <v>153</v>
      </c>
      <c r="V330" s="54" t="s">
        <v>153</v>
      </c>
      <c r="W330" s="27" t="s">
        <v>153</v>
      </c>
      <c r="X330" s="27" t="s">
        <v>153</v>
      </c>
      <c r="Y330" s="27" t="s">
        <v>153</v>
      </c>
      <c r="Z330" s="27" t="s">
        <v>153</v>
      </c>
      <c r="AA330" s="27" t="s">
        <v>153</v>
      </c>
      <c r="AB330" s="27" t="s">
        <v>153</v>
      </c>
      <c r="AC330" s="27" t="s">
        <v>153</v>
      </c>
      <c r="AD330" s="27" t="s">
        <v>153</v>
      </c>
      <c r="AE330" s="27" t="s">
        <v>153</v>
      </c>
      <c r="AF330" s="27" t="s">
        <v>153</v>
      </c>
      <c r="AG330" s="27" t="s">
        <v>153</v>
      </c>
      <c r="AH330" s="27" t="s">
        <v>153</v>
      </c>
      <c r="AI330" s="27" t="s">
        <v>153</v>
      </c>
      <c r="AJ330" s="27" t="s">
        <v>153</v>
      </c>
      <c r="AK330" s="27" t="s">
        <v>153</v>
      </c>
      <c r="AL330" s="27" t="s">
        <v>153</v>
      </c>
      <c r="AM330" s="27" t="s">
        <v>153</v>
      </c>
      <c r="AN330" s="27" t="s">
        <v>153</v>
      </c>
      <c r="AO330" s="27" t="s">
        <v>153</v>
      </c>
      <c r="AP330" s="23">
        <f>VALUE(0)</f>
        <v>0</v>
      </c>
      <c r="AQ330" s="23">
        <f>VALUE(0)</f>
        <v>0</v>
      </c>
      <c r="AR330" s="23">
        <f>VALUE(0)</f>
        <v>0</v>
      </c>
      <c r="AS330" s="23">
        <f>VALUE(0)</f>
        <v>0</v>
      </c>
      <c r="AT330" s="23">
        <f>VALUE(0)</f>
        <v>0</v>
      </c>
      <c r="AU330" s="23">
        <f>VALUE(0)</f>
        <v>0</v>
      </c>
      <c r="AV330" s="23">
        <f>VALUE(0)</f>
        <v>0</v>
      </c>
      <c r="AW330" s="23">
        <f>VALUE(0)</f>
        <v>0</v>
      </c>
      <c r="AX330" s="23">
        <f>VALUE(0)</f>
        <v>0</v>
      </c>
      <c r="AY330" s="23">
        <f>VALUE(0)</f>
        <v>0</v>
      </c>
      <c r="AZ330" s="23">
        <f>VALUE(0)</f>
        <v>0</v>
      </c>
      <c r="BA330" s="23">
        <f>VALUE(0)</f>
        <v>0</v>
      </c>
      <c r="BB330" s="23">
        <f>VALUE(0)</f>
        <v>0</v>
      </c>
      <c r="BC330" s="23">
        <f>VALUE(0)</f>
        <v>0</v>
      </c>
      <c r="BD330" s="23">
        <f>VALUE(0)</f>
        <v>0</v>
      </c>
      <c r="BE330" s="23">
        <f>VALUE(0)</f>
        <v>0</v>
      </c>
      <c r="BF330" s="23">
        <f>VALUE(0)</f>
        <v>0</v>
      </c>
      <c r="BG330" s="23">
        <f>VALUE(0)</f>
        <v>0</v>
      </c>
      <c r="BH330" s="23">
        <f>VALUE(0)</f>
        <v>0</v>
      </c>
      <c r="BI330" s="23">
        <f>VALUE(0)</f>
        <v>0</v>
      </c>
      <c r="BJ330" s="23">
        <f>VALUE(0)</f>
        <v>0</v>
      </c>
      <c r="BK330" s="12">
        <f>$AX$330*24</f>
        <v>0</v>
      </c>
      <c r="BL330" s="12">
        <f>$AY$330*24</f>
        <v>0</v>
      </c>
      <c r="BM330" s="12">
        <f>$BJ$330*24</f>
        <v>0</v>
      </c>
      <c r="BN330" s="12">
        <f>VALUE($I$330)/100</f>
        <v>1</v>
      </c>
      <c r="BO330" s="12">
        <v>0</v>
      </c>
      <c r="BP330" s="12">
        <v>0</v>
      </c>
      <c r="BQ330" s="12">
        <v>0</v>
      </c>
      <c r="BR330" s="12">
        <v>0</v>
      </c>
      <c r="BS330" s="12">
        <v>0</v>
      </c>
      <c r="BT330" s="12">
        <v>0</v>
      </c>
      <c r="BU330" s="12">
        <v>0</v>
      </c>
      <c r="BV330" s="12">
        <v>0</v>
      </c>
      <c r="BW330" s="12">
        <v>0</v>
      </c>
      <c r="BX330" s="12">
        <v>0</v>
      </c>
      <c r="BY330" s="12">
        <v>0</v>
      </c>
      <c r="BZ330" s="12">
        <v>0</v>
      </c>
      <c r="CA330" s="12">
        <v>0</v>
      </c>
    </row>
    <row r="331" spans="1:79" hidden="1" x14ac:dyDescent="0.2">
      <c r="A331" s="12" t="s">
        <v>147</v>
      </c>
      <c r="B331" s="12" t="s">
        <v>148</v>
      </c>
      <c r="C331" s="12" t="s">
        <v>148</v>
      </c>
      <c r="D331" s="22" t="s">
        <v>1312</v>
      </c>
      <c r="E331" s="22" t="s">
        <v>161</v>
      </c>
      <c r="F331" s="22" t="s">
        <v>1125</v>
      </c>
      <c r="G331" s="22" t="s">
        <v>1126</v>
      </c>
      <c r="H331" s="22" t="s">
        <v>166</v>
      </c>
      <c r="I331" s="22" t="s">
        <v>415</v>
      </c>
      <c r="J331" s="22" t="s">
        <v>162</v>
      </c>
      <c r="K331" s="22" t="s">
        <v>101</v>
      </c>
      <c r="L331" s="54" t="s">
        <v>153</v>
      </c>
      <c r="M331" s="23" t="s">
        <v>576</v>
      </c>
      <c r="N331" s="24" t="s">
        <v>153</v>
      </c>
      <c r="O331" s="24" t="s">
        <v>195</v>
      </c>
      <c r="P331" s="24" t="s">
        <v>195</v>
      </c>
      <c r="Q331" s="24" t="s">
        <v>195</v>
      </c>
      <c r="R331" s="23" t="s">
        <v>574</v>
      </c>
      <c r="S331" s="23" t="s">
        <v>574</v>
      </c>
      <c r="T331" s="23" t="s">
        <v>574</v>
      </c>
      <c r="U331" s="24" t="s">
        <v>153</v>
      </c>
      <c r="V331" s="54" t="s">
        <v>153</v>
      </c>
      <c r="W331" s="24" t="s">
        <v>195</v>
      </c>
      <c r="X331" s="24" t="s">
        <v>195</v>
      </c>
      <c r="Y331" s="23" t="s">
        <v>577</v>
      </c>
      <c r="Z331" s="23" t="s">
        <v>577</v>
      </c>
      <c r="AA331" s="23" t="s">
        <v>577</v>
      </c>
      <c r="AB331" s="24" t="s">
        <v>153</v>
      </c>
      <c r="AC331" s="24" t="s">
        <v>195</v>
      </c>
      <c r="AD331" s="24" t="s">
        <v>195</v>
      </c>
      <c r="AE331" s="24" t="s">
        <v>195</v>
      </c>
      <c r="AF331" s="23" t="s">
        <v>573</v>
      </c>
      <c r="AG331" s="23" t="s">
        <v>573</v>
      </c>
      <c r="AH331" s="23" t="s">
        <v>573</v>
      </c>
      <c r="AI331" s="24" t="s">
        <v>153</v>
      </c>
      <c r="AJ331" s="23" t="s">
        <v>513</v>
      </c>
      <c r="AK331" s="23" t="s">
        <v>513</v>
      </c>
      <c r="AL331" s="23" t="s">
        <v>513</v>
      </c>
      <c r="AM331" s="24" t="s">
        <v>195</v>
      </c>
      <c r="AN331" s="24" t="s">
        <v>195</v>
      </c>
      <c r="AO331" s="24" t="s">
        <v>195</v>
      </c>
      <c r="AP331" s="23">
        <f>VALUE(13)</f>
        <v>13</v>
      </c>
      <c r="AQ331" s="23">
        <f>VALUE(0)</f>
        <v>0</v>
      </c>
      <c r="AR331" s="23">
        <f>VALUE(0)</f>
        <v>0</v>
      </c>
      <c r="AS331" s="23">
        <f>VALUE(0)</f>
        <v>0</v>
      </c>
      <c r="AT331" s="23">
        <f>VALUE(0)</f>
        <v>0</v>
      </c>
      <c r="AU331" s="23">
        <f>VALUE(0)</f>
        <v>0</v>
      </c>
      <c r="AV331" s="23">
        <f>VALUE(1)</f>
        <v>1</v>
      </c>
      <c r="AW331" s="23">
        <f>VALUE(0)</f>
        <v>0</v>
      </c>
      <c r="AX331" s="23" t="s">
        <v>579</v>
      </c>
      <c r="AY331" s="23">
        <f>VALUE(0)</f>
        <v>0</v>
      </c>
      <c r="AZ331" s="23">
        <f>VALUE(0)</f>
        <v>0</v>
      </c>
      <c r="BA331" s="23">
        <f>VALUE(0)</f>
        <v>0</v>
      </c>
      <c r="BB331" s="23">
        <f>VALUE(0)</f>
        <v>0</v>
      </c>
      <c r="BC331" s="23">
        <f>VALUE(0)</f>
        <v>0</v>
      </c>
      <c r="BD331" s="23">
        <f>VALUE(0)</f>
        <v>0</v>
      </c>
      <c r="BE331" s="23">
        <f>VALUE(0)</f>
        <v>0</v>
      </c>
      <c r="BF331" s="23">
        <f>VALUE(0)</f>
        <v>0</v>
      </c>
      <c r="BG331" s="23">
        <f>VALUE(0)</f>
        <v>0</v>
      </c>
      <c r="BH331" s="23">
        <f>VALUE(0)</f>
        <v>0</v>
      </c>
      <c r="BI331" s="23">
        <f>VALUE(0)</f>
        <v>0</v>
      </c>
      <c r="BJ331" s="23">
        <f>VALUE(0)</f>
        <v>0</v>
      </c>
      <c r="BK331" s="12">
        <f>$AX$331*24</f>
        <v>4.75</v>
      </c>
      <c r="BL331" s="12">
        <f>$AY$331*24</f>
        <v>0</v>
      </c>
      <c r="BM331" s="12">
        <f>$BJ$331*24</f>
        <v>0</v>
      </c>
      <c r="BN331" s="12">
        <f>VALUE($I$331)/100</f>
        <v>0.5</v>
      </c>
      <c r="BO331" s="12">
        <v>0</v>
      </c>
      <c r="BP331" s="12">
        <v>0</v>
      </c>
      <c r="BQ331" s="12">
        <v>0</v>
      </c>
      <c r="BR331" s="12">
        <v>0</v>
      </c>
      <c r="BS331" s="12">
        <v>0</v>
      </c>
      <c r="BT331" s="12">
        <v>0</v>
      </c>
      <c r="BU331" s="12">
        <v>0</v>
      </c>
      <c r="BV331" s="12">
        <v>0</v>
      </c>
      <c r="BW331" s="12">
        <v>0</v>
      </c>
      <c r="BX331" s="12">
        <v>0</v>
      </c>
      <c r="BY331" s="12">
        <v>0</v>
      </c>
      <c r="BZ331" s="12">
        <v>0</v>
      </c>
      <c r="CA331" s="12">
        <v>0</v>
      </c>
    </row>
    <row r="332" spans="1:79" ht="15" hidden="1" x14ac:dyDescent="0.25">
      <c r="A332" s="12" t="s">
        <v>147</v>
      </c>
      <c r="B332" s="12" t="s">
        <v>148</v>
      </c>
      <c r="C332" s="12" t="s">
        <v>148</v>
      </c>
      <c r="D332" s="31" t="s">
        <v>333</v>
      </c>
      <c r="E332" s="31" t="s">
        <v>153</v>
      </c>
      <c r="F332" s="31" t="s">
        <v>175</v>
      </c>
      <c r="G332" s="31" t="s">
        <v>153</v>
      </c>
      <c r="H332" s="31" t="s">
        <v>153</v>
      </c>
      <c r="I332" s="31" t="s">
        <v>153</v>
      </c>
      <c r="J332" s="31" t="s">
        <v>153</v>
      </c>
      <c r="K332" s="31" t="s">
        <v>153</v>
      </c>
      <c r="L332" s="31">
        <f>VALUE(0)</f>
        <v>0</v>
      </c>
      <c r="M332" s="31">
        <f>VALUE(6)</f>
        <v>6</v>
      </c>
      <c r="N332" s="31">
        <f>VALUE(0)</f>
        <v>0</v>
      </c>
      <c r="O332" s="31">
        <f>VALUE(5)</f>
        <v>5</v>
      </c>
      <c r="P332" s="31">
        <f>VALUE(5)</f>
        <v>5</v>
      </c>
      <c r="Q332" s="31">
        <f>VALUE(5)</f>
        <v>5</v>
      </c>
      <c r="R332" s="31">
        <f>VALUE(7)</f>
        <v>7</v>
      </c>
      <c r="S332" s="31">
        <f>VALUE(7)</f>
        <v>7</v>
      </c>
      <c r="T332" s="31">
        <f>VALUE(7)</f>
        <v>7</v>
      </c>
      <c r="U332" s="31">
        <f>VALUE(0)</f>
        <v>0</v>
      </c>
      <c r="V332" s="31">
        <f>VALUE(0)</f>
        <v>0</v>
      </c>
      <c r="W332" s="31">
        <f>VALUE(5)</f>
        <v>5</v>
      </c>
      <c r="X332" s="31">
        <f>VALUE(5)</f>
        <v>5</v>
      </c>
      <c r="Y332" s="31">
        <f>VALUE(5)</f>
        <v>5</v>
      </c>
      <c r="Z332" s="31">
        <f>VALUE(5)</f>
        <v>5</v>
      </c>
      <c r="AA332" s="31">
        <f>VALUE(5)</f>
        <v>5</v>
      </c>
      <c r="AB332" s="31">
        <f>VALUE(0)</f>
        <v>0</v>
      </c>
      <c r="AC332" s="31">
        <f>VALUE(5)</f>
        <v>5</v>
      </c>
      <c r="AD332" s="31">
        <f>VALUE(5)</f>
        <v>5</v>
      </c>
      <c r="AE332" s="31">
        <f>VALUE(5)</f>
        <v>5</v>
      </c>
      <c r="AF332" s="31">
        <f>VALUE(5)</f>
        <v>5</v>
      </c>
      <c r="AG332" s="31">
        <f>VALUE(5)</f>
        <v>5</v>
      </c>
      <c r="AH332" s="31">
        <f>VALUE(5)</f>
        <v>5</v>
      </c>
      <c r="AI332" s="31">
        <f>VALUE(0)</f>
        <v>0</v>
      </c>
      <c r="AJ332" s="31">
        <f>VALUE(4)</f>
        <v>4</v>
      </c>
      <c r="AK332" s="31">
        <f>VALUE(4)</f>
        <v>4</v>
      </c>
      <c r="AL332" s="31">
        <f>VALUE(4)</f>
        <v>4</v>
      </c>
      <c r="AM332" s="31">
        <f>VALUE(4)</f>
        <v>4</v>
      </c>
      <c r="AN332" s="31">
        <f>VALUE(4)</f>
        <v>4</v>
      </c>
      <c r="AO332" s="31">
        <f>VALUE(4)</f>
        <v>4</v>
      </c>
      <c r="AP332" s="31">
        <v>0</v>
      </c>
      <c r="AQ332" s="31">
        <v>0</v>
      </c>
      <c r="AR332" s="31">
        <v>0</v>
      </c>
      <c r="AS332" s="31">
        <v>0</v>
      </c>
      <c r="AT332" s="31">
        <v>0</v>
      </c>
      <c r="AU332" s="31">
        <v>0</v>
      </c>
      <c r="AV332" s="31">
        <v>0</v>
      </c>
      <c r="AW332" s="31">
        <v>0</v>
      </c>
      <c r="AX332" s="31">
        <v>0</v>
      </c>
      <c r="AY332" s="31">
        <v>0</v>
      </c>
      <c r="AZ332" s="31">
        <v>0</v>
      </c>
      <c r="BA332" s="31">
        <v>0</v>
      </c>
      <c r="BB332" s="31">
        <v>0</v>
      </c>
      <c r="BC332" s="31">
        <v>0</v>
      </c>
      <c r="BD332" s="31">
        <v>0</v>
      </c>
      <c r="BE332" s="31">
        <v>0</v>
      </c>
      <c r="BF332" s="31">
        <v>0</v>
      </c>
      <c r="BG332" s="31">
        <v>0</v>
      </c>
      <c r="BH332" s="31">
        <v>0</v>
      </c>
      <c r="BI332" s="31">
        <v>0</v>
      </c>
      <c r="BJ332" s="31">
        <v>0</v>
      </c>
      <c r="BK332" s="12">
        <v>0</v>
      </c>
      <c r="BL332" s="12">
        <v>0</v>
      </c>
      <c r="BM332" s="12">
        <v>0</v>
      </c>
      <c r="BN332" s="12"/>
      <c r="BO332" s="12">
        <v>0</v>
      </c>
      <c r="BP332" s="12">
        <v>0</v>
      </c>
      <c r="BQ332" s="12">
        <v>0</v>
      </c>
      <c r="BR332" s="12">
        <v>0</v>
      </c>
      <c r="BS332" s="12">
        <v>0</v>
      </c>
      <c r="BT332" s="12">
        <v>0</v>
      </c>
      <c r="BU332" s="12">
        <v>0</v>
      </c>
      <c r="BV332" s="12">
        <v>0</v>
      </c>
      <c r="BW332" s="12">
        <v>0</v>
      </c>
      <c r="BX332" s="12">
        <v>0</v>
      </c>
      <c r="BY332" s="12">
        <v>0</v>
      </c>
      <c r="BZ332" s="12">
        <v>0</v>
      </c>
      <c r="CA332" s="12">
        <v>0</v>
      </c>
    </row>
    <row r="334" spans="1:79" x14ac:dyDescent="0.2">
      <c r="L334" s="40">
        <f>ROUND(SUBTOTAL(9,$L$10:$L$331),2)</f>
        <v>0</v>
      </c>
      <c r="M334" s="40">
        <f>ROUND(SUBTOTAL(9,$M$10:$M$331),2)</f>
        <v>0</v>
      </c>
      <c r="N334" s="40">
        <f>ROUND(SUBTOTAL(9,$N$10:$N$331),2)</f>
        <v>0</v>
      </c>
      <c r="O334" s="40">
        <f>ROUND(SUBTOTAL(9,$O$10:$O$331),2)</f>
        <v>0</v>
      </c>
      <c r="P334" s="40">
        <f>ROUND(SUBTOTAL(9,$P$10:$P$331),2)</f>
        <v>0</v>
      </c>
      <c r="Q334" s="40">
        <f>ROUND(SUBTOTAL(9,$Q$10:$Q$331),2)</f>
        <v>0</v>
      </c>
      <c r="R334" s="40">
        <f>ROUND(SUBTOTAL(9,$R$10:$R$331),2)</f>
        <v>0</v>
      </c>
      <c r="S334" s="40">
        <f>ROUND(SUBTOTAL(9,$S$10:$S$331),2)</f>
        <v>0</v>
      </c>
      <c r="T334" s="40">
        <f>ROUND(SUBTOTAL(9,$T$10:$T$331),2)</f>
        <v>0</v>
      </c>
      <c r="U334" s="40">
        <f>ROUND(SUBTOTAL(9,$U$10:$U$331),2)</f>
        <v>0</v>
      </c>
      <c r="V334" s="40">
        <f>ROUND(SUBTOTAL(9,$V$10:$V$331),2)</f>
        <v>0</v>
      </c>
      <c r="W334" s="40">
        <f>ROUND(SUBTOTAL(9,$W$10:$W$331),2)</f>
        <v>0</v>
      </c>
      <c r="X334" s="40">
        <f>ROUND(SUBTOTAL(9,$X$10:$X$331),2)</f>
        <v>0</v>
      </c>
      <c r="Y334" s="40">
        <f>ROUND(SUBTOTAL(9,$Y$10:$Y$331),2)</f>
        <v>0</v>
      </c>
      <c r="Z334" s="40">
        <f>ROUND(SUBTOTAL(9,$Z$10:$Z$331),2)</f>
        <v>0</v>
      </c>
      <c r="AA334" s="40">
        <f>ROUND(SUBTOTAL(9,$AA$10:$AA$331),2)</f>
        <v>0</v>
      </c>
      <c r="AB334" s="40">
        <f>ROUND(SUBTOTAL(9,$AB$10:$AB$331),2)</f>
        <v>0</v>
      </c>
      <c r="AC334" s="40">
        <f>ROUND(SUBTOTAL(9,$AC$10:$AC$331),2)</f>
        <v>0</v>
      </c>
      <c r="AD334" s="40">
        <f>ROUND(SUBTOTAL(9,$AD$10:$AD$331),2)</f>
        <v>0</v>
      </c>
      <c r="AE334" s="40">
        <f>ROUND(SUBTOTAL(9,$AE$10:$AE$331),2)</f>
        <v>0</v>
      </c>
      <c r="AF334" s="40">
        <f>ROUND(SUBTOTAL(9,$AF$10:$AF$331),2)</f>
        <v>0</v>
      </c>
      <c r="AG334" s="40">
        <f>ROUND(SUBTOTAL(9,$AG$10:$AG$331),2)</f>
        <v>0</v>
      </c>
      <c r="AH334" s="40">
        <f>ROUND(SUBTOTAL(9,$AH$10:$AH$331),2)</f>
        <v>0</v>
      </c>
      <c r="AI334" s="40">
        <f>ROUND(SUBTOTAL(9,$AI$10:$AI$331),2)</f>
        <v>0</v>
      </c>
      <c r="AJ334" s="40">
        <f>ROUND(SUBTOTAL(9,$AJ$10:$AJ$331),2)</f>
        <v>0</v>
      </c>
      <c r="AK334" s="40">
        <f>ROUND(SUBTOTAL(9,$AK$10:$AK$331),2)</f>
        <v>0</v>
      </c>
      <c r="AL334" s="40">
        <f>ROUND(SUBTOTAL(9,$AL$10:$AL$331),2)</f>
        <v>0</v>
      </c>
      <c r="AM334" s="40">
        <f>ROUND(SUBTOTAL(9,$AM$10:$AM$331),2)</f>
        <v>0</v>
      </c>
      <c r="AN334" s="40">
        <f>ROUND(SUBTOTAL(9,$AN$10:$AN$331),2)</f>
        <v>0</v>
      </c>
      <c r="AO334" s="40">
        <f>ROUND(SUBTOTAL(9,$AO$10:$AO$331),2)</f>
        <v>0</v>
      </c>
    </row>
  </sheetData>
  <autoFilter ref="A5:CA332" xr:uid="{E910DE60-6EC3-4A0B-A366-A82F21B54181}">
    <filterColumn colId="11" showButton="0"/>
    <filterColumn colId="12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5" showButton="0"/>
    <filterColumn colId="36" showButton="0"/>
    <filterColumn colId="37" showButton="0"/>
    <filterColumn colId="38" showButton="0"/>
    <filterColumn colId="39" showButton="0"/>
    <filterColumn colId="43">
      <customFilters>
        <customFilter operator="greaterThan" val="0"/>
      </customFilters>
    </filterColumn>
  </autoFilter>
  <mergeCells count="56">
    <mergeCell ref="BX5:BX9"/>
    <mergeCell ref="BY5:BY9"/>
    <mergeCell ref="BZ5:BZ9"/>
    <mergeCell ref="CA5:CA9"/>
    <mergeCell ref="D2:BL2"/>
    <mergeCell ref="D3:BL3"/>
    <mergeCell ref="BR5:BR9"/>
    <mergeCell ref="BS5:BS9"/>
    <mergeCell ref="BT5:BT9"/>
    <mergeCell ref="BU5:BU9"/>
    <mergeCell ref="BV5:BV9"/>
    <mergeCell ref="BW5:BW9"/>
    <mergeCell ref="BL5:BL9"/>
    <mergeCell ref="BM5:BM9"/>
    <mergeCell ref="BN5:BN9"/>
    <mergeCell ref="BO5:BO9"/>
    <mergeCell ref="BP5:BP9"/>
    <mergeCell ref="BQ5:BQ9"/>
    <mergeCell ref="BF5:BF9"/>
    <mergeCell ref="BG5:BG9"/>
    <mergeCell ref="BH5:BH9"/>
    <mergeCell ref="BI5:BI9"/>
    <mergeCell ref="BJ5:BJ9"/>
    <mergeCell ref="BK5:BK9"/>
    <mergeCell ref="AZ5:AZ9"/>
    <mergeCell ref="BA5:BA9"/>
    <mergeCell ref="BB5:BB9"/>
    <mergeCell ref="BC5:BC9"/>
    <mergeCell ref="BD5:BD9"/>
    <mergeCell ref="BE5:BE9"/>
    <mergeCell ref="AT5:AT9"/>
    <mergeCell ref="AU5:AU9"/>
    <mergeCell ref="AV5:AV9"/>
    <mergeCell ref="AW5:AW9"/>
    <mergeCell ref="AX5:AX9"/>
    <mergeCell ref="AY5:AY9"/>
    <mergeCell ref="AC5:AI5"/>
    <mergeCell ref="AJ5:AO5"/>
    <mergeCell ref="AP5:AP9"/>
    <mergeCell ref="AQ5:AQ9"/>
    <mergeCell ref="AR5:AR9"/>
    <mergeCell ref="AS5:AS9"/>
    <mergeCell ref="I5:I9"/>
    <mergeCell ref="J5:J9"/>
    <mergeCell ref="K5:K9"/>
    <mergeCell ref="L5:N5"/>
    <mergeCell ref="O5:U5"/>
    <mergeCell ref="V5:AB5"/>
    <mergeCell ref="A5:A9"/>
    <mergeCell ref="B5:B9"/>
    <mergeCell ref="C5:C9"/>
    <mergeCell ref="D5:D9"/>
    <mergeCell ref="E5:E9"/>
    <mergeCell ref="F5:F9"/>
    <mergeCell ref="G5:G9"/>
    <mergeCell ref="H5:H9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17239-9428-4006-8FDB-B45A782D05AB}">
  <sheetPr codeName="Feuil8" filterMode="1"/>
  <dimension ref="A2:CC334"/>
  <sheetViews>
    <sheetView showGridLines="0" zoomScale="70" zoomScaleNormal="70" workbookViewId="0">
      <selection activeCell="D3" sqref="D3:BL3"/>
    </sheetView>
  </sheetViews>
  <sheetFormatPr baseColWidth="10" defaultColWidth="9.1640625" defaultRowHeight="12" x14ac:dyDescent="0.2"/>
  <cols>
    <col min="1" max="1" width="35.83203125" style="40" bestFit="1" customWidth="1"/>
    <col min="2" max="3" width="73.6640625" style="40" bestFit="1" customWidth="1"/>
    <col min="4" max="6" width="36" style="40" customWidth="1"/>
    <col min="7" max="12" width="17.83203125" style="40" customWidth="1"/>
    <col min="13" max="13" width="11.1640625" style="40" customWidth="1"/>
    <col min="14" max="14" width="0.5" style="40" customWidth="1"/>
    <col min="15" max="62" width="17.83203125" style="40" customWidth="1"/>
    <col min="63" max="64" width="17" style="40" bestFit="1" customWidth="1"/>
    <col min="65" max="65" width="10.33203125" style="40" bestFit="1" customWidth="1"/>
    <col min="66" max="66" width="12.83203125" style="40" bestFit="1" customWidth="1"/>
    <col min="67" max="67" width="13.33203125" style="40" bestFit="1" customWidth="1"/>
    <col min="68" max="68" width="14" style="40" bestFit="1" customWidth="1"/>
    <col min="69" max="69" width="12.5" style="40" bestFit="1" customWidth="1"/>
    <col min="70" max="70" width="18.6640625" style="40" bestFit="1" customWidth="1"/>
    <col min="71" max="71" width="9.1640625" style="40" bestFit="1" customWidth="1"/>
    <col min="72" max="72" width="8.6640625" style="40" bestFit="1" customWidth="1"/>
    <col min="73" max="73" width="14.6640625" style="40" bestFit="1" customWidth="1"/>
    <col min="74" max="74" width="8.5" style="40" bestFit="1" customWidth="1"/>
    <col min="75" max="75" width="9.1640625" style="40" bestFit="1" customWidth="1"/>
    <col min="76" max="76" width="20" style="40" bestFit="1" customWidth="1"/>
    <col min="77" max="77" width="12.5" style="40" bestFit="1" customWidth="1"/>
    <col min="78" max="78" width="13.6640625" style="40" bestFit="1" customWidth="1"/>
    <col min="79" max="79" width="15.5" style="40" bestFit="1" customWidth="1"/>
    <col min="80" max="80" width="13.6640625" style="40" bestFit="1" customWidth="1"/>
    <col min="81" max="81" width="15.5" style="40" bestFit="1" customWidth="1"/>
    <col min="82" max="16384" width="9.1640625" style="40"/>
  </cols>
  <sheetData>
    <row r="2" spans="1:81" x14ac:dyDescent="0.2">
      <c r="D2" s="53" t="s">
        <v>53</v>
      </c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</row>
    <row r="3" spans="1:81" x14ac:dyDescent="0.2">
      <c r="D3" s="57" t="s">
        <v>580</v>
      </c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</row>
    <row r="4" spans="1:81" ht="34.5" customHeight="1" x14ac:dyDescent="0.2">
      <c r="AP4" s="16"/>
      <c r="AQ4" s="16">
        <f>ROUND(SUBTOTAL(9,$AQ$10:$AQ$332),2)</f>
        <v>0</v>
      </c>
      <c r="AR4" s="16">
        <f>ROUND(SUBTOTAL(9,$AR$10:$AR$332),2)</f>
        <v>3</v>
      </c>
      <c r="AS4" s="16">
        <f>ROUND(SUBTOTAL(9,$AS$10:$AS$332),2)</f>
        <v>112</v>
      </c>
      <c r="AT4" s="16">
        <f>ROUND(SUBTOTAL(9,$AT$10:$AT$332),2)</f>
        <v>0</v>
      </c>
      <c r="AU4" s="16">
        <f>ROUND(SUBTOTAL(9,$AU$10:$AU$332),2)</f>
        <v>15</v>
      </c>
      <c r="AV4" s="16"/>
      <c r="AW4" s="16">
        <f>ROUND(SUBTOTAL(9,$AW$10:$AW$332),2)</f>
        <v>0</v>
      </c>
      <c r="AX4" s="16">
        <f>ROUND(SUBTOTAL(9,$AX$10:$AX$332),2)</f>
        <v>0</v>
      </c>
      <c r="AY4" s="16">
        <f>ROUND(SUBTOTAL(9,$AY$10:$AY$332),2)</f>
        <v>0</v>
      </c>
      <c r="AZ4" s="16">
        <f>ROUND(SUBTOTAL(9,$AZ$10:$AZ$332),2)</f>
        <v>0</v>
      </c>
      <c r="BA4" s="16">
        <f>ROUND(SUBTOTAL(9,$BA$10:$BA$332),2)</f>
        <v>0</v>
      </c>
      <c r="BB4" s="16">
        <f>ROUND(SUBTOTAL(9,$BB$10:$BB$332),2)</f>
        <v>0</v>
      </c>
      <c r="BC4" s="16">
        <f>ROUND(SUBTOTAL(9,$BC$10:$BC$332),2)</f>
        <v>0</v>
      </c>
      <c r="BD4" s="16">
        <f>ROUND(SUBTOTAL(9,$BD$10:$BD$332),2)</f>
        <v>0</v>
      </c>
      <c r="BE4" s="16">
        <f>ROUND(SUBTOTAL(9,$BE$10:$BE$332),2)</f>
        <v>0</v>
      </c>
      <c r="BF4" s="16">
        <f>ROUND(SUBTOTAL(9,$BF$10:$BF$332),2)</f>
        <v>0</v>
      </c>
      <c r="BG4" s="16">
        <f>ROUND(SUBTOTAL(9,$BG$10:$BG$332),2)</f>
        <v>0</v>
      </c>
      <c r="BH4" s="16">
        <f>ROUND(SUBTOTAL(9,$BH$10:$BH$332),2)</f>
        <v>0</v>
      </c>
      <c r="BI4" s="16">
        <f>ROUND(SUBTOTAL(9,$BI$10:$BI$332),2)</f>
        <v>0</v>
      </c>
      <c r="BJ4" s="16">
        <f>ROUND(SUBTOTAL(9,$BJ$10:$BJ$332),2)</f>
        <v>0</v>
      </c>
      <c r="BK4" s="15">
        <f>ROUND(SUBTOTAL(9,$BK$10:$BK$332),2)</f>
        <v>133.93</v>
      </c>
      <c r="BL4" s="15">
        <f>ROUND(SUBTOTAL(9,$BL$10:$BL$332),2)</f>
        <v>36.93</v>
      </c>
      <c r="BM4" s="15">
        <f>ROUND(SUBTOTAL(9,$BM$10:$BM$332),2)</f>
        <v>0</v>
      </c>
      <c r="BN4" s="15">
        <f>ROUND(SUBTOTAL(9,$BN$10:$BN$332),2)</f>
        <v>10</v>
      </c>
      <c r="BO4" s="15">
        <f>ROUND(SUBTOTAL(9,$BO$10:$BO$332),2)</f>
        <v>0</v>
      </c>
      <c r="BP4" s="15">
        <f>ROUND(SUBTOTAL(9,$BP$10:$BP$332),2)</f>
        <v>0</v>
      </c>
      <c r="BQ4" s="15">
        <f>ROUND(SUBTOTAL(9,$BQ$10:$BQ$332),2)</f>
        <v>0</v>
      </c>
      <c r="BR4" s="15">
        <f>ROUND(SUBTOTAL(9,$BR$10:$BR$332),2)</f>
        <v>1</v>
      </c>
      <c r="BS4" s="17">
        <f>ROUND(SUBTOTAL(9,$BS$10:$BS$332),2)</f>
        <v>3</v>
      </c>
      <c r="BT4" s="17">
        <f>ROUND(SUBTOTAL(9,$BT$10:$BT$332),2)</f>
        <v>0</v>
      </c>
      <c r="BU4" s="17">
        <f>ROUND(SUBTOTAL(9,$BU$10:$BU$332),2)</f>
        <v>0</v>
      </c>
      <c r="BV4" s="17">
        <f>ROUND(SUBTOTAL(9,$BV$10:$BV$332),2)</f>
        <v>0</v>
      </c>
      <c r="BW4" s="17">
        <f>ROUND(SUBTOTAL(9,$BW$10:$BW$332),2)</f>
        <v>0</v>
      </c>
      <c r="BX4" s="17">
        <f>ROUND(SUBTOTAL(9,$BX$10:$BX$332),2)</f>
        <v>0</v>
      </c>
      <c r="BY4" s="21">
        <f>ROUND(SUBTOTAL(9,$BY$10:$BY$332),2)</f>
        <v>0</v>
      </c>
      <c r="BZ4" s="21">
        <f>ROUND(SUBTOTAL(9,$BZ$10:$BZ$332),2)</f>
        <v>0</v>
      </c>
      <c r="CA4" s="21">
        <f>ROUND(SUBTOTAL(9,$CA$10:$CA$332),2)</f>
        <v>0</v>
      </c>
      <c r="CB4" s="21" t="e">
        <f>ROUND(SUBTOTAL(9,#REF!),2)</f>
        <v>#REF!</v>
      </c>
      <c r="CC4" s="21" t="e">
        <f>ROUND(SUBTOTAL(9,#REF!),2)</f>
        <v>#REF!</v>
      </c>
    </row>
    <row r="5" spans="1:81" ht="26.25" customHeight="1" x14ac:dyDescent="0.2">
      <c r="A5" s="46" t="s">
        <v>42</v>
      </c>
      <c r="B5" s="46" t="s">
        <v>43</v>
      </c>
      <c r="C5" s="47" t="s">
        <v>20</v>
      </c>
      <c r="D5" s="42" t="s">
        <v>13</v>
      </c>
      <c r="E5" s="42" t="s">
        <v>14</v>
      </c>
      <c r="F5" s="42" t="s">
        <v>15</v>
      </c>
      <c r="G5" s="42" t="s">
        <v>16</v>
      </c>
      <c r="H5" s="42" t="s">
        <v>17</v>
      </c>
      <c r="I5" s="42" t="s">
        <v>18</v>
      </c>
      <c r="J5" s="42" t="s">
        <v>19</v>
      </c>
      <c r="K5" s="42" t="s">
        <v>20</v>
      </c>
      <c r="L5" s="45" t="s">
        <v>1127</v>
      </c>
      <c r="M5" s="45" t="s">
        <v>1127</v>
      </c>
      <c r="N5" s="45" t="s">
        <v>1127</v>
      </c>
      <c r="O5" s="45" t="s">
        <v>1128</v>
      </c>
      <c r="P5" s="45" t="s">
        <v>1128</v>
      </c>
      <c r="Q5" s="45" t="s">
        <v>1128</v>
      </c>
      <c r="R5" s="45" t="s">
        <v>1128</v>
      </c>
      <c r="S5" s="45" t="s">
        <v>1128</v>
      </c>
      <c r="T5" s="45" t="s">
        <v>1128</v>
      </c>
      <c r="U5" s="45" t="s">
        <v>1128</v>
      </c>
      <c r="V5" s="45" t="s">
        <v>1129</v>
      </c>
      <c r="W5" s="45" t="s">
        <v>1129</v>
      </c>
      <c r="X5" s="45" t="s">
        <v>1129</v>
      </c>
      <c r="Y5" s="45" t="s">
        <v>1129</v>
      </c>
      <c r="Z5" s="45" t="s">
        <v>1129</v>
      </c>
      <c r="AA5" s="45" t="s">
        <v>1129</v>
      </c>
      <c r="AB5" s="45" t="s">
        <v>1129</v>
      </c>
      <c r="AC5" s="45" t="s">
        <v>1130</v>
      </c>
      <c r="AD5" s="45" t="s">
        <v>1130</v>
      </c>
      <c r="AE5" s="45" t="s">
        <v>1130</v>
      </c>
      <c r="AF5" s="45" t="s">
        <v>1130</v>
      </c>
      <c r="AG5" s="45" t="s">
        <v>1130</v>
      </c>
      <c r="AH5" s="45" t="s">
        <v>1130</v>
      </c>
      <c r="AI5" s="45" t="s">
        <v>1130</v>
      </c>
      <c r="AJ5" s="45" t="s">
        <v>1131</v>
      </c>
      <c r="AK5" s="45" t="s">
        <v>1131</v>
      </c>
      <c r="AL5" s="45" t="s">
        <v>1131</v>
      </c>
      <c r="AM5" s="45" t="s">
        <v>1131</v>
      </c>
      <c r="AN5" s="45" t="s">
        <v>1131</v>
      </c>
      <c r="AO5" s="45" t="s">
        <v>1131</v>
      </c>
      <c r="AP5" s="41" t="s">
        <v>21</v>
      </c>
      <c r="AQ5" s="41" t="s">
        <v>22</v>
      </c>
      <c r="AR5" s="41" t="s">
        <v>23</v>
      </c>
      <c r="AS5" s="41" t="s">
        <v>24</v>
      </c>
      <c r="AT5" s="41" t="s">
        <v>25</v>
      </c>
      <c r="AU5" s="41" t="s">
        <v>26</v>
      </c>
      <c r="AV5" s="41" t="s">
        <v>27</v>
      </c>
      <c r="AW5" s="41" t="s">
        <v>28</v>
      </c>
      <c r="AX5" s="41" t="s">
        <v>29</v>
      </c>
      <c r="AY5" s="41" t="s">
        <v>30</v>
      </c>
      <c r="AZ5" s="41" t="s">
        <v>31</v>
      </c>
      <c r="BA5" s="41" t="s">
        <v>32</v>
      </c>
      <c r="BB5" s="41" t="s">
        <v>33</v>
      </c>
      <c r="BC5" s="41" t="s">
        <v>34</v>
      </c>
      <c r="BD5" s="41" t="s">
        <v>35</v>
      </c>
      <c r="BE5" s="41" t="s">
        <v>36</v>
      </c>
      <c r="BF5" s="41" t="s">
        <v>37</v>
      </c>
      <c r="BG5" s="41" t="s">
        <v>38</v>
      </c>
      <c r="BH5" s="41" t="s">
        <v>39</v>
      </c>
      <c r="BI5" s="41" t="s">
        <v>40</v>
      </c>
      <c r="BJ5" s="41" t="s">
        <v>41</v>
      </c>
      <c r="BK5" s="48" t="s">
        <v>44</v>
      </c>
      <c r="BL5" s="48" t="s">
        <v>45</v>
      </c>
      <c r="BM5" s="48" t="s">
        <v>46</v>
      </c>
      <c r="BN5" s="48" t="s">
        <v>47</v>
      </c>
      <c r="BO5" s="48" t="s">
        <v>48</v>
      </c>
      <c r="BP5" s="48" t="s">
        <v>49</v>
      </c>
      <c r="BQ5" s="48" t="s">
        <v>50</v>
      </c>
      <c r="BR5" s="48" t="s">
        <v>51</v>
      </c>
      <c r="BS5" s="50" t="s">
        <v>55</v>
      </c>
      <c r="BT5" s="50" t="s">
        <v>56</v>
      </c>
      <c r="BU5" s="50" t="s">
        <v>57</v>
      </c>
      <c r="BV5" s="50" t="s">
        <v>58</v>
      </c>
      <c r="BW5" s="50" t="s">
        <v>59</v>
      </c>
      <c r="BX5" s="50" t="s">
        <v>60</v>
      </c>
      <c r="BY5" s="49" t="s">
        <v>61</v>
      </c>
      <c r="BZ5" s="49" t="s">
        <v>62</v>
      </c>
      <c r="CA5" s="49" t="s">
        <v>63</v>
      </c>
    </row>
    <row r="6" spans="1:81" ht="75" hidden="1" x14ac:dyDescent="0.2">
      <c r="A6" s="46"/>
      <c r="B6" s="46"/>
      <c r="C6" s="47"/>
      <c r="D6" s="42"/>
      <c r="E6" s="42"/>
      <c r="F6" s="42"/>
      <c r="G6" s="42"/>
      <c r="H6" s="42"/>
      <c r="I6" s="42"/>
      <c r="J6" s="42"/>
      <c r="K6" s="42"/>
      <c r="L6" s="39" t="s">
        <v>1132</v>
      </c>
      <c r="M6" s="39" t="s">
        <v>1133</v>
      </c>
      <c r="N6" s="39" t="s">
        <v>1134</v>
      </c>
      <c r="O6" s="39" t="s">
        <v>1135</v>
      </c>
      <c r="P6" s="39" t="s">
        <v>1136</v>
      </c>
      <c r="Q6" s="39" t="s">
        <v>1137</v>
      </c>
      <c r="R6" s="39" t="s">
        <v>1138</v>
      </c>
      <c r="S6" s="39" t="s">
        <v>1139</v>
      </c>
      <c r="T6" s="39" t="s">
        <v>1140</v>
      </c>
      <c r="U6" s="39" t="s">
        <v>1141</v>
      </c>
      <c r="V6" s="39" t="s">
        <v>1142</v>
      </c>
      <c r="W6" s="39" t="s">
        <v>1143</v>
      </c>
      <c r="X6" s="39" t="s">
        <v>1144</v>
      </c>
      <c r="Y6" s="39" t="s">
        <v>1145</v>
      </c>
      <c r="Z6" s="39" t="s">
        <v>1146</v>
      </c>
      <c r="AA6" s="39" t="s">
        <v>1147</v>
      </c>
      <c r="AB6" s="39" t="s">
        <v>1148</v>
      </c>
      <c r="AC6" s="39" t="s">
        <v>1149</v>
      </c>
      <c r="AD6" s="39" t="s">
        <v>1150</v>
      </c>
      <c r="AE6" s="39" t="s">
        <v>1151</v>
      </c>
      <c r="AF6" s="39" t="s">
        <v>1152</v>
      </c>
      <c r="AG6" s="39" t="s">
        <v>1153</v>
      </c>
      <c r="AH6" s="39" t="s">
        <v>1154</v>
      </c>
      <c r="AI6" s="39" t="s">
        <v>1155</v>
      </c>
      <c r="AJ6" s="39" t="s">
        <v>1156</v>
      </c>
      <c r="AK6" s="39" t="s">
        <v>1157</v>
      </c>
      <c r="AL6" s="39" t="s">
        <v>1158</v>
      </c>
      <c r="AM6" s="39" t="s">
        <v>1159</v>
      </c>
      <c r="AN6" s="39" t="s">
        <v>1160</v>
      </c>
      <c r="AO6" s="39" t="s">
        <v>1161</v>
      </c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8"/>
      <c r="BL6" s="48"/>
      <c r="BM6" s="48"/>
      <c r="BN6" s="48"/>
      <c r="BO6" s="48"/>
      <c r="BP6" s="48"/>
      <c r="BQ6" s="48"/>
      <c r="BR6" s="48"/>
      <c r="BS6" s="51"/>
      <c r="BT6" s="51"/>
      <c r="BU6" s="51"/>
      <c r="BV6" s="51"/>
      <c r="BW6" s="51"/>
      <c r="BX6" s="51"/>
      <c r="BY6" s="49"/>
      <c r="BZ6" s="49"/>
      <c r="CA6" s="49"/>
    </row>
    <row r="7" spans="1:81" ht="15" hidden="1" x14ac:dyDescent="0.25">
      <c r="A7" s="46"/>
      <c r="B7" s="46"/>
      <c r="C7" s="47"/>
      <c r="D7" s="42"/>
      <c r="E7" s="42"/>
      <c r="F7" s="42"/>
      <c r="G7" s="42"/>
      <c r="H7" s="42"/>
      <c r="I7" s="42"/>
      <c r="J7" s="42"/>
      <c r="K7" s="42"/>
      <c r="L7" s="18"/>
      <c r="M7" s="18"/>
      <c r="N7" s="18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8"/>
      <c r="BL7" s="48"/>
      <c r="BM7" s="48"/>
      <c r="BN7" s="48"/>
      <c r="BO7" s="48"/>
      <c r="BP7" s="48"/>
      <c r="BQ7" s="48"/>
      <c r="BR7" s="48"/>
      <c r="BS7" s="51"/>
      <c r="BT7" s="51"/>
      <c r="BU7" s="51"/>
      <c r="BV7" s="51"/>
      <c r="BW7" s="51"/>
      <c r="BX7" s="51"/>
      <c r="BY7" s="49"/>
      <c r="BZ7" s="49"/>
      <c r="CA7" s="49"/>
    </row>
    <row r="8" spans="1:81" ht="15" hidden="1" x14ac:dyDescent="0.25">
      <c r="A8" s="46"/>
      <c r="B8" s="46"/>
      <c r="C8" s="47"/>
      <c r="D8" s="42"/>
      <c r="E8" s="42"/>
      <c r="F8" s="42"/>
      <c r="G8" s="42"/>
      <c r="H8" s="42"/>
      <c r="I8" s="42"/>
      <c r="J8" s="42"/>
      <c r="K8" s="42"/>
      <c r="L8" s="19"/>
      <c r="M8" s="19"/>
      <c r="N8" s="19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8"/>
      <c r="BL8" s="48"/>
      <c r="BM8" s="48"/>
      <c r="BN8" s="48"/>
      <c r="BO8" s="48"/>
      <c r="BP8" s="48"/>
      <c r="BQ8" s="48"/>
      <c r="BR8" s="48"/>
      <c r="BS8" s="51"/>
      <c r="BT8" s="51"/>
      <c r="BU8" s="51"/>
      <c r="BV8" s="51"/>
      <c r="BW8" s="51"/>
      <c r="BX8" s="51"/>
      <c r="BY8" s="49"/>
      <c r="BZ8" s="49"/>
      <c r="CA8" s="49"/>
    </row>
    <row r="9" spans="1:81" ht="15" hidden="1" x14ac:dyDescent="0.25">
      <c r="A9" s="46"/>
      <c r="B9" s="46"/>
      <c r="C9" s="47"/>
      <c r="D9" s="42"/>
      <c r="E9" s="42"/>
      <c r="F9" s="42"/>
      <c r="G9" s="42"/>
      <c r="H9" s="42"/>
      <c r="I9" s="42"/>
      <c r="J9" s="42"/>
      <c r="K9" s="42"/>
      <c r="L9" s="20"/>
      <c r="M9" s="20"/>
      <c r="N9" s="20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8"/>
      <c r="BL9" s="48"/>
      <c r="BM9" s="48"/>
      <c r="BN9" s="48"/>
      <c r="BO9" s="48"/>
      <c r="BP9" s="48"/>
      <c r="BQ9" s="48"/>
      <c r="BR9" s="48"/>
      <c r="BS9" s="52"/>
      <c r="BT9" s="52"/>
      <c r="BU9" s="52"/>
      <c r="BV9" s="52"/>
      <c r="BW9" s="52"/>
      <c r="BX9" s="52"/>
      <c r="BY9" s="49"/>
      <c r="BZ9" s="49"/>
      <c r="CA9" s="49"/>
    </row>
    <row r="10" spans="1:81" ht="16.5" hidden="1" x14ac:dyDescent="0.2">
      <c r="A10" s="12" t="s">
        <v>102</v>
      </c>
      <c r="B10" s="12" t="s">
        <v>103</v>
      </c>
      <c r="C10" s="12" t="s">
        <v>103</v>
      </c>
      <c r="D10" s="22" t="s">
        <v>1162</v>
      </c>
      <c r="E10" s="22" t="s">
        <v>149</v>
      </c>
      <c r="F10" s="22" t="s">
        <v>593</v>
      </c>
      <c r="G10" s="22" t="s">
        <v>594</v>
      </c>
      <c r="H10" s="22" t="s">
        <v>150</v>
      </c>
      <c r="I10" s="22" t="s">
        <v>151</v>
      </c>
      <c r="J10" s="22" t="s">
        <v>152</v>
      </c>
      <c r="K10" s="22" t="s">
        <v>64</v>
      </c>
      <c r="L10" s="54" t="s">
        <v>153</v>
      </c>
      <c r="M10" s="23" t="s">
        <v>154</v>
      </c>
      <c r="N10" s="24" t="s">
        <v>153</v>
      </c>
      <c r="O10" s="35" t="s">
        <v>170</v>
      </c>
      <c r="P10" s="35" t="s">
        <v>170</v>
      </c>
      <c r="Q10" s="26" t="s">
        <v>1163</v>
      </c>
      <c r="R10" s="25" t="s">
        <v>154</v>
      </c>
      <c r="S10" s="25" t="s">
        <v>154</v>
      </c>
      <c r="T10" s="34" t="s">
        <v>154</v>
      </c>
      <c r="U10" s="24" t="s">
        <v>153</v>
      </c>
      <c r="V10" s="54" t="s">
        <v>156</v>
      </c>
      <c r="W10" s="25" t="s">
        <v>1164</v>
      </c>
      <c r="X10" s="26" t="s">
        <v>1163</v>
      </c>
      <c r="Y10" s="26" t="s">
        <v>1163</v>
      </c>
      <c r="Z10" s="23" t="s">
        <v>157</v>
      </c>
      <c r="AA10" s="26" t="s">
        <v>1163</v>
      </c>
      <c r="AB10" s="24" t="s">
        <v>153</v>
      </c>
      <c r="AC10" s="23" t="s">
        <v>154</v>
      </c>
      <c r="AD10" s="23" t="s">
        <v>154</v>
      </c>
      <c r="AE10" s="23" t="s">
        <v>154</v>
      </c>
      <c r="AF10" s="26" t="s">
        <v>1163</v>
      </c>
      <c r="AG10" s="26" t="s">
        <v>1163</v>
      </c>
      <c r="AH10" s="24" t="s">
        <v>156</v>
      </c>
      <c r="AI10" s="24" t="s">
        <v>153</v>
      </c>
      <c r="AJ10" s="24" t="s">
        <v>156</v>
      </c>
      <c r="AK10" s="26" t="s">
        <v>1163</v>
      </c>
      <c r="AL10" s="26" t="s">
        <v>1163</v>
      </c>
      <c r="AM10" s="26" t="s">
        <v>1163</v>
      </c>
      <c r="AN10" s="26" t="s">
        <v>1163</v>
      </c>
      <c r="AO10" s="25" t="s">
        <v>157</v>
      </c>
      <c r="AP10" s="23">
        <f>VALUE(4)</f>
        <v>4</v>
      </c>
      <c r="AQ10" s="23">
        <f>VALUE(0)</f>
        <v>0</v>
      </c>
      <c r="AR10" s="23">
        <f>VALUE(0)</f>
        <v>0</v>
      </c>
      <c r="AS10" s="23">
        <f>VALUE(0)</f>
        <v>0</v>
      </c>
      <c r="AT10" s="23">
        <f>VALUE(0)</f>
        <v>0</v>
      </c>
      <c r="AU10" s="23">
        <f>VALUE(0)</f>
        <v>0</v>
      </c>
      <c r="AV10" s="23">
        <f>VALUE(10)</f>
        <v>10</v>
      </c>
      <c r="AW10" s="23">
        <f>VALUE(0)</f>
        <v>0</v>
      </c>
      <c r="AX10" s="23" t="s">
        <v>171</v>
      </c>
      <c r="AY10" s="23" t="s">
        <v>1165</v>
      </c>
      <c r="AZ10" s="23">
        <f>VALUE(0)</f>
        <v>0</v>
      </c>
      <c r="BA10" s="23">
        <f>VALUE(0)</f>
        <v>0</v>
      </c>
      <c r="BB10" s="23">
        <f>VALUE(0)</f>
        <v>0</v>
      </c>
      <c r="BC10" s="23">
        <f>VALUE(0)</f>
        <v>0</v>
      </c>
      <c r="BD10" s="23">
        <f>VALUE(1)</f>
        <v>1</v>
      </c>
      <c r="BE10" s="23">
        <f>VALUE(2)</f>
        <v>2</v>
      </c>
      <c r="BF10" s="23">
        <f>VALUE(0)</f>
        <v>0</v>
      </c>
      <c r="BG10" s="23">
        <f>VALUE(0)</f>
        <v>0</v>
      </c>
      <c r="BH10" s="23">
        <f>VALUE(0)</f>
        <v>0</v>
      </c>
      <c r="BI10" s="23">
        <f>VALUE(0)</f>
        <v>0</v>
      </c>
      <c r="BJ10" s="23">
        <f>VALUE(0)</f>
        <v>0</v>
      </c>
      <c r="BK10" s="12">
        <f>$AX$10*24</f>
        <v>5.833333333333333</v>
      </c>
      <c r="BL10" s="12">
        <f>$AY$10*24</f>
        <v>122.33333333333334</v>
      </c>
      <c r="BM10" s="12">
        <f>$BJ$10*24</f>
        <v>0</v>
      </c>
      <c r="BN10" s="12">
        <f>VALUE($I$10)/100</f>
        <v>1</v>
      </c>
      <c r="BO10" s="12">
        <v>0</v>
      </c>
      <c r="BP10" s="12">
        <v>0</v>
      </c>
      <c r="BQ10" s="12">
        <v>0</v>
      </c>
      <c r="BR10" s="12">
        <v>1</v>
      </c>
      <c r="BS10" s="12">
        <v>0</v>
      </c>
      <c r="BT10" s="12">
        <v>0</v>
      </c>
      <c r="BU10" s="12">
        <v>0</v>
      </c>
      <c r="BV10" s="12">
        <v>0</v>
      </c>
      <c r="BW10" s="12">
        <v>0</v>
      </c>
      <c r="BX10" s="12">
        <v>0</v>
      </c>
      <c r="BY10" s="12">
        <v>0</v>
      </c>
      <c r="BZ10" s="12">
        <v>0</v>
      </c>
      <c r="CA10" s="12">
        <v>0</v>
      </c>
    </row>
    <row r="11" spans="1:81" hidden="1" x14ac:dyDescent="0.2">
      <c r="A11" s="12" t="s">
        <v>102</v>
      </c>
      <c r="B11" s="12" t="s">
        <v>103</v>
      </c>
      <c r="C11" s="12" t="s">
        <v>103</v>
      </c>
      <c r="D11" s="22" t="s">
        <v>583</v>
      </c>
      <c r="E11" s="22" t="s">
        <v>159</v>
      </c>
      <c r="F11" s="22" t="s">
        <v>595</v>
      </c>
      <c r="G11" s="22" t="s">
        <v>596</v>
      </c>
      <c r="H11" s="22" t="s">
        <v>150</v>
      </c>
      <c r="I11" s="22" t="s">
        <v>151</v>
      </c>
      <c r="J11" s="22" t="s">
        <v>152</v>
      </c>
      <c r="K11" s="22" t="s">
        <v>64</v>
      </c>
      <c r="L11" s="54" t="s">
        <v>153</v>
      </c>
      <c r="M11" s="27" t="s">
        <v>153</v>
      </c>
      <c r="N11" s="27" t="s">
        <v>153</v>
      </c>
      <c r="O11" s="27" t="s">
        <v>153</v>
      </c>
      <c r="P11" s="27" t="s">
        <v>153</v>
      </c>
      <c r="Q11" s="27" t="s">
        <v>153</v>
      </c>
      <c r="R11" s="27" t="s">
        <v>153</v>
      </c>
      <c r="S11" s="27" t="s">
        <v>153</v>
      </c>
      <c r="T11" s="27" t="s">
        <v>153</v>
      </c>
      <c r="U11" s="27" t="s">
        <v>153</v>
      </c>
      <c r="V11" s="54" t="s">
        <v>156</v>
      </c>
      <c r="W11" s="27" t="s">
        <v>153</v>
      </c>
      <c r="X11" s="27" t="s">
        <v>153</v>
      </c>
      <c r="Y11" s="27" t="s">
        <v>153</v>
      </c>
      <c r="Z11" s="27" t="s">
        <v>153</v>
      </c>
      <c r="AA11" s="27" t="s">
        <v>153</v>
      </c>
      <c r="AB11" s="27" t="s">
        <v>153</v>
      </c>
      <c r="AC11" s="27" t="s">
        <v>153</v>
      </c>
      <c r="AD11" s="27" t="s">
        <v>153</v>
      </c>
      <c r="AE11" s="27" t="s">
        <v>153</v>
      </c>
      <c r="AF11" s="27" t="s">
        <v>153</v>
      </c>
      <c r="AG11" s="27" t="s">
        <v>153</v>
      </c>
      <c r="AH11" s="27" t="s">
        <v>153</v>
      </c>
      <c r="AI11" s="27" t="s">
        <v>153</v>
      </c>
      <c r="AJ11" s="27" t="s">
        <v>153</v>
      </c>
      <c r="AK11" s="27" t="s">
        <v>153</v>
      </c>
      <c r="AL11" s="27" t="s">
        <v>153</v>
      </c>
      <c r="AM11" s="27" t="s">
        <v>153</v>
      </c>
      <c r="AN11" s="27" t="s">
        <v>153</v>
      </c>
      <c r="AO11" s="27" t="s">
        <v>153</v>
      </c>
      <c r="AP11" s="23">
        <f>VALUE(0)</f>
        <v>0</v>
      </c>
      <c r="AQ11" s="23">
        <f>VALUE(0)</f>
        <v>0</v>
      </c>
      <c r="AR11" s="23">
        <f>VALUE(0)</f>
        <v>0</v>
      </c>
      <c r="AS11" s="23">
        <f>VALUE(0)</f>
        <v>0</v>
      </c>
      <c r="AT11" s="23">
        <f>VALUE(0)</f>
        <v>0</v>
      </c>
      <c r="AU11" s="23">
        <f>VALUE(0)</f>
        <v>0</v>
      </c>
      <c r="AV11" s="23">
        <f>VALUE(0)</f>
        <v>0</v>
      </c>
      <c r="AW11" s="23">
        <f>VALUE(0)</f>
        <v>0</v>
      </c>
      <c r="AX11" s="23">
        <f>VALUE(0)</f>
        <v>0</v>
      </c>
      <c r="AY11" s="23">
        <f>VALUE(0)</f>
        <v>0</v>
      </c>
      <c r="AZ11" s="23">
        <f>VALUE(0)</f>
        <v>0</v>
      </c>
      <c r="BA11" s="23">
        <f>VALUE(0)</f>
        <v>0</v>
      </c>
      <c r="BB11" s="23">
        <f>VALUE(0)</f>
        <v>0</v>
      </c>
      <c r="BC11" s="23">
        <f>VALUE(0)</f>
        <v>0</v>
      </c>
      <c r="BD11" s="23">
        <f>VALUE(0)</f>
        <v>0</v>
      </c>
      <c r="BE11" s="23">
        <f>VALUE(0)</f>
        <v>0</v>
      </c>
      <c r="BF11" s="23">
        <f>VALUE(0)</f>
        <v>0</v>
      </c>
      <c r="BG11" s="23">
        <f>VALUE(0)</f>
        <v>0</v>
      </c>
      <c r="BH11" s="23">
        <f>VALUE(0)</f>
        <v>0</v>
      </c>
      <c r="BI11" s="23">
        <f>VALUE(0)</f>
        <v>0</v>
      </c>
      <c r="BJ11" s="23">
        <f>VALUE(0)</f>
        <v>0</v>
      </c>
      <c r="BK11" s="12">
        <f>$AX$11*24</f>
        <v>0</v>
      </c>
      <c r="BL11" s="12">
        <f>$AY$11*24</f>
        <v>0</v>
      </c>
      <c r="BM11" s="12">
        <f>$BJ$11*24</f>
        <v>0</v>
      </c>
      <c r="BN11" s="12">
        <f>VALUE($I$11)/100</f>
        <v>1</v>
      </c>
      <c r="BO11" s="12">
        <v>0</v>
      </c>
      <c r="BP11" s="12">
        <v>0</v>
      </c>
      <c r="BQ11" s="12">
        <v>0</v>
      </c>
      <c r="BR11" s="12">
        <v>0</v>
      </c>
      <c r="BS11" s="12">
        <v>0</v>
      </c>
      <c r="BT11" s="12">
        <v>0</v>
      </c>
      <c r="BU11" s="12">
        <v>0</v>
      </c>
      <c r="BV11" s="12">
        <v>0</v>
      </c>
      <c r="BW11" s="12">
        <v>0</v>
      </c>
      <c r="BX11" s="12">
        <v>0</v>
      </c>
      <c r="BY11" s="12">
        <v>0</v>
      </c>
      <c r="BZ11" s="12">
        <v>0</v>
      </c>
      <c r="CA11" s="12">
        <v>0</v>
      </c>
    </row>
    <row r="12" spans="1:81" hidden="1" x14ac:dyDescent="0.2">
      <c r="A12" s="12" t="s">
        <v>102</v>
      </c>
      <c r="B12" s="12" t="s">
        <v>103</v>
      </c>
      <c r="C12" s="12" t="s">
        <v>103</v>
      </c>
      <c r="D12" s="22" t="s">
        <v>165</v>
      </c>
      <c r="E12" s="22" t="s">
        <v>161</v>
      </c>
      <c r="F12" s="22" t="s">
        <v>597</v>
      </c>
      <c r="G12" s="22" t="s">
        <v>598</v>
      </c>
      <c r="H12" s="22" t="s">
        <v>166</v>
      </c>
      <c r="I12" s="22" t="s">
        <v>151</v>
      </c>
      <c r="J12" s="22" t="s">
        <v>162</v>
      </c>
      <c r="K12" s="22" t="s">
        <v>64</v>
      </c>
      <c r="L12" s="54" t="s">
        <v>153</v>
      </c>
      <c r="M12" s="23" t="s">
        <v>153</v>
      </c>
      <c r="N12" s="24" t="s">
        <v>153</v>
      </c>
      <c r="O12" s="23" t="s">
        <v>153</v>
      </c>
      <c r="P12" s="23" t="s">
        <v>153</v>
      </c>
      <c r="Q12" s="23" t="s">
        <v>153</v>
      </c>
      <c r="R12" s="23" t="s">
        <v>153</v>
      </c>
      <c r="S12" s="23" t="s">
        <v>153</v>
      </c>
      <c r="T12" s="23" t="s">
        <v>153</v>
      </c>
      <c r="U12" s="24" t="s">
        <v>153</v>
      </c>
      <c r="V12" s="54" t="s">
        <v>153</v>
      </c>
      <c r="W12" s="23" t="s">
        <v>153</v>
      </c>
      <c r="X12" s="23" t="s">
        <v>153</v>
      </c>
      <c r="Y12" s="24" t="s">
        <v>156</v>
      </c>
      <c r="Z12" s="24" t="s">
        <v>156</v>
      </c>
      <c r="AA12" s="24" t="s">
        <v>156</v>
      </c>
      <c r="AB12" s="24" t="s">
        <v>153</v>
      </c>
      <c r="AC12" s="23" t="s">
        <v>153</v>
      </c>
      <c r="AD12" s="23" t="s">
        <v>153</v>
      </c>
      <c r="AE12" s="23" t="s">
        <v>153</v>
      </c>
      <c r="AF12" s="23" t="s">
        <v>153</v>
      </c>
      <c r="AG12" s="23" t="s">
        <v>153</v>
      </c>
      <c r="AH12" s="23" t="s">
        <v>153</v>
      </c>
      <c r="AI12" s="24" t="s">
        <v>153</v>
      </c>
      <c r="AJ12" s="23" t="s">
        <v>153</v>
      </c>
      <c r="AK12" s="23" t="s">
        <v>153</v>
      </c>
      <c r="AL12" s="23" t="s">
        <v>153</v>
      </c>
      <c r="AM12" s="23" t="s">
        <v>153</v>
      </c>
      <c r="AN12" s="23" t="s">
        <v>153</v>
      </c>
      <c r="AO12" s="23" t="s">
        <v>153</v>
      </c>
      <c r="AP12" s="23">
        <f>VALUE(2)</f>
        <v>2</v>
      </c>
      <c r="AQ12" s="23">
        <f>VALUE(0)</f>
        <v>0</v>
      </c>
      <c r="AR12" s="23">
        <f>VALUE(0)</f>
        <v>0</v>
      </c>
      <c r="AS12" s="23">
        <f>VALUE(0)</f>
        <v>0</v>
      </c>
      <c r="AT12" s="23">
        <f>VALUE(0)</f>
        <v>0</v>
      </c>
      <c r="AU12" s="23">
        <f>VALUE(0)</f>
        <v>0</v>
      </c>
      <c r="AV12" s="23">
        <f>VALUE(2)</f>
        <v>2</v>
      </c>
      <c r="AW12" s="23">
        <f>VALUE(0)</f>
        <v>0</v>
      </c>
      <c r="AX12" s="23" t="s">
        <v>1166</v>
      </c>
      <c r="AY12" s="23">
        <f>VALUE(0)</f>
        <v>0</v>
      </c>
      <c r="AZ12" s="23">
        <f>VALUE(0)</f>
        <v>0</v>
      </c>
      <c r="BA12" s="23">
        <f>VALUE(0)</f>
        <v>0</v>
      </c>
      <c r="BB12" s="23">
        <f>VALUE(0)</f>
        <v>0</v>
      </c>
      <c r="BC12" s="23">
        <f>VALUE(0)</f>
        <v>0</v>
      </c>
      <c r="BD12" s="23">
        <f>VALUE(0)</f>
        <v>0</v>
      </c>
      <c r="BE12" s="23">
        <f>VALUE(0)</f>
        <v>0</v>
      </c>
      <c r="BF12" s="23">
        <f>VALUE(0)</f>
        <v>0</v>
      </c>
      <c r="BG12" s="23">
        <f>VALUE(0)</f>
        <v>0</v>
      </c>
      <c r="BH12" s="23">
        <f>VALUE(0)</f>
        <v>0</v>
      </c>
      <c r="BI12" s="23">
        <f>VALUE(0)</f>
        <v>0</v>
      </c>
      <c r="BJ12" s="23">
        <f>VALUE(0)</f>
        <v>0</v>
      </c>
      <c r="BK12" s="12">
        <f>$AX$12*24</f>
        <v>30.466666666666665</v>
      </c>
      <c r="BL12" s="12">
        <f>$AY$12*24</f>
        <v>0</v>
      </c>
      <c r="BM12" s="12">
        <f>$BJ$12*24</f>
        <v>0</v>
      </c>
      <c r="BN12" s="12">
        <f>VALUE($I$12)/100</f>
        <v>1</v>
      </c>
      <c r="BO12" s="12">
        <v>0</v>
      </c>
      <c r="BP12" s="12">
        <v>0</v>
      </c>
      <c r="BQ12" s="12">
        <v>0</v>
      </c>
      <c r="BR12" s="12">
        <v>0</v>
      </c>
      <c r="BS12" s="12">
        <v>0</v>
      </c>
      <c r="BT12" s="12">
        <v>0</v>
      </c>
      <c r="BU12" s="12">
        <v>0</v>
      </c>
      <c r="BV12" s="12">
        <v>0</v>
      </c>
      <c r="BW12" s="12">
        <v>0</v>
      </c>
      <c r="BX12" s="12">
        <v>0</v>
      </c>
      <c r="BY12" s="12">
        <v>0</v>
      </c>
      <c r="BZ12" s="12">
        <v>0</v>
      </c>
      <c r="CA12" s="12">
        <v>0</v>
      </c>
    </row>
    <row r="13" spans="1:81" hidden="1" x14ac:dyDescent="0.2">
      <c r="A13" s="12" t="s">
        <v>102</v>
      </c>
      <c r="B13" s="12" t="s">
        <v>103</v>
      </c>
      <c r="C13" s="12" t="s">
        <v>103</v>
      </c>
      <c r="D13" s="22" t="s">
        <v>167</v>
      </c>
      <c r="E13" s="22" t="s">
        <v>161</v>
      </c>
      <c r="F13" s="22" t="s">
        <v>599</v>
      </c>
      <c r="G13" s="22" t="s">
        <v>600</v>
      </c>
      <c r="H13" s="22" t="s">
        <v>150</v>
      </c>
      <c r="I13" s="22" t="s">
        <v>151</v>
      </c>
      <c r="J13" s="22" t="s">
        <v>162</v>
      </c>
      <c r="K13" s="22" t="s">
        <v>64</v>
      </c>
      <c r="L13" s="54" t="s">
        <v>153</v>
      </c>
      <c r="M13" s="28" t="s">
        <v>163</v>
      </c>
      <c r="N13" s="24" t="s">
        <v>153</v>
      </c>
      <c r="O13" s="23" t="s">
        <v>153</v>
      </c>
      <c r="P13" s="23" t="s">
        <v>153</v>
      </c>
      <c r="Q13" s="23" t="s">
        <v>153</v>
      </c>
      <c r="R13" s="23" t="s">
        <v>153</v>
      </c>
      <c r="S13" s="23" t="s">
        <v>153</v>
      </c>
      <c r="T13" s="23" t="s">
        <v>153</v>
      </c>
      <c r="U13" s="24" t="s">
        <v>153</v>
      </c>
      <c r="V13" s="54" t="s">
        <v>156</v>
      </c>
      <c r="W13" s="24" t="s">
        <v>156</v>
      </c>
      <c r="X13" s="24" t="s">
        <v>156</v>
      </c>
      <c r="Y13" s="23" t="s">
        <v>153</v>
      </c>
      <c r="Z13" s="23" t="s">
        <v>153</v>
      </c>
      <c r="AA13" s="23" t="s">
        <v>153</v>
      </c>
      <c r="AB13" s="24" t="s">
        <v>153</v>
      </c>
      <c r="AC13" s="23" t="s">
        <v>153</v>
      </c>
      <c r="AD13" s="23" t="s">
        <v>153</v>
      </c>
      <c r="AE13" s="23" t="s">
        <v>153</v>
      </c>
      <c r="AF13" s="23" t="s">
        <v>153</v>
      </c>
      <c r="AG13" s="23" t="s">
        <v>153</v>
      </c>
      <c r="AH13" s="23" t="s">
        <v>153</v>
      </c>
      <c r="AI13" s="24" t="s">
        <v>153</v>
      </c>
      <c r="AJ13" s="23" t="s">
        <v>153</v>
      </c>
      <c r="AK13" s="23" t="s">
        <v>153</v>
      </c>
      <c r="AL13" s="23" t="s">
        <v>153</v>
      </c>
      <c r="AM13" s="23" t="s">
        <v>153</v>
      </c>
      <c r="AN13" s="23" t="s">
        <v>153</v>
      </c>
      <c r="AO13" s="30" t="s">
        <v>29</v>
      </c>
      <c r="AP13" s="23">
        <f>VALUE(1)</f>
        <v>1</v>
      </c>
      <c r="AQ13" s="23">
        <f>VALUE(0)</f>
        <v>0</v>
      </c>
      <c r="AR13" s="23">
        <f>VALUE(0)</f>
        <v>0</v>
      </c>
      <c r="AS13" s="23">
        <f>VALUE(0)</f>
        <v>0</v>
      </c>
      <c r="AT13" s="23">
        <f>VALUE(0)</f>
        <v>0</v>
      </c>
      <c r="AU13" s="23">
        <f>VALUE(1)</f>
        <v>1</v>
      </c>
      <c r="AV13" s="23">
        <f>VALUE(2)</f>
        <v>2</v>
      </c>
      <c r="AW13" s="23">
        <f>VALUE(0)</f>
        <v>0</v>
      </c>
      <c r="AX13" s="23" t="s">
        <v>1167</v>
      </c>
      <c r="AY13" s="23" t="s">
        <v>168</v>
      </c>
      <c r="AZ13" s="23">
        <f>VALUE(0)</f>
        <v>0</v>
      </c>
      <c r="BA13" s="23">
        <f>VALUE(0)</f>
        <v>0</v>
      </c>
      <c r="BB13" s="23">
        <f>VALUE(0)</f>
        <v>0</v>
      </c>
      <c r="BC13" s="23">
        <f>VALUE(0)</f>
        <v>0</v>
      </c>
      <c r="BD13" s="23">
        <f>VALUE(0)</f>
        <v>0</v>
      </c>
      <c r="BE13" s="23">
        <f>VALUE(0)</f>
        <v>0</v>
      </c>
      <c r="BF13" s="23">
        <f>VALUE(0)</f>
        <v>0</v>
      </c>
      <c r="BG13" s="23">
        <f>VALUE(0)</f>
        <v>0</v>
      </c>
      <c r="BH13" s="23">
        <f>VALUE(0)</f>
        <v>0</v>
      </c>
      <c r="BI13" s="23">
        <f>VALUE(0)</f>
        <v>0</v>
      </c>
      <c r="BJ13" s="23">
        <f>VALUE(0)</f>
        <v>0</v>
      </c>
      <c r="BK13" s="12">
        <f>$AX$13*24</f>
        <v>11.25</v>
      </c>
      <c r="BL13" s="12">
        <f>$AY$13*24</f>
        <v>18.05</v>
      </c>
      <c r="BM13" s="12">
        <f>$BJ$13*24</f>
        <v>0</v>
      </c>
      <c r="BN13" s="12">
        <f>VALUE($I$13)/100</f>
        <v>1</v>
      </c>
      <c r="BO13" s="12">
        <v>0</v>
      </c>
      <c r="BP13" s="12">
        <v>0</v>
      </c>
      <c r="BQ13" s="12">
        <v>0</v>
      </c>
      <c r="BR13" s="12">
        <v>0</v>
      </c>
      <c r="BS13" s="12">
        <v>0</v>
      </c>
      <c r="BT13" s="12">
        <v>0</v>
      </c>
      <c r="BU13" s="12">
        <v>0</v>
      </c>
      <c r="BV13" s="12">
        <v>0</v>
      </c>
      <c r="BW13" s="12">
        <v>0</v>
      </c>
      <c r="BX13" s="12">
        <v>0</v>
      </c>
      <c r="BY13" s="12">
        <v>0</v>
      </c>
      <c r="BZ13" s="12">
        <v>0</v>
      </c>
      <c r="CA13" s="12">
        <v>0</v>
      </c>
    </row>
    <row r="14" spans="1:81" hidden="1" x14ac:dyDescent="0.2">
      <c r="A14" s="12" t="s">
        <v>102</v>
      </c>
      <c r="B14" s="12" t="s">
        <v>103</v>
      </c>
      <c r="C14" s="12" t="s">
        <v>103</v>
      </c>
      <c r="D14" s="22" t="s">
        <v>169</v>
      </c>
      <c r="E14" s="22" t="s">
        <v>161</v>
      </c>
      <c r="F14" s="22" t="s">
        <v>601</v>
      </c>
      <c r="G14" s="22" t="s">
        <v>602</v>
      </c>
      <c r="H14" s="22" t="s">
        <v>150</v>
      </c>
      <c r="I14" s="22" t="s">
        <v>151</v>
      </c>
      <c r="J14" s="22" t="s">
        <v>162</v>
      </c>
      <c r="K14" s="22" t="s">
        <v>64</v>
      </c>
      <c r="L14" s="54" t="s">
        <v>153</v>
      </c>
      <c r="M14" s="28" t="s">
        <v>163</v>
      </c>
      <c r="N14" s="24" t="s">
        <v>153</v>
      </c>
      <c r="O14" s="23" t="s">
        <v>153</v>
      </c>
      <c r="P14" s="23" t="s">
        <v>153</v>
      </c>
      <c r="Q14" s="23" t="s">
        <v>153</v>
      </c>
      <c r="R14" s="24" t="s">
        <v>156</v>
      </c>
      <c r="S14" s="24" t="s">
        <v>156</v>
      </c>
      <c r="T14" s="24" t="s">
        <v>156</v>
      </c>
      <c r="U14" s="24" t="s">
        <v>153</v>
      </c>
      <c r="V14" s="54" t="s">
        <v>153</v>
      </c>
      <c r="W14" s="23" t="s">
        <v>153</v>
      </c>
      <c r="X14" s="23" t="s">
        <v>153</v>
      </c>
      <c r="Y14" s="23" t="s">
        <v>153</v>
      </c>
      <c r="Z14" s="23" t="s">
        <v>153</v>
      </c>
      <c r="AA14" s="23" t="s">
        <v>153</v>
      </c>
      <c r="AB14" s="24" t="s">
        <v>153</v>
      </c>
      <c r="AC14" s="23" t="s">
        <v>153</v>
      </c>
      <c r="AD14" s="23" t="s">
        <v>153</v>
      </c>
      <c r="AE14" s="23" t="s">
        <v>153</v>
      </c>
      <c r="AF14" s="23" t="s">
        <v>153</v>
      </c>
      <c r="AG14" s="23" t="s">
        <v>153</v>
      </c>
      <c r="AH14" s="23" t="s">
        <v>153</v>
      </c>
      <c r="AI14" s="24" t="s">
        <v>153</v>
      </c>
      <c r="AJ14" s="28" t="s">
        <v>163</v>
      </c>
      <c r="AK14" s="28" t="s">
        <v>163</v>
      </c>
      <c r="AL14" s="28" t="s">
        <v>163</v>
      </c>
      <c r="AM14" s="30" t="s">
        <v>28</v>
      </c>
      <c r="AN14" s="23" t="s">
        <v>153</v>
      </c>
      <c r="AO14" s="23" t="s">
        <v>153</v>
      </c>
      <c r="AP14" s="23">
        <f>VALUE(1)</f>
        <v>1</v>
      </c>
      <c r="AQ14" s="23">
        <f>VALUE(0)</f>
        <v>0</v>
      </c>
      <c r="AR14" s="23">
        <f>VALUE(0)</f>
        <v>0</v>
      </c>
      <c r="AS14" s="23">
        <f>VALUE(0)</f>
        <v>0</v>
      </c>
      <c r="AT14" s="23">
        <f>VALUE(0)</f>
        <v>0</v>
      </c>
      <c r="AU14" s="23">
        <f>VALUE(4)</f>
        <v>4</v>
      </c>
      <c r="AV14" s="23">
        <f>VALUE(0)</f>
        <v>0</v>
      </c>
      <c r="AW14" s="23">
        <f>VALUE(0)</f>
        <v>0</v>
      </c>
      <c r="AX14" s="23" t="s">
        <v>171</v>
      </c>
      <c r="AY14" s="23" t="s">
        <v>172</v>
      </c>
      <c r="AZ14" s="23">
        <f>VALUE(0)</f>
        <v>0</v>
      </c>
      <c r="BA14" s="23">
        <f>VALUE(0)</f>
        <v>0</v>
      </c>
      <c r="BB14" s="23">
        <f>VALUE(0)</f>
        <v>0</v>
      </c>
      <c r="BC14" s="23">
        <f>VALUE(0)</f>
        <v>0</v>
      </c>
      <c r="BD14" s="23">
        <f>VALUE(0)</f>
        <v>0</v>
      </c>
      <c r="BE14" s="23">
        <f>VALUE(0)</f>
        <v>0</v>
      </c>
      <c r="BF14" s="23">
        <f>VALUE(0)</f>
        <v>0</v>
      </c>
      <c r="BG14" s="23">
        <f>VALUE(0)</f>
        <v>0</v>
      </c>
      <c r="BH14" s="23">
        <f>VALUE(0)</f>
        <v>0</v>
      </c>
      <c r="BI14" s="23">
        <f>VALUE(0)</f>
        <v>0</v>
      </c>
      <c r="BJ14" s="23">
        <f>VALUE(0)</f>
        <v>0</v>
      </c>
      <c r="BK14" s="12">
        <f>$AX$14*24</f>
        <v>5.833333333333333</v>
      </c>
      <c r="BL14" s="12">
        <f>$AY$14*24</f>
        <v>6.9333333333333336</v>
      </c>
      <c r="BM14" s="12">
        <f>$BJ$14*24</f>
        <v>0</v>
      </c>
      <c r="BN14" s="12">
        <f>VALUE($I$14)/100</f>
        <v>1</v>
      </c>
      <c r="BO14" s="12">
        <v>0</v>
      </c>
      <c r="BP14" s="12">
        <v>0</v>
      </c>
      <c r="BQ14" s="12">
        <v>1</v>
      </c>
      <c r="BR14" s="12">
        <v>0</v>
      </c>
      <c r="BS14" s="12">
        <v>0</v>
      </c>
      <c r="BT14" s="12">
        <v>0</v>
      </c>
      <c r="BU14" s="12">
        <v>0</v>
      </c>
      <c r="BV14" s="12">
        <v>0</v>
      </c>
      <c r="BW14" s="12">
        <v>0</v>
      </c>
      <c r="BX14" s="12">
        <v>0</v>
      </c>
      <c r="BY14" s="12">
        <v>0</v>
      </c>
      <c r="BZ14" s="12">
        <v>0</v>
      </c>
      <c r="CA14" s="12">
        <v>0</v>
      </c>
    </row>
    <row r="15" spans="1:81" ht="15" hidden="1" x14ac:dyDescent="0.25">
      <c r="A15" s="12" t="s">
        <v>102</v>
      </c>
      <c r="B15" s="12" t="s">
        <v>103</v>
      </c>
      <c r="C15" s="12" t="s">
        <v>103</v>
      </c>
      <c r="D15" s="31" t="s">
        <v>174</v>
      </c>
      <c r="E15" s="31" t="s">
        <v>153</v>
      </c>
      <c r="F15" s="31" t="s">
        <v>175</v>
      </c>
      <c r="G15" s="31" t="s">
        <v>153</v>
      </c>
      <c r="H15" s="31" t="s">
        <v>153</v>
      </c>
      <c r="I15" s="31" t="s">
        <v>153</v>
      </c>
      <c r="J15" s="31" t="s">
        <v>153</v>
      </c>
      <c r="K15" s="31" t="s">
        <v>153</v>
      </c>
      <c r="L15" s="31">
        <f>VALUE(0)</f>
        <v>0</v>
      </c>
      <c r="M15" s="31">
        <f>VALUE(3)</f>
        <v>3</v>
      </c>
      <c r="N15" s="31">
        <f>VALUE(0)</f>
        <v>0</v>
      </c>
      <c r="O15" s="31">
        <f>VALUE(3)</f>
        <v>3</v>
      </c>
      <c r="P15" s="31">
        <f>VALUE(3)</f>
        <v>3</v>
      </c>
      <c r="Q15" s="31">
        <f>VALUE(4)</f>
        <v>4</v>
      </c>
      <c r="R15" s="31">
        <f>VALUE(3)</f>
        <v>3</v>
      </c>
      <c r="S15" s="31">
        <f>VALUE(3)</f>
        <v>3</v>
      </c>
      <c r="T15" s="31">
        <f>VALUE(2)</f>
        <v>2</v>
      </c>
      <c r="U15" s="31">
        <f>VALUE(0)</f>
        <v>0</v>
      </c>
      <c r="V15" s="31">
        <f>VALUE(0)</f>
        <v>0</v>
      </c>
      <c r="W15" s="31">
        <f>VALUE(4)</f>
        <v>4</v>
      </c>
      <c r="X15" s="31">
        <f>VALUE(4)</f>
        <v>4</v>
      </c>
      <c r="Y15" s="31">
        <f>VALUE(4)</f>
        <v>4</v>
      </c>
      <c r="Z15" s="31">
        <f>VALUE(4)</f>
        <v>4</v>
      </c>
      <c r="AA15" s="31">
        <f>VALUE(4)</f>
        <v>4</v>
      </c>
      <c r="AB15" s="31">
        <f>VALUE(0)</f>
        <v>0</v>
      </c>
      <c r="AC15" s="31">
        <f>VALUE(5)</f>
        <v>5</v>
      </c>
      <c r="AD15" s="31">
        <f>VALUE(5)</f>
        <v>5</v>
      </c>
      <c r="AE15" s="31">
        <f>VALUE(5)</f>
        <v>5</v>
      </c>
      <c r="AF15" s="31">
        <f>VALUE(5)</f>
        <v>5</v>
      </c>
      <c r="AG15" s="31">
        <f>VALUE(5)</f>
        <v>5</v>
      </c>
      <c r="AH15" s="31">
        <f>VALUE(4)</f>
        <v>4</v>
      </c>
      <c r="AI15" s="31">
        <f>VALUE(0)</f>
        <v>0</v>
      </c>
      <c r="AJ15" s="31">
        <f>VALUE(3)</f>
        <v>3</v>
      </c>
      <c r="AK15" s="31">
        <f>VALUE(4)</f>
        <v>4</v>
      </c>
      <c r="AL15" s="31">
        <f>VALUE(4)</f>
        <v>4</v>
      </c>
      <c r="AM15" s="31">
        <f>VALUE(4)</f>
        <v>4</v>
      </c>
      <c r="AN15" s="31">
        <f>VALUE(4)</f>
        <v>4</v>
      </c>
      <c r="AO15" s="31">
        <f>VALUE(3)</f>
        <v>3</v>
      </c>
      <c r="AP15" s="31">
        <v>0</v>
      </c>
      <c r="AQ15" s="31">
        <v>0</v>
      </c>
      <c r="AR15" s="31">
        <v>0</v>
      </c>
      <c r="AS15" s="31">
        <v>0</v>
      </c>
      <c r="AT15" s="31">
        <v>0</v>
      </c>
      <c r="AU15" s="31">
        <v>0</v>
      </c>
      <c r="AV15" s="31">
        <v>0</v>
      </c>
      <c r="AW15" s="31">
        <v>0</v>
      </c>
      <c r="AX15" s="31">
        <v>0</v>
      </c>
      <c r="AY15" s="31">
        <v>0</v>
      </c>
      <c r="AZ15" s="31">
        <v>0</v>
      </c>
      <c r="BA15" s="31">
        <v>0</v>
      </c>
      <c r="BB15" s="31">
        <v>0</v>
      </c>
      <c r="BC15" s="31">
        <v>0</v>
      </c>
      <c r="BD15" s="31">
        <v>0</v>
      </c>
      <c r="BE15" s="31">
        <v>0</v>
      </c>
      <c r="BF15" s="31">
        <v>0</v>
      </c>
      <c r="BG15" s="31">
        <v>0</v>
      </c>
      <c r="BH15" s="31">
        <v>0</v>
      </c>
      <c r="BI15" s="31">
        <v>0</v>
      </c>
      <c r="BJ15" s="31">
        <v>0</v>
      </c>
      <c r="BK15" s="12">
        <v>0</v>
      </c>
      <c r="BL15" s="12">
        <v>0</v>
      </c>
      <c r="BM15" s="12">
        <v>0</v>
      </c>
      <c r="BN15" s="12"/>
      <c r="BO15" s="12">
        <v>0</v>
      </c>
      <c r="BP15" s="12">
        <v>0</v>
      </c>
      <c r="BQ15" s="12">
        <v>0</v>
      </c>
      <c r="BR15" s="12">
        <v>0</v>
      </c>
      <c r="BS15" s="12">
        <v>0</v>
      </c>
      <c r="BT15" s="12">
        <v>0</v>
      </c>
      <c r="BU15" s="12">
        <v>0</v>
      </c>
      <c r="BV15" s="12">
        <v>0</v>
      </c>
      <c r="BW15" s="12">
        <v>0</v>
      </c>
      <c r="BX15" s="12">
        <v>0</v>
      </c>
      <c r="BY15" s="12">
        <v>0</v>
      </c>
      <c r="BZ15" s="12">
        <v>0</v>
      </c>
      <c r="CA15" s="12">
        <v>0</v>
      </c>
    </row>
    <row r="16" spans="1:81" hidden="1" x14ac:dyDescent="0.2">
      <c r="A16" s="12" t="s">
        <v>102</v>
      </c>
      <c r="B16" s="12" t="s">
        <v>104</v>
      </c>
      <c r="C16" s="12" t="s">
        <v>104</v>
      </c>
      <c r="D16" s="22" t="s">
        <v>177</v>
      </c>
      <c r="E16" s="22" t="s">
        <v>161</v>
      </c>
      <c r="F16" s="22" t="s">
        <v>603</v>
      </c>
      <c r="G16" s="22" t="s">
        <v>604</v>
      </c>
      <c r="H16" s="22" t="s">
        <v>166</v>
      </c>
      <c r="I16" s="22" t="s">
        <v>151</v>
      </c>
      <c r="J16" s="22" t="s">
        <v>178</v>
      </c>
      <c r="K16" s="22" t="s">
        <v>65</v>
      </c>
      <c r="L16" s="54" t="s">
        <v>153</v>
      </c>
      <c r="M16" s="24" t="s">
        <v>156</v>
      </c>
      <c r="N16" s="24" t="s">
        <v>153</v>
      </c>
      <c r="O16" s="23" t="s">
        <v>153</v>
      </c>
      <c r="P16" s="23" t="s">
        <v>153</v>
      </c>
      <c r="Q16" s="23" t="s">
        <v>153</v>
      </c>
      <c r="R16" s="23" t="s">
        <v>153</v>
      </c>
      <c r="S16" s="23" t="s">
        <v>153</v>
      </c>
      <c r="T16" s="24" t="s">
        <v>156</v>
      </c>
      <c r="U16" s="24" t="s">
        <v>153</v>
      </c>
      <c r="V16" s="54" t="s">
        <v>153</v>
      </c>
      <c r="W16" s="23" t="s">
        <v>153</v>
      </c>
      <c r="X16" s="23" t="s">
        <v>153</v>
      </c>
      <c r="Y16" s="23" t="s">
        <v>153</v>
      </c>
      <c r="Z16" s="23" t="s">
        <v>153</v>
      </c>
      <c r="AA16" s="24" t="s">
        <v>156</v>
      </c>
      <c r="AB16" s="24" t="s">
        <v>153</v>
      </c>
      <c r="AC16" s="23" t="s">
        <v>153</v>
      </c>
      <c r="AD16" s="23" t="s">
        <v>153</v>
      </c>
      <c r="AE16" s="23" t="s">
        <v>153</v>
      </c>
      <c r="AF16" s="23" t="s">
        <v>153</v>
      </c>
      <c r="AG16" s="23" t="s">
        <v>153</v>
      </c>
      <c r="AH16" s="24" t="s">
        <v>156</v>
      </c>
      <c r="AI16" s="24" t="s">
        <v>153</v>
      </c>
      <c r="AJ16" s="23" t="s">
        <v>153</v>
      </c>
      <c r="AK16" s="23" t="s">
        <v>153</v>
      </c>
      <c r="AL16" s="23" t="s">
        <v>153</v>
      </c>
      <c r="AM16" s="23" t="s">
        <v>153</v>
      </c>
      <c r="AN16" s="23" t="s">
        <v>153</v>
      </c>
      <c r="AO16" s="24" t="s">
        <v>156</v>
      </c>
      <c r="AP16" s="23">
        <f>VALUE(0)</f>
        <v>0</v>
      </c>
      <c r="AQ16" s="23">
        <f>VALUE(0)</f>
        <v>0</v>
      </c>
      <c r="AR16" s="23">
        <f>VALUE(0)</f>
        <v>0</v>
      </c>
      <c r="AS16" s="23">
        <f>VALUE(0)</f>
        <v>0</v>
      </c>
      <c r="AT16" s="23">
        <f>VALUE(0)</f>
        <v>0</v>
      </c>
      <c r="AU16" s="23">
        <f>VALUE(0)</f>
        <v>0</v>
      </c>
      <c r="AV16" s="23">
        <f>VALUE(3)</f>
        <v>3</v>
      </c>
      <c r="AW16" s="23">
        <f>VALUE(0)</f>
        <v>0</v>
      </c>
      <c r="AX16" s="23" t="s">
        <v>179</v>
      </c>
      <c r="AY16" s="23">
        <f>VALUE(0)</f>
        <v>0</v>
      </c>
      <c r="AZ16" s="23">
        <f>VALUE(0)</f>
        <v>0</v>
      </c>
      <c r="BA16" s="23">
        <f>VALUE(0)</f>
        <v>0</v>
      </c>
      <c r="BB16" s="23">
        <f>VALUE(0)</f>
        <v>0</v>
      </c>
      <c r="BC16" s="23">
        <f>VALUE(0)</f>
        <v>0</v>
      </c>
      <c r="BD16" s="23">
        <f>VALUE(0)</f>
        <v>0</v>
      </c>
      <c r="BE16" s="23">
        <f>VALUE(0)</f>
        <v>0</v>
      </c>
      <c r="BF16" s="23">
        <f>VALUE(0)</f>
        <v>0</v>
      </c>
      <c r="BG16" s="23">
        <f>VALUE(0)</f>
        <v>0</v>
      </c>
      <c r="BH16" s="23">
        <f>VALUE(0)</f>
        <v>0</v>
      </c>
      <c r="BI16" s="23">
        <f>VALUE(0)</f>
        <v>0</v>
      </c>
      <c r="BJ16" s="23">
        <f>VALUE(0)</f>
        <v>0</v>
      </c>
      <c r="BK16" s="12">
        <f>$AX$16*24</f>
        <v>6.4666666666666668</v>
      </c>
      <c r="BL16" s="12">
        <f>$AY$16*24</f>
        <v>0</v>
      </c>
      <c r="BM16" s="12">
        <f>$BJ$16*24</f>
        <v>0</v>
      </c>
      <c r="BN16" s="12">
        <f>VALUE($I$16)/100</f>
        <v>1</v>
      </c>
      <c r="BO16" s="12">
        <v>0</v>
      </c>
      <c r="BP16" s="12">
        <v>0</v>
      </c>
      <c r="BQ16" s="12">
        <v>0</v>
      </c>
      <c r="BR16" s="12">
        <v>0</v>
      </c>
      <c r="BS16" s="12">
        <v>0</v>
      </c>
      <c r="BT16" s="12">
        <v>0</v>
      </c>
      <c r="BU16" s="12">
        <v>0</v>
      </c>
      <c r="BV16" s="12">
        <v>0</v>
      </c>
      <c r="BW16" s="12">
        <v>0</v>
      </c>
      <c r="BX16" s="12">
        <v>0</v>
      </c>
      <c r="BY16" s="12">
        <v>0</v>
      </c>
      <c r="BZ16" s="12">
        <v>0</v>
      </c>
      <c r="CA16" s="12">
        <v>0</v>
      </c>
    </row>
    <row r="17" spans="1:79" x14ac:dyDescent="0.2">
      <c r="A17" s="12" t="s">
        <v>102</v>
      </c>
      <c r="B17" s="12" t="s">
        <v>104</v>
      </c>
      <c r="C17" s="12" t="s">
        <v>104</v>
      </c>
      <c r="D17" s="22" t="s">
        <v>180</v>
      </c>
      <c r="E17" s="22" t="s">
        <v>159</v>
      </c>
      <c r="F17" s="22" t="s">
        <v>605</v>
      </c>
      <c r="G17" s="22" t="s">
        <v>606</v>
      </c>
      <c r="H17" s="22" t="s">
        <v>166</v>
      </c>
      <c r="I17" s="22" t="s">
        <v>151</v>
      </c>
      <c r="J17" s="22" t="s">
        <v>181</v>
      </c>
      <c r="K17" s="22" t="s">
        <v>65</v>
      </c>
      <c r="L17" s="54" t="s">
        <v>153</v>
      </c>
      <c r="M17" s="28" t="s">
        <v>163</v>
      </c>
      <c r="N17" s="24" t="s">
        <v>153</v>
      </c>
      <c r="O17" s="23" t="s">
        <v>153</v>
      </c>
      <c r="P17" s="23" t="s">
        <v>153</v>
      </c>
      <c r="Q17" s="23" t="s">
        <v>153</v>
      </c>
      <c r="R17" s="23" t="s">
        <v>153</v>
      </c>
      <c r="S17" s="23" t="s">
        <v>153</v>
      </c>
      <c r="T17" s="23" t="s">
        <v>153</v>
      </c>
      <c r="U17" s="24" t="s">
        <v>153</v>
      </c>
      <c r="V17" s="54" t="s">
        <v>153</v>
      </c>
      <c r="W17" s="23" t="s">
        <v>183</v>
      </c>
      <c r="X17" s="23" t="s">
        <v>183</v>
      </c>
      <c r="Y17" s="23" t="s">
        <v>183</v>
      </c>
      <c r="Z17" s="23" t="s">
        <v>183</v>
      </c>
      <c r="AA17" s="23" t="s">
        <v>153</v>
      </c>
      <c r="AB17" s="24" t="s">
        <v>153</v>
      </c>
      <c r="AC17" s="23" t="s">
        <v>184</v>
      </c>
      <c r="AD17" s="23" t="s">
        <v>184</v>
      </c>
      <c r="AE17" s="23" t="s">
        <v>184</v>
      </c>
      <c r="AF17" s="25" t="s">
        <v>185</v>
      </c>
      <c r="AG17" s="25" t="s">
        <v>185</v>
      </c>
      <c r="AH17" s="23" t="s">
        <v>153</v>
      </c>
      <c r="AI17" s="24" t="s">
        <v>153</v>
      </c>
      <c r="AJ17" s="25" t="s">
        <v>185</v>
      </c>
      <c r="AK17" s="25" t="s">
        <v>185</v>
      </c>
      <c r="AL17" s="23" t="s">
        <v>153</v>
      </c>
      <c r="AM17" s="23" t="s">
        <v>153</v>
      </c>
      <c r="AN17" s="23" t="s">
        <v>153</v>
      </c>
      <c r="AO17" s="23" t="s">
        <v>153</v>
      </c>
      <c r="AP17" s="23">
        <f>VALUE(0)</f>
        <v>0</v>
      </c>
      <c r="AQ17" s="23">
        <f>VALUE(0)</f>
        <v>0</v>
      </c>
      <c r="AR17" s="23">
        <f>VALUE(0)</f>
        <v>0</v>
      </c>
      <c r="AS17" s="23">
        <f>VALUE(12)</f>
        <v>12</v>
      </c>
      <c r="AT17" s="23">
        <f>VALUE(0)</f>
        <v>0</v>
      </c>
      <c r="AU17" s="23">
        <f>VALUE(1)</f>
        <v>1</v>
      </c>
      <c r="AV17" s="23">
        <f>VALUE(1)</f>
        <v>1</v>
      </c>
      <c r="AW17" s="23">
        <f>VALUE(0)</f>
        <v>0</v>
      </c>
      <c r="AX17" s="23" t="s">
        <v>187</v>
      </c>
      <c r="AY17" s="23">
        <f>VALUE(0)</f>
        <v>0</v>
      </c>
      <c r="AZ17" s="23">
        <f>VALUE(0)</f>
        <v>0</v>
      </c>
      <c r="BA17" s="23">
        <f>VALUE(0)</f>
        <v>0</v>
      </c>
      <c r="BB17" s="23">
        <f>VALUE(0)</f>
        <v>0</v>
      </c>
      <c r="BC17" s="23">
        <f>VALUE(0)</f>
        <v>0</v>
      </c>
      <c r="BD17" s="23">
        <f>VALUE(0)</f>
        <v>0</v>
      </c>
      <c r="BE17" s="23">
        <f>VALUE(0)</f>
        <v>0</v>
      </c>
      <c r="BF17" s="23">
        <f>VALUE(0)</f>
        <v>0</v>
      </c>
      <c r="BG17" s="23">
        <f>VALUE(0)</f>
        <v>0</v>
      </c>
      <c r="BH17" s="23">
        <f>VALUE(0)</f>
        <v>0</v>
      </c>
      <c r="BI17" s="23">
        <f>VALUE(0)</f>
        <v>0</v>
      </c>
      <c r="BJ17" s="23">
        <f>VALUE(0)</f>
        <v>0</v>
      </c>
      <c r="BK17" s="12">
        <f>$AX$17*24</f>
        <v>6.1833333333333336</v>
      </c>
      <c r="BL17" s="12">
        <f>$AY$17*24</f>
        <v>0</v>
      </c>
      <c r="BM17" s="12">
        <f>$BJ$17*24</f>
        <v>0</v>
      </c>
      <c r="BN17" s="12">
        <f>VALUE($I$17)/100</f>
        <v>1</v>
      </c>
      <c r="BO17" s="12">
        <v>0</v>
      </c>
      <c r="BP17" s="12">
        <v>0</v>
      </c>
      <c r="BQ17" s="12">
        <v>0</v>
      </c>
      <c r="BR17" s="12">
        <v>0</v>
      </c>
      <c r="BS17" s="12">
        <v>0</v>
      </c>
      <c r="BT17" s="12">
        <v>0</v>
      </c>
      <c r="BU17" s="12">
        <v>0</v>
      </c>
      <c r="BV17" s="12">
        <v>0</v>
      </c>
      <c r="BW17" s="12">
        <v>0</v>
      </c>
      <c r="BX17" s="12">
        <v>0</v>
      </c>
      <c r="BY17" s="12">
        <v>0</v>
      </c>
      <c r="BZ17" s="12">
        <v>0</v>
      </c>
      <c r="CA17" s="12">
        <v>0</v>
      </c>
    </row>
    <row r="18" spans="1:79" hidden="1" x14ac:dyDescent="0.2">
      <c r="A18" s="12" t="s">
        <v>102</v>
      </c>
      <c r="B18" s="12" t="s">
        <v>104</v>
      </c>
      <c r="C18" s="12" t="s">
        <v>104</v>
      </c>
      <c r="D18" s="22" t="s">
        <v>186</v>
      </c>
      <c r="E18" s="22" t="s">
        <v>161</v>
      </c>
      <c r="F18" s="22" t="s">
        <v>607</v>
      </c>
      <c r="G18" s="22" t="s">
        <v>608</v>
      </c>
      <c r="H18" s="22" t="s">
        <v>150</v>
      </c>
      <c r="I18" s="22" t="s">
        <v>151</v>
      </c>
      <c r="J18" s="22" t="s">
        <v>181</v>
      </c>
      <c r="K18" s="22" t="s">
        <v>65</v>
      </c>
      <c r="L18" s="54" t="s">
        <v>153</v>
      </c>
      <c r="M18" s="32" t="s">
        <v>188</v>
      </c>
      <c r="N18" s="24" t="s">
        <v>153</v>
      </c>
      <c r="O18" s="32" t="s">
        <v>188</v>
      </c>
      <c r="P18" s="32" t="s">
        <v>188</v>
      </c>
      <c r="Q18" s="32" t="s">
        <v>188</v>
      </c>
      <c r="R18" s="32" t="s">
        <v>188</v>
      </c>
      <c r="S18" s="32" t="s">
        <v>188</v>
      </c>
      <c r="T18" s="32" t="s">
        <v>188</v>
      </c>
      <c r="U18" s="24" t="s">
        <v>153</v>
      </c>
      <c r="V18" s="54" t="s">
        <v>153</v>
      </c>
      <c r="W18" s="32" t="s">
        <v>188</v>
      </c>
      <c r="X18" s="32" t="s">
        <v>188</v>
      </c>
      <c r="Y18" s="32" t="s">
        <v>188</v>
      </c>
      <c r="Z18" s="32" t="s">
        <v>188</v>
      </c>
      <c r="AA18" s="32" t="s">
        <v>188</v>
      </c>
      <c r="AB18" s="24" t="s">
        <v>153</v>
      </c>
      <c r="AC18" s="23" t="s">
        <v>153</v>
      </c>
      <c r="AD18" s="23" t="s">
        <v>153</v>
      </c>
      <c r="AE18" s="23" t="s">
        <v>153</v>
      </c>
      <c r="AF18" s="23" t="s">
        <v>153</v>
      </c>
      <c r="AG18" s="23" t="s">
        <v>153</v>
      </c>
      <c r="AH18" s="23" t="s">
        <v>153</v>
      </c>
      <c r="AI18" s="24" t="s">
        <v>153</v>
      </c>
      <c r="AJ18" s="23" t="s">
        <v>153</v>
      </c>
      <c r="AK18" s="23" t="s">
        <v>153</v>
      </c>
      <c r="AL18" s="23" t="s">
        <v>153</v>
      </c>
      <c r="AM18" s="23" t="s">
        <v>153</v>
      </c>
      <c r="AN18" s="23" t="s">
        <v>153</v>
      </c>
      <c r="AO18" s="24" t="s">
        <v>156</v>
      </c>
      <c r="AP18" s="23">
        <f>VALUE(0)</f>
        <v>0</v>
      </c>
      <c r="AQ18" s="23">
        <f>VALUE(1)</f>
        <v>1</v>
      </c>
      <c r="AR18" s="23">
        <f>VALUE(0)</f>
        <v>0</v>
      </c>
      <c r="AS18" s="23">
        <f>VALUE(0)</f>
        <v>0</v>
      </c>
      <c r="AT18" s="23">
        <f>VALUE(0)</f>
        <v>0</v>
      </c>
      <c r="AU18" s="23">
        <f>VALUE(0)</f>
        <v>0</v>
      </c>
      <c r="AV18" s="23">
        <f>VALUE(10)</f>
        <v>10</v>
      </c>
      <c r="AW18" s="23">
        <f>VALUE(3)</f>
        <v>3</v>
      </c>
      <c r="AX18" s="23" t="s">
        <v>189</v>
      </c>
      <c r="AY18" s="23">
        <f>VALUE(0)</f>
        <v>0</v>
      </c>
      <c r="AZ18" s="23">
        <f>VALUE(12)</f>
        <v>12</v>
      </c>
      <c r="BA18" s="23">
        <f>VALUE(0)</f>
        <v>0</v>
      </c>
      <c r="BB18" s="23">
        <f>VALUE(0)</f>
        <v>0</v>
      </c>
      <c r="BC18" s="23">
        <f>VALUE(0)</f>
        <v>0</v>
      </c>
      <c r="BD18" s="23">
        <f>VALUE(0)</f>
        <v>0</v>
      </c>
      <c r="BE18" s="23">
        <f>VALUE(0)</f>
        <v>0</v>
      </c>
      <c r="BF18" s="23">
        <f>VALUE(0)</f>
        <v>0</v>
      </c>
      <c r="BG18" s="23">
        <f>VALUE(0)</f>
        <v>0</v>
      </c>
      <c r="BH18" s="23">
        <f>VALUE(0)</f>
        <v>0</v>
      </c>
      <c r="BI18" s="23">
        <f>VALUE(0)</f>
        <v>0</v>
      </c>
      <c r="BJ18" s="23">
        <f>VALUE(0)</f>
        <v>0</v>
      </c>
      <c r="BK18" s="12">
        <f>$AX$18*24</f>
        <v>11.766666666666667</v>
      </c>
      <c r="BL18" s="12">
        <f>$AY$18*24</f>
        <v>0</v>
      </c>
      <c r="BM18" s="12">
        <f>$BJ$18*24</f>
        <v>0</v>
      </c>
      <c r="BN18" s="12">
        <f>VALUE($I$18)/100</f>
        <v>1</v>
      </c>
      <c r="BO18" s="12">
        <v>0</v>
      </c>
      <c r="BP18" s="12">
        <v>0</v>
      </c>
      <c r="BQ18" s="12">
        <v>0</v>
      </c>
      <c r="BR18" s="12">
        <v>0</v>
      </c>
      <c r="BS18" s="12">
        <v>0</v>
      </c>
      <c r="BT18" s="12">
        <v>0</v>
      </c>
      <c r="BU18" s="12">
        <v>0</v>
      </c>
      <c r="BV18" s="12">
        <v>0</v>
      </c>
      <c r="BW18" s="12">
        <v>0</v>
      </c>
      <c r="BX18" s="12">
        <v>0</v>
      </c>
      <c r="BY18" s="12">
        <v>0</v>
      </c>
      <c r="BZ18" s="12">
        <v>0</v>
      </c>
      <c r="CA18" s="12">
        <v>0</v>
      </c>
    </row>
    <row r="19" spans="1:79" hidden="1" x14ac:dyDescent="0.2">
      <c r="A19" s="12" t="s">
        <v>102</v>
      </c>
      <c r="B19" s="12" t="s">
        <v>104</v>
      </c>
      <c r="C19" s="12" t="s">
        <v>104</v>
      </c>
      <c r="D19" s="22" t="s">
        <v>186</v>
      </c>
      <c r="E19" s="22" t="s">
        <v>161</v>
      </c>
      <c r="F19" s="22" t="s">
        <v>609</v>
      </c>
      <c r="G19" s="22" t="s">
        <v>610</v>
      </c>
      <c r="H19" s="22" t="s">
        <v>190</v>
      </c>
      <c r="I19" s="22" t="s">
        <v>151</v>
      </c>
      <c r="J19" s="22" t="s">
        <v>181</v>
      </c>
      <c r="K19" s="22" t="s">
        <v>65</v>
      </c>
      <c r="L19" s="54" t="s">
        <v>153</v>
      </c>
      <c r="M19" s="23" t="s">
        <v>153</v>
      </c>
      <c r="N19" s="24" t="s">
        <v>153</v>
      </c>
      <c r="O19" s="23" t="s">
        <v>153</v>
      </c>
      <c r="P19" s="23" t="s">
        <v>153</v>
      </c>
      <c r="Q19" s="23" t="s">
        <v>153</v>
      </c>
      <c r="R19" s="23" t="s">
        <v>153</v>
      </c>
      <c r="S19" s="23" t="s">
        <v>153</v>
      </c>
      <c r="T19" s="24" t="s">
        <v>156</v>
      </c>
      <c r="U19" s="24" t="s">
        <v>153</v>
      </c>
      <c r="V19" s="54" t="s">
        <v>153</v>
      </c>
      <c r="W19" s="23" t="s">
        <v>153</v>
      </c>
      <c r="X19" s="23" t="s">
        <v>153</v>
      </c>
      <c r="Y19" s="23" t="s">
        <v>153</v>
      </c>
      <c r="Z19" s="23" t="s">
        <v>153</v>
      </c>
      <c r="AA19" s="23" t="s">
        <v>153</v>
      </c>
      <c r="AB19" s="40" t="s">
        <v>153</v>
      </c>
      <c r="AC19" s="40" t="s">
        <v>153</v>
      </c>
      <c r="AD19" s="40" t="s">
        <v>153</v>
      </c>
      <c r="AE19" s="40" t="s">
        <v>153</v>
      </c>
      <c r="AF19" s="40" t="s">
        <v>153</v>
      </c>
      <c r="AG19" s="40" t="s">
        <v>153</v>
      </c>
      <c r="AH19" s="40" t="s">
        <v>153</v>
      </c>
      <c r="AI19" s="40" t="s">
        <v>153</v>
      </c>
      <c r="AJ19" s="40" t="s">
        <v>153</v>
      </c>
      <c r="AK19" s="40" t="s">
        <v>153</v>
      </c>
      <c r="AL19" s="40" t="s">
        <v>153</v>
      </c>
      <c r="AM19" s="40" t="s">
        <v>153</v>
      </c>
      <c r="AN19" s="40" t="s">
        <v>153</v>
      </c>
      <c r="AO19" s="40" t="s">
        <v>153</v>
      </c>
      <c r="AP19" s="23">
        <f>VALUE(0)</f>
        <v>0</v>
      </c>
      <c r="AQ19" s="23">
        <f>VALUE(0)</f>
        <v>0</v>
      </c>
      <c r="AR19" s="23">
        <f>VALUE(0)</f>
        <v>0</v>
      </c>
      <c r="AS19" s="23">
        <f>VALUE(0)</f>
        <v>0</v>
      </c>
      <c r="AT19" s="23">
        <f>VALUE(0)</f>
        <v>0</v>
      </c>
      <c r="AU19" s="23">
        <f>VALUE(0)</f>
        <v>0</v>
      </c>
      <c r="AV19" s="23">
        <f>VALUE(6)</f>
        <v>6</v>
      </c>
      <c r="AW19" s="23">
        <f>VALUE(0)</f>
        <v>0</v>
      </c>
      <c r="AX19" s="23" t="s">
        <v>1168</v>
      </c>
      <c r="AY19" s="23">
        <f>VALUE(0)</f>
        <v>0</v>
      </c>
      <c r="AZ19" s="23">
        <f>VALUE(0)</f>
        <v>0</v>
      </c>
      <c r="BA19" s="23">
        <f>VALUE(0)</f>
        <v>0</v>
      </c>
      <c r="BB19" s="23">
        <f>VALUE(0)</f>
        <v>0</v>
      </c>
      <c r="BC19" s="23">
        <f>VALUE(0)</f>
        <v>0</v>
      </c>
      <c r="BD19" s="23">
        <f>VALUE(0)</f>
        <v>0</v>
      </c>
      <c r="BE19" s="23">
        <f>VALUE(0)</f>
        <v>0</v>
      </c>
      <c r="BF19" s="23">
        <f>VALUE(0)</f>
        <v>0</v>
      </c>
      <c r="BG19" s="23">
        <f>VALUE(0)</f>
        <v>0</v>
      </c>
      <c r="BH19" s="23">
        <f>VALUE(0)</f>
        <v>0</v>
      </c>
      <c r="BI19" s="23">
        <f>VALUE(0)</f>
        <v>0</v>
      </c>
      <c r="BJ19" s="23">
        <f>VALUE(0)</f>
        <v>0</v>
      </c>
      <c r="BK19" s="12">
        <f>$AX$19*24</f>
        <v>18.75</v>
      </c>
      <c r="BL19" s="12">
        <f>$AY$19*24</f>
        <v>0</v>
      </c>
      <c r="BM19" s="12">
        <f>$BJ$19*24</f>
        <v>0</v>
      </c>
      <c r="BN19" s="12">
        <f>VALUE($I$19)/100</f>
        <v>1</v>
      </c>
      <c r="BO19" s="12">
        <v>0</v>
      </c>
      <c r="BP19" s="12">
        <v>0</v>
      </c>
      <c r="BQ19" s="12">
        <v>0</v>
      </c>
      <c r="BR19" s="12">
        <v>0</v>
      </c>
      <c r="BS19" s="12">
        <v>0</v>
      </c>
      <c r="BT19" s="12">
        <v>0</v>
      </c>
      <c r="BU19" s="12">
        <v>0</v>
      </c>
      <c r="BV19" s="12">
        <v>0</v>
      </c>
      <c r="BW19" s="12">
        <v>0</v>
      </c>
      <c r="BX19" s="12">
        <v>0</v>
      </c>
      <c r="BY19" s="12">
        <v>0</v>
      </c>
      <c r="BZ19" s="12">
        <v>0</v>
      </c>
      <c r="CA19" s="12">
        <v>0</v>
      </c>
    </row>
    <row r="20" spans="1:79" hidden="1" x14ac:dyDescent="0.2">
      <c r="A20" s="12" t="s">
        <v>102</v>
      </c>
      <c r="B20" s="12" t="s">
        <v>104</v>
      </c>
      <c r="C20" s="12" t="s">
        <v>104</v>
      </c>
      <c r="D20" s="22" t="s">
        <v>192</v>
      </c>
      <c r="E20" s="22" t="s">
        <v>173</v>
      </c>
      <c r="F20" s="22" t="s">
        <v>611</v>
      </c>
      <c r="G20" s="22" t="s">
        <v>612</v>
      </c>
      <c r="H20" s="22" t="s">
        <v>166</v>
      </c>
      <c r="I20" s="22" t="s">
        <v>151</v>
      </c>
      <c r="J20" s="22" t="s">
        <v>181</v>
      </c>
      <c r="K20" s="22" t="s">
        <v>65</v>
      </c>
      <c r="L20" s="54" t="s">
        <v>153</v>
      </c>
      <c r="M20" s="28" t="s">
        <v>163</v>
      </c>
      <c r="N20" s="24" t="s">
        <v>153</v>
      </c>
      <c r="O20" s="23" t="s">
        <v>153</v>
      </c>
      <c r="P20" s="23" t="s">
        <v>153</v>
      </c>
      <c r="Q20" s="23" t="s">
        <v>153</v>
      </c>
      <c r="R20" s="23" t="s">
        <v>153</v>
      </c>
      <c r="S20" s="23" t="s">
        <v>153</v>
      </c>
      <c r="T20" s="24" t="s">
        <v>156</v>
      </c>
      <c r="U20" s="24" t="s">
        <v>153</v>
      </c>
      <c r="V20" s="54" t="s">
        <v>153</v>
      </c>
      <c r="W20" s="23" t="s">
        <v>153</v>
      </c>
      <c r="X20" s="23" t="s">
        <v>153</v>
      </c>
      <c r="Y20" s="23" t="s">
        <v>153</v>
      </c>
      <c r="Z20" s="23" t="s">
        <v>153</v>
      </c>
      <c r="AA20" s="24" t="s">
        <v>156</v>
      </c>
      <c r="AB20" s="24" t="s">
        <v>153</v>
      </c>
      <c r="AC20" s="23" t="s">
        <v>153</v>
      </c>
      <c r="AD20" s="23" t="s">
        <v>153</v>
      </c>
      <c r="AE20" s="23" t="s">
        <v>153</v>
      </c>
      <c r="AF20" s="23" t="s">
        <v>153</v>
      </c>
      <c r="AG20" s="23" t="s">
        <v>153</v>
      </c>
      <c r="AH20" s="24" t="s">
        <v>156</v>
      </c>
      <c r="AI20" s="24" t="s">
        <v>153</v>
      </c>
      <c r="AJ20" s="23" t="s">
        <v>153</v>
      </c>
      <c r="AK20" s="23" t="s">
        <v>153</v>
      </c>
      <c r="AL20" s="23" t="s">
        <v>153</v>
      </c>
      <c r="AM20" s="23" t="s">
        <v>153</v>
      </c>
      <c r="AN20" s="23" t="s">
        <v>153</v>
      </c>
      <c r="AO20" s="24" t="s">
        <v>156</v>
      </c>
      <c r="AP20" s="23">
        <f>VALUE(0)</f>
        <v>0</v>
      </c>
      <c r="AQ20" s="23">
        <f>VALUE(0)</f>
        <v>0</v>
      </c>
      <c r="AR20" s="23">
        <f>VALUE(0)</f>
        <v>0</v>
      </c>
      <c r="AS20" s="23">
        <f>VALUE(0)</f>
        <v>0</v>
      </c>
      <c r="AT20" s="23">
        <f>VALUE(0)</f>
        <v>0</v>
      </c>
      <c r="AU20" s="23">
        <f>VALUE(1)</f>
        <v>1</v>
      </c>
      <c r="AV20" s="23">
        <f>VALUE(2.5)</f>
        <v>2.5</v>
      </c>
      <c r="AW20" s="23">
        <f>VALUE(0)</f>
        <v>0</v>
      </c>
      <c r="AX20" s="23" t="s">
        <v>193</v>
      </c>
      <c r="AY20" s="23">
        <f>VALUE(0)</f>
        <v>0</v>
      </c>
      <c r="AZ20" s="23">
        <f>VALUE(0)</f>
        <v>0</v>
      </c>
      <c r="BA20" s="23">
        <f>VALUE(0)</f>
        <v>0</v>
      </c>
      <c r="BB20" s="23">
        <f>VALUE(0)</f>
        <v>0</v>
      </c>
      <c r="BC20" s="23">
        <f>VALUE(0)</f>
        <v>0</v>
      </c>
      <c r="BD20" s="23">
        <f>VALUE(0)</f>
        <v>0</v>
      </c>
      <c r="BE20" s="23">
        <f>VALUE(0)</f>
        <v>0</v>
      </c>
      <c r="BF20" s="23">
        <f>VALUE(0)</f>
        <v>0</v>
      </c>
      <c r="BG20" s="23">
        <f>VALUE(0)</f>
        <v>0</v>
      </c>
      <c r="BH20" s="23">
        <f>VALUE(0)</f>
        <v>0</v>
      </c>
      <c r="BI20" s="23">
        <f>VALUE(0)</f>
        <v>0</v>
      </c>
      <c r="BJ20" s="23">
        <f>VALUE(0)</f>
        <v>0</v>
      </c>
      <c r="BK20" s="12">
        <f>$AX$20*24</f>
        <v>5.0333333333333332</v>
      </c>
      <c r="BL20" s="12">
        <f>$AY$20*24</f>
        <v>0</v>
      </c>
      <c r="BM20" s="12">
        <f>$BJ$20*24</f>
        <v>0</v>
      </c>
      <c r="BN20" s="12">
        <f>VALUE($I$20)/100</f>
        <v>1</v>
      </c>
      <c r="BO20" s="12">
        <v>0</v>
      </c>
      <c r="BP20" s="12">
        <v>0</v>
      </c>
      <c r="BQ20" s="12">
        <v>0</v>
      </c>
      <c r="BR20" s="12">
        <v>0</v>
      </c>
      <c r="BS20" s="12">
        <v>0</v>
      </c>
      <c r="BT20" s="12">
        <v>0</v>
      </c>
      <c r="BU20" s="12">
        <v>0</v>
      </c>
      <c r="BV20" s="12">
        <v>0</v>
      </c>
      <c r="BW20" s="12">
        <v>0</v>
      </c>
      <c r="BX20" s="12">
        <v>0</v>
      </c>
      <c r="BY20" s="12">
        <v>0</v>
      </c>
      <c r="BZ20" s="12">
        <v>0</v>
      </c>
      <c r="CA20" s="12">
        <v>0</v>
      </c>
    </row>
    <row r="21" spans="1:79" hidden="1" x14ac:dyDescent="0.2">
      <c r="A21" s="12" t="s">
        <v>102</v>
      </c>
      <c r="B21" s="12" t="s">
        <v>104</v>
      </c>
      <c r="C21" s="12" t="s">
        <v>104</v>
      </c>
      <c r="D21" s="22" t="s">
        <v>183</v>
      </c>
      <c r="E21" s="22" t="s">
        <v>161</v>
      </c>
      <c r="F21" s="22" t="s">
        <v>613</v>
      </c>
      <c r="G21" s="22" t="s">
        <v>614</v>
      </c>
      <c r="H21" s="22" t="s">
        <v>166</v>
      </c>
      <c r="I21" s="22" t="s">
        <v>194</v>
      </c>
      <c r="J21" s="22" t="s">
        <v>181</v>
      </c>
      <c r="K21" s="22" t="s">
        <v>65</v>
      </c>
      <c r="L21" s="54" t="s">
        <v>153</v>
      </c>
      <c r="M21" s="24" t="s">
        <v>156</v>
      </c>
      <c r="N21" s="24" t="s">
        <v>153</v>
      </c>
      <c r="O21" s="23" t="s">
        <v>153</v>
      </c>
      <c r="P21" s="23" t="s">
        <v>153</v>
      </c>
      <c r="Q21" s="23" t="s">
        <v>153</v>
      </c>
      <c r="R21" s="23" t="s">
        <v>153</v>
      </c>
      <c r="S21" s="23" t="s">
        <v>153</v>
      </c>
      <c r="T21" s="23" t="s">
        <v>153</v>
      </c>
      <c r="U21" s="24" t="s">
        <v>153</v>
      </c>
      <c r="V21" s="54" t="s">
        <v>153</v>
      </c>
      <c r="W21" s="24" t="s">
        <v>195</v>
      </c>
      <c r="X21" s="24" t="s">
        <v>195</v>
      </c>
      <c r="Y21" s="24" t="s">
        <v>195</v>
      </c>
      <c r="Z21" s="24" t="s">
        <v>195</v>
      </c>
      <c r="AA21" s="24" t="s">
        <v>195</v>
      </c>
      <c r="AB21" s="24" t="s">
        <v>153</v>
      </c>
      <c r="AC21" s="23" t="s">
        <v>153</v>
      </c>
      <c r="AD21" s="23" t="s">
        <v>153</v>
      </c>
      <c r="AE21" s="23" t="s">
        <v>153</v>
      </c>
      <c r="AF21" s="23" t="s">
        <v>153</v>
      </c>
      <c r="AG21" s="23" t="s">
        <v>153</v>
      </c>
      <c r="AH21" s="23" t="s">
        <v>153</v>
      </c>
      <c r="AI21" s="24" t="s">
        <v>153</v>
      </c>
      <c r="AJ21" s="23" t="s">
        <v>153</v>
      </c>
      <c r="AK21" s="23" t="s">
        <v>153</v>
      </c>
      <c r="AL21" s="23" t="s">
        <v>153</v>
      </c>
      <c r="AM21" s="23" t="s">
        <v>153</v>
      </c>
      <c r="AN21" s="23" t="s">
        <v>153</v>
      </c>
      <c r="AO21" s="24" t="s">
        <v>156</v>
      </c>
      <c r="AP21" s="23">
        <f>VALUE(0)</f>
        <v>0</v>
      </c>
      <c r="AQ21" s="23">
        <f>VALUE(0)</f>
        <v>0</v>
      </c>
      <c r="AR21" s="23">
        <f>VALUE(0)</f>
        <v>0</v>
      </c>
      <c r="AS21" s="23">
        <f>VALUE(0)</f>
        <v>0</v>
      </c>
      <c r="AT21" s="23">
        <f>VALUE(0)</f>
        <v>0</v>
      </c>
      <c r="AU21" s="23">
        <f>VALUE(0)</f>
        <v>0</v>
      </c>
      <c r="AV21" s="23">
        <f>VALUE(2)</f>
        <v>2</v>
      </c>
      <c r="AW21" s="23">
        <f>VALUE(0)</f>
        <v>0</v>
      </c>
      <c r="AX21" s="23" t="s">
        <v>1169</v>
      </c>
      <c r="AY21" s="23">
        <f>VALUE(0)</f>
        <v>0</v>
      </c>
      <c r="AZ21" s="23">
        <f>VALUE(0)</f>
        <v>0</v>
      </c>
      <c r="BA21" s="23">
        <f>VALUE(0)</f>
        <v>0</v>
      </c>
      <c r="BB21" s="23">
        <f>VALUE(0)</f>
        <v>0</v>
      </c>
      <c r="BC21" s="23">
        <f>VALUE(0)</f>
        <v>0</v>
      </c>
      <c r="BD21" s="23">
        <f>VALUE(0)</f>
        <v>0</v>
      </c>
      <c r="BE21" s="23">
        <f>VALUE(0)</f>
        <v>0</v>
      </c>
      <c r="BF21" s="23">
        <f>VALUE(0)</f>
        <v>0</v>
      </c>
      <c r="BG21" s="23">
        <f>VALUE(0)</f>
        <v>0</v>
      </c>
      <c r="BH21" s="23">
        <f>VALUE(0)</f>
        <v>0</v>
      </c>
      <c r="BI21" s="23">
        <f>VALUE(0)</f>
        <v>0</v>
      </c>
      <c r="BJ21" s="23">
        <f>VALUE(0)</f>
        <v>0</v>
      </c>
      <c r="BK21" s="12">
        <f>$AX$21*24</f>
        <v>17.7</v>
      </c>
      <c r="BL21" s="12">
        <f>$AY$21*24</f>
        <v>0</v>
      </c>
      <c r="BM21" s="12">
        <f>$BJ$21*24</f>
        <v>0</v>
      </c>
      <c r="BN21" s="12">
        <f>VALUE($I$21)/100</f>
        <v>0.8</v>
      </c>
      <c r="BO21" s="12">
        <v>0</v>
      </c>
      <c r="BP21" s="12">
        <v>0</v>
      </c>
      <c r="BQ21" s="12">
        <v>0</v>
      </c>
      <c r="BR21" s="12">
        <v>0</v>
      </c>
      <c r="BS21" s="12">
        <v>0</v>
      </c>
      <c r="BT21" s="12">
        <v>0</v>
      </c>
      <c r="BU21" s="12">
        <v>0</v>
      </c>
      <c r="BV21" s="12">
        <v>0</v>
      </c>
      <c r="BW21" s="12">
        <v>0</v>
      </c>
      <c r="BX21" s="12">
        <v>0</v>
      </c>
      <c r="BY21" s="12">
        <v>0</v>
      </c>
      <c r="BZ21" s="12">
        <v>0</v>
      </c>
      <c r="CA21" s="12">
        <v>0</v>
      </c>
    </row>
    <row r="22" spans="1:79" hidden="1" x14ac:dyDescent="0.2">
      <c r="A22" s="12" t="s">
        <v>102</v>
      </c>
      <c r="B22" s="12" t="s">
        <v>104</v>
      </c>
      <c r="C22" s="12" t="s">
        <v>104</v>
      </c>
      <c r="D22" s="22" t="s">
        <v>184</v>
      </c>
      <c r="E22" s="22" t="s">
        <v>161</v>
      </c>
      <c r="F22" s="22" t="s">
        <v>615</v>
      </c>
      <c r="G22" s="22" t="s">
        <v>616</v>
      </c>
      <c r="H22" s="22" t="s">
        <v>150</v>
      </c>
      <c r="I22" s="22" t="s">
        <v>151</v>
      </c>
      <c r="J22" s="22" t="s">
        <v>181</v>
      </c>
      <c r="K22" s="22" t="s">
        <v>65</v>
      </c>
      <c r="L22" s="54" t="s">
        <v>153</v>
      </c>
      <c r="M22" s="24" t="s">
        <v>156</v>
      </c>
      <c r="N22" s="24" t="s">
        <v>153</v>
      </c>
      <c r="O22" s="23" t="s">
        <v>153</v>
      </c>
      <c r="P22" s="23" t="s">
        <v>153</v>
      </c>
      <c r="Q22" s="23" t="s">
        <v>153</v>
      </c>
      <c r="R22" s="23" t="s">
        <v>153</v>
      </c>
      <c r="S22" s="23" t="s">
        <v>153</v>
      </c>
      <c r="T22" s="23" t="s">
        <v>153</v>
      </c>
      <c r="U22" s="24" t="s">
        <v>153</v>
      </c>
      <c r="V22" s="54" t="s">
        <v>153</v>
      </c>
      <c r="W22" s="23" t="s">
        <v>153</v>
      </c>
      <c r="X22" s="23" t="s">
        <v>153</v>
      </c>
      <c r="Y22" s="23" t="s">
        <v>153</v>
      </c>
      <c r="Z22" s="23" t="s">
        <v>153</v>
      </c>
      <c r="AA22" s="24" t="s">
        <v>156</v>
      </c>
      <c r="AB22" s="24" t="s">
        <v>153</v>
      </c>
      <c r="AC22" s="28" t="s">
        <v>163</v>
      </c>
      <c r="AD22" s="28" t="s">
        <v>163</v>
      </c>
      <c r="AE22" s="28" t="s">
        <v>163</v>
      </c>
      <c r="AF22" s="23" t="s">
        <v>153</v>
      </c>
      <c r="AG22" s="23" t="s">
        <v>153</v>
      </c>
      <c r="AH22" s="23" t="s">
        <v>153</v>
      </c>
      <c r="AI22" s="24" t="s">
        <v>153</v>
      </c>
      <c r="AJ22" s="23" t="s">
        <v>153</v>
      </c>
      <c r="AK22" s="23" t="s">
        <v>153</v>
      </c>
      <c r="AL22" s="23" t="s">
        <v>153</v>
      </c>
      <c r="AM22" s="23" t="s">
        <v>153</v>
      </c>
      <c r="AN22" s="23" t="s">
        <v>153</v>
      </c>
      <c r="AO22" s="24" t="s">
        <v>156</v>
      </c>
      <c r="AP22" s="23">
        <f>VALUE(0)</f>
        <v>0</v>
      </c>
      <c r="AQ22" s="23">
        <f>VALUE(0)</f>
        <v>0</v>
      </c>
      <c r="AR22" s="23">
        <f>VALUE(0)</f>
        <v>0</v>
      </c>
      <c r="AS22" s="23">
        <f>VALUE(0)</f>
        <v>0</v>
      </c>
      <c r="AT22" s="23">
        <f>VALUE(0)</f>
        <v>0</v>
      </c>
      <c r="AU22" s="23">
        <f>VALUE(3)</f>
        <v>3</v>
      </c>
      <c r="AV22" s="23">
        <f>VALUE(2)</f>
        <v>2</v>
      </c>
      <c r="AW22" s="23">
        <f>VALUE(0)</f>
        <v>0</v>
      </c>
      <c r="AX22" s="23" t="s">
        <v>171</v>
      </c>
      <c r="AY22" s="23" t="s">
        <v>196</v>
      </c>
      <c r="AZ22" s="23">
        <f>VALUE(0)</f>
        <v>0</v>
      </c>
      <c r="BA22" s="23">
        <f>VALUE(0)</f>
        <v>0</v>
      </c>
      <c r="BB22" s="23">
        <f>VALUE(0)</f>
        <v>0</v>
      </c>
      <c r="BC22" s="23">
        <f>VALUE(0)</f>
        <v>0</v>
      </c>
      <c r="BD22" s="23">
        <f>VALUE(0)</f>
        <v>0</v>
      </c>
      <c r="BE22" s="23">
        <f>VALUE(0)</f>
        <v>0</v>
      </c>
      <c r="BF22" s="23">
        <f>VALUE(0)</f>
        <v>0</v>
      </c>
      <c r="BG22" s="23">
        <f>VALUE(0)</f>
        <v>0</v>
      </c>
      <c r="BH22" s="23">
        <f>VALUE(0)</f>
        <v>0</v>
      </c>
      <c r="BI22" s="23">
        <f>VALUE(0)</f>
        <v>0</v>
      </c>
      <c r="BJ22" s="23">
        <f>VALUE(0)</f>
        <v>0</v>
      </c>
      <c r="BK22" s="12">
        <f>$AX$22*24</f>
        <v>5.833333333333333</v>
      </c>
      <c r="BL22" s="12">
        <f>$AY$22*24</f>
        <v>8.1</v>
      </c>
      <c r="BM22" s="12">
        <f>$BJ$22*24</f>
        <v>0</v>
      </c>
      <c r="BN22" s="12">
        <f>VALUE($I$22)/100</f>
        <v>1</v>
      </c>
      <c r="BO22" s="12">
        <v>0</v>
      </c>
      <c r="BP22" s="12">
        <v>0</v>
      </c>
      <c r="BQ22" s="12">
        <v>0</v>
      </c>
      <c r="BR22" s="12">
        <v>0</v>
      </c>
      <c r="BS22" s="12">
        <v>0</v>
      </c>
      <c r="BT22" s="12">
        <v>0</v>
      </c>
      <c r="BU22" s="12">
        <v>0</v>
      </c>
      <c r="BV22" s="12">
        <v>0</v>
      </c>
      <c r="BW22" s="12">
        <v>0</v>
      </c>
      <c r="BX22" s="12">
        <v>0</v>
      </c>
      <c r="BY22" s="12">
        <v>0</v>
      </c>
      <c r="BZ22" s="12">
        <v>0</v>
      </c>
      <c r="CA22" s="12">
        <v>0</v>
      </c>
    </row>
    <row r="23" spans="1:79" hidden="1" x14ac:dyDescent="0.2">
      <c r="A23" s="12" t="s">
        <v>102</v>
      </c>
      <c r="B23" s="12" t="s">
        <v>104</v>
      </c>
      <c r="C23" s="12" t="s">
        <v>104</v>
      </c>
      <c r="D23" s="22" t="s">
        <v>182</v>
      </c>
      <c r="E23" s="22" t="s">
        <v>161</v>
      </c>
      <c r="F23" s="22" t="s">
        <v>617</v>
      </c>
      <c r="G23" s="22" t="s">
        <v>618</v>
      </c>
      <c r="H23" s="22" t="s">
        <v>166</v>
      </c>
      <c r="I23" s="22" t="s">
        <v>151</v>
      </c>
      <c r="J23" s="22" t="s">
        <v>181</v>
      </c>
      <c r="K23" s="22" t="s">
        <v>65</v>
      </c>
      <c r="L23" s="54" t="s">
        <v>153</v>
      </c>
      <c r="M23" s="23" t="s">
        <v>153</v>
      </c>
      <c r="N23" s="24" t="s">
        <v>153</v>
      </c>
      <c r="O23" s="23" t="s">
        <v>153</v>
      </c>
      <c r="P23" s="23" t="s">
        <v>153</v>
      </c>
      <c r="Q23" s="23" t="s">
        <v>153</v>
      </c>
      <c r="R23" s="23" t="s">
        <v>153</v>
      </c>
      <c r="S23" s="23" t="s">
        <v>153</v>
      </c>
      <c r="T23" s="24" t="s">
        <v>156</v>
      </c>
      <c r="U23" s="24" t="s">
        <v>153</v>
      </c>
      <c r="V23" s="54" t="s">
        <v>153</v>
      </c>
      <c r="W23" s="23" t="s">
        <v>153</v>
      </c>
      <c r="X23" s="23" t="s">
        <v>153</v>
      </c>
      <c r="Y23" s="23" t="s">
        <v>153</v>
      </c>
      <c r="Z23" s="23" t="s">
        <v>153</v>
      </c>
      <c r="AA23" s="23" t="s">
        <v>153</v>
      </c>
      <c r="AB23" s="24" t="s">
        <v>153</v>
      </c>
      <c r="AC23" s="23" t="s">
        <v>153</v>
      </c>
      <c r="AD23" s="23" t="s">
        <v>153</v>
      </c>
      <c r="AE23" s="23" t="s">
        <v>153</v>
      </c>
      <c r="AF23" s="23" t="s">
        <v>153</v>
      </c>
      <c r="AG23" s="23" t="s">
        <v>153</v>
      </c>
      <c r="AH23" s="24" t="s">
        <v>156</v>
      </c>
      <c r="AI23" s="24" t="s">
        <v>153</v>
      </c>
      <c r="AJ23" s="23" t="s">
        <v>153</v>
      </c>
      <c r="AK23" s="23" t="s">
        <v>153</v>
      </c>
      <c r="AL23" s="23" t="s">
        <v>153</v>
      </c>
      <c r="AM23" s="23" t="s">
        <v>153</v>
      </c>
      <c r="AN23" s="23" t="s">
        <v>153</v>
      </c>
      <c r="AO23" s="23" t="s">
        <v>153</v>
      </c>
      <c r="AP23" s="23">
        <f>VALUE(0)</f>
        <v>0</v>
      </c>
      <c r="AQ23" s="23">
        <f>VALUE(0)</f>
        <v>0</v>
      </c>
      <c r="AR23" s="23">
        <f>VALUE(0)</f>
        <v>0</v>
      </c>
      <c r="AS23" s="23">
        <f>VALUE(0)</f>
        <v>0</v>
      </c>
      <c r="AT23" s="23">
        <f>VALUE(0)</f>
        <v>0</v>
      </c>
      <c r="AU23" s="23">
        <f>VALUE(0)</f>
        <v>0</v>
      </c>
      <c r="AV23" s="23">
        <f>VALUE(2)</f>
        <v>2</v>
      </c>
      <c r="AW23" s="23">
        <f>VALUE(0)</f>
        <v>0</v>
      </c>
      <c r="AX23" s="23" t="s">
        <v>197</v>
      </c>
      <c r="AY23" s="23">
        <f>VALUE(0)</f>
        <v>0</v>
      </c>
      <c r="AZ23" s="23">
        <f>VALUE(0)</f>
        <v>0</v>
      </c>
      <c r="BA23" s="23">
        <f>VALUE(0)</f>
        <v>0</v>
      </c>
      <c r="BB23" s="23">
        <f>VALUE(0)</f>
        <v>0</v>
      </c>
      <c r="BC23" s="23">
        <f>VALUE(0)</f>
        <v>0</v>
      </c>
      <c r="BD23" s="23">
        <f>VALUE(0)</f>
        <v>0</v>
      </c>
      <c r="BE23" s="23">
        <f>VALUE(0)</f>
        <v>0</v>
      </c>
      <c r="BF23" s="23">
        <f>VALUE(0)</f>
        <v>0</v>
      </c>
      <c r="BG23" s="23">
        <f>VALUE(0)</f>
        <v>0</v>
      </c>
      <c r="BH23" s="23">
        <f>VALUE(0)</f>
        <v>0</v>
      </c>
      <c r="BI23" s="23">
        <f>VALUE(0)</f>
        <v>0</v>
      </c>
      <c r="BJ23" s="23">
        <f>VALUE(0)</f>
        <v>0</v>
      </c>
      <c r="BK23" s="12">
        <f>$AX$23*24</f>
        <v>6.1333333333333346</v>
      </c>
      <c r="BL23" s="12">
        <f>$AY$23*24</f>
        <v>0</v>
      </c>
      <c r="BM23" s="12">
        <f>$BJ$23*24</f>
        <v>0</v>
      </c>
      <c r="BN23" s="12">
        <f>VALUE($I$23)/100</f>
        <v>1</v>
      </c>
      <c r="BO23" s="12">
        <v>0</v>
      </c>
      <c r="BP23" s="12">
        <v>0</v>
      </c>
      <c r="BQ23" s="12">
        <v>0</v>
      </c>
      <c r="BR23" s="12">
        <v>0</v>
      </c>
      <c r="BS23" s="12">
        <v>0</v>
      </c>
      <c r="BT23" s="12">
        <v>0</v>
      </c>
      <c r="BU23" s="12">
        <v>0</v>
      </c>
      <c r="BV23" s="12">
        <v>0</v>
      </c>
      <c r="BW23" s="12">
        <v>0</v>
      </c>
      <c r="BX23" s="12">
        <v>0</v>
      </c>
      <c r="BY23" s="12">
        <v>0</v>
      </c>
      <c r="BZ23" s="12">
        <v>0</v>
      </c>
      <c r="CA23" s="12">
        <v>0</v>
      </c>
    </row>
    <row r="24" spans="1:79" hidden="1" x14ac:dyDescent="0.2">
      <c r="A24" s="12" t="s">
        <v>102</v>
      </c>
      <c r="B24" s="12" t="s">
        <v>104</v>
      </c>
      <c r="C24" s="12" t="s">
        <v>104</v>
      </c>
      <c r="D24" s="22" t="s">
        <v>185</v>
      </c>
      <c r="E24" s="22" t="s">
        <v>161</v>
      </c>
      <c r="F24" s="22" t="s">
        <v>619</v>
      </c>
      <c r="G24" s="22" t="s">
        <v>620</v>
      </c>
      <c r="H24" s="22" t="s">
        <v>166</v>
      </c>
      <c r="I24" s="22" t="s">
        <v>151</v>
      </c>
      <c r="J24" s="22" t="s">
        <v>181</v>
      </c>
      <c r="K24" s="22" t="s">
        <v>65</v>
      </c>
      <c r="L24" s="54" t="s">
        <v>153</v>
      </c>
      <c r="M24" s="23" t="s">
        <v>153</v>
      </c>
      <c r="N24" s="24" t="s">
        <v>153</v>
      </c>
      <c r="O24" s="23" t="s">
        <v>153</v>
      </c>
      <c r="P24" s="23" t="s">
        <v>153</v>
      </c>
      <c r="Q24" s="23" t="s">
        <v>153</v>
      </c>
      <c r="R24" s="23" t="s">
        <v>153</v>
      </c>
      <c r="S24" s="23" t="s">
        <v>153</v>
      </c>
      <c r="T24" s="24" t="s">
        <v>156</v>
      </c>
      <c r="U24" s="24" t="s">
        <v>153</v>
      </c>
      <c r="V24" s="54" t="s">
        <v>153</v>
      </c>
      <c r="W24" s="23" t="s">
        <v>153</v>
      </c>
      <c r="X24" s="23" t="s">
        <v>153</v>
      </c>
      <c r="Y24" s="23" t="s">
        <v>153</v>
      </c>
      <c r="Z24" s="23" t="s">
        <v>153</v>
      </c>
      <c r="AA24" s="23" t="s">
        <v>153</v>
      </c>
      <c r="AB24" s="24" t="s">
        <v>153</v>
      </c>
      <c r="AC24" s="23" t="s">
        <v>153</v>
      </c>
      <c r="AD24" s="23" t="s">
        <v>153</v>
      </c>
      <c r="AE24" s="23" t="s">
        <v>153</v>
      </c>
      <c r="AF24" s="23" t="s">
        <v>153</v>
      </c>
      <c r="AG24" s="23" t="s">
        <v>153</v>
      </c>
      <c r="AH24" s="24" t="s">
        <v>156</v>
      </c>
      <c r="AI24" s="24" t="s">
        <v>153</v>
      </c>
      <c r="AJ24" s="23" t="s">
        <v>153</v>
      </c>
      <c r="AK24" s="23" t="s">
        <v>153</v>
      </c>
      <c r="AL24" s="23" t="s">
        <v>153</v>
      </c>
      <c r="AM24" s="23" t="s">
        <v>153</v>
      </c>
      <c r="AN24" s="23" t="s">
        <v>153</v>
      </c>
      <c r="AO24" s="23" t="s">
        <v>153</v>
      </c>
      <c r="AP24" s="23">
        <f>VALUE(0)</f>
        <v>0</v>
      </c>
      <c r="AQ24" s="23">
        <f>VALUE(0)</f>
        <v>0</v>
      </c>
      <c r="AR24" s="23">
        <f>VALUE(0)</f>
        <v>0</v>
      </c>
      <c r="AS24" s="23">
        <f>VALUE(0)</f>
        <v>0</v>
      </c>
      <c r="AT24" s="23">
        <f>VALUE(0)</f>
        <v>0</v>
      </c>
      <c r="AU24" s="23">
        <f>VALUE(0)</f>
        <v>0</v>
      </c>
      <c r="AV24" s="23">
        <f>VALUE(2.5)</f>
        <v>2.5</v>
      </c>
      <c r="AW24" s="23">
        <f>VALUE(0)</f>
        <v>0</v>
      </c>
      <c r="AX24" s="23" t="s">
        <v>198</v>
      </c>
      <c r="AY24" s="23">
        <f>VALUE(0)</f>
        <v>0</v>
      </c>
      <c r="AZ24" s="23">
        <f>VALUE(0)</f>
        <v>0</v>
      </c>
      <c r="BA24" s="23">
        <f>VALUE(0)</f>
        <v>0</v>
      </c>
      <c r="BB24" s="23">
        <f>VALUE(0)</f>
        <v>0</v>
      </c>
      <c r="BC24" s="23">
        <f>VALUE(0)</f>
        <v>0</v>
      </c>
      <c r="BD24" s="23">
        <f>VALUE(0)</f>
        <v>0</v>
      </c>
      <c r="BE24" s="23">
        <f>VALUE(0)</f>
        <v>0</v>
      </c>
      <c r="BF24" s="23">
        <f>VALUE(0)</f>
        <v>0</v>
      </c>
      <c r="BG24" s="23">
        <f>VALUE(0)</f>
        <v>0</v>
      </c>
      <c r="BH24" s="23">
        <f>VALUE(0)</f>
        <v>0</v>
      </c>
      <c r="BI24" s="23">
        <f>VALUE(0)</f>
        <v>0</v>
      </c>
      <c r="BJ24" s="23">
        <f>VALUE(0)</f>
        <v>0</v>
      </c>
      <c r="BK24" s="12">
        <f>$AX$24*24</f>
        <v>4.4333333333333336</v>
      </c>
      <c r="BL24" s="12">
        <f>$AY$24*24</f>
        <v>0</v>
      </c>
      <c r="BM24" s="12">
        <f>$BJ$24*24</f>
        <v>0</v>
      </c>
      <c r="BN24" s="12">
        <f>VALUE($I$24)/100</f>
        <v>1</v>
      </c>
      <c r="BO24" s="12">
        <v>0</v>
      </c>
      <c r="BP24" s="12">
        <v>0</v>
      </c>
      <c r="BQ24" s="12">
        <v>0</v>
      </c>
      <c r="BR24" s="12">
        <v>0</v>
      </c>
      <c r="BS24" s="12">
        <v>0</v>
      </c>
      <c r="BT24" s="12">
        <v>0</v>
      </c>
      <c r="BU24" s="12">
        <v>0</v>
      </c>
      <c r="BV24" s="12">
        <v>0</v>
      </c>
      <c r="BW24" s="12">
        <v>0</v>
      </c>
      <c r="BX24" s="12">
        <v>0</v>
      </c>
      <c r="BY24" s="12">
        <v>0</v>
      </c>
      <c r="BZ24" s="12">
        <v>0</v>
      </c>
      <c r="CA24" s="12">
        <v>0</v>
      </c>
    </row>
    <row r="25" spans="1:79" hidden="1" x14ac:dyDescent="0.2">
      <c r="A25" s="12" t="s">
        <v>102</v>
      </c>
      <c r="B25" s="12" t="s">
        <v>104</v>
      </c>
      <c r="C25" s="12" t="s">
        <v>104</v>
      </c>
      <c r="D25" s="22" t="s">
        <v>199</v>
      </c>
      <c r="E25" s="22" t="s">
        <v>161</v>
      </c>
      <c r="F25" s="22" t="s">
        <v>621</v>
      </c>
      <c r="G25" s="22" t="s">
        <v>622</v>
      </c>
      <c r="H25" s="22" t="s">
        <v>166</v>
      </c>
      <c r="I25" s="22" t="s">
        <v>151</v>
      </c>
      <c r="J25" s="22" t="s">
        <v>200</v>
      </c>
      <c r="K25" s="22" t="s">
        <v>65</v>
      </c>
      <c r="L25" s="54" t="s">
        <v>153</v>
      </c>
      <c r="M25" s="24" t="s">
        <v>156</v>
      </c>
      <c r="N25" s="24" t="s">
        <v>153</v>
      </c>
      <c r="O25" s="23" t="s">
        <v>153</v>
      </c>
      <c r="P25" s="23" t="s">
        <v>153</v>
      </c>
      <c r="Q25" s="23" t="s">
        <v>153</v>
      </c>
      <c r="R25" s="23" t="s">
        <v>153</v>
      </c>
      <c r="S25" s="23" t="s">
        <v>153</v>
      </c>
      <c r="T25" s="24" t="s">
        <v>156</v>
      </c>
      <c r="U25" s="24" t="s">
        <v>153</v>
      </c>
      <c r="V25" s="54" t="s">
        <v>153</v>
      </c>
      <c r="W25" s="23" t="s">
        <v>153</v>
      </c>
      <c r="X25" s="29" t="s">
        <v>218</v>
      </c>
      <c r="Y25" s="29" t="s">
        <v>218</v>
      </c>
      <c r="Z25" s="23" t="s">
        <v>153</v>
      </c>
      <c r="AA25" s="24" t="s">
        <v>156</v>
      </c>
      <c r="AB25" s="24" t="s">
        <v>153</v>
      </c>
      <c r="AC25" s="23" t="s">
        <v>153</v>
      </c>
      <c r="AD25" s="23" t="s">
        <v>153</v>
      </c>
      <c r="AE25" s="23" t="s">
        <v>153</v>
      </c>
      <c r="AF25" s="23" t="s">
        <v>153</v>
      </c>
      <c r="AG25" s="23" t="s">
        <v>153</v>
      </c>
      <c r="AH25" s="24" t="s">
        <v>156</v>
      </c>
      <c r="AI25" s="24" t="s">
        <v>153</v>
      </c>
      <c r="AJ25" s="23" t="s">
        <v>153</v>
      </c>
      <c r="AK25" s="23" t="s">
        <v>153</v>
      </c>
      <c r="AL25" s="23" t="s">
        <v>153</v>
      </c>
      <c r="AM25" s="23" t="s">
        <v>153</v>
      </c>
      <c r="AN25" s="23" t="s">
        <v>153</v>
      </c>
      <c r="AO25" s="24" t="s">
        <v>156</v>
      </c>
      <c r="AP25" s="23">
        <f>VALUE(0)</f>
        <v>0</v>
      </c>
      <c r="AQ25" s="23">
        <f>VALUE(1)</f>
        <v>1</v>
      </c>
      <c r="AR25" s="23">
        <f>VALUE(2)</f>
        <v>2</v>
      </c>
      <c r="AS25" s="23">
        <f>VALUE(0)</f>
        <v>0</v>
      </c>
      <c r="AT25" s="23">
        <f>VALUE(0)</f>
        <v>0</v>
      </c>
      <c r="AU25" s="23">
        <f>VALUE(0)</f>
        <v>0</v>
      </c>
      <c r="AV25" s="23">
        <f>VALUE(8.5)</f>
        <v>8.5</v>
      </c>
      <c r="AW25" s="23">
        <f>VALUE(0)</f>
        <v>0</v>
      </c>
      <c r="AX25" s="23" t="s">
        <v>176</v>
      </c>
      <c r="AY25" s="23">
        <f>VALUE(0)</f>
        <v>0</v>
      </c>
      <c r="AZ25" s="23">
        <f>VALUE(0)</f>
        <v>0</v>
      </c>
      <c r="BA25" s="23">
        <f>VALUE(0)</f>
        <v>0</v>
      </c>
      <c r="BB25" s="23">
        <f>VALUE(0)</f>
        <v>0</v>
      </c>
      <c r="BC25" s="23">
        <f>VALUE(0)</f>
        <v>0</v>
      </c>
      <c r="BD25" s="23">
        <f>VALUE(0)</f>
        <v>0</v>
      </c>
      <c r="BE25" s="23">
        <f>VALUE(0)</f>
        <v>0</v>
      </c>
      <c r="BF25" s="23">
        <f>VALUE(0)</f>
        <v>0</v>
      </c>
      <c r="BG25" s="23">
        <f>VALUE(0)</f>
        <v>0</v>
      </c>
      <c r="BH25" s="23">
        <f>VALUE(0)</f>
        <v>0</v>
      </c>
      <c r="BI25" s="23">
        <f>VALUE(0)</f>
        <v>0</v>
      </c>
      <c r="BJ25" s="23">
        <f>VALUE(0)</f>
        <v>0</v>
      </c>
      <c r="BK25" s="12">
        <f>$AX$25*24</f>
        <v>0</v>
      </c>
      <c r="BL25" s="12">
        <f>$AY$25*24</f>
        <v>0</v>
      </c>
      <c r="BM25" s="12">
        <f>$BJ$25*24</f>
        <v>0</v>
      </c>
      <c r="BN25" s="12">
        <f>VALUE($I$25)/100</f>
        <v>1</v>
      </c>
      <c r="BO25" s="12">
        <v>0</v>
      </c>
      <c r="BP25" s="12">
        <v>0</v>
      </c>
      <c r="BQ25" s="12">
        <v>0</v>
      </c>
      <c r="BR25" s="12">
        <v>0</v>
      </c>
      <c r="BS25" s="12">
        <v>2</v>
      </c>
      <c r="BT25" s="12">
        <v>0</v>
      </c>
      <c r="BU25" s="12">
        <v>0</v>
      </c>
      <c r="BV25" s="12">
        <v>0</v>
      </c>
      <c r="BW25" s="12">
        <v>0</v>
      </c>
      <c r="BX25" s="12">
        <v>0</v>
      </c>
      <c r="BY25" s="12">
        <v>0</v>
      </c>
      <c r="BZ25" s="12">
        <v>0</v>
      </c>
      <c r="CA25" s="12">
        <v>0</v>
      </c>
    </row>
    <row r="26" spans="1:79" ht="15" hidden="1" x14ac:dyDescent="0.25">
      <c r="A26" s="12" t="s">
        <v>102</v>
      </c>
      <c r="B26" s="12" t="s">
        <v>104</v>
      </c>
      <c r="C26" s="12" t="s">
        <v>104</v>
      </c>
      <c r="D26" s="31" t="s">
        <v>582</v>
      </c>
      <c r="E26" s="31" t="s">
        <v>153</v>
      </c>
      <c r="F26" s="31" t="s">
        <v>175</v>
      </c>
      <c r="G26" s="31" t="s">
        <v>153</v>
      </c>
      <c r="H26" s="31" t="s">
        <v>153</v>
      </c>
      <c r="I26" s="31" t="s">
        <v>153</v>
      </c>
      <c r="J26" s="31" t="s">
        <v>153</v>
      </c>
      <c r="K26" s="31" t="s">
        <v>153</v>
      </c>
      <c r="L26" s="31">
        <f>VALUE(0)</f>
        <v>0</v>
      </c>
      <c r="M26" s="31">
        <f>VALUE(3)</f>
        <v>3</v>
      </c>
      <c r="N26" s="31">
        <f>VALUE(0)</f>
        <v>0</v>
      </c>
      <c r="O26" s="31">
        <f>VALUE(9)</f>
        <v>9</v>
      </c>
      <c r="P26" s="31">
        <f>VALUE(9)</f>
        <v>9</v>
      </c>
      <c r="Q26" s="31">
        <f>VALUE(9)</f>
        <v>9</v>
      </c>
      <c r="R26" s="31">
        <f>VALUE(9)</f>
        <v>9</v>
      </c>
      <c r="S26" s="31">
        <f>VALUE(9)</f>
        <v>9</v>
      </c>
      <c r="T26" s="31">
        <f>VALUE(3)</f>
        <v>3</v>
      </c>
      <c r="U26" s="31">
        <f>VALUE(0)</f>
        <v>0</v>
      </c>
      <c r="V26" s="31">
        <f>VALUE(0)</f>
        <v>0</v>
      </c>
      <c r="W26" s="31">
        <f>VALUE(8)</f>
        <v>8</v>
      </c>
      <c r="X26" s="31">
        <f>VALUE(7)</f>
        <v>7</v>
      </c>
      <c r="Y26" s="31">
        <f>VALUE(7)</f>
        <v>7</v>
      </c>
      <c r="Z26" s="31">
        <f>VALUE(8)</f>
        <v>8</v>
      </c>
      <c r="AA26" s="31">
        <f>VALUE(4)</f>
        <v>4</v>
      </c>
      <c r="AB26" s="31">
        <f>VALUE(0)</f>
        <v>0</v>
      </c>
      <c r="AC26" s="31">
        <f>VALUE(8)</f>
        <v>8</v>
      </c>
      <c r="AD26" s="31">
        <f>VALUE(8)</f>
        <v>8</v>
      </c>
      <c r="AE26" s="31">
        <f>VALUE(8)</f>
        <v>8</v>
      </c>
      <c r="AF26" s="31">
        <f>VALUE(9)</f>
        <v>9</v>
      </c>
      <c r="AG26" s="31">
        <f>VALUE(9)</f>
        <v>9</v>
      </c>
      <c r="AH26" s="31">
        <f>VALUE(4)</f>
        <v>4</v>
      </c>
      <c r="AI26" s="31">
        <f>VALUE(0)</f>
        <v>0</v>
      </c>
      <c r="AJ26" s="31">
        <f>VALUE(9)</f>
        <v>9</v>
      </c>
      <c r="AK26" s="31">
        <f>VALUE(9)</f>
        <v>9</v>
      </c>
      <c r="AL26" s="31">
        <f>VALUE(9)</f>
        <v>9</v>
      </c>
      <c r="AM26" s="31">
        <f>VALUE(9)</f>
        <v>9</v>
      </c>
      <c r="AN26" s="31">
        <f>VALUE(9)</f>
        <v>9</v>
      </c>
      <c r="AO26" s="31">
        <f>VALUE(3)</f>
        <v>3</v>
      </c>
      <c r="AP26" s="31">
        <v>0</v>
      </c>
      <c r="AQ26" s="31">
        <v>0</v>
      </c>
      <c r="AR26" s="31">
        <v>0</v>
      </c>
      <c r="AS26" s="31">
        <v>0</v>
      </c>
      <c r="AT26" s="31">
        <v>0</v>
      </c>
      <c r="AU26" s="31">
        <v>0</v>
      </c>
      <c r="AV26" s="31">
        <v>0</v>
      </c>
      <c r="AW26" s="31">
        <v>0</v>
      </c>
      <c r="AX26" s="31">
        <v>0</v>
      </c>
      <c r="AY26" s="31">
        <v>0</v>
      </c>
      <c r="AZ26" s="31">
        <v>0</v>
      </c>
      <c r="BA26" s="31">
        <v>0</v>
      </c>
      <c r="BB26" s="31">
        <v>0</v>
      </c>
      <c r="BC26" s="31">
        <v>0</v>
      </c>
      <c r="BD26" s="31">
        <v>0</v>
      </c>
      <c r="BE26" s="31">
        <v>0</v>
      </c>
      <c r="BF26" s="31">
        <v>0</v>
      </c>
      <c r="BG26" s="31">
        <v>0</v>
      </c>
      <c r="BH26" s="31">
        <v>0</v>
      </c>
      <c r="BI26" s="31">
        <v>0</v>
      </c>
      <c r="BJ26" s="31">
        <v>0</v>
      </c>
      <c r="BK26" s="12">
        <v>0</v>
      </c>
      <c r="BL26" s="12">
        <v>0</v>
      </c>
      <c r="BM26" s="12">
        <v>0</v>
      </c>
      <c r="BN26" s="12"/>
      <c r="BO26" s="12">
        <v>0</v>
      </c>
      <c r="BP26" s="12">
        <v>0</v>
      </c>
      <c r="BQ26" s="12">
        <v>0</v>
      </c>
      <c r="BR26" s="12">
        <v>0</v>
      </c>
      <c r="BS26" s="12">
        <v>0</v>
      </c>
      <c r="BT26" s="12">
        <v>0</v>
      </c>
      <c r="BU26" s="12">
        <v>0</v>
      </c>
      <c r="BV26" s="12">
        <v>0</v>
      </c>
      <c r="BW26" s="12">
        <v>0</v>
      </c>
      <c r="BX26" s="12">
        <v>0</v>
      </c>
      <c r="BY26" s="12">
        <v>0</v>
      </c>
      <c r="BZ26" s="12">
        <v>0</v>
      </c>
      <c r="CA26" s="12">
        <v>0</v>
      </c>
    </row>
    <row r="27" spans="1:79" ht="16.5" hidden="1" x14ac:dyDescent="0.2">
      <c r="A27" s="12" t="s">
        <v>102</v>
      </c>
      <c r="B27" s="12" t="s">
        <v>105</v>
      </c>
      <c r="C27" s="12" t="s">
        <v>105</v>
      </c>
      <c r="D27" s="22" t="s">
        <v>1170</v>
      </c>
      <c r="E27" s="22" t="s">
        <v>149</v>
      </c>
      <c r="F27" s="22" t="s">
        <v>623</v>
      </c>
      <c r="G27" s="22" t="s">
        <v>624</v>
      </c>
      <c r="H27" s="22" t="s">
        <v>150</v>
      </c>
      <c r="I27" s="22" t="s">
        <v>151</v>
      </c>
      <c r="J27" s="22" t="s">
        <v>203</v>
      </c>
      <c r="K27" s="22" t="s">
        <v>66</v>
      </c>
      <c r="L27" s="54" t="s">
        <v>153</v>
      </c>
      <c r="M27" s="34" t="s">
        <v>204</v>
      </c>
      <c r="N27" s="24" t="s">
        <v>153</v>
      </c>
      <c r="O27" s="23" t="s">
        <v>205</v>
      </c>
      <c r="P27" s="23" t="s">
        <v>205</v>
      </c>
      <c r="Q27" s="26" t="s">
        <v>1171</v>
      </c>
      <c r="R27" s="26" t="s">
        <v>1171</v>
      </c>
      <c r="S27" s="23" t="s">
        <v>208</v>
      </c>
      <c r="T27" s="24" t="s">
        <v>156</v>
      </c>
      <c r="U27" s="24" t="s">
        <v>153</v>
      </c>
      <c r="V27" s="54" t="s">
        <v>153</v>
      </c>
      <c r="W27" s="26" t="s">
        <v>1171</v>
      </c>
      <c r="X27" s="26" t="s">
        <v>1171</v>
      </c>
      <c r="Y27" s="26" t="s">
        <v>1171</v>
      </c>
      <c r="Z27" s="26" t="s">
        <v>1171</v>
      </c>
      <c r="AA27" s="26" t="s">
        <v>1171</v>
      </c>
      <c r="AB27" s="24" t="s">
        <v>153</v>
      </c>
      <c r="AC27" s="26" t="s">
        <v>1171</v>
      </c>
      <c r="AD27" s="26" t="s">
        <v>1171</v>
      </c>
      <c r="AE27" s="26" t="s">
        <v>1171</v>
      </c>
      <c r="AF27" s="26" t="s">
        <v>1171</v>
      </c>
      <c r="AG27" s="26" t="s">
        <v>1171</v>
      </c>
      <c r="AH27" s="24" t="s">
        <v>156</v>
      </c>
      <c r="AI27" s="24" t="s">
        <v>153</v>
      </c>
      <c r="AJ27" s="26" t="s">
        <v>1171</v>
      </c>
      <c r="AK27" s="26" t="s">
        <v>1171</v>
      </c>
      <c r="AL27" s="26" t="s">
        <v>1171</v>
      </c>
      <c r="AM27" s="26" t="s">
        <v>1171</v>
      </c>
      <c r="AN27" s="26" t="s">
        <v>1171</v>
      </c>
      <c r="AO27" s="24" t="s">
        <v>156</v>
      </c>
      <c r="AP27" s="23">
        <f>VALUE(0)</f>
        <v>0</v>
      </c>
      <c r="AQ27" s="23">
        <f>VALUE(0)</f>
        <v>0</v>
      </c>
      <c r="AR27" s="23">
        <f>VALUE(0)</f>
        <v>0</v>
      </c>
      <c r="AS27" s="23">
        <f>VALUE(0)</f>
        <v>0</v>
      </c>
      <c r="AT27" s="23">
        <f>VALUE(0)</f>
        <v>0</v>
      </c>
      <c r="AU27" s="23">
        <f>VALUE(0)</f>
        <v>0</v>
      </c>
      <c r="AV27" s="23">
        <f>VALUE(2)</f>
        <v>2</v>
      </c>
      <c r="AW27" s="23">
        <f>VALUE(0)</f>
        <v>0</v>
      </c>
      <c r="AX27" s="23" t="s">
        <v>171</v>
      </c>
      <c r="AY27" s="23" t="s">
        <v>1172</v>
      </c>
      <c r="AZ27" s="23">
        <f>VALUE(0)</f>
        <v>0</v>
      </c>
      <c r="BA27" s="23">
        <f>VALUE(0)</f>
        <v>0</v>
      </c>
      <c r="BB27" s="23">
        <f>VALUE(0)</f>
        <v>0</v>
      </c>
      <c r="BC27" s="23">
        <f>VALUE(0)</f>
        <v>0</v>
      </c>
      <c r="BD27" s="23">
        <f>VALUE(0)</f>
        <v>0</v>
      </c>
      <c r="BE27" s="23">
        <f>VALUE(0)</f>
        <v>0</v>
      </c>
      <c r="BF27" s="23">
        <f>VALUE(0)</f>
        <v>0</v>
      </c>
      <c r="BG27" s="23">
        <f>VALUE(0)</f>
        <v>0</v>
      </c>
      <c r="BH27" s="23">
        <f>VALUE(0)</f>
        <v>0</v>
      </c>
      <c r="BI27" s="23">
        <f>VALUE(0)</f>
        <v>0</v>
      </c>
      <c r="BJ27" s="23">
        <f>VALUE(0)</f>
        <v>0</v>
      </c>
      <c r="BK27" s="12">
        <f>$AX$27*24</f>
        <v>5.833333333333333</v>
      </c>
      <c r="BL27" s="12">
        <f>$AY$27*24</f>
        <v>36.700000000000003</v>
      </c>
      <c r="BM27" s="12">
        <f>$BJ$27*24</f>
        <v>0</v>
      </c>
      <c r="BN27" s="12">
        <f>VALUE($I$27)/100</f>
        <v>1</v>
      </c>
      <c r="BO27" s="12">
        <v>0</v>
      </c>
      <c r="BP27" s="12">
        <v>0</v>
      </c>
      <c r="BQ27" s="12">
        <v>0</v>
      </c>
      <c r="BR27" s="12">
        <v>0</v>
      </c>
      <c r="BS27" s="12">
        <v>0</v>
      </c>
      <c r="BT27" s="12">
        <v>0</v>
      </c>
      <c r="BU27" s="12">
        <v>0</v>
      </c>
      <c r="BV27" s="12">
        <v>0</v>
      </c>
      <c r="BW27" s="12">
        <v>0</v>
      </c>
      <c r="BX27" s="12">
        <v>0</v>
      </c>
      <c r="BY27" s="12">
        <v>0</v>
      </c>
      <c r="BZ27" s="12">
        <v>0</v>
      </c>
      <c r="CA27" s="12">
        <v>0</v>
      </c>
    </row>
    <row r="28" spans="1:79" hidden="1" x14ac:dyDescent="0.2">
      <c r="A28" s="12" t="s">
        <v>102</v>
      </c>
      <c r="B28" s="12" t="s">
        <v>105</v>
      </c>
      <c r="C28" s="12" t="s">
        <v>105</v>
      </c>
      <c r="D28" s="22" t="s">
        <v>205</v>
      </c>
      <c r="E28" s="22" t="s">
        <v>161</v>
      </c>
      <c r="F28" s="22" t="s">
        <v>625</v>
      </c>
      <c r="G28" s="22" t="s">
        <v>626</v>
      </c>
      <c r="H28" s="22" t="s">
        <v>150</v>
      </c>
      <c r="I28" s="22" t="s">
        <v>151</v>
      </c>
      <c r="J28" s="22" t="s">
        <v>212</v>
      </c>
      <c r="K28" s="22" t="s">
        <v>66</v>
      </c>
      <c r="L28" s="54" t="s">
        <v>153</v>
      </c>
      <c r="M28" s="23" t="s">
        <v>153</v>
      </c>
      <c r="N28" s="24" t="s">
        <v>153</v>
      </c>
      <c r="O28" s="35" t="s">
        <v>170</v>
      </c>
      <c r="P28" s="35" t="s">
        <v>170</v>
      </c>
      <c r="Q28" s="23" t="s">
        <v>153</v>
      </c>
      <c r="R28" s="23" t="s">
        <v>153</v>
      </c>
      <c r="S28" s="23" t="s">
        <v>153</v>
      </c>
      <c r="T28" s="24" t="s">
        <v>156</v>
      </c>
      <c r="U28" s="24" t="s">
        <v>153</v>
      </c>
      <c r="V28" s="54" t="s">
        <v>153</v>
      </c>
      <c r="W28" s="23" t="s">
        <v>153</v>
      </c>
      <c r="X28" s="23" t="s">
        <v>153</v>
      </c>
      <c r="Y28" s="23" t="s">
        <v>153</v>
      </c>
      <c r="Z28" s="23" t="s">
        <v>153</v>
      </c>
      <c r="AA28" s="24" t="s">
        <v>156</v>
      </c>
      <c r="AB28" s="24" t="s">
        <v>153</v>
      </c>
      <c r="AC28" s="23" t="s">
        <v>153</v>
      </c>
      <c r="AD28" s="23" t="s">
        <v>153</v>
      </c>
      <c r="AE28" s="23" t="s">
        <v>153</v>
      </c>
      <c r="AF28" s="23" t="s">
        <v>153</v>
      </c>
      <c r="AG28" s="23" t="s">
        <v>153</v>
      </c>
      <c r="AH28" s="23" t="s">
        <v>153</v>
      </c>
      <c r="AI28" s="24" t="s">
        <v>153</v>
      </c>
      <c r="AJ28" s="23" t="s">
        <v>153</v>
      </c>
      <c r="AK28" s="23" t="s">
        <v>153</v>
      </c>
      <c r="AL28" s="23" t="s">
        <v>153</v>
      </c>
      <c r="AM28" s="23" t="s">
        <v>153</v>
      </c>
      <c r="AN28" s="23" t="s">
        <v>153</v>
      </c>
      <c r="AO28" s="24" t="s">
        <v>156</v>
      </c>
      <c r="AP28" s="23">
        <f>VALUE(0)</f>
        <v>0</v>
      </c>
      <c r="AQ28" s="23">
        <f>VALUE(0)</f>
        <v>0</v>
      </c>
      <c r="AR28" s="23">
        <f>VALUE(0)</f>
        <v>0</v>
      </c>
      <c r="AS28" s="23">
        <f>VALUE(0)</f>
        <v>0</v>
      </c>
      <c r="AT28" s="23">
        <f>VALUE(0)</f>
        <v>0</v>
      </c>
      <c r="AU28" s="23">
        <f>VALUE(0)</f>
        <v>0</v>
      </c>
      <c r="AV28" s="23">
        <f>VALUE(12)</f>
        <v>12</v>
      </c>
      <c r="AW28" s="23">
        <f>VALUE(0)</f>
        <v>0</v>
      </c>
      <c r="AX28" s="23" t="s">
        <v>171</v>
      </c>
      <c r="AY28" s="23" t="s">
        <v>213</v>
      </c>
      <c r="AZ28" s="23">
        <f>VALUE(0)</f>
        <v>0</v>
      </c>
      <c r="BA28" s="23">
        <f>VALUE(0)</f>
        <v>0</v>
      </c>
      <c r="BB28" s="23">
        <f>VALUE(0)</f>
        <v>0</v>
      </c>
      <c r="BC28" s="23">
        <f>VALUE(0)</f>
        <v>0</v>
      </c>
      <c r="BD28" s="23">
        <f>VALUE(0)</f>
        <v>0</v>
      </c>
      <c r="BE28" s="23">
        <f>VALUE(2)</f>
        <v>2</v>
      </c>
      <c r="BF28" s="23">
        <f>VALUE(0)</f>
        <v>0</v>
      </c>
      <c r="BG28" s="23">
        <f>VALUE(0)</f>
        <v>0</v>
      </c>
      <c r="BH28" s="23">
        <f>VALUE(0)</f>
        <v>0</v>
      </c>
      <c r="BI28" s="23">
        <f>VALUE(0)</f>
        <v>0</v>
      </c>
      <c r="BJ28" s="23">
        <f>VALUE(0)</f>
        <v>0</v>
      </c>
      <c r="BK28" s="12">
        <f>$AX$28*24</f>
        <v>5.833333333333333</v>
      </c>
      <c r="BL28" s="12">
        <f>$AY$28*24</f>
        <v>7.416666666666667</v>
      </c>
      <c r="BM28" s="12">
        <f>$BJ$28*24</f>
        <v>0</v>
      </c>
      <c r="BN28" s="12">
        <f>VALUE($I$28)/100</f>
        <v>1</v>
      </c>
      <c r="BO28" s="12">
        <v>0</v>
      </c>
      <c r="BP28" s="12">
        <v>0</v>
      </c>
      <c r="BQ28" s="12">
        <v>0</v>
      </c>
      <c r="BR28" s="12">
        <v>0</v>
      </c>
      <c r="BS28" s="12">
        <v>0</v>
      </c>
      <c r="BT28" s="12">
        <v>0</v>
      </c>
      <c r="BU28" s="12">
        <v>0</v>
      </c>
      <c r="BV28" s="12">
        <v>0</v>
      </c>
      <c r="BW28" s="12">
        <v>0</v>
      </c>
      <c r="BX28" s="12">
        <v>0</v>
      </c>
      <c r="BY28" s="12">
        <v>0</v>
      </c>
      <c r="BZ28" s="12">
        <v>0</v>
      </c>
      <c r="CA28" s="12">
        <v>0</v>
      </c>
    </row>
    <row r="29" spans="1:79" hidden="1" x14ac:dyDescent="0.2">
      <c r="A29" s="12" t="s">
        <v>102</v>
      </c>
      <c r="B29" s="12" t="s">
        <v>105</v>
      </c>
      <c r="C29" s="12" t="s">
        <v>105</v>
      </c>
      <c r="D29" s="22" t="s">
        <v>204</v>
      </c>
      <c r="E29" s="22" t="s">
        <v>161</v>
      </c>
      <c r="F29" s="22" t="s">
        <v>627</v>
      </c>
      <c r="G29" s="22" t="s">
        <v>628</v>
      </c>
      <c r="H29" s="22" t="s">
        <v>150</v>
      </c>
      <c r="I29" s="22" t="s">
        <v>151</v>
      </c>
      <c r="J29" s="22" t="s">
        <v>212</v>
      </c>
      <c r="K29" s="22" t="s">
        <v>66</v>
      </c>
      <c r="L29" s="54" t="s">
        <v>153</v>
      </c>
      <c r="M29" s="28" t="s">
        <v>163</v>
      </c>
      <c r="N29" s="24" t="s">
        <v>153</v>
      </c>
      <c r="O29" s="35" t="s">
        <v>170</v>
      </c>
      <c r="P29" s="35" t="s">
        <v>170</v>
      </c>
      <c r="Q29" s="23" t="s">
        <v>153</v>
      </c>
      <c r="R29" s="23" t="s">
        <v>153</v>
      </c>
      <c r="S29" s="23" t="s">
        <v>153</v>
      </c>
      <c r="T29" s="24" t="s">
        <v>156</v>
      </c>
      <c r="U29" s="24" t="s">
        <v>153</v>
      </c>
      <c r="V29" s="54" t="s">
        <v>153</v>
      </c>
      <c r="W29" s="23" t="s">
        <v>153</v>
      </c>
      <c r="X29" s="23" t="s">
        <v>153</v>
      </c>
      <c r="Y29" s="23" t="s">
        <v>153</v>
      </c>
      <c r="Z29" s="23" t="s">
        <v>153</v>
      </c>
      <c r="AA29" s="24" t="s">
        <v>156</v>
      </c>
      <c r="AB29" s="24" t="s">
        <v>153</v>
      </c>
      <c r="AC29" s="23" t="s">
        <v>153</v>
      </c>
      <c r="AD29" s="23" t="s">
        <v>153</v>
      </c>
      <c r="AE29" s="23" t="s">
        <v>153</v>
      </c>
      <c r="AF29" s="23" t="s">
        <v>153</v>
      </c>
      <c r="AG29" s="23" t="s">
        <v>153</v>
      </c>
      <c r="AH29" s="23" t="s">
        <v>153</v>
      </c>
      <c r="AI29" s="24" t="s">
        <v>153</v>
      </c>
      <c r="AJ29" s="23" t="s">
        <v>153</v>
      </c>
      <c r="AK29" s="23" t="s">
        <v>153</v>
      </c>
      <c r="AL29" s="23" t="s">
        <v>153</v>
      </c>
      <c r="AM29" s="23" t="s">
        <v>153</v>
      </c>
      <c r="AN29" s="23" t="s">
        <v>153</v>
      </c>
      <c r="AO29" s="24" t="s">
        <v>156</v>
      </c>
      <c r="AP29" s="23">
        <f>VALUE(0)</f>
        <v>0</v>
      </c>
      <c r="AQ29" s="23">
        <f>VALUE(0)</f>
        <v>0</v>
      </c>
      <c r="AR29" s="23">
        <f>VALUE(0)</f>
        <v>0</v>
      </c>
      <c r="AS29" s="23">
        <f>VALUE(0)</f>
        <v>0</v>
      </c>
      <c r="AT29" s="23">
        <f>VALUE(0)</f>
        <v>0</v>
      </c>
      <c r="AU29" s="23">
        <f>VALUE(1)</f>
        <v>1</v>
      </c>
      <c r="AV29" s="23">
        <f>VALUE(2)</f>
        <v>2</v>
      </c>
      <c r="AW29" s="23">
        <f>VALUE(0)</f>
        <v>0</v>
      </c>
      <c r="AX29" s="23" t="s">
        <v>171</v>
      </c>
      <c r="AY29" s="23" t="s">
        <v>215</v>
      </c>
      <c r="AZ29" s="23">
        <f>VALUE(0)</f>
        <v>0</v>
      </c>
      <c r="BA29" s="23">
        <f>VALUE(0)</f>
        <v>0</v>
      </c>
      <c r="BB29" s="23">
        <f>VALUE(0)</f>
        <v>0</v>
      </c>
      <c r="BC29" s="23">
        <f>VALUE(0)</f>
        <v>0</v>
      </c>
      <c r="BD29" s="23">
        <f>VALUE(0)</f>
        <v>0</v>
      </c>
      <c r="BE29" s="23">
        <f>VALUE(2)</f>
        <v>2</v>
      </c>
      <c r="BF29" s="23">
        <f>VALUE(0)</f>
        <v>0</v>
      </c>
      <c r="BG29" s="23">
        <f>VALUE(0)</f>
        <v>0</v>
      </c>
      <c r="BH29" s="23">
        <f>VALUE(0)</f>
        <v>0</v>
      </c>
      <c r="BI29" s="23">
        <f>VALUE(0)</f>
        <v>0</v>
      </c>
      <c r="BJ29" s="23">
        <f>VALUE(0)</f>
        <v>0</v>
      </c>
      <c r="BK29" s="12">
        <f>$AX$29*24</f>
        <v>5.833333333333333</v>
      </c>
      <c r="BL29" s="12">
        <f>$AY$29*24</f>
        <v>1.4</v>
      </c>
      <c r="BM29" s="12">
        <f>$BJ$29*24</f>
        <v>0</v>
      </c>
      <c r="BN29" s="12">
        <f>VALUE($I$29)/100</f>
        <v>1</v>
      </c>
      <c r="BO29" s="12">
        <v>0</v>
      </c>
      <c r="BP29" s="12">
        <v>0</v>
      </c>
      <c r="BQ29" s="12">
        <v>0</v>
      </c>
      <c r="BR29" s="12">
        <v>0</v>
      </c>
      <c r="BS29" s="12">
        <v>0</v>
      </c>
      <c r="BT29" s="12">
        <v>0</v>
      </c>
      <c r="BU29" s="12">
        <v>0</v>
      </c>
      <c r="BV29" s="12">
        <v>0</v>
      </c>
      <c r="BW29" s="12">
        <v>0</v>
      </c>
      <c r="BX29" s="12">
        <v>0</v>
      </c>
      <c r="BY29" s="12">
        <v>0</v>
      </c>
      <c r="BZ29" s="12">
        <v>0</v>
      </c>
      <c r="CA29" s="12">
        <v>0</v>
      </c>
    </row>
    <row r="30" spans="1:79" hidden="1" x14ac:dyDescent="0.2">
      <c r="A30" s="12" t="s">
        <v>102</v>
      </c>
      <c r="B30" s="12" t="s">
        <v>105</v>
      </c>
      <c r="C30" s="12" t="s">
        <v>105</v>
      </c>
      <c r="D30" s="22" t="s">
        <v>216</v>
      </c>
      <c r="E30" s="22" t="s">
        <v>161</v>
      </c>
      <c r="F30" s="22" t="s">
        <v>629</v>
      </c>
      <c r="G30" s="22" t="s">
        <v>630</v>
      </c>
      <c r="H30" s="22" t="s">
        <v>166</v>
      </c>
      <c r="I30" s="22" t="s">
        <v>151</v>
      </c>
      <c r="J30" s="22" t="s">
        <v>212</v>
      </c>
      <c r="K30" s="22" t="s">
        <v>66</v>
      </c>
      <c r="L30" s="54" t="s">
        <v>153</v>
      </c>
      <c r="M30" s="24" t="s">
        <v>156</v>
      </c>
      <c r="N30" s="24" t="s">
        <v>153</v>
      </c>
      <c r="O30" s="23" t="s">
        <v>153</v>
      </c>
      <c r="P30" s="23" t="s">
        <v>153</v>
      </c>
      <c r="Q30" s="23" t="s">
        <v>153</v>
      </c>
      <c r="R30" s="23" t="s">
        <v>153</v>
      </c>
      <c r="S30" s="23" t="s">
        <v>153</v>
      </c>
      <c r="T30" s="24" t="s">
        <v>156</v>
      </c>
      <c r="U30" s="24" t="s">
        <v>153</v>
      </c>
      <c r="V30" s="54" t="s">
        <v>153</v>
      </c>
      <c r="W30" s="28" t="s">
        <v>163</v>
      </c>
      <c r="X30" s="28" t="s">
        <v>163</v>
      </c>
      <c r="Y30" s="28" t="s">
        <v>163</v>
      </c>
      <c r="Z30" s="28" t="s">
        <v>163</v>
      </c>
      <c r="AA30" s="28" t="s">
        <v>163</v>
      </c>
      <c r="AB30" s="24" t="s">
        <v>153</v>
      </c>
      <c r="AC30" s="23" t="s">
        <v>153</v>
      </c>
      <c r="AD30" s="23" t="s">
        <v>153</v>
      </c>
      <c r="AE30" s="23" t="s">
        <v>153</v>
      </c>
      <c r="AF30" s="23" t="s">
        <v>153</v>
      </c>
      <c r="AG30" s="23" t="s">
        <v>153</v>
      </c>
      <c r="AH30" s="24" t="s">
        <v>156</v>
      </c>
      <c r="AI30" s="24" t="s">
        <v>153</v>
      </c>
      <c r="AJ30" s="23" t="s">
        <v>153</v>
      </c>
      <c r="AK30" s="23" t="s">
        <v>153</v>
      </c>
      <c r="AL30" s="23" t="s">
        <v>153</v>
      </c>
      <c r="AM30" s="23" t="s">
        <v>153</v>
      </c>
      <c r="AN30" s="23" t="s">
        <v>153</v>
      </c>
      <c r="AO30" s="24" t="s">
        <v>156</v>
      </c>
      <c r="AP30" s="23">
        <f>VALUE(0)</f>
        <v>0</v>
      </c>
      <c r="AQ30" s="23">
        <f>VALUE(0)</f>
        <v>0</v>
      </c>
      <c r="AR30" s="23">
        <f>VALUE(0)</f>
        <v>0</v>
      </c>
      <c r="AS30" s="23">
        <f>VALUE(0)</f>
        <v>0</v>
      </c>
      <c r="AT30" s="23">
        <f>VALUE(0)</f>
        <v>0</v>
      </c>
      <c r="AU30" s="23">
        <f>VALUE(5)</f>
        <v>5</v>
      </c>
      <c r="AV30" s="23">
        <f>VALUE(4)</f>
        <v>4</v>
      </c>
      <c r="AW30" s="23">
        <f>VALUE(0)</f>
        <v>0</v>
      </c>
      <c r="AX30" s="23" t="s">
        <v>217</v>
      </c>
      <c r="AY30" s="23">
        <f>VALUE(0)</f>
        <v>0</v>
      </c>
      <c r="AZ30" s="23">
        <f>VALUE(0)</f>
        <v>0</v>
      </c>
      <c r="BA30" s="23">
        <f>VALUE(0)</f>
        <v>0</v>
      </c>
      <c r="BB30" s="23">
        <f>VALUE(0)</f>
        <v>0</v>
      </c>
      <c r="BC30" s="23">
        <f>VALUE(0)</f>
        <v>0</v>
      </c>
      <c r="BD30" s="23">
        <f>VALUE(0)</f>
        <v>0</v>
      </c>
      <c r="BE30" s="23">
        <f>VALUE(0)</f>
        <v>0</v>
      </c>
      <c r="BF30" s="23">
        <f>VALUE(0)</f>
        <v>0</v>
      </c>
      <c r="BG30" s="23">
        <f>VALUE(0)</f>
        <v>0</v>
      </c>
      <c r="BH30" s="23">
        <f>VALUE(0)</f>
        <v>0</v>
      </c>
      <c r="BI30" s="23">
        <f>VALUE(0)</f>
        <v>0</v>
      </c>
      <c r="BJ30" s="23">
        <f>VALUE(0)</f>
        <v>0</v>
      </c>
      <c r="BK30" s="12">
        <f>$AX$30*24</f>
        <v>0.33333333333333331</v>
      </c>
      <c r="BL30" s="12">
        <f>$AY$30*24</f>
        <v>0</v>
      </c>
      <c r="BM30" s="12">
        <f>$BJ$30*24</f>
        <v>0</v>
      </c>
      <c r="BN30" s="12">
        <f>VALUE($I$30)/100</f>
        <v>1</v>
      </c>
      <c r="BO30" s="12">
        <v>0</v>
      </c>
      <c r="BP30" s="12">
        <v>0</v>
      </c>
      <c r="BQ30" s="12">
        <v>0</v>
      </c>
      <c r="BR30" s="12">
        <v>0</v>
      </c>
      <c r="BS30" s="12">
        <v>0</v>
      </c>
      <c r="BT30" s="12">
        <v>0</v>
      </c>
      <c r="BU30" s="12">
        <v>0</v>
      </c>
      <c r="BV30" s="12">
        <v>0</v>
      </c>
      <c r="BW30" s="12">
        <v>0</v>
      </c>
      <c r="BX30" s="12">
        <v>0</v>
      </c>
      <c r="BY30" s="12">
        <v>0</v>
      </c>
      <c r="BZ30" s="12">
        <v>0</v>
      </c>
      <c r="CA30" s="12">
        <v>0</v>
      </c>
    </row>
    <row r="31" spans="1:79" hidden="1" x14ac:dyDescent="0.2">
      <c r="A31" s="12" t="s">
        <v>102</v>
      </c>
      <c r="B31" s="12" t="s">
        <v>105</v>
      </c>
      <c r="C31" s="12" t="s">
        <v>105</v>
      </c>
      <c r="D31" s="22" t="s">
        <v>206</v>
      </c>
      <c r="E31" s="22" t="s">
        <v>161</v>
      </c>
      <c r="F31" s="22" t="s">
        <v>631</v>
      </c>
      <c r="G31" s="22" t="s">
        <v>632</v>
      </c>
      <c r="H31" s="22" t="s">
        <v>166</v>
      </c>
      <c r="I31" s="22" t="s">
        <v>151</v>
      </c>
      <c r="J31" s="22" t="s">
        <v>212</v>
      </c>
      <c r="K31" s="22" t="s">
        <v>66</v>
      </c>
      <c r="L31" s="54" t="s">
        <v>153</v>
      </c>
      <c r="M31" s="24" t="s">
        <v>156</v>
      </c>
      <c r="N31" s="24" t="s">
        <v>153</v>
      </c>
      <c r="O31" s="23" t="s">
        <v>153</v>
      </c>
      <c r="P31" s="29" t="s">
        <v>218</v>
      </c>
      <c r="Q31" s="29" t="s">
        <v>218</v>
      </c>
      <c r="R31" s="23" t="s">
        <v>153</v>
      </c>
      <c r="S31" s="23" t="s">
        <v>153</v>
      </c>
      <c r="T31" s="24" t="s">
        <v>156</v>
      </c>
      <c r="U31" s="24" t="s">
        <v>153</v>
      </c>
      <c r="V31" s="54" t="s">
        <v>153</v>
      </c>
      <c r="W31" s="23" t="s">
        <v>153</v>
      </c>
      <c r="X31" s="23" t="s">
        <v>153</v>
      </c>
      <c r="Y31" s="29" t="s">
        <v>218</v>
      </c>
      <c r="Z31" s="23" t="s">
        <v>153</v>
      </c>
      <c r="AA31" s="23" t="s">
        <v>153</v>
      </c>
      <c r="AB31" s="24" t="s">
        <v>153</v>
      </c>
      <c r="AC31" s="23" t="s">
        <v>153</v>
      </c>
      <c r="AD31" s="23" t="s">
        <v>153</v>
      </c>
      <c r="AE31" s="29" t="s">
        <v>218</v>
      </c>
      <c r="AF31" s="23" t="s">
        <v>153</v>
      </c>
      <c r="AG31" s="29" t="s">
        <v>218</v>
      </c>
      <c r="AH31" s="24" t="s">
        <v>156</v>
      </c>
      <c r="AI31" s="24" t="s">
        <v>153</v>
      </c>
      <c r="AJ31" s="23" t="s">
        <v>153</v>
      </c>
      <c r="AK31" s="23" t="s">
        <v>153</v>
      </c>
      <c r="AL31" s="29" t="s">
        <v>218</v>
      </c>
      <c r="AM31" s="23" t="s">
        <v>153</v>
      </c>
      <c r="AN31" s="23" t="s">
        <v>153</v>
      </c>
      <c r="AO31" s="24" t="s">
        <v>156</v>
      </c>
      <c r="AP31" s="23">
        <f>VALUE(0)</f>
        <v>0</v>
      </c>
      <c r="AQ31" s="23">
        <f>VALUE(0)</f>
        <v>0</v>
      </c>
      <c r="AR31" s="23">
        <f>VALUE(6)</f>
        <v>6</v>
      </c>
      <c r="AS31" s="23">
        <f>VALUE(0)</f>
        <v>0</v>
      </c>
      <c r="AT31" s="23">
        <f>VALUE(0)</f>
        <v>0</v>
      </c>
      <c r="AU31" s="23">
        <f>VALUE(0)</f>
        <v>0</v>
      </c>
      <c r="AV31" s="23">
        <f>VALUE(12)</f>
        <v>12</v>
      </c>
      <c r="AW31" s="23">
        <f>VALUE(0)</f>
        <v>0</v>
      </c>
      <c r="AX31" s="23" t="s">
        <v>1173</v>
      </c>
      <c r="AY31" s="23">
        <f>VALUE(0)</f>
        <v>0</v>
      </c>
      <c r="AZ31" s="23">
        <f>VALUE(0)</f>
        <v>0</v>
      </c>
      <c r="BA31" s="23">
        <f>VALUE(0)</f>
        <v>0</v>
      </c>
      <c r="BB31" s="23">
        <f>VALUE(0)</f>
        <v>0</v>
      </c>
      <c r="BC31" s="23">
        <f>VALUE(0)</f>
        <v>0</v>
      </c>
      <c r="BD31" s="23">
        <f>VALUE(0)</f>
        <v>0</v>
      </c>
      <c r="BE31" s="23">
        <f>VALUE(0)</f>
        <v>0</v>
      </c>
      <c r="BF31" s="23">
        <f>VALUE(0)</f>
        <v>0</v>
      </c>
      <c r="BG31" s="23">
        <f>VALUE(0)</f>
        <v>0</v>
      </c>
      <c r="BH31" s="23">
        <f>VALUE(0)</f>
        <v>0</v>
      </c>
      <c r="BI31" s="23">
        <f>VALUE(0)</f>
        <v>0</v>
      </c>
      <c r="BJ31" s="23">
        <f>VALUE(0)</f>
        <v>0</v>
      </c>
      <c r="BK31" s="12">
        <f>$AX$31*24</f>
        <v>17.683333333333334</v>
      </c>
      <c r="BL31" s="12">
        <f>$AY$31*24</f>
        <v>0</v>
      </c>
      <c r="BM31" s="12">
        <f>$BJ$31*24</f>
        <v>0</v>
      </c>
      <c r="BN31" s="12">
        <f>VALUE($I$31)/100</f>
        <v>1</v>
      </c>
      <c r="BO31" s="12">
        <v>0</v>
      </c>
      <c r="BP31" s="12">
        <v>0</v>
      </c>
      <c r="BQ31" s="12">
        <v>0</v>
      </c>
      <c r="BR31" s="12">
        <v>0</v>
      </c>
      <c r="BS31" s="12">
        <v>6</v>
      </c>
      <c r="BT31" s="12">
        <v>0</v>
      </c>
      <c r="BU31" s="12">
        <v>0</v>
      </c>
      <c r="BV31" s="12">
        <v>0</v>
      </c>
      <c r="BW31" s="12">
        <v>0</v>
      </c>
      <c r="BX31" s="12">
        <v>0</v>
      </c>
      <c r="BY31" s="12">
        <v>0</v>
      </c>
      <c r="BZ31" s="12">
        <v>0</v>
      </c>
      <c r="CA31" s="12">
        <v>0</v>
      </c>
    </row>
    <row r="32" spans="1:79" hidden="1" x14ac:dyDescent="0.2">
      <c r="A32" s="12" t="s">
        <v>102</v>
      </c>
      <c r="B32" s="12" t="s">
        <v>105</v>
      </c>
      <c r="C32" s="12" t="s">
        <v>105</v>
      </c>
      <c r="D32" s="22" t="s">
        <v>207</v>
      </c>
      <c r="E32" s="22" t="s">
        <v>161</v>
      </c>
      <c r="F32" s="22" t="s">
        <v>633</v>
      </c>
      <c r="G32" s="22" t="s">
        <v>634</v>
      </c>
      <c r="H32" s="22" t="s">
        <v>150</v>
      </c>
      <c r="I32" s="22" t="s">
        <v>151</v>
      </c>
      <c r="J32" s="22" t="s">
        <v>212</v>
      </c>
      <c r="K32" s="22" t="s">
        <v>66</v>
      </c>
      <c r="L32" s="54" t="s">
        <v>153</v>
      </c>
      <c r="M32" s="24" t="s">
        <v>156</v>
      </c>
      <c r="N32" s="24" t="s">
        <v>153</v>
      </c>
      <c r="O32" s="23" t="s">
        <v>153</v>
      </c>
      <c r="P32" s="23" t="s">
        <v>153</v>
      </c>
      <c r="Q32" s="23" t="s">
        <v>153</v>
      </c>
      <c r="R32" s="23" t="s">
        <v>153</v>
      </c>
      <c r="S32" s="23" t="s">
        <v>153</v>
      </c>
      <c r="T32" s="23" t="s">
        <v>153</v>
      </c>
      <c r="U32" s="24" t="s">
        <v>153</v>
      </c>
      <c r="V32" s="54" t="s">
        <v>153</v>
      </c>
      <c r="W32" s="23" t="s">
        <v>153</v>
      </c>
      <c r="X32" s="23" t="s">
        <v>153</v>
      </c>
      <c r="Y32" s="23" t="s">
        <v>153</v>
      </c>
      <c r="Z32" s="23" t="s">
        <v>153</v>
      </c>
      <c r="AA32" s="24" t="s">
        <v>156</v>
      </c>
      <c r="AB32" s="24" t="s">
        <v>153</v>
      </c>
      <c r="AC32" s="23" t="s">
        <v>153</v>
      </c>
      <c r="AD32" s="23" t="s">
        <v>153</v>
      </c>
      <c r="AE32" s="23" t="s">
        <v>153</v>
      </c>
      <c r="AF32" s="23" t="s">
        <v>153</v>
      </c>
      <c r="AG32" s="23" t="s">
        <v>153</v>
      </c>
      <c r="AH32" s="24" t="s">
        <v>156</v>
      </c>
      <c r="AI32" s="24" t="s">
        <v>153</v>
      </c>
      <c r="AJ32" s="23" t="s">
        <v>153</v>
      </c>
      <c r="AK32" s="23" t="s">
        <v>153</v>
      </c>
      <c r="AL32" s="23" t="s">
        <v>153</v>
      </c>
      <c r="AM32" s="23" t="s">
        <v>153</v>
      </c>
      <c r="AN32" s="23" t="s">
        <v>153</v>
      </c>
      <c r="AO32" s="23" t="s">
        <v>153</v>
      </c>
      <c r="AP32" s="23">
        <f>VALUE(0)</f>
        <v>0</v>
      </c>
      <c r="AQ32" s="23">
        <f>VALUE(0)</f>
        <v>0</v>
      </c>
      <c r="AR32" s="23">
        <f>VALUE(0)</f>
        <v>0</v>
      </c>
      <c r="AS32" s="23">
        <f>VALUE(0)</f>
        <v>0</v>
      </c>
      <c r="AT32" s="23">
        <f>VALUE(0)</f>
        <v>0</v>
      </c>
      <c r="AU32" s="23">
        <f>VALUE(0)</f>
        <v>0</v>
      </c>
      <c r="AV32" s="23">
        <f>VALUE(21)</f>
        <v>21</v>
      </c>
      <c r="AW32" s="23">
        <f>VALUE(0)</f>
        <v>0</v>
      </c>
      <c r="AX32" s="23" t="s">
        <v>176</v>
      </c>
      <c r="AY32" s="23" t="s">
        <v>219</v>
      </c>
      <c r="AZ32" s="23">
        <f>VALUE(0)</f>
        <v>0</v>
      </c>
      <c r="BA32" s="23">
        <f>VALUE(0)</f>
        <v>0</v>
      </c>
      <c r="BB32" s="23">
        <f>VALUE(0)</f>
        <v>0</v>
      </c>
      <c r="BC32" s="23">
        <f>VALUE(0)</f>
        <v>0</v>
      </c>
      <c r="BD32" s="23">
        <f>VALUE(0)</f>
        <v>0</v>
      </c>
      <c r="BE32" s="23">
        <f>VALUE(0)</f>
        <v>0</v>
      </c>
      <c r="BF32" s="23">
        <f>VALUE(0)</f>
        <v>0</v>
      </c>
      <c r="BG32" s="23">
        <f>VALUE(0)</f>
        <v>0</v>
      </c>
      <c r="BH32" s="23">
        <f>VALUE(0)</f>
        <v>0</v>
      </c>
      <c r="BI32" s="23">
        <f>VALUE(0)</f>
        <v>0</v>
      </c>
      <c r="BJ32" s="23">
        <f>VALUE(0)</f>
        <v>0</v>
      </c>
      <c r="BK32" s="12">
        <f>$AX$32*24</f>
        <v>0</v>
      </c>
      <c r="BL32" s="12">
        <f>$AY$32*24</f>
        <v>1.2333333333333334</v>
      </c>
      <c r="BM32" s="12">
        <f>$BJ$32*24</f>
        <v>0</v>
      </c>
      <c r="BN32" s="12">
        <f>VALUE($I$32)/100</f>
        <v>1</v>
      </c>
      <c r="BO32" s="12">
        <v>0</v>
      </c>
      <c r="BP32" s="12">
        <v>0</v>
      </c>
      <c r="BQ32" s="12">
        <v>0</v>
      </c>
      <c r="BR32" s="12">
        <v>0</v>
      </c>
      <c r="BS32" s="12">
        <v>0</v>
      </c>
      <c r="BT32" s="12">
        <v>0</v>
      </c>
      <c r="BU32" s="12">
        <v>0</v>
      </c>
      <c r="BV32" s="12">
        <v>0</v>
      </c>
      <c r="BW32" s="12">
        <v>0</v>
      </c>
      <c r="BX32" s="12">
        <v>0</v>
      </c>
      <c r="BY32" s="12">
        <v>0</v>
      </c>
      <c r="BZ32" s="12">
        <v>0</v>
      </c>
      <c r="CA32" s="12">
        <v>0</v>
      </c>
    </row>
    <row r="33" spans="1:79" hidden="1" x14ac:dyDescent="0.2">
      <c r="A33" s="12" t="s">
        <v>102</v>
      </c>
      <c r="B33" s="12" t="s">
        <v>105</v>
      </c>
      <c r="C33" s="12" t="s">
        <v>105</v>
      </c>
      <c r="D33" s="22" t="s">
        <v>220</v>
      </c>
      <c r="E33" s="22" t="s">
        <v>161</v>
      </c>
      <c r="F33" s="22" t="s">
        <v>635</v>
      </c>
      <c r="G33" s="22" t="s">
        <v>636</v>
      </c>
      <c r="H33" s="22" t="s">
        <v>166</v>
      </c>
      <c r="I33" s="22" t="s">
        <v>151</v>
      </c>
      <c r="J33" s="22" t="s">
        <v>212</v>
      </c>
      <c r="K33" s="22" t="s">
        <v>66</v>
      </c>
      <c r="L33" s="54" t="s">
        <v>153</v>
      </c>
      <c r="M33" s="24" t="s">
        <v>156</v>
      </c>
      <c r="N33" s="24" t="s">
        <v>153</v>
      </c>
      <c r="O33" s="23" t="s">
        <v>153</v>
      </c>
      <c r="P33" s="23" t="s">
        <v>153</v>
      </c>
      <c r="Q33" s="23" t="s">
        <v>153</v>
      </c>
      <c r="R33" s="23" t="s">
        <v>153</v>
      </c>
      <c r="S33" s="23" t="s">
        <v>153</v>
      </c>
      <c r="T33" s="23" t="s">
        <v>153</v>
      </c>
      <c r="U33" s="24" t="s">
        <v>153</v>
      </c>
      <c r="V33" s="54" t="s">
        <v>153</v>
      </c>
      <c r="W33" s="23" t="s">
        <v>153</v>
      </c>
      <c r="X33" s="23" t="s">
        <v>153</v>
      </c>
      <c r="Y33" s="23" t="s">
        <v>153</v>
      </c>
      <c r="Z33" s="23" t="s">
        <v>153</v>
      </c>
      <c r="AA33" s="24" t="s">
        <v>156</v>
      </c>
      <c r="AB33" s="24" t="s">
        <v>153</v>
      </c>
      <c r="AC33" s="23" t="s">
        <v>153</v>
      </c>
      <c r="AD33" s="23" t="s">
        <v>153</v>
      </c>
      <c r="AE33" s="23" t="s">
        <v>153</v>
      </c>
      <c r="AF33" s="23" t="s">
        <v>153</v>
      </c>
      <c r="AG33" s="23" t="s">
        <v>153</v>
      </c>
      <c r="AH33" s="24" t="s">
        <v>156</v>
      </c>
      <c r="AI33" s="24" t="s">
        <v>153</v>
      </c>
      <c r="AJ33" s="23" t="s">
        <v>153</v>
      </c>
      <c r="AK33" s="23" t="s">
        <v>153</v>
      </c>
      <c r="AL33" s="23" t="s">
        <v>153</v>
      </c>
      <c r="AM33" s="23" t="s">
        <v>153</v>
      </c>
      <c r="AN33" s="23" t="s">
        <v>153</v>
      </c>
      <c r="AO33" s="23" t="s">
        <v>153</v>
      </c>
      <c r="AP33" s="23">
        <f>VALUE(0)</f>
        <v>0</v>
      </c>
      <c r="AQ33" s="23">
        <f>VALUE(0)</f>
        <v>0</v>
      </c>
      <c r="AR33" s="23">
        <f>VALUE(0)</f>
        <v>0</v>
      </c>
      <c r="AS33" s="23">
        <f>VALUE(0)</f>
        <v>0</v>
      </c>
      <c r="AT33" s="23">
        <f>VALUE(0)</f>
        <v>0</v>
      </c>
      <c r="AU33" s="23">
        <f>VALUE(0)</f>
        <v>0</v>
      </c>
      <c r="AV33" s="23">
        <f>VALUE(11.5)</f>
        <v>11.5</v>
      </c>
      <c r="AW33" s="23">
        <f>VALUE(0)</f>
        <v>0</v>
      </c>
      <c r="AX33" s="23" t="s">
        <v>1174</v>
      </c>
      <c r="AY33" s="23">
        <f>VALUE(0)</f>
        <v>0</v>
      </c>
      <c r="AZ33" s="23">
        <f>VALUE(0)</f>
        <v>0</v>
      </c>
      <c r="BA33" s="23">
        <f>VALUE(0)</f>
        <v>0</v>
      </c>
      <c r="BB33" s="23">
        <f>VALUE(0)</f>
        <v>0</v>
      </c>
      <c r="BC33" s="23">
        <f>VALUE(0)</f>
        <v>0</v>
      </c>
      <c r="BD33" s="23">
        <f>VALUE(0)</f>
        <v>0</v>
      </c>
      <c r="BE33" s="23">
        <f>VALUE(0)</f>
        <v>0</v>
      </c>
      <c r="BF33" s="23">
        <f>VALUE(0)</f>
        <v>0</v>
      </c>
      <c r="BG33" s="23">
        <f>VALUE(0)</f>
        <v>0</v>
      </c>
      <c r="BH33" s="23">
        <f>VALUE(0)</f>
        <v>0</v>
      </c>
      <c r="BI33" s="23">
        <f>VALUE(0)</f>
        <v>0</v>
      </c>
      <c r="BJ33" s="23">
        <f>VALUE(0)</f>
        <v>0</v>
      </c>
      <c r="BK33" s="12">
        <f>$AX$33*24</f>
        <v>30.233333333333334</v>
      </c>
      <c r="BL33" s="12">
        <f>$AY$33*24</f>
        <v>0</v>
      </c>
      <c r="BM33" s="12">
        <f>$BJ$33*24</f>
        <v>0</v>
      </c>
      <c r="BN33" s="12">
        <f>VALUE($I$33)/100</f>
        <v>1</v>
      </c>
      <c r="BO33" s="12">
        <v>0</v>
      </c>
      <c r="BP33" s="12">
        <v>0</v>
      </c>
      <c r="BQ33" s="12">
        <v>0</v>
      </c>
      <c r="BR33" s="12">
        <v>0</v>
      </c>
      <c r="BS33" s="12">
        <v>0</v>
      </c>
      <c r="BT33" s="12">
        <v>0</v>
      </c>
      <c r="BU33" s="12">
        <v>0</v>
      </c>
      <c r="BV33" s="12">
        <v>0</v>
      </c>
      <c r="BW33" s="12">
        <v>0</v>
      </c>
      <c r="BX33" s="12">
        <v>0</v>
      </c>
      <c r="BY33" s="12">
        <v>0</v>
      </c>
      <c r="BZ33" s="12">
        <v>0</v>
      </c>
      <c r="CA33" s="12">
        <v>0</v>
      </c>
    </row>
    <row r="34" spans="1:79" ht="16.5" hidden="1" x14ac:dyDescent="0.2">
      <c r="A34" s="12" t="s">
        <v>102</v>
      </c>
      <c r="B34" s="12" t="s">
        <v>105</v>
      </c>
      <c r="C34" s="12" t="s">
        <v>105</v>
      </c>
      <c r="D34" s="22" t="s">
        <v>211</v>
      </c>
      <c r="E34" s="22" t="s">
        <v>161</v>
      </c>
      <c r="F34" s="22" t="s">
        <v>637</v>
      </c>
      <c r="G34" s="22" t="s">
        <v>638</v>
      </c>
      <c r="H34" s="22" t="s">
        <v>150</v>
      </c>
      <c r="I34" s="22" t="s">
        <v>151</v>
      </c>
      <c r="J34" s="22" t="s">
        <v>162</v>
      </c>
      <c r="K34" s="22" t="s">
        <v>66</v>
      </c>
      <c r="L34" s="54" t="s">
        <v>153</v>
      </c>
      <c r="M34" s="28" t="s">
        <v>163</v>
      </c>
      <c r="N34" s="24" t="s">
        <v>153</v>
      </c>
      <c r="O34" s="23" t="s">
        <v>153</v>
      </c>
      <c r="P34" s="26" t="s">
        <v>221</v>
      </c>
      <c r="Q34" s="26" t="s">
        <v>221</v>
      </c>
      <c r="R34" s="26" t="s">
        <v>221</v>
      </c>
      <c r="S34" s="26" t="s">
        <v>221</v>
      </c>
      <c r="T34" s="23" t="s">
        <v>222</v>
      </c>
      <c r="U34" s="24" t="s">
        <v>153</v>
      </c>
      <c r="V34" s="54" t="s">
        <v>153</v>
      </c>
      <c r="W34" s="26" t="s">
        <v>221</v>
      </c>
      <c r="X34" s="26" t="s">
        <v>221</v>
      </c>
      <c r="Y34" s="26" t="s">
        <v>221</v>
      </c>
      <c r="Z34" s="26" t="s">
        <v>221</v>
      </c>
      <c r="AA34" s="23" t="s">
        <v>222</v>
      </c>
      <c r="AB34" s="24" t="s">
        <v>153</v>
      </c>
      <c r="AC34" s="23" t="s">
        <v>153</v>
      </c>
      <c r="AD34" s="26" t="s">
        <v>221</v>
      </c>
      <c r="AE34" s="26" t="s">
        <v>221</v>
      </c>
      <c r="AF34" s="26" t="s">
        <v>221</v>
      </c>
      <c r="AG34" s="29" t="s">
        <v>1175</v>
      </c>
      <c r="AH34" s="29" t="s">
        <v>1175</v>
      </c>
      <c r="AI34" s="24" t="s">
        <v>153</v>
      </c>
      <c r="AJ34" s="23" t="s">
        <v>153</v>
      </c>
      <c r="AK34" s="26" t="s">
        <v>221</v>
      </c>
      <c r="AL34" s="26" t="s">
        <v>221</v>
      </c>
      <c r="AM34" s="26" t="s">
        <v>221</v>
      </c>
      <c r="AN34" s="26" t="s">
        <v>221</v>
      </c>
      <c r="AO34" s="23" t="s">
        <v>222</v>
      </c>
      <c r="AP34" s="23">
        <f>VALUE(0)</f>
        <v>0</v>
      </c>
      <c r="AQ34" s="23">
        <f>VALUE(0)</f>
        <v>0</v>
      </c>
      <c r="AR34" s="23">
        <f>VALUE(2)</f>
        <v>2</v>
      </c>
      <c r="AS34" s="23">
        <f>VALUE(0)</f>
        <v>0</v>
      </c>
      <c r="AT34" s="23">
        <f>VALUE(0)</f>
        <v>0</v>
      </c>
      <c r="AU34" s="23">
        <f>VALUE(1)</f>
        <v>1</v>
      </c>
      <c r="AV34" s="23">
        <f>VALUE(3)</f>
        <v>3</v>
      </c>
      <c r="AW34" s="23">
        <f>VALUE(0)</f>
        <v>0</v>
      </c>
      <c r="AX34" s="23" t="s">
        <v>1176</v>
      </c>
      <c r="AY34" s="23" t="s">
        <v>1177</v>
      </c>
      <c r="AZ34" s="23">
        <f>VALUE(0)</f>
        <v>0</v>
      </c>
      <c r="BA34" s="23">
        <f>VALUE(0)</f>
        <v>0</v>
      </c>
      <c r="BB34" s="23">
        <f>VALUE(0)</f>
        <v>0</v>
      </c>
      <c r="BC34" s="23">
        <f>VALUE(0)</f>
        <v>0</v>
      </c>
      <c r="BD34" s="23">
        <f>VALUE(0)</f>
        <v>0</v>
      </c>
      <c r="BE34" s="23">
        <f>VALUE(0)</f>
        <v>0</v>
      </c>
      <c r="BF34" s="23">
        <f>VALUE(0)</f>
        <v>0</v>
      </c>
      <c r="BG34" s="23">
        <f>VALUE(0)</f>
        <v>0</v>
      </c>
      <c r="BH34" s="23">
        <f>VALUE(0)</f>
        <v>0</v>
      </c>
      <c r="BI34" s="23">
        <f>VALUE(0)</f>
        <v>0</v>
      </c>
      <c r="BJ34" s="23">
        <f>VALUE(0)</f>
        <v>0</v>
      </c>
      <c r="BK34" s="12">
        <f>$AX$34*24</f>
        <v>9.5833333333333339</v>
      </c>
      <c r="BL34" s="12">
        <f>$AY$34*24</f>
        <v>5.0666666666666664</v>
      </c>
      <c r="BM34" s="12">
        <f>$BJ$34*24</f>
        <v>0</v>
      </c>
      <c r="BN34" s="12">
        <f>VALUE($I$34)/100</f>
        <v>1</v>
      </c>
      <c r="BO34" s="12">
        <v>0</v>
      </c>
      <c r="BP34" s="12">
        <v>0</v>
      </c>
      <c r="BQ34" s="12">
        <v>0</v>
      </c>
      <c r="BR34" s="12">
        <v>0</v>
      </c>
      <c r="BS34" s="12">
        <v>0</v>
      </c>
      <c r="BT34" s="12">
        <v>0</v>
      </c>
      <c r="BU34" s="12">
        <v>0</v>
      </c>
      <c r="BV34" s="12">
        <v>2</v>
      </c>
      <c r="BW34" s="12">
        <v>0</v>
      </c>
      <c r="BX34" s="12">
        <v>0</v>
      </c>
      <c r="BY34" s="12">
        <v>0</v>
      </c>
      <c r="BZ34" s="12">
        <v>0</v>
      </c>
      <c r="CA34" s="12">
        <v>0</v>
      </c>
    </row>
    <row r="35" spans="1:79" ht="16.5" hidden="1" x14ac:dyDescent="0.2">
      <c r="A35" s="12" t="s">
        <v>102</v>
      </c>
      <c r="B35" s="12" t="s">
        <v>105</v>
      </c>
      <c r="C35" s="12" t="s">
        <v>105</v>
      </c>
      <c r="D35" s="22" t="s">
        <v>223</v>
      </c>
      <c r="E35" s="22" t="s">
        <v>161</v>
      </c>
      <c r="F35" s="22" t="s">
        <v>639</v>
      </c>
      <c r="G35" s="22" t="s">
        <v>640</v>
      </c>
      <c r="H35" s="22" t="s">
        <v>190</v>
      </c>
      <c r="I35" s="22" t="s">
        <v>151</v>
      </c>
      <c r="J35" s="22" t="s">
        <v>181</v>
      </c>
      <c r="K35" s="22" t="s">
        <v>66</v>
      </c>
      <c r="L35" s="54" t="s">
        <v>153</v>
      </c>
      <c r="M35" s="23" t="s">
        <v>224</v>
      </c>
      <c r="N35" s="24" t="s">
        <v>153</v>
      </c>
      <c r="O35" s="26" t="s">
        <v>225</v>
      </c>
      <c r="P35" s="26" t="s">
        <v>225</v>
      </c>
      <c r="Q35" s="26" t="s">
        <v>225</v>
      </c>
      <c r="R35" s="26" t="s">
        <v>225</v>
      </c>
      <c r="S35" s="26" t="s">
        <v>225</v>
      </c>
      <c r="T35" s="26" t="s">
        <v>225</v>
      </c>
      <c r="U35" s="24" t="s">
        <v>153</v>
      </c>
      <c r="V35" s="54" t="s">
        <v>153</v>
      </c>
      <c r="W35" s="26" t="s">
        <v>225</v>
      </c>
      <c r="X35" s="40" t="s">
        <v>153</v>
      </c>
      <c r="Y35" s="40" t="s">
        <v>153</v>
      </c>
      <c r="Z35" s="40" t="s">
        <v>153</v>
      </c>
      <c r="AA35" s="40" t="s">
        <v>153</v>
      </c>
      <c r="AB35" s="40" t="s">
        <v>153</v>
      </c>
      <c r="AC35" s="40" t="s">
        <v>153</v>
      </c>
      <c r="AD35" s="40" t="s">
        <v>153</v>
      </c>
      <c r="AE35" s="40" t="s">
        <v>153</v>
      </c>
      <c r="AF35" s="40" t="s">
        <v>153</v>
      </c>
      <c r="AG35" s="40" t="s">
        <v>153</v>
      </c>
      <c r="AH35" s="40" t="s">
        <v>153</v>
      </c>
      <c r="AI35" s="40" t="s">
        <v>153</v>
      </c>
      <c r="AJ35" s="40" t="s">
        <v>153</v>
      </c>
      <c r="AK35" s="40" t="s">
        <v>153</v>
      </c>
      <c r="AL35" s="40" t="s">
        <v>153</v>
      </c>
      <c r="AM35" s="40" t="s">
        <v>153</v>
      </c>
      <c r="AN35" s="40" t="s">
        <v>153</v>
      </c>
      <c r="AO35" s="40" t="s">
        <v>153</v>
      </c>
      <c r="AP35" s="23">
        <f>VALUE(0)</f>
        <v>0</v>
      </c>
      <c r="AQ35" s="23">
        <f>VALUE(0)</f>
        <v>0</v>
      </c>
      <c r="AR35" s="23">
        <f>VALUE(0)</f>
        <v>0</v>
      </c>
      <c r="AS35" s="23">
        <f>VALUE(0)</f>
        <v>0</v>
      </c>
      <c r="AT35" s="23">
        <f>VALUE(0)</f>
        <v>0</v>
      </c>
      <c r="AU35" s="23">
        <f>VALUE(0)</f>
        <v>0</v>
      </c>
      <c r="AV35" s="23">
        <f>VALUE(17)</f>
        <v>17</v>
      </c>
      <c r="AW35" s="23">
        <f>VALUE(0)</f>
        <v>0</v>
      </c>
      <c r="AX35" s="23">
        <f>VALUE(0)</f>
        <v>0</v>
      </c>
      <c r="AY35" s="23">
        <f>VALUE(0)</f>
        <v>0</v>
      </c>
      <c r="AZ35" s="23">
        <f>VALUE(0)</f>
        <v>0</v>
      </c>
      <c r="BA35" s="23">
        <f>VALUE(0)</f>
        <v>0</v>
      </c>
      <c r="BB35" s="23">
        <f>VALUE(0)</f>
        <v>0</v>
      </c>
      <c r="BC35" s="23">
        <f>VALUE(0)</f>
        <v>0</v>
      </c>
      <c r="BD35" s="23">
        <f>VALUE(0)</f>
        <v>0</v>
      </c>
      <c r="BE35" s="23">
        <f>VALUE(0)</f>
        <v>0</v>
      </c>
      <c r="BF35" s="23">
        <f>VALUE(0)</f>
        <v>0</v>
      </c>
      <c r="BG35" s="23">
        <f>VALUE(0)</f>
        <v>0</v>
      </c>
      <c r="BH35" s="23">
        <f>VALUE(0)</f>
        <v>0</v>
      </c>
      <c r="BI35" s="23">
        <f>VALUE(0)</f>
        <v>0</v>
      </c>
      <c r="BJ35" s="23">
        <f>VALUE(0)</f>
        <v>0</v>
      </c>
      <c r="BK35" s="12">
        <f>$AX$35*24</f>
        <v>0</v>
      </c>
      <c r="BL35" s="12">
        <f>$AY$35*24</f>
        <v>0</v>
      </c>
      <c r="BM35" s="12">
        <f>$BJ$35*24</f>
        <v>0</v>
      </c>
      <c r="BN35" s="12">
        <f>VALUE($I$35)/100</f>
        <v>1</v>
      </c>
      <c r="BO35" s="12">
        <v>0</v>
      </c>
      <c r="BP35" s="12">
        <v>0</v>
      </c>
      <c r="BQ35" s="12">
        <v>0</v>
      </c>
      <c r="BR35" s="12">
        <v>0</v>
      </c>
      <c r="BS35" s="12">
        <v>0</v>
      </c>
      <c r="BT35" s="12">
        <v>0</v>
      </c>
      <c r="BU35" s="12">
        <v>0</v>
      </c>
      <c r="BV35" s="12">
        <v>0</v>
      </c>
      <c r="BW35" s="12">
        <v>0</v>
      </c>
      <c r="BX35" s="12">
        <v>0</v>
      </c>
      <c r="BY35" s="12">
        <v>0</v>
      </c>
      <c r="BZ35" s="12">
        <v>0</v>
      </c>
      <c r="CA35" s="12">
        <v>0</v>
      </c>
    </row>
    <row r="36" spans="1:79" hidden="1" x14ac:dyDescent="0.2">
      <c r="A36" s="12" t="s">
        <v>102</v>
      </c>
      <c r="B36" s="12" t="s">
        <v>105</v>
      </c>
      <c r="C36" s="12" t="s">
        <v>105</v>
      </c>
      <c r="D36" s="22" t="s">
        <v>210</v>
      </c>
      <c r="E36" s="22" t="s">
        <v>161</v>
      </c>
      <c r="F36" s="22" t="s">
        <v>641</v>
      </c>
      <c r="G36" s="22" t="s">
        <v>642</v>
      </c>
      <c r="H36" s="22" t="s">
        <v>150</v>
      </c>
      <c r="I36" s="22" t="s">
        <v>226</v>
      </c>
      <c r="J36" s="22" t="s">
        <v>181</v>
      </c>
      <c r="K36" s="22" t="s">
        <v>66</v>
      </c>
      <c r="L36" s="54" t="s">
        <v>153</v>
      </c>
      <c r="M36" s="24" t="s">
        <v>195</v>
      </c>
      <c r="N36" s="24" t="s">
        <v>153</v>
      </c>
      <c r="O36" s="23" t="s">
        <v>153</v>
      </c>
      <c r="P36" s="23" t="s">
        <v>153</v>
      </c>
      <c r="Q36" s="23" t="s">
        <v>153</v>
      </c>
      <c r="R36" s="23" t="s">
        <v>153</v>
      </c>
      <c r="S36" s="24" t="s">
        <v>195</v>
      </c>
      <c r="T36" s="24" t="s">
        <v>195</v>
      </c>
      <c r="U36" s="24" t="s">
        <v>153</v>
      </c>
      <c r="V36" s="54" t="s">
        <v>153</v>
      </c>
      <c r="W36" s="23" t="s">
        <v>153</v>
      </c>
      <c r="X36" s="23" t="s">
        <v>153</v>
      </c>
      <c r="Y36" s="23" t="s">
        <v>153</v>
      </c>
      <c r="Z36" s="24" t="s">
        <v>195</v>
      </c>
      <c r="AA36" s="24" t="s">
        <v>195</v>
      </c>
      <c r="AB36" s="24" t="s">
        <v>153</v>
      </c>
      <c r="AC36" s="23" t="s">
        <v>153</v>
      </c>
      <c r="AD36" s="23" t="s">
        <v>153</v>
      </c>
      <c r="AE36" s="23" t="s">
        <v>153</v>
      </c>
      <c r="AF36" s="23" t="s">
        <v>153</v>
      </c>
      <c r="AG36" s="24" t="s">
        <v>195</v>
      </c>
      <c r="AH36" s="24" t="s">
        <v>195</v>
      </c>
      <c r="AI36" s="24" t="s">
        <v>153</v>
      </c>
      <c r="AJ36" s="23" t="s">
        <v>153</v>
      </c>
      <c r="AK36" s="23" t="s">
        <v>153</v>
      </c>
      <c r="AL36" s="23" t="s">
        <v>153</v>
      </c>
      <c r="AM36" s="23" t="s">
        <v>153</v>
      </c>
      <c r="AN36" s="24" t="s">
        <v>195</v>
      </c>
      <c r="AO36" s="24" t="s">
        <v>195</v>
      </c>
      <c r="AP36" s="23">
        <f>VALUE(0)</f>
        <v>0</v>
      </c>
      <c r="AQ36" s="23">
        <f>VALUE(0)</f>
        <v>0</v>
      </c>
      <c r="AR36" s="23">
        <f>VALUE(0)</f>
        <v>0</v>
      </c>
      <c r="AS36" s="23">
        <f>VALUE(0)</f>
        <v>0</v>
      </c>
      <c r="AT36" s="23">
        <f>VALUE(0)</f>
        <v>0</v>
      </c>
      <c r="AU36" s="23">
        <f>VALUE(0)</f>
        <v>0</v>
      </c>
      <c r="AV36" s="23">
        <f>VALUE(12)</f>
        <v>12</v>
      </c>
      <c r="AW36" s="23">
        <f>VALUE(0)</f>
        <v>0</v>
      </c>
      <c r="AX36" s="23" t="s">
        <v>176</v>
      </c>
      <c r="AY36" s="23" t="s">
        <v>227</v>
      </c>
      <c r="AZ36" s="23">
        <f>VALUE(0)</f>
        <v>0</v>
      </c>
      <c r="BA36" s="23">
        <f>VALUE(0)</f>
        <v>0</v>
      </c>
      <c r="BB36" s="23">
        <f>VALUE(0)</f>
        <v>0</v>
      </c>
      <c r="BC36" s="23">
        <f>VALUE(0)</f>
        <v>0</v>
      </c>
      <c r="BD36" s="23">
        <f>VALUE(0)</f>
        <v>0</v>
      </c>
      <c r="BE36" s="23">
        <f>VALUE(0)</f>
        <v>0</v>
      </c>
      <c r="BF36" s="23">
        <f>VALUE(0)</f>
        <v>0</v>
      </c>
      <c r="BG36" s="23">
        <f>VALUE(0)</f>
        <v>0</v>
      </c>
      <c r="BH36" s="23">
        <f>VALUE(0)</f>
        <v>0</v>
      </c>
      <c r="BI36" s="23">
        <f>VALUE(0)</f>
        <v>0</v>
      </c>
      <c r="BJ36" s="23">
        <f>VALUE(0)</f>
        <v>0</v>
      </c>
      <c r="BK36" s="12">
        <f>$AX$36*24</f>
        <v>0</v>
      </c>
      <c r="BL36" s="12">
        <f>$AY$36*24</f>
        <v>2.8333333333333335</v>
      </c>
      <c r="BM36" s="12">
        <f>$BJ$36*24</f>
        <v>0</v>
      </c>
      <c r="BN36" s="12">
        <f>VALUE($I$36)/100</f>
        <v>0.42</v>
      </c>
      <c r="BO36" s="12">
        <v>0</v>
      </c>
      <c r="BP36" s="12">
        <v>0</v>
      </c>
      <c r="BQ36" s="12">
        <v>0</v>
      </c>
      <c r="BR36" s="12">
        <v>0</v>
      </c>
      <c r="BS36" s="12">
        <v>0</v>
      </c>
      <c r="BT36" s="12">
        <v>0</v>
      </c>
      <c r="BU36" s="12">
        <v>0</v>
      </c>
      <c r="BV36" s="12">
        <v>0</v>
      </c>
      <c r="BW36" s="12">
        <v>0</v>
      </c>
      <c r="BX36" s="12">
        <v>0</v>
      </c>
      <c r="BY36" s="12">
        <v>0</v>
      </c>
      <c r="BZ36" s="12">
        <v>0</v>
      </c>
      <c r="CA36" s="12">
        <v>0</v>
      </c>
    </row>
    <row r="37" spans="1:79" hidden="1" x14ac:dyDescent="0.2">
      <c r="A37" s="12" t="s">
        <v>102</v>
      </c>
      <c r="B37" s="12" t="s">
        <v>105</v>
      </c>
      <c r="C37" s="12" t="s">
        <v>105</v>
      </c>
      <c r="D37" s="22" t="s">
        <v>228</v>
      </c>
      <c r="E37" s="22" t="s">
        <v>161</v>
      </c>
      <c r="F37" s="22" t="s">
        <v>1178</v>
      </c>
      <c r="G37" s="22" t="s">
        <v>643</v>
      </c>
      <c r="H37" s="22" t="s">
        <v>150</v>
      </c>
      <c r="I37" s="22" t="s">
        <v>151</v>
      </c>
      <c r="J37" s="22" t="s">
        <v>181</v>
      </c>
      <c r="K37" s="22" t="s">
        <v>66</v>
      </c>
      <c r="L37" s="54" t="s">
        <v>153</v>
      </c>
      <c r="M37" s="28" t="s">
        <v>163</v>
      </c>
      <c r="N37" s="24" t="s">
        <v>153</v>
      </c>
      <c r="O37" s="28" t="s">
        <v>163</v>
      </c>
      <c r="P37" s="28" t="s">
        <v>163</v>
      </c>
      <c r="Q37" s="28" t="s">
        <v>163</v>
      </c>
      <c r="R37" s="28" t="s">
        <v>163</v>
      </c>
      <c r="S37" s="28" t="s">
        <v>163</v>
      </c>
      <c r="T37" s="28" t="s">
        <v>163</v>
      </c>
      <c r="U37" s="24" t="s">
        <v>153</v>
      </c>
      <c r="V37" s="54" t="s">
        <v>153</v>
      </c>
      <c r="W37" s="23" t="s">
        <v>153</v>
      </c>
      <c r="X37" s="23" t="s">
        <v>153</v>
      </c>
      <c r="Y37" s="23" t="s">
        <v>153</v>
      </c>
      <c r="Z37" s="23" t="s">
        <v>153</v>
      </c>
      <c r="AA37" s="24" t="s">
        <v>156</v>
      </c>
      <c r="AB37" s="24" t="s">
        <v>153</v>
      </c>
      <c r="AC37" s="23" t="s">
        <v>153</v>
      </c>
      <c r="AD37" s="23" t="s">
        <v>153</v>
      </c>
      <c r="AE37" s="23" t="s">
        <v>153</v>
      </c>
      <c r="AF37" s="23" t="s">
        <v>153</v>
      </c>
      <c r="AG37" s="23" t="s">
        <v>153</v>
      </c>
      <c r="AH37" s="23" t="s">
        <v>153</v>
      </c>
      <c r="AI37" s="24" t="s">
        <v>153</v>
      </c>
      <c r="AJ37" s="23" t="s">
        <v>153</v>
      </c>
      <c r="AK37" s="23" t="s">
        <v>153</v>
      </c>
      <c r="AL37" s="35" t="s">
        <v>170</v>
      </c>
      <c r="AM37" s="23" t="s">
        <v>153</v>
      </c>
      <c r="AN37" s="23" t="s">
        <v>153</v>
      </c>
      <c r="AO37" s="24" t="s">
        <v>156</v>
      </c>
      <c r="AP37" s="23">
        <f>VALUE(0)</f>
        <v>0</v>
      </c>
      <c r="AQ37" s="23">
        <f>VALUE(0)</f>
        <v>0</v>
      </c>
      <c r="AR37" s="23">
        <f>VALUE(0)</f>
        <v>0</v>
      </c>
      <c r="AS37" s="23">
        <f>VALUE(0)</f>
        <v>0</v>
      </c>
      <c r="AT37" s="23">
        <f>VALUE(0)</f>
        <v>0</v>
      </c>
      <c r="AU37" s="23">
        <f>VALUE(7)</f>
        <v>7</v>
      </c>
      <c r="AV37" s="23">
        <f>VALUE(3)</f>
        <v>3</v>
      </c>
      <c r="AW37" s="23">
        <f>VALUE(0)</f>
        <v>0</v>
      </c>
      <c r="AX37" s="23" t="s">
        <v>171</v>
      </c>
      <c r="AY37" s="23" t="s">
        <v>196</v>
      </c>
      <c r="AZ37" s="23">
        <f>VALUE(0)</f>
        <v>0</v>
      </c>
      <c r="BA37" s="23">
        <f>VALUE(0)</f>
        <v>0</v>
      </c>
      <c r="BB37" s="23">
        <f>VALUE(0)</f>
        <v>0</v>
      </c>
      <c r="BC37" s="23">
        <f>VALUE(0)</f>
        <v>0</v>
      </c>
      <c r="BD37" s="23">
        <f>VALUE(0)</f>
        <v>0</v>
      </c>
      <c r="BE37" s="23">
        <f>VALUE(1)</f>
        <v>1</v>
      </c>
      <c r="BF37" s="23">
        <f>VALUE(0)</f>
        <v>0</v>
      </c>
      <c r="BG37" s="23">
        <f>VALUE(0)</f>
        <v>0</v>
      </c>
      <c r="BH37" s="23">
        <f>VALUE(0)</f>
        <v>0</v>
      </c>
      <c r="BI37" s="23">
        <f>VALUE(0)</f>
        <v>0</v>
      </c>
      <c r="BJ37" s="23">
        <f>VALUE(0)</f>
        <v>0</v>
      </c>
      <c r="BK37" s="12">
        <f>$AX$37*24</f>
        <v>5.833333333333333</v>
      </c>
      <c r="BL37" s="12">
        <f>$AY$37*24</f>
        <v>8.1</v>
      </c>
      <c r="BM37" s="12">
        <f>$BJ$37*24</f>
        <v>0</v>
      </c>
      <c r="BN37" s="12">
        <f>VALUE($I$37)/100</f>
        <v>1</v>
      </c>
      <c r="BO37" s="12">
        <v>0</v>
      </c>
      <c r="BP37" s="12">
        <v>0</v>
      </c>
      <c r="BQ37" s="12">
        <v>0</v>
      </c>
      <c r="BR37" s="12">
        <v>0</v>
      </c>
      <c r="BS37" s="12">
        <v>0</v>
      </c>
      <c r="BT37" s="12">
        <v>0</v>
      </c>
      <c r="BU37" s="12">
        <v>0</v>
      </c>
      <c r="BV37" s="12">
        <v>0</v>
      </c>
      <c r="BW37" s="12">
        <v>0</v>
      </c>
      <c r="BX37" s="12">
        <v>0</v>
      </c>
      <c r="BY37" s="12">
        <v>0</v>
      </c>
      <c r="BZ37" s="12">
        <v>0</v>
      </c>
      <c r="CA37" s="12">
        <v>0</v>
      </c>
    </row>
    <row r="38" spans="1:79" hidden="1" x14ac:dyDescent="0.2">
      <c r="A38" s="12" t="s">
        <v>102</v>
      </c>
      <c r="B38" s="12" t="s">
        <v>105</v>
      </c>
      <c r="C38" s="12" t="s">
        <v>105</v>
      </c>
      <c r="D38" s="22" t="s">
        <v>229</v>
      </c>
      <c r="E38" s="22" t="s">
        <v>161</v>
      </c>
      <c r="F38" s="22" t="s">
        <v>644</v>
      </c>
      <c r="G38" s="22" t="s">
        <v>645</v>
      </c>
      <c r="H38" s="22" t="s">
        <v>150</v>
      </c>
      <c r="I38" s="22" t="s">
        <v>151</v>
      </c>
      <c r="J38" s="22" t="s">
        <v>181</v>
      </c>
      <c r="K38" s="22" t="s">
        <v>66</v>
      </c>
      <c r="L38" s="54" t="s">
        <v>153</v>
      </c>
      <c r="M38" s="28" t="s">
        <v>163</v>
      </c>
      <c r="N38" s="24" t="s">
        <v>153</v>
      </c>
      <c r="O38" s="23" t="s">
        <v>153</v>
      </c>
      <c r="P38" s="23" t="s">
        <v>153</v>
      </c>
      <c r="Q38" s="23" t="s">
        <v>153</v>
      </c>
      <c r="R38" s="23" t="s">
        <v>153</v>
      </c>
      <c r="S38" s="23" t="s">
        <v>153</v>
      </c>
      <c r="T38" s="24" t="s">
        <v>156</v>
      </c>
      <c r="U38" s="24" t="s">
        <v>153</v>
      </c>
      <c r="V38" s="54" t="s">
        <v>153</v>
      </c>
      <c r="W38" s="23" t="s">
        <v>153</v>
      </c>
      <c r="X38" s="23" t="s">
        <v>153</v>
      </c>
      <c r="Y38" s="23" t="s">
        <v>153</v>
      </c>
      <c r="Z38" s="23" t="s">
        <v>153</v>
      </c>
      <c r="AA38" s="24" t="s">
        <v>156</v>
      </c>
      <c r="AB38" s="24" t="s">
        <v>153</v>
      </c>
      <c r="AC38" s="23" t="s">
        <v>153</v>
      </c>
      <c r="AD38" s="23" t="s">
        <v>153</v>
      </c>
      <c r="AE38" s="23" t="s">
        <v>153</v>
      </c>
      <c r="AF38" s="23" t="s">
        <v>153</v>
      </c>
      <c r="AG38" s="23" t="s">
        <v>153</v>
      </c>
      <c r="AH38" s="23" t="s">
        <v>153</v>
      </c>
      <c r="AI38" s="24" t="s">
        <v>153</v>
      </c>
      <c r="AJ38" s="23" t="s">
        <v>153</v>
      </c>
      <c r="AK38" s="23" t="s">
        <v>153</v>
      </c>
      <c r="AL38" s="23" t="s">
        <v>153</v>
      </c>
      <c r="AM38" s="23" t="s">
        <v>153</v>
      </c>
      <c r="AN38" s="23" t="s">
        <v>153</v>
      </c>
      <c r="AO38" s="24" t="s">
        <v>156</v>
      </c>
      <c r="AP38" s="23">
        <f>VALUE(0)</f>
        <v>0</v>
      </c>
      <c r="AQ38" s="23">
        <f>VALUE(0)</f>
        <v>0</v>
      </c>
      <c r="AR38" s="23">
        <f>VALUE(0)</f>
        <v>0</v>
      </c>
      <c r="AS38" s="23">
        <f>VALUE(0)</f>
        <v>0</v>
      </c>
      <c r="AT38" s="23">
        <f>VALUE(0)</f>
        <v>0</v>
      </c>
      <c r="AU38" s="23">
        <f>VALUE(1)</f>
        <v>1</v>
      </c>
      <c r="AV38" s="23">
        <f>VALUE(9)</f>
        <v>9</v>
      </c>
      <c r="AW38" s="23">
        <f>VALUE(0)</f>
        <v>0</v>
      </c>
      <c r="AX38" s="23" t="s">
        <v>171</v>
      </c>
      <c r="AY38" s="23" t="s">
        <v>230</v>
      </c>
      <c r="AZ38" s="23">
        <f>VALUE(0)</f>
        <v>0</v>
      </c>
      <c r="BA38" s="23">
        <f>VALUE(0)</f>
        <v>0</v>
      </c>
      <c r="BB38" s="23">
        <f>VALUE(0)</f>
        <v>0</v>
      </c>
      <c r="BC38" s="23">
        <f>VALUE(0)</f>
        <v>0</v>
      </c>
      <c r="BD38" s="23">
        <f>VALUE(0)</f>
        <v>0</v>
      </c>
      <c r="BE38" s="23">
        <f>VALUE(0)</f>
        <v>0</v>
      </c>
      <c r="BF38" s="23">
        <f>VALUE(0)</f>
        <v>0</v>
      </c>
      <c r="BG38" s="23">
        <f>VALUE(0)</f>
        <v>0</v>
      </c>
      <c r="BH38" s="23">
        <f>VALUE(0)</f>
        <v>0</v>
      </c>
      <c r="BI38" s="23">
        <f>VALUE(0)</f>
        <v>0</v>
      </c>
      <c r="BJ38" s="23">
        <f>VALUE(0)</f>
        <v>0</v>
      </c>
      <c r="BK38" s="12">
        <f>$AX$38*24</f>
        <v>5.833333333333333</v>
      </c>
      <c r="BL38" s="12">
        <f>$AY$38*24</f>
        <v>2.3333333333333335</v>
      </c>
      <c r="BM38" s="12">
        <f>$BJ$38*24</f>
        <v>0</v>
      </c>
      <c r="BN38" s="12">
        <f>VALUE($I$38)/100</f>
        <v>1</v>
      </c>
      <c r="BO38" s="12">
        <v>0</v>
      </c>
      <c r="BP38" s="12">
        <v>0</v>
      </c>
      <c r="BQ38" s="12">
        <v>0</v>
      </c>
      <c r="BR38" s="12">
        <v>0</v>
      </c>
      <c r="BS38" s="12">
        <v>0</v>
      </c>
      <c r="BT38" s="12">
        <v>0</v>
      </c>
      <c r="BU38" s="12">
        <v>0</v>
      </c>
      <c r="BV38" s="12">
        <v>0</v>
      </c>
      <c r="BW38" s="12">
        <v>0</v>
      </c>
      <c r="BX38" s="12">
        <v>0</v>
      </c>
      <c r="BY38" s="12">
        <v>0</v>
      </c>
      <c r="BZ38" s="12">
        <v>0</v>
      </c>
      <c r="CA38" s="12">
        <v>0</v>
      </c>
    </row>
    <row r="39" spans="1:79" hidden="1" x14ac:dyDescent="0.2">
      <c r="A39" s="12" t="s">
        <v>102</v>
      </c>
      <c r="B39" s="12" t="s">
        <v>105</v>
      </c>
      <c r="C39" s="12" t="s">
        <v>105</v>
      </c>
      <c r="D39" s="22" t="s">
        <v>208</v>
      </c>
      <c r="E39" s="22" t="s">
        <v>161</v>
      </c>
      <c r="F39" s="22" t="s">
        <v>646</v>
      </c>
      <c r="G39" s="22" t="s">
        <v>647</v>
      </c>
      <c r="H39" s="22" t="s">
        <v>150</v>
      </c>
      <c r="I39" s="22" t="s">
        <v>151</v>
      </c>
      <c r="J39" s="22" t="s">
        <v>181</v>
      </c>
      <c r="K39" s="22" t="s">
        <v>66</v>
      </c>
      <c r="L39" s="54" t="s">
        <v>153</v>
      </c>
      <c r="M39" s="24" t="s">
        <v>156</v>
      </c>
      <c r="N39" s="24" t="s">
        <v>153</v>
      </c>
      <c r="O39" s="23" t="s">
        <v>153</v>
      </c>
      <c r="P39" s="23" t="s">
        <v>153</v>
      </c>
      <c r="Q39" s="23" t="s">
        <v>153</v>
      </c>
      <c r="R39" s="23" t="s">
        <v>153</v>
      </c>
      <c r="S39" s="33" t="s">
        <v>201</v>
      </c>
      <c r="T39" s="24" t="s">
        <v>156</v>
      </c>
      <c r="U39" s="24" t="s">
        <v>153</v>
      </c>
      <c r="V39" s="54" t="s">
        <v>153</v>
      </c>
      <c r="W39" s="23" t="s">
        <v>153</v>
      </c>
      <c r="X39" s="23" t="s">
        <v>153</v>
      </c>
      <c r="Y39" s="23" t="s">
        <v>153</v>
      </c>
      <c r="Z39" s="23" t="s">
        <v>153</v>
      </c>
      <c r="AA39" s="23" t="s">
        <v>153</v>
      </c>
      <c r="AB39" s="24" t="s">
        <v>153</v>
      </c>
      <c r="AC39" s="23" t="s">
        <v>153</v>
      </c>
      <c r="AD39" s="33" t="s">
        <v>201</v>
      </c>
      <c r="AE39" s="23" t="s">
        <v>153</v>
      </c>
      <c r="AF39" s="23" t="s">
        <v>153</v>
      </c>
      <c r="AG39" s="23" t="s">
        <v>153</v>
      </c>
      <c r="AH39" s="24" t="s">
        <v>156</v>
      </c>
      <c r="AI39" s="24" t="s">
        <v>153</v>
      </c>
      <c r="AJ39" s="28" t="s">
        <v>338</v>
      </c>
      <c r="AK39" s="28" t="s">
        <v>338</v>
      </c>
      <c r="AL39" s="28" t="s">
        <v>338</v>
      </c>
      <c r="AM39" s="23" t="s">
        <v>153</v>
      </c>
      <c r="AN39" s="23" t="s">
        <v>153</v>
      </c>
      <c r="AO39" s="24" t="s">
        <v>156</v>
      </c>
      <c r="AP39" s="23">
        <f>VALUE(0)</f>
        <v>0</v>
      </c>
      <c r="AQ39" s="23">
        <f>VALUE(0)</f>
        <v>0</v>
      </c>
      <c r="AR39" s="23">
        <f>VALUE(0)</f>
        <v>0</v>
      </c>
      <c r="AS39" s="23">
        <f>VALUE(0)</f>
        <v>0</v>
      </c>
      <c r="AT39" s="23">
        <f>VALUE(3)</f>
        <v>3</v>
      </c>
      <c r="AU39" s="23">
        <f>VALUE(0)</f>
        <v>0</v>
      </c>
      <c r="AV39" s="23">
        <f>VALUE(12)</f>
        <v>12</v>
      </c>
      <c r="AW39" s="23">
        <f>VALUE(0)</f>
        <v>0</v>
      </c>
      <c r="AX39" s="23" t="s">
        <v>171</v>
      </c>
      <c r="AY39" s="23" t="s">
        <v>1179</v>
      </c>
      <c r="AZ39" s="23">
        <f>VALUE(0)</f>
        <v>0</v>
      </c>
      <c r="BA39" s="23">
        <f>VALUE(0)</f>
        <v>0</v>
      </c>
      <c r="BB39" s="23">
        <f>VALUE(2)</f>
        <v>2</v>
      </c>
      <c r="BC39" s="23">
        <f>VALUE(0)</f>
        <v>0</v>
      </c>
      <c r="BD39" s="23">
        <f>VALUE(0)</f>
        <v>0</v>
      </c>
      <c r="BE39" s="23">
        <f>VALUE(0)</f>
        <v>0</v>
      </c>
      <c r="BF39" s="23">
        <f>VALUE(0)</f>
        <v>0</v>
      </c>
      <c r="BG39" s="23">
        <f>VALUE(0)</f>
        <v>0</v>
      </c>
      <c r="BH39" s="23">
        <f>VALUE(0)</f>
        <v>0</v>
      </c>
      <c r="BI39" s="23">
        <f>VALUE(0)</f>
        <v>0</v>
      </c>
      <c r="BJ39" s="23">
        <f>VALUE(0)</f>
        <v>0</v>
      </c>
      <c r="BK39" s="12">
        <f>$AX$39*24</f>
        <v>5.833333333333333</v>
      </c>
      <c r="BL39" s="12">
        <f>$AY$39*24</f>
        <v>13.7</v>
      </c>
      <c r="BM39" s="12">
        <f>$BJ$39*24</f>
        <v>0</v>
      </c>
      <c r="BN39" s="12">
        <f>VALUE($I$39)/100</f>
        <v>1</v>
      </c>
      <c r="BO39" s="12">
        <v>0</v>
      </c>
      <c r="BP39" s="12">
        <v>0</v>
      </c>
      <c r="BQ39" s="12">
        <v>0</v>
      </c>
      <c r="BR39" s="12">
        <v>0</v>
      </c>
      <c r="BS39" s="12">
        <v>0</v>
      </c>
      <c r="BT39" s="12">
        <v>0</v>
      </c>
      <c r="BU39" s="12">
        <v>0</v>
      </c>
      <c r="BV39" s="12">
        <v>0</v>
      </c>
      <c r="BW39" s="12">
        <v>0</v>
      </c>
      <c r="BX39" s="12">
        <v>0</v>
      </c>
      <c r="BY39" s="12">
        <v>3</v>
      </c>
      <c r="BZ39" s="12">
        <v>0</v>
      </c>
      <c r="CA39" s="12">
        <v>0</v>
      </c>
    </row>
    <row r="40" spans="1:79" hidden="1" x14ac:dyDescent="0.2">
      <c r="A40" s="12" t="s">
        <v>102</v>
      </c>
      <c r="B40" s="12" t="s">
        <v>105</v>
      </c>
      <c r="C40" s="12" t="s">
        <v>105</v>
      </c>
      <c r="D40" s="22" t="s">
        <v>232</v>
      </c>
      <c r="E40" s="22" t="s">
        <v>161</v>
      </c>
      <c r="F40" s="22" t="s">
        <v>648</v>
      </c>
      <c r="G40" s="22" t="s">
        <v>649</v>
      </c>
      <c r="H40" s="22" t="s">
        <v>150</v>
      </c>
      <c r="I40" s="22" t="s">
        <v>151</v>
      </c>
      <c r="J40" s="22" t="s">
        <v>181</v>
      </c>
      <c r="K40" s="22" t="s">
        <v>66</v>
      </c>
      <c r="L40" s="54" t="s">
        <v>153</v>
      </c>
      <c r="M40" s="24" t="s">
        <v>156</v>
      </c>
      <c r="N40" s="24" t="s">
        <v>153</v>
      </c>
      <c r="O40" s="23" t="s">
        <v>153</v>
      </c>
      <c r="P40" s="23" t="s">
        <v>153</v>
      </c>
      <c r="Q40" s="23" t="s">
        <v>153</v>
      </c>
      <c r="R40" s="23" t="s">
        <v>153</v>
      </c>
      <c r="S40" s="23" t="s">
        <v>153</v>
      </c>
      <c r="T40" s="24" t="s">
        <v>156</v>
      </c>
      <c r="U40" s="24" t="s">
        <v>153</v>
      </c>
      <c r="V40" s="54" t="s">
        <v>153</v>
      </c>
      <c r="W40" s="23" t="s">
        <v>153</v>
      </c>
      <c r="X40" s="23" t="s">
        <v>153</v>
      </c>
      <c r="Y40" s="23" t="s">
        <v>153</v>
      </c>
      <c r="Z40" s="23" t="s">
        <v>153</v>
      </c>
      <c r="AA40" s="23" t="s">
        <v>153</v>
      </c>
      <c r="AB40" s="24" t="s">
        <v>153</v>
      </c>
      <c r="AC40" s="23" t="s">
        <v>153</v>
      </c>
      <c r="AD40" s="23" t="s">
        <v>153</v>
      </c>
      <c r="AE40" s="23" t="s">
        <v>153</v>
      </c>
      <c r="AF40" s="23" t="s">
        <v>153</v>
      </c>
      <c r="AG40" s="23" t="s">
        <v>153</v>
      </c>
      <c r="AH40" s="24" t="s">
        <v>156</v>
      </c>
      <c r="AI40" s="24" t="s">
        <v>153</v>
      </c>
      <c r="AJ40" s="23" t="s">
        <v>153</v>
      </c>
      <c r="AK40" s="23" t="s">
        <v>153</v>
      </c>
      <c r="AL40" s="23" t="s">
        <v>153</v>
      </c>
      <c r="AM40" s="23" t="s">
        <v>153</v>
      </c>
      <c r="AN40" s="23" t="s">
        <v>153</v>
      </c>
      <c r="AO40" s="24" t="s">
        <v>156</v>
      </c>
      <c r="AP40" s="23">
        <f>VALUE(0)</f>
        <v>0</v>
      </c>
      <c r="AQ40" s="23">
        <f>VALUE(0)</f>
        <v>0</v>
      </c>
      <c r="AR40" s="23">
        <f>VALUE(0)</f>
        <v>0</v>
      </c>
      <c r="AS40" s="23">
        <f>VALUE(0)</f>
        <v>0</v>
      </c>
      <c r="AT40" s="23">
        <f>VALUE(0)</f>
        <v>0</v>
      </c>
      <c r="AU40" s="23">
        <f>VALUE(0)</f>
        <v>0</v>
      </c>
      <c r="AV40" s="23">
        <f>VALUE(7)</f>
        <v>7</v>
      </c>
      <c r="AW40" s="23">
        <f>VALUE(0)</f>
        <v>0</v>
      </c>
      <c r="AX40" s="23" t="s">
        <v>171</v>
      </c>
      <c r="AY40" s="23" t="s">
        <v>233</v>
      </c>
      <c r="AZ40" s="23">
        <f>VALUE(0)</f>
        <v>0</v>
      </c>
      <c r="BA40" s="23">
        <f>VALUE(0)</f>
        <v>0</v>
      </c>
      <c r="BB40" s="23">
        <f>VALUE(0)</f>
        <v>0</v>
      </c>
      <c r="BC40" s="23">
        <f>VALUE(0)</f>
        <v>0</v>
      </c>
      <c r="BD40" s="23">
        <f>VALUE(0)</f>
        <v>0</v>
      </c>
      <c r="BE40" s="23">
        <f>VALUE(0)</f>
        <v>0</v>
      </c>
      <c r="BF40" s="23">
        <f>VALUE(0)</f>
        <v>0</v>
      </c>
      <c r="BG40" s="23">
        <f>VALUE(0)</f>
        <v>0</v>
      </c>
      <c r="BH40" s="23">
        <f>VALUE(0)</f>
        <v>0</v>
      </c>
      <c r="BI40" s="23">
        <f>VALUE(0)</f>
        <v>0</v>
      </c>
      <c r="BJ40" s="23">
        <f>VALUE(0)</f>
        <v>0</v>
      </c>
      <c r="BK40" s="12">
        <f>$AX$40*24</f>
        <v>5.833333333333333</v>
      </c>
      <c r="BL40" s="12">
        <f>$AY$40*24</f>
        <v>20.6</v>
      </c>
      <c r="BM40" s="12">
        <f>$BJ$40*24</f>
        <v>0</v>
      </c>
      <c r="BN40" s="12">
        <f>VALUE($I$40)/100</f>
        <v>1</v>
      </c>
      <c r="BO40" s="12">
        <v>0</v>
      </c>
      <c r="BP40" s="12">
        <v>0</v>
      </c>
      <c r="BQ40" s="12">
        <v>0</v>
      </c>
      <c r="BR40" s="12">
        <v>0</v>
      </c>
      <c r="BS40" s="12">
        <v>0</v>
      </c>
      <c r="BT40" s="12">
        <v>0</v>
      </c>
      <c r="BU40" s="12">
        <v>0</v>
      </c>
      <c r="BV40" s="12">
        <v>0</v>
      </c>
      <c r="BW40" s="12">
        <v>0</v>
      </c>
      <c r="BX40" s="12">
        <v>0</v>
      </c>
      <c r="BY40" s="12">
        <v>0</v>
      </c>
      <c r="BZ40" s="12">
        <v>0</v>
      </c>
      <c r="CA40" s="12">
        <v>0</v>
      </c>
    </row>
    <row r="41" spans="1:79" hidden="1" x14ac:dyDescent="0.2">
      <c r="A41" s="12" t="s">
        <v>102</v>
      </c>
      <c r="B41" s="12" t="s">
        <v>105</v>
      </c>
      <c r="C41" s="12" t="s">
        <v>105</v>
      </c>
      <c r="D41" s="22" t="s">
        <v>234</v>
      </c>
      <c r="E41" s="22" t="s">
        <v>161</v>
      </c>
      <c r="F41" s="22" t="s">
        <v>650</v>
      </c>
      <c r="G41" s="22" t="s">
        <v>651</v>
      </c>
      <c r="H41" s="22" t="s">
        <v>166</v>
      </c>
      <c r="I41" s="22" t="s">
        <v>151</v>
      </c>
      <c r="J41" s="22" t="s">
        <v>181</v>
      </c>
      <c r="K41" s="22" t="s">
        <v>66</v>
      </c>
      <c r="L41" s="54" t="s">
        <v>153</v>
      </c>
      <c r="M41" s="24" t="s">
        <v>156</v>
      </c>
      <c r="N41" s="24" t="s">
        <v>153</v>
      </c>
      <c r="O41" s="23" t="s">
        <v>153</v>
      </c>
      <c r="P41" s="23" t="s">
        <v>153</v>
      </c>
      <c r="Q41" s="23" t="s">
        <v>153</v>
      </c>
      <c r="R41" s="23" t="s">
        <v>153</v>
      </c>
      <c r="S41" s="23" t="s">
        <v>153</v>
      </c>
      <c r="T41" s="23" t="s">
        <v>153</v>
      </c>
      <c r="U41" s="24" t="s">
        <v>153</v>
      </c>
      <c r="V41" s="54" t="s">
        <v>153</v>
      </c>
      <c r="W41" s="23" t="s">
        <v>153</v>
      </c>
      <c r="X41" s="23" t="s">
        <v>153</v>
      </c>
      <c r="Y41" s="23" t="s">
        <v>153</v>
      </c>
      <c r="Z41" s="23" t="s">
        <v>153</v>
      </c>
      <c r="AA41" s="24" t="s">
        <v>156</v>
      </c>
      <c r="AB41" s="24" t="s">
        <v>153</v>
      </c>
      <c r="AC41" s="23" t="s">
        <v>153</v>
      </c>
      <c r="AD41" s="23" t="s">
        <v>153</v>
      </c>
      <c r="AE41" s="23" t="s">
        <v>153</v>
      </c>
      <c r="AF41" s="23" t="s">
        <v>153</v>
      </c>
      <c r="AG41" s="23" t="s">
        <v>153</v>
      </c>
      <c r="AH41" s="24" t="s">
        <v>156</v>
      </c>
      <c r="AI41" s="24" t="s">
        <v>153</v>
      </c>
      <c r="AJ41" s="23" t="s">
        <v>153</v>
      </c>
      <c r="AK41" s="23" t="s">
        <v>153</v>
      </c>
      <c r="AL41" s="23" t="s">
        <v>153</v>
      </c>
      <c r="AM41" s="23" t="s">
        <v>153</v>
      </c>
      <c r="AN41" s="23" t="s">
        <v>153</v>
      </c>
      <c r="AO41" s="23" t="s">
        <v>153</v>
      </c>
      <c r="AP41" s="23">
        <f>VALUE(0)</f>
        <v>0</v>
      </c>
      <c r="AQ41" s="23">
        <f>VALUE(0)</f>
        <v>0</v>
      </c>
      <c r="AR41" s="23">
        <f>VALUE(0)</f>
        <v>0</v>
      </c>
      <c r="AS41" s="23">
        <f>VALUE(0)</f>
        <v>0</v>
      </c>
      <c r="AT41" s="23">
        <f>VALUE(0)</f>
        <v>0</v>
      </c>
      <c r="AU41" s="23">
        <f>VALUE(0)</f>
        <v>0</v>
      </c>
      <c r="AV41" s="23">
        <f>VALUE(8)</f>
        <v>8</v>
      </c>
      <c r="AW41" s="23">
        <f>VALUE(0)</f>
        <v>0</v>
      </c>
      <c r="AX41" s="23" t="s">
        <v>1180</v>
      </c>
      <c r="AY41" s="23">
        <f>VALUE(0)</f>
        <v>0</v>
      </c>
      <c r="AZ41" s="23">
        <f>VALUE(0)</f>
        <v>0</v>
      </c>
      <c r="BA41" s="23">
        <f>VALUE(0)</f>
        <v>0</v>
      </c>
      <c r="BB41" s="23">
        <f>VALUE(0)</f>
        <v>0</v>
      </c>
      <c r="BC41" s="23">
        <f>VALUE(0)</f>
        <v>0</v>
      </c>
      <c r="BD41" s="23">
        <f>VALUE(0)</f>
        <v>0</v>
      </c>
      <c r="BE41" s="23">
        <f>VALUE(0)</f>
        <v>0</v>
      </c>
      <c r="BF41" s="23">
        <f>VALUE(0)</f>
        <v>0</v>
      </c>
      <c r="BG41" s="23">
        <f>VALUE(0)</f>
        <v>0</v>
      </c>
      <c r="BH41" s="23">
        <f>VALUE(0)</f>
        <v>0</v>
      </c>
      <c r="BI41" s="23">
        <f>VALUE(0)</f>
        <v>0</v>
      </c>
      <c r="BJ41" s="23">
        <f>VALUE(0)</f>
        <v>0</v>
      </c>
      <c r="BK41" s="12">
        <f>$AX$41*24</f>
        <v>10.383333333333333</v>
      </c>
      <c r="BL41" s="12">
        <f>$AY$41*24</f>
        <v>0</v>
      </c>
      <c r="BM41" s="12">
        <f>$BJ$41*24</f>
        <v>0</v>
      </c>
      <c r="BN41" s="12">
        <f>VALUE($I$41)/100</f>
        <v>1</v>
      </c>
      <c r="BO41" s="12">
        <v>0</v>
      </c>
      <c r="BP41" s="12">
        <v>0</v>
      </c>
      <c r="BQ41" s="12">
        <v>0</v>
      </c>
      <c r="BR41" s="12">
        <v>0</v>
      </c>
      <c r="BS41" s="12">
        <v>0</v>
      </c>
      <c r="BT41" s="12">
        <v>0</v>
      </c>
      <c r="BU41" s="12">
        <v>0</v>
      </c>
      <c r="BV41" s="12">
        <v>0</v>
      </c>
      <c r="BW41" s="12">
        <v>0</v>
      </c>
      <c r="BX41" s="12">
        <v>0</v>
      </c>
      <c r="BY41" s="12">
        <v>0</v>
      </c>
      <c r="BZ41" s="12">
        <v>0</v>
      </c>
      <c r="CA41" s="12">
        <v>0</v>
      </c>
    </row>
    <row r="42" spans="1:79" hidden="1" x14ac:dyDescent="0.2">
      <c r="A42" s="12" t="s">
        <v>102</v>
      </c>
      <c r="B42" s="12" t="s">
        <v>105</v>
      </c>
      <c r="C42" s="12" t="s">
        <v>105</v>
      </c>
      <c r="D42" s="22" t="s">
        <v>231</v>
      </c>
      <c r="E42" s="22" t="s">
        <v>161</v>
      </c>
      <c r="F42" s="22" t="s">
        <v>652</v>
      </c>
      <c r="G42" s="22" t="s">
        <v>653</v>
      </c>
      <c r="H42" s="22" t="s">
        <v>150</v>
      </c>
      <c r="I42" s="22" t="s">
        <v>151</v>
      </c>
      <c r="J42" s="22" t="s">
        <v>181</v>
      </c>
      <c r="K42" s="22" t="s">
        <v>66</v>
      </c>
      <c r="L42" s="54" t="s">
        <v>153</v>
      </c>
      <c r="M42" s="24" t="s">
        <v>156</v>
      </c>
      <c r="N42" s="24" t="s">
        <v>153</v>
      </c>
      <c r="O42" s="28" t="s">
        <v>163</v>
      </c>
      <c r="P42" s="28" t="s">
        <v>163</v>
      </c>
      <c r="Q42" s="28" t="s">
        <v>163</v>
      </c>
      <c r="R42" s="28" t="s">
        <v>163</v>
      </c>
      <c r="S42" s="28" t="s">
        <v>163</v>
      </c>
      <c r="T42" s="28" t="s">
        <v>163</v>
      </c>
      <c r="U42" s="24" t="s">
        <v>153</v>
      </c>
      <c r="V42" s="54" t="s">
        <v>153</v>
      </c>
      <c r="W42" s="23" t="s">
        <v>153</v>
      </c>
      <c r="X42" s="23" t="s">
        <v>153</v>
      </c>
      <c r="Y42" s="23" t="s">
        <v>153</v>
      </c>
      <c r="Z42" s="23" t="s">
        <v>153</v>
      </c>
      <c r="AA42" s="24" t="s">
        <v>156</v>
      </c>
      <c r="AB42" s="24" t="s">
        <v>153</v>
      </c>
      <c r="AC42" s="23" t="s">
        <v>153</v>
      </c>
      <c r="AD42" s="23" t="s">
        <v>153</v>
      </c>
      <c r="AE42" s="23" t="s">
        <v>153</v>
      </c>
      <c r="AF42" s="23" t="s">
        <v>153</v>
      </c>
      <c r="AG42" s="23" t="s">
        <v>153</v>
      </c>
      <c r="AH42" s="24" t="s">
        <v>156</v>
      </c>
      <c r="AI42" s="24" t="s">
        <v>153</v>
      </c>
      <c r="AJ42" s="23" t="s">
        <v>153</v>
      </c>
      <c r="AK42" s="23" t="s">
        <v>153</v>
      </c>
      <c r="AL42" s="23" t="s">
        <v>153</v>
      </c>
      <c r="AM42" s="23" t="s">
        <v>153</v>
      </c>
      <c r="AN42" s="23" t="s">
        <v>153</v>
      </c>
      <c r="AO42" s="23" t="s">
        <v>153</v>
      </c>
      <c r="AP42" s="23">
        <f>VALUE(0)</f>
        <v>0</v>
      </c>
      <c r="AQ42" s="23">
        <f>VALUE(0)</f>
        <v>0</v>
      </c>
      <c r="AR42" s="23">
        <f>VALUE(0)</f>
        <v>0</v>
      </c>
      <c r="AS42" s="23">
        <f>VALUE(0)</f>
        <v>0</v>
      </c>
      <c r="AT42" s="23">
        <f>VALUE(0)</f>
        <v>0</v>
      </c>
      <c r="AU42" s="23">
        <f>VALUE(6)</f>
        <v>6</v>
      </c>
      <c r="AV42" s="23">
        <f>VALUE(6)</f>
        <v>6</v>
      </c>
      <c r="AW42" s="23">
        <f>VALUE(0)</f>
        <v>0</v>
      </c>
      <c r="AX42" s="23">
        <f>VALUE(0)</f>
        <v>0</v>
      </c>
      <c r="AY42" s="23" t="s">
        <v>235</v>
      </c>
      <c r="AZ42" s="23">
        <f>VALUE(0)</f>
        <v>0</v>
      </c>
      <c r="BA42" s="23">
        <f>VALUE(0)</f>
        <v>0</v>
      </c>
      <c r="BB42" s="23">
        <f>VALUE(0)</f>
        <v>0</v>
      </c>
      <c r="BC42" s="23">
        <f>VALUE(0)</f>
        <v>0</v>
      </c>
      <c r="BD42" s="23">
        <f>VALUE(0)</f>
        <v>0</v>
      </c>
      <c r="BE42" s="23">
        <f>VALUE(0)</f>
        <v>0</v>
      </c>
      <c r="BF42" s="23">
        <f>VALUE(0)</f>
        <v>0</v>
      </c>
      <c r="BG42" s="23">
        <f>VALUE(0)</f>
        <v>0</v>
      </c>
      <c r="BH42" s="23">
        <f>VALUE(0)</f>
        <v>0</v>
      </c>
      <c r="BI42" s="23">
        <f>VALUE(0)</f>
        <v>0</v>
      </c>
      <c r="BJ42" s="23">
        <f>VALUE(0)</f>
        <v>0</v>
      </c>
      <c r="BK42" s="12">
        <f>$AX$42*24</f>
        <v>0</v>
      </c>
      <c r="BL42" s="12">
        <f>$AY$42*24</f>
        <v>2.8</v>
      </c>
      <c r="BM42" s="12">
        <f>$BJ$42*24</f>
        <v>0</v>
      </c>
      <c r="BN42" s="12">
        <f>VALUE($I$42)/100</f>
        <v>1</v>
      </c>
      <c r="BO42" s="12">
        <v>0</v>
      </c>
      <c r="BP42" s="12">
        <v>0</v>
      </c>
      <c r="BQ42" s="12">
        <v>0</v>
      </c>
      <c r="BR42" s="12">
        <v>0</v>
      </c>
      <c r="BS42" s="12">
        <v>0</v>
      </c>
      <c r="BT42" s="12">
        <v>0</v>
      </c>
      <c r="BU42" s="12">
        <v>0</v>
      </c>
      <c r="BV42" s="12">
        <v>0</v>
      </c>
      <c r="BW42" s="12">
        <v>0</v>
      </c>
      <c r="BX42" s="12">
        <v>0</v>
      </c>
      <c r="BY42" s="12">
        <v>0</v>
      </c>
      <c r="BZ42" s="12">
        <v>0</v>
      </c>
      <c r="CA42" s="12">
        <v>0</v>
      </c>
    </row>
    <row r="43" spans="1:79" hidden="1" x14ac:dyDescent="0.2">
      <c r="A43" s="12" t="s">
        <v>102</v>
      </c>
      <c r="B43" s="12" t="s">
        <v>105</v>
      </c>
      <c r="C43" s="12" t="s">
        <v>105</v>
      </c>
      <c r="D43" s="22" t="s">
        <v>209</v>
      </c>
      <c r="E43" s="22" t="s">
        <v>161</v>
      </c>
      <c r="F43" s="22" t="s">
        <v>654</v>
      </c>
      <c r="G43" s="22" t="s">
        <v>655</v>
      </c>
      <c r="H43" s="22" t="s">
        <v>166</v>
      </c>
      <c r="I43" s="22" t="s">
        <v>151</v>
      </c>
      <c r="J43" s="22" t="s">
        <v>181</v>
      </c>
      <c r="K43" s="22" t="s">
        <v>66</v>
      </c>
      <c r="L43" s="54" t="s">
        <v>153</v>
      </c>
      <c r="M43" s="24" t="s">
        <v>156</v>
      </c>
      <c r="N43" s="24" t="s">
        <v>153</v>
      </c>
      <c r="O43" s="23" t="s">
        <v>153</v>
      </c>
      <c r="P43" s="23" t="s">
        <v>153</v>
      </c>
      <c r="Q43" s="23" t="s">
        <v>153</v>
      </c>
      <c r="R43" s="23" t="s">
        <v>153</v>
      </c>
      <c r="S43" s="23" t="s">
        <v>153</v>
      </c>
      <c r="T43" s="23" t="s">
        <v>153</v>
      </c>
      <c r="U43" s="24" t="s">
        <v>153</v>
      </c>
      <c r="V43" s="54" t="s">
        <v>153</v>
      </c>
      <c r="W43" s="23" t="s">
        <v>153</v>
      </c>
      <c r="X43" s="23" t="s">
        <v>153</v>
      </c>
      <c r="Y43" s="23" t="s">
        <v>153</v>
      </c>
      <c r="Z43" s="23" t="s">
        <v>153</v>
      </c>
      <c r="AA43" s="24" t="s">
        <v>156</v>
      </c>
      <c r="AB43" s="24" t="s">
        <v>153</v>
      </c>
      <c r="AC43" s="23" t="s">
        <v>153</v>
      </c>
      <c r="AD43" s="23" t="s">
        <v>153</v>
      </c>
      <c r="AE43" s="23" t="s">
        <v>153</v>
      </c>
      <c r="AF43" s="23" t="s">
        <v>153</v>
      </c>
      <c r="AG43" s="23" t="s">
        <v>153</v>
      </c>
      <c r="AH43" s="24" t="s">
        <v>156</v>
      </c>
      <c r="AI43" s="24" t="s">
        <v>153</v>
      </c>
      <c r="AJ43" s="23" t="s">
        <v>153</v>
      </c>
      <c r="AK43" s="23" t="s">
        <v>153</v>
      </c>
      <c r="AL43" s="23" t="s">
        <v>153</v>
      </c>
      <c r="AM43" s="23" t="s">
        <v>153</v>
      </c>
      <c r="AN43" s="23" t="s">
        <v>153</v>
      </c>
      <c r="AO43" s="23" t="s">
        <v>153</v>
      </c>
      <c r="AP43" s="23">
        <f>VALUE(0)</f>
        <v>0</v>
      </c>
      <c r="AQ43" s="23">
        <f>VALUE(0)</f>
        <v>0</v>
      </c>
      <c r="AR43" s="23">
        <f>VALUE(0)</f>
        <v>0</v>
      </c>
      <c r="AS43" s="23">
        <f>VALUE(0)</f>
        <v>0</v>
      </c>
      <c r="AT43" s="23">
        <f>VALUE(0)</f>
        <v>0</v>
      </c>
      <c r="AU43" s="23">
        <f>VALUE(0)</f>
        <v>0</v>
      </c>
      <c r="AV43" s="23">
        <f>VALUE(8.5)</f>
        <v>8.5</v>
      </c>
      <c r="AW43" s="23">
        <f>VALUE(0)</f>
        <v>0</v>
      </c>
      <c r="AX43" s="23" t="s">
        <v>236</v>
      </c>
      <c r="AY43" s="23">
        <f>VALUE(0)</f>
        <v>0</v>
      </c>
      <c r="AZ43" s="23">
        <f>VALUE(0)</f>
        <v>0</v>
      </c>
      <c r="BA43" s="23">
        <f>VALUE(0)</f>
        <v>0</v>
      </c>
      <c r="BB43" s="23">
        <f>VALUE(0)</f>
        <v>0</v>
      </c>
      <c r="BC43" s="23">
        <f>VALUE(0)</f>
        <v>0</v>
      </c>
      <c r="BD43" s="23">
        <f>VALUE(0)</f>
        <v>0</v>
      </c>
      <c r="BE43" s="23">
        <f>VALUE(0)</f>
        <v>0</v>
      </c>
      <c r="BF43" s="23">
        <f>VALUE(0)</f>
        <v>0</v>
      </c>
      <c r="BG43" s="23">
        <f>VALUE(0)</f>
        <v>0</v>
      </c>
      <c r="BH43" s="23">
        <f>VALUE(0)</f>
        <v>0</v>
      </c>
      <c r="BI43" s="23">
        <f>VALUE(0)</f>
        <v>0</v>
      </c>
      <c r="BJ43" s="23">
        <f>VALUE(0)</f>
        <v>0</v>
      </c>
      <c r="BK43" s="12">
        <f>$AX$43*24</f>
        <v>12.666666666666668</v>
      </c>
      <c r="BL43" s="12">
        <f>$AY$43*24</f>
        <v>0</v>
      </c>
      <c r="BM43" s="12">
        <f>$BJ$43*24</f>
        <v>0</v>
      </c>
      <c r="BN43" s="12">
        <f>VALUE($I$43)/100</f>
        <v>1</v>
      </c>
      <c r="BO43" s="12">
        <v>0</v>
      </c>
      <c r="BP43" s="12">
        <v>0</v>
      </c>
      <c r="BQ43" s="12">
        <v>0</v>
      </c>
      <c r="BR43" s="12">
        <v>0</v>
      </c>
      <c r="BS43" s="12">
        <v>0</v>
      </c>
      <c r="BT43" s="12">
        <v>0</v>
      </c>
      <c r="BU43" s="12">
        <v>0</v>
      </c>
      <c r="BV43" s="12">
        <v>0</v>
      </c>
      <c r="BW43" s="12">
        <v>0</v>
      </c>
      <c r="BX43" s="12">
        <v>0</v>
      </c>
      <c r="BY43" s="12">
        <v>0</v>
      </c>
      <c r="BZ43" s="12">
        <v>0</v>
      </c>
      <c r="CA43" s="12">
        <v>0</v>
      </c>
    </row>
    <row r="44" spans="1:79" ht="16.5" hidden="1" x14ac:dyDescent="0.2">
      <c r="A44" s="12" t="s">
        <v>102</v>
      </c>
      <c r="B44" s="12" t="s">
        <v>105</v>
      </c>
      <c r="C44" s="12" t="s">
        <v>105</v>
      </c>
      <c r="D44" s="22" t="s">
        <v>237</v>
      </c>
      <c r="E44" s="22" t="s">
        <v>173</v>
      </c>
      <c r="F44" s="22" t="s">
        <v>656</v>
      </c>
      <c r="G44" s="22" t="s">
        <v>657</v>
      </c>
      <c r="H44" s="22" t="s">
        <v>166</v>
      </c>
      <c r="I44" s="22" t="s">
        <v>151</v>
      </c>
      <c r="J44" s="22" t="s">
        <v>181</v>
      </c>
      <c r="K44" s="22" t="s">
        <v>66</v>
      </c>
      <c r="L44" s="54" t="s">
        <v>153</v>
      </c>
      <c r="M44" s="34" t="s">
        <v>229</v>
      </c>
      <c r="N44" s="24" t="s">
        <v>153</v>
      </c>
      <c r="O44" s="23" t="s">
        <v>231</v>
      </c>
      <c r="P44" s="23" t="s">
        <v>231</v>
      </c>
      <c r="Q44" s="23" t="s">
        <v>231</v>
      </c>
      <c r="R44" s="23" t="s">
        <v>231</v>
      </c>
      <c r="S44" s="23" t="s">
        <v>231</v>
      </c>
      <c r="T44" s="23" t="s">
        <v>231</v>
      </c>
      <c r="U44" s="24" t="s">
        <v>153</v>
      </c>
      <c r="V44" s="54" t="s">
        <v>153</v>
      </c>
      <c r="W44" s="26" t="s">
        <v>1181</v>
      </c>
      <c r="X44" s="26" t="s">
        <v>1181</v>
      </c>
      <c r="Y44" s="33" t="s">
        <v>201</v>
      </c>
      <c r="Z44" s="26" t="s">
        <v>1181</v>
      </c>
      <c r="AA44" s="24" t="s">
        <v>156</v>
      </c>
      <c r="AB44" s="24" t="s">
        <v>153</v>
      </c>
      <c r="AC44" s="26" t="s">
        <v>1181</v>
      </c>
      <c r="AD44" s="26" t="s">
        <v>1181</v>
      </c>
      <c r="AE44" s="26" t="s">
        <v>1181</v>
      </c>
      <c r="AF44" s="26" t="s">
        <v>1181</v>
      </c>
      <c r="AG44" s="26" t="s">
        <v>1181</v>
      </c>
      <c r="AH44" s="24" t="s">
        <v>156</v>
      </c>
      <c r="AI44" s="24" t="s">
        <v>153</v>
      </c>
      <c r="AJ44" s="28" t="s">
        <v>163</v>
      </c>
      <c r="AK44" s="28" t="s">
        <v>163</v>
      </c>
      <c r="AL44" s="28" t="s">
        <v>163</v>
      </c>
      <c r="AM44" s="28" t="s">
        <v>163</v>
      </c>
      <c r="AN44" s="28" t="s">
        <v>163</v>
      </c>
      <c r="AO44" s="28" t="s">
        <v>163</v>
      </c>
      <c r="AP44" s="23">
        <f>VALUE(4)</f>
        <v>4</v>
      </c>
      <c r="AQ44" s="23">
        <f>VALUE(0)</f>
        <v>0</v>
      </c>
      <c r="AR44" s="23">
        <f>VALUE(0)</f>
        <v>0</v>
      </c>
      <c r="AS44" s="23">
        <f>VALUE(0)</f>
        <v>0</v>
      </c>
      <c r="AT44" s="23">
        <f>VALUE(0)</f>
        <v>0</v>
      </c>
      <c r="AU44" s="23">
        <f>VALUE(6)</f>
        <v>6</v>
      </c>
      <c r="AV44" s="23">
        <f>VALUE(6.5)</f>
        <v>6.5</v>
      </c>
      <c r="AW44" s="23">
        <f>VALUE(0)</f>
        <v>0</v>
      </c>
      <c r="AX44" s="23" t="s">
        <v>1182</v>
      </c>
      <c r="AY44" s="23">
        <f>VALUE(0)</f>
        <v>0</v>
      </c>
      <c r="AZ44" s="23">
        <f>VALUE(0)</f>
        <v>0</v>
      </c>
      <c r="BA44" s="23">
        <f>VALUE(0)</f>
        <v>0</v>
      </c>
      <c r="BB44" s="23">
        <f>VALUE(1)</f>
        <v>1</v>
      </c>
      <c r="BC44" s="23">
        <f>VALUE(0)</f>
        <v>0</v>
      </c>
      <c r="BD44" s="23">
        <f>VALUE(0)</f>
        <v>0</v>
      </c>
      <c r="BE44" s="23">
        <f>VALUE(0)</f>
        <v>0</v>
      </c>
      <c r="BF44" s="23">
        <f>VALUE(0)</f>
        <v>0</v>
      </c>
      <c r="BG44" s="23">
        <f>VALUE(0)</f>
        <v>0</v>
      </c>
      <c r="BH44" s="23">
        <f>VALUE(0)</f>
        <v>0</v>
      </c>
      <c r="BI44" s="23">
        <f>VALUE(0)</f>
        <v>0</v>
      </c>
      <c r="BJ44" s="23">
        <f>VALUE(0)</f>
        <v>0</v>
      </c>
      <c r="BK44" s="12">
        <f>$AX$44*24</f>
        <v>78.11666666666666</v>
      </c>
      <c r="BL44" s="12">
        <f>$AY$44*24</f>
        <v>0</v>
      </c>
      <c r="BM44" s="12">
        <f>$BJ$44*24</f>
        <v>0</v>
      </c>
      <c r="BN44" s="12">
        <f>VALUE($I$44)/100</f>
        <v>1</v>
      </c>
      <c r="BO44" s="12">
        <v>0</v>
      </c>
      <c r="BP44" s="12">
        <v>0</v>
      </c>
      <c r="BQ44" s="12">
        <v>0</v>
      </c>
      <c r="BR44" s="12">
        <v>0</v>
      </c>
      <c r="BS44" s="12">
        <v>0</v>
      </c>
      <c r="BT44" s="12">
        <v>0</v>
      </c>
      <c r="BU44" s="12">
        <v>0</v>
      </c>
      <c r="BV44" s="12">
        <v>0</v>
      </c>
      <c r="BW44" s="12">
        <v>0</v>
      </c>
      <c r="BX44" s="12">
        <v>0</v>
      </c>
      <c r="BY44" s="12">
        <v>0</v>
      </c>
      <c r="BZ44" s="12">
        <v>0</v>
      </c>
      <c r="CA44" s="12">
        <v>0</v>
      </c>
    </row>
    <row r="45" spans="1:79" hidden="1" x14ac:dyDescent="0.2">
      <c r="A45" s="12" t="s">
        <v>102</v>
      </c>
      <c r="B45" s="12" t="s">
        <v>105</v>
      </c>
      <c r="C45" s="12" t="s">
        <v>105</v>
      </c>
      <c r="D45" s="22" t="s">
        <v>238</v>
      </c>
      <c r="E45" s="22" t="s">
        <v>159</v>
      </c>
      <c r="F45" s="22" t="s">
        <v>658</v>
      </c>
      <c r="G45" s="22" t="s">
        <v>659</v>
      </c>
      <c r="H45" s="22" t="s">
        <v>166</v>
      </c>
      <c r="I45" s="22" t="s">
        <v>151</v>
      </c>
      <c r="J45" s="22" t="s">
        <v>181</v>
      </c>
      <c r="K45" s="22" t="s">
        <v>66</v>
      </c>
      <c r="L45" s="54" t="s">
        <v>153</v>
      </c>
      <c r="M45" s="32" t="s">
        <v>188</v>
      </c>
      <c r="N45" s="24" t="s">
        <v>153</v>
      </c>
      <c r="O45" s="32" t="s">
        <v>188</v>
      </c>
      <c r="P45" s="32" t="s">
        <v>188</v>
      </c>
      <c r="Q45" s="32" t="s">
        <v>188</v>
      </c>
      <c r="R45" s="32" t="s">
        <v>188</v>
      </c>
      <c r="S45" s="32" t="s">
        <v>188</v>
      </c>
      <c r="T45" s="32" t="s">
        <v>188</v>
      </c>
      <c r="U45" s="24" t="s">
        <v>153</v>
      </c>
      <c r="V45" s="54" t="s">
        <v>153</v>
      </c>
      <c r="W45" s="32" t="s">
        <v>188</v>
      </c>
      <c r="X45" s="32" t="s">
        <v>188</v>
      </c>
      <c r="Y45" s="32" t="s">
        <v>188</v>
      </c>
      <c r="Z45" s="32" t="s">
        <v>188</v>
      </c>
      <c r="AA45" s="32" t="s">
        <v>188</v>
      </c>
      <c r="AB45" s="24" t="s">
        <v>153</v>
      </c>
      <c r="AC45" s="32" t="s">
        <v>188</v>
      </c>
      <c r="AD45" s="32" t="s">
        <v>188</v>
      </c>
      <c r="AE45" s="32" t="s">
        <v>188</v>
      </c>
      <c r="AF45" s="32" t="s">
        <v>188</v>
      </c>
      <c r="AG45" s="32" t="s">
        <v>188</v>
      </c>
      <c r="AH45" s="32" t="s">
        <v>188</v>
      </c>
      <c r="AI45" s="24" t="s">
        <v>153</v>
      </c>
      <c r="AJ45" s="32" t="s">
        <v>188</v>
      </c>
      <c r="AK45" s="32" t="s">
        <v>188</v>
      </c>
      <c r="AL45" s="32" t="s">
        <v>188</v>
      </c>
      <c r="AM45" s="32" t="s">
        <v>188</v>
      </c>
      <c r="AN45" s="32" t="s">
        <v>188</v>
      </c>
      <c r="AO45" s="32" t="s">
        <v>188</v>
      </c>
      <c r="AP45" s="23">
        <f>VALUE(0)</f>
        <v>0</v>
      </c>
      <c r="AQ45" s="23">
        <f>VALUE(0)</f>
        <v>0</v>
      </c>
      <c r="AR45" s="23">
        <f>VALUE(0)</f>
        <v>0</v>
      </c>
      <c r="AS45" s="23">
        <f>VALUE(0)</f>
        <v>0</v>
      </c>
      <c r="AT45" s="23">
        <f>VALUE(0)</f>
        <v>0</v>
      </c>
      <c r="AU45" s="23">
        <f>VALUE(0)</f>
        <v>0</v>
      </c>
      <c r="AV45" s="23">
        <f>VALUE(32)</f>
        <v>32</v>
      </c>
      <c r="AW45" s="23">
        <f>VALUE(3)</f>
        <v>3</v>
      </c>
      <c r="AX45" s="23" t="s">
        <v>239</v>
      </c>
      <c r="AY45" s="23">
        <f>VALUE(0)</f>
        <v>0</v>
      </c>
      <c r="AZ45" s="23">
        <f>VALUE(0)</f>
        <v>0</v>
      </c>
      <c r="BA45" s="23">
        <f>VALUE(0)</f>
        <v>0</v>
      </c>
      <c r="BB45" s="23">
        <f>VALUE(0)</f>
        <v>0</v>
      </c>
      <c r="BC45" s="23">
        <f>VALUE(0)</f>
        <v>0</v>
      </c>
      <c r="BD45" s="23">
        <f>VALUE(0)</f>
        <v>0</v>
      </c>
      <c r="BE45" s="23">
        <f>VALUE(0)</f>
        <v>0</v>
      </c>
      <c r="BF45" s="23">
        <f>VALUE(0)</f>
        <v>0</v>
      </c>
      <c r="BG45" s="23">
        <f>VALUE(0)</f>
        <v>0</v>
      </c>
      <c r="BH45" s="23">
        <f>VALUE(24)</f>
        <v>24</v>
      </c>
      <c r="BI45" s="23">
        <f>VALUE(0)</f>
        <v>0</v>
      </c>
      <c r="BJ45" s="23">
        <f>VALUE(0)</f>
        <v>0</v>
      </c>
      <c r="BK45" s="12">
        <f>$AX$45*24</f>
        <v>17.95</v>
      </c>
      <c r="BL45" s="12">
        <f>$AY$45*24</f>
        <v>0</v>
      </c>
      <c r="BM45" s="12">
        <f>$BJ$45*24</f>
        <v>0</v>
      </c>
      <c r="BN45" s="12">
        <f>VALUE($I$45)/100</f>
        <v>1</v>
      </c>
      <c r="BO45" s="12">
        <v>0</v>
      </c>
      <c r="BP45" s="12">
        <v>0</v>
      </c>
      <c r="BQ45" s="12">
        <v>0</v>
      </c>
      <c r="BR45" s="12">
        <v>0</v>
      </c>
      <c r="BS45" s="12">
        <v>0</v>
      </c>
      <c r="BT45" s="12">
        <v>0</v>
      </c>
      <c r="BU45" s="12">
        <v>0</v>
      </c>
      <c r="BV45" s="12">
        <v>0</v>
      </c>
      <c r="BW45" s="12">
        <v>0</v>
      </c>
      <c r="BX45" s="12">
        <v>0</v>
      </c>
      <c r="BY45" s="12">
        <v>0</v>
      </c>
      <c r="BZ45" s="12">
        <v>0</v>
      </c>
      <c r="CA45" s="12">
        <v>0</v>
      </c>
    </row>
    <row r="46" spans="1:79" x14ac:dyDescent="0.2">
      <c r="A46" s="12" t="s">
        <v>102</v>
      </c>
      <c r="B46" s="12" t="s">
        <v>105</v>
      </c>
      <c r="C46" s="12" t="s">
        <v>105</v>
      </c>
      <c r="D46" s="22" t="s">
        <v>240</v>
      </c>
      <c r="E46" s="22" t="s">
        <v>159</v>
      </c>
      <c r="F46" s="22" t="s">
        <v>660</v>
      </c>
      <c r="G46" s="22" t="s">
        <v>661</v>
      </c>
      <c r="H46" s="22" t="s">
        <v>166</v>
      </c>
      <c r="I46" s="22" t="s">
        <v>151</v>
      </c>
      <c r="J46" s="22" t="s">
        <v>181</v>
      </c>
      <c r="K46" s="22" t="s">
        <v>66</v>
      </c>
      <c r="L46" s="54" t="s">
        <v>153</v>
      </c>
      <c r="M46" s="23" t="s">
        <v>228</v>
      </c>
      <c r="N46" s="24" t="s">
        <v>153</v>
      </c>
      <c r="O46" s="23" t="s">
        <v>228</v>
      </c>
      <c r="P46" s="23" t="s">
        <v>228</v>
      </c>
      <c r="Q46" s="23" t="s">
        <v>228</v>
      </c>
      <c r="R46" s="23" t="s">
        <v>228</v>
      </c>
      <c r="S46" s="23" t="s">
        <v>228</v>
      </c>
      <c r="T46" s="24" t="s">
        <v>156</v>
      </c>
      <c r="U46" s="24" t="s">
        <v>153</v>
      </c>
      <c r="V46" s="54" t="s">
        <v>153</v>
      </c>
      <c r="W46" s="23" t="s">
        <v>216</v>
      </c>
      <c r="X46" s="23" t="s">
        <v>216</v>
      </c>
      <c r="Y46" s="23" t="s">
        <v>216</v>
      </c>
      <c r="Z46" s="23" t="s">
        <v>216</v>
      </c>
      <c r="AA46" s="24" t="s">
        <v>156</v>
      </c>
      <c r="AB46" s="24" t="s">
        <v>153</v>
      </c>
      <c r="AC46" s="23" t="s">
        <v>153</v>
      </c>
      <c r="AD46" s="23" t="s">
        <v>153</v>
      </c>
      <c r="AE46" s="23" t="s">
        <v>153</v>
      </c>
      <c r="AF46" s="23" t="s">
        <v>153</v>
      </c>
      <c r="AG46" s="23" t="s">
        <v>153</v>
      </c>
      <c r="AH46" s="23" t="s">
        <v>153</v>
      </c>
      <c r="AI46" s="24" t="s">
        <v>153</v>
      </c>
      <c r="AJ46" s="23" t="s">
        <v>153</v>
      </c>
      <c r="AK46" s="23" t="s">
        <v>153</v>
      </c>
      <c r="AL46" s="23" t="s">
        <v>153</v>
      </c>
      <c r="AM46" s="23" t="s">
        <v>153</v>
      </c>
      <c r="AN46" s="23" t="s">
        <v>153</v>
      </c>
      <c r="AO46" s="24" t="s">
        <v>156</v>
      </c>
      <c r="AP46" s="23">
        <f>VALUE(0)</f>
        <v>0</v>
      </c>
      <c r="AQ46" s="23">
        <f>VALUE(0)</f>
        <v>0</v>
      </c>
      <c r="AR46" s="23">
        <f>VALUE(0)</f>
        <v>0</v>
      </c>
      <c r="AS46" s="23">
        <f>VALUE(11)</f>
        <v>11</v>
      </c>
      <c r="AT46" s="23">
        <f>VALUE(0)</f>
        <v>0</v>
      </c>
      <c r="AU46" s="23">
        <f>VALUE(0)</f>
        <v>0</v>
      </c>
      <c r="AV46" s="23">
        <f>VALUE(9)</f>
        <v>9</v>
      </c>
      <c r="AW46" s="23">
        <f>VALUE(0)</f>
        <v>0</v>
      </c>
      <c r="AX46" s="23" t="s">
        <v>241</v>
      </c>
      <c r="AY46" s="23">
        <f>VALUE(0)</f>
        <v>0</v>
      </c>
      <c r="AZ46" s="23">
        <f>VALUE(0)</f>
        <v>0</v>
      </c>
      <c r="BA46" s="23">
        <f>VALUE(0)</f>
        <v>0</v>
      </c>
      <c r="BB46" s="23">
        <f>VALUE(0)</f>
        <v>0</v>
      </c>
      <c r="BC46" s="23">
        <f>VALUE(0)</f>
        <v>0</v>
      </c>
      <c r="BD46" s="23">
        <f>VALUE(0)</f>
        <v>0</v>
      </c>
      <c r="BE46" s="23">
        <f>VALUE(0)</f>
        <v>0</v>
      </c>
      <c r="BF46" s="23">
        <f>VALUE(0)</f>
        <v>0</v>
      </c>
      <c r="BG46" s="23">
        <f>VALUE(0)</f>
        <v>0</v>
      </c>
      <c r="BH46" s="23">
        <f>VALUE(0)</f>
        <v>0</v>
      </c>
      <c r="BI46" s="23">
        <f>VALUE(0)</f>
        <v>0</v>
      </c>
      <c r="BJ46" s="23">
        <f>VALUE(0)</f>
        <v>0</v>
      </c>
      <c r="BK46" s="12">
        <f>$AX$46*24</f>
        <v>24.133333333333333</v>
      </c>
      <c r="BL46" s="12">
        <f>$AY$46*24</f>
        <v>0</v>
      </c>
      <c r="BM46" s="12">
        <f>$BJ$46*24</f>
        <v>0</v>
      </c>
      <c r="BN46" s="12">
        <f>VALUE($I$46)/100</f>
        <v>1</v>
      </c>
      <c r="BO46" s="12">
        <v>0</v>
      </c>
      <c r="BP46" s="12">
        <v>0</v>
      </c>
      <c r="BQ46" s="12">
        <v>0</v>
      </c>
      <c r="BR46" s="12">
        <v>0</v>
      </c>
      <c r="BS46" s="12">
        <v>0</v>
      </c>
      <c r="BT46" s="12">
        <v>0</v>
      </c>
      <c r="BU46" s="12">
        <v>0</v>
      </c>
      <c r="BV46" s="12">
        <v>0</v>
      </c>
      <c r="BW46" s="12">
        <v>0</v>
      </c>
      <c r="BX46" s="12">
        <v>0</v>
      </c>
      <c r="BY46" s="12">
        <v>0</v>
      </c>
      <c r="BZ46" s="12">
        <v>0</v>
      </c>
      <c r="CA46" s="12">
        <v>0</v>
      </c>
    </row>
    <row r="47" spans="1:79" ht="15" hidden="1" x14ac:dyDescent="0.25">
      <c r="A47" s="12" t="s">
        <v>102</v>
      </c>
      <c r="B47" s="12" t="s">
        <v>105</v>
      </c>
      <c r="C47" s="12" t="s">
        <v>105</v>
      </c>
      <c r="D47" s="31" t="s">
        <v>1183</v>
      </c>
      <c r="E47" s="31" t="s">
        <v>153</v>
      </c>
      <c r="F47" s="31" t="s">
        <v>175</v>
      </c>
      <c r="G47" s="31" t="s">
        <v>153</v>
      </c>
      <c r="H47" s="31" t="s">
        <v>153</v>
      </c>
      <c r="I47" s="31" t="s">
        <v>153</v>
      </c>
      <c r="J47" s="31" t="s">
        <v>153</v>
      </c>
      <c r="K47" s="31" t="s">
        <v>153</v>
      </c>
      <c r="L47" s="31">
        <f>VALUE(0)</f>
        <v>0</v>
      </c>
      <c r="M47" s="31">
        <f>VALUE(3)</f>
        <v>3</v>
      </c>
      <c r="N47" s="31">
        <f>VALUE(0)</f>
        <v>0</v>
      </c>
      <c r="O47" s="31">
        <f>VALUE(15)</f>
        <v>15</v>
      </c>
      <c r="P47" s="31">
        <f>VALUE(14)</f>
        <v>14</v>
      </c>
      <c r="Q47" s="31">
        <f>VALUE(16)</f>
        <v>16</v>
      </c>
      <c r="R47" s="31">
        <f>VALUE(17)</f>
        <v>17</v>
      </c>
      <c r="S47" s="31">
        <f>VALUE(15)</f>
        <v>15</v>
      </c>
      <c r="T47" s="31">
        <f>VALUE(7)</f>
        <v>7</v>
      </c>
      <c r="U47" s="31">
        <f>VALUE(0)</f>
        <v>0</v>
      </c>
      <c r="V47" s="31">
        <f>VALUE(0)</f>
        <v>0</v>
      </c>
      <c r="W47" s="31">
        <f>VALUE(18)</f>
        <v>18</v>
      </c>
      <c r="X47" s="31">
        <f>VALUE(17)</f>
        <v>17</v>
      </c>
      <c r="Y47" s="31">
        <f>VALUE(15)</f>
        <v>15</v>
      </c>
      <c r="Z47" s="31">
        <f>VALUE(16)</f>
        <v>16</v>
      </c>
      <c r="AA47" s="31">
        <f>VALUE(5)</f>
        <v>5</v>
      </c>
      <c r="AB47" s="31">
        <f>VALUE(0)</f>
        <v>0</v>
      </c>
      <c r="AC47" s="31">
        <f>VALUE(18)</f>
        <v>18</v>
      </c>
      <c r="AD47" s="31">
        <f>VALUE(17)</f>
        <v>17</v>
      </c>
      <c r="AE47" s="31">
        <f>VALUE(17)</f>
        <v>17</v>
      </c>
      <c r="AF47" s="31">
        <f>VALUE(18)</f>
        <v>18</v>
      </c>
      <c r="AG47" s="31">
        <f>VALUE(15)</f>
        <v>15</v>
      </c>
      <c r="AH47" s="31">
        <f>VALUE(5)</f>
        <v>5</v>
      </c>
      <c r="AI47" s="31">
        <f>VALUE(0)</f>
        <v>0</v>
      </c>
      <c r="AJ47" s="31">
        <f>VALUE(16)</f>
        <v>16</v>
      </c>
      <c r="AK47" s="31">
        <f>VALUE(16)</f>
        <v>16</v>
      </c>
      <c r="AL47" s="31">
        <f>VALUE(14)</f>
        <v>14</v>
      </c>
      <c r="AM47" s="31">
        <f>VALUE(17)</f>
        <v>17</v>
      </c>
      <c r="AN47" s="31">
        <f>VALUE(16)</f>
        <v>16</v>
      </c>
      <c r="AO47" s="31">
        <f>VALUE(6)</f>
        <v>6</v>
      </c>
      <c r="AP47" s="31">
        <v>0</v>
      </c>
      <c r="AQ47" s="31">
        <v>0</v>
      </c>
      <c r="AR47" s="31">
        <v>0</v>
      </c>
      <c r="AS47" s="31">
        <v>0</v>
      </c>
      <c r="AT47" s="31">
        <v>0</v>
      </c>
      <c r="AU47" s="31">
        <v>0</v>
      </c>
      <c r="AV47" s="31">
        <v>0</v>
      </c>
      <c r="AW47" s="31">
        <v>0</v>
      </c>
      <c r="AX47" s="31">
        <v>0</v>
      </c>
      <c r="AY47" s="31">
        <v>0</v>
      </c>
      <c r="AZ47" s="31">
        <v>0</v>
      </c>
      <c r="BA47" s="31">
        <v>0</v>
      </c>
      <c r="BB47" s="31">
        <v>0</v>
      </c>
      <c r="BC47" s="31">
        <v>0</v>
      </c>
      <c r="BD47" s="31">
        <v>0</v>
      </c>
      <c r="BE47" s="31">
        <v>0</v>
      </c>
      <c r="BF47" s="31">
        <v>0</v>
      </c>
      <c r="BG47" s="31">
        <v>0</v>
      </c>
      <c r="BH47" s="31">
        <v>0</v>
      </c>
      <c r="BI47" s="31">
        <v>0</v>
      </c>
      <c r="BJ47" s="31">
        <v>0</v>
      </c>
      <c r="BK47" s="12">
        <v>0</v>
      </c>
      <c r="BL47" s="12">
        <v>0</v>
      </c>
      <c r="BM47" s="12">
        <v>0</v>
      </c>
      <c r="BN47" s="12"/>
      <c r="BO47" s="12">
        <v>0</v>
      </c>
      <c r="BP47" s="12">
        <v>0</v>
      </c>
      <c r="BQ47" s="12">
        <v>0</v>
      </c>
      <c r="BR47" s="12">
        <v>0</v>
      </c>
      <c r="BS47" s="12">
        <v>0</v>
      </c>
      <c r="BT47" s="12">
        <v>0</v>
      </c>
      <c r="BU47" s="12">
        <v>0</v>
      </c>
      <c r="BV47" s="12">
        <v>0</v>
      </c>
      <c r="BW47" s="12">
        <v>0</v>
      </c>
      <c r="BX47" s="12">
        <v>0</v>
      </c>
      <c r="BY47" s="12">
        <v>0</v>
      </c>
      <c r="BZ47" s="12">
        <v>0</v>
      </c>
      <c r="CA47" s="12">
        <v>0</v>
      </c>
    </row>
    <row r="48" spans="1:79" hidden="1" x14ac:dyDescent="0.2">
      <c r="A48" s="12" t="s">
        <v>102</v>
      </c>
      <c r="B48" s="12" t="s">
        <v>106</v>
      </c>
      <c r="C48" s="12" t="s">
        <v>106</v>
      </c>
      <c r="D48" s="22" t="s">
        <v>243</v>
      </c>
      <c r="E48" s="22" t="s">
        <v>173</v>
      </c>
      <c r="F48" s="22" t="s">
        <v>662</v>
      </c>
      <c r="G48" s="22" t="s">
        <v>663</v>
      </c>
      <c r="H48" s="22" t="s">
        <v>150</v>
      </c>
      <c r="I48" s="22" t="s">
        <v>151</v>
      </c>
      <c r="J48" s="22" t="s">
        <v>162</v>
      </c>
      <c r="K48" s="22" t="s">
        <v>67</v>
      </c>
      <c r="L48" s="54" t="s">
        <v>153</v>
      </c>
      <c r="M48" s="24" t="s">
        <v>153</v>
      </c>
      <c r="N48" s="24" t="s">
        <v>153</v>
      </c>
      <c r="O48" s="23" t="s">
        <v>153</v>
      </c>
      <c r="P48" s="23" t="s">
        <v>153</v>
      </c>
      <c r="Q48" s="23" t="s">
        <v>153</v>
      </c>
      <c r="R48" s="23" t="s">
        <v>153</v>
      </c>
      <c r="S48" s="23" t="s">
        <v>153</v>
      </c>
      <c r="T48" s="24" t="s">
        <v>153</v>
      </c>
      <c r="U48" s="24" t="s">
        <v>153</v>
      </c>
      <c r="V48" s="54" t="s">
        <v>153</v>
      </c>
      <c r="W48" s="23" t="s">
        <v>153</v>
      </c>
      <c r="X48" s="23" t="s">
        <v>153</v>
      </c>
      <c r="Y48" s="23" t="s">
        <v>153</v>
      </c>
      <c r="Z48" s="23" t="s">
        <v>153</v>
      </c>
      <c r="AA48" s="24" t="s">
        <v>153</v>
      </c>
      <c r="AB48" s="24" t="s">
        <v>153</v>
      </c>
      <c r="AC48" s="23" t="s">
        <v>153</v>
      </c>
      <c r="AD48" s="23" t="s">
        <v>153</v>
      </c>
      <c r="AE48" s="23" t="s">
        <v>153</v>
      </c>
      <c r="AF48" s="23" t="s">
        <v>153</v>
      </c>
      <c r="AG48" s="23" t="s">
        <v>153</v>
      </c>
      <c r="AH48" s="24" t="s">
        <v>153</v>
      </c>
      <c r="AI48" s="24" t="s">
        <v>153</v>
      </c>
      <c r="AJ48" s="23" t="s">
        <v>153</v>
      </c>
      <c r="AK48" s="23" t="s">
        <v>153</v>
      </c>
      <c r="AL48" s="23" t="s">
        <v>153</v>
      </c>
      <c r="AM48" s="23" t="s">
        <v>153</v>
      </c>
      <c r="AN48" s="23" t="s">
        <v>153</v>
      </c>
      <c r="AO48" s="24" t="s">
        <v>153</v>
      </c>
      <c r="AP48" s="23">
        <f>VALUE(0)</f>
        <v>0</v>
      </c>
      <c r="AQ48" s="23">
        <f>VALUE(0)</f>
        <v>0</v>
      </c>
      <c r="AR48" s="23">
        <f>VALUE(0)</f>
        <v>0</v>
      </c>
      <c r="AS48" s="23">
        <f>VALUE(0)</f>
        <v>0</v>
      </c>
      <c r="AT48" s="23">
        <f>VALUE(0)</f>
        <v>0</v>
      </c>
      <c r="AU48" s="23">
        <f>VALUE(0)</f>
        <v>0</v>
      </c>
      <c r="AV48" s="23">
        <f>VALUE(1)</f>
        <v>1</v>
      </c>
      <c r="AW48" s="23">
        <f>VALUE(0)</f>
        <v>0</v>
      </c>
      <c r="AX48" s="23" t="s">
        <v>158</v>
      </c>
      <c r="AY48" s="23" t="s">
        <v>244</v>
      </c>
      <c r="AZ48" s="23">
        <f>VALUE(0)</f>
        <v>0</v>
      </c>
      <c r="BA48" s="23">
        <f>VALUE(0)</f>
        <v>0</v>
      </c>
      <c r="BB48" s="23">
        <f>VALUE(0)</f>
        <v>0</v>
      </c>
      <c r="BC48" s="23">
        <f>VALUE(0)</f>
        <v>0</v>
      </c>
      <c r="BD48" s="23">
        <f>VALUE(0)</f>
        <v>0</v>
      </c>
      <c r="BE48" s="23">
        <f>VALUE(0)</f>
        <v>0</v>
      </c>
      <c r="BF48" s="23">
        <f>VALUE(0)</f>
        <v>0</v>
      </c>
      <c r="BG48" s="23">
        <f>VALUE(0)</f>
        <v>0</v>
      </c>
      <c r="BH48" s="23">
        <f>VALUE(0)</f>
        <v>0</v>
      </c>
      <c r="BI48" s="23">
        <f>VALUE(0)</f>
        <v>0</v>
      </c>
      <c r="BJ48" s="23">
        <f>VALUE(0)</f>
        <v>0</v>
      </c>
      <c r="BK48" s="12">
        <f>$AX$48*24</f>
        <v>11.666666666666666</v>
      </c>
      <c r="BL48" s="12">
        <f>$AY$48*24</f>
        <v>0.23333333333333334</v>
      </c>
      <c r="BM48" s="12">
        <f>$BJ$48*24</f>
        <v>0</v>
      </c>
      <c r="BN48" s="12">
        <f>VALUE($I$48)/100</f>
        <v>1</v>
      </c>
      <c r="BO48" s="12">
        <v>0</v>
      </c>
      <c r="BP48" s="12">
        <v>0</v>
      </c>
      <c r="BQ48" s="12">
        <v>0</v>
      </c>
      <c r="BR48" s="12">
        <v>0</v>
      </c>
      <c r="BS48" s="12">
        <v>0</v>
      </c>
      <c r="BT48" s="12">
        <v>0</v>
      </c>
      <c r="BU48" s="12">
        <v>0</v>
      </c>
      <c r="BV48" s="12">
        <v>0</v>
      </c>
      <c r="BW48" s="12">
        <v>0</v>
      </c>
      <c r="BX48" s="12">
        <v>0</v>
      </c>
      <c r="BY48" s="12">
        <v>0</v>
      </c>
      <c r="BZ48" s="12">
        <v>0</v>
      </c>
      <c r="CA48" s="12">
        <v>0</v>
      </c>
    </row>
    <row r="49" spans="1:79" hidden="1" x14ac:dyDescent="0.2">
      <c r="A49" s="12" t="s">
        <v>102</v>
      </c>
      <c r="B49" s="12" t="s">
        <v>106</v>
      </c>
      <c r="C49" s="12" t="s">
        <v>106</v>
      </c>
      <c r="D49" s="22" t="s">
        <v>243</v>
      </c>
      <c r="E49" s="22" t="s">
        <v>173</v>
      </c>
      <c r="F49" s="22" t="s">
        <v>1184</v>
      </c>
      <c r="G49" s="22" t="s">
        <v>664</v>
      </c>
      <c r="H49" s="22" t="s">
        <v>166</v>
      </c>
      <c r="I49" s="22" t="s">
        <v>151</v>
      </c>
      <c r="J49" s="22" t="s">
        <v>162</v>
      </c>
      <c r="K49" s="22" t="s">
        <v>67</v>
      </c>
      <c r="L49" s="54" t="s">
        <v>153</v>
      </c>
      <c r="M49" s="24" t="s">
        <v>153</v>
      </c>
      <c r="N49" s="24" t="s">
        <v>153</v>
      </c>
      <c r="O49" s="23" t="s">
        <v>153</v>
      </c>
      <c r="P49" s="23" t="s">
        <v>153</v>
      </c>
      <c r="Q49" s="23" t="s">
        <v>153</v>
      </c>
      <c r="R49" s="23" t="s">
        <v>153</v>
      </c>
      <c r="S49" s="23" t="s">
        <v>153</v>
      </c>
      <c r="T49" s="24" t="s">
        <v>153</v>
      </c>
      <c r="U49" s="24" t="s">
        <v>153</v>
      </c>
      <c r="V49" s="54" t="s">
        <v>153</v>
      </c>
      <c r="W49" s="23" t="s">
        <v>153</v>
      </c>
      <c r="X49" s="23" t="s">
        <v>153</v>
      </c>
      <c r="Y49" s="23" t="s">
        <v>153</v>
      </c>
      <c r="Z49" s="23" t="s">
        <v>153</v>
      </c>
      <c r="AA49" s="24" t="s">
        <v>153</v>
      </c>
      <c r="AB49" s="24" t="s">
        <v>153</v>
      </c>
      <c r="AC49" s="23" t="s">
        <v>153</v>
      </c>
      <c r="AD49" s="23" t="s">
        <v>153</v>
      </c>
      <c r="AE49" s="23" t="s">
        <v>153</v>
      </c>
      <c r="AF49" s="23" t="s">
        <v>153</v>
      </c>
      <c r="AG49" s="23" t="s">
        <v>153</v>
      </c>
      <c r="AH49" s="24" t="s">
        <v>153</v>
      </c>
      <c r="AI49" s="24" t="s">
        <v>153</v>
      </c>
      <c r="AJ49" s="23" t="s">
        <v>153</v>
      </c>
      <c r="AK49" s="23" t="s">
        <v>153</v>
      </c>
      <c r="AL49" s="23" t="s">
        <v>153</v>
      </c>
      <c r="AM49" s="23" t="s">
        <v>153</v>
      </c>
      <c r="AN49" s="23" t="s">
        <v>153</v>
      </c>
      <c r="AO49" s="24" t="s">
        <v>153</v>
      </c>
      <c r="AP49" s="23">
        <f>VALUE(1)</f>
        <v>1</v>
      </c>
      <c r="AQ49" s="23">
        <f>VALUE(0)</f>
        <v>0</v>
      </c>
      <c r="AR49" s="23">
        <f>VALUE(0)</f>
        <v>0</v>
      </c>
      <c r="AS49" s="23">
        <f>VALUE(0)</f>
        <v>0</v>
      </c>
      <c r="AT49" s="23">
        <f>VALUE(0)</f>
        <v>0</v>
      </c>
      <c r="AU49" s="23">
        <f>VALUE(0)</f>
        <v>0</v>
      </c>
      <c r="AV49" s="23">
        <f>VALUE(8.5)</f>
        <v>8.5</v>
      </c>
      <c r="AW49" s="23">
        <f>VALUE(0)</f>
        <v>0</v>
      </c>
      <c r="AX49" s="23" t="s">
        <v>245</v>
      </c>
      <c r="AY49" s="23">
        <f>VALUE(0)</f>
        <v>0</v>
      </c>
      <c r="AZ49" s="23">
        <f>VALUE(0)</f>
        <v>0</v>
      </c>
      <c r="BA49" s="23">
        <f>VALUE(0)</f>
        <v>0</v>
      </c>
      <c r="BB49" s="23">
        <f>VALUE(0)</f>
        <v>0</v>
      </c>
      <c r="BC49" s="23">
        <f>VALUE(0)</f>
        <v>0</v>
      </c>
      <c r="BD49" s="23">
        <f>VALUE(0)</f>
        <v>0</v>
      </c>
      <c r="BE49" s="23">
        <f>VALUE(0)</f>
        <v>0</v>
      </c>
      <c r="BF49" s="23">
        <f>VALUE(0)</f>
        <v>0</v>
      </c>
      <c r="BG49" s="23">
        <f>VALUE(0)</f>
        <v>0</v>
      </c>
      <c r="BH49" s="23">
        <f>VALUE(0)</f>
        <v>0</v>
      </c>
      <c r="BI49" s="23">
        <f>VALUE(0)</f>
        <v>0</v>
      </c>
      <c r="BJ49" s="23">
        <f>VALUE(0)</f>
        <v>0</v>
      </c>
      <c r="BK49" s="12">
        <f>$AX$49*24</f>
        <v>92.38333333333334</v>
      </c>
      <c r="BL49" s="12">
        <f>$AY$49*24</f>
        <v>0</v>
      </c>
      <c r="BM49" s="12">
        <f>$BJ$49*24</f>
        <v>0</v>
      </c>
      <c r="BN49" s="12">
        <f>VALUE($I$49)/100</f>
        <v>1</v>
      </c>
      <c r="BO49" s="12">
        <v>0</v>
      </c>
      <c r="BP49" s="12">
        <v>0</v>
      </c>
      <c r="BQ49" s="12">
        <v>0</v>
      </c>
      <c r="BR49" s="12">
        <v>0</v>
      </c>
      <c r="BS49" s="12">
        <v>0</v>
      </c>
      <c r="BT49" s="12">
        <v>0</v>
      </c>
      <c r="BU49" s="12">
        <v>0</v>
      </c>
      <c r="BV49" s="12">
        <v>0</v>
      </c>
      <c r="BW49" s="12">
        <v>0</v>
      </c>
      <c r="BX49" s="12">
        <v>0</v>
      </c>
      <c r="BY49" s="12">
        <v>0</v>
      </c>
      <c r="BZ49" s="12">
        <v>0</v>
      </c>
      <c r="CA49" s="12">
        <v>0</v>
      </c>
    </row>
    <row r="50" spans="1:79" ht="15" hidden="1" x14ac:dyDescent="0.25">
      <c r="A50" s="12" t="s">
        <v>102</v>
      </c>
      <c r="B50" s="12" t="s">
        <v>106</v>
      </c>
      <c r="C50" s="12" t="s">
        <v>106</v>
      </c>
      <c r="D50" s="31" t="s">
        <v>246</v>
      </c>
      <c r="E50" s="31" t="s">
        <v>153</v>
      </c>
      <c r="F50" s="31" t="s">
        <v>175</v>
      </c>
      <c r="G50" s="31" t="s">
        <v>153</v>
      </c>
      <c r="H50" s="31" t="s">
        <v>153</v>
      </c>
      <c r="I50" s="31" t="s">
        <v>153</v>
      </c>
      <c r="J50" s="31" t="s">
        <v>153</v>
      </c>
      <c r="K50" s="31" t="s">
        <v>153</v>
      </c>
      <c r="L50" s="31">
        <f>VALUE(0)</f>
        <v>0</v>
      </c>
      <c r="M50" s="31">
        <f>VALUE(0)</f>
        <v>0</v>
      </c>
      <c r="N50" s="31">
        <f>VALUE(0)</f>
        <v>0</v>
      </c>
      <c r="O50" s="31">
        <f>VALUE(2)</f>
        <v>2</v>
      </c>
      <c r="P50" s="31">
        <f>VALUE(2)</f>
        <v>2</v>
      </c>
      <c r="Q50" s="31">
        <f>VALUE(2)</f>
        <v>2</v>
      </c>
      <c r="R50" s="31">
        <f>VALUE(2)</f>
        <v>2</v>
      </c>
      <c r="S50" s="31">
        <f>VALUE(2)</f>
        <v>2</v>
      </c>
      <c r="T50" s="31">
        <f>VALUE(0)</f>
        <v>0</v>
      </c>
      <c r="U50" s="31">
        <f>VALUE(0)</f>
        <v>0</v>
      </c>
      <c r="V50" s="31">
        <f>VALUE(0)</f>
        <v>0</v>
      </c>
      <c r="W50" s="31">
        <f>VALUE(2)</f>
        <v>2</v>
      </c>
      <c r="X50" s="31">
        <f>VALUE(2)</f>
        <v>2</v>
      </c>
      <c r="Y50" s="31">
        <f>VALUE(2)</f>
        <v>2</v>
      </c>
      <c r="Z50" s="31">
        <f>VALUE(2)</f>
        <v>2</v>
      </c>
      <c r="AA50" s="31">
        <f>VALUE(0)</f>
        <v>0</v>
      </c>
      <c r="AB50" s="31">
        <f>VALUE(0)</f>
        <v>0</v>
      </c>
      <c r="AC50" s="31">
        <f>VALUE(2)</f>
        <v>2</v>
      </c>
      <c r="AD50" s="31">
        <f>VALUE(2)</f>
        <v>2</v>
      </c>
      <c r="AE50" s="31">
        <f>VALUE(2)</f>
        <v>2</v>
      </c>
      <c r="AF50" s="31">
        <f>VALUE(2)</f>
        <v>2</v>
      </c>
      <c r="AG50" s="31">
        <f>VALUE(2)</f>
        <v>2</v>
      </c>
      <c r="AH50" s="31">
        <f>VALUE(0)</f>
        <v>0</v>
      </c>
      <c r="AI50" s="31">
        <f>VALUE(0)</f>
        <v>0</v>
      </c>
      <c r="AJ50" s="31">
        <f>VALUE(2)</f>
        <v>2</v>
      </c>
      <c r="AK50" s="31">
        <f>VALUE(2)</f>
        <v>2</v>
      </c>
      <c r="AL50" s="31">
        <f>VALUE(2)</f>
        <v>2</v>
      </c>
      <c r="AM50" s="31">
        <f>VALUE(2)</f>
        <v>2</v>
      </c>
      <c r="AN50" s="31">
        <f>VALUE(2)</f>
        <v>2</v>
      </c>
      <c r="AO50" s="31">
        <f>VALUE(0)</f>
        <v>0</v>
      </c>
      <c r="AP50" s="31">
        <v>0</v>
      </c>
      <c r="AQ50" s="31">
        <v>0</v>
      </c>
      <c r="AR50" s="31">
        <v>0</v>
      </c>
      <c r="AS50" s="31">
        <v>0</v>
      </c>
      <c r="AT50" s="31">
        <v>0</v>
      </c>
      <c r="AU50" s="31">
        <v>0</v>
      </c>
      <c r="AV50" s="31">
        <v>0</v>
      </c>
      <c r="AW50" s="31">
        <v>0</v>
      </c>
      <c r="AX50" s="31">
        <v>0</v>
      </c>
      <c r="AY50" s="31">
        <v>0</v>
      </c>
      <c r="AZ50" s="31">
        <v>0</v>
      </c>
      <c r="BA50" s="31">
        <v>0</v>
      </c>
      <c r="BB50" s="31">
        <v>0</v>
      </c>
      <c r="BC50" s="31">
        <v>0</v>
      </c>
      <c r="BD50" s="31">
        <v>0</v>
      </c>
      <c r="BE50" s="31">
        <v>0</v>
      </c>
      <c r="BF50" s="31">
        <v>0</v>
      </c>
      <c r="BG50" s="31">
        <v>0</v>
      </c>
      <c r="BH50" s="31">
        <v>0</v>
      </c>
      <c r="BI50" s="31">
        <v>0</v>
      </c>
      <c r="BJ50" s="31">
        <v>0</v>
      </c>
      <c r="BK50" s="12">
        <v>0</v>
      </c>
      <c r="BL50" s="12">
        <v>0</v>
      </c>
      <c r="BM50" s="12">
        <v>0</v>
      </c>
      <c r="BN50" s="12"/>
      <c r="BO50" s="12">
        <v>0</v>
      </c>
      <c r="BP50" s="12">
        <v>0</v>
      </c>
      <c r="BQ50" s="12">
        <v>0</v>
      </c>
      <c r="BR50" s="12">
        <v>0</v>
      </c>
      <c r="BS50" s="12">
        <v>0</v>
      </c>
      <c r="BT50" s="12">
        <v>0</v>
      </c>
      <c r="BU50" s="12">
        <v>0</v>
      </c>
      <c r="BV50" s="12">
        <v>0</v>
      </c>
      <c r="BW50" s="12">
        <v>0</v>
      </c>
      <c r="BX50" s="12">
        <v>0</v>
      </c>
      <c r="BY50" s="12">
        <v>0</v>
      </c>
      <c r="BZ50" s="12">
        <v>0</v>
      </c>
      <c r="CA50" s="12">
        <v>0</v>
      </c>
    </row>
    <row r="51" spans="1:79" hidden="1" x14ac:dyDescent="0.2">
      <c r="A51" s="12" t="s">
        <v>102</v>
      </c>
      <c r="B51" s="12" t="s">
        <v>107</v>
      </c>
      <c r="C51" s="12" t="s">
        <v>107</v>
      </c>
      <c r="D51" s="22" t="s">
        <v>247</v>
      </c>
      <c r="E51" s="22" t="s">
        <v>149</v>
      </c>
      <c r="F51" s="22" t="s">
        <v>665</v>
      </c>
      <c r="G51" s="22" t="s">
        <v>666</v>
      </c>
      <c r="H51" s="22" t="s">
        <v>166</v>
      </c>
      <c r="I51" s="22" t="s">
        <v>151</v>
      </c>
      <c r="J51" s="22" t="s">
        <v>152</v>
      </c>
      <c r="K51" s="22" t="s">
        <v>68</v>
      </c>
      <c r="L51" s="54" t="s">
        <v>153</v>
      </c>
      <c r="M51" s="24" t="s">
        <v>156</v>
      </c>
      <c r="N51" s="24" t="s">
        <v>153</v>
      </c>
      <c r="O51" s="24" t="s">
        <v>156</v>
      </c>
      <c r="P51" s="23" t="s">
        <v>153</v>
      </c>
      <c r="Q51" s="23" t="s">
        <v>153</v>
      </c>
      <c r="R51" s="23" t="s">
        <v>153</v>
      </c>
      <c r="S51" s="23" t="s">
        <v>153</v>
      </c>
      <c r="T51" s="23" t="s">
        <v>153</v>
      </c>
      <c r="U51" s="24" t="s">
        <v>153</v>
      </c>
      <c r="V51" s="54" t="s">
        <v>153</v>
      </c>
      <c r="W51" s="28" t="s">
        <v>338</v>
      </c>
      <c r="X51" s="28" t="s">
        <v>338</v>
      </c>
      <c r="Y51" s="23" t="s">
        <v>153</v>
      </c>
      <c r="Z51" s="23" t="s">
        <v>153</v>
      </c>
      <c r="AA51" s="24" t="s">
        <v>156</v>
      </c>
      <c r="AB51" s="24" t="s">
        <v>153</v>
      </c>
      <c r="AC51" s="24" t="s">
        <v>156</v>
      </c>
      <c r="AD51" s="23" t="s">
        <v>153</v>
      </c>
      <c r="AE51" s="23" t="s">
        <v>153</v>
      </c>
      <c r="AF51" s="23" t="s">
        <v>153</v>
      </c>
      <c r="AG51" s="23" t="s">
        <v>153</v>
      </c>
      <c r="AH51" s="23" t="s">
        <v>153</v>
      </c>
      <c r="AI51" s="24" t="s">
        <v>153</v>
      </c>
      <c r="AJ51" s="23" t="s">
        <v>153</v>
      </c>
      <c r="AK51" s="23" t="s">
        <v>153</v>
      </c>
      <c r="AL51" s="23" t="s">
        <v>153</v>
      </c>
      <c r="AM51" s="23" t="s">
        <v>153</v>
      </c>
      <c r="AN51" s="23" t="s">
        <v>153</v>
      </c>
      <c r="AO51" s="24" t="s">
        <v>156</v>
      </c>
      <c r="AP51" s="23">
        <f>VALUE(0)</f>
        <v>0</v>
      </c>
      <c r="AQ51" s="23">
        <f>VALUE(0)</f>
        <v>0</v>
      </c>
      <c r="AR51" s="23">
        <f>VALUE(0)</f>
        <v>0</v>
      </c>
      <c r="AS51" s="23">
        <f>VALUE(0)</f>
        <v>0</v>
      </c>
      <c r="AT51" s="23">
        <f>VALUE(2)</f>
        <v>2</v>
      </c>
      <c r="AU51" s="23">
        <f>VALUE(0)</f>
        <v>0</v>
      </c>
      <c r="AV51" s="23">
        <f>VALUE(4)</f>
        <v>4</v>
      </c>
      <c r="AW51" s="23">
        <f>VALUE(0)</f>
        <v>0</v>
      </c>
      <c r="AX51" s="23" t="s">
        <v>248</v>
      </c>
      <c r="AY51" s="23">
        <f>VALUE(0)</f>
        <v>0</v>
      </c>
      <c r="AZ51" s="23">
        <f>VALUE(0)</f>
        <v>0</v>
      </c>
      <c r="BA51" s="23">
        <f>VALUE(0)</f>
        <v>0</v>
      </c>
      <c r="BB51" s="23">
        <f>VALUE(0)</f>
        <v>0</v>
      </c>
      <c r="BC51" s="23">
        <f>VALUE(0)</f>
        <v>0</v>
      </c>
      <c r="BD51" s="23">
        <f>VALUE(0)</f>
        <v>0</v>
      </c>
      <c r="BE51" s="23">
        <f>VALUE(0)</f>
        <v>0</v>
      </c>
      <c r="BF51" s="23">
        <f>VALUE(0)</f>
        <v>0</v>
      </c>
      <c r="BG51" s="23">
        <f>VALUE(0)</f>
        <v>0</v>
      </c>
      <c r="BH51" s="23">
        <f>VALUE(0)</f>
        <v>0</v>
      </c>
      <c r="BI51" s="23">
        <f>VALUE(0)</f>
        <v>0</v>
      </c>
      <c r="BJ51" s="23">
        <f>VALUE(0)</f>
        <v>0</v>
      </c>
      <c r="BK51" s="12">
        <f>$AX$51*24</f>
        <v>16.333333333333332</v>
      </c>
      <c r="BL51" s="12">
        <f>$AY$51*24</f>
        <v>0</v>
      </c>
      <c r="BM51" s="12">
        <f>$BJ$51*24</f>
        <v>0</v>
      </c>
      <c r="BN51" s="12">
        <f>VALUE($I$51)/100</f>
        <v>1</v>
      </c>
      <c r="BO51" s="12">
        <v>0</v>
      </c>
      <c r="BP51" s="12">
        <v>0</v>
      </c>
      <c r="BQ51" s="12">
        <v>0</v>
      </c>
      <c r="BR51" s="12">
        <v>0</v>
      </c>
      <c r="BS51" s="12">
        <v>0</v>
      </c>
      <c r="BT51" s="12">
        <v>0</v>
      </c>
      <c r="BU51" s="12">
        <v>0</v>
      </c>
      <c r="BV51" s="12">
        <v>0</v>
      </c>
      <c r="BW51" s="12">
        <v>0</v>
      </c>
      <c r="BX51" s="12">
        <v>0</v>
      </c>
      <c r="BY51" s="12">
        <v>2</v>
      </c>
      <c r="BZ51" s="12">
        <v>0</v>
      </c>
      <c r="CA51" s="12">
        <v>0</v>
      </c>
    </row>
    <row r="52" spans="1:79" hidden="1" x14ac:dyDescent="0.2">
      <c r="A52" s="12" t="s">
        <v>102</v>
      </c>
      <c r="B52" s="12" t="s">
        <v>107</v>
      </c>
      <c r="C52" s="12" t="s">
        <v>107</v>
      </c>
      <c r="D52" s="22" t="s">
        <v>249</v>
      </c>
      <c r="E52" s="22" t="s">
        <v>149</v>
      </c>
      <c r="F52" s="22" t="s">
        <v>667</v>
      </c>
      <c r="G52" s="22" t="s">
        <v>668</v>
      </c>
      <c r="H52" s="22" t="s">
        <v>166</v>
      </c>
      <c r="I52" s="22" t="s">
        <v>151</v>
      </c>
      <c r="J52" s="22" t="s">
        <v>152</v>
      </c>
      <c r="K52" s="22" t="s">
        <v>68</v>
      </c>
      <c r="L52" s="54" t="s">
        <v>153</v>
      </c>
      <c r="M52" s="23" t="s">
        <v>153</v>
      </c>
      <c r="N52" s="24" t="s">
        <v>153</v>
      </c>
      <c r="O52" s="23" t="s">
        <v>153</v>
      </c>
      <c r="P52" s="23" t="s">
        <v>153</v>
      </c>
      <c r="Q52" s="23" t="s">
        <v>153</v>
      </c>
      <c r="R52" s="23" t="s">
        <v>153</v>
      </c>
      <c r="S52" s="23" t="s">
        <v>153</v>
      </c>
      <c r="T52" s="24" t="s">
        <v>156</v>
      </c>
      <c r="U52" s="24" t="s">
        <v>153</v>
      </c>
      <c r="V52" s="54" t="s">
        <v>156</v>
      </c>
      <c r="W52" s="23" t="s">
        <v>153</v>
      </c>
      <c r="X52" s="23" t="s">
        <v>153</v>
      </c>
      <c r="Y52" s="23" t="s">
        <v>153</v>
      </c>
      <c r="Z52" s="23" t="s">
        <v>153</v>
      </c>
      <c r="AA52" s="23" t="s">
        <v>153</v>
      </c>
      <c r="AB52" s="24" t="s">
        <v>153</v>
      </c>
      <c r="AC52" s="23" t="s">
        <v>153</v>
      </c>
      <c r="AD52" s="23" t="s">
        <v>153</v>
      </c>
      <c r="AE52" s="23" t="s">
        <v>153</v>
      </c>
      <c r="AF52" s="23" t="s">
        <v>153</v>
      </c>
      <c r="AG52" s="23" t="s">
        <v>153</v>
      </c>
      <c r="AH52" s="24" t="s">
        <v>156</v>
      </c>
      <c r="AI52" s="24" t="s">
        <v>153</v>
      </c>
      <c r="AJ52" s="24" t="s">
        <v>156</v>
      </c>
      <c r="AK52" s="23" t="s">
        <v>153</v>
      </c>
      <c r="AL52" s="23" t="s">
        <v>153</v>
      </c>
      <c r="AM52" s="23" t="s">
        <v>153</v>
      </c>
      <c r="AN52" s="23" t="s">
        <v>153</v>
      </c>
      <c r="AO52" s="23" t="s">
        <v>153</v>
      </c>
      <c r="AP52" s="23">
        <f>VALUE(0)</f>
        <v>0</v>
      </c>
      <c r="AQ52" s="23">
        <f>VALUE(0)</f>
        <v>0</v>
      </c>
      <c r="AR52" s="23">
        <f>VALUE(0)</f>
        <v>0</v>
      </c>
      <c r="AS52" s="23">
        <f>VALUE(0)</f>
        <v>0</v>
      </c>
      <c r="AT52" s="23">
        <f>VALUE(0)</f>
        <v>0</v>
      </c>
      <c r="AU52" s="23">
        <f>VALUE(0)</f>
        <v>0</v>
      </c>
      <c r="AV52" s="23">
        <f>VALUE(3)</f>
        <v>3</v>
      </c>
      <c r="AW52" s="23">
        <f>VALUE(0)</f>
        <v>0</v>
      </c>
      <c r="AX52" s="23" t="s">
        <v>1185</v>
      </c>
      <c r="AY52" s="23">
        <f>VALUE(0)</f>
        <v>0</v>
      </c>
      <c r="AZ52" s="23">
        <f>VALUE(0)</f>
        <v>0</v>
      </c>
      <c r="BA52" s="23">
        <f>VALUE(0)</f>
        <v>0</v>
      </c>
      <c r="BB52" s="23">
        <f>VALUE(0)</f>
        <v>0</v>
      </c>
      <c r="BC52" s="23">
        <f>VALUE(0)</f>
        <v>0</v>
      </c>
      <c r="BD52" s="23">
        <f>VALUE(0)</f>
        <v>0</v>
      </c>
      <c r="BE52" s="23">
        <f>VALUE(0)</f>
        <v>0</v>
      </c>
      <c r="BF52" s="23">
        <f>VALUE(0)</f>
        <v>0</v>
      </c>
      <c r="BG52" s="23">
        <f>VALUE(0)</f>
        <v>0</v>
      </c>
      <c r="BH52" s="23">
        <f>VALUE(0)</f>
        <v>0</v>
      </c>
      <c r="BI52" s="23">
        <f>VALUE(0)</f>
        <v>0</v>
      </c>
      <c r="BJ52" s="23">
        <f>VALUE(0)</f>
        <v>0</v>
      </c>
      <c r="BK52" s="12">
        <f>$AX$52*24</f>
        <v>88.75</v>
      </c>
      <c r="BL52" s="12">
        <f>$AY$52*24</f>
        <v>0</v>
      </c>
      <c r="BM52" s="12">
        <f>$BJ$52*24</f>
        <v>0</v>
      </c>
      <c r="BN52" s="12">
        <f>VALUE($I$52)/100</f>
        <v>1</v>
      </c>
      <c r="BO52" s="12">
        <v>0</v>
      </c>
      <c r="BP52" s="12">
        <v>0</v>
      </c>
      <c r="BQ52" s="12">
        <v>0</v>
      </c>
      <c r="BR52" s="12">
        <v>0</v>
      </c>
      <c r="BS52" s="12">
        <v>0</v>
      </c>
      <c r="BT52" s="12">
        <v>0</v>
      </c>
      <c r="BU52" s="12">
        <v>0</v>
      </c>
      <c r="BV52" s="12">
        <v>0</v>
      </c>
      <c r="BW52" s="12">
        <v>0</v>
      </c>
      <c r="BX52" s="12">
        <v>0</v>
      </c>
      <c r="BY52" s="12">
        <v>0</v>
      </c>
      <c r="BZ52" s="12">
        <v>0</v>
      </c>
      <c r="CA52" s="12">
        <v>0</v>
      </c>
    </row>
    <row r="53" spans="1:79" hidden="1" x14ac:dyDescent="0.2">
      <c r="A53" s="12" t="s">
        <v>102</v>
      </c>
      <c r="B53" s="12" t="s">
        <v>107</v>
      </c>
      <c r="C53" s="12" t="s">
        <v>107</v>
      </c>
      <c r="D53" s="22" t="s">
        <v>250</v>
      </c>
      <c r="E53" s="22" t="s">
        <v>149</v>
      </c>
      <c r="F53" s="22" t="s">
        <v>669</v>
      </c>
      <c r="G53" s="22" t="s">
        <v>670</v>
      </c>
      <c r="H53" s="22" t="s">
        <v>166</v>
      </c>
      <c r="I53" s="22" t="s">
        <v>151</v>
      </c>
      <c r="J53" s="22" t="s">
        <v>152</v>
      </c>
      <c r="K53" s="22" t="s">
        <v>68</v>
      </c>
      <c r="L53" s="54" t="s">
        <v>153</v>
      </c>
      <c r="M53" s="23" t="s">
        <v>153</v>
      </c>
      <c r="N53" s="24" t="s">
        <v>153</v>
      </c>
      <c r="O53" s="23" t="s">
        <v>153</v>
      </c>
      <c r="P53" s="23" t="s">
        <v>153</v>
      </c>
      <c r="Q53" s="23" t="s">
        <v>153</v>
      </c>
      <c r="R53" s="23" t="s">
        <v>153</v>
      </c>
      <c r="S53" s="23" t="s">
        <v>153</v>
      </c>
      <c r="T53" s="24" t="s">
        <v>156</v>
      </c>
      <c r="U53" s="24" t="s">
        <v>153</v>
      </c>
      <c r="V53" s="54" t="s">
        <v>156</v>
      </c>
      <c r="W53" s="23" t="s">
        <v>153</v>
      </c>
      <c r="X53" s="23" t="s">
        <v>153</v>
      </c>
      <c r="Y53" s="23" t="s">
        <v>153</v>
      </c>
      <c r="Z53" s="23" t="s">
        <v>153</v>
      </c>
      <c r="AA53" s="23" t="s">
        <v>153</v>
      </c>
      <c r="AB53" s="24" t="s">
        <v>153</v>
      </c>
      <c r="AC53" s="23" t="s">
        <v>153</v>
      </c>
      <c r="AD53" s="23" t="s">
        <v>153</v>
      </c>
      <c r="AE53" s="23" t="s">
        <v>153</v>
      </c>
      <c r="AF53" s="23" t="s">
        <v>153</v>
      </c>
      <c r="AG53" s="23" t="s">
        <v>153</v>
      </c>
      <c r="AH53" s="24" t="s">
        <v>156</v>
      </c>
      <c r="AI53" s="24" t="s">
        <v>153</v>
      </c>
      <c r="AJ53" s="24" t="s">
        <v>156</v>
      </c>
      <c r="AK53" s="23" t="s">
        <v>153</v>
      </c>
      <c r="AL53" s="23" t="s">
        <v>153</v>
      </c>
      <c r="AM53" s="23" t="s">
        <v>153</v>
      </c>
      <c r="AN53" s="23" t="s">
        <v>153</v>
      </c>
      <c r="AO53" s="23" t="s">
        <v>153</v>
      </c>
      <c r="AP53" s="23">
        <f>VALUE(0)</f>
        <v>0</v>
      </c>
      <c r="AQ53" s="23">
        <f>VALUE(0)</f>
        <v>0</v>
      </c>
      <c r="AR53" s="23">
        <f>VALUE(0)</f>
        <v>0</v>
      </c>
      <c r="AS53" s="23">
        <f>VALUE(0)</f>
        <v>0</v>
      </c>
      <c r="AT53" s="23">
        <f>VALUE(0)</f>
        <v>0</v>
      </c>
      <c r="AU53" s="23">
        <f>VALUE(0)</f>
        <v>0</v>
      </c>
      <c r="AV53" s="23">
        <f>VALUE(0)</f>
        <v>0</v>
      </c>
      <c r="AW53" s="23">
        <f>VALUE(0)</f>
        <v>0</v>
      </c>
      <c r="AX53" s="23" t="s">
        <v>1186</v>
      </c>
      <c r="AY53" s="23">
        <f>VALUE(0)</f>
        <v>0</v>
      </c>
      <c r="AZ53" s="23">
        <f>VALUE(0)</f>
        <v>0</v>
      </c>
      <c r="BA53" s="23">
        <f>VALUE(0)</f>
        <v>0</v>
      </c>
      <c r="BB53" s="23">
        <f>VALUE(0)</f>
        <v>0</v>
      </c>
      <c r="BC53" s="23">
        <f>VALUE(0)</f>
        <v>0</v>
      </c>
      <c r="BD53" s="23">
        <f>VALUE(0)</f>
        <v>0</v>
      </c>
      <c r="BE53" s="23">
        <f>VALUE(0)</f>
        <v>0</v>
      </c>
      <c r="BF53" s="23">
        <f>VALUE(0)</f>
        <v>0</v>
      </c>
      <c r="BG53" s="23">
        <f>VALUE(0)</f>
        <v>0</v>
      </c>
      <c r="BH53" s="23">
        <f>VALUE(0)</f>
        <v>0</v>
      </c>
      <c r="BI53" s="23">
        <f>VALUE(0)</f>
        <v>0</v>
      </c>
      <c r="BJ53" s="23">
        <f>VALUE(0)</f>
        <v>0</v>
      </c>
      <c r="BK53" s="12">
        <f>$AX$53*24</f>
        <v>4.833333333333333</v>
      </c>
      <c r="BL53" s="12">
        <f>$AY$53*24</f>
        <v>0</v>
      </c>
      <c r="BM53" s="12">
        <f>$BJ$53*24</f>
        <v>0</v>
      </c>
      <c r="BN53" s="12">
        <f>VALUE($I$53)/100</f>
        <v>1</v>
      </c>
      <c r="BO53" s="12">
        <v>0</v>
      </c>
      <c r="BP53" s="12">
        <v>0</v>
      </c>
      <c r="BQ53" s="12">
        <v>0</v>
      </c>
      <c r="BR53" s="12">
        <v>0</v>
      </c>
      <c r="BS53" s="12">
        <v>0</v>
      </c>
      <c r="BT53" s="12">
        <v>0</v>
      </c>
      <c r="BU53" s="12">
        <v>0</v>
      </c>
      <c r="BV53" s="12">
        <v>0</v>
      </c>
      <c r="BW53" s="12">
        <v>0</v>
      </c>
      <c r="BX53" s="12">
        <v>0</v>
      </c>
      <c r="BY53" s="12">
        <v>0</v>
      </c>
      <c r="BZ53" s="12">
        <v>0</v>
      </c>
      <c r="CA53" s="12">
        <v>0</v>
      </c>
    </row>
    <row r="54" spans="1:79" hidden="1" x14ac:dyDescent="0.2">
      <c r="A54" s="12" t="s">
        <v>102</v>
      </c>
      <c r="B54" s="12" t="s">
        <v>107</v>
      </c>
      <c r="C54" s="12" t="s">
        <v>107</v>
      </c>
      <c r="D54" s="22" t="s">
        <v>251</v>
      </c>
      <c r="E54" s="22" t="s">
        <v>149</v>
      </c>
      <c r="F54" s="22" t="s">
        <v>671</v>
      </c>
      <c r="G54" s="22" t="s">
        <v>672</v>
      </c>
      <c r="H54" s="22" t="s">
        <v>166</v>
      </c>
      <c r="I54" s="22" t="s">
        <v>151</v>
      </c>
      <c r="J54" s="22" t="s">
        <v>152</v>
      </c>
      <c r="K54" s="22" t="s">
        <v>68</v>
      </c>
      <c r="L54" s="54" t="s">
        <v>153</v>
      </c>
      <c r="M54" s="24" t="s">
        <v>156</v>
      </c>
      <c r="N54" s="24" t="s">
        <v>153</v>
      </c>
      <c r="O54" s="24" t="s">
        <v>156</v>
      </c>
      <c r="P54" s="23" t="s">
        <v>153</v>
      </c>
      <c r="Q54" s="23" t="s">
        <v>153</v>
      </c>
      <c r="R54" s="23" t="s">
        <v>153</v>
      </c>
      <c r="S54" s="23" t="s">
        <v>153</v>
      </c>
      <c r="T54" s="23" t="s">
        <v>153</v>
      </c>
      <c r="U54" s="24" t="s">
        <v>153</v>
      </c>
      <c r="V54" s="54" t="s">
        <v>153</v>
      </c>
      <c r="W54" s="23" t="s">
        <v>153</v>
      </c>
      <c r="X54" s="23" t="s">
        <v>153</v>
      </c>
      <c r="Y54" s="23" t="s">
        <v>153</v>
      </c>
      <c r="Z54" s="23" t="s">
        <v>153</v>
      </c>
      <c r="AA54" s="24" t="s">
        <v>156</v>
      </c>
      <c r="AB54" s="24" t="s">
        <v>153</v>
      </c>
      <c r="AC54" s="24" t="s">
        <v>156</v>
      </c>
      <c r="AD54" s="23" t="s">
        <v>153</v>
      </c>
      <c r="AE54" s="23" t="s">
        <v>153</v>
      </c>
      <c r="AF54" s="23" t="s">
        <v>153</v>
      </c>
      <c r="AG54" s="23" t="s">
        <v>153</v>
      </c>
      <c r="AH54" s="23" t="s">
        <v>153</v>
      </c>
      <c r="AI54" s="24" t="s">
        <v>153</v>
      </c>
      <c r="AJ54" s="23" t="s">
        <v>153</v>
      </c>
      <c r="AK54" s="23" t="s">
        <v>153</v>
      </c>
      <c r="AL54" s="23" t="s">
        <v>153</v>
      </c>
      <c r="AM54" s="23" t="s">
        <v>153</v>
      </c>
      <c r="AN54" s="23" t="s">
        <v>153</v>
      </c>
      <c r="AO54" s="24" t="s">
        <v>156</v>
      </c>
      <c r="AP54" s="23">
        <f>VALUE(0)</f>
        <v>0</v>
      </c>
      <c r="AQ54" s="23">
        <f>VALUE(0)</f>
        <v>0</v>
      </c>
      <c r="AR54" s="23">
        <f>VALUE(0)</f>
        <v>0</v>
      </c>
      <c r="AS54" s="23">
        <f>VALUE(0)</f>
        <v>0</v>
      </c>
      <c r="AT54" s="23">
        <f>VALUE(0)</f>
        <v>0</v>
      </c>
      <c r="AU54" s="23">
        <f>VALUE(0)</f>
        <v>0</v>
      </c>
      <c r="AV54" s="23">
        <f>VALUE(2.5)</f>
        <v>2.5</v>
      </c>
      <c r="AW54" s="23">
        <f>VALUE(0)</f>
        <v>0</v>
      </c>
      <c r="AX54" s="23" t="s">
        <v>252</v>
      </c>
      <c r="AY54" s="23">
        <f>VALUE(0)</f>
        <v>0</v>
      </c>
      <c r="AZ54" s="23">
        <f>VALUE(0)</f>
        <v>0</v>
      </c>
      <c r="BA54" s="23">
        <f>VALUE(0)</f>
        <v>0</v>
      </c>
      <c r="BB54" s="23">
        <f>VALUE(0)</f>
        <v>0</v>
      </c>
      <c r="BC54" s="23">
        <f>VALUE(0)</f>
        <v>0</v>
      </c>
      <c r="BD54" s="23">
        <f>VALUE(0)</f>
        <v>0</v>
      </c>
      <c r="BE54" s="23">
        <f>VALUE(0)</f>
        <v>0</v>
      </c>
      <c r="BF54" s="23">
        <f>VALUE(0)</f>
        <v>0</v>
      </c>
      <c r="BG54" s="23">
        <f>VALUE(0)</f>
        <v>0</v>
      </c>
      <c r="BH54" s="23">
        <f>VALUE(0)</f>
        <v>0</v>
      </c>
      <c r="BI54" s="23">
        <f>VALUE(0)</f>
        <v>0</v>
      </c>
      <c r="BJ54" s="23">
        <f>VALUE(0)</f>
        <v>0</v>
      </c>
      <c r="BK54" s="12">
        <f>$AX$54*24</f>
        <v>7.25</v>
      </c>
      <c r="BL54" s="12">
        <f>$AY$54*24</f>
        <v>0</v>
      </c>
      <c r="BM54" s="12">
        <f>$BJ$54*24</f>
        <v>0</v>
      </c>
      <c r="BN54" s="12">
        <f>VALUE($I$54)/100</f>
        <v>1</v>
      </c>
      <c r="BO54" s="12">
        <v>0</v>
      </c>
      <c r="BP54" s="12">
        <v>0</v>
      </c>
      <c r="BQ54" s="12">
        <v>0</v>
      </c>
      <c r="BR54" s="12">
        <v>0</v>
      </c>
      <c r="BS54" s="12">
        <v>0</v>
      </c>
      <c r="BT54" s="12">
        <v>0</v>
      </c>
      <c r="BU54" s="12">
        <v>0</v>
      </c>
      <c r="BV54" s="12">
        <v>0</v>
      </c>
      <c r="BW54" s="12">
        <v>0</v>
      </c>
      <c r="BX54" s="12">
        <v>0</v>
      </c>
      <c r="BY54" s="12">
        <v>0</v>
      </c>
      <c r="BZ54" s="12">
        <v>0</v>
      </c>
      <c r="CA54" s="12">
        <v>0</v>
      </c>
    </row>
    <row r="55" spans="1:79" hidden="1" x14ac:dyDescent="0.2">
      <c r="A55" s="12" t="s">
        <v>102</v>
      </c>
      <c r="B55" s="12" t="s">
        <v>107</v>
      </c>
      <c r="C55" s="12" t="s">
        <v>107</v>
      </c>
      <c r="D55" s="22" t="s">
        <v>253</v>
      </c>
      <c r="E55" s="22" t="s">
        <v>149</v>
      </c>
      <c r="F55" s="22" t="s">
        <v>673</v>
      </c>
      <c r="G55" s="22" t="s">
        <v>674</v>
      </c>
      <c r="H55" s="22" t="s">
        <v>166</v>
      </c>
      <c r="I55" s="22" t="s">
        <v>151</v>
      </c>
      <c r="J55" s="22" t="s">
        <v>152</v>
      </c>
      <c r="K55" s="22" t="s">
        <v>68</v>
      </c>
      <c r="L55" s="54" t="s">
        <v>153</v>
      </c>
      <c r="M55" s="23" t="s">
        <v>153</v>
      </c>
      <c r="N55" s="24" t="s">
        <v>153</v>
      </c>
      <c r="O55" s="23" t="s">
        <v>153</v>
      </c>
      <c r="P55" s="23" t="s">
        <v>153</v>
      </c>
      <c r="Q55" s="23" t="s">
        <v>153</v>
      </c>
      <c r="R55" s="23" t="s">
        <v>153</v>
      </c>
      <c r="S55" s="23" t="s">
        <v>153</v>
      </c>
      <c r="T55" s="24" t="s">
        <v>156</v>
      </c>
      <c r="U55" s="24" t="s">
        <v>153</v>
      </c>
      <c r="V55" s="54" t="s">
        <v>156</v>
      </c>
      <c r="W55" s="23" t="s">
        <v>153</v>
      </c>
      <c r="X55" s="23" t="s">
        <v>153</v>
      </c>
      <c r="Y55" s="23" t="s">
        <v>153</v>
      </c>
      <c r="Z55" s="23" t="s">
        <v>153</v>
      </c>
      <c r="AA55" s="23" t="s">
        <v>153</v>
      </c>
      <c r="AB55" s="24" t="s">
        <v>153</v>
      </c>
      <c r="AC55" s="23" t="s">
        <v>153</v>
      </c>
      <c r="AD55" s="23" t="s">
        <v>153</v>
      </c>
      <c r="AE55" s="23" t="s">
        <v>153</v>
      </c>
      <c r="AF55" s="23" t="s">
        <v>153</v>
      </c>
      <c r="AG55" s="23" t="s">
        <v>153</v>
      </c>
      <c r="AH55" s="24" t="s">
        <v>156</v>
      </c>
      <c r="AI55" s="24" t="s">
        <v>153</v>
      </c>
      <c r="AJ55" s="24" t="s">
        <v>156</v>
      </c>
      <c r="AK55" s="23" t="s">
        <v>153</v>
      </c>
      <c r="AL55" s="23" t="s">
        <v>153</v>
      </c>
      <c r="AM55" s="23" t="s">
        <v>153</v>
      </c>
      <c r="AN55" s="23" t="s">
        <v>153</v>
      </c>
      <c r="AO55" s="23" t="s">
        <v>153</v>
      </c>
      <c r="AP55" s="23">
        <f>VALUE(0)</f>
        <v>0</v>
      </c>
      <c r="AQ55" s="23">
        <f>VALUE(0)</f>
        <v>0</v>
      </c>
      <c r="AR55" s="23">
        <f>VALUE(0)</f>
        <v>0</v>
      </c>
      <c r="AS55" s="23">
        <f>VALUE(0)</f>
        <v>0</v>
      </c>
      <c r="AT55" s="23">
        <f>VALUE(0)</f>
        <v>0</v>
      </c>
      <c r="AU55" s="23">
        <f>VALUE(0)</f>
        <v>0</v>
      </c>
      <c r="AV55" s="23">
        <f>VALUE(9.5)</f>
        <v>9.5</v>
      </c>
      <c r="AW55" s="23">
        <f>VALUE(0)</f>
        <v>0</v>
      </c>
      <c r="AX55" s="23" t="s">
        <v>1187</v>
      </c>
      <c r="AY55" s="23">
        <f>VALUE(0)</f>
        <v>0</v>
      </c>
      <c r="AZ55" s="23">
        <f>VALUE(0)</f>
        <v>0</v>
      </c>
      <c r="BA55" s="23">
        <f>VALUE(0)</f>
        <v>0</v>
      </c>
      <c r="BB55" s="23">
        <f>VALUE(0)</f>
        <v>0</v>
      </c>
      <c r="BC55" s="23">
        <f>VALUE(0)</f>
        <v>0</v>
      </c>
      <c r="BD55" s="23">
        <f>VALUE(0)</f>
        <v>0</v>
      </c>
      <c r="BE55" s="23">
        <f>VALUE(0)</f>
        <v>0</v>
      </c>
      <c r="BF55" s="23">
        <f>VALUE(0)</f>
        <v>0</v>
      </c>
      <c r="BG55" s="23">
        <f>VALUE(0)</f>
        <v>0</v>
      </c>
      <c r="BH55" s="23">
        <f>VALUE(0)</f>
        <v>0</v>
      </c>
      <c r="BI55" s="23">
        <f>VALUE(0)</f>
        <v>0</v>
      </c>
      <c r="BJ55" s="23">
        <f>VALUE(0)</f>
        <v>0</v>
      </c>
      <c r="BK55" s="12">
        <f>$AX$55*24</f>
        <v>8.85</v>
      </c>
      <c r="BL55" s="12">
        <f>$AY$55*24</f>
        <v>0</v>
      </c>
      <c r="BM55" s="12">
        <f>$BJ$55*24</f>
        <v>0</v>
      </c>
      <c r="BN55" s="12">
        <f>VALUE($I$55)/100</f>
        <v>1</v>
      </c>
      <c r="BO55" s="12">
        <v>0</v>
      </c>
      <c r="BP55" s="12">
        <v>0</v>
      </c>
      <c r="BQ55" s="12">
        <v>0</v>
      </c>
      <c r="BR55" s="12">
        <v>0</v>
      </c>
      <c r="BS55" s="12">
        <v>0</v>
      </c>
      <c r="BT55" s="12">
        <v>0</v>
      </c>
      <c r="BU55" s="12">
        <v>0</v>
      </c>
      <c r="BV55" s="12">
        <v>0</v>
      </c>
      <c r="BW55" s="12">
        <v>0</v>
      </c>
      <c r="BX55" s="12">
        <v>0</v>
      </c>
      <c r="BY55" s="12">
        <v>0</v>
      </c>
      <c r="BZ55" s="12">
        <v>0</v>
      </c>
      <c r="CA55" s="12">
        <v>0</v>
      </c>
    </row>
    <row r="56" spans="1:79" hidden="1" x14ac:dyDescent="0.2">
      <c r="A56" s="12" t="s">
        <v>102</v>
      </c>
      <c r="B56" s="12" t="s">
        <v>107</v>
      </c>
      <c r="C56" s="12" t="s">
        <v>107</v>
      </c>
      <c r="D56" s="22" t="s">
        <v>254</v>
      </c>
      <c r="E56" s="22" t="s">
        <v>149</v>
      </c>
      <c r="F56" s="22" t="s">
        <v>675</v>
      </c>
      <c r="G56" s="22" t="s">
        <v>676</v>
      </c>
      <c r="H56" s="22" t="s">
        <v>150</v>
      </c>
      <c r="I56" s="22" t="s">
        <v>151</v>
      </c>
      <c r="J56" s="22" t="s">
        <v>152</v>
      </c>
      <c r="K56" s="22" t="s">
        <v>68</v>
      </c>
      <c r="L56" s="54" t="s">
        <v>153</v>
      </c>
      <c r="M56" s="23" t="s">
        <v>153</v>
      </c>
      <c r="N56" s="24" t="s">
        <v>153</v>
      </c>
      <c r="O56" s="23" t="s">
        <v>153</v>
      </c>
      <c r="P56" s="23" t="s">
        <v>153</v>
      </c>
      <c r="Q56" s="24" t="s">
        <v>156</v>
      </c>
      <c r="R56" s="23" t="s">
        <v>153</v>
      </c>
      <c r="S56" s="23" t="s">
        <v>153</v>
      </c>
      <c r="T56" s="24" t="s">
        <v>156</v>
      </c>
      <c r="U56" s="24" t="s">
        <v>153</v>
      </c>
      <c r="V56" s="54" t="s">
        <v>153</v>
      </c>
      <c r="W56" s="23" t="s">
        <v>153</v>
      </c>
      <c r="X56" s="23" t="s">
        <v>153</v>
      </c>
      <c r="Y56" s="23" t="s">
        <v>153</v>
      </c>
      <c r="Z56" s="23" t="s">
        <v>153</v>
      </c>
      <c r="AA56" s="28" t="s">
        <v>338</v>
      </c>
      <c r="AB56" s="24" t="s">
        <v>153</v>
      </c>
      <c r="AC56" s="23" t="s">
        <v>153</v>
      </c>
      <c r="AD56" s="23" t="s">
        <v>153</v>
      </c>
      <c r="AE56" s="24" t="s">
        <v>156</v>
      </c>
      <c r="AF56" s="23" t="s">
        <v>153</v>
      </c>
      <c r="AG56" s="23" t="s">
        <v>153</v>
      </c>
      <c r="AH56" s="24" t="s">
        <v>156</v>
      </c>
      <c r="AI56" s="24" t="s">
        <v>153</v>
      </c>
      <c r="AJ56" s="23" t="s">
        <v>153</v>
      </c>
      <c r="AK56" s="23" t="s">
        <v>153</v>
      </c>
      <c r="AL56" s="23" t="s">
        <v>153</v>
      </c>
      <c r="AM56" s="23" t="s">
        <v>153</v>
      </c>
      <c r="AN56" s="23" t="s">
        <v>153</v>
      </c>
      <c r="AO56" s="23" t="s">
        <v>153</v>
      </c>
      <c r="AP56" s="23">
        <f>VALUE(0)</f>
        <v>0</v>
      </c>
      <c r="AQ56" s="23">
        <f>VALUE(0)</f>
        <v>0</v>
      </c>
      <c r="AR56" s="23">
        <f>VALUE(0)</f>
        <v>0</v>
      </c>
      <c r="AS56" s="23">
        <f>VALUE(0)</f>
        <v>0</v>
      </c>
      <c r="AT56" s="23">
        <f>VALUE(1)</f>
        <v>1</v>
      </c>
      <c r="AU56" s="23">
        <f>VALUE(0)</f>
        <v>0</v>
      </c>
      <c r="AV56" s="23">
        <f>VALUE(8)</f>
        <v>8</v>
      </c>
      <c r="AW56" s="23">
        <f>VALUE(0)</f>
        <v>0</v>
      </c>
      <c r="AX56" s="23" t="s">
        <v>171</v>
      </c>
      <c r="AY56" s="23" t="s">
        <v>255</v>
      </c>
      <c r="AZ56" s="23">
        <f>VALUE(0)</f>
        <v>0</v>
      </c>
      <c r="BA56" s="23">
        <f>VALUE(0)</f>
        <v>0</v>
      </c>
      <c r="BB56" s="23">
        <f>VALUE(0)</f>
        <v>0</v>
      </c>
      <c r="BC56" s="23">
        <f>VALUE(0)</f>
        <v>0</v>
      </c>
      <c r="BD56" s="23">
        <f>VALUE(0)</f>
        <v>0</v>
      </c>
      <c r="BE56" s="23">
        <f>VALUE(0)</f>
        <v>0</v>
      </c>
      <c r="BF56" s="23">
        <f>VALUE(0)</f>
        <v>0</v>
      </c>
      <c r="BG56" s="23">
        <f>VALUE(0)</f>
        <v>0</v>
      </c>
      <c r="BH56" s="23">
        <f>VALUE(0)</f>
        <v>0</v>
      </c>
      <c r="BI56" s="23">
        <f>VALUE(0)</f>
        <v>0</v>
      </c>
      <c r="BJ56" s="23">
        <f>VALUE(0)</f>
        <v>0</v>
      </c>
      <c r="BK56" s="12">
        <f>$AX$56*24</f>
        <v>5.833333333333333</v>
      </c>
      <c r="BL56" s="12">
        <f>$AY$56*24</f>
        <v>2.5</v>
      </c>
      <c r="BM56" s="12">
        <f>$BJ$56*24</f>
        <v>0</v>
      </c>
      <c r="BN56" s="12">
        <f>VALUE($I$56)/100</f>
        <v>1</v>
      </c>
      <c r="BO56" s="12">
        <v>0</v>
      </c>
      <c r="BP56" s="12">
        <v>0</v>
      </c>
      <c r="BQ56" s="12">
        <v>0</v>
      </c>
      <c r="BR56" s="12">
        <v>0</v>
      </c>
      <c r="BS56" s="12">
        <v>0</v>
      </c>
      <c r="BT56" s="12">
        <v>0</v>
      </c>
      <c r="BU56" s="12">
        <v>0</v>
      </c>
      <c r="BV56" s="12">
        <v>0</v>
      </c>
      <c r="BW56" s="12">
        <v>0</v>
      </c>
      <c r="BX56" s="12">
        <v>0</v>
      </c>
      <c r="BY56" s="12">
        <v>1</v>
      </c>
      <c r="BZ56" s="12">
        <v>0</v>
      </c>
      <c r="CA56" s="12">
        <v>0</v>
      </c>
    </row>
    <row r="57" spans="1:79" hidden="1" x14ac:dyDescent="0.2">
      <c r="A57" s="12" t="s">
        <v>102</v>
      </c>
      <c r="B57" s="12" t="s">
        <v>107</v>
      </c>
      <c r="C57" s="12" t="s">
        <v>107</v>
      </c>
      <c r="D57" s="22" t="s">
        <v>256</v>
      </c>
      <c r="E57" s="22" t="s">
        <v>149</v>
      </c>
      <c r="F57" s="22" t="s">
        <v>677</v>
      </c>
      <c r="G57" s="22" t="s">
        <v>678</v>
      </c>
      <c r="H57" s="22" t="s">
        <v>150</v>
      </c>
      <c r="I57" s="22" t="s">
        <v>151</v>
      </c>
      <c r="J57" s="22" t="s">
        <v>152</v>
      </c>
      <c r="K57" s="22" t="s">
        <v>68</v>
      </c>
      <c r="L57" s="54" t="s">
        <v>153</v>
      </c>
      <c r="M57" s="28" t="s">
        <v>163</v>
      </c>
      <c r="N57" s="24" t="s">
        <v>153</v>
      </c>
      <c r="O57" s="23" t="s">
        <v>153</v>
      </c>
      <c r="P57" s="23" t="s">
        <v>153</v>
      </c>
      <c r="Q57" s="23" t="s">
        <v>153</v>
      </c>
      <c r="R57" s="23" t="s">
        <v>153</v>
      </c>
      <c r="S57" s="23" t="s">
        <v>153</v>
      </c>
      <c r="T57" s="24" t="s">
        <v>156</v>
      </c>
      <c r="U57" s="24" t="s">
        <v>153</v>
      </c>
      <c r="V57" s="54" t="s">
        <v>153</v>
      </c>
      <c r="W57" s="23" t="s">
        <v>153</v>
      </c>
      <c r="X57" s="24" t="s">
        <v>156</v>
      </c>
      <c r="Y57" s="23" t="s">
        <v>153</v>
      </c>
      <c r="Z57" s="23" t="s">
        <v>153</v>
      </c>
      <c r="AA57" s="23" t="s">
        <v>153</v>
      </c>
      <c r="AB57" s="24" t="s">
        <v>153</v>
      </c>
      <c r="AC57" s="23" t="s">
        <v>153</v>
      </c>
      <c r="AD57" s="23" t="s">
        <v>153</v>
      </c>
      <c r="AE57" s="23" t="s">
        <v>153</v>
      </c>
      <c r="AF57" s="23" t="s">
        <v>153</v>
      </c>
      <c r="AG57" s="23" t="s">
        <v>153</v>
      </c>
      <c r="AH57" s="24" t="s">
        <v>156</v>
      </c>
      <c r="AI57" s="24" t="s">
        <v>153</v>
      </c>
      <c r="AJ57" s="23" t="s">
        <v>153</v>
      </c>
      <c r="AK57" s="23" t="s">
        <v>153</v>
      </c>
      <c r="AL57" s="24" t="s">
        <v>156</v>
      </c>
      <c r="AM57" s="23" t="s">
        <v>153</v>
      </c>
      <c r="AN57" s="23" t="s">
        <v>153</v>
      </c>
      <c r="AO57" s="23" t="s">
        <v>153</v>
      </c>
      <c r="AP57" s="23">
        <f>VALUE(0)</f>
        <v>0</v>
      </c>
      <c r="AQ57" s="23">
        <f>VALUE(0)</f>
        <v>0</v>
      </c>
      <c r="AR57" s="23">
        <f>VALUE(0)</f>
        <v>0</v>
      </c>
      <c r="AS57" s="23">
        <f>VALUE(0)</f>
        <v>0</v>
      </c>
      <c r="AT57" s="23">
        <f>VALUE(0)</f>
        <v>0</v>
      </c>
      <c r="AU57" s="23">
        <f>VALUE(1)</f>
        <v>1</v>
      </c>
      <c r="AV57" s="23">
        <f>VALUE(12)</f>
        <v>12</v>
      </c>
      <c r="AW57" s="23">
        <f>VALUE(0)</f>
        <v>0</v>
      </c>
      <c r="AX57" s="23" t="s">
        <v>1188</v>
      </c>
      <c r="AY57" s="23" t="s">
        <v>171</v>
      </c>
      <c r="AZ57" s="23">
        <f>VALUE(0)</f>
        <v>0</v>
      </c>
      <c r="BA57" s="23">
        <f>VALUE(0)</f>
        <v>0</v>
      </c>
      <c r="BB57" s="23">
        <f>VALUE(0)</f>
        <v>0</v>
      </c>
      <c r="BC57" s="23">
        <f>VALUE(0)</f>
        <v>0</v>
      </c>
      <c r="BD57" s="23">
        <f>VALUE(0)</f>
        <v>0</v>
      </c>
      <c r="BE57" s="23">
        <f>VALUE(0)</f>
        <v>0</v>
      </c>
      <c r="BF57" s="23">
        <f>VALUE(0)</f>
        <v>0</v>
      </c>
      <c r="BG57" s="23">
        <f>VALUE(0)</f>
        <v>0</v>
      </c>
      <c r="BH57" s="23">
        <f>VALUE(0)</f>
        <v>0</v>
      </c>
      <c r="BI57" s="23">
        <f>VALUE(0)</f>
        <v>0</v>
      </c>
      <c r="BJ57" s="23">
        <f>VALUE(0)</f>
        <v>0</v>
      </c>
      <c r="BK57" s="12">
        <f>$AX$57*24</f>
        <v>24.5</v>
      </c>
      <c r="BL57" s="12">
        <f>$AY$57*24</f>
        <v>5.833333333333333</v>
      </c>
      <c r="BM57" s="12">
        <f>$BJ$57*24</f>
        <v>0</v>
      </c>
      <c r="BN57" s="12">
        <f>VALUE($I$57)/100</f>
        <v>1</v>
      </c>
      <c r="BO57" s="12">
        <v>0</v>
      </c>
      <c r="BP57" s="12">
        <v>0</v>
      </c>
      <c r="BQ57" s="12">
        <v>0</v>
      </c>
      <c r="BR57" s="12">
        <v>0</v>
      </c>
      <c r="BS57" s="12">
        <v>0</v>
      </c>
      <c r="BT57" s="12">
        <v>0</v>
      </c>
      <c r="BU57" s="12">
        <v>0</v>
      </c>
      <c r="BV57" s="12">
        <v>0</v>
      </c>
      <c r="BW57" s="12">
        <v>0</v>
      </c>
      <c r="BX57" s="12">
        <v>0</v>
      </c>
      <c r="BY57" s="12">
        <v>0</v>
      </c>
      <c r="BZ57" s="12">
        <v>0</v>
      </c>
      <c r="CA57" s="12">
        <v>0</v>
      </c>
    </row>
    <row r="58" spans="1:79" hidden="1" x14ac:dyDescent="0.2">
      <c r="A58" s="12" t="s">
        <v>102</v>
      </c>
      <c r="B58" s="12" t="s">
        <v>107</v>
      </c>
      <c r="C58" s="12" t="s">
        <v>107</v>
      </c>
      <c r="D58" s="22" t="s">
        <v>258</v>
      </c>
      <c r="E58" s="22" t="s">
        <v>149</v>
      </c>
      <c r="F58" s="22" t="s">
        <v>679</v>
      </c>
      <c r="G58" s="22" t="s">
        <v>680</v>
      </c>
      <c r="H58" s="22" t="s">
        <v>150</v>
      </c>
      <c r="I58" s="22" t="s">
        <v>151</v>
      </c>
      <c r="J58" s="22" t="s">
        <v>152</v>
      </c>
      <c r="K58" s="22" t="s">
        <v>68</v>
      </c>
      <c r="L58" s="54" t="s">
        <v>153</v>
      </c>
      <c r="M58" s="24" t="s">
        <v>156</v>
      </c>
      <c r="N58" s="24" t="s">
        <v>153</v>
      </c>
      <c r="O58" s="24" t="s">
        <v>156</v>
      </c>
      <c r="P58" s="28" t="s">
        <v>163</v>
      </c>
      <c r="Q58" s="28" t="s">
        <v>163</v>
      </c>
      <c r="R58" s="28" t="s">
        <v>163</v>
      </c>
      <c r="S58" s="28" t="s">
        <v>163</v>
      </c>
      <c r="T58" s="28" t="s">
        <v>163</v>
      </c>
      <c r="U58" s="24" t="s">
        <v>153</v>
      </c>
      <c r="V58" s="54" t="s">
        <v>153</v>
      </c>
      <c r="W58" s="28" t="s">
        <v>163</v>
      </c>
      <c r="X58" s="28" t="s">
        <v>163</v>
      </c>
      <c r="Y58" s="28" t="s">
        <v>163</v>
      </c>
      <c r="Z58" s="28" t="s">
        <v>163</v>
      </c>
      <c r="AA58" s="28" t="s">
        <v>163</v>
      </c>
      <c r="AB58" s="24" t="s">
        <v>153</v>
      </c>
      <c r="AC58" s="28" t="s">
        <v>163</v>
      </c>
      <c r="AD58" s="23" t="s">
        <v>153</v>
      </c>
      <c r="AE58" s="23" t="s">
        <v>153</v>
      </c>
      <c r="AF58" s="23" t="s">
        <v>153</v>
      </c>
      <c r="AG58" s="23" t="s">
        <v>153</v>
      </c>
      <c r="AH58" s="23" t="s">
        <v>153</v>
      </c>
      <c r="AI58" s="24" t="s">
        <v>153</v>
      </c>
      <c r="AJ58" s="23" t="s">
        <v>153</v>
      </c>
      <c r="AK58" s="23" t="s">
        <v>153</v>
      </c>
      <c r="AL58" s="23" t="s">
        <v>153</v>
      </c>
      <c r="AM58" s="23" t="s">
        <v>153</v>
      </c>
      <c r="AN58" s="23" t="s">
        <v>153</v>
      </c>
      <c r="AO58" s="24" t="s">
        <v>156</v>
      </c>
      <c r="AP58" s="23">
        <f>VALUE(0)</f>
        <v>0</v>
      </c>
      <c r="AQ58" s="23">
        <f>VALUE(0)</f>
        <v>0</v>
      </c>
      <c r="AR58" s="23">
        <f>VALUE(0)</f>
        <v>0</v>
      </c>
      <c r="AS58" s="23">
        <f>VALUE(0)</f>
        <v>0</v>
      </c>
      <c r="AT58" s="23">
        <f>VALUE(0)</f>
        <v>0</v>
      </c>
      <c r="AU58" s="23">
        <f>VALUE(11)</f>
        <v>11</v>
      </c>
      <c r="AV58" s="23">
        <f>VALUE(0.5)</f>
        <v>0.5</v>
      </c>
      <c r="AW58" s="23">
        <f>VALUE(0)</f>
        <v>0</v>
      </c>
      <c r="AX58" s="23" t="s">
        <v>176</v>
      </c>
      <c r="AY58" s="23" t="s">
        <v>259</v>
      </c>
      <c r="AZ58" s="23">
        <f>VALUE(0)</f>
        <v>0</v>
      </c>
      <c r="BA58" s="23">
        <f>VALUE(0)</f>
        <v>0</v>
      </c>
      <c r="BB58" s="23">
        <f>VALUE(0)</f>
        <v>0</v>
      </c>
      <c r="BC58" s="23">
        <f>VALUE(0)</f>
        <v>0</v>
      </c>
      <c r="BD58" s="23">
        <f>VALUE(0)</f>
        <v>0</v>
      </c>
      <c r="BE58" s="23">
        <f>VALUE(0)</f>
        <v>0</v>
      </c>
      <c r="BF58" s="23">
        <f>VALUE(0)</f>
        <v>0</v>
      </c>
      <c r="BG58" s="23">
        <f>VALUE(0)</f>
        <v>0</v>
      </c>
      <c r="BH58" s="23">
        <f>VALUE(0)</f>
        <v>0</v>
      </c>
      <c r="BI58" s="23">
        <f>VALUE(0)</f>
        <v>0</v>
      </c>
      <c r="BJ58" s="23">
        <f>VALUE(0)</f>
        <v>0</v>
      </c>
      <c r="BK58" s="12">
        <f>$AX$58*24</f>
        <v>0</v>
      </c>
      <c r="BL58" s="12">
        <f>$AY$58*24</f>
        <v>6.5</v>
      </c>
      <c r="BM58" s="12">
        <f>$BJ$58*24</f>
        <v>0</v>
      </c>
      <c r="BN58" s="12">
        <f>VALUE($I$58)/100</f>
        <v>1</v>
      </c>
      <c r="BO58" s="12">
        <v>0</v>
      </c>
      <c r="BP58" s="12">
        <v>0</v>
      </c>
      <c r="BQ58" s="12">
        <v>0</v>
      </c>
      <c r="BR58" s="12">
        <v>0</v>
      </c>
      <c r="BS58" s="12">
        <v>0</v>
      </c>
      <c r="BT58" s="12">
        <v>0</v>
      </c>
      <c r="BU58" s="12">
        <v>0</v>
      </c>
      <c r="BV58" s="12">
        <v>0</v>
      </c>
      <c r="BW58" s="12">
        <v>0</v>
      </c>
      <c r="BX58" s="12">
        <v>0</v>
      </c>
      <c r="BY58" s="12">
        <v>0</v>
      </c>
      <c r="BZ58" s="12">
        <v>0</v>
      </c>
      <c r="CA58" s="12">
        <v>0</v>
      </c>
    </row>
    <row r="59" spans="1:79" ht="15" hidden="1" x14ac:dyDescent="0.25">
      <c r="A59" s="12" t="s">
        <v>102</v>
      </c>
      <c r="B59" s="12" t="s">
        <v>107</v>
      </c>
      <c r="C59" s="12" t="s">
        <v>107</v>
      </c>
      <c r="D59" s="31" t="s">
        <v>333</v>
      </c>
      <c r="E59" s="31" t="s">
        <v>153</v>
      </c>
      <c r="F59" s="31" t="s">
        <v>175</v>
      </c>
      <c r="G59" s="31" t="s">
        <v>153</v>
      </c>
      <c r="H59" s="31" t="s">
        <v>153</v>
      </c>
      <c r="I59" s="31" t="s">
        <v>153</v>
      </c>
      <c r="J59" s="31" t="s">
        <v>153</v>
      </c>
      <c r="K59" s="31" t="s">
        <v>153</v>
      </c>
      <c r="L59" s="31">
        <f>VALUE(0)</f>
        <v>0</v>
      </c>
      <c r="M59" s="31">
        <f>VALUE(4)</f>
        <v>4</v>
      </c>
      <c r="N59" s="31">
        <f>VALUE(0)</f>
        <v>0</v>
      </c>
      <c r="O59" s="31">
        <f>VALUE(5)</f>
        <v>5</v>
      </c>
      <c r="P59" s="31">
        <f>VALUE(7)</f>
        <v>7</v>
      </c>
      <c r="Q59" s="31">
        <f>VALUE(6)</f>
        <v>6</v>
      </c>
      <c r="R59" s="31">
        <f>VALUE(7)</f>
        <v>7</v>
      </c>
      <c r="S59" s="31">
        <f>VALUE(7)</f>
        <v>7</v>
      </c>
      <c r="T59" s="31">
        <f>VALUE(2)</f>
        <v>2</v>
      </c>
      <c r="U59" s="31">
        <f>VALUE(0)</f>
        <v>0</v>
      </c>
      <c r="V59" s="31">
        <f>VALUE(0)</f>
        <v>0</v>
      </c>
      <c r="W59" s="31">
        <f>VALUE(6)</f>
        <v>6</v>
      </c>
      <c r="X59" s="31">
        <f>VALUE(5)</f>
        <v>5</v>
      </c>
      <c r="Y59" s="31">
        <f>VALUE(7)</f>
        <v>7</v>
      </c>
      <c r="Z59" s="31">
        <f>VALUE(7)</f>
        <v>7</v>
      </c>
      <c r="AA59" s="31">
        <f>VALUE(4)</f>
        <v>4</v>
      </c>
      <c r="AB59" s="31">
        <f>VALUE(0)</f>
        <v>0</v>
      </c>
      <c r="AC59" s="31">
        <f>VALUE(5)</f>
        <v>5</v>
      </c>
      <c r="AD59" s="31">
        <f>VALUE(8)</f>
        <v>8</v>
      </c>
      <c r="AE59" s="31">
        <f>VALUE(7)</f>
        <v>7</v>
      </c>
      <c r="AF59" s="31">
        <f>VALUE(8)</f>
        <v>8</v>
      </c>
      <c r="AG59" s="31">
        <f>VALUE(8)</f>
        <v>8</v>
      </c>
      <c r="AH59" s="31">
        <f>VALUE(3)</f>
        <v>3</v>
      </c>
      <c r="AI59" s="31">
        <f>VALUE(0)</f>
        <v>0</v>
      </c>
      <c r="AJ59" s="31">
        <f>VALUE(5)</f>
        <v>5</v>
      </c>
      <c r="AK59" s="31">
        <f>VALUE(8)</f>
        <v>8</v>
      </c>
      <c r="AL59" s="31">
        <f>VALUE(7)</f>
        <v>7</v>
      </c>
      <c r="AM59" s="31">
        <f>VALUE(8)</f>
        <v>8</v>
      </c>
      <c r="AN59" s="31">
        <f>VALUE(8)</f>
        <v>8</v>
      </c>
      <c r="AO59" s="31">
        <f>VALUE(5)</f>
        <v>5</v>
      </c>
      <c r="AP59" s="31">
        <v>0</v>
      </c>
      <c r="AQ59" s="31">
        <v>0</v>
      </c>
      <c r="AR59" s="31">
        <v>0</v>
      </c>
      <c r="AS59" s="31">
        <v>0</v>
      </c>
      <c r="AT59" s="31">
        <v>0</v>
      </c>
      <c r="AU59" s="31">
        <v>0</v>
      </c>
      <c r="AV59" s="31">
        <v>0</v>
      </c>
      <c r="AW59" s="31">
        <v>0</v>
      </c>
      <c r="AX59" s="31">
        <v>0</v>
      </c>
      <c r="AY59" s="31">
        <v>0</v>
      </c>
      <c r="AZ59" s="31">
        <v>0</v>
      </c>
      <c r="BA59" s="31">
        <v>0</v>
      </c>
      <c r="BB59" s="31">
        <v>0</v>
      </c>
      <c r="BC59" s="31">
        <v>0</v>
      </c>
      <c r="BD59" s="31">
        <v>0</v>
      </c>
      <c r="BE59" s="31">
        <v>0</v>
      </c>
      <c r="BF59" s="31">
        <v>0</v>
      </c>
      <c r="BG59" s="31">
        <v>0</v>
      </c>
      <c r="BH59" s="31">
        <v>0</v>
      </c>
      <c r="BI59" s="31">
        <v>0</v>
      </c>
      <c r="BJ59" s="31">
        <v>0</v>
      </c>
      <c r="BK59" s="12">
        <v>0</v>
      </c>
      <c r="BL59" s="12">
        <v>0</v>
      </c>
      <c r="BM59" s="12">
        <v>0</v>
      </c>
      <c r="BN59" s="12"/>
      <c r="BO59" s="12">
        <v>0</v>
      </c>
      <c r="BP59" s="12">
        <v>0</v>
      </c>
      <c r="BQ59" s="12">
        <v>0</v>
      </c>
      <c r="BR59" s="12">
        <v>0</v>
      </c>
      <c r="BS59" s="12">
        <v>0</v>
      </c>
      <c r="BT59" s="12">
        <v>0</v>
      </c>
      <c r="BU59" s="12">
        <v>0</v>
      </c>
      <c r="BV59" s="12">
        <v>0</v>
      </c>
      <c r="BW59" s="12">
        <v>0</v>
      </c>
      <c r="BX59" s="12">
        <v>0</v>
      </c>
      <c r="BY59" s="12">
        <v>0</v>
      </c>
      <c r="BZ59" s="12">
        <v>0</v>
      </c>
      <c r="CA59" s="12">
        <v>0</v>
      </c>
    </row>
    <row r="60" spans="1:79" hidden="1" x14ac:dyDescent="0.2">
      <c r="A60" s="12" t="s">
        <v>102</v>
      </c>
      <c r="B60" s="12" t="s">
        <v>108</v>
      </c>
      <c r="C60" s="12" t="s">
        <v>108</v>
      </c>
      <c r="D60" s="22" t="s">
        <v>260</v>
      </c>
      <c r="E60" s="22" t="s">
        <v>173</v>
      </c>
      <c r="F60" s="22" t="s">
        <v>681</v>
      </c>
      <c r="G60" s="22" t="s">
        <v>682</v>
      </c>
      <c r="H60" s="22" t="s">
        <v>150</v>
      </c>
      <c r="I60" s="22" t="s">
        <v>151</v>
      </c>
      <c r="J60" s="22" t="s">
        <v>162</v>
      </c>
      <c r="K60" s="22" t="s">
        <v>69</v>
      </c>
      <c r="L60" s="54" t="s">
        <v>156</v>
      </c>
      <c r="M60" s="23" t="s">
        <v>153</v>
      </c>
      <c r="N60" s="24" t="s">
        <v>153</v>
      </c>
      <c r="O60" s="23" t="s">
        <v>153</v>
      </c>
      <c r="P60" s="23" t="s">
        <v>153</v>
      </c>
      <c r="Q60" s="24" t="s">
        <v>156</v>
      </c>
      <c r="R60" s="23" t="s">
        <v>153</v>
      </c>
      <c r="S60" s="23" t="s">
        <v>153</v>
      </c>
      <c r="T60" s="23" t="s">
        <v>153</v>
      </c>
      <c r="U60" s="24" t="s">
        <v>153</v>
      </c>
      <c r="V60" s="54" t="s">
        <v>153</v>
      </c>
      <c r="W60" s="23" t="s">
        <v>153</v>
      </c>
      <c r="X60" s="23" t="s">
        <v>153</v>
      </c>
      <c r="Y60" s="24" t="s">
        <v>156</v>
      </c>
      <c r="Z60" s="23" t="s">
        <v>153</v>
      </c>
      <c r="AA60" s="23" t="s">
        <v>153</v>
      </c>
      <c r="AB60" s="24" t="s">
        <v>153</v>
      </c>
      <c r="AC60" s="23" t="s">
        <v>153</v>
      </c>
      <c r="AD60" s="23" t="s">
        <v>153</v>
      </c>
      <c r="AE60" s="24" t="s">
        <v>156</v>
      </c>
      <c r="AF60" s="23" t="s">
        <v>153</v>
      </c>
      <c r="AG60" s="23" t="s">
        <v>153</v>
      </c>
      <c r="AH60" s="23" t="s">
        <v>153</v>
      </c>
      <c r="AI60" s="24" t="s">
        <v>153</v>
      </c>
      <c r="AJ60" s="23" t="s">
        <v>153</v>
      </c>
      <c r="AK60" s="23" t="s">
        <v>153</v>
      </c>
      <c r="AL60" s="23" t="s">
        <v>153</v>
      </c>
      <c r="AM60" s="23" t="s">
        <v>153</v>
      </c>
      <c r="AN60" s="24" t="s">
        <v>156</v>
      </c>
      <c r="AO60" s="30" t="s">
        <v>29</v>
      </c>
      <c r="AP60" s="23">
        <f>VALUE(0)</f>
        <v>0</v>
      </c>
      <c r="AQ60" s="23">
        <f>VALUE(0)</f>
        <v>0</v>
      </c>
      <c r="AR60" s="23">
        <f>VALUE(0)</f>
        <v>0</v>
      </c>
      <c r="AS60" s="23">
        <f>VALUE(0)</f>
        <v>0</v>
      </c>
      <c r="AT60" s="23">
        <f>VALUE(0)</f>
        <v>0</v>
      </c>
      <c r="AU60" s="23">
        <f>VALUE(0)</f>
        <v>0</v>
      </c>
      <c r="AV60" s="23">
        <f>VALUE(6)</f>
        <v>6</v>
      </c>
      <c r="AW60" s="23">
        <f>VALUE(0)</f>
        <v>0</v>
      </c>
      <c r="AX60" s="23" t="s">
        <v>445</v>
      </c>
      <c r="AY60" s="23" t="s">
        <v>1189</v>
      </c>
      <c r="AZ60" s="23">
        <f>VALUE(0)</f>
        <v>0</v>
      </c>
      <c r="BA60" s="23">
        <f>VALUE(0)</f>
        <v>0</v>
      </c>
      <c r="BB60" s="23">
        <f>VALUE(0)</f>
        <v>0</v>
      </c>
      <c r="BC60" s="23">
        <f>VALUE(0)</f>
        <v>0</v>
      </c>
      <c r="BD60" s="23">
        <f>VALUE(0)</f>
        <v>0</v>
      </c>
      <c r="BE60" s="23">
        <f>VALUE(0)</f>
        <v>0</v>
      </c>
      <c r="BF60" s="23">
        <f>VALUE(0)</f>
        <v>0</v>
      </c>
      <c r="BG60" s="23">
        <f>VALUE(0)</f>
        <v>0</v>
      </c>
      <c r="BH60" s="23">
        <f>VALUE(0)</f>
        <v>0</v>
      </c>
      <c r="BI60" s="23">
        <f>VALUE(0)</f>
        <v>0</v>
      </c>
      <c r="BJ60" s="23">
        <f>VALUE(0)</f>
        <v>0</v>
      </c>
      <c r="BK60" s="12">
        <f>$AX$60*24</f>
        <v>17.5</v>
      </c>
      <c r="BL60" s="12">
        <f>$AY$60*24</f>
        <v>142</v>
      </c>
      <c r="BM60" s="12">
        <f>$BJ$60*24</f>
        <v>0</v>
      </c>
      <c r="BN60" s="12">
        <f>VALUE($I$60)/100</f>
        <v>1</v>
      </c>
      <c r="BO60" s="12">
        <v>0</v>
      </c>
      <c r="BP60" s="12">
        <v>0</v>
      </c>
      <c r="BQ60" s="12">
        <v>0</v>
      </c>
      <c r="BR60" s="12">
        <v>0</v>
      </c>
      <c r="BS60" s="12">
        <v>0</v>
      </c>
      <c r="BT60" s="12">
        <v>0</v>
      </c>
      <c r="BU60" s="12">
        <v>0</v>
      </c>
      <c r="BV60" s="12">
        <v>0</v>
      </c>
      <c r="BW60" s="12">
        <v>0</v>
      </c>
      <c r="BX60" s="12">
        <v>0</v>
      </c>
      <c r="BY60" s="12">
        <v>0</v>
      </c>
      <c r="BZ60" s="12">
        <v>0</v>
      </c>
      <c r="CA60" s="12">
        <v>0</v>
      </c>
    </row>
    <row r="61" spans="1:79" ht="15" hidden="1" x14ac:dyDescent="0.25">
      <c r="A61" s="12" t="s">
        <v>102</v>
      </c>
      <c r="B61" s="12" t="s">
        <v>108</v>
      </c>
      <c r="C61" s="12" t="s">
        <v>108</v>
      </c>
      <c r="D61" s="31" t="s">
        <v>262</v>
      </c>
      <c r="E61" s="31" t="s">
        <v>153</v>
      </c>
      <c r="F61" s="31" t="s">
        <v>175</v>
      </c>
      <c r="G61" s="31" t="s">
        <v>153</v>
      </c>
      <c r="H61" s="31" t="s">
        <v>153</v>
      </c>
      <c r="I61" s="31" t="s">
        <v>153</v>
      </c>
      <c r="J61" s="31" t="s">
        <v>153</v>
      </c>
      <c r="K61" s="31" t="s">
        <v>153</v>
      </c>
      <c r="L61" s="31">
        <f>VALUE(0)</f>
        <v>0</v>
      </c>
      <c r="M61" s="31">
        <f>VALUE(1)</f>
        <v>1</v>
      </c>
      <c r="N61" s="31">
        <f>VALUE(0)</f>
        <v>0</v>
      </c>
      <c r="O61" s="31">
        <f>VALUE(1)</f>
        <v>1</v>
      </c>
      <c r="P61" s="31">
        <f>VALUE(1)</f>
        <v>1</v>
      </c>
      <c r="Q61" s="31">
        <f>VALUE(0)</f>
        <v>0</v>
      </c>
      <c r="R61" s="31">
        <f>VALUE(1)</f>
        <v>1</v>
      </c>
      <c r="S61" s="31">
        <f>VALUE(1)</f>
        <v>1</v>
      </c>
      <c r="T61" s="31">
        <f>VALUE(1)</f>
        <v>1</v>
      </c>
      <c r="U61" s="31">
        <f>VALUE(0)</f>
        <v>0</v>
      </c>
      <c r="V61" s="31">
        <f>VALUE(0)</f>
        <v>0</v>
      </c>
      <c r="W61" s="31">
        <f>VALUE(1)</f>
        <v>1</v>
      </c>
      <c r="X61" s="31">
        <f>VALUE(1)</f>
        <v>1</v>
      </c>
      <c r="Y61" s="31">
        <f>VALUE(0)</f>
        <v>0</v>
      </c>
      <c r="Z61" s="31">
        <f>VALUE(1)</f>
        <v>1</v>
      </c>
      <c r="AA61" s="31">
        <f>VALUE(1)</f>
        <v>1</v>
      </c>
      <c r="AB61" s="31">
        <f>VALUE(0)</f>
        <v>0</v>
      </c>
      <c r="AC61" s="31">
        <f>VALUE(1)</f>
        <v>1</v>
      </c>
      <c r="AD61" s="31">
        <f>VALUE(1)</f>
        <v>1</v>
      </c>
      <c r="AE61" s="31">
        <f>VALUE(0)</f>
        <v>0</v>
      </c>
      <c r="AF61" s="31">
        <f>VALUE(1)</f>
        <v>1</v>
      </c>
      <c r="AG61" s="31">
        <f>VALUE(1)</f>
        <v>1</v>
      </c>
      <c r="AH61" s="31">
        <f>VALUE(1)</f>
        <v>1</v>
      </c>
      <c r="AI61" s="31">
        <f>VALUE(0)</f>
        <v>0</v>
      </c>
      <c r="AJ61" s="31">
        <f>VALUE(1)</f>
        <v>1</v>
      </c>
      <c r="AK61" s="31">
        <f>VALUE(1)</f>
        <v>1</v>
      </c>
      <c r="AL61" s="31">
        <f>VALUE(1)</f>
        <v>1</v>
      </c>
      <c r="AM61" s="31">
        <f>VALUE(1)</f>
        <v>1</v>
      </c>
      <c r="AN61" s="31">
        <f>VALUE(0)</f>
        <v>0</v>
      </c>
      <c r="AO61" s="31">
        <f>VALUE(0)</f>
        <v>0</v>
      </c>
      <c r="AP61" s="31">
        <v>0</v>
      </c>
      <c r="AQ61" s="31">
        <v>0</v>
      </c>
      <c r="AR61" s="31">
        <v>0</v>
      </c>
      <c r="AS61" s="31">
        <v>0</v>
      </c>
      <c r="AT61" s="31">
        <v>0</v>
      </c>
      <c r="AU61" s="31">
        <v>0</v>
      </c>
      <c r="AV61" s="31">
        <v>0</v>
      </c>
      <c r="AW61" s="31">
        <v>0</v>
      </c>
      <c r="AX61" s="31">
        <v>0</v>
      </c>
      <c r="AY61" s="31">
        <v>0</v>
      </c>
      <c r="AZ61" s="31">
        <v>0</v>
      </c>
      <c r="BA61" s="31">
        <v>0</v>
      </c>
      <c r="BB61" s="31">
        <v>0</v>
      </c>
      <c r="BC61" s="31">
        <v>0</v>
      </c>
      <c r="BD61" s="31">
        <v>0</v>
      </c>
      <c r="BE61" s="31">
        <v>0</v>
      </c>
      <c r="BF61" s="31">
        <v>0</v>
      </c>
      <c r="BG61" s="31">
        <v>0</v>
      </c>
      <c r="BH61" s="31">
        <v>0</v>
      </c>
      <c r="BI61" s="31">
        <v>0</v>
      </c>
      <c r="BJ61" s="31">
        <v>0</v>
      </c>
      <c r="BK61" s="12">
        <v>0</v>
      </c>
      <c r="BL61" s="12">
        <v>0</v>
      </c>
      <c r="BM61" s="12">
        <v>0</v>
      </c>
      <c r="BN61" s="12"/>
      <c r="BO61" s="12">
        <v>0</v>
      </c>
      <c r="BP61" s="12">
        <v>0</v>
      </c>
      <c r="BQ61" s="12">
        <v>0</v>
      </c>
      <c r="BR61" s="12">
        <v>0</v>
      </c>
      <c r="BS61" s="12">
        <v>0</v>
      </c>
      <c r="BT61" s="12">
        <v>0</v>
      </c>
      <c r="BU61" s="12">
        <v>0</v>
      </c>
      <c r="BV61" s="12">
        <v>0</v>
      </c>
      <c r="BW61" s="12">
        <v>0</v>
      </c>
      <c r="BX61" s="12">
        <v>0</v>
      </c>
      <c r="BY61" s="12">
        <v>0</v>
      </c>
      <c r="BZ61" s="12">
        <v>0</v>
      </c>
      <c r="CA61" s="12">
        <v>0</v>
      </c>
    </row>
    <row r="62" spans="1:79" hidden="1" x14ac:dyDescent="0.2">
      <c r="A62" s="12" t="s">
        <v>102</v>
      </c>
      <c r="B62" s="12" t="s">
        <v>109</v>
      </c>
      <c r="C62" s="12" t="s">
        <v>109</v>
      </c>
      <c r="D62" s="22" t="s">
        <v>263</v>
      </c>
      <c r="E62" s="22" t="s">
        <v>161</v>
      </c>
      <c r="F62" s="22" t="s">
        <v>683</v>
      </c>
      <c r="G62" s="22" t="s">
        <v>684</v>
      </c>
      <c r="H62" s="22" t="s">
        <v>150</v>
      </c>
      <c r="I62" s="22" t="s">
        <v>151</v>
      </c>
      <c r="J62" s="22" t="s">
        <v>264</v>
      </c>
      <c r="K62" s="22" t="s">
        <v>70</v>
      </c>
      <c r="L62" s="54" t="s">
        <v>153</v>
      </c>
      <c r="M62" s="23" t="s">
        <v>153</v>
      </c>
      <c r="N62" s="24" t="s">
        <v>153</v>
      </c>
      <c r="O62" s="23" t="s">
        <v>153</v>
      </c>
      <c r="P62" s="23" t="s">
        <v>153</v>
      </c>
      <c r="Q62" s="23" t="s">
        <v>153</v>
      </c>
      <c r="R62" s="23" t="s">
        <v>153</v>
      </c>
      <c r="S62" s="23" t="s">
        <v>153</v>
      </c>
      <c r="T62" s="24" t="s">
        <v>156</v>
      </c>
      <c r="U62" s="24" t="s">
        <v>153</v>
      </c>
      <c r="V62" s="54" t="s">
        <v>153</v>
      </c>
      <c r="W62" s="23" t="s">
        <v>153</v>
      </c>
      <c r="X62" s="23" t="s">
        <v>153</v>
      </c>
      <c r="Y62" s="23" t="s">
        <v>153</v>
      </c>
      <c r="Z62" s="23" t="s">
        <v>153</v>
      </c>
      <c r="AA62" s="23" t="s">
        <v>153</v>
      </c>
      <c r="AB62" s="24" t="s">
        <v>153</v>
      </c>
      <c r="AC62" s="23" t="s">
        <v>153</v>
      </c>
      <c r="AD62" s="23" t="s">
        <v>153</v>
      </c>
      <c r="AE62" s="23" t="s">
        <v>153</v>
      </c>
      <c r="AF62" s="23" t="s">
        <v>153</v>
      </c>
      <c r="AG62" s="23" t="s">
        <v>153</v>
      </c>
      <c r="AH62" s="24" t="s">
        <v>156</v>
      </c>
      <c r="AI62" s="24" t="s">
        <v>153</v>
      </c>
      <c r="AJ62" s="23" t="s">
        <v>153</v>
      </c>
      <c r="AK62" s="23" t="s">
        <v>153</v>
      </c>
      <c r="AL62" s="23" t="s">
        <v>153</v>
      </c>
      <c r="AM62" s="23" t="s">
        <v>153</v>
      </c>
      <c r="AN62" s="23" t="s">
        <v>153</v>
      </c>
      <c r="AO62" s="23" t="s">
        <v>153</v>
      </c>
      <c r="AP62" s="23">
        <f>VALUE(0)</f>
        <v>0</v>
      </c>
      <c r="AQ62" s="23">
        <f>VALUE(0)</f>
        <v>0</v>
      </c>
      <c r="AR62" s="23">
        <f>VALUE(0)</f>
        <v>0</v>
      </c>
      <c r="AS62" s="23">
        <f>VALUE(0)</f>
        <v>0</v>
      </c>
      <c r="AT62" s="23">
        <f>VALUE(0)</f>
        <v>0</v>
      </c>
      <c r="AU62" s="23">
        <f>VALUE(0)</f>
        <v>0</v>
      </c>
      <c r="AV62" s="23">
        <f>VALUE(5)</f>
        <v>5</v>
      </c>
      <c r="AW62" s="23">
        <f>VALUE(0)</f>
        <v>0</v>
      </c>
      <c r="AX62" s="23" t="s">
        <v>171</v>
      </c>
      <c r="AY62" s="23" t="s">
        <v>265</v>
      </c>
      <c r="AZ62" s="23">
        <f>VALUE(0)</f>
        <v>0</v>
      </c>
      <c r="BA62" s="23">
        <f>VALUE(0)</f>
        <v>0</v>
      </c>
      <c r="BB62" s="23">
        <f>VALUE(0)</f>
        <v>0</v>
      </c>
      <c r="BC62" s="23">
        <f>VALUE(0)</f>
        <v>0</v>
      </c>
      <c r="BD62" s="23">
        <f>VALUE(0)</f>
        <v>0</v>
      </c>
      <c r="BE62" s="23">
        <f>VALUE(0)</f>
        <v>0</v>
      </c>
      <c r="BF62" s="23">
        <f>VALUE(0)</f>
        <v>0</v>
      </c>
      <c r="BG62" s="23">
        <f>VALUE(0)</f>
        <v>0</v>
      </c>
      <c r="BH62" s="23">
        <f>VALUE(0)</f>
        <v>0</v>
      </c>
      <c r="BI62" s="23">
        <f>VALUE(0)</f>
        <v>0</v>
      </c>
      <c r="BJ62" s="23">
        <f>VALUE(0)</f>
        <v>0</v>
      </c>
      <c r="BK62" s="12">
        <f>$AX$62*24</f>
        <v>5.833333333333333</v>
      </c>
      <c r="BL62" s="12">
        <f>$AY$62*24</f>
        <v>5.7666666666666666</v>
      </c>
      <c r="BM62" s="12">
        <f>$BJ$62*24</f>
        <v>0</v>
      </c>
      <c r="BN62" s="12">
        <f>VALUE($I$62)/100</f>
        <v>1</v>
      </c>
      <c r="BO62" s="12">
        <v>0</v>
      </c>
      <c r="BP62" s="12">
        <v>0</v>
      </c>
      <c r="BQ62" s="12">
        <v>0</v>
      </c>
      <c r="BR62" s="12">
        <v>0</v>
      </c>
      <c r="BS62" s="12">
        <v>0</v>
      </c>
      <c r="BT62" s="12">
        <v>0</v>
      </c>
      <c r="BU62" s="12">
        <v>0</v>
      </c>
      <c r="BV62" s="12">
        <v>0</v>
      </c>
      <c r="BW62" s="12">
        <v>0</v>
      </c>
      <c r="BX62" s="12">
        <v>0</v>
      </c>
      <c r="BY62" s="12">
        <v>0</v>
      </c>
      <c r="BZ62" s="12">
        <v>0</v>
      </c>
      <c r="CA62" s="12">
        <v>0</v>
      </c>
    </row>
    <row r="63" spans="1:79" ht="16.5" hidden="1" x14ac:dyDescent="0.2">
      <c r="A63" s="12" t="s">
        <v>102</v>
      </c>
      <c r="B63" s="12" t="s">
        <v>109</v>
      </c>
      <c r="C63" s="12" t="s">
        <v>109</v>
      </c>
      <c r="D63" s="22" t="s">
        <v>266</v>
      </c>
      <c r="E63" s="22" t="s">
        <v>173</v>
      </c>
      <c r="F63" s="22" t="s">
        <v>685</v>
      </c>
      <c r="G63" s="22" t="s">
        <v>686</v>
      </c>
      <c r="H63" s="22" t="s">
        <v>150</v>
      </c>
      <c r="I63" s="22" t="s">
        <v>151</v>
      </c>
      <c r="J63" s="22" t="s">
        <v>181</v>
      </c>
      <c r="K63" s="22" t="s">
        <v>70</v>
      </c>
      <c r="L63" s="54" t="s">
        <v>153</v>
      </c>
      <c r="M63" s="24" t="s">
        <v>156</v>
      </c>
      <c r="N63" s="24" t="s">
        <v>153</v>
      </c>
      <c r="O63" s="28" t="s">
        <v>163</v>
      </c>
      <c r="P63" s="28" t="s">
        <v>163</v>
      </c>
      <c r="Q63" s="28" t="s">
        <v>163</v>
      </c>
      <c r="R63" s="28" t="s">
        <v>163</v>
      </c>
      <c r="S63" s="28" t="s">
        <v>163</v>
      </c>
      <c r="T63" s="28" t="s">
        <v>163</v>
      </c>
      <c r="U63" s="24" t="s">
        <v>153</v>
      </c>
      <c r="V63" s="54" t="s">
        <v>153</v>
      </c>
      <c r="W63" s="26" t="s">
        <v>267</v>
      </c>
      <c r="X63" s="26" t="s">
        <v>267</v>
      </c>
      <c r="Y63" s="26" t="s">
        <v>267</v>
      </c>
      <c r="Z63" s="26" t="s">
        <v>267</v>
      </c>
      <c r="AA63" s="24" t="s">
        <v>156</v>
      </c>
      <c r="AB63" s="24" t="s">
        <v>153</v>
      </c>
      <c r="AC63" s="28" t="s">
        <v>163</v>
      </c>
      <c r="AD63" s="28" t="s">
        <v>163</v>
      </c>
      <c r="AE63" s="28" t="s">
        <v>163</v>
      </c>
      <c r="AF63" s="28" t="s">
        <v>163</v>
      </c>
      <c r="AG63" s="28" t="s">
        <v>163</v>
      </c>
      <c r="AH63" s="28" t="s">
        <v>163</v>
      </c>
      <c r="AI63" s="24" t="s">
        <v>153</v>
      </c>
      <c r="AJ63" s="26" t="s">
        <v>267</v>
      </c>
      <c r="AK63" s="26" t="s">
        <v>267</v>
      </c>
      <c r="AL63" s="26" t="s">
        <v>267</v>
      </c>
      <c r="AM63" s="26" t="s">
        <v>267</v>
      </c>
      <c r="AN63" s="26" t="s">
        <v>267</v>
      </c>
      <c r="AO63" s="24" t="s">
        <v>156</v>
      </c>
      <c r="AP63" s="23">
        <f>VALUE(0)</f>
        <v>0</v>
      </c>
      <c r="AQ63" s="23">
        <f>VALUE(0)</f>
        <v>0</v>
      </c>
      <c r="AR63" s="23">
        <f>VALUE(0)</f>
        <v>0</v>
      </c>
      <c r="AS63" s="23">
        <f>VALUE(0)</f>
        <v>0</v>
      </c>
      <c r="AT63" s="23">
        <f>VALUE(0)</f>
        <v>0</v>
      </c>
      <c r="AU63" s="23">
        <f>VALUE(12)</f>
        <v>12</v>
      </c>
      <c r="AV63" s="23">
        <f>VALUE(2)</f>
        <v>2</v>
      </c>
      <c r="AW63" s="23">
        <f>VALUE(0)</f>
        <v>0</v>
      </c>
      <c r="AX63" s="23" t="s">
        <v>268</v>
      </c>
      <c r="AY63" s="23" t="s">
        <v>269</v>
      </c>
      <c r="AZ63" s="23">
        <f>VALUE(0)</f>
        <v>0</v>
      </c>
      <c r="BA63" s="23">
        <f>VALUE(0)</f>
        <v>0</v>
      </c>
      <c r="BB63" s="23">
        <f>VALUE(0)</f>
        <v>0</v>
      </c>
      <c r="BC63" s="23">
        <f>VALUE(0)</f>
        <v>0</v>
      </c>
      <c r="BD63" s="23">
        <f>VALUE(0)</f>
        <v>0</v>
      </c>
      <c r="BE63" s="23">
        <f>VALUE(0)</f>
        <v>0</v>
      </c>
      <c r="BF63" s="23">
        <f>VALUE(0)</f>
        <v>0</v>
      </c>
      <c r="BG63" s="23">
        <f>VALUE(0)</f>
        <v>0</v>
      </c>
      <c r="BH63" s="23">
        <f>VALUE(0)</f>
        <v>0</v>
      </c>
      <c r="BI63" s="23">
        <f>VALUE(0)</f>
        <v>0</v>
      </c>
      <c r="BJ63" s="23">
        <f>VALUE(0)</f>
        <v>0</v>
      </c>
      <c r="BK63" s="12">
        <f>$AX$63*24</f>
        <v>5.5333333333333332</v>
      </c>
      <c r="BL63" s="12">
        <f>$AY$63*24</f>
        <v>2.25</v>
      </c>
      <c r="BM63" s="12">
        <f>$BJ$63*24</f>
        <v>0</v>
      </c>
      <c r="BN63" s="12">
        <f>VALUE($I$63)/100</f>
        <v>1</v>
      </c>
      <c r="BO63" s="12">
        <v>0</v>
      </c>
      <c r="BP63" s="12">
        <v>0</v>
      </c>
      <c r="BQ63" s="12">
        <v>0</v>
      </c>
      <c r="BR63" s="12">
        <v>0</v>
      </c>
      <c r="BS63" s="12">
        <v>0</v>
      </c>
      <c r="BT63" s="12">
        <v>0</v>
      </c>
      <c r="BU63" s="12">
        <v>0</v>
      </c>
      <c r="BV63" s="12">
        <v>0</v>
      </c>
      <c r="BW63" s="12">
        <v>0</v>
      </c>
      <c r="BX63" s="12">
        <v>0</v>
      </c>
      <c r="BY63" s="12">
        <v>0</v>
      </c>
      <c r="BZ63" s="12">
        <v>0</v>
      </c>
      <c r="CA63" s="12">
        <v>0</v>
      </c>
    </row>
    <row r="64" spans="1:79" hidden="1" x14ac:dyDescent="0.2">
      <c r="A64" s="12" t="s">
        <v>102</v>
      </c>
      <c r="B64" s="12" t="s">
        <v>109</v>
      </c>
      <c r="C64" s="12" t="s">
        <v>109</v>
      </c>
      <c r="D64" s="22" t="s">
        <v>270</v>
      </c>
      <c r="E64" s="22" t="s">
        <v>161</v>
      </c>
      <c r="F64" s="22" t="s">
        <v>687</v>
      </c>
      <c r="G64" s="22" t="s">
        <v>688</v>
      </c>
      <c r="H64" s="22" t="s">
        <v>150</v>
      </c>
      <c r="I64" s="22" t="s">
        <v>151</v>
      </c>
      <c r="J64" s="22" t="s">
        <v>181</v>
      </c>
      <c r="K64" s="22" t="s">
        <v>70</v>
      </c>
      <c r="L64" s="54" t="s">
        <v>153</v>
      </c>
      <c r="M64" s="24" t="s">
        <v>156</v>
      </c>
      <c r="N64" s="24" t="s">
        <v>153</v>
      </c>
      <c r="O64" s="23" t="s">
        <v>153</v>
      </c>
      <c r="P64" s="23" t="s">
        <v>153</v>
      </c>
      <c r="Q64" s="23" t="s">
        <v>153</v>
      </c>
      <c r="R64" s="23" t="s">
        <v>153</v>
      </c>
      <c r="S64" s="23" t="s">
        <v>153</v>
      </c>
      <c r="T64" s="23" t="s">
        <v>153</v>
      </c>
      <c r="U64" s="24" t="s">
        <v>153</v>
      </c>
      <c r="V64" s="54" t="s">
        <v>153</v>
      </c>
      <c r="W64" s="23" t="s">
        <v>153</v>
      </c>
      <c r="X64" s="23" t="s">
        <v>153</v>
      </c>
      <c r="Y64" s="23" t="s">
        <v>153</v>
      </c>
      <c r="Z64" s="23" t="s">
        <v>153</v>
      </c>
      <c r="AA64" s="24" t="s">
        <v>156</v>
      </c>
      <c r="AB64" s="24" t="s">
        <v>153</v>
      </c>
      <c r="AC64" s="23" t="s">
        <v>153</v>
      </c>
      <c r="AD64" s="23" t="s">
        <v>153</v>
      </c>
      <c r="AE64" s="23" t="s">
        <v>153</v>
      </c>
      <c r="AF64" s="23" t="s">
        <v>153</v>
      </c>
      <c r="AG64" s="23" t="s">
        <v>153</v>
      </c>
      <c r="AH64" s="23" t="s">
        <v>153</v>
      </c>
      <c r="AI64" s="24" t="s">
        <v>153</v>
      </c>
      <c r="AJ64" s="23" t="s">
        <v>153</v>
      </c>
      <c r="AK64" s="23" t="s">
        <v>153</v>
      </c>
      <c r="AL64" s="23" t="s">
        <v>153</v>
      </c>
      <c r="AM64" s="23" t="s">
        <v>153</v>
      </c>
      <c r="AN64" s="23" t="s">
        <v>153</v>
      </c>
      <c r="AO64" s="24" t="s">
        <v>156</v>
      </c>
      <c r="AP64" s="23">
        <f>VALUE(0)</f>
        <v>0</v>
      </c>
      <c r="AQ64" s="23">
        <f>VALUE(0)</f>
        <v>0</v>
      </c>
      <c r="AR64" s="23">
        <f>VALUE(0)</f>
        <v>0</v>
      </c>
      <c r="AS64" s="23">
        <f>VALUE(0)</f>
        <v>0</v>
      </c>
      <c r="AT64" s="23">
        <f>VALUE(0)</f>
        <v>0</v>
      </c>
      <c r="AU64" s="23">
        <f>VALUE(0)</f>
        <v>0</v>
      </c>
      <c r="AV64" s="23">
        <f>VALUE(4)</f>
        <v>4</v>
      </c>
      <c r="AW64" s="23">
        <f>VALUE(0)</f>
        <v>0</v>
      </c>
      <c r="AX64" s="23" t="s">
        <v>271</v>
      </c>
      <c r="AY64" s="23">
        <f>VALUE(0)</f>
        <v>0</v>
      </c>
      <c r="AZ64" s="23">
        <f>VALUE(0)</f>
        <v>0</v>
      </c>
      <c r="BA64" s="23">
        <f>VALUE(0)</f>
        <v>0</v>
      </c>
      <c r="BB64" s="23">
        <f>VALUE(0)</f>
        <v>0</v>
      </c>
      <c r="BC64" s="23">
        <f>VALUE(0)</f>
        <v>0</v>
      </c>
      <c r="BD64" s="23">
        <f>VALUE(0)</f>
        <v>0</v>
      </c>
      <c r="BE64" s="23">
        <f>VALUE(0)</f>
        <v>0</v>
      </c>
      <c r="BF64" s="23">
        <f>VALUE(0)</f>
        <v>0</v>
      </c>
      <c r="BG64" s="23">
        <f>VALUE(0)</f>
        <v>0</v>
      </c>
      <c r="BH64" s="23">
        <f>VALUE(0)</f>
        <v>0</v>
      </c>
      <c r="BI64" s="23">
        <f>VALUE(0)</f>
        <v>0</v>
      </c>
      <c r="BJ64" s="23">
        <f>VALUE(0)</f>
        <v>0</v>
      </c>
      <c r="BK64" s="12">
        <f>$AX$64*24</f>
        <v>13.783333333333331</v>
      </c>
      <c r="BL64" s="12">
        <f>$AY$64*24</f>
        <v>0</v>
      </c>
      <c r="BM64" s="12">
        <f>$BJ$64*24</f>
        <v>0</v>
      </c>
      <c r="BN64" s="12">
        <f>VALUE($I$64)/100</f>
        <v>1</v>
      </c>
      <c r="BO64" s="12">
        <v>0</v>
      </c>
      <c r="BP64" s="12">
        <v>0</v>
      </c>
      <c r="BQ64" s="12">
        <v>0</v>
      </c>
      <c r="BR64" s="12">
        <v>0</v>
      </c>
      <c r="BS64" s="12">
        <v>0</v>
      </c>
      <c r="BT64" s="12">
        <v>0</v>
      </c>
      <c r="BU64" s="12">
        <v>0</v>
      </c>
      <c r="BV64" s="12">
        <v>0</v>
      </c>
      <c r="BW64" s="12">
        <v>0</v>
      </c>
      <c r="BX64" s="12">
        <v>0</v>
      </c>
      <c r="BY64" s="12">
        <v>0</v>
      </c>
      <c r="BZ64" s="12">
        <v>0</v>
      </c>
      <c r="CA64" s="12">
        <v>0</v>
      </c>
    </row>
    <row r="65" spans="1:79" x14ac:dyDescent="0.2">
      <c r="A65" s="12" t="s">
        <v>102</v>
      </c>
      <c r="B65" s="12" t="s">
        <v>109</v>
      </c>
      <c r="C65" s="12" t="s">
        <v>109</v>
      </c>
      <c r="D65" s="22" t="s">
        <v>240</v>
      </c>
      <c r="E65" s="22" t="s">
        <v>159</v>
      </c>
      <c r="F65" s="22" t="s">
        <v>689</v>
      </c>
      <c r="G65" s="22" t="s">
        <v>690</v>
      </c>
      <c r="H65" s="22" t="s">
        <v>150</v>
      </c>
      <c r="I65" s="22" t="s">
        <v>151</v>
      </c>
      <c r="J65" s="22" t="s">
        <v>181</v>
      </c>
      <c r="K65" s="22" t="s">
        <v>70</v>
      </c>
      <c r="L65" s="54" t="s">
        <v>153</v>
      </c>
      <c r="M65" s="24" t="s">
        <v>156</v>
      </c>
      <c r="N65" s="24" t="s">
        <v>153</v>
      </c>
      <c r="O65" s="23" t="s">
        <v>153</v>
      </c>
      <c r="P65" s="23" t="s">
        <v>153</v>
      </c>
      <c r="Q65" s="23" t="s">
        <v>153</v>
      </c>
      <c r="R65" s="23" t="s">
        <v>153</v>
      </c>
      <c r="S65" s="23" t="s">
        <v>153</v>
      </c>
      <c r="T65" s="23" t="s">
        <v>153</v>
      </c>
      <c r="U65" s="24" t="s">
        <v>153</v>
      </c>
      <c r="V65" s="54" t="s">
        <v>153</v>
      </c>
      <c r="W65" s="28" t="s">
        <v>163</v>
      </c>
      <c r="X65" s="28" t="s">
        <v>163</v>
      </c>
      <c r="Y65" s="28" t="s">
        <v>163</v>
      </c>
      <c r="Z65" s="28" t="s">
        <v>163</v>
      </c>
      <c r="AA65" s="28" t="s">
        <v>163</v>
      </c>
      <c r="AB65" s="24" t="s">
        <v>153</v>
      </c>
      <c r="AC65" s="23" t="s">
        <v>153</v>
      </c>
      <c r="AD65" s="23" t="s">
        <v>153</v>
      </c>
      <c r="AE65" s="23" t="s">
        <v>153</v>
      </c>
      <c r="AF65" s="23" t="s">
        <v>153</v>
      </c>
      <c r="AG65" s="23" t="s">
        <v>153</v>
      </c>
      <c r="AH65" s="23" t="s">
        <v>153</v>
      </c>
      <c r="AI65" s="24" t="s">
        <v>153</v>
      </c>
      <c r="AJ65" s="23" t="s">
        <v>153</v>
      </c>
      <c r="AK65" s="23" t="s">
        <v>153</v>
      </c>
      <c r="AL65" s="23" t="s">
        <v>153</v>
      </c>
      <c r="AM65" s="23" t="s">
        <v>153</v>
      </c>
      <c r="AN65" s="23" t="s">
        <v>153</v>
      </c>
      <c r="AO65" s="24" t="s">
        <v>156</v>
      </c>
      <c r="AP65" s="23">
        <f>VALUE(0)</f>
        <v>0</v>
      </c>
      <c r="AQ65" s="23">
        <f>VALUE(0)</f>
        <v>0</v>
      </c>
      <c r="AR65" s="23">
        <f>VALUE(0)</f>
        <v>0</v>
      </c>
      <c r="AS65" s="23">
        <f>VALUE(17)</f>
        <v>17</v>
      </c>
      <c r="AT65" s="23">
        <f>VALUE(0)</f>
        <v>0</v>
      </c>
      <c r="AU65" s="23">
        <f>VALUE(5)</f>
        <v>5</v>
      </c>
      <c r="AV65" s="23">
        <f>VALUE(0)</f>
        <v>0</v>
      </c>
      <c r="AW65" s="23">
        <f>VALUE(0)</f>
        <v>0</v>
      </c>
      <c r="AX65" s="23" t="s">
        <v>176</v>
      </c>
      <c r="AY65" s="23" t="s">
        <v>272</v>
      </c>
      <c r="AZ65" s="23">
        <f>VALUE(0)</f>
        <v>0</v>
      </c>
      <c r="BA65" s="23">
        <f>VALUE(0)</f>
        <v>0</v>
      </c>
      <c r="BB65" s="23">
        <f>VALUE(0)</f>
        <v>0</v>
      </c>
      <c r="BC65" s="23">
        <f>VALUE(0)</f>
        <v>0</v>
      </c>
      <c r="BD65" s="23">
        <f>VALUE(0)</f>
        <v>0</v>
      </c>
      <c r="BE65" s="23">
        <f>VALUE(0)</f>
        <v>0</v>
      </c>
      <c r="BF65" s="23">
        <f>VALUE(0)</f>
        <v>0</v>
      </c>
      <c r="BG65" s="23">
        <f>VALUE(0)</f>
        <v>0</v>
      </c>
      <c r="BH65" s="23">
        <f>VALUE(0)</f>
        <v>0</v>
      </c>
      <c r="BI65" s="23">
        <f>VALUE(0)</f>
        <v>0</v>
      </c>
      <c r="BJ65" s="23">
        <f>VALUE(0)</f>
        <v>0</v>
      </c>
      <c r="BK65" s="12">
        <f>$AX$65*24</f>
        <v>0</v>
      </c>
      <c r="BL65" s="12">
        <f>$AY$65*24</f>
        <v>11.833333333333334</v>
      </c>
      <c r="BM65" s="12">
        <f>$BJ$65*24</f>
        <v>0</v>
      </c>
      <c r="BN65" s="12">
        <f>VALUE($I$65)/100</f>
        <v>1</v>
      </c>
      <c r="BO65" s="12">
        <v>0</v>
      </c>
      <c r="BP65" s="12">
        <v>0</v>
      </c>
      <c r="BQ65" s="12">
        <v>0</v>
      </c>
      <c r="BR65" s="12">
        <v>0</v>
      </c>
      <c r="BS65" s="12">
        <v>0</v>
      </c>
      <c r="BT65" s="12">
        <v>0</v>
      </c>
      <c r="BU65" s="12">
        <v>0</v>
      </c>
      <c r="BV65" s="12">
        <v>0</v>
      </c>
      <c r="BW65" s="12">
        <v>0</v>
      </c>
      <c r="BX65" s="12">
        <v>0</v>
      </c>
      <c r="BY65" s="12">
        <v>0</v>
      </c>
      <c r="BZ65" s="12">
        <v>0</v>
      </c>
      <c r="CA65" s="12">
        <v>0</v>
      </c>
    </row>
    <row r="66" spans="1:79" hidden="1" x14ac:dyDescent="0.2">
      <c r="A66" s="12" t="s">
        <v>102</v>
      </c>
      <c r="B66" s="12" t="s">
        <v>109</v>
      </c>
      <c r="C66" s="12" t="s">
        <v>109</v>
      </c>
      <c r="D66" s="22" t="s">
        <v>273</v>
      </c>
      <c r="E66" s="22" t="s">
        <v>161</v>
      </c>
      <c r="F66" s="22" t="s">
        <v>691</v>
      </c>
      <c r="G66" s="22" t="s">
        <v>692</v>
      </c>
      <c r="H66" s="22" t="s">
        <v>150</v>
      </c>
      <c r="I66" s="22" t="s">
        <v>151</v>
      </c>
      <c r="J66" s="22" t="s">
        <v>181</v>
      </c>
      <c r="K66" s="22" t="s">
        <v>70</v>
      </c>
      <c r="L66" s="54" t="s">
        <v>153</v>
      </c>
      <c r="M66" s="23" t="s">
        <v>153</v>
      </c>
      <c r="N66" s="24" t="s">
        <v>153</v>
      </c>
      <c r="O66" s="28" t="s">
        <v>338</v>
      </c>
      <c r="P66" s="23" t="s">
        <v>153</v>
      </c>
      <c r="Q66" s="23" t="s">
        <v>153</v>
      </c>
      <c r="R66" s="23" t="s">
        <v>153</v>
      </c>
      <c r="S66" s="23" t="s">
        <v>153</v>
      </c>
      <c r="T66" s="23" t="s">
        <v>153</v>
      </c>
      <c r="U66" s="24" t="s">
        <v>153</v>
      </c>
      <c r="V66" s="54" t="s">
        <v>156</v>
      </c>
      <c r="W66" s="24" t="s">
        <v>156</v>
      </c>
      <c r="X66" s="23" t="s">
        <v>153</v>
      </c>
      <c r="Y66" s="23" t="s">
        <v>153</v>
      </c>
      <c r="Z66" s="23" t="s">
        <v>153</v>
      </c>
      <c r="AA66" s="23" t="s">
        <v>153</v>
      </c>
      <c r="AB66" s="24" t="s">
        <v>153</v>
      </c>
      <c r="AC66" s="23" t="s">
        <v>153</v>
      </c>
      <c r="AD66" s="23" t="s">
        <v>153</v>
      </c>
      <c r="AE66" s="23" t="s">
        <v>153</v>
      </c>
      <c r="AF66" s="23" t="s">
        <v>153</v>
      </c>
      <c r="AG66" s="23" t="s">
        <v>153</v>
      </c>
      <c r="AH66" s="23" t="s">
        <v>153</v>
      </c>
      <c r="AI66" s="24" t="s">
        <v>153</v>
      </c>
      <c r="AJ66" s="23" t="s">
        <v>153</v>
      </c>
      <c r="AK66" s="23" t="s">
        <v>153</v>
      </c>
      <c r="AL66" s="23" t="s">
        <v>153</v>
      </c>
      <c r="AM66" s="23" t="s">
        <v>153</v>
      </c>
      <c r="AN66" s="23" t="s">
        <v>153</v>
      </c>
      <c r="AO66" s="23" t="s">
        <v>153</v>
      </c>
      <c r="AP66" s="23">
        <f>VALUE(0)</f>
        <v>0</v>
      </c>
      <c r="AQ66" s="23">
        <f>VALUE(0)</f>
        <v>0</v>
      </c>
      <c r="AR66" s="23">
        <f>VALUE(0)</f>
        <v>0</v>
      </c>
      <c r="AS66" s="23">
        <f>VALUE(0)</f>
        <v>0</v>
      </c>
      <c r="AT66" s="23">
        <f>VALUE(1)</f>
        <v>1</v>
      </c>
      <c r="AU66" s="23">
        <f>VALUE(0)</f>
        <v>0</v>
      </c>
      <c r="AV66" s="23">
        <f>VALUE(5)</f>
        <v>5</v>
      </c>
      <c r="AW66" s="23">
        <f>VALUE(0)</f>
        <v>0</v>
      </c>
      <c r="AX66" s="23" t="s">
        <v>176</v>
      </c>
      <c r="AY66" s="23">
        <f>VALUE(0)</f>
        <v>0</v>
      </c>
      <c r="AZ66" s="23">
        <f>VALUE(0)</f>
        <v>0</v>
      </c>
      <c r="BA66" s="23">
        <f>VALUE(0)</f>
        <v>0</v>
      </c>
      <c r="BB66" s="23">
        <f>VALUE(0)</f>
        <v>0</v>
      </c>
      <c r="BC66" s="23">
        <f>VALUE(0)</f>
        <v>0</v>
      </c>
      <c r="BD66" s="23">
        <f>VALUE(0)</f>
        <v>0</v>
      </c>
      <c r="BE66" s="23">
        <f>VALUE(0)</f>
        <v>0</v>
      </c>
      <c r="BF66" s="23">
        <f>VALUE(0)</f>
        <v>0</v>
      </c>
      <c r="BG66" s="23">
        <f>VALUE(0)</f>
        <v>0</v>
      </c>
      <c r="BH66" s="23">
        <f>VALUE(0)</f>
        <v>0</v>
      </c>
      <c r="BI66" s="23">
        <f>VALUE(0)</f>
        <v>0</v>
      </c>
      <c r="BJ66" s="23">
        <f>VALUE(0)</f>
        <v>0</v>
      </c>
      <c r="BK66" s="12">
        <f>$AX$66*24</f>
        <v>0</v>
      </c>
      <c r="BL66" s="12">
        <f>$AY$66*24</f>
        <v>0</v>
      </c>
      <c r="BM66" s="12">
        <f>$BJ$66*24</f>
        <v>0</v>
      </c>
      <c r="BN66" s="12">
        <f>VALUE($I$66)/100</f>
        <v>1</v>
      </c>
      <c r="BO66" s="12">
        <v>0</v>
      </c>
      <c r="BP66" s="12">
        <v>0</v>
      </c>
      <c r="BQ66" s="12">
        <v>0</v>
      </c>
      <c r="BR66" s="12">
        <v>0</v>
      </c>
      <c r="BS66" s="12">
        <v>0</v>
      </c>
      <c r="BT66" s="12">
        <v>0</v>
      </c>
      <c r="BU66" s="12">
        <v>0</v>
      </c>
      <c r="BV66" s="12">
        <v>0</v>
      </c>
      <c r="BW66" s="12">
        <v>0</v>
      </c>
      <c r="BX66" s="12">
        <v>0</v>
      </c>
      <c r="BY66" s="12">
        <v>1</v>
      </c>
      <c r="BZ66" s="12">
        <v>0</v>
      </c>
      <c r="CA66" s="12">
        <v>0</v>
      </c>
    </row>
    <row r="67" spans="1:79" hidden="1" x14ac:dyDescent="0.2">
      <c r="A67" s="12" t="s">
        <v>102</v>
      </c>
      <c r="B67" s="12" t="s">
        <v>109</v>
      </c>
      <c r="C67" s="12" t="s">
        <v>109</v>
      </c>
      <c r="D67" s="22" t="s">
        <v>274</v>
      </c>
      <c r="E67" s="22" t="s">
        <v>161</v>
      </c>
      <c r="F67" s="22" t="s">
        <v>693</v>
      </c>
      <c r="G67" s="22" t="s">
        <v>694</v>
      </c>
      <c r="H67" s="22" t="s">
        <v>166</v>
      </c>
      <c r="I67" s="22" t="s">
        <v>151</v>
      </c>
      <c r="J67" s="22" t="s">
        <v>181</v>
      </c>
      <c r="K67" s="22" t="s">
        <v>70</v>
      </c>
      <c r="L67" s="54" t="s">
        <v>153</v>
      </c>
      <c r="M67" s="23" t="s">
        <v>153</v>
      </c>
      <c r="N67" s="24" t="s">
        <v>153</v>
      </c>
      <c r="O67" s="23" t="s">
        <v>153</v>
      </c>
      <c r="P67" s="23" t="s">
        <v>153</v>
      </c>
      <c r="Q67" s="23" t="s">
        <v>153</v>
      </c>
      <c r="R67" s="23" t="s">
        <v>153</v>
      </c>
      <c r="S67" s="23" t="s">
        <v>153</v>
      </c>
      <c r="T67" s="23" t="s">
        <v>153</v>
      </c>
      <c r="U67" s="24" t="s">
        <v>153</v>
      </c>
      <c r="V67" s="54" t="s">
        <v>153</v>
      </c>
      <c r="W67" s="23" t="s">
        <v>153</v>
      </c>
      <c r="X67" s="23" t="s">
        <v>153</v>
      </c>
      <c r="Y67" s="23" t="s">
        <v>153</v>
      </c>
      <c r="Z67" s="23" t="s">
        <v>153</v>
      </c>
      <c r="AA67" s="23" t="s">
        <v>153</v>
      </c>
      <c r="AB67" s="24" t="s">
        <v>153</v>
      </c>
      <c r="AC67" s="24" t="s">
        <v>156</v>
      </c>
      <c r="AD67" s="24" t="s">
        <v>156</v>
      </c>
      <c r="AE67" s="23" t="s">
        <v>153</v>
      </c>
      <c r="AF67" s="23" t="s">
        <v>153</v>
      </c>
      <c r="AG67" s="23" t="s">
        <v>153</v>
      </c>
      <c r="AH67" s="23" t="s">
        <v>153</v>
      </c>
      <c r="AI67" s="24" t="s">
        <v>153</v>
      </c>
      <c r="AJ67" s="23" t="s">
        <v>153</v>
      </c>
      <c r="AK67" s="23" t="s">
        <v>153</v>
      </c>
      <c r="AL67" s="23" t="s">
        <v>153</v>
      </c>
      <c r="AM67" s="23" t="s">
        <v>153</v>
      </c>
      <c r="AN67" s="23" t="s">
        <v>153</v>
      </c>
      <c r="AO67" s="23" t="s">
        <v>153</v>
      </c>
      <c r="AP67" s="23">
        <f>VALUE(0)</f>
        <v>0</v>
      </c>
      <c r="AQ67" s="23">
        <f>VALUE(0)</f>
        <v>0</v>
      </c>
      <c r="AR67" s="23">
        <f>VALUE(0)</f>
        <v>0</v>
      </c>
      <c r="AS67" s="23">
        <f>VALUE(0)</f>
        <v>0</v>
      </c>
      <c r="AT67" s="23">
        <f>VALUE(0)</f>
        <v>0</v>
      </c>
      <c r="AU67" s="23">
        <f>VALUE(0)</f>
        <v>0</v>
      </c>
      <c r="AV67" s="23">
        <f>VALUE(2.5)</f>
        <v>2.5</v>
      </c>
      <c r="AW67" s="23">
        <f>VALUE(0)</f>
        <v>0</v>
      </c>
      <c r="AX67" s="23" t="s">
        <v>275</v>
      </c>
      <c r="AY67" s="23">
        <f>VALUE(0)</f>
        <v>0</v>
      </c>
      <c r="AZ67" s="23">
        <f>VALUE(0)</f>
        <v>0</v>
      </c>
      <c r="BA67" s="23">
        <f>VALUE(0)</f>
        <v>0</v>
      </c>
      <c r="BB67" s="23">
        <f>VALUE(0)</f>
        <v>0</v>
      </c>
      <c r="BC67" s="23">
        <f>VALUE(0)</f>
        <v>0</v>
      </c>
      <c r="BD67" s="23">
        <f>VALUE(0)</f>
        <v>0</v>
      </c>
      <c r="BE67" s="23">
        <f>VALUE(0)</f>
        <v>0</v>
      </c>
      <c r="BF67" s="23">
        <f>VALUE(0)</f>
        <v>0</v>
      </c>
      <c r="BG67" s="23">
        <f>VALUE(0)</f>
        <v>0</v>
      </c>
      <c r="BH67" s="23">
        <f>VALUE(0)</f>
        <v>0</v>
      </c>
      <c r="BI67" s="23">
        <f>VALUE(0)</f>
        <v>0</v>
      </c>
      <c r="BJ67" s="23">
        <f>VALUE(0)</f>
        <v>0</v>
      </c>
      <c r="BK67" s="12">
        <f>$AX$67*24</f>
        <v>4.2166666666666668</v>
      </c>
      <c r="BL67" s="12">
        <f>$AY$67*24</f>
        <v>0</v>
      </c>
      <c r="BM67" s="12">
        <f>$BJ$67*24</f>
        <v>0</v>
      </c>
      <c r="BN67" s="12">
        <f>VALUE($I$67)/100</f>
        <v>1</v>
      </c>
      <c r="BO67" s="12">
        <v>0</v>
      </c>
      <c r="BP67" s="12">
        <v>0</v>
      </c>
      <c r="BQ67" s="12">
        <v>0</v>
      </c>
      <c r="BR67" s="12">
        <v>0</v>
      </c>
      <c r="BS67" s="12">
        <v>0</v>
      </c>
      <c r="BT67" s="12">
        <v>0</v>
      </c>
      <c r="BU67" s="12">
        <v>0</v>
      </c>
      <c r="BV67" s="12">
        <v>0</v>
      </c>
      <c r="BW67" s="12">
        <v>0</v>
      </c>
      <c r="BX67" s="12">
        <v>0</v>
      </c>
      <c r="BY67" s="12">
        <v>0</v>
      </c>
      <c r="BZ67" s="12">
        <v>0</v>
      </c>
      <c r="CA67" s="12">
        <v>0</v>
      </c>
    </row>
    <row r="68" spans="1:79" hidden="1" x14ac:dyDescent="0.2">
      <c r="A68" s="12" t="s">
        <v>102</v>
      </c>
      <c r="B68" s="12" t="s">
        <v>109</v>
      </c>
      <c r="C68" s="12" t="s">
        <v>109</v>
      </c>
      <c r="D68" s="22" t="s">
        <v>276</v>
      </c>
      <c r="E68" s="22" t="s">
        <v>161</v>
      </c>
      <c r="F68" s="22" t="s">
        <v>695</v>
      </c>
      <c r="G68" s="22" t="s">
        <v>696</v>
      </c>
      <c r="H68" s="22" t="s">
        <v>150</v>
      </c>
      <c r="I68" s="22" t="s">
        <v>151</v>
      </c>
      <c r="J68" s="22" t="s">
        <v>181</v>
      </c>
      <c r="K68" s="22" t="s">
        <v>70</v>
      </c>
      <c r="L68" s="54" t="s">
        <v>153</v>
      </c>
      <c r="M68" s="23" t="s">
        <v>153</v>
      </c>
      <c r="N68" s="24" t="s">
        <v>153</v>
      </c>
      <c r="O68" s="24" t="s">
        <v>156</v>
      </c>
      <c r="P68" s="24" t="s">
        <v>156</v>
      </c>
      <c r="Q68" s="23" t="s">
        <v>153</v>
      </c>
      <c r="R68" s="23" t="s">
        <v>153</v>
      </c>
      <c r="S68" s="23" t="s">
        <v>153</v>
      </c>
      <c r="T68" s="23" t="s">
        <v>153</v>
      </c>
      <c r="U68" s="24" t="s">
        <v>153</v>
      </c>
      <c r="V68" s="54" t="s">
        <v>153</v>
      </c>
      <c r="W68" s="33" t="s">
        <v>201</v>
      </c>
      <c r="X68" s="33" t="s">
        <v>201</v>
      </c>
      <c r="Y68" s="33" t="s">
        <v>201</v>
      </c>
      <c r="Z68" s="33" t="s">
        <v>201</v>
      </c>
      <c r="AA68" s="33" t="s">
        <v>201</v>
      </c>
      <c r="AB68" s="24" t="s">
        <v>153</v>
      </c>
      <c r="AC68" s="33" t="s">
        <v>201</v>
      </c>
      <c r="AD68" s="33" t="s">
        <v>201</v>
      </c>
      <c r="AE68" s="33" t="s">
        <v>201</v>
      </c>
      <c r="AF68" s="33" t="s">
        <v>201</v>
      </c>
      <c r="AG68" s="33" t="s">
        <v>201</v>
      </c>
      <c r="AH68" s="33" t="s">
        <v>201</v>
      </c>
      <c r="AI68" s="24" t="s">
        <v>153</v>
      </c>
      <c r="AJ68" s="24" t="s">
        <v>156</v>
      </c>
      <c r="AK68" s="24" t="s">
        <v>156</v>
      </c>
      <c r="AL68" s="28" t="s">
        <v>163</v>
      </c>
      <c r="AM68" s="28" t="s">
        <v>163</v>
      </c>
      <c r="AN68" s="28" t="s">
        <v>163</v>
      </c>
      <c r="AO68" s="28" t="s">
        <v>163</v>
      </c>
      <c r="AP68" s="23">
        <f>VALUE(0)</f>
        <v>0</v>
      </c>
      <c r="AQ68" s="23">
        <f>VALUE(0)</f>
        <v>0</v>
      </c>
      <c r="AR68" s="23">
        <f>VALUE(0)</f>
        <v>0</v>
      </c>
      <c r="AS68" s="23">
        <f>VALUE(0)</f>
        <v>0</v>
      </c>
      <c r="AT68" s="23">
        <f>VALUE(0)</f>
        <v>0</v>
      </c>
      <c r="AU68" s="23">
        <f>VALUE(4)</f>
        <v>4</v>
      </c>
      <c r="AV68" s="23">
        <f>VALUE(6)</f>
        <v>6</v>
      </c>
      <c r="AW68" s="23">
        <f>VALUE(0)</f>
        <v>0</v>
      </c>
      <c r="AX68" s="23" t="s">
        <v>277</v>
      </c>
      <c r="AY68" s="23">
        <f>VALUE(0)</f>
        <v>0</v>
      </c>
      <c r="AZ68" s="23">
        <f>VALUE(0)</f>
        <v>0</v>
      </c>
      <c r="BA68" s="23">
        <f>VALUE(0)</f>
        <v>0</v>
      </c>
      <c r="BB68" s="23">
        <f>VALUE(11)</f>
        <v>11</v>
      </c>
      <c r="BC68" s="23">
        <f>VALUE(0)</f>
        <v>0</v>
      </c>
      <c r="BD68" s="23">
        <f>VALUE(0)</f>
        <v>0</v>
      </c>
      <c r="BE68" s="23">
        <f>VALUE(0)</f>
        <v>0</v>
      </c>
      <c r="BF68" s="23">
        <f>VALUE(0)</f>
        <v>0</v>
      </c>
      <c r="BG68" s="23">
        <f>VALUE(0)</f>
        <v>0</v>
      </c>
      <c r="BH68" s="23">
        <f>VALUE(0)</f>
        <v>0</v>
      </c>
      <c r="BI68" s="23">
        <f>VALUE(0)</f>
        <v>0</v>
      </c>
      <c r="BJ68" s="23">
        <f>VALUE(0)</f>
        <v>0</v>
      </c>
      <c r="BK68" s="12">
        <f>$AX$68*24</f>
        <v>28.716666666666661</v>
      </c>
      <c r="BL68" s="12">
        <f>$AY$68*24</f>
        <v>0</v>
      </c>
      <c r="BM68" s="12">
        <f>$BJ$68*24</f>
        <v>0</v>
      </c>
      <c r="BN68" s="12">
        <f>VALUE($I$68)/100</f>
        <v>1</v>
      </c>
      <c r="BO68" s="12">
        <v>0</v>
      </c>
      <c r="BP68" s="12">
        <v>0</v>
      </c>
      <c r="BQ68" s="12">
        <v>0</v>
      </c>
      <c r="BR68" s="12">
        <v>0</v>
      </c>
      <c r="BS68" s="12">
        <v>0</v>
      </c>
      <c r="BT68" s="12">
        <v>0</v>
      </c>
      <c r="BU68" s="12">
        <v>0</v>
      </c>
      <c r="BV68" s="12">
        <v>0</v>
      </c>
      <c r="BW68" s="12">
        <v>0</v>
      </c>
      <c r="BX68" s="12">
        <v>0</v>
      </c>
      <c r="BY68" s="12">
        <v>0</v>
      </c>
      <c r="BZ68" s="12">
        <v>0</v>
      </c>
      <c r="CA68" s="12">
        <v>0</v>
      </c>
    </row>
    <row r="69" spans="1:79" hidden="1" x14ac:dyDescent="0.2">
      <c r="A69" s="12" t="s">
        <v>102</v>
      </c>
      <c r="B69" s="12" t="s">
        <v>109</v>
      </c>
      <c r="C69" s="12" t="s">
        <v>109</v>
      </c>
      <c r="D69" s="22" t="s">
        <v>278</v>
      </c>
      <c r="E69" s="22" t="s">
        <v>161</v>
      </c>
      <c r="F69" s="22" t="s">
        <v>697</v>
      </c>
      <c r="G69" s="22" t="s">
        <v>698</v>
      </c>
      <c r="H69" s="22" t="s">
        <v>279</v>
      </c>
      <c r="I69" s="22" t="s">
        <v>151</v>
      </c>
      <c r="J69" s="22" t="s">
        <v>181</v>
      </c>
      <c r="K69" s="22" t="s">
        <v>70</v>
      </c>
      <c r="L69" s="54" t="s">
        <v>153</v>
      </c>
      <c r="M69" s="23" t="s">
        <v>153</v>
      </c>
      <c r="N69" s="24" t="s">
        <v>153</v>
      </c>
      <c r="O69" s="23" t="s">
        <v>266</v>
      </c>
      <c r="P69" s="23" t="s">
        <v>266</v>
      </c>
      <c r="Q69" s="23" t="s">
        <v>266</v>
      </c>
      <c r="R69" s="23" t="s">
        <v>266</v>
      </c>
      <c r="S69" s="23" t="s">
        <v>266</v>
      </c>
      <c r="T69" s="23" t="s">
        <v>266</v>
      </c>
      <c r="U69" s="24" t="s">
        <v>153</v>
      </c>
      <c r="V69" s="54" t="s">
        <v>153</v>
      </c>
      <c r="W69" s="23" t="s">
        <v>240</v>
      </c>
      <c r="X69" s="23" t="s">
        <v>240</v>
      </c>
      <c r="Y69" s="23" t="s">
        <v>240</v>
      </c>
      <c r="Z69" s="23" t="s">
        <v>240</v>
      </c>
      <c r="AA69" s="23" t="s">
        <v>240</v>
      </c>
      <c r="AB69" s="24" t="s">
        <v>153</v>
      </c>
      <c r="AC69" s="27" t="s">
        <v>153</v>
      </c>
      <c r="AD69" s="27" t="s">
        <v>153</v>
      </c>
      <c r="AE69" s="27" t="s">
        <v>153</v>
      </c>
      <c r="AF69" s="27" t="s">
        <v>153</v>
      </c>
      <c r="AG69" s="27" t="s">
        <v>153</v>
      </c>
      <c r="AH69" s="27" t="s">
        <v>153</v>
      </c>
      <c r="AI69" s="24" t="s">
        <v>153</v>
      </c>
      <c r="AJ69" s="27" t="s">
        <v>153</v>
      </c>
      <c r="AK69" s="27" t="s">
        <v>153</v>
      </c>
      <c r="AL69" s="27" t="s">
        <v>153</v>
      </c>
      <c r="AM69" s="27" t="s">
        <v>153</v>
      </c>
      <c r="AN69" s="27" t="s">
        <v>153</v>
      </c>
      <c r="AO69" s="27" t="s">
        <v>153</v>
      </c>
      <c r="AP69" s="23">
        <f>VALUE(0)</f>
        <v>0</v>
      </c>
      <c r="AQ69" s="23">
        <f>VALUE(0)</f>
        <v>0</v>
      </c>
      <c r="AR69" s="23">
        <f>VALUE(0)</f>
        <v>0</v>
      </c>
      <c r="AS69" s="23">
        <f>VALUE(0)</f>
        <v>0</v>
      </c>
      <c r="AT69" s="23">
        <f>VALUE(0)</f>
        <v>0</v>
      </c>
      <c r="AU69" s="23">
        <f>VALUE(0)</f>
        <v>0</v>
      </c>
      <c r="AV69" s="23">
        <f>VALUE(0)</f>
        <v>0</v>
      </c>
      <c r="AW69" s="23">
        <f>VALUE(0)</f>
        <v>0</v>
      </c>
      <c r="AX69" s="23">
        <f>VALUE(0)</f>
        <v>0</v>
      </c>
      <c r="AY69" s="23">
        <f>VALUE(0)</f>
        <v>0</v>
      </c>
      <c r="AZ69" s="23">
        <f>VALUE(0)</f>
        <v>0</v>
      </c>
      <c r="BA69" s="23">
        <f>VALUE(0)</f>
        <v>0</v>
      </c>
      <c r="BB69" s="23">
        <f>VALUE(0)</f>
        <v>0</v>
      </c>
      <c r="BC69" s="23">
        <f>VALUE(0)</f>
        <v>0</v>
      </c>
      <c r="BD69" s="23">
        <f>VALUE(0)</f>
        <v>0</v>
      </c>
      <c r="BE69" s="23">
        <f>VALUE(0)</f>
        <v>0</v>
      </c>
      <c r="BF69" s="23">
        <f>VALUE(0)</f>
        <v>0</v>
      </c>
      <c r="BG69" s="23">
        <f>VALUE(0)</f>
        <v>0</v>
      </c>
      <c r="BH69" s="23">
        <f>VALUE(0)</f>
        <v>0</v>
      </c>
      <c r="BI69" s="23">
        <f>VALUE(0)</f>
        <v>0</v>
      </c>
      <c r="BJ69" s="23">
        <f>VALUE(0)</f>
        <v>0</v>
      </c>
      <c r="BK69" s="12">
        <f>$AX$69*24</f>
        <v>0</v>
      </c>
      <c r="BL69" s="12">
        <f>$AY$69*24</f>
        <v>0</v>
      </c>
      <c r="BM69" s="12">
        <f>$BJ$69*24</f>
        <v>0</v>
      </c>
      <c r="BN69" s="12">
        <f>VALUE($I$69)/100</f>
        <v>1</v>
      </c>
      <c r="BO69" s="12">
        <v>0</v>
      </c>
      <c r="BP69" s="12">
        <v>0</v>
      </c>
      <c r="BQ69" s="12">
        <v>0</v>
      </c>
      <c r="BR69" s="12">
        <v>0</v>
      </c>
      <c r="BS69" s="12">
        <v>0</v>
      </c>
      <c r="BT69" s="12">
        <v>0</v>
      </c>
      <c r="BU69" s="12">
        <v>0</v>
      </c>
      <c r="BV69" s="12">
        <v>0</v>
      </c>
      <c r="BW69" s="12">
        <v>0</v>
      </c>
      <c r="BX69" s="12">
        <v>0</v>
      </c>
      <c r="BY69" s="12">
        <v>0</v>
      </c>
      <c r="BZ69" s="12">
        <v>0</v>
      </c>
      <c r="CA69" s="12">
        <v>0</v>
      </c>
    </row>
    <row r="70" spans="1:79" hidden="1" x14ac:dyDescent="0.2">
      <c r="A70" s="12" t="s">
        <v>102</v>
      </c>
      <c r="B70" s="12" t="s">
        <v>109</v>
      </c>
      <c r="C70" s="12" t="s">
        <v>109</v>
      </c>
      <c r="D70" s="22" t="s">
        <v>278</v>
      </c>
      <c r="E70" s="22" t="s">
        <v>161</v>
      </c>
      <c r="F70" s="22" t="s">
        <v>699</v>
      </c>
      <c r="G70" s="22" t="s">
        <v>700</v>
      </c>
      <c r="H70" s="22" t="s">
        <v>150</v>
      </c>
      <c r="I70" s="22" t="s">
        <v>151</v>
      </c>
      <c r="J70" s="22" t="s">
        <v>181</v>
      </c>
      <c r="K70" s="22" t="s">
        <v>70</v>
      </c>
      <c r="L70" s="54" t="s">
        <v>153</v>
      </c>
      <c r="M70" s="28" t="s">
        <v>163</v>
      </c>
      <c r="N70" s="24" t="s">
        <v>153</v>
      </c>
      <c r="O70" s="23" t="s">
        <v>153</v>
      </c>
      <c r="P70" s="23" t="s">
        <v>153</v>
      </c>
      <c r="Q70" s="23" t="s">
        <v>153</v>
      </c>
      <c r="R70" s="23" t="s">
        <v>153</v>
      </c>
      <c r="S70" s="23" t="s">
        <v>153</v>
      </c>
      <c r="T70" s="24" t="s">
        <v>156</v>
      </c>
      <c r="U70" s="24" t="s">
        <v>153</v>
      </c>
      <c r="V70" s="54" t="s">
        <v>153</v>
      </c>
      <c r="W70" s="23" t="s">
        <v>153</v>
      </c>
      <c r="X70" s="23" t="s">
        <v>153</v>
      </c>
      <c r="Y70" s="23" t="s">
        <v>153</v>
      </c>
      <c r="Z70" s="23" t="s">
        <v>153</v>
      </c>
      <c r="AA70" s="23" t="s">
        <v>153</v>
      </c>
      <c r="AB70" s="24" t="s">
        <v>153</v>
      </c>
      <c r="AC70" s="23" t="s">
        <v>153</v>
      </c>
      <c r="AD70" s="23" t="s">
        <v>153</v>
      </c>
      <c r="AE70" s="23" t="s">
        <v>153</v>
      </c>
      <c r="AF70" s="23" t="s">
        <v>153</v>
      </c>
      <c r="AG70" s="23" t="s">
        <v>153</v>
      </c>
      <c r="AH70" s="24" t="s">
        <v>156</v>
      </c>
      <c r="AI70" s="24" t="s">
        <v>153</v>
      </c>
      <c r="AJ70" s="23" t="s">
        <v>153</v>
      </c>
      <c r="AK70" s="23" t="s">
        <v>153</v>
      </c>
      <c r="AL70" s="23" t="s">
        <v>153</v>
      </c>
      <c r="AM70" s="23" t="s">
        <v>153</v>
      </c>
      <c r="AN70" s="23" t="s">
        <v>153</v>
      </c>
      <c r="AO70" s="23" t="s">
        <v>153</v>
      </c>
      <c r="AP70" s="23">
        <f>VALUE(0)</f>
        <v>0</v>
      </c>
      <c r="AQ70" s="23">
        <f>VALUE(0)</f>
        <v>0</v>
      </c>
      <c r="AR70" s="23">
        <f>VALUE(0)</f>
        <v>0</v>
      </c>
      <c r="AS70" s="23">
        <f>VALUE(0)</f>
        <v>0</v>
      </c>
      <c r="AT70" s="23">
        <f>VALUE(0)</f>
        <v>0</v>
      </c>
      <c r="AU70" s="23">
        <f>VALUE(1)</f>
        <v>1</v>
      </c>
      <c r="AV70" s="23">
        <f>VALUE(7)</f>
        <v>7</v>
      </c>
      <c r="AW70" s="23">
        <f>VALUE(0)</f>
        <v>0</v>
      </c>
      <c r="AX70" s="23">
        <f>VALUE(0)</f>
        <v>0</v>
      </c>
      <c r="AY70" s="23" t="s">
        <v>281</v>
      </c>
      <c r="AZ70" s="23">
        <f>VALUE(0)</f>
        <v>0</v>
      </c>
      <c r="BA70" s="23">
        <f>VALUE(0)</f>
        <v>0</v>
      </c>
      <c r="BB70" s="23">
        <f>VALUE(0)</f>
        <v>0</v>
      </c>
      <c r="BC70" s="23">
        <f>VALUE(0)</f>
        <v>0</v>
      </c>
      <c r="BD70" s="23">
        <f>VALUE(0)</f>
        <v>0</v>
      </c>
      <c r="BE70" s="23">
        <f>VALUE(0)</f>
        <v>0</v>
      </c>
      <c r="BF70" s="23">
        <f>VALUE(0)</f>
        <v>0</v>
      </c>
      <c r="BG70" s="23">
        <f>VALUE(0)</f>
        <v>0</v>
      </c>
      <c r="BH70" s="23">
        <f>VALUE(0)</f>
        <v>0</v>
      </c>
      <c r="BI70" s="23">
        <f>VALUE(0)</f>
        <v>0</v>
      </c>
      <c r="BJ70" s="23">
        <f>VALUE(0)</f>
        <v>0</v>
      </c>
      <c r="BK70" s="12">
        <f>$AX$70*24</f>
        <v>0</v>
      </c>
      <c r="BL70" s="12">
        <f>$AY$70*24</f>
        <v>6.7166666666666668</v>
      </c>
      <c r="BM70" s="12">
        <f>$BJ$70*24</f>
        <v>0</v>
      </c>
      <c r="BN70" s="12">
        <f>VALUE($I$70)/100</f>
        <v>1</v>
      </c>
      <c r="BO70" s="12">
        <v>0</v>
      </c>
      <c r="BP70" s="12">
        <v>0</v>
      </c>
      <c r="BQ70" s="12">
        <v>0</v>
      </c>
      <c r="BR70" s="12">
        <v>0</v>
      </c>
      <c r="BS70" s="12">
        <v>0</v>
      </c>
      <c r="BT70" s="12">
        <v>0</v>
      </c>
      <c r="BU70" s="12">
        <v>0</v>
      </c>
      <c r="BV70" s="12">
        <v>0</v>
      </c>
      <c r="BW70" s="12">
        <v>0</v>
      </c>
      <c r="BX70" s="12">
        <v>0</v>
      </c>
      <c r="BY70" s="12">
        <v>0</v>
      </c>
      <c r="BZ70" s="12">
        <v>0</v>
      </c>
      <c r="CA70" s="12">
        <v>0</v>
      </c>
    </row>
    <row r="71" spans="1:79" hidden="1" x14ac:dyDescent="0.2">
      <c r="A71" s="12" t="s">
        <v>102</v>
      </c>
      <c r="B71" s="12" t="s">
        <v>109</v>
      </c>
      <c r="C71" s="12" t="s">
        <v>109</v>
      </c>
      <c r="D71" s="22" t="s">
        <v>280</v>
      </c>
      <c r="E71" s="22" t="s">
        <v>161</v>
      </c>
      <c r="F71" s="22" t="s">
        <v>701</v>
      </c>
      <c r="G71" s="22" t="s">
        <v>702</v>
      </c>
      <c r="H71" s="22" t="s">
        <v>166</v>
      </c>
      <c r="I71" s="22" t="s">
        <v>151</v>
      </c>
      <c r="J71" s="22" t="s">
        <v>181</v>
      </c>
      <c r="K71" s="22" t="s">
        <v>70</v>
      </c>
      <c r="L71" s="54" t="s">
        <v>153</v>
      </c>
      <c r="M71" s="23" t="s">
        <v>153</v>
      </c>
      <c r="N71" s="24" t="s">
        <v>153</v>
      </c>
      <c r="O71" s="23" t="s">
        <v>153</v>
      </c>
      <c r="P71" s="23" t="s">
        <v>153</v>
      </c>
      <c r="Q71" s="23" t="s">
        <v>153</v>
      </c>
      <c r="R71" s="23" t="s">
        <v>153</v>
      </c>
      <c r="S71" s="23" t="s">
        <v>153</v>
      </c>
      <c r="T71" s="24" t="s">
        <v>156</v>
      </c>
      <c r="U71" s="24" t="s">
        <v>153</v>
      </c>
      <c r="V71" s="54" t="s">
        <v>153</v>
      </c>
      <c r="W71" s="23" t="s">
        <v>153</v>
      </c>
      <c r="X71" s="23" t="s">
        <v>153</v>
      </c>
      <c r="Y71" s="23" t="s">
        <v>153</v>
      </c>
      <c r="Z71" s="23" t="s">
        <v>153</v>
      </c>
      <c r="AA71" s="23" t="s">
        <v>153</v>
      </c>
      <c r="AB71" s="24" t="s">
        <v>153</v>
      </c>
      <c r="AC71" s="23" t="s">
        <v>153</v>
      </c>
      <c r="AD71" s="23" t="s">
        <v>153</v>
      </c>
      <c r="AE71" s="23" t="s">
        <v>153</v>
      </c>
      <c r="AF71" s="23" t="s">
        <v>153</v>
      </c>
      <c r="AG71" s="23" t="s">
        <v>153</v>
      </c>
      <c r="AH71" s="24" t="s">
        <v>156</v>
      </c>
      <c r="AI71" s="24" t="s">
        <v>153</v>
      </c>
      <c r="AJ71" s="28" t="s">
        <v>163</v>
      </c>
      <c r="AK71" s="28" t="s">
        <v>163</v>
      </c>
      <c r="AL71" s="28" t="s">
        <v>163</v>
      </c>
      <c r="AM71" s="28" t="s">
        <v>163</v>
      </c>
      <c r="AN71" s="28" t="s">
        <v>163</v>
      </c>
      <c r="AO71" s="28" t="s">
        <v>163</v>
      </c>
      <c r="AP71" s="23">
        <f>VALUE(0)</f>
        <v>0</v>
      </c>
      <c r="AQ71" s="23">
        <f>VALUE(0)</f>
        <v>0</v>
      </c>
      <c r="AR71" s="23">
        <f>VALUE(0)</f>
        <v>0</v>
      </c>
      <c r="AS71" s="23">
        <f>VALUE(0)</f>
        <v>0</v>
      </c>
      <c r="AT71" s="23">
        <f>VALUE(0)</f>
        <v>0</v>
      </c>
      <c r="AU71" s="23">
        <f>VALUE(6)</f>
        <v>6</v>
      </c>
      <c r="AV71" s="23">
        <f>VALUE(1)</f>
        <v>1</v>
      </c>
      <c r="AW71" s="23">
        <f>VALUE(0)</f>
        <v>0</v>
      </c>
      <c r="AX71" s="23" t="s">
        <v>282</v>
      </c>
      <c r="AY71" s="23">
        <f>VALUE(0)</f>
        <v>0</v>
      </c>
      <c r="AZ71" s="23">
        <f>VALUE(0)</f>
        <v>0</v>
      </c>
      <c r="BA71" s="23">
        <f>VALUE(0)</f>
        <v>0</v>
      </c>
      <c r="BB71" s="23">
        <f>VALUE(0)</f>
        <v>0</v>
      </c>
      <c r="BC71" s="23">
        <f>VALUE(0)</f>
        <v>0</v>
      </c>
      <c r="BD71" s="23">
        <f>VALUE(0)</f>
        <v>0</v>
      </c>
      <c r="BE71" s="23">
        <f>VALUE(0)</f>
        <v>0</v>
      </c>
      <c r="BF71" s="23">
        <f>VALUE(0)</f>
        <v>0</v>
      </c>
      <c r="BG71" s="23">
        <f>VALUE(0)</f>
        <v>0</v>
      </c>
      <c r="BH71" s="23">
        <f>VALUE(0)</f>
        <v>0</v>
      </c>
      <c r="BI71" s="23">
        <f>VALUE(0)</f>
        <v>0</v>
      </c>
      <c r="BJ71" s="23">
        <f>VALUE(0)</f>
        <v>0</v>
      </c>
      <c r="BK71" s="12">
        <f>$AX$71*24</f>
        <v>5.9833333333333334</v>
      </c>
      <c r="BL71" s="12">
        <f>$AY$71*24</f>
        <v>0</v>
      </c>
      <c r="BM71" s="12">
        <f>$BJ$71*24</f>
        <v>0</v>
      </c>
      <c r="BN71" s="12">
        <f>VALUE($I$71)/100</f>
        <v>1</v>
      </c>
      <c r="BO71" s="12">
        <v>0</v>
      </c>
      <c r="BP71" s="12">
        <v>0</v>
      </c>
      <c r="BQ71" s="12">
        <v>0</v>
      </c>
      <c r="BR71" s="12">
        <v>0</v>
      </c>
      <c r="BS71" s="12">
        <v>0</v>
      </c>
      <c r="BT71" s="12">
        <v>0</v>
      </c>
      <c r="BU71" s="12">
        <v>0</v>
      </c>
      <c r="BV71" s="12">
        <v>0</v>
      </c>
      <c r="BW71" s="12">
        <v>0</v>
      </c>
      <c r="BX71" s="12">
        <v>0</v>
      </c>
      <c r="BY71" s="12">
        <v>0</v>
      </c>
      <c r="BZ71" s="12">
        <v>0</v>
      </c>
      <c r="CA71" s="12">
        <v>0</v>
      </c>
    </row>
    <row r="72" spans="1:79" hidden="1" x14ac:dyDescent="0.2">
      <c r="A72" s="12" t="s">
        <v>102</v>
      </c>
      <c r="B72" s="12" t="s">
        <v>109</v>
      </c>
      <c r="C72" s="12" t="s">
        <v>109</v>
      </c>
      <c r="D72" s="22" t="s">
        <v>283</v>
      </c>
      <c r="E72" s="22" t="s">
        <v>161</v>
      </c>
      <c r="F72" s="22" t="s">
        <v>703</v>
      </c>
      <c r="G72" s="22" t="s">
        <v>704</v>
      </c>
      <c r="H72" s="22" t="s">
        <v>166</v>
      </c>
      <c r="I72" s="22" t="s">
        <v>151</v>
      </c>
      <c r="J72" s="22" t="s">
        <v>181</v>
      </c>
      <c r="K72" s="22" t="s">
        <v>70</v>
      </c>
      <c r="L72" s="54" t="s">
        <v>153</v>
      </c>
      <c r="M72" s="28" t="s">
        <v>163</v>
      </c>
      <c r="N72" s="24" t="s">
        <v>153</v>
      </c>
      <c r="O72" s="23" t="s">
        <v>153</v>
      </c>
      <c r="P72" s="23" t="s">
        <v>153</v>
      </c>
      <c r="Q72" s="23" t="s">
        <v>153</v>
      </c>
      <c r="R72" s="23" t="s">
        <v>153</v>
      </c>
      <c r="S72" s="23" t="s">
        <v>153</v>
      </c>
      <c r="T72" s="23" t="s">
        <v>153</v>
      </c>
      <c r="U72" s="24" t="s">
        <v>153</v>
      </c>
      <c r="V72" s="54" t="s">
        <v>153</v>
      </c>
      <c r="W72" s="23" t="s">
        <v>153</v>
      </c>
      <c r="X72" s="23" t="s">
        <v>153</v>
      </c>
      <c r="Y72" s="23" t="s">
        <v>153</v>
      </c>
      <c r="Z72" s="23" t="s">
        <v>153</v>
      </c>
      <c r="AA72" s="24" t="s">
        <v>156</v>
      </c>
      <c r="AB72" s="24" t="s">
        <v>153</v>
      </c>
      <c r="AC72" s="23" t="s">
        <v>153</v>
      </c>
      <c r="AD72" s="23" t="s">
        <v>153</v>
      </c>
      <c r="AE72" s="23" t="s">
        <v>153</v>
      </c>
      <c r="AF72" s="23" t="s">
        <v>153</v>
      </c>
      <c r="AG72" s="23" t="s">
        <v>153</v>
      </c>
      <c r="AH72" s="23" t="s">
        <v>153</v>
      </c>
      <c r="AI72" s="24" t="s">
        <v>153</v>
      </c>
      <c r="AJ72" s="23" t="s">
        <v>153</v>
      </c>
      <c r="AK72" s="23" t="s">
        <v>153</v>
      </c>
      <c r="AL72" s="23" t="s">
        <v>153</v>
      </c>
      <c r="AM72" s="23" t="s">
        <v>153</v>
      </c>
      <c r="AN72" s="23" t="s">
        <v>153</v>
      </c>
      <c r="AO72" s="24" t="s">
        <v>156</v>
      </c>
      <c r="AP72" s="23">
        <f>VALUE(0)</f>
        <v>0</v>
      </c>
      <c r="AQ72" s="23">
        <f>VALUE(0)</f>
        <v>0</v>
      </c>
      <c r="AR72" s="23">
        <f>VALUE(0)</f>
        <v>0</v>
      </c>
      <c r="AS72" s="23">
        <f>VALUE(0)</f>
        <v>0</v>
      </c>
      <c r="AT72" s="23">
        <f>VALUE(0)</f>
        <v>0</v>
      </c>
      <c r="AU72" s="23">
        <f>VALUE(1)</f>
        <v>1</v>
      </c>
      <c r="AV72" s="23">
        <f>VALUE(4.5)</f>
        <v>4.5</v>
      </c>
      <c r="AW72" s="23">
        <f>VALUE(0)</f>
        <v>0</v>
      </c>
      <c r="AX72" s="23" t="s">
        <v>284</v>
      </c>
      <c r="AY72" s="23">
        <f>VALUE(0)</f>
        <v>0</v>
      </c>
      <c r="AZ72" s="23">
        <f>VALUE(0)</f>
        <v>0</v>
      </c>
      <c r="BA72" s="23">
        <f>VALUE(0)</f>
        <v>0</v>
      </c>
      <c r="BB72" s="23">
        <f>VALUE(0)</f>
        <v>0</v>
      </c>
      <c r="BC72" s="23">
        <f>VALUE(0)</f>
        <v>0</v>
      </c>
      <c r="BD72" s="23">
        <f>VALUE(0)</f>
        <v>0</v>
      </c>
      <c r="BE72" s="23">
        <f>VALUE(0)</f>
        <v>0</v>
      </c>
      <c r="BF72" s="23">
        <f>VALUE(0)</f>
        <v>0</v>
      </c>
      <c r="BG72" s="23">
        <f>VALUE(0)</f>
        <v>0</v>
      </c>
      <c r="BH72" s="23">
        <f>VALUE(0)</f>
        <v>0</v>
      </c>
      <c r="BI72" s="23">
        <f>VALUE(0)</f>
        <v>0</v>
      </c>
      <c r="BJ72" s="23">
        <f>VALUE(0)</f>
        <v>0</v>
      </c>
      <c r="BK72" s="12">
        <f>$AX$72*24</f>
        <v>12.966666666666665</v>
      </c>
      <c r="BL72" s="12">
        <f>$AY$72*24</f>
        <v>0</v>
      </c>
      <c r="BM72" s="12">
        <f>$BJ$72*24</f>
        <v>0</v>
      </c>
      <c r="BN72" s="12">
        <f>VALUE($I$72)/100</f>
        <v>1</v>
      </c>
      <c r="BO72" s="12">
        <v>0</v>
      </c>
      <c r="BP72" s="12">
        <v>0</v>
      </c>
      <c r="BQ72" s="12">
        <v>0</v>
      </c>
      <c r="BR72" s="12">
        <v>0</v>
      </c>
      <c r="BS72" s="12">
        <v>0</v>
      </c>
      <c r="BT72" s="12">
        <v>0</v>
      </c>
      <c r="BU72" s="12">
        <v>0</v>
      </c>
      <c r="BV72" s="12">
        <v>0</v>
      </c>
      <c r="BW72" s="12">
        <v>0</v>
      </c>
      <c r="BX72" s="12">
        <v>0</v>
      </c>
      <c r="BY72" s="12">
        <v>0</v>
      </c>
      <c r="BZ72" s="12">
        <v>0</v>
      </c>
      <c r="CA72" s="12">
        <v>0</v>
      </c>
    </row>
    <row r="73" spans="1:79" hidden="1" x14ac:dyDescent="0.2">
      <c r="A73" s="12" t="s">
        <v>102</v>
      </c>
      <c r="B73" s="12" t="s">
        <v>109</v>
      </c>
      <c r="C73" s="12" t="s">
        <v>109</v>
      </c>
      <c r="D73" s="22" t="s">
        <v>285</v>
      </c>
      <c r="E73" s="22" t="s">
        <v>161</v>
      </c>
      <c r="F73" s="22" t="s">
        <v>705</v>
      </c>
      <c r="G73" s="22" t="s">
        <v>706</v>
      </c>
      <c r="H73" s="22" t="s">
        <v>166</v>
      </c>
      <c r="I73" s="22" t="s">
        <v>151</v>
      </c>
      <c r="J73" s="22" t="s">
        <v>181</v>
      </c>
      <c r="K73" s="22" t="s">
        <v>70</v>
      </c>
      <c r="L73" s="54" t="s">
        <v>153</v>
      </c>
      <c r="M73" s="23" t="s">
        <v>153</v>
      </c>
      <c r="N73" s="24" t="s">
        <v>153</v>
      </c>
      <c r="O73" s="23" t="s">
        <v>153</v>
      </c>
      <c r="P73" s="23" t="s">
        <v>153</v>
      </c>
      <c r="Q73" s="23" t="s">
        <v>153</v>
      </c>
      <c r="R73" s="23" t="s">
        <v>153</v>
      </c>
      <c r="S73" s="23" t="s">
        <v>153</v>
      </c>
      <c r="T73" s="24" t="s">
        <v>156</v>
      </c>
      <c r="U73" s="24" t="s">
        <v>153</v>
      </c>
      <c r="V73" s="54" t="s">
        <v>153</v>
      </c>
      <c r="W73" s="23" t="s">
        <v>153</v>
      </c>
      <c r="X73" s="23" t="s">
        <v>153</v>
      </c>
      <c r="Y73" s="23" t="s">
        <v>153</v>
      </c>
      <c r="Z73" s="23" t="s">
        <v>153</v>
      </c>
      <c r="AA73" s="23" t="s">
        <v>153</v>
      </c>
      <c r="AB73" s="24" t="s">
        <v>153</v>
      </c>
      <c r="AC73" s="23" t="s">
        <v>153</v>
      </c>
      <c r="AD73" s="23" t="s">
        <v>153</v>
      </c>
      <c r="AE73" s="23" t="s">
        <v>153</v>
      </c>
      <c r="AF73" s="23" t="s">
        <v>153</v>
      </c>
      <c r="AG73" s="23" t="s">
        <v>153</v>
      </c>
      <c r="AH73" s="24" t="s">
        <v>156</v>
      </c>
      <c r="AI73" s="24" t="s">
        <v>153</v>
      </c>
      <c r="AJ73" s="23" t="s">
        <v>153</v>
      </c>
      <c r="AK73" s="23" t="s">
        <v>153</v>
      </c>
      <c r="AL73" s="23" t="s">
        <v>153</v>
      </c>
      <c r="AM73" s="23" t="s">
        <v>153</v>
      </c>
      <c r="AN73" s="23" t="s">
        <v>153</v>
      </c>
      <c r="AO73" s="23" t="s">
        <v>153</v>
      </c>
      <c r="AP73" s="23">
        <f>VALUE(0)</f>
        <v>0</v>
      </c>
      <c r="AQ73" s="23">
        <f>VALUE(0)</f>
        <v>0</v>
      </c>
      <c r="AR73" s="23">
        <f>VALUE(0)</f>
        <v>0</v>
      </c>
      <c r="AS73" s="23">
        <f>VALUE(0)</f>
        <v>0</v>
      </c>
      <c r="AT73" s="23">
        <f>VALUE(0)</f>
        <v>0</v>
      </c>
      <c r="AU73" s="23">
        <f>VALUE(0)</f>
        <v>0</v>
      </c>
      <c r="AV73" s="23">
        <f>VALUE(5.5)</f>
        <v>5.5</v>
      </c>
      <c r="AW73" s="23">
        <f>VALUE(0)</f>
        <v>0</v>
      </c>
      <c r="AX73" s="23" t="s">
        <v>286</v>
      </c>
      <c r="AY73" s="23">
        <f>VALUE(0)</f>
        <v>0</v>
      </c>
      <c r="AZ73" s="23">
        <f>VALUE(0)</f>
        <v>0</v>
      </c>
      <c r="BA73" s="23">
        <f>VALUE(0)</f>
        <v>0</v>
      </c>
      <c r="BB73" s="23">
        <f>VALUE(0)</f>
        <v>0</v>
      </c>
      <c r="BC73" s="23">
        <f>VALUE(0)</f>
        <v>0</v>
      </c>
      <c r="BD73" s="23">
        <f>VALUE(0)</f>
        <v>0</v>
      </c>
      <c r="BE73" s="23">
        <f>VALUE(0)</f>
        <v>0</v>
      </c>
      <c r="BF73" s="23">
        <f>VALUE(0)</f>
        <v>0</v>
      </c>
      <c r="BG73" s="23">
        <f>VALUE(0)</f>
        <v>0</v>
      </c>
      <c r="BH73" s="23">
        <f>VALUE(0)</f>
        <v>0</v>
      </c>
      <c r="BI73" s="23">
        <f>VALUE(0)</f>
        <v>0</v>
      </c>
      <c r="BJ73" s="23">
        <f>VALUE(0)</f>
        <v>0</v>
      </c>
      <c r="BK73" s="12">
        <f>$AX$73*24</f>
        <v>8.7333333333333325</v>
      </c>
      <c r="BL73" s="12">
        <f>$AY$73*24</f>
        <v>0</v>
      </c>
      <c r="BM73" s="12">
        <f>$BJ$73*24</f>
        <v>0</v>
      </c>
      <c r="BN73" s="12">
        <f>VALUE($I$73)/100</f>
        <v>1</v>
      </c>
      <c r="BO73" s="12">
        <v>0</v>
      </c>
      <c r="BP73" s="12">
        <v>0</v>
      </c>
      <c r="BQ73" s="12">
        <v>0</v>
      </c>
      <c r="BR73" s="12">
        <v>0</v>
      </c>
      <c r="BS73" s="12">
        <v>0</v>
      </c>
      <c r="BT73" s="12">
        <v>0</v>
      </c>
      <c r="BU73" s="12">
        <v>0</v>
      </c>
      <c r="BV73" s="12">
        <v>0</v>
      </c>
      <c r="BW73" s="12">
        <v>0</v>
      </c>
      <c r="BX73" s="12">
        <v>0</v>
      </c>
      <c r="BY73" s="12">
        <v>0</v>
      </c>
      <c r="BZ73" s="12">
        <v>0</v>
      </c>
      <c r="CA73" s="12">
        <v>0</v>
      </c>
    </row>
    <row r="74" spans="1:79" ht="15" hidden="1" x14ac:dyDescent="0.25">
      <c r="A74" s="12" t="s">
        <v>102</v>
      </c>
      <c r="B74" s="12" t="s">
        <v>109</v>
      </c>
      <c r="C74" s="12" t="s">
        <v>109</v>
      </c>
      <c r="D74" s="31" t="s">
        <v>585</v>
      </c>
      <c r="E74" s="31" t="s">
        <v>153</v>
      </c>
      <c r="F74" s="31" t="s">
        <v>175</v>
      </c>
      <c r="G74" s="31" t="s">
        <v>153</v>
      </c>
      <c r="H74" s="31" t="s">
        <v>153</v>
      </c>
      <c r="I74" s="31" t="s">
        <v>153</v>
      </c>
      <c r="J74" s="31" t="s">
        <v>153</v>
      </c>
      <c r="K74" s="31" t="s">
        <v>153</v>
      </c>
      <c r="L74" s="31">
        <f>VALUE(0)</f>
        <v>0</v>
      </c>
      <c r="M74" s="31">
        <f>VALUE(7)</f>
        <v>7</v>
      </c>
      <c r="N74" s="31">
        <f>VALUE(0)</f>
        <v>0</v>
      </c>
      <c r="O74" s="31">
        <f>VALUE(9)</f>
        <v>9</v>
      </c>
      <c r="P74" s="31">
        <f>VALUE(10)</f>
        <v>10</v>
      </c>
      <c r="Q74" s="31">
        <f>VALUE(11)</f>
        <v>11</v>
      </c>
      <c r="R74" s="31">
        <f>VALUE(11)</f>
        <v>11</v>
      </c>
      <c r="S74" s="31">
        <f>VALUE(11)</f>
        <v>11</v>
      </c>
      <c r="T74" s="31">
        <f>VALUE(7)</f>
        <v>7</v>
      </c>
      <c r="U74" s="31">
        <f>VALUE(0)</f>
        <v>0</v>
      </c>
      <c r="V74" s="31">
        <f>VALUE(0)</f>
        <v>0</v>
      </c>
      <c r="W74" s="31">
        <f>VALUE(9)</f>
        <v>9</v>
      </c>
      <c r="X74" s="31">
        <f>VALUE(10)</f>
        <v>10</v>
      </c>
      <c r="Y74" s="31">
        <f>VALUE(10)</f>
        <v>10</v>
      </c>
      <c r="Z74" s="31">
        <f>VALUE(10)</f>
        <v>10</v>
      </c>
      <c r="AA74" s="31">
        <f>VALUE(7)</f>
        <v>7</v>
      </c>
      <c r="AB74" s="31">
        <f>VALUE(0)</f>
        <v>0</v>
      </c>
      <c r="AC74" s="31">
        <f>VALUE(8)</f>
        <v>8</v>
      </c>
      <c r="AD74" s="31">
        <f>VALUE(8)</f>
        <v>8</v>
      </c>
      <c r="AE74" s="31">
        <f>VALUE(9)</f>
        <v>9</v>
      </c>
      <c r="AF74" s="31">
        <f>VALUE(9)</f>
        <v>9</v>
      </c>
      <c r="AG74" s="31">
        <f>VALUE(9)</f>
        <v>9</v>
      </c>
      <c r="AH74" s="31">
        <f>VALUE(5)</f>
        <v>5</v>
      </c>
      <c r="AI74" s="31">
        <f>VALUE(0)</f>
        <v>0</v>
      </c>
      <c r="AJ74" s="31">
        <f>VALUE(9)</f>
        <v>9</v>
      </c>
      <c r="AK74" s="31">
        <f>VALUE(9)</f>
        <v>9</v>
      </c>
      <c r="AL74" s="31">
        <f>VALUE(9)</f>
        <v>9</v>
      </c>
      <c r="AM74" s="31">
        <f>VALUE(9)</f>
        <v>9</v>
      </c>
      <c r="AN74" s="31">
        <f>VALUE(9)</f>
        <v>9</v>
      </c>
      <c r="AO74" s="31">
        <f>VALUE(5)</f>
        <v>5</v>
      </c>
      <c r="AP74" s="31">
        <v>0</v>
      </c>
      <c r="AQ74" s="31">
        <v>0</v>
      </c>
      <c r="AR74" s="31">
        <v>0</v>
      </c>
      <c r="AS74" s="31">
        <v>0</v>
      </c>
      <c r="AT74" s="31">
        <v>0</v>
      </c>
      <c r="AU74" s="31">
        <v>0</v>
      </c>
      <c r="AV74" s="31">
        <v>0</v>
      </c>
      <c r="AW74" s="31">
        <v>0</v>
      </c>
      <c r="AX74" s="31">
        <v>0</v>
      </c>
      <c r="AY74" s="31">
        <v>0</v>
      </c>
      <c r="AZ74" s="31">
        <v>0</v>
      </c>
      <c r="BA74" s="31">
        <v>0</v>
      </c>
      <c r="BB74" s="31">
        <v>0</v>
      </c>
      <c r="BC74" s="31">
        <v>0</v>
      </c>
      <c r="BD74" s="31">
        <v>0</v>
      </c>
      <c r="BE74" s="31">
        <v>0</v>
      </c>
      <c r="BF74" s="31">
        <v>0</v>
      </c>
      <c r="BG74" s="31">
        <v>0</v>
      </c>
      <c r="BH74" s="31">
        <v>0</v>
      </c>
      <c r="BI74" s="31">
        <v>0</v>
      </c>
      <c r="BJ74" s="31">
        <v>0</v>
      </c>
      <c r="BK74" s="12">
        <v>0</v>
      </c>
      <c r="BL74" s="12">
        <v>0</v>
      </c>
      <c r="BM74" s="12">
        <v>0</v>
      </c>
      <c r="BN74" s="12"/>
      <c r="BO74" s="12">
        <v>0</v>
      </c>
      <c r="BP74" s="12">
        <v>0</v>
      </c>
      <c r="BQ74" s="12">
        <v>0</v>
      </c>
      <c r="BR74" s="12">
        <v>0</v>
      </c>
      <c r="BS74" s="12">
        <v>0</v>
      </c>
      <c r="BT74" s="12">
        <v>0</v>
      </c>
      <c r="BU74" s="12">
        <v>0</v>
      </c>
      <c r="BV74" s="12">
        <v>0</v>
      </c>
      <c r="BW74" s="12">
        <v>0</v>
      </c>
      <c r="BX74" s="12">
        <v>0</v>
      </c>
      <c r="BY74" s="12">
        <v>0</v>
      </c>
      <c r="BZ74" s="12">
        <v>0</v>
      </c>
      <c r="CA74" s="12">
        <v>0</v>
      </c>
    </row>
    <row r="75" spans="1:79" ht="16.5" hidden="1" x14ac:dyDescent="0.2">
      <c r="A75" s="12" t="s">
        <v>102</v>
      </c>
      <c r="B75" s="12" t="s">
        <v>110</v>
      </c>
      <c r="C75" s="12" t="s">
        <v>110</v>
      </c>
      <c r="D75" s="22" t="s">
        <v>1190</v>
      </c>
      <c r="E75" s="22" t="s">
        <v>161</v>
      </c>
      <c r="F75" s="22" t="s">
        <v>707</v>
      </c>
      <c r="G75" s="22" t="s">
        <v>708</v>
      </c>
      <c r="H75" s="22" t="s">
        <v>150</v>
      </c>
      <c r="I75" s="22" t="s">
        <v>151</v>
      </c>
      <c r="J75" s="22" t="s">
        <v>264</v>
      </c>
      <c r="K75" s="22" t="s">
        <v>71</v>
      </c>
      <c r="L75" s="54" t="s">
        <v>153</v>
      </c>
      <c r="M75" s="23" t="s">
        <v>287</v>
      </c>
      <c r="N75" s="24" t="s">
        <v>153</v>
      </c>
      <c r="O75" s="26" t="s">
        <v>1191</v>
      </c>
      <c r="P75" s="26" t="s">
        <v>1191</v>
      </c>
      <c r="Q75" s="26" t="s">
        <v>1191</v>
      </c>
      <c r="R75" s="24" t="s">
        <v>156</v>
      </c>
      <c r="S75" s="24" t="s">
        <v>156</v>
      </c>
      <c r="T75" s="24" t="s">
        <v>156</v>
      </c>
      <c r="U75" s="24" t="s">
        <v>153</v>
      </c>
      <c r="V75" s="54" t="s">
        <v>153</v>
      </c>
      <c r="W75" s="26" t="s">
        <v>1191</v>
      </c>
      <c r="X75" s="26" t="s">
        <v>1191</v>
      </c>
      <c r="Y75" s="23" t="s">
        <v>291</v>
      </c>
      <c r="Z75" s="23" t="s">
        <v>291</v>
      </c>
      <c r="AA75" s="26" t="s">
        <v>1191</v>
      </c>
      <c r="AB75" s="24" t="s">
        <v>153</v>
      </c>
      <c r="AC75" s="26" t="s">
        <v>1191</v>
      </c>
      <c r="AD75" s="26" t="s">
        <v>1191</v>
      </c>
      <c r="AE75" s="26" t="s">
        <v>1191</v>
      </c>
      <c r="AF75" s="26" t="s">
        <v>1191</v>
      </c>
      <c r="AG75" s="26" t="s">
        <v>1191</v>
      </c>
      <c r="AH75" s="26" t="s">
        <v>1191</v>
      </c>
      <c r="AI75" s="24" t="s">
        <v>153</v>
      </c>
      <c r="AJ75" s="26" t="s">
        <v>1191</v>
      </c>
      <c r="AK75" s="26" t="s">
        <v>1191</v>
      </c>
      <c r="AL75" s="26" t="s">
        <v>1191</v>
      </c>
      <c r="AM75" s="23" t="s">
        <v>288</v>
      </c>
      <c r="AN75" s="23" t="s">
        <v>288</v>
      </c>
      <c r="AO75" s="23" t="s">
        <v>288</v>
      </c>
      <c r="AP75" s="23">
        <f>VALUE(51)</f>
        <v>51</v>
      </c>
      <c r="AQ75" s="23">
        <f>VALUE(0)</f>
        <v>0</v>
      </c>
      <c r="AR75" s="23">
        <f>VALUE(0)</f>
        <v>0</v>
      </c>
      <c r="AS75" s="23">
        <f>VALUE(0)</f>
        <v>0</v>
      </c>
      <c r="AT75" s="23">
        <f>VALUE(0)</f>
        <v>0</v>
      </c>
      <c r="AU75" s="23">
        <f>VALUE(0)</f>
        <v>0</v>
      </c>
      <c r="AV75" s="23">
        <f>VALUE(8)</f>
        <v>8</v>
      </c>
      <c r="AW75" s="23">
        <f>VALUE(0)</f>
        <v>0</v>
      </c>
      <c r="AX75" s="23" t="s">
        <v>289</v>
      </c>
      <c r="AY75" s="23" t="s">
        <v>290</v>
      </c>
      <c r="AZ75" s="23">
        <f>VALUE(0)</f>
        <v>0</v>
      </c>
      <c r="BA75" s="23">
        <f>VALUE(0)</f>
        <v>0</v>
      </c>
      <c r="BB75" s="23">
        <f>VALUE(0)</f>
        <v>0</v>
      </c>
      <c r="BC75" s="23">
        <f>VALUE(0)</f>
        <v>0</v>
      </c>
      <c r="BD75" s="23">
        <f>VALUE(0)</f>
        <v>0</v>
      </c>
      <c r="BE75" s="23">
        <f>VALUE(0)</f>
        <v>0</v>
      </c>
      <c r="BF75" s="23">
        <f>VALUE(0)</f>
        <v>0</v>
      </c>
      <c r="BG75" s="23">
        <f>VALUE(0)</f>
        <v>0</v>
      </c>
      <c r="BH75" s="23">
        <f>VALUE(0)</f>
        <v>0</v>
      </c>
      <c r="BI75" s="23">
        <f>VALUE(0)</f>
        <v>0</v>
      </c>
      <c r="BJ75" s="23">
        <f>VALUE(0)</f>
        <v>0</v>
      </c>
      <c r="BK75" s="12">
        <f>$AX$75*24</f>
        <v>5.583333333333333</v>
      </c>
      <c r="BL75" s="12">
        <f>$AY$75*24</f>
        <v>4.4000000000000004</v>
      </c>
      <c r="BM75" s="12">
        <f>$BJ$75*24</f>
        <v>0</v>
      </c>
      <c r="BN75" s="12">
        <f>VALUE($I$75)/100</f>
        <v>1</v>
      </c>
      <c r="BO75" s="12">
        <v>0</v>
      </c>
      <c r="BP75" s="12">
        <v>0</v>
      </c>
      <c r="BQ75" s="12">
        <v>0</v>
      </c>
      <c r="BR75" s="12">
        <v>0</v>
      </c>
      <c r="BS75" s="12">
        <v>0</v>
      </c>
      <c r="BT75" s="12">
        <v>0</v>
      </c>
      <c r="BU75" s="12">
        <v>0</v>
      </c>
      <c r="BV75" s="12">
        <v>0</v>
      </c>
      <c r="BW75" s="12">
        <v>0</v>
      </c>
      <c r="BX75" s="12">
        <v>0</v>
      </c>
      <c r="BY75" s="12">
        <v>0</v>
      </c>
      <c r="BZ75" s="12">
        <v>0</v>
      </c>
      <c r="CA75" s="12">
        <v>0</v>
      </c>
    </row>
    <row r="76" spans="1:79" hidden="1" x14ac:dyDescent="0.2">
      <c r="A76" s="12" t="s">
        <v>102</v>
      </c>
      <c r="B76" s="12" t="s">
        <v>110</v>
      </c>
      <c r="C76" s="12" t="s">
        <v>110</v>
      </c>
      <c r="D76" s="22" t="s">
        <v>291</v>
      </c>
      <c r="E76" s="22" t="s">
        <v>161</v>
      </c>
      <c r="F76" s="22" t="s">
        <v>709</v>
      </c>
      <c r="G76" s="22" t="s">
        <v>710</v>
      </c>
      <c r="H76" s="22" t="s">
        <v>150</v>
      </c>
      <c r="I76" s="22" t="s">
        <v>151</v>
      </c>
      <c r="J76" s="22" t="s">
        <v>162</v>
      </c>
      <c r="K76" s="22" t="s">
        <v>71</v>
      </c>
      <c r="L76" s="54" t="s">
        <v>153</v>
      </c>
      <c r="M76" s="23" t="s">
        <v>153</v>
      </c>
      <c r="N76" s="24" t="s">
        <v>153</v>
      </c>
      <c r="O76" s="23" t="s">
        <v>153</v>
      </c>
      <c r="P76" s="23" t="s">
        <v>153</v>
      </c>
      <c r="Q76" s="23" t="s">
        <v>153</v>
      </c>
      <c r="R76" s="29" t="s">
        <v>29</v>
      </c>
      <c r="S76" s="29" t="s">
        <v>29</v>
      </c>
      <c r="T76" s="23" t="s">
        <v>153</v>
      </c>
      <c r="U76" s="24" t="s">
        <v>153</v>
      </c>
      <c r="V76" s="54" t="s">
        <v>153</v>
      </c>
      <c r="W76" s="23" t="s">
        <v>153</v>
      </c>
      <c r="X76" s="23" t="s">
        <v>153</v>
      </c>
      <c r="Y76" s="29" t="s">
        <v>29</v>
      </c>
      <c r="Z76" s="29" t="s">
        <v>29</v>
      </c>
      <c r="AA76" s="23" t="s">
        <v>153</v>
      </c>
      <c r="AB76" s="24" t="s">
        <v>153</v>
      </c>
      <c r="AC76" s="23" t="s">
        <v>153</v>
      </c>
      <c r="AD76" s="23" t="s">
        <v>153</v>
      </c>
      <c r="AE76" s="23" t="s">
        <v>153</v>
      </c>
      <c r="AF76" s="24" t="s">
        <v>156</v>
      </c>
      <c r="AG76" s="24" t="s">
        <v>156</v>
      </c>
      <c r="AH76" s="24" t="s">
        <v>156</v>
      </c>
      <c r="AI76" s="24" t="s">
        <v>153</v>
      </c>
      <c r="AJ76" s="28" t="s">
        <v>163</v>
      </c>
      <c r="AK76" s="28" t="s">
        <v>163</v>
      </c>
      <c r="AL76" s="28" t="s">
        <v>163</v>
      </c>
      <c r="AM76" s="28" t="s">
        <v>163</v>
      </c>
      <c r="AN76" s="28" t="s">
        <v>163</v>
      </c>
      <c r="AO76" s="28" t="s">
        <v>163</v>
      </c>
      <c r="AP76" s="23">
        <f>VALUE(32)</f>
        <v>32</v>
      </c>
      <c r="AQ76" s="23">
        <f>VALUE(0)</f>
        <v>0</v>
      </c>
      <c r="AR76" s="23">
        <f>VALUE(4)</f>
        <v>4</v>
      </c>
      <c r="AS76" s="23">
        <f>VALUE(0)</f>
        <v>0</v>
      </c>
      <c r="AT76" s="23">
        <f>VALUE(0)</f>
        <v>0</v>
      </c>
      <c r="AU76" s="23">
        <f>VALUE(6)</f>
        <v>6</v>
      </c>
      <c r="AV76" s="23">
        <f>VALUE(6)</f>
        <v>6</v>
      </c>
      <c r="AW76" s="23">
        <f>VALUE(0)</f>
        <v>0</v>
      </c>
      <c r="AX76" s="23" t="s">
        <v>292</v>
      </c>
      <c r="AY76" s="23" t="s">
        <v>176</v>
      </c>
      <c r="AZ76" s="23">
        <f>VALUE(0)</f>
        <v>0</v>
      </c>
      <c r="BA76" s="23">
        <f>VALUE(0)</f>
        <v>0</v>
      </c>
      <c r="BB76" s="23">
        <f>VALUE(0)</f>
        <v>0</v>
      </c>
      <c r="BC76" s="23">
        <f>VALUE(0)</f>
        <v>0</v>
      </c>
      <c r="BD76" s="23">
        <f>VALUE(0)</f>
        <v>0</v>
      </c>
      <c r="BE76" s="23">
        <f>VALUE(0)</f>
        <v>0</v>
      </c>
      <c r="BF76" s="23">
        <f>VALUE(0)</f>
        <v>0</v>
      </c>
      <c r="BG76" s="23">
        <f>VALUE(0)</f>
        <v>0</v>
      </c>
      <c r="BH76" s="23">
        <f>VALUE(0)</f>
        <v>0</v>
      </c>
      <c r="BI76" s="23">
        <f>VALUE(0)</f>
        <v>0</v>
      </c>
      <c r="BJ76" s="23">
        <f>VALUE(0)</f>
        <v>0</v>
      </c>
      <c r="BK76" s="12">
        <f>$AX$76*24</f>
        <v>3.6499999999999995</v>
      </c>
      <c r="BL76" s="12">
        <f>$AY$76*24</f>
        <v>0</v>
      </c>
      <c r="BM76" s="12">
        <f>$BJ$76*24</f>
        <v>0</v>
      </c>
      <c r="BN76" s="12">
        <f>VALUE($I$76)/100</f>
        <v>1</v>
      </c>
      <c r="BO76" s="12">
        <v>0</v>
      </c>
      <c r="BP76" s="12">
        <v>0</v>
      </c>
      <c r="BQ76" s="12">
        <v>0</v>
      </c>
      <c r="BR76" s="12">
        <v>0</v>
      </c>
      <c r="BS76" s="12">
        <v>0</v>
      </c>
      <c r="BT76" s="12">
        <v>0</v>
      </c>
      <c r="BU76" s="12">
        <v>0</v>
      </c>
      <c r="BV76" s="12">
        <v>0</v>
      </c>
      <c r="BW76" s="12">
        <v>0</v>
      </c>
      <c r="BX76" s="12">
        <v>0</v>
      </c>
      <c r="BY76" s="12">
        <v>0</v>
      </c>
      <c r="BZ76" s="12">
        <v>0</v>
      </c>
      <c r="CA76" s="12">
        <v>0</v>
      </c>
    </row>
    <row r="77" spans="1:79" hidden="1" x14ac:dyDescent="0.2">
      <c r="A77" s="12" t="s">
        <v>102</v>
      </c>
      <c r="B77" s="12" t="s">
        <v>110</v>
      </c>
      <c r="C77" s="12" t="s">
        <v>110</v>
      </c>
      <c r="D77" s="22" t="s">
        <v>293</v>
      </c>
      <c r="E77" s="22" t="s">
        <v>161</v>
      </c>
      <c r="F77" s="22" t="s">
        <v>711</v>
      </c>
      <c r="G77" s="22" t="s">
        <v>712</v>
      </c>
      <c r="H77" s="22" t="s">
        <v>150</v>
      </c>
      <c r="I77" s="22" t="s">
        <v>151</v>
      </c>
      <c r="J77" s="22" t="s">
        <v>162</v>
      </c>
      <c r="K77" s="22" t="s">
        <v>71</v>
      </c>
      <c r="L77" s="54" t="s">
        <v>153</v>
      </c>
      <c r="M77" s="24" t="s">
        <v>156</v>
      </c>
      <c r="N77" s="24" t="s">
        <v>153</v>
      </c>
      <c r="O77" s="24" t="s">
        <v>156</v>
      </c>
      <c r="P77" s="24" t="s">
        <v>156</v>
      </c>
      <c r="Q77" s="24" t="s">
        <v>156</v>
      </c>
      <c r="R77" s="28" t="s">
        <v>163</v>
      </c>
      <c r="S77" s="28" t="s">
        <v>163</v>
      </c>
      <c r="T77" s="28" t="s">
        <v>163</v>
      </c>
      <c r="U77" s="24" t="s">
        <v>153</v>
      </c>
      <c r="V77" s="54" t="s">
        <v>153</v>
      </c>
      <c r="W77" s="28" t="s">
        <v>163</v>
      </c>
      <c r="X77" s="28" t="s">
        <v>163</v>
      </c>
      <c r="Y77" s="28" t="s">
        <v>163</v>
      </c>
      <c r="Z77" s="28" t="s">
        <v>163</v>
      </c>
      <c r="AA77" s="28" t="s">
        <v>163</v>
      </c>
      <c r="AB77" s="24" t="s">
        <v>153</v>
      </c>
      <c r="AC77" s="23" t="s">
        <v>153</v>
      </c>
      <c r="AD77" s="23" t="s">
        <v>153</v>
      </c>
      <c r="AE77" s="23" t="s">
        <v>153</v>
      </c>
      <c r="AF77" s="23" t="s">
        <v>153</v>
      </c>
      <c r="AG77" s="23" t="s">
        <v>153</v>
      </c>
      <c r="AH77" s="23" t="s">
        <v>153</v>
      </c>
      <c r="AI77" s="24" t="s">
        <v>153</v>
      </c>
      <c r="AJ77" s="23" t="s">
        <v>153</v>
      </c>
      <c r="AK77" s="23" t="s">
        <v>153</v>
      </c>
      <c r="AL77" s="23" t="s">
        <v>153</v>
      </c>
      <c r="AM77" s="23" t="s">
        <v>153</v>
      </c>
      <c r="AN77" s="23" t="s">
        <v>153</v>
      </c>
      <c r="AO77" s="23" t="s">
        <v>153</v>
      </c>
      <c r="AP77" s="23">
        <f>VALUE(49)</f>
        <v>49</v>
      </c>
      <c r="AQ77" s="23">
        <f>VALUE(0)</f>
        <v>0</v>
      </c>
      <c r="AR77" s="23">
        <f>VALUE(0)</f>
        <v>0</v>
      </c>
      <c r="AS77" s="23">
        <f>VALUE(0)</f>
        <v>0</v>
      </c>
      <c r="AT77" s="23">
        <f>VALUE(0)</f>
        <v>0</v>
      </c>
      <c r="AU77" s="23">
        <f>VALUE(8)</f>
        <v>8</v>
      </c>
      <c r="AV77" s="23">
        <f>VALUE(7)</f>
        <v>7</v>
      </c>
      <c r="AW77" s="23">
        <f>VALUE(0)</f>
        <v>0</v>
      </c>
      <c r="AX77" s="23" t="s">
        <v>294</v>
      </c>
      <c r="AY77" s="23" t="s">
        <v>295</v>
      </c>
      <c r="AZ77" s="23">
        <f>VALUE(0)</f>
        <v>0</v>
      </c>
      <c r="BA77" s="23">
        <f>VALUE(0)</f>
        <v>0</v>
      </c>
      <c r="BB77" s="23">
        <f>VALUE(0)</f>
        <v>0</v>
      </c>
      <c r="BC77" s="23">
        <f>VALUE(0)</f>
        <v>0</v>
      </c>
      <c r="BD77" s="23">
        <f>VALUE(0)</f>
        <v>0</v>
      </c>
      <c r="BE77" s="23">
        <f>VALUE(0)</f>
        <v>0</v>
      </c>
      <c r="BF77" s="23">
        <f>VALUE(0)</f>
        <v>0</v>
      </c>
      <c r="BG77" s="23">
        <f>VALUE(0)</f>
        <v>0</v>
      </c>
      <c r="BH77" s="23">
        <f>VALUE(0)</f>
        <v>0</v>
      </c>
      <c r="BI77" s="23">
        <f>VALUE(0)</f>
        <v>0</v>
      </c>
      <c r="BJ77" s="23">
        <f>VALUE(0)</f>
        <v>0</v>
      </c>
      <c r="BK77" s="12">
        <f>$AX$77*24</f>
        <v>2.1666666666666665</v>
      </c>
      <c r="BL77" s="12">
        <f>$AY$77*24</f>
        <v>0.73333333333333328</v>
      </c>
      <c r="BM77" s="12">
        <f>$BJ$77*24</f>
        <v>0</v>
      </c>
      <c r="BN77" s="12">
        <f>VALUE($I$77)/100</f>
        <v>1</v>
      </c>
      <c r="BO77" s="12">
        <v>0</v>
      </c>
      <c r="BP77" s="12">
        <v>0</v>
      </c>
      <c r="BQ77" s="12">
        <v>0</v>
      </c>
      <c r="BR77" s="12">
        <v>0</v>
      </c>
      <c r="BS77" s="12">
        <v>0</v>
      </c>
      <c r="BT77" s="12">
        <v>0</v>
      </c>
      <c r="BU77" s="12">
        <v>0</v>
      </c>
      <c r="BV77" s="12">
        <v>0</v>
      </c>
      <c r="BW77" s="12">
        <v>0</v>
      </c>
      <c r="BX77" s="12">
        <v>0</v>
      </c>
      <c r="BY77" s="12">
        <v>0</v>
      </c>
      <c r="BZ77" s="12">
        <v>0</v>
      </c>
      <c r="CA77" s="12">
        <v>0</v>
      </c>
    </row>
    <row r="78" spans="1:79" hidden="1" x14ac:dyDescent="0.2">
      <c r="A78" s="12" t="s">
        <v>102</v>
      </c>
      <c r="B78" s="12" t="s">
        <v>110</v>
      </c>
      <c r="C78" s="12" t="s">
        <v>110</v>
      </c>
      <c r="D78" s="22" t="s">
        <v>288</v>
      </c>
      <c r="E78" s="22" t="s">
        <v>161</v>
      </c>
      <c r="F78" s="22" t="s">
        <v>713</v>
      </c>
      <c r="G78" s="22" t="s">
        <v>714</v>
      </c>
      <c r="H78" s="22" t="s">
        <v>166</v>
      </c>
      <c r="I78" s="22" t="s">
        <v>151</v>
      </c>
      <c r="J78" s="22" t="s">
        <v>162</v>
      </c>
      <c r="K78" s="22" t="s">
        <v>71</v>
      </c>
      <c r="L78" s="54" t="s">
        <v>153</v>
      </c>
      <c r="M78" s="28" t="s">
        <v>163</v>
      </c>
      <c r="N78" s="24" t="s">
        <v>153</v>
      </c>
      <c r="O78" s="23" t="s">
        <v>153</v>
      </c>
      <c r="P78" s="23" t="s">
        <v>153</v>
      </c>
      <c r="Q78" s="23" t="s">
        <v>153</v>
      </c>
      <c r="R78" s="23" t="s">
        <v>153</v>
      </c>
      <c r="S78" s="23" t="s">
        <v>153</v>
      </c>
      <c r="T78" s="23" t="s">
        <v>153</v>
      </c>
      <c r="U78" s="24" t="s">
        <v>153</v>
      </c>
      <c r="V78" s="54" t="s">
        <v>153</v>
      </c>
      <c r="W78" s="23" t="s">
        <v>153</v>
      </c>
      <c r="X78" s="23" t="s">
        <v>153</v>
      </c>
      <c r="Y78" s="23" t="s">
        <v>153</v>
      </c>
      <c r="Z78" s="23" t="s">
        <v>153</v>
      </c>
      <c r="AA78" s="23" t="s">
        <v>153</v>
      </c>
      <c r="AB78" s="24" t="s">
        <v>153</v>
      </c>
      <c r="AC78" s="23" t="s">
        <v>153</v>
      </c>
      <c r="AD78" s="23" t="s">
        <v>153</v>
      </c>
      <c r="AE78" s="23" t="s">
        <v>153</v>
      </c>
      <c r="AF78" s="23" t="s">
        <v>153</v>
      </c>
      <c r="AG78" s="23" t="s">
        <v>153</v>
      </c>
      <c r="AH78" s="23" t="s">
        <v>153</v>
      </c>
      <c r="AI78" s="24" t="s">
        <v>153</v>
      </c>
      <c r="AJ78" s="23" t="s">
        <v>153</v>
      </c>
      <c r="AK78" s="23" t="s">
        <v>153</v>
      </c>
      <c r="AL78" s="23" t="s">
        <v>153</v>
      </c>
      <c r="AM78" s="24" t="s">
        <v>156</v>
      </c>
      <c r="AN78" s="24" t="s">
        <v>156</v>
      </c>
      <c r="AO78" s="24" t="s">
        <v>156</v>
      </c>
      <c r="AP78" s="23">
        <f>VALUE(46)</f>
        <v>46</v>
      </c>
      <c r="AQ78" s="23">
        <f>VALUE(0)</f>
        <v>0</v>
      </c>
      <c r="AR78" s="23">
        <f>VALUE(0)</f>
        <v>0</v>
      </c>
      <c r="AS78" s="23">
        <f>VALUE(0)</f>
        <v>0</v>
      </c>
      <c r="AT78" s="23">
        <f>VALUE(0)</f>
        <v>0</v>
      </c>
      <c r="AU78" s="23">
        <f>VALUE(1)</f>
        <v>1</v>
      </c>
      <c r="AV78" s="23">
        <f>VALUE(6)</f>
        <v>6</v>
      </c>
      <c r="AW78" s="23">
        <f>VALUE(0)</f>
        <v>0</v>
      </c>
      <c r="AX78" s="23" t="s">
        <v>1192</v>
      </c>
      <c r="AY78" s="23">
        <f>VALUE(0)</f>
        <v>0</v>
      </c>
      <c r="AZ78" s="23">
        <f>VALUE(0)</f>
        <v>0</v>
      </c>
      <c r="BA78" s="23">
        <f>VALUE(0)</f>
        <v>0</v>
      </c>
      <c r="BB78" s="23">
        <f>VALUE(0)</f>
        <v>0</v>
      </c>
      <c r="BC78" s="23">
        <f>VALUE(0)</f>
        <v>0</v>
      </c>
      <c r="BD78" s="23">
        <f>VALUE(0)</f>
        <v>0</v>
      </c>
      <c r="BE78" s="23">
        <f>VALUE(0)</f>
        <v>0</v>
      </c>
      <c r="BF78" s="23">
        <f>VALUE(0)</f>
        <v>0</v>
      </c>
      <c r="BG78" s="23">
        <f>VALUE(0)</f>
        <v>0</v>
      </c>
      <c r="BH78" s="23">
        <f>VALUE(0)</f>
        <v>0</v>
      </c>
      <c r="BI78" s="23">
        <f>VALUE(0)</f>
        <v>0</v>
      </c>
      <c r="BJ78" s="23">
        <f>VALUE(0)</f>
        <v>0</v>
      </c>
      <c r="BK78" s="12">
        <f>$AX$78*24</f>
        <v>61.45</v>
      </c>
      <c r="BL78" s="12">
        <f>$AY$78*24</f>
        <v>0</v>
      </c>
      <c r="BM78" s="12">
        <f>$BJ$78*24</f>
        <v>0</v>
      </c>
      <c r="BN78" s="12">
        <f>VALUE($I$78)/100</f>
        <v>1</v>
      </c>
      <c r="BO78" s="12">
        <v>0</v>
      </c>
      <c r="BP78" s="12">
        <v>0</v>
      </c>
      <c r="BQ78" s="12">
        <v>0</v>
      </c>
      <c r="BR78" s="12">
        <v>0</v>
      </c>
      <c r="BS78" s="12">
        <v>0</v>
      </c>
      <c r="BT78" s="12">
        <v>0</v>
      </c>
      <c r="BU78" s="12">
        <v>0</v>
      </c>
      <c r="BV78" s="12">
        <v>0</v>
      </c>
      <c r="BW78" s="12">
        <v>0</v>
      </c>
      <c r="BX78" s="12">
        <v>0</v>
      </c>
      <c r="BY78" s="12">
        <v>0</v>
      </c>
      <c r="BZ78" s="12">
        <v>0</v>
      </c>
      <c r="CA78" s="12">
        <v>0</v>
      </c>
    </row>
    <row r="79" spans="1:79" hidden="1" x14ac:dyDescent="0.2">
      <c r="A79" s="12" t="s">
        <v>102</v>
      </c>
      <c r="B79" s="12" t="s">
        <v>110</v>
      </c>
      <c r="C79" s="12" t="s">
        <v>110</v>
      </c>
      <c r="D79" s="22" t="s">
        <v>296</v>
      </c>
      <c r="E79" s="22" t="s">
        <v>161</v>
      </c>
      <c r="F79" s="22" t="s">
        <v>715</v>
      </c>
      <c r="G79" s="22" t="s">
        <v>716</v>
      </c>
      <c r="H79" s="22" t="s">
        <v>150</v>
      </c>
      <c r="I79" s="22" t="s">
        <v>151</v>
      </c>
      <c r="J79" s="22" t="s">
        <v>162</v>
      </c>
      <c r="K79" s="22" t="s">
        <v>71</v>
      </c>
      <c r="L79" s="54" t="s">
        <v>153</v>
      </c>
      <c r="M79" s="23" t="s">
        <v>153</v>
      </c>
      <c r="N79" s="24" t="s">
        <v>153</v>
      </c>
      <c r="O79" s="23" t="s">
        <v>153</v>
      </c>
      <c r="P79" s="23" t="s">
        <v>153</v>
      </c>
      <c r="Q79" s="23" t="s">
        <v>153</v>
      </c>
      <c r="R79" s="23" t="s">
        <v>153</v>
      </c>
      <c r="S79" s="23" t="s">
        <v>153</v>
      </c>
      <c r="T79" s="23" t="s">
        <v>153</v>
      </c>
      <c r="U79" s="24" t="s">
        <v>153</v>
      </c>
      <c r="V79" s="54" t="s">
        <v>153</v>
      </c>
      <c r="W79" s="23" t="s">
        <v>153</v>
      </c>
      <c r="X79" s="23" t="s">
        <v>153</v>
      </c>
      <c r="Y79" s="24" t="s">
        <v>156</v>
      </c>
      <c r="Z79" s="24" t="s">
        <v>156</v>
      </c>
      <c r="AA79" s="24" t="s">
        <v>156</v>
      </c>
      <c r="AB79" s="24" t="s">
        <v>153</v>
      </c>
      <c r="AC79" s="28" t="s">
        <v>163</v>
      </c>
      <c r="AD79" s="28" t="s">
        <v>163</v>
      </c>
      <c r="AE79" s="28" t="s">
        <v>163</v>
      </c>
      <c r="AF79" s="23" t="s">
        <v>153</v>
      </c>
      <c r="AG79" s="23" t="s">
        <v>153</v>
      </c>
      <c r="AH79" s="23" t="s">
        <v>153</v>
      </c>
      <c r="AI79" s="24" t="s">
        <v>153</v>
      </c>
      <c r="AJ79" s="23" t="s">
        <v>153</v>
      </c>
      <c r="AK79" s="23" t="s">
        <v>153</v>
      </c>
      <c r="AL79" s="23" t="s">
        <v>153</v>
      </c>
      <c r="AM79" s="23" t="s">
        <v>153</v>
      </c>
      <c r="AN79" s="23" t="s">
        <v>153</v>
      </c>
      <c r="AO79" s="23" t="s">
        <v>153</v>
      </c>
      <c r="AP79" s="23">
        <f>VALUE(54)</f>
        <v>54</v>
      </c>
      <c r="AQ79" s="23">
        <f>VALUE(0)</f>
        <v>0</v>
      </c>
      <c r="AR79" s="23">
        <f>VALUE(0)</f>
        <v>0</v>
      </c>
      <c r="AS79" s="23">
        <f>VALUE(0)</f>
        <v>0</v>
      </c>
      <c r="AT79" s="23">
        <f>VALUE(0)</f>
        <v>0</v>
      </c>
      <c r="AU79" s="23">
        <f>VALUE(3)</f>
        <v>3</v>
      </c>
      <c r="AV79" s="23">
        <f>VALUE(13)</f>
        <v>13</v>
      </c>
      <c r="AW79" s="23">
        <f>VALUE(0)</f>
        <v>0</v>
      </c>
      <c r="AX79" s="23" t="s">
        <v>158</v>
      </c>
      <c r="AY79" s="23" t="s">
        <v>297</v>
      </c>
      <c r="AZ79" s="23">
        <f>VALUE(0)</f>
        <v>0</v>
      </c>
      <c r="BA79" s="23">
        <f>VALUE(0)</f>
        <v>0</v>
      </c>
      <c r="BB79" s="23">
        <f>VALUE(0)</f>
        <v>0</v>
      </c>
      <c r="BC79" s="23">
        <f>VALUE(0)</f>
        <v>0</v>
      </c>
      <c r="BD79" s="23">
        <f>VALUE(0)</f>
        <v>0</v>
      </c>
      <c r="BE79" s="23">
        <f>VALUE(0)</f>
        <v>0</v>
      </c>
      <c r="BF79" s="23">
        <f>VALUE(0)</f>
        <v>0</v>
      </c>
      <c r="BG79" s="23">
        <f>VALUE(0)</f>
        <v>0</v>
      </c>
      <c r="BH79" s="23">
        <f>VALUE(0)</f>
        <v>0</v>
      </c>
      <c r="BI79" s="23">
        <f>VALUE(0)</f>
        <v>0</v>
      </c>
      <c r="BJ79" s="23">
        <f>VALUE(0)</f>
        <v>0</v>
      </c>
      <c r="BK79" s="12">
        <f>$AX$79*24</f>
        <v>11.666666666666666</v>
      </c>
      <c r="BL79" s="12">
        <f>$AY$79*24</f>
        <v>2.4500000000000002</v>
      </c>
      <c r="BM79" s="12">
        <f>$BJ$79*24</f>
        <v>0</v>
      </c>
      <c r="BN79" s="12">
        <f>VALUE($I$79)/100</f>
        <v>1</v>
      </c>
      <c r="BO79" s="12">
        <v>0</v>
      </c>
      <c r="BP79" s="12">
        <v>0</v>
      </c>
      <c r="BQ79" s="12">
        <v>0</v>
      </c>
      <c r="BR79" s="12">
        <v>0</v>
      </c>
      <c r="BS79" s="12">
        <v>0</v>
      </c>
      <c r="BT79" s="12">
        <v>0</v>
      </c>
      <c r="BU79" s="12">
        <v>0</v>
      </c>
      <c r="BV79" s="12">
        <v>0</v>
      </c>
      <c r="BW79" s="12">
        <v>0</v>
      </c>
      <c r="BX79" s="12">
        <v>0</v>
      </c>
      <c r="BY79" s="12">
        <v>0</v>
      </c>
      <c r="BZ79" s="12">
        <v>0</v>
      </c>
      <c r="CA79" s="12">
        <v>0</v>
      </c>
    </row>
    <row r="80" spans="1:79" hidden="1" x14ac:dyDescent="0.2">
      <c r="A80" s="12" t="s">
        <v>102</v>
      </c>
      <c r="B80" s="12" t="s">
        <v>110</v>
      </c>
      <c r="C80" s="12" t="s">
        <v>110</v>
      </c>
      <c r="D80" s="22" t="s">
        <v>298</v>
      </c>
      <c r="E80" s="22" t="s">
        <v>161</v>
      </c>
      <c r="F80" s="22" t="s">
        <v>717</v>
      </c>
      <c r="G80" s="22" t="s">
        <v>718</v>
      </c>
      <c r="H80" s="22" t="s">
        <v>150</v>
      </c>
      <c r="I80" s="22" t="s">
        <v>151</v>
      </c>
      <c r="J80" s="22" t="s">
        <v>162</v>
      </c>
      <c r="K80" s="22" t="s">
        <v>71</v>
      </c>
      <c r="L80" s="54" t="s">
        <v>153</v>
      </c>
      <c r="M80" s="23" t="s">
        <v>153</v>
      </c>
      <c r="N80" s="24" t="s">
        <v>153</v>
      </c>
      <c r="O80" s="23" t="s">
        <v>153</v>
      </c>
      <c r="P80" s="23" t="s">
        <v>153</v>
      </c>
      <c r="Q80" s="23" t="s">
        <v>153</v>
      </c>
      <c r="R80" s="23" t="s">
        <v>153</v>
      </c>
      <c r="S80" s="23" t="s">
        <v>153</v>
      </c>
      <c r="T80" s="23" t="s">
        <v>153</v>
      </c>
      <c r="U80" s="24" t="s">
        <v>153</v>
      </c>
      <c r="V80" s="54" t="s">
        <v>156</v>
      </c>
      <c r="W80" s="24" t="s">
        <v>156</v>
      </c>
      <c r="X80" s="24" t="s">
        <v>156</v>
      </c>
      <c r="Y80" s="23" t="s">
        <v>153</v>
      </c>
      <c r="Z80" s="23" t="s">
        <v>153</v>
      </c>
      <c r="AA80" s="23" t="s">
        <v>153</v>
      </c>
      <c r="AB80" s="24" t="s">
        <v>153</v>
      </c>
      <c r="AC80" s="23" t="s">
        <v>153</v>
      </c>
      <c r="AD80" s="23" t="s">
        <v>153</v>
      </c>
      <c r="AE80" s="23" t="s">
        <v>153</v>
      </c>
      <c r="AF80" s="23" t="s">
        <v>153</v>
      </c>
      <c r="AG80" s="23" t="s">
        <v>153</v>
      </c>
      <c r="AH80" s="23" t="s">
        <v>153</v>
      </c>
      <c r="AI80" s="24" t="s">
        <v>153</v>
      </c>
      <c r="AJ80" s="23" t="s">
        <v>153</v>
      </c>
      <c r="AK80" s="23" t="s">
        <v>153</v>
      </c>
      <c r="AL80" s="23" t="s">
        <v>153</v>
      </c>
      <c r="AM80" s="23" t="s">
        <v>153</v>
      </c>
      <c r="AN80" s="23" t="s">
        <v>153</v>
      </c>
      <c r="AO80" s="23" t="s">
        <v>153</v>
      </c>
      <c r="AP80" s="23">
        <f>VALUE(59)</f>
        <v>59</v>
      </c>
      <c r="AQ80" s="23">
        <f>VALUE(0)</f>
        <v>0</v>
      </c>
      <c r="AR80" s="23">
        <f>VALUE(0)</f>
        <v>0</v>
      </c>
      <c r="AS80" s="23">
        <f>VALUE(0)</f>
        <v>0</v>
      </c>
      <c r="AT80" s="23">
        <f>VALUE(0)</f>
        <v>0</v>
      </c>
      <c r="AU80" s="23">
        <f>VALUE(0)</f>
        <v>0</v>
      </c>
      <c r="AV80" s="23">
        <f>VALUE(6)</f>
        <v>6</v>
      </c>
      <c r="AW80" s="23">
        <f>VALUE(0)</f>
        <v>0</v>
      </c>
      <c r="AX80" s="23">
        <f>VALUE(0)</f>
        <v>0</v>
      </c>
      <c r="AY80" s="23">
        <f>VALUE(0)</f>
        <v>0</v>
      </c>
      <c r="AZ80" s="23">
        <f>VALUE(0)</f>
        <v>0</v>
      </c>
      <c r="BA80" s="23">
        <f>VALUE(0)</f>
        <v>0</v>
      </c>
      <c r="BB80" s="23">
        <f>VALUE(0)</f>
        <v>0</v>
      </c>
      <c r="BC80" s="23">
        <f>VALUE(0)</f>
        <v>0</v>
      </c>
      <c r="BD80" s="23">
        <f>VALUE(0)</f>
        <v>0</v>
      </c>
      <c r="BE80" s="23">
        <f>VALUE(0)</f>
        <v>0</v>
      </c>
      <c r="BF80" s="23">
        <f>VALUE(0)</f>
        <v>0</v>
      </c>
      <c r="BG80" s="23">
        <f>VALUE(0)</f>
        <v>0</v>
      </c>
      <c r="BH80" s="23">
        <f>VALUE(0)</f>
        <v>0</v>
      </c>
      <c r="BI80" s="23">
        <f>VALUE(0)</f>
        <v>0</v>
      </c>
      <c r="BJ80" s="23">
        <f>VALUE(0)</f>
        <v>0</v>
      </c>
      <c r="BK80" s="12">
        <f>$AX$80*24</f>
        <v>0</v>
      </c>
      <c r="BL80" s="12">
        <f>$AY$80*24</f>
        <v>0</v>
      </c>
      <c r="BM80" s="12">
        <f>$BJ$80*24</f>
        <v>0</v>
      </c>
      <c r="BN80" s="12">
        <f>VALUE($I$80)/100</f>
        <v>1</v>
      </c>
      <c r="BO80" s="12">
        <v>0</v>
      </c>
      <c r="BP80" s="12">
        <v>0</v>
      </c>
      <c r="BQ80" s="12">
        <v>0</v>
      </c>
      <c r="BR80" s="12">
        <v>0</v>
      </c>
      <c r="BS80" s="12">
        <v>0</v>
      </c>
      <c r="BT80" s="12">
        <v>0</v>
      </c>
      <c r="BU80" s="12">
        <v>0</v>
      </c>
      <c r="BV80" s="12">
        <v>0</v>
      </c>
      <c r="BW80" s="12">
        <v>0</v>
      </c>
      <c r="BX80" s="12">
        <v>0</v>
      </c>
      <c r="BY80" s="12">
        <v>0</v>
      </c>
      <c r="BZ80" s="12">
        <v>0</v>
      </c>
      <c r="CA80" s="12">
        <v>0</v>
      </c>
    </row>
    <row r="81" spans="1:79" hidden="1" x14ac:dyDescent="0.2">
      <c r="A81" s="12" t="s">
        <v>102</v>
      </c>
      <c r="B81" s="12" t="s">
        <v>110</v>
      </c>
      <c r="C81" s="12" t="s">
        <v>110</v>
      </c>
      <c r="D81" s="22" t="s">
        <v>287</v>
      </c>
      <c r="E81" s="22" t="s">
        <v>161</v>
      </c>
      <c r="F81" s="22" t="s">
        <v>719</v>
      </c>
      <c r="G81" s="22" t="s">
        <v>720</v>
      </c>
      <c r="H81" s="22" t="s">
        <v>150</v>
      </c>
      <c r="I81" s="22" t="s">
        <v>151</v>
      </c>
      <c r="J81" s="22" t="s">
        <v>162</v>
      </c>
      <c r="K81" s="22" t="s">
        <v>71</v>
      </c>
      <c r="L81" s="54" t="s">
        <v>156</v>
      </c>
      <c r="M81" s="24" t="s">
        <v>156</v>
      </c>
      <c r="N81" s="24" t="s">
        <v>153</v>
      </c>
      <c r="O81" s="28" t="s">
        <v>163</v>
      </c>
      <c r="P81" s="28" t="s">
        <v>163</v>
      </c>
      <c r="Q81" s="28" t="s">
        <v>163</v>
      </c>
      <c r="R81" s="23" t="s">
        <v>153</v>
      </c>
      <c r="S81" s="23" t="s">
        <v>153</v>
      </c>
      <c r="T81" s="23" t="s">
        <v>153</v>
      </c>
      <c r="U81" s="24" t="s">
        <v>153</v>
      </c>
      <c r="V81" s="54" t="s">
        <v>153</v>
      </c>
      <c r="W81" s="23" t="s">
        <v>153</v>
      </c>
      <c r="X81" s="23" t="s">
        <v>153</v>
      </c>
      <c r="Y81" s="23" t="s">
        <v>153</v>
      </c>
      <c r="Z81" s="23" t="s">
        <v>153</v>
      </c>
      <c r="AA81" s="23" t="s">
        <v>153</v>
      </c>
      <c r="AB81" s="24" t="s">
        <v>153</v>
      </c>
      <c r="AC81" s="23" t="s">
        <v>153</v>
      </c>
      <c r="AD81" s="23" t="s">
        <v>153</v>
      </c>
      <c r="AE81" s="23" t="s">
        <v>153</v>
      </c>
      <c r="AF81" s="23" t="s">
        <v>153</v>
      </c>
      <c r="AG81" s="23" t="s">
        <v>153</v>
      </c>
      <c r="AH81" s="23" t="s">
        <v>153</v>
      </c>
      <c r="AI81" s="24" t="s">
        <v>153</v>
      </c>
      <c r="AJ81" s="24" t="s">
        <v>156</v>
      </c>
      <c r="AK81" s="24" t="s">
        <v>156</v>
      </c>
      <c r="AL81" s="24" t="s">
        <v>156</v>
      </c>
      <c r="AM81" s="23" t="s">
        <v>153</v>
      </c>
      <c r="AN81" s="23" t="s">
        <v>153</v>
      </c>
      <c r="AO81" s="23" t="s">
        <v>153</v>
      </c>
      <c r="AP81" s="23">
        <f>VALUE(51)</f>
        <v>51</v>
      </c>
      <c r="AQ81" s="23">
        <f>VALUE(0)</f>
        <v>0</v>
      </c>
      <c r="AR81" s="23">
        <f>VALUE(0)</f>
        <v>0</v>
      </c>
      <c r="AS81" s="23">
        <f>VALUE(0)</f>
        <v>0</v>
      </c>
      <c r="AT81" s="23">
        <f>VALUE(0)</f>
        <v>0</v>
      </c>
      <c r="AU81" s="23">
        <f>VALUE(3)</f>
        <v>3</v>
      </c>
      <c r="AV81" s="23">
        <f>VALUE(8)</f>
        <v>8</v>
      </c>
      <c r="AW81" s="23">
        <f>VALUE(0)</f>
        <v>0</v>
      </c>
      <c r="AX81" s="23" t="s">
        <v>1193</v>
      </c>
      <c r="AY81" s="23" t="s">
        <v>299</v>
      </c>
      <c r="AZ81" s="23">
        <f>VALUE(0)</f>
        <v>0</v>
      </c>
      <c r="BA81" s="23">
        <f>VALUE(0)</f>
        <v>0</v>
      </c>
      <c r="BB81" s="23">
        <f>VALUE(0)</f>
        <v>0</v>
      </c>
      <c r="BC81" s="23">
        <f>VALUE(0)</f>
        <v>0</v>
      </c>
      <c r="BD81" s="23">
        <f>VALUE(0)</f>
        <v>0</v>
      </c>
      <c r="BE81" s="23">
        <f>VALUE(0)</f>
        <v>0</v>
      </c>
      <c r="BF81" s="23">
        <f>VALUE(0)</f>
        <v>0</v>
      </c>
      <c r="BG81" s="23">
        <f>VALUE(0)</f>
        <v>0</v>
      </c>
      <c r="BH81" s="23">
        <f>VALUE(0)</f>
        <v>0</v>
      </c>
      <c r="BI81" s="23">
        <f>VALUE(0)</f>
        <v>0</v>
      </c>
      <c r="BJ81" s="23">
        <f>VALUE(0)</f>
        <v>0</v>
      </c>
      <c r="BK81" s="12">
        <f>$AX$81*24</f>
        <v>4.5</v>
      </c>
      <c r="BL81" s="12">
        <f>$AY$81*24</f>
        <v>1.65</v>
      </c>
      <c r="BM81" s="12">
        <f>$BJ$81*24</f>
        <v>0</v>
      </c>
      <c r="BN81" s="12">
        <f>VALUE($I$81)/100</f>
        <v>1</v>
      </c>
      <c r="BO81" s="12">
        <v>0</v>
      </c>
      <c r="BP81" s="12">
        <v>0</v>
      </c>
      <c r="BQ81" s="12">
        <v>0</v>
      </c>
      <c r="BR81" s="12">
        <v>0</v>
      </c>
      <c r="BS81" s="12">
        <v>0</v>
      </c>
      <c r="BT81" s="12">
        <v>0</v>
      </c>
      <c r="BU81" s="12">
        <v>0</v>
      </c>
      <c r="BV81" s="12">
        <v>0</v>
      </c>
      <c r="BW81" s="12">
        <v>0</v>
      </c>
      <c r="BX81" s="12">
        <v>0</v>
      </c>
      <c r="BY81" s="12">
        <v>0</v>
      </c>
      <c r="BZ81" s="12">
        <v>0</v>
      </c>
      <c r="CA81" s="12">
        <v>0</v>
      </c>
    </row>
    <row r="82" spans="1:79" hidden="1" x14ac:dyDescent="0.2">
      <c r="A82" s="12" t="s">
        <v>102</v>
      </c>
      <c r="B82" s="12" t="s">
        <v>110</v>
      </c>
      <c r="C82" s="12" t="s">
        <v>110</v>
      </c>
      <c r="D82" s="22" t="s">
        <v>300</v>
      </c>
      <c r="E82" s="22" t="s">
        <v>161</v>
      </c>
      <c r="F82" s="22" t="s">
        <v>721</v>
      </c>
      <c r="G82" s="22" t="s">
        <v>722</v>
      </c>
      <c r="H82" s="22" t="s">
        <v>150</v>
      </c>
      <c r="I82" s="22" t="s">
        <v>151</v>
      </c>
      <c r="J82" s="22" t="s">
        <v>162</v>
      </c>
      <c r="K82" s="22" t="s">
        <v>71</v>
      </c>
      <c r="L82" s="54" t="s">
        <v>153</v>
      </c>
      <c r="M82" s="23" t="s">
        <v>153</v>
      </c>
      <c r="N82" s="24" t="s">
        <v>153</v>
      </c>
      <c r="O82" s="23" t="s">
        <v>153</v>
      </c>
      <c r="P82" s="23" t="s">
        <v>153</v>
      </c>
      <c r="Q82" s="23" t="s">
        <v>153</v>
      </c>
      <c r="R82" s="23" t="s">
        <v>153</v>
      </c>
      <c r="S82" s="23" t="s">
        <v>153</v>
      </c>
      <c r="T82" s="23" t="s">
        <v>153</v>
      </c>
      <c r="U82" s="24" t="s">
        <v>153</v>
      </c>
      <c r="V82" s="54" t="s">
        <v>153</v>
      </c>
      <c r="W82" s="23" t="s">
        <v>153</v>
      </c>
      <c r="X82" s="23" t="s">
        <v>153</v>
      </c>
      <c r="Y82" s="23" t="s">
        <v>153</v>
      </c>
      <c r="Z82" s="23" t="s">
        <v>153</v>
      </c>
      <c r="AA82" s="23" t="s">
        <v>153</v>
      </c>
      <c r="AB82" s="24" t="s">
        <v>153</v>
      </c>
      <c r="AC82" s="23" t="s">
        <v>153</v>
      </c>
      <c r="AD82" s="23" t="s">
        <v>153</v>
      </c>
      <c r="AE82" s="23" t="s">
        <v>153</v>
      </c>
      <c r="AF82" s="23" t="s">
        <v>153</v>
      </c>
      <c r="AG82" s="23" t="s">
        <v>153</v>
      </c>
      <c r="AH82" s="23" t="s">
        <v>153</v>
      </c>
      <c r="AI82" s="24" t="s">
        <v>153</v>
      </c>
      <c r="AJ82" s="23" t="s">
        <v>153</v>
      </c>
      <c r="AK82" s="23" t="s">
        <v>153</v>
      </c>
      <c r="AL82" s="23" t="s">
        <v>153</v>
      </c>
      <c r="AM82" s="24" t="s">
        <v>156</v>
      </c>
      <c r="AN82" s="24" t="s">
        <v>156</v>
      </c>
      <c r="AO82" s="24" t="s">
        <v>156</v>
      </c>
      <c r="AP82" s="23">
        <f>VALUE(56)</f>
        <v>56</v>
      </c>
      <c r="AQ82" s="23">
        <f>VALUE(0)</f>
        <v>0</v>
      </c>
      <c r="AR82" s="23">
        <f>VALUE(0)</f>
        <v>0</v>
      </c>
      <c r="AS82" s="23">
        <f>VALUE(0)</f>
        <v>0</v>
      </c>
      <c r="AT82" s="23">
        <f>VALUE(0)</f>
        <v>0</v>
      </c>
      <c r="AU82" s="23">
        <f>VALUE(0)</f>
        <v>0</v>
      </c>
      <c r="AV82" s="23">
        <f>VALUE(7)</f>
        <v>7</v>
      </c>
      <c r="AW82" s="23">
        <f>VALUE(0)</f>
        <v>0</v>
      </c>
      <c r="AX82" s="23" t="s">
        <v>1193</v>
      </c>
      <c r="AY82" s="23" t="s">
        <v>301</v>
      </c>
      <c r="AZ82" s="23">
        <f>VALUE(0)</f>
        <v>0</v>
      </c>
      <c r="BA82" s="23">
        <f>VALUE(0)</f>
        <v>0</v>
      </c>
      <c r="BB82" s="23">
        <f>VALUE(0)</f>
        <v>0</v>
      </c>
      <c r="BC82" s="23">
        <f>VALUE(0)</f>
        <v>0</v>
      </c>
      <c r="BD82" s="23">
        <f>VALUE(0)</f>
        <v>0</v>
      </c>
      <c r="BE82" s="23">
        <f>VALUE(0)</f>
        <v>0</v>
      </c>
      <c r="BF82" s="23">
        <f>VALUE(0)</f>
        <v>0</v>
      </c>
      <c r="BG82" s="23">
        <f>VALUE(0)</f>
        <v>0</v>
      </c>
      <c r="BH82" s="23">
        <f>VALUE(0)</f>
        <v>0</v>
      </c>
      <c r="BI82" s="23">
        <f>VALUE(0)</f>
        <v>0</v>
      </c>
      <c r="BJ82" s="23">
        <f>VALUE(0)</f>
        <v>0</v>
      </c>
      <c r="BK82" s="12">
        <f>$AX$82*24</f>
        <v>4.5</v>
      </c>
      <c r="BL82" s="12">
        <f>$AY$82*24</f>
        <v>25.216666666666665</v>
      </c>
      <c r="BM82" s="12">
        <f>$BJ$82*24</f>
        <v>0</v>
      </c>
      <c r="BN82" s="12">
        <f>VALUE($I$82)/100</f>
        <v>1</v>
      </c>
      <c r="BO82" s="12">
        <v>0</v>
      </c>
      <c r="BP82" s="12">
        <v>0</v>
      </c>
      <c r="BQ82" s="12">
        <v>0</v>
      </c>
      <c r="BR82" s="12">
        <v>0</v>
      </c>
      <c r="BS82" s="12">
        <v>0</v>
      </c>
      <c r="BT82" s="12">
        <v>0</v>
      </c>
      <c r="BU82" s="12">
        <v>0</v>
      </c>
      <c r="BV82" s="12">
        <v>0</v>
      </c>
      <c r="BW82" s="12">
        <v>0</v>
      </c>
      <c r="BX82" s="12">
        <v>0</v>
      </c>
      <c r="BY82" s="12">
        <v>0</v>
      </c>
      <c r="BZ82" s="12">
        <v>0</v>
      </c>
      <c r="CA82" s="12">
        <v>0</v>
      </c>
    </row>
    <row r="83" spans="1:79" hidden="1" x14ac:dyDescent="0.2">
      <c r="A83" s="12" t="s">
        <v>102</v>
      </c>
      <c r="B83" s="12" t="s">
        <v>110</v>
      </c>
      <c r="C83" s="12" t="s">
        <v>110</v>
      </c>
      <c r="D83" s="22" t="s">
        <v>302</v>
      </c>
      <c r="E83" s="22" t="s">
        <v>159</v>
      </c>
      <c r="F83" s="22" t="s">
        <v>303</v>
      </c>
      <c r="G83" s="22" t="s">
        <v>304</v>
      </c>
      <c r="H83" s="22" t="s">
        <v>150</v>
      </c>
      <c r="I83" s="22" t="s">
        <v>151</v>
      </c>
      <c r="J83" s="22" t="s">
        <v>162</v>
      </c>
      <c r="K83" s="22" t="s">
        <v>71</v>
      </c>
      <c r="L83" s="54" t="s">
        <v>153</v>
      </c>
      <c r="M83" s="23" t="s">
        <v>288</v>
      </c>
      <c r="N83" s="24" t="s">
        <v>153</v>
      </c>
      <c r="O83" s="23" t="s">
        <v>287</v>
      </c>
      <c r="P83" s="23" t="s">
        <v>287</v>
      </c>
      <c r="Q83" s="23" t="s">
        <v>287</v>
      </c>
      <c r="R83" s="23" t="s">
        <v>291</v>
      </c>
      <c r="S83" s="23" t="s">
        <v>291</v>
      </c>
      <c r="T83" s="23" t="s">
        <v>305</v>
      </c>
      <c r="U83" s="24" t="s">
        <v>153</v>
      </c>
      <c r="V83" s="54" t="s">
        <v>153</v>
      </c>
      <c r="W83" s="23" t="s">
        <v>293</v>
      </c>
      <c r="X83" s="23" t="s">
        <v>293</v>
      </c>
      <c r="Y83" s="23" t="s">
        <v>293</v>
      </c>
      <c r="Z83" s="23" t="s">
        <v>293</v>
      </c>
      <c r="AA83" s="23" t="s">
        <v>293</v>
      </c>
      <c r="AB83" s="24" t="s">
        <v>153</v>
      </c>
      <c r="AC83" s="23" t="s">
        <v>296</v>
      </c>
      <c r="AD83" s="23" t="s">
        <v>296</v>
      </c>
      <c r="AE83" s="23" t="s">
        <v>296</v>
      </c>
      <c r="AF83" s="24" t="s">
        <v>156</v>
      </c>
      <c r="AG83" s="24" t="s">
        <v>156</v>
      </c>
      <c r="AH83" s="24" t="s">
        <v>156</v>
      </c>
      <c r="AI83" s="24" t="s">
        <v>153</v>
      </c>
      <c r="AJ83" s="23" t="s">
        <v>287</v>
      </c>
      <c r="AK83" s="23" t="s">
        <v>287</v>
      </c>
      <c r="AL83" s="23" t="s">
        <v>287</v>
      </c>
      <c r="AM83" s="23" t="s">
        <v>300</v>
      </c>
      <c r="AN83" s="23" t="s">
        <v>300</v>
      </c>
      <c r="AO83" s="23" t="s">
        <v>300</v>
      </c>
      <c r="AP83" s="23">
        <f>VALUE(51)</f>
        <v>51</v>
      </c>
      <c r="AQ83" s="23">
        <f>VALUE(0)</f>
        <v>0</v>
      </c>
      <c r="AR83" s="23">
        <f>VALUE(0)</f>
        <v>0</v>
      </c>
      <c r="AS83" s="23">
        <f>VALUE(0)</f>
        <v>0</v>
      </c>
      <c r="AT83" s="23">
        <f>VALUE(0)</f>
        <v>0</v>
      </c>
      <c r="AU83" s="23">
        <f>VALUE(0)</f>
        <v>0</v>
      </c>
      <c r="AV83" s="23">
        <f>VALUE(2)</f>
        <v>2</v>
      </c>
      <c r="AW83" s="23">
        <f>VALUE(0)</f>
        <v>0</v>
      </c>
      <c r="AX83" s="23" t="s">
        <v>1193</v>
      </c>
      <c r="AY83" s="23" t="s">
        <v>306</v>
      </c>
      <c r="AZ83" s="23">
        <f>VALUE(0)</f>
        <v>0</v>
      </c>
      <c r="BA83" s="23">
        <f>VALUE(0)</f>
        <v>0</v>
      </c>
      <c r="BB83" s="23">
        <f>VALUE(0)</f>
        <v>0</v>
      </c>
      <c r="BC83" s="23">
        <f>VALUE(0)</f>
        <v>0</v>
      </c>
      <c r="BD83" s="23">
        <f>VALUE(0)</f>
        <v>0</v>
      </c>
      <c r="BE83" s="23">
        <f>VALUE(0)</f>
        <v>0</v>
      </c>
      <c r="BF83" s="23">
        <f>VALUE(0)</f>
        <v>0</v>
      </c>
      <c r="BG83" s="23">
        <f>VALUE(0)</f>
        <v>0</v>
      </c>
      <c r="BH83" s="23">
        <f>VALUE(0)</f>
        <v>0</v>
      </c>
      <c r="BI83" s="23">
        <f>VALUE(0)</f>
        <v>0</v>
      </c>
      <c r="BJ83" s="23">
        <f>VALUE(0)</f>
        <v>0</v>
      </c>
      <c r="BK83" s="12">
        <f>$AX$83*24</f>
        <v>4.5</v>
      </c>
      <c r="BL83" s="12">
        <f>$AY$83*24</f>
        <v>6.5499999999999989</v>
      </c>
      <c r="BM83" s="12">
        <f>$BJ$83*24</f>
        <v>0</v>
      </c>
      <c r="BN83" s="12">
        <f>VALUE($I$83)/100</f>
        <v>1</v>
      </c>
      <c r="BO83" s="12">
        <v>0</v>
      </c>
      <c r="BP83" s="12">
        <v>0</v>
      </c>
      <c r="BQ83" s="12">
        <v>0</v>
      </c>
      <c r="BR83" s="12">
        <v>0</v>
      </c>
      <c r="BS83" s="12">
        <v>0</v>
      </c>
      <c r="BT83" s="12">
        <v>0</v>
      </c>
      <c r="BU83" s="12">
        <v>0</v>
      </c>
      <c r="BV83" s="12">
        <v>0</v>
      </c>
      <c r="BW83" s="12">
        <v>0</v>
      </c>
      <c r="BX83" s="12">
        <v>0</v>
      </c>
      <c r="BY83" s="12">
        <v>0</v>
      </c>
      <c r="BZ83" s="12">
        <v>0</v>
      </c>
      <c r="CA83" s="12">
        <v>0</v>
      </c>
    </row>
    <row r="84" spans="1:79" hidden="1" x14ac:dyDescent="0.2">
      <c r="A84" s="12" t="s">
        <v>102</v>
      </c>
      <c r="B84" s="12" t="s">
        <v>110</v>
      </c>
      <c r="C84" s="12" t="s">
        <v>110</v>
      </c>
      <c r="D84" s="22" t="s">
        <v>307</v>
      </c>
      <c r="E84" s="22" t="s">
        <v>173</v>
      </c>
      <c r="F84" s="22" t="s">
        <v>723</v>
      </c>
      <c r="G84" s="22" t="s">
        <v>724</v>
      </c>
      <c r="H84" s="22" t="s">
        <v>150</v>
      </c>
      <c r="I84" s="22" t="s">
        <v>151</v>
      </c>
      <c r="J84" s="22" t="s">
        <v>162</v>
      </c>
      <c r="K84" s="22" t="s">
        <v>71</v>
      </c>
      <c r="L84" s="54" t="s">
        <v>153</v>
      </c>
      <c r="M84" s="23" t="s">
        <v>293</v>
      </c>
      <c r="N84" s="24" t="s">
        <v>153</v>
      </c>
      <c r="O84" s="23" t="s">
        <v>293</v>
      </c>
      <c r="P84" s="23" t="s">
        <v>293</v>
      </c>
      <c r="Q84" s="23" t="s">
        <v>293</v>
      </c>
      <c r="R84" s="23" t="s">
        <v>293</v>
      </c>
      <c r="S84" s="23" t="s">
        <v>293</v>
      </c>
      <c r="T84" s="23" t="s">
        <v>293</v>
      </c>
      <c r="U84" s="24" t="s">
        <v>153</v>
      </c>
      <c r="V84" s="54" t="s">
        <v>153</v>
      </c>
      <c r="W84" s="23" t="s">
        <v>298</v>
      </c>
      <c r="X84" s="23" t="s">
        <v>298</v>
      </c>
      <c r="Y84" s="23" t="s">
        <v>296</v>
      </c>
      <c r="Z84" s="23" t="s">
        <v>296</v>
      </c>
      <c r="AA84" s="23" t="s">
        <v>296</v>
      </c>
      <c r="AB84" s="24" t="s">
        <v>153</v>
      </c>
      <c r="AC84" s="24" t="s">
        <v>156</v>
      </c>
      <c r="AD84" s="24" t="s">
        <v>156</v>
      </c>
      <c r="AE84" s="24" t="s">
        <v>156</v>
      </c>
      <c r="AF84" s="23" t="s">
        <v>291</v>
      </c>
      <c r="AG84" s="23" t="s">
        <v>291</v>
      </c>
      <c r="AH84" s="23" t="s">
        <v>291</v>
      </c>
      <c r="AI84" s="24" t="s">
        <v>153</v>
      </c>
      <c r="AJ84" s="23" t="s">
        <v>291</v>
      </c>
      <c r="AK84" s="23" t="s">
        <v>291</v>
      </c>
      <c r="AL84" s="23" t="s">
        <v>291</v>
      </c>
      <c r="AM84" s="23" t="s">
        <v>291</v>
      </c>
      <c r="AN84" s="23" t="s">
        <v>291</v>
      </c>
      <c r="AO84" s="23" t="s">
        <v>291</v>
      </c>
      <c r="AP84" s="23">
        <f>VALUE(54)</f>
        <v>54</v>
      </c>
      <c r="AQ84" s="23">
        <f>VALUE(0)</f>
        <v>0</v>
      </c>
      <c r="AR84" s="23">
        <f>VALUE(0)</f>
        <v>0</v>
      </c>
      <c r="AS84" s="23">
        <f>VALUE(0)</f>
        <v>0</v>
      </c>
      <c r="AT84" s="23">
        <f>VALUE(0)</f>
        <v>0</v>
      </c>
      <c r="AU84" s="23">
        <f>VALUE(0)</f>
        <v>0</v>
      </c>
      <c r="AV84" s="23">
        <f>VALUE(4)</f>
        <v>4</v>
      </c>
      <c r="AW84" s="23">
        <f>VALUE(0)</f>
        <v>0</v>
      </c>
      <c r="AX84" s="23" t="s">
        <v>171</v>
      </c>
      <c r="AY84" s="23" t="s">
        <v>308</v>
      </c>
      <c r="AZ84" s="23">
        <f>VALUE(0)</f>
        <v>0</v>
      </c>
      <c r="BA84" s="23">
        <f>VALUE(0)</f>
        <v>0</v>
      </c>
      <c r="BB84" s="23">
        <f>VALUE(0)</f>
        <v>0</v>
      </c>
      <c r="BC84" s="23">
        <f>VALUE(0)</f>
        <v>0</v>
      </c>
      <c r="BD84" s="23">
        <f>VALUE(0)</f>
        <v>0</v>
      </c>
      <c r="BE84" s="23">
        <f>VALUE(0)</f>
        <v>0</v>
      </c>
      <c r="BF84" s="23">
        <f>VALUE(0)</f>
        <v>0</v>
      </c>
      <c r="BG84" s="23">
        <f>VALUE(0)</f>
        <v>0</v>
      </c>
      <c r="BH84" s="23">
        <f>VALUE(0)</f>
        <v>0</v>
      </c>
      <c r="BI84" s="23">
        <f>VALUE(0)</f>
        <v>0</v>
      </c>
      <c r="BJ84" s="23">
        <f>VALUE(0)</f>
        <v>0</v>
      </c>
      <c r="BK84" s="12">
        <f>$AX$84*24</f>
        <v>5.833333333333333</v>
      </c>
      <c r="BL84" s="12">
        <f>$AY$84*24</f>
        <v>3.7833333333333332</v>
      </c>
      <c r="BM84" s="12">
        <f>$BJ$84*24</f>
        <v>0</v>
      </c>
      <c r="BN84" s="12">
        <f>VALUE($I$84)/100</f>
        <v>1</v>
      </c>
      <c r="BO84" s="12">
        <v>0</v>
      </c>
      <c r="BP84" s="12">
        <v>0</v>
      </c>
      <c r="BQ84" s="12">
        <v>0</v>
      </c>
      <c r="BR84" s="12">
        <v>0</v>
      </c>
      <c r="BS84" s="12">
        <v>0</v>
      </c>
      <c r="BT84" s="12">
        <v>0</v>
      </c>
      <c r="BU84" s="12">
        <v>0</v>
      </c>
      <c r="BV84" s="12">
        <v>0</v>
      </c>
      <c r="BW84" s="12">
        <v>0</v>
      </c>
      <c r="BX84" s="12">
        <v>0</v>
      </c>
      <c r="BY84" s="12">
        <v>0</v>
      </c>
      <c r="BZ84" s="12">
        <v>0</v>
      </c>
      <c r="CA84" s="12">
        <v>0</v>
      </c>
    </row>
    <row r="85" spans="1:79" ht="15" hidden="1" x14ac:dyDescent="0.25">
      <c r="A85" s="12" t="s">
        <v>102</v>
      </c>
      <c r="B85" s="12" t="s">
        <v>110</v>
      </c>
      <c r="C85" s="12" t="s">
        <v>110</v>
      </c>
      <c r="D85" s="31" t="s">
        <v>582</v>
      </c>
      <c r="E85" s="31" t="s">
        <v>153</v>
      </c>
      <c r="F85" s="31" t="s">
        <v>175</v>
      </c>
      <c r="G85" s="31" t="s">
        <v>153</v>
      </c>
      <c r="H85" s="31" t="s">
        <v>153</v>
      </c>
      <c r="I85" s="31" t="s">
        <v>153</v>
      </c>
      <c r="J85" s="31" t="s">
        <v>153</v>
      </c>
      <c r="K85" s="31" t="s">
        <v>153</v>
      </c>
      <c r="L85" s="31">
        <f>VALUE(0)</f>
        <v>0</v>
      </c>
      <c r="M85" s="31">
        <f>VALUE(7)</f>
        <v>7</v>
      </c>
      <c r="N85" s="31">
        <f>VALUE(0)</f>
        <v>0</v>
      </c>
      <c r="O85" s="31">
        <f>VALUE(8)</f>
        <v>8</v>
      </c>
      <c r="P85" s="31">
        <f>VALUE(8)</f>
        <v>8</v>
      </c>
      <c r="Q85" s="31">
        <f>VALUE(8)</f>
        <v>8</v>
      </c>
      <c r="R85" s="31">
        <f>VALUE(7)</f>
        <v>7</v>
      </c>
      <c r="S85" s="31">
        <f>VALUE(7)</f>
        <v>7</v>
      </c>
      <c r="T85" s="31">
        <f>VALUE(8)</f>
        <v>8</v>
      </c>
      <c r="U85" s="31">
        <f>VALUE(0)</f>
        <v>0</v>
      </c>
      <c r="V85" s="31">
        <f>VALUE(0)</f>
        <v>0</v>
      </c>
      <c r="W85" s="31">
        <f>VALUE(8)</f>
        <v>8</v>
      </c>
      <c r="X85" s="31">
        <f>VALUE(8)</f>
        <v>8</v>
      </c>
      <c r="Y85" s="31">
        <f>VALUE(7)</f>
        <v>7</v>
      </c>
      <c r="Z85" s="31">
        <f>VALUE(7)</f>
        <v>7</v>
      </c>
      <c r="AA85" s="31">
        <f>VALUE(8)</f>
        <v>8</v>
      </c>
      <c r="AB85" s="31">
        <f>VALUE(0)</f>
        <v>0</v>
      </c>
      <c r="AC85" s="31">
        <f>VALUE(8)</f>
        <v>8</v>
      </c>
      <c r="AD85" s="31">
        <f>VALUE(8)</f>
        <v>8</v>
      </c>
      <c r="AE85" s="31">
        <f>VALUE(8)</f>
        <v>8</v>
      </c>
      <c r="AF85" s="31">
        <f>VALUE(8)</f>
        <v>8</v>
      </c>
      <c r="AG85" s="31">
        <f>VALUE(8)</f>
        <v>8</v>
      </c>
      <c r="AH85" s="31">
        <f>VALUE(8)</f>
        <v>8</v>
      </c>
      <c r="AI85" s="31">
        <f>VALUE(0)</f>
        <v>0</v>
      </c>
      <c r="AJ85" s="31">
        <f>VALUE(8)</f>
        <v>8</v>
      </c>
      <c r="AK85" s="31">
        <f>VALUE(8)</f>
        <v>8</v>
      </c>
      <c r="AL85" s="31">
        <f>VALUE(8)</f>
        <v>8</v>
      </c>
      <c r="AM85" s="31">
        <f>VALUE(7)</f>
        <v>7</v>
      </c>
      <c r="AN85" s="31">
        <f>VALUE(7)</f>
        <v>7</v>
      </c>
      <c r="AO85" s="31">
        <f>VALUE(7)</f>
        <v>7</v>
      </c>
      <c r="AP85" s="31">
        <v>0</v>
      </c>
      <c r="AQ85" s="31">
        <v>0</v>
      </c>
      <c r="AR85" s="31">
        <v>0</v>
      </c>
      <c r="AS85" s="31">
        <v>0</v>
      </c>
      <c r="AT85" s="31">
        <v>0</v>
      </c>
      <c r="AU85" s="31">
        <v>0</v>
      </c>
      <c r="AV85" s="31">
        <v>0</v>
      </c>
      <c r="AW85" s="31">
        <v>0</v>
      </c>
      <c r="AX85" s="31">
        <v>0</v>
      </c>
      <c r="AY85" s="31">
        <v>0</v>
      </c>
      <c r="AZ85" s="31">
        <v>0</v>
      </c>
      <c r="BA85" s="31">
        <v>0</v>
      </c>
      <c r="BB85" s="31">
        <v>0</v>
      </c>
      <c r="BC85" s="31">
        <v>0</v>
      </c>
      <c r="BD85" s="31">
        <v>0</v>
      </c>
      <c r="BE85" s="31">
        <v>0</v>
      </c>
      <c r="BF85" s="31">
        <v>0</v>
      </c>
      <c r="BG85" s="31">
        <v>0</v>
      </c>
      <c r="BH85" s="31">
        <v>0</v>
      </c>
      <c r="BI85" s="31">
        <v>0</v>
      </c>
      <c r="BJ85" s="31">
        <v>0</v>
      </c>
      <c r="BK85" s="12">
        <v>0</v>
      </c>
      <c r="BL85" s="12">
        <v>0</v>
      </c>
      <c r="BM85" s="12">
        <v>0</v>
      </c>
      <c r="BN85" s="12"/>
      <c r="BO85" s="12">
        <v>0</v>
      </c>
      <c r="BP85" s="12">
        <v>0</v>
      </c>
      <c r="BQ85" s="12">
        <v>0</v>
      </c>
      <c r="BR85" s="12">
        <v>0</v>
      </c>
      <c r="BS85" s="12">
        <v>0</v>
      </c>
      <c r="BT85" s="12">
        <v>0</v>
      </c>
      <c r="BU85" s="12">
        <v>0</v>
      </c>
      <c r="BV85" s="12">
        <v>0</v>
      </c>
      <c r="BW85" s="12">
        <v>0</v>
      </c>
      <c r="BX85" s="12">
        <v>0</v>
      </c>
      <c r="BY85" s="12">
        <v>0</v>
      </c>
      <c r="BZ85" s="12">
        <v>0</v>
      </c>
      <c r="CA85" s="12">
        <v>0</v>
      </c>
    </row>
    <row r="86" spans="1:79" x14ac:dyDescent="0.2">
      <c r="A86" s="12" t="s">
        <v>102</v>
      </c>
      <c r="B86" s="12" t="s">
        <v>111</v>
      </c>
      <c r="C86" s="12" t="s">
        <v>111</v>
      </c>
      <c r="D86" s="22" t="s">
        <v>310</v>
      </c>
      <c r="E86" s="22" t="s">
        <v>159</v>
      </c>
      <c r="F86" s="22" t="s">
        <v>725</v>
      </c>
      <c r="G86" s="22" t="s">
        <v>726</v>
      </c>
      <c r="H86" s="22" t="s">
        <v>166</v>
      </c>
      <c r="I86" s="22" t="s">
        <v>151</v>
      </c>
      <c r="J86" s="22" t="s">
        <v>311</v>
      </c>
      <c r="K86" s="22" t="s">
        <v>72</v>
      </c>
      <c r="L86" s="54" t="s">
        <v>153</v>
      </c>
      <c r="M86" s="23" t="s">
        <v>153</v>
      </c>
      <c r="N86" s="24" t="s">
        <v>153</v>
      </c>
      <c r="O86" s="23" t="s">
        <v>153</v>
      </c>
      <c r="P86" s="23" t="s">
        <v>153</v>
      </c>
      <c r="Q86" s="29" t="s">
        <v>218</v>
      </c>
      <c r="R86" s="23" t="s">
        <v>153</v>
      </c>
      <c r="S86" s="23" t="s">
        <v>153</v>
      </c>
      <c r="T86" s="23" t="s">
        <v>153</v>
      </c>
      <c r="U86" s="24" t="s">
        <v>153</v>
      </c>
      <c r="V86" s="54" t="s">
        <v>153</v>
      </c>
      <c r="W86" s="23" t="s">
        <v>313</v>
      </c>
      <c r="X86" s="23" t="s">
        <v>313</v>
      </c>
      <c r="Y86" s="23" t="s">
        <v>313</v>
      </c>
      <c r="Z86" s="23" t="s">
        <v>313</v>
      </c>
      <c r="AA86" s="23" t="s">
        <v>313</v>
      </c>
      <c r="AB86" s="24" t="s">
        <v>153</v>
      </c>
      <c r="AC86" s="23" t="s">
        <v>153</v>
      </c>
      <c r="AD86" s="23" t="s">
        <v>153</v>
      </c>
      <c r="AE86" s="29" t="s">
        <v>218</v>
      </c>
      <c r="AF86" s="23" t="s">
        <v>153</v>
      </c>
      <c r="AG86" s="23" t="s">
        <v>153</v>
      </c>
      <c r="AH86" s="23" t="s">
        <v>153</v>
      </c>
      <c r="AI86" s="24" t="s">
        <v>153</v>
      </c>
      <c r="AJ86" s="23" t="s">
        <v>314</v>
      </c>
      <c r="AK86" s="23" t="s">
        <v>314</v>
      </c>
      <c r="AL86" s="23" t="s">
        <v>314</v>
      </c>
      <c r="AM86" s="23" t="s">
        <v>314</v>
      </c>
      <c r="AN86" s="23" t="s">
        <v>314</v>
      </c>
      <c r="AO86" s="23" t="s">
        <v>153</v>
      </c>
      <c r="AP86" s="23">
        <f>VALUE(0)</f>
        <v>0</v>
      </c>
      <c r="AQ86" s="23">
        <f>VALUE(0)</f>
        <v>0</v>
      </c>
      <c r="AR86" s="23">
        <f>VALUE(2)</f>
        <v>2</v>
      </c>
      <c r="AS86" s="23">
        <f>VALUE(12)</f>
        <v>12</v>
      </c>
      <c r="AT86" s="23">
        <f>VALUE(0)</f>
        <v>0</v>
      </c>
      <c r="AU86" s="23">
        <f>VALUE(0)</f>
        <v>0</v>
      </c>
      <c r="AV86" s="23">
        <f>VALUE(2)</f>
        <v>2</v>
      </c>
      <c r="AW86" s="23">
        <f>VALUE(0)</f>
        <v>0</v>
      </c>
      <c r="AX86" s="23" t="s">
        <v>1194</v>
      </c>
      <c r="AY86" s="23">
        <f>VALUE(0)</f>
        <v>0</v>
      </c>
      <c r="AZ86" s="23">
        <f>VALUE(0)</f>
        <v>0</v>
      </c>
      <c r="BA86" s="23">
        <f>VALUE(0)</f>
        <v>0</v>
      </c>
      <c r="BB86" s="23">
        <f>VALUE(0)</f>
        <v>0</v>
      </c>
      <c r="BC86" s="23">
        <f>VALUE(0)</f>
        <v>0</v>
      </c>
      <c r="BD86" s="23">
        <f>VALUE(0)</f>
        <v>0</v>
      </c>
      <c r="BE86" s="23">
        <f>VALUE(0)</f>
        <v>0</v>
      </c>
      <c r="BF86" s="23">
        <f>VALUE(0)</f>
        <v>0</v>
      </c>
      <c r="BG86" s="23">
        <f>VALUE(0)</f>
        <v>0</v>
      </c>
      <c r="BH86" s="23">
        <f>VALUE(0)</f>
        <v>0</v>
      </c>
      <c r="BI86" s="23">
        <f>VALUE(0)</f>
        <v>0</v>
      </c>
      <c r="BJ86" s="23">
        <f>VALUE(0)</f>
        <v>0</v>
      </c>
      <c r="BK86" s="12">
        <f>$AX$86*24</f>
        <v>20.666666666666668</v>
      </c>
      <c r="BL86" s="12">
        <f>$AY$86*24</f>
        <v>0</v>
      </c>
      <c r="BM86" s="12">
        <f>$BJ$86*24</f>
        <v>0</v>
      </c>
      <c r="BN86" s="12">
        <f>VALUE($I$86)/100</f>
        <v>1</v>
      </c>
      <c r="BO86" s="12">
        <v>0</v>
      </c>
      <c r="BP86" s="12">
        <v>0</v>
      </c>
      <c r="BQ86" s="12">
        <v>0</v>
      </c>
      <c r="BR86" s="12">
        <v>0</v>
      </c>
      <c r="BS86" s="12">
        <v>2</v>
      </c>
      <c r="BT86" s="12">
        <v>0</v>
      </c>
      <c r="BU86" s="12">
        <v>0</v>
      </c>
      <c r="BV86" s="12">
        <v>0</v>
      </c>
      <c r="BW86" s="12">
        <v>0</v>
      </c>
      <c r="BX86" s="12">
        <v>0</v>
      </c>
      <c r="BY86" s="12">
        <v>0</v>
      </c>
      <c r="BZ86" s="12">
        <v>0</v>
      </c>
      <c r="CA86" s="12">
        <v>0</v>
      </c>
    </row>
    <row r="87" spans="1:79" hidden="1" x14ac:dyDescent="0.2">
      <c r="A87" s="12" t="s">
        <v>102</v>
      </c>
      <c r="B87" s="12" t="s">
        <v>111</v>
      </c>
      <c r="C87" s="12" t="s">
        <v>111</v>
      </c>
      <c r="D87" s="22" t="s">
        <v>313</v>
      </c>
      <c r="E87" s="22" t="s">
        <v>161</v>
      </c>
      <c r="F87" s="22" t="s">
        <v>727</v>
      </c>
      <c r="G87" s="22" t="s">
        <v>728</v>
      </c>
      <c r="H87" s="22" t="s">
        <v>166</v>
      </c>
      <c r="I87" s="22" t="s">
        <v>151</v>
      </c>
      <c r="J87" s="22" t="s">
        <v>311</v>
      </c>
      <c r="K87" s="22" t="s">
        <v>72</v>
      </c>
      <c r="L87" s="54" t="s">
        <v>153</v>
      </c>
      <c r="M87" s="23" t="s">
        <v>153</v>
      </c>
      <c r="N87" s="24" t="s">
        <v>153</v>
      </c>
      <c r="O87" s="23" t="s">
        <v>153</v>
      </c>
      <c r="P87" s="23" t="s">
        <v>153</v>
      </c>
      <c r="Q87" s="23" t="s">
        <v>153</v>
      </c>
      <c r="R87" s="23" t="s">
        <v>153</v>
      </c>
      <c r="S87" s="23" t="s">
        <v>153</v>
      </c>
      <c r="T87" s="24" t="s">
        <v>156</v>
      </c>
      <c r="U87" s="24" t="s">
        <v>153</v>
      </c>
      <c r="V87" s="54" t="s">
        <v>153</v>
      </c>
      <c r="W87" s="28" t="s">
        <v>163</v>
      </c>
      <c r="X87" s="28" t="s">
        <v>163</v>
      </c>
      <c r="Y87" s="28" t="s">
        <v>163</v>
      </c>
      <c r="Z87" s="28" t="s">
        <v>163</v>
      </c>
      <c r="AA87" s="28" t="s">
        <v>163</v>
      </c>
      <c r="AB87" s="24" t="s">
        <v>153</v>
      </c>
      <c r="AC87" s="23" t="s">
        <v>153</v>
      </c>
      <c r="AD87" s="23" t="s">
        <v>153</v>
      </c>
      <c r="AE87" s="23" t="s">
        <v>153</v>
      </c>
      <c r="AF87" s="23" t="s">
        <v>153</v>
      </c>
      <c r="AG87" s="23" t="s">
        <v>153</v>
      </c>
      <c r="AH87" s="24" t="s">
        <v>156</v>
      </c>
      <c r="AI87" s="24" t="s">
        <v>153</v>
      </c>
      <c r="AJ87" s="23" t="s">
        <v>153</v>
      </c>
      <c r="AK87" s="23" t="s">
        <v>153</v>
      </c>
      <c r="AL87" s="23" t="s">
        <v>153</v>
      </c>
      <c r="AM87" s="23" t="s">
        <v>153</v>
      </c>
      <c r="AN87" s="23" t="s">
        <v>153</v>
      </c>
      <c r="AO87" s="23" t="s">
        <v>153</v>
      </c>
      <c r="AP87" s="23">
        <f>VALUE(0)</f>
        <v>0</v>
      </c>
      <c r="AQ87" s="23">
        <f>VALUE(0)</f>
        <v>0</v>
      </c>
      <c r="AR87" s="23">
        <f>VALUE(0)</f>
        <v>0</v>
      </c>
      <c r="AS87" s="23">
        <f>VALUE(0)</f>
        <v>0</v>
      </c>
      <c r="AT87" s="23">
        <f>VALUE(0)</f>
        <v>0</v>
      </c>
      <c r="AU87" s="23">
        <f>VALUE(5)</f>
        <v>5</v>
      </c>
      <c r="AV87" s="23">
        <f>VALUE(2)</f>
        <v>2</v>
      </c>
      <c r="AW87" s="23">
        <f>VALUE(0)</f>
        <v>0</v>
      </c>
      <c r="AX87" s="23" t="s">
        <v>1195</v>
      </c>
      <c r="AY87" s="23">
        <f>VALUE(0)</f>
        <v>0</v>
      </c>
      <c r="AZ87" s="23">
        <f>VALUE(0)</f>
        <v>0</v>
      </c>
      <c r="BA87" s="23">
        <f>VALUE(0)</f>
        <v>0</v>
      </c>
      <c r="BB87" s="23">
        <f>VALUE(0)</f>
        <v>0</v>
      </c>
      <c r="BC87" s="23">
        <f>VALUE(0)</f>
        <v>0</v>
      </c>
      <c r="BD87" s="23">
        <f>VALUE(0)</f>
        <v>0</v>
      </c>
      <c r="BE87" s="23">
        <f>VALUE(0)</f>
        <v>0</v>
      </c>
      <c r="BF87" s="23">
        <f>VALUE(0)</f>
        <v>0</v>
      </c>
      <c r="BG87" s="23">
        <f>VALUE(0)</f>
        <v>0</v>
      </c>
      <c r="BH87" s="23">
        <f>VALUE(0)</f>
        <v>0</v>
      </c>
      <c r="BI87" s="23">
        <f>VALUE(0)</f>
        <v>0</v>
      </c>
      <c r="BJ87" s="23">
        <f>VALUE(0)</f>
        <v>0</v>
      </c>
      <c r="BK87" s="12">
        <f>$AX$87*24</f>
        <v>11.783333333333333</v>
      </c>
      <c r="BL87" s="12">
        <f>$AY$87*24</f>
        <v>0</v>
      </c>
      <c r="BM87" s="12">
        <f>$BJ$87*24</f>
        <v>0</v>
      </c>
      <c r="BN87" s="12">
        <f>VALUE($I$87)/100</f>
        <v>1</v>
      </c>
      <c r="BO87" s="12">
        <v>0</v>
      </c>
      <c r="BP87" s="12">
        <v>0</v>
      </c>
      <c r="BQ87" s="12">
        <v>0</v>
      </c>
      <c r="BR87" s="12">
        <v>0</v>
      </c>
      <c r="BS87" s="12">
        <v>0</v>
      </c>
      <c r="BT87" s="12">
        <v>0</v>
      </c>
      <c r="BU87" s="12">
        <v>0</v>
      </c>
      <c r="BV87" s="12">
        <v>0</v>
      </c>
      <c r="BW87" s="12">
        <v>0</v>
      </c>
      <c r="BX87" s="12">
        <v>0</v>
      </c>
      <c r="BY87" s="12">
        <v>0</v>
      </c>
      <c r="BZ87" s="12">
        <v>0</v>
      </c>
      <c r="CA87" s="12">
        <v>0</v>
      </c>
    </row>
    <row r="88" spans="1:79" hidden="1" x14ac:dyDescent="0.2">
      <c r="A88" s="12" t="s">
        <v>102</v>
      </c>
      <c r="B88" s="12" t="s">
        <v>111</v>
      </c>
      <c r="C88" s="12" t="s">
        <v>111</v>
      </c>
      <c r="D88" s="22" t="s">
        <v>314</v>
      </c>
      <c r="E88" s="22" t="s">
        <v>161</v>
      </c>
      <c r="F88" s="22" t="s">
        <v>729</v>
      </c>
      <c r="G88" s="22" t="s">
        <v>730</v>
      </c>
      <c r="H88" s="22" t="s">
        <v>150</v>
      </c>
      <c r="I88" s="22" t="s">
        <v>151</v>
      </c>
      <c r="J88" s="22" t="s">
        <v>311</v>
      </c>
      <c r="K88" s="22" t="s">
        <v>72</v>
      </c>
      <c r="L88" s="54" t="s">
        <v>153</v>
      </c>
      <c r="M88" s="23" t="s">
        <v>153</v>
      </c>
      <c r="N88" s="24" t="s">
        <v>153</v>
      </c>
      <c r="O88" s="23" t="s">
        <v>153</v>
      </c>
      <c r="P88" s="23" t="s">
        <v>153</v>
      </c>
      <c r="Q88" s="23" t="s">
        <v>153</v>
      </c>
      <c r="R88" s="23" t="s">
        <v>153</v>
      </c>
      <c r="S88" s="23" t="s">
        <v>153</v>
      </c>
      <c r="T88" s="24" t="s">
        <v>156</v>
      </c>
      <c r="U88" s="24" t="s">
        <v>153</v>
      </c>
      <c r="V88" s="54" t="s">
        <v>153</v>
      </c>
      <c r="W88" s="23" t="s">
        <v>153</v>
      </c>
      <c r="X88" s="23" t="s">
        <v>153</v>
      </c>
      <c r="Y88" s="23" t="s">
        <v>153</v>
      </c>
      <c r="Z88" s="23" t="s">
        <v>153</v>
      </c>
      <c r="AA88" s="24" t="s">
        <v>156</v>
      </c>
      <c r="AB88" s="24" t="s">
        <v>153</v>
      </c>
      <c r="AC88" s="23" t="s">
        <v>153</v>
      </c>
      <c r="AD88" s="23" t="s">
        <v>153</v>
      </c>
      <c r="AE88" s="23" t="s">
        <v>153</v>
      </c>
      <c r="AF88" s="23" t="s">
        <v>153</v>
      </c>
      <c r="AG88" s="23" t="s">
        <v>153</v>
      </c>
      <c r="AH88" s="24" t="s">
        <v>156</v>
      </c>
      <c r="AI88" s="24" t="s">
        <v>153</v>
      </c>
      <c r="AJ88" s="29" t="s">
        <v>163</v>
      </c>
      <c r="AK88" s="29" t="s">
        <v>163</v>
      </c>
      <c r="AL88" s="29" t="s">
        <v>163</v>
      </c>
      <c r="AM88" s="29" t="s">
        <v>163</v>
      </c>
      <c r="AN88" s="29" t="s">
        <v>163</v>
      </c>
      <c r="AO88" s="23" t="s">
        <v>153</v>
      </c>
      <c r="AP88" s="23">
        <f>VALUE(0)</f>
        <v>0</v>
      </c>
      <c r="AQ88" s="23">
        <f>VALUE(0)</f>
        <v>0</v>
      </c>
      <c r="AR88" s="23">
        <f>VALUE(5)</f>
        <v>5</v>
      </c>
      <c r="AS88" s="23">
        <f>VALUE(0)</f>
        <v>0</v>
      </c>
      <c r="AT88" s="23">
        <f>VALUE(0)</f>
        <v>0</v>
      </c>
      <c r="AU88" s="23">
        <f>VALUE(0)</f>
        <v>0</v>
      </c>
      <c r="AV88" s="23">
        <f>VALUE(8)</f>
        <v>8</v>
      </c>
      <c r="AW88" s="23">
        <f>VALUE(0)</f>
        <v>0</v>
      </c>
      <c r="AX88" s="23" t="s">
        <v>171</v>
      </c>
      <c r="AY88" s="23" t="s">
        <v>315</v>
      </c>
      <c r="AZ88" s="23">
        <f>VALUE(0)</f>
        <v>0</v>
      </c>
      <c r="BA88" s="23">
        <f>VALUE(0)</f>
        <v>0</v>
      </c>
      <c r="BB88" s="23">
        <f>VALUE(0)</f>
        <v>0</v>
      </c>
      <c r="BC88" s="23">
        <f>VALUE(0)</f>
        <v>0</v>
      </c>
      <c r="BD88" s="23">
        <f>VALUE(0)</f>
        <v>0</v>
      </c>
      <c r="BE88" s="23">
        <f>VALUE(0)</f>
        <v>0</v>
      </c>
      <c r="BF88" s="23">
        <f>VALUE(0)</f>
        <v>0</v>
      </c>
      <c r="BG88" s="23">
        <f>VALUE(0)</f>
        <v>0</v>
      </c>
      <c r="BH88" s="23">
        <f>VALUE(0)</f>
        <v>0</v>
      </c>
      <c r="BI88" s="23">
        <f>VALUE(0)</f>
        <v>0</v>
      </c>
      <c r="BJ88" s="23">
        <f>VALUE(0)</f>
        <v>0</v>
      </c>
      <c r="BK88" s="12">
        <f>$AX$88*24</f>
        <v>5.833333333333333</v>
      </c>
      <c r="BL88" s="12">
        <f>$AY$88*24</f>
        <v>8.4666666666666668</v>
      </c>
      <c r="BM88" s="12">
        <f>$BJ$88*24</f>
        <v>0</v>
      </c>
      <c r="BN88" s="12">
        <f>VALUE($I$88)/100</f>
        <v>1</v>
      </c>
      <c r="BO88" s="12">
        <v>0</v>
      </c>
      <c r="BP88" s="12">
        <v>0</v>
      </c>
      <c r="BQ88" s="12">
        <v>0</v>
      </c>
      <c r="BR88" s="12">
        <v>0</v>
      </c>
      <c r="BS88" s="12">
        <v>0</v>
      </c>
      <c r="BT88" s="12">
        <v>5</v>
      </c>
      <c r="BU88" s="12">
        <v>0</v>
      </c>
      <c r="BV88" s="12">
        <v>0</v>
      </c>
      <c r="BW88" s="12">
        <v>0</v>
      </c>
      <c r="BX88" s="12">
        <v>0</v>
      </c>
      <c r="BY88" s="12">
        <v>0</v>
      </c>
      <c r="BZ88" s="12">
        <v>0</v>
      </c>
      <c r="CA88" s="12">
        <v>0</v>
      </c>
    </row>
    <row r="89" spans="1:79" ht="16.5" hidden="1" x14ac:dyDescent="0.2">
      <c r="A89" s="12" t="s">
        <v>102</v>
      </c>
      <c r="B89" s="12" t="s">
        <v>111</v>
      </c>
      <c r="C89" s="12" t="s">
        <v>111</v>
      </c>
      <c r="D89" s="22" t="s">
        <v>312</v>
      </c>
      <c r="E89" s="22" t="s">
        <v>161</v>
      </c>
      <c r="F89" s="22" t="s">
        <v>731</v>
      </c>
      <c r="G89" s="22" t="s">
        <v>732</v>
      </c>
      <c r="H89" s="22" t="s">
        <v>150</v>
      </c>
      <c r="I89" s="22" t="s">
        <v>151</v>
      </c>
      <c r="J89" s="22" t="s">
        <v>311</v>
      </c>
      <c r="K89" s="22" t="s">
        <v>72</v>
      </c>
      <c r="L89" s="54" t="s">
        <v>153</v>
      </c>
      <c r="M89" s="24" t="s">
        <v>156</v>
      </c>
      <c r="N89" s="24" t="s">
        <v>153</v>
      </c>
      <c r="O89" s="26" t="s">
        <v>316</v>
      </c>
      <c r="P89" s="26" t="s">
        <v>316</v>
      </c>
      <c r="Q89" s="26" t="s">
        <v>316</v>
      </c>
      <c r="R89" s="26" t="s">
        <v>316</v>
      </c>
      <c r="S89" s="26" t="s">
        <v>316</v>
      </c>
      <c r="T89" s="24" t="s">
        <v>156</v>
      </c>
      <c r="U89" s="24" t="s">
        <v>153</v>
      </c>
      <c r="V89" s="54" t="s">
        <v>153</v>
      </c>
      <c r="W89" s="26" t="s">
        <v>316</v>
      </c>
      <c r="X89" s="26" t="s">
        <v>316</v>
      </c>
      <c r="Y89" s="26" t="s">
        <v>316</v>
      </c>
      <c r="Z89" s="29" t="s">
        <v>218</v>
      </c>
      <c r="AA89" s="23" t="s">
        <v>153</v>
      </c>
      <c r="AB89" s="24" t="s">
        <v>153</v>
      </c>
      <c r="AC89" s="26" t="s">
        <v>316</v>
      </c>
      <c r="AD89" s="26" t="s">
        <v>316</v>
      </c>
      <c r="AE89" s="26" t="s">
        <v>316</v>
      </c>
      <c r="AF89" s="26" t="s">
        <v>316</v>
      </c>
      <c r="AG89" s="26" t="s">
        <v>316</v>
      </c>
      <c r="AH89" s="24" t="s">
        <v>156</v>
      </c>
      <c r="AI89" s="24" t="s">
        <v>153</v>
      </c>
      <c r="AJ89" s="26" t="s">
        <v>316</v>
      </c>
      <c r="AK89" s="26" t="s">
        <v>316</v>
      </c>
      <c r="AL89" s="26" t="s">
        <v>316</v>
      </c>
      <c r="AM89" s="26" t="s">
        <v>316</v>
      </c>
      <c r="AN89" s="26" t="s">
        <v>316</v>
      </c>
      <c r="AO89" s="24" t="s">
        <v>156</v>
      </c>
      <c r="AP89" s="23">
        <f>VALUE(0)</f>
        <v>0</v>
      </c>
      <c r="AQ89" s="23">
        <f>VALUE(0)</f>
        <v>0</v>
      </c>
      <c r="AR89" s="23">
        <f>VALUE(1)</f>
        <v>1</v>
      </c>
      <c r="AS89" s="23">
        <f>VALUE(0)</f>
        <v>0</v>
      </c>
      <c r="AT89" s="23">
        <f>VALUE(0)</f>
        <v>0</v>
      </c>
      <c r="AU89" s="23">
        <f>VALUE(0)</f>
        <v>0</v>
      </c>
      <c r="AV89" s="23">
        <f>VALUE(5)</f>
        <v>5</v>
      </c>
      <c r="AW89" s="23">
        <f>VALUE(0)</f>
        <v>0</v>
      </c>
      <c r="AX89" s="23" t="s">
        <v>317</v>
      </c>
      <c r="AY89" s="23" t="s">
        <v>318</v>
      </c>
      <c r="AZ89" s="23">
        <f>VALUE(0)</f>
        <v>0</v>
      </c>
      <c r="BA89" s="23">
        <f>VALUE(0)</f>
        <v>0</v>
      </c>
      <c r="BB89" s="23">
        <f>VALUE(0)</f>
        <v>0</v>
      </c>
      <c r="BC89" s="23">
        <f>VALUE(0)</f>
        <v>0</v>
      </c>
      <c r="BD89" s="23">
        <f>VALUE(0)</f>
        <v>0</v>
      </c>
      <c r="BE89" s="23">
        <f>VALUE(0)</f>
        <v>0</v>
      </c>
      <c r="BF89" s="23">
        <f>VALUE(0)</f>
        <v>0</v>
      </c>
      <c r="BG89" s="23">
        <f>VALUE(0)</f>
        <v>0</v>
      </c>
      <c r="BH89" s="23">
        <f>VALUE(0)</f>
        <v>0</v>
      </c>
      <c r="BI89" s="23">
        <f>VALUE(0)</f>
        <v>0</v>
      </c>
      <c r="BJ89" s="23">
        <f>VALUE(0)</f>
        <v>0</v>
      </c>
      <c r="BK89" s="12">
        <f>$AX$89*24</f>
        <v>1.0833333333333333</v>
      </c>
      <c r="BL89" s="12">
        <f>$AY$89*24</f>
        <v>4.0166666666666666</v>
      </c>
      <c r="BM89" s="12">
        <f>$BJ$89*24</f>
        <v>0</v>
      </c>
      <c r="BN89" s="12">
        <f>VALUE($I$89)/100</f>
        <v>1</v>
      </c>
      <c r="BO89" s="12">
        <v>0</v>
      </c>
      <c r="BP89" s="12">
        <v>0</v>
      </c>
      <c r="BQ89" s="12">
        <v>0</v>
      </c>
      <c r="BR89" s="12">
        <v>0</v>
      </c>
      <c r="BS89" s="12">
        <v>1</v>
      </c>
      <c r="BT89" s="12">
        <v>0</v>
      </c>
      <c r="BU89" s="12">
        <v>0</v>
      </c>
      <c r="BV89" s="12">
        <v>0</v>
      </c>
      <c r="BW89" s="12">
        <v>0</v>
      </c>
      <c r="BX89" s="12">
        <v>0</v>
      </c>
      <c r="BY89" s="12">
        <v>0</v>
      </c>
      <c r="BZ89" s="12">
        <v>0</v>
      </c>
      <c r="CA89" s="12">
        <v>0</v>
      </c>
    </row>
    <row r="90" spans="1:79" hidden="1" x14ac:dyDescent="0.2">
      <c r="A90" s="12" t="s">
        <v>102</v>
      </c>
      <c r="B90" s="12" t="s">
        <v>111</v>
      </c>
      <c r="C90" s="12" t="s">
        <v>111</v>
      </c>
      <c r="D90" s="22" t="s">
        <v>319</v>
      </c>
      <c r="E90" s="22" t="s">
        <v>161</v>
      </c>
      <c r="F90" s="22" t="s">
        <v>733</v>
      </c>
      <c r="G90" s="22" t="s">
        <v>734</v>
      </c>
      <c r="H90" s="22" t="s">
        <v>166</v>
      </c>
      <c r="I90" s="22" t="s">
        <v>151</v>
      </c>
      <c r="J90" s="22" t="s">
        <v>311</v>
      </c>
      <c r="K90" s="22" t="s">
        <v>72</v>
      </c>
      <c r="L90" s="54" t="s">
        <v>153</v>
      </c>
      <c r="M90" s="24" t="s">
        <v>156</v>
      </c>
      <c r="N90" s="24" t="s">
        <v>153</v>
      </c>
      <c r="O90" s="23" t="s">
        <v>153</v>
      </c>
      <c r="P90" s="23" t="s">
        <v>153</v>
      </c>
      <c r="Q90" s="23" t="s">
        <v>153</v>
      </c>
      <c r="R90" s="23" t="s">
        <v>153</v>
      </c>
      <c r="S90" s="23" t="s">
        <v>153</v>
      </c>
      <c r="T90" s="24" t="s">
        <v>156</v>
      </c>
      <c r="U90" s="24" t="s">
        <v>153</v>
      </c>
      <c r="V90" s="54" t="s">
        <v>153</v>
      </c>
      <c r="W90" s="23" t="s">
        <v>153</v>
      </c>
      <c r="X90" s="23" t="s">
        <v>153</v>
      </c>
      <c r="Y90" s="23" t="s">
        <v>153</v>
      </c>
      <c r="Z90" s="23" t="s">
        <v>153</v>
      </c>
      <c r="AA90" s="24" t="s">
        <v>156</v>
      </c>
      <c r="AB90" s="24" t="s">
        <v>153</v>
      </c>
      <c r="AC90" s="23" t="s">
        <v>153</v>
      </c>
      <c r="AD90" s="23" t="s">
        <v>153</v>
      </c>
      <c r="AE90" s="23" t="s">
        <v>153</v>
      </c>
      <c r="AF90" s="23" t="s">
        <v>153</v>
      </c>
      <c r="AG90" s="23" t="s">
        <v>153</v>
      </c>
      <c r="AH90" s="23" t="s">
        <v>153</v>
      </c>
      <c r="AI90" s="24" t="s">
        <v>153</v>
      </c>
      <c r="AJ90" s="23" t="s">
        <v>153</v>
      </c>
      <c r="AK90" s="23" t="s">
        <v>153</v>
      </c>
      <c r="AL90" s="23" t="s">
        <v>153</v>
      </c>
      <c r="AM90" s="23" t="s">
        <v>153</v>
      </c>
      <c r="AN90" s="23" t="s">
        <v>153</v>
      </c>
      <c r="AO90" s="24" t="s">
        <v>156</v>
      </c>
      <c r="AP90" s="23">
        <f>VALUE(0)</f>
        <v>0</v>
      </c>
      <c r="AQ90" s="23">
        <f>VALUE(0)</f>
        <v>0</v>
      </c>
      <c r="AR90" s="23">
        <f>VALUE(0)</f>
        <v>0</v>
      </c>
      <c r="AS90" s="23">
        <f>VALUE(0)</f>
        <v>0</v>
      </c>
      <c r="AT90" s="23">
        <f>VALUE(0)</f>
        <v>0</v>
      </c>
      <c r="AU90" s="23">
        <f>VALUE(0)</f>
        <v>0</v>
      </c>
      <c r="AV90" s="23">
        <f>VALUE(3)</f>
        <v>3</v>
      </c>
      <c r="AW90" s="23">
        <f>VALUE(0)</f>
        <v>0</v>
      </c>
      <c r="AX90" s="23" t="s">
        <v>320</v>
      </c>
      <c r="AY90" s="23">
        <f>VALUE(0)</f>
        <v>0</v>
      </c>
      <c r="AZ90" s="23">
        <f>VALUE(0)</f>
        <v>0</v>
      </c>
      <c r="BA90" s="23">
        <f>VALUE(0)</f>
        <v>0</v>
      </c>
      <c r="BB90" s="23">
        <f>VALUE(0)</f>
        <v>0</v>
      </c>
      <c r="BC90" s="23">
        <f>VALUE(0)</f>
        <v>0</v>
      </c>
      <c r="BD90" s="23">
        <f>VALUE(0)</f>
        <v>0</v>
      </c>
      <c r="BE90" s="23">
        <f>VALUE(0)</f>
        <v>0</v>
      </c>
      <c r="BF90" s="23">
        <f>VALUE(0)</f>
        <v>0</v>
      </c>
      <c r="BG90" s="23">
        <f>VALUE(0)</f>
        <v>0</v>
      </c>
      <c r="BH90" s="23">
        <f>VALUE(0)</f>
        <v>0</v>
      </c>
      <c r="BI90" s="23">
        <f>VALUE(0)</f>
        <v>0</v>
      </c>
      <c r="BJ90" s="23">
        <f>VALUE(0)</f>
        <v>0</v>
      </c>
      <c r="BK90" s="12">
        <f>$AX$90*24</f>
        <v>8.4166666666666661</v>
      </c>
      <c r="BL90" s="12">
        <f>$AY$90*24</f>
        <v>0</v>
      </c>
      <c r="BM90" s="12">
        <f>$BJ$90*24</f>
        <v>0</v>
      </c>
      <c r="BN90" s="12">
        <f>VALUE($I$90)/100</f>
        <v>1</v>
      </c>
      <c r="BO90" s="12">
        <v>0</v>
      </c>
      <c r="BP90" s="12">
        <v>0</v>
      </c>
      <c r="BQ90" s="12">
        <v>0</v>
      </c>
      <c r="BR90" s="12">
        <v>0</v>
      </c>
      <c r="BS90" s="12">
        <v>0</v>
      </c>
      <c r="BT90" s="12">
        <v>0</v>
      </c>
      <c r="BU90" s="12">
        <v>0</v>
      </c>
      <c r="BV90" s="12">
        <v>0</v>
      </c>
      <c r="BW90" s="12">
        <v>0</v>
      </c>
      <c r="BX90" s="12">
        <v>0</v>
      </c>
      <c r="BY90" s="12">
        <v>0</v>
      </c>
      <c r="BZ90" s="12">
        <v>0</v>
      </c>
      <c r="CA90" s="12">
        <v>0</v>
      </c>
    </row>
    <row r="91" spans="1:79" hidden="1" x14ac:dyDescent="0.2">
      <c r="A91" s="12" t="s">
        <v>102</v>
      </c>
      <c r="B91" s="12" t="s">
        <v>111</v>
      </c>
      <c r="C91" s="12" t="s">
        <v>111</v>
      </c>
      <c r="D91" s="22" t="s">
        <v>321</v>
      </c>
      <c r="E91" s="22" t="s">
        <v>161</v>
      </c>
      <c r="F91" s="22" t="s">
        <v>735</v>
      </c>
      <c r="G91" s="22" t="s">
        <v>736</v>
      </c>
      <c r="H91" s="22" t="s">
        <v>150</v>
      </c>
      <c r="I91" s="22" t="s">
        <v>151</v>
      </c>
      <c r="J91" s="22" t="s">
        <v>311</v>
      </c>
      <c r="K91" s="22" t="s">
        <v>72</v>
      </c>
      <c r="L91" s="54" t="s">
        <v>153</v>
      </c>
      <c r="M91" s="24" t="s">
        <v>156</v>
      </c>
      <c r="N91" s="24" t="s">
        <v>153</v>
      </c>
      <c r="O91" s="23" t="s">
        <v>153</v>
      </c>
      <c r="P91" s="23" t="s">
        <v>153</v>
      </c>
      <c r="Q91" s="23" t="s">
        <v>153</v>
      </c>
      <c r="R91" s="23" t="s">
        <v>153</v>
      </c>
      <c r="S91" s="23" t="s">
        <v>153</v>
      </c>
      <c r="T91" s="23" t="s">
        <v>153</v>
      </c>
      <c r="U91" s="24" t="s">
        <v>153</v>
      </c>
      <c r="V91" s="54" t="s">
        <v>153</v>
      </c>
      <c r="W91" s="23" t="s">
        <v>153</v>
      </c>
      <c r="X91" s="23" t="s">
        <v>153</v>
      </c>
      <c r="Y91" s="23" t="s">
        <v>153</v>
      </c>
      <c r="Z91" s="23" t="s">
        <v>153</v>
      </c>
      <c r="AA91" s="24" t="s">
        <v>156</v>
      </c>
      <c r="AB91" s="24" t="s">
        <v>153</v>
      </c>
      <c r="AC91" s="23" t="s">
        <v>153</v>
      </c>
      <c r="AD91" s="23" t="s">
        <v>153</v>
      </c>
      <c r="AE91" s="23" t="s">
        <v>153</v>
      </c>
      <c r="AF91" s="23" t="s">
        <v>153</v>
      </c>
      <c r="AG91" s="23" t="s">
        <v>153</v>
      </c>
      <c r="AH91" s="24" t="s">
        <v>156</v>
      </c>
      <c r="AI91" s="24" t="s">
        <v>153</v>
      </c>
      <c r="AJ91" s="23" t="s">
        <v>153</v>
      </c>
      <c r="AK91" s="23" t="s">
        <v>153</v>
      </c>
      <c r="AL91" s="23" t="s">
        <v>153</v>
      </c>
      <c r="AM91" s="23" t="s">
        <v>153</v>
      </c>
      <c r="AN91" s="23" t="s">
        <v>153</v>
      </c>
      <c r="AO91" s="24" t="s">
        <v>156</v>
      </c>
      <c r="AP91" s="23">
        <f>VALUE(0)</f>
        <v>0</v>
      </c>
      <c r="AQ91" s="23">
        <f>VALUE(0)</f>
        <v>0</v>
      </c>
      <c r="AR91" s="23">
        <f>VALUE(0)</f>
        <v>0</v>
      </c>
      <c r="AS91" s="23">
        <f>VALUE(0)</f>
        <v>0</v>
      </c>
      <c r="AT91" s="23">
        <f>VALUE(0)</f>
        <v>0</v>
      </c>
      <c r="AU91" s="23">
        <f>VALUE(0)</f>
        <v>0</v>
      </c>
      <c r="AV91" s="23">
        <f>VALUE(4)</f>
        <v>4</v>
      </c>
      <c r="AW91" s="23">
        <f>VALUE(0)</f>
        <v>0</v>
      </c>
      <c r="AX91" s="23" t="s">
        <v>176</v>
      </c>
      <c r="AY91" s="23" t="s">
        <v>322</v>
      </c>
      <c r="AZ91" s="23">
        <f>VALUE(0)</f>
        <v>0</v>
      </c>
      <c r="BA91" s="23">
        <f>VALUE(0)</f>
        <v>0</v>
      </c>
      <c r="BB91" s="23">
        <f>VALUE(0)</f>
        <v>0</v>
      </c>
      <c r="BC91" s="23">
        <f>VALUE(0)</f>
        <v>0</v>
      </c>
      <c r="BD91" s="23">
        <f>VALUE(0)</f>
        <v>0</v>
      </c>
      <c r="BE91" s="23">
        <f>VALUE(0)</f>
        <v>0</v>
      </c>
      <c r="BF91" s="23">
        <f>VALUE(0)</f>
        <v>0</v>
      </c>
      <c r="BG91" s="23">
        <f>VALUE(0)</f>
        <v>0</v>
      </c>
      <c r="BH91" s="23">
        <f>VALUE(0)</f>
        <v>0</v>
      </c>
      <c r="BI91" s="23">
        <f>VALUE(0)</f>
        <v>0</v>
      </c>
      <c r="BJ91" s="23">
        <f>VALUE(0)</f>
        <v>0</v>
      </c>
      <c r="BK91" s="12">
        <f>$AX$91*24</f>
        <v>0</v>
      </c>
      <c r="BL91" s="12">
        <f>$AY$91*24</f>
        <v>16.166666666666668</v>
      </c>
      <c r="BM91" s="12">
        <f>$BJ$91*24</f>
        <v>0</v>
      </c>
      <c r="BN91" s="12">
        <f>VALUE($I$91)/100</f>
        <v>1</v>
      </c>
      <c r="BO91" s="12">
        <v>0</v>
      </c>
      <c r="BP91" s="12">
        <v>0</v>
      </c>
      <c r="BQ91" s="12">
        <v>0</v>
      </c>
      <c r="BR91" s="12">
        <v>0</v>
      </c>
      <c r="BS91" s="12">
        <v>0</v>
      </c>
      <c r="BT91" s="12">
        <v>0</v>
      </c>
      <c r="BU91" s="12">
        <v>0</v>
      </c>
      <c r="BV91" s="12">
        <v>0</v>
      </c>
      <c r="BW91" s="12">
        <v>0</v>
      </c>
      <c r="BX91" s="12">
        <v>0</v>
      </c>
      <c r="BY91" s="12">
        <v>0</v>
      </c>
      <c r="BZ91" s="12">
        <v>0</v>
      </c>
      <c r="CA91" s="12">
        <v>0</v>
      </c>
    </row>
    <row r="92" spans="1:79" ht="15" hidden="1" x14ac:dyDescent="0.25">
      <c r="A92" s="12" t="s">
        <v>102</v>
      </c>
      <c r="B92" s="12" t="s">
        <v>111</v>
      </c>
      <c r="C92" s="12" t="s">
        <v>111</v>
      </c>
      <c r="D92" s="31" t="s">
        <v>323</v>
      </c>
      <c r="E92" s="31" t="s">
        <v>153</v>
      </c>
      <c r="F92" s="31" t="s">
        <v>175</v>
      </c>
      <c r="G92" s="31" t="s">
        <v>153</v>
      </c>
      <c r="H92" s="31" t="s">
        <v>153</v>
      </c>
      <c r="I92" s="31" t="s">
        <v>153</v>
      </c>
      <c r="J92" s="31" t="s">
        <v>153</v>
      </c>
      <c r="K92" s="31" t="s">
        <v>153</v>
      </c>
      <c r="L92" s="31">
        <f>VALUE(0)</f>
        <v>0</v>
      </c>
      <c r="M92" s="31">
        <f>VALUE(3)</f>
        <v>3</v>
      </c>
      <c r="N92" s="31">
        <f>VALUE(0)</f>
        <v>0</v>
      </c>
      <c r="O92" s="31">
        <f>VALUE(6)</f>
        <v>6</v>
      </c>
      <c r="P92" s="31">
        <f>VALUE(6)</f>
        <v>6</v>
      </c>
      <c r="Q92" s="31">
        <f>VALUE(5)</f>
        <v>5</v>
      </c>
      <c r="R92" s="31">
        <f>VALUE(6)</f>
        <v>6</v>
      </c>
      <c r="S92" s="31">
        <f>VALUE(6)</f>
        <v>6</v>
      </c>
      <c r="T92" s="31">
        <f>VALUE(2)</f>
        <v>2</v>
      </c>
      <c r="U92" s="31">
        <f>VALUE(0)</f>
        <v>0</v>
      </c>
      <c r="V92" s="31">
        <f>VALUE(0)</f>
        <v>0</v>
      </c>
      <c r="W92" s="31">
        <f>VALUE(5)</f>
        <v>5</v>
      </c>
      <c r="X92" s="31">
        <f>VALUE(5)</f>
        <v>5</v>
      </c>
      <c r="Y92" s="31">
        <f>VALUE(5)</f>
        <v>5</v>
      </c>
      <c r="Z92" s="31">
        <f>VALUE(4)</f>
        <v>4</v>
      </c>
      <c r="AA92" s="31">
        <f>VALUE(2)</f>
        <v>2</v>
      </c>
      <c r="AB92" s="31">
        <f>VALUE(0)</f>
        <v>0</v>
      </c>
      <c r="AC92" s="31">
        <f>VALUE(6)</f>
        <v>6</v>
      </c>
      <c r="AD92" s="31">
        <f>VALUE(6)</f>
        <v>6</v>
      </c>
      <c r="AE92" s="31">
        <f>VALUE(5)</f>
        <v>5</v>
      </c>
      <c r="AF92" s="31">
        <f>VALUE(6)</f>
        <v>6</v>
      </c>
      <c r="AG92" s="31">
        <f>VALUE(6)</f>
        <v>6</v>
      </c>
      <c r="AH92" s="31">
        <f>VALUE(2)</f>
        <v>2</v>
      </c>
      <c r="AI92" s="31">
        <f>VALUE(0)</f>
        <v>0</v>
      </c>
      <c r="AJ92" s="31">
        <f>VALUE(5)</f>
        <v>5</v>
      </c>
      <c r="AK92" s="31">
        <f>VALUE(5)</f>
        <v>5</v>
      </c>
      <c r="AL92" s="31">
        <f>VALUE(5)</f>
        <v>5</v>
      </c>
      <c r="AM92" s="31">
        <f>VALUE(5)</f>
        <v>5</v>
      </c>
      <c r="AN92" s="31">
        <f>VALUE(5)</f>
        <v>5</v>
      </c>
      <c r="AO92" s="31">
        <f>VALUE(3)</f>
        <v>3</v>
      </c>
      <c r="AP92" s="31">
        <v>0</v>
      </c>
      <c r="AQ92" s="31">
        <v>0</v>
      </c>
      <c r="AR92" s="31">
        <v>0</v>
      </c>
      <c r="AS92" s="31">
        <v>0</v>
      </c>
      <c r="AT92" s="31">
        <v>0</v>
      </c>
      <c r="AU92" s="31">
        <v>0</v>
      </c>
      <c r="AV92" s="31">
        <v>0</v>
      </c>
      <c r="AW92" s="31">
        <v>0</v>
      </c>
      <c r="AX92" s="31">
        <v>0</v>
      </c>
      <c r="AY92" s="31">
        <v>0</v>
      </c>
      <c r="AZ92" s="31">
        <v>0</v>
      </c>
      <c r="BA92" s="31">
        <v>0</v>
      </c>
      <c r="BB92" s="31">
        <v>0</v>
      </c>
      <c r="BC92" s="31">
        <v>0</v>
      </c>
      <c r="BD92" s="31">
        <v>0</v>
      </c>
      <c r="BE92" s="31">
        <v>0</v>
      </c>
      <c r="BF92" s="31">
        <v>0</v>
      </c>
      <c r="BG92" s="31">
        <v>0</v>
      </c>
      <c r="BH92" s="31">
        <v>0</v>
      </c>
      <c r="BI92" s="31">
        <v>0</v>
      </c>
      <c r="BJ92" s="31">
        <v>0</v>
      </c>
      <c r="BK92" s="12">
        <v>0</v>
      </c>
      <c r="BL92" s="12">
        <v>0</v>
      </c>
      <c r="BM92" s="12">
        <v>0</v>
      </c>
      <c r="BN92" s="12"/>
      <c r="BO92" s="12">
        <v>0</v>
      </c>
      <c r="BP92" s="12">
        <v>0</v>
      </c>
      <c r="BQ92" s="12">
        <v>0</v>
      </c>
      <c r="BR92" s="12">
        <v>0</v>
      </c>
      <c r="BS92" s="12">
        <v>0</v>
      </c>
      <c r="BT92" s="12">
        <v>0</v>
      </c>
      <c r="BU92" s="12">
        <v>0</v>
      </c>
      <c r="BV92" s="12">
        <v>0</v>
      </c>
      <c r="BW92" s="12">
        <v>0</v>
      </c>
      <c r="BX92" s="12">
        <v>0</v>
      </c>
      <c r="BY92" s="12">
        <v>0</v>
      </c>
      <c r="BZ92" s="12">
        <v>0</v>
      </c>
      <c r="CA92" s="12">
        <v>0</v>
      </c>
    </row>
    <row r="93" spans="1:79" hidden="1" x14ac:dyDescent="0.2">
      <c r="A93" s="12" t="s">
        <v>102</v>
      </c>
      <c r="B93" s="12" t="s">
        <v>112</v>
      </c>
      <c r="C93" s="12" t="s">
        <v>112</v>
      </c>
      <c r="D93" s="22" t="s">
        <v>324</v>
      </c>
      <c r="E93" s="22" t="s">
        <v>161</v>
      </c>
      <c r="F93" s="22" t="s">
        <v>735</v>
      </c>
      <c r="G93" s="22" t="s">
        <v>736</v>
      </c>
      <c r="H93" s="22" t="s">
        <v>150</v>
      </c>
      <c r="I93" s="22" t="s">
        <v>151</v>
      </c>
      <c r="J93" s="22" t="s">
        <v>162</v>
      </c>
      <c r="K93" s="22" t="s">
        <v>73</v>
      </c>
      <c r="L93" s="54" t="s">
        <v>153</v>
      </c>
      <c r="M93" s="23" t="s">
        <v>153</v>
      </c>
      <c r="N93" s="24" t="s">
        <v>153</v>
      </c>
      <c r="O93" s="23" t="s">
        <v>153</v>
      </c>
      <c r="P93" s="23" t="s">
        <v>153</v>
      </c>
      <c r="Q93" s="23" t="s">
        <v>153</v>
      </c>
      <c r="R93" s="23" t="s">
        <v>153</v>
      </c>
      <c r="S93" s="23" t="s">
        <v>153</v>
      </c>
      <c r="T93" s="23" t="s">
        <v>153</v>
      </c>
      <c r="U93" s="24" t="s">
        <v>153</v>
      </c>
      <c r="V93" s="54" t="s">
        <v>153</v>
      </c>
      <c r="W93" s="23" t="s">
        <v>153</v>
      </c>
      <c r="X93" s="23" t="s">
        <v>153</v>
      </c>
      <c r="Y93" s="23" t="s">
        <v>153</v>
      </c>
      <c r="Z93" s="23" t="s">
        <v>153</v>
      </c>
      <c r="AA93" s="23" t="s">
        <v>153</v>
      </c>
      <c r="AB93" s="24" t="s">
        <v>153</v>
      </c>
      <c r="AC93" s="23" t="s">
        <v>153</v>
      </c>
      <c r="AD93" s="23" t="s">
        <v>153</v>
      </c>
      <c r="AE93" s="23" t="s">
        <v>153</v>
      </c>
      <c r="AF93" s="23" t="s">
        <v>153</v>
      </c>
      <c r="AG93" s="23" t="s">
        <v>153</v>
      </c>
      <c r="AH93" s="23" t="s">
        <v>153</v>
      </c>
      <c r="AI93" s="24" t="s">
        <v>153</v>
      </c>
      <c r="AJ93" s="24" t="s">
        <v>156</v>
      </c>
      <c r="AK93" s="24" t="s">
        <v>156</v>
      </c>
      <c r="AL93" s="24" t="s">
        <v>156</v>
      </c>
      <c r="AM93" s="23" t="s">
        <v>153</v>
      </c>
      <c r="AN93" s="23" t="s">
        <v>153</v>
      </c>
      <c r="AO93" s="23" t="s">
        <v>153</v>
      </c>
      <c r="AP93" s="23">
        <f>VALUE(0)</f>
        <v>0</v>
      </c>
      <c r="AQ93" s="23">
        <f>VALUE(0)</f>
        <v>0</v>
      </c>
      <c r="AR93" s="23">
        <f>VALUE(0)</f>
        <v>0</v>
      </c>
      <c r="AS93" s="23">
        <f>VALUE(0)</f>
        <v>0</v>
      </c>
      <c r="AT93" s="23">
        <f>VALUE(0)</f>
        <v>0</v>
      </c>
      <c r="AU93" s="23">
        <f>VALUE(0)</f>
        <v>0</v>
      </c>
      <c r="AV93" s="23">
        <f>VALUE(32)</f>
        <v>32</v>
      </c>
      <c r="AW93" s="23">
        <f>VALUE(5)</f>
        <v>5</v>
      </c>
      <c r="AX93" s="23" t="s">
        <v>171</v>
      </c>
      <c r="AY93" s="23" t="s">
        <v>325</v>
      </c>
      <c r="AZ93" s="23">
        <f>VALUE(0)</f>
        <v>0</v>
      </c>
      <c r="BA93" s="23">
        <f>VALUE(0)</f>
        <v>0</v>
      </c>
      <c r="BB93" s="23">
        <f>VALUE(0)</f>
        <v>0</v>
      </c>
      <c r="BC93" s="23">
        <f>VALUE(0)</f>
        <v>0</v>
      </c>
      <c r="BD93" s="23">
        <f>VALUE(0)</f>
        <v>0</v>
      </c>
      <c r="BE93" s="23">
        <f>VALUE(0)</f>
        <v>0</v>
      </c>
      <c r="BF93" s="23">
        <f>VALUE(0)</f>
        <v>0</v>
      </c>
      <c r="BG93" s="23">
        <f>VALUE(0)</f>
        <v>0</v>
      </c>
      <c r="BH93" s="23">
        <f>VALUE(0)</f>
        <v>0</v>
      </c>
      <c r="BI93" s="23">
        <f>VALUE(0)</f>
        <v>0</v>
      </c>
      <c r="BJ93" s="23">
        <f>VALUE(0)</f>
        <v>0</v>
      </c>
      <c r="BK93" s="12">
        <f>$AX$93*24</f>
        <v>5.833333333333333</v>
      </c>
      <c r="BL93" s="12">
        <f>$AY$93*24</f>
        <v>31.533333333333331</v>
      </c>
      <c r="BM93" s="12">
        <f>$BJ$93*24</f>
        <v>0</v>
      </c>
      <c r="BN93" s="12">
        <f>VALUE($I$93)/100</f>
        <v>1</v>
      </c>
      <c r="BO93" s="12">
        <v>0</v>
      </c>
      <c r="BP93" s="12">
        <v>0</v>
      </c>
      <c r="BQ93" s="12">
        <v>0</v>
      </c>
      <c r="BR93" s="12">
        <v>0</v>
      </c>
      <c r="BS93" s="12">
        <v>0</v>
      </c>
      <c r="BT93" s="12">
        <v>0</v>
      </c>
      <c r="BU93" s="12">
        <v>0</v>
      </c>
      <c r="BV93" s="12">
        <v>0</v>
      </c>
      <c r="BW93" s="12">
        <v>0</v>
      </c>
      <c r="BX93" s="12">
        <v>0</v>
      </c>
      <c r="BY93" s="12">
        <v>0</v>
      </c>
      <c r="BZ93" s="12">
        <v>0</v>
      </c>
      <c r="CA93" s="12">
        <v>0</v>
      </c>
    </row>
    <row r="94" spans="1:79" hidden="1" x14ac:dyDescent="0.2">
      <c r="A94" s="12" t="s">
        <v>102</v>
      </c>
      <c r="B94" s="12" t="s">
        <v>112</v>
      </c>
      <c r="C94" s="12" t="s">
        <v>112</v>
      </c>
      <c r="D94" s="22" t="s">
        <v>157</v>
      </c>
      <c r="E94" s="22" t="s">
        <v>161</v>
      </c>
      <c r="F94" s="22" t="s">
        <v>737</v>
      </c>
      <c r="G94" s="22" t="s">
        <v>738</v>
      </c>
      <c r="H94" s="22" t="s">
        <v>150</v>
      </c>
      <c r="I94" s="22" t="s">
        <v>151</v>
      </c>
      <c r="J94" s="22" t="s">
        <v>162</v>
      </c>
      <c r="K94" s="22" t="s">
        <v>73</v>
      </c>
      <c r="L94" s="54" t="s">
        <v>153</v>
      </c>
      <c r="M94" s="23" t="s">
        <v>153</v>
      </c>
      <c r="N94" s="24" t="s">
        <v>153</v>
      </c>
      <c r="O94" s="23" t="s">
        <v>153</v>
      </c>
      <c r="P94" s="23" t="s">
        <v>153</v>
      </c>
      <c r="Q94" s="23" t="s">
        <v>153</v>
      </c>
      <c r="R94" s="25" t="s">
        <v>1196</v>
      </c>
      <c r="S94" s="25" t="s">
        <v>1196</v>
      </c>
      <c r="T94" s="25" t="s">
        <v>1196</v>
      </c>
      <c r="U94" s="24" t="s">
        <v>153</v>
      </c>
      <c r="V94" s="54" t="s">
        <v>153</v>
      </c>
      <c r="W94" s="23" t="s">
        <v>154</v>
      </c>
      <c r="X94" s="23" t="s">
        <v>154</v>
      </c>
      <c r="Y94" s="23" t="s">
        <v>154</v>
      </c>
      <c r="Z94" s="23" t="s">
        <v>154</v>
      </c>
      <c r="AA94" s="23" t="s">
        <v>154</v>
      </c>
      <c r="AB94" s="24" t="s">
        <v>153</v>
      </c>
      <c r="AC94" s="28" t="s">
        <v>163</v>
      </c>
      <c r="AD94" s="28" t="s">
        <v>163</v>
      </c>
      <c r="AE94" s="28" t="s">
        <v>163</v>
      </c>
      <c r="AF94" s="28" t="s">
        <v>163</v>
      </c>
      <c r="AG94" s="28" t="s">
        <v>163</v>
      </c>
      <c r="AH94" s="28" t="s">
        <v>163</v>
      </c>
      <c r="AI94" s="24" t="s">
        <v>153</v>
      </c>
      <c r="AJ94" s="23" t="s">
        <v>154</v>
      </c>
      <c r="AK94" s="23" t="s">
        <v>154</v>
      </c>
      <c r="AL94" s="23" t="s">
        <v>154</v>
      </c>
      <c r="AM94" s="24" t="s">
        <v>156</v>
      </c>
      <c r="AN94" s="24" t="s">
        <v>156</v>
      </c>
      <c r="AO94" s="24" t="s">
        <v>156</v>
      </c>
      <c r="AP94" s="23">
        <f>VALUE(3)</f>
        <v>3</v>
      </c>
      <c r="AQ94" s="23">
        <f>VALUE(0)</f>
        <v>0</v>
      </c>
      <c r="AR94" s="23">
        <f>VALUE(0)</f>
        <v>0</v>
      </c>
      <c r="AS94" s="23">
        <f>VALUE(0)</f>
        <v>0</v>
      </c>
      <c r="AT94" s="23">
        <f>VALUE(0)</f>
        <v>0</v>
      </c>
      <c r="AU94" s="23">
        <f>VALUE(6)</f>
        <v>6</v>
      </c>
      <c r="AV94" s="23">
        <f>VALUE(2)</f>
        <v>2</v>
      </c>
      <c r="AW94" s="23">
        <f>VALUE(0)</f>
        <v>0</v>
      </c>
      <c r="AX94" s="23" t="s">
        <v>171</v>
      </c>
      <c r="AY94" s="23" t="s">
        <v>326</v>
      </c>
      <c r="AZ94" s="23">
        <f>VALUE(0)</f>
        <v>0</v>
      </c>
      <c r="BA94" s="23">
        <f>VALUE(0)</f>
        <v>0</v>
      </c>
      <c r="BB94" s="23">
        <f>VALUE(0)</f>
        <v>0</v>
      </c>
      <c r="BC94" s="23">
        <f>VALUE(0)</f>
        <v>0</v>
      </c>
      <c r="BD94" s="23">
        <f>VALUE(3)</f>
        <v>3</v>
      </c>
      <c r="BE94" s="23">
        <f>VALUE(0)</f>
        <v>0</v>
      </c>
      <c r="BF94" s="23">
        <f>VALUE(0)</f>
        <v>0</v>
      </c>
      <c r="BG94" s="23">
        <f>VALUE(0)</f>
        <v>0</v>
      </c>
      <c r="BH94" s="23">
        <f>VALUE(0)</f>
        <v>0</v>
      </c>
      <c r="BI94" s="23">
        <f>VALUE(0)</f>
        <v>0</v>
      </c>
      <c r="BJ94" s="23">
        <f>VALUE(0)</f>
        <v>0</v>
      </c>
      <c r="BK94" s="12">
        <f>$AX$94*24</f>
        <v>5.833333333333333</v>
      </c>
      <c r="BL94" s="12">
        <f>$AY$94*24</f>
        <v>11.633333333333333</v>
      </c>
      <c r="BM94" s="12">
        <f>$BJ$94*24</f>
        <v>0</v>
      </c>
      <c r="BN94" s="12">
        <f>VALUE($I$94)/100</f>
        <v>1</v>
      </c>
      <c r="BO94" s="12">
        <v>0</v>
      </c>
      <c r="BP94" s="12">
        <v>0</v>
      </c>
      <c r="BQ94" s="12">
        <v>0</v>
      </c>
      <c r="BR94" s="12">
        <v>3</v>
      </c>
      <c r="BS94" s="12">
        <v>0</v>
      </c>
      <c r="BT94" s="12">
        <v>0</v>
      </c>
      <c r="BU94" s="12">
        <v>0</v>
      </c>
      <c r="BV94" s="12">
        <v>0</v>
      </c>
      <c r="BW94" s="12">
        <v>0</v>
      </c>
      <c r="BX94" s="12">
        <v>0</v>
      </c>
      <c r="BY94" s="12">
        <v>0</v>
      </c>
      <c r="BZ94" s="12">
        <v>0</v>
      </c>
      <c r="CA94" s="12">
        <v>0</v>
      </c>
    </row>
    <row r="95" spans="1:79" hidden="1" x14ac:dyDescent="0.2">
      <c r="A95" s="12" t="s">
        <v>102</v>
      </c>
      <c r="B95" s="12" t="s">
        <v>112</v>
      </c>
      <c r="C95" s="12" t="s">
        <v>112</v>
      </c>
      <c r="D95" s="22" t="s">
        <v>327</v>
      </c>
      <c r="E95" s="22" t="s">
        <v>161</v>
      </c>
      <c r="F95" s="22" t="s">
        <v>739</v>
      </c>
      <c r="G95" s="22" t="s">
        <v>740</v>
      </c>
      <c r="H95" s="22" t="s">
        <v>166</v>
      </c>
      <c r="I95" s="22" t="s">
        <v>151</v>
      </c>
      <c r="J95" s="22" t="s">
        <v>162</v>
      </c>
      <c r="K95" s="22" t="s">
        <v>73</v>
      </c>
      <c r="L95" s="54" t="s">
        <v>153</v>
      </c>
      <c r="M95" s="28" t="s">
        <v>163</v>
      </c>
      <c r="N95" s="24" t="s">
        <v>153</v>
      </c>
      <c r="O95" s="23" t="s">
        <v>153</v>
      </c>
      <c r="P95" s="23" t="s">
        <v>153</v>
      </c>
      <c r="Q95" s="23" t="s">
        <v>153</v>
      </c>
      <c r="R95" s="23" t="s">
        <v>153</v>
      </c>
      <c r="S95" s="23" t="s">
        <v>153</v>
      </c>
      <c r="T95" s="23" t="s">
        <v>153</v>
      </c>
      <c r="U95" s="24" t="s">
        <v>153</v>
      </c>
      <c r="V95" s="54" t="s">
        <v>153</v>
      </c>
      <c r="W95" s="23" t="s">
        <v>153</v>
      </c>
      <c r="X95" s="23" t="s">
        <v>153</v>
      </c>
      <c r="Y95" s="23" t="s">
        <v>153</v>
      </c>
      <c r="Z95" s="29" t="s">
        <v>218</v>
      </c>
      <c r="AA95" s="23" t="s">
        <v>153</v>
      </c>
      <c r="AB95" s="24" t="s">
        <v>153</v>
      </c>
      <c r="AC95" s="24" t="s">
        <v>156</v>
      </c>
      <c r="AD95" s="24" t="s">
        <v>156</v>
      </c>
      <c r="AE95" s="24" t="s">
        <v>156</v>
      </c>
      <c r="AF95" s="23" t="s">
        <v>153</v>
      </c>
      <c r="AG95" s="23" t="s">
        <v>153</v>
      </c>
      <c r="AH95" s="23" t="s">
        <v>153</v>
      </c>
      <c r="AI95" s="24" t="s">
        <v>153</v>
      </c>
      <c r="AJ95" s="23" t="s">
        <v>153</v>
      </c>
      <c r="AK95" s="23" t="s">
        <v>153</v>
      </c>
      <c r="AL95" s="23" t="s">
        <v>153</v>
      </c>
      <c r="AM95" s="23" t="s">
        <v>153</v>
      </c>
      <c r="AN95" s="23" t="s">
        <v>153</v>
      </c>
      <c r="AO95" s="23" t="s">
        <v>153</v>
      </c>
      <c r="AP95" s="23">
        <f>VALUE(6)</f>
        <v>6</v>
      </c>
      <c r="AQ95" s="23">
        <f>VALUE(0)</f>
        <v>0</v>
      </c>
      <c r="AR95" s="23">
        <f>VALUE(1)</f>
        <v>1</v>
      </c>
      <c r="AS95" s="23">
        <f>VALUE(0)</f>
        <v>0</v>
      </c>
      <c r="AT95" s="23">
        <f>VALUE(0)</f>
        <v>0</v>
      </c>
      <c r="AU95" s="23">
        <f>VALUE(1)</f>
        <v>1</v>
      </c>
      <c r="AV95" s="23">
        <f>VALUE(2)</f>
        <v>2</v>
      </c>
      <c r="AW95" s="23">
        <f>VALUE(0)</f>
        <v>0</v>
      </c>
      <c r="AX95" s="23" t="s">
        <v>328</v>
      </c>
      <c r="AY95" s="23">
        <f>VALUE(0)</f>
        <v>0</v>
      </c>
      <c r="AZ95" s="23">
        <f>VALUE(0)</f>
        <v>0</v>
      </c>
      <c r="BA95" s="23">
        <f>VALUE(0)</f>
        <v>0</v>
      </c>
      <c r="BB95" s="23">
        <f>VALUE(0)</f>
        <v>0</v>
      </c>
      <c r="BC95" s="23">
        <f>VALUE(0)</f>
        <v>0</v>
      </c>
      <c r="BD95" s="23">
        <f>VALUE(0)</f>
        <v>0</v>
      </c>
      <c r="BE95" s="23">
        <f>VALUE(0)</f>
        <v>0</v>
      </c>
      <c r="BF95" s="23">
        <f>VALUE(0)</f>
        <v>0</v>
      </c>
      <c r="BG95" s="23">
        <f>VALUE(0)</f>
        <v>0</v>
      </c>
      <c r="BH95" s="23">
        <f>VALUE(0)</f>
        <v>0</v>
      </c>
      <c r="BI95" s="23">
        <f>VALUE(0)</f>
        <v>0</v>
      </c>
      <c r="BJ95" s="23">
        <f>VALUE(0)</f>
        <v>0</v>
      </c>
      <c r="BK95" s="12">
        <f>$AX$95*24</f>
        <v>28.683333333333337</v>
      </c>
      <c r="BL95" s="12">
        <f>$AY$95*24</f>
        <v>0</v>
      </c>
      <c r="BM95" s="12">
        <f>$BJ$95*24</f>
        <v>0</v>
      </c>
      <c r="BN95" s="12">
        <f>VALUE($I$95)/100</f>
        <v>1</v>
      </c>
      <c r="BO95" s="12">
        <v>0</v>
      </c>
      <c r="BP95" s="12">
        <v>0</v>
      </c>
      <c r="BQ95" s="12">
        <v>0</v>
      </c>
      <c r="BR95" s="12">
        <v>0</v>
      </c>
      <c r="BS95" s="12">
        <v>1</v>
      </c>
      <c r="BT95" s="12">
        <v>0</v>
      </c>
      <c r="BU95" s="12">
        <v>0</v>
      </c>
      <c r="BV95" s="12">
        <v>0</v>
      </c>
      <c r="BW95" s="12">
        <v>0</v>
      </c>
      <c r="BX95" s="12">
        <v>0</v>
      </c>
      <c r="BY95" s="12">
        <v>0</v>
      </c>
      <c r="BZ95" s="12">
        <v>0</v>
      </c>
      <c r="CA95" s="12">
        <v>0</v>
      </c>
    </row>
    <row r="96" spans="1:79" hidden="1" x14ac:dyDescent="0.2">
      <c r="A96" s="12" t="s">
        <v>102</v>
      </c>
      <c r="B96" s="12" t="s">
        <v>112</v>
      </c>
      <c r="C96" s="12" t="s">
        <v>112</v>
      </c>
      <c r="D96" s="22" t="s">
        <v>154</v>
      </c>
      <c r="E96" s="22" t="s">
        <v>161</v>
      </c>
      <c r="F96" s="22" t="s">
        <v>741</v>
      </c>
      <c r="G96" s="22" t="s">
        <v>742</v>
      </c>
      <c r="H96" s="22" t="s">
        <v>150</v>
      </c>
      <c r="I96" s="22" t="s">
        <v>151</v>
      </c>
      <c r="J96" s="22" t="s">
        <v>162</v>
      </c>
      <c r="K96" s="22" t="s">
        <v>73</v>
      </c>
      <c r="L96" s="54" t="s">
        <v>153</v>
      </c>
      <c r="M96" s="28" t="s">
        <v>163</v>
      </c>
      <c r="N96" s="24" t="s">
        <v>153</v>
      </c>
      <c r="O96" s="35" t="s">
        <v>170</v>
      </c>
      <c r="P96" s="35" t="s">
        <v>170</v>
      </c>
      <c r="Q96" s="25" t="s">
        <v>169</v>
      </c>
      <c r="R96" s="23" t="s">
        <v>169</v>
      </c>
      <c r="S96" s="23" t="s">
        <v>169</v>
      </c>
      <c r="T96" s="23" t="s">
        <v>169</v>
      </c>
      <c r="U96" s="24" t="s">
        <v>153</v>
      </c>
      <c r="V96" s="54" t="s">
        <v>153</v>
      </c>
      <c r="W96" s="23" t="s">
        <v>167</v>
      </c>
      <c r="X96" s="23" t="s">
        <v>167</v>
      </c>
      <c r="Y96" s="23" t="s">
        <v>157</v>
      </c>
      <c r="Z96" s="23" t="s">
        <v>327</v>
      </c>
      <c r="AA96" s="23" t="s">
        <v>157</v>
      </c>
      <c r="AB96" s="24" t="s">
        <v>153</v>
      </c>
      <c r="AC96" s="23" t="s">
        <v>157</v>
      </c>
      <c r="AD96" s="23" t="s">
        <v>157</v>
      </c>
      <c r="AE96" s="23" t="s">
        <v>157</v>
      </c>
      <c r="AF96" s="34" t="s">
        <v>157</v>
      </c>
      <c r="AG96" s="34" t="s">
        <v>157</v>
      </c>
      <c r="AH96" s="34" t="s">
        <v>157</v>
      </c>
      <c r="AI96" s="24" t="s">
        <v>153</v>
      </c>
      <c r="AJ96" s="23" t="s">
        <v>169</v>
      </c>
      <c r="AK96" s="23" t="s">
        <v>169</v>
      </c>
      <c r="AL96" s="23" t="s">
        <v>169</v>
      </c>
      <c r="AM96" s="25" t="s">
        <v>157</v>
      </c>
      <c r="AN96" s="25" t="s">
        <v>157</v>
      </c>
      <c r="AO96" s="25" t="s">
        <v>157</v>
      </c>
      <c r="AP96" s="23">
        <f>VALUE(4)</f>
        <v>4</v>
      </c>
      <c r="AQ96" s="23">
        <f>VALUE(0)</f>
        <v>0</v>
      </c>
      <c r="AR96" s="23">
        <f>VALUE(0)</f>
        <v>0</v>
      </c>
      <c r="AS96" s="23">
        <f>VALUE(0)</f>
        <v>0</v>
      </c>
      <c r="AT96" s="23">
        <f>VALUE(0)</f>
        <v>0</v>
      </c>
      <c r="AU96" s="23">
        <f>VALUE(1)</f>
        <v>1</v>
      </c>
      <c r="AV96" s="23">
        <f>VALUE(1)</f>
        <v>1</v>
      </c>
      <c r="AW96" s="23">
        <f>VALUE(0)</f>
        <v>0</v>
      </c>
      <c r="AX96" s="23">
        <f>VALUE(0)</f>
        <v>0</v>
      </c>
      <c r="AY96" s="23">
        <f>VALUE(0)</f>
        <v>0</v>
      </c>
      <c r="AZ96" s="23">
        <f>VALUE(0)</f>
        <v>0</v>
      </c>
      <c r="BA96" s="23">
        <f>VALUE(0)</f>
        <v>0</v>
      </c>
      <c r="BB96" s="23">
        <f>VALUE(0)</f>
        <v>0</v>
      </c>
      <c r="BC96" s="23">
        <f>VALUE(0)</f>
        <v>0</v>
      </c>
      <c r="BD96" s="23">
        <f>VALUE(0)</f>
        <v>0</v>
      </c>
      <c r="BE96" s="23">
        <f>VALUE(2)</f>
        <v>2</v>
      </c>
      <c r="BF96" s="23">
        <f>VALUE(0)</f>
        <v>0</v>
      </c>
      <c r="BG96" s="23">
        <f>VALUE(0)</f>
        <v>0</v>
      </c>
      <c r="BH96" s="23">
        <f>VALUE(0)</f>
        <v>0</v>
      </c>
      <c r="BI96" s="23">
        <f>VALUE(0)</f>
        <v>0</v>
      </c>
      <c r="BJ96" s="23">
        <f>VALUE(0)</f>
        <v>0</v>
      </c>
      <c r="BK96" s="12">
        <f>$AX$96*24</f>
        <v>0</v>
      </c>
      <c r="BL96" s="12">
        <f>$AY$96*24</f>
        <v>0</v>
      </c>
      <c r="BM96" s="12">
        <f>$BJ$96*24</f>
        <v>0</v>
      </c>
      <c r="BN96" s="12">
        <f>VALUE($I$96)/100</f>
        <v>1</v>
      </c>
      <c r="BO96" s="12">
        <v>0</v>
      </c>
      <c r="BP96" s="12">
        <v>0</v>
      </c>
      <c r="BQ96" s="12">
        <v>0</v>
      </c>
      <c r="BR96" s="12">
        <v>0</v>
      </c>
      <c r="BS96" s="12">
        <v>0</v>
      </c>
      <c r="BT96" s="12">
        <v>0</v>
      </c>
      <c r="BU96" s="12">
        <v>0</v>
      </c>
      <c r="BV96" s="12">
        <v>0</v>
      </c>
      <c r="BW96" s="12">
        <v>0</v>
      </c>
      <c r="BX96" s="12">
        <v>0</v>
      </c>
      <c r="BY96" s="12">
        <v>0</v>
      </c>
      <c r="BZ96" s="12">
        <v>0</v>
      </c>
      <c r="CA96" s="12">
        <v>0</v>
      </c>
    </row>
    <row r="97" spans="1:79" ht="16.5" hidden="1" x14ac:dyDescent="0.2">
      <c r="A97" s="12" t="s">
        <v>102</v>
      </c>
      <c r="B97" s="12" t="s">
        <v>112</v>
      </c>
      <c r="C97" s="12" t="s">
        <v>112</v>
      </c>
      <c r="D97" s="22" t="s">
        <v>329</v>
      </c>
      <c r="E97" s="22" t="s">
        <v>159</v>
      </c>
      <c r="F97" s="22" t="s">
        <v>743</v>
      </c>
      <c r="G97" s="22" t="s">
        <v>744</v>
      </c>
      <c r="H97" s="22" t="s">
        <v>150</v>
      </c>
      <c r="I97" s="22" t="s">
        <v>151</v>
      </c>
      <c r="J97" s="22" t="s">
        <v>162</v>
      </c>
      <c r="K97" s="22" t="s">
        <v>73</v>
      </c>
      <c r="L97" s="54" t="s">
        <v>153</v>
      </c>
      <c r="M97" s="23" t="s">
        <v>327</v>
      </c>
      <c r="N97" s="24" t="s">
        <v>153</v>
      </c>
      <c r="O97" s="26" t="s">
        <v>1197</v>
      </c>
      <c r="P97" s="26" t="s">
        <v>1197</v>
      </c>
      <c r="Q97" s="26" t="s">
        <v>1197</v>
      </c>
      <c r="R97" s="26" t="s">
        <v>1197</v>
      </c>
      <c r="S97" s="26" t="s">
        <v>1197</v>
      </c>
      <c r="T97" s="26" t="s">
        <v>1197</v>
      </c>
      <c r="U97" s="24" t="s">
        <v>153</v>
      </c>
      <c r="V97" s="54" t="s">
        <v>153</v>
      </c>
      <c r="W97" s="28" t="s">
        <v>163</v>
      </c>
      <c r="X97" s="26" t="s">
        <v>1197</v>
      </c>
      <c r="Y97" s="26" t="s">
        <v>1197</v>
      </c>
      <c r="Z97" s="26" t="s">
        <v>1197</v>
      </c>
      <c r="AA97" s="26" t="s">
        <v>1197</v>
      </c>
      <c r="AB97" s="24" t="s">
        <v>153</v>
      </c>
      <c r="AC97" s="28" t="s">
        <v>163</v>
      </c>
      <c r="AD97" s="28" t="s">
        <v>163</v>
      </c>
      <c r="AE97" s="28" t="s">
        <v>163</v>
      </c>
      <c r="AF97" s="28" t="s">
        <v>163</v>
      </c>
      <c r="AG97" s="28" t="s">
        <v>163</v>
      </c>
      <c r="AH97" s="28" t="s">
        <v>163</v>
      </c>
      <c r="AI97" s="24" t="s">
        <v>153</v>
      </c>
      <c r="AJ97" s="26" t="s">
        <v>1197</v>
      </c>
      <c r="AK97" s="26" t="s">
        <v>1197</v>
      </c>
      <c r="AL97" s="26" t="s">
        <v>1197</v>
      </c>
      <c r="AM97" s="26" t="s">
        <v>1197</v>
      </c>
      <c r="AN97" s="26" t="s">
        <v>1197</v>
      </c>
      <c r="AO97" s="26" t="s">
        <v>1197</v>
      </c>
      <c r="AP97" s="23">
        <f>VALUE(3)</f>
        <v>3</v>
      </c>
      <c r="AQ97" s="23">
        <f>VALUE(0)</f>
        <v>0</v>
      </c>
      <c r="AR97" s="23">
        <f>VALUE(0)</f>
        <v>0</v>
      </c>
      <c r="AS97" s="23">
        <f>VALUE(0)</f>
        <v>0</v>
      </c>
      <c r="AT97" s="23">
        <f>VALUE(0)</f>
        <v>0</v>
      </c>
      <c r="AU97" s="23">
        <f>VALUE(7)</f>
        <v>7</v>
      </c>
      <c r="AV97" s="23">
        <f>VALUE(0)</f>
        <v>0</v>
      </c>
      <c r="AW97" s="23">
        <f>VALUE(0)</f>
        <v>0</v>
      </c>
      <c r="AX97" s="23" t="s">
        <v>176</v>
      </c>
      <c r="AY97" s="23" t="s">
        <v>330</v>
      </c>
      <c r="AZ97" s="23">
        <f>VALUE(0)</f>
        <v>0</v>
      </c>
      <c r="BA97" s="23">
        <f>VALUE(0)</f>
        <v>0</v>
      </c>
      <c r="BB97" s="23">
        <f>VALUE(0)</f>
        <v>0</v>
      </c>
      <c r="BC97" s="23">
        <f>VALUE(0)</f>
        <v>0</v>
      </c>
      <c r="BD97" s="23">
        <f>VALUE(0)</f>
        <v>0</v>
      </c>
      <c r="BE97" s="23">
        <f>VALUE(0)</f>
        <v>0</v>
      </c>
      <c r="BF97" s="23">
        <f>VALUE(0)</f>
        <v>0</v>
      </c>
      <c r="BG97" s="23">
        <f>VALUE(0)</f>
        <v>0</v>
      </c>
      <c r="BH97" s="23">
        <f>VALUE(0)</f>
        <v>0</v>
      </c>
      <c r="BI97" s="23">
        <f>VALUE(0)</f>
        <v>0</v>
      </c>
      <c r="BJ97" s="23">
        <f>VALUE(0)</f>
        <v>0</v>
      </c>
      <c r="BK97" s="12">
        <f>$AX$97*24</f>
        <v>0</v>
      </c>
      <c r="BL97" s="12">
        <f>$AY$97*24</f>
        <v>22.9</v>
      </c>
      <c r="BM97" s="12">
        <f>$BJ$97*24</f>
        <v>0</v>
      </c>
      <c r="BN97" s="12">
        <f>VALUE($I$97)/100</f>
        <v>1</v>
      </c>
      <c r="BO97" s="12">
        <v>0</v>
      </c>
      <c r="BP97" s="12">
        <v>0</v>
      </c>
      <c r="BQ97" s="12">
        <v>0</v>
      </c>
      <c r="BR97" s="12">
        <v>0</v>
      </c>
      <c r="BS97" s="12">
        <v>0</v>
      </c>
      <c r="BT97" s="12">
        <v>0</v>
      </c>
      <c r="BU97" s="12">
        <v>0</v>
      </c>
      <c r="BV97" s="12">
        <v>0</v>
      </c>
      <c r="BW97" s="12">
        <v>0</v>
      </c>
      <c r="BX97" s="12">
        <v>0</v>
      </c>
      <c r="BY97" s="12">
        <v>0</v>
      </c>
      <c r="BZ97" s="12">
        <v>0</v>
      </c>
      <c r="CA97" s="12">
        <v>0</v>
      </c>
    </row>
    <row r="98" spans="1:79" ht="16.5" hidden="1" x14ac:dyDescent="0.2">
      <c r="A98" s="12" t="s">
        <v>102</v>
      </c>
      <c r="B98" s="12" t="s">
        <v>112</v>
      </c>
      <c r="C98" s="12" t="s">
        <v>112</v>
      </c>
      <c r="D98" s="22" t="s">
        <v>159</v>
      </c>
      <c r="E98" s="22" t="s">
        <v>159</v>
      </c>
      <c r="F98" s="22" t="s">
        <v>745</v>
      </c>
      <c r="G98" s="22" t="s">
        <v>746</v>
      </c>
      <c r="H98" s="22" t="s">
        <v>150</v>
      </c>
      <c r="I98" s="22" t="s">
        <v>151</v>
      </c>
      <c r="J98" s="22" t="s">
        <v>162</v>
      </c>
      <c r="K98" s="22" t="s">
        <v>73</v>
      </c>
      <c r="L98" s="54" t="s">
        <v>153</v>
      </c>
      <c r="M98" s="23" t="s">
        <v>169</v>
      </c>
      <c r="N98" s="24" t="s">
        <v>153</v>
      </c>
      <c r="O98" s="23" t="s">
        <v>160</v>
      </c>
      <c r="P98" s="23" t="s">
        <v>160</v>
      </c>
      <c r="Q98" s="23" t="s">
        <v>160</v>
      </c>
      <c r="R98" s="23" t="s">
        <v>160</v>
      </c>
      <c r="S98" s="23" t="s">
        <v>160</v>
      </c>
      <c r="T98" s="23" t="s">
        <v>160</v>
      </c>
      <c r="U98" s="24" t="s">
        <v>153</v>
      </c>
      <c r="V98" s="54" t="s">
        <v>153</v>
      </c>
      <c r="W98" s="26" t="s">
        <v>1197</v>
      </c>
      <c r="X98" s="28" t="s">
        <v>163</v>
      </c>
      <c r="Y98" s="28" t="s">
        <v>163</v>
      </c>
      <c r="Z98" s="28" t="s">
        <v>163</v>
      </c>
      <c r="AA98" s="28" t="s">
        <v>163</v>
      </c>
      <c r="AB98" s="24" t="s">
        <v>153</v>
      </c>
      <c r="AC98" s="26" t="s">
        <v>1197</v>
      </c>
      <c r="AD98" s="26" t="s">
        <v>1197</v>
      </c>
      <c r="AE98" s="26" t="s">
        <v>1197</v>
      </c>
      <c r="AF98" s="23" t="s">
        <v>154</v>
      </c>
      <c r="AG98" s="23" t="s">
        <v>154</v>
      </c>
      <c r="AH98" s="23" t="s">
        <v>154</v>
      </c>
      <c r="AI98" s="24" t="s">
        <v>153</v>
      </c>
      <c r="AJ98" s="23" t="s">
        <v>324</v>
      </c>
      <c r="AK98" s="23" t="s">
        <v>324</v>
      </c>
      <c r="AL98" s="23" t="s">
        <v>324</v>
      </c>
      <c r="AM98" s="23" t="s">
        <v>169</v>
      </c>
      <c r="AN98" s="23" t="s">
        <v>160</v>
      </c>
      <c r="AO98" s="23" t="s">
        <v>160</v>
      </c>
      <c r="AP98" s="23">
        <f>VALUE(3)</f>
        <v>3</v>
      </c>
      <c r="AQ98" s="23">
        <f>VALUE(0)</f>
        <v>0</v>
      </c>
      <c r="AR98" s="23">
        <f>VALUE(0)</f>
        <v>0</v>
      </c>
      <c r="AS98" s="23">
        <f>VALUE(0)</f>
        <v>0</v>
      </c>
      <c r="AT98" s="23">
        <f>VALUE(0)</f>
        <v>0</v>
      </c>
      <c r="AU98" s="23">
        <f>VALUE(4)</f>
        <v>4</v>
      </c>
      <c r="AV98" s="23">
        <f>VALUE(2)</f>
        <v>2</v>
      </c>
      <c r="AW98" s="23">
        <f>VALUE(0)</f>
        <v>0</v>
      </c>
      <c r="AX98" s="23" t="s">
        <v>171</v>
      </c>
      <c r="AY98" s="23" t="s">
        <v>331</v>
      </c>
      <c r="AZ98" s="23">
        <f>VALUE(0)</f>
        <v>0</v>
      </c>
      <c r="BA98" s="23">
        <f>VALUE(0)</f>
        <v>0</v>
      </c>
      <c r="BB98" s="23">
        <f>VALUE(0)</f>
        <v>0</v>
      </c>
      <c r="BC98" s="23">
        <f>VALUE(0)</f>
        <v>0</v>
      </c>
      <c r="BD98" s="23">
        <f>VALUE(0)</f>
        <v>0</v>
      </c>
      <c r="BE98" s="23">
        <f>VALUE(0)</f>
        <v>0</v>
      </c>
      <c r="BF98" s="23">
        <f>VALUE(0)</f>
        <v>0</v>
      </c>
      <c r="BG98" s="23">
        <f>VALUE(0)</f>
        <v>0</v>
      </c>
      <c r="BH98" s="23">
        <f>VALUE(0)</f>
        <v>0</v>
      </c>
      <c r="BI98" s="23">
        <f>VALUE(0)</f>
        <v>0</v>
      </c>
      <c r="BJ98" s="23">
        <f>VALUE(0)</f>
        <v>0</v>
      </c>
      <c r="BK98" s="12">
        <f>$AX$98*24</f>
        <v>5.833333333333333</v>
      </c>
      <c r="BL98" s="12">
        <f>$AY$98*24</f>
        <v>16.416666666666668</v>
      </c>
      <c r="BM98" s="12">
        <f>$BJ$98*24</f>
        <v>0</v>
      </c>
      <c r="BN98" s="12">
        <f>VALUE($I$98)/100</f>
        <v>1</v>
      </c>
      <c r="BO98" s="12">
        <v>0</v>
      </c>
      <c r="BP98" s="12">
        <v>0</v>
      </c>
      <c r="BQ98" s="12">
        <v>0</v>
      </c>
      <c r="BR98" s="12">
        <v>0</v>
      </c>
      <c r="BS98" s="12">
        <v>0</v>
      </c>
      <c r="BT98" s="12">
        <v>0</v>
      </c>
      <c r="BU98" s="12">
        <v>0</v>
      </c>
      <c r="BV98" s="12">
        <v>0</v>
      </c>
      <c r="BW98" s="12">
        <v>0</v>
      </c>
      <c r="BX98" s="12">
        <v>0</v>
      </c>
      <c r="BY98" s="12">
        <v>0</v>
      </c>
      <c r="BZ98" s="12">
        <v>0</v>
      </c>
      <c r="CA98" s="12">
        <v>0</v>
      </c>
    </row>
    <row r="99" spans="1:79" x14ac:dyDescent="0.2">
      <c r="A99" s="12" t="s">
        <v>102</v>
      </c>
      <c r="B99" s="12" t="s">
        <v>112</v>
      </c>
      <c r="C99" s="12" t="s">
        <v>112</v>
      </c>
      <c r="D99" s="22" t="s">
        <v>1198</v>
      </c>
      <c r="E99" s="22" t="s">
        <v>332</v>
      </c>
      <c r="F99" s="22" t="s">
        <v>747</v>
      </c>
      <c r="G99" s="22" t="s">
        <v>748</v>
      </c>
      <c r="H99" s="22" t="s">
        <v>150</v>
      </c>
      <c r="I99" s="22" t="s">
        <v>151</v>
      </c>
      <c r="J99" s="22" t="s">
        <v>162</v>
      </c>
      <c r="K99" s="22" t="s">
        <v>73</v>
      </c>
      <c r="L99" s="54" t="s">
        <v>153</v>
      </c>
      <c r="M99" s="23" t="s">
        <v>167</v>
      </c>
      <c r="N99" s="24" t="s">
        <v>153</v>
      </c>
      <c r="O99" s="23" t="s">
        <v>154</v>
      </c>
      <c r="P99" s="23" t="s">
        <v>154</v>
      </c>
      <c r="Q99" s="23" t="s">
        <v>154</v>
      </c>
      <c r="R99" s="23" t="s">
        <v>157</v>
      </c>
      <c r="S99" s="23" t="s">
        <v>157</v>
      </c>
      <c r="T99" s="23" t="s">
        <v>157</v>
      </c>
      <c r="U99" s="24" t="s">
        <v>153</v>
      </c>
      <c r="V99" s="54" t="s">
        <v>153</v>
      </c>
      <c r="W99" s="25" t="s">
        <v>157</v>
      </c>
      <c r="X99" s="23" t="s">
        <v>157</v>
      </c>
      <c r="Y99" s="23" t="s">
        <v>165</v>
      </c>
      <c r="Z99" s="23" t="s">
        <v>165</v>
      </c>
      <c r="AA99" s="23" t="s">
        <v>165</v>
      </c>
      <c r="AB99" s="24" t="s">
        <v>153</v>
      </c>
      <c r="AC99" s="23" t="s">
        <v>327</v>
      </c>
      <c r="AD99" s="23" t="s">
        <v>327</v>
      </c>
      <c r="AE99" s="23" t="s">
        <v>327</v>
      </c>
      <c r="AF99" s="23" t="s">
        <v>153</v>
      </c>
      <c r="AG99" s="23" t="s">
        <v>153</v>
      </c>
      <c r="AH99" s="23" t="s">
        <v>153</v>
      </c>
      <c r="AI99" s="24" t="s">
        <v>153</v>
      </c>
      <c r="AJ99" s="23" t="s">
        <v>157</v>
      </c>
      <c r="AK99" s="23" t="s">
        <v>157</v>
      </c>
      <c r="AL99" s="23" t="s">
        <v>157</v>
      </c>
      <c r="AM99" s="25" t="s">
        <v>157</v>
      </c>
      <c r="AN99" s="25" t="s">
        <v>157</v>
      </c>
      <c r="AO99" s="23" t="s">
        <v>167</v>
      </c>
      <c r="AP99" s="23">
        <f>VALUE(4)</f>
        <v>4</v>
      </c>
      <c r="AQ99" s="23">
        <f>VALUE(0)</f>
        <v>0</v>
      </c>
      <c r="AR99" s="23">
        <f>VALUE(0)</f>
        <v>0</v>
      </c>
      <c r="AS99" s="23">
        <f>VALUE(3)</f>
        <v>3</v>
      </c>
      <c r="AT99" s="23">
        <f>VALUE(0)</f>
        <v>0</v>
      </c>
      <c r="AU99" s="23">
        <f>VALUE(0)</f>
        <v>0</v>
      </c>
      <c r="AV99" s="23">
        <f>VALUE(2)</f>
        <v>2</v>
      </c>
      <c r="AW99" s="23">
        <f>VALUE(0)</f>
        <v>0</v>
      </c>
      <c r="AX99" s="23" t="s">
        <v>158</v>
      </c>
      <c r="AY99" s="23" t="s">
        <v>171</v>
      </c>
      <c r="AZ99" s="23">
        <f>VALUE(0)</f>
        <v>0</v>
      </c>
      <c r="BA99" s="23">
        <f>VALUE(0)</f>
        <v>0</v>
      </c>
      <c r="BB99" s="23">
        <f>VALUE(0)</f>
        <v>0</v>
      </c>
      <c r="BC99" s="23">
        <f>VALUE(0)</f>
        <v>0</v>
      </c>
      <c r="BD99" s="23">
        <f>VALUE(0)</f>
        <v>0</v>
      </c>
      <c r="BE99" s="23">
        <f>VALUE(0)</f>
        <v>0</v>
      </c>
      <c r="BF99" s="23">
        <f>VALUE(0)</f>
        <v>0</v>
      </c>
      <c r="BG99" s="23">
        <f>VALUE(0)</f>
        <v>0</v>
      </c>
      <c r="BH99" s="23">
        <f>VALUE(0)</f>
        <v>0</v>
      </c>
      <c r="BI99" s="23">
        <f>VALUE(0)</f>
        <v>0</v>
      </c>
      <c r="BJ99" s="23">
        <f>VALUE(0)</f>
        <v>0</v>
      </c>
      <c r="BK99" s="12">
        <f>$AX$99*24</f>
        <v>11.666666666666666</v>
      </c>
      <c r="BL99" s="12">
        <f>$AY$99*24</f>
        <v>5.833333333333333</v>
      </c>
      <c r="BM99" s="12">
        <f>$BJ$99*24</f>
        <v>0</v>
      </c>
      <c r="BN99" s="12">
        <f>VALUE($I$99)/100</f>
        <v>1</v>
      </c>
      <c r="BO99" s="12">
        <v>0</v>
      </c>
      <c r="BP99" s="12">
        <v>0</v>
      </c>
      <c r="BQ99" s="12">
        <v>0</v>
      </c>
      <c r="BR99" s="12">
        <v>0</v>
      </c>
      <c r="BS99" s="12">
        <v>0</v>
      </c>
      <c r="BT99" s="12">
        <v>0</v>
      </c>
      <c r="BU99" s="12">
        <v>0</v>
      </c>
      <c r="BV99" s="12">
        <v>0</v>
      </c>
      <c r="BW99" s="12">
        <v>0</v>
      </c>
      <c r="BX99" s="12">
        <v>0</v>
      </c>
      <c r="BY99" s="12">
        <v>0</v>
      </c>
      <c r="BZ99" s="12">
        <v>0</v>
      </c>
      <c r="CA99" s="12">
        <v>0</v>
      </c>
    </row>
    <row r="100" spans="1:79" ht="15" hidden="1" x14ac:dyDescent="0.25">
      <c r="A100" s="12" t="s">
        <v>102</v>
      </c>
      <c r="B100" s="12" t="s">
        <v>112</v>
      </c>
      <c r="C100" s="12" t="s">
        <v>112</v>
      </c>
      <c r="D100" s="31" t="s">
        <v>590</v>
      </c>
      <c r="E100" s="31" t="s">
        <v>153</v>
      </c>
      <c r="F100" s="31" t="s">
        <v>175</v>
      </c>
      <c r="G100" s="31" t="s">
        <v>153</v>
      </c>
      <c r="H100" s="31" t="s">
        <v>153</v>
      </c>
      <c r="I100" s="31" t="s">
        <v>153</v>
      </c>
      <c r="J100" s="31" t="s">
        <v>153</v>
      </c>
      <c r="K100" s="31" t="s">
        <v>153</v>
      </c>
      <c r="L100" s="31">
        <f>VALUE(0)</f>
        <v>0</v>
      </c>
      <c r="M100" s="31">
        <f>VALUE(5)</f>
        <v>5</v>
      </c>
      <c r="N100" s="31">
        <f>VALUE(0)</f>
        <v>0</v>
      </c>
      <c r="O100" s="31">
        <f>VALUE(6)</f>
        <v>6</v>
      </c>
      <c r="P100" s="31">
        <f>VALUE(6)</f>
        <v>6</v>
      </c>
      <c r="Q100" s="31">
        <f>VALUE(7)</f>
        <v>7</v>
      </c>
      <c r="R100" s="31">
        <f>VALUE(7)</f>
        <v>7</v>
      </c>
      <c r="S100" s="31">
        <f>VALUE(7)</f>
        <v>7</v>
      </c>
      <c r="T100" s="31">
        <f>VALUE(7)</f>
        <v>7</v>
      </c>
      <c r="U100" s="31">
        <f>VALUE(0)</f>
        <v>0</v>
      </c>
      <c r="V100" s="31">
        <f>VALUE(0)</f>
        <v>0</v>
      </c>
      <c r="W100" s="31">
        <f>VALUE(6)</f>
        <v>6</v>
      </c>
      <c r="X100" s="31">
        <f>VALUE(6)</f>
        <v>6</v>
      </c>
      <c r="Y100" s="31">
        <f>VALUE(6)</f>
        <v>6</v>
      </c>
      <c r="Z100" s="31">
        <f>VALUE(5)</f>
        <v>5</v>
      </c>
      <c r="AA100" s="31">
        <f>VALUE(6)</f>
        <v>6</v>
      </c>
      <c r="AB100" s="31">
        <f>VALUE(0)</f>
        <v>0</v>
      </c>
      <c r="AC100" s="31">
        <f>VALUE(4)</f>
        <v>4</v>
      </c>
      <c r="AD100" s="31">
        <f>VALUE(4)</f>
        <v>4</v>
      </c>
      <c r="AE100" s="31">
        <f>VALUE(4)</f>
        <v>4</v>
      </c>
      <c r="AF100" s="31">
        <f>VALUE(4)</f>
        <v>4</v>
      </c>
      <c r="AG100" s="31">
        <f>VALUE(4)</f>
        <v>4</v>
      </c>
      <c r="AH100" s="31">
        <f>VALUE(4)</f>
        <v>4</v>
      </c>
      <c r="AI100" s="31">
        <f>VALUE(0)</f>
        <v>0</v>
      </c>
      <c r="AJ100" s="31">
        <f>VALUE(6)</f>
        <v>6</v>
      </c>
      <c r="AK100" s="31">
        <f>VALUE(6)</f>
        <v>6</v>
      </c>
      <c r="AL100" s="31">
        <f>VALUE(6)</f>
        <v>6</v>
      </c>
      <c r="AM100" s="31">
        <f>VALUE(6)</f>
        <v>6</v>
      </c>
      <c r="AN100" s="31">
        <f>VALUE(6)</f>
        <v>6</v>
      </c>
      <c r="AO100" s="31">
        <f>VALUE(6)</f>
        <v>6</v>
      </c>
      <c r="AP100" s="31">
        <v>0</v>
      </c>
      <c r="AQ100" s="31">
        <v>0</v>
      </c>
      <c r="AR100" s="31">
        <v>0</v>
      </c>
      <c r="AS100" s="31">
        <v>0</v>
      </c>
      <c r="AT100" s="31">
        <v>0</v>
      </c>
      <c r="AU100" s="31">
        <v>0</v>
      </c>
      <c r="AV100" s="31">
        <v>0</v>
      </c>
      <c r="AW100" s="31">
        <v>0</v>
      </c>
      <c r="AX100" s="31">
        <v>0</v>
      </c>
      <c r="AY100" s="31">
        <v>0</v>
      </c>
      <c r="AZ100" s="31">
        <v>0</v>
      </c>
      <c r="BA100" s="31">
        <v>0</v>
      </c>
      <c r="BB100" s="31">
        <v>0</v>
      </c>
      <c r="BC100" s="31">
        <v>0</v>
      </c>
      <c r="BD100" s="31">
        <v>0</v>
      </c>
      <c r="BE100" s="31">
        <v>0</v>
      </c>
      <c r="BF100" s="31">
        <v>0</v>
      </c>
      <c r="BG100" s="31">
        <v>0</v>
      </c>
      <c r="BH100" s="31">
        <v>0</v>
      </c>
      <c r="BI100" s="31">
        <v>0</v>
      </c>
      <c r="BJ100" s="31">
        <v>0</v>
      </c>
      <c r="BK100" s="12">
        <v>0</v>
      </c>
      <c r="BL100" s="12">
        <v>0</v>
      </c>
      <c r="BM100" s="12">
        <v>0</v>
      </c>
      <c r="BN100" s="12"/>
      <c r="BO100" s="12">
        <v>0</v>
      </c>
      <c r="BP100" s="12">
        <v>0</v>
      </c>
      <c r="BQ100" s="12">
        <v>0</v>
      </c>
      <c r="BR100" s="12">
        <v>0</v>
      </c>
      <c r="BS100" s="12">
        <v>0</v>
      </c>
      <c r="BT100" s="12">
        <v>0</v>
      </c>
      <c r="BU100" s="12">
        <v>0</v>
      </c>
      <c r="BV100" s="12">
        <v>0</v>
      </c>
      <c r="BW100" s="12">
        <v>0</v>
      </c>
      <c r="BX100" s="12">
        <v>0</v>
      </c>
      <c r="BY100" s="12">
        <v>0</v>
      </c>
      <c r="BZ100" s="12">
        <v>0</v>
      </c>
      <c r="CA100" s="12">
        <v>0</v>
      </c>
    </row>
    <row r="101" spans="1:79" hidden="1" x14ac:dyDescent="0.2">
      <c r="A101" s="12" t="s">
        <v>113</v>
      </c>
      <c r="B101" s="12" t="s">
        <v>114</v>
      </c>
      <c r="C101" s="12" t="s">
        <v>114</v>
      </c>
      <c r="D101" s="22" t="s">
        <v>334</v>
      </c>
      <c r="E101" s="22" t="s">
        <v>149</v>
      </c>
      <c r="F101" s="22" t="s">
        <v>749</v>
      </c>
      <c r="G101" s="22" t="s">
        <v>750</v>
      </c>
      <c r="H101" s="22" t="s">
        <v>150</v>
      </c>
      <c r="I101" s="22" t="s">
        <v>151</v>
      </c>
      <c r="J101" s="22" t="s">
        <v>335</v>
      </c>
      <c r="K101" s="22" t="s">
        <v>74</v>
      </c>
      <c r="L101" s="54" t="s">
        <v>153</v>
      </c>
      <c r="M101" s="24" t="s">
        <v>153</v>
      </c>
      <c r="N101" s="24" t="s">
        <v>153</v>
      </c>
      <c r="O101" s="23" t="s">
        <v>153</v>
      </c>
      <c r="P101" s="23" t="s">
        <v>153</v>
      </c>
      <c r="Q101" s="24" t="s">
        <v>156</v>
      </c>
      <c r="R101" s="23" t="s">
        <v>153</v>
      </c>
      <c r="S101" s="23" t="s">
        <v>153</v>
      </c>
      <c r="T101" s="24" t="s">
        <v>153</v>
      </c>
      <c r="U101" s="24" t="s">
        <v>153</v>
      </c>
      <c r="V101" s="54" t="s">
        <v>153</v>
      </c>
      <c r="W101" s="23" t="s">
        <v>153</v>
      </c>
      <c r="X101" s="23" t="s">
        <v>153</v>
      </c>
      <c r="Y101" s="23" t="s">
        <v>153</v>
      </c>
      <c r="Z101" s="23" t="s">
        <v>153</v>
      </c>
      <c r="AA101" s="24" t="s">
        <v>153</v>
      </c>
      <c r="AB101" s="24" t="s">
        <v>153</v>
      </c>
      <c r="AC101" s="23" t="s">
        <v>153</v>
      </c>
      <c r="AD101" s="23" t="s">
        <v>153</v>
      </c>
      <c r="AE101" s="24" t="s">
        <v>156</v>
      </c>
      <c r="AF101" s="23" t="s">
        <v>153</v>
      </c>
      <c r="AG101" s="23" t="s">
        <v>153</v>
      </c>
      <c r="AH101" s="24" t="s">
        <v>153</v>
      </c>
      <c r="AI101" s="24" t="s">
        <v>153</v>
      </c>
      <c r="AJ101" s="23" t="s">
        <v>153</v>
      </c>
      <c r="AK101" s="23" t="s">
        <v>153</v>
      </c>
      <c r="AL101" s="23" t="s">
        <v>153</v>
      </c>
      <c r="AM101" s="23" t="s">
        <v>153</v>
      </c>
      <c r="AN101" s="23" t="s">
        <v>153</v>
      </c>
      <c r="AO101" s="24" t="s">
        <v>153</v>
      </c>
      <c r="AP101" s="23">
        <f>VALUE(0)</f>
        <v>0</v>
      </c>
      <c r="AQ101" s="23">
        <f>VALUE(0)</f>
        <v>0</v>
      </c>
      <c r="AR101" s="23">
        <f>VALUE(0)</f>
        <v>0</v>
      </c>
      <c r="AS101" s="23">
        <f>VALUE(0)</f>
        <v>0</v>
      </c>
      <c r="AT101" s="23">
        <f>VALUE(0)</f>
        <v>0</v>
      </c>
      <c r="AU101" s="23">
        <f>VALUE(0)</f>
        <v>0</v>
      </c>
      <c r="AV101" s="23">
        <f>VALUE(6)</f>
        <v>6</v>
      </c>
      <c r="AW101" s="23">
        <f>VALUE(0)</f>
        <v>0</v>
      </c>
      <c r="AX101" s="23" t="s">
        <v>1199</v>
      </c>
      <c r="AY101" s="23">
        <f>VALUE(0)</f>
        <v>0</v>
      </c>
      <c r="AZ101" s="23">
        <f>VALUE(0)</f>
        <v>0</v>
      </c>
      <c r="BA101" s="23">
        <f>VALUE(0)</f>
        <v>0</v>
      </c>
      <c r="BB101" s="23">
        <f>VALUE(0)</f>
        <v>0</v>
      </c>
      <c r="BC101" s="23">
        <f>VALUE(0)</f>
        <v>0</v>
      </c>
      <c r="BD101" s="23">
        <f>VALUE(0)</f>
        <v>0</v>
      </c>
      <c r="BE101" s="23">
        <f>VALUE(0)</f>
        <v>0</v>
      </c>
      <c r="BF101" s="23">
        <f>VALUE(0)</f>
        <v>0</v>
      </c>
      <c r="BG101" s="23">
        <f>VALUE(0)</f>
        <v>0</v>
      </c>
      <c r="BH101" s="23">
        <f>VALUE(0)</f>
        <v>0</v>
      </c>
      <c r="BI101" s="23">
        <f>VALUE(0)</f>
        <v>0</v>
      </c>
      <c r="BJ101" s="23">
        <f>VALUE(0)</f>
        <v>0</v>
      </c>
      <c r="BK101" s="12">
        <f>$AX$101*24</f>
        <v>7</v>
      </c>
      <c r="BL101" s="12">
        <f>$AY$101*24</f>
        <v>0</v>
      </c>
      <c r="BM101" s="12">
        <f>$BJ$101*24</f>
        <v>0</v>
      </c>
      <c r="BN101" s="12">
        <f>VALUE($I$101)/100</f>
        <v>1</v>
      </c>
      <c r="BO101" s="12">
        <v>0</v>
      </c>
      <c r="BP101" s="12">
        <v>0</v>
      </c>
      <c r="BQ101" s="12">
        <v>0</v>
      </c>
      <c r="BR101" s="12">
        <v>0</v>
      </c>
      <c r="BS101" s="12">
        <v>0</v>
      </c>
      <c r="BT101" s="12">
        <v>0</v>
      </c>
      <c r="BU101" s="12">
        <v>0</v>
      </c>
      <c r="BV101" s="12">
        <v>0</v>
      </c>
      <c r="BW101" s="12">
        <v>0</v>
      </c>
      <c r="BX101" s="12">
        <v>0</v>
      </c>
      <c r="BY101" s="12">
        <v>0</v>
      </c>
      <c r="BZ101" s="12">
        <v>0</v>
      </c>
      <c r="CA101" s="12">
        <v>0</v>
      </c>
    </row>
    <row r="102" spans="1:79" ht="15" hidden="1" x14ac:dyDescent="0.25">
      <c r="A102" s="12" t="s">
        <v>113</v>
      </c>
      <c r="B102" s="12" t="s">
        <v>114</v>
      </c>
      <c r="C102" s="12" t="s">
        <v>114</v>
      </c>
      <c r="D102" s="31" t="s">
        <v>262</v>
      </c>
      <c r="E102" s="31" t="s">
        <v>153</v>
      </c>
      <c r="F102" s="31" t="s">
        <v>175</v>
      </c>
      <c r="G102" s="31" t="s">
        <v>153</v>
      </c>
      <c r="H102" s="31" t="s">
        <v>153</v>
      </c>
      <c r="I102" s="31" t="s">
        <v>153</v>
      </c>
      <c r="J102" s="31" t="s">
        <v>153</v>
      </c>
      <c r="K102" s="31" t="s">
        <v>153</v>
      </c>
      <c r="L102" s="31">
        <f>VALUE(0)</f>
        <v>0</v>
      </c>
      <c r="M102" s="31">
        <f>VALUE(0)</f>
        <v>0</v>
      </c>
      <c r="N102" s="31">
        <f>VALUE(0)</f>
        <v>0</v>
      </c>
      <c r="O102" s="31">
        <f>VALUE(1)</f>
        <v>1</v>
      </c>
      <c r="P102" s="31">
        <f>VALUE(1)</f>
        <v>1</v>
      </c>
      <c r="Q102" s="31">
        <f>VALUE(0)</f>
        <v>0</v>
      </c>
      <c r="R102" s="31">
        <f>VALUE(1)</f>
        <v>1</v>
      </c>
      <c r="S102" s="31">
        <f>VALUE(1)</f>
        <v>1</v>
      </c>
      <c r="T102" s="31">
        <f>VALUE(0)</f>
        <v>0</v>
      </c>
      <c r="U102" s="31">
        <f>VALUE(0)</f>
        <v>0</v>
      </c>
      <c r="V102" s="31">
        <f>VALUE(0)</f>
        <v>0</v>
      </c>
      <c r="W102" s="31">
        <f>VALUE(1)</f>
        <v>1</v>
      </c>
      <c r="X102" s="31">
        <f>VALUE(1)</f>
        <v>1</v>
      </c>
      <c r="Y102" s="31">
        <f>VALUE(1)</f>
        <v>1</v>
      </c>
      <c r="Z102" s="31">
        <f>VALUE(1)</f>
        <v>1</v>
      </c>
      <c r="AA102" s="31">
        <f>VALUE(0)</f>
        <v>0</v>
      </c>
      <c r="AB102" s="31">
        <f>VALUE(0)</f>
        <v>0</v>
      </c>
      <c r="AC102" s="31">
        <f>VALUE(1)</f>
        <v>1</v>
      </c>
      <c r="AD102" s="31">
        <f>VALUE(1)</f>
        <v>1</v>
      </c>
      <c r="AE102" s="31">
        <f>VALUE(0)</f>
        <v>0</v>
      </c>
      <c r="AF102" s="31">
        <f>VALUE(1)</f>
        <v>1</v>
      </c>
      <c r="AG102" s="31">
        <f>VALUE(1)</f>
        <v>1</v>
      </c>
      <c r="AH102" s="31">
        <f>VALUE(0)</f>
        <v>0</v>
      </c>
      <c r="AI102" s="31">
        <f>VALUE(0)</f>
        <v>0</v>
      </c>
      <c r="AJ102" s="31">
        <f>VALUE(1)</f>
        <v>1</v>
      </c>
      <c r="AK102" s="31">
        <f>VALUE(1)</f>
        <v>1</v>
      </c>
      <c r="AL102" s="31">
        <f>VALUE(1)</f>
        <v>1</v>
      </c>
      <c r="AM102" s="31">
        <f>VALUE(1)</f>
        <v>1</v>
      </c>
      <c r="AN102" s="31">
        <f>VALUE(1)</f>
        <v>1</v>
      </c>
      <c r="AO102" s="31">
        <f>VALUE(0)</f>
        <v>0</v>
      </c>
      <c r="AP102" s="31">
        <v>0</v>
      </c>
      <c r="AQ102" s="31">
        <v>0</v>
      </c>
      <c r="AR102" s="31">
        <v>0</v>
      </c>
      <c r="AS102" s="31">
        <v>0</v>
      </c>
      <c r="AT102" s="31">
        <v>0</v>
      </c>
      <c r="AU102" s="31">
        <v>0</v>
      </c>
      <c r="AV102" s="31">
        <v>0</v>
      </c>
      <c r="AW102" s="31">
        <v>0</v>
      </c>
      <c r="AX102" s="31">
        <v>0</v>
      </c>
      <c r="AY102" s="31">
        <v>0</v>
      </c>
      <c r="AZ102" s="31">
        <v>0</v>
      </c>
      <c r="BA102" s="31">
        <v>0</v>
      </c>
      <c r="BB102" s="31">
        <v>0</v>
      </c>
      <c r="BC102" s="31">
        <v>0</v>
      </c>
      <c r="BD102" s="31">
        <v>0</v>
      </c>
      <c r="BE102" s="31">
        <v>0</v>
      </c>
      <c r="BF102" s="31">
        <v>0</v>
      </c>
      <c r="BG102" s="31">
        <v>0</v>
      </c>
      <c r="BH102" s="31">
        <v>0</v>
      </c>
      <c r="BI102" s="31">
        <v>0</v>
      </c>
      <c r="BJ102" s="31">
        <v>0</v>
      </c>
      <c r="BK102" s="12">
        <v>0</v>
      </c>
      <c r="BL102" s="12">
        <v>0</v>
      </c>
      <c r="BM102" s="12">
        <v>0</v>
      </c>
      <c r="BN102" s="12"/>
      <c r="BO102" s="12">
        <v>0</v>
      </c>
      <c r="BP102" s="12">
        <v>0</v>
      </c>
      <c r="BQ102" s="12">
        <v>0</v>
      </c>
      <c r="BR102" s="12">
        <v>0</v>
      </c>
      <c r="BS102" s="12">
        <v>0</v>
      </c>
      <c r="BT102" s="12">
        <v>0</v>
      </c>
      <c r="BU102" s="12">
        <v>0</v>
      </c>
      <c r="BV102" s="12">
        <v>0</v>
      </c>
      <c r="BW102" s="12">
        <v>0</v>
      </c>
      <c r="BX102" s="12">
        <v>0</v>
      </c>
      <c r="BY102" s="12">
        <v>0</v>
      </c>
      <c r="BZ102" s="12">
        <v>0</v>
      </c>
      <c r="CA102" s="12">
        <v>0</v>
      </c>
    </row>
    <row r="103" spans="1:79" hidden="1" x14ac:dyDescent="0.2">
      <c r="A103" s="12" t="s">
        <v>113</v>
      </c>
      <c r="B103" s="12" t="s">
        <v>115</v>
      </c>
      <c r="C103" s="12" t="s">
        <v>115</v>
      </c>
      <c r="D103" s="22" t="s">
        <v>336</v>
      </c>
      <c r="E103" s="22" t="s">
        <v>149</v>
      </c>
      <c r="F103" s="22" t="s">
        <v>749</v>
      </c>
      <c r="G103" s="22" t="s">
        <v>750</v>
      </c>
      <c r="H103" s="22" t="s">
        <v>166</v>
      </c>
      <c r="I103" s="22" t="s">
        <v>151</v>
      </c>
      <c r="J103" s="22" t="s">
        <v>337</v>
      </c>
      <c r="K103" s="22" t="s">
        <v>75</v>
      </c>
      <c r="L103" s="54" t="s">
        <v>153</v>
      </c>
      <c r="M103" s="24" t="s">
        <v>153</v>
      </c>
      <c r="N103" s="24" t="s">
        <v>153</v>
      </c>
      <c r="O103" s="23" t="s">
        <v>153</v>
      </c>
      <c r="P103" s="23" t="s">
        <v>153</v>
      </c>
      <c r="Q103" s="23" t="s">
        <v>153</v>
      </c>
      <c r="R103" s="23" t="s">
        <v>153</v>
      </c>
      <c r="S103" s="23" t="s">
        <v>153</v>
      </c>
      <c r="T103" s="24" t="s">
        <v>153</v>
      </c>
      <c r="U103" s="24" t="s">
        <v>153</v>
      </c>
      <c r="V103" s="54" t="s">
        <v>153</v>
      </c>
      <c r="W103" s="23" t="s">
        <v>153</v>
      </c>
      <c r="X103" s="23" t="s">
        <v>153</v>
      </c>
      <c r="Y103" s="23" t="s">
        <v>153</v>
      </c>
      <c r="Z103" s="23" t="s">
        <v>153</v>
      </c>
      <c r="AA103" s="24" t="s">
        <v>153</v>
      </c>
      <c r="AB103" s="24" t="s">
        <v>153</v>
      </c>
      <c r="AC103" s="23" t="s">
        <v>153</v>
      </c>
      <c r="AD103" s="23" t="s">
        <v>153</v>
      </c>
      <c r="AE103" s="23" t="s">
        <v>153</v>
      </c>
      <c r="AF103" s="23" t="s">
        <v>153</v>
      </c>
      <c r="AG103" s="23" t="s">
        <v>153</v>
      </c>
      <c r="AH103" s="24" t="s">
        <v>153</v>
      </c>
      <c r="AI103" s="24" t="s">
        <v>153</v>
      </c>
      <c r="AJ103" s="23" t="s">
        <v>153</v>
      </c>
      <c r="AK103" s="23" t="s">
        <v>153</v>
      </c>
      <c r="AL103" s="23" t="s">
        <v>153</v>
      </c>
      <c r="AM103" s="23" t="s">
        <v>153</v>
      </c>
      <c r="AN103" s="23" t="s">
        <v>153</v>
      </c>
      <c r="AO103" s="24" t="s">
        <v>153</v>
      </c>
      <c r="AP103" s="23">
        <f>VALUE(0)</f>
        <v>0</v>
      </c>
      <c r="AQ103" s="23">
        <f>VALUE(0)</f>
        <v>0</v>
      </c>
      <c r="AR103" s="23">
        <f>VALUE(0)</f>
        <v>0</v>
      </c>
      <c r="AS103" s="23">
        <f>VALUE(0)</f>
        <v>0</v>
      </c>
      <c r="AT103" s="23">
        <f>VALUE(0)</f>
        <v>0</v>
      </c>
      <c r="AU103" s="23">
        <f>VALUE(0)</f>
        <v>0</v>
      </c>
      <c r="AV103" s="23">
        <f>VALUE(4)</f>
        <v>4</v>
      </c>
      <c r="AW103" s="23">
        <f>VALUE(0)</f>
        <v>0</v>
      </c>
      <c r="AX103" s="23">
        <f>VALUE(0)</f>
        <v>0</v>
      </c>
      <c r="AY103" s="23">
        <f>VALUE(0)</f>
        <v>0</v>
      </c>
      <c r="AZ103" s="23">
        <f>VALUE(0)</f>
        <v>0</v>
      </c>
      <c r="BA103" s="23">
        <f>VALUE(0)</f>
        <v>0</v>
      </c>
      <c r="BB103" s="23">
        <f>VALUE(0)</f>
        <v>0</v>
      </c>
      <c r="BC103" s="23">
        <f>VALUE(0)</f>
        <v>0</v>
      </c>
      <c r="BD103" s="23">
        <f>VALUE(0)</f>
        <v>0</v>
      </c>
      <c r="BE103" s="23">
        <f>VALUE(0)</f>
        <v>0</v>
      </c>
      <c r="BF103" s="23">
        <f>VALUE(0)</f>
        <v>0</v>
      </c>
      <c r="BG103" s="23">
        <f>VALUE(0)</f>
        <v>0</v>
      </c>
      <c r="BH103" s="23">
        <f>VALUE(0)</f>
        <v>0</v>
      </c>
      <c r="BI103" s="23">
        <f>VALUE(0)</f>
        <v>0</v>
      </c>
      <c r="BJ103" s="23">
        <f>VALUE(0)</f>
        <v>0</v>
      </c>
      <c r="BK103" s="12">
        <f>$AX$103*24</f>
        <v>0</v>
      </c>
      <c r="BL103" s="12">
        <f>$AY$103*24</f>
        <v>0</v>
      </c>
      <c r="BM103" s="12">
        <f>$BJ$103*24</f>
        <v>0</v>
      </c>
      <c r="BN103" s="12">
        <f>VALUE($I$103)/100</f>
        <v>1</v>
      </c>
      <c r="BO103" s="12">
        <v>0</v>
      </c>
      <c r="BP103" s="12">
        <v>0</v>
      </c>
      <c r="BQ103" s="12">
        <v>0</v>
      </c>
      <c r="BR103" s="12">
        <v>0</v>
      </c>
      <c r="BS103" s="12">
        <v>0</v>
      </c>
      <c r="BT103" s="12">
        <v>0</v>
      </c>
      <c r="BU103" s="12">
        <v>0</v>
      </c>
      <c r="BV103" s="12">
        <v>0</v>
      </c>
      <c r="BW103" s="12">
        <v>0</v>
      </c>
      <c r="BX103" s="12">
        <v>0</v>
      </c>
      <c r="BY103" s="12">
        <v>0</v>
      </c>
      <c r="BZ103" s="12">
        <v>0</v>
      </c>
      <c r="CA103" s="12">
        <v>0</v>
      </c>
    </row>
    <row r="104" spans="1:79" hidden="1" x14ac:dyDescent="0.2">
      <c r="A104" s="12" t="s">
        <v>113</v>
      </c>
      <c r="B104" s="12" t="s">
        <v>115</v>
      </c>
      <c r="C104" s="12" t="s">
        <v>115</v>
      </c>
      <c r="D104" s="22" t="s">
        <v>339</v>
      </c>
      <c r="E104" s="22" t="s">
        <v>173</v>
      </c>
      <c r="F104" s="22" t="s">
        <v>1200</v>
      </c>
      <c r="G104" s="22" t="s">
        <v>751</v>
      </c>
      <c r="H104" s="22" t="s">
        <v>166</v>
      </c>
      <c r="I104" s="22" t="s">
        <v>151</v>
      </c>
      <c r="J104" s="22" t="s">
        <v>340</v>
      </c>
      <c r="K104" s="22" t="s">
        <v>75</v>
      </c>
      <c r="L104" s="54" t="s">
        <v>153</v>
      </c>
      <c r="M104" s="24" t="s">
        <v>153</v>
      </c>
      <c r="N104" s="24" t="s">
        <v>153</v>
      </c>
      <c r="O104" s="23" t="s">
        <v>153</v>
      </c>
      <c r="P104" s="23" t="s">
        <v>153</v>
      </c>
      <c r="Q104" s="23" t="s">
        <v>153</v>
      </c>
      <c r="R104" s="23" t="s">
        <v>153</v>
      </c>
      <c r="S104" s="23" t="s">
        <v>153</v>
      </c>
      <c r="T104" s="24" t="s">
        <v>153</v>
      </c>
      <c r="U104" s="24" t="s">
        <v>153</v>
      </c>
      <c r="V104" s="54" t="s">
        <v>153</v>
      </c>
      <c r="W104" s="23" t="s">
        <v>153</v>
      </c>
      <c r="X104" s="23" t="s">
        <v>153</v>
      </c>
      <c r="Y104" s="23" t="s">
        <v>153</v>
      </c>
      <c r="Z104" s="23" t="s">
        <v>153</v>
      </c>
      <c r="AA104" s="24" t="s">
        <v>153</v>
      </c>
      <c r="AB104" s="24" t="s">
        <v>153</v>
      </c>
      <c r="AC104" s="23" t="s">
        <v>153</v>
      </c>
      <c r="AD104" s="23" t="s">
        <v>153</v>
      </c>
      <c r="AE104" s="23" t="s">
        <v>153</v>
      </c>
      <c r="AF104" s="23" t="s">
        <v>153</v>
      </c>
      <c r="AG104" s="23" t="s">
        <v>153</v>
      </c>
      <c r="AH104" s="24" t="s">
        <v>153</v>
      </c>
      <c r="AI104" s="24" t="s">
        <v>153</v>
      </c>
      <c r="AJ104" s="23" t="s">
        <v>153</v>
      </c>
      <c r="AK104" s="23" t="s">
        <v>153</v>
      </c>
      <c r="AL104" s="23" t="s">
        <v>153</v>
      </c>
      <c r="AM104" s="23" t="s">
        <v>153</v>
      </c>
      <c r="AN104" s="23" t="s">
        <v>153</v>
      </c>
      <c r="AO104" s="24" t="s">
        <v>153</v>
      </c>
      <c r="AP104" s="23">
        <f>VALUE(0)</f>
        <v>0</v>
      </c>
      <c r="AQ104" s="23">
        <f>VALUE(0)</f>
        <v>0</v>
      </c>
      <c r="AR104" s="23">
        <f>VALUE(0)</f>
        <v>0</v>
      </c>
      <c r="AS104" s="23">
        <f>VALUE(0)</f>
        <v>0</v>
      </c>
      <c r="AT104" s="23">
        <f>VALUE(0)</f>
        <v>0</v>
      </c>
      <c r="AU104" s="23">
        <f>VALUE(0)</f>
        <v>0</v>
      </c>
      <c r="AV104" s="23">
        <f>VALUE(6)</f>
        <v>6</v>
      </c>
      <c r="AW104" s="23">
        <f>VALUE(0)</f>
        <v>0</v>
      </c>
      <c r="AX104" s="23" t="s">
        <v>341</v>
      </c>
      <c r="AY104" s="23">
        <f>VALUE(0)</f>
        <v>0</v>
      </c>
      <c r="AZ104" s="23">
        <f>VALUE(0)</f>
        <v>0</v>
      </c>
      <c r="BA104" s="23">
        <f>VALUE(0)</f>
        <v>0</v>
      </c>
      <c r="BB104" s="23">
        <f>VALUE(0)</f>
        <v>0</v>
      </c>
      <c r="BC104" s="23">
        <f>VALUE(0)</f>
        <v>0</v>
      </c>
      <c r="BD104" s="23">
        <f>VALUE(0)</f>
        <v>0</v>
      </c>
      <c r="BE104" s="23">
        <f>VALUE(0)</f>
        <v>0</v>
      </c>
      <c r="BF104" s="23">
        <f>VALUE(0)</f>
        <v>0</v>
      </c>
      <c r="BG104" s="23">
        <f>VALUE(0)</f>
        <v>0</v>
      </c>
      <c r="BH104" s="23">
        <f>VALUE(0)</f>
        <v>0</v>
      </c>
      <c r="BI104" s="23">
        <f>VALUE(0)</f>
        <v>0</v>
      </c>
      <c r="BJ104" s="23">
        <f>VALUE(0)</f>
        <v>0</v>
      </c>
      <c r="BK104" s="12">
        <f>$AX$104*24</f>
        <v>0.78333333333333344</v>
      </c>
      <c r="BL104" s="12">
        <f>$AY$104*24</f>
        <v>0</v>
      </c>
      <c r="BM104" s="12">
        <f>$BJ$104*24</f>
        <v>0</v>
      </c>
      <c r="BN104" s="12">
        <f>VALUE($I$104)/100</f>
        <v>1</v>
      </c>
      <c r="BO104" s="12">
        <v>0</v>
      </c>
      <c r="BP104" s="12">
        <v>0</v>
      </c>
      <c r="BQ104" s="12">
        <v>0</v>
      </c>
      <c r="BR104" s="12">
        <v>0</v>
      </c>
      <c r="BS104" s="12">
        <v>0</v>
      </c>
      <c r="BT104" s="12">
        <v>0</v>
      </c>
      <c r="BU104" s="12">
        <v>0</v>
      </c>
      <c r="BV104" s="12">
        <v>0</v>
      </c>
      <c r="BW104" s="12">
        <v>0</v>
      </c>
      <c r="BX104" s="12">
        <v>0</v>
      </c>
      <c r="BY104" s="12">
        <v>0</v>
      </c>
      <c r="BZ104" s="12">
        <v>0</v>
      </c>
      <c r="CA104" s="12">
        <v>0</v>
      </c>
    </row>
    <row r="105" spans="1:79" ht="15" hidden="1" x14ac:dyDescent="0.25">
      <c r="A105" s="12" t="s">
        <v>113</v>
      </c>
      <c r="B105" s="12" t="s">
        <v>115</v>
      </c>
      <c r="C105" s="12" t="s">
        <v>115</v>
      </c>
      <c r="D105" s="31" t="s">
        <v>246</v>
      </c>
      <c r="E105" s="31" t="s">
        <v>153</v>
      </c>
      <c r="F105" s="31" t="s">
        <v>175</v>
      </c>
      <c r="G105" s="31" t="s">
        <v>153</v>
      </c>
      <c r="H105" s="31" t="s">
        <v>153</v>
      </c>
      <c r="I105" s="31" t="s">
        <v>153</v>
      </c>
      <c r="J105" s="31" t="s">
        <v>153</v>
      </c>
      <c r="K105" s="31" t="s">
        <v>153</v>
      </c>
      <c r="L105" s="31">
        <f>VALUE(0)</f>
        <v>0</v>
      </c>
      <c r="M105" s="31">
        <f>VALUE(0)</f>
        <v>0</v>
      </c>
      <c r="N105" s="31">
        <f>VALUE(0)</f>
        <v>0</v>
      </c>
      <c r="O105" s="31">
        <f>VALUE(2)</f>
        <v>2</v>
      </c>
      <c r="P105" s="31">
        <f>VALUE(2)</f>
        <v>2</v>
      </c>
      <c r="Q105" s="31">
        <f>VALUE(2)</f>
        <v>2</v>
      </c>
      <c r="R105" s="31">
        <f>VALUE(2)</f>
        <v>2</v>
      </c>
      <c r="S105" s="31">
        <f>VALUE(2)</f>
        <v>2</v>
      </c>
      <c r="T105" s="31">
        <f>VALUE(0)</f>
        <v>0</v>
      </c>
      <c r="U105" s="31">
        <f>VALUE(0)</f>
        <v>0</v>
      </c>
      <c r="V105" s="31">
        <f>VALUE(0)</f>
        <v>0</v>
      </c>
      <c r="W105" s="31">
        <f>VALUE(2)</f>
        <v>2</v>
      </c>
      <c r="X105" s="31">
        <f>VALUE(2)</f>
        <v>2</v>
      </c>
      <c r="Y105" s="31">
        <f>VALUE(2)</f>
        <v>2</v>
      </c>
      <c r="Z105" s="31">
        <f>VALUE(2)</f>
        <v>2</v>
      </c>
      <c r="AA105" s="31">
        <f>VALUE(0)</f>
        <v>0</v>
      </c>
      <c r="AB105" s="31">
        <f>VALUE(0)</f>
        <v>0</v>
      </c>
      <c r="AC105" s="31">
        <f>VALUE(2)</f>
        <v>2</v>
      </c>
      <c r="AD105" s="31">
        <f>VALUE(2)</f>
        <v>2</v>
      </c>
      <c r="AE105" s="31">
        <f>VALUE(2)</f>
        <v>2</v>
      </c>
      <c r="AF105" s="31">
        <f>VALUE(2)</f>
        <v>2</v>
      </c>
      <c r="AG105" s="31">
        <f>VALUE(2)</f>
        <v>2</v>
      </c>
      <c r="AH105" s="31">
        <f>VALUE(0)</f>
        <v>0</v>
      </c>
      <c r="AI105" s="31">
        <f>VALUE(0)</f>
        <v>0</v>
      </c>
      <c r="AJ105" s="31">
        <f>VALUE(2)</f>
        <v>2</v>
      </c>
      <c r="AK105" s="31">
        <f>VALUE(2)</f>
        <v>2</v>
      </c>
      <c r="AL105" s="31">
        <f>VALUE(2)</f>
        <v>2</v>
      </c>
      <c r="AM105" s="31">
        <f>VALUE(2)</f>
        <v>2</v>
      </c>
      <c r="AN105" s="31">
        <f>VALUE(2)</f>
        <v>2</v>
      </c>
      <c r="AO105" s="31">
        <f>VALUE(0)</f>
        <v>0</v>
      </c>
      <c r="AP105" s="31">
        <v>0</v>
      </c>
      <c r="AQ105" s="31">
        <v>0</v>
      </c>
      <c r="AR105" s="31">
        <v>0</v>
      </c>
      <c r="AS105" s="31">
        <v>0</v>
      </c>
      <c r="AT105" s="31">
        <v>0</v>
      </c>
      <c r="AU105" s="31">
        <v>0</v>
      </c>
      <c r="AV105" s="31">
        <v>0</v>
      </c>
      <c r="AW105" s="31">
        <v>0</v>
      </c>
      <c r="AX105" s="31">
        <v>0</v>
      </c>
      <c r="AY105" s="31">
        <v>0</v>
      </c>
      <c r="AZ105" s="31">
        <v>0</v>
      </c>
      <c r="BA105" s="31">
        <v>0</v>
      </c>
      <c r="BB105" s="31">
        <v>0</v>
      </c>
      <c r="BC105" s="31">
        <v>0</v>
      </c>
      <c r="BD105" s="31">
        <v>0</v>
      </c>
      <c r="BE105" s="31">
        <v>0</v>
      </c>
      <c r="BF105" s="31">
        <v>0</v>
      </c>
      <c r="BG105" s="31">
        <v>0</v>
      </c>
      <c r="BH105" s="31">
        <v>0</v>
      </c>
      <c r="BI105" s="31">
        <v>0</v>
      </c>
      <c r="BJ105" s="31">
        <v>0</v>
      </c>
      <c r="BK105" s="12">
        <v>0</v>
      </c>
      <c r="BL105" s="12">
        <v>0</v>
      </c>
      <c r="BM105" s="12">
        <v>0</v>
      </c>
      <c r="BN105" s="12"/>
      <c r="BO105" s="12">
        <v>0</v>
      </c>
      <c r="BP105" s="12">
        <v>0</v>
      </c>
      <c r="BQ105" s="12">
        <v>0</v>
      </c>
      <c r="BR105" s="12">
        <v>0</v>
      </c>
      <c r="BS105" s="12">
        <v>0</v>
      </c>
      <c r="BT105" s="12">
        <v>0</v>
      </c>
      <c r="BU105" s="12">
        <v>0</v>
      </c>
      <c r="BV105" s="12">
        <v>0</v>
      </c>
      <c r="BW105" s="12">
        <v>0</v>
      </c>
      <c r="BX105" s="12">
        <v>0</v>
      </c>
      <c r="BY105" s="12">
        <v>0</v>
      </c>
      <c r="BZ105" s="12">
        <v>0</v>
      </c>
      <c r="CA105" s="12">
        <v>0</v>
      </c>
    </row>
    <row r="106" spans="1:79" hidden="1" x14ac:dyDescent="0.2">
      <c r="A106" s="12" t="s">
        <v>113</v>
      </c>
      <c r="B106" s="12" t="s">
        <v>116</v>
      </c>
      <c r="C106" s="12" t="s">
        <v>116</v>
      </c>
      <c r="D106" s="22" t="s">
        <v>342</v>
      </c>
      <c r="E106" s="22" t="s">
        <v>173</v>
      </c>
      <c r="F106" s="22" t="s">
        <v>752</v>
      </c>
      <c r="G106" s="22" t="s">
        <v>753</v>
      </c>
      <c r="H106" s="22" t="s">
        <v>166</v>
      </c>
      <c r="I106" s="22" t="s">
        <v>343</v>
      </c>
      <c r="J106" s="22" t="s">
        <v>344</v>
      </c>
      <c r="K106" s="22" t="s">
        <v>76</v>
      </c>
      <c r="L106" s="54" t="s">
        <v>153</v>
      </c>
      <c r="M106" s="24" t="s">
        <v>153</v>
      </c>
      <c r="N106" s="24" t="s">
        <v>153</v>
      </c>
      <c r="O106" s="23" t="s">
        <v>153</v>
      </c>
      <c r="P106" s="23" t="s">
        <v>153</v>
      </c>
      <c r="Q106" s="23" t="s">
        <v>153</v>
      </c>
      <c r="R106" s="23" t="s">
        <v>153</v>
      </c>
      <c r="S106" s="23" t="s">
        <v>153</v>
      </c>
      <c r="T106" s="24" t="s">
        <v>153</v>
      </c>
      <c r="U106" s="24" t="s">
        <v>153</v>
      </c>
      <c r="V106" s="54" t="s">
        <v>156</v>
      </c>
      <c r="W106" s="23" t="s">
        <v>153</v>
      </c>
      <c r="X106" s="23" t="s">
        <v>153</v>
      </c>
      <c r="Y106" s="23" t="s">
        <v>153</v>
      </c>
      <c r="Z106" s="23" t="s">
        <v>153</v>
      </c>
      <c r="AA106" s="24" t="s">
        <v>153</v>
      </c>
      <c r="AB106" s="24" t="s">
        <v>153</v>
      </c>
      <c r="AC106" s="23" t="s">
        <v>153</v>
      </c>
      <c r="AD106" s="23" t="s">
        <v>153</v>
      </c>
      <c r="AE106" s="23" t="s">
        <v>153</v>
      </c>
      <c r="AF106" s="23" t="s">
        <v>153</v>
      </c>
      <c r="AG106" s="23" t="s">
        <v>153</v>
      </c>
      <c r="AH106" s="24" t="s">
        <v>153</v>
      </c>
      <c r="AI106" s="24" t="s">
        <v>153</v>
      </c>
      <c r="AJ106" s="24" t="s">
        <v>156</v>
      </c>
      <c r="AK106" s="23" t="s">
        <v>153</v>
      </c>
      <c r="AL106" s="23" t="s">
        <v>153</v>
      </c>
      <c r="AM106" s="23" t="s">
        <v>153</v>
      </c>
      <c r="AN106" s="23" t="s">
        <v>153</v>
      </c>
      <c r="AO106" s="24" t="s">
        <v>153</v>
      </c>
      <c r="AP106" s="23">
        <f>VALUE(0)</f>
        <v>0</v>
      </c>
      <c r="AQ106" s="23">
        <f>VALUE(0)</f>
        <v>0</v>
      </c>
      <c r="AR106" s="23">
        <f>VALUE(0)</f>
        <v>0</v>
      </c>
      <c r="AS106" s="23">
        <f>VALUE(0)</f>
        <v>0</v>
      </c>
      <c r="AT106" s="23">
        <f>VALUE(0)</f>
        <v>0</v>
      </c>
      <c r="AU106" s="23">
        <f>VALUE(0)</f>
        <v>0</v>
      </c>
      <c r="AV106" s="23">
        <f>VALUE(13)</f>
        <v>13</v>
      </c>
      <c r="AW106" s="23">
        <f>VALUE(0)</f>
        <v>0</v>
      </c>
      <c r="AX106" s="23" t="s">
        <v>1201</v>
      </c>
      <c r="AY106" s="23">
        <f>VALUE(0)</f>
        <v>0</v>
      </c>
      <c r="AZ106" s="23">
        <f>VALUE(0)</f>
        <v>0</v>
      </c>
      <c r="BA106" s="23">
        <f>VALUE(0)</f>
        <v>0</v>
      </c>
      <c r="BB106" s="23">
        <f>VALUE(0)</f>
        <v>0</v>
      </c>
      <c r="BC106" s="23">
        <f>VALUE(0)</f>
        <v>0</v>
      </c>
      <c r="BD106" s="23">
        <f>VALUE(0)</f>
        <v>0</v>
      </c>
      <c r="BE106" s="23">
        <f>VALUE(0)</f>
        <v>0</v>
      </c>
      <c r="BF106" s="23">
        <f>VALUE(0)</f>
        <v>0</v>
      </c>
      <c r="BG106" s="23">
        <f>VALUE(0)</f>
        <v>0</v>
      </c>
      <c r="BH106" s="23">
        <f>VALUE(0)</f>
        <v>0</v>
      </c>
      <c r="BI106" s="23">
        <f>VALUE(0)</f>
        <v>0</v>
      </c>
      <c r="BJ106" s="23">
        <f>VALUE(0)</f>
        <v>0</v>
      </c>
      <c r="BK106" s="12">
        <f>$AX$106*24</f>
        <v>77.566666666666663</v>
      </c>
      <c r="BL106" s="12">
        <f>$AY$106*24</f>
        <v>0</v>
      </c>
      <c r="BM106" s="12">
        <f>$BJ$106*24</f>
        <v>0</v>
      </c>
      <c r="BN106" s="12">
        <f>VALUE($I$106)/100</f>
        <v>0.7</v>
      </c>
      <c r="BO106" s="12">
        <v>0</v>
      </c>
      <c r="BP106" s="12">
        <v>0</v>
      </c>
      <c r="BQ106" s="12">
        <v>0</v>
      </c>
      <c r="BR106" s="12">
        <v>0</v>
      </c>
      <c r="BS106" s="12">
        <v>0</v>
      </c>
      <c r="BT106" s="12">
        <v>0</v>
      </c>
      <c r="BU106" s="12">
        <v>0</v>
      </c>
      <c r="BV106" s="12">
        <v>0</v>
      </c>
      <c r="BW106" s="12">
        <v>0</v>
      </c>
      <c r="BX106" s="12">
        <v>0</v>
      </c>
      <c r="BY106" s="12">
        <v>0</v>
      </c>
      <c r="BZ106" s="12">
        <v>0</v>
      </c>
      <c r="CA106" s="12">
        <v>0</v>
      </c>
    </row>
    <row r="107" spans="1:79" hidden="1" x14ac:dyDescent="0.2">
      <c r="A107" s="12" t="s">
        <v>113</v>
      </c>
      <c r="B107" s="12" t="s">
        <v>116</v>
      </c>
      <c r="C107" s="12" t="s">
        <v>116</v>
      </c>
      <c r="D107" s="22" t="s">
        <v>1202</v>
      </c>
      <c r="E107" s="22" t="s">
        <v>173</v>
      </c>
      <c r="F107" s="22" t="s">
        <v>754</v>
      </c>
      <c r="G107" s="22" t="s">
        <v>755</v>
      </c>
      <c r="H107" s="22" t="s">
        <v>190</v>
      </c>
      <c r="I107" s="22" t="s">
        <v>151</v>
      </c>
      <c r="J107" s="22" t="s">
        <v>1203</v>
      </c>
      <c r="K107" s="22" t="s">
        <v>76</v>
      </c>
      <c r="L107" s="54" t="s">
        <v>153</v>
      </c>
      <c r="M107" s="23" t="s">
        <v>153</v>
      </c>
      <c r="N107" s="24" t="s">
        <v>153</v>
      </c>
      <c r="O107" s="23" t="s">
        <v>153</v>
      </c>
      <c r="P107" s="28" t="s">
        <v>163</v>
      </c>
      <c r="Q107" s="28" t="s">
        <v>163</v>
      </c>
      <c r="R107" s="23" t="s">
        <v>153</v>
      </c>
      <c r="S107" s="23" t="s">
        <v>153</v>
      </c>
      <c r="T107" s="23" t="s">
        <v>153</v>
      </c>
      <c r="U107" s="24" t="s">
        <v>153</v>
      </c>
      <c r="V107" s="54" t="s">
        <v>153</v>
      </c>
      <c r="W107" s="28" t="s">
        <v>163</v>
      </c>
      <c r="X107" s="28" t="s">
        <v>163</v>
      </c>
      <c r="Y107" s="23" t="s">
        <v>153</v>
      </c>
      <c r="Z107" s="23" t="s">
        <v>153</v>
      </c>
      <c r="AA107" s="23" t="s">
        <v>153</v>
      </c>
      <c r="AB107" s="24" t="s">
        <v>153</v>
      </c>
      <c r="AC107" s="23" t="s">
        <v>153</v>
      </c>
      <c r="AD107" s="28" t="s">
        <v>163</v>
      </c>
      <c r="AE107" s="28" t="s">
        <v>163</v>
      </c>
      <c r="AF107" s="23" t="s">
        <v>153</v>
      </c>
      <c r="AG107" s="23" t="s">
        <v>153</v>
      </c>
      <c r="AH107" s="23" t="s">
        <v>153</v>
      </c>
      <c r="AI107" s="24" t="s">
        <v>153</v>
      </c>
      <c r="AJ107" s="23" t="s">
        <v>153</v>
      </c>
      <c r="AK107" s="28" t="s">
        <v>163</v>
      </c>
      <c r="AL107" s="28" t="s">
        <v>163</v>
      </c>
      <c r="AM107" s="23" t="s">
        <v>153</v>
      </c>
      <c r="AN107" s="35" t="s">
        <v>170</v>
      </c>
      <c r="AO107" s="23" t="s">
        <v>153</v>
      </c>
      <c r="AP107" s="23">
        <f>VALUE(0)</f>
        <v>0</v>
      </c>
      <c r="AQ107" s="23">
        <f>VALUE(0)</f>
        <v>0</v>
      </c>
      <c r="AR107" s="23">
        <f>VALUE(0)</f>
        <v>0</v>
      </c>
      <c r="AS107" s="23">
        <f>VALUE(0)</f>
        <v>0</v>
      </c>
      <c r="AT107" s="23">
        <f>VALUE(0)</f>
        <v>0</v>
      </c>
      <c r="AU107" s="23">
        <f>VALUE(8)</f>
        <v>8</v>
      </c>
      <c r="AV107" s="23">
        <f>VALUE(0)</f>
        <v>0</v>
      </c>
      <c r="AW107" s="23">
        <f>VALUE(0)</f>
        <v>0</v>
      </c>
      <c r="AX107" s="23" t="s">
        <v>345</v>
      </c>
      <c r="AY107" s="23">
        <f>VALUE(0)</f>
        <v>0</v>
      </c>
      <c r="AZ107" s="23">
        <f>VALUE(0)</f>
        <v>0</v>
      </c>
      <c r="BA107" s="23">
        <f>VALUE(0)</f>
        <v>0</v>
      </c>
      <c r="BB107" s="23">
        <f>VALUE(0)</f>
        <v>0</v>
      </c>
      <c r="BC107" s="23">
        <f>VALUE(0)</f>
        <v>0</v>
      </c>
      <c r="BD107" s="23">
        <f>VALUE(0)</f>
        <v>0</v>
      </c>
      <c r="BE107" s="23">
        <f>VALUE(1)</f>
        <v>1</v>
      </c>
      <c r="BF107" s="23">
        <f>VALUE(0)</f>
        <v>0</v>
      </c>
      <c r="BG107" s="23">
        <f>VALUE(0)</f>
        <v>0</v>
      </c>
      <c r="BH107" s="23">
        <f>VALUE(0)</f>
        <v>0</v>
      </c>
      <c r="BI107" s="23">
        <f>VALUE(0)</f>
        <v>0</v>
      </c>
      <c r="BJ107" s="23">
        <f>VALUE(0)</f>
        <v>0</v>
      </c>
      <c r="BK107" s="12">
        <f>$AX$107*24</f>
        <v>0.25</v>
      </c>
      <c r="BL107" s="12">
        <f>$AY$107*24</f>
        <v>0</v>
      </c>
      <c r="BM107" s="12">
        <f>$BJ$107*24</f>
        <v>0</v>
      </c>
      <c r="BN107" s="12">
        <f>VALUE($I$107)/100</f>
        <v>1</v>
      </c>
      <c r="BO107" s="12">
        <v>0</v>
      </c>
      <c r="BP107" s="12">
        <v>0</v>
      </c>
      <c r="BQ107" s="12">
        <v>0</v>
      </c>
      <c r="BR107" s="12">
        <v>0</v>
      </c>
      <c r="BS107" s="12">
        <v>0</v>
      </c>
      <c r="BT107" s="12">
        <v>0</v>
      </c>
      <c r="BU107" s="12">
        <v>0</v>
      </c>
      <c r="BV107" s="12">
        <v>0</v>
      </c>
      <c r="BW107" s="12">
        <v>0</v>
      </c>
      <c r="BX107" s="12">
        <v>0</v>
      </c>
      <c r="BY107" s="12">
        <v>0</v>
      </c>
      <c r="BZ107" s="12">
        <v>0</v>
      </c>
      <c r="CA107" s="12">
        <v>0</v>
      </c>
    </row>
    <row r="108" spans="1:79" ht="15" hidden="1" x14ac:dyDescent="0.25">
      <c r="A108" s="12" t="s">
        <v>113</v>
      </c>
      <c r="B108" s="12" t="s">
        <v>116</v>
      </c>
      <c r="C108" s="12" t="s">
        <v>116</v>
      </c>
      <c r="D108" s="31" t="s">
        <v>246</v>
      </c>
      <c r="E108" s="31" t="s">
        <v>153</v>
      </c>
      <c r="F108" s="31" t="s">
        <v>175</v>
      </c>
      <c r="G108" s="31" t="s">
        <v>153</v>
      </c>
      <c r="H108" s="31" t="s">
        <v>153</v>
      </c>
      <c r="I108" s="31" t="s">
        <v>153</v>
      </c>
      <c r="J108" s="31" t="s">
        <v>153</v>
      </c>
      <c r="K108" s="31" t="s">
        <v>153</v>
      </c>
      <c r="L108" s="31">
        <f>VALUE(0)</f>
        <v>0</v>
      </c>
      <c r="M108" s="31">
        <f>VALUE(1)</f>
        <v>1</v>
      </c>
      <c r="N108" s="31">
        <f>VALUE(0)</f>
        <v>0</v>
      </c>
      <c r="O108" s="31">
        <f>VALUE(2)</f>
        <v>2</v>
      </c>
      <c r="P108" s="31">
        <f>VALUE(1)</f>
        <v>1</v>
      </c>
      <c r="Q108" s="31">
        <f>VALUE(1)</f>
        <v>1</v>
      </c>
      <c r="R108" s="31">
        <f>VALUE(2)</f>
        <v>2</v>
      </c>
      <c r="S108" s="31">
        <f>VALUE(2)</f>
        <v>2</v>
      </c>
      <c r="T108" s="31">
        <f>VALUE(1)</f>
        <v>1</v>
      </c>
      <c r="U108" s="31">
        <f>VALUE(0)</f>
        <v>0</v>
      </c>
      <c r="V108" s="31">
        <f>VALUE(0)</f>
        <v>0</v>
      </c>
      <c r="W108" s="31">
        <f>VALUE(1)</f>
        <v>1</v>
      </c>
      <c r="X108" s="31">
        <f>VALUE(1)</f>
        <v>1</v>
      </c>
      <c r="Y108" s="31">
        <f>VALUE(2)</f>
        <v>2</v>
      </c>
      <c r="Z108" s="31">
        <f>VALUE(2)</f>
        <v>2</v>
      </c>
      <c r="AA108" s="31">
        <f>VALUE(1)</f>
        <v>1</v>
      </c>
      <c r="AB108" s="31">
        <f>VALUE(0)</f>
        <v>0</v>
      </c>
      <c r="AC108" s="31">
        <f>VALUE(2)</f>
        <v>2</v>
      </c>
      <c r="AD108" s="31">
        <f>VALUE(1)</f>
        <v>1</v>
      </c>
      <c r="AE108" s="31">
        <f>VALUE(1)</f>
        <v>1</v>
      </c>
      <c r="AF108" s="31">
        <f>VALUE(2)</f>
        <v>2</v>
      </c>
      <c r="AG108" s="31">
        <f>VALUE(2)</f>
        <v>2</v>
      </c>
      <c r="AH108" s="31">
        <f>VALUE(1)</f>
        <v>1</v>
      </c>
      <c r="AI108" s="31">
        <f>VALUE(0)</f>
        <v>0</v>
      </c>
      <c r="AJ108" s="31">
        <f>VALUE(1)</f>
        <v>1</v>
      </c>
      <c r="AK108" s="31">
        <f>VALUE(1)</f>
        <v>1</v>
      </c>
      <c r="AL108" s="31">
        <f>VALUE(1)</f>
        <v>1</v>
      </c>
      <c r="AM108" s="31">
        <f>VALUE(2)</f>
        <v>2</v>
      </c>
      <c r="AN108" s="31">
        <f>VALUE(1)</f>
        <v>1</v>
      </c>
      <c r="AO108" s="31">
        <f>VALUE(1)</f>
        <v>1</v>
      </c>
      <c r="AP108" s="31">
        <v>0</v>
      </c>
      <c r="AQ108" s="31">
        <v>0</v>
      </c>
      <c r="AR108" s="31">
        <v>0</v>
      </c>
      <c r="AS108" s="31">
        <v>0</v>
      </c>
      <c r="AT108" s="31">
        <v>0</v>
      </c>
      <c r="AU108" s="31">
        <v>0</v>
      </c>
      <c r="AV108" s="31">
        <v>0</v>
      </c>
      <c r="AW108" s="31">
        <v>0</v>
      </c>
      <c r="AX108" s="31">
        <v>0</v>
      </c>
      <c r="AY108" s="31">
        <v>0</v>
      </c>
      <c r="AZ108" s="31">
        <v>0</v>
      </c>
      <c r="BA108" s="31">
        <v>0</v>
      </c>
      <c r="BB108" s="31">
        <v>0</v>
      </c>
      <c r="BC108" s="31">
        <v>0</v>
      </c>
      <c r="BD108" s="31">
        <v>0</v>
      </c>
      <c r="BE108" s="31">
        <v>0</v>
      </c>
      <c r="BF108" s="31">
        <v>0</v>
      </c>
      <c r="BG108" s="31">
        <v>0</v>
      </c>
      <c r="BH108" s="31">
        <v>0</v>
      </c>
      <c r="BI108" s="31">
        <v>0</v>
      </c>
      <c r="BJ108" s="31">
        <v>0</v>
      </c>
      <c r="BK108" s="12">
        <v>0</v>
      </c>
      <c r="BL108" s="12">
        <v>0</v>
      </c>
      <c r="BM108" s="12">
        <v>0</v>
      </c>
      <c r="BN108" s="12"/>
      <c r="BO108" s="12">
        <v>0</v>
      </c>
      <c r="BP108" s="12">
        <v>0</v>
      </c>
      <c r="BQ108" s="12">
        <v>0</v>
      </c>
      <c r="BR108" s="12">
        <v>0</v>
      </c>
      <c r="BS108" s="12">
        <v>0</v>
      </c>
      <c r="BT108" s="12">
        <v>0</v>
      </c>
      <c r="BU108" s="12">
        <v>0</v>
      </c>
      <c r="BV108" s="12">
        <v>0</v>
      </c>
      <c r="BW108" s="12">
        <v>0</v>
      </c>
      <c r="BX108" s="12">
        <v>0</v>
      </c>
      <c r="BY108" s="12">
        <v>0</v>
      </c>
      <c r="BZ108" s="12">
        <v>0</v>
      </c>
      <c r="CA108" s="12">
        <v>0</v>
      </c>
    </row>
    <row r="109" spans="1:79" hidden="1" x14ac:dyDescent="0.2">
      <c r="A109" s="12" t="s">
        <v>113</v>
      </c>
      <c r="B109" s="12" t="s">
        <v>117</v>
      </c>
      <c r="C109" s="12" t="s">
        <v>117</v>
      </c>
      <c r="D109" s="22" t="s">
        <v>346</v>
      </c>
      <c r="E109" s="22" t="s">
        <v>149</v>
      </c>
      <c r="F109" s="22" t="s">
        <v>756</v>
      </c>
      <c r="G109" s="22" t="s">
        <v>757</v>
      </c>
      <c r="H109" s="22" t="s">
        <v>166</v>
      </c>
      <c r="I109" s="22" t="s">
        <v>151</v>
      </c>
      <c r="J109" s="22" t="s">
        <v>347</v>
      </c>
      <c r="K109" s="22" t="s">
        <v>77</v>
      </c>
      <c r="L109" s="54" t="s">
        <v>153</v>
      </c>
      <c r="M109" s="24" t="s">
        <v>153</v>
      </c>
      <c r="N109" s="24" t="s">
        <v>153</v>
      </c>
      <c r="O109" s="23" t="s">
        <v>153</v>
      </c>
      <c r="P109" s="23" t="s">
        <v>153</v>
      </c>
      <c r="Q109" s="23" t="s">
        <v>153</v>
      </c>
      <c r="R109" s="23" t="s">
        <v>153</v>
      </c>
      <c r="S109" s="23" t="s">
        <v>153</v>
      </c>
      <c r="T109" s="24" t="s">
        <v>153</v>
      </c>
      <c r="U109" s="24" t="s">
        <v>153</v>
      </c>
      <c r="V109" s="54" t="s">
        <v>153</v>
      </c>
      <c r="W109" s="23" t="s">
        <v>153</v>
      </c>
      <c r="X109" s="24" t="s">
        <v>156</v>
      </c>
      <c r="Y109" s="23" t="s">
        <v>153</v>
      </c>
      <c r="Z109" s="23" t="s">
        <v>153</v>
      </c>
      <c r="AA109" s="24" t="s">
        <v>153</v>
      </c>
      <c r="AB109" s="24" t="s">
        <v>153</v>
      </c>
      <c r="AC109" s="23" t="s">
        <v>153</v>
      </c>
      <c r="AD109" s="23" t="s">
        <v>153</v>
      </c>
      <c r="AE109" s="23" t="s">
        <v>153</v>
      </c>
      <c r="AF109" s="23" t="s">
        <v>153</v>
      </c>
      <c r="AG109" s="23" t="s">
        <v>153</v>
      </c>
      <c r="AH109" s="24" t="s">
        <v>153</v>
      </c>
      <c r="AI109" s="24" t="s">
        <v>153</v>
      </c>
      <c r="AJ109" s="23" t="s">
        <v>153</v>
      </c>
      <c r="AK109" s="23" t="s">
        <v>153</v>
      </c>
      <c r="AL109" s="24" t="s">
        <v>156</v>
      </c>
      <c r="AM109" s="23" t="s">
        <v>153</v>
      </c>
      <c r="AN109" s="23" t="s">
        <v>153</v>
      </c>
      <c r="AO109" s="24" t="s">
        <v>153</v>
      </c>
      <c r="AP109" s="23">
        <f>VALUE(0)</f>
        <v>0</v>
      </c>
      <c r="AQ109" s="23">
        <f>VALUE(0)</f>
        <v>0</v>
      </c>
      <c r="AR109" s="23">
        <f>VALUE(0)</f>
        <v>0</v>
      </c>
      <c r="AS109" s="23">
        <f>VALUE(0)</f>
        <v>0</v>
      </c>
      <c r="AT109" s="23">
        <f>VALUE(0)</f>
        <v>0</v>
      </c>
      <c r="AU109" s="23">
        <f>VALUE(0)</f>
        <v>0</v>
      </c>
      <c r="AV109" s="23">
        <f>VALUE(8)</f>
        <v>8</v>
      </c>
      <c r="AW109" s="23">
        <f>VALUE(0)</f>
        <v>0</v>
      </c>
      <c r="AX109" s="23" t="s">
        <v>1204</v>
      </c>
      <c r="AY109" s="23">
        <f>VALUE(0)</f>
        <v>0</v>
      </c>
      <c r="AZ109" s="23">
        <f>VALUE(0)</f>
        <v>0</v>
      </c>
      <c r="BA109" s="23">
        <f>VALUE(0)</f>
        <v>0</v>
      </c>
      <c r="BB109" s="23">
        <f>VALUE(0)</f>
        <v>0</v>
      </c>
      <c r="BC109" s="23">
        <f>VALUE(0)</f>
        <v>0</v>
      </c>
      <c r="BD109" s="23">
        <f>VALUE(0)</f>
        <v>0</v>
      </c>
      <c r="BE109" s="23">
        <f>VALUE(0)</f>
        <v>0</v>
      </c>
      <c r="BF109" s="23">
        <f>VALUE(0)</f>
        <v>0</v>
      </c>
      <c r="BG109" s="23">
        <f>VALUE(0)</f>
        <v>0</v>
      </c>
      <c r="BH109" s="23">
        <f>VALUE(0)</f>
        <v>0</v>
      </c>
      <c r="BI109" s="23">
        <f>VALUE(0)</f>
        <v>0</v>
      </c>
      <c r="BJ109" s="23">
        <f>VALUE(0)</f>
        <v>0</v>
      </c>
      <c r="BK109" s="12">
        <f>$AX$109*24</f>
        <v>4.8666666666666671</v>
      </c>
      <c r="BL109" s="12">
        <f>$AY$109*24</f>
        <v>0</v>
      </c>
      <c r="BM109" s="12">
        <f>$BJ$109*24</f>
        <v>0</v>
      </c>
      <c r="BN109" s="12">
        <f>VALUE($I$109)/100</f>
        <v>1</v>
      </c>
      <c r="BO109" s="12">
        <v>0</v>
      </c>
      <c r="BP109" s="12">
        <v>0</v>
      </c>
      <c r="BQ109" s="12">
        <v>0</v>
      </c>
      <c r="BR109" s="12">
        <v>0</v>
      </c>
      <c r="BS109" s="12">
        <v>0</v>
      </c>
      <c r="BT109" s="12">
        <v>0</v>
      </c>
      <c r="BU109" s="12">
        <v>0</v>
      </c>
      <c r="BV109" s="12">
        <v>0</v>
      </c>
      <c r="BW109" s="12">
        <v>0</v>
      </c>
      <c r="BX109" s="12">
        <v>0</v>
      </c>
      <c r="BY109" s="12">
        <v>0</v>
      </c>
      <c r="BZ109" s="12">
        <v>0</v>
      </c>
      <c r="CA109" s="12">
        <v>0</v>
      </c>
    </row>
    <row r="110" spans="1:79" hidden="1" x14ac:dyDescent="0.2">
      <c r="A110" s="12" t="s">
        <v>113</v>
      </c>
      <c r="B110" s="12" t="s">
        <v>117</v>
      </c>
      <c r="C110" s="12" t="s">
        <v>117</v>
      </c>
      <c r="D110" s="22" t="s">
        <v>348</v>
      </c>
      <c r="E110" s="22" t="s">
        <v>173</v>
      </c>
      <c r="F110" s="22" t="s">
        <v>758</v>
      </c>
      <c r="G110" s="22" t="s">
        <v>759</v>
      </c>
      <c r="H110" s="22" t="s">
        <v>349</v>
      </c>
      <c r="I110" s="22" t="s">
        <v>151</v>
      </c>
      <c r="J110" s="22" t="s">
        <v>347</v>
      </c>
      <c r="K110" s="22" t="s">
        <v>77</v>
      </c>
      <c r="L110" s="54" t="s">
        <v>153</v>
      </c>
      <c r="M110" s="24" t="s">
        <v>153</v>
      </c>
      <c r="N110" s="24" t="s">
        <v>153</v>
      </c>
      <c r="O110" s="23" t="s">
        <v>153</v>
      </c>
      <c r="P110" s="23" t="s">
        <v>153</v>
      </c>
      <c r="Q110" s="23" t="s">
        <v>153</v>
      </c>
      <c r="R110" s="23" t="s">
        <v>153</v>
      </c>
      <c r="S110" s="23" t="s">
        <v>153</v>
      </c>
      <c r="T110" s="24" t="s">
        <v>153</v>
      </c>
      <c r="U110" s="24" t="s">
        <v>153</v>
      </c>
      <c r="V110" s="54" t="s">
        <v>156</v>
      </c>
      <c r="W110" s="23" t="s">
        <v>153</v>
      </c>
      <c r="X110" s="23" t="s">
        <v>153</v>
      </c>
      <c r="Y110" s="23" t="s">
        <v>153</v>
      </c>
      <c r="Z110" s="23" t="s">
        <v>153</v>
      </c>
      <c r="AA110" s="24" t="s">
        <v>153</v>
      </c>
      <c r="AB110" s="24" t="s">
        <v>153</v>
      </c>
      <c r="AC110" s="23" t="s">
        <v>153</v>
      </c>
      <c r="AD110" s="23" t="s">
        <v>153</v>
      </c>
      <c r="AE110" s="23" t="s">
        <v>153</v>
      </c>
      <c r="AF110" s="23" t="s">
        <v>153</v>
      </c>
      <c r="AG110" s="23" t="s">
        <v>153</v>
      </c>
      <c r="AH110" s="24" t="s">
        <v>153</v>
      </c>
      <c r="AI110" s="24" t="s">
        <v>153</v>
      </c>
      <c r="AJ110" s="24" t="s">
        <v>156</v>
      </c>
      <c r="AK110" s="23" t="s">
        <v>153</v>
      </c>
      <c r="AL110" s="23" t="s">
        <v>153</v>
      </c>
      <c r="AM110" s="23" t="s">
        <v>153</v>
      </c>
      <c r="AN110" s="23" t="s">
        <v>153</v>
      </c>
      <c r="AO110" s="24" t="s">
        <v>153</v>
      </c>
      <c r="AP110" s="23">
        <f>VALUE(0)</f>
        <v>0</v>
      </c>
      <c r="AQ110" s="23">
        <f>VALUE(0)</f>
        <v>0</v>
      </c>
      <c r="AR110" s="23">
        <f>VALUE(0)</f>
        <v>0</v>
      </c>
      <c r="AS110" s="23">
        <f>VALUE(0)</f>
        <v>0</v>
      </c>
      <c r="AT110" s="23">
        <f>VALUE(0)</f>
        <v>0</v>
      </c>
      <c r="AU110" s="23">
        <f>VALUE(0)</f>
        <v>0</v>
      </c>
      <c r="AV110" s="23">
        <f>VALUE(10)</f>
        <v>10</v>
      </c>
      <c r="AW110" s="23">
        <f>VALUE(0)</f>
        <v>0</v>
      </c>
      <c r="AX110" s="23" t="s">
        <v>1199</v>
      </c>
      <c r="AY110" s="23">
        <f>VALUE(0)</f>
        <v>0</v>
      </c>
      <c r="AZ110" s="23">
        <f>VALUE(0)</f>
        <v>0</v>
      </c>
      <c r="BA110" s="23">
        <f>VALUE(0)</f>
        <v>0</v>
      </c>
      <c r="BB110" s="23">
        <f>VALUE(0)</f>
        <v>0</v>
      </c>
      <c r="BC110" s="23">
        <f>VALUE(0)</f>
        <v>0</v>
      </c>
      <c r="BD110" s="23">
        <f>VALUE(0)</f>
        <v>0</v>
      </c>
      <c r="BE110" s="23">
        <f>VALUE(0)</f>
        <v>0</v>
      </c>
      <c r="BF110" s="23">
        <f>VALUE(0)</f>
        <v>0</v>
      </c>
      <c r="BG110" s="23">
        <f>VALUE(0)</f>
        <v>0</v>
      </c>
      <c r="BH110" s="23">
        <f>VALUE(0)</f>
        <v>0</v>
      </c>
      <c r="BI110" s="23">
        <f>VALUE(0)</f>
        <v>0</v>
      </c>
      <c r="BJ110" s="23">
        <f>VALUE(0)</f>
        <v>0</v>
      </c>
      <c r="BK110" s="12">
        <f>$AX$110*24</f>
        <v>7</v>
      </c>
      <c r="BL110" s="12">
        <f>$AY$110*24</f>
        <v>0</v>
      </c>
      <c r="BM110" s="12">
        <f>$BJ$110*24</f>
        <v>0</v>
      </c>
      <c r="BN110" s="12">
        <f>VALUE($I$110)/100</f>
        <v>1</v>
      </c>
      <c r="BO110" s="12">
        <v>0</v>
      </c>
      <c r="BP110" s="12">
        <v>0</v>
      </c>
      <c r="BQ110" s="12">
        <v>0</v>
      </c>
      <c r="BR110" s="12">
        <v>0</v>
      </c>
      <c r="BS110" s="12">
        <v>0</v>
      </c>
      <c r="BT110" s="12">
        <v>0</v>
      </c>
      <c r="BU110" s="12">
        <v>0</v>
      </c>
      <c r="BV110" s="12">
        <v>0</v>
      </c>
      <c r="BW110" s="12">
        <v>0</v>
      </c>
      <c r="BX110" s="12">
        <v>0</v>
      </c>
      <c r="BY110" s="12">
        <v>0</v>
      </c>
      <c r="BZ110" s="12">
        <v>0</v>
      </c>
      <c r="CA110" s="12">
        <v>0</v>
      </c>
    </row>
    <row r="111" spans="1:79" hidden="1" x14ac:dyDescent="0.2">
      <c r="A111" s="12" t="s">
        <v>113</v>
      </c>
      <c r="B111" s="12" t="s">
        <v>117</v>
      </c>
      <c r="C111" s="12" t="s">
        <v>117</v>
      </c>
      <c r="D111" s="22" t="s">
        <v>350</v>
      </c>
      <c r="E111" s="22" t="s">
        <v>149</v>
      </c>
      <c r="F111" s="22" t="s">
        <v>760</v>
      </c>
      <c r="G111" s="22" t="s">
        <v>761</v>
      </c>
      <c r="H111" s="22" t="s">
        <v>166</v>
      </c>
      <c r="I111" s="22" t="s">
        <v>151</v>
      </c>
      <c r="J111" s="22" t="s">
        <v>351</v>
      </c>
      <c r="K111" s="22" t="s">
        <v>77</v>
      </c>
      <c r="L111" s="54" t="s">
        <v>153</v>
      </c>
      <c r="M111" s="24" t="s">
        <v>153</v>
      </c>
      <c r="N111" s="24" t="s">
        <v>153</v>
      </c>
      <c r="O111" s="23" t="s">
        <v>153</v>
      </c>
      <c r="P111" s="23" t="s">
        <v>153</v>
      </c>
      <c r="Q111" s="23" t="s">
        <v>153</v>
      </c>
      <c r="R111" s="23" t="s">
        <v>153</v>
      </c>
      <c r="S111" s="23" t="s">
        <v>153</v>
      </c>
      <c r="T111" s="24" t="s">
        <v>153</v>
      </c>
      <c r="U111" s="24" t="s">
        <v>153</v>
      </c>
      <c r="V111" s="54" t="s">
        <v>153</v>
      </c>
      <c r="W111" s="30" t="s">
        <v>28</v>
      </c>
      <c r="X111" s="23" t="s">
        <v>153</v>
      </c>
      <c r="Y111" s="23" t="s">
        <v>153</v>
      </c>
      <c r="Z111" s="23" t="s">
        <v>153</v>
      </c>
      <c r="AA111" s="24" t="s">
        <v>153</v>
      </c>
      <c r="AB111" s="24" t="s">
        <v>153</v>
      </c>
      <c r="AC111" s="23" t="s">
        <v>153</v>
      </c>
      <c r="AD111" s="23" t="s">
        <v>153</v>
      </c>
      <c r="AE111" s="23" t="s">
        <v>153</v>
      </c>
      <c r="AF111" s="23" t="s">
        <v>153</v>
      </c>
      <c r="AG111" s="23" t="s">
        <v>153</v>
      </c>
      <c r="AH111" s="24" t="s">
        <v>153</v>
      </c>
      <c r="AI111" s="24" t="s">
        <v>153</v>
      </c>
      <c r="AJ111" s="23" t="s">
        <v>153</v>
      </c>
      <c r="AK111" s="23" t="s">
        <v>153</v>
      </c>
      <c r="AL111" s="23" t="s">
        <v>153</v>
      </c>
      <c r="AM111" s="23" t="s">
        <v>153</v>
      </c>
      <c r="AN111" s="23" t="s">
        <v>153</v>
      </c>
      <c r="AO111" s="24" t="s">
        <v>153</v>
      </c>
      <c r="AP111" s="23">
        <f>VALUE(0)</f>
        <v>0</v>
      </c>
      <c r="AQ111" s="23">
        <f>VALUE(0)</f>
        <v>0</v>
      </c>
      <c r="AR111" s="23">
        <f>VALUE(0)</f>
        <v>0</v>
      </c>
      <c r="AS111" s="23">
        <f>VALUE(0)</f>
        <v>0</v>
      </c>
      <c r="AT111" s="23">
        <f>VALUE(0)</f>
        <v>0</v>
      </c>
      <c r="AU111" s="23">
        <f>VALUE(0)</f>
        <v>0</v>
      </c>
      <c r="AV111" s="23">
        <f>VALUE(4)</f>
        <v>4</v>
      </c>
      <c r="AW111" s="23">
        <f>VALUE(0)</f>
        <v>0</v>
      </c>
      <c r="AX111" s="23" t="s">
        <v>352</v>
      </c>
      <c r="AY111" s="23">
        <f>VALUE(0)</f>
        <v>0</v>
      </c>
      <c r="AZ111" s="23">
        <f>VALUE(0)</f>
        <v>0</v>
      </c>
      <c r="BA111" s="23">
        <f>VALUE(0)</f>
        <v>0</v>
      </c>
      <c r="BB111" s="23">
        <f>VALUE(0)</f>
        <v>0</v>
      </c>
      <c r="BC111" s="23">
        <f>VALUE(0)</f>
        <v>0</v>
      </c>
      <c r="BD111" s="23">
        <f>VALUE(0)</f>
        <v>0</v>
      </c>
      <c r="BE111" s="23">
        <f>VALUE(0)</f>
        <v>0</v>
      </c>
      <c r="BF111" s="23">
        <f>VALUE(0)</f>
        <v>0</v>
      </c>
      <c r="BG111" s="23">
        <f>VALUE(0)</f>
        <v>0</v>
      </c>
      <c r="BH111" s="23">
        <f>VALUE(0)</f>
        <v>0</v>
      </c>
      <c r="BI111" s="23">
        <f>VALUE(0)</f>
        <v>0</v>
      </c>
      <c r="BJ111" s="23">
        <f>VALUE(0)</f>
        <v>0</v>
      </c>
      <c r="BK111" s="12">
        <f>$AX$111*24</f>
        <v>12.183333333333334</v>
      </c>
      <c r="BL111" s="12">
        <f>$AY$111*24</f>
        <v>0</v>
      </c>
      <c r="BM111" s="12">
        <f>$BJ$111*24</f>
        <v>0</v>
      </c>
      <c r="BN111" s="12">
        <f>VALUE($I$111)/100</f>
        <v>1</v>
      </c>
      <c r="BO111" s="12">
        <v>0</v>
      </c>
      <c r="BP111" s="12">
        <v>0</v>
      </c>
      <c r="BQ111" s="12">
        <v>1</v>
      </c>
      <c r="BR111" s="12">
        <v>0</v>
      </c>
      <c r="BS111" s="12">
        <v>0</v>
      </c>
      <c r="BT111" s="12">
        <v>0</v>
      </c>
      <c r="BU111" s="12">
        <v>0</v>
      </c>
      <c r="BV111" s="12">
        <v>0</v>
      </c>
      <c r="BW111" s="12">
        <v>0</v>
      </c>
      <c r="BX111" s="12">
        <v>0</v>
      </c>
      <c r="BY111" s="12">
        <v>0</v>
      </c>
      <c r="BZ111" s="12">
        <v>0</v>
      </c>
      <c r="CA111" s="12">
        <v>0</v>
      </c>
    </row>
    <row r="112" spans="1:79" hidden="1" x14ac:dyDescent="0.2">
      <c r="A112" s="12" t="s">
        <v>113</v>
      </c>
      <c r="B112" s="12" t="s">
        <v>117</v>
      </c>
      <c r="C112" s="12" t="s">
        <v>117</v>
      </c>
      <c r="D112" s="22" t="s">
        <v>353</v>
      </c>
      <c r="E112" s="22" t="s">
        <v>149</v>
      </c>
      <c r="F112" s="22" t="s">
        <v>762</v>
      </c>
      <c r="G112" s="22" t="s">
        <v>763</v>
      </c>
      <c r="H112" s="22" t="s">
        <v>150</v>
      </c>
      <c r="I112" s="22" t="s">
        <v>151</v>
      </c>
      <c r="J112" s="22" t="s">
        <v>351</v>
      </c>
      <c r="K112" s="22" t="s">
        <v>77</v>
      </c>
      <c r="L112" s="54" t="s">
        <v>153</v>
      </c>
      <c r="M112" s="24" t="s">
        <v>153</v>
      </c>
      <c r="N112" s="24" t="s">
        <v>153</v>
      </c>
      <c r="O112" s="23" t="s">
        <v>153</v>
      </c>
      <c r="P112" s="23" t="s">
        <v>153</v>
      </c>
      <c r="Q112" s="23" t="s">
        <v>153</v>
      </c>
      <c r="R112" s="23" t="s">
        <v>153</v>
      </c>
      <c r="S112" s="23" t="s">
        <v>153</v>
      </c>
      <c r="T112" s="24" t="s">
        <v>153</v>
      </c>
      <c r="U112" s="24" t="s">
        <v>153</v>
      </c>
      <c r="V112" s="54" t="s">
        <v>153</v>
      </c>
      <c r="W112" s="23" t="s">
        <v>153</v>
      </c>
      <c r="X112" s="23" t="s">
        <v>153</v>
      </c>
      <c r="Y112" s="23" t="s">
        <v>153</v>
      </c>
      <c r="Z112" s="23" t="s">
        <v>153</v>
      </c>
      <c r="AA112" s="24" t="s">
        <v>153</v>
      </c>
      <c r="AB112" s="24" t="s">
        <v>153</v>
      </c>
      <c r="AC112" s="28" t="s">
        <v>163</v>
      </c>
      <c r="AD112" s="28" t="s">
        <v>163</v>
      </c>
      <c r="AE112" s="28" t="s">
        <v>163</v>
      </c>
      <c r="AF112" s="28" t="s">
        <v>163</v>
      </c>
      <c r="AG112" s="28" t="s">
        <v>163</v>
      </c>
      <c r="AH112" s="24" t="s">
        <v>153</v>
      </c>
      <c r="AI112" s="24" t="s">
        <v>153</v>
      </c>
      <c r="AJ112" s="28" t="s">
        <v>163</v>
      </c>
      <c r="AK112" s="28" t="s">
        <v>163</v>
      </c>
      <c r="AL112" s="28" t="s">
        <v>163</v>
      </c>
      <c r="AM112" s="28" t="s">
        <v>163</v>
      </c>
      <c r="AN112" s="28" t="s">
        <v>163</v>
      </c>
      <c r="AO112" s="24" t="s">
        <v>153</v>
      </c>
      <c r="AP112" s="23">
        <f>VALUE(0)</f>
        <v>0</v>
      </c>
      <c r="AQ112" s="23">
        <f>VALUE(0)</f>
        <v>0</v>
      </c>
      <c r="AR112" s="23">
        <f>VALUE(0)</f>
        <v>0</v>
      </c>
      <c r="AS112" s="23">
        <f>VALUE(0)</f>
        <v>0</v>
      </c>
      <c r="AT112" s="23">
        <f>VALUE(0)</f>
        <v>0</v>
      </c>
      <c r="AU112" s="23">
        <f>VALUE(10)</f>
        <v>10</v>
      </c>
      <c r="AV112" s="23">
        <f>VALUE(0)</f>
        <v>0</v>
      </c>
      <c r="AW112" s="23">
        <f>VALUE(0)</f>
        <v>0</v>
      </c>
      <c r="AX112" s="23" t="s">
        <v>176</v>
      </c>
      <c r="AY112" s="23" t="s">
        <v>354</v>
      </c>
      <c r="AZ112" s="23">
        <f>VALUE(0)</f>
        <v>0</v>
      </c>
      <c r="BA112" s="23">
        <f>VALUE(0)</f>
        <v>0</v>
      </c>
      <c r="BB112" s="23">
        <f>VALUE(0)</f>
        <v>0</v>
      </c>
      <c r="BC112" s="23">
        <f>VALUE(0)</f>
        <v>0</v>
      </c>
      <c r="BD112" s="23">
        <f>VALUE(0)</f>
        <v>0</v>
      </c>
      <c r="BE112" s="23">
        <f>VALUE(0)</f>
        <v>0</v>
      </c>
      <c r="BF112" s="23">
        <f>VALUE(0)</f>
        <v>0</v>
      </c>
      <c r="BG112" s="23">
        <f>VALUE(0)</f>
        <v>0</v>
      </c>
      <c r="BH112" s="23">
        <f>VALUE(0)</f>
        <v>0</v>
      </c>
      <c r="BI112" s="23">
        <f>VALUE(0)</f>
        <v>0</v>
      </c>
      <c r="BJ112" s="23">
        <f>VALUE(0)</f>
        <v>0</v>
      </c>
      <c r="BK112" s="12">
        <f>$AX$112*24</f>
        <v>0</v>
      </c>
      <c r="BL112" s="12">
        <f>$AY$112*24</f>
        <v>35.549999999999997</v>
      </c>
      <c r="BM112" s="12">
        <f>$BJ$112*24</f>
        <v>0</v>
      </c>
      <c r="BN112" s="12">
        <f>VALUE($I$112)/100</f>
        <v>1</v>
      </c>
      <c r="BO112" s="12">
        <v>0</v>
      </c>
      <c r="BP112" s="12">
        <v>0</v>
      </c>
      <c r="BQ112" s="12">
        <v>0</v>
      </c>
      <c r="BR112" s="12">
        <v>0</v>
      </c>
      <c r="BS112" s="12">
        <v>0</v>
      </c>
      <c r="BT112" s="12">
        <v>0</v>
      </c>
      <c r="BU112" s="12">
        <v>0</v>
      </c>
      <c r="BV112" s="12">
        <v>0</v>
      </c>
      <c r="BW112" s="12">
        <v>0</v>
      </c>
      <c r="BX112" s="12">
        <v>0</v>
      </c>
      <c r="BY112" s="12">
        <v>0</v>
      </c>
      <c r="BZ112" s="12">
        <v>0</v>
      </c>
      <c r="CA112" s="12">
        <v>0</v>
      </c>
    </row>
    <row r="113" spans="1:79" ht="15" hidden="1" x14ac:dyDescent="0.25">
      <c r="A113" s="12" t="s">
        <v>113</v>
      </c>
      <c r="B113" s="12" t="s">
        <v>117</v>
      </c>
      <c r="C113" s="12" t="s">
        <v>117</v>
      </c>
      <c r="D113" s="31" t="s">
        <v>355</v>
      </c>
      <c r="E113" s="31" t="s">
        <v>153</v>
      </c>
      <c r="F113" s="31" t="s">
        <v>175</v>
      </c>
      <c r="G113" s="31" t="s">
        <v>153</v>
      </c>
      <c r="H113" s="31" t="s">
        <v>153</v>
      </c>
      <c r="I113" s="31" t="s">
        <v>153</v>
      </c>
      <c r="J113" s="31" t="s">
        <v>153</v>
      </c>
      <c r="K113" s="31" t="s">
        <v>153</v>
      </c>
      <c r="L113" s="31">
        <f>VALUE(0)</f>
        <v>0</v>
      </c>
      <c r="M113" s="31">
        <f>VALUE(0)</f>
        <v>0</v>
      </c>
      <c r="N113" s="31">
        <f>VALUE(0)</f>
        <v>0</v>
      </c>
      <c r="O113" s="31">
        <f>VALUE(4)</f>
        <v>4</v>
      </c>
      <c r="P113" s="31">
        <f>VALUE(4)</f>
        <v>4</v>
      </c>
      <c r="Q113" s="31">
        <f>VALUE(4)</f>
        <v>4</v>
      </c>
      <c r="R113" s="31">
        <f>VALUE(4)</f>
        <v>4</v>
      </c>
      <c r="S113" s="31">
        <f>VALUE(4)</f>
        <v>4</v>
      </c>
      <c r="T113" s="31">
        <f>VALUE(0)</f>
        <v>0</v>
      </c>
      <c r="U113" s="31">
        <f>VALUE(0)</f>
        <v>0</v>
      </c>
      <c r="V113" s="31">
        <f>VALUE(0)</f>
        <v>0</v>
      </c>
      <c r="W113" s="31">
        <f>VALUE(3)</f>
        <v>3</v>
      </c>
      <c r="X113" s="31">
        <f>VALUE(3)</f>
        <v>3</v>
      </c>
      <c r="Y113" s="31">
        <f>VALUE(4)</f>
        <v>4</v>
      </c>
      <c r="Z113" s="31">
        <f>VALUE(4)</f>
        <v>4</v>
      </c>
      <c r="AA113" s="31">
        <f>VALUE(0)</f>
        <v>0</v>
      </c>
      <c r="AB113" s="31">
        <f>VALUE(0)</f>
        <v>0</v>
      </c>
      <c r="AC113" s="31">
        <f>VALUE(3)</f>
        <v>3</v>
      </c>
      <c r="AD113" s="31">
        <f>VALUE(3)</f>
        <v>3</v>
      </c>
      <c r="AE113" s="31">
        <f>VALUE(3)</f>
        <v>3</v>
      </c>
      <c r="AF113" s="31">
        <f>VALUE(3)</f>
        <v>3</v>
      </c>
      <c r="AG113" s="31">
        <f>VALUE(3)</f>
        <v>3</v>
      </c>
      <c r="AH113" s="31">
        <f>VALUE(0)</f>
        <v>0</v>
      </c>
      <c r="AI113" s="31">
        <f>VALUE(0)</f>
        <v>0</v>
      </c>
      <c r="AJ113" s="31">
        <f>VALUE(2)</f>
        <v>2</v>
      </c>
      <c r="AK113" s="31">
        <f>VALUE(3)</f>
        <v>3</v>
      </c>
      <c r="AL113" s="31">
        <f>VALUE(2)</f>
        <v>2</v>
      </c>
      <c r="AM113" s="31">
        <f>VALUE(3)</f>
        <v>3</v>
      </c>
      <c r="AN113" s="31">
        <f>VALUE(3)</f>
        <v>3</v>
      </c>
      <c r="AO113" s="31">
        <f>VALUE(0)</f>
        <v>0</v>
      </c>
      <c r="AP113" s="31">
        <v>0</v>
      </c>
      <c r="AQ113" s="31">
        <v>0</v>
      </c>
      <c r="AR113" s="31">
        <v>0</v>
      </c>
      <c r="AS113" s="31">
        <v>0</v>
      </c>
      <c r="AT113" s="31">
        <v>0</v>
      </c>
      <c r="AU113" s="31">
        <v>0</v>
      </c>
      <c r="AV113" s="31">
        <v>0</v>
      </c>
      <c r="AW113" s="31">
        <v>0</v>
      </c>
      <c r="AX113" s="31">
        <v>0</v>
      </c>
      <c r="AY113" s="31">
        <v>0</v>
      </c>
      <c r="AZ113" s="31">
        <v>0</v>
      </c>
      <c r="BA113" s="31">
        <v>0</v>
      </c>
      <c r="BB113" s="31">
        <v>0</v>
      </c>
      <c r="BC113" s="31">
        <v>0</v>
      </c>
      <c r="BD113" s="31">
        <v>0</v>
      </c>
      <c r="BE113" s="31">
        <v>0</v>
      </c>
      <c r="BF113" s="31">
        <v>0</v>
      </c>
      <c r="BG113" s="31">
        <v>0</v>
      </c>
      <c r="BH113" s="31">
        <v>0</v>
      </c>
      <c r="BI113" s="31">
        <v>0</v>
      </c>
      <c r="BJ113" s="31">
        <v>0</v>
      </c>
      <c r="BK113" s="12">
        <v>0</v>
      </c>
      <c r="BL113" s="12">
        <v>0</v>
      </c>
      <c r="BM113" s="12">
        <v>0</v>
      </c>
      <c r="BN113" s="12"/>
      <c r="BO113" s="12">
        <v>0</v>
      </c>
      <c r="BP113" s="12">
        <v>0</v>
      </c>
      <c r="BQ113" s="12">
        <v>0</v>
      </c>
      <c r="BR113" s="12">
        <v>0</v>
      </c>
      <c r="BS113" s="12">
        <v>0</v>
      </c>
      <c r="BT113" s="12">
        <v>0</v>
      </c>
      <c r="BU113" s="12">
        <v>0</v>
      </c>
      <c r="BV113" s="12">
        <v>0</v>
      </c>
      <c r="BW113" s="12">
        <v>0</v>
      </c>
      <c r="BX113" s="12">
        <v>0</v>
      </c>
      <c r="BY113" s="12">
        <v>0</v>
      </c>
      <c r="BZ113" s="12">
        <v>0</v>
      </c>
      <c r="CA113" s="12">
        <v>0</v>
      </c>
    </row>
    <row r="114" spans="1:79" hidden="1" x14ac:dyDescent="0.2">
      <c r="A114" s="12" t="s">
        <v>113</v>
      </c>
      <c r="B114" s="12" t="s">
        <v>118</v>
      </c>
      <c r="C114" s="12" t="s">
        <v>118</v>
      </c>
      <c r="D114" s="22" t="s">
        <v>356</v>
      </c>
      <c r="E114" s="22" t="s">
        <v>149</v>
      </c>
      <c r="F114" s="22" t="s">
        <v>764</v>
      </c>
      <c r="G114" s="22" t="s">
        <v>765</v>
      </c>
      <c r="H114" s="22" t="s">
        <v>166</v>
      </c>
      <c r="I114" s="22" t="s">
        <v>151</v>
      </c>
      <c r="J114" s="22" t="s">
        <v>357</v>
      </c>
      <c r="K114" s="22" t="s">
        <v>78</v>
      </c>
      <c r="L114" s="54" t="s">
        <v>153</v>
      </c>
      <c r="M114" s="24" t="s">
        <v>153</v>
      </c>
      <c r="N114" s="24" t="s">
        <v>153</v>
      </c>
      <c r="O114" s="23" t="s">
        <v>153</v>
      </c>
      <c r="P114" s="23" t="s">
        <v>153</v>
      </c>
      <c r="Q114" s="30" t="s">
        <v>1205</v>
      </c>
      <c r="R114" s="23" t="s">
        <v>153</v>
      </c>
      <c r="S114" s="23" t="s">
        <v>153</v>
      </c>
      <c r="T114" s="24" t="s">
        <v>153</v>
      </c>
      <c r="U114" s="24" t="s">
        <v>153</v>
      </c>
      <c r="V114" s="54" t="s">
        <v>153</v>
      </c>
      <c r="W114" s="23" t="s">
        <v>153</v>
      </c>
      <c r="X114" s="23" t="s">
        <v>153</v>
      </c>
      <c r="Y114" s="23" t="s">
        <v>153</v>
      </c>
      <c r="Z114" s="23" t="s">
        <v>153</v>
      </c>
      <c r="AA114" s="24" t="s">
        <v>153</v>
      </c>
      <c r="AB114" s="24" t="s">
        <v>153</v>
      </c>
      <c r="AC114" s="23" t="s">
        <v>153</v>
      </c>
      <c r="AD114" s="23" t="s">
        <v>153</v>
      </c>
      <c r="AE114" s="23" t="s">
        <v>153</v>
      </c>
      <c r="AF114" s="23" t="s">
        <v>153</v>
      </c>
      <c r="AG114" s="23" t="s">
        <v>153</v>
      </c>
      <c r="AH114" s="24" t="s">
        <v>153</v>
      </c>
      <c r="AI114" s="24" t="s">
        <v>153</v>
      </c>
      <c r="AJ114" s="23" t="s">
        <v>153</v>
      </c>
      <c r="AK114" s="23" t="s">
        <v>153</v>
      </c>
      <c r="AL114" s="23" t="s">
        <v>153</v>
      </c>
      <c r="AM114" s="23" t="s">
        <v>153</v>
      </c>
      <c r="AN114" s="23" t="s">
        <v>153</v>
      </c>
      <c r="AO114" s="24" t="s">
        <v>153</v>
      </c>
      <c r="AP114" s="23">
        <f>VALUE(0)</f>
        <v>0</v>
      </c>
      <c r="AQ114" s="23">
        <f>VALUE(0)</f>
        <v>0</v>
      </c>
      <c r="AR114" s="23">
        <f>VALUE(0)</f>
        <v>0</v>
      </c>
      <c r="AS114" s="23">
        <f>VALUE(0)</f>
        <v>0</v>
      </c>
      <c r="AT114" s="23">
        <f>VALUE(0)</f>
        <v>0</v>
      </c>
      <c r="AU114" s="23">
        <f>VALUE(0)</f>
        <v>0</v>
      </c>
      <c r="AV114" s="23">
        <f>VALUE(18)</f>
        <v>18</v>
      </c>
      <c r="AW114" s="23">
        <f>VALUE(0)</f>
        <v>0</v>
      </c>
      <c r="AX114" s="23">
        <f>VALUE(0)</f>
        <v>0</v>
      </c>
      <c r="AY114" s="23">
        <f>VALUE(0)</f>
        <v>0</v>
      </c>
      <c r="AZ114" s="23">
        <f>VALUE(0)</f>
        <v>0</v>
      </c>
      <c r="BA114" s="23">
        <f>VALUE(0)</f>
        <v>0</v>
      </c>
      <c r="BB114" s="23">
        <f>VALUE(0)</f>
        <v>0</v>
      </c>
      <c r="BC114" s="23">
        <f>VALUE(0)</f>
        <v>0</v>
      </c>
      <c r="BD114" s="23">
        <f>VALUE(0)</f>
        <v>0</v>
      </c>
      <c r="BE114" s="23">
        <f>VALUE(0)</f>
        <v>0</v>
      </c>
      <c r="BF114" s="23">
        <f>VALUE(0)</f>
        <v>0</v>
      </c>
      <c r="BG114" s="23">
        <f>VALUE(0)</f>
        <v>0</v>
      </c>
      <c r="BH114" s="23">
        <f>VALUE(0)</f>
        <v>0</v>
      </c>
      <c r="BI114" s="23">
        <f>VALUE(0)</f>
        <v>0</v>
      </c>
      <c r="BJ114" s="23">
        <f>VALUE(0)</f>
        <v>0</v>
      </c>
      <c r="BK114" s="12">
        <f>$AX$114*24</f>
        <v>0</v>
      </c>
      <c r="BL114" s="12">
        <f>$AY$114*24</f>
        <v>0</v>
      </c>
      <c r="BM114" s="12">
        <f>$BJ$114*24</f>
        <v>0</v>
      </c>
      <c r="BN114" s="12">
        <f>VALUE($I$114)/100</f>
        <v>1</v>
      </c>
      <c r="BO114" s="12">
        <v>0</v>
      </c>
      <c r="BP114" s="12">
        <v>0</v>
      </c>
      <c r="BQ114" s="12">
        <v>0</v>
      </c>
      <c r="BR114" s="12">
        <v>0</v>
      </c>
      <c r="BS114" s="12">
        <v>0</v>
      </c>
      <c r="BT114" s="12">
        <v>0</v>
      </c>
      <c r="BU114" s="12">
        <v>0</v>
      </c>
      <c r="BV114" s="12">
        <v>0</v>
      </c>
      <c r="BW114" s="12">
        <v>0</v>
      </c>
      <c r="BX114" s="12">
        <v>0</v>
      </c>
      <c r="BY114" s="12">
        <v>0</v>
      </c>
      <c r="BZ114" s="12">
        <v>0</v>
      </c>
      <c r="CA114" s="12">
        <v>0</v>
      </c>
    </row>
    <row r="115" spans="1:79" hidden="1" x14ac:dyDescent="0.2">
      <c r="A115" s="12" t="s">
        <v>113</v>
      </c>
      <c r="B115" s="12" t="s">
        <v>118</v>
      </c>
      <c r="C115" s="12" t="s">
        <v>118</v>
      </c>
      <c r="D115" s="22" t="s">
        <v>358</v>
      </c>
      <c r="E115" s="22" t="s">
        <v>149</v>
      </c>
      <c r="F115" s="22" t="s">
        <v>766</v>
      </c>
      <c r="G115" s="22" t="s">
        <v>767</v>
      </c>
      <c r="H115" s="22" t="s">
        <v>166</v>
      </c>
      <c r="I115" s="22" t="s">
        <v>151</v>
      </c>
      <c r="J115" s="22" t="s">
        <v>359</v>
      </c>
      <c r="K115" s="22" t="s">
        <v>78</v>
      </c>
      <c r="L115" s="54" t="s">
        <v>153</v>
      </c>
      <c r="M115" s="24" t="s">
        <v>153</v>
      </c>
      <c r="N115" s="24" t="s">
        <v>153</v>
      </c>
      <c r="O115" s="24" t="s">
        <v>156</v>
      </c>
      <c r="P115" s="23" t="s">
        <v>153</v>
      </c>
      <c r="Q115" s="23" t="s">
        <v>153</v>
      </c>
      <c r="R115" s="23" t="s">
        <v>153</v>
      </c>
      <c r="S115" s="23" t="s">
        <v>153</v>
      </c>
      <c r="T115" s="24" t="s">
        <v>153</v>
      </c>
      <c r="U115" s="24" t="s">
        <v>153</v>
      </c>
      <c r="V115" s="54" t="s">
        <v>153</v>
      </c>
      <c r="W115" s="23" t="s">
        <v>153</v>
      </c>
      <c r="X115" s="23" t="s">
        <v>153</v>
      </c>
      <c r="Y115" s="23" t="s">
        <v>153</v>
      </c>
      <c r="Z115" s="23" t="s">
        <v>153</v>
      </c>
      <c r="AA115" s="24" t="s">
        <v>153</v>
      </c>
      <c r="AB115" s="24" t="s">
        <v>153</v>
      </c>
      <c r="AC115" s="24" t="s">
        <v>156</v>
      </c>
      <c r="AD115" s="23" t="s">
        <v>153</v>
      </c>
      <c r="AE115" s="23" t="s">
        <v>153</v>
      </c>
      <c r="AF115" s="23" t="s">
        <v>153</v>
      </c>
      <c r="AG115" s="23" t="s">
        <v>153</v>
      </c>
      <c r="AH115" s="24" t="s">
        <v>153</v>
      </c>
      <c r="AI115" s="24" t="s">
        <v>153</v>
      </c>
      <c r="AJ115" s="23" t="s">
        <v>153</v>
      </c>
      <c r="AK115" s="23" t="s">
        <v>153</v>
      </c>
      <c r="AL115" s="23" t="s">
        <v>153</v>
      </c>
      <c r="AM115" s="23" t="s">
        <v>153</v>
      </c>
      <c r="AN115" s="23" t="s">
        <v>153</v>
      </c>
      <c r="AO115" s="24" t="s">
        <v>153</v>
      </c>
      <c r="AP115" s="23">
        <f>VALUE(0)</f>
        <v>0</v>
      </c>
      <c r="AQ115" s="23">
        <f>VALUE(0)</f>
        <v>0</v>
      </c>
      <c r="AR115" s="23">
        <f>VALUE(0)</f>
        <v>0</v>
      </c>
      <c r="AS115" s="23">
        <f>VALUE(0)</f>
        <v>0</v>
      </c>
      <c r="AT115" s="23">
        <f>VALUE(0)</f>
        <v>0</v>
      </c>
      <c r="AU115" s="23">
        <f>VALUE(0)</f>
        <v>0</v>
      </c>
      <c r="AV115" s="23">
        <f>VALUE(5.5)</f>
        <v>5.5</v>
      </c>
      <c r="AW115" s="23">
        <f>VALUE(0)</f>
        <v>0</v>
      </c>
      <c r="AX115" s="23" t="s">
        <v>1206</v>
      </c>
      <c r="AY115" s="23">
        <f>VALUE(0)</f>
        <v>0</v>
      </c>
      <c r="AZ115" s="23">
        <f>VALUE(0)</f>
        <v>0</v>
      </c>
      <c r="BA115" s="23">
        <f>VALUE(0)</f>
        <v>0</v>
      </c>
      <c r="BB115" s="23">
        <f>VALUE(0)</f>
        <v>0</v>
      </c>
      <c r="BC115" s="23">
        <f>VALUE(0)</f>
        <v>0</v>
      </c>
      <c r="BD115" s="23">
        <f>VALUE(0)</f>
        <v>0</v>
      </c>
      <c r="BE115" s="23">
        <f>VALUE(0)</f>
        <v>0</v>
      </c>
      <c r="BF115" s="23">
        <f>VALUE(0)</f>
        <v>0</v>
      </c>
      <c r="BG115" s="23">
        <f>VALUE(0)</f>
        <v>0</v>
      </c>
      <c r="BH115" s="23">
        <f>VALUE(0)</f>
        <v>0</v>
      </c>
      <c r="BI115" s="23">
        <f>VALUE(0)</f>
        <v>0</v>
      </c>
      <c r="BJ115" s="23">
        <f>VALUE(0)</f>
        <v>0</v>
      </c>
      <c r="BK115" s="12">
        <f>$AX$115*24</f>
        <v>7.8000000000000007</v>
      </c>
      <c r="BL115" s="12">
        <f>$AY$115*24</f>
        <v>0</v>
      </c>
      <c r="BM115" s="12">
        <f>$BJ$115*24</f>
        <v>0</v>
      </c>
      <c r="BN115" s="12">
        <f>VALUE($I$115)/100</f>
        <v>1</v>
      </c>
      <c r="BO115" s="12">
        <v>0</v>
      </c>
      <c r="BP115" s="12">
        <v>0</v>
      </c>
      <c r="BQ115" s="12">
        <v>0</v>
      </c>
      <c r="BR115" s="12">
        <v>0</v>
      </c>
      <c r="BS115" s="12">
        <v>0</v>
      </c>
      <c r="BT115" s="12">
        <v>0</v>
      </c>
      <c r="BU115" s="12">
        <v>0</v>
      </c>
      <c r="BV115" s="12">
        <v>0</v>
      </c>
      <c r="BW115" s="12">
        <v>0</v>
      </c>
      <c r="BX115" s="12">
        <v>0</v>
      </c>
      <c r="BY115" s="12">
        <v>0</v>
      </c>
      <c r="BZ115" s="12">
        <v>0</v>
      </c>
      <c r="CA115" s="12">
        <v>0</v>
      </c>
    </row>
    <row r="116" spans="1:79" ht="15" hidden="1" x14ac:dyDescent="0.25">
      <c r="A116" s="12" t="s">
        <v>113</v>
      </c>
      <c r="B116" s="12" t="s">
        <v>118</v>
      </c>
      <c r="C116" s="12" t="s">
        <v>118</v>
      </c>
      <c r="D116" s="31" t="s">
        <v>246</v>
      </c>
      <c r="E116" s="31" t="s">
        <v>153</v>
      </c>
      <c r="F116" s="31" t="s">
        <v>175</v>
      </c>
      <c r="G116" s="31" t="s">
        <v>153</v>
      </c>
      <c r="H116" s="31" t="s">
        <v>153</v>
      </c>
      <c r="I116" s="31" t="s">
        <v>153</v>
      </c>
      <c r="J116" s="31" t="s">
        <v>153</v>
      </c>
      <c r="K116" s="31" t="s">
        <v>153</v>
      </c>
      <c r="L116" s="31">
        <f>VALUE(0)</f>
        <v>0</v>
      </c>
      <c r="M116" s="31">
        <f>VALUE(0)</f>
        <v>0</v>
      </c>
      <c r="N116" s="31">
        <f>VALUE(0)</f>
        <v>0</v>
      </c>
      <c r="O116" s="31">
        <f>VALUE(1)</f>
        <v>1</v>
      </c>
      <c r="P116" s="31">
        <f>VALUE(2)</f>
        <v>2</v>
      </c>
      <c r="Q116" s="31">
        <f>VALUE(1)</f>
        <v>1</v>
      </c>
      <c r="R116" s="31">
        <f>VALUE(2)</f>
        <v>2</v>
      </c>
      <c r="S116" s="31">
        <f>VALUE(2)</f>
        <v>2</v>
      </c>
      <c r="T116" s="31">
        <f>VALUE(0)</f>
        <v>0</v>
      </c>
      <c r="U116" s="31">
        <f>VALUE(0)</f>
        <v>0</v>
      </c>
      <c r="V116" s="31">
        <f>VALUE(0)</f>
        <v>0</v>
      </c>
      <c r="W116" s="31">
        <f>VALUE(2)</f>
        <v>2</v>
      </c>
      <c r="X116" s="31">
        <f>VALUE(2)</f>
        <v>2</v>
      </c>
      <c r="Y116" s="31">
        <f>VALUE(2)</f>
        <v>2</v>
      </c>
      <c r="Z116" s="31">
        <f>VALUE(2)</f>
        <v>2</v>
      </c>
      <c r="AA116" s="31">
        <f>VALUE(0)</f>
        <v>0</v>
      </c>
      <c r="AB116" s="31">
        <f>VALUE(0)</f>
        <v>0</v>
      </c>
      <c r="AC116" s="31">
        <f>VALUE(1)</f>
        <v>1</v>
      </c>
      <c r="AD116" s="31">
        <f>VALUE(2)</f>
        <v>2</v>
      </c>
      <c r="AE116" s="31">
        <f>VALUE(2)</f>
        <v>2</v>
      </c>
      <c r="AF116" s="31">
        <f>VALUE(2)</f>
        <v>2</v>
      </c>
      <c r="AG116" s="31">
        <f>VALUE(2)</f>
        <v>2</v>
      </c>
      <c r="AH116" s="31">
        <f>VALUE(0)</f>
        <v>0</v>
      </c>
      <c r="AI116" s="31">
        <f>VALUE(0)</f>
        <v>0</v>
      </c>
      <c r="AJ116" s="31">
        <f>VALUE(2)</f>
        <v>2</v>
      </c>
      <c r="AK116" s="31">
        <f>VALUE(2)</f>
        <v>2</v>
      </c>
      <c r="AL116" s="31">
        <f>VALUE(2)</f>
        <v>2</v>
      </c>
      <c r="AM116" s="31">
        <f>VALUE(2)</f>
        <v>2</v>
      </c>
      <c r="AN116" s="31">
        <f>VALUE(2)</f>
        <v>2</v>
      </c>
      <c r="AO116" s="31">
        <f>VALUE(0)</f>
        <v>0</v>
      </c>
      <c r="AP116" s="31">
        <v>0</v>
      </c>
      <c r="AQ116" s="31">
        <v>0</v>
      </c>
      <c r="AR116" s="31">
        <v>0</v>
      </c>
      <c r="AS116" s="31">
        <v>0</v>
      </c>
      <c r="AT116" s="31">
        <v>0</v>
      </c>
      <c r="AU116" s="31">
        <v>0</v>
      </c>
      <c r="AV116" s="31">
        <v>0</v>
      </c>
      <c r="AW116" s="31">
        <v>0</v>
      </c>
      <c r="AX116" s="31">
        <v>0</v>
      </c>
      <c r="AY116" s="31">
        <v>0</v>
      </c>
      <c r="AZ116" s="31">
        <v>0</v>
      </c>
      <c r="BA116" s="31">
        <v>0</v>
      </c>
      <c r="BB116" s="31">
        <v>0</v>
      </c>
      <c r="BC116" s="31">
        <v>0</v>
      </c>
      <c r="BD116" s="31">
        <v>0</v>
      </c>
      <c r="BE116" s="31">
        <v>0</v>
      </c>
      <c r="BF116" s="31">
        <v>0</v>
      </c>
      <c r="BG116" s="31">
        <v>0</v>
      </c>
      <c r="BH116" s="31">
        <v>0</v>
      </c>
      <c r="BI116" s="31">
        <v>0</v>
      </c>
      <c r="BJ116" s="31">
        <v>0</v>
      </c>
      <c r="BK116" s="12">
        <v>0</v>
      </c>
      <c r="BL116" s="12">
        <v>0</v>
      </c>
      <c r="BM116" s="12">
        <v>0</v>
      </c>
      <c r="BN116" s="12"/>
      <c r="BO116" s="12">
        <v>0</v>
      </c>
      <c r="BP116" s="12">
        <v>0</v>
      </c>
      <c r="BQ116" s="12">
        <v>0</v>
      </c>
      <c r="BR116" s="12">
        <v>0</v>
      </c>
      <c r="BS116" s="12">
        <v>0</v>
      </c>
      <c r="BT116" s="12">
        <v>0</v>
      </c>
      <c r="BU116" s="12">
        <v>0</v>
      </c>
      <c r="BV116" s="12">
        <v>0</v>
      </c>
      <c r="BW116" s="12">
        <v>0</v>
      </c>
      <c r="BX116" s="12">
        <v>0</v>
      </c>
      <c r="BY116" s="12">
        <v>0</v>
      </c>
      <c r="BZ116" s="12">
        <v>0</v>
      </c>
      <c r="CA116" s="12">
        <v>0</v>
      </c>
    </row>
    <row r="117" spans="1:79" ht="15" hidden="1" x14ac:dyDescent="0.25">
      <c r="A117" s="12" t="s">
        <v>113</v>
      </c>
      <c r="B117" s="12" t="s">
        <v>119</v>
      </c>
      <c r="C117" s="12" t="s">
        <v>119</v>
      </c>
      <c r="D117" s="31" t="s">
        <v>488</v>
      </c>
      <c r="E117" s="31" t="s">
        <v>153</v>
      </c>
      <c r="F117" s="31" t="s">
        <v>175</v>
      </c>
      <c r="G117" s="31" t="s">
        <v>153</v>
      </c>
      <c r="H117" s="31" t="s">
        <v>153</v>
      </c>
      <c r="I117" s="31" t="s">
        <v>153</v>
      </c>
      <c r="J117" s="31" t="s">
        <v>153</v>
      </c>
      <c r="K117" s="31" t="s">
        <v>153</v>
      </c>
      <c r="L117" s="31">
        <f>VALUE(0)</f>
        <v>0</v>
      </c>
      <c r="M117" s="31">
        <f>VALUE(0)</f>
        <v>0</v>
      </c>
      <c r="N117" s="31">
        <f>VALUE(0)</f>
        <v>0</v>
      </c>
      <c r="O117" s="31">
        <f>VALUE(0)</f>
        <v>0</v>
      </c>
      <c r="P117" s="31">
        <f>VALUE(0)</f>
        <v>0</v>
      </c>
      <c r="Q117" s="31">
        <f>VALUE(0)</f>
        <v>0</v>
      </c>
      <c r="R117" s="31">
        <f>VALUE(0)</f>
        <v>0</v>
      </c>
      <c r="S117" s="31">
        <f>VALUE(0)</f>
        <v>0</v>
      </c>
      <c r="T117" s="31">
        <f>VALUE(0)</f>
        <v>0</v>
      </c>
      <c r="U117" s="31">
        <f>VALUE(0)</f>
        <v>0</v>
      </c>
      <c r="V117" s="31">
        <f>VALUE(0)</f>
        <v>0</v>
      </c>
      <c r="W117" s="31">
        <f>VALUE(0)</f>
        <v>0</v>
      </c>
      <c r="X117" s="31">
        <f>VALUE(0)</f>
        <v>0</v>
      </c>
      <c r="Y117" s="31">
        <f>VALUE(0)</f>
        <v>0</v>
      </c>
      <c r="Z117" s="31">
        <f>VALUE(0)</f>
        <v>0</v>
      </c>
      <c r="AA117" s="31">
        <f>VALUE(0)</f>
        <v>0</v>
      </c>
      <c r="AB117" s="31">
        <f>VALUE(0)</f>
        <v>0</v>
      </c>
      <c r="AC117" s="31">
        <f>VALUE(0)</f>
        <v>0</v>
      </c>
      <c r="AD117" s="31">
        <f>VALUE(0)</f>
        <v>0</v>
      </c>
      <c r="AE117" s="31">
        <f>VALUE(0)</f>
        <v>0</v>
      </c>
      <c r="AF117" s="31">
        <f>VALUE(0)</f>
        <v>0</v>
      </c>
      <c r="AG117" s="31">
        <f>VALUE(0)</f>
        <v>0</v>
      </c>
      <c r="AH117" s="31">
        <f>VALUE(0)</f>
        <v>0</v>
      </c>
      <c r="AI117" s="31">
        <f>VALUE(0)</f>
        <v>0</v>
      </c>
      <c r="AJ117" s="31">
        <f>VALUE(0)</f>
        <v>0</v>
      </c>
      <c r="AK117" s="31">
        <f>VALUE(0)</f>
        <v>0</v>
      </c>
      <c r="AL117" s="31">
        <f>VALUE(0)</f>
        <v>0</v>
      </c>
      <c r="AM117" s="31">
        <f>VALUE(0)</f>
        <v>0</v>
      </c>
      <c r="AN117" s="31">
        <f>VALUE(0)</f>
        <v>0</v>
      </c>
      <c r="AO117" s="31">
        <f>VALUE(0)</f>
        <v>0</v>
      </c>
      <c r="AP117" s="31">
        <v>0</v>
      </c>
      <c r="AQ117" s="31">
        <v>0</v>
      </c>
      <c r="AR117" s="31">
        <v>0</v>
      </c>
      <c r="AS117" s="31">
        <v>0</v>
      </c>
      <c r="AT117" s="31">
        <v>0</v>
      </c>
      <c r="AU117" s="31">
        <v>0</v>
      </c>
      <c r="AV117" s="31">
        <v>0</v>
      </c>
      <c r="AW117" s="31">
        <v>0</v>
      </c>
      <c r="AX117" s="31">
        <v>0</v>
      </c>
      <c r="AY117" s="31">
        <v>0</v>
      </c>
      <c r="AZ117" s="31">
        <v>0</v>
      </c>
      <c r="BA117" s="31">
        <v>0</v>
      </c>
      <c r="BB117" s="31">
        <v>0</v>
      </c>
      <c r="BC117" s="31">
        <v>0</v>
      </c>
      <c r="BD117" s="31">
        <v>0</v>
      </c>
      <c r="BE117" s="31">
        <v>0</v>
      </c>
      <c r="BF117" s="31">
        <v>0</v>
      </c>
      <c r="BG117" s="31">
        <v>0</v>
      </c>
      <c r="BH117" s="31">
        <v>0</v>
      </c>
      <c r="BI117" s="31">
        <v>0</v>
      </c>
      <c r="BJ117" s="31">
        <v>0</v>
      </c>
      <c r="BK117" s="12">
        <v>0</v>
      </c>
      <c r="BL117" s="12">
        <v>0</v>
      </c>
      <c r="BM117" s="12">
        <v>0</v>
      </c>
      <c r="BN117" s="12"/>
      <c r="BO117" s="12">
        <v>0</v>
      </c>
      <c r="BP117" s="12">
        <v>0</v>
      </c>
      <c r="BQ117" s="12">
        <v>0</v>
      </c>
      <c r="BR117" s="12">
        <v>0</v>
      </c>
      <c r="BS117" s="12">
        <v>0</v>
      </c>
      <c r="BT117" s="12">
        <v>0</v>
      </c>
      <c r="BU117" s="12">
        <v>0</v>
      </c>
      <c r="BV117" s="12">
        <v>0</v>
      </c>
      <c r="BW117" s="12">
        <v>0</v>
      </c>
      <c r="BX117" s="12">
        <v>0</v>
      </c>
      <c r="BY117" s="12">
        <v>0</v>
      </c>
      <c r="BZ117" s="12">
        <v>0</v>
      </c>
      <c r="CA117" s="12">
        <v>0</v>
      </c>
    </row>
    <row r="118" spans="1:79" hidden="1" x14ac:dyDescent="0.2">
      <c r="A118" s="12" t="s">
        <v>120</v>
      </c>
      <c r="B118" s="12" t="s">
        <v>121</v>
      </c>
      <c r="C118" s="12" t="s">
        <v>121</v>
      </c>
      <c r="D118" s="22" t="s">
        <v>360</v>
      </c>
      <c r="E118" s="22" t="s">
        <v>161</v>
      </c>
      <c r="F118" s="22" t="s">
        <v>768</v>
      </c>
      <c r="G118" s="22" t="s">
        <v>769</v>
      </c>
      <c r="H118" s="22" t="s">
        <v>150</v>
      </c>
      <c r="I118" s="22" t="s">
        <v>151</v>
      </c>
      <c r="J118" s="22" t="s">
        <v>311</v>
      </c>
      <c r="K118" s="22" t="s">
        <v>80</v>
      </c>
      <c r="L118" s="54" t="s">
        <v>153</v>
      </c>
      <c r="M118" s="24" t="s">
        <v>156</v>
      </c>
      <c r="N118" s="24" t="s">
        <v>153</v>
      </c>
      <c r="O118" s="28" t="s">
        <v>163</v>
      </c>
      <c r="P118" s="28" t="s">
        <v>163</v>
      </c>
      <c r="Q118" s="28" t="s">
        <v>163</v>
      </c>
      <c r="R118" s="28" t="s">
        <v>163</v>
      </c>
      <c r="S118" s="28" t="s">
        <v>163</v>
      </c>
      <c r="T118" s="28" t="s">
        <v>163</v>
      </c>
      <c r="U118" s="24" t="s">
        <v>153</v>
      </c>
      <c r="V118" s="54" t="s">
        <v>153</v>
      </c>
      <c r="W118" s="23" t="s">
        <v>153</v>
      </c>
      <c r="X118" s="23" t="s">
        <v>153</v>
      </c>
      <c r="Y118" s="23" t="s">
        <v>153</v>
      </c>
      <c r="Z118" s="23" t="s">
        <v>153</v>
      </c>
      <c r="AA118" s="24" t="s">
        <v>156</v>
      </c>
      <c r="AB118" s="24" t="s">
        <v>153</v>
      </c>
      <c r="AC118" s="23" t="s">
        <v>153</v>
      </c>
      <c r="AD118" s="23" t="s">
        <v>153</v>
      </c>
      <c r="AE118" s="23" t="s">
        <v>153</v>
      </c>
      <c r="AF118" s="23" t="s">
        <v>153</v>
      </c>
      <c r="AG118" s="23" t="s">
        <v>153</v>
      </c>
      <c r="AH118" s="24" t="s">
        <v>156</v>
      </c>
      <c r="AI118" s="24" t="s">
        <v>153</v>
      </c>
      <c r="AJ118" s="23" t="s">
        <v>153</v>
      </c>
      <c r="AK118" s="23" t="s">
        <v>153</v>
      </c>
      <c r="AL118" s="23" t="s">
        <v>153</v>
      </c>
      <c r="AM118" s="23" t="s">
        <v>153</v>
      </c>
      <c r="AN118" s="23" t="s">
        <v>153</v>
      </c>
      <c r="AO118" s="24" t="s">
        <v>156</v>
      </c>
      <c r="AP118" s="23">
        <f>VALUE(0)</f>
        <v>0</v>
      </c>
      <c r="AQ118" s="23">
        <f>VALUE(0)</f>
        <v>0</v>
      </c>
      <c r="AR118" s="23">
        <f>VALUE(0)</f>
        <v>0</v>
      </c>
      <c r="AS118" s="23">
        <f>VALUE(0)</f>
        <v>0</v>
      </c>
      <c r="AT118" s="23">
        <f>VALUE(0)</f>
        <v>0</v>
      </c>
      <c r="AU118" s="23">
        <f>VALUE(6)</f>
        <v>6</v>
      </c>
      <c r="AV118" s="23">
        <f>VALUE(8)</f>
        <v>8</v>
      </c>
      <c r="AW118" s="23">
        <f>VALUE(0)</f>
        <v>0</v>
      </c>
      <c r="AX118" s="23" t="s">
        <v>171</v>
      </c>
      <c r="AY118" s="23" t="s">
        <v>1207</v>
      </c>
      <c r="AZ118" s="23">
        <f>VALUE(0)</f>
        <v>0</v>
      </c>
      <c r="BA118" s="23">
        <f>VALUE(0)</f>
        <v>0</v>
      </c>
      <c r="BB118" s="23">
        <f>VALUE(0)</f>
        <v>0</v>
      </c>
      <c r="BC118" s="23">
        <f>VALUE(0)</f>
        <v>0</v>
      </c>
      <c r="BD118" s="23">
        <f>VALUE(0)</f>
        <v>0</v>
      </c>
      <c r="BE118" s="23">
        <f>VALUE(0)</f>
        <v>0</v>
      </c>
      <c r="BF118" s="23">
        <f>VALUE(0)</f>
        <v>0</v>
      </c>
      <c r="BG118" s="23">
        <f>VALUE(0)</f>
        <v>0</v>
      </c>
      <c r="BH118" s="23">
        <f>VALUE(0)</f>
        <v>0</v>
      </c>
      <c r="BI118" s="23">
        <f>VALUE(0)</f>
        <v>0</v>
      </c>
      <c r="BJ118" s="23">
        <f>VALUE(0)</f>
        <v>0</v>
      </c>
      <c r="BK118" s="12">
        <f>$AX$118*24</f>
        <v>5.833333333333333</v>
      </c>
      <c r="BL118" s="12">
        <f>$AY$118*24</f>
        <v>74.11666666666666</v>
      </c>
      <c r="BM118" s="12">
        <f>$BJ$118*24</f>
        <v>0</v>
      </c>
      <c r="BN118" s="12">
        <f>VALUE($I$118)/100</f>
        <v>1</v>
      </c>
      <c r="BO118" s="12">
        <v>0</v>
      </c>
      <c r="BP118" s="12">
        <v>0</v>
      </c>
      <c r="BQ118" s="12">
        <v>0</v>
      </c>
      <c r="BR118" s="12">
        <v>0</v>
      </c>
      <c r="BS118" s="12">
        <v>0</v>
      </c>
      <c r="BT118" s="12">
        <v>0</v>
      </c>
      <c r="BU118" s="12">
        <v>0</v>
      </c>
      <c r="BV118" s="12">
        <v>0</v>
      </c>
      <c r="BW118" s="12">
        <v>0</v>
      </c>
      <c r="BX118" s="12">
        <v>0</v>
      </c>
      <c r="BY118" s="12">
        <v>0</v>
      </c>
      <c r="BZ118" s="12">
        <v>0</v>
      </c>
      <c r="CA118" s="12">
        <v>0</v>
      </c>
    </row>
    <row r="119" spans="1:79" ht="16.5" hidden="1" x14ac:dyDescent="0.2">
      <c r="A119" s="12" t="s">
        <v>120</v>
      </c>
      <c r="B119" s="12" t="s">
        <v>121</v>
      </c>
      <c r="C119" s="12" t="s">
        <v>121</v>
      </c>
      <c r="D119" s="22" t="s">
        <v>361</v>
      </c>
      <c r="E119" s="22" t="s">
        <v>161</v>
      </c>
      <c r="F119" s="22" t="s">
        <v>770</v>
      </c>
      <c r="G119" s="22" t="s">
        <v>771</v>
      </c>
      <c r="H119" s="22" t="s">
        <v>150</v>
      </c>
      <c r="I119" s="22" t="s">
        <v>151</v>
      </c>
      <c r="J119" s="22" t="s">
        <v>162</v>
      </c>
      <c r="K119" s="22" t="s">
        <v>80</v>
      </c>
      <c r="L119" s="54" t="s">
        <v>153</v>
      </c>
      <c r="M119" s="23" t="s">
        <v>153</v>
      </c>
      <c r="N119" s="24" t="s">
        <v>153</v>
      </c>
      <c r="O119" s="24" t="s">
        <v>156</v>
      </c>
      <c r="P119" s="24" t="s">
        <v>156</v>
      </c>
      <c r="Q119" s="24" t="s">
        <v>156</v>
      </c>
      <c r="R119" s="26" t="s">
        <v>362</v>
      </c>
      <c r="S119" s="26" t="s">
        <v>362</v>
      </c>
      <c r="T119" s="23" t="s">
        <v>153</v>
      </c>
      <c r="U119" s="24" t="s">
        <v>153</v>
      </c>
      <c r="V119" s="54" t="s">
        <v>153</v>
      </c>
      <c r="W119" s="28" t="s">
        <v>163</v>
      </c>
      <c r="X119" s="28" t="s">
        <v>163</v>
      </c>
      <c r="Y119" s="28" t="s">
        <v>163</v>
      </c>
      <c r="Z119" s="28" t="s">
        <v>163</v>
      </c>
      <c r="AA119" s="28" t="s">
        <v>163</v>
      </c>
      <c r="AB119" s="24" t="s">
        <v>153</v>
      </c>
      <c r="AC119" s="28" t="s">
        <v>163</v>
      </c>
      <c r="AD119" s="28" t="s">
        <v>163</v>
      </c>
      <c r="AE119" s="28" t="s">
        <v>163</v>
      </c>
      <c r="AF119" s="28" t="s">
        <v>163</v>
      </c>
      <c r="AG119" s="26" t="s">
        <v>362</v>
      </c>
      <c r="AH119" s="23" t="s">
        <v>153</v>
      </c>
      <c r="AI119" s="24" t="s">
        <v>153</v>
      </c>
      <c r="AJ119" s="26" t="s">
        <v>362</v>
      </c>
      <c r="AK119" s="26" t="s">
        <v>362</v>
      </c>
      <c r="AL119" s="26" t="s">
        <v>362</v>
      </c>
      <c r="AM119" s="26" t="s">
        <v>362</v>
      </c>
      <c r="AN119" s="26" t="s">
        <v>362</v>
      </c>
      <c r="AO119" s="23" t="s">
        <v>153</v>
      </c>
      <c r="AP119" s="23">
        <f>VALUE(2)</f>
        <v>2</v>
      </c>
      <c r="AQ119" s="23">
        <f>VALUE(0)</f>
        <v>0</v>
      </c>
      <c r="AR119" s="23">
        <f>VALUE(0)</f>
        <v>0</v>
      </c>
      <c r="AS119" s="23">
        <f>VALUE(0)</f>
        <v>0</v>
      </c>
      <c r="AT119" s="23">
        <f>VALUE(0)</f>
        <v>0</v>
      </c>
      <c r="AU119" s="23">
        <f>VALUE(9)</f>
        <v>9</v>
      </c>
      <c r="AV119" s="23">
        <f>VALUE(3)</f>
        <v>3</v>
      </c>
      <c r="AW119" s="23">
        <f>VALUE(0)</f>
        <v>0</v>
      </c>
      <c r="AX119" s="23" t="s">
        <v>171</v>
      </c>
      <c r="AY119" s="23" t="s">
        <v>363</v>
      </c>
      <c r="AZ119" s="23">
        <f>VALUE(0)</f>
        <v>0</v>
      </c>
      <c r="BA119" s="23">
        <f>VALUE(0)</f>
        <v>0</v>
      </c>
      <c r="BB119" s="23">
        <f>VALUE(0)</f>
        <v>0</v>
      </c>
      <c r="BC119" s="23">
        <f>VALUE(0)</f>
        <v>0</v>
      </c>
      <c r="BD119" s="23">
        <f>VALUE(0)</f>
        <v>0</v>
      </c>
      <c r="BE119" s="23">
        <f>VALUE(0)</f>
        <v>0</v>
      </c>
      <c r="BF119" s="23">
        <f>VALUE(0)</f>
        <v>0</v>
      </c>
      <c r="BG119" s="23">
        <f>VALUE(0)</f>
        <v>0</v>
      </c>
      <c r="BH119" s="23">
        <f>VALUE(0)</f>
        <v>0</v>
      </c>
      <c r="BI119" s="23">
        <f>VALUE(0)</f>
        <v>0</v>
      </c>
      <c r="BJ119" s="23">
        <f>VALUE(0)</f>
        <v>0</v>
      </c>
      <c r="BK119" s="12">
        <f>$AX$119*24</f>
        <v>5.833333333333333</v>
      </c>
      <c r="BL119" s="12">
        <f>$AY$119*24</f>
        <v>20.033333333333335</v>
      </c>
      <c r="BM119" s="12">
        <f>$BJ$119*24</f>
        <v>0</v>
      </c>
      <c r="BN119" s="12">
        <f>VALUE($I$119)/100</f>
        <v>1</v>
      </c>
      <c r="BO119" s="12">
        <v>0</v>
      </c>
      <c r="BP119" s="12">
        <v>0</v>
      </c>
      <c r="BQ119" s="12">
        <v>0</v>
      </c>
      <c r="BR119" s="12">
        <v>0</v>
      </c>
      <c r="BS119" s="12">
        <v>0</v>
      </c>
      <c r="BT119" s="12">
        <v>0</v>
      </c>
      <c r="BU119" s="12">
        <v>0</v>
      </c>
      <c r="BV119" s="12">
        <v>0</v>
      </c>
      <c r="BW119" s="12">
        <v>0</v>
      </c>
      <c r="BX119" s="12">
        <v>0</v>
      </c>
      <c r="BY119" s="12">
        <v>0</v>
      </c>
      <c r="BZ119" s="12">
        <v>0</v>
      </c>
      <c r="CA119" s="12">
        <v>0</v>
      </c>
    </row>
    <row r="120" spans="1:79" hidden="1" x14ac:dyDescent="0.2">
      <c r="A120" s="12" t="s">
        <v>120</v>
      </c>
      <c r="B120" s="12" t="s">
        <v>121</v>
      </c>
      <c r="C120" s="12" t="s">
        <v>121</v>
      </c>
      <c r="D120" s="22" t="s">
        <v>364</v>
      </c>
      <c r="E120" s="22" t="s">
        <v>161</v>
      </c>
      <c r="F120" s="22" t="s">
        <v>772</v>
      </c>
      <c r="G120" s="22" t="s">
        <v>773</v>
      </c>
      <c r="H120" s="22" t="s">
        <v>150</v>
      </c>
      <c r="I120" s="22" t="s">
        <v>151</v>
      </c>
      <c r="J120" s="22" t="s">
        <v>162</v>
      </c>
      <c r="K120" s="22" t="s">
        <v>80</v>
      </c>
      <c r="L120" s="54" t="s">
        <v>153</v>
      </c>
      <c r="M120" s="23" t="s">
        <v>153</v>
      </c>
      <c r="N120" s="24" t="s">
        <v>153</v>
      </c>
      <c r="O120" s="23" t="s">
        <v>153</v>
      </c>
      <c r="P120" s="23" t="s">
        <v>153</v>
      </c>
      <c r="Q120" s="23" t="s">
        <v>153</v>
      </c>
      <c r="R120" s="23" t="s">
        <v>153</v>
      </c>
      <c r="S120" s="23" t="s">
        <v>153</v>
      </c>
      <c r="T120" s="23" t="s">
        <v>153</v>
      </c>
      <c r="U120" s="24" t="s">
        <v>153</v>
      </c>
      <c r="V120" s="54" t="s">
        <v>153</v>
      </c>
      <c r="W120" s="23" t="s">
        <v>153</v>
      </c>
      <c r="X120" s="23" t="s">
        <v>153</v>
      </c>
      <c r="Y120" s="23" t="s">
        <v>153</v>
      </c>
      <c r="Z120" s="23" t="s">
        <v>153</v>
      </c>
      <c r="AA120" s="23" t="s">
        <v>153</v>
      </c>
      <c r="AB120" s="24" t="s">
        <v>153</v>
      </c>
      <c r="AC120" s="23" t="s">
        <v>153</v>
      </c>
      <c r="AD120" s="23" t="s">
        <v>153</v>
      </c>
      <c r="AE120" s="23" t="s">
        <v>153</v>
      </c>
      <c r="AF120" s="23" t="s">
        <v>153</v>
      </c>
      <c r="AG120" s="24" t="s">
        <v>156</v>
      </c>
      <c r="AH120" s="24" t="s">
        <v>156</v>
      </c>
      <c r="AI120" s="24" t="s">
        <v>153</v>
      </c>
      <c r="AJ120" s="23" t="s">
        <v>153</v>
      </c>
      <c r="AK120" s="23" t="s">
        <v>153</v>
      </c>
      <c r="AL120" s="23" t="s">
        <v>153</v>
      </c>
      <c r="AM120" s="23" t="s">
        <v>153</v>
      </c>
      <c r="AN120" s="23" t="s">
        <v>153</v>
      </c>
      <c r="AO120" s="23" t="s">
        <v>153</v>
      </c>
      <c r="AP120" s="23">
        <f>VALUE(0)</f>
        <v>0</v>
      </c>
      <c r="AQ120" s="23">
        <f>VALUE(0)</f>
        <v>0</v>
      </c>
      <c r="AR120" s="23">
        <f>VALUE(0)</f>
        <v>0</v>
      </c>
      <c r="AS120" s="23">
        <f>VALUE(0)</f>
        <v>0</v>
      </c>
      <c r="AT120" s="23">
        <f>VALUE(0)</f>
        <v>0</v>
      </c>
      <c r="AU120" s="23">
        <f>VALUE(0)</f>
        <v>0</v>
      </c>
      <c r="AV120" s="23">
        <f>VALUE(10)</f>
        <v>10</v>
      </c>
      <c r="AW120" s="23">
        <f>VALUE(0)</f>
        <v>0</v>
      </c>
      <c r="AX120" s="23" t="s">
        <v>365</v>
      </c>
      <c r="AY120" s="23">
        <f>VALUE(0)</f>
        <v>0</v>
      </c>
      <c r="AZ120" s="23">
        <f>VALUE(0)</f>
        <v>0</v>
      </c>
      <c r="BA120" s="23">
        <f>VALUE(0)</f>
        <v>0</v>
      </c>
      <c r="BB120" s="23">
        <f>VALUE(0)</f>
        <v>0</v>
      </c>
      <c r="BC120" s="23">
        <f>VALUE(0)</f>
        <v>0</v>
      </c>
      <c r="BD120" s="23">
        <f>VALUE(0)</f>
        <v>0</v>
      </c>
      <c r="BE120" s="23">
        <f>VALUE(0)</f>
        <v>0</v>
      </c>
      <c r="BF120" s="23">
        <f>VALUE(0)</f>
        <v>0</v>
      </c>
      <c r="BG120" s="23">
        <f>VALUE(0)</f>
        <v>0</v>
      </c>
      <c r="BH120" s="23">
        <f>VALUE(0)</f>
        <v>0</v>
      </c>
      <c r="BI120" s="23">
        <f>VALUE(0)</f>
        <v>0</v>
      </c>
      <c r="BJ120" s="23">
        <f>VALUE(0)</f>
        <v>0</v>
      </c>
      <c r="BK120" s="12">
        <f>$AX$120*24</f>
        <v>5.3166666666666664</v>
      </c>
      <c r="BL120" s="12">
        <f>$AY$120*24</f>
        <v>0</v>
      </c>
      <c r="BM120" s="12">
        <f>$BJ$120*24</f>
        <v>0</v>
      </c>
      <c r="BN120" s="12">
        <f>VALUE($I$120)/100</f>
        <v>1</v>
      </c>
      <c r="BO120" s="12">
        <v>0</v>
      </c>
      <c r="BP120" s="12">
        <v>0</v>
      </c>
      <c r="BQ120" s="12">
        <v>0</v>
      </c>
      <c r="BR120" s="12">
        <v>0</v>
      </c>
      <c r="BS120" s="12">
        <v>0</v>
      </c>
      <c r="BT120" s="12">
        <v>0</v>
      </c>
      <c r="BU120" s="12">
        <v>0</v>
      </c>
      <c r="BV120" s="12">
        <v>0</v>
      </c>
      <c r="BW120" s="12">
        <v>0</v>
      </c>
      <c r="BX120" s="12">
        <v>0</v>
      </c>
      <c r="BY120" s="12">
        <v>0</v>
      </c>
      <c r="BZ120" s="12">
        <v>0</v>
      </c>
      <c r="CA120" s="12">
        <v>0</v>
      </c>
    </row>
    <row r="121" spans="1:79" ht="16.5" x14ac:dyDescent="0.2">
      <c r="A121" s="12" t="s">
        <v>120</v>
      </c>
      <c r="B121" s="12" t="s">
        <v>121</v>
      </c>
      <c r="C121" s="12" t="s">
        <v>121</v>
      </c>
      <c r="D121" s="22" t="s">
        <v>366</v>
      </c>
      <c r="E121" s="22" t="s">
        <v>159</v>
      </c>
      <c r="F121" s="22" t="s">
        <v>774</v>
      </c>
      <c r="G121" s="22" t="s">
        <v>775</v>
      </c>
      <c r="H121" s="22" t="s">
        <v>150</v>
      </c>
      <c r="I121" s="22" t="s">
        <v>151</v>
      </c>
      <c r="J121" s="22" t="s">
        <v>162</v>
      </c>
      <c r="K121" s="22" t="s">
        <v>80</v>
      </c>
      <c r="L121" s="54" t="s">
        <v>153</v>
      </c>
      <c r="M121" s="23" t="s">
        <v>222</v>
      </c>
      <c r="N121" s="24" t="s">
        <v>153</v>
      </c>
      <c r="O121" s="23" t="s">
        <v>153</v>
      </c>
      <c r="P121" s="23" t="s">
        <v>153</v>
      </c>
      <c r="Q121" s="23" t="s">
        <v>360</v>
      </c>
      <c r="R121" s="23" t="s">
        <v>360</v>
      </c>
      <c r="S121" s="23" t="s">
        <v>360</v>
      </c>
      <c r="T121" s="26" t="s">
        <v>367</v>
      </c>
      <c r="U121" s="24" t="s">
        <v>153</v>
      </c>
      <c r="V121" s="54" t="s">
        <v>153</v>
      </c>
      <c r="W121" s="23" t="s">
        <v>361</v>
      </c>
      <c r="X121" s="23" t="s">
        <v>361</v>
      </c>
      <c r="Y121" s="23" t="s">
        <v>361</v>
      </c>
      <c r="Z121" s="23" t="s">
        <v>361</v>
      </c>
      <c r="AA121" s="23" t="s">
        <v>361</v>
      </c>
      <c r="AB121" s="24" t="s">
        <v>153</v>
      </c>
      <c r="AC121" s="25" t="s">
        <v>361</v>
      </c>
      <c r="AD121" s="23" t="s">
        <v>153</v>
      </c>
      <c r="AE121" s="23" t="s">
        <v>153</v>
      </c>
      <c r="AF121" s="23" t="s">
        <v>153</v>
      </c>
      <c r="AG121" s="23" t="s">
        <v>364</v>
      </c>
      <c r="AH121" s="23" t="s">
        <v>364</v>
      </c>
      <c r="AI121" s="24" t="s">
        <v>153</v>
      </c>
      <c r="AJ121" s="23" t="s">
        <v>153</v>
      </c>
      <c r="AK121" s="23" t="s">
        <v>153</v>
      </c>
      <c r="AL121" s="23" t="s">
        <v>153</v>
      </c>
      <c r="AM121" s="23" t="s">
        <v>153</v>
      </c>
      <c r="AN121" s="24" t="s">
        <v>257</v>
      </c>
      <c r="AO121" s="24" t="s">
        <v>257</v>
      </c>
      <c r="AP121" s="23">
        <f>VALUE(0)</f>
        <v>0</v>
      </c>
      <c r="AQ121" s="23">
        <f>VALUE(0)</f>
        <v>0</v>
      </c>
      <c r="AR121" s="23">
        <f>VALUE(0)</f>
        <v>0</v>
      </c>
      <c r="AS121" s="23">
        <f>VALUE(7)</f>
        <v>7</v>
      </c>
      <c r="AT121" s="23">
        <f>VALUE(0)</f>
        <v>0</v>
      </c>
      <c r="AU121" s="23">
        <f>VALUE(0)</f>
        <v>0</v>
      </c>
      <c r="AV121" s="23">
        <f>VALUE(6)</f>
        <v>6</v>
      </c>
      <c r="AW121" s="23">
        <f>VALUE(0)</f>
        <v>0</v>
      </c>
      <c r="AX121" s="23" t="s">
        <v>227</v>
      </c>
      <c r="AY121" s="23" t="s">
        <v>368</v>
      </c>
      <c r="AZ121" s="23">
        <f>VALUE(0)</f>
        <v>0</v>
      </c>
      <c r="BA121" s="23">
        <f>VALUE(0)</f>
        <v>0</v>
      </c>
      <c r="BB121" s="23">
        <f>VALUE(0)</f>
        <v>0</v>
      </c>
      <c r="BC121" s="23">
        <f>VALUE(0)</f>
        <v>0</v>
      </c>
      <c r="BD121" s="23">
        <f>VALUE(0)</f>
        <v>0</v>
      </c>
      <c r="BE121" s="23">
        <f>VALUE(0)</f>
        <v>0</v>
      </c>
      <c r="BF121" s="23">
        <f>VALUE(0)</f>
        <v>0</v>
      </c>
      <c r="BG121" s="23">
        <f>VALUE(0)</f>
        <v>0</v>
      </c>
      <c r="BH121" s="23">
        <f>VALUE(0)</f>
        <v>0</v>
      </c>
      <c r="BI121" s="23">
        <f>VALUE(0)</f>
        <v>0</v>
      </c>
      <c r="BJ121" s="23">
        <f>VALUE(0)</f>
        <v>0</v>
      </c>
      <c r="BK121" s="12">
        <f>$AX$121*24</f>
        <v>2.8333333333333335</v>
      </c>
      <c r="BL121" s="12">
        <f>$AY$121*24</f>
        <v>3.55</v>
      </c>
      <c r="BM121" s="12">
        <f>$BJ$121*24</f>
        <v>0</v>
      </c>
      <c r="BN121" s="12">
        <f>VALUE($I$121)/100</f>
        <v>1</v>
      </c>
      <c r="BO121" s="12">
        <v>0</v>
      </c>
      <c r="BP121" s="12">
        <v>0</v>
      </c>
      <c r="BQ121" s="12">
        <v>0</v>
      </c>
      <c r="BR121" s="12">
        <v>1</v>
      </c>
      <c r="BS121" s="12">
        <v>0</v>
      </c>
      <c r="BT121" s="12">
        <v>0</v>
      </c>
      <c r="BU121" s="12">
        <v>0</v>
      </c>
      <c r="BV121" s="12">
        <v>0</v>
      </c>
      <c r="BW121" s="12">
        <v>0</v>
      </c>
      <c r="BX121" s="12">
        <v>0</v>
      </c>
      <c r="BY121" s="12">
        <v>0</v>
      </c>
      <c r="BZ121" s="12">
        <v>0</v>
      </c>
      <c r="CA121" s="12">
        <v>0</v>
      </c>
    </row>
    <row r="122" spans="1:79" ht="16.5" hidden="1" x14ac:dyDescent="0.2">
      <c r="A122" s="12" t="s">
        <v>120</v>
      </c>
      <c r="B122" s="12" t="s">
        <v>121</v>
      </c>
      <c r="C122" s="12" t="s">
        <v>121</v>
      </c>
      <c r="D122" s="22" t="s">
        <v>369</v>
      </c>
      <c r="E122" s="22" t="s">
        <v>173</v>
      </c>
      <c r="F122" s="22" t="s">
        <v>776</v>
      </c>
      <c r="G122" s="22" t="s">
        <v>777</v>
      </c>
      <c r="H122" s="22" t="s">
        <v>150</v>
      </c>
      <c r="I122" s="22" t="s">
        <v>151</v>
      </c>
      <c r="J122" s="22" t="s">
        <v>162</v>
      </c>
      <c r="K122" s="22" t="s">
        <v>80</v>
      </c>
      <c r="L122" s="54" t="s">
        <v>153</v>
      </c>
      <c r="M122" s="29" t="s">
        <v>170</v>
      </c>
      <c r="N122" s="24" t="s">
        <v>153</v>
      </c>
      <c r="O122" s="29" t="s">
        <v>170</v>
      </c>
      <c r="P122" s="29" t="s">
        <v>170</v>
      </c>
      <c r="Q122" s="29" t="s">
        <v>170</v>
      </c>
      <c r="R122" s="29" t="s">
        <v>170</v>
      </c>
      <c r="S122" s="29" t="s">
        <v>170</v>
      </c>
      <c r="T122" s="29" t="s">
        <v>170</v>
      </c>
      <c r="U122" s="24" t="s">
        <v>153</v>
      </c>
      <c r="V122" s="54" t="s">
        <v>153</v>
      </c>
      <c r="W122" s="29" t="s">
        <v>170</v>
      </c>
      <c r="X122" s="29" t="s">
        <v>170</v>
      </c>
      <c r="Y122" s="29" t="s">
        <v>170</v>
      </c>
      <c r="Z122" s="29" t="s">
        <v>170</v>
      </c>
      <c r="AA122" s="26" t="s">
        <v>370</v>
      </c>
      <c r="AB122" s="24" t="s">
        <v>153</v>
      </c>
      <c r="AC122" s="25" t="s">
        <v>1208</v>
      </c>
      <c r="AD122" s="23" t="s">
        <v>361</v>
      </c>
      <c r="AE122" s="23" t="s">
        <v>361</v>
      </c>
      <c r="AF122" s="23" t="s">
        <v>361</v>
      </c>
      <c r="AG122" s="24" t="s">
        <v>156</v>
      </c>
      <c r="AH122" s="24" t="s">
        <v>156</v>
      </c>
      <c r="AI122" s="24" t="s">
        <v>153</v>
      </c>
      <c r="AJ122" s="26" t="s">
        <v>1209</v>
      </c>
      <c r="AK122" s="26" t="s">
        <v>1209</v>
      </c>
      <c r="AL122" s="26" t="s">
        <v>1209</v>
      </c>
      <c r="AM122" s="26" t="s">
        <v>367</v>
      </c>
      <c r="AN122" s="26" t="s">
        <v>367</v>
      </c>
      <c r="AO122" s="26" t="s">
        <v>367</v>
      </c>
      <c r="AP122" s="23">
        <f>VALUE(10)</f>
        <v>10</v>
      </c>
      <c r="AQ122" s="23">
        <f>VALUE(0)</f>
        <v>0</v>
      </c>
      <c r="AR122" s="23">
        <f>VALUE(11)</f>
        <v>11</v>
      </c>
      <c r="AS122" s="23">
        <f>VALUE(0)</f>
        <v>0</v>
      </c>
      <c r="AT122" s="23">
        <f>VALUE(0)</f>
        <v>0</v>
      </c>
      <c r="AU122" s="23">
        <f>VALUE(0)</f>
        <v>0</v>
      </c>
      <c r="AV122" s="23">
        <f>VALUE(6)</f>
        <v>6</v>
      </c>
      <c r="AW122" s="23">
        <f>VALUE(0)</f>
        <v>0</v>
      </c>
      <c r="AX122" s="23" t="s">
        <v>171</v>
      </c>
      <c r="AY122" s="23" t="s">
        <v>371</v>
      </c>
      <c r="AZ122" s="23">
        <f>VALUE(0)</f>
        <v>0</v>
      </c>
      <c r="BA122" s="23">
        <f>VALUE(0)</f>
        <v>0</v>
      </c>
      <c r="BB122" s="23">
        <f>VALUE(0)</f>
        <v>0</v>
      </c>
      <c r="BC122" s="23">
        <f>VALUE(0)</f>
        <v>0</v>
      </c>
      <c r="BD122" s="23">
        <f>VALUE(4)</f>
        <v>4</v>
      </c>
      <c r="BE122" s="23">
        <f>VALUE(0)</f>
        <v>0</v>
      </c>
      <c r="BF122" s="23">
        <f>VALUE(0)</f>
        <v>0</v>
      </c>
      <c r="BG122" s="23">
        <f>VALUE(0)</f>
        <v>0</v>
      </c>
      <c r="BH122" s="23">
        <f>VALUE(0)</f>
        <v>0</v>
      </c>
      <c r="BI122" s="23">
        <f>VALUE(0)</f>
        <v>0</v>
      </c>
      <c r="BJ122" s="23">
        <f>VALUE(0)</f>
        <v>0</v>
      </c>
      <c r="BK122" s="12">
        <f>$AX$122*24</f>
        <v>5.833333333333333</v>
      </c>
      <c r="BL122" s="12">
        <f>$AY$122*24</f>
        <v>6.2166666666666668</v>
      </c>
      <c r="BM122" s="12">
        <f>$BJ$122*24</f>
        <v>0</v>
      </c>
      <c r="BN122" s="12">
        <f>VALUE($I$122)/100</f>
        <v>1</v>
      </c>
      <c r="BO122" s="12">
        <v>0</v>
      </c>
      <c r="BP122" s="12">
        <v>0</v>
      </c>
      <c r="BQ122" s="12">
        <v>0</v>
      </c>
      <c r="BR122" s="12">
        <v>1</v>
      </c>
      <c r="BS122" s="12">
        <v>0</v>
      </c>
      <c r="BT122" s="12">
        <v>0</v>
      </c>
      <c r="BU122" s="12">
        <v>11</v>
      </c>
      <c r="BV122" s="12">
        <v>0</v>
      </c>
      <c r="BW122" s="12">
        <v>0</v>
      </c>
      <c r="BX122" s="12">
        <v>0</v>
      </c>
      <c r="BY122" s="12">
        <v>0</v>
      </c>
      <c r="BZ122" s="12">
        <v>0</v>
      </c>
      <c r="CA122" s="12">
        <v>0</v>
      </c>
    </row>
    <row r="123" spans="1:79" ht="16.5" hidden="1" x14ac:dyDescent="0.2">
      <c r="A123" s="12" t="s">
        <v>120</v>
      </c>
      <c r="B123" s="12" t="s">
        <v>121</v>
      </c>
      <c r="C123" s="12" t="s">
        <v>121</v>
      </c>
      <c r="D123" s="22" t="s">
        <v>372</v>
      </c>
      <c r="E123" s="22" t="s">
        <v>173</v>
      </c>
      <c r="F123" s="22" t="s">
        <v>778</v>
      </c>
      <c r="G123" s="22" t="s">
        <v>779</v>
      </c>
      <c r="H123" s="22" t="s">
        <v>150</v>
      </c>
      <c r="I123" s="22" t="s">
        <v>151</v>
      </c>
      <c r="J123" s="22" t="s">
        <v>162</v>
      </c>
      <c r="K123" s="22" t="s">
        <v>80</v>
      </c>
      <c r="L123" s="54" t="s">
        <v>153</v>
      </c>
      <c r="M123" s="24" t="s">
        <v>156</v>
      </c>
      <c r="N123" s="24" t="s">
        <v>153</v>
      </c>
      <c r="O123" s="26" t="s">
        <v>367</v>
      </c>
      <c r="P123" s="26" t="s">
        <v>367</v>
      </c>
      <c r="Q123" s="26" t="s">
        <v>367</v>
      </c>
      <c r="R123" s="26" t="s">
        <v>367</v>
      </c>
      <c r="S123" s="26" t="s">
        <v>367</v>
      </c>
      <c r="T123" s="28" t="s">
        <v>163</v>
      </c>
      <c r="U123" s="24" t="s">
        <v>153</v>
      </c>
      <c r="V123" s="54" t="s">
        <v>153</v>
      </c>
      <c r="W123" s="26" t="s">
        <v>367</v>
      </c>
      <c r="X123" s="26" t="s">
        <v>367</v>
      </c>
      <c r="Y123" s="26" t="s">
        <v>367</v>
      </c>
      <c r="Z123" s="26" t="s">
        <v>367</v>
      </c>
      <c r="AA123" s="26" t="s">
        <v>367</v>
      </c>
      <c r="AB123" s="24" t="s">
        <v>153</v>
      </c>
      <c r="AC123" s="26" t="s">
        <v>367</v>
      </c>
      <c r="AD123" s="26" t="s">
        <v>367</v>
      </c>
      <c r="AE123" s="26" t="s">
        <v>367</v>
      </c>
      <c r="AF123" s="26" t="s">
        <v>367</v>
      </c>
      <c r="AG123" s="26" t="s">
        <v>367</v>
      </c>
      <c r="AH123" s="26" t="s">
        <v>367</v>
      </c>
      <c r="AI123" s="24" t="s">
        <v>153</v>
      </c>
      <c r="AJ123" s="26" t="s">
        <v>367</v>
      </c>
      <c r="AK123" s="26" t="s">
        <v>367</v>
      </c>
      <c r="AL123" s="26" t="s">
        <v>367</v>
      </c>
      <c r="AM123" s="24" t="s">
        <v>156</v>
      </c>
      <c r="AN123" s="24" t="s">
        <v>156</v>
      </c>
      <c r="AO123" s="24" t="s">
        <v>156</v>
      </c>
      <c r="AP123" s="23">
        <f>VALUE(2)</f>
        <v>2</v>
      </c>
      <c r="AQ123" s="23">
        <f>VALUE(0)</f>
        <v>0</v>
      </c>
      <c r="AR123" s="23">
        <f>VALUE(0)</f>
        <v>0</v>
      </c>
      <c r="AS123" s="23">
        <f>VALUE(0)</f>
        <v>0</v>
      </c>
      <c r="AT123" s="23">
        <f>VALUE(0)</f>
        <v>0</v>
      </c>
      <c r="AU123" s="23">
        <f>VALUE(1)</f>
        <v>1</v>
      </c>
      <c r="AV123" s="23">
        <f>VALUE(6)</f>
        <v>6</v>
      </c>
      <c r="AW123" s="23">
        <f>VALUE(0)</f>
        <v>0</v>
      </c>
      <c r="AX123" s="23" t="s">
        <v>176</v>
      </c>
      <c r="AY123" s="23" t="s">
        <v>373</v>
      </c>
      <c r="AZ123" s="23">
        <f>VALUE(0)</f>
        <v>0</v>
      </c>
      <c r="BA123" s="23">
        <f>VALUE(0)</f>
        <v>0</v>
      </c>
      <c r="BB123" s="23">
        <f>VALUE(0)</f>
        <v>0</v>
      </c>
      <c r="BC123" s="23">
        <f>VALUE(0)</f>
        <v>0</v>
      </c>
      <c r="BD123" s="23">
        <f>VALUE(0)</f>
        <v>0</v>
      </c>
      <c r="BE123" s="23">
        <f>VALUE(0)</f>
        <v>0</v>
      </c>
      <c r="BF123" s="23">
        <f>VALUE(0)</f>
        <v>0</v>
      </c>
      <c r="BG123" s="23">
        <f>VALUE(0)</f>
        <v>0</v>
      </c>
      <c r="BH123" s="23">
        <f>VALUE(0)</f>
        <v>0</v>
      </c>
      <c r="BI123" s="23">
        <f>VALUE(0)</f>
        <v>0</v>
      </c>
      <c r="BJ123" s="23">
        <f>VALUE(0)</f>
        <v>0</v>
      </c>
      <c r="BK123" s="12">
        <f>$AX$123*24</f>
        <v>0</v>
      </c>
      <c r="BL123" s="12">
        <f>$AY$123*24</f>
        <v>12.166666666666666</v>
      </c>
      <c r="BM123" s="12">
        <f>$BJ$123*24</f>
        <v>0</v>
      </c>
      <c r="BN123" s="12">
        <f>VALUE($I$123)/100</f>
        <v>1</v>
      </c>
      <c r="BO123" s="12">
        <v>0</v>
      </c>
      <c r="BP123" s="12">
        <v>0</v>
      </c>
      <c r="BQ123" s="12">
        <v>0</v>
      </c>
      <c r="BR123" s="12">
        <v>0</v>
      </c>
      <c r="BS123" s="12">
        <v>0</v>
      </c>
      <c r="BT123" s="12">
        <v>0</v>
      </c>
      <c r="BU123" s="12">
        <v>0</v>
      </c>
      <c r="BV123" s="12">
        <v>0</v>
      </c>
      <c r="BW123" s="12">
        <v>0</v>
      </c>
      <c r="BX123" s="12">
        <v>0</v>
      </c>
      <c r="BY123" s="12">
        <v>0</v>
      </c>
      <c r="BZ123" s="12">
        <v>0</v>
      </c>
      <c r="CA123" s="12">
        <v>0</v>
      </c>
    </row>
    <row r="124" spans="1:79" ht="15" hidden="1" x14ac:dyDescent="0.25">
      <c r="A124" s="12" t="s">
        <v>120</v>
      </c>
      <c r="B124" s="12" t="s">
        <v>121</v>
      </c>
      <c r="C124" s="12" t="s">
        <v>121</v>
      </c>
      <c r="D124" s="31" t="s">
        <v>323</v>
      </c>
      <c r="E124" s="31" t="s">
        <v>153</v>
      </c>
      <c r="F124" s="31" t="s">
        <v>175</v>
      </c>
      <c r="G124" s="31" t="s">
        <v>153</v>
      </c>
      <c r="H124" s="31" t="s">
        <v>153</v>
      </c>
      <c r="I124" s="31" t="s">
        <v>153</v>
      </c>
      <c r="J124" s="31" t="s">
        <v>153</v>
      </c>
      <c r="K124" s="31" t="s">
        <v>153</v>
      </c>
      <c r="L124" s="31">
        <f>VALUE(0)</f>
        <v>0</v>
      </c>
      <c r="M124" s="31">
        <f>VALUE(3)</f>
        <v>3</v>
      </c>
      <c r="N124" s="31">
        <f>VALUE(0)</f>
        <v>0</v>
      </c>
      <c r="O124" s="31">
        <f>VALUE(2)</f>
        <v>2</v>
      </c>
      <c r="P124" s="31">
        <f>VALUE(2)</f>
        <v>2</v>
      </c>
      <c r="Q124" s="31">
        <f>VALUE(3)</f>
        <v>3</v>
      </c>
      <c r="R124" s="31">
        <f>VALUE(4)</f>
        <v>4</v>
      </c>
      <c r="S124" s="31">
        <f>VALUE(4)</f>
        <v>4</v>
      </c>
      <c r="T124" s="31">
        <f>VALUE(3)</f>
        <v>3</v>
      </c>
      <c r="U124" s="31">
        <f>VALUE(0)</f>
        <v>0</v>
      </c>
      <c r="V124" s="31">
        <f>VALUE(0)</f>
        <v>0</v>
      </c>
      <c r="W124" s="31">
        <f>VALUE(4)</f>
        <v>4</v>
      </c>
      <c r="X124" s="31">
        <f>VALUE(4)</f>
        <v>4</v>
      </c>
      <c r="Y124" s="31">
        <f>VALUE(4)</f>
        <v>4</v>
      </c>
      <c r="Z124" s="31">
        <f>VALUE(4)</f>
        <v>4</v>
      </c>
      <c r="AA124" s="31">
        <f>VALUE(4)</f>
        <v>4</v>
      </c>
      <c r="AB124" s="31">
        <f>VALUE(0)</f>
        <v>0</v>
      </c>
      <c r="AC124" s="31">
        <f>VALUE(5)</f>
        <v>5</v>
      </c>
      <c r="AD124" s="31">
        <f>VALUE(5)</f>
        <v>5</v>
      </c>
      <c r="AE124" s="31">
        <f>VALUE(5)</f>
        <v>5</v>
      </c>
      <c r="AF124" s="31">
        <f>VALUE(5)</f>
        <v>5</v>
      </c>
      <c r="AG124" s="31">
        <f>VALUE(4)</f>
        <v>4</v>
      </c>
      <c r="AH124" s="31">
        <f>VALUE(3)</f>
        <v>3</v>
      </c>
      <c r="AI124" s="31">
        <f>VALUE(0)</f>
        <v>0</v>
      </c>
      <c r="AJ124" s="31">
        <f>VALUE(6)</f>
        <v>6</v>
      </c>
      <c r="AK124" s="31">
        <f>VALUE(6)</f>
        <v>6</v>
      </c>
      <c r="AL124" s="31">
        <f>VALUE(6)</f>
        <v>6</v>
      </c>
      <c r="AM124" s="31">
        <f>VALUE(5)</f>
        <v>5</v>
      </c>
      <c r="AN124" s="31">
        <f>VALUE(4)</f>
        <v>4</v>
      </c>
      <c r="AO124" s="31">
        <f>VALUE(3)</f>
        <v>3</v>
      </c>
      <c r="AP124" s="31">
        <v>0</v>
      </c>
      <c r="AQ124" s="31">
        <v>0</v>
      </c>
      <c r="AR124" s="31">
        <v>0</v>
      </c>
      <c r="AS124" s="31">
        <v>0</v>
      </c>
      <c r="AT124" s="31">
        <v>0</v>
      </c>
      <c r="AU124" s="31">
        <v>0</v>
      </c>
      <c r="AV124" s="31">
        <v>0</v>
      </c>
      <c r="AW124" s="31">
        <v>0</v>
      </c>
      <c r="AX124" s="31">
        <v>0</v>
      </c>
      <c r="AY124" s="31">
        <v>0</v>
      </c>
      <c r="AZ124" s="31">
        <v>0</v>
      </c>
      <c r="BA124" s="31">
        <v>0</v>
      </c>
      <c r="BB124" s="31">
        <v>0</v>
      </c>
      <c r="BC124" s="31">
        <v>0</v>
      </c>
      <c r="BD124" s="31">
        <v>0</v>
      </c>
      <c r="BE124" s="31">
        <v>0</v>
      </c>
      <c r="BF124" s="31">
        <v>0</v>
      </c>
      <c r="BG124" s="31">
        <v>0</v>
      </c>
      <c r="BH124" s="31">
        <v>0</v>
      </c>
      <c r="BI124" s="31">
        <v>0</v>
      </c>
      <c r="BJ124" s="31">
        <v>0</v>
      </c>
      <c r="BK124" s="12">
        <v>0</v>
      </c>
      <c r="BL124" s="12">
        <v>0</v>
      </c>
      <c r="BM124" s="12">
        <v>0</v>
      </c>
      <c r="BN124" s="12"/>
      <c r="BO124" s="12">
        <v>0</v>
      </c>
      <c r="BP124" s="12">
        <v>0</v>
      </c>
      <c r="BQ124" s="12">
        <v>0</v>
      </c>
      <c r="BR124" s="12">
        <v>0</v>
      </c>
      <c r="BS124" s="12">
        <v>0</v>
      </c>
      <c r="BT124" s="12">
        <v>0</v>
      </c>
      <c r="BU124" s="12">
        <v>0</v>
      </c>
      <c r="BV124" s="12">
        <v>0</v>
      </c>
      <c r="BW124" s="12">
        <v>0</v>
      </c>
      <c r="BX124" s="12">
        <v>0</v>
      </c>
      <c r="BY124" s="12">
        <v>0</v>
      </c>
      <c r="BZ124" s="12">
        <v>0</v>
      </c>
      <c r="CA124" s="12">
        <v>0</v>
      </c>
    </row>
    <row r="125" spans="1:79" ht="16.5" hidden="1" x14ac:dyDescent="0.2">
      <c r="A125" s="12" t="s">
        <v>120</v>
      </c>
      <c r="B125" s="12" t="s">
        <v>122</v>
      </c>
      <c r="C125" s="12" t="s">
        <v>122</v>
      </c>
      <c r="D125" s="22" t="s">
        <v>374</v>
      </c>
      <c r="E125" s="22" t="s">
        <v>173</v>
      </c>
      <c r="F125" s="22" t="s">
        <v>780</v>
      </c>
      <c r="G125" s="22" t="s">
        <v>781</v>
      </c>
      <c r="H125" s="22" t="s">
        <v>150</v>
      </c>
      <c r="I125" s="22" t="s">
        <v>151</v>
      </c>
      <c r="J125" s="22" t="s">
        <v>162</v>
      </c>
      <c r="K125" s="22" t="s">
        <v>81</v>
      </c>
      <c r="L125" s="54" t="s">
        <v>153</v>
      </c>
      <c r="M125" s="26" t="s">
        <v>591</v>
      </c>
      <c r="N125" s="24" t="s">
        <v>153</v>
      </c>
      <c r="O125" s="23" t="s">
        <v>391</v>
      </c>
      <c r="P125" s="23" t="s">
        <v>391</v>
      </c>
      <c r="Q125" s="26" t="s">
        <v>591</v>
      </c>
      <c r="R125" s="26" t="s">
        <v>591</v>
      </c>
      <c r="S125" s="26" t="s">
        <v>591</v>
      </c>
      <c r="T125" s="26" t="s">
        <v>591</v>
      </c>
      <c r="U125" s="24" t="s">
        <v>153</v>
      </c>
      <c r="V125" s="54" t="s">
        <v>153</v>
      </c>
      <c r="W125" s="26" t="s">
        <v>591</v>
      </c>
      <c r="X125" s="26" t="s">
        <v>591</v>
      </c>
      <c r="Y125" s="26" t="s">
        <v>591</v>
      </c>
      <c r="Z125" s="26" t="s">
        <v>591</v>
      </c>
      <c r="AA125" s="26" t="s">
        <v>591</v>
      </c>
      <c r="AB125" s="24" t="s">
        <v>153</v>
      </c>
      <c r="AC125" s="26" t="s">
        <v>591</v>
      </c>
      <c r="AD125" s="26" t="s">
        <v>591</v>
      </c>
      <c r="AE125" s="26" t="s">
        <v>591</v>
      </c>
      <c r="AF125" s="26" t="s">
        <v>591</v>
      </c>
      <c r="AG125" s="24" t="s">
        <v>156</v>
      </c>
      <c r="AH125" s="24" t="s">
        <v>156</v>
      </c>
      <c r="AI125" s="24" t="s">
        <v>153</v>
      </c>
      <c r="AJ125" s="25" t="s">
        <v>385</v>
      </c>
      <c r="AK125" s="26" t="s">
        <v>1210</v>
      </c>
      <c r="AL125" s="25" t="s">
        <v>429</v>
      </c>
      <c r="AM125" s="25" t="s">
        <v>429</v>
      </c>
      <c r="AN125" s="25" t="s">
        <v>429</v>
      </c>
      <c r="AO125" s="25" t="s">
        <v>429</v>
      </c>
      <c r="AP125" s="23">
        <f>VALUE(1)</f>
        <v>1</v>
      </c>
      <c r="AQ125" s="23">
        <f>VALUE(0)</f>
        <v>0</v>
      </c>
      <c r="AR125" s="23">
        <f>VALUE(0)</f>
        <v>0</v>
      </c>
      <c r="AS125" s="23">
        <f>VALUE(0)</f>
        <v>0</v>
      </c>
      <c r="AT125" s="23">
        <f>VALUE(0)</f>
        <v>0</v>
      </c>
      <c r="AU125" s="23">
        <f>VALUE(0)</f>
        <v>0</v>
      </c>
      <c r="AV125" s="23">
        <f>VALUE(5)</f>
        <v>5</v>
      </c>
      <c r="AW125" s="23">
        <f>VALUE(0)</f>
        <v>0</v>
      </c>
      <c r="AX125" s="23" t="s">
        <v>171</v>
      </c>
      <c r="AY125" s="23" t="s">
        <v>387</v>
      </c>
      <c r="AZ125" s="23">
        <f>VALUE(0)</f>
        <v>0</v>
      </c>
      <c r="BA125" s="23">
        <f>VALUE(0)</f>
        <v>0</v>
      </c>
      <c r="BB125" s="23">
        <f>VALUE(0)</f>
        <v>0</v>
      </c>
      <c r="BC125" s="23">
        <f>VALUE(0)</f>
        <v>0</v>
      </c>
      <c r="BD125" s="23">
        <f>VALUE(0)</f>
        <v>0</v>
      </c>
      <c r="BE125" s="23">
        <f>VALUE(0)</f>
        <v>0</v>
      </c>
      <c r="BF125" s="23">
        <f>VALUE(0)</f>
        <v>0</v>
      </c>
      <c r="BG125" s="23">
        <f>VALUE(0)</f>
        <v>0</v>
      </c>
      <c r="BH125" s="23">
        <f>VALUE(0)</f>
        <v>0</v>
      </c>
      <c r="BI125" s="23">
        <f>VALUE(0)</f>
        <v>0</v>
      </c>
      <c r="BJ125" s="23">
        <f>VALUE(0)</f>
        <v>0</v>
      </c>
      <c r="BK125" s="12">
        <f>$AX$125*24</f>
        <v>5.833333333333333</v>
      </c>
      <c r="BL125" s="12">
        <f>$AY$125*24</f>
        <v>3.35</v>
      </c>
      <c r="BM125" s="12">
        <f>$BJ$125*24</f>
        <v>0</v>
      </c>
      <c r="BN125" s="12">
        <f>VALUE($I$125)/100</f>
        <v>1</v>
      </c>
      <c r="BO125" s="12">
        <v>0</v>
      </c>
      <c r="BP125" s="12">
        <v>0</v>
      </c>
      <c r="BQ125" s="12">
        <v>0</v>
      </c>
      <c r="BR125" s="12">
        <v>0</v>
      </c>
      <c r="BS125" s="12">
        <v>0</v>
      </c>
      <c r="BT125" s="12">
        <v>0</v>
      </c>
      <c r="BU125" s="12">
        <v>0</v>
      </c>
      <c r="BV125" s="12">
        <v>0</v>
      </c>
      <c r="BW125" s="12">
        <v>0</v>
      </c>
      <c r="BX125" s="12">
        <v>0</v>
      </c>
      <c r="BY125" s="12">
        <v>0</v>
      </c>
      <c r="BZ125" s="12">
        <v>0</v>
      </c>
      <c r="CA125" s="12">
        <v>0</v>
      </c>
    </row>
    <row r="126" spans="1:79" x14ac:dyDescent="0.2">
      <c r="A126" s="12" t="s">
        <v>120</v>
      </c>
      <c r="B126" s="12" t="s">
        <v>122</v>
      </c>
      <c r="C126" s="12" t="s">
        <v>122</v>
      </c>
      <c r="D126" s="22" t="s">
        <v>377</v>
      </c>
      <c r="E126" s="22" t="s">
        <v>159</v>
      </c>
      <c r="F126" s="22" t="s">
        <v>782</v>
      </c>
      <c r="G126" s="22" t="s">
        <v>783</v>
      </c>
      <c r="H126" s="22" t="s">
        <v>150</v>
      </c>
      <c r="I126" s="22" t="s">
        <v>151</v>
      </c>
      <c r="J126" s="22" t="s">
        <v>162</v>
      </c>
      <c r="K126" s="22" t="s">
        <v>81</v>
      </c>
      <c r="L126" s="54" t="s">
        <v>153</v>
      </c>
      <c r="M126" s="28" t="s">
        <v>163</v>
      </c>
      <c r="N126" s="24" t="s">
        <v>153</v>
      </c>
      <c r="O126" s="25" t="s">
        <v>388</v>
      </c>
      <c r="P126" s="24" t="s">
        <v>156</v>
      </c>
      <c r="Q126" s="23" t="s">
        <v>153</v>
      </c>
      <c r="R126" s="23" t="s">
        <v>153</v>
      </c>
      <c r="S126" s="23" t="s">
        <v>153</v>
      </c>
      <c r="T126" s="23" t="s">
        <v>153</v>
      </c>
      <c r="U126" s="24" t="s">
        <v>153</v>
      </c>
      <c r="V126" s="54" t="s">
        <v>153</v>
      </c>
      <c r="W126" s="23" t="s">
        <v>153</v>
      </c>
      <c r="X126" s="23" t="s">
        <v>153</v>
      </c>
      <c r="Y126" s="23" t="s">
        <v>153</v>
      </c>
      <c r="Z126" s="23" t="s">
        <v>153</v>
      </c>
      <c r="AA126" s="23" t="s">
        <v>153</v>
      </c>
      <c r="AB126" s="24" t="s">
        <v>153</v>
      </c>
      <c r="AC126" s="23" t="s">
        <v>153</v>
      </c>
      <c r="AD126" s="23" t="s">
        <v>153</v>
      </c>
      <c r="AE126" s="24" t="s">
        <v>156</v>
      </c>
      <c r="AF126" s="24" t="s">
        <v>156</v>
      </c>
      <c r="AG126" s="23" t="s">
        <v>386</v>
      </c>
      <c r="AH126" s="23" t="s">
        <v>392</v>
      </c>
      <c r="AI126" s="24" t="s">
        <v>153</v>
      </c>
      <c r="AJ126" s="23" t="s">
        <v>153</v>
      </c>
      <c r="AK126" s="23" t="s">
        <v>153</v>
      </c>
      <c r="AL126" s="23" t="s">
        <v>153</v>
      </c>
      <c r="AM126" s="23" t="s">
        <v>153</v>
      </c>
      <c r="AN126" s="23" t="s">
        <v>153</v>
      </c>
      <c r="AO126" s="23" t="s">
        <v>153</v>
      </c>
      <c r="AP126" s="23">
        <f>VALUE(0)</f>
        <v>0</v>
      </c>
      <c r="AQ126" s="23">
        <f>VALUE(0)</f>
        <v>0</v>
      </c>
      <c r="AR126" s="23">
        <f>VALUE(0)</f>
        <v>0</v>
      </c>
      <c r="AS126" s="23">
        <f>VALUE(17)</f>
        <v>17</v>
      </c>
      <c r="AT126" s="23">
        <f>VALUE(0)</f>
        <v>0</v>
      </c>
      <c r="AU126" s="23">
        <f>VALUE(1)</f>
        <v>1</v>
      </c>
      <c r="AV126" s="23">
        <f>VALUE(0)</f>
        <v>0</v>
      </c>
      <c r="AW126" s="23">
        <f>VALUE(0)</f>
        <v>0</v>
      </c>
      <c r="AX126" s="23" t="s">
        <v>394</v>
      </c>
      <c r="AY126" s="23" t="s">
        <v>395</v>
      </c>
      <c r="AZ126" s="23">
        <f>VALUE(0)</f>
        <v>0</v>
      </c>
      <c r="BA126" s="23">
        <f>VALUE(0)</f>
        <v>0</v>
      </c>
      <c r="BB126" s="23">
        <f>VALUE(0)</f>
        <v>0</v>
      </c>
      <c r="BC126" s="23">
        <f>VALUE(0)</f>
        <v>0</v>
      </c>
      <c r="BD126" s="23">
        <f>VALUE(0)</f>
        <v>0</v>
      </c>
      <c r="BE126" s="23">
        <f>VALUE(0)</f>
        <v>0</v>
      </c>
      <c r="BF126" s="23">
        <f>VALUE(0)</f>
        <v>0</v>
      </c>
      <c r="BG126" s="23">
        <f>VALUE(0)</f>
        <v>0</v>
      </c>
      <c r="BH126" s="23">
        <f>VALUE(0)</f>
        <v>0</v>
      </c>
      <c r="BI126" s="23">
        <f>VALUE(0)</f>
        <v>0</v>
      </c>
      <c r="BJ126" s="23">
        <f>VALUE(0)</f>
        <v>0</v>
      </c>
      <c r="BK126" s="12">
        <f>$AX$126*24</f>
        <v>9.3333333333333339</v>
      </c>
      <c r="BL126" s="12">
        <f>$AY$126*24</f>
        <v>12.033333333333333</v>
      </c>
      <c r="BM126" s="12">
        <f>$BJ$126*24</f>
        <v>0</v>
      </c>
      <c r="BN126" s="12">
        <f>VALUE($I$126)/100</f>
        <v>1</v>
      </c>
      <c r="BO126" s="12">
        <v>0</v>
      </c>
      <c r="BP126" s="12">
        <v>0</v>
      </c>
      <c r="BQ126" s="12">
        <v>0</v>
      </c>
      <c r="BR126" s="12">
        <v>0</v>
      </c>
      <c r="BS126" s="12">
        <v>0</v>
      </c>
      <c r="BT126" s="12">
        <v>0</v>
      </c>
      <c r="BU126" s="12">
        <v>0</v>
      </c>
      <c r="BV126" s="12">
        <v>0</v>
      </c>
      <c r="BW126" s="12">
        <v>0</v>
      </c>
      <c r="BX126" s="12">
        <v>0</v>
      </c>
      <c r="BY126" s="12">
        <v>0</v>
      </c>
      <c r="BZ126" s="12">
        <v>0</v>
      </c>
      <c r="CA126" s="12">
        <v>0</v>
      </c>
    </row>
    <row r="127" spans="1:79" x14ac:dyDescent="0.2">
      <c r="A127" s="12" t="s">
        <v>120</v>
      </c>
      <c r="B127" s="12" t="s">
        <v>122</v>
      </c>
      <c r="C127" s="12" t="s">
        <v>122</v>
      </c>
      <c r="D127" s="22" t="s">
        <v>396</v>
      </c>
      <c r="E127" s="22" t="s">
        <v>159</v>
      </c>
      <c r="F127" s="22" t="s">
        <v>784</v>
      </c>
      <c r="G127" s="22" t="s">
        <v>785</v>
      </c>
      <c r="H127" s="22" t="s">
        <v>166</v>
      </c>
      <c r="I127" s="22" t="s">
        <v>151</v>
      </c>
      <c r="J127" s="22" t="s">
        <v>162</v>
      </c>
      <c r="K127" s="22" t="s">
        <v>81</v>
      </c>
      <c r="L127" s="54" t="s">
        <v>153</v>
      </c>
      <c r="M127" s="28" t="s">
        <v>163</v>
      </c>
      <c r="N127" s="24" t="s">
        <v>153</v>
      </c>
      <c r="O127" s="28" t="s">
        <v>163</v>
      </c>
      <c r="P127" s="28" t="s">
        <v>163</v>
      </c>
      <c r="Q127" s="28" t="s">
        <v>163</v>
      </c>
      <c r="R127" s="28" t="s">
        <v>163</v>
      </c>
      <c r="S127" s="28" t="s">
        <v>163</v>
      </c>
      <c r="T127" s="28" t="s">
        <v>163</v>
      </c>
      <c r="U127" s="24" t="s">
        <v>153</v>
      </c>
      <c r="V127" s="54" t="s">
        <v>153</v>
      </c>
      <c r="W127" s="23" t="s">
        <v>391</v>
      </c>
      <c r="X127" s="23" t="s">
        <v>391</v>
      </c>
      <c r="Y127" s="23" t="s">
        <v>391</v>
      </c>
      <c r="Z127" s="23" t="s">
        <v>391</v>
      </c>
      <c r="AA127" s="23" t="s">
        <v>391</v>
      </c>
      <c r="AB127" s="24" t="s">
        <v>153</v>
      </c>
      <c r="AC127" s="24" t="s">
        <v>156</v>
      </c>
      <c r="AD127" s="24" t="s">
        <v>156</v>
      </c>
      <c r="AE127" s="23" t="s">
        <v>383</v>
      </c>
      <c r="AF127" s="23" t="s">
        <v>383</v>
      </c>
      <c r="AG127" s="23" t="s">
        <v>383</v>
      </c>
      <c r="AH127" s="23" t="s">
        <v>383</v>
      </c>
      <c r="AI127" s="24" t="s">
        <v>153</v>
      </c>
      <c r="AJ127" s="23" t="s">
        <v>153</v>
      </c>
      <c r="AK127" s="23" t="s">
        <v>153</v>
      </c>
      <c r="AL127" s="29" t="s">
        <v>218</v>
      </c>
      <c r="AM127" s="23" t="s">
        <v>153</v>
      </c>
      <c r="AN127" s="23" t="s">
        <v>153</v>
      </c>
      <c r="AO127" s="23" t="s">
        <v>153</v>
      </c>
      <c r="AP127" s="23">
        <f>VALUE(0)</f>
        <v>0</v>
      </c>
      <c r="AQ127" s="23">
        <f>VALUE(0)</f>
        <v>0</v>
      </c>
      <c r="AR127" s="23">
        <f>VALUE(1)</f>
        <v>1</v>
      </c>
      <c r="AS127" s="23">
        <f>VALUE(5)</f>
        <v>5</v>
      </c>
      <c r="AT127" s="23">
        <f>VALUE(0)</f>
        <v>0</v>
      </c>
      <c r="AU127" s="23">
        <f>VALUE(7)</f>
        <v>7</v>
      </c>
      <c r="AV127" s="23">
        <f>VALUE(2.5)</f>
        <v>2.5</v>
      </c>
      <c r="AW127" s="23">
        <f>VALUE(0)</f>
        <v>0</v>
      </c>
      <c r="AX127" s="23" t="s">
        <v>1211</v>
      </c>
      <c r="AY127" s="23">
        <f>VALUE(0)</f>
        <v>0</v>
      </c>
      <c r="AZ127" s="23">
        <f>VALUE(0)</f>
        <v>0</v>
      </c>
      <c r="BA127" s="23">
        <f>VALUE(0)</f>
        <v>0</v>
      </c>
      <c r="BB127" s="23">
        <f>VALUE(0)</f>
        <v>0</v>
      </c>
      <c r="BC127" s="23">
        <f>VALUE(0)</f>
        <v>0</v>
      </c>
      <c r="BD127" s="23">
        <f>VALUE(0)</f>
        <v>0</v>
      </c>
      <c r="BE127" s="23">
        <f>VALUE(0)</f>
        <v>0</v>
      </c>
      <c r="BF127" s="23">
        <f>VALUE(0)</f>
        <v>0</v>
      </c>
      <c r="BG127" s="23">
        <f>VALUE(0)</f>
        <v>0</v>
      </c>
      <c r="BH127" s="23">
        <f>VALUE(0)</f>
        <v>0</v>
      </c>
      <c r="BI127" s="23">
        <f>VALUE(0)</f>
        <v>0</v>
      </c>
      <c r="BJ127" s="23">
        <f>VALUE(0)</f>
        <v>0</v>
      </c>
      <c r="BK127" s="12">
        <f>$AX$127*24</f>
        <v>53.283333333333331</v>
      </c>
      <c r="BL127" s="12">
        <f>$AY$127*24</f>
        <v>0</v>
      </c>
      <c r="BM127" s="12">
        <f>$BJ$127*24</f>
        <v>0</v>
      </c>
      <c r="BN127" s="12">
        <f>VALUE($I$127)/100</f>
        <v>1</v>
      </c>
      <c r="BO127" s="12">
        <v>0</v>
      </c>
      <c r="BP127" s="12">
        <v>0</v>
      </c>
      <c r="BQ127" s="12">
        <v>0</v>
      </c>
      <c r="BR127" s="12">
        <v>0</v>
      </c>
      <c r="BS127" s="12">
        <v>1</v>
      </c>
      <c r="BT127" s="12">
        <v>0</v>
      </c>
      <c r="BU127" s="12">
        <v>0</v>
      </c>
      <c r="BV127" s="12">
        <v>0</v>
      </c>
      <c r="BW127" s="12">
        <v>0</v>
      </c>
      <c r="BX127" s="12">
        <v>0</v>
      </c>
      <c r="BY127" s="12">
        <v>0</v>
      </c>
      <c r="BZ127" s="12">
        <v>0</v>
      </c>
      <c r="CA127" s="12">
        <v>0</v>
      </c>
    </row>
    <row r="128" spans="1:79" hidden="1" x14ac:dyDescent="0.2">
      <c r="A128" s="12" t="s">
        <v>120</v>
      </c>
      <c r="B128" s="12" t="s">
        <v>122</v>
      </c>
      <c r="C128" s="12" t="s">
        <v>122</v>
      </c>
      <c r="D128" s="22" t="s">
        <v>399</v>
      </c>
      <c r="E128" s="22" t="s">
        <v>173</v>
      </c>
      <c r="F128" s="22" t="s">
        <v>786</v>
      </c>
      <c r="G128" s="22" t="s">
        <v>787</v>
      </c>
      <c r="H128" s="22" t="s">
        <v>150</v>
      </c>
      <c r="I128" s="22" t="s">
        <v>151</v>
      </c>
      <c r="J128" s="22" t="s">
        <v>162</v>
      </c>
      <c r="K128" s="22" t="s">
        <v>81</v>
      </c>
      <c r="L128" s="54" t="s">
        <v>153</v>
      </c>
      <c r="M128" s="23" t="s">
        <v>386</v>
      </c>
      <c r="N128" s="24" t="s">
        <v>153</v>
      </c>
      <c r="O128" s="23" t="s">
        <v>386</v>
      </c>
      <c r="P128" s="23" t="s">
        <v>386</v>
      </c>
      <c r="Q128" s="28" t="s">
        <v>163</v>
      </c>
      <c r="R128" s="28" t="s">
        <v>163</v>
      </c>
      <c r="S128" s="28" t="s">
        <v>163</v>
      </c>
      <c r="T128" s="28" t="s">
        <v>163</v>
      </c>
      <c r="U128" s="24" t="s">
        <v>153</v>
      </c>
      <c r="V128" s="54" t="s">
        <v>153</v>
      </c>
      <c r="W128" s="28" t="s">
        <v>163</v>
      </c>
      <c r="X128" s="23" t="s">
        <v>386</v>
      </c>
      <c r="Y128" s="23" t="s">
        <v>386</v>
      </c>
      <c r="Z128" s="24" t="s">
        <v>156</v>
      </c>
      <c r="AA128" s="24" t="s">
        <v>156</v>
      </c>
      <c r="AB128" s="24" t="s">
        <v>153</v>
      </c>
      <c r="AC128" s="23" t="s">
        <v>392</v>
      </c>
      <c r="AD128" s="25" t="s">
        <v>392</v>
      </c>
      <c r="AE128" s="23" t="s">
        <v>392</v>
      </c>
      <c r="AF128" s="23" t="s">
        <v>392</v>
      </c>
      <c r="AG128" s="23" t="s">
        <v>392</v>
      </c>
      <c r="AH128" s="28" t="s">
        <v>163</v>
      </c>
      <c r="AI128" s="24" t="s">
        <v>153</v>
      </c>
      <c r="AJ128" s="23" t="s">
        <v>392</v>
      </c>
      <c r="AK128" s="23" t="s">
        <v>392</v>
      </c>
      <c r="AL128" s="23" t="s">
        <v>392</v>
      </c>
      <c r="AM128" s="23" t="s">
        <v>392</v>
      </c>
      <c r="AN128" s="23" t="s">
        <v>392</v>
      </c>
      <c r="AO128" s="23" t="s">
        <v>392</v>
      </c>
      <c r="AP128" s="23">
        <f>VALUE(0)</f>
        <v>0</v>
      </c>
      <c r="AQ128" s="23">
        <f>VALUE(0)</f>
        <v>0</v>
      </c>
      <c r="AR128" s="23">
        <f>VALUE(0)</f>
        <v>0</v>
      </c>
      <c r="AS128" s="23">
        <f>VALUE(0)</f>
        <v>0</v>
      </c>
      <c r="AT128" s="23">
        <f>VALUE(0)</f>
        <v>0</v>
      </c>
      <c r="AU128" s="23">
        <f>VALUE(6)</f>
        <v>6</v>
      </c>
      <c r="AV128" s="23">
        <f>VALUE(5)</f>
        <v>5</v>
      </c>
      <c r="AW128" s="23">
        <f>VALUE(0)</f>
        <v>0</v>
      </c>
      <c r="AX128" s="23" t="s">
        <v>171</v>
      </c>
      <c r="AY128" s="23">
        <f>VALUE(0)</f>
        <v>0</v>
      </c>
      <c r="AZ128" s="23">
        <f>VALUE(0)</f>
        <v>0</v>
      </c>
      <c r="BA128" s="23">
        <f>VALUE(0)</f>
        <v>0</v>
      </c>
      <c r="BB128" s="23">
        <f>VALUE(0)</f>
        <v>0</v>
      </c>
      <c r="BC128" s="23">
        <f>VALUE(0)</f>
        <v>0</v>
      </c>
      <c r="BD128" s="23">
        <f>VALUE(0)</f>
        <v>0</v>
      </c>
      <c r="BE128" s="23">
        <f>VALUE(0)</f>
        <v>0</v>
      </c>
      <c r="BF128" s="23">
        <f>VALUE(0)</f>
        <v>0</v>
      </c>
      <c r="BG128" s="23">
        <f>VALUE(0)</f>
        <v>0</v>
      </c>
      <c r="BH128" s="23">
        <f>VALUE(0)</f>
        <v>0</v>
      </c>
      <c r="BI128" s="23">
        <f>VALUE(0)</f>
        <v>0</v>
      </c>
      <c r="BJ128" s="23">
        <f>VALUE(0)</f>
        <v>0</v>
      </c>
      <c r="BK128" s="12">
        <f>$AX$128*24</f>
        <v>5.833333333333333</v>
      </c>
      <c r="BL128" s="12">
        <f>$AY$128*24</f>
        <v>0</v>
      </c>
      <c r="BM128" s="12">
        <f>$BJ$128*24</f>
        <v>0</v>
      </c>
      <c r="BN128" s="12">
        <f>VALUE($I$128)/100</f>
        <v>1</v>
      </c>
      <c r="BO128" s="12">
        <v>0</v>
      </c>
      <c r="BP128" s="12">
        <v>0</v>
      </c>
      <c r="BQ128" s="12">
        <v>0</v>
      </c>
      <c r="BR128" s="12">
        <v>0</v>
      </c>
      <c r="BS128" s="12">
        <v>0</v>
      </c>
      <c r="BT128" s="12">
        <v>0</v>
      </c>
      <c r="BU128" s="12">
        <v>0</v>
      </c>
      <c r="BV128" s="12">
        <v>0</v>
      </c>
      <c r="BW128" s="12">
        <v>0</v>
      </c>
      <c r="BX128" s="12">
        <v>0</v>
      </c>
      <c r="BY128" s="12">
        <v>0</v>
      </c>
      <c r="BZ128" s="12">
        <v>0</v>
      </c>
      <c r="CA128" s="12">
        <v>0</v>
      </c>
    </row>
    <row r="129" spans="1:79" ht="15" hidden="1" x14ac:dyDescent="0.25">
      <c r="A129" s="12" t="s">
        <v>120</v>
      </c>
      <c r="B129" s="12" t="s">
        <v>122</v>
      </c>
      <c r="C129" s="12" t="s">
        <v>122</v>
      </c>
      <c r="D129" s="31" t="s">
        <v>355</v>
      </c>
      <c r="E129" s="31" t="s">
        <v>153</v>
      </c>
      <c r="F129" s="31" t="s">
        <v>175</v>
      </c>
      <c r="G129" s="31" t="s">
        <v>153</v>
      </c>
      <c r="H129" s="31" t="s">
        <v>153</v>
      </c>
      <c r="I129" s="31" t="s">
        <v>153</v>
      </c>
      <c r="J129" s="31" t="s">
        <v>153</v>
      </c>
      <c r="K129" s="31" t="s">
        <v>153</v>
      </c>
      <c r="L129" s="31">
        <f>VALUE(0)</f>
        <v>0</v>
      </c>
      <c r="M129" s="31">
        <f>VALUE(2)</f>
        <v>2</v>
      </c>
      <c r="N129" s="31">
        <f>VALUE(0)</f>
        <v>0</v>
      </c>
      <c r="O129" s="31">
        <f>VALUE(3)</f>
        <v>3</v>
      </c>
      <c r="P129" s="31">
        <f>VALUE(2)</f>
        <v>2</v>
      </c>
      <c r="Q129" s="31">
        <f>VALUE(2)</f>
        <v>2</v>
      </c>
      <c r="R129" s="31">
        <f>VALUE(2)</f>
        <v>2</v>
      </c>
      <c r="S129" s="31">
        <f>VALUE(2)</f>
        <v>2</v>
      </c>
      <c r="T129" s="31">
        <f>VALUE(2)</f>
        <v>2</v>
      </c>
      <c r="U129" s="31">
        <f>VALUE(0)</f>
        <v>0</v>
      </c>
      <c r="V129" s="31">
        <f>VALUE(0)</f>
        <v>0</v>
      </c>
      <c r="W129" s="31">
        <f>VALUE(3)</f>
        <v>3</v>
      </c>
      <c r="X129" s="31">
        <f>VALUE(4)</f>
        <v>4</v>
      </c>
      <c r="Y129" s="31">
        <f>VALUE(4)</f>
        <v>4</v>
      </c>
      <c r="Z129" s="31">
        <f>VALUE(3)</f>
        <v>3</v>
      </c>
      <c r="AA129" s="31">
        <f>VALUE(3)</f>
        <v>3</v>
      </c>
      <c r="AB129" s="31">
        <f>VALUE(0)</f>
        <v>0</v>
      </c>
      <c r="AC129" s="31">
        <f>VALUE(3)</f>
        <v>3</v>
      </c>
      <c r="AD129" s="31">
        <f>VALUE(3)</f>
        <v>3</v>
      </c>
      <c r="AE129" s="31">
        <f>VALUE(3)</f>
        <v>3</v>
      </c>
      <c r="AF129" s="31">
        <f>VALUE(3)</f>
        <v>3</v>
      </c>
      <c r="AG129" s="31">
        <f>VALUE(3)</f>
        <v>3</v>
      </c>
      <c r="AH129" s="31">
        <f>VALUE(2)</f>
        <v>2</v>
      </c>
      <c r="AI129" s="31">
        <f>VALUE(0)</f>
        <v>0</v>
      </c>
      <c r="AJ129" s="31">
        <f>VALUE(4)</f>
        <v>4</v>
      </c>
      <c r="AK129" s="31">
        <f>VALUE(4)</f>
        <v>4</v>
      </c>
      <c r="AL129" s="31">
        <f>VALUE(3)</f>
        <v>3</v>
      </c>
      <c r="AM129" s="31">
        <f>VALUE(4)</f>
        <v>4</v>
      </c>
      <c r="AN129" s="31">
        <f>VALUE(4)</f>
        <v>4</v>
      </c>
      <c r="AO129" s="31">
        <f>VALUE(4)</f>
        <v>4</v>
      </c>
      <c r="AP129" s="31">
        <v>0</v>
      </c>
      <c r="AQ129" s="31">
        <v>0</v>
      </c>
      <c r="AR129" s="31">
        <v>0</v>
      </c>
      <c r="AS129" s="31">
        <v>0</v>
      </c>
      <c r="AT129" s="31">
        <v>0</v>
      </c>
      <c r="AU129" s="31">
        <v>0</v>
      </c>
      <c r="AV129" s="31">
        <v>0</v>
      </c>
      <c r="AW129" s="31">
        <v>0</v>
      </c>
      <c r="AX129" s="31">
        <v>0</v>
      </c>
      <c r="AY129" s="31">
        <v>0</v>
      </c>
      <c r="AZ129" s="31">
        <v>0</v>
      </c>
      <c r="BA129" s="31">
        <v>0</v>
      </c>
      <c r="BB129" s="31">
        <v>0</v>
      </c>
      <c r="BC129" s="31">
        <v>0</v>
      </c>
      <c r="BD129" s="31">
        <v>0</v>
      </c>
      <c r="BE129" s="31">
        <v>0</v>
      </c>
      <c r="BF129" s="31">
        <v>0</v>
      </c>
      <c r="BG129" s="31">
        <v>0</v>
      </c>
      <c r="BH129" s="31">
        <v>0</v>
      </c>
      <c r="BI129" s="31">
        <v>0</v>
      </c>
      <c r="BJ129" s="31">
        <v>0</v>
      </c>
      <c r="BK129" s="12">
        <v>0</v>
      </c>
      <c r="BL129" s="12">
        <v>0</v>
      </c>
      <c r="BM129" s="12">
        <v>0</v>
      </c>
      <c r="BN129" s="12"/>
      <c r="BO129" s="12">
        <v>0</v>
      </c>
      <c r="BP129" s="12">
        <v>0</v>
      </c>
      <c r="BQ129" s="12">
        <v>0</v>
      </c>
      <c r="BR129" s="12">
        <v>0</v>
      </c>
      <c r="BS129" s="12">
        <v>0</v>
      </c>
      <c r="BT129" s="12">
        <v>0</v>
      </c>
      <c r="BU129" s="12">
        <v>0</v>
      </c>
      <c r="BV129" s="12">
        <v>0</v>
      </c>
      <c r="BW129" s="12">
        <v>0</v>
      </c>
      <c r="BX129" s="12">
        <v>0</v>
      </c>
      <c r="BY129" s="12">
        <v>0</v>
      </c>
      <c r="BZ129" s="12">
        <v>0</v>
      </c>
      <c r="CA129" s="12">
        <v>0</v>
      </c>
    </row>
    <row r="130" spans="1:79" ht="16.5" hidden="1" x14ac:dyDescent="0.2">
      <c r="A130" s="12" t="s">
        <v>120</v>
      </c>
      <c r="B130" s="12" t="s">
        <v>1320</v>
      </c>
      <c r="C130" s="12" t="s">
        <v>1320</v>
      </c>
      <c r="D130" s="22" t="s">
        <v>1170</v>
      </c>
      <c r="E130" s="22" t="s">
        <v>149</v>
      </c>
      <c r="F130" s="22" t="s">
        <v>788</v>
      </c>
      <c r="G130" s="22" t="s">
        <v>789</v>
      </c>
      <c r="H130" s="22" t="s">
        <v>150</v>
      </c>
      <c r="I130" s="22" t="s">
        <v>151</v>
      </c>
      <c r="J130" s="22" t="s">
        <v>152</v>
      </c>
      <c r="K130" s="22" t="s">
        <v>1212</v>
      </c>
      <c r="L130" s="54" t="s">
        <v>153</v>
      </c>
      <c r="M130" s="24" t="s">
        <v>156</v>
      </c>
      <c r="N130" s="24" t="s">
        <v>153</v>
      </c>
      <c r="O130" s="24" t="s">
        <v>156</v>
      </c>
      <c r="P130" s="26" t="s">
        <v>1213</v>
      </c>
      <c r="Q130" s="26" t="s">
        <v>1213</v>
      </c>
      <c r="R130" s="26" t="s">
        <v>1213</v>
      </c>
      <c r="S130" s="26" t="s">
        <v>1213</v>
      </c>
      <c r="T130" s="26" t="s">
        <v>1213</v>
      </c>
      <c r="U130" s="24" t="s">
        <v>153</v>
      </c>
      <c r="V130" s="54" t="s">
        <v>153</v>
      </c>
      <c r="W130" s="26" t="s">
        <v>1213</v>
      </c>
      <c r="X130" s="26" t="s">
        <v>155</v>
      </c>
      <c r="Y130" s="26" t="s">
        <v>155</v>
      </c>
      <c r="Z130" s="26" t="s">
        <v>1213</v>
      </c>
      <c r="AA130" s="24" t="s">
        <v>156</v>
      </c>
      <c r="AB130" s="24" t="s">
        <v>153</v>
      </c>
      <c r="AC130" s="24" t="s">
        <v>156</v>
      </c>
      <c r="AD130" s="26" t="s">
        <v>1213</v>
      </c>
      <c r="AE130" s="26" t="s">
        <v>1213</v>
      </c>
      <c r="AF130" s="26" t="s">
        <v>1213</v>
      </c>
      <c r="AG130" s="26" t="s">
        <v>1213</v>
      </c>
      <c r="AH130" s="26" t="s">
        <v>1213</v>
      </c>
      <c r="AI130" s="24" t="s">
        <v>153</v>
      </c>
      <c r="AJ130" s="26" t="s">
        <v>1213</v>
      </c>
      <c r="AK130" s="35" t="s">
        <v>170</v>
      </c>
      <c r="AL130" s="35" t="s">
        <v>170</v>
      </c>
      <c r="AM130" s="35" t="s">
        <v>170</v>
      </c>
      <c r="AN130" s="35" t="s">
        <v>170</v>
      </c>
      <c r="AO130" s="24" t="s">
        <v>156</v>
      </c>
      <c r="AP130" s="23">
        <f>VALUE(0)</f>
        <v>0</v>
      </c>
      <c r="AQ130" s="23">
        <f>VALUE(0)</f>
        <v>0</v>
      </c>
      <c r="AR130" s="23">
        <f>VALUE(0)</f>
        <v>0</v>
      </c>
      <c r="AS130" s="23">
        <f>VALUE(0)</f>
        <v>0</v>
      </c>
      <c r="AT130" s="23">
        <f>VALUE(0)</f>
        <v>0</v>
      </c>
      <c r="AU130" s="23">
        <f>VALUE(0)</f>
        <v>0</v>
      </c>
      <c r="AV130" s="23">
        <f>VALUE(13)</f>
        <v>13</v>
      </c>
      <c r="AW130" s="23">
        <f>VALUE(0)</f>
        <v>0</v>
      </c>
      <c r="AX130" s="23" t="s">
        <v>1214</v>
      </c>
      <c r="AY130" s="23">
        <f>VALUE(0)</f>
        <v>0</v>
      </c>
      <c r="AZ130" s="23">
        <f>VALUE(0)</f>
        <v>0</v>
      </c>
      <c r="BA130" s="23">
        <f>VALUE(0)</f>
        <v>0</v>
      </c>
      <c r="BB130" s="23">
        <f>VALUE(0)</f>
        <v>0</v>
      </c>
      <c r="BC130" s="23">
        <f>VALUE(0)</f>
        <v>0</v>
      </c>
      <c r="BD130" s="23">
        <f>VALUE(0)</f>
        <v>0</v>
      </c>
      <c r="BE130" s="23">
        <f>VALUE(5)</f>
        <v>5</v>
      </c>
      <c r="BF130" s="23">
        <f>VALUE(0)</f>
        <v>0</v>
      </c>
      <c r="BG130" s="23">
        <f>VALUE(0)</f>
        <v>0</v>
      </c>
      <c r="BH130" s="23">
        <f>VALUE(0)</f>
        <v>0</v>
      </c>
      <c r="BI130" s="23">
        <f>VALUE(0)</f>
        <v>0</v>
      </c>
      <c r="BJ130" s="23">
        <f>VALUE(0)</f>
        <v>0</v>
      </c>
      <c r="BK130" s="12">
        <f>$AX$130*24</f>
        <v>18.016666666666666</v>
      </c>
      <c r="BL130" s="12">
        <f>$AY$130*24</f>
        <v>0</v>
      </c>
      <c r="BM130" s="12">
        <f>$BJ$130*24</f>
        <v>0</v>
      </c>
      <c r="BN130" s="12">
        <f>VALUE($I$130)/100</f>
        <v>1</v>
      </c>
      <c r="BO130" s="12">
        <v>0</v>
      </c>
      <c r="BP130" s="12">
        <v>0</v>
      </c>
      <c r="BQ130" s="12">
        <v>0</v>
      </c>
      <c r="BR130" s="12">
        <v>0</v>
      </c>
      <c r="BS130" s="12">
        <v>0</v>
      </c>
      <c r="BT130" s="12">
        <v>0</v>
      </c>
      <c r="BU130" s="12">
        <v>0</v>
      </c>
      <c r="BV130" s="12">
        <v>0</v>
      </c>
      <c r="BW130" s="12">
        <v>0</v>
      </c>
      <c r="BX130" s="12">
        <v>0</v>
      </c>
      <c r="BY130" s="12">
        <v>0</v>
      </c>
      <c r="BZ130" s="12">
        <v>0</v>
      </c>
      <c r="CA130" s="12">
        <v>0</v>
      </c>
    </row>
    <row r="131" spans="1:79" hidden="1" x14ac:dyDescent="0.2">
      <c r="A131" s="12" t="s">
        <v>120</v>
      </c>
      <c r="B131" s="12" t="s">
        <v>1320</v>
      </c>
      <c r="C131" s="12" t="s">
        <v>1320</v>
      </c>
      <c r="D131" s="22" t="s">
        <v>400</v>
      </c>
      <c r="E131" s="22" t="s">
        <v>161</v>
      </c>
      <c r="F131" s="22" t="s">
        <v>790</v>
      </c>
      <c r="G131" s="22" t="s">
        <v>791</v>
      </c>
      <c r="H131" s="22" t="s">
        <v>150</v>
      </c>
      <c r="I131" s="22" t="s">
        <v>151</v>
      </c>
      <c r="J131" s="22" t="s">
        <v>162</v>
      </c>
      <c r="K131" s="22" t="s">
        <v>1212</v>
      </c>
      <c r="L131" s="54" t="s">
        <v>153</v>
      </c>
      <c r="M131" s="23" t="s">
        <v>153</v>
      </c>
      <c r="N131" s="24" t="s">
        <v>153</v>
      </c>
      <c r="O131" s="23" t="s">
        <v>153</v>
      </c>
      <c r="P131" s="23" t="s">
        <v>153</v>
      </c>
      <c r="Q131" s="23" t="s">
        <v>153</v>
      </c>
      <c r="R131" s="23" t="s">
        <v>153</v>
      </c>
      <c r="S131" s="23" t="s">
        <v>153</v>
      </c>
      <c r="T131" s="23" t="s">
        <v>153</v>
      </c>
      <c r="U131" s="24" t="s">
        <v>153</v>
      </c>
      <c r="V131" s="54" t="s">
        <v>153</v>
      </c>
      <c r="W131" s="23" t="s">
        <v>153</v>
      </c>
      <c r="X131" s="23" t="s">
        <v>153</v>
      </c>
      <c r="Y131" s="23" t="s">
        <v>153</v>
      </c>
      <c r="Z131" s="23" t="s">
        <v>153</v>
      </c>
      <c r="AA131" s="23" t="s">
        <v>153</v>
      </c>
      <c r="AB131" s="24" t="s">
        <v>153</v>
      </c>
      <c r="AC131" s="23" t="s">
        <v>153</v>
      </c>
      <c r="AD131" s="23" t="s">
        <v>153</v>
      </c>
      <c r="AE131" s="23" t="s">
        <v>153</v>
      </c>
      <c r="AF131" s="23" t="s">
        <v>153</v>
      </c>
      <c r="AG131" s="23" t="s">
        <v>153</v>
      </c>
      <c r="AH131" s="23" t="s">
        <v>153</v>
      </c>
      <c r="AI131" s="24" t="s">
        <v>153</v>
      </c>
      <c r="AJ131" s="23" t="s">
        <v>153</v>
      </c>
      <c r="AK131" s="23" t="s">
        <v>153</v>
      </c>
      <c r="AL131" s="23" t="s">
        <v>153</v>
      </c>
      <c r="AM131" s="23" t="s">
        <v>153</v>
      </c>
      <c r="AN131" s="24" t="s">
        <v>156</v>
      </c>
      <c r="AO131" s="24" t="s">
        <v>156</v>
      </c>
      <c r="AP131" s="23">
        <f>VALUE(2)</f>
        <v>2</v>
      </c>
      <c r="AQ131" s="23">
        <f>VALUE(0)</f>
        <v>0</v>
      </c>
      <c r="AR131" s="23">
        <f>VALUE(0)</f>
        <v>0</v>
      </c>
      <c r="AS131" s="23">
        <f>VALUE(0)</f>
        <v>0</v>
      </c>
      <c r="AT131" s="23">
        <f>VALUE(0)</f>
        <v>0</v>
      </c>
      <c r="AU131" s="23">
        <f>VALUE(0)</f>
        <v>0</v>
      </c>
      <c r="AV131" s="23">
        <f>VALUE(1)</f>
        <v>1</v>
      </c>
      <c r="AW131" s="23">
        <f>VALUE(0)</f>
        <v>0</v>
      </c>
      <c r="AX131" s="23" t="s">
        <v>171</v>
      </c>
      <c r="AY131" s="23" t="s">
        <v>309</v>
      </c>
      <c r="AZ131" s="23">
        <f>VALUE(0)</f>
        <v>0</v>
      </c>
      <c r="BA131" s="23">
        <f>VALUE(0)</f>
        <v>0</v>
      </c>
      <c r="BB131" s="23">
        <f>VALUE(0)</f>
        <v>0</v>
      </c>
      <c r="BC131" s="23">
        <f>VALUE(0)</f>
        <v>0</v>
      </c>
      <c r="BD131" s="23">
        <f>VALUE(0)</f>
        <v>0</v>
      </c>
      <c r="BE131" s="23">
        <f>VALUE(0)</f>
        <v>0</v>
      </c>
      <c r="BF131" s="23">
        <f>VALUE(0)</f>
        <v>0</v>
      </c>
      <c r="BG131" s="23">
        <f>VALUE(0)</f>
        <v>0</v>
      </c>
      <c r="BH131" s="23">
        <f>VALUE(0)</f>
        <v>0</v>
      </c>
      <c r="BI131" s="23">
        <f>VALUE(0)</f>
        <v>0</v>
      </c>
      <c r="BJ131" s="23">
        <f>VALUE(0)</f>
        <v>0</v>
      </c>
      <c r="BK131" s="12">
        <f>$AX$131*24</f>
        <v>5.833333333333333</v>
      </c>
      <c r="BL131" s="12">
        <f>$AY$131*24</f>
        <v>4.583333333333333</v>
      </c>
      <c r="BM131" s="12">
        <f>$BJ$131*24</f>
        <v>0</v>
      </c>
      <c r="BN131" s="12">
        <f>VALUE($I$131)/100</f>
        <v>1</v>
      </c>
      <c r="BO131" s="12">
        <v>0</v>
      </c>
      <c r="BP131" s="12">
        <v>0</v>
      </c>
      <c r="BQ131" s="12">
        <v>0</v>
      </c>
      <c r="BR131" s="12">
        <v>0</v>
      </c>
      <c r="BS131" s="12">
        <v>0</v>
      </c>
      <c r="BT131" s="12">
        <v>0</v>
      </c>
      <c r="BU131" s="12">
        <v>0</v>
      </c>
      <c r="BV131" s="12">
        <v>0</v>
      </c>
      <c r="BW131" s="12">
        <v>0</v>
      </c>
      <c r="BX131" s="12">
        <v>0</v>
      </c>
      <c r="BY131" s="12">
        <v>0</v>
      </c>
      <c r="BZ131" s="12">
        <v>0</v>
      </c>
      <c r="CA131" s="12">
        <v>0</v>
      </c>
    </row>
    <row r="132" spans="1:79" hidden="1" x14ac:dyDescent="0.2">
      <c r="A132" s="12" t="s">
        <v>120</v>
      </c>
      <c r="B132" s="12" t="s">
        <v>1320</v>
      </c>
      <c r="C132" s="12" t="s">
        <v>1320</v>
      </c>
      <c r="D132" s="22" t="s">
        <v>401</v>
      </c>
      <c r="E132" s="22" t="s">
        <v>161</v>
      </c>
      <c r="F132" s="22" t="s">
        <v>792</v>
      </c>
      <c r="G132" s="22" t="s">
        <v>793</v>
      </c>
      <c r="H132" s="22" t="s">
        <v>166</v>
      </c>
      <c r="I132" s="22" t="s">
        <v>151</v>
      </c>
      <c r="J132" s="22" t="s">
        <v>162</v>
      </c>
      <c r="K132" s="22" t="s">
        <v>1212</v>
      </c>
      <c r="L132" s="54" t="s">
        <v>153</v>
      </c>
      <c r="M132" s="23" t="s">
        <v>153</v>
      </c>
      <c r="N132" s="24" t="s">
        <v>153</v>
      </c>
      <c r="O132" s="23" t="s">
        <v>153</v>
      </c>
      <c r="P132" s="23" t="s">
        <v>153</v>
      </c>
      <c r="Q132" s="23" t="s">
        <v>153</v>
      </c>
      <c r="R132" s="23" t="s">
        <v>153</v>
      </c>
      <c r="S132" s="23" t="s">
        <v>153</v>
      </c>
      <c r="T132" s="23" t="s">
        <v>153</v>
      </c>
      <c r="U132" s="24" t="s">
        <v>153</v>
      </c>
      <c r="V132" s="54" t="s">
        <v>153</v>
      </c>
      <c r="W132" s="23" t="s">
        <v>153</v>
      </c>
      <c r="X132" s="23" t="s">
        <v>153</v>
      </c>
      <c r="Y132" s="23" t="s">
        <v>153</v>
      </c>
      <c r="Z132" s="23" t="s">
        <v>153</v>
      </c>
      <c r="AA132" s="23" t="s">
        <v>153</v>
      </c>
      <c r="AB132" s="24" t="s">
        <v>153</v>
      </c>
      <c r="AC132" s="23" t="s">
        <v>153</v>
      </c>
      <c r="AD132" s="23" t="s">
        <v>153</v>
      </c>
      <c r="AE132" s="23" t="s">
        <v>153</v>
      </c>
      <c r="AF132" s="23" t="s">
        <v>153</v>
      </c>
      <c r="AG132" s="24" t="s">
        <v>156</v>
      </c>
      <c r="AH132" s="24" t="s">
        <v>156</v>
      </c>
      <c r="AI132" s="24" t="s">
        <v>153</v>
      </c>
      <c r="AJ132" s="23" t="s">
        <v>153</v>
      </c>
      <c r="AK132" s="23" t="s">
        <v>153</v>
      </c>
      <c r="AL132" s="23" t="s">
        <v>153</v>
      </c>
      <c r="AM132" s="23" t="s">
        <v>153</v>
      </c>
      <c r="AN132" s="23" t="s">
        <v>153</v>
      </c>
      <c r="AO132" s="23" t="s">
        <v>153</v>
      </c>
      <c r="AP132" s="23">
        <f>VALUE(0)</f>
        <v>0</v>
      </c>
      <c r="AQ132" s="23">
        <f>VALUE(0)</f>
        <v>0</v>
      </c>
      <c r="AR132" s="23">
        <f>VALUE(0)</f>
        <v>0</v>
      </c>
      <c r="AS132" s="23">
        <f>VALUE(0)</f>
        <v>0</v>
      </c>
      <c r="AT132" s="23">
        <f>VALUE(0)</f>
        <v>0</v>
      </c>
      <c r="AU132" s="23">
        <f>VALUE(0)</f>
        <v>0</v>
      </c>
      <c r="AV132" s="23">
        <f>VALUE(4)</f>
        <v>4</v>
      </c>
      <c r="AW132" s="23">
        <f>VALUE(0)</f>
        <v>0</v>
      </c>
      <c r="AX132" s="23" t="s">
        <v>402</v>
      </c>
      <c r="AY132" s="23">
        <f>VALUE(0)</f>
        <v>0</v>
      </c>
      <c r="AZ132" s="23">
        <f>VALUE(0)</f>
        <v>0</v>
      </c>
      <c r="BA132" s="23">
        <f>VALUE(0)</f>
        <v>0</v>
      </c>
      <c r="BB132" s="23">
        <f>VALUE(0)</f>
        <v>0</v>
      </c>
      <c r="BC132" s="23">
        <f>VALUE(0)</f>
        <v>0</v>
      </c>
      <c r="BD132" s="23">
        <f>VALUE(0)</f>
        <v>0</v>
      </c>
      <c r="BE132" s="23">
        <f>VALUE(0)</f>
        <v>0</v>
      </c>
      <c r="BF132" s="23">
        <f>VALUE(0)</f>
        <v>0</v>
      </c>
      <c r="BG132" s="23">
        <f>VALUE(0)</f>
        <v>0</v>
      </c>
      <c r="BH132" s="23">
        <f>VALUE(0)</f>
        <v>0</v>
      </c>
      <c r="BI132" s="23">
        <f>VALUE(0)</f>
        <v>0</v>
      </c>
      <c r="BJ132" s="23">
        <f>VALUE(0)</f>
        <v>0</v>
      </c>
      <c r="BK132" s="12">
        <f>$AX$132*24</f>
        <v>20.45</v>
      </c>
      <c r="BL132" s="12">
        <f>$AY$132*24</f>
        <v>0</v>
      </c>
      <c r="BM132" s="12">
        <f>$BJ$132*24</f>
        <v>0</v>
      </c>
      <c r="BN132" s="12">
        <f>VALUE($I$132)/100</f>
        <v>1</v>
      </c>
      <c r="BO132" s="12">
        <v>0</v>
      </c>
      <c r="BP132" s="12">
        <v>0</v>
      </c>
      <c r="BQ132" s="12">
        <v>0</v>
      </c>
      <c r="BR132" s="12">
        <v>0</v>
      </c>
      <c r="BS132" s="12">
        <v>0</v>
      </c>
      <c r="BT132" s="12">
        <v>0</v>
      </c>
      <c r="BU132" s="12">
        <v>0</v>
      </c>
      <c r="BV132" s="12">
        <v>0</v>
      </c>
      <c r="BW132" s="12">
        <v>0</v>
      </c>
      <c r="BX132" s="12">
        <v>0</v>
      </c>
      <c r="BY132" s="12">
        <v>0</v>
      </c>
      <c r="BZ132" s="12">
        <v>0</v>
      </c>
      <c r="CA132" s="12">
        <v>0</v>
      </c>
    </row>
    <row r="133" spans="1:79" hidden="1" x14ac:dyDescent="0.2">
      <c r="A133" s="12" t="s">
        <v>120</v>
      </c>
      <c r="B133" s="12" t="s">
        <v>1320</v>
      </c>
      <c r="C133" s="12" t="s">
        <v>1320</v>
      </c>
      <c r="D133" s="22" t="s">
        <v>381</v>
      </c>
      <c r="E133" s="22" t="s">
        <v>161</v>
      </c>
      <c r="F133" s="22" t="s">
        <v>794</v>
      </c>
      <c r="G133" s="22" t="s">
        <v>795</v>
      </c>
      <c r="H133" s="22" t="s">
        <v>191</v>
      </c>
      <c r="I133" s="22" t="s">
        <v>151</v>
      </c>
      <c r="J133" s="22" t="s">
        <v>162</v>
      </c>
      <c r="K133" s="22" t="s">
        <v>1212</v>
      </c>
      <c r="L133" s="54" t="s">
        <v>153</v>
      </c>
      <c r="M133" s="27" t="s">
        <v>153</v>
      </c>
      <c r="N133" s="24" t="s">
        <v>153</v>
      </c>
      <c r="O133" s="27" t="s">
        <v>153</v>
      </c>
      <c r="P133" s="27" t="s">
        <v>153</v>
      </c>
      <c r="Q133" s="27" t="s">
        <v>153</v>
      </c>
      <c r="R133" s="23" t="s">
        <v>153</v>
      </c>
      <c r="S133" s="23" t="s">
        <v>153</v>
      </c>
      <c r="T133" s="23" t="s">
        <v>153</v>
      </c>
      <c r="U133" s="24" t="s">
        <v>153</v>
      </c>
      <c r="V133" s="54" t="s">
        <v>153</v>
      </c>
      <c r="W133" s="23" t="s">
        <v>153</v>
      </c>
      <c r="X133" s="23" t="s">
        <v>153</v>
      </c>
      <c r="Y133" s="23" t="s">
        <v>153</v>
      </c>
      <c r="Z133" s="23" t="s">
        <v>153</v>
      </c>
      <c r="AA133" s="23" t="s">
        <v>153</v>
      </c>
      <c r="AB133" s="24" t="s">
        <v>153</v>
      </c>
      <c r="AC133" s="23" t="s">
        <v>153</v>
      </c>
      <c r="AD133" s="23" t="s">
        <v>153</v>
      </c>
      <c r="AE133" s="23" t="s">
        <v>153</v>
      </c>
      <c r="AF133" s="23" t="s">
        <v>153</v>
      </c>
      <c r="AG133" s="23" t="s">
        <v>153</v>
      </c>
      <c r="AH133" s="23" t="s">
        <v>153</v>
      </c>
      <c r="AI133" s="24" t="s">
        <v>153</v>
      </c>
      <c r="AJ133" s="27" t="s">
        <v>153</v>
      </c>
      <c r="AK133" s="27" t="s">
        <v>153</v>
      </c>
      <c r="AL133" s="27" t="s">
        <v>153</v>
      </c>
      <c r="AM133" s="27" t="s">
        <v>153</v>
      </c>
      <c r="AN133" s="27" t="s">
        <v>153</v>
      </c>
      <c r="AO133" s="27" t="s">
        <v>153</v>
      </c>
      <c r="AP133" s="23">
        <f>VALUE(0)</f>
        <v>0</v>
      </c>
      <c r="AQ133" s="23">
        <f>VALUE(0)</f>
        <v>0</v>
      </c>
      <c r="AR133" s="23">
        <f>VALUE(0)</f>
        <v>0</v>
      </c>
      <c r="AS133" s="23">
        <f>VALUE(0)</f>
        <v>0</v>
      </c>
      <c r="AT133" s="23">
        <f>VALUE(0)</f>
        <v>0</v>
      </c>
      <c r="AU133" s="23">
        <f>VALUE(0)</f>
        <v>0</v>
      </c>
      <c r="AV133" s="23">
        <f>VALUE(0)</f>
        <v>0</v>
      </c>
      <c r="AW133" s="23">
        <f>VALUE(0)</f>
        <v>0</v>
      </c>
      <c r="AX133" s="23">
        <f>VALUE(0)</f>
        <v>0</v>
      </c>
      <c r="AY133" s="23">
        <f>VALUE(0)</f>
        <v>0</v>
      </c>
      <c r="AZ133" s="23">
        <f>VALUE(0)</f>
        <v>0</v>
      </c>
      <c r="BA133" s="23">
        <f>VALUE(0)</f>
        <v>0</v>
      </c>
      <c r="BB133" s="23">
        <f>VALUE(0)</f>
        <v>0</v>
      </c>
      <c r="BC133" s="23">
        <f>VALUE(0)</f>
        <v>0</v>
      </c>
      <c r="BD133" s="23">
        <f>VALUE(0)</f>
        <v>0</v>
      </c>
      <c r="BE133" s="23">
        <f>VALUE(0)</f>
        <v>0</v>
      </c>
      <c r="BF133" s="23">
        <f>VALUE(0)</f>
        <v>0</v>
      </c>
      <c r="BG133" s="23">
        <f>VALUE(0)</f>
        <v>0</v>
      </c>
      <c r="BH133" s="23">
        <f>VALUE(0)</f>
        <v>0</v>
      </c>
      <c r="BI133" s="23">
        <f>VALUE(0)</f>
        <v>0</v>
      </c>
      <c r="BJ133" s="23">
        <f>VALUE(0)</f>
        <v>0</v>
      </c>
      <c r="BK133" s="12">
        <f>$AX$133*24</f>
        <v>0</v>
      </c>
      <c r="BL133" s="12">
        <f>$AY$133*24</f>
        <v>0</v>
      </c>
      <c r="BM133" s="12">
        <f>$BJ$133*24</f>
        <v>0</v>
      </c>
      <c r="BN133" s="12">
        <f>VALUE($I$133)/100</f>
        <v>1</v>
      </c>
      <c r="BO133" s="12">
        <v>0</v>
      </c>
      <c r="BP133" s="12">
        <v>0</v>
      </c>
      <c r="BQ133" s="12">
        <v>0</v>
      </c>
      <c r="BR133" s="12">
        <v>0</v>
      </c>
      <c r="BS133" s="12">
        <v>0</v>
      </c>
      <c r="BT133" s="12">
        <v>0</v>
      </c>
      <c r="BU133" s="12">
        <v>0</v>
      </c>
      <c r="BV133" s="12">
        <v>0</v>
      </c>
      <c r="BW133" s="12">
        <v>0</v>
      </c>
      <c r="BX133" s="12">
        <v>0</v>
      </c>
      <c r="BY133" s="12">
        <v>0</v>
      </c>
      <c r="BZ133" s="12">
        <v>0</v>
      </c>
      <c r="CA133" s="12">
        <v>0</v>
      </c>
    </row>
    <row r="134" spans="1:79" hidden="1" x14ac:dyDescent="0.2">
      <c r="A134" s="12" t="s">
        <v>120</v>
      </c>
      <c r="B134" s="12" t="s">
        <v>1320</v>
      </c>
      <c r="C134" s="12" t="s">
        <v>1320</v>
      </c>
      <c r="D134" s="22" t="s">
        <v>381</v>
      </c>
      <c r="E134" s="22" t="s">
        <v>161</v>
      </c>
      <c r="F134" s="22" t="s">
        <v>796</v>
      </c>
      <c r="G134" s="22" t="s">
        <v>797</v>
      </c>
      <c r="H134" s="22" t="s">
        <v>150</v>
      </c>
      <c r="I134" s="22" t="s">
        <v>151</v>
      </c>
      <c r="J134" s="22" t="s">
        <v>162</v>
      </c>
      <c r="K134" s="22" t="s">
        <v>1212</v>
      </c>
      <c r="L134" s="54" t="s">
        <v>153</v>
      </c>
      <c r="M134" s="23" t="s">
        <v>153</v>
      </c>
      <c r="N134" s="24" t="s">
        <v>153</v>
      </c>
      <c r="O134" s="23" t="s">
        <v>153</v>
      </c>
      <c r="P134" s="23" t="s">
        <v>153</v>
      </c>
      <c r="Q134" s="23" t="s">
        <v>153</v>
      </c>
      <c r="R134" s="23" t="s">
        <v>153</v>
      </c>
      <c r="S134" s="23" t="s">
        <v>153</v>
      </c>
      <c r="T134" s="23" t="s">
        <v>153</v>
      </c>
      <c r="U134" s="24" t="s">
        <v>153</v>
      </c>
      <c r="V134" s="54" t="s">
        <v>156</v>
      </c>
      <c r="W134" s="24" t="s">
        <v>156</v>
      </c>
      <c r="X134" s="28" t="s">
        <v>163</v>
      </c>
      <c r="Y134" s="28" t="s">
        <v>163</v>
      </c>
      <c r="Z134" s="28" t="s">
        <v>163</v>
      </c>
      <c r="AA134" s="28" t="s">
        <v>163</v>
      </c>
      <c r="AB134" s="24" t="s">
        <v>153</v>
      </c>
      <c r="AC134" s="28" t="s">
        <v>163</v>
      </c>
      <c r="AD134" s="28" t="s">
        <v>163</v>
      </c>
      <c r="AE134" s="28" t="s">
        <v>163</v>
      </c>
      <c r="AF134" s="28" t="s">
        <v>163</v>
      </c>
      <c r="AG134" s="28" t="s">
        <v>163</v>
      </c>
      <c r="AH134" s="28" t="s">
        <v>163</v>
      </c>
      <c r="AI134" s="24" t="s">
        <v>153</v>
      </c>
      <c r="AJ134" s="23" t="s">
        <v>153</v>
      </c>
      <c r="AK134" s="23" t="s">
        <v>153</v>
      </c>
      <c r="AL134" s="23" t="s">
        <v>153</v>
      </c>
      <c r="AM134" s="23" t="s">
        <v>153</v>
      </c>
      <c r="AN134" s="23" t="s">
        <v>153</v>
      </c>
      <c r="AO134" s="23" t="s">
        <v>153</v>
      </c>
      <c r="AP134" s="23">
        <f>VALUE(3)</f>
        <v>3</v>
      </c>
      <c r="AQ134" s="23">
        <f>VALUE(0)</f>
        <v>0</v>
      </c>
      <c r="AR134" s="23">
        <f>VALUE(0)</f>
        <v>0</v>
      </c>
      <c r="AS134" s="23">
        <f>VALUE(0)</f>
        <v>0</v>
      </c>
      <c r="AT134" s="23">
        <f>VALUE(0)</f>
        <v>0</v>
      </c>
      <c r="AU134" s="23">
        <f>VALUE(10)</f>
        <v>10</v>
      </c>
      <c r="AV134" s="23">
        <f>VALUE(9)</f>
        <v>9</v>
      </c>
      <c r="AW134" s="23">
        <f>VALUE(0)</f>
        <v>0</v>
      </c>
      <c r="AX134" s="23" t="s">
        <v>171</v>
      </c>
      <c r="AY134" s="23" t="s">
        <v>403</v>
      </c>
      <c r="AZ134" s="23">
        <f>VALUE(0)</f>
        <v>0</v>
      </c>
      <c r="BA134" s="23">
        <f>VALUE(0)</f>
        <v>0</v>
      </c>
      <c r="BB134" s="23">
        <f>VALUE(0)</f>
        <v>0</v>
      </c>
      <c r="BC134" s="23">
        <f>VALUE(0)</f>
        <v>0</v>
      </c>
      <c r="BD134" s="23">
        <f>VALUE(0)</f>
        <v>0</v>
      </c>
      <c r="BE134" s="23">
        <f>VALUE(0)</f>
        <v>0</v>
      </c>
      <c r="BF134" s="23">
        <f>VALUE(0)</f>
        <v>0</v>
      </c>
      <c r="BG134" s="23">
        <f>VALUE(0)</f>
        <v>0</v>
      </c>
      <c r="BH134" s="23">
        <f>VALUE(0)</f>
        <v>0</v>
      </c>
      <c r="BI134" s="23">
        <f>VALUE(0)</f>
        <v>0</v>
      </c>
      <c r="BJ134" s="23">
        <f>VALUE(0)</f>
        <v>0</v>
      </c>
      <c r="BK134" s="12">
        <f>$AX$134*24</f>
        <v>5.833333333333333</v>
      </c>
      <c r="BL134" s="12">
        <f>$AY$134*24</f>
        <v>2.1</v>
      </c>
      <c r="BM134" s="12">
        <f>$BJ$134*24</f>
        <v>0</v>
      </c>
      <c r="BN134" s="12">
        <f>VALUE($I$134)/100</f>
        <v>1</v>
      </c>
      <c r="BO134" s="12">
        <v>0</v>
      </c>
      <c r="BP134" s="12">
        <v>0</v>
      </c>
      <c r="BQ134" s="12">
        <v>0</v>
      </c>
      <c r="BR134" s="12">
        <v>0</v>
      </c>
      <c r="BS134" s="12">
        <v>0</v>
      </c>
      <c r="BT134" s="12">
        <v>0</v>
      </c>
      <c r="BU134" s="12">
        <v>0</v>
      </c>
      <c r="BV134" s="12">
        <v>0</v>
      </c>
      <c r="BW134" s="12">
        <v>0</v>
      </c>
      <c r="BX134" s="12">
        <v>0</v>
      </c>
      <c r="BY134" s="12">
        <v>0</v>
      </c>
      <c r="BZ134" s="12">
        <v>0</v>
      </c>
      <c r="CA134" s="12">
        <v>0</v>
      </c>
    </row>
    <row r="135" spans="1:79" hidden="1" x14ac:dyDescent="0.2">
      <c r="A135" s="12" t="s">
        <v>120</v>
      </c>
      <c r="B135" s="12" t="s">
        <v>1320</v>
      </c>
      <c r="C135" s="12" t="s">
        <v>1320</v>
      </c>
      <c r="D135" s="22" t="s">
        <v>375</v>
      </c>
      <c r="E135" s="22" t="s">
        <v>161</v>
      </c>
      <c r="F135" s="22" t="s">
        <v>798</v>
      </c>
      <c r="G135" s="22" t="s">
        <v>799</v>
      </c>
      <c r="H135" s="22" t="s">
        <v>150</v>
      </c>
      <c r="I135" s="22" t="s">
        <v>151</v>
      </c>
      <c r="J135" s="22" t="s">
        <v>162</v>
      </c>
      <c r="K135" s="22" t="s">
        <v>1212</v>
      </c>
      <c r="L135" s="54" t="s">
        <v>153</v>
      </c>
      <c r="M135" s="23" t="s">
        <v>153</v>
      </c>
      <c r="N135" s="24" t="s">
        <v>153</v>
      </c>
      <c r="O135" s="24" t="s">
        <v>156</v>
      </c>
      <c r="P135" s="24" t="s">
        <v>156</v>
      </c>
      <c r="Q135" s="23" t="s">
        <v>153</v>
      </c>
      <c r="R135" s="23" t="s">
        <v>153</v>
      </c>
      <c r="S135" s="23" t="s">
        <v>153</v>
      </c>
      <c r="T135" s="23" t="s">
        <v>153</v>
      </c>
      <c r="U135" s="24" t="s">
        <v>153</v>
      </c>
      <c r="V135" s="54" t="s">
        <v>153</v>
      </c>
      <c r="W135" s="23" t="s">
        <v>153</v>
      </c>
      <c r="X135" s="23" t="s">
        <v>153</v>
      </c>
      <c r="Y135" s="23" t="s">
        <v>153</v>
      </c>
      <c r="Z135" s="23" t="s">
        <v>153</v>
      </c>
      <c r="AA135" s="23" t="s">
        <v>153</v>
      </c>
      <c r="AB135" s="24" t="s">
        <v>153</v>
      </c>
      <c r="AC135" s="23" t="s">
        <v>153</v>
      </c>
      <c r="AD135" s="23" t="s">
        <v>153</v>
      </c>
      <c r="AE135" s="23" t="s">
        <v>153</v>
      </c>
      <c r="AF135" s="23" t="s">
        <v>153</v>
      </c>
      <c r="AG135" s="23" t="s">
        <v>153</v>
      </c>
      <c r="AH135" s="23" t="s">
        <v>153</v>
      </c>
      <c r="AI135" s="24" t="s">
        <v>153</v>
      </c>
      <c r="AJ135" s="23" t="s">
        <v>153</v>
      </c>
      <c r="AK135" s="23" t="s">
        <v>153</v>
      </c>
      <c r="AL135" s="23" t="s">
        <v>153</v>
      </c>
      <c r="AM135" s="23" t="s">
        <v>153</v>
      </c>
      <c r="AN135" s="23" t="s">
        <v>153</v>
      </c>
      <c r="AO135" s="23" t="s">
        <v>153</v>
      </c>
      <c r="AP135" s="23">
        <f>VALUE(0)</f>
        <v>0</v>
      </c>
      <c r="AQ135" s="23">
        <f>VALUE(0)</f>
        <v>0</v>
      </c>
      <c r="AR135" s="23">
        <f>VALUE(0)</f>
        <v>0</v>
      </c>
      <c r="AS135" s="23">
        <f>VALUE(0)</f>
        <v>0</v>
      </c>
      <c r="AT135" s="23">
        <f>VALUE(0)</f>
        <v>0</v>
      </c>
      <c r="AU135" s="23">
        <f>VALUE(0)</f>
        <v>0</v>
      </c>
      <c r="AV135" s="23">
        <f>VALUE(9)</f>
        <v>9</v>
      </c>
      <c r="AW135" s="23">
        <f>VALUE(0)</f>
        <v>0</v>
      </c>
      <c r="AX135" s="23" t="s">
        <v>404</v>
      </c>
      <c r="AY135" s="23">
        <f>VALUE(0)</f>
        <v>0</v>
      </c>
      <c r="AZ135" s="23">
        <f>VALUE(0)</f>
        <v>0</v>
      </c>
      <c r="BA135" s="23">
        <f>VALUE(0)</f>
        <v>0</v>
      </c>
      <c r="BB135" s="23">
        <f>VALUE(0)</f>
        <v>0</v>
      </c>
      <c r="BC135" s="23">
        <f>VALUE(0)</f>
        <v>0</v>
      </c>
      <c r="BD135" s="23">
        <f>VALUE(0)</f>
        <v>0</v>
      </c>
      <c r="BE135" s="23">
        <f>VALUE(0)</f>
        <v>0</v>
      </c>
      <c r="BF135" s="23">
        <f>VALUE(0)</f>
        <v>0</v>
      </c>
      <c r="BG135" s="23">
        <f>VALUE(0)</f>
        <v>0</v>
      </c>
      <c r="BH135" s="23">
        <f>VALUE(0)</f>
        <v>0</v>
      </c>
      <c r="BI135" s="23">
        <f>VALUE(0)</f>
        <v>0</v>
      </c>
      <c r="BJ135" s="23">
        <f>VALUE(0)</f>
        <v>0</v>
      </c>
      <c r="BK135" s="12">
        <f>$AX$135*24</f>
        <v>4.8499999999999996</v>
      </c>
      <c r="BL135" s="12">
        <f>$AY$135*24</f>
        <v>0</v>
      </c>
      <c r="BM135" s="12">
        <f>$BJ$135*24</f>
        <v>0</v>
      </c>
      <c r="BN135" s="12">
        <f>VALUE($I$135)/100</f>
        <v>1</v>
      </c>
      <c r="BO135" s="12">
        <v>0</v>
      </c>
      <c r="BP135" s="12">
        <v>0</v>
      </c>
      <c r="BQ135" s="12">
        <v>0</v>
      </c>
      <c r="BR135" s="12">
        <v>0</v>
      </c>
      <c r="BS135" s="12">
        <v>0</v>
      </c>
      <c r="BT135" s="12">
        <v>0</v>
      </c>
      <c r="BU135" s="12">
        <v>0</v>
      </c>
      <c r="BV135" s="12">
        <v>0</v>
      </c>
      <c r="BW135" s="12">
        <v>0</v>
      </c>
      <c r="BX135" s="12">
        <v>0</v>
      </c>
      <c r="BY135" s="12">
        <v>0</v>
      </c>
      <c r="BZ135" s="12">
        <v>0</v>
      </c>
      <c r="CA135" s="12">
        <v>0</v>
      </c>
    </row>
    <row r="136" spans="1:79" hidden="1" x14ac:dyDescent="0.2">
      <c r="A136" s="12" t="s">
        <v>120</v>
      </c>
      <c r="B136" s="12" t="s">
        <v>1320</v>
      </c>
      <c r="C136" s="12" t="s">
        <v>1320</v>
      </c>
      <c r="D136" s="22" t="s">
        <v>405</v>
      </c>
      <c r="E136" s="22" t="s">
        <v>161</v>
      </c>
      <c r="F136" s="22" t="s">
        <v>800</v>
      </c>
      <c r="G136" s="22" t="s">
        <v>801</v>
      </c>
      <c r="H136" s="22" t="s">
        <v>150</v>
      </c>
      <c r="I136" s="22" t="s">
        <v>151</v>
      </c>
      <c r="J136" s="22" t="s">
        <v>162</v>
      </c>
      <c r="K136" s="22" t="s">
        <v>1212</v>
      </c>
      <c r="L136" s="54" t="s">
        <v>153</v>
      </c>
      <c r="M136" s="23" t="s">
        <v>153</v>
      </c>
      <c r="N136" s="24" t="s">
        <v>153</v>
      </c>
      <c r="O136" s="23" t="s">
        <v>153</v>
      </c>
      <c r="P136" s="23" t="s">
        <v>153</v>
      </c>
      <c r="Q136" s="23" t="s">
        <v>153</v>
      </c>
      <c r="R136" s="23" t="s">
        <v>153</v>
      </c>
      <c r="S136" s="23" t="s">
        <v>153</v>
      </c>
      <c r="T136" s="23" t="s">
        <v>153</v>
      </c>
      <c r="U136" s="24" t="s">
        <v>153</v>
      </c>
      <c r="V136" s="54" t="s">
        <v>153</v>
      </c>
      <c r="W136" s="23" t="s">
        <v>153</v>
      </c>
      <c r="X136" s="23" t="s">
        <v>153</v>
      </c>
      <c r="Y136" s="23" t="s">
        <v>153</v>
      </c>
      <c r="Z136" s="23" t="s">
        <v>153</v>
      </c>
      <c r="AA136" s="23" t="s">
        <v>153</v>
      </c>
      <c r="AB136" s="24" t="s">
        <v>153</v>
      </c>
      <c r="AC136" s="23" t="s">
        <v>153</v>
      </c>
      <c r="AD136" s="23" t="s">
        <v>153</v>
      </c>
      <c r="AE136" s="24" t="s">
        <v>156</v>
      </c>
      <c r="AF136" s="24" t="s">
        <v>156</v>
      </c>
      <c r="AG136" s="23" t="s">
        <v>153</v>
      </c>
      <c r="AH136" s="23" t="s">
        <v>153</v>
      </c>
      <c r="AI136" s="24" t="s">
        <v>153</v>
      </c>
      <c r="AJ136" s="23" t="s">
        <v>153</v>
      </c>
      <c r="AK136" s="23" t="s">
        <v>153</v>
      </c>
      <c r="AL136" s="23" t="s">
        <v>153</v>
      </c>
      <c r="AM136" s="23" t="s">
        <v>153</v>
      </c>
      <c r="AN136" s="23" t="s">
        <v>153</v>
      </c>
      <c r="AO136" s="23" t="s">
        <v>153</v>
      </c>
      <c r="AP136" s="23">
        <f>VALUE(3)</f>
        <v>3</v>
      </c>
      <c r="AQ136" s="23">
        <f>VALUE(0)</f>
        <v>0</v>
      </c>
      <c r="AR136" s="23">
        <f>VALUE(0)</f>
        <v>0</v>
      </c>
      <c r="AS136" s="23">
        <f>VALUE(0)</f>
        <v>0</v>
      </c>
      <c r="AT136" s="23">
        <f>VALUE(0)</f>
        <v>0</v>
      </c>
      <c r="AU136" s="23">
        <f>VALUE(0)</f>
        <v>0</v>
      </c>
      <c r="AV136" s="23">
        <f>VALUE(0)</f>
        <v>0</v>
      </c>
      <c r="AW136" s="23">
        <f>VALUE(0)</f>
        <v>0</v>
      </c>
      <c r="AX136" s="23" t="s">
        <v>171</v>
      </c>
      <c r="AY136" s="23" t="s">
        <v>406</v>
      </c>
      <c r="AZ136" s="23">
        <f>VALUE(0)</f>
        <v>0</v>
      </c>
      <c r="BA136" s="23">
        <f>VALUE(0)</f>
        <v>0</v>
      </c>
      <c r="BB136" s="23">
        <f>VALUE(0)</f>
        <v>0</v>
      </c>
      <c r="BC136" s="23">
        <f>VALUE(0)</f>
        <v>0</v>
      </c>
      <c r="BD136" s="23">
        <f>VALUE(0)</f>
        <v>0</v>
      </c>
      <c r="BE136" s="23">
        <f>VALUE(0)</f>
        <v>0</v>
      </c>
      <c r="BF136" s="23">
        <f>VALUE(0)</f>
        <v>0</v>
      </c>
      <c r="BG136" s="23">
        <f>VALUE(0)</f>
        <v>0</v>
      </c>
      <c r="BH136" s="23">
        <f>VALUE(0)</f>
        <v>0</v>
      </c>
      <c r="BI136" s="23">
        <f>VALUE(0)</f>
        <v>0</v>
      </c>
      <c r="BJ136" s="23">
        <f>VALUE(0)</f>
        <v>0</v>
      </c>
      <c r="BK136" s="12">
        <f>$AX$136*24</f>
        <v>5.833333333333333</v>
      </c>
      <c r="BL136" s="12">
        <f>$AY$136*24</f>
        <v>9.9</v>
      </c>
      <c r="BM136" s="12">
        <f>$BJ$136*24</f>
        <v>0</v>
      </c>
      <c r="BN136" s="12">
        <f>VALUE($I$136)/100</f>
        <v>1</v>
      </c>
      <c r="BO136" s="12">
        <v>0</v>
      </c>
      <c r="BP136" s="12">
        <v>0</v>
      </c>
      <c r="BQ136" s="12">
        <v>0</v>
      </c>
      <c r="BR136" s="12">
        <v>0</v>
      </c>
      <c r="BS136" s="12">
        <v>0</v>
      </c>
      <c r="BT136" s="12">
        <v>0</v>
      </c>
      <c r="BU136" s="12">
        <v>0</v>
      </c>
      <c r="BV136" s="12">
        <v>0</v>
      </c>
      <c r="BW136" s="12">
        <v>0</v>
      </c>
      <c r="BX136" s="12">
        <v>0</v>
      </c>
      <c r="BY136" s="12">
        <v>0</v>
      </c>
      <c r="BZ136" s="12">
        <v>0</v>
      </c>
      <c r="CA136" s="12">
        <v>0</v>
      </c>
    </row>
    <row r="137" spans="1:79" hidden="1" x14ac:dyDescent="0.2">
      <c r="A137" s="12" t="s">
        <v>120</v>
      </c>
      <c r="B137" s="12" t="s">
        <v>1320</v>
      </c>
      <c r="C137" s="12" t="s">
        <v>1320</v>
      </c>
      <c r="D137" s="22" t="s">
        <v>383</v>
      </c>
      <c r="E137" s="22" t="s">
        <v>161</v>
      </c>
      <c r="F137" s="22" t="s">
        <v>802</v>
      </c>
      <c r="G137" s="22" t="s">
        <v>803</v>
      </c>
      <c r="H137" s="22" t="s">
        <v>166</v>
      </c>
      <c r="I137" s="22" t="s">
        <v>151</v>
      </c>
      <c r="J137" s="22" t="s">
        <v>162</v>
      </c>
      <c r="K137" s="22" t="s">
        <v>1212</v>
      </c>
      <c r="L137" s="54" t="s">
        <v>153</v>
      </c>
      <c r="M137" s="23" t="s">
        <v>153</v>
      </c>
      <c r="N137" s="24" t="s">
        <v>153</v>
      </c>
      <c r="O137" s="23" t="s">
        <v>153</v>
      </c>
      <c r="P137" s="23" t="s">
        <v>153</v>
      </c>
      <c r="Q137" s="23" t="s">
        <v>153</v>
      </c>
      <c r="R137" s="23" t="s">
        <v>153</v>
      </c>
      <c r="S137" s="23" t="s">
        <v>153</v>
      </c>
      <c r="T137" s="23" t="s">
        <v>153</v>
      </c>
      <c r="U137" s="24" t="s">
        <v>153</v>
      </c>
      <c r="V137" s="54" t="s">
        <v>153</v>
      </c>
      <c r="W137" s="23" t="s">
        <v>153</v>
      </c>
      <c r="X137" s="23" t="s">
        <v>153</v>
      </c>
      <c r="Y137" s="23" t="s">
        <v>153</v>
      </c>
      <c r="Z137" s="24" t="s">
        <v>156</v>
      </c>
      <c r="AA137" s="24" t="s">
        <v>156</v>
      </c>
      <c r="AB137" s="24" t="s">
        <v>153</v>
      </c>
      <c r="AC137" s="29" t="s">
        <v>163</v>
      </c>
      <c r="AD137" s="29" t="s">
        <v>163</v>
      </c>
      <c r="AE137" s="29" t="s">
        <v>163</v>
      </c>
      <c r="AF137" s="29" t="s">
        <v>163</v>
      </c>
      <c r="AG137" s="29" t="s">
        <v>163</v>
      </c>
      <c r="AH137" s="29" t="s">
        <v>163</v>
      </c>
      <c r="AI137" s="24" t="s">
        <v>153</v>
      </c>
      <c r="AJ137" s="23" t="s">
        <v>153</v>
      </c>
      <c r="AK137" s="23" t="s">
        <v>153</v>
      </c>
      <c r="AL137" s="23" t="s">
        <v>153</v>
      </c>
      <c r="AM137" s="23" t="s">
        <v>153</v>
      </c>
      <c r="AN137" s="23" t="s">
        <v>153</v>
      </c>
      <c r="AO137" s="23" t="s">
        <v>153</v>
      </c>
      <c r="AP137" s="23">
        <f>VALUE(3)</f>
        <v>3</v>
      </c>
      <c r="AQ137" s="23">
        <f>VALUE(0)</f>
        <v>0</v>
      </c>
      <c r="AR137" s="23">
        <f>VALUE(6)</f>
        <v>6</v>
      </c>
      <c r="AS137" s="23">
        <f>VALUE(0)</f>
        <v>0</v>
      </c>
      <c r="AT137" s="23">
        <f>VALUE(0)</f>
        <v>0</v>
      </c>
      <c r="AU137" s="23">
        <f>VALUE(0)</f>
        <v>0</v>
      </c>
      <c r="AV137" s="23">
        <f>VALUE(6)</f>
        <v>6</v>
      </c>
      <c r="AW137" s="23">
        <f>VALUE(3)</f>
        <v>3</v>
      </c>
      <c r="AX137" s="23" t="s">
        <v>1215</v>
      </c>
      <c r="AY137" s="23">
        <f>VALUE(0)</f>
        <v>0</v>
      </c>
      <c r="AZ137" s="23">
        <f>VALUE(0)</f>
        <v>0</v>
      </c>
      <c r="BA137" s="23">
        <f>VALUE(0)</f>
        <v>0</v>
      </c>
      <c r="BB137" s="23">
        <f>VALUE(0)</f>
        <v>0</v>
      </c>
      <c r="BC137" s="23">
        <f>VALUE(0)</f>
        <v>0</v>
      </c>
      <c r="BD137" s="23">
        <f>VALUE(0)</f>
        <v>0</v>
      </c>
      <c r="BE137" s="23">
        <f>VALUE(0)</f>
        <v>0</v>
      </c>
      <c r="BF137" s="23">
        <f>VALUE(0)</f>
        <v>0</v>
      </c>
      <c r="BG137" s="23">
        <f>VALUE(0)</f>
        <v>0</v>
      </c>
      <c r="BH137" s="23">
        <f>VALUE(0)</f>
        <v>0</v>
      </c>
      <c r="BI137" s="23">
        <f>VALUE(0)</f>
        <v>0</v>
      </c>
      <c r="BJ137" s="23">
        <f>VALUE(0)</f>
        <v>0</v>
      </c>
      <c r="BK137" s="12">
        <f>$AX$137*24</f>
        <v>27</v>
      </c>
      <c r="BL137" s="12">
        <f>$AY$137*24</f>
        <v>0</v>
      </c>
      <c r="BM137" s="12">
        <f>$BJ$137*24</f>
        <v>0</v>
      </c>
      <c r="BN137" s="12">
        <f>VALUE($I$137)/100</f>
        <v>1</v>
      </c>
      <c r="BO137" s="12">
        <v>0</v>
      </c>
      <c r="BP137" s="12">
        <v>0</v>
      </c>
      <c r="BQ137" s="12">
        <v>0</v>
      </c>
      <c r="BR137" s="12">
        <v>0</v>
      </c>
      <c r="BS137" s="12">
        <v>0</v>
      </c>
      <c r="BT137" s="12">
        <v>6</v>
      </c>
      <c r="BU137" s="12">
        <v>0</v>
      </c>
      <c r="BV137" s="12">
        <v>0</v>
      </c>
      <c r="BW137" s="12">
        <v>0</v>
      </c>
      <c r="BX137" s="12">
        <v>0</v>
      </c>
      <c r="BY137" s="12">
        <v>0</v>
      </c>
      <c r="BZ137" s="12">
        <v>0</v>
      </c>
      <c r="CA137" s="12">
        <v>0</v>
      </c>
    </row>
    <row r="138" spans="1:79" hidden="1" x14ac:dyDescent="0.2">
      <c r="A138" s="12" t="s">
        <v>120</v>
      </c>
      <c r="B138" s="12" t="s">
        <v>1320</v>
      </c>
      <c r="C138" s="12" t="s">
        <v>1320</v>
      </c>
      <c r="D138" s="22" t="s">
        <v>397</v>
      </c>
      <c r="E138" s="22" t="s">
        <v>161</v>
      </c>
      <c r="F138" s="22" t="s">
        <v>804</v>
      </c>
      <c r="G138" s="22" t="s">
        <v>805</v>
      </c>
      <c r="H138" s="22" t="s">
        <v>150</v>
      </c>
      <c r="I138" s="22" t="s">
        <v>151</v>
      </c>
      <c r="J138" s="22" t="s">
        <v>162</v>
      </c>
      <c r="K138" s="22" t="s">
        <v>1212</v>
      </c>
      <c r="L138" s="54" t="s">
        <v>153</v>
      </c>
      <c r="M138" s="28" t="s">
        <v>163</v>
      </c>
      <c r="N138" s="24" t="s">
        <v>153</v>
      </c>
      <c r="O138" s="28" t="s">
        <v>163</v>
      </c>
      <c r="P138" s="28" t="s">
        <v>163</v>
      </c>
      <c r="Q138" s="28" t="s">
        <v>163</v>
      </c>
      <c r="R138" s="28" t="s">
        <v>163</v>
      </c>
      <c r="S138" s="28" t="s">
        <v>163</v>
      </c>
      <c r="T138" s="28" t="s">
        <v>163</v>
      </c>
      <c r="U138" s="24" t="s">
        <v>153</v>
      </c>
      <c r="V138" s="54" t="s">
        <v>153</v>
      </c>
      <c r="W138" s="28" t="s">
        <v>163</v>
      </c>
      <c r="X138" s="28" t="s">
        <v>163</v>
      </c>
      <c r="Y138" s="28" t="s">
        <v>163</v>
      </c>
      <c r="Z138" s="28" t="s">
        <v>163</v>
      </c>
      <c r="AA138" s="28" t="s">
        <v>163</v>
      </c>
      <c r="AB138" s="24" t="s">
        <v>153</v>
      </c>
      <c r="AC138" s="23" t="s">
        <v>153</v>
      </c>
      <c r="AD138" s="23" t="s">
        <v>153</v>
      </c>
      <c r="AE138" s="23" t="s">
        <v>153</v>
      </c>
      <c r="AF138" s="23" t="s">
        <v>153</v>
      </c>
      <c r="AG138" s="23" t="s">
        <v>153</v>
      </c>
      <c r="AH138" s="23" t="s">
        <v>153</v>
      </c>
      <c r="AI138" s="24" t="s">
        <v>153</v>
      </c>
      <c r="AJ138" s="23" t="s">
        <v>153</v>
      </c>
      <c r="AK138" s="23" t="s">
        <v>153</v>
      </c>
      <c r="AL138" s="23" t="s">
        <v>153</v>
      </c>
      <c r="AM138" s="23" t="s">
        <v>153</v>
      </c>
      <c r="AN138" s="23" t="s">
        <v>153</v>
      </c>
      <c r="AO138" s="23" t="s">
        <v>153</v>
      </c>
      <c r="AP138" s="23">
        <f>VALUE(0)</f>
        <v>0</v>
      </c>
      <c r="AQ138" s="23">
        <f>VALUE(0)</f>
        <v>0</v>
      </c>
      <c r="AR138" s="23">
        <f>VALUE(0)</f>
        <v>0</v>
      </c>
      <c r="AS138" s="23">
        <f>VALUE(0)</f>
        <v>0</v>
      </c>
      <c r="AT138" s="23">
        <f>VALUE(0)</f>
        <v>0</v>
      </c>
      <c r="AU138" s="23">
        <f>VALUE(12)</f>
        <v>12</v>
      </c>
      <c r="AV138" s="23">
        <f>VALUE(5)</f>
        <v>5</v>
      </c>
      <c r="AW138" s="23">
        <f>VALUE(0)</f>
        <v>0</v>
      </c>
      <c r="AX138" s="23">
        <f>VALUE(0)</f>
        <v>0</v>
      </c>
      <c r="AY138" s="23">
        <f>VALUE(0)</f>
        <v>0</v>
      </c>
      <c r="AZ138" s="23">
        <f>VALUE(0)</f>
        <v>0</v>
      </c>
      <c r="BA138" s="23">
        <f>VALUE(0)</f>
        <v>0</v>
      </c>
      <c r="BB138" s="23">
        <f>VALUE(0)</f>
        <v>0</v>
      </c>
      <c r="BC138" s="23">
        <f>VALUE(0)</f>
        <v>0</v>
      </c>
      <c r="BD138" s="23">
        <f>VALUE(0)</f>
        <v>0</v>
      </c>
      <c r="BE138" s="23">
        <f>VALUE(0)</f>
        <v>0</v>
      </c>
      <c r="BF138" s="23">
        <f>VALUE(0)</f>
        <v>0</v>
      </c>
      <c r="BG138" s="23">
        <f>VALUE(0)</f>
        <v>0</v>
      </c>
      <c r="BH138" s="23">
        <f>VALUE(0)</f>
        <v>0</v>
      </c>
      <c r="BI138" s="23">
        <f>VALUE(0)</f>
        <v>0</v>
      </c>
      <c r="BJ138" s="23">
        <f>VALUE(0)</f>
        <v>0</v>
      </c>
      <c r="BK138" s="12">
        <f>$AX$138*24</f>
        <v>0</v>
      </c>
      <c r="BL138" s="12">
        <f>$AY$138*24</f>
        <v>0</v>
      </c>
      <c r="BM138" s="12">
        <f>$BJ$138*24</f>
        <v>0</v>
      </c>
      <c r="BN138" s="12">
        <f>VALUE($I$138)/100</f>
        <v>1</v>
      </c>
      <c r="BO138" s="12">
        <v>0</v>
      </c>
      <c r="BP138" s="12">
        <v>0</v>
      </c>
      <c r="BQ138" s="12">
        <v>0</v>
      </c>
      <c r="BR138" s="12">
        <v>0</v>
      </c>
      <c r="BS138" s="12">
        <v>0</v>
      </c>
      <c r="BT138" s="12">
        <v>0</v>
      </c>
      <c r="BU138" s="12">
        <v>0</v>
      </c>
      <c r="BV138" s="12">
        <v>0</v>
      </c>
      <c r="BW138" s="12">
        <v>0</v>
      </c>
      <c r="BX138" s="12">
        <v>0</v>
      </c>
      <c r="BY138" s="12">
        <v>0</v>
      </c>
      <c r="BZ138" s="12">
        <v>0</v>
      </c>
      <c r="CA138" s="12">
        <v>0</v>
      </c>
    </row>
    <row r="139" spans="1:79" hidden="1" x14ac:dyDescent="0.2">
      <c r="A139" s="12" t="s">
        <v>120</v>
      </c>
      <c r="B139" s="12" t="s">
        <v>1320</v>
      </c>
      <c r="C139" s="12" t="s">
        <v>1320</v>
      </c>
      <c r="D139" s="22" t="s">
        <v>397</v>
      </c>
      <c r="E139" s="22" t="s">
        <v>161</v>
      </c>
      <c r="F139" s="22" t="s">
        <v>806</v>
      </c>
      <c r="G139" s="22" t="s">
        <v>807</v>
      </c>
      <c r="H139" s="22" t="s">
        <v>190</v>
      </c>
      <c r="I139" s="22" t="s">
        <v>151</v>
      </c>
      <c r="J139" s="22" t="s">
        <v>162</v>
      </c>
      <c r="K139" s="22" t="s">
        <v>1212</v>
      </c>
      <c r="L139" s="54" t="s">
        <v>153</v>
      </c>
      <c r="M139" s="23" t="s">
        <v>153</v>
      </c>
      <c r="N139" s="24" t="s">
        <v>153</v>
      </c>
      <c r="O139" s="23" t="s">
        <v>153</v>
      </c>
      <c r="P139" s="23" t="s">
        <v>153</v>
      </c>
      <c r="Q139" s="23" t="s">
        <v>153</v>
      </c>
      <c r="R139" s="23" t="s">
        <v>153</v>
      </c>
      <c r="S139" s="23" t="s">
        <v>153</v>
      </c>
      <c r="T139" s="23" t="s">
        <v>153</v>
      </c>
      <c r="U139" s="24" t="s">
        <v>153</v>
      </c>
      <c r="V139" s="54" t="s">
        <v>153</v>
      </c>
      <c r="W139" s="23" t="s">
        <v>153</v>
      </c>
      <c r="X139" s="23" t="s">
        <v>153</v>
      </c>
      <c r="Y139" s="23" t="s">
        <v>153</v>
      </c>
      <c r="Z139" s="23" t="s">
        <v>153</v>
      </c>
      <c r="AA139" s="23" t="s">
        <v>153</v>
      </c>
      <c r="AB139" s="40" t="s">
        <v>153</v>
      </c>
      <c r="AC139" s="40" t="s">
        <v>153</v>
      </c>
      <c r="AD139" s="40" t="s">
        <v>153</v>
      </c>
      <c r="AE139" s="40" t="s">
        <v>153</v>
      </c>
      <c r="AF139" s="40" t="s">
        <v>153</v>
      </c>
      <c r="AG139" s="40" t="s">
        <v>153</v>
      </c>
      <c r="AH139" s="40" t="s">
        <v>153</v>
      </c>
      <c r="AI139" s="40" t="s">
        <v>153</v>
      </c>
      <c r="AJ139" s="40" t="s">
        <v>153</v>
      </c>
      <c r="AK139" s="40" t="s">
        <v>153</v>
      </c>
      <c r="AL139" s="40" t="s">
        <v>153</v>
      </c>
      <c r="AM139" s="40" t="s">
        <v>153</v>
      </c>
      <c r="AN139" s="40" t="s">
        <v>153</v>
      </c>
      <c r="AO139" s="40" t="s">
        <v>153</v>
      </c>
      <c r="AP139" s="23">
        <f>VALUE(0)</f>
        <v>0</v>
      </c>
      <c r="AQ139" s="23">
        <f>VALUE(0)</f>
        <v>0</v>
      </c>
      <c r="AR139" s="23">
        <f>VALUE(0)</f>
        <v>0</v>
      </c>
      <c r="AS139" s="23">
        <f>VALUE(0)</f>
        <v>0</v>
      </c>
      <c r="AT139" s="23">
        <f>VALUE(0)</f>
        <v>0</v>
      </c>
      <c r="AU139" s="23">
        <f>VALUE(0)</f>
        <v>0</v>
      </c>
      <c r="AV139" s="23">
        <f>VALUE(3)</f>
        <v>3</v>
      </c>
      <c r="AW139" s="23">
        <f>VALUE(0)</f>
        <v>0</v>
      </c>
      <c r="AX139" s="23">
        <f>VALUE(0)</f>
        <v>0</v>
      </c>
      <c r="AY139" s="23">
        <f>VALUE(0)</f>
        <v>0</v>
      </c>
      <c r="AZ139" s="23">
        <f>VALUE(0)</f>
        <v>0</v>
      </c>
      <c r="BA139" s="23">
        <f>VALUE(0)</f>
        <v>0</v>
      </c>
      <c r="BB139" s="23">
        <f>VALUE(0)</f>
        <v>0</v>
      </c>
      <c r="BC139" s="23">
        <f>VALUE(0)</f>
        <v>0</v>
      </c>
      <c r="BD139" s="23">
        <f>VALUE(0)</f>
        <v>0</v>
      </c>
      <c r="BE139" s="23">
        <f>VALUE(0)</f>
        <v>0</v>
      </c>
      <c r="BF139" s="23">
        <f>VALUE(0)</f>
        <v>0</v>
      </c>
      <c r="BG139" s="23">
        <f>VALUE(0)</f>
        <v>0</v>
      </c>
      <c r="BH139" s="23">
        <f>VALUE(0)</f>
        <v>0</v>
      </c>
      <c r="BI139" s="23">
        <f>VALUE(0)</f>
        <v>0</v>
      </c>
      <c r="BJ139" s="23">
        <f>VALUE(0)</f>
        <v>0</v>
      </c>
      <c r="BK139" s="12">
        <f>$AX$139*24</f>
        <v>0</v>
      </c>
      <c r="BL139" s="12">
        <f>$AY$139*24</f>
        <v>0</v>
      </c>
      <c r="BM139" s="12">
        <f>$BJ$139*24</f>
        <v>0</v>
      </c>
      <c r="BN139" s="12">
        <f>VALUE($I$139)/100</f>
        <v>1</v>
      </c>
      <c r="BO139" s="12">
        <v>0</v>
      </c>
      <c r="BP139" s="12">
        <v>0</v>
      </c>
      <c r="BQ139" s="12">
        <v>0</v>
      </c>
      <c r="BR139" s="12">
        <v>0</v>
      </c>
      <c r="BS139" s="12">
        <v>0</v>
      </c>
      <c r="BT139" s="12">
        <v>0</v>
      </c>
      <c r="BU139" s="12">
        <v>0</v>
      </c>
      <c r="BV139" s="12">
        <v>0</v>
      </c>
      <c r="BW139" s="12">
        <v>0</v>
      </c>
      <c r="BX139" s="12">
        <v>0</v>
      </c>
      <c r="BY139" s="12">
        <v>0</v>
      </c>
      <c r="BZ139" s="12">
        <v>0</v>
      </c>
      <c r="CA139" s="12">
        <v>0</v>
      </c>
    </row>
    <row r="140" spans="1:79" hidden="1" x14ac:dyDescent="0.2">
      <c r="A140" s="12" t="s">
        <v>120</v>
      </c>
      <c r="B140" s="12" t="s">
        <v>1320</v>
      </c>
      <c r="C140" s="12" t="s">
        <v>1320</v>
      </c>
      <c r="D140" s="22" t="s">
        <v>398</v>
      </c>
      <c r="E140" s="22" t="s">
        <v>161</v>
      </c>
      <c r="F140" s="22" t="s">
        <v>808</v>
      </c>
      <c r="G140" s="22" t="s">
        <v>809</v>
      </c>
      <c r="H140" s="22" t="s">
        <v>166</v>
      </c>
      <c r="I140" s="22" t="s">
        <v>194</v>
      </c>
      <c r="J140" s="22" t="s">
        <v>162</v>
      </c>
      <c r="K140" s="22" t="s">
        <v>1212</v>
      </c>
      <c r="L140" s="54" t="s">
        <v>156</v>
      </c>
      <c r="M140" s="24" t="s">
        <v>156</v>
      </c>
      <c r="N140" s="24" t="s">
        <v>153</v>
      </c>
      <c r="O140" s="23" t="s">
        <v>153</v>
      </c>
      <c r="P140" s="23" t="s">
        <v>153</v>
      </c>
      <c r="Q140" s="23" t="s">
        <v>153</v>
      </c>
      <c r="R140" s="23" t="s">
        <v>153</v>
      </c>
      <c r="S140" s="23" t="s">
        <v>153</v>
      </c>
      <c r="T140" s="23" t="s">
        <v>153</v>
      </c>
      <c r="U140" s="24" t="s">
        <v>153</v>
      </c>
      <c r="V140" s="54" t="s">
        <v>153</v>
      </c>
      <c r="W140" s="23" t="s">
        <v>153</v>
      </c>
      <c r="X140" s="23" t="s">
        <v>153</v>
      </c>
      <c r="Y140" s="23" t="s">
        <v>153</v>
      </c>
      <c r="Z140" s="23" t="s">
        <v>153</v>
      </c>
      <c r="AA140" s="23" t="s">
        <v>153</v>
      </c>
      <c r="AB140" s="24" t="s">
        <v>153</v>
      </c>
      <c r="AC140" s="23" t="s">
        <v>153</v>
      </c>
      <c r="AD140" s="23" t="s">
        <v>153</v>
      </c>
      <c r="AE140" s="23" t="s">
        <v>153</v>
      </c>
      <c r="AF140" s="23" t="s">
        <v>153</v>
      </c>
      <c r="AG140" s="23" t="s">
        <v>153</v>
      </c>
      <c r="AH140" s="23" t="s">
        <v>153</v>
      </c>
      <c r="AI140" s="24" t="s">
        <v>153</v>
      </c>
      <c r="AJ140" s="24" t="s">
        <v>195</v>
      </c>
      <c r="AK140" s="24" t="s">
        <v>195</v>
      </c>
      <c r="AL140" s="24" t="s">
        <v>195</v>
      </c>
      <c r="AM140" s="24" t="s">
        <v>195</v>
      </c>
      <c r="AN140" s="24" t="s">
        <v>195</v>
      </c>
      <c r="AO140" s="24" t="s">
        <v>195</v>
      </c>
      <c r="AP140" s="23">
        <f>VALUE(0)</f>
        <v>0</v>
      </c>
      <c r="AQ140" s="23">
        <f>VALUE(0)</f>
        <v>0</v>
      </c>
      <c r="AR140" s="23">
        <f>VALUE(0)</f>
        <v>0</v>
      </c>
      <c r="AS140" s="23">
        <f>VALUE(0)</f>
        <v>0</v>
      </c>
      <c r="AT140" s="23">
        <f>VALUE(0)</f>
        <v>0</v>
      </c>
      <c r="AU140" s="23">
        <f>VALUE(0)</f>
        <v>0</v>
      </c>
      <c r="AV140" s="23">
        <f>VALUE(1.5)</f>
        <v>1.5</v>
      </c>
      <c r="AW140" s="23">
        <f>VALUE(3)</f>
        <v>3</v>
      </c>
      <c r="AX140" s="23" t="s">
        <v>1216</v>
      </c>
      <c r="AY140" s="23">
        <f>VALUE(0)</f>
        <v>0</v>
      </c>
      <c r="AZ140" s="23">
        <f>VALUE(0)</f>
        <v>0</v>
      </c>
      <c r="BA140" s="23">
        <f>VALUE(0)</f>
        <v>0</v>
      </c>
      <c r="BB140" s="23">
        <f>VALUE(0)</f>
        <v>0</v>
      </c>
      <c r="BC140" s="23">
        <f>VALUE(0)</f>
        <v>0</v>
      </c>
      <c r="BD140" s="23">
        <f>VALUE(0)</f>
        <v>0</v>
      </c>
      <c r="BE140" s="23">
        <f>VALUE(0)</f>
        <v>0</v>
      </c>
      <c r="BF140" s="23">
        <f>VALUE(0)</f>
        <v>0</v>
      </c>
      <c r="BG140" s="23">
        <f>VALUE(0)</f>
        <v>0</v>
      </c>
      <c r="BH140" s="23">
        <f>VALUE(0)</f>
        <v>0</v>
      </c>
      <c r="BI140" s="23">
        <f>VALUE(0)</f>
        <v>0</v>
      </c>
      <c r="BJ140" s="23">
        <f>VALUE(0)</f>
        <v>0</v>
      </c>
      <c r="BK140" s="12">
        <f>$AX$140*24</f>
        <v>13.833333333333336</v>
      </c>
      <c r="BL140" s="12">
        <f>$AY$140*24</f>
        <v>0</v>
      </c>
      <c r="BM140" s="12">
        <f>$BJ$140*24</f>
        <v>0</v>
      </c>
      <c r="BN140" s="12">
        <f>VALUE($I$140)/100</f>
        <v>0.8</v>
      </c>
      <c r="BO140" s="12">
        <v>0</v>
      </c>
      <c r="BP140" s="12">
        <v>0</v>
      </c>
      <c r="BQ140" s="12">
        <v>0</v>
      </c>
      <c r="BR140" s="12">
        <v>0</v>
      </c>
      <c r="BS140" s="12">
        <v>0</v>
      </c>
      <c r="BT140" s="12">
        <v>0</v>
      </c>
      <c r="BU140" s="12">
        <v>0</v>
      </c>
      <c r="BV140" s="12">
        <v>0</v>
      </c>
      <c r="BW140" s="12">
        <v>0</v>
      </c>
      <c r="BX140" s="12">
        <v>0</v>
      </c>
      <c r="BY140" s="12">
        <v>0</v>
      </c>
      <c r="BZ140" s="12">
        <v>0</v>
      </c>
      <c r="CA140" s="12">
        <v>0</v>
      </c>
    </row>
    <row r="141" spans="1:79" hidden="1" x14ac:dyDescent="0.2">
      <c r="A141" s="12" t="s">
        <v>120</v>
      </c>
      <c r="B141" s="12" t="s">
        <v>1320</v>
      </c>
      <c r="C141" s="12" t="s">
        <v>1320</v>
      </c>
      <c r="D141" s="22" t="s">
        <v>1217</v>
      </c>
      <c r="E141" s="22" t="s">
        <v>159</v>
      </c>
      <c r="F141" s="22" t="s">
        <v>810</v>
      </c>
      <c r="G141" s="22" t="s">
        <v>811</v>
      </c>
      <c r="H141" s="22" t="s">
        <v>150</v>
      </c>
      <c r="I141" s="22" t="s">
        <v>151</v>
      </c>
      <c r="J141" s="22" t="s">
        <v>162</v>
      </c>
      <c r="K141" s="22" t="s">
        <v>1212</v>
      </c>
      <c r="L141" s="54" t="s">
        <v>153</v>
      </c>
      <c r="M141" s="23" t="s">
        <v>391</v>
      </c>
      <c r="N141" s="24" t="s">
        <v>153</v>
      </c>
      <c r="O141" s="28" t="s">
        <v>163</v>
      </c>
      <c r="P141" s="28" t="s">
        <v>163</v>
      </c>
      <c r="Q141" s="28" t="s">
        <v>163</v>
      </c>
      <c r="R141" s="28" t="s">
        <v>163</v>
      </c>
      <c r="S141" s="28" t="s">
        <v>163</v>
      </c>
      <c r="T141" s="28" t="s">
        <v>163</v>
      </c>
      <c r="U141" s="24" t="s">
        <v>153</v>
      </c>
      <c r="V141" s="54" t="s">
        <v>153</v>
      </c>
      <c r="W141" s="23" t="s">
        <v>260</v>
      </c>
      <c r="X141" s="23" t="s">
        <v>260</v>
      </c>
      <c r="Y141" s="23" t="s">
        <v>260</v>
      </c>
      <c r="Z141" s="23" t="s">
        <v>260</v>
      </c>
      <c r="AA141" s="23" t="s">
        <v>260</v>
      </c>
      <c r="AB141" s="24" t="s">
        <v>153</v>
      </c>
      <c r="AC141" s="23" t="s">
        <v>260</v>
      </c>
      <c r="AD141" s="23" t="s">
        <v>260</v>
      </c>
      <c r="AE141" s="23" t="s">
        <v>260</v>
      </c>
      <c r="AF141" s="23" t="s">
        <v>260</v>
      </c>
      <c r="AG141" s="24" t="s">
        <v>156</v>
      </c>
      <c r="AH141" s="24" t="s">
        <v>156</v>
      </c>
      <c r="AI141" s="24" t="s">
        <v>153</v>
      </c>
      <c r="AJ141" s="23" t="s">
        <v>260</v>
      </c>
      <c r="AK141" s="23" t="s">
        <v>260</v>
      </c>
      <c r="AL141" s="23" t="s">
        <v>260</v>
      </c>
      <c r="AM141" s="23" t="s">
        <v>260</v>
      </c>
      <c r="AN141" s="23" t="s">
        <v>260</v>
      </c>
      <c r="AO141" s="23" t="s">
        <v>260</v>
      </c>
      <c r="AP141" s="23">
        <f>VALUE(2)</f>
        <v>2</v>
      </c>
      <c r="AQ141" s="23">
        <f>VALUE(0)</f>
        <v>0</v>
      </c>
      <c r="AR141" s="23">
        <f>VALUE(0)</f>
        <v>0</v>
      </c>
      <c r="AS141" s="23">
        <f>VALUE(0)</f>
        <v>0</v>
      </c>
      <c r="AT141" s="23">
        <f>VALUE(0)</f>
        <v>0</v>
      </c>
      <c r="AU141" s="23">
        <f>VALUE(6)</f>
        <v>6</v>
      </c>
      <c r="AV141" s="23">
        <f>VALUE(0)</f>
        <v>0</v>
      </c>
      <c r="AW141" s="23">
        <f>VALUE(0)</f>
        <v>0</v>
      </c>
      <c r="AX141" s="23" t="s">
        <v>171</v>
      </c>
      <c r="AY141" s="23" t="s">
        <v>407</v>
      </c>
      <c r="AZ141" s="23">
        <f>VALUE(0)</f>
        <v>0</v>
      </c>
      <c r="BA141" s="23">
        <f>VALUE(0)</f>
        <v>0</v>
      </c>
      <c r="BB141" s="23">
        <f>VALUE(0)</f>
        <v>0</v>
      </c>
      <c r="BC141" s="23">
        <f>VALUE(0)</f>
        <v>0</v>
      </c>
      <c r="BD141" s="23">
        <f>VALUE(0)</f>
        <v>0</v>
      </c>
      <c r="BE141" s="23">
        <f>VALUE(0)</f>
        <v>0</v>
      </c>
      <c r="BF141" s="23">
        <f>VALUE(0)</f>
        <v>0</v>
      </c>
      <c r="BG141" s="23">
        <f>VALUE(0)</f>
        <v>0</v>
      </c>
      <c r="BH141" s="23">
        <f>VALUE(0)</f>
        <v>0</v>
      </c>
      <c r="BI141" s="23">
        <f>VALUE(0)</f>
        <v>0</v>
      </c>
      <c r="BJ141" s="23">
        <f>VALUE(0)</f>
        <v>0</v>
      </c>
      <c r="BK141" s="12">
        <f>$AX$141*24</f>
        <v>5.833333333333333</v>
      </c>
      <c r="BL141" s="12">
        <f>$AY$141*24</f>
        <v>1.2166666666666668</v>
      </c>
      <c r="BM141" s="12">
        <f>$BJ$141*24</f>
        <v>0</v>
      </c>
      <c r="BN141" s="12">
        <f>VALUE($I$141)/100</f>
        <v>1</v>
      </c>
      <c r="BO141" s="12">
        <v>0</v>
      </c>
      <c r="BP141" s="12">
        <v>0</v>
      </c>
      <c r="BQ141" s="12">
        <v>0</v>
      </c>
      <c r="BR141" s="12">
        <v>0</v>
      </c>
      <c r="BS141" s="12">
        <v>0</v>
      </c>
      <c r="BT141" s="12">
        <v>0</v>
      </c>
      <c r="BU141" s="12">
        <v>0</v>
      </c>
      <c r="BV141" s="12">
        <v>0</v>
      </c>
      <c r="BW141" s="12">
        <v>0</v>
      </c>
      <c r="BX141" s="12">
        <v>0</v>
      </c>
      <c r="BY141" s="12">
        <v>0</v>
      </c>
      <c r="BZ141" s="12">
        <v>0</v>
      </c>
      <c r="CA141" s="12">
        <v>0</v>
      </c>
    </row>
    <row r="142" spans="1:79" hidden="1" x14ac:dyDescent="0.2">
      <c r="A142" s="12" t="s">
        <v>120</v>
      </c>
      <c r="B142" s="12" t="s">
        <v>1320</v>
      </c>
      <c r="C142" s="12" t="s">
        <v>1320</v>
      </c>
      <c r="D142" s="22" t="s">
        <v>1218</v>
      </c>
      <c r="E142" s="22" t="s">
        <v>332</v>
      </c>
      <c r="F142" s="22" t="s">
        <v>812</v>
      </c>
      <c r="G142" s="22" t="s">
        <v>813</v>
      </c>
      <c r="H142" s="22" t="s">
        <v>150</v>
      </c>
      <c r="I142" s="22" t="s">
        <v>151</v>
      </c>
      <c r="J142" s="22" t="s">
        <v>162</v>
      </c>
      <c r="K142" s="22" t="s">
        <v>1212</v>
      </c>
      <c r="L142" s="54" t="s">
        <v>153</v>
      </c>
      <c r="M142" s="23" t="s">
        <v>398</v>
      </c>
      <c r="N142" s="24" t="s">
        <v>153</v>
      </c>
      <c r="O142" s="23" t="s">
        <v>375</v>
      </c>
      <c r="P142" s="23" t="s">
        <v>375</v>
      </c>
      <c r="Q142" s="23" t="s">
        <v>391</v>
      </c>
      <c r="R142" s="23" t="s">
        <v>391</v>
      </c>
      <c r="S142" s="23" t="s">
        <v>391</v>
      </c>
      <c r="T142" s="23" t="s">
        <v>391</v>
      </c>
      <c r="U142" s="24" t="s">
        <v>153</v>
      </c>
      <c r="V142" s="54" t="s">
        <v>153</v>
      </c>
      <c r="W142" s="25" t="s">
        <v>1219</v>
      </c>
      <c r="X142" s="24" t="s">
        <v>156</v>
      </c>
      <c r="Y142" s="24" t="s">
        <v>156</v>
      </c>
      <c r="Z142" s="23" t="s">
        <v>383</v>
      </c>
      <c r="AA142" s="23" t="s">
        <v>383</v>
      </c>
      <c r="AB142" s="24" t="s">
        <v>153</v>
      </c>
      <c r="AC142" s="23" t="s">
        <v>383</v>
      </c>
      <c r="AD142" s="23" t="s">
        <v>383</v>
      </c>
      <c r="AE142" s="23" t="s">
        <v>405</v>
      </c>
      <c r="AF142" s="23" t="s">
        <v>405</v>
      </c>
      <c r="AG142" s="23" t="s">
        <v>401</v>
      </c>
      <c r="AH142" s="23" t="s">
        <v>401</v>
      </c>
      <c r="AI142" s="24" t="s">
        <v>153</v>
      </c>
      <c r="AJ142" s="23" t="s">
        <v>398</v>
      </c>
      <c r="AK142" s="23" t="s">
        <v>398</v>
      </c>
      <c r="AL142" s="23" t="s">
        <v>391</v>
      </c>
      <c r="AM142" s="23" t="s">
        <v>391</v>
      </c>
      <c r="AN142" s="23" t="s">
        <v>400</v>
      </c>
      <c r="AO142" s="23" t="s">
        <v>400</v>
      </c>
      <c r="AP142" s="23">
        <f>VALUE(0)</f>
        <v>0</v>
      </c>
      <c r="AQ142" s="23">
        <f>VALUE(0)</f>
        <v>0</v>
      </c>
      <c r="AR142" s="23">
        <f>VALUE(0)</f>
        <v>0</v>
      </c>
      <c r="AS142" s="23">
        <f>VALUE(0)</f>
        <v>0</v>
      </c>
      <c r="AT142" s="23">
        <f>VALUE(0)</f>
        <v>0</v>
      </c>
      <c r="AU142" s="23">
        <f>VALUE(0)</f>
        <v>0</v>
      </c>
      <c r="AV142" s="23">
        <f>VALUE(5)</f>
        <v>5</v>
      </c>
      <c r="AW142" s="23">
        <f>VALUE(0)</f>
        <v>0</v>
      </c>
      <c r="AX142" s="23" t="s">
        <v>248</v>
      </c>
      <c r="AY142" s="23">
        <f>VALUE(0)</f>
        <v>0</v>
      </c>
      <c r="AZ142" s="23">
        <f>VALUE(0)</f>
        <v>0</v>
      </c>
      <c r="BA142" s="23">
        <f>VALUE(0)</f>
        <v>0</v>
      </c>
      <c r="BB142" s="23">
        <f>VALUE(0)</f>
        <v>0</v>
      </c>
      <c r="BC142" s="23">
        <f>VALUE(0)</f>
        <v>0</v>
      </c>
      <c r="BD142" s="23">
        <f>VALUE(1)</f>
        <v>1</v>
      </c>
      <c r="BE142" s="23">
        <f>VALUE(0)</f>
        <v>0</v>
      </c>
      <c r="BF142" s="23">
        <f>VALUE(0)</f>
        <v>0</v>
      </c>
      <c r="BG142" s="23">
        <f>VALUE(0)</f>
        <v>0</v>
      </c>
      <c r="BH142" s="23">
        <f>VALUE(0)</f>
        <v>0</v>
      </c>
      <c r="BI142" s="23">
        <f>VALUE(0)</f>
        <v>0</v>
      </c>
      <c r="BJ142" s="23">
        <f>VALUE(0)</f>
        <v>0</v>
      </c>
      <c r="BK142" s="12">
        <f>$AX$142*24</f>
        <v>16.333333333333332</v>
      </c>
      <c r="BL142" s="12">
        <f>$AY$142*24</f>
        <v>0</v>
      </c>
      <c r="BM142" s="12">
        <f>$BJ$142*24</f>
        <v>0</v>
      </c>
      <c r="BN142" s="12">
        <f>VALUE($I$142)/100</f>
        <v>1</v>
      </c>
      <c r="BO142" s="12">
        <v>0</v>
      </c>
      <c r="BP142" s="12">
        <v>0</v>
      </c>
      <c r="BQ142" s="12">
        <v>0</v>
      </c>
      <c r="BR142" s="12">
        <v>1</v>
      </c>
      <c r="BS142" s="12">
        <v>0</v>
      </c>
      <c r="BT142" s="12">
        <v>0</v>
      </c>
      <c r="BU142" s="12">
        <v>0</v>
      </c>
      <c r="BV142" s="12">
        <v>0</v>
      </c>
      <c r="BW142" s="12">
        <v>0</v>
      </c>
      <c r="BX142" s="12">
        <v>0</v>
      </c>
      <c r="BY142" s="12">
        <v>0</v>
      </c>
      <c r="BZ142" s="12">
        <v>0</v>
      </c>
      <c r="CA142" s="12">
        <v>0</v>
      </c>
    </row>
    <row r="143" spans="1:79" ht="15" hidden="1" x14ac:dyDescent="0.25">
      <c r="A143" s="12" t="s">
        <v>120</v>
      </c>
      <c r="B143" s="12" t="s">
        <v>1320</v>
      </c>
      <c r="C143" s="12" t="s">
        <v>1320</v>
      </c>
      <c r="D143" s="31" t="s">
        <v>202</v>
      </c>
      <c r="E143" s="31" t="s">
        <v>153</v>
      </c>
      <c r="F143" s="31" t="s">
        <v>175</v>
      </c>
      <c r="G143" s="31" t="s">
        <v>153</v>
      </c>
      <c r="H143" s="31" t="s">
        <v>153</v>
      </c>
      <c r="I143" s="31" t="s">
        <v>153</v>
      </c>
      <c r="J143" s="31" t="s">
        <v>153</v>
      </c>
      <c r="K143" s="31" t="s">
        <v>153</v>
      </c>
      <c r="L143" s="31">
        <f>VALUE(0)</f>
        <v>0</v>
      </c>
      <c r="M143" s="31">
        <f>VALUE(9)</f>
        <v>9</v>
      </c>
      <c r="N143" s="31">
        <f>VALUE(0)</f>
        <v>0</v>
      </c>
      <c r="O143" s="31">
        <f>VALUE(8)</f>
        <v>8</v>
      </c>
      <c r="P143" s="31">
        <f>VALUE(9)</f>
        <v>9</v>
      </c>
      <c r="Q143" s="31">
        <f>VALUE(10)</f>
        <v>10</v>
      </c>
      <c r="R143" s="31">
        <f>VALUE(11)</f>
        <v>11</v>
      </c>
      <c r="S143" s="31">
        <f>VALUE(11)</f>
        <v>11</v>
      </c>
      <c r="T143" s="31">
        <f>VALUE(11)</f>
        <v>11</v>
      </c>
      <c r="U143" s="31">
        <f>VALUE(0)</f>
        <v>0</v>
      </c>
      <c r="V143" s="31">
        <f>VALUE(0)</f>
        <v>0</v>
      </c>
      <c r="W143" s="31">
        <f>VALUE(11)</f>
        <v>11</v>
      </c>
      <c r="X143" s="31">
        <f>VALUE(9)</f>
        <v>9</v>
      </c>
      <c r="Y143" s="31">
        <f>VALUE(9)</f>
        <v>9</v>
      </c>
      <c r="Z143" s="31">
        <f>VALUE(10)</f>
        <v>10</v>
      </c>
      <c r="AA143" s="31">
        <f>VALUE(9)</f>
        <v>9</v>
      </c>
      <c r="AB143" s="31">
        <f>VALUE(0)</f>
        <v>0</v>
      </c>
      <c r="AC143" s="31">
        <f>VALUE(9)</f>
        <v>9</v>
      </c>
      <c r="AD143" s="31">
        <f>VALUE(10)</f>
        <v>10</v>
      </c>
      <c r="AE143" s="31">
        <f>VALUE(9)</f>
        <v>9</v>
      </c>
      <c r="AF143" s="31">
        <f>VALUE(9)</f>
        <v>9</v>
      </c>
      <c r="AG143" s="31">
        <f>VALUE(8)</f>
        <v>8</v>
      </c>
      <c r="AH143" s="31">
        <f>VALUE(8)</f>
        <v>8</v>
      </c>
      <c r="AI143" s="31">
        <f>VALUE(0)</f>
        <v>0</v>
      </c>
      <c r="AJ143" s="31">
        <f>VALUE(10)</f>
        <v>10</v>
      </c>
      <c r="AK143" s="31">
        <f>VALUE(9)</f>
        <v>9</v>
      </c>
      <c r="AL143" s="31">
        <f>VALUE(9)</f>
        <v>9</v>
      </c>
      <c r="AM143" s="31">
        <f>VALUE(9)</f>
        <v>9</v>
      </c>
      <c r="AN143" s="31">
        <f>VALUE(8)</f>
        <v>8</v>
      </c>
      <c r="AO143" s="31">
        <f>VALUE(8)</f>
        <v>8</v>
      </c>
      <c r="AP143" s="31">
        <v>0</v>
      </c>
      <c r="AQ143" s="31">
        <v>0</v>
      </c>
      <c r="AR143" s="31">
        <v>0</v>
      </c>
      <c r="AS143" s="31">
        <v>0</v>
      </c>
      <c r="AT143" s="31">
        <v>0</v>
      </c>
      <c r="AU143" s="31">
        <v>0</v>
      </c>
      <c r="AV143" s="31">
        <v>0</v>
      </c>
      <c r="AW143" s="31">
        <v>0</v>
      </c>
      <c r="AX143" s="31">
        <v>0</v>
      </c>
      <c r="AY143" s="31">
        <v>0</v>
      </c>
      <c r="AZ143" s="31">
        <v>0</v>
      </c>
      <c r="BA143" s="31">
        <v>0</v>
      </c>
      <c r="BB143" s="31">
        <v>0</v>
      </c>
      <c r="BC143" s="31">
        <v>0</v>
      </c>
      <c r="BD143" s="31">
        <v>0</v>
      </c>
      <c r="BE143" s="31">
        <v>0</v>
      </c>
      <c r="BF143" s="31">
        <v>0</v>
      </c>
      <c r="BG143" s="31">
        <v>0</v>
      </c>
      <c r="BH143" s="31">
        <v>0</v>
      </c>
      <c r="BI143" s="31">
        <v>0</v>
      </c>
      <c r="BJ143" s="31">
        <v>0</v>
      </c>
      <c r="BK143" s="12">
        <v>0</v>
      </c>
      <c r="BL143" s="12">
        <v>0</v>
      </c>
      <c r="BM143" s="12">
        <v>0</v>
      </c>
      <c r="BN143" s="12"/>
      <c r="BO143" s="12">
        <v>0</v>
      </c>
      <c r="BP143" s="12">
        <v>0</v>
      </c>
      <c r="BQ143" s="12">
        <v>0</v>
      </c>
      <c r="BR143" s="12">
        <v>0</v>
      </c>
      <c r="BS143" s="12">
        <v>0</v>
      </c>
      <c r="BT143" s="12">
        <v>0</v>
      </c>
      <c r="BU143" s="12">
        <v>0</v>
      </c>
      <c r="BV143" s="12">
        <v>0</v>
      </c>
      <c r="BW143" s="12">
        <v>0</v>
      </c>
      <c r="BX143" s="12">
        <v>0</v>
      </c>
      <c r="BY143" s="12">
        <v>0</v>
      </c>
      <c r="BZ143" s="12">
        <v>0</v>
      </c>
      <c r="CA143" s="12">
        <v>0</v>
      </c>
    </row>
    <row r="144" spans="1:79" hidden="1" x14ac:dyDescent="0.2">
      <c r="A144" s="12" t="s">
        <v>120</v>
      </c>
      <c r="B144" s="12" t="s">
        <v>123</v>
      </c>
      <c r="C144" s="12" t="s">
        <v>123</v>
      </c>
      <c r="D144" s="22" t="s">
        <v>392</v>
      </c>
      <c r="E144" s="22" t="s">
        <v>161</v>
      </c>
      <c r="F144" s="22" t="s">
        <v>814</v>
      </c>
      <c r="G144" s="22" t="s">
        <v>815</v>
      </c>
      <c r="H144" s="22" t="s">
        <v>150</v>
      </c>
      <c r="I144" s="22" t="s">
        <v>151</v>
      </c>
      <c r="J144" s="22" t="s">
        <v>162</v>
      </c>
      <c r="K144" s="22" t="s">
        <v>82</v>
      </c>
      <c r="L144" s="54" t="s">
        <v>153</v>
      </c>
      <c r="M144" s="23" t="s">
        <v>153</v>
      </c>
      <c r="N144" s="24" t="s">
        <v>153</v>
      </c>
      <c r="O144" s="23" t="s">
        <v>153</v>
      </c>
      <c r="P144" s="23" t="s">
        <v>153</v>
      </c>
      <c r="Q144" s="23" t="s">
        <v>153</v>
      </c>
      <c r="R144" s="23" t="s">
        <v>153</v>
      </c>
      <c r="S144" s="23" t="s">
        <v>153</v>
      </c>
      <c r="T144" s="23" t="s">
        <v>153</v>
      </c>
      <c r="U144" s="24" t="s">
        <v>153</v>
      </c>
      <c r="V144" s="54" t="s">
        <v>153</v>
      </c>
      <c r="W144" s="23" t="s">
        <v>153</v>
      </c>
      <c r="X144" s="23" t="s">
        <v>153</v>
      </c>
      <c r="Y144" s="23" t="s">
        <v>153</v>
      </c>
      <c r="Z144" s="23" t="s">
        <v>153</v>
      </c>
      <c r="AA144" s="23" t="s">
        <v>153</v>
      </c>
      <c r="AB144" s="24" t="s">
        <v>153</v>
      </c>
      <c r="AC144" s="24" t="s">
        <v>156</v>
      </c>
      <c r="AD144" s="23" t="s">
        <v>153</v>
      </c>
      <c r="AE144" s="24" t="s">
        <v>156</v>
      </c>
      <c r="AF144" s="24" t="s">
        <v>156</v>
      </c>
      <c r="AG144" s="24" t="s">
        <v>156</v>
      </c>
      <c r="AH144" s="28" t="s">
        <v>163</v>
      </c>
      <c r="AI144" s="24" t="s">
        <v>153</v>
      </c>
      <c r="AJ144" s="28" t="s">
        <v>163</v>
      </c>
      <c r="AK144" s="28" t="s">
        <v>163</v>
      </c>
      <c r="AL144" s="28" t="s">
        <v>163</v>
      </c>
      <c r="AM144" s="28" t="s">
        <v>163</v>
      </c>
      <c r="AN144" s="28" t="s">
        <v>163</v>
      </c>
      <c r="AO144" s="28" t="s">
        <v>163</v>
      </c>
      <c r="AP144" s="23">
        <f>VALUE(0)</f>
        <v>0</v>
      </c>
      <c r="AQ144" s="23">
        <f>VALUE(0)</f>
        <v>0</v>
      </c>
      <c r="AR144" s="23">
        <f>VALUE(0)</f>
        <v>0</v>
      </c>
      <c r="AS144" s="23">
        <f>VALUE(0)</f>
        <v>0</v>
      </c>
      <c r="AT144" s="23">
        <f>VALUE(0)</f>
        <v>0</v>
      </c>
      <c r="AU144" s="23">
        <f>VALUE(7)</f>
        <v>7</v>
      </c>
      <c r="AV144" s="23">
        <f>VALUE(2)</f>
        <v>2</v>
      </c>
      <c r="AW144" s="23">
        <f>VALUE(0)</f>
        <v>0</v>
      </c>
      <c r="AX144" s="23">
        <f>VALUE(0)</f>
        <v>0</v>
      </c>
      <c r="AY144" s="23" t="s">
        <v>408</v>
      </c>
      <c r="AZ144" s="23">
        <f>VALUE(0)</f>
        <v>0</v>
      </c>
      <c r="BA144" s="23">
        <f>VALUE(0)</f>
        <v>0</v>
      </c>
      <c r="BB144" s="23">
        <f>VALUE(0)</f>
        <v>0</v>
      </c>
      <c r="BC144" s="23">
        <f>VALUE(0)</f>
        <v>0</v>
      </c>
      <c r="BD144" s="23">
        <f>VALUE(0)</f>
        <v>0</v>
      </c>
      <c r="BE144" s="23">
        <f>VALUE(0)</f>
        <v>0</v>
      </c>
      <c r="BF144" s="23">
        <f>VALUE(0)</f>
        <v>0</v>
      </c>
      <c r="BG144" s="23">
        <f>VALUE(0)</f>
        <v>0</v>
      </c>
      <c r="BH144" s="23">
        <f>VALUE(0)</f>
        <v>0</v>
      </c>
      <c r="BI144" s="23">
        <f>VALUE(0)</f>
        <v>0</v>
      </c>
      <c r="BJ144" s="23">
        <f>VALUE(0)</f>
        <v>0</v>
      </c>
      <c r="BK144" s="12">
        <f>$AX$144*24</f>
        <v>0</v>
      </c>
      <c r="BL144" s="12">
        <f>$AY$144*24</f>
        <v>10.75</v>
      </c>
      <c r="BM144" s="12">
        <f>$BJ$144*24</f>
        <v>0</v>
      </c>
      <c r="BN144" s="12">
        <f>VALUE($I$144)/100</f>
        <v>1</v>
      </c>
      <c r="BO144" s="12">
        <v>0</v>
      </c>
      <c r="BP144" s="12">
        <v>0</v>
      </c>
      <c r="BQ144" s="12">
        <v>0</v>
      </c>
      <c r="BR144" s="12">
        <v>0</v>
      </c>
      <c r="BS144" s="12">
        <v>0</v>
      </c>
      <c r="BT144" s="12">
        <v>0</v>
      </c>
      <c r="BU144" s="12">
        <v>0</v>
      </c>
      <c r="BV144" s="12">
        <v>0</v>
      </c>
      <c r="BW144" s="12">
        <v>0</v>
      </c>
      <c r="BX144" s="12">
        <v>0</v>
      </c>
      <c r="BY144" s="12">
        <v>0</v>
      </c>
      <c r="BZ144" s="12">
        <v>0</v>
      </c>
      <c r="CA144" s="12">
        <v>0</v>
      </c>
    </row>
    <row r="145" spans="1:79" hidden="1" x14ac:dyDescent="0.2">
      <c r="A145" s="12" t="s">
        <v>120</v>
      </c>
      <c r="B145" s="12" t="s">
        <v>123</v>
      </c>
      <c r="C145" s="12" t="s">
        <v>123</v>
      </c>
      <c r="D145" s="22" t="s">
        <v>386</v>
      </c>
      <c r="E145" s="22" t="s">
        <v>161</v>
      </c>
      <c r="F145" s="22" t="s">
        <v>816</v>
      </c>
      <c r="G145" s="22" t="s">
        <v>817</v>
      </c>
      <c r="H145" s="22" t="s">
        <v>150</v>
      </c>
      <c r="I145" s="22" t="s">
        <v>151</v>
      </c>
      <c r="J145" s="22" t="s">
        <v>162</v>
      </c>
      <c r="K145" s="22" t="s">
        <v>82</v>
      </c>
      <c r="L145" s="54" t="s">
        <v>153</v>
      </c>
      <c r="M145" s="28" t="s">
        <v>163</v>
      </c>
      <c r="N145" s="24" t="s">
        <v>153</v>
      </c>
      <c r="O145" s="29" t="s">
        <v>218</v>
      </c>
      <c r="P145" s="29" t="s">
        <v>218</v>
      </c>
      <c r="Q145" s="23" t="s">
        <v>153</v>
      </c>
      <c r="R145" s="23" t="s">
        <v>153</v>
      </c>
      <c r="S145" s="23" t="s">
        <v>153</v>
      </c>
      <c r="T145" s="23" t="s">
        <v>153</v>
      </c>
      <c r="U145" s="24" t="s">
        <v>153</v>
      </c>
      <c r="V145" s="54" t="s">
        <v>153</v>
      </c>
      <c r="W145" s="23" t="s">
        <v>153</v>
      </c>
      <c r="X145" s="24" t="s">
        <v>156</v>
      </c>
      <c r="Y145" s="24" t="s">
        <v>156</v>
      </c>
      <c r="Z145" s="23" t="s">
        <v>153</v>
      </c>
      <c r="AA145" s="23" t="s">
        <v>153</v>
      </c>
      <c r="AB145" s="24" t="s">
        <v>153</v>
      </c>
      <c r="AC145" s="23" t="s">
        <v>153</v>
      </c>
      <c r="AD145" s="23" t="s">
        <v>153</v>
      </c>
      <c r="AE145" s="23" t="s">
        <v>153</v>
      </c>
      <c r="AF145" s="23" t="s">
        <v>153</v>
      </c>
      <c r="AG145" s="29" t="s">
        <v>218</v>
      </c>
      <c r="AH145" s="23" t="s">
        <v>153</v>
      </c>
      <c r="AI145" s="24" t="s">
        <v>153</v>
      </c>
      <c r="AJ145" s="23" t="s">
        <v>153</v>
      </c>
      <c r="AK145" s="23" t="s">
        <v>153</v>
      </c>
      <c r="AL145" s="23" t="s">
        <v>153</v>
      </c>
      <c r="AM145" s="23" t="s">
        <v>153</v>
      </c>
      <c r="AN145" s="23" t="s">
        <v>153</v>
      </c>
      <c r="AO145" s="23" t="s">
        <v>153</v>
      </c>
      <c r="AP145" s="23">
        <f>VALUE(0)</f>
        <v>0</v>
      </c>
      <c r="AQ145" s="23">
        <f>VALUE(0)</f>
        <v>0</v>
      </c>
      <c r="AR145" s="23">
        <f>VALUE(3)</f>
        <v>3</v>
      </c>
      <c r="AS145" s="23">
        <f>VALUE(0)</f>
        <v>0</v>
      </c>
      <c r="AT145" s="23">
        <f>VALUE(0)</f>
        <v>0</v>
      </c>
      <c r="AU145" s="23">
        <f>VALUE(1)</f>
        <v>1</v>
      </c>
      <c r="AV145" s="23">
        <f>VALUE(2)</f>
        <v>2</v>
      </c>
      <c r="AW145" s="23">
        <f>VALUE(0)</f>
        <v>0</v>
      </c>
      <c r="AX145" s="23" t="s">
        <v>158</v>
      </c>
      <c r="AY145" s="23">
        <f>VALUE(0)</f>
        <v>0</v>
      </c>
      <c r="AZ145" s="23">
        <f>VALUE(0)</f>
        <v>0</v>
      </c>
      <c r="BA145" s="23">
        <f>VALUE(0)</f>
        <v>0</v>
      </c>
      <c r="BB145" s="23">
        <f>VALUE(0)</f>
        <v>0</v>
      </c>
      <c r="BC145" s="23">
        <f>VALUE(0)</f>
        <v>0</v>
      </c>
      <c r="BD145" s="23">
        <f>VALUE(0)</f>
        <v>0</v>
      </c>
      <c r="BE145" s="23">
        <f>VALUE(0)</f>
        <v>0</v>
      </c>
      <c r="BF145" s="23">
        <f>VALUE(0)</f>
        <v>0</v>
      </c>
      <c r="BG145" s="23">
        <f>VALUE(0)</f>
        <v>0</v>
      </c>
      <c r="BH145" s="23">
        <f>VALUE(0)</f>
        <v>0</v>
      </c>
      <c r="BI145" s="23">
        <f>VALUE(0)</f>
        <v>0</v>
      </c>
      <c r="BJ145" s="23">
        <f>VALUE(0)</f>
        <v>0</v>
      </c>
      <c r="BK145" s="12">
        <f>$AX$145*24</f>
        <v>11.666666666666666</v>
      </c>
      <c r="BL145" s="12">
        <f>$AY$145*24</f>
        <v>0</v>
      </c>
      <c r="BM145" s="12">
        <f>$BJ$145*24</f>
        <v>0</v>
      </c>
      <c r="BN145" s="12">
        <f>VALUE($I$145)/100</f>
        <v>1</v>
      </c>
      <c r="BO145" s="12">
        <v>0</v>
      </c>
      <c r="BP145" s="12">
        <v>0</v>
      </c>
      <c r="BQ145" s="12">
        <v>0</v>
      </c>
      <c r="BR145" s="12">
        <v>0</v>
      </c>
      <c r="BS145" s="12">
        <v>3</v>
      </c>
      <c r="BT145" s="12">
        <v>0</v>
      </c>
      <c r="BU145" s="12">
        <v>0</v>
      </c>
      <c r="BV145" s="12">
        <v>0</v>
      </c>
      <c r="BW145" s="12">
        <v>0</v>
      </c>
      <c r="BX145" s="12">
        <v>0</v>
      </c>
      <c r="BY145" s="12">
        <v>0</v>
      </c>
      <c r="BZ145" s="12">
        <v>0</v>
      </c>
      <c r="CA145" s="12">
        <v>0</v>
      </c>
    </row>
    <row r="146" spans="1:79" hidden="1" x14ac:dyDescent="0.2">
      <c r="A146" s="12" t="s">
        <v>120</v>
      </c>
      <c r="B146" s="12" t="s">
        <v>123</v>
      </c>
      <c r="C146" s="12" t="s">
        <v>123</v>
      </c>
      <c r="D146" s="22" t="s">
        <v>409</v>
      </c>
      <c r="E146" s="22" t="s">
        <v>161</v>
      </c>
      <c r="F146" s="22" t="s">
        <v>818</v>
      </c>
      <c r="G146" s="22" t="s">
        <v>819</v>
      </c>
      <c r="H146" s="22" t="s">
        <v>150</v>
      </c>
      <c r="I146" s="22" t="s">
        <v>151</v>
      </c>
      <c r="J146" s="22" t="s">
        <v>162</v>
      </c>
      <c r="K146" s="22" t="s">
        <v>82</v>
      </c>
      <c r="L146" s="54" t="s">
        <v>153</v>
      </c>
      <c r="M146" s="23" t="s">
        <v>153</v>
      </c>
      <c r="N146" s="24" t="s">
        <v>153</v>
      </c>
      <c r="O146" s="24" t="s">
        <v>156</v>
      </c>
      <c r="P146" s="24" t="s">
        <v>156</v>
      </c>
      <c r="Q146" s="28" t="s">
        <v>163</v>
      </c>
      <c r="R146" s="28" t="s">
        <v>163</v>
      </c>
      <c r="S146" s="28" t="s">
        <v>163</v>
      </c>
      <c r="T146" s="28" t="s">
        <v>163</v>
      </c>
      <c r="U146" s="24" t="s">
        <v>153</v>
      </c>
      <c r="V146" s="54" t="s">
        <v>153</v>
      </c>
      <c r="W146" s="23" t="s">
        <v>153</v>
      </c>
      <c r="X146" s="23" t="s">
        <v>153</v>
      </c>
      <c r="Y146" s="23" t="s">
        <v>153</v>
      </c>
      <c r="Z146" s="23" t="s">
        <v>153</v>
      </c>
      <c r="AA146" s="23" t="s">
        <v>153</v>
      </c>
      <c r="AB146" s="24" t="s">
        <v>153</v>
      </c>
      <c r="AC146" s="23" t="s">
        <v>153</v>
      </c>
      <c r="AD146" s="23" t="s">
        <v>153</v>
      </c>
      <c r="AE146" s="23" t="s">
        <v>153</v>
      </c>
      <c r="AF146" s="23" t="s">
        <v>153</v>
      </c>
      <c r="AG146" s="23" t="s">
        <v>153</v>
      </c>
      <c r="AH146" s="23" t="s">
        <v>153</v>
      </c>
      <c r="AI146" s="24" t="s">
        <v>153</v>
      </c>
      <c r="AJ146" s="23" t="s">
        <v>153</v>
      </c>
      <c r="AK146" s="23" t="s">
        <v>153</v>
      </c>
      <c r="AL146" s="23" t="s">
        <v>153</v>
      </c>
      <c r="AM146" s="23" t="s">
        <v>153</v>
      </c>
      <c r="AN146" s="23" t="s">
        <v>153</v>
      </c>
      <c r="AO146" s="23" t="s">
        <v>153</v>
      </c>
      <c r="AP146" s="23">
        <f>VALUE(0)</f>
        <v>0</v>
      </c>
      <c r="AQ146" s="23">
        <f>VALUE(0)</f>
        <v>0</v>
      </c>
      <c r="AR146" s="23">
        <f>VALUE(0)</f>
        <v>0</v>
      </c>
      <c r="AS146" s="23">
        <f>VALUE(0)</f>
        <v>0</v>
      </c>
      <c r="AT146" s="23">
        <f>VALUE(0)</f>
        <v>0</v>
      </c>
      <c r="AU146" s="23">
        <f>VALUE(4)</f>
        <v>4</v>
      </c>
      <c r="AV146" s="23">
        <f>VALUE(3)</f>
        <v>3</v>
      </c>
      <c r="AW146" s="23">
        <f>VALUE(0)</f>
        <v>0</v>
      </c>
      <c r="AX146" s="23" t="s">
        <v>410</v>
      </c>
      <c r="AY146" s="23" t="s">
        <v>176</v>
      </c>
      <c r="AZ146" s="23">
        <f>VALUE(0)</f>
        <v>0</v>
      </c>
      <c r="BA146" s="23">
        <f>VALUE(0)</f>
        <v>0</v>
      </c>
      <c r="BB146" s="23">
        <f>VALUE(0)</f>
        <v>0</v>
      </c>
      <c r="BC146" s="23">
        <f>VALUE(0)</f>
        <v>0</v>
      </c>
      <c r="BD146" s="23">
        <f>VALUE(0)</f>
        <v>0</v>
      </c>
      <c r="BE146" s="23">
        <f>VALUE(0)</f>
        <v>0</v>
      </c>
      <c r="BF146" s="23">
        <f>VALUE(0)</f>
        <v>0</v>
      </c>
      <c r="BG146" s="23">
        <f>VALUE(0)</f>
        <v>0</v>
      </c>
      <c r="BH146" s="23">
        <f>VALUE(0)</f>
        <v>0</v>
      </c>
      <c r="BI146" s="23">
        <f>VALUE(0)</f>
        <v>0</v>
      </c>
      <c r="BJ146" s="23">
        <f>VALUE(0)</f>
        <v>0</v>
      </c>
      <c r="BK146" s="12">
        <f>$AX$146*24</f>
        <v>5.55</v>
      </c>
      <c r="BL146" s="12">
        <f>$AY$146*24</f>
        <v>0</v>
      </c>
      <c r="BM146" s="12">
        <f>$BJ$146*24</f>
        <v>0</v>
      </c>
      <c r="BN146" s="12">
        <f>VALUE($I$146)/100</f>
        <v>1</v>
      </c>
      <c r="BO146" s="12">
        <v>0</v>
      </c>
      <c r="BP146" s="12">
        <v>0</v>
      </c>
      <c r="BQ146" s="12">
        <v>0</v>
      </c>
      <c r="BR146" s="12">
        <v>0</v>
      </c>
      <c r="BS146" s="12">
        <v>0</v>
      </c>
      <c r="BT146" s="12">
        <v>0</v>
      </c>
      <c r="BU146" s="12">
        <v>0</v>
      </c>
      <c r="BV146" s="12">
        <v>0</v>
      </c>
      <c r="BW146" s="12">
        <v>0</v>
      </c>
      <c r="BX146" s="12">
        <v>0</v>
      </c>
      <c r="BY146" s="12">
        <v>0</v>
      </c>
      <c r="BZ146" s="12">
        <v>0</v>
      </c>
      <c r="CA146" s="12">
        <v>0</v>
      </c>
    </row>
    <row r="147" spans="1:79" hidden="1" x14ac:dyDescent="0.2">
      <c r="A147" s="12" t="s">
        <v>120</v>
      </c>
      <c r="B147" s="12" t="s">
        <v>123</v>
      </c>
      <c r="C147" s="12" t="s">
        <v>123</v>
      </c>
      <c r="D147" s="22" t="s">
        <v>411</v>
      </c>
      <c r="E147" s="22" t="s">
        <v>161</v>
      </c>
      <c r="F147" s="22" t="s">
        <v>820</v>
      </c>
      <c r="G147" s="22" t="s">
        <v>821</v>
      </c>
      <c r="H147" s="22" t="s">
        <v>150</v>
      </c>
      <c r="I147" s="22" t="s">
        <v>151</v>
      </c>
      <c r="J147" s="22" t="s">
        <v>162</v>
      </c>
      <c r="K147" s="22" t="s">
        <v>82</v>
      </c>
      <c r="L147" s="54" t="s">
        <v>153</v>
      </c>
      <c r="M147" s="23" t="s">
        <v>153</v>
      </c>
      <c r="N147" s="24" t="s">
        <v>153</v>
      </c>
      <c r="O147" s="23" t="s">
        <v>153</v>
      </c>
      <c r="P147" s="23" t="s">
        <v>153</v>
      </c>
      <c r="Q147" s="23" t="s">
        <v>153</v>
      </c>
      <c r="R147" s="23" t="s">
        <v>153</v>
      </c>
      <c r="S147" s="23" t="s">
        <v>153</v>
      </c>
      <c r="T147" s="23" t="s">
        <v>153</v>
      </c>
      <c r="U147" s="24" t="s">
        <v>153</v>
      </c>
      <c r="V147" s="54" t="s">
        <v>153</v>
      </c>
      <c r="W147" s="23" t="s">
        <v>153</v>
      </c>
      <c r="X147" s="23" t="s">
        <v>153</v>
      </c>
      <c r="Y147" s="23" t="s">
        <v>153</v>
      </c>
      <c r="Z147" s="23" t="s">
        <v>153</v>
      </c>
      <c r="AA147" s="23" t="s">
        <v>153</v>
      </c>
      <c r="AB147" s="24" t="s">
        <v>153</v>
      </c>
      <c r="AC147" s="23" t="s">
        <v>153</v>
      </c>
      <c r="AD147" s="23" t="s">
        <v>153</v>
      </c>
      <c r="AE147" s="23" t="s">
        <v>153</v>
      </c>
      <c r="AF147" s="23" t="s">
        <v>153</v>
      </c>
      <c r="AG147" s="23" t="s">
        <v>153</v>
      </c>
      <c r="AH147" s="23" t="s">
        <v>153</v>
      </c>
      <c r="AI147" s="24" t="s">
        <v>153</v>
      </c>
      <c r="AJ147" s="23" t="s">
        <v>153</v>
      </c>
      <c r="AK147" s="23" t="s">
        <v>153</v>
      </c>
      <c r="AL147" s="23" t="s">
        <v>153</v>
      </c>
      <c r="AM147" s="23" t="s">
        <v>153</v>
      </c>
      <c r="AN147" s="24" t="s">
        <v>156</v>
      </c>
      <c r="AO147" s="24" t="s">
        <v>156</v>
      </c>
      <c r="AP147" s="23">
        <f>VALUE(0)</f>
        <v>0</v>
      </c>
      <c r="AQ147" s="23">
        <f>VALUE(0)</f>
        <v>0</v>
      </c>
      <c r="AR147" s="23">
        <f>VALUE(0)</f>
        <v>0</v>
      </c>
      <c r="AS147" s="23">
        <f>VALUE(0)</f>
        <v>0</v>
      </c>
      <c r="AT147" s="23">
        <f>VALUE(0)</f>
        <v>0</v>
      </c>
      <c r="AU147" s="23">
        <f>VALUE(0)</f>
        <v>0</v>
      </c>
      <c r="AV147" s="23">
        <f>VALUE(2.5)</f>
        <v>2.5</v>
      </c>
      <c r="AW147" s="23">
        <f>VALUE(0)</f>
        <v>0</v>
      </c>
      <c r="AX147" s="23" t="s">
        <v>171</v>
      </c>
      <c r="AY147" s="23" t="s">
        <v>412</v>
      </c>
      <c r="AZ147" s="23">
        <f>VALUE(0)</f>
        <v>0</v>
      </c>
      <c r="BA147" s="23">
        <f>VALUE(0)</f>
        <v>0</v>
      </c>
      <c r="BB147" s="23">
        <f>VALUE(0)</f>
        <v>0</v>
      </c>
      <c r="BC147" s="23">
        <f>VALUE(0)</f>
        <v>0</v>
      </c>
      <c r="BD147" s="23">
        <f>VALUE(0)</f>
        <v>0</v>
      </c>
      <c r="BE147" s="23">
        <f>VALUE(0)</f>
        <v>0</v>
      </c>
      <c r="BF147" s="23">
        <f>VALUE(0)</f>
        <v>0</v>
      </c>
      <c r="BG147" s="23">
        <f>VALUE(0)</f>
        <v>0</v>
      </c>
      <c r="BH147" s="23">
        <f>VALUE(0)</f>
        <v>0</v>
      </c>
      <c r="BI147" s="23">
        <f>VALUE(0)</f>
        <v>0</v>
      </c>
      <c r="BJ147" s="23">
        <f>VALUE(0)</f>
        <v>0</v>
      </c>
      <c r="BK147" s="12">
        <f>$AX$147*24</f>
        <v>5.833333333333333</v>
      </c>
      <c r="BL147" s="12">
        <f>$AY$147*24</f>
        <v>3.9666666666666668</v>
      </c>
      <c r="BM147" s="12">
        <f>$BJ$147*24</f>
        <v>0</v>
      </c>
      <c r="BN147" s="12">
        <f>VALUE($I$147)/100</f>
        <v>1</v>
      </c>
      <c r="BO147" s="12">
        <v>0</v>
      </c>
      <c r="BP147" s="12">
        <v>0</v>
      </c>
      <c r="BQ147" s="12">
        <v>0</v>
      </c>
      <c r="BR147" s="12">
        <v>0</v>
      </c>
      <c r="BS147" s="12">
        <v>0</v>
      </c>
      <c r="BT147" s="12">
        <v>0</v>
      </c>
      <c r="BU147" s="12">
        <v>0</v>
      </c>
      <c r="BV147" s="12">
        <v>0</v>
      </c>
      <c r="BW147" s="12">
        <v>0</v>
      </c>
      <c r="BX147" s="12">
        <v>0</v>
      </c>
      <c r="BY147" s="12">
        <v>0</v>
      </c>
      <c r="BZ147" s="12">
        <v>0</v>
      </c>
      <c r="CA147" s="12">
        <v>0</v>
      </c>
    </row>
    <row r="148" spans="1:79" hidden="1" x14ac:dyDescent="0.2">
      <c r="A148" s="12" t="s">
        <v>120</v>
      </c>
      <c r="B148" s="12" t="s">
        <v>123</v>
      </c>
      <c r="C148" s="12" t="s">
        <v>123</v>
      </c>
      <c r="D148" s="22" t="s">
        <v>413</v>
      </c>
      <c r="E148" s="22" t="s">
        <v>161</v>
      </c>
      <c r="F148" s="22" t="s">
        <v>822</v>
      </c>
      <c r="G148" s="22" t="s">
        <v>823</v>
      </c>
      <c r="H148" s="22" t="s">
        <v>150</v>
      </c>
      <c r="I148" s="22" t="s">
        <v>151</v>
      </c>
      <c r="J148" s="22" t="s">
        <v>162</v>
      </c>
      <c r="K148" s="22" t="s">
        <v>82</v>
      </c>
      <c r="L148" s="54" t="s">
        <v>153</v>
      </c>
      <c r="M148" s="23" t="s">
        <v>153</v>
      </c>
      <c r="N148" s="24" t="s">
        <v>153</v>
      </c>
      <c r="O148" s="23" t="s">
        <v>153</v>
      </c>
      <c r="P148" s="23" t="s">
        <v>153</v>
      </c>
      <c r="Q148" s="23" t="s">
        <v>153</v>
      </c>
      <c r="R148" s="23" t="s">
        <v>153</v>
      </c>
      <c r="S148" s="23" t="s">
        <v>153</v>
      </c>
      <c r="T148" s="23" t="s">
        <v>153</v>
      </c>
      <c r="U148" s="24" t="s">
        <v>153</v>
      </c>
      <c r="V148" s="54" t="s">
        <v>153</v>
      </c>
      <c r="W148" s="23" t="s">
        <v>153</v>
      </c>
      <c r="X148" s="35" t="s">
        <v>170</v>
      </c>
      <c r="Y148" s="35" t="s">
        <v>170</v>
      </c>
      <c r="Z148" s="35" t="s">
        <v>170</v>
      </c>
      <c r="AA148" s="23" t="s">
        <v>153</v>
      </c>
      <c r="AB148" s="24" t="s">
        <v>153</v>
      </c>
      <c r="AC148" s="33" t="s">
        <v>201</v>
      </c>
      <c r="AD148" s="33" t="s">
        <v>201</v>
      </c>
      <c r="AE148" s="33" t="s">
        <v>201</v>
      </c>
      <c r="AF148" s="33" t="s">
        <v>201</v>
      </c>
      <c r="AG148" s="24" t="s">
        <v>156</v>
      </c>
      <c r="AH148" s="24" t="s">
        <v>156</v>
      </c>
      <c r="AI148" s="24" t="s">
        <v>153</v>
      </c>
      <c r="AJ148" s="23" t="s">
        <v>153</v>
      </c>
      <c r="AK148" s="23" t="s">
        <v>153</v>
      </c>
      <c r="AL148" s="33" t="s">
        <v>201</v>
      </c>
      <c r="AM148" s="23" t="s">
        <v>153</v>
      </c>
      <c r="AN148" s="23" t="s">
        <v>153</v>
      </c>
      <c r="AO148" s="23" t="s">
        <v>153</v>
      </c>
      <c r="AP148" s="23">
        <f>VALUE(0)</f>
        <v>0</v>
      </c>
      <c r="AQ148" s="23">
        <f>VALUE(0)</f>
        <v>0</v>
      </c>
      <c r="AR148" s="23">
        <f>VALUE(0)</f>
        <v>0</v>
      </c>
      <c r="AS148" s="23">
        <f>VALUE(0)</f>
        <v>0</v>
      </c>
      <c r="AT148" s="23">
        <f>VALUE(0)</f>
        <v>0</v>
      </c>
      <c r="AU148" s="23">
        <f>VALUE(0)</f>
        <v>0</v>
      </c>
      <c r="AV148" s="23">
        <f>VALUE(8)</f>
        <v>8</v>
      </c>
      <c r="AW148" s="23">
        <f>VALUE(0)</f>
        <v>0</v>
      </c>
      <c r="AX148" s="23" t="s">
        <v>158</v>
      </c>
      <c r="AY148" s="23" t="s">
        <v>414</v>
      </c>
      <c r="AZ148" s="23">
        <f>VALUE(0)</f>
        <v>0</v>
      </c>
      <c r="BA148" s="23">
        <f>VALUE(0)</f>
        <v>0</v>
      </c>
      <c r="BB148" s="23">
        <f>VALUE(5)</f>
        <v>5</v>
      </c>
      <c r="BC148" s="23">
        <f>VALUE(0)</f>
        <v>0</v>
      </c>
      <c r="BD148" s="23">
        <f>VALUE(0)</f>
        <v>0</v>
      </c>
      <c r="BE148" s="23">
        <f>VALUE(3)</f>
        <v>3</v>
      </c>
      <c r="BF148" s="23">
        <f>VALUE(0)</f>
        <v>0</v>
      </c>
      <c r="BG148" s="23">
        <f>VALUE(0)</f>
        <v>0</v>
      </c>
      <c r="BH148" s="23">
        <f>VALUE(0)</f>
        <v>0</v>
      </c>
      <c r="BI148" s="23">
        <f>VALUE(0)</f>
        <v>0</v>
      </c>
      <c r="BJ148" s="23">
        <f>VALUE(0)</f>
        <v>0</v>
      </c>
      <c r="BK148" s="12">
        <f>$AX$148*24</f>
        <v>11.666666666666666</v>
      </c>
      <c r="BL148" s="12">
        <f>$AY$148*24</f>
        <v>36.4</v>
      </c>
      <c r="BM148" s="12">
        <f>$BJ$148*24</f>
        <v>0</v>
      </c>
      <c r="BN148" s="12">
        <f>VALUE($I$148)/100</f>
        <v>1</v>
      </c>
      <c r="BO148" s="12">
        <v>0</v>
      </c>
      <c r="BP148" s="12">
        <v>0</v>
      </c>
      <c r="BQ148" s="12">
        <v>0</v>
      </c>
      <c r="BR148" s="12">
        <v>0</v>
      </c>
      <c r="BS148" s="12">
        <v>0</v>
      </c>
      <c r="BT148" s="12">
        <v>0</v>
      </c>
      <c r="BU148" s="12">
        <v>0</v>
      </c>
      <c r="BV148" s="12">
        <v>0</v>
      </c>
      <c r="BW148" s="12">
        <v>0</v>
      </c>
      <c r="BX148" s="12">
        <v>0</v>
      </c>
      <c r="BY148" s="12">
        <v>0</v>
      </c>
      <c r="BZ148" s="12">
        <v>0</v>
      </c>
      <c r="CA148" s="12">
        <v>0</v>
      </c>
    </row>
    <row r="149" spans="1:79" x14ac:dyDescent="0.2">
      <c r="A149" s="12" t="s">
        <v>120</v>
      </c>
      <c r="B149" s="12" t="s">
        <v>123</v>
      </c>
      <c r="C149" s="12" t="s">
        <v>123</v>
      </c>
      <c r="D149" s="22" t="s">
        <v>1220</v>
      </c>
      <c r="E149" s="22" t="s">
        <v>159</v>
      </c>
      <c r="F149" s="22" t="s">
        <v>824</v>
      </c>
      <c r="G149" s="22" t="s">
        <v>825</v>
      </c>
      <c r="H149" s="22" t="s">
        <v>150</v>
      </c>
      <c r="I149" s="22" t="s">
        <v>151</v>
      </c>
      <c r="J149" s="22" t="s">
        <v>162</v>
      </c>
      <c r="K149" s="22" t="s">
        <v>82</v>
      </c>
      <c r="L149" s="54" t="s">
        <v>153</v>
      </c>
      <c r="M149" s="23" t="s">
        <v>153</v>
      </c>
      <c r="N149" s="24" t="s">
        <v>153</v>
      </c>
      <c r="O149" s="23" t="s">
        <v>153</v>
      </c>
      <c r="P149" s="23" t="s">
        <v>153</v>
      </c>
      <c r="Q149" s="23" t="s">
        <v>153</v>
      </c>
      <c r="R149" s="23" t="s">
        <v>153</v>
      </c>
      <c r="S149" s="24" t="s">
        <v>156</v>
      </c>
      <c r="T149" s="24" t="s">
        <v>156</v>
      </c>
      <c r="U149" s="24" t="s">
        <v>153</v>
      </c>
      <c r="V149" s="54" t="s">
        <v>153</v>
      </c>
      <c r="W149" s="23" t="s">
        <v>153</v>
      </c>
      <c r="X149" s="23" t="s">
        <v>153</v>
      </c>
      <c r="Y149" s="23" t="s">
        <v>153</v>
      </c>
      <c r="Z149" s="23" t="s">
        <v>153</v>
      </c>
      <c r="AA149" s="23" t="s">
        <v>153</v>
      </c>
      <c r="AB149" s="24" t="s">
        <v>153</v>
      </c>
      <c r="AC149" s="23" t="s">
        <v>153</v>
      </c>
      <c r="AD149" s="23" t="s">
        <v>153</v>
      </c>
      <c r="AE149" s="23" t="s">
        <v>153</v>
      </c>
      <c r="AF149" s="23" t="s">
        <v>153</v>
      </c>
      <c r="AG149" s="23" t="s">
        <v>153</v>
      </c>
      <c r="AH149" s="23" t="s">
        <v>153</v>
      </c>
      <c r="AI149" s="24" t="s">
        <v>153</v>
      </c>
      <c r="AJ149" s="23" t="s">
        <v>153</v>
      </c>
      <c r="AK149" s="23" t="s">
        <v>153</v>
      </c>
      <c r="AL149" s="23" t="s">
        <v>153</v>
      </c>
      <c r="AM149" s="23" t="s">
        <v>153</v>
      </c>
      <c r="AN149" s="23" t="s">
        <v>153</v>
      </c>
      <c r="AO149" s="23" t="s">
        <v>153</v>
      </c>
      <c r="AP149" s="23">
        <f>VALUE(0)</f>
        <v>0</v>
      </c>
      <c r="AQ149" s="23">
        <f>VALUE(0)</f>
        <v>0</v>
      </c>
      <c r="AR149" s="23">
        <f>VALUE(0)</f>
        <v>0</v>
      </c>
      <c r="AS149" s="23">
        <f>VALUE(22)</f>
        <v>22</v>
      </c>
      <c r="AT149" s="23">
        <f>VALUE(0)</f>
        <v>0</v>
      </c>
      <c r="AU149" s="23">
        <f>VALUE(0)</f>
        <v>0</v>
      </c>
      <c r="AV149" s="23">
        <f>VALUE(2)</f>
        <v>2</v>
      </c>
      <c r="AW149" s="23">
        <f>VALUE(0)</f>
        <v>0</v>
      </c>
      <c r="AX149" s="23" t="s">
        <v>171</v>
      </c>
      <c r="AY149" s="23">
        <f>VALUE(0)</f>
        <v>0</v>
      </c>
      <c r="AZ149" s="23">
        <f>VALUE(0)</f>
        <v>0</v>
      </c>
      <c r="BA149" s="23">
        <f>VALUE(0)</f>
        <v>0</v>
      </c>
      <c r="BB149" s="23">
        <f>VALUE(0)</f>
        <v>0</v>
      </c>
      <c r="BC149" s="23">
        <f>VALUE(0)</f>
        <v>0</v>
      </c>
      <c r="BD149" s="23">
        <f>VALUE(0)</f>
        <v>0</v>
      </c>
      <c r="BE149" s="23">
        <f>VALUE(0)</f>
        <v>0</v>
      </c>
      <c r="BF149" s="23">
        <f>VALUE(0)</f>
        <v>0</v>
      </c>
      <c r="BG149" s="23">
        <f>VALUE(0)</f>
        <v>0</v>
      </c>
      <c r="BH149" s="23">
        <f>VALUE(0)</f>
        <v>0</v>
      </c>
      <c r="BI149" s="23">
        <f>VALUE(0)</f>
        <v>0</v>
      </c>
      <c r="BJ149" s="23">
        <f>VALUE(0)</f>
        <v>0</v>
      </c>
      <c r="BK149" s="12">
        <f>$AX$149*24</f>
        <v>5.833333333333333</v>
      </c>
      <c r="BL149" s="12">
        <f>$AY$149*24</f>
        <v>0</v>
      </c>
      <c r="BM149" s="12">
        <f>$BJ$149*24</f>
        <v>0</v>
      </c>
      <c r="BN149" s="12">
        <f>VALUE($I$149)/100</f>
        <v>1</v>
      </c>
      <c r="BO149" s="12">
        <v>0</v>
      </c>
      <c r="BP149" s="12">
        <v>0</v>
      </c>
      <c r="BQ149" s="12">
        <v>0</v>
      </c>
      <c r="BR149" s="12">
        <v>0</v>
      </c>
      <c r="BS149" s="12">
        <v>0</v>
      </c>
      <c r="BT149" s="12">
        <v>0</v>
      </c>
      <c r="BU149" s="12">
        <v>0</v>
      </c>
      <c r="BV149" s="12">
        <v>0</v>
      </c>
      <c r="BW149" s="12">
        <v>0</v>
      </c>
      <c r="BX149" s="12">
        <v>0</v>
      </c>
      <c r="BY149" s="12">
        <v>0</v>
      </c>
      <c r="BZ149" s="12">
        <v>0</v>
      </c>
      <c r="CA149" s="12">
        <v>0</v>
      </c>
    </row>
    <row r="150" spans="1:79" ht="15" hidden="1" x14ac:dyDescent="0.25">
      <c r="A150" s="12" t="s">
        <v>120</v>
      </c>
      <c r="B150" s="12" t="s">
        <v>123</v>
      </c>
      <c r="C150" s="12" t="s">
        <v>123</v>
      </c>
      <c r="D150" s="31" t="s">
        <v>323</v>
      </c>
      <c r="E150" s="31" t="s">
        <v>153</v>
      </c>
      <c r="F150" s="31" t="s">
        <v>175</v>
      </c>
      <c r="G150" s="31" t="s">
        <v>153</v>
      </c>
      <c r="H150" s="31" t="s">
        <v>153</v>
      </c>
      <c r="I150" s="31" t="s">
        <v>153</v>
      </c>
      <c r="J150" s="31" t="s">
        <v>153</v>
      </c>
      <c r="K150" s="31" t="s">
        <v>153</v>
      </c>
      <c r="L150" s="31">
        <f>VALUE(0)</f>
        <v>0</v>
      </c>
      <c r="M150" s="31">
        <f>VALUE(5)</f>
        <v>5</v>
      </c>
      <c r="N150" s="31">
        <f>VALUE(0)</f>
        <v>0</v>
      </c>
      <c r="O150" s="31">
        <f>VALUE(4)</f>
        <v>4</v>
      </c>
      <c r="P150" s="31">
        <f>VALUE(4)</f>
        <v>4</v>
      </c>
      <c r="Q150" s="31">
        <f>VALUE(5)</f>
        <v>5</v>
      </c>
      <c r="R150" s="31">
        <f>VALUE(5)</f>
        <v>5</v>
      </c>
      <c r="S150" s="31">
        <f>VALUE(4)</f>
        <v>4</v>
      </c>
      <c r="T150" s="31">
        <f>VALUE(4)</f>
        <v>4</v>
      </c>
      <c r="U150" s="31">
        <f>VALUE(0)</f>
        <v>0</v>
      </c>
      <c r="V150" s="31">
        <f>VALUE(0)</f>
        <v>0</v>
      </c>
      <c r="W150" s="31">
        <f>VALUE(6)</f>
        <v>6</v>
      </c>
      <c r="X150" s="31">
        <f>VALUE(4)</f>
        <v>4</v>
      </c>
      <c r="Y150" s="31">
        <f>VALUE(4)</f>
        <v>4</v>
      </c>
      <c r="Z150" s="31">
        <f>VALUE(5)</f>
        <v>5</v>
      </c>
      <c r="AA150" s="31">
        <f>VALUE(6)</f>
        <v>6</v>
      </c>
      <c r="AB150" s="31">
        <f>VALUE(0)</f>
        <v>0</v>
      </c>
      <c r="AC150" s="31">
        <f>VALUE(4)</f>
        <v>4</v>
      </c>
      <c r="AD150" s="31">
        <f>VALUE(5)</f>
        <v>5</v>
      </c>
      <c r="AE150" s="31">
        <f>VALUE(4)</f>
        <v>4</v>
      </c>
      <c r="AF150" s="31">
        <f>VALUE(4)</f>
        <v>4</v>
      </c>
      <c r="AG150" s="31">
        <f>VALUE(3)</f>
        <v>3</v>
      </c>
      <c r="AH150" s="31">
        <f>VALUE(4)</f>
        <v>4</v>
      </c>
      <c r="AI150" s="31">
        <f>VALUE(0)</f>
        <v>0</v>
      </c>
      <c r="AJ150" s="31">
        <f>VALUE(5)</f>
        <v>5</v>
      </c>
      <c r="AK150" s="31">
        <f>VALUE(5)</f>
        <v>5</v>
      </c>
      <c r="AL150" s="31">
        <f>VALUE(4)</f>
        <v>4</v>
      </c>
      <c r="AM150" s="31">
        <f>VALUE(5)</f>
        <v>5</v>
      </c>
      <c r="AN150" s="31">
        <f>VALUE(4)</f>
        <v>4</v>
      </c>
      <c r="AO150" s="31">
        <f>VALUE(4)</f>
        <v>4</v>
      </c>
      <c r="AP150" s="31">
        <v>0</v>
      </c>
      <c r="AQ150" s="31">
        <v>0</v>
      </c>
      <c r="AR150" s="31">
        <v>0</v>
      </c>
      <c r="AS150" s="31">
        <v>0</v>
      </c>
      <c r="AT150" s="31">
        <v>0</v>
      </c>
      <c r="AU150" s="31">
        <v>0</v>
      </c>
      <c r="AV150" s="31">
        <v>0</v>
      </c>
      <c r="AW150" s="31">
        <v>0</v>
      </c>
      <c r="AX150" s="31">
        <v>0</v>
      </c>
      <c r="AY150" s="31">
        <v>0</v>
      </c>
      <c r="AZ150" s="31">
        <v>0</v>
      </c>
      <c r="BA150" s="31">
        <v>0</v>
      </c>
      <c r="BB150" s="31">
        <v>0</v>
      </c>
      <c r="BC150" s="31">
        <v>0</v>
      </c>
      <c r="BD150" s="31">
        <v>0</v>
      </c>
      <c r="BE150" s="31">
        <v>0</v>
      </c>
      <c r="BF150" s="31">
        <v>0</v>
      </c>
      <c r="BG150" s="31">
        <v>0</v>
      </c>
      <c r="BH150" s="31">
        <v>0</v>
      </c>
      <c r="BI150" s="31">
        <v>0</v>
      </c>
      <c r="BJ150" s="31">
        <v>0</v>
      </c>
      <c r="BK150" s="12">
        <v>0</v>
      </c>
      <c r="BL150" s="12">
        <v>0</v>
      </c>
      <c r="BM150" s="12">
        <v>0</v>
      </c>
      <c r="BN150" s="12"/>
      <c r="BO150" s="12">
        <v>0</v>
      </c>
      <c r="BP150" s="12">
        <v>0</v>
      </c>
      <c r="BQ150" s="12">
        <v>0</v>
      </c>
      <c r="BR150" s="12">
        <v>0</v>
      </c>
      <c r="BS150" s="12">
        <v>0</v>
      </c>
      <c r="BT150" s="12">
        <v>0</v>
      </c>
      <c r="BU150" s="12">
        <v>0</v>
      </c>
      <c r="BV150" s="12">
        <v>0</v>
      </c>
      <c r="BW150" s="12">
        <v>0</v>
      </c>
      <c r="BX150" s="12">
        <v>0</v>
      </c>
      <c r="BY150" s="12">
        <v>0</v>
      </c>
      <c r="BZ150" s="12">
        <v>0</v>
      </c>
      <c r="CA150" s="12">
        <v>0</v>
      </c>
    </row>
    <row r="151" spans="1:79" hidden="1" x14ac:dyDescent="0.2">
      <c r="A151" s="12" t="s">
        <v>120</v>
      </c>
      <c r="B151" s="12" t="s">
        <v>124</v>
      </c>
      <c r="C151" s="12" t="s">
        <v>124</v>
      </c>
      <c r="D151" s="22" t="s">
        <v>388</v>
      </c>
      <c r="E151" s="22" t="s">
        <v>161</v>
      </c>
      <c r="F151" s="22" t="s">
        <v>826</v>
      </c>
      <c r="G151" s="22" t="s">
        <v>827</v>
      </c>
      <c r="H151" s="22" t="s">
        <v>150</v>
      </c>
      <c r="I151" s="22" t="s">
        <v>151</v>
      </c>
      <c r="J151" s="22" t="s">
        <v>162</v>
      </c>
      <c r="K151" s="22" t="s">
        <v>83</v>
      </c>
      <c r="L151" s="54" t="s">
        <v>153</v>
      </c>
      <c r="M151" s="32" t="s">
        <v>416</v>
      </c>
      <c r="N151" s="24" t="s">
        <v>153</v>
      </c>
      <c r="O151" s="23" t="s">
        <v>153</v>
      </c>
      <c r="P151" s="23" t="s">
        <v>153</v>
      </c>
      <c r="Q151" s="23" t="s">
        <v>153</v>
      </c>
      <c r="R151" s="23" t="s">
        <v>153</v>
      </c>
      <c r="S151" s="23" t="s">
        <v>153</v>
      </c>
      <c r="T151" s="23" t="s">
        <v>153</v>
      </c>
      <c r="U151" s="24" t="s">
        <v>153</v>
      </c>
      <c r="V151" s="54" t="s">
        <v>153</v>
      </c>
      <c r="W151" s="25" t="s">
        <v>393</v>
      </c>
      <c r="X151" s="25" t="s">
        <v>393</v>
      </c>
      <c r="Y151" s="25" t="s">
        <v>393</v>
      </c>
      <c r="Z151" s="25" t="s">
        <v>393</v>
      </c>
      <c r="AA151" s="25" t="s">
        <v>393</v>
      </c>
      <c r="AB151" s="24" t="s">
        <v>153</v>
      </c>
      <c r="AC151" s="25" t="s">
        <v>393</v>
      </c>
      <c r="AD151" s="25" t="s">
        <v>393</v>
      </c>
      <c r="AE151" s="25" t="s">
        <v>393</v>
      </c>
      <c r="AF151" s="25" t="s">
        <v>393</v>
      </c>
      <c r="AG151" s="25" t="s">
        <v>393</v>
      </c>
      <c r="AH151" s="25" t="s">
        <v>393</v>
      </c>
      <c r="AI151" s="24" t="s">
        <v>153</v>
      </c>
      <c r="AJ151" s="25" t="s">
        <v>393</v>
      </c>
      <c r="AK151" s="25" t="s">
        <v>393</v>
      </c>
      <c r="AL151" s="25" t="s">
        <v>393</v>
      </c>
      <c r="AM151" s="25" t="s">
        <v>393</v>
      </c>
      <c r="AN151" s="25" t="s">
        <v>393</v>
      </c>
      <c r="AO151" s="25" t="s">
        <v>393</v>
      </c>
      <c r="AP151" s="23">
        <f>VALUE(0)</f>
        <v>0</v>
      </c>
      <c r="AQ151" s="23">
        <f>VALUE(0)</f>
        <v>0</v>
      </c>
      <c r="AR151" s="23">
        <f>VALUE(0)</f>
        <v>0</v>
      </c>
      <c r="AS151" s="23">
        <f>VALUE(0)</f>
        <v>0</v>
      </c>
      <c r="AT151" s="23">
        <f>VALUE(0)</f>
        <v>0</v>
      </c>
      <c r="AU151" s="23">
        <f>VALUE(0)</f>
        <v>0</v>
      </c>
      <c r="AV151" s="23">
        <f>VALUE(11)</f>
        <v>11</v>
      </c>
      <c r="AW151" s="23">
        <f>VALUE(0)</f>
        <v>0</v>
      </c>
      <c r="AX151" s="23" t="s">
        <v>171</v>
      </c>
      <c r="AY151" s="23" t="s">
        <v>417</v>
      </c>
      <c r="AZ151" s="23">
        <f>VALUE(0)</f>
        <v>0</v>
      </c>
      <c r="BA151" s="23">
        <f>VALUE(1)</f>
        <v>1</v>
      </c>
      <c r="BB151" s="23">
        <f>VALUE(0)</f>
        <v>0</v>
      </c>
      <c r="BC151" s="23">
        <f>VALUE(0)</f>
        <v>0</v>
      </c>
      <c r="BD151" s="23">
        <f>VALUE(0)</f>
        <v>0</v>
      </c>
      <c r="BE151" s="23">
        <f>VALUE(0)</f>
        <v>0</v>
      </c>
      <c r="BF151" s="23">
        <f>VALUE(0)</f>
        <v>0</v>
      </c>
      <c r="BG151" s="23">
        <f>VALUE(0)</f>
        <v>0</v>
      </c>
      <c r="BH151" s="23">
        <f>VALUE(0)</f>
        <v>0</v>
      </c>
      <c r="BI151" s="23">
        <f>VALUE(0)</f>
        <v>0</v>
      </c>
      <c r="BJ151" s="23">
        <f>VALUE(0)</f>
        <v>0</v>
      </c>
      <c r="BK151" s="12">
        <f>$AX$151*24</f>
        <v>5.833333333333333</v>
      </c>
      <c r="BL151" s="12">
        <f>$AY$151*24</f>
        <v>16.533333333333335</v>
      </c>
      <c r="BM151" s="12">
        <f>$BJ$151*24</f>
        <v>0</v>
      </c>
      <c r="BN151" s="12">
        <f>VALUE($I$151)/100</f>
        <v>1</v>
      </c>
      <c r="BO151" s="12">
        <v>0</v>
      </c>
      <c r="BP151" s="12">
        <v>0</v>
      </c>
      <c r="BQ151" s="12">
        <v>0</v>
      </c>
      <c r="BR151" s="12">
        <v>0</v>
      </c>
      <c r="BS151" s="12">
        <v>0</v>
      </c>
      <c r="BT151" s="12">
        <v>0</v>
      </c>
      <c r="BU151" s="12">
        <v>0</v>
      </c>
      <c r="BV151" s="12">
        <v>0</v>
      </c>
      <c r="BW151" s="12">
        <v>0</v>
      </c>
      <c r="BX151" s="12">
        <v>0</v>
      </c>
      <c r="BY151" s="12">
        <v>0</v>
      </c>
      <c r="BZ151" s="12">
        <v>0</v>
      </c>
      <c r="CA151" s="12">
        <v>0</v>
      </c>
    </row>
    <row r="152" spans="1:79" hidden="1" x14ac:dyDescent="0.2">
      <c r="A152" s="12" t="s">
        <v>120</v>
      </c>
      <c r="B152" s="12" t="s">
        <v>124</v>
      </c>
      <c r="C152" s="12" t="s">
        <v>124</v>
      </c>
      <c r="D152" s="22" t="s">
        <v>418</v>
      </c>
      <c r="E152" s="22" t="s">
        <v>161</v>
      </c>
      <c r="F152" s="22" t="s">
        <v>828</v>
      </c>
      <c r="G152" s="22" t="s">
        <v>829</v>
      </c>
      <c r="H152" s="22" t="s">
        <v>166</v>
      </c>
      <c r="I152" s="22" t="s">
        <v>151</v>
      </c>
      <c r="J152" s="22" t="s">
        <v>162</v>
      </c>
      <c r="K152" s="22" t="s">
        <v>83</v>
      </c>
      <c r="L152" s="54" t="s">
        <v>153</v>
      </c>
      <c r="M152" s="23" t="s">
        <v>153</v>
      </c>
      <c r="N152" s="24" t="s">
        <v>153</v>
      </c>
      <c r="O152" s="24" t="s">
        <v>156</v>
      </c>
      <c r="P152" s="24" t="s">
        <v>156</v>
      </c>
      <c r="Q152" s="23" t="s">
        <v>153</v>
      </c>
      <c r="R152" s="23" t="s">
        <v>153</v>
      </c>
      <c r="S152" s="23" t="s">
        <v>153</v>
      </c>
      <c r="T152" s="23" t="s">
        <v>153</v>
      </c>
      <c r="U152" s="24" t="s">
        <v>153</v>
      </c>
      <c r="V152" s="54" t="s">
        <v>153</v>
      </c>
      <c r="W152" s="23" t="s">
        <v>153</v>
      </c>
      <c r="X152" s="23" t="s">
        <v>153</v>
      </c>
      <c r="Y152" s="23" t="s">
        <v>153</v>
      </c>
      <c r="Z152" s="23" t="s">
        <v>153</v>
      </c>
      <c r="AA152" s="23" t="s">
        <v>153</v>
      </c>
      <c r="AB152" s="24" t="s">
        <v>153</v>
      </c>
      <c r="AC152" s="23" t="s">
        <v>153</v>
      </c>
      <c r="AD152" s="23" t="s">
        <v>153</v>
      </c>
      <c r="AE152" s="23" t="s">
        <v>153</v>
      </c>
      <c r="AF152" s="23" t="s">
        <v>153</v>
      </c>
      <c r="AG152" s="23" t="s">
        <v>153</v>
      </c>
      <c r="AH152" s="23" t="s">
        <v>153</v>
      </c>
      <c r="AI152" s="24" t="s">
        <v>153</v>
      </c>
      <c r="AJ152" s="28" t="s">
        <v>163</v>
      </c>
      <c r="AK152" s="28" t="s">
        <v>163</v>
      </c>
      <c r="AL152" s="23" t="s">
        <v>153</v>
      </c>
      <c r="AM152" s="23" t="s">
        <v>153</v>
      </c>
      <c r="AN152" s="23" t="s">
        <v>153</v>
      </c>
      <c r="AO152" s="23" t="s">
        <v>153</v>
      </c>
      <c r="AP152" s="23">
        <f>VALUE(0)</f>
        <v>0</v>
      </c>
      <c r="AQ152" s="23">
        <f>VALUE(0)</f>
        <v>0</v>
      </c>
      <c r="AR152" s="23">
        <f>VALUE(0)</f>
        <v>0</v>
      </c>
      <c r="AS152" s="23">
        <f>VALUE(0)</f>
        <v>0</v>
      </c>
      <c r="AT152" s="23">
        <f>VALUE(0)</f>
        <v>0</v>
      </c>
      <c r="AU152" s="23">
        <f>VALUE(2)</f>
        <v>2</v>
      </c>
      <c r="AV152" s="23">
        <f>VALUE(1)</f>
        <v>1</v>
      </c>
      <c r="AW152" s="23">
        <f>VALUE(0)</f>
        <v>0</v>
      </c>
      <c r="AX152" s="23" t="s">
        <v>1221</v>
      </c>
      <c r="AY152" s="23">
        <f>VALUE(0)</f>
        <v>0</v>
      </c>
      <c r="AZ152" s="23">
        <f>VALUE(0)</f>
        <v>0</v>
      </c>
      <c r="BA152" s="23">
        <f>VALUE(0)</f>
        <v>0</v>
      </c>
      <c r="BB152" s="23">
        <f>VALUE(0)</f>
        <v>0</v>
      </c>
      <c r="BC152" s="23">
        <f>VALUE(0)</f>
        <v>0</v>
      </c>
      <c r="BD152" s="23">
        <f>VALUE(0)</f>
        <v>0</v>
      </c>
      <c r="BE152" s="23">
        <f>VALUE(0)</f>
        <v>0</v>
      </c>
      <c r="BF152" s="23">
        <f>VALUE(0)</f>
        <v>0</v>
      </c>
      <c r="BG152" s="23">
        <f>VALUE(0)</f>
        <v>0</v>
      </c>
      <c r="BH152" s="23">
        <f>VALUE(0)</f>
        <v>0</v>
      </c>
      <c r="BI152" s="23">
        <f>VALUE(0)</f>
        <v>0</v>
      </c>
      <c r="BJ152" s="23">
        <f>VALUE(0)</f>
        <v>0</v>
      </c>
      <c r="BK152" s="12">
        <f>$AX$152*24</f>
        <v>47.85</v>
      </c>
      <c r="BL152" s="12">
        <f>$AY$152*24</f>
        <v>0</v>
      </c>
      <c r="BM152" s="12">
        <f>$BJ$152*24</f>
        <v>0</v>
      </c>
      <c r="BN152" s="12">
        <f>VALUE($I$152)/100</f>
        <v>1</v>
      </c>
      <c r="BO152" s="12">
        <v>0</v>
      </c>
      <c r="BP152" s="12">
        <v>0</v>
      </c>
      <c r="BQ152" s="12">
        <v>0</v>
      </c>
      <c r="BR152" s="12">
        <v>0</v>
      </c>
      <c r="BS152" s="12">
        <v>0</v>
      </c>
      <c r="BT152" s="12">
        <v>0</v>
      </c>
      <c r="BU152" s="12">
        <v>0</v>
      </c>
      <c r="BV152" s="12">
        <v>0</v>
      </c>
      <c r="BW152" s="12">
        <v>0</v>
      </c>
      <c r="BX152" s="12">
        <v>0</v>
      </c>
      <c r="BY152" s="12">
        <v>0</v>
      </c>
      <c r="BZ152" s="12">
        <v>0</v>
      </c>
      <c r="CA152" s="12">
        <v>0</v>
      </c>
    </row>
    <row r="153" spans="1:79" hidden="1" x14ac:dyDescent="0.2">
      <c r="A153" s="12" t="s">
        <v>120</v>
      </c>
      <c r="B153" s="12" t="s">
        <v>124</v>
      </c>
      <c r="C153" s="12" t="s">
        <v>124</v>
      </c>
      <c r="D153" s="22" t="s">
        <v>419</v>
      </c>
      <c r="E153" s="22" t="s">
        <v>161</v>
      </c>
      <c r="F153" s="22" t="s">
        <v>1222</v>
      </c>
      <c r="G153" s="22" t="s">
        <v>830</v>
      </c>
      <c r="H153" s="22" t="s">
        <v>150</v>
      </c>
      <c r="I153" s="22" t="s">
        <v>151</v>
      </c>
      <c r="J153" s="22" t="s">
        <v>162</v>
      </c>
      <c r="K153" s="22" t="s">
        <v>83</v>
      </c>
      <c r="L153" s="54" t="s">
        <v>153</v>
      </c>
      <c r="M153" s="23" t="s">
        <v>153</v>
      </c>
      <c r="N153" s="24" t="s">
        <v>153</v>
      </c>
      <c r="O153" s="28" t="s">
        <v>163</v>
      </c>
      <c r="P153" s="28" t="s">
        <v>163</v>
      </c>
      <c r="Q153" s="28" t="s">
        <v>163</v>
      </c>
      <c r="R153" s="28" t="s">
        <v>163</v>
      </c>
      <c r="S153" s="28" t="s">
        <v>163</v>
      </c>
      <c r="T153" s="28" t="s">
        <v>163</v>
      </c>
      <c r="U153" s="24" t="s">
        <v>153</v>
      </c>
      <c r="V153" s="54" t="s">
        <v>153</v>
      </c>
      <c r="W153" s="23" t="s">
        <v>153</v>
      </c>
      <c r="X153" s="23" t="s">
        <v>153</v>
      </c>
      <c r="Y153" s="23" t="s">
        <v>153</v>
      </c>
      <c r="Z153" s="23" t="s">
        <v>153</v>
      </c>
      <c r="AA153" s="23" t="s">
        <v>153</v>
      </c>
      <c r="AB153" s="24" t="s">
        <v>153</v>
      </c>
      <c r="AC153" s="23" t="s">
        <v>153</v>
      </c>
      <c r="AD153" s="23" t="s">
        <v>153</v>
      </c>
      <c r="AE153" s="23" t="s">
        <v>153</v>
      </c>
      <c r="AF153" s="23" t="s">
        <v>153</v>
      </c>
      <c r="AG153" s="23" t="s">
        <v>153</v>
      </c>
      <c r="AH153" s="23" t="s">
        <v>153</v>
      </c>
      <c r="AI153" s="24" t="s">
        <v>153</v>
      </c>
      <c r="AJ153" s="23" t="s">
        <v>153</v>
      </c>
      <c r="AK153" s="23" t="s">
        <v>153</v>
      </c>
      <c r="AL153" s="24" t="s">
        <v>156</v>
      </c>
      <c r="AM153" s="24" t="s">
        <v>156</v>
      </c>
      <c r="AN153" s="23" t="s">
        <v>153</v>
      </c>
      <c r="AO153" s="23" t="s">
        <v>153</v>
      </c>
      <c r="AP153" s="23">
        <f>VALUE(0)</f>
        <v>0</v>
      </c>
      <c r="AQ153" s="23">
        <f>VALUE(0)</f>
        <v>0</v>
      </c>
      <c r="AR153" s="23">
        <f>VALUE(0)</f>
        <v>0</v>
      </c>
      <c r="AS153" s="23">
        <f>VALUE(0)</f>
        <v>0</v>
      </c>
      <c r="AT153" s="23">
        <f>VALUE(0)</f>
        <v>0</v>
      </c>
      <c r="AU153" s="23">
        <f>VALUE(6)</f>
        <v>6</v>
      </c>
      <c r="AV153" s="23">
        <f>VALUE(5)</f>
        <v>5</v>
      </c>
      <c r="AW153" s="23">
        <f>VALUE(0)</f>
        <v>0</v>
      </c>
      <c r="AX153" s="23" t="s">
        <v>171</v>
      </c>
      <c r="AY153" s="23" t="s">
        <v>1223</v>
      </c>
      <c r="AZ153" s="23">
        <f>VALUE(0)</f>
        <v>0</v>
      </c>
      <c r="BA153" s="23">
        <f>VALUE(0)</f>
        <v>0</v>
      </c>
      <c r="BB153" s="23">
        <f>VALUE(0)</f>
        <v>0</v>
      </c>
      <c r="BC153" s="23">
        <f>VALUE(0)</f>
        <v>0</v>
      </c>
      <c r="BD153" s="23">
        <f>VALUE(0)</f>
        <v>0</v>
      </c>
      <c r="BE153" s="23">
        <f>VALUE(0)</f>
        <v>0</v>
      </c>
      <c r="BF153" s="23">
        <f>VALUE(0)</f>
        <v>0</v>
      </c>
      <c r="BG153" s="23">
        <f>VALUE(0)</f>
        <v>0</v>
      </c>
      <c r="BH153" s="23">
        <f>VALUE(0)</f>
        <v>0</v>
      </c>
      <c r="BI153" s="23">
        <f>VALUE(0)</f>
        <v>0</v>
      </c>
      <c r="BJ153" s="23">
        <f>VALUE(0)</f>
        <v>0</v>
      </c>
      <c r="BK153" s="12">
        <f>$AX$153*24</f>
        <v>5.833333333333333</v>
      </c>
      <c r="BL153" s="12">
        <f>$AY$153*24</f>
        <v>58.3</v>
      </c>
      <c r="BM153" s="12">
        <f>$BJ$153*24</f>
        <v>0</v>
      </c>
      <c r="BN153" s="12">
        <f>VALUE($I$153)/100</f>
        <v>1</v>
      </c>
      <c r="BO153" s="12">
        <v>0</v>
      </c>
      <c r="BP153" s="12">
        <v>0</v>
      </c>
      <c r="BQ153" s="12">
        <v>0</v>
      </c>
      <c r="BR153" s="12">
        <v>0</v>
      </c>
      <c r="BS153" s="12">
        <v>0</v>
      </c>
      <c r="BT153" s="12">
        <v>0</v>
      </c>
      <c r="BU153" s="12">
        <v>0</v>
      </c>
      <c r="BV153" s="12">
        <v>0</v>
      </c>
      <c r="BW153" s="12">
        <v>0</v>
      </c>
      <c r="BX153" s="12">
        <v>0</v>
      </c>
      <c r="BY153" s="12">
        <v>0</v>
      </c>
      <c r="BZ153" s="12">
        <v>0</v>
      </c>
      <c r="CA153" s="12">
        <v>0</v>
      </c>
    </row>
    <row r="154" spans="1:79" hidden="1" x14ac:dyDescent="0.2">
      <c r="A154" s="12" t="s">
        <v>120</v>
      </c>
      <c r="B154" s="12" t="s">
        <v>124</v>
      </c>
      <c r="C154" s="12" t="s">
        <v>124</v>
      </c>
      <c r="D154" s="22" t="s">
        <v>376</v>
      </c>
      <c r="E154" s="22" t="s">
        <v>161</v>
      </c>
      <c r="F154" s="22" t="s">
        <v>831</v>
      </c>
      <c r="G154" s="22" t="s">
        <v>832</v>
      </c>
      <c r="H154" s="22" t="s">
        <v>242</v>
      </c>
      <c r="I154" s="22" t="s">
        <v>151</v>
      </c>
      <c r="J154" s="22" t="s">
        <v>162</v>
      </c>
      <c r="K154" s="22" t="s">
        <v>83</v>
      </c>
      <c r="L154" s="54" t="s">
        <v>153</v>
      </c>
      <c r="M154" s="23" t="s">
        <v>153</v>
      </c>
      <c r="N154" s="24" t="s">
        <v>153</v>
      </c>
      <c r="O154" s="23" t="s">
        <v>153</v>
      </c>
      <c r="P154" s="23" t="s">
        <v>153</v>
      </c>
      <c r="Q154" s="23" t="s">
        <v>153</v>
      </c>
      <c r="R154" s="23" t="s">
        <v>153</v>
      </c>
      <c r="S154" s="23" t="s">
        <v>153</v>
      </c>
      <c r="T154" s="23" t="s">
        <v>153</v>
      </c>
      <c r="U154" s="24" t="s">
        <v>153</v>
      </c>
      <c r="V154" s="54" t="s">
        <v>153</v>
      </c>
      <c r="W154" s="27" t="s">
        <v>153</v>
      </c>
      <c r="X154" s="27" t="s">
        <v>153</v>
      </c>
      <c r="Y154" s="27" t="s">
        <v>153</v>
      </c>
      <c r="Z154" s="27" t="s">
        <v>153</v>
      </c>
      <c r="AA154" s="27" t="s">
        <v>153</v>
      </c>
      <c r="AB154" s="24" t="s">
        <v>153</v>
      </c>
      <c r="AC154" s="27" t="s">
        <v>153</v>
      </c>
      <c r="AD154" s="27" t="s">
        <v>153</v>
      </c>
      <c r="AE154" s="27" t="s">
        <v>153</v>
      </c>
      <c r="AF154" s="27" t="s">
        <v>153</v>
      </c>
      <c r="AG154" s="27" t="s">
        <v>153</v>
      </c>
      <c r="AH154" s="27" t="s">
        <v>153</v>
      </c>
      <c r="AI154" s="24" t="s">
        <v>153</v>
      </c>
      <c r="AJ154" s="27" t="s">
        <v>153</v>
      </c>
      <c r="AK154" s="27" t="s">
        <v>153</v>
      </c>
      <c r="AL154" s="27" t="s">
        <v>153</v>
      </c>
      <c r="AM154" s="27" t="s">
        <v>153</v>
      </c>
      <c r="AN154" s="27" t="s">
        <v>153</v>
      </c>
      <c r="AO154" s="27" t="s">
        <v>153</v>
      </c>
      <c r="AP154" s="23">
        <f>VALUE(0)</f>
        <v>0</v>
      </c>
      <c r="AQ154" s="23">
        <f>VALUE(0)</f>
        <v>0</v>
      </c>
      <c r="AR154" s="23">
        <f>VALUE(0)</f>
        <v>0</v>
      </c>
      <c r="AS154" s="23">
        <f>VALUE(0)</f>
        <v>0</v>
      </c>
      <c r="AT154" s="23">
        <f>VALUE(0)</f>
        <v>0</v>
      </c>
      <c r="AU154" s="23">
        <f>VALUE(0)</f>
        <v>0</v>
      </c>
      <c r="AV154" s="23">
        <f>VALUE(0)</f>
        <v>0</v>
      </c>
      <c r="AW154" s="23">
        <f>VALUE(0)</f>
        <v>0</v>
      </c>
      <c r="AX154" s="23">
        <f>VALUE(0)</f>
        <v>0</v>
      </c>
      <c r="AY154" s="23">
        <f>VALUE(0)</f>
        <v>0</v>
      </c>
      <c r="AZ154" s="23">
        <f>VALUE(0)</f>
        <v>0</v>
      </c>
      <c r="BA154" s="23">
        <f>VALUE(0)</f>
        <v>0</v>
      </c>
      <c r="BB154" s="23">
        <f>VALUE(0)</f>
        <v>0</v>
      </c>
      <c r="BC154" s="23">
        <f>VALUE(0)</f>
        <v>0</v>
      </c>
      <c r="BD154" s="23">
        <f>VALUE(0)</f>
        <v>0</v>
      </c>
      <c r="BE154" s="23">
        <f>VALUE(0)</f>
        <v>0</v>
      </c>
      <c r="BF154" s="23">
        <f>VALUE(0)</f>
        <v>0</v>
      </c>
      <c r="BG154" s="23">
        <f>VALUE(0)</f>
        <v>0</v>
      </c>
      <c r="BH154" s="23">
        <f>VALUE(0)</f>
        <v>0</v>
      </c>
      <c r="BI154" s="23">
        <f>VALUE(0)</f>
        <v>0</v>
      </c>
      <c r="BJ154" s="23">
        <f>VALUE(0)</f>
        <v>0</v>
      </c>
      <c r="BK154" s="12">
        <f>$AX$154*24</f>
        <v>0</v>
      </c>
      <c r="BL154" s="12">
        <f>$AY$154*24</f>
        <v>0</v>
      </c>
      <c r="BM154" s="12">
        <f>$BJ$154*24</f>
        <v>0</v>
      </c>
      <c r="BN154" s="12">
        <f>VALUE($I$154)/100</f>
        <v>1</v>
      </c>
      <c r="BO154" s="12">
        <v>0</v>
      </c>
      <c r="BP154" s="12">
        <v>0</v>
      </c>
      <c r="BQ154" s="12">
        <v>0</v>
      </c>
      <c r="BR154" s="12">
        <v>0</v>
      </c>
      <c r="BS154" s="12">
        <v>0</v>
      </c>
      <c r="BT154" s="12">
        <v>0</v>
      </c>
      <c r="BU154" s="12">
        <v>0</v>
      </c>
      <c r="BV154" s="12">
        <v>0</v>
      </c>
      <c r="BW154" s="12">
        <v>0</v>
      </c>
      <c r="BX154" s="12">
        <v>0</v>
      </c>
      <c r="BY154" s="12">
        <v>0</v>
      </c>
      <c r="BZ154" s="12">
        <v>0</v>
      </c>
      <c r="CA154" s="12">
        <v>0</v>
      </c>
    </row>
    <row r="155" spans="1:79" hidden="1" x14ac:dyDescent="0.2">
      <c r="A155" s="12" t="s">
        <v>120</v>
      </c>
      <c r="B155" s="12" t="s">
        <v>124</v>
      </c>
      <c r="C155" s="12" t="s">
        <v>124</v>
      </c>
      <c r="D155" s="22" t="s">
        <v>382</v>
      </c>
      <c r="E155" s="22" t="s">
        <v>161</v>
      </c>
      <c r="F155" s="22" t="s">
        <v>1224</v>
      </c>
      <c r="G155" s="22" t="s">
        <v>833</v>
      </c>
      <c r="H155" s="22" t="s">
        <v>190</v>
      </c>
      <c r="I155" s="22" t="s">
        <v>151</v>
      </c>
      <c r="J155" s="22" t="s">
        <v>162</v>
      </c>
      <c r="K155" s="22" t="s">
        <v>83</v>
      </c>
      <c r="L155" s="54" t="s">
        <v>153</v>
      </c>
      <c r="M155" s="23" t="s">
        <v>153</v>
      </c>
      <c r="N155" s="24" t="s">
        <v>153</v>
      </c>
      <c r="O155" s="23" t="s">
        <v>153</v>
      </c>
      <c r="P155" s="23" t="s">
        <v>153</v>
      </c>
      <c r="Q155" s="23" t="s">
        <v>153</v>
      </c>
      <c r="R155" s="23" t="s">
        <v>153</v>
      </c>
      <c r="S155" s="23" t="s">
        <v>153</v>
      </c>
      <c r="T155" s="23" t="s">
        <v>153</v>
      </c>
      <c r="U155" s="24" t="s">
        <v>153</v>
      </c>
      <c r="V155" s="54" t="s">
        <v>153</v>
      </c>
      <c r="W155" s="40" t="s">
        <v>153</v>
      </c>
      <c r="X155" s="40" t="s">
        <v>153</v>
      </c>
      <c r="Y155" s="40" t="s">
        <v>153</v>
      </c>
      <c r="Z155" s="40" t="s">
        <v>153</v>
      </c>
      <c r="AA155" s="40" t="s">
        <v>153</v>
      </c>
      <c r="AB155" s="40" t="s">
        <v>153</v>
      </c>
      <c r="AC155" s="40" t="s">
        <v>153</v>
      </c>
      <c r="AD155" s="40" t="s">
        <v>153</v>
      </c>
      <c r="AE155" s="40" t="s">
        <v>153</v>
      </c>
      <c r="AF155" s="40" t="s">
        <v>153</v>
      </c>
      <c r="AG155" s="40" t="s">
        <v>153</v>
      </c>
      <c r="AH155" s="40" t="s">
        <v>153</v>
      </c>
      <c r="AI155" s="40" t="s">
        <v>153</v>
      </c>
      <c r="AJ155" s="40" t="s">
        <v>153</v>
      </c>
      <c r="AK155" s="40" t="s">
        <v>153</v>
      </c>
      <c r="AL155" s="40" t="s">
        <v>153</v>
      </c>
      <c r="AM155" s="40" t="s">
        <v>153</v>
      </c>
      <c r="AN155" s="40" t="s">
        <v>153</v>
      </c>
      <c r="AO155" s="40" t="s">
        <v>153</v>
      </c>
      <c r="AP155" s="23">
        <f>VALUE(0)</f>
        <v>0</v>
      </c>
      <c r="AQ155" s="23">
        <f>VALUE(0)</f>
        <v>0</v>
      </c>
      <c r="AR155" s="23">
        <f>VALUE(0)</f>
        <v>0</v>
      </c>
      <c r="AS155" s="23">
        <f>VALUE(0)</f>
        <v>0</v>
      </c>
      <c r="AT155" s="23">
        <f>VALUE(0)</f>
        <v>0</v>
      </c>
      <c r="AU155" s="23">
        <f>VALUE(0)</f>
        <v>0</v>
      </c>
      <c r="AV155" s="23">
        <f>VALUE(18)</f>
        <v>18</v>
      </c>
      <c r="AW155" s="23">
        <f>VALUE(0)</f>
        <v>0</v>
      </c>
      <c r="AX155" s="23">
        <f>VALUE(0)</f>
        <v>0</v>
      </c>
      <c r="AY155" s="23">
        <f>VALUE(0)</f>
        <v>0</v>
      </c>
      <c r="AZ155" s="23">
        <f>VALUE(0)</f>
        <v>0</v>
      </c>
      <c r="BA155" s="23">
        <f>VALUE(0)</f>
        <v>0</v>
      </c>
      <c r="BB155" s="23">
        <f>VALUE(0)</f>
        <v>0</v>
      </c>
      <c r="BC155" s="23">
        <f>VALUE(0)</f>
        <v>0</v>
      </c>
      <c r="BD155" s="23">
        <f>VALUE(0)</f>
        <v>0</v>
      </c>
      <c r="BE155" s="23">
        <f>VALUE(0)</f>
        <v>0</v>
      </c>
      <c r="BF155" s="23">
        <f>VALUE(0)</f>
        <v>0</v>
      </c>
      <c r="BG155" s="23">
        <f>VALUE(0)</f>
        <v>0</v>
      </c>
      <c r="BH155" s="23">
        <f>VALUE(0)</f>
        <v>0</v>
      </c>
      <c r="BI155" s="23">
        <f>VALUE(0)</f>
        <v>0</v>
      </c>
      <c r="BJ155" s="23">
        <f>VALUE(0)</f>
        <v>0</v>
      </c>
      <c r="BK155" s="12">
        <f>$AX$155*24</f>
        <v>0</v>
      </c>
      <c r="BL155" s="12">
        <f>$AY$155*24</f>
        <v>0</v>
      </c>
      <c r="BM155" s="12">
        <f>$BJ$155*24</f>
        <v>0</v>
      </c>
      <c r="BN155" s="12">
        <f>VALUE($I$155)/100</f>
        <v>1</v>
      </c>
      <c r="BO155" s="12">
        <v>0</v>
      </c>
      <c r="BP155" s="12">
        <v>0</v>
      </c>
      <c r="BQ155" s="12">
        <v>0</v>
      </c>
      <c r="BR155" s="12">
        <v>0</v>
      </c>
      <c r="BS155" s="12">
        <v>0</v>
      </c>
      <c r="BT155" s="12">
        <v>0</v>
      </c>
      <c r="BU155" s="12">
        <v>0</v>
      </c>
      <c r="BV155" s="12">
        <v>0</v>
      </c>
      <c r="BW155" s="12">
        <v>0</v>
      </c>
      <c r="BX155" s="12">
        <v>0</v>
      </c>
      <c r="BY155" s="12">
        <v>0</v>
      </c>
      <c r="BZ155" s="12">
        <v>0</v>
      </c>
      <c r="CA155" s="12">
        <v>0</v>
      </c>
    </row>
    <row r="156" spans="1:79" hidden="1" x14ac:dyDescent="0.2">
      <c r="A156" s="12" t="s">
        <v>120</v>
      </c>
      <c r="B156" s="12" t="s">
        <v>124</v>
      </c>
      <c r="C156" s="12" t="s">
        <v>124</v>
      </c>
      <c r="D156" s="22" t="s">
        <v>382</v>
      </c>
      <c r="E156" s="22" t="s">
        <v>161</v>
      </c>
      <c r="F156" s="22" t="s">
        <v>834</v>
      </c>
      <c r="G156" s="22" t="s">
        <v>835</v>
      </c>
      <c r="H156" s="22" t="s">
        <v>166</v>
      </c>
      <c r="I156" s="22" t="s">
        <v>151</v>
      </c>
      <c r="J156" s="22" t="s">
        <v>162</v>
      </c>
      <c r="K156" s="22" t="s">
        <v>83</v>
      </c>
      <c r="L156" s="54" t="s">
        <v>153</v>
      </c>
      <c r="M156" s="32" t="s">
        <v>188</v>
      </c>
      <c r="N156" s="24" t="s">
        <v>153</v>
      </c>
      <c r="O156" s="32" t="s">
        <v>188</v>
      </c>
      <c r="P156" s="32" t="s">
        <v>188</v>
      </c>
      <c r="Q156" s="32" t="s">
        <v>188</v>
      </c>
      <c r="R156" s="32" t="s">
        <v>188</v>
      </c>
      <c r="S156" s="32" t="s">
        <v>188</v>
      </c>
      <c r="T156" s="32" t="s">
        <v>188</v>
      </c>
      <c r="U156" s="24" t="s">
        <v>153</v>
      </c>
      <c r="V156" s="54" t="s">
        <v>156</v>
      </c>
      <c r="W156" s="24" t="s">
        <v>156</v>
      </c>
      <c r="X156" s="23" t="s">
        <v>153</v>
      </c>
      <c r="Y156" s="23" t="s">
        <v>153</v>
      </c>
      <c r="Z156" s="23" t="s">
        <v>153</v>
      </c>
      <c r="AA156" s="23" t="s">
        <v>153</v>
      </c>
      <c r="AB156" s="24" t="s">
        <v>153</v>
      </c>
      <c r="AC156" s="23" t="s">
        <v>153</v>
      </c>
      <c r="AD156" s="23" t="s">
        <v>153</v>
      </c>
      <c r="AE156" s="23" t="s">
        <v>153</v>
      </c>
      <c r="AF156" s="23" t="s">
        <v>153</v>
      </c>
      <c r="AG156" s="23" t="s">
        <v>153</v>
      </c>
      <c r="AH156" s="23" t="s">
        <v>153</v>
      </c>
      <c r="AI156" s="24" t="s">
        <v>153</v>
      </c>
      <c r="AJ156" s="23" t="s">
        <v>153</v>
      </c>
      <c r="AK156" s="23" t="s">
        <v>153</v>
      </c>
      <c r="AL156" s="23" t="s">
        <v>153</v>
      </c>
      <c r="AM156" s="23" t="s">
        <v>153</v>
      </c>
      <c r="AN156" s="23" t="s">
        <v>153</v>
      </c>
      <c r="AO156" s="23" t="s">
        <v>153</v>
      </c>
      <c r="AP156" s="23">
        <f>VALUE(0)</f>
        <v>0</v>
      </c>
      <c r="AQ156" s="23">
        <f>VALUE(0)</f>
        <v>0</v>
      </c>
      <c r="AR156" s="23">
        <f>VALUE(0)</f>
        <v>0</v>
      </c>
      <c r="AS156" s="23">
        <f>VALUE(0)</f>
        <v>0</v>
      </c>
      <c r="AT156" s="23">
        <f>VALUE(0)</f>
        <v>0</v>
      </c>
      <c r="AU156" s="23">
        <f>VALUE(0)</f>
        <v>0</v>
      </c>
      <c r="AV156" s="23">
        <f>VALUE(29.5)</f>
        <v>29.5</v>
      </c>
      <c r="AW156" s="23">
        <f>VALUE(0)</f>
        <v>0</v>
      </c>
      <c r="AX156" s="23" t="s">
        <v>1225</v>
      </c>
      <c r="AY156" s="23">
        <f>VALUE(0)</f>
        <v>0</v>
      </c>
      <c r="AZ156" s="23">
        <f>VALUE(7)</f>
        <v>7</v>
      </c>
      <c r="BA156" s="23">
        <f>VALUE(0)</f>
        <v>0</v>
      </c>
      <c r="BB156" s="23">
        <f>VALUE(0)</f>
        <v>0</v>
      </c>
      <c r="BC156" s="23">
        <f>VALUE(0)</f>
        <v>0</v>
      </c>
      <c r="BD156" s="23">
        <f>VALUE(0)</f>
        <v>0</v>
      </c>
      <c r="BE156" s="23">
        <f>VALUE(0)</f>
        <v>0</v>
      </c>
      <c r="BF156" s="23">
        <f>VALUE(0)</f>
        <v>0</v>
      </c>
      <c r="BG156" s="23">
        <f>VALUE(0)</f>
        <v>0</v>
      </c>
      <c r="BH156" s="23">
        <f>VALUE(0)</f>
        <v>0</v>
      </c>
      <c r="BI156" s="23">
        <f>VALUE(0)</f>
        <v>0</v>
      </c>
      <c r="BJ156" s="23">
        <f>VALUE(0)</f>
        <v>0</v>
      </c>
      <c r="BK156" s="12">
        <f>$AX$156*24</f>
        <v>31.966666666666665</v>
      </c>
      <c r="BL156" s="12">
        <f>$AY$156*24</f>
        <v>0</v>
      </c>
      <c r="BM156" s="12">
        <f>$BJ$156*24</f>
        <v>0</v>
      </c>
      <c r="BN156" s="12">
        <f>VALUE($I$156)/100</f>
        <v>1</v>
      </c>
      <c r="BO156" s="12">
        <v>0</v>
      </c>
      <c r="BP156" s="12">
        <v>0</v>
      </c>
      <c r="BQ156" s="12">
        <v>0</v>
      </c>
      <c r="BR156" s="12">
        <v>0</v>
      </c>
      <c r="BS156" s="12">
        <v>0</v>
      </c>
      <c r="BT156" s="12">
        <v>0</v>
      </c>
      <c r="BU156" s="12">
        <v>0</v>
      </c>
      <c r="BV156" s="12">
        <v>0</v>
      </c>
      <c r="BW156" s="12">
        <v>0</v>
      </c>
      <c r="BX156" s="12">
        <v>0</v>
      </c>
      <c r="BY156" s="12">
        <v>0</v>
      </c>
      <c r="BZ156" s="12">
        <v>0</v>
      </c>
      <c r="CA156" s="12">
        <v>0</v>
      </c>
    </row>
    <row r="157" spans="1:79" hidden="1" x14ac:dyDescent="0.2">
      <c r="A157" s="12" t="s">
        <v>120</v>
      </c>
      <c r="B157" s="12" t="s">
        <v>124</v>
      </c>
      <c r="C157" s="12" t="s">
        <v>124</v>
      </c>
      <c r="D157" s="22" t="s">
        <v>420</v>
      </c>
      <c r="E157" s="22" t="s">
        <v>161</v>
      </c>
      <c r="F157" s="22" t="s">
        <v>1226</v>
      </c>
      <c r="G157" s="22" t="s">
        <v>836</v>
      </c>
      <c r="H157" s="22" t="s">
        <v>150</v>
      </c>
      <c r="I157" s="22" t="s">
        <v>151</v>
      </c>
      <c r="J157" s="22" t="s">
        <v>162</v>
      </c>
      <c r="K157" s="22" t="s">
        <v>83</v>
      </c>
      <c r="L157" s="54" t="s">
        <v>153</v>
      </c>
      <c r="M157" s="23" t="s">
        <v>153</v>
      </c>
      <c r="N157" s="24" t="s">
        <v>153</v>
      </c>
      <c r="O157" s="24" t="s">
        <v>156</v>
      </c>
      <c r="P157" s="24" t="s">
        <v>156</v>
      </c>
      <c r="Q157" s="23" t="s">
        <v>153</v>
      </c>
      <c r="R157" s="23" t="s">
        <v>153</v>
      </c>
      <c r="S157" s="23" t="s">
        <v>153</v>
      </c>
      <c r="T157" s="23" t="s">
        <v>153</v>
      </c>
      <c r="U157" s="24" t="s">
        <v>153</v>
      </c>
      <c r="V157" s="54" t="s">
        <v>153</v>
      </c>
      <c r="W157" s="23" t="s">
        <v>153</v>
      </c>
      <c r="X157" s="23" t="s">
        <v>153</v>
      </c>
      <c r="Y157" s="23" t="s">
        <v>153</v>
      </c>
      <c r="Z157" s="23" t="s">
        <v>153</v>
      </c>
      <c r="AA157" s="23" t="s">
        <v>153</v>
      </c>
      <c r="AB157" s="24" t="s">
        <v>153</v>
      </c>
      <c r="AC157" s="23" t="s">
        <v>153</v>
      </c>
      <c r="AD157" s="23" t="s">
        <v>153</v>
      </c>
      <c r="AE157" s="23" t="s">
        <v>153</v>
      </c>
      <c r="AF157" s="23" t="s">
        <v>153</v>
      </c>
      <c r="AG157" s="23" t="s">
        <v>153</v>
      </c>
      <c r="AH157" s="23" t="s">
        <v>153</v>
      </c>
      <c r="AI157" s="24" t="s">
        <v>153</v>
      </c>
      <c r="AJ157" s="23" t="s">
        <v>153</v>
      </c>
      <c r="AK157" s="23" t="s">
        <v>153</v>
      </c>
      <c r="AL157" s="23" t="s">
        <v>153</v>
      </c>
      <c r="AM157" s="23" t="s">
        <v>153</v>
      </c>
      <c r="AN157" s="23" t="s">
        <v>153</v>
      </c>
      <c r="AO157" s="23" t="s">
        <v>153</v>
      </c>
      <c r="AP157" s="23">
        <f>VALUE(0)</f>
        <v>0</v>
      </c>
      <c r="AQ157" s="23">
        <f>VALUE(0)</f>
        <v>0</v>
      </c>
      <c r="AR157" s="23">
        <f>VALUE(0)</f>
        <v>0</v>
      </c>
      <c r="AS157" s="23">
        <f>VALUE(0)</f>
        <v>0</v>
      </c>
      <c r="AT157" s="23">
        <f>VALUE(0)</f>
        <v>0</v>
      </c>
      <c r="AU157" s="23">
        <f>VALUE(0)</f>
        <v>0</v>
      </c>
      <c r="AV157" s="23">
        <f>VALUE(3)</f>
        <v>3</v>
      </c>
      <c r="AW157" s="23">
        <f>VALUE(0)</f>
        <v>0</v>
      </c>
      <c r="AX157" s="23">
        <f>VALUE(0)</f>
        <v>0</v>
      </c>
      <c r="AY157" s="23" t="s">
        <v>421</v>
      </c>
      <c r="AZ157" s="23">
        <f>VALUE(0)</f>
        <v>0</v>
      </c>
      <c r="BA157" s="23">
        <f>VALUE(0)</f>
        <v>0</v>
      </c>
      <c r="BB157" s="23">
        <f>VALUE(0)</f>
        <v>0</v>
      </c>
      <c r="BC157" s="23">
        <f>VALUE(0)</f>
        <v>0</v>
      </c>
      <c r="BD157" s="23">
        <f>VALUE(0)</f>
        <v>0</v>
      </c>
      <c r="BE157" s="23">
        <f>VALUE(0)</f>
        <v>0</v>
      </c>
      <c r="BF157" s="23">
        <f>VALUE(0)</f>
        <v>0</v>
      </c>
      <c r="BG157" s="23">
        <f>VALUE(0)</f>
        <v>0</v>
      </c>
      <c r="BH157" s="23">
        <f>VALUE(0)</f>
        <v>0</v>
      </c>
      <c r="BI157" s="23">
        <f>VALUE(0)</f>
        <v>0</v>
      </c>
      <c r="BJ157" s="23">
        <f>VALUE(0)</f>
        <v>0</v>
      </c>
      <c r="BK157" s="12">
        <f>$AX$157*24</f>
        <v>0</v>
      </c>
      <c r="BL157" s="12">
        <f>$AY$157*24</f>
        <v>5.85</v>
      </c>
      <c r="BM157" s="12">
        <f>$BJ$157*24</f>
        <v>0</v>
      </c>
      <c r="BN157" s="12">
        <f>VALUE($I$157)/100</f>
        <v>1</v>
      </c>
      <c r="BO157" s="12">
        <v>0</v>
      </c>
      <c r="BP157" s="12">
        <v>0</v>
      </c>
      <c r="BQ157" s="12">
        <v>0</v>
      </c>
      <c r="BR157" s="12">
        <v>0</v>
      </c>
      <c r="BS157" s="12">
        <v>0</v>
      </c>
      <c r="BT157" s="12">
        <v>0</v>
      </c>
      <c r="BU157" s="12">
        <v>0</v>
      </c>
      <c r="BV157" s="12">
        <v>0</v>
      </c>
      <c r="BW157" s="12">
        <v>0</v>
      </c>
      <c r="BX157" s="12">
        <v>0</v>
      </c>
      <c r="BY157" s="12">
        <v>0</v>
      </c>
      <c r="BZ157" s="12">
        <v>0</v>
      </c>
      <c r="CA157" s="12">
        <v>0</v>
      </c>
    </row>
    <row r="158" spans="1:79" hidden="1" x14ac:dyDescent="0.2">
      <c r="A158" s="12" t="s">
        <v>120</v>
      </c>
      <c r="B158" s="12" t="s">
        <v>124</v>
      </c>
      <c r="C158" s="12" t="s">
        <v>124</v>
      </c>
      <c r="D158" s="22" t="s">
        <v>390</v>
      </c>
      <c r="E158" s="22" t="s">
        <v>161</v>
      </c>
      <c r="F158" s="22" t="s">
        <v>837</v>
      </c>
      <c r="G158" s="22" t="s">
        <v>838</v>
      </c>
      <c r="H158" s="22" t="s">
        <v>150</v>
      </c>
      <c r="I158" s="22" t="s">
        <v>151</v>
      </c>
      <c r="J158" s="22" t="s">
        <v>162</v>
      </c>
      <c r="K158" s="22" t="s">
        <v>83</v>
      </c>
      <c r="L158" s="54" t="s">
        <v>153</v>
      </c>
      <c r="M158" s="23" t="s">
        <v>153</v>
      </c>
      <c r="N158" s="24" t="s">
        <v>153</v>
      </c>
      <c r="O158" s="23" t="s">
        <v>153</v>
      </c>
      <c r="P158" s="23" t="s">
        <v>153</v>
      </c>
      <c r="Q158" s="23" t="s">
        <v>153</v>
      </c>
      <c r="R158" s="23" t="s">
        <v>153</v>
      </c>
      <c r="S158" s="23" t="s">
        <v>153</v>
      </c>
      <c r="T158" s="23" t="s">
        <v>153</v>
      </c>
      <c r="U158" s="24" t="s">
        <v>153</v>
      </c>
      <c r="V158" s="54" t="s">
        <v>153</v>
      </c>
      <c r="W158" s="23" t="s">
        <v>153</v>
      </c>
      <c r="X158" s="23" t="s">
        <v>153</v>
      </c>
      <c r="Y158" s="23" t="s">
        <v>153</v>
      </c>
      <c r="Z158" s="23" t="s">
        <v>153</v>
      </c>
      <c r="AA158" s="23" t="s">
        <v>153</v>
      </c>
      <c r="AB158" s="24" t="s">
        <v>153</v>
      </c>
      <c r="AC158" s="23" t="s">
        <v>153</v>
      </c>
      <c r="AD158" s="23" t="s">
        <v>153</v>
      </c>
      <c r="AE158" s="23" t="s">
        <v>153</v>
      </c>
      <c r="AF158" s="23" t="s">
        <v>153</v>
      </c>
      <c r="AG158" s="23" t="s">
        <v>153</v>
      </c>
      <c r="AH158" s="23" t="s">
        <v>153</v>
      </c>
      <c r="AI158" s="24" t="s">
        <v>153</v>
      </c>
      <c r="AJ158" s="23" t="s">
        <v>153</v>
      </c>
      <c r="AK158" s="23" t="s">
        <v>153</v>
      </c>
      <c r="AL158" s="24" t="s">
        <v>156</v>
      </c>
      <c r="AM158" s="24" t="s">
        <v>156</v>
      </c>
      <c r="AN158" s="23" t="s">
        <v>153</v>
      </c>
      <c r="AO158" s="23" t="s">
        <v>153</v>
      </c>
      <c r="AP158" s="23">
        <f>VALUE(0)</f>
        <v>0</v>
      </c>
      <c r="AQ158" s="23">
        <f>VALUE(0)</f>
        <v>0</v>
      </c>
      <c r="AR158" s="23">
        <f>VALUE(0)</f>
        <v>0</v>
      </c>
      <c r="AS158" s="23">
        <f>VALUE(0)</f>
        <v>0</v>
      </c>
      <c r="AT158" s="23">
        <f>VALUE(0)</f>
        <v>0</v>
      </c>
      <c r="AU158" s="23">
        <f>VALUE(0)</f>
        <v>0</v>
      </c>
      <c r="AV158" s="23">
        <f>VALUE(2)</f>
        <v>2</v>
      </c>
      <c r="AW158" s="23">
        <f>VALUE(0)</f>
        <v>0</v>
      </c>
      <c r="AX158" s="23" t="s">
        <v>255</v>
      </c>
      <c r="AY158" s="23" t="s">
        <v>422</v>
      </c>
      <c r="AZ158" s="23">
        <f>VALUE(0)</f>
        <v>0</v>
      </c>
      <c r="BA158" s="23">
        <f>VALUE(0)</f>
        <v>0</v>
      </c>
      <c r="BB158" s="23">
        <f>VALUE(0)</f>
        <v>0</v>
      </c>
      <c r="BC158" s="23">
        <f>VALUE(0)</f>
        <v>0</v>
      </c>
      <c r="BD158" s="23">
        <f>VALUE(0)</f>
        <v>0</v>
      </c>
      <c r="BE158" s="23">
        <f>VALUE(0)</f>
        <v>0</v>
      </c>
      <c r="BF158" s="23">
        <f>VALUE(0)</f>
        <v>0</v>
      </c>
      <c r="BG158" s="23">
        <f>VALUE(0)</f>
        <v>0</v>
      </c>
      <c r="BH158" s="23">
        <f>VALUE(0)</f>
        <v>0</v>
      </c>
      <c r="BI158" s="23">
        <f>VALUE(0)</f>
        <v>0</v>
      </c>
      <c r="BJ158" s="23">
        <f>VALUE(0)</f>
        <v>0</v>
      </c>
      <c r="BK158" s="12">
        <f>$AX$158*24</f>
        <v>2.5</v>
      </c>
      <c r="BL158" s="12">
        <f>$AY$158*24</f>
        <v>3.8166666666666664</v>
      </c>
      <c r="BM158" s="12">
        <f>$BJ$158*24</f>
        <v>0</v>
      </c>
      <c r="BN158" s="12">
        <f>VALUE($I$158)/100</f>
        <v>1</v>
      </c>
      <c r="BO158" s="12">
        <v>0</v>
      </c>
      <c r="BP158" s="12">
        <v>0</v>
      </c>
      <c r="BQ158" s="12">
        <v>0</v>
      </c>
      <c r="BR158" s="12">
        <v>0</v>
      </c>
      <c r="BS158" s="12">
        <v>0</v>
      </c>
      <c r="BT158" s="12">
        <v>0</v>
      </c>
      <c r="BU158" s="12">
        <v>0</v>
      </c>
      <c r="BV158" s="12">
        <v>0</v>
      </c>
      <c r="BW158" s="12">
        <v>0</v>
      </c>
      <c r="BX158" s="12">
        <v>0</v>
      </c>
      <c r="BY158" s="12">
        <v>0</v>
      </c>
      <c r="BZ158" s="12">
        <v>0</v>
      </c>
      <c r="CA158" s="12">
        <v>0</v>
      </c>
    </row>
    <row r="159" spans="1:79" hidden="1" x14ac:dyDescent="0.2">
      <c r="A159" s="12" t="s">
        <v>120</v>
      </c>
      <c r="B159" s="12" t="s">
        <v>124</v>
      </c>
      <c r="C159" s="12" t="s">
        <v>124</v>
      </c>
      <c r="D159" s="22" t="s">
        <v>384</v>
      </c>
      <c r="E159" s="22" t="s">
        <v>161</v>
      </c>
      <c r="F159" s="22" t="s">
        <v>839</v>
      </c>
      <c r="G159" s="22" t="s">
        <v>840</v>
      </c>
      <c r="H159" s="22" t="s">
        <v>150</v>
      </c>
      <c r="I159" s="22" t="s">
        <v>151</v>
      </c>
      <c r="J159" s="22" t="s">
        <v>162</v>
      </c>
      <c r="K159" s="22" t="s">
        <v>83</v>
      </c>
      <c r="L159" s="54" t="s">
        <v>153</v>
      </c>
      <c r="M159" s="23" t="s">
        <v>153</v>
      </c>
      <c r="N159" s="24" t="s">
        <v>153</v>
      </c>
      <c r="O159" s="23" t="s">
        <v>153</v>
      </c>
      <c r="P159" s="23" t="s">
        <v>153</v>
      </c>
      <c r="Q159" s="23" t="s">
        <v>153</v>
      </c>
      <c r="R159" s="23" t="s">
        <v>153</v>
      </c>
      <c r="S159" s="23" t="s">
        <v>153</v>
      </c>
      <c r="T159" s="23" t="s">
        <v>153</v>
      </c>
      <c r="U159" s="24" t="s">
        <v>153</v>
      </c>
      <c r="V159" s="54" t="s">
        <v>153</v>
      </c>
      <c r="W159" s="23" t="s">
        <v>153</v>
      </c>
      <c r="X159" s="23" t="s">
        <v>153</v>
      </c>
      <c r="Y159" s="23" t="s">
        <v>153</v>
      </c>
      <c r="Z159" s="23" t="s">
        <v>153</v>
      </c>
      <c r="AA159" s="23" t="s">
        <v>153</v>
      </c>
      <c r="AB159" s="24" t="s">
        <v>153</v>
      </c>
      <c r="AC159" s="23" t="s">
        <v>153</v>
      </c>
      <c r="AD159" s="23" t="s">
        <v>153</v>
      </c>
      <c r="AE159" s="23" t="s">
        <v>153</v>
      </c>
      <c r="AF159" s="23" t="s">
        <v>153</v>
      </c>
      <c r="AG159" s="23" t="s">
        <v>153</v>
      </c>
      <c r="AH159" s="23" t="s">
        <v>153</v>
      </c>
      <c r="AI159" s="24" t="s">
        <v>153</v>
      </c>
      <c r="AJ159" s="23" t="s">
        <v>153</v>
      </c>
      <c r="AK159" s="23" t="s">
        <v>153</v>
      </c>
      <c r="AL159" s="23" t="s">
        <v>153</v>
      </c>
      <c r="AM159" s="23" t="s">
        <v>153</v>
      </c>
      <c r="AN159" s="24" t="s">
        <v>156</v>
      </c>
      <c r="AO159" s="24" t="s">
        <v>156</v>
      </c>
      <c r="AP159" s="23">
        <f>VALUE(0)</f>
        <v>0</v>
      </c>
      <c r="AQ159" s="23">
        <f>VALUE(0)</f>
        <v>0</v>
      </c>
      <c r="AR159" s="23">
        <f>VALUE(0)</f>
        <v>0</v>
      </c>
      <c r="AS159" s="23">
        <f>VALUE(0)</f>
        <v>0</v>
      </c>
      <c r="AT159" s="23">
        <f>VALUE(0)</f>
        <v>0</v>
      </c>
      <c r="AU159" s="23">
        <f>VALUE(0)</f>
        <v>0</v>
      </c>
      <c r="AV159" s="23">
        <f>VALUE(3)</f>
        <v>3</v>
      </c>
      <c r="AW159" s="23">
        <f>VALUE(0)</f>
        <v>0</v>
      </c>
      <c r="AX159" s="23" t="s">
        <v>171</v>
      </c>
      <c r="AY159" s="23" t="s">
        <v>1227</v>
      </c>
      <c r="AZ159" s="23">
        <f>VALUE(0)</f>
        <v>0</v>
      </c>
      <c r="BA159" s="23">
        <f>VALUE(0)</f>
        <v>0</v>
      </c>
      <c r="BB159" s="23">
        <f>VALUE(0)</f>
        <v>0</v>
      </c>
      <c r="BC159" s="23">
        <f>VALUE(0)</f>
        <v>0</v>
      </c>
      <c r="BD159" s="23">
        <f>VALUE(0)</f>
        <v>0</v>
      </c>
      <c r="BE159" s="23">
        <f>VALUE(0)</f>
        <v>0</v>
      </c>
      <c r="BF159" s="23">
        <f>VALUE(0)</f>
        <v>0</v>
      </c>
      <c r="BG159" s="23">
        <f>VALUE(0)</f>
        <v>0</v>
      </c>
      <c r="BH159" s="23">
        <f>VALUE(0)</f>
        <v>0</v>
      </c>
      <c r="BI159" s="23">
        <f>VALUE(0)</f>
        <v>0</v>
      </c>
      <c r="BJ159" s="23">
        <f>VALUE(0)</f>
        <v>0</v>
      </c>
      <c r="BK159" s="12">
        <f>$AX$159*24</f>
        <v>5.833333333333333</v>
      </c>
      <c r="BL159" s="12">
        <f>$AY$159*24</f>
        <v>44.9</v>
      </c>
      <c r="BM159" s="12">
        <f>$BJ$159*24</f>
        <v>0</v>
      </c>
      <c r="BN159" s="12">
        <f>VALUE($I$159)/100</f>
        <v>1</v>
      </c>
      <c r="BO159" s="12">
        <v>0</v>
      </c>
      <c r="BP159" s="12">
        <v>0</v>
      </c>
      <c r="BQ159" s="12">
        <v>0</v>
      </c>
      <c r="BR159" s="12">
        <v>0</v>
      </c>
      <c r="BS159" s="12">
        <v>0</v>
      </c>
      <c r="BT159" s="12">
        <v>0</v>
      </c>
      <c r="BU159" s="12">
        <v>0</v>
      </c>
      <c r="BV159" s="12">
        <v>0</v>
      </c>
      <c r="BW159" s="12">
        <v>0</v>
      </c>
      <c r="BX159" s="12">
        <v>0</v>
      </c>
      <c r="BY159" s="12">
        <v>0</v>
      </c>
      <c r="BZ159" s="12">
        <v>0</v>
      </c>
      <c r="CA159" s="12">
        <v>0</v>
      </c>
    </row>
    <row r="160" spans="1:79" hidden="1" x14ac:dyDescent="0.2">
      <c r="A160" s="12" t="s">
        <v>120</v>
      </c>
      <c r="B160" s="12" t="s">
        <v>124</v>
      </c>
      <c r="C160" s="12" t="s">
        <v>124</v>
      </c>
      <c r="D160" s="22" t="s">
        <v>423</v>
      </c>
      <c r="E160" s="22" t="s">
        <v>161</v>
      </c>
      <c r="F160" s="22" t="s">
        <v>1228</v>
      </c>
      <c r="G160" s="22" t="s">
        <v>841</v>
      </c>
      <c r="H160" s="22" t="s">
        <v>150</v>
      </c>
      <c r="I160" s="22" t="s">
        <v>151</v>
      </c>
      <c r="J160" s="22" t="s">
        <v>162</v>
      </c>
      <c r="K160" s="22" t="s">
        <v>83</v>
      </c>
      <c r="L160" s="54" t="s">
        <v>153</v>
      </c>
      <c r="M160" s="28" t="s">
        <v>163</v>
      </c>
      <c r="N160" s="24" t="s">
        <v>153</v>
      </c>
      <c r="O160" s="23" t="s">
        <v>153</v>
      </c>
      <c r="P160" s="23" t="s">
        <v>153</v>
      </c>
      <c r="Q160" s="23" t="s">
        <v>153</v>
      </c>
      <c r="R160" s="23" t="s">
        <v>153</v>
      </c>
      <c r="S160" s="23" t="s">
        <v>153</v>
      </c>
      <c r="T160" s="23" t="s">
        <v>153</v>
      </c>
      <c r="U160" s="24" t="s">
        <v>153</v>
      </c>
      <c r="V160" s="54" t="s">
        <v>153</v>
      </c>
      <c r="W160" s="23" t="s">
        <v>153</v>
      </c>
      <c r="X160" s="23" t="s">
        <v>153</v>
      </c>
      <c r="Y160" s="23" t="s">
        <v>153</v>
      </c>
      <c r="Z160" s="24" t="s">
        <v>156</v>
      </c>
      <c r="AA160" s="24" t="s">
        <v>156</v>
      </c>
      <c r="AB160" s="24" t="s">
        <v>153</v>
      </c>
      <c r="AC160" s="23" t="s">
        <v>153</v>
      </c>
      <c r="AD160" s="23" t="s">
        <v>153</v>
      </c>
      <c r="AE160" s="23" t="s">
        <v>153</v>
      </c>
      <c r="AF160" s="23" t="s">
        <v>153</v>
      </c>
      <c r="AG160" s="23" t="s">
        <v>153</v>
      </c>
      <c r="AH160" s="23" t="s">
        <v>153</v>
      </c>
      <c r="AI160" s="24" t="s">
        <v>153</v>
      </c>
      <c r="AJ160" s="23" t="s">
        <v>153</v>
      </c>
      <c r="AK160" s="23" t="s">
        <v>153</v>
      </c>
      <c r="AL160" s="23" t="s">
        <v>153</v>
      </c>
      <c r="AM160" s="23" t="s">
        <v>153</v>
      </c>
      <c r="AN160" s="23" t="s">
        <v>153</v>
      </c>
      <c r="AO160" s="23" t="s">
        <v>153</v>
      </c>
      <c r="AP160" s="23">
        <f>VALUE(3)</f>
        <v>3</v>
      </c>
      <c r="AQ160" s="23">
        <f>VALUE(0)</f>
        <v>0</v>
      </c>
      <c r="AR160" s="23">
        <f>VALUE(0)</f>
        <v>0</v>
      </c>
      <c r="AS160" s="23">
        <f>VALUE(0)</f>
        <v>0</v>
      </c>
      <c r="AT160" s="23">
        <f>VALUE(0)</f>
        <v>0</v>
      </c>
      <c r="AU160" s="23">
        <f>VALUE(1)</f>
        <v>1</v>
      </c>
      <c r="AV160" s="23">
        <f>VALUE(4)</f>
        <v>4</v>
      </c>
      <c r="AW160" s="23">
        <f>VALUE(0)</f>
        <v>0</v>
      </c>
      <c r="AX160" s="23" t="s">
        <v>176</v>
      </c>
      <c r="AY160" s="23" t="s">
        <v>424</v>
      </c>
      <c r="AZ160" s="23">
        <f>VALUE(0)</f>
        <v>0</v>
      </c>
      <c r="BA160" s="23">
        <f>VALUE(0)</f>
        <v>0</v>
      </c>
      <c r="BB160" s="23">
        <f>VALUE(0)</f>
        <v>0</v>
      </c>
      <c r="BC160" s="23">
        <f>VALUE(0)</f>
        <v>0</v>
      </c>
      <c r="BD160" s="23">
        <f>VALUE(0)</f>
        <v>0</v>
      </c>
      <c r="BE160" s="23">
        <f>VALUE(0)</f>
        <v>0</v>
      </c>
      <c r="BF160" s="23">
        <f>VALUE(0)</f>
        <v>0</v>
      </c>
      <c r="BG160" s="23">
        <f>VALUE(0)</f>
        <v>0</v>
      </c>
      <c r="BH160" s="23">
        <f>VALUE(0)</f>
        <v>0</v>
      </c>
      <c r="BI160" s="23">
        <f>VALUE(0)</f>
        <v>0</v>
      </c>
      <c r="BJ160" s="23">
        <f>VALUE(0)</f>
        <v>0</v>
      </c>
      <c r="BK160" s="12">
        <f>$AX$160*24</f>
        <v>0</v>
      </c>
      <c r="BL160" s="12">
        <f>$AY$160*24</f>
        <v>2.4666666666666668</v>
      </c>
      <c r="BM160" s="12">
        <f>$BJ$160*24</f>
        <v>0</v>
      </c>
      <c r="BN160" s="12">
        <f>VALUE($I$160)/100</f>
        <v>1</v>
      </c>
      <c r="BO160" s="12">
        <v>0</v>
      </c>
      <c r="BP160" s="12">
        <v>0</v>
      </c>
      <c r="BQ160" s="12">
        <v>0</v>
      </c>
      <c r="BR160" s="12">
        <v>0</v>
      </c>
      <c r="BS160" s="12">
        <v>0</v>
      </c>
      <c r="BT160" s="12">
        <v>0</v>
      </c>
      <c r="BU160" s="12">
        <v>0</v>
      </c>
      <c r="BV160" s="12">
        <v>0</v>
      </c>
      <c r="BW160" s="12">
        <v>0</v>
      </c>
      <c r="BX160" s="12">
        <v>0</v>
      </c>
      <c r="BY160" s="12">
        <v>0</v>
      </c>
      <c r="BZ160" s="12">
        <v>0</v>
      </c>
      <c r="CA160" s="12">
        <v>0</v>
      </c>
    </row>
    <row r="161" spans="1:79" hidden="1" x14ac:dyDescent="0.2">
      <c r="A161" s="12" t="s">
        <v>120</v>
      </c>
      <c r="B161" s="12" t="s">
        <v>124</v>
      </c>
      <c r="C161" s="12" t="s">
        <v>124</v>
      </c>
      <c r="D161" s="22" t="s">
        <v>380</v>
      </c>
      <c r="E161" s="22" t="s">
        <v>161</v>
      </c>
      <c r="F161" s="22" t="s">
        <v>842</v>
      </c>
      <c r="G161" s="22" t="s">
        <v>843</v>
      </c>
      <c r="H161" s="22" t="s">
        <v>166</v>
      </c>
      <c r="I161" s="22" t="s">
        <v>151</v>
      </c>
      <c r="J161" s="22" t="s">
        <v>162</v>
      </c>
      <c r="K161" s="22" t="s">
        <v>83</v>
      </c>
      <c r="L161" s="54" t="s">
        <v>153</v>
      </c>
      <c r="M161" s="23" t="s">
        <v>153</v>
      </c>
      <c r="N161" s="24" t="s">
        <v>153</v>
      </c>
      <c r="O161" s="23" t="s">
        <v>153</v>
      </c>
      <c r="P161" s="23" t="s">
        <v>153</v>
      </c>
      <c r="Q161" s="23" t="s">
        <v>153</v>
      </c>
      <c r="R161" s="23" t="s">
        <v>153</v>
      </c>
      <c r="S161" s="24" t="s">
        <v>156</v>
      </c>
      <c r="T161" s="24" t="s">
        <v>156</v>
      </c>
      <c r="U161" s="24" t="s">
        <v>153</v>
      </c>
      <c r="V161" s="54" t="s">
        <v>153</v>
      </c>
      <c r="W161" s="28" t="s">
        <v>163</v>
      </c>
      <c r="X161" s="28" t="s">
        <v>163</v>
      </c>
      <c r="Y161" s="28" t="s">
        <v>163</v>
      </c>
      <c r="Z161" s="28" t="s">
        <v>163</v>
      </c>
      <c r="AA161" s="28" t="s">
        <v>163</v>
      </c>
      <c r="AB161" s="24" t="s">
        <v>153</v>
      </c>
      <c r="AC161" s="23" t="s">
        <v>153</v>
      </c>
      <c r="AD161" s="23" t="s">
        <v>153</v>
      </c>
      <c r="AE161" s="23" t="s">
        <v>153</v>
      </c>
      <c r="AF161" s="23" t="s">
        <v>153</v>
      </c>
      <c r="AG161" s="23" t="s">
        <v>153</v>
      </c>
      <c r="AH161" s="23" t="s">
        <v>153</v>
      </c>
      <c r="AI161" s="24" t="s">
        <v>153</v>
      </c>
      <c r="AJ161" s="23" t="s">
        <v>153</v>
      </c>
      <c r="AK161" s="23" t="s">
        <v>153</v>
      </c>
      <c r="AL161" s="23" t="s">
        <v>153</v>
      </c>
      <c r="AM161" s="23" t="s">
        <v>153</v>
      </c>
      <c r="AN161" s="23" t="s">
        <v>153</v>
      </c>
      <c r="AO161" s="23" t="s">
        <v>153</v>
      </c>
      <c r="AP161" s="23">
        <f>VALUE(0)</f>
        <v>0</v>
      </c>
      <c r="AQ161" s="23">
        <f>VALUE(0)</f>
        <v>0</v>
      </c>
      <c r="AR161" s="23">
        <f>VALUE(0)</f>
        <v>0</v>
      </c>
      <c r="AS161" s="23">
        <f>VALUE(0)</f>
        <v>0</v>
      </c>
      <c r="AT161" s="23">
        <f>VALUE(0)</f>
        <v>0</v>
      </c>
      <c r="AU161" s="23">
        <f>VALUE(5)</f>
        <v>5</v>
      </c>
      <c r="AV161" s="23">
        <f>VALUE(0.5)</f>
        <v>0.5</v>
      </c>
      <c r="AW161" s="23">
        <f>VALUE(0)</f>
        <v>0</v>
      </c>
      <c r="AX161" s="23" t="s">
        <v>1229</v>
      </c>
      <c r="AY161" s="23">
        <f>VALUE(0)</f>
        <v>0</v>
      </c>
      <c r="AZ161" s="23">
        <f>VALUE(0)</f>
        <v>0</v>
      </c>
      <c r="BA161" s="23">
        <f>VALUE(0)</f>
        <v>0</v>
      </c>
      <c r="BB161" s="23">
        <f>VALUE(0)</f>
        <v>0</v>
      </c>
      <c r="BC161" s="23">
        <f>VALUE(0)</f>
        <v>0</v>
      </c>
      <c r="BD161" s="23">
        <f>VALUE(0)</f>
        <v>0</v>
      </c>
      <c r="BE161" s="23">
        <f>VALUE(0)</f>
        <v>0</v>
      </c>
      <c r="BF161" s="23">
        <f>VALUE(0)</f>
        <v>0</v>
      </c>
      <c r="BG161" s="23">
        <f>VALUE(0)</f>
        <v>0</v>
      </c>
      <c r="BH161" s="23">
        <f>VALUE(0)</f>
        <v>0</v>
      </c>
      <c r="BI161" s="23">
        <f>VALUE(0)</f>
        <v>0</v>
      </c>
      <c r="BJ161" s="23">
        <f>VALUE(0)</f>
        <v>0</v>
      </c>
      <c r="BK161" s="12">
        <f>$AX$161*24</f>
        <v>55.349999999999994</v>
      </c>
      <c r="BL161" s="12">
        <f>$AY$161*24</f>
        <v>0</v>
      </c>
      <c r="BM161" s="12">
        <f>$BJ$161*24</f>
        <v>0</v>
      </c>
      <c r="BN161" s="12">
        <f>VALUE($I$161)/100</f>
        <v>1</v>
      </c>
      <c r="BO161" s="12">
        <v>0</v>
      </c>
      <c r="BP161" s="12">
        <v>0</v>
      </c>
      <c r="BQ161" s="12">
        <v>0</v>
      </c>
      <c r="BR161" s="12">
        <v>0</v>
      </c>
      <c r="BS161" s="12">
        <v>0</v>
      </c>
      <c r="BT161" s="12">
        <v>0</v>
      </c>
      <c r="BU161" s="12">
        <v>0</v>
      </c>
      <c r="BV161" s="12">
        <v>0</v>
      </c>
      <c r="BW161" s="12">
        <v>0</v>
      </c>
      <c r="BX161" s="12">
        <v>0</v>
      </c>
      <c r="BY161" s="12">
        <v>0</v>
      </c>
      <c r="BZ161" s="12">
        <v>0</v>
      </c>
      <c r="CA161" s="12">
        <v>0</v>
      </c>
    </row>
    <row r="162" spans="1:79" hidden="1" x14ac:dyDescent="0.2">
      <c r="A162" s="12" t="s">
        <v>120</v>
      </c>
      <c r="B162" s="12" t="s">
        <v>124</v>
      </c>
      <c r="C162" s="12" t="s">
        <v>124</v>
      </c>
      <c r="D162" s="22" t="s">
        <v>426</v>
      </c>
      <c r="E162" s="22" t="s">
        <v>161</v>
      </c>
      <c r="F162" s="22" t="s">
        <v>844</v>
      </c>
      <c r="G162" s="22" t="s">
        <v>845</v>
      </c>
      <c r="H162" s="22" t="s">
        <v>150</v>
      </c>
      <c r="I162" s="22" t="s">
        <v>151</v>
      </c>
      <c r="J162" s="22" t="s">
        <v>162</v>
      </c>
      <c r="K162" s="22" t="s">
        <v>83</v>
      </c>
      <c r="L162" s="54" t="s">
        <v>153</v>
      </c>
      <c r="M162" s="23" t="s">
        <v>153</v>
      </c>
      <c r="N162" s="24" t="s">
        <v>153</v>
      </c>
      <c r="O162" s="23" t="s">
        <v>153</v>
      </c>
      <c r="P162" s="23" t="s">
        <v>153</v>
      </c>
      <c r="Q162" s="23" t="s">
        <v>153</v>
      </c>
      <c r="R162" s="23" t="s">
        <v>153</v>
      </c>
      <c r="S162" s="23" t="s">
        <v>153</v>
      </c>
      <c r="T162" s="23" t="s">
        <v>153</v>
      </c>
      <c r="U162" s="24" t="s">
        <v>153</v>
      </c>
      <c r="V162" s="54" t="s">
        <v>153</v>
      </c>
      <c r="W162" s="23" t="s">
        <v>153</v>
      </c>
      <c r="X162" s="23" t="s">
        <v>153</v>
      </c>
      <c r="Y162" s="23" t="s">
        <v>153</v>
      </c>
      <c r="Z162" s="23" t="s">
        <v>153</v>
      </c>
      <c r="AA162" s="23" t="s">
        <v>153</v>
      </c>
      <c r="AB162" s="24" t="s">
        <v>153</v>
      </c>
      <c r="AC162" s="24" t="s">
        <v>156</v>
      </c>
      <c r="AD162" s="24" t="s">
        <v>156</v>
      </c>
      <c r="AE162" s="23" t="s">
        <v>153</v>
      </c>
      <c r="AF162" s="23" t="s">
        <v>153</v>
      </c>
      <c r="AG162" s="23" t="s">
        <v>153</v>
      </c>
      <c r="AH162" s="23" t="s">
        <v>153</v>
      </c>
      <c r="AI162" s="24" t="s">
        <v>153</v>
      </c>
      <c r="AJ162" s="23" t="s">
        <v>153</v>
      </c>
      <c r="AK162" s="23" t="s">
        <v>153</v>
      </c>
      <c r="AL162" s="23" t="s">
        <v>153</v>
      </c>
      <c r="AM162" s="23" t="s">
        <v>153</v>
      </c>
      <c r="AN162" s="23" t="s">
        <v>153</v>
      </c>
      <c r="AO162" s="23" t="s">
        <v>153</v>
      </c>
      <c r="AP162" s="23">
        <f>VALUE(0)</f>
        <v>0</v>
      </c>
      <c r="AQ162" s="23">
        <f>VALUE(0)</f>
        <v>0</v>
      </c>
      <c r="AR162" s="23">
        <f>VALUE(0)</f>
        <v>0</v>
      </c>
      <c r="AS162" s="23">
        <f>VALUE(0)</f>
        <v>0</v>
      </c>
      <c r="AT162" s="23">
        <f>VALUE(0)</f>
        <v>0</v>
      </c>
      <c r="AU162" s="23">
        <f>VALUE(0)</f>
        <v>0</v>
      </c>
      <c r="AV162" s="23">
        <f>VALUE(6)</f>
        <v>6</v>
      </c>
      <c r="AW162" s="23">
        <f>VALUE(0)</f>
        <v>0</v>
      </c>
      <c r="AX162" s="23" t="s">
        <v>171</v>
      </c>
      <c r="AY162" s="23" t="s">
        <v>427</v>
      </c>
      <c r="AZ162" s="23">
        <f>VALUE(0)</f>
        <v>0</v>
      </c>
      <c r="BA162" s="23">
        <f>VALUE(0)</f>
        <v>0</v>
      </c>
      <c r="BB162" s="23">
        <f>VALUE(0)</f>
        <v>0</v>
      </c>
      <c r="BC162" s="23">
        <f>VALUE(0)</f>
        <v>0</v>
      </c>
      <c r="BD162" s="23">
        <f>VALUE(0)</f>
        <v>0</v>
      </c>
      <c r="BE162" s="23">
        <f>VALUE(0)</f>
        <v>0</v>
      </c>
      <c r="BF162" s="23">
        <f>VALUE(0)</f>
        <v>0</v>
      </c>
      <c r="BG162" s="23">
        <f>VALUE(0)</f>
        <v>0</v>
      </c>
      <c r="BH162" s="23">
        <f>VALUE(0)</f>
        <v>0</v>
      </c>
      <c r="BI162" s="23">
        <f>VALUE(0)</f>
        <v>0</v>
      </c>
      <c r="BJ162" s="23">
        <f>VALUE(0)</f>
        <v>0</v>
      </c>
      <c r="BK162" s="12">
        <f>$AX$162*24</f>
        <v>5.833333333333333</v>
      </c>
      <c r="BL162" s="12">
        <f>$AY$162*24</f>
        <v>9.0500000000000007</v>
      </c>
      <c r="BM162" s="12">
        <f>$BJ$162*24</f>
        <v>0</v>
      </c>
      <c r="BN162" s="12">
        <f>VALUE($I$162)/100</f>
        <v>1</v>
      </c>
      <c r="BO162" s="12">
        <v>0</v>
      </c>
      <c r="BP162" s="12">
        <v>0</v>
      </c>
      <c r="BQ162" s="12">
        <v>0</v>
      </c>
      <c r="BR162" s="12">
        <v>0</v>
      </c>
      <c r="BS162" s="12">
        <v>0</v>
      </c>
      <c r="BT162" s="12">
        <v>0</v>
      </c>
      <c r="BU162" s="12">
        <v>0</v>
      </c>
      <c r="BV162" s="12">
        <v>0</v>
      </c>
      <c r="BW162" s="12">
        <v>0</v>
      </c>
      <c r="BX162" s="12">
        <v>0</v>
      </c>
      <c r="BY162" s="12">
        <v>0</v>
      </c>
      <c r="BZ162" s="12">
        <v>0</v>
      </c>
      <c r="CA162" s="12">
        <v>0</v>
      </c>
    </row>
    <row r="163" spans="1:79" hidden="1" x14ac:dyDescent="0.2">
      <c r="A163" s="12" t="s">
        <v>120</v>
      </c>
      <c r="B163" s="12" t="s">
        <v>124</v>
      </c>
      <c r="C163" s="12" t="s">
        <v>124</v>
      </c>
      <c r="D163" s="22" t="s">
        <v>385</v>
      </c>
      <c r="E163" s="22" t="s">
        <v>161</v>
      </c>
      <c r="F163" s="22" t="s">
        <v>846</v>
      </c>
      <c r="G163" s="22" t="s">
        <v>847</v>
      </c>
      <c r="H163" s="22" t="s">
        <v>150</v>
      </c>
      <c r="I163" s="22" t="s">
        <v>151</v>
      </c>
      <c r="J163" s="22" t="s">
        <v>162</v>
      </c>
      <c r="K163" s="22" t="s">
        <v>83</v>
      </c>
      <c r="L163" s="54" t="s">
        <v>156</v>
      </c>
      <c r="M163" s="24" t="s">
        <v>156</v>
      </c>
      <c r="N163" s="24" t="s">
        <v>153</v>
      </c>
      <c r="O163" s="23" t="s">
        <v>153</v>
      </c>
      <c r="P163" s="23" t="s">
        <v>153</v>
      </c>
      <c r="Q163" s="23" t="s">
        <v>153</v>
      </c>
      <c r="R163" s="23" t="s">
        <v>153</v>
      </c>
      <c r="S163" s="23" t="s">
        <v>153</v>
      </c>
      <c r="T163" s="23" t="s">
        <v>153</v>
      </c>
      <c r="U163" s="24" t="s">
        <v>153</v>
      </c>
      <c r="V163" s="54" t="s">
        <v>153</v>
      </c>
      <c r="W163" s="23" t="s">
        <v>153</v>
      </c>
      <c r="X163" s="23" t="s">
        <v>153</v>
      </c>
      <c r="Y163" s="23" t="s">
        <v>153</v>
      </c>
      <c r="Z163" s="23" t="s">
        <v>153</v>
      </c>
      <c r="AA163" s="23" t="s">
        <v>153</v>
      </c>
      <c r="AB163" s="24" t="s">
        <v>153</v>
      </c>
      <c r="AC163" s="23" t="s">
        <v>153</v>
      </c>
      <c r="AD163" s="23" t="s">
        <v>153</v>
      </c>
      <c r="AE163" s="23" t="s">
        <v>153</v>
      </c>
      <c r="AF163" s="23" t="s">
        <v>153</v>
      </c>
      <c r="AG163" s="23" t="s">
        <v>153</v>
      </c>
      <c r="AH163" s="23" t="s">
        <v>153</v>
      </c>
      <c r="AI163" s="24" t="s">
        <v>153</v>
      </c>
      <c r="AJ163" s="24" t="s">
        <v>156</v>
      </c>
      <c r="AK163" s="24" t="s">
        <v>156</v>
      </c>
      <c r="AL163" s="28" t="s">
        <v>163</v>
      </c>
      <c r="AM163" s="28" t="s">
        <v>163</v>
      </c>
      <c r="AN163" s="28" t="s">
        <v>163</v>
      </c>
      <c r="AO163" s="28" t="s">
        <v>163</v>
      </c>
      <c r="AP163" s="23">
        <f>VALUE(3)</f>
        <v>3</v>
      </c>
      <c r="AQ163" s="23">
        <f>VALUE(0)</f>
        <v>0</v>
      </c>
      <c r="AR163" s="23">
        <f>VALUE(0)</f>
        <v>0</v>
      </c>
      <c r="AS163" s="23">
        <f>VALUE(0)</f>
        <v>0</v>
      </c>
      <c r="AT163" s="23">
        <f>VALUE(0)</f>
        <v>0</v>
      </c>
      <c r="AU163" s="23">
        <f>VALUE(4)</f>
        <v>4</v>
      </c>
      <c r="AV163" s="23">
        <f>VALUE(7)</f>
        <v>7</v>
      </c>
      <c r="AW163" s="23">
        <f>VALUE(0)</f>
        <v>0</v>
      </c>
      <c r="AX163" s="23" t="s">
        <v>445</v>
      </c>
      <c r="AY163" s="23" t="s">
        <v>1230</v>
      </c>
      <c r="AZ163" s="23">
        <f>VALUE(0)</f>
        <v>0</v>
      </c>
      <c r="BA163" s="23">
        <f>VALUE(0)</f>
        <v>0</v>
      </c>
      <c r="BB163" s="23">
        <f>VALUE(0)</f>
        <v>0</v>
      </c>
      <c r="BC163" s="23">
        <f>VALUE(0)</f>
        <v>0</v>
      </c>
      <c r="BD163" s="23">
        <f>VALUE(0)</f>
        <v>0</v>
      </c>
      <c r="BE163" s="23">
        <f>VALUE(0)</f>
        <v>0</v>
      </c>
      <c r="BF163" s="23">
        <f>VALUE(0)</f>
        <v>0</v>
      </c>
      <c r="BG163" s="23">
        <f>VALUE(0)</f>
        <v>0</v>
      </c>
      <c r="BH163" s="23">
        <f>VALUE(0)</f>
        <v>0</v>
      </c>
      <c r="BI163" s="23">
        <f>VALUE(0)</f>
        <v>0</v>
      </c>
      <c r="BJ163" s="23">
        <f>VALUE(0)</f>
        <v>0</v>
      </c>
      <c r="BK163" s="12">
        <f>$AX$163*24</f>
        <v>17.5</v>
      </c>
      <c r="BL163" s="12">
        <f>$AY$163*24</f>
        <v>22.033333333333335</v>
      </c>
      <c r="BM163" s="12">
        <f>$BJ$163*24</f>
        <v>0</v>
      </c>
      <c r="BN163" s="12">
        <f>VALUE($I$163)/100</f>
        <v>1</v>
      </c>
      <c r="BO163" s="12">
        <v>0</v>
      </c>
      <c r="BP163" s="12">
        <v>0</v>
      </c>
      <c r="BQ163" s="12">
        <v>0</v>
      </c>
      <c r="BR163" s="12">
        <v>0</v>
      </c>
      <c r="BS163" s="12">
        <v>0</v>
      </c>
      <c r="BT163" s="12">
        <v>0</v>
      </c>
      <c r="BU163" s="12">
        <v>0</v>
      </c>
      <c r="BV163" s="12">
        <v>0</v>
      </c>
      <c r="BW163" s="12">
        <v>0</v>
      </c>
      <c r="BX163" s="12">
        <v>0</v>
      </c>
      <c r="BY163" s="12">
        <v>0</v>
      </c>
      <c r="BZ163" s="12">
        <v>0</v>
      </c>
      <c r="CA163" s="12">
        <v>0</v>
      </c>
    </row>
    <row r="164" spans="1:79" hidden="1" x14ac:dyDescent="0.2">
      <c r="A164" s="12" t="s">
        <v>120</v>
      </c>
      <c r="B164" s="12" t="s">
        <v>124</v>
      </c>
      <c r="C164" s="12" t="s">
        <v>124</v>
      </c>
      <c r="D164" s="22" t="s">
        <v>378</v>
      </c>
      <c r="E164" s="22" t="s">
        <v>161</v>
      </c>
      <c r="F164" s="22" t="s">
        <v>848</v>
      </c>
      <c r="G164" s="22" t="s">
        <v>849</v>
      </c>
      <c r="H164" s="22" t="s">
        <v>150</v>
      </c>
      <c r="I164" s="22" t="s">
        <v>151</v>
      </c>
      <c r="J164" s="22" t="s">
        <v>162</v>
      </c>
      <c r="K164" s="22" t="s">
        <v>83</v>
      </c>
      <c r="L164" s="54" t="s">
        <v>153</v>
      </c>
      <c r="M164" s="23" t="s">
        <v>153</v>
      </c>
      <c r="N164" s="24" t="s">
        <v>153</v>
      </c>
      <c r="O164" s="23" t="s">
        <v>153</v>
      </c>
      <c r="P164" s="23" t="s">
        <v>153</v>
      </c>
      <c r="Q164" s="23" t="s">
        <v>153</v>
      </c>
      <c r="R164" s="23" t="s">
        <v>153</v>
      </c>
      <c r="S164" s="23" t="s">
        <v>153</v>
      </c>
      <c r="T164" s="23" t="s">
        <v>153</v>
      </c>
      <c r="U164" s="24" t="s">
        <v>153</v>
      </c>
      <c r="V164" s="54" t="s">
        <v>153</v>
      </c>
      <c r="W164" s="30" t="s">
        <v>29</v>
      </c>
      <c r="X164" s="24" t="s">
        <v>156</v>
      </c>
      <c r="Y164" s="24" t="s">
        <v>156</v>
      </c>
      <c r="Z164" s="28" t="s">
        <v>163</v>
      </c>
      <c r="AA164" s="28" t="s">
        <v>163</v>
      </c>
      <c r="AB164" s="24" t="s">
        <v>153</v>
      </c>
      <c r="AC164" s="28" t="s">
        <v>163</v>
      </c>
      <c r="AD164" s="28" t="s">
        <v>163</v>
      </c>
      <c r="AE164" s="28" t="s">
        <v>163</v>
      </c>
      <c r="AF164" s="28" t="s">
        <v>163</v>
      </c>
      <c r="AG164" s="28" t="s">
        <v>163</v>
      </c>
      <c r="AH164" s="28" t="s">
        <v>163</v>
      </c>
      <c r="AI164" s="24" t="s">
        <v>153</v>
      </c>
      <c r="AJ164" s="28" t="s">
        <v>163</v>
      </c>
      <c r="AK164" s="28" t="s">
        <v>163</v>
      </c>
      <c r="AL164" s="28" t="s">
        <v>163</v>
      </c>
      <c r="AM164" s="28" t="s">
        <v>163</v>
      </c>
      <c r="AN164" s="28" t="s">
        <v>163</v>
      </c>
      <c r="AO164" s="28" t="s">
        <v>163</v>
      </c>
      <c r="AP164" s="23">
        <f>VALUE(0)</f>
        <v>0</v>
      </c>
      <c r="AQ164" s="23">
        <f>VALUE(0)</f>
        <v>0</v>
      </c>
      <c r="AR164" s="23">
        <f>VALUE(0)</f>
        <v>0</v>
      </c>
      <c r="AS164" s="23">
        <f>VALUE(0)</f>
        <v>0</v>
      </c>
      <c r="AT164" s="23">
        <f>VALUE(0)</f>
        <v>0</v>
      </c>
      <c r="AU164" s="23">
        <f>VALUE(14)</f>
        <v>14</v>
      </c>
      <c r="AV164" s="23">
        <f>VALUE(0)</f>
        <v>0</v>
      </c>
      <c r="AW164" s="23">
        <f>VALUE(0)</f>
        <v>0</v>
      </c>
      <c r="AX164" s="23" t="s">
        <v>171</v>
      </c>
      <c r="AY164" s="23" t="s">
        <v>428</v>
      </c>
      <c r="AZ164" s="23">
        <f>VALUE(0)</f>
        <v>0</v>
      </c>
      <c r="BA164" s="23">
        <f>VALUE(0)</f>
        <v>0</v>
      </c>
      <c r="BB164" s="23">
        <f>VALUE(0)</f>
        <v>0</v>
      </c>
      <c r="BC164" s="23">
        <f>VALUE(0)</f>
        <v>0</v>
      </c>
      <c r="BD164" s="23">
        <f>VALUE(0)</f>
        <v>0</v>
      </c>
      <c r="BE164" s="23">
        <f>VALUE(0)</f>
        <v>0</v>
      </c>
      <c r="BF164" s="23">
        <f>VALUE(0)</f>
        <v>0</v>
      </c>
      <c r="BG164" s="23">
        <f>VALUE(0)</f>
        <v>0</v>
      </c>
      <c r="BH164" s="23">
        <f>VALUE(0)</f>
        <v>0</v>
      </c>
      <c r="BI164" s="23">
        <f>VALUE(0)</f>
        <v>0</v>
      </c>
      <c r="BJ164" s="23">
        <f>VALUE(0)</f>
        <v>0</v>
      </c>
      <c r="BK164" s="12">
        <f>$AX$164*24</f>
        <v>5.833333333333333</v>
      </c>
      <c r="BL164" s="12">
        <f>$AY$164*24</f>
        <v>8.7666666666666675</v>
      </c>
      <c r="BM164" s="12">
        <f>$BJ$164*24</f>
        <v>0</v>
      </c>
      <c r="BN164" s="12">
        <f>VALUE($I$164)/100</f>
        <v>1</v>
      </c>
      <c r="BO164" s="12">
        <v>0</v>
      </c>
      <c r="BP164" s="12">
        <v>0</v>
      </c>
      <c r="BQ164" s="12">
        <v>0</v>
      </c>
      <c r="BR164" s="12">
        <v>0</v>
      </c>
      <c r="BS164" s="12">
        <v>0</v>
      </c>
      <c r="BT164" s="12">
        <v>0</v>
      </c>
      <c r="BU164" s="12">
        <v>0</v>
      </c>
      <c r="BV164" s="12">
        <v>0</v>
      </c>
      <c r="BW164" s="12">
        <v>0</v>
      </c>
      <c r="BX164" s="12">
        <v>0</v>
      </c>
      <c r="BY164" s="12">
        <v>0</v>
      </c>
      <c r="BZ164" s="12">
        <v>0</v>
      </c>
      <c r="CA164" s="12">
        <v>0</v>
      </c>
    </row>
    <row r="165" spans="1:79" hidden="1" x14ac:dyDescent="0.2">
      <c r="A165" s="12" t="s">
        <v>120</v>
      </c>
      <c r="B165" s="12" t="s">
        <v>124</v>
      </c>
      <c r="C165" s="12" t="s">
        <v>124</v>
      </c>
      <c r="D165" s="22" t="s">
        <v>378</v>
      </c>
      <c r="E165" s="22" t="s">
        <v>161</v>
      </c>
      <c r="F165" s="22" t="s">
        <v>1231</v>
      </c>
      <c r="G165" s="22" t="s">
        <v>850</v>
      </c>
      <c r="H165" s="22" t="s">
        <v>191</v>
      </c>
      <c r="I165" s="22" t="s">
        <v>151</v>
      </c>
      <c r="J165" s="22" t="s">
        <v>162</v>
      </c>
      <c r="K165" s="22" t="s">
        <v>83</v>
      </c>
      <c r="L165" s="54" t="s">
        <v>153</v>
      </c>
      <c r="M165" s="27" t="s">
        <v>153</v>
      </c>
      <c r="N165" s="24" t="s">
        <v>153</v>
      </c>
      <c r="O165" s="27" t="s">
        <v>153</v>
      </c>
      <c r="P165" s="27" t="s">
        <v>153</v>
      </c>
      <c r="Q165" s="27" t="s">
        <v>153</v>
      </c>
      <c r="R165" s="23" t="s">
        <v>1232</v>
      </c>
      <c r="S165" s="23" t="s">
        <v>1232</v>
      </c>
      <c r="T165" s="23" t="s">
        <v>1232</v>
      </c>
      <c r="U165" s="24" t="s">
        <v>153</v>
      </c>
      <c r="V165" s="54" t="s">
        <v>153</v>
      </c>
      <c r="W165" s="23" t="s">
        <v>153</v>
      </c>
      <c r="X165" s="23" t="s">
        <v>153</v>
      </c>
      <c r="Y165" s="23" t="s">
        <v>153</v>
      </c>
      <c r="Z165" s="23" t="s">
        <v>153</v>
      </c>
      <c r="AA165" s="23" t="s">
        <v>153</v>
      </c>
      <c r="AB165" s="24" t="s">
        <v>153</v>
      </c>
      <c r="AC165" s="23" t="s">
        <v>153</v>
      </c>
      <c r="AD165" s="23" t="s">
        <v>153</v>
      </c>
      <c r="AE165" s="23" t="s">
        <v>153</v>
      </c>
      <c r="AF165" s="23" t="s">
        <v>153</v>
      </c>
      <c r="AG165" s="23" t="s">
        <v>153</v>
      </c>
      <c r="AH165" s="23" t="s">
        <v>153</v>
      </c>
      <c r="AI165" s="24" t="s">
        <v>153</v>
      </c>
      <c r="AJ165" s="23" t="s">
        <v>153</v>
      </c>
      <c r="AK165" s="23" t="s">
        <v>153</v>
      </c>
      <c r="AL165" s="23" t="s">
        <v>153</v>
      </c>
      <c r="AM165" s="23" t="s">
        <v>153</v>
      </c>
      <c r="AN165" s="23" t="s">
        <v>153</v>
      </c>
      <c r="AO165" s="23" t="s">
        <v>153</v>
      </c>
      <c r="AP165" s="23">
        <f>VALUE(0)</f>
        <v>0</v>
      </c>
      <c r="AQ165" s="23">
        <f>VALUE(0)</f>
        <v>0</v>
      </c>
      <c r="AR165" s="23">
        <f>VALUE(0)</f>
        <v>0</v>
      </c>
      <c r="AS165" s="23">
        <f>VALUE(0)</f>
        <v>0</v>
      </c>
      <c r="AT165" s="23">
        <f>VALUE(0)</f>
        <v>0</v>
      </c>
      <c r="AU165" s="23">
        <f>VALUE(0)</f>
        <v>0</v>
      </c>
      <c r="AV165" s="23">
        <f>VALUE(0)</f>
        <v>0</v>
      </c>
      <c r="AW165" s="23">
        <f>VALUE(0)</f>
        <v>0</v>
      </c>
      <c r="AX165" s="23">
        <f>VALUE(0)</f>
        <v>0</v>
      </c>
      <c r="AY165" s="23">
        <f>VALUE(0)</f>
        <v>0</v>
      </c>
      <c r="AZ165" s="23">
        <f>VALUE(0)</f>
        <v>0</v>
      </c>
      <c r="BA165" s="23">
        <f>VALUE(0)</f>
        <v>0</v>
      </c>
      <c r="BB165" s="23">
        <f>VALUE(0)</f>
        <v>0</v>
      </c>
      <c r="BC165" s="23">
        <f>VALUE(0)</f>
        <v>0</v>
      </c>
      <c r="BD165" s="23">
        <f>VALUE(3)</f>
        <v>3</v>
      </c>
      <c r="BE165" s="23">
        <f>VALUE(0)</f>
        <v>0</v>
      </c>
      <c r="BF165" s="23">
        <f>VALUE(0)</f>
        <v>0</v>
      </c>
      <c r="BG165" s="23">
        <f>VALUE(0)</f>
        <v>0</v>
      </c>
      <c r="BH165" s="23">
        <f>VALUE(0)</f>
        <v>0</v>
      </c>
      <c r="BI165" s="23">
        <f>VALUE(0)</f>
        <v>0</v>
      </c>
      <c r="BJ165" s="23">
        <f>VALUE(0)</f>
        <v>0</v>
      </c>
      <c r="BK165" s="12">
        <f>$AX$165*24</f>
        <v>0</v>
      </c>
      <c r="BL165" s="12">
        <f>$AY$165*24</f>
        <v>0</v>
      </c>
      <c r="BM165" s="12">
        <f>$BJ$165*24</f>
        <v>0</v>
      </c>
      <c r="BN165" s="12">
        <f>VALUE($I$165)/100</f>
        <v>1</v>
      </c>
      <c r="BO165" s="12">
        <v>0</v>
      </c>
      <c r="BP165" s="12">
        <v>0</v>
      </c>
      <c r="BQ165" s="12">
        <v>0</v>
      </c>
      <c r="BR165" s="12">
        <v>0</v>
      </c>
      <c r="BS165" s="12">
        <v>0</v>
      </c>
      <c r="BT165" s="12">
        <v>0</v>
      </c>
      <c r="BU165" s="12">
        <v>0</v>
      </c>
      <c r="BV165" s="12">
        <v>0</v>
      </c>
      <c r="BW165" s="12">
        <v>0</v>
      </c>
      <c r="BX165" s="12">
        <v>0</v>
      </c>
      <c r="BY165" s="12">
        <v>0</v>
      </c>
      <c r="BZ165" s="12">
        <v>0</v>
      </c>
      <c r="CA165" s="12">
        <v>0</v>
      </c>
    </row>
    <row r="166" spans="1:79" hidden="1" x14ac:dyDescent="0.2">
      <c r="A166" s="12" t="s">
        <v>120</v>
      </c>
      <c r="B166" s="12" t="s">
        <v>124</v>
      </c>
      <c r="C166" s="12" t="s">
        <v>124</v>
      </c>
      <c r="D166" s="22" t="s">
        <v>389</v>
      </c>
      <c r="E166" s="22" t="s">
        <v>161</v>
      </c>
      <c r="F166" s="22" t="s">
        <v>851</v>
      </c>
      <c r="G166" s="22" t="s">
        <v>852</v>
      </c>
      <c r="H166" s="22" t="s">
        <v>279</v>
      </c>
      <c r="I166" s="22" t="s">
        <v>151</v>
      </c>
      <c r="J166" s="22" t="s">
        <v>162</v>
      </c>
      <c r="K166" s="22" t="s">
        <v>83</v>
      </c>
      <c r="L166" s="54" t="s">
        <v>153</v>
      </c>
      <c r="M166" s="27" t="s">
        <v>153</v>
      </c>
      <c r="N166" s="24" t="s">
        <v>153</v>
      </c>
      <c r="O166" s="23" t="s">
        <v>153</v>
      </c>
      <c r="P166" s="23" t="s">
        <v>153</v>
      </c>
      <c r="Q166" s="25" t="s">
        <v>1233</v>
      </c>
      <c r="R166" s="25" t="s">
        <v>1233</v>
      </c>
      <c r="S166" s="23" t="s">
        <v>380</v>
      </c>
      <c r="T166" s="23" t="s">
        <v>380</v>
      </c>
      <c r="U166" s="24" t="s">
        <v>153</v>
      </c>
      <c r="V166" s="54" t="s">
        <v>153</v>
      </c>
      <c r="W166" s="23" t="s">
        <v>380</v>
      </c>
      <c r="X166" s="23" t="s">
        <v>380</v>
      </c>
      <c r="Y166" s="23" t="s">
        <v>380</v>
      </c>
      <c r="Z166" s="23" t="s">
        <v>380</v>
      </c>
      <c r="AA166" s="23" t="s">
        <v>380</v>
      </c>
      <c r="AB166" s="24" t="s">
        <v>153</v>
      </c>
      <c r="AC166" s="23" t="s">
        <v>388</v>
      </c>
      <c r="AD166" s="23" t="s">
        <v>388</v>
      </c>
      <c r="AE166" s="23" t="s">
        <v>388</v>
      </c>
      <c r="AF166" s="23" t="s">
        <v>388</v>
      </c>
      <c r="AG166" s="23" t="s">
        <v>388</v>
      </c>
      <c r="AH166" s="23" t="s">
        <v>388</v>
      </c>
      <c r="AI166" s="24" t="s">
        <v>153</v>
      </c>
      <c r="AJ166" s="23" t="s">
        <v>388</v>
      </c>
      <c r="AK166" s="23" t="s">
        <v>388</v>
      </c>
      <c r="AL166" s="23" t="s">
        <v>388</v>
      </c>
      <c r="AM166" s="23" t="s">
        <v>388</v>
      </c>
      <c r="AN166" s="23" t="s">
        <v>388</v>
      </c>
      <c r="AO166" s="23" t="s">
        <v>388</v>
      </c>
      <c r="AP166" s="23">
        <f>VALUE(0)</f>
        <v>0</v>
      </c>
      <c r="AQ166" s="23">
        <f>VALUE(0)</f>
        <v>0</v>
      </c>
      <c r="AR166" s="23">
        <f>VALUE(0)</f>
        <v>0</v>
      </c>
      <c r="AS166" s="23">
        <f>VALUE(0)</f>
        <v>0</v>
      </c>
      <c r="AT166" s="23">
        <f>VALUE(0)</f>
        <v>0</v>
      </c>
      <c r="AU166" s="23">
        <f>VALUE(0)</f>
        <v>0</v>
      </c>
      <c r="AV166" s="23">
        <f>VALUE(0)</f>
        <v>0</v>
      </c>
      <c r="AW166" s="23">
        <f>VALUE(0)</f>
        <v>0</v>
      </c>
      <c r="AX166" s="23">
        <f>VALUE(0)</f>
        <v>0</v>
      </c>
      <c r="AY166" s="23">
        <f>VALUE(0)</f>
        <v>0</v>
      </c>
      <c r="AZ166" s="23">
        <f>VALUE(0)</f>
        <v>0</v>
      </c>
      <c r="BA166" s="23">
        <f>VALUE(0)</f>
        <v>0</v>
      </c>
      <c r="BB166" s="23">
        <f>VALUE(0)</f>
        <v>0</v>
      </c>
      <c r="BC166" s="23">
        <f>VALUE(0)</f>
        <v>0</v>
      </c>
      <c r="BD166" s="23">
        <f>VALUE(2)</f>
        <v>2</v>
      </c>
      <c r="BE166" s="23">
        <f>VALUE(0)</f>
        <v>0</v>
      </c>
      <c r="BF166" s="23">
        <f>VALUE(0)</f>
        <v>0</v>
      </c>
      <c r="BG166" s="23">
        <f>VALUE(0)</f>
        <v>0</v>
      </c>
      <c r="BH166" s="23">
        <f>VALUE(0)</f>
        <v>0</v>
      </c>
      <c r="BI166" s="23">
        <f>VALUE(0)</f>
        <v>0</v>
      </c>
      <c r="BJ166" s="23">
        <f>VALUE(0)</f>
        <v>0</v>
      </c>
      <c r="BK166" s="12">
        <f>$AX$166*24</f>
        <v>0</v>
      </c>
      <c r="BL166" s="12">
        <f>$AY$166*24</f>
        <v>0</v>
      </c>
      <c r="BM166" s="12">
        <f>$BJ$166*24</f>
        <v>0</v>
      </c>
      <c r="BN166" s="12">
        <f>VALUE($I$166)/100</f>
        <v>1</v>
      </c>
      <c r="BO166" s="12">
        <v>0</v>
      </c>
      <c r="BP166" s="12">
        <v>0</v>
      </c>
      <c r="BQ166" s="12">
        <v>0</v>
      </c>
      <c r="BR166" s="12">
        <v>2</v>
      </c>
      <c r="BS166" s="12">
        <v>0</v>
      </c>
      <c r="BT166" s="12">
        <v>0</v>
      </c>
      <c r="BU166" s="12">
        <v>0</v>
      </c>
      <c r="BV166" s="12">
        <v>0</v>
      </c>
      <c r="BW166" s="12">
        <v>0</v>
      </c>
      <c r="BX166" s="12">
        <v>0</v>
      </c>
      <c r="BY166" s="12">
        <v>0</v>
      </c>
      <c r="BZ166" s="12">
        <v>0</v>
      </c>
      <c r="CA166" s="12">
        <v>0</v>
      </c>
    </row>
    <row r="167" spans="1:79" hidden="1" x14ac:dyDescent="0.2">
      <c r="A167" s="12" t="s">
        <v>120</v>
      </c>
      <c r="B167" s="12" t="s">
        <v>124</v>
      </c>
      <c r="C167" s="12" t="s">
        <v>124</v>
      </c>
      <c r="D167" s="22" t="s">
        <v>379</v>
      </c>
      <c r="E167" s="22" t="s">
        <v>161</v>
      </c>
      <c r="F167" s="22" t="s">
        <v>853</v>
      </c>
      <c r="G167" s="22" t="s">
        <v>854</v>
      </c>
      <c r="H167" s="22" t="s">
        <v>166</v>
      </c>
      <c r="I167" s="22" t="s">
        <v>151</v>
      </c>
      <c r="J167" s="22" t="s">
        <v>162</v>
      </c>
      <c r="K167" s="22" t="s">
        <v>83</v>
      </c>
      <c r="L167" s="54" t="s">
        <v>153</v>
      </c>
      <c r="M167" s="23" t="s">
        <v>153</v>
      </c>
      <c r="N167" s="24" t="s">
        <v>153</v>
      </c>
      <c r="O167" s="23" t="s">
        <v>153</v>
      </c>
      <c r="P167" s="23" t="s">
        <v>153</v>
      </c>
      <c r="Q167" s="23" t="s">
        <v>153</v>
      </c>
      <c r="R167" s="23" t="s">
        <v>153</v>
      </c>
      <c r="S167" s="23" t="s">
        <v>153</v>
      </c>
      <c r="T167" s="23" t="s">
        <v>153</v>
      </c>
      <c r="U167" s="24" t="s">
        <v>153</v>
      </c>
      <c r="V167" s="54" t="s">
        <v>153</v>
      </c>
      <c r="W167" s="23" t="s">
        <v>153</v>
      </c>
      <c r="X167" s="23" t="s">
        <v>153</v>
      </c>
      <c r="Y167" s="23" t="s">
        <v>153</v>
      </c>
      <c r="Z167" s="23" t="s">
        <v>153</v>
      </c>
      <c r="AA167" s="23" t="s">
        <v>153</v>
      </c>
      <c r="AB167" s="24" t="s">
        <v>153</v>
      </c>
      <c r="AC167" s="23" t="s">
        <v>153</v>
      </c>
      <c r="AD167" s="23" t="s">
        <v>153</v>
      </c>
      <c r="AE167" s="23" t="s">
        <v>153</v>
      </c>
      <c r="AF167" s="23" t="s">
        <v>153</v>
      </c>
      <c r="AG167" s="23" t="s">
        <v>153</v>
      </c>
      <c r="AH167" s="23" t="s">
        <v>153</v>
      </c>
      <c r="AI167" s="24" t="s">
        <v>153</v>
      </c>
      <c r="AJ167" s="23" t="s">
        <v>153</v>
      </c>
      <c r="AK167" s="23" t="s">
        <v>153</v>
      </c>
      <c r="AL167" s="23" t="s">
        <v>153</v>
      </c>
      <c r="AM167" s="23" t="s">
        <v>153</v>
      </c>
      <c r="AN167" s="24" t="s">
        <v>156</v>
      </c>
      <c r="AO167" s="24" t="s">
        <v>156</v>
      </c>
      <c r="AP167" s="23">
        <f>VALUE(1)</f>
        <v>1</v>
      </c>
      <c r="AQ167" s="23">
        <f>VALUE(0)</f>
        <v>0</v>
      </c>
      <c r="AR167" s="23">
        <f>VALUE(0)</f>
        <v>0</v>
      </c>
      <c r="AS167" s="23">
        <f>VALUE(0)</f>
        <v>0</v>
      </c>
      <c r="AT167" s="23">
        <f>VALUE(0)</f>
        <v>0</v>
      </c>
      <c r="AU167" s="23">
        <f>VALUE(0)</f>
        <v>0</v>
      </c>
      <c r="AV167" s="23">
        <f>VALUE(1)</f>
        <v>1</v>
      </c>
      <c r="AW167" s="23">
        <f>VALUE(3)</f>
        <v>3</v>
      </c>
      <c r="AX167" s="23" t="s">
        <v>1234</v>
      </c>
      <c r="AY167" s="23">
        <f>VALUE(0)</f>
        <v>0</v>
      </c>
      <c r="AZ167" s="23">
        <f>VALUE(0)</f>
        <v>0</v>
      </c>
      <c r="BA167" s="23">
        <f>VALUE(0)</f>
        <v>0</v>
      </c>
      <c r="BB167" s="23">
        <f>VALUE(0)</f>
        <v>0</v>
      </c>
      <c r="BC167" s="23">
        <f>VALUE(0)</f>
        <v>0</v>
      </c>
      <c r="BD167" s="23">
        <f>VALUE(0)</f>
        <v>0</v>
      </c>
      <c r="BE167" s="23">
        <f>VALUE(0)</f>
        <v>0</v>
      </c>
      <c r="BF167" s="23">
        <f>VALUE(0)</f>
        <v>0</v>
      </c>
      <c r="BG167" s="23">
        <f>VALUE(0)</f>
        <v>0</v>
      </c>
      <c r="BH167" s="23">
        <f>VALUE(0)</f>
        <v>0</v>
      </c>
      <c r="BI167" s="23">
        <f>VALUE(0)</f>
        <v>0</v>
      </c>
      <c r="BJ167" s="23">
        <f>VALUE(0)</f>
        <v>0</v>
      </c>
      <c r="BK167" s="12">
        <f>$AX$167*24</f>
        <v>9.8833333333333329</v>
      </c>
      <c r="BL167" s="12">
        <f>$AY$167*24</f>
        <v>0</v>
      </c>
      <c r="BM167" s="12">
        <f>$BJ$167*24</f>
        <v>0</v>
      </c>
      <c r="BN167" s="12">
        <f>VALUE($I$167)/100</f>
        <v>1</v>
      </c>
      <c r="BO167" s="12">
        <v>0</v>
      </c>
      <c r="BP167" s="12">
        <v>0</v>
      </c>
      <c r="BQ167" s="12">
        <v>0</v>
      </c>
      <c r="BR167" s="12">
        <v>0</v>
      </c>
      <c r="BS167" s="12">
        <v>0</v>
      </c>
      <c r="BT167" s="12">
        <v>0</v>
      </c>
      <c r="BU167" s="12">
        <v>0</v>
      </c>
      <c r="BV167" s="12">
        <v>0</v>
      </c>
      <c r="BW167" s="12">
        <v>0</v>
      </c>
      <c r="BX167" s="12">
        <v>0</v>
      </c>
      <c r="BY167" s="12">
        <v>0</v>
      </c>
      <c r="BZ167" s="12">
        <v>0</v>
      </c>
      <c r="CA167" s="12">
        <v>0</v>
      </c>
    </row>
    <row r="168" spans="1:79" hidden="1" x14ac:dyDescent="0.2">
      <c r="A168" s="12" t="s">
        <v>120</v>
      </c>
      <c r="B168" s="12" t="s">
        <v>124</v>
      </c>
      <c r="C168" s="12" t="s">
        <v>124</v>
      </c>
      <c r="D168" s="22" t="s">
        <v>429</v>
      </c>
      <c r="E168" s="22" t="s">
        <v>161</v>
      </c>
      <c r="F168" s="22" t="s">
        <v>1235</v>
      </c>
      <c r="G168" s="22" t="s">
        <v>855</v>
      </c>
      <c r="H168" s="22" t="s">
        <v>166</v>
      </c>
      <c r="I168" s="22" t="s">
        <v>151</v>
      </c>
      <c r="J168" s="22" t="s">
        <v>162</v>
      </c>
      <c r="K168" s="22" t="s">
        <v>83</v>
      </c>
      <c r="L168" s="54" t="s">
        <v>153</v>
      </c>
      <c r="M168" s="29" t="s">
        <v>1175</v>
      </c>
      <c r="N168" s="24" t="s">
        <v>153</v>
      </c>
      <c r="O168" s="29" t="s">
        <v>1175</v>
      </c>
      <c r="P168" s="29" t="s">
        <v>1175</v>
      </c>
      <c r="Q168" s="29" t="s">
        <v>1175</v>
      </c>
      <c r="R168" s="29" t="s">
        <v>1175</v>
      </c>
      <c r="S168" s="29" t="s">
        <v>1175</v>
      </c>
      <c r="T168" s="29" t="s">
        <v>1175</v>
      </c>
      <c r="U168" s="24" t="s">
        <v>153</v>
      </c>
      <c r="V168" s="54" t="s">
        <v>153</v>
      </c>
      <c r="W168" s="29" t="s">
        <v>1175</v>
      </c>
      <c r="X168" s="29" t="s">
        <v>1175</v>
      </c>
      <c r="Y168" s="29" t="s">
        <v>1175</v>
      </c>
      <c r="Z168" s="29" t="s">
        <v>1175</v>
      </c>
      <c r="AA168" s="29" t="s">
        <v>1175</v>
      </c>
      <c r="AB168" s="24" t="s">
        <v>153</v>
      </c>
      <c r="AC168" s="23" t="s">
        <v>153</v>
      </c>
      <c r="AD168" s="23" t="s">
        <v>153</v>
      </c>
      <c r="AE168" s="23" t="s">
        <v>153</v>
      </c>
      <c r="AF168" s="23" t="s">
        <v>153</v>
      </c>
      <c r="AG168" s="24" t="s">
        <v>156</v>
      </c>
      <c r="AH168" s="24" t="s">
        <v>156</v>
      </c>
      <c r="AI168" s="24" t="s">
        <v>153</v>
      </c>
      <c r="AJ168" s="23" t="s">
        <v>153</v>
      </c>
      <c r="AK168" s="23" t="s">
        <v>153</v>
      </c>
      <c r="AL168" s="23" t="s">
        <v>153</v>
      </c>
      <c r="AM168" s="23" t="s">
        <v>153</v>
      </c>
      <c r="AN168" s="23" t="s">
        <v>153</v>
      </c>
      <c r="AO168" s="23" t="s">
        <v>153</v>
      </c>
      <c r="AP168" s="23">
        <f>VALUE(0)</f>
        <v>0</v>
      </c>
      <c r="AQ168" s="23">
        <f>VALUE(0)</f>
        <v>0</v>
      </c>
      <c r="AR168" s="23">
        <f>VALUE(12)</f>
        <v>12</v>
      </c>
      <c r="AS168" s="23">
        <f>VALUE(0)</f>
        <v>0</v>
      </c>
      <c r="AT168" s="23">
        <f>VALUE(0)</f>
        <v>0</v>
      </c>
      <c r="AU168" s="23">
        <f>VALUE(0)</f>
        <v>0</v>
      </c>
      <c r="AV168" s="23">
        <f>VALUE(32)</f>
        <v>32</v>
      </c>
      <c r="AW168" s="23">
        <f>VALUE(4)</f>
        <v>4</v>
      </c>
      <c r="AX168" s="23" t="s">
        <v>430</v>
      </c>
      <c r="AY168" s="23">
        <f>VALUE(0)</f>
        <v>0</v>
      </c>
      <c r="AZ168" s="23">
        <f>VALUE(0)</f>
        <v>0</v>
      </c>
      <c r="BA168" s="23">
        <f>VALUE(0)</f>
        <v>0</v>
      </c>
      <c r="BB168" s="23">
        <f>VALUE(0)</f>
        <v>0</v>
      </c>
      <c r="BC168" s="23">
        <f>VALUE(0)</f>
        <v>0</v>
      </c>
      <c r="BD168" s="23">
        <f>VALUE(0)</f>
        <v>0</v>
      </c>
      <c r="BE168" s="23">
        <f>VALUE(0)</f>
        <v>0</v>
      </c>
      <c r="BF168" s="23">
        <f>VALUE(0)</f>
        <v>0</v>
      </c>
      <c r="BG168" s="23">
        <f>VALUE(0)</f>
        <v>0</v>
      </c>
      <c r="BH168" s="23">
        <f>VALUE(0)</f>
        <v>0</v>
      </c>
      <c r="BI168" s="23">
        <f>VALUE(0)</f>
        <v>0</v>
      </c>
      <c r="BJ168" s="23">
        <f>VALUE(0)</f>
        <v>0</v>
      </c>
      <c r="BK168" s="12">
        <f>$AX$168*24</f>
        <v>28.216666666666665</v>
      </c>
      <c r="BL168" s="12">
        <f>$AY$168*24</f>
        <v>0</v>
      </c>
      <c r="BM168" s="12">
        <f>$BJ$168*24</f>
        <v>0</v>
      </c>
      <c r="BN168" s="12">
        <f>VALUE($I$168)/100</f>
        <v>1</v>
      </c>
      <c r="BO168" s="12">
        <v>0</v>
      </c>
      <c r="BP168" s="12">
        <v>0</v>
      </c>
      <c r="BQ168" s="12">
        <v>0</v>
      </c>
      <c r="BR168" s="12">
        <v>0</v>
      </c>
      <c r="BS168" s="12">
        <v>0</v>
      </c>
      <c r="BT168" s="12">
        <v>0</v>
      </c>
      <c r="BU168" s="12">
        <v>0</v>
      </c>
      <c r="BV168" s="12">
        <v>12</v>
      </c>
      <c r="BW168" s="12">
        <v>0</v>
      </c>
      <c r="BX168" s="12">
        <v>0</v>
      </c>
      <c r="BY168" s="12">
        <v>0</v>
      </c>
      <c r="BZ168" s="12">
        <v>0</v>
      </c>
      <c r="CA168" s="12">
        <v>0</v>
      </c>
    </row>
    <row r="169" spans="1:79" hidden="1" x14ac:dyDescent="0.2">
      <c r="A169" s="12" t="s">
        <v>120</v>
      </c>
      <c r="B169" s="12" t="s">
        <v>124</v>
      </c>
      <c r="C169" s="12" t="s">
        <v>124</v>
      </c>
      <c r="D169" s="22" t="s">
        <v>429</v>
      </c>
      <c r="E169" s="22" t="s">
        <v>161</v>
      </c>
      <c r="F169" s="22" t="s">
        <v>856</v>
      </c>
      <c r="G169" s="22" t="s">
        <v>857</v>
      </c>
      <c r="H169" s="22" t="s">
        <v>190</v>
      </c>
      <c r="I169" s="22" t="s">
        <v>151</v>
      </c>
      <c r="J169" s="22" t="s">
        <v>162</v>
      </c>
      <c r="K169" s="22" t="s">
        <v>83</v>
      </c>
      <c r="L169" s="54" t="s">
        <v>153</v>
      </c>
      <c r="M169" s="23" t="s">
        <v>153</v>
      </c>
      <c r="N169" s="24" t="s">
        <v>153</v>
      </c>
      <c r="O169" s="40" t="s">
        <v>153</v>
      </c>
      <c r="P169" s="23" t="s">
        <v>153</v>
      </c>
      <c r="Q169" s="23" t="s">
        <v>153</v>
      </c>
      <c r="R169" s="23" t="s">
        <v>153</v>
      </c>
      <c r="S169" s="23" t="s">
        <v>153</v>
      </c>
      <c r="T169" s="23" t="s">
        <v>153</v>
      </c>
      <c r="U169" s="24" t="s">
        <v>153</v>
      </c>
      <c r="V169" s="40" t="s">
        <v>153</v>
      </c>
      <c r="W169" s="40" t="s">
        <v>153</v>
      </c>
      <c r="X169" s="40" t="s">
        <v>153</v>
      </c>
      <c r="Y169" s="40" t="s">
        <v>153</v>
      </c>
      <c r="Z169" s="40" t="s">
        <v>153</v>
      </c>
      <c r="AA169" s="40" t="s">
        <v>153</v>
      </c>
      <c r="AB169" s="40" t="s">
        <v>153</v>
      </c>
      <c r="AC169" s="40" t="s">
        <v>153</v>
      </c>
      <c r="AD169" s="40" t="s">
        <v>153</v>
      </c>
      <c r="AE169" s="40" t="s">
        <v>153</v>
      </c>
      <c r="AF169" s="40" t="s">
        <v>153</v>
      </c>
      <c r="AG169" s="40" t="s">
        <v>153</v>
      </c>
      <c r="AH169" s="40" t="s">
        <v>153</v>
      </c>
      <c r="AI169" s="40" t="s">
        <v>153</v>
      </c>
      <c r="AJ169" s="40" t="s">
        <v>153</v>
      </c>
      <c r="AK169" s="40" t="s">
        <v>153</v>
      </c>
      <c r="AL169" s="40" t="s">
        <v>153</v>
      </c>
      <c r="AM169" s="40" t="s">
        <v>153</v>
      </c>
      <c r="AN169" s="40" t="s">
        <v>153</v>
      </c>
      <c r="AO169" s="40" t="s">
        <v>153</v>
      </c>
      <c r="AP169" s="23">
        <f>VALUE(0)</f>
        <v>0</v>
      </c>
      <c r="AQ169" s="23">
        <f>VALUE(0)</f>
        <v>0</v>
      </c>
      <c r="AR169" s="23">
        <f>VALUE(0)</f>
        <v>0</v>
      </c>
      <c r="AS169" s="23">
        <f>VALUE(0)</f>
        <v>0</v>
      </c>
      <c r="AT169" s="23">
        <f>VALUE(0)</f>
        <v>0</v>
      </c>
      <c r="AU169" s="23">
        <f>VALUE(0)</f>
        <v>0</v>
      </c>
      <c r="AV169" s="23">
        <f>VALUE(4)</f>
        <v>4</v>
      </c>
      <c r="AW169" s="23">
        <f>VALUE(0)</f>
        <v>0</v>
      </c>
      <c r="AX169" s="23" t="s">
        <v>171</v>
      </c>
      <c r="AY169" s="23">
        <f>VALUE(0)</f>
        <v>0</v>
      </c>
      <c r="AZ169" s="23">
        <f>VALUE(0)</f>
        <v>0</v>
      </c>
      <c r="BA169" s="23">
        <f>VALUE(0)</f>
        <v>0</v>
      </c>
      <c r="BB169" s="23">
        <f>VALUE(0)</f>
        <v>0</v>
      </c>
      <c r="BC169" s="23">
        <f>VALUE(0)</f>
        <v>0</v>
      </c>
      <c r="BD169" s="23">
        <f>VALUE(0)</f>
        <v>0</v>
      </c>
      <c r="BE169" s="23">
        <f>VALUE(0)</f>
        <v>0</v>
      </c>
      <c r="BF169" s="23">
        <f>VALUE(0)</f>
        <v>0</v>
      </c>
      <c r="BG169" s="23">
        <f>VALUE(0)</f>
        <v>0</v>
      </c>
      <c r="BH169" s="23">
        <f>VALUE(0)</f>
        <v>0</v>
      </c>
      <c r="BI169" s="23">
        <f>VALUE(0)</f>
        <v>0</v>
      </c>
      <c r="BJ169" s="23">
        <f>VALUE(0)</f>
        <v>0</v>
      </c>
      <c r="BK169" s="12">
        <f>$AX$169*24</f>
        <v>5.833333333333333</v>
      </c>
      <c r="BL169" s="12">
        <f>$AY$169*24</f>
        <v>0</v>
      </c>
      <c r="BM169" s="12">
        <f>$BJ$169*24</f>
        <v>0</v>
      </c>
      <c r="BN169" s="12">
        <f>VALUE($I$169)/100</f>
        <v>1</v>
      </c>
      <c r="BO169" s="12">
        <v>0</v>
      </c>
      <c r="BP169" s="12">
        <v>0</v>
      </c>
      <c r="BQ169" s="12">
        <v>0</v>
      </c>
      <c r="BR169" s="12">
        <v>0</v>
      </c>
      <c r="BS169" s="12">
        <v>0</v>
      </c>
      <c r="BT169" s="12">
        <v>0</v>
      </c>
      <c r="BU169" s="12">
        <v>0</v>
      </c>
      <c r="BV169" s="12">
        <v>0</v>
      </c>
      <c r="BW169" s="12">
        <v>0</v>
      </c>
      <c r="BX169" s="12">
        <v>0</v>
      </c>
      <c r="BY169" s="12">
        <v>0</v>
      </c>
      <c r="BZ169" s="12">
        <v>0</v>
      </c>
      <c r="CA169" s="12">
        <v>0</v>
      </c>
    </row>
    <row r="170" spans="1:79" hidden="1" x14ac:dyDescent="0.2">
      <c r="A170" s="12" t="s">
        <v>120</v>
      </c>
      <c r="B170" s="12" t="s">
        <v>124</v>
      </c>
      <c r="C170" s="12" t="s">
        <v>124</v>
      </c>
      <c r="D170" s="22" t="s">
        <v>431</v>
      </c>
      <c r="E170" s="22" t="s">
        <v>159</v>
      </c>
      <c r="F170" s="22" t="s">
        <v>858</v>
      </c>
      <c r="G170" s="22" t="s">
        <v>859</v>
      </c>
      <c r="H170" s="22" t="s">
        <v>150</v>
      </c>
      <c r="I170" s="22" t="s">
        <v>151</v>
      </c>
      <c r="J170" s="22" t="s">
        <v>162</v>
      </c>
      <c r="K170" s="22" t="s">
        <v>83</v>
      </c>
      <c r="L170" s="54" t="s">
        <v>153</v>
      </c>
      <c r="M170" s="28" t="s">
        <v>163</v>
      </c>
      <c r="N170" s="24" t="s">
        <v>153</v>
      </c>
      <c r="O170" s="28" t="s">
        <v>163</v>
      </c>
      <c r="P170" s="25" t="s">
        <v>388</v>
      </c>
      <c r="Q170" s="25" t="s">
        <v>388</v>
      </c>
      <c r="R170" s="25" t="s">
        <v>388</v>
      </c>
      <c r="S170" s="24" t="s">
        <v>156</v>
      </c>
      <c r="T170" s="24" t="s">
        <v>156</v>
      </c>
      <c r="U170" s="24" t="s">
        <v>153</v>
      </c>
      <c r="V170" s="54" t="s">
        <v>153</v>
      </c>
      <c r="W170" s="23" t="s">
        <v>429</v>
      </c>
      <c r="X170" s="23" t="s">
        <v>429</v>
      </c>
      <c r="Y170" s="23" t="s">
        <v>429</v>
      </c>
      <c r="Z170" s="23" t="s">
        <v>429</v>
      </c>
      <c r="AA170" s="23" t="s">
        <v>429</v>
      </c>
      <c r="AB170" s="24" t="s">
        <v>153</v>
      </c>
      <c r="AC170" s="25" t="s">
        <v>429</v>
      </c>
      <c r="AD170" s="25" t="s">
        <v>429</v>
      </c>
      <c r="AE170" s="25" t="s">
        <v>429</v>
      </c>
      <c r="AF170" s="25" t="s">
        <v>429</v>
      </c>
      <c r="AG170" s="29" t="s">
        <v>163</v>
      </c>
      <c r="AH170" s="29" t="s">
        <v>163</v>
      </c>
      <c r="AI170" s="24" t="s">
        <v>153</v>
      </c>
      <c r="AJ170" s="25" t="s">
        <v>1236</v>
      </c>
      <c r="AK170" s="23" t="s">
        <v>385</v>
      </c>
      <c r="AL170" s="23" t="s">
        <v>385</v>
      </c>
      <c r="AM170" s="23" t="s">
        <v>385</v>
      </c>
      <c r="AN170" s="23" t="s">
        <v>385</v>
      </c>
      <c r="AO170" s="23" t="s">
        <v>385</v>
      </c>
      <c r="AP170" s="23">
        <f>VALUE(0)</f>
        <v>0</v>
      </c>
      <c r="AQ170" s="23">
        <f>VALUE(0)</f>
        <v>0</v>
      </c>
      <c r="AR170" s="23">
        <f>VALUE(2)</f>
        <v>2</v>
      </c>
      <c r="AS170" s="23">
        <f>VALUE(0)</f>
        <v>0</v>
      </c>
      <c r="AT170" s="23">
        <f>VALUE(0)</f>
        <v>0</v>
      </c>
      <c r="AU170" s="23">
        <f>VALUE(2)</f>
        <v>2</v>
      </c>
      <c r="AV170" s="23">
        <f>VALUE(2)</f>
        <v>2</v>
      </c>
      <c r="AW170" s="23">
        <f>VALUE(0)</f>
        <v>0</v>
      </c>
      <c r="AX170" s="23" t="s">
        <v>1237</v>
      </c>
      <c r="AY170" s="23">
        <f>VALUE(0)</f>
        <v>0</v>
      </c>
      <c r="AZ170" s="23">
        <f>VALUE(0)</f>
        <v>0</v>
      </c>
      <c r="BA170" s="23">
        <f>VALUE(0)</f>
        <v>0</v>
      </c>
      <c r="BB170" s="23">
        <f>VALUE(0)</f>
        <v>0</v>
      </c>
      <c r="BC170" s="23">
        <f>VALUE(0)</f>
        <v>0</v>
      </c>
      <c r="BD170" s="23">
        <f>VALUE(1)</f>
        <v>1</v>
      </c>
      <c r="BE170" s="23">
        <f>VALUE(0)</f>
        <v>0</v>
      </c>
      <c r="BF170" s="23">
        <f>VALUE(0)</f>
        <v>0</v>
      </c>
      <c r="BG170" s="23">
        <f>VALUE(0)</f>
        <v>0</v>
      </c>
      <c r="BH170" s="23">
        <f>VALUE(0)</f>
        <v>0</v>
      </c>
      <c r="BI170" s="23">
        <f>VALUE(0)</f>
        <v>0</v>
      </c>
      <c r="BJ170" s="23">
        <f>VALUE(0)</f>
        <v>0</v>
      </c>
      <c r="BK170" s="12">
        <f>$AX$170*24</f>
        <v>12.866666666666667</v>
      </c>
      <c r="BL170" s="12">
        <f>$AY$170*24</f>
        <v>0</v>
      </c>
      <c r="BM170" s="12">
        <f>$BJ$170*24</f>
        <v>0</v>
      </c>
      <c r="BN170" s="12">
        <f>VALUE($I$170)/100</f>
        <v>1</v>
      </c>
      <c r="BO170" s="12">
        <v>0</v>
      </c>
      <c r="BP170" s="12">
        <v>0</v>
      </c>
      <c r="BQ170" s="12">
        <v>0</v>
      </c>
      <c r="BR170" s="12">
        <v>1</v>
      </c>
      <c r="BS170" s="12">
        <v>0</v>
      </c>
      <c r="BT170" s="12">
        <v>2</v>
      </c>
      <c r="BU170" s="12">
        <v>0</v>
      </c>
      <c r="BV170" s="12">
        <v>0</v>
      </c>
      <c r="BW170" s="12">
        <v>0</v>
      </c>
      <c r="BX170" s="12">
        <v>0</v>
      </c>
      <c r="BY170" s="12">
        <v>0</v>
      </c>
      <c r="BZ170" s="12">
        <v>0</v>
      </c>
      <c r="CA170" s="12">
        <v>0</v>
      </c>
    </row>
    <row r="171" spans="1:79" hidden="1" x14ac:dyDescent="0.2">
      <c r="A171" s="12" t="s">
        <v>120</v>
      </c>
      <c r="B171" s="12" t="s">
        <v>124</v>
      </c>
      <c r="C171" s="12" t="s">
        <v>124</v>
      </c>
      <c r="D171" s="22" t="s">
        <v>433</v>
      </c>
      <c r="E171" s="22" t="s">
        <v>332</v>
      </c>
      <c r="F171" s="22" t="s">
        <v>860</v>
      </c>
      <c r="G171" s="22" t="s">
        <v>861</v>
      </c>
      <c r="H171" s="22" t="s">
        <v>150</v>
      </c>
      <c r="I171" s="22" t="s">
        <v>151</v>
      </c>
      <c r="J171" s="22" t="s">
        <v>162</v>
      </c>
      <c r="K171" s="22" t="s">
        <v>83</v>
      </c>
      <c r="L171" s="54" t="s">
        <v>153</v>
      </c>
      <c r="M171" s="23" t="s">
        <v>385</v>
      </c>
      <c r="N171" s="24" t="s">
        <v>153</v>
      </c>
      <c r="O171" s="23" t="s">
        <v>418</v>
      </c>
      <c r="P171" s="23" t="s">
        <v>418</v>
      </c>
      <c r="Q171" s="23" t="s">
        <v>389</v>
      </c>
      <c r="R171" s="23" t="s">
        <v>389</v>
      </c>
      <c r="S171" s="23" t="s">
        <v>389</v>
      </c>
      <c r="T171" s="23" t="s">
        <v>389</v>
      </c>
      <c r="U171" s="24" t="s">
        <v>153</v>
      </c>
      <c r="V171" s="54" t="s">
        <v>153</v>
      </c>
      <c r="W171" s="23" t="s">
        <v>388</v>
      </c>
      <c r="X171" s="23" t="s">
        <v>388</v>
      </c>
      <c r="Y171" s="23" t="s">
        <v>388</v>
      </c>
      <c r="Z171" s="24" t="s">
        <v>156</v>
      </c>
      <c r="AA171" s="24" t="s">
        <v>156</v>
      </c>
      <c r="AB171" s="24" t="s">
        <v>153</v>
      </c>
      <c r="AC171" s="24" t="s">
        <v>156</v>
      </c>
      <c r="AD171" s="24" t="s">
        <v>156</v>
      </c>
      <c r="AE171" s="28" t="s">
        <v>163</v>
      </c>
      <c r="AF171" s="28" t="s">
        <v>163</v>
      </c>
      <c r="AG171" s="28" t="s">
        <v>163</v>
      </c>
      <c r="AH171" s="28" t="s">
        <v>163</v>
      </c>
      <c r="AI171" s="24" t="s">
        <v>153</v>
      </c>
      <c r="AJ171" s="25" t="s">
        <v>429</v>
      </c>
      <c r="AK171" s="25" t="s">
        <v>429</v>
      </c>
      <c r="AL171" s="23" t="s">
        <v>419</v>
      </c>
      <c r="AM171" s="23" t="s">
        <v>419</v>
      </c>
      <c r="AN171" s="23" t="s">
        <v>384</v>
      </c>
      <c r="AO171" s="23" t="s">
        <v>384</v>
      </c>
      <c r="AP171" s="23">
        <f>VALUE(0)</f>
        <v>0</v>
      </c>
      <c r="AQ171" s="23">
        <f>VALUE(0)</f>
        <v>0</v>
      </c>
      <c r="AR171" s="23">
        <f>VALUE(0)</f>
        <v>0</v>
      </c>
      <c r="AS171" s="23">
        <f>VALUE(0)</f>
        <v>0</v>
      </c>
      <c r="AT171" s="23">
        <f>VALUE(0)</f>
        <v>0</v>
      </c>
      <c r="AU171" s="23">
        <f>VALUE(4)</f>
        <v>4</v>
      </c>
      <c r="AV171" s="23">
        <f>VALUE(4)</f>
        <v>4</v>
      </c>
      <c r="AW171" s="23">
        <f>VALUE(0)</f>
        <v>0</v>
      </c>
      <c r="AX171" s="23" t="s">
        <v>176</v>
      </c>
      <c r="AY171" s="23" t="s">
        <v>176</v>
      </c>
      <c r="AZ171" s="23">
        <f>VALUE(0)</f>
        <v>0</v>
      </c>
      <c r="BA171" s="23">
        <f>VALUE(0)</f>
        <v>0</v>
      </c>
      <c r="BB171" s="23">
        <f>VALUE(0)</f>
        <v>0</v>
      </c>
      <c r="BC171" s="23">
        <f>VALUE(0)</f>
        <v>0</v>
      </c>
      <c r="BD171" s="23">
        <f>VALUE(0)</f>
        <v>0</v>
      </c>
      <c r="BE171" s="23">
        <f>VALUE(0)</f>
        <v>0</v>
      </c>
      <c r="BF171" s="23">
        <f>VALUE(0)</f>
        <v>0</v>
      </c>
      <c r="BG171" s="23">
        <f>VALUE(0)</f>
        <v>0</v>
      </c>
      <c r="BH171" s="23">
        <f>VALUE(0)</f>
        <v>0</v>
      </c>
      <c r="BI171" s="23">
        <f>VALUE(0)</f>
        <v>0</v>
      </c>
      <c r="BJ171" s="23">
        <f>VALUE(0)</f>
        <v>0</v>
      </c>
      <c r="BK171" s="12">
        <f>$AX$171*24</f>
        <v>0</v>
      </c>
      <c r="BL171" s="12">
        <f>$AY$171*24</f>
        <v>0</v>
      </c>
      <c r="BM171" s="12">
        <f>$BJ$171*24</f>
        <v>0</v>
      </c>
      <c r="BN171" s="12">
        <f>VALUE($I$171)/100</f>
        <v>1</v>
      </c>
      <c r="BO171" s="12">
        <v>0</v>
      </c>
      <c r="BP171" s="12">
        <v>0</v>
      </c>
      <c r="BQ171" s="12">
        <v>0</v>
      </c>
      <c r="BR171" s="12">
        <v>0</v>
      </c>
      <c r="BS171" s="12">
        <v>0</v>
      </c>
      <c r="BT171" s="12">
        <v>0</v>
      </c>
      <c r="BU171" s="12">
        <v>0</v>
      </c>
      <c r="BV171" s="12">
        <v>0</v>
      </c>
      <c r="BW171" s="12">
        <v>0</v>
      </c>
      <c r="BX171" s="12">
        <v>0</v>
      </c>
      <c r="BY171" s="12">
        <v>0</v>
      </c>
      <c r="BZ171" s="12">
        <v>0</v>
      </c>
      <c r="CA171" s="12">
        <v>0</v>
      </c>
    </row>
    <row r="172" spans="1:79" hidden="1" x14ac:dyDescent="0.2">
      <c r="A172" s="12" t="s">
        <v>120</v>
      </c>
      <c r="B172" s="12" t="s">
        <v>124</v>
      </c>
      <c r="C172" s="12" t="s">
        <v>124</v>
      </c>
      <c r="D172" s="22" t="s">
        <v>434</v>
      </c>
      <c r="E172" s="22" t="s">
        <v>332</v>
      </c>
      <c r="F172" s="22" t="s">
        <v>862</v>
      </c>
      <c r="G172" s="22" t="s">
        <v>863</v>
      </c>
      <c r="H172" s="22" t="s">
        <v>150</v>
      </c>
      <c r="I172" s="22" t="s">
        <v>151</v>
      </c>
      <c r="J172" s="22" t="s">
        <v>162</v>
      </c>
      <c r="K172" s="22" t="s">
        <v>83</v>
      </c>
      <c r="L172" s="54" t="s">
        <v>153</v>
      </c>
      <c r="M172" s="23" t="s">
        <v>423</v>
      </c>
      <c r="N172" s="24" t="s">
        <v>153</v>
      </c>
      <c r="O172" s="23" t="s">
        <v>420</v>
      </c>
      <c r="P172" s="23" t="s">
        <v>420</v>
      </c>
      <c r="Q172" s="24" t="s">
        <v>156</v>
      </c>
      <c r="R172" s="24" t="s">
        <v>156</v>
      </c>
      <c r="S172" s="25" t="s">
        <v>388</v>
      </c>
      <c r="T172" s="25" t="s">
        <v>388</v>
      </c>
      <c r="U172" s="24" t="s">
        <v>153</v>
      </c>
      <c r="V172" s="54" t="s">
        <v>153</v>
      </c>
      <c r="W172" s="23" t="s">
        <v>382</v>
      </c>
      <c r="X172" s="25" t="s">
        <v>1238</v>
      </c>
      <c r="Y172" s="25" t="s">
        <v>1238</v>
      </c>
      <c r="Z172" s="23" t="s">
        <v>423</v>
      </c>
      <c r="AA172" s="23" t="s">
        <v>423</v>
      </c>
      <c r="AB172" s="24" t="s">
        <v>153</v>
      </c>
      <c r="AC172" s="23" t="s">
        <v>426</v>
      </c>
      <c r="AD172" s="23" t="s">
        <v>426</v>
      </c>
      <c r="AE172" s="23" t="s">
        <v>389</v>
      </c>
      <c r="AF172" s="23" t="s">
        <v>389</v>
      </c>
      <c r="AG172" s="23" t="s">
        <v>429</v>
      </c>
      <c r="AH172" s="23" t="s">
        <v>429</v>
      </c>
      <c r="AI172" s="24" t="s">
        <v>153</v>
      </c>
      <c r="AJ172" s="23" t="s">
        <v>418</v>
      </c>
      <c r="AK172" s="23" t="s">
        <v>418</v>
      </c>
      <c r="AL172" s="23" t="s">
        <v>390</v>
      </c>
      <c r="AM172" s="23" t="s">
        <v>390</v>
      </c>
      <c r="AN172" s="23" t="s">
        <v>379</v>
      </c>
      <c r="AO172" s="23" t="s">
        <v>379</v>
      </c>
      <c r="AP172" s="23">
        <f>VALUE(0)</f>
        <v>0</v>
      </c>
      <c r="AQ172" s="23">
        <f>VALUE(0)</f>
        <v>0</v>
      </c>
      <c r="AR172" s="23">
        <f>VALUE(0)</f>
        <v>0</v>
      </c>
      <c r="AS172" s="23">
        <f>VALUE(0)</f>
        <v>0</v>
      </c>
      <c r="AT172" s="23">
        <f>VALUE(0)</f>
        <v>0</v>
      </c>
      <c r="AU172" s="23">
        <f>VALUE(0)</f>
        <v>0</v>
      </c>
      <c r="AV172" s="23">
        <f>VALUE(2)</f>
        <v>2</v>
      </c>
      <c r="AW172" s="23">
        <f>VALUE(0)</f>
        <v>0</v>
      </c>
      <c r="AX172" s="23" t="s">
        <v>171</v>
      </c>
      <c r="AY172" s="23">
        <f>VALUE(0)</f>
        <v>0</v>
      </c>
      <c r="AZ172" s="23">
        <f>VALUE(0)</f>
        <v>0</v>
      </c>
      <c r="BA172" s="23">
        <f>VALUE(0)</f>
        <v>0</v>
      </c>
      <c r="BB172" s="23">
        <f>VALUE(0)</f>
        <v>0</v>
      </c>
      <c r="BC172" s="23">
        <f>VALUE(0)</f>
        <v>0</v>
      </c>
      <c r="BD172" s="23">
        <f>VALUE(2)</f>
        <v>2</v>
      </c>
      <c r="BE172" s="23">
        <f>VALUE(0)</f>
        <v>0</v>
      </c>
      <c r="BF172" s="23">
        <f>VALUE(0)</f>
        <v>0</v>
      </c>
      <c r="BG172" s="23">
        <f>VALUE(0)</f>
        <v>0</v>
      </c>
      <c r="BH172" s="23">
        <f>VALUE(0)</f>
        <v>0</v>
      </c>
      <c r="BI172" s="23">
        <f>VALUE(0)</f>
        <v>0</v>
      </c>
      <c r="BJ172" s="23">
        <f>VALUE(0)</f>
        <v>0</v>
      </c>
      <c r="BK172" s="12">
        <f>$AX$172*24</f>
        <v>5.833333333333333</v>
      </c>
      <c r="BL172" s="12">
        <f>$AY$172*24</f>
        <v>0</v>
      </c>
      <c r="BM172" s="12">
        <f>$BJ$172*24</f>
        <v>0</v>
      </c>
      <c r="BN172" s="12">
        <f>VALUE($I$172)/100</f>
        <v>1</v>
      </c>
      <c r="BO172" s="12">
        <v>0</v>
      </c>
      <c r="BP172" s="12">
        <v>0</v>
      </c>
      <c r="BQ172" s="12">
        <v>0</v>
      </c>
      <c r="BR172" s="12">
        <v>2</v>
      </c>
      <c r="BS172" s="12">
        <v>0</v>
      </c>
      <c r="BT172" s="12">
        <v>0</v>
      </c>
      <c r="BU172" s="12">
        <v>0</v>
      </c>
      <c r="BV172" s="12">
        <v>0</v>
      </c>
      <c r="BW172" s="12">
        <v>0</v>
      </c>
      <c r="BX172" s="12">
        <v>0</v>
      </c>
      <c r="BY172" s="12">
        <v>0</v>
      </c>
      <c r="BZ172" s="12">
        <v>0</v>
      </c>
      <c r="CA172" s="12">
        <v>0</v>
      </c>
    </row>
    <row r="173" spans="1:79" hidden="1" x14ac:dyDescent="0.2">
      <c r="A173" s="12" t="s">
        <v>120</v>
      </c>
      <c r="B173" s="12" t="s">
        <v>124</v>
      </c>
      <c r="C173" s="12" t="s">
        <v>124</v>
      </c>
      <c r="D173" s="22" t="s">
        <v>435</v>
      </c>
      <c r="E173" s="22" t="s">
        <v>173</v>
      </c>
      <c r="F173" s="22" t="s">
        <v>1239</v>
      </c>
      <c r="G173" s="22" t="s">
        <v>864</v>
      </c>
      <c r="H173" s="22" t="s">
        <v>150</v>
      </c>
      <c r="I173" s="22" t="s">
        <v>151</v>
      </c>
      <c r="J173" s="22" t="s">
        <v>162</v>
      </c>
      <c r="K173" s="22" t="s">
        <v>83</v>
      </c>
      <c r="L173" s="54" t="s">
        <v>153</v>
      </c>
      <c r="M173" s="23" t="s">
        <v>389</v>
      </c>
      <c r="N173" s="24" t="s">
        <v>153</v>
      </c>
      <c r="O173" s="23" t="s">
        <v>419</v>
      </c>
      <c r="P173" s="23" t="s">
        <v>419</v>
      </c>
      <c r="Q173" s="23" t="s">
        <v>419</v>
      </c>
      <c r="R173" s="23" t="s">
        <v>419</v>
      </c>
      <c r="S173" s="23" t="s">
        <v>419</v>
      </c>
      <c r="T173" s="23" t="s">
        <v>419</v>
      </c>
      <c r="U173" s="24" t="s">
        <v>153</v>
      </c>
      <c r="V173" s="54" t="s">
        <v>153</v>
      </c>
      <c r="W173" s="23" t="s">
        <v>389</v>
      </c>
      <c r="X173" s="23" t="s">
        <v>389</v>
      </c>
      <c r="Y173" s="23" t="s">
        <v>389</v>
      </c>
      <c r="Z173" s="23" t="s">
        <v>389</v>
      </c>
      <c r="AA173" s="23" t="s">
        <v>389</v>
      </c>
      <c r="AB173" s="24" t="s">
        <v>153</v>
      </c>
      <c r="AC173" s="23" t="s">
        <v>389</v>
      </c>
      <c r="AD173" s="23" t="s">
        <v>389</v>
      </c>
      <c r="AE173" s="24" t="s">
        <v>156</v>
      </c>
      <c r="AF173" s="24" t="s">
        <v>156</v>
      </c>
      <c r="AG173" s="23" t="s">
        <v>389</v>
      </c>
      <c r="AH173" s="23" t="s">
        <v>389</v>
      </c>
      <c r="AI173" s="24" t="s">
        <v>153</v>
      </c>
      <c r="AJ173" s="23" t="s">
        <v>389</v>
      </c>
      <c r="AK173" s="23" t="s">
        <v>389</v>
      </c>
      <c r="AL173" s="23" t="s">
        <v>389</v>
      </c>
      <c r="AM173" s="23" t="s">
        <v>389</v>
      </c>
      <c r="AN173" s="23" t="s">
        <v>389</v>
      </c>
      <c r="AO173" s="23" t="s">
        <v>389</v>
      </c>
      <c r="AP173" s="23">
        <f>VALUE(0)</f>
        <v>0</v>
      </c>
      <c r="AQ173" s="23">
        <f>VALUE(0)</f>
        <v>0</v>
      </c>
      <c r="AR173" s="23">
        <f>VALUE(0)</f>
        <v>0</v>
      </c>
      <c r="AS173" s="23">
        <f>VALUE(0)</f>
        <v>0</v>
      </c>
      <c r="AT173" s="23">
        <f>VALUE(0)</f>
        <v>0</v>
      </c>
      <c r="AU173" s="23">
        <f>VALUE(0)</f>
        <v>0</v>
      </c>
      <c r="AV173" s="23">
        <f>VALUE(1)</f>
        <v>1</v>
      </c>
      <c r="AW173" s="23">
        <f>VALUE(0)</f>
        <v>0</v>
      </c>
      <c r="AX173" s="23">
        <f>VALUE(0)</f>
        <v>0</v>
      </c>
      <c r="AY173" s="23">
        <f>VALUE(0)</f>
        <v>0</v>
      </c>
      <c r="AZ173" s="23">
        <f>VALUE(0)</f>
        <v>0</v>
      </c>
      <c r="BA173" s="23">
        <f>VALUE(0)</f>
        <v>0</v>
      </c>
      <c r="BB173" s="23">
        <f>VALUE(0)</f>
        <v>0</v>
      </c>
      <c r="BC173" s="23">
        <f>VALUE(0)</f>
        <v>0</v>
      </c>
      <c r="BD173" s="23">
        <f>VALUE(0)</f>
        <v>0</v>
      </c>
      <c r="BE173" s="23">
        <f>VALUE(0)</f>
        <v>0</v>
      </c>
      <c r="BF173" s="23">
        <f>VALUE(0)</f>
        <v>0</v>
      </c>
      <c r="BG173" s="23">
        <f>VALUE(0)</f>
        <v>0</v>
      </c>
      <c r="BH173" s="23">
        <f>VALUE(0)</f>
        <v>0</v>
      </c>
      <c r="BI173" s="23">
        <f>VALUE(0)</f>
        <v>0</v>
      </c>
      <c r="BJ173" s="23">
        <f>VALUE(0)</f>
        <v>0</v>
      </c>
      <c r="BK173" s="12">
        <f>$AX$173*24</f>
        <v>0</v>
      </c>
      <c r="BL173" s="12">
        <f>$AY$173*24</f>
        <v>0</v>
      </c>
      <c r="BM173" s="12">
        <f>$BJ$173*24</f>
        <v>0</v>
      </c>
      <c r="BN173" s="12">
        <f>VALUE($I$173)/100</f>
        <v>1</v>
      </c>
      <c r="BO173" s="12">
        <v>0</v>
      </c>
      <c r="BP173" s="12">
        <v>0</v>
      </c>
      <c r="BQ173" s="12">
        <v>0</v>
      </c>
      <c r="BR173" s="12">
        <v>0</v>
      </c>
      <c r="BS173" s="12">
        <v>0</v>
      </c>
      <c r="BT173" s="12">
        <v>0</v>
      </c>
      <c r="BU173" s="12">
        <v>0</v>
      </c>
      <c r="BV173" s="12">
        <v>0</v>
      </c>
      <c r="BW173" s="12">
        <v>0</v>
      </c>
      <c r="BX173" s="12">
        <v>0</v>
      </c>
      <c r="BY173" s="12">
        <v>0</v>
      </c>
      <c r="BZ173" s="12">
        <v>0</v>
      </c>
      <c r="CA173" s="12">
        <v>0</v>
      </c>
    </row>
    <row r="174" spans="1:79" hidden="1" x14ac:dyDescent="0.2">
      <c r="A174" s="12" t="s">
        <v>120</v>
      </c>
      <c r="B174" s="12" t="s">
        <v>124</v>
      </c>
      <c r="C174" s="12" t="s">
        <v>124</v>
      </c>
      <c r="D174" s="22" t="s">
        <v>1240</v>
      </c>
      <c r="E174" s="22" t="s">
        <v>173</v>
      </c>
      <c r="F174" s="22" t="s">
        <v>865</v>
      </c>
      <c r="G174" s="22" t="s">
        <v>866</v>
      </c>
      <c r="H174" s="22" t="s">
        <v>150</v>
      </c>
      <c r="I174" s="22" t="s">
        <v>415</v>
      </c>
      <c r="J174" s="22" t="s">
        <v>162</v>
      </c>
      <c r="K174" s="22" t="s">
        <v>83</v>
      </c>
      <c r="L174" s="54" t="s">
        <v>153</v>
      </c>
      <c r="M174" s="28" t="s">
        <v>163</v>
      </c>
      <c r="N174" s="24" t="s">
        <v>153</v>
      </c>
      <c r="O174" s="23" t="s">
        <v>153</v>
      </c>
      <c r="P174" s="23" t="s">
        <v>153</v>
      </c>
      <c r="Q174" s="23" t="s">
        <v>153</v>
      </c>
      <c r="R174" s="23" t="s">
        <v>153</v>
      </c>
      <c r="S174" s="23" t="s">
        <v>153</v>
      </c>
      <c r="T174" s="23" t="s">
        <v>153</v>
      </c>
      <c r="U174" s="24" t="s">
        <v>153</v>
      </c>
      <c r="V174" s="54" t="s">
        <v>153</v>
      </c>
      <c r="W174" s="25" t="s">
        <v>393</v>
      </c>
      <c r="X174" s="25" t="s">
        <v>393</v>
      </c>
      <c r="Y174" s="25" t="s">
        <v>393</v>
      </c>
      <c r="Z174" s="25" t="s">
        <v>393</v>
      </c>
      <c r="AA174" s="25" t="s">
        <v>393</v>
      </c>
      <c r="AB174" s="24" t="s">
        <v>153</v>
      </c>
      <c r="AC174" s="25" t="s">
        <v>393</v>
      </c>
      <c r="AD174" s="25" t="s">
        <v>393</v>
      </c>
      <c r="AE174" s="25" t="s">
        <v>393</v>
      </c>
      <c r="AF174" s="25" t="s">
        <v>393</v>
      </c>
      <c r="AG174" s="25" t="s">
        <v>393</v>
      </c>
      <c r="AH174" s="25" t="s">
        <v>393</v>
      </c>
      <c r="AI174" s="24" t="s">
        <v>153</v>
      </c>
      <c r="AJ174" s="25" t="s">
        <v>393</v>
      </c>
      <c r="AK174" s="25" t="s">
        <v>393</v>
      </c>
      <c r="AL174" s="25" t="s">
        <v>393</v>
      </c>
      <c r="AM174" s="25" t="s">
        <v>393</v>
      </c>
      <c r="AN174" s="25" t="s">
        <v>393</v>
      </c>
      <c r="AO174" s="25" t="s">
        <v>393</v>
      </c>
      <c r="AP174" s="23">
        <f>VALUE(0)</f>
        <v>0</v>
      </c>
      <c r="AQ174" s="23">
        <f>VALUE(0)</f>
        <v>0</v>
      </c>
      <c r="AR174" s="23">
        <f>VALUE(0)</f>
        <v>0</v>
      </c>
      <c r="AS174" s="23">
        <f>VALUE(0)</f>
        <v>0</v>
      </c>
      <c r="AT174" s="23">
        <f>VALUE(0)</f>
        <v>0</v>
      </c>
      <c r="AU174" s="23">
        <f>VALUE(1)</f>
        <v>1</v>
      </c>
      <c r="AV174" s="23">
        <f>VALUE(0)</f>
        <v>0</v>
      </c>
      <c r="AW174" s="23">
        <f>VALUE(0)</f>
        <v>0</v>
      </c>
      <c r="AX174" s="23">
        <f>VALUE(0)</f>
        <v>0</v>
      </c>
      <c r="AY174" s="23" t="s">
        <v>436</v>
      </c>
      <c r="AZ174" s="23">
        <f>VALUE(0)</f>
        <v>0</v>
      </c>
      <c r="BA174" s="23">
        <f>VALUE(0)</f>
        <v>0</v>
      </c>
      <c r="BB174" s="23">
        <f>VALUE(0)</f>
        <v>0</v>
      </c>
      <c r="BC174" s="23">
        <f>VALUE(0)</f>
        <v>0</v>
      </c>
      <c r="BD174" s="23">
        <f>VALUE(0)</f>
        <v>0</v>
      </c>
      <c r="BE174" s="23">
        <f>VALUE(0)</f>
        <v>0</v>
      </c>
      <c r="BF174" s="23">
        <f>VALUE(0)</f>
        <v>0</v>
      </c>
      <c r="BG174" s="23">
        <f>VALUE(0)</f>
        <v>0</v>
      </c>
      <c r="BH174" s="23">
        <f>VALUE(0)</f>
        <v>0</v>
      </c>
      <c r="BI174" s="23">
        <f>VALUE(0)</f>
        <v>0</v>
      </c>
      <c r="BJ174" s="23">
        <f>VALUE(0)</f>
        <v>0</v>
      </c>
      <c r="BK174" s="12">
        <f>$AX$174*24</f>
        <v>0</v>
      </c>
      <c r="BL174" s="12">
        <f>$AY$174*24</f>
        <v>12.533333333333335</v>
      </c>
      <c r="BM174" s="12">
        <f>$BJ$174*24</f>
        <v>0</v>
      </c>
      <c r="BN174" s="12">
        <f>VALUE($I$174)/100</f>
        <v>0.5</v>
      </c>
      <c r="BO174" s="12">
        <v>0</v>
      </c>
      <c r="BP174" s="12">
        <v>0</v>
      </c>
      <c r="BQ174" s="12">
        <v>0</v>
      </c>
      <c r="BR174" s="12">
        <v>0</v>
      </c>
      <c r="BS174" s="12">
        <v>0</v>
      </c>
      <c r="BT174" s="12">
        <v>0</v>
      </c>
      <c r="BU174" s="12">
        <v>0</v>
      </c>
      <c r="BV174" s="12">
        <v>0</v>
      </c>
      <c r="BW174" s="12">
        <v>0</v>
      </c>
      <c r="BX174" s="12">
        <v>0</v>
      </c>
      <c r="BY174" s="12">
        <v>0</v>
      </c>
      <c r="BZ174" s="12">
        <v>0</v>
      </c>
      <c r="CA174" s="12">
        <v>0</v>
      </c>
    </row>
    <row r="175" spans="1:79" hidden="1" x14ac:dyDescent="0.2">
      <c r="A175" s="12" t="s">
        <v>120</v>
      </c>
      <c r="B175" s="12" t="s">
        <v>124</v>
      </c>
      <c r="C175" s="12" t="s">
        <v>124</v>
      </c>
      <c r="D175" s="22" t="s">
        <v>393</v>
      </c>
      <c r="E175" s="22" t="s">
        <v>173</v>
      </c>
      <c r="F175" s="22" t="s">
        <v>867</v>
      </c>
      <c r="G175" s="22" t="s">
        <v>868</v>
      </c>
      <c r="H175" s="22" t="s">
        <v>190</v>
      </c>
      <c r="I175" s="22" t="s">
        <v>151</v>
      </c>
      <c r="J175" s="22" t="s">
        <v>162</v>
      </c>
      <c r="K175" s="22" t="s">
        <v>83</v>
      </c>
      <c r="L175" s="54" t="s">
        <v>153</v>
      </c>
      <c r="M175" s="23" t="s">
        <v>153</v>
      </c>
      <c r="N175" s="24" t="s">
        <v>153</v>
      </c>
      <c r="O175" s="23" t="s">
        <v>153</v>
      </c>
      <c r="P175" s="23" t="s">
        <v>153</v>
      </c>
      <c r="Q175" s="23" t="s">
        <v>153</v>
      </c>
      <c r="R175" s="23" t="s">
        <v>153</v>
      </c>
      <c r="S175" s="23" t="s">
        <v>153</v>
      </c>
      <c r="T175" s="23" t="s">
        <v>153</v>
      </c>
      <c r="U175" s="24" t="s">
        <v>153</v>
      </c>
      <c r="V175" s="54" t="s">
        <v>153</v>
      </c>
      <c r="W175" s="23" t="s">
        <v>153</v>
      </c>
      <c r="X175" s="23" t="s">
        <v>153</v>
      </c>
      <c r="Y175" s="23" t="s">
        <v>153</v>
      </c>
      <c r="Z175" s="23" t="s">
        <v>153</v>
      </c>
      <c r="AA175" s="23" t="s">
        <v>153</v>
      </c>
      <c r="AB175" s="40" t="s">
        <v>153</v>
      </c>
      <c r="AC175" s="40" t="s">
        <v>153</v>
      </c>
      <c r="AD175" s="40" t="s">
        <v>153</v>
      </c>
      <c r="AE175" s="40" t="s">
        <v>153</v>
      </c>
      <c r="AF175" s="40" t="s">
        <v>153</v>
      </c>
      <c r="AG175" s="40" t="s">
        <v>153</v>
      </c>
      <c r="AH175" s="40" t="s">
        <v>153</v>
      </c>
      <c r="AI175" s="40" t="s">
        <v>153</v>
      </c>
      <c r="AJ175" s="40" t="s">
        <v>153</v>
      </c>
      <c r="AK175" s="40" t="s">
        <v>153</v>
      </c>
      <c r="AL175" s="40" t="s">
        <v>153</v>
      </c>
      <c r="AM175" s="40" t="s">
        <v>153</v>
      </c>
      <c r="AN175" s="40" t="s">
        <v>153</v>
      </c>
      <c r="AO175" s="40" t="s">
        <v>153</v>
      </c>
      <c r="AP175" s="23">
        <f>VALUE(0)</f>
        <v>0</v>
      </c>
      <c r="AQ175" s="23">
        <f>VALUE(0)</f>
        <v>0</v>
      </c>
      <c r="AR175" s="23">
        <f>VALUE(0)</f>
        <v>0</v>
      </c>
      <c r="AS175" s="23">
        <f>VALUE(0)</f>
        <v>0</v>
      </c>
      <c r="AT175" s="23">
        <f>VALUE(0)</f>
        <v>0</v>
      </c>
      <c r="AU175" s="23">
        <f>VALUE(0)</f>
        <v>0</v>
      </c>
      <c r="AV175" s="23">
        <f>VALUE(3)</f>
        <v>3</v>
      </c>
      <c r="AW175" s="23">
        <f>VALUE(0)</f>
        <v>0</v>
      </c>
      <c r="AX175" s="23">
        <f>VALUE(0)</f>
        <v>0</v>
      </c>
      <c r="AY175" s="23">
        <f>VALUE(0)</f>
        <v>0</v>
      </c>
      <c r="AZ175" s="23">
        <f>VALUE(0)</f>
        <v>0</v>
      </c>
      <c r="BA175" s="23">
        <f>VALUE(0)</f>
        <v>0</v>
      </c>
      <c r="BB175" s="23">
        <f>VALUE(0)</f>
        <v>0</v>
      </c>
      <c r="BC175" s="23">
        <f>VALUE(0)</f>
        <v>0</v>
      </c>
      <c r="BD175" s="23">
        <f>VALUE(0)</f>
        <v>0</v>
      </c>
      <c r="BE175" s="23">
        <f>VALUE(0)</f>
        <v>0</v>
      </c>
      <c r="BF175" s="23">
        <f>VALUE(0)</f>
        <v>0</v>
      </c>
      <c r="BG175" s="23">
        <f>VALUE(0)</f>
        <v>0</v>
      </c>
      <c r="BH175" s="23">
        <f>VALUE(0)</f>
        <v>0</v>
      </c>
      <c r="BI175" s="23">
        <f>VALUE(0)</f>
        <v>0</v>
      </c>
      <c r="BJ175" s="23">
        <f>VALUE(0)</f>
        <v>0</v>
      </c>
      <c r="BK175" s="12">
        <f>$AX$175*24</f>
        <v>0</v>
      </c>
      <c r="BL175" s="12">
        <f>$AY$175*24</f>
        <v>0</v>
      </c>
      <c r="BM175" s="12">
        <f>$BJ$175*24</f>
        <v>0</v>
      </c>
      <c r="BN175" s="12">
        <f>VALUE($I$175)/100</f>
        <v>1</v>
      </c>
      <c r="BO175" s="12">
        <v>0</v>
      </c>
      <c r="BP175" s="12">
        <v>0</v>
      </c>
      <c r="BQ175" s="12">
        <v>0</v>
      </c>
      <c r="BR175" s="12">
        <v>0</v>
      </c>
      <c r="BS175" s="12">
        <v>0</v>
      </c>
      <c r="BT175" s="12">
        <v>0</v>
      </c>
      <c r="BU175" s="12">
        <v>0</v>
      </c>
      <c r="BV175" s="12">
        <v>0</v>
      </c>
      <c r="BW175" s="12">
        <v>0</v>
      </c>
      <c r="BX175" s="12">
        <v>0</v>
      </c>
      <c r="BY175" s="12">
        <v>0</v>
      </c>
      <c r="BZ175" s="12">
        <v>0</v>
      </c>
      <c r="CA175" s="12">
        <v>0</v>
      </c>
    </row>
    <row r="176" spans="1:79" ht="15" hidden="1" x14ac:dyDescent="0.25">
      <c r="A176" s="12" t="s">
        <v>120</v>
      </c>
      <c r="B176" s="12" t="s">
        <v>124</v>
      </c>
      <c r="C176" s="12" t="s">
        <v>124</v>
      </c>
      <c r="D176" s="31" t="s">
        <v>581</v>
      </c>
      <c r="E176" s="31" t="s">
        <v>153</v>
      </c>
      <c r="F176" s="31" t="s">
        <v>175</v>
      </c>
      <c r="G176" s="31" t="s">
        <v>153</v>
      </c>
      <c r="H176" s="31" t="s">
        <v>153</v>
      </c>
      <c r="I176" s="31" t="s">
        <v>153</v>
      </c>
      <c r="J176" s="31" t="s">
        <v>153</v>
      </c>
      <c r="K176" s="31" t="s">
        <v>153</v>
      </c>
      <c r="L176" s="31">
        <f>VALUE(0)</f>
        <v>0</v>
      </c>
      <c r="M176" s="31">
        <f>VALUE(16)</f>
        <v>16</v>
      </c>
      <c r="N176" s="31">
        <f>VALUE(0)</f>
        <v>0</v>
      </c>
      <c r="O176" s="31">
        <f>VALUE(17)</f>
        <v>17</v>
      </c>
      <c r="P176" s="31">
        <f>VALUE(19)</f>
        <v>19</v>
      </c>
      <c r="Q176" s="31">
        <f>VALUE(20)</f>
        <v>20</v>
      </c>
      <c r="R176" s="31">
        <f>VALUE(21)</f>
        <v>21</v>
      </c>
      <c r="S176" s="31">
        <f>VALUE(20)</f>
        <v>20</v>
      </c>
      <c r="T176" s="31">
        <f>VALUE(20)</f>
        <v>20</v>
      </c>
      <c r="U176" s="31">
        <f>VALUE(0)</f>
        <v>0</v>
      </c>
      <c r="V176" s="31">
        <f>VALUE(0)</f>
        <v>0</v>
      </c>
      <c r="W176" s="31">
        <f>VALUE(18)</f>
        <v>18</v>
      </c>
      <c r="X176" s="31">
        <f>VALUE(19)</f>
        <v>19</v>
      </c>
      <c r="Y176" s="31">
        <f>VALUE(19)</f>
        <v>19</v>
      </c>
      <c r="Z176" s="31">
        <f>VALUE(17)</f>
        <v>17</v>
      </c>
      <c r="AA176" s="31">
        <f>VALUE(17)</f>
        <v>17</v>
      </c>
      <c r="AB176" s="31">
        <f>VALUE(0)</f>
        <v>0</v>
      </c>
      <c r="AC176" s="31">
        <f>VALUE(18)</f>
        <v>18</v>
      </c>
      <c r="AD176" s="31">
        <f>VALUE(18)</f>
        <v>18</v>
      </c>
      <c r="AE176" s="31">
        <f>VALUE(18)</f>
        <v>18</v>
      </c>
      <c r="AF176" s="31">
        <f>VALUE(18)</f>
        <v>18</v>
      </c>
      <c r="AG176" s="31">
        <f>VALUE(17)</f>
        <v>17</v>
      </c>
      <c r="AH176" s="31">
        <f>VALUE(17)</f>
        <v>17</v>
      </c>
      <c r="AI176" s="31">
        <f>VALUE(0)</f>
        <v>0</v>
      </c>
      <c r="AJ176" s="31">
        <f>VALUE(18)</f>
        <v>18</v>
      </c>
      <c r="AK176" s="31">
        <f>VALUE(18)</f>
        <v>18</v>
      </c>
      <c r="AL176" s="31">
        <f>VALUE(17)</f>
        <v>17</v>
      </c>
      <c r="AM176" s="31">
        <f>VALUE(17)</f>
        <v>17</v>
      </c>
      <c r="AN176" s="31">
        <f>VALUE(17)</f>
        <v>17</v>
      </c>
      <c r="AO176" s="31">
        <f>VALUE(17)</f>
        <v>17</v>
      </c>
      <c r="AP176" s="31">
        <v>0</v>
      </c>
      <c r="AQ176" s="31">
        <v>0</v>
      </c>
      <c r="AR176" s="31">
        <v>0</v>
      </c>
      <c r="AS176" s="31">
        <v>0</v>
      </c>
      <c r="AT176" s="31">
        <v>0</v>
      </c>
      <c r="AU176" s="31">
        <v>0</v>
      </c>
      <c r="AV176" s="31">
        <v>0</v>
      </c>
      <c r="AW176" s="31">
        <v>0</v>
      </c>
      <c r="AX176" s="31">
        <v>0</v>
      </c>
      <c r="AY176" s="31">
        <v>0</v>
      </c>
      <c r="AZ176" s="31">
        <v>0</v>
      </c>
      <c r="BA176" s="31">
        <v>0</v>
      </c>
      <c r="BB176" s="31">
        <v>0</v>
      </c>
      <c r="BC176" s="31">
        <v>0</v>
      </c>
      <c r="BD176" s="31">
        <v>0</v>
      </c>
      <c r="BE176" s="31">
        <v>0</v>
      </c>
      <c r="BF176" s="31">
        <v>0</v>
      </c>
      <c r="BG176" s="31">
        <v>0</v>
      </c>
      <c r="BH176" s="31">
        <v>0</v>
      </c>
      <c r="BI176" s="31">
        <v>0</v>
      </c>
      <c r="BJ176" s="31">
        <v>0</v>
      </c>
      <c r="BK176" s="12">
        <v>0</v>
      </c>
      <c r="BL176" s="12">
        <v>0</v>
      </c>
      <c r="BM176" s="12">
        <v>0</v>
      </c>
      <c r="BN176" s="12"/>
      <c r="BO176" s="12">
        <v>0</v>
      </c>
      <c r="BP176" s="12">
        <v>0</v>
      </c>
      <c r="BQ176" s="12">
        <v>0</v>
      </c>
      <c r="BR176" s="12">
        <v>0</v>
      </c>
      <c r="BS176" s="12">
        <v>0</v>
      </c>
      <c r="BT176" s="12">
        <v>0</v>
      </c>
      <c r="BU176" s="12">
        <v>0</v>
      </c>
      <c r="BV176" s="12">
        <v>0</v>
      </c>
      <c r="BW176" s="12">
        <v>0</v>
      </c>
      <c r="BX176" s="12">
        <v>0</v>
      </c>
      <c r="BY176" s="12">
        <v>0</v>
      </c>
      <c r="BZ176" s="12">
        <v>0</v>
      </c>
      <c r="CA176" s="12">
        <v>0</v>
      </c>
    </row>
    <row r="177" spans="1:79" hidden="1" x14ac:dyDescent="0.2">
      <c r="A177" s="12" t="s">
        <v>120</v>
      </c>
      <c r="B177" s="12" t="s">
        <v>125</v>
      </c>
      <c r="C177" s="12" t="s">
        <v>125</v>
      </c>
      <c r="D177" s="22" t="s">
        <v>437</v>
      </c>
      <c r="E177" s="22" t="s">
        <v>161</v>
      </c>
      <c r="F177" s="22" t="s">
        <v>869</v>
      </c>
      <c r="G177" s="22" t="s">
        <v>870</v>
      </c>
      <c r="H177" s="22" t="s">
        <v>190</v>
      </c>
      <c r="I177" s="22" t="s">
        <v>151</v>
      </c>
      <c r="J177" s="22" t="s">
        <v>162</v>
      </c>
      <c r="K177" s="22" t="s">
        <v>84</v>
      </c>
      <c r="L177" s="54" t="s">
        <v>153</v>
      </c>
      <c r="M177" s="23" t="s">
        <v>153</v>
      </c>
      <c r="N177" s="24" t="s">
        <v>153</v>
      </c>
      <c r="O177" s="23" t="s">
        <v>153</v>
      </c>
      <c r="P177" s="23" t="s">
        <v>153</v>
      </c>
      <c r="Q177" s="23" t="s">
        <v>153</v>
      </c>
      <c r="R177" s="23" t="s">
        <v>153</v>
      </c>
      <c r="S177" s="23" t="s">
        <v>153</v>
      </c>
      <c r="T177" s="23" t="s">
        <v>153</v>
      </c>
      <c r="U177" s="24" t="s">
        <v>153</v>
      </c>
      <c r="V177" s="54" t="s">
        <v>153</v>
      </c>
      <c r="W177" s="23" t="s">
        <v>153</v>
      </c>
      <c r="X177" s="23" t="s">
        <v>153</v>
      </c>
      <c r="Y177" s="23" t="s">
        <v>153</v>
      </c>
      <c r="Z177" s="23" t="s">
        <v>153</v>
      </c>
      <c r="AA177" s="23" t="s">
        <v>153</v>
      </c>
      <c r="AB177" s="24" t="s">
        <v>153</v>
      </c>
      <c r="AC177" s="23" t="s">
        <v>153</v>
      </c>
      <c r="AD177" s="23" t="s">
        <v>153</v>
      </c>
      <c r="AE177" s="23" t="s">
        <v>153</v>
      </c>
      <c r="AF177" s="23" t="s">
        <v>153</v>
      </c>
      <c r="AG177" s="23" t="s">
        <v>153</v>
      </c>
      <c r="AH177" s="23" t="s">
        <v>153</v>
      </c>
      <c r="AI177" s="24" t="s">
        <v>153</v>
      </c>
      <c r="AJ177" s="23" t="s">
        <v>153</v>
      </c>
      <c r="AK177" s="23" t="s">
        <v>153</v>
      </c>
      <c r="AL177" s="23" t="s">
        <v>153</v>
      </c>
      <c r="AM177" s="23" t="s">
        <v>153</v>
      </c>
      <c r="AN177" s="23" t="s">
        <v>153</v>
      </c>
      <c r="AO177" s="23" t="s">
        <v>153</v>
      </c>
      <c r="AP177" s="23">
        <f>VALUE(2)</f>
        <v>2</v>
      </c>
      <c r="AQ177" s="23">
        <f>VALUE(0)</f>
        <v>0</v>
      </c>
      <c r="AR177" s="23">
        <f>VALUE(0)</f>
        <v>0</v>
      </c>
      <c r="AS177" s="23">
        <f>VALUE(0)</f>
        <v>0</v>
      </c>
      <c r="AT177" s="23">
        <f>VALUE(0)</f>
        <v>0</v>
      </c>
      <c r="AU177" s="23">
        <f>VALUE(0)</f>
        <v>0</v>
      </c>
      <c r="AV177" s="23">
        <f>VALUE(7)</f>
        <v>7</v>
      </c>
      <c r="AW177" s="23">
        <f>VALUE(0)</f>
        <v>0</v>
      </c>
      <c r="AX177" s="23">
        <f>VALUE(0)</f>
        <v>0</v>
      </c>
      <c r="AY177" s="23">
        <f>VALUE(0)</f>
        <v>0</v>
      </c>
      <c r="AZ177" s="23">
        <f>VALUE(0)</f>
        <v>0</v>
      </c>
      <c r="BA177" s="23">
        <f>VALUE(0)</f>
        <v>0</v>
      </c>
      <c r="BB177" s="23">
        <f>VALUE(0)</f>
        <v>0</v>
      </c>
      <c r="BC177" s="23">
        <f>VALUE(0)</f>
        <v>0</v>
      </c>
      <c r="BD177" s="23">
        <f>VALUE(0)</f>
        <v>0</v>
      </c>
      <c r="BE177" s="23">
        <f>VALUE(0)</f>
        <v>0</v>
      </c>
      <c r="BF177" s="23">
        <f>VALUE(0)</f>
        <v>0</v>
      </c>
      <c r="BG177" s="23">
        <f>VALUE(0)</f>
        <v>0</v>
      </c>
      <c r="BH177" s="23">
        <f>VALUE(0)</f>
        <v>0</v>
      </c>
      <c r="BI177" s="23">
        <f>VALUE(0)</f>
        <v>0</v>
      </c>
      <c r="BJ177" s="23">
        <f>VALUE(0)</f>
        <v>0</v>
      </c>
      <c r="BK177" s="12">
        <f>$AX$177*24</f>
        <v>0</v>
      </c>
      <c r="BL177" s="12">
        <f>$AY$177*24</f>
        <v>0</v>
      </c>
      <c r="BM177" s="12">
        <f>$BJ$177*24</f>
        <v>0</v>
      </c>
      <c r="BN177" s="12">
        <f>VALUE($I$177)/100</f>
        <v>1</v>
      </c>
      <c r="BO177" s="12">
        <v>0</v>
      </c>
      <c r="BP177" s="12">
        <v>0</v>
      </c>
      <c r="BQ177" s="12">
        <v>0</v>
      </c>
      <c r="BR177" s="12">
        <v>0</v>
      </c>
      <c r="BS177" s="12">
        <v>0</v>
      </c>
      <c r="BT177" s="12">
        <v>0</v>
      </c>
      <c r="BU177" s="12">
        <v>0</v>
      </c>
      <c r="BV177" s="12">
        <v>0</v>
      </c>
      <c r="BW177" s="12">
        <v>0</v>
      </c>
      <c r="BX177" s="12">
        <v>0</v>
      </c>
      <c r="BY177" s="12">
        <v>0</v>
      </c>
      <c r="BZ177" s="12">
        <v>0</v>
      </c>
      <c r="CA177" s="12">
        <v>0</v>
      </c>
    </row>
    <row r="178" spans="1:79" hidden="1" x14ac:dyDescent="0.2">
      <c r="A178" s="12" t="s">
        <v>120</v>
      </c>
      <c r="B178" s="12" t="s">
        <v>125</v>
      </c>
      <c r="C178" s="12" t="s">
        <v>125</v>
      </c>
      <c r="D178" s="22" t="s">
        <v>438</v>
      </c>
      <c r="E178" s="22" t="s">
        <v>161</v>
      </c>
      <c r="F178" s="22" t="s">
        <v>871</v>
      </c>
      <c r="G178" s="22" t="s">
        <v>872</v>
      </c>
      <c r="H178" s="22" t="s">
        <v>150</v>
      </c>
      <c r="I178" s="22" t="s">
        <v>151</v>
      </c>
      <c r="J178" s="22" t="s">
        <v>162</v>
      </c>
      <c r="K178" s="22" t="s">
        <v>84</v>
      </c>
      <c r="L178" s="54" t="s">
        <v>153</v>
      </c>
      <c r="M178" s="23" t="s">
        <v>153</v>
      </c>
      <c r="N178" s="24" t="s">
        <v>153</v>
      </c>
      <c r="O178" s="23" t="s">
        <v>153</v>
      </c>
      <c r="P178" s="23" t="s">
        <v>153</v>
      </c>
      <c r="Q178" s="23" t="s">
        <v>153</v>
      </c>
      <c r="R178" s="23" t="s">
        <v>153</v>
      </c>
      <c r="S178" s="23" t="s">
        <v>153</v>
      </c>
      <c r="T178" s="23" t="s">
        <v>153</v>
      </c>
      <c r="U178" s="24" t="s">
        <v>153</v>
      </c>
      <c r="V178" s="54" t="s">
        <v>153</v>
      </c>
      <c r="W178" s="23" t="s">
        <v>153</v>
      </c>
      <c r="X178" s="23" t="s">
        <v>153</v>
      </c>
      <c r="Y178" s="23" t="s">
        <v>153</v>
      </c>
      <c r="Z178" s="23" t="s">
        <v>153</v>
      </c>
      <c r="AA178" s="23" t="s">
        <v>153</v>
      </c>
      <c r="AB178" s="24" t="s">
        <v>153</v>
      </c>
      <c r="AC178" s="29" t="s">
        <v>163</v>
      </c>
      <c r="AD178" s="29" t="s">
        <v>163</v>
      </c>
      <c r="AE178" s="24" t="s">
        <v>156</v>
      </c>
      <c r="AF178" s="24" t="s">
        <v>156</v>
      </c>
      <c r="AG178" s="28" t="s">
        <v>163</v>
      </c>
      <c r="AH178" s="28" t="s">
        <v>163</v>
      </c>
      <c r="AI178" s="24" t="s">
        <v>153</v>
      </c>
      <c r="AJ178" s="28" t="s">
        <v>163</v>
      </c>
      <c r="AK178" s="28" t="s">
        <v>163</v>
      </c>
      <c r="AL178" s="28" t="s">
        <v>163</v>
      </c>
      <c r="AM178" s="28" t="s">
        <v>163</v>
      </c>
      <c r="AN178" s="28" t="s">
        <v>163</v>
      </c>
      <c r="AO178" s="28" t="s">
        <v>163</v>
      </c>
      <c r="AP178" s="23">
        <f>VALUE(7)</f>
        <v>7</v>
      </c>
      <c r="AQ178" s="23">
        <f>VALUE(0)</f>
        <v>0</v>
      </c>
      <c r="AR178" s="23">
        <f>VALUE(2)</f>
        <v>2</v>
      </c>
      <c r="AS178" s="23">
        <f>VALUE(0)</f>
        <v>0</v>
      </c>
      <c r="AT178" s="23">
        <f>VALUE(0)</f>
        <v>0</v>
      </c>
      <c r="AU178" s="23">
        <f>VALUE(8)</f>
        <v>8</v>
      </c>
      <c r="AV178" s="23">
        <f>VALUE(1)</f>
        <v>1</v>
      </c>
      <c r="AW178" s="23">
        <f>VALUE(0)</f>
        <v>0</v>
      </c>
      <c r="AX178" s="23" t="s">
        <v>176</v>
      </c>
      <c r="AY178" s="23" t="s">
        <v>439</v>
      </c>
      <c r="AZ178" s="23">
        <f>VALUE(0)</f>
        <v>0</v>
      </c>
      <c r="BA178" s="23">
        <f>VALUE(0)</f>
        <v>0</v>
      </c>
      <c r="BB178" s="23">
        <f>VALUE(0)</f>
        <v>0</v>
      </c>
      <c r="BC178" s="23">
        <f>VALUE(0)</f>
        <v>0</v>
      </c>
      <c r="BD178" s="23">
        <f>VALUE(0)</f>
        <v>0</v>
      </c>
      <c r="BE178" s="23">
        <f>VALUE(0)</f>
        <v>0</v>
      </c>
      <c r="BF178" s="23">
        <f>VALUE(0)</f>
        <v>0</v>
      </c>
      <c r="BG178" s="23">
        <f>VALUE(0)</f>
        <v>0</v>
      </c>
      <c r="BH178" s="23">
        <f>VALUE(0)</f>
        <v>0</v>
      </c>
      <c r="BI178" s="23">
        <f>VALUE(0)</f>
        <v>0</v>
      </c>
      <c r="BJ178" s="23">
        <f>VALUE(0)</f>
        <v>0</v>
      </c>
      <c r="BK178" s="12">
        <f>$AX$178*24</f>
        <v>0</v>
      </c>
      <c r="BL178" s="12">
        <f>$AY$178*24</f>
        <v>8.3333333333333329E-2</v>
      </c>
      <c r="BM178" s="12">
        <f>$BJ$178*24</f>
        <v>0</v>
      </c>
      <c r="BN178" s="12">
        <f>VALUE($I$178)/100</f>
        <v>1</v>
      </c>
      <c r="BO178" s="12">
        <v>0</v>
      </c>
      <c r="BP178" s="12">
        <v>0</v>
      </c>
      <c r="BQ178" s="12">
        <v>0</v>
      </c>
      <c r="BR178" s="12">
        <v>0</v>
      </c>
      <c r="BS178" s="12">
        <v>0</v>
      </c>
      <c r="BT178" s="12">
        <v>2</v>
      </c>
      <c r="BU178" s="12">
        <v>0</v>
      </c>
      <c r="BV178" s="12">
        <v>0</v>
      </c>
      <c r="BW178" s="12">
        <v>0</v>
      </c>
      <c r="BX178" s="12">
        <v>0</v>
      </c>
      <c r="BY178" s="12">
        <v>0</v>
      </c>
      <c r="BZ178" s="12">
        <v>0</v>
      </c>
      <c r="CA178" s="12">
        <v>0</v>
      </c>
    </row>
    <row r="179" spans="1:79" hidden="1" x14ac:dyDescent="0.2">
      <c r="A179" s="12" t="s">
        <v>120</v>
      </c>
      <c r="B179" s="12" t="s">
        <v>125</v>
      </c>
      <c r="C179" s="12" t="s">
        <v>125</v>
      </c>
      <c r="D179" s="22" t="s">
        <v>440</v>
      </c>
      <c r="E179" s="22" t="s">
        <v>161</v>
      </c>
      <c r="F179" s="22" t="s">
        <v>873</v>
      </c>
      <c r="G179" s="22" t="s">
        <v>874</v>
      </c>
      <c r="H179" s="22" t="s">
        <v>150</v>
      </c>
      <c r="I179" s="22" t="s">
        <v>151</v>
      </c>
      <c r="J179" s="22" t="s">
        <v>162</v>
      </c>
      <c r="K179" s="22" t="s">
        <v>84</v>
      </c>
      <c r="L179" s="54" t="s">
        <v>153</v>
      </c>
      <c r="M179" s="23" t="s">
        <v>153</v>
      </c>
      <c r="N179" s="24" t="s">
        <v>153</v>
      </c>
      <c r="O179" s="23" t="s">
        <v>153</v>
      </c>
      <c r="P179" s="23" t="s">
        <v>153</v>
      </c>
      <c r="Q179" s="23" t="s">
        <v>153</v>
      </c>
      <c r="R179" s="23" t="s">
        <v>153</v>
      </c>
      <c r="S179" s="23" t="s">
        <v>153</v>
      </c>
      <c r="T179" s="23" t="s">
        <v>153</v>
      </c>
      <c r="U179" s="24" t="s">
        <v>153</v>
      </c>
      <c r="V179" s="54" t="s">
        <v>153</v>
      </c>
      <c r="W179" s="23" t="s">
        <v>153</v>
      </c>
      <c r="X179" s="23" t="s">
        <v>153</v>
      </c>
      <c r="Y179" s="23" t="s">
        <v>153</v>
      </c>
      <c r="Z179" s="24" t="s">
        <v>156</v>
      </c>
      <c r="AA179" s="24" t="s">
        <v>156</v>
      </c>
      <c r="AB179" s="24" t="s">
        <v>153</v>
      </c>
      <c r="AC179" s="23" t="s">
        <v>153</v>
      </c>
      <c r="AD179" s="23" t="s">
        <v>153</v>
      </c>
      <c r="AE179" s="23" t="s">
        <v>153</v>
      </c>
      <c r="AF179" s="23" t="s">
        <v>153</v>
      </c>
      <c r="AG179" s="23" t="s">
        <v>153</v>
      </c>
      <c r="AH179" s="23" t="s">
        <v>153</v>
      </c>
      <c r="AI179" s="24" t="s">
        <v>153</v>
      </c>
      <c r="AJ179" s="23" t="s">
        <v>153</v>
      </c>
      <c r="AK179" s="23" t="s">
        <v>153</v>
      </c>
      <c r="AL179" s="23" t="s">
        <v>153</v>
      </c>
      <c r="AM179" s="23" t="s">
        <v>153</v>
      </c>
      <c r="AN179" s="23" t="s">
        <v>153</v>
      </c>
      <c r="AO179" s="23" t="s">
        <v>153</v>
      </c>
      <c r="AP179" s="23">
        <f>VALUE(18)</f>
        <v>18</v>
      </c>
      <c r="AQ179" s="23">
        <f>VALUE(0)</f>
        <v>0</v>
      </c>
      <c r="AR179" s="23">
        <f>VALUE(0)</f>
        <v>0</v>
      </c>
      <c r="AS179" s="23">
        <f>VALUE(0)</f>
        <v>0</v>
      </c>
      <c r="AT179" s="23">
        <f>VALUE(0)</f>
        <v>0</v>
      </c>
      <c r="AU179" s="23">
        <f>VALUE(0)</f>
        <v>0</v>
      </c>
      <c r="AV179" s="23">
        <f>VALUE(0)</f>
        <v>0</v>
      </c>
      <c r="AW179" s="23">
        <f>VALUE(0)</f>
        <v>0</v>
      </c>
      <c r="AX179" s="23" t="s">
        <v>158</v>
      </c>
      <c r="AY179" s="23" t="s">
        <v>441</v>
      </c>
      <c r="AZ179" s="23">
        <f>VALUE(0)</f>
        <v>0</v>
      </c>
      <c r="BA179" s="23">
        <f>VALUE(0)</f>
        <v>0</v>
      </c>
      <c r="BB179" s="23">
        <f>VALUE(0)</f>
        <v>0</v>
      </c>
      <c r="BC179" s="23">
        <f>VALUE(0)</f>
        <v>0</v>
      </c>
      <c r="BD179" s="23">
        <f>VALUE(0)</f>
        <v>0</v>
      </c>
      <c r="BE179" s="23">
        <f>VALUE(0)</f>
        <v>0</v>
      </c>
      <c r="BF179" s="23">
        <f>VALUE(0)</f>
        <v>0</v>
      </c>
      <c r="BG179" s="23">
        <f>VALUE(0)</f>
        <v>0</v>
      </c>
      <c r="BH179" s="23">
        <f>VALUE(0)</f>
        <v>0</v>
      </c>
      <c r="BI179" s="23">
        <f>VALUE(0)</f>
        <v>0</v>
      </c>
      <c r="BJ179" s="23">
        <f>VALUE(0)</f>
        <v>0</v>
      </c>
      <c r="BK179" s="12">
        <f>$AX$179*24</f>
        <v>11.666666666666666</v>
      </c>
      <c r="BL179" s="12">
        <f>$AY$179*24</f>
        <v>16.183333333333334</v>
      </c>
      <c r="BM179" s="12">
        <f>$BJ$179*24</f>
        <v>0</v>
      </c>
      <c r="BN179" s="12">
        <f>VALUE($I$179)/100</f>
        <v>1</v>
      </c>
      <c r="BO179" s="12">
        <v>0</v>
      </c>
      <c r="BP179" s="12">
        <v>0</v>
      </c>
      <c r="BQ179" s="12">
        <v>0</v>
      </c>
      <c r="BR179" s="12">
        <v>0</v>
      </c>
      <c r="BS179" s="12">
        <v>0</v>
      </c>
      <c r="BT179" s="12">
        <v>0</v>
      </c>
      <c r="BU179" s="12">
        <v>0</v>
      </c>
      <c r="BV179" s="12">
        <v>0</v>
      </c>
      <c r="BW179" s="12">
        <v>0</v>
      </c>
      <c r="BX179" s="12">
        <v>0</v>
      </c>
      <c r="BY179" s="12">
        <v>0</v>
      </c>
      <c r="BZ179" s="12">
        <v>0</v>
      </c>
      <c r="CA179" s="12">
        <v>0</v>
      </c>
    </row>
    <row r="180" spans="1:79" hidden="1" x14ac:dyDescent="0.2">
      <c r="A180" s="12" t="s">
        <v>120</v>
      </c>
      <c r="B180" s="12" t="s">
        <v>125</v>
      </c>
      <c r="C180" s="12" t="s">
        <v>125</v>
      </c>
      <c r="D180" s="22" t="s">
        <v>442</v>
      </c>
      <c r="E180" s="22" t="s">
        <v>161</v>
      </c>
      <c r="F180" s="22" t="s">
        <v>875</v>
      </c>
      <c r="G180" s="22" t="s">
        <v>876</v>
      </c>
      <c r="H180" s="22" t="s">
        <v>150</v>
      </c>
      <c r="I180" s="22" t="s">
        <v>151</v>
      </c>
      <c r="J180" s="22" t="s">
        <v>162</v>
      </c>
      <c r="K180" s="22" t="s">
        <v>84</v>
      </c>
      <c r="L180" s="54" t="s">
        <v>153</v>
      </c>
      <c r="M180" s="29" t="s">
        <v>163</v>
      </c>
      <c r="N180" s="24" t="s">
        <v>153</v>
      </c>
      <c r="O180" s="23" t="s">
        <v>153</v>
      </c>
      <c r="P180" s="23" t="s">
        <v>153</v>
      </c>
      <c r="Q180" s="23" t="s">
        <v>153</v>
      </c>
      <c r="R180" s="23" t="s">
        <v>153</v>
      </c>
      <c r="S180" s="24" t="s">
        <v>156</v>
      </c>
      <c r="T180" s="24" t="s">
        <v>156</v>
      </c>
      <c r="U180" s="24" t="s">
        <v>153</v>
      </c>
      <c r="V180" s="54" t="s">
        <v>153</v>
      </c>
      <c r="W180" s="23" t="s">
        <v>153</v>
      </c>
      <c r="X180" s="23" t="s">
        <v>153</v>
      </c>
      <c r="Y180" s="23" t="s">
        <v>153</v>
      </c>
      <c r="Z180" s="23" t="s">
        <v>153</v>
      </c>
      <c r="AA180" s="23" t="s">
        <v>153</v>
      </c>
      <c r="AB180" s="24" t="s">
        <v>153</v>
      </c>
      <c r="AC180" s="23" t="s">
        <v>153</v>
      </c>
      <c r="AD180" s="23" t="s">
        <v>153</v>
      </c>
      <c r="AE180" s="23" t="s">
        <v>153</v>
      </c>
      <c r="AF180" s="23" t="s">
        <v>153</v>
      </c>
      <c r="AG180" s="23" t="s">
        <v>153</v>
      </c>
      <c r="AH180" s="23" t="s">
        <v>153</v>
      </c>
      <c r="AI180" s="24" t="s">
        <v>153</v>
      </c>
      <c r="AJ180" s="23" t="s">
        <v>153</v>
      </c>
      <c r="AK180" s="23" t="s">
        <v>153</v>
      </c>
      <c r="AL180" s="23" t="s">
        <v>153</v>
      </c>
      <c r="AM180" s="23" t="s">
        <v>153</v>
      </c>
      <c r="AN180" s="23" t="s">
        <v>153</v>
      </c>
      <c r="AO180" s="23" t="s">
        <v>153</v>
      </c>
      <c r="AP180" s="23">
        <f>VALUE(16)</f>
        <v>16</v>
      </c>
      <c r="AQ180" s="23">
        <f>VALUE(0)</f>
        <v>0</v>
      </c>
      <c r="AR180" s="23">
        <f>VALUE(1)</f>
        <v>1</v>
      </c>
      <c r="AS180" s="23">
        <f>VALUE(0)</f>
        <v>0</v>
      </c>
      <c r="AT180" s="23">
        <f>VALUE(0)</f>
        <v>0</v>
      </c>
      <c r="AU180" s="23">
        <f>VALUE(0)</f>
        <v>0</v>
      </c>
      <c r="AV180" s="23">
        <f>VALUE(0)</f>
        <v>0</v>
      </c>
      <c r="AW180" s="23">
        <f>VALUE(0)</f>
        <v>0</v>
      </c>
      <c r="AX180" s="23" t="s">
        <v>176</v>
      </c>
      <c r="AY180" s="23" t="s">
        <v>443</v>
      </c>
      <c r="AZ180" s="23">
        <f>VALUE(0)</f>
        <v>0</v>
      </c>
      <c r="BA180" s="23">
        <f>VALUE(0)</f>
        <v>0</v>
      </c>
      <c r="BB180" s="23">
        <f>VALUE(0)</f>
        <v>0</v>
      </c>
      <c r="BC180" s="23">
        <f>VALUE(0)</f>
        <v>0</v>
      </c>
      <c r="BD180" s="23">
        <f>VALUE(0)</f>
        <v>0</v>
      </c>
      <c r="BE180" s="23">
        <f>VALUE(0)</f>
        <v>0</v>
      </c>
      <c r="BF180" s="23">
        <f>VALUE(0)</f>
        <v>0</v>
      </c>
      <c r="BG180" s="23">
        <f>VALUE(0)</f>
        <v>0</v>
      </c>
      <c r="BH180" s="23">
        <f>VALUE(0)</f>
        <v>0</v>
      </c>
      <c r="BI180" s="23">
        <f>VALUE(0)</f>
        <v>0</v>
      </c>
      <c r="BJ180" s="23">
        <f>VALUE(0)</f>
        <v>0</v>
      </c>
      <c r="BK180" s="12">
        <f>$AX$180*24</f>
        <v>0</v>
      </c>
      <c r="BL180" s="12">
        <f>$AY$180*24</f>
        <v>5.4333333333333336</v>
      </c>
      <c r="BM180" s="12">
        <f>$BJ$180*24</f>
        <v>0</v>
      </c>
      <c r="BN180" s="12">
        <f>VALUE($I$180)/100</f>
        <v>1</v>
      </c>
      <c r="BO180" s="12">
        <v>0</v>
      </c>
      <c r="BP180" s="12">
        <v>0</v>
      </c>
      <c r="BQ180" s="12">
        <v>0</v>
      </c>
      <c r="BR180" s="12">
        <v>0</v>
      </c>
      <c r="BS180" s="12">
        <v>0</v>
      </c>
      <c r="BT180" s="12">
        <v>1</v>
      </c>
      <c r="BU180" s="12">
        <v>0</v>
      </c>
      <c r="BV180" s="12">
        <v>0</v>
      </c>
      <c r="BW180" s="12">
        <v>0</v>
      </c>
      <c r="BX180" s="12">
        <v>0</v>
      </c>
      <c r="BY180" s="12">
        <v>0</v>
      </c>
      <c r="BZ180" s="12">
        <v>0</v>
      </c>
      <c r="CA180" s="12">
        <v>0</v>
      </c>
    </row>
    <row r="181" spans="1:79" hidden="1" x14ac:dyDescent="0.2">
      <c r="A181" s="12" t="s">
        <v>120</v>
      </c>
      <c r="B181" s="12" t="s">
        <v>125</v>
      </c>
      <c r="C181" s="12" t="s">
        <v>125</v>
      </c>
      <c r="D181" s="22" t="s">
        <v>444</v>
      </c>
      <c r="E181" s="22" t="s">
        <v>161</v>
      </c>
      <c r="F181" s="22" t="s">
        <v>877</v>
      </c>
      <c r="G181" s="22" t="s">
        <v>878</v>
      </c>
      <c r="H181" s="22" t="s">
        <v>150</v>
      </c>
      <c r="I181" s="22" t="s">
        <v>151</v>
      </c>
      <c r="J181" s="22" t="s">
        <v>162</v>
      </c>
      <c r="K181" s="22" t="s">
        <v>84</v>
      </c>
      <c r="L181" s="54" t="s">
        <v>156</v>
      </c>
      <c r="M181" s="24" t="s">
        <v>156</v>
      </c>
      <c r="N181" s="24" t="s">
        <v>153</v>
      </c>
      <c r="O181" s="28" t="s">
        <v>163</v>
      </c>
      <c r="P181" s="28" t="s">
        <v>163</v>
      </c>
      <c r="Q181" s="28" t="s">
        <v>163</v>
      </c>
      <c r="R181" s="29" t="s">
        <v>163</v>
      </c>
      <c r="S181" s="29" t="s">
        <v>163</v>
      </c>
      <c r="T181" s="29" t="s">
        <v>163</v>
      </c>
      <c r="U181" s="24" t="s">
        <v>153</v>
      </c>
      <c r="V181" s="54" t="s">
        <v>153</v>
      </c>
      <c r="W181" s="55" t="s">
        <v>1241</v>
      </c>
      <c r="X181" s="55" t="s">
        <v>1241</v>
      </c>
      <c r="Y181" s="55" t="s">
        <v>1241</v>
      </c>
      <c r="Z181" s="55" t="s">
        <v>1241</v>
      </c>
      <c r="AA181" s="55" t="s">
        <v>1241</v>
      </c>
      <c r="AB181" s="24" t="s">
        <v>153</v>
      </c>
      <c r="AC181" s="23" t="s">
        <v>153</v>
      </c>
      <c r="AD181" s="23" t="s">
        <v>153</v>
      </c>
      <c r="AE181" s="23" t="s">
        <v>153</v>
      </c>
      <c r="AF181" s="23" t="s">
        <v>153</v>
      </c>
      <c r="AG181" s="23" t="s">
        <v>153</v>
      </c>
      <c r="AH181" s="23" t="s">
        <v>153</v>
      </c>
      <c r="AI181" s="24" t="s">
        <v>153</v>
      </c>
      <c r="AJ181" s="24" t="s">
        <v>156</v>
      </c>
      <c r="AK181" s="24" t="s">
        <v>156</v>
      </c>
      <c r="AL181" s="23" t="s">
        <v>153</v>
      </c>
      <c r="AM181" s="23" t="s">
        <v>153</v>
      </c>
      <c r="AN181" s="23" t="s">
        <v>153</v>
      </c>
      <c r="AO181" s="23" t="s">
        <v>153</v>
      </c>
      <c r="AP181" s="23">
        <f>VALUE(14)</f>
        <v>14</v>
      </c>
      <c r="AQ181" s="23">
        <f>VALUE(0)</f>
        <v>0</v>
      </c>
      <c r="AR181" s="23">
        <f>VALUE(3)</f>
        <v>3</v>
      </c>
      <c r="AS181" s="23">
        <f>VALUE(0)</f>
        <v>0</v>
      </c>
      <c r="AT181" s="23">
        <f>VALUE(0)</f>
        <v>0</v>
      </c>
      <c r="AU181" s="23">
        <f>VALUE(3)</f>
        <v>3</v>
      </c>
      <c r="AV181" s="23">
        <f>VALUE(1)</f>
        <v>1</v>
      </c>
      <c r="AW181" s="23">
        <f>VALUE(0)</f>
        <v>0</v>
      </c>
      <c r="AX181" s="23" t="s">
        <v>158</v>
      </c>
      <c r="AY181" s="23" t="s">
        <v>446</v>
      </c>
      <c r="AZ181" s="23">
        <f>VALUE(0)</f>
        <v>0</v>
      </c>
      <c r="BA181" s="23">
        <f>VALUE(0)</f>
        <v>0</v>
      </c>
      <c r="BB181" s="23">
        <f>VALUE(0)</f>
        <v>0</v>
      </c>
      <c r="BC181" s="23">
        <f>VALUE(0)</f>
        <v>0</v>
      </c>
      <c r="BD181" s="23">
        <f>VALUE(0)</f>
        <v>0</v>
      </c>
      <c r="BE181" s="23">
        <f>VALUE(0)</f>
        <v>0</v>
      </c>
      <c r="BF181" s="23">
        <f>VALUE(0)</f>
        <v>0</v>
      </c>
      <c r="BG181" s="23">
        <f>VALUE(0)</f>
        <v>0</v>
      </c>
      <c r="BH181" s="23">
        <f>VALUE(0)</f>
        <v>0</v>
      </c>
      <c r="BI181" s="23">
        <f>VALUE(0)</f>
        <v>0</v>
      </c>
      <c r="BJ181" s="23">
        <f>VALUE(0)</f>
        <v>0</v>
      </c>
      <c r="BK181" s="12">
        <f>$AX$181*24</f>
        <v>11.666666666666666</v>
      </c>
      <c r="BL181" s="12">
        <f>$AY$181*24</f>
        <v>21.433333333333334</v>
      </c>
      <c r="BM181" s="12">
        <f>$BJ$181*24</f>
        <v>0</v>
      </c>
      <c r="BN181" s="12">
        <f>VALUE($I$181)/100</f>
        <v>1</v>
      </c>
      <c r="BO181" s="12">
        <v>0</v>
      </c>
      <c r="BP181" s="12">
        <v>5</v>
      </c>
      <c r="BQ181" s="12">
        <v>0</v>
      </c>
      <c r="BR181" s="12">
        <v>0</v>
      </c>
      <c r="BS181" s="12">
        <v>0</v>
      </c>
      <c r="BT181" s="12">
        <v>3</v>
      </c>
      <c r="BU181" s="12">
        <v>0</v>
      </c>
      <c r="BV181" s="12">
        <v>0</v>
      </c>
      <c r="BW181" s="12">
        <v>0</v>
      </c>
      <c r="BX181" s="12">
        <v>0</v>
      </c>
      <c r="BY181" s="12">
        <v>0</v>
      </c>
      <c r="BZ181" s="12">
        <v>0</v>
      </c>
      <c r="CA181" s="12">
        <v>0</v>
      </c>
    </row>
    <row r="182" spans="1:79" hidden="1" x14ac:dyDescent="0.2">
      <c r="A182" s="12" t="s">
        <v>120</v>
      </c>
      <c r="B182" s="12" t="s">
        <v>125</v>
      </c>
      <c r="C182" s="12" t="s">
        <v>125</v>
      </c>
      <c r="D182" s="22" t="s">
        <v>444</v>
      </c>
      <c r="E182" s="22" t="s">
        <v>161</v>
      </c>
      <c r="F182" s="22" t="s">
        <v>879</v>
      </c>
      <c r="G182" s="22" t="s">
        <v>880</v>
      </c>
      <c r="H182" s="22" t="s">
        <v>190</v>
      </c>
      <c r="I182" s="22" t="s">
        <v>151</v>
      </c>
      <c r="J182" s="22" t="s">
        <v>162</v>
      </c>
      <c r="K182" s="22" t="s">
        <v>84</v>
      </c>
      <c r="L182" s="54" t="s">
        <v>153</v>
      </c>
      <c r="M182" s="23" t="s">
        <v>153</v>
      </c>
      <c r="N182" s="24" t="s">
        <v>153</v>
      </c>
      <c r="O182" s="23" t="s">
        <v>153</v>
      </c>
      <c r="P182" s="23" t="s">
        <v>153</v>
      </c>
      <c r="Q182" s="23" t="s">
        <v>153</v>
      </c>
      <c r="R182" s="23" t="s">
        <v>153</v>
      </c>
      <c r="S182" s="23" t="s">
        <v>153</v>
      </c>
      <c r="T182" s="23" t="s">
        <v>153</v>
      </c>
      <c r="U182" s="24" t="s">
        <v>153</v>
      </c>
      <c r="V182" s="54" t="s">
        <v>153</v>
      </c>
      <c r="W182" s="23" t="s">
        <v>153</v>
      </c>
      <c r="X182" s="23" t="s">
        <v>153</v>
      </c>
      <c r="Y182" s="23" t="s">
        <v>153</v>
      </c>
      <c r="Z182" s="23" t="s">
        <v>153</v>
      </c>
      <c r="AA182" s="23" t="s">
        <v>153</v>
      </c>
      <c r="AB182" s="40" t="s">
        <v>153</v>
      </c>
      <c r="AC182" s="40" t="s">
        <v>153</v>
      </c>
      <c r="AD182" s="40" t="s">
        <v>153</v>
      </c>
      <c r="AE182" s="40" t="s">
        <v>153</v>
      </c>
      <c r="AF182" s="40" t="s">
        <v>153</v>
      </c>
      <c r="AG182" s="40" t="s">
        <v>153</v>
      </c>
      <c r="AH182" s="40" t="s">
        <v>153</v>
      </c>
      <c r="AI182" s="40" t="s">
        <v>153</v>
      </c>
      <c r="AJ182" s="40" t="s">
        <v>153</v>
      </c>
      <c r="AK182" s="40" t="s">
        <v>153</v>
      </c>
      <c r="AL182" s="40" t="s">
        <v>153</v>
      </c>
      <c r="AM182" s="40" t="s">
        <v>153</v>
      </c>
      <c r="AN182" s="40" t="s">
        <v>153</v>
      </c>
      <c r="AO182" s="40" t="s">
        <v>153</v>
      </c>
      <c r="AP182" s="23">
        <f>VALUE(2)</f>
        <v>2</v>
      </c>
      <c r="AQ182" s="23">
        <f>VALUE(0)</f>
        <v>0</v>
      </c>
      <c r="AR182" s="23">
        <f>VALUE(0)</f>
        <v>0</v>
      </c>
      <c r="AS182" s="23">
        <f>VALUE(0)</f>
        <v>0</v>
      </c>
      <c r="AT182" s="23">
        <f>VALUE(0)</f>
        <v>0</v>
      </c>
      <c r="AU182" s="23">
        <f>VALUE(0)</f>
        <v>0</v>
      </c>
      <c r="AV182" s="23">
        <f>VALUE(6)</f>
        <v>6</v>
      </c>
      <c r="AW182" s="23">
        <f>VALUE(0)</f>
        <v>0</v>
      </c>
      <c r="AX182" s="23">
        <f>VALUE(0)</f>
        <v>0</v>
      </c>
      <c r="AY182" s="23">
        <f>VALUE(0)</f>
        <v>0</v>
      </c>
      <c r="AZ182" s="23">
        <f>VALUE(0)</f>
        <v>0</v>
      </c>
      <c r="BA182" s="23">
        <f>VALUE(0)</f>
        <v>0</v>
      </c>
      <c r="BB182" s="23">
        <f>VALUE(0)</f>
        <v>0</v>
      </c>
      <c r="BC182" s="23">
        <f>VALUE(0)</f>
        <v>0</v>
      </c>
      <c r="BD182" s="23">
        <f>VALUE(0)</f>
        <v>0</v>
      </c>
      <c r="BE182" s="23">
        <f>VALUE(0)</f>
        <v>0</v>
      </c>
      <c r="BF182" s="23">
        <f>VALUE(0)</f>
        <v>0</v>
      </c>
      <c r="BG182" s="23">
        <f>VALUE(0)</f>
        <v>0</v>
      </c>
      <c r="BH182" s="23">
        <f>VALUE(0)</f>
        <v>0</v>
      </c>
      <c r="BI182" s="23">
        <f>VALUE(0)</f>
        <v>0</v>
      </c>
      <c r="BJ182" s="23">
        <f>VALUE(0)</f>
        <v>0</v>
      </c>
      <c r="BK182" s="12">
        <f>$AX$182*24</f>
        <v>0</v>
      </c>
      <c r="BL182" s="12">
        <f>$AY$182*24</f>
        <v>0</v>
      </c>
      <c r="BM182" s="12">
        <f>$BJ$182*24</f>
        <v>0</v>
      </c>
      <c r="BN182" s="12">
        <f>VALUE($I$182)/100</f>
        <v>1</v>
      </c>
      <c r="BO182" s="12">
        <v>0</v>
      </c>
      <c r="BP182" s="12">
        <v>0</v>
      </c>
      <c r="BQ182" s="12">
        <v>0</v>
      </c>
      <c r="BR182" s="12">
        <v>0</v>
      </c>
      <c r="BS182" s="12">
        <v>0</v>
      </c>
      <c r="BT182" s="12">
        <v>0</v>
      </c>
      <c r="BU182" s="12">
        <v>0</v>
      </c>
      <c r="BV182" s="12">
        <v>0</v>
      </c>
      <c r="BW182" s="12">
        <v>0</v>
      </c>
      <c r="BX182" s="12">
        <v>0</v>
      </c>
      <c r="BY182" s="12">
        <v>0</v>
      </c>
      <c r="BZ182" s="12">
        <v>0</v>
      </c>
      <c r="CA182" s="12">
        <v>0</v>
      </c>
    </row>
    <row r="183" spans="1:79" hidden="1" x14ac:dyDescent="0.2">
      <c r="A183" s="12" t="s">
        <v>120</v>
      </c>
      <c r="B183" s="12" t="s">
        <v>125</v>
      </c>
      <c r="C183" s="12" t="s">
        <v>125</v>
      </c>
      <c r="D183" s="22" t="s">
        <v>447</v>
      </c>
      <c r="E183" s="22" t="s">
        <v>161</v>
      </c>
      <c r="F183" s="22" t="s">
        <v>881</v>
      </c>
      <c r="G183" s="22" t="s">
        <v>882</v>
      </c>
      <c r="H183" s="22" t="s">
        <v>166</v>
      </c>
      <c r="I183" s="22" t="s">
        <v>151</v>
      </c>
      <c r="J183" s="22" t="s">
        <v>162</v>
      </c>
      <c r="K183" s="22" t="s">
        <v>84</v>
      </c>
      <c r="L183" s="54" t="s">
        <v>153</v>
      </c>
      <c r="M183" s="28" t="s">
        <v>163</v>
      </c>
      <c r="N183" s="24" t="s">
        <v>153</v>
      </c>
      <c r="O183" s="23" t="s">
        <v>153</v>
      </c>
      <c r="P183" s="23" t="s">
        <v>153</v>
      </c>
      <c r="Q183" s="23" t="s">
        <v>153</v>
      </c>
      <c r="R183" s="23" t="s">
        <v>153</v>
      </c>
      <c r="S183" s="23" t="s">
        <v>153</v>
      </c>
      <c r="T183" s="23" t="s">
        <v>153</v>
      </c>
      <c r="U183" s="24" t="s">
        <v>153</v>
      </c>
      <c r="V183" s="54" t="s">
        <v>153</v>
      </c>
      <c r="W183" s="23" t="s">
        <v>153</v>
      </c>
      <c r="X183" s="23" t="s">
        <v>153</v>
      </c>
      <c r="Y183" s="23" t="s">
        <v>153</v>
      </c>
      <c r="Z183" s="23" t="s">
        <v>153</v>
      </c>
      <c r="AA183" s="23" t="s">
        <v>153</v>
      </c>
      <c r="AB183" s="24" t="s">
        <v>153</v>
      </c>
      <c r="AC183" s="24" t="s">
        <v>156</v>
      </c>
      <c r="AD183" s="24" t="s">
        <v>156</v>
      </c>
      <c r="AE183" s="23" t="s">
        <v>153</v>
      </c>
      <c r="AF183" s="23" t="s">
        <v>153</v>
      </c>
      <c r="AG183" s="23" t="s">
        <v>153</v>
      </c>
      <c r="AH183" s="23" t="s">
        <v>153</v>
      </c>
      <c r="AI183" s="24" t="s">
        <v>153</v>
      </c>
      <c r="AJ183" s="23" t="s">
        <v>153</v>
      </c>
      <c r="AK183" s="23" t="s">
        <v>153</v>
      </c>
      <c r="AL183" s="23" t="s">
        <v>153</v>
      </c>
      <c r="AM183" s="23" t="s">
        <v>153</v>
      </c>
      <c r="AN183" s="23" t="s">
        <v>153</v>
      </c>
      <c r="AO183" s="23" t="s">
        <v>153</v>
      </c>
      <c r="AP183" s="23">
        <f>VALUE(18)</f>
        <v>18</v>
      </c>
      <c r="AQ183" s="23">
        <f>VALUE(0)</f>
        <v>0</v>
      </c>
      <c r="AR183" s="23">
        <f>VALUE(0)</f>
        <v>0</v>
      </c>
      <c r="AS183" s="23">
        <f>VALUE(0)</f>
        <v>0</v>
      </c>
      <c r="AT183" s="23">
        <f>VALUE(0)</f>
        <v>0</v>
      </c>
      <c r="AU183" s="23">
        <f>VALUE(1)</f>
        <v>1</v>
      </c>
      <c r="AV183" s="23">
        <f>VALUE(2)</f>
        <v>2</v>
      </c>
      <c r="AW183" s="23">
        <f>VALUE(0)</f>
        <v>0</v>
      </c>
      <c r="AX183" s="23" t="s">
        <v>1242</v>
      </c>
      <c r="AY183" s="23">
        <f>VALUE(0)</f>
        <v>0</v>
      </c>
      <c r="AZ183" s="23">
        <f>VALUE(0)</f>
        <v>0</v>
      </c>
      <c r="BA183" s="23">
        <f>VALUE(0)</f>
        <v>0</v>
      </c>
      <c r="BB183" s="23">
        <f>VALUE(0)</f>
        <v>0</v>
      </c>
      <c r="BC183" s="23">
        <f>VALUE(0)</f>
        <v>0</v>
      </c>
      <c r="BD183" s="23">
        <f>VALUE(0)</f>
        <v>0</v>
      </c>
      <c r="BE183" s="23">
        <f>VALUE(0)</f>
        <v>0</v>
      </c>
      <c r="BF183" s="23">
        <f>VALUE(0)</f>
        <v>0</v>
      </c>
      <c r="BG183" s="23">
        <f>VALUE(0)</f>
        <v>0</v>
      </c>
      <c r="BH183" s="23">
        <f>VALUE(0)</f>
        <v>0</v>
      </c>
      <c r="BI183" s="23">
        <f>VALUE(0)</f>
        <v>0</v>
      </c>
      <c r="BJ183" s="23">
        <f>VALUE(0)</f>
        <v>0</v>
      </c>
      <c r="BK183" s="12">
        <f>$AX$183*24</f>
        <v>20.166666666666668</v>
      </c>
      <c r="BL183" s="12">
        <f>$AY$183*24</f>
        <v>0</v>
      </c>
      <c r="BM183" s="12">
        <f>$BJ$183*24</f>
        <v>0</v>
      </c>
      <c r="BN183" s="12">
        <f>VALUE($I$183)/100</f>
        <v>1</v>
      </c>
      <c r="BO183" s="12">
        <v>0</v>
      </c>
      <c r="BP183" s="12">
        <v>0</v>
      </c>
      <c r="BQ183" s="12">
        <v>0</v>
      </c>
      <c r="BR183" s="12">
        <v>0</v>
      </c>
      <c r="BS183" s="12">
        <v>0</v>
      </c>
      <c r="BT183" s="12">
        <v>0</v>
      </c>
      <c r="BU183" s="12">
        <v>0</v>
      </c>
      <c r="BV183" s="12">
        <v>0</v>
      </c>
      <c r="BW183" s="12">
        <v>0</v>
      </c>
      <c r="BX183" s="12">
        <v>0</v>
      </c>
      <c r="BY183" s="12">
        <v>0</v>
      </c>
      <c r="BZ183" s="12">
        <v>0</v>
      </c>
      <c r="CA183" s="12">
        <v>0</v>
      </c>
    </row>
    <row r="184" spans="1:79" hidden="1" x14ac:dyDescent="0.2">
      <c r="A184" s="12" t="s">
        <v>120</v>
      </c>
      <c r="B184" s="12" t="s">
        <v>125</v>
      </c>
      <c r="C184" s="12" t="s">
        <v>125</v>
      </c>
      <c r="D184" s="22" t="s">
        <v>447</v>
      </c>
      <c r="E184" s="22" t="s">
        <v>161</v>
      </c>
      <c r="F184" s="22" t="s">
        <v>1243</v>
      </c>
      <c r="G184" s="22" t="s">
        <v>883</v>
      </c>
      <c r="H184" s="22" t="s">
        <v>279</v>
      </c>
      <c r="I184" s="22" t="s">
        <v>151</v>
      </c>
      <c r="J184" s="22" t="s">
        <v>162</v>
      </c>
      <c r="K184" s="22" t="s">
        <v>84</v>
      </c>
      <c r="L184" s="54" t="s">
        <v>153</v>
      </c>
      <c r="M184" s="23" t="s">
        <v>153</v>
      </c>
      <c r="N184" s="24" t="s">
        <v>153</v>
      </c>
      <c r="O184" s="23" t="s">
        <v>448</v>
      </c>
      <c r="P184" s="23" t="s">
        <v>448</v>
      </c>
      <c r="Q184" s="23" t="s">
        <v>448</v>
      </c>
      <c r="R184" s="23" t="s">
        <v>448</v>
      </c>
      <c r="S184" s="23" t="s">
        <v>448</v>
      </c>
      <c r="T184" s="23" t="s">
        <v>448</v>
      </c>
      <c r="U184" s="24" t="s">
        <v>153</v>
      </c>
      <c r="V184" s="54" t="s">
        <v>153</v>
      </c>
      <c r="W184" s="27" t="s">
        <v>153</v>
      </c>
      <c r="X184" s="27" t="s">
        <v>153</v>
      </c>
      <c r="Y184" s="27" t="s">
        <v>153</v>
      </c>
      <c r="Z184" s="27" t="s">
        <v>153</v>
      </c>
      <c r="AA184" s="27" t="s">
        <v>153</v>
      </c>
      <c r="AB184" s="24" t="s">
        <v>153</v>
      </c>
      <c r="AC184" s="27" t="s">
        <v>153</v>
      </c>
      <c r="AD184" s="27" t="s">
        <v>153</v>
      </c>
      <c r="AE184" s="27" t="s">
        <v>153</v>
      </c>
      <c r="AF184" s="27" t="s">
        <v>153</v>
      </c>
      <c r="AG184" s="27" t="s">
        <v>153</v>
      </c>
      <c r="AH184" s="27" t="s">
        <v>153</v>
      </c>
      <c r="AI184" s="24" t="s">
        <v>153</v>
      </c>
      <c r="AJ184" s="27" t="s">
        <v>153</v>
      </c>
      <c r="AK184" s="27" t="s">
        <v>153</v>
      </c>
      <c r="AL184" s="27" t="s">
        <v>153</v>
      </c>
      <c r="AM184" s="27" t="s">
        <v>153</v>
      </c>
      <c r="AN184" s="27" t="s">
        <v>153</v>
      </c>
      <c r="AO184" s="27" t="s">
        <v>153</v>
      </c>
      <c r="AP184" s="23">
        <f>VALUE(0)</f>
        <v>0</v>
      </c>
      <c r="AQ184" s="23">
        <f>VALUE(0)</f>
        <v>0</v>
      </c>
      <c r="AR184" s="23">
        <f>VALUE(0)</f>
        <v>0</v>
      </c>
      <c r="AS184" s="23">
        <f>VALUE(0)</f>
        <v>0</v>
      </c>
      <c r="AT184" s="23">
        <f>VALUE(0)</f>
        <v>0</v>
      </c>
      <c r="AU184" s="23">
        <f>VALUE(0)</f>
        <v>0</v>
      </c>
      <c r="AV184" s="23">
        <f>VALUE(0)</f>
        <v>0</v>
      </c>
      <c r="AW184" s="23">
        <f>VALUE(0)</f>
        <v>0</v>
      </c>
      <c r="AX184" s="23">
        <f>VALUE(0)</f>
        <v>0</v>
      </c>
      <c r="AY184" s="23">
        <f>VALUE(0)</f>
        <v>0</v>
      </c>
      <c r="AZ184" s="23">
        <f>VALUE(0)</f>
        <v>0</v>
      </c>
      <c r="BA184" s="23">
        <f>VALUE(0)</f>
        <v>0</v>
      </c>
      <c r="BB184" s="23">
        <f>VALUE(0)</f>
        <v>0</v>
      </c>
      <c r="BC184" s="23">
        <f>VALUE(0)</f>
        <v>0</v>
      </c>
      <c r="BD184" s="23">
        <f>VALUE(0)</f>
        <v>0</v>
      </c>
      <c r="BE184" s="23">
        <f>VALUE(0)</f>
        <v>0</v>
      </c>
      <c r="BF184" s="23">
        <f>VALUE(0)</f>
        <v>0</v>
      </c>
      <c r="BG184" s="23">
        <f>VALUE(0)</f>
        <v>0</v>
      </c>
      <c r="BH184" s="23">
        <f>VALUE(0)</f>
        <v>0</v>
      </c>
      <c r="BI184" s="23">
        <f>VALUE(0)</f>
        <v>0</v>
      </c>
      <c r="BJ184" s="23">
        <f>VALUE(0)</f>
        <v>0</v>
      </c>
      <c r="BK184" s="12">
        <f>$AX$184*24</f>
        <v>0</v>
      </c>
      <c r="BL184" s="12">
        <f>$AY$184*24</f>
        <v>0</v>
      </c>
      <c r="BM184" s="12">
        <f>$BJ$184*24</f>
        <v>0</v>
      </c>
      <c r="BN184" s="12">
        <f>VALUE($I$184)/100</f>
        <v>1</v>
      </c>
      <c r="BO184" s="12">
        <v>0</v>
      </c>
      <c r="BP184" s="12">
        <v>0</v>
      </c>
      <c r="BQ184" s="12">
        <v>0</v>
      </c>
      <c r="BR184" s="12">
        <v>0</v>
      </c>
      <c r="BS184" s="12">
        <v>0</v>
      </c>
      <c r="BT184" s="12">
        <v>0</v>
      </c>
      <c r="BU184" s="12">
        <v>0</v>
      </c>
      <c r="BV184" s="12">
        <v>0</v>
      </c>
      <c r="BW184" s="12">
        <v>0</v>
      </c>
      <c r="BX184" s="12">
        <v>0</v>
      </c>
      <c r="BY184" s="12">
        <v>0</v>
      </c>
      <c r="BZ184" s="12">
        <v>0</v>
      </c>
      <c r="CA184" s="12">
        <v>0</v>
      </c>
    </row>
    <row r="185" spans="1:79" hidden="1" x14ac:dyDescent="0.2">
      <c r="A185" s="12" t="s">
        <v>120</v>
      </c>
      <c r="B185" s="12" t="s">
        <v>125</v>
      </c>
      <c r="C185" s="12" t="s">
        <v>125</v>
      </c>
      <c r="D185" s="22" t="s">
        <v>451</v>
      </c>
      <c r="E185" s="22" t="s">
        <v>161</v>
      </c>
      <c r="F185" s="22" t="s">
        <v>884</v>
      </c>
      <c r="G185" s="22" t="s">
        <v>885</v>
      </c>
      <c r="H185" s="22" t="s">
        <v>166</v>
      </c>
      <c r="I185" s="22" t="s">
        <v>194</v>
      </c>
      <c r="J185" s="22" t="s">
        <v>162</v>
      </c>
      <c r="K185" s="22" t="s">
        <v>84</v>
      </c>
      <c r="L185" s="54" t="s">
        <v>153</v>
      </c>
      <c r="M185" s="24" t="s">
        <v>195</v>
      </c>
      <c r="N185" s="24" t="s">
        <v>153</v>
      </c>
      <c r="O185" s="23" t="s">
        <v>153</v>
      </c>
      <c r="P185" s="23" t="s">
        <v>153</v>
      </c>
      <c r="Q185" s="23" t="s">
        <v>153</v>
      </c>
      <c r="R185" s="23" t="s">
        <v>153</v>
      </c>
      <c r="S185" s="23" t="s">
        <v>153</v>
      </c>
      <c r="T185" s="23" t="s">
        <v>153</v>
      </c>
      <c r="U185" s="24" t="s">
        <v>153</v>
      </c>
      <c r="V185" s="54" t="s">
        <v>153</v>
      </c>
      <c r="W185" s="23" t="s">
        <v>153</v>
      </c>
      <c r="X185" s="24" t="s">
        <v>156</v>
      </c>
      <c r="Y185" s="24" t="s">
        <v>156</v>
      </c>
      <c r="Z185" s="23" t="s">
        <v>153</v>
      </c>
      <c r="AA185" s="23" t="s">
        <v>153</v>
      </c>
      <c r="AB185" s="24" t="s">
        <v>153</v>
      </c>
      <c r="AC185" s="23" t="s">
        <v>153</v>
      </c>
      <c r="AD185" s="23" t="s">
        <v>153</v>
      </c>
      <c r="AE185" s="23" t="s">
        <v>153</v>
      </c>
      <c r="AF185" s="24" t="s">
        <v>195</v>
      </c>
      <c r="AG185" s="24" t="s">
        <v>195</v>
      </c>
      <c r="AH185" s="24" t="s">
        <v>195</v>
      </c>
      <c r="AI185" s="24" t="s">
        <v>153</v>
      </c>
      <c r="AJ185" s="23" t="s">
        <v>153</v>
      </c>
      <c r="AK185" s="23" t="s">
        <v>153</v>
      </c>
      <c r="AL185" s="23" t="s">
        <v>153</v>
      </c>
      <c r="AM185" s="23" t="s">
        <v>153</v>
      </c>
      <c r="AN185" s="23" t="s">
        <v>153</v>
      </c>
      <c r="AO185" s="23" t="s">
        <v>153</v>
      </c>
      <c r="AP185" s="23">
        <f>VALUE(15)</f>
        <v>15</v>
      </c>
      <c r="AQ185" s="23">
        <f>VALUE(0)</f>
        <v>0</v>
      </c>
      <c r="AR185" s="23">
        <f>VALUE(0)</f>
        <v>0</v>
      </c>
      <c r="AS185" s="23">
        <f>VALUE(0)</f>
        <v>0</v>
      </c>
      <c r="AT185" s="23">
        <f>VALUE(0)</f>
        <v>0</v>
      </c>
      <c r="AU185" s="23">
        <f>VALUE(0)</f>
        <v>0</v>
      </c>
      <c r="AV185" s="23">
        <f>VALUE(1)</f>
        <v>1</v>
      </c>
      <c r="AW185" s="23">
        <f>VALUE(0)</f>
        <v>0</v>
      </c>
      <c r="AX185" s="23" t="s">
        <v>452</v>
      </c>
      <c r="AY185" s="23">
        <f>VALUE(0)</f>
        <v>0</v>
      </c>
      <c r="AZ185" s="23">
        <f>VALUE(0)</f>
        <v>0</v>
      </c>
      <c r="BA185" s="23">
        <f>VALUE(0)</f>
        <v>0</v>
      </c>
      <c r="BB185" s="23">
        <f>VALUE(0)</f>
        <v>0</v>
      </c>
      <c r="BC185" s="23">
        <f>VALUE(0)</f>
        <v>0</v>
      </c>
      <c r="BD185" s="23">
        <f>VALUE(0)</f>
        <v>0</v>
      </c>
      <c r="BE185" s="23">
        <f>VALUE(0)</f>
        <v>0</v>
      </c>
      <c r="BF185" s="23">
        <f>VALUE(0)</f>
        <v>0</v>
      </c>
      <c r="BG185" s="23">
        <f>VALUE(0)</f>
        <v>0</v>
      </c>
      <c r="BH185" s="23">
        <f>VALUE(0)</f>
        <v>0</v>
      </c>
      <c r="BI185" s="23">
        <f>VALUE(0)</f>
        <v>0</v>
      </c>
      <c r="BJ185" s="23">
        <f>VALUE(0)</f>
        <v>0</v>
      </c>
      <c r="BK185" s="12">
        <f>$AX$185*24</f>
        <v>21.266666666666666</v>
      </c>
      <c r="BL185" s="12">
        <f>$AY$185*24</f>
        <v>0</v>
      </c>
      <c r="BM185" s="12">
        <f>$BJ$185*24</f>
        <v>0</v>
      </c>
      <c r="BN185" s="12">
        <f>VALUE($I$185)/100</f>
        <v>0.8</v>
      </c>
      <c r="BO185" s="12">
        <v>0</v>
      </c>
      <c r="BP185" s="12">
        <v>0</v>
      </c>
      <c r="BQ185" s="12">
        <v>0</v>
      </c>
      <c r="BR185" s="12">
        <v>0</v>
      </c>
      <c r="BS185" s="12">
        <v>0</v>
      </c>
      <c r="BT185" s="12">
        <v>0</v>
      </c>
      <c r="BU185" s="12">
        <v>0</v>
      </c>
      <c r="BV185" s="12">
        <v>0</v>
      </c>
      <c r="BW185" s="12">
        <v>0</v>
      </c>
      <c r="BX185" s="12">
        <v>0</v>
      </c>
      <c r="BY185" s="12">
        <v>0</v>
      </c>
      <c r="BZ185" s="12">
        <v>0</v>
      </c>
      <c r="CA185" s="12">
        <v>0</v>
      </c>
    </row>
    <row r="186" spans="1:79" hidden="1" x14ac:dyDescent="0.2">
      <c r="A186" s="12" t="s">
        <v>120</v>
      </c>
      <c r="B186" s="12" t="s">
        <v>125</v>
      </c>
      <c r="C186" s="12" t="s">
        <v>125</v>
      </c>
      <c r="D186" s="22" t="s">
        <v>453</v>
      </c>
      <c r="E186" s="22" t="s">
        <v>161</v>
      </c>
      <c r="F186" s="22" t="s">
        <v>1244</v>
      </c>
      <c r="G186" s="22" t="s">
        <v>886</v>
      </c>
      <c r="H186" s="22" t="s">
        <v>150</v>
      </c>
      <c r="I186" s="22" t="s">
        <v>151</v>
      </c>
      <c r="J186" s="22" t="s">
        <v>162</v>
      </c>
      <c r="K186" s="22" t="s">
        <v>84</v>
      </c>
      <c r="L186" s="54" t="s">
        <v>153</v>
      </c>
      <c r="M186" s="23" t="s">
        <v>153</v>
      </c>
      <c r="N186" s="24" t="s">
        <v>153</v>
      </c>
      <c r="O186" s="23" t="s">
        <v>153</v>
      </c>
      <c r="P186" s="23" t="s">
        <v>153</v>
      </c>
      <c r="Q186" s="24" t="s">
        <v>156</v>
      </c>
      <c r="R186" s="24" t="s">
        <v>156</v>
      </c>
      <c r="S186" s="23" t="s">
        <v>153</v>
      </c>
      <c r="T186" s="23" t="s">
        <v>153</v>
      </c>
      <c r="U186" s="24" t="s">
        <v>153</v>
      </c>
      <c r="V186" s="54" t="s">
        <v>153</v>
      </c>
      <c r="W186" s="23" t="s">
        <v>153</v>
      </c>
      <c r="X186" s="23" t="s">
        <v>153</v>
      </c>
      <c r="Y186" s="23" t="s">
        <v>153</v>
      </c>
      <c r="Z186" s="23" t="s">
        <v>153</v>
      </c>
      <c r="AA186" s="23" t="s">
        <v>153</v>
      </c>
      <c r="AB186" s="24" t="s">
        <v>153</v>
      </c>
      <c r="AC186" s="23" t="s">
        <v>153</v>
      </c>
      <c r="AD186" s="23" t="s">
        <v>153</v>
      </c>
      <c r="AE186" s="23" t="s">
        <v>153</v>
      </c>
      <c r="AF186" s="23" t="s">
        <v>153</v>
      </c>
      <c r="AG186" s="23" t="s">
        <v>153</v>
      </c>
      <c r="AH186" s="23" t="s">
        <v>153</v>
      </c>
      <c r="AI186" s="24" t="s">
        <v>153</v>
      </c>
      <c r="AJ186" s="23" t="s">
        <v>153</v>
      </c>
      <c r="AK186" s="23" t="s">
        <v>153</v>
      </c>
      <c r="AL186" s="23" t="s">
        <v>153</v>
      </c>
      <c r="AM186" s="23" t="s">
        <v>153</v>
      </c>
      <c r="AN186" s="23" t="s">
        <v>153</v>
      </c>
      <c r="AO186" s="23" t="s">
        <v>153</v>
      </c>
      <c r="AP186" s="23">
        <f>VALUE(17)</f>
        <v>17</v>
      </c>
      <c r="AQ186" s="23">
        <f>VALUE(0)</f>
        <v>0</v>
      </c>
      <c r="AR186" s="23">
        <f>VALUE(0)</f>
        <v>0</v>
      </c>
      <c r="AS186" s="23">
        <f>VALUE(0)</f>
        <v>0</v>
      </c>
      <c r="AT186" s="23">
        <f>VALUE(0)</f>
        <v>0</v>
      </c>
      <c r="AU186" s="23">
        <f>VALUE(0)</f>
        <v>0</v>
      </c>
      <c r="AV186" s="23">
        <f>VALUE(4)</f>
        <v>4</v>
      </c>
      <c r="AW186" s="23">
        <f>VALUE(0)</f>
        <v>0</v>
      </c>
      <c r="AX186" s="23" t="s">
        <v>445</v>
      </c>
      <c r="AY186" s="23" t="s">
        <v>187</v>
      </c>
      <c r="AZ186" s="23">
        <f>VALUE(0)</f>
        <v>0</v>
      </c>
      <c r="BA186" s="23">
        <f>VALUE(0)</f>
        <v>0</v>
      </c>
      <c r="BB186" s="23">
        <f>VALUE(0)</f>
        <v>0</v>
      </c>
      <c r="BC186" s="23">
        <f>VALUE(0)</f>
        <v>0</v>
      </c>
      <c r="BD186" s="23">
        <f>VALUE(0)</f>
        <v>0</v>
      </c>
      <c r="BE186" s="23">
        <f>VALUE(0)</f>
        <v>0</v>
      </c>
      <c r="BF186" s="23">
        <f>VALUE(0)</f>
        <v>0</v>
      </c>
      <c r="BG186" s="23">
        <f>VALUE(0)</f>
        <v>0</v>
      </c>
      <c r="BH186" s="23">
        <f>VALUE(0)</f>
        <v>0</v>
      </c>
      <c r="BI186" s="23">
        <f>VALUE(0)</f>
        <v>0</v>
      </c>
      <c r="BJ186" s="23">
        <f>VALUE(0)</f>
        <v>0</v>
      </c>
      <c r="BK186" s="12">
        <f>$AX$186*24</f>
        <v>17.5</v>
      </c>
      <c r="BL186" s="12">
        <f>$AY$186*24</f>
        <v>6.1833333333333336</v>
      </c>
      <c r="BM186" s="12">
        <f>$BJ$186*24</f>
        <v>0</v>
      </c>
      <c r="BN186" s="12">
        <f>VALUE($I$186)/100</f>
        <v>1</v>
      </c>
      <c r="BO186" s="12">
        <v>0</v>
      </c>
      <c r="BP186" s="12">
        <v>0</v>
      </c>
      <c r="BQ186" s="12">
        <v>0</v>
      </c>
      <c r="BR186" s="12">
        <v>0</v>
      </c>
      <c r="BS186" s="12">
        <v>0</v>
      </c>
      <c r="BT186" s="12">
        <v>0</v>
      </c>
      <c r="BU186" s="12">
        <v>0</v>
      </c>
      <c r="BV186" s="12">
        <v>0</v>
      </c>
      <c r="BW186" s="12">
        <v>0</v>
      </c>
      <c r="BX186" s="12">
        <v>0</v>
      </c>
      <c r="BY186" s="12">
        <v>0</v>
      </c>
      <c r="BZ186" s="12">
        <v>0</v>
      </c>
      <c r="CA186" s="12">
        <v>0</v>
      </c>
    </row>
    <row r="187" spans="1:79" hidden="1" x14ac:dyDescent="0.2">
      <c r="A187" s="12" t="s">
        <v>120</v>
      </c>
      <c r="B187" s="12" t="s">
        <v>125</v>
      </c>
      <c r="C187" s="12" t="s">
        <v>125</v>
      </c>
      <c r="D187" s="22" t="s">
        <v>454</v>
      </c>
      <c r="E187" s="22" t="s">
        <v>161</v>
      </c>
      <c r="F187" s="22" t="s">
        <v>887</v>
      </c>
      <c r="G187" s="22" t="s">
        <v>888</v>
      </c>
      <c r="H187" s="22" t="s">
        <v>150</v>
      </c>
      <c r="I187" s="22" t="s">
        <v>151</v>
      </c>
      <c r="J187" s="22" t="s">
        <v>162</v>
      </c>
      <c r="K187" s="22" t="s">
        <v>84</v>
      </c>
      <c r="L187" s="54" t="s">
        <v>153</v>
      </c>
      <c r="M187" s="23" t="s">
        <v>153</v>
      </c>
      <c r="N187" s="24" t="s">
        <v>153</v>
      </c>
      <c r="O187" s="23" t="s">
        <v>153</v>
      </c>
      <c r="P187" s="23" t="s">
        <v>153</v>
      </c>
      <c r="Q187" s="23" t="s">
        <v>153</v>
      </c>
      <c r="R187" s="23" t="s">
        <v>153</v>
      </c>
      <c r="S187" s="23" t="s">
        <v>153</v>
      </c>
      <c r="T187" s="23" t="s">
        <v>153</v>
      </c>
      <c r="U187" s="24" t="s">
        <v>153</v>
      </c>
      <c r="V187" s="54" t="s">
        <v>153</v>
      </c>
      <c r="W187" s="28" t="s">
        <v>163</v>
      </c>
      <c r="X187" s="28" t="s">
        <v>163</v>
      </c>
      <c r="Y187" s="28" t="s">
        <v>163</v>
      </c>
      <c r="Z187" s="28" t="s">
        <v>163</v>
      </c>
      <c r="AA187" s="28" t="s">
        <v>163</v>
      </c>
      <c r="AB187" s="24" t="s">
        <v>153</v>
      </c>
      <c r="AC187" s="23" t="s">
        <v>153</v>
      </c>
      <c r="AD187" s="23" t="s">
        <v>153</v>
      </c>
      <c r="AE187" s="23" t="s">
        <v>153</v>
      </c>
      <c r="AF187" s="23" t="s">
        <v>153</v>
      </c>
      <c r="AG187" s="23" t="s">
        <v>153</v>
      </c>
      <c r="AH187" s="23" t="s">
        <v>153</v>
      </c>
      <c r="AI187" s="24" t="s">
        <v>153</v>
      </c>
      <c r="AJ187" s="23" t="s">
        <v>153</v>
      </c>
      <c r="AK187" s="23" t="s">
        <v>153</v>
      </c>
      <c r="AL187" s="23" t="s">
        <v>153</v>
      </c>
      <c r="AM187" s="23" t="s">
        <v>153</v>
      </c>
      <c r="AN187" s="24" t="s">
        <v>156</v>
      </c>
      <c r="AO187" s="24" t="s">
        <v>156</v>
      </c>
      <c r="AP187" s="23">
        <f>VALUE(12)</f>
        <v>12</v>
      </c>
      <c r="AQ187" s="23">
        <f>VALUE(0)</f>
        <v>0</v>
      </c>
      <c r="AR187" s="23">
        <f>VALUE(0)</f>
        <v>0</v>
      </c>
      <c r="AS187" s="23">
        <f>VALUE(0)</f>
        <v>0</v>
      </c>
      <c r="AT187" s="23">
        <f>VALUE(0)</f>
        <v>0</v>
      </c>
      <c r="AU187" s="23">
        <f>VALUE(5)</f>
        <v>5</v>
      </c>
      <c r="AV187" s="23">
        <f>VALUE(3)</f>
        <v>3</v>
      </c>
      <c r="AW187" s="23">
        <f>VALUE(0)</f>
        <v>0</v>
      </c>
      <c r="AX187" s="23">
        <f>VALUE(0)</f>
        <v>0</v>
      </c>
      <c r="AY187" s="23" t="s">
        <v>455</v>
      </c>
      <c r="AZ187" s="23">
        <f>VALUE(0)</f>
        <v>0</v>
      </c>
      <c r="BA187" s="23">
        <f>VALUE(0)</f>
        <v>0</v>
      </c>
      <c r="BB187" s="23">
        <f>VALUE(0)</f>
        <v>0</v>
      </c>
      <c r="BC187" s="23">
        <f>VALUE(0)</f>
        <v>0</v>
      </c>
      <c r="BD187" s="23">
        <f>VALUE(0)</f>
        <v>0</v>
      </c>
      <c r="BE187" s="23">
        <f>VALUE(0)</f>
        <v>0</v>
      </c>
      <c r="BF187" s="23">
        <f>VALUE(0)</f>
        <v>0</v>
      </c>
      <c r="BG187" s="23">
        <f>VALUE(0)</f>
        <v>0</v>
      </c>
      <c r="BH187" s="23">
        <f>VALUE(0)</f>
        <v>0</v>
      </c>
      <c r="BI187" s="23">
        <f>VALUE(0)</f>
        <v>0</v>
      </c>
      <c r="BJ187" s="23">
        <f>VALUE(0)</f>
        <v>0</v>
      </c>
      <c r="BK187" s="12">
        <f>$AX$187*24</f>
        <v>0</v>
      </c>
      <c r="BL187" s="12">
        <f>$AY$187*24</f>
        <v>3.2333333333333334</v>
      </c>
      <c r="BM187" s="12">
        <f>$BJ$187*24</f>
        <v>0</v>
      </c>
      <c r="BN187" s="12">
        <f>VALUE($I$187)/100</f>
        <v>1</v>
      </c>
      <c r="BO187" s="12">
        <v>0</v>
      </c>
      <c r="BP187" s="12">
        <v>0</v>
      </c>
      <c r="BQ187" s="12">
        <v>0</v>
      </c>
      <c r="BR187" s="12">
        <v>0</v>
      </c>
      <c r="BS187" s="12">
        <v>0</v>
      </c>
      <c r="BT187" s="12">
        <v>0</v>
      </c>
      <c r="BU187" s="12">
        <v>0</v>
      </c>
      <c r="BV187" s="12">
        <v>0</v>
      </c>
      <c r="BW187" s="12">
        <v>0</v>
      </c>
      <c r="BX187" s="12">
        <v>0</v>
      </c>
      <c r="BY187" s="12">
        <v>0</v>
      </c>
      <c r="BZ187" s="12">
        <v>0</v>
      </c>
      <c r="CA187" s="12">
        <v>0</v>
      </c>
    </row>
    <row r="188" spans="1:79" hidden="1" x14ac:dyDescent="0.2">
      <c r="A188" s="12" t="s">
        <v>120</v>
      </c>
      <c r="B188" s="12" t="s">
        <v>125</v>
      </c>
      <c r="C188" s="12" t="s">
        <v>125</v>
      </c>
      <c r="D188" s="22" t="s">
        <v>456</v>
      </c>
      <c r="E188" s="22" t="s">
        <v>161</v>
      </c>
      <c r="F188" s="22" t="s">
        <v>1245</v>
      </c>
      <c r="G188" s="22" t="s">
        <v>889</v>
      </c>
      <c r="H188" s="22" t="s">
        <v>190</v>
      </c>
      <c r="I188" s="22" t="s">
        <v>151</v>
      </c>
      <c r="J188" s="22" t="s">
        <v>162</v>
      </c>
      <c r="K188" s="22" t="s">
        <v>84</v>
      </c>
      <c r="L188" s="54" t="s">
        <v>153</v>
      </c>
      <c r="M188" s="23" t="s">
        <v>153</v>
      </c>
      <c r="N188" s="24" t="s">
        <v>153</v>
      </c>
      <c r="O188" s="23" t="s">
        <v>153</v>
      </c>
      <c r="P188" s="23" t="s">
        <v>153</v>
      </c>
      <c r="Q188" s="23" t="s">
        <v>153</v>
      </c>
      <c r="R188" s="23" t="s">
        <v>153</v>
      </c>
      <c r="S188" s="23" t="s">
        <v>153</v>
      </c>
      <c r="T188" s="23" t="s">
        <v>153</v>
      </c>
      <c r="U188" s="24" t="s">
        <v>153</v>
      </c>
      <c r="V188" s="54" t="s">
        <v>153</v>
      </c>
      <c r="W188" s="23" t="s">
        <v>153</v>
      </c>
      <c r="X188" s="23" t="s">
        <v>153</v>
      </c>
      <c r="Y188" s="23" t="s">
        <v>153</v>
      </c>
      <c r="Z188" s="23" t="s">
        <v>153</v>
      </c>
      <c r="AA188" s="23" t="s">
        <v>153</v>
      </c>
      <c r="AB188" s="24" t="s">
        <v>153</v>
      </c>
      <c r="AC188" s="23" t="s">
        <v>153</v>
      </c>
      <c r="AD188" s="23" t="s">
        <v>153</v>
      </c>
      <c r="AE188" s="23" t="s">
        <v>153</v>
      </c>
      <c r="AF188" s="23" t="s">
        <v>153</v>
      </c>
      <c r="AG188" s="24" t="s">
        <v>156</v>
      </c>
      <c r="AH188" s="24" t="s">
        <v>156</v>
      </c>
      <c r="AI188" s="24" t="s">
        <v>153</v>
      </c>
      <c r="AJ188" s="23" t="s">
        <v>153</v>
      </c>
      <c r="AK188" s="23" t="s">
        <v>153</v>
      </c>
      <c r="AL188" s="23" t="s">
        <v>153</v>
      </c>
      <c r="AM188" s="23" t="s">
        <v>153</v>
      </c>
      <c r="AN188" s="23" t="s">
        <v>153</v>
      </c>
      <c r="AO188" s="23" t="s">
        <v>153</v>
      </c>
      <c r="AP188" s="23">
        <f>VALUE(0)</f>
        <v>0</v>
      </c>
      <c r="AQ188" s="23">
        <f>VALUE(0)</f>
        <v>0</v>
      </c>
      <c r="AR188" s="23">
        <f>VALUE(0)</f>
        <v>0</v>
      </c>
      <c r="AS188" s="23">
        <f>VALUE(0)</f>
        <v>0</v>
      </c>
      <c r="AT188" s="23">
        <f>VALUE(0)</f>
        <v>0</v>
      </c>
      <c r="AU188" s="23">
        <f>VALUE(0)</f>
        <v>0</v>
      </c>
      <c r="AV188" s="23">
        <f>VALUE(7)</f>
        <v>7</v>
      </c>
      <c r="AW188" s="23">
        <f>VALUE(0)</f>
        <v>0</v>
      </c>
      <c r="AX188" s="23">
        <f>VALUE(0)</f>
        <v>0</v>
      </c>
      <c r="AY188" s="23">
        <f>VALUE(0)</f>
        <v>0</v>
      </c>
      <c r="AZ188" s="23">
        <f>VALUE(0)</f>
        <v>0</v>
      </c>
      <c r="BA188" s="23">
        <f>VALUE(0)</f>
        <v>0</v>
      </c>
      <c r="BB188" s="23">
        <f>VALUE(0)</f>
        <v>0</v>
      </c>
      <c r="BC188" s="23">
        <f>VALUE(0)</f>
        <v>0</v>
      </c>
      <c r="BD188" s="23">
        <f>VALUE(0)</f>
        <v>0</v>
      </c>
      <c r="BE188" s="23">
        <f>VALUE(0)</f>
        <v>0</v>
      </c>
      <c r="BF188" s="23">
        <f>VALUE(0)</f>
        <v>0</v>
      </c>
      <c r="BG188" s="23">
        <f>VALUE(0)</f>
        <v>0</v>
      </c>
      <c r="BH188" s="23">
        <f>VALUE(0)</f>
        <v>0</v>
      </c>
      <c r="BI188" s="23">
        <f>VALUE(0)</f>
        <v>0</v>
      </c>
      <c r="BJ188" s="23">
        <f>VALUE(0)</f>
        <v>0</v>
      </c>
      <c r="BK188" s="12">
        <f>$AX$188*24</f>
        <v>0</v>
      </c>
      <c r="BL188" s="12">
        <f>$AY$188*24</f>
        <v>0</v>
      </c>
      <c r="BM188" s="12">
        <f>$BJ$188*24</f>
        <v>0</v>
      </c>
      <c r="BN188" s="12">
        <f>VALUE($I$188)/100</f>
        <v>1</v>
      </c>
      <c r="BO188" s="12">
        <v>0</v>
      </c>
      <c r="BP188" s="12">
        <v>0</v>
      </c>
      <c r="BQ188" s="12">
        <v>0</v>
      </c>
      <c r="BR188" s="12">
        <v>0</v>
      </c>
      <c r="BS188" s="12">
        <v>0</v>
      </c>
      <c r="BT188" s="12">
        <v>0</v>
      </c>
      <c r="BU188" s="12">
        <v>0</v>
      </c>
      <c r="BV188" s="12">
        <v>0</v>
      </c>
      <c r="BW188" s="12">
        <v>0</v>
      </c>
      <c r="BX188" s="12">
        <v>0</v>
      </c>
      <c r="BY188" s="12">
        <v>0</v>
      </c>
      <c r="BZ188" s="12">
        <v>0</v>
      </c>
      <c r="CA188" s="12">
        <v>0</v>
      </c>
    </row>
    <row r="189" spans="1:79" hidden="1" x14ac:dyDescent="0.2">
      <c r="A189" s="12" t="s">
        <v>120</v>
      </c>
      <c r="B189" s="12" t="s">
        <v>125</v>
      </c>
      <c r="C189" s="12" t="s">
        <v>125</v>
      </c>
      <c r="D189" s="22" t="s">
        <v>456</v>
      </c>
      <c r="E189" s="22" t="s">
        <v>161</v>
      </c>
      <c r="F189" s="22" t="s">
        <v>890</v>
      </c>
      <c r="G189" s="22" t="s">
        <v>891</v>
      </c>
      <c r="H189" s="22" t="s">
        <v>150</v>
      </c>
      <c r="I189" s="22" t="s">
        <v>151</v>
      </c>
      <c r="J189" s="22" t="s">
        <v>162</v>
      </c>
      <c r="K189" s="22" t="s">
        <v>84</v>
      </c>
      <c r="L189" s="54" t="s">
        <v>153</v>
      </c>
      <c r="M189" s="32" t="s">
        <v>416</v>
      </c>
      <c r="N189" s="24" t="s">
        <v>153</v>
      </c>
      <c r="O189" s="32" t="s">
        <v>416</v>
      </c>
      <c r="P189" s="32" t="s">
        <v>416</v>
      </c>
      <c r="Q189" s="32" t="s">
        <v>416</v>
      </c>
      <c r="R189" s="32" t="s">
        <v>416</v>
      </c>
      <c r="S189" s="32" t="s">
        <v>416</v>
      </c>
      <c r="T189" s="32" t="s">
        <v>416</v>
      </c>
      <c r="U189" s="24" t="s">
        <v>153</v>
      </c>
      <c r="V189" s="54" t="s">
        <v>153</v>
      </c>
      <c r="W189" s="32" t="s">
        <v>416</v>
      </c>
      <c r="X189" s="32" t="s">
        <v>416</v>
      </c>
      <c r="Y189" s="32" t="s">
        <v>416</v>
      </c>
      <c r="Z189" s="32" t="s">
        <v>416</v>
      </c>
      <c r="AA189" s="32" t="s">
        <v>416</v>
      </c>
      <c r="AB189" s="24" t="s">
        <v>153</v>
      </c>
      <c r="AC189" s="32" t="s">
        <v>416</v>
      </c>
      <c r="AD189" s="32" t="s">
        <v>416</v>
      </c>
      <c r="AE189" s="32" t="s">
        <v>416</v>
      </c>
      <c r="AF189" s="32" t="s">
        <v>416</v>
      </c>
      <c r="AG189" s="32" t="s">
        <v>416</v>
      </c>
      <c r="AH189" s="32" t="s">
        <v>416</v>
      </c>
      <c r="AI189" s="24" t="s">
        <v>153</v>
      </c>
      <c r="AJ189" s="32" t="s">
        <v>416</v>
      </c>
      <c r="AK189" s="32" t="s">
        <v>416</v>
      </c>
      <c r="AL189" s="32" t="s">
        <v>416</v>
      </c>
      <c r="AM189" s="32" t="s">
        <v>416</v>
      </c>
      <c r="AN189" s="32" t="s">
        <v>416</v>
      </c>
      <c r="AO189" s="32" t="s">
        <v>416</v>
      </c>
      <c r="AP189" s="23">
        <f>VALUE(3)</f>
        <v>3</v>
      </c>
      <c r="AQ189" s="23">
        <f>VALUE(0)</f>
        <v>0</v>
      </c>
      <c r="AR189" s="23">
        <f>VALUE(0)</f>
        <v>0</v>
      </c>
      <c r="AS189" s="23">
        <f>VALUE(0)</f>
        <v>0</v>
      </c>
      <c r="AT189" s="23">
        <f>VALUE(0)</f>
        <v>0</v>
      </c>
      <c r="AU189" s="23">
        <f>VALUE(0)</f>
        <v>0</v>
      </c>
      <c r="AV189" s="23">
        <f>VALUE(2)</f>
        <v>2</v>
      </c>
      <c r="AW189" s="23">
        <f>VALUE(0)</f>
        <v>0</v>
      </c>
      <c r="AX189" s="23" t="s">
        <v>158</v>
      </c>
      <c r="AY189" s="23" t="s">
        <v>457</v>
      </c>
      <c r="AZ189" s="23">
        <f>VALUE(0)</f>
        <v>0</v>
      </c>
      <c r="BA189" s="23">
        <f>VALUE(24)</f>
        <v>24</v>
      </c>
      <c r="BB189" s="23">
        <f>VALUE(0)</f>
        <v>0</v>
      </c>
      <c r="BC189" s="23">
        <f>VALUE(0)</f>
        <v>0</v>
      </c>
      <c r="BD189" s="23">
        <f>VALUE(0)</f>
        <v>0</v>
      </c>
      <c r="BE189" s="23">
        <f>VALUE(0)</f>
        <v>0</v>
      </c>
      <c r="BF189" s="23">
        <f>VALUE(0)</f>
        <v>0</v>
      </c>
      <c r="BG189" s="23">
        <f>VALUE(0)</f>
        <v>0</v>
      </c>
      <c r="BH189" s="23">
        <f>VALUE(0)</f>
        <v>0</v>
      </c>
      <c r="BI189" s="23">
        <f>VALUE(0)</f>
        <v>0</v>
      </c>
      <c r="BJ189" s="23">
        <f>VALUE(0)</f>
        <v>0</v>
      </c>
      <c r="BK189" s="12">
        <f>$AX$189*24</f>
        <v>11.666666666666666</v>
      </c>
      <c r="BL189" s="12">
        <f>$AY$189*24</f>
        <v>26.766666666666666</v>
      </c>
      <c r="BM189" s="12">
        <f>$BJ$189*24</f>
        <v>0</v>
      </c>
      <c r="BN189" s="12">
        <f>VALUE($I$189)/100</f>
        <v>1</v>
      </c>
      <c r="BO189" s="12">
        <v>0</v>
      </c>
      <c r="BP189" s="12">
        <v>0</v>
      </c>
      <c r="BQ189" s="12">
        <v>0</v>
      </c>
      <c r="BR189" s="12">
        <v>0</v>
      </c>
      <c r="BS189" s="12">
        <v>0</v>
      </c>
      <c r="BT189" s="12">
        <v>0</v>
      </c>
      <c r="BU189" s="12">
        <v>0</v>
      </c>
      <c r="BV189" s="12">
        <v>0</v>
      </c>
      <c r="BW189" s="12">
        <v>0</v>
      </c>
      <c r="BX189" s="12">
        <v>0</v>
      </c>
      <c r="BY189" s="12">
        <v>0</v>
      </c>
      <c r="BZ189" s="12">
        <v>0</v>
      </c>
      <c r="CA189" s="12">
        <v>0</v>
      </c>
    </row>
    <row r="190" spans="1:79" hidden="1" x14ac:dyDescent="0.2">
      <c r="A190" s="12" t="s">
        <v>120</v>
      </c>
      <c r="B190" s="12" t="s">
        <v>125</v>
      </c>
      <c r="C190" s="12" t="s">
        <v>125</v>
      </c>
      <c r="D190" s="22" t="s">
        <v>458</v>
      </c>
      <c r="E190" s="22" t="s">
        <v>161</v>
      </c>
      <c r="F190" s="22" t="s">
        <v>892</v>
      </c>
      <c r="G190" s="22" t="s">
        <v>893</v>
      </c>
      <c r="H190" s="22" t="s">
        <v>150</v>
      </c>
      <c r="I190" s="22" t="s">
        <v>151</v>
      </c>
      <c r="J190" s="22" t="s">
        <v>162</v>
      </c>
      <c r="K190" s="22" t="s">
        <v>84</v>
      </c>
      <c r="L190" s="54" t="s">
        <v>153</v>
      </c>
      <c r="M190" s="23" t="s">
        <v>459</v>
      </c>
      <c r="N190" s="24" t="s">
        <v>153</v>
      </c>
      <c r="O190" s="23" t="s">
        <v>459</v>
      </c>
      <c r="P190" s="23" t="s">
        <v>459</v>
      </c>
      <c r="Q190" s="23" t="s">
        <v>459</v>
      </c>
      <c r="R190" s="23" t="s">
        <v>459</v>
      </c>
      <c r="S190" s="23" t="s">
        <v>459</v>
      </c>
      <c r="T190" s="23" t="s">
        <v>459</v>
      </c>
      <c r="U190" s="24" t="s">
        <v>153</v>
      </c>
      <c r="V190" s="54" t="s">
        <v>153</v>
      </c>
      <c r="W190" s="23" t="s">
        <v>459</v>
      </c>
      <c r="X190" s="23" t="s">
        <v>459</v>
      </c>
      <c r="Y190" s="23" t="s">
        <v>459</v>
      </c>
      <c r="Z190" s="23" t="s">
        <v>459</v>
      </c>
      <c r="AA190" s="23" t="s">
        <v>459</v>
      </c>
      <c r="AB190" s="24" t="s">
        <v>153</v>
      </c>
      <c r="AC190" s="23" t="s">
        <v>459</v>
      </c>
      <c r="AD190" s="23" t="s">
        <v>459</v>
      </c>
      <c r="AE190" s="23" t="s">
        <v>459</v>
      </c>
      <c r="AF190" s="23" t="s">
        <v>459</v>
      </c>
      <c r="AG190" s="23" t="s">
        <v>459</v>
      </c>
      <c r="AH190" s="23" t="s">
        <v>459</v>
      </c>
      <c r="AI190" s="24" t="s">
        <v>153</v>
      </c>
      <c r="AJ190" s="23" t="s">
        <v>459</v>
      </c>
      <c r="AK190" s="23" t="s">
        <v>459</v>
      </c>
      <c r="AL190" s="24" t="s">
        <v>156</v>
      </c>
      <c r="AM190" s="24" t="s">
        <v>156</v>
      </c>
      <c r="AN190" s="23" t="s">
        <v>459</v>
      </c>
      <c r="AO190" s="23" t="s">
        <v>459</v>
      </c>
      <c r="AP190" s="23">
        <f>VALUE(17)</f>
        <v>17</v>
      </c>
      <c r="AQ190" s="23">
        <f>VALUE(0)</f>
        <v>0</v>
      </c>
      <c r="AR190" s="23">
        <f>VALUE(0)</f>
        <v>0</v>
      </c>
      <c r="AS190" s="23">
        <f>VALUE(0)</f>
        <v>0</v>
      </c>
      <c r="AT190" s="23">
        <f>VALUE(0)</f>
        <v>0</v>
      </c>
      <c r="AU190" s="23">
        <f>VALUE(0)</f>
        <v>0</v>
      </c>
      <c r="AV190" s="23">
        <f>VALUE(2)</f>
        <v>2</v>
      </c>
      <c r="AW190" s="23">
        <f>VALUE(0)</f>
        <v>0</v>
      </c>
      <c r="AX190" s="23">
        <f>VALUE(0)</f>
        <v>0</v>
      </c>
      <c r="AY190" s="23" t="s">
        <v>460</v>
      </c>
      <c r="AZ190" s="23">
        <f>VALUE(0)</f>
        <v>0</v>
      </c>
      <c r="BA190" s="23">
        <f>VALUE(0)</f>
        <v>0</v>
      </c>
      <c r="BB190" s="23">
        <f>VALUE(0)</f>
        <v>0</v>
      </c>
      <c r="BC190" s="23">
        <f>VALUE(0)</f>
        <v>0</v>
      </c>
      <c r="BD190" s="23">
        <f>VALUE(0)</f>
        <v>0</v>
      </c>
      <c r="BE190" s="23">
        <f>VALUE(0)</f>
        <v>0</v>
      </c>
      <c r="BF190" s="23">
        <f>VALUE(0)</f>
        <v>0</v>
      </c>
      <c r="BG190" s="23">
        <f>VALUE(0)</f>
        <v>0</v>
      </c>
      <c r="BH190" s="23">
        <f>VALUE(0)</f>
        <v>0</v>
      </c>
      <c r="BI190" s="23">
        <f>VALUE(0)</f>
        <v>0</v>
      </c>
      <c r="BJ190" s="23">
        <f>VALUE(0)</f>
        <v>0</v>
      </c>
      <c r="BK190" s="12">
        <f>$AX$190*24</f>
        <v>0</v>
      </c>
      <c r="BL190" s="12">
        <f>$AY$190*24</f>
        <v>4.3666666666666663</v>
      </c>
      <c r="BM190" s="12">
        <f>$BJ$190*24</f>
        <v>0</v>
      </c>
      <c r="BN190" s="12">
        <f>VALUE($I$190)/100</f>
        <v>1</v>
      </c>
      <c r="BO190" s="12">
        <v>0</v>
      </c>
      <c r="BP190" s="12">
        <v>0</v>
      </c>
      <c r="BQ190" s="12">
        <v>0</v>
      </c>
      <c r="BR190" s="12">
        <v>0</v>
      </c>
      <c r="BS190" s="12">
        <v>0</v>
      </c>
      <c r="BT190" s="12">
        <v>0</v>
      </c>
      <c r="BU190" s="12">
        <v>0</v>
      </c>
      <c r="BV190" s="12">
        <v>0</v>
      </c>
      <c r="BW190" s="12">
        <v>0</v>
      </c>
      <c r="BX190" s="12">
        <v>0</v>
      </c>
      <c r="BY190" s="12">
        <v>0</v>
      </c>
      <c r="BZ190" s="12">
        <v>0</v>
      </c>
      <c r="CA190" s="12">
        <v>0</v>
      </c>
    </row>
    <row r="191" spans="1:79" hidden="1" x14ac:dyDescent="0.2">
      <c r="A191" s="12" t="s">
        <v>120</v>
      </c>
      <c r="B191" s="12" t="s">
        <v>125</v>
      </c>
      <c r="C191" s="12" t="s">
        <v>125</v>
      </c>
      <c r="D191" s="22" t="s">
        <v>587</v>
      </c>
      <c r="E191" s="22" t="s">
        <v>173</v>
      </c>
      <c r="F191" s="22" t="s">
        <v>894</v>
      </c>
      <c r="G191" s="22" t="s">
        <v>895</v>
      </c>
      <c r="H191" s="22" t="s">
        <v>150</v>
      </c>
      <c r="I191" s="22" t="s">
        <v>151</v>
      </c>
      <c r="J191" s="22" t="s">
        <v>162</v>
      </c>
      <c r="K191" s="22" t="s">
        <v>84</v>
      </c>
      <c r="L191" s="54" t="s">
        <v>153</v>
      </c>
      <c r="M191" s="23" t="s">
        <v>442</v>
      </c>
      <c r="N191" s="24" t="s">
        <v>153</v>
      </c>
      <c r="O191" s="25" t="s">
        <v>1246</v>
      </c>
      <c r="P191" s="25" t="s">
        <v>1247</v>
      </c>
      <c r="Q191" s="25" t="s">
        <v>1247</v>
      </c>
      <c r="R191" s="25" t="s">
        <v>1247</v>
      </c>
      <c r="S191" s="25" t="s">
        <v>451</v>
      </c>
      <c r="T191" s="25" t="s">
        <v>451</v>
      </c>
      <c r="U191" s="24" t="s">
        <v>153</v>
      </c>
      <c r="V191" s="54" t="s">
        <v>156</v>
      </c>
      <c r="W191" s="24" t="s">
        <v>156</v>
      </c>
      <c r="X191" s="28" t="s">
        <v>163</v>
      </c>
      <c r="Y191" s="25" t="s">
        <v>1246</v>
      </c>
      <c r="Z191" s="25" t="s">
        <v>1246</v>
      </c>
      <c r="AA191" s="25" t="s">
        <v>1246</v>
      </c>
      <c r="AB191" s="24" t="s">
        <v>153</v>
      </c>
      <c r="AC191" s="23" t="s">
        <v>438</v>
      </c>
      <c r="AD191" s="23" t="s">
        <v>438</v>
      </c>
      <c r="AE191" s="25" t="s">
        <v>438</v>
      </c>
      <c r="AF191" s="25" t="s">
        <v>438</v>
      </c>
      <c r="AG191" s="23" t="s">
        <v>438</v>
      </c>
      <c r="AH191" s="23" t="s">
        <v>438</v>
      </c>
      <c r="AI191" s="24" t="s">
        <v>153</v>
      </c>
      <c r="AJ191" s="23" t="s">
        <v>438</v>
      </c>
      <c r="AK191" s="23" t="s">
        <v>438</v>
      </c>
      <c r="AL191" s="23" t="s">
        <v>438</v>
      </c>
      <c r="AM191" s="23" t="s">
        <v>438</v>
      </c>
      <c r="AN191" s="23" t="s">
        <v>438</v>
      </c>
      <c r="AO191" s="23" t="s">
        <v>438</v>
      </c>
      <c r="AP191" s="23">
        <f>VALUE(4)</f>
        <v>4</v>
      </c>
      <c r="AQ191" s="23">
        <f>VALUE(0)</f>
        <v>0</v>
      </c>
      <c r="AR191" s="23">
        <f>VALUE(0)</f>
        <v>0</v>
      </c>
      <c r="AS191" s="23">
        <f>VALUE(0)</f>
        <v>0</v>
      </c>
      <c r="AT191" s="23">
        <f>VALUE(0)</f>
        <v>0</v>
      </c>
      <c r="AU191" s="23">
        <f>VALUE(1)</f>
        <v>1</v>
      </c>
      <c r="AV191" s="23">
        <f>VALUE(3)</f>
        <v>3</v>
      </c>
      <c r="AW191" s="23">
        <f>VALUE(0)</f>
        <v>0</v>
      </c>
      <c r="AX191" s="23">
        <f>VALUE(0)</f>
        <v>0</v>
      </c>
      <c r="AY191" s="23">
        <f>VALUE(0)</f>
        <v>0</v>
      </c>
      <c r="AZ191" s="23">
        <f>VALUE(0)</f>
        <v>0</v>
      </c>
      <c r="BA191" s="23">
        <f>VALUE(0)</f>
        <v>0</v>
      </c>
      <c r="BB191" s="23">
        <f>VALUE(0)</f>
        <v>0</v>
      </c>
      <c r="BC191" s="23">
        <f>VALUE(0)</f>
        <v>0</v>
      </c>
      <c r="BD191" s="23">
        <f>VALUE(7)</f>
        <v>7</v>
      </c>
      <c r="BE191" s="23">
        <f>VALUE(0)</f>
        <v>0</v>
      </c>
      <c r="BF191" s="23">
        <f>VALUE(0)</f>
        <v>0</v>
      </c>
      <c r="BG191" s="23">
        <f>VALUE(0)</f>
        <v>0</v>
      </c>
      <c r="BH191" s="23">
        <f>VALUE(0)</f>
        <v>0</v>
      </c>
      <c r="BI191" s="23">
        <f>VALUE(0)</f>
        <v>0</v>
      </c>
      <c r="BJ191" s="23">
        <f>VALUE(0)</f>
        <v>0</v>
      </c>
      <c r="BK191" s="12">
        <f>$AX$191*24</f>
        <v>0</v>
      </c>
      <c r="BL191" s="12">
        <f>$AY$191*24</f>
        <v>0</v>
      </c>
      <c r="BM191" s="12">
        <f>$BJ$191*24</f>
        <v>0</v>
      </c>
      <c r="BN191" s="12">
        <f>VALUE($I$191)/100</f>
        <v>1</v>
      </c>
      <c r="BO191" s="12">
        <v>0</v>
      </c>
      <c r="BP191" s="12">
        <v>0</v>
      </c>
      <c r="BQ191" s="12">
        <v>0</v>
      </c>
      <c r="BR191" s="12">
        <v>7</v>
      </c>
      <c r="BS191" s="12">
        <v>0</v>
      </c>
      <c r="BT191" s="12">
        <v>0</v>
      </c>
      <c r="BU191" s="12">
        <v>0</v>
      </c>
      <c r="BV191" s="12">
        <v>0</v>
      </c>
      <c r="BW191" s="12">
        <v>0</v>
      </c>
      <c r="BX191" s="12">
        <v>0</v>
      </c>
      <c r="BY191" s="12">
        <v>0</v>
      </c>
      <c r="BZ191" s="12">
        <v>0</v>
      </c>
      <c r="CA191" s="12">
        <v>0</v>
      </c>
    </row>
    <row r="192" spans="1:79" hidden="1" x14ac:dyDescent="0.2">
      <c r="A192" s="12" t="s">
        <v>120</v>
      </c>
      <c r="B192" s="12" t="s">
        <v>125</v>
      </c>
      <c r="C192" s="12" t="s">
        <v>125</v>
      </c>
      <c r="D192" s="22" t="s">
        <v>461</v>
      </c>
      <c r="E192" s="22" t="s">
        <v>332</v>
      </c>
      <c r="F192" s="22" t="s">
        <v>896</v>
      </c>
      <c r="G192" s="22" t="s">
        <v>897</v>
      </c>
      <c r="H192" s="22" t="s">
        <v>150</v>
      </c>
      <c r="I192" s="22" t="s">
        <v>151</v>
      </c>
      <c r="J192" s="22" t="s">
        <v>162</v>
      </c>
      <c r="K192" s="22" t="s">
        <v>84</v>
      </c>
      <c r="L192" s="54" t="s">
        <v>153</v>
      </c>
      <c r="M192" s="23" t="s">
        <v>451</v>
      </c>
      <c r="N192" s="24" t="s">
        <v>153</v>
      </c>
      <c r="O192" s="24" t="s">
        <v>156</v>
      </c>
      <c r="P192" s="24" t="s">
        <v>156</v>
      </c>
      <c r="Q192" s="23" t="s">
        <v>453</v>
      </c>
      <c r="R192" s="23" t="s">
        <v>453</v>
      </c>
      <c r="S192" s="23" t="s">
        <v>442</v>
      </c>
      <c r="T192" s="23" t="s">
        <v>442</v>
      </c>
      <c r="U192" s="24" t="s">
        <v>153</v>
      </c>
      <c r="V192" s="54" t="s">
        <v>153</v>
      </c>
      <c r="W192" s="25" t="s">
        <v>438</v>
      </c>
      <c r="X192" s="23" t="s">
        <v>451</v>
      </c>
      <c r="Y192" s="23" t="s">
        <v>451</v>
      </c>
      <c r="Z192" s="23" t="s">
        <v>440</v>
      </c>
      <c r="AA192" s="23" t="s">
        <v>440</v>
      </c>
      <c r="AB192" s="24" t="s">
        <v>153</v>
      </c>
      <c r="AC192" s="23" t="s">
        <v>447</v>
      </c>
      <c r="AD192" s="23" t="s">
        <v>447</v>
      </c>
      <c r="AE192" s="25" t="s">
        <v>438</v>
      </c>
      <c r="AF192" s="25" t="s">
        <v>438</v>
      </c>
      <c r="AG192" s="23" t="s">
        <v>456</v>
      </c>
      <c r="AH192" s="23" t="s">
        <v>456</v>
      </c>
      <c r="AI192" s="24" t="s">
        <v>153</v>
      </c>
      <c r="AJ192" s="23" t="s">
        <v>444</v>
      </c>
      <c r="AK192" s="23" t="s">
        <v>444</v>
      </c>
      <c r="AL192" s="23" t="s">
        <v>459</v>
      </c>
      <c r="AM192" s="23" t="s">
        <v>459</v>
      </c>
      <c r="AN192" s="23" t="s">
        <v>454</v>
      </c>
      <c r="AO192" s="23" t="s">
        <v>454</v>
      </c>
      <c r="AP192" s="23">
        <f>VALUE(11)</f>
        <v>11</v>
      </c>
      <c r="AQ192" s="23">
        <f>VALUE(0)</f>
        <v>0</v>
      </c>
      <c r="AR192" s="23">
        <f>VALUE(0)</f>
        <v>0</v>
      </c>
      <c r="AS192" s="23">
        <f>VALUE(0)</f>
        <v>0</v>
      </c>
      <c r="AT192" s="23">
        <f>VALUE(0)</f>
        <v>0</v>
      </c>
      <c r="AU192" s="23">
        <f>VALUE(0)</f>
        <v>0</v>
      </c>
      <c r="AV192" s="23">
        <f>VALUE(2)</f>
        <v>2</v>
      </c>
      <c r="AW192" s="23">
        <f>VALUE(0)</f>
        <v>0</v>
      </c>
      <c r="AX192" s="23">
        <f>VALUE(0)</f>
        <v>0</v>
      </c>
      <c r="AY192" s="23">
        <f>VALUE(0)</f>
        <v>0</v>
      </c>
      <c r="AZ192" s="23">
        <f>VALUE(0)</f>
        <v>0</v>
      </c>
      <c r="BA192" s="23">
        <f>VALUE(0)</f>
        <v>0</v>
      </c>
      <c r="BB192" s="23">
        <f>VALUE(0)</f>
        <v>0</v>
      </c>
      <c r="BC192" s="23">
        <f>VALUE(0)</f>
        <v>0</v>
      </c>
      <c r="BD192" s="23">
        <f>VALUE(0)</f>
        <v>0</v>
      </c>
      <c r="BE192" s="23">
        <f>VALUE(0)</f>
        <v>0</v>
      </c>
      <c r="BF192" s="23">
        <f>VALUE(0)</f>
        <v>0</v>
      </c>
      <c r="BG192" s="23">
        <f>VALUE(0)</f>
        <v>0</v>
      </c>
      <c r="BH192" s="23">
        <f>VALUE(0)</f>
        <v>0</v>
      </c>
      <c r="BI192" s="23">
        <f>VALUE(0)</f>
        <v>0</v>
      </c>
      <c r="BJ192" s="23">
        <f>VALUE(0)</f>
        <v>0</v>
      </c>
      <c r="BK192" s="12">
        <f>$AX$192*24</f>
        <v>0</v>
      </c>
      <c r="BL192" s="12">
        <f>$AY$192*24</f>
        <v>0</v>
      </c>
      <c r="BM192" s="12">
        <f>$BJ$192*24</f>
        <v>0</v>
      </c>
      <c r="BN192" s="12">
        <f>VALUE($I$192)/100</f>
        <v>1</v>
      </c>
      <c r="BO192" s="12">
        <v>0</v>
      </c>
      <c r="BP192" s="12">
        <v>0</v>
      </c>
      <c r="BQ192" s="12">
        <v>0</v>
      </c>
      <c r="BR192" s="12">
        <v>0</v>
      </c>
      <c r="BS192" s="12">
        <v>0</v>
      </c>
      <c r="BT192" s="12">
        <v>0</v>
      </c>
      <c r="BU192" s="12">
        <v>0</v>
      </c>
      <c r="BV192" s="12">
        <v>0</v>
      </c>
      <c r="BW192" s="12">
        <v>0</v>
      </c>
      <c r="BX192" s="12">
        <v>0</v>
      </c>
      <c r="BY192" s="12">
        <v>0</v>
      </c>
      <c r="BZ192" s="12">
        <v>0</v>
      </c>
      <c r="CA192" s="12">
        <v>0</v>
      </c>
    </row>
    <row r="193" spans="1:79" ht="15" hidden="1" x14ac:dyDescent="0.25">
      <c r="A193" s="12" t="s">
        <v>120</v>
      </c>
      <c r="B193" s="12" t="s">
        <v>125</v>
      </c>
      <c r="C193" s="12" t="s">
        <v>125</v>
      </c>
      <c r="D193" s="31" t="s">
        <v>1248</v>
      </c>
      <c r="E193" s="31" t="s">
        <v>153</v>
      </c>
      <c r="F193" s="31" t="s">
        <v>175</v>
      </c>
      <c r="G193" s="31" t="s">
        <v>153</v>
      </c>
      <c r="H193" s="31" t="s">
        <v>153</v>
      </c>
      <c r="I193" s="31" t="s">
        <v>153</v>
      </c>
      <c r="J193" s="31" t="s">
        <v>153</v>
      </c>
      <c r="K193" s="31" t="s">
        <v>153</v>
      </c>
      <c r="L193" s="31">
        <f>VALUE(0)</f>
        <v>0</v>
      </c>
      <c r="M193" s="31">
        <f>VALUE(11)</f>
        <v>11</v>
      </c>
      <c r="N193" s="31">
        <f>VALUE(0)</f>
        <v>0</v>
      </c>
      <c r="O193" s="31">
        <f>VALUE(13)</f>
        <v>13</v>
      </c>
      <c r="P193" s="31">
        <f>VALUE(13)</f>
        <v>13</v>
      </c>
      <c r="Q193" s="31">
        <f>VALUE(13)</f>
        <v>13</v>
      </c>
      <c r="R193" s="31">
        <f>VALUE(13)</f>
        <v>13</v>
      </c>
      <c r="S193" s="31">
        <f>VALUE(13)</f>
        <v>13</v>
      </c>
      <c r="T193" s="31">
        <f>VALUE(13)</f>
        <v>13</v>
      </c>
      <c r="U193" s="31">
        <f>VALUE(0)</f>
        <v>0</v>
      </c>
      <c r="V193" s="31">
        <f>VALUE(0)</f>
        <v>0</v>
      </c>
      <c r="W193" s="31">
        <f>VALUE(11)</f>
        <v>11</v>
      </c>
      <c r="X193" s="31">
        <f>VALUE(10)</f>
        <v>10</v>
      </c>
      <c r="Y193" s="31">
        <f>VALUE(11)</f>
        <v>11</v>
      </c>
      <c r="Z193" s="31">
        <f>VALUE(11)</f>
        <v>11</v>
      </c>
      <c r="AA193" s="31">
        <f>VALUE(11)</f>
        <v>11</v>
      </c>
      <c r="AB193" s="31">
        <f>VALUE(0)</f>
        <v>0</v>
      </c>
      <c r="AC193" s="31">
        <f>VALUE(11)</f>
        <v>11</v>
      </c>
      <c r="AD193" s="31">
        <f>VALUE(11)</f>
        <v>11</v>
      </c>
      <c r="AE193" s="31">
        <f>VALUE(12)</f>
        <v>12</v>
      </c>
      <c r="AF193" s="31">
        <f>VALUE(11)</f>
        <v>11</v>
      </c>
      <c r="AG193" s="31">
        <f>VALUE(10)</f>
        <v>10</v>
      </c>
      <c r="AH193" s="31">
        <f>VALUE(10)</f>
        <v>10</v>
      </c>
      <c r="AI193" s="31">
        <f>VALUE(0)</f>
        <v>0</v>
      </c>
      <c r="AJ193" s="31">
        <f>VALUE(11)</f>
        <v>11</v>
      </c>
      <c r="AK193" s="31">
        <f>VALUE(11)</f>
        <v>11</v>
      </c>
      <c r="AL193" s="31">
        <f>VALUE(11)</f>
        <v>11</v>
      </c>
      <c r="AM193" s="31">
        <f>VALUE(11)</f>
        <v>11</v>
      </c>
      <c r="AN193" s="31">
        <f>VALUE(11)</f>
        <v>11</v>
      </c>
      <c r="AO193" s="31">
        <f>VALUE(11)</f>
        <v>11</v>
      </c>
      <c r="AP193" s="31">
        <v>0</v>
      </c>
      <c r="AQ193" s="31">
        <v>0</v>
      </c>
      <c r="AR193" s="31">
        <v>0</v>
      </c>
      <c r="AS193" s="31">
        <v>0</v>
      </c>
      <c r="AT193" s="31">
        <v>0</v>
      </c>
      <c r="AU193" s="31">
        <v>0</v>
      </c>
      <c r="AV193" s="31">
        <v>0</v>
      </c>
      <c r="AW193" s="31">
        <v>0</v>
      </c>
      <c r="AX193" s="31">
        <v>0</v>
      </c>
      <c r="AY193" s="31">
        <v>0</v>
      </c>
      <c r="AZ193" s="31">
        <v>0</v>
      </c>
      <c r="BA193" s="31">
        <v>0</v>
      </c>
      <c r="BB193" s="31">
        <v>0</v>
      </c>
      <c r="BC193" s="31">
        <v>0</v>
      </c>
      <c r="BD193" s="31">
        <v>0</v>
      </c>
      <c r="BE193" s="31">
        <v>0</v>
      </c>
      <c r="BF193" s="31">
        <v>0</v>
      </c>
      <c r="BG193" s="31">
        <v>0</v>
      </c>
      <c r="BH193" s="31">
        <v>0</v>
      </c>
      <c r="BI193" s="31">
        <v>0</v>
      </c>
      <c r="BJ193" s="31">
        <v>0</v>
      </c>
      <c r="BK193" s="12">
        <v>0</v>
      </c>
      <c r="BL193" s="12">
        <v>0</v>
      </c>
      <c r="BM193" s="12">
        <v>0</v>
      </c>
      <c r="BN193" s="12"/>
      <c r="BO193" s="12">
        <v>0</v>
      </c>
      <c r="BP193" s="12">
        <v>0</v>
      </c>
      <c r="BQ193" s="12">
        <v>0</v>
      </c>
      <c r="BR193" s="12">
        <v>0</v>
      </c>
      <c r="BS193" s="12">
        <v>0</v>
      </c>
      <c r="BT193" s="12">
        <v>0</v>
      </c>
      <c r="BU193" s="12">
        <v>0</v>
      </c>
      <c r="BV193" s="12">
        <v>0</v>
      </c>
      <c r="BW193" s="12">
        <v>0</v>
      </c>
      <c r="BX193" s="12">
        <v>0</v>
      </c>
      <c r="BY193" s="12">
        <v>0</v>
      </c>
      <c r="BZ193" s="12">
        <v>0</v>
      </c>
      <c r="CA193" s="12">
        <v>0</v>
      </c>
    </row>
    <row r="194" spans="1:79" hidden="1" x14ac:dyDescent="0.2">
      <c r="A194" s="12" t="s">
        <v>120</v>
      </c>
      <c r="B194" s="12" t="s">
        <v>126</v>
      </c>
      <c r="C194" s="12" t="s">
        <v>126</v>
      </c>
      <c r="D194" s="22" t="s">
        <v>462</v>
      </c>
      <c r="E194" s="22" t="s">
        <v>161</v>
      </c>
      <c r="F194" s="22" t="s">
        <v>898</v>
      </c>
      <c r="G194" s="22" t="s">
        <v>899</v>
      </c>
      <c r="H194" s="22" t="s">
        <v>150</v>
      </c>
      <c r="I194" s="22" t="s">
        <v>151</v>
      </c>
      <c r="J194" s="22" t="s">
        <v>162</v>
      </c>
      <c r="K194" s="22" t="s">
        <v>85</v>
      </c>
      <c r="L194" s="54" t="s">
        <v>153</v>
      </c>
      <c r="M194" s="23" t="s">
        <v>153</v>
      </c>
      <c r="N194" s="24" t="s">
        <v>153</v>
      </c>
      <c r="O194" s="28" t="s">
        <v>163</v>
      </c>
      <c r="P194" s="28" t="s">
        <v>163</v>
      </c>
      <c r="Q194" s="28" t="s">
        <v>163</v>
      </c>
      <c r="R194" s="28" t="s">
        <v>163</v>
      </c>
      <c r="S194" s="28" t="s">
        <v>163</v>
      </c>
      <c r="T194" s="28" t="s">
        <v>163</v>
      </c>
      <c r="U194" s="24" t="s">
        <v>153</v>
      </c>
      <c r="V194" s="54" t="s">
        <v>153</v>
      </c>
      <c r="W194" s="23" t="s">
        <v>153</v>
      </c>
      <c r="X194" s="23" t="s">
        <v>153</v>
      </c>
      <c r="Y194" s="23" t="s">
        <v>153</v>
      </c>
      <c r="Z194" s="23" t="s">
        <v>153</v>
      </c>
      <c r="AA194" s="23" t="s">
        <v>153</v>
      </c>
      <c r="AB194" s="24" t="s">
        <v>153</v>
      </c>
      <c r="AC194" s="23" t="s">
        <v>153</v>
      </c>
      <c r="AD194" s="23" t="s">
        <v>153</v>
      </c>
      <c r="AE194" s="23" t="s">
        <v>153</v>
      </c>
      <c r="AF194" s="23" t="s">
        <v>153</v>
      </c>
      <c r="AG194" s="23" t="s">
        <v>153</v>
      </c>
      <c r="AH194" s="23" t="s">
        <v>153</v>
      </c>
      <c r="AI194" s="24" t="s">
        <v>153</v>
      </c>
      <c r="AJ194" s="23" t="s">
        <v>153</v>
      </c>
      <c r="AK194" s="23" t="s">
        <v>153</v>
      </c>
      <c r="AL194" s="23" t="s">
        <v>153</v>
      </c>
      <c r="AM194" s="23" t="s">
        <v>153</v>
      </c>
      <c r="AN194" s="23" t="s">
        <v>153</v>
      </c>
      <c r="AO194" s="23" t="s">
        <v>153</v>
      </c>
      <c r="AP194" s="23">
        <f>VALUE(2)</f>
        <v>2</v>
      </c>
      <c r="AQ194" s="23">
        <f>VALUE(0)</f>
        <v>0</v>
      </c>
      <c r="AR194" s="23">
        <f>VALUE(0)</f>
        <v>0</v>
      </c>
      <c r="AS194" s="23">
        <f>VALUE(0)</f>
        <v>0</v>
      </c>
      <c r="AT194" s="23">
        <f>VALUE(0)</f>
        <v>0</v>
      </c>
      <c r="AU194" s="23">
        <f>VALUE(6)</f>
        <v>6</v>
      </c>
      <c r="AV194" s="23">
        <f>VALUE(0)</f>
        <v>0</v>
      </c>
      <c r="AW194" s="23">
        <f>VALUE(0)</f>
        <v>0</v>
      </c>
      <c r="AX194" s="23" t="s">
        <v>463</v>
      </c>
      <c r="AY194" s="23" t="s">
        <v>1249</v>
      </c>
      <c r="AZ194" s="23">
        <f>VALUE(0)</f>
        <v>0</v>
      </c>
      <c r="BA194" s="23">
        <f>VALUE(0)</f>
        <v>0</v>
      </c>
      <c r="BB194" s="23">
        <f>VALUE(0)</f>
        <v>0</v>
      </c>
      <c r="BC194" s="23">
        <f>VALUE(0)</f>
        <v>0</v>
      </c>
      <c r="BD194" s="23">
        <f>VALUE(0)</f>
        <v>0</v>
      </c>
      <c r="BE194" s="23">
        <f>VALUE(0)</f>
        <v>0</v>
      </c>
      <c r="BF194" s="23">
        <f>VALUE(0)</f>
        <v>0</v>
      </c>
      <c r="BG194" s="23">
        <f>VALUE(0)</f>
        <v>0</v>
      </c>
      <c r="BH194" s="23">
        <f>VALUE(0)</f>
        <v>0</v>
      </c>
      <c r="BI194" s="23">
        <f>VALUE(0)</f>
        <v>0</v>
      </c>
      <c r="BJ194" s="23">
        <f>VALUE(0)</f>
        <v>0</v>
      </c>
      <c r="BK194" s="12">
        <f>$AX$194*24</f>
        <v>11.316666666666666</v>
      </c>
      <c r="BL194" s="12">
        <f>$AY$194*24</f>
        <v>56.350000000000009</v>
      </c>
      <c r="BM194" s="12">
        <f>$BJ$194*24</f>
        <v>0</v>
      </c>
      <c r="BN194" s="12">
        <f>VALUE($I$194)/100</f>
        <v>1</v>
      </c>
      <c r="BO194" s="12">
        <v>0</v>
      </c>
      <c r="BP194" s="12">
        <v>0</v>
      </c>
      <c r="BQ194" s="12">
        <v>0</v>
      </c>
      <c r="BR194" s="12">
        <v>0</v>
      </c>
      <c r="BS194" s="12">
        <v>0</v>
      </c>
      <c r="BT194" s="12">
        <v>0</v>
      </c>
      <c r="BU194" s="12">
        <v>0</v>
      </c>
      <c r="BV194" s="12">
        <v>0</v>
      </c>
      <c r="BW194" s="12">
        <v>0</v>
      </c>
      <c r="BX194" s="12">
        <v>0</v>
      </c>
      <c r="BY194" s="12">
        <v>0</v>
      </c>
      <c r="BZ194" s="12">
        <v>0</v>
      </c>
      <c r="CA194" s="12">
        <v>0</v>
      </c>
    </row>
    <row r="195" spans="1:79" hidden="1" x14ac:dyDescent="0.2">
      <c r="A195" s="12" t="s">
        <v>120</v>
      </c>
      <c r="B195" s="12" t="s">
        <v>126</v>
      </c>
      <c r="C195" s="12" t="s">
        <v>126</v>
      </c>
      <c r="D195" s="22" t="s">
        <v>449</v>
      </c>
      <c r="E195" s="22" t="s">
        <v>161</v>
      </c>
      <c r="F195" s="22" t="s">
        <v>900</v>
      </c>
      <c r="G195" s="22" t="s">
        <v>901</v>
      </c>
      <c r="H195" s="22" t="s">
        <v>166</v>
      </c>
      <c r="I195" s="22" t="s">
        <v>151</v>
      </c>
      <c r="J195" s="22" t="s">
        <v>162</v>
      </c>
      <c r="K195" s="22" t="s">
        <v>85</v>
      </c>
      <c r="L195" s="54" t="s">
        <v>156</v>
      </c>
      <c r="M195" s="24" t="s">
        <v>156</v>
      </c>
      <c r="N195" s="24" t="s">
        <v>153</v>
      </c>
      <c r="O195" s="23" t="s">
        <v>153</v>
      </c>
      <c r="P195" s="23" t="s">
        <v>153</v>
      </c>
      <c r="Q195" s="23" t="s">
        <v>153</v>
      </c>
      <c r="R195" s="23" t="s">
        <v>153</v>
      </c>
      <c r="S195" s="23" t="s">
        <v>153</v>
      </c>
      <c r="T195" s="23" t="s">
        <v>153</v>
      </c>
      <c r="U195" s="24" t="s">
        <v>153</v>
      </c>
      <c r="V195" s="54" t="s">
        <v>153</v>
      </c>
      <c r="W195" s="28" t="s">
        <v>163</v>
      </c>
      <c r="X195" s="28" t="s">
        <v>163</v>
      </c>
      <c r="Y195" s="28" t="s">
        <v>163</v>
      </c>
      <c r="Z195" s="28" t="s">
        <v>163</v>
      </c>
      <c r="AA195" s="28" t="s">
        <v>163</v>
      </c>
      <c r="AB195" s="24" t="s">
        <v>153</v>
      </c>
      <c r="AC195" s="23" t="s">
        <v>153</v>
      </c>
      <c r="AD195" s="23" t="s">
        <v>153</v>
      </c>
      <c r="AE195" s="23" t="s">
        <v>153</v>
      </c>
      <c r="AF195" s="23" t="s">
        <v>153</v>
      </c>
      <c r="AG195" s="23" t="s">
        <v>153</v>
      </c>
      <c r="AH195" s="23" t="s">
        <v>153</v>
      </c>
      <c r="AI195" s="24" t="s">
        <v>153</v>
      </c>
      <c r="AJ195" s="28" t="s">
        <v>163</v>
      </c>
      <c r="AK195" s="28" t="s">
        <v>163</v>
      </c>
      <c r="AL195" s="28" t="s">
        <v>163</v>
      </c>
      <c r="AM195" s="28" t="s">
        <v>163</v>
      </c>
      <c r="AN195" s="28" t="s">
        <v>163</v>
      </c>
      <c r="AO195" s="28" t="s">
        <v>163</v>
      </c>
      <c r="AP195" s="23">
        <f>VALUE(2)</f>
        <v>2</v>
      </c>
      <c r="AQ195" s="23">
        <f>VALUE(0)</f>
        <v>0</v>
      </c>
      <c r="AR195" s="23">
        <f>VALUE(0)</f>
        <v>0</v>
      </c>
      <c r="AS195" s="23">
        <f>VALUE(0)</f>
        <v>0</v>
      </c>
      <c r="AT195" s="23">
        <f>VALUE(0)</f>
        <v>0</v>
      </c>
      <c r="AU195" s="23">
        <f>VALUE(11)</f>
        <v>11</v>
      </c>
      <c r="AV195" s="23">
        <f>VALUE(7)</f>
        <v>7</v>
      </c>
      <c r="AW195" s="23">
        <f>VALUE(0)</f>
        <v>0</v>
      </c>
      <c r="AX195" s="23" t="s">
        <v>1250</v>
      </c>
      <c r="AY195" s="23">
        <f>VALUE(0)</f>
        <v>0</v>
      </c>
      <c r="AZ195" s="23">
        <f>VALUE(0)</f>
        <v>0</v>
      </c>
      <c r="BA195" s="23">
        <f>VALUE(0)</f>
        <v>0</v>
      </c>
      <c r="BB195" s="23">
        <f>VALUE(0)</f>
        <v>0</v>
      </c>
      <c r="BC195" s="23">
        <f>VALUE(0)</f>
        <v>0</v>
      </c>
      <c r="BD195" s="23">
        <f>VALUE(0)</f>
        <v>0</v>
      </c>
      <c r="BE195" s="23">
        <f>VALUE(0)</f>
        <v>0</v>
      </c>
      <c r="BF195" s="23">
        <f>VALUE(0)</f>
        <v>0</v>
      </c>
      <c r="BG195" s="23">
        <f>VALUE(0)</f>
        <v>0</v>
      </c>
      <c r="BH195" s="23">
        <f>VALUE(0)</f>
        <v>0</v>
      </c>
      <c r="BI195" s="23">
        <f>VALUE(0)</f>
        <v>0</v>
      </c>
      <c r="BJ195" s="23">
        <f>VALUE(0)</f>
        <v>0</v>
      </c>
      <c r="BK195" s="12">
        <f>$AX$195*24</f>
        <v>18.55</v>
      </c>
      <c r="BL195" s="12">
        <f>$AY$195*24</f>
        <v>0</v>
      </c>
      <c r="BM195" s="12">
        <f>$BJ$195*24</f>
        <v>0</v>
      </c>
      <c r="BN195" s="12">
        <f>VALUE($I$195)/100</f>
        <v>1</v>
      </c>
      <c r="BO195" s="12">
        <v>0</v>
      </c>
      <c r="BP195" s="12">
        <v>0</v>
      </c>
      <c r="BQ195" s="12">
        <v>0</v>
      </c>
      <c r="BR195" s="12">
        <v>0</v>
      </c>
      <c r="BS195" s="12">
        <v>0</v>
      </c>
      <c r="BT195" s="12">
        <v>0</v>
      </c>
      <c r="BU195" s="12">
        <v>0</v>
      </c>
      <c r="BV195" s="12">
        <v>0</v>
      </c>
      <c r="BW195" s="12">
        <v>0</v>
      </c>
      <c r="BX195" s="12">
        <v>0</v>
      </c>
      <c r="BY195" s="12">
        <v>0</v>
      </c>
      <c r="BZ195" s="12">
        <v>0</v>
      </c>
      <c r="CA195" s="12">
        <v>0</v>
      </c>
    </row>
    <row r="196" spans="1:79" hidden="1" x14ac:dyDescent="0.2">
      <c r="A196" s="12" t="s">
        <v>120</v>
      </c>
      <c r="B196" s="12" t="s">
        <v>126</v>
      </c>
      <c r="C196" s="12" t="s">
        <v>126</v>
      </c>
      <c r="D196" s="22" t="s">
        <v>448</v>
      </c>
      <c r="E196" s="22" t="s">
        <v>161</v>
      </c>
      <c r="F196" s="22" t="s">
        <v>902</v>
      </c>
      <c r="G196" s="22" t="s">
        <v>903</v>
      </c>
      <c r="H196" s="22" t="s">
        <v>150</v>
      </c>
      <c r="I196" s="22" t="s">
        <v>151</v>
      </c>
      <c r="J196" s="22" t="s">
        <v>162</v>
      </c>
      <c r="K196" s="22" t="s">
        <v>85</v>
      </c>
      <c r="L196" s="54" t="s">
        <v>153</v>
      </c>
      <c r="M196" s="23" t="s">
        <v>153</v>
      </c>
      <c r="N196" s="24" t="s">
        <v>153</v>
      </c>
      <c r="O196" s="23" t="s">
        <v>462</v>
      </c>
      <c r="P196" s="23" t="s">
        <v>462</v>
      </c>
      <c r="Q196" s="23" t="s">
        <v>462</v>
      </c>
      <c r="R196" s="23" t="s">
        <v>462</v>
      </c>
      <c r="S196" s="25" t="s">
        <v>454</v>
      </c>
      <c r="T196" s="25" t="s">
        <v>454</v>
      </c>
      <c r="U196" s="24" t="s">
        <v>153</v>
      </c>
      <c r="V196" s="54" t="s">
        <v>153</v>
      </c>
      <c r="W196" s="23" t="s">
        <v>454</v>
      </c>
      <c r="X196" s="23" t="s">
        <v>454</v>
      </c>
      <c r="Y196" s="23" t="s">
        <v>454</v>
      </c>
      <c r="Z196" s="23" t="s">
        <v>454</v>
      </c>
      <c r="AA196" s="23" t="s">
        <v>454</v>
      </c>
      <c r="AB196" s="24" t="s">
        <v>153</v>
      </c>
      <c r="AC196" s="23" t="s">
        <v>153</v>
      </c>
      <c r="AD196" s="23" t="s">
        <v>153</v>
      </c>
      <c r="AE196" s="23" t="s">
        <v>153</v>
      </c>
      <c r="AF196" s="23" t="s">
        <v>451</v>
      </c>
      <c r="AG196" s="23" t="s">
        <v>451</v>
      </c>
      <c r="AH196" s="23" t="s">
        <v>451</v>
      </c>
      <c r="AI196" s="24" t="s">
        <v>153</v>
      </c>
      <c r="AJ196" s="23" t="s">
        <v>153</v>
      </c>
      <c r="AK196" s="23" t="s">
        <v>153</v>
      </c>
      <c r="AL196" s="23" t="s">
        <v>153</v>
      </c>
      <c r="AM196" s="23" t="s">
        <v>153</v>
      </c>
      <c r="AN196" s="23" t="s">
        <v>153</v>
      </c>
      <c r="AO196" s="23" t="s">
        <v>153</v>
      </c>
      <c r="AP196" s="23">
        <f>VALUE(7)</f>
        <v>7</v>
      </c>
      <c r="AQ196" s="23">
        <f>VALUE(0)</f>
        <v>0</v>
      </c>
      <c r="AR196" s="23">
        <f>VALUE(0)</f>
        <v>0</v>
      </c>
      <c r="AS196" s="23">
        <f>VALUE(0)</f>
        <v>0</v>
      </c>
      <c r="AT196" s="23">
        <f>VALUE(0)</f>
        <v>0</v>
      </c>
      <c r="AU196" s="23">
        <f>VALUE(0)</f>
        <v>0</v>
      </c>
      <c r="AV196" s="23">
        <f>VALUE(18)</f>
        <v>18</v>
      </c>
      <c r="AW196" s="23">
        <f>VALUE(0)</f>
        <v>0</v>
      </c>
      <c r="AX196" s="23">
        <f>VALUE(0)</f>
        <v>0</v>
      </c>
      <c r="AY196" s="23">
        <f>VALUE(0)</f>
        <v>0</v>
      </c>
      <c r="AZ196" s="23">
        <f>VALUE(0)</f>
        <v>0</v>
      </c>
      <c r="BA196" s="23">
        <f>VALUE(0)</f>
        <v>0</v>
      </c>
      <c r="BB196" s="23">
        <f>VALUE(0)</f>
        <v>0</v>
      </c>
      <c r="BC196" s="23">
        <f>VALUE(0)</f>
        <v>0</v>
      </c>
      <c r="BD196" s="23">
        <f>VALUE(0)</f>
        <v>0</v>
      </c>
      <c r="BE196" s="23">
        <f>VALUE(0)</f>
        <v>0</v>
      </c>
      <c r="BF196" s="23">
        <f>VALUE(0)</f>
        <v>0</v>
      </c>
      <c r="BG196" s="23">
        <f>VALUE(0)</f>
        <v>0</v>
      </c>
      <c r="BH196" s="23">
        <f>VALUE(0)</f>
        <v>0</v>
      </c>
      <c r="BI196" s="23">
        <f>VALUE(0)</f>
        <v>0</v>
      </c>
      <c r="BJ196" s="23">
        <f>VALUE(0)</f>
        <v>0</v>
      </c>
      <c r="BK196" s="12">
        <f>$AX$196*24</f>
        <v>0</v>
      </c>
      <c r="BL196" s="12">
        <f>$AY$196*24</f>
        <v>0</v>
      </c>
      <c r="BM196" s="12">
        <f>$BJ$196*24</f>
        <v>0</v>
      </c>
      <c r="BN196" s="12">
        <f>VALUE($I$196)/100</f>
        <v>1</v>
      </c>
      <c r="BO196" s="12">
        <v>0</v>
      </c>
      <c r="BP196" s="12">
        <v>0</v>
      </c>
      <c r="BQ196" s="12">
        <v>0</v>
      </c>
      <c r="BR196" s="12">
        <v>0</v>
      </c>
      <c r="BS196" s="12">
        <v>0</v>
      </c>
      <c r="BT196" s="12">
        <v>0</v>
      </c>
      <c r="BU196" s="12">
        <v>0</v>
      </c>
      <c r="BV196" s="12">
        <v>0</v>
      </c>
      <c r="BW196" s="12">
        <v>0</v>
      </c>
      <c r="BX196" s="12">
        <v>0</v>
      </c>
      <c r="BY196" s="12">
        <v>0</v>
      </c>
      <c r="BZ196" s="12">
        <v>0</v>
      </c>
      <c r="CA196" s="12">
        <v>0</v>
      </c>
    </row>
    <row r="197" spans="1:79" hidden="1" x14ac:dyDescent="0.2">
      <c r="A197" s="12" t="s">
        <v>120</v>
      </c>
      <c r="B197" s="12" t="s">
        <v>126</v>
      </c>
      <c r="C197" s="12" t="s">
        <v>126</v>
      </c>
      <c r="D197" s="22" t="s">
        <v>450</v>
      </c>
      <c r="E197" s="22" t="s">
        <v>161</v>
      </c>
      <c r="F197" s="22" t="s">
        <v>904</v>
      </c>
      <c r="G197" s="22" t="s">
        <v>905</v>
      </c>
      <c r="H197" s="22" t="s">
        <v>242</v>
      </c>
      <c r="I197" s="22" t="s">
        <v>151</v>
      </c>
      <c r="J197" s="22" t="s">
        <v>162</v>
      </c>
      <c r="K197" s="22" t="s">
        <v>85</v>
      </c>
      <c r="L197" s="54" t="s">
        <v>153</v>
      </c>
      <c r="M197" s="23" t="s">
        <v>153</v>
      </c>
      <c r="N197" s="24" t="s">
        <v>153</v>
      </c>
      <c r="O197" s="23" t="s">
        <v>153</v>
      </c>
      <c r="P197" s="23" t="s">
        <v>153</v>
      </c>
      <c r="Q197" s="23" t="s">
        <v>153</v>
      </c>
      <c r="R197" s="23" t="s">
        <v>153</v>
      </c>
      <c r="S197" s="23" t="s">
        <v>153</v>
      </c>
      <c r="T197" s="23" t="s">
        <v>153</v>
      </c>
      <c r="U197" s="24" t="s">
        <v>153</v>
      </c>
      <c r="V197" s="54" t="s">
        <v>153</v>
      </c>
      <c r="W197" s="23" t="s">
        <v>153</v>
      </c>
      <c r="X197" s="23" t="s">
        <v>153</v>
      </c>
      <c r="Y197" s="23" t="s">
        <v>153</v>
      </c>
      <c r="Z197" s="23" t="s">
        <v>153</v>
      </c>
      <c r="AA197" s="23" t="s">
        <v>153</v>
      </c>
      <c r="AB197" s="24" t="s">
        <v>153</v>
      </c>
      <c r="AC197" s="27" t="s">
        <v>153</v>
      </c>
      <c r="AD197" s="27" t="s">
        <v>153</v>
      </c>
      <c r="AE197" s="27" t="s">
        <v>153</v>
      </c>
      <c r="AF197" s="27" t="s">
        <v>153</v>
      </c>
      <c r="AG197" s="27" t="s">
        <v>153</v>
      </c>
      <c r="AH197" s="27" t="s">
        <v>153</v>
      </c>
      <c r="AI197" s="24" t="s">
        <v>153</v>
      </c>
      <c r="AJ197" s="27" t="s">
        <v>153</v>
      </c>
      <c r="AK197" s="27" t="s">
        <v>153</v>
      </c>
      <c r="AL197" s="27" t="s">
        <v>153</v>
      </c>
      <c r="AM197" s="27" t="s">
        <v>153</v>
      </c>
      <c r="AN197" s="27" t="s">
        <v>153</v>
      </c>
      <c r="AO197" s="27" t="s">
        <v>153</v>
      </c>
      <c r="AP197" s="23">
        <f>VALUE(0)</f>
        <v>0</v>
      </c>
      <c r="AQ197" s="23">
        <f>VALUE(0)</f>
        <v>0</v>
      </c>
      <c r="AR197" s="23">
        <f>VALUE(0)</f>
        <v>0</v>
      </c>
      <c r="AS197" s="23">
        <f>VALUE(0)</f>
        <v>0</v>
      </c>
      <c r="AT197" s="23">
        <f>VALUE(0)</f>
        <v>0</v>
      </c>
      <c r="AU197" s="23">
        <f>VALUE(0)</f>
        <v>0</v>
      </c>
      <c r="AV197" s="23">
        <f>VALUE(0)</f>
        <v>0</v>
      </c>
      <c r="AW197" s="23">
        <f>VALUE(0)</f>
        <v>0</v>
      </c>
      <c r="AX197" s="23">
        <f>VALUE(0)</f>
        <v>0</v>
      </c>
      <c r="AY197" s="23">
        <f>VALUE(0)</f>
        <v>0</v>
      </c>
      <c r="AZ197" s="23">
        <f>VALUE(0)</f>
        <v>0</v>
      </c>
      <c r="BA197" s="23">
        <f>VALUE(0)</f>
        <v>0</v>
      </c>
      <c r="BB197" s="23">
        <f>VALUE(0)</f>
        <v>0</v>
      </c>
      <c r="BC197" s="23">
        <f>VALUE(0)</f>
        <v>0</v>
      </c>
      <c r="BD197" s="23">
        <f>VALUE(0)</f>
        <v>0</v>
      </c>
      <c r="BE197" s="23">
        <f>VALUE(0)</f>
        <v>0</v>
      </c>
      <c r="BF197" s="23">
        <f>VALUE(0)</f>
        <v>0</v>
      </c>
      <c r="BG197" s="23">
        <f>VALUE(0)</f>
        <v>0</v>
      </c>
      <c r="BH197" s="23">
        <f>VALUE(0)</f>
        <v>0</v>
      </c>
      <c r="BI197" s="23">
        <f>VALUE(0)</f>
        <v>0</v>
      </c>
      <c r="BJ197" s="23">
        <f>VALUE(0)</f>
        <v>0</v>
      </c>
      <c r="BK197" s="12">
        <f>$AX$197*24</f>
        <v>0</v>
      </c>
      <c r="BL197" s="12">
        <f>$AY$197*24</f>
        <v>0</v>
      </c>
      <c r="BM197" s="12">
        <f>$BJ$197*24</f>
        <v>0</v>
      </c>
      <c r="BN197" s="12">
        <f>VALUE($I$197)/100</f>
        <v>1</v>
      </c>
      <c r="BO197" s="12">
        <v>0</v>
      </c>
      <c r="BP197" s="12">
        <v>0</v>
      </c>
      <c r="BQ197" s="12">
        <v>0</v>
      </c>
      <c r="BR197" s="12">
        <v>0</v>
      </c>
      <c r="BS197" s="12">
        <v>0</v>
      </c>
      <c r="BT197" s="12">
        <v>0</v>
      </c>
      <c r="BU197" s="12">
        <v>0</v>
      </c>
      <c r="BV197" s="12">
        <v>0</v>
      </c>
      <c r="BW197" s="12">
        <v>0</v>
      </c>
      <c r="BX197" s="12">
        <v>0</v>
      </c>
      <c r="BY197" s="12">
        <v>0</v>
      </c>
      <c r="BZ197" s="12">
        <v>0</v>
      </c>
      <c r="CA197" s="12">
        <v>0</v>
      </c>
    </row>
    <row r="198" spans="1:79" hidden="1" x14ac:dyDescent="0.2">
      <c r="A198" s="12" t="s">
        <v>120</v>
      </c>
      <c r="B198" s="12" t="s">
        <v>126</v>
      </c>
      <c r="C198" s="12" t="s">
        <v>126</v>
      </c>
      <c r="D198" s="22" t="s">
        <v>450</v>
      </c>
      <c r="E198" s="22" t="s">
        <v>161</v>
      </c>
      <c r="F198" s="22" t="s">
        <v>906</v>
      </c>
      <c r="G198" s="22" t="s">
        <v>907</v>
      </c>
      <c r="H198" s="22" t="s">
        <v>150</v>
      </c>
      <c r="I198" s="22" t="s">
        <v>151</v>
      </c>
      <c r="J198" s="22" t="s">
        <v>162</v>
      </c>
      <c r="K198" s="22" t="s">
        <v>85</v>
      </c>
      <c r="L198" s="54" t="s">
        <v>153</v>
      </c>
      <c r="M198" s="23" t="s">
        <v>153</v>
      </c>
      <c r="N198" s="24" t="s">
        <v>153</v>
      </c>
      <c r="O198" s="29" t="s">
        <v>163</v>
      </c>
      <c r="P198" s="29" t="s">
        <v>163</v>
      </c>
      <c r="Q198" s="29" t="s">
        <v>163</v>
      </c>
      <c r="R198" s="29" t="s">
        <v>163</v>
      </c>
      <c r="S198" s="29" t="s">
        <v>163</v>
      </c>
      <c r="T198" s="29" t="s">
        <v>163</v>
      </c>
      <c r="U198" s="24" t="s">
        <v>153</v>
      </c>
      <c r="V198" s="54" t="s">
        <v>153</v>
      </c>
      <c r="W198" s="29" t="s">
        <v>163</v>
      </c>
      <c r="X198" s="29" t="s">
        <v>163</v>
      </c>
      <c r="Y198" s="29" t="s">
        <v>163</v>
      </c>
      <c r="Z198" s="29" t="s">
        <v>163</v>
      </c>
      <c r="AA198" s="29" t="s">
        <v>163</v>
      </c>
      <c r="AB198" s="24" t="s">
        <v>153</v>
      </c>
      <c r="AC198" s="23" t="s">
        <v>153</v>
      </c>
      <c r="AD198" s="23" t="s">
        <v>153</v>
      </c>
      <c r="AE198" s="23" t="s">
        <v>153</v>
      </c>
      <c r="AF198" s="23" t="s">
        <v>153</v>
      </c>
      <c r="AG198" s="23" t="s">
        <v>153</v>
      </c>
      <c r="AH198" s="23" t="s">
        <v>153</v>
      </c>
      <c r="AI198" s="24" t="s">
        <v>153</v>
      </c>
      <c r="AJ198" s="23" t="s">
        <v>153</v>
      </c>
      <c r="AK198" s="23" t="s">
        <v>153</v>
      </c>
      <c r="AL198" s="23" t="s">
        <v>153</v>
      </c>
      <c r="AM198" s="23" t="s">
        <v>153</v>
      </c>
      <c r="AN198" s="23" t="s">
        <v>153</v>
      </c>
      <c r="AO198" s="23" t="s">
        <v>153</v>
      </c>
      <c r="AP198" s="23">
        <f>VALUE(4)</f>
        <v>4</v>
      </c>
      <c r="AQ198" s="23">
        <f>VALUE(0)</f>
        <v>0</v>
      </c>
      <c r="AR198" s="23">
        <f>VALUE(11)</f>
        <v>11</v>
      </c>
      <c r="AS198" s="23">
        <f>VALUE(0)</f>
        <v>0</v>
      </c>
      <c r="AT198" s="23">
        <f>VALUE(0)</f>
        <v>0</v>
      </c>
      <c r="AU198" s="23">
        <f>VALUE(0)</f>
        <v>0</v>
      </c>
      <c r="AV198" s="23">
        <f>VALUE(8)</f>
        <v>8</v>
      </c>
      <c r="AW198" s="23">
        <f>VALUE(0)</f>
        <v>0</v>
      </c>
      <c r="AX198" s="23" t="s">
        <v>171</v>
      </c>
      <c r="AY198" s="23" t="s">
        <v>465</v>
      </c>
      <c r="AZ198" s="23">
        <f>VALUE(0)</f>
        <v>0</v>
      </c>
      <c r="BA198" s="23">
        <f>VALUE(0)</f>
        <v>0</v>
      </c>
      <c r="BB198" s="23">
        <f>VALUE(0)</f>
        <v>0</v>
      </c>
      <c r="BC198" s="23">
        <f>VALUE(0)</f>
        <v>0</v>
      </c>
      <c r="BD198" s="23">
        <f>VALUE(0)</f>
        <v>0</v>
      </c>
      <c r="BE198" s="23">
        <f>VALUE(0)</f>
        <v>0</v>
      </c>
      <c r="BF198" s="23">
        <f>VALUE(0)</f>
        <v>0</v>
      </c>
      <c r="BG198" s="23">
        <f>VALUE(0)</f>
        <v>0</v>
      </c>
      <c r="BH198" s="23">
        <f>VALUE(0)</f>
        <v>0</v>
      </c>
      <c r="BI198" s="23">
        <f>VALUE(0)</f>
        <v>0</v>
      </c>
      <c r="BJ198" s="23">
        <f>VALUE(0)</f>
        <v>0</v>
      </c>
      <c r="BK198" s="12">
        <f>$AX$198*24</f>
        <v>5.833333333333333</v>
      </c>
      <c r="BL198" s="12">
        <f>$AY$198*24</f>
        <v>6.25</v>
      </c>
      <c r="BM198" s="12">
        <f>$BJ$198*24</f>
        <v>0</v>
      </c>
      <c r="BN198" s="12">
        <f>VALUE($I$198)/100</f>
        <v>1</v>
      </c>
      <c r="BO198" s="12">
        <v>0</v>
      </c>
      <c r="BP198" s="12">
        <v>0</v>
      </c>
      <c r="BQ198" s="12">
        <v>0</v>
      </c>
      <c r="BR198" s="12">
        <v>0</v>
      </c>
      <c r="BS198" s="12">
        <v>0</v>
      </c>
      <c r="BT198" s="12">
        <v>11</v>
      </c>
      <c r="BU198" s="12">
        <v>0</v>
      </c>
      <c r="BV198" s="12">
        <v>0</v>
      </c>
      <c r="BW198" s="12">
        <v>0</v>
      </c>
      <c r="BX198" s="12">
        <v>0</v>
      </c>
      <c r="BY198" s="12">
        <v>0</v>
      </c>
      <c r="BZ198" s="12">
        <v>0</v>
      </c>
      <c r="CA198" s="12">
        <v>0</v>
      </c>
    </row>
    <row r="199" spans="1:79" hidden="1" x14ac:dyDescent="0.2">
      <c r="A199" s="12" t="s">
        <v>120</v>
      </c>
      <c r="B199" s="12" t="s">
        <v>126</v>
      </c>
      <c r="C199" s="12" t="s">
        <v>126</v>
      </c>
      <c r="D199" s="22" t="s">
        <v>466</v>
      </c>
      <c r="E199" s="22" t="s">
        <v>161</v>
      </c>
      <c r="F199" s="22" t="s">
        <v>908</v>
      </c>
      <c r="G199" s="22" t="s">
        <v>909</v>
      </c>
      <c r="H199" s="22" t="s">
        <v>166</v>
      </c>
      <c r="I199" s="22" t="s">
        <v>151</v>
      </c>
      <c r="J199" s="22" t="s">
        <v>162</v>
      </c>
      <c r="K199" s="22" t="s">
        <v>85</v>
      </c>
      <c r="L199" s="54" t="s">
        <v>153</v>
      </c>
      <c r="M199" s="23" t="s">
        <v>153</v>
      </c>
      <c r="N199" s="24" t="s">
        <v>153</v>
      </c>
      <c r="O199" s="23" t="s">
        <v>153</v>
      </c>
      <c r="P199" s="23" t="s">
        <v>153</v>
      </c>
      <c r="Q199" s="23" t="s">
        <v>153</v>
      </c>
      <c r="R199" s="23" t="s">
        <v>153</v>
      </c>
      <c r="S199" s="23" t="s">
        <v>153</v>
      </c>
      <c r="T199" s="23" t="s">
        <v>153</v>
      </c>
      <c r="U199" s="24" t="s">
        <v>153</v>
      </c>
      <c r="V199" s="54" t="s">
        <v>153</v>
      </c>
      <c r="W199" s="23" t="s">
        <v>153</v>
      </c>
      <c r="X199" s="23" t="s">
        <v>153</v>
      </c>
      <c r="Y199" s="23" t="s">
        <v>153</v>
      </c>
      <c r="Z199" s="23" t="s">
        <v>153</v>
      </c>
      <c r="AA199" s="23" t="s">
        <v>153</v>
      </c>
      <c r="AB199" s="24" t="s">
        <v>153</v>
      </c>
      <c r="AC199" s="23" t="s">
        <v>153</v>
      </c>
      <c r="AD199" s="23" t="s">
        <v>153</v>
      </c>
      <c r="AE199" s="23" t="s">
        <v>153</v>
      </c>
      <c r="AF199" s="23" t="s">
        <v>153</v>
      </c>
      <c r="AG199" s="23" t="s">
        <v>153</v>
      </c>
      <c r="AH199" s="23" t="s">
        <v>153</v>
      </c>
      <c r="AI199" s="24" t="s">
        <v>153</v>
      </c>
      <c r="AJ199" s="23" t="s">
        <v>153</v>
      </c>
      <c r="AK199" s="23" t="s">
        <v>153</v>
      </c>
      <c r="AL199" s="23" t="s">
        <v>153</v>
      </c>
      <c r="AM199" s="24" t="s">
        <v>156</v>
      </c>
      <c r="AN199" s="24" t="s">
        <v>156</v>
      </c>
      <c r="AO199" s="24" t="s">
        <v>156</v>
      </c>
      <c r="AP199" s="23">
        <f>VALUE(2)</f>
        <v>2</v>
      </c>
      <c r="AQ199" s="23">
        <f>VALUE(0)</f>
        <v>0</v>
      </c>
      <c r="AR199" s="23">
        <f>VALUE(0)</f>
        <v>0</v>
      </c>
      <c r="AS199" s="23">
        <f>VALUE(0)</f>
        <v>0</v>
      </c>
      <c r="AT199" s="23">
        <f>VALUE(0)</f>
        <v>0</v>
      </c>
      <c r="AU199" s="23">
        <f>VALUE(0)</f>
        <v>0</v>
      </c>
      <c r="AV199" s="23">
        <f>VALUE(9)</f>
        <v>9</v>
      </c>
      <c r="AW199" s="23">
        <f>VALUE(0)</f>
        <v>0</v>
      </c>
      <c r="AX199" s="23" t="s">
        <v>1251</v>
      </c>
      <c r="AY199" s="23">
        <f>VALUE(0)</f>
        <v>0</v>
      </c>
      <c r="AZ199" s="23">
        <f>VALUE(0)</f>
        <v>0</v>
      </c>
      <c r="BA199" s="23">
        <f>VALUE(0)</f>
        <v>0</v>
      </c>
      <c r="BB199" s="23">
        <f>VALUE(0)</f>
        <v>0</v>
      </c>
      <c r="BC199" s="23">
        <f>VALUE(0)</f>
        <v>0</v>
      </c>
      <c r="BD199" s="23">
        <f>VALUE(0)</f>
        <v>0</v>
      </c>
      <c r="BE199" s="23">
        <f>VALUE(0)</f>
        <v>0</v>
      </c>
      <c r="BF199" s="23">
        <f>VALUE(0)</f>
        <v>0</v>
      </c>
      <c r="BG199" s="23">
        <f>VALUE(0)</f>
        <v>0</v>
      </c>
      <c r="BH199" s="23">
        <f>VALUE(0)</f>
        <v>0</v>
      </c>
      <c r="BI199" s="23">
        <f>VALUE(0)</f>
        <v>0</v>
      </c>
      <c r="BJ199" s="23">
        <f>VALUE(0)</f>
        <v>0</v>
      </c>
      <c r="BK199" s="12">
        <f>$AX$199*24</f>
        <v>32.6</v>
      </c>
      <c r="BL199" s="12">
        <f>$AY$199*24</f>
        <v>0</v>
      </c>
      <c r="BM199" s="12">
        <f>$BJ$199*24</f>
        <v>0</v>
      </c>
      <c r="BN199" s="12">
        <f>VALUE($I$199)/100</f>
        <v>1</v>
      </c>
      <c r="BO199" s="12">
        <v>0</v>
      </c>
      <c r="BP199" s="12">
        <v>0</v>
      </c>
      <c r="BQ199" s="12">
        <v>0</v>
      </c>
      <c r="BR199" s="12">
        <v>0</v>
      </c>
      <c r="BS199" s="12">
        <v>0</v>
      </c>
      <c r="BT199" s="12">
        <v>0</v>
      </c>
      <c r="BU199" s="12">
        <v>0</v>
      </c>
      <c r="BV199" s="12">
        <v>0</v>
      </c>
      <c r="BW199" s="12">
        <v>0</v>
      </c>
      <c r="BX199" s="12">
        <v>0</v>
      </c>
      <c r="BY199" s="12">
        <v>0</v>
      </c>
      <c r="BZ199" s="12">
        <v>0</v>
      </c>
      <c r="CA199" s="12">
        <v>0</v>
      </c>
    </row>
    <row r="200" spans="1:79" hidden="1" x14ac:dyDescent="0.2">
      <c r="A200" s="12" t="s">
        <v>120</v>
      </c>
      <c r="B200" s="12" t="s">
        <v>126</v>
      </c>
      <c r="C200" s="12" t="s">
        <v>126</v>
      </c>
      <c r="D200" s="22" t="s">
        <v>467</v>
      </c>
      <c r="E200" s="22" t="s">
        <v>161</v>
      </c>
      <c r="F200" s="22" t="s">
        <v>910</v>
      </c>
      <c r="G200" s="22" t="s">
        <v>911</v>
      </c>
      <c r="H200" s="22" t="s">
        <v>150</v>
      </c>
      <c r="I200" s="22" t="s">
        <v>151</v>
      </c>
      <c r="J200" s="22" t="s">
        <v>162</v>
      </c>
      <c r="K200" s="22" t="s">
        <v>85</v>
      </c>
      <c r="L200" s="54" t="s">
        <v>153</v>
      </c>
      <c r="M200" s="28" t="s">
        <v>163</v>
      </c>
      <c r="N200" s="24" t="s">
        <v>153</v>
      </c>
      <c r="O200" s="23" t="s">
        <v>153</v>
      </c>
      <c r="P200" s="23" t="s">
        <v>153</v>
      </c>
      <c r="Q200" s="23" t="s">
        <v>153</v>
      </c>
      <c r="R200" s="23" t="s">
        <v>153</v>
      </c>
      <c r="S200" s="23" t="s">
        <v>153</v>
      </c>
      <c r="T200" s="23" t="s">
        <v>153</v>
      </c>
      <c r="U200" s="24" t="s">
        <v>153</v>
      </c>
      <c r="V200" s="54" t="s">
        <v>153</v>
      </c>
      <c r="W200" s="23" t="s">
        <v>153</v>
      </c>
      <c r="X200" s="23" t="s">
        <v>153</v>
      </c>
      <c r="Y200" s="23" t="s">
        <v>153</v>
      </c>
      <c r="Z200" s="23" t="s">
        <v>153</v>
      </c>
      <c r="AA200" s="23" t="s">
        <v>153</v>
      </c>
      <c r="AB200" s="24" t="s">
        <v>153</v>
      </c>
      <c r="AC200" s="24" t="s">
        <v>156</v>
      </c>
      <c r="AD200" s="24" t="s">
        <v>156</v>
      </c>
      <c r="AE200" s="24" t="s">
        <v>156</v>
      </c>
      <c r="AF200" s="28" t="s">
        <v>163</v>
      </c>
      <c r="AG200" s="28" t="s">
        <v>163</v>
      </c>
      <c r="AH200" s="28" t="s">
        <v>163</v>
      </c>
      <c r="AI200" s="24" t="s">
        <v>153</v>
      </c>
      <c r="AJ200" s="23" t="s">
        <v>153</v>
      </c>
      <c r="AK200" s="23" t="s">
        <v>153</v>
      </c>
      <c r="AL200" s="23" t="s">
        <v>153</v>
      </c>
      <c r="AM200" s="23" t="s">
        <v>153</v>
      </c>
      <c r="AN200" s="23" t="s">
        <v>153</v>
      </c>
      <c r="AO200" s="23" t="s">
        <v>153</v>
      </c>
      <c r="AP200" s="23">
        <f>VALUE(2)</f>
        <v>2</v>
      </c>
      <c r="AQ200" s="23">
        <f>VALUE(0)</f>
        <v>0</v>
      </c>
      <c r="AR200" s="23">
        <f>VALUE(0)</f>
        <v>0</v>
      </c>
      <c r="AS200" s="23">
        <f>VALUE(0)</f>
        <v>0</v>
      </c>
      <c r="AT200" s="23">
        <f>VALUE(0)</f>
        <v>0</v>
      </c>
      <c r="AU200" s="23">
        <f>VALUE(4)</f>
        <v>4</v>
      </c>
      <c r="AV200" s="23">
        <f>VALUE(13)</f>
        <v>13</v>
      </c>
      <c r="AW200" s="23">
        <f>VALUE(0)</f>
        <v>0</v>
      </c>
      <c r="AX200" s="23" t="s">
        <v>171</v>
      </c>
      <c r="AY200" s="23" t="s">
        <v>176</v>
      </c>
      <c r="AZ200" s="23">
        <f>VALUE(0)</f>
        <v>0</v>
      </c>
      <c r="BA200" s="23">
        <f>VALUE(0)</f>
        <v>0</v>
      </c>
      <c r="BB200" s="23">
        <f>VALUE(0)</f>
        <v>0</v>
      </c>
      <c r="BC200" s="23">
        <f>VALUE(0)</f>
        <v>0</v>
      </c>
      <c r="BD200" s="23">
        <f>VALUE(0)</f>
        <v>0</v>
      </c>
      <c r="BE200" s="23">
        <f>VALUE(0)</f>
        <v>0</v>
      </c>
      <c r="BF200" s="23">
        <f>VALUE(0)</f>
        <v>0</v>
      </c>
      <c r="BG200" s="23">
        <f>VALUE(0)</f>
        <v>0</v>
      </c>
      <c r="BH200" s="23">
        <f>VALUE(0)</f>
        <v>0</v>
      </c>
      <c r="BI200" s="23">
        <f>VALUE(0)</f>
        <v>0</v>
      </c>
      <c r="BJ200" s="23">
        <f>VALUE(0)</f>
        <v>0</v>
      </c>
      <c r="BK200" s="12">
        <f>$AX$200*24</f>
        <v>5.833333333333333</v>
      </c>
      <c r="BL200" s="12">
        <f>$AY$200*24</f>
        <v>0</v>
      </c>
      <c r="BM200" s="12">
        <f>$BJ$200*24</f>
        <v>0</v>
      </c>
      <c r="BN200" s="12">
        <f>VALUE($I$200)/100</f>
        <v>1</v>
      </c>
      <c r="BO200" s="12">
        <v>0</v>
      </c>
      <c r="BP200" s="12">
        <v>0</v>
      </c>
      <c r="BQ200" s="12">
        <v>0</v>
      </c>
      <c r="BR200" s="12">
        <v>0</v>
      </c>
      <c r="BS200" s="12">
        <v>0</v>
      </c>
      <c r="BT200" s="12">
        <v>0</v>
      </c>
      <c r="BU200" s="12">
        <v>0</v>
      </c>
      <c r="BV200" s="12">
        <v>0</v>
      </c>
      <c r="BW200" s="12">
        <v>0</v>
      </c>
      <c r="BX200" s="12">
        <v>0</v>
      </c>
      <c r="BY200" s="12">
        <v>0</v>
      </c>
      <c r="BZ200" s="12">
        <v>0</v>
      </c>
      <c r="CA200" s="12">
        <v>0</v>
      </c>
    </row>
    <row r="201" spans="1:79" hidden="1" x14ac:dyDescent="0.2">
      <c r="A201" s="12" t="s">
        <v>120</v>
      </c>
      <c r="B201" s="12" t="s">
        <v>126</v>
      </c>
      <c r="C201" s="12" t="s">
        <v>126</v>
      </c>
      <c r="D201" s="22" t="s">
        <v>468</v>
      </c>
      <c r="E201" s="22" t="s">
        <v>161</v>
      </c>
      <c r="F201" s="22" t="s">
        <v>912</v>
      </c>
      <c r="G201" s="22" t="s">
        <v>913</v>
      </c>
      <c r="H201" s="22" t="s">
        <v>166</v>
      </c>
      <c r="I201" s="22" t="s">
        <v>194</v>
      </c>
      <c r="J201" s="22" t="s">
        <v>162</v>
      </c>
      <c r="K201" s="22" t="s">
        <v>85</v>
      </c>
      <c r="L201" s="54" t="s">
        <v>153</v>
      </c>
      <c r="M201" s="23" t="s">
        <v>153</v>
      </c>
      <c r="N201" s="24" t="s">
        <v>153</v>
      </c>
      <c r="O201" s="24" t="s">
        <v>195</v>
      </c>
      <c r="P201" s="24" t="s">
        <v>195</v>
      </c>
      <c r="Q201" s="24" t="s">
        <v>195</v>
      </c>
      <c r="R201" s="24" t="s">
        <v>195</v>
      </c>
      <c r="S201" s="24" t="s">
        <v>195</v>
      </c>
      <c r="T201" s="24" t="s">
        <v>195</v>
      </c>
      <c r="U201" s="24" t="s">
        <v>153</v>
      </c>
      <c r="V201" s="54" t="s">
        <v>153</v>
      </c>
      <c r="W201" s="23" t="s">
        <v>153</v>
      </c>
      <c r="X201" s="23" t="s">
        <v>153</v>
      </c>
      <c r="Y201" s="23" t="s">
        <v>153</v>
      </c>
      <c r="Z201" s="23" t="s">
        <v>153</v>
      </c>
      <c r="AA201" s="23" t="s">
        <v>153</v>
      </c>
      <c r="AB201" s="24" t="s">
        <v>153</v>
      </c>
      <c r="AC201" s="23" t="s">
        <v>153</v>
      </c>
      <c r="AD201" s="23" t="s">
        <v>153</v>
      </c>
      <c r="AE201" s="23" t="s">
        <v>153</v>
      </c>
      <c r="AF201" s="23" t="s">
        <v>153</v>
      </c>
      <c r="AG201" s="23" t="s">
        <v>153</v>
      </c>
      <c r="AH201" s="23" t="s">
        <v>153</v>
      </c>
      <c r="AI201" s="24" t="s">
        <v>153</v>
      </c>
      <c r="AJ201" s="23" t="s">
        <v>153</v>
      </c>
      <c r="AK201" s="23" t="s">
        <v>153</v>
      </c>
      <c r="AL201" s="23" t="s">
        <v>153</v>
      </c>
      <c r="AM201" s="24" t="s">
        <v>195</v>
      </c>
      <c r="AN201" s="24" t="s">
        <v>195</v>
      </c>
      <c r="AO201" s="24" t="s">
        <v>195</v>
      </c>
      <c r="AP201" s="23">
        <f>VALUE(2)</f>
        <v>2</v>
      </c>
      <c r="AQ201" s="23">
        <f>VALUE(0)</f>
        <v>0</v>
      </c>
      <c r="AR201" s="23">
        <f>VALUE(0)</f>
        <v>0</v>
      </c>
      <c r="AS201" s="23">
        <f>VALUE(0)</f>
        <v>0</v>
      </c>
      <c r="AT201" s="23">
        <f>VALUE(0)</f>
        <v>0</v>
      </c>
      <c r="AU201" s="23">
        <f>VALUE(0)</f>
        <v>0</v>
      </c>
      <c r="AV201" s="23">
        <f>VALUE(1.5)</f>
        <v>1.5</v>
      </c>
      <c r="AW201" s="23">
        <f>VALUE(0)</f>
        <v>0</v>
      </c>
      <c r="AX201" s="23" t="s">
        <v>1252</v>
      </c>
      <c r="AY201" s="23">
        <f>VALUE(0)</f>
        <v>0</v>
      </c>
      <c r="AZ201" s="23">
        <f>VALUE(0)</f>
        <v>0</v>
      </c>
      <c r="BA201" s="23">
        <f>VALUE(0)</f>
        <v>0</v>
      </c>
      <c r="BB201" s="23">
        <f>VALUE(0)</f>
        <v>0</v>
      </c>
      <c r="BC201" s="23">
        <f>VALUE(0)</f>
        <v>0</v>
      </c>
      <c r="BD201" s="23">
        <f>VALUE(0)</f>
        <v>0</v>
      </c>
      <c r="BE201" s="23">
        <f>VALUE(0)</f>
        <v>0</v>
      </c>
      <c r="BF201" s="23">
        <f>VALUE(0)</f>
        <v>0</v>
      </c>
      <c r="BG201" s="23">
        <f>VALUE(0)</f>
        <v>0</v>
      </c>
      <c r="BH201" s="23">
        <f>VALUE(0)</f>
        <v>0</v>
      </c>
      <c r="BI201" s="23">
        <f>VALUE(0)</f>
        <v>0</v>
      </c>
      <c r="BJ201" s="23">
        <f>VALUE(0)</f>
        <v>0</v>
      </c>
      <c r="BK201" s="12">
        <f>$AX$201*24</f>
        <v>39.56666666666667</v>
      </c>
      <c r="BL201" s="12">
        <f>$AY$201*24</f>
        <v>0</v>
      </c>
      <c r="BM201" s="12">
        <f>$BJ$201*24</f>
        <v>0</v>
      </c>
      <c r="BN201" s="12">
        <f>VALUE($I$201)/100</f>
        <v>0.8</v>
      </c>
      <c r="BO201" s="12">
        <v>0</v>
      </c>
      <c r="BP201" s="12">
        <v>0</v>
      </c>
      <c r="BQ201" s="12">
        <v>0</v>
      </c>
      <c r="BR201" s="12">
        <v>0</v>
      </c>
      <c r="BS201" s="12">
        <v>0</v>
      </c>
      <c r="BT201" s="12">
        <v>0</v>
      </c>
      <c r="BU201" s="12">
        <v>0</v>
      </c>
      <c r="BV201" s="12">
        <v>0</v>
      </c>
      <c r="BW201" s="12">
        <v>0</v>
      </c>
      <c r="BX201" s="12">
        <v>0</v>
      </c>
      <c r="BY201" s="12">
        <v>0</v>
      </c>
      <c r="BZ201" s="12">
        <v>0</v>
      </c>
      <c r="CA201" s="12">
        <v>0</v>
      </c>
    </row>
    <row r="202" spans="1:79" hidden="1" x14ac:dyDescent="0.2">
      <c r="A202" s="12" t="s">
        <v>120</v>
      </c>
      <c r="B202" s="12" t="s">
        <v>126</v>
      </c>
      <c r="C202" s="12" t="s">
        <v>126</v>
      </c>
      <c r="D202" s="22" t="s">
        <v>469</v>
      </c>
      <c r="E202" s="22" t="s">
        <v>173</v>
      </c>
      <c r="F202" s="22" t="s">
        <v>914</v>
      </c>
      <c r="G202" s="22" t="s">
        <v>915</v>
      </c>
      <c r="H202" s="22" t="s">
        <v>279</v>
      </c>
      <c r="I202" s="22" t="s">
        <v>151</v>
      </c>
      <c r="J202" s="22" t="s">
        <v>162</v>
      </c>
      <c r="K202" s="22" t="s">
        <v>85</v>
      </c>
      <c r="L202" s="54" t="s">
        <v>153</v>
      </c>
      <c r="M202" s="23" t="s">
        <v>469</v>
      </c>
      <c r="N202" s="24" t="s">
        <v>153</v>
      </c>
      <c r="O202" s="23" t="s">
        <v>469</v>
      </c>
      <c r="P202" s="23" t="s">
        <v>469</v>
      </c>
      <c r="Q202" s="23" t="s">
        <v>469</v>
      </c>
      <c r="R202" s="23" t="s">
        <v>469</v>
      </c>
      <c r="S202" s="23" t="s">
        <v>469</v>
      </c>
      <c r="T202" s="23" t="s">
        <v>469</v>
      </c>
      <c r="U202" s="24" t="s">
        <v>153</v>
      </c>
      <c r="V202" s="54" t="s">
        <v>153</v>
      </c>
      <c r="W202" s="27" t="s">
        <v>153</v>
      </c>
      <c r="X202" s="27" t="s">
        <v>153</v>
      </c>
      <c r="Y202" s="27" t="s">
        <v>153</v>
      </c>
      <c r="Z202" s="27" t="s">
        <v>153</v>
      </c>
      <c r="AA202" s="27" t="s">
        <v>153</v>
      </c>
      <c r="AB202" s="24" t="s">
        <v>153</v>
      </c>
      <c r="AC202" s="27" t="s">
        <v>153</v>
      </c>
      <c r="AD202" s="27" t="s">
        <v>153</v>
      </c>
      <c r="AE202" s="27" t="s">
        <v>153</v>
      </c>
      <c r="AF202" s="27" t="s">
        <v>153</v>
      </c>
      <c r="AG202" s="27" t="s">
        <v>153</v>
      </c>
      <c r="AH202" s="27" t="s">
        <v>153</v>
      </c>
      <c r="AI202" s="24" t="s">
        <v>153</v>
      </c>
      <c r="AJ202" s="27" t="s">
        <v>153</v>
      </c>
      <c r="AK202" s="27" t="s">
        <v>153</v>
      </c>
      <c r="AL202" s="27" t="s">
        <v>153</v>
      </c>
      <c r="AM202" s="27" t="s">
        <v>153</v>
      </c>
      <c r="AN202" s="27" t="s">
        <v>153</v>
      </c>
      <c r="AO202" s="27" t="s">
        <v>153</v>
      </c>
      <c r="AP202" s="23">
        <f>VALUE(0)</f>
        <v>0</v>
      </c>
      <c r="AQ202" s="23">
        <f>VALUE(0)</f>
        <v>0</v>
      </c>
      <c r="AR202" s="23">
        <f>VALUE(0)</f>
        <v>0</v>
      </c>
      <c r="AS202" s="23">
        <f>VALUE(0)</f>
        <v>0</v>
      </c>
      <c r="AT202" s="23">
        <f>VALUE(0)</f>
        <v>0</v>
      </c>
      <c r="AU202" s="23">
        <f>VALUE(0)</f>
        <v>0</v>
      </c>
      <c r="AV202" s="23">
        <f>VALUE(0)</f>
        <v>0</v>
      </c>
      <c r="AW202" s="23">
        <f>VALUE(0)</f>
        <v>0</v>
      </c>
      <c r="AX202" s="23">
        <f>VALUE(0)</f>
        <v>0</v>
      </c>
      <c r="AY202" s="23">
        <f>VALUE(0)</f>
        <v>0</v>
      </c>
      <c r="AZ202" s="23">
        <f>VALUE(0)</f>
        <v>0</v>
      </c>
      <c r="BA202" s="23">
        <f>VALUE(0)</f>
        <v>0</v>
      </c>
      <c r="BB202" s="23">
        <f>VALUE(0)</f>
        <v>0</v>
      </c>
      <c r="BC202" s="23">
        <f>VALUE(0)</f>
        <v>0</v>
      </c>
      <c r="BD202" s="23">
        <f>VALUE(0)</f>
        <v>0</v>
      </c>
      <c r="BE202" s="23">
        <f>VALUE(0)</f>
        <v>0</v>
      </c>
      <c r="BF202" s="23">
        <f>VALUE(0)</f>
        <v>0</v>
      </c>
      <c r="BG202" s="23">
        <f>VALUE(0)</f>
        <v>0</v>
      </c>
      <c r="BH202" s="23">
        <f>VALUE(0)</f>
        <v>0</v>
      </c>
      <c r="BI202" s="23">
        <f>VALUE(0)</f>
        <v>0</v>
      </c>
      <c r="BJ202" s="23">
        <f>VALUE(0)</f>
        <v>0</v>
      </c>
      <c r="BK202" s="12">
        <f>$AX$202*24</f>
        <v>0</v>
      </c>
      <c r="BL202" s="12">
        <f>$AY$202*24</f>
        <v>0</v>
      </c>
      <c r="BM202" s="12">
        <f>$BJ$202*24</f>
        <v>0</v>
      </c>
      <c r="BN202" s="12">
        <f>VALUE($I$202)/100</f>
        <v>1</v>
      </c>
      <c r="BO202" s="12">
        <v>0</v>
      </c>
      <c r="BP202" s="12">
        <v>0</v>
      </c>
      <c r="BQ202" s="12">
        <v>0</v>
      </c>
      <c r="BR202" s="12">
        <v>0</v>
      </c>
      <c r="BS202" s="12">
        <v>0</v>
      </c>
      <c r="BT202" s="12">
        <v>0</v>
      </c>
      <c r="BU202" s="12">
        <v>0</v>
      </c>
      <c r="BV202" s="12">
        <v>0</v>
      </c>
      <c r="BW202" s="12">
        <v>0</v>
      </c>
      <c r="BX202" s="12">
        <v>0</v>
      </c>
      <c r="BY202" s="12">
        <v>0</v>
      </c>
      <c r="BZ202" s="12">
        <v>0</v>
      </c>
      <c r="CA202" s="12">
        <v>0</v>
      </c>
    </row>
    <row r="203" spans="1:79" hidden="1" x14ac:dyDescent="0.2">
      <c r="A203" s="12" t="s">
        <v>120</v>
      </c>
      <c r="B203" s="12" t="s">
        <v>126</v>
      </c>
      <c r="C203" s="12" t="s">
        <v>126</v>
      </c>
      <c r="D203" s="22" t="s">
        <v>469</v>
      </c>
      <c r="E203" s="22" t="s">
        <v>161</v>
      </c>
      <c r="F203" s="22" t="s">
        <v>916</v>
      </c>
      <c r="G203" s="22" t="s">
        <v>917</v>
      </c>
      <c r="H203" s="22" t="s">
        <v>150</v>
      </c>
      <c r="I203" s="22" t="s">
        <v>151</v>
      </c>
      <c r="J203" s="22" t="s">
        <v>162</v>
      </c>
      <c r="K203" s="22" t="s">
        <v>85</v>
      </c>
      <c r="L203" s="54" t="s">
        <v>153</v>
      </c>
      <c r="M203" s="23" t="s">
        <v>467</v>
      </c>
      <c r="N203" s="24" t="s">
        <v>153</v>
      </c>
      <c r="O203" s="25" t="s">
        <v>449</v>
      </c>
      <c r="P203" s="25" t="s">
        <v>1253</v>
      </c>
      <c r="Q203" s="25" t="s">
        <v>1253</v>
      </c>
      <c r="R203" s="25" t="s">
        <v>1253</v>
      </c>
      <c r="S203" s="23" t="s">
        <v>468</v>
      </c>
      <c r="T203" s="23" t="s">
        <v>468</v>
      </c>
      <c r="U203" s="24" t="s">
        <v>153</v>
      </c>
      <c r="V203" s="54" t="s">
        <v>153</v>
      </c>
      <c r="W203" s="23" t="s">
        <v>449</v>
      </c>
      <c r="X203" s="23" t="s">
        <v>449</v>
      </c>
      <c r="Y203" s="23" t="s">
        <v>449</v>
      </c>
      <c r="Z203" s="23" t="s">
        <v>449</v>
      </c>
      <c r="AA203" s="23" t="s">
        <v>449</v>
      </c>
      <c r="AB203" s="24" t="s">
        <v>153</v>
      </c>
      <c r="AC203" s="23" t="s">
        <v>467</v>
      </c>
      <c r="AD203" s="23" t="s">
        <v>459</v>
      </c>
      <c r="AE203" s="23" t="s">
        <v>459</v>
      </c>
      <c r="AF203" s="24" t="s">
        <v>156</v>
      </c>
      <c r="AG203" s="24" t="s">
        <v>156</v>
      </c>
      <c r="AH203" s="24" t="s">
        <v>156</v>
      </c>
      <c r="AI203" s="24" t="s">
        <v>153</v>
      </c>
      <c r="AJ203" s="23" t="s">
        <v>459</v>
      </c>
      <c r="AK203" s="23" t="s">
        <v>459</v>
      </c>
      <c r="AL203" s="23" t="s">
        <v>459</v>
      </c>
      <c r="AM203" s="23" t="s">
        <v>459</v>
      </c>
      <c r="AN203" s="23" t="s">
        <v>459</v>
      </c>
      <c r="AO203" s="23" t="s">
        <v>459</v>
      </c>
      <c r="AP203" s="23">
        <f>VALUE(12)</f>
        <v>12</v>
      </c>
      <c r="AQ203" s="23">
        <f>VALUE(0)</f>
        <v>0</v>
      </c>
      <c r="AR203" s="23">
        <f>VALUE(0)</f>
        <v>0</v>
      </c>
      <c r="AS203" s="23">
        <f>VALUE(0)</f>
        <v>0</v>
      </c>
      <c r="AT203" s="23">
        <f>VALUE(0)</f>
        <v>0</v>
      </c>
      <c r="AU203" s="23">
        <f>VALUE(0)</f>
        <v>0</v>
      </c>
      <c r="AV203" s="23">
        <f>VALUE(4)</f>
        <v>4</v>
      </c>
      <c r="AW203" s="23">
        <f>VALUE(0)</f>
        <v>0</v>
      </c>
      <c r="AX203" s="23" t="s">
        <v>171</v>
      </c>
      <c r="AY203" s="23" t="s">
        <v>470</v>
      </c>
      <c r="AZ203" s="23">
        <f>VALUE(0)</f>
        <v>0</v>
      </c>
      <c r="BA203" s="23">
        <f>VALUE(0)</f>
        <v>0</v>
      </c>
      <c r="BB203" s="23">
        <f>VALUE(0)</f>
        <v>0</v>
      </c>
      <c r="BC203" s="23">
        <f>VALUE(0)</f>
        <v>0</v>
      </c>
      <c r="BD203" s="23">
        <f>VALUE(3)</f>
        <v>3</v>
      </c>
      <c r="BE203" s="23">
        <f>VALUE(0)</f>
        <v>0</v>
      </c>
      <c r="BF203" s="23">
        <f>VALUE(0)</f>
        <v>0</v>
      </c>
      <c r="BG203" s="23">
        <f>VALUE(0)</f>
        <v>0</v>
      </c>
      <c r="BH203" s="23">
        <f>VALUE(0)</f>
        <v>0</v>
      </c>
      <c r="BI203" s="23">
        <f>VALUE(0)</f>
        <v>0</v>
      </c>
      <c r="BJ203" s="23">
        <f>VALUE(0)</f>
        <v>0</v>
      </c>
      <c r="BK203" s="12">
        <f>$AX$203*24</f>
        <v>5.833333333333333</v>
      </c>
      <c r="BL203" s="12">
        <f>$AY$203*24</f>
        <v>10</v>
      </c>
      <c r="BM203" s="12">
        <f>$BJ$203*24</f>
        <v>0</v>
      </c>
      <c r="BN203" s="12">
        <f>VALUE($I$203)/100</f>
        <v>1</v>
      </c>
      <c r="BO203" s="12">
        <v>0</v>
      </c>
      <c r="BP203" s="12">
        <v>0</v>
      </c>
      <c r="BQ203" s="12">
        <v>0</v>
      </c>
      <c r="BR203" s="12">
        <v>3</v>
      </c>
      <c r="BS203" s="12">
        <v>0</v>
      </c>
      <c r="BT203" s="12">
        <v>0</v>
      </c>
      <c r="BU203" s="12">
        <v>0</v>
      </c>
      <c r="BV203" s="12">
        <v>0</v>
      </c>
      <c r="BW203" s="12">
        <v>0</v>
      </c>
      <c r="BX203" s="12">
        <v>0</v>
      </c>
      <c r="BY203" s="12">
        <v>0</v>
      </c>
      <c r="BZ203" s="12">
        <v>0</v>
      </c>
      <c r="CA203" s="12">
        <v>0</v>
      </c>
    </row>
    <row r="204" spans="1:79" hidden="1" x14ac:dyDescent="0.2">
      <c r="A204" s="12" t="s">
        <v>120</v>
      </c>
      <c r="B204" s="12" t="s">
        <v>126</v>
      </c>
      <c r="C204" s="12" t="s">
        <v>126</v>
      </c>
      <c r="D204" s="22" t="s">
        <v>589</v>
      </c>
      <c r="E204" s="22" t="s">
        <v>173</v>
      </c>
      <c r="F204" s="22" t="s">
        <v>918</v>
      </c>
      <c r="G204" s="22" t="s">
        <v>919</v>
      </c>
      <c r="H204" s="22" t="s">
        <v>150</v>
      </c>
      <c r="I204" s="22" t="s">
        <v>151</v>
      </c>
      <c r="J204" s="22" t="s">
        <v>162</v>
      </c>
      <c r="K204" s="22" t="s">
        <v>85</v>
      </c>
      <c r="L204" s="54" t="s">
        <v>153</v>
      </c>
      <c r="M204" s="23" t="s">
        <v>449</v>
      </c>
      <c r="N204" s="24" t="s">
        <v>153</v>
      </c>
      <c r="O204" s="25" t="s">
        <v>464</v>
      </c>
      <c r="P204" s="25" t="s">
        <v>464</v>
      </c>
      <c r="Q204" s="25" t="s">
        <v>464</v>
      </c>
      <c r="R204" s="25" t="s">
        <v>464</v>
      </c>
      <c r="S204" s="25" t="s">
        <v>464</v>
      </c>
      <c r="T204" s="25" t="s">
        <v>464</v>
      </c>
      <c r="U204" s="24" t="s">
        <v>153</v>
      </c>
      <c r="V204" s="54" t="s">
        <v>153</v>
      </c>
      <c r="W204" s="25" t="s">
        <v>464</v>
      </c>
      <c r="X204" s="25" t="s">
        <v>464</v>
      </c>
      <c r="Y204" s="25" t="s">
        <v>464</v>
      </c>
      <c r="Z204" s="25" t="s">
        <v>464</v>
      </c>
      <c r="AA204" s="25" t="s">
        <v>464</v>
      </c>
      <c r="AB204" s="24" t="s">
        <v>153</v>
      </c>
      <c r="AC204" s="23" t="s">
        <v>464</v>
      </c>
      <c r="AD204" s="25" t="s">
        <v>450</v>
      </c>
      <c r="AE204" s="25" t="s">
        <v>450</v>
      </c>
      <c r="AF204" s="25" t="s">
        <v>450</v>
      </c>
      <c r="AG204" s="25" t="s">
        <v>450</v>
      </c>
      <c r="AH204" s="25" t="s">
        <v>450</v>
      </c>
      <c r="AI204" s="24" t="s">
        <v>153</v>
      </c>
      <c r="AJ204" s="24" t="s">
        <v>156</v>
      </c>
      <c r="AK204" s="24" t="s">
        <v>156</v>
      </c>
      <c r="AL204" s="24" t="s">
        <v>156</v>
      </c>
      <c r="AM204" s="23" t="s">
        <v>468</v>
      </c>
      <c r="AN204" s="23" t="s">
        <v>468</v>
      </c>
      <c r="AO204" s="23" t="s">
        <v>468</v>
      </c>
      <c r="AP204" s="23">
        <f>VALUE(4)</f>
        <v>4</v>
      </c>
      <c r="AQ204" s="23">
        <f>VALUE(0)</f>
        <v>0</v>
      </c>
      <c r="AR204" s="23">
        <f>VALUE(0)</f>
        <v>0</v>
      </c>
      <c r="AS204" s="23">
        <f>VALUE(0)</f>
        <v>0</v>
      </c>
      <c r="AT204" s="23">
        <f>VALUE(0)</f>
        <v>0</v>
      </c>
      <c r="AU204" s="23">
        <f>VALUE(0)</f>
        <v>0</v>
      </c>
      <c r="AV204" s="23">
        <f>VALUE(1)</f>
        <v>1</v>
      </c>
      <c r="AW204" s="23">
        <f>VALUE(0)</f>
        <v>0</v>
      </c>
      <c r="AX204" s="23" t="s">
        <v>171</v>
      </c>
      <c r="AY204" s="23">
        <f>VALUE(0)</f>
        <v>0</v>
      </c>
      <c r="AZ204" s="23">
        <f>VALUE(0)</f>
        <v>0</v>
      </c>
      <c r="BA204" s="23">
        <f>VALUE(0)</f>
        <v>0</v>
      </c>
      <c r="BB204" s="23">
        <f>VALUE(0)</f>
        <v>0</v>
      </c>
      <c r="BC204" s="23">
        <f>VALUE(0)</f>
        <v>0</v>
      </c>
      <c r="BD204" s="23">
        <f>VALUE(0)</f>
        <v>0</v>
      </c>
      <c r="BE204" s="23">
        <f>VALUE(0)</f>
        <v>0</v>
      </c>
      <c r="BF204" s="23">
        <f>VALUE(0)</f>
        <v>0</v>
      </c>
      <c r="BG204" s="23">
        <f>VALUE(0)</f>
        <v>0</v>
      </c>
      <c r="BH204" s="23">
        <f>VALUE(0)</f>
        <v>0</v>
      </c>
      <c r="BI204" s="23">
        <f>VALUE(0)</f>
        <v>0</v>
      </c>
      <c r="BJ204" s="23">
        <f>VALUE(0)</f>
        <v>0</v>
      </c>
      <c r="BK204" s="12">
        <f>$AX$204*24</f>
        <v>5.833333333333333</v>
      </c>
      <c r="BL204" s="12">
        <f>$AY$204*24</f>
        <v>0</v>
      </c>
      <c r="BM204" s="12">
        <f>$BJ$204*24</f>
        <v>0</v>
      </c>
      <c r="BN204" s="12">
        <f>VALUE($I$204)/100</f>
        <v>1</v>
      </c>
      <c r="BO204" s="12">
        <v>0</v>
      </c>
      <c r="BP204" s="12">
        <v>0</v>
      </c>
      <c r="BQ204" s="12">
        <v>0</v>
      </c>
      <c r="BR204" s="12">
        <v>0</v>
      </c>
      <c r="BS204" s="12">
        <v>0</v>
      </c>
      <c r="BT204" s="12">
        <v>0</v>
      </c>
      <c r="BU204" s="12">
        <v>0</v>
      </c>
      <c r="BV204" s="12">
        <v>0</v>
      </c>
      <c r="BW204" s="12">
        <v>0</v>
      </c>
      <c r="BX204" s="12">
        <v>0</v>
      </c>
      <c r="BY204" s="12">
        <v>0</v>
      </c>
      <c r="BZ204" s="12">
        <v>0</v>
      </c>
      <c r="CA204" s="12">
        <v>0</v>
      </c>
    </row>
    <row r="205" spans="1:79" hidden="1" x14ac:dyDescent="0.2">
      <c r="A205" s="12" t="s">
        <v>120</v>
      </c>
      <c r="B205" s="12" t="s">
        <v>126</v>
      </c>
      <c r="C205" s="12" t="s">
        <v>126</v>
      </c>
      <c r="D205" s="22" t="s">
        <v>1254</v>
      </c>
      <c r="E205" s="22" t="s">
        <v>159</v>
      </c>
      <c r="F205" s="22" t="s">
        <v>920</v>
      </c>
      <c r="G205" s="22" t="s">
        <v>921</v>
      </c>
      <c r="H205" s="22" t="s">
        <v>150</v>
      </c>
      <c r="I205" s="22" t="s">
        <v>151</v>
      </c>
      <c r="J205" s="22" t="s">
        <v>162</v>
      </c>
      <c r="K205" s="22" t="s">
        <v>85</v>
      </c>
      <c r="L205" s="54" t="s">
        <v>153</v>
      </c>
      <c r="M205" s="23" t="s">
        <v>464</v>
      </c>
      <c r="N205" s="24" t="s">
        <v>153</v>
      </c>
      <c r="O205" s="25" t="s">
        <v>464</v>
      </c>
      <c r="P205" s="25" t="s">
        <v>464</v>
      </c>
      <c r="Q205" s="25" t="s">
        <v>464</v>
      </c>
      <c r="R205" s="25" t="s">
        <v>464</v>
      </c>
      <c r="S205" s="25" t="s">
        <v>464</v>
      </c>
      <c r="T205" s="25" t="s">
        <v>464</v>
      </c>
      <c r="U205" s="24" t="s">
        <v>153</v>
      </c>
      <c r="V205" s="54" t="s">
        <v>153</v>
      </c>
      <c r="W205" s="25" t="s">
        <v>464</v>
      </c>
      <c r="X205" s="25" t="s">
        <v>464</v>
      </c>
      <c r="Y205" s="25" t="s">
        <v>464</v>
      </c>
      <c r="Z205" s="25" t="s">
        <v>464</v>
      </c>
      <c r="AA205" s="25" t="s">
        <v>464</v>
      </c>
      <c r="AB205" s="24" t="s">
        <v>153</v>
      </c>
      <c r="AC205" s="24" t="s">
        <v>156</v>
      </c>
      <c r="AD205" s="24" t="s">
        <v>156</v>
      </c>
      <c r="AE205" s="24" t="s">
        <v>156</v>
      </c>
      <c r="AF205" s="23" t="s">
        <v>464</v>
      </c>
      <c r="AG205" s="23" t="s">
        <v>464</v>
      </c>
      <c r="AH205" s="23" t="s">
        <v>464</v>
      </c>
      <c r="AI205" s="24" t="s">
        <v>153</v>
      </c>
      <c r="AJ205" s="23" t="s">
        <v>464</v>
      </c>
      <c r="AK205" s="23" t="s">
        <v>464</v>
      </c>
      <c r="AL205" s="23" t="s">
        <v>464</v>
      </c>
      <c r="AM205" s="23" t="s">
        <v>464</v>
      </c>
      <c r="AN205" s="23" t="s">
        <v>464</v>
      </c>
      <c r="AO205" s="23" t="s">
        <v>464</v>
      </c>
      <c r="AP205" s="23">
        <f>VALUE(2)</f>
        <v>2</v>
      </c>
      <c r="AQ205" s="23">
        <f>VALUE(0)</f>
        <v>0</v>
      </c>
      <c r="AR205" s="23">
        <f>VALUE(0)</f>
        <v>0</v>
      </c>
      <c r="AS205" s="23">
        <f>VALUE(0)</f>
        <v>0</v>
      </c>
      <c r="AT205" s="23">
        <f>VALUE(0)</f>
        <v>0</v>
      </c>
      <c r="AU205" s="23">
        <f>VALUE(0)</f>
        <v>0</v>
      </c>
      <c r="AV205" s="23">
        <f>VALUE(6)</f>
        <v>6</v>
      </c>
      <c r="AW205" s="23">
        <f>VALUE(0)</f>
        <v>0</v>
      </c>
      <c r="AX205" s="23" t="s">
        <v>171</v>
      </c>
      <c r="AY205" s="23" t="s">
        <v>471</v>
      </c>
      <c r="AZ205" s="23">
        <f>VALUE(0)</f>
        <v>0</v>
      </c>
      <c r="BA205" s="23">
        <f>VALUE(0)</f>
        <v>0</v>
      </c>
      <c r="BB205" s="23">
        <f>VALUE(0)</f>
        <v>0</v>
      </c>
      <c r="BC205" s="23">
        <f>VALUE(0)</f>
        <v>0</v>
      </c>
      <c r="BD205" s="23">
        <f>VALUE(0)</f>
        <v>0</v>
      </c>
      <c r="BE205" s="23">
        <f>VALUE(0)</f>
        <v>0</v>
      </c>
      <c r="BF205" s="23">
        <f>VALUE(0)</f>
        <v>0</v>
      </c>
      <c r="BG205" s="23">
        <f>VALUE(0)</f>
        <v>0</v>
      </c>
      <c r="BH205" s="23">
        <f>VALUE(0)</f>
        <v>0</v>
      </c>
      <c r="BI205" s="23">
        <f>VALUE(0)</f>
        <v>0</v>
      </c>
      <c r="BJ205" s="23">
        <f>VALUE(0)</f>
        <v>0</v>
      </c>
      <c r="BK205" s="12">
        <f>$AX$205*24</f>
        <v>5.833333333333333</v>
      </c>
      <c r="BL205" s="12">
        <f>$AY$205*24</f>
        <v>4.3166666666666664</v>
      </c>
      <c r="BM205" s="12">
        <f>$BJ$205*24</f>
        <v>0</v>
      </c>
      <c r="BN205" s="12">
        <f>VALUE($I$205)/100</f>
        <v>1</v>
      </c>
      <c r="BO205" s="12">
        <v>0</v>
      </c>
      <c r="BP205" s="12">
        <v>0</v>
      </c>
      <c r="BQ205" s="12">
        <v>0</v>
      </c>
      <c r="BR205" s="12">
        <v>0</v>
      </c>
      <c r="BS205" s="12">
        <v>0</v>
      </c>
      <c r="BT205" s="12">
        <v>0</v>
      </c>
      <c r="BU205" s="12">
        <v>0</v>
      </c>
      <c r="BV205" s="12">
        <v>0</v>
      </c>
      <c r="BW205" s="12">
        <v>0</v>
      </c>
      <c r="BX205" s="12">
        <v>0</v>
      </c>
      <c r="BY205" s="12">
        <v>0</v>
      </c>
      <c r="BZ205" s="12">
        <v>0</v>
      </c>
      <c r="CA205" s="12">
        <v>0</v>
      </c>
    </row>
    <row r="206" spans="1:79" x14ac:dyDescent="0.2">
      <c r="A206" s="12" t="s">
        <v>120</v>
      </c>
      <c r="B206" s="12" t="s">
        <v>126</v>
      </c>
      <c r="C206" s="12" t="s">
        <v>126</v>
      </c>
      <c r="D206" s="22" t="s">
        <v>472</v>
      </c>
      <c r="E206" s="22" t="s">
        <v>332</v>
      </c>
      <c r="F206" s="22" t="s">
        <v>922</v>
      </c>
      <c r="G206" s="22" t="s">
        <v>923</v>
      </c>
      <c r="H206" s="22" t="s">
        <v>150</v>
      </c>
      <c r="I206" s="22" t="s">
        <v>151</v>
      </c>
      <c r="J206" s="22" t="s">
        <v>162</v>
      </c>
      <c r="K206" s="22" t="s">
        <v>85</v>
      </c>
      <c r="L206" s="54" t="s">
        <v>153</v>
      </c>
      <c r="M206" s="28" t="s">
        <v>163</v>
      </c>
      <c r="N206" s="24" t="s">
        <v>153</v>
      </c>
      <c r="O206" s="23" t="s">
        <v>468</v>
      </c>
      <c r="P206" s="25" t="s">
        <v>468</v>
      </c>
      <c r="Q206" s="25" t="s">
        <v>468</v>
      </c>
      <c r="R206" s="25" t="s">
        <v>468</v>
      </c>
      <c r="S206" s="23" t="s">
        <v>462</v>
      </c>
      <c r="T206" s="23" t="s">
        <v>462</v>
      </c>
      <c r="U206" s="24" t="s">
        <v>153</v>
      </c>
      <c r="V206" s="54" t="s">
        <v>156</v>
      </c>
      <c r="W206" s="24" t="s">
        <v>156</v>
      </c>
      <c r="X206" s="24" t="s">
        <v>156</v>
      </c>
      <c r="Y206" s="23" t="s">
        <v>153</v>
      </c>
      <c r="Z206" s="23" t="s">
        <v>153</v>
      </c>
      <c r="AA206" s="23" t="s">
        <v>153</v>
      </c>
      <c r="AB206" s="24" t="s">
        <v>153</v>
      </c>
      <c r="AC206" s="25" t="s">
        <v>450</v>
      </c>
      <c r="AD206" s="23" t="s">
        <v>467</v>
      </c>
      <c r="AE206" s="23" t="s">
        <v>467</v>
      </c>
      <c r="AF206" s="23" t="s">
        <v>459</v>
      </c>
      <c r="AG206" s="23" t="s">
        <v>459</v>
      </c>
      <c r="AH206" s="23" t="s">
        <v>459</v>
      </c>
      <c r="AI206" s="24" t="s">
        <v>153</v>
      </c>
      <c r="AJ206" s="23" t="s">
        <v>153</v>
      </c>
      <c r="AK206" s="23" t="s">
        <v>153</v>
      </c>
      <c r="AL206" s="23" t="s">
        <v>153</v>
      </c>
      <c r="AM206" s="23" t="s">
        <v>466</v>
      </c>
      <c r="AN206" s="23" t="s">
        <v>466</v>
      </c>
      <c r="AO206" s="23" t="s">
        <v>466</v>
      </c>
      <c r="AP206" s="23">
        <f>VALUE(2)</f>
        <v>2</v>
      </c>
      <c r="AQ206" s="23">
        <f>VALUE(0)</f>
        <v>0</v>
      </c>
      <c r="AR206" s="23">
        <f>VALUE(0)</f>
        <v>0</v>
      </c>
      <c r="AS206" s="23">
        <f>VALUE(6)</f>
        <v>6</v>
      </c>
      <c r="AT206" s="23">
        <f>VALUE(0)</f>
        <v>0</v>
      </c>
      <c r="AU206" s="23">
        <f>VALUE(1)</f>
        <v>1</v>
      </c>
      <c r="AV206" s="23">
        <f>VALUE(3)</f>
        <v>3</v>
      </c>
      <c r="AW206" s="23">
        <f>VALUE(0)</f>
        <v>0</v>
      </c>
      <c r="AX206" s="23" t="s">
        <v>176</v>
      </c>
      <c r="AY206" s="23" t="s">
        <v>473</v>
      </c>
      <c r="AZ206" s="23">
        <f>VALUE(0)</f>
        <v>0</v>
      </c>
      <c r="BA206" s="23">
        <f>VALUE(0)</f>
        <v>0</v>
      </c>
      <c r="BB206" s="23">
        <f>VALUE(0)</f>
        <v>0</v>
      </c>
      <c r="BC206" s="23">
        <f>VALUE(0)</f>
        <v>0</v>
      </c>
      <c r="BD206" s="23">
        <f>VALUE(0)</f>
        <v>0</v>
      </c>
      <c r="BE206" s="23">
        <f>VALUE(0)</f>
        <v>0</v>
      </c>
      <c r="BF206" s="23">
        <f>VALUE(0)</f>
        <v>0</v>
      </c>
      <c r="BG206" s="23">
        <f>VALUE(0)</f>
        <v>0</v>
      </c>
      <c r="BH206" s="23">
        <f>VALUE(0)</f>
        <v>0</v>
      </c>
      <c r="BI206" s="23">
        <f>VALUE(0)</f>
        <v>0</v>
      </c>
      <c r="BJ206" s="23">
        <f>VALUE(0)</f>
        <v>0</v>
      </c>
      <c r="BK206" s="12">
        <f>$AX$206*24</f>
        <v>0</v>
      </c>
      <c r="BL206" s="12">
        <f>$AY$206*24</f>
        <v>3.6833333333333336</v>
      </c>
      <c r="BM206" s="12">
        <f>$BJ$206*24</f>
        <v>0</v>
      </c>
      <c r="BN206" s="12">
        <f>VALUE($I$206)/100</f>
        <v>1</v>
      </c>
      <c r="BO206" s="12">
        <v>0</v>
      </c>
      <c r="BP206" s="12">
        <v>0</v>
      </c>
      <c r="BQ206" s="12">
        <v>0</v>
      </c>
      <c r="BR206" s="12">
        <v>0</v>
      </c>
      <c r="BS206" s="12">
        <v>0</v>
      </c>
      <c r="BT206" s="12">
        <v>0</v>
      </c>
      <c r="BU206" s="12">
        <v>0</v>
      </c>
      <c r="BV206" s="12">
        <v>0</v>
      </c>
      <c r="BW206" s="12">
        <v>0</v>
      </c>
      <c r="BX206" s="12">
        <v>0</v>
      </c>
      <c r="BY206" s="12">
        <v>0</v>
      </c>
      <c r="BZ206" s="12">
        <v>0</v>
      </c>
      <c r="CA206" s="12">
        <v>0</v>
      </c>
    </row>
    <row r="207" spans="1:79" ht="15" hidden="1" x14ac:dyDescent="0.25">
      <c r="A207" s="12" t="s">
        <v>120</v>
      </c>
      <c r="B207" s="12" t="s">
        <v>126</v>
      </c>
      <c r="C207" s="12" t="s">
        <v>126</v>
      </c>
      <c r="D207" s="31" t="s">
        <v>202</v>
      </c>
      <c r="E207" s="31" t="s">
        <v>153</v>
      </c>
      <c r="F207" s="31" t="s">
        <v>175</v>
      </c>
      <c r="G207" s="31" t="s">
        <v>153</v>
      </c>
      <c r="H207" s="31" t="s">
        <v>153</v>
      </c>
      <c r="I207" s="31" t="s">
        <v>153</v>
      </c>
      <c r="J207" s="31" t="s">
        <v>153</v>
      </c>
      <c r="K207" s="31" t="s">
        <v>153</v>
      </c>
      <c r="L207" s="31">
        <f>VALUE(0)</f>
        <v>0</v>
      </c>
      <c r="M207" s="31">
        <f>VALUE(10)</f>
        <v>10</v>
      </c>
      <c r="N207" s="31">
        <f>VALUE(0)</f>
        <v>0</v>
      </c>
      <c r="O207" s="31">
        <f>VALUE(10)</f>
        <v>10</v>
      </c>
      <c r="P207" s="31">
        <f>VALUE(10)</f>
        <v>10</v>
      </c>
      <c r="Q207" s="31">
        <f>VALUE(10)</f>
        <v>10</v>
      </c>
      <c r="R207" s="31">
        <f>VALUE(10)</f>
        <v>10</v>
      </c>
      <c r="S207" s="31">
        <f>VALUE(10)</f>
        <v>10</v>
      </c>
      <c r="T207" s="31">
        <f>VALUE(10)</f>
        <v>10</v>
      </c>
      <c r="U207" s="31">
        <f>VALUE(0)</f>
        <v>0</v>
      </c>
      <c r="V207" s="31">
        <f>VALUE(0)</f>
        <v>0</v>
      </c>
      <c r="W207" s="31">
        <f>VALUE(9)</f>
        <v>9</v>
      </c>
      <c r="X207" s="31">
        <f>VALUE(9)</f>
        <v>9</v>
      </c>
      <c r="Y207" s="31">
        <f>VALUE(10)</f>
        <v>10</v>
      </c>
      <c r="Z207" s="31">
        <f>VALUE(10)</f>
        <v>10</v>
      </c>
      <c r="AA207" s="31">
        <f>VALUE(10)</f>
        <v>10</v>
      </c>
      <c r="AB207" s="31">
        <f>VALUE(0)</f>
        <v>0</v>
      </c>
      <c r="AC207" s="31">
        <f>VALUE(9)</f>
        <v>9</v>
      </c>
      <c r="AD207" s="31">
        <f>VALUE(9)</f>
        <v>9</v>
      </c>
      <c r="AE207" s="31">
        <f>VALUE(9)</f>
        <v>9</v>
      </c>
      <c r="AF207" s="31">
        <f>VALUE(9)</f>
        <v>9</v>
      </c>
      <c r="AG207" s="31">
        <f>VALUE(9)</f>
        <v>9</v>
      </c>
      <c r="AH207" s="31">
        <f>VALUE(9)</f>
        <v>9</v>
      </c>
      <c r="AI207" s="31">
        <f>VALUE(0)</f>
        <v>0</v>
      </c>
      <c r="AJ207" s="31">
        <f>VALUE(9)</f>
        <v>9</v>
      </c>
      <c r="AK207" s="31">
        <f>VALUE(9)</f>
        <v>9</v>
      </c>
      <c r="AL207" s="31">
        <f>VALUE(9)</f>
        <v>9</v>
      </c>
      <c r="AM207" s="31">
        <f>VALUE(8)</f>
        <v>8</v>
      </c>
      <c r="AN207" s="31">
        <f>VALUE(8)</f>
        <v>8</v>
      </c>
      <c r="AO207" s="31">
        <f>VALUE(8)</f>
        <v>8</v>
      </c>
      <c r="AP207" s="31">
        <v>0</v>
      </c>
      <c r="AQ207" s="31">
        <v>0</v>
      </c>
      <c r="AR207" s="31">
        <v>0</v>
      </c>
      <c r="AS207" s="31">
        <v>0</v>
      </c>
      <c r="AT207" s="31">
        <v>0</v>
      </c>
      <c r="AU207" s="31">
        <v>0</v>
      </c>
      <c r="AV207" s="31">
        <v>0</v>
      </c>
      <c r="AW207" s="31">
        <v>0</v>
      </c>
      <c r="AX207" s="31">
        <v>0</v>
      </c>
      <c r="AY207" s="31">
        <v>0</v>
      </c>
      <c r="AZ207" s="31">
        <v>0</v>
      </c>
      <c r="BA207" s="31">
        <v>0</v>
      </c>
      <c r="BB207" s="31">
        <v>0</v>
      </c>
      <c r="BC207" s="31">
        <v>0</v>
      </c>
      <c r="BD207" s="31">
        <v>0</v>
      </c>
      <c r="BE207" s="31">
        <v>0</v>
      </c>
      <c r="BF207" s="31">
        <v>0</v>
      </c>
      <c r="BG207" s="31">
        <v>0</v>
      </c>
      <c r="BH207" s="31">
        <v>0</v>
      </c>
      <c r="BI207" s="31">
        <v>0</v>
      </c>
      <c r="BJ207" s="31">
        <v>0</v>
      </c>
      <c r="BK207" s="12">
        <v>0</v>
      </c>
      <c r="BL207" s="12">
        <v>0</v>
      </c>
      <c r="BM207" s="12">
        <v>0</v>
      </c>
      <c r="BN207" s="12"/>
      <c r="BO207" s="12">
        <v>0</v>
      </c>
      <c r="BP207" s="12">
        <v>0</v>
      </c>
      <c r="BQ207" s="12">
        <v>0</v>
      </c>
      <c r="BR207" s="12">
        <v>0</v>
      </c>
      <c r="BS207" s="12">
        <v>0</v>
      </c>
      <c r="BT207" s="12">
        <v>0</v>
      </c>
      <c r="BU207" s="12">
        <v>0</v>
      </c>
      <c r="BV207" s="12">
        <v>0</v>
      </c>
      <c r="BW207" s="12">
        <v>0</v>
      </c>
      <c r="BX207" s="12">
        <v>0</v>
      </c>
      <c r="BY207" s="12">
        <v>0</v>
      </c>
      <c r="BZ207" s="12">
        <v>0</v>
      </c>
      <c r="CA207" s="12">
        <v>0</v>
      </c>
    </row>
    <row r="208" spans="1:79" hidden="1" x14ac:dyDescent="0.2">
      <c r="A208" s="12" t="s">
        <v>127</v>
      </c>
      <c r="B208" s="12" t="s">
        <v>128</v>
      </c>
      <c r="C208" s="12" t="s">
        <v>128</v>
      </c>
      <c r="D208" s="22" t="s">
        <v>474</v>
      </c>
      <c r="E208" s="22" t="s">
        <v>173</v>
      </c>
      <c r="F208" s="22" t="s">
        <v>924</v>
      </c>
      <c r="G208" s="22" t="s">
        <v>925</v>
      </c>
      <c r="H208" s="22" t="s">
        <v>150</v>
      </c>
      <c r="I208" s="22" t="s">
        <v>415</v>
      </c>
      <c r="J208" s="22" t="s">
        <v>162</v>
      </c>
      <c r="K208" s="22" t="s">
        <v>86</v>
      </c>
      <c r="L208" s="54" t="s">
        <v>153</v>
      </c>
      <c r="M208" s="33" t="s">
        <v>475</v>
      </c>
      <c r="N208" s="24" t="s">
        <v>153</v>
      </c>
      <c r="O208" s="33" t="s">
        <v>475</v>
      </c>
      <c r="P208" s="33" t="s">
        <v>475</v>
      </c>
      <c r="Q208" s="33" t="s">
        <v>475</v>
      </c>
      <c r="R208" s="33" t="s">
        <v>475</v>
      </c>
      <c r="S208" s="33" t="s">
        <v>475</v>
      </c>
      <c r="T208" s="33" t="s">
        <v>475</v>
      </c>
      <c r="U208" s="24" t="s">
        <v>153</v>
      </c>
      <c r="V208" s="54" t="s">
        <v>153</v>
      </c>
      <c r="W208" s="33" t="s">
        <v>475</v>
      </c>
      <c r="X208" s="33" t="s">
        <v>475</v>
      </c>
      <c r="Y208" s="33" t="s">
        <v>475</v>
      </c>
      <c r="Z208" s="33" t="s">
        <v>475</v>
      </c>
      <c r="AA208" s="33" t="s">
        <v>475</v>
      </c>
      <c r="AB208" s="24" t="s">
        <v>153</v>
      </c>
      <c r="AC208" s="33" t="s">
        <v>475</v>
      </c>
      <c r="AD208" s="33" t="s">
        <v>475</v>
      </c>
      <c r="AE208" s="33" t="s">
        <v>475</v>
      </c>
      <c r="AF208" s="33" t="s">
        <v>475</v>
      </c>
      <c r="AG208" s="33" t="s">
        <v>475</v>
      </c>
      <c r="AH208" s="33" t="s">
        <v>475</v>
      </c>
      <c r="AI208" s="24" t="s">
        <v>153</v>
      </c>
      <c r="AJ208" s="33" t="s">
        <v>475</v>
      </c>
      <c r="AK208" s="33" t="s">
        <v>475</v>
      </c>
      <c r="AL208" s="33" t="s">
        <v>475</v>
      </c>
      <c r="AM208" s="33" t="s">
        <v>475</v>
      </c>
      <c r="AN208" s="33" t="s">
        <v>475</v>
      </c>
      <c r="AO208" s="33" t="s">
        <v>475</v>
      </c>
      <c r="AP208" s="23">
        <f>VALUE(0)</f>
        <v>0</v>
      </c>
      <c r="AQ208" s="23">
        <f>VALUE(0)</f>
        <v>0</v>
      </c>
      <c r="AR208" s="23">
        <f>VALUE(0)</f>
        <v>0</v>
      </c>
      <c r="AS208" s="23">
        <f>VALUE(0)</f>
        <v>0</v>
      </c>
      <c r="AT208" s="23">
        <f>VALUE(0)</f>
        <v>0</v>
      </c>
      <c r="AU208" s="23">
        <f>VALUE(0)</f>
        <v>0</v>
      </c>
      <c r="AV208" s="23">
        <f>VALUE(0)</f>
        <v>0</v>
      </c>
      <c r="AW208" s="23">
        <f>VALUE(4)</f>
        <v>4</v>
      </c>
      <c r="AX208" s="23">
        <f>VALUE(0)</f>
        <v>0</v>
      </c>
      <c r="AY208" s="23" t="s">
        <v>476</v>
      </c>
      <c r="AZ208" s="23">
        <f>VALUE(0)</f>
        <v>0</v>
      </c>
      <c r="BA208" s="23">
        <f>VALUE(0)</f>
        <v>0</v>
      </c>
      <c r="BB208" s="23">
        <f>VALUE(0)</f>
        <v>0</v>
      </c>
      <c r="BC208" s="23">
        <f>VALUE(0)</f>
        <v>0</v>
      </c>
      <c r="BD208" s="23">
        <f>VALUE(0)</f>
        <v>0</v>
      </c>
      <c r="BE208" s="23">
        <f>VALUE(0)</f>
        <v>0</v>
      </c>
      <c r="BF208" s="23">
        <f>VALUE(0)</f>
        <v>0</v>
      </c>
      <c r="BG208" s="23">
        <f>VALUE(0)</f>
        <v>0</v>
      </c>
      <c r="BH208" s="23">
        <f>VALUE(0)</f>
        <v>0</v>
      </c>
      <c r="BI208" s="23">
        <f>VALUE(0)</f>
        <v>0</v>
      </c>
      <c r="BJ208" s="23">
        <f>VALUE(0)</f>
        <v>0</v>
      </c>
      <c r="BK208" s="12">
        <f>$AX$208*24</f>
        <v>0</v>
      </c>
      <c r="BL208" s="12">
        <f>$AY$208*24</f>
        <v>5.2833333333333332</v>
      </c>
      <c r="BM208" s="12">
        <f>$BJ$208*24</f>
        <v>0</v>
      </c>
      <c r="BN208" s="12">
        <f>VALUE($I$208)/100</f>
        <v>0.5</v>
      </c>
      <c r="BO208" s="12">
        <v>0</v>
      </c>
      <c r="BP208" s="12">
        <v>0</v>
      </c>
      <c r="BQ208" s="12">
        <v>0</v>
      </c>
      <c r="BR208" s="12">
        <v>0</v>
      </c>
      <c r="BS208" s="12">
        <v>0</v>
      </c>
      <c r="BT208" s="12">
        <v>0</v>
      </c>
      <c r="BU208" s="12">
        <v>0</v>
      </c>
      <c r="BV208" s="12">
        <v>0</v>
      </c>
      <c r="BW208" s="12">
        <v>0</v>
      </c>
      <c r="BX208" s="12">
        <v>0</v>
      </c>
      <c r="BY208" s="12">
        <v>0</v>
      </c>
      <c r="BZ208" s="12">
        <v>0</v>
      </c>
      <c r="CA208" s="12">
        <v>0</v>
      </c>
    </row>
    <row r="209" spans="1:79" ht="15" hidden="1" x14ac:dyDescent="0.25">
      <c r="A209" s="12" t="s">
        <v>127</v>
      </c>
      <c r="B209" s="12" t="s">
        <v>128</v>
      </c>
      <c r="C209" s="12" t="s">
        <v>128</v>
      </c>
      <c r="D209" s="31" t="s">
        <v>262</v>
      </c>
      <c r="E209" s="31" t="s">
        <v>153</v>
      </c>
      <c r="F209" s="31" t="s">
        <v>175</v>
      </c>
      <c r="G209" s="31" t="s">
        <v>153</v>
      </c>
      <c r="H209" s="31" t="s">
        <v>153</v>
      </c>
      <c r="I209" s="31" t="s">
        <v>153</v>
      </c>
      <c r="J209" s="31" t="s">
        <v>153</v>
      </c>
      <c r="K209" s="31" t="s">
        <v>153</v>
      </c>
      <c r="L209" s="31">
        <f>VALUE(0)</f>
        <v>0</v>
      </c>
      <c r="M209" s="31">
        <f>VALUE(0)</f>
        <v>0</v>
      </c>
      <c r="N209" s="31">
        <f>VALUE(0)</f>
        <v>0</v>
      </c>
      <c r="O209" s="31">
        <f>VALUE(0)</f>
        <v>0</v>
      </c>
      <c r="P209" s="31">
        <f>VALUE(0)</f>
        <v>0</v>
      </c>
      <c r="Q209" s="31">
        <f>VALUE(0)</f>
        <v>0</v>
      </c>
      <c r="R209" s="31">
        <f>VALUE(0)</f>
        <v>0</v>
      </c>
      <c r="S209" s="31">
        <f>VALUE(0)</f>
        <v>0</v>
      </c>
      <c r="T209" s="31">
        <f>VALUE(0)</f>
        <v>0</v>
      </c>
      <c r="U209" s="31">
        <f>VALUE(0)</f>
        <v>0</v>
      </c>
      <c r="V209" s="31">
        <f>VALUE(0)</f>
        <v>0</v>
      </c>
      <c r="W209" s="31">
        <f>VALUE(0)</f>
        <v>0</v>
      </c>
      <c r="X209" s="31">
        <f>VALUE(0)</f>
        <v>0</v>
      </c>
      <c r="Y209" s="31">
        <f>VALUE(0)</f>
        <v>0</v>
      </c>
      <c r="Z209" s="31">
        <f>VALUE(0)</f>
        <v>0</v>
      </c>
      <c r="AA209" s="31">
        <f>VALUE(0)</f>
        <v>0</v>
      </c>
      <c r="AB209" s="31">
        <f>VALUE(0)</f>
        <v>0</v>
      </c>
      <c r="AC209" s="31">
        <f>VALUE(0)</f>
        <v>0</v>
      </c>
      <c r="AD209" s="31">
        <f>VALUE(0)</f>
        <v>0</v>
      </c>
      <c r="AE209" s="31">
        <f>VALUE(0)</f>
        <v>0</v>
      </c>
      <c r="AF209" s="31">
        <f>VALUE(0)</f>
        <v>0</v>
      </c>
      <c r="AG209" s="31">
        <f>VALUE(0)</f>
        <v>0</v>
      </c>
      <c r="AH209" s="31">
        <f>VALUE(0)</f>
        <v>0</v>
      </c>
      <c r="AI209" s="31">
        <f>VALUE(0)</f>
        <v>0</v>
      </c>
      <c r="AJ209" s="31">
        <f>VALUE(0)</f>
        <v>0</v>
      </c>
      <c r="AK209" s="31">
        <f>VALUE(0)</f>
        <v>0</v>
      </c>
      <c r="AL209" s="31">
        <f>VALUE(0)</f>
        <v>0</v>
      </c>
      <c r="AM209" s="31">
        <f>VALUE(0)</f>
        <v>0</v>
      </c>
      <c r="AN209" s="31">
        <f>VALUE(0)</f>
        <v>0</v>
      </c>
      <c r="AO209" s="31">
        <f>VALUE(0)</f>
        <v>0</v>
      </c>
      <c r="AP209" s="31">
        <v>0</v>
      </c>
      <c r="AQ209" s="31">
        <v>0</v>
      </c>
      <c r="AR209" s="31">
        <v>0</v>
      </c>
      <c r="AS209" s="31">
        <v>0</v>
      </c>
      <c r="AT209" s="31">
        <v>0</v>
      </c>
      <c r="AU209" s="31">
        <v>0</v>
      </c>
      <c r="AV209" s="31">
        <v>0</v>
      </c>
      <c r="AW209" s="31">
        <v>0</v>
      </c>
      <c r="AX209" s="31">
        <v>0</v>
      </c>
      <c r="AY209" s="31">
        <v>0</v>
      </c>
      <c r="AZ209" s="31">
        <v>0</v>
      </c>
      <c r="BA209" s="31">
        <v>0</v>
      </c>
      <c r="BB209" s="31">
        <v>0</v>
      </c>
      <c r="BC209" s="31">
        <v>0</v>
      </c>
      <c r="BD209" s="31">
        <v>0</v>
      </c>
      <c r="BE209" s="31">
        <v>0</v>
      </c>
      <c r="BF209" s="31">
        <v>0</v>
      </c>
      <c r="BG209" s="31">
        <v>0</v>
      </c>
      <c r="BH209" s="31">
        <v>0</v>
      </c>
      <c r="BI209" s="31">
        <v>0</v>
      </c>
      <c r="BJ209" s="31">
        <v>0</v>
      </c>
      <c r="BK209" s="12">
        <v>0</v>
      </c>
      <c r="BL209" s="12">
        <v>0</v>
      </c>
      <c r="BM209" s="12">
        <v>0</v>
      </c>
      <c r="BN209" s="12"/>
      <c r="BO209" s="12">
        <v>0</v>
      </c>
      <c r="BP209" s="12">
        <v>0</v>
      </c>
      <c r="BQ209" s="12">
        <v>0</v>
      </c>
      <c r="BR209" s="12">
        <v>0</v>
      </c>
      <c r="BS209" s="12">
        <v>0</v>
      </c>
      <c r="BT209" s="12">
        <v>0</v>
      </c>
      <c r="BU209" s="12">
        <v>0</v>
      </c>
      <c r="BV209" s="12">
        <v>0</v>
      </c>
      <c r="BW209" s="12">
        <v>0</v>
      </c>
      <c r="BX209" s="12">
        <v>0</v>
      </c>
      <c r="BY209" s="12">
        <v>0</v>
      </c>
      <c r="BZ209" s="12">
        <v>0</v>
      </c>
      <c r="CA209" s="12">
        <v>0</v>
      </c>
    </row>
    <row r="210" spans="1:79" hidden="1" x14ac:dyDescent="0.2">
      <c r="A210" s="12" t="s">
        <v>127</v>
      </c>
      <c r="B210" s="12" t="s">
        <v>129</v>
      </c>
      <c r="C210" s="12" t="s">
        <v>129</v>
      </c>
      <c r="D210" s="22" t="s">
        <v>477</v>
      </c>
      <c r="E210" s="22" t="s">
        <v>173</v>
      </c>
      <c r="F210" s="22" t="s">
        <v>924</v>
      </c>
      <c r="G210" s="22" t="s">
        <v>925</v>
      </c>
      <c r="H210" s="22" t="s">
        <v>166</v>
      </c>
      <c r="I210" s="22" t="s">
        <v>151</v>
      </c>
      <c r="J210" s="22" t="s">
        <v>162</v>
      </c>
      <c r="K210" s="22" t="s">
        <v>87</v>
      </c>
      <c r="L210" s="54" t="s">
        <v>153</v>
      </c>
      <c r="M210" s="32" t="s">
        <v>188</v>
      </c>
      <c r="N210" s="24" t="s">
        <v>153</v>
      </c>
      <c r="O210" s="32" t="s">
        <v>188</v>
      </c>
      <c r="P210" s="32" t="s">
        <v>188</v>
      </c>
      <c r="Q210" s="32" t="s">
        <v>188</v>
      </c>
      <c r="R210" s="32" t="s">
        <v>188</v>
      </c>
      <c r="S210" s="32" t="s">
        <v>188</v>
      </c>
      <c r="T210" s="32" t="s">
        <v>188</v>
      </c>
      <c r="U210" s="24" t="s">
        <v>153</v>
      </c>
      <c r="V210" s="54" t="s">
        <v>153</v>
      </c>
      <c r="W210" s="32" t="s">
        <v>188</v>
      </c>
      <c r="X210" s="32" t="s">
        <v>188</v>
      </c>
      <c r="Y210" s="32" t="s">
        <v>188</v>
      </c>
      <c r="Z210" s="32" t="s">
        <v>188</v>
      </c>
      <c r="AA210" s="32" t="s">
        <v>188</v>
      </c>
      <c r="AB210" s="24" t="s">
        <v>153</v>
      </c>
      <c r="AC210" s="32" t="s">
        <v>188</v>
      </c>
      <c r="AD210" s="32" t="s">
        <v>188</v>
      </c>
      <c r="AE210" s="32" t="s">
        <v>188</v>
      </c>
      <c r="AF210" s="32" t="s">
        <v>188</v>
      </c>
      <c r="AG210" s="32" t="s">
        <v>188</v>
      </c>
      <c r="AH210" s="32" t="s">
        <v>188</v>
      </c>
      <c r="AI210" s="24" t="s">
        <v>153</v>
      </c>
      <c r="AJ210" s="32" t="s">
        <v>188</v>
      </c>
      <c r="AK210" s="32" t="s">
        <v>188</v>
      </c>
      <c r="AL210" s="32" t="s">
        <v>188</v>
      </c>
      <c r="AM210" s="32" t="s">
        <v>188</v>
      </c>
      <c r="AN210" s="32" t="s">
        <v>188</v>
      </c>
      <c r="AO210" s="32" t="s">
        <v>188</v>
      </c>
      <c r="AP210" s="23">
        <f>VALUE(0)</f>
        <v>0</v>
      </c>
      <c r="AQ210" s="23">
        <f>VALUE(0)</f>
        <v>0</v>
      </c>
      <c r="AR210" s="23">
        <f>VALUE(0)</f>
        <v>0</v>
      </c>
      <c r="AS210" s="23">
        <f>VALUE(0)</f>
        <v>0</v>
      </c>
      <c r="AT210" s="23">
        <f>VALUE(0)</f>
        <v>0</v>
      </c>
      <c r="AU210" s="23">
        <f>VALUE(0)</f>
        <v>0</v>
      </c>
      <c r="AV210" s="23">
        <f>VALUE(0.5)</f>
        <v>0.5</v>
      </c>
      <c r="AW210" s="23">
        <f>VALUE(4)</f>
        <v>4</v>
      </c>
      <c r="AX210" s="23" t="s">
        <v>1255</v>
      </c>
      <c r="AY210" s="23">
        <f>VALUE(0)</f>
        <v>0</v>
      </c>
      <c r="AZ210" s="23">
        <f>VALUE(0)</f>
        <v>0</v>
      </c>
      <c r="BA210" s="23">
        <f>VALUE(0)</f>
        <v>0</v>
      </c>
      <c r="BB210" s="23">
        <f>VALUE(0)</f>
        <v>0</v>
      </c>
      <c r="BC210" s="23">
        <f>VALUE(0)</f>
        <v>0</v>
      </c>
      <c r="BD210" s="23">
        <f>VALUE(0)</f>
        <v>0</v>
      </c>
      <c r="BE210" s="23">
        <f>VALUE(0)</f>
        <v>0</v>
      </c>
      <c r="BF210" s="23">
        <f>VALUE(0)</f>
        <v>0</v>
      </c>
      <c r="BG210" s="23">
        <f>VALUE(0)</f>
        <v>0</v>
      </c>
      <c r="BH210" s="23">
        <f>VALUE(24)</f>
        <v>24</v>
      </c>
      <c r="BI210" s="23">
        <f>VALUE(0)</f>
        <v>0</v>
      </c>
      <c r="BJ210" s="23">
        <f>VALUE(0)</f>
        <v>0</v>
      </c>
      <c r="BK210" s="12">
        <f>$AX$210*24</f>
        <v>8.3833333333333329</v>
      </c>
      <c r="BL210" s="12">
        <f>$AY$210*24</f>
        <v>0</v>
      </c>
      <c r="BM210" s="12">
        <f>$BJ$210*24</f>
        <v>0</v>
      </c>
      <c r="BN210" s="12">
        <f>VALUE($I$210)/100</f>
        <v>1</v>
      </c>
      <c r="BO210" s="12">
        <v>0</v>
      </c>
      <c r="BP210" s="12">
        <v>0</v>
      </c>
      <c r="BQ210" s="12">
        <v>0</v>
      </c>
      <c r="BR210" s="12">
        <v>0</v>
      </c>
      <c r="BS210" s="12">
        <v>0</v>
      </c>
      <c r="BT210" s="12">
        <v>0</v>
      </c>
      <c r="BU210" s="12">
        <v>0</v>
      </c>
      <c r="BV210" s="12">
        <v>0</v>
      </c>
      <c r="BW210" s="12">
        <v>0</v>
      </c>
      <c r="BX210" s="12">
        <v>0</v>
      </c>
      <c r="BY210" s="12">
        <v>0</v>
      </c>
      <c r="BZ210" s="12">
        <v>0</v>
      </c>
      <c r="CA210" s="12">
        <v>0</v>
      </c>
    </row>
    <row r="211" spans="1:79" ht="15" hidden="1" x14ac:dyDescent="0.25">
      <c r="A211" s="12" t="s">
        <v>127</v>
      </c>
      <c r="B211" s="12" t="s">
        <v>129</v>
      </c>
      <c r="C211" s="12" t="s">
        <v>129</v>
      </c>
      <c r="D211" s="31" t="s">
        <v>262</v>
      </c>
      <c r="E211" s="31" t="s">
        <v>153</v>
      </c>
      <c r="F211" s="31" t="s">
        <v>175</v>
      </c>
      <c r="G211" s="31" t="s">
        <v>153</v>
      </c>
      <c r="H211" s="31" t="s">
        <v>153</v>
      </c>
      <c r="I211" s="31" t="s">
        <v>153</v>
      </c>
      <c r="J211" s="31" t="s">
        <v>153</v>
      </c>
      <c r="K211" s="31" t="s">
        <v>153</v>
      </c>
      <c r="L211" s="31">
        <f>VALUE(0)</f>
        <v>0</v>
      </c>
      <c r="M211" s="31">
        <f>VALUE(0)</f>
        <v>0</v>
      </c>
      <c r="N211" s="31">
        <f>VALUE(0)</f>
        <v>0</v>
      </c>
      <c r="O211" s="31">
        <f>VALUE(0)</f>
        <v>0</v>
      </c>
      <c r="P211" s="31">
        <f>VALUE(0)</f>
        <v>0</v>
      </c>
      <c r="Q211" s="31">
        <f>VALUE(0)</f>
        <v>0</v>
      </c>
      <c r="R211" s="31">
        <f>VALUE(0)</f>
        <v>0</v>
      </c>
      <c r="S211" s="31">
        <f>VALUE(0)</f>
        <v>0</v>
      </c>
      <c r="T211" s="31">
        <f>VALUE(0)</f>
        <v>0</v>
      </c>
      <c r="U211" s="31">
        <f>VALUE(0)</f>
        <v>0</v>
      </c>
      <c r="V211" s="31">
        <f>VALUE(0)</f>
        <v>0</v>
      </c>
      <c r="W211" s="31">
        <f>VALUE(0)</f>
        <v>0</v>
      </c>
      <c r="X211" s="31">
        <f>VALUE(0)</f>
        <v>0</v>
      </c>
      <c r="Y211" s="31">
        <f>VALUE(0)</f>
        <v>0</v>
      </c>
      <c r="Z211" s="31">
        <f>VALUE(0)</f>
        <v>0</v>
      </c>
      <c r="AA211" s="31">
        <f>VALUE(0)</f>
        <v>0</v>
      </c>
      <c r="AB211" s="31">
        <f>VALUE(0)</f>
        <v>0</v>
      </c>
      <c r="AC211" s="31">
        <f>VALUE(0)</f>
        <v>0</v>
      </c>
      <c r="AD211" s="31">
        <f>VALUE(0)</f>
        <v>0</v>
      </c>
      <c r="AE211" s="31">
        <f>VALUE(0)</f>
        <v>0</v>
      </c>
      <c r="AF211" s="31">
        <f>VALUE(0)</f>
        <v>0</v>
      </c>
      <c r="AG211" s="31">
        <f>VALUE(0)</f>
        <v>0</v>
      </c>
      <c r="AH211" s="31">
        <f>VALUE(0)</f>
        <v>0</v>
      </c>
      <c r="AI211" s="31">
        <f>VALUE(0)</f>
        <v>0</v>
      </c>
      <c r="AJ211" s="31">
        <f>VALUE(0)</f>
        <v>0</v>
      </c>
      <c r="AK211" s="31">
        <f>VALUE(0)</f>
        <v>0</v>
      </c>
      <c r="AL211" s="31">
        <f>VALUE(0)</f>
        <v>0</v>
      </c>
      <c r="AM211" s="31">
        <f>VALUE(0)</f>
        <v>0</v>
      </c>
      <c r="AN211" s="31">
        <f>VALUE(0)</f>
        <v>0</v>
      </c>
      <c r="AO211" s="31">
        <f>VALUE(0)</f>
        <v>0</v>
      </c>
      <c r="AP211" s="31">
        <v>0</v>
      </c>
      <c r="AQ211" s="31">
        <v>0</v>
      </c>
      <c r="AR211" s="31">
        <v>0</v>
      </c>
      <c r="AS211" s="31">
        <v>0</v>
      </c>
      <c r="AT211" s="31">
        <v>0</v>
      </c>
      <c r="AU211" s="31">
        <v>0</v>
      </c>
      <c r="AV211" s="31">
        <v>0</v>
      </c>
      <c r="AW211" s="31">
        <v>0</v>
      </c>
      <c r="AX211" s="31">
        <v>0</v>
      </c>
      <c r="AY211" s="31">
        <v>0</v>
      </c>
      <c r="AZ211" s="31">
        <v>0</v>
      </c>
      <c r="BA211" s="31">
        <v>0</v>
      </c>
      <c r="BB211" s="31">
        <v>0</v>
      </c>
      <c r="BC211" s="31">
        <v>0</v>
      </c>
      <c r="BD211" s="31">
        <v>0</v>
      </c>
      <c r="BE211" s="31">
        <v>0</v>
      </c>
      <c r="BF211" s="31">
        <v>0</v>
      </c>
      <c r="BG211" s="31">
        <v>0</v>
      </c>
      <c r="BH211" s="31">
        <v>0</v>
      </c>
      <c r="BI211" s="31">
        <v>0</v>
      </c>
      <c r="BJ211" s="31">
        <v>0</v>
      </c>
      <c r="BK211" s="12">
        <v>0</v>
      </c>
      <c r="BL211" s="12">
        <v>0</v>
      </c>
      <c r="BM211" s="12">
        <v>0</v>
      </c>
      <c r="BN211" s="12"/>
      <c r="BO211" s="12">
        <v>0</v>
      </c>
      <c r="BP211" s="12">
        <v>0</v>
      </c>
      <c r="BQ211" s="12">
        <v>0</v>
      </c>
      <c r="BR211" s="12">
        <v>0</v>
      </c>
      <c r="BS211" s="12">
        <v>0</v>
      </c>
      <c r="BT211" s="12">
        <v>0</v>
      </c>
      <c r="BU211" s="12">
        <v>0</v>
      </c>
      <c r="BV211" s="12">
        <v>0</v>
      </c>
      <c r="BW211" s="12">
        <v>0</v>
      </c>
      <c r="BX211" s="12">
        <v>0</v>
      </c>
      <c r="BY211" s="12">
        <v>0</v>
      </c>
      <c r="BZ211" s="12">
        <v>0</v>
      </c>
      <c r="CA211" s="12">
        <v>0</v>
      </c>
    </row>
    <row r="212" spans="1:79" hidden="1" x14ac:dyDescent="0.2">
      <c r="A212" s="12" t="s">
        <v>127</v>
      </c>
      <c r="B212" s="12" t="s">
        <v>130</v>
      </c>
      <c r="C212" s="12" t="s">
        <v>130</v>
      </c>
      <c r="D212" s="22" t="s">
        <v>478</v>
      </c>
      <c r="E212" s="22" t="s">
        <v>173</v>
      </c>
      <c r="F212" s="22" t="s">
        <v>926</v>
      </c>
      <c r="G212" s="22" t="s">
        <v>927</v>
      </c>
      <c r="H212" s="22" t="s">
        <v>150</v>
      </c>
      <c r="I212" s="22" t="s">
        <v>151</v>
      </c>
      <c r="J212" s="22" t="s">
        <v>162</v>
      </c>
      <c r="K212" s="22" t="s">
        <v>88</v>
      </c>
      <c r="L212" s="54" t="s">
        <v>153</v>
      </c>
      <c r="M212" s="33" t="s">
        <v>475</v>
      </c>
      <c r="N212" s="24" t="s">
        <v>153</v>
      </c>
      <c r="O212" s="33" t="s">
        <v>475</v>
      </c>
      <c r="P212" s="33" t="s">
        <v>475</v>
      </c>
      <c r="Q212" s="33" t="s">
        <v>475</v>
      </c>
      <c r="R212" s="33" t="s">
        <v>475</v>
      </c>
      <c r="S212" s="33" t="s">
        <v>475</v>
      </c>
      <c r="T212" s="33" t="s">
        <v>475</v>
      </c>
      <c r="U212" s="24" t="s">
        <v>153</v>
      </c>
      <c r="V212" s="54" t="s">
        <v>156</v>
      </c>
      <c r="W212" s="33" t="s">
        <v>475</v>
      </c>
      <c r="X212" s="33" t="s">
        <v>475</v>
      </c>
      <c r="Y212" s="33" t="s">
        <v>475</v>
      </c>
      <c r="Z212" s="33" t="s">
        <v>475</v>
      </c>
      <c r="AA212" s="33" t="s">
        <v>475</v>
      </c>
      <c r="AB212" s="24" t="s">
        <v>153</v>
      </c>
      <c r="AC212" s="33" t="s">
        <v>475</v>
      </c>
      <c r="AD212" s="33" t="s">
        <v>475</v>
      </c>
      <c r="AE212" s="33" t="s">
        <v>475</v>
      </c>
      <c r="AF212" s="33" t="s">
        <v>475</v>
      </c>
      <c r="AG212" s="33" t="s">
        <v>475</v>
      </c>
      <c r="AH212" s="33" t="s">
        <v>475</v>
      </c>
      <c r="AI212" s="24" t="s">
        <v>153</v>
      </c>
      <c r="AJ212" s="33" t="s">
        <v>475</v>
      </c>
      <c r="AK212" s="33" t="s">
        <v>475</v>
      </c>
      <c r="AL212" s="33" t="s">
        <v>475</v>
      </c>
      <c r="AM212" s="33" t="s">
        <v>475</v>
      </c>
      <c r="AN212" s="33" t="s">
        <v>475</v>
      </c>
      <c r="AO212" s="33" t="s">
        <v>475</v>
      </c>
      <c r="AP212" s="23">
        <f>VALUE(0)</f>
        <v>0</v>
      </c>
      <c r="AQ212" s="23">
        <f>VALUE(0)</f>
        <v>0</v>
      </c>
      <c r="AR212" s="23">
        <f>VALUE(0)</f>
        <v>0</v>
      </c>
      <c r="AS212" s="23">
        <f>VALUE(0)</f>
        <v>0</v>
      </c>
      <c r="AT212" s="23">
        <f>VALUE(0)</f>
        <v>0</v>
      </c>
      <c r="AU212" s="23">
        <f>VALUE(0)</f>
        <v>0</v>
      </c>
      <c r="AV212" s="23">
        <f>VALUE(0)</f>
        <v>0</v>
      </c>
      <c r="AW212" s="23">
        <f>VALUE(5)</f>
        <v>5</v>
      </c>
      <c r="AX212" s="23" t="s">
        <v>1256</v>
      </c>
      <c r="AY212" s="23">
        <f>VALUE(0)</f>
        <v>0</v>
      </c>
      <c r="AZ212" s="23">
        <f>VALUE(0)</f>
        <v>0</v>
      </c>
      <c r="BA212" s="23">
        <f>VALUE(0)</f>
        <v>0</v>
      </c>
      <c r="BB212" s="23">
        <f>VALUE(0)</f>
        <v>0</v>
      </c>
      <c r="BC212" s="23">
        <f>VALUE(0)</f>
        <v>0</v>
      </c>
      <c r="BD212" s="23">
        <f>VALUE(0)</f>
        <v>0</v>
      </c>
      <c r="BE212" s="23">
        <f>VALUE(0)</f>
        <v>0</v>
      </c>
      <c r="BF212" s="23">
        <f>VALUE(0)</f>
        <v>0</v>
      </c>
      <c r="BG212" s="23">
        <f>VALUE(0)</f>
        <v>0</v>
      </c>
      <c r="BH212" s="23">
        <f>VALUE(0)</f>
        <v>0</v>
      </c>
      <c r="BI212" s="23">
        <f>VALUE(0)</f>
        <v>0</v>
      </c>
      <c r="BJ212" s="23">
        <f>VALUE(0)</f>
        <v>0</v>
      </c>
      <c r="BK212" s="12">
        <f>$AX$212*24</f>
        <v>22.5</v>
      </c>
      <c r="BL212" s="12">
        <f>$AY$212*24</f>
        <v>0</v>
      </c>
      <c r="BM212" s="12">
        <f>$BJ$212*24</f>
        <v>0</v>
      </c>
      <c r="BN212" s="12">
        <f>VALUE($I$212)/100</f>
        <v>1</v>
      </c>
      <c r="BO212" s="12">
        <v>0</v>
      </c>
      <c r="BP212" s="12">
        <v>0</v>
      </c>
      <c r="BQ212" s="12">
        <v>0</v>
      </c>
      <c r="BR212" s="12">
        <v>0</v>
      </c>
      <c r="BS212" s="12">
        <v>0</v>
      </c>
      <c r="BT212" s="12">
        <v>0</v>
      </c>
      <c r="BU212" s="12">
        <v>0</v>
      </c>
      <c r="BV212" s="12">
        <v>0</v>
      </c>
      <c r="BW212" s="12">
        <v>0</v>
      </c>
      <c r="BX212" s="12">
        <v>0</v>
      </c>
      <c r="BY212" s="12">
        <v>0</v>
      </c>
      <c r="BZ212" s="12">
        <v>0</v>
      </c>
      <c r="CA212" s="12">
        <v>0</v>
      </c>
    </row>
    <row r="213" spans="1:79" hidden="1" x14ac:dyDescent="0.2">
      <c r="A213" s="12" t="s">
        <v>127</v>
      </c>
      <c r="B213" s="12" t="s">
        <v>130</v>
      </c>
      <c r="C213" s="12" t="s">
        <v>130</v>
      </c>
      <c r="D213" s="22" t="s">
        <v>478</v>
      </c>
      <c r="E213" s="22" t="s">
        <v>173</v>
      </c>
      <c r="F213" s="22" t="s">
        <v>928</v>
      </c>
      <c r="G213" s="22" t="s">
        <v>929</v>
      </c>
      <c r="H213" s="22" t="s">
        <v>150</v>
      </c>
      <c r="I213" s="22" t="s">
        <v>151</v>
      </c>
      <c r="J213" s="22" t="s">
        <v>162</v>
      </c>
      <c r="K213" s="22" t="s">
        <v>88</v>
      </c>
      <c r="L213" s="54" t="s">
        <v>153</v>
      </c>
      <c r="M213" s="33" t="s">
        <v>475</v>
      </c>
      <c r="N213" s="24" t="s">
        <v>153</v>
      </c>
      <c r="O213" s="33" t="s">
        <v>475</v>
      </c>
      <c r="P213" s="33" t="s">
        <v>475</v>
      </c>
      <c r="Q213" s="33" t="s">
        <v>475</v>
      </c>
      <c r="R213" s="33" t="s">
        <v>475</v>
      </c>
      <c r="S213" s="33" t="s">
        <v>475</v>
      </c>
      <c r="T213" s="33" t="s">
        <v>475</v>
      </c>
      <c r="U213" s="24" t="s">
        <v>153</v>
      </c>
      <c r="V213" s="54" t="s">
        <v>153</v>
      </c>
      <c r="W213" s="33" t="s">
        <v>475</v>
      </c>
      <c r="X213" s="33" t="s">
        <v>475</v>
      </c>
      <c r="Y213" s="33" t="s">
        <v>475</v>
      </c>
      <c r="Z213" s="33" t="s">
        <v>475</v>
      </c>
      <c r="AA213" s="33" t="s">
        <v>475</v>
      </c>
      <c r="AB213" s="24" t="s">
        <v>153</v>
      </c>
      <c r="AC213" s="33" t="s">
        <v>475</v>
      </c>
      <c r="AD213" s="33" t="s">
        <v>475</v>
      </c>
      <c r="AE213" s="33" t="s">
        <v>475</v>
      </c>
      <c r="AF213" s="33" t="s">
        <v>475</v>
      </c>
      <c r="AG213" s="33" t="s">
        <v>475</v>
      </c>
      <c r="AH213" s="33" t="s">
        <v>475</v>
      </c>
      <c r="AI213" s="24" t="s">
        <v>153</v>
      </c>
      <c r="AJ213" s="33" t="s">
        <v>475</v>
      </c>
      <c r="AK213" s="33" t="s">
        <v>475</v>
      </c>
      <c r="AL213" s="33" t="s">
        <v>475</v>
      </c>
      <c r="AM213" s="33" t="s">
        <v>475</v>
      </c>
      <c r="AN213" s="33" t="s">
        <v>475</v>
      </c>
      <c r="AO213" s="33" t="s">
        <v>475</v>
      </c>
      <c r="AP213" s="23">
        <f>VALUE(0)</f>
        <v>0</v>
      </c>
      <c r="AQ213" s="23">
        <f>VALUE(0)</f>
        <v>0</v>
      </c>
      <c r="AR213" s="23">
        <f>VALUE(0)</f>
        <v>0</v>
      </c>
      <c r="AS213" s="23">
        <f>VALUE(0)</f>
        <v>0</v>
      </c>
      <c r="AT213" s="23">
        <f>VALUE(0)</f>
        <v>0</v>
      </c>
      <c r="AU213" s="23">
        <f>VALUE(0)</f>
        <v>0</v>
      </c>
      <c r="AV213" s="23">
        <f>VALUE(0)</f>
        <v>0</v>
      </c>
      <c r="AW213" s="23">
        <f>VALUE(0)</f>
        <v>0</v>
      </c>
      <c r="AX213" s="23" t="s">
        <v>171</v>
      </c>
      <c r="AY213" s="23" t="s">
        <v>214</v>
      </c>
      <c r="AZ213" s="23">
        <f>VALUE(0)</f>
        <v>0</v>
      </c>
      <c r="BA213" s="23">
        <f>VALUE(0)</f>
        <v>0</v>
      </c>
      <c r="BB213" s="23">
        <f>VALUE(0)</f>
        <v>0</v>
      </c>
      <c r="BC213" s="23">
        <f>VALUE(0)</f>
        <v>0</v>
      </c>
      <c r="BD213" s="23">
        <f>VALUE(0)</f>
        <v>0</v>
      </c>
      <c r="BE213" s="23">
        <f>VALUE(0)</f>
        <v>0</v>
      </c>
      <c r="BF213" s="23">
        <f>VALUE(0)</f>
        <v>0</v>
      </c>
      <c r="BG213" s="23">
        <f>VALUE(0)</f>
        <v>0</v>
      </c>
      <c r="BH213" s="23">
        <f>VALUE(0)</f>
        <v>0</v>
      </c>
      <c r="BI213" s="23">
        <f>VALUE(0)</f>
        <v>0</v>
      </c>
      <c r="BJ213" s="23">
        <f>VALUE(0)</f>
        <v>0</v>
      </c>
      <c r="BK213" s="12">
        <f>$AX$213*24</f>
        <v>5.833333333333333</v>
      </c>
      <c r="BL213" s="12">
        <f>$AY$213*24</f>
        <v>2.4</v>
      </c>
      <c r="BM213" s="12">
        <f>$BJ$213*24</f>
        <v>0</v>
      </c>
      <c r="BN213" s="12">
        <f>VALUE($I$213)/100</f>
        <v>1</v>
      </c>
      <c r="BO213" s="12">
        <v>0</v>
      </c>
      <c r="BP213" s="12">
        <v>0</v>
      </c>
      <c r="BQ213" s="12">
        <v>0</v>
      </c>
      <c r="BR213" s="12">
        <v>0</v>
      </c>
      <c r="BS213" s="12">
        <v>0</v>
      </c>
      <c r="BT213" s="12">
        <v>0</v>
      </c>
      <c r="BU213" s="12">
        <v>0</v>
      </c>
      <c r="BV213" s="12">
        <v>0</v>
      </c>
      <c r="BW213" s="12">
        <v>0</v>
      </c>
      <c r="BX213" s="12">
        <v>0</v>
      </c>
      <c r="BY213" s="12">
        <v>0</v>
      </c>
      <c r="BZ213" s="12">
        <v>0</v>
      </c>
      <c r="CA213" s="12">
        <v>0</v>
      </c>
    </row>
    <row r="214" spans="1:79" hidden="1" x14ac:dyDescent="0.2">
      <c r="A214" s="12" t="s">
        <v>127</v>
      </c>
      <c r="B214" s="12" t="s">
        <v>130</v>
      </c>
      <c r="C214" s="12" t="s">
        <v>130</v>
      </c>
      <c r="D214" s="22" t="s">
        <v>478</v>
      </c>
      <c r="E214" s="22" t="s">
        <v>173</v>
      </c>
      <c r="F214" s="22" t="s">
        <v>1257</v>
      </c>
      <c r="G214" s="22" t="s">
        <v>930</v>
      </c>
      <c r="H214" s="22" t="s">
        <v>166</v>
      </c>
      <c r="I214" s="22" t="s">
        <v>151</v>
      </c>
      <c r="J214" s="22" t="s">
        <v>162</v>
      </c>
      <c r="K214" s="22" t="s">
        <v>88</v>
      </c>
      <c r="L214" s="54" t="s">
        <v>153</v>
      </c>
      <c r="M214" s="33" t="s">
        <v>475</v>
      </c>
      <c r="N214" s="24" t="s">
        <v>153</v>
      </c>
      <c r="O214" s="33" t="s">
        <v>475</v>
      </c>
      <c r="P214" s="33" t="s">
        <v>475</v>
      </c>
      <c r="Q214" s="33" t="s">
        <v>475</v>
      </c>
      <c r="R214" s="33" t="s">
        <v>475</v>
      </c>
      <c r="S214" s="33" t="s">
        <v>475</v>
      </c>
      <c r="T214" s="33" t="s">
        <v>475</v>
      </c>
      <c r="U214" s="24" t="s">
        <v>153</v>
      </c>
      <c r="V214" s="54" t="s">
        <v>153</v>
      </c>
      <c r="W214" s="33" t="s">
        <v>475</v>
      </c>
      <c r="X214" s="33" t="s">
        <v>475</v>
      </c>
      <c r="Y214" s="33" t="s">
        <v>475</v>
      </c>
      <c r="Z214" s="33" t="s">
        <v>475</v>
      </c>
      <c r="AA214" s="33" t="s">
        <v>475</v>
      </c>
      <c r="AB214" s="24" t="s">
        <v>153</v>
      </c>
      <c r="AC214" s="33" t="s">
        <v>475</v>
      </c>
      <c r="AD214" s="33" t="s">
        <v>475</v>
      </c>
      <c r="AE214" s="33" t="s">
        <v>475</v>
      </c>
      <c r="AF214" s="33" t="s">
        <v>475</v>
      </c>
      <c r="AG214" s="33" t="s">
        <v>475</v>
      </c>
      <c r="AH214" s="33" t="s">
        <v>475</v>
      </c>
      <c r="AI214" s="24" t="s">
        <v>153</v>
      </c>
      <c r="AJ214" s="33" t="s">
        <v>475</v>
      </c>
      <c r="AK214" s="33" t="s">
        <v>475</v>
      </c>
      <c r="AL214" s="33" t="s">
        <v>475</v>
      </c>
      <c r="AM214" s="33" t="s">
        <v>475</v>
      </c>
      <c r="AN214" s="33" t="s">
        <v>475</v>
      </c>
      <c r="AO214" s="33" t="s">
        <v>475</v>
      </c>
      <c r="AP214" s="23">
        <f>VALUE(0)</f>
        <v>0</v>
      </c>
      <c r="AQ214" s="23">
        <f>VALUE(0)</f>
        <v>0</v>
      </c>
      <c r="AR214" s="23">
        <f>VALUE(0)</f>
        <v>0</v>
      </c>
      <c r="AS214" s="23">
        <f>VALUE(0)</f>
        <v>0</v>
      </c>
      <c r="AT214" s="23">
        <f>VALUE(0)</f>
        <v>0</v>
      </c>
      <c r="AU214" s="23">
        <f>VALUE(0)</f>
        <v>0</v>
      </c>
      <c r="AV214" s="23">
        <f>VALUE(0.5)</f>
        <v>0.5</v>
      </c>
      <c r="AW214" s="23">
        <f>VALUE(0)</f>
        <v>0</v>
      </c>
      <c r="AX214" s="23" t="s">
        <v>479</v>
      </c>
      <c r="AY214" s="23">
        <f>VALUE(0)</f>
        <v>0</v>
      </c>
      <c r="AZ214" s="23">
        <f>VALUE(0)</f>
        <v>0</v>
      </c>
      <c r="BA214" s="23">
        <f>VALUE(0)</f>
        <v>0</v>
      </c>
      <c r="BB214" s="23">
        <f>VALUE(0)</f>
        <v>0</v>
      </c>
      <c r="BC214" s="23">
        <f>VALUE(0)</f>
        <v>0</v>
      </c>
      <c r="BD214" s="23">
        <f>VALUE(0)</f>
        <v>0</v>
      </c>
      <c r="BE214" s="23">
        <f>VALUE(0)</f>
        <v>0</v>
      </c>
      <c r="BF214" s="23">
        <f>VALUE(0)</f>
        <v>0</v>
      </c>
      <c r="BG214" s="23">
        <f>VALUE(0)</f>
        <v>0</v>
      </c>
      <c r="BH214" s="23">
        <f>VALUE(0)</f>
        <v>0</v>
      </c>
      <c r="BI214" s="23">
        <f>VALUE(0)</f>
        <v>0</v>
      </c>
      <c r="BJ214" s="23">
        <f>VALUE(0)</f>
        <v>0</v>
      </c>
      <c r="BK214" s="12">
        <f>$AX$214*24</f>
        <v>4.5999999999999996</v>
      </c>
      <c r="BL214" s="12">
        <f>$AY$214*24</f>
        <v>0</v>
      </c>
      <c r="BM214" s="12">
        <f>$BJ$214*24</f>
        <v>0</v>
      </c>
      <c r="BN214" s="12">
        <f>VALUE($I$214)/100</f>
        <v>1</v>
      </c>
      <c r="BO214" s="12">
        <v>0</v>
      </c>
      <c r="BP214" s="12">
        <v>0</v>
      </c>
      <c r="BQ214" s="12">
        <v>0</v>
      </c>
      <c r="BR214" s="12">
        <v>0</v>
      </c>
      <c r="BS214" s="12">
        <v>0</v>
      </c>
      <c r="BT214" s="12">
        <v>0</v>
      </c>
      <c r="BU214" s="12">
        <v>0</v>
      </c>
      <c r="BV214" s="12">
        <v>0</v>
      </c>
      <c r="BW214" s="12">
        <v>0</v>
      </c>
      <c r="BX214" s="12">
        <v>0</v>
      </c>
      <c r="BY214" s="12">
        <v>0</v>
      </c>
      <c r="BZ214" s="12">
        <v>0</v>
      </c>
      <c r="CA214" s="12">
        <v>0</v>
      </c>
    </row>
    <row r="215" spans="1:79" ht="15" hidden="1" x14ac:dyDescent="0.25">
      <c r="A215" s="12" t="s">
        <v>127</v>
      </c>
      <c r="B215" s="12" t="s">
        <v>130</v>
      </c>
      <c r="C215" s="12" t="s">
        <v>130</v>
      </c>
      <c r="D215" s="31" t="s">
        <v>1258</v>
      </c>
      <c r="E215" s="31" t="s">
        <v>153</v>
      </c>
      <c r="F215" s="31" t="s">
        <v>175</v>
      </c>
      <c r="G215" s="31" t="s">
        <v>153</v>
      </c>
      <c r="H215" s="31" t="s">
        <v>153</v>
      </c>
      <c r="I215" s="31" t="s">
        <v>153</v>
      </c>
      <c r="J215" s="31" t="s">
        <v>153</v>
      </c>
      <c r="K215" s="31" t="s">
        <v>153</v>
      </c>
      <c r="L215" s="31">
        <f>VALUE(0)</f>
        <v>0</v>
      </c>
      <c r="M215" s="31">
        <f>VALUE(0)</f>
        <v>0</v>
      </c>
      <c r="N215" s="31">
        <f>VALUE(0)</f>
        <v>0</v>
      </c>
      <c r="O215" s="31">
        <f>VALUE(0)</f>
        <v>0</v>
      </c>
      <c r="P215" s="31">
        <f>VALUE(0)</f>
        <v>0</v>
      </c>
      <c r="Q215" s="31">
        <f>VALUE(0)</f>
        <v>0</v>
      </c>
      <c r="R215" s="31">
        <f>VALUE(0)</f>
        <v>0</v>
      </c>
      <c r="S215" s="31">
        <f>VALUE(0)</f>
        <v>0</v>
      </c>
      <c r="T215" s="31">
        <f>VALUE(0)</f>
        <v>0</v>
      </c>
      <c r="U215" s="31">
        <f>VALUE(0)</f>
        <v>0</v>
      </c>
      <c r="V215" s="31">
        <f>VALUE(0)</f>
        <v>0</v>
      </c>
      <c r="W215" s="31">
        <f>VALUE(0)</f>
        <v>0</v>
      </c>
      <c r="X215" s="31">
        <f>VALUE(0)</f>
        <v>0</v>
      </c>
      <c r="Y215" s="31">
        <f>VALUE(0)</f>
        <v>0</v>
      </c>
      <c r="Z215" s="31">
        <f>VALUE(0)</f>
        <v>0</v>
      </c>
      <c r="AA215" s="31">
        <f>VALUE(0)</f>
        <v>0</v>
      </c>
      <c r="AB215" s="31">
        <f>VALUE(0)</f>
        <v>0</v>
      </c>
      <c r="AC215" s="31">
        <f>VALUE(0)</f>
        <v>0</v>
      </c>
      <c r="AD215" s="31">
        <f>VALUE(0)</f>
        <v>0</v>
      </c>
      <c r="AE215" s="31">
        <f>VALUE(0)</f>
        <v>0</v>
      </c>
      <c r="AF215" s="31">
        <f>VALUE(0)</f>
        <v>0</v>
      </c>
      <c r="AG215" s="31">
        <f>VALUE(0)</f>
        <v>0</v>
      </c>
      <c r="AH215" s="31">
        <f>VALUE(0)</f>
        <v>0</v>
      </c>
      <c r="AI215" s="31">
        <f>VALUE(0)</f>
        <v>0</v>
      </c>
      <c r="AJ215" s="31">
        <f>VALUE(0)</f>
        <v>0</v>
      </c>
      <c r="AK215" s="31">
        <f>VALUE(0)</f>
        <v>0</v>
      </c>
      <c r="AL215" s="31">
        <f>VALUE(0)</f>
        <v>0</v>
      </c>
      <c r="AM215" s="31">
        <f>VALUE(0)</f>
        <v>0</v>
      </c>
      <c r="AN215" s="31">
        <f>VALUE(0)</f>
        <v>0</v>
      </c>
      <c r="AO215" s="31">
        <f>VALUE(0)</f>
        <v>0</v>
      </c>
      <c r="AP215" s="31">
        <v>0</v>
      </c>
      <c r="AQ215" s="31">
        <v>0</v>
      </c>
      <c r="AR215" s="31">
        <v>0</v>
      </c>
      <c r="AS215" s="31">
        <v>0</v>
      </c>
      <c r="AT215" s="31">
        <v>0</v>
      </c>
      <c r="AU215" s="31">
        <v>0</v>
      </c>
      <c r="AV215" s="31">
        <v>0</v>
      </c>
      <c r="AW215" s="31">
        <v>0</v>
      </c>
      <c r="AX215" s="31">
        <v>0</v>
      </c>
      <c r="AY215" s="31">
        <v>0</v>
      </c>
      <c r="AZ215" s="31">
        <v>0</v>
      </c>
      <c r="BA215" s="31">
        <v>0</v>
      </c>
      <c r="BB215" s="31">
        <v>0</v>
      </c>
      <c r="BC215" s="31">
        <v>0</v>
      </c>
      <c r="BD215" s="31">
        <v>0</v>
      </c>
      <c r="BE215" s="31">
        <v>0</v>
      </c>
      <c r="BF215" s="31">
        <v>0</v>
      </c>
      <c r="BG215" s="31">
        <v>0</v>
      </c>
      <c r="BH215" s="31">
        <v>0</v>
      </c>
      <c r="BI215" s="31">
        <v>0</v>
      </c>
      <c r="BJ215" s="31">
        <v>0</v>
      </c>
      <c r="BK215" s="12">
        <v>0</v>
      </c>
      <c r="BL215" s="12">
        <v>0</v>
      </c>
      <c r="BM215" s="12">
        <v>0</v>
      </c>
      <c r="BN215" s="12"/>
      <c r="BO215" s="12">
        <v>0</v>
      </c>
      <c r="BP215" s="12">
        <v>0</v>
      </c>
      <c r="BQ215" s="12">
        <v>0</v>
      </c>
      <c r="BR215" s="12">
        <v>0</v>
      </c>
      <c r="BS215" s="12">
        <v>0</v>
      </c>
      <c r="BT215" s="12">
        <v>0</v>
      </c>
      <c r="BU215" s="12">
        <v>0</v>
      </c>
      <c r="BV215" s="12">
        <v>0</v>
      </c>
      <c r="BW215" s="12">
        <v>0</v>
      </c>
      <c r="BX215" s="12">
        <v>0</v>
      </c>
      <c r="BY215" s="12">
        <v>0</v>
      </c>
      <c r="BZ215" s="12">
        <v>0</v>
      </c>
      <c r="CA215" s="12">
        <v>0</v>
      </c>
    </row>
    <row r="216" spans="1:79" hidden="1" x14ac:dyDescent="0.2">
      <c r="A216" s="12" t="s">
        <v>127</v>
      </c>
      <c r="B216" s="12" t="s">
        <v>131</v>
      </c>
      <c r="C216" s="12" t="s">
        <v>131</v>
      </c>
      <c r="D216" s="22" t="s">
        <v>480</v>
      </c>
      <c r="E216" s="22" t="s">
        <v>173</v>
      </c>
      <c r="F216" s="22" t="s">
        <v>931</v>
      </c>
      <c r="G216" s="22" t="s">
        <v>932</v>
      </c>
      <c r="H216" s="22" t="s">
        <v>150</v>
      </c>
      <c r="I216" s="22" t="s">
        <v>343</v>
      </c>
      <c r="J216" s="22" t="s">
        <v>162</v>
      </c>
      <c r="K216" s="22" t="s">
        <v>89</v>
      </c>
      <c r="L216" s="54" t="s">
        <v>153</v>
      </c>
      <c r="M216" s="33" t="s">
        <v>475</v>
      </c>
      <c r="N216" s="24" t="s">
        <v>153</v>
      </c>
      <c r="O216" s="33" t="s">
        <v>475</v>
      </c>
      <c r="P216" s="33" t="s">
        <v>475</v>
      </c>
      <c r="Q216" s="33" t="s">
        <v>475</v>
      </c>
      <c r="R216" s="33" t="s">
        <v>475</v>
      </c>
      <c r="S216" s="33" t="s">
        <v>475</v>
      </c>
      <c r="T216" s="33" t="s">
        <v>475</v>
      </c>
      <c r="U216" s="24" t="s">
        <v>153</v>
      </c>
      <c r="V216" s="54" t="s">
        <v>153</v>
      </c>
      <c r="W216" s="33" t="s">
        <v>475</v>
      </c>
      <c r="X216" s="33" t="s">
        <v>475</v>
      </c>
      <c r="Y216" s="33" t="s">
        <v>475</v>
      </c>
      <c r="Z216" s="33" t="s">
        <v>475</v>
      </c>
      <c r="AA216" s="33" t="s">
        <v>475</v>
      </c>
      <c r="AB216" s="24" t="s">
        <v>153</v>
      </c>
      <c r="AC216" s="33" t="s">
        <v>475</v>
      </c>
      <c r="AD216" s="33" t="s">
        <v>475</v>
      </c>
      <c r="AE216" s="33" t="s">
        <v>475</v>
      </c>
      <c r="AF216" s="33" t="s">
        <v>475</v>
      </c>
      <c r="AG216" s="33" t="s">
        <v>475</v>
      </c>
      <c r="AH216" s="33" t="s">
        <v>475</v>
      </c>
      <c r="AI216" s="24" t="s">
        <v>153</v>
      </c>
      <c r="AJ216" s="33" t="s">
        <v>475</v>
      </c>
      <c r="AK216" s="33" t="s">
        <v>475</v>
      </c>
      <c r="AL216" s="33" t="s">
        <v>475</v>
      </c>
      <c r="AM216" s="33" t="s">
        <v>475</v>
      </c>
      <c r="AN216" s="33" t="s">
        <v>475</v>
      </c>
      <c r="AO216" s="33" t="s">
        <v>475</v>
      </c>
      <c r="AP216" s="23">
        <f>VALUE(0)</f>
        <v>0</v>
      </c>
      <c r="AQ216" s="23">
        <f>VALUE(0)</f>
        <v>0</v>
      </c>
      <c r="AR216" s="23">
        <f>VALUE(0)</f>
        <v>0</v>
      </c>
      <c r="AS216" s="23">
        <f>VALUE(0)</f>
        <v>0</v>
      </c>
      <c r="AT216" s="23">
        <f>VALUE(0)</f>
        <v>0</v>
      </c>
      <c r="AU216" s="23">
        <f>VALUE(0)</f>
        <v>0</v>
      </c>
      <c r="AV216" s="23">
        <f>VALUE(0)</f>
        <v>0</v>
      </c>
      <c r="AW216" s="23">
        <f>VALUE(0)</f>
        <v>0</v>
      </c>
      <c r="AX216" s="23" t="s">
        <v>481</v>
      </c>
      <c r="AY216" s="23" t="s">
        <v>403</v>
      </c>
      <c r="AZ216" s="23">
        <f>VALUE(0)</f>
        <v>0</v>
      </c>
      <c r="BA216" s="23">
        <f>VALUE(0)</f>
        <v>0</v>
      </c>
      <c r="BB216" s="23">
        <f>VALUE(0)</f>
        <v>0</v>
      </c>
      <c r="BC216" s="23">
        <f>VALUE(0)</f>
        <v>0</v>
      </c>
      <c r="BD216" s="23">
        <f>VALUE(0)</f>
        <v>0</v>
      </c>
      <c r="BE216" s="23">
        <f>VALUE(0)</f>
        <v>0</v>
      </c>
      <c r="BF216" s="23">
        <f>VALUE(0)</f>
        <v>0</v>
      </c>
      <c r="BG216" s="23">
        <f>VALUE(0)</f>
        <v>0</v>
      </c>
      <c r="BH216" s="23">
        <f>VALUE(0)</f>
        <v>0</v>
      </c>
      <c r="BI216" s="23">
        <f>VALUE(0)</f>
        <v>0</v>
      </c>
      <c r="BJ216" s="23">
        <f>VALUE(0)</f>
        <v>0</v>
      </c>
      <c r="BK216" s="12">
        <f>$AX$216*24</f>
        <v>8.1666666666666661</v>
      </c>
      <c r="BL216" s="12">
        <f>$AY$216*24</f>
        <v>2.1</v>
      </c>
      <c r="BM216" s="12">
        <f>$BJ$216*24</f>
        <v>0</v>
      </c>
      <c r="BN216" s="12">
        <f>VALUE($I$216)/100</f>
        <v>0.7</v>
      </c>
      <c r="BO216" s="12">
        <v>0</v>
      </c>
      <c r="BP216" s="12">
        <v>0</v>
      </c>
      <c r="BQ216" s="12">
        <v>0</v>
      </c>
      <c r="BR216" s="12">
        <v>0</v>
      </c>
      <c r="BS216" s="12">
        <v>0</v>
      </c>
      <c r="BT216" s="12">
        <v>0</v>
      </c>
      <c r="BU216" s="12">
        <v>0</v>
      </c>
      <c r="BV216" s="12">
        <v>0</v>
      </c>
      <c r="BW216" s="12">
        <v>0</v>
      </c>
      <c r="BX216" s="12">
        <v>0</v>
      </c>
      <c r="BY216" s="12">
        <v>0</v>
      </c>
      <c r="BZ216" s="12">
        <v>0</v>
      </c>
      <c r="CA216" s="12">
        <v>0</v>
      </c>
    </row>
    <row r="217" spans="1:79" hidden="1" x14ac:dyDescent="0.2">
      <c r="A217" s="12" t="s">
        <v>127</v>
      </c>
      <c r="B217" s="12" t="s">
        <v>131</v>
      </c>
      <c r="C217" s="12" t="s">
        <v>131</v>
      </c>
      <c r="D217" s="22" t="s">
        <v>480</v>
      </c>
      <c r="E217" s="22" t="s">
        <v>173</v>
      </c>
      <c r="F217" s="22" t="s">
        <v>933</v>
      </c>
      <c r="G217" s="22" t="s">
        <v>934</v>
      </c>
      <c r="H217" s="22" t="s">
        <v>150</v>
      </c>
      <c r="I217" s="22" t="s">
        <v>343</v>
      </c>
      <c r="J217" s="22" t="s">
        <v>162</v>
      </c>
      <c r="K217" s="22" t="s">
        <v>89</v>
      </c>
      <c r="L217" s="54" t="s">
        <v>156</v>
      </c>
      <c r="M217" s="33" t="s">
        <v>475</v>
      </c>
      <c r="N217" s="24" t="s">
        <v>153</v>
      </c>
      <c r="O217" s="33" t="s">
        <v>475</v>
      </c>
      <c r="P217" s="33" t="s">
        <v>475</v>
      </c>
      <c r="Q217" s="33" t="s">
        <v>475</v>
      </c>
      <c r="R217" s="33" t="s">
        <v>475</v>
      </c>
      <c r="S217" s="33" t="s">
        <v>475</v>
      </c>
      <c r="T217" s="33" t="s">
        <v>475</v>
      </c>
      <c r="U217" s="24" t="s">
        <v>153</v>
      </c>
      <c r="V217" s="54" t="s">
        <v>153</v>
      </c>
      <c r="W217" s="33" t="s">
        <v>475</v>
      </c>
      <c r="X217" s="33" t="s">
        <v>475</v>
      </c>
      <c r="Y217" s="33" t="s">
        <v>475</v>
      </c>
      <c r="Z217" s="33" t="s">
        <v>475</v>
      </c>
      <c r="AA217" s="33" t="s">
        <v>475</v>
      </c>
      <c r="AB217" s="24" t="s">
        <v>153</v>
      </c>
      <c r="AC217" s="33" t="s">
        <v>475</v>
      </c>
      <c r="AD217" s="33" t="s">
        <v>475</v>
      </c>
      <c r="AE217" s="33" t="s">
        <v>475</v>
      </c>
      <c r="AF217" s="33" t="s">
        <v>475</v>
      </c>
      <c r="AG217" s="33" t="s">
        <v>475</v>
      </c>
      <c r="AH217" s="33" t="s">
        <v>475</v>
      </c>
      <c r="AI217" s="24" t="s">
        <v>153</v>
      </c>
      <c r="AJ217" s="33" t="s">
        <v>475</v>
      </c>
      <c r="AK217" s="33" t="s">
        <v>475</v>
      </c>
      <c r="AL217" s="33" t="s">
        <v>475</v>
      </c>
      <c r="AM217" s="33" t="s">
        <v>475</v>
      </c>
      <c r="AN217" s="33" t="s">
        <v>475</v>
      </c>
      <c r="AO217" s="33" t="s">
        <v>475</v>
      </c>
      <c r="AP217" s="23">
        <f>VALUE(0)</f>
        <v>0</v>
      </c>
      <c r="AQ217" s="23">
        <f>VALUE(0)</f>
        <v>0</v>
      </c>
      <c r="AR217" s="23">
        <f>VALUE(0)</f>
        <v>0</v>
      </c>
      <c r="AS217" s="23">
        <f>VALUE(0)</f>
        <v>0</v>
      </c>
      <c r="AT217" s="23">
        <f>VALUE(0)</f>
        <v>0</v>
      </c>
      <c r="AU217" s="23">
        <f>VALUE(0)</f>
        <v>0</v>
      </c>
      <c r="AV217" s="23">
        <f>VALUE(0)</f>
        <v>0</v>
      </c>
      <c r="AW217" s="23">
        <f>VALUE(0)</f>
        <v>0</v>
      </c>
      <c r="AX217" s="23" t="s">
        <v>1259</v>
      </c>
      <c r="AY217" s="23" t="s">
        <v>482</v>
      </c>
      <c r="AZ217" s="23">
        <f>VALUE(0)</f>
        <v>0</v>
      </c>
      <c r="BA217" s="23">
        <f>VALUE(0)</f>
        <v>0</v>
      </c>
      <c r="BB217" s="23">
        <f>VALUE(0)</f>
        <v>0</v>
      </c>
      <c r="BC217" s="23">
        <f>VALUE(0)</f>
        <v>0</v>
      </c>
      <c r="BD217" s="23">
        <f>VALUE(0)</f>
        <v>0</v>
      </c>
      <c r="BE217" s="23">
        <f>VALUE(0)</f>
        <v>0</v>
      </c>
      <c r="BF217" s="23">
        <f>VALUE(0)</f>
        <v>0</v>
      </c>
      <c r="BG217" s="23">
        <f>VALUE(0)</f>
        <v>0</v>
      </c>
      <c r="BH217" s="23">
        <f>VALUE(0)</f>
        <v>0</v>
      </c>
      <c r="BI217" s="23">
        <f>VALUE(0)</f>
        <v>0</v>
      </c>
      <c r="BJ217" s="23">
        <f>VALUE(0)</f>
        <v>0</v>
      </c>
      <c r="BK217" s="12">
        <f>$AX$217*24</f>
        <v>12.25</v>
      </c>
      <c r="BL217" s="12">
        <f>$AY$217*24</f>
        <v>2.85</v>
      </c>
      <c r="BM217" s="12">
        <f>$BJ$217*24</f>
        <v>0</v>
      </c>
      <c r="BN217" s="12">
        <f>VALUE($I$217)/100</f>
        <v>0.7</v>
      </c>
      <c r="BO217" s="12">
        <v>0</v>
      </c>
      <c r="BP217" s="12">
        <v>0</v>
      </c>
      <c r="BQ217" s="12">
        <v>0</v>
      </c>
      <c r="BR217" s="12">
        <v>0</v>
      </c>
      <c r="BS217" s="12">
        <v>0</v>
      </c>
      <c r="BT217" s="12">
        <v>0</v>
      </c>
      <c r="BU217" s="12">
        <v>0</v>
      </c>
      <c r="BV217" s="12">
        <v>0</v>
      </c>
      <c r="BW217" s="12">
        <v>0</v>
      </c>
      <c r="BX217" s="12">
        <v>0</v>
      </c>
      <c r="BY217" s="12">
        <v>0</v>
      </c>
      <c r="BZ217" s="12">
        <v>0</v>
      </c>
      <c r="CA217" s="12">
        <v>0</v>
      </c>
    </row>
    <row r="218" spans="1:79" hidden="1" x14ac:dyDescent="0.2">
      <c r="A218" s="12" t="s">
        <v>127</v>
      </c>
      <c r="B218" s="12" t="s">
        <v>131</v>
      </c>
      <c r="C218" s="12" t="s">
        <v>131</v>
      </c>
      <c r="D218" s="22" t="s">
        <v>480</v>
      </c>
      <c r="E218" s="22" t="s">
        <v>173</v>
      </c>
      <c r="F218" s="22" t="s">
        <v>935</v>
      </c>
      <c r="G218" s="22" t="s">
        <v>936</v>
      </c>
      <c r="H218" s="22" t="s">
        <v>150</v>
      </c>
      <c r="I218" s="22" t="s">
        <v>343</v>
      </c>
      <c r="J218" s="22" t="s">
        <v>162</v>
      </c>
      <c r="K218" s="22" t="s">
        <v>89</v>
      </c>
      <c r="L218" s="54" t="s">
        <v>156</v>
      </c>
      <c r="M218" s="33" t="s">
        <v>475</v>
      </c>
      <c r="N218" s="24" t="s">
        <v>153</v>
      </c>
      <c r="O218" s="33" t="s">
        <v>475</v>
      </c>
      <c r="P218" s="33" t="s">
        <v>475</v>
      </c>
      <c r="Q218" s="33" t="s">
        <v>475</v>
      </c>
      <c r="R218" s="33" t="s">
        <v>475</v>
      </c>
      <c r="S218" s="33" t="s">
        <v>475</v>
      </c>
      <c r="T218" s="33" t="s">
        <v>475</v>
      </c>
      <c r="U218" s="24" t="s">
        <v>153</v>
      </c>
      <c r="V218" s="54" t="s">
        <v>153</v>
      </c>
      <c r="W218" s="33" t="s">
        <v>475</v>
      </c>
      <c r="X218" s="33" t="s">
        <v>475</v>
      </c>
      <c r="Y218" s="33" t="s">
        <v>475</v>
      </c>
      <c r="Z218" s="33" t="s">
        <v>475</v>
      </c>
      <c r="AA218" s="33" t="s">
        <v>475</v>
      </c>
      <c r="AB218" s="24" t="s">
        <v>153</v>
      </c>
      <c r="AC218" s="33" t="s">
        <v>475</v>
      </c>
      <c r="AD218" s="33" t="s">
        <v>475</v>
      </c>
      <c r="AE218" s="33" t="s">
        <v>475</v>
      </c>
      <c r="AF218" s="33" t="s">
        <v>475</v>
      </c>
      <c r="AG218" s="33" t="s">
        <v>475</v>
      </c>
      <c r="AH218" s="33" t="s">
        <v>475</v>
      </c>
      <c r="AI218" s="24" t="s">
        <v>153</v>
      </c>
      <c r="AJ218" s="33" t="s">
        <v>475</v>
      </c>
      <c r="AK218" s="33" t="s">
        <v>475</v>
      </c>
      <c r="AL218" s="33" t="s">
        <v>475</v>
      </c>
      <c r="AM218" s="33" t="s">
        <v>475</v>
      </c>
      <c r="AN218" s="33" t="s">
        <v>475</v>
      </c>
      <c r="AO218" s="33" t="s">
        <v>475</v>
      </c>
      <c r="AP218" s="23">
        <f>VALUE(0)</f>
        <v>0</v>
      </c>
      <c r="AQ218" s="23">
        <f>VALUE(0)</f>
        <v>0</v>
      </c>
      <c r="AR218" s="23">
        <f>VALUE(0)</f>
        <v>0</v>
      </c>
      <c r="AS218" s="23">
        <f>VALUE(0)</f>
        <v>0</v>
      </c>
      <c r="AT218" s="23">
        <f>VALUE(0)</f>
        <v>0</v>
      </c>
      <c r="AU218" s="23">
        <f>VALUE(0)</f>
        <v>0</v>
      </c>
      <c r="AV218" s="23">
        <f>VALUE(0)</f>
        <v>0</v>
      </c>
      <c r="AW218" s="23">
        <f>VALUE(0)</f>
        <v>0</v>
      </c>
      <c r="AX218" s="23" t="s">
        <v>421</v>
      </c>
      <c r="AY218" s="23">
        <f>VALUE(0)</f>
        <v>0</v>
      </c>
      <c r="AZ218" s="23">
        <f>VALUE(0)</f>
        <v>0</v>
      </c>
      <c r="BA218" s="23">
        <f>VALUE(0)</f>
        <v>0</v>
      </c>
      <c r="BB218" s="23">
        <f>VALUE(0)</f>
        <v>0</v>
      </c>
      <c r="BC218" s="23">
        <f>VALUE(0)</f>
        <v>0</v>
      </c>
      <c r="BD218" s="23">
        <f>VALUE(0)</f>
        <v>0</v>
      </c>
      <c r="BE218" s="23">
        <f>VALUE(0)</f>
        <v>0</v>
      </c>
      <c r="BF218" s="23">
        <f>VALUE(0)</f>
        <v>0</v>
      </c>
      <c r="BG218" s="23">
        <f>VALUE(0)</f>
        <v>0</v>
      </c>
      <c r="BH218" s="23">
        <f>VALUE(0)</f>
        <v>0</v>
      </c>
      <c r="BI218" s="23">
        <f>VALUE(0)</f>
        <v>0</v>
      </c>
      <c r="BJ218" s="23">
        <f>VALUE(0)</f>
        <v>0</v>
      </c>
      <c r="BK218" s="12">
        <f>$AX$218*24</f>
        <v>5.85</v>
      </c>
      <c r="BL218" s="12">
        <f>$AY$218*24</f>
        <v>0</v>
      </c>
      <c r="BM218" s="12">
        <f>$BJ$218*24</f>
        <v>0</v>
      </c>
      <c r="BN218" s="12">
        <f>VALUE($I$218)/100</f>
        <v>0.7</v>
      </c>
      <c r="BO218" s="12">
        <v>0</v>
      </c>
      <c r="BP218" s="12">
        <v>0</v>
      </c>
      <c r="BQ218" s="12">
        <v>0</v>
      </c>
      <c r="BR218" s="12">
        <v>0</v>
      </c>
      <c r="BS218" s="12">
        <v>0</v>
      </c>
      <c r="BT218" s="12">
        <v>0</v>
      </c>
      <c r="BU218" s="12">
        <v>0</v>
      </c>
      <c r="BV218" s="12">
        <v>0</v>
      </c>
      <c r="BW218" s="12">
        <v>0</v>
      </c>
      <c r="BX218" s="12">
        <v>0</v>
      </c>
      <c r="BY218" s="12">
        <v>0</v>
      </c>
      <c r="BZ218" s="12">
        <v>0</v>
      </c>
      <c r="CA218" s="12">
        <v>0</v>
      </c>
    </row>
    <row r="219" spans="1:79" hidden="1" x14ac:dyDescent="0.2">
      <c r="A219" s="12" t="s">
        <v>127</v>
      </c>
      <c r="B219" s="12" t="s">
        <v>131</v>
      </c>
      <c r="C219" s="12" t="s">
        <v>131</v>
      </c>
      <c r="D219" s="22" t="s">
        <v>480</v>
      </c>
      <c r="E219" s="22" t="s">
        <v>173</v>
      </c>
      <c r="F219" s="22" t="s">
        <v>937</v>
      </c>
      <c r="G219" s="22" t="s">
        <v>938</v>
      </c>
      <c r="H219" s="22" t="s">
        <v>166</v>
      </c>
      <c r="I219" s="22" t="s">
        <v>343</v>
      </c>
      <c r="J219" s="22" t="s">
        <v>162</v>
      </c>
      <c r="K219" s="22" t="s">
        <v>89</v>
      </c>
      <c r="L219" s="54" t="s">
        <v>153</v>
      </c>
      <c r="M219" s="33" t="s">
        <v>475</v>
      </c>
      <c r="N219" s="24" t="s">
        <v>153</v>
      </c>
      <c r="O219" s="33" t="s">
        <v>475</v>
      </c>
      <c r="P219" s="33" t="s">
        <v>475</v>
      </c>
      <c r="Q219" s="33" t="s">
        <v>475</v>
      </c>
      <c r="R219" s="33" t="s">
        <v>475</v>
      </c>
      <c r="S219" s="33" t="s">
        <v>475</v>
      </c>
      <c r="T219" s="33" t="s">
        <v>475</v>
      </c>
      <c r="U219" s="24" t="s">
        <v>153</v>
      </c>
      <c r="V219" s="54" t="s">
        <v>153</v>
      </c>
      <c r="W219" s="33" t="s">
        <v>475</v>
      </c>
      <c r="X219" s="33" t="s">
        <v>475</v>
      </c>
      <c r="Y219" s="33" t="s">
        <v>475</v>
      </c>
      <c r="Z219" s="33" t="s">
        <v>475</v>
      </c>
      <c r="AA219" s="33" t="s">
        <v>475</v>
      </c>
      <c r="AB219" s="24" t="s">
        <v>153</v>
      </c>
      <c r="AC219" s="33" t="s">
        <v>475</v>
      </c>
      <c r="AD219" s="33" t="s">
        <v>475</v>
      </c>
      <c r="AE219" s="33" t="s">
        <v>475</v>
      </c>
      <c r="AF219" s="33" t="s">
        <v>475</v>
      </c>
      <c r="AG219" s="33" t="s">
        <v>475</v>
      </c>
      <c r="AH219" s="33" t="s">
        <v>475</v>
      </c>
      <c r="AI219" s="24" t="s">
        <v>153</v>
      </c>
      <c r="AJ219" s="33" t="s">
        <v>475</v>
      </c>
      <c r="AK219" s="33" t="s">
        <v>475</v>
      </c>
      <c r="AL219" s="33" t="s">
        <v>475</v>
      </c>
      <c r="AM219" s="33" t="s">
        <v>475</v>
      </c>
      <c r="AN219" s="33" t="s">
        <v>475</v>
      </c>
      <c r="AO219" s="33" t="s">
        <v>475</v>
      </c>
      <c r="AP219" s="23">
        <f>VALUE(0)</f>
        <v>0</v>
      </c>
      <c r="AQ219" s="23">
        <f>VALUE(0)</f>
        <v>0</v>
      </c>
      <c r="AR219" s="23">
        <f>VALUE(0)</f>
        <v>0</v>
      </c>
      <c r="AS219" s="23">
        <f>VALUE(0)</f>
        <v>0</v>
      </c>
      <c r="AT219" s="23">
        <f>VALUE(0)</f>
        <v>0</v>
      </c>
      <c r="AU219" s="23">
        <f>VALUE(0)</f>
        <v>0</v>
      </c>
      <c r="AV219" s="23">
        <f>VALUE(0)</f>
        <v>0</v>
      </c>
      <c r="AW219" s="23">
        <f>VALUE(0)</f>
        <v>0</v>
      </c>
      <c r="AX219" s="23" t="s">
        <v>483</v>
      </c>
      <c r="AY219" s="23">
        <f>VALUE(0)</f>
        <v>0</v>
      </c>
      <c r="AZ219" s="23">
        <f>VALUE(0)</f>
        <v>0</v>
      </c>
      <c r="BA219" s="23">
        <f>VALUE(0)</f>
        <v>0</v>
      </c>
      <c r="BB219" s="23">
        <f>VALUE(0)</f>
        <v>0</v>
      </c>
      <c r="BC219" s="23">
        <f>VALUE(0)</f>
        <v>0</v>
      </c>
      <c r="BD219" s="23">
        <f>VALUE(0)</f>
        <v>0</v>
      </c>
      <c r="BE219" s="23">
        <f>VALUE(0)</f>
        <v>0</v>
      </c>
      <c r="BF219" s="23">
        <f>VALUE(0)</f>
        <v>0</v>
      </c>
      <c r="BG219" s="23">
        <f>VALUE(0)</f>
        <v>0</v>
      </c>
      <c r="BH219" s="23">
        <f>VALUE(0)</f>
        <v>0</v>
      </c>
      <c r="BI219" s="23">
        <f>VALUE(0)</f>
        <v>0</v>
      </c>
      <c r="BJ219" s="23">
        <f>VALUE(0)</f>
        <v>0</v>
      </c>
      <c r="BK219" s="12">
        <f>$AX$219*24</f>
        <v>4.7333333333333334</v>
      </c>
      <c r="BL219" s="12">
        <f>$AY$219*24</f>
        <v>0</v>
      </c>
      <c r="BM219" s="12">
        <f>$BJ$219*24</f>
        <v>0</v>
      </c>
      <c r="BN219" s="12">
        <f>VALUE($I$219)/100</f>
        <v>0.7</v>
      </c>
      <c r="BO219" s="12">
        <v>0</v>
      </c>
      <c r="BP219" s="12">
        <v>0</v>
      </c>
      <c r="BQ219" s="12">
        <v>0</v>
      </c>
      <c r="BR219" s="12">
        <v>0</v>
      </c>
      <c r="BS219" s="12">
        <v>0</v>
      </c>
      <c r="BT219" s="12">
        <v>0</v>
      </c>
      <c r="BU219" s="12">
        <v>0</v>
      </c>
      <c r="BV219" s="12">
        <v>0</v>
      </c>
      <c r="BW219" s="12">
        <v>0</v>
      </c>
      <c r="BX219" s="12">
        <v>0</v>
      </c>
      <c r="BY219" s="12">
        <v>0</v>
      </c>
      <c r="BZ219" s="12">
        <v>0</v>
      </c>
      <c r="CA219" s="12">
        <v>0</v>
      </c>
    </row>
    <row r="220" spans="1:79" hidden="1" x14ac:dyDescent="0.2">
      <c r="A220" s="12" t="s">
        <v>127</v>
      </c>
      <c r="B220" s="12" t="s">
        <v>131</v>
      </c>
      <c r="C220" s="12" t="s">
        <v>131</v>
      </c>
      <c r="D220" s="22" t="s">
        <v>480</v>
      </c>
      <c r="E220" s="22" t="s">
        <v>173</v>
      </c>
      <c r="F220" s="22" t="s">
        <v>939</v>
      </c>
      <c r="G220" s="22" t="s">
        <v>940</v>
      </c>
      <c r="H220" s="22" t="s">
        <v>166</v>
      </c>
      <c r="I220" s="22" t="s">
        <v>343</v>
      </c>
      <c r="J220" s="22" t="s">
        <v>162</v>
      </c>
      <c r="K220" s="22" t="s">
        <v>89</v>
      </c>
      <c r="L220" s="54" t="s">
        <v>153</v>
      </c>
      <c r="M220" s="33" t="s">
        <v>475</v>
      </c>
      <c r="N220" s="24" t="s">
        <v>153</v>
      </c>
      <c r="O220" s="33" t="s">
        <v>475</v>
      </c>
      <c r="P220" s="33" t="s">
        <v>475</v>
      </c>
      <c r="Q220" s="33" t="s">
        <v>475</v>
      </c>
      <c r="R220" s="33" t="s">
        <v>475</v>
      </c>
      <c r="S220" s="33" t="s">
        <v>475</v>
      </c>
      <c r="T220" s="33" t="s">
        <v>475</v>
      </c>
      <c r="U220" s="24" t="s">
        <v>153</v>
      </c>
      <c r="V220" s="54" t="s">
        <v>153</v>
      </c>
      <c r="W220" s="33" t="s">
        <v>475</v>
      </c>
      <c r="X220" s="33" t="s">
        <v>475</v>
      </c>
      <c r="Y220" s="33" t="s">
        <v>475</v>
      </c>
      <c r="Z220" s="33" t="s">
        <v>475</v>
      </c>
      <c r="AA220" s="33" t="s">
        <v>475</v>
      </c>
      <c r="AB220" s="24" t="s">
        <v>153</v>
      </c>
      <c r="AC220" s="33" t="s">
        <v>475</v>
      </c>
      <c r="AD220" s="33" t="s">
        <v>475</v>
      </c>
      <c r="AE220" s="33" t="s">
        <v>475</v>
      </c>
      <c r="AF220" s="33" t="s">
        <v>475</v>
      </c>
      <c r="AG220" s="33" t="s">
        <v>475</v>
      </c>
      <c r="AH220" s="33" t="s">
        <v>475</v>
      </c>
      <c r="AI220" s="24" t="s">
        <v>153</v>
      </c>
      <c r="AJ220" s="33" t="s">
        <v>475</v>
      </c>
      <c r="AK220" s="33" t="s">
        <v>475</v>
      </c>
      <c r="AL220" s="33" t="s">
        <v>475</v>
      </c>
      <c r="AM220" s="33" t="s">
        <v>475</v>
      </c>
      <c r="AN220" s="33" t="s">
        <v>475</v>
      </c>
      <c r="AO220" s="33" t="s">
        <v>475</v>
      </c>
      <c r="AP220" s="23">
        <f>VALUE(0)</f>
        <v>0</v>
      </c>
      <c r="AQ220" s="23">
        <f>VALUE(0)</f>
        <v>0</v>
      </c>
      <c r="AR220" s="23">
        <f>VALUE(0)</f>
        <v>0</v>
      </c>
      <c r="AS220" s="23">
        <f>VALUE(0)</f>
        <v>0</v>
      </c>
      <c r="AT220" s="23">
        <f>VALUE(0)</f>
        <v>0</v>
      </c>
      <c r="AU220" s="23">
        <f>VALUE(0)</f>
        <v>0</v>
      </c>
      <c r="AV220" s="23">
        <f>VALUE(0)</f>
        <v>0</v>
      </c>
      <c r="AW220" s="23">
        <f>VALUE(0)</f>
        <v>0</v>
      </c>
      <c r="AX220" s="23" t="s">
        <v>403</v>
      </c>
      <c r="AY220" s="23">
        <f>VALUE(0)</f>
        <v>0</v>
      </c>
      <c r="AZ220" s="23">
        <f>VALUE(0)</f>
        <v>0</v>
      </c>
      <c r="BA220" s="23">
        <f>VALUE(0)</f>
        <v>0</v>
      </c>
      <c r="BB220" s="23">
        <f>VALUE(0)</f>
        <v>0</v>
      </c>
      <c r="BC220" s="23">
        <f>VALUE(0)</f>
        <v>0</v>
      </c>
      <c r="BD220" s="23">
        <f>VALUE(0)</f>
        <v>0</v>
      </c>
      <c r="BE220" s="23">
        <f>VALUE(0)</f>
        <v>0</v>
      </c>
      <c r="BF220" s="23">
        <f>VALUE(0)</f>
        <v>0</v>
      </c>
      <c r="BG220" s="23">
        <f>VALUE(0)</f>
        <v>0</v>
      </c>
      <c r="BH220" s="23">
        <f>VALUE(0)</f>
        <v>0</v>
      </c>
      <c r="BI220" s="23">
        <f>VALUE(0)</f>
        <v>0</v>
      </c>
      <c r="BJ220" s="23">
        <f>VALUE(0)</f>
        <v>0</v>
      </c>
      <c r="BK220" s="12">
        <f>$AX$220*24</f>
        <v>2.1</v>
      </c>
      <c r="BL220" s="12">
        <f>$AY$220*24</f>
        <v>0</v>
      </c>
      <c r="BM220" s="12">
        <f>$BJ$220*24</f>
        <v>0</v>
      </c>
      <c r="BN220" s="12">
        <f>VALUE($I$220)/100</f>
        <v>0.7</v>
      </c>
      <c r="BO220" s="12">
        <v>0</v>
      </c>
      <c r="BP220" s="12">
        <v>0</v>
      </c>
      <c r="BQ220" s="12">
        <v>0</v>
      </c>
      <c r="BR220" s="12">
        <v>0</v>
      </c>
      <c r="BS220" s="12">
        <v>0</v>
      </c>
      <c r="BT220" s="12">
        <v>0</v>
      </c>
      <c r="BU220" s="12">
        <v>0</v>
      </c>
      <c r="BV220" s="12">
        <v>0</v>
      </c>
      <c r="BW220" s="12">
        <v>0</v>
      </c>
      <c r="BX220" s="12">
        <v>0</v>
      </c>
      <c r="BY220" s="12">
        <v>0</v>
      </c>
      <c r="BZ220" s="12">
        <v>0</v>
      </c>
      <c r="CA220" s="12">
        <v>0</v>
      </c>
    </row>
    <row r="221" spans="1:79" hidden="1" x14ac:dyDescent="0.2">
      <c r="A221" s="12" t="s">
        <v>127</v>
      </c>
      <c r="B221" s="12" t="s">
        <v>131</v>
      </c>
      <c r="C221" s="12" t="s">
        <v>131</v>
      </c>
      <c r="D221" s="22" t="s">
        <v>480</v>
      </c>
      <c r="E221" s="22" t="s">
        <v>173</v>
      </c>
      <c r="F221" s="22" t="s">
        <v>941</v>
      </c>
      <c r="G221" s="22" t="s">
        <v>942</v>
      </c>
      <c r="H221" s="22" t="s">
        <v>166</v>
      </c>
      <c r="I221" s="22" t="s">
        <v>343</v>
      </c>
      <c r="J221" s="22" t="s">
        <v>162</v>
      </c>
      <c r="K221" s="22" t="s">
        <v>89</v>
      </c>
      <c r="L221" s="54" t="s">
        <v>153</v>
      </c>
      <c r="M221" s="33" t="s">
        <v>475</v>
      </c>
      <c r="N221" s="24" t="s">
        <v>153</v>
      </c>
      <c r="O221" s="33" t="s">
        <v>475</v>
      </c>
      <c r="P221" s="33" t="s">
        <v>475</v>
      </c>
      <c r="Q221" s="33" t="s">
        <v>475</v>
      </c>
      <c r="R221" s="33" t="s">
        <v>475</v>
      </c>
      <c r="S221" s="33" t="s">
        <v>475</v>
      </c>
      <c r="T221" s="33" t="s">
        <v>475</v>
      </c>
      <c r="U221" s="24" t="s">
        <v>153</v>
      </c>
      <c r="V221" s="54" t="s">
        <v>153</v>
      </c>
      <c r="W221" s="33" t="s">
        <v>475</v>
      </c>
      <c r="X221" s="33" t="s">
        <v>475</v>
      </c>
      <c r="Y221" s="33" t="s">
        <v>475</v>
      </c>
      <c r="Z221" s="33" t="s">
        <v>475</v>
      </c>
      <c r="AA221" s="33" t="s">
        <v>475</v>
      </c>
      <c r="AB221" s="24" t="s">
        <v>153</v>
      </c>
      <c r="AC221" s="33" t="s">
        <v>475</v>
      </c>
      <c r="AD221" s="33" t="s">
        <v>475</v>
      </c>
      <c r="AE221" s="33" t="s">
        <v>475</v>
      </c>
      <c r="AF221" s="33" t="s">
        <v>475</v>
      </c>
      <c r="AG221" s="33" t="s">
        <v>475</v>
      </c>
      <c r="AH221" s="33" t="s">
        <v>475</v>
      </c>
      <c r="AI221" s="24" t="s">
        <v>153</v>
      </c>
      <c r="AJ221" s="33" t="s">
        <v>475</v>
      </c>
      <c r="AK221" s="33" t="s">
        <v>475</v>
      </c>
      <c r="AL221" s="33" t="s">
        <v>475</v>
      </c>
      <c r="AM221" s="33" t="s">
        <v>475</v>
      </c>
      <c r="AN221" s="33" t="s">
        <v>475</v>
      </c>
      <c r="AO221" s="33" t="s">
        <v>475</v>
      </c>
      <c r="AP221" s="23">
        <f>VALUE(0)</f>
        <v>0</v>
      </c>
      <c r="AQ221" s="23">
        <f>VALUE(0)</f>
        <v>0</v>
      </c>
      <c r="AR221" s="23">
        <f>VALUE(0)</f>
        <v>0</v>
      </c>
      <c r="AS221" s="23">
        <f>VALUE(0)</f>
        <v>0</v>
      </c>
      <c r="AT221" s="23">
        <f>VALUE(0)</f>
        <v>0</v>
      </c>
      <c r="AU221" s="23">
        <f>VALUE(0)</f>
        <v>0</v>
      </c>
      <c r="AV221" s="23">
        <f>VALUE(0)</f>
        <v>0</v>
      </c>
      <c r="AW221" s="23">
        <f>VALUE(0)</f>
        <v>0</v>
      </c>
      <c r="AX221" s="23" t="s">
        <v>484</v>
      </c>
      <c r="AY221" s="23">
        <f>VALUE(0)</f>
        <v>0</v>
      </c>
      <c r="AZ221" s="23">
        <f>VALUE(0)</f>
        <v>0</v>
      </c>
      <c r="BA221" s="23">
        <f>VALUE(0)</f>
        <v>0</v>
      </c>
      <c r="BB221" s="23">
        <f>VALUE(0)</f>
        <v>0</v>
      </c>
      <c r="BC221" s="23">
        <f>VALUE(0)</f>
        <v>0</v>
      </c>
      <c r="BD221" s="23">
        <f>VALUE(0)</f>
        <v>0</v>
      </c>
      <c r="BE221" s="23">
        <f>VALUE(0)</f>
        <v>0</v>
      </c>
      <c r="BF221" s="23">
        <f>VALUE(0)</f>
        <v>0</v>
      </c>
      <c r="BG221" s="23">
        <f>VALUE(0)</f>
        <v>0</v>
      </c>
      <c r="BH221" s="23">
        <f>VALUE(0)</f>
        <v>0</v>
      </c>
      <c r="BI221" s="23">
        <f>VALUE(0)</f>
        <v>0</v>
      </c>
      <c r="BJ221" s="23">
        <f>VALUE(0)</f>
        <v>0</v>
      </c>
      <c r="BK221" s="12">
        <f>$AX$221*24</f>
        <v>12.75</v>
      </c>
      <c r="BL221" s="12">
        <f>$AY$221*24</f>
        <v>0</v>
      </c>
      <c r="BM221" s="12">
        <f>$BJ$221*24</f>
        <v>0</v>
      </c>
      <c r="BN221" s="12">
        <f>VALUE($I$221)/100</f>
        <v>0.7</v>
      </c>
      <c r="BO221" s="12">
        <v>0</v>
      </c>
      <c r="BP221" s="12">
        <v>0</v>
      </c>
      <c r="BQ221" s="12">
        <v>0</v>
      </c>
      <c r="BR221" s="12">
        <v>0</v>
      </c>
      <c r="BS221" s="12">
        <v>0</v>
      </c>
      <c r="BT221" s="12">
        <v>0</v>
      </c>
      <c r="BU221" s="12">
        <v>0</v>
      </c>
      <c r="BV221" s="12">
        <v>0</v>
      </c>
      <c r="BW221" s="12">
        <v>0</v>
      </c>
      <c r="BX221" s="12">
        <v>0</v>
      </c>
      <c r="BY221" s="12">
        <v>0</v>
      </c>
      <c r="BZ221" s="12">
        <v>0</v>
      </c>
      <c r="CA221" s="12">
        <v>0</v>
      </c>
    </row>
    <row r="222" spans="1:79" hidden="1" x14ac:dyDescent="0.2">
      <c r="A222" s="12" t="s">
        <v>127</v>
      </c>
      <c r="B222" s="12" t="s">
        <v>131</v>
      </c>
      <c r="C222" s="12" t="s">
        <v>131</v>
      </c>
      <c r="D222" s="22" t="s">
        <v>480</v>
      </c>
      <c r="E222" s="22" t="s">
        <v>173</v>
      </c>
      <c r="F222" s="22" t="s">
        <v>943</v>
      </c>
      <c r="G222" s="22" t="s">
        <v>944</v>
      </c>
      <c r="H222" s="22" t="s">
        <v>150</v>
      </c>
      <c r="I222" s="22" t="s">
        <v>343</v>
      </c>
      <c r="J222" s="22" t="s">
        <v>162</v>
      </c>
      <c r="K222" s="22" t="s">
        <v>89</v>
      </c>
      <c r="L222" s="54" t="s">
        <v>153</v>
      </c>
      <c r="M222" s="33" t="s">
        <v>475</v>
      </c>
      <c r="N222" s="24" t="s">
        <v>153</v>
      </c>
      <c r="O222" s="33" t="s">
        <v>475</v>
      </c>
      <c r="P222" s="33" t="s">
        <v>475</v>
      </c>
      <c r="Q222" s="33" t="s">
        <v>475</v>
      </c>
      <c r="R222" s="33" t="s">
        <v>475</v>
      </c>
      <c r="S222" s="33" t="s">
        <v>475</v>
      </c>
      <c r="T222" s="33" t="s">
        <v>475</v>
      </c>
      <c r="U222" s="24" t="s">
        <v>153</v>
      </c>
      <c r="V222" s="54" t="s">
        <v>153</v>
      </c>
      <c r="W222" s="33" t="s">
        <v>475</v>
      </c>
      <c r="X222" s="33" t="s">
        <v>475</v>
      </c>
      <c r="Y222" s="33" t="s">
        <v>475</v>
      </c>
      <c r="Z222" s="33" t="s">
        <v>475</v>
      </c>
      <c r="AA222" s="33" t="s">
        <v>475</v>
      </c>
      <c r="AB222" s="24" t="s">
        <v>153</v>
      </c>
      <c r="AC222" s="33" t="s">
        <v>475</v>
      </c>
      <c r="AD222" s="33" t="s">
        <v>475</v>
      </c>
      <c r="AE222" s="33" t="s">
        <v>475</v>
      </c>
      <c r="AF222" s="33" t="s">
        <v>475</v>
      </c>
      <c r="AG222" s="33" t="s">
        <v>475</v>
      </c>
      <c r="AH222" s="33" t="s">
        <v>475</v>
      </c>
      <c r="AI222" s="24" t="s">
        <v>153</v>
      </c>
      <c r="AJ222" s="33" t="s">
        <v>475</v>
      </c>
      <c r="AK222" s="33" t="s">
        <v>475</v>
      </c>
      <c r="AL222" s="33" t="s">
        <v>475</v>
      </c>
      <c r="AM222" s="33" t="s">
        <v>475</v>
      </c>
      <c r="AN222" s="33" t="s">
        <v>475</v>
      </c>
      <c r="AO222" s="33" t="s">
        <v>475</v>
      </c>
      <c r="AP222" s="23">
        <f>VALUE(0)</f>
        <v>0</v>
      </c>
      <c r="AQ222" s="23">
        <f>VALUE(0)</f>
        <v>0</v>
      </c>
      <c r="AR222" s="23">
        <f>VALUE(0)</f>
        <v>0</v>
      </c>
      <c r="AS222" s="23">
        <f>VALUE(0)</f>
        <v>0</v>
      </c>
      <c r="AT222" s="23">
        <f>VALUE(0)</f>
        <v>0</v>
      </c>
      <c r="AU222" s="23">
        <f>VALUE(0)</f>
        <v>0</v>
      </c>
      <c r="AV222" s="23">
        <f>VALUE(0)</f>
        <v>0</v>
      </c>
      <c r="AW222" s="23">
        <f>VALUE(0)</f>
        <v>0</v>
      </c>
      <c r="AX222" s="23" t="s">
        <v>309</v>
      </c>
      <c r="AY222" s="23" t="s">
        <v>485</v>
      </c>
      <c r="AZ222" s="23">
        <f>VALUE(0)</f>
        <v>0</v>
      </c>
      <c r="BA222" s="23">
        <f>VALUE(0)</f>
        <v>0</v>
      </c>
      <c r="BB222" s="23">
        <f>VALUE(0)</f>
        <v>0</v>
      </c>
      <c r="BC222" s="23">
        <f>VALUE(0)</f>
        <v>0</v>
      </c>
      <c r="BD222" s="23">
        <f>VALUE(0)</f>
        <v>0</v>
      </c>
      <c r="BE222" s="23">
        <f>VALUE(0)</f>
        <v>0</v>
      </c>
      <c r="BF222" s="23">
        <f>VALUE(0)</f>
        <v>0</v>
      </c>
      <c r="BG222" s="23">
        <f>VALUE(0)</f>
        <v>0</v>
      </c>
      <c r="BH222" s="23">
        <f>VALUE(0)</f>
        <v>0</v>
      </c>
      <c r="BI222" s="23">
        <f>VALUE(0)</f>
        <v>0</v>
      </c>
      <c r="BJ222" s="23">
        <f>VALUE(0)</f>
        <v>0</v>
      </c>
      <c r="BK222" s="12">
        <f>$AX$222*24</f>
        <v>4.583333333333333</v>
      </c>
      <c r="BL222" s="12">
        <f>$AY$222*24</f>
        <v>3.8333333333333339</v>
      </c>
      <c r="BM222" s="12">
        <f>$BJ$222*24</f>
        <v>0</v>
      </c>
      <c r="BN222" s="12">
        <f>VALUE($I$222)/100</f>
        <v>0.7</v>
      </c>
      <c r="BO222" s="12">
        <v>0</v>
      </c>
      <c r="BP222" s="12">
        <v>0</v>
      </c>
      <c r="BQ222" s="12">
        <v>0</v>
      </c>
      <c r="BR222" s="12">
        <v>0</v>
      </c>
      <c r="BS222" s="12">
        <v>0</v>
      </c>
      <c r="BT222" s="12">
        <v>0</v>
      </c>
      <c r="BU222" s="12">
        <v>0</v>
      </c>
      <c r="BV222" s="12">
        <v>0</v>
      </c>
      <c r="BW222" s="12">
        <v>0</v>
      </c>
      <c r="BX222" s="12">
        <v>0</v>
      </c>
      <c r="BY222" s="12">
        <v>0</v>
      </c>
      <c r="BZ222" s="12">
        <v>0</v>
      </c>
      <c r="CA222" s="12">
        <v>0</v>
      </c>
    </row>
    <row r="223" spans="1:79" hidden="1" x14ac:dyDescent="0.2">
      <c r="A223" s="12" t="s">
        <v>127</v>
      </c>
      <c r="B223" s="12" t="s">
        <v>131</v>
      </c>
      <c r="C223" s="12" t="s">
        <v>131</v>
      </c>
      <c r="D223" s="22" t="s">
        <v>480</v>
      </c>
      <c r="E223" s="22" t="s">
        <v>173</v>
      </c>
      <c r="F223" s="22" t="s">
        <v>945</v>
      </c>
      <c r="G223" s="22" t="s">
        <v>946</v>
      </c>
      <c r="H223" s="22" t="s">
        <v>166</v>
      </c>
      <c r="I223" s="22" t="s">
        <v>343</v>
      </c>
      <c r="J223" s="22" t="s">
        <v>162</v>
      </c>
      <c r="K223" s="22" t="s">
        <v>89</v>
      </c>
      <c r="L223" s="54" t="s">
        <v>153</v>
      </c>
      <c r="M223" s="33" t="s">
        <v>475</v>
      </c>
      <c r="N223" s="24" t="s">
        <v>153</v>
      </c>
      <c r="O223" s="33" t="s">
        <v>475</v>
      </c>
      <c r="P223" s="33" t="s">
        <v>475</v>
      </c>
      <c r="Q223" s="33" t="s">
        <v>475</v>
      </c>
      <c r="R223" s="33" t="s">
        <v>475</v>
      </c>
      <c r="S223" s="33" t="s">
        <v>475</v>
      </c>
      <c r="T223" s="33" t="s">
        <v>475</v>
      </c>
      <c r="U223" s="24" t="s">
        <v>153</v>
      </c>
      <c r="V223" s="54" t="s">
        <v>156</v>
      </c>
      <c r="W223" s="33" t="s">
        <v>475</v>
      </c>
      <c r="X223" s="33" t="s">
        <v>475</v>
      </c>
      <c r="Y223" s="33" t="s">
        <v>475</v>
      </c>
      <c r="Z223" s="33" t="s">
        <v>475</v>
      </c>
      <c r="AA223" s="33" t="s">
        <v>475</v>
      </c>
      <c r="AB223" s="24" t="s">
        <v>153</v>
      </c>
      <c r="AC223" s="33" t="s">
        <v>475</v>
      </c>
      <c r="AD223" s="33" t="s">
        <v>475</v>
      </c>
      <c r="AE223" s="33" t="s">
        <v>475</v>
      </c>
      <c r="AF223" s="33" t="s">
        <v>475</v>
      </c>
      <c r="AG223" s="33" t="s">
        <v>475</v>
      </c>
      <c r="AH223" s="33" t="s">
        <v>475</v>
      </c>
      <c r="AI223" s="24" t="s">
        <v>153</v>
      </c>
      <c r="AJ223" s="33" t="s">
        <v>475</v>
      </c>
      <c r="AK223" s="33" t="s">
        <v>475</v>
      </c>
      <c r="AL223" s="33" t="s">
        <v>475</v>
      </c>
      <c r="AM223" s="33" t="s">
        <v>475</v>
      </c>
      <c r="AN223" s="33" t="s">
        <v>475</v>
      </c>
      <c r="AO223" s="33" t="s">
        <v>475</v>
      </c>
      <c r="AP223" s="23">
        <f>VALUE(0)</f>
        <v>0</v>
      </c>
      <c r="AQ223" s="23">
        <f>VALUE(0)</f>
        <v>0</v>
      </c>
      <c r="AR223" s="23">
        <f>VALUE(0)</f>
        <v>0</v>
      </c>
      <c r="AS223" s="23">
        <f>VALUE(0)</f>
        <v>0</v>
      </c>
      <c r="AT223" s="23">
        <f>VALUE(0)</f>
        <v>0</v>
      </c>
      <c r="AU223" s="23">
        <f>VALUE(0)</f>
        <v>0</v>
      </c>
      <c r="AV223" s="23">
        <f>VALUE(0)</f>
        <v>0</v>
      </c>
      <c r="AW223" s="23">
        <f>VALUE(0)</f>
        <v>0</v>
      </c>
      <c r="AX223" s="23" t="s">
        <v>487</v>
      </c>
      <c r="AY223" s="23">
        <f>VALUE(0)</f>
        <v>0</v>
      </c>
      <c r="AZ223" s="23">
        <f>VALUE(0)</f>
        <v>0</v>
      </c>
      <c r="BA223" s="23">
        <f>VALUE(0)</f>
        <v>0</v>
      </c>
      <c r="BB223" s="23">
        <f>VALUE(0)</f>
        <v>0</v>
      </c>
      <c r="BC223" s="23">
        <f>VALUE(0)</f>
        <v>0</v>
      </c>
      <c r="BD223" s="23">
        <f>VALUE(0)</f>
        <v>0</v>
      </c>
      <c r="BE223" s="23">
        <f>VALUE(0)</f>
        <v>0</v>
      </c>
      <c r="BF223" s="23">
        <f>VALUE(0)</f>
        <v>0</v>
      </c>
      <c r="BG223" s="23">
        <f>VALUE(0)</f>
        <v>0</v>
      </c>
      <c r="BH223" s="23">
        <f>VALUE(0)</f>
        <v>0</v>
      </c>
      <c r="BI223" s="23">
        <f>VALUE(0)</f>
        <v>0</v>
      </c>
      <c r="BJ223" s="23">
        <f>VALUE(0)</f>
        <v>0</v>
      </c>
      <c r="BK223" s="12">
        <f>$AX$223*24</f>
        <v>4.083333333333333</v>
      </c>
      <c r="BL223" s="12">
        <f>$AY$223*24</f>
        <v>0</v>
      </c>
      <c r="BM223" s="12">
        <f>$BJ$223*24</f>
        <v>0</v>
      </c>
      <c r="BN223" s="12">
        <f>VALUE($I$223)/100</f>
        <v>0.7</v>
      </c>
      <c r="BO223" s="12">
        <v>0</v>
      </c>
      <c r="BP223" s="12">
        <v>0</v>
      </c>
      <c r="BQ223" s="12">
        <v>0</v>
      </c>
      <c r="BR223" s="12">
        <v>0</v>
      </c>
      <c r="BS223" s="12">
        <v>0</v>
      </c>
      <c r="BT223" s="12">
        <v>0</v>
      </c>
      <c r="BU223" s="12">
        <v>0</v>
      </c>
      <c r="BV223" s="12">
        <v>0</v>
      </c>
      <c r="BW223" s="12">
        <v>0</v>
      </c>
      <c r="BX223" s="12">
        <v>0</v>
      </c>
      <c r="BY223" s="12">
        <v>0</v>
      </c>
      <c r="BZ223" s="12">
        <v>0</v>
      </c>
      <c r="CA223" s="12">
        <v>0</v>
      </c>
    </row>
    <row r="224" spans="1:79" hidden="1" x14ac:dyDescent="0.2">
      <c r="A224" s="12" t="s">
        <v>127</v>
      </c>
      <c r="B224" s="12" t="s">
        <v>131</v>
      </c>
      <c r="C224" s="12" t="s">
        <v>131</v>
      </c>
      <c r="D224" s="22" t="s">
        <v>480</v>
      </c>
      <c r="E224" s="22" t="s">
        <v>173</v>
      </c>
      <c r="F224" s="22" t="s">
        <v>947</v>
      </c>
      <c r="G224" s="22" t="s">
        <v>948</v>
      </c>
      <c r="H224" s="22" t="s">
        <v>166</v>
      </c>
      <c r="I224" s="22" t="s">
        <v>343</v>
      </c>
      <c r="J224" s="22" t="s">
        <v>162</v>
      </c>
      <c r="K224" s="22" t="s">
        <v>89</v>
      </c>
      <c r="L224" s="54" t="s">
        <v>153</v>
      </c>
      <c r="M224" s="33" t="s">
        <v>475</v>
      </c>
      <c r="N224" s="24" t="s">
        <v>153</v>
      </c>
      <c r="O224" s="33" t="s">
        <v>475</v>
      </c>
      <c r="P224" s="33" t="s">
        <v>475</v>
      </c>
      <c r="Q224" s="33" t="s">
        <v>475</v>
      </c>
      <c r="R224" s="33" t="s">
        <v>475</v>
      </c>
      <c r="S224" s="33" t="s">
        <v>475</v>
      </c>
      <c r="T224" s="33" t="s">
        <v>475</v>
      </c>
      <c r="U224" s="24" t="s">
        <v>153</v>
      </c>
      <c r="V224" s="54" t="s">
        <v>156</v>
      </c>
      <c r="W224" s="33" t="s">
        <v>475</v>
      </c>
      <c r="X224" s="33" t="s">
        <v>475</v>
      </c>
      <c r="Y224" s="33" t="s">
        <v>475</v>
      </c>
      <c r="Z224" s="33" t="s">
        <v>475</v>
      </c>
      <c r="AA224" s="33" t="s">
        <v>475</v>
      </c>
      <c r="AB224" s="24" t="s">
        <v>153</v>
      </c>
      <c r="AC224" s="33" t="s">
        <v>475</v>
      </c>
      <c r="AD224" s="33" t="s">
        <v>475</v>
      </c>
      <c r="AE224" s="33" t="s">
        <v>475</v>
      </c>
      <c r="AF224" s="33" t="s">
        <v>475</v>
      </c>
      <c r="AG224" s="33" t="s">
        <v>475</v>
      </c>
      <c r="AH224" s="33" t="s">
        <v>475</v>
      </c>
      <c r="AI224" s="24" t="s">
        <v>153</v>
      </c>
      <c r="AJ224" s="33" t="s">
        <v>475</v>
      </c>
      <c r="AK224" s="33" t="s">
        <v>475</v>
      </c>
      <c r="AL224" s="33" t="s">
        <v>475</v>
      </c>
      <c r="AM224" s="33" t="s">
        <v>475</v>
      </c>
      <c r="AN224" s="33" t="s">
        <v>475</v>
      </c>
      <c r="AO224" s="33" t="s">
        <v>475</v>
      </c>
      <c r="AP224" s="23">
        <f>VALUE(0)</f>
        <v>0</v>
      </c>
      <c r="AQ224" s="23">
        <f>VALUE(0)</f>
        <v>0</v>
      </c>
      <c r="AR224" s="23">
        <f>VALUE(0)</f>
        <v>0</v>
      </c>
      <c r="AS224" s="23">
        <f>VALUE(0)</f>
        <v>0</v>
      </c>
      <c r="AT224" s="23">
        <f>VALUE(0)</f>
        <v>0</v>
      </c>
      <c r="AU224" s="23">
        <f>VALUE(0)</f>
        <v>0</v>
      </c>
      <c r="AV224" s="23">
        <f>VALUE(0)</f>
        <v>0</v>
      </c>
      <c r="AW224" s="23">
        <f>VALUE(0)</f>
        <v>0</v>
      </c>
      <c r="AX224" s="23" t="s">
        <v>1260</v>
      </c>
      <c r="AY224" s="23">
        <f>VALUE(0)</f>
        <v>0</v>
      </c>
      <c r="AZ224" s="23">
        <f>VALUE(0)</f>
        <v>0</v>
      </c>
      <c r="BA224" s="23">
        <f>VALUE(0)</f>
        <v>0</v>
      </c>
      <c r="BB224" s="23">
        <f>VALUE(0)</f>
        <v>0</v>
      </c>
      <c r="BC224" s="23">
        <f>VALUE(0)</f>
        <v>0</v>
      </c>
      <c r="BD224" s="23">
        <f>VALUE(0)</f>
        <v>0</v>
      </c>
      <c r="BE224" s="23">
        <f>VALUE(0)</f>
        <v>0</v>
      </c>
      <c r="BF224" s="23">
        <f>VALUE(0)</f>
        <v>0</v>
      </c>
      <c r="BG224" s="23">
        <f>VALUE(0)</f>
        <v>0</v>
      </c>
      <c r="BH224" s="23">
        <f>VALUE(0)</f>
        <v>0</v>
      </c>
      <c r="BI224" s="23">
        <f>VALUE(0)</f>
        <v>0</v>
      </c>
      <c r="BJ224" s="23">
        <f>VALUE(0)</f>
        <v>0</v>
      </c>
      <c r="BK224" s="12">
        <f>$AX$224*24</f>
        <v>11.733333333333333</v>
      </c>
      <c r="BL224" s="12">
        <f>$AY$224*24</f>
        <v>0</v>
      </c>
      <c r="BM224" s="12">
        <f>$BJ$224*24</f>
        <v>0</v>
      </c>
      <c r="BN224" s="12">
        <f>VALUE($I$224)/100</f>
        <v>0.7</v>
      </c>
      <c r="BO224" s="12">
        <v>0</v>
      </c>
      <c r="BP224" s="12">
        <v>0</v>
      </c>
      <c r="BQ224" s="12">
        <v>0</v>
      </c>
      <c r="BR224" s="12">
        <v>0</v>
      </c>
      <c r="BS224" s="12">
        <v>0</v>
      </c>
      <c r="BT224" s="12">
        <v>0</v>
      </c>
      <c r="BU224" s="12">
        <v>0</v>
      </c>
      <c r="BV224" s="12">
        <v>0</v>
      </c>
      <c r="BW224" s="12">
        <v>0</v>
      </c>
      <c r="BX224" s="12">
        <v>0</v>
      </c>
      <c r="BY224" s="12">
        <v>0</v>
      </c>
      <c r="BZ224" s="12">
        <v>0</v>
      </c>
      <c r="CA224" s="12">
        <v>0</v>
      </c>
    </row>
    <row r="225" spans="1:79" hidden="1" x14ac:dyDescent="0.2">
      <c r="A225" s="12" t="s">
        <v>127</v>
      </c>
      <c r="B225" s="12" t="s">
        <v>131</v>
      </c>
      <c r="C225" s="12" t="s">
        <v>131</v>
      </c>
      <c r="D225" s="22" t="s">
        <v>480</v>
      </c>
      <c r="E225" s="22" t="s">
        <v>173</v>
      </c>
      <c r="F225" s="22" t="s">
        <v>949</v>
      </c>
      <c r="G225" s="22" t="s">
        <v>950</v>
      </c>
      <c r="H225" s="22" t="s">
        <v>166</v>
      </c>
      <c r="I225" s="22" t="s">
        <v>343</v>
      </c>
      <c r="J225" s="22" t="s">
        <v>162</v>
      </c>
      <c r="K225" s="22" t="s">
        <v>89</v>
      </c>
      <c r="L225" s="54" t="s">
        <v>153</v>
      </c>
      <c r="M225" s="24" t="s">
        <v>153</v>
      </c>
      <c r="N225" s="24" t="s">
        <v>153</v>
      </c>
      <c r="O225" s="33" t="s">
        <v>475</v>
      </c>
      <c r="P225" s="33" t="s">
        <v>475</v>
      </c>
      <c r="Q225" s="33" t="s">
        <v>475</v>
      </c>
      <c r="R225" s="33" t="s">
        <v>475</v>
      </c>
      <c r="S225" s="33" t="s">
        <v>475</v>
      </c>
      <c r="T225" s="24" t="s">
        <v>153</v>
      </c>
      <c r="U225" s="24" t="s">
        <v>153</v>
      </c>
      <c r="V225" s="54" t="s">
        <v>153</v>
      </c>
      <c r="W225" s="33" t="s">
        <v>475</v>
      </c>
      <c r="X225" s="33" t="s">
        <v>475</v>
      </c>
      <c r="Y225" s="33" t="s">
        <v>475</v>
      </c>
      <c r="Z225" s="33" t="s">
        <v>475</v>
      </c>
      <c r="AA225" s="24" t="s">
        <v>153</v>
      </c>
      <c r="AB225" s="24" t="s">
        <v>153</v>
      </c>
      <c r="AC225" s="33" t="s">
        <v>475</v>
      </c>
      <c r="AD225" s="33" t="s">
        <v>475</v>
      </c>
      <c r="AE225" s="33" t="s">
        <v>475</v>
      </c>
      <c r="AF225" s="33" t="s">
        <v>475</v>
      </c>
      <c r="AG225" s="33" t="s">
        <v>475</v>
      </c>
      <c r="AH225" s="24" t="s">
        <v>153</v>
      </c>
      <c r="AI225" s="24" t="s">
        <v>153</v>
      </c>
      <c r="AJ225" s="33" t="s">
        <v>475</v>
      </c>
      <c r="AK225" s="33" t="s">
        <v>475</v>
      </c>
      <c r="AL225" s="33" t="s">
        <v>475</v>
      </c>
      <c r="AM225" s="33" t="s">
        <v>475</v>
      </c>
      <c r="AN225" s="33" t="s">
        <v>475</v>
      </c>
      <c r="AO225" s="24" t="s">
        <v>153</v>
      </c>
      <c r="AP225" s="23">
        <f>VALUE(0)</f>
        <v>0</v>
      </c>
      <c r="AQ225" s="23">
        <f>VALUE(0)</f>
        <v>0</v>
      </c>
      <c r="AR225" s="23">
        <f>VALUE(0)</f>
        <v>0</v>
      </c>
      <c r="AS225" s="23">
        <f>VALUE(0)</f>
        <v>0</v>
      </c>
      <c r="AT225" s="23">
        <f>VALUE(0)</f>
        <v>0</v>
      </c>
      <c r="AU225" s="23">
        <f>VALUE(0)</f>
        <v>0</v>
      </c>
      <c r="AV225" s="23">
        <f>VALUE(0)</f>
        <v>0</v>
      </c>
      <c r="AW225" s="23">
        <f>VALUE(0)</f>
        <v>0</v>
      </c>
      <c r="AX225" s="23" t="s">
        <v>1261</v>
      </c>
      <c r="AY225" s="23">
        <f>VALUE(0)</f>
        <v>0</v>
      </c>
      <c r="AZ225" s="23">
        <f>VALUE(0)</f>
        <v>0</v>
      </c>
      <c r="BA225" s="23">
        <f>VALUE(0)</f>
        <v>0</v>
      </c>
      <c r="BB225" s="23">
        <f>VALUE(0)</f>
        <v>0</v>
      </c>
      <c r="BC225" s="23">
        <f>VALUE(0)</f>
        <v>0</v>
      </c>
      <c r="BD225" s="23">
        <f>VALUE(0)</f>
        <v>0</v>
      </c>
      <c r="BE225" s="23">
        <f>VALUE(0)</f>
        <v>0</v>
      </c>
      <c r="BF225" s="23">
        <f>VALUE(0)</f>
        <v>0</v>
      </c>
      <c r="BG225" s="23">
        <f>VALUE(0)</f>
        <v>0</v>
      </c>
      <c r="BH225" s="23">
        <f>VALUE(0)</f>
        <v>0</v>
      </c>
      <c r="BI225" s="23">
        <f>VALUE(0)</f>
        <v>0</v>
      </c>
      <c r="BJ225" s="23">
        <f>VALUE(0)</f>
        <v>0</v>
      </c>
      <c r="BK225" s="12">
        <f>$AX$225*24</f>
        <v>16.350000000000001</v>
      </c>
      <c r="BL225" s="12">
        <f>$AY$225*24</f>
        <v>0</v>
      </c>
      <c r="BM225" s="12">
        <f>$BJ$225*24</f>
        <v>0</v>
      </c>
      <c r="BN225" s="12">
        <f>VALUE($I$225)/100</f>
        <v>0.7</v>
      </c>
      <c r="BO225" s="12">
        <v>0</v>
      </c>
      <c r="BP225" s="12">
        <v>0</v>
      </c>
      <c r="BQ225" s="12">
        <v>0</v>
      </c>
      <c r="BR225" s="12">
        <v>0</v>
      </c>
      <c r="BS225" s="12">
        <v>0</v>
      </c>
      <c r="BT225" s="12">
        <v>0</v>
      </c>
      <c r="BU225" s="12">
        <v>0</v>
      </c>
      <c r="BV225" s="12">
        <v>0</v>
      </c>
      <c r="BW225" s="12">
        <v>0</v>
      </c>
      <c r="BX225" s="12">
        <v>0</v>
      </c>
      <c r="BY225" s="12">
        <v>0</v>
      </c>
      <c r="BZ225" s="12">
        <v>0</v>
      </c>
      <c r="CA225" s="12">
        <v>0</v>
      </c>
    </row>
    <row r="226" spans="1:79" hidden="1" x14ac:dyDescent="0.2">
      <c r="A226" s="12" t="s">
        <v>127</v>
      </c>
      <c r="B226" s="12" t="s">
        <v>131</v>
      </c>
      <c r="C226" s="12" t="s">
        <v>131</v>
      </c>
      <c r="D226" s="22" t="s">
        <v>480</v>
      </c>
      <c r="E226" s="22" t="s">
        <v>173</v>
      </c>
      <c r="F226" s="22" t="s">
        <v>951</v>
      </c>
      <c r="G226" s="22" t="s">
        <v>952</v>
      </c>
      <c r="H226" s="22" t="s">
        <v>166</v>
      </c>
      <c r="I226" s="22" t="s">
        <v>343</v>
      </c>
      <c r="J226" s="22" t="s">
        <v>162</v>
      </c>
      <c r="K226" s="22" t="s">
        <v>89</v>
      </c>
      <c r="L226" s="54" t="s">
        <v>153</v>
      </c>
      <c r="M226" s="33" t="s">
        <v>475</v>
      </c>
      <c r="N226" s="24" t="s">
        <v>153</v>
      </c>
      <c r="O226" s="33" t="s">
        <v>475</v>
      </c>
      <c r="P226" s="33" t="s">
        <v>475</v>
      </c>
      <c r="Q226" s="33" t="s">
        <v>475</v>
      </c>
      <c r="R226" s="33" t="s">
        <v>475</v>
      </c>
      <c r="S226" s="33" t="s">
        <v>475</v>
      </c>
      <c r="T226" s="33" t="s">
        <v>475</v>
      </c>
      <c r="U226" s="24" t="s">
        <v>153</v>
      </c>
      <c r="V226" s="54" t="s">
        <v>153</v>
      </c>
      <c r="W226" s="33" t="s">
        <v>475</v>
      </c>
      <c r="X226" s="33" t="s">
        <v>475</v>
      </c>
      <c r="Y226" s="33" t="s">
        <v>475</v>
      </c>
      <c r="Z226" s="33" t="s">
        <v>475</v>
      </c>
      <c r="AA226" s="33" t="s">
        <v>475</v>
      </c>
      <c r="AB226" s="24" t="s">
        <v>153</v>
      </c>
      <c r="AC226" s="33" t="s">
        <v>475</v>
      </c>
      <c r="AD226" s="33" t="s">
        <v>475</v>
      </c>
      <c r="AE226" s="33" t="s">
        <v>475</v>
      </c>
      <c r="AF226" s="33" t="s">
        <v>475</v>
      </c>
      <c r="AG226" s="33" t="s">
        <v>475</v>
      </c>
      <c r="AH226" s="33" t="s">
        <v>475</v>
      </c>
      <c r="AI226" s="24" t="s">
        <v>153</v>
      </c>
      <c r="AJ226" s="33" t="s">
        <v>475</v>
      </c>
      <c r="AK226" s="33" t="s">
        <v>475</v>
      </c>
      <c r="AL226" s="33" t="s">
        <v>475</v>
      </c>
      <c r="AM226" s="33" t="s">
        <v>475</v>
      </c>
      <c r="AN226" s="33" t="s">
        <v>475</v>
      </c>
      <c r="AO226" s="33" t="s">
        <v>475</v>
      </c>
      <c r="AP226" s="23">
        <f>VALUE(0)</f>
        <v>0</v>
      </c>
      <c r="AQ226" s="23">
        <f>VALUE(0)</f>
        <v>0</v>
      </c>
      <c r="AR226" s="23">
        <f>VALUE(0)</f>
        <v>0</v>
      </c>
      <c r="AS226" s="23">
        <f>VALUE(0)</f>
        <v>0</v>
      </c>
      <c r="AT226" s="23">
        <f>VALUE(0)</f>
        <v>0</v>
      </c>
      <c r="AU226" s="23">
        <f>VALUE(0)</f>
        <v>0</v>
      </c>
      <c r="AV226" s="23">
        <f>VALUE(0)</f>
        <v>0</v>
      </c>
      <c r="AW226" s="23">
        <f>VALUE(0)</f>
        <v>0</v>
      </c>
      <c r="AX226" s="23" t="s">
        <v>486</v>
      </c>
      <c r="AY226" s="23">
        <f>VALUE(0)</f>
        <v>0</v>
      </c>
      <c r="AZ226" s="23">
        <f>VALUE(0)</f>
        <v>0</v>
      </c>
      <c r="BA226" s="23">
        <f>VALUE(0)</f>
        <v>0</v>
      </c>
      <c r="BB226" s="23">
        <f>VALUE(0)</f>
        <v>0</v>
      </c>
      <c r="BC226" s="23">
        <f>VALUE(0)</f>
        <v>0</v>
      </c>
      <c r="BD226" s="23">
        <f>VALUE(0)</f>
        <v>0</v>
      </c>
      <c r="BE226" s="23">
        <f>VALUE(0)</f>
        <v>0</v>
      </c>
      <c r="BF226" s="23">
        <f>VALUE(0)</f>
        <v>0</v>
      </c>
      <c r="BG226" s="23">
        <f>VALUE(0)</f>
        <v>0</v>
      </c>
      <c r="BH226" s="23">
        <f>VALUE(0)</f>
        <v>0</v>
      </c>
      <c r="BI226" s="23">
        <f>VALUE(0)</f>
        <v>0</v>
      </c>
      <c r="BJ226" s="23">
        <f>VALUE(0)</f>
        <v>0</v>
      </c>
      <c r="BK226" s="12">
        <f>$AX$226*24</f>
        <v>8.5666666666666664</v>
      </c>
      <c r="BL226" s="12">
        <f>$AY$226*24</f>
        <v>0</v>
      </c>
      <c r="BM226" s="12">
        <f>$BJ$226*24</f>
        <v>0</v>
      </c>
      <c r="BN226" s="12">
        <f>VALUE($I$226)/100</f>
        <v>0.7</v>
      </c>
      <c r="BO226" s="12">
        <v>0</v>
      </c>
      <c r="BP226" s="12">
        <v>0</v>
      </c>
      <c r="BQ226" s="12">
        <v>0</v>
      </c>
      <c r="BR226" s="12">
        <v>0</v>
      </c>
      <c r="BS226" s="12">
        <v>0</v>
      </c>
      <c r="BT226" s="12">
        <v>0</v>
      </c>
      <c r="BU226" s="12">
        <v>0</v>
      </c>
      <c r="BV226" s="12">
        <v>0</v>
      </c>
      <c r="BW226" s="12">
        <v>0</v>
      </c>
      <c r="BX226" s="12">
        <v>0</v>
      </c>
      <c r="BY226" s="12">
        <v>0</v>
      </c>
      <c r="BZ226" s="12">
        <v>0</v>
      </c>
      <c r="CA226" s="12">
        <v>0</v>
      </c>
    </row>
    <row r="227" spans="1:79" hidden="1" x14ac:dyDescent="0.2">
      <c r="A227" s="12" t="s">
        <v>127</v>
      </c>
      <c r="B227" s="12" t="s">
        <v>131</v>
      </c>
      <c r="C227" s="12" t="s">
        <v>131</v>
      </c>
      <c r="D227" s="22" t="s">
        <v>480</v>
      </c>
      <c r="E227" s="22" t="s">
        <v>173</v>
      </c>
      <c r="F227" s="22" t="s">
        <v>1262</v>
      </c>
      <c r="G227" s="22" t="s">
        <v>953</v>
      </c>
      <c r="H227" s="22" t="s">
        <v>166</v>
      </c>
      <c r="I227" s="22" t="s">
        <v>343</v>
      </c>
      <c r="J227" s="22" t="s">
        <v>162</v>
      </c>
      <c r="K227" s="22" t="s">
        <v>89</v>
      </c>
      <c r="L227" s="54" t="s">
        <v>153</v>
      </c>
      <c r="M227" s="33" t="s">
        <v>475</v>
      </c>
      <c r="N227" s="24" t="s">
        <v>153</v>
      </c>
      <c r="O227" s="33" t="s">
        <v>475</v>
      </c>
      <c r="P227" s="33" t="s">
        <v>475</v>
      </c>
      <c r="Q227" s="33" t="s">
        <v>475</v>
      </c>
      <c r="R227" s="33" t="s">
        <v>475</v>
      </c>
      <c r="S227" s="33" t="s">
        <v>475</v>
      </c>
      <c r="T227" s="33" t="s">
        <v>475</v>
      </c>
      <c r="U227" s="24" t="s">
        <v>153</v>
      </c>
      <c r="V227" s="54" t="s">
        <v>153</v>
      </c>
      <c r="W227" s="33" t="s">
        <v>475</v>
      </c>
      <c r="X227" s="33" t="s">
        <v>475</v>
      </c>
      <c r="Y227" s="33" t="s">
        <v>475</v>
      </c>
      <c r="Z227" s="33" t="s">
        <v>475</v>
      </c>
      <c r="AA227" s="33" t="s">
        <v>475</v>
      </c>
      <c r="AB227" s="24" t="s">
        <v>153</v>
      </c>
      <c r="AC227" s="33" t="s">
        <v>475</v>
      </c>
      <c r="AD227" s="33" t="s">
        <v>475</v>
      </c>
      <c r="AE227" s="33" t="s">
        <v>475</v>
      </c>
      <c r="AF227" s="33" t="s">
        <v>475</v>
      </c>
      <c r="AG227" s="33" t="s">
        <v>475</v>
      </c>
      <c r="AH227" s="33" t="s">
        <v>475</v>
      </c>
      <c r="AI227" s="24" t="s">
        <v>153</v>
      </c>
      <c r="AJ227" s="33" t="s">
        <v>475</v>
      </c>
      <c r="AK227" s="33" t="s">
        <v>475</v>
      </c>
      <c r="AL227" s="33" t="s">
        <v>475</v>
      </c>
      <c r="AM227" s="33" t="s">
        <v>475</v>
      </c>
      <c r="AN227" s="33" t="s">
        <v>475</v>
      </c>
      <c r="AO227" s="33" t="s">
        <v>475</v>
      </c>
      <c r="AP227" s="23">
        <f>VALUE(0)</f>
        <v>0</v>
      </c>
      <c r="AQ227" s="23">
        <f>VALUE(0)</f>
        <v>0</v>
      </c>
      <c r="AR227" s="23">
        <f>VALUE(0)</f>
        <v>0</v>
      </c>
      <c r="AS227" s="23">
        <f>VALUE(0)</f>
        <v>0</v>
      </c>
      <c r="AT227" s="23">
        <f>VALUE(0)</f>
        <v>0</v>
      </c>
      <c r="AU227" s="23">
        <f>VALUE(0)</f>
        <v>0</v>
      </c>
      <c r="AV227" s="23">
        <f>VALUE(0)</f>
        <v>0</v>
      </c>
      <c r="AW227" s="23">
        <f>VALUE(0)</f>
        <v>0</v>
      </c>
      <c r="AX227" s="23" t="s">
        <v>487</v>
      </c>
      <c r="AY227" s="23">
        <f>VALUE(0)</f>
        <v>0</v>
      </c>
      <c r="AZ227" s="23">
        <f>VALUE(0)</f>
        <v>0</v>
      </c>
      <c r="BA227" s="23">
        <f>VALUE(0)</f>
        <v>0</v>
      </c>
      <c r="BB227" s="23">
        <f>VALUE(0)</f>
        <v>0</v>
      </c>
      <c r="BC227" s="23">
        <f>VALUE(0)</f>
        <v>0</v>
      </c>
      <c r="BD227" s="23">
        <f>VALUE(0)</f>
        <v>0</v>
      </c>
      <c r="BE227" s="23">
        <f>VALUE(0)</f>
        <v>0</v>
      </c>
      <c r="BF227" s="23">
        <f>VALUE(0)</f>
        <v>0</v>
      </c>
      <c r="BG227" s="23">
        <f>VALUE(0)</f>
        <v>0</v>
      </c>
      <c r="BH227" s="23">
        <f>VALUE(0)</f>
        <v>0</v>
      </c>
      <c r="BI227" s="23">
        <f>VALUE(0)</f>
        <v>0</v>
      </c>
      <c r="BJ227" s="23">
        <f>VALUE(0)</f>
        <v>0</v>
      </c>
      <c r="BK227" s="12">
        <f>$AX$227*24</f>
        <v>4.083333333333333</v>
      </c>
      <c r="BL227" s="12">
        <f>$AY$227*24</f>
        <v>0</v>
      </c>
      <c r="BM227" s="12">
        <f>$BJ$227*24</f>
        <v>0</v>
      </c>
      <c r="BN227" s="12">
        <f>VALUE($I$227)/100</f>
        <v>0.7</v>
      </c>
      <c r="BO227" s="12">
        <v>0</v>
      </c>
      <c r="BP227" s="12">
        <v>0</v>
      </c>
      <c r="BQ227" s="12">
        <v>0</v>
      </c>
      <c r="BR227" s="12">
        <v>0</v>
      </c>
      <c r="BS227" s="12">
        <v>0</v>
      </c>
      <c r="BT227" s="12">
        <v>0</v>
      </c>
      <c r="BU227" s="12">
        <v>0</v>
      </c>
      <c r="BV227" s="12">
        <v>0</v>
      </c>
      <c r="BW227" s="12">
        <v>0</v>
      </c>
      <c r="BX227" s="12">
        <v>0</v>
      </c>
      <c r="BY227" s="12">
        <v>0</v>
      </c>
      <c r="BZ227" s="12">
        <v>0</v>
      </c>
      <c r="CA227" s="12">
        <v>0</v>
      </c>
    </row>
    <row r="228" spans="1:79" hidden="1" x14ac:dyDescent="0.2">
      <c r="A228" s="12" t="s">
        <v>127</v>
      </c>
      <c r="B228" s="12" t="s">
        <v>131</v>
      </c>
      <c r="C228" s="12" t="s">
        <v>131</v>
      </c>
      <c r="D228" s="22" t="s">
        <v>480</v>
      </c>
      <c r="E228" s="22" t="s">
        <v>173</v>
      </c>
      <c r="F228" s="22" t="s">
        <v>954</v>
      </c>
      <c r="G228" s="22" t="s">
        <v>955</v>
      </c>
      <c r="H228" s="22" t="s">
        <v>166</v>
      </c>
      <c r="I228" s="22" t="s">
        <v>343</v>
      </c>
      <c r="J228" s="22" t="s">
        <v>162</v>
      </c>
      <c r="K228" s="22" t="s">
        <v>89</v>
      </c>
      <c r="L228" s="54" t="s">
        <v>153</v>
      </c>
      <c r="M228" s="33" t="s">
        <v>475</v>
      </c>
      <c r="N228" s="24" t="s">
        <v>153</v>
      </c>
      <c r="O228" s="33" t="s">
        <v>475</v>
      </c>
      <c r="P228" s="33" t="s">
        <v>475</v>
      </c>
      <c r="Q228" s="33" t="s">
        <v>475</v>
      </c>
      <c r="R228" s="33" t="s">
        <v>475</v>
      </c>
      <c r="S228" s="33" t="s">
        <v>475</v>
      </c>
      <c r="T228" s="33" t="s">
        <v>475</v>
      </c>
      <c r="U228" s="24" t="s">
        <v>153</v>
      </c>
      <c r="V228" s="54" t="s">
        <v>153</v>
      </c>
      <c r="W228" s="33" t="s">
        <v>475</v>
      </c>
      <c r="X228" s="33" t="s">
        <v>475</v>
      </c>
      <c r="Y228" s="33" t="s">
        <v>475</v>
      </c>
      <c r="Z228" s="33" t="s">
        <v>475</v>
      </c>
      <c r="AA228" s="33" t="s">
        <v>475</v>
      </c>
      <c r="AB228" s="24" t="s">
        <v>153</v>
      </c>
      <c r="AC228" s="33" t="s">
        <v>475</v>
      </c>
      <c r="AD228" s="33" t="s">
        <v>475</v>
      </c>
      <c r="AE228" s="33" t="s">
        <v>475</v>
      </c>
      <c r="AF228" s="33" t="s">
        <v>475</v>
      </c>
      <c r="AG228" s="33" t="s">
        <v>475</v>
      </c>
      <c r="AH228" s="33" t="s">
        <v>475</v>
      </c>
      <c r="AI228" s="24" t="s">
        <v>153</v>
      </c>
      <c r="AJ228" s="33" t="s">
        <v>475</v>
      </c>
      <c r="AK228" s="33" t="s">
        <v>475</v>
      </c>
      <c r="AL228" s="33" t="s">
        <v>475</v>
      </c>
      <c r="AM228" s="33" t="s">
        <v>475</v>
      </c>
      <c r="AN228" s="33" t="s">
        <v>475</v>
      </c>
      <c r="AO228" s="33" t="s">
        <v>475</v>
      </c>
      <c r="AP228" s="23">
        <f>VALUE(0)</f>
        <v>0</v>
      </c>
      <c r="AQ228" s="23">
        <f>VALUE(0)</f>
        <v>0</v>
      </c>
      <c r="AR228" s="23">
        <f>VALUE(0)</f>
        <v>0</v>
      </c>
      <c r="AS228" s="23">
        <f>VALUE(0)</f>
        <v>0</v>
      </c>
      <c r="AT228" s="23">
        <f>VALUE(0)</f>
        <v>0</v>
      </c>
      <c r="AU228" s="23">
        <f>VALUE(0)</f>
        <v>0</v>
      </c>
      <c r="AV228" s="23">
        <f>VALUE(2.5)</f>
        <v>2.5</v>
      </c>
      <c r="AW228" s="23">
        <f>VALUE(0)</f>
        <v>0</v>
      </c>
      <c r="AX228" s="23" t="s">
        <v>290</v>
      </c>
      <c r="AY228" s="23">
        <f>VALUE(0)</f>
        <v>0</v>
      </c>
      <c r="AZ228" s="23">
        <f>VALUE(0)</f>
        <v>0</v>
      </c>
      <c r="BA228" s="23">
        <f>VALUE(0)</f>
        <v>0</v>
      </c>
      <c r="BB228" s="23">
        <f>VALUE(0)</f>
        <v>0</v>
      </c>
      <c r="BC228" s="23">
        <f>VALUE(0)</f>
        <v>0</v>
      </c>
      <c r="BD228" s="23">
        <f>VALUE(0)</f>
        <v>0</v>
      </c>
      <c r="BE228" s="23">
        <f>VALUE(0)</f>
        <v>0</v>
      </c>
      <c r="BF228" s="23">
        <f>VALUE(0)</f>
        <v>0</v>
      </c>
      <c r="BG228" s="23">
        <f>VALUE(0)</f>
        <v>0</v>
      </c>
      <c r="BH228" s="23">
        <f>VALUE(0)</f>
        <v>0</v>
      </c>
      <c r="BI228" s="23">
        <f>VALUE(0)</f>
        <v>0</v>
      </c>
      <c r="BJ228" s="23">
        <f>VALUE(0)</f>
        <v>0</v>
      </c>
      <c r="BK228" s="12">
        <f>$AX$228*24</f>
        <v>4.4000000000000004</v>
      </c>
      <c r="BL228" s="12">
        <f>$AY$228*24</f>
        <v>0</v>
      </c>
      <c r="BM228" s="12">
        <f>$BJ$228*24</f>
        <v>0</v>
      </c>
      <c r="BN228" s="12">
        <f>VALUE($I$228)/100</f>
        <v>0.7</v>
      </c>
      <c r="BO228" s="12">
        <v>0</v>
      </c>
      <c r="BP228" s="12">
        <v>0</v>
      </c>
      <c r="BQ228" s="12">
        <v>0</v>
      </c>
      <c r="BR228" s="12">
        <v>0</v>
      </c>
      <c r="BS228" s="12">
        <v>0</v>
      </c>
      <c r="BT228" s="12">
        <v>0</v>
      </c>
      <c r="BU228" s="12">
        <v>0</v>
      </c>
      <c r="BV228" s="12">
        <v>0</v>
      </c>
      <c r="BW228" s="12">
        <v>0</v>
      </c>
      <c r="BX228" s="12">
        <v>0</v>
      </c>
      <c r="BY228" s="12">
        <v>0</v>
      </c>
      <c r="BZ228" s="12">
        <v>0</v>
      </c>
      <c r="CA228" s="12">
        <v>0</v>
      </c>
    </row>
    <row r="229" spans="1:79" hidden="1" x14ac:dyDescent="0.2">
      <c r="A229" s="12" t="s">
        <v>127</v>
      </c>
      <c r="B229" s="12" t="s">
        <v>131</v>
      </c>
      <c r="C229" s="12" t="s">
        <v>131</v>
      </c>
      <c r="D229" s="22" t="s">
        <v>480</v>
      </c>
      <c r="E229" s="22" t="s">
        <v>173</v>
      </c>
      <c r="F229" s="22" t="s">
        <v>956</v>
      </c>
      <c r="G229" s="22" t="s">
        <v>957</v>
      </c>
      <c r="H229" s="22" t="s">
        <v>166</v>
      </c>
      <c r="I229" s="22" t="s">
        <v>343</v>
      </c>
      <c r="J229" s="22" t="s">
        <v>162</v>
      </c>
      <c r="K229" s="22" t="s">
        <v>89</v>
      </c>
      <c r="L229" s="54" t="s">
        <v>153</v>
      </c>
      <c r="M229" s="24" t="s">
        <v>156</v>
      </c>
      <c r="N229" s="24" t="s">
        <v>153</v>
      </c>
      <c r="O229" s="24" t="s">
        <v>156</v>
      </c>
      <c r="P229" s="23" t="s">
        <v>153</v>
      </c>
      <c r="Q229" s="23" t="s">
        <v>153</v>
      </c>
      <c r="R229" s="23" t="s">
        <v>153</v>
      </c>
      <c r="S229" s="23" t="s">
        <v>153</v>
      </c>
      <c r="T229" s="23" t="s">
        <v>153</v>
      </c>
      <c r="U229" s="24" t="s">
        <v>153</v>
      </c>
      <c r="V229" s="54" t="s">
        <v>153</v>
      </c>
      <c r="W229" s="23" t="s">
        <v>153</v>
      </c>
      <c r="X229" s="23" t="s">
        <v>153</v>
      </c>
      <c r="Y229" s="23" t="s">
        <v>153</v>
      </c>
      <c r="Z229" s="23" t="s">
        <v>153</v>
      </c>
      <c r="AA229" s="24" t="s">
        <v>156</v>
      </c>
      <c r="AB229" s="24" t="s">
        <v>153</v>
      </c>
      <c r="AC229" s="24" t="s">
        <v>156</v>
      </c>
      <c r="AD229" s="23" t="s">
        <v>153</v>
      </c>
      <c r="AE229" s="23" t="s">
        <v>153</v>
      </c>
      <c r="AF229" s="23" t="s">
        <v>153</v>
      </c>
      <c r="AG229" s="23" t="s">
        <v>153</v>
      </c>
      <c r="AH229" s="23" t="s">
        <v>153</v>
      </c>
      <c r="AI229" s="24" t="s">
        <v>153</v>
      </c>
      <c r="AJ229" s="23" t="s">
        <v>153</v>
      </c>
      <c r="AK229" s="23" t="s">
        <v>153</v>
      </c>
      <c r="AL229" s="23" t="s">
        <v>153</v>
      </c>
      <c r="AM229" s="23" t="s">
        <v>153</v>
      </c>
      <c r="AN229" s="23" t="s">
        <v>153</v>
      </c>
      <c r="AO229" s="24" t="s">
        <v>156</v>
      </c>
      <c r="AP229" s="23">
        <f>VALUE(0)</f>
        <v>0</v>
      </c>
      <c r="AQ229" s="23">
        <f>VALUE(0)</f>
        <v>0</v>
      </c>
      <c r="AR229" s="23">
        <f>VALUE(0)</f>
        <v>0</v>
      </c>
      <c r="AS229" s="23">
        <f>VALUE(0)</f>
        <v>0</v>
      </c>
      <c r="AT229" s="23">
        <f>VALUE(0)</f>
        <v>0</v>
      </c>
      <c r="AU229" s="23">
        <f>VALUE(0)</f>
        <v>0</v>
      </c>
      <c r="AV229" s="23">
        <f>VALUE(0)</f>
        <v>0</v>
      </c>
      <c r="AW229" s="23">
        <f>VALUE(0)</f>
        <v>0</v>
      </c>
      <c r="AX229" s="23" t="s">
        <v>487</v>
      </c>
      <c r="AY229" s="23">
        <f>VALUE(0)</f>
        <v>0</v>
      </c>
      <c r="AZ229" s="23">
        <f>VALUE(0)</f>
        <v>0</v>
      </c>
      <c r="BA229" s="23">
        <f>VALUE(0)</f>
        <v>0</v>
      </c>
      <c r="BB229" s="23">
        <f>VALUE(0)</f>
        <v>0</v>
      </c>
      <c r="BC229" s="23">
        <f>VALUE(0)</f>
        <v>0</v>
      </c>
      <c r="BD229" s="23">
        <f>VALUE(0)</f>
        <v>0</v>
      </c>
      <c r="BE229" s="23">
        <f>VALUE(0)</f>
        <v>0</v>
      </c>
      <c r="BF229" s="23">
        <f>VALUE(0)</f>
        <v>0</v>
      </c>
      <c r="BG229" s="23">
        <f>VALUE(0)</f>
        <v>0</v>
      </c>
      <c r="BH229" s="23">
        <f>VALUE(0)</f>
        <v>0</v>
      </c>
      <c r="BI229" s="23">
        <f>VALUE(0)</f>
        <v>0</v>
      </c>
      <c r="BJ229" s="23">
        <f>VALUE(0)</f>
        <v>0</v>
      </c>
      <c r="BK229" s="12">
        <f>$AX$229*24</f>
        <v>4.083333333333333</v>
      </c>
      <c r="BL229" s="12">
        <f>$AY$229*24</f>
        <v>0</v>
      </c>
      <c r="BM229" s="12">
        <f>$BJ$229*24</f>
        <v>0</v>
      </c>
      <c r="BN229" s="12">
        <f>VALUE($I$229)/100</f>
        <v>0.7</v>
      </c>
      <c r="BO229" s="12">
        <v>0</v>
      </c>
      <c r="BP229" s="12">
        <v>0</v>
      </c>
      <c r="BQ229" s="12">
        <v>0</v>
      </c>
      <c r="BR229" s="12">
        <v>0</v>
      </c>
      <c r="BS229" s="12">
        <v>0</v>
      </c>
      <c r="BT229" s="12">
        <v>0</v>
      </c>
      <c r="BU229" s="12">
        <v>0</v>
      </c>
      <c r="BV229" s="12">
        <v>0</v>
      </c>
      <c r="BW229" s="12">
        <v>0</v>
      </c>
      <c r="BX229" s="12">
        <v>0</v>
      </c>
      <c r="BY229" s="12">
        <v>0</v>
      </c>
      <c r="BZ229" s="12">
        <v>0</v>
      </c>
      <c r="CA229" s="12">
        <v>0</v>
      </c>
    </row>
    <row r="230" spans="1:79" hidden="1" x14ac:dyDescent="0.2">
      <c r="A230" s="12" t="s">
        <v>127</v>
      </c>
      <c r="B230" s="12" t="s">
        <v>131</v>
      </c>
      <c r="C230" s="12" t="s">
        <v>131</v>
      </c>
      <c r="D230" s="22" t="s">
        <v>480</v>
      </c>
      <c r="E230" s="22" t="s">
        <v>173</v>
      </c>
      <c r="F230" s="22" t="s">
        <v>958</v>
      </c>
      <c r="G230" s="22" t="s">
        <v>959</v>
      </c>
      <c r="H230" s="22" t="s">
        <v>150</v>
      </c>
      <c r="I230" s="22" t="s">
        <v>343</v>
      </c>
      <c r="J230" s="22" t="s">
        <v>162</v>
      </c>
      <c r="K230" s="22" t="s">
        <v>89</v>
      </c>
      <c r="L230" s="54" t="s">
        <v>153</v>
      </c>
      <c r="M230" s="33" t="s">
        <v>475</v>
      </c>
      <c r="N230" s="24" t="s">
        <v>153</v>
      </c>
      <c r="O230" s="33" t="s">
        <v>475</v>
      </c>
      <c r="P230" s="33" t="s">
        <v>475</v>
      </c>
      <c r="Q230" s="33" t="s">
        <v>475</v>
      </c>
      <c r="R230" s="33" t="s">
        <v>475</v>
      </c>
      <c r="S230" s="33" t="s">
        <v>475</v>
      </c>
      <c r="T230" s="33" t="s">
        <v>475</v>
      </c>
      <c r="U230" s="24" t="s">
        <v>153</v>
      </c>
      <c r="V230" s="54" t="s">
        <v>153</v>
      </c>
      <c r="W230" s="33" t="s">
        <v>475</v>
      </c>
      <c r="X230" s="33" t="s">
        <v>475</v>
      </c>
      <c r="Y230" s="33" t="s">
        <v>475</v>
      </c>
      <c r="Z230" s="33" t="s">
        <v>475</v>
      </c>
      <c r="AA230" s="33" t="s">
        <v>475</v>
      </c>
      <c r="AB230" s="24" t="s">
        <v>153</v>
      </c>
      <c r="AC230" s="33" t="s">
        <v>475</v>
      </c>
      <c r="AD230" s="33" t="s">
        <v>475</v>
      </c>
      <c r="AE230" s="33" t="s">
        <v>475</v>
      </c>
      <c r="AF230" s="33" t="s">
        <v>475</v>
      </c>
      <c r="AG230" s="33" t="s">
        <v>475</v>
      </c>
      <c r="AH230" s="33" t="s">
        <v>475</v>
      </c>
      <c r="AI230" s="24" t="s">
        <v>153</v>
      </c>
      <c r="AJ230" s="33" t="s">
        <v>475</v>
      </c>
      <c r="AK230" s="33" t="s">
        <v>475</v>
      </c>
      <c r="AL230" s="33" t="s">
        <v>475</v>
      </c>
      <c r="AM230" s="33" t="s">
        <v>475</v>
      </c>
      <c r="AN230" s="33" t="s">
        <v>475</v>
      </c>
      <c r="AO230" s="33" t="s">
        <v>475</v>
      </c>
      <c r="AP230" s="23">
        <f>VALUE(0)</f>
        <v>0</v>
      </c>
      <c r="AQ230" s="23">
        <f>VALUE(0)</f>
        <v>0</v>
      </c>
      <c r="AR230" s="23">
        <f>VALUE(0)</f>
        <v>0</v>
      </c>
      <c r="AS230" s="23">
        <f>VALUE(0)</f>
        <v>0</v>
      </c>
      <c r="AT230" s="23">
        <f>VALUE(0)</f>
        <v>0</v>
      </c>
      <c r="AU230" s="23">
        <f>VALUE(0)</f>
        <v>0</v>
      </c>
      <c r="AV230" s="23">
        <f>VALUE(0)</f>
        <v>0</v>
      </c>
      <c r="AW230" s="23">
        <f>VALUE(0)</f>
        <v>0</v>
      </c>
      <c r="AX230" s="23" t="s">
        <v>487</v>
      </c>
      <c r="AY230" s="23">
        <f>VALUE(0)</f>
        <v>0</v>
      </c>
      <c r="AZ230" s="23">
        <f>VALUE(0)</f>
        <v>0</v>
      </c>
      <c r="BA230" s="23">
        <f>VALUE(0)</f>
        <v>0</v>
      </c>
      <c r="BB230" s="23">
        <f>VALUE(0)</f>
        <v>0</v>
      </c>
      <c r="BC230" s="23">
        <f>VALUE(0)</f>
        <v>0</v>
      </c>
      <c r="BD230" s="23">
        <f>VALUE(0)</f>
        <v>0</v>
      </c>
      <c r="BE230" s="23">
        <f>VALUE(0)</f>
        <v>0</v>
      </c>
      <c r="BF230" s="23">
        <f>VALUE(0)</f>
        <v>0</v>
      </c>
      <c r="BG230" s="23">
        <f>VALUE(0)</f>
        <v>0</v>
      </c>
      <c r="BH230" s="23">
        <f>VALUE(0)</f>
        <v>0</v>
      </c>
      <c r="BI230" s="23">
        <f>VALUE(0)</f>
        <v>0</v>
      </c>
      <c r="BJ230" s="23">
        <f>VALUE(0)</f>
        <v>0</v>
      </c>
      <c r="BK230" s="12">
        <f>$AX$230*24</f>
        <v>4.083333333333333</v>
      </c>
      <c r="BL230" s="12">
        <f>$AY$230*24</f>
        <v>0</v>
      </c>
      <c r="BM230" s="12">
        <f>$BJ$230*24</f>
        <v>0</v>
      </c>
      <c r="BN230" s="12">
        <f>VALUE($I$230)/100</f>
        <v>0.7</v>
      </c>
      <c r="BO230" s="12">
        <v>0</v>
      </c>
      <c r="BP230" s="12">
        <v>0</v>
      </c>
      <c r="BQ230" s="12">
        <v>0</v>
      </c>
      <c r="BR230" s="12">
        <v>0</v>
      </c>
      <c r="BS230" s="12">
        <v>0</v>
      </c>
      <c r="BT230" s="12">
        <v>0</v>
      </c>
      <c r="BU230" s="12">
        <v>0</v>
      </c>
      <c r="BV230" s="12">
        <v>0</v>
      </c>
      <c r="BW230" s="12">
        <v>0</v>
      </c>
      <c r="BX230" s="12">
        <v>0</v>
      </c>
      <c r="BY230" s="12">
        <v>0</v>
      </c>
      <c r="BZ230" s="12">
        <v>0</v>
      </c>
      <c r="CA230" s="12">
        <v>0</v>
      </c>
    </row>
    <row r="231" spans="1:79" hidden="1" x14ac:dyDescent="0.2">
      <c r="A231" s="12" t="s">
        <v>127</v>
      </c>
      <c r="B231" s="12" t="s">
        <v>131</v>
      </c>
      <c r="C231" s="12" t="s">
        <v>131</v>
      </c>
      <c r="D231" s="22" t="s">
        <v>480</v>
      </c>
      <c r="E231" s="22" t="s">
        <v>173</v>
      </c>
      <c r="F231" s="22" t="s">
        <v>960</v>
      </c>
      <c r="G231" s="22" t="s">
        <v>961</v>
      </c>
      <c r="H231" s="22" t="s">
        <v>166</v>
      </c>
      <c r="I231" s="22" t="s">
        <v>343</v>
      </c>
      <c r="J231" s="22" t="s">
        <v>181</v>
      </c>
      <c r="K231" s="22" t="s">
        <v>89</v>
      </c>
      <c r="L231" s="54" t="s">
        <v>153</v>
      </c>
      <c r="M231" s="33" t="s">
        <v>475</v>
      </c>
      <c r="N231" s="24" t="s">
        <v>153</v>
      </c>
      <c r="O231" s="33" t="s">
        <v>475</v>
      </c>
      <c r="P231" s="33" t="s">
        <v>475</v>
      </c>
      <c r="Q231" s="33" t="s">
        <v>475</v>
      </c>
      <c r="R231" s="33" t="s">
        <v>475</v>
      </c>
      <c r="S231" s="33" t="s">
        <v>475</v>
      </c>
      <c r="T231" s="33" t="s">
        <v>475</v>
      </c>
      <c r="U231" s="24" t="s">
        <v>153</v>
      </c>
      <c r="V231" s="54" t="s">
        <v>153</v>
      </c>
      <c r="W231" s="33" t="s">
        <v>475</v>
      </c>
      <c r="X231" s="33" t="s">
        <v>475</v>
      </c>
      <c r="Y231" s="33" t="s">
        <v>475</v>
      </c>
      <c r="Z231" s="33" t="s">
        <v>475</v>
      </c>
      <c r="AA231" s="33" t="s">
        <v>475</v>
      </c>
      <c r="AB231" s="24" t="s">
        <v>153</v>
      </c>
      <c r="AC231" s="33" t="s">
        <v>475</v>
      </c>
      <c r="AD231" s="33" t="s">
        <v>475</v>
      </c>
      <c r="AE231" s="33" t="s">
        <v>475</v>
      </c>
      <c r="AF231" s="33" t="s">
        <v>475</v>
      </c>
      <c r="AG231" s="33" t="s">
        <v>475</v>
      </c>
      <c r="AH231" s="33" t="s">
        <v>475</v>
      </c>
      <c r="AI231" s="24" t="s">
        <v>153</v>
      </c>
      <c r="AJ231" s="33" t="s">
        <v>475</v>
      </c>
      <c r="AK231" s="33" t="s">
        <v>475</v>
      </c>
      <c r="AL231" s="33" t="s">
        <v>475</v>
      </c>
      <c r="AM231" s="33" t="s">
        <v>475</v>
      </c>
      <c r="AN231" s="33" t="s">
        <v>475</v>
      </c>
      <c r="AO231" s="33" t="s">
        <v>475</v>
      </c>
      <c r="AP231" s="23">
        <f>VALUE(0)</f>
        <v>0</v>
      </c>
      <c r="AQ231" s="23">
        <f>VALUE(0)</f>
        <v>0</v>
      </c>
      <c r="AR231" s="23">
        <f>VALUE(0)</f>
        <v>0</v>
      </c>
      <c r="AS231" s="23">
        <f>VALUE(0)</f>
        <v>0</v>
      </c>
      <c r="AT231" s="23">
        <f>VALUE(0)</f>
        <v>0</v>
      </c>
      <c r="AU231" s="23">
        <f>VALUE(0)</f>
        <v>0</v>
      </c>
      <c r="AV231" s="23">
        <f>VALUE(1.5)</f>
        <v>1.5</v>
      </c>
      <c r="AW231" s="23">
        <f>VALUE(0)</f>
        <v>0</v>
      </c>
      <c r="AX231" s="23" t="s">
        <v>171</v>
      </c>
      <c r="AY231" s="23">
        <f>VALUE(0)</f>
        <v>0</v>
      </c>
      <c r="AZ231" s="23">
        <f>VALUE(0)</f>
        <v>0</v>
      </c>
      <c r="BA231" s="23">
        <f>VALUE(0)</f>
        <v>0</v>
      </c>
      <c r="BB231" s="23">
        <f>VALUE(0)</f>
        <v>0</v>
      </c>
      <c r="BC231" s="23">
        <f>VALUE(0)</f>
        <v>0</v>
      </c>
      <c r="BD231" s="23">
        <f>VALUE(0)</f>
        <v>0</v>
      </c>
      <c r="BE231" s="23">
        <f>VALUE(0)</f>
        <v>0</v>
      </c>
      <c r="BF231" s="23">
        <f>VALUE(0)</f>
        <v>0</v>
      </c>
      <c r="BG231" s="23">
        <f>VALUE(0)</f>
        <v>0</v>
      </c>
      <c r="BH231" s="23">
        <f>VALUE(0)</f>
        <v>0</v>
      </c>
      <c r="BI231" s="23">
        <f>VALUE(0)</f>
        <v>0</v>
      </c>
      <c r="BJ231" s="23">
        <f>VALUE(0)</f>
        <v>0</v>
      </c>
      <c r="BK231" s="12">
        <f>$AX$231*24</f>
        <v>5.833333333333333</v>
      </c>
      <c r="BL231" s="12">
        <f>$AY$231*24</f>
        <v>0</v>
      </c>
      <c r="BM231" s="12">
        <f>$BJ$231*24</f>
        <v>0</v>
      </c>
      <c r="BN231" s="12">
        <f>VALUE($I$231)/100</f>
        <v>0.7</v>
      </c>
      <c r="BO231" s="12">
        <v>0</v>
      </c>
      <c r="BP231" s="12">
        <v>0</v>
      </c>
      <c r="BQ231" s="12">
        <v>0</v>
      </c>
      <c r="BR231" s="12">
        <v>0</v>
      </c>
      <c r="BS231" s="12">
        <v>0</v>
      </c>
      <c r="BT231" s="12">
        <v>0</v>
      </c>
      <c r="BU231" s="12">
        <v>0</v>
      </c>
      <c r="BV231" s="12">
        <v>0</v>
      </c>
      <c r="BW231" s="12">
        <v>0</v>
      </c>
      <c r="BX231" s="12">
        <v>0</v>
      </c>
      <c r="BY231" s="12">
        <v>0</v>
      </c>
      <c r="BZ231" s="12">
        <v>0</v>
      </c>
      <c r="CA231" s="12">
        <v>0</v>
      </c>
    </row>
    <row r="232" spans="1:79" ht="15" hidden="1" x14ac:dyDescent="0.25">
      <c r="A232" s="12" t="s">
        <v>127</v>
      </c>
      <c r="B232" s="12" t="s">
        <v>131</v>
      </c>
      <c r="C232" s="12" t="s">
        <v>131</v>
      </c>
      <c r="D232" s="31" t="s">
        <v>1248</v>
      </c>
      <c r="E232" s="31" t="s">
        <v>153</v>
      </c>
      <c r="F232" s="31" t="s">
        <v>175</v>
      </c>
      <c r="G232" s="31" t="s">
        <v>153</v>
      </c>
      <c r="H232" s="31" t="s">
        <v>153</v>
      </c>
      <c r="I232" s="31" t="s">
        <v>153</v>
      </c>
      <c r="J232" s="31" t="s">
        <v>153</v>
      </c>
      <c r="K232" s="31" t="s">
        <v>153</v>
      </c>
      <c r="L232" s="31">
        <f>VALUE(0)</f>
        <v>0</v>
      </c>
      <c r="M232" s="31">
        <f>VALUE(0)</f>
        <v>0</v>
      </c>
      <c r="N232" s="31">
        <f>VALUE(0)</f>
        <v>0</v>
      </c>
      <c r="O232" s="31">
        <f>VALUE(0)</f>
        <v>0</v>
      </c>
      <c r="P232" s="31">
        <f>VALUE(1)</f>
        <v>1</v>
      </c>
      <c r="Q232" s="31">
        <f>VALUE(1)</f>
        <v>1</v>
      </c>
      <c r="R232" s="31">
        <f>VALUE(1)</f>
        <v>1</v>
      </c>
      <c r="S232" s="31">
        <f>VALUE(1)</f>
        <v>1</v>
      </c>
      <c r="T232" s="31">
        <f>VALUE(1)</f>
        <v>1</v>
      </c>
      <c r="U232" s="31">
        <f>VALUE(0)</f>
        <v>0</v>
      </c>
      <c r="V232" s="31">
        <f>VALUE(0)</f>
        <v>0</v>
      </c>
      <c r="W232" s="31">
        <f>VALUE(1)</f>
        <v>1</v>
      </c>
      <c r="X232" s="31">
        <f>VALUE(1)</f>
        <v>1</v>
      </c>
      <c r="Y232" s="31">
        <f>VALUE(1)</f>
        <v>1</v>
      </c>
      <c r="Z232" s="31">
        <f>VALUE(1)</f>
        <v>1</v>
      </c>
      <c r="AA232" s="31">
        <f>VALUE(0)</f>
        <v>0</v>
      </c>
      <c r="AB232" s="31">
        <f>VALUE(0)</f>
        <v>0</v>
      </c>
      <c r="AC232" s="31">
        <f>VALUE(0)</f>
        <v>0</v>
      </c>
      <c r="AD232" s="31">
        <f>VALUE(1)</f>
        <v>1</v>
      </c>
      <c r="AE232" s="31">
        <f>VALUE(1)</f>
        <v>1</v>
      </c>
      <c r="AF232" s="31">
        <f>VALUE(1)</f>
        <v>1</v>
      </c>
      <c r="AG232" s="31">
        <f>VALUE(1)</f>
        <v>1</v>
      </c>
      <c r="AH232" s="31">
        <f>VALUE(1)</f>
        <v>1</v>
      </c>
      <c r="AI232" s="31">
        <f>VALUE(0)</f>
        <v>0</v>
      </c>
      <c r="AJ232" s="31">
        <f>VALUE(1)</f>
        <v>1</v>
      </c>
      <c r="AK232" s="31">
        <f>VALUE(1)</f>
        <v>1</v>
      </c>
      <c r="AL232" s="31">
        <f>VALUE(1)</f>
        <v>1</v>
      </c>
      <c r="AM232" s="31">
        <f>VALUE(1)</f>
        <v>1</v>
      </c>
      <c r="AN232" s="31">
        <f>VALUE(1)</f>
        <v>1</v>
      </c>
      <c r="AO232" s="31">
        <f>VALUE(0)</f>
        <v>0</v>
      </c>
      <c r="AP232" s="31">
        <v>0</v>
      </c>
      <c r="AQ232" s="31">
        <v>0</v>
      </c>
      <c r="AR232" s="31">
        <v>0</v>
      </c>
      <c r="AS232" s="31">
        <v>0</v>
      </c>
      <c r="AT232" s="31">
        <v>0</v>
      </c>
      <c r="AU232" s="31">
        <v>0</v>
      </c>
      <c r="AV232" s="31">
        <v>0</v>
      </c>
      <c r="AW232" s="31">
        <v>0</v>
      </c>
      <c r="AX232" s="31">
        <v>0</v>
      </c>
      <c r="AY232" s="31">
        <v>0</v>
      </c>
      <c r="AZ232" s="31">
        <v>0</v>
      </c>
      <c r="BA232" s="31">
        <v>0</v>
      </c>
      <c r="BB232" s="31">
        <v>0</v>
      </c>
      <c r="BC232" s="31">
        <v>0</v>
      </c>
      <c r="BD232" s="31">
        <v>0</v>
      </c>
      <c r="BE232" s="31">
        <v>0</v>
      </c>
      <c r="BF232" s="31">
        <v>0</v>
      </c>
      <c r="BG232" s="31">
        <v>0</v>
      </c>
      <c r="BH232" s="31">
        <v>0</v>
      </c>
      <c r="BI232" s="31">
        <v>0</v>
      </c>
      <c r="BJ232" s="31">
        <v>0</v>
      </c>
      <c r="BK232" s="12">
        <v>0</v>
      </c>
      <c r="BL232" s="12">
        <v>0</v>
      </c>
      <c r="BM232" s="12">
        <v>0</v>
      </c>
      <c r="BN232" s="12"/>
      <c r="BO232" s="12">
        <v>0</v>
      </c>
      <c r="BP232" s="12">
        <v>0</v>
      </c>
      <c r="BQ232" s="12">
        <v>0</v>
      </c>
      <c r="BR232" s="12">
        <v>0</v>
      </c>
      <c r="BS232" s="12">
        <v>0</v>
      </c>
      <c r="BT232" s="12">
        <v>0</v>
      </c>
      <c r="BU232" s="12">
        <v>0</v>
      </c>
      <c r="BV232" s="12">
        <v>0</v>
      </c>
      <c r="BW232" s="12">
        <v>0</v>
      </c>
      <c r="BX232" s="12">
        <v>0</v>
      </c>
      <c r="BY232" s="12">
        <v>0</v>
      </c>
      <c r="BZ232" s="12">
        <v>0</v>
      </c>
      <c r="CA232" s="12">
        <v>0</v>
      </c>
    </row>
    <row r="233" spans="1:79" ht="15" hidden="1" x14ac:dyDescent="0.25">
      <c r="A233" s="12" t="s">
        <v>132</v>
      </c>
      <c r="B233" s="12" t="s">
        <v>133</v>
      </c>
      <c r="C233" s="12" t="s">
        <v>133</v>
      </c>
      <c r="D233" s="31" t="s">
        <v>488</v>
      </c>
      <c r="E233" s="31" t="s">
        <v>153</v>
      </c>
      <c r="F233" s="31" t="s">
        <v>175</v>
      </c>
      <c r="G233" s="31" t="s">
        <v>153</v>
      </c>
      <c r="H233" s="31" t="s">
        <v>153</v>
      </c>
      <c r="I233" s="31" t="s">
        <v>153</v>
      </c>
      <c r="J233" s="31" t="s">
        <v>153</v>
      </c>
      <c r="K233" s="31" t="s">
        <v>153</v>
      </c>
      <c r="L233" s="31">
        <f>VALUE(0)</f>
        <v>0</v>
      </c>
      <c r="M233" s="31">
        <f>VALUE(0)</f>
        <v>0</v>
      </c>
      <c r="N233" s="31">
        <f>VALUE(0)</f>
        <v>0</v>
      </c>
      <c r="O233" s="31">
        <f>VALUE(0)</f>
        <v>0</v>
      </c>
      <c r="P233" s="31">
        <f>VALUE(0)</f>
        <v>0</v>
      </c>
      <c r="Q233" s="31">
        <f>VALUE(0)</f>
        <v>0</v>
      </c>
      <c r="R233" s="31">
        <f>VALUE(0)</f>
        <v>0</v>
      </c>
      <c r="S233" s="31">
        <f>VALUE(0)</f>
        <v>0</v>
      </c>
      <c r="T233" s="31">
        <f>VALUE(0)</f>
        <v>0</v>
      </c>
      <c r="U233" s="31">
        <f>VALUE(0)</f>
        <v>0</v>
      </c>
      <c r="V233" s="31">
        <f>VALUE(0)</f>
        <v>0</v>
      </c>
      <c r="W233" s="31">
        <f>VALUE(0)</f>
        <v>0</v>
      </c>
      <c r="X233" s="31">
        <f>VALUE(0)</f>
        <v>0</v>
      </c>
      <c r="Y233" s="31">
        <f>VALUE(0)</f>
        <v>0</v>
      </c>
      <c r="Z233" s="31">
        <f>VALUE(0)</f>
        <v>0</v>
      </c>
      <c r="AA233" s="31">
        <f>VALUE(0)</f>
        <v>0</v>
      </c>
      <c r="AB233" s="31">
        <f>VALUE(0)</f>
        <v>0</v>
      </c>
      <c r="AC233" s="31">
        <f>VALUE(0)</f>
        <v>0</v>
      </c>
      <c r="AD233" s="31">
        <f>VALUE(0)</f>
        <v>0</v>
      </c>
      <c r="AE233" s="31">
        <f>VALUE(0)</f>
        <v>0</v>
      </c>
      <c r="AF233" s="31">
        <f>VALUE(0)</f>
        <v>0</v>
      </c>
      <c r="AG233" s="31">
        <f>VALUE(0)</f>
        <v>0</v>
      </c>
      <c r="AH233" s="31">
        <f>VALUE(0)</f>
        <v>0</v>
      </c>
      <c r="AI233" s="31">
        <f>VALUE(0)</f>
        <v>0</v>
      </c>
      <c r="AJ233" s="31">
        <f>VALUE(0)</f>
        <v>0</v>
      </c>
      <c r="AK233" s="31">
        <f>VALUE(0)</f>
        <v>0</v>
      </c>
      <c r="AL233" s="31">
        <f>VALUE(0)</f>
        <v>0</v>
      </c>
      <c r="AM233" s="31">
        <f>VALUE(0)</f>
        <v>0</v>
      </c>
      <c r="AN233" s="31">
        <f>VALUE(0)</f>
        <v>0</v>
      </c>
      <c r="AO233" s="31">
        <f>VALUE(0)</f>
        <v>0</v>
      </c>
      <c r="AP233" s="31">
        <v>0</v>
      </c>
      <c r="AQ233" s="31">
        <v>0</v>
      </c>
      <c r="AR233" s="31">
        <v>0</v>
      </c>
      <c r="AS233" s="31">
        <v>0</v>
      </c>
      <c r="AT233" s="31">
        <v>0</v>
      </c>
      <c r="AU233" s="31">
        <v>0</v>
      </c>
      <c r="AV233" s="31">
        <v>0</v>
      </c>
      <c r="AW233" s="31">
        <v>0</v>
      </c>
      <c r="AX233" s="31">
        <v>0</v>
      </c>
      <c r="AY233" s="31">
        <v>0</v>
      </c>
      <c r="AZ233" s="31">
        <v>0</v>
      </c>
      <c r="BA233" s="31">
        <v>0</v>
      </c>
      <c r="BB233" s="31">
        <v>0</v>
      </c>
      <c r="BC233" s="31">
        <v>0</v>
      </c>
      <c r="BD233" s="31">
        <v>0</v>
      </c>
      <c r="BE233" s="31">
        <v>0</v>
      </c>
      <c r="BF233" s="31">
        <v>0</v>
      </c>
      <c r="BG233" s="31">
        <v>0</v>
      </c>
      <c r="BH233" s="31">
        <v>0</v>
      </c>
      <c r="BI233" s="31">
        <v>0</v>
      </c>
      <c r="BJ233" s="31">
        <v>0</v>
      </c>
      <c r="BK233" s="12">
        <v>0</v>
      </c>
      <c r="BL233" s="12">
        <v>0</v>
      </c>
      <c r="BM233" s="12">
        <v>0</v>
      </c>
      <c r="BN233" s="12"/>
      <c r="BO233" s="12">
        <v>0</v>
      </c>
      <c r="BP233" s="12">
        <v>0</v>
      </c>
      <c r="BQ233" s="12">
        <v>0</v>
      </c>
      <c r="BR233" s="12">
        <v>0</v>
      </c>
      <c r="BS233" s="12">
        <v>0</v>
      </c>
      <c r="BT233" s="12">
        <v>0</v>
      </c>
      <c r="BU233" s="12">
        <v>0</v>
      </c>
      <c r="BV233" s="12">
        <v>0</v>
      </c>
      <c r="BW233" s="12">
        <v>0</v>
      </c>
      <c r="BX233" s="12">
        <v>0</v>
      </c>
      <c r="BY233" s="12">
        <v>0</v>
      </c>
      <c r="BZ233" s="12">
        <v>0</v>
      </c>
      <c r="CA233" s="12">
        <v>0</v>
      </c>
    </row>
    <row r="234" spans="1:79" ht="15" hidden="1" x14ac:dyDescent="0.25">
      <c r="A234" s="12" t="s">
        <v>132</v>
      </c>
      <c r="B234" s="12" t="s">
        <v>134</v>
      </c>
      <c r="C234" s="12" t="s">
        <v>134</v>
      </c>
      <c r="D234" s="31" t="s">
        <v>488</v>
      </c>
      <c r="E234" s="31" t="s">
        <v>153</v>
      </c>
      <c r="F234" s="31" t="s">
        <v>175</v>
      </c>
      <c r="G234" s="31" t="s">
        <v>153</v>
      </c>
      <c r="H234" s="31" t="s">
        <v>153</v>
      </c>
      <c r="I234" s="31" t="s">
        <v>153</v>
      </c>
      <c r="J234" s="31" t="s">
        <v>153</v>
      </c>
      <c r="K234" s="31" t="s">
        <v>153</v>
      </c>
      <c r="L234" s="31">
        <f>VALUE(0)</f>
        <v>0</v>
      </c>
      <c r="M234" s="31">
        <f>VALUE(0)</f>
        <v>0</v>
      </c>
      <c r="N234" s="31">
        <f>VALUE(0)</f>
        <v>0</v>
      </c>
      <c r="O234" s="31">
        <f>VALUE(0)</f>
        <v>0</v>
      </c>
      <c r="P234" s="31">
        <f>VALUE(0)</f>
        <v>0</v>
      </c>
      <c r="Q234" s="31">
        <f>VALUE(0)</f>
        <v>0</v>
      </c>
      <c r="R234" s="31">
        <f>VALUE(0)</f>
        <v>0</v>
      </c>
      <c r="S234" s="31">
        <f>VALUE(0)</f>
        <v>0</v>
      </c>
      <c r="T234" s="31">
        <f>VALUE(0)</f>
        <v>0</v>
      </c>
      <c r="U234" s="31">
        <f>VALUE(0)</f>
        <v>0</v>
      </c>
      <c r="V234" s="31">
        <f>VALUE(0)</f>
        <v>0</v>
      </c>
      <c r="W234" s="31">
        <f>VALUE(0)</f>
        <v>0</v>
      </c>
      <c r="X234" s="31">
        <f>VALUE(0)</f>
        <v>0</v>
      </c>
      <c r="Y234" s="31">
        <f>VALUE(0)</f>
        <v>0</v>
      </c>
      <c r="Z234" s="31">
        <f>VALUE(0)</f>
        <v>0</v>
      </c>
      <c r="AA234" s="31">
        <f>VALUE(0)</f>
        <v>0</v>
      </c>
      <c r="AB234" s="31">
        <f>VALUE(0)</f>
        <v>0</v>
      </c>
      <c r="AC234" s="31">
        <f>VALUE(0)</f>
        <v>0</v>
      </c>
      <c r="AD234" s="31">
        <f>VALUE(0)</f>
        <v>0</v>
      </c>
      <c r="AE234" s="31">
        <f>VALUE(0)</f>
        <v>0</v>
      </c>
      <c r="AF234" s="31">
        <f>VALUE(0)</f>
        <v>0</v>
      </c>
      <c r="AG234" s="31">
        <f>VALUE(0)</f>
        <v>0</v>
      </c>
      <c r="AH234" s="31">
        <f>VALUE(0)</f>
        <v>0</v>
      </c>
      <c r="AI234" s="31">
        <f>VALUE(0)</f>
        <v>0</v>
      </c>
      <c r="AJ234" s="31">
        <f>VALUE(0)</f>
        <v>0</v>
      </c>
      <c r="AK234" s="31">
        <f>VALUE(0)</f>
        <v>0</v>
      </c>
      <c r="AL234" s="31">
        <f>VALUE(0)</f>
        <v>0</v>
      </c>
      <c r="AM234" s="31">
        <f>VALUE(0)</f>
        <v>0</v>
      </c>
      <c r="AN234" s="31">
        <f>VALUE(0)</f>
        <v>0</v>
      </c>
      <c r="AO234" s="31">
        <f>VALUE(0)</f>
        <v>0</v>
      </c>
      <c r="AP234" s="31">
        <v>0</v>
      </c>
      <c r="AQ234" s="31">
        <v>0</v>
      </c>
      <c r="AR234" s="31">
        <v>0</v>
      </c>
      <c r="AS234" s="31">
        <v>0</v>
      </c>
      <c r="AT234" s="31">
        <v>0</v>
      </c>
      <c r="AU234" s="31">
        <v>0</v>
      </c>
      <c r="AV234" s="31">
        <v>0</v>
      </c>
      <c r="AW234" s="31">
        <v>0</v>
      </c>
      <c r="AX234" s="31">
        <v>0</v>
      </c>
      <c r="AY234" s="31">
        <v>0</v>
      </c>
      <c r="AZ234" s="31">
        <v>0</v>
      </c>
      <c r="BA234" s="31">
        <v>0</v>
      </c>
      <c r="BB234" s="31">
        <v>0</v>
      </c>
      <c r="BC234" s="31">
        <v>0</v>
      </c>
      <c r="BD234" s="31">
        <v>0</v>
      </c>
      <c r="BE234" s="31">
        <v>0</v>
      </c>
      <c r="BF234" s="31">
        <v>0</v>
      </c>
      <c r="BG234" s="31">
        <v>0</v>
      </c>
      <c r="BH234" s="31">
        <v>0</v>
      </c>
      <c r="BI234" s="31">
        <v>0</v>
      </c>
      <c r="BJ234" s="31">
        <v>0</v>
      </c>
      <c r="BK234" s="12">
        <v>0</v>
      </c>
      <c r="BL234" s="12">
        <v>0</v>
      </c>
      <c r="BM234" s="12">
        <v>0</v>
      </c>
      <c r="BN234" s="12"/>
      <c r="BO234" s="12">
        <v>0</v>
      </c>
      <c r="BP234" s="12">
        <v>0</v>
      </c>
      <c r="BQ234" s="12">
        <v>0</v>
      </c>
      <c r="BR234" s="12">
        <v>0</v>
      </c>
      <c r="BS234" s="12">
        <v>0</v>
      </c>
      <c r="BT234" s="12">
        <v>0</v>
      </c>
      <c r="BU234" s="12">
        <v>0</v>
      </c>
      <c r="BV234" s="12">
        <v>0</v>
      </c>
      <c r="BW234" s="12">
        <v>0</v>
      </c>
      <c r="BX234" s="12">
        <v>0</v>
      </c>
      <c r="BY234" s="12">
        <v>0</v>
      </c>
      <c r="BZ234" s="12">
        <v>0</v>
      </c>
      <c r="CA234" s="12">
        <v>0</v>
      </c>
    </row>
    <row r="235" spans="1:79" ht="16.5" hidden="1" x14ac:dyDescent="0.2">
      <c r="A235" s="12" t="s">
        <v>135</v>
      </c>
      <c r="B235" s="12" t="s">
        <v>136</v>
      </c>
      <c r="C235" s="12" t="s">
        <v>136</v>
      </c>
      <c r="D235" s="22" t="s">
        <v>1263</v>
      </c>
      <c r="E235" s="22" t="s">
        <v>149</v>
      </c>
      <c r="F235" s="22" t="s">
        <v>962</v>
      </c>
      <c r="G235" s="22" t="s">
        <v>963</v>
      </c>
      <c r="H235" s="22" t="s">
        <v>150</v>
      </c>
      <c r="I235" s="22" t="s">
        <v>151</v>
      </c>
      <c r="J235" s="22" t="s">
        <v>152</v>
      </c>
      <c r="K235" s="22" t="s">
        <v>92</v>
      </c>
      <c r="L235" s="54" t="s">
        <v>153</v>
      </c>
      <c r="M235" s="24" t="s">
        <v>156</v>
      </c>
      <c r="N235" s="24" t="s">
        <v>153</v>
      </c>
      <c r="O235" s="34" t="s">
        <v>489</v>
      </c>
      <c r="P235" s="23" t="s">
        <v>489</v>
      </c>
      <c r="Q235" s="23" t="s">
        <v>489</v>
      </c>
      <c r="R235" s="23" t="s">
        <v>489</v>
      </c>
      <c r="S235" s="23" t="s">
        <v>490</v>
      </c>
      <c r="T235" s="23" t="s">
        <v>490</v>
      </c>
      <c r="U235" s="24" t="s">
        <v>153</v>
      </c>
      <c r="V235" s="54" t="s">
        <v>153</v>
      </c>
      <c r="W235" s="26" t="s">
        <v>1264</v>
      </c>
      <c r="X235" s="26" t="s">
        <v>155</v>
      </c>
      <c r="Y235" s="23" t="s">
        <v>155</v>
      </c>
      <c r="Z235" s="25" t="s">
        <v>1265</v>
      </c>
      <c r="AA235" s="24" t="s">
        <v>156</v>
      </c>
      <c r="AB235" s="24" t="s">
        <v>153</v>
      </c>
      <c r="AC235" s="34" t="s">
        <v>492</v>
      </c>
      <c r="AD235" s="23" t="s">
        <v>492</v>
      </c>
      <c r="AE235" s="23" t="s">
        <v>491</v>
      </c>
      <c r="AF235" s="26" t="s">
        <v>1264</v>
      </c>
      <c r="AG235" s="26" t="s">
        <v>1264</v>
      </c>
      <c r="AH235" s="29" t="s">
        <v>163</v>
      </c>
      <c r="AI235" s="24" t="s">
        <v>153</v>
      </c>
      <c r="AJ235" s="29" t="s">
        <v>163</v>
      </c>
      <c r="AK235" s="35" t="s">
        <v>170</v>
      </c>
      <c r="AL235" s="35" t="s">
        <v>170</v>
      </c>
      <c r="AM235" s="35" t="s">
        <v>170</v>
      </c>
      <c r="AN235" s="35" t="s">
        <v>170</v>
      </c>
      <c r="AO235" s="24" t="s">
        <v>156</v>
      </c>
      <c r="AP235" s="23">
        <f>VALUE(0)</f>
        <v>0</v>
      </c>
      <c r="AQ235" s="23">
        <f>VALUE(0)</f>
        <v>0</v>
      </c>
      <c r="AR235" s="23">
        <f>VALUE(2)</f>
        <v>2</v>
      </c>
      <c r="AS235" s="23">
        <f>VALUE(0)</f>
        <v>0</v>
      </c>
      <c r="AT235" s="23">
        <f>VALUE(0)</f>
        <v>0</v>
      </c>
      <c r="AU235" s="23">
        <f>VALUE(0)</f>
        <v>0</v>
      </c>
      <c r="AV235" s="23">
        <f>VALUE(19)</f>
        <v>19</v>
      </c>
      <c r="AW235" s="23">
        <f>VALUE(0)</f>
        <v>0</v>
      </c>
      <c r="AX235" s="23" t="s">
        <v>171</v>
      </c>
      <c r="AY235" s="23" t="s">
        <v>292</v>
      </c>
      <c r="AZ235" s="23">
        <f>VALUE(0)</f>
        <v>0</v>
      </c>
      <c r="BA235" s="23">
        <f>VALUE(0)</f>
        <v>0</v>
      </c>
      <c r="BB235" s="23">
        <f>VALUE(0)</f>
        <v>0</v>
      </c>
      <c r="BC235" s="23">
        <f>VALUE(0)</f>
        <v>0</v>
      </c>
      <c r="BD235" s="23">
        <f>VALUE(2)</f>
        <v>2</v>
      </c>
      <c r="BE235" s="23">
        <f>VALUE(5)</f>
        <v>5</v>
      </c>
      <c r="BF235" s="23">
        <f>VALUE(0)</f>
        <v>0</v>
      </c>
      <c r="BG235" s="23">
        <f>VALUE(0)</f>
        <v>0</v>
      </c>
      <c r="BH235" s="23">
        <f>VALUE(0)</f>
        <v>0</v>
      </c>
      <c r="BI235" s="23">
        <f>VALUE(0)</f>
        <v>0</v>
      </c>
      <c r="BJ235" s="23">
        <f>VALUE(0)</f>
        <v>0</v>
      </c>
      <c r="BK235" s="12">
        <f>$AX$235*24</f>
        <v>5.833333333333333</v>
      </c>
      <c r="BL235" s="12">
        <f>$AY$235*24</f>
        <v>3.6499999999999995</v>
      </c>
      <c r="BM235" s="12">
        <f>$BJ$235*24</f>
        <v>0</v>
      </c>
      <c r="BN235" s="12">
        <f>VALUE($I$235)/100</f>
        <v>1</v>
      </c>
      <c r="BO235" s="12">
        <v>0</v>
      </c>
      <c r="BP235" s="12">
        <v>0</v>
      </c>
      <c r="BQ235" s="12">
        <v>0</v>
      </c>
      <c r="BR235" s="12">
        <v>1</v>
      </c>
      <c r="BS235" s="12">
        <v>0</v>
      </c>
      <c r="BT235" s="12">
        <v>2</v>
      </c>
      <c r="BU235" s="12">
        <v>0</v>
      </c>
      <c r="BV235" s="12">
        <v>0</v>
      </c>
      <c r="BW235" s="12">
        <v>0</v>
      </c>
      <c r="BX235" s="12">
        <v>0</v>
      </c>
      <c r="BY235" s="12">
        <v>0</v>
      </c>
      <c r="BZ235" s="12">
        <v>0</v>
      </c>
      <c r="CA235" s="12">
        <v>0</v>
      </c>
    </row>
    <row r="236" spans="1:79" hidden="1" x14ac:dyDescent="0.2">
      <c r="A236" s="12" t="s">
        <v>135</v>
      </c>
      <c r="B236" s="12" t="s">
        <v>136</v>
      </c>
      <c r="C236" s="12" t="s">
        <v>136</v>
      </c>
      <c r="D236" s="22" t="s">
        <v>494</v>
      </c>
      <c r="E236" s="22" t="s">
        <v>161</v>
      </c>
      <c r="F236" s="22" t="s">
        <v>964</v>
      </c>
      <c r="G236" s="22" t="s">
        <v>965</v>
      </c>
      <c r="H236" s="22" t="s">
        <v>150</v>
      </c>
      <c r="I236" s="22" t="s">
        <v>151</v>
      </c>
      <c r="J236" s="22" t="s">
        <v>162</v>
      </c>
      <c r="K236" s="22" t="s">
        <v>92</v>
      </c>
      <c r="L236" s="54" t="s">
        <v>153</v>
      </c>
      <c r="M236" s="23" t="s">
        <v>153</v>
      </c>
      <c r="N236" s="24" t="s">
        <v>153</v>
      </c>
      <c r="O236" s="23" t="s">
        <v>153</v>
      </c>
      <c r="P236" s="23" t="s">
        <v>153</v>
      </c>
      <c r="Q236" s="23" t="s">
        <v>153</v>
      </c>
      <c r="R236" s="23" t="s">
        <v>153</v>
      </c>
      <c r="S236" s="23" t="s">
        <v>153</v>
      </c>
      <c r="T236" s="23" t="s">
        <v>153</v>
      </c>
      <c r="U236" s="24" t="s">
        <v>153</v>
      </c>
      <c r="V236" s="54" t="s">
        <v>153</v>
      </c>
      <c r="W236" s="28" t="s">
        <v>338</v>
      </c>
      <c r="X236" s="28" t="s">
        <v>338</v>
      </c>
      <c r="Y236" s="28" t="s">
        <v>338</v>
      </c>
      <c r="Z236" s="28" t="s">
        <v>338</v>
      </c>
      <c r="AA236" s="28" t="s">
        <v>338</v>
      </c>
      <c r="AB236" s="24" t="s">
        <v>153</v>
      </c>
      <c r="AC236" s="23" t="s">
        <v>153</v>
      </c>
      <c r="AD236" s="23" t="s">
        <v>153</v>
      </c>
      <c r="AE236" s="23" t="s">
        <v>153</v>
      </c>
      <c r="AF236" s="23" t="s">
        <v>153</v>
      </c>
      <c r="AG236" s="24" t="s">
        <v>156</v>
      </c>
      <c r="AH236" s="24" t="s">
        <v>156</v>
      </c>
      <c r="AI236" s="24" t="s">
        <v>153</v>
      </c>
      <c r="AJ236" s="23" t="s">
        <v>153</v>
      </c>
      <c r="AK236" s="23" t="s">
        <v>153</v>
      </c>
      <c r="AL236" s="23" t="s">
        <v>153</v>
      </c>
      <c r="AM236" s="23" t="s">
        <v>153</v>
      </c>
      <c r="AN236" s="23" t="s">
        <v>153</v>
      </c>
      <c r="AO236" s="23" t="s">
        <v>153</v>
      </c>
      <c r="AP236" s="23">
        <f>VALUE(0)</f>
        <v>0</v>
      </c>
      <c r="AQ236" s="23">
        <f>VALUE(0)</f>
        <v>0</v>
      </c>
      <c r="AR236" s="23">
        <f>VALUE(0)</f>
        <v>0</v>
      </c>
      <c r="AS236" s="23">
        <f>VALUE(0)</f>
        <v>0</v>
      </c>
      <c r="AT236" s="23">
        <f>VALUE(5)</f>
        <v>5</v>
      </c>
      <c r="AU236" s="23">
        <f>VALUE(0)</f>
        <v>0</v>
      </c>
      <c r="AV236" s="23">
        <f>VALUE(8)</f>
        <v>8</v>
      </c>
      <c r="AW236" s="23">
        <f>VALUE(0)</f>
        <v>0</v>
      </c>
      <c r="AX236" s="23" t="s">
        <v>171</v>
      </c>
      <c r="AY236" s="23" t="s">
        <v>424</v>
      </c>
      <c r="AZ236" s="23">
        <f>VALUE(0)</f>
        <v>0</v>
      </c>
      <c r="BA236" s="23">
        <f>VALUE(0)</f>
        <v>0</v>
      </c>
      <c r="BB236" s="23">
        <f>VALUE(0)</f>
        <v>0</v>
      </c>
      <c r="BC236" s="23">
        <f>VALUE(0)</f>
        <v>0</v>
      </c>
      <c r="BD236" s="23">
        <f>VALUE(0)</f>
        <v>0</v>
      </c>
      <c r="BE236" s="23">
        <f>VALUE(0)</f>
        <v>0</v>
      </c>
      <c r="BF236" s="23">
        <f>VALUE(0)</f>
        <v>0</v>
      </c>
      <c r="BG236" s="23">
        <f>VALUE(0)</f>
        <v>0</v>
      </c>
      <c r="BH236" s="23">
        <f>VALUE(0)</f>
        <v>0</v>
      </c>
      <c r="BI236" s="23">
        <f>VALUE(0)</f>
        <v>0</v>
      </c>
      <c r="BJ236" s="23">
        <f>VALUE(0)</f>
        <v>0</v>
      </c>
      <c r="BK236" s="12">
        <f>$AX$236*24</f>
        <v>5.833333333333333</v>
      </c>
      <c r="BL236" s="12">
        <f>$AY$236*24</f>
        <v>2.4666666666666668</v>
      </c>
      <c r="BM236" s="12">
        <f>$BJ$236*24</f>
        <v>0</v>
      </c>
      <c r="BN236" s="12">
        <f>VALUE($I$236)/100</f>
        <v>1</v>
      </c>
      <c r="BO236" s="12">
        <v>0</v>
      </c>
      <c r="BP236" s="12">
        <v>0</v>
      </c>
      <c r="BQ236" s="12">
        <v>0</v>
      </c>
      <c r="BR236" s="12">
        <v>0</v>
      </c>
      <c r="BS236" s="12">
        <v>0</v>
      </c>
      <c r="BT236" s="12">
        <v>0</v>
      </c>
      <c r="BU236" s="12">
        <v>0</v>
      </c>
      <c r="BV236" s="12">
        <v>0</v>
      </c>
      <c r="BW236" s="12">
        <v>0</v>
      </c>
      <c r="BX236" s="12">
        <v>0</v>
      </c>
      <c r="BY236" s="12">
        <v>5</v>
      </c>
      <c r="BZ236" s="12">
        <v>0</v>
      </c>
      <c r="CA236" s="12">
        <v>0</v>
      </c>
    </row>
    <row r="237" spans="1:79" hidden="1" x14ac:dyDescent="0.2">
      <c r="A237" s="12" t="s">
        <v>135</v>
      </c>
      <c r="B237" s="12" t="s">
        <v>136</v>
      </c>
      <c r="C237" s="12" t="s">
        <v>136</v>
      </c>
      <c r="D237" s="22" t="s">
        <v>495</v>
      </c>
      <c r="E237" s="22" t="s">
        <v>161</v>
      </c>
      <c r="F237" s="22" t="s">
        <v>966</v>
      </c>
      <c r="G237" s="22" t="s">
        <v>967</v>
      </c>
      <c r="H237" s="22" t="s">
        <v>150</v>
      </c>
      <c r="I237" s="22" t="s">
        <v>151</v>
      </c>
      <c r="J237" s="22" t="s">
        <v>162</v>
      </c>
      <c r="K237" s="22" t="s">
        <v>92</v>
      </c>
      <c r="L237" s="54" t="s">
        <v>153</v>
      </c>
      <c r="M237" s="23" t="s">
        <v>153</v>
      </c>
      <c r="N237" s="24" t="s">
        <v>153</v>
      </c>
      <c r="O237" s="23" t="s">
        <v>153</v>
      </c>
      <c r="P237" s="23" t="s">
        <v>153</v>
      </c>
      <c r="Q237" s="23" t="s">
        <v>153</v>
      </c>
      <c r="R237" s="23" t="s">
        <v>153</v>
      </c>
      <c r="S237" s="23" t="s">
        <v>153</v>
      </c>
      <c r="T237" s="23" t="s">
        <v>153</v>
      </c>
      <c r="U237" s="24" t="s">
        <v>153</v>
      </c>
      <c r="V237" s="54" t="s">
        <v>156</v>
      </c>
      <c r="W237" s="24" t="s">
        <v>156</v>
      </c>
      <c r="X237" s="23" t="s">
        <v>153</v>
      </c>
      <c r="Y237" s="23" t="s">
        <v>153</v>
      </c>
      <c r="Z237" s="23" t="s">
        <v>153</v>
      </c>
      <c r="AA237" s="23" t="s">
        <v>153</v>
      </c>
      <c r="AB237" s="24" t="s">
        <v>153</v>
      </c>
      <c r="AC237" s="23" t="s">
        <v>153</v>
      </c>
      <c r="AD237" s="23" t="s">
        <v>153</v>
      </c>
      <c r="AE237" s="23" t="s">
        <v>153</v>
      </c>
      <c r="AF237" s="23" t="s">
        <v>153</v>
      </c>
      <c r="AG237" s="23" t="s">
        <v>153</v>
      </c>
      <c r="AH237" s="23" t="s">
        <v>153</v>
      </c>
      <c r="AI237" s="24" t="s">
        <v>153</v>
      </c>
      <c r="AJ237" s="23" t="s">
        <v>153</v>
      </c>
      <c r="AK237" s="23" t="s">
        <v>153</v>
      </c>
      <c r="AL237" s="23" t="s">
        <v>153</v>
      </c>
      <c r="AM237" s="23" t="s">
        <v>153</v>
      </c>
      <c r="AN237" s="23" t="s">
        <v>153</v>
      </c>
      <c r="AO237" s="23" t="s">
        <v>153</v>
      </c>
      <c r="AP237" s="23">
        <f>VALUE(0)</f>
        <v>0</v>
      </c>
      <c r="AQ237" s="23">
        <f>VALUE(0)</f>
        <v>0</v>
      </c>
      <c r="AR237" s="23">
        <f>VALUE(0)</f>
        <v>0</v>
      </c>
      <c r="AS237" s="23">
        <f>VALUE(0)</f>
        <v>0</v>
      </c>
      <c r="AT237" s="23">
        <f>VALUE(0)</f>
        <v>0</v>
      </c>
      <c r="AU237" s="23">
        <f>VALUE(0)</f>
        <v>0</v>
      </c>
      <c r="AV237" s="23">
        <f>VALUE(11)</f>
        <v>11</v>
      </c>
      <c r="AW237" s="23">
        <f>VALUE(0)</f>
        <v>0</v>
      </c>
      <c r="AX237" s="23" t="s">
        <v>158</v>
      </c>
      <c r="AY237" s="23" t="s">
        <v>496</v>
      </c>
      <c r="AZ237" s="23">
        <f>VALUE(0)</f>
        <v>0</v>
      </c>
      <c r="BA237" s="23">
        <f>VALUE(0)</f>
        <v>0</v>
      </c>
      <c r="BB237" s="23">
        <f>VALUE(0)</f>
        <v>0</v>
      </c>
      <c r="BC237" s="23">
        <f>VALUE(0)</f>
        <v>0</v>
      </c>
      <c r="BD237" s="23">
        <f>VALUE(0)</f>
        <v>0</v>
      </c>
      <c r="BE237" s="23">
        <f>VALUE(0)</f>
        <v>0</v>
      </c>
      <c r="BF237" s="23">
        <f>VALUE(0)</f>
        <v>0</v>
      </c>
      <c r="BG237" s="23">
        <f>VALUE(0)</f>
        <v>0</v>
      </c>
      <c r="BH237" s="23">
        <f>VALUE(0)</f>
        <v>0</v>
      </c>
      <c r="BI237" s="23">
        <f>VALUE(0)</f>
        <v>0</v>
      </c>
      <c r="BJ237" s="23">
        <f>VALUE(0)</f>
        <v>0</v>
      </c>
      <c r="BK237" s="12">
        <f>$AX$237*24</f>
        <v>11.666666666666666</v>
      </c>
      <c r="BL237" s="12">
        <f>$AY$237*24</f>
        <v>0.71666666666666667</v>
      </c>
      <c r="BM237" s="12">
        <f>$BJ$237*24</f>
        <v>0</v>
      </c>
      <c r="BN237" s="12">
        <f>VALUE($I$237)/100</f>
        <v>1</v>
      </c>
      <c r="BO237" s="12">
        <v>0</v>
      </c>
      <c r="BP237" s="12">
        <v>0</v>
      </c>
      <c r="BQ237" s="12">
        <v>0</v>
      </c>
      <c r="BR237" s="12">
        <v>0</v>
      </c>
      <c r="BS237" s="12">
        <v>0</v>
      </c>
      <c r="BT237" s="12">
        <v>0</v>
      </c>
      <c r="BU237" s="12">
        <v>0</v>
      </c>
      <c r="BV237" s="12">
        <v>0</v>
      </c>
      <c r="BW237" s="12">
        <v>0</v>
      </c>
      <c r="BX237" s="12">
        <v>0</v>
      </c>
      <c r="BY237" s="12">
        <v>0</v>
      </c>
      <c r="BZ237" s="12">
        <v>0</v>
      </c>
      <c r="CA237" s="12">
        <v>0</v>
      </c>
    </row>
    <row r="238" spans="1:79" hidden="1" x14ac:dyDescent="0.2">
      <c r="A238" s="12" t="s">
        <v>135</v>
      </c>
      <c r="B238" s="12" t="s">
        <v>136</v>
      </c>
      <c r="C238" s="12" t="s">
        <v>136</v>
      </c>
      <c r="D238" s="22" t="s">
        <v>497</v>
      </c>
      <c r="E238" s="22" t="s">
        <v>161</v>
      </c>
      <c r="F238" s="22" t="s">
        <v>968</v>
      </c>
      <c r="G238" s="22" t="s">
        <v>969</v>
      </c>
      <c r="H238" s="22" t="s">
        <v>150</v>
      </c>
      <c r="I238" s="22" t="s">
        <v>151</v>
      </c>
      <c r="J238" s="22" t="s">
        <v>162</v>
      </c>
      <c r="K238" s="22" t="s">
        <v>92</v>
      </c>
      <c r="L238" s="28" t="s">
        <v>338</v>
      </c>
      <c r="M238" s="28" t="s">
        <v>338</v>
      </c>
      <c r="N238" s="24" t="s">
        <v>153</v>
      </c>
      <c r="O238" s="23" t="s">
        <v>153</v>
      </c>
      <c r="P238" s="23" t="s">
        <v>153</v>
      </c>
      <c r="Q238" s="23" t="s">
        <v>153</v>
      </c>
      <c r="R238" s="23" t="s">
        <v>153</v>
      </c>
      <c r="S238" s="23" t="s">
        <v>153</v>
      </c>
      <c r="T238" s="23" t="s">
        <v>153</v>
      </c>
      <c r="U238" s="24" t="s">
        <v>153</v>
      </c>
      <c r="V238" s="54" t="s">
        <v>153</v>
      </c>
      <c r="W238" s="23" t="s">
        <v>153</v>
      </c>
      <c r="X238" s="23" t="s">
        <v>153</v>
      </c>
      <c r="Y238" s="23" t="s">
        <v>153</v>
      </c>
      <c r="Z238" s="23" t="s">
        <v>153</v>
      </c>
      <c r="AA238" s="23" t="s">
        <v>153</v>
      </c>
      <c r="AB238" s="24" t="s">
        <v>153</v>
      </c>
      <c r="AC238" s="23" t="s">
        <v>153</v>
      </c>
      <c r="AD238" s="23" t="s">
        <v>153</v>
      </c>
      <c r="AE238" s="23" t="s">
        <v>153</v>
      </c>
      <c r="AF238" s="23" t="s">
        <v>153</v>
      </c>
      <c r="AG238" s="23" t="s">
        <v>153</v>
      </c>
      <c r="AH238" s="23" t="s">
        <v>153</v>
      </c>
      <c r="AI238" s="24" t="s">
        <v>153</v>
      </c>
      <c r="AJ238" s="23" t="s">
        <v>153</v>
      </c>
      <c r="AK238" s="23" t="s">
        <v>153</v>
      </c>
      <c r="AL238" s="24" t="s">
        <v>156</v>
      </c>
      <c r="AM238" s="24" t="s">
        <v>156</v>
      </c>
      <c r="AN238" s="23" t="s">
        <v>153</v>
      </c>
      <c r="AO238" s="23" t="s">
        <v>153</v>
      </c>
      <c r="AP238" s="23">
        <f>VALUE(0)</f>
        <v>0</v>
      </c>
      <c r="AQ238" s="23">
        <f>VALUE(0)</f>
        <v>0</v>
      </c>
      <c r="AR238" s="23">
        <f>VALUE(0)</f>
        <v>0</v>
      </c>
      <c r="AS238" s="23">
        <f>VALUE(0)</f>
        <v>0</v>
      </c>
      <c r="AT238" s="23">
        <f>VALUE(2)</f>
        <v>2</v>
      </c>
      <c r="AU238" s="23">
        <f>VALUE(0)</f>
        <v>0</v>
      </c>
      <c r="AV238" s="23">
        <f>VALUE(6)</f>
        <v>6</v>
      </c>
      <c r="AW238" s="23">
        <f>VALUE(0)</f>
        <v>0</v>
      </c>
      <c r="AX238" s="23" t="s">
        <v>176</v>
      </c>
      <c r="AY238" s="23" t="s">
        <v>432</v>
      </c>
      <c r="AZ238" s="23">
        <f>VALUE(0)</f>
        <v>0</v>
      </c>
      <c r="BA238" s="23">
        <f>VALUE(0)</f>
        <v>0</v>
      </c>
      <c r="BB238" s="23">
        <f>VALUE(0)</f>
        <v>0</v>
      </c>
      <c r="BC238" s="23">
        <f>VALUE(0)</f>
        <v>0</v>
      </c>
      <c r="BD238" s="23">
        <f>VALUE(0)</f>
        <v>0</v>
      </c>
      <c r="BE238" s="23">
        <f>VALUE(0)</f>
        <v>0</v>
      </c>
      <c r="BF238" s="23">
        <f>VALUE(0)</f>
        <v>0</v>
      </c>
      <c r="BG238" s="23">
        <f>VALUE(0)</f>
        <v>0</v>
      </c>
      <c r="BH238" s="23">
        <f>VALUE(0)</f>
        <v>0</v>
      </c>
      <c r="BI238" s="23">
        <f>VALUE(0)</f>
        <v>0</v>
      </c>
      <c r="BJ238" s="23">
        <f>VALUE(0)</f>
        <v>0</v>
      </c>
      <c r="BK238" s="12">
        <f>$AX$238*24</f>
        <v>0</v>
      </c>
      <c r="BL238" s="12">
        <f>$AY$238*24</f>
        <v>3</v>
      </c>
      <c r="BM238" s="12">
        <f>$BJ$238*24</f>
        <v>0</v>
      </c>
      <c r="BN238" s="12">
        <f>VALUE($I$238)/100</f>
        <v>1</v>
      </c>
      <c r="BO238" s="12">
        <v>0</v>
      </c>
      <c r="BP238" s="12">
        <v>0</v>
      </c>
      <c r="BQ238" s="12">
        <v>0</v>
      </c>
      <c r="BR238" s="12">
        <v>0</v>
      </c>
      <c r="BS238" s="12">
        <v>0</v>
      </c>
      <c r="BT238" s="12">
        <v>0</v>
      </c>
      <c r="BU238" s="12">
        <v>0</v>
      </c>
      <c r="BV238" s="12">
        <v>0</v>
      </c>
      <c r="BW238" s="12">
        <v>0</v>
      </c>
      <c r="BX238" s="12">
        <v>0</v>
      </c>
      <c r="BY238" s="12">
        <v>2</v>
      </c>
      <c r="BZ238" s="12">
        <v>0</v>
      </c>
      <c r="CA238" s="12">
        <v>0</v>
      </c>
    </row>
    <row r="239" spans="1:79" hidden="1" x14ac:dyDescent="0.2">
      <c r="A239" s="12" t="s">
        <v>135</v>
      </c>
      <c r="B239" s="12" t="s">
        <v>136</v>
      </c>
      <c r="C239" s="12" t="s">
        <v>136</v>
      </c>
      <c r="D239" s="22" t="s">
        <v>491</v>
      </c>
      <c r="E239" s="22" t="s">
        <v>161</v>
      </c>
      <c r="F239" s="22" t="s">
        <v>970</v>
      </c>
      <c r="G239" s="22" t="s">
        <v>971</v>
      </c>
      <c r="H239" s="22" t="s">
        <v>150</v>
      </c>
      <c r="I239" s="22" t="s">
        <v>151</v>
      </c>
      <c r="J239" s="22" t="s">
        <v>162</v>
      </c>
      <c r="K239" s="22" t="s">
        <v>92</v>
      </c>
      <c r="L239" s="54" t="s">
        <v>153</v>
      </c>
      <c r="M239" s="23" t="s">
        <v>153</v>
      </c>
      <c r="N239" s="24" t="s">
        <v>153</v>
      </c>
      <c r="O239" s="29" t="s">
        <v>163</v>
      </c>
      <c r="P239" s="29" t="s">
        <v>163</v>
      </c>
      <c r="Q239" s="29" t="s">
        <v>163</v>
      </c>
      <c r="R239" s="29" t="s">
        <v>163</v>
      </c>
      <c r="S239" s="29" t="s">
        <v>163</v>
      </c>
      <c r="T239" s="29" t="s">
        <v>163</v>
      </c>
      <c r="U239" s="24" t="s">
        <v>153</v>
      </c>
      <c r="V239" s="54" t="s">
        <v>153</v>
      </c>
      <c r="W239" s="23" t="s">
        <v>153</v>
      </c>
      <c r="X239" s="23" t="s">
        <v>153</v>
      </c>
      <c r="Y239" s="23" t="s">
        <v>153</v>
      </c>
      <c r="Z239" s="23" t="s">
        <v>153</v>
      </c>
      <c r="AA239" s="23" t="s">
        <v>153</v>
      </c>
      <c r="AB239" s="24" t="s">
        <v>153</v>
      </c>
      <c r="AC239" s="23" t="s">
        <v>153</v>
      </c>
      <c r="AD239" s="23" t="s">
        <v>153</v>
      </c>
      <c r="AE239" s="24" t="s">
        <v>156</v>
      </c>
      <c r="AF239" s="24" t="s">
        <v>156</v>
      </c>
      <c r="AG239" s="23" t="s">
        <v>153</v>
      </c>
      <c r="AH239" s="23" t="s">
        <v>153</v>
      </c>
      <c r="AI239" s="24" t="s">
        <v>153</v>
      </c>
      <c r="AJ239" s="23" t="s">
        <v>153</v>
      </c>
      <c r="AK239" s="23" t="s">
        <v>153</v>
      </c>
      <c r="AL239" s="23" t="s">
        <v>153</v>
      </c>
      <c r="AM239" s="23" t="s">
        <v>153</v>
      </c>
      <c r="AN239" s="23" t="s">
        <v>153</v>
      </c>
      <c r="AO239" s="23" t="s">
        <v>153</v>
      </c>
      <c r="AP239" s="23">
        <f>VALUE(0)</f>
        <v>0</v>
      </c>
      <c r="AQ239" s="23">
        <f>VALUE(0)</f>
        <v>0</v>
      </c>
      <c r="AR239" s="23">
        <f>VALUE(6)</f>
        <v>6</v>
      </c>
      <c r="AS239" s="23">
        <f>VALUE(0)</f>
        <v>0</v>
      </c>
      <c r="AT239" s="23">
        <f>VALUE(0)</f>
        <v>0</v>
      </c>
      <c r="AU239" s="23">
        <f>VALUE(0)</f>
        <v>0</v>
      </c>
      <c r="AV239" s="23">
        <f>VALUE(11)</f>
        <v>11</v>
      </c>
      <c r="AW239" s="23">
        <f>VALUE(0)</f>
        <v>0</v>
      </c>
      <c r="AX239" s="23" t="s">
        <v>261</v>
      </c>
      <c r="AY239" s="23" t="s">
        <v>1266</v>
      </c>
      <c r="AZ239" s="23">
        <f>VALUE(0)</f>
        <v>0</v>
      </c>
      <c r="BA239" s="23">
        <f>VALUE(0)</f>
        <v>0</v>
      </c>
      <c r="BB239" s="23">
        <f>VALUE(0)</f>
        <v>0</v>
      </c>
      <c r="BC239" s="23">
        <f>VALUE(0)</f>
        <v>0</v>
      </c>
      <c r="BD239" s="23">
        <f>VALUE(0)</f>
        <v>0</v>
      </c>
      <c r="BE239" s="23">
        <f>VALUE(0)</f>
        <v>0</v>
      </c>
      <c r="BF239" s="23">
        <f>VALUE(0)</f>
        <v>0</v>
      </c>
      <c r="BG239" s="23">
        <f>VALUE(0)</f>
        <v>0</v>
      </c>
      <c r="BH239" s="23">
        <f>VALUE(0)</f>
        <v>0</v>
      </c>
      <c r="BI239" s="23">
        <f>VALUE(0)</f>
        <v>0</v>
      </c>
      <c r="BJ239" s="23">
        <f>VALUE(0)</f>
        <v>0</v>
      </c>
      <c r="BK239" s="12">
        <f>$AX$239*24</f>
        <v>23.333333333333332</v>
      </c>
      <c r="BL239" s="12">
        <f>$AY$239*24</f>
        <v>38.450000000000003</v>
      </c>
      <c r="BM239" s="12">
        <f>$BJ$239*24</f>
        <v>0</v>
      </c>
      <c r="BN239" s="12">
        <f>VALUE($I$239)/100</f>
        <v>1</v>
      </c>
      <c r="BO239" s="12">
        <v>0</v>
      </c>
      <c r="BP239" s="12">
        <v>0</v>
      </c>
      <c r="BQ239" s="12">
        <v>0</v>
      </c>
      <c r="BR239" s="12">
        <v>0</v>
      </c>
      <c r="BS239" s="12">
        <v>0</v>
      </c>
      <c r="BT239" s="12">
        <v>6</v>
      </c>
      <c r="BU239" s="12">
        <v>0</v>
      </c>
      <c r="BV239" s="12">
        <v>0</v>
      </c>
      <c r="BW239" s="12">
        <v>0</v>
      </c>
      <c r="BX239" s="12">
        <v>0</v>
      </c>
      <c r="BY239" s="12">
        <v>0</v>
      </c>
      <c r="BZ239" s="12">
        <v>0</v>
      </c>
      <c r="CA239" s="12">
        <v>0</v>
      </c>
    </row>
    <row r="240" spans="1:79" hidden="1" x14ac:dyDescent="0.2">
      <c r="A240" s="12" t="s">
        <v>135</v>
      </c>
      <c r="B240" s="12" t="s">
        <v>136</v>
      </c>
      <c r="C240" s="12" t="s">
        <v>136</v>
      </c>
      <c r="D240" s="22" t="s">
        <v>498</v>
      </c>
      <c r="E240" s="22" t="s">
        <v>161</v>
      </c>
      <c r="F240" s="22" t="s">
        <v>972</v>
      </c>
      <c r="G240" s="22" t="s">
        <v>973</v>
      </c>
      <c r="H240" s="22" t="s">
        <v>150</v>
      </c>
      <c r="I240" s="22" t="s">
        <v>151</v>
      </c>
      <c r="J240" s="22" t="s">
        <v>162</v>
      </c>
      <c r="K240" s="22" t="s">
        <v>92</v>
      </c>
      <c r="L240" s="54" t="s">
        <v>153</v>
      </c>
      <c r="M240" s="23" t="s">
        <v>153</v>
      </c>
      <c r="N240" s="24" t="s">
        <v>153</v>
      </c>
      <c r="O240" s="23" t="s">
        <v>153</v>
      </c>
      <c r="P240" s="23" t="s">
        <v>153</v>
      </c>
      <c r="Q240" s="23" t="s">
        <v>153</v>
      </c>
      <c r="R240" s="23" t="s">
        <v>153</v>
      </c>
      <c r="S240" s="23" t="s">
        <v>153</v>
      </c>
      <c r="T240" s="23" t="s">
        <v>153</v>
      </c>
      <c r="U240" s="24" t="s">
        <v>153</v>
      </c>
      <c r="V240" s="54" t="s">
        <v>153</v>
      </c>
      <c r="W240" s="23" t="s">
        <v>153</v>
      </c>
      <c r="X240" s="23" t="s">
        <v>153</v>
      </c>
      <c r="Y240" s="23" t="s">
        <v>153</v>
      </c>
      <c r="Z240" s="24" t="s">
        <v>156</v>
      </c>
      <c r="AA240" s="24" t="s">
        <v>156</v>
      </c>
      <c r="AB240" s="24" t="s">
        <v>153</v>
      </c>
      <c r="AC240" s="28" t="s">
        <v>338</v>
      </c>
      <c r="AD240" s="28" t="s">
        <v>338</v>
      </c>
      <c r="AE240" s="28" t="s">
        <v>338</v>
      </c>
      <c r="AF240" s="23" t="s">
        <v>153</v>
      </c>
      <c r="AG240" s="23" t="s">
        <v>153</v>
      </c>
      <c r="AH240" s="23" t="s">
        <v>153</v>
      </c>
      <c r="AI240" s="24" t="s">
        <v>153</v>
      </c>
      <c r="AJ240" s="23" t="s">
        <v>153</v>
      </c>
      <c r="AK240" s="23" t="s">
        <v>153</v>
      </c>
      <c r="AL240" s="23" t="s">
        <v>153</v>
      </c>
      <c r="AM240" s="23" t="s">
        <v>153</v>
      </c>
      <c r="AN240" s="23" t="s">
        <v>153</v>
      </c>
      <c r="AO240" s="23" t="s">
        <v>153</v>
      </c>
      <c r="AP240" s="23">
        <f>VALUE(0)</f>
        <v>0</v>
      </c>
      <c r="AQ240" s="23">
        <f>VALUE(0)</f>
        <v>0</v>
      </c>
      <c r="AR240" s="23">
        <f>VALUE(0)</f>
        <v>0</v>
      </c>
      <c r="AS240" s="23">
        <f>VALUE(0)</f>
        <v>0</v>
      </c>
      <c r="AT240" s="23">
        <f>VALUE(3)</f>
        <v>3</v>
      </c>
      <c r="AU240" s="23">
        <f>VALUE(0)</f>
        <v>0</v>
      </c>
      <c r="AV240" s="23">
        <f>VALUE(6)</f>
        <v>6</v>
      </c>
      <c r="AW240" s="23">
        <f>VALUE(0)</f>
        <v>0</v>
      </c>
      <c r="AX240" s="23" t="s">
        <v>176</v>
      </c>
      <c r="AY240" s="23" t="s">
        <v>499</v>
      </c>
      <c r="AZ240" s="23">
        <f>VALUE(0)</f>
        <v>0</v>
      </c>
      <c r="BA240" s="23">
        <f>VALUE(0)</f>
        <v>0</v>
      </c>
      <c r="BB240" s="23">
        <f>VALUE(0)</f>
        <v>0</v>
      </c>
      <c r="BC240" s="23">
        <f>VALUE(0)</f>
        <v>0</v>
      </c>
      <c r="BD240" s="23">
        <f>VALUE(0)</f>
        <v>0</v>
      </c>
      <c r="BE240" s="23">
        <f>VALUE(0)</f>
        <v>0</v>
      </c>
      <c r="BF240" s="23">
        <f>VALUE(0)</f>
        <v>0</v>
      </c>
      <c r="BG240" s="23">
        <f>VALUE(0)</f>
        <v>0</v>
      </c>
      <c r="BH240" s="23">
        <f>VALUE(0)</f>
        <v>0</v>
      </c>
      <c r="BI240" s="23">
        <f>VALUE(0)</f>
        <v>0</v>
      </c>
      <c r="BJ240" s="23">
        <f>VALUE(0)</f>
        <v>0</v>
      </c>
      <c r="BK240" s="12">
        <f>$AX$240*24</f>
        <v>0</v>
      </c>
      <c r="BL240" s="12">
        <f>$AY$240*24</f>
        <v>16.716666666666665</v>
      </c>
      <c r="BM240" s="12">
        <f>$BJ$240*24</f>
        <v>0</v>
      </c>
      <c r="BN240" s="12">
        <f>VALUE($I$240)/100</f>
        <v>1</v>
      </c>
      <c r="BO240" s="12">
        <v>0</v>
      </c>
      <c r="BP240" s="12">
        <v>0</v>
      </c>
      <c r="BQ240" s="12">
        <v>0</v>
      </c>
      <c r="BR240" s="12">
        <v>0</v>
      </c>
      <c r="BS240" s="12">
        <v>0</v>
      </c>
      <c r="BT240" s="12">
        <v>0</v>
      </c>
      <c r="BU240" s="12">
        <v>0</v>
      </c>
      <c r="BV240" s="12">
        <v>0</v>
      </c>
      <c r="BW240" s="12">
        <v>0</v>
      </c>
      <c r="BX240" s="12">
        <v>0</v>
      </c>
      <c r="BY240" s="12">
        <v>3</v>
      </c>
      <c r="BZ240" s="12">
        <v>0</v>
      </c>
      <c r="CA240" s="12">
        <v>0</v>
      </c>
    </row>
    <row r="241" spans="1:79" hidden="1" x14ac:dyDescent="0.2">
      <c r="A241" s="12" t="s">
        <v>135</v>
      </c>
      <c r="B241" s="12" t="s">
        <v>136</v>
      </c>
      <c r="C241" s="12" t="s">
        <v>136</v>
      </c>
      <c r="D241" s="22" t="s">
        <v>500</v>
      </c>
      <c r="E241" s="22" t="s">
        <v>161</v>
      </c>
      <c r="F241" s="22" t="s">
        <v>974</v>
      </c>
      <c r="G241" s="22" t="s">
        <v>975</v>
      </c>
      <c r="H241" s="22" t="s">
        <v>150</v>
      </c>
      <c r="I241" s="22" t="s">
        <v>151</v>
      </c>
      <c r="J241" s="22" t="s">
        <v>162</v>
      </c>
      <c r="K241" s="22" t="s">
        <v>92</v>
      </c>
      <c r="L241" s="54" t="s">
        <v>156</v>
      </c>
      <c r="M241" s="23" t="s">
        <v>153</v>
      </c>
      <c r="N241" s="24" t="s">
        <v>153</v>
      </c>
      <c r="O241" s="23" t="s">
        <v>153</v>
      </c>
      <c r="P241" s="23" t="s">
        <v>153</v>
      </c>
      <c r="Q241" s="23" t="s">
        <v>153</v>
      </c>
      <c r="R241" s="29" t="s">
        <v>163</v>
      </c>
      <c r="S241" s="29" t="s">
        <v>163</v>
      </c>
      <c r="T241" s="29" t="s">
        <v>163</v>
      </c>
      <c r="U241" s="24" t="s">
        <v>153</v>
      </c>
      <c r="V241" s="54" t="s">
        <v>153</v>
      </c>
      <c r="W241" s="29" t="s">
        <v>163</v>
      </c>
      <c r="X241" s="23" t="s">
        <v>153</v>
      </c>
      <c r="Y241" s="23" t="s">
        <v>153</v>
      </c>
      <c r="Z241" s="23" t="s">
        <v>153</v>
      </c>
      <c r="AA241" s="23" t="s">
        <v>153</v>
      </c>
      <c r="AB241" s="24" t="s">
        <v>153</v>
      </c>
      <c r="AC241" s="23" t="s">
        <v>153</v>
      </c>
      <c r="AD241" s="23" t="s">
        <v>153</v>
      </c>
      <c r="AE241" s="23" t="s">
        <v>153</v>
      </c>
      <c r="AF241" s="23" t="s">
        <v>153</v>
      </c>
      <c r="AG241" s="23" t="s">
        <v>153</v>
      </c>
      <c r="AH241" s="23" t="s">
        <v>153</v>
      </c>
      <c r="AI241" s="24" t="s">
        <v>153</v>
      </c>
      <c r="AJ241" s="24" t="s">
        <v>156</v>
      </c>
      <c r="AK241" s="24" t="s">
        <v>156</v>
      </c>
      <c r="AL241" s="23" t="s">
        <v>153</v>
      </c>
      <c r="AM241" s="23" t="s">
        <v>153</v>
      </c>
      <c r="AN241" s="23" t="s">
        <v>153</v>
      </c>
      <c r="AO241" s="23" t="s">
        <v>153</v>
      </c>
      <c r="AP241" s="23">
        <f>VALUE(0)</f>
        <v>0</v>
      </c>
      <c r="AQ241" s="23">
        <f>VALUE(0)</f>
        <v>0</v>
      </c>
      <c r="AR241" s="23">
        <f>VALUE(4)</f>
        <v>4</v>
      </c>
      <c r="AS241" s="23">
        <f>VALUE(0)</f>
        <v>0</v>
      </c>
      <c r="AT241" s="23">
        <f>VALUE(0)</f>
        <v>0</v>
      </c>
      <c r="AU241" s="23">
        <f>VALUE(0)</f>
        <v>0</v>
      </c>
      <c r="AV241" s="23">
        <f>VALUE(10)</f>
        <v>10</v>
      </c>
      <c r="AW241" s="23">
        <f>VALUE(0)</f>
        <v>0</v>
      </c>
      <c r="AX241" s="23" t="s">
        <v>158</v>
      </c>
      <c r="AY241" s="23" t="s">
        <v>352</v>
      </c>
      <c r="AZ241" s="23">
        <f>VALUE(0)</f>
        <v>0</v>
      </c>
      <c r="BA241" s="23">
        <f>VALUE(0)</f>
        <v>0</v>
      </c>
      <c r="BB241" s="23">
        <f>VALUE(0)</f>
        <v>0</v>
      </c>
      <c r="BC241" s="23">
        <f>VALUE(0)</f>
        <v>0</v>
      </c>
      <c r="BD241" s="23">
        <f>VALUE(0)</f>
        <v>0</v>
      </c>
      <c r="BE241" s="23">
        <f>VALUE(0)</f>
        <v>0</v>
      </c>
      <c r="BF241" s="23">
        <f>VALUE(0)</f>
        <v>0</v>
      </c>
      <c r="BG241" s="23">
        <f>VALUE(0)</f>
        <v>0</v>
      </c>
      <c r="BH241" s="23">
        <f>VALUE(0)</f>
        <v>0</v>
      </c>
      <c r="BI241" s="23">
        <f>VALUE(0)</f>
        <v>0</v>
      </c>
      <c r="BJ241" s="23">
        <f>VALUE(0)</f>
        <v>0</v>
      </c>
      <c r="BK241" s="12">
        <f>$AX$241*24</f>
        <v>11.666666666666666</v>
      </c>
      <c r="BL241" s="12">
        <f>$AY$241*24</f>
        <v>12.183333333333334</v>
      </c>
      <c r="BM241" s="12">
        <f>$BJ$241*24</f>
        <v>0</v>
      </c>
      <c r="BN241" s="12">
        <f>VALUE($I$241)/100</f>
        <v>1</v>
      </c>
      <c r="BO241" s="12">
        <v>0</v>
      </c>
      <c r="BP241" s="12">
        <v>0</v>
      </c>
      <c r="BQ241" s="12">
        <v>0</v>
      </c>
      <c r="BR241" s="12">
        <v>0</v>
      </c>
      <c r="BS241" s="12">
        <v>0</v>
      </c>
      <c r="BT241" s="12">
        <v>4</v>
      </c>
      <c r="BU241" s="12">
        <v>0</v>
      </c>
      <c r="BV241" s="12">
        <v>0</v>
      </c>
      <c r="BW241" s="12">
        <v>0</v>
      </c>
      <c r="BX241" s="12">
        <v>0</v>
      </c>
      <c r="BY241" s="12">
        <v>0</v>
      </c>
      <c r="BZ241" s="12">
        <v>0</v>
      </c>
      <c r="CA241" s="12">
        <v>0</v>
      </c>
    </row>
    <row r="242" spans="1:79" hidden="1" x14ac:dyDescent="0.2">
      <c r="A242" s="12" t="s">
        <v>135</v>
      </c>
      <c r="B242" s="12" t="s">
        <v>136</v>
      </c>
      <c r="C242" s="12" t="s">
        <v>136</v>
      </c>
      <c r="D242" s="22" t="s">
        <v>489</v>
      </c>
      <c r="E242" s="22" t="s">
        <v>161</v>
      </c>
      <c r="F242" s="22" t="s">
        <v>976</v>
      </c>
      <c r="G242" s="22" t="s">
        <v>977</v>
      </c>
      <c r="H242" s="22" t="s">
        <v>150</v>
      </c>
      <c r="I242" s="22" t="s">
        <v>151</v>
      </c>
      <c r="J242" s="22" t="s">
        <v>162</v>
      </c>
      <c r="K242" s="22" t="s">
        <v>92</v>
      </c>
      <c r="L242" s="54" t="s">
        <v>153</v>
      </c>
      <c r="M242" s="23" t="s">
        <v>153</v>
      </c>
      <c r="N242" s="24" t="s">
        <v>153</v>
      </c>
      <c r="O242" s="35" t="s">
        <v>170</v>
      </c>
      <c r="P242" s="35" t="s">
        <v>170</v>
      </c>
      <c r="Q242" s="24" t="s">
        <v>156</v>
      </c>
      <c r="R242" s="24" t="s">
        <v>156</v>
      </c>
      <c r="S242" s="23" t="s">
        <v>153</v>
      </c>
      <c r="T242" s="23" t="s">
        <v>153</v>
      </c>
      <c r="U242" s="24" t="s">
        <v>153</v>
      </c>
      <c r="V242" s="54" t="s">
        <v>153</v>
      </c>
      <c r="W242" s="23" t="s">
        <v>153</v>
      </c>
      <c r="X242" s="23" t="s">
        <v>153</v>
      </c>
      <c r="Y242" s="23" t="s">
        <v>153</v>
      </c>
      <c r="Z242" s="23" t="s">
        <v>153</v>
      </c>
      <c r="AA242" s="23" t="s">
        <v>153</v>
      </c>
      <c r="AB242" s="24" t="s">
        <v>153</v>
      </c>
      <c r="AC242" s="23" t="s">
        <v>153</v>
      </c>
      <c r="AD242" s="23" t="s">
        <v>153</v>
      </c>
      <c r="AE242" s="23" t="s">
        <v>153</v>
      </c>
      <c r="AF242" s="23" t="s">
        <v>153</v>
      </c>
      <c r="AG242" s="23" t="s">
        <v>153</v>
      </c>
      <c r="AH242" s="23" t="s">
        <v>153</v>
      </c>
      <c r="AI242" s="24" t="s">
        <v>153</v>
      </c>
      <c r="AJ242" s="23" t="s">
        <v>153</v>
      </c>
      <c r="AK242" s="23" t="s">
        <v>153</v>
      </c>
      <c r="AL242" s="23" t="s">
        <v>153</v>
      </c>
      <c r="AM242" s="23" t="s">
        <v>153</v>
      </c>
      <c r="AN242" s="23" t="s">
        <v>153</v>
      </c>
      <c r="AO242" s="23" t="s">
        <v>153</v>
      </c>
      <c r="AP242" s="23">
        <f>VALUE(0)</f>
        <v>0</v>
      </c>
      <c r="AQ242" s="23">
        <f>VALUE(0)</f>
        <v>0</v>
      </c>
      <c r="AR242" s="23">
        <f>VALUE(0)</f>
        <v>0</v>
      </c>
      <c r="AS242" s="23">
        <f>VALUE(0)</f>
        <v>0</v>
      </c>
      <c r="AT242" s="23">
        <f>VALUE(0)</f>
        <v>0</v>
      </c>
      <c r="AU242" s="23">
        <f>VALUE(0)</f>
        <v>0</v>
      </c>
      <c r="AV242" s="23">
        <f>VALUE(16)</f>
        <v>16</v>
      </c>
      <c r="AW242" s="23">
        <f>VALUE(0)</f>
        <v>0</v>
      </c>
      <c r="AX242" s="23" t="s">
        <v>171</v>
      </c>
      <c r="AY242" s="23" t="s">
        <v>501</v>
      </c>
      <c r="AZ242" s="23">
        <f>VALUE(0)</f>
        <v>0</v>
      </c>
      <c r="BA242" s="23">
        <f>VALUE(0)</f>
        <v>0</v>
      </c>
      <c r="BB242" s="23">
        <f>VALUE(0)</f>
        <v>0</v>
      </c>
      <c r="BC242" s="23">
        <f>VALUE(0)</f>
        <v>0</v>
      </c>
      <c r="BD242" s="23">
        <f>VALUE(0)</f>
        <v>0</v>
      </c>
      <c r="BE242" s="23">
        <f>VALUE(2)</f>
        <v>2</v>
      </c>
      <c r="BF242" s="23">
        <f>VALUE(0)</f>
        <v>0</v>
      </c>
      <c r="BG242" s="23">
        <f>VALUE(0)</f>
        <v>0</v>
      </c>
      <c r="BH242" s="23">
        <f>VALUE(0)</f>
        <v>0</v>
      </c>
      <c r="BI242" s="23">
        <f>VALUE(0)</f>
        <v>0</v>
      </c>
      <c r="BJ242" s="23">
        <f>VALUE(0)</f>
        <v>0</v>
      </c>
      <c r="BK242" s="12">
        <f>$AX$242*24</f>
        <v>5.833333333333333</v>
      </c>
      <c r="BL242" s="12">
        <f>$AY$242*24</f>
        <v>78.533333333333331</v>
      </c>
      <c r="BM242" s="12">
        <f>$BJ$242*24</f>
        <v>0</v>
      </c>
      <c r="BN242" s="12">
        <f>VALUE($I$242)/100</f>
        <v>1</v>
      </c>
      <c r="BO242" s="12">
        <v>0</v>
      </c>
      <c r="BP242" s="12">
        <v>0</v>
      </c>
      <c r="BQ242" s="12">
        <v>0</v>
      </c>
      <c r="BR242" s="12">
        <v>0</v>
      </c>
      <c r="BS242" s="12">
        <v>0</v>
      </c>
      <c r="BT242" s="12">
        <v>0</v>
      </c>
      <c r="BU242" s="12">
        <v>0</v>
      </c>
      <c r="BV242" s="12">
        <v>0</v>
      </c>
      <c r="BW242" s="12">
        <v>0</v>
      </c>
      <c r="BX242" s="12">
        <v>0</v>
      </c>
      <c r="BY242" s="12">
        <v>0</v>
      </c>
      <c r="BZ242" s="12">
        <v>0</v>
      </c>
      <c r="CA242" s="12">
        <v>0</v>
      </c>
    </row>
    <row r="243" spans="1:79" hidden="1" x14ac:dyDescent="0.2">
      <c r="A243" s="12" t="s">
        <v>135</v>
      </c>
      <c r="B243" s="12" t="s">
        <v>136</v>
      </c>
      <c r="C243" s="12" t="s">
        <v>136</v>
      </c>
      <c r="D243" s="22" t="s">
        <v>502</v>
      </c>
      <c r="E243" s="22" t="s">
        <v>173</v>
      </c>
      <c r="F243" s="22" t="s">
        <v>978</v>
      </c>
      <c r="G243" s="22" t="s">
        <v>979</v>
      </c>
      <c r="H243" s="22" t="s">
        <v>150</v>
      </c>
      <c r="I243" s="22" t="s">
        <v>151</v>
      </c>
      <c r="J243" s="22" t="s">
        <v>162</v>
      </c>
      <c r="K243" s="22" t="s">
        <v>92</v>
      </c>
      <c r="L243" s="54" t="s">
        <v>153</v>
      </c>
      <c r="M243" s="24" t="s">
        <v>156</v>
      </c>
      <c r="N243" s="24" t="s">
        <v>153</v>
      </c>
      <c r="O243" s="23" t="s">
        <v>492</v>
      </c>
      <c r="P243" s="23" t="s">
        <v>492</v>
      </c>
      <c r="Q243" s="23" t="s">
        <v>492</v>
      </c>
      <c r="R243" s="23" t="s">
        <v>492</v>
      </c>
      <c r="S243" s="23" t="s">
        <v>492</v>
      </c>
      <c r="T243" s="23" t="s">
        <v>492</v>
      </c>
      <c r="U243" s="24" t="s">
        <v>153</v>
      </c>
      <c r="V243" s="54" t="s">
        <v>153</v>
      </c>
      <c r="W243" s="23" t="s">
        <v>492</v>
      </c>
      <c r="X243" s="23" t="s">
        <v>492</v>
      </c>
      <c r="Y243" s="23" t="s">
        <v>492</v>
      </c>
      <c r="Z243" s="23" t="s">
        <v>492</v>
      </c>
      <c r="AA243" s="23" t="s">
        <v>492</v>
      </c>
      <c r="AB243" s="24" t="s">
        <v>153</v>
      </c>
      <c r="AC243" s="24" t="s">
        <v>156</v>
      </c>
      <c r="AD243" s="24" t="s">
        <v>156</v>
      </c>
      <c r="AE243" s="23" t="s">
        <v>492</v>
      </c>
      <c r="AF243" s="23" t="s">
        <v>492</v>
      </c>
      <c r="AG243" s="23" t="s">
        <v>492</v>
      </c>
      <c r="AH243" s="23" t="s">
        <v>492</v>
      </c>
      <c r="AI243" s="24" t="s">
        <v>153</v>
      </c>
      <c r="AJ243" s="23" t="s">
        <v>492</v>
      </c>
      <c r="AK243" s="23" t="s">
        <v>492</v>
      </c>
      <c r="AL243" s="23" t="s">
        <v>492</v>
      </c>
      <c r="AM243" s="23" t="s">
        <v>492</v>
      </c>
      <c r="AN243" s="23" t="s">
        <v>492</v>
      </c>
      <c r="AO243" s="23" t="s">
        <v>492</v>
      </c>
      <c r="AP243" s="23">
        <f>VALUE(9)</f>
        <v>9</v>
      </c>
      <c r="AQ243" s="23">
        <f>VALUE(0)</f>
        <v>0</v>
      </c>
      <c r="AR243" s="23">
        <f>VALUE(0)</f>
        <v>0</v>
      </c>
      <c r="AS243" s="23">
        <f>VALUE(0)</f>
        <v>0</v>
      </c>
      <c r="AT243" s="23">
        <f>VALUE(0)</f>
        <v>0</v>
      </c>
      <c r="AU243" s="23">
        <f>VALUE(0)</f>
        <v>0</v>
      </c>
      <c r="AV243" s="23">
        <f>VALUE(8)</f>
        <v>8</v>
      </c>
      <c r="AW243" s="23">
        <f>VALUE(0)</f>
        <v>0</v>
      </c>
      <c r="AX243" s="23" t="s">
        <v>171</v>
      </c>
      <c r="AY243" s="23" t="s">
        <v>425</v>
      </c>
      <c r="AZ243" s="23">
        <f>VALUE(0)</f>
        <v>0</v>
      </c>
      <c r="BA243" s="23">
        <f>VALUE(0)</f>
        <v>0</v>
      </c>
      <c r="BB243" s="23">
        <f>VALUE(0)</f>
        <v>0</v>
      </c>
      <c r="BC243" s="23">
        <f>VALUE(0)</f>
        <v>0</v>
      </c>
      <c r="BD243" s="23">
        <f>VALUE(0)</f>
        <v>0</v>
      </c>
      <c r="BE243" s="23">
        <f>VALUE(0)</f>
        <v>0</v>
      </c>
      <c r="BF243" s="23">
        <f>VALUE(0)</f>
        <v>0</v>
      </c>
      <c r="BG243" s="23">
        <f>VALUE(0)</f>
        <v>0</v>
      </c>
      <c r="BH243" s="23">
        <f>VALUE(0)</f>
        <v>0</v>
      </c>
      <c r="BI243" s="23">
        <f>VALUE(0)</f>
        <v>0</v>
      </c>
      <c r="BJ243" s="23">
        <f>VALUE(0)</f>
        <v>0</v>
      </c>
      <c r="BK243" s="12">
        <f>$AX$243*24</f>
        <v>5.833333333333333</v>
      </c>
      <c r="BL243" s="12">
        <f>$AY$243*24</f>
        <v>1.4166666666666667</v>
      </c>
      <c r="BM243" s="12">
        <f>$BJ$243*24</f>
        <v>0</v>
      </c>
      <c r="BN243" s="12">
        <f>VALUE($I$243)/100</f>
        <v>1</v>
      </c>
      <c r="BO243" s="12">
        <v>0</v>
      </c>
      <c r="BP243" s="12">
        <v>0</v>
      </c>
      <c r="BQ243" s="12">
        <v>0</v>
      </c>
      <c r="BR243" s="12">
        <v>0</v>
      </c>
      <c r="BS243" s="12">
        <v>0</v>
      </c>
      <c r="BT243" s="12">
        <v>0</v>
      </c>
      <c r="BU243" s="12">
        <v>0</v>
      </c>
      <c r="BV243" s="12">
        <v>0</v>
      </c>
      <c r="BW243" s="12">
        <v>0</v>
      </c>
      <c r="BX243" s="12">
        <v>0</v>
      </c>
      <c r="BY243" s="12">
        <v>0</v>
      </c>
      <c r="BZ243" s="12">
        <v>0</v>
      </c>
      <c r="CA243" s="12">
        <v>0</v>
      </c>
    </row>
    <row r="244" spans="1:79" hidden="1" x14ac:dyDescent="0.2">
      <c r="A244" s="12" t="s">
        <v>135</v>
      </c>
      <c r="B244" s="12" t="s">
        <v>136</v>
      </c>
      <c r="C244" s="12" t="s">
        <v>136</v>
      </c>
      <c r="D244" s="22" t="s">
        <v>503</v>
      </c>
      <c r="E244" s="22" t="s">
        <v>159</v>
      </c>
      <c r="F244" s="22" t="s">
        <v>980</v>
      </c>
      <c r="G244" s="22" t="s">
        <v>981</v>
      </c>
      <c r="H244" s="22" t="s">
        <v>150</v>
      </c>
      <c r="I244" s="22" t="s">
        <v>151</v>
      </c>
      <c r="J244" s="22" t="s">
        <v>162</v>
      </c>
      <c r="K244" s="22" t="s">
        <v>92</v>
      </c>
      <c r="L244" s="54" t="s">
        <v>153</v>
      </c>
      <c r="M244" s="23" t="s">
        <v>490</v>
      </c>
      <c r="N244" s="24" t="s">
        <v>153</v>
      </c>
      <c r="O244" s="23" t="s">
        <v>490</v>
      </c>
      <c r="P244" s="23" t="s">
        <v>490</v>
      </c>
      <c r="Q244" s="23" t="s">
        <v>490</v>
      </c>
      <c r="R244" s="23" t="s">
        <v>490</v>
      </c>
      <c r="S244" s="24" t="s">
        <v>156</v>
      </c>
      <c r="T244" s="24" t="s">
        <v>156</v>
      </c>
      <c r="U244" s="24" t="s">
        <v>153</v>
      </c>
      <c r="V244" s="54" t="s">
        <v>153</v>
      </c>
      <c r="W244" s="23" t="s">
        <v>490</v>
      </c>
      <c r="X244" s="23" t="s">
        <v>490</v>
      </c>
      <c r="Y244" s="23" t="s">
        <v>490</v>
      </c>
      <c r="Z244" s="23" t="s">
        <v>490</v>
      </c>
      <c r="AA244" s="23" t="s">
        <v>490</v>
      </c>
      <c r="AB244" s="24" t="s">
        <v>153</v>
      </c>
      <c r="AC244" s="23" t="s">
        <v>490</v>
      </c>
      <c r="AD244" s="23" t="s">
        <v>490</v>
      </c>
      <c r="AE244" s="23" t="s">
        <v>490</v>
      </c>
      <c r="AF244" s="23" t="s">
        <v>490</v>
      </c>
      <c r="AG244" s="23" t="s">
        <v>490</v>
      </c>
      <c r="AH244" s="23" t="s">
        <v>490</v>
      </c>
      <c r="AI244" s="24" t="s">
        <v>153</v>
      </c>
      <c r="AJ244" s="23" t="s">
        <v>490</v>
      </c>
      <c r="AK244" s="23" t="s">
        <v>490</v>
      </c>
      <c r="AL244" s="23" t="s">
        <v>490</v>
      </c>
      <c r="AM244" s="23" t="s">
        <v>490</v>
      </c>
      <c r="AN244" s="23" t="s">
        <v>490</v>
      </c>
      <c r="AO244" s="23" t="s">
        <v>490</v>
      </c>
      <c r="AP244" s="23">
        <f>VALUE(0)</f>
        <v>0</v>
      </c>
      <c r="AQ244" s="23">
        <f>VALUE(0)</f>
        <v>0</v>
      </c>
      <c r="AR244" s="23">
        <f>VALUE(0)</f>
        <v>0</v>
      </c>
      <c r="AS244" s="23">
        <f>VALUE(0)</f>
        <v>0</v>
      </c>
      <c r="AT244" s="23">
        <f>VALUE(0)</f>
        <v>0</v>
      </c>
      <c r="AU244" s="23">
        <f>VALUE(0)</f>
        <v>0</v>
      </c>
      <c r="AV244" s="23">
        <f>VALUE(6)</f>
        <v>6</v>
      </c>
      <c r="AW244" s="23">
        <f>VALUE(0)</f>
        <v>0</v>
      </c>
      <c r="AX244" s="23" t="s">
        <v>171</v>
      </c>
      <c r="AY244" s="23" t="s">
        <v>504</v>
      </c>
      <c r="AZ244" s="23">
        <f>VALUE(0)</f>
        <v>0</v>
      </c>
      <c r="BA244" s="23">
        <f>VALUE(0)</f>
        <v>0</v>
      </c>
      <c r="BB244" s="23">
        <f>VALUE(0)</f>
        <v>0</v>
      </c>
      <c r="BC244" s="23">
        <f>VALUE(0)</f>
        <v>0</v>
      </c>
      <c r="BD244" s="23">
        <f>VALUE(0)</f>
        <v>0</v>
      </c>
      <c r="BE244" s="23">
        <f>VALUE(0)</f>
        <v>0</v>
      </c>
      <c r="BF244" s="23">
        <f>VALUE(0)</f>
        <v>0</v>
      </c>
      <c r="BG244" s="23">
        <f>VALUE(0)</f>
        <v>0</v>
      </c>
      <c r="BH244" s="23">
        <f>VALUE(0)</f>
        <v>0</v>
      </c>
      <c r="BI244" s="23">
        <f>VALUE(0)</f>
        <v>0</v>
      </c>
      <c r="BJ244" s="23">
        <f>VALUE(0)</f>
        <v>0</v>
      </c>
      <c r="BK244" s="12">
        <f>$AX$244*24</f>
        <v>5.833333333333333</v>
      </c>
      <c r="BL244" s="12">
        <f>$AY$244*24</f>
        <v>23.783333333333335</v>
      </c>
      <c r="BM244" s="12">
        <f>$BJ$244*24</f>
        <v>0</v>
      </c>
      <c r="BN244" s="12">
        <f>VALUE($I$244)/100</f>
        <v>1</v>
      </c>
      <c r="BO244" s="12">
        <v>0</v>
      </c>
      <c r="BP244" s="12">
        <v>0</v>
      </c>
      <c r="BQ244" s="12">
        <v>0</v>
      </c>
      <c r="BR244" s="12">
        <v>0</v>
      </c>
      <c r="BS244" s="12">
        <v>0</v>
      </c>
      <c r="BT244" s="12">
        <v>0</v>
      </c>
      <c r="BU244" s="12">
        <v>0</v>
      </c>
      <c r="BV244" s="12">
        <v>0</v>
      </c>
      <c r="BW244" s="12">
        <v>0</v>
      </c>
      <c r="BX244" s="12">
        <v>0</v>
      </c>
      <c r="BY244" s="12">
        <v>0</v>
      </c>
      <c r="BZ244" s="12">
        <v>0</v>
      </c>
      <c r="CA244" s="12">
        <v>0</v>
      </c>
    </row>
    <row r="245" spans="1:79" hidden="1" x14ac:dyDescent="0.2">
      <c r="A245" s="12" t="s">
        <v>135</v>
      </c>
      <c r="B245" s="12" t="s">
        <v>136</v>
      </c>
      <c r="C245" s="12" t="s">
        <v>136</v>
      </c>
      <c r="D245" s="22" t="s">
        <v>505</v>
      </c>
      <c r="E245" s="22" t="s">
        <v>173</v>
      </c>
      <c r="F245" s="22" t="s">
        <v>982</v>
      </c>
      <c r="G245" s="22" t="s">
        <v>983</v>
      </c>
      <c r="H245" s="22" t="s">
        <v>150</v>
      </c>
      <c r="I245" s="22" t="s">
        <v>151</v>
      </c>
      <c r="J245" s="22" t="s">
        <v>162</v>
      </c>
      <c r="K245" s="22" t="s">
        <v>92</v>
      </c>
      <c r="L245" s="54" t="s">
        <v>153</v>
      </c>
      <c r="M245" s="23" t="s">
        <v>492</v>
      </c>
      <c r="N245" s="24" t="s">
        <v>153</v>
      </c>
      <c r="O245" s="23" t="s">
        <v>491</v>
      </c>
      <c r="P245" s="23" t="s">
        <v>491</v>
      </c>
      <c r="Q245" s="23" t="s">
        <v>491</v>
      </c>
      <c r="R245" s="23" t="s">
        <v>491</v>
      </c>
      <c r="S245" s="23" t="s">
        <v>491</v>
      </c>
      <c r="T245" s="23" t="s">
        <v>491</v>
      </c>
      <c r="U245" s="24" t="s">
        <v>153</v>
      </c>
      <c r="V245" s="54" t="s">
        <v>153</v>
      </c>
      <c r="W245" s="23" t="s">
        <v>495</v>
      </c>
      <c r="X245" s="23" t="s">
        <v>153</v>
      </c>
      <c r="Y245" s="23" t="s">
        <v>153</v>
      </c>
      <c r="Z245" s="23" t="s">
        <v>498</v>
      </c>
      <c r="AA245" s="23" t="s">
        <v>498</v>
      </c>
      <c r="AB245" s="24" t="s">
        <v>153</v>
      </c>
      <c r="AC245" s="23" t="s">
        <v>498</v>
      </c>
      <c r="AD245" s="23" t="s">
        <v>498</v>
      </c>
      <c r="AE245" s="23" t="s">
        <v>498</v>
      </c>
      <c r="AF245" s="23" t="s">
        <v>491</v>
      </c>
      <c r="AG245" s="23" t="s">
        <v>494</v>
      </c>
      <c r="AH245" s="23" t="s">
        <v>494</v>
      </c>
      <c r="AI245" s="24" t="s">
        <v>153</v>
      </c>
      <c r="AJ245" s="23" t="s">
        <v>500</v>
      </c>
      <c r="AK245" s="23" t="s">
        <v>500</v>
      </c>
      <c r="AL245" s="23" t="s">
        <v>497</v>
      </c>
      <c r="AM245" s="23" t="s">
        <v>497</v>
      </c>
      <c r="AN245" s="24" t="s">
        <v>156</v>
      </c>
      <c r="AO245" s="24" t="s">
        <v>156</v>
      </c>
      <c r="AP245" s="23">
        <f>VALUE(0)</f>
        <v>0</v>
      </c>
      <c r="AQ245" s="23">
        <f>VALUE(0)</f>
        <v>0</v>
      </c>
      <c r="AR245" s="23">
        <f>VALUE(0)</f>
        <v>0</v>
      </c>
      <c r="AS245" s="23">
        <f>VALUE(0)</f>
        <v>0</v>
      </c>
      <c r="AT245" s="23">
        <f>VALUE(0)</f>
        <v>0</v>
      </c>
      <c r="AU245" s="23">
        <f>VALUE(0)</f>
        <v>0</v>
      </c>
      <c r="AV245" s="23">
        <f>VALUE(10)</f>
        <v>10</v>
      </c>
      <c r="AW245" s="23">
        <f>VALUE(0)</f>
        <v>0</v>
      </c>
      <c r="AX245" s="23" t="s">
        <v>158</v>
      </c>
      <c r="AY245" s="23" t="s">
        <v>171</v>
      </c>
      <c r="AZ245" s="23">
        <f>VALUE(0)</f>
        <v>0</v>
      </c>
      <c r="BA245" s="23">
        <f>VALUE(0)</f>
        <v>0</v>
      </c>
      <c r="BB245" s="23">
        <f>VALUE(0)</f>
        <v>0</v>
      </c>
      <c r="BC245" s="23">
        <f>VALUE(0)</f>
        <v>0</v>
      </c>
      <c r="BD245" s="23">
        <f>VALUE(0)</f>
        <v>0</v>
      </c>
      <c r="BE245" s="23">
        <f>VALUE(0)</f>
        <v>0</v>
      </c>
      <c r="BF245" s="23">
        <f>VALUE(0)</f>
        <v>0</v>
      </c>
      <c r="BG245" s="23">
        <f>VALUE(0)</f>
        <v>0</v>
      </c>
      <c r="BH245" s="23">
        <f>VALUE(0)</f>
        <v>0</v>
      </c>
      <c r="BI245" s="23">
        <f>VALUE(0)</f>
        <v>0</v>
      </c>
      <c r="BJ245" s="23">
        <f>VALUE(0)</f>
        <v>0</v>
      </c>
      <c r="BK245" s="12">
        <f>$AX$245*24</f>
        <v>11.666666666666666</v>
      </c>
      <c r="BL245" s="12">
        <f>$AY$245*24</f>
        <v>5.833333333333333</v>
      </c>
      <c r="BM245" s="12">
        <f>$BJ$245*24</f>
        <v>0</v>
      </c>
      <c r="BN245" s="12">
        <f>VALUE($I$245)/100</f>
        <v>1</v>
      </c>
      <c r="BO245" s="12">
        <v>0</v>
      </c>
      <c r="BP245" s="12">
        <v>0</v>
      </c>
      <c r="BQ245" s="12">
        <v>0</v>
      </c>
      <c r="BR245" s="12">
        <v>0</v>
      </c>
      <c r="BS245" s="12">
        <v>0</v>
      </c>
      <c r="BT245" s="12">
        <v>0</v>
      </c>
      <c r="BU245" s="12">
        <v>0</v>
      </c>
      <c r="BV245" s="12">
        <v>0</v>
      </c>
      <c r="BW245" s="12">
        <v>0</v>
      </c>
      <c r="BX245" s="12">
        <v>0</v>
      </c>
      <c r="BY245" s="12">
        <v>0</v>
      </c>
      <c r="BZ245" s="12">
        <v>0</v>
      </c>
      <c r="CA245" s="12">
        <v>0</v>
      </c>
    </row>
    <row r="246" spans="1:79" hidden="1" x14ac:dyDescent="0.2">
      <c r="A246" s="12" t="s">
        <v>135</v>
      </c>
      <c r="B246" s="12" t="s">
        <v>136</v>
      </c>
      <c r="C246" s="12" t="s">
        <v>136</v>
      </c>
      <c r="D246" s="22" t="s">
        <v>493</v>
      </c>
      <c r="E246" s="22" t="s">
        <v>161</v>
      </c>
      <c r="F246" s="22" t="s">
        <v>984</v>
      </c>
      <c r="G246" s="22" t="s">
        <v>985</v>
      </c>
      <c r="H246" s="22" t="s">
        <v>150</v>
      </c>
      <c r="I246" s="22" t="s">
        <v>1268</v>
      </c>
      <c r="J246" s="22" t="s">
        <v>181</v>
      </c>
      <c r="K246" s="22" t="s">
        <v>92</v>
      </c>
      <c r="L246" s="54" t="s">
        <v>153</v>
      </c>
      <c r="M246" s="24" t="s">
        <v>195</v>
      </c>
      <c r="N246" s="24" t="s">
        <v>153</v>
      </c>
      <c r="O246" s="24" t="s">
        <v>195</v>
      </c>
      <c r="P246" s="23" t="s">
        <v>153</v>
      </c>
      <c r="Q246" s="23" t="s">
        <v>153</v>
      </c>
      <c r="R246" s="23" t="s">
        <v>153</v>
      </c>
      <c r="S246" s="23" t="s">
        <v>153</v>
      </c>
      <c r="T246" s="23" t="s">
        <v>153</v>
      </c>
      <c r="U246" s="24" t="s">
        <v>153</v>
      </c>
      <c r="V246" s="54" t="s">
        <v>153</v>
      </c>
      <c r="W246" s="23" t="s">
        <v>153</v>
      </c>
      <c r="X246" s="23" t="s">
        <v>153</v>
      </c>
      <c r="Y246" s="23" t="s">
        <v>153</v>
      </c>
      <c r="Z246" s="23" t="s">
        <v>153</v>
      </c>
      <c r="AA246" s="24" t="s">
        <v>195</v>
      </c>
      <c r="AB246" s="24" t="s">
        <v>153</v>
      </c>
      <c r="AC246" s="24" t="s">
        <v>195</v>
      </c>
      <c r="AD246" s="23" t="s">
        <v>153</v>
      </c>
      <c r="AE246" s="23" t="s">
        <v>153</v>
      </c>
      <c r="AF246" s="23" t="s">
        <v>153</v>
      </c>
      <c r="AG246" s="23" t="s">
        <v>153</v>
      </c>
      <c r="AH246" s="23" t="s">
        <v>153</v>
      </c>
      <c r="AI246" s="24" t="s">
        <v>153</v>
      </c>
      <c r="AJ246" s="23" t="s">
        <v>153</v>
      </c>
      <c r="AK246" s="23" t="s">
        <v>153</v>
      </c>
      <c r="AL246" s="23" t="s">
        <v>153</v>
      </c>
      <c r="AM246" s="23" t="s">
        <v>153</v>
      </c>
      <c r="AN246" s="23" t="s">
        <v>153</v>
      </c>
      <c r="AO246" s="24" t="s">
        <v>195</v>
      </c>
      <c r="AP246" s="23">
        <f>VALUE(0)</f>
        <v>0</v>
      </c>
      <c r="AQ246" s="23">
        <f>VALUE(0)</f>
        <v>0</v>
      </c>
      <c r="AR246" s="23">
        <f>VALUE(0)</f>
        <v>0</v>
      </c>
      <c r="AS246" s="23">
        <f>VALUE(0)</f>
        <v>0</v>
      </c>
      <c r="AT246" s="23">
        <f>VALUE(0)</f>
        <v>0</v>
      </c>
      <c r="AU246" s="23">
        <f>VALUE(0)</f>
        <v>0</v>
      </c>
      <c r="AV246" s="23">
        <f>VALUE(12)</f>
        <v>12</v>
      </c>
      <c r="AW246" s="23">
        <f>VALUE(0)</f>
        <v>0</v>
      </c>
      <c r="AX246" s="23" t="s">
        <v>506</v>
      </c>
      <c r="AY246" s="23" t="s">
        <v>164</v>
      </c>
      <c r="AZ246" s="23">
        <f>VALUE(0)</f>
        <v>0</v>
      </c>
      <c r="BA246" s="23">
        <f>VALUE(0)</f>
        <v>0</v>
      </c>
      <c r="BB246" s="23">
        <f>VALUE(0)</f>
        <v>0</v>
      </c>
      <c r="BC246" s="23">
        <f>VALUE(0)</f>
        <v>0</v>
      </c>
      <c r="BD246" s="23">
        <f>VALUE(0)</f>
        <v>0</v>
      </c>
      <c r="BE246" s="23">
        <f>VALUE(0)</f>
        <v>0</v>
      </c>
      <c r="BF246" s="23">
        <f>VALUE(0)</f>
        <v>0</v>
      </c>
      <c r="BG246" s="23">
        <f>VALUE(0)</f>
        <v>0</v>
      </c>
      <c r="BH246" s="23">
        <f>VALUE(0)</f>
        <v>0</v>
      </c>
      <c r="BI246" s="23">
        <f>VALUE(0)</f>
        <v>0</v>
      </c>
      <c r="BJ246" s="23">
        <f>VALUE(0)</f>
        <v>0</v>
      </c>
      <c r="BK246" s="12">
        <f>$AX$246*24</f>
        <v>4</v>
      </c>
      <c r="BL246" s="12">
        <f>$AY$246*24</f>
        <v>1.1666666666666667</v>
      </c>
      <c r="BM246" s="12">
        <f>$BJ$246*24</f>
        <v>0</v>
      </c>
      <c r="BN246" s="12">
        <f>VALUE($I$246)/100</f>
        <v>0.68</v>
      </c>
      <c r="BO246" s="12">
        <v>0</v>
      </c>
      <c r="BP246" s="12">
        <v>0</v>
      </c>
      <c r="BQ246" s="12">
        <v>0</v>
      </c>
      <c r="BR246" s="12">
        <v>0</v>
      </c>
      <c r="BS246" s="12">
        <v>0</v>
      </c>
      <c r="BT246" s="12">
        <v>0</v>
      </c>
      <c r="BU246" s="12">
        <v>0</v>
      </c>
      <c r="BV246" s="12">
        <v>0</v>
      </c>
      <c r="BW246" s="12">
        <v>0</v>
      </c>
      <c r="BX246" s="12">
        <v>0</v>
      </c>
      <c r="BY246" s="12">
        <v>0</v>
      </c>
      <c r="BZ246" s="12">
        <v>0</v>
      </c>
      <c r="CA246" s="12">
        <v>0</v>
      </c>
    </row>
    <row r="247" spans="1:79" ht="15" hidden="1" x14ac:dyDescent="0.25">
      <c r="A247" s="12" t="s">
        <v>135</v>
      </c>
      <c r="B247" s="12" t="s">
        <v>136</v>
      </c>
      <c r="C247" s="12" t="s">
        <v>136</v>
      </c>
      <c r="D247" s="31" t="s">
        <v>585</v>
      </c>
      <c r="E247" s="31" t="s">
        <v>153</v>
      </c>
      <c r="F247" s="31" t="s">
        <v>175</v>
      </c>
      <c r="G247" s="31" t="s">
        <v>153</v>
      </c>
      <c r="H247" s="31" t="s">
        <v>153</v>
      </c>
      <c r="I247" s="31" t="s">
        <v>153</v>
      </c>
      <c r="J247" s="31" t="s">
        <v>153</v>
      </c>
      <c r="K247" s="31" t="s">
        <v>153</v>
      </c>
      <c r="L247" s="31">
        <f>VALUE(0)</f>
        <v>0</v>
      </c>
      <c r="M247" s="31">
        <f>VALUE(8)</f>
        <v>8</v>
      </c>
      <c r="N247" s="31">
        <f>VALUE(0)</f>
        <v>0</v>
      </c>
      <c r="O247" s="31">
        <f>VALUE(8)</f>
        <v>8</v>
      </c>
      <c r="P247" s="31">
        <f>VALUE(10)</f>
        <v>10</v>
      </c>
      <c r="Q247" s="31">
        <f>VALUE(10)</f>
        <v>10</v>
      </c>
      <c r="R247" s="31">
        <f>VALUE(9)</f>
        <v>9</v>
      </c>
      <c r="S247" s="31">
        <f>VALUE(9)</f>
        <v>9</v>
      </c>
      <c r="T247" s="31">
        <f>VALUE(9)</f>
        <v>9</v>
      </c>
      <c r="U247" s="31">
        <f>VALUE(0)</f>
        <v>0</v>
      </c>
      <c r="V247" s="31">
        <f>VALUE(0)</f>
        <v>0</v>
      </c>
      <c r="W247" s="31">
        <f>VALUE(9)</f>
        <v>9</v>
      </c>
      <c r="X247" s="31">
        <f>VALUE(10)</f>
        <v>10</v>
      </c>
      <c r="Y247" s="31">
        <f>VALUE(10)</f>
        <v>10</v>
      </c>
      <c r="Z247" s="31">
        <f>VALUE(10)</f>
        <v>10</v>
      </c>
      <c r="AA247" s="31">
        <f>VALUE(8)</f>
        <v>8</v>
      </c>
      <c r="AB247" s="31">
        <f>VALUE(0)</f>
        <v>0</v>
      </c>
      <c r="AC247" s="31">
        <f>VALUE(8)</f>
        <v>8</v>
      </c>
      <c r="AD247" s="31">
        <f>VALUE(10)</f>
        <v>10</v>
      </c>
      <c r="AE247" s="31">
        <f>VALUE(10)</f>
        <v>10</v>
      </c>
      <c r="AF247" s="31">
        <f>VALUE(11)</f>
        <v>11</v>
      </c>
      <c r="AG247" s="31">
        <f>VALUE(11)</f>
        <v>11</v>
      </c>
      <c r="AH247" s="31">
        <f>VALUE(10)</f>
        <v>10</v>
      </c>
      <c r="AI247" s="31">
        <f>VALUE(0)</f>
        <v>0</v>
      </c>
      <c r="AJ247" s="31">
        <f>VALUE(10)</f>
        <v>10</v>
      </c>
      <c r="AK247" s="31">
        <f>VALUE(10)</f>
        <v>10</v>
      </c>
      <c r="AL247" s="31">
        <f>VALUE(10)</f>
        <v>10</v>
      </c>
      <c r="AM247" s="31">
        <f>VALUE(10)</f>
        <v>10</v>
      </c>
      <c r="AN247" s="31">
        <f>VALUE(10)</f>
        <v>10</v>
      </c>
      <c r="AO247" s="31">
        <f>VALUE(9)</f>
        <v>9</v>
      </c>
      <c r="AP247" s="31">
        <v>0</v>
      </c>
      <c r="AQ247" s="31">
        <v>0</v>
      </c>
      <c r="AR247" s="31">
        <v>0</v>
      </c>
      <c r="AS247" s="31">
        <v>0</v>
      </c>
      <c r="AT247" s="31">
        <v>0</v>
      </c>
      <c r="AU247" s="31">
        <v>0</v>
      </c>
      <c r="AV247" s="31">
        <v>0</v>
      </c>
      <c r="AW247" s="31">
        <v>0</v>
      </c>
      <c r="AX247" s="31">
        <v>0</v>
      </c>
      <c r="AY247" s="31">
        <v>0</v>
      </c>
      <c r="AZ247" s="31">
        <v>0</v>
      </c>
      <c r="BA247" s="31">
        <v>0</v>
      </c>
      <c r="BB247" s="31">
        <v>0</v>
      </c>
      <c r="BC247" s="31">
        <v>0</v>
      </c>
      <c r="BD247" s="31">
        <v>0</v>
      </c>
      <c r="BE247" s="31">
        <v>0</v>
      </c>
      <c r="BF247" s="31">
        <v>0</v>
      </c>
      <c r="BG247" s="31">
        <v>0</v>
      </c>
      <c r="BH247" s="31">
        <v>0</v>
      </c>
      <c r="BI247" s="31">
        <v>0</v>
      </c>
      <c r="BJ247" s="31">
        <v>0</v>
      </c>
      <c r="BK247" s="12">
        <v>0</v>
      </c>
      <c r="BL247" s="12">
        <v>0</v>
      </c>
      <c r="BM247" s="12">
        <v>0</v>
      </c>
      <c r="BN247" s="12"/>
      <c r="BO247" s="12">
        <v>0</v>
      </c>
      <c r="BP247" s="12">
        <v>0</v>
      </c>
      <c r="BQ247" s="12">
        <v>0</v>
      </c>
      <c r="BR247" s="12">
        <v>0</v>
      </c>
      <c r="BS247" s="12">
        <v>0</v>
      </c>
      <c r="BT247" s="12">
        <v>0</v>
      </c>
      <c r="BU247" s="12">
        <v>0</v>
      </c>
      <c r="BV247" s="12">
        <v>0</v>
      </c>
      <c r="BW247" s="12">
        <v>0</v>
      </c>
      <c r="BX247" s="12">
        <v>0</v>
      </c>
      <c r="BY247" s="12">
        <v>0</v>
      </c>
      <c r="BZ247" s="12">
        <v>0</v>
      </c>
      <c r="CA247" s="12">
        <v>0</v>
      </c>
    </row>
    <row r="248" spans="1:79" hidden="1" x14ac:dyDescent="0.2">
      <c r="A248" s="12" t="s">
        <v>137</v>
      </c>
      <c r="B248" s="12" t="s">
        <v>138</v>
      </c>
      <c r="C248" s="12" t="s">
        <v>138</v>
      </c>
      <c r="D248" s="22" t="s">
        <v>491</v>
      </c>
      <c r="E248" s="22" t="s">
        <v>161</v>
      </c>
      <c r="F248" s="22" t="s">
        <v>986</v>
      </c>
      <c r="G248" s="22" t="s">
        <v>987</v>
      </c>
      <c r="H248" s="22" t="s">
        <v>150</v>
      </c>
      <c r="I248" s="22" t="s">
        <v>151</v>
      </c>
      <c r="J248" s="22" t="s">
        <v>162</v>
      </c>
      <c r="K248" s="22" t="s">
        <v>93</v>
      </c>
      <c r="L248" s="54" t="s">
        <v>153</v>
      </c>
      <c r="M248" s="23" t="s">
        <v>153</v>
      </c>
      <c r="N248" s="24" t="s">
        <v>153</v>
      </c>
      <c r="O248" s="23" t="s">
        <v>153</v>
      </c>
      <c r="P248" s="23" t="s">
        <v>153</v>
      </c>
      <c r="Q248" s="23" t="s">
        <v>153</v>
      </c>
      <c r="R248" s="23" t="s">
        <v>153</v>
      </c>
      <c r="S248" s="23" t="s">
        <v>153</v>
      </c>
      <c r="T248" s="23" t="s">
        <v>153</v>
      </c>
      <c r="U248" s="24" t="s">
        <v>153</v>
      </c>
      <c r="V248" s="54" t="s">
        <v>156</v>
      </c>
      <c r="W248" s="24" t="s">
        <v>156</v>
      </c>
      <c r="X248" s="28" t="s">
        <v>163</v>
      </c>
      <c r="Y248" s="28" t="s">
        <v>163</v>
      </c>
      <c r="Z248" s="23" t="s">
        <v>153</v>
      </c>
      <c r="AA248" s="23" t="s">
        <v>153</v>
      </c>
      <c r="AB248" s="24" t="s">
        <v>153</v>
      </c>
      <c r="AC248" s="23" t="s">
        <v>153</v>
      </c>
      <c r="AD248" s="23" t="s">
        <v>153</v>
      </c>
      <c r="AE248" s="23" t="s">
        <v>153</v>
      </c>
      <c r="AF248" s="23" t="s">
        <v>153</v>
      </c>
      <c r="AG248" s="23" t="s">
        <v>153</v>
      </c>
      <c r="AH248" s="23" t="s">
        <v>153</v>
      </c>
      <c r="AI248" s="24" t="s">
        <v>153</v>
      </c>
      <c r="AJ248" s="23" t="s">
        <v>153</v>
      </c>
      <c r="AK248" s="23" t="s">
        <v>153</v>
      </c>
      <c r="AL248" s="23" t="s">
        <v>153</v>
      </c>
      <c r="AM248" s="23" t="s">
        <v>153</v>
      </c>
      <c r="AN248" s="23" t="s">
        <v>153</v>
      </c>
      <c r="AO248" s="23" t="s">
        <v>153</v>
      </c>
      <c r="AP248" s="23">
        <f>VALUE(0)</f>
        <v>0</v>
      </c>
      <c r="AQ248" s="23">
        <f>VALUE(0)</f>
        <v>0</v>
      </c>
      <c r="AR248" s="23">
        <f>VALUE(0)</f>
        <v>0</v>
      </c>
      <c r="AS248" s="23">
        <f>VALUE(0)</f>
        <v>0</v>
      </c>
      <c r="AT248" s="23">
        <f>VALUE(0)</f>
        <v>0</v>
      </c>
      <c r="AU248" s="23">
        <f>VALUE(2)</f>
        <v>2</v>
      </c>
      <c r="AV248" s="23">
        <f>VALUE(2)</f>
        <v>2</v>
      </c>
      <c r="AW248" s="23">
        <f>VALUE(0)</f>
        <v>0</v>
      </c>
      <c r="AX248" s="23" t="s">
        <v>158</v>
      </c>
      <c r="AY248" s="23" t="s">
        <v>507</v>
      </c>
      <c r="AZ248" s="23">
        <f>VALUE(0)</f>
        <v>0</v>
      </c>
      <c r="BA248" s="23">
        <f>VALUE(0)</f>
        <v>0</v>
      </c>
      <c r="BB248" s="23">
        <f>VALUE(0)</f>
        <v>0</v>
      </c>
      <c r="BC248" s="23">
        <f>VALUE(0)</f>
        <v>0</v>
      </c>
      <c r="BD248" s="23">
        <f>VALUE(0)</f>
        <v>0</v>
      </c>
      <c r="BE248" s="23">
        <f>VALUE(0)</f>
        <v>0</v>
      </c>
      <c r="BF248" s="23">
        <f>VALUE(0)</f>
        <v>0</v>
      </c>
      <c r="BG248" s="23">
        <f>VALUE(0)</f>
        <v>0</v>
      </c>
      <c r="BH248" s="23">
        <f>VALUE(0)</f>
        <v>0</v>
      </c>
      <c r="BI248" s="23">
        <f>VALUE(0)</f>
        <v>0</v>
      </c>
      <c r="BJ248" s="23">
        <f>VALUE(0)</f>
        <v>0</v>
      </c>
      <c r="BK248" s="12">
        <f>$AX$248*24</f>
        <v>11.666666666666666</v>
      </c>
      <c r="BL248" s="12">
        <f>$AY$248*24</f>
        <v>1.9333333333333336</v>
      </c>
      <c r="BM248" s="12">
        <f>$BJ$248*24</f>
        <v>0</v>
      </c>
      <c r="BN248" s="12">
        <f>VALUE($I$248)/100</f>
        <v>1</v>
      </c>
      <c r="BO248" s="12">
        <v>0</v>
      </c>
      <c r="BP248" s="12">
        <v>0</v>
      </c>
      <c r="BQ248" s="12">
        <v>0</v>
      </c>
      <c r="BR248" s="12">
        <v>0</v>
      </c>
      <c r="BS248" s="12">
        <v>0</v>
      </c>
      <c r="BT248" s="12">
        <v>0</v>
      </c>
      <c r="BU248" s="12">
        <v>0</v>
      </c>
      <c r="BV248" s="12">
        <v>0</v>
      </c>
      <c r="BW248" s="12">
        <v>0</v>
      </c>
      <c r="BX248" s="12">
        <v>0</v>
      </c>
      <c r="BY248" s="12">
        <v>0</v>
      </c>
      <c r="BZ248" s="12">
        <v>0</v>
      </c>
      <c r="CA248" s="12">
        <v>0</v>
      </c>
    </row>
    <row r="249" spans="1:79" hidden="1" x14ac:dyDescent="0.2">
      <c r="A249" s="12" t="s">
        <v>137</v>
      </c>
      <c r="B249" s="12" t="s">
        <v>138</v>
      </c>
      <c r="C249" s="12" t="s">
        <v>138</v>
      </c>
      <c r="D249" s="22" t="s">
        <v>492</v>
      </c>
      <c r="E249" s="22" t="s">
        <v>161</v>
      </c>
      <c r="F249" s="22" t="s">
        <v>988</v>
      </c>
      <c r="G249" s="22" t="s">
        <v>989</v>
      </c>
      <c r="H249" s="22" t="s">
        <v>150</v>
      </c>
      <c r="I249" s="22" t="s">
        <v>151</v>
      </c>
      <c r="J249" s="22" t="s">
        <v>162</v>
      </c>
      <c r="K249" s="22" t="s">
        <v>93</v>
      </c>
      <c r="L249" s="54" t="s">
        <v>153</v>
      </c>
      <c r="M249" s="28" t="s">
        <v>163</v>
      </c>
      <c r="N249" s="24" t="s">
        <v>153</v>
      </c>
      <c r="O249" s="28" t="s">
        <v>163</v>
      </c>
      <c r="P249" s="28" t="s">
        <v>163</v>
      </c>
      <c r="Q249" s="23" t="s">
        <v>153</v>
      </c>
      <c r="R249" s="23" t="s">
        <v>153</v>
      </c>
      <c r="S249" s="23" t="s">
        <v>153</v>
      </c>
      <c r="T249" s="23" t="s">
        <v>153</v>
      </c>
      <c r="U249" s="24" t="s">
        <v>153</v>
      </c>
      <c r="V249" s="54" t="s">
        <v>153</v>
      </c>
      <c r="W249" s="30" t="s">
        <v>28</v>
      </c>
      <c r="X249" s="23" t="s">
        <v>153</v>
      </c>
      <c r="Y249" s="23" t="s">
        <v>153</v>
      </c>
      <c r="Z249" s="23" t="s">
        <v>153</v>
      </c>
      <c r="AA249" s="23" t="s">
        <v>153</v>
      </c>
      <c r="AB249" s="24" t="s">
        <v>153</v>
      </c>
      <c r="AC249" s="23" t="s">
        <v>153</v>
      </c>
      <c r="AD249" s="23" t="s">
        <v>153</v>
      </c>
      <c r="AE249" s="24" t="s">
        <v>156</v>
      </c>
      <c r="AF249" s="24" t="s">
        <v>156</v>
      </c>
      <c r="AG249" s="23" t="s">
        <v>153</v>
      </c>
      <c r="AH249" s="23" t="s">
        <v>153</v>
      </c>
      <c r="AI249" s="24" t="s">
        <v>153</v>
      </c>
      <c r="AJ249" s="23" t="s">
        <v>153</v>
      </c>
      <c r="AK249" s="23" t="s">
        <v>153</v>
      </c>
      <c r="AL249" s="23" t="s">
        <v>153</v>
      </c>
      <c r="AM249" s="23" t="s">
        <v>153</v>
      </c>
      <c r="AN249" s="23" t="s">
        <v>153</v>
      </c>
      <c r="AO249" s="23" t="s">
        <v>153</v>
      </c>
      <c r="AP249" s="23">
        <f>VALUE(0)</f>
        <v>0</v>
      </c>
      <c r="AQ249" s="23">
        <f>VALUE(0)</f>
        <v>0</v>
      </c>
      <c r="AR249" s="23">
        <f>VALUE(0)</f>
        <v>0</v>
      </c>
      <c r="AS249" s="23">
        <f>VALUE(0)</f>
        <v>0</v>
      </c>
      <c r="AT249" s="23">
        <f>VALUE(0)</f>
        <v>0</v>
      </c>
      <c r="AU249" s="23">
        <f>VALUE(3)</f>
        <v>3</v>
      </c>
      <c r="AV249" s="23">
        <f>VALUE(2)</f>
        <v>2</v>
      </c>
      <c r="AW249" s="23">
        <f>VALUE(0)</f>
        <v>0</v>
      </c>
      <c r="AX249" s="23" t="s">
        <v>445</v>
      </c>
      <c r="AY249" s="23" t="s">
        <v>508</v>
      </c>
      <c r="AZ249" s="23">
        <f>VALUE(0)</f>
        <v>0</v>
      </c>
      <c r="BA249" s="23">
        <f>VALUE(0)</f>
        <v>0</v>
      </c>
      <c r="BB249" s="23">
        <f>VALUE(0)</f>
        <v>0</v>
      </c>
      <c r="BC249" s="23">
        <f>VALUE(0)</f>
        <v>0</v>
      </c>
      <c r="BD249" s="23">
        <f>VALUE(0)</f>
        <v>0</v>
      </c>
      <c r="BE249" s="23">
        <f>VALUE(0)</f>
        <v>0</v>
      </c>
      <c r="BF249" s="23">
        <f>VALUE(0)</f>
        <v>0</v>
      </c>
      <c r="BG249" s="23">
        <f>VALUE(0)</f>
        <v>0</v>
      </c>
      <c r="BH249" s="23">
        <f>VALUE(0)</f>
        <v>0</v>
      </c>
      <c r="BI249" s="23">
        <f>VALUE(0)</f>
        <v>0</v>
      </c>
      <c r="BJ249" s="23">
        <f>VALUE(0)</f>
        <v>0</v>
      </c>
      <c r="BK249" s="12">
        <f>$AX$249*24</f>
        <v>17.5</v>
      </c>
      <c r="BL249" s="12">
        <f>$AY$249*24</f>
        <v>6.35</v>
      </c>
      <c r="BM249" s="12">
        <f>$BJ$249*24</f>
        <v>0</v>
      </c>
      <c r="BN249" s="12">
        <f>VALUE($I$249)/100</f>
        <v>1</v>
      </c>
      <c r="BO249" s="12">
        <v>0</v>
      </c>
      <c r="BP249" s="12">
        <v>0</v>
      </c>
      <c r="BQ249" s="12">
        <v>1</v>
      </c>
      <c r="BR249" s="12">
        <v>0</v>
      </c>
      <c r="BS249" s="12">
        <v>0</v>
      </c>
      <c r="BT249" s="12">
        <v>0</v>
      </c>
      <c r="BU249" s="12">
        <v>0</v>
      </c>
      <c r="BV249" s="12">
        <v>0</v>
      </c>
      <c r="BW249" s="12">
        <v>0</v>
      </c>
      <c r="BX249" s="12">
        <v>0</v>
      </c>
      <c r="BY249" s="12">
        <v>0</v>
      </c>
      <c r="BZ249" s="12">
        <v>0</v>
      </c>
      <c r="CA249" s="12">
        <v>0</v>
      </c>
    </row>
    <row r="250" spans="1:79" hidden="1" x14ac:dyDescent="0.2">
      <c r="A250" s="12" t="s">
        <v>137</v>
      </c>
      <c r="B250" s="12" t="s">
        <v>138</v>
      </c>
      <c r="C250" s="12" t="s">
        <v>138</v>
      </c>
      <c r="D250" s="22" t="s">
        <v>500</v>
      </c>
      <c r="E250" s="22" t="s">
        <v>161</v>
      </c>
      <c r="F250" s="22" t="s">
        <v>1269</v>
      </c>
      <c r="G250" s="22" t="s">
        <v>990</v>
      </c>
      <c r="H250" s="22" t="s">
        <v>166</v>
      </c>
      <c r="I250" s="22" t="s">
        <v>151</v>
      </c>
      <c r="J250" s="22" t="s">
        <v>162</v>
      </c>
      <c r="K250" s="22" t="s">
        <v>93</v>
      </c>
      <c r="L250" s="54" t="s">
        <v>153</v>
      </c>
      <c r="M250" s="23" t="s">
        <v>153</v>
      </c>
      <c r="N250" s="24" t="s">
        <v>153</v>
      </c>
      <c r="O250" s="23" t="s">
        <v>153</v>
      </c>
      <c r="P250" s="23" t="s">
        <v>153</v>
      </c>
      <c r="Q250" s="23" t="s">
        <v>153</v>
      </c>
      <c r="R250" s="23" t="s">
        <v>153</v>
      </c>
      <c r="S250" s="23" t="s">
        <v>153</v>
      </c>
      <c r="T250" s="23" t="s">
        <v>153</v>
      </c>
      <c r="U250" s="24" t="s">
        <v>153</v>
      </c>
      <c r="V250" s="54" t="s">
        <v>153</v>
      </c>
      <c r="W250" s="23" t="s">
        <v>153</v>
      </c>
      <c r="X250" s="23" t="s">
        <v>153</v>
      </c>
      <c r="Y250" s="23" t="s">
        <v>153</v>
      </c>
      <c r="Z250" s="24" t="s">
        <v>156</v>
      </c>
      <c r="AA250" s="24" t="s">
        <v>156</v>
      </c>
      <c r="AB250" s="24" t="s">
        <v>153</v>
      </c>
      <c r="AC250" s="28" t="s">
        <v>163</v>
      </c>
      <c r="AD250" s="28" t="s">
        <v>163</v>
      </c>
      <c r="AE250" s="28" t="s">
        <v>163</v>
      </c>
      <c r="AF250" s="28" t="s">
        <v>163</v>
      </c>
      <c r="AG250" s="28" t="s">
        <v>163</v>
      </c>
      <c r="AH250" s="28" t="s">
        <v>163</v>
      </c>
      <c r="AI250" s="24" t="s">
        <v>153</v>
      </c>
      <c r="AJ250" s="23" t="s">
        <v>153</v>
      </c>
      <c r="AK250" s="23" t="s">
        <v>153</v>
      </c>
      <c r="AL250" s="23" t="s">
        <v>153</v>
      </c>
      <c r="AM250" s="23" t="s">
        <v>153</v>
      </c>
      <c r="AN250" s="23" t="s">
        <v>153</v>
      </c>
      <c r="AO250" s="23" t="s">
        <v>153</v>
      </c>
      <c r="AP250" s="23">
        <f>VALUE(0)</f>
        <v>0</v>
      </c>
      <c r="AQ250" s="23">
        <f>VALUE(0)</f>
        <v>0</v>
      </c>
      <c r="AR250" s="23">
        <f>VALUE(0)</f>
        <v>0</v>
      </c>
      <c r="AS250" s="23">
        <f>VALUE(0)</f>
        <v>0</v>
      </c>
      <c r="AT250" s="23">
        <f>VALUE(0)</f>
        <v>0</v>
      </c>
      <c r="AU250" s="23">
        <f>VALUE(6)</f>
        <v>6</v>
      </c>
      <c r="AV250" s="23">
        <f>VALUE(2)</f>
        <v>2</v>
      </c>
      <c r="AW250" s="23">
        <f>VALUE(1)</f>
        <v>1</v>
      </c>
      <c r="AX250" s="23" t="s">
        <v>394</v>
      </c>
      <c r="AY250" s="23">
        <f>VALUE(0)</f>
        <v>0</v>
      </c>
      <c r="AZ250" s="23">
        <f>VALUE(0)</f>
        <v>0</v>
      </c>
      <c r="BA250" s="23">
        <f>VALUE(0)</f>
        <v>0</v>
      </c>
      <c r="BB250" s="23">
        <f>VALUE(0)</f>
        <v>0</v>
      </c>
      <c r="BC250" s="23">
        <f>VALUE(0)</f>
        <v>0</v>
      </c>
      <c r="BD250" s="23">
        <f>VALUE(0)</f>
        <v>0</v>
      </c>
      <c r="BE250" s="23">
        <f>VALUE(0)</f>
        <v>0</v>
      </c>
      <c r="BF250" s="23">
        <f>VALUE(0)</f>
        <v>0</v>
      </c>
      <c r="BG250" s="23">
        <f>VALUE(0)</f>
        <v>0</v>
      </c>
      <c r="BH250" s="23">
        <f>VALUE(0)</f>
        <v>0</v>
      </c>
      <c r="BI250" s="23">
        <f>VALUE(0)</f>
        <v>0</v>
      </c>
      <c r="BJ250" s="23">
        <f>VALUE(0)</f>
        <v>0</v>
      </c>
      <c r="BK250" s="12">
        <f>$AX$250*24</f>
        <v>9.3333333333333339</v>
      </c>
      <c r="BL250" s="12">
        <f>$AY$250*24</f>
        <v>0</v>
      </c>
      <c r="BM250" s="12">
        <f>$BJ$250*24</f>
        <v>0</v>
      </c>
      <c r="BN250" s="12">
        <f>VALUE($I$250)/100</f>
        <v>1</v>
      </c>
      <c r="BO250" s="12">
        <v>0</v>
      </c>
      <c r="BP250" s="12">
        <v>0</v>
      </c>
      <c r="BQ250" s="12">
        <v>0</v>
      </c>
      <c r="BR250" s="12">
        <v>0</v>
      </c>
      <c r="BS250" s="12">
        <v>0</v>
      </c>
      <c r="BT250" s="12">
        <v>0</v>
      </c>
      <c r="BU250" s="12">
        <v>0</v>
      </c>
      <c r="BV250" s="12">
        <v>0</v>
      </c>
      <c r="BW250" s="12">
        <v>0</v>
      </c>
      <c r="BX250" s="12">
        <v>0</v>
      </c>
      <c r="BY250" s="12">
        <v>0</v>
      </c>
      <c r="BZ250" s="12">
        <v>0</v>
      </c>
      <c r="CA250" s="12">
        <v>0</v>
      </c>
    </row>
    <row r="251" spans="1:79" hidden="1" x14ac:dyDescent="0.2">
      <c r="A251" s="12" t="s">
        <v>137</v>
      </c>
      <c r="B251" s="12" t="s">
        <v>138</v>
      </c>
      <c r="C251" s="12" t="s">
        <v>138</v>
      </c>
      <c r="D251" s="22" t="s">
        <v>489</v>
      </c>
      <c r="E251" s="22" t="s">
        <v>161</v>
      </c>
      <c r="F251" s="22" t="s">
        <v>991</v>
      </c>
      <c r="G251" s="22" t="s">
        <v>992</v>
      </c>
      <c r="H251" s="22" t="s">
        <v>150</v>
      </c>
      <c r="I251" s="22" t="s">
        <v>151</v>
      </c>
      <c r="J251" s="22" t="s">
        <v>162</v>
      </c>
      <c r="K251" s="22" t="s">
        <v>93</v>
      </c>
      <c r="L251" s="54" t="s">
        <v>153</v>
      </c>
      <c r="M251" s="23" t="s">
        <v>153</v>
      </c>
      <c r="N251" s="24" t="s">
        <v>153</v>
      </c>
      <c r="O251" s="23" t="s">
        <v>153</v>
      </c>
      <c r="P251" s="23" t="s">
        <v>153</v>
      </c>
      <c r="Q251" s="23" t="s">
        <v>153</v>
      </c>
      <c r="R251" s="23" t="s">
        <v>153</v>
      </c>
      <c r="S251" s="23" t="s">
        <v>153</v>
      </c>
      <c r="T251" s="23" t="s">
        <v>153</v>
      </c>
      <c r="U251" s="24" t="s">
        <v>153</v>
      </c>
      <c r="V251" s="54" t="s">
        <v>153</v>
      </c>
      <c r="W251" s="23" t="s">
        <v>153</v>
      </c>
      <c r="X251" s="23" t="s">
        <v>153</v>
      </c>
      <c r="Y251" s="23" t="s">
        <v>153</v>
      </c>
      <c r="Z251" s="23" t="s">
        <v>153</v>
      </c>
      <c r="AA251" s="23" t="s">
        <v>153</v>
      </c>
      <c r="AB251" s="24" t="s">
        <v>153</v>
      </c>
      <c r="AC251" s="23" t="s">
        <v>153</v>
      </c>
      <c r="AD251" s="23" t="s">
        <v>153</v>
      </c>
      <c r="AE251" s="23" t="s">
        <v>153</v>
      </c>
      <c r="AF251" s="23" t="s">
        <v>153</v>
      </c>
      <c r="AG251" s="23" t="s">
        <v>153</v>
      </c>
      <c r="AH251" s="23" t="s">
        <v>153</v>
      </c>
      <c r="AI251" s="24" t="s">
        <v>153</v>
      </c>
      <c r="AJ251" s="24" t="s">
        <v>156</v>
      </c>
      <c r="AK251" s="24" t="s">
        <v>156</v>
      </c>
      <c r="AL251" s="24" t="s">
        <v>156</v>
      </c>
      <c r="AM251" s="24" t="s">
        <v>156</v>
      </c>
      <c r="AN251" s="23" t="s">
        <v>153</v>
      </c>
      <c r="AO251" s="23" t="s">
        <v>153</v>
      </c>
      <c r="AP251" s="23">
        <f>VALUE(0)</f>
        <v>0</v>
      </c>
      <c r="AQ251" s="23">
        <f>VALUE(0)</f>
        <v>0</v>
      </c>
      <c r="AR251" s="23">
        <f>VALUE(0)</f>
        <v>0</v>
      </c>
      <c r="AS251" s="23">
        <f>VALUE(0)</f>
        <v>0</v>
      </c>
      <c r="AT251" s="23">
        <f>VALUE(0)</f>
        <v>0</v>
      </c>
      <c r="AU251" s="23">
        <f>VALUE(0)</f>
        <v>0</v>
      </c>
      <c r="AV251" s="23">
        <f>VALUE(0)</f>
        <v>0</v>
      </c>
      <c r="AW251" s="23">
        <f>VALUE(0)</f>
        <v>0</v>
      </c>
      <c r="AX251" s="23" t="s">
        <v>290</v>
      </c>
      <c r="AY251" s="23" t="s">
        <v>509</v>
      </c>
      <c r="AZ251" s="23">
        <f>VALUE(0)</f>
        <v>0</v>
      </c>
      <c r="BA251" s="23">
        <f>VALUE(0)</f>
        <v>0</v>
      </c>
      <c r="BB251" s="23">
        <f>VALUE(0)</f>
        <v>0</v>
      </c>
      <c r="BC251" s="23">
        <f>VALUE(0)</f>
        <v>0</v>
      </c>
      <c r="BD251" s="23">
        <f>VALUE(0)</f>
        <v>0</v>
      </c>
      <c r="BE251" s="23">
        <f>VALUE(0)</f>
        <v>0</v>
      </c>
      <c r="BF251" s="23">
        <f>VALUE(0)</f>
        <v>0</v>
      </c>
      <c r="BG251" s="23">
        <f>VALUE(0)</f>
        <v>0</v>
      </c>
      <c r="BH251" s="23">
        <f>VALUE(0)</f>
        <v>0</v>
      </c>
      <c r="BI251" s="23">
        <f>VALUE(0)</f>
        <v>0</v>
      </c>
      <c r="BJ251" s="23">
        <f>VALUE(0)</f>
        <v>0</v>
      </c>
      <c r="BK251" s="12">
        <f>$AX$251*24</f>
        <v>4.4000000000000004</v>
      </c>
      <c r="BL251" s="12">
        <f>$AY$251*24</f>
        <v>5.95</v>
      </c>
      <c r="BM251" s="12">
        <f>$BJ$251*24</f>
        <v>0</v>
      </c>
      <c r="BN251" s="12">
        <f>VALUE($I$251)/100</f>
        <v>1</v>
      </c>
      <c r="BO251" s="12">
        <v>0</v>
      </c>
      <c r="BP251" s="12">
        <v>0</v>
      </c>
      <c r="BQ251" s="12">
        <v>0</v>
      </c>
      <c r="BR251" s="12">
        <v>0</v>
      </c>
      <c r="BS251" s="12">
        <v>0</v>
      </c>
      <c r="BT251" s="12">
        <v>0</v>
      </c>
      <c r="BU251" s="12">
        <v>0</v>
      </c>
      <c r="BV251" s="12">
        <v>0</v>
      </c>
      <c r="BW251" s="12">
        <v>0</v>
      </c>
      <c r="BX251" s="12">
        <v>0</v>
      </c>
      <c r="BY251" s="12">
        <v>0</v>
      </c>
      <c r="BZ251" s="12">
        <v>0</v>
      </c>
      <c r="CA251" s="12">
        <v>0</v>
      </c>
    </row>
    <row r="252" spans="1:79" hidden="1" x14ac:dyDescent="0.2">
      <c r="A252" s="12" t="s">
        <v>137</v>
      </c>
      <c r="B252" s="12" t="s">
        <v>138</v>
      </c>
      <c r="C252" s="12" t="s">
        <v>138</v>
      </c>
      <c r="D252" s="22" t="s">
        <v>510</v>
      </c>
      <c r="E252" s="22" t="s">
        <v>161</v>
      </c>
      <c r="F252" s="22" t="s">
        <v>993</v>
      </c>
      <c r="G252" s="22" t="s">
        <v>994</v>
      </c>
      <c r="H252" s="22" t="s">
        <v>166</v>
      </c>
      <c r="I252" s="22" t="s">
        <v>151</v>
      </c>
      <c r="J252" s="22" t="s">
        <v>162</v>
      </c>
      <c r="K252" s="22" t="s">
        <v>93</v>
      </c>
      <c r="L252" s="54" t="s">
        <v>156</v>
      </c>
      <c r="M252" s="23" t="s">
        <v>153</v>
      </c>
      <c r="N252" s="24" t="s">
        <v>153</v>
      </c>
      <c r="O252" s="23" t="s">
        <v>153</v>
      </c>
      <c r="P252" s="23" t="s">
        <v>153</v>
      </c>
      <c r="Q252" s="23" t="s">
        <v>153</v>
      </c>
      <c r="R252" s="23" t="s">
        <v>153</v>
      </c>
      <c r="S252" s="23" t="s">
        <v>153</v>
      </c>
      <c r="T252" s="23" t="s">
        <v>153</v>
      </c>
      <c r="U252" s="24" t="s">
        <v>153</v>
      </c>
      <c r="V252" s="54" t="s">
        <v>153</v>
      </c>
      <c r="W252" s="23" t="s">
        <v>153</v>
      </c>
      <c r="X252" s="23" t="s">
        <v>153</v>
      </c>
      <c r="Y252" s="23" t="s">
        <v>153</v>
      </c>
      <c r="Z252" s="23" t="s">
        <v>153</v>
      </c>
      <c r="AA252" s="24" t="s">
        <v>156</v>
      </c>
      <c r="AB252" s="24" t="s">
        <v>153</v>
      </c>
      <c r="AC252" s="24" t="s">
        <v>156</v>
      </c>
      <c r="AD252" s="24" t="s">
        <v>156</v>
      </c>
      <c r="AE252" s="23" t="s">
        <v>153</v>
      </c>
      <c r="AF252" s="23" t="s">
        <v>153</v>
      </c>
      <c r="AG252" s="23" t="s">
        <v>153</v>
      </c>
      <c r="AH252" s="23" t="s">
        <v>153</v>
      </c>
      <c r="AI252" s="24" t="s">
        <v>153</v>
      </c>
      <c r="AJ252" s="23" t="s">
        <v>153</v>
      </c>
      <c r="AK252" s="23" t="s">
        <v>153</v>
      </c>
      <c r="AL252" s="23" t="s">
        <v>153</v>
      </c>
      <c r="AM252" s="23" t="s">
        <v>153</v>
      </c>
      <c r="AN252" s="23" t="s">
        <v>153</v>
      </c>
      <c r="AO252" s="23" t="s">
        <v>153</v>
      </c>
      <c r="AP252" s="23">
        <f>VALUE(0)</f>
        <v>0</v>
      </c>
      <c r="AQ252" s="23">
        <f>VALUE(0)</f>
        <v>0</v>
      </c>
      <c r="AR252" s="23">
        <f>VALUE(0)</f>
        <v>0</v>
      </c>
      <c r="AS252" s="23">
        <f>VALUE(0)</f>
        <v>0</v>
      </c>
      <c r="AT252" s="23">
        <f>VALUE(0)</f>
        <v>0</v>
      </c>
      <c r="AU252" s="23">
        <f>VALUE(0)</f>
        <v>0</v>
      </c>
      <c r="AV252" s="23">
        <f>VALUE(2.5)</f>
        <v>2.5</v>
      </c>
      <c r="AW252" s="23">
        <f>VALUE(0)</f>
        <v>0</v>
      </c>
      <c r="AX252" s="23" t="s">
        <v>1270</v>
      </c>
      <c r="AY252" s="23">
        <f>VALUE(0)</f>
        <v>0</v>
      </c>
      <c r="AZ252" s="23">
        <f>VALUE(0)</f>
        <v>0</v>
      </c>
      <c r="BA252" s="23">
        <f>VALUE(0)</f>
        <v>0</v>
      </c>
      <c r="BB252" s="23">
        <f>VALUE(0)</f>
        <v>0</v>
      </c>
      <c r="BC252" s="23">
        <f>VALUE(0)</f>
        <v>0</v>
      </c>
      <c r="BD252" s="23">
        <f>VALUE(0)</f>
        <v>0</v>
      </c>
      <c r="BE252" s="23">
        <f>VALUE(0)</f>
        <v>0</v>
      </c>
      <c r="BF252" s="23">
        <f>VALUE(0)</f>
        <v>0</v>
      </c>
      <c r="BG252" s="23">
        <f>VALUE(0)</f>
        <v>0</v>
      </c>
      <c r="BH252" s="23">
        <f>VALUE(0)</f>
        <v>0</v>
      </c>
      <c r="BI252" s="23">
        <f>VALUE(0)</f>
        <v>0</v>
      </c>
      <c r="BJ252" s="23">
        <f>VALUE(0)</f>
        <v>0</v>
      </c>
      <c r="BK252" s="12">
        <f>$AX$252*24</f>
        <v>2</v>
      </c>
      <c r="BL252" s="12">
        <f>$AY$252*24</f>
        <v>0</v>
      </c>
      <c r="BM252" s="12">
        <f>$BJ$252*24</f>
        <v>0</v>
      </c>
      <c r="BN252" s="12">
        <f>VALUE($I$252)/100</f>
        <v>1</v>
      </c>
      <c r="BO252" s="12">
        <v>0</v>
      </c>
      <c r="BP252" s="12">
        <v>0</v>
      </c>
      <c r="BQ252" s="12">
        <v>0</v>
      </c>
      <c r="BR252" s="12">
        <v>0</v>
      </c>
      <c r="BS252" s="12">
        <v>0</v>
      </c>
      <c r="BT252" s="12">
        <v>0</v>
      </c>
      <c r="BU252" s="12">
        <v>0</v>
      </c>
      <c r="BV252" s="12">
        <v>0</v>
      </c>
      <c r="BW252" s="12">
        <v>0</v>
      </c>
      <c r="BX252" s="12">
        <v>0</v>
      </c>
      <c r="BY252" s="12">
        <v>0</v>
      </c>
      <c r="BZ252" s="12">
        <v>0</v>
      </c>
      <c r="CA252" s="12">
        <v>0</v>
      </c>
    </row>
    <row r="253" spans="1:79" hidden="1" x14ac:dyDescent="0.2">
      <c r="A253" s="12" t="s">
        <v>137</v>
      </c>
      <c r="B253" s="12" t="s">
        <v>138</v>
      </c>
      <c r="C253" s="12" t="s">
        <v>138</v>
      </c>
      <c r="D253" s="22" t="s">
        <v>1271</v>
      </c>
      <c r="E253" s="22" t="s">
        <v>159</v>
      </c>
      <c r="F253" s="22" t="s">
        <v>995</v>
      </c>
      <c r="G253" s="22" t="s">
        <v>996</v>
      </c>
      <c r="H253" s="22" t="s">
        <v>150</v>
      </c>
      <c r="I253" s="22" t="s">
        <v>151</v>
      </c>
      <c r="J253" s="22" t="s">
        <v>162</v>
      </c>
      <c r="K253" s="22" t="s">
        <v>93</v>
      </c>
      <c r="L253" s="54" t="s">
        <v>153</v>
      </c>
      <c r="M253" s="28" t="s">
        <v>163</v>
      </c>
      <c r="N253" s="24" t="s">
        <v>153</v>
      </c>
      <c r="O253" s="25" t="s">
        <v>511</v>
      </c>
      <c r="P253" s="25" t="s">
        <v>511</v>
      </c>
      <c r="Q253" s="24" t="s">
        <v>156</v>
      </c>
      <c r="R253" s="24" t="s">
        <v>156</v>
      </c>
      <c r="S253" s="23" t="s">
        <v>490</v>
      </c>
      <c r="T253" s="23" t="s">
        <v>490</v>
      </c>
      <c r="U253" s="24" t="s">
        <v>153</v>
      </c>
      <c r="V253" s="54" t="s">
        <v>153</v>
      </c>
      <c r="W253" s="25" t="s">
        <v>513</v>
      </c>
      <c r="X253" s="23" t="s">
        <v>511</v>
      </c>
      <c r="Y253" s="23" t="s">
        <v>511</v>
      </c>
      <c r="Z253" s="23" t="s">
        <v>500</v>
      </c>
      <c r="AA253" s="23" t="s">
        <v>500</v>
      </c>
      <c r="AB253" s="24" t="s">
        <v>153</v>
      </c>
      <c r="AC253" s="23" t="s">
        <v>500</v>
      </c>
      <c r="AD253" s="23" t="s">
        <v>500</v>
      </c>
      <c r="AE253" s="23" t="s">
        <v>500</v>
      </c>
      <c r="AF253" s="23" t="s">
        <v>500</v>
      </c>
      <c r="AG253" s="23" t="s">
        <v>500</v>
      </c>
      <c r="AH253" s="23" t="s">
        <v>500</v>
      </c>
      <c r="AI253" s="24" t="s">
        <v>153</v>
      </c>
      <c r="AJ253" s="25" t="s">
        <v>522</v>
      </c>
      <c r="AK253" s="25" t="s">
        <v>522</v>
      </c>
      <c r="AL253" s="23" t="s">
        <v>498</v>
      </c>
      <c r="AM253" s="23" t="s">
        <v>498</v>
      </c>
      <c r="AN253" s="24" t="s">
        <v>156</v>
      </c>
      <c r="AO253" s="24" t="s">
        <v>156</v>
      </c>
      <c r="AP253" s="23">
        <f>VALUE(0)</f>
        <v>0</v>
      </c>
      <c r="AQ253" s="23">
        <f>VALUE(0)</f>
        <v>0</v>
      </c>
      <c r="AR253" s="23">
        <f>VALUE(0)</f>
        <v>0</v>
      </c>
      <c r="AS253" s="23">
        <f>VALUE(0)</f>
        <v>0</v>
      </c>
      <c r="AT253" s="23">
        <f>VALUE(0)</f>
        <v>0</v>
      </c>
      <c r="AU253" s="23">
        <f>VALUE(1)</f>
        <v>1</v>
      </c>
      <c r="AV253" s="23">
        <f>VALUE(3)</f>
        <v>3</v>
      </c>
      <c r="AW253" s="23">
        <f>VALUE(0)</f>
        <v>0</v>
      </c>
      <c r="AX253" s="23" t="s">
        <v>176</v>
      </c>
      <c r="AY253" s="23">
        <f>VALUE(0)</f>
        <v>0</v>
      </c>
      <c r="AZ253" s="23">
        <f>VALUE(0)</f>
        <v>0</v>
      </c>
      <c r="BA253" s="23">
        <f>VALUE(0)</f>
        <v>0</v>
      </c>
      <c r="BB253" s="23">
        <f>VALUE(0)</f>
        <v>0</v>
      </c>
      <c r="BC253" s="23">
        <f>VALUE(0)</f>
        <v>0</v>
      </c>
      <c r="BD253" s="23">
        <f>VALUE(0)</f>
        <v>0</v>
      </c>
      <c r="BE253" s="23">
        <f>VALUE(0)</f>
        <v>0</v>
      </c>
      <c r="BF253" s="23">
        <f>VALUE(0)</f>
        <v>0</v>
      </c>
      <c r="BG253" s="23">
        <f>VALUE(0)</f>
        <v>0</v>
      </c>
      <c r="BH253" s="23">
        <f>VALUE(0)</f>
        <v>0</v>
      </c>
      <c r="BI253" s="23">
        <f>VALUE(0)</f>
        <v>0</v>
      </c>
      <c r="BJ253" s="23">
        <f>VALUE(0)</f>
        <v>0</v>
      </c>
      <c r="BK253" s="12">
        <f>$AX$253*24</f>
        <v>0</v>
      </c>
      <c r="BL253" s="12">
        <f>$AY$253*24</f>
        <v>0</v>
      </c>
      <c r="BM253" s="12">
        <f>$BJ$253*24</f>
        <v>0</v>
      </c>
      <c r="BN253" s="12">
        <f>VALUE($I$253)/100</f>
        <v>1</v>
      </c>
      <c r="BO253" s="12">
        <v>0</v>
      </c>
      <c r="BP253" s="12">
        <v>0</v>
      </c>
      <c r="BQ253" s="12">
        <v>0</v>
      </c>
      <c r="BR253" s="12">
        <v>0</v>
      </c>
      <c r="BS253" s="12">
        <v>0</v>
      </c>
      <c r="BT253" s="12">
        <v>0</v>
      </c>
      <c r="BU253" s="12">
        <v>0</v>
      </c>
      <c r="BV253" s="12">
        <v>0</v>
      </c>
      <c r="BW253" s="12">
        <v>0</v>
      </c>
      <c r="BX253" s="12">
        <v>0</v>
      </c>
      <c r="BY253" s="12">
        <v>0</v>
      </c>
      <c r="BZ253" s="12">
        <v>0</v>
      </c>
      <c r="CA253" s="12">
        <v>0</v>
      </c>
    </row>
    <row r="254" spans="1:79" hidden="1" x14ac:dyDescent="0.2">
      <c r="A254" s="12" t="s">
        <v>137</v>
      </c>
      <c r="B254" s="12" t="s">
        <v>138</v>
      </c>
      <c r="C254" s="12" t="s">
        <v>138</v>
      </c>
      <c r="D254" s="22" t="s">
        <v>307</v>
      </c>
      <c r="E254" s="22" t="s">
        <v>173</v>
      </c>
      <c r="F254" s="22" t="s">
        <v>997</v>
      </c>
      <c r="G254" s="22" t="s">
        <v>998</v>
      </c>
      <c r="H254" s="22" t="s">
        <v>150</v>
      </c>
      <c r="I254" s="22" t="s">
        <v>151</v>
      </c>
      <c r="J254" s="22" t="s">
        <v>162</v>
      </c>
      <c r="K254" s="22" t="s">
        <v>93</v>
      </c>
      <c r="L254" s="54" t="s">
        <v>153</v>
      </c>
      <c r="M254" s="23" t="s">
        <v>497</v>
      </c>
      <c r="N254" s="24" t="s">
        <v>153</v>
      </c>
      <c r="O254" s="28" t="s">
        <v>163</v>
      </c>
      <c r="P254" s="28" t="s">
        <v>163</v>
      </c>
      <c r="Q254" s="28" t="s">
        <v>163</v>
      </c>
      <c r="R254" s="28" t="s">
        <v>163</v>
      </c>
      <c r="S254" s="28" t="s">
        <v>163</v>
      </c>
      <c r="T254" s="28" t="s">
        <v>163</v>
      </c>
      <c r="U254" s="24" t="s">
        <v>153</v>
      </c>
      <c r="V254" s="54" t="s">
        <v>153</v>
      </c>
      <c r="W254" s="23" t="s">
        <v>492</v>
      </c>
      <c r="X254" s="24" t="s">
        <v>156</v>
      </c>
      <c r="Y254" s="24" t="s">
        <v>156</v>
      </c>
      <c r="Z254" s="25" t="s">
        <v>510</v>
      </c>
      <c r="AA254" s="23" t="s">
        <v>510</v>
      </c>
      <c r="AB254" s="24" t="s">
        <v>153</v>
      </c>
      <c r="AC254" s="23" t="s">
        <v>510</v>
      </c>
      <c r="AD254" s="23" t="s">
        <v>510</v>
      </c>
      <c r="AE254" s="23" t="s">
        <v>492</v>
      </c>
      <c r="AF254" s="23" t="s">
        <v>492</v>
      </c>
      <c r="AG254" s="23" t="s">
        <v>493</v>
      </c>
      <c r="AH254" s="23" t="s">
        <v>493</v>
      </c>
      <c r="AI254" s="24" t="s">
        <v>153</v>
      </c>
      <c r="AJ254" s="23" t="s">
        <v>489</v>
      </c>
      <c r="AK254" s="23" t="s">
        <v>489</v>
      </c>
      <c r="AL254" s="23" t="s">
        <v>489</v>
      </c>
      <c r="AM254" s="23" t="s">
        <v>489</v>
      </c>
      <c r="AN254" s="25" t="s">
        <v>513</v>
      </c>
      <c r="AO254" s="25" t="s">
        <v>513</v>
      </c>
      <c r="AP254" s="23">
        <f>VALUE(0)</f>
        <v>0</v>
      </c>
      <c r="AQ254" s="23">
        <f>VALUE(0)</f>
        <v>0</v>
      </c>
      <c r="AR254" s="23">
        <f>VALUE(0)</f>
        <v>0</v>
      </c>
      <c r="AS254" s="23">
        <f>VALUE(0)</f>
        <v>0</v>
      </c>
      <c r="AT254" s="23">
        <f>VALUE(0)</f>
        <v>0</v>
      </c>
      <c r="AU254" s="23">
        <f>VALUE(6)</f>
        <v>6</v>
      </c>
      <c r="AV254" s="23">
        <f>VALUE(2)</f>
        <v>2</v>
      </c>
      <c r="AW254" s="23">
        <f>VALUE(0)</f>
        <v>0</v>
      </c>
      <c r="AX254" s="23" t="s">
        <v>158</v>
      </c>
      <c r="AY254" s="23" t="s">
        <v>345</v>
      </c>
      <c r="AZ254" s="23">
        <f>VALUE(0)</f>
        <v>0</v>
      </c>
      <c r="BA254" s="23">
        <f>VALUE(0)</f>
        <v>0</v>
      </c>
      <c r="BB254" s="23">
        <f>VALUE(0)</f>
        <v>0</v>
      </c>
      <c r="BC254" s="23">
        <f>VALUE(0)</f>
        <v>0</v>
      </c>
      <c r="BD254" s="23">
        <f>VALUE(0)</f>
        <v>0</v>
      </c>
      <c r="BE254" s="23">
        <f>VALUE(0)</f>
        <v>0</v>
      </c>
      <c r="BF254" s="23">
        <f>VALUE(0)</f>
        <v>0</v>
      </c>
      <c r="BG254" s="23">
        <f>VALUE(0)</f>
        <v>0</v>
      </c>
      <c r="BH254" s="23">
        <f>VALUE(0)</f>
        <v>0</v>
      </c>
      <c r="BI254" s="23">
        <f>VALUE(0)</f>
        <v>0</v>
      </c>
      <c r="BJ254" s="23">
        <f>VALUE(0)</f>
        <v>0</v>
      </c>
      <c r="BK254" s="12">
        <f>$AX$254*24</f>
        <v>11.666666666666666</v>
      </c>
      <c r="BL254" s="12">
        <f>$AY$254*24</f>
        <v>0.25</v>
      </c>
      <c r="BM254" s="12">
        <f>$BJ$254*24</f>
        <v>0</v>
      </c>
      <c r="BN254" s="12">
        <f>VALUE($I$254)/100</f>
        <v>1</v>
      </c>
      <c r="BO254" s="12">
        <v>0</v>
      </c>
      <c r="BP254" s="12">
        <v>0</v>
      </c>
      <c r="BQ254" s="12">
        <v>0</v>
      </c>
      <c r="BR254" s="12">
        <v>0</v>
      </c>
      <c r="BS254" s="12">
        <v>0</v>
      </c>
      <c r="BT254" s="12">
        <v>0</v>
      </c>
      <c r="BU254" s="12">
        <v>0</v>
      </c>
      <c r="BV254" s="12">
        <v>0</v>
      </c>
      <c r="BW254" s="12">
        <v>0</v>
      </c>
      <c r="BX254" s="12">
        <v>0</v>
      </c>
      <c r="BY254" s="12">
        <v>0</v>
      </c>
      <c r="BZ254" s="12">
        <v>0</v>
      </c>
      <c r="CA254" s="12">
        <v>0</v>
      </c>
    </row>
    <row r="255" spans="1:79" hidden="1" x14ac:dyDescent="0.2">
      <c r="A255" s="12" t="s">
        <v>137</v>
      </c>
      <c r="B255" s="12" t="s">
        <v>138</v>
      </c>
      <c r="C255" s="12" t="s">
        <v>138</v>
      </c>
      <c r="D255" s="22" t="s">
        <v>493</v>
      </c>
      <c r="E255" s="22" t="s">
        <v>161</v>
      </c>
      <c r="F255" s="22" t="s">
        <v>999</v>
      </c>
      <c r="G255" s="22" t="s">
        <v>1000</v>
      </c>
      <c r="H255" s="22" t="s">
        <v>166</v>
      </c>
      <c r="I255" s="22" t="s">
        <v>151</v>
      </c>
      <c r="J255" s="22" t="s">
        <v>181</v>
      </c>
      <c r="K255" s="22" t="s">
        <v>93</v>
      </c>
      <c r="L255" s="54" t="s">
        <v>153</v>
      </c>
      <c r="M255" s="23" t="s">
        <v>153</v>
      </c>
      <c r="N255" s="24" t="s">
        <v>153</v>
      </c>
      <c r="O255" s="23" t="s">
        <v>153</v>
      </c>
      <c r="P255" s="23" t="s">
        <v>153</v>
      </c>
      <c r="Q255" s="23" t="s">
        <v>153</v>
      </c>
      <c r="R255" s="23" t="s">
        <v>153</v>
      </c>
      <c r="S255" s="23" t="s">
        <v>153</v>
      </c>
      <c r="T255" s="23" t="s">
        <v>153</v>
      </c>
      <c r="U255" s="24" t="s">
        <v>153</v>
      </c>
      <c r="V255" s="54" t="s">
        <v>153</v>
      </c>
      <c r="W255" s="23" t="s">
        <v>153</v>
      </c>
      <c r="X255" s="23" t="s">
        <v>153</v>
      </c>
      <c r="Y255" s="23" t="s">
        <v>153</v>
      </c>
      <c r="Z255" s="23" t="s">
        <v>153</v>
      </c>
      <c r="AA255" s="23" t="s">
        <v>153</v>
      </c>
      <c r="AB255" s="24" t="s">
        <v>153</v>
      </c>
      <c r="AC255" s="23" t="s">
        <v>153</v>
      </c>
      <c r="AD255" s="23" t="s">
        <v>153</v>
      </c>
      <c r="AE255" s="23" t="s">
        <v>153</v>
      </c>
      <c r="AF255" s="23" t="s">
        <v>153</v>
      </c>
      <c r="AG255" s="24" t="s">
        <v>156</v>
      </c>
      <c r="AH255" s="24" t="s">
        <v>156</v>
      </c>
      <c r="AI255" s="24" t="s">
        <v>153</v>
      </c>
      <c r="AJ255" s="23" t="s">
        <v>153</v>
      </c>
      <c r="AK255" s="23" t="s">
        <v>153</v>
      </c>
      <c r="AL255" s="23" t="s">
        <v>153</v>
      </c>
      <c r="AM255" s="23" t="s">
        <v>153</v>
      </c>
      <c r="AN255" s="23" t="s">
        <v>153</v>
      </c>
      <c r="AO255" s="23" t="s">
        <v>153</v>
      </c>
      <c r="AP255" s="23">
        <f>VALUE(0)</f>
        <v>0</v>
      </c>
      <c r="AQ255" s="23">
        <f>VALUE(0)</f>
        <v>0</v>
      </c>
      <c r="AR255" s="23">
        <f>VALUE(0)</f>
        <v>0</v>
      </c>
      <c r="AS255" s="23">
        <f>VALUE(0)</f>
        <v>0</v>
      </c>
      <c r="AT255" s="23">
        <f>VALUE(0)</f>
        <v>0</v>
      </c>
      <c r="AU255" s="23">
        <f>VALUE(0)</f>
        <v>0</v>
      </c>
      <c r="AV255" s="23">
        <f>VALUE(0)</f>
        <v>0</v>
      </c>
      <c r="AW255" s="23">
        <f>VALUE(0)</f>
        <v>0</v>
      </c>
      <c r="AX255" s="23" t="s">
        <v>1272</v>
      </c>
      <c r="AY255" s="23">
        <f>VALUE(0)</f>
        <v>0</v>
      </c>
      <c r="AZ255" s="23">
        <f>VALUE(0)</f>
        <v>0</v>
      </c>
      <c r="BA255" s="23">
        <f>VALUE(0)</f>
        <v>0</v>
      </c>
      <c r="BB255" s="23">
        <f>VALUE(0)</f>
        <v>0</v>
      </c>
      <c r="BC255" s="23">
        <f>VALUE(0)</f>
        <v>0</v>
      </c>
      <c r="BD255" s="23">
        <f>VALUE(0)</f>
        <v>0</v>
      </c>
      <c r="BE255" s="23">
        <f>VALUE(0)</f>
        <v>0</v>
      </c>
      <c r="BF255" s="23">
        <f>VALUE(0)</f>
        <v>0</v>
      </c>
      <c r="BG255" s="23">
        <f>VALUE(0)</f>
        <v>0</v>
      </c>
      <c r="BH255" s="23">
        <f>VALUE(0)</f>
        <v>0</v>
      </c>
      <c r="BI255" s="23">
        <f>VALUE(0)</f>
        <v>0</v>
      </c>
      <c r="BJ255" s="23">
        <f>VALUE(0)</f>
        <v>0</v>
      </c>
      <c r="BK255" s="12">
        <f>$AX$255*24</f>
        <v>18.649999999999999</v>
      </c>
      <c r="BL255" s="12">
        <f>$AY$255*24</f>
        <v>0</v>
      </c>
      <c r="BM255" s="12">
        <f>$BJ$255*24</f>
        <v>0</v>
      </c>
      <c r="BN255" s="12">
        <f>VALUE($I$255)/100</f>
        <v>1</v>
      </c>
      <c r="BO255" s="12">
        <v>0</v>
      </c>
      <c r="BP255" s="12">
        <v>0</v>
      </c>
      <c r="BQ255" s="12">
        <v>0</v>
      </c>
      <c r="BR255" s="12">
        <v>0</v>
      </c>
      <c r="BS255" s="12">
        <v>0</v>
      </c>
      <c r="BT255" s="12">
        <v>0</v>
      </c>
      <c r="BU255" s="12">
        <v>0</v>
      </c>
      <c r="BV255" s="12">
        <v>0</v>
      </c>
      <c r="BW255" s="12">
        <v>0</v>
      </c>
      <c r="BX255" s="12">
        <v>0</v>
      </c>
      <c r="BY255" s="12">
        <v>0</v>
      </c>
      <c r="BZ255" s="12">
        <v>0</v>
      </c>
      <c r="CA255" s="12">
        <v>0</v>
      </c>
    </row>
    <row r="256" spans="1:79" ht="15" hidden="1" x14ac:dyDescent="0.25">
      <c r="A256" s="12" t="s">
        <v>137</v>
      </c>
      <c r="B256" s="12" t="s">
        <v>138</v>
      </c>
      <c r="C256" s="12" t="s">
        <v>138</v>
      </c>
      <c r="D256" s="31" t="s">
        <v>333</v>
      </c>
      <c r="E256" s="31" t="s">
        <v>153</v>
      </c>
      <c r="F256" s="31" t="s">
        <v>175</v>
      </c>
      <c r="G256" s="31" t="s">
        <v>153</v>
      </c>
      <c r="H256" s="31" t="s">
        <v>153</v>
      </c>
      <c r="I256" s="31" t="s">
        <v>153</v>
      </c>
      <c r="J256" s="31" t="s">
        <v>153</v>
      </c>
      <c r="K256" s="31" t="s">
        <v>153</v>
      </c>
      <c r="L256" s="31">
        <f>VALUE(0)</f>
        <v>0</v>
      </c>
      <c r="M256" s="31">
        <f>VALUE(6)</f>
        <v>6</v>
      </c>
      <c r="N256" s="31">
        <f>VALUE(0)</f>
        <v>0</v>
      </c>
      <c r="O256" s="31">
        <f>VALUE(6)</f>
        <v>6</v>
      </c>
      <c r="P256" s="31">
        <f>VALUE(6)</f>
        <v>6</v>
      </c>
      <c r="Q256" s="31">
        <f>VALUE(6)</f>
        <v>6</v>
      </c>
      <c r="R256" s="31">
        <f>VALUE(6)</f>
        <v>6</v>
      </c>
      <c r="S256" s="31">
        <f>VALUE(7)</f>
        <v>7</v>
      </c>
      <c r="T256" s="31">
        <f>VALUE(7)</f>
        <v>7</v>
      </c>
      <c r="U256" s="31">
        <f>VALUE(0)</f>
        <v>0</v>
      </c>
      <c r="V256" s="31">
        <f>VALUE(0)</f>
        <v>0</v>
      </c>
      <c r="W256" s="31">
        <f>VALUE(6)</f>
        <v>6</v>
      </c>
      <c r="X256" s="31">
        <f>VALUE(6)</f>
        <v>6</v>
      </c>
      <c r="Y256" s="31">
        <f>VALUE(6)</f>
        <v>6</v>
      </c>
      <c r="Z256" s="31">
        <f>VALUE(7)</f>
        <v>7</v>
      </c>
      <c r="AA256" s="31">
        <f>VALUE(6)</f>
        <v>6</v>
      </c>
      <c r="AB256" s="31">
        <f>VALUE(0)</f>
        <v>0</v>
      </c>
      <c r="AC256" s="31">
        <f>VALUE(6)</f>
        <v>6</v>
      </c>
      <c r="AD256" s="31">
        <f>VALUE(6)</f>
        <v>6</v>
      </c>
      <c r="AE256" s="31">
        <f>VALUE(6)</f>
        <v>6</v>
      </c>
      <c r="AF256" s="31">
        <f>VALUE(6)</f>
        <v>6</v>
      </c>
      <c r="AG256" s="31">
        <f>VALUE(6)</f>
        <v>6</v>
      </c>
      <c r="AH256" s="31">
        <f>VALUE(6)</f>
        <v>6</v>
      </c>
      <c r="AI256" s="31">
        <f>VALUE(0)</f>
        <v>0</v>
      </c>
      <c r="AJ256" s="31">
        <f>VALUE(7)</f>
        <v>7</v>
      </c>
      <c r="AK256" s="31">
        <f>VALUE(7)</f>
        <v>7</v>
      </c>
      <c r="AL256" s="31">
        <f>VALUE(7)</f>
        <v>7</v>
      </c>
      <c r="AM256" s="31">
        <f>VALUE(7)</f>
        <v>7</v>
      </c>
      <c r="AN256" s="31">
        <f>VALUE(7)</f>
        <v>7</v>
      </c>
      <c r="AO256" s="31">
        <f>VALUE(7)</f>
        <v>7</v>
      </c>
      <c r="AP256" s="31">
        <v>0</v>
      </c>
      <c r="AQ256" s="31">
        <v>0</v>
      </c>
      <c r="AR256" s="31">
        <v>0</v>
      </c>
      <c r="AS256" s="31">
        <v>0</v>
      </c>
      <c r="AT256" s="31">
        <v>0</v>
      </c>
      <c r="AU256" s="31">
        <v>0</v>
      </c>
      <c r="AV256" s="31">
        <v>0</v>
      </c>
      <c r="AW256" s="31">
        <v>0</v>
      </c>
      <c r="AX256" s="31">
        <v>0</v>
      </c>
      <c r="AY256" s="31">
        <v>0</v>
      </c>
      <c r="AZ256" s="31">
        <v>0</v>
      </c>
      <c r="BA256" s="31">
        <v>0</v>
      </c>
      <c r="BB256" s="31">
        <v>0</v>
      </c>
      <c r="BC256" s="31">
        <v>0</v>
      </c>
      <c r="BD256" s="31">
        <v>0</v>
      </c>
      <c r="BE256" s="31">
        <v>0</v>
      </c>
      <c r="BF256" s="31">
        <v>0</v>
      </c>
      <c r="BG256" s="31">
        <v>0</v>
      </c>
      <c r="BH256" s="31">
        <v>0</v>
      </c>
      <c r="BI256" s="31">
        <v>0</v>
      </c>
      <c r="BJ256" s="31">
        <v>0</v>
      </c>
      <c r="BK256" s="12">
        <v>0</v>
      </c>
      <c r="BL256" s="12">
        <v>0</v>
      </c>
      <c r="BM256" s="12">
        <v>0</v>
      </c>
      <c r="BN256" s="12"/>
      <c r="BO256" s="12">
        <v>0</v>
      </c>
      <c r="BP256" s="12">
        <v>0</v>
      </c>
      <c r="BQ256" s="12">
        <v>0</v>
      </c>
      <c r="BR256" s="12">
        <v>0</v>
      </c>
      <c r="BS256" s="12">
        <v>0</v>
      </c>
      <c r="BT256" s="12">
        <v>0</v>
      </c>
      <c r="BU256" s="12">
        <v>0</v>
      </c>
      <c r="BV256" s="12">
        <v>0</v>
      </c>
      <c r="BW256" s="12">
        <v>0</v>
      </c>
      <c r="BX256" s="12">
        <v>0</v>
      </c>
      <c r="BY256" s="12">
        <v>0</v>
      </c>
      <c r="BZ256" s="12">
        <v>0</v>
      </c>
      <c r="CA256" s="12">
        <v>0</v>
      </c>
    </row>
    <row r="257" spans="1:79" hidden="1" x14ac:dyDescent="0.2">
      <c r="A257" s="12" t="s">
        <v>137</v>
      </c>
      <c r="B257" s="12" t="s">
        <v>139</v>
      </c>
      <c r="C257" s="12" t="s">
        <v>139</v>
      </c>
      <c r="D257" s="22" t="s">
        <v>514</v>
      </c>
      <c r="E257" s="22" t="s">
        <v>161</v>
      </c>
      <c r="F257" s="22" t="s">
        <v>1001</v>
      </c>
      <c r="G257" s="22" t="s">
        <v>1002</v>
      </c>
      <c r="H257" s="22" t="s">
        <v>166</v>
      </c>
      <c r="I257" s="22" t="s">
        <v>151</v>
      </c>
      <c r="J257" s="22" t="s">
        <v>162</v>
      </c>
      <c r="K257" s="22" t="s">
        <v>94</v>
      </c>
      <c r="L257" s="54" t="s">
        <v>153</v>
      </c>
      <c r="M257" s="23" t="s">
        <v>153</v>
      </c>
      <c r="N257" s="24" t="s">
        <v>153</v>
      </c>
      <c r="O257" s="23" t="s">
        <v>153</v>
      </c>
      <c r="P257" s="23" t="s">
        <v>153</v>
      </c>
      <c r="Q257" s="23" t="s">
        <v>153</v>
      </c>
      <c r="R257" s="23" t="s">
        <v>153</v>
      </c>
      <c r="S257" s="23" t="s">
        <v>153</v>
      </c>
      <c r="T257" s="23" t="s">
        <v>153</v>
      </c>
      <c r="U257" s="24" t="s">
        <v>153</v>
      </c>
      <c r="V257" s="54" t="s">
        <v>153</v>
      </c>
      <c r="W257" s="28" t="s">
        <v>163</v>
      </c>
      <c r="X257" s="23" t="s">
        <v>153</v>
      </c>
      <c r="Y257" s="23" t="s">
        <v>153</v>
      </c>
      <c r="Z257" s="23" t="s">
        <v>153</v>
      </c>
      <c r="AA257" s="23" t="s">
        <v>153</v>
      </c>
      <c r="AB257" s="24" t="s">
        <v>153</v>
      </c>
      <c r="AC257" s="23" t="s">
        <v>153</v>
      </c>
      <c r="AD257" s="23" t="s">
        <v>153</v>
      </c>
      <c r="AE257" s="23" t="s">
        <v>153</v>
      </c>
      <c r="AF257" s="23" t="s">
        <v>153</v>
      </c>
      <c r="AG257" s="24" t="s">
        <v>156</v>
      </c>
      <c r="AH257" s="24" t="s">
        <v>156</v>
      </c>
      <c r="AI257" s="24" t="s">
        <v>153</v>
      </c>
      <c r="AJ257" s="23" t="s">
        <v>153</v>
      </c>
      <c r="AK257" s="23" t="s">
        <v>153</v>
      </c>
      <c r="AL257" s="23" t="s">
        <v>153</v>
      </c>
      <c r="AM257" s="23" t="s">
        <v>153</v>
      </c>
      <c r="AN257" s="29" t="s">
        <v>218</v>
      </c>
      <c r="AO257" s="29" t="s">
        <v>218</v>
      </c>
      <c r="AP257" s="23">
        <f>VALUE(0)</f>
        <v>0</v>
      </c>
      <c r="AQ257" s="23">
        <f>VALUE(0)</f>
        <v>0</v>
      </c>
      <c r="AR257" s="23">
        <f>VALUE(2)</f>
        <v>2</v>
      </c>
      <c r="AS257" s="23">
        <f>VALUE(0)</f>
        <v>0</v>
      </c>
      <c r="AT257" s="23">
        <f>VALUE(0)</f>
        <v>0</v>
      </c>
      <c r="AU257" s="23">
        <f>VALUE(1)</f>
        <v>1</v>
      </c>
      <c r="AV257" s="23">
        <f>VALUE(7)</f>
        <v>7</v>
      </c>
      <c r="AW257" s="23">
        <f>VALUE(0)</f>
        <v>0</v>
      </c>
      <c r="AX257" s="23" t="s">
        <v>1273</v>
      </c>
      <c r="AY257" s="23">
        <f>VALUE(0)</f>
        <v>0</v>
      </c>
      <c r="AZ257" s="23">
        <f>VALUE(0)</f>
        <v>0</v>
      </c>
      <c r="BA257" s="23">
        <f>VALUE(0)</f>
        <v>0</v>
      </c>
      <c r="BB257" s="23">
        <f>VALUE(0)</f>
        <v>0</v>
      </c>
      <c r="BC257" s="23">
        <f>VALUE(0)</f>
        <v>0</v>
      </c>
      <c r="BD257" s="23">
        <f>VALUE(0)</f>
        <v>0</v>
      </c>
      <c r="BE257" s="23">
        <f>VALUE(0)</f>
        <v>0</v>
      </c>
      <c r="BF257" s="23">
        <f>VALUE(0)</f>
        <v>0</v>
      </c>
      <c r="BG257" s="23">
        <f>VALUE(0)</f>
        <v>0</v>
      </c>
      <c r="BH257" s="23">
        <f>VALUE(0)</f>
        <v>0</v>
      </c>
      <c r="BI257" s="23">
        <f>VALUE(0)</f>
        <v>0</v>
      </c>
      <c r="BJ257" s="23">
        <f>VALUE(0)</f>
        <v>0</v>
      </c>
      <c r="BK257" s="12">
        <f>$AX$257*24</f>
        <v>11.583333333333334</v>
      </c>
      <c r="BL257" s="12">
        <f>$AY$257*24</f>
        <v>0</v>
      </c>
      <c r="BM257" s="12">
        <f>$BJ$257*24</f>
        <v>0</v>
      </c>
      <c r="BN257" s="12">
        <f>VALUE($I$257)/100</f>
        <v>1</v>
      </c>
      <c r="BO257" s="12">
        <v>0</v>
      </c>
      <c r="BP257" s="12">
        <v>0</v>
      </c>
      <c r="BQ257" s="12">
        <v>0</v>
      </c>
      <c r="BR257" s="12">
        <v>0</v>
      </c>
      <c r="BS257" s="12">
        <v>2</v>
      </c>
      <c r="BT257" s="12">
        <v>0</v>
      </c>
      <c r="BU257" s="12">
        <v>0</v>
      </c>
      <c r="BV257" s="12">
        <v>0</v>
      </c>
      <c r="BW257" s="12">
        <v>0</v>
      </c>
      <c r="BX257" s="12">
        <v>0</v>
      </c>
      <c r="BY257" s="12">
        <v>0</v>
      </c>
      <c r="BZ257" s="12">
        <v>0</v>
      </c>
      <c r="CA257" s="12">
        <v>0</v>
      </c>
    </row>
    <row r="258" spans="1:79" hidden="1" x14ac:dyDescent="0.2">
      <c r="A258" s="12" t="s">
        <v>137</v>
      </c>
      <c r="B258" s="12" t="s">
        <v>139</v>
      </c>
      <c r="C258" s="12" t="s">
        <v>139</v>
      </c>
      <c r="D258" s="22" t="s">
        <v>511</v>
      </c>
      <c r="E258" s="22" t="s">
        <v>161</v>
      </c>
      <c r="F258" s="22" t="s">
        <v>1003</v>
      </c>
      <c r="G258" s="22" t="s">
        <v>1004</v>
      </c>
      <c r="H258" s="22" t="s">
        <v>150</v>
      </c>
      <c r="I258" s="22" t="s">
        <v>151</v>
      </c>
      <c r="J258" s="22" t="s">
        <v>162</v>
      </c>
      <c r="K258" s="22" t="s">
        <v>94</v>
      </c>
      <c r="L258" s="54" t="s">
        <v>153</v>
      </c>
      <c r="M258" s="28" t="s">
        <v>163</v>
      </c>
      <c r="N258" s="24" t="s">
        <v>153</v>
      </c>
      <c r="O258" s="23" t="s">
        <v>153</v>
      </c>
      <c r="P258" s="23" t="s">
        <v>153</v>
      </c>
      <c r="Q258" s="23" t="s">
        <v>153</v>
      </c>
      <c r="R258" s="23" t="s">
        <v>498</v>
      </c>
      <c r="S258" s="23" t="s">
        <v>498</v>
      </c>
      <c r="T258" s="23" t="s">
        <v>498</v>
      </c>
      <c r="U258" s="24" t="s">
        <v>153</v>
      </c>
      <c r="V258" s="54" t="s">
        <v>153</v>
      </c>
      <c r="W258" s="23" t="s">
        <v>498</v>
      </c>
      <c r="X258" s="23" t="s">
        <v>498</v>
      </c>
      <c r="Y258" s="23" t="s">
        <v>498</v>
      </c>
      <c r="Z258" s="23" t="s">
        <v>498</v>
      </c>
      <c r="AA258" s="23" t="s">
        <v>498</v>
      </c>
      <c r="AB258" s="24" t="s">
        <v>153</v>
      </c>
      <c r="AC258" s="23" t="s">
        <v>498</v>
      </c>
      <c r="AD258" s="23" t="s">
        <v>498</v>
      </c>
      <c r="AE258" s="23" t="s">
        <v>498</v>
      </c>
      <c r="AF258" s="23" t="s">
        <v>498</v>
      </c>
      <c r="AG258" s="23" t="s">
        <v>498</v>
      </c>
      <c r="AH258" s="23" t="s">
        <v>498</v>
      </c>
      <c r="AI258" s="24" t="s">
        <v>153</v>
      </c>
      <c r="AJ258" s="23" t="s">
        <v>498</v>
      </c>
      <c r="AK258" s="23" t="s">
        <v>498</v>
      </c>
      <c r="AL258" s="24" t="s">
        <v>156</v>
      </c>
      <c r="AM258" s="24" t="s">
        <v>156</v>
      </c>
      <c r="AN258" s="23" t="s">
        <v>498</v>
      </c>
      <c r="AO258" s="23" t="s">
        <v>498</v>
      </c>
      <c r="AP258" s="23">
        <f>VALUE(0)</f>
        <v>0</v>
      </c>
      <c r="AQ258" s="23">
        <f>VALUE(0)</f>
        <v>0</v>
      </c>
      <c r="AR258" s="23">
        <f>VALUE(0)</f>
        <v>0</v>
      </c>
      <c r="AS258" s="23">
        <f>VALUE(0)</f>
        <v>0</v>
      </c>
      <c r="AT258" s="23">
        <f>VALUE(0)</f>
        <v>0</v>
      </c>
      <c r="AU258" s="23">
        <f>VALUE(1)</f>
        <v>1</v>
      </c>
      <c r="AV258" s="23">
        <f>VALUE(0)</f>
        <v>0</v>
      </c>
      <c r="AW258" s="23">
        <f>VALUE(0)</f>
        <v>0</v>
      </c>
      <c r="AX258" s="23" t="s">
        <v>515</v>
      </c>
      <c r="AY258" s="23" t="s">
        <v>1274</v>
      </c>
      <c r="AZ258" s="23">
        <f>VALUE(0)</f>
        <v>0</v>
      </c>
      <c r="BA258" s="23">
        <f>VALUE(0)</f>
        <v>0</v>
      </c>
      <c r="BB258" s="23">
        <f>VALUE(0)</f>
        <v>0</v>
      </c>
      <c r="BC258" s="23">
        <f>VALUE(0)</f>
        <v>0</v>
      </c>
      <c r="BD258" s="23">
        <f>VALUE(0)</f>
        <v>0</v>
      </c>
      <c r="BE258" s="23">
        <f>VALUE(0)</f>
        <v>0</v>
      </c>
      <c r="BF258" s="23">
        <f>VALUE(0)</f>
        <v>0</v>
      </c>
      <c r="BG258" s="23">
        <f>VALUE(0)</f>
        <v>0</v>
      </c>
      <c r="BH258" s="23">
        <f>VALUE(0)</f>
        <v>0</v>
      </c>
      <c r="BI258" s="23">
        <f>VALUE(0)</f>
        <v>0</v>
      </c>
      <c r="BJ258" s="23">
        <f>VALUE(0)</f>
        <v>0</v>
      </c>
      <c r="BK258" s="12">
        <f>$AX$258*24</f>
        <v>5.1166666666666663</v>
      </c>
      <c r="BL258" s="12">
        <f>$AY$258*24</f>
        <v>6.7333333333333334</v>
      </c>
      <c r="BM258" s="12">
        <f>$BJ$258*24</f>
        <v>0</v>
      </c>
      <c r="BN258" s="12">
        <f>VALUE($I$258)/100</f>
        <v>1</v>
      </c>
      <c r="BO258" s="12">
        <v>0</v>
      </c>
      <c r="BP258" s="12">
        <v>0</v>
      </c>
      <c r="BQ258" s="12">
        <v>0</v>
      </c>
      <c r="BR258" s="12">
        <v>0</v>
      </c>
      <c r="BS258" s="12">
        <v>0</v>
      </c>
      <c r="BT258" s="12">
        <v>0</v>
      </c>
      <c r="BU258" s="12">
        <v>0</v>
      </c>
      <c r="BV258" s="12">
        <v>0</v>
      </c>
      <c r="BW258" s="12">
        <v>0</v>
      </c>
      <c r="BX258" s="12">
        <v>0</v>
      </c>
      <c r="BY258" s="12">
        <v>0</v>
      </c>
      <c r="BZ258" s="12">
        <v>0</v>
      </c>
      <c r="CA258" s="12">
        <v>0</v>
      </c>
    </row>
    <row r="259" spans="1:79" hidden="1" x14ac:dyDescent="0.2">
      <c r="A259" s="12" t="s">
        <v>137</v>
      </c>
      <c r="B259" s="12" t="s">
        <v>139</v>
      </c>
      <c r="C259" s="12" t="s">
        <v>139</v>
      </c>
      <c r="D259" s="22" t="s">
        <v>512</v>
      </c>
      <c r="E259" s="22" t="s">
        <v>161</v>
      </c>
      <c r="F259" s="22" t="s">
        <v>1005</v>
      </c>
      <c r="G259" s="22" t="s">
        <v>1006</v>
      </c>
      <c r="H259" s="22" t="s">
        <v>150</v>
      </c>
      <c r="I259" s="22" t="s">
        <v>151</v>
      </c>
      <c r="J259" s="22" t="s">
        <v>162</v>
      </c>
      <c r="K259" s="22" t="s">
        <v>94</v>
      </c>
      <c r="L259" s="54" t="s">
        <v>153</v>
      </c>
      <c r="M259" s="23" t="s">
        <v>153</v>
      </c>
      <c r="N259" s="24" t="s">
        <v>153</v>
      </c>
      <c r="O259" s="24" t="s">
        <v>156</v>
      </c>
      <c r="P259" s="24" t="s">
        <v>156</v>
      </c>
      <c r="Q259" s="23" t="s">
        <v>153</v>
      </c>
      <c r="R259" s="28" t="s">
        <v>163</v>
      </c>
      <c r="S259" s="28" t="s">
        <v>163</v>
      </c>
      <c r="T259" s="28" t="s">
        <v>163</v>
      </c>
      <c r="U259" s="24" t="s">
        <v>153</v>
      </c>
      <c r="V259" s="54" t="s">
        <v>153</v>
      </c>
      <c r="W259" s="28" t="s">
        <v>163</v>
      </c>
      <c r="X259" s="28" t="s">
        <v>163</v>
      </c>
      <c r="Y259" s="28" t="s">
        <v>163</v>
      </c>
      <c r="Z259" s="28" t="s">
        <v>163</v>
      </c>
      <c r="AA259" s="28" t="s">
        <v>163</v>
      </c>
      <c r="AB259" s="24" t="s">
        <v>153</v>
      </c>
      <c r="AC259" s="23" t="s">
        <v>153</v>
      </c>
      <c r="AD259" s="23" t="s">
        <v>153</v>
      </c>
      <c r="AE259" s="23" t="s">
        <v>153</v>
      </c>
      <c r="AF259" s="23" t="s">
        <v>153</v>
      </c>
      <c r="AG259" s="23" t="s">
        <v>153</v>
      </c>
      <c r="AH259" s="23" t="s">
        <v>153</v>
      </c>
      <c r="AI259" s="24" t="s">
        <v>153</v>
      </c>
      <c r="AJ259" s="23" t="s">
        <v>153</v>
      </c>
      <c r="AK259" s="23" t="s">
        <v>153</v>
      </c>
      <c r="AL259" s="24" t="s">
        <v>156</v>
      </c>
      <c r="AM259" s="24" t="s">
        <v>156</v>
      </c>
      <c r="AN259" s="23" t="s">
        <v>153</v>
      </c>
      <c r="AO259" s="23" t="s">
        <v>153</v>
      </c>
      <c r="AP259" s="23">
        <f>VALUE(0)</f>
        <v>0</v>
      </c>
      <c r="AQ259" s="23">
        <f>VALUE(0)</f>
        <v>0</v>
      </c>
      <c r="AR259" s="23">
        <f>VALUE(0)</f>
        <v>0</v>
      </c>
      <c r="AS259" s="23">
        <f>VALUE(0)</f>
        <v>0</v>
      </c>
      <c r="AT259" s="23">
        <f>VALUE(0)</f>
        <v>0</v>
      </c>
      <c r="AU259" s="23">
        <f>VALUE(8)</f>
        <v>8</v>
      </c>
      <c r="AV259" s="23">
        <f>VALUE(1)</f>
        <v>1</v>
      </c>
      <c r="AW259" s="23">
        <f>VALUE(0)</f>
        <v>0</v>
      </c>
      <c r="AX259" s="23" t="s">
        <v>171</v>
      </c>
      <c r="AY259" s="23" t="s">
        <v>516</v>
      </c>
      <c r="AZ259" s="23">
        <f>VALUE(0)</f>
        <v>0</v>
      </c>
      <c r="BA259" s="23">
        <f>VALUE(0)</f>
        <v>0</v>
      </c>
      <c r="BB259" s="23">
        <f>VALUE(0)</f>
        <v>0</v>
      </c>
      <c r="BC259" s="23">
        <f>VALUE(0)</f>
        <v>0</v>
      </c>
      <c r="BD259" s="23">
        <f>VALUE(0)</f>
        <v>0</v>
      </c>
      <c r="BE259" s="23">
        <f>VALUE(0)</f>
        <v>0</v>
      </c>
      <c r="BF259" s="23">
        <f>VALUE(0)</f>
        <v>0</v>
      </c>
      <c r="BG259" s="23">
        <f>VALUE(0)</f>
        <v>0</v>
      </c>
      <c r="BH259" s="23">
        <f>VALUE(0)</f>
        <v>0</v>
      </c>
      <c r="BI259" s="23">
        <f>VALUE(0)</f>
        <v>0</v>
      </c>
      <c r="BJ259" s="23">
        <f>VALUE(0)</f>
        <v>0</v>
      </c>
      <c r="BK259" s="12">
        <f>$AX$259*24</f>
        <v>5.833333333333333</v>
      </c>
      <c r="BL259" s="12">
        <f>$AY$259*24</f>
        <v>11.883333333333333</v>
      </c>
      <c r="BM259" s="12">
        <f>$BJ$259*24</f>
        <v>0</v>
      </c>
      <c r="BN259" s="12">
        <f>VALUE($I$259)/100</f>
        <v>1</v>
      </c>
      <c r="BO259" s="12">
        <v>0</v>
      </c>
      <c r="BP259" s="12">
        <v>0</v>
      </c>
      <c r="BQ259" s="12">
        <v>0</v>
      </c>
      <c r="BR259" s="12">
        <v>0</v>
      </c>
      <c r="BS259" s="12">
        <v>0</v>
      </c>
      <c r="BT259" s="12">
        <v>0</v>
      </c>
      <c r="BU259" s="12">
        <v>0</v>
      </c>
      <c r="BV259" s="12">
        <v>0</v>
      </c>
      <c r="BW259" s="12">
        <v>0</v>
      </c>
      <c r="BX259" s="12">
        <v>0</v>
      </c>
      <c r="BY259" s="12">
        <v>0</v>
      </c>
      <c r="BZ259" s="12">
        <v>0</v>
      </c>
      <c r="CA259" s="12">
        <v>0</v>
      </c>
    </row>
    <row r="260" spans="1:79" hidden="1" x14ac:dyDescent="0.2">
      <c r="A260" s="12" t="s">
        <v>137</v>
      </c>
      <c r="B260" s="12" t="s">
        <v>139</v>
      </c>
      <c r="C260" s="12" t="s">
        <v>139</v>
      </c>
      <c r="D260" s="22" t="s">
        <v>512</v>
      </c>
      <c r="E260" s="22" t="s">
        <v>161</v>
      </c>
      <c r="F260" s="22" t="s">
        <v>1007</v>
      </c>
      <c r="G260" s="22" t="s">
        <v>1008</v>
      </c>
      <c r="H260" s="22" t="s">
        <v>191</v>
      </c>
      <c r="I260" s="22" t="s">
        <v>151</v>
      </c>
      <c r="J260" s="22" t="s">
        <v>162</v>
      </c>
      <c r="K260" s="22" t="s">
        <v>94</v>
      </c>
      <c r="L260" s="54" t="s">
        <v>153</v>
      </c>
      <c r="M260" s="23" t="s">
        <v>1275</v>
      </c>
      <c r="N260" s="24" t="s">
        <v>153</v>
      </c>
      <c r="O260" s="23" t="s">
        <v>153</v>
      </c>
      <c r="P260" s="23" t="s">
        <v>153</v>
      </c>
      <c r="Q260" s="23" t="s">
        <v>153</v>
      </c>
      <c r="R260" s="23" t="s">
        <v>153</v>
      </c>
      <c r="S260" s="23" t="s">
        <v>153</v>
      </c>
      <c r="T260" s="23" t="s">
        <v>153</v>
      </c>
      <c r="U260" s="24" t="s">
        <v>153</v>
      </c>
      <c r="V260" s="54" t="s">
        <v>153</v>
      </c>
      <c r="W260" s="23" t="s">
        <v>153</v>
      </c>
      <c r="X260" s="23" t="s">
        <v>153</v>
      </c>
      <c r="Y260" s="23" t="s">
        <v>153</v>
      </c>
      <c r="Z260" s="23" t="s">
        <v>153</v>
      </c>
      <c r="AA260" s="23" t="s">
        <v>153</v>
      </c>
      <c r="AB260" s="24" t="s">
        <v>153</v>
      </c>
      <c r="AC260" s="27" t="s">
        <v>153</v>
      </c>
      <c r="AD260" s="27" t="s">
        <v>153</v>
      </c>
      <c r="AE260" s="27" t="s">
        <v>153</v>
      </c>
      <c r="AF260" s="27" t="s">
        <v>153</v>
      </c>
      <c r="AG260" s="27" t="s">
        <v>153</v>
      </c>
      <c r="AH260" s="27" t="s">
        <v>153</v>
      </c>
      <c r="AI260" s="24" t="s">
        <v>153</v>
      </c>
      <c r="AJ260" s="27" t="s">
        <v>153</v>
      </c>
      <c r="AK260" s="27" t="s">
        <v>153</v>
      </c>
      <c r="AL260" s="27" t="s">
        <v>153</v>
      </c>
      <c r="AM260" s="27" t="s">
        <v>153</v>
      </c>
      <c r="AN260" s="27" t="s">
        <v>153</v>
      </c>
      <c r="AO260" s="27" t="s">
        <v>153</v>
      </c>
      <c r="AP260" s="23">
        <f>VALUE(0)</f>
        <v>0</v>
      </c>
      <c r="AQ260" s="23">
        <f>VALUE(0)</f>
        <v>0</v>
      </c>
      <c r="AR260" s="23">
        <f>VALUE(0)</f>
        <v>0</v>
      </c>
      <c r="AS260" s="23">
        <f>VALUE(0)</f>
        <v>0</v>
      </c>
      <c r="AT260" s="23">
        <f>VALUE(0)</f>
        <v>0</v>
      </c>
      <c r="AU260" s="23">
        <f>VALUE(0)</f>
        <v>0</v>
      </c>
      <c r="AV260" s="23">
        <f>VALUE(0)</f>
        <v>0</v>
      </c>
      <c r="AW260" s="23">
        <f>VALUE(0)</f>
        <v>0</v>
      </c>
      <c r="AX260" s="23">
        <f>VALUE(0)</f>
        <v>0</v>
      </c>
      <c r="AY260" s="23">
        <f>VALUE(0)</f>
        <v>0</v>
      </c>
      <c r="AZ260" s="23">
        <f>VALUE(0)</f>
        <v>0</v>
      </c>
      <c r="BA260" s="23">
        <f>VALUE(0)</f>
        <v>0</v>
      </c>
      <c r="BB260" s="23">
        <f>VALUE(0)</f>
        <v>0</v>
      </c>
      <c r="BC260" s="23">
        <f>VALUE(0)</f>
        <v>0</v>
      </c>
      <c r="BD260" s="23">
        <f>VALUE(1)</f>
        <v>1</v>
      </c>
      <c r="BE260" s="23">
        <f>VALUE(0)</f>
        <v>0</v>
      </c>
      <c r="BF260" s="23">
        <f>VALUE(0)</f>
        <v>0</v>
      </c>
      <c r="BG260" s="23">
        <f>VALUE(0)</f>
        <v>0</v>
      </c>
      <c r="BH260" s="23">
        <f>VALUE(0)</f>
        <v>0</v>
      </c>
      <c r="BI260" s="23">
        <f>VALUE(0)</f>
        <v>0</v>
      </c>
      <c r="BJ260" s="23">
        <f>VALUE(0)</f>
        <v>0</v>
      </c>
      <c r="BK260" s="12">
        <f>$AX$260*24</f>
        <v>0</v>
      </c>
      <c r="BL260" s="12">
        <f>$AY$260*24</f>
        <v>0</v>
      </c>
      <c r="BM260" s="12">
        <f>$BJ$260*24</f>
        <v>0</v>
      </c>
      <c r="BN260" s="12">
        <f>VALUE($I$260)/100</f>
        <v>1</v>
      </c>
      <c r="BO260" s="12">
        <v>0</v>
      </c>
      <c r="BP260" s="12">
        <v>0</v>
      </c>
      <c r="BQ260" s="12">
        <v>0</v>
      </c>
      <c r="BR260" s="12">
        <v>0</v>
      </c>
      <c r="BS260" s="12">
        <v>0</v>
      </c>
      <c r="BT260" s="12">
        <v>0</v>
      </c>
      <c r="BU260" s="12">
        <v>0</v>
      </c>
      <c r="BV260" s="12">
        <v>0</v>
      </c>
      <c r="BW260" s="12">
        <v>0</v>
      </c>
      <c r="BX260" s="12">
        <v>0</v>
      </c>
      <c r="BY260" s="12">
        <v>0</v>
      </c>
      <c r="BZ260" s="12">
        <v>0</v>
      </c>
      <c r="CA260" s="12">
        <v>0</v>
      </c>
    </row>
    <row r="261" spans="1:79" hidden="1" x14ac:dyDescent="0.2">
      <c r="A261" s="12" t="s">
        <v>137</v>
      </c>
      <c r="B261" s="12" t="s">
        <v>139</v>
      </c>
      <c r="C261" s="12" t="s">
        <v>139</v>
      </c>
      <c r="D261" s="22" t="s">
        <v>494</v>
      </c>
      <c r="E261" s="22" t="s">
        <v>161</v>
      </c>
      <c r="F261" s="22" t="s">
        <v>1009</v>
      </c>
      <c r="G261" s="22" t="s">
        <v>1010</v>
      </c>
      <c r="H261" s="22" t="s">
        <v>150</v>
      </c>
      <c r="I261" s="22" t="s">
        <v>151</v>
      </c>
      <c r="J261" s="22" t="s">
        <v>162</v>
      </c>
      <c r="K261" s="22" t="s">
        <v>94</v>
      </c>
      <c r="L261" s="54" t="s">
        <v>153</v>
      </c>
      <c r="M261" s="23" t="s">
        <v>153</v>
      </c>
      <c r="N261" s="24" t="s">
        <v>153</v>
      </c>
      <c r="O261" s="23" t="s">
        <v>153</v>
      </c>
      <c r="P261" s="23" t="s">
        <v>153</v>
      </c>
      <c r="Q261" s="23" t="s">
        <v>153</v>
      </c>
      <c r="R261" s="23" t="s">
        <v>153</v>
      </c>
      <c r="S261" s="23" t="s">
        <v>153</v>
      </c>
      <c r="T261" s="23" t="s">
        <v>153</v>
      </c>
      <c r="U261" s="24" t="s">
        <v>153</v>
      </c>
      <c r="V261" s="54" t="s">
        <v>153</v>
      </c>
      <c r="W261" s="23" t="s">
        <v>153</v>
      </c>
      <c r="X261" s="23" t="s">
        <v>153</v>
      </c>
      <c r="Y261" s="23" t="s">
        <v>153</v>
      </c>
      <c r="Z261" s="23" t="s">
        <v>153</v>
      </c>
      <c r="AA261" s="23" t="s">
        <v>153</v>
      </c>
      <c r="AB261" s="24" t="s">
        <v>153</v>
      </c>
      <c r="AC261" s="23" t="s">
        <v>153</v>
      </c>
      <c r="AD261" s="23" t="s">
        <v>153</v>
      </c>
      <c r="AE261" s="24" t="s">
        <v>156</v>
      </c>
      <c r="AF261" s="24" t="s">
        <v>156</v>
      </c>
      <c r="AG261" s="23" t="s">
        <v>153</v>
      </c>
      <c r="AH261" s="23" t="s">
        <v>153</v>
      </c>
      <c r="AI261" s="24" t="s">
        <v>153</v>
      </c>
      <c r="AJ261" s="23" t="s">
        <v>153</v>
      </c>
      <c r="AK261" s="23" t="s">
        <v>153</v>
      </c>
      <c r="AL261" s="23" t="s">
        <v>153</v>
      </c>
      <c r="AM261" s="23" t="s">
        <v>153</v>
      </c>
      <c r="AN261" s="23" t="s">
        <v>153</v>
      </c>
      <c r="AO261" s="23" t="s">
        <v>153</v>
      </c>
      <c r="AP261" s="23">
        <f>VALUE(0)</f>
        <v>0</v>
      </c>
      <c r="AQ261" s="23">
        <f>VALUE(0)</f>
        <v>0</v>
      </c>
      <c r="AR261" s="23">
        <f>VALUE(0)</f>
        <v>0</v>
      </c>
      <c r="AS261" s="23">
        <f>VALUE(0)</f>
        <v>0</v>
      </c>
      <c r="AT261" s="23">
        <f>VALUE(0)</f>
        <v>0</v>
      </c>
      <c r="AU261" s="23">
        <f>VALUE(0)</f>
        <v>0</v>
      </c>
      <c r="AV261" s="23">
        <f>VALUE(2)</f>
        <v>2</v>
      </c>
      <c r="AW261" s="23">
        <f>VALUE(0)</f>
        <v>0</v>
      </c>
      <c r="AX261" s="23" t="s">
        <v>171</v>
      </c>
      <c r="AY261" s="23" t="s">
        <v>517</v>
      </c>
      <c r="AZ261" s="23">
        <f>VALUE(0)</f>
        <v>0</v>
      </c>
      <c r="BA261" s="23">
        <f>VALUE(0)</f>
        <v>0</v>
      </c>
      <c r="BB261" s="23">
        <f>VALUE(0)</f>
        <v>0</v>
      </c>
      <c r="BC261" s="23">
        <f>VALUE(0)</f>
        <v>0</v>
      </c>
      <c r="BD261" s="23">
        <f>VALUE(0)</f>
        <v>0</v>
      </c>
      <c r="BE261" s="23">
        <f>VALUE(0)</f>
        <v>0</v>
      </c>
      <c r="BF261" s="23">
        <f>VALUE(0)</f>
        <v>0</v>
      </c>
      <c r="BG261" s="23">
        <f>VALUE(0)</f>
        <v>0</v>
      </c>
      <c r="BH261" s="23">
        <f>VALUE(0)</f>
        <v>0</v>
      </c>
      <c r="BI261" s="23">
        <f>VALUE(0)</f>
        <v>0</v>
      </c>
      <c r="BJ261" s="23">
        <f>VALUE(0)</f>
        <v>0</v>
      </c>
      <c r="BK261" s="12">
        <f>$AX$261*24</f>
        <v>5.833333333333333</v>
      </c>
      <c r="BL261" s="12">
        <f>$AY$261*24</f>
        <v>1.3</v>
      </c>
      <c r="BM261" s="12">
        <f>$BJ$261*24</f>
        <v>0</v>
      </c>
      <c r="BN261" s="12">
        <f>VALUE($I$261)/100</f>
        <v>1</v>
      </c>
      <c r="BO261" s="12">
        <v>0</v>
      </c>
      <c r="BP261" s="12">
        <v>0</v>
      </c>
      <c r="BQ261" s="12">
        <v>0</v>
      </c>
      <c r="BR261" s="12">
        <v>0</v>
      </c>
      <c r="BS261" s="12">
        <v>0</v>
      </c>
      <c r="BT261" s="12">
        <v>0</v>
      </c>
      <c r="BU261" s="12">
        <v>0</v>
      </c>
      <c r="BV261" s="12">
        <v>0</v>
      </c>
      <c r="BW261" s="12">
        <v>0</v>
      </c>
      <c r="BX261" s="12">
        <v>0</v>
      </c>
      <c r="BY261" s="12">
        <v>0</v>
      </c>
      <c r="BZ261" s="12">
        <v>0</v>
      </c>
      <c r="CA261" s="12">
        <v>0</v>
      </c>
    </row>
    <row r="262" spans="1:79" hidden="1" x14ac:dyDescent="0.2">
      <c r="A262" s="12" t="s">
        <v>137</v>
      </c>
      <c r="B262" s="12" t="s">
        <v>139</v>
      </c>
      <c r="C262" s="12" t="s">
        <v>139</v>
      </c>
      <c r="D262" s="22" t="s">
        <v>495</v>
      </c>
      <c r="E262" s="22" t="s">
        <v>161</v>
      </c>
      <c r="F262" s="22" t="s">
        <v>1011</v>
      </c>
      <c r="G262" s="22" t="s">
        <v>1012</v>
      </c>
      <c r="H262" s="22" t="s">
        <v>150</v>
      </c>
      <c r="I262" s="22" t="s">
        <v>151</v>
      </c>
      <c r="J262" s="22" t="s">
        <v>162</v>
      </c>
      <c r="K262" s="22" t="s">
        <v>94</v>
      </c>
      <c r="L262" s="54" t="s">
        <v>153</v>
      </c>
      <c r="M262" s="23" t="s">
        <v>153</v>
      </c>
      <c r="N262" s="24" t="s">
        <v>153</v>
      </c>
      <c r="O262" s="23" t="s">
        <v>153</v>
      </c>
      <c r="P262" s="23" t="s">
        <v>153</v>
      </c>
      <c r="Q262" s="23" t="s">
        <v>153</v>
      </c>
      <c r="R262" s="23" t="s">
        <v>153</v>
      </c>
      <c r="S262" s="23" t="s">
        <v>153</v>
      </c>
      <c r="T262" s="23" t="s">
        <v>153</v>
      </c>
      <c r="U262" s="24" t="s">
        <v>153</v>
      </c>
      <c r="V262" s="54" t="s">
        <v>153</v>
      </c>
      <c r="W262" s="28" t="s">
        <v>163</v>
      </c>
      <c r="X262" s="23" t="s">
        <v>153</v>
      </c>
      <c r="Y262" s="23" t="s">
        <v>153</v>
      </c>
      <c r="Z262" s="24" t="s">
        <v>156</v>
      </c>
      <c r="AA262" s="24" t="s">
        <v>156</v>
      </c>
      <c r="AB262" s="24" t="s">
        <v>153</v>
      </c>
      <c r="AC262" s="23" t="s">
        <v>153</v>
      </c>
      <c r="AD262" s="23" t="s">
        <v>153</v>
      </c>
      <c r="AE262" s="23" t="s">
        <v>153</v>
      </c>
      <c r="AF262" s="23" t="s">
        <v>153</v>
      </c>
      <c r="AG262" s="23" t="s">
        <v>153</v>
      </c>
      <c r="AH262" s="23" t="s">
        <v>153</v>
      </c>
      <c r="AI262" s="24" t="s">
        <v>153</v>
      </c>
      <c r="AJ262" s="23" t="s">
        <v>153</v>
      </c>
      <c r="AK262" s="23" t="s">
        <v>153</v>
      </c>
      <c r="AL262" s="23" t="s">
        <v>153</v>
      </c>
      <c r="AM262" s="23" t="s">
        <v>153</v>
      </c>
      <c r="AN262" s="23" t="s">
        <v>153</v>
      </c>
      <c r="AO262" s="23" t="s">
        <v>153</v>
      </c>
      <c r="AP262" s="23">
        <f>VALUE(0)</f>
        <v>0</v>
      </c>
      <c r="AQ262" s="23">
        <f>VALUE(0)</f>
        <v>0</v>
      </c>
      <c r="AR262" s="23">
        <f>VALUE(0)</f>
        <v>0</v>
      </c>
      <c r="AS262" s="23">
        <f>VALUE(0)</f>
        <v>0</v>
      </c>
      <c r="AT262" s="23">
        <f>VALUE(0)</f>
        <v>0</v>
      </c>
      <c r="AU262" s="23">
        <f>VALUE(1)</f>
        <v>1</v>
      </c>
      <c r="AV262" s="23">
        <f>VALUE(0)</f>
        <v>0</v>
      </c>
      <c r="AW262" s="23">
        <f>VALUE(0)</f>
        <v>0</v>
      </c>
      <c r="AX262" s="23" t="s">
        <v>171</v>
      </c>
      <c r="AY262" s="23" t="s">
        <v>404</v>
      </c>
      <c r="AZ262" s="23">
        <f>VALUE(0)</f>
        <v>0</v>
      </c>
      <c r="BA262" s="23">
        <f>VALUE(0)</f>
        <v>0</v>
      </c>
      <c r="BB262" s="23">
        <f>VALUE(0)</f>
        <v>0</v>
      </c>
      <c r="BC262" s="23">
        <f>VALUE(0)</f>
        <v>0</v>
      </c>
      <c r="BD262" s="23">
        <f>VALUE(0)</f>
        <v>0</v>
      </c>
      <c r="BE262" s="23">
        <f>VALUE(0)</f>
        <v>0</v>
      </c>
      <c r="BF262" s="23">
        <f>VALUE(0)</f>
        <v>0</v>
      </c>
      <c r="BG262" s="23">
        <f>VALUE(0)</f>
        <v>0</v>
      </c>
      <c r="BH262" s="23">
        <f>VALUE(0)</f>
        <v>0</v>
      </c>
      <c r="BI262" s="23">
        <f>VALUE(0)</f>
        <v>0</v>
      </c>
      <c r="BJ262" s="23">
        <f>VALUE(0)</f>
        <v>0</v>
      </c>
      <c r="BK262" s="12">
        <f>$AX$262*24</f>
        <v>5.833333333333333</v>
      </c>
      <c r="BL262" s="12">
        <f>$AY$262*24</f>
        <v>4.8499999999999996</v>
      </c>
      <c r="BM262" s="12">
        <f>$BJ$262*24</f>
        <v>0</v>
      </c>
      <c r="BN262" s="12">
        <f>VALUE($I$262)/100</f>
        <v>1</v>
      </c>
      <c r="BO262" s="12">
        <v>0</v>
      </c>
      <c r="BP262" s="12">
        <v>0</v>
      </c>
      <c r="BQ262" s="12">
        <v>0</v>
      </c>
      <c r="BR262" s="12">
        <v>0</v>
      </c>
      <c r="BS262" s="12">
        <v>0</v>
      </c>
      <c r="BT262" s="12">
        <v>0</v>
      </c>
      <c r="BU262" s="12">
        <v>0</v>
      </c>
      <c r="BV262" s="12">
        <v>0</v>
      </c>
      <c r="BW262" s="12">
        <v>0</v>
      </c>
      <c r="BX262" s="12">
        <v>0</v>
      </c>
      <c r="BY262" s="12">
        <v>0</v>
      </c>
      <c r="BZ262" s="12">
        <v>0</v>
      </c>
      <c r="CA262" s="12">
        <v>0</v>
      </c>
    </row>
    <row r="263" spans="1:79" hidden="1" x14ac:dyDescent="0.2">
      <c r="A263" s="12" t="s">
        <v>137</v>
      </c>
      <c r="B263" s="12" t="s">
        <v>139</v>
      </c>
      <c r="C263" s="12" t="s">
        <v>139</v>
      </c>
      <c r="D263" s="22" t="s">
        <v>490</v>
      </c>
      <c r="E263" s="22" t="s">
        <v>161</v>
      </c>
      <c r="F263" s="22" t="s">
        <v>1013</v>
      </c>
      <c r="G263" s="22" t="s">
        <v>1014</v>
      </c>
      <c r="H263" s="22" t="s">
        <v>191</v>
      </c>
      <c r="I263" s="22" t="s">
        <v>151</v>
      </c>
      <c r="J263" s="22" t="s">
        <v>162</v>
      </c>
      <c r="K263" s="22" t="s">
        <v>94</v>
      </c>
      <c r="L263" s="54" t="s">
        <v>153</v>
      </c>
      <c r="M263" s="23" t="s">
        <v>153</v>
      </c>
      <c r="N263" s="24" t="s">
        <v>153</v>
      </c>
      <c r="O263" s="27" t="s">
        <v>153</v>
      </c>
      <c r="P263" s="27" t="s">
        <v>153</v>
      </c>
      <c r="Q263" s="27" t="s">
        <v>153</v>
      </c>
      <c r="R263" s="27" t="s">
        <v>153</v>
      </c>
      <c r="S263" s="27" t="s">
        <v>153</v>
      </c>
      <c r="T263" s="27" t="s">
        <v>153</v>
      </c>
      <c r="U263" s="24" t="s">
        <v>153</v>
      </c>
      <c r="V263" s="54" t="s">
        <v>153</v>
      </c>
      <c r="W263" s="27" t="s">
        <v>153</v>
      </c>
      <c r="X263" s="27" t="s">
        <v>153</v>
      </c>
      <c r="Y263" s="27" t="s">
        <v>153</v>
      </c>
      <c r="Z263" s="27" t="s">
        <v>153</v>
      </c>
      <c r="AA263" s="27" t="s">
        <v>153</v>
      </c>
      <c r="AB263" s="24" t="s">
        <v>153</v>
      </c>
      <c r="AC263" s="27" t="s">
        <v>153</v>
      </c>
      <c r="AD263" s="27" t="s">
        <v>153</v>
      </c>
      <c r="AE263" s="27" t="s">
        <v>153</v>
      </c>
      <c r="AF263" s="27" t="s">
        <v>153</v>
      </c>
      <c r="AG263" s="27" t="s">
        <v>153</v>
      </c>
      <c r="AH263" s="27" t="s">
        <v>153</v>
      </c>
      <c r="AI263" s="24" t="s">
        <v>153</v>
      </c>
      <c r="AJ263" s="27" t="s">
        <v>153</v>
      </c>
      <c r="AK263" s="27" t="s">
        <v>153</v>
      </c>
      <c r="AL263" s="27" t="s">
        <v>153</v>
      </c>
      <c r="AM263" s="27" t="s">
        <v>153</v>
      </c>
      <c r="AN263" s="27" t="s">
        <v>153</v>
      </c>
      <c r="AO263" s="27" t="s">
        <v>153</v>
      </c>
      <c r="AP263" s="23">
        <f>VALUE(0)</f>
        <v>0</v>
      </c>
      <c r="AQ263" s="23">
        <f>VALUE(0)</f>
        <v>0</v>
      </c>
      <c r="AR263" s="23">
        <f>VALUE(0)</f>
        <v>0</v>
      </c>
      <c r="AS263" s="23">
        <f>VALUE(0)</f>
        <v>0</v>
      </c>
      <c r="AT263" s="23">
        <f>VALUE(0)</f>
        <v>0</v>
      </c>
      <c r="AU263" s="23">
        <f>VALUE(0)</f>
        <v>0</v>
      </c>
      <c r="AV263" s="23">
        <f>VALUE(0)</f>
        <v>0</v>
      </c>
      <c r="AW263" s="23">
        <f>VALUE(0)</f>
        <v>0</v>
      </c>
      <c r="AX263" s="23">
        <f>VALUE(0)</f>
        <v>0</v>
      </c>
      <c r="AY263" s="23">
        <f>VALUE(0)</f>
        <v>0</v>
      </c>
      <c r="AZ263" s="23">
        <f>VALUE(0)</f>
        <v>0</v>
      </c>
      <c r="BA263" s="23">
        <f>VALUE(0)</f>
        <v>0</v>
      </c>
      <c r="BB263" s="23">
        <f>VALUE(0)</f>
        <v>0</v>
      </c>
      <c r="BC263" s="23">
        <f>VALUE(0)</f>
        <v>0</v>
      </c>
      <c r="BD263" s="23">
        <f>VALUE(0)</f>
        <v>0</v>
      </c>
      <c r="BE263" s="23">
        <f>VALUE(0)</f>
        <v>0</v>
      </c>
      <c r="BF263" s="23">
        <f>VALUE(0)</f>
        <v>0</v>
      </c>
      <c r="BG263" s="23">
        <f>VALUE(0)</f>
        <v>0</v>
      </c>
      <c r="BH263" s="23">
        <f>VALUE(0)</f>
        <v>0</v>
      </c>
      <c r="BI263" s="23">
        <f>VALUE(0)</f>
        <v>0</v>
      </c>
      <c r="BJ263" s="23">
        <f>VALUE(0)</f>
        <v>0</v>
      </c>
      <c r="BK263" s="12">
        <f>$AX$263*24</f>
        <v>0</v>
      </c>
      <c r="BL263" s="12">
        <f>$AY$263*24</f>
        <v>0</v>
      </c>
      <c r="BM263" s="12">
        <f>$BJ$263*24</f>
        <v>0</v>
      </c>
      <c r="BN263" s="12">
        <f>VALUE($I$263)/100</f>
        <v>1</v>
      </c>
      <c r="BO263" s="12">
        <v>0</v>
      </c>
      <c r="BP263" s="12">
        <v>0</v>
      </c>
      <c r="BQ263" s="12">
        <v>0</v>
      </c>
      <c r="BR263" s="12">
        <v>0</v>
      </c>
      <c r="BS263" s="12">
        <v>0</v>
      </c>
      <c r="BT263" s="12">
        <v>0</v>
      </c>
      <c r="BU263" s="12">
        <v>0</v>
      </c>
      <c r="BV263" s="12">
        <v>0</v>
      </c>
      <c r="BW263" s="12">
        <v>0</v>
      </c>
      <c r="BX263" s="12">
        <v>0</v>
      </c>
      <c r="BY263" s="12">
        <v>0</v>
      </c>
      <c r="BZ263" s="12">
        <v>0</v>
      </c>
      <c r="CA263" s="12">
        <v>0</v>
      </c>
    </row>
    <row r="264" spans="1:79" hidden="1" x14ac:dyDescent="0.2">
      <c r="A264" s="12" t="s">
        <v>137</v>
      </c>
      <c r="B264" s="12" t="s">
        <v>139</v>
      </c>
      <c r="C264" s="12" t="s">
        <v>139</v>
      </c>
      <c r="D264" s="22" t="s">
        <v>490</v>
      </c>
      <c r="E264" s="22" t="s">
        <v>161</v>
      </c>
      <c r="F264" s="22" t="s">
        <v>1015</v>
      </c>
      <c r="G264" s="22" t="s">
        <v>1016</v>
      </c>
      <c r="H264" s="22" t="s">
        <v>150</v>
      </c>
      <c r="I264" s="22" t="s">
        <v>151</v>
      </c>
      <c r="J264" s="22" t="s">
        <v>162</v>
      </c>
      <c r="K264" s="22" t="s">
        <v>94</v>
      </c>
      <c r="L264" s="54" t="s">
        <v>153</v>
      </c>
      <c r="M264" s="28" t="s">
        <v>163</v>
      </c>
      <c r="N264" s="24" t="s">
        <v>153</v>
      </c>
      <c r="O264" s="23" t="s">
        <v>153</v>
      </c>
      <c r="P264" s="23" t="s">
        <v>153</v>
      </c>
      <c r="Q264" s="23" t="s">
        <v>153</v>
      </c>
      <c r="R264" s="23" t="s">
        <v>153</v>
      </c>
      <c r="S264" s="24" t="s">
        <v>156</v>
      </c>
      <c r="T264" s="24" t="s">
        <v>156</v>
      </c>
      <c r="U264" s="24" t="s">
        <v>153</v>
      </c>
      <c r="V264" s="54" t="s">
        <v>153</v>
      </c>
      <c r="W264" s="23" t="s">
        <v>153</v>
      </c>
      <c r="X264" s="23" t="s">
        <v>153</v>
      </c>
      <c r="Y264" s="23" t="s">
        <v>153</v>
      </c>
      <c r="Z264" s="23" t="s">
        <v>153</v>
      </c>
      <c r="AA264" s="23" t="s">
        <v>153</v>
      </c>
      <c r="AB264" s="24" t="s">
        <v>153</v>
      </c>
      <c r="AC264" s="23" t="s">
        <v>153</v>
      </c>
      <c r="AD264" s="23" t="s">
        <v>153</v>
      </c>
      <c r="AE264" s="23" t="s">
        <v>153</v>
      </c>
      <c r="AF264" s="23" t="s">
        <v>153</v>
      </c>
      <c r="AG264" s="23" t="s">
        <v>153</v>
      </c>
      <c r="AH264" s="23" t="s">
        <v>153</v>
      </c>
      <c r="AI264" s="24" t="s">
        <v>153</v>
      </c>
      <c r="AJ264" s="24" t="s">
        <v>156</v>
      </c>
      <c r="AK264" s="24" t="s">
        <v>156</v>
      </c>
      <c r="AL264" s="23" t="s">
        <v>153</v>
      </c>
      <c r="AM264" s="23" t="s">
        <v>153</v>
      </c>
      <c r="AN264" s="23" t="s">
        <v>153</v>
      </c>
      <c r="AO264" s="23" t="s">
        <v>153</v>
      </c>
      <c r="AP264" s="23">
        <f>VALUE(0)</f>
        <v>0</v>
      </c>
      <c r="AQ264" s="23">
        <f>VALUE(0)</f>
        <v>0</v>
      </c>
      <c r="AR264" s="23">
        <f>VALUE(0)</f>
        <v>0</v>
      </c>
      <c r="AS264" s="23">
        <f>VALUE(0)</f>
        <v>0</v>
      </c>
      <c r="AT264" s="23">
        <f>VALUE(0)</f>
        <v>0</v>
      </c>
      <c r="AU264" s="23">
        <f>VALUE(1)</f>
        <v>1</v>
      </c>
      <c r="AV264" s="23">
        <f>VALUE(0)</f>
        <v>0</v>
      </c>
      <c r="AW264" s="23">
        <f>VALUE(0)</f>
        <v>0</v>
      </c>
      <c r="AX264" s="23" t="s">
        <v>171</v>
      </c>
      <c r="AY264" s="23" t="s">
        <v>518</v>
      </c>
      <c r="AZ264" s="23">
        <f>VALUE(0)</f>
        <v>0</v>
      </c>
      <c r="BA264" s="23">
        <f>VALUE(0)</f>
        <v>0</v>
      </c>
      <c r="BB264" s="23">
        <f>VALUE(0)</f>
        <v>0</v>
      </c>
      <c r="BC264" s="23">
        <f>VALUE(0)</f>
        <v>0</v>
      </c>
      <c r="BD264" s="23">
        <f>VALUE(0)</f>
        <v>0</v>
      </c>
      <c r="BE264" s="23">
        <f>VALUE(0)</f>
        <v>0</v>
      </c>
      <c r="BF264" s="23">
        <f>VALUE(0)</f>
        <v>0</v>
      </c>
      <c r="BG264" s="23">
        <f>VALUE(0)</f>
        <v>0</v>
      </c>
      <c r="BH264" s="23">
        <f>VALUE(0)</f>
        <v>0</v>
      </c>
      <c r="BI264" s="23">
        <f>VALUE(0)</f>
        <v>0</v>
      </c>
      <c r="BJ264" s="23">
        <f>VALUE(0)</f>
        <v>0</v>
      </c>
      <c r="BK264" s="12">
        <f>$AX$264*24</f>
        <v>5.833333333333333</v>
      </c>
      <c r="BL264" s="12">
        <f>$AY$264*24</f>
        <v>3.8500000000000005</v>
      </c>
      <c r="BM264" s="12">
        <f>$BJ$264*24</f>
        <v>0</v>
      </c>
      <c r="BN264" s="12">
        <f>VALUE($I$264)/100</f>
        <v>1</v>
      </c>
      <c r="BO264" s="12">
        <v>0</v>
      </c>
      <c r="BP264" s="12">
        <v>0</v>
      </c>
      <c r="BQ264" s="12">
        <v>0</v>
      </c>
      <c r="BR264" s="12">
        <v>0</v>
      </c>
      <c r="BS264" s="12">
        <v>0</v>
      </c>
      <c r="BT264" s="12">
        <v>0</v>
      </c>
      <c r="BU264" s="12">
        <v>0</v>
      </c>
      <c r="BV264" s="12">
        <v>0</v>
      </c>
      <c r="BW264" s="12">
        <v>0</v>
      </c>
      <c r="BX264" s="12">
        <v>0</v>
      </c>
      <c r="BY264" s="12">
        <v>0</v>
      </c>
      <c r="BZ264" s="12">
        <v>0</v>
      </c>
      <c r="CA264" s="12">
        <v>0</v>
      </c>
    </row>
    <row r="265" spans="1:79" hidden="1" x14ac:dyDescent="0.2">
      <c r="A265" s="12" t="s">
        <v>137</v>
      </c>
      <c r="B265" s="12" t="s">
        <v>139</v>
      </c>
      <c r="C265" s="12" t="s">
        <v>139</v>
      </c>
      <c r="D265" s="22" t="s">
        <v>497</v>
      </c>
      <c r="E265" s="22" t="s">
        <v>161</v>
      </c>
      <c r="F265" s="22" t="s">
        <v>1276</v>
      </c>
      <c r="G265" s="22" t="s">
        <v>1017</v>
      </c>
      <c r="H265" s="22" t="s">
        <v>166</v>
      </c>
      <c r="I265" s="22" t="s">
        <v>151</v>
      </c>
      <c r="J265" s="22" t="s">
        <v>162</v>
      </c>
      <c r="K265" s="22" t="s">
        <v>94</v>
      </c>
      <c r="L265" s="54" t="s">
        <v>156</v>
      </c>
      <c r="M265" s="24" t="s">
        <v>156</v>
      </c>
      <c r="N265" s="24" t="s">
        <v>153</v>
      </c>
      <c r="O265" s="23" t="s">
        <v>153</v>
      </c>
      <c r="P265" s="23" t="s">
        <v>153</v>
      </c>
      <c r="Q265" s="23" t="s">
        <v>153</v>
      </c>
      <c r="R265" s="23" t="s">
        <v>153</v>
      </c>
      <c r="S265" s="23" t="s">
        <v>153</v>
      </c>
      <c r="T265" s="23" t="s">
        <v>153</v>
      </c>
      <c r="U265" s="24" t="s">
        <v>153</v>
      </c>
      <c r="V265" s="54" t="s">
        <v>153</v>
      </c>
      <c r="W265" s="23" t="s">
        <v>153</v>
      </c>
      <c r="X265" s="23" t="s">
        <v>153</v>
      </c>
      <c r="Y265" s="23" t="s">
        <v>153</v>
      </c>
      <c r="Z265" s="23" t="s">
        <v>153</v>
      </c>
      <c r="AA265" s="23" t="s">
        <v>153</v>
      </c>
      <c r="AB265" s="24" t="s">
        <v>153</v>
      </c>
      <c r="AC265" s="24" t="s">
        <v>156</v>
      </c>
      <c r="AD265" s="24" t="s">
        <v>156</v>
      </c>
      <c r="AE265" s="55" t="s">
        <v>1277</v>
      </c>
      <c r="AF265" s="55" t="s">
        <v>1277</v>
      </c>
      <c r="AG265" s="55" t="s">
        <v>1277</v>
      </c>
      <c r="AH265" s="55" t="s">
        <v>1277</v>
      </c>
      <c r="AI265" s="24" t="s">
        <v>153</v>
      </c>
      <c r="AJ265" s="23" t="s">
        <v>153</v>
      </c>
      <c r="AK265" s="23" t="s">
        <v>153</v>
      </c>
      <c r="AL265" s="23" t="s">
        <v>153</v>
      </c>
      <c r="AM265" s="23" t="s">
        <v>153</v>
      </c>
      <c r="AN265" s="23" t="s">
        <v>153</v>
      </c>
      <c r="AO265" s="23" t="s">
        <v>153</v>
      </c>
      <c r="AP265" s="23">
        <f>VALUE(0)</f>
        <v>0</v>
      </c>
      <c r="AQ265" s="23">
        <f>VALUE(0)</f>
        <v>0</v>
      </c>
      <c r="AR265" s="23">
        <f>VALUE(0)</f>
        <v>0</v>
      </c>
      <c r="AS265" s="23">
        <f>VALUE(0)</f>
        <v>0</v>
      </c>
      <c r="AT265" s="23">
        <f>VALUE(0)</f>
        <v>0</v>
      </c>
      <c r="AU265" s="23">
        <f>VALUE(0)</f>
        <v>0</v>
      </c>
      <c r="AV265" s="23">
        <f>VALUE(3)</f>
        <v>3</v>
      </c>
      <c r="AW265" s="23">
        <f>VALUE(0)</f>
        <v>0</v>
      </c>
      <c r="AX265" s="23" t="s">
        <v>1278</v>
      </c>
      <c r="AY265" s="23">
        <f>VALUE(0)</f>
        <v>0</v>
      </c>
      <c r="AZ265" s="23">
        <f>VALUE(0)</f>
        <v>0</v>
      </c>
      <c r="BA265" s="23">
        <f>VALUE(0)</f>
        <v>0</v>
      </c>
      <c r="BB265" s="23">
        <f>VALUE(0)</f>
        <v>0</v>
      </c>
      <c r="BC265" s="23">
        <f>VALUE(0)</f>
        <v>0</v>
      </c>
      <c r="BD265" s="23">
        <f>VALUE(0)</f>
        <v>0</v>
      </c>
      <c r="BE265" s="23">
        <f>VALUE(0)</f>
        <v>0</v>
      </c>
      <c r="BF265" s="23">
        <f>VALUE(0)</f>
        <v>0</v>
      </c>
      <c r="BG265" s="23">
        <f>VALUE(0)</f>
        <v>0</v>
      </c>
      <c r="BH265" s="23">
        <f>VALUE(0)</f>
        <v>0</v>
      </c>
      <c r="BI265" s="23">
        <f>VALUE(0)</f>
        <v>0</v>
      </c>
      <c r="BJ265" s="23">
        <f>VALUE(0)</f>
        <v>0</v>
      </c>
      <c r="BK265" s="12">
        <f>$AX$265*24</f>
        <v>6.3166666666666664</v>
      </c>
      <c r="BL265" s="12">
        <f>$AY$265*24</f>
        <v>0</v>
      </c>
      <c r="BM265" s="12">
        <f>$BJ$265*24</f>
        <v>0</v>
      </c>
      <c r="BN265" s="12">
        <f>VALUE($I$265)/100</f>
        <v>1</v>
      </c>
      <c r="BO265" s="12">
        <v>0</v>
      </c>
      <c r="BP265" s="12">
        <v>0</v>
      </c>
      <c r="BQ265" s="12">
        <v>0</v>
      </c>
      <c r="BR265" s="12">
        <v>0</v>
      </c>
      <c r="BS265" s="12">
        <v>0</v>
      </c>
      <c r="BT265" s="12">
        <v>0</v>
      </c>
      <c r="BU265" s="12">
        <v>0</v>
      </c>
      <c r="BV265" s="12">
        <v>0</v>
      </c>
      <c r="BW265" s="12">
        <v>0</v>
      </c>
      <c r="BX265" s="12">
        <v>0</v>
      </c>
      <c r="BY265" s="12">
        <v>0</v>
      </c>
      <c r="BZ265" s="12">
        <v>0</v>
      </c>
      <c r="CA265" s="12">
        <v>0</v>
      </c>
    </row>
    <row r="266" spans="1:79" hidden="1" x14ac:dyDescent="0.2">
      <c r="A266" s="12" t="s">
        <v>137</v>
      </c>
      <c r="B266" s="12" t="s">
        <v>139</v>
      </c>
      <c r="C266" s="12" t="s">
        <v>139</v>
      </c>
      <c r="D266" s="22" t="s">
        <v>519</v>
      </c>
      <c r="E266" s="22" t="s">
        <v>173</v>
      </c>
      <c r="F266" s="22" t="s">
        <v>1018</v>
      </c>
      <c r="G266" s="22" t="s">
        <v>1019</v>
      </c>
      <c r="H266" s="22" t="s">
        <v>190</v>
      </c>
      <c r="I266" s="22" t="s">
        <v>151</v>
      </c>
      <c r="J266" s="22" t="s">
        <v>162</v>
      </c>
      <c r="K266" s="22" t="s">
        <v>94</v>
      </c>
      <c r="L266" s="54" t="s">
        <v>153</v>
      </c>
      <c r="M266" s="23" t="s">
        <v>498</v>
      </c>
      <c r="N266" s="24" t="s">
        <v>153</v>
      </c>
      <c r="O266" s="23" t="s">
        <v>498</v>
      </c>
      <c r="P266" s="23" t="s">
        <v>498</v>
      </c>
      <c r="Q266" s="23" t="s">
        <v>498</v>
      </c>
      <c r="R266" s="23" t="s">
        <v>511</v>
      </c>
      <c r="S266" s="23" t="s">
        <v>511</v>
      </c>
      <c r="T266" s="23" t="s">
        <v>511</v>
      </c>
      <c r="U266" s="40" t="s">
        <v>153</v>
      </c>
      <c r="V266" s="40" t="s">
        <v>153</v>
      </c>
      <c r="W266" s="40" t="s">
        <v>153</v>
      </c>
      <c r="X266" s="40" t="s">
        <v>153</v>
      </c>
      <c r="Y266" s="40" t="s">
        <v>153</v>
      </c>
      <c r="Z266" s="40" t="s">
        <v>153</v>
      </c>
      <c r="AA266" s="40" t="s">
        <v>153</v>
      </c>
      <c r="AB266" s="40" t="s">
        <v>153</v>
      </c>
      <c r="AC266" s="40" t="s">
        <v>153</v>
      </c>
      <c r="AD266" s="40" t="s">
        <v>153</v>
      </c>
      <c r="AE266" s="40" t="s">
        <v>153</v>
      </c>
      <c r="AF266" s="40" t="s">
        <v>153</v>
      </c>
      <c r="AG266" s="40" t="s">
        <v>153</v>
      </c>
      <c r="AH266" s="40" t="s">
        <v>153</v>
      </c>
      <c r="AI266" s="40" t="s">
        <v>153</v>
      </c>
      <c r="AJ266" s="40" t="s">
        <v>153</v>
      </c>
      <c r="AK266" s="40" t="s">
        <v>153</v>
      </c>
      <c r="AL266" s="40" t="s">
        <v>153</v>
      </c>
      <c r="AM266" s="40" t="s">
        <v>153</v>
      </c>
      <c r="AN266" s="40" t="s">
        <v>153</v>
      </c>
      <c r="AO266" s="40" t="s">
        <v>153</v>
      </c>
      <c r="AP266" s="23">
        <f>VALUE(0)</f>
        <v>0</v>
      </c>
      <c r="AQ266" s="23">
        <f>VALUE(0)</f>
        <v>0</v>
      </c>
      <c r="AR266" s="23">
        <f>VALUE(0)</f>
        <v>0</v>
      </c>
      <c r="AS266" s="23">
        <f>VALUE(0)</f>
        <v>0</v>
      </c>
      <c r="AT266" s="23">
        <f>VALUE(0)</f>
        <v>0</v>
      </c>
      <c r="AU266" s="23">
        <f>VALUE(0)</f>
        <v>0</v>
      </c>
      <c r="AV266" s="23">
        <f>VALUE(4)</f>
        <v>4</v>
      </c>
      <c r="AW266" s="23">
        <f>VALUE(0)</f>
        <v>0</v>
      </c>
      <c r="AX266" s="23">
        <f>VALUE(0)</f>
        <v>0</v>
      </c>
      <c r="AY266" s="23">
        <f>VALUE(0)</f>
        <v>0</v>
      </c>
      <c r="AZ266" s="23">
        <f>VALUE(0)</f>
        <v>0</v>
      </c>
      <c r="BA266" s="23">
        <f>VALUE(0)</f>
        <v>0</v>
      </c>
      <c r="BB266" s="23">
        <f>VALUE(0)</f>
        <v>0</v>
      </c>
      <c r="BC266" s="23">
        <f>VALUE(0)</f>
        <v>0</v>
      </c>
      <c r="BD266" s="23">
        <f>VALUE(0)</f>
        <v>0</v>
      </c>
      <c r="BE266" s="23">
        <f>VALUE(0)</f>
        <v>0</v>
      </c>
      <c r="BF266" s="23">
        <f>VALUE(0)</f>
        <v>0</v>
      </c>
      <c r="BG266" s="23">
        <f>VALUE(0)</f>
        <v>0</v>
      </c>
      <c r="BH266" s="23">
        <f>VALUE(0)</f>
        <v>0</v>
      </c>
      <c r="BI266" s="23">
        <f>VALUE(0)</f>
        <v>0</v>
      </c>
      <c r="BJ266" s="23">
        <f>VALUE(0)</f>
        <v>0</v>
      </c>
      <c r="BK266" s="12">
        <f>$AX$266*24</f>
        <v>0</v>
      </c>
      <c r="BL266" s="12">
        <f>$AY$266*24</f>
        <v>0</v>
      </c>
      <c r="BM266" s="12">
        <f>$BJ$266*24</f>
        <v>0</v>
      </c>
      <c r="BN266" s="12">
        <f>VALUE($I$266)/100</f>
        <v>1</v>
      </c>
      <c r="BO266" s="12">
        <v>0</v>
      </c>
      <c r="BP266" s="12">
        <v>0</v>
      </c>
      <c r="BQ266" s="12">
        <v>0</v>
      </c>
      <c r="BR266" s="12">
        <v>0</v>
      </c>
      <c r="BS266" s="12">
        <v>0</v>
      </c>
      <c r="BT266" s="12">
        <v>0</v>
      </c>
      <c r="BU266" s="12">
        <v>0</v>
      </c>
      <c r="BV266" s="12">
        <v>0</v>
      </c>
      <c r="BW266" s="12">
        <v>0</v>
      </c>
      <c r="BX266" s="12">
        <v>0</v>
      </c>
      <c r="BY266" s="12">
        <v>0</v>
      </c>
      <c r="BZ266" s="12">
        <v>0</v>
      </c>
      <c r="CA266" s="12">
        <v>0</v>
      </c>
    </row>
    <row r="267" spans="1:79" hidden="1" x14ac:dyDescent="0.2">
      <c r="A267" s="12" t="s">
        <v>137</v>
      </c>
      <c r="B267" s="12" t="s">
        <v>139</v>
      </c>
      <c r="C267" s="12" t="s">
        <v>139</v>
      </c>
      <c r="D267" s="22" t="s">
        <v>519</v>
      </c>
      <c r="E267" s="22" t="s">
        <v>159</v>
      </c>
      <c r="F267" s="22" t="s">
        <v>1020</v>
      </c>
      <c r="G267" s="22" t="s">
        <v>1021</v>
      </c>
      <c r="H267" s="22" t="s">
        <v>150</v>
      </c>
      <c r="I267" s="22" t="s">
        <v>151</v>
      </c>
      <c r="J267" s="22" t="s">
        <v>162</v>
      </c>
      <c r="K267" s="22" t="s">
        <v>94</v>
      </c>
      <c r="L267" s="54" t="s">
        <v>153</v>
      </c>
      <c r="M267" s="23" t="s">
        <v>492</v>
      </c>
      <c r="N267" s="24" t="s">
        <v>153</v>
      </c>
      <c r="O267" s="23" t="s">
        <v>492</v>
      </c>
      <c r="P267" s="23" t="s">
        <v>492</v>
      </c>
      <c r="Q267" s="24" t="s">
        <v>156</v>
      </c>
      <c r="R267" s="24" t="s">
        <v>156</v>
      </c>
      <c r="S267" s="28" t="s">
        <v>163</v>
      </c>
      <c r="T267" s="28" t="s">
        <v>163</v>
      </c>
      <c r="U267" s="24" t="s">
        <v>153</v>
      </c>
      <c r="V267" s="54" t="s">
        <v>153</v>
      </c>
      <c r="W267" s="28" t="s">
        <v>163</v>
      </c>
      <c r="X267" s="28" t="s">
        <v>163</v>
      </c>
      <c r="Y267" s="28" t="s">
        <v>163</v>
      </c>
      <c r="Z267" s="28" t="s">
        <v>163</v>
      </c>
      <c r="AA267" s="28" t="s">
        <v>163</v>
      </c>
      <c r="AB267" s="24" t="s">
        <v>153</v>
      </c>
      <c r="AC267" s="28" t="s">
        <v>163</v>
      </c>
      <c r="AD267" s="25" t="s">
        <v>588</v>
      </c>
      <c r="AE267" s="25" t="s">
        <v>588</v>
      </c>
      <c r="AF267" s="25" t="s">
        <v>588</v>
      </c>
      <c r="AG267" s="23" t="s">
        <v>511</v>
      </c>
      <c r="AH267" s="23" t="s">
        <v>511</v>
      </c>
      <c r="AI267" s="24" t="s">
        <v>153</v>
      </c>
      <c r="AJ267" s="23" t="s">
        <v>511</v>
      </c>
      <c r="AK267" s="23" t="s">
        <v>511</v>
      </c>
      <c r="AL267" s="23" t="s">
        <v>511</v>
      </c>
      <c r="AM267" s="23" t="s">
        <v>511</v>
      </c>
      <c r="AN267" s="24" t="s">
        <v>156</v>
      </c>
      <c r="AO267" s="24" t="s">
        <v>156</v>
      </c>
      <c r="AP267" s="23">
        <f>VALUE(22)</f>
        <v>22</v>
      </c>
      <c r="AQ267" s="23">
        <f>VALUE(0)</f>
        <v>0</v>
      </c>
      <c r="AR267" s="23">
        <f>VALUE(0)</f>
        <v>0</v>
      </c>
      <c r="AS267" s="23">
        <f>VALUE(0)</f>
        <v>0</v>
      </c>
      <c r="AT267" s="23">
        <f>VALUE(0)</f>
        <v>0</v>
      </c>
      <c r="AU267" s="23">
        <f>VALUE(8)</f>
        <v>8</v>
      </c>
      <c r="AV267" s="23">
        <f>VALUE(0)</f>
        <v>0</v>
      </c>
      <c r="AW267" s="23">
        <f>VALUE(0)</f>
        <v>0</v>
      </c>
      <c r="AX267" s="23">
        <f>VALUE(0)</f>
        <v>0</v>
      </c>
      <c r="AY267" s="23">
        <f>VALUE(0)</f>
        <v>0</v>
      </c>
      <c r="AZ267" s="23">
        <f>VALUE(0)</f>
        <v>0</v>
      </c>
      <c r="BA267" s="23">
        <f>VALUE(0)</f>
        <v>0</v>
      </c>
      <c r="BB267" s="23">
        <f>VALUE(0)</f>
        <v>0</v>
      </c>
      <c r="BC267" s="23">
        <f>VALUE(0)</f>
        <v>0</v>
      </c>
      <c r="BD267" s="23">
        <f>VALUE(3)</f>
        <v>3</v>
      </c>
      <c r="BE267" s="23">
        <f>VALUE(0)</f>
        <v>0</v>
      </c>
      <c r="BF267" s="23">
        <f>VALUE(0)</f>
        <v>0</v>
      </c>
      <c r="BG267" s="23">
        <f>VALUE(0)</f>
        <v>0</v>
      </c>
      <c r="BH267" s="23">
        <f>VALUE(0)</f>
        <v>0</v>
      </c>
      <c r="BI267" s="23">
        <f>VALUE(0)</f>
        <v>0</v>
      </c>
      <c r="BJ267" s="23">
        <f>VALUE(0)</f>
        <v>0</v>
      </c>
      <c r="BK267" s="12">
        <f>$AX$267*24</f>
        <v>0</v>
      </c>
      <c r="BL267" s="12">
        <f>$AY$267*24</f>
        <v>0</v>
      </c>
      <c r="BM267" s="12">
        <f>$BJ$267*24</f>
        <v>0</v>
      </c>
      <c r="BN267" s="12">
        <f>VALUE($I$267)/100</f>
        <v>1</v>
      </c>
      <c r="BO267" s="12">
        <v>0</v>
      </c>
      <c r="BP267" s="12">
        <v>0</v>
      </c>
      <c r="BQ267" s="12">
        <v>0</v>
      </c>
      <c r="BR267" s="12">
        <v>3</v>
      </c>
      <c r="BS267" s="12">
        <v>0</v>
      </c>
      <c r="BT267" s="12">
        <v>0</v>
      </c>
      <c r="BU267" s="12">
        <v>0</v>
      </c>
      <c r="BV267" s="12">
        <v>0</v>
      </c>
      <c r="BW267" s="12">
        <v>0</v>
      </c>
      <c r="BX267" s="12">
        <v>0</v>
      </c>
      <c r="BY267" s="12">
        <v>0</v>
      </c>
      <c r="BZ267" s="12">
        <v>0</v>
      </c>
      <c r="CA267" s="12">
        <v>0</v>
      </c>
    </row>
    <row r="268" spans="1:79" ht="16.5" hidden="1" x14ac:dyDescent="0.2">
      <c r="A268" s="12" t="s">
        <v>137</v>
      </c>
      <c r="B268" s="12" t="s">
        <v>139</v>
      </c>
      <c r="C268" s="12" t="s">
        <v>139</v>
      </c>
      <c r="D268" s="22" t="s">
        <v>1279</v>
      </c>
      <c r="E268" s="22" t="s">
        <v>173</v>
      </c>
      <c r="F268" s="22" t="s">
        <v>1022</v>
      </c>
      <c r="G268" s="22" t="s">
        <v>1023</v>
      </c>
      <c r="H268" s="22" t="s">
        <v>150</v>
      </c>
      <c r="I268" s="22" t="s">
        <v>151</v>
      </c>
      <c r="J268" s="22" t="s">
        <v>162</v>
      </c>
      <c r="K268" s="22" t="s">
        <v>94</v>
      </c>
      <c r="L268" s="54" t="s">
        <v>153</v>
      </c>
      <c r="M268" s="32" t="s">
        <v>188</v>
      </c>
      <c r="N268" s="24" t="s">
        <v>153</v>
      </c>
      <c r="O268" s="32" t="s">
        <v>188</v>
      </c>
      <c r="P268" s="32" t="s">
        <v>188</v>
      </c>
      <c r="Q268" s="32" t="s">
        <v>188</v>
      </c>
      <c r="R268" s="32" t="s">
        <v>188</v>
      </c>
      <c r="S268" s="32" t="s">
        <v>188</v>
      </c>
      <c r="T268" s="32" t="s">
        <v>188</v>
      </c>
      <c r="U268" s="24" t="s">
        <v>153</v>
      </c>
      <c r="V268" s="54" t="s">
        <v>153</v>
      </c>
      <c r="W268" s="26" t="s">
        <v>1280</v>
      </c>
      <c r="X268" s="24" t="s">
        <v>156</v>
      </c>
      <c r="Y268" s="24" t="s">
        <v>156</v>
      </c>
      <c r="Z268" s="26" t="s">
        <v>1280</v>
      </c>
      <c r="AA268" s="26" t="s">
        <v>1280</v>
      </c>
      <c r="AB268" s="24" t="s">
        <v>153</v>
      </c>
      <c r="AC268" s="26" t="s">
        <v>1280</v>
      </c>
      <c r="AD268" s="26" t="s">
        <v>1280</v>
      </c>
      <c r="AE268" s="26" t="s">
        <v>1280</v>
      </c>
      <c r="AF268" s="26" t="s">
        <v>1280</v>
      </c>
      <c r="AG268" s="26" t="s">
        <v>1280</v>
      </c>
      <c r="AH268" s="26" t="s">
        <v>1280</v>
      </c>
      <c r="AI268" s="24" t="s">
        <v>153</v>
      </c>
      <c r="AJ268" s="26" t="s">
        <v>1280</v>
      </c>
      <c r="AK268" s="26" t="s">
        <v>1280</v>
      </c>
      <c r="AL268" s="26" t="s">
        <v>1280</v>
      </c>
      <c r="AM268" s="26" t="s">
        <v>1280</v>
      </c>
      <c r="AN268" s="26" t="s">
        <v>1280</v>
      </c>
      <c r="AO268" s="26" t="s">
        <v>1280</v>
      </c>
      <c r="AP268" s="23">
        <f>VALUE(0)</f>
        <v>0</v>
      </c>
      <c r="AQ268" s="23">
        <f>VALUE(0)</f>
        <v>0</v>
      </c>
      <c r="AR268" s="23">
        <f>VALUE(0)</f>
        <v>0</v>
      </c>
      <c r="AS268" s="23">
        <f>VALUE(0)</f>
        <v>0</v>
      </c>
      <c r="AT268" s="23">
        <f>VALUE(0)</f>
        <v>0</v>
      </c>
      <c r="AU268" s="23">
        <f>VALUE(0)</f>
        <v>0</v>
      </c>
      <c r="AV268" s="23">
        <f>VALUE(32)</f>
        <v>32</v>
      </c>
      <c r="AW268" s="23">
        <f>VALUE(0)</f>
        <v>0</v>
      </c>
      <c r="AX268" s="23" t="s">
        <v>520</v>
      </c>
      <c r="AY268" s="23" t="s">
        <v>1281</v>
      </c>
      <c r="AZ268" s="23">
        <f>VALUE(7)</f>
        <v>7</v>
      </c>
      <c r="BA268" s="23">
        <f>VALUE(0)</f>
        <v>0</v>
      </c>
      <c r="BB268" s="23">
        <f>VALUE(0)</f>
        <v>0</v>
      </c>
      <c r="BC268" s="23">
        <f>VALUE(0)</f>
        <v>0</v>
      </c>
      <c r="BD268" s="23">
        <f>VALUE(0)</f>
        <v>0</v>
      </c>
      <c r="BE268" s="23">
        <f>VALUE(0)</f>
        <v>0</v>
      </c>
      <c r="BF268" s="23">
        <f>VALUE(0)</f>
        <v>0</v>
      </c>
      <c r="BG268" s="23">
        <f>VALUE(0)</f>
        <v>0</v>
      </c>
      <c r="BH268" s="23">
        <f>VALUE(0)</f>
        <v>0</v>
      </c>
      <c r="BI268" s="23">
        <f>VALUE(0)</f>
        <v>0</v>
      </c>
      <c r="BJ268" s="23">
        <f>VALUE(0)</f>
        <v>0</v>
      </c>
      <c r="BK268" s="12">
        <f>$AX$268*24</f>
        <v>9.4833333333333325</v>
      </c>
      <c r="BL268" s="12">
        <f>$AY$268*24</f>
        <v>33.15</v>
      </c>
      <c r="BM268" s="12">
        <f>$BJ$268*24</f>
        <v>0</v>
      </c>
      <c r="BN268" s="12">
        <f>VALUE($I$268)/100</f>
        <v>1</v>
      </c>
      <c r="BO268" s="12">
        <v>0</v>
      </c>
      <c r="BP268" s="12">
        <v>0</v>
      </c>
      <c r="BQ268" s="12">
        <v>0</v>
      </c>
      <c r="BR268" s="12">
        <v>0</v>
      </c>
      <c r="BS268" s="12">
        <v>0</v>
      </c>
      <c r="BT268" s="12">
        <v>0</v>
      </c>
      <c r="BU268" s="12">
        <v>0</v>
      </c>
      <c r="BV268" s="12">
        <v>0</v>
      </c>
      <c r="BW268" s="12">
        <v>0</v>
      </c>
      <c r="BX268" s="12">
        <v>0</v>
      </c>
      <c r="BY268" s="12">
        <v>0</v>
      </c>
      <c r="BZ268" s="12">
        <v>0</v>
      </c>
      <c r="CA268" s="12">
        <v>0</v>
      </c>
    </row>
    <row r="269" spans="1:79" hidden="1" x14ac:dyDescent="0.2">
      <c r="A269" s="12" t="s">
        <v>137</v>
      </c>
      <c r="B269" s="12" t="s">
        <v>139</v>
      </c>
      <c r="C269" s="12" t="s">
        <v>139</v>
      </c>
      <c r="D269" s="22" t="s">
        <v>521</v>
      </c>
      <c r="E269" s="22" t="s">
        <v>173</v>
      </c>
      <c r="F269" s="22" t="s">
        <v>1024</v>
      </c>
      <c r="G269" s="22" t="s">
        <v>1025</v>
      </c>
      <c r="H269" s="22" t="s">
        <v>150</v>
      </c>
      <c r="I269" s="22" t="s">
        <v>151</v>
      </c>
      <c r="J269" s="22" t="s">
        <v>162</v>
      </c>
      <c r="K269" s="22" t="s">
        <v>94</v>
      </c>
      <c r="L269" s="54" t="s">
        <v>153</v>
      </c>
      <c r="M269" s="23" t="s">
        <v>511</v>
      </c>
      <c r="N269" s="24" t="s">
        <v>153</v>
      </c>
      <c r="O269" s="28" t="s">
        <v>163</v>
      </c>
      <c r="P269" s="28" t="s">
        <v>163</v>
      </c>
      <c r="Q269" s="28" t="s">
        <v>163</v>
      </c>
      <c r="R269" s="28" t="s">
        <v>163</v>
      </c>
      <c r="S269" s="28" t="s">
        <v>163</v>
      </c>
      <c r="T269" s="28" t="s">
        <v>163</v>
      </c>
      <c r="U269" s="24" t="s">
        <v>153</v>
      </c>
      <c r="V269" s="54" t="s">
        <v>153</v>
      </c>
      <c r="W269" s="23" t="s">
        <v>511</v>
      </c>
      <c r="X269" s="24" t="s">
        <v>156</v>
      </c>
      <c r="Y269" s="24" t="s">
        <v>156</v>
      </c>
      <c r="Z269" s="23" t="s">
        <v>511</v>
      </c>
      <c r="AA269" s="23" t="s">
        <v>511</v>
      </c>
      <c r="AB269" s="24" t="s">
        <v>153</v>
      </c>
      <c r="AC269" s="23" t="s">
        <v>511</v>
      </c>
      <c r="AD269" s="25" t="s">
        <v>511</v>
      </c>
      <c r="AE269" s="25" t="s">
        <v>511</v>
      </c>
      <c r="AF269" s="25" t="s">
        <v>511</v>
      </c>
      <c r="AG269" s="23" t="s">
        <v>514</v>
      </c>
      <c r="AH269" s="23" t="s">
        <v>514</v>
      </c>
      <c r="AI269" s="24" t="s">
        <v>153</v>
      </c>
      <c r="AJ269" s="23" t="s">
        <v>490</v>
      </c>
      <c r="AK269" s="23" t="s">
        <v>490</v>
      </c>
      <c r="AL269" s="23" t="s">
        <v>512</v>
      </c>
      <c r="AM269" s="23" t="s">
        <v>512</v>
      </c>
      <c r="AN269" s="23" t="s">
        <v>514</v>
      </c>
      <c r="AO269" s="23" t="s">
        <v>514</v>
      </c>
      <c r="AP269" s="23">
        <f>VALUE(0)</f>
        <v>0</v>
      </c>
      <c r="AQ269" s="23">
        <f>VALUE(0)</f>
        <v>0</v>
      </c>
      <c r="AR269" s="23">
        <f>VALUE(0)</f>
        <v>0</v>
      </c>
      <c r="AS269" s="23">
        <f>VALUE(0)</f>
        <v>0</v>
      </c>
      <c r="AT269" s="23">
        <f>VALUE(0)</f>
        <v>0</v>
      </c>
      <c r="AU269" s="23">
        <f>VALUE(6)</f>
        <v>6</v>
      </c>
      <c r="AV269" s="23">
        <f>VALUE(1)</f>
        <v>1</v>
      </c>
      <c r="AW269" s="23">
        <f>VALUE(0)</f>
        <v>0</v>
      </c>
      <c r="AX269" s="23" t="s">
        <v>515</v>
      </c>
      <c r="AY269" s="23" t="s">
        <v>523</v>
      </c>
      <c r="AZ269" s="23">
        <f>VALUE(0)</f>
        <v>0</v>
      </c>
      <c r="BA269" s="23">
        <f>VALUE(0)</f>
        <v>0</v>
      </c>
      <c r="BB269" s="23">
        <f>VALUE(0)</f>
        <v>0</v>
      </c>
      <c r="BC269" s="23">
        <f>VALUE(0)</f>
        <v>0</v>
      </c>
      <c r="BD269" s="23">
        <f>VALUE(0)</f>
        <v>0</v>
      </c>
      <c r="BE269" s="23">
        <f>VALUE(0)</f>
        <v>0</v>
      </c>
      <c r="BF269" s="23">
        <f>VALUE(0)</f>
        <v>0</v>
      </c>
      <c r="BG269" s="23">
        <f>VALUE(0)</f>
        <v>0</v>
      </c>
      <c r="BH269" s="23">
        <f>VALUE(0)</f>
        <v>0</v>
      </c>
      <c r="BI269" s="23">
        <f>VALUE(0)</f>
        <v>0</v>
      </c>
      <c r="BJ269" s="23">
        <f>VALUE(0)</f>
        <v>0</v>
      </c>
      <c r="BK269" s="12">
        <f>$AX$269*24</f>
        <v>5.1166666666666663</v>
      </c>
      <c r="BL269" s="12">
        <f>$AY$269*24</f>
        <v>4.3833333333333337</v>
      </c>
      <c r="BM269" s="12">
        <f>$BJ$269*24</f>
        <v>0</v>
      </c>
      <c r="BN269" s="12">
        <f>VALUE($I$269)/100</f>
        <v>1</v>
      </c>
      <c r="BO269" s="12">
        <v>0</v>
      </c>
      <c r="BP269" s="12">
        <v>0</v>
      </c>
      <c r="BQ269" s="12">
        <v>0</v>
      </c>
      <c r="BR269" s="12">
        <v>0</v>
      </c>
      <c r="BS269" s="12">
        <v>0</v>
      </c>
      <c r="BT269" s="12">
        <v>0</v>
      </c>
      <c r="BU269" s="12">
        <v>0</v>
      </c>
      <c r="BV269" s="12">
        <v>0</v>
      </c>
      <c r="BW269" s="12">
        <v>0</v>
      </c>
      <c r="BX269" s="12">
        <v>0</v>
      </c>
      <c r="BY269" s="12">
        <v>0</v>
      </c>
      <c r="BZ269" s="12">
        <v>0</v>
      </c>
      <c r="CA269" s="12">
        <v>0</v>
      </c>
    </row>
    <row r="270" spans="1:79" ht="15" hidden="1" x14ac:dyDescent="0.25">
      <c r="A270" s="12" t="s">
        <v>137</v>
      </c>
      <c r="B270" s="12" t="s">
        <v>139</v>
      </c>
      <c r="C270" s="12" t="s">
        <v>139</v>
      </c>
      <c r="D270" s="31" t="s">
        <v>202</v>
      </c>
      <c r="E270" s="31" t="s">
        <v>153</v>
      </c>
      <c r="F270" s="31" t="s">
        <v>175</v>
      </c>
      <c r="G270" s="31" t="s">
        <v>153</v>
      </c>
      <c r="H270" s="31" t="s">
        <v>153</v>
      </c>
      <c r="I270" s="31" t="s">
        <v>153</v>
      </c>
      <c r="J270" s="31" t="s">
        <v>153</v>
      </c>
      <c r="K270" s="31" t="s">
        <v>153</v>
      </c>
      <c r="L270" s="31">
        <f>VALUE(0)</f>
        <v>0</v>
      </c>
      <c r="M270" s="31">
        <f>VALUE(9)</f>
        <v>9</v>
      </c>
      <c r="N270" s="31">
        <f>VALUE(0)</f>
        <v>0</v>
      </c>
      <c r="O270" s="31">
        <f>VALUE(9)</f>
        <v>9</v>
      </c>
      <c r="P270" s="31">
        <f>VALUE(9)</f>
        <v>9</v>
      </c>
      <c r="Q270" s="31">
        <f>VALUE(9)</f>
        <v>9</v>
      </c>
      <c r="R270" s="31">
        <f>VALUE(8)</f>
        <v>8</v>
      </c>
      <c r="S270" s="31">
        <f>VALUE(7)</f>
        <v>7</v>
      </c>
      <c r="T270" s="31">
        <f>VALUE(7)</f>
        <v>7</v>
      </c>
      <c r="U270" s="31">
        <f>VALUE(0)</f>
        <v>0</v>
      </c>
      <c r="V270" s="31">
        <f>VALUE(0)</f>
        <v>0</v>
      </c>
      <c r="W270" s="31">
        <f>VALUE(7)</f>
        <v>7</v>
      </c>
      <c r="X270" s="31">
        <f>VALUE(7)</f>
        <v>7</v>
      </c>
      <c r="Y270" s="31">
        <f>VALUE(7)</f>
        <v>7</v>
      </c>
      <c r="Z270" s="31">
        <f>VALUE(8)</f>
        <v>8</v>
      </c>
      <c r="AA270" s="31">
        <f>VALUE(8)</f>
        <v>8</v>
      </c>
      <c r="AB270" s="31">
        <f>VALUE(0)</f>
        <v>0</v>
      </c>
      <c r="AC270" s="31">
        <f>VALUE(8)</f>
        <v>8</v>
      </c>
      <c r="AD270" s="31">
        <f>VALUE(9)</f>
        <v>9</v>
      </c>
      <c r="AE270" s="31">
        <f>VALUE(8)</f>
        <v>8</v>
      </c>
      <c r="AF270" s="31">
        <f>VALUE(8)</f>
        <v>8</v>
      </c>
      <c r="AG270" s="31">
        <f>VALUE(8)</f>
        <v>8</v>
      </c>
      <c r="AH270" s="31">
        <f>VALUE(8)</f>
        <v>8</v>
      </c>
      <c r="AI270" s="31">
        <f>VALUE(0)</f>
        <v>0</v>
      </c>
      <c r="AJ270" s="31">
        <f>VALUE(9)</f>
        <v>9</v>
      </c>
      <c r="AK270" s="31">
        <f>VALUE(9)</f>
        <v>9</v>
      </c>
      <c r="AL270" s="31">
        <f>VALUE(8)</f>
        <v>8</v>
      </c>
      <c r="AM270" s="31">
        <f>VALUE(8)</f>
        <v>8</v>
      </c>
      <c r="AN270" s="31">
        <f>VALUE(8)</f>
        <v>8</v>
      </c>
      <c r="AO270" s="31">
        <f>VALUE(8)</f>
        <v>8</v>
      </c>
      <c r="AP270" s="31">
        <v>0</v>
      </c>
      <c r="AQ270" s="31">
        <v>0</v>
      </c>
      <c r="AR270" s="31">
        <v>0</v>
      </c>
      <c r="AS270" s="31">
        <v>0</v>
      </c>
      <c r="AT270" s="31">
        <v>0</v>
      </c>
      <c r="AU270" s="31">
        <v>0</v>
      </c>
      <c r="AV270" s="31">
        <v>0</v>
      </c>
      <c r="AW270" s="31">
        <v>0</v>
      </c>
      <c r="AX270" s="31">
        <v>0</v>
      </c>
      <c r="AY270" s="31">
        <v>0</v>
      </c>
      <c r="AZ270" s="31">
        <v>0</v>
      </c>
      <c r="BA270" s="31">
        <v>0</v>
      </c>
      <c r="BB270" s="31">
        <v>0</v>
      </c>
      <c r="BC270" s="31">
        <v>0</v>
      </c>
      <c r="BD270" s="31">
        <v>0</v>
      </c>
      <c r="BE270" s="31">
        <v>0</v>
      </c>
      <c r="BF270" s="31">
        <v>0</v>
      </c>
      <c r="BG270" s="31">
        <v>0</v>
      </c>
      <c r="BH270" s="31">
        <v>0</v>
      </c>
      <c r="BI270" s="31">
        <v>0</v>
      </c>
      <c r="BJ270" s="31">
        <v>0</v>
      </c>
      <c r="BK270" s="12">
        <v>0</v>
      </c>
      <c r="BL270" s="12">
        <v>0</v>
      </c>
      <c r="BM270" s="12">
        <v>0</v>
      </c>
      <c r="BN270" s="12"/>
      <c r="BO270" s="12">
        <v>0</v>
      </c>
      <c r="BP270" s="12">
        <v>0</v>
      </c>
      <c r="BQ270" s="12">
        <v>0</v>
      </c>
      <c r="BR270" s="12">
        <v>0</v>
      </c>
      <c r="BS270" s="12">
        <v>0</v>
      </c>
      <c r="BT270" s="12">
        <v>0</v>
      </c>
      <c r="BU270" s="12">
        <v>0</v>
      </c>
      <c r="BV270" s="12">
        <v>0</v>
      </c>
      <c r="BW270" s="12">
        <v>0</v>
      </c>
      <c r="BX270" s="12">
        <v>0</v>
      </c>
      <c r="BY270" s="12">
        <v>0</v>
      </c>
      <c r="BZ270" s="12">
        <v>0</v>
      </c>
      <c r="CA270" s="12">
        <v>0</v>
      </c>
    </row>
    <row r="271" spans="1:79" hidden="1" x14ac:dyDescent="0.2">
      <c r="A271" s="12" t="s">
        <v>137</v>
      </c>
      <c r="B271" s="12" t="s">
        <v>140</v>
      </c>
      <c r="C271" s="12" t="s">
        <v>140</v>
      </c>
      <c r="D271" s="22" t="s">
        <v>513</v>
      </c>
      <c r="E271" s="22" t="s">
        <v>149</v>
      </c>
      <c r="F271" s="22" t="s">
        <v>1026</v>
      </c>
      <c r="G271" s="22" t="s">
        <v>1027</v>
      </c>
      <c r="H271" s="22" t="s">
        <v>150</v>
      </c>
      <c r="I271" s="22" t="s">
        <v>151</v>
      </c>
      <c r="J271" s="22" t="s">
        <v>524</v>
      </c>
      <c r="K271" s="22" t="s">
        <v>95</v>
      </c>
      <c r="L271" s="54" t="s">
        <v>153</v>
      </c>
      <c r="M271" s="32" t="s">
        <v>188</v>
      </c>
      <c r="N271" s="24" t="s">
        <v>153</v>
      </c>
      <c r="O271" s="32" t="s">
        <v>188</v>
      </c>
      <c r="P271" s="23" t="s">
        <v>459</v>
      </c>
      <c r="Q271" s="23" t="s">
        <v>459</v>
      </c>
      <c r="R271" s="23" t="s">
        <v>459</v>
      </c>
      <c r="S271" s="23" t="s">
        <v>459</v>
      </c>
      <c r="T271" s="23" t="s">
        <v>459</v>
      </c>
      <c r="U271" s="24" t="s">
        <v>153</v>
      </c>
      <c r="V271" s="54" t="s">
        <v>153</v>
      </c>
      <c r="W271" s="23" t="s">
        <v>459</v>
      </c>
      <c r="X271" s="23" t="s">
        <v>459</v>
      </c>
      <c r="Y271" s="23" t="s">
        <v>459</v>
      </c>
      <c r="Z271" s="24" t="s">
        <v>156</v>
      </c>
      <c r="AA271" s="24" t="s">
        <v>156</v>
      </c>
      <c r="AB271" s="24" t="s">
        <v>153</v>
      </c>
      <c r="AC271" s="23" t="s">
        <v>459</v>
      </c>
      <c r="AD271" s="23" t="s">
        <v>459</v>
      </c>
      <c r="AE271" s="23" t="s">
        <v>459</v>
      </c>
      <c r="AF271" s="23" t="s">
        <v>459</v>
      </c>
      <c r="AG271" s="23" t="s">
        <v>459</v>
      </c>
      <c r="AH271" s="23" t="s">
        <v>459</v>
      </c>
      <c r="AI271" s="24" t="s">
        <v>153</v>
      </c>
      <c r="AJ271" s="23" t="s">
        <v>459</v>
      </c>
      <c r="AK271" s="23" t="s">
        <v>459</v>
      </c>
      <c r="AL271" s="23" t="s">
        <v>459</v>
      </c>
      <c r="AM271" s="23" t="s">
        <v>459</v>
      </c>
      <c r="AN271" s="23" t="s">
        <v>459</v>
      </c>
      <c r="AO271" s="23" t="s">
        <v>459</v>
      </c>
      <c r="AP271" s="23">
        <f>VALUE(0)</f>
        <v>0</v>
      </c>
      <c r="AQ271" s="23">
        <f>VALUE(0)</f>
        <v>0</v>
      </c>
      <c r="AR271" s="23">
        <f>VALUE(0)</f>
        <v>0</v>
      </c>
      <c r="AS271" s="23">
        <f>VALUE(0)</f>
        <v>0</v>
      </c>
      <c r="AT271" s="23">
        <f>VALUE(0)</f>
        <v>0</v>
      </c>
      <c r="AU271" s="23">
        <f>VALUE(0)</f>
        <v>0</v>
      </c>
      <c r="AV271" s="23">
        <f>VALUE(11)</f>
        <v>11</v>
      </c>
      <c r="AW271" s="23">
        <f>VALUE(0)</f>
        <v>0</v>
      </c>
      <c r="AX271" s="23" t="s">
        <v>1282</v>
      </c>
      <c r="AY271" s="23" t="s">
        <v>176</v>
      </c>
      <c r="AZ271" s="23">
        <f>VALUE(2)</f>
        <v>2</v>
      </c>
      <c r="BA271" s="23">
        <f>VALUE(0)</f>
        <v>0</v>
      </c>
      <c r="BB271" s="23">
        <f>VALUE(0)</f>
        <v>0</v>
      </c>
      <c r="BC271" s="23">
        <f>VALUE(0)</f>
        <v>0</v>
      </c>
      <c r="BD271" s="23">
        <f>VALUE(0)</f>
        <v>0</v>
      </c>
      <c r="BE271" s="23">
        <f>VALUE(0)</f>
        <v>0</v>
      </c>
      <c r="BF271" s="23">
        <f>VALUE(0)</f>
        <v>0</v>
      </c>
      <c r="BG271" s="23">
        <f>VALUE(0)</f>
        <v>0</v>
      </c>
      <c r="BH271" s="23">
        <f>VALUE(0)</f>
        <v>0</v>
      </c>
      <c r="BI271" s="23">
        <f>VALUE(0)</f>
        <v>0</v>
      </c>
      <c r="BJ271" s="23">
        <f>VALUE(0)</f>
        <v>0</v>
      </c>
      <c r="BK271" s="12">
        <f>$AX$271*24</f>
        <v>1.8333333333333335</v>
      </c>
      <c r="BL271" s="12">
        <f>$AY$271*24</f>
        <v>0</v>
      </c>
      <c r="BM271" s="12">
        <f>$BJ$271*24</f>
        <v>0</v>
      </c>
      <c r="BN271" s="12">
        <f>VALUE($I$271)/100</f>
        <v>1</v>
      </c>
      <c r="BO271" s="12">
        <v>0</v>
      </c>
      <c r="BP271" s="12">
        <v>0</v>
      </c>
      <c r="BQ271" s="12">
        <v>0</v>
      </c>
      <c r="BR271" s="12">
        <v>0</v>
      </c>
      <c r="BS271" s="12">
        <v>0</v>
      </c>
      <c r="BT271" s="12">
        <v>0</v>
      </c>
      <c r="BU271" s="12">
        <v>0</v>
      </c>
      <c r="BV271" s="12">
        <v>0</v>
      </c>
      <c r="BW271" s="12">
        <v>0</v>
      </c>
      <c r="BX271" s="12">
        <v>0</v>
      </c>
      <c r="BY271" s="12">
        <v>0</v>
      </c>
      <c r="BZ271" s="12">
        <v>0</v>
      </c>
      <c r="CA271" s="12">
        <v>0</v>
      </c>
    </row>
    <row r="272" spans="1:79" ht="15" hidden="1" x14ac:dyDescent="0.25">
      <c r="A272" s="12" t="s">
        <v>137</v>
      </c>
      <c r="B272" s="12" t="s">
        <v>140</v>
      </c>
      <c r="C272" s="12" t="s">
        <v>140</v>
      </c>
      <c r="D272" s="31" t="s">
        <v>262</v>
      </c>
      <c r="E272" s="31" t="s">
        <v>153</v>
      </c>
      <c r="F272" s="31" t="s">
        <v>175</v>
      </c>
      <c r="G272" s="31" t="s">
        <v>153</v>
      </c>
      <c r="H272" s="31" t="s">
        <v>153</v>
      </c>
      <c r="I272" s="31" t="s">
        <v>153</v>
      </c>
      <c r="J272" s="31" t="s">
        <v>153</v>
      </c>
      <c r="K272" s="31" t="s">
        <v>153</v>
      </c>
      <c r="L272" s="31">
        <f>VALUE(0)</f>
        <v>0</v>
      </c>
      <c r="M272" s="31">
        <f>VALUE(0)</f>
        <v>0</v>
      </c>
      <c r="N272" s="31">
        <f>VALUE(0)</f>
        <v>0</v>
      </c>
      <c r="O272" s="31">
        <f>VALUE(0)</f>
        <v>0</v>
      </c>
      <c r="P272" s="31">
        <f>VALUE(1)</f>
        <v>1</v>
      </c>
      <c r="Q272" s="31">
        <f>VALUE(1)</f>
        <v>1</v>
      </c>
      <c r="R272" s="31">
        <f>VALUE(1)</f>
        <v>1</v>
      </c>
      <c r="S272" s="31">
        <f>VALUE(1)</f>
        <v>1</v>
      </c>
      <c r="T272" s="31">
        <f>VALUE(1)</f>
        <v>1</v>
      </c>
      <c r="U272" s="31">
        <f>VALUE(0)</f>
        <v>0</v>
      </c>
      <c r="V272" s="31">
        <f>VALUE(0)</f>
        <v>0</v>
      </c>
      <c r="W272" s="31">
        <f>VALUE(1)</f>
        <v>1</v>
      </c>
      <c r="X272" s="31">
        <f>VALUE(1)</f>
        <v>1</v>
      </c>
      <c r="Y272" s="31">
        <f>VALUE(1)</f>
        <v>1</v>
      </c>
      <c r="Z272" s="31">
        <f>VALUE(0)</f>
        <v>0</v>
      </c>
      <c r="AA272" s="31">
        <f>VALUE(0)</f>
        <v>0</v>
      </c>
      <c r="AB272" s="31">
        <f>VALUE(0)</f>
        <v>0</v>
      </c>
      <c r="AC272" s="31">
        <f>VALUE(1)</f>
        <v>1</v>
      </c>
      <c r="AD272" s="31">
        <f>VALUE(1)</f>
        <v>1</v>
      </c>
      <c r="AE272" s="31">
        <f>VALUE(1)</f>
        <v>1</v>
      </c>
      <c r="AF272" s="31">
        <f>VALUE(1)</f>
        <v>1</v>
      </c>
      <c r="AG272" s="31">
        <f>VALUE(1)</f>
        <v>1</v>
      </c>
      <c r="AH272" s="31">
        <f>VALUE(1)</f>
        <v>1</v>
      </c>
      <c r="AI272" s="31">
        <f>VALUE(0)</f>
        <v>0</v>
      </c>
      <c r="AJ272" s="31">
        <f>VALUE(1)</f>
        <v>1</v>
      </c>
      <c r="AK272" s="31">
        <f>VALUE(1)</f>
        <v>1</v>
      </c>
      <c r="AL272" s="31">
        <f>VALUE(1)</f>
        <v>1</v>
      </c>
      <c r="AM272" s="31">
        <f>VALUE(1)</f>
        <v>1</v>
      </c>
      <c r="AN272" s="31">
        <f>VALUE(1)</f>
        <v>1</v>
      </c>
      <c r="AO272" s="31">
        <f>VALUE(1)</f>
        <v>1</v>
      </c>
      <c r="AP272" s="31">
        <v>0</v>
      </c>
      <c r="AQ272" s="31">
        <v>0</v>
      </c>
      <c r="AR272" s="31">
        <v>0</v>
      </c>
      <c r="AS272" s="31">
        <v>0</v>
      </c>
      <c r="AT272" s="31">
        <v>0</v>
      </c>
      <c r="AU272" s="31">
        <v>0</v>
      </c>
      <c r="AV272" s="31">
        <v>0</v>
      </c>
      <c r="AW272" s="31">
        <v>0</v>
      </c>
      <c r="AX272" s="31">
        <v>0</v>
      </c>
      <c r="AY272" s="31">
        <v>0</v>
      </c>
      <c r="AZ272" s="31">
        <v>0</v>
      </c>
      <c r="BA272" s="31">
        <v>0</v>
      </c>
      <c r="BB272" s="31">
        <v>0</v>
      </c>
      <c r="BC272" s="31">
        <v>0</v>
      </c>
      <c r="BD272" s="31">
        <v>0</v>
      </c>
      <c r="BE272" s="31">
        <v>0</v>
      </c>
      <c r="BF272" s="31">
        <v>0</v>
      </c>
      <c r="BG272" s="31">
        <v>0</v>
      </c>
      <c r="BH272" s="31">
        <v>0</v>
      </c>
      <c r="BI272" s="31">
        <v>0</v>
      </c>
      <c r="BJ272" s="31">
        <v>0</v>
      </c>
      <c r="BK272" s="12">
        <v>0</v>
      </c>
      <c r="BL272" s="12">
        <v>0</v>
      </c>
      <c r="BM272" s="12">
        <v>0</v>
      </c>
      <c r="BN272" s="12"/>
      <c r="BO272" s="12">
        <v>0</v>
      </c>
      <c r="BP272" s="12">
        <v>0</v>
      </c>
      <c r="BQ272" s="12">
        <v>0</v>
      </c>
      <c r="BR272" s="12">
        <v>0</v>
      </c>
      <c r="BS272" s="12">
        <v>0</v>
      </c>
      <c r="BT272" s="12">
        <v>0</v>
      </c>
      <c r="BU272" s="12">
        <v>0</v>
      </c>
      <c r="BV272" s="12">
        <v>0</v>
      </c>
      <c r="BW272" s="12">
        <v>0</v>
      </c>
      <c r="BX272" s="12">
        <v>0</v>
      </c>
      <c r="BY272" s="12">
        <v>0</v>
      </c>
      <c r="BZ272" s="12">
        <v>0</v>
      </c>
      <c r="CA272" s="12">
        <v>0</v>
      </c>
    </row>
    <row r="273" spans="1:79" hidden="1" x14ac:dyDescent="0.2">
      <c r="A273" s="12" t="s">
        <v>141</v>
      </c>
      <c r="B273" s="12" t="s">
        <v>142</v>
      </c>
      <c r="C273" s="12" t="s">
        <v>142</v>
      </c>
      <c r="D273" s="22" t="s">
        <v>525</v>
      </c>
      <c r="E273" s="22" t="s">
        <v>161</v>
      </c>
      <c r="F273" s="22" t="s">
        <v>1028</v>
      </c>
      <c r="G273" s="22" t="s">
        <v>1029</v>
      </c>
      <c r="H273" s="22" t="s">
        <v>279</v>
      </c>
      <c r="I273" s="22" t="s">
        <v>151</v>
      </c>
      <c r="J273" s="22" t="s">
        <v>181</v>
      </c>
      <c r="K273" s="22" t="s">
        <v>96</v>
      </c>
      <c r="L273" s="54" t="s">
        <v>153</v>
      </c>
      <c r="M273" s="23" t="s">
        <v>153</v>
      </c>
      <c r="N273" s="24" t="s">
        <v>153</v>
      </c>
      <c r="O273" s="23" t="s">
        <v>153</v>
      </c>
      <c r="P273" s="23" t="s">
        <v>153</v>
      </c>
      <c r="Q273" s="23" t="s">
        <v>153</v>
      </c>
      <c r="R273" s="23" t="s">
        <v>153</v>
      </c>
      <c r="S273" s="23" t="s">
        <v>153</v>
      </c>
      <c r="T273" s="23" t="s">
        <v>153</v>
      </c>
      <c r="U273" s="24" t="s">
        <v>153</v>
      </c>
      <c r="V273" s="54" t="s">
        <v>153</v>
      </c>
      <c r="W273" s="27" t="s">
        <v>153</v>
      </c>
      <c r="X273" s="27" t="s">
        <v>153</v>
      </c>
      <c r="Y273" s="27" t="s">
        <v>153</v>
      </c>
      <c r="Z273" s="27" t="s">
        <v>153</v>
      </c>
      <c r="AA273" s="27" t="s">
        <v>153</v>
      </c>
      <c r="AB273" s="24" t="s">
        <v>153</v>
      </c>
      <c r="AC273" s="27" t="s">
        <v>153</v>
      </c>
      <c r="AD273" s="27" t="s">
        <v>153</v>
      </c>
      <c r="AE273" s="27" t="s">
        <v>153</v>
      </c>
      <c r="AF273" s="27" t="s">
        <v>153</v>
      </c>
      <c r="AG273" s="27" t="s">
        <v>153</v>
      </c>
      <c r="AH273" s="27" t="s">
        <v>153</v>
      </c>
      <c r="AI273" s="24" t="s">
        <v>153</v>
      </c>
      <c r="AJ273" s="27" t="s">
        <v>153</v>
      </c>
      <c r="AK273" s="27" t="s">
        <v>153</v>
      </c>
      <c r="AL273" s="27" t="s">
        <v>153</v>
      </c>
      <c r="AM273" s="27" t="s">
        <v>153</v>
      </c>
      <c r="AN273" s="27" t="s">
        <v>153</v>
      </c>
      <c r="AO273" s="27" t="s">
        <v>153</v>
      </c>
      <c r="AP273" s="23">
        <f>VALUE(0)</f>
        <v>0</v>
      </c>
      <c r="AQ273" s="23">
        <f>VALUE(0)</f>
        <v>0</v>
      </c>
      <c r="AR273" s="23">
        <f>VALUE(0)</f>
        <v>0</v>
      </c>
      <c r="AS273" s="23">
        <f>VALUE(0)</f>
        <v>0</v>
      </c>
      <c r="AT273" s="23">
        <f>VALUE(0)</f>
        <v>0</v>
      </c>
      <c r="AU273" s="23">
        <f>VALUE(0)</f>
        <v>0</v>
      </c>
      <c r="AV273" s="23">
        <f>VALUE(0)</f>
        <v>0</v>
      </c>
      <c r="AW273" s="23">
        <f>VALUE(0)</f>
        <v>0</v>
      </c>
      <c r="AX273" s="23">
        <f>VALUE(0)</f>
        <v>0</v>
      </c>
      <c r="AY273" s="23">
        <f>VALUE(0)</f>
        <v>0</v>
      </c>
      <c r="AZ273" s="23">
        <f>VALUE(0)</f>
        <v>0</v>
      </c>
      <c r="BA273" s="23">
        <f>VALUE(0)</f>
        <v>0</v>
      </c>
      <c r="BB273" s="23">
        <f>VALUE(0)</f>
        <v>0</v>
      </c>
      <c r="BC273" s="23">
        <f>VALUE(0)</f>
        <v>0</v>
      </c>
      <c r="BD273" s="23">
        <f>VALUE(0)</f>
        <v>0</v>
      </c>
      <c r="BE273" s="23">
        <f>VALUE(0)</f>
        <v>0</v>
      </c>
      <c r="BF273" s="23">
        <f>VALUE(0)</f>
        <v>0</v>
      </c>
      <c r="BG273" s="23">
        <f>VALUE(0)</f>
        <v>0</v>
      </c>
      <c r="BH273" s="23">
        <f>VALUE(0)</f>
        <v>0</v>
      </c>
      <c r="BI273" s="23">
        <f>VALUE(0)</f>
        <v>0</v>
      </c>
      <c r="BJ273" s="23">
        <f>VALUE(0)</f>
        <v>0</v>
      </c>
      <c r="BK273" s="12">
        <f>$AX$273*24</f>
        <v>0</v>
      </c>
      <c r="BL273" s="12">
        <f>$AY$273*24</f>
        <v>0</v>
      </c>
      <c r="BM273" s="12">
        <f>$BJ$273*24</f>
        <v>0</v>
      </c>
      <c r="BN273" s="12">
        <f>VALUE($I$273)/100</f>
        <v>1</v>
      </c>
      <c r="BO273" s="12">
        <v>0</v>
      </c>
      <c r="BP273" s="12">
        <v>0</v>
      </c>
      <c r="BQ273" s="12">
        <v>0</v>
      </c>
      <c r="BR273" s="12">
        <v>0</v>
      </c>
      <c r="BS273" s="12">
        <v>0</v>
      </c>
      <c r="BT273" s="12">
        <v>0</v>
      </c>
      <c r="BU273" s="12">
        <v>0</v>
      </c>
      <c r="BV273" s="12">
        <v>0</v>
      </c>
      <c r="BW273" s="12">
        <v>0</v>
      </c>
      <c r="BX273" s="12">
        <v>0</v>
      </c>
      <c r="BY273" s="12">
        <v>0</v>
      </c>
      <c r="BZ273" s="12">
        <v>0</v>
      </c>
      <c r="CA273" s="12">
        <v>0</v>
      </c>
    </row>
    <row r="274" spans="1:79" ht="16.5" hidden="1" x14ac:dyDescent="0.2">
      <c r="A274" s="12" t="s">
        <v>141</v>
      </c>
      <c r="B274" s="12" t="s">
        <v>142</v>
      </c>
      <c r="C274" s="12" t="s">
        <v>142</v>
      </c>
      <c r="D274" s="22" t="s">
        <v>525</v>
      </c>
      <c r="E274" s="22" t="s">
        <v>161</v>
      </c>
      <c r="F274" s="22" t="s">
        <v>1030</v>
      </c>
      <c r="G274" s="22" t="s">
        <v>1031</v>
      </c>
      <c r="H274" s="22" t="s">
        <v>150</v>
      </c>
      <c r="I274" s="22" t="s">
        <v>151</v>
      </c>
      <c r="J274" s="22" t="s">
        <v>181</v>
      </c>
      <c r="K274" s="22" t="s">
        <v>96</v>
      </c>
      <c r="L274" s="54" t="s">
        <v>153</v>
      </c>
      <c r="M274" s="32" t="s">
        <v>188</v>
      </c>
      <c r="N274" s="24" t="s">
        <v>153</v>
      </c>
      <c r="O274" s="32" t="s">
        <v>188</v>
      </c>
      <c r="P274" s="32" t="s">
        <v>188</v>
      </c>
      <c r="Q274" s="32" t="s">
        <v>188</v>
      </c>
      <c r="R274" s="32" t="s">
        <v>188</v>
      </c>
      <c r="S274" s="32" t="s">
        <v>188</v>
      </c>
      <c r="T274" s="32" t="s">
        <v>188</v>
      </c>
      <c r="U274" s="24" t="s">
        <v>153</v>
      </c>
      <c r="V274" s="54" t="s">
        <v>156</v>
      </c>
      <c r="W274" s="24" t="s">
        <v>156</v>
      </c>
      <c r="X274" s="23" t="s">
        <v>153</v>
      </c>
      <c r="Y274" s="23" t="s">
        <v>153</v>
      </c>
      <c r="Z274" s="23" t="s">
        <v>153</v>
      </c>
      <c r="AA274" s="26" t="s">
        <v>1283</v>
      </c>
      <c r="AB274" s="24" t="s">
        <v>153</v>
      </c>
      <c r="AC274" s="23" t="s">
        <v>153</v>
      </c>
      <c r="AD274" s="23" t="s">
        <v>153</v>
      </c>
      <c r="AE274" s="23" t="s">
        <v>153</v>
      </c>
      <c r="AF274" s="23" t="s">
        <v>153</v>
      </c>
      <c r="AG274" s="23" t="s">
        <v>153</v>
      </c>
      <c r="AH274" s="26" t="s">
        <v>1283</v>
      </c>
      <c r="AI274" s="24" t="s">
        <v>153</v>
      </c>
      <c r="AJ274" s="23" t="s">
        <v>153</v>
      </c>
      <c r="AK274" s="23" t="s">
        <v>153</v>
      </c>
      <c r="AL274" s="23" t="s">
        <v>153</v>
      </c>
      <c r="AM274" s="23" t="s">
        <v>153</v>
      </c>
      <c r="AN274" s="23" t="s">
        <v>153</v>
      </c>
      <c r="AO274" s="26" t="s">
        <v>1283</v>
      </c>
      <c r="AP274" s="23">
        <f>VALUE(0)</f>
        <v>0</v>
      </c>
      <c r="AQ274" s="23">
        <f>VALUE(0)</f>
        <v>0</v>
      </c>
      <c r="AR274" s="23">
        <f>VALUE(0)</f>
        <v>0</v>
      </c>
      <c r="AS274" s="23">
        <f>VALUE(0)</f>
        <v>0</v>
      </c>
      <c r="AT274" s="23">
        <f>VALUE(0)</f>
        <v>0</v>
      </c>
      <c r="AU274" s="23">
        <f>VALUE(0)</f>
        <v>0</v>
      </c>
      <c r="AV274" s="23">
        <f>VALUE(32)</f>
        <v>32</v>
      </c>
      <c r="AW274" s="23">
        <f>VALUE(0)</f>
        <v>0</v>
      </c>
      <c r="AX274" s="23" t="s">
        <v>171</v>
      </c>
      <c r="AY274" s="23" t="s">
        <v>586</v>
      </c>
      <c r="AZ274" s="23">
        <f>VALUE(7)</f>
        <v>7</v>
      </c>
      <c r="BA274" s="23">
        <f>VALUE(0)</f>
        <v>0</v>
      </c>
      <c r="BB274" s="23">
        <f>VALUE(0)</f>
        <v>0</v>
      </c>
      <c r="BC274" s="23">
        <f>VALUE(0)</f>
        <v>0</v>
      </c>
      <c r="BD274" s="23">
        <f>VALUE(0)</f>
        <v>0</v>
      </c>
      <c r="BE274" s="23">
        <f>VALUE(0)</f>
        <v>0</v>
      </c>
      <c r="BF274" s="23">
        <f>VALUE(0)</f>
        <v>0</v>
      </c>
      <c r="BG274" s="23">
        <f>VALUE(0)</f>
        <v>0</v>
      </c>
      <c r="BH274" s="23">
        <f>VALUE(0)</f>
        <v>0</v>
      </c>
      <c r="BI274" s="23">
        <f>VALUE(0)</f>
        <v>0</v>
      </c>
      <c r="BJ274" s="23">
        <f>VALUE(0)</f>
        <v>0</v>
      </c>
      <c r="BK274" s="12">
        <f>$AX$274*24</f>
        <v>5.833333333333333</v>
      </c>
      <c r="BL274" s="12">
        <f>$AY$274*24</f>
        <v>6.2333333333333343</v>
      </c>
      <c r="BM274" s="12">
        <f>$BJ$274*24</f>
        <v>0</v>
      </c>
      <c r="BN274" s="12">
        <f>VALUE($I$274)/100</f>
        <v>1</v>
      </c>
      <c r="BO274" s="12">
        <v>0</v>
      </c>
      <c r="BP274" s="12">
        <v>0</v>
      </c>
      <c r="BQ274" s="12">
        <v>0</v>
      </c>
      <c r="BR274" s="12">
        <v>0</v>
      </c>
      <c r="BS274" s="12">
        <v>0</v>
      </c>
      <c r="BT274" s="12">
        <v>0</v>
      </c>
      <c r="BU274" s="12">
        <v>0</v>
      </c>
      <c r="BV274" s="12">
        <v>0</v>
      </c>
      <c r="BW274" s="12">
        <v>0</v>
      </c>
      <c r="BX274" s="12">
        <v>0</v>
      </c>
      <c r="BY274" s="12">
        <v>0</v>
      </c>
      <c r="BZ274" s="12">
        <v>0</v>
      </c>
      <c r="CA274" s="12">
        <v>0</v>
      </c>
    </row>
    <row r="275" spans="1:79" ht="16.5" hidden="1" x14ac:dyDescent="0.2">
      <c r="A275" s="12" t="s">
        <v>141</v>
      </c>
      <c r="B275" s="12" t="s">
        <v>142</v>
      </c>
      <c r="C275" s="12" t="s">
        <v>142</v>
      </c>
      <c r="D275" s="22" t="s">
        <v>182</v>
      </c>
      <c r="E275" s="22" t="s">
        <v>161</v>
      </c>
      <c r="F275" s="22" t="s">
        <v>1032</v>
      </c>
      <c r="G275" s="22" t="s">
        <v>1033</v>
      </c>
      <c r="H275" s="22" t="s">
        <v>150</v>
      </c>
      <c r="I275" s="22" t="s">
        <v>151</v>
      </c>
      <c r="J275" s="22" t="s">
        <v>181</v>
      </c>
      <c r="K275" s="22" t="s">
        <v>96</v>
      </c>
      <c r="L275" s="54" t="s">
        <v>153</v>
      </c>
      <c r="M275" s="26" t="s">
        <v>526</v>
      </c>
      <c r="N275" s="24" t="s">
        <v>153</v>
      </c>
      <c r="O275" s="23" t="s">
        <v>153</v>
      </c>
      <c r="P275" s="23" t="s">
        <v>153</v>
      </c>
      <c r="Q275" s="23" t="s">
        <v>153</v>
      </c>
      <c r="R275" s="23" t="s">
        <v>153</v>
      </c>
      <c r="S275" s="23" t="s">
        <v>153</v>
      </c>
      <c r="T275" s="24" t="s">
        <v>156</v>
      </c>
      <c r="U275" s="24" t="s">
        <v>153</v>
      </c>
      <c r="V275" s="54" t="s">
        <v>153</v>
      </c>
      <c r="W275" s="23" t="s">
        <v>153</v>
      </c>
      <c r="X275" s="23" t="s">
        <v>153</v>
      </c>
      <c r="Y275" s="23" t="s">
        <v>153</v>
      </c>
      <c r="Z275" s="28" t="s">
        <v>163</v>
      </c>
      <c r="AA275" s="28" t="s">
        <v>163</v>
      </c>
      <c r="AB275" s="24" t="s">
        <v>153</v>
      </c>
      <c r="AC275" s="28" t="s">
        <v>163</v>
      </c>
      <c r="AD275" s="28" t="s">
        <v>163</v>
      </c>
      <c r="AE275" s="23" t="s">
        <v>153</v>
      </c>
      <c r="AF275" s="23" t="s">
        <v>153</v>
      </c>
      <c r="AG275" s="23" t="s">
        <v>153</v>
      </c>
      <c r="AH275" s="24" t="s">
        <v>156</v>
      </c>
      <c r="AI275" s="24" t="s">
        <v>153</v>
      </c>
      <c r="AJ275" s="23" t="s">
        <v>153</v>
      </c>
      <c r="AK275" s="23" t="s">
        <v>153</v>
      </c>
      <c r="AL275" s="23" t="s">
        <v>153</v>
      </c>
      <c r="AM275" s="23" t="s">
        <v>153</v>
      </c>
      <c r="AN275" s="23" t="s">
        <v>153</v>
      </c>
      <c r="AO275" s="26" t="s">
        <v>526</v>
      </c>
      <c r="AP275" s="23">
        <f>VALUE(0)</f>
        <v>0</v>
      </c>
      <c r="AQ275" s="23">
        <f>VALUE(0)</f>
        <v>0</v>
      </c>
      <c r="AR275" s="23">
        <f>VALUE(0)</f>
        <v>0</v>
      </c>
      <c r="AS275" s="23">
        <f>VALUE(0)</f>
        <v>0</v>
      </c>
      <c r="AT275" s="23">
        <f>VALUE(0)</f>
        <v>0</v>
      </c>
      <c r="AU275" s="23">
        <f>VALUE(4)</f>
        <v>4</v>
      </c>
      <c r="AV275" s="23">
        <f>VALUE(1)</f>
        <v>1</v>
      </c>
      <c r="AW275" s="23">
        <f>VALUE(0)</f>
        <v>0</v>
      </c>
      <c r="AX275" s="23" t="s">
        <v>176</v>
      </c>
      <c r="AY275" s="23" t="s">
        <v>408</v>
      </c>
      <c r="AZ275" s="23">
        <f>VALUE(0)</f>
        <v>0</v>
      </c>
      <c r="BA275" s="23">
        <f>VALUE(0)</f>
        <v>0</v>
      </c>
      <c r="BB275" s="23">
        <f>VALUE(0)</f>
        <v>0</v>
      </c>
      <c r="BC275" s="23">
        <f>VALUE(0)</f>
        <v>0</v>
      </c>
      <c r="BD275" s="23">
        <f>VALUE(0)</f>
        <v>0</v>
      </c>
      <c r="BE275" s="23">
        <f>VALUE(0)</f>
        <v>0</v>
      </c>
      <c r="BF275" s="23">
        <f>VALUE(0)</f>
        <v>0</v>
      </c>
      <c r="BG275" s="23">
        <f>VALUE(0)</f>
        <v>0</v>
      </c>
      <c r="BH275" s="23">
        <f>VALUE(0)</f>
        <v>0</v>
      </c>
      <c r="BI275" s="23">
        <f>VALUE(0)</f>
        <v>0</v>
      </c>
      <c r="BJ275" s="23">
        <f>VALUE(0)</f>
        <v>0</v>
      </c>
      <c r="BK275" s="12">
        <f>$AX$275*24</f>
        <v>0</v>
      </c>
      <c r="BL275" s="12">
        <f>$AY$275*24</f>
        <v>10.75</v>
      </c>
      <c r="BM275" s="12">
        <f>$BJ$275*24</f>
        <v>0</v>
      </c>
      <c r="BN275" s="12">
        <f>VALUE($I$275)/100</f>
        <v>1</v>
      </c>
      <c r="BO275" s="12">
        <v>0</v>
      </c>
      <c r="BP275" s="12">
        <v>0</v>
      </c>
      <c r="BQ275" s="12">
        <v>0</v>
      </c>
      <c r="BR275" s="12">
        <v>0</v>
      </c>
      <c r="BS275" s="12">
        <v>0</v>
      </c>
      <c r="BT275" s="12">
        <v>0</v>
      </c>
      <c r="BU275" s="12">
        <v>0</v>
      </c>
      <c r="BV275" s="12">
        <v>0</v>
      </c>
      <c r="BW275" s="12">
        <v>0</v>
      </c>
      <c r="BX275" s="12">
        <v>0</v>
      </c>
      <c r="BY275" s="12">
        <v>0</v>
      </c>
      <c r="BZ275" s="12">
        <v>0</v>
      </c>
      <c r="CA275" s="12">
        <v>0</v>
      </c>
    </row>
    <row r="276" spans="1:79" ht="16.5" hidden="1" x14ac:dyDescent="0.2">
      <c r="A276" s="12" t="s">
        <v>141</v>
      </c>
      <c r="B276" s="12" t="s">
        <v>142</v>
      </c>
      <c r="C276" s="12" t="s">
        <v>142</v>
      </c>
      <c r="D276" s="22" t="s">
        <v>185</v>
      </c>
      <c r="E276" s="22" t="s">
        <v>161</v>
      </c>
      <c r="F276" s="22" t="s">
        <v>1284</v>
      </c>
      <c r="G276" s="22" t="s">
        <v>1034</v>
      </c>
      <c r="H276" s="22" t="s">
        <v>166</v>
      </c>
      <c r="I276" s="22" t="s">
        <v>151</v>
      </c>
      <c r="J276" s="22" t="s">
        <v>181</v>
      </c>
      <c r="K276" s="22" t="s">
        <v>96</v>
      </c>
      <c r="L276" s="54" t="s">
        <v>153</v>
      </c>
      <c r="M276" s="24" t="s">
        <v>156</v>
      </c>
      <c r="N276" s="24" t="s">
        <v>153</v>
      </c>
      <c r="O276" s="28" t="s">
        <v>163</v>
      </c>
      <c r="P276" s="23" t="s">
        <v>153</v>
      </c>
      <c r="Q276" s="23" t="s">
        <v>153</v>
      </c>
      <c r="R276" s="23" t="s">
        <v>153</v>
      </c>
      <c r="S276" s="23" t="s">
        <v>153</v>
      </c>
      <c r="T276" s="26" t="s">
        <v>527</v>
      </c>
      <c r="U276" s="24" t="s">
        <v>153</v>
      </c>
      <c r="V276" s="54" t="s">
        <v>153</v>
      </c>
      <c r="W276" s="23" t="s">
        <v>153</v>
      </c>
      <c r="X276" s="23" t="s">
        <v>153</v>
      </c>
      <c r="Y276" s="23" t="s">
        <v>153</v>
      </c>
      <c r="Z276" s="23" t="s">
        <v>153</v>
      </c>
      <c r="AA276" s="24" t="s">
        <v>156</v>
      </c>
      <c r="AB276" s="24" t="s">
        <v>153</v>
      </c>
      <c r="AC276" s="28" t="s">
        <v>163</v>
      </c>
      <c r="AD276" s="28" t="s">
        <v>163</v>
      </c>
      <c r="AE276" s="28" t="s">
        <v>163</v>
      </c>
      <c r="AF276" s="28" t="s">
        <v>163</v>
      </c>
      <c r="AG276" s="28" t="s">
        <v>163</v>
      </c>
      <c r="AH276" s="28" t="s">
        <v>163</v>
      </c>
      <c r="AI276" s="24" t="s">
        <v>153</v>
      </c>
      <c r="AJ276" s="23" t="s">
        <v>153</v>
      </c>
      <c r="AK276" s="23" t="s">
        <v>153</v>
      </c>
      <c r="AL276" s="23" t="s">
        <v>153</v>
      </c>
      <c r="AM276" s="23" t="s">
        <v>153</v>
      </c>
      <c r="AN276" s="23" t="s">
        <v>153</v>
      </c>
      <c r="AO276" s="24" t="s">
        <v>156</v>
      </c>
      <c r="AP276" s="23">
        <f>VALUE(0)</f>
        <v>0</v>
      </c>
      <c r="AQ276" s="23">
        <f>VALUE(0)</f>
        <v>0</v>
      </c>
      <c r="AR276" s="23">
        <f>VALUE(0)</f>
        <v>0</v>
      </c>
      <c r="AS276" s="23">
        <f>VALUE(0)</f>
        <v>0</v>
      </c>
      <c r="AT276" s="23">
        <f>VALUE(0)</f>
        <v>0</v>
      </c>
      <c r="AU276" s="23">
        <f>VALUE(7)</f>
        <v>7</v>
      </c>
      <c r="AV276" s="23">
        <f>VALUE(1)</f>
        <v>1</v>
      </c>
      <c r="AW276" s="23">
        <f>VALUE(0)</f>
        <v>0</v>
      </c>
      <c r="AX276" s="23" t="s">
        <v>1285</v>
      </c>
      <c r="AY276" s="23">
        <f>VALUE(0)</f>
        <v>0</v>
      </c>
      <c r="AZ276" s="23">
        <f>VALUE(0)</f>
        <v>0</v>
      </c>
      <c r="BA276" s="23">
        <f>VALUE(0)</f>
        <v>0</v>
      </c>
      <c r="BB276" s="23">
        <f>VALUE(0)</f>
        <v>0</v>
      </c>
      <c r="BC276" s="23">
        <f>VALUE(0)</f>
        <v>0</v>
      </c>
      <c r="BD276" s="23">
        <f>VALUE(0)</f>
        <v>0</v>
      </c>
      <c r="BE276" s="23">
        <f>VALUE(0)</f>
        <v>0</v>
      </c>
      <c r="BF276" s="23">
        <f>VALUE(0)</f>
        <v>0</v>
      </c>
      <c r="BG276" s="23">
        <f>VALUE(0)</f>
        <v>0</v>
      </c>
      <c r="BH276" s="23">
        <f>VALUE(0)</f>
        <v>0</v>
      </c>
      <c r="BI276" s="23">
        <f>VALUE(0)</f>
        <v>0</v>
      </c>
      <c r="BJ276" s="23">
        <f>VALUE(0)</f>
        <v>0</v>
      </c>
      <c r="BK276" s="12">
        <f>$AX$276*24</f>
        <v>17.016666666666666</v>
      </c>
      <c r="BL276" s="12">
        <f>$AY$276*24</f>
        <v>0</v>
      </c>
      <c r="BM276" s="12">
        <f>$BJ$276*24</f>
        <v>0</v>
      </c>
      <c r="BN276" s="12">
        <f>VALUE($I$276)/100</f>
        <v>1</v>
      </c>
      <c r="BO276" s="12">
        <v>0</v>
      </c>
      <c r="BP276" s="12">
        <v>0</v>
      </c>
      <c r="BQ276" s="12">
        <v>0</v>
      </c>
      <c r="BR276" s="12">
        <v>0</v>
      </c>
      <c r="BS276" s="12">
        <v>0</v>
      </c>
      <c r="BT276" s="12">
        <v>0</v>
      </c>
      <c r="BU276" s="12">
        <v>0</v>
      </c>
      <c r="BV276" s="12">
        <v>0</v>
      </c>
      <c r="BW276" s="12">
        <v>0</v>
      </c>
      <c r="BX276" s="12">
        <v>0</v>
      </c>
      <c r="BY276" s="12">
        <v>0</v>
      </c>
      <c r="BZ276" s="12">
        <v>0</v>
      </c>
      <c r="CA276" s="12">
        <v>0</v>
      </c>
    </row>
    <row r="277" spans="1:79" ht="15" hidden="1" x14ac:dyDescent="0.25">
      <c r="A277" s="12" t="s">
        <v>141</v>
      </c>
      <c r="B277" s="12" t="s">
        <v>142</v>
      </c>
      <c r="C277" s="12" t="s">
        <v>142</v>
      </c>
      <c r="D277" s="31" t="s">
        <v>355</v>
      </c>
      <c r="E277" s="31" t="s">
        <v>153</v>
      </c>
      <c r="F277" s="31" t="s">
        <v>175</v>
      </c>
      <c r="G277" s="31" t="s">
        <v>153</v>
      </c>
      <c r="H277" s="31" t="s">
        <v>153</v>
      </c>
      <c r="I277" s="31" t="s">
        <v>153</v>
      </c>
      <c r="J277" s="31" t="s">
        <v>153</v>
      </c>
      <c r="K277" s="31" t="s">
        <v>153</v>
      </c>
      <c r="L277" s="31">
        <f>VALUE(0)</f>
        <v>0</v>
      </c>
      <c r="M277" s="31">
        <f>VALUE(2)</f>
        <v>2</v>
      </c>
      <c r="N277" s="31">
        <f>VALUE(0)</f>
        <v>0</v>
      </c>
      <c r="O277" s="31">
        <f>VALUE(2)</f>
        <v>2</v>
      </c>
      <c r="P277" s="31">
        <f>VALUE(3)</f>
        <v>3</v>
      </c>
      <c r="Q277" s="31">
        <f>VALUE(3)</f>
        <v>3</v>
      </c>
      <c r="R277" s="31">
        <f>VALUE(3)</f>
        <v>3</v>
      </c>
      <c r="S277" s="31">
        <f>VALUE(3)</f>
        <v>3</v>
      </c>
      <c r="T277" s="31">
        <f>VALUE(2)</f>
        <v>2</v>
      </c>
      <c r="U277" s="31">
        <f>VALUE(0)</f>
        <v>0</v>
      </c>
      <c r="V277" s="31">
        <f>VALUE(0)</f>
        <v>0</v>
      </c>
      <c r="W277" s="31">
        <f>VALUE(2)</f>
        <v>2</v>
      </c>
      <c r="X277" s="31">
        <f>VALUE(3)</f>
        <v>3</v>
      </c>
      <c r="Y277" s="31">
        <f>VALUE(3)</f>
        <v>3</v>
      </c>
      <c r="Z277" s="31">
        <f>VALUE(2)</f>
        <v>2</v>
      </c>
      <c r="AA277" s="31">
        <f>VALUE(1)</f>
        <v>1</v>
      </c>
      <c r="AB277" s="31">
        <f>VALUE(0)</f>
        <v>0</v>
      </c>
      <c r="AC277" s="31">
        <f>VALUE(1)</f>
        <v>1</v>
      </c>
      <c r="AD277" s="31">
        <f>VALUE(1)</f>
        <v>1</v>
      </c>
      <c r="AE277" s="31">
        <f>VALUE(2)</f>
        <v>2</v>
      </c>
      <c r="AF277" s="31">
        <f>VALUE(2)</f>
        <v>2</v>
      </c>
      <c r="AG277" s="31">
        <f>VALUE(2)</f>
        <v>2</v>
      </c>
      <c r="AH277" s="31">
        <f>VALUE(1)</f>
        <v>1</v>
      </c>
      <c r="AI277" s="31">
        <f>VALUE(0)</f>
        <v>0</v>
      </c>
      <c r="AJ277" s="31">
        <f>VALUE(3)</f>
        <v>3</v>
      </c>
      <c r="AK277" s="31">
        <f>VALUE(3)</f>
        <v>3</v>
      </c>
      <c r="AL277" s="31">
        <f>VALUE(3)</f>
        <v>3</v>
      </c>
      <c r="AM277" s="31">
        <f>VALUE(3)</f>
        <v>3</v>
      </c>
      <c r="AN277" s="31">
        <f>VALUE(3)</f>
        <v>3</v>
      </c>
      <c r="AO277" s="31">
        <f>VALUE(2)</f>
        <v>2</v>
      </c>
      <c r="AP277" s="31">
        <v>0</v>
      </c>
      <c r="AQ277" s="31">
        <v>0</v>
      </c>
      <c r="AR277" s="31">
        <v>0</v>
      </c>
      <c r="AS277" s="31">
        <v>0</v>
      </c>
      <c r="AT277" s="31">
        <v>0</v>
      </c>
      <c r="AU277" s="31">
        <v>0</v>
      </c>
      <c r="AV277" s="31">
        <v>0</v>
      </c>
      <c r="AW277" s="31">
        <v>0</v>
      </c>
      <c r="AX277" s="31">
        <v>0</v>
      </c>
      <c r="AY277" s="31">
        <v>0</v>
      </c>
      <c r="AZ277" s="31">
        <v>0</v>
      </c>
      <c r="BA277" s="31">
        <v>0</v>
      </c>
      <c r="BB277" s="31">
        <v>0</v>
      </c>
      <c r="BC277" s="31">
        <v>0</v>
      </c>
      <c r="BD277" s="31">
        <v>0</v>
      </c>
      <c r="BE277" s="31">
        <v>0</v>
      </c>
      <c r="BF277" s="31">
        <v>0</v>
      </c>
      <c r="BG277" s="31">
        <v>0</v>
      </c>
      <c r="BH277" s="31">
        <v>0</v>
      </c>
      <c r="BI277" s="31">
        <v>0</v>
      </c>
      <c r="BJ277" s="31">
        <v>0</v>
      </c>
      <c r="BK277" s="12">
        <v>0</v>
      </c>
      <c r="BL277" s="12">
        <v>0</v>
      </c>
      <c r="BM277" s="12">
        <v>0</v>
      </c>
      <c r="BN277" s="12"/>
      <c r="BO277" s="12">
        <v>0</v>
      </c>
      <c r="BP277" s="12">
        <v>0</v>
      </c>
      <c r="BQ277" s="12">
        <v>0</v>
      </c>
      <c r="BR277" s="12">
        <v>0</v>
      </c>
      <c r="BS277" s="12">
        <v>0</v>
      </c>
      <c r="BT277" s="12">
        <v>0</v>
      </c>
      <c r="BU277" s="12">
        <v>0</v>
      </c>
      <c r="BV277" s="12">
        <v>0</v>
      </c>
      <c r="BW277" s="12">
        <v>0</v>
      </c>
      <c r="BX277" s="12">
        <v>0</v>
      </c>
      <c r="BY277" s="12">
        <v>0</v>
      </c>
      <c r="BZ277" s="12">
        <v>0</v>
      </c>
      <c r="CA277" s="12">
        <v>0</v>
      </c>
    </row>
    <row r="278" spans="1:79" hidden="1" x14ac:dyDescent="0.2">
      <c r="A278" s="12" t="s">
        <v>141</v>
      </c>
      <c r="B278" s="12" t="s">
        <v>143</v>
      </c>
      <c r="C278" s="12" t="s">
        <v>143</v>
      </c>
      <c r="D278" s="22" t="s">
        <v>528</v>
      </c>
      <c r="E278" s="22" t="s">
        <v>159</v>
      </c>
      <c r="F278" s="22" t="s">
        <v>1035</v>
      </c>
      <c r="G278" s="22" t="s">
        <v>1036</v>
      </c>
      <c r="H278" s="22" t="s">
        <v>166</v>
      </c>
      <c r="I278" s="22" t="s">
        <v>151</v>
      </c>
      <c r="J278" s="22" t="s">
        <v>524</v>
      </c>
      <c r="K278" s="22" t="s">
        <v>97</v>
      </c>
      <c r="L278" s="54" t="s">
        <v>153</v>
      </c>
      <c r="M278" s="23" t="s">
        <v>287</v>
      </c>
      <c r="N278" s="24" t="s">
        <v>153</v>
      </c>
      <c r="O278" s="23" t="s">
        <v>584</v>
      </c>
      <c r="P278" s="23" t="s">
        <v>584</v>
      </c>
      <c r="Q278" s="23" t="s">
        <v>300</v>
      </c>
      <c r="R278" s="23" t="s">
        <v>300</v>
      </c>
      <c r="S278" s="23" t="s">
        <v>300</v>
      </c>
      <c r="T278" s="23" t="s">
        <v>300</v>
      </c>
      <c r="U278" s="24" t="s">
        <v>153</v>
      </c>
      <c r="V278" s="54" t="s">
        <v>156</v>
      </c>
      <c r="W278" s="24" t="s">
        <v>156</v>
      </c>
      <c r="X278" s="23" t="s">
        <v>529</v>
      </c>
      <c r="Y278" s="23" t="s">
        <v>529</v>
      </c>
      <c r="Z278" s="23" t="s">
        <v>529</v>
      </c>
      <c r="AA278" s="23" t="s">
        <v>529</v>
      </c>
      <c r="AB278" s="24" t="s">
        <v>153</v>
      </c>
      <c r="AC278" s="23" t="s">
        <v>300</v>
      </c>
      <c r="AD278" s="23" t="s">
        <v>300</v>
      </c>
      <c r="AE278" s="23" t="s">
        <v>300</v>
      </c>
      <c r="AF278" s="23" t="s">
        <v>300</v>
      </c>
      <c r="AG278" s="23" t="s">
        <v>529</v>
      </c>
      <c r="AH278" s="23" t="s">
        <v>529</v>
      </c>
      <c r="AI278" s="24" t="s">
        <v>153</v>
      </c>
      <c r="AJ278" s="23" t="s">
        <v>584</v>
      </c>
      <c r="AK278" s="23" t="s">
        <v>584</v>
      </c>
      <c r="AL278" s="23" t="s">
        <v>300</v>
      </c>
      <c r="AM278" s="23" t="s">
        <v>300</v>
      </c>
      <c r="AN278" s="23" t="s">
        <v>584</v>
      </c>
      <c r="AO278" s="23" t="s">
        <v>584</v>
      </c>
      <c r="AP278" s="23">
        <f>VALUE(22)</f>
        <v>22</v>
      </c>
      <c r="AQ278" s="23">
        <f>VALUE(0)</f>
        <v>0</v>
      </c>
      <c r="AR278" s="23">
        <f>VALUE(0)</f>
        <v>0</v>
      </c>
      <c r="AS278" s="23">
        <f>VALUE(0)</f>
        <v>0</v>
      </c>
      <c r="AT278" s="23">
        <f>VALUE(0)</f>
        <v>0</v>
      </c>
      <c r="AU278" s="23">
        <f>VALUE(0)</f>
        <v>0</v>
      </c>
      <c r="AV278" s="23">
        <f>VALUE(2)</f>
        <v>2</v>
      </c>
      <c r="AW278" s="23">
        <f>VALUE(0)</f>
        <v>0</v>
      </c>
      <c r="AX278" s="23" t="s">
        <v>1287</v>
      </c>
      <c r="AY278" s="23">
        <f>VALUE(0)</f>
        <v>0</v>
      </c>
      <c r="AZ278" s="23">
        <f>VALUE(0)</f>
        <v>0</v>
      </c>
      <c r="BA278" s="23">
        <f>VALUE(0)</f>
        <v>0</v>
      </c>
      <c r="BB278" s="23">
        <f>VALUE(0)</f>
        <v>0</v>
      </c>
      <c r="BC278" s="23">
        <f>VALUE(0)</f>
        <v>0</v>
      </c>
      <c r="BD278" s="23">
        <f>VALUE(0)</f>
        <v>0</v>
      </c>
      <c r="BE278" s="23">
        <f>VALUE(0)</f>
        <v>0</v>
      </c>
      <c r="BF278" s="23">
        <f>VALUE(0)</f>
        <v>0</v>
      </c>
      <c r="BG278" s="23">
        <f>VALUE(0)</f>
        <v>0</v>
      </c>
      <c r="BH278" s="23">
        <f>VALUE(0)</f>
        <v>0</v>
      </c>
      <c r="BI278" s="23">
        <f>VALUE(0)</f>
        <v>0</v>
      </c>
      <c r="BJ278" s="23">
        <f>VALUE(0)</f>
        <v>0</v>
      </c>
      <c r="BK278" s="12">
        <f>$AX$278*24</f>
        <v>1.1499999999999999</v>
      </c>
      <c r="BL278" s="12">
        <f>$AY$278*24</f>
        <v>0</v>
      </c>
      <c r="BM278" s="12">
        <f>$BJ$278*24</f>
        <v>0</v>
      </c>
      <c r="BN278" s="12">
        <f>VALUE($I$278)/100</f>
        <v>1</v>
      </c>
      <c r="BO278" s="12">
        <v>0</v>
      </c>
      <c r="BP278" s="12">
        <v>0</v>
      </c>
      <c r="BQ278" s="12">
        <v>0</v>
      </c>
      <c r="BR278" s="12">
        <v>0</v>
      </c>
      <c r="BS278" s="12">
        <v>0</v>
      </c>
      <c r="BT278" s="12">
        <v>0</v>
      </c>
      <c r="BU278" s="12">
        <v>0</v>
      </c>
      <c r="BV278" s="12">
        <v>0</v>
      </c>
      <c r="BW278" s="12">
        <v>0</v>
      </c>
      <c r="BX278" s="12">
        <v>0</v>
      </c>
      <c r="BY278" s="12">
        <v>0</v>
      </c>
      <c r="BZ278" s="12">
        <v>0</v>
      </c>
      <c r="CA278" s="12">
        <v>0</v>
      </c>
    </row>
    <row r="279" spans="1:79" ht="16.5" hidden="1" x14ac:dyDescent="0.2">
      <c r="A279" s="12" t="s">
        <v>141</v>
      </c>
      <c r="B279" s="12" t="s">
        <v>143</v>
      </c>
      <c r="C279" s="12" t="s">
        <v>143</v>
      </c>
      <c r="D279" s="22" t="s">
        <v>1288</v>
      </c>
      <c r="E279" s="22" t="s">
        <v>161</v>
      </c>
      <c r="F279" s="22" t="s">
        <v>1037</v>
      </c>
      <c r="G279" s="22" t="s">
        <v>1038</v>
      </c>
      <c r="H279" s="22" t="s">
        <v>166</v>
      </c>
      <c r="I279" s="22" t="s">
        <v>151</v>
      </c>
      <c r="J279" s="22" t="s">
        <v>530</v>
      </c>
      <c r="K279" s="22" t="s">
        <v>97</v>
      </c>
      <c r="L279" s="54" t="s">
        <v>153</v>
      </c>
      <c r="M279" s="26" t="s">
        <v>531</v>
      </c>
      <c r="N279" s="24" t="s">
        <v>153</v>
      </c>
      <c r="O279" s="23" t="s">
        <v>300</v>
      </c>
      <c r="P279" s="23" t="s">
        <v>300</v>
      </c>
      <c r="Q279" s="26" t="s">
        <v>531</v>
      </c>
      <c r="R279" s="26" t="s">
        <v>531</v>
      </c>
      <c r="S279" s="26" t="s">
        <v>531</v>
      </c>
      <c r="T279" s="26" t="s">
        <v>531</v>
      </c>
      <c r="U279" s="24" t="s">
        <v>153</v>
      </c>
      <c r="V279" s="54" t="s">
        <v>153</v>
      </c>
      <c r="W279" s="23" t="s">
        <v>529</v>
      </c>
      <c r="X279" s="26" t="s">
        <v>531</v>
      </c>
      <c r="Y279" s="26" t="s">
        <v>531</v>
      </c>
      <c r="Z279" s="26" t="s">
        <v>531</v>
      </c>
      <c r="AA279" s="26" t="s">
        <v>531</v>
      </c>
      <c r="AB279" s="24" t="s">
        <v>153</v>
      </c>
      <c r="AC279" s="23" t="s">
        <v>380</v>
      </c>
      <c r="AD279" s="23" t="s">
        <v>380</v>
      </c>
      <c r="AE279" s="26" t="s">
        <v>531</v>
      </c>
      <c r="AF279" s="26" t="s">
        <v>531</v>
      </c>
      <c r="AG279" s="26" t="s">
        <v>531</v>
      </c>
      <c r="AH279" s="26" t="s">
        <v>531</v>
      </c>
      <c r="AI279" s="24" t="s">
        <v>153</v>
      </c>
      <c r="AJ279" s="24" t="s">
        <v>156</v>
      </c>
      <c r="AK279" s="24" t="s">
        <v>156</v>
      </c>
      <c r="AL279" s="26" t="s">
        <v>531</v>
      </c>
      <c r="AM279" s="26" t="s">
        <v>531</v>
      </c>
      <c r="AN279" s="26" t="s">
        <v>531</v>
      </c>
      <c r="AO279" s="26" t="s">
        <v>531</v>
      </c>
      <c r="AP279" s="23">
        <f>VALUE(31)</f>
        <v>31</v>
      </c>
      <c r="AQ279" s="23">
        <f>VALUE(0)</f>
        <v>0</v>
      </c>
      <c r="AR279" s="23">
        <f>VALUE(0)</f>
        <v>0</v>
      </c>
      <c r="AS279" s="23">
        <f>VALUE(0)</f>
        <v>0</v>
      </c>
      <c r="AT279" s="23">
        <f>VALUE(0)</f>
        <v>0</v>
      </c>
      <c r="AU279" s="23">
        <f>VALUE(0)</f>
        <v>0</v>
      </c>
      <c r="AV279" s="23">
        <f>VALUE(2)</f>
        <v>2</v>
      </c>
      <c r="AW279" s="23">
        <f>VALUE(0)</f>
        <v>0</v>
      </c>
      <c r="AX279" s="23" t="s">
        <v>425</v>
      </c>
      <c r="AY279" s="23">
        <f>VALUE(0)</f>
        <v>0</v>
      </c>
      <c r="AZ279" s="23">
        <f>VALUE(0)</f>
        <v>0</v>
      </c>
      <c r="BA279" s="23">
        <f>VALUE(0)</f>
        <v>0</v>
      </c>
      <c r="BB279" s="23">
        <f>VALUE(0)</f>
        <v>0</v>
      </c>
      <c r="BC279" s="23">
        <f>VALUE(0)</f>
        <v>0</v>
      </c>
      <c r="BD279" s="23">
        <f>VALUE(0)</f>
        <v>0</v>
      </c>
      <c r="BE279" s="23">
        <f>VALUE(0)</f>
        <v>0</v>
      </c>
      <c r="BF279" s="23">
        <f>VALUE(0)</f>
        <v>0</v>
      </c>
      <c r="BG279" s="23">
        <f>VALUE(0)</f>
        <v>0</v>
      </c>
      <c r="BH279" s="23">
        <f>VALUE(0)</f>
        <v>0</v>
      </c>
      <c r="BI279" s="23">
        <f>VALUE(0)</f>
        <v>0</v>
      </c>
      <c r="BJ279" s="23">
        <f>VALUE(0)</f>
        <v>0</v>
      </c>
      <c r="BK279" s="12">
        <f>$AX$279*24</f>
        <v>1.4166666666666667</v>
      </c>
      <c r="BL279" s="12">
        <f>$AY$279*24</f>
        <v>0</v>
      </c>
      <c r="BM279" s="12">
        <f>$BJ$279*24</f>
        <v>0</v>
      </c>
      <c r="BN279" s="12">
        <f>VALUE($I$279)/100</f>
        <v>1</v>
      </c>
      <c r="BO279" s="12">
        <v>0</v>
      </c>
      <c r="BP279" s="12">
        <v>0</v>
      </c>
      <c r="BQ279" s="12">
        <v>0</v>
      </c>
      <c r="BR279" s="12">
        <v>0</v>
      </c>
      <c r="BS279" s="12">
        <v>0</v>
      </c>
      <c r="BT279" s="12">
        <v>0</v>
      </c>
      <c r="BU279" s="12">
        <v>0</v>
      </c>
      <c r="BV279" s="12">
        <v>0</v>
      </c>
      <c r="BW279" s="12">
        <v>0</v>
      </c>
      <c r="BX279" s="12">
        <v>0</v>
      </c>
      <c r="BY279" s="12">
        <v>0</v>
      </c>
      <c r="BZ279" s="12">
        <v>0</v>
      </c>
      <c r="CA279" s="12">
        <v>0</v>
      </c>
    </row>
    <row r="280" spans="1:79" hidden="1" x14ac:dyDescent="0.2">
      <c r="A280" s="12" t="s">
        <v>141</v>
      </c>
      <c r="B280" s="12" t="s">
        <v>143</v>
      </c>
      <c r="C280" s="12" t="s">
        <v>143</v>
      </c>
      <c r="D280" s="22" t="s">
        <v>287</v>
      </c>
      <c r="E280" s="22" t="s">
        <v>161</v>
      </c>
      <c r="F280" s="22" t="s">
        <v>1039</v>
      </c>
      <c r="G280" s="22" t="s">
        <v>1040</v>
      </c>
      <c r="H280" s="22" t="s">
        <v>150</v>
      </c>
      <c r="I280" s="22" t="s">
        <v>1289</v>
      </c>
      <c r="J280" s="22" t="s">
        <v>162</v>
      </c>
      <c r="K280" s="22" t="s">
        <v>97</v>
      </c>
      <c r="L280" s="54" t="s">
        <v>153</v>
      </c>
      <c r="M280" s="24" t="s">
        <v>195</v>
      </c>
      <c r="N280" s="24" t="s">
        <v>153</v>
      </c>
      <c r="O280" s="23" t="s">
        <v>153</v>
      </c>
      <c r="P280" s="23" t="s">
        <v>153</v>
      </c>
      <c r="Q280" s="23" t="s">
        <v>153</v>
      </c>
      <c r="R280" s="23" t="s">
        <v>153</v>
      </c>
      <c r="S280" s="23" t="s">
        <v>153</v>
      </c>
      <c r="T280" s="23" t="s">
        <v>153</v>
      </c>
      <c r="U280" s="24" t="s">
        <v>153</v>
      </c>
      <c r="V280" s="54" t="s">
        <v>153</v>
      </c>
      <c r="W280" s="23" t="s">
        <v>153</v>
      </c>
      <c r="X280" s="24" t="s">
        <v>156</v>
      </c>
      <c r="Y280" s="24" t="s">
        <v>156</v>
      </c>
      <c r="Z280" s="23" t="s">
        <v>153</v>
      </c>
      <c r="AA280" s="23" t="s">
        <v>153</v>
      </c>
      <c r="AB280" s="24" t="s">
        <v>153</v>
      </c>
      <c r="AC280" s="23" t="s">
        <v>153</v>
      </c>
      <c r="AD280" s="23" t="s">
        <v>153</v>
      </c>
      <c r="AE280" s="23" t="s">
        <v>153</v>
      </c>
      <c r="AF280" s="23" t="s">
        <v>153</v>
      </c>
      <c r="AG280" s="23" t="s">
        <v>153</v>
      </c>
      <c r="AH280" s="23" t="s">
        <v>153</v>
      </c>
      <c r="AI280" s="24" t="s">
        <v>153</v>
      </c>
      <c r="AJ280" s="23" t="s">
        <v>153</v>
      </c>
      <c r="AK280" s="23" t="s">
        <v>153</v>
      </c>
      <c r="AL280" s="23" t="s">
        <v>153</v>
      </c>
      <c r="AM280" s="23" t="s">
        <v>153</v>
      </c>
      <c r="AN280" s="23" t="s">
        <v>153</v>
      </c>
      <c r="AO280" s="23" t="s">
        <v>153</v>
      </c>
      <c r="AP280" s="23">
        <f>VALUE(0)</f>
        <v>0</v>
      </c>
      <c r="AQ280" s="23">
        <f>VALUE(0)</f>
        <v>0</v>
      </c>
      <c r="AR280" s="23">
        <f>VALUE(0)</f>
        <v>0</v>
      </c>
      <c r="AS280" s="23">
        <f>VALUE(0)</f>
        <v>0</v>
      </c>
      <c r="AT280" s="23">
        <f>VALUE(0)</f>
        <v>0</v>
      </c>
      <c r="AU280" s="23">
        <f>VALUE(0)</f>
        <v>0</v>
      </c>
      <c r="AV280" s="23">
        <f>VALUE(5.5)</f>
        <v>5.5</v>
      </c>
      <c r="AW280" s="23">
        <f>VALUE(0)</f>
        <v>0</v>
      </c>
      <c r="AX280" s="23" t="s">
        <v>532</v>
      </c>
      <c r="AY280" s="23" t="s">
        <v>407</v>
      </c>
      <c r="AZ280" s="23">
        <f>VALUE(0)</f>
        <v>0</v>
      </c>
      <c r="BA280" s="23">
        <f>VALUE(0)</f>
        <v>0</v>
      </c>
      <c r="BB280" s="23">
        <f>VALUE(0)</f>
        <v>0</v>
      </c>
      <c r="BC280" s="23">
        <f>VALUE(0)</f>
        <v>0</v>
      </c>
      <c r="BD280" s="23">
        <f>VALUE(0)</f>
        <v>0</v>
      </c>
      <c r="BE280" s="23">
        <f>VALUE(0)</f>
        <v>0</v>
      </c>
      <c r="BF280" s="23">
        <f>VALUE(0)</f>
        <v>0</v>
      </c>
      <c r="BG280" s="23">
        <f>VALUE(0)</f>
        <v>0</v>
      </c>
      <c r="BH280" s="23">
        <f>VALUE(0)</f>
        <v>0</v>
      </c>
      <c r="BI280" s="23">
        <f>VALUE(0)</f>
        <v>0</v>
      </c>
      <c r="BJ280" s="23">
        <f>VALUE(0)</f>
        <v>0</v>
      </c>
      <c r="BK280" s="12">
        <f>$AX$280*24</f>
        <v>11.65</v>
      </c>
      <c r="BL280" s="12">
        <f>$AY$280*24</f>
        <v>1.2166666666666668</v>
      </c>
      <c r="BM280" s="12">
        <f>$BJ$280*24</f>
        <v>0</v>
      </c>
      <c r="BN280" s="12">
        <f>VALUE($I$280)/100</f>
        <v>0.79</v>
      </c>
      <c r="BO280" s="12">
        <v>0</v>
      </c>
      <c r="BP280" s="12">
        <v>0</v>
      </c>
      <c r="BQ280" s="12">
        <v>0</v>
      </c>
      <c r="BR280" s="12">
        <v>0</v>
      </c>
      <c r="BS280" s="12">
        <v>0</v>
      </c>
      <c r="BT280" s="12">
        <v>0</v>
      </c>
      <c r="BU280" s="12">
        <v>0</v>
      </c>
      <c r="BV280" s="12">
        <v>0</v>
      </c>
      <c r="BW280" s="12">
        <v>0</v>
      </c>
      <c r="BX280" s="12">
        <v>0</v>
      </c>
      <c r="BY280" s="12">
        <v>0</v>
      </c>
      <c r="BZ280" s="12">
        <v>0</v>
      </c>
      <c r="CA280" s="12">
        <v>0</v>
      </c>
    </row>
    <row r="281" spans="1:79" hidden="1" x14ac:dyDescent="0.2">
      <c r="A281" s="12" t="s">
        <v>141</v>
      </c>
      <c r="B281" s="12" t="s">
        <v>143</v>
      </c>
      <c r="C281" s="12" t="s">
        <v>143</v>
      </c>
      <c r="D281" s="22" t="s">
        <v>529</v>
      </c>
      <c r="E281" s="22" t="s">
        <v>161</v>
      </c>
      <c r="F281" s="22" t="s">
        <v>1041</v>
      </c>
      <c r="G281" s="22" t="s">
        <v>1042</v>
      </c>
      <c r="H281" s="22" t="s">
        <v>150</v>
      </c>
      <c r="I281" s="22" t="s">
        <v>151</v>
      </c>
      <c r="J281" s="22" t="s">
        <v>162</v>
      </c>
      <c r="K281" s="22" t="s">
        <v>97</v>
      </c>
      <c r="L281" s="54" t="s">
        <v>153</v>
      </c>
      <c r="M281" s="23" t="s">
        <v>153</v>
      </c>
      <c r="N281" s="24" t="s">
        <v>153</v>
      </c>
      <c r="O281" s="23" t="s">
        <v>153</v>
      </c>
      <c r="P281" s="23" t="s">
        <v>153</v>
      </c>
      <c r="Q281" s="23" t="s">
        <v>153</v>
      </c>
      <c r="R281" s="23" t="s">
        <v>153</v>
      </c>
      <c r="S281" s="23" t="s">
        <v>153</v>
      </c>
      <c r="T281" s="23" t="s">
        <v>153</v>
      </c>
      <c r="U281" s="24" t="s">
        <v>153</v>
      </c>
      <c r="V281" s="54" t="s">
        <v>153</v>
      </c>
      <c r="W281" s="28" t="s">
        <v>163</v>
      </c>
      <c r="X281" s="28" t="s">
        <v>163</v>
      </c>
      <c r="Y281" s="28" t="s">
        <v>163</v>
      </c>
      <c r="Z281" s="28" t="s">
        <v>163</v>
      </c>
      <c r="AA281" s="28" t="s">
        <v>163</v>
      </c>
      <c r="AB281" s="24" t="s">
        <v>153</v>
      </c>
      <c r="AC281" s="23" t="s">
        <v>153</v>
      </c>
      <c r="AD281" s="23" t="s">
        <v>153</v>
      </c>
      <c r="AE281" s="23" t="s">
        <v>153</v>
      </c>
      <c r="AF281" s="23" t="s">
        <v>153</v>
      </c>
      <c r="AG281" s="24" t="s">
        <v>156</v>
      </c>
      <c r="AH281" s="24" t="s">
        <v>156</v>
      </c>
      <c r="AI281" s="24" t="s">
        <v>153</v>
      </c>
      <c r="AJ281" s="23" t="s">
        <v>153</v>
      </c>
      <c r="AK281" s="23" t="s">
        <v>153</v>
      </c>
      <c r="AL281" s="23" t="s">
        <v>153</v>
      </c>
      <c r="AM281" s="23" t="s">
        <v>153</v>
      </c>
      <c r="AN281" s="23" t="s">
        <v>153</v>
      </c>
      <c r="AO281" s="23" t="s">
        <v>153</v>
      </c>
      <c r="AP281" s="23">
        <f>VALUE(41)</f>
        <v>41</v>
      </c>
      <c r="AQ281" s="23">
        <f>VALUE(0)</f>
        <v>0</v>
      </c>
      <c r="AR281" s="23">
        <f>VALUE(0)</f>
        <v>0</v>
      </c>
      <c r="AS281" s="23">
        <f>VALUE(0)</f>
        <v>0</v>
      </c>
      <c r="AT281" s="23">
        <f>VALUE(0)</f>
        <v>0</v>
      </c>
      <c r="AU281" s="23">
        <f>VALUE(5)</f>
        <v>5</v>
      </c>
      <c r="AV281" s="23">
        <f>VALUE(4)</f>
        <v>4</v>
      </c>
      <c r="AW281" s="23">
        <f>VALUE(0)</f>
        <v>0</v>
      </c>
      <c r="AX281" s="23" t="s">
        <v>1290</v>
      </c>
      <c r="AY281" s="23" t="s">
        <v>1291</v>
      </c>
      <c r="AZ281" s="23">
        <f>VALUE(0)</f>
        <v>0</v>
      </c>
      <c r="BA281" s="23">
        <f>VALUE(0)</f>
        <v>0</v>
      </c>
      <c r="BB281" s="23">
        <f>VALUE(0)</f>
        <v>0</v>
      </c>
      <c r="BC281" s="23">
        <f>VALUE(0)</f>
        <v>0</v>
      </c>
      <c r="BD281" s="23">
        <f>VALUE(0)</f>
        <v>0</v>
      </c>
      <c r="BE281" s="23">
        <f>VALUE(0)</f>
        <v>0</v>
      </c>
      <c r="BF281" s="23">
        <f>VALUE(0)</f>
        <v>0</v>
      </c>
      <c r="BG281" s="23">
        <f>VALUE(0)</f>
        <v>0</v>
      </c>
      <c r="BH281" s="23">
        <f>VALUE(0)</f>
        <v>0</v>
      </c>
      <c r="BI281" s="23">
        <f>VALUE(0)</f>
        <v>0</v>
      </c>
      <c r="BJ281" s="23">
        <f>VALUE(0)</f>
        <v>0</v>
      </c>
      <c r="BK281" s="12">
        <f>$AX$281*24</f>
        <v>3.9333333333333336</v>
      </c>
      <c r="BL281" s="12">
        <f>$AY$281*24</f>
        <v>4.7833333333333332</v>
      </c>
      <c r="BM281" s="12">
        <f>$BJ$281*24</f>
        <v>0</v>
      </c>
      <c r="BN281" s="12">
        <f>VALUE($I$281)/100</f>
        <v>1</v>
      </c>
      <c r="BO281" s="12">
        <v>0</v>
      </c>
      <c r="BP281" s="12">
        <v>0</v>
      </c>
      <c r="BQ281" s="12">
        <v>0</v>
      </c>
      <c r="BR281" s="12">
        <v>0</v>
      </c>
      <c r="BS281" s="12">
        <v>0</v>
      </c>
      <c r="BT281" s="12">
        <v>0</v>
      </c>
      <c r="BU281" s="12">
        <v>0</v>
      </c>
      <c r="BV281" s="12">
        <v>0</v>
      </c>
      <c r="BW281" s="12">
        <v>0</v>
      </c>
      <c r="BX281" s="12">
        <v>0</v>
      </c>
      <c r="BY281" s="12">
        <v>0</v>
      </c>
      <c r="BZ281" s="12">
        <v>0</v>
      </c>
      <c r="CA281" s="12">
        <v>0</v>
      </c>
    </row>
    <row r="282" spans="1:79" hidden="1" x14ac:dyDescent="0.2">
      <c r="A282" s="12" t="s">
        <v>141</v>
      </c>
      <c r="B282" s="12" t="s">
        <v>143</v>
      </c>
      <c r="C282" s="12" t="s">
        <v>143</v>
      </c>
      <c r="D282" s="22" t="s">
        <v>426</v>
      </c>
      <c r="E282" s="22" t="s">
        <v>161</v>
      </c>
      <c r="F282" s="22" t="s">
        <v>1043</v>
      </c>
      <c r="G282" s="22" t="s">
        <v>1044</v>
      </c>
      <c r="H282" s="22" t="s">
        <v>150</v>
      </c>
      <c r="I282" s="22" t="s">
        <v>151</v>
      </c>
      <c r="J282" s="22" t="s">
        <v>162</v>
      </c>
      <c r="K282" s="22" t="s">
        <v>97</v>
      </c>
      <c r="L282" s="54" t="s">
        <v>153</v>
      </c>
      <c r="M282" s="23" t="s">
        <v>153</v>
      </c>
      <c r="N282" s="24" t="s">
        <v>153</v>
      </c>
      <c r="O282" s="23" t="s">
        <v>153</v>
      </c>
      <c r="P282" s="23" t="s">
        <v>153</v>
      </c>
      <c r="Q282" s="23" t="s">
        <v>153</v>
      </c>
      <c r="R282" s="23" t="s">
        <v>153</v>
      </c>
      <c r="S282" s="23" t="s">
        <v>153</v>
      </c>
      <c r="T282" s="23" t="s">
        <v>153</v>
      </c>
      <c r="U282" s="24" t="s">
        <v>153</v>
      </c>
      <c r="V282" s="54" t="s">
        <v>153</v>
      </c>
      <c r="W282" s="28" t="s">
        <v>163</v>
      </c>
      <c r="X282" s="28" t="s">
        <v>163</v>
      </c>
      <c r="Y282" s="28" t="s">
        <v>163</v>
      </c>
      <c r="Z282" s="28" t="s">
        <v>163</v>
      </c>
      <c r="AA282" s="28" t="s">
        <v>163</v>
      </c>
      <c r="AB282" s="24" t="s">
        <v>153</v>
      </c>
      <c r="AC282" s="28" t="s">
        <v>163</v>
      </c>
      <c r="AD282" s="28" t="s">
        <v>163</v>
      </c>
      <c r="AE282" s="28" t="s">
        <v>163</v>
      </c>
      <c r="AF282" s="28" t="s">
        <v>163</v>
      </c>
      <c r="AG282" s="28" t="s">
        <v>163</v>
      </c>
      <c r="AH282" s="28" t="s">
        <v>163</v>
      </c>
      <c r="AI282" s="24" t="s">
        <v>153</v>
      </c>
      <c r="AJ282" s="23" t="s">
        <v>153</v>
      </c>
      <c r="AK282" s="23" t="s">
        <v>153</v>
      </c>
      <c r="AL282" s="23" t="s">
        <v>153</v>
      </c>
      <c r="AM282" s="23" t="s">
        <v>153</v>
      </c>
      <c r="AN282" s="23" t="s">
        <v>153</v>
      </c>
      <c r="AO282" s="23" t="s">
        <v>153</v>
      </c>
      <c r="AP282" s="23">
        <f>VALUE(30)</f>
        <v>30</v>
      </c>
      <c r="AQ282" s="23">
        <f>VALUE(0)</f>
        <v>0</v>
      </c>
      <c r="AR282" s="23">
        <f>VALUE(0)</f>
        <v>0</v>
      </c>
      <c r="AS282" s="23">
        <f>VALUE(0)</f>
        <v>0</v>
      </c>
      <c r="AT282" s="23">
        <f>VALUE(0)</f>
        <v>0</v>
      </c>
      <c r="AU282" s="23">
        <f>VALUE(11)</f>
        <v>11</v>
      </c>
      <c r="AV282" s="23">
        <f>VALUE(3)</f>
        <v>3</v>
      </c>
      <c r="AW282" s="23">
        <f>VALUE(0)</f>
        <v>0</v>
      </c>
      <c r="AX282" s="23" t="s">
        <v>445</v>
      </c>
      <c r="AY282" s="23">
        <f>VALUE(0)</f>
        <v>0</v>
      </c>
      <c r="AZ282" s="23">
        <f>VALUE(0)</f>
        <v>0</v>
      </c>
      <c r="BA282" s="23">
        <f>VALUE(0)</f>
        <v>0</v>
      </c>
      <c r="BB282" s="23">
        <f>VALUE(0)</f>
        <v>0</v>
      </c>
      <c r="BC282" s="23">
        <f>VALUE(0)</f>
        <v>0</v>
      </c>
      <c r="BD282" s="23">
        <f>VALUE(0)</f>
        <v>0</v>
      </c>
      <c r="BE282" s="23">
        <f>VALUE(0)</f>
        <v>0</v>
      </c>
      <c r="BF282" s="23">
        <f>VALUE(0)</f>
        <v>0</v>
      </c>
      <c r="BG282" s="23">
        <f>VALUE(0)</f>
        <v>0</v>
      </c>
      <c r="BH282" s="23">
        <f>VALUE(0)</f>
        <v>0</v>
      </c>
      <c r="BI282" s="23">
        <f>VALUE(0)</f>
        <v>0</v>
      </c>
      <c r="BJ282" s="23">
        <f>VALUE(0)</f>
        <v>0</v>
      </c>
      <c r="BK282" s="12">
        <f>$AX$282*24</f>
        <v>17.5</v>
      </c>
      <c r="BL282" s="12">
        <f>$AY$282*24</f>
        <v>0</v>
      </c>
      <c r="BM282" s="12">
        <f>$BJ$282*24</f>
        <v>0</v>
      </c>
      <c r="BN282" s="12">
        <f>VALUE($I$282)/100</f>
        <v>1</v>
      </c>
      <c r="BO282" s="12">
        <v>0</v>
      </c>
      <c r="BP282" s="12">
        <v>0</v>
      </c>
      <c r="BQ282" s="12">
        <v>0</v>
      </c>
      <c r="BR282" s="12">
        <v>0</v>
      </c>
      <c r="BS282" s="12">
        <v>0</v>
      </c>
      <c r="BT282" s="12">
        <v>0</v>
      </c>
      <c r="BU282" s="12">
        <v>0</v>
      </c>
      <c r="BV282" s="12">
        <v>0</v>
      </c>
      <c r="BW282" s="12">
        <v>0</v>
      </c>
      <c r="BX282" s="12">
        <v>0</v>
      </c>
      <c r="BY282" s="12">
        <v>0</v>
      </c>
      <c r="BZ282" s="12">
        <v>0</v>
      </c>
      <c r="CA282" s="12">
        <v>0</v>
      </c>
    </row>
    <row r="283" spans="1:79" hidden="1" x14ac:dyDescent="0.2">
      <c r="A283" s="12" t="s">
        <v>141</v>
      </c>
      <c r="B283" s="12" t="s">
        <v>143</v>
      </c>
      <c r="C283" s="12" t="s">
        <v>143</v>
      </c>
      <c r="D283" s="22" t="s">
        <v>385</v>
      </c>
      <c r="E283" s="22" t="s">
        <v>161</v>
      </c>
      <c r="F283" s="22" t="s">
        <v>1045</v>
      </c>
      <c r="G283" s="22" t="s">
        <v>1046</v>
      </c>
      <c r="H283" s="22" t="s">
        <v>166</v>
      </c>
      <c r="I283" s="22" t="s">
        <v>151</v>
      </c>
      <c r="J283" s="22" t="s">
        <v>162</v>
      </c>
      <c r="K283" s="22" t="s">
        <v>97</v>
      </c>
      <c r="L283" s="54" t="s">
        <v>153</v>
      </c>
      <c r="M283" s="23" t="s">
        <v>153</v>
      </c>
      <c r="N283" s="24" t="s">
        <v>153</v>
      </c>
      <c r="O283" s="23" t="s">
        <v>153</v>
      </c>
      <c r="P283" s="23" t="s">
        <v>153</v>
      </c>
      <c r="Q283" s="23" t="s">
        <v>153</v>
      </c>
      <c r="R283" s="23" t="s">
        <v>153</v>
      </c>
      <c r="S283" s="23" t="s">
        <v>153</v>
      </c>
      <c r="T283" s="23" t="s">
        <v>153</v>
      </c>
      <c r="U283" s="24" t="s">
        <v>153</v>
      </c>
      <c r="V283" s="54" t="s">
        <v>153</v>
      </c>
      <c r="W283" s="23" t="s">
        <v>153</v>
      </c>
      <c r="X283" s="23" t="s">
        <v>153</v>
      </c>
      <c r="Y283" s="23" t="s">
        <v>153</v>
      </c>
      <c r="Z283" s="23" t="s">
        <v>153</v>
      </c>
      <c r="AA283" s="23" t="s">
        <v>153</v>
      </c>
      <c r="AB283" s="24" t="s">
        <v>153</v>
      </c>
      <c r="AC283" s="23" t="s">
        <v>153</v>
      </c>
      <c r="AD283" s="23" t="s">
        <v>153</v>
      </c>
      <c r="AE283" s="23" t="s">
        <v>153</v>
      </c>
      <c r="AF283" s="23" t="s">
        <v>153</v>
      </c>
      <c r="AG283" s="23" t="s">
        <v>153</v>
      </c>
      <c r="AH283" s="23" t="s">
        <v>153</v>
      </c>
      <c r="AI283" s="24" t="s">
        <v>153</v>
      </c>
      <c r="AJ283" s="28" t="s">
        <v>163</v>
      </c>
      <c r="AK283" s="28" t="s">
        <v>163</v>
      </c>
      <c r="AL283" s="28" t="s">
        <v>163</v>
      </c>
      <c r="AM283" s="30" t="s">
        <v>28</v>
      </c>
      <c r="AN283" s="24" t="s">
        <v>156</v>
      </c>
      <c r="AO283" s="24" t="s">
        <v>156</v>
      </c>
      <c r="AP283" s="23">
        <f>VALUE(40)</f>
        <v>40</v>
      </c>
      <c r="AQ283" s="23">
        <f>VALUE(0)</f>
        <v>0</v>
      </c>
      <c r="AR283" s="23">
        <f>VALUE(0)</f>
        <v>0</v>
      </c>
      <c r="AS283" s="23">
        <f>VALUE(0)</f>
        <v>0</v>
      </c>
      <c r="AT283" s="23">
        <f>VALUE(0)</f>
        <v>0</v>
      </c>
      <c r="AU283" s="23">
        <f>VALUE(3)</f>
        <v>3</v>
      </c>
      <c r="AV283" s="23">
        <f>VALUE(3)</f>
        <v>3</v>
      </c>
      <c r="AW283" s="23">
        <f>VALUE(0)</f>
        <v>0</v>
      </c>
      <c r="AX283" s="23" t="s">
        <v>533</v>
      </c>
      <c r="AY283" s="23">
        <f>VALUE(0)</f>
        <v>0</v>
      </c>
      <c r="AZ283" s="23">
        <f>VALUE(0)</f>
        <v>0</v>
      </c>
      <c r="BA283" s="23">
        <f>VALUE(0)</f>
        <v>0</v>
      </c>
      <c r="BB283" s="23">
        <f>VALUE(0)</f>
        <v>0</v>
      </c>
      <c r="BC283" s="23">
        <f>VALUE(0)</f>
        <v>0</v>
      </c>
      <c r="BD283" s="23">
        <f>VALUE(0)</f>
        <v>0</v>
      </c>
      <c r="BE283" s="23">
        <f>VALUE(0)</f>
        <v>0</v>
      </c>
      <c r="BF283" s="23">
        <f>VALUE(0)</f>
        <v>0</v>
      </c>
      <c r="BG283" s="23">
        <f>VALUE(0)</f>
        <v>0</v>
      </c>
      <c r="BH283" s="23">
        <f>VALUE(0)</f>
        <v>0</v>
      </c>
      <c r="BI283" s="23">
        <f>VALUE(0)</f>
        <v>0</v>
      </c>
      <c r="BJ283" s="23">
        <f>VALUE(0)</f>
        <v>0</v>
      </c>
      <c r="BK283" s="12">
        <f>$AX$283*24</f>
        <v>1.0166666666666666</v>
      </c>
      <c r="BL283" s="12">
        <f>$AY$283*24</f>
        <v>0</v>
      </c>
      <c r="BM283" s="12">
        <f>$BJ$283*24</f>
        <v>0</v>
      </c>
      <c r="BN283" s="12">
        <f>VALUE($I$283)/100</f>
        <v>1</v>
      </c>
      <c r="BO283" s="12">
        <v>0</v>
      </c>
      <c r="BP283" s="12">
        <v>0</v>
      </c>
      <c r="BQ283" s="12">
        <v>1</v>
      </c>
      <c r="BR283" s="12">
        <v>0</v>
      </c>
      <c r="BS283" s="12">
        <v>0</v>
      </c>
      <c r="BT283" s="12">
        <v>0</v>
      </c>
      <c r="BU283" s="12">
        <v>0</v>
      </c>
      <c r="BV283" s="12">
        <v>0</v>
      </c>
      <c r="BW283" s="12">
        <v>0</v>
      </c>
      <c r="BX283" s="12">
        <v>0</v>
      </c>
      <c r="BY283" s="12">
        <v>0</v>
      </c>
      <c r="BZ283" s="12">
        <v>0</v>
      </c>
      <c r="CA283" s="12">
        <v>0</v>
      </c>
    </row>
    <row r="284" spans="1:79" hidden="1" x14ac:dyDescent="0.2">
      <c r="A284" s="12" t="s">
        <v>141</v>
      </c>
      <c r="B284" s="12" t="s">
        <v>143</v>
      </c>
      <c r="C284" s="12" t="s">
        <v>143</v>
      </c>
      <c r="D284" s="22" t="s">
        <v>378</v>
      </c>
      <c r="E284" s="22" t="s">
        <v>161</v>
      </c>
      <c r="F284" s="22" t="s">
        <v>1292</v>
      </c>
      <c r="G284" s="22" t="s">
        <v>1047</v>
      </c>
      <c r="H284" s="22" t="s">
        <v>166</v>
      </c>
      <c r="I284" s="22" t="s">
        <v>151</v>
      </c>
      <c r="J284" s="22" t="s">
        <v>162</v>
      </c>
      <c r="K284" s="22" t="s">
        <v>97</v>
      </c>
      <c r="L284" s="54" t="s">
        <v>153</v>
      </c>
      <c r="M284" s="23" t="s">
        <v>153</v>
      </c>
      <c r="N284" s="24" t="s">
        <v>153</v>
      </c>
      <c r="O284" s="23" t="s">
        <v>153</v>
      </c>
      <c r="P284" s="23" t="s">
        <v>153</v>
      </c>
      <c r="Q284" s="23" t="s">
        <v>153</v>
      </c>
      <c r="R284" s="23" t="s">
        <v>153</v>
      </c>
      <c r="S284" s="23" t="s">
        <v>153</v>
      </c>
      <c r="T284" s="23" t="s">
        <v>153</v>
      </c>
      <c r="U284" s="24" t="s">
        <v>153</v>
      </c>
      <c r="V284" s="54" t="s">
        <v>153</v>
      </c>
      <c r="W284" s="23" t="s">
        <v>153</v>
      </c>
      <c r="X284" s="23" t="s">
        <v>153</v>
      </c>
      <c r="Y284" s="23" t="s">
        <v>153</v>
      </c>
      <c r="Z284" s="23" t="s">
        <v>153</v>
      </c>
      <c r="AA284" s="23" t="s">
        <v>153</v>
      </c>
      <c r="AB284" s="24" t="s">
        <v>153</v>
      </c>
      <c r="AC284" s="23" t="s">
        <v>153</v>
      </c>
      <c r="AD284" s="23" t="s">
        <v>153</v>
      </c>
      <c r="AE284" s="23" t="s">
        <v>153</v>
      </c>
      <c r="AF284" s="23" t="s">
        <v>153</v>
      </c>
      <c r="AG284" s="23" t="s">
        <v>153</v>
      </c>
      <c r="AH284" s="23" t="s">
        <v>153</v>
      </c>
      <c r="AI284" s="24" t="s">
        <v>153</v>
      </c>
      <c r="AJ284" s="23" t="s">
        <v>153</v>
      </c>
      <c r="AK284" s="23" t="s">
        <v>153</v>
      </c>
      <c r="AL284" s="23" t="s">
        <v>153</v>
      </c>
      <c r="AM284" s="23" t="s">
        <v>153</v>
      </c>
      <c r="AN284" s="23" t="s">
        <v>153</v>
      </c>
      <c r="AO284" s="23" t="s">
        <v>153</v>
      </c>
      <c r="AP284" s="23">
        <f>VALUE(44)</f>
        <v>44</v>
      </c>
      <c r="AQ284" s="23">
        <f>VALUE(0)</f>
        <v>0</v>
      </c>
      <c r="AR284" s="23">
        <f>VALUE(0)</f>
        <v>0</v>
      </c>
      <c r="AS284" s="23">
        <f>VALUE(0)</f>
        <v>0</v>
      </c>
      <c r="AT284" s="23">
        <f>VALUE(0)</f>
        <v>0</v>
      </c>
      <c r="AU284" s="23">
        <f>VALUE(0)</f>
        <v>0</v>
      </c>
      <c r="AV284" s="23">
        <f>VALUE(6)</f>
        <v>6</v>
      </c>
      <c r="AW284" s="23">
        <f>VALUE(0)</f>
        <v>0</v>
      </c>
      <c r="AX284" s="23" t="s">
        <v>1293</v>
      </c>
      <c r="AY284" s="23">
        <f>VALUE(0)</f>
        <v>0</v>
      </c>
      <c r="AZ284" s="23">
        <f>VALUE(0)</f>
        <v>0</v>
      </c>
      <c r="BA284" s="23">
        <f>VALUE(0)</f>
        <v>0</v>
      </c>
      <c r="BB284" s="23">
        <f>VALUE(0)</f>
        <v>0</v>
      </c>
      <c r="BC284" s="23">
        <f>VALUE(0)</f>
        <v>0</v>
      </c>
      <c r="BD284" s="23">
        <f>VALUE(0)</f>
        <v>0</v>
      </c>
      <c r="BE284" s="23">
        <f>VALUE(0)</f>
        <v>0</v>
      </c>
      <c r="BF284" s="23">
        <f>VALUE(0)</f>
        <v>0</v>
      </c>
      <c r="BG284" s="23">
        <f>VALUE(0)</f>
        <v>0</v>
      </c>
      <c r="BH284" s="23">
        <f>VALUE(0)</f>
        <v>0</v>
      </c>
      <c r="BI284" s="23">
        <f>VALUE(0)</f>
        <v>0</v>
      </c>
      <c r="BJ284" s="23">
        <f>VALUE(0)</f>
        <v>0</v>
      </c>
      <c r="BK284" s="12">
        <f>$AX$284*24</f>
        <v>35.333333333333336</v>
      </c>
      <c r="BL284" s="12">
        <f>$AY$284*24</f>
        <v>0</v>
      </c>
      <c r="BM284" s="12">
        <f>$BJ$284*24</f>
        <v>0</v>
      </c>
      <c r="BN284" s="12">
        <f>VALUE($I$284)/100</f>
        <v>1</v>
      </c>
      <c r="BO284" s="12">
        <v>0</v>
      </c>
      <c r="BP284" s="12">
        <v>0</v>
      </c>
      <c r="BQ284" s="12">
        <v>0</v>
      </c>
      <c r="BR284" s="12">
        <v>0</v>
      </c>
      <c r="BS284" s="12">
        <v>0</v>
      </c>
      <c r="BT284" s="12">
        <v>0</v>
      </c>
      <c r="BU284" s="12">
        <v>0</v>
      </c>
      <c r="BV284" s="12">
        <v>0</v>
      </c>
      <c r="BW284" s="12">
        <v>0</v>
      </c>
      <c r="BX284" s="12">
        <v>0</v>
      </c>
      <c r="BY284" s="12">
        <v>0</v>
      </c>
      <c r="BZ284" s="12">
        <v>0</v>
      </c>
      <c r="CA284" s="12">
        <v>0</v>
      </c>
    </row>
    <row r="285" spans="1:79" hidden="1" x14ac:dyDescent="0.2">
      <c r="A285" s="12" t="s">
        <v>141</v>
      </c>
      <c r="B285" s="12" t="s">
        <v>143</v>
      </c>
      <c r="C285" s="12" t="s">
        <v>143</v>
      </c>
      <c r="D285" s="22" t="s">
        <v>389</v>
      </c>
      <c r="E285" s="22" t="s">
        <v>161</v>
      </c>
      <c r="F285" s="22" t="s">
        <v>1048</v>
      </c>
      <c r="G285" s="22" t="s">
        <v>1049</v>
      </c>
      <c r="H285" s="22" t="s">
        <v>279</v>
      </c>
      <c r="I285" s="22" t="s">
        <v>151</v>
      </c>
      <c r="J285" s="22" t="s">
        <v>162</v>
      </c>
      <c r="K285" s="22" t="s">
        <v>97</v>
      </c>
      <c r="L285" s="54" t="s">
        <v>153</v>
      </c>
      <c r="M285" s="23" t="s">
        <v>153</v>
      </c>
      <c r="N285" s="24" t="s">
        <v>153</v>
      </c>
      <c r="O285" s="23" t="s">
        <v>153</v>
      </c>
      <c r="P285" s="23" t="s">
        <v>153</v>
      </c>
      <c r="Q285" s="23" t="s">
        <v>153</v>
      </c>
      <c r="R285" s="23" t="s">
        <v>153</v>
      </c>
      <c r="S285" s="23" t="s">
        <v>153</v>
      </c>
      <c r="T285" s="23" t="s">
        <v>153</v>
      </c>
      <c r="U285" s="24" t="s">
        <v>153</v>
      </c>
      <c r="V285" s="54" t="s">
        <v>153</v>
      </c>
      <c r="W285" s="23" t="s">
        <v>426</v>
      </c>
      <c r="X285" s="23" t="s">
        <v>426</v>
      </c>
      <c r="Y285" s="23" t="s">
        <v>426</v>
      </c>
      <c r="Z285" s="23" t="s">
        <v>426</v>
      </c>
      <c r="AA285" s="23" t="s">
        <v>426</v>
      </c>
      <c r="AB285" s="24" t="s">
        <v>153</v>
      </c>
      <c r="AC285" s="23" t="s">
        <v>426</v>
      </c>
      <c r="AD285" s="23" t="s">
        <v>426</v>
      </c>
      <c r="AE285" s="23" t="s">
        <v>426</v>
      </c>
      <c r="AF285" s="23" t="s">
        <v>426</v>
      </c>
      <c r="AG285" s="23" t="s">
        <v>426</v>
      </c>
      <c r="AH285" s="23" t="s">
        <v>426</v>
      </c>
      <c r="AI285" s="24" t="s">
        <v>153</v>
      </c>
      <c r="AJ285" s="23" t="s">
        <v>385</v>
      </c>
      <c r="AK285" s="23" t="s">
        <v>385</v>
      </c>
      <c r="AL285" s="23" t="s">
        <v>385</v>
      </c>
      <c r="AM285" s="23" t="s">
        <v>385</v>
      </c>
      <c r="AN285" s="23" t="s">
        <v>385</v>
      </c>
      <c r="AO285" s="23" t="s">
        <v>385</v>
      </c>
      <c r="AP285" s="23">
        <f>VALUE(0)</f>
        <v>0</v>
      </c>
      <c r="AQ285" s="23">
        <f>VALUE(0)</f>
        <v>0</v>
      </c>
      <c r="AR285" s="23">
        <f>VALUE(0)</f>
        <v>0</v>
      </c>
      <c r="AS285" s="23">
        <f>VALUE(0)</f>
        <v>0</v>
      </c>
      <c r="AT285" s="23">
        <f>VALUE(0)</f>
        <v>0</v>
      </c>
      <c r="AU285" s="23">
        <f>VALUE(0)</f>
        <v>0</v>
      </c>
      <c r="AV285" s="23">
        <f>VALUE(0)</f>
        <v>0</v>
      </c>
      <c r="AW285" s="23">
        <f>VALUE(0)</f>
        <v>0</v>
      </c>
      <c r="AX285" s="23">
        <f>VALUE(0)</f>
        <v>0</v>
      </c>
      <c r="AY285" s="23">
        <f>VALUE(0)</f>
        <v>0</v>
      </c>
      <c r="AZ285" s="23">
        <f>VALUE(0)</f>
        <v>0</v>
      </c>
      <c r="BA285" s="23">
        <f>VALUE(0)</f>
        <v>0</v>
      </c>
      <c r="BB285" s="23">
        <f>VALUE(0)</f>
        <v>0</v>
      </c>
      <c r="BC285" s="23">
        <f>VALUE(0)</f>
        <v>0</v>
      </c>
      <c r="BD285" s="23">
        <f>VALUE(0)</f>
        <v>0</v>
      </c>
      <c r="BE285" s="23">
        <f>VALUE(0)</f>
        <v>0</v>
      </c>
      <c r="BF285" s="23">
        <f>VALUE(0)</f>
        <v>0</v>
      </c>
      <c r="BG285" s="23">
        <f>VALUE(0)</f>
        <v>0</v>
      </c>
      <c r="BH285" s="23">
        <f>VALUE(0)</f>
        <v>0</v>
      </c>
      <c r="BI285" s="23">
        <f>VALUE(0)</f>
        <v>0</v>
      </c>
      <c r="BJ285" s="23">
        <f>VALUE(0)</f>
        <v>0</v>
      </c>
      <c r="BK285" s="12">
        <f>$AX$285*24</f>
        <v>0</v>
      </c>
      <c r="BL285" s="12">
        <f>$AY$285*24</f>
        <v>0</v>
      </c>
      <c r="BM285" s="12">
        <f>$BJ$285*24</f>
        <v>0</v>
      </c>
      <c r="BN285" s="12">
        <f>VALUE($I$285)/100</f>
        <v>1</v>
      </c>
      <c r="BO285" s="12">
        <v>0</v>
      </c>
      <c r="BP285" s="12">
        <v>0</v>
      </c>
      <c r="BQ285" s="12">
        <v>0</v>
      </c>
      <c r="BR285" s="12">
        <v>0</v>
      </c>
      <c r="BS285" s="12">
        <v>0</v>
      </c>
      <c r="BT285" s="12">
        <v>0</v>
      </c>
      <c r="BU285" s="12">
        <v>0</v>
      </c>
      <c r="BV285" s="12">
        <v>0</v>
      </c>
      <c r="BW285" s="12">
        <v>0</v>
      </c>
      <c r="BX285" s="12">
        <v>0</v>
      </c>
      <c r="BY285" s="12">
        <v>0</v>
      </c>
      <c r="BZ285" s="12">
        <v>0</v>
      </c>
      <c r="CA285" s="12">
        <v>0</v>
      </c>
    </row>
    <row r="286" spans="1:79" hidden="1" x14ac:dyDescent="0.2">
      <c r="A286" s="12" t="s">
        <v>141</v>
      </c>
      <c r="B286" s="12" t="s">
        <v>143</v>
      </c>
      <c r="C286" s="12" t="s">
        <v>143</v>
      </c>
      <c r="D286" s="22" t="s">
        <v>379</v>
      </c>
      <c r="E286" s="22" t="s">
        <v>161</v>
      </c>
      <c r="F286" s="22" t="s">
        <v>1050</v>
      </c>
      <c r="G286" s="22" t="s">
        <v>1051</v>
      </c>
      <c r="H286" s="22" t="s">
        <v>166</v>
      </c>
      <c r="I286" s="22" t="s">
        <v>151</v>
      </c>
      <c r="J286" s="22" t="s">
        <v>162</v>
      </c>
      <c r="K286" s="22" t="s">
        <v>97</v>
      </c>
      <c r="L286" s="54" t="s">
        <v>156</v>
      </c>
      <c r="M286" s="24" t="s">
        <v>156</v>
      </c>
      <c r="N286" s="24" t="s">
        <v>153</v>
      </c>
      <c r="O286" s="23" t="s">
        <v>153</v>
      </c>
      <c r="P286" s="23" t="s">
        <v>153</v>
      </c>
      <c r="Q286" s="23" t="s">
        <v>153</v>
      </c>
      <c r="R286" s="23" t="s">
        <v>153</v>
      </c>
      <c r="S286" s="23" t="s">
        <v>153</v>
      </c>
      <c r="T286" s="23" t="s">
        <v>153</v>
      </c>
      <c r="U286" s="24" t="s">
        <v>153</v>
      </c>
      <c r="V286" s="54" t="s">
        <v>153</v>
      </c>
      <c r="W286" s="23" t="s">
        <v>153</v>
      </c>
      <c r="X286" s="23" t="s">
        <v>153</v>
      </c>
      <c r="Y286" s="23" t="s">
        <v>153</v>
      </c>
      <c r="Z286" s="23" t="s">
        <v>153</v>
      </c>
      <c r="AA286" s="23" t="s">
        <v>153</v>
      </c>
      <c r="AB286" s="24" t="s">
        <v>153</v>
      </c>
      <c r="AC286" s="23" t="s">
        <v>153</v>
      </c>
      <c r="AD286" s="23" t="s">
        <v>153</v>
      </c>
      <c r="AE286" s="23" t="s">
        <v>153</v>
      </c>
      <c r="AF286" s="23" t="s">
        <v>153</v>
      </c>
      <c r="AG286" s="23" t="s">
        <v>153</v>
      </c>
      <c r="AH286" s="23" t="s">
        <v>153</v>
      </c>
      <c r="AI286" s="24" t="s">
        <v>153</v>
      </c>
      <c r="AJ286" s="23" t="s">
        <v>153</v>
      </c>
      <c r="AK286" s="23" t="s">
        <v>153</v>
      </c>
      <c r="AL286" s="23" t="s">
        <v>153</v>
      </c>
      <c r="AM286" s="23" t="s">
        <v>153</v>
      </c>
      <c r="AN286" s="23" t="s">
        <v>153</v>
      </c>
      <c r="AO286" s="23" t="s">
        <v>153</v>
      </c>
      <c r="AP286" s="23">
        <f>VALUE(41)</f>
        <v>41</v>
      </c>
      <c r="AQ286" s="23">
        <f>VALUE(0)</f>
        <v>0</v>
      </c>
      <c r="AR286" s="23">
        <f>VALUE(0)</f>
        <v>0</v>
      </c>
      <c r="AS286" s="23">
        <f>VALUE(0)</f>
        <v>0</v>
      </c>
      <c r="AT286" s="23">
        <f>VALUE(0)</f>
        <v>0</v>
      </c>
      <c r="AU286" s="23">
        <f>VALUE(0)</f>
        <v>0</v>
      </c>
      <c r="AV286" s="23">
        <f>VALUE(6)</f>
        <v>6</v>
      </c>
      <c r="AW286" s="23">
        <f>VALUE(0)</f>
        <v>0</v>
      </c>
      <c r="AX286" s="23" t="s">
        <v>1294</v>
      </c>
      <c r="AY286" s="23">
        <f>VALUE(0)</f>
        <v>0</v>
      </c>
      <c r="AZ286" s="23">
        <f>VALUE(0)</f>
        <v>0</v>
      </c>
      <c r="BA286" s="23">
        <f>VALUE(0)</f>
        <v>0</v>
      </c>
      <c r="BB286" s="23">
        <f>VALUE(0)</f>
        <v>0</v>
      </c>
      <c r="BC286" s="23">
        <f>VALUE(0)</f>
        <v>0</v>
      </c>
      <c r="BD286" s="23">
        <f>VALUE(0)</f>
        <v>0</v>
      </c>
      <c r="BE286" s="23">
        <f>VALUE(0)</f>
        <v>0</v>
      </c>
      <c r="BF286" s="23">
        <f>VALUE(0)</f>
        <v>0</v>
      </c>
      <c r="BG286" s="23">
        <f>VALUE(0)</f>
        <v>0</v>
      </c>
      <c r="BH286" s="23">
        <f>VALUE(0)</f>
        <v>0</v>
      </c>
      <c r="BI286" s="23">
        <f>VALUE(0)</f>
        <v>0</v>
      </c>
      <c r="BJ286" s="23">
        <f>VALUE(0)</f>
        <v>0</v>
      </c>
      <c r="BK286" s="12">
        <f>$AX$286*24</f>
        <v>12.133333333333333</v>
      </c>
      <c r="BL286" s="12">
        <f>$AY$286*24</f>
        <v>0</v>
      </c>
      <c r="BM286" s="12">
        <f>$BJ$286*24</f>
        <v>0</v>
      </c>
      <c r="BN286" s="12">
        <f>VALUE($I$286)/100</f>
        <v>1</v>
      </c>
      <c r="BO286" s="12">
        <v>0</v>
      </c>
      <c r="BP286" s="12">
        <v>0</v>
      </c>
      <c r="BQ286" s="12">
        <v>0</v>
      </c>
      <c r="BR286" s="12">
        <v>0</v>
      </c>
      <c r="BS286" s="12">
        <v>0</v>
      </c>
      <c r="BT286" s="12">
        <v>0</v>
      </c>
      <c r="BU286" s="12">
        <v>0</v>
      </c>
      <c r="BV286" s="12">
        <v>0</v>
      </c>
      <c r="BW286" s="12">
        <v>0</v>
      </c>
      <c r="BX286" s="12">
        <v>0</v>
      </c>
      <c r="BY286" s="12">
        <v>0</v>
      </c>
      <c r="BZ286" s="12">
        <v>0</v>
      </c>
      <c r="CA286" s="12">
        <v>0</v>
      </c>
    </row>
    <row r="287" spans="1:79" hidden="1" x14ac:dyDescent="0.2">
      <c r="A287" s="12" t="s">
        <v>141</v>
      </c>
      <c r="B287" s="12" t="s">
        <v>143</v>
      </c>
      <c r="C287" s="12" t="s">
        <v>143</v>
      </c>
      <c r="D287" s="22" t="s">
        <v>429</v>
      </c>
      <c r="E287" s="22" t="s">
        <v>161</v>
      </c>
      <c r="F287" s="22" t="s">
        <v>1052</v>
      </c>
      <c r="G287" s="22" t="s">
        <v>1053</v>
      </c>
      <c r="H287" s="22" t="s">
        <v>166</v>
      </c>
      <c r="I287" s="22" t="s">
        <v>151</v>
      </c>
      <c r="J287" s="22" t="s">
        <v>162</v>
      </c>
      <c r="K287" s="22" t="s">
        <v>97</v>
      </c>
      <c r="L287" s="54" t="s">
        <v>153</v>
      </c>
      <c r="M287" s="23" t="s">
        <v>153</v>
      </c>
      <c r="N287" s="24" t="s">
        <v>153</v>
      </c>
      <c r="O287" s="23" t="s">
        <v>153</v>
      </c>
      <c r="P287" s="23" t="s">
        <v>153</v>
      </c>
      <c r="Q287" s="23" t="s">
        <v>153</v>
      </c>
      <c r="R287" s="23" t="s">
        <v>153</v>
      </c>
      <c r="S287" s="24" t="s">
        <v>156</v>
      </c>
      <c r="T287" s="24" t="s">
        <v>156</v>
      </c>
      <c r="U287" s="24" t="s">
        <v>153</v>
      </c>
      <c r="V287" s="54" t="s">
        <v>153</v>
      </c>
      <c r="W287" s="23" t="s">
        <v>153</v>
      </c>
      <c r="X287" s="23" t="s">
        <v>153</v>
      </c>
      <c r="Y287" s="23" t="s">
        <v>153</v>
      </c>
      <c r="Z287" s="23" t="s">
        <v>153</v>
      </c>
      <c r="AA287" s="23" t="s">
        <v>153</v>
      </c>
      <c r="AB287" s="24" t="s">
        <v>153</v>
      </c>
      <c r="AC287" s="28" t="s">
        <v>163</v>
      </c>
      <c r="AD287" s="28" t="s">
        <v>163</v>
      </c>
      <c r="AE287" s="28" t="s">
        <v>163</v>
      </c>
      <c r="AF287" s="28" t="s">
        <v>163</v>
      </c>
      <c r="AG287" s="28" t="s">
        <v>163</v>
      </c>
      <c r="AH287" s="28" t="s">
        <v>163</v>
      </c>
      <c r="AI287" s="24" t="s">
        <v>153</v>
      </c>
      <c r="AJ287" s="28" t="s">
        <v>163</v>
      </c>
      <c r="AK287" s="28" t="s">
        <v>163</v>
      </c>
      <c r="AL287" s="28" t="s">
        <v>163</v>
      </c>
      <c r="AM287" s="28" t="s">
        <v>163</v>
      </c>
      <c r="AN287" s="23" t="s">
        <v>153</v>
      </c>
      <c r="AO287" s="23" t="s">
        <v>153</v>
      </c>
      <c r="AP287" s="23">
        <f>VALUE(36)</f>
        <v>36</v>
      </c>
      <c r="AQ287" s="23">
        <f>VALUE(0)</f>
        <v>0</v>
      </c>
      <c r="AR287" s="23">
        <f>VALUE(0)</f>
        <v>0</v>
      </c>
      <c r="AS287" s="23">
        <f>VALUE(0)</f>
        <v>0</v>
      </c>
      <c r="AT287" s="23">
        <f>VALUE(0)</f>
        <v>0</v>
      </c>
      <c r="AU287" s="23">
        <f>VALUE(10)</f>
        <v>10</v>
      </c>
      <c r="AV287" s="23">
        <f>VALUE(0)</f>
        <v>0</v>
      </c>
      <c r="AW287" s="23">
        <f>VALUE(0)</f>
        <v>0</v>
      </c>
      <c r="AX287" s="23" t="s">
        <v>1295</v>
      </c>
      <c r="AY287" s="23">
        <f>VALUE(0)</f>
        <v>0</v>
      </c>
      <c r="AZ287" s="23">
        <f>VALUE(0)</f>
        <v>0</v>
      </c>
      <c r="BA287" s="23">
        <f>VALUE(0)</f>
        <v>0</v>
      </c>
      <c r="BB287" s="23">
        <f>VALUE(0)</f>
        <v>0</v>
      </c>
      <c r="BC287" s="23">
        <f>VALUE(0)</f>
        <v>0</v>
      </c>
      <c r="BD287" s="23">
        <f>VALUE(0)</f>
        <v>0</v>
      </c>
      <c r="BE287" s="23">
        <f>VALUE(0)</f>
        <v>0</v>
      </c>
      <c r="BF287" s="23">
        <f>VALUE(0)</f>
        <v>0</v>
      </c>
      <c r="BG287" s="23">
        <f>VALUE(0)</f>
        <v>0</v>
      </c>
      <c r="BH287" s="23">
        <f>VALUE(0)</f>
        <v>0</v>
      </c>
      <c r="BI287" s="23">
        <f>VALUE(0)</f>
        <v>0</v>
      </c>
      <c r="BJ287" s="23">
        <f>VALUE(0)</f>
        <v>0</v>
      </c>
      <c r="BK287" s="12">
        <f>$AX$287*24</f>
        <v>4.5333333333333332</v>
      </c>
      <c r="BL287" s="12">
        <f>$AY$287*24</f>
        <v>0</v>
      </c>
      <c r="BM287" s="12">
        <f>$BJ$287*24</f>
        <v>0</v>
      </c>
      <c r="BN287" s="12">
        <f>VALUE($I$287)/100</f>
        <v>1</v>
      </c>
      <c r="BO287" s="12">
        <v>0</v>
      </c>
      <c r="BP287" s="12">
        <v>0</v>
      </c>
      <c r="BQ287" s="12">
        <v>0</v>
      </c>
      <c r="BR287" s="12">
        <v>0</v>
      </c>
      <c r="BS287" s="12">
        <v>0</v>
      </c>
      <c r="BT287" s="12">
        <v>0</v>
      </c>
      <c r="BU287" s="12">
        <v>0</v>
      </c>
      <c r="BV287" s="12">
        <v>0</v>
      </c>
      <c r="BW287" s="12">
        <v>0</v>
      </c>
      <c r="BX287" s="12">
        <v>0</v>
      </c>
      <c r="BY287" s="12">
        <v>0</v>
      </c>
      <c r="BZ287" s="12">
        <v>0</v>
      </c>
      <c r="CA287" s="12">
        <v>0</v>
      </c>
    </row>
    <row r="288" spans="1:79" hidden="1" x14ac:dyDescent="0.2">
      <c r="A288" s="12" t="s">
        <v>141</v>
      </c>
      <c r="B288" s="12" t="s">
        <v>143</v>
      </c>
      <c r="C288" s="12" t="s">
        <v>143</v>
      </c>
      <c r="D288" s="22" t="s">
        <v>534</v>
      </c>
      <c r="E288" s="22" t="s">
        <v>159</v>
      </c>
      <c r="F288" s="22" t="s">
        <v>535</v>
      </c>
      <c r="G288" s="22" t="s">
        <v>1054</v>
      </c>
      <c r="H288" s="22" t="s">
        <v>166</v>
      </c>
      <c r="I288" s="22" t="s">
        <v>151</v>
      </c>
      <c r="J288" s="22" t="s">
        <v>162</v>
      </c>
      <c r="K288" s="22" t="s">
        <v>97</v>
      </c>
      <c r="L288" s="54" t="s">
        <v>153</v>
      </c>
      <c r="M288" s="23" t="s">
        <v>300</v>
      </c>
      <c r="N288" s="24" t="s">
        <v>153</v>
      </c>
      <c r="O288" s="28" t="s">
        <v>163</v>
      </c>
      <c r="P288" s="28" t="s">
        <v>163</v>
      </c>
      <c r="Q288" s="28" t="s">
        <v>163</v>
      </c>
      <c r="R288" s="28" t="s">
        <v>163</v>
      </c>
      <c r="S288" s="28" t="s">
        <v>163</v>
      </c>
      <c r="T288" s="28" t="s">
        <v>163</v>
      </c>
      <c r="U288" s="24" t="s">
        <v>153</v>
      </c>
      <c r="V288" s="54" t="s">
        <v>153</v>
      </c>
      <c r="W288" s="23" t="s">
        <v>389</v>
      </c>
      <c r="X288" s="23" t="s">
        <v>389</v>
      </c>
      <c r="Y288" s="23" t="s">
        <v>389</v>
      </c>
      <c r="Z288" s="23" t="s">
        <v>389</v>
      </c>
      <c r="AA288" s="23" t="s">
        <v>389</v>
      </c>
      <c r="AB288" s="24" t="s">
        <v>153</v>
      </c>
      <c r="AC288" s="23" t="s">
        <v>185</v>
      </c>
      <c r="AD288" s="23" t="s">
        <v>185</v>
      </c>
      <c r="AE288" s="24" t="s">
        <v>156</v>
      </c>
      <c r="AF288" s="24" t="s">
        <v>156</v>
      </c>
      <c r="AG288" s="23" t="s">
        <v>185</v>
      </c>
      <c r="AH288" s="23" t="s">
        <v>185</v>
      </c>
      <c r="AI288" s="24" t="s">
        <v>153</v>
      </c>
      <c r="AJ288" s="23" t="s">
        <v>389</v>
      </c>
      <c r="AK288" s="23" t="s">
        <v>389</v>
      </c>
      <c r="AL288" s="23" t="s">
        <v>389</v>
      </c>
      <c r="AM288" s="23" t="s">
        <v>389</v>
      </c>
      <c r="AN288" s="23" t="s">
        <v>389</v>
      </c>
      <c r="AO288" s="23" t="s">
        <v>389</v>
      </c>
      <c r="AP288" s="23">
        <f>VALUE(24)</f>
        <v>24</v>
      </c>
      <c r="AQ288" s="23">
        <f>VALUE(0)</f>
        <v>0</v>
      </c>
      <c r="AR288" s="23">
        <f>VALUE(0)</f>
        <v>0</v>
      </c>
      <c r="AS288" s="23">
        <f>VALUE(0)</f>
        <v>0</v>
      </c>
      <c r="AT288" s="23">
        <f>VALUE(0)</f>
        <v>0</v>
      </c>
      <c r="AU288" s="23">
        <f>VALUE(6)</f>
        <v>6</v>
      </c>
      <c r="AV288" s="23">
        <f>VALUE(4)</f>
        <v>4</v>
      </c>
      <c r="AW288" s="23">
        <f>VALUE(0)</f>
        <v>0</v>
      </c>
      <c r="AX288" s="23" t="s">
        <v>1296</v>
      </c>
      <c r="AY288" s="23">
        <f>VALUE(0)</f>
        <v>0</v>
      </c>
      <c r="AZ288" s="23">
        <f>VALUE(0)</f>
        <v>0</v>
      </c>
      <c r="BA288" s="23">
        <f>VALUE(0)</f>
        <v>0</v>
      </c>
      <c r="BB288" s="23">
        <f>VALUE(0)</f>
        <v>0</v>
      </c>
      <c r="BC288" s="23">
        <f>VALUE(0)</f>
        <v>0</v>
      </c>
      <c r="BD288" s="23">
        <f>VALUE(0)</f>
        <v>0</v>
      </c>
      <c r="BE288" s="23">
        <f>VALUE(0)</f>
        <v>0</v>
      </c>
      <c r="BF288" s="23">
        <f>VALUE(0)</f>
        <v>0</v>
      </c>
      <c r="BG288" s="23">
        <f>VALUE(0)</f>
        <v>0</v>
      </c>
      <c r="BH288" s="23">
        <f>VALUE(0)</f>
        <v>0</v>
      </c>
      <c r="BI288" s="23">
        <f>VALUE(0)</f>
        <v>0</v>
      </c>
      <c r="BJ288" s="23">
        <f>VALUE(0)</f>
        <v>0</v>
      </c>
      <c r="BK288" s="12">
        <f>$AX$288*24</f>
        <v>35.700000000000003</v>
      </c>
      <c r="BL288" s="12">
        <f>$AY$288*24</f>
        <v>0</v>
      </c>
      <c r="BM288" s="12">
        <f>$BJ$288*24</f>
        <v>0</v>
      </c>
      <c r="BN288" s="12">
        <f>VALUE($I$288)/100</f>
        <v>1</v>
      </c>
      <c r="BO288" s="12">
        <v>0</v>
      </c>
      <c r="BP288" s="12">
        <v>0</v>
      </c>
      <c r="BQ288" s="12">
        <v>0</v>
      </c>
      <c r="BR288" s="12">
        <v>0</v>
      </c>
      <c r="BS288" s="12">
        <v>0</v>
      </c>
      <c r="BT288" s="12">
        <v>0</v>
      </c>
      <c r="BU288" s="12">
        <v>0</v>
      </c>
      <c r="BV288" s="12">
        <v>0</v>
      </c>
      <c r="BW288" s="12">
        <v>0</v>
      </c>
      <c r="BX288" s="12">
        <v>0</v>
      </c>
      <c r="BY288" s="12">
        <v>0</v>
      </c>
      <c r="BZ288" s="12">
        <v>0</v>
      </c>
      <c r="CA288" s="12">
        <v>0</v>
      </c>
    </row>
    <row r="289" spans="1:79" hidden="1" x14ac:dyDescent="0.2">
      <c r="A289" s="12" t="s">
        <v>141</v>
      </c>
      <c r="B289" s="12" t="s">
        <v>143</v>
      </c>
      <c r="C289" s="12" t="s">
        <v>143</v>
      </c>
      <c r="D289" s="22" t="s">
        <v>536</v>
      </c>
      <c r="E289" s="22" t="s">
        <v>159</v>
      </c>
      <c r="F289" s="22" t="s">
        <v>1055</v>
      </c>
      <c r="G289" s="22" t="s">
        <v>1056</v>
      </c>
      <c r="H289" s="22" t="s">
        <v>150</v>
      </c>
      <c r="I289" s="22" t="s">
        <v>151</v>
      </c>
      <c r="J289" s="22" t="s">
        <v>162</v>
      </c>
      <c r="K289" s="22" t="s">
        <v>97</v>
      </c>
      <c r="L289" s="54" t="s">
        <v>153</v>
      </c>
      <c r="M289" s="27" t="s">
        <v>153</v>
      </c>
      <c r="N289" s="27" t="s">
        <v>153</v>
      </c>
      <c r="O289" s="27" t="s">
        <v>153</v>
      </c>
      <c r="P289" s="27" t="s">
        <v>153</v>
      </c>
      <c r="Q289" s="27" t="s">
        <v>153</v>
      </c>
      <c r="R289" s="27" t="s">
        <v>153</v>
      </c>
      <c r="S289" s="27" t="s">
        <v>153</v>
      </c>
      <c r="T289" s="27" t="s">
        <v>153</v>
      </c>
      <c r="U289" s="27" t="s">
        <v>153</v>
      </c>
      <c r="V289" s="54" t="s">
        <v>153</v>
      </c>
      <c r="W289" s="27" t="s">
        <v>153</v>
      </c>
      <c r="X289" s="27" t="s">
        <v>153</v>
      </c>
      <c r="Y289" s="27" t="s">
        <v>153</v>
      </c>
      <c r="Z289" s="27" t="s">
        <v>153</v>
      </c>
      <c r="AA289" s="27" t="s">
        <v>153</v>
      </c>
      <c r="AB289" s="27" t="s">
        <v>153</v>
      </c>
      <c r="AC289" s="27" t="s">
        <v>153</v>
      </c>
      <c r="AD289" s="27" t="s">
        <v>153</v>
      </c>
      <c r="AE289" s="27" t="s">
        <v>153</v>
      </c>
      <c r="AF289" s="27" t="s">
        <v>153</v>
      </c>
      <c r="AG289" s="27" t="s">
        <v>153</v>
      </c>
      <c r="AH289" s="27" t="s">
        <v>153</v>
      </c>
      <c r="AI289" s="27" t="s">
        <v>153</v>
      </c>
      <c r="AJ289" s="27" t="s">
        <v>153</v>
      </c>
      <c r="AK289" s="27" t="s">
        <v>153</v>
      </c>
      <c r="AL289" s="27" t="s">
        <v>153</v>
      </c>
      <c r="AM289" s="27" t="s">
        <v>153</v>
      </c>
      <c r="AN289" s="27" t="s">
        <v>153</v>
      </c>
      <c r="AO289" s="27" t="s">
        <v>153</v>
      </c>
      <c r="AP289" s="23">
        <f>VALUE(0)</f>
        <v>0</v>
      </c>
      <c r="AQ289" s="23">
        <f>VALUE(0)</f>
        <v>0</v>
      </c>
      <c r="AR289" s="23">
        <f>VALUE(0)</f>
        <v>0</v>
      </c>
      <c r="AS289" s="23">
        <f>VALUE(0)</f>
        <v>0</v>
      </c>
      <c r="AT289" s="23">
        <f>VALUE(0)</f>
        <v>0</v>
      </c>
      <c r="AU289" s="23">
        <f>VALUE(0)</f>
        <v>0</v>
      </c>
      <c r="AV289" s="23">
        <f>VALUE(0)</f>
        <v>0</v>
      </c>
      <c r="AW289" s="23">
        <f>VALUE(0)</f>
        <v>0</v>
      </c>
      <c r="AX289" s="23">
        <f>VALUE(0)</f>
        <v>0</v>
      </c>
      <c r="AY289" s="23">
        <f>VALUE(0)</f>
        <v>0</v>
      </c>
      <c r="AZ289" s="23">
        <f>VALUE(0)</f>
        <v>0</v>
      </c>
      <c r="BA289" s="23">
        <f>VALUE(0)</f>
        <v>0</v>
      </c>
      <c r="BB289" s="23">
        <f>VALUE(0)</f>
        <v>0</v>
      </c>
      <c r="BC289" s="23">
        <f>VALUE(0)</f>
        <v>0</v>
      </c>
      <c r="BD289" s="23">
        <f>VALUE(0)</f>
        <v>0</v>
      </c>
      <c r="BE289" s="23">
        <f>VALUE(0)</f>
        <v>0</v>
      </c>
      <c r="BF289" s="23">
        <f>VALUE(0)</f>
        <v>0</v>
      </c>
      <c r="BG289" s="23">
        <f>VALUE(0)</f>
        <v>0</v>
      </c>
      <c r="BH289" s="23">
        <f>VALUE(0)</f>
        <v>0</v>
      </c>
      <c r="BI289" s="23">
        <f>VALUE(0)</f>
        <v>0</v>
      </c>
      <c r="BJ289" s="23">
        <f>VALUE(0)</f>
        <v>0</v>
      </c>
      <c r="BK289" s="12">
        <f>$AX$289*24</f>
        <v>0</v>
      </c>
      <c r="BL289" s="12">
        <f>$AY$289*24</f>
        <v>0</v>
      </c>
      <c r="BM289" s="12">
        <f>$BJ$289*24</f>
        <v>0</v>
      </c>
      <c r="BN289" s="12">
        <f>VALUE($I$289)/100</f>
        <v>1</v>
      </c>
      <c r="BO289" s="12">
        <v>0</v>
      </c>
      <c r="BP289" s="12">
        <v>0</v>
      </c>
      <c r="BQ289" s="12">
        <v>0</v>
      </c>
      <c r="BR289" s="12">
        <v>0</v>
      </c>
      <c r="BS289" s="12">
        <v>0</v>
      </c>
      <c r="BT289" s="12">
        <v>0</v>
      </c>
      <c r="BU289" s="12">
        <v>0</v>
      </c>
      <c r="BV289" s="12">
        <v>0</v>
      </c>
      <c r="BW289" s="12">
        <v>0</v>
      </c>
      <c r="BX289" s="12">
        <v>0</v>
      </c>
      <c r="BY289" s="12">
        <v>0</v>
      </c>
      <c r="BZ289" s="12">
        <v>0</v>
      </c>
      <c r="CA289" s="12">
        <v>0</v>
      </c>
    </row>
    <row r="290" spans="1:79" hidden="1" x14ac:dyDescent="0.2">
      <c r="A290" s="12" t="s">
        <v>141</v>
      </c>
      <c r="B290" s="12" t="s">
        <v>143</v>
      </c>
      <c r="C290" s="12" t="s">
        <v>143</v>
      </c>
      <c r="D290" s="22" t="s">
        <v>435</v>
      </c>
      <c r="E290" s="22" t="s">
        <v>173</v>
      </c>
      <c r="F290" s="22" t="s">
        <v>1057</v>
      </c>
      <c r="G290" s="22" t="s">
        <v>1058</v>
      </c>
      <c r="H290" s="22" t="s">
        <v>150</v>
      </c>
      <c r="I290" s="22" t="s">
        <v>151</v>
      </c>
      <c r="J290" s="22" t="s">
        <v>162</v>
      </c>
      <c r="K290" s="22" t="s">
        <v>97</v>
      </c>
      <c r="L290" s="54" t="s">
        <v>153</v>
      </c>
      <c r="M290" s="23" t="s">
        <v>380</v>
      </c>
      <c r="N290" s="24" t="s">
        <v>153</v>
      </c>
      <c r="O290" s="23" t="s">
        <v>380</v>
      </c>
      <c r="P290" s="23" t="s">
        <v>380</v>
      </c>
      <c r="Q290" s="23" t="s">
        <v>380</v>
      </c>
      <c r="R290" s="23" t="s">
        <v>380</v>
      </c>
      <c r="S290" s="23" t="s">
        <v>380</v>
      </c>
      <c r="T290" s="23" t="s">
        <v>380</v>
      </c>
      <c r="U290" s="24" t="s">
        <v>153</v>
      </c>
      <c r="V290" s="54" t="s">
        <v>153</v>
      </c>
      <c r="W290" s="23" t="s">
        <v>380</v>
      </c>
      <c r="X290" s="23" t="s">
        <v>380</v>
      </c>
      <c r="Y290" s="23" t="s">
        <v>380</v>
      </c>
      <c r="Z290" s="23" t="s">
        <v>380</v>
      </c>
      <c r="AA290" s="23" t="s">
        <v>380</v>
      </c>
      <c r="AB290" s="24" t="s">
        <v>153</v>
      </c>
      <c r="AC290" s="24" t="s">
        <v>156</v>
      </c>
      <c r="AD290" s="24" t="s">
        <v>156</v>
      </c>
      <c r="AE290" s="23" t="s">
        <v>380</v>
      </c>
      <c r="AF290" s="23" t="s">
        <v>380</v>
      </c>
      <c r="AG290" s="23" t="s">
        <v>380</v>
      </c>
      <c r="AH290" s="23" t="s">
        <v>380</v>
      </c>
      <c r="AI290" s="24" t="s">
        <v>153</v>
      </c>
      <c r="AJ290" s="23" t="s">
        <v>380</v>
      </c>
      <c r="AK290" s="23" t="s">
        <v>380</v>
      </c>
      <c r="AL290" s="23" t="s">
        <v>380</v>
      </c>
      <c r="AM290" s="23" t="s">
        <v>380</v>
      </c>
      <c r="AN290" s="23" t="s">
        <v>380</v>
      </c>
      <c r="AO290" s="23" t="s">
        <v>380</v>
      </c>
      <c r="AP290" s="23">
        <f>VALUE(32)</f>
        <v>32</v>
      </c>
      <c r="AQ290" s="23">
        <f>VALUE(0)</f>
        <v>0</v>
      </c>
      <c r="AR290" s="23">
        <f>VALUE(0)</f>
        <v>0</v>
      </c>
      <c r="AS290" s="23">
        <f>VALUE(0)</f>
        <v>0</v>
      </c>
      <c r="AT290" s="23">
        <f>VALUE(0)</f>
        <v>0</v>
      </c>
      <c r="AU290" s="23">
        <f>VALUE(0)</f>
        <v>0</v>
      </c>
      <c r="AV290" s="23">
        <f>VALUE(6)</f>
        <v>6</v>
      </c>
      <c r="AW290" s="23">
        <f>VALUE(0)</f>
        <v>0</v>
      </c>
      <c r="AX290" s="23">
        <f>VALUE(0)</f>
        <v>0</v>
      </c>
      <c r="AY290" s="23">
        <f>VALUE(0)</f>
        <v>0</v>
      </c>
      <c r="AZ290" s="23">
        <f>VALUE(0)</f>
        <v>0</v>
      </c>
      <c r="BA290" s="23">
        <f>VALUE(0)</f>
        <v>0</v>
      </c>
      <c r="BB290" s="23">
        <f>VALUE(0)</f>
        <v>0</v>
      </c>
      <c r="BC290" s="23">
        <f>VALUE(0)</f>
        <v>0</v>
      </c>
      <c r="BD290" s="23">
        <f>VALUE(0)</f>
        <v>0</v>
      </c>
      <c r="BE290" s="23">
        <f>VALUE(0)</f>
        <v>0</v>
      </c>
      <c r="BF290" s="23">
        <f>VALUE(0)</f>
        <v>0</v>
      </c>
      <c r="BG290" s="23">
        <f>VALUE(0)</f>
        <v>0</v>
      </c>
      <c r="BH290" s="23">
        <f>VALUE(0)</f>
        <v>0</v>
      </c>
      <c r="BI290" s="23">
        <f>VALUE(0)</f>
        <v>0</v>
      </c>
      <c r="BJ290" s="23">
        <f>VALUE(0)</f>
        <v>0</v>
      </c>
      <c r="BK290" s="12">
        <f>$AX$290*24</f>
        <v>0</v>
      </c>
      <c r="BL290" s="12">
        <f>$AY$290*24</f>
        <v>0</v>
      </c>
      <c r="BM290" s="12">
        <f>$BJ$290*24</f>
        <v>0</v>
      </c>
      <c r="BN290" s="12">
        <f>VALUE($I$290)/100</f>
        <v>1</v>
      </c>
      <c r="BO290" s="12">
        <v>0</v>
      </c>
      <c r="BP290" s="12">
        <v>0</v>
      </c>
      <c r="BQ290" s="12">
        <v>0</v>
      </c>
      <c r="BR290" s="12">
        <v>0</v>
      </c>
      <c r="BS290" s="12">
        <v>0</v>
      </c>
      <c r="BT290" s="12">
        <v>0</v>
      </c>
      <c r="BU290" s="12">
        <v>0</v>
      </c>
      <c r="BV290" s="12">
        <v>0</v>
      </c>
      <c r="BW290" s="12">
        <v>0</v>
      </c>
      <c r="BX290" s="12">
        <v>0</v>
      </c>
      <c r="BY290" s="12">
        <v>0</v>
      </c>
      <c r="BZ290" s="12">
        <v>0</v>
      </c>
      <c r="CA290" s="12">
        <v>0</v>
      </c>
    </row>
    <row r="291" spans="1:79" ht="15" hidden="1" x14ac:dyDescent="0.25">
      <c r="A291" s="12" t="s">
        <v>141</v>
      </c>
      <c r="B291" s="12" t="s">
        <v>143</v>
      </c>
      <c r="C291" s="12" t="s">
        <v>143</v>
      </c>
      <c r="D291" s="31" t="s">
        <v>202</v>
      </c>
      <c r="E291" s="31" t="s">
        <v>153</v>
      </c>
      <c r="F291" s="31" t="s">
        <v>175</v>
      </c>
      <c r="G291" s="31" t="s">
        <v>153</v>
      </c>
      <c r="H291" s="31" t="s">
        <v>153</v>
      </c>
      <c r="I291" s="31" t="s">
        <v>153</v>
      </c>
      <c r="J291" s="31" t="s">
        <v>153</v>
      </c>
      <c r="K291" s="31" t="s">
        <v>153</v>
      </c>
      <c r="L291" s="31">
        <f>VALUE(0)</f>
        <v>0</v>
      </c>
      <c r="M291" s="31">
        <f>VALUE(10)</f>
        <v>10</v>
      </c>
      <c r="N291" s="31">
        <f>VALUE(0)</f>
        <v>0</v>
      </c>
      <c r="O291" s="31">
        <f>VALUE(11)</f>
        <v>11</v>
      </c>
      <c r="P291" s="31">
        <f>VALUE(11)</f>
        <v>11</v>
      </c>
      <c r="Q291" s="31">
        <f>VALUE(11)</f>
        <v>11</v>
      </c>
      <c r="R291" s="31">
        <f>VALUE(11)</f>
        <v>11</v>
      </c>
      <c r="S291" s="31">
        <f>VALUE(10)</f>
        <v>10</v>
      </c>
      <c r="T291" s="31">
        <f>VALUE(10)</f>
        <v>10</v>
      </c>
      <c r="U291" s="31">
        <f>VALUE(0)</f>
        <v>0</v>
      </c>
      <c r="V291" s="31">
        <f>VALUE(0)</f>
        <v>0</v>
      </c>
      <c r="W291" s="31">
        <f>VALUE(10)</f>
        <v>10</v>
      </c>
      <c r="X291" s="31">
        <f>VALUE(10)</f>
        <v>10</v>
      </c>
      <c r="Y291" s="31">
        <f>VALUE(10)</f>
        <v>10</v>
      </c>
      <c r="Z291" s="31">
        <f>VALUE(11)</f>
        <v>11</v>
      </c>
      <c r="AA291" s="31">
        <f>VALUE(11)</f>
        <v>11</v>
      </c>
      <c r="AB291" s="31">
        <f>VALUE(0)</f>
        <v>0</v>
      </c>
      <c r="AC291" s="31">
        <f>VALUE(10)</f>
        <v>10</v>
      </c>
      <c r="AD291" s="31">
        <f>VALUE(10)</f>
        <v>10</v>
      </c>
      <c r="AE291" s="31">
        <f>VALUE(10)</f>
        <v>10</v>
      </c>
      <c r="AF291" s="31">
        <f>VALUE(10)</f>
        <v>10</v>
      </c>
      <c r="AG291" s="31">
        <f>VALUE(10)</f>
        <v>10</v>
      </c>
      <c r="AH291" s="31">
        <f>VALUE(10)</f>
        <v>10</v>
      </c>
      <c r="AI291" s="31">
        <f>VALUE(0)</f>
        <v>0</v>
      </c>
      <c r="AJ291" s="31">
        <f>VALUE(10)</f>
        <v>10</v>
      </c>
      <c r="AK291" s="31">
        <f>VALUE(10)</f>
        <v>10</v>
      </c>
      <c r="AL291" s="31">
        <f>VALUE(10)</f>
        <v>10</v>
      </c>
      <c r="AM291" s="31">
        <f>VALUE(10)</f>
        <v>10</v>
      </c>
      <c r="AN291" s="31">
        <f>VALUE(12)</f>
        <v>12</v>
      </c>
      <c r="AO291" s="31">
        <f>VALUE(12)</f>
        <v>12</v>
      </c>
      <c r="AP291" s="31">
        <v>0</v>
      </c>
      <c r="AQ291" s="31">
        <v>0</v>
      </c>
      <c r="AR291" s="31">
        <v>0</v>
      </c>
      <c r="AS291" s="31">
        <v>0</v>
      </c>
      <c r="AT291" s="31">
        <v>0</v>
      </c>
      <c r="AU291" s="31">
        <v>0</v>
      </c>
      <c r="AV291" s="31">
        <v>0</v>
      </c>
      <c r="AW291" s="31">
        <v>0</v>
      </c>
      <c r="AX291" s="31">
        <v>0</v>
      </c>
      <c r="AY291" s="31">
        <v>0</v>
      </c>
      <c r="AZ291" s="31">
        <v>0</v>
      </c>
      <c r="BA291" s="31">
        <v>0</v>
      </c>
      <c r="BB291" s="31">
        <v>0</v>
      </c>
      <c r="BC291" s="31">
        <v>0</v>
      </c>
      <c r="BD291" s="31">
        <v>0</v>
      </c>
      <c r="BE291" s="31">
        <v>0</v>
      </c>
      <c r="BF291" s="31">
        <v>0</v>
      </c>
      <c r="BG291" s="31">
        <v>0</v>
      </c>
      <c r="BH291" s="31">
        <v>0</v>
      </c>
      <c r="BI291" s="31">
        <v>0</v>
      </c>
      <c r="BJ291" s="31">
        <v>0</v>
      </c>
      <c r="BK291" s="12">
        <v>0</v>
      </c>
      <c r="BL291" s="12">
        <v>0</v>
      </c>
      <c r="BM291" s="12">
        <v>0</v>
      </c>
      <c r="BN291" s="12"/>
      <c r="BO291" s="12">
        <v>0</v>
      </c>
      <c r="BP291" s="12">
        <v>0</v>
      </c>
      <c r="BQ291" s="12">
        <v>0</v>
      </c>
      <c r="BR291" s="12">
        <v>0</v>
      </c>
      <c r="BS291" s="12">
        <v>0</v>
      </c>
      <c r="BT291" s="12">
        <v>0</v>
      </c>
      <c r="BU291" s="12">
        <v>0</v>
      </c>
      <c r="BV291" s="12">
        <v>0</v>
      </c>
      <c r="BW291" s="12">
        <v>0</v>
      </c>
      <c r="BX291" s="12">
        <v>0</v>
      </c>
      <c r="BY291" s="12">
        <v>0</v>
      </c>
      <c r="BZ291" s="12">
        <v>0</v>
      </c>
      <c r="CA291" s="12">
        <v>0</v>
      </c>
    </row>
    <row r="292" spans="1:79" hidden="1" x14ac:dyDescent="0.2">
      <c r="A292" s="12" t="s">
        <v>141</v>
      </c>
      <c r="B292" s="12" t="s">
        <v>144</v>
      </c>
      <c r="C292" s="12" t="s">
        <v>144</v>
      </c>
      <c r="D292" s="22" t="s">
        <v>1286</v>
      </c>
      <c r="E292" s="22" t="s">
        <v>149</v>
      </c>
      <c r="F292" s="22" t="s">
        <v>1059</v>
      </c>
      <c r="G292" s="22" t="s">
        <v>1060</v>
      </c>
      <c r="H292" s="22" t="s">
        <v>166</v>
      </c>
      <c r="I292" s="22" t="s">
        <v>151</v>
      </c>
      <c r="J292" s="22" t="s">
        <v>524</v>
      </c>
      <c r="K292" s="22" t="s">
        <v>98</v>
      </c>
      <c r="L292" s="54" t="s">
        <v>153</v>
      </c>
      <c r="M292" s="30" t="s">
        <v>28</v>
      </c>
      <c r="N292" s="24" t="s">
        <v>153</v>
      </c>
      <c r="O292" s="28" t="s">
        <v>163</v>
      </c>
      <c r="P292" s="28" t="s">
        <v>163</v>
      </c>
      <c r="Q292" s="28" t="s">
        <v>163</v>
      </c>
      <c r="R292" s="28" t="s">
        <v>163</v>
      </c>
      <c r="S292" s="28" t="s">
        <v>163</v>
      </c>
      <c r="T292" s="28" t="s">
        <v>163</v>
      </c>
      <c r="U292" s="24" t="s">
        <v>153</v>
      </c>
      <c r="V292" s="54" t="s">
        <v>153</v>
      </c>
      <c r="W292" s="23" t="s">
        <v>153</v>
      </c>
      <c r="X292" s="23" t="s">
        <v>537</v>
      </c>
      <c r="Y292" s="23" t="s">
        <v>537</v>
      </c>
      <c r="Z292" s="23" t="s">
        <v>537</v>
      </c>
      <c r="AA292" s="23" t="s">
        <v>537</v>
      </c>
      <c r="AB292" s="24" t="s">
        <v>153</v>
      </c>
      <c r="AC292" s="23" t="s">
        <v>182</v>
      </c>
      <c r="AD292" s="23" t="s">
        <v>182</v>
      </c>
      <c r="AE292" s="23" t="s">
        <v>538</v>
      </c>
      <c r="AF292" s="23" t="s">
        <v>538</v>
      </c>
      <c r="AG292" s="23" t="s">
        <v>539</v>
      </c>
      <c r="AH292" s="23" t="s">
        <v>539</v>
      </c>
      <c r="AI292" s="24" t="s">
        <v>153</v>
      </c>
      <c r="AJ292" s="25" t="s">
        <v>539</v>
      </c>
      <c r="AK292" s="25" t="s">
        <v>539</v>
      </c>
      <c r="AL292" s="25" t="s">
        <v>539</v>
      </c>
      <c r="AM292" s="25" t="s">
        <v>539</v>
      </c>
      <c r="AN292" s="25" t="s">
        <v>539</v>
      </c>
      <c r="AO292" s="25" t="s">
        <v>539</v>
      </c>
      <c r="AP292" s="23">
        <f>VALUE(23)</f>
        <v>23</v>
      </c>
      <c r="AQ292" s="23">
        <f>VALUE(0)</f>
        <v>0</v>
      </c>
      <c r="AR292" s="23">
        <f>VALUE(0)</f>
        <v>0</v>
      </c>
      <c r="AS292" s="23">
        <f>VALUE(0)</f>
        <v>0</v>
      </c>
      <c r="AT292" s="23">
        <f>VALUE(0)</f>
        <v>0</v>
      </c>
      <c r="AU292" s="23">
        <f>VALUE(6)</f>
        <v>6</v>
      </c>
      <c r="AV292" s="23">
        <f>VALUE(2)</f>
        <v>2</v>
      </c>
      <c r="AW292" s="23">
        <f>VALUE(0)</f>
        <v>0</v>
      </c>
      <c r="AX292" s="23" t="s">
        <v>1297</v>
      </c>
      <c r="AY292" s="23">
        <f>VALUE(0)</f>
        <v>0</v>
      </c>
      <c r="AZ292" s="23">
        <f>VALUE(0)</f>
        <v>0</v>
      </c>
      <c r="BA292" s="23">
        <f>VALUE(0)</f>
        <v>0</v>
      </c>
      <c r="BB292" s="23">
        <f>VALUE(0)</f>
        <v>0</v>
      </c>
      <c r="BC292" s="23">
        <f>VALUE(0)</f>
        <v>0</v>
      </c>
      <c r="BD292" s="23">
        <f>VALUE(0)</f>
        <v>0</v>
      </c>
      <c r="BE292" s="23">
        <f>VALUE(0)</f>
        <v>0</v>
      </c>
      <c r="BF292" s="23">
        <f>VALUE(0)</f>
        <v>0</v>
      </c>
      <c r="BG292" s="23">
        <f>VALUE(0)</f>
        <v>0</v>
      </c>
      <c r="BH292" s="23">
        <f>VALUE(0)</f>
        <v>0</v>
      </c>
      <c r="BI292" s="23">
        <f>VALUE(0)</f>
        <v>0</v>
      </c>
      <c r="BJ292" s="23">
        <f>VALUE(0)</f>
        <v>0</v>
      </c>
      <c r="BK292" s="12">
        <f>$AX$292*24</f>
        <v>96.483333333333334</v>
      </c>
      <c r="BL292" s="12">
        <f>$AY$292*24</f>
        <v>0</v>
      </c>
      <c r="BM292" s="12">
        <f>$BJ$292*24</f>
        <v>0</v>
      </c>
      <c r="BN292" s="12">
        <f>VALUE($I$292)/100</f>
        <v>1</v>
      </c>
      <c r="BO292" s="12">
        <v>0</v>
      </c>
      <c r="BP292" s="12">
        <v>0</v>
      </c>
      <c r="BQ292" s="12">
        <v>1</v>
      </c>
      <c r="BR292" s="12">
        <v>0</v>
      </c>
      <c r="BS292" s="12">
        <v>0</v>
      </c>
      <c r="BT292" s="12">
        <v>0</v>
      </c>
      <c r="BU292" s="12">
        <v>0</v>
      </c>
      <c r="BV292" s="12">
        <v>0</v>
      </c>
      <c r="BW292" s="12">
        <v>0</v>
      </c>
      <c r="BX292" s="12">
        <v>0</v>
      </c>
      <c r="BY292" s="12">
        <v>0</v>
      </c>
      <c r="BZ292" s="12">
        <v>0</v>
      </c>
      <c r="CA292" s="12">
        <v>0</v>
      </c>
    </row>
    <row r="293" spans="1:79" ht="16.5" hidden="1" x14ac:dyDescent="0.2">
      <c r="A293" s="12" t="s">
        <v>141</v>
      </c>
      <c r="B293" s="12" t="s">
        <v>144</v>
      </c>
      <c r="C293" s="12" t="s">
        <v>144</v>
      </c>
      <c r="D293" s="22" t="s">
        <v>1298</v>
      </c>
      <c r="E293" s="22" t="s">
        <v>161</v>
      </c>
      <c r="F293" s="22" t="s">
        <v>1061</v>
      </c>
      <c r="G293" s="22" t="s">
        <v>1062</v>
      </c>
      <c r="H293" s="22" t="s">
        <v>150</v>
      </c>
      <c r="I293" s="22" t="s">
        <v>151</v>
      </c>
      <c r="J293" s="22" t="s">
        <v>530</v>
      </c>
      <c r="K293" s="22" t="s">
        <v>98</v>
      </c>
      <c r="L293" s="54" t="s">
        <v>153</v>
      </c>
      <c r="M293" s="26" t="s">
        <v>1299</v>
      </c>
      <c r="N293" s="24" t="s">
        <v>153</v>
      </c>
      <c r="O293" s="23" t="s">
        <v>540</v>
      </c>
      <c r="P293" s="23" t="s">
        <v>540</v>
      </c>
      <c r="Q293" s="23" t="s">
        <v>153</v>
      </c>
      <c r="R293" s="23" t="s">
        <v>153</v>
      </c>
      <c r="S293" s="23" t="s">
        <v>153</v>
      </c>
      <c r="T293" s="26" t="s">
        <v>1299</v>
      </c>
      <c r="U293" s="24" t="s">
        <v>153</v>
      </c>
      <c r="V293" s="54" t="s">
        <v>153</v>
      </c>
      <c r="W293" s="23" t="s">
        <v>153</v>
      </c>
      <c r="X293" s="23" t="s">
        <v>153</v>
      </c>
      <c r="Y293" s="23" t="s">
        <v>153</v>
      </c>
      <c r="Z293" s="23" t="s">
        <v>153</v>
      </c>
      <c r="AA293" s="26" t="s">
        <v>1299</v>
      </c>
      <c r="AB293" s="24" t="s">
        <v>153</v>
      </c>
      <c r="AC293" s="23" t="s">
        <v>153</v>
      </c>
      <c r="AD293" s="23" t="s">
        <v>153</v>
      </c>
      <c r="AE293" s="23" t="s">
        <v>153</v>
      </c>
      <c r="AF293" s="23" t="s">
        <v>153</v>
      </c>
      <c r="AG293" s="23" t="s">
        <v>153</v>
      </c>
      <c r="AH293" s="26" t="s">
        <v>1299</v>
      </c>
      <c r="AI293" s="24" t="s">
        <v>153</v>
      </c>
      <c r="AJ293" s="23" t="s">
        <v>153</v>
      </c>
      <c r="AK293" s="23" t="s">
        <v>153</v>
      </c>
      <c r="AL293" s="24" t="s">
        <v>156</v>
      </c>
      <c r="AM293" s="24" t="s">
        <v>156</v>
      </c>
      <c r="AN293" s="23" t="s">
        <v>153</v>
      </c>
      <c r="AO293" s="26" t="s">
        <v>1299</v>
      </c>
      <c r="AP293" s="23">
        <f>VALUE(32)</f>
        <v>32</v>
      </c>
      <c r="AQ293" s="23">
        <f>VALUE(0)</f>
        <v>0</v>
      </c>
      <c r="AR293" s="23">
        <f>VALUE(0)</f>
        <v>0</v>
      </c>
      <c r="AS293" s="23">
        <f>VALUE(0)</f>
        <v>0</v>
      </c>
      <c r="AT293" s="23">
        <f>VALUE(0)</f>
        <v>0</v>
      </c>
      <c r="AU293" s="23">
        <f>VALUE(0)</f>
        <v>0</v>
      </c>
      <c r="AV293" s="23">
        <f>VALUE(2)</f>
        <v>2</v>
      </c>
      <c r="AW293" s="23">
        <f>VALUE(0)</f>
        <v>0</v>
      </c>
      <c r="AX293" s="23" t="s">
        <v>158</v>
      </c>
      <c r="AY293" s="23" t="s">
        <v>1300</v>
      </c>
      <c r="AZ293" s="23">
        <f>VALUE(0)</f>
        <v>0</v>
      </c>
      <c r="BA293" s="23">
        <f>VALUE(0)</f>
        <v>0</v>
      </c>
      <c r="BB293" s="23">
        <f>VALUE(0)</f>
        <v>0</v>
      </c>
      <c r="BC293" s="23">
        <f>VALUE(0)</f>
        <v>0</v>
      </c>
      <c r="BD293" s="23">
        <f>VALUE(0)</f>
        <v>0</v>
      </c>
      <c r="BE293" s="23">
        <f>VALUE(0)</f>
        <v>0</v>
      </c>
      <c r="BF293" s="23">
        <f>VALUE(0)</f>
        <v>0</v>
      </c>
      <c r="BG293" s="23">
        <f>VALUE(0)</f>
        <v>0</v>
      </c>
      <c r="BH293" s="23">
        <f>VALUE(0)</f>
        <v>0</v>
      </c>
      <c r="BI293" s="23">
        <f>VALUE(0)</f>
        <v>0</v>
      </c>
      <c r="BJ293" s="23">
        <f>VALUE(0)</f>
        <v>0</v>
      </c>
      <c r="BK293" s="12">
        <f>$AX$293*24</f>
        <v>11.666666666666666</v>
      </c>
      <c r="BL293" s="12">
        <f>$AY$293*24</f>
        <v>5.7</v>
      </c>
      <c r="BM293" s="12">
        <f>$BJ$293*24</f>
        <v>0</v>
      </c>
      <c r="BN293" s="12">
        <f>VALUE($I$293)/100</f>
        <v>1</v>
      </c>
      <c r="BO293" s="12">
        <v>0</v>
      </c>
      <c r="BP293" s="12">
        <v>0</v>
      </c>
      <c r="BQ293" s="12">
        <v>0</v>
      </c>
      <c r="BR293" s="12">
        <v>0</v>
      </c>
      <c r="BS293" s="12">
        <v>0</v>
      </c>
      <c r="BT293" s="12">
        <v>0</v>
      </c>
      <c r="BU293" s="12">
        <v>0</v>
      </c>
      <c r="BV293" s="12">
        <v>0</v>
      </c>
      <c r="BW293" s="12">
        <v>0</v>
      </c>
      <c r="BX293" s="12">
        <v>0</v>
      </c>
      <c r="BY293" s="12">
        <v>0</v>
      </c>
      <c r="BZ293" s="12">
        <v>0</v>
      </c>
      <c r="CA293" s="12">
        <v>0</v>
      </c>
    </row>
    <row r="294" spans="1:79" hidden="1" x14ac:dyDescent="0.2">
      <c r="A294" s="12" t="s">
        <v>141</v>
      </c>
      <c r="B294" s="12" t="s">
        <v>144</v>
      </c>
      <c r="C294" s="12" t="s">
        <v>144</v>
      </c>
      <c r="D294" s="22" t="s">
        <v>542</v>
      </c>
      <c r="E294" s="22" t="s">
        <v>161</v>
      </c>
      <c r="F294" s="22" t="s">
        <v>1063</v>
      </c>
      <c r="G294" s="22" t="s">
        <v>1064</v>
      </c>
      <c r="H294" s="22" t="s">
        <v>166</v>
      </c>
      <c r="I294" s="22" t="s">
        <v>151</v>
      </c>
      <c r="J294" s="22" t="s">
        <v>162</v>
      </c>
      <c r="K294" s="22" t="s">
        <v>98</v>
      </c>
      <c r="L294" s="54" t="s">
        <v>153</v>
      </c>
      <c r="M294" s="23" t="s">
        <v>153</v>
      </c>
      <c r="N294" s="24" t="s">
        <v>153</v>
      </c>
      <c r="O294" s="23" t="s">
        <v>153</v>
      </c>
      <c r="P294" s="23" t="s">
        <v>153</v>
      </c>
      <c r="Q294" s="23" t="s">
        <v>153</v>
      </c>
      <c r="R294" s="23" t="s">
        <v>153</v>
      </c>
      <c r="S294" s="24" t="s">
        <v>156</v>
      </c>
      <c r="T294" s="24" t="s">
        <v>156</v>
      </c>
      <c r="U294" s="24" t="s">
        <v>153</v>
      </c>
      <c r="V294" s="54" t="s">
        <v>153</v>
      </c>
      <c r="W294" s="23" t="s">
        <v>153</v>
      </c>
      <c r="X294" s="23" t="s">
        <v>153</v>
      </c>
      <c r="Y294" s="23" t="s">
        <v>153</v>
      </c>
      <c r="Z294" s="23" t="s">
        <v>153</v>
      </c>
      <c r="AA294" s="23" t="s">
        <v>153</v>
      </c>
      <c r="AB294" s="24" t="s">
        <v>153</v>
      </c>
      <c r="AC294" s="23" t="s">
        <v>153</v>
      </c>
      <c r="AD294" s="23" t="s">
        <v>153</v>
      </c>
      <c r="AE294" s="23" t="s">
        <v>153</v>
      </c>
      <c r="AF294" s="23" t="s">
        <v>153</v>
      </c>
      <c r="AG294" s="23" t="s">
        <v>153</v>
      </c>
      <c r="AH294" s="23" t="s">
        <v>153</v>
      </c>
      <c r="AI294" s="24" t="s">
        <v>153</v>
      </c>
      <c r="AJ294" s="23" t="s">
        <v>153</v>
      </c>
      <c r="AK294" s="23" t="s">
        <v>153</v>
      </c>
      <c r="AL294" s="23" t="s">
        <v>153</v>
      </c>
      <c r="AM294" s="23" t="s">
        <v>153</v>
      </c>
      <c r="AN294" s="23" t="s">
        <v>153</v>
      </c>
      <c r="AO294" s="23" t="s">
        <v>153</v>
      </c>
      <c r="AP294" s="23">
        <f>VALUE(30)</f>
        <v>30</v>
      </c>
      <c r="AQ294" s="23">
        <f>VALUE(0)</f>
        <v>0</v>
      </c>
      <c r="AR294" s="23">
        <f>VALUE(0)</f>
        <v>0</v>
      </c>
      <c r="AS294" s="23">
        <f>VALUE(0)</f>
        <v>0</v>
      </c>
      <c r="AT294" s="23">
        <f>VALUE(0)</f>
        <v>0</v>
      </c>
      <c r="AU294" s="23">
        <f>VALUE(0)</f>
        <v>0</v>
      </c>
      <c r="AV294" s="23">
        <f>VALUE(8)</f>
        <v>8</v>
      </c>
      <c r="AW294" s="23">
        <f>VALUE(0)</f>
        <v>0</v>
      </c>
      <c r="AX294" s="23" t="s">
        <v>1301</v>
      </c>
      <c r="AY294" s="23">
        <f>VALUE(0)</f>
        <v>0</v>
      </c>
      <c r="AZ294" s="23">
        <f>VALUE(0)</f>
        <v>0</v>
      </c>
      <c r="BA294" s="23">
        <f>VALUE(0)</f>
        <v>0</v>
      </c>
      <c r="BB294" s="23">
        <f>VALUE(0)</f>
        <v>0</v>
      </c>
      <c r="BC294" s="23">
        <f>VALUE(0)</f>
        <v>0</v>
      </c>
      <c r="BD294" s="23">
        <f>VALUE(0)</f>
        <v>0</v>
      </c>
      <c r="BE294" s="23">
        <f>VALUE(0)</f>
        <v>0</v>
      </c>
      <c r="BF294" s="23">
        <f>VALUE(0)</f>
        <v>0</v>
      </c>
      <c r="BG294" s="23">
        <f>VALUE(0)</f>
        <v>0</v>
      </c>
      <c r="BH294" s="23">
        <f>VALUE(0)</f>
        <v>0</v>
      </c>
      <c r="BI294" s="23">
        <f>VALUE(0)</f>
        <v>0</v>
      </c>
      <c r="BJ294" s="23">
        <f>VALUE(0)</f>
        <v>0</v>
      </c>
      <c r="BK294" s="12">
        <f>$AX$294*24</f>
        <v>18.816666666666666</v>
      </c>
      <c r="BL294" s="12">
        <f>$AY$294*24</f>
        <v>0</v>
      </c>
      <c r="BM294" s="12">
        <f>$BJ$294*24</f>
        <v>0</v>
      </c>
      <c r="BN294" s="12">
        <f>VALUE($I$294)/100</f>
        <v>1</v>
      </c>
      <c r="BO294" s="12">
        <v>0</v>
      </c>
      <c r="BP294" s="12">
        <v>0</v>
      </c>
      <c r="BQ294" s="12">
        <v>0</v>
      </c>
      <c r="BR294" s="12">
        <v>0</v>
      </c>
      <c r="BS294" s="12">
        <v>0</v>
      </c>
      <c r="BT294" s="12">
        <v>0</v>
      </c>
      <c r="BU294" s="12">
        <v>0</v>
      </c>
      <c r="BV294" s="12">
        <v>0</v>
      </c>
      <c r="BW294" s="12">
        <v>0</v>
      </c>
      <c r="BX294" s="12">
        <v>0</v>
      </c>
      <c r="BY294" s="12">
        <v>0</v>
      </c>
      <c r="BZ294" s="12">
        <v>0</v>
      </c>
      <c r="CA294" s="12">
        <v>0</v>
      </c>
    </row>
    <row r="295" spans="1:79" hidden="1" x14ac:dyDescent="0.2">
      <c r="A295" s="12" t="s">
        <v>141</v>
      </c>
      <c r="B295" s="12" t="s">
        <v>144</v>
      </c>
      <c r="C295" s="12" t="s">
        <v>144</v>
      </c>
      <c r="D295" s="22" t="s">
        <v>537</v>
      </c>
      <c r="E295" s="22" t="s">
        <v>161</v>
      </c>
      <c r="F295" s="22" t="s">
        <v>1065</v>
      </c>
      <c r="G295" s="22" t="s">
        <v>1066</v>
      </c>
      <c r="H295" s="22" t="s">
        <v>150</v>
      </c>
      <c r="I295" s="22" t="s">
        <v>151</v>
      </c>
      <c r="J295" s="22" t="s">
        <v>162</v>
      </c>
      <c r="K295" s="22" t="s">
        <v>98</v>
      </c>
      <c r="L295" s="54" t="s">
        <v>153</v>
      </c>
      <c r="M295" s="23" t="s">
        <v>153</v>
      </c>
      <c r="N295" s="24" t="s">
        <v>153</v>
      </c>
      <c r="O295" s="23" t="s">
        <v>153</v>
      </c>
      <c r="P295" s="23" t="s">
        <v>153</v>
      </c>
      <c r="Q295" s="24" t="s">
        <v>156</v>
      </c>
      <c r="R295" s="24" t="s">
        <v>156</v>
      </c>
      <c r="S295" s="23" t="s">
        <v>153</v>
      </c>
      <c r="T295" s="23" t="s">
        <v>153</v>
      </c>
      <c r="U295" s="24" t="s">
        <v>153</v>
      </c>
      <c r="V295" s="54" t="s">
        <v>153</v>
      </c>
      <c r="W295" s="28" t="s">
        <v>163</v>
      </c>
      <c r="X295" s="28" t="s">
        <v>163</v>
      </c>
      <c r="Y295" s="28" t="s">
        <v>163</v>
      </c>
      <c r="Z295" s="28" t="s">
        <v>163</v>
      </c>
      <c r="AA295" s="28" t="s">
        <v>163</v>
      </c>
      <c r="AB295" s="24" t="s">
        <v>153</v>
      </c>
      <c r="AC295" s="28" t="s">
        <v>163</v>
      </c>
      <c r="AD295" s="28" t="s">
        <v>163</v>
      </c>
      <c r="AE295" s="28" t="s">
        <v>163</v>
      </c>
      <c r="AF295" s="28" t="s">
        <v>163</v>
      </c>
      <c r="AG295" s="28" t="s">
        <v>163</v>
      </c>
      <c r="AH295" s="28" t="s">
        <v>163</v>
      </c>
      <c r="AI295" s="24" t="s">
        <v>153</v>
      </c>
      <c r="AJ295" s="23" t="s">
        <v>153</v>
      </c>
      <c r="AK295" s="23" t="s">
        <v>153</v>
      </c>
      <c r="AL295" s="23" t="s">
        <v>153</v>
      </c>
      <c r="AM295" s="23" t="s">
        <v>153</v>
      </c>
      <c r="AN295" s="23" t="s">
        <v>153</v>
      </c>
      <c r="AO295" s="23" t="s">
        <v>153</v>
      </c>
      <c r="AP295" s="23">
        <f>VALUE(35)</f>
        <v>35</v>
      </c>
      <c r="AQ295" s="23">
        <f>VALUE(0)</f>
        <v>0</v>
      </c>
      <c r="AR295" s="23">
        <f>VALUE(0)</f>
        <v>0</v>
      </c>
      <c r="AS295" s="23">
        <f>VALUE(0)</f>
        <v>0</v>
      </c>
      <c r="AT295" s="23">
        <f>VALUE(0)</f>
        <v>0</v>
      </c>
      <c r="AU295" s="23">
        <f>VALUE(11)</f>
        <v>11</v>
      </c>
      <c r="AV295" s="23">
        <f>VALUE(2)</f>
        <v>2</v>
      </c>
      <c r="AW295" s="23">
        <f>VALUE(0)</f>
        <v>0</v>
      </c>
      <c r="AX295" s="23">
        <f>VALUE(0)</f>
        <v>0</v>
      </c>
      <c r="AY295" s="23" t="s">
        <v>543</v>
      </c>
      <c r="AZ295" s="23">
        <f>VALUE(0)</f>
        <v>0</v>
      </c>
      <c r="BA295" s="23">
        <f>VALUE(0)</f>
        <v>0</v>
      </c>
      <c r="BB295" s="23">
        <f>VALUE(0)</f>
        <v>0</v>
      </c>
      <c r="BC295" s="23">
        <f>VALUE(0)</f>
        <v>0</v>
      </c>
      <c r="BD295" s="23">
        <f>VALUE(0)</f>
        <v>0</v>
      </c>
      <c r="BE295" s="23">
        <f>VALUE(0)</f>
        <v>0</v>
      </c>
      <c r="BF295" s="23">
        <f>VALUE(0)</f>
        <v>0</v>
      </c>
      <c r="BG295" s="23">
        <f>VALUE(0)</f>
        <v>0</v>
      </c>
      <c r="BH295" s="23">
        <f>VALUE(0)</f>
        <v>0</v>
      </c>
      <c r="BI295" s="23">
        <f>VALUE(0)</f>
        <v>0</v>
      </c>
      <c r="BJ295" s="23">
        <f>VALUE(0)</f>
        <v>0</v>
      </c>
      <c r="BK295" s="12">
        <f>$AX$295*24</f>
        <v>0</v>
      </c>
      <c r="BL295" s="12">
        <f>$AY$295*24</f>
        <v>33.116666666666667</v>
      </c>
      <c r="BM295" s="12">
        <f>$BJ$295*24</f>
        <v>0</v>
      </c>
      <c r="BN295" s="12">
        <f>VALUE($I$295)/100</f>
        <v>1</v>
      </c>
      <c r="BO295" s="12">
        <v>0</v>
      </c>
      <c r="BP295" s="12">
        <v>0</v>
      </c>
      <c r="BQ295" s="12">
        <v>0</v>
      </c>
      <c r="BR295" s="12">
        <v>0</v>
      </c>
      <c r="BS295" s="12">
        <v>0</v>
      </c>
      <c r="BT295" s="12">
        <v>0</v>
      </c>
      <c r="BU295" s="12">
        <v>0</v>
      </c>
      <c r="BV295" s="12">
        <v>0</v>
      </c>
      <c r="BW295" s="12">
        <v>0</v>
      </c>
      <c r="BX295" s="12">
        <v>0</v>
      </c>
      <c r="BY295" s="12">
        <v>0</v>
      </c>
      <c r="BZ295" s="12">
        <v>0</v>
      </c>
      <c r="CA295" s="12">
        <v>0</v>
      </c>
    </row>
    <row r="296" spans="1:79" hidden="1" x14ac:dyDescent="0.2">
      <c r="A296" s="12" t="s">
        <v>141</v>
      </c>
      <c r="B296" s="12" t="s">
        <v>144</v>
      </c>
      <c r="C296" s="12" t="s">
        <v>144</v>
      </c>
      <c r="D296" s="22" t="s">
        <v>539</v>
      </c>
      <c r="E296" s="22" t="s">
        <v>161</v>
      </c>
      <c r="F296" s="22" t="s">
        <v>1302</v>
      </c>
      <c r="G296" s="22" t="s">
        <v>1067</v>
      </c>
      <c r="H296" s="22" t="s">
        <v>150</v>
      </c>
      <c r="I296" s="22" t="s">
        <v>151</v>
      </c>
      <c r="J296" s="22" t="s">
        <v>162</v>
      </c>
      <c r="K296" s="22" t="s">
        <v>98</v>
      </c>
      <c r="L296" s="54" t="s">
        <v>153</v>
      </c>
      <c r="M296" s="23" t="s">
        <v>153</v>
      </c>
      <c r="N296" s="24" t="s">
        <v>153</v>
      </c>
      <c r="O296" s="23" t="s">
        <v>153</v>
      </c>
      <c r="P296" s="23" t="s">
        <v>153</v>
      </c>
      <c r="Q296" s="23" t="s">
        <v>153</v>
      </c>
      <c r="R296" s="23" t="s">
        <v>153</v>
      </c>
      <c r="S296" s="23" t="s">
        <v>153</v>
      </c>
      <c r="T296" s="23" t="s">
        <v>153</v>
      </c>
      <c r="U296" s="24" t="s">
        <v>153</v>
      </c>
      <c r="V296" s="54" t="s">
        <v>153</v>
      </c>
      <c r="W296" s="23" t="s">
        <v>153</v>
      </c>
      <c r="X296" s="23" t="s">
        <v>153</v>
      </c>
      <c r="Y296" s="23" t="s">
        <v>153</v>
      </c>
      <c r="Z296" s="23" t="s">
        <v>153</v>
      </c>
      <c r="AA296" s="23" t="s">
        <v>153</v>
      </c>
      <c r="AB296" s="24" t="s">
        <v>153</v>
      </c>
      <c r="AC296" s="23" t="s">
        <v>153</v>
      </c>
      <c r="AD296" s="23" t="s">
        <v>153</v>
      </c>
      <c r="AE296" s="23" t="s">
        <v>153</v>
      </c>
      <c r="AF296" s="23" t="s">
        <v>153</v>
      </c>
      <c r="AG296" s="24" t="s">
        <v>156</v>
      </c>
      <c r="AH296" s="24" t="s">
        <v>156</v>
      </c>
      <c r="AI296" s="24" t="s">
        <v>153</v>
      </c>
      <c r="AJ296" s="23" t="s">
        <v>153</v>
      </c>
      <c r="AK296" s="23" t="s">
        <v>153</v>
      </c>
      <c r="AL296" s="23" t="s">
        <v>153</v>
      </c>
      <c r="AM296" s="23" t="s">
        <v>153</v>
      </c>
      <c r="AN296" s="23" t="s">
        <v>153</v>
      </c>
      <c r="AO296" s="23" t="s">
        <v>153</v>
      </c>
      <c r="AP296" s="23">
        <f>VALUE(34)</f>
        <v>34</v>
      </c>
      <c r="AQ296" s="23">
        <f>VALUE(0)</f>
        <v>0</v>
      </c>
      <c r="AR296" s="23">
        <f>VALUE(0)</f>
        <v>0</v>
      </c>
      <c r="AS296" s="23">
        <f>VALUE(0)</f>
        <v>0</v>
      </c>
      <c r="AT296" s="23">
        <f>VALUE(0)</f>
        <v>0</v>
      </c>
      <c r="AU296" s="23">
        <f>VALUE(0)</f>
        <v>0</v>
      </c>
      <c r="AV296" s="23">
        <f>VALUE(2)</f>
        <v>2</v>
      </c>
      <c r="AW296" s="23">
        <f>VALUE(0)</f>
        <v>0</v>
      </c>
      <c r="AX296" s="23" t="s">
        <v>158</v>
      </c>
      <c r="AY296" s="23" t="s">
        <v>544</v>
      </c>
      <c r="AZ296" s="23">
        <f>VALUE(0)</f>
        <v>0</v>
      </c>
      <c r="BA296" s="23">
        <f>VALUE(0)</f>
        <v>0</v>
      </c>
      <c r="BB296" s="23">
        <f>VALUE(0)</f>
        <v>0</v>
      </c>
      <c r="BC296" s="23">
        <f>VALUE(0)</f>
        <v>0</v>
      </c>
      <c r="BD296" s="23">
        <f>VALUE(0)</f>
        <v>0</v>
      </c>
      <c r="BE296" s="23">
        <f>VALUE(0)</f>
        <v>0</v>
      </c>
      <c r="BF296" s="23">
        <f>VALUE(0)</f>
        <v>0</v>
      </c>
      <c r="BG296" s="23">
        <f>VALUE(0)</f>
        <v>0</v>
      </c>
      <c r="BH296" s="23">
        <f>VALUE(0)</f>
        <v>0</v>
      </c>
      <c r="BI296" s="23">
        <f>VALUE(0)</f>
        <v>0</v>
      </c>
      <c r="BJ296" s="23">
        <f>VALUE(0)</f>
        <v>0</v>
      </c>
      <c r="BK296" s="12">
        <f>$AX$296*24</f>
        <v>11.666666666666666</v>
      </c>
      <c r="BL296" s="12">
        <f>$AY$296*24</f>
        <v>21.933333333333334</v>
      </c>
      <c r="BM296" s="12">
        <f>$BJ$296*24</f>
        <v>0</v>
      </c>
      <c r="BN296" s="12">
        <f>VALUE($I$296)/100</f>
        <v>1</v>
      </c>
      <c r="BO296" s="12">
        <v>0</v>
      </c>
      <c r="BP296" s="12">
        <v>0</v>
      </c>
      <c r="BQ296" s="12">
        <v>0</v>
      </c>
      <c r="BR296" s="12">
        <v>0</v>
      </c>
      <c r="BS296" s="12">
        <v>0</v>
      </c>
      <c r="BT296" s="12">
        <v>0</v>
      </c>
      <c r="BU296" s="12">
        <v>0</v>
      </c>
      <c r="BV296" s="12">
        <v>0</v>
      </c>
      <c r="BW296" s="12">
        <v>0</v>
      </c>
      <c r="BX296" s="12">
        <v>0</v>
      </c>
      <c r="BY296" s="12">
        <v>0</v>
      </c>
      <c r="BZ296" s="12">
        <v>0</v>
      </c>
      <c r="CA296" s="12">
        <v>0</v>
      </c>
    </row>
    <row r="297" spans="1:79" hidden="1" x14ac:dyDescent="0.2">
      <c r="A297" s="12" t="s">
        <v>141</v>
      </c>
      <c r="B297" s="12" t="s">
        <v>144</v>
      </c>
      <c r="C297" s="12" t="s">
        <v>144</v>
      </c>
      <c r="D297" s="22" t="s">
        <v>545</v>
      </c>
      <c r="E297" s="22" t="s">
        <v>161</v>
      </c>
      <c r="F297" s="22" t="s">
        <v>1068</v>
      </c>
      <c r="G297" s="22" t="s">
        <v>1069</v>
      </c>
      <c r="H297" s="22" t="s">
        <v>150</v>
      </c>
      <c r="I297" s="22" t="s">
        <v>151</v>
      </c>
      <c r="J297" s="22" t="s">
        <v>162</v>
      </c>
      <c r="K297" s="22" t="s">
        <v>98</v>
      </c>
      <c r="L297" s="54" t="s">
        <v>153</v>
      </c>
      <c r="M297" s="23" t="s">
        <v>153</v>
      </c>
      <c r="N297" s="24" t="s">
        <v>153</v>
      </c>
      <c r="O297" s="23" t="s">
        <v>153</v>
      </c>
      <c r="P297" s="23" t="s">
        <v>153</v>
      </c>
      <c r="Q297" s="23" t="s">
        <v>153</v>
      </c>
      <c r="R297" s="23" t="s">
        <v>153</v>
      </c>
      <c r="S297" s="23" t="s">
        <v>153</v>
      </c>
      <c r="T297" s="23" t="s">
        <v>153</v>
      </c>
      <c r="U297" s="24" t="s">
        <v>153</v>
      </c>
      <c r="V297" s="54" t="s">
        <v>153</v>
      </c>
      <c r="W297" s="23" t="s">
        <v>153</v>
      </c>
      <c r="X297" s="23" t="s">
        <v>153</v>
      </c>
      <c r="Y297" s="23" t="s">
        <v>153</v>
      </c>
      <c r="Z297" s="23" t="s">
        <v>153</v>
      </c>
      <c r="AA297" s="23" t="s">
        <v>153</v>
      </c>
      <c r="AB297" s="24" t="s">
        <v>153</v>
      </c>
      <c r="AC297" s="23" t="s">
        <v>153</v>
      </c>
      <c r="AD297" s="23" t="s">
        <v>153</v>
      </c>
      <c r="AE297" s="23" t="s">
        <v>153</v>
      </c>
      <c r="AF297" s="23" t="s">
        <v>153</v>
      </c>
      <c r="AG297" s="23" t="s">
        <v>153</v>
      </c>
      <c r="AH297" s="23" t="s">
        <v>153</v>
      </c>
      <c r="AI297" s="24" t="s">
        <v>153</v>
      </c>
      <c r="AJ297" s="23" t="s">
        <v>153</v>
      </c>
      <c r="AK297" s="23" t="s">
        <v>153</v>
      </c>
      <c r="AL297" s="23" t="s">
        <v>153</v>
      </c>
      <c r="AM297" s="23" t="s">
        <v>153</v>
      </c>
      <c r="AN297" s="24" t="s">
        <v>156</v>
      </c>
      <c r="AO297" s="24" t="s">
        <v>156</v>
      </c>
      <c r="AP297" s="23">
        <f>VALUE(34)</f>
        <v>34</v>
      </c>
      <c r="AQ297" s="23">
        <f>VALUE(0)</f>
        <v>0</v>
      </c>
      <c r="AR297" s="23">
        <f>VALUE(0)</f>
        <v>0</v>
      </c>
      <c r="AS297" s="23">
        <f>VALUE(0)</f>
        <v>0</v>
      </c>
      <c r="AT297" s="23">
        <f>VALUE(0)</f>
        <v>0</v>
      </c>
      <c r="AU297" s="23">
        <f>VALUE(0)</f>
        <v>0</v>
      </c>
      <c r="AV297" s="23">
        <f>VALUE(2)</f>
        <v>2</v>
      </c>
      <c r="AW297" s="23">
        <f>VALUE(0)</f>
        <v>0</v>
      </c>
      <c r="AX297" s="23" t="s">
        <v>176</v>
      </c>
      <c r="AY297" s="23" t="s">
        <v>244</v>
      </c>
      <c r="AZ297" s="23">
        <f>VALUE(0)</f>
        <v>0</v>
      </c>
      <c r="BA297" s="23">
        <f>VALUE(0)</f>
        <v>0</v>
      </c>
      <c r="BB297" s="23">
        <f>VALUE(0)</f>
        <v>0</v>
      </c>
      <c r="BC297" s="23">
        <f>VALUE(0)</f>
        <v>0</v>
      </c>
      <c r="BD297" s="23">
        <f>VALUE(0)</f>
        <v>0</v>
      </c>
      <c r="BE297" s="23">
        <f>VALUE(0)</f>
        <v>0</v>
      </c>
      <c r="BF297" s="23">
        <f>VALUE(0)</f>
        <v>0</v>
      </c>
      <c r="BG297" s="23">
        <f>VALUE(0)</f>
        <v>0</v>
      </c>
      <c r="BH297" s="23">
        <f>VALUE(0)</f>
        <v>0</v>
      </c>
      <c r="BI297" s="23">
        <f>VALUE(0)</f>
        <v>0</v>
      </c>
      <c r="BJ297" s="23">
        <f>VALUE(0)</f>
        <v>0</v>
      </c>
      <c r="BK297" s="12">
        <f>$AX$297*24</f>
        <v>0</v>
      </c>
      <c r="BL297" s="12">
        <f>$AY$297*24</f>
        <v>0.23333333333333334</v>
      </c>
      <c r="BM297" s="12">
        <f>$BJ$297*24</f>
        <v>0</v>
      </c>
      <c r="BN297" s="12">
        <f>VALUE($I$297)/100</f>
        <v>1</v>
      </c>
      <c r="BO297" s="12">
        <v>0</v>
      </c>
      <c r="BP297" s="12">
        <v>0</v>
      </c>
      <c r="BQ297" s="12">
        <v>0</v>
      </c>
      <c r="BR297" s="12">
        <v>0</v>
      </c>
      <c r="BS297" s="12">
        <v>0</v>
      </c>
      <c r="BT297" s="12">
        <v>0</v>
      </c>
      <c r="BU297" s="12">
        <v>0</v>
      </c>
      <c r="BV297" s="12">
        <v>0</v>
      </c>
      <c r="BW297" s="12">
        <v>0</v>
      </c>
      <c r="BX297" s="12">
        <v>0</v>
      </c>
      <c r="BY297" s="12">
        <v>0</v>
      </c>
      <c r="BZ297" s="12">
        <v>0</v>
      </c>
      <c r="CA297" s="12">
        <v>0</v>
      </c>
    </row>
    <row r="298" spans="1:79" hidden="1" x14ac:dyDescent="0.2">
      <c r="A298" s="12" t="s">
        <v>141</v>
      </c>
      <c r="B298" s="12" t="s">
        <v>144</v>
      </c>
      <c r="C298" s="12" t="s">
        <v>144</v>
      </c>
      <c r="D298" s="22" t="s">
        <v>546</v>
      </c>
      <c r="E298" s="22" t="s">
        <v>161</v>
      </c>
      <c r="F298" s="22" t="s">
        <v>1070</v>
      </c>
      <c r="G298" s="22" t="s">
        <v>1071</v>
      </c>
      <c r="H298" s="22" t="s">
        <v>190</v>
      </c>
      <c r="I298" s="22" t="s">
        <v>151</v>
      </c>
      <c r="J298" s="22" t="s">
        <v>162</v>
      </c>
      <c r="K298" s="22" t="s">
        <v>98</v>
      </c>
      <c r="L298" s="27" t="s">
        <v>153</v>
      </c>
      <c r="M298" s="27" t="s">
        <v>153</v>
      </c>
      <c r="N298" s="27" t="s">
        <v>153</v>
      </c>
      <c r="O298" s="27" t="s">
        <v>153</v>
      </c>
      <c r="P298" s="27" t="s">
        <v>153</v>
      </c>
      <c r="Q298" s="27" t="s">
        <v>153</v>
      </c>
      <c r="R298" s="27" t="s">
        <v>153</v>
      </c>
      <c r="S298" s="27" t="s">
        <v>153</v>
      </c>
      <c r="T298" s="27" t="s">
        <v>153</v>
      </c>
      <c r="U298" s="27" t="s">
        <v>153</v>
      </c>
      <c r="V298" s="27" t="s">
        <v>153</v>
      </c>
      <c r="W298" s="27" t="s">
        <v>153</v>
      </c>
      <c r="X298" s="27" t="s">
        <v>153</v>
      </c>
      <c r="Y298" s="27" t="s">
        <v>153</v>
      </c>
      <c r="Z298" s="27" t="s">
        <v>153</v>
      </c>
      <c r="AA298" s="27" t="s">
        <v>153</v>
      </c>
      <c r="AB298" s="40" t="s">
        <v>153</v>
      </c>
      <c r="AC298" s="40" t="s">
        <v>153</v>
      </c>
      <c r="AD298" s="40" t="s">
        <v>153</v>
      </c>
      <c r="AE298" s="40" t="s">
        <v>153</v>
      </c>
      <c r="AF298" s="40" t="s">
        <v>153</v>
      </c>
      <c r="AG298" s="40" t="s">
        <v>153</v>
      </c>
      <c r="AH298" s="40" t="s">
        <v>153</v>
      </c>
      <c r="AI298" s="40" t="s">
        <v>153</v>
      </c>
      <c r="AJ298" s="40" t="s">
        <v>153</v>
      </c>
      <c r="AK298" s="40" t="s">
        <v>153</v>
      </c>
      <c r="AL298" s="40" t="s">
        <v>153</v>
      </c>
      <c r="AM298" s="40" t="s">
        <v>153</v>
      </c>
      <c r="AN298" s="40" t="s">
        <v>153</v>
      </c>
      <c r="AO298" s="40" t="s">
        <v>153</v>
      </c>
      <c r="AP298" s="23">
        <f>VALUE(1)</f>
        <v>1</v>
      </c>
      <c r="AQ298" s="23">
        <f>VALUE(0)</f>
        <v>0</v>
      </c>
      <c r="AR298" s="23">
        <f>VALUE(0)</f>
        <v>0</v>
      </c>
      <c r="AS298" s="23">
        <f>VALUE(0)</f>
        <v>0</v>
      </c>
      <c r="AT298" s="23">
        <f>VALUE(0)</f>
        <v>0</v>
      </c>
      <c r="AU298" s="23">
        <f>VALUE(0)</f>
        <v>0</v>
      </c>
      <c r="AV298" s="23">
        <f>VALUE(3)</f>
        <v>3</v>
      </c>
      <c r="AW298" s="23">
        <f>VALUE(0)</f>
        <v>0</v>
      </c>
      <c r="AX298" s="23">
        <f>VALUE(0)</f>
        <v>0</v>
      </c>
      <c r="AY298" s="23">
        <f>VALUE(0)</f>
        <v>0</v>
      </c>
      <c r="AZ298" s="23">
        <f>VALUE(0)</f>
        <v>0</v>
      </c>
      <c r="BA298" s="23">
        <f>VALUE(0)</f>
        <v>0</v>
      </c>
      <c r="BB298" s="23">
        <f>VALUE(0)</f>
        <v>0</v>
      </c>
      <c r="BC298" s="23">
        <f>VALUE(0)</f>
        <v>0</v>
      </c>
      <c r="BD298" s="23">
        <f>VALUE(0)</f>
        <v>0</v>
      </c>
      <c r="BE298" s="23">
        <f>VALUE(0)</f>
        <v>0</v>
      </c>
      <c r="BF298" s="23">
        <f>VALUE(0)</f>
        <v>0</v>
      </c>
      <c r="BG298" s="23">
        <f>VALUE(0)</f>
        <v>0</v>
      </c>
      <c r="BH298" s="23">
        <f>VALUE(0)</f>
        <v>0</v>
      </c>
      <c r="BI298" s="23">
        <f>VALUE(0)</f>
        <v>0</v>
      </c>
      <c r="BJ298" s="23">
        <f>VALUE(0)</f>
        <v>0</v>
      </c>
      <c r="BK298" s="12">
        <f>$AX$298*24</f>
        <v>0</v>
      </c>
      <c r="BL298" s="12">
        <f>$AY$298*24</f>
        <v>0</v>
      </c>
      <c r="BM298" s="12">
        <f>$BJ$298*24</f>
        <v>0</v>
      </c>
      <c r="BN298" s="12">
        <f>VALUE($I$298)/100</f>
        <v>1</v>
      </c>
      <c r="BO298" s="12">
        <v>0</v>
      </c>
      <c r="BP298" s="12">
        <v>0</v>
      </c>
      <c r="BQ298" s="12">
        <v>0</v>
      </c>
      <c r="BR298" s="12">
        <v>0</v>
      </c>
      <c r="BS298" s="12">
        <v>0</v>
      </c>
      <c r="BT298" s="12">
        <v>0</v>
      </c>
      <c r="BU298" s="12">
        <v>0</v>
      </c>
      <c r="BV298" s="12">
        <v>0</v>
      </c>
      <c r="BW298" s="12">
        <v>0</v>
      </c>
      <c r="BX298" s="12">
        <v>0</v>
      </c>
      <c r="BY298" s="12">
        <v>0</v>
      </c>
      <c r="BZ298" s="12">
        <v>0</v>
      </c>
      <c r="CA298" s="12">
        <v>0</v>
      </c>
    </row>
    <row r="299" spans="1:79" hidden="1" x14ac:dyDescent="0.2">
      <c r="A299" s="12" t="s">
        <v>141</v>
      </c>
      <c r="B299" s="12" t="s">
        <v>144</v>
      </c>
      <c r="C299" s="12" t="s">
        <v>144</v>
      </c>
      <c r="D299" s="22" t="s">
        <v>546</v>
      </c>
      <c r="E299" s="22" t="s">
        <v>161</v>
      </c>
      <c r="F299" s="22" t="s">
        <v>1303</v>
      </c>
      <c r="G299" s="22" t="s">
        <v>1072</v>
      </c>
      <c r="H299" s="22" t="s">
        <v>153</v>
      </c>
      <c r="I299" s="22" t="s">
        <v>151</v>
      </c>
      <c r="J299" s="22" t="s">
        <v>162</v>
      </c>
      <c r="K299" s="22" t="s">
        <v>98</v>
      </c>
      <c r="L299" s="54" t="s">
        <v>153</v>
      </c>
      <c r="M299" s="23" t="s">
        <v>153</v>
      </c>
      <c r="N299" s="40" t="s">
        <v>153</v>
      </c>
      <c r="O299" s="40" t="s">
        <v>153</v>
      </c>
      <c r="P299" s="40" t="s">
        <v>153</v>
      </c>
      <c r="Q299" s="40" t="s">
        <v>153</v>
      </c>
      <c r="R299" s="40" t="s">
        <v>153</v>
      </c>
      <c r="S299" s="40" t="s">
        <v>153</v>
      </c>
      <c r="T299" s="40" t="s">
        <v>153</v>
      </c>
      <c r="U299" s="40" t="s">
        <v>153</v>
      </c>
      <c r="V299" s="40" t="s">
        <v>153</v>
      </c>
      <c r="W299" s="40" t="s">
        <v>153</v>
      </c>
      <c r="X299" s="40" t="s">
        <v>153</v>
      </c>
      <c r="Y299" s="40" t="s">
        <v>153</v>
      </c>
      <c r="Z299" s="40" t="s">
        <v>153</v>
      </c>
      <c r="AA299" s="40" t="s">
        <v>153</v>
      </c>
      <c r="AB299" s="40" t="s">
        <v>153</v>
      </c>
      <c r="AC299" s="40" t="s">
        <v>153</v>
      </c>
      <c r="AD299" s="40" t="s">
        <v>153</v>
      </c>
      <c r="AE299" s="40" t="s">
        <v>153</v>
      </c>
      <c r="AF299" s="40" t="s">
        <v>153</v>
      </c>
      <c r="AG299" s="40" t="s">
        <v>153</v>
      </c>
      <c r="AH299" s="40" t="s">
        <v>153</v>
      </c>
      <c r="AI299" s="40" t="s">
        <v>153</v>
      </c>
      <c r="AJ299" s="40" t="s">
        <v>153</v>
      </c>
      <c r="AK299" s="40" t="s">
        <v>153</v>
      </c>
      <c r="AL299" s="40" t="s">
        <v>153</v>
      </c>
      <c r="AM299" s="40" t="s">
        <v>153</v>
      </c>
      <c r="AN299" s="40" t="s">
        <v>153</v>
      </c>
      <c r="AO299" s="40" t="s">
        <v>153</v>
      </c>
      <c r="AP299" s="23">
        <f>VALUE(9)</f>
        <v>9</v>
      </c>
      <c r="AQ299" s="23">
        <f>VALUE(0)</f>
        <v>0</v>
      </c>
      <c r="AR299" s="23">
        <f>VALUE(0)</f>
        <v>0</v>
      </c>
      <c r="AS299" s="23">
        <f>VALUE(0)</f>
        <v>0</v>
      </c>
      <c r="AT299" s="23">
        <f>VALUE(0)</f>
        <v>0</v>
      </c>
      <c r="AU299" s="23">
        <f>VALUE(0)</f>
        <v>0</v>
      </c>
      <c r="AV299" s="23">
        <f>VALUE(0)</f>
        <v>0</v>
      </c>
      <c r="AW299" s="23">
        <f>VALUE(0)</f>
        <v>0</v>
      </c>
      <c r="AX299" s="23">
        <f>VALUE(0)</f>
        <v>0</v>
      </c>
      <c r="AY299" s="23">
        <f>VALUE(0)</f>
        <v>0</v>
      </c>
      <c r="AZ299" s="23">
        <f>VALUE(0)</f>
        <v>0</v>
      </c>
      <c r="BA299" s="23">
        <f>VALUE(0)</f>
        <v>0</v>
      </c>
      <c r="BB299" s="23">
        <f>VALUE(0)</f>
        <v>0</v>
      </c>
      <c r="BC299" s="23">
        <f>VALUE(0)</f>
        <v>0</v>
      </c>
      <c r="BD299" s="23">
        <f>VALUE(0)</f>
        <v>0</v>
      </c>
      <c r="BE299" s="23">
        <f>VALUE(0)</f>
        <v>0</v>
      </c>
      <c r="BF299" s="23">
        <f>VALUE(0)</f>
        <v>0</v>
      </c>
      <c r="BG299" s="23">
        <f>VALUE(0)</f>
        <v>0</v>
      </c>
      <c r="BH299" s="23">
        <f>VALUE(0)</f>
        <v>0</v>
      </c>
      <c r="BI299" s="23">
        <f>VALUE(0)</f>
        <v>0</v>
      </c>
      <c r="BJ299" s="23">
        <f>VALUE(0)</f>
        <v>0</v>
      </c>
      <c r="BK299" s="12">
        <f>$AX$299*24</f>
        <v>0</v>
      </c>
      <c r="BL299" s="12">
        <f>$AY$299*24</f>
        <v>0</v>
      </c>
      <c r="BM299" s="12">
        <f>$BJ$299*24</f>
        <v>0</v>
      </c>
      <c r="BN299" s="12">
        <f>VALUE($I$299)/100</f>
        <v>1</v>
      </c>
      <c r="BO299" s="12">
        <v>0</v>
      </c>
      <c r="BP299" s="12">
        <v>0</v>
      </c>
      <c r="BQ299" s="12">
        <v>0</v>
      </c>
      <c r="BR299" s="12">
        <v>0</v>
      </c>
      <c r="BS299" s="12">
        <v>0</v>
      </c>
      <c r="BT299" s="12">
        <v>0</v>
      </c>
      <c r="BU299" s="12">
        <v>0</v>
      </c>
      <c r="BV299" s="12">
        <v>0</v>
      </c>
      <c r="BW299" s="12">
        <v>0</v>
      </c>
      <c r="BX299" s="12">
        <v>0</v>
      </c>
      <c r="BY299" s="12">
        <v>0</v>
      </c>
      <c r="BZ299" s="12">
        <v>0</v>
      </c>
      <c r="CA299" s="12">
        <v>0</v>
      </c>
    </row>
    <row r="300" spans="1:79" hidden="1" x14ac:dyDescent="0.2">
      <c r="A300" s="12" t="s">
        <v>141</v>
      </c>
      <c r="B300" s="12" t="s">
        <v>144</v>
      </c>
      <c r="C300" s="12" t="s">
        <v>144</v>
      </c>
      <c r="D300" s="22" t="s">
        <v>540</v>
      </c>
      <c r="E300" s="22" t="s">
        <v>161</v>
      </c>
      <c r="F300" s="22" t="s">
        <v>1073</v>
      </c>
      <c r="G300" s="22" t="s">
        <v>1074</v>
      </c>
      <c r="H300" s="22" t="s">
        <v>150</v>
      </c>
      <c r="I300" s="22" t="s">
        <v>151</v>
      </c>
      <c r="J300" s="22" t="s">
        <v>162</v>
      </c>
      <c r="K300" s="22" t="s">
        <v>98</v>
      </c>
      <c r="L300" s="54" t="s">
        <v>153</v>
      </c>
      <c r="M300" s="28" t="s">
        <v>163</v>
      </c>
      <c r="N300" s="24" t="s">
        <v>153</v>
      </c>
      <c r="O300" s="28" t="s">
        <v>163</v>
      </c>
      <c r="P300" s="28" t="s">
        <v>163</v>
      </c>
      <c r="Q300" s="23" t="s">
        <v>538</v>
      </c>
      <c r="R300" s="23" t="s">
        <v>538</v>
      </c>
      <c r="S300" s="23" t="s">
        <v>153</v>
      </c>
      <c r="T300" s="23" t="s">
        <v>153</v>
      </c>
      <c r="U300" s="24" t="s">
        <v>153</v>
      </c>
      <c r="V300" s="54" t="s">
        <v>153</v>
      </c>
      <c r="W300" s="23" t="s">
        <v>153</v>
      </c>
      <c r="X300" s="23" t="s">
        <v>153</v>
      </c>
      <c r="Y300" s="23" t="s">
        <v>153</v>
      </c>
      <c r="Z300" s="23" t="s">
        <v>153</v>
      </c>
      <c r="AA300" s="23" t="s">
        <v>153</v>
      </c>
      <c r="AB300" s="24" t="s">
        <v>153</v>
      </c>
      <c r="AC300" s="23" t="s">
        <v>153</v>
      </c>
      <c r="AD300" s="23" t="s">
        <v>153</v>
      </c>
      <c r="AE300" s="23" t="s">
        <v>153</v>
      </c>
      <c r="AF300" s="23" t="s">
        <v>153</v>
      </c>
      <c r="AG300" s="23" t="s">
        <v>153</v>
      </c>
      <c r="AH300" s="23" t="s">
        <v>153</v>
      </c>
      <c r="AI300" s="24" t="s">
        <v>153</v>
      </c>
      <c r="AJ300" s="23" t="s">
        <v>153</v>
      </c>
      <c r="AK300" s="23" t="s">
        <v>153</v>
      </c>
      <c r="AL300" s="23" t="s">
        <v>153</v>
      </c>
      <c r="AM300" s="23" t="s">
        <v>153</v>
      </c>
      <c r="AN300" s="23" t="s">
        <v>153</v>
      </c>
      <c r="AO300" s="23" t="s">
        <v>153</v>
      </c>
      <c r="AP300" s="23">
        <f>VALUE(38)</f>
        <v>38</v>
      </c>
      <c r="AQ300" s="23">
        <f>VALUE(0)</f>
        <v>0</v>
      </c>
      <c r="AR300" s="23">
        <f>VALUE(0)</f>
        <v>0</v>
      </c>
      <c r="AS300" s="23">
        <f>VALUE(0)</f>
        <v>0</v>
      </c>
      <c r="AT300" s="23">
        <f>VALUE(0)</f>
        <v>0</v>
      </c>
      <c r="AU300" s="23">
        <f>VALUE(3)</f>
        <v>3</v>
      </c>
      <c r="AV300" s="23">
        <f>VALUE(3)</f>
        <v>3</v>
      </c>
      <c r="AW300" s="23">
        <f>VALUE(0)</f>
        <v>0</v>
      </c>
      <c r="AX300" s="23" t="s">
        <v>171</v>
      </c>
      <c r="AY300" s="23">
        <f>VALUE(0)</f>
        <v>0</v>
      </c>
      <c r="AZ300" s="23">
        <f>VALUE(0)</f>
        <v>0</v>
      </c>
      <c r="BA300" s="23">
        <f>VALUE(0)</f>
        <v>0</v>
      </c>
      <c r="BB300" s="23">
        <f>VALUE(0)</f>
        <v>0</v>
      </c>
      <c r="BC300" s="23">
        <f>VALUE(0)</f>
        <v>0</v>
      </c>
      <c r="BD300" s="23">
        <f>VALUE(0)</f>
        <v>0</v>
      </c>
      <c r="BE300" s="23">
        <f>VALUE(0)</f>
        <v>0</v>
      </c>
      <c r="BF300" s="23">
        <f>VALUE(0)</f>
        <v>0</v>
      </c>
      <c r="BG300" s="23">
        <f>VALUE(0)</f>
        <v>0</v>
      </c>
      <c r="BH300" s="23">
        <f>VALUE(0)</f>
        <v>0</v>
      </c>
      <c r="BI300" s="23">
        <f>VALUE(0)</f>
        <v>0</v>
      </c>
      <c r="BJ300" s="23">
        <f>VALUE(0)</f>
        <v>0</v>
      </c>
      <c r="BK300" s="12">
        <f>$AX$300*24</f>
        <v>5.833333333333333</v>
      </c>
      <c r="BL300" s="12">
        <f>$AY$300*24</f>
        <v>0</v>
      </c>
      <c r="BM300" s="12">
        <f>$BJ$300*24</f>
        <v>0</v>
      </c>
      <c r="BN300" s="12">
        <f>VALUE($I$300)/100</f>
        <v>1</v>
      </c>
      <c r="BO300" s="12">
        <v>0</v>
      </c>
      <c r="BP300" s="12">
        <v>0</v>
      </c>
      <c r="BQ300" s="12">
        <v>0</v>
      </c>
      <c r="BR300" s="12">
        <v>0</v>
      </c>
      <c r="BS300" s="12">
        <v>0</v>
      </c>
      <c r="BT300" s="12">
        <v>0</v>
      </c>
      <c r="BU300" s="12">
        <v>0</v>
      </c>
      <c r="BV300" s="12">
        <v>0</v>
      </c>
      <c r="BW300" s="12">
        <v>0</v>
      </c>
      <c r="BX300" s="12">
        <v>0</v>
      </c>
      <c r="BY300" s="12">
        <v>0</v>
      </c>
      <c r="BZ300" s="12">
        <v>0</v>
      </c>
      <c r="CA300" s="12">
        <v>0</v>
      </c>
    </row>
    <row r="301" spans="1:79" hidden="1" x14ac:dyDescent="0.2">
      <c r="A301" s="12" t="s">
        <v>141</v>
      </c>
      <c r="B301" s="12" t="s">
        <v>144</v>
      </c>
      <c r="C301" s="12" t="s">
        <v>144</v>
      </c>
      <c r="D301" s="22" t="s">
        <v>547</v>
      </c>
      <c r="E301" s="22" t="s">
        <v>161</v>
      </c>
      <c r="F301" s="22" t="s">
        <v>1075</v>
      </c>
      <c r="G301" s="22" t="s">
        <v>1076</v>
      </c>
      <c r="H301" s="22" t="s">
        <v>150</v>
      </c>
      <c r="I301" s="22" t="s">
        <v>151</v>
      </c>
      <c r="J301" s="22" t="s">
        <v>162</v>
      </c>
      <c r="K301" s="22" t="s">
        <v>98</v>
      </c>
      <c r="L301" s="54" t="s">
        <v>153</v>
      </c>
      <c r="M301" s="29" t="s">
        <v>218</v>
      </c>
      <c r="N301" s="24" t="s">
        <v>153</v>
      </c>
      <c r="O301" s="29" t="s">
        <v>218</v>
      </c>
      <c r="P301" s="29" t="s">
        <v>218</v>
      </c>
      <c r="Q301" s="29" t="s">
        <v>218</v>
      </c>
      <c r="R301" s="29" t="s">
        <v>218</v>
      </c>
      <c r="S301" s="29" t="s">
        <v>218</v>
      </c>
      <c r="T301" s="29" t="s">
        <v>218</v>
      </c>
      <c r="U301" s="24" t="s">
        <v>153</v>
      </c>
      <c r="V301" s="54" t="s">
        <v>153</v>
      </c>
      <c r="W301" s="29" t="s">
        <v>218</v>
      </c>
      <c r="X301" s="29" t="s">
        <v>218</v>
      </c>
      <c r="Y301" s="29" t="s">
        <v>218</v>
      </c>
      <c r="Z301" s="29" t="s">
        <v>218</v>
      </c>
      <c r="AA301" s="29" t="s">
        <v>218</v>
      </c>
      <c r="AB301" s="24" t="s">
        <v>153</v>
      </c>
      <c r="AC301" s="29" t="s">
        <v>218</v>
      </c>
      <c r="AD301" s="29" t="s">
        <v>218</v>
      </c>
      <c r="AE301" s="29" t="s">
        <v>218</v>
      </c>
      <c r="AF301" s="29" t="s">
        <v>218</v>
      </c>
      <c r="AG301" s="29" t="s">
        <v>218</v>
      </c>
      <c r="AH301" s="29" t="s">
        <v>218</v>
      </c>
      <c r="AI301" s="24" t="s">
        <v>153</v>
      </c>
      <c r="AJ301" s="29" t="s">
        <v>218</v>
      </c>
      <c r="AK301" s="29" t="s">
        <v>218</v>
      </c>
      <c r="AL301" s="29" t="s">
        <v>218</v>
      </c>
      <c r="AM301" s="29" t="s">
        <v>218</v>
      </c>
      <c r="AN301" s="29" t="s">
        <v>218</v>
      </c>
      <c r="AO301" s="29" t="s">
        <v>218</v>
      </c>
      <c r="AP301" s="23">
        <f>VALUE(11)</f>
        <v>11</v>
      </c>
      <c r="AQ301" s="23">
        <f>VALUE(0)</f>
        <v>0</v>
      </c>
      <c r="AR301" s="23">
        <f>VALUE(24)</f>
        <v>24</v>
      </c>
      <c r="AS301" s="23">
        <f>VALUE(0)</f>
        <v>0</v>
      </c>
      <c r="AT301" s="23">
        <f>VALUE(0)</f>
        <v>0</v>
      </c>
      <c r="AU301" s="23">
        <f>VALUE(0)</f>
        <v>0</v>
      </c>
      <c r="AV301" s="23">
        <f>VALUE(14)</f>
        <v>14</v>
      </c>
      <c r="AW301" s="23">
        <f>VALUE(0)</f>
        <v>0</v>
      </c>
      <c r="AX301" s="23" t="s">
        <v>171</v>
      </c>
      <c r="AY301" s="23" t="s">
        <v>548</v>
      </c>
      <c r="AZ301" s="23">
        <f>VALUE(0)</f>
        <v>0</v>
      </c>
      <c r="BA301" s="23">
        <f>VALUE(0)</f>
        <v>0</v>
      </c>
      <c r="BB301" s="23">
        <f>VALUE(0)</f>
        <v>0</v>
      </c>
      <c r="BC301" s="23">
        <f>VALUE(0)</f>
        <v>0</v>
      </c>
      <c r="BD301" s="23">
        <f>VALUE(0)</f>
        <v>0</v>
      </c>
      <c r="BE301" s="23">
        <f>VALUE(0)</f>
        <v>0</v>
      </c>
      <c r="BF301" s="23">
        <f>VALUE(0)</f>
        <v>0</v>
      </c>
      <c r="BG301" s="23">
        <f>VALUE(0)</f>
        <v>0</v>
      </c>
      <c r="BH301" s="23">
        <f>VALUE(0)</f>
        <v>0</v>
      </c>
      <c r="BI301" s="23">
        <f>VALUE(0)</f>
        <v>0</v>
      </c>
      <c r="BJ301" s="23">
        <f>VALUE(0)</f>
        <v>0</v>
      </c>
      <c r="BK301" s="12">
        <f>$AX$301*24</f>
        <v>5.833333333333333</v>
      </c>
      <c r="BL301" s="12">
        <f>$AY$301*24</f>
        <v>4.6166666666666671</v>
      </c>
      <c r="BM301" s="12">
        <f>$BJ$301*24</f>
        <v>0</v>
      </c>
      <c r="BN301" s="12">
        <f>VALUE($I$301)/100</f>
        <v>1</v>
      </c>
      <c r="BO301" s="12">
        <v>0</v>
      </c>
      <c r="BP301" s="12">
        <v>0</v>
      </c>
      <c r="BQ301" s="12">
        <v>0</v>
      </c>
      <c r="BR301" s="12">
        <v>0</v>
      </c>
      <c r="BS301" s="12">
        <v>24</v>
      </c>
      <c r="BT301" s="12">
        <v>0</v>
      </c>
      <c r="BU301" s="12">
        <v>0</v>
      </c>
      <c r="BV301" s="12">
        <v>0</v>
      </c>
      <c r="BW301" s="12">
        <v>0</v>
      </c>
      <c r="BX301" s="12">
        <v>0</v>
      </c>
      <c r="BY301" s="12">
        <v>0</v>
      </c>
      <c r="BZ301" s="12">
        <v>0</v>
      </c>
      <c r="CA301" s="12">
        <v>0</v>
      </c>
    </row>
    <row r="302" spans="1:79" hidden="1" x14ac:dyDescent="0.2">
      <c r="A302" s="12" t="s">
        <v>141</v>
      </c>
      <c r="B302" s="12" t="s">
        <v>144</v>
      </c>
      <c r="C302" s="12" t="s">
        <v>144</v>
      </c>
      <c r="D302" s="22" t="s">
        <v>547</v>
      </c>
      <c r="E302" s="22" t="s">
        <v>161</v>
      </c>
      <c r="F302" s="22" t="s">
        <v>1304</v>
      </c>
      <c r="G302" s="22" t="s">
        <v>1077</v>
      </c>
      <c r="H302" s="22" t="s">
        <v>190</v>
      </c>
      <c r="I302" s="22" t="s">
        <v>151</v>
      </c>
      <c r="J302" s="22" t="s">
        <v>162</v>
      </c>
      <c r="K302" s="22" t="s">
        <v>98</v>
      </c>
      <c r="L302" s="54" t="s">
        <v>153</v>
      </c>
      <c r="M302" s="23" t="s">
        <v>153</v>
      </c>
      <c r="N302" s="24" t="s">
        <v>153</v>
      </c>
      <c r="O302" s="29" t="s">
        <v>163</v>
      </c>
      <c r="P302" s="23" t="s">
        <v>153</v>
      </c>
      <c r="Q302" s="23" t="s">
        <v>153</v>
      </c>
      <c r="R302" s="23" t="s">
        <v>153</v>
      </c>
      <c r="S302" s="23" t="s">
        <v>153</v>
      </c>
      <c r="T302" s="23" t="s">
        <v>153</v>
      </c>
      <c r="U302" s="24" t="s">
        <v>153</v>
      </c>
      <c r="V302" s="54" t="s">
        <v>153</v>
      </c>
      <c r="W302" s="23" t="s">
        <v>153</v>
      </c>
      <c r="X302" s="23" t="s">
        <v>153</v>
      </c>
      <c r="Y302" s="23" t="s">
        <v>153</v>
      </c>
      <c r="Z302" s="23" t="s">
        <v>153</v>
      </c>
      <c r="AA302" s="23" t="s">
        <v>153</v>
      </c>
      <c r="AB302" s="24" t="s">
        <v>153</v>
      </c>
      <c r="AC302" s="23" t="s">
        <v>153</v>
      </c>
      <c r="AD302" s="23" t="s">
        <v>153</v>
      </c>
      <c r="AE302" s="23" t="s">
        <v>153</v>
      </c>
      <c r="AF302" s="23" t="s">
        <v>153</v>
      </c>
      <c r="AG302" s="23" t="s">
        <v>153</v>
      </c>
      <c r="AH302" s="23" t="s">
        <v>153</v>
      </c>
      <c r="AI302" s="24" t="s">
        <v>153</v>
      </c>
      <c r="AJ302" s="23" t="s">
        <v>153</v>
      </c>
      <c r="AK302" s="23" t="s">
        <v>153</v>
      </c>
      <c r="AL302" s="23" t="s">
        <v>153</v>
      </c>
      <c r="AM302" s="23" t="s">
        <v>153</v>
      </c>
      <c r="AN302" s="23" t="s">
        <v>153</v>
      </c>
      <c r="AO302" s="23" t="s">
        <v>153</v>
      </c>
      <c r="AP302" s="23">
        <f>VALUE(6)</f>
        <v>6</v>
      </c>
      <c r="AQ302" s="23">
        <f>VALUE(0)</f>
        <v>0</v>
      </c>
      <c r="AR302" s="23">
        <f>VALUE(1)</f>
        <v>1</v>
      </c>
      <c r="AS302" s="23">
        <f>VALUE(0)</f>
        <v>0</v>
      </c>
      <c r="AT302" s="23">
        <f>VALUE(0)</f>
        <v>0</v>
      </c>
      <c r="AU302" s="23">
        <f>VALUE(0)</f>
        <v>0</v>
      </c>
      <c r="AV302" s="23">
        <f>VALUE(8)</f>
        <v>8</v>
      </c>
      <c r="AW302" s="23">
        <f>VALUE(0)</f>
        <v>0</v>
      </c>
      <c r="AX302" s="23" t="s">
        <v>171</v>
      </c>
      <c r="AY302" s="23">
        <f>VALUE(0)</f>
        <v>0</v>
      </c>
      <c r="AZ302" s="23">
        <f>VALUE(0)</f>
        <v>0</v>
      </c>
      <c r="BA302" s="23">
        <f>VALUE(0)</f>
        <v>0</v>
      </c>
      <c r="BB302" s="23">
        <f>VALUE(0)</f>
        <v>0</v>
      </c>
      <c r="BC302" s="23">
        <f>VALUE(0)</f>
        <v>0</v>
      </c>
      <c r="BD302" s="23">
        <f>VALUE(0)</f>
        <v>0</v>
      </c>
      <c r="BE302" s="23">
        <f>VALUE(0)</f>
        <v>0</v>
      </c>
      <c r="BF302" s="23">
        <f>VALUE(0)</f>
        <v>0</v>
      </c>
      <c r="BG302" s="23">
        <f>VALUE(0)</f>
        <v>0</v>
      </c>
      <c r="BH302" s="23">
        <f>VALUE(0)</f>
        <v>0</v>
      </c>
      <c r="BI302" s="23">
        <f>VALUE(0)</f>
        <v>0</v>
      </c>
      <c r="BJ302" s="23">
        <f>VALUE(0)</f>
        <v>0</v>
      </c>
      <c r="BK302" s="12">
        <f>$AX$302*24</f>
        <v>5.833333333333333</v>
      </c>
      <c r="BL302" s="12">
        <f>$AY$302*24</f>
        <v>0</v>
      </c>
      <c r="BM302" s="12">
        <f>$BJ$302*24</f>
        <v>0</v>
      </c>
      <c r="BN302" s="12">
        <f>VALUE($I$302)/100</f>
        <v>1</v>
      </c>
      <c r="BO302" s="12">
        <v>0</v>
      </c>
      <c r="BP302" s="12">
        <v>0</v>
      </c>
      <c r="BQ302" s="12">
        <v>0</v>
      </c>
      <c r="BR302" s="12">
        <v>0</v>
      </c>
      <c r="BS302" s="12">
        <v>0</v>
      </c>
      <c r="BT302" s="12">
        <v>1</v>
      </c>
      <c r="BU302" s="12">
        <v>0</v>
      </c>
      <c r="BV302" s="12">
        <v>0</v>
      </c>
      <c r="BW302" s="12">
        <v>0</v>
      </c>
      <c r="BX302" s="12">
        <v>0</v>
      </c>
      <c r="BY302" s="12">
        <v>0</v>
      </c>
      <c r="BZ302" s="12">
        <v>0</v>
      </c>
      <c r="CA302" s="12">
        <v>0</v>
      </c>
    </row>
    <row r="303" spans="1:79" hidden="1" x14ac:dyDescent="0.2">
      <c r="A303" s="12" t="s">
        <v>141</v>
      </c>
      <c r="B303" s="12" t="s">
        <v>144</v>
      </c>
      <c r="C303" s="12" t="s">
        <v>144</v>
      </c>
      <c r="D303" s="22" t="s">
        <v>1279</v>
      </c>
      <c r="E303" s="22" t="s">
        <v>173</v>
      </c>
      <c r="F303" s="22" t="s">
        <v>1078</v>
      </c>
      <c r="G303" s="22" t="s">
        <v>1079</v>
      </c>
      <c r="H303" s="22" t="s">
        <v>150</v>
      </c>
      <c r="I303" s="22" t="s">
        <v>151</v>
      </c>
      <c r="J303" s="22" t="s">
        <v>162</v>
      </c>
      <c r="K303" s="22" t="s">
        <v>98</v>
      </c>
      <c r="L303" s="54" t="s">
        <v>153</v>
      </c>
      <c r="M303" s="27" t="s">
        <v>153</v>
      </c>
      <c r="N303" s="27" t="s">
        <v>153</v>
      </c>
      <c r="O303" s="27" t="s">
        <v>153</v>
      </c>
      <c r="P303" s="27" t="s">
        <v>153</v>
      </c>
      <c r="Q303" s="27" t="s">
        <v>153</v>
      </c>
      <c r="R303" s="27" t="s">
        <v>153</v>
      </c>
      <c r="S303" s="27" t="s">
        <v>153</v>
      </c>
      <c r="T303" s="27" t="s">
        <v>153</v>
      </c>
      <c r="U303" s="27" t="s">
        <v>153</v>
      </c>
      <c r="V303" s="54" t="s">
        <v>153</v>
      </c>
      <c r="W303" s="27" t="s">
        <v>153</v>
      </c>
      <c r="X303" s="27" t="s">
        <v>153</v>
      </c>
      <c r="Y303" s="27" t="s">
        <v>153</v>
      </c>
      <c r="Z303" s="27" t="s">
        <v>153</v>
      </c>
      <c r="AA303" s="27" t="s">
        <v>153</v>
      </c>
      <c r="AB303" s="27" t="s">
        <v>153</v>
      </c>
      <c r="AC303" s="27" t="s">
        <v>153</v>
      </c>
      <c r="AD303" s="27" t="s">
        <v>153</v>
      </c>
      <c r="AE303" s="27" t="s">
        <v>153</v>
      </c>
      <c r="AF303" s="27" t="s">
        <v>153</v>
      </c>
      <c r="AG303" s="27" t="s">
        <v>153</v>
      </c>
      <c r="AH303" s="27" t="s">
        <v>153</v>
      </c>
      <c r="AI303" s="27" t="s">
        <v>153</v>
      </c>
      <c r="AJ303" s="27" t="s">
        <v>153</v>
      </c>
      <c r="AK303" s="27" t="s">
        <v>153</v>
      </c>
      <c r="AL303" s="27" t="s">
        <v>153</v>
      </c>
      <c r="AM303" s="27" t="s">
        <v>153</v>
      </c>
      <c r="AN303" s="27" t="s">
        <v>153</v>
      </c>
      <c r="AO303" s="27" t="s">
        <v>153</v>
      </c>
      <c r="AP303" s="23">
        <f>VALUE(0)</f>
        <v>0</v>
      </c>
      <c r="AQ303" s="23">
        <f>VALUE(0)</f>
        <v>0</v>
      </c>
      <c r="AR303" s="23">
        <f>VALUE(0)</f>
        <v>0</v>
      </c>
      <c r="AS303" s="23">
        <f>VALUE(0)</f>
        <v>0</v>
      </c>
      <c r="AT303" s="23">
        <f>VALUE(0)</f>
        <v>0</v>
      </c>
      <c r="AU303" s="23">
        <f>VALUE(0)</f>
        <v>0</v>
      </c>
      <c r="AV303" s="23">
        <f>VALUE(0)</f>
        <v>0</v>
      </c>
      <c r="AW303" s="23">
        <f>VALUE(0)</f>
        <v>0</v>
      </c>
      <c r="AX303" s="23">
        <f>VALUE(0)</f>
        <v>0</v>
      </c>
      <c r="AY303" s="23">
        <f>VALUE(0)</f>
        <v>0</v>
      </c>
      <c r="AZ303" s="23">
        <f>VALUE(0)</f>
        <v>0</v>
      </c>
      <c r="BA303" s="23">
        <f>VALUE(0)</f>
        <v>0</v>
      </c>
      <c r="BB303" s="23">
        <f>VALUE(0)</f>
        <v>0</v>
      </c>
      <c r="BC303" s="23">
        <f>VALUE(0)</f>
        <v>0</v>
      </c>
      <c r="BD303" s="23">
        <f>VALUE(0)</f>
        <v>0</v>
      </c>
      <c r="BE303" s="23">
        <f>VALUE(0)</f>
        <v>0</v>
      </c>
      <c r="BF303" s="23">
        <f>VALUE(0)</f>
        <v>0</v>
      </c>
      <c r="BG303" s="23">
        <f>VALUE(0)</f>
        <v>0</v>
      </c>
      <c r="BH303" s="23">
        <f>VALUE(0)</f>
        <v>0</v>
      </c>
      <c r="BI303" s="23">
        <f>VALUE(0)</f>
        <v>0</v>
      </c>
      <c r="BJ303" s="23">
        <f>VALUE(0)</f>
        <v>0</v>
      </c>
      <c r="BK303" s="12">
        <f>$AX$303*24</f>
        <v>0</v>
      </c>
      <c r="BL303" s="12">
        <f>$AY$303*24</f>
        <v>0</v>
      </c>
      <c r="BM303" s="12">
        <f>$BJ$303*24</f>
        <v>0</v>
      </c>
      <c r="BN303" s="12">
        <f>VALUE($I$303)/100</f>
        <v>1</v>
      </c>
      <c r="BO303" s="12">
        <v>0</v>
      </c>
      <c r="BP303" s="12">
        <v>0</v>
      </c>
      <c r="BQ303" s="12">
        <v>0</v>
      </c>
      <c r="BR303" s="12">
        <v>0</v>
      </c>
      <c r="BS303" s="12">
        <v>0</v>
      </c>
      <c r="BT303" s="12">
        <v>0</v>
      </c>
      <c r="BU303" s="12">
        <v>0</v>
      </c>
      <c r="BV303" s="12">
        <v>0</v>
      </c>
      <c r="BW303" s="12">
        <v>0</v>
      </c>
      <c r="BX303" s="12">
        <v>0</v>
      </c>
      <c r="BY303" s="12">
        <v>0</v>
      </c>
      <c r="BZ303" s="12">
        <v>0</v>
      </c>
      <c r="CA303" s="12">
        <v>0</v>
      </c>
    </row>
    <row r="304" spans="1:79" ht="16.5" hidden="1" x14ac:dyDescent="0.2">
      <c r="A304" s="12" t="s">
        <v>141</v>
      </c>
      <c r="B304" s="12" t="s">
        <v>144</v>
      </c>
      <c r="C304" s="12" t="s">
        <v>144</v>
      </c>
      <c r="D304" s="22" t="s">
        <v>549</v>
      </c>
      <c r="E304" s="22" t="s">
        <v>173</v>
      </c>
      <c r="F304" s="22" t="s">
        <v>1080</v>
      </c>
      <c r="G304" s="22" t="s">
        <v>1081</v>
      </c>
      <c r="H304" s="22" t="s">
        <v>166</v>
      </c>
      <c r="I304" s="22" t="s">
        <v>151</v>
      </c>
      <c r="J304" s="22" t="s">
        <v>162</v>
      </c>
      <c r="K304" s="22" t="s">
        <v>98</v>
      </c>
      <c r="L304" s="54" t="s">
        <v>153</v>
      </c>
      <c r="M304" s="26" t="s">
        <v>550</v>
      </c>
      <c r="N304" s="24" t="s">
        <v>153</v>
      </c>
      <c r="O304" s="23" t="s">
        <v>185</v>
      </c>
      <c r="P304" s="25" t="s">
        <v>1305</v>
      </c>
      <c r="Q304" s="23" t="s">
        <v>540</v>
      </c>
      <c r="R304" s="23" t="s">
        <v>540</v>
      </c>
      <c r="S304" s="23" t="s">
        <v>542</v>
      </c>
      <c r="T304" s="23" t="s">
        <v>542</v>
      </c>
      <c r="U304" s="24" t="s">
        <v>153</v>
      </c>
      <c r="V304" s="54" t="s">
        <v>153</v>
      </c>
      <c r="W304" s="23" t="s">
        <v>537</v>
      </c>
      <c r="X304" s="24" t="s">
        <v>156</v>
      </c>
      <c r="Y304" s="24" t="s">
        <v>156</v>
      </c>
      <c r="Z304" s="23" t="s">
        <v>182</v>
      </c>
      <c r="AA304" s="23" t="s">
        <v>182</v>
      </c>
      <c r="AB304" s="24" t="s">
        <v>153</v>
      </c>
      <c r="AC304" s="23" t="s">
        <v>537</v>
      </c>
      <c r="AD304" s="23" t="s">
        <v>537</v>
      </c>
      <c r="AE304" s="23" t="s">
        <v>537</v>
      </c>
      <c r="AF304" s="23" t="s">
        <v>537</v>
      </c>
      <c r="AG304" s="23" t="s">
        <v>537</v>
      </c>
      <c r="AH304" s="23" t="s">
        <v>537</v>
      </c>
      <c r="AI304" s="24" t="s">
        <v>153</v>
      </c>
      <c r="AJ304" s="28" t="s">
        <v>163</v>
      </c>
      <c r="AK304" s="28" t="s">
        <v>163</v>
      </c>
      <c r="AL304" s="28" t="s">
        <v>163</v>
      </c>
      <c r="AM304" s="28" t="s">
        <v>163</v>
      </c>
      <c r="AN304" s="28" t="s">
        <v>163</v>
      </c>
      <c r="AO304" s="28" t="s">
        <v>163</v>
      </c>
      <c r="AP304" s="23">
        <f>VALUE(14)</f>
        <v>14</v>
      </c>
      <c r="AQ304" s="23">
        <f>VALUE(0)</f>
        <v>0</v>
      </c>
      <c r="AR304" s="23">
        <f>VALUE(0)</f>
        <v>0</v>
      </c>
      <c r="AS304" s="23">
        <f>VALUE(0)</f>
        <v>0</v>
      </c>
      <c r="AT304" s="23">
        <f>VALUE(0)</f>
        <v>0</v>
      </c>
      <c r="AU304" s="23">
        <f>VALUE(6)</f>
        <v>6</v>
      </c>
      <c r="AV304" s="23">
        <f>VALUE(6)</f>
        <v>6</v>
      </c>
      <c r="AW304" s="23">
        <f>VALUE(0)</f>
        <v>0</v>
      </c>
      <c r="AX304" s="23" t="s">
        <v>551</v>
      </c>
      <c r="AY304" s="23">
        <f>VALUE(0)</f>
        <v>0</v>
      </c>
      <c r="AZ304" s="23">
        <f>VALUE(0)</f>
        <v>0</v>
      </c>
      <c r="BA304" s="23">
        <f>VALUE(0)</f>
        <v>0</v>
      </c>
      <c r="BB304" s="23">
        <f>VALUE(0)</f>
        <v>0</v>
      </c>
      <c r="BC304" s="23">
        <f>VALUE(0)</f>
        <v>0</v>
      </c>
      <c r="BD304" s="23">
        <f>VALUE(1)</f>
        <v>1</v>
      </c>
      <c r="BE304" s="23">
        <f>VALUE(0)</f>
        <v>0</v>
      </c>
      <c r="BF304" s="23">
        <f>VALUE(0)</f>
        <v>0</v>
      </c>
      <c r="BG304" s="23">
        <f>VALUE(0)</f>
        <v>0</v>
      </c>
      <c r="BH304" s="23">
        <f>VALUE(0)</f>
        <v>0</v>
      </c>
      <c r="BI304" s="23">
        <f>VALUE(0)</f>
        <v>0</v>
      </c>
      <c r="BJ304" s="23">
        <f>VALUE(0)</f>
        <v>0</v>
      </c>
      <c r="BK304" s="12">
        <f>$AX$304*24</f>
        <v>20.283333333333335</v>
      </c>
      <c r="BL304" s="12">
        <f>$AY$304*24</f>
        <v>0</v>
      </c>
      <c r="BM304" s="12">
        <f>$BJ$304*24</f>
        <v>0</v>
      </c>
      <c r="BN304" s="12">
        <f>VALUE($I$304)/100</f>
        <v>1</v>
      </c>
      <c r="BO304" s="12">
        <v>0</v>
      </c>
      <c r="BP304" s="12">
        <v>0</v>
      </c>
      <c r="BQ304" s="12">
        <v>0</v>
      </c>
      <c r="BR304" s="12">
        <v>1</v>
      </c>
      <c r="BS304" s="12">
        <v>0</v>
      </c>
      <c r="BT304" s="12">
        <v>0</v>
      </c>
      <c r="BU304" s="12">
        <v>0</v>
      </c>
      <c r="BV304" s="12">
        <v>0</v>
      </c>
      <c r="BW304" s="12">
        <v>0</v>
      </c>
      <c r="BX304" s="12">
        <v>0</v>
      </c>
      <c r="BY304" s="12">
        <v>0</v>
      </c>
      <c r="BZ304" s="12">
        <v>0</v>
      </c>
      <c r="CA304" s="12">
        <v>0</v>
      </c>
    </row>
    <row r="305" spans="1:79" ht="15" hidden="1" x14ac:dyDescent="0.25">
      <c r="A305" s="12" t="s">
        <v>141</v>
      </c>
      <c r="B305" s="12" t="s">
        <v>144</v>
      </c>
      <c r="C305" s="12" t="s">
        <v>144</v>
      </c>
      <c r="D305" s="31" t="s">
        <v>202</v>
      </c>
      <c r="E305" s="31" t="s">
        <v>153</v>
      </c>
      <c r="F305" s="31" t="s">
        <v>175</v>
      </c>
      <c r="G305" s="31" t="s">
        <v>153</v>
      </c>
      <c r="H305" s="31" t="s">
        <v>153</v>
      </c>
      <c r="I305" s="31" t="s">
        <v>153</v>
      </c>
      <c r="J305" s="31" t="s">
        <v>153</v>
      </c>
      <c r="K305" s="31" t="s">
        <v>153</v>
      </c>
      <c r="L305" s="31">
        <f>VALUE(0)</f>
        <v>0</v>
      </c>
      <c r="M305" s="31">
        <f>VALUE(9)</f>
        <v>9</v>
      </c>
      <c r="N305" s="31">
        <f>VALUE(0)</f>
        <v>0</v>
      </c>
      <c r="O305" s="31">
        <f>VALUE(7)</f>
        <v>7</v>
      </c>
      <c r="P305" s="31">
        <f>VALUE(8)</f>
        <v>8</v>
      </c>
      <c r="Q305" s="31">
        <f>VALUE(8)</f>
        <v>8</v>
      </c>
      <c r="R305" s="31">
        <f>VALUE(8)</f>
        <v>8</v>
      </c>
      <c r="S305" s="31">
        <f>VALUE(8)</f>
        <v>8</v>
      </c>
      <c r="T305" s="31">
        <f>VALUE(8)</f>
        <v>8</v>
      </c>
      <c r="U305" s="31">
        <f>VALUE(0)</f>
        <v>0</v>
      </c>
      <c r="V305" s="31">
        <f>VALUE(0)</f>
        <v>0</v>
      </c>
      <c r="W305" s="31">
        <f>VALUE(9)</f>
        <v>9</v>
      </c>
      <c r="X305" s="31">
        <f>VALUE(8)</f>
        <v>8</v>
      </c>
      <c r="Y305" s="31">
        <f>VALUE(8)</f>
        <v>8</v>
      </c>
      <c r="Z305" s="31">
        <f>VALUE(9)</f>
        <v>9</v>
      </c>
      <c r="AA305" s="31">
        <f>VALUE(9)</f>
        <v>9</v>
      </c>
      <c r="AB305" s="31">
        <f>VALUE(0)</f>
        <v>0</v>
      </c>
      <c r="AC305" s="31">
        <f>VALUE(9)</f>
        <v>9</v>
      </c>
      <c r="AD305" s="31">
        <f>VALUE(9)</f>
        <v>9</v>
      </c>
      <c r="AE305" s="31">
        <f>VALUE(8)</f>
        <v>8</v>
      </c>
      <c r="AF305" s="31">
        <f>VALUE(8)</f>
        <v>8</v>
      </c>
      <c r="AG305" s="31">
        <f>VALUE(8)</f>
        <v>8</v>
      </c>
      <c r="AH305" s="31">
        <f>VALUE(8)</f>
        <v>8</v>
      </c>
      <c r="AI305" s="31">
        <f>VALUE(0)</f>
        <v>0</v>
      </c>
      <c r="AJ305" s="31">
        <f>VALUE(9)</f>
        <v>9</v>
      </c>
      <c r="AK305" s="31">
        <f>VALUE(9)</f>
        <v>9</v>
      </c>
      <c r="AL305" s="31">
        <f>VALUE(8)</f>
        <v>8</v>
      </c>
      <c r="AM305" s="31">
        <f>VALUE(8)</f>
        <v>8</v>
      </c>
      <c r="AN305" s="31">
        <f>VALUE(8)</f>
        <v>8</v>
      </c>
      <c r="AO305" s="31">
        <f>VALUE(8)</f>
        <v>8</v>
      </c>
      <c r="AP305" s="31">
        <v>0</v>
      </c>
      <c r="AQ305" s="31">
        <v>0</v>
      </c>
      <c r="AR305" s="31">
        <v>0</v>
      </c>
      <c r="AS305" s="31">
        <v>0</v>
      </c>
      <c r="AT305" s="31">
        <v>0</v>
      </c>
      <c r="AU305" s="31">
        <v>0</v>
      </c>
      <c r="AV305" s="31">
        <v>0</v>
      </c>
      <c r="AW305" s="31">
        <v>0</v>
      </c>
      <c r="AX305" s="31">
        <v>0</v>
      </c>
      <c r="AY305" s="31">
        <v>0</v>
      </c>
      <c r="AZ305" s="31">
        <v>0</v>
      </c>
      <c r="BA305" s="31">
        <v>0</v>
      </c>
      <c r="BB305" s="31">
        <v>0</v>
      </c>
      <c r="BC305" s="31">
        <v>0</v>
      </c>
      <c r="BD305" s="31">
        <v>0</v>
      </c>
      <c r="BE305" s="31">
        <v>0</v>
      </c>
      <c r="BF305" s="31">
        <v>0</v>
      </c>
      <c r="BG305" s="31">
        <v>0</v>
      </c>
      <c r="BH305" s="31">
        <v>0</v>
      </c>
      <c r="BI305" s="31">
        <v>0</v>
      </c>
      <c r="BJ305" s="31">
        <v>0</v>
      </c>
      <c r="BK305" s="12">
        <v>0</v>
      </c>
      <c r="BL305" s="12">
        <v>0</v>
      </c>
      <c r="BM305" s="12">
        <v>0</v>
      </c>
      <c r="BN305" s="12"/>
      <c r="BO305" s="12">
        <v>0</v>
      </c>
      <c r="BP305" s="12">
        <v>0</v>
      </c>
      <c r="BQ305" s="12">
        <v>0</v>
      </c>
      <c r="BR305" s="12">
        <v>0</v>
      </c>
      <c r="BS305" s="12">
        <v>0</v>
      </c>
      <c r="BT305" s="12">
        <v>0</v>
      </c>
      <c r="BU305" s="12">
        <v>0</v>
      </c>
      <c r="BV305" s="12">
        <v>0</v>
      </c>
      <c r="BW305" s="12">
        <v>0</v>
      </c>
      <c r="BX305" s="12">
        <v>0</v>
      </c>
      <c r="BY305" s="12">
        <v>0</v>
      </c>
      <c r="BZ305" s="12">
        <v>0</v>
      </c>
      <c r="CA305" s="12">
        <v>0</v>
      </c>
    </row>
    <row r="306" spans="1:79" ht="16.5" hidden="1" x14ac:dyDescent="0.2">
      <c r="A306" s="12" t="s">
        <v>141</v>
      </c>
      <c r="B306" s="12" t="s">
        <v>145</v>
      </c>
      <c r="C306" s="12" t="s">
        <v>145</v>
      </c>
      <c r="D306" s="22" t="s">
        <v>1286</v>
      </c>
      <c r="E306" s="22" t="s">
        <v>149</v>
      </c>
      <c r="F306" s="22" t="s">
        <v>1082</v>
      </c>
      <c r="G306" s="22" t="s">
        <v>1083</v>
      </c>
      <c r="H306" s="22" t="s">
        <v>166</v>
      </c>
      <c r="I306" s="22" t="s">
        <v>151</v>
      </c>
      <c r="J306" s="22" t="s">
        <v>524</v>
      </c>
      <c r="K306" s="22" t="s">
        <v>99</v>
      </c>
      <c r="L306" s="54" t="s">
        <v>153</v>
      </c>
      <c r="M306" s="23" t="s">
        <v>562</v>
      </c>
      <c r="N306" s="24" t="s">
        <v>153</v>
      </c>
      <c r="O306" s="25" t="s">
        <v>552</v>
      </c>
      <c r="P306" s="26" t="s">
        <v>1306</v>
      </c>
      <c r="Q306" s="23" t="s">
        <v>553</v>
      </c>
      <c r="R306" s="23" t="s">
        <v>553</v>
      </c>
      <c r="S306" s="23" t="s">
        <v>553</v>
      </c>
      <c r="T306" s="23" t="s">
        <v>553</v>
      </c>
      <c r="U306" s="24" t="s">
        <v>153</v>
      </c>
      <c r="V306" s="54" t="s">
        <v>153</v>
      </c>
      <c r="W306" s="26" t="s">
        <v>1306</v>
      </c>
      <c r="X306" s="23" t="s">
        <v>287</v>
      </c>
      <c r="Y306" s="23" t="s">
        <v>287</v>
      </c>
      <c r="Z306" s="29" t="s">
        <v>218</v>
      </c>
      <c r="AA306" s="23" t="s">
        <v>552</v>
      </c>
      <c r="AB306" s="24" t="s">
        <v>153</v>
      </c>
      <c r="AC306" s="26" t="s">
        <v>1306</v>
      </c>
      <c r="AD306" s="26" t="s">
        <v>1306</v>
      </c>
      <c r="AE306" s="23" t="s">
        <v>1307</v>
      </c>
      <c r="AF306" s="23" t="s">
        <v>1307</v>
      </c>
      <c r="AG306" s="23" t="s">
        <v>1307</v>
      </c>
      <c r="AH306" s="23" t="s">
        <v>1307</v>
      </c>
      <c r="AI306" s="24" t="s">
        <v>153</v>
      </c>
      <c r="AJ306" s="23" t="s">
        <v>554</v>
      </c>
      <c r="AK306" s="23" t="s">
        <v>554</v>
      </c>
      <c r="AL306" s="23" t="s">
        <v>1308</v>
      </c>
      <c r="AM306" s="23" t="s">
        <v>1308</v>
      </c>
      <c r="AN306" s="23" t="s">
        <v>555</v>
      </c>
      <c r="AO306" s="23" t="s">
        <v>555</v>
      </c>
      <c r="AP306" s="23">
        <f>VALUE(29)</f>
        <v>29</v>
      </c>
      <c r="AQ306" s="23">
        <f>VALUE(0)</f>
        <v>0</v>
      </c>
      <c r="AR306" s="23">
        <f>VALUE(1)</f>
        <v>1</v>
      </c>
      <c r="AS306" s="23">
        <f>VALUE(0)</f>
        <v>0</v>
      </c>
      <c r="AT306" s="23">
        <f>VALUE(0)</f>
        <v>0</v>
      </c>
      <c r="AU306" s="23">
        <f>VALUE(0)</f>
        <v>0</v>
      </c>
      <c r="AV306" s="23">
        <f>VALUE(3)</f>
        <v>3</v>
      </c>
      <c r="AW306" s="23">
        <f>VALUE(0)</f>
        <v>0</v>
      </c>
      <c r="AX306" s="23" t="s">
        <v>1309</v>
      </c>
      <c r="AY306" s="23">
        <f>VALUE(0)</f>
        <v>0</v>
      </c>
      <c r="AZ306" s="23">
        <f>VALUE(0)</f>
        <v>0</v>
      </c>
      <c r="BA306" s="23">
        <f>VALUE(0)</f>
        <v>0</v>
      </c>
      <c r="BB306" s="23">
        <f>VALUE(0)</f>
        <v>0</v>
      </c>
      <c r="BC306" s="23">
        <f>VALUE(0)</f>
        <v>0</v>
      </c>
      <c r="BD306" s="23">
        <f>VALUE(0)</f>
        <v>0</v>
      </c>
      <c r="BE306" s="23">
        <f>VALUE(0)</f>
        <v>0</v>
      </c>
      <c r="BF306" s="23">
        <f>VALUE(0)</f>
        <v>0</v>
      </c>
      <c r="BG306" s="23">
        <f>VALUE(0)</f>
        <v>0</v>
      </c>
      <c r="BH306" s="23">
        <f>VALUE(0)</f>
        <v>0</v>
      </c>
      <c r="BI306" s="23">
        <f>VALUE(0)</f>
        <v>0</v>
      </c>
      <c r="BJ306" s="23">
        <f>VALUE(0)</f>
        <v>0</v>
      </c>
      <c r="BK306" s="12">
        <f>$AX$306*24</f>
        <v>36.1</v>
      </c>
      <c r="BL306" s="12">
        <f>$AY$306*24</f>
        <v>0</v>
      </c>
      <c r="BM306" s="12">
        <f>$BJ$306*24</f>
        <v>0</v>
      </c>
      <c r="BN306" s="12">
        <f>VALUE($I$306)/100</f>
        <v>1</v>
      </c>
      <c r="BO306" s="12">
        <v>0</v>
      </c>
      <c r="BP306" s="12">
        <v>0</v>
      </c>
      <c r="BQ306" s="12">
        <v>0</v>
      </c>
      <c r="BR306" s="12">
        <v>0</v>
      </c>
      <c r="BS306" s="12">
        <v>1</v>
      </c>
      <c r="BT306" s="12">
        <v>0</v>
      </c>
      <c r="BU306" s="12">
        <v>0</v>
      </c>
      <c r="BV306" s="12">
        <v>0</v>
      </c>
      <c r="BW306" s="12">
        <v>0</v>
      </c>
      <c r="BX306" s="12">
        <v>0</v>
      </c>
      <c r="BY306" s="12">
        <v>0</v>
      </c>
      <c r="BZ306" s="12">
        <v>0</v>
      </c>
      <c r="CA306" s="12">
        <v>0</v>
      </c>
    </row>
    <row r="307" spans="1:79" hidden="1" x14ac:dyDescent="0.2">
      <c r="A307" s="12" t="s">
        <v>141</v>
      </c>
      <c r="B307" s="12" t="s">
        <v>145</v>
      </c>
      <c r="C307" s="12" t="s">
        <v>145</v>
      </c>
      <c r="D307" s="22" t="s">
        <v>556</v>
      </c>
      <c r="E307" s="22" t="s">
        <v>161</v>
      </c>
      <c r="F307" s="22" t="s">
        <v>1084</v>
      </c>
      <c r="G307" s="22" t="s">
        <v>1085</v>
      </c>
      <c r="H307" s="22" t="s">
        <v>150</v>
      </c>
      <c r="I307" s="22" t="s">
        <v>557</v>
      </c>
      <c r="J307" s="22" t="s">
        <v>530</v>
      </c>
      <c r="K307" s="22" t="s">
        <v>99</v>
      </c>
      <c r="L307" s="54" t="s">
        <v>153</v>
      </c>
      <c r="M307" s="24" t="s">
        <v>195</v>
      </c>
      <c r="N307" s="24" t="s">
        <v>153</v>
      </c>
      <c r="O307" s="23" t="s">
        <v>558</v>
      </c>
      <c r="P307" s="23" t="s">
        <v>558</v>
      </c>
      <c r="Q307" s="23" t="s">
        <v>153</v>
      </c>
      <c r="R307" s="23" t="s">
        <v>153</v>
      </c>
      <c r="S307" s="23" t="s">
        <v>153</v>
      </c>
      <c r="T307" s="23" t="s">
        <v>153</v>
      </c>
      <c r="U307" s="24" t="s">
        <v>153</v>
      </c>
      <c r="V307" s="54" t="s">
        <v>153</v>
      </c>
      <c r="W307" s="23" t="s">
        <v>153</v>
      </c>
      <c r="X307" s="23" t="s">
        <v>153</v>
      </c>
      <c r="Y307" s="23" t="s">
        <v>153</v>
      </c>
      <c r="Z307" s="23" t="s">
        <v>552</v>
      </c>
      <c r="AA307" s="23" t="s">
        <v>153</v>
      </c>
      <c r="AB307" s="24" t="s">
        <v>153</v>
      </c>
      <c r="AC307" s="23" t="s">
        <v>153</v>
      </c>
      <c r="AD307" s="23" t="s">
        <v>153</v>
      </c>
      <c r="AE307" s="23" t="s">
        <v>153</v>
      </c>
      <c r="AF307" s="23" t="s">
        <v>153</v>
      </c>
      <c r="AG307" s="23" t="s">
        <v>153</v>
      </c>
      <c r="AH307" s="23" t="s">
        <v>153</v>
      </c>
      <c r="AI307" s="24" t="s">
        <v>153</v>
      </c>
      <c r="AJ307" s="23" t="s">
        <v>153</v>
      </c>
      <c r="AK307" s="23" t="s">
        <v>153</v>
      </c>
      <c r="AL307" s="24" t="s">
        <v>156</v>
      </c>
      <c r="AM307" s="24" t="s">
        <v>156</v>
      </c>
      <c r="AN307" s="23" t="s">
        <v>153</v>
      </c>
      <c r="AO307" s="23" t="s">
        <v>153</v>
      </c>
      <c r="AP307" s="23">
        <f>VALUE(22)</f>
        <v>22</v>
      </c>
      <c r="AQ307" s="23">
        <f>VALUE(0)</f>
        <v>0</v>
      </c>
      <c r="AR307" s="23">
        <f>VALUE(0)</f>
        <v>0</v>
      </c>
      <c r="AS307" s="23">
        <f>VALUE(0)</f>
        <v>0</v>
      </c>
      <c r="AT307" s="23">
        <f>VALUE(0)</f>
        <v>0</v>
      </c>
      <c r="AU307" s="23">
        <f>VALUE(0)</f>
        <v>0</v>
      </c>
      <c r="AV307" s="23">
        <f>VALUE(2)</f>
        <v>2</v>
      </c>
      <c r="AW307" s="23">
        <f>VALUE(0)</f>
        <v>0</v>
      </c>
      <c r="AX307" s="23" t="s">
        <v>289</v>
      </c>
      <c r="AY307" s="23" t="s">
        <v>255</v>
      </c>
      <c r="AZ307" s="23">
        <f>VALUE(0)</f>
        <v>0</v>
      </c>
      <c r="BA307" s="23">
        <f>VALUE(0)</f>
        <v>0</v>
      </c>
      <c r="BB307" s="23">
        <f>VALUE(0)</f>
        <v>0</v>
      </c>
      <c r="BC307" s="23">
        <f>VALUE(0)</f>
        <v>0</v>
      </c>
      <c r="BD307" s="23">
        <f>VALUE(0)</f>
        <v>0</v>
      </c>
      <c r="BE307" s="23">
        <f>VALUE(0)</f>
        <v>0</v>
      </c>
      <c r="BF307" s="23">
        <f>VALUE(0)</f>
        <v>0</v>
      </c>
      <c r="BG307" s="23">
        <f>VALUE(0)</f>
        <v>0</v>
      </c>
      <c r="BH307" s="23">
        <f>VALUE(0)</f>
        <v>0</v>
      </c>
      <c r="BI307" s="23">
        <f>VALUE(0)</f>
        <v>0</v>
      </c>
      <c r="BJ307" s="23">
        <f>VALUE(0)</f>
        <v>0</v>
      </c>
      <c r="BK307" s="12">
        <f>$AX$307*24</f>
        <v>5.583333333333333</v>
      </c>
      <c r="BL307" s="12">
        <f>$AY$307*24</f>
        <v>2.5</v>
      </c>
      <c r="BM307" s="12">
        <f>$BJ$307*24</f>
        <v>0</v>
      </c>
      <c r="BN307" s="12">
        <f>VALUE($I$307)/100</f>
        <v>0.78</v>
      </c>
      <c r="BO307" s="12">
        <v>0</v>
      </c>
      <c r="BP307" s="12">
        <v>0</v>
      </c>
      <c r="BQ307" s="12">
        <v>0</v>
      </c>
      <c r="BR307" s="12">
        <v>0</v>
      </c>
      <c r="BS307" s="12">
        <v>0</v>
      </c>
      <c r="BT307" s="12">
        <v>0</v>
      </c>
      <c r="BU307" s="12">
        <v>0</v>
      </c>
      <c r="BV307" s="12">
        <v>0</v>
      </c>
      <c r="BW307" s="12">
        <v>0</v>
      </c>
      <c r="BX307" s="12">
        <v>0</v>
      </c>
      <c r="BY307" s="12">
        <v>0</v>
      </c>
      <c r="BZ307" s="12">
        <v>0</v>
      </c>
      <c r="CA307" s="12">
        <v>0</v>
      </c>
    </row>
    <row r="308" spans="1:79" hidden="1" x14ac:dyDescent="0.2">
      <c r="A308" s="12" t="s">
        <v>141</v>
      </c>
      <c r="B308" s="12" t="s">
        <v>145</v>
      </c>
      <c r="C308" s="12" t="s">
        <v>145</v>
      </c>
      <c r="D308" s="22" t="s">
        <v>555</v>
      </c>
      <c r="E308" s="22" t="s">
        <v>161</v>
      </c>
      <c r="F308" s="22" t="s">
        <v>1086</v>
      </c>
      <c r="G308" s="22" t="s">
        <v>1087</v>
      </c>
      <c r="H308" s="22" t="s">
        <v>166</v>
      </c>
      <c r="I308" s="22" t="s">
        <v>151</v>
      </c>
      <c r="J308" s="22" t="s">
        <v>162</v>
      </c>
      <c r="K308" s="22" t="s">
        <v>99</v>
      </c>
      <c r="L308" s="54" t="s">
        <v>153</v>
      </c>
      <c r="M308" s="23" t="s">
        <v>153</v>
      </c>
      <c r="N308" s="24" t="s">
        <v>153</v>
      </c>
      <c r="O308" s="28" t="s">
        <v>163</v>
      </c>
      <c r="P308" s="28" t="s">
        <v>163</v>
      </c>
      <c r="Q308" s="28" t="s">
        <v>163</v>
      </c>
      <c r="R308" s="28" t="s">
        <v>163</v>
      </c>
      <c r="S308" s="28" t="s">
        <v>163</v>
      </c>
      <c r="T308" s="28" t="s">
        <v>163</v>
      </c>
      <c r="U308" s="24" t="s">
        <v>153</v>
      </c>
      <c r="V308" s="54" t="s">
        <v>153</v>
      </c>
      <c r="W308" s="23" t="s">
        <v>153</v>
      </c>
      <c r="X308" s="23" t="s">
        <v>153</v>
      </c>
      <c r="Y308" s="23" t="s">
        <v>153</v>
      </c>
      <c r="Z308" s="23" t="s">
        <v>153</v>
      </c>
      <c r="AA308" s="23" t="s">
        <v>153</v>
      </c>
      <c r="AB308" s="24" t="s">
        <v>153</v>
      </c>
      <c r="AC308" s="23" t="s">
        <v>153</v>
      </c>
      <c r="AD308" s="23" t="s">
        <v>153</v>
      </c>
      <c r="AE308" s="23" t="s">
        <v>153</v>
      </c>
      <c r="AF308" s="23" t="s">
        <v>153</v>
      </c>
      <c r="AG308" s="23" t="s">
        <v>153</v>
      </c>
      <c r="AH308" s="23" t="s">
        <v>153</v>
      </c>
      <c r="AI308" s="24" t="s">
        <v>153</v>
      </c>
      <c r="AJ308" s="23" t="s">
        <v>153</v>
      </c>
      <c r="AK308" s="23" t="s">
        <v>153</v>
      </c>
      <c r="AL308" s="23" t="s">
        <v>153</v>
      </c>
      <c r="AM308" s="23" t="s">
        <v>153</v>
      </c>
      <c r="AN308" s="24" t="s">
        <v>156</v>
      </c>
      <c r="AO308" s="24" t="s">
        <v>156</v>
      </c>
      <c r="AP308" s="23">
        <f>VALUE(32)</f>
        <v>32</v>
      </c>
      <c r="AQ308" s="23">
        <f>VALUE(0)</f>
        <v>0</v>
      </c>
      <c r="AR308" s="23">
        <f>VALUE(0)</f>
        <v>0</v>
      </c>
      <c r="AS308" s="23">
        <f>VALUE(0)</f>
        <v>0</v>
      </c>
      <c r="AT308" s="23">
        <f>VALUE(0)</f>
        <v>0</v>
      </c>
      <c r="AU308" s="23">
        <f>VALUE(6)</f>
        <v>6</v>
      </c>
      <c r="AV308" s="23">
        <f>VALUE(0)</f>
        <v>0</v>
      </c>
      <c r="AW308" s="23">
        <f>VALUE(2)</f>
        <v>2</v>
      </c>
      <c r="AX308" s="23" t="s">
        <v>560</v>
      </c>
      <c r="AY308" s="23">
        <f>VALUE(0)</f>
        <v>0</v>
      </c>
      <c r="AZ308" s="23">
        <f>VALUE(0)</f>
        <v>0</v>
      </c>
      <c r="BA308" s="23">
        <f>VALUE(0)</f>
        <v>0</v>
      </c>
      <c r="BB308" s="23">
        <f>VALUE(0)</f>
        <v>0</v>
      </c>
      <c r="BC308" s="23">
        <f>VALUE(0)</f>
        <v>0</v>
      </c>
      <c r="BD308" s="23">
        <f>VALUE(0)</f>
        <v>0</v>
      </c>
      <c r="BE308" s="23">
        <f>VALUE(0)</f>
        <v>0</v>
      </c>
      <c r="BF308" s="23">
        <f>VALUE(0)</f>
        <v>0</v>
      </c>
      <c r="BG308" s="23">
        <f>VALUE(0)</f>
        <v>0</v>
      </c>
      <c r="BH308" s="23">
        <f>VALUE(0)</f>
        <v>0</v>
      </c>
      <c r="BI308" s="23">
        <f>VALUE(0)</f>
        <v>0</v>
      </c>
      <c r="BJ308" s="23">
        <f>VALUE(0)</f>
        <v>0</v>
      </c>
      <c r="BK308" s="12">
        <f>$AX$308*24</f>
        <v>1.3166666666666667</v>
      </c>
      <c r="BL308" s="12">
        <f>$AY$308*24</f>
        <v>0</v>
      </c>
      <c r="BM308" s="12">
        <f>$BJ$308*24</f>
        <v>0</v>
      </c>
      <c r="BN308" s="12">
        <f>VALUE($I$308)/100</f>
        <v>1</v>
      </c>
      <c r="BO308" s="12">
        <v>0</v>
      </c>
      <c r="BP308" s="12">
        <v>0</v>
      </c>
      <c r="BQ308" s="12">
        <v>0</v>
      </c>
      <c r="BR308" s="12">
        <v>0</v>
      </c>
      <c r="BS308" s="12">
        <v>0</v>
      </c>
      <c r="BT308" s="12">
        <v>0</v>
      </c>
      <c r="BU308" s="12">
        <v>0</v>
      </c>
      <c r="BV308" s="12">
        <v>0</v>
      </c>
      <c r="BW308" s="12">
        <v>0</v>
      </c>
      <c r="BX308" s="12">
        <v>0</v>
      </c>
      <c r="BY308" s="12">
        <v>0</v>
      </c>
      <c r="BZ308" s="12">
        <v>0</v>
      </c>
      <c r="CA308" s="12">
        <v>0</v>
      </c>
    </row>
    <row r="309" spans="1:79" hidden="1" x14ac:dyDescent="0.2">
      <c r="A309" s="12" t="s">
        <v>141</v>
      </c>
      <c r="B309" s="12" t="s">
        <v>145</v>
      </c>
      <c r="C309" s="12" t="s">
        <v>145</v>
      </c>
      <c r="D309" s="22" t="s">
        <v>555</v>
      </c>
      <c r="E309" s="22" t="s">
        <v>161</v>
      </c>
      <c r="F309" s="22" t="s">
        <v>1088</v>
      </c>
      <c r="G309" s="22" t="s">
        <v>1089</v>
      </c>
      <c r="H309" s="22" t="s">
        <v>150</v>
      </c>
      <c r="I309" s="22" t="s">
        <v>343</v>
      </c>
      <c r="J309" s="22" t="s">
        <v>162</v>
      </c>
      <c r="K309" s="22" t="s">
        <v>99</v>
      </c>
      <c r="L309" s="54" t="s">
        <v>153</v>
      </c>
      <c r="M309" s="33" t="s">
        <v>475</v>
      </c>
      <c r="N309" s="24" t="s">
        <v>153</v>
      </c>
      <c r="O309" s="33" t="s">
        <v>475</v>
      </c>
      <c r="P309" s="33" t="s">
        <v>475</v>
      </c>
      <c r="Q309" s="33" t="s">
        <v>475</v>
      </c>
      <c r="R309" s="33" t="s">
        <v>475</v>
      </c>
      <c r="S309" s="33" t="s">
        <v>475</v>
      </c>
      <c r="T309" s="33" t="s">
        <v>475</v>
      </c>
      <c r="U309" s="24" t="s">
        <v>153</v>
      </c>
      <c r="V309" s="54" t="s">
        <v>156</v>
      </c>
      <c r="W309" s="33" t="s">
        <v>475</v>
      </c>
      <c r="X309" s="33" t="s">
        <v>475</v>
      </c>
      <c r="Y309" s="33" t="s">
        <v>475</v>
      </c>
      <c r="Z309" s="33" t="s">
        <v>475</v>
      </c>
      <c r="AA309" s="33" t="s">
        <v>475</v>
      </c>
      <c r="AB309" s="24" t="s">
        <v>153</v>
      </c>
      <c r="AC309" s="33" t="s">
        <v>475</v>
      </c>
      <c r="AD309" s="33" t="s">
        <v>475</v>
      </c>
      <c r="AE309" s="33" t="s">
        <v>475</v>
      </c>
      <c r="AF309" s="33" t="s">
        <v>475</v>
      </c>
      <c r="AG309" s="33" t="s">
        <v>475</v>
      </c>
      <c r="AH309" s="33" t="s">
        <v>475</v>
      </c>
      <c r="AI309" s="24" t="s">
        <v>153</v>
      </c>
      <c r="AJ309" s="33" t="s">
        <v>475</v>
      </c>
      <c r="AK309" s="33" t="s">
        <v>475</v>
      </c>
      <c r="AL309" s="33" t="s">
        <v>475</v>
      </c>
      <c r="AM309" s="33" t="s">
        <v>475</v>
      </c>
      <c r="AN309" s="33" t="s">
        <v>475</v>
      </c>
      <c r="AO309" s="33" t="s">
        <v>475</v>
      </c>
      <c r="AP309" s="23">
        <f>VALUE(0)</f>
        <v>0</v>
      </c>
      <c r="AQ309" s="23">
        <f>VALUE(0)</f>
        <v>0</v>
      </c>
      <c r="AR309" s="23">
        <f>VALUE(0)</f>
        <v>0</v>
      </c>
      <c r="AS309" s="23">
        <f>VALUE(0)</f>
        <v>0</v>
      </c>
      <c r="AT309" s="23">
        <f>VALUE(0)</f>
        <v>0</v>
      </c>
      <c r="AU309" s="23">
        <f>VALUE(0)</f>
        <v>0</v>
      </c>
      <c r="AV309" s="23">
        <f>VALUE(0)</f>
        <v>0</v>
      </c>
      <c r="AW309" s="23">
        <f>VALUE(0)</f>
        <v>0</v>
      </c>
      <c r="AX309" s="23" t="s">
        <v>487</v>
      </c>
      <c r="AY309" s="23" t="s">
        <v>176</v>
      </c>
      <c r="AZ309" s="23">
        <f>VALUE(0)</f>
        <v>0</v>
      </c>
      <c r="BA309" s="23">
        <f>VALUE(0)</f>
        <v>0</v>
      </c>
      <c r="BB309" s="23">
        <f>VALUE(0)</f>
        <v>0</v>
      </c>
      <c r="BC309" s="23">
        <f>VALUE(0)</f>
        <v>0</v>
      </c>
      <c r="BD309" s="23">
        <f>VALUE(0)</f>
        <v>0</v>
      </c>
      <c r="BE309" s="23">
        <f>VALUE(0)</f>
        <v>0</v>
      </c>
      <c r="BF309" s="23">
        <f>VALUE(0)</f>
        <v>0</v>
      </c>
      <c r="BG309" s="23">
        <f>VALUE(0)</f>
        <v>0</v>
      </c>
      <c r="BH309" s="23">
        <f>VALUE(0)</f>
        <v>0</v>
      </c>
      <c r="BI309" s="23">
        <f>VALUE(0)</f>
        <v>0</v>
      </c>
      <c r="BJ309" s="23">
        <f>VALUE(0)</f>
        <v>0</v>
      </c>
      <c r="BK309" s="12">
        <f>$AX$309*24</f>
        <v>4.083333333333333</v>
      </c>
      <c r="BL309" s="12">
        <f>$AY$309*24</f>
        <v>0</v>
      </c>
      <c r="BM309" s="12">
        <f>$BJ$309*24</f>
        <v>0</v>
      </c>
      <c r="BN309" s="12">
        <f>VALUE($I$309)/100</f>
        <v>0.7</v>
      </c>
      <c r="BO309" s="12">
        <v>0</v>
      </c>
      <c r="BP309" s="12">
        <v>0</v>
      </c>
      <c r="BQ309" s="12">
        <v>0</v>
      </c>
      <c r="BR309" s="12">
        <v>0</v>
      </c>
      <c r="BS309" s="12">
        <v>0</v>
      </c>
      <c r="BT309" s="12">
        <v>0</v>
      </c>
      <c r="BU309" s="12">
        <v>0</v>
      </c>
      <c r="BV309" s="12">
        <v>0</v>
      </c>
      <c r="BW309" s="12">
        <v>0</v>
      </c>
      <c r="BX309" s="12">
        <v>0</v>
      </c>
      <c r="BY309" s="12">
        <v>0</v>
      </c>
      <c r="BZ309" s="12">
        <v>0</v>
      </c>
      <c r="CA309" s="12">
        <v>0</v>
      </c>
    </row>
    <row r="310" spans="1:79" hidden="1" x14ac:dyDescent="0.2">
      <c r="A310" s="12" t="s">
        <v>141</v>
      </c>
      <c r="B310" s="12" t="s">
        <v>145</v>
      </c>
      <c r="C310" s="12" t="s">
        <v>145</v>
      </c>
      <c r="D310" s="22" t="s">
        <v>553</v>
      </c>
      <c r="E310" s="22" t="s">
        <v>161</v>
      </c>
      <c r="F310" s="22" t="s">
        <v>1310</v>
      </c>
      <c r="G310" s="22" t="s">
        <v>1090</v>
      </c>
      <c r="H310" s="22" t="s">
        <v>150</v>
      </c>
      <c r="I310" s="22" t="s">
        <v>151</v>
      </c>
      <c r="J310" s="22" t="s">
        <v>162</v>
      </c>
      <c r="K310" s="22" t="s">
        <v>99</v>
      </c>
      <c r="L310" s="54" t="s">
        <v>153</v>
      </c>
      <c r="M310" s="23" t="s">
        <v>153</v>
      </c>
      <c r="N310" s="24" t="s">
        <v>153</v>
      </c>
      <c r="O310" s="23" t="s">
        <v>153</v>
      </c>
      <c r="P310" s="23" t="s">
        <v>153</v>
      </c>
      <c r="Q310" s="24" t="s">
        <v>156</v>
      </c>
      <c r="R310" s="24" t="s">
        <v>156</v>
      </c>
      <c r="S310" s="28" t="s">
        <v>163</v>
      </c>
      <c r="T310" s="28" t="s">
        <v>163</v>
      </c>
      <c r="U310" s="24" t="s">
        <v>153</v>
      </c>
      <c r="V310" s="54" t="s">
        <v>153</v>
      </c>
      <c r="W310" s="23" t="s">
        <v>153</v>
      </c>
      <c r="X310" s="23" t="s">
        <v>153</v>
      </c>
      <c r="Y310" s="23" t="s">
        <v>153</v>
      </c>
      <c r="Z310" s="23" t="s">
        <v>153</v>
      </c>
      <c r="AA310" s="23" t="s">
        <v>153</v>
      </c>
      <c r="AB310" s="24" t="s">
        <v>153</v>
      </c>
      <c r="AC310" s="23" t="s">
        <v>153</v>
      </c>
      <c r="AD310" s="23" t="s">
        <v>153</v>
      </c>
      <c r="AE310" s="23" t="s">
        <v>153</v>
      </c>
      <c r="AF310" s="23" t="s">
        <v>153</v>
      </c>
      <c r="AG310" s="23" t="s">
        <v>153</v>
      </c>
      <c r="AH310" s="23" t="s">
        <v>153</v>
      </c>
      <c r="AI310" s="24" t="s">
        <v>153</v>
      </c>
      <c r="AJ310" s="23" t="s">
        <v>153</v>
      </c>
      <c r="AK310" s="23" t="s">
        <v>153</v>
      </c>
      <c r="AL310" s="23" t="s">
        <v>153</v>
      </c>
      <c r="AM310" s="23" t="s">
        <v>153</v>
      </c>
      <c r="AN310" s="23" t="s">
        <v>153</v>
      </c>
      <c r="AO310" s="23" t="s">
        <v>153</v>
      </c>
      <c r="AP310" s="23">
        <f>VALUE(28)</f>
        <v>28</v>
      </c>
      <c r="AQ310" s="23">
        <f>VALUE(0)</f>
        <v>0</v>
      </c>
      <c r="AR310" s="23">
        <f>VALUE(0)</f>
        <v>0</v>
      </c>
      <c r="AS310" s="23">
        <f>VALUE(0)</f>
        <v>0</v>
      </c>
      <c r="AT310" s="23">
        <f>VALUE(0)</f>
        <v>0</v>
      </c>
      <c r="AU310" s="23">
        <f>VALUE(2)</f>
        <v>2</v>
      </c>
      <c r="AV310" s="23">
        <f>VALUE(2)</f>
        <v>2</v>
      </c>
      <c r="AW310" s="23">
        <f>VALUE(0)</f>
        <v>0</v>
      </c>
      <c r="AX310" s="23" t="s">
        <v>176</v>
      </c>
      <c r="AY310" s="23" t="s">
        <v>561</v>
      </c>
      <c r="AZ310" s="23">
        <f>VALUE(0)</f>
        <v>0</v>
      </c>
      <c r="BA310" s="23">
        <f>VALUE(0)</f>
        <v>0</v>
      </c>
      <c r="BB310" s="23">
        <f>VALUE(0)</f>
        <v>0</v>
      </c>
      <c r="BC310" s="23">
        <f>VALUE(0)</f>
        <v>0</v>
      </c>
      <c r="BD310" s="23">
        <f>VALUE(0)</f>
        <v>0</v>
      </c>
      <c r="BE310" s="23">
        <f>VALUE(0)</f>
        <v>0</v>
      </c>
      <c r="BF310" s="23">
        <f>VALUE(0)</f>
        <v>0</v>
      </c>
      <c r="BG310" s="23">
        <f>VALUE(0)</f>
        <v>0</v>
      </c>
      <c r="BH310" s="23">
        <f>VALUE(0)</f>
        <v>0</v>
      </c>
      <c r="BI310" s="23">
        <f>VALUE(0)</f>
        <v>0</v>
      </c>
      <c r="BJ310" s="23">
        <f>VALUE(0)</f>
        <v>0</v>
      </c>
      <c r="BK310" s="12">
        <f>$AX$310*24</f>
        <v>0</v>
      </c>
      <c r="BL310" s="12">
        <f>$AY$310*24</f>
        <v>7.0666666666666664</v>
      </c>
      <c r="BM310" s="12">
        <f>$BJ$310*24</f>
        <v>0</v>
      </c>
      <c r="BN310" s="12">
        <f>VALUE($I$310)/100</f>
        <v>1</v>
      </c>
      <c r="BO310" s="12">
        <v>0</v>
      </c>
      <c r="BP310" s="12">
        <v>0</v>
      </c>
      <c r="BQ310" s="12">
        <v>0</v>
      </c>
      <c r="BR310" s="12">
        <v>0</v>
      </c>
      <c r="BS310" s="12">
        <v>0</v>
      </c>
      <c r="BT310" s="12">
        <v>0</v>
      </c>
      <c r="BU310" s="12">
        <v>0</v>
      </c>
      <c r="BV310" s="12">
        <v>0</v>
      </c>
      <c r="BW310" s="12">
        <v>0</v>
      </c>
      <c r="BX310" s="12">
        <v>0</v>
      </c>
      <c r="BY310" s="12">
        <v>0</v>
      </c>
      <c r="BZ310" s="12">
        <v>0</v>
      </c>
      <c r="CA310" s="12">
        <v>0</v>
      </c>
    </row>
    <row r="311" spans="1:79" hidden="1" x14ac:dyDescent="0.2">
      <c r="A311" s="12" t="s">
        <v>141</v>
      </c>
      <c r="B311" s="12" t="s">
        <v>145</v>
      </c>
      <c r="C311" s="12" t="s">
        <v>145</v>
      </c>
      <c r="D311" s="22" t="s">
        <v>562</v>
      </c>
      <c r="E311" s="22" t="s">
        <v>161</v>
      </c>
      <c r="F311" s="22" t="s">
        <v>1091</v>
      </c>
      <c r="G311" s="22" t="s">
        <v>1092</v>
      </c>
      <c r="H311" s="22" t="s">
        <v>166</v>
      </c>
      <c r="I311" s="22" t="s">
        <v>194</v>
      </c>
      <c r="J311" s="22" t="s">
        <v>162</v>
      </c>
      <c r="K311" s="22" t="s">
        <v>99</v>
      </c>
      <c r="L311" s="54" t="s">
        <v>153</v>
      </c>
      <c r="M311" s="28" t="s">
        <v>163</v>
      </c>
      <c r="N311" s="24" t="s">
        <v>153</v>
      </c>
      <c r="O311" s="23" t="s">
        <v>153</v>
      </c>
      <c r="P311" s="23" t="s">
        <v>153</v>
      </c>
      <c r="Q311" s="23" t="s">
        <v>153</v>
      </c>
      <c r="R311" s="23" t="s">
        <v>153</v>
      </c>
      <c r="S311" s="23" t="s">
        <v>153</v>
      </c>
      <c r="T311" s="23" t="s">
        <v>153</v>
      </c>
      <c r="U311" s="24" t="s">
        <v>153</v>
      </c>
      <c r="V311" s="54" t="s">
        <v>153</v>
      </c>
      <c r="W311" s="24" t="s">
        <v>195</v>
      </c>
      <c r="X311" s="24" t="s">
        <v>195</v>
      </c>
      <c r="Y311" s="24" t="s">
        <v>195</v>
      </c>
      <c r="Z311" s="24" t="s">
        <v>195</v>
      </c>
      <c r="AA311" s="24" t="s">
        <v>195</v>
      </c>
      <c r="AB311" s="24" t="s">
        <v>153</v>
      </c>
      <c r="AC311" s="23" t="s">
        <v>153</v>
      </c>
      <c r="AD311" s="23" t="s">
        <v>153</v>
      </c>
      <c r="AE311" s="23" t="s">
        <v>153</v>
      </c>
      <c r="AF311" s="23" t="s">
        <v>153</v>
      </c>
      <c r="AG311" s="23" t="s">
        <v>153</v>
      </c>
      <c r="AH311" s="23" t="s">
        <v>153</v>
      </c>
      <c r="AI311" s="24" t="s">
        <v>153</v>
      </c>
      <c r="AJ311" s="23" t="s">
        <v>153</v>
      </c>
      <c r="AK311" s="23" t="s">
        <v>153</v>
      </c>
      <c r="AL311" s="23" t="s">
        <v>153</v>
      </c>
      <c r="AM311" s="23" t="s">
        <v>153</v>
      </c>
      <c r="AN311" s="23" t="s">
        <v>153</v>
      </c>
      <c r="AO311" s="23" t="s">
        <v>153</v>
      </c>
      <c r="AP311" s="23">
        <f>VALUE(24)</f>
        <v>24</v>
      </c>
      <c r="AQ311" s="23">
        <f>VALUE(0)</f>
        <v>0</v>
      </c>
      <c r="AR311" s="23">
        <f>VALUE(0)</f>
        <v>0</v>
      </c>
      <c r="AS311" s="23">
        <f>VALUE(0)</f>
        <v>0</v>
      </c>
      <c r="AT311" s="23">
        <f>VALUE(0)</f>
        <v>0</v>
      </c>
      <c r="AU311" s="23">
        <f>VALUE(1)</f>
        <v>1</v>
      </c>
      <c r="AV311" s="23">
        <f>VALUE(19)</f>
        <v>19</v>
      </c>
      <c r="AW311" s="23">
        <f>VALUE(0)</f>
        <v>0</v>
      </c>
      <c r="AX311" s="23" t="s">
        <v>1311</v>
      </c>
      <c r="AY311" s="23">
        <f>VALUE(0)</f>
        <v>0</v>
      </c>
      <c r="AZ311" s="23">
        <f>VALUE(0)</f>
        <v>0</v>
      </c>
      <c r="BA311" s="23">
        <f>VALUE(0)</f>
        <v>0</v>
      </c>
      <c r="BB311" s="23">
        <f>VALUE(0)</f>
        <v>0</v>
      </c>
      <c r="BC311" s="23">
        <f>VALUE(0)</f>
        <v>0</v>
      </c>
      <c r="BD311" s="23">
        <f>VALUE(0)</f>
        <v>0</v>
      </c>
      <c r="BE311" s="23">
        <f>VALUE(0)</f>
        <v>0</v>
      </c>
      <c r="BF311" s="23">
        <f>VALUE(0)</f>
        <v>0</v>
      </c>
      <c r="BG311" s="23">
        <f>VALUE(0)</f>
        <v>0</v>
      </c>
      <c r="BH311" s="23">
        <f>VALUE(0)</f>
        <v>0</v>
      </c>
      <c r="BI311" s="23">
        <f>VALUE(0)</f>
        <v>0</v>
      </c>
      <c r="BJ311" s="23">
        <f>VALUE(0)</f>
        <v>0</v>
      </c>
      <c r="BK311" s="12">
        <f>$AX$311*24</f>
        <v>10.9</v>
      </c>
      <c r="BL311" s="12">
        <f>$AY$311*24</f>
        <v>0</v>
      </c>
      <c r="BM311" s="12">
        <f>$BJ$311*24</f>
        <v>0</v>
      </c>
      <c r="BN311" s="12">
        <f>VALUE($I$311)/100</f>
        <v>0.8</v>
      </c>
      <c r="BO311" s="12">
        <v>0</v>
      </c>
      <c r="BP311" s="12">
        <v>0</v>
      </c>
      <c r="BQ311" s="12">
        <v>0</v>
      </c>
      <c r="BR311" s="12">
        <v>0</v>
      </c>
      <c r="BS311" s="12">
        <v>0</v>
      </c>
      <c r="BT311" s="12">
        <v>0</v>
      </c>
      <c r="BU311" s="12">
        <v>0</v>
      </c>
      <c r="BV311" s="12">
        <v>0</v>
      </c>
      <c r="BW311" s="12">
        <v>0</v>
      </c>
      <c r="BX311" s="12">
        <v>0</v>
      </c>
      <c r="BY311" s="12">
        <v>0</v>
      </c>
      <c r="BZ311" s="12">
        <v>0</v>
      </c>
      <c r="CA311" s="12">
        <v>0</v>
      </c>
    </row>
    <row r="312" spans="1:79" hidden="1" x14ac:dyDescent="0.2">
      <c r="A312" s="12" t="s">
        <v>141</v>
      </c>
      <c r="B312" s="12" t="s">
        <v>145</v>
      </c>
      <c r="C312" s="12" t="s">
        <v>145</v>
      </c>
      <c r="D312" s="22" t="s">
        <v>558</v>
      </c>
      <c r="E312" s="22" t="s">
        <v>161</v>
      </c>
      <c r="F312" s="22" t="s">
        <v>1093</v>
      </c>
      <c r="G312" s="22" t="s">
        <v>1094</v>
      </c>
      <c r="H312" s="22" t="s">
        <v>150</v>
      </c>
      <c r="I312" s="22" t="s">
        <v>563</v>
      </c>
      <c r="J312" s="22" t="s">
        <v>162</v>
      </c>
      <c r="K312" s="22" t="s">
        <v>99</v>
      </c>
      <c r="L312" s="54" t="s">
        <v>153</v>
      </c>
      <c r="M312" s="23" t="s">
        <v>153</v>
      </c>
      <c r="N312" s="24" t="s">
        <v>153</v>
      </c>
      <c r="O312" s="24" t="s">
        <v>156</v>
      </c>
      <c r="P312" s="24" t="s">
        <v>156</v>
      </c>
      <c r="Q312" s="23" t="s">
        <v>153</v>
      </c>
      <c r="R312" s="23" t="s">
        <v>153</v>
      </c>
      <c r="S312" s="23" t="s">
        <v>153</v>
      </c>
      <c r="T312" s="23" t="s">
        <v>153</v>
      </c>
      <c r="U312" s="24" t="s">
        <v>153</v>
      </c>
      <c r="V312" s="54" t="s">
        <v>153</v>
      </c>
      <c r="W312" s="23" t="s">
        <v>153</v>
      </c>
      <c r="X312" s="23" t="s">
        <v>153</v>
      </c>
      <c r="Y312" s="23" t="s">
        <v>153</v>
      </c>
      <c r="Z312" s="23" t="s">
        <v>153</v>
      </c>
      <c r="AA312" s="23" t="s">
        <v>153</v>
      </c>
      <c r="AB312" s="24" t="s">
        <v>153</v>
      </c>
      <c r="AC312" s="23" t="s">
        <v>153</v>
      </c>
      <c r="AD312" s="23" t="s">
        <v>153</v>
      </c>
      <c r="AE312" s="23" t="s">
        <v>153</v>
      </c>
      <c r="AF312" s="23" t="s">
        <v>153</v>
      </c>
      <c r="AG312" s="23" t="s">
        <v>153</v>
      </c>
      <c r="AH312" s="23" t="s">
        <v>153</v>
      </c>
      <c r="AI312" s="24" t="s">
        <v>153</v>
      </c>
      <c r="AJ312" s="24" t="s">
        <v>195</v>
      </c>
      <c r="AK312" s="24" t="s">
        <v>195</v>
      </c>
      <c r="AL312" s="24" t="s">
        <v>195</v>
      </c>
      <c r="AM312" s="24" t="s">
        <v>195</v>
      </c>
      <c r="AN312" s="24" t="s">
        <v>195</v>
      </c>
      <c r="AO312" s="24" t="s">
        <v>195</v>
      </c>
      <c r="AP312" s="23">
        <f>VALUE(28)</f>
        <v>28</v>
      </c>
      <c r="AQ312" s="23">
        <f>VALUE(0)</f>
        <v>0</v>
      </c>
      <c r="AR312" s="23">
        <f>VALUE(0)</f>
        <v>0</v>
      </c>
      <c r="AS312" s="23">
        <f>VALUE(0)</f>
        <v>0</v>
      </c>
      <c r="AT312" s="23">
        <f>VALUE(0)</f>
        <v>0</v>
      </c>
      <c r="AU312" s="23">
        <f>VALUE(0)</f>
        <v>0</v>
      </c>
      <c r="AV312" s="23">
        <f>VALUE(0)</f>
        <v>0</v>
      </c>
      <c r="AW312" s="23">
        <f>VALUE(0)</f>
        <v>0</v>
      </c>
      <c r="AX312" s="23" t="s">
        <v>564</v>
      </c>
      <c r="AY312" s="23">
        <f>VALUE(0)</f>
        <v>0</v>
      </c>
      <c r="AZ312" s="23">
        <f>VALUE(0)</f>
        <v>0</v>
      </c>
      <c r="BA312" s="23">
        <f>VALUE(0)</f>
        <v>0</v>
      </c>
      <c r="BB312" s="23">
        <f>VALUE(0)</f>
        <v>0</v>
      </c>
      <c r="BC312" s="23">
        <f>VALUE(0)</f>
        <v>0</v>
      </c>
      <c r="BD312" s="23">
        <f>VALUE(0)</f>
        <v>0</v>
      </c>
      <c r="BE312" s="23">
        <f>VALUE(0)</f>
        <v>0</v>
      </c>
      <c r="BF312" s="23">
        <f>VALUE(0)</f>
        <v>0</v>
      </c>
      <c r="BG312" s="23">
        <f>VALUE(0)</f>
        <v>0</v>
      </c>
      <c r="BH312" s="23">
        <f>VALUE(0)</f>
        <v>0</v>
      </c>
      <c r="BI312" s="23">
        <f>VALUE(0)</f>
        <v>0</v>
      </c>
      <c r="BJ312" s="23">
        <f>VALUE(0)</f>
        <v>0</v>
      </c>
      <c r="BK312" s="12">
        <f>$AX$312*24</f>
        <v>5.8</v>
      </c>
      <c r="BL312" s="12">
        <f>$AY$312*24</f>
        <v>0</v>
      </c>
      <c r="BM312" s="12">
        <f>$BJ$312*24</f>
        <v>0</v>
      </c>
      <c r="BN312" s="12">
        <f>VALUE($I$312)/100</f>
        <v>0.77</v>
      </c>
      <c r="BO312" s="12">
        <v>0</v>
      </c>
      <c r="BP312" s="12">
        <v>0</v>
      </c>
      <c r="BQ312" s="12">
        <v>0</v>
      </c>
      <c r="BR312" s="12">
        <v>0</v>
      </c>
      <c r="BS312" s="12">
        <v>0</v>
      </c>
      <c r="BT312" s="12">
        <v>0</v>
      </c>
      <c r="BU312" s="12">
        <v>0</v>
      </c>
      <c r="BV312" s="12">
        <v>0</v>
      </c>
      <c r="BW312" s="12">
        <v>0</v>
      </c>
      <c r="BX312" s="12">
        <v>0</v>
      </c>
      <c r="BY312" s="12">
        <v>0</v>
      </c>
      <c r="BZ312" s="12">
        <v>0</v>
      </c>
      <c r="CA312" s="12">
        <v>0</v>
      </c>
    </row>
    <row r="313" spans="1:79" hidden="1" x14ac:dyDescent="0.2">
      <c r="A313" s="12" t="s">
        <v>141</v>
      </c>
      <c r="B313" s="12" t="s">
        <v>145</v>
      </c>
      <c r="C313" s="12" t="s">
        <v>145</v>
      </c>
      <c r="D313" s="22" t="s">
        <v>558</v>
      </c>
      <c r="E313" s="22" t="s">
        <v>161</v>
      </c>
      <c r="F313" s="22" t="s">
        <v>1095</v>
      </c>
      <c r="G313" s="22" t="s">
        <v>1096</v>
      </c>
      <c r="H313" s="22" t="s">
        <v>150</v>
      </c>
      <c r="I313" s="22" t="s">
        <v>151</v>
      </c>
      <c r="J313" s="22" t="s">
        <v>162</v>
      </c>
      <c r="K313" s="22" t="s">
        <v>99</v>
      </c>
      <c r="L313" s="54" t="s">
        <v>153</v>
      </c>
      <c r="M313" s="23" t="s">
        <v>554</v>
      </c>
      <c r="N313" s="24" t="s">
        <v>153</v>
      </c>
      <c r="O313" s="23" t="s">
        <v>554</v>
      </c>
      <c r="P313" s="23" t="s">
        <v>554</v>
      </c>
      <c r="Q313" s="23" t="s">
        <v>554</v>
      </c>
      <c r="R313" s="23" t="s">
        <v>554</v>
      </c>
      <c r="S313" s="23" t="s">
        <v>554</v>
      </c>
      <c r="T313" s="23" t="s">
        <v>554</v>
      </c>
      <c r="U313" s="24" t="s">
        <v>153</v>
      </c>
      <c r="V313" s="54" t="s">
        <v>153</v>
      </c>
      <c r="W313" s="23" t="s">
        <v>554</v>
      </c>
      <c r="X313" s="23" t="s">
        <v>554</v>
      </c>
      <c r="Y313" s="23" t="s">
        <v>554</v>
      </c>
      <c r="Z313" s="23" t="s">
        <v>554</v>
      </c>
      <c r="AA313" s="23" t="s">
        <v>554</v>
      </c>
      <c r="AB313" s="24" t="s">
        <v>153</v>
      </c>
      <c r="AC313" s="23" t="s">
        <v>554</v>
      </c>
      <c r="AD313" s="23" t="s">
        <v>554</v>
      </c>
      <c r="AE313" s="23" t="s">
        <v>554</v>
      </c>
      <c r="AF313" s="23" t="s">
        <v>554</v>
      </c>
      <c r="AG313" s="23" t="s">
        <v>554</v>
      </c>
      <c r="AH313" s="23" t="s">
        <v>554</v>
      </c>
      <c r="AI313" s="24" t="s">
        <v>153</v>
      </c>
      <c r="AJ313" s="24" t="s">
        <v>156</v>
      </c>
      <c r="AK313" s="24" t="s">
        <v>156</v>
      </c>
      <c r="AL313" s="23" t="s">
        <v>554</v>
      </c>
      <c r="AM313" s="23" t="s">
        <v>554</v>
      </c>
      <c r="AN313" s="28" t="s">
        <v>163</v>
      </c>
      <c r="AO313" s="28" t="s">
        <v>163</v>
      </c>
      <c r="AP313" s="23">
        <f>VALUE(25)</f>
        <v>25</v>
      </c>
      <c r="AQ313" s="23">
        <f>VALUE(0)</f>
        <v>0</v>
      </c>
      <c r="AR313" s="23">
        <f>VALUE(0)</f>
        <v>0</v>
      </c>
      <c r="AS313" s="23">
        <f>VALUE(0)</f>
        <v>0</v>
      </c>
      <c r="AT313" s="23">
        <f>VALUE(0)</f>
        <v>0</v>
      </c>
      <c r="AU313" s="23">
        <f>VALUE(2)</f>
        <v>2</v>
      </c>
      <c r="AV313" s="23">
        <f>VALUE(3)</f>
        <v>3</v>
      </c>
      <c r="AW313" s="23">
        <f>VALUE(0)</f>
        <v>0</v>
      </c>
      <c r="AX313" s="23" t="s">
        <v>176</v>
      </c>
      <c r="AY313" s="23" t="s">
        <v>565</v>
      </c>
      <c r="AZ313" s="23">
        <f>VALUE(0)</f>
        <v>0</v>
      </c>
      <c r="BA313" s="23">
        <f>VALUE(0)</f>
        <v>0</v>
      </c>
      <c r="BB313" s="23">
        <f>VALUE(0)</f>
        <v>0</v>
      </c>
      <c r="BC313" s="23">
        <f>VALUE(0)</f>
        <v>0</v>
      </c>
      <c r="BD313" s="23">
        <f>VALUE(0)</f>
        <v>0</v>
      </c>
      <c r="BE313" s="23">
        <f>VALUE(0)</f>
        <v>0</v>
      </c>
      <c r="BF313" s="23">
        <f>VALUE(0)</f>
        <v>0</v>
      </c>
      <c r="BG313" s="23">
        <f>VALUE(0)</f>
        <v>0</v>
      </c>
      <c r="BH313" s="23">
        <f>VALUE(0)</f>
        <v>0</v>
      </c>
      <c r="BI313" s="23">
        <f>VALUE(0)</f>
        <v>0</v>
      </c>
      <c r="BJ313" s="23">
        <f>VALUE(0)</f>
        <v>0</v>
      </c>
      <c r="BK313" s="12">
        <f>$AX$313*24</f>
        <v>0</v>
      </c>
      <c r="BL313" s="12">
        <f>$AY$313*24</f>
        <v>24.6</v>
      </c>
      <c r="BM313" s="12">
        <f>$BJ$313*24</f>
        <v>0</v>
      </c>
      <c r="BN313" s="12">
        <f>VALUE($I$313)/100</f>
        <v>1</v>
      </c>
      <c r="BO313" s="12">
        <v>0</v>
      </c>
      <c r="BP313" s="12">
        <v>0</v>
      </c>
      <c r="BQ313" s="12">
        <v>0</v>
      </c>
      <c r="BR313" s="12">
        <v>0</v>
      </c>
      <c r="BS313" s="12">
        <v>0</v>
      </c>
      <c r="BT313" s="12">
        <v>0</v>
      </c>
      <c r="BU313" s="12">
        <v>0</v>
      </c>
      <c r="BV313" s="12">
        <v>0</v>
      </c>
      <c r="BW313" s="12">
        <v>0</v>
      </c>
      <c r="BX313" s="12">
        <v>0</v>
      </c>
      <c r="BY313" s="12">
        <v>0</v>
      </c>
      <c r="BZ313" s="12">
        <v>0</v>
      </c>
      <c r="CA313" s="12">
        <v>0</v>
      </c>
    </row>
    <row r="314" spans="1:79" hidden="1" x14ac:dyDescent="0.2">
      <c r="A314" s="12" t="s">
        <v>141</v>
      </c>
      <c r="B314" s="12" t="s">
        <v>145</v>
      </c>
      <c r="C314" s="12" t="s">
        <v>145</v>
      </c>
      <c r="D314" s="22" t="s">
        <v>552</v>
      </c>
      <c r="E314" s="22" t="s">
        <v>161</v>
      </c>
      <c r="F314" s="22" t="s">
        <v>1097</v>
      </c>
      <c r="G314" s="22" t="s">
        <v>1098</v>
      </c>
      <c r="H314" s="22" t="s">
        <v>150</v>
      </c>
      <c r="I314" s="22" t="s">
        <v>566</v>
      </c>
      <c r="J314" s="22" t="s">
        <v>162</v>
      </c>
      <c r="K314" s="22" t="s">
        <v>99</v>
      </c>
      <c r="L314" s="54" t="s">
        <v>153</v>
      </c>
      <c r="M314" s="23" t="s">
        <v>153</v>
      </c>
      <c r="N314" s="24" t="s">
        <v>153</v>
      </c>
      <c r="O314" s="23" t="s">
        <v>153</v>
      </c>
      <c r="P314" s="23" t="s">
        <v>153</v>
      </c>
      <c r="Q314" s="23" t="s">
        <v>153</v>
      </c>
      <c r="R314" s="23" t="s">
        <v>153</v>
      </c>
      <c r="S314" s="23" t="s">
        <v>153</v>
      </c>
      <c r="T314" s="23" t="s">
        <v>153</v>
      </c>
      <c r="U314" s="24" t="s">
        <v>153</v>
      </c>
      <c r="V314" s="54" t="s">
        <v>153</v>
      </c>
      <c r="W314" s="23" t="s">
        <v>153</v>
      </c>
      <c r="X314" s="23" t="s">
        <v>153</v>
      </c>
      <c r="Y314" s="23" t="s">
        <v>153</v>
      </c>
      <c r="Z314" s="24" t="s">
        <v>156</v>
      </c>
      <c r="AA314" s="24" t="s">
        <v>156</v>
      </c>
      <c r="AB314" s="24" t="s">
        <v>153</v>
      </c>
      <c r="AC314" s="24" t="s">
        <v>195</v>
      </c>
      <c r="AD314" s="24" t="s">
        <v>195</v>
      </c>
      <c r="AE314" s="24" t="s">
        <v>195</v>
      </c>
      <c r="AF314" s="24" t="s">
        <v>195</v>
      </c>
      <c r="AG314" s="24" t="s">
        <v>195</v>
      </c>
      <c r="AH314" s="24" t="s">
        <v>195</v>
      </c>
      <c r="AI314" s="24" t="s">
        <v>153</v>
      </c>
      <c r="AJ314" s="23" t="s">
        <v>153</v>
      </c>
      <c r="AK314" s="23" t="s">
        <v>153</v>
      </c>
      <c r="AL314" s="23" t="s">
        <v>153</v>
      </c>
      <c r="AM314" s="23" t="s">
        <v>153</v>
      </c>
      <c r="AN314" s="23" t="s">
        <v>153</v>
      </c>
      <c r="AO314" s="23" t="s">
        <v>153</v>
      </c>
      <c r="AP314" s="23">
        <f>VALUE(22)</f>
        <v>22</v>
      </c>
      <c r="AQ314" s="23">
        <f>VALUE(0)</f>
        <v>0</v>
      </c>
      <c r="AR314" s="23">
        <f>VALUE(0)</f>
        <v>0</v>
      </c>
      <c r="AS314" s="23">
        <f>VALUE(0)</f>
        <v>0</v>
      </c>
      <c r="AT314" s="23">
        <f>VALUE(0)</f>
        <v>0</v>
      </c>
      <c r="AU314" s="23">
        <f>VALUE(0)</f>
        <v>0</v>
      </c>
      <c r="AV314" s="23">
        <f>VALUE(6)</f>
        <v>6</v>
      </c>
      <c r="AW314" s="23">
        <f>VALUE(2)</f>
        <v>2</v>
      </c>
      <c r="AX314" s="23" t="s">
        <v>567</v>
      </c>
      <c r="AY314" s="23" t="s">
        <v>485</v>
      </c>
      <c r="AZ314" s="23">
        <f>VALUE(0)</f>
        <v>0</v>
      </c>
      <c r="BA314" s="23">
        <f>VALUE(0)</f>
        <v>0</v>
      </c>
      <c r="BB314" s="23">
        <f>VALUE(0)</f>
        <v>0</v>
      </c>
      <c r="BC314" s="23">
        <f>VALUE(0)</f>
        <v>0</v>
      </c>
      <c r="BD314" s="23">
        <f>VALUE(0)</f>
        <v>0</v>
      </c>
      <c r="BE314" s="23">
        <f>VALUE(0)</f>
        <v>0</v>
      </c>
      <c r="BF314" s="23">
        <f>VALUE(0)</f>
        <v>0</v>
      </c>
      <c r="BG314" s="23">
        <f>VALUE(0)</f>
        <v>0</v>
      </c>
      <c r="BH314" s="23">
        <f>VALUE(0)</f>
        <v>0</v>
      </c>
      <c r="BI314" s="23">
        <f>VALUE(0)</f>
        <v>0</v>
      </c>
      <c r="BJ314" s="23">
        <f>VALUE(0)</f>
        <v>0</v>
      </c>
      <c r="BK314" s="12">
        <f>$AX$314*24</f>
        <v>2.5833333333333335</v>
      </c>
      <c r="BL314" s="12">
        <f>$AY$314*24</f>
        <v>3.8333333333333339</v>
      </c>
      <c r="BM314" s="12">
        <f>$BJ$314*24</f>
        <v>0</v>
      </c>
      <c r="BN314" s="12">
        <f>VALUE($I$314)/100</f>
        <v>0.76</v>
      </c>
      <c r="BO314" s="12">
        <v>0</v>
      </c>
      <c r="BP314" s="12">
        <v>0</v>
      </c>
      <c r="BQ314" s="12">
        <v>0</v>
      </c>
      <c r="BR314" s="12">
        <v>0</v>
      </c>
      <c r="BS314" s="12">
        <v>0</v>
      </c>
      <c r="BT314" s="12">
        <v>0</v>
      </c>
      <c r="BU314" s="12">
        <v>0</v>
      </c>
      <c r="BV314" s="12">
        <v>0</v>
      </c>
      <c r="BW314" s="12">
        <v>0</v>
      </c>
      <c r="BX314" s="12">
        <v>0</v>
      </c>
      <c r="BY314" s="12">
        <v>0</v>
      </c>
      <c r="BZ314" s="12">
        <v>0</v>
      </c>
      <c r="CA314" s="12">
        <v>0</v>
      </c>
    </row>
    <row r="315" spans="1:79" hidden="1" x14ac:dyDescent="0.2">
      <c r="A315" s="12" t="s">
        <v>141</v>
      </c>
      <c r="B315" s="12" t="s">
        <v>145</v>
      </c>
      <c r="C315" s="12" t="s">
        <v>145</v>
      </c>
      <c r="D315" s="22" t="s">
        <v>568</v>
      </c>
      <c r="E315" s="22" t="s">
        <v>161</v>
      </c>
      <c r="F315" s="22" t="s">
        <v>1099</v>
      </c>
      <c r="G315" s="22" t="s">
        <v>1100</v>
      </c>
      <c r="H315" s="22" t="s">
        <v>166</v>
      </c>
      <c r="I315" s="22" t="s">
        <v>151</v>
      </c>
      <c r="J315" s="22" t="s">
        <v>162</v>
      </c>
      <c r="K315" s="22" t="s">
        <v>99</v>
      </c>
      <c r="L315" s="54" t="s">
        <v>153</v>
      </c>
      <c r="M315" s="23" t="s">
        <v>153</v>
      </c>
      <c r="N315" s="24" t="s">
        <v>153</v>
      </c>
      <c r="O315" s="23" t="s">
        <v>153</v>
      </c>
      <c r="P315" s="23" t="s">
        <v>153</v>
      </c>
      <c r="Q315" s="23" t="s">
        <v>153</v>
      </c>
      <c r="R315" s="23" t="s">
        <v>153</v>
      </c>
      <c r="S315" s="24" t="s">
        <v>156</v>
      </c>
      <c r="T315" s="24" t="s">
        <v>156</v>
      </c>
      <c r="U315" s="24" t="s">
        <v>153</v>
      </c>
      <c r="V315" s="54" t="s">
        <v>153</v>
      </c>
      <c r="W315" s="23" t="s">
        <v>153</v>
      </c>
      <c r="X315" s="23" t="s">
        <v>153</v>
      </c>
      <c r="Y315" s="23" t="s">
        <v>153</v>
      </c>
      <c r="Z315" s="23" t="s">
        <v>153</v>
      </c>
      <c r="AA315" s="23" t="s">
        <v>153</v>
      </c>
      <c r="AB315" s="24" t="s">
        <v>153</v>
      </c>
      <c r="AC315" s="28" t="s">
        <v>163</v>
      </c>
      <c r="AD315" s="28" t="s">
        <v>163</v>
      </c>
      <c r="AE315" s="28" t="s">
        <v>163</v>
      </c>
      <c r="AF315" s="28" t="s">
        <v>163</v>
      </c>
      <c r="AG315" s="28" t="s">
        <v>163</v>
      </c>
      <c r="AH315" s="28" t="s">
        <v>163</v>
      </c>
      <c r="AI315" s="24" t="s">
        <v>153</v>
      </c>
      <c r="AJ315" s="28" t="s">
        <v>163</v>
      </c>
      <c r="AK315" s="28" t="s">
        <v>163</v>
      </c>
      <c r="AL315" s="28" t="s">
        <v>163</v>
      </c>
      <c r="AM315" s="28" t="s">
        <v>163</v>
      </c>
      <c r="AN315" s="28" t="s">
        <v>163</v>
      </c>
      <c r="AO315" s="28" t="s">
        <v>163</v>
      </c>
      <c r="AP315" s="23">
        <f>VALUE(0)</f>
        <v>0</v>
      </c>
      <c r="AQ315" s="23">
        <f>VALUE(0)</f>
        <v>0</v>
      </c>
      <c r="AR315" s="23">
        <f>VALUE(0)</f>
        <v>0</v>
      </c>
      <c r="AS315" s="23">
        <f>VALUE(0)</f>
        <v>0</v>
      </c>
      <c r="AT315" s="23">
        <f>VALUE(0)</f>
        <v>0</v>
      </c>
      <c r="AU315" s="23">
        <f>VALUE(12)</f>
        <v>12</v>
      </c>
      <c r="AV315" s="23">
        <f>VALUE(9)</f>
        <v>9</v>
      </c>
      <c r="AW315" s="23">
        <f>VALUE(0)</f>
        <v>0</v>
      </c>
      <c r="AX315" s="23" t="s">
        <v>569</v>
      </c>
      <c r="AY315" s="23">
        <f>VALUE(0)</f>
        <v>0</v>
      </c>
      <c r="AZ315" s="23">
        <f>VALUE(0)</f>
        <v>0</v>
      </c>
      <c r="BA315" s="23">
        <f>VALUE(0)</f>
        <v>0</v>
      </c>
      <c r="BB315" s="23">
        <f>VALUE(0)</f>
        <v>0</v>
      </c>
      <c r="BC315" s="23">
        <f>VALUE(0)</f>
        <v>0</v>
      </c>
      <c r="BD315" s="23">
        <f>VALUE(0)</f>
        <v>0</v>
      </c>
      <c r="BE315" s="23">
        <f>VALUE(0)</f>
        <v>0</v>
      </c>
      <c r="BF315" s="23">
        <f>VALUE(0)</f>
        <v>0</v>
      </c>
      <c r="BG315" s="23">
        <f>VALUE(0)</f>
        <v>0</v>
      </c>
      <c r="BH315" s="23">
        <f>VALUE(0)</f>
        <v>0</v>
      </c>
      <c r="BI315" s="23">
        <f>VALUE(0)</f>
        <v>0</v>
      </c>
      <c r="BJ315" s="23">
        <f>VALUE(0)</f>
        <v>0</v>
      </c>
      <c r="BK315" s="12">
        <f>$AX$315*24</f>
        <v>7.2833333333333332</v>
      </c>
      <c r="BL315" s="12">
        <f>$AY$315*24</f>
        <v>0</v>
      </c>
      <c r="BM315" s="12">
        <f>$BJ$315*24</f>
        <v>0</v>
      </c>
      <c r="BN315" s="12">
        <f>VALUE($I$315)/100</f>
        <v>1</v>
      </c>
      <c r="BO315" s="12">
        <v>0</v>
      </c>
      <c r="BP315" s="12">
        <v>0</v>
      </c>
      <c r="BQ315" s="12">
        <v>0</v>
      </c>
      <c r="BR315" s="12">
        <v>0</v>
      </c>
      <c r="BS315" s="12">
        <v>0</v>
      </c>
      <c r="BT315" s="12">
        <v>0</v>
      </c>
      <c r="BU315" s="12">
        <v>0</v>
      </c>
      <c r="BV315" s="12">
        <v>0</v>
      </c>
      <c r="BW315" s="12">
        <v>0</v>
      </c>
      <c r="BX315" s="12">
        <v>0</v>
      </c>
      <c r="BY315" s="12">
        <v>0</v>
      </c>
      <c r="BZ315" s="12">
        <v>0</v>
      </c>
      <c r="CA315" s="12">
        <v>0</v>
      </c>
    </row>
    <row r="316" spans="1:79" hidden="1" x14ac:dyDescent="0.2">
      <c r="A316" s="12" t="s">
        <v>141</v>
      </c>
      <c r="B316" s="12" t="s">
        <v>145</v>
      </c>
      <c r="C316" s="12" t="s">
        <v>145</v>
      </c>
      <c r="D316" s="22" t="s">
        <v>1267</v>
      </c>
      <c r="E316" s="22" t="s">
        <v>173</v>
      </c>
      <c r="F316" s="22" t="s">
        <v>1101</v>
      </c>
      <c r="G316" s="22" t="s">
        <v>1102</v>
      </c>
      <c r="H316" s="22" t="s">
        <v>150</v>
      </c>
      <c r="I316" s="22" t="s">
        <v>151</v>
      </c>
      <c r="J316" s="22" t="s">
        <v>162</v>
      </c>
      <c r="K316" s="22" t="s">
        <v>99</v>
      </c>
      <c r="L316" s="54" t="s">
        <v>153</v>
      </c>
      <c r="M316" s="27" t="s">
        <v>153</v>
      </c>
      <c r="N316" s="27" t="s">
        <v>153</v>
      </c>
      <c r="O316" s="27" t="s">
        <v>153</v>
      </c>
      <c r="P316" s="27" t="s">
        <v>153</v>
      </c>
      <c r="Q316" s="27" t="s">
        <v>153</v>
      </c>
      <c r="R316" s="27" t="s">
        <v>153</v>
      </c>
      <c r="S316" s="27" t="s">
        <v>153</v>
      </c>
      <c r="T316" s="27" t="s">
        <v>153</v>
      </c>
      <c r="U316" s="27" t="s">
        <v>153</v>
      </c>
      <c r="V316" s="54" t="s">
        <v>153</v>
      </c>
      <c r="W316" s="27" t="s">
        <v>153</v>
      </c>
      <c r="X316" s="27" t="s">
        <v>153</v>
      </c>
      <c r="Y316" s="27" t="s">
        <v>153</v>
      </c>
      <c r="Z316" s="27" t="s">
        <v>153</v>
      </c>
      <c r="AA316" s="27" t="s">
        <v>153</v>
      </c>
      <c r="AB316" s="27" t="s">
        <v>153</v>
      </c>
      <c r="AC316" s="27" t="s">
        <v>153</v>
      </c>
      <c r="AD316" s="27" t="s">
        <v>153</v>
      </c>
      <c r="AE316" s="27" t="s">
        <v>153</v>
      </c>
      <c r="AF316" s="27" t="s">
        <v>153</v>
      </c>
      <c r="AG316" s="27" t="s">
        <v>153</v>
      </c>
      <c r="AH316" s="27" t="s">
        <v>153</v>
      </c>
      <c r="AI316" s="27" t="s">
        <v>153</v>
      </c>
      <c r="AJ316" s="27" t="s">
        <v>153</v>
      </c>
      <c r="AK316" s="27" t="s">
        <v>153</v>
      </c>
      <c r="AL316" s="27" t="s">
        <v>153</v>
      </c>
      <c r="AM316" s="27" t="s">
        <v>153</v>
      </c>
      <c r="AN316" s="27" t="s">
        <v>153</v>
      </c>
      <c r="AO316" s="27" t="s">
        <v>153</v>
      </c>
      <c r="AP316" s="23">
        <f>VALUE(0)</f>
        <v>0</v>
      </c>
      <c r="AQ316" s="23">
        <f>VALUE(0)</f>
        <v>0</v>
      </c>
      <c r="AR316" s="23">
        <f>VALUE(0)</f>
        <v>0</v>
      </c>
      <c r="AS316" s="23">
        <f>VALUE(0)</f>
        <v>0</v>
      </c>
      <c r="AT316" s="23">
        <f>VALUE(0)</f>
        <v>0</v>
      </c>
      <c r="AU316" s="23">
        <f>VALUE(0)</f>
        <v>0</v>
      </c>
      <c r="AV316" s="23">
        <f>VALUE(0)</f>
        <v>0</v>
      </c>
      <c r="AW316" s="23">
        <f>VALUE(0)</f>
        <v>0</v>
      </c>
      <c r="AX316" s="23">
        <f>VALUE(0)</f>
        <v>0</v>
      </c>
      <c r="AY316" s="23">
        <f>VALUE(0)</f>
        <v>0</v>
      </c>
      <c r="AZ316" s="23">
        <f>VALUE(0)</f>
        <v>0</v>
      </c>
      <c r="BA316" s="23">
        <f>VALUE(0)</f>
        <v>0</v>
      </c>
      <c r="BB316" s="23">
        <f>VALUE(0)</f>
        <v>0</v>
      </c>
      <c r="BC316" s="23">
        <f>VALUE(0)</f>
        <v>0</v>
      </c>
      <c r="BD316" s="23">
        <f>VALUE(0)</f>
        <v>0</v>
      </c>
      <c r="BE316" s="23">
        <f>VALUE(0)</f>
        <v>0</v>
      </c>
      <c r="BF316" s="23">
        <f>VALUE(0)</f>
        <v>0</v>
      </c>
      <c r="BG316" s="23">
        <f>VALUE(0)</f>
        <v>0</v>
      </c>
      <c r="BH316" s="23">
        <f>VALUE(0)</f>
        <v>0</v>
      </c>
      <c r="BI316" s="23">
        <f>VALUE(0)</f>
        <v>0</v>
      </c>
      <c r="BJ316" s="23">
        <f>VALUE(0)</f>
        <v>0</v>
      </c>
      <c r="BK316" s="12">
        <f>$AX$316*24</f>
        <v>0</v>
      </c>
      <c r="BL316" s="12">
        <f>$AY$316*24</f>
        <v>0</v>
      </c>
      <c r="BM316" s="12">
        <f>$BJ$316*24</f>
        <v>0</v>
      </c>
      <c r="BN316" s="12">
        <f>VALUE($I$316)/100</f>
        <v>1</v>
      </c>
      <c r="BO316" s="12">
        <v>0</v>
      </c>
      <c r="BP316" s="12">
        <v>0</v>
      </c>
      <c r="BQ316" s="12">
        <v>0</v>
      </c>
      <c r="BR316" s="12">
        <v>0</v>
      </c>
      <c r="BS316" s="12">
        <v>0</v>
      </c>
      <c r="BT316" s="12">
        <v>0</v>
      </c>
      <c r="BU316" s="12">
        <v>0</v>
      </c>
      <c r="BV316" s="12">
        <v>0</v>
      </c>
      <c r="BW316" s="12">
        <v>0</v>
      </c>
      <c r="BX316" s="12">
        <v>0</v>
      </c>
      <c r="BY316" s="12">
        <v>0</v>
      </c>
      <c r="BZ316" s="12">
        <v>0</v>
      </c>
      <c r="CA316" s="12">
        <v>0</v>
      </c>
    </row>
    <row r="317" spans="1:79" ht="16.5" hidden="1" x14ac:dyDescent="0.2">
      <c r="A317" s="12" t="s">
        <v>141</v>
      </c>
      <c r="B317" s="12" t="s">
        <v>145</v>
      </c>
      <c r="C317" s="12" t="s">
        <v>145</v>
      </c>
      <c r="D317" s="22" t="s">
        <v>570</v>
      </c>
      <c r="E317" s="22" t="s">
        <v>161</v>
      </c>
      <c r="F317" s="22" t="s">
        <v>1103</v>
      </c>
      <c r="G317" s="22" t="s">
        <v>1104</v>
      </c>
      <c r="H317" s="22" t="s">
        <v>150</v>
      </c>
      <c r="I317" s="22" t="s">
        <v>151</v>
      </c>
      <c r="J317" s="22" t="s">
        <v>162</v>
      </c>
      <c r="K317" s="22" t="s">
        <v>99</v>
      </c>
      <c r="L317" s="54" t="s">
        <v>156</v>
      </c>
      <c r="M317" s="24" t="s">
        <v>156</v>
      </c>
      <c r="N317" s="24" t="s">
        <v>153</v>
      </c>
      <c r="O317" s="26" t="s">
        <v>550</v>
      </c>
      <c r="P317" s="26" t="s">
        <v>550</v>
      </c>
      <c r="Q317" s="26" t="s">
        <v>550</v>
      </c>
      <c r="R317" s="26" t="s">
        <v>550</v>
      </c>
      <c r="S317" s="23" t="s">
        <v>459</v>
      </c>
      <c r="T317" s="26" t="s">
        <v>550</v>
      </c>
      <c r="U317" s="24" t="s">
        <v>153</v>
      </c>
      <c r="V317" s="54" t="s">
        <v>153</v>
      </c>
      <c r="W317" s="26" t="s">
        <v>550</v>
      </c>
      <c r="X317" s="26" t="s">
        <v>550</v>
      </c>
      <c r="Y317" s="26" t="s">
        <v>550</v>
      </c>
      <c r="Z317" s="23" t="s">
        <v>459</v>
      </c>
      <c r="AA317" s="26" t="s">
        <v>550</v>
      </c>
      <c r="AB317" s="24" t="s">
        <v>153</v>
      </c>
      <c r="AC317" s="26" t="s">
        <v>550</v>
      </c>
      <c r="AD317" s="26" t="s">
        <v>550</v>
      </c>
      <c r="AE317" s="26" t="s">
        <v>550</v>
      </c>
      <c r="AF317" s="26" t="s">
        <v>550</v>
      </c>
      <c r="AG317" s="23" t="s">
        <v>459</v>
      </c>
      <c r="AH317" s="26" t="s">
        <v>550</v>
      </c>
      <c r="AI317" s="24" t="s">
        <v>153</v>
      </c>
      <c r="AJ317" s="26" t="s">
        <v>550</v>
      </c>
      <c r="AK317" s="26" t="s">
        <v>550</v>
      </c>
      <c r="AL317" s="26" t="s">
        <v>550</v>
      </c>
      <c r="AM317" s="26" t="s">
        <v>550</v>
      </c>
      <c r="AN317" s="23" t="s">
        <v>459</v>
      </c>
      <c r="AO317" s="26" t="s">
        <v>550</v>
      </c>
      <c r="AP317" s="23">
        <f>VALUE(0)</f>
        <v>0</v>
      </c>
      <c r="AQ317" s="23">
        <f>VALUE(0)</f>
        <v>0</v>
      </c>
      <c r="AR317" s="23">
        <f>VALUE(0)</f>
        <v>0</v>
      </c>
      <c r="AS317" s="23">
        <f>VALUE(0)</f>
        <v>0</v>
      </c>
      <c r="AT317" s="23">
        <f>VALUE(0)</f>
        <v>0</v>
      </c>
      <c r="AU317" s="23">
        <f>VALUE(0)</f>
        <v>0</v>
      </c>
      <c r="AV317" s="23">
        <f>VALUE(8)</f>
        <v>8</v>
      </c>
      <c r="AW317" s="23">
        <f>VALUE(0)</f>
        <v>0</v>
      </c>
      <c r="AX317" s="23" t="s">
        <v>176</v>
      </c>
      <c r="AY317" s="23" t="s">
        <v>571</v>
      </c>
      <c r="AZ317" s="23">
        <f>VALUE(0)</f>
        <v>0</v>
      </c>
      <c r="BA317" s="23">
        <f>VALUE(0)</f>
        <v>0</v>
      </c>
      <c r="BB317" s="23">
        <f>VALUE(0)</f>
        <v>0</v>
      </c>
      <c r="BC317" s="23">
        <f>VALUE(0)</f>
        <v>0</v>
      </c>
      <c r="BD317" s="23">
        <f>VALUE(0)</f>
        <v>0</v>
      </c>
      <c r="BE317" s="23">
        <f>VALUE(0)</f>
        <v>0</v>
      </c>
      <c r="BF317" s="23">
        <f>VALUE(0)</f>
        <v>0</v>
      </c>
      <c r="BG317" s="23">
        <f>VALUE(0)</f>
        <v>0</v>
      </c>
      <c r="BH317" s="23">
        <f>VALUE(0)</f>
        <v>0</v>
      </c>
      <c r="BI317" s="23">
        <f>VALUE(0)</f>
        <v>0</v>
      </c>
      <c r="BJ317" s="23">
        <f>VALUE(0)</f>
        <v>0</v>
      </c>
      <c r="BK317" s="12">
        <f>$AX$317*24</f>
        <v>0</v>
      </c>
      <c r="BL317" s="12">
        <f>$AY$317*24</f>
        <v>3.1000000000000005</v>
      </c>
      <c r="BM317" s="12">
        <f>$BJ$317*24</f>
        <v>0</v>
      </c>
      <c r="BN317" s="12">
        <f>VALUE($I$317)/100</f>
        <v>1</v>
      </c>
      <c r="BO317" s="12">
        <v>0</v>
      </c>
      <c r="BP317" s="12">
        <v>0</v>
      </c>
      <c r="BQ317" s="12">
        <v>0</v>
      </c>
      <c r="BR317" s="12">
        <v>0</v>
      </c>
      <c r="BS317" s="12">
        <v>0</v>
      </c>
      <c r="BT317" s="12">
        <v>0</v>
      </c>
      <c r="BU317" s="12">
        <v>0</v>
      </c>
      <c r="BV317" s="12">
        <v>0</v>
      </c>
      <c r="BW317" s="12">
        <v>0</v>
      </c>
      <c r="BX317" s="12">
        <v>0</v>
      </c>
      <c r="BY317" s="12">
        <v>0</v>
      </c>
      <c r="BZ317" s="12">
        <v>0</v>
      </c>
      <c r="CA317" s="12">
        <v>0</v>
      </c>
    </row>
    <row r="318" spans="1:79" hidden="1" x14ac:dyDescent="0.2">
      <c r="A318" s="12" t="s">
        <v>141</v>
      </c>
      <c r="B318" s="12" t="s">
        <v>145</v>
      </c>
      <c r="C318" s="12" t="s">
        <v>145</v>
      </c>
      <c r="D318" s="22" t="s">
        <v>1312</v>
      </c>
      <c r="E318" s="22" t="s">
        <v>173</v>
      </c>
      <c r="F318" s="22" t="s">
        <v>1105</v>
      </c>
      <c r="G318" s="22" t="s">
        <v>1106</v>
      </c>
      <c r="H318" s="22" t="s">
        <v>150</v>
      </c>
      <c r="I318" s="22" t="s">
        <v>151</v>
      </c>
      <c r="J318" s="22" t="s">
        <v>162</v>
      </c>
      <c r="K318" s="22" t="s">
        <v>99</v>
      </c>
      <c r="L318" s="54" t="s">
        <v>153</v>
      </c>
      <c r="M318" s="23" t="s">
        <v>1308</v>
      </c>
      <c r="N318" s="24" t="s">
        <v>153</v>
      </c>
      <c r="O318" s="23" t="s">
        <v>555</v>
      </c>
      <c r="P318" s="23" t="s">
        <v>555</v>
      </c>
      <c r="Q318" s="23" t="s">
        <v>555</v>
      </c>
      <c r="R318" s="23" t="s">
        <v>555</v>
      </c>
      <c r="S318" s="23" t="s">
        <v>568</v>
      </c>
      <c r="T318" s="23" t="s">
        <v>568</v>
      </c>
      <c r="U318" s="24" t="s">
        <v>153</v>
      </c>
      <c r="V318" s="54" t="s">
        <v>153</v>
      </c>
      <c r="W318" s="23" t="s">
        <v>562</v>
      </c>
      <c r="X318" s="23" t="s">
        <v>562</v>
      </c>
      <c r="Y318" s="23" t="s">
        <v>562</v>
      </c>
      <c r="Z318" s="23" t="s">
        <v>562</v>
      </c>
      <c r="AA318" s="23" t="s">
        <v>562</v>
      </c>
      <c r="AB318" s="24" t="s">
        <v>153</v>
      </c>
      <c r="AC318" s="23" t="s">
        <v>1307</v>
      </c>
      <c r="AD318" s="23" t="s">
        <v>1307</v>
      </c>
      <c r="AE318" s="24" t="s">
        <v>156</v>
      </c>
      <c r="AF318" s="24" t="s">
        <v>156</v>
      </c>
      <c r="AG318" s="23" t="s">
        <v>389</v>
      </c>
      <c r="AH318" s="23" t="s">
        <v>389</v>
      </c>
      <c r="AI318" s="24" t="s">
        <v>153</v>
      </c>
      <c r="AJ318" s="23" t="s">
        <v>1307</v>
      </c>
      <c r="AK318" s="23" t="s">
        <v>1307</v>
      </c>
      <c r="AL318" s="23" t="s">
        <v>1307</v>
      </c>
      <c r="AM318" s="23" t="s">
        <v>1307</v>
      </c>
      <c r="AN318" s="23" t="s">
        <v>1307</v>
      </c>
      <c r="AO318" s="23" t="s">
        <v>1307</v>
      </c>
      <c r="AP318" s="23">
        <f>VALUE(35)</f>
        <v>35</v>
      </c>
      <c r="AQ318" s="23">
        <f>VALUE(0)</f>
        <v>0</v>
      </c>
      <c r="AR318" s="23">
        <f>VALUE(0)</f>
        <v>0</v>
      </c>
      <c r="AS318" s="23">
        <f>VALUE(0)</f>
        <v>0</v>
      </c>
      <c r="AT318" s="23">
        <f>VALUE(0)</f>
        <v>0</v>
      </c>
      <c r="AU318" s="23">
        <f>VALUE(0)</f>
        <v>0</v>
      </c>
      <c r="AV318" s="23">
        <f>VALUE(2)</f>
        <v>2</v>
      </c>
      <c r="AW318" s="23">
        <f>VALUE(0)</f>
        <v>0</v>
      </c>
      <c r="AX318" s="23" t="s">
        <v>171</v>
      </c>
      <c r="AY318" s="23" t="s">
        <v>1313</v>
      </c>
      <c r="AZ318" s="23">
        <f>VALUE(0)</f>
        <v>0</v>
      </c>
      <c r="BA318" s="23">
        <f>VALUE(0)</f>
        <v>0</v>
      </c>
      <c r="BB318" s="23">
        <f>VALUE(0)</f>
        <v>0</v>
      </c>
      <c r="BC318" s="23">
        <f>VALUE(0)</f>
        <v>0</v>
      </c>
      <c r="BD318" s="23">
        <f>VALUE(0)</f>
        <v>0</v>
      </c>
      <c r="BE318" s="23">
        <f>VALUE(0)</f>
        <v>0</v>
      </c>
      <c r="BF318" s="23">
        <f>VALUE(0)</f>
        <v>0</v>
      </c>
      <c r="BG318" s="23">
        <f>VALUE(0)</f>
        <v>0</v>
      </c>
      <c r="BH318" s="23">
        <f>VALUE(0)</f>
        <v>0</v>
      </c>
      <c r="BI318" s="23">
        <f>VALUE(0)</f>
        <v>0</v>
      </c>
      <c r="BJ318" s="23">
        <f>VALUE(0)</f>
        <v>0</v>
      </c>
      <c r="BK318" s="12">
        <f>$AX$318*24</f>
        <v>5.833333333333333</v>
      </c>
      <c r="BL318" s="12">
        <f>$AY$318*24</f>
        <v>18.533333333333335</v>
      </c>
      <c r="BM318" s="12">
        <f>$BJ$318*24</f>
        <v>0</v>
      </c>
      <c r="BN318" s="12">
        <f>VALUE($I$318)/100</f>
        <v>1</v>
      </c>
      <c r="BO318" s="12">
        <v>0</v>
      </c>
      <c r="BP318" s="12">
        <v>0</v>
      </c>
      <c r="BQ318" s="12">
        <v>0</v>
      </c>
      <c r="BR318" s="12">
        <v>0</v>
      </c>
      <c r="BS318" s="12">
        <v>0</v>
      </c>
      <c r="BT318" s="12">
        <v>0</v>
      </c>
      <c r="BU318" s="12">
        <v>0</v>
      </c>
      <c r="BV318" s="12">
        <v>0</v>
      </c>
      <c r="BW318" s="12">
        <v>0</v>
      </c>
      <c r="BX318" s="12">
        <v>0</v>
      </c>
      <c r="BY318" s="12">
        <v>0</v>
      </c>
      <c r="BZ318" s="12">
        <v>0</v>
      </c>
      <c r="CA318" s="12">
        <v>0</v>
      </c>
    </row>
    <row r="319" spans="1:79" hidden="1" x14ac:dyDescent="0.2">
      <c r="A319" s="12" t="s">
        <v>141</v>
      </c>
      <c r="B319" s="12" t="s">
        <v>145</v>
      </c>
      <c r="C319" s="12" t="s">
        <v>145</v>
      </c>
      <c r="D319" s="22" t="s">
        <v>536</v>
      </c>
      <c r="E319" s="22" t="s">
        <v>159</v>
      </c>
      <c r="F319" s="22" t="s">
        <v>1107</v>
      </c>
      <c r="G319" s="22" t="s">
        <v>1108</v>
      </c>
      <c r="H319" s="22" t="s">
        <v>150</v>
      </c>
      <c r="I319" s="22" t="s">
        <v>151</v>
      </c>
      <c r="J319" s="22" t="s">
        <v>162</v>
      </c>
      <c r="K319" s="22" t="s">
        <v>99</v>
      </c>
      <c r="L319" s="54" t="s">
        <v>153</v>
      </c>
      <c r="M319" s="27" t="s">
        <v>153</v>
      </c>
      <c r="N319" s="27" t="s">
        <v>153</v>
      </c>
      <c r="O319" s="27" t="s">
        <v>153</v>
      </c>
      <c r="P319" s="27" t="s">
        <v>153</v>
      </c>
      <c r="Q319" s="27" t="s">
        <v>153</v>
      </c>
      <c r="R319" s="27" t="s">
        <v>153</v>
      </c>
      <c r="S319" s="27" t="s">
        <v>153</v>
      </c>
      <c r="T319" s="27" t="s">
        <v>153</v>
      </c>
      <c r="U319" s="27" t="s">
        <v>153</v>
      </c>
      <c r="V319" s="54" t="s">
        <v>153</v>
      </c>
      <c r="W319" s="27" t="s">
        <v>153</v>
      </c>
      <c r="X319" s="27" t="s">
        <v>153</v>
      </c>
      <c r="Y319" s="27" t="s">
        <v>153</v>
      </c>
      <c r="Z319" s="27" t="s">
        <v>153</v>
      </c>
      <c r="AA319" s="27" t="s">
        <v>153</v>
      </c>
      <c r="AB319" s="27" t="s">
        <v>153</v>
      </c>
      <c r="AC319" s="27" t="s">
        <v>153</v>
      </c>
      <c r="AD319" s="27" t="s">
        <v>153</v>
      </c>
      <c r="AE319" s="27" t="s">
        <v>153</v>
      </c>
      <c r="AF319" s="27" t="s">
        <v>153</v>
      </c>
      <c r="AG319" s="27" t="s">
        <v>153</v>
      </c>
      <c r="AH319" s="27" t="s">
        <v>153</v>
      </c>
      <c r="AI319" s="27" t="s">
        <v>153</v>
      </c>
      <c r="AJ319" s="27" t="s">
        <v>153</v>
      </c>
      <c r="AK319" s="27" t="s">
        <v>153</v>
      </c>
      <c r="AL319" s="27" t="s">
        <v>153</v>
      </c>
      <c r="AM319" s="27" t="s">
        <v>153</v>
      </c>
      <c r="AN319" s="27" t="s">
        <v>153</v>
      </c>
      <c r="AO319" s="27" t="s">
        <v>153</v>
      </c>
      <c r="AP319" s="23">
        <f>VALUE(0)</f>
        <v>0</v>
      </c>
      <c r="AQ319" s="23">
        <f>VALUE(0)</f>
        <v>0</v>
      </c>
      <c r="AR319" s="23">
        <f>VALUE(0)</f>
        <v>0</v>
      </c>
      <c r="AS319" s="23">
        <f>VALUE(0)</f>
        <v>0</v>
      </c>
      <c r="AT319" s="23">
        <f>VALUE(0)</f>
        <v>0</v>
      </c>
      <c r="AU319" s="23">
        <f>VALUE(0)</f>
        <v>0</v>
      </c>
      <c r="AV319" s="23">
        <f>VALUE(0)</f>
        <v>0</v>
      </c>
      <c r="AW319" s="23">
        <f>VALUE(0)</f>
        <v>0</v>
      </c>
      <c r="AX319" s="23">
        <f>VALUE(0)</f>
        <v>0</v>
      </c>
      <c r="AY319" s="23">
        <f>VALUE(0)</f>
        <v>0</v>
      </c>
      <c r="AZ319" s="23">
        <f>VALUE(0)</f>
        <v>0</v>
      </c>
      <c r="BA319" s="23">
        <f>VALUE(0)</f>
        <v>0</v>
      </c>
      <c r="BB319" s="23">
        <f>VALUE(0)</f>
        <v>0</v>
      </c>
      <c r="BC319" s="23">
        <f>VALUE(0)</f>
        <v>0</v>
      </c>
      <c r="BD319" s="23">
        <f>VALUE(0)</f>
        <v>0</v>
      </c>
      <c r="BE319" s="23">
        <f>VALUE(0)</f>
        <v>0</v>
      </c>
      <c r="BF319" s="23">
        <f>VALUE(0)</f>
        <v>0</v>
      </c>
      <c r="BG319" s="23">
        <f>VALUE(0)</f>
        <v>0</v>
      </c>
      <c r="BH319" s="23">
        <f>VALUE(0)</f>
        <v>0</v>
      </c>
      <c r="BI319" s="23">
        <f>VALUE(0)</f>
        <v>0</v>
      </c>
      <c r="BJ319" s="23">
        <f>VALUE(0)</f>
        <v>0</v>
      </c>
      <c r="BK319" s="12">
        <f>$AX$319*24</f>
        <v>0</v>
      </c>
      <c r="BL319" s="12">
        <f>$AY$319*24</f>
        <v>0</v>
      </c>
      <c r="BM319" s="12">
        <f>$BJ$319*24</f>
        <v>0</v>
      </c>
      <c r="BN319" s="12">
        <f>VALUE($I$319)/100</f>
        <v>1</v>
      </c>
      <c r="BO319" s="12">
        <v>0</v>
      </c>
      <c r="BP319" s="12">
        <v>0</v>
      </c>
      <c r="BQ319" s="12">
        <v>0</v>
      </c>
      <c r="BR319" s="12">
        <v>0</v>
      </c>
      <c r="BS319" s="12">
        <v>0</v>
      </c>
      <c r="BT319" s="12">
        <v>0</v>
      </c>
      <c r="BU319" s="12">
        <v>0</v>
      </c>
      <c r="BV319" s="12">
        <v>0</v>
      </c>
      <c r="BW319" s="12">
        <v>0</v>
      </c>
      <c r="BX319" s="12">
        <v>0</v>
      </c>
      <c r="BY319" s="12">
        <v>0</v>
      </c>
      <c r="BZ319" s="12">
        <v>0</v>
      </c>
      <c r="CA319" s="12">
        <v>0</v>
      </c>
    </row>
    <row r="320" spans="1:79" ht="15" hidden="1" x14ac:dyDescent="0.25">
      <c r="A320" s="12" t="s">
        <v>141</v>
      </c>
      <c r="B320" s="12" t="s">
        <v>145</v>
      </c>
      <c r="C320" s="12" t="s">
        <v>145</v>
      </c>
      <c r="D320" s="31" t="s">
        <v>202</v>
      </c>
      <c r="E320" s="31" t="s">
        <v>153</v>
      </c>
      <c r="F320" s="31" t="s">
        <v>175</v>
      </c>
      <c r="G320" s="31" t="s">
        <v>153</v>
      </c>
      <c r="H320" s="31" t="s">
        <v>153</v>
      </c>
      <c r="I320" s="31" t="s">
        <v>153</v>
      </c>
      <c r="J320" s="31" t="s">
        <v>153</v>
      </c>
      <c r="K320" s="31" t="s">
        <v>153</v>
      </c>
      <c r="L320" s="31">
        <f>VALUE(0)</f>
        <v>0</v>
      </c>
      <c r="M320" s="31">
        <f>VALUE(8)</f>
        <v>8</v>
      </c>
      <c r="N320" s="31">
        <f>VALUE(0)</f>
        <v>0</v>
      </c>
      <c r="O320" s="31">
        <f>VALUE(10)</f>
        <v>10</v>
      </c>
      <c r="P320" s="31">
        <f>VALUE(10)</f>
        <v>10</v>
      </c>
      <c r="Q320" s="31">
        <f>VALUE(10)</f>
        <v>10</v>
      </c>
      <c r="R320" s="31">
        <f>VALUE(10)</f>
        <v>10</v>
      </c>
      <c r="S320" s="31">
        <f>VALUE(9)</f>
        <v>9</v>
      </c>
      <c r="T320" s="31">
        <f>VALUE(9)</f>
        <v>9</v>
      </c>
      <c r="U320" s="31">
        <f>VALUE(0)</f>
        <v>0</v>
      </c>
      <c r="V320" s="31">
        <f>VALUE(0)</f>
        <v>0</v>
      </c>
      <c r="W320" s="31">
        <f>VALUE(11)</f>
        <v>11</v>
      </c>
      <c r="X320" s="31">
        <f>VALUE(11)</f>
        <v>11</v>
      </c>
      <c r="Y320" s="31">
        <f>VALUE(11)</f>
        <v>11</v>
      </c>
      <c r="Z320" s="31">
        <f>VALUE(9)</f>
        <v>9</v>
      </c>
      <c r="AA320" s="31">
        <f>VALUE(10)</f>
        <v>10</v>
      </c>
      <c r="AB320" s="31">
        <f>VALUE(0)</f>
        <v>0</v>
      </c>
      <c r="AC320" s="31">
        <f>VALUE(9)</f>
        <v>9</v>
      </c>
      <c r="AD320" s="31">
        <f>VALUE(9)</f>
        <v>9</v>
      </c>
      <c r="AE320" s="31">
        <f>VALUE(9)</f>
        <v>9</v>
      </c>
      <c r="AF320" s="31">
        <f>VALUE(9)</f>
        <v>9</v>
      </c>
      <c r="AG320" s="31">
        <f>VALUE(10)</f>
        <v>10</v>
      </c>
      <c r="AH320" s="31">
        <f>VALUE(10)</f>
        <v>10</v>
      </c>
      <c r="AI320" s="31">
        <f>VALUE(0)</f>
        <v>0</v>
      </c>
      <c r="AJ320" s="31">
        <f>VALUE(9)</f>
        <v>9</v>
      </c>
      <c r="AK320" s="31">
        <f>VALUE(9)</f>
        <v>9</v>
      </c>
      <c r="AL320" s="31">
        <f>VALUE(9)</f>
        <v>9</v>
      </c>
      <c r="AM320" s="31">
        <f>VALUE(9)</f>
        <v>9</v>
      </c>
      <c r="AN320" s="31">
        <f>VALUE(8)</f>
        <v>8</v>
      </c>
      <c r="AO320" s="31">
        <f>VALUE(8)</f>
        <v>8</v>
      </c>
      <c r="AP320" s="31">
        <v>0</v>
      </c>
      <c r="AQ320" s="31">
        <v>0</v>
      </c>
      <c r="AR320" s="31">
        <v>0</v>
      </c>
      <c r="AS320" s="31">
        <v>0</v>
      </c>
      <c r="AT320" s="31">
        <v>0</v>
      </c>
      <c r="AU320" s="31">
        <v>0</v>
      </c>
      <c r="AV320" s="31">
        <v>0</v>
      </c>
      <c r="AW320" s="31">
        <v>0</v>
      </c>
      <c r="AX320" s="31">
        <v>0</v>
      </c>
      <c r="AY320" s="31">
        <v>0</v>
      </c>
      <c r="AZ320" s="31">
        <v>0</v>
      </c>
      <c r="BA320" s="31">
        <v>0</v>
      </c>
      <c r="BB320" s="31">
        <v>0</v>
      </c>
      <c r="BC320" s="31">
        <v>0</v>
      </c>
      <c r="BD320" s="31">
        <v>0</v>
      </c>
      <c r="BE320" s="31">
        <v>0</v>
      </c>
      <c r="BF320" s="31">
        <v>0</v>
      </c>
      <c r="BG320" s="31">
        <v>0</v>
      </c>
      <c r="BH320" s="31">
        <v>0</v>
      </c>
      <c r="BI320" s="31">
        <v>0</v>
      </c>
      <c r="BJ320" s="31">
        <v>0</v>
      </c>
      <c r="BK320" s="12">
        <v>0</v>
      </c>
      <c r="BL320" s="12">
        <v>0</v>
      </c>
      <c r="BM320" s="12">
        <v>0</v>
      </c>
      <c r="BN320" s="12"/>
      <c r="BO320" s="12">
        <v>0</v>
      </c>
      <c r="BP320" s="12">
        <v>0</v>
      </c>
      <c r="BQ320" s="12">
        <v>0</v>
      </c>
      <c r="BR320" s="12">
        <v>0</v>
      </c>
      <c r="BS320" s="12">
        <v>0</v>
      </c>
      <c r="BT320" s="12">
        <v>0</v>
      </c>
      <c r="BU320" s="12">
        <v>0</v>
      </c>
      <c r="BV320" s="12">
        <v>0</v>
      </c>
      <c r="BW320" s="12">
        <v>0</v>
      </c>
      <c r="BX320" s="12">
        <v>0</v>
      </c>
      <c r="BY320" s="12">
        <v>0</v>
      </c>
      <c r="BZ320" s="12">
        <v>0</v>
      </c>
      <c r="CA320" s="12">
        <v>0</v>
      </c>
    </row>
    <row r="321" spans="1:79" ht="16.5" hidden="1" x14ac:dyDescent="0.2">
      <c r="A321" s="12" t="s">
        <v>141</v>
      </c>
      <c r="B321" s="12" t="s">
        <v>146</v>
      </c>
      <c r="C321" s="12" t="s">
        <v>146</v>
      </c>
      <c r="D321" s="22" t="s">
        <v>572</v>
      </c>
      <c r="E321" s="22" t="s">
        <v>173</v>
      </c>
      <c r="F321" s="22" t="s">
        <v>1109</v>
      </c>
      <c r="G321" s="22" t="s">
        <v>1110</v>
      </c>
      <c r="H321" s="22" t="s">
        <v>150</v>
      </c>
      <c r="I321" s="22" t="s">
        <v>151</v>
      </c>
      <c r="J321" s="22" t="s">
        <v>162</v>
      </c>
      <c r="K321" s="22" t="s">
        <v>100</v>
      </c>
      <c r="L321" s="54" t="s">
        <v>153</v>
      </c>
      <c r="M321" s="23" t="s">
        <v>1307</v>
      </c>
      <c r="N321" s="24" t="s">
        <v>153</v>
      </c>
      <c r="O321" s="23" t="s">
        <v>547</v>
      </c>
      <c r="P321" s="25" t="s">
        <v>552</v>
      </c>
      <c r="Q321" s="25" t="s">
        <v>552</v>
      </c>
      <c r="R321" s="25" t="s">
        <v>552</v>
      </c>
      <c r="S321" s="25" t="s">
        <v>552</v>
      </c>
      <c r="T321" s="25" t="s">
        <v>552</v>
      </c>
      <c r="U321" s="24" t="s">
        <v>153</v>
      </c>
      <c r="V321" s="54" t="s">
        <v>153</v>
      </c>
      <c r="W321" s="23" t="s">
        <v>153</v>
      </c>
      <c r="X321" s="23" t="s">
        <v>153</v>
      </c>
      <c r="Y321" s="23" t="s">
        <v>153</v>
      </c>
      <c r="Z321" s="23" t="s">
        <v>153</v>
      </c>
      <c r="AA321" s="26" t="s">
        <v>1314</v>
      </c>
      <c r="AB321" s="24" t="s">
        <v>153</v>
      </c>
      <c r="AC321" s="23" t="s">
        <v>552</v>
      </c>
      <c r="AD321" s="23" t="s">
        <v>552</v>
      </c>
      <c r="AE321" s="23" t="s">
        <v>552</v>
      </c>
      <c r="AF321" s="23" t="s">
        <v>552</v>
      </c>
      <c r="AG321" s="23" t="s">
        <v>552</v>
      </c>
      <c r="AH321" s="23" t="s">
        <v>552</v>
      </c>
      <c r="AI321" s="24" t="s">
        <v>153</v>
      </c>
      <c r="AJ321" s="24" t="s">
        <v>156</v>
      </c>
      <c r="AK321" s="24" t="s">
        <v>156</v>
      </c>
      <c r="AL321" s="23" t="s">
        <v>541</v>
      </c>
      <c r="AM321" s="23" t="s">
        <v>541</v>
      </c>
      <c r="AN321" s="23" t="s">
        <v>554</v>
      </c>
      <c r="AO321" s="23" t="s">
        <v>554</v>
      </c>
      <c r="AP321" s="23">
        <f>VALUE(23)</f>
        <v>23</v>
      </c>
      <c r="AQ321" s="23">
        <f>VALUE(0)</f>
        <v>0</v>
      </c>
      <c r="AR321" s="23">
        <f>VALUE(0)</f>
        <v>0</v>
      </c>
      <c r="AS321" s="23">
        <f>VALUE(0)</f>
        <v>0</v>
      </c>
      <c r="AT321" s="23">
        <f>VALUE(0)</f>
        <v>0</v>
      </c>
      <c r="AU321" s="23">
        <f>VALUE(0)</f>
        <v>0</v>
      </c>
      <c r="AV321" s="23">
        <f>VALUE(5)</f>
        <v>5</v>
      </c>
      <c r="AW321" s="23">
        <f>VALUE(0)</f>
        <v>0</v>
      </c>
      <c r="AX321" s="23">
        <f>VALUE(0)</f>
        <v>0</v>
      </c>
      <c r="AY321" s="23">
        <f>VALUE(0)</f>
        <v>0</v>
      </c>
      <c r="AZ321" s="23">
        <f>VALUE(0)</f>
        <v>0</v>
      </c>
      <c r="BA321" s="23">
        <f>VALUE(0)</f>
        <v>0</v>
      </c>
      <c r="BB321" s="23">
        <f>VALUE(0)</f>
        <v>0</v>
      </c>
      <c r="BC321" s="23">
        <f>VALUE(0)</f>
        <v>0</v>
      </c>
      <c r="BD321" s="23">
        <f>VALUE(0)</f>
        <v>0</v>
      </c>
      <c r="BE321" s="23">
        <f>VALUE(0)</f>
        <v>0</v>
      </c>
      <c r="BF321" s="23">
        <f>VALUE(0)</f>
        <v>0</v>
      </c>
      <c r="BG321" s="23">
        <f>VALUE(0)</f>
        <v>0</v>
      </c>
      <c r="BH321" s="23">
        <f>VALUE(0)</f>
        <v>0</v>
      </c>
      <c r="BI321" s="23">
        <f>VALUE(0)</f>
        <v>0</v>
      </c>
      <c r="BJ321" s="23">
        <f>VALUE(0)</f>
        <v>0</v>
      </c>
      <c r="BK321" s="12">
        <f>$AX$321*24</f>
        <v>0</v>
      </c>
      <c r="BL321" s="12">
        <f>$AY$321*24</f>
        <v>0</v>
      </c>
      <c r="BM321" s="12">
        <f>$BJ$321*24</f>
        <v>0</v>
      </c>
      <c r="BN321" s="12">
        <f>VALUE($I$321)/100</f>
        <v>1</v>
      </c>
      <c r="BO321" s="12">
        <v>0</v>
      </c>
      <c r="BP321" s="12">
        <v>0</v>
      </c>
      <c r="BQ321" s="12">
        <v>0</v>
      </c>
      <c r="BR321" s="12">
        <v>0</v>
      </c>
      <c r="BS321" s="12">
        <v>0</v>
      </c>
      <c r="BT321" s="12">
        <v>0</v>
      </c>
      <c r="BU321" s="12">
        <v>0</v>
      </c>
      <c r="BV321" s="12">
        <v>0</v>
      </c>
      <c r="BW321" s="12">
        <v>0</v>
      </c>
      <c r="BX321" s="12">
        <v>0</v>
      </c>
      <c r="BY321" s="12">
        <v>0</v>
      </c>
      <c r="BZ321" s="12">
        <v>0</v>
      </c>
      <c r="CA321" s="12">
        <v>0</v>
      </c>
    </row>
    <row r="322" spans="1:79" hidden="1" x14ac:dyDescent="0.2">
      <c r="A322" s="12" t="s">
        <v>141</v>
      </c>
      <c r="B322" s="12" t="s">
        <v>146</v>
      </c>
      <c r="C322" s="12" t="s">
        <v>146</v>
      </c>
      <c r="D322" s="22" t="s">
        <v>435</v>
      </c>
      <c r="E322" s="22" t="s">
        <v>173</v>
      </c>
      <c r="F322" s="22" t="s">
        <v>1111</v>
      </c>
      <c r="G322" s="22" t="s">
        <v>1112</v>
      </c>
      <c r="H322" s="22" t="s">
        <v>150</v>
      </c>
      <c r="I322" s="22" t="s">
        <v>151</v>
      </c>
      <c r="J322" s="22" t="s">
        <v>162</v>
      </c>
      <c r="K322" s="22" t="s">
        <v>100</v>
      </c>
      <c r="L322" s="54" t="s">
        <v>153</v>
      </c>
      <c r="M322" s="23" t="s">
        <v>559</v>
      </c>
      <c r="N322" s="24" t="s">
        <v>153</v>
      </c>
      <c r="O322" s="23" t="s">
        <v>559</v>
      </c>
      <c r="P322" s="23" t="s">
        <v>559</v>
      </c>
      <c r="Q322" s="23" t="s">
        <v>559</v>
      </c>
      <c r="R322" s="23" t="s">
        <v>559</v>
      </c>
      <c r="S322" s="23" t="s">
        <v>559</v>
      </c>
      <c r="T322" s="23" t="s">
        <v>559</v>
      </c>
      <c r="U322" s="24" t="s">
        <v>153</v>
      </c>
      <c r="V322" s="54" t="s">
        <v>153</v>
      </c>
      <c r="W322" s="23" t="s">
        <v>153</v>
      </c>
      <c r="X322" s="23" t="s">
        <v>153</v>
      </c>
      <c r="Y322" s="23" t="s">
        <v>153</v>
      </c>
      <c r="Z322" s="23" t="s">
        <v>153</v>
      </c>
      <c r="AA322" s="23" t="s">
        <v>153</v>
      </c>
      <c r="AB322" s="24" t="s">
        <v>153</v>
      </c>
      <c r="AC322" s="23" t="s">
        <v>559</v>
      </c>
      <c r="AD322" s="23" t="s">
        <v>559</v>
      </c>
      <c r="AE322" s="29" t="s">
        <v>1175</v>
      </c>
      <c r="AF322" s="29" t="s">
        <v>1175</v>
      </c>
      <c r="AG322" s="24" t="s">
        <v>156</v>
      </c>
      <c r="AH322" s="24" t="s">
        <v>156</v>
      </c>
      <c r="AI322" s="24" t="s">
        <v>153</v>
      </c>
      <c r="AJ322" s="23" t="s">
        <v>559</v>
      </c>
      <c r="AK322" s="23" t="s">
        <v>559</v>
      </c>
      <c r="AL322" s="23" t="s">
        <v>559</v>
      </c>
      <c r="AM322" s="23" t="s">
        <v>559</v>
      </c>
      <c r="AN322" s="23" t="s">
        <v>559</v>
      </c>
      <c r="AO322" s="23" t="s">
        <v>559</v>
      </c>
      <c r="AP322" s="23">
        <f>VALUE(35)</f>
        <v>35</v>
      </c>
      <c r="AQ322" s="23">
        <f>VALUE(0)</f>
        <v>0</v>
      </c>
      <c r="AR322" s="23">
        <f>VALUE(2)</f>
        <v>2</v>
      </c>
      <c r="AS322" s="23">
        <f>VALUE(0)</f>
        <v>0</v>
      </c>
      <c r="AT322" s="23">
        <f>VALUE(0)</f>
        <v>0</v>
      </c>
      <c r="AU322" s="23">
        <f>VALUE(0)</f>
        <v>0</v>
      </c>
      <c r="AV322" s="23">
        <f>VALUE(11)</f>
        <v>11</v>
      </c>
      <c r="AW322" s="23">
        <f>VALUE(0)</f>
        <v>0</v>
      </c>
      <c r="AX322" s="23">
        <f>VALUE(0)</f>
        <v>0</v>
      </c>
      <c r="AY322" s="23">
        <f>VALUE(0)</f>
        <v>0</v>
      </c>
      <c r="AZ322" s="23">
        <f>VALUE(0)</f>
        <v>0</v>
      </c>
      <c r="BA322" s="23">
        <f>VALUE(0)</f>
        <v>0</v>
      </c>
      <c r="BB322" s="23">
        <f>VALUE(0)</f>
        <v>0</v>
      </c>
      <c r="BC322" s="23">
        <f>VALUE(0)</f>
        <v>0</v>
      </c>
      <c r="BD322" s="23">
        <f>VALUE(0)</f>
        <v>0</v>
      </c>
      <c r="BE322" s="23">
        <f>VALUE(0)</f>
        <v>0</v>
      </c>
      <c r="BF322" s="23">
        <f>VALUE(0)</f>
        <v>0</v>
      </c>
      <c r="BG322" s="23">
        <f>VALUE(0)</f>
        <v>0</v>
      </c>
      <c r="BH322" s="23">
        <f>VALUE(0)</f>
        <v>0</v>
      </c>
      <c r="BI322" s="23">
        <f>VALUE(0)</f>
        <v>0</v>
      </c>
      <c r="BJ322" s="23">
        <f>VALUE(0)</f>
        <v>0</v>
      </c>
      <c r="BK322" s="12">
        <f>$AX$322*24</f>
        <v>0</v>
      </c>
      <c r="BL322" s="12">
        <f>$AY$322*24</f>
        <v>0</v>
      </c>
      <c r="BM322" s="12">
        <f>$BJ$322*24</f>
        <v>0</v>
      </c>
      <c r="BN322" s="12">
        <f>VALUE($I$322)/100</f>
        <v>1</v>
      </c>
      <c r="BO322" s="12">
        <v>0</v>
      </c>
      <c r="BP322" s="12">
        <v>0</v>
      </c>
      <c r="BQ322" s="12">
        <v>0</v>
      </c>
      <c r="BR322" s="12">
        <v>0</v>
      </c>
      <c r="BS322" s="12">
        <v>0</v>
      </c>
      <c r="BT322" s="12">
        <v>0</v>
      </c>
      <c r="BU322" s="12">
        <v>0</v>
      </c>
      <c r="BV322" s="12">
        <v>2</v>
      </c>
      <c r="BW322" s="12">
        <v>0</v>
      </c>
      <c r="BX322" s="12">
        <v>0</v>
      </c>
      <c r="BY322" s="12">
        <v>0</v>
      </c>
      <c r="BZ322" s="12">
        <v>0</v>
      </c>
      <c r="CA322" s="12">
        <v>0</v>
      </c>
    </row>
    <row r="323" spans="1:79" ht="15" hidden="1" x14ac:dyDescent="0.25">
      <c r="A323" s="12" t="s">
        <v>141</v>
      </c>
      <c r="B323" s="12" t="s">
        <v>146</v>
      </c>
      <c r="C323" s="12" t="s">
        <v>146</v>
      </c>
      <c r="D323" s="31" t="s">
        <v>246</v>
      </c>
      <c r="E323" s="31" t="s">
        <v>153</v>
      </c>
      <c r="F323" s="31" t="s">
        <v>175</v>
      </c>
      <c r="G323" s="31" t="s">
        <v>153</v>
      </c>
      <c r="H323" s="31" t="s">
        <v>153</v>
      </c>
      <c r="I323" s="31" t="s">
        <v>153</v>
      </c>
      <c r="J323" s="31" t="s">
        <v>153</v>
      </c>
      <c r="K323" s="31" t="s">
        <v>153</v>
      </c>
      <c r="L323" s="31">
        <f>VALUE(0)</f>
        <v>0</v>
      </c>
      <c r="M323" s="31">
        <f>VALUE(2)</f>
        <v>2</v>
      </c>
      <c r="N323" s="31">
        <f>VALUE(0)</f>
        <v>0</v>
      </c>
      <c r="O323" s="31">
        <f>VALUE(2)</f>
        <v>2</v>
      </c>
      <c r="P323" s="31">
        <f>VALUE(2)</f>
        <v>2</v>
      </c>
      <c r="Q323" s="31">
        <f>VALUE(2)</f>
        <v>2</v>
      </c>
      <c r="R323" s="31">
        <f>VALUE(2)</f>
        <v>2</v>
      </c>
      <c r="S323" s="31">
        <f>VALUE(2)</f>
        <v>2</v>
      </c>
      <c r="T323" s="31">
        <f>VALUE(2)</f>
        <v>2</v>
      </c>
      <c r="U323" s="31">
        <f>VALUE(0)</f>
        <v>0</v>
      </c>
      <c r="V323" s="31">
        <f>VALUE(0)</f>
        <v>0</v>
      </c>
      <c r="W323" s="31">
        <f>VALUE(2)</f>
        <v>2</v>
      </c>
      <c r="X323" s="31">
        <f>VALUE(2)</f>
        <v>2</v>
      </c>
      <c r="Y323" s="31">
        <f>VALUE(2)</f>
        <v>2</v>
      </c>
      <c r="Z323" s="31">
        <f>VALUE(2)</f>
        <v>2</v>
      </c>
      <c r="AA323" s="31">
        <f>VALUE(2)</f>
        <v>2</v>
      </c>
      <c r="AB323" s="31">
        <f>VALUE(0)</f>
        <v>0</v>
      </c>
      <c r="AC323" s="31">
        <f>VALUE(2)</f>
        <v>2</v>
      </c>
      <c r="AD323" s="31">
        <f>VALUE(2)</f>
        <v>2</v>
      </c>
      <c r="AE323" s="31">
        <f>VALUE(1)</f>
        <v>1</v>
      </c>
      <c r="AF323" s="31">
        <f>VALUE(1)</f>
        <v>1</v>
      </c>
      <c r="AG323" s="31">
        <f>VALUE(1)</f>
        <v>1</v>
      </c>
      <c r="AH323" s="31">
        <f>VALUE(1)</f>
        <v>1</v>
      </c>
      <c r="AI323" s="31">
        <f>VALUE(0)</f>
        <v>0</v>
      </c>
      <c r="AJ323" s="31">
        <f>VALUE(1)</f>
        <v>1</v>
      </c>
      <c r="AK323" s="31">
        <f>VALUE(1)</f>
        <v>1</v>
      </c>
      <c r="AL323" s="31">
        <f>VALUE(2)</f>
        <v>2</v>
      </c>
      <c r="AM323" s="31">
        <f>VALUE(2)</f>
        <v>2</v>
      </c>
      <c r="AN323" s="31">
        <f>VALUE(2)</f>
        <v>2</v>
      </c>
      <c r="AO323" s="31">
        <f>VALUE(2)</f>
        <v>2</v>
      </c>
      <c r="AP323" s="31">
        <v>0</v>
      </c>
      <c r="AQ323" s="31">
        <v>0</v>
      </c>
      <c r="AR323" s="31">
        <v>0</v>
      </c>
      <c r="AS323" s="31">
        <v>0</v>
      </c>
      <c r="AT323" s="31">
        <v>0</v>
      </c>
      <c r="AU323" s="31">
        <v>0</v>
      </c>
      <c r="AV323" s="31">
        <v>0</v>
      </c>
      <c r="AW323" s="31">
        <v>0</v>
      </c>
      <c r="AX323" s="31">
        <v>0</v>
      </c>
      <c r="AY323" s="31">
        <v>0</v>
      </c>
      <c r="AZ323" s="31">
        <v>0</v>
      </c>
      <c r="BA323" s="31">
        <v>0</v>
      </c>
      <c r="BB323" s="31">
        <v>0</v>
      </c>
      <c r="BC323" s="31">
        <v>0</v>
      </c>
      <c r="BD323" s="31">
        <v>0</v>
      </c>
      <c r="BE323" s="31">
        <v>0</v>
      </c>
      <c r="BF323" s="31">
        <v>0</v>
      </c>
      <c r="BG323" s="31">
        <v>0</v>
      </c>
      <c r="BH323" s="31">
        <v>0</v>
      </c>
      <c r="BI323" s="31">
        <v>0</v>
      </c>
      <c r="BJ323" s="31">
        <v>0</v>
      </c>
      <c r="BK323" s="12">
        <v>0</v>
      </c>
      <c r="BL323" s="12">
        <v>0</v>
      </c>
      <c r="BM323" s="12">
        <v>0</v>
      </c>
      <c r="BN323" s="12"/>
      <c r="BO323" s="12">
        <v>0</v>
      </c>
      <c r="BP323" s="12">
        <v>0</v>
      </c>
      <c r="BQ323" s="12">
        <v>0</v>
      </c>
      <c r="BR323" s="12">
        <v>0</v>
      </c>
      <c r="BS323" s="12">
        <v>0</v>
      </c>
      <c r="BT323" s="12">
        <v>0</v>
      </c>
      <c r="BU323" s="12">
        <v>0</v>
      </c>
      <c r="BV323" s="12">
        <v>0</v>
      </c>
      <c r="BW323" s="12">
        <v>0</v>
      </c>
      <c r="BX323" s="12">
        <v>0</v>
      </c>
      <c r="BY323" s="12">
        <v>0</v>
      </c>
      <c r="BZ323" s="12">
        <v>0</v>
      </c>
      <c r="CA323" s="12">
        <v>0</v>
      </c>
    </row>
    <row r="324" spans="1:79" hidden="1" x14ac:dyDescent="0.2">
      <c r="A324" s="12" t="s">
        <v>147</v>
      </c>
      <c r="B324" s="12" t="s">
        <v>148</v>
      </c>
      <c r="C324" s="12" t="s">
        <v>148</v>
      </c>
      <c r="D324" s="22" t="s">
        <v>573</v>
      </c>
      <c r="E324" s="22" t="s">
        <v>161</v>
      </c>
      <c r="F324" s="22" t="s">
        <v>1113</v>
      </c>
      <c r="G324" s="22" t="s">
        <v>1114</v>
      </c>
      <c r="H324" s="22" t="s">
        <v>166</v>
      </c>
      <c r="I324" s="22" t="s">
        <v>151</v>
      </c>
      <c r="J324" s="22" t="s">
        <v>162</v>
      </c>
      <c r="K324" s="22" t="s">
        <v>101</v>
      </c>
      <c r="L324" s="54" t="s">
        <v>153</v>
      </c>
      <c r="M324" s="23" t="s">
        <v>153</v>
      </c>
      <c r="N324" s="24" t="s">
        <v>153</v>
      </c>
      <c r="O324" s="23" t="s">
        <v>153</v>
      </c>
      <c r="P324" s="23" t="s">
        <v>153</v>
      </c>
      <c r="Q324" s="23" t="s">
        <v>153</v>
      </c>
      <c r="R324" s="23" t="s">
        <v>153</v>
      </c>
      <c r="S324" s="23" t="s">
        <v>153</v>
      </c>
      <c r="T324" s="23" t="s">
        <v>153</v>
      </c>
      <c r="U324" s="24" t="s">
        <v>153</v>
      </c>
      <c r="V324" s="54" t="s">
        <v>153</v>
      </c>
      <c r="W324" s="23" t="s">
        <v>153</v>
      </c>
      <c r="X324" s="23" t="s">
        <v>153</v>
      </c>
      <c r="Y324" s="23" t="s">
        <v>153</v>
      </c>
      <c r="Z324" s="23" t="s">
        <v>153</v>
      </c>
      <c r="AA324" s="23" t="s">
        <v>153</v>
      </c>
      <c r="AB324" s="24" t="s">
        <v>153</v>
      </c>
      <c r="AC324" s="23" t="s">
        <v>153</v>
      </c>
      <c r="AD324" s="23" t="s">
        <v>153</v>
      </c>
      <c r="AE324" s="23" t="s">
        <v>153</v>
      </c>
      <c r="AF324" s="24" t="s">
        <v>156</v>
      </c>
      <c r="AG324" s="24" t="s">
        <v>156</v>
      </c>
      <c r="AH324" s="24" t="s">
        <v>156</v>
      </c>
      <c r="AI324" s="24" t="s">
        <v>153</v>
      </c>
      <c r="AJ324" s="28" t="s">
        <v>338</v>
      </c>
      <c r="AK324" s="28" t="s">
        <v>338</v>
      </c>
      <c r="AL324" s="28" t="s">
        <v>338</v>
      </c>
      <c r="AM324" s="23" t="s">
        <v>153</v>
      </c>
      <c r="AN324" s="23" t="s">
        <v>153</v>
      </c>
      <c r="AO324" s="23" t="s">
        <v>153</v>
      </c>
      <c r="AP324" s="23">
        <f>VALUE(6)</f>
        <v>6</v>
      </c>
      <c r="AQ324" s="23">
        <f>VALUE(0)</f>
        <v>0</v>
      </c>
      <c r="AR324" s="23">
        <f>VALUE(0)</f>
        <v>0</v>
      </c>
      <c r="AS324" s="23">
        <f>VALUE(0)</f>
        <v>0</v>
      </c>
      <c r="AT324" s="23">
        <f>VALUE(3)</f>
        <v>3</v>
      </c>
      <c r="AU324" s="23">
        <f>VALUE(0)</f>
        <v>0</v>
      </c>
      <c r="AV324" s="23">
        <f>VALUE(5.5)</f>
        <v>5.5</v>
      </c>
      <c r="AW324" s="23">
        <f>VALUE(0)</f>
        <v>0</v>
      </c>
      <c r="AX324" s="23" t="s">
        <v>504</v>
      </c>
      <c r="AY324" s="23">
        <f>VALUE(0)</f>
        <v>0</v>
      </c>
      <c r="AZ324" s="23">
        <f>VALUE(0)</f>
        <v>0</v>
      </c>
      <c r="BA324" s="23">
        <f>VALUE(0)</f>
        <v>0</v>
      </c>
      <c r="BB324" s="23">
        <f>VALUE(0)</f>
        <v>0</v>
      </c>
      <c r="BC324" s="23">
        <f>VALUE(0)</f>
        <v>0</v>
      </c>
      <c r="BD324" s="23">
        <f>VALUE(0)</f>
        <v>0</v>
      </c>
      <c r="BE324" s="23">
        <f>VALUE(0)</f>
        <v>0</v>
      </c>
      <c r="BF324" s="23">
        <f>VALUE(0)</f>
        <v>0</v>
      </c>
      <c r="BG324" s="23">
        <f>VALUE(0)</f>
        <v>0</v>
      </c>
      <c r="BH324" s="23">
        <f>VALUE(0)</f>
        <v>0</v>
      </c>
      <c r="BI324" s="23">
        <f>VALUE(0)</f>
        <v>0</v>
      </c>
      <c r="BJ324" s="23">
        <f>VALUE(0)</f>
        <v>0</v>
      </c>
      <c r="BK324" s="12">
        <f>$AX$324*24</f>
        <v>23.783333333333335</v>
      </c>
      <c r="BL324" s="12">
        <f>$AY$324*24</f>
        <v>0</v>
      </c>
      <c r="BM324" s="12">
        <f>$BJ$324*24</f>
        <v>0</v>
      </c>
      <c r="BN324" s="12">
        <f>VALUE($I$324)/100</f>
        <v>1</v>
      </c>
      <c r="BO324" s="12">
        <v>0</v>
      </c>
      <c r="BP324" s="12">
        <v>0</v>
      </c>
      <c r="BQ324" s="12">
        <v>0</v>
      </c>
      <c r="BR324" s="12">
        <v>0</v>
      </c>
      <c r="BS324" s="12">
        <v>0</v>
      </c>
      <c r="BT324" s="12">
        <v>0</v>
      </c>
      <c r="BU324" s="12">
        <v>0</v>
      </c>
      <c r="BV324" s="12">
        <v>0</v>
      </c>
      <c r="BW324" s="12">
        <v>0</v>
      </c>
      <c r="BX324" s="12">
        <v>0</v>
      </c>
      <c r="BY324" s="12">
        <v>3</v>
      </c>
      <c r="BZ324" s="12">
        <v>0</v>
      </c>
      <c r="CA324" s="12">
        <v>0</v>
      </c>
    </row>
    <row r="325" spans="1:79" hidden="1" x14ac:dyDescent="0.2">
      <c r="A325" s="12" t="s">
        <v>147</v>
      </c>
      <c r="B325" s="12" t="s">
        <v>148</v>
      </c>
      <c r="C325" s="12" t="s">
        <v>148</v>
      </c>
      <c r="D325" s="22" t="s">
        <v>574</v>
      </c>
      <c r="E325" s="22" t="s">
        <v>161</v>
      </c>
      <c r="F325" s="22" t="s">
        <v>1115</v>
      </c>
      <c r="G325" s="22" t="s">
        <v>1116</v>
      </c>
      <c r="H325" s="22" t="s">
        <v>190</v>
      </c>
      <c r="I325" s="22" t="s">
        <v>151</v>
      </c>
      <c r="J325" s="22" t="s">
        <v>162</v>
      </c>
      <c r="K325" s="22" t="s">
        <v>101</v>
      </c>
      <c r="L325" s="54" t="s">
        <v>153</v>
      </c>
      <c r="M325" s="23" t="s">
        <v>153</v>
      </c>
      <c r="N325" s="24" t="s">
        <v>153</v>
      </c>
      <c r="O325" s="23" t="s">
        <v>153</v>
      </c>
      <c r="P325" s="23" t="s">
        <v>153</v>
      </c>
      <c r="Q325" s="23" t="s">
        <v>153</v>
      </c>
      <c r="R325" s="23" t="s">
        <v>153</v>
      </c>
      <c r="S325" s="23" t="s">
        <v>153</v>
      </c>
      <c r="T325" s="23" t="s">
        <v>153</v>
      </c>
      <c r="U325" s="40" t="s">
        <v>153</v>
      </c>
      <c r="V325" s="40" t="s">
        <v>153</v>
      </c>
      <c r="W325" s="40" t="s">
        <v>153</v>
      </c>
      <c r="X325" s="40" t="s">
        <v>153</v>
      </c>
      <c r="Y325" s="40" t="s">
        <v>153</v>
      </c>
      <c r="Z325" s="40" t="s">
        <v>153</v>
      </c>
      <c r="AA325" s="40" t="s">
        <v>153</v>
      </c>
      <c r="AB325" s="40" t="s">
        <v>153</v>
      </c>
      <c r="AC325" s="40" t="s">
        <v>153</v>
      </c>
      <c r="AD325" s="40" t="s">
        <v>153</v>
      </c>
      <c r="AE325" s="40" t="s">
        <v>153</v>
      </c>
      <c r="AF325" s="40" t="s">
        <v>153</v>
      </c>
      <c r="AG325" s="40" t="s">
        <v>153</v>
      </c>
      <c r="AH325" s="40" t="s">
        <v>153</v>
      </c>
      <c r="AI325" s="40" t="s">
        <v>153</v>
      </c>
      <c r="AJ325" s="40" t="s">
        <v>153</v>
      </c>
      <c r="AK325" s="40" t="s">
        <v>153</v>
      </c>
      <c r="AL325" s="40" t="s">
        <v>153</v>
      </c>
      <c r="AM325" s="40" t="s">
        <v>153</v>
      </c>
      <c r="AN325" s="40" t="s">
        <v>153</v>
      </c>
      <c r="AO325" s="40" t="s">
        <v>153</v>
      </c>
      <c r="AP325" s="23">
        <f>VALUE(0)</f>
        <v>0</v>
      </c>
      <c r="AQ325" s="23">
        <f>VALUE(0)</f>
        <v>0</v>
      </c>
      <c r="AR325" s="23">
        <f>VALUE(0)</f>
        <v>0</v>
      </c>
      <c r="AS325" s="23">
        <f>VALUE(0)</f>
        <v>0</v>
      </c>
      <c r="AT325" s="23">
        <f>VALUE(0)</f>
        <v>0</v>
      </c>
      <c r="AU325" s="23">
        <f>VALUE(0)</f>
        <v>0</v>
      </c>
      <c r="AV325" s="23">
        <f>VALUE(2)</f>
        <v>2</v>
      </c>
      <c r="AW325" s="23">
        <f>VALUE(0)</f>
        <v>0</v>
      </c>
      <c r="AX325" s="23">
        <f>VALUE(0)</f>
        <v>0</v>
      </c>
      <c r="AY325" s="23">
        <f>VALUE(0)</f>
        <v>0</v>
      </c>
      <c r="AZ325" s="23">
        <f>VALUE(0)</f>
        <v>0</v>
      </c>
      <c r="BA325" s="23">
        <f>VALUE(0)</f>
        <v>0</v>
      </c>
      <c r="BB325" s="23">
        <f>VALUE(0)</f>
        <v>0</v>
      </c>
      <c r="BC325" s="23">
        <f>VALUE(0)</f>
        <v>0</v>
      </c>
      <c r="BD325" s="23">
        <f>VALUE(0)</f>
        <v>0</v>
      </c>
      <c r="BE325" s="23">
        <f>VALUE(0)</f>
        <v>0</v>
      </c>
      <c r="BF325" s="23">
        <f>VALUE(0)</f>
        <v>0</v>
      </c>
      <c r="BG325" s="23">
        <f>VALUE(0)</f>
        <v>0</v>
      </c>
      <c r="BH325" s="23">
        <f>VALUE(0)</f>
        <v>0</v>
      </c>
      <c r="BI325" s="23">
        <f>VALUE(0)</f>
        <v>0</v>
      </c>
      <c r="BJ325" s="23">
        <f>VALUE(0)</f>
        <v>0</v>
      </c>
      <c r="BK325" s="12">
        <f>$AX$325*24</f>
        <v>0</v>
      </c>
      <c r="BL325" s="12">
        <f>$AY$325*24</f>
        <v>0</v>
      </c>
      <c r="BM325" s="12">
        <f>$BJ$325*24</f>
        <v>0</v>
      </c>
      <c r="BN325" s="12">
        <f>VALUE($I$325)/100</f>
        <v>1</v>
      </c>
      <c r="BO325" s="12">
        <v>0</v>
      </c>
      <c r="BP325" s="12">
        <v>0</v>
      </c>
      <c r="BQ325" s="12">
        <v>0</v>
      </c>
      <c r="BR325" s="12">
        <v>0</v>
      </c>
      <c r="BS325" s="12">
        <v>0</v>
      </c>
      <c r="BT325" s="12">
        <v>0</v>
      </c>
      <c r="BU325" s="12">
        <v>0</v>
      </c>
      <c r="BV325" s="12">
        <v>0</v>
      </c>
      <c r="BW325" s="12">
        <v>0</v>
      </c>
      <c r="BX325" s="12">
        <v>0</v>
      </c>
      <c r="BY325" s="12">
        <v>0</v>
      </c>
      <c r="BZ325" s="12">
        <v>0</v>
      </c>
      <c r="CA325" s="12">
        <v>0</v>
      </c>
    </row>
    <row r="326" spans="1:79" hidden="1" x14ac:dyDescent="0.2">
      <c r="A326" s="12" t="s">
        <v>147</v>
      </c>
      <c r="B326" s="12" t="s">
        <v>148</v>
      </c>
      <c r="C326" s="12" t="s">
        <v>148</v>
      </c>
      <c r="D326" s="22" t="s">
        <v>575</v>
      </c>
      <c r="E326" s="22" t="s">
        <v>161</v>
      </c>
      <c r="F326" s="22" t="s">
        <v>1315</v>
      </c>
      <c r="G326" s="22" t="s">
        <v>1117</v>
      </c>
      <c r="H326" s="22" t="s">
        <v>150</v>
      </c>
      <c r="I326" s="22" t="s">
        <v>151</v>
      </c>
      <c r="J326" s="22" t="s">
        <v>162</v>
      </c>
      <c r="K326" s="22" t="s">
        <v>101</v>
      </c>
      <c r="L326" s="54" t="s">
        <v>153</v>
      </c>
      <c r="M326" s="28" t="s">
        <v>163</v>
      </c>
      <c r="N326" s="24" t="s">
        <v>153</v>
      </c>
      <c r="O326" s="28" t="s">
        <v>163</v>
      </c>
      <c r="P326" s="28" t="s">
        <v>163</v>
      </c>
      <c r="Q326" s="28" t="s">
        <v>163</v>
      </c>
      <c r="R326" s="28" t="s">
        <v>163</v>
      </c>
      <c r="S326" s="28" t="s">
        <v>163</v>
      </c>
      <c r="T326" s="28" t="s">
        <v>163</v>
      </c>
      <c r="U326" s="24" t="s">
        <v>153</v>
      </c>
      <c r="V326" s="54" t="s">
        <v>153</v>
      </c>
      <c r="W326" s="23" t="s">
        <v>153</v>
      </c>
      <c r="X326" s="23" t="s">
        <v>153</v>
      </c>
      <c r="Y326" s="23" t="s">
        <v>153</v>
      </c>
      <c r="Z326" s="23" t="s">
        <v>153</v>
      </c>
      <c r="AA326" s="23" t="s">
        <v>153</v>
      </c>
      <c r="AB326" s="24" t="s">
        <v>153</v>
      </c>
      <c r="AC326" s="23" t="s">
        <v>153</v>
      </c>
      <c r="AD326" s="23" t="s">
        <v>153</v>
      </c>
      <c r="AE326" s="23" t="s">
        <v>153</v>
      </c>
      <c r="AF326" s="23" t="s">
        <v>153</v>
      </c>
      <c r="AG326" s="23" t="s">
        <v>153</v>
      </c>
      <c r="AH326" s="23" t="s">
        <v>153</v>
      </c>
      <c r="AI326" s="24" t="s">
        <v>153</v>
      </c>
      <c r="AJ326" s="23" t="s">
        <v>153</v>
      </c>
      <c r="AK326" s="23" t="s">
        <v>153</v>
      </c>
      <c r="AL326" s="23" t="s">
        <v>153</v>
      </c>
      <c r="AM326" s="23" t="s">
        <v>153</v>
      </c>
      <c r="AN326" s="23" t="s">
        <v>153</v>
      </c>
      <c r="AO326" s="23" t="s">
        <v>153</v>
      </c>
      <c r="AP326" s="23">
        <f>VALUE(7)</f>
        <v>7</v>
      </c>
      <c r="AQ326" s="23">
        <f>VALUE(0)</f>
        <v>0</v>
      </c>
      <c r="AR326" s="23">
        <f>VALUE(0)</f>
        <v>0</v>
      </c>
      <c r="AS326" s="23">
        <f>VALUE(0)</f>
        <v>0</v>
      </c>
      <c r="AT326" s="23">
        <f>VALUE(0)</f>
        <v>0</v>
      </c>
      <c r="AU326" s="23">
        <f>VALUE(7)</f>
        <v>7</v>
      </c>
      <c r="AV326" s="23">
        <f>VALUE(0)</f>
        <v>0</v>
      </c>
      <c r="AW326" s="23">
        <f>VALUE(0)</f>
        <v>0</v>
      </c>
      <c r="AX326" s="23" t="s">
        <v>176</v>
      </c>
      <c r="AY326" s="23" t="s">
        <v>571</v>
      </c>
      <c r="AZ326" s="23">
        <f>VALUE(0)</f>
        <v>0</v>
      </c>
      <c r="BA326" s="23">
        <f>VALUE(0)</f>
        <v>0</v>
      </c>
      <c r="BB326" s="23">
        <f>VALUE(0)</f>
        <v>0</v>
      </c>
      <c r="BC326" s="23">
        <f>VALUE(0)</f>
        <v>0</v>
      </c>
      <c r="BD326" s="23">
        <f>VALUE(0)</f>
        <v>0</v>
      </c>
      <c r="BE326" s="23">
        <f>VALUE(0)</f>
        <v>0</v>
      </c>
      <c r="BF326" s="23">
        <f>VALUE(0)</f>
        <v>0</v>
      </c>
      <c r="BG326" s="23">
        <f>VALUE(0)</f>
        <v>0</v>
      </c>
      <c r="BH326" s="23">
        <f>VALUE(0)</f>
        <v>0</v>
      </c>
      <c r="BI326" s="23">
        <f>VALUE(0)</f>
        <v>0</v>
      </c>
      <c r="BJ326" s="23">
        <f>VALUE(0)</f>
        <v>0</v>
      </c>
      <c r="BK326" s="12">
        <f>$AX$326*24</f>
        <v>0</v>
      </c>
      <c r="BL326" s="12">
        <f>$AY$326*24</f>
        <v>3.1000000000000005</v>
      </c>
      <c r="BM326" s="12">
        <f>$BJ$326*24</f>
        <v>0</v>
      </c>
      <c r="BN326" s="12">
        <f>VALUE($I$326)/100</f>
        <v>1</v>
      </c>
      <c r="BO326" s="12">
        <v>0</v>
      </c>
      <c r="BP326" s="12">
        <v>0</v>
      </c>
      <c r="BQ326" s="12">
        <v>0</v>
      </c>
      <c r="BR326" s="12">
        <v>0</v>
      </c>
      <c r="BS326" s="12">
        <v>0</v>
      </c>
      <c r="BT326" s="12">
        <v>0</v>
      </c>
      <c r="BU326" s="12">
        <v>0</v>
      </c>
      <c r="BV326" s="12">
        <v>0</v>
      </c>
      <c r="BW326" s="12">
        <v>0</v>
      </c>
      <c r="BX326" s="12">
        <v>0</v>
      </c>
      <c r="BY326" s="12">
        <v>0</v>
      </c>
      <c r="BZ326" s="12">
        <v>0</v>
      </c>
      <c r="CA326" s="12">
        <v>0</v>
      </c>
    </row>
    <row r="327" spans="1:79" hidden="1" x14ac:dyDescent="0.2">
      <c r="A327" s="12" t="s">
        <v>147</v>
      </c>
      <c r="B327" s="12" t="s">
        <v>148</v>
      </c>
      <c r="C327" s="12" t="s">
        <v>148</v>
      </c>
      <c r="D327" s="22" t="s">
        <v>576</v>
      </c>
      <c r="E327" s="22" t="s">
        <v>161</v>
      </c>
      <c r="F327" s="22" t="s">
        <v>1316</v>
      </c>
      <c r="G327" s="22" t="s">
        <v>1118</v>
      </c>
      <c r="H327" s="22" t="s">
        <v>166</v>
      </c>
      <c r="I327" s="22" t="s">
        <v>151</v>
      </c>
      <c r="J327" s="22" t="s">
        <v>162</v>
      </c>
      <c r="K327" s="22" t="s">
        <v>101</v>
      </c>
      <c r="L327" s="54" t="s">
        <v>156</v>
      </c>
      <c r="M327" s="24" t="s">
        <v>156</v>
      </c>
      <c r="N327" s="24" t="s">
        <v>153</v>
      </c>
      <c r="O327" s="23" t="s">
        <v>153</v>
      </c>
      <c r="P327" s="23" t="s">
        <v>153</v>
      </c>
      <c r="Q327" s="23" t="s">
        <v>153</v>
      </c>
      <c r="R327" s="23" t="s">
        <v>153</v>
      </c>
      <c r="S327" s="23" t="s">
        <v>153</v>
      </c>
      <c r="T327" s="23" t="s">
        <v>153</v>
      </c>
      <c r="U327" s="24" t="s">
        <v>153</v>
      </c>
      <c r="V327" s="54" t="s">
        <v>153</v>
      </c>
      <c r="W327" s="23" t="s">
        <v>153</v>
      </c>
      <c r="X327" s="23" t="s">
        <v>153</v>
      </c>
      <c r="Y327" s="23" t="s">
        <v>153</v>
      </c>
      <c r="Z327" s="23" t="s">
        <v>153</v>
      </c>
      <c r="AA327" s="23" t="s">
        <v>153</v>
      </c>
      <c r="AB327" s="24" t="s">
        <v>153</v>
      </c>
      <c r="AC327" s="23" t="s">
        <v>153</v>
      </c>
      <c r="AD327" s="23" t="s">
        <v>153</v>
      </c>
      <c r="AE327" s="23" t="s">
        <v>153</v>
      </c>
      <c r="AF327" s="23" t="s">
        <v>153</v>
      </c>
      <c r="AG327" s="23" t="s">
        <v>153</v>
      </c>
      <c r="AH327" s="23" t="s">
        <v>153</v>
      </c>
      <c r="AI327" s="24" t="s">
        <v>153</v>
      </c>
      <c r="AJ327" s="30" t="s">
        <v>28</v>
      </c>
      <c r="AK327" s="30" t="s">
        <v>28</v>
      </c>
      <c r="AL327" s="30" t="s">
        <v>28</v>
      </c>
      <c r="AM327" s="30" t="s">
        <v>28</v>
      </c>
      <c r="AN327" s="30" t="s">
        <v>28</v>
      </c>
      <c r="AO327" s="28" t="s">
        <v>163</v>
      </c>
      <c r="AP327" s="23">
        <f>VALUE(17)</f>
        <v>17</v>
      </c>
      <c r="AQ327" s="23">
        <f>VALUE(0)</f>
        <v>0</v>
      </c>
      <c r="AR327" s="23">
        <f>VALUE(0)</f>
        <v>0</v>
      </c>
      <c r="AS327" s="23">
        <f>VALUE(0)</f>
        <v>0</v>
      </c>
      <c r="AT327" s="23">
        <f>VALUE(0)</f>
        <v>0</v>
      </c>
      <c r="AU327" s="23">
        <f>VALUE(1)</f>
        <v>1</v>
      </c>
      <c r="AV327" s="23">
        <f>VALUE(2.5)</f>
        <v>2.5</v>
      </c>
      <c r="AW327" s="23">
        <f>VALUE(0)</f>
        <v>0</v>
      </c>
      <c r="AX327" s="23" t="s">
        <v>1317</v>
      </c>
      <c r="AY327" s="23">
        <f>VALUE(0)</f>
        <v>0</v>
      </c>
      <c r="AZ327" s="23">
        <f>VALUE(0)</f>
        <v>0</v>
      </c>
      <c r="BA327" s="23">
        <f>VALUE(0)</f>
        <v>0</v>
      </c>
      <c r="BB327" s="23">
        <f>VALUE(0)</f>
        <v>0</v>
      </c>
      <c r="BC327" s="23">
        <f>VALUE(0)</f>
        <v>0</v>
      </c>
      <c r="BD327" s="23">
        <f>VALUE(0)</f>
        <v>0</v>
      </c>
      <c r="BE327" s="23">
        <f>VALUE(0)</f>
        <v>0</v>
      </c>
      <c r="BF327" s="23">
        <f>VALUE(0)</f>
        <v>0</v>
      </c>
      <c r="BG327" s="23">
        <f>VALUE(0)</f>
        <v>0</v>
      </c>
      <c r="BH327" s="23">
        <f>VALUE(0)</f>
        <v>0</v>
      </c>
      <c r="BI327" s="23">
        <f>VALUE(0)</f>
        <v>0</v>
      </c>
      <c r="BJ327" s="23">
        <f>VALUE(0)</f>
        <v>0</v>
      </c>
      <c r="BK327" s="12">
        <f>$AX$327*24</f>
        <v>33</v>
      </c>
      <c r="BL327" s="12">
        <f>$AY$327*24</f>
        <v>0</v>
      </c>
      <c r="BM327" s="12">
        <f>$BJ$327*24</f>
        <v>0</v>
      </c>
      <c r="BN327" s="12">
        <f>VALUE($I$327)/100</f>
        <v>1</v>
      </c>
      <c r="BO327" s="12">
        <v>0</v>
      </c>
      <c r="BP327" s="12">
        <v>0</v>
      </c>
      <c r="BQ327" s="12">
        <v>5</v>
      </c>
      <c r="BR327" s="12">
        <v>0</v>
      </c>
      <c r="BS327" s="12">
        <v>0</v>
      </c>
      <c r="BT327" s="12">
        <v>0</v>
      </c>
      <c r="BU327" s="12">
        <v>0</v>
      </c>
      <c r="BV327" s="12">
        <v>0</v>
      </c>
      <c r="BW327" s="12">
        <v>0</v>
      </c>
      <c r="BX327" s="12">
        <v>0</v>
      </c>
      <c r="BY327" s="12">
        <v>0</v>
      </c>
      <c r="BZ327" s="12">
        <v>0</v>
      </c>
      <c r="CA327" s="12">
        <v>0</v>
      </c>
    </row>
    <row r="328" spans="1:79" hidden="1" x14ac:dyDescent="0.2">
      <c r="A328" s="12" t="s">
        <v>147</v>
      </c>
      <c r="B328" s="12" t="s">
        <v>148</v>
      </c>
      <c r="C328" s="12" t="s">
        <v>148</v>
      </c>
      <c r="D328" s="22" t="s">
        <v>577</v>
      </c>
      <c r="E328" s="22" t="s">
        <v>161</v>
      </c>
      <c r="F328" s="22" t="s">
        <v>1119</v>
      </c>
      <c r="G328" s="22" t="s">
        <v>1120</v>
      </c>
      <c r="H328" s="22" t="s">
        <v>166</v>
      </c>
      <c r="I328" s="22" t="s">
        <v>151</v>
      </c>
      <c r="J328" s="22" t="s">
        <v>162</v>
      </c>
      <c r="K328" s="22" t="s">
        <v>101</v>
      </c>
      <c r="L328" s="54" t="s">
        <v>153</v>
      </c>
      <c r="M328" s="23" t="s">
        <v>153</v>
      </c>
      <c r="N328" s="24" t="s">
        <v>153</v>
      </c>
      <c r="O328" s="28" t="s">
        <v>163</v>
      </c>
      <c r="P328" s="28" t="s">
        <v>163</v>
      </c>
      <c r="Q328" s="28" t="s">
        <v>163</v>
      </c>
      <c r="R328" s="23" t="s">
        <v>153</v>
      </c>
      <c r="S328" s="23" t="s">
        <v>153</v>
      </c>
      <c r="T328" s="23" t="s">
        <v>153</v>
      </c>
      <c r="U328" s="24" t="s">
        <v>153</v>
      </c>
      <c r="V328" s="54" t="s">
        <v>153</v>
      </c>
      <c r="W328" s="23" t="s">
        <v>153</v>
      </c>
      <c r="X328" s="23" t="s">
        <v>153</v>
      </c>
      <c r="Y328" s="24" t="s">
        <v>156</v>
      </c>
      <c r="Z328" s="24" t="s">
        <v>156</v>
      </c>
      <c r="AA328" s="24" t="s">
        <v>156</v>
      </c>
      <c r="AB328" s="24" t="s">
        <v>153</v>
      </c>
      <c r="AC328" s="28" t="s">
        <v>338</v>
      </c>
      <c r="AD328" s="28" t="s">
        <v>338</v>
      </c>
      <c r="AE328" s="28" t="s">
        <v>338</v>
      </c>
      <c r="AF328" s="28" t="s">
        <v>338</v>
      </c>
      <c r="AG328" s="28" t="s">
        <v>338</v>
      </c>
      <c r="AH328" s="28" t="s">
        <v>338</v>
      </c>
      <c r="AI328" s="24" t="s">
        <v>153</v>
      </c>
      <c r="AJ328" s="23" t="s">
        <v>153</v>
      </c>
      <c r="AK328" s="23" t="s">
        <v>153</v>
      </c>
      <c r="AL328" s="23" t="s">
        <v>153</v>
      </c>
      <c r="AM328" s="23" t="s">
        <v>153</v>
      </c>
      <c r="AN328" s="23" t="s">
        <v>153</v>
      </c>
      <c r="AO328" s="23" t="s">
        <v>153</v>
      </c>
      <c r="AP328" s="23">
        <f>VALUE(12)</f>
        <v>12</v>
      </c>
      <c r="AQ328" s="23">
        <f>VALUE(0)</f>
        <v>0</v>
      </c>
      <c r="AR328" s="23">
        <f>VALUE(0)</f>
        <v>0</v>
      </c>
      <c r="AS328" s="23">
        <f>VALUE(0)</f>
        <v>0</v>
      </c>
      <c r="AT328" s="23">
        <f>VALUE(6)</f>
        <v>6</v>
      </c>
      <c r="AU328" s="23">
        <f>VALUE(3)</f>
        <v>3</v>
      </c>
      <c r="AV328" s="23">
        <f>VALUE(12)</f>
        <v>12</v>
      </c>
      <c r="AW328" s="23">
        <f>VALUE(0)</f>
        <v>0</v>
      </c>
      <c r="AX328" s="23" t="s">
        <v>1318</v>
      </c>
      <c r="AY328" s="23">
        <f>VALUE(0)</f>
        <v>0</v>
      </c>
      <c r="AZ328" s="23">
        <f>VALUE(0)</f>
        <v>0</v>
      </c>
      <c r="BA328" s="23">
        <f>VALUE(0)</f>
        <v>0</v>
      </c>
      <c r="BB328" s="23">
        <f>VALUE(0)</f>
        <v>0</v>
      </c>
      <c r="BC328" s="23">
        <f>VALUE(0)</f>
        <v>0</v>
      </c>
      <c r="BD328" s="23">
        <f>VALUE(0)</f>
        <v>0</v>
      </c>
      <c r="BE328" s="23">
        <f>VALUE(0)</f>
        <v>0</v>
      </c>
      <c r="BF328" s="23">
        <f>VALUE(0)</f>
        <v>0</v>
      </c>
      <c r="BG328" s="23">
        <f>VALUE(0)</f>
        <v>0</v>
      </c>
      <c r="BH328" s="23">
        <f>VALUE(0)</f>
        <v>0</v>
      </c>
      <c r="BI328" s="23">
        <f>VALUE(0)</f>
        <v>0</v>
      </c>
      <c r="BJ328" s="23">
        <f>VALUE(0)</f>
        <v>0</v>
      </c>
      <c r="BK328" s="12">
        <f>$AX$328*24</f>
        <v>33.6</v>
      </c>
      <c r="BL328" s="12">
        <f>$AY$328*24</f>
        <v>0</v>
      </c>
      <c r="BM328" s="12">
        <f>$BJ$328*24</f>
        <v>0</v>
      </c>
      <c r="BN328" s="12">
        <f>VALUE($I$328)/100</f>
        <v>1</v>
      </c>
      <c r="BO328" s="12">
        <v>0</v>
      </c>
      <c r="BP328" s="12">
        <v>0</v>
      </c>
      <c r="BQ328" s="12">
        <v>0</v>
      </c>
      <c r="BR328" s="12">
        <v>0</v>
      </c>
      <c r="BS328" s="12">
        <v>0</v>
      </c>
      <c r="BT328" s="12">
        <v>0</v>
      </c>
      <c r="BU328" s="12">
        <v>0</v>
      </c>
      <c r="BV328" s="12">
        <v>0</v>
      </c>
      <c r="BW328" s="12">
        <v>0</v>
      </c>
      <c r="BX328" s="12">
        <v>0</v>
      </c>
      <c r="BY328" s="12">
        <v>6</v>
      </c>
      <c r="BZ328" s="12">
        <v>0</v>
      </c>
      <c r="CA328" s="12">
        <v>0</v>
      </c>
    </row>
    <row r="329" spans="1:79" hidden="1" x14ac:dyDescent="0.2">
      <c r="A329" s="12" t="s">
        <v>147</v>
      </c>
      <c r="B329" s="12" t="s">
        <v>148</v>
      </c>
      <c r="C329" s="12" t="s">
        <v>148</v>
      </c>
      <c r="D329" s="22" t="s">
        <v>159</v>
      </c>
      <c r="E329" s="22" t="s">
        <v>159</v>
      </c>
      <c r="F329" s="22" t="s">
        <v>1121</v>
      </c>
      <c r="G329" s="22" t="s">
        <v>1122</v>
      </c>
      <c r="H329" s="22" t="s">
        <v>150</v>
      </c>
      <c r="I329" s="22" t="s">
        <v>151</v>
      </c>
      <c r="J329" s="22" t="s">
        <v>162</v>
      </c>
      <c r="K329" s="22" t="s">
        <v>101</v>
      </c>
      <c r="L329" s="54" t="s">
        <v>153</v>
      </c>
      <c r="M329" s="23" t="s">
        <v>575</v>
      </c>
      <c r="N329" s="24" t="s">
        <v>153</v>
      </c>
      <c r="O329" s="23" t="s">
        <v>575</v>
      </c>
      <c r="P329" s="23" t="s">
        <v>575</v>
      </c>
      <c r="Q329" s="23" t="s">
        <v>575</v>
      </c>
      <c r="R329" s="23" t="s">
        <v>575</v>
      </c>
      <c r="S329" s="23" t="s">
        <v>575</v>
      </c>
      <c r="T329" s="23" t="s">
        <v>575</v>
      </c>
      <c r="U329" s="24" t="s">
        <v>153</v>
      </c>
      <c r="V329" s="54" t="s">
        <v>153</v>
      </c>
      <c r="W329" s="29" t="s">
        <v>163</v>
      </c>
      <c r="X329" s="29" t="s">
        <v>163</v>
      </c>
      <c r="Y329" s="29" t="s">
        <v>163</v>
      </c>
      <c r="Z329" s="29" t="s">
        <v>163</v>
      </c>
      <c r="AA329" s="29" t="s">
        <v>163</v>
      </c>
      <c r="AB329" s="24" t="s">
        <v>153</v>
      </c>
      <c r="AC329" s="23" t="s">
        <v>577</v>
      </c>
      <c r="AD329" s="23" t="s">
        <v>577</v>
      </c>
      <c r="AE329" s="23" t="s">
        <v>577</v>
      </c>
      <c r="AF329" s="23" t="s">
        <v>577</v>
      </c>
      <c r="AG329" s="23" t="s">
        <v>577</v>
      </c>
      <c r="AH329" s="23" t="s">
        <v>577</v>
      </c>
      <c r="AI329" s="24" t="s">
        <v>153</v>
      </c>
      <c r="AJ329" s="23" t="s">
        <v>576</v>
      </c>
      <c r="AK329" s="23" t="s">
        <v>576</v>
      </c>
      <c r="AL329" s="23" t="s">
        <v>576</v>
      </c>
      <c r="AM329" s="23" t="s">
        <v>576</v>
      </c>
      <c r="AN329" s="23" t="s">
        <v>576</v>
      </c>
      <c r="AO329" s="23" t="s">
        <v>576</v>
      </c>
      <c r="AP329" s="23">
        <f>VALUE(6)</f>
        <v>6</v>
      </c>
      <c r="AQ329" s="23">
        <f>VALUE(0)</f>
        <v>0</v>
      </c>
      <c r="AR329" s="23">
        <f>VALUE(5)</f>
        <v>5</v>
      </c>
      <c r="AS329" s="23">
        <f>VALUE(0)</f>
        <v>0</v>
      </c>
      <c r="AT329" s="23">
        <f>VALUE(0)</f>
        <v>0</v>
      </c>
      <c r="AU329" s="23">
        <f>VALUE(0)</f>
        <v>0</v>
      </c>
      <c r="AV329" s="23">
        <f>VALUE(2)</f>
        <v>2</v>
      </c>
      <c r="AW329" s="23">
        <f>VALUE(0)</f>
        <v>0</v>
      </c>
      <c r="AX329" s="23">
        <f>VALUE(0)</f>
        <v>0</v>
      </c>
      <c r="AY329" s="23" t="s">
        <v>578</v>
      </c>
      <c r="AZ329" s="23">
        <f>VALUE(0)</f>
        <v>0</v>
      </c>
      <c r="BA329" s="23">
        <f>VALUE(0)</f>
        <v>0</v>
      </c>
      <c r="BB329" s="23">
        <f>VALUE(0)</f>
        <v>0</v>
      </c>
      <c r="BC329" s="23">
        <f>VALUE(0)</f>
        <v>0</v>
      </c>
      <c r="BD329" s="23">
        <f>VALUE(0)</f>
        <v>0</v>
      </c>
      <c r="BE329" s="23">
        <f>VALUE(0)</f>
        <v>0</v>
      </c>
      <c r="BF329" s="23">
        <f>VALUE(0)</f>
        <v>0</v>
      </c>
      <c r="BG329" s="23">
        <f>VALUE(0)</f>
        <v>0</v>
      </c>
      <c r="BH329" s="23">
        <f>VALUE(0)</f>
        <v>0</v>
      </c>
      <c r="BI329" s="23">
        <f>VALUE(0)</f>
        <v>0</v>
      </c>
      <c r="BJ329" s="23">
        <f>VALUE(0)</f>
        <v>0</v>
      </c>
      <c r="BK329" s="12">
        <f>$AX$329*24</f>
        <v>0</v>
      </c>
      <c r="BL329" s="12">
        <f>$AY$329*24</f>
        <v>2.7666666666666666</v>
      </c>
      <c r="BM329" s="12">
        <f>$BJ$329*24</f>
        <v>0</v>
      </c>
      <c r="BN329" s="12">
        <f>VALUE($I$329)/100</f>
        <v>1</v>
      </c>
      <c r="BO329" s="12">
        <v>0</v>
      </c>
      <c r="BP329" s="12">
        <v>0</v>
      </c>
      <c r="BQ329" s="12">
        <v>0</v>
      </c>
      <c r="BR329" s="12">
        <v>0</v>
      </c>
      <c r="BS329" s="12">
        <v>0</v>
      </c>
      <c r="BT329" s="12">
        <v>5</v>
      </c>
      <c r="BU329" s="12">
        <v>0</v>
      </c>
      <c r="BV329" s="12">
        <v>0</v>
      </c>
      <c r="BW329" s="12">
        <v>0</v>
      </c>
      <c r="BX329" s="12">
        <v>0</v>
      </c>
      <c r="BY329" s="12">
        <v>0</v>
      </c>
      <c r="BZ329" s="12">
        <v>0</v>
      </c>
      <c r="CA329" s="12">
        <v>0</v>
      </c>
    </row>
    <row r="330" spans="1:79" hidden="1" x14ac:dyDescent="0.2">
      <c r="A330" s="12" t="s">
        <v>147</v>
      </c>
      <c r="B330" s="12" t="s">
        <v>148</v>
      </c>
      <c r="C330" s="12" t="s">
        <v>148</v>
      </c>
      <c r="D330" s="22" t="s">
        <v>1319</v>
      </c>
      <c r="E330" s="22" t="s">
        <v>161</v>
      </c>
      <c r="F330" s="22" t="s">
        <v>1123</v>
      </c>
      <c r="G330" s="22" t="s">
        <v>1124</v>
      </c>
      <c r="H330" s="22" t="s">
        <v>166</v>
      </c>
      <c r="I330" s="22" t="s">
        <v>151</v>
      </c>
      <c r="J330" s="22" t="s">
        <v>162</v>
      </c>
      <c r="K330" s="22" t="s">
        <v>101</v>
      </c>
      <c r="L330" s="54" t="s">
        <v>153</v>
      </c>
      <c r="M330" s="27" t="s">
        <v>153</v>
      </c>
      <c r="N330" s="27" t="s">
        <v>153</v>
      </c>
      <c r="O330" s="27" t="s">
        <v>153</v>
      </c>
      <c r="P330" s="27" t="s">
        <v>153</v>
      </c>
      <c r="Q330" s="27" t="s">
        <v>153</v>
      </c>
      <c r="R330" s="27" t="s">
        <v>153</v>
      </c>
      <c r="S330" s="27" t="s">
        <v>153</v>
      </c>
      <c r="T330" s="27" t="s">
        <v>153</v>
      </c>
      <c r="U330" s="27" t="s">
        <v>153</v>
      </c>
      <c r="V330" s="54" t="s">
        <v>153</v>
      </c>
      <c r="W330" s="27" t="s">
        <v>153</v>
      </c>
      <c r="X330" s="27" t="s">
        <v>153</v>
      </c>
      <c r="Y330" s="27" t="s">
        <v>153</v>
      </c>
      <c r="Z330" s="27" t="s">
        <v>153</v>
      </c>
      <c r="AA330" s="27" t="s">
        <v>153</v>
      </c>
      <c r="AB330" s="27" t="s">
        <v>153</v>
      </c>
      <c r="AC330" s="27" t="s">
        <v>153</v>
      </c>
      <c r="AD330" s="27" t="s">
        <v>153</v>
      </c>
      <c r="AE330" s="27" t="s">
        <v>153</v>
      </c>
      <c r="AF330" s="27" t="s">
        <v>153</v>
      </c>
      <c r="AG330" s="27" t="s">
        <v>153</v>
      </c>
      <c r="AH330" s="27" t="s">
        <v>153</v>
      </c>
      <c r="AI330" s="27" t="s">
        <v>153</v>
      </c>
      <c r="AJ330" s="27" t="s">
        <v>153</v>
      </c>
      <c r="AK330" s="27" t="s">
        <v>153</v>
      </c>
      <c r="AL330" s="27" t="s">
        <v>153</v>
      </c>
      <c r="AM330" s="27" t="s">
        <v>153</v>
      </c>
      <c r="AN330" s="27" t="s">
        <v>153</v>
      </c>
      <c r="AO330" s="27" t="s">
        <v>153</v>
      </c>
      <c r="AP330" s="23">
        <f>VALUE(0)</f>
        <v>0</v>
      </c>
      <c r="AQ330" s="23">
        <f>VALUE(0)</f>
        <v>0</v>
      </c>
      <c r="AR330" s="23">
        <f>VALUE(0)</f>
        <v>0</v>
      </c>
      <c r="AS330" s="23">
        <f>VALUE(0)</f>
        <v>0</v>
      </c>
      <c r="AT330" s="23">
        <f>VALUE(0)</f>
        <v>0</v>
      </c>
      <c r="AU330" s="23">
        <f>VALUE(0)</f>
        <v>0</v>
      </c>
      <c r="AV330" s="23">
        <f>VALUE(0)</f>
        <v>0</v>
      </c>
      <c r="AW330" s="23">
        <f>VALUE(0)</f>
        <v>0</v>
      </c>
      <c r="AX330" s="23">
        <f>VALUE(0)</f>
        <v>0</v>
      </c>
      <c r="AY330" s="23">
        <f>VALUE(0)</f>
        <v>0</v>
      </c>
      <c r="AZ330" s="23">
        <f>VALUE(0)</f>
        <v>0</v>
      </c>
      <c r="BA330" s="23">
        <f>VALUE(0)</f>
        <v>0</v>
      </c>
      <c r="BB330" s="23">
        <f>VALUE(0)</f>
        <v>0</v>
      </c>
      <c r="BC330" s="23">
        <f>VALUE(0)</f>
        <v>0</v>
      </c>
      <c r="BD330" s="23">
        <f>VALUE(0)</f>
        <v>0</v>
      </c>
      <c r="BE330" s="23">
        <f>VALUE(0)</f>
        <v>0</v>
      </c>
      <c r="BF330" s="23">
        <f>VALUE(0)</f>
        <v>0</v>
      </c>
      <c r="BG330" s="23">
        <f>VALUE(0)</f>
        <v>0</v>
      </c>
      <c r="BH330" s="23">
        <f>VALUE(0)</f>
        <v>0</v>
      </c>
      <c r="BI330" s="23">
        <f>VALUE(0)</f>
        <v>0</v>
      </c>
      <c r="BJ330" s="23">
        <f>VALUE(0)</f>
        <v>0</v>
      </c>
      <c r="BK330" s="12">
        <f>$AX$330*24</f>
        <v>0</v>
      </c>
      <c r="BL330" s="12">
        <f>$AY$330*24</f>
        <v>0</v>
      </c>
      <c r="BM330" s="12">
        <f>$BJ$330*24</f>
        <v>0</v>
      </c>
      <c r="BN330" s="12">
        <f>VALUE($I$330)/100</f>
        <v>1</v>
      </c>
      <c r="BO330" s="12">
        <v>0</v>
      </c>
      <c r="BP330" s="12">
        <v>0</v>
      </c>
      <c r="BQ330" s="12">
        <v>0</v>
      </c>
      <c r="BR330" s="12">
        <v>0</v>
      </c>
      <c r="BS330" s="12">
        <v>0</v>
      </c>
      <c r="BT330" s="12">
        <v>0</v>
      </c>
      <c r="BU330" s="12">
        <v>0</v>
      </c>
      <c r="BV330" s="12">
        <v>0</v>
      </c>
      <c r="BW330" s="12">
        <v>0</v>
      </c>
      <c r="BX330" s="12">
        <v>0</v>
      </c>
      <c r="BY330" s="12">
        <v>0</v>
      </c>
      <c r="BZ330" s="12">
        <v>0</v>
      </c>
      <c r="CA330" s="12">
        <v>0</v>
      </c>
    </row>
    <row r="331" spans="1:79" hidden="1" x14ac:dyDescent="0.2">
      <c r="A331" s="12" t="s">
        <v>147</v>
      </c>
      <c r="B331" s="12" t="s">
        <v>148</v>
      </c>
      <c r="C331" s="12" t="s">
        <v>148</v>
      </c>
      <c r="D331" s="22" t="s">
        <v>1312</v>
      </c>
      <c r="E331" s="22" t="s">
        <v>161</v>
      </c>
      <c r="F331" s="22" t="s">
        <v>1125</v>
      </c>
      <c r="G331" s="22" t="s">
        <v>1126</v>
      </c>
      <c r="H331" s="22" t="s">
        <v>166</v>
      </c>
      <c r="I331" s="22" t="s">
        <v>415</v>
      </c>
      <c r="J331" s="22" t="s">
        <v>162</v>
      </c>
      <c r="K331" s="22" t="s">
        <v>101</v>
      </c>
      <c r="L331" s="54" t="s">
        <v>153</v>
      </c>
      <c r="M331" s="23" t="s">
        <v>576</v>
      </c>
      <c r="N331" s="24" t="s">
        <v>153</v>
      </c>
      <c r="O331" s="24" t="s">
        <v>195</v>
      </c>
      <c r="P331" s="24" t="s">
        <v>195</v>
      </c>
      <c r="Q331" s="24" t="s">
        <v>195</v>
      </c>
      <c r="R331" s="23" t="s">
        <v>574</v>
      </c>
      <c r="S331" s="23" t="s">
        <v>574</v>
      </c>
      <c r="T331" s="23" t="s">
        <v>574</v>
      </c>
      <c r="U331" s="24" t="s">
        <v>153</v>
      </c>
      <c r="V331" s="54" t="s">
        <v>153</v>
      </c>
      <c r="W331" s="24" t="s">
        <v>195</v>
      </c>
      <c r="X331" s="24" t="s">
        <v>195</v>
      </c>
      <c r="Y331" s="23" t="s">
        <v>577</v>
      </c>
      <c r="Z331" s="23" t="s">
        <v>577</v>
      </c>
      <c r="AA331" s="23" t="s">
        <v>577</v>
      </c>
      <c r="AB331" s="24" t="s">
        <v>153</v>
      </c>
      <c r="AC331" s="24" t="s">
        <v>195</v>
      </c>
      <c r="AD331" s="24" t="s">
        <v>195</v>
      </c>
      <c r="AE331" s="24" t="s">
        <v>195</v>
      </c>
      <c r="AF331" s="23" t="s">
        <v>573</v>
      </c>
      <c r="AG331" s="23" t="s">
        <v>573</v>
      </c>
      <c r="AH331" s="23" t="s">
        <v>573</v>
      </c>
      <c r="AI331" s="24" t="s">
        <v>153</v>
      </c>
      <c r="AJ331" s="23" t="s">
        <v>513</v>
      </c>
      <c r="AK331" s="23" t="s">
        <v>513</v>
      </c>
      <c r="AL331" s="23" t="s">
        <v>513</v>
      </c>
      <c r="AM331" s="24" t="s">
        <v>195</v>
      </c>
      <c r="AN331" s="24" t="s">
        <v>195</v>
      </c>
      <c r="AO331" s="24" t="s">
        <v>195</v>
      </c>
      <c r="AP331" s="23">
        <f>VALUE(13)</f>
        <v>13</v>
      </c>
      <c r="AQ331" s="23">
        <f>VALUE(0)</f>
        <v>0</v>
      </c>
      <c r="AR331" s="23">
        <f>VALUE(0)</f>
        <v>0</v>
      </c>
      <c r="AS331" s="23">
        <f>VALUE(0)</f>
        <v>0</v>
      </c>
      <c r="AT331" s="23">
        <f>VALUE(0)</f>
        <v>0</v>
      </c>
      <c r="AU331" s="23">
        <f>VALUE(0)</f>
        <v>0</v>
      </c>
      <c r="AV331" s="23">
        <f>VALUE(1)</f>
        <v>1</v>
      </c>
      <c r="AW331" s="23">
        <f>VALUE(0)</f>
        <v>0</v>
      </c>
      <c r="AX331" s="23" t="s">
        <v>579</v>
      </c>
      <c r="AY331" s="23">
        <f>VALUE(0)</f>
        <v>0</v>
      </c>
      <c r="AZ331" s="23">
        <f>VALUE(0)</f>
        <v>0</v>
      </c>
      <c r="BA331" s="23">
        <f>VALUE(0)</f>
        <v>0</v>
      </c>
      <c r="BB331" s="23">
        <f>VALUE(0)</f>
        <v>0</v>
      </c>
      <c r="BC331" s="23">
        <f>VALUE(0)</f>
        <v>0</v>
      </c>
      <c r="BD331" s="23">
        <f>VALUE(0)</f>
        <v>0</v>
      </c>
      <c r="BE331" s="23">
        <f>VALUE(0)</f>
        <v>0</v>
      </c>
      <c r="BF331" s="23">
        <f>VALUE(0)</f>
        <v>0</v>
      </c>
      <c r="BG331" s="23">
        <f>VALUE(0)</f>
        <v>0</v>
      </c>
      <c r="BH331" s="23">
        <f>VALUE(0)</f>
        <v>0</v>
      </c>
      <c r="BI331" s="23">
        <f>VALUE(0)</f>
        <v>0</v>
      </c>
      <c r="BJ331" s="23">
        <f>VALUE(0)</f>
        <v>0</v>
      </c>
      <c r="BK331" s="12">
        <f>$AX$331*24</f>
        <v>4.75</v>
      </c>
      <c r="BL331" s="12">
        <f>$AY$331*24</f>
        <v>0</v>
      </c>
      <c r="BM331" s="12">
        <f>$BJ$331*24</f>
        <v>0</v>
      </c>
      <c r="BN331" s="12">
        <f>VALUE($I$331)/100</f>
        <v>0.5</v>
      </c>
      <c r="BO331" s="12">
        <v>0</v>
      </c>
      <c r="BP331" s="12">
        <v>0</v>
      </c>
      <c r="BQ331" s="12">
        <v>0</v>
      </c>
      <c r="BR331" s="12">
        <v>0</v>
      </c>
      <c r="BS331" s="12">
        <v>0</v>
      </c>
      <c r="BT331" s="12">
        <v>0</v>
      </c>
      <c r="BU331" s="12">
        <v>0</v>
      </c>
      <c r="BV331" s="12">
        <v>0</v>
      </c>
      <c r="BW331" s="12">
        <v>0</v>
      </c>
      <c r="BX331" s="12">
        <v>0</v>
      </c>
      <c r="BY331" s="12">
        <v>0</v>
      </c>
      <c r="BZ331" s="12">
        <v>0</v>
      </c>
      <c r="CA331" s="12">
        <v>0</v>
      </c>
    </row>
    <row r="332" spans="1:79" ht="15" hidden="1" x14ac:dyDescent="0.25">
      <c r="A332" s="12" t="s">
        <v>147</v>
      </c>
      <c r="B332" s="12" t="s">
        <v>148</v>
      </c>
      <c r="C332" s="12" t="s">
        <v>148</v>
      </c>
      <c r="D332" s="31" t="s">
        <v>333</v>
      </c>
      <c r="E332" s="31" t="s">
        <v>153</v>
      </c>
      <c r="F332" s="31" t="s">
        <v>175</v>
      </c>
      <c r="G332" s="31" t="s">
        <v>153</v>
      </c>
      <c r="H332" s="31" t="s">
        <v>153</v>
      </c>
      <c r="I332" s="31" t="s">
        <v>153</v>
      </c>
      <c r="J332" s="31" t="s">
        <v>153</v>
      </c>
      <c r="K332" s="31" t="s">
        <v>153</v>
      </c>
      <c r="L332" s="31">
        <f>VALUE(0)</f>
        <v>0</v>
      </c>
      <c r="M332" s="31">
        <f>VALUE(6)</f>
        <v>6</v>
      </c>
      <c r="N332" s="31">
        <f>VALUE(0)</f>
        <v>0</v>
      </c>
      <c r="O332" s="31">
        <f>VALUE(5)</f>
        <v>5</v>
      </c>
      <c r="P332" s="31">
        <f>VALUE(5)</f>
        <v>5</v>
      </c>
      <c r="Q332" s="31">
        <f>VALUE(5)</f>
        <v>5</v>
      </c>
      <c r="R332" s="31">
        <f>VALUE(7)</f>
        <v>7</v>
      </c>
      <c r="S332" s="31">
        <f>VALUE(7)</f>
        <v>7</v>
      </c>
      <c r="T332" s="31">
        <f>VALUE(7)</f>
        <v>7</v>
      </c>
      <c r="U332" s="31">
        <f>VALUE(0)</f>
        <v>0</v>
      </c>
      <c r="V332" s="31">
        <f>VALUE(0)</f>
        <v>0</v>
      </c>
      <c r="W332" s="31">
        <f>VALUE(5)</f>
        <v>5</v>
      </c>
      <c r="X332" s="31">
        <f>VALUE(5)</f>
        <v>5</v>
      </c>
      <c r="Y332" s="31">
        <f>VALUE(5)</f>
        <v>5</v>
      </c>
      <c r="Z332" s="31">
        <f>VALUE(5)</f>
        <v>5</v>
      </c>
      <c r="AA332" s="31">
        <f>VALUE(5)</f>
        <v>5</v>
      </c>
      <c r="AB332" s="31">
        <f>VALUE(0)</f>
        <v>0</v>
      </c>
      <c r="AC332" s="31">
        <f>VALUE(5)</f>
        <v>5</v>
      </c>
      <c r="AD332" s="31">
        <f>VALUE(5)</f>
        <v>5</v>
      </c>
      <c r="AE332" s="31">
        <f>VALUE(5)</f>
        <v>5</v>
      </c>
      <c r="AF332" s="31">
        <f>VALUE(5)</f>
        <v>5</v>
      </c>
      <c r="AG332" s="31">
        <f>VALUE(5)</f>
        <v>5</v>
      </c>
      <c r="AH332" s="31">
        <f>VALUE(5)</f>
        <v>5</v>
      </c>
      <c r="AI332" s="31">
        <f>VALUE(0)</f>
        <v>0</v>
      </c>
      <c r="AJ332" s="31">
        <f>VALUE(4)</f>
        <v>4</v>
      </c>
      <c r="AK332" s="31">
        <f>VALUE(4)</f>
        <v>4</v>
      </c>
      <c r="AL332" s="31">
        <f>VALUE(4)</f>
        <v>4</v>
      </c>
      <c r="AM332" s="31">
        <f>VALUE(4)</f>
        <v>4</v>
      </c>
      <c r="AN332" s="31">
        <f>VALUE(4)</f>
        <v>4</v>
      </c>
      <c r="AO332" s="31">
        <f>VALUE(4)</f>
        <v>4</v>
      </c>
      <c r="AP332" s="31">
        <v>0</v>
      </c>
      <c r="AQ332" s="31">
        <v>0</v>
      </c>
      <c r="AR332" s="31">
        <v>0</v>
      </c>
      <c r="AS332" s="31">
        <v>0</v>
      </c>
      <c r="AT332" s="31">
        <v>0</v>
      </c>
      <c r="AU332" s="31">
        <v>0</v>
      </c>
      <c r="AV332" s="31">
        <v>0</v>
      </c>
      <c r="AW332" s="31">
        <v>0</v>
      </c>
      <c r="AX332" s="31">
        <v>0</v>
      </c>
      <c r="AY332" s="31">
        <v>0</v>
      </c>
      <c r="AZ332" s="31">
        <v>0</v>
      </c>
      <c r="BA332" s="31">
        <v>0</v>
      </c>
      <c r="BB332" s="31">
        <v>0</v>
      </c>
      <c r="BC332" s="31">
        <v>0</v>
      </c>
      <c r="BD332" s="31">
        <v>0</v>
      </c>
      <c r="BE332" s="31">
        <v>0</v>
      </c>
      <c r="BF332" s="31">
        <v>0</v>
      </c>
      <c r="BG332" s="31">
        <v>0</v>
      </c>
      <c r="BH332" s="31">
        <v>0</v>
      </c>
      <c r="BI332" s="31">
        <v>0</v>
      </c>
      <c r="BJ332" s="31">
        <v>0</v>
      </c>
      <c r="BK332" s="12">
        <v>0</v>
      </c>
      <c r="BL332" s="12">
        <v>0</v>
      </c>
      <c r="BM332" s="12">
        <v>0</v>
      </c>
      <c r="BN332" s="12"/>
      <c r="BO332" s="12">
        <v>0</v>
      </c>
      <c r="BP332" s="12">
        <v>0</v>
      </c>
      <c r="BQ332" s="12">
        <v>0</v>
      </c>
      <c r="BR332" s="12">
        <v>0</v>
      </c>
      <c r="BS332" s="12">
        <v>0</v>
      </c>
      <c r="BT332" s="12">
        <v>0</v>
      </c>
      <c r="BU332" s="12">
        <v>0</v>
      </c>
      <c r="BV332" s="12">
        <v>0</v>
      </c>
      <c r="BW332" s="12">
        <v>0</v>
      </c>
      <c r="BX332" s="12">
        <v>0</v>
      </c>
      <c r="BY332" s="12">
        <v>0</v>
      </c>
      <c r="BZ332" s="12">
        <v>0</v>
      </c>
      <c r="CA332" s="12">
        <v>0</v>
      </c>
    </row>
    <row r="334" spans="1:79" x14ac:dyDescent="0.2">
      <c r="L334" s="40">
        <f>ROUND(SUBTOTAL(9,$L$10:$L$331),2)</f>
        <v>0</v>
      </c>
      <c r="M334" s="40">
        <f>ROUND(SUBTOTAL(9,$M$10:$M$331),2)</f>
        <v>0</v>
      </c>
      <c r="N334" s="40">
        <f>ROUND(SUBTOTAL(9,$N$10:$N$331),2)</f>
        <v>0</v>
      </c>
      <c r="O334" s="40">
        <f>ROUND(SUBTOTAL(9,$O$10:$O$331),2)</f>
        <v>0</v>
      </c>
      <c r="P334" s="40">
        <f>ROUND(SUBTOTAL(9,$P$10:$P$331),2)</f>
        <v>0</v>
      </c>
      <c r="Q334" s="40">
        <f>ROUND(SUBTOTAL(9,$Q$10:$Q$331),2)</f>
        <v>0</v>
      </c>
      <c r="R334" s="40">
        <f>ROUND(SUBTOTAL(9,$R$10:$R$331),2)</f>
        <v>0</v>
      </c>
      <c r="S334" s="40">
        <f>ROUND(SUBTOTAL(9,$S$10:$S$331),2)</f>
        <v>0</v>
      </c>
      <c r="T334" s="40">
        <f>ROUND(SUBTOTAL(9,$T$10:$T$331),2)</f>
        <v>0</v>
      </c>
      <c r="U334" s="40">
        <f>ROUND(SUBTOTAL(9,$U$10:$U$331),2)</f>
        <v>0</v>
      </c>
      <c r="V334" s="40">
        <f>ROUND(SUBTOTAL(9,$V$10:$V$331),2)</f>
        <v>0</v>
      </c>
      <c r="W334" s="40">
        <f>ROUND(SUBTOTAL(9,$W$10:$W$331),2)</f>
        <v>0</v>
      </c>
      <c r="X334" s="40">
        <f>ROUND(SUBTOTAL(9,$X$10:$X$331),2)</f>
        <v>0</v>
      </c>
      <c r="Y334" s="40">
        <f>ROUND(SUBTOTAL(9,$Y$10:$Y$331),2)</f>
        <v>0</v>
      </c>
      <c r="Z334" s="40">
        <f>ROUND(SUBTOTAL(9,$Z$10:$Z$331),2)</f>
        <v>0</v>
      </c>
      <c r="AA334" s="40">
        <f>ROUND(SUBTOTAL(9,$AA$10:$AA$331),2)</f>
        <v>0</v>
      </c>
      <c r="AB334" s="40">
        <f>ROUND(SUBTOTAL(9,$AB$10:$AB$331),2)</f>
        <v>0</v>
      </c>
      <c r="AC334" s="40">
        <f>ROUND(SUBTOTAL(9,$AC$10:$AC$331),2)</f>
        <v>0</v>
      </c>
      <c r="AD334" s="40">
        <f>ROUND(SUBTOTAL(9,$AD$10:$AD$331),2)</f>
        <v>0</v>
      </c>
      <c r="AE334" s="40">
        <f>ROUND(SUBTOTAL(9,$AE$10:$AE$331),2)</f>
        <v>0</v>
      </c>
      <c r="AF334" s="40">
        <f>ROUND(SUBTOTAL(9,$AF$10:$AF$331),2)</f>
        <v>0</v>
      </c>
      <c r="AG334" s="40">
        <f>ROUND(SUBTOTAL(9,$AG$10:$AG$331),2)</f>
        <v>0</v>
      </c>
      <c r="AH334" s="40">
        <f>ROUND(SUBTOTAL(9,$AH$10:$AH$331),2)</f>
        <v>0</v>
      </c>
      <c r="AI334" s="40">
        <f>ROUND(SUBTOTAL(9,$AI$10:$AI$331),2)</f>
        <v>0</v>
      </c>
      <c r="AJ334" s="40">
        <f>ROUND(SUBTOTAL(9,$AJ$10:$AJ$331),2)</f>
        <v>0</v>
      </c>
      <c r="AK334" s="40">
        <f>ROUND(SUBTOTAL(9,$AK$10:$AK$331),2)</f>
        <v>0</v>
      </c>
      <c r="AL334" s="40">
        <f>ROUND(SUBTOTAL(9,$AL$10:$AL$331),2)</f>
        <v>0</v>
      </c>
      <c r="AM334" s="40">
        <f>ROUND(SUBTOTAL(9,$AM$10:$AM$331),2)</f>
        <v>0</v>
      </c>
      <c r="AN334" s="40">
        <f>ROUND(SUBTOTAL(9,$AN$10:$AN$331),2)</f>
        <v>0</v>
      </c>
      <c r="AO334" s="40">
        <f>ROUND(SUBTOTAL(9,$AO$10:$AO$331),2)</f>
        <v>0</v>
      </c>
    </row>
  </sheetData>
  <autoFilter ref="A5:CA332" xr:uid="{E910DE60-6EC3-4A0B-A366-A82F21B54181}">
    <filterColumn colId="11" showButton="0"/>
    <filterColumn colId="12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5" showButton="0"/>
    <filterColumn colId="36" showButton="0"/>
    <filterColumn colId="37" showButton="0"/>
    <filterColumn colId="38" showButton="0"/>
    <filterColumn colId="39" showButton="0"/>
    <filterColumn colId="44">
      <customFilters>
        <customFilter operator="greaterThan" val="0"/>
      </customFilters>
    </filterColumn>
  </autoFilter>
  <mergeCells count="56">
    <mergeCell ref="BX5:BX9"/>
    <mergeCell ref="BY5:BY9"/>
    <mergeCell ref="BZ5:BZ9"/>
    <mergeCell ref="CA5:CA9"/>
    <mergeCell ref="D2:BL2"/>
    <mergeCell ref="D3:BL3"/>
    <mergeCell ref="BR5:BR9"/>
    <mergeCell ref="BS5:BS9"/>
    <mergeCell ref="BT5:BT9"/>
    <mergeCell ref="BU5:BU9"/>
    <mergeCell ref="BV5:BV9"/>
    <mergeCell ref="BW5:BW9"/>
    <mergeCell ref="BL5:BL9"/>
    <mergeCell ref="BM5:BM9"/>
    <mergeCell ref="BN5:BN9"/>
    <mergeCell ref="BO5:BO9"/>
    <mergeCell ref="BP5:BP9"/>
    <mergeCell ref="BQ5:BQ9"/>
    <mergeCell ref="BF5:BF9"/>
    <mergeCell ref="BG5:BG9"/>
    <mergeCell ref="BH5:BH9"/>
    <mergeCell ref="BI5:BI9"/>
    <mergeCell ref="BJ5:BJ9"/>
    <mergeCell ref="BK5:BK9"/>
    <mergeCell ref="AZ5:AZ9"/>
    <mergeCell ref="BA5:BA9"/>
    <mergeCell ref="BB5:BB9"/>
    <mergeCell ref="BC5:BC9"/>
    <mergeCell ref="BD5:BD9"/>
    <mergeCell ref="BE5:BE9"/>
    <mergeCell ref="AT5:AT9"/>
    <mergeCell ref="AU5:AU9"/>
    <mergeCell ref="AV5:AV9"/>
    <mergeCell ref="AW5:AW9"/>
    <mergeCell ref="AX5:AX9"/>
    <mergeCell ref="AY5:AY9"/>
    <mergeCell ref="AC5:AI5"/>
    <mergeCell ref="AJ5:AO5"/>
    <mergeCell ref="AP5:AP9"/>
    <mergeCell ref="AQ5:AQ9"/>
    <mergeCell ref="AR5:AR9"/>
    <mergeCell ref="AS5:AS9"/>
    <mergeCell ref="I5:I9"/>
    <mergeCell ref="J5:J9"/>
    <mergeCell ref="K5:K9"/>
    <mergeCell ref="L5:N5"/>
    <mergeCell ref="O5:U5"/>
    <mergeCell ref="V5:AB5"/>
    <mergeCell ref="A5:A9"/>
    <mergeCell ref="B5:B9"/>
    <mergeCell ref="C5:C9"/>
    <mergeCell ref="D5:D9"/>
    <mergeCell ref="E5:E9"/>
    <mergeCell ref="F5:F9"/>
    <mergeCell ref="G5:G9"/>
    <mergeCell ref="H5:H9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5967A-4CAD-4F65-A3DA-92200FE31D50}">
  <sheetPr codeName="Feuil11" filterMode="1"/>
  <dimension ref="A2:CC334"/>
  <sheetViews>
    <sheetView showGridLines="0" zoomScale="70" zoomScaleNormal="70" workbookViewId="0">
      <selection activeCell="D3" sqref="D3:BL3"/>
    </sheetView>
  </sheetViews>
  <sheetFormatPr baseColWidth="10" defaultColWidth="9.1640625" defaultRowHeight="12" x14ac:dyDescent="0.2"/>
  <cols>
    <col min="1" max="1" width="35.83203125" style="40" bestFit="1" customWidth="1"/>
    <col min="2" max="3" width="73.6640625" style="40" bestFit="1" customWidth="1"/>
    <col min="4" max="6" width="36" style="40" customWidth="1"/>
    <col min="7" max="12" width="17.83203125" style="40" customWidth="1"/>
    <col min="13" max="13" width="11.1640625" style="40" customWidth="1"/>
    <col min="14" max="14" width="0.5" style="40" customWidth="1"/>
    <col min="15" max="62" width="17.83203125" style="40" customWidth="1"/>
    <col min="63" max="64" width="17" style="40" bestFit="1" customWidth="1"/>
    <col min="65" max="65" width="10.33203125" style="40" bestFit="1" customWidth="1"/>
    <col min="66" max="66" width="12.83203125" style="40" bestFit="1" customWidth="1"/>
    <col min="67" max="67" width="13.33203125" style="40" bestFit="1" customWidth="1"/>
    <col min="68" max="68" width="14" style="40" bestFit="1" customWidth="1"/>
    <col min="69" max="69" width="12.5" style="40" bestFit="1" customWidth="1"/>
    <col min="70" max="70" width="18.6640625" style="40" bestFit="1" customWidth="1"/>
    <col min="71" max="71" width="9.1640625" style="40" bestFit="1" customWidth="1"/>
    <col min="72" max="72" width="8.6640625" style="40" bestFit="1" customWidth="1"/>
    <col min="73" max="73" width="14.6640625" style="40" bestFit="1" customWidth="1"/>
    <col min="74" max="74" width="8.5" style="40" bestFit="1" customWidth="1"/>
    <col min="75" max="75" width="9.1640625" style="40" bestFit="1" customWidth="1"/>
    <col min="76" max="76" width="20" style="40" bestFit="1" customWidth="1"/>
    <col min="77" max="77" width="12.5" style="40" bestFit="1" customWidth="1"/>
    <col min="78" max="78" width="13.6640625" style="40" bestFit="1" customWidth="1"/>
    <col min="79" max="79" width="15.5" style="40" bestFit="1" customWidth="1"/>
    <col min="80" max="80" width="13.6640625" style="40" bestFit="1" customWidth="1"/>
    <col min="81" max="81" width="15.5" style="40" bestFit="1" customWidth="1"/>
    <col min="82" max="16384" width="9.1640625" style="40"/>
  </cols>
  <sheetData>
    <row r="2" spans="1:81" x14ac:dyDescent="0.2">
      <c r="D2" s="53" t="s">
        <v>54</v>
      </c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</row>
    <row r="3" spans="1:81" x14ac:dyDescent="0.2">
      <c r="D3" s="57" t="s">
        <v>580</v>
      </c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</row>
    <row r="4" spans="1:81" ht="34.5" customHeight="1" x14ac:dyDescent="0.2">
      <c r="AP4" s="16"/>
      <c r="AQ4" s="16">
        <f>ROUND(SUBTOTAL(9,$AQ$10:$AQ$332),2)</f>
        <v>0</v>
      </c>
      <c r="AR4" s="16">
        <f>ROUND(SUBTOTAL(9,$AR$10:$AR$332),2)</f>
        <v>0</v>
      </c>
      <c r="AS4" s="16">
        <f>ROUND(SUBTOTAL(9,$AS$10:$AS$332),2)</f>
        <v>0</v>
      </c>
      <c r="AT4" s="16">
        <f>ROUND(SUBTOTAL(9,$AT$10:$AT$332),2)</f>
        <v>26</v>
      </c>
      <c r="AU4" s="16">
        <f>ROUND(SUBTOTAL(9,$AU$10:$AU$332),2)</f>
        <v>3</v>
      </c>
      <c r="AV4" s="16"/>
      <c r="AW4" s="16">
        <f>ROUND(SUBTOTAL(9,$AW$10:$AW$332),2)</f>
        <v>0</v>
      </c>
      <c r="AX4" s="16">
        <f>ROUND(SUBTOTAL(9,$AX$10:$AX$332),2)</f>
        <v>0</v>
      </c>
      <c r="AY4" s="16">
        <f>ROUND(SUBTOTAL(9,$AY$10:$AY$332),2)</f>
        <v>0</v>
      </c>
      <c r="AZ4" s="16">
        <f>ROUND(SUBTOTAL(9,$AZ$10:$AZ$332),2)</f>
        <v>0</v>
      </c>
      <c r="BA4" s="16">
        <f>ROUND(SUBTOTAL(9,$BA$10:$BA$332),2)</f>
        <v>0</v>
      </c>
      <c r="BB4" s="16">
        <f>ROUND(SUBTOTAL(9,$BB$10:$BB$332),2)</f>
        <v>2</v>
      </c>
      <c r="BC4" s="16">
        <f>ROUND(SUBTOTAL(9,$BC$10:$BC$332),2)</f>
        <v>0</v>
      </c>
      <c r="BD4" s="16">
        <f>ROUND(SUBTOTAL(9,$BD$10:$BD$332),2)</f>
        <v>0</v>
      </c>
      <c r="BE4" s="16">
        <f>ROUND(SUBTOTAL(9,$BE$10:$BE$332),2)</f>
        <v>0</v>
      </c>
      <c r="BF4" s="16">
        <f>ROUND(SUBTOTAL(9,$BF$10:$BF$332),2)</f>
        <v>0</v>
      </c>
      <c r="BG4" s="16">
        <f>ROUND(SUBTOTAL(9,$BG$10:$BG$332),2)</f>
        <v>0</v>
      </c>
      <c r="BH4" s="16">
        <f>ROUND(SUBTOTAL(9,$BH$10:$BH$332),2)</f>
        <v>0</v>
      </c>
      <c r="BI4" s="16">
        <f>ROUND(SUBTOTAL(9,$BI$10:$BI$332),2)</f>
        <v>0</v>
      </c>
      <c r="BJ4" s="16">
        <f>ROUND(SUBTOTAL(9,$BJ$10:$BJ$332),2)</f>
        <v>0</v>
      </c>
      <c r="BK4" s="15">
        <f>ROUND(SUBTOTAL(9,$BK$10:$BK$332),2)</f>
        <v>91.22</v>
      </c>
      <c r="BL4" s="15">
        <f>ROUND(SUBTOTAL(9,$BL$10:$BL$332),2)</f>
        <v>38.380000000000003</v>
      </c>
      <c r="BM4" s="15">
        <f>ROUND(SUBTOTAL(9,$BM$10:$BM$332),2)</f>
        <v>0</v>
      </c>
      <c r="BN4" s="15">
        <f>ROUND(SUBTOTAL(9,$BN$10:$BN$332),2)</f>
        <v>9</v>
      </c>
      <c r="BO4" s="15">
        <f>ROUND(SUBTOTAL(9,$BO$10:$BO$332),2)</f>
        <v>0</v>
      </c>
      <c r="BP4" s="15">
        <f>ROUND(SUBTOTAL(9,$BP$10:$BP$332),2)</f>
        <v>0</v>
      </c>
      <c r="BQ4" s="15">
        <f>ROUND(SUBTOTAL(9,$BQ$10:$BQ$332),2)</f>
        <v>0</v>
      </c>
      <c r="BR4" s="15">
        <f>ROUND(SUBTOTAL(9,$BR$10:$BR$332),2)</f>
        <v>0</v>
      </c>
      <c r="BS4" s="17">
        <f>ROUND(SUBTOTAL(9,$BS$10:$BS$332),2)</f>
        <v>0</v>
      </c>
      <c r="BT4" s="17">
        <f>ROUND(SUBTOTAL(9,$BT$10:$BT$332),2)</f>
        <v>0</v>
      </c>
      <c r="BU4" s="17">
        <f>ROUND(SUBTOTAL(9,$BU$10:$BU$332),2)</f>
        <v>0</v>
      </c>
      <c r="BV4" s="17">
        <f>ROUND(SUBTOTAL(9,$BV$10:$BV$332),2)</f>
        <v>0</v>
      </c>
      <c r="BW4" s="17">
        <f>ROUND(SUBTOTAL(9,$BW$10:$BW$332),2)</f>
        <v>0</v>
      </c>
      <c r="BX4" s="17">
        <f>ROUND(SUBTOTAL(9,$BX$10:$BX$332),2)</f>
        <v>0</v>
      </c>
      <c r="BY4" s="21">
        <f>ROUND(SUBTOTAL(9,$BY$10:$BY$332),2)</f>
        <v>26</v>
      </c>
      <c r="BZ4" s="21">
        <f>ROUND(SUBTOTAL(9,$BZ$10:$BZ$332),2)</f>
        <v>0</v>
      </c>
      <c r="CA4" s="21">
        <f>ROUND(SUBTOTAL(9,$CA$10:$CA$332),2)</f>
        <v>0</v>
      </c>
      <c r="CB4" s="21" t="e">
        <f>ROUND(SUBTOTAL(9,#REF!),2)</f>
        <v>#REF!</v>
      </c>
      <c r="CC4" s="21" t="e">
        <f>ROUND(SUBTOTAL(9,#REF!),2)</f>
        <v>#REF!</v>
      </c>
    </row>
    <row r="5" spans="1:81" ht="26.25" customHeight="1" x14ac:dyDescent="0.2">
      <c r="A5" s="46" t="s">
        <v>42</v>
      </c>
      <c r="B5" s="46" t="s">
        <v>43</v>
      </c>
      <c r="C5" s="47" t="s">
        <v>20</v>
      </c>
      <c r="D5" s="42" t="s">
        <v>13</v>
      </c>
      <c r="E5" s="42" t="s">
        <v>14</v>
      </c>
      <c r="F5" s="42" t="s">
        <v>15</v>
      </c>
      <c r="G5" s="42" t="s">
        <v>16</v>
      </c>
      <c r="H5" s="42" t="s">
        <v>17</v>
      </c>
      <c r="I5" s="42" t="s">
        <v>18</v>
      </c>
      <c r="J5" s="42" t="s">
        <v>19</v>
      </c>
      <c r="K5" s="42" t="s">
        <v>20</v>
      </c>
      <c r="L5" s="45" t="s">
        <v>1127</v>
      </c>
      <c r="M5" s="45" t="s">
        <v>1127</v>
      </c>
      <c r="N5" s="45" t="s">
        <v>1127</v>
      </c>
      <c r="O5" s="45" t="s">
        <v>1128</v>
      </c>
      <c r="P5" s="45" t="s">
        <v>1128</v>
      </c>
      <c r="Q5" s="45" t="s">
        <v>1128</v>
      </c>
      <c r="R5" s="45" t="s">
        <v>1128</v>
      </c>
      <c r="S5" s="45" t="s">
        <v>1128</v>
      </c>
      <c r="T5" s="45" t="s">
        <v>1128</v>
      </c>
      <c r="U5" s="45" t="s">
        <v>1128</v>
      </c>
      <c r="V5" s="45" t="s">
        <v>1129</v>
      </c>
      <c r="W5" s="45" t="s">
        <v>1129</v>
      </c>
      <c r="X5" s="45" t="s">
        <v>1129</v>
      </c>
      <c r="Y5" s="45" t="s">
        <v>1129</v>
      </c>
      <c r="Z5" s="45" t="s">
        <v>1129</v>
      </c>
      <c r="AA5" s="45" t="s">
        <v>1129</v>
      </c>
      <c r="AB5" s="45" t="s">
        <v>1129</v>
      </c>
      <c r="AC5" s="45" t="s">
        <v>1130</v>
      </c>
      <c r="AD5" s="45" t="s">
        <v>1130</v>
      </c>
      <c r="AE5" s="45" t="s">
        <v>1130</v>
      </c>
      <c r="AF5" s="45" t="s">
        <v>1130</v>
      </c>
      <c r="AG5" s="45" t="s">
        <v>1130</v>
      </c>
      <c r="AH5" s="45" t="s">
        <v>1130</v>
      </c>
      <c r="AI5" s="45" t="s">
        <v>1130</v>
      </c>
      <c r="AJ5" s="45" t="s">
        <v>1131</v>
      </c>
      <c r="AK5" s="45" t="s">
        <v>1131</v>
      </c>
      <c r="AL5" s="45" t="s">
        <v>1131</v>
      </c>
      <c r="AM5" s="45" t="s">
        <v>1131</v>
      </c>
      <c r="AN5" s="45" t="s">
        <v>1131</v>
      </c>
      <c r="AO5" s="45" t="s">
        <v>1131</v>
      </c>
      <c r="AP5" s="41" t="s">
        <v>21</v>
      </c>
      <c r="AQ5" s="41" t="s">
        <v>22</v>
      </c>
      <c r="AR5" s="41" t="s">
        <v>23</v>
      </c>
      <c r="AS5" s="41" t="s">
        <v>24</v>
      </c>
      <c r="AT5" s="41" t="s">
        <v>25</v>
      </c>
      <c r="AU5" s="41" t="s">
        <v>26</v>
      </c>
      <c r="AV5" s="41" t="s">
        <v>27</v>
      </c>
      <c r="AW5" s="41" t="s">
        <v>28</v>
      </c>
      <c r="AX5" s="41" t="s">
        <v>29</v>
      </c>
      <c r="AY5" s="41" t="s">
        <v>30</v>
      </c>
      <c r="AZ5" s="41" t="s">
        <v>31</v>
      </c>
      <c r="BA5" s="41" t="s">
        <v>32</v>
      </c>
      <c r="BB5" s="41" t="s">
        <v>33</v>
      </c>
      <c r="BC5" s="41" t="s">
        <v>34</v>
      </c>
      <c r="BD5" s="41" t="s">
        <v>35</v>
      </c>
      <c r="BE5" s="41" t="s">
        <v>36</v>
      </c>
      <c r="BF5" s="41" t="s">
        <v>37</v>
      </c>
      <c r="BG5" s="41" t="s">
        <v>38</v>
      </c>
      <c r="BH5" s="41" t="s">
        <v>39</v>
      </c>
      <c r="BI5" s="41" t="s">
        <v>40</v>
      </c>
      <c r="BJ5" s="41" t="s">
        <v>41</v>
      </c>
      <c r="BK5" s="48" t="s">
        <v>44</v>
      </c>
      <c r="BL5" s="48" t="s">
        <v>45</v>
      </c>
      <c r="BM5" s="48" t="s">
        <v>46</v>
      </c>
      <c r="BN5" s="48" t="s">
        <v>47</v>
      </c>
      <c r="BO5" s="48" t="s">
        <v>48</v>
      </c>
      <c r="BP5" s="48" t="s">
        <v>49</v>
      </c>
      <c r="BQ5" s="48" t="s">
        <v>50</v>
      </c>
      <c r="BR5" s="48" t="s">
        <v>51</v>
      </c>
      <c r="BS5" s="50" t="s">
        <v>55</v>
      </c>
      <c r="BT5" s="50" t="s">
        <v>56</v>
      </c>
      <c r="BU5" s="50" t="s">
        <v>57</v>
      </c>
      <c r="BV5" s="50" t="s">
        <v>58</v>
      </c>
      <c r="BW5" s="50" t="s">
        <v>59</v>
      </c>
      <c r="BX5" s="50" t="s">
        <v>60</v>
      </c>
      <c r="BY5" s="49" t="s">
        <v>61</v>
      </c>
      <c r="BZ5" s="49" t="s">
        <v>62</v>
      </c>
      <c r="CA5" s="49" t="s">
        <v>63</v>
      </c>
    </row>
    <row r="6" spans="1:81" ht="75" hidden="1" x14ac:dyDescent="0.2">
      <c r="A6" s="46"/>
      <c r="B6" s="46"/>
      <c r="C6" s="47"/>
      <c r="D6" s="42"/>
      <c r="E6" s="42"/>
      <c r="F6" s="42"/>
      <c r="G6" s="42"/>
      <c r="H6" s="42"/>
      <c r="I6" s="42"/>
      <c r="J6" s="42"/>
      <c r="K6" s="42"/>
      <c r="L6" s="39" t="s">
        <v>1132</v>
      </c>
      <c r="M6" s="39" t="s">
        <v>1133</v>
      </c>
      <c r="N6" s="39" t="s">
        <v>1134</v>
      </c>
      <c r="O6" s="39" t="s">
        <v>1135</v>
      </c>
      <c r="P6" s="39" t="s">
        <v>1136</v>
      </c>
      <c r="Q6" s="39" t="s">
        <v>1137</v>
      </c>
      <c r="R6" s="39" t="s">
        <v>1138</v>
      </c>
      <c r="S6" s="39" t="s">
        <v>1139</v>
      </c>
      <c r="T6" s="39" t="s">
        <v>1140</v>
      </c>
      <c r="U6" s="39" t="s">
        <v>1141</v>
      </c>
      <c r="V6" s="39" t="s">
        <v>1142</v>
      </c>
      <c r="W6" s="39" t="s">
        <v>1143</v>
      </c>
      <c r="X6" s="39" t="s">
        <v>1144</v>
      </c>
      <c r="Y6" s="39" t="s">
        <v>1145</v>
      </c>
      <c r="Z6" s="39" t="s">
        <v>1146</v>
      </c>
      <c r="AA6" s="39" t="s">
        <v>1147</v>
      </c>
      <c r="AB6" s="39" t="s">
        <v>1148</v>
      </c>
      <c r="AC6" s="39" t="s">
        <v>1149</v>
      </c>
      <c r="AD6" s="39" t="s">
        <v>1150</v>
      </c>
      <c r="AE6" s="39" t="s">
        <v>1151</v>
      </c>
      <c r="AF6" s="39" t="s">
        <v>1152</v>
      </c>
      <c r="AG6" s="39" t="s">
        <v>1153</v>
      </c>
      <c r="AH6" s="39" t="s">
        <v>1154</v>
      </c>
      <c r="AI6" s="39" t="s">
        <v>1155</v>
      </c>
      <c r="AJ6" s="39" t="s">
        <v>1156</v>
      </c>
      <c r="AK6" s="39" t="s">
        <v>1157</v>
      </c>
      <c r="AL6" s="39" t="s">
        <v>1158</v>
      </c>
      <c r="AM6" s="39" t="s">
        <v>1159</v>
      </c>
      <c r="AN6" s="39" t="s">
        <v>1160</v>
      </c>
      <c r="AO6" s="39" t="s">
        <v>1161</v>
      </c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8"/>
      <c r="BL6" s="48"/>
      <c r="BM6" s="48"/>
      <c r="BN6" s="48"/>
      <c r="BO6" s="48"/>
      <c r="BP6" s="48"/>
      <c r="BQ6" s="48"/>
      <c r="BR6" s="48"/>
      <c r="BS6" s="51"/>
      <c r="BT6" s="51"/>
      <c r="BU6" s="51"/>
      <c r="BV6" s="51"/>
      <c r="BW6" s="51"/>
      <c r="BX6" s="51"/>
      <c r="BY6" s="49"/>
      <c r="BZ6" s="49"/>
      <c r="CA6" s="49"/>
    </row>
    <row r="7" spans="1:81" ht="15" hidden="1" x14ac:dyDescent="0.25">
      <c r="A7" s="46"/>
      <c r="B7" s="46"/>
      <c r="C7" s="47"/>
      <c r="D7" s="42"/>
      <c r="E7" s="42"/>
      <c r="F7" s="42"/>
      <c r="G7" s="42"/>
      <c r="H7" s="42"/>
      <c r="I7" s="42"/>
      <c r="J7" s="42"/>
      <c r="K7" s="42"/>
      <c r="L7" s="18"/>
      <c r="M7" s="18"/>
      <c r="N7" s="18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8"/>
      <c r="BL7" s="48"/>
      <c r="BM7" s="48"/>
      <c r="BN7" s="48"/>
      <c r="BO7" s="48"/>
      <c r="BP7" s="48"/>
      <c r="BQ7" s="48"/>
      <c r="BR7" s="48"/>
      <c r="BS7" s="51"/>
      <c r="BT7" s="51"/>
      <c r="BU7" s="51"/>
      <c r="BV7" s="51"/>
      <c r="BW7" s="51"/>
      <c r="BX7" s="51"/>
      <c r="BY7" s="49"/>
      <c r="BZ7" s="49"/>
      <c r="CA7" s="49"/>
    </row>
    <row r="8" spans="1:81" ht="15" hidden="1" x14ac:dyDescent="0.25">
      <c r="A8" s="46"/>
      <c r="B8" s="46"/>
      <c r="C8" s="47"/>
      <c r="D8" s="42"/>
      <c r="E8" s="42"/>
      <c r="F8" s="42"/>
      <c r="G8" s="42"/>
      <c r="H8" s="42"/>
      <c r="I8" s="42"/>
      <c r="J8" s="42"/>
      <c r="K8" s="42"/>
      <c r="L8" s="19"/>
      <c r="M8" s="19"/>
      <c r="N8" s="19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8"/>
      <c r="BL8" s="48"/>
      <c r="BM8" s="48"/>
      <c r="BN8" s="48"/>
      <c r="BO8" s="48"/>
      <c r="BP8" s="48"/>
      <c r="BQ8" s="48"/>
      <c r="BR8" s="48"/>
      <c r="BS8" s="51"/>
      <c r="BT8" s="51"/>
      <c r="BU8" s="51"/>
      <c r="BV8" s="51"/>
      <c r="BW8" s="51"/>
      <c r="BX8" s="51"/>
      <c r="BY8" s="49"/>
      <c r="BZ8" s="49"/>
      <c r="CA8" s="49"/>
    </row>
    <row r="9" spans="1:81" ht="15" hidden="1" x14ac:dyDescent="0.25">
      <c r="A9" s="46"/>
      <c r="B9" s="46"/>
      <c r="C9" s="47"/>
      <c r="D9" s="42"/>
      <c r="E9" s="42"/>
      <c r="F9" s="42"/>
      <c r="G9" s="42"/>
      <c r="H9" s="42"/>
      <c r="I9" s="42"/>
      <c r="J9" s="42"/>
      <c r="K9" s="42"/>
      <c r="L9" s="20"/>
      <c r="M9" s="20"/>
      <c r="N9" s="20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8"/>
      <c r="BL9" s="48"/>
      <c r="BM9" s="48"/>
      <c r="BN9" s="48"/>
      <c r="BO9" s="48"/>
      <c r="BP9" s="48"/>
      <c r="BQ9" s="48"/>
      <c r="BR9" s="48"/>
      <c r="BS9" s="52"/>
      <c r="BT9" s="52"/>
      <c r="BU9" s="52"/>
      <c r="BV9" s="52"/>
      <c r="BW9" s="52"/>
      <c r="BX9" s="52"/>
      <c r="BY9" s="49"/>
      <c r="BZ9" s="49"/>
      <c r="CA9" s="49"/>
    </row>
    <row r="10" spans="1:81" ht="16.5" hidden="1" x14ac:dyDescent="0.2">
      <c r="A10" s="12" t="s">
        <v>102</v>
      </c>
      <c r="B10" s="12" t="s">
        <v>103</v>
      </c>
      <c r="C10" s="12" t="s">
        <v>103</v>
      </c>
      <c r="D10" s="22" t="s">
        <v>1162</v>
      </c>
      <c r="E10" s="22" t="s">
        <v>149</v>
      </c>
      <c r="F10" s="22" t="s">
        <v>593</v>
      </c>
      <c r="G10" s="22" t="s">
        <v>594</v>
      </c>
      <c r="H10" s="22" t="s">
        <v>150</v>
      </c>
      <c r="I10" s="22" t="s">
        <v>151</v>
      </c>
      <c r="J10" s="22" t="s">
        <v>152</v>
      </c>
      <c r="K10" s="22" t="s">
        <v>64</v>
      </c>
      <c r="L10" s="54" t="s">
        <v>153</v>
      </c>
      <c r="M10" s="23" t="s">
        <v>154</v>
      </c>
      <c r="N10" s="24" t="s">
        <v>153</v>
      </c>
      <c r="O10" s="35" t="s">
        <v>170</v>
      </c>
      <c r="P10" s="35" t="s">
        <v>170</v>
      </c>
      <c r="Q10" s="26" t="s">
        <v>1163</v>
      </c>
      <c r="R10" s="25" t="s">
        <v>154</v>
      </c>
      <c r="S10" s="25" t="s">
        <v>154</v>
      </c>
      <c r="T10" s="34" t="s">
        <v>154</v>
      </c>
      <c r="U10" s="24" t="s">
        <v>153</v>
      </c>
      <c r="V10" s="54" t="s">
        <v>156</v>
      </c>
      <c r="W10" s="25" t="s">
        <v>1164</v>
      </c>
      <c r="X10" s="26" t="s">
        <v>1163</v>
      </c>
      <c r="Y10" s="26" t="s">
        <v>1163</v>
      </c>
      <c r="Z10" s="23" t="s">
        <v>157</v>
      </c>
      <c r="AA10" s="26" t="s">
        <v>1163</v>
      </c>
      <c r="AB10" s="24" t="s">
        <v>153</v>
      </c>
      <c r="AC10" s="23" t="s">
        <v>154</v>
      </c>
      <c r="AD10" s="23" t="s">
        <v>154</v>
      </c>
      <c r="AE10" s="23" t="s">
        <v>154</v>
      </c>
      <c r="AF10" s="26" t="s">
        <v>1163</v>
      </c>
      <c r="AG10" s="26" t="s">
        <v>1163</v>
      </c>
      <c r="AH10" s="24" t="s">
        <v>156</v>
      </c>
      <c r="AI10" s="24" t="s">
        <v>153</v>
      </c>
      <c r="AJ10" s="24" t="s">
        <v>156</v>
      </c>
      <c r="AK10" s="26" t="s">
        <v>1163</v>
      </c>
      <c r="AL10" s="26" t="s">
        <v>1163</v>
      </c>
      <c r="AM10" s="26" t="s">
        <v>1163</v>
      </c>
      <c r="AN10" s="26" t="s">
        <v>1163</v>
      </c>
      <c r="AO10" s="25" t="s">
        <v>157</v>
      </c>
      <c r="AP10" s="23">
        <f>VALUE(4)</f>
        <v>4</v>
      </c>
      <c r="AQ10" s="23">
        <f>VALUE(0)</f>
        <v>0</v>
      </c>
      <c r="AR10" s="23">
        <f>VALUE(0)</f>
        <v>0</v>
      </c>
      <c r="AS10" s="23">
        <f>VALUE(0)</f>
        <v>0</v>
      </c>
      <c r="AT10" s="23">
        <f>VALUE(0)</f>
        <v>0</v>
      </c>
      <c r="AU10" s="23">
        <f>VALUE(0)</f>
        <v>0</v>
      </c>
      <c r="AV10" s="23">
        <f>VALUE(10)</f>
        <v>10</v>
      </c>
      <c r="AW10" s="23">
        <f>VALUE(0)</f>
        <v>0</v>
      </c>
      <c r="AX10" s="23" t="s">
        <v>171</v>
      </c>
      <c r="AY10" s="23" t="s">
        <v>1165</v>
      </c>
      <c r="AZ10" s="23">
        <f>VALUE(0)</f>
        <v>0</v>
      </c>
      <c r="BA10" s="23">
        <f>VALUE(0)</f>
        <v>0</v>
      </c>
      <c r="BB10" s="23">
        <f>VALUE(0)</f>
        <v>0</v>
      </c>
      <c r="BC10" s="23">
        <f>VALUE(0)</f>
        <v>0</v>
      </c>
      <c r="BD10" s="23">
        <f>VALUE(1)</f>
        <v>1</v>
      </c>
      <c r="BE10" s="23">
        <f>VALUE(2)</f>
        <v>2</v>
      </c>
      <c r="BF10" s="23">
        <f>VALUE(0)</f>
        <v>0</v>
      </c>
      <c r="BG10" s="23">
        <f>VALUE(0)</f>
        <v>0</v>
      </c>
      <c r="BH10" s="23">
        <f>VALUE(0)</f>
        <v>0</v>
      </c>
      <c r="BI10" s="23">
        <f>VALUE(0)</f>
        <v>0</v>
      </c>
      <c r="BJ10" s="23">
        <f>VALUE(0)</f>
        <v>0</v>
      </c>
      <c r="BK10" s="12">
        <f>$AX$10*24</f>
        <v>5.833333333333333</v>
      </c>
      <c r="BL10" s="12">
        <f>$AY$10*24</f>
        <v>122.33333333333334</v>
      </c>
      <c r="BM10" s="12">
        <f>$BJ$10*24</f>
        <v>0</v>
      </c>
      <c r="BN10" s="12">
        <f>VALUE($I$10)/100</f>
        <v>1</v>
      </c>
      <c r="BO10" s="12">
        <v>0</v>
      </c>
      <c r="BP10" s="12">
        <v>0</v>
      </c>
      <c r="BQ10" s="12">
        <v>0</v>
      </c>
      <c r="BR10" s="12">
        <v>1</v>
      </c>
      <c r="BS10" s="12">
        <v>0</v>
      </c>
      <c r="BT10" s="12">
        <v>0</v>
      </c>
      <c r="BU10" s="12">
        <v>0</v>
      </c>
      <c r="BV10" s="12">
        <v>0</v>
      </c>
      <c r="BW10" s="12">
        <v>0</v>
      </c>
      <c r="BX10" s="12">
        <v>0</v>
      </c>
      <c r="BY10" s="12">
        <v>0</v>
      </c>
      <c r="BZ10" s="12">
        <v>0</v>
      </c>
      <c r="CA10" s="12">
        <v>0</v>
      </c>
    </row>
    <row r="11" spans="1:81" hidden="1" x14ac:dyDescent="0.2">
      <c r="A11" s="12" t="s">
        <v>102</v>
      </c>
      <c r="B11" s="12" t="s">
        <v>103</v>
      </c>
      <c r="C11" s="12" t="s">
        <v>103</v>
      </c>
      <c r="D11" s="22" t="s">
        <v>583</v>
      </c>
      <c r="E11" s="22" t="s">
        <v>159</v>
      </c>
      <c r="F11" s="22" t="s">
        <v>595</v>
      </c>
      <c r="G11" s="22" t="s">
        <v>596</v>
      </c>
      <c r="H11" s="22" t="s">
        <v>150</v>
      </c>
      <c r="I11" s="22" t="s">
        <v>151</v>
      </c>
      <c r="J11" s="22" t="s">
        <v>152</v>
      </c>
      <c r="K11" s="22" t="s">
        <v>64</v>
      </c>
      <c r="L11" s="54" t="s">
        <v>153</v>
      </c>
      <c r="M11" s="27" t="s">
        <v>153</v>
      </c>
      <c r="N11" s="27" t="s">
        <v>153</v>
      </c>
      <c r="O11" s="27" t="s">
        <v>153</v>
      </c>
      <c r="P11" s="27" t="s">
        <v>153</v>
      </c>
      <c r="Q11" s="27" t="s">
        <v>153</v>
      </c>
      <c r="R11" s="27" t="s">
        <v>153</v>
      </c>
      <c r="S11" s="27" t="s">
        <v>153</v>
      </c>
      <c r="T11" s="27" t="s">
        <v>153</v>
      </c>
      <c r="U11" s="27" t="s">
        <v>153</v>
      </c>
      <c r="V11" s="54" t="s">
        <v>156</v>
      </c>
      <c r="W11" s="27" t="s">
        <v>153</v>
      </c>
      <c r="X11" s="27" t="s">
        <v>153</v>
      </c>
      <c r="Y11" s="27" t="s">
        <v>153</v>
      </c>
      <c r="Z11" s="27" t="s">
        <v>153</v>
      </c>
      <c r="AA11" s="27" t="s">
        <v>153</v>
      </c>
      <c r="AB11" s="27" t="s">
        <v>153</v>
      </c>
      <c r="AC11" s="27" t="s">
        <v>153</v>
      </c>
      <c r="AD11" s="27" t="s">
        <v>153</v>
      </c>
      <c r="AE11" s="27" t="s">
        <v>153</v>
      </c>
      <c r="AF11" s="27" t="s">
        <v>153</v>
      </c>
      <c r="AG11" s="27" t="s">
        <v>153</v>
      </c>
      <c r="AH11" s="27" t="s">
        <v>153</v>
      </c>
      <c r="AI11" s="27" t="s">
        <v>153</v>
      </c>
      <c r="AJ11" s="27" t="s">
        <v>153</v>
      </c>
      <c r="AK11" s="27" t="s">
        <v>153</v>
      </c>
      <c r="AL11" s="27" t="s">
        <v>153</v>
      </c>
      <c r="AM11" s="27" t="s">
        <v>153</v>
      </c>
      <c r="AN11" s="27" t="s">
        <v>153</v>
      </c>
      <c r="AO11" s="27" t="s">
        <v>153</v>
      </c>
      <c r="AP11" s="23">
        <f>VALUE(0)</f>
        <v>0</v>
      </c>
      <c r="AQ11" s="23">
        <f>VALUE(0)</f>
        <v>0</v>
      </c>
      <c r="AR11" s="23">
        <f>VALUE(0)</f>
        <v>0</v>
      </c>
      <c r="AS11" s="23">
        <f>VALUE(0)</f>
        <v>0</v>
      </c>
      <c r="AT11" s="23">
        <f>VALUE(0)</f>
        <v>0</v>
      </c>
      <c r="AU11" s="23">
        <f>VALUE(0)</f>
        <v>0</v>
      </c>
      <c r="AV11" s="23">
        <f>VALUE(0)</f>
        <v>0</v>
      </c>
      <c r="AW11" s="23">
        <f>VALUE(0)</f>
        <v>0</v>
      </c>
      <c r="AX11" s="23">
        <f>VALUE(0)</f>
        <v>0</v>
      </c>
      <c r="AY11" s="23">
        <f>VALUE(0)</f>
        <v>0</v>
      </c>
      <c r="AZ11" s="23">
        <f>VALUE(0)</f>
        <v>0</v>
      </c>
      <c r="BA11" s="23">
        <f>VALUE(0)</f>
        <v>0</v>
      </c>
      <c r="BB11" s="23">
        <f>VALUE(0)</f>
        <v>0</v>
      </c>
      <c r="BC11" s="23">
        <f>VALUE(0)</f>
        <v>0</v>
      </c>
      <c r="BD11" s="23">
        <f>VALUE(0)</f>
        <v>0</v>
      </c>
      <c r="BE11" s="23">
        <f>VALUE(0)</f>
        <v>0</v>
      </c>
      <c r="BF11" s="23">
        <f>VALUE(0)</f>
        <v>0</v>
      </c>
      <c r="BG11" s="23">
        <f>VALUE(0)</f>
        <v>0</v>
      </c>
      <c r="BH11" s="23">
        <f>VALUE(0)</f>
        <v>0</v>
      </c>
      <c r="BI11" s="23">
        <f>VALUE(0)</f>
        <v>0</v>
      </c>
      <c r="BJ11" s="23">
        <f>VALUE(0)</f>
        <v>0</v>
      </c>
      <c r="BK11" s="12">
        <f>$AX$11*24</f>
        <v>0</v>
      </c>
      <c r="BL11" s="12">
        <f>$AY$11*24</f>
        <v>0</v>
      </c>
      <c r="BM11" s="12">
        <f>$BJ$11*24</f>
        <v>0</v>
      </c>
      <c r="BN11" s="12">
        <f>VALUE($I$11)/100</f>
        <v>1</v>
      </c>
      <c r="BO11" s="12">
        <v>0</v>
      </c>
      <c r="BP11" s="12">
        <v>0</v>
      </c>
      <c r="BQ11" s="12">
        <v>0</v>
      </c>
      <c r="BR11" s="12">
        <v>0</v>
      </c>
      <c r="BS11" s="12">
        <v>0</v>
      </c>
      <c r="BT11" s="12">
        <v>0</v>
      </c>
      <c r="BU11" s="12">
        <v>0</v>
      </c>
      <c r="BV11" s="12">
        <v>0</v>
      </c>
      <c r="BW11" s="12">
        <v>0</v>
      </c>
      <c r="BX11" s="12">
        <v>0</v>
      </c>
      <c r="BY11" s="12">
        <v>0</v>
      </c>
      <c r="BZ11" s="12">
        <v>0</v>
      </c>
      <c r="CA11" s="12">
        <v>0</v>
      </c>
    </row>
    <row r="12" spans="1:81" hidden="1" x14ac:dyDescent="0.2">
      <c r="A12" s="12" t="s">
        <v>102</v>
      </c>
      <c r="B12" s="12" t="s">
        <v>103</v>
      </c>
      <c r="C12" s="12" t="s">
        <v>103</v>
      </c>
      <c r="D12" s="22" t="s">
        <v>165</v>
      </c>
      <c r="E12" s="22" t="s">
        <v>161</v>
      </c>
      <c r="F12" s="22" t="s">
        <v>597</v>
      </c>
      <c r="G12" s="22" t="s">
        <v>598</v>
      </c>
      <c r="H12" s="22" t="s">
        <v>166</v>
      </c>
      <c r="I12" s="22" t="s">
        <v>151</v>
      </c>
      <c r="J12" s="22" t="s">
        <v>162</v>
      </c>
      <c r="K12" s="22" t="s">
        <v>64</v>
      </c>
      <c r="L12" s="54" t="s">
        <v>153</v>
      </c>
      <c r="M12" s="23" t="s">
        <v>153</v>
      </c>
      <c r="N12" s="24" t="s">
        <v>153</v>
      </c>
      <c r="O12" s="23" t="s">
        <v>153</v>
      </c>
      <c r="P12" s="23" t="s">
        <v>153</v>
      </c>
      <c r="Q12" s="23" t="s">
        <v>153</v>
      </c>
      <c r="R12" s="23" t="s">
        <v>153</v>
      </c>
      <c r="S12" s="23" t="s">
        <v>153</v>
      </c>
      <c r="T12" s="23" t="s">
        <v>153</v>
      </c>
      <c r="U12" s="24" t="s">
        <v>153</v>
      </c>
      <c r="V12" s="54" t="s">
        <v>153</v>
      </c>
      <c r="W12" s="23" t="s">
        <v>153</v>
      </c>
      <c r="X12" s="23" t="s">
        <v>153</v>
      </c>
      <c r="Y12" s="24" t="s">
        <v>156</v>
      </c>
      <c r="Z12" s="24" t="s">
        <v>156</v>
      </c>
      <c r="AA12" s="24" t="s">
        <v>156</v>
      </c>
      <c r="AB12" s="24" t="s">
        <v>153</v>
      </c>
      <c r="AC12" s="23" t="s">
        <v>153</v>
      </c>
      <c r="AD12" s="23" t="s">
        <v>153</v>
      </c>
      <c r="AE12" s="23" t="s">
        <v>153</v>
      </c>
      <c r="AF12" s="23" t="s">
        <v>153</v>
      </c>
      <c r="AG12" s="23" t="s">
        <v>153</v>
      </c>
      <c r="AH12" s="23" t="s">
        <v>153</v>
      </c>
      <c r="AI12" s="24" t="s">
        <v>153</v>
      </c>
      <c r="AJ12" s="23" t="s">
        <v>153</v>
      </c>
      <c r="AK12" s="23" t="s">
        <v>153</v>
      </c>
      <c r="AL12" s="23" t="s">
        <v>153</v>
      </c>
      <c r="AM12" s="23" t="s">
        <v>153</v>
      </c>
      <c r="AN12" s="23" t="s">
        <v>153</v>
      </c>
      <c r="AO12" s="23" t="s">
        <v>153</v>
      </c>
      <c r="AP12" s="23">
        <f>VALUE(2)</f>
        <v>2</v>
      </c>
      <c r="AQ12" s="23">
        <f>VALUE(0)</f>
        <v>0</v>
      </c>
      <c r="AR12" s="23">
        <f>VALUE(0)</f>
        <v>0</v>
      </c>
      <c r="AS12" s="23">
        <f>VALUE(0)</f>
        <v>0</v>
      </c>
      <c r="AT12" s="23">
        <f>VALUE(0)</f>
        <v>0</v>
      </c>
      <c r="AU12" s="23">
        <f>VALUE(0)</f>
        <v>0</v>
      </c>
      <c r="AV12" s="23">
        <f>VALUE(2)</f>
        <v>2</v>
      </c>
      <c r="AW12" s="23">
        <f>VALUE(0)</f>
        <v>0</v>
      </c>
      <c r="AX12" s="23" t="s">
        <v>1166</v>
      </c>
      <c r="AY12" s="23">
        <f>VALUE(0)</f>
        <v>0</v>
      </c>
      <c r="AZ12" s="23">
        <f>VALUE(0)</f>
        <v>0</v>
      </c>
      <c r="BA12" s="23">
        <f>VALUE(0)</f>
        <v>0</v>
      </c>
      <c r="BB12" s="23">
        <f>VALUE(0)</f>
        <v>0</v>
      </c>
      <c r="BC12" s="23">
        <f>VALUE(0)</f>
        <v>0</v>
      </c>
      <c r="BD12" s="23">
        <f>VALUE(0)</f>
        <v>0</v>
      </c>
      <c r="BE12" s="23">
        <f>VALUE(0)</f>
        <v>0</v>
      </c>
      <c r="BF12" s="23">
        <f>VALUE(0)</f>
        <v>0</v>
      </c>
      <c r="BG12" s="23">
        <f>VALUE(0)</f>
        <v>0</v>
      </c>
      <c r="BH12" s="23">
        <f>VALUE(0)</f>
        <v>0</v>
      </c>
      <c r="BI12" s="23">
        <f>VALUE(0)</f>
        <v>0</v>
      </c>
      <c r="BJ12" s="23">
        <f>VALUE(0)</f>
        <v>0</v>
      </c>
      <c r="BK12" s="12">
        <f>$AX$12*24</f>
        <v>30.466666666666665</v>
      </c>
      <c r="BL12" s="12">
        <f>$AY$12*24</f>
        <v>0</v>
      </c>
      <c r="BM12" s="12">
        <f>$BJ$12*24</f>
        <v>0</v>
      </c>
      <c r="BN12" s="12">
        <f>VALUE($I$12)/100</f>
        <v>1</v>
      </c>
      <c r="BO12" s="12">
        <v>0</v>
      </c>
      <c r="BP12" s="12">
        <v>0</v>
      </c>
      <c r="BQ12" s="12">
        <v>0</v>
      </c>
      <c r="BR12" s="12">
        <v>0</v>
      </c>
      <c r="BS12" s="12">
        <v>0</v>
      </c>
      <c r="BT12" s="12">
        <v>0</v>
      </c>
      <c r="BU12" s="12">
        <v>0</v>
      </c>
      <c r="BV12" s="12">
        <v>0</v>
      </c>
      <c r="BW12" s="12">
        <v>0</v>
      </c>
      <c r="BX12" s="12">
        <v>0</v>
      </c>
      <c r="BY12" s="12">
        <v>0</v>
      </c>
      <c r="BZ12" s="12">
        <v>0</v>
      </c>
      <c r="CA12" s="12">
        <v>0</v>
      </c>
    </row>
    <row r="13" spans="1:81" hidden="1" x14ac:dyDescent="0.2">
      <c r="A13" s="12" t="s">
        <v>102</v>
      </c>
      <c r="B13" s="12" t="s">
        <v>103</v>
      </c>
      <c r="C13" s="12" t="s">
        <v>103</v>
      </c>
      <c r="D13" s="22" t="s">
        <v>167</v>
      </c>
      <c r="E13" s="22" t="s">
        <v>161</v>
      </c>
      <c r="F13" s="22" t="s">
        <v>599</v>
      </c>
      <c r="G13" s="22" t="s">
        <v>600</v>
      </c>
      <c r="H13" s="22" t="s">
        <v>150</v>
      </c>
      <c r="I13" s="22" t="s">
        <v>151</v>
      </c>
      <c r="J13" s="22" t="s">
        <v>162</v>
      </c>
      <c r="K13" s="22" t="s">
        <v>64</v>
      </c>
      <c r="L13" s="54" t="s">
        <v>153</v>
      </c>
      <c r="M13" s="28" t="s">
        <v>163</v>
      </c>
      <c r="N13" s="24" t="s">
        <v>153</v>
      </c>
      <c r="O13" s="23" t="s">
        <v>153</v>
      </c>
      <c r="P13" s="23" t="s">
        <v>153</v>
      </c>
      <c r="Q13" s="23" t="s">
        <v>153</v>
      </c>
      <c r="R13" s="23" t="s">
        <v>153</v>
      </c>
      <c r="S13" s="23" t="s">
        <v>153</v>
      </c>
      <c r="T13" s="23" t="s">
        <v>153</v>
      </c>
      <c r="U13" s="24" t="s">
        <v>153</v>
      </c>
      <c r="V13" s="54" t="s">
        <v>156</v>
      </c>
      <c r="W13" s="24" t="s">
        <v>156</v>
      </c>
      <c r="X13" s="24" t="s">
        <v>156</v>
      </c>
      <c r="Y13" s="23" t="s">
        <v>153</v>
      </c>
      <c r="Z13" s="23" t="s">
        <v>153</v>
      </c>
      <c r="AA13" s="23" t="s">
        <v>153</v>
      </c>
      <c r="AB13" s="24" t="s">
        <v>153</v>
      </c>
      <c r="AC13" s="23" t="s">
        <v>153</v>
      </c>
      <c r="AD13" s="23" t="s">
        <v>153</v>
      </c>
      <c r="AE13" s="23" t="s">
        <v>153</v>
      </c>
      <c r="AF13" s="23" t="s">
        <v>153</v>
      </c>
      <c r="AG13" s="23" t="s">
        <v>153</v>
      </c>
      <c r="AH13" s="23" t="s">
        <v>153</v>
      </c>
      <c r="AI13" s="24" t="s">
        <v>153</v>
      </c>
      <c r="AJ13" s="23" t="s">
        <v>153</v>
      </c>
      <c r="AK13" s="23" t="s">
        <v>153</v>
      </c>
      <c r="AL13" s="23" t="s">
        <v>153</v>
      </c>
      <c r="AM13" s="23" t="s">
        <v>153</v>
      </c>
      <c r="AN13" s="23" t="s">
        <v>153</v>
      </c>
      <c r="AO13" s="30" t="s">
        <v>29</v>
      </c>
      <c r="AP13" s="23">
        <f>VALUE(1)</f>
        <v>1</v>
      </c>
      <c r="AQ13" s="23">
        <f>VALUE(0)</f>
        <v>0</v>
      </c>
      <c r="AR13" s="23">
        <f>VALUE(0)</f>
        <v>0</v>
      </c>
      <c r="AS13" s="23">
        <f>VALUE(0)</f>
        <v>0</v>
      </c>
      <c r="AT13" s="23">
        <f>VALUE(0)</f>
        <v>0</v>
      </c>
      <c r="AU13" s="23">
        <f>VALUE(1)</f>
        <v>1</v>
      </c>
      <c r="AV13" s="23">
        <f>VALUE(2)</f>
        <v>2</v>
      </c>
      <c r="AW13" s="23">
        <f>VALUE(0)</f>
        <v>0</v>
      </c>
      <c r="AX13" s="23" t="s">
        <v>1167</v>
      </c>
      <c r="AY13" s="23" t="s">
        <v>168</v>
      </c>
      <c r="AZ13" s="23">
        <f>VALUE(0)</f>
        <v>0</v>
      </c>
      <c r="BA13" s="23">
        <f>VALUE(0)</f>
        <v>0</v>
      </c>
      <c r="BB13" s="23">
        <f>VALUE(0)</f>
        <v>0</v>
      </c>
      <c r="BC13" s="23">
        <f>VALUE(0)</f>
        <v>0</v>
      </c>
      <c r="BD13" s="23">
        <f>VALUE(0)</f>
        <v>0</v>
      </c>
      <c r="BE13" s="23">
        <f>VALUE(0)</f>
        <v>0</v>
      </c>
      <c r="BF13" s="23">
        <f>VALUE(0)</f>
        <v>0</v>
      </c>
      <c r="BG13" s="23">
        <f>VALUE(0)</f>
        <v>0</v>
      </c>
      <c r="BH13" s="23">
        <f>VALUE(0)</f>
        <v>0</v>
      </c>
      <c r="BI13" s="23">
        <f>VALUE(0)</f>
        <v>0</v>
      </c>
      <c r="BJ13" s="23">
        <f>VALUE(0)</f>
        <v>0</v>
      </c>
      <c r="BK13" s="12">
        <f>$AX$13*24</f>
        <v>11.25</v>
      </c>
      <c r="BL13" s="12">
        <f>$AY$13*24</f>
        <v>18.05</v>
      </c>
      <c r="BM13" s="12">
        <f>$BJ$13*24</f>
        <v>0</v>
      </c>
      <c r="BN13" s="12">
        <f>VALUE($I$13)/100</f>
        <v>1</v>
      </c>
      <c r="BO13" s="12">
        <v>0</v>
      </c>
      <c r="BP13" s="12">
        <v>0</v>
      </c>
      <c r="BQ13" s="12">
        <v>0</v>
      </c>
      <c r="BR13" s="12">
        <v>0</v>
      </c>
      <c r="BS13" s="12">
        <v>0</v>
      </c>
      <c r="BT13" s="12">
        <v>0</v>
      </c>
      <c r="BU13" s="12">
        <v>0</v>
      </c>
      <c r="BV13" s="12">
        <v>0</v>
      </c>
      <c r="BW13" s="12">
        <v>0</v>
      </c>
      <c r="BX13" s="12">
        <v>0</v>
      </c>
      <c r="BY13" s="12">
        <v>0</v>
      </c>
      <c r="BZ13" s="12">
        <v>0</v>
      </c>
      <c r="CA13" s="12">
        <v>0</v>
      </c>
    </row>
    <row r="14" spans="1:81" hidden="1" x14ac:dyDescent="0.2">
      <c r="A14" s="12" t="s">
        <v>102</v>
      </c>
      <c r="B14" s="12" t="s">
        <v>103</v>
      </c>
      <c r="C14" s="12" t="s">
        <v>103</v>
      </c>
      <c r="D14" s="22" t="s">
        <v>169</v>
      </c>
      <c r="E14" s="22" t="s">
        <v>161</v>
      </c>
      <c r="F14" s="22" t="s">
        <v>601</v>
      </c>
      <c r="G14" s="22" t="s">
        <v>602</v>
      </c>
      <c r="H14" s="22" t="s">
        <v>150</v>
      </c>
      <c r="I14" s="22" t="s">
        <v>151</v>
      </c>
      <c r="J14" s="22" t="s">
        <v>162</v>
      </c>
      <c r="K14" s="22" t="s">
        <v>64</v>
      </c>
      <c r="L14" s="54" t="s">
        <v>153</v>
      </c>
      <c r="M14" s="28" t="s">
        <v>163</v>
      </c>
      <c r="N14" s="24" t="s">
        <v>153</v>
      </c>
      <c r="O14" s="23" t="s">
        <v>153</v>
      </c>
      <c r="P14" s="23" t="s">
        <v>153</v>
      </c>
      <c r="Q14" s="23" t="s">
        <v>153</v>
      </c>
      <c r="R14" s="24" t="s">
        <v>156</v>
      </c>
      <c r="S14" s="24" t="s">
        <v>156</v>
      </c>
      <c r="T14" s="24" t="s">
        <v>156</v>
      </c>
      <c r="U14" s="24" t="s">
        <v>153</v>
      </c>
      <c r="V14" s="54" t="s">
        <v>153</v>
      </c>
      <c r="W14" s="23" t="s">
        <v>153</v>
      </c>
      <c r="X14" s="23" t="s">
        <v>153</v>
      </c>
      <c r="Y14" s="23" t="s">
        <v>153</v>
      </c>
      <c r="Z14" s="23" t="s">
        <v>153</v>
      </c>
      <c r="AA14" s="23" t="s">
        <v>153</v>
      </c>
      <c r="AB14" s="24" t="s">
        <v>153</v>
      </c>
      <c r="AC14" s="23" t="s">
        <v>153</v>
      </c>
      <c r="AD14" s="23" t="s">
        <v>153</v>
      </c>
      <c r="AE14" s="23" t="s">
        <v>153</v>
      </c>
      <c r="AF14" s="23" t="s">
        <v>153</v>
      </c>
      <c r="AG14" s="23" t="s">
        <v>153</v>
      </c>
      <c r="AH14" s="23" t="s">
        <v>153</v>
      </c>
      <c r="AI14" s="24" t="s">
        <v>153</v>
      </c>
      <c r="AJ14" s="28" t="s">
        <v>163</v>
      </c>
      <c r="AK14" s="28" t="s">
        <v>163</v>
      </c>
      <c r="AL14" s="28" t="s">
        <v>163</v>
      </c>
      <c r="AM14" s="30" t="s">
        <v>28</v>
      </c>
      <c r="AN14" s="23" t="s">
        <v>153</v>
      </c>
      <c r="AO14" s="23" t="s">
        <v>153</v>
      </c>
      <c r="AP14" s="23">
        <f>VALUE(1)</f>
        <v>1</v>
      </c>
      <c r="AQ14" s="23">
        <f>VALUE(0)</f>
        <v>0</v>
      </c>
      <c r="AR14" s="23">
        <f>VALUE(0)</f>
        <v>0</v>
      </c>
      <c r="AS14" s="23">
        <f>VALUE(0)</f>
        <v>0</v>
      </c>
      <c r="AT14" s="23">
        <f>VALUE(0)</f>
        <v>0</v>
      </c>
      <c r="AU14" s="23">
        <f>VALUE(4)</f>
        <v>4</v>
      </c>
      <c r="AV14" s="23">
        <f>VALUE(0)</f>
        <v>0</v>
      </c>
      <c r="AW14" s="23">
        <f>VALUE(0)</f>
        <v>0</v>
      </c>
      <c r="AX14" s="23" t="s">
        <v>171</v>
      </c>
      <c r="AY14" s="23" t="s">
        <v>172</v>
      </c>
      <c r="AZ14" s="23">
        <f>VALUE(0)</f>
        <v>0</v>
      </c>
      <c r="BA14" s="23">
        <f>VALUE(0)</f>
        <v>0</v>
      </c>
      <c r="BB14" s="23">
        <f>VALUE(0)</f>
        <v>0</v>
      </c>
      <c r="BC14" s="23">
        <f>VALUE(0)</f>
        <v>0</v>
      </c>
      <c r="BD14" s="23">
        <f>VALUE(0)</f>
        <v>0</v>
      </c>
      <c r="BE14" s="23">
        <f>VALUE(0)</f>
        <v>0</v>
      </c>
      <c r="BF14" s="23">
        <f>VALUE(0)</f>
        <v>0</v>
      </c>
      <c r="BG14" s="23">
        <f>VALUE(0)</f>
        <v>0</v>
      </c>
      <c r="BH14" s="23">
        <f>VALUE(0)</f>
        <v>0</v>
      </c>
      <c r="BI14" s="23">
        <f>VALUE(0)</f>
        <v>0</v>
      </c>
      <c r="BJ14" s="23">
        <f>VALUE(0)</f>
        <v>0</v>
      </c>
      <c r="BK14" s="12">
        <f>$AX$14*24</f>
        <v>5.833333333333333</v>
      </c>
      <c r="BL14" s="12">
        <f>$AY$14*24</f>
        <v>6.9333333333333336</v>
      </c>
      <c r="BM14" s="12">
        <f>$BJ$14*24</f>
        <v>0</v>
      </c>
      <c r="BN14" s="12">
        <f>VALUE($I$14)/100</f>
        <v>1</v>
      </c>
      <c r="BO14" s="12">
        <v>0</v>
      </c>
      <c r="BP14" s="12">
        <v>0</v>
      </c>
      <c r="BQ14" s="12">
        <v>1</v>
      </c>
      <c r="BR14" s="12">
        <v>0</v>
      </c>
      <c r="BS14" s="12">
        <v>0</v>
      </c>
      <c r="BT14" s="12">
        <v>0</v>
      </c>
      <c r="BU14" s="12">
        <v>0</v>
      </c>
      <c r="BV14" s="12">
        <v>0</v>
      </c>
      <c r="BW14" s="12">
        <v>0</v>
      </c>
      <c r="BX14" s="12">
        <v>0</v>
      </c>
      <c r="BY14" s="12">
        <v>0</v>
      </c>
      <c r="BZ14" s="12">
        <v>0</v>
      </c>
      <c r="CA14" s="12">
        <v>0</v>
      </c>
    </row>
    <row r="15" spans="1:81" ht="15" hidden="1" x14ac:dyDescent="0.25">
      <c r="A15" s="12" t="s">
        <v>102</v>
      </c>
      <c r="B15" s="12" t="s">
        <v>103</v>
      </c>
      <c r="C15" s="12" t="s">
        <v>103</v>
      </c>
      <c r="D15" s="31" t="s">
        <v>174</v>
      </c>
      <c r="E15" s="31" t="s">
        <v>153</v>
      </c>
      <c r="F15" s="31" t="s">
        <v>175</v>
      </c>
      <c r="G15" s="31" t="s">
        <v>153</v>
      </c>
      <c r="H15" s="31" t="s">
        <v>153</v>
      </c>
      <c r="I15" s="31" t="s">
        <v>153</v>
      </c>
      <c r="J15" s="31" t="s">
        <v>153</v>
      </c>
      <c r="K15" s="31" t="s">
        <v>153</v>
      </c>
      <c r="L15" s="31">
        <f>VALUE(0)</f>
        <v>0</v>
      </c>
      <c r="M15" s="31">
        <f>VALUE(3)</f>
        <v>3</v>
      </c>
      <c r="N15" s="31">
        <f>VALUE(0)</f>
        <v>0</v>
      </c>
      <c r="O15" s="31">
        <f>VALUE(3)</f>
        <v>3</v>
      </c>
      <c r="P15" s="31">
        <f>VALUE(3)</f>
        <v>3</v>
      </c>
      <c r="Q15" s="31">
        <f>VALUE(4)</f>
        <v>4</v>
      </c>
      <c r="R15" s="31">
        <f>VALUE(3)</f>
        <v>3</v>
      </c>
      <c r="S15" s="31">
        <f>VALUE(3)</f>
        <v>3</v>
      </c>
      <c r="T15" s="31">
        <f>VALUE(2)</f>
        <v>2</v>
      </c>
      <c r="U15" s="31">
        <f>VALUE(0)</f>
        <v>0</v>
      </c>
      <c r="V15" s="31">
        <f>VALUE(0)</f>
        <v>0</v>
      </c>
      <c r="W15" s="31">
        <f>VALUE(4)</f>
        <v>4</v>
      </c>
      <c r="X15" s="31">
        <f>VALUE(4)</f>
        <v>4</v>
      </c>
      <c r="Y15" s="31">
        <f>VALUE(4)</f>
        <v>4</v>
      </c>
      <c r="Z15" s="31">
        <f>VALUE(4)</f>
        <v>4</v>
      </c>
      <c r="AA15" s="31">
        <f>VALUE(4)</f>
        <v>4</v>
      </c>
      <c r="AB15" s="31">
        <f>VALUE(0)</f>
        <v>0</v>
      </c>
      <c r="AC15" s="31">
        <f>VALUE(5)</f>
        <v>5</v>
      </c>
      <c r="AD15" s="31">
        <f>VALUE(5)</f>
        <v>5</v>
      </c>
      <c r="AE15" s="31">
        <f>VALUE(5)</f>
        <v>5</v>
      </c>
      <c r="AF15" s="31">
        <f>VALUE(5)</f>
        <v>5</v>
      </c>
      <c r="AG15" s="31">
        <f>VALUE(5)</f>
        <v>5</v>
      </c>
      <c r="AH15" s="31">
        <f>VALUE(4)</f>
        <v>4</v>
      </c>
      <c r="AI15" s="31">
        <f>VALUE(0)</f>
        <v>0</v>
      </c>
      <c r="AJ15" s="31">
        <f>VALUE(3)</f>
        <v>3</v>
      </c>
      <c r="AK15" s="31">
        <f>VALUE(4)</f>
        <v>4</v>
      </c>
      <c r="AL15" s="31">
        <f>VALUE(4)</f>
        <v>4</v>
      </c>
      <c r="AM15" s="31">
        <f>VALUE(4)</f>
        <v>4</v>
      </c>
      <c r="AN15" s="31">
        <f>VALUE(4)</f>
        <v>4</v>
      </c>
      <c r="AO15" s="31">
        <f>VALUE(3)</f>
        <v>3</v>
      </c>
      <c r="AP15" s="31">
        <v>0</v>
      </c>
      <c r="AQ15" s="31">
        <v>0</v>
      </c>
      <c r="AR15" s="31">
        <v>0</v>
      </c>
      <c r="AS15" s="31">
        <v>0</v>
      </c>
      <c r="AT15" s="31">
        <v>0</v>
      </c>
      <c r="AU15" s="31">
        <v>0</v>
      </c>
      <c r="AV15" s="31">
        <v>0</v>
      </c>
      <c r="AW15" s="31">
        <v>0</v>
      </c>
      <c r="AX15" s="31">
        <v>0</v>
      </c>
      <c r="AY15" s="31">
        <v>0</v>
      </c>
      <c r="AZ15" s="31">
        <v>0</v>
      </c>
      <c r="BA15" s="31">
        <v>0</v>
      </c>
      <c r="BB15" s="31">
        <v>0</v>
      </c>
      <c r="BC15" s="31">
        <v>0</v>
      </c>
      <c r="BD15" s="31">
        <v>0</v>
      </c>
      <c r="BE15" s="31">
        <v>0</v>
      </c>
      <c r="BF15" s="31">
        <v>0</v>
      </c>
      <c r="BG15" s="31">
        <v>0</v>
      </c>
      <c r="BH15" s="31">
        <v>0</v>
      </c>
      <c r="BI15" s="31">
        <v>0</v>
      </c>
      <c r="BJ15" s="31">
        <v>0</v>
      </c>
      <c r="BK15" s="12">
        <v>0</v>
      </c>
      <c r="BL15" s="12">
        <v>0</v>
      </c>
      <c r="BM15" s="12">
        <v>0</v>
      </c>
      <c r="BN15" s="12"/>
      <c r="BO15" s="12">
        <v>0</v>
      </c>
      <c r="BP15" s="12">
        <v>0</v>
      </c>
      <c r="BQ15" s="12">
        <v>0</v>
      </c>
      <c r="BR15" s="12">
        <v>0</v>
      </c>
      <c r="BS15" s="12">
        <v>0</v>
      </c>
      <c r="BT15" s="12">
        <v>0</v>
      </c>
      <c r="BU15" s="12">
        <v>0</v>
      </c>
      <c r="BV15" s="12">
        <v>0</v>
      </c>
      <c r="BW15" s="12">
        <v>0</v>
      </c>
      <c r="BX15" s="12">
        <v>0</v>
      </c>
      <c r="BY15" s="12">
        <v>0</v>
      </c>
      <c r="BZ15" s="12">
        <v>0</v>
      </c>
      <c r="CA15" s="12">
        <v>0</v>
      </c>
    </row>
    <row r="16" spans="1:81" hidden="1" x14ac:dyDescent="0.2">
      <c r="A16" s="12" t="s">
        <v>102</v>
      </c>
      <c r="B16" s="12" t="s">
        <v>104</v>
      </c>
      <c r="C16" s="12" t="s">
        <v>104</v>
      </c>
      <c r="D16" s="22" t="s">
        <v>177</v>
      </c>
      <c r="E16" s="22" t="s">
        <v>161</v>
      </c>
      <c r="F16" s="22" t="s">
        <v>603</v>
      </c>
      <c r="G16" s="22" t="s">
        <v>604</v>
      </c>
      <c r="H16" s="22" t="s">
        <v>166</v>
      </c>
      <c r="I16" s="22" t="s">
        <v>151</v>
      </c>
      <c r="J16" s="22" t="s">
        <v>178</v>
      </c>
      <c r="K16" s="22" t="s">
        <v>65</v>
      </c>
      <c r="L16" s="54" t="s">
        <v>153</v>
      </c>
      <c r="M16" s="24" t="s">
        <v>156</v>
      </c>
      <c r="N16" s="24" t="s">
        <v>153</v>
      </c>
      <c r="O16" s="23" t="s">
        <v>153</v>
      </c>
      <c r="P16" s="23" t="s">
        <v>153</v>
      </c>
      <c r="Q16" s="23" t="s">
        <v>153</v>
      </c>
      <c r="R16" s="23" t="s">
        <v>153</v>
      </c>
      <c r="S16" s="23" t="s">
        <v>153</v>
      </c>
      <c r="T16" s="24" t="s">
        <v>156</v>
      </c>
      <c r="U16" s="24" t="s">
        <v>153</v>
      </c>
      <c r="V16" s="54" t="s">
        <v>153</v>
      </c>
      <c r="W16" s="23" t="s">
        <v>153</v>
      </c>
      <c r="X16" s="23" t="s">
        <v>153</v>
      </c>
      <c r="Y16" s="23" t="s">
        <v>153</v>
      </c>
      <c r="Z16" s="23" t="s">
        <v>153</v>
      </c>
      <c r="AA16" s="24" t="s">
        <v>156</v>
      </c>
      <c r="AB16" s="24" t="s">
        <v>153</v>
      </c>
      <c r="AC16" s="23" t="s">
        <v>153</v>
      </c>
      <c r="AD16" s="23" t="s">
        <v>153</v>
      </c>
      <c r="AE16" s="23" t="s">
        <v>153</v>
      </c>
      <c r="AF16" s="23" t="s">
        <v>153</v>
      </c>
      <c r="AG16" s="23" t="s">
        <v>153</v>
      </c>
      <c r="AH16" s="24" t="s">
        <v>156</v>
      </c>
      <c r="AI16" s="24" t="s">
        <v>153</v>
      </c>
      <c r="AJ16" s="23" t="s">
        <v>153</v>
      </c>
      <c r="AK16" s="23" t="s">
        <v>153</v>
      </c>
      <c r="AL16" s="23" t="s">
        <v>153</v>
      </c>
      <c r="AM16" s="23" t="s">
        <v>153</v>
      </c>
      <c r="AN16" s="23" t="s">
        <v>153</v>
      </c>
      <c r="AO16" s="24" t="s">
        <v>156</v>
      </c>
      <c r="AP16" s="23">
        <f>VALUE(0)</f>
        <v>0</v>
      </c>
      <c r="AQ16" s="23">
        <f>VALUE(0)</f>
        <v>0</v>
      </c>
      <c r="AR16" s="23">
        <f>VALUE(0)</f>
        <v>0</v>
      </c>
      <c r="AS16" s="23">
        <f>VALUE(0)</f>
        <v>0</v>
      </c>
      <c r="AT16" s="23">
        <f>VALUE(0)</f>
        <v>0</v>
      </c>
      <c r="AU16" s="23">
        <f>VALUE(0)</f>
        <v>0</v>
      </c>
      <c r="AV16" s="23">
        <f>VALUE(3)</f>
        <v>3</v>
      </c>
      <c r="AW16" s="23">
        <f>VALUE(0)</f>
        <v>0</v>
      </c>
      <c r="AX16" s="23" t="s">
        <v>179</v>
      </c>
      <c r="AY16" s="23">
        <f>VALUE(0)</f>
        <v>0</v>
      </c>
      <c r="AZ16" s="23">
        <f>VALUE(0)</f>
        <v>0</v>
      </c>
      <c r="BA16" s="23">
        <f>VALUE(0)</f>
        <v>0</v>
      </c>
      <c r="BB16" s="23">
        <f>VALUE(0)</f>
        <v>0</v>
      </c>
      <c r="BC16" s="23">
        <f>VALUE(0)</f>
        <v>0</v>
      </c>
      <c r="BD16" s="23">
        <f>VALUE(0)</f>
        <v>0</v>
      </c>
      <c r="BE16" s="23">
        <f>VALUE(0)</f>
        <v>0</v>
      </c>
      <c r="BF16" s="23">
        <f>VALUE(0)</f>
        <v>0</v>
      </c>
      <c r="BG16" s="23">
        <f>VALUE(0)</f>
        <v>0</v>
      </c>
      <c r="BH16" s="23">
        <f>VALUE(0)</f>
        <v>0</v>
      </c>
      <c r="BI16" s="23">
        <f>VALUE(0)</f>
        <v>0</v>
      </c>
      <c r="BJ16" s="23">
        <f>VALUE(0)</f>
        <v>0</v>
      </c>
      <c r="BK16" s="12">
        <f>$AX$16*24</f>
        <v>6.4666666666666668</v>
      </c>
      <c r="BL16" s="12">
        <f>$AY$16*24</f>
        <v>0</v>
      </c>
      <c r="BM16" s="12">
        <f>$BJ$16*24</f>
        <v>0</v>
      </c>
      <c r="BN16" s="12">
        <f>VALUE($I$16)/100</f>
        <v>1</v>
      </c>
      <c r="BO16" s="12">
        <v>0</v>
      </c>
      <c r="BP16" s="12">
        <v>0</v>
      </c>
      <c r="BQ16" s="12">
        <v>0</v>
      </c>
      <c r="BR16" s="12">
        <v>0</v>
      </c>
      <c r="BS16" s="12">
        <v>0</v>
      </c>
      <c r="BT16" s="12">
        <v>0</v>
      </c>
      <c r="BU16" s="12">
        <v>0</v>
      </c>
      <c r="BV16" s="12">
        <v>0</v>
      </c>
      <c r="BW16" s="12">
        <v>0</v>
      </c>
      <c r="BX16" s="12">
        <v>0</v>
      </c>
      <c r="BY16" s="12">
        <v>0</v>
      </c>
      <c r="BZ16" s="12">
        <v>0</v>
      </c>
      <c r="CA16" s="12">
        <v>0</v>
      </c>
    </row>
    <row r="17" spans="1:79" hidden="1" x14ac:dyDescent="0.2">
      <c r="A17" s="12" t="s">
        <v>102</v>
      </c>
      <c r="B17" s="12" t="s">
        <v>104</v>
      </c>
      <c r="C17" s="12" t="s">
        <v>104</v>
      </c>
      <c r="D17" s="22" t="s">
        <v>180</v>
      </c>
      <c r="E17" s="22" t="s">
        <v>159</v>
      </c>
      <c r="F17" s="22" t="s">
        <v>605</v>
      </c>
      <c r="G17" s="22" t="s">
        <v>606</v>
      </c>
      <c r="H17" s="22" t="s">
        <v>166</v>
      </c>
      <c r="I17" s="22" t="s">
        <v>151</v>
      </c>
      <c r="J17" s="22" t="s">
        <v>181</v>
      </c>
      <c r="K17" s="22" t="s">
        <v>65</v>
      </c>
      <c r="L17" s="54" t="s">
        <v>153</v>
      </c>
      <c r="M17" s="28" t="s">
        <v>163</v>
      </c>
      <c r="N17" s="24" t="s">
        <v>153</v>
      </c>
      <c r="O17" s="23" t="s">
        <v>153</v>
      </c>
      <c r="P17" s="23" t="s">
        <v>153</v>
      </c>
      <c r="Q17" s="23" t="s">
        <v>153</v>
      </c>
      <c r="R17" s="23" t="s">
        <v>153</v>
      </c>
      <c r="S17" s="23" t="s">
        <v>153</v>
      </c>
      <c r="T17" s="23" t="s">
        <v>153</v>
      </c>
      <c r="U17" s="24" t="s">
        <v>153</v>
      </c>
      <c r="V17" s="54" t="s">
        <v>153</v>
      </c>
      <c r="W17" s="23" t="s">
        <v>183</v>
      </c>
      <c r="X17" s="23" t="s">
        <v>183</v>
      </c>
      <c r="Y17" s="23" t="s">
        <v>183</v>
      </c>
      <c r="Z17" s="23" t="s">
        <v>183</v>
      </c>
      <c r="AA17" s="23" t="s">
        <v>153</v>
      </c>
      <c r="AB17" s="24" t="s">
        <v>153</v>
      </c>
      <c r="AC17" s="23" t="s">
        <v>184</v>
      </c>
      <c r="AD17" s="23" t="s">
        <v>184</v>
      </c>
      <c r="AE17" s="23" t="s">
        <v>184</v>
      </c>
      <c r="AF17" s="25" t="s">
        <v>185</v>
      </c>
      <c r="AG17" s="25" t="s">
        <v>185</v>
      </c>
      <c r="AH17" s="23" t="s">
        <v>153</v>
      </c>
      <c r="AI17" s="24" t="s">
        <v>153</v>
      </c>
      <c r="AJ17" s="25" t="s">
        <v>185</v>
      </c>
      <c r="AK17" s="25" t="s">
        <v>185</v>
      </c>
      <c r="AL17" s="23" t="s">
        <v>153</v>
      </c>
      <c r="AM17" s="23" t="s">
        <v>153</v>
      </c>
      <c r="AN17" s="23" t="s">
        <v>153</v>
      </c>
      <c r="AO17" s="23" t="s">
        <v>153</v>
      </c>
      <c r="AP17" s="23">
        <f>VALUE(0)</f>
        <v>0</v>
      </c>
      <c r="AQ17" s="23">
        <f>VALUE(0)</f>
        <v>0</v>
      </c>
      <c r="AR17" s="23">
        <f>VALUE(0)</f>
        <v>0</v>
      </c>
      <c r="AS17" s="23">
        <f>VALUE(12)</f>
        <v>12</v>
      </c>
      <c r="AT17" s="23">
        <f>VALUE(0)</f>
        <v>0</v>
      </c>
      <c r="AU17" s="23">
        <f>VALUE(1)</f>
        <v>1</v>
      </c>
      <c r="AV17" s="23">
        <f>VALUE(1)</f>
        <v>1</v>
      </c>
      <c r="AW17" s="23">
        <f>VALUE(0)</f>
        <v>0</v>
      </c>
      <c r="AX17" s="23" t="s">
        <v>187</v>
      </c>
      <c r="AY17" s="23">
        <f>VALUE(0)</f>
        <v>0</v>
      </c>
      <c r="AZ17" s="23">
        <f>VALUE(0)</f>
        <v>0</v>
      </c>
      <c r="BA17" s="23">
        <f>VALUE(0)</f>
        <v>0</v>
      </c>
      <c r="BB17" s="23">
        <f>VALUE(0)</f>
        <v>0</v>
      </c>
      <c r="BC17" s="23">
        <f>VALUE(0)</f>
        <v>0</v>
      </c>
      <c r="BD17" s="23">
        <f>VALUE(0)</f>
        <v>0</v>
      </c>
      <c r="BE17" s="23">
        <f>VALUE(0)</f>
        <v>0</v>
      </c>
      <c r="BF17" s="23">
        <f>VALUE(0)</f>
        <v>0</v>
      </c>
      <c r="BG17" s="23">
        <f>VALUE(0)</f>
        <v>0</v>
      </c>
      <c r="BH17" s="23">
        <f>VALUE(0)</f>
        <v>0</v>
      </c>
      <c r="BI17" s="23">
        <f>VALUE(0)</f>
        <v>0</v>
      </c>
      <c r="BJ17" s="23">
        <f>VALUE(0)</f>
        <v>0</v>
      </c>
      <c r="BK17" s="12">
        <f>$AX$17*24</f>
        <v>6.1833333333333336</v>
      </c>
      <c r="BL17" s="12">
        <f>$AY$17*24</f>
        <v>0</v>
      </c>
      <c r="BM17" s="12">
        <f>$BJ$17*24</f>
        <v>0</v>
      </c>
      <c r="BN17" s="12">
        <f>VALUE($I$17)/100</f>
        <v>1</v>
      </c>
      <c r="BO17" s="12">
        <v>0</v>
      </c>
      <c r="BP17" s="12">
        <v>0</v>
      </c>
      <c r="BQ17" s="12">
        <v>0</v>
      </c>
      <c r="BR17" s="12">
        <v>0</v>
      </c>
      <c r="BS17" s="12">
        <v>0</v>
      </c>
      <c r="BT17" s="12">
        <v>0</v>
      </c>
      <c r="BU17" s="12">
        <v>0</v>
      </c>
      <c r="BV17" s="12">
        <v>0</v>
      </c>
      <c r="BW17" s="12">
        <v>0</v>
      </c>
      <c r="BX17" s="12">
        <v>0</v>
      </c>
      <c r="BY17" s="12">
        <v>0</v>
      </c>
      <c r="BZ17" s="12">
        <v>0</v>
      </c>
      <c r="CA17" s="12">
        <v>0</v>
      </c>
    </row>
    <row r="18" spans="1:79" hidden="1" x14ac:dyDescent="0.2">
      <c r="A18" s="12" t="s">
        <v>102</v>
      </c>
      <c r="B18" s="12" t="s">
        <v>104</v>
      </c>
      <c r="C18" s="12" t="s">
        <v>104</v>
      </c>
      <c r="D18" s="22" t="s">
        <v>186</v>
      </c>
      <c r="E18" s="22" t="s">
        <v>161</v>
      </c>
      <c r="F18" s="22" t="s">
        <v>607</v>
      </c>
      <c r="G18" s="22" t="s">
        <v>608</v>
      </c>
      <c r="H18" s="22" t="s">
        <v>150</v>
      </c>
      <c r="I18" s="22" t="s">
        <v>151</v>
      </c>
      <c r="J18" s="22" t="s">
        <v>181</v>
      </c>
      <c r="K18" s="22" t="s">
        <v>65</v>
      </c>
      <c r="L18" s="54" t="s">
        <v>153</v>
      </c>
      <c r="M18" s="32" t="s">
        <v>188</v>
      </c>
      <c r="N18" s="24" t="s">
        <v>153</v>
      </c>
      <c r="O18" s="32" t="s">
        <v>188</v>
      </c>
      <c r="P18" s="32" t="s">
        <v>188</v>
      </c>
      <c r="Q18" s="32" t="s">
        <v>188</v>
      </c>
      <c r="R18" s="32" t="s">
        <v>188</v>
      </c>
      <c r="S18" s="32" t="s">
        <v>188</v>
      </c>
      <c r="T18" s="32" t="s">
        <v>188</v>
      </c>
      <c r="U18" s="24" t="s">
        <v>153</v>
      </c>
      <c r="V18" s="54" t="s">
        <v>153</v>
      </c>
      <c r="W18" s="32" t="s">
        <v>188</v>
      </c>
      <c r="X18" s="32" t="s">
        <v>188</v>
      </c>
      <c r="Y18" s="32" t="s">
        <v>188</v>
      </c>
      <c r="Z18" s="32" t="s">
        <v>188</v>
      </c>
      <c r="AA18" s="32" t="s">
        <v>188</v>
      </c>
      <c r="AB18" s="24" t="s">
        <v>153</v>
      </c>
      <c r="AC18" s="23" t="s">
        <v>153</v>
      </c>
      <c r="AD18" s="23" t="s">
        <v>153</v>
      </c>
      <c r="AE18" s="23" t="s">
        <v>153</v>
      </c>
      <c r="AF18" s="23" t="s">
        <v>153</v>
      </c>
      <c r="AG18" s="23" t="s">
        <v>153</v>
      </c>
      <c r="AH18" s="23" t="s">
        <v>153</v>
      </c>
      <c r="AI18" s="24" t="s">
        <v>153</v>
      </c>
      <c r="AJ18" s="23" t="s">
        <v>153</v>
      </c>
      <c r="AK18" s="23" t="s">
        <v>153</v>
      </c>
      <c r="AL18" s="23" t="s">
        <v>153</v>
      </c>
      <c r="AM18" s="23" t="s">
        <v>153</v>
      </c>
      <c r="AN18" s="23" t="s">
        <v>153</v>
      </c>
      <c r="AO18" s="24" t="s">
        <v>156</v>
      </c>
      <c r="AP18" s="23">
        <f>VALUE(0)</f>
        <v>0</v>
      </c>
      <c r="AQ18" s="23">
        <f>VALUE(1)</f>
        <v>1</v>
      </c>
      <c r="AR18" s="23">
        <f>VALUE(0)</f>
        <v>0</v>
      </c>
      <c r="AS18" s="23">
        <f>VALUE(0)</f>
        <v>0</v>
      </c>
      <c r="AT18" s="23">
        <f>VALUE(0)</f>
        <v>0</v>
      </c>
      <c r="AU18" s="23">
        <f>VALUE(0)</f>
        <v>0</v>
      </c>
      <c r="AV18" s="23">
        <f>VALUE(10)</f>
        <v>10</v>
      </c>
      <c r="AW18" s="23">
        <f>VALUE(3)</f>
        <v>3</v>
      </c>
      <c r="AX18" s="23" t="s">
        <v>189</v>
      </c>
      <c r="AY18" s="23">
        <f>VALUE(0)</f>
        <v>0</v>
      </c>
      <c r="AZ18" s="23">
        <f>VALUE(12)</f>
        <v>12</v>
      </c>
      <c r="BA18" s="23">
        <f>VALUE(0)</f>
        <v>0</v>
      </c>
      <c r="BB18" s="23">
        <f>VALUE(0)</f>
        <v>0</v>
      </c>
      <c r="BC18" s="23">
        <f>VALUE(0)</f>
        <v>0</v>
      </c>
      <c r="BD18" s="23">
        <f>VALUE(0)</f>
        <v>0</v>
      </c>
      <c r="BE18" s="23">
        <f>VALUE(0)</f>
        <v>0</v>
      </c>
      <c r="BF18" s="23">
        <f>VALUE(0)</f>
        <v>0</v>
      </c>
      <c r="BG18" s="23">
        <f>VALUE(0)</f>
        <v>0</v>
      </c>
      <c r="BH18" s="23">
        <f>VALUE(0)</f>
        <v>0</v>
      </c>
      <c r="BI18" s="23">
        <f>VALUE(0)</f>
        <v>0</v>
      </c>
      <c r="BJ18" s="23">
        <f>VALUE(0)</f>
        <v>0</v>
      </c>
      <c r="BK18" s="12">
        <f>$AX$18*24</f>
        <v>11.766666666666667</v>
      </c>
      <c r="BL18" s="12">
        <f>$AY$18*24</f>
        <v>0</v>
      </c>
      <c r="BM18" s="12">
        <f>$BJ$18*24</f>
        <v>0</v>
      </c>
      <c r="BN18" s="12">
        <f>VALUE($I$18)/100</f>
        <v>1</v>
      </c>
      <c r="BO18" s="12">
        <v>0</v>
      </c>
      <c r="BP18" s="12">
        <v>0</v>
      </c>
      <c r="BQ18" s="12">
        <v>0</v>
      </c>
      <c r="BR18" s="12">
        <v>0</v>
      </c>
      <c r="BS18" s="12">
        <v>0</v>
      </c>
      <c r="BT18" s="12">
        <v>0</v>
      </c>
      <c r="BU18" s="12">
        <v>0</v>
      </c>
      <c r="BV18" s="12">
        <v>0</v>
      </c>
      <c r="BW18" s="12">
        <v>0</v>
      </c>
      <c r="BX18" s="12">
        <v>0</v>
      </c>
      <c r="BY18" s="12">
        <v>0</v>
      </c>
      <c r="BZ18" s="12">
        <v>0</v>
      </c>
      <c r="CA18" s="12">
        <v>0</v>
      </c>
    </row>
    <row r="19" spans="1:79" hidden="1" x14ac:dyDescent="0.2">
      <c r="A19" s="12" t="s">
        <v>102</v>
      </c>
      <c r="B19" s="12" t="s">
        <v>104</v>
      </c>
      <c r="C19" s="12" t="s">
        <v>104</v>
      </c>
      <c r="D19" s="22" t="s">
        <v>186</v>
      </c>
      <c r="E19" s="22" t="s">
        <v>161</v>
      </c>
      <c r="F19" s="22" t="s">
        <v>609</v>
      </c>
      <c r="G19" s="22" t="s">
        <v>610</v>
      </c>
      <c r="H19" s="22" t="s">
        <v>190</v>
      </c>
      <c r="I19" s="22" t="s">
        <v>151</v>
      </c>
      <c r="J19" s="22" t="s">
        <v>181</v>
      </c>
      <c r="K19" s="22" t="s">
        <v>65</v>
      </c>
      <c r="L19" s="54" t="s">
        <v>153</v>
      </c>
      <c r="M19" s="23" t="s">
        <v>153</v>
      </c>
      <c r="N19" s="24" t="s">
        <v>153</v>
      </c>
      <c r="O19" s="23" t="s">
        <v>153</v>
      </c>
      <c r="P19" s="23" t="s">
        <v>153</v>
      </c>
      <c r="Q19" s="23" t="s">
        <v>153</v>
      </c>
      <c r="R19" s="23" t="s">
        <v>153</v>
      </c>
      <c r="S19" s="23" t="s">
        <v>153</v>
      </c>
      <c r="T19" s="24" t="s">
        <v>156</v>
      </c>
      <c r="U19" s="24" t="s">
        <v>153</v>
      </c>
      <c r="V19" s="54" t="s">
        <v>153</v>
      </c>
      <c r="W19" s="23" t="s">
        <v>153</v>
      </c>
      <c r="X19" s="23" t="s">
        <v>153</v>
      </c>
      <c r="Y19" s="23" t="s">
        <v>153</v>
      </c>
      <c r="Z19" s="23" t="s">
        <v>153</v>
      </c>
      <c r="AA19" s="23" t="s">
        <v>153</v>
      </c>
      <c r="AB19" s="40" t="s">
        <v>153</v>
      </c>
      <c r="AC19" s="40" t="s">
        <v>153</v>
      </c>
      <c r="AD19" s="40" t="s">
        <v>153</v>
      </c>
      <c r="AE19" s="40" t="s">
        <v>153</v>
      </c>
      <c r="AF19" s="40" t="s">
        <v>153</v>
      </c>
      <c r="AG19" s="40" t="s">
        <v>153</v>
      </c>
      <c r="AH19" s="40" t="s">
        <v>153</v>
      </c>
      <c r="AI19" s="40" t="s">
        <v>153</v>
      </c>
      <c r="AJ19" s="40" t="s">
        <v>153</v>
      </c>
      <c r="AK19" s="40" t="s">
        <v>153</v>
      </c>
      <c r="AL19" s="40" t="s">
        <v>153</v>
      </c>
      <c r="AM19" s="40" t="s">
        <v>153</v>
      </c>
      <c r="AN19" s="40" t="s">
        <v>153</v>
      </c>
      <c r="AO19" s="40" t="s">
        <v>153</v>
      </c>
      <c r="AP19" s="23">
        <f>VALUE(0)</f>
        <v>0</v>
      </c>
      <c r="AQ19" s="23">
        <f>VALUE(0)</f>
        <v>0</v>
      </c>
      <c r="AR19" s="23">
        <f>VALUE(0)</f>
        <v>0</v>
      </c>
      <c r="AS19" s="23">
        <f>VALUE(0)</f>
        <v>0</v>
      </c>
      <c r="AT19" s="23">
        <f>VALUE(0)</f>
        <v>0</v>
      </c>
      <c r="AU19" s="23">
        <f>VALUE(0)</f>
        <v>0</v>
      </c>
      <c r="AV19" s="23">
        <f>VALUE(6)</f>
        <v>6</v>
      </c>
      <c r="AW19" s="23">
        <f>VALUE(0)</f>
        <v>0</v>
      </c>
      <c r="AX19" s="23" t="s">
        <v>1168</v>
      </c>
      <c r="AY19" s="23">
        <f>VALUE(0)</f>
        <v>0</v>
      </c>
      <c r="AZ19" s="23">
        <f>VALUE(0)</f>
        <v>0</v>
      </c>
      <c r="BA19" s="23">
        <f>VALUE(0)</f>
        <v>0</v>
      </c>
      <c r="BB19" s="23">
        <f>VALUE(0)</f>
        <v>0</v>
      </c>
      <c r="BC19" s="23">
        <f>VALUE(0)</f>
        <v>0</v>
      </c>
      <c r="BD19" s="23">
        <f>VALUE(0)</f>
        <v>0</v>
      </c>
      <c r="BE19" s="23">
        <f>VALUE(0)</f>
        <v>0</v>
      </c>
      <c r="BF19" s="23">
        <f>VALUE(0)</f>
        <v>0</v>
      </c>
      <c r="BG19" s="23">
        <f>VALUE(0)</f>
        <v>0</v>
      </c>
      <c r="BH19" s="23">
        <f>VALUE(0)</f>
        <v>0</v>
      </c>
      <c r="BI19" s="23">
        <f>VALUE(0)</f>
        <v>0</v>
      </c>
      <c r="BJ19" s="23">
        <f>VALUE(0)</f>
        <v>0</v>
      </c>
      <c r="BK19" s="12">
        <f>$AX$19*24</f>
        <v>18.75</v>
      </c>
      <c r="BL19" s="12">
        <f>$AY$19*24</f>
        <v>0</v>
      </c>
      <c r="BM19" s="12">
        <f>$BJ$19*24</f>
        <v>0</v>
      </c>
      <c r="BN19" s="12">
        <f>VALUE($I$19)/100</f>
        <v>1</v>
      </c>
      <c r="BO19" s="12">
        <v>0</v>
      </c>
      <c r="BP19" s="12">
        <v>0</v>
      </c>
      <c r="BQ19" s="12">
        <v>0</v>
      </c>
      <c r="BR19" s="12">
        <v>0</v>
      </c>
      <c r="BS19" s="12">
        <v>0</v>
      </c>
      <c r="BT19" s="12">
        <v>0</v>
      </c>
      <c r="BU19" s="12">
        <v>0</v>
      </c>
      <c r="BV19" s="12">
        <v>0</v>
      </c>
      <c r="BW19" s="12">
        <v>0</v>
      </c>
      <c r="BX19" s="12">
        <v>0</v>
      </c>
      <c r="BY19" s="12">
        <v>0</v>
      </c>
      <c r="BZ19" s="12">
        <v>0</v>
      </c>
      <c r="CA19" s="12">
        <v>0</v>
      </c>
    </row>
    <row r="20" spans="1:79" hidden="1" x14ac:dyDescent="0.2">
      <c r="A20" s="12" t="s">
        <v>102</v>
      </c>
      <c r="B20" s="12" t="s">
        <v>104</v>
      </c>
      <c r="C20" s="12" t="s">
        <v>104</v>
      </c>
      <c r="D20" s="22" t="s">
        <v>192</v>
      </c>
      <c r="E20" s="22" t="s">
        <v>173</v>
      </c>
      <c r="F20" s="22" t="s">
        <v>611</v>
      </c>
      <c r="G20" s="22" t="s">
        <v>612</v>
      </c>
      <c r="H20" s="22" t="s">
        <v>166</v>
      </c>
      <c r="I20" s="22" t="s">
        <v>151</v>
      </c>
      <c r="J20" s="22" t="s">
        <v>181</v>
      </c>
      <c r="K20" s="22" t="s">
        <v>65</v>
      </c>
      <c r="L20" s="54" t="s">
        <v>153</v>
      </c>
      <c r="M20" s="28" t="s">
        <v>163</v>
      </c>
      <c r="N20" s="24" t="s">
        <v>153</v>
      </c>
      <c r="O20" s="23" t="s">
        <v>153</v>
      </c>
      <c r="P20" s="23" t="s">
        <v>153</v>
      </c>
      <c r="Q20" s="23" t="s">
        <v>153</v>
      </c>
      <c r="R20" s="23" t="s">
        <v>153</v>
      </c>
      <c r="S20" s="23" t="s">
        <v>153</v>
      </c>
      <c r="T20" s="24" t="s">
        <v>156</v>
      </c>
      <c r="U20" s="24" t="s">
        <v>153</v>
      </c>
      <c r="V20" s="54" t="s">
        <v>153</v>
      </c>
      <c r="W20" s="23" t="s">
        <v>153</v>
      </c>
      <c r="X20" s="23" t="s">
        <v>153</v>
      </c>
      <c r="Y20" s="23" t="s">
        <v>153</v>
      </c>
      <c r="Z20" s="23" t="s">
        <v>153</v>
      </c>
      <c r="AA20" s="24" t="s">
        <v>156</v>
      </c>
      <c r="AB20" s="24" t="s">
        <v>153</v>
      </c>
      <c r="AC20" s="23" t="s">
        <v>153</v>
      </c>
      <c r="AD20" s="23" t="s">
        <v>153</v>
      </c>
      <c r="AE20" s="23" t="s">
        <v>153</v>
      </c>
      <c r="AF20" s="23" t="s">
        <v>153</v>
      </c>
      <c r="AG20" s="23" t="s">
        <v>153</v>
      </c>
      <c r="AH20" s="24" t="s">
        <v>156</v>
      </c>
      <c r="AI20" s="24" t="s">
        <v>153</v>
      </c>
      <c r="AJ20" s="23" t="s">
        <v>153</v>
      </c>
      <c r="AK20" s="23" t="s">
        <v>153</v>
      </c>
      <c r="AL20" s="23" t="s">
        <v>153</v>
      </c>
      <c r="AM20" s="23" t="s">
        <v>153</v>
      </c>
      <c r="AN20" s="23" t="s">
        <v>153</v>
      </c>
      <c r="AO20" s="24" t="s">
        <v>156</v>
      </c>
      <c r="AP20" s="23">
        <f>VALUE(0)</f>
        <v>0</v>
      </c>
      <c r="AQ20" s="23">
        <f>VALUE(0)</f>
        <v>0</v>
      </c>
      <c r="AR20" s="23">
        <f>VALUE(0)</f>
        <v>0</v>
      </c>
      <c r="AS20" s="23">
        <f>VALUE(0)</f>
        <v>0</v>
      </c>
      <c r="AT20" s="23">
        <f>VALUE(0)</f>
        <v>0</v>
      </c>
      <c r="AU20" s="23">
        <f>VALUE(1)</f>
        <v>1</v>
      </c>
      <c r="AV20" s="23">
        <f>VALUE(2.5)</f>
        <v>2.5</v>
      </c>
      <c r="AW20" s="23">
        <f>VALUE(0)</f>
        <v>0</v>
      </c>
      <c r="AX20" s="23" t="s">
        <v>193</v>
      </c>
      <c r="AY20" s="23">
        <f>VALUE(0)</f>
        <v>0</v>
      </c>
      <c r="AZ20" s="23">
        <f>VALUE(0)</f>
        <v>0</v>
      </c>
      <c r="BA20" s="23">
        <f>VALUE(0)</f>
        <v>0</v>
      </c>
      <c r="BB20" s="23">
        <f>VALUE(0)</f>
        <v>0</v>
      </c>
      <c r="BC20" s="23">
        <f>VALUE(0)</f>
        <v>0</v>
      </c>
      <c r="BD20" s="23">
        <f>VALUE(0)</f>
        <v>0</v>
      </c>
      <c r="BE20" s="23">
        <f>VALUE(0)</f>
        <v>0</v>
      </c>
      <c r="BF20" s="23">
        <f>VALUE(0)</f>
        <v>0</v>
      </c>
      <c r="BG20" s="23">
        <f>VALUE(0)</f>
        <v>0</v>
      </c>
      <c r="BH20" s="23">
        <f>VALUE(0)</f>
        <v>0</v>
      </c>
      <c r="BI20" s="23">
        <f>VALUE(0)</f>
        <v>0</v>
      </c>
      <c r="BJ20" s="23">
        <f>VALUE(0)</f>
        <v>0</v>
      </c>
      <c r="BK20" s="12">
        <f>$AX$20*24</f>
        <v>5.0333333333333332</v>
      </c>
      <c r="BL20" s="12">
        <f>$AY$20*24</f>
        <v>0</v>
      </c>
      <c r="BM20" s="12">
        <f>$BJ$20*24</f>
        <v>0</v>
      </c>
      <c r="BN20" s="12">
        <f>VALUE($I$20)/100</f>
        <v>1</v>
      </c>
      <c r="BO20" s="12">
        <v>0</v>
      </c>
      <c r="BP20" s="12">
        <v>0</v>
      </c>
      <c r="BQ20" s="12">
        <v>0</v>
      </c>
      <c r="BR20" s="12">
        <v>0</v>
      </c>
      <c r="BS20" s="12">
        <v>0</v>
      </c>
      <c r="BT20" s="12">
        <v>0</v>
      </c>
      <c r="BU20" s="12">
        <v>0</v>
      </c>
      <c r="BV20" s="12">
        <v>0</v>
      </c>
      <c r="BW20" s="12">
        <v>0</v>
      </c>
      <c r="BX20" s="12">
        <v>0</v>
      </c>
      <c r="BY20" s="12">
        <v>0</v>
      </c>
      <c r="BZ20" s="12">
        <v>0</v>
      </c>
      <c r="CA20" s="12">
        <v>0</v>
      </c>
    </row>
    <row r="21" spans="1:79" hidden="1" x14ac:dyDescent="0.2">
      <c r="A21" s="12" t="s">
        <v>102</v>
      </c>
      <c r="B21" s="12" t="s">
        <v>104</v>
      </c>
      <c r="C21" s="12" t="s">
        <v>104</v>
      </c>
      <c r="D21" s="22" t="s">
        <v>183</v>
      </c>
      <c r="E21" s="22" t="s">
        <v>161</v>
      </c>
      <c r="F21" s="22" t="s">
        <v>613</v>
      </c>
      <c r="G21" s="22" t="s">
        <v>614</v>
      </c>
      <c r="H21" s="22" t="s">
        <v>166</v>
      </c>
      <c r="I21" s="22" t="s">
        <v>194</v>
      </c>
      <c r="J21" s="22" t="s">
        <v>181</v>
      </c>
      <c r="K21" s="22" t="s">
        <v>65</v>
      </c>
      <c r="L21" s="54" t="s">
        <v>153</v>
      </c>
      <c r="M21" s="24" t="s">
        <v>156</v>
      </c>
      <c r="N21" s="24" t="s">
        <v>153</v>
      </c>
      <c r="O21" s="23" t="s">
        <v>153</v>
      </c>
      <c r="P21" s="23" t="s">
        <v>153</v>
      </c>
      <c r="Q21" s="23" t="s">
        <v>153</v>
      </c>
      <c r="R21" s="23" t="s">
        <v>153</v>
      </c>
      <c r="S21" s="23" t="s">
        <v>153</v>
      </c>
      <c r="T21" s="23" t="s">
        <v>153</v>
      </c>
      <c r="U21" s="24" t="s">
        <v>153</v>
      </c>
      <c r="V21" s="54" t="s">
        <v>153</v>
      </c>
      <c r="W21" s="24" t="s">
        <v>195</v>
      </c>
      <c r="X21" s="24" t="s">
        <v>195</v>
      </c>
      <c r="Y21" s="24" t="s">
        <v>195</v>
      </c>
      <c r="Z21" s="24" t="s">
        <v>195</v>
      </c>
      <c r="AA21" s="24" t="s">
        <v>195</v>
      </c>
      <c r="AB21" s="24" t="s">
        <v>153</v>
      </c>
      <c r="AC21" s="23" t="s">
        <v>153</v>
      </c>
      <c r="AD21" s="23" t="s">
        <v>153</v>
      </c>
      <c r="AE21" s="23" t="s">
        <v>153</v>
      </c>
      <c r="AF21" s="23" t="s">
        <v>153</v>
      </c>
      <c r="AG21" s="23" t="s">
        <v>153</v>
      </c>
      <c r="AH21" s="23" t="s">
        <v>153</v>
      </c>
      <c r="AI21" s="24" t="s">
        <v>153</v>
      </c>
      <c r="AJ21" s="23" t="s">
        <v>153</v>
      </c>
      <c r="AK21" s="23" t="s">
        <v>153</v>
      </c>
      <c r="AL21" s="23" t="s">
        <v>153</v>
      </c>
      <c r="AM21" s="23" t="s">
        <v>153</v>
      </c>
      <c r="AN21" s="23" t="s">
        <v>153</v>
      </c>
      <c r="AO21" s="24" t="s">
        <v>156</v>
      </c>
      <c r="AP21" s="23">
        <f>VALUE(0)</f>
        <v>0</v>
      </c>
      <c r="AQ21" s="23">
        <f>VALUE(0)</f>
        <v>0</v>
      </c>
      <c r="AR21" s="23">
        <f>VALUE(0)</f>
        <v>0</v>
      </c>
      <c r="AS21" s="23">
        <f>VALUE(0)</f>
        <v>0</v>
      </c>
      <c r="AT21" s="23">
        <f>VALUE(0)</f>
        <v>0</v>
      </c>
      <c r="AU21" s="23">
        <f>VALUE(0)</f>
        <v>0</v>
      </c>
      <c r="AV21" s="23">
        <f>VALUE(2)</f>
        <v>2</v>
      </c>
      <c r="AW21" s="23">
        <f>VALUE(0)</f>
        <v>0</v>
      </c>
      <c r="AX21" s="23" t="s">
        <v>1169</v>
      </c>
      <c r="AY21" s="23">
        <f>VALUE(0)</f>
        <v>0</v>
      </c>
      <c r="AZ21" s="23">
        <f>VALUE(0)</f>
        <v>0</v>
      </c>
      <c r="BA21" s="23">
        <f>VALUE(0)</f>
        <v>0</v>
      </c>
      <c r="BB21" s="23">
        <f>VALUE(0)</f>
        <v>0</v>
      </c>
      <c r="BC21" s="23">
        <f>VALUE(0)</f>
        <v>0</v>
      </c>
      <c r="BD21" s="23">
        <f>VALUE(0)</f>
        <v>0</v>
      </c>
      <c r="BE21" s="23">
        <f>VALUE(0)</f>
        <v>0</v>
      </c>
      <c r="BF21" s="23">
        <f>VALUE(0)</f>
        <v>0</v>
      </c>
      <c r="BG21" s="23">
        <f>VALUE(0)</f>
        <v>0</v>
      </c>
      <c r="BH21" s="23">
        <f>VALUE(0)</f>
        <v>0</v>
      </c>
      <c r="BI21" s="23">
        <f>VALUE(0)</f>
        <v>0</v>
      </c>
      <c r="BJ21" s="23">
        <f>VALUE(0)</f>
        <v>0</v>
      </c>
      <c r="BK21" s="12">
        <f>$AX$21*24</f>
        <v>17.7</v>
      </c>
      <c r="BL21" s="12">
        <f>$AY$21*24</f>
        <v>0</v>
      </c>
      <c r="BM21" s="12">
        <f>$BJ$21*24</f>
        <v>0</v>
      </c>
      <c r="BN21" s="12">
        <f>VALUE($I$21)/100</f>
        <v>0.8</v>
      </c>
      <c r="BO21" s="12">
        <v>0</v>
      </c>
      <c r="BP21" s="12">
        <v>0</v>
      </c>
      <c r="BQ21" s="12">
        <v>0</v>
      </c>
      <c r="BR21" s="12">
        <v>0</v>
      </c>
      <c r="BS21" s="12">
        <v>0</v>
      </c>
      <c r="BT21" s="12">
        <v>0</v>
      </c>
      <c r="BU21" s="12">
        <v>0</v>
      </c>
      <c r="BV21" s="12">
        <v>0</v>
      </c>
      <c r="BW21" s="12">
        <v>0</v>
      </c>
      <c r="BX21" s="12">
        <v>0</v>
      </c>
      <c r="BY21" s="12">
        <v>0</v>
      </c>
      <c r="BZ21" s="12">
        <v>0</v>
      </c>
      <c r="CA21" s="12">
        <v>0</v>
      </c>
    </row>
    <row r="22" spans="1:79" hidden="1" x14ac:dyDescent="0.2">
      <c r="A22" s="12" t="s">
        <v>102</v>
      </c>
      <c r="B22" s="12" t="s">
        <v>104</v>
      </c>
      <c r="C22" s="12" t="s">
        <v>104</v>
      </c>
      <c r="D22" s="22" t="s">
        <v>184</v>
      </c>
      <c r="E22" s="22" t="s">
        <v>161</v>
      </c>
      <c r="F22" s="22" t="s">
        <v>615</v>
      </c>
      <c r="G22" s="22" t="s">
        <v>616</v>
      </c>
      <c r="H22" s="22" t="s">
        <v>150</v>
      </c>
      <c r="I22" s="22" t="s">
        <v>151</v>
      </c>
      <c r="J22" s="22" t="s">
        <v>181</v>
      </c>
      <c r="K22" s="22" t="s">
        <v>65</v>
      </c>
      <c r="L22" s="54" t="s">
        <v>153</v>
      </c>
      <c r="M22" s="24" t="s">
        <v>156</v>
      </c>
      <c r="N22" s="24" t="s">
        <v>153</v>
      </c>
      <c r="O22" s="23" t="s">
        <v>153</v>
      </c>
      <c r="P22" s="23" t="s">
        <v>153</v>
      </c>
      <c r="Q22" s="23" t="s">
        <v>153</v>
      </c>
      <c r="R22" s="23" t="s">
        <v>153</v>
      </c>
      <c r="S22" s="23" t="s">
        <v>153</v>
      </c>
      <c r="T22" s="23" t="s">
        <v>153</v>
      </c>
      <c r="U22" s="24" t="s">
        <v>153</v>
      </c>
      <c r="V22" s="54" t="s">
        <v>153</v>
      </c>
      <c r="W22" s="23" t="s">
        <v>153</v>
      </c>
      <c r="X22" s="23" t="s">
        <v>153</v>
      </c>
      <c r="Y22" s="23" t="s">
        <v>153</v>
      </c>
      <c r="Z22" s="23" t="s">
        <v>153</v>
      </c>
      <c r="AA22" s="24" t="s">
        <v>156</v>
      </c>
      <c r="AB22" s="24" t="s">
        <v>153</v>
      </c>
      <c r="AC22" s="28" t="s">
        <v>163</v>
      </c>
      <c r="AD22" s="28" t="s">
        <v>163</v>
      </c>
      <c r="AE22" s="28" t="s">
        <v>163</v>
      </c>
      <c r="AF22" s="23" t="s">
        <v>153</v>
      </c>
      <c r="AG22" s="23" t="s">
        <v>153</v>
      </c>
      <c r="AH22" s="23" t="s">
        <v>153</v>
      </c>
      <c r="AI22" s="24" t="s">
        <v>153</v>
      </c>
      <c r="AJ22" s="23" t="s">
        <v>153</v>
      </c>
      <c r="AK22" s="23" t="s">
        <v>153</v>
      </c>
      <c r="AL22" s="23" t="s">
        <v>153</v>
      </c>
      <c r="AM22" s="23" t="s">
        <v>153</v>
      </c>
      <c r="AN22" s="23" t="s">
        <v>153</v>
      </c>
      <c r="AO22" s="24" t="s">
        <v>156</v>
      </c>
      <c r="AP22" s="23">
        <f>VALUE(0)</f>
        <v>0</v>
      </c>
      <c r="AQ22" s="23">
        <f>VALUE(0)</f>
        <v>0</v>
      </c>
      <c r="AR22" s="23">
        <f>VALUE(0)</f>
        <v>0</v>
      </c>
      <c r="AS22" s="23">
        <f>VALUE(0)</f>
        <v>0</v>
      </c>
      <c r="AT22" s="23">
        <f>VALUE(0)</f>
        <v>0</v>
      </c>
      <c r="AU22" s="23">
        <f>VALUE(3)</f>
        <v>3</v>
      </c>
      <c r="AV22" s="23">
        <f>VALUE(2)</f>
        <v>2</v>
      </c>
      <c r="AW22" s="23">
        <f>VALUE(0)</f>
        <v>0</v>
      </c>
      <c r="AX22" s="23" t="s">
        <v>171</v>
      </c>
      <c r="AY22" s="23" t="s">
        <v>196</v>
      </c>
      <c r="AZ22" s="23">
        <f>VALUE(0)</f>
        <v>0</v>
      </c>
      <c r="BA22" s="23">
        <f>VALUE(0)</f>
        <v>0</v>
      </c>
      <c r="BB22" s="23">
        <f>VALUE(0)</f>
        <v>0</v>
      </c>
      <c r="BC22" s="23">
        <f>VALUE(0)</f>
        <v>0</v>
      </c>
      <c r="BD22" s="23">
        <f>VALUE(0)</f>
        <v>0</v>
      </c>
      <c r="BE22" s="23">
        <f>VALUE(0)</f>
        <v>0</v>
      </c>
      <c r="BF22" s="23">
        <f>VALUE(0)</f>
        <v>0</v>
      </c>
      <c r="BG22" s="23">
        <f>VALUE(0)</f>
        <v>0</v>
      </c>
      <c r="BH22" s="23">
        <f>VALUE(0)</f>
        <v>0</v>
      </c>
      <c r="BI22" s="23">
        <f>VALUE(0)</f>
        <v>0</v>
      </c>
      <c r="BJ22" s="23">
        <f>VALUE(0)</f>
        <v>0</v>
      </c>
      <c r="BK22" s="12">
        <f>$AX$22*24</f>
        <v>5.833333333333333</v>
      </c>
      <c r="BL22" s="12">
        <f>$AY$22*24</f>
        <v>8.1</v>
      </c>
      <c r="BM22" s="12">
        <f>$BJ$22*24</f>
        <v>0</v>
      </c>
      <c r="BN22" s="12">
        <f>VALUE($I$22)/100</f>
        <v>1</v>
      </c>
      <c r="BO22" s="12">
        <v>0</v>
      </c>
      <c r="BP22" s="12">
        <v>0</v>
      </c>
      <c r="BQ22" s="12">
        <v>0</v>
      </c>
      <c r="BR22" s="12">
        <v>0</v>
      </c>
      <c r="BS22" s="12">
        <v>0</v>
      </c>
      <c r="BT22" s="12">
        <v>0</v>
      </c>
      <c r="BU22" s="12">
        <v>0</v>
      </c>
      <c r="BV22" s="12">
        <v>0</v>
      </c>
      <c r="BW22" s="12">
        <v>0</v>
      </c>
      <c r="BX22" s="12">
        <v>0</v>
      </c>
      <c r="BY22" s="12">
        <v>0</v>
      </c>
      <c r="BZ22" s="12">
        <v>0</v>
      </c>
      <c r="CA22" s="12">
        <v>0</v>
      </c>
    </row>
    <row r="23" spans="1:79" hidden="1" x14ac:dyDescent="0.2">
      <c r="A23" s="12" t="s">
        <v>102</v>
      </c>
      <c r="B23" s="12" t="s">
        <v>104</v>
      </c>
      <c r="C23" s="12" t="s">
        <v>104</v>
      </c>
      <c r="D23" s="22" t="s">
        <v>182</v>
      </c>
      <c r="E23" s="22" t="s">
        <v>161</v>
      </c>
      <c r="F23" s="22" t="s">
        <v>617</v>
      </c>
      <c r="G23" s="22" t="s">
        <v>618</v>
      </c>
      <c r="H23" s="22" t="s">
        <v>166</v>
      </c>
      <c r="I23" s="22" t="s">
        <v>151</v>
      </c>
      <c r="J23" s="22" t="s">
        <v>181</v>
      </c>
      <c r="K23" s="22" t="s">
        <v>65</v>
      </c>
      <c r="L23" s="54" t="s">
        <v>153</v>
      </c>
      <c r="M23" s="23" t="s">
        <v>153</v>
      </c>
      <c r="N23" s="24" t="s">
        <v>153</v>
      </c>
      <c r="O23" s="23" t="s">
        <v>153</v>
      </c>
      <c r="P23" s="23" t="s">
        <v>153</v>
      </c>
      <c r="Q23" s="23" t="s">
        <v>153</v>
      </c>
      <c r="R23" s="23" t="s">
        <v>153</v>
      </c>
      <c r="S23" s="23" t="s">
        <v>153</v>
      </c>
      <c r="T23" s="24" t="s">
        <v>156</v>
      </c>
      <c r="U23" s="24" t="s">
        <v>153</v>
      </c>
      <c r="V23" s="54" t="s">
        <v>153</v>
      </c>
      <c r="W23" s="23" t="s">
        <v>153</v>
      </c>
      <c r="X23" s="23" t="s">
        <v>153</v>
      </c>
      <c r="Y23" s="23" t="s">
        <v>153</v>
      </c>
      <c r="Z23" s="23" t="s">
        <v>153</v>
      </c>
      <c r="AA23" s="23" t="s">
        <v>153</v>
      </c>
      <c r="AB23" s="24" t="s">
        <v>153</v>
      </c>
      <c r="AC23" s="23" t="s">
        <v>153</v>
      </c>
      <c r="AD23" s="23" t="s">
        <v>153</v>
      </c>
      <c r="AE23" s="23" t="s">
        <v>153</v>
      </c>
      <c r="AF23" s="23" t="s">
        <v>153</v>
      </c>
      <c r="AG23" s="23" t="s">
        <v>153</v>
      </c>
      <c r="AH23" s="24" t="s">
        <v>156</v>
      </c>
      <c r="AI23" s="24" t="s">
        <v>153</v>
      </c>
      <c r="AJ23" s="23" t="s">
        <v>153</v>
      </c>
      <c r="AK23" s="23" t="s">
        <v>153</v>
      </c>
      <c r="AL23" s="23" t="s">
        <v>153</v>
      </c>
      <c r="AM23" s="23" t="s">
        <v>153</v>
      </c>
      <c r="AN23" s="23" t="s">
        <v>153</v>
      </c>
      <c r="AO23" s="23" t="s">
        <v>153</v>
      </c>
      <c r="AP23" s="23">
        <f>VALUE(0)</f>
        <v>0</v>
      </c>
      <c r="AQ23" s="23">
        <f>VALUE(0)</f>
        <v>0</v>
      </c>
      <c r="AR23" s="23">
        <f>VALUE(0)</f>
        <v>0</v>
      </c>
      <c r="AS23" s="23">
        <f>VALUE(0)</f>
        <v>0</v>
      </c>
      <c r="AT23" s="23">
        <f>VALUE(0)</f>
        <v>0</v>
      </c>
      <c r="AU23" s="23">
        <f>VALUE(0)</f>
        <v>0</v>
      </c>
      <c r="AV23" s="23">
        <f>VALUE(2)</f>
        <v>2</v>
      </c>
      <c r="AW23" s="23">
        <f>VALUE(0)</f>
        <v>0</v>
      </c>
      <c r="AX23" s="23" t="s">
        <v>197</v>
      </c>
      <c r="AY23" s="23">
        <f>VALUE(0)</f>
        <v>0</v>
      </c>
      <c r="AZ23" s="23">
        <f>VALUE(0)</f>
        <v>0</v>
      </c>
      <c r="BA23" s="23">
        <f>VALUE(0)</f>
        <v>0</v>
      </c>
      <c r="BB23" s="23">
        <f>VALUE(0)</f>
        <v>0</v>
      </c>
      <c r="BC23" s="23">
        <f>VALUE(0)</f>
        <v>0</v>
      </c>
      <c r="BD23" s="23">
        <f>VALUE(0)</f>
        <v>0</v>
      </c>
      <c r="BE23" s="23">
        <f>VALUE(0)</f>
        <v>0</v>
      </c>
      <c r="BF23" s="23">
        <f>VALUE(0)</f>
        <v>0</v>
      </c>
      <c r="BG23" s="23">
        <f>VALUE(0)</f>
        <v>0</v>
      </c>
      <c r="BH23" s="23">
        <f>VALUE(0)</f>
        <v>0</v>
      </c>
      <c r="BI23" s="23">
        <f>VALUE(0)</f>
        <v>0</v>
      </c>
      <c r="BJ23" s="23">
        <f>VALUE(0)</f>
        <v>0</v>
      </c>
      <c r="BK23" s="12">
        <f>$AX$23*24</f>
        <v>6.1333333333333346</v>
      </c>
      <c r="BL23" s="12">
        <f>$AY$23*24</f>
        <v>0</v>
      </c>
      <c r="BM23" s="12">
        <f>$BJ$23*24</f>
        <v>0</v>
      </c>
      <c r="BN23" s="12">
        <f>VALUE($I$23)/100</f>
        <v>1</v>
      </c>
      <c r="BO23" s="12">
        <v>0</v>
      </c>
      <c r="BP23" s="12">
        <v>0</v>
      </c>
      <c r="BQ23" s="12">
        <v>0</v>
      </c>
      <c r="BR23" s="12">
        <v>0</v>
      </c>
      <c r="BS23" s="12">
        <v>0</v>
      </c>
      <c r="BT23" s="12">
        <v>0</v>
      </c>
      <c r="BU23" s="12">
        <v>0</v>
      </c>
      <c r="BV23" s="12">
        <v>0</v>
      </c>
      <c r="BW23" s="12">
        <v>0</v>
      </c>
      <c r="BX23" s="12">
        <v>0</v>
      </c>
      <c r="BY23" s="12">
        <v>0</v>
      </c>
      <c r="BZ23" s="12">
        <v>0</v>
      </c>
      <c r="CA23" s="12">
        <v>0</v>
      </c>
    </row>
    <row r="24" spans="1:79" hidden="1" x14ac:dyDescent="0.2">
      <c r="A24" s="12" t="s">
        <v>102</v>
      </c>
      <c r="B24" s="12" t="s">
        <v>104</v>
      </c>
      <c r="C24" s="12" t="s">
        <v>104</v>
      </c>
      <c r="D24" s="22" t="s">
        <v>185</v>
      </c>
      <c r="E24" s="22" t="s">
        <v>161</v>
      </c>
      <c r="F24" s="22" t="s">
        <v>619</v>
      </c>
      <c r="G24" s="22" t="s">
        <v>620</v>
      </c>
      <c r="H24" s="22" t="s">
        <v>166</v>
      </c>
      <c r="I24" s="22" t="s">
        <v>151</v>
      </c>
      <c r="J24" s="22" t="s">
        <v>181</v>
      </c>
      <c r="K24" s="22" t="s">
        <v>65</v>
      </c>
      <c r="L24" s="54" t="s">
        <v>153</v>
      </c>
      <c r="M24" s="23" t="s">
        <v>153</v>
      </c>
      <c r="N24" s="24" t="s">
        <v>153</v>
      </c>
      <c r="O24" s="23" t="s">
        <v>153</v>
      </c>
      <c r="P24" s="23" t="s">
        <v>153</v>
      </c>
      <c r="Q24" s="23" t="s">
        <v>153</v>
      </c>
      <c r="R24" s="23" t="s">
        <v>153</v>
      </c>
      <c r="S24" s="23" t="s">
        <v>153</v>
      </c>
      <c r="T24" s="24" t="s">
        <v>156</v>
      </c>
      <c r="U24" s="24" t="s">
        <v>153</v>
      </c>
      <c r="V24" s="54" t="s">
        <v>153</v>
      </c>
      <c r="W24" s="23" t="s">
        <v>153</v>
      </c>
      <c r="X24" s="23" t="s">
        <v>153</v>
      </c>
      <c r="Y24" s="23" t="s">
        <v>153</v>
      </c>
      <c r="Z24" s="23" t="s">
        <v>153</v>
      </c>
      <c r="AA24" s="23" t="s">
        <v>153</v>
      </c>
      <c r="AB24" s="24" t="s">
        <v>153</v>
      </c>
      <c r="AC24" s="23" t="s">
        <v>153</v>
      </c>
      <c r="AD24" s="23" t="s">
        <v>153</v>
      </c>
      <c r="AE24" s="23" t="s">
        <v>153</v>
      </c>
      <c r="AF24" s="23" t="s">
        <v>153</v>
      </c>
      <c r="AG24" s="23" t="s">
        <v>153</v>
      </c>
      <c r="AH24" s="24" t="s">
        <v>156</v>
      </c>
      <c r="AI24" s="24" t="s">
        <v>153</v>
      </c>
      <c r="AJ24" s="23" t="s">
        <v>153</v>
      </c>
      <c r="AK24" s="23" t="s">
        <v>153</v>
      </c>
      <c r="AL24" s="23" t="s">
        <v>153</v>
      </c>
      <c r="AM24" s="23" t="s">
        <v>153</v>
      </c>
      <c r="AN24" s="23" t="s">
        <v>153</v>
      </c>
      <c r="AO24" s="23" t="s">
        <v>153</v>
      </c>
      <c r="AP24" s="23">
        <f>VALUE(0)</f>
        <v>0</v>
      </c>
      <c r="AQ24" s="23">
        <f>VALUE(0)</f>
        <v>0</v>
      </c>
      <c r="AR24" s="23">
        <f>VALUE(0)</f>
        <v>0</v>
      </c>
      <c r="AS24" s="23">
        <f>VALUE(0)</f>
        <v>0</v>
      </c>
      <c r="AT24" s="23">
        <f>VALUE(0)</f>
        <v>0</v>
      </c>
      <c r="AU24" s="23">
        <f>VALUE(0)</f>
        <v>0</v>
      </c>
      <c r="AV24" s="23">
        <f>VALUE(2.5)</f>
        <v>2.5</v>
      </c>
      <c r="AW24" s="23">
        <f>VALUE(0)</f>
        <v>0</v>
      </c>
      <c r="AX24" s="23" t="s">
        <v>198</v>
      </c>
      <c r="AY24" s="23">
        <f>VALUE(0)</f>
        <v>0</v>
      </c>
      <c r="AZ24" s="23">
        <f>VALUE(0)</f>
        <v>0</v>
      </c>
      <c r="BA24" s="23">
        <f>VALUE(0)</f>
        <v>0</v>
      </c>
      <c r="BB24" s="23">
        <f>VALUE(0)</f>
        <v>0</v>
      </c>
      <c r="BC24" s="23">
        <f>VALUE(0)</f>
        <v>0</v>
      </c>
      <c r="BD24" s="23">
        <f>VALUE(0)</f>
        <v>0</v>
      </c>
      <c r="BE24" s="23">
        <f>VALUE(0)</f>
        <v>0</v>
      </c>
      <c r="BF24" s="23">
        <f>VALUE(0)</f>
        <v>0</v>
      </c>
      <c r="BG24" s="23">
        <f>VALUE(0)</f>
        <v>0</v>
      </c>
      <c r="BH24" s="23">
        <f>VALUE(0)</f>
        <v>0</v>
      </c>
      <c r="BI24" s="23">
        <f>VALUE(0)</f>
        <v>0</v>
      </c>
      <c r="BJ24" s="23">
        <f>VALUE(0)</f>
        <v>0</v>
      </c>
      <c r="BK24" s="12">
        <f>$AX$24*24</f>
        <v>4.4333333333333336</v>
      </c>
      <c r="BL24" s="12">
        <f>$AY$24*24</f>
        <v>0</v>
      </c>
      <c r="BM24" s="12">
        <f>$BJ$24*24</f>
        <v>0</v>
      </c>
      <c r="BN24" s="12">
        <f>VALUE($I$24)/100</f>
        <v>1</v>
      </c>
      <c r="BO24" s="12">
        <v>0</v>
      </c>
      <c r="BP24" s="12">
        <v>0</v>
      </c>
      <c r="BQ24" s="12">
        <v>0</v>
      </c>
      <c r="BR24" s="12">
        <v>0</v>
      </c>
      <c r="BS24" s="12">
        <v>0</v>
      </c>
      <c r="BT24" s="12">
        <v>0</v>
      </c>
      <c r="BU24" s="12">
        <v>0</v>
      </c>
      <c r="BV24" s="12">
        <v>0</v>
      </c>
      <c r="BW24" s="12">
        <v>0</v>
      </c>
      <c r="BX24" s="12">
        <v>0</v>
      </c>
      <c r="BY24" s="12">
        <v>0</v>
      </c>
      <c r="BZ24" s="12">
        <v>0</v>
      </c>
      <c r="CA24" s="12">
        <v>0</v>
      </c>
    </row>
    <row r="25" spans="1:79" hidden="1" x14ac:dyDescent="0.2">
      <c r="A25" s="12" t="s">
        <v>102</v>
      </c>
      <c r="B25" s="12" t="s">
        <v>104</v>
      </c>
      <c r="C25" s="12" t="s">
        <v>104</v>
      </c>
      <c r="D25" s="22" t="s">
        <v>199</v>
      </c>
      <c r="E25" s="22" t="s">
        <v>161</v>
      </c>
      <c r="F25" s="22" t="s">
        <v>621</v>
      </c>
      <c r="G25" s="22" t="s">
        <v>622</v>
      </c>
      <c r="H25" s="22" t="s">
        <v>166</v>
      </c>
      <c r="I25" s="22" t="s">
        <v>151</v>
      </c>
      <c r="J25" s="22" t="s">
        <v>200</v>
      </c>
      <c r="K25" s="22" t="s">
        <v>65</v>
      </c>
      <c r="L25" s="54" t="s">
        <v>153</v>
      </c>
      <c r="M25" s="24" t="s">
        <v>156</v>
      </c>
      <c r="N25" s="24" t="s">
        <v>153</v>
      </c>
      <c r="O25" s="23" t="s">
        <v>153</v>
      </c>
      <c r="P25" s="23" t="s">
        <v>153</v>
      </c>
      <c r="Q25" s="23" t="s">
        <v>153</v>
      </c>
      <c r="R25" s="23" t="s">
        <v>153</v>
      </c>
      <c r="S25" s="23" t="s">
        <v>153</v>
      </c>
      <c r="T25" s="24" t="s">
        <v>156</v>
      </c>
      <c r="U25" s="24" t="s">
        <v>153</v>
      </c>
      <c r="V25" s="54" t="s">
        <v>153</v>
      </c>
      <c r="W25" s="23" t="s">
        <v>153</v>
      </c>
      <c r="X25" s="29" t="s">
        <v>218</v>
      </c>
      <c r="Y25" s="29" t="s">
        <v>218</v>
      </c>
      <c r="Z25" s="23" t="s">
        <v>153</v>
      </c>
      <c r="AA25" s="24" t="s">
        <v>156</v>
      </c>
      <c r="AB25" s="24" t="s">
        <v>153</v>
      </c>
      <c r="AC25" s="23" t="s">
        <v>153</v>
      </c>
      <c r="AD25" s="23" t="s">
        <v>153</v>
      </c>
      <c r="AE25" s="23" t="s">
        <v>153</v>
      </c>
      <c r="AF25" s="23" t="s">
        <v>153</v>
      </c>
      <c r="AG25" s="23" t="s">
        <v>153</v>
      </c>
      <c r="AH25" s="24" t="s">
        <v>156</v>
      </c>
      <c r="AI25" s="24" t="s">
        <v>153</v>
      </c>
      <c r="AJ25" s="23" t="s">
        <v>153</v>
      </c>
      <c r="AK25" s="23" t="s">
        <v>153</v>
      </c>
      <c r="AL25" s="23" t="s">
        <v>153</v>
      </c>
      <c r="AM25" s="23" t="s">
        <v>153</v>
      </c>
      <c r="AN25" s="23" t="s">
        <v>153</v>
      </c>
      <c r="AO25" s="24" t="s">
        <v>156</v>
      </c>
      <c r="AP25" s="23">
        <f>VALUE(0)</f>
        <v>0</v>
      </c>
      <c r="AQ25" s="23">
        <f>VALUE(1)</f>
        <v>1</v>
      </c>
      <c r="AR25" s="23">
        <f>VALUE(2)</f>
        <v>2</v>
      </c>
      <c r="AS25" s="23">
        <f>VALUE(0)</f>
        <v>0</v>
      </c>
      <c r="AT25" s="23">
        <f>VALUE(0)</f>
        <v>0</v>
      </c>
      <c r="AU25" s="23">
        <f>VALUE(0)</f>
        <v>0</v>
      </c>
      <c r="AV25" s="23">
        <f>VALUE(8.5)</f>
        <v>8.5</v>
      </c>
      <c r="AW25" s="23">
        <f>VALUE(0)</f>
        <v>0</v>
      </c>
      <c r="AX25" s="23" t="s">
        <v>176</v>
      </c>
      <c r="AY25" s="23">
        <f>VALUE(0)</f>
        <v>0</v>
      </c>
      <c r="AZ25" s="23">
        <f>VALUE(0)</f>
        <v>0</v>
      </c>
      <c r="BA25" s="23">
        <f>VALUE(0)</f>
        <v>0</v>
      </c>
      <c r="BB25" s="23">
        <f>VALUE(0)</f>
        <v>0</v>
      </c>
      <c r="BC25" s="23">
        <f>VALUE(0)</f>
        <v>0</v>
      </c>
      <c r="BD25" s="23">
        <f>VALUE(0)</f>
        <v>0</v>
      </c>
      <c r="BE25" s="23">
        <f>VALUE(0)</f>
        <v>0</v>
      </c>
      <c r="BF25" s="23">
        <f>VALUE(0)</f>
        <v>0</v>
      </c>
      <c r="BG25" s="23">
        <f>VALUE(0)</f>
        <v>0</v>
      </c>
      <c r="BH25" s="23">
        <f>VALUE(0)</f>
        <v>0</v>
      </c>
      <c r="BI25" s="23">
        <f>VALUE(0)</f>
        <v>0</v>
      </c>
      <c r="BJ25" s="23">
        <f>VALUE(0)</f>
        <v>0</v>
      </c>
      <c r="BK25" s="12">
        <f>$AX$25*24</f>
        <v>0</v>
      </c>
      <c r="BL25" s="12">
        <f>$AY$25*24</f>
        <v>0</v>
      </c>
      <c r="BM25" s="12">
        <f>$BJ$25*24</f>
        <v>0</v>
      </c>
      <c r="BN25" s="12">
        <f>VALUE($I$25)/100</f>
        <v>1</v>
      </c>
      <c r="BO25" s="12">
        <v>0</v>
      </c>
      <c r="BP25" s="12">
        <v>0</v>
      </c>
      <c r="BQ25" s="12">
        <v>0</v>
      </c>
      <c r="BR25" s="12">
        <v>0</v>
      </c>
      <c r="BS25" s="12">
        <v>2</v>
      </c>
      <c r="BT25" s="12">
        <v>0</v>
      </c>
      <c r="BU25" s="12">
        <v>0</v>
      </c>
      <c r="BV25" s="12">
        <v>0</v>
      </c>
      <c r="BW25" s="12">
        <v>0</v>
      </c>
      <c r="BX25" s="12">
        <v>0</v>
      </c>
      <c r="BY25" s="12">
        <v>0</v>
      </c>
      <c r="BZ25" s="12">
        <v>0</v>
      </c>
      <c r="CA25" s="12">
        <v>0</v>
      </c>
    </row>
    <row r="26" spans="1:79" ht="15" hidden="1" x14ac:dyDescent="0.25">
      <c r="A26" s="12" t="s">
        <v>102</v>
      </c>
      <c r="B26" s="12" t="s">
        <v>104</v>
      </c>
      <c r="C26" s="12" t="s">
        <v>104</v>
      </c>
      <c r="D26" s="31" t="s">
        <v>582</v>
      </c>
      <c r="E26" s="31" t="s">
        <v>153</v>
      </c>
      <c r="F26" s="31" t="s">
        <v>175</v>
      </c>
      <c r="G26" s="31" t="s">
        <v>153</v>
      </c>
      <c r="H26" s="31" t="s">
        <v>153</v>
      </c>
      <c r="I26" s="31" t="s">
        <v>153</v>
      </c>
      <c r="J26" s="31" t="s">
        <v>153</v>
      </c>
      <c r="K26" s="31" t="s">
        <v>153</v>
      </c>
      <c r="L26" s="31">
        <f>VALUE(0)</f>
        <v>0</v>
      </c>
      <c r="M26" s="31">
        <f>VALUE(3)</f>
        <v>3</v>
      </c>
      <c r="N26" s="31">
        <f>VALUE(0)</f>
        <v>0</v>
      </c>
      <c r="O26" s="31">
        <f>VALUE(9)</f>
        <v>9</v>
      </c>
      <c r="P26" s="31">
        <f>VALUE(9)</f>
        <v>9</v>
      </c>
      <c r="Q26" s="31">
        <f>VALUE(9)</f>
        <v>9</v>
      </c>
      <c r="R26" s="31">
        <f>VALUE(9)</f>
        <v>9</v>
      </c>
      <c r="S26" s="31">
        <f>VALUE(9)</f>
        <v>9</v>
      </c>
      <c r="T26" s="31">
        <f>VALUE(3)</f>
        <v>3</v>
      </c>
      <c r="U26" s="31">
        <f>VALUE(0)</f>
        <v>0</v>
      </c>
      <c r="V26" s="31">
        <f>VALUE(0)</f>
        <v>0</v>
      </c>
      <c r="W26" s="31">
        <f>VALUE(8)</f>
        <v>8</v>
      </c>
      <c r="X26" s="31">
        <f>VALUE(7)</f>
        <v>7</v>
      </c>
      <c r="Y26" s="31">
        <f>VALUE(7)</f>
        <v>7</v>
      </c>
      <c r="Z26" s="31">
        <f>VALUE(8)</f>
        <v>8</v>
      </c>
      <c r="AA26" s="31">
        <f>VALUE(4)</f>
        <v>4</v>
      </c>
      <c r="AB26" s="31">
        <f>VALUE(0)</f>
        <v>0</v>
      </c>
      <c r="AC26" s="31">
        <f>VALUE(8)</f>
        <v>8</v>
      </c>
      <c r="AD26" s="31">
        <f>VALUE(8)</f>
        <v>8</v>
      </c>
      <c r="AE26" s="31">
        <f>VALUE(8)</f>
        <v>8</v>
      </c>
      <c r="AF26" s="31">
        <f>VALUE(9)</f>
        <v>9</v>
      </c>
      <c r="AG26" s="31">
        <f>VALUE(9)</f>
        <v>9</v>
      </c>
      <c r="AH26" s="31">
        <f>VALUE(4)</f>
        <v>4</v>
      </c>
      <c r="AI26" s="31">
        <f>VALUE(0)</f>
        <v>0</v>
      </c>
      <c r="AJ26" s="31">
        <f>VALUE(9)</f>
        <v>9</v>
      </c>
      <c r="AK26" s="31">
        <f>VALUE(9)</f>
        <v>9</v>
      </c>
      <c r="AL26" s="31">
        <f>VALUE(9)</f>
        <v>9</v>
      </c>
      <c r="AM26" s="31">
        <f>VALUE(9)</f>
        <v>9</v>
      </c>
      <c r="AN26" s="31">
        <f>VALUE(9)</f>
        <v>9</v>
      </c>
      <c r="AO26" s="31">
        <f>VALUE(3)</f>
        <v>3</v>
      </c>
      <c r="AP26" s="31">
        <v>0</v>
      </c>
      <c r="AQ26" s="31">
        <v>0</v>
      </c>
      <c r="AR26" s="31">
        <v>0</v>
      </c>
      <c r="AS26" s="31">
        <v>0</v>
      </c>
      <c r="AT26" s="31">
        <v>0</v>
      </c>
      <c r="AU26" s="31">
        <v>0</v>
      </c>
      <c r="AV26" s="31">
        <v>0</v>
      </c>
      <c r="AW26" s="31">
        <v>0</v>
      </c>
      <c r="AX26" s="31">
        <v>0</v>
      </c>
      <c r="AY26" s="31">
        <v>0</v>
      </c>
      <c r="AZ26" s="31">
        <v>0</v>
      </c>
      <c r="BA26" s="31">
        <v>0</v>
      </c>
      <c r="BB26" s="31">
        <v>0</v>
      </c>
      <c r="BC26" s="31">
        <v>0</v>
      </c>
      <c r="BD26" s="31">
        <v>0</v>
      </c>
      <c r="BE26" s="31">
        <v>0</v>
      </c>
      <c r="BF26" s="31">
        <v>0</v>
      </c>
      <c r="BG26" s="31">
        <v>0</v>
      </c>
      <c r="BH26" s="31">
        <v>0</v>
      </c>
      <c r="BI26" s="31">
        <v>0</v>
      </c>
      <c r="BJ26" s="31">
        <v>0</v>
      </c>
      <c r="BK26" s="12">
        <v>0</v>
      </c>
      <c r="BL26" s="12">
        <v>0</v>
      </c>
      <c r="BM26" s="12">
        <v>0</v>
      </c>
      <c r="BN26" s="12"/>
      <c r="BO26" s="12">
        <v>0</v>
      </c>
      <c r="BP26" s="12">
        <v>0</v>
      </c>
      <c r="BQ26" s="12">
        <v>0</v>
      </c>
      <c r="BR26" s="12">
        <v>0</v>
      </c>
      <c r="BS26" s="12">
        <v>0</v>
      </c>
      <c r="BT26" s="12">
        <v>0</v>
      </c>
      <c r="BU26" s="12">
        <v>0</v>
      </c>
      <c r="BV26" s="12">
        <v>0</v>
      </c>
      <c r="BW26" s="12">
        <v>0</v>
      </c>
      <c r="BX26" s="12">
        <v>0</v>
      </c>
      <c r="BY26" s="12">
        <v>0</v>
      </c>
      <c r="BZ26" s="12">
        <v>0</v>
      </c>
      <c r="CA26" s="12">
        <v>0</v>
      </c>
    </row>
    <row r="27" spans="1:79" ht="16.5" hidden="1" x14ac:dyDescent="0.2">
      <c r="A27" s="12" t="s">
        <v>102</v>
      </c>
      <c r="B27" s="12" t="s">
        <v>105</v>
      </c>
      <c r="C27" s="12" t="s">
        <v>105</v>
      </c>
      <c r="D27" s="22" t="s">
        <v>1170</v>
      </c>
      <c r="E27" s="22" t="s">
        <v>149</v>
      </c>
      <c r="F27" s="22" t="s">
        <v>623</v>
      </c>
      <c r="G27" s="22" t="s">
        <v>624</v>
      </c>
      <c r="H27" s="22" t="s">
        <v>150</v>
      </c>
      <c r="I27" s="22" t="s">
        <v>151</v>
      </c>
      <c r="J27" s="22" t="s">
        <v>203</v>
      </c>
      <c r="K27" s="22" t="s">
        <v>66</v>
      </c>
      <c r="L27" s="54" t="s">
        <v>153</v>
      </c>
      <c r="M27" s="34" t="s">
        <v>204</v>
      </c>
      <c r="N27" s="24" t="s">
        <v>153</v>
      </c>
      <c r="O27" s="23" t="s">
        <v>205</v>
      </c>
      <c r="P27" s="23" t="s">
        <v>205</v>
      </c>
      <c r="Q27" s="26" t="s">
        <v>1171</v>
      </c>
      <c r="R27" s="26" t="s">
        <v>1171</v>
      </c>
      <c r="S27" s="23" t="s">
        <v>208</v>
      </c>
      <c r="T27" s="24" t="s">
        <v>156</v>
      </c>
      <c r="U27" s="24" t="s">
        <v>153</v>
      </c>
      <c r="V27" s="54" t="s">
        <v>153</v>
      </c>
      <c r="W27" s="26" t="s">
        <v>1171</v>
      </c>
      <c r="X27" s="26" t="s">
        <v>1171</v>
      </c>
      <c r="Y27" s="26" t="s">
        <v>1171</v>
      </c>
      <c r="Z27" s="26" t="s">
        <v>1171</v>
      </c>
      <c r="AA27" s="26" t="s">
        <v>1171</v>
      </c>
      <c r="AB27" s="24" t="s">
        <v>153</v>
      </c>
      <c r="AC27" s="26" t="s">
        <v>1171</v>
      </c>
      <c r="AD27" s="26" t="s">
        <v>1171</v>
      </c>
      <c r="AE27" s="26" t="s">
        <v>1171</v>
      </c>
      <c r="AF27" s="26" t="s">
        <v>1171</v>
      </c>
      <c r="AG27" s="26" t="s">
        <v>1171</v>
      </c>
      <c r="AH27" s="24" t="s">
        <v>156</v>
      </c>
      <c r="AI27" s="24" t="s">
        <v>153</v>
      </c>
      <c r="AJ27" s="26" t="s">
        <v>1171</v>
      </c>
      <c r="AK27" s="26" t="s">
        <v>1171</v>
      </c>
      <c r="AL27" s="26" t="s">
        <v>1171</v>
      </c>
      <c r="AM27" s="26" t="s">
        <v>1171</v>
      </c>
      <c r="AN27" s="26" t="s">
        <v>1171</v>
      </c>
      <c r="AO27" s="24" t="s">
        <v>156</v>
      </c>
      <c r="AP27" s="23">
        <f>VALUE(0)</f>
        <v>0</v>
      </c>
      <c r="AQ27" s="23">
        <f>VALUE(0)</f>
        <v>0</v>
      </c>
      <c r="AR27" s="23">
        <f>VALUE(0)</f>
        <v>0</v>
      </c>
      <c r="AS27" s="23">
        <f>VALUE(0)</f>
        <v>0</v>
      </c>
      <c r="AT27" s="23">
        <f>VALUE(0)</f>
        <v>0</v>
      </c>
      <c r="AU27" s="23">
        <f>VALUE(0)</f>
        <v>0</v>
      </c>
      <c r="AV27" s="23">
        <f>VALUE(2)</f>
        <v>2</v>
      </c>
      <c r="AW27" s="23">
        <f>VALUE(0)</f>
        <v>0</v>
      </c>
      <c r="AX27" s="23" t="s">
        <v>171</v>
      </c>
      <c r="AY27" s="23" t="s">
        <v>1172</v>
      </c>
      <c r="AZ27" s="23">
        <f>VALUE(0)</f>
        <v>0</v>
      </c>
      <c r="BA27" s="23">
        <f>VALUE(0)</f>
        <v>0</v>
      </c>
      <c r="BB27" s="23">
        <f>VALUE(0)</f>
        <v>0</v>
      </c>
      <c r="BC27" s="23">
        <f>VALUE(0)</f>
        <v>0</v>
      </c>
      <c r="BD27" s="23">
        <f>VALUE(0)</f>
        <v>0</v>
      </c>
      <c r="BE27" s="23">
        <f>VALUE(0)</f>
        <v>0</v>
      </c>
      <c r="BF27" s="23">
        <f>VALUE(0)</f>
        <v>0</v>
      </c>
      <c r="BG27" s="23">
        <f>VALUE(0)</f>
        <v>0</v>
      </c>
      <c r="BH27" s="23">
        <f>VALUE(0)</f>
        <v>0</v>
      </c>
      <c r="BI27" s="23">
        <f>VALUE(0)</f>
        <v>0</v>
      </c>
      <c r="BJ27" s="23">
        <f>VALUE(0)</f>
        <v>0</v>
      </c>
      <c r="BK27" s="12">
        <f>$AX$27*24</f>
        <v>5.833333333333333</v>
      </c>
      <c r="BL27" s="12">
        <f>$AY$27*24</f>
        <v>36.700000000000003</v>
      </c>
      <c r="BM27" s="12">
        <f>$BJ$27*24</f>
        <v>0</v>
      </c>
      <c r="BN27" s="12">
        <f>VALUE($I$27)/100</f>
        <v>1</v>
      </c>
      <c r="BO27" s="12">
        <v>0</v>
      </c>
      <c r="BP27" s="12">
        <v>0</v>
      </c>
      <c r="BQ27" s="12">
        <v>0</v>
      </c>
      <c r="BR27" s="12">
        <v>0</v>
      </c>
      <c r="BS27" s="12">
        <v>0</v>
      </c>
      <c r="BT27" s="12">
        <v>0</v>
      </c>
      <c r="BU27" s="12">
        <v>0</v>
      </c>
      <c r="BV27" s="12">
        <v>0</v>
      </c>
      <c r="BW27" s="12">
        <v>0</v>
      </c>
      <c r="BX27" s="12">
        <v>0</v>
      </c>
      <c r="BY27" s="12">
        <v>0</v>
      </c>
      <c r="BZ27" s="12">
        <v>0</v>
      </c>
      <c r="CA27" s="12">
        <v>0</v>
      </c>
    </row>
    <row r="28" spans="1:79" hidden="1" x14ac:dyDescent="0.2">
      <c r="A28" s="12" t="s">
        <v>102</v>
      </c>
      <c r="B28" s="12" t="s">
        <v>105</v>
      </c>
      <c r="C28" s="12" t="s">
        <v>105</v>
      </c>
      <c r="D28" s="22" t="s">
        <v>205</v>
      </c>
      <c r="E28" s="22" t="s">
        <v>161</v>
      </c>
      <c r="F28" s="22" t="s">
        <v>625</v>
      </c>
      <c r="G28" s="22" t="s">
        <v>626</v>
      </c>
      <c r="H28" s="22" t="s">
        <v>150</v>
      </c>
      <c r="I28" s="22" t="s">
        <v>151</v>
      </c>
      <c r="J28" s="22" t="s">
        <v>212</v>
      </c>
      <c r="K28" s="22" t="s">
        <v>66</v>
      </c>
      <c r="L28" s="54" t="s">
        <v>153</v>
      </c>
      <c r="M28" s="23" t="s">
        <v>153</v>
      </c>
      <c r="N28" s="24" t="s">
        <v>153</v>
      </c>
      <c r="O28" s="35" t="s">
        <v>170</v>
      </c>
      <c r="P28" s="35" t="s">
        <v>170</v>
      </c>
      <c r="Q28" s="23" t="s">
        <v>153</v>
      </c>
      <c r="R28" s="23" t="s">
        <v>153</v>
      </c>
      <c r="S28" s="23" t="s">
        <v>153</v>
      </c>
      <c r="T28" s="24" t="s">
        <v>156</v>
      </c>
      <c r="U28" s="24" t="s">
        <v>153</v>
      </c>
      <c r="V28" s="54" t="s">
        <v>153</v>
      </c>
      <c r="W28" s="23" t="s">
        <v>153</v>
      </c>
      <c r="X28" s="23" t="s">
        <v>153</v>
      </c>
      <c r="Y28" s="23" t="s">
        <v>153</v>
      </c>
      <c r="Z28" s="23" t="s">
        <v>153</v>
      </c>
      <c r="AA28" s="24" t="s">
        <v>156</v>
      </c>
      <c r="AB28" s="24" t="s">
        <v>153</v>
      </c>
      <c r="AC28" s="23" t="s">
        <v>153</v>
      </c>
      <c r="AD28" s="23" t="s">
        <v>153</v>
      </c>
      <c r="AE28" s="23" t="s">
        <v>153</v>
      </c>
      <c r="AF28" s="23" t="s">
        <v>153</v>
      </c>
      <c r="AG28" s="23" t="s">
        <v>153</v>
      </c>
      <c r="AH28" s="23" t="s">
        <v>153</v>
      </c>
      <c r="AI28" s="24" t="s">
        <v>153</v>
      </c>
      <c r="AJ28" s="23" t="s">
        <v>153</v>
      </c>
      <c r="AK28" s="23" t="s">
        <v>153</v>
      </c>
      <c r="AL28" s="23" t="s">
        <v>153</v>
      </c>
      <c r="AM28" s="23" t="s">
        <v>153</v>
      </c>
      <c r="AN28" s="23" t="s">
        <v>153</v>
      </c>
      <c r="AO28" s="24" t="s">
        <v>156</v>
      </c>
      <c r="AP28" s="23">
        <f>VALUE(0)</f>
        <v>0</v>
      </c>
      <c r="AQ28" s="23">
        <f>VALUE(0)</f>
        <v>0</v>
      </c>
      <c r="AR28" s="23">
        <f>VALUE(0)</f>
        <v>0</v>
      </c>
      <c r="AS28" s="23">
        <f>VALUE(0)</f>
        <v>0</v>
      </c>
      <c r="AT28" s="23">
        <f>VALUE(0)</f>
        <v>0</v>
      </c>
      <c r="AU28" s="23">
        <f>VALUE(0)</f>
        <v>0</v>
      </c>
      <c r="AV28" s="23">
        <f>VALUE(12)</f>
        <v>12</v>
      </c>
      <c r="AW28" s="23">
        <f>VALUE(0)</f>
        <v>0</v>
      </c>
      <c r="AX28" s="23" t="s">
        <v>171</v>
      </c>
      <c r="AY28" s="23" t="s">
        <v>213</v>
      </c>
      <c r="AZ28" s="23">
        <f>VALUE(0)</f>
        <v>0</v>
      </c>
      <c r="BA28" s="23">
        <f>VALUE(0)</f>
        <v>0</v>
      </c>
      <c r="BB28" s="23">
        <f>VALUE(0)</f>
        <v>0</v>
      </c>
      <c r="BC28" s="23">
        <f>VALUE(0)</f>
        <v>0</v>
      </c>
      <c r="BD28" s="23">
        <f>VALUE(0)</f>
        <v>0</v>
      </c>
      <c r="BE28" s="23">
        <f>VALUE(2)</f>
        <v>2</v>
      </c>
      <c r="BF28" s="23">
        <f>VALUE(0)</f>
        <v>0</v>
      </c>
      <c r="BG28" s="23">
        <f>VALUE(0)</f>
        <v>0</v>
      </c>
      <c r="BH28" s="23">
        <f>VALUE(0)</f>
        <v>0</v>
      </c>
      <c r="BI28" s="23">
        <f>VALUE(0)</f>
        <v>0</v>
      </c>
      <c r="BJ28" s="23">
        <f>VALUE(0)</f>
        <v>0</v>
      </c>
      <c r="BK28" s="12">
        <f>$AX$28*24</f>
        <v>5.833333333333333</v>
      </c>
      <c r="BL28" s="12">
        <f>$AY$28*24</f>
        <v>7.416666666666667</v>
      </c>
      <c r="BM28" s="12">
        <f>$BJ$28*24</f>
        <v>0</v>
      </c>
      <c r="BN28" s="12">
        <f>VALUE($I$28)/100</f>
        <v>1</v>
      </c>
      <c r="BO28" s="12">
        <v>0</v>
      </c>
      <c r="BP28" s="12">
        <v>0</v>
      </c>
      <c r="BQ28" s="12">
        <v>0</v>
      </c>
      <c r="BR28" s="12">
        <v>0</v>
      </c>
      <c r="BS28" s="12">
        <v>0</v>
      </c>
      <c r="BT28" s="12">
        <v>0</v>
      </c>
      <c r="BU28" s="12">
        <v>0</v>
      </c>
      <c r="BV28" s="12">
        <v>0</v>
      </c>
      <c r="BW28" s="12">
        <v>0</v>
      </c>
      <c r="BX28" s="12">
        <v>0</v>
      </c>
      <c r="BY28" s="12">
        <v>0</v>
      </c>
      <c r="BZ28" s="12">
        <v>0</v>
      </c>
      <c r="CA28" s="12">
        <v>0</v>
      </c>
    </row>
    <row r="29" spans="1:79" hidden="1" x14ac:dyDescent="0.2">
      <c r="A29" s="12" t="s">
        <v>102</v>
      </c>
      <c r="B29" s="12" t="s">
        <v>105</v>
      </c>
      <c r="C29" s="12" t="s">
        <v>105</v>
      </c>
      <c r="D29" s="22" t="s">
        <v>204</v>
      </c>
      <c r="E29" s="22" t="s">
        <v>161</v>
      </c>
      <c r="F29" s="22" t="s">
        <v>627</v>
      </c>
      <c r="G29" s="22" t="s">
        <v>628</v>
      </c>
      <c r="H29" s="22" t="s">
        <v>150</v>
      </c>
      <c r="I29" s="22" t="s">
        <v>151</v>
      </c>
      <c r="J29" s="22" t="s">
        <v>212</v>
      </c>
      <c r="K29" s="22" t="s">
        <v>66</v>
      </c>
      <c r="L29" s="54" t="s">
        <v>153</v>
      </c>
      <c r="M29" s="28" t="s">
        <v>163</v>
      </c>
      <c r="N29" s="24" t="s">
        <v>153</v>
      </c>
      <c r="O29" s="35" t="s">
        <v>170</v>
      </c>
      <c r="P29" s="35" t="s">
        <v>170</v>
      </c>
      <c r="Q29" s="23" t="s">
        <v>153</v>
      </c>
      <c r="R29" s="23" t="s">
        <v>153</v>
      </c>
      <c r="S29" s="23" t="s">
        <v>153</v>
      </c>
      <c r="T29" s="24" t="s">
        <v>156</v>
      </c>
      <c r="U29" s="24" t="s">
        <v>153</v>
      </c>
      <c r="V29" s="54" t="s">
        <v>153</v>
      </c>
      <c r="W29" s="23" t="s">
        <v>153</v>
      </c>
      <c r="X29" s="23" t="s">
        <v>153</v>
      </c>
      <c r="Y29" s="23" t="s">
        <v>153</v>
      </c>
      <c r="Z29" s="23" t="s">
        <v>153</v>
      </c>
      <c r="AA29" s="24" t="s">
        <v>156</v>
      </c>
      <c r="AB29" s="24" t="s">
        <v>153</v>
      </c>
      <c r="AC29" s="23" t="s">
        <v>153</v>
      </c>
      <c r="AD29" s="23" t="s">
        <v>153</v>
      </c>
      <c r="AE29" s="23" t="s">
        <v>153</v>
      </c>
      <c r="AF29" s="23" t="s">
        <v>153</v>
      </c>
      <c r="AG29" s="23" t="s">
        <v>153</v>
      </c>
      <c r="AH29" s="23" t="s">
        <v>153</v>
      </c>
      <c r="AI29" s="24" t="s">
        <v>153</v>
      </c>
      <c r="AJ29" s="23" t="s">
        <v>153</v>
      </c>
      <c r="AK29" s="23" t="s">
        <v>153</v>
      </c>
      <c r="AL29" s="23" t="s">
        <v>153</v>
      </c>
      <c r="AM29" s="23" t="s">
        <v>153</v>
      </c>
      <c r="AN29" s="23" t="s">
        <v>153</v>
      </c>
      <c r="AO29" s="24" t="s">
        <v>156</v>
      </c>
      <c r="AP29" s="23">
        <f>VALUE(0)</f>
        <v>0</v>
      </c>
      <c r="AQ29" s="23">
        <f>VALUE(0)</f>
        <v>0</v>
      </c>
      <c r="AR29" s="23">
        <f>VALUE(0)</f>
        <v>0</v>
      </c>
      <c r="AS29" s="23">
        <f>VALUE(0)</f>
        <v>0</v>
      </c>
      <c r="AT29" s="23">
        <f>VALUE(0)</f>
        <v>0</v>
      </c>
      <c r="AU29" s="23">
        <f>VALUE(1)</f>
        <v>1</v>
      </c>
      <c r="AV29" s="23">
        <f>VALUE(2)</f>
        <v>2</v>
      </c>
      <c r="AW29" s="23">
        <f>VALUE(0)</f>
        <v>0</v>
      </c>
      <c r="AX29" s="23" t="s">
        <v>171</v>
      </c>
      <c r="AY29" s="23" t="s">
        <v>215</v>
      </c>
      <c r="AZ29" s="23">
        <f>VALUE(0)</f>
        <v>0</v>
      </c>
      <c r="BA29" s="23">
        <f>VALUE(0)</f>
        <v>0</v>
      </c>
      <c r="BB29" s="23">
        <f>VALUE(0)</f>
        <v>0</v>
      </c>
      <c r="BC29" s="23">
        <f>VALUE(0)</f>
        <v>0</v>
      </c>
      <c r="BD29" s="23">
        <f>VALUE(0)</f>
        <v>0</v>
      </c>
      <c r="BE29" s="23">
        <f>VALUE(2)</f>
        <v>2</v>
      </c>
      <c r="BF29" s="23">
        <f>VALUE(0)</f>
        <v>0</v>
      </c>
      <c r="BG29" s="23">
        <f>VALUE(0)</f>
        <v>0</v>
      </c>
      <c r="BH29" s="23">
        <f>VALUE(0)</f>
        <v>0</v>
      </c>
      <c r="BI29" s="23">
        <f>VALUE(0)</f>
        <v>0</v>
      </c>
      <c r="BJ29" s="23">
        <f>VALUE(0)</f>
        <v>0</v>
      </c>
      <c r="BK29" s="12">
        <f>$AX$29*24</f>
        <v>5.833333333333333</v>
      </c>
      <c r="BL29" s="12">
        <f>$AY$29*24</f>
        <v>1.4</v>
      </c>
      <c r="BM29" s="12">
        <f>$BJ$29*24</f>
        <v>0</v>
      </c>
      <c r="BN29" s="12">
        <f>VALUE($I$29)/100</f>
        <v>1</v>
      </c>
      <c r="BO29" s="12">
        <v>0</v>
      </c>
      <c r="BP29" s="12">
        <v>0</v>
      </c>
      <c r="BQ29" s="12">
        <v>0</v>
      </c>
      <c r="BR29" s="12">
        <v>0</v>
      </c>
      <c r="BS29" s="12">
        <v>0</v>
      </c>
      <c r="BT29" s="12">
        <v>0</v>
      </c>
      <c r="BU29" s="12">
        <v>0</v>
      </c>
      <c r="BV29" s="12">
        <v>0</v>
      </c>
      <c r="BW29" s="12">
        <v>0</v>
      </c>
      <c r="BX29" s="12">
        <v>0</v>
      </c>
      <c r="BY29" s="12">
        <v>0</v>
      </c>
      <c r="BZ29" s="12">
        <v>0</v>
      </c>
      <c r="CA29" s="12">
        <v>0</v>
      </c>
    </row>
    <row r="30" spans="1:79" hidden="1" x14ac:dyDescent="0.2">
      <c r="A30" s="12" t="s">
        <v>102</v>
      </c>
      <c r="B30" s="12" t="s">
        <v>105</v>
      </c>
      <c r="C30" s="12" t="s">
        <v>105</v>
      </c>
      <c r="D30" s="22" t="s">
        <v>216</v>
      </c>
      <c r="E30" s="22" t="s">
        <v>161</v>
      </c>
      <c r="F30" s="22" t="s">
        <v>629</v>
      </c>
      <c r="G30" s="22" t="s">
        <v>630</v>
      </c>
      <c r="H30" s="22" t="s">
        <v>166</v>
      </c>
      <c r="I30" s="22" t="s">
        <v>151</v>
      </c>
      <c r="J30" s="22" t="s">
        <v>212</v>
      </c>
      <c r="K30" s="22" t="s">
        <v>66</v>
      </c>
      <c r="L30" s="54" t="s">
        <v>153</v>
      </c>
      <c r="M30" s="24" t="s">
        <v>156</v>
      </c>
      <c r="N30" s="24" t="s">
        <v>153</v>
      </c>
      <c r="O30" s="23" t="s">
        <v>153</v>
      </c>
      <c r="P30" s="23" t="s">
        <v>153</v>
      </c>
      <c r="Q30" s="23" t="s">
        <v>153</v>
      </c>
      <c r="R30" s="23" t="s">
        <v>153</v>
      </c>
      <c r="S30" s="23" t="s">
        <v>153</v>
      </c>
      <c r="T30" s="24" t="s">
        <v>156</v>
      </c>
      <c r="U30" s="24" t="s">
        <v>153</v>
      </c>
      <c r="V30" s="54" t="s">
        <v>153</v>
      </c>
      <c r="W30" s="28" t="s">
        <v>163</v>
      </c>
      <c r="X30" s="28" t="s">
        <v>163</v>
      </c>
      <c r="Y30" s="28" t="s">
        <v>163</v>
      </c>
      <c r="Z30" s="28" t="s">
        <v>163</v>
      </c>
      <c r="AA30" s="28" t="s">
        <v>163</v>
      </c>
      <c r="AB30" s="24" t="s">
        <v>153</v>
      </c>
      <c r="AC30" s="23" t="s">
        <v>153</v>
      </c>
      <c r="AD30" s="23" t="s">
        <v>153</v>
      </c>
      <c r="AE30" s="23" t="s">
        <v>153</v>
      </c>
      <c r="AF30" s="23" t="s">
        <v>153</v>
      </c>
      <c r="AG30" s="23" t="s">
        <v>153</v>
      </c>
      <c r="AH30" s="24" t="s">
        <v>156</v>
      </c>
      <c r="AI30" s="24" t="s">
        <v>153</v>
      </c>
      <c r="AJ30" s="23" t="s">
        <v>153</v>
      </c>
      <c r="AK30" s="23" t="s">
        <v>153</v>
      </c>
      <c r="AL30" s="23" t="s">
        <v>153</v>
      </c>
      <c r="AM30" s="23" t="s">
        <v>153</v>
      </c>
      <c r="AN30" s="23" t="s">
        <v>153</v>
      </c>
      <c r="AO30" s="24" t="s">
        <v>156</v>
      </c>
      <c r="AP30" s="23">
        <f>VALUE(0)</f>
        <v>0</v>
      </c>
      <c r="AQ30" s="23">
        <f>VALUE(0)</f>
        <v>0</v>
      </c>
      <c r="AR30" s="23">
        <f>VALUE(0)</f>
        <v>0</v>
      </c>
      <c r="AS30" s="23">
        <f>VALUE(0)</f>
        <v>0</v>
      </c>
      <c r="AT30" s="23">
        <f>VALUE(0)</f>
        <v>0</v>
      </c>
      <c r="AU30" s="23">
        <f>VALUE(5)</f>
        <v>5</v>
      </c>
      <c r="AV30" s="23">
        <f>VALUE(4)</f>
        <v>4</v>
      </c>
      <c r="AW30" s="23">
        <f>VALUE(0)</f>
        <v>0</v>
      </c>
      <c r="AX30" s="23" t="s">
        <v>217</v>
      </c>
      <c r="AY30" s="23">
        <f>VALUE(0)</f>
        <v>0</v>
      </c>
      <c r="AZ30" s="23">
        <f>VALUE(0)</f>
        <v>0</v>
      </c>
      <c r="BA30" s="23">
        <f>VALUE(0)</f>
        <v>0</v>
      </c>
      <c r="BB30" s="23">
        <f>VALUE(0)</f>
        <v>0</v>
      </c>
      <c r="BC30" s="23">
        <f>VALUE(0)</f>
        <v>0</v>
      </c>
      <c r="BD30" s="23">
        <f>VALUE(0)</f>
        <v>0</v>
      </c>
      <c r="BE30" s="23">
        <f>VALUE(0)</f>
        <v>0</v>
      </c>
      <c r="BF30" s="23">
        <f>VALUE(0)</f>
        <v>0</v>
      </c>
      <c r="BG30" s="23">
        <f>VALUE(0)</f>
        <v>0</v>
      </c>
      <c r="BH30" s="23">
        <f>VALUE(0)</f>
        <v>0</v>
      </c>
      <c r="BI30" s="23">
        <f>VALUE(0)</f>
        <v>0</v>
      </c>
      <c r="BJ30" s="23">
        <f>VALUE(0)</f>
        <v>0</v>
      </c>
      <c r="BK30" s="12">
        <f>$AX$30*24</f>
        <v>0.33333333333333331</v>
      </c>
      <c r="BL30" s="12">
        <f>$AY$30*24</f>
        <v>0</v>
      </c>
      <c r="BM30" s="12">
        <f>$BJ$30*24</f>
        <v>0</v>
      </c>
      <c r="BN30" s="12">
        <f>VALUE($I$30)/100</f>
        <v>1</v>
      </c>
      <c r="BO30" s="12">
        <v>0</v>
      </c>
      <c r="BP30" s="12">
        <v>0</v>
      </c>
      <c r="BQ30" s="12">
        <v>0</v>
      </c>
      <c r="BR30" s="12">
        <v>0</v>
      </c>
      <c r="BS30" s="12">
        <v>0</v>
      </c>
      <c r="BT30" s="12">
        <v>0</v>
      </c>
      <c r="BU30" s="12">
        <v>0</v>
      </c>
      <c r="BV30" s="12">
        <v>0</v>
      </c>
      <c r="BW30" s="12">
        <v>0</v>
      </c>
      <c r="BX30" s="12">
        <v>0</v>
      </c>
      <c r="BY30" s="12">
        <v>0</v>
      </c>
      <c r="BZ30" s="12">
        <v>0</v>
      </c>
      <c r="CA30" s="12">
        <v>0</v>
      </c>
    </row>
    <row r="31" spans="1:79" hidden="1" x14ac:dyDescent="0.2">
      <c r="A31" s="12" t="s">
        <v>102</v>
      </c>
      <c r="B31" s="12" t="s">
        <v>105</v>
      </c>
      <c r="C31" s="12" t="s">
        <v>105</v>
      </c>
      <c r="D31" s="22" t="s">
        <v>206</v>
      </c>
      <c r="E31" s="22" t="s">
        <v>161</v>
      </c>
      <c r="F31" s="22" t="s">
        <v>631</v>
      </c>
      <c r="G31" s="22" t="s">
        <v>632</v>
      </c>
      <c r="H31" s="22" t="s">
        <v>166</v>
      </c>
      <c r="I31" s="22" t="s">
        <v>151</v>
      </c>
      <c r="J31" s="22" t="s">
        <v>212</v>
      </c>
      <c r="K31" s="22" t="s">
        <v>66</v>
      </c>
      <c r="L31" s="54" t="s">
        <v>153</v>
      </c>
      <c r="M31" s="24" t="s">
        <v>156</v>
      </c>
      <c r="N31" s="24" t="s">
        <v>153</v>
      </c>
      <c r="O31" s="23" t="s">
        <v>153</v>
      </c>
      <c r="P31" s="29" t="s">
        <v>218</v>
      </c>
      <c r="Q31" s="29" t="s">
        <v>218</v>
      </c>
      <c r="R31" s="23" t="s">
        <v>153</v>
      </c>
      <c r="S31" s="23" t="s">
        <v>153</v>
      </c>
      <c r="T31" s="24" t="s">
        <v>156</v>
      </c>
      <c r="U31" s="24" t="s">
        <v>153</v>
      </c>
      <c r="V31" s="54" t="s">
        <v>153</v>
      </c>
      <c r="W31" s="23" t="s">
        <v>153</v>
      </c>
      <c r="X31" s="23" t="s">
        <v>153</v>
      </c>
      <c r="Y31" s="29" t="s">
        <v>218</v>
      </c>
      <c r="Z31" s="23" t="s">
        <v>153</v>
      </c>
      <c r="AA31" s="23" t="s">
        <v>153</v>
      </c>
      <c r="AB31" s="24" t="s">
        <v>153</v>
      </c>
      <c r="AC31" s="23" t="s">
        <v>153</v>
      </c>
      <c r="AD31" s="23" t="s">
        <v>153</v>
      </c>
      <c r="AE31" s="29" t="s">
        <v>218</v>
      </c>
      <c r="AF31" s="23" t="s">
        <v>153</v>
      </c>
      <c r="AG31" s="29" t="s">
        <v>218</v>
      </c>
      <c r="AH31" s="24" t="s">
        <v>156</v>
      </c>
      <c r="AI31" s="24" t="s">
        <v>153</v>
      </c>
      <c r="AJ31" s="23" t="s">
        <v>153</v>
      </c>
      <c r="AK31" s="23" t="s">
        <v>153</v>
      </c>
      <c r="AL31" s="29" t="s">
        <v>218</v>
      </c>
      <c r="AM31" s="23" t="s">
        <v>153</v>
      </c>
      <c r="AN31" s="23" t="s">
        <v>153</v>
      </c>
      <c r="AO31" s="24" t="s">
        <v>156</v>
      </c>
      <c r="AP31" s="23">
        <f>VALUE(0)</f>
        <v>0</v>
      </c>
      <c r="AQ31" s="23">
        <f>VALUE(0)</f>
        <v>0</v>
      </c>
      <c r="AR31" s="23">
        <f>VALUE(6)</f>
        <v>6</v>
      </c>
      <c r="AS31" s="23">
        <f>VALUE(0)</f>
        <v>0</v>
      </c>
      <c r="AT31" s="23">
        <f>VALUE(0)</f>
        <v>0</v>
      </c>
      <c r="AU31" s="23">
        <f>VALUE(0)</f>
        <v>0</v>
      </c>
      <c r="AV31" s="23">
        <f>VALUE(12)</f>
        <v>12</v>
      </c>
      <c r="AW31" s="23">
        <f>VALUE(0)</f>
        <v>0</v>
      </c>
      <c r="AX31" s="23" t="s">
        <v>1173</v>
      </c>
      <c r="AY31" s="23">
        <f>VALUE(0)</f>
        <v>0</v>
      </c>
      <c r="AZ31" s="23">
        <f>VALUE(0)</f>
        <v>0</v>
      </c>
      <c r="BA31" s="23">
        <f>VALUE(0)</f>
        <v>0</v>
      </c>
      <c r="BB31" s="23">
        <f>VALUE(0)</f>
        <v>0</v>
      </c>
      <c r="BC31" s="23">
        <f>VALUE(0)</f>
        <v>0</v>
      </c>
      <c r="BD31" s="23">
        <f>VALUE(0)</f>
        <v>0</v>
      </c>
      <c r="BE31" s="23">
        <f>VALUE(0)</f>
        <v>0</v>
      </c>
      <c r="BF31" s="23">
        <f>VALUE(0)</f>
        <v>0</v>
      </c>
      <c r="BG31" s="23">
        <f>VALUE(0)</f>
        <v>0</v>
      </c>
      <c r="BH31" s="23">
        <f>VALUE(0)</f>
        <v>0</v>
      </c>
      <c r="BI31" s="23">
        <f>VALUE(0)</f>
        <v>0</v>
      </c>
      <c r="BJ31" s="23">
        <f>VALUE(0)</f>
        <v>0</v>
      </c>
      <c r="BK31" s="12">
        <f>$AX$31*24</f>
        <v>17.683333333333334</v>
      </c>
      <c r="BL31" s="12">
        <f>$AY$31*24</f>
        <v>0</v>
      </c>
      <c r="BM31" s="12">
        <f>$BJ$31*24</f>
        <v>0</v>
      </c>
      <c r="BN31" s="12">
        <f>VALUE($I$31)/100</f>
        <v>1</v>
      </c>
      <c r="BO31" s="12">
        <v>0</v>
      </c>
      <c r="BP31" s="12">
        <v>0</v>
      </c>
      <c r="BQ31" s="12">
        <v>0</v>
      </c>
      <c r="BR31" s="12">
        <v>0</v>
      </c>
      <c r="BS31" s="12">
        <v>6</v>
      </c>
      <c r="BT31" s="12">
        <v>0</v>
      </c>
      <c r="BU31" s="12">
        <v>0</v>
      </c>
      <c r="BV31" s="12">
        <v>0</v>
      </c>
      <c r="BW31" s="12">
        <v>0</v>
      </c>
      <c r="BX31" s="12">
        <v>0</v>
      </c>
      <c r="BY31" s="12">
        <v>0</v>
      </c>
      <c r="BZ31" s="12">
        <v>0</v>
      </c>
      <c r="CA31" s="12">
        <v>0</v>
      </c>
    </row>
    <row r="32" spans="1:79" hidden="1" x14ac:dyDescent="0.2">
      <c r="A32" s="12" t="s">
        <v>102</v>
      </c>
      <c r="B32" s="12" t="s">
        <v>105</v>
      </c>
      <c r="C32" s="12" t="s">
        <v>105</v>
      </c>
      <c r="D32" s="22" t="s">
        <v>207</v>
      </c>
      <c r="E32" s="22" t="s">
        <v>161</v>
      </c>
      <c r="F32" s="22" t="s">
        <v>633</v>
      </c>
      <c r="G32" s="22" t="s">
        <v>634</v>
      </c>
      <c r="H32" s="22" t="s">
        <v>150</v>
      </c>
      <c r="I32" s="22" t="s">
        <v>151</v>
      </c>
      <c r="J32" s="22" t="s">
        <v>212</v>
      </c>
      <c r="K32" s="22" t="s">
        <v>66</v>
      </c>
      <c r="L32" s="54" t="s">
        <v>153</v>
      </c>
      <c r="M32" s="24" t="s">
        <v>156</v>
      </c>
      <c r="N32" s="24" t="s">
        <v>153</v>
      </c>
      <c r="O32" s="23" t="s">
        <v>153</v>
      </c>
      <c r="P32" s="23" t="s">
        <v>153</v>
      </c>
      <c r="Q32" s="23" t="s">
        <v>153</v>
      </c>
      <c r="R32" s="23" t="s">
        <v>153</v>
      </c>
      <c r="S32" s="23" t="s">
        <v>153</v>
      </c>
      <c r="T32" s="23" t="s">
        <v>153</v>
      </c>
      <c r="U32" s="24" t="s">
        <v>153</v>
      </c>
      <c r="V32" s="54" t="s">
        <v>153</v>
      </c>
      <c r="W32" s="23" t="s">
        <v>153</v>
      </c>
      <c r="X32" s="23" t="s">
        <v>153</v>
      </c>
      <c r="Y32" s="23" t="s">
        <v>153</v>
      </c>
      <c r="Z32" s="23" t="s">
        <v>153</v>
      </c>
      <c r="AA32" s="24" t="s">
        <v>156</v>
      </c>
      <c r="AB32" s="24" t="s">
        <v>153</v>
      </c>
      <c r="AC32" s="23" t="s">
        <v>153</v>
      </c>
      <c r="AD32" s="23" t="s">
        <v>153</v>
      </c>
      <c r="AE32" s="23" t="s">
        <v>153</v>
      </c>
      <c r="AF32" s="23" t="s">
        <v>153</v>
      </c>
      <c r="AG32" s="23" t="s">
        <v>153</v>
      </c>
      <c r="AH32" s="24" t="s">
        <v>156</v>
      </c>
      <c r="AI32" s="24" t="s">
        <v>153</v>
      </c>
      <c r="AJ32" s="23" t="s">
        <v>153</v>
      </c>
      <c r="AK32" s="23" t="s">
        <v>153</v>
      </c>
      <c r="AL32" s="23" t="s">
        <v>153</v>
      </c>
      <c r="AM32" s="23" t="s">
        <v>153</v>
      </c>
      <c r="AN32" s="23" t="s">
        <v>153</v>
      </c>
      <c r="AO32" s="23" t="s">
        <v>153</v>
      </c>
      <c r="AP32" s="23">
        <f>VALUE(0)</f>
        <v>0</v>
      </c>
      <c r="AQ32" s="23">
        <f>VALUE(0)</f>
        <v>0</v>
      </c>
      <c r="AR32" s="23">
        <f>VALUE(0)</f>
        <v>0</v>
      </c>
      <c r="AS32" s="23">
        <f>VALUE(0)</f>
        <v>0</v>
      </c>
      <c r="AT32" s="23">
        <f>VALUE(0)</f>
        <v>0</v>
      </c>
      <c r="AU32" s="23">
        <f>VALUE(0)</f>
        <v>0</v>
      </c>
      <c r="AV32" s="23">
        <f>VALUE(21)</f>
        <v>21</v>
      </c>
      <c r="AW32" s="23">
        <f>VALUE(0)</f>
        <v>0</v>
      </c>
      <c r="AX32" s="23" t="s">
        <v>176</v>
      </c>
      <c r="AY32" s="23" t="s">
        <v>219</v>
      </c>
      <c r="AZ32" s="23">
        <f>VALUE(0)</f>
        <v>0</v>
      </c>
      <c r="BA32" s="23">
        <f>VALUE(0)</f>
        <v>0</v>
      </c>
      <c r="BB32" s="23">
        <f>VALUE(0)</f>
        <v>0</v>
      </c>
      <c r="BC32" s="23">
        <f>VALUE(0)</f>
        <v>0</v>
      </c>
      <c r="BD32" s="23">
        <f>VALUE(0)</f>
        <v>0</v>
      </c>
      <c r="BE32" s="23">
        <f>VALUE(0)</f>
        <v>0</v>
      </c>
      <c r="BF32" s="23">
        <f>VALUE(0)</f>
        <v>0</v>
      </c>
      <c r="BG32" s="23">
        <f>VALUE(0)</f>
        <v>0</v>
      </c>
      <c r="BH32" s="23">
        <f>VALUE(0)</f>
        <v>0</v>
      </c>
      <c r="BI32" s="23">
        <f>VALUE(0)</f>
        <v>0</v>
      </c>
      <c r="BJ32" s="23">
        <f>VALUE(0)</f>
        <v>0</v>
      </c>
      <c r="BK32" s="12">
        <f>$AX$32*24</f>
        <v>0</v>
      </c>
      <c r="BL32" s="12">
        <f>$AY$32*24</f>
        <v>1.2333333333333334</v>
      </c>
      <c r="BM32" s="12">
        <f>$BJ$32*24</f>
        <v>0</v>
      </c>
      <c r="BN32" s="12">
        <f>VALUE($I$32)/100</f>
        <v>1</v>
      </c>
      <c r="BO32" s="12">
        <v>0</v>
      </c>
      <c r="BP32" s="12">
        <v>0</v>
      </c>
      <c r="BQ32" s="12">
        <v>0</v>
      </c>
      <c r="BR32" s="12">
        <v>0</v>
      </c>
      <c r="BS32" s="12">
        <v>0</v>
      </c>
      <c r="BT32" s="12">
        <v>0</v>
      </c>
      <c r="BU32" s="12">
        <v>0</v>
      </c>
      <c r="BV32" s="12">
        <v>0</v>
      </c>
      <c r="BW32" s="12">
        <v>0</v>
      </c>
      <c r="BX32" s="12">
        <v>0</v>
      </c>
      <c r="BY32" s="12">
        <v>0</v>
      </c>
      <c r="BZ32" s="12">
        <v>0</v>
      </c>
      <c r="CA32" s="12">
        <v>0</v>
      </c>
    </row>
    <row r="33" spans="1:79" hidden="1" x14ac:dyDescent="0.2">
      <c r="A33" s="12" t="s">
        <v>102</v>
      </c>
      <c r="B33" s="12" t="s">
        <v>105</v>
      </c>
      <c r="C33" s="12" t="s">
        <v>105</v>
      </c>
      <c r="D33" s="22" t="s">
        <v>220</v>
      </c>
      <c r="E33" s="22" t="s">
        <v>161</v>
      </c>
      <c r="F33" s="22" t="s">
        <v>635</v>
      </c>
      <c r="G33" s="22" t="s">
        <v>636</v>
      </c>
      <c r="H33" s="22" t="s">
        <v>166</v>
      </c>
      <c r="I33" s="22" t="s">
        <v>151</v>
      </c>
      <c r="J33" s="22" t="s">
        <v>212</v>
      </c>
      <c r="K33" s="22" t="s">
        <v>66</v>
      </c>
      <c r="L33" s="54" t="s">
        <v>153</v>
      </c>
      <c r="M33" s="24" t="s">
        <v>156</v>
      </c>
      <c r="N33" s="24" t="s">
        <v>153</v>
      </c>
      <c r="O33" s="23" t="s">
        <v>153</v>
      </c>
      <c r="P33" s="23" t="s">
        <v>153</v>
      </c>
      <c r="Q33" s="23" t="s">
        <v>153</v>
      </c>
      <c r="R33" s="23" t="s">
        <v>153</v>
      </c>
      <c r="S33" s="23" t="s">
        <v>153</v>
      </c>
      <c r="T33" s="23" t="s">
        <v>153</v>
      </c>
      <c r="U33" s="24" t="s">
        <v>153</v>
      </c>
      <c r="V33" s="54" t="s">
        <v>153</v>
      </c>
      <c r="W33" s="23" t="s">
        <v>153</v>
      </c>
      <c r="X33" s="23" t="s">
        <v>153</v>
      </c>
      <c r="Y33" s="23" t="s">
        <v>153</v>
      </c>
      <c r="Z33" s="23" t="s">
        <v>153</v>
      </c>
      <c r="AA33" s="24" t="s">
        <v>156</v>
      </c>
      <c r="AB33" s="24" t="s">
        <v>153</v>
      </c>
      <c r="AC33" s="23" t="s">
        <v>153</v>
      </c>
      <c r="AD33" s="23" t="s">
        <v>153</v>
      </c>
      <c r="AE33" s="23" t="s">
        <v>153</v>
      </c>
      <c r="AF33" s="23" t="s">
        <v>153</v>
      </c>
      <c r="AG33" s="23" t="s">
        <v>153</v>
      </c>
      <c r="AH33" s="24" t="s">
        <v>156</v>
      </c>
      <c r="AI33" s="24" t="s">
        <v>153</v>
      </c>
      <c r="AJ33" s="23" t="s">
        <v>153</v>
      </c>
      <c r="AK33" s="23" t="s">
        <v>153</v>
      </c>
      <c r="AL33" s="23" t="s">
        <v>153</v>
      </c>
      <c r="AM33" s="23" t="s">
        <v>153</v>
      </c>
      <c r="AN33" s="23" t="s">
        <v>153</v>
      </c>
      <c r="AO33" s="23" t="s">
        <v>153</v>
      </c>
      <c r="AP33" s="23">
        <f>VALUE(0)</f>
        <v>0</v>
      </c>
      <c r="AQ33" s="23">
        <f>VALUE(0)</f>
        <v>0</v>
      </c>
      <c r="AR33" s="23">
        <f>VALUE(0)</f>
        <v>0</v>
      </c>
      <c r="AS33" s="23">
        <f>VALUE(0)</f>
        <v>0</v>
      </c>
      <c r="AT33" s="23">
        <f>VALUE(0)</f>
        <v>0</v>
      </c>
      <c r="AU33" s="23">
        <f>VALUE(0)</f>
        <v>0</v>
      </c>
      <c r="AV33" s="23">
        <f>VALUE(11.5)</f>
        <v>11.5</v>
      </c>
      <c r="AW33" s="23">
        <f>VALUE(0)</f>
        <v>0</v>
      </c>
      <c r="AX33" s="23" t="s">
        <v>1174</v>
      </c>
      <c r="AY33" s="23">
        <f>VALUE(0)</f>
        <v>0</v>
      </c>
      <c r="AZ33" s="23">
        <f>VALUE(0)</f>
        <v>0</v>
      </c>
      <c r="BA33" s="23">
        <f>VALUE(0)</f>
        <v>0</v>
      </c>
      <c r="BB33" s="23">
        <f>VALUE(0)</f>
        <v>0</v>
      </c>
      <c r="BC33" s="23">
        <f>VALUE(0)</f>
        <v>0</v>
      </c>
      <c r="BD33" s="23">
        <f>VALUE(0)</f>
        <v>0</v>
      </c>
      <c r="BE33" s="23">
        <f>VALUE(0)</f>
        <v>0</v>
      </c>
      <c r="BF33" s="23">
        <f>VALUE(0)</f>
        <v>0</v>
      </c>
      <c r="BG33" s="23">
        <f>VALUE(0)</f>
        <v>0</v>
      </c>
      <c r="BH33" s="23">
        <f>VALUE(0)</f>
        <v>0</v>
      </c>
      <c r="BI33" s="23">
        <f>VALUE(0)</f>
        <v>0</v>
      </c>
      <c r="BJ33" s="23">
        <f>VALUE(0)</f>
        <v>0</v>
      </c>
      <c r="BK33" s="12">
        <f>$AX$33*24</f>
        <v>30.233333333333334</v>
      </c>
      <c r="BL33" s="12">
        <f>$AY$33*24</f>
        <v>0</v>
      </c>
      <c r="BM33" s="12">
        <f>$BJ$33*24</f>
        <v>0</v>
      </c>
      <c r="BN33" s="12">
        <f>VALUE($I$33)/100</f>
        <v>1</v>
      </c>
      <c r="BO33" s="12">
        <v>0</v>
      </c>
      <c r="BP33" s="12">
        <v>0</v>
      </c>
      <c r="BQ33" s="12">
        <v>0</v>
      </c>
      <c r="BR33" s="12">
        <v>0</v>
      </c>
      <c r="BS33" s="12">
        <v>0</v>
      </c>
      <c r="BT33" s="12">
        <v>0</v>
      </c>
      <c r="BU33" s="12">
        <v>0</v>
      </c>
      <c r="BV33" s="12">
        <v>0</v>
      </c>
      <c r="BW33" s="12">
        <v>0</v>
      </c>
      <c r="BX33" s="12">
        <v>0</v>
      </c>
      <c r="BY33" s="12">
        <v>0</v>
      </c>
      <c r="BZ33" s="12">
        <v>0</v>
      </c>
      <c r="CA33" s="12">
        <v>0</v>
      </c>
    </row>
    <row r="34" spans="1:79" ht="16.5" hidden="1" x14ac:dyDescent="0.2">
      <c r="A34" s="12" t="s">
        <v>102</v>
      </c>
      <c r="B34" s="12" t="s">
        <v>105</v>
      </c>
      <c r="C34" s="12" t="s">
        <v>105</v>
      </c>
      <c r="D34" s="22" t="s">
        <v>211</v>
      </c>
      <c r="E34" s="22" t="s">
        <v>161</v>
      </c>
      <c r="F34" s="22" t="s">
        <v>637</v>
      </c>
      <c r="G34" s="22" t="s">
        <v>638</v>
      </c>
      <c r="H34" s="22" t="s">
        <v>150</v>
      </c>
      <c r="I34" s="22" t="s">
        <v>151</v>
      </c>
      <c r="J34" s="22" t="s">
        <v>162</v>
      </c>
      <c r="K34" s="22" t="s">
        <v>66</v>
      </c>
      <c r="L34" s="54" t="s">
        <v>153</v>
      </c>
      <c r="M34" s="28" t="s">
        <v>163</v>
      </c>
      <c r="N34" s="24" t="s">
        <v>153</v>
      </c>
      <c r="O34" s="23" t="s">
        <v>153</v>
      </c>
      <c r="P34" s="26" t="s">
        <v>221</v>
      </c>
      <c r="Q34" s="26" t="s">
        <v>221</v>
      </c>
      <c r="R34" s="26" t="s">
        <v>221</v>
      </c>
      <c r="S34" s="26" t="s">
        <v>221</v>
      </c>
      <c r="T34" s="23" t="s">
        <v>222</v>
      </c>
      <c r="U34" s="24" t="s">
        <v>153</v>
      </c>
      <c r="V34" s="54" t="s">
        <v>153</v>
      </c>
      <c r="W34" s="26" t="s">
        <v>221</v>
      </c>
      <c r="X34" s="26" t="s">
        <v>221</v>
      </c>
      <c r="Y34" s="26" t="s">
        <v>221</v>
      </c>
      <c r="Z34" s="26" t="s">
        <v>221</v>
      </c>
      <c r="AA34" s="23" t="s">
        <v>222</v>
      </c>
      <c r="AB34" s="24" t="s">
        <v>153</v>
      </c>
      <c r="AC34" s="23" t="s">
        <v>153</v>
      </c>
      <c r="AD34" s="26" t="s">
        <v>221</v>
      </c>
      <c r="AE34" s="26" t="s">
        <v>221</v>
      </c>
      <c r="AF34" s="26" t="s">
        <v>221</v>
      </c>
      <c r="AG34" s="29" t="s">
        <v>1175</v>
      </c>
      <c r="AH34" s="29" t="s">
        <v>1175</v>
      </c>
      <c r="AI34" s="24" t="s">
        <v>153</v>
      </c>
      <c r="AJ34" s="23" t="s">
        <v>153</v>
      </c>
      <c r="AK34" s="26" t="s">
        <v>221</v>
      </c>
      <c r="AL34" s="26" t="s">
        <v>221</v>
      </c>
      <c r="AM34" s="26" t="s">
        <v>221</v>
      </c>
      <c r="AN34" s="26" t="s">
        <v>221</v>
      </c>
      <c r="AO34" s="23" t="s">
        <v>222</v>
      </c>
      <c r="AP34" s="23">
        <f>VALUE(0)</f>
        <v>0</v>
      </c>
      <c r="AQ34" s="23">
        <f>VALUE(0)</f>
        <v>0</v>
      </c>
      <c r="AR34" s="23">
        <f>VALUE(2)</f>
        <v>2</v>
      </c>
      <c r="AS34" s="23">
        <f>VALUE(0)</f>
        <v>0</v>
      </c>
      <c r="AT34" s="23">
        <f>VALUE(0)</f>
        <v>0</v>
      </c>
      <c r="AU34" s="23">
        <f>VALUE(1)</f>
        <v>1</v>
      </c>
      <c r="AV34" s="23">
        <f>VALUE(3)</f>
        <v>3</v>
      </c>
      <c r="AW34" s="23">
        <f>VALUE(0)</f>
        <v>0</v>
      </c>
      <c r="AX34" s="23" t="s">
        <v>1176</v>
      </c>
      <c r="AY34" s="23" t="s">
        <v>1177</v>
      </c>
      <c r="AZ34" s="23">
        <f>VALUE(0)</f>
        <v>0</v>
      </c>
      <c r="BA34" s="23">
        <f>VALUE(0)</f>
        <v>0</v>
      </c>
      <c r="BB34" s="23">
        <f>VALUE(0)</f>
        <v>0</v>
      </c>
      <c r="BC34" s="23">
        <f>VALUE(0)</f>
        <v>0</v>
      </c>
      <c r="BD34" s="23">
        <f>VALUE(0)</f>
        <v>0</v>
      </c>
      <c r="BE34" s="23">
        <f>VALUE(0)</f>
        <v>0</v>
      </c>
      <c r="BF34" s="23">
        <f>VALUE(0)</f>
        <v>0</v>
      </c>
      <c r="BG34" s="23">
        <f>VALUE(0)</f>
        <v>0</v>
      </c>
      <c r="BH34" s="23">
        <f>VALUE(0)</f>
        <v>0</v>
      </c>
      <c r="BI34" s="23">
        <f>VALUE(0)</f>
        <v>0</v>
      </c>
      <c r="BJ34" s="23">
        <f>VALUE(0)</f>
        <v>0</v>
      </c>
      <c r="BK34" s="12">
        <f>$AX$34*24</f>
        <v>9.5833333333333339</v>
      </c>
      <c r="BL34" s="12">
        <f>$AY$34*24</f>
        <v>5.0666666666666664</v>
      </c>
      <c r="BM34" s="12">
        <f>$BJ$34*24</f>
        <v>0</v>
      </c>
      <c r="BN34" s="12">
        <f>VALUE($I$34)/100</f>
        <v>1</v>
      </c>
      <c r="BO34" s="12">
        <v>0</v>
      </c>
      <c r="BP34" s="12">
        <v>0</v>
      </c>
      <c r="BQ34" s="12">
        <v>0</v>
      </c>
      <c r="BR34" s="12">
        <v>0</v>
      </c>
      <c r="BS34" s="12">
        <v>0</v>
      </c>
      <c r="BT34" s="12">
        <v>0</v>
      </c>
      <c r="BU34" s="12">
        <v>0</v>
      </c>
      <c r="BV34" s="12">
        <v>2</v>
      </c>
      <c r="BW34" s="12">
        <v>0</v>
      </c>
      <c r="BX34" s="12">
        <v>0</v>
      </c>
      <c r="BY34" s="12">
        <v>0</v>
      </c>
      <c r="BZ34" s="12">
        <v>0</v>
      </c>
      <c r="CA34" s="12">
        <v>0</v>
      </c>
    </row>
    <row r="35" spans="1:79" ht="16.5" hidden="1" x14ac:dyDescent="0.2">
      <c r="A35" s="12" t="s">
        <v>102</v>
      </c>
      <c r="B35" s="12" t="s">
        <v>105</v>
      </c>
      <c r="C35" s="12" t="s">
        <v>105</v>
      </c>
      <c r="D35" s="22" t="s">
        <v>223</v>
      </c>
      <c r="E35" s="22" t="s">
        <v>161</v>
      </c>
      <c r="F35" s="22" t="s">
        <v>639</v>
      </c>
      <c r="G35" s="22" t="s">
        <v>640</v>
      </c>
      <c r="H35" s="22" t="s">
        <v>190</v>
      </c>
      <c r="I35" s="22" t="s">
        <v>151</v>
      </c>
      <c r="J35" s="22" t="s">
        <v>181</v>
      </c>
      <c r="K35" s="22" t="s">
        <v>66</v>
      </c>
      <c r="L35" s="54" t="s">
        <v>153</v>
      </c>
      <c r="M35" s="23" t="s">
        <v>224</v>
      </c>
      <c r="N35" s="24" t="s">
        <v>153</v>
      </c>
      <c r="O35" s="26" t="s">
        <v>225</v>
      </c>
      <c r="P35" s="26" t="s">
        <v>225</v>
      </c>
      <c r="Q35" s="26" t="s">
        <v>225</v>
      </c>
      <c r="R35" s="26" t="s">
        <v>225</v>
      </c>
      <c r="S35" s="26" t="s">
        <v>225</v>
      </c>
      <c r="T35" s="26" t="s">
        <v>225</v>
      </c>
      <c r="U35" s="24" t="s">
        <v>153</v>
      </c>
      <c r="V35" s="54" t="s">
        <v>153</v>
      </c>
      <c r="W35" s="26" t="s">
        <v>225</v>
      </c>
      <c r="X35" s="40" t="s">
        <v>153</v>
      </c>
      <c r="Y35" s="40" t="s">
        <v>153</v>
      </c>
      <c r="Z35" s="40" t="s">
        <v>153</v>
      </c>
      <c r="AA35" s="40" t="s">
        <v>153</v>
      </c>
      <c r="AB35" s="40" t="s">
        <v>153</v>
      </c>
      <c r="AC35" s="40" t="s">
        <v>153</v>
      </c>
      <c r="AD35" s="40" t="s">
        <v>153</v>
      </c>
      <c r="AE35" s="40" t="s">
        <v>153</v>
      </c>
      <c r="AF35" s="40" t="s">
        <v>153</v>
      </c>
      <c r="AG35" s="40" t="s">
        <v>153</v>
      </c>
      <c r="AH35" s="40" t="s">
        <v>153</v>
      </c>
      <c r="AI35" s="40" t="s">
        <v>153</v>
      </c>
      <c r="AJ35" s="40" t="s">
        <v>153</v>
      </c>
      <c r="AK35" s="40" t="s">
        <v>153</v>
      </c>
      <c r="AL35" s="40" t="s">
        <v>153</v>
      </c>
      <c r="AM35" s="40" t="s">
        <v>153</v>
      </c>
      <c r="AN35" s="40" t="s">
        <v>153</v>
      </c>
      <c r="AO35" s="40" t="s">
        <v>153</v>
      </c>
      <c r="AP35" s="23">
        <f>VALUE(0)</f>
        <v>0</v>
      </c>
      <c r="AQ35" s="23">
        <f>VALUE(0)</f>
        <v>0</v>
      </c>
      <c r="AR35" s="23">
        <f>VALUE(0)</f>
        <v>0</v>
      </c>
      <c r="AS35" s="23">
        <f>VALUE(0)</f>
        <v>0</v>
      </c>
      <c r="AT35" s="23">
        <f>VALUE(0)</f>
        <v>0</v>
      </c>
      <c r="AU35" s="23">
        <f>VALUE(0)</f>
        <v>0</v>
      </c>
      <c r="AV35" s="23">
        <f>VALUE(17)</f>
        <v>17</v>
      </c>
      <c r="AW35" s="23">
        <f>VALUE(0)</f>
        <v>0</v>
      </c>
      <c r="AX35" s="23">
        <f>VALUE(0)</f>
        <v>0</v>
      </c>
      <c r="AY35" s="23">
        <f>VALUE(0)</f>
        <v>0</v>
      </c>
      <c r="AZ35" s="23">
        <f>VALUE(0)</f>
        <v>0</v>
      </c>
      <c r="BA35" s="23">
        <f>VALUE(0)</f>
        <v>0</v>
      </c>
      <c r="BB35" s="23">
        <f>VALUE(0)</f>
        <v>0</v>
      </c>
      <c r="BC35" s="23">
        <f>VALUE(0)</f>
        <v>0</v>
      </c>
      <c r="BD35" s="23">
        <f>VALUE(0)</f>
        <v>0</v>
      </c>
      <c r="BE35" s="23">
        <f>VALUE(0)</f>
        <v>0</v>
      </c>
      <c r="BF35" s="23">
        <f>VALUE(0)</f>
        <v>0</v>
      </c>
      <c r="BG35" s="23">
        <f>VALUE(0)</f>
        <v>0</v>
      </c>
      <c r="BH35" s="23">
        <f>VALUE(0)</f>
        <v>0</v>
      </c>
      <c r="BI35" s="23">
        <f>VALUE(0)</f>
        <v>0</v>
      </c>
      <c r="BJ35" s="23">
        <f>VALUE(0)</f>
        <v>0</v>
      </c>
      <c r="BK35" s="12">
        <f>$AX$35*24</f>
        <v>0</v>
      </c>
      <c r="BL35" s="12">
        <f>$AY$35*24</f>
        <v>0</v>
      </c>
      <c r="BM35" s="12">
        <f>$BJ$35*24</f>
        <v>0</v>
      </c>
      <c r="BN35" s="12">
        <f>VALUE($I$35)/100</f>
        <v>1</v>
      </c>
      <c r="BO35" s="12">
        <v>0</v>
      </c>
      <c r="BP35" s="12">
        <v>0</v>
      </c>
      <c r="BQ35" s="12">
        <v>0</v>
      </c>
      <c r="BR35" s="12">
        <v>0</v>
      </c>
      <c r="BS35" s="12">
        <v>0</v>
      </c>
      <c r="BT35" s="12">
        <v>0</v>
      </c>
      <c r="BU35" s="12">
        <v>0</v>
      </c>
      <c r="BV35" s="12">
        <v>0</v>
      </c>
      <c r="BW35" s="12">
        <v>0</v>
      </c>
      <c r="BX35" s="12">
        <v>0</v>
      </c>
      <c r="BY35" s="12">
        <v>0</v>
      </c>
      <c r="BZ35" s="12">
        <v>0</v>
      </c>
      <c r="CA35" s="12">
        <v>0</v>
      </c>
    </row>
    <row r="36" spans="1:79" hidden="1" x14ac:dyDescent="0.2">
      <c r="A36" s="12" t="s">
        <v>102</v>
      </c>
      <c r="B36" s="12" t="s">
        <v>105</v>
      </c>
      <c r="C36" s="12" t="s">
        <v>105</v>
      </c>
      <c r="D36" s="22" t="s">
        <v>210</v>
      </c>
      <c r="E36" s="22" t="s">
        <v>161</v>
      </c>
      <c r="F36" s="22" t="s">
        <v>641</v>
      </c>
      <c r="G36" s="22" t="s">
        <v>642</v>
      </c>
      <c r="H36" s="22" t="s">
        <v>150</v>
      </c>
      <c r="I36" s="22" t="s">
        <v>226</v>
      </c>
      <c r="J36" s="22" t="s">
        <v>181</v>
      </c>
      <c r="K36" s="22" t="s">
        <v>66</v>
      </c>
      <c r="L36" s="54" t="s">
        <v>153</v>
      </c>
      <c r="M36" s="24" t="s">
        <v>195</v>
      </c>
      <c r="N36" s="24" t="s">
        <v>153</v>
      </c>
      <c r="O36" s="23" t="s">
        <v>153</v>
      </c>
      <c r="P36" s="23" t="s">
        <v>153</v>
      </c>
      <c r="Q36" s="23" t="s">
        <v>153</v>
      </c>
      <c r="R36" s="23" t="s">
        <v>153</v>
      </c>
      <c r="S36" s="24" t="s">
        <v>195</v>
      </c>
      <c r="T36" s="24" t="s">
        <v>195</v>
      </c>
      <c r="U36" s="24" t="s">
        <v>153</v>
      </c>
      <c r="V36" s="54" t="s">
        <v>153</v>
      </c>
      <c r="W36" s="23" t="s">
        <v>153</v>
      </c>
      <c r="X36" s="23" t="s">
        <v>153</v>
      </c>
      <c r="Y36" s="23" t="s">
        <v>153</v>
      </c>
      <c r="Z36" s="24" t="s">
        <v>195</v>
      </c>
      <c r="AA36" s="24" t="s">
        <v>195</v>
      </c>
      <c r="AB36" s="24" t="s">
        <v>153</v>
      </c>
      <c r="AC36" s="23" t="s">
        <v>153</v>
      </c>
      <c r="AD36" s="23" t="s">
        <v>153</v>
      </c>
      <c r="AE36" s="23" t="s">
        <v>153</v>
      </c>
      <c r="AF36" s="23" t="s">
        <v>153</v>
      </c>
      <c r="AG36" s="24" t="s">
        <v>195</v>
      </c>
      <c r="AH36" s="24" t="s">
        <v>195</v>
      </c>
      <c r="AI36" s="24" t="s">
        <v>153</v>
      </c>
      <c r="AJ36" s="23" t="s">
        <v>153</v>
      </c>
      <c r="AK36" s="23" t="s">
        <v>153</v>
      </c>
      <c r="AL36" s="23" t="s">
        <v>153</v>
      </c>
      <c r="AM36" s="23" t="s">
        <v>153</v>
      </c>
      <c r="AN36" s="24" t="s">
        <v>195</v>
      </c>
      <c r="AO36" s="24" t="s">
        <v>195</v>
      </c>
      <c r="AP36" s="23">
        <f>VALUE(0)</f>
        <v>0</v>
      </c>
      <c r="AQ36" s="23">
        <f>VALUE(0)</f>
        <v>0</v>
      </c>
      <c r="AR36" s="23">
        <f>VALUE(0)</f>
        <v>0</v>
      </c>
      <c r="AS36" s="23">
        <f>VALUE(0)</f>
        <v>0</v>
      </c>
      <c r="AT36" s="23">
        <f>VALUE(0)</f>
        <v>0</v>
      </c>
      <c r="AU36" s="23">
        <f>VALUE(0)</f>
        <v>0</v>
      </c>
      <c r="AV36" s="23">
        <f>VALUE(12)</f>
        <v>12</v>
      </c>
      <c r="AW36" s="23">
        <f>VALUE(0)</f>
        <v>0</v>
      </c>
      <c r="AX36" s="23" t="s">
        <v>176</v>
      </c>
      <c r="AY36" s="23" t="s">
        <v>227</v>
      </c>
      <c r="AZ36" s="23">
        <f>VALUE(0)</f>
        <v>0</v>
      </c>
      <c r="BA36" s="23">
        <f>VALUE(0)</f>
        <v>0</v>
      </c>
      <c r="BB36" s="23">
        <f>VALUE(0)</f>
        <v>0</v>
      </c>
      <c r="BC36" s="23">
        <f>VALUE(0)</f>
        <v>0</v>
      </c>
      <c r="BD36" s="23">
        <f>VALUE(0)</f>
        <v>0</v>
      </c>
      <c r="BE36" s="23">
        <f>VALUE(0)</f>
        <v>0</v>
      </c>
      <c r="BF36" s="23">
        <f>VALUE(0)</f>
        <v>0</v>
      </c>
      <c r="BG36" s="23">
        <f>VALUE(0)</f>
        <v>0</v>
      </c>
      <c r="BH36" s="23">
        <f>VALUE(0)</f>
        <v>0</v>
      </c>
      <c r="BI36" s="23">
        <f>VALUE(0)</f>
        <v>0</v>
      </c>
      <c r="BJ36" s="23">
        <f>VALUE(0)</f>
        <v>0</v>
      </c>
      <c r="BK36" s="12">
        <f>$AX$36*24</f>
        <v>0</v>
      </c>
      <c r="BL36" s="12">
        <f>$AY$36*24</f>
        <v>2.8333333333333335</v>
      </c>
      <c r="BM36" s="12">
        <f>$BJ$36*24</f>
        <v>0</v>
      </c>
      <c r="BN36" s="12">
        <f>VALUE($I$36)/100</f>
        <v>0.42</v>
      </c>
      <c r="BO36" s="12">
        <v>0</v>
      </c>
      <c r="BP36" s="12">
        <v>0</v>
      </c>
      <c r="BQ36" s="12">
        <v>0</v>
      </c>
      <c r="BR36" s="12">
        <v>0</v>
      </c>
      <c r="BS36" s="12">
        <v>0</v>
      </c>
      <c r="BT36" s="12">
        <v>0</v>
      </c>
      <c r="BU36" s="12">
        <v>0</v>
      </c>
      <c r="BV36" s="12">
        <v>0</v>
      </c>
      <c r="BW36" s="12">
        <v>0</v>
      </c>
      <c r="BX36" s="12">
        <v>0</v>
      </c>
      <c r="BY36" s="12">
        <v>0</v>
      </c>
      <c r="BZ36" s="12">
        <v>0</v>
      </c>
      <c r="CA36" s="12">
        <v>0</v>
      </c>
    </row>
    <row r="37" spans="1:79" hidden="1" x14ac:dyDescent="0.2">
      <c r="A37" s="12" t="s">
        <v>102</v>
      </c>
      <c r="B37" s="12" t="s">
        <v>105</v>
      </c>
      <c r="C37" s="12" t="s">
        <v>105</v>
      </c>
      <c r="D37" s="22" t="s">
        <v>228</v>
      </c>
      <c r="E37" s="22" t="s">
        <v>161</v>
      </c>
      <c r="F37" s="22" t="s">
        <v>1178</v>
      </c>
      <c r="G37" s="22" t="s">
        <v>643</v>
      </c>
      <c r="H37" s="22" t="s">
        <v>150</v>
      </c>
      <c r="I37" s="22" t="s">
        <v>151</v>
      </c>
      <c r="J37" s="22" t="s">
        <v>181</v>
      </c>
      <c r="K37" s="22" t="s">
        <v>66</v>
      </c>
      <c r="L37" s="54" t="s">
        <v>153</v>
      </c>
      <c r="M37" s="28" t="s">
        <v>163</v>
      </c>
      <c r="N37" s="24" t="s">
        <v>153</v>
      </c>
      <c r="O37" s="28" t="s">
        <v>163</v>
      </c>
      <c r="P37" s="28" t="s">
        <v>163</v>
      </c>
      <c r="Q37" s="28" t="s">
        <v>163</v>
      </c>
      <c r="R37" s="28" t="s">
        <v>163</v>
      </c>
      <c r="S37" s="28" t="s">
        <v>163</v>
      </c>
      <c r="T37" s="28" t="s">
        <v>163</v>
      </c>
      <c r="U37" s="24" t="s">
        <v>153</v>
      </c>
      <c r="V37" s="54" t="s">
        <v>153</v>
      </c>
      <c r="W37" s="23" t="s">
        <v>153</v>
      </c>
      <c r="X37" s="23" t="s">
        <v>153</v>
      </c>
      <c r="Y37" s="23" t="s">
        <v>153</v>
      </c>
      <c r="Z37" s="23" t="s">
        <v>153</v>
      </c>
      <c r="AA37" s="24" t="s">
        <v>156</v>
      </c>
      <c r="AB37" s="24" t="s">
        <v>153</v>
      </c>
      <c r="AC37" s="23" t="s">
        <v>153</v>
      </c>
      <c r="AD37" s="23" t="s">
        <v>153</v>
      </c>
      <c r="AE37" s="23" t="s">
        <v>153</v>
      </c>
      <c r="AF37" s="23" t="s">
        <v>153</v>
      </c>
      <c r="AG37" s="23" t="s">
        <v>153</v>
      </c>
      <c r="AH37" s="23" t="s">
        <v>153</v>
      </c>
      <c r="AI37" s="24" t="s">
        <v>153</v>
      </c>
      <c r="AJ37" s="23" t="s">
        <v>153</v>
      </c>
      <c r="AK37" s="23" t="s">
        <v>153</v>
      </c>
      <c r="AL37" s="35" t="s">
        <v>170</v>
      </c>
      <c r="AM37" s="23" t="s">
        <v>153</v>
      </c>
      <c r="AN37" s="23" t="s">
        <v>153</v>
      </c>
      <c r="AO37" s="24" t="s">
        <v>156</v>
      </c>
      <c r="AP37" s="23">
        <f>VALUE(0)</f>
        <v>0</v>
      </c>
      <c r="AQ37" s="23">
        <f>VALUE(0)</f>
        <v>0</v>
      </c>
      <c r="AR37" s="23">
        <f>VALUE(0)</f>
        <v>0</v>
      </c>
      <c r="AS37" s="23">
        <f>VALUE(0)</f>
        <v>0</v>
      </c>
      <c r="AT37" s="23">
        <f>VALUE(0)</f>
        <v>0</v>
      </c>
      <c r="AU37" s="23">
        <f>VALUE(7)</f>
        <v>7</v>
      </c>
      <c r="AV37" s="23">
        <f>VALUE(3)</f>
        <v>3</v>
      </c>
      <c r="AW37" s="23">
        <f>VALUE(0)</f>
        <v>0</v>
      </c>
      <c r="AX37" s="23" t="s">
        <v>171</v>
      </c>
      <c r="AY37" s="23" t="s">
        <v>196</v>
      </c>
      <c r="AZ37" s="23">
        <f>VALUE(0)</f>
        <v>0</v>
      </c>
      <c r="BA37" s="23">
        <f>VALUE(0)</f>
        <v>0</v>
      </c>
      <c r="BB37" s="23">
        <f>VALUE(0)</f>
        <v>0</v>
      </c>
      <c r="BC37" s="23">
        <f>VALUE(0)</f>
        <v>0</v>
      </c>
      <c r="BD37" s="23">
        <f>VALUE(0)</f>
        <v>0</v>
      </c>
      <c r="BE37" s="23">
        <f>VALUE(1)</f>
        <v>1</v>
      </c>
      <c r="BF37" s="23">
        <f>VALUE(0)</f>
        <v>0</v>
      </c>
      <c r="BG37" s="23">
        <f>VALUE(0)</f>
        <v>0</v>
      </c>
      <c r="BH37" s="23">
        <f>VALUE(0)</f>
        <v>0</v>
      </c>
      <c r="BI37" s="23">
        <f>VALUE(0)</f>
        <v>0</v>
      </c>
      <c r="BJ37" s="23">
        <f>VALUE(0)</f>
        <v>0</v>
      </c>
      <c r="BK37" s="12">
        <f>$AX$37*24</f>
        <v>5.833333333333333</v>
      </c>
      <c r="BL37" s="12">
        <f>$AY$37*24</f>
        <v>8.1</v>
      </c>
      <c r="BM37" s="12">
        <f>$BJ$37*24</f>
        <v>0</v>
      </c>
      <c r="BN37" s="12">
        <f>VALUE($I$37)/100</f>
        <v>1</v>
      </c>
      <c r="BO37" s="12">
        <v>0</v>
      </c>
      <c r="BP37" s="12">
        <v>0</v>
      </c>
      <c r="BQ37" s="12">
        <v>0</v>
      </c>
      <c r="BR37" s="12">
        <v>0</v>
      </c>
      <c r="BS37" s="12">
        <v>0</v>
      </c>
      <c r="BT37" s="12">
        <v>0</v>
      </c>
      <c r="BU37" s="12">
        <v>0</v>
      </c>
      <c r="BV37" s="12">
        <v>0</v>
      </c>
      <c r="BW37" s="12">
        <v>0</v>
      </c>
      <c r="BX37" s="12">
        <v>0</v>
      </c>
      <c r="BY37" s="12">
        <v>0</v>
      </c>
      <c r="BZ37" s="12">
        <v>0</v>
      </c>
      <c r="CA37" s="12">
        <v>0</v>
      </c>
    </row>
    <row r="38" spans="1:79" hidden="1" x14ac:dyDescent="0.2">
      <c r="A38" s="12" t="s">
        <v>102</v>
      </c>
      <c r="B38" s="12" t="s">
        <v>105</v>
      </c>
      <c r="C38" s="12" t="s">
        <v>105</v>
      </c>
      <c r="D38" s="22" t="s">
        <v>229</v>
      </c>
      <c r="E38" s="22" t="s">
        <v>161</v>
      </c>
      <c r="F38" s="22" t="s">
        <v>644</v>
      </c>
      <c r="G38" s="22" t="s">
        <v>645</v>
      </c>
      <c r="H38" s="22" t="s">
        <v>150</v>
      </c>
      <c r="I38" s="22" t="s">
        <v>151</v>
      </c>
      <c r="J38" s="22" t="s">
        <v>181</v>
      </c>
      <c r="K38" s="22" t="s">
        <v>66</v>
      </c>
      <c r="L38" s="54" t="s">
        <v>153</v>
      </c>
      <c r="M38" s="28" t="s">
        <v>163</v>
      </c>
      <c r="N38" s="24" t="s">
        <v>153</v>
      </c>
      <c r="O38" s="23" t="s">
        <v>153</v>
      </c>
      <c r="P38" s="23" t="s">
        <v>153</v>
      </c>
      <c r="Q38" s="23" t="s">
        <v>153</v>
      </c>
      <c r="R38" s="23" t="s">
        <v>153</v>
      </c>
      <c r="S38" s="23" t="s">
        <v>153</v>
      </c>
      <c r="T38" s="24" t="s">
        <v>156</v>
      </c>
      <c r="U38" s="24" t="s">
        <v>153</v>
      </c>
      <c r="V38" s="54" t="s">
        <v>153</v>
      </c>
      <c r="W38" s="23" t="s">
        <v>153</v>
      </c>
      <c r="X38" s="23" t="s">
        <v>153</v>
      </c>
      <c r="Y38" s="23" t="s">
        <v>153</v>
      </c>
      <c r="Z38" s="23" t="s">
        <v>153</v>
      </c>
      <c r="AA38" s="24" t="s">
        <v>156</v>
      </c>
      <c r="AB38" s="24" t="s">
        <v>153</v>
      </c>
      <c r="AC38" s="23" t="s">
        <v>153</v>
      </c>
      <c r="AD38" s="23" t="s">
        <v>153</v>
      </c>
      <c r="AE38" s="23" t="s">
        <v>153</v>
      </c>
      <c r="AF38" s="23" t="s">
        <v>153</v>
      </c>
      <c r="AG38" s="23" t="s">
        <v>153</v>
      </c>
      <c r="AH38" s="23" t="s">
        <v>153</v>
      </c>
      <c r="AI38" s="24" t="s">
        <v>153</v>
      </c>
      <c r="AJ38" s="23" t="s">
        <v>153</v>
      </c>
      <c r="AK38" s="23" t="s">
        <v>153</v>
      </c>
      <c r="AL38" s="23" t="s">
        <v>153</v>
      </c>
      <c r="AM38" s="23" t="s">
        <v>153</v>
      </c>
      <c r="AN38" s="23" t="s">
        <v>153</v>
      </c>
      <c r="AO38" s="24" t="s">
        <v>156</v>
      </c>
      <c r="AP38" s="23">
        <f>VALUE(0)</f>
        <v>0</v>
      </c>
      <c r="AQ38" s="23">
        <f>VALUE(0)</f>
        <v>0</v>
      </c>
      <c r="AR38" s="23">
        <f>VALUE(0)</f>
        <v>0</v>
      </c>
      <c r="AS38" s="23">
        <f>VALUE(0)</f>
        <v>0</v>
      </c>
      <c r="AT38" s="23">
        <f>VALUE(0)</f>
        <v>0</v>
      </c>
      <c r="AU38" s="23">
        <f>VALUE(1)</f>
        <v>1</v>
      </c>
      <c r="AV38" s="23">
        <f>VALUE(9)</f>
        <v>9</v>
      </c>
      <c r="AW38" s="23">
        <f>VALUE(0)</f>
        <v>0</v>
      </c>
      <c r="AX38" s="23" t="s">
        <v>171</v>
      </c>
      <c r="AY38" s="23" t="s">
        <v>230</v>
      </c>
      <c r="AZ38" s="23">
        <f>VALUE(0)</f>
        <v>0</v>
      </c>
      <c r="BA38" s="23">
        <f>VALUE(0)</f>
        <v>0</v>
      </c>
      <c r="BB38" s="23">
        <f>VALUE(0)</f>
        <v>0</v>
      </c>
      <c r="BC38" s="23">
        <f>VALUE(0)</f>
        <v>0</v>
      </c>
      <c r="BD38" s="23">
        <f>VALUE(0)</f>
        <v>0</v>
      </c>
      <c r="BE38" s="23">
        <f>VALUE(0)</f>
        <v>0</v>
      </c>
      <c r="BF38" s="23">
        <f>VALUE(0)</f>
        <v>0</v>
      </c>
      <c r="BG38" s="23">
        <f>VALUE(0)</f>
        <v>0</v>
      </c>
      <c r="BH38" s="23">
        <f>VALUE(0)</f>
        <v>0</v>
      </c>
      <c r="BI38" s="23">
        <f>VALUE(0)</f>
        <v>0</v>
      </c>
      <c r="BJ38" s="23">
        <f>VALUE(0)</f>
        <v>0</v>
      </c>
      <c r="BK38" s="12">
        <f>$AX$38*24</f>
        <v>5.833333333333333</v>
      </c>
      <c r="BL38" s="12">
        <f>$AY$38*24</f>
        <v>2.3333333333333335</v>
      </c>
      <c r="BM38" s="12">
        <f>$BJ$38*24</f>
        <v>0</v>
      </c>
      <c r="BN38" s="12">
        <f>VALUE($I$38)/100</f>
        <v>1</v>
      </c>
      <c r="BO38" s="12">
        <v>0</v>
      </c>
      <c r="BP38" s="12">
        <v>0</v>
      </c>
      <c r="BQ38" s="12">
        <v>0</v>
      </c>
      <c r="BR38" s="12">
        <v>0</v>
      </c>
      <c r="BS38" s="12">
        <v>0</v>
      </c>
      <c r="BT38" s="12">
        <v>0</v>
      </c>
      <c r="BU38" s="12">
        <v>0</v>
      </c>
      <c r="BV38" s="12">
        <v>0</v>
      </c>
      <c r="BW38" s="12">
        <v>0</v>
      </c>
      <c r="BX38" s="12">
        <v>0</v>
      </c>
      <c r="BY38" s="12">
        <v>0</v>
      </c>
      <c r="BZ38" s="12">
        <v>0</v>
      </c>
      <c r="CA38" s="12">
        <v>0</v>
      </c>
    </row>
    <row r="39" spans="1:79" x14ac:dyDescent="0.2">
      <c r="A39" s="12" t="s">
        <v>102</v>
      </c>
      <c r="B39" s="12" t="s">
        <v>105</v>
      </c>
      <c r="C39" s="12" t="s">
        <v>105</v>
      </c>
      <c r="D39" s="22" t="s">
        <v>208</v>
      </c>
      <c r="E39" s="22" t="s">
        <v>161</v>
      </c>
      <c r="F39" s="22" t="s">
        <v>646</v>
      </c>
      <c r="G39" s="22" t="s">
        <v>647</v>
      </c>
      <c r="H39" s="22" t="s">
        <v>150</v>
      </c>
      <c r="I39" s="22" t="s">
        <v>151</v>
      </c>
      <c r="J39" s="22" t="s">
        <v>181</v>
      </c>
      <c r="K39" s="22" t="s">
        <v>66</v>
      </c>
      <c r="L39" s="54" t="s">
        <v>153</v>
      </c>
      <c r="M39" s="24" t="s">
        <v>156</v>
      </c>
      <c r="N39" s="24" t="s">
        <v>153</v>
      </c>
      <c r="O39" s="23" t="s">
        <v>153</v>
      </c>
      <c r="P39" s="23" t="s">
        <v>153</v>
      </c>
      <c r="Q39" s="23" t="s">
        <v>153</v>
      </c>
      <c r="R39" s="23" t="s">
        <v>153</v>
      </c>
      <c r="S39" s="33" t="s">
        <v>201</v>
      </c>
      <c r="T39" s="24" t="s">
        <v>156</v>
      </c>
      <c r="U39" s="24" t="s">
        <v>153</v>
      </c>
      <c r="V39" s="54" t="s">
        <v>153</v>
      </c>
      <c r="W39" s="23" t="s">
        <v>153</v>
      </c>
      <c r="X39" s="23" t="s">
        <v>153</v>
      </c>
      <c r="Y39" s="23" t="s">
        <v>153</v>
      </c>
      <c r="Z39" s="23" t="s">
        <v>153</v>
      </c>
      <c r="AA39" s="23" t="s">
        <v>153</v>
      </c>
      <c r="AB39" s="24" t="s">
        <v>153</v>
      </c>
      <c r="AC39" s="23" t="s">
        <v>153</v>
      </c>
      <c r="AD39" s="33" t="s">
        <v>201</v>
      </c>
      <c r="AE39" s="23" t="s">
        <v>153</v>
      </c>
      <c r="AF39" s="23" t="s">
        <v>153</v>
      </c>
      <c r="AG39" s="23" t="s">
        <v>153</v>
      </c>
      <c r="AH39" s="24" t="s">
        <v>156</v>
      </c>
      <c r="AI39" s="24" t="s">
        <v>153</v>
      </c>
      <c r="AJ39" s="28" t="s">
        <v>338</v>
      </c>
      <c r="AK39" s="28" t="s">
        <v>338</v>
      </c>
      <c r="AL39" s="28" t="s">
        <v>338</v>
      </c>
      <c r="AM39" s="23" t="s">
        <v>153</v>
      </c>
      <c r="AN39" s="23" t="s">
        <v>153</v>
      </c>
      <c r="AO39" s="24" t="s">
        <v>156</v>
      </c>
      <c r="AP39" s="23">
        <f>VALUE(0)</f>
        <v>0</v>
      </c>
      <c r="AQ39" s="23">
        <f>VALUE(0)</f>
        <v>0</v>
      </c>
      <c r="AR39" s="23">
        <f>VALUE(0)</f>
        <v>0</v>
      </c>
      <c r="AS39" s="23">
        <f>VALUE(0)</f>
        <v>0</v>
      </c>
      <c r="AT39" s="23">
        <f>VALUE(3)</f>
        <v>3</v>
      </c>
      <c r="AU39" s="23">
        <f>VALUE(0)</f>
        <v>0</v>
      </c>
      <c r="AV39" s="23">
        <f>VALUE(12)</f>
        <v>12</v>
      </c>
      <c r="AW39" s="23">
        <f>VALUE(0)</f>
        <v>0</v>
      </c>
      <c r="AX39" s="23" t="s">
        <v>171</v>
      </c>
      <c r="AY39" s="23" t="s">
        <v>1179</v>
      </c>
      <c r="AZ39" s="23">
        <f>VALUE(0)</f>
        <v>0</v>
      </c>
      <c r="BA39" s="23">
        <f>VALUE(0)</f>
        <v>0</v>
      </c>
      <c r="BB39" s="23">
        <f>VALUE(2)</f>
        <v>2</v>
      </c>
      <c r="BC39" s="23">
        <f>VALUE(0)</f>
        <v>0</v>
      </c>
      <c r="BD39" s="23">
        <f>VALUE(0)</f>
        <v>0</v>
      </c>
      <c r="BE39" s="23">
        <f>VALUE(0)</f>
        <v>0</v>
      </c>
      <c r="BF39" s="23">
        <f>VALUE(0)</f>
        <v>0</v>
      </c>
      <c r="BG39" s="23">
        <f>VALUE(0)</f>
        <v>0</v>
      </c>
      <c r="BH39" s="23">
        <f>VALUE(0)</f>
        <v>0</v>
      </c>
      <c r="BI39" s="23">
        <f>VALUE(0)</f>
        <v>0</v>
      </c>
      <c r="BJ39" s="23">
        <f>VALUE(0)</f>
        <v>0</v>
      </c>
      <c r="BK39" s="12">
        <f>$AX$39*24</f>
        <v>5.833333333333333</v>
      </c>
      <c r="BL39" s="12">
        <f>$AY$39*24</f>
        <v>13.7</v>
      </c>
      <c r="BM39" s="12">
        <f>$BJ$39*24</f>
        <v>0</v>
      </c>
      <c r="BN39" s="12">
        <f>VALUE($I$39)/100</f>
        <v>1</v>
      </c>
      <c r="BO39" s="12">
        <v>0</v>
      </c>
      <c r="BP39" s="12">
        <v>0</v>
      </c>
      <c r="BQ39" s="12">
        <v>0</v>
      </c>
      <c r="BR39" s="12">
        <v>0</v>
      </c>
      <c r="BS39" s="12">
        <v>0</v>
      </c>
      <c r="BT39" s="12">
        <v>0</v>
      </c>
      <c r="BU39" s="12">
        <v>0</v>
      </c>
      <c r="BV39" s="12">
        <v>0</v>
      </c>
      <c r="BW39" s="12">
        <v>0</v>
      </c>
      <c r="BX39" s="12">
        <v>0</v>
      </c>
      <c r="BY39" s="12">
        <v>3</v>
      </c>
      <c r="BZ39" s="12">
        <v>0</v>
      </c>
      <c r="CA39" s="12">
        <v>0</v>
      </c>
    </row>
    <row r="40" spans="1:79" hidden="1" x14ac:dyDescent="0.2">
      <c r="A40" s="12" t="s">
        <v>102</v>
      </c>
      <c r="B40" s="12" t="s">
        <v>105</v>
      </c>
      <c r="C40" s="12" t="s">
        <v>105</v>
      </c>
      <c r="D40" s="22" t="s">
        <v>232</v>
      </c>
      <c r="E40" s="22" t="s">
        <v>161</v>
      </c>
      <c r="F40" s="22" t="s">
        <v>648</v>
      </c>
      <c r="G40" s="22" t="s">
        <v>649</v>
      </c>
      <c r="H40" s="22" t="s">
        <v>150</v>
      </c>
      <c r="I40" s="22" t="s">
        <v>151</v>
      </c>
      <c r="J40" s="22" t="s">
        <v>181</v>
      </c>
      <c r="K40" s="22" t="s">
        <v>66</v>
      </c>
      <c r="L40" s="54" t="s">
        <v>153</v>
      </c>
      <c r="M40" s="24" t="s">
        <v>156</v>
      </c>
      <c r="N40" s="24" t="s">
        <v>153</v>
      </c>
      <c r="O40" s="23" t="s">
        <v>153</v>
      </c>
      <c r="P40" s="23" t="s">
        <v>153</v>
      </c>
      <c r="Q40" s="23" t="s">
        <v>153</v>
      </c>
      <c r="R40" s="23" t="s">
        <v>153</v>
      </c>
      <c r="S40" s="23" t="s">
        <v>153</v>
      </c>
      <c r="T40" s="24" t="s">
        <v>156</v>
      </c>
      <c r="U40" s="24" t="s">
        <v>153</v>
      </c>
      <c r="V40" s="54" t="s">
        <v>153</v>
      </c>
      <c r="W40" s="23" t="s">
        <v>153</v>
      </c>
      <c r="X40" s="23" t="s">
        <v>153</v>
      </c>
      <c r="Y40" s="23" t="s">
        <v>153</v>
      </c>
      <c r="Z40" s="23" t="s">
        <v>153</v>
      </c>
      <c r="AA40" s="23" t="s">
        <v>153</v>
      </c>
      <c r="AB40" s="24" t="s">
        <v>153</v>
      </c>
      <c r="AC40" s="23" t="s">
        <v>153</v>
      </c>
      <c r="AD40" s="23" t="s">
        <v>153</v>
      </c>
      <c r="AE40" s="23" t="s">
        <v>153</v>
      </c>
      <c r="AF40" s="23" t="s">
        <v>153</v>
      </c>
      <c r="AG40" s="23" t="s">
        <v>153</v>
      </c>
      <c r="AH40" s="24" t="s">
        <v>156</v>
      </c>
      <c r="AI40" s="24" t="s">
        <v>153</v>
      </c>
      <c r="AJ40" s="23" t="s">
        <v>153</v>
      </c>
      <c r="AK40" s="23" t="s">
        <v>153</v>
      </c>
      <c r="AL40" s="23" t="s">
        <v>153</v>
      </c>
      <c r="AM40" s="23" t="s">
        <v>153</v>
      </c>
      <c r="AN40" s="23" t="s">
        <v>153</v>
      </c>
      <c r="AO40" s="24" t="s">
        <v>156</v>
      </c>
      <c r="AP40" s="23">
        <f>VALUE(0)</f>
        <v>0</v>
      </c>
      <c r="AQ40" s="23">
        <f>VALUE(0)</f>
        <v>0</v>
      </c>
      <c r="AR40" s="23">
        <f>VALUE(0)</f>
        <v>0</v>
      </c>
      <c r="AS40" s="23">
        <f>VALUE(0)</f>
        <v>0</v>
      </c>
      <c r="AT40" s="23">
        <f>VALUE(0)</f>
        <v>0</v>
      </c>
      <c r="AU40" s="23">
        <f>VALUE(0)</f>
        <v>0</v>
      </c>
      <c r="AV40" s="23">
        <f>VALUE(7)</f>
        <v>7</v>
      </c>
      <c r="AW40" s="23">
        <f>VALUE(0)</f>
        <v>0</v>
      </c>
      <c r="AX40" s="23" t="s">
        <v>171</v>
      </c>
      <c r="AY40" s="23" t="s">
        <v>233</v>
      </c>
      <c r="AZ40" s="23">
        <f>VALUE(0)</f>
        <v>0</v>
      </c>
      <c r="BA40" s="23">
        <f>VALUE(0)</f>
        <v>0</v>
      </c>
      <c r="BB40" s="23">
        <f>VALUE(0)</f>
        <v>0</v>
      </c>
      <c r="BC40" s="23">
        <f>VALUE(0)</f>
        <v>0</v>
      </c>
      <c r="BD40" s="23">
        <f>VALUE(0)</f>
        <v>0</v>
      </c>
      <c r="BE40" s="23">
        <f>VALUE(0)</f>
        <v>0</v>
      </c>
      <c r="BF40" s="23">
        <f>VALUE(0)</f>
        <v>0</v>
      </c>
      <c r="BG40" s="23">
        <f>VALUE(0)</f>
        <v>0</v>
      </c>
      <c r="BH40" s="23">
        <f>VALUE(0)</f>
        <v>0</v>
      </c>
      <c r="BI40" s="23">
        <f>VALUE(0)</f>
        <v>0</v>
      </c>
      <c r="BJ40" s="23">
        <f>VALUE(0)</f>
        <v>0</v>
      </c>
      <c r="BK40" s="12">
        <f>$AX$40*24</f>
        <v>5.833333333333333</v>
      </c>
      <c r="BL40" s="12">
        <f>$AY$40*24</f>
        <v>20.6</v>
      </c>
      <c r="BM40" s="12">
        <f>$BJ$40*24</f>
        <v>0</v>
      </c>
      <c r="BN40" s="12">
        <f>VALUE($I$40)/100</f>
        <v>1</v>
      </c>
      <c r="BO40" s="12">
        <v>0</v>
      </c>
      <c r="BP40" s="12">
        <v>0</v>
      </c>
      <c r="BQ40" s="12">
        <v>0</v>
      </c>
      <c r="BR40" s="12">
        <v>0</v>
      </c>
      <c r="BS40" s="12">
        <v>0</v>
      </c>
      <c r="BT40" s="12">
        <v>0</v>
      </c>
      <c r="BU40" s="12">
        <v>0</v>
      </c>
      <c r="BV40" s="12">
        <v>0</v>
      </c>
      <c r="BW40" s="12">
        <v>0</v>
      </c>
      <c r="BX40" s="12">
        <v>0</v>
      </c>
      <c r="BY40" s="12">
        <v>0</v>
      </c>
      <c r="BZ40" s="12">
        <v>0</v>
      </c>
      <c r="CA40" s="12">
        <v>0</v>
      </c>
    </row>
    <row r="41" spans="1:79" hidden="1" x14ac:dyDescent="0.2">
      <c r="A41" s="12" t="s">
        <v>102</v>
      </c>
      <c r="B41" s="12" t="s">
        <v>105</v>
      </c>
      <c r="C41" s="12" t="s">
        <v>105</v>
      </c>
      <c r="D41" s="22" t="s">
        <v>234</v>
      </c>
      <c r="E41" s="22" t="s">
        <v>161</v>
      </c>
      <c r="F41" s="22" t="s">
        <v>650</v>
      </c>
      <c r="G41" s="22" t="s">
        <v>651</v>
      </c>
      <c r="H41" s="22" t="s">
        <v>166</v>
      </c>
      <c r="I41" s="22" t="s">
        <v>151</v>
      </c>
      <c r="J41" s="22" t="s">
        <v>181</v>
      </c>
      <c r="K41" s="22" t="s">
        <v>66</v>
      </c>
      <c r="L41" s="54" t="s">
        <v>153</v>
      </c>
      <c r="M41" s="24" t="s">
        <v>156</v>
      </c>
      <c r="N41" s="24" t="s">
        <v>153</v>
      </c>
      <c r="O41" s="23" t="s">
        <v>153</v>
      </c>
      <c r="P41" s="23" t="s">
        <v>153</v>
      </c>
      <c r="Q41" s="23" t="s">
        <v>153</v>
      </c>
      <c r="R41" s="23" t="s">
        <v>153</v>
      </c>
      <c r="S41" s="23" t="s">
        <v>153</v>
      </c>
      <c r="T41" s="23" t="s">
        <v>153</v>
      </c>
      <c r="U41" s="24" t="s">
        <v>153</v>
      </c>
      <c r="V41" s="54" t="s">
        <v>153</v>
      </c>
      <c r="W41" s="23" t="s">
        <v>153</v>
      </c>
      <c r="X41" s="23" t="s">
        <v>153</v>
      </c>
      <c r="Y41" s="23" t="s">
        <v>153</v>
      </c>
      <c r="Z41" s="23" t="s">
        <v>153</v>
      </c>
      <c r="AA41" s="24" t="s">
        <v>156</v>
      </c>
      <c r="AB41" s="24" t="s">
        <v>153</v>
      </c>
      <c r="AC41" s="23" t="s">
        <v>153</v>
      </c>
      <c r="AD41" s="23" t="s">
        <v>153</v>
      </c>
      <c r="AE41" s="23" t="s">
        <v>153</v>
      </c>
      <c r="AF41" s="23" t="s">
        <v>153</v>
      </c>
      <c r="AG41" s="23" t="s">
        <v>153</v>
      </c>
      <c r="AH41" s="24" t="s">
        <v>156</v>
      </c>
      <c r="AI41" s="24" t="s">
        <v>153</v>
      </c>
      <c r="AJ41" s="23" t="s">
        <v>153</v>
      </c>
      <c r="AK41" s="23" t="s">
        <v>153</v>
      </c>
      <c r="AL41" s="23" t="s">
        <v>153</v>
      </c>
      <c r="AM41" s="23" t="s">
        <v>153</v>
      </c>
      <c r="AN41" s="23" t="s">
        <v>153</v>
      </c>
      <c r="AO41" s="23" t="s">
        <v>153</v>
      </c>
      <c r="AP41" s="23">
        <f>VALUE(0)</f>
        <v>0</v>
      </c>
      <c r="AQ41" s="23">
        <f>VALUE(0)</f>
        <v>0</v>
      </c>
      <c r="AR41" s="23">
        <f>VALUE(0)</f>
        <v>0</v>
      </c>
      <c r="AS41" s="23">
        <f>VALUE(0)</f>
        <v>0</v>
      </c>
      <c r="AT41" s="23">
        <f>VALUE(0)</f>
        <v>0</v>
      </c>
      <c r="AU41" s="23">
        <f>VALUE(0)</f>
        <v>0</v>
      </c>
      <c r="AV41" s="23">
        <f>VALUE(8)</f>
        <v>8</v>
      </c>
      <c r="AW41" s="23">
        <f>VALUE(0)</f>
        <v>0</v>
      </c>
      <c r="AX41" s="23" t="s">
        <v>1180</v>
      </c>
      <c r="AY41" s="23">
        <f>VALUE(0)</f>
        <v>0</v>
      </c>
      <c r="AZ41" s="23">
        <f>VALUE(0)</f>
        <v>0</v>
      </c>
      <c r="BA41" s="23">
        <f>VALUE(0)</f>
        <v>0</v>
      </c>
      <c r="BB41" s="23">
        <f>VALUE(0)</f>
        <v>0</v>
      </c>
      <c r="BC41" s="23">
        <f>VALUE(0)</f>
        <v>0</v>
      </c>
      <c r="BD41" s="23">
        <f>VALUE(0)</f>
        <v>0</v>
      </c>
      <c r="BE41" s="23">
        <f>VALUE(0)</f>
        <v>0</v>
      </c>
      <c r="BF41" s="23">
        <f>VALUE(0)</f>
        <v>0</v>
      </c>
      <c r="BG41" s="23">
        <f>VALUE(0)</f>
        <v>0</v>
      </c>
      <c r="BH41" s="23">
        <f>VALUE(0)</f>
        <v>0</v>
      </c>
      <c r="BI41" s="23">
        <f>VALUE(0)</f>
        <v>0</v>
      </c>
      <c r="BJ41" s="23">
        <f>VALUE(0)</f>
        <v>0</v>
      </c>
      <c r="BK41" s="12">
        <f>$AX$41*24</f>
        <v>10.383333333333333</v>
      </c>
      <c r="BL41" s="12">
        <f>$AY$41*24</f>
        <v>0</v>
      </c>
      <c r="BM41" s="12">
        <f>$BJ$41*24</f>
        <v>0</v>
      </c>
      <c r="BN41" s="12">
        <f>VALUE($I$41)/100</f>
        <v>1</v>
      </c>
      <c r="BO41" s="12">
        <v>0</v>
      </c>
      <c r="BP41" s="12">
        <v>0</v>
      </c>
      <c r="BQ41" s="12">
        <v>0</v>
      </c>
      <c r="BR41" s="12">
        <v>0</v>
      </c>
      <c r="BS41" s="12">
        <v>0</v>
      </c>
      <c r="BT41" s="12">
        <v>0</v>
      </c>
      <c r="BU41" s="12">
        <v>0</v>
      </c>
      <c r="BV41" s="12">
        <v>0</v>
      </c>
      <c r="BW41" s="12">
        <v>0</v>
      </c>
      <c r="BX41" s="12">
        <v>0</v>
      </c>
      <c r="BY41" s="12">
        <v>0</v>
      </c>
      <c r="BZ41" s="12">
        <v>0</v>
      </c>
      <c r="CA41" s="12">
        <v>0</v>
      </c>
    </row>
    <row r="42" spans="1:79" hidden="1" x14ac:dyDescent="0.2">
      <c r="A42" s="12" t="s">
        <v>102</v>
      </c>
      <c r="B42" s="12" t="s">
        <v>105</v>
      </c>
      <c r="C42" s="12" t="s">
        <v>105</v>
      </c>
      <c r="D42" s="22" t="s">
        <v>231</v>
      </c>
      <c r="E42" s="22" t="s">
        <v>161</v>
      </c>
      <c r="F42" s="22" t="s">
        <v>652</v>
      </c>
      <c r="G42" s="22" t="s">
        <v>653</v>
      </c>
      <c r="H42" s="22" t="s">
        <v>150</v>
      </c>
      <c r="I42" s="22" t="s">
        <v>151</v>
      </c>
      <c r="J42" s="22" t="s">
        <v>181</v>
      </c>
      <c r="K42" s="22" t="s">
        <v>66</v>
      </c>
      <c r="L42" s="54" t="s">
        <v>153</v>
      </c>
      <c r="M42" s="24" t="s">
        <v>156</v>
      </c>
      <c r="N42" s="24" t="s">
        <v>153</v>
      </c>
      <c r="O42" s="28" t="s">
        <v>163</v>
      </c>
      <c r="P42" s="28" t="s">
        <v>163</v>
      </c>
      <c r="Q42" s="28" t="s">
        <v>163</v>
      </c>
      <c r="R42" s="28" t="s">
        <v>163</v>
      </c>
      <c r="S42" s="28" t="s">
        <v>163</v>
      </c>
      <c r="T42" s="28" t="s">
        <v>163</v>
      </c>
      <c r="U42" s="24" t="s">
        <v>153</v>
      </c>
      <c r="V42" s="54" t="s">
        <v>153</v>
      </c>
      <c r="W42" s="23" t="s">
        <v>153</v>
      </c>
      <c r="X42" s="23" t="s">
        <v>153</v>
      </c>
      <c r="Y42" s="23" t="s">
        <v>153</v>
      </c>
      <c r="Z42" s="23" t="s">
        <v>153</v>
      </c>
      <c r="AA42" s="24" t="s">
        <v>156</v>
      </c>
      <c r="AB42" s="24" t="s">
        <v>153</v>
      </c>
      <c r="AC42" s="23" t="s">
        <v>153</v>
      </c>
      <c r="AD42" s="23" t="s">
        <v>153</v>
      </c>
      <c r="AE42" s="23" t="s">
        <v>153</v>
      </c>
      <c r="AF42" s="23" t="s">
        <v>153</v>
      </c>
      <c r="AG42" s="23" t="s">
        <v>153</v>
      </c>
      <c r="AH42" s="24" t="s">
        <v>156</v>
      </c>
      <c r="AI42" s="24" t="s">
        <v>153</v>
      </c>
      <c r="AJ42" s="23" t="s">
        <v>153</v>
      </c>
      <c r="AK42" s="23" t="s">
        <v>153</v>
      </c>
      <c r="AL42" s="23" t="s">
        <v>153</v>
      </c>
      <c r="AM42" s="23" t="s">
        <v>153</v>
      </c>
      <c r="AN42" s="23" t="s">
        <v>153</v>
      </c>
      <c r="AO42" s="23" t="s">
        <v>153</v>
      </c>
      <c r="AP42" s="23">
        <f>VALUE(0)</f>
        <v>0</v>
      </c>
      <c r="AQ42" s="23">
        <f>VALUE(0)</f>
        <v>0</v>
      </c>
      <c r="AR42" s="23">
        <f>VALUE(0)</f>
        <v>0</v>
      </c>
      <c r="AS42" s="23">
        <f>VALUE(0)</f>
        <v>0</v>
      </c>
      <c r="AT42" s="23">
        <f>VALUE(0)</f>
        <v>0</v>
      </c>
      <c r="AU42" s="23">
        <f>VALUE(6)</f>
        <v>6</v>
      </c>
      <c r="AV42" s="23">
        <f>VALUE(6)</f>
        <v>6</v>
      </c>
      <c r="AW42" s="23">
        <f>VALUE(0)</f>
        <v>0</v>
      </c>
      <c r="AX42" s="23">
        <f>VALUE(0)</f>
        <v>0</v>
      </c>
      <c r="AY42" s="23" t="s">
        <v>235</v>
      </c>
      <c r="AZ42" s="23">
        <f>VALUE(0)</f>
        <v>0</v>
      </c>
      <c r="BA42" s="23">
        <f>VALUE(0)</f>
        <v>0</v>
      </c>
      <c r="BB42" s="23">
        <f>VALUE(0)</f>
        <v>0</v>
      </c>
      <c r="BC42" s="23">
        <f>VALUE(0)</f>
        <v>0</v>
      </c>
      <c r="BD42" s="23">
        <f>VALUE(0)</f>
        <v>0</v>
      </c>
      <c r="BE42" s="23">
        <f>VALUE(0)</f>
        <v>0</v>
      </c>
      <c r="BF42" s="23">
        <f>VALUE(0)</f>
        <v>0</v>
      </c>
      <c r="BG42" s="23">
        <f>VALUE(0)</f>
        <v>0</v>
      </c>
      <c r="BH42" s="23">
        <f>VALUE(0)</f>
        <v>0</v>
      </c>
      <c r="BI42" s="23">
        <f>VALUE(0)</f>
        <v>0</v>
      </c>
      <c r="BJ42" s="23">
        <f>VALUE(0)</f>
        <v>0</v>
      </c>
      <c r="BK42" s="12">
        <f>$AX$42*24</f>
        <v>0</v>
      </c>
      <c r="BL42" s="12">
        <f>$AY$42*24</f>
        <v>2.8</v>
      </c>
      <c r="BM42" s="12">
        <f>$BJ$42*24</f>
        <v>0</v>
      </c>
      <c r="BN42" s="12">
        <f>VALUE($I$42)/100</f>
        <v>1</v>
      </c>
      <c r="BO42" s="12">
        <v>0</v>
      </c>
      <c r="BP42" s="12">
        <v>0</v>
      </c>
      <c r="BQ42" s="12">
        <v>0</v>
      </c>
      <c r="BR42" s="12">
        <v>0</v>
      </c>
      <c r="BS42" s="12">
        <v>0</v>
      </c>
      <c r="BT42" s="12">
        <v>0</v>
      </c>
      <c r="BU42" s="12">
        <v>0</v>
      </c>
      <c r="BV42" s="12">
        <v>0</v>
      </c>
      <c r="BW42" s="12">
        <v>0</v>
      </c>
      <c r="BX42" s="12">
        <v>0</v>
      </c>
      <c r="BY42" s="12">
        <v>0</v>
      </c>
      <c r="BZ42" s="12">
        <v>0</v>
      </c>
      <c r="CA42" s="12">
        <v>0</v>
      </c>
    </row>
    <row r="43" spans="1:79" hidden="1" x14ac:dyDescent="0.2">
      <c r="A43" s="12" t="s">
        <v>102</v>
      </c>
      <c r="B43" s="12" t="s">
        <v>105</v>
      </c>
      <c r="C43" s="12" t="s">
        <v>105</v>
      </c>
      <c r="D43" s="22" t="s">
        <v>209</v>
      </c>
      <c r="E43" s="22" t="s">
        <v>161</v>
      </c>
      <c r="F43" s="22" t="s">
        <v>654</v>
      </c>
      <c r="G43" s="22" t="s">
        <v>655</v>
      </c>
      <c r="H43" s="22" t="s">
        <v>166</v>
      </c>
      <c r="I43" s="22" t="s">
        <v>151</v>
      </c>
      <c r="J43" s="22" t="s">
        <v>181</v>
      </c>
      <c r="K43" s="22" t="s">
        <v>66</v>
      </c>
      <c r="L43" s="54" t="s">
        <v>153</v>
      </c>
      <c r="M43" s="24" t="s">
        <v>156</v>
      </c>
      <c r="N43" s="24" t="s">
        <v>153</v>
      </c>
      <c r="O43" s="23" t="s">
        <v>153</v>
      </c>
      <c r="P43" s="23" t="s">
        <v>153</v>
      </c>
      <c r="Q43" s="23" t="s">
        <v>153</v>
      </c>
      <c r="R43" s="23" t="s">
        <v>153</v>
      </c>
      <c r="S43" s="23" t="s">
        <v>153</v>
      </c>
      <c r="T43" s="23" t="s">
        <v>153</v>
      </c>
      <c r="U43" s="24" t="s">
        <v>153</v>
      </c>
      <c r="V43" s="54" t="s">
        <v>153</v>
      </c>
      <c r="W43" s="23" t="s">
        <v>153</v>
      </c>
      <c r="X43" s="23" t="s">
        <v>153</v>
      </c>
      <c r="Y43" s="23" t="s">
        <v>153</v>
      </c>
      <c r="Z43" s="23" t="s">
        <v>153</v>
      </c>
      <c r="AA43" s="24" t="s">
        <v>156</v>
      </c>
      <c r="AB43" s="24" t="s">
        <v>153</v>
      </c>
      <c r="AC43" s="23" t="s">
        <v>153</v>
      </c>
      <c r="AD43" s="23" t="s">
        <v>153</v>
      </c>
      <c r="AE43" s="23" t="s">
        <v>153</v>
      </c>
      <c r="AF43" s="23" t="s">
        <v>153</v>
      </c>
      <c r="AG43" s="23" t="s">
        <v>153</v>
      </c>
      <c r="AH43" s="24" t="s">
        <v>156</v>
      </c>
      <c r="AI43" s="24" t="s">
        <v>153</v>
      </c>
      <c r="AJ43" s="23" t="s">
        <v>153</v>
      </c>
      <c r="AK43" s="23" t="s">
        <v>153</v>
      </c>
      <c r="AL43" s="23" t="s">
        <v>153</v>
      </c>
      <c r="AM43" s="23" t="s">
        <v>153</v>
      </c>
      <c r="AN43" s="23" t="s">
        <v>153</v>
      </c>
      <c r="AO43" s="23" t="s">
        <v>153</v>
      </c>
      <c r="AP43" s="23">
        <f>VALUE(0)</f>
        <v>0</v>
      </c>
      <c r="AQ43" s="23">
        <f>VALUE(0)</f>
        <v>0</v>
      </c>
      <c r="AR43" s="23">
        <f>VALUE(0)</f>
        <v>0</v>
      </c>
      <c r="AS43" s="23">
        <f>VALUE(0)</f>
        <v>0</v>
      </c>
      <c r="AT43" s="23">
        <f>VALUE(0)</f>
        <v>0</v>
      </c>
      <c r="AU43" s="23">
        <f>VALUE(0)</f>
        <v>0</v>
      </c>
      <c r="AV43" s="23">
        <f>VALUE(8.5)</f>
        <v>8.5</v>
      </c>
      <c r="AW43" s="23">
        <f>VALUE(0)</f>
        <v>0</v>
      </c>
      <c r="AX43" s="23" t="s">
        <v>236</v>
      </c>
      <c r="AY43" s="23">
        <f>VALUE(0)</f>
        <v>0</v>
      </c>
      <c r="AZ43" s="23">
        <f>VALUE(0)</f>
        <v>0</v>
      </c>
      <c r="BA43" s="23">
        <f>VALUE(0)</f>
        <v>0</v>
      </c>
      <c r="BB43" s="23">
        <f>VALUE(0)</f>
        <v>0</v>
      </c>
      <c r="BC43" s="23">
        <f>VALUE(0)</f>
        <v>0</v>
      </c>
      <c r="BD43" s="23">
        <f>VALUE(0)</f>
        <v>0</v>
      </c>
      <c r="BE43" s="23">
        <f>VALUE(0)</f>
        <v>0</v>
      </c>
      <c r="BF43" s="23">
        <f>VALUE(0)</f>
        <v>0</v>
      </c>
      <c r="BG43" s="23">
        <f>VALUE(0)</f>
        <v>0</v>
      </c>
      <c r="BH43" s="23">
        <f>VALUE(0)</f>
        <v>0</v>
      </c>
      <c r="BI43" s="23">
        <f>VALUE(0)</f>
        <v>0</v>
      </c>
      <c r="BJ43" s="23">
        <f>VALUE(0)</f>
        <v>0</v>
      </c>
      <c r="BK43" s="12">
        <f>$AX$43*24</f>
        <v>12.666666666666668</v>
      </c>
      <c r="BL43" s="12">
        <f>$AY$43*24</f>
        <v>0</v>
      </c>
      <c r="BM43" s="12">
        <f>$BJ$43*24</f>
        <v>0</v>
      </c>
      <c r="BN43" s="12">
        <f>VALUE($I$43)/100</f>
        <v>1</v>
      </c>
      <c r="BO43" s="12">
        <v>0</v>
      </c>
      <c r="BP43" s="12">
        <v>0</v>
      </c>
      <c r="BQ43" s="12">
        <v>0</v>
      </c>
      <c r="BR43" s="12">
        <v>0</v>
      </c>
      <c r="BS43" s="12">
        <v>0</v>
      </c>
      <c r="BT43" s="12">
        <v>0</v>
      </c>
      <c r="BU43" s="12">
        <v>0</v>
      </c>
      <c r="BV43" s="12">
        <v>0</v>
      </c>
      <c r="BW43" s="12">
        <v>0</v>
      </c>
      <c r="BX43" s="12">
        <v>0</v>
      </c>
      <c r="BY43" s="12">
        <v>0</v>
      </c>
      <c r="BZ43" s="12">
        <v>0</v>
      </c>
      <c r="CA43" s="12">
        <v>0</v>
      </c>
    </row>
    <row r="44" spans="1:79" ht="16.5" hidden="1" x14ac:dyDescent="0.2">
      <c r="A44" s="12" t="s">
        <v>102</v>
      </c>
      <c r="B44" s="12" t="s">
        <v>105</v>
      </c>
      <c r="C44" s="12" t="s">
        <v>105</v>
      </c>
      <c r="D44" s="22" t="s">
        <v>237</v>
      </c>
      <c r="E44" s="22" t="s">
        <v>173</v>
      </c>
      <c r="F44" s="22" t="s">
        <v>656</v>
      </c>
      <c r="G44" s="22" t="s">
        <v>657</v>
      </c>
      <c r="H44" s="22" t="s">
        <v>166</v>
      </c>
      <c r="I44" s="22" t="s">
        <v>151</v>
      </c>
      <c r="J44" s="22" t="s">
        <v>181</v>
      </c>
      <c r="K44" s="22" t="s">
        <v>66</v>
      </c>
      <c r="L44" s="54" t="s">
        <v>153</v>
      </c>
      <c r="M44" s="34" t="s">
        <v>229</v>
      </c>
      <c r="N44" s="24" t="s">
        <v>153</v>
      </c>
      <c r="O44" s="23" t="s">
        <v>231</v>
      </c>
      <c r="P44" s="23" t="s">
        <v>231</v>
      </c>
      <c r="Q44" s="23" t="s">
        <v>231</v>
      </c>
      <c r="R44" s="23" t="s">
        <v>231</v>
      </c>
      <c r="S44" s="23" t="s">
        <v>231</v>
      </c>
      <c r="T44" s="23" t="s">
        <v>231</v>
      </c>
      <c r="U44" s="24" t="s">
        <v>153</v>
      </c>
      <c r="V44" s="54" t="s">
        <v>153</v>
      </c>
      <c r="W44" s="26" t="s">
        <v>1181</v>
      </c>
      <c r="X44" s="26" t="s">
        <v>1181</v>
      </c>
      <c r="Y44" s="33" t="s">
        <v>201</v>
      </c>
      <c r="Z44" s="26" t="s">
        <v>1181</v>
      </c>
      <c r="AA44" s="24" t="s">
        <v>156</v>
      </c>
      <c r="AB44" s="24" t="s">
        <v>153</v>
      </c>
      <c r="AC44" s="26" t="s">
        <v>1181</v>
      </c>
      <c r="AD44" s="26" t="s">
        <v>1181</v>
      </c>
      <c r="AE44" s="26" t="s">
        <v>1181</v>
      </c>
      <c r="AF44" s="26" t="s">
        <v>1181</v>
      </c>
      <c r="AG44" s="26" t="s">
        <v>1181</v>
      </c>
      <c r="AH44" s="24" t="s">
        <v>156</v>
      </c>
      <c r="AI44" s="24" t="s">
        <v>153</v>
      </c>
      <c r="AJ44" s="28" t="s">
        <v>163</v>
      </c>
      <c r="AK44" s="28" t="s">
        <v>163</v>
      </c>
      <c r="AL44" s="28" t="s">
        <v>163</v>
      </c>
      <c r="AM44" s="28" t="s">
        <v>163</v>
      </c>
      <c r="AN44" s="28" t="s">
        <v>163</v>
      </c>
      <c r="AO44" s="28" t="s">
        <v>163</v>
      </c>
      <c r="AP44" s="23">
        <f>VALUE(4)</f>
        <v>4</v>
      </c>
      <c r="AQ44" s="23">
        <f>VALUE(0)</f>
        <v>0</v>
      </c>
      <c r="AR44" s="23">
        <f>VALUE(0)</f>
        <v>0</v>
      </c>
      <c r="AS44" s="23">
        <f>VALUE(0)</f>
        <v>0</v>
      </c>
      <c r="AT44" s="23">
        <f>VALUE(0)</f>
        <v>0</v>
      </c>
      <c r="AU44" s="23">
        <f>VALUE(6)</f>
        <v>6</v>
      </c>
      <c r="AV44" s="23">
        <f>VALUE(6.5)</f>
        <v>6.5</v>
      </c>
      <c r="AW44" s="23">
        <f>VALUE(0)</f>
        <v>0</v>
      </c>
      <c r="AX44" s="23" t="s">
        <v>1182</v>
      </c>
      <c r="AY44" s="23">
        <f>VALUE(0)</f>
        <v>0</v>
      </c>
      <c r="AZ44" s="23">
        <f>VALUE(0)</f>
        <v>0</v>
      </c>
      <c r="BA44" s="23">
        <f>VALUE(0)</f>
        <v>0</v>
      </c>
      <c r="BB44" s="23">
        <f>VALUE(1)</f>
        <v>1</v>
      </c>
      <c r="BC44" s="23">
        <f>VALUE(0)</f>
        <v>0</v>
      </c>
      <c r="BD44" s="23">
        <f>VALUE(0)</f>
        <v>0</v>
      </c>
      <c r="BE44" s="23">
        <f>VALUE(0)</f>
        <v>0</v>
      </c>
      <c r="BF44" s="23">
        <f>VALUE(0)</f>
        <v>0</v>
      </c>
      <c r="BG44" s="23">
        <f>VALUE(0)</f>
        <v>0</v>
      </c>
      <c r="BH44" s="23">
        <f>VALUE(0)</f>
        <v>0</v>
      </c>
      <c r="BI44" s="23">
        <f>VALUE(0)</f>
        <v>0</v>
      </c>
      <c r="BJ44" s="23">
        <f>VALUE(0)</f>
        <v>0</v>
      </c>
      <c r="BK44" s="12">
        <f>$AX$44*24</f>
        <v>78.11666666666666</v>
      </c>
      <c r="BL44" s="12">
        <f>$AY$44*24</f>
        <v>0</v>
      </c>
      <c r="BM44" s="12">
        <f>$BJ$44*24</f>
        <v>0</v>
      </c>
      <c r="BN44" s="12">
        <f>VALUE($I$44)/100</f>
        <v>1</v>
      </c>
      <c r="BO44" s="12">
        <v>0</v>
      </c>
      <c r="BP44" s="12">
        <v>0</v>
      </c>
      <c r="BQ44" s="12">
        <v>0</v>
      </c>
      <c r="BR44" s="12">
        <v>0</v>
      </c>
      <c r="BS44" s="12">
        <v>0</v>
      </c>
      <c r="BT44" s="12">
        <v>0</v>
      </c>
      <c r="BU44" s="12">
        <v>0</v>
      </c>
      <c r="BV44" s="12">
        <v>0</v>
      </c>
      <c r="BW44" s="12">
        <v>0</v>
      </c>
      <c r="BX44" s="12">
        <v>0</v>
      </c>
      <c r="BY44" s="12">
        <v>0</v>
      </c>
      <c r="BZ44" s="12">
        <v>0</v>
      </c>
      <c r="CA44" s="12">
        <v>0</v>
      </c>
    </row>
    <row r="45" spans="1:79" hidden="1" x14ac:dyDescent="0.2">
      <c r="A45" s="12" t="s">
        <v>102</v>
      </c>
      <c r="B45" s="12" t="s">
        <v>105</v>
      </c>
      <c r="C45" s="12" t="s">
        <v>105</v>
      </c>
      <c r="D45" s="22" t="s">
        <v>238</v>
      </c>
      <c r="E45" s="22" t="s">
        <v>159</v>
      </c>
      <c r="F45" s="22" t="s">
        <v>658</v>
      </c>
      <c r="G45" s="22" t="s">
        <v>659</v>
      </c>
      <c r="H45" s="22" t="s">
        <v>166</v>
      </c>
      <c r="I45" s="22" t="s">
        <v>151</v>
      </c>
      <c r="J45" s="22" t="s">
        <v>181</v>
      </c>
      <c r="K45" s="22" t="s">
        <v>66</v>
      </c>
      <c r="L45" s="54" t="s">
        <v>153</v>
      </c>
      <c r="M45" s="32" t="s">
        <v>188</v>
      </c>
      <c r="N45" s="24" t="s">
        <v>153</v>
      </c>
      <c r="O45" s="32" t="s">
        <v>188</v>
      </c>
      <c r="P45" s="32" t="s">
        <v>188</v>
      </c>
      <c r="Q45" s="32" t="s">
        <v>188</v>
      </c>
      <c r="R45" s="32" t="s">
        <v>188</v>
      </c>
      <c r="S45" s="32" t="s">
        <v>188</v>
      </c>
      <c r="T45" s="32" t="s">
        <v>188</v>
      </c>
      <c r="U45" s="24" t="s">
        <v>153</v>
      </c>
      <c r="V45" s="54" t="s">
        <v>153</v>
      </c>
      <c r="W45" s="32" t="s">
        <v>188</v>
      </c>
      <c r="X45" s="32" t="s">
        <v>188</v>
      </c>
      <c r="Y45" s="32" t="s">
        <v>188</v>
      </c>
      <c r="Z45" s="32" t="s">
        <v>188</v>
      </c>
      <c r="AA45" s="32" t="s">
        <v>188</v>
      </c>
      <c r="AB45" s="24" t="s">
        <v>153</v>
      </c>
      <c r="AC45" s="32" t="s">
        <v>188</v>
      </c>
      <c r="AD45" s="32" t="s">
        <v>188</v>
      </c>
      <c r="AE45" s="32" t="s">
        <v>188</v>
      </c>
      <c r="AF45" s="32" t="s">
        <v>188</v>
      </c>
      <c r="AG45" s="32" t="s">
        <v>188</v>
      </c>
      <c r="AH45" s="32" t="s">
        <v>188</v>
      </c>
      <c r="AI45" s="24" t="s">
        <v>153</v>
      </c>
      <c r="AJ45" s="32" t="s">
        <v>188</v>
      </c>
      <c r="AK45" s="32" t="s">
        <v>188</v>
      </c>
      <c r="AL45" s="32" t="s">
        <v>188</v>
      </c>
      <c r="AM45" s="32" t="s">
        <v>188</v>
      </c>
      <c r="AN45" s="32" t="s">
        <v>188</v>
      </c>
      <c r="AO45" s="32" t="s">
        <v>188</v>
      </c>
      <c r="AP45" s="23">
        <f>VALUE(0)</f>
        <v>0</v>
      </c>
      <c r="AQ45" s="23">
        <f>VALUE(0)</f>
        <v>0</v>
      </c>
      <c r="AR45" s="23">
        <f>VALUE(0)</f>
        <v>0</v>
      </c>
      <c r="AS45" s="23">
        <f>VALUE(0)</f>
        <v>0</v>
      </c>
      <c r="AT45" s="23">
        <f>VALUE(0)</f>
        <v>0</v>
      </c>
      <c r="AU45" s="23">
        <f>VALUE(0)</f>
        <v>0</v>
      </c>
      <c r="AV45" s="23">
        <f>VALUE(32)</f>
        <v>32</v>
      </c>
      <c r="AW45" s="23">
        <f>VALUE(3)</f>
        <v>3</v>
      </c>
      <c r="AX45" s="23" t="s">
        <v>239</v>
      </c>
      <c r="AY45" s="23">
        <f>VALUE(0)</f>
        <v>0</v>
      </c>
      <c r="AZ45" s="23">
        <f>VALUE(0)</f>
        <v>0</v>
      </c>
      <c r="BA45" s="23">
        <f>VALUE(0)</f>
        <v>0</v>
      </c>
      <c r="BB45" s="23">
        <f>VALUE(0)</f>
        <v>0</v>
      </c>
      <c r="BC45" s="23">
        <f>VALUE(0)</f>
        <v>0</v>
      </c>
      <c r="BD45" s="23">
        <f>VALUE(0)</f>
        <v>0</v>
      </c>
      <c r="BE45" s="23">
        <f>VALUE(0)</f>
        <v>0</v>
      </c>
      <c r="BF45" s="23">
        <f>VALUE(0)</f>
        <v>0</v>
      </c>
      <c r="BG45" s="23">
        <f>VALUE(0)</f>
        <v>0</v>
      </c>
      <c r="BH45" s="23">
        <f>VALUE(24)</f>
        <v>24</v>
      </c>
      <c r="BI45" s="23">
        <f>VALUE(0)</f>
        <v>0</v>
      </c>
      <c r="BJ45" s="23">
        <f>VALUE(0)</f>
        <v>0</v>
      </c>
      <c r="BK45" s="12">
        <f>$AX$45*24</f>
        <v>17.95</v>
      </c>
      <c r="BL45" s="12">
        <f>$AY$45*24</f>
        <v>0</v>
      </c>
      <c r="BM45" s="12">
        <f>$BJ$45*24</f>
        <v>0</v>
      </c>
      <c r="BN45" s="12">
        <f>VALUE($I$45)/100</f>
        <v>1</v>
      </c>
      <c r="BO45" s="12">
        <v>0</v>
      </c>
      <c r="BP45" s="12">
        <v>0</v>
      </c>
      <c r="BQ45" s="12">
        <v>0</v>
      </c>
      <c r="BR45" s="12">
        <v>0</v>
      </c>
      <c r="BS45" s="12">
        <v>0</v>
      </c>
      <c r="BT45" s="12">
        <v>0</v>
      </c>
      <c r="BU45" s="12">
        <v>0</v>
      </c>
      <c r="BV45" s="12">
        <v>0</v>
      </c>
      <c r="BW45" s="12">
        <v>0</v>
      </c>
      <c r="BX45" s="12">
        <v>0</v>
      </c>
      <c r="BY45" s="12">
        <v>0</v>
      </c>
      <c r="BZ45" s="12">
        <v>0</v>
      </c>
      <c r="CA45" s="12">
        <v>0</v>
      </c>
    </row>
    <row r="46" spans="1:79" hidden="1" x14ac:dyDescent="0.2">
      <c r="A46" s="12" t="s">
        <v>102</v>
      </c>
      <c r="B46" s="12" t="s">
        <v>105</v>
      </c>
      <c r="C46" s="12" t="s">
        <v>105</v>
      </c>
      <c r="D46" s="22" t="s">
        <v>240</v>
      </c>
      <c r="E46" s="22" t="s">
        <v>159</v>
      </c>
      <c r="F46" s="22" t="s">
        <v>660</v>
      </c>
      <c r="G46" s="22" t="s">
        <v>661</v>
      </c>
      <c r="H46" s="22" t="s">
        <v>166</v>
      </c>
      <c r="I46" s="22" t="s">
        <v>151</v>
      </c>
      <c r="J46" s="22" t="s">
        <v>181</v>
      </c>
      <c r="K46" s="22" t="s">
        <v>66</v>
      </c>
      <c r="L46" s="54" t="s">
        <v>153</v>
      </c>
      <c r="M46" s="23" t="s">
        <v>228</v>
      </c>
      <c r="N46" s="24" t="s">
        <v>153</v>
      </c>
      <c r="O46" s="23" t="s">
        <v>228</v>
      </c>
      <c r="P46" s="23" t="s">
        <v>228</v>
      </c>
      <c r="Q46" s="23" t="s">
        <v>228</v>
      </c>
      <c r="R46" s="23" t="s">
        <v>228</v>
      </c>
      <c r="S46" s="23" t="s">
        <v>228</v>
      </c>
      <c r="T46" s="24" t="s">
        <v>156</v>
      </c>
      <c r="U46" s="24" t="s">
        <v>153</v>
      </c>
      <c r="V46" s="54" t="s">
        <v>153</v>
      </c>
      <c r="W46" s="23" t="s">
        <v>216</v>
      </c>
      <c r="X46" s="23" t="s">
        <v>216</v>
      </c>
      <c r="Y46" s="23" t="s">
        <v>216</v>
      </c>
      <c r="Z46" s="23" t="s">
        <v>216</v>
      </c>
      <c r="AA46" s="24" t="s">
        <v>156</v>
      </c>
      <c r="AB46" s="24" t="s">
        <v>153</v>
      </c>
      <c r="AC46" s="23" t="s">
        <v>153</v>
      </c>
      <c r="AD46" s="23" t="s">
        <v>153</v>
      </c>
      <c r="AE46" s="23" t="s">
        <v>153</v>
      </c>
      <c r="AF46" s="23" t="s">
        <v>153</v>
      </c>
      <c r="AG46" s="23" t="s">
        <v>153</v>
      </c>
      <c r="AH46" s="23" t="s">
        <v>153</v>
      </c>
      <c r="AI46" s="24" t="s">
        <v>153</v>
      </c>
      <c r="AJ46" s="23" t="s">
        <v>153</v>
      </c>
      <c r="AK46" s="23" t="s">
        <v>153</v>
      </c>
      <c r="AL46" s="23" t="s">
        <v>153</v>
      </c>
      <c r="AM46" s="23" t="s">
        <v>153</v>
      </c>
      <c r="AN46" s="23" t="s">
        <v>153</v>
      </c>
      <c r="AO46" s="24" t="s">
        <v>156</v>
      </c>
      <c r="AP46" s="23">
        <f>VALUE(0)</f>
        <v>0</v>
      </c>
      <c r="AQ46" s="23">
        <f>VALUE(0)</f>
        <v>0</v>
      </c>
      <c r="AR46" s="23">
        <f>VALUE(0)</f>
        <v>0</v>
      </c>
      <c r="AS46" s="23">
        <f>VALUE(11)</f>
        <v>11</v>
      </c>
      <c r="AT46" s="23">
        <f>VALUE(0)</f>
        <v>0</v>
      </c>
      <c r="AU46" s="23">
        <f>VALUE(0)</f>
        <v>0</v>
      </c>
      <c r="AV46" s="23">
        <f>VALUE(9)</f>
        <v>9</v>
      </c>
      <c r="AW46" s="23">
        <f>VALUE(0)</f>
        <v>0</v>
      </c>
      <c r="AX46" s="23" t="s">
        <v>241</v>
      </c>
      <c r="AY46" s="23">
        <f>VALUE(0)</f>
        <v>0</v>
      </c>
      <c r="AZ46" s="23">
        <f>VALUE(0)</f>
        <v>0</v>
      </c>
      <c r="BA46" s="23">
        <f>VALUE(0)</f>
        <v>0</v>
      </c>
      <c r="BB46" s="23">
        <f>VALUE(0)</f>
        <v>0</v>
      </c>
      <c r="BC46" s="23">
        <f>VALUE(0)</f>
        <v>0</v>
      </c>
      <c r="BD46" s="23">
        <f>VALUE(0)</f>
        <v>0</v>
      </c>
      <c r="BE46" s="23">
        <f>VALUE(0)</f>
        <v>0</v>
      </c>
      <c r="BF46" s="23">
        <f>VALUE(0)</f>
        <v>0</v>
      </c>
      <c r="BG46" s="23">
        <f>VALUE(0)</f>
        <v>0</v>
      </c>
      <c r="BH46" s="23">
        <f>VALUE(0)</f>
        <v>0</v>
      </c>
      <c r="BI46" s="23">
        <f>VALUE(0)</f>
        <v>0</v>
      </c>
      <c r="BJ46" s="23">
        <f>VALUE(0)</f>
        <v>0</v>
      </c>
      <c r="BK46" s="12">
        <f>$AX$46*24</f>
        <v>24.133333333333333</v>
      </c>
      <c r="BL46" s="12">
        <f>$AY$46*24</f>
        <v>0</v>
      </c>
      <c r="BM46" s="12">
        <f>$BJ$46*24</f>
        <v>0</v>
      </c>
      <c r="BN46" s="12">
        <f>VALUE($I$46)/100</f>
        <v>1</v>
      </c>
      <c r="BO46" s="12">
        <v>0</v>
      </c>
      <c r="BP46" s="12">
        <v>0</v>
      </c>
      <c r="BQ46" s="12">
        <v>0</v>
      </c>
      <c r="BR46" s="12">
        <v>0</v>
      </c>
      <c r="BS46" s="12">
        <v>0</v>
      </c>
      <c r="BT46" s="12">
        <v>0</v>
      </c>
      <c r="BU46" s="12">
        <v>0</v>
      </c>
      <c r="BV46" s="12">
        <v>0</v>
      </c>
      <c r="BW46" s="12">
        <v>0</v>
      </c>
      <c r="BX46" s="12">
        <v>0</v>
      </c>
      <c r="BY46" s="12">
        <v>0</v>
      </c>
      <c r="BZ46" s="12">
        <v>0</v>
      </c>
      <c r="CA46" s="12">
        <v>0</v>
      </c>
    </row>
    <row r="47" spans="1:79" ht="15" hidden="1" x14ac:dyDescent="0.25">
      <c r="A47" s="12" t="s">
        <v>102</v>
      </c>
      <c r="B47" s="12" t="s">
        <v>105</v>
      </c>
      <c r="C47" s="12" t="s">
        <v>105</v>
      </c>
      <c r="D47" s="31" t="s">
        <v>1183</v>
      </c>
      <c r="E47" s="31" t="s">
        <v>153</v>
      </c>
      <c r="F47" s="31" t="s">
        <v>175</v>
      </c>
      <c r="G47" s="31" t="s">
        <v>153</v>
      </c>
      <c r="H47" s="31" t="s">
        <v>153</v>
      </c>
      <c r="I47" s="31" t="s">
        <v>153</v>
      </c>
      <c r="J47" s="31" t="s">
        <v>153</v>
      </c>
      <c r="K47" s="31" t="s">
        <v>153</v>
      </c>
      <c r="L47" s="31">
        <f>VALUE(0)</f>
        <v>0</v>
      </c>
      <c r="M47" s="31">
        <f>VALUE(3)</f>
        <v>3</v>
      </c>
      <c r="N47" s="31">
        <f>VALUE(0)</f>
        <v>0</v>
      </c>
      <c r="O47" s="31">
        <f>VALUE(15)</f>
        <v>15</v>
      </c>
      <c r="P47" s="31">
        <f>VALUE(14)</f>
        <v>14</v>
      </c>
      <c r="Q47" s="31">
        <f>VALUE(16)</f>
        <v>16</v>
      </c>
      <c r="R47" s="31">
        <f>VALUE(17)</f>
        <v>17</v>
      </c>
      <c r="S47" s="31">
        <f>VALUE(15)</f>
        <v>15</v>
      </c>
      <c r="T47" s="31">
        <f>VALUE(7)</f>
        <v>7</v>
      </c>
      <c r="U47" s="31">
        <f>VALUE(0)</f>
        <v>0</v>
      </c>
      <c r="V47" s="31">
        <f>VALUE(0)</f>
        <v>0</v>
      </c>
      <c r="W47" s="31">
        <f>VALUE(18)</f>
        <v>18</v>
      </c>
      <c r="X47" s="31">
        <f>VALUE(17)</f>
        <v>17</v>
      </c>
      <c r="Y47" s="31">
        <f>VALUE(15)</f>
        <v>15</v>
      </c>
      <c r="Z47" s="31">
        <f>VALUE(16)</f>
        <v>16</v>
      </c>
      <c r="AA47" s="31">
        <f>VALUE(5)</f>
        <v>5</v>
      </c>
      <c r="AB47" s="31">
        <f>VALUE(0)</f>
        <v>0</v>
      </c>
      <c r="AC47" s="31">
        <f>VALUE(18)</f>
        <v>18</v>
      </c>
      <c r="AD47" s="31">
        <f>VALUE(17)</f>
        <v>17</v>
      </c>
      <c r="AE47" s="31">
        <f>VALUE(17)</f>
        <v>17</v>
      </c>
      <c r="AF47" s="31">
        <f>VALUE(18)</f>
        <v>18</v>
      </c>
      <c r="AG47" s="31">
        <f>VALUE(15)</f>
        <v>15</v>
      </c>
      <c r="AH47" s="31">
        <f>VALUE(5)</f>
        <v>5</v>
      </c>
      <c r="AI47" s="31">
        <f>VALUE(0)</f>
        <v>0</v>
      </c>
      <c r="AJ47" s="31">
        <f>VALUE(16)</f>
        <v>16</v>
      </c>
      <c r="AK47" s="31">
        <f>VALUE(16)</f>
        <v>16</v>
      </c>
      <c r="AL47" s="31">
        <f>VALUE(14)</f>
        <v>14</v>
      </c>
      <c r="AM47" s="31">
        <f>VALUE(17)</f>
        <v>17</v>
      </c>
      <c r="AN47" s="31">
        <f>VALUE(16)</f>
        <v>16</v>
      </c>
      <c r="AO47" s="31">
        <f>VALUE(6)</f>
        <v>6</v>
      </c>
      <c r="AP47" s="31">
        <v>0</v>
      </c>
      <c r="AQ47" s="31">
        <v>0</v>
      </c>
      <c r="AR47" s="31">
        <v>0</v>
      </c>
      <c r="AS47" s="31">
        <v>0</v>
      </c>
      <c r="AT47" s="31">
        <v>0</v>
      </c>
      <c r="AU47" s="31">
        <v>0</v>
      </c>
      <c r="AV47" s="31">
        <v>0</v>
      </c>
      <c r="AW47" s="31">
        <v>0</v>
      </c>
      <c r="AX47" s="31">
        <v>0</v>
      </c>
      <c r="AY47" s="31">
        <v>0</v>
      </c>
      <c r="AZ47" s="31">
        <v>0</v>
      </c>
      <c r="BA47" s="31">
        <v>0</v>
      </c>
      <c r="BB47" s="31">
        <v>0</v>
      </c>
      <c r="BC47" s="31">
        <v>0</v>
      </c>
      <c r="BD47" s="31">
        <v>0</v>
      </c>
      <c r="BE47" s="31">
        <v>0</v>
      </c>
      <c r="BF47" s="31">
        <v>0</v>
      </c>
      <c r="BG47" s="31">
        <v>0</v>
      </c>
      <c r="BH47" s="31">
        <v>0</v>
      </c>
      <c r="BI47" s="31">
        <v>0</v>
      </c>
      <c r="BJ47" s="31">
        <v>0</v>
      </c>
      <c r="BK47" s="12">
        <v>0</v>
      </c>
      <c r="BL47" s="12">
        <v>0</v>
      </c>
      <c r="BM47" s="12">
        <v>0</v>
      </c>
      <c r="BN47" s="12"/>
      <c r="BO47" s="12">
        <v>0</v>
      </c>
      <c r="BP47" s="12">
        <v>0</v>
      </c>
      <c r="BQ47" s="12">
        <v>0</v>
      </c>
      <c r="BR47" s="12">
        <v>0</v>
      </c>
      <c r="BS47" s="12">
        <v>0</v>
      </c>
      <c r="BT47" s="12">
        <v>0</v>
      </c>
      <c r="BU47" s="12">
        <v>0</v>
      </c>
      <c r="BV47" s="12">
        <v>0</v>
      </c>
      <c r="BW47" s="12">
        <v>0</v>
      </c>
      <c r="BX47" s="12">
        <v>0</v>
      </c>
      <c r="BY47" s="12">
        <v>0</v>
      </c>
      <c r="BZ47" s="12">
        <v>0</v>
      </c>
      <c r="CA47" s="12">
        <v>0</v>
      </c>
    </row>
    <row r="48" spans="1:79" hidden="1" x14ac:dyDescent="0.2">
      <c r="A48" s="12" t="s">
        <v>102</v>
      </c>
      <c r="B48" s="12" t="s">
        <v>106</v>
      </c>
      <c r="C48" s="12" t="s">
        <v>106</v>
      </c>
      <c r="D48" s="22" t="s">
        <v>243</v>
      </c>
      <c r="E48" s="22" t="s">
        <v>173</v>
      </c>
      <c r="F48" s="22" t="s">
        <v>662</v>
      </c>
      <c r="G48" s="22" t="s">
        <v>663</v>
      </c>
      <c r="H48" s="22" t="s">
        <v>150</v>
      </c>
      <c r="I48" s="22" t="s">
        <v>151</v>
      </c>
      <c r="J48" s="22" t="s">
        <v>162</v>
      </c>
      <c r="K48" s="22" t="s">
        <v>67</v>
      </c>
      <c r="L48" s="54" t="s">
        <v>153</v>
      </c>
      <c r="M48" s="24" t="s">
        <v>153</v>
      </c>
      <c r="N48" s="24" t="s">
        <v>153</v>
      </c>
      <c r="O48" s="23" t="s">
        <v>153</v>
      </c>
      <c r="P48" s="23" t="s">
        <v>153</v>
      </c>
      <c r="Q48" s="23" t="s">
        <v>153</v>
      </c>
      <c r="R48" s="23" t="s">
        <v>153</v>
      </c>
      <c r="S48" s="23" t="s">
        <v>153</v>
      </c>
      <c r="T48" s="24" t="s">
        <v>153</v>
      </c>
      <c r="U48" s="24" t="s">
        <v>153</v>
      </c>
      <c r="V48" s="54" t="s">
        <v>153</v>
      </c>
      <c r="W48" s="23" t="s">
        <v>153</v>
      </c>
      <c r="X48" s="23" t="s">
        <v>153</v>
      </c>
      <c r="Y48" s="23" t="s">
        <v>153</v>
      </c>
      <c r="Z48" s="23" t="s">
        <v>153</v>
      </c>
      <c r="AA48" s="24" t="s">
        <v>153</v>
      </c>
      <c r="AB48" s="24" t="s">
        <v>153</v>
      </c>
      <c r="AC48" s="23" t="s">
        <v>153</v>
      </c>
      <c r="AD48" s="23" t="s">
        <v>153</v>
      </c>
      <c r="AE48" s="23" t="s">
        <v>153</v>
      </c>
      <c r="AF48" s="23" t="s">
        <v>153</v>
      </c>
      <c r="AG48" s="23" t="s">
        <v>153</v>
      </c>
      <c r="AH48" s="24" t="s">
        <v>153</v>
      </c>
      <c r="AI48" s="24" t="s">
        <v>153</v>
      </c>
      <c r="AJ48" s="23" t="s">
        <v>153</v>
      </c>
      <c r="AK48" s="23" t="s">
        <v>153</v>
      </c>
      <c r="AL48" s="23" t="s">
        <v>153</v>
      </c>
      <c r="AM48" s="23" t="s">
        <v>153</v>
      </c>
      <c r="AN48" s="23" t="s">
        <v>153</v>
      </c>
      <c r="AO48" s="24" t="s">
        <v>153</v>
      </c>
      <c r="AP48" s="23">
        <f>VALUE(0)</f>
        <v>0</v>
      </c>
      <c r="AQ48" s="23">
        <f>VALUE(0)</f>
        <v>0</v>
      </c>
      <c r="AR48" s="23">
        <f>VALUE(0)</f>
        <v>0</v>
      </c>
      <c r="AS48" s="23">
        <f>VALUE(0)</f>
        <v>0</v>
      </c>
      <c r="AT48" s="23">
        <f>VALUE(0)</f>
        <v>0</v>
      </c>
      <c r="AU48" s="23">
        <f>VALUE(0)</f>
        <v>0</v>
      </c>
      <c r="AV48" s="23">
        <f>VALUE(1)</f>
        <v>1</v>
      </c>
      <c r="AW48" s="23">
        <f>VALUE(0)</f>
        <v>0</v>
      </c>
      <c r="AX48" s="23" t="s">
        <v>158</v>
      </c>
      <c r="AY48" s="23" t="s">
        <v>244</v>
      </c>
      <c r="AZ48" s="23">
        <f>VALUE(0)</f>
        <v>0</v>
      </c>
      <c r="BA48" s="23">
        <f>VALUE(0)</f>
        <v>0</v>
      </c>
      <c r="BB48" s="23">
        <f>VALUE(0)</f>
        <v>0</v>
      </c>
      <c r="BC48" s="23">
        <f>VALUE(0)</f>
        <v>0</v>
      </c>
      <c r="BD48" s="23">
        <f>VALUE(0)</f>
        <v>0</v>
      </c>
      <c r="BE48" s="23">
        <f>VALUE(0)</f>
        <v>0</v>
      </c>
      <c r="BF48" s="23">
        <f>VALUE(0)</f>
        <v>0</v>
      </c>
      <c r="BG48" s="23">
        <f>VALUE(0)</f>
        <v>0</v>
      </c>
      <c r="BH48" s="23">
        <f>VALUE(0)</f>
        <v>0</v>
      </c>
      <c r="BI48" s="23">
        <f>VALUE(0)</f>
        <v>0</v>
      </c>
      <c r="BJ48" s="23">
        <f>VALUE(0)</f>
        <v>0</v>
      </c>
      <c r="BK48" s="12">
        <f>$AX$48*24</f>
        <v>11.666666666666666</v>
      </c>
      <c r="BL48" s="12">
        <f>$AY$48*24</f>
        <v>0.23333333333333334</v>
      </c>
      <c r="BM48" s="12">
        <f>$BJ$48*24</f>
        <v>0</v>
      </c>
      <c r="BN48" s="12">
        <f>VALUE($I$48)/100</f>
        <v>1</v>
      </c>
      <c r="BO48" s="12">
        <v>0</v>
      </c>
      <c r="BP48" s="12">
        <v>0</v>
      </c>
      <c r="BQ48" s="12">
        <v>0</v>
      </c>
      <c r="BR48" s="12">
        <v>0</v>
      </c>
      <c r="BS48" s="12">
        <v>0</v>
      </c>
      <c r="BT48" s="12">
        <v>0</v>
      </c>
      <c r="BU48" s="12">
        <v>0</v>
      </c>
      <c r="BV48" s="12">
        <v>0</v>
      </c>
      <c r="BW48" s="12">
        <v>0</v>
      </c>
      <c r="BX48" s="12">
        <v>0</v>
      </c>
      <c r="BY48" s="12">
        <v>0</v>
      </c>
      <c r="BZ48" s="12">
        <v>0</v>
      </c>
      <c r="CA48" s="12">
        <v>0</v>
      </c>
    </row>
    <row r="49" spans="1:79" hidden="1" x14ac:dyDescent="0.2">
      <c r="A49" s="12" t="s">
        <v>102</v>
      </c>
      <c r="B49" s="12" t="s">
        <v>106</v>
      </c>
      <c r="C49" s="12" t="s">
        <v>106</v>
      </c>
      <c r="D49" s="22" t="s">
        <v>243</v>
      </c>
      <c r="E49" s="22" t="s">
        <v>173</v>
      </c>
      <c r="F49" s="22" t="s">
        <v>1184</v>
      </c>
      <c r="G49" s="22" t="s">
        <v>664</v>
      </c>
      <c r="H49" s="22" t="s">
        <v>166</v>
      </c>
      <c r="I49" s="22" t="s">
        <v>151</v>
      </c>
      <c r="J49" s="22" t="s">
        <v>162</v>
      </c>
      <c r="K49" s="22" t="s">
        <v>67</v>
      </c>
      <c r="L49" s="54" t="s">
        <v>153</v>
      </c>
      <c r="M49" s="24" t="s">
        <v>153</v>
      </c>
      <c r="N49" s="24" t="s">
        <v>153</v>
      </c>
      <c r="O49" s="23" t="s">
        <v>153</v>
      </c>
      <c r="P49" s="23" t="s">
        <v>153</v>
      </c>
      <c r="Q49" s="23" t="s">
        <v>153</v>
      </c>
      <c r="R49" s="23" t="s">
        <v>153</v>
      </c>
      <c r="S49" s="23" t="s">
        <v>153</v>
      </c>
      <c r="T49" s="24" t="s">
        <v>153</v>
      </c>
      <c r="U49" s="24" t="s">
        <v>153</v>
      </c>
      <c r="V49" s="54" t="s">
        <v>153</v>
      </c>
      <c r="W49" s="23" t="s">
        <v>153</v>
      </c>
      <c r="X49" s="23" t="s">
        <v>153</v>
      </c>
      <c r="Y49" s="23" t="s">
        <v>153</v>
      </c>
      <c r="Z49" s="23" t="s">
        <v>153</v>
      </c>
      <c r="AA49" s="24" t="s">
        <v>153</v>
      </c>
      <c r="AB49" s="24" t="s">
        <v>153</v>
      </c>
      <c r="AC49" s="23" t="s">
        <v>153</v>
      </c>
      <c r="AD49" s="23" t="s">
        <v>153</v>
      </c>
      <c r="AE49" s="23" t="s">
        <v>153</v>
      </c>
      <c r="AF49" s="23" t="s">
        <v>153</v>
      </c>
      <c r="AG49" s="23" t="s">
        <v>153</v>
      </c>
      <c r="AH49" s="24" t="s">
        <v>153</v>
      </c>
      <c r="AI49" s="24" t="s">
        <v>153</v>
      </c>
      <c r="AJ49" s="23" t="s">
        <v>153</v>
      </c>
      <c r="AK49" s="23" t="s">
        <v>153</v>
      </c>
      <c r="AL49" s="23" t="s">
        <v>153</v>
      </c>
      <c r="AM49" s="23" t="s">
        <v>153</v>
      </c>
      <c r="AN49" s="23" t="s">
        <v>153</v>
      </c>
      <c r="AO49" s="24" t="s">
        <v>153</v>
      </c>
      <c r="AP49" s="23">
        <f>VALUE(1)</f>
        <v>1</v>
      </c>
      <c r="AQ49" s="23">
        <f>VALUE(0)</f>
        <v>0</v>
      </c>
      <c r="AR49" s="23">
        <f>VALUE(0)</f>
        <v>0</v>
      </c>
      <c r="AS49" s="23">
        <f>VALUE(0)</f>
        <v>0</v>
      </c>
      <c r="AT49" s="23">
        <f>VALUE(0)</f>
        <v>0</v>
      </c>
      <c r="AU49" s="23">
        <f>VALUE(0)</f>
        <v>0</v>
      </c>
      <c r="AV49" s="23">
        <f>VALUE(8.5)</f>
        <v>8.5</v>
      </c>
      <c r="AW49" s="23">
        <f>VALUE(0)</f>
        <v>0</v>
      </c>
      <c r="AX49" s="23" t="s">
        <v>245</v>
      </c>
      <c r="AY49" s="23">
        <f>VALUE(0)</f>
        <v>0</v>
      </c>
      <c r="AZ49" s="23">
        <f>VALUE(0)</f>
        <v>0</v>
      </c>
      <c r="BA49" s="23">
        <f>VALUE(0)</f>
        <v>0</v>
      </c>
      <c r="BB49" s="23">
        <f>VALUE(0)</f>
        <v>0</v>
      </c>
      <c r="BC49" s="23">
        <f>VALUE(0)</f>
        <v>0</v>
      </c>
      <c r="BD49" s="23">
        <f>VALUE(0)</f>
        <v>0</v>
      </c>
      <c r="BE49" s="23">
        <f>VALUE(0)</f>
        <v>0</v>
      </c>
      <c r="BF49" s="23">
        <f>VALUE(0)</f>
        <v>0</v>
      </c>
      <c r="BG49" s="23">
        <f>VALUE(0)</f>
        <v>0</v>
      </c>
      <c r="BH49" s="23">
        <f>VALUE(0)</f>
        <v>0</v>
      </c>
      <c r="BI49" s="23">
        <f>VALUE(0)</f>
        <v>0</v>
      </c>
      <c r="BJ49" s="23">
        <f>VALUE(0)</f>
        <v>0</v>
      </c>
      <c r="BK49" s="12">
        <f>$AX$49*24</f>
        <v>92.38333333333334</v>
      </c>
      <c r="BL49" s="12">
        <f>$AY$49*24</f>
        <v>0</v>
      </c>
      <c r="BM49" s="12">
        <f>$BJ$49*24</f>
        <v>0</v>
      </c>
      <c r="BN49" s="12">
        <f>VALUE($I$49)/100</f>
        <v>1</v>
      </c>
      <c r="BO49" s="12">
        <v>0</v>
      </c>
      <c r="BP49" s="12">
        <v>0</v>
      </c>
      <c r="BQ49" s="12">
        <v>0</v>
      </c>
      <c r="BR49" s="12">
        <v>0</v>
      </c>
      <c r="BS49" s="12">
        <v>0</v>
      </c>
      <c r="BT49" s="12">
        <v>0</v>
      </c>
      <c r="BU49" s="12">
        <v>0</v>
      </c>
      <c r="BV49" s="12">
        <v>0</v>
      </c>
      <c r="BW49" s="12">
        <v>0</v>
      </c>
      <c r="BX49" s="12">
        <v>0</v>
      </c>
      <c r="BY49" s="12">
        <v>0</v>
      </c>
      <c r="BZ49" s="12">
        <v>0</v>
      </c>
      <c r="CA49" s="12">
        <v>0</v>
      </c>
    </row>
    <row r="50" spans="1:79" ht="15" hidden="1" x14ac:dyDescent="0.25">
      <c r="A50" s="12" t="s">
        <v>102</v>
      </c>
      <c r="B50" s="12" t="s">
        <v>106</v>
      </c>
      <c r="C50" s="12" t="s">
        <v>106</v>
      </c>
      <c r="D50" s="31" t="s">
        <v>246</v>
      </c>
      <c r="E50" s="31" t="s">
        <v>153</v>
      </c>
      <c r="F50" s="31" t="s">
        <v>175</v>
      </c>
      <c r="G50" s="31" t="s">
        <v>153</v>
      </c>
      <c r="H50" s="31" t="s">
        <v>153</v>
      </c>
      <c r="I50" s="31" t="s">
        <v>153</v>
      </c>
      <c r="J50" s="31" t="s">
        <v>153</v>
      </c>
      <c r="K50" s="31" t="s">
        <v>153</v>
      </c>
      <c r="L50" s="31">
        <f>VALUE(0)</f>
        <v>0</v>
      </c>
      <c r="M50" s="31">
        <f>VALUE(0)</f>
        <v>0</v>
      </c>
      <c r="N50" s="31">
        <f>VALUE(0)</f>
        <v>0</v>
      </c>
      <c r="O50" s="31">
        <f>VALUE(2)</f>
        <v>2</v>
      </c>
      <c r="P50" s="31">
        <f>VALUE(2)</f>
        <v>2</v>
      </c>
      <c r="Q50" s="31">
        <f>VALUE(2)</f>
        <v>2</v>
      </c>
      <c r="R50" s="31">
        <f>VALUE(2)</f>
        <v>2</v>
      </c>
      <c r="S50" s="31">
        <f>VALUE(2)</f>
        <v>2</v>
      </c>
      <c r="T50" s="31">
        <f>VALUE(0)</f>
        <v>0</v>
      </c>
      <c r="U50" s="31">
        <f>VALUE(0)</f>
        <v>0</v>
      </c>
      <c r="V50" s="31">
        <f>VALUE(0)</f>
        <v>0</v>
      </c>
      <c r="W50" s="31">
        <f>VALUE(2)</f>
        <v>2</v>
      </c>
      <c r="X50" s="31">
        <f>VALUE(2)</f>
        <v>2</v>
      </c>
      <c r="Y50" s="31">
        <f>VALUE(2)</f>
        <v>2</v>
      </c>
      <c r="Z50" s="31">
        <f>VALUE(2)</f>
        <v>2</v>
      </c>
      <c r="AA50" s="31">
        <f>VALUE(0)</f>
        <v>0</v>
      </c>
      <c r="AB50" s="31">
        <f>VALUE(0)</f>
        <v>0</v>
      </c>
      <c r="AC50" s="31">
        <f>VALUE(2)</f>
        <v>2</v>
      </c>
      <c r="AD50" s="31">
        <f>VALUE(2)</f>
        <v>2</v>
      </c>
      <c r="AE50" s="31">
        <f>VALUE(2)</f>
        <v>2</v>
      </c>
      <c r="AF50" s="31">
        <f>VALUE(2)</f>
        <v>2</v>
      </c>
      <c r="AG50" s="31">
        <f>VALUE(2)</f>
        <v>2</v>
      </c>
      <c r="AH50" s="31">
        <f>VALUE(0)</f>
        <v>0</v>
      </c>
      <c r="AI50" s="31">
        <f>VALUE(0)</f>
        <v>0</v>
      </c>
      <c r="AJ50" s="31">
        <f>VALUE(2)</f>
        <v>2</v>
      </c>
      <c r="AK50" s="31">
        <f>VALUE(2)</f>
        <v>2</v>
      </c>
      <c r="AL50" s="31">
        <f>VALUE(2)</f>
        <v>2</v>
      </c>
      <c r="AM50" s="31">
        <f>VALUE(2)</f>
        <v>2</v>
      </c>
      <c r="AN50" s="31">
        <f>VALUE(2)</f>
        <v>2</v>
      </c>
      <c r="AO50" s="31">
        <f>VALUE(0)</f>
        <v>0</v>
      </c>
      <c r="AP50" s="31">
        <v>0</v>
      </c>
      <c r="AQ50" s="31">
        <v>0</v>
      </c>
      <c r="AR50" s="31">
        <v>0</v>
      </c>
      <c r="AS50" s="31">
        <v>0</v>
      </c>
      <c r="AT50" s="31">
        <v>0</v>
      </c>
      <c r="AU50" s="31">
        <v>0</v>
      </c>
      <c r="AV50" s="31">
        <v>0</v>
      </c>
      <c r="AW50" s="31">
        <v>0</v>
      </c>
      <c r="AX50" s="31">
        <v>0</v>
      </c>
      <c r="AY50" s="31">
        <v>0</v>
      </c>
      <c r="AZ50" s="31">
        <v>0</v>
      </c>
      <c r="BA50" s="31">
        <v>0</v>
      </c>
      <c r="BB50" s="31">
        <v>0</v>
      </c>
      <c r="BC50" s="31">
        <v>0</v>
      </c>
      <c r="BD50" s="31">
        <v>0</v>
      </c>
      <c r="BE50" s="31">
        <v>0</v>
      </c>
      <c r="BF50" s="31">
        <v>0</v>
      </c>
      <c r="BG50" s="31">
        <v>0</v>
      </c>
      <c r="BH50" s="31">
        <v>0</v>
      </c>
      <c r="BI50" s="31">
        <v>0</v>
      </c>
      <c r="BJ50" s="31">
        <v>0</v>
      </c>
      <c r="BK50" s="12">
        <v>0</v>
      </c>
      <c r="BL50" s="12">
        <v>0</v>
      </c>
      <c r="BM50" s="12">
        <v>0</v>
      </c>
      <c r="BN50" s="12"/>
      <c r="BO50" s="12">
        <v>0</v>
      </c>
      <c r="BP50" s="12">
        <v>0</v>
      </c>
      <c r="BQ50" s="12">
        <v>0</v>
      </c>
      <c r="BR50" s="12">
        <v>0</v>
      </c>
      <c r="BS50" s="12">
        <v>0</v>
      </c>
      <c r="BT50" s="12">
        <v>0</v>
      </c>
      <c r="BU50" s="12">
        <v>0</v>
      </c>
      <c r="BV50" s="12">
        <v>0</v>
      </c>
      <c r="BW50" s="12">
        <v>0</v>
      </c>
      <c r="BX50" s="12">
        <v>0</v>
      </c>
      <c r="BY50" s="12">
        <v>0</v>
      </c>
      <c r="BZ50" s="12">
        <v>0</v>
      </c>
      <c r="CA50" s="12">
        <v>0</v>
      </c>
    </row>
    <row r="51" spans="1:79" x14ac:dyDescent="0.2">
      <c r="A51" s="12" t="s">
        <v>102</v>
      </c>
      <c r="B51" s="12" t="s">
        <v>107</v>
      </c>
      <c r="C51" s="12" t="s">
        <v>107</v>
      </c>
      <c r="D51" s="22" t="s">
        <v>247</v>
      </c>
      <c r="E51" s="22" t="s">
        <v>149</v>
      </c>
      <c r="F51" s="22" t="s">
        <v>665</v>
      </c>
      <c r="G51" s="22" t="s">
        <v>666</v>
      </c>
      <c r="H51" s="22" t="s">
        <v>166</v>
      </c>
      <c r="I51" s="22" t="s">
        <v>151</v>
      </c>
      <c r="J51" s="22" t="s">
        <v>152</v>
      </c>
      <c r="K51" s="22" t="s">
        <v>68</v>
      </c>
      <c r="L51" s="54" t="s">
        <v>153</v>
      </c>
      <c r="M51" s="24" t="s">
        <v>156</v>
      </c>
      <c r="N51" s="24" t="s">
        <v>153</v>
      </c>
      <c r="O51" s="24" t="s">
        <v>156</v>
      </c>
      <c r="P51" s="23" t="s">
        <v>153</v>
      </c>
      <c r="Q51" s="23" t="s">
        <v>153</v>
      </c>
      <c r="R51" s="23" t="s">
        <v>153</v>
      </c>
      <c r="S51" s="23" t="s">
        <v>153</v>
      </c>
      <c r="T51" s="23" t="s">
        <v>153</v>
      </c>
      <c r="U51" s="24" t="s">
        <v>153</v>
      </c>
      <c r="V51" s="54" t="s">
        <v>153</v>
      </c>
      <c r="W51" s="28" t="s">
        <v>338</v>
      </c>
      <c r="X51" s="28" t="s">
        <v>338</v>
      </c>
      <c r="Y51" s="23" t="s">
        <v>153</v>
      </c>
      <c r="Z51" s="23" t="s">
        <v>153</v>
      </c>
      <c r="AA51" s="24" t="s">
        <v>156</v>
      </c>
      <c r="AB51" s="24" t="s">
        <v>153</v>
      </c>
      <c r="AC51" s="24" t="s">
        <v>156</v>
      </c>
      <c r="AD51" s="23" t="s">
        <v>153</v>
      </c>
      <c r="AE51" s="23" t="s">
        <v>153</v>
      </c>
      <c r="AF51" s="23" t="s">
        <v>153</v>
      </c>
      <c r="AG51" s="23" t="s">
        <v>153</v>
      </c>
      <c r="AH51" s="23" t="s">
        <v>153</v>
      </c>
      <c r="AI51" s="24" t="s">
        <v>153</v>
      </c>
      <c r="AJ51" s="23" t="s">
        <v>153</v>
      </c>
      <c r="AK51" s="23" t="s">
        <v>153</v>
      </c>
      <c r="AL51" s="23" t="s">
        <v>153</v>
      </c>
      <c r="AM51" s="23" t="s">
        <v>153</v>
      </c>
      <c r="AN51" s="23" t="s">
        <v>153</v>
      </c>
      <c r="AO51" s="24" t="s">
        <v>156</v>
      </c>
      <c r="AP51" s="23">
        <f>VALUE(0)</f>
        <v>0</v>
      </c>
      <c r="AQ51" s="23">
        <f>VALUE(0)</f>
        <v>0</v>
      </c>
      <c r="AR51" s="23">
        <f>VALUE(0)</f>
        <v>0</v>
      </c>
      <c r="AS51" s="23">
        <f>VALUE(0)</f>
        <v>0</v>
      </c>
      <c r="AT51" s="23">
        <f>VALUE(2)</f>
        <v>2</v>
      </c>
      <c r="AU51" s="23">
        <f>VALUE(0)</f>
        <v>0</v>
      </c>
      <c r="AV51" s="23">
        <f>VALUE(4)</f>
        <v>4</v>
      </c>
      <c r="AW51" s="23">
        <f>VALUE(0)</f>
        <v>0</v>
      </c>
      <c r="AX51" s="23" t="s">
        <v>248</v>
      </c>
      <c r="AY51" s="23">
        <f>VALUE(0)</f>
        <v>0</v>
      </c>
      <c r="AZ51" s="23">
        <f>VALUE(0)</f>
        <v>0</v>
      </c>
      <c r="BA51" s="23">
        <f>VALUE(0)</f>
        <v>0</v>
      </c>
      <c r="BB51" s="23">
        <f>VALUE(0)</f>
        <v>0</v>
      </c>
      <c r="BC51" s="23">
        <f>VALUE(0)</f>
        <v>0</v>
      </c>
      <c r="BD51" s="23">
        <f>VALUE(0)</f>
        <v>0</v>
      </c>
      <c r="BE51" s="23">
        <f>VALUE(0)</f>
        <v>0</v>
      </c>
      <c r="BF51" s="23">
        <f>VALUE(0)</f>
        <v>0</v>
      </c>
      <c r="BG51" s="23">
        <f>VALUE(0)</f>
        <v>0</v>
      </c>
      <c r="BH51" s="23">
        <f>VALUE(0)</f>
        <v>0</v>
      </c>
      <c r="BI51" s="23">
        <f>VALUE(0)</f>
        <v>0</v>
      </c>
      <c r="BJ51" s="23">
        <f>VALUE(0)</f>
        <v>0</v>
      </c>
      <c r="BK51" s="12">
        <f>$AX$51*24</f>
        <v>16.333333333333332</v>
      </c>
      <c r="BL51" s="12">
        <f>$AY$51*24</f>
        <v>0</v>
      </c>
      <c r="BM51" s="12">
        <f>$BJ$51*24</f>
        <v>0</v>
      </c>
      <c r="BN51" s="12">
        <f>VALUE($I$51)/100</f>
        <v>1</v>
      </c>
      <c r="BO51" s="12">
        <v>0</v>
      </c>
      <c r="BP51" s="12">
        <v>0</v>
      </c>
      <c r="BQ51" s="12">
        <v>0</v>
      </c>
      <c r="BR51" s="12">
        <v>0</v>
      </c>
      <c r="BS51" s="12">
        <v>0</v>
      </c>
      <c r="BT51" s="12">
        <v>0</v>
      </c>
      <c r="BU51" s="12">
        <v>0</v>
      </c>
      <c r="BV51" s="12">
        <v>0</v>
      </c>
      <c r="BW51" s="12">
        <v>0</v>
      </c>
      <c r="BX51" s="12">
        <v>0</v>
      </c>
      <c r="BY51" s="12">
        <v>2</v>
      </c>
      <c r="BZ51" s="12">
        <v>0</v>
      </c>
      <c r="CA51" s="12">
        <v>0</v>
      </c>
    </row>
    <row r="52" spans="1:79" hidden="1" x14ac:dyDescent="0.2">
      <c r="A52" s="12" t="s">
        <v>102</v>
      </c>
      <c r="B52" s="12" t="s">
        <v>107</v>
      </c>
      <c r="C52" s="12" t="s">
        <v>107</v>
      </c>
      <c r="D52" s="22" t="s">
        <v>249</v>
      </c>
      <c r="E52" s="22" t="s">
        <v>149</v>
      </c>
      <c r="F52" s="22" t="s">
        <v>667</v>
      </c>
      <c r="G52" s="22" t="s">
        <v>668</v>
      </c>
      <c r="H52" s="22" t="s">
        <v>166</v>
      </c>
      <c r="I52" s="22" t="s">
        <v>151</v>
      </c>
      <c r="J52" s="22" t="s">
        <v>152</v>
      </c>
      <c r="K52" s="22" t="s">
        <v>68</v>
      </c>
      <c r="L52" s="54" t="s">
        <v>153</v>
      </c>
      <c r="M52" s="23" t="s">
        <v>153</v>
      </c>
      <c r="N52" s="24" t="s">
        <v>153</v>
      </c>
      <c r="O52" s="23" t="s">
        <v>153</v>
      </c>
      <c r="P52" s="23" t="s">
        <v>153</v>
      </c>
      <c r="Q52" s="23" t="s">
        <v>153</v>
      </c>
      <c r="R52" s="23" t="s">
        <v>153</v>
      </c>
      <c r="S52" s="23" t="s">
        <v>153</v>
      </c>
      <c r="T52" s="24" t="s">
        <v>156</v>
      </c>
      <c r="U52" s="24" t="s">
        <v>153</v>
      </c>
      <c r="V52" s="54" t="s">
        <v>156</v>
      </c>
      <c r="W52" s="23" t="s">
        <v>153</v>
      </c>
      <c r="X52" s="23" t="s">
        <v>153</v>
      </c>
      <c r="Y52" s="23" t="s">
        <v>153</v>
      </c>
      <c r="Z52" s="23" t="s">
        <v>153</v>
      </c>
      <c r="AA52" s="23" t="s">
        <v>153</v>
      </c>
      <c r="AB52" s="24" t="s">
        <v>153</v>
      </c>
      <c r="AC52" s="23" t="s">
        <v>153</v>
      </c>
      <c r="AD52" s="23" t="s">
        <v>153</v>
      </c>
      <c r="AE52" s="23" t="s">
        <v>153</v>
      </c>
      <c r="AF52" s="23" t="s">
        <v>153</v>
      </c>
      <c r="AG52" s="23" t="s">
        <v>153</v>
      </c>
      <c r="AH52" s="24" t="s">
        <v>156</v>
      </c>
      <c r="AI52" s="24" t="s">
        <v>153</v>
      </c>
      <c r="AJ52" s="24" t="s">
        <v>156</v>
      </c>
      <c r="AK52" s="23" t="s">
        <v>153</v>
      </c>
      <c r="AL52" s="23" t="s">
        <v>153</v>
      </c>
      <c r="AM52" s="23" t="s">
        <v>153</v>
      </c>
      <c r="AN52" s="23" t="s">
        <v>153</v>
      </c>
      <c r="AO52" s="23" t="s">
        <v>153</v>
      </c>
      <c r="AP52" s="23">
        <f>VALUE(0)</f>
        <v>0</v>
      </c>
      <c r="AQ52" s="23">
        <f>VALUE(0)</f>
        <v>0</v>
      </c>
      <c r="AR52" s="23">
        <f>VALUE(0)</f>
        <v>0</v>
      </c>
      <c r="AS52" s="23">
        <f>VALUE(0)</f>
        <v>0</v>
      </c>
      <c r="AT52" s="23">
        <f>VALUE(0)</f>
        <v>0</v>
      </c>
      <c r="AU52" s="23">
        <f>VALUE(0)</f>
        <v>0</v>
      </c>
      <c r="AV52" s="23">
        <f>VALUE(3)</f>
        <v>3</v>
      </c>
      <c r="AW52" s="23">
        <f>VALUE(0)</f>
        <v>0</v>
      </c>
      <c r="AX52" s="23" t="s">
        <v>1185</v>
      </c>
      <c r="AY52" s="23">
        <f>VALUE(0)</f>
        <v>0</v>
      </c>
      <c r="AZ52" s="23">
        <f>VALUE(0)</f>
        <v>0</v>
      </c>
      <c r="BA52" s="23">
        <f>VALUE(0)</f>
        <v>0</v>
      </c>
      <c r="BB52" s="23">
        <f>VALUE(0)</f>
        <v>0</v>
      </c>
      <c r="BC52" s="23">
        <f>VALUE(0)</f>
        <v>0</v>
      </c>
      <c r="BD52" s="23">
        <f>VALUE(0)</f>
        <v>0</v>
      </c>
      <c r="BE52" s="23">
        <f>VALUE(0)</f>
        <v>0</v>
      </c>
      <c r="BF52" s="23">
        <f>VALUE(0)</f>
        <v>0</v>
      </c>
      <c r="BG52" s="23">
        <f>VALUE(0)</f>
        <v>0</v>
      </c>
      <c r="BH52" s="23">
        <f>VALUE(0)</f>
        <v>0</v>
      </c>
      <c r="BI52" s="23">
        <f>VALUE(0)</f>
        <v>0</v>
      </c>
      <c r="BJ52" s="23">
        <f>VALUE(0)</f>
        <v>0</v>
      </c>
      <c r="BK52" s="12">
        <f>$AX$52*24</f>
        <v>88.75</v>
      </c>
      <c r="BL52" s="12">
        <f>$AY$52*24</f>
        <v>0</v>
      </c>
      <c r="BM52" s="12">
        <f>$BJ$52*24</f>
        <v>0</v>
      </c>
      <c r="BN52" s="12">
        <f>VALUE($I$52)/100</f>
        <v>1</v>
      </c>
      <c r="BO52" s="12">
        <v>0</v>
      </c>
      <c r="BP52" s="12">
        <v>0</v>
      </c>
      <c r="BQ52" s="12">
        <v>0</v>
      </c>
      <c r="BR52" s="12">
        <v>0</v>
      </c>
      <c r="BS52" s="12">
        <v>0</v>
      </c>
      <c r="BT52" s="12">
        <v>0</v>
      </c>
      <c r="BU52" s="12">
        <v>0</v>
      </c>
      <c r="BV52" s="12">
        <v>0</v>
      </c>
      <c r="BW52" s="12">
        <v>0</v>
      </c>
      <c r="BX52" s="12">
        <v>0</v>
      </c>
      <c r="BY52" s="12">
        <v>0</v>
      </c>
      <c r="BZ52" s="12">
        <v>0</v>
      </c>
      <c r="CA52" s="12">
        <v>0</v>
      </c>
    </row>
    <row r="53" spans="1:79" hidden="1" x14ac:dyDescent="0.2">
      <c r="A53" s="12" t="s">
        <v>102</v>
      </c>
      <c r="B53" s="12" t="s">
        <v>107</v>
      </c>
      <c r="C53" s="12" t="s">
        <v>107</v>
      </c>
      <c r="D53" s="22" t="s">
        <v>250</v>
      </c>
      <c r="E53" s="22" t="s">
        <v>149</v>
      </c>
      <c r="F53" s="22" t="s">
        <v>669</v>
      </c>
      <c r="G53" s="22" t="s">
        <v>670</v>
      </c>
      <c r="H53" s="22" t="s">
        <v>166</v>
      </c>
      <c r="I53" s="22" t="s">
        <v>151</v>
      </c>
      <c r="J53" s="22" t="s">
        <v>152</v>
      </c>
      <c r="K53" s="22" t="s">
        <v>68</v>
      </c>
      <c r="L53" s="54" t="s">
        <v>153</v>
      </c>
      <c r="M53" s="23" t="s">
        <v>153</v>
      </c>
      <c r="N53" s="24" t="s">
        <v>153</v>
      </c>
      <c r="O53" s="23" t="s">
        <v>153</v>
      </c>
      <c r="P53" s="23" t="s">
        <v>153</v>
      </c>
      <c r="Q53" s="23" t="s">
        <v>153</v>
      </c>
      <c r="R53" s="23" t="s">
        <v>153</v>
      </c>
      <c r="S53" s="23" t="s">
        <v>153</v>
      </c>
      <c r="T53" s="24" t="s">
        <v>156</v>
      </c>
      <c r="U53" s="24" t="s">
        <v>153</v>
      </c>
      <c r="V53" s="54" t="s">
        <v>156</v>
      </c>
      <c r="W53" s="23" t="s">
        <v>153</v>
      </c>
      <c r="X53" s="23" t="s">
        <v>153</v>
      </c>
      <c r="Y53" s="23" t="s">
        <v>153</v>
      </c>
      <c r="Z53" s="23" t="s">
        <v>153</v>
      </c>
      <c r="AA53" s="23" t="s">
        <v>153</v>
      </c>
      <c r="AB53" s="24" t="s">
        <v>153</v>
      </c>
      <c r="AC53" s="23" t="s">
        <v>153</v>
      </c>
      <c r="AD53" s="23" t="s">
        <v>153</v>
      </c>
      <c r="AE53" s="23" t="s">
        <v>153</v>
      </c>
      <c r="AF53" s="23" t="s">
        <v>153</v>
      </c>
      <c r="AG53" s="23" t="s">
        <v>153</v>
      </c>
      <c r="AH53" s="24" t="s">
        <v>156</v>
      </c>
      <c r="AI53" s="24" t="s">
        <v>153</v>
      </c>
      <c r="AJ53" s="24" t="s">
        <v>156</v>
      </c>
      <c r="AK53" s="23" t="s">
        <v>153</v>
      </c>
      <c r="AL53" s="23" t="s">
        <v>153</v>
      </c>
      <c r="AM53" s="23" t="s">
        <v>153</v>
      </c>
      <c r="AN53" s="23" t="s">
        <v>153</v>
      </c>
      <c r="AO53" s="23" t="s">
        <v>153</v>
      </c>
      <c r="AP53" s="23">
        <f>VALUE(0)</f>
        <v>0</v>
      </c>
      <c r="AQ53" s="23">
        <f>VALUE(0)</f>
        <v>0</v>
      </c>
      <c r="AR53" s="23">
        <f>VALUE(0)</f>
        <v>0</v>
      </c>
      <c r="AS53" s="23">
        <f>VALUE(0)</f>
        <v>0</v>
      </c>
      <c r="AT53" s="23">
        <f>VALUE(0)</f>
        <v>0</v>
      </c>
      <c r="AU53" s="23">
        <f>VALUE(0)</f>
        <v>0</v>
      </c>
      <c r="AV53" s="23">
        <f>VALUE(0)</f>
        <v>0</v>
      </c>
      <c r="AW53" s="23">
        <f>VALUE(0)</f>
        <v>0</v>
      </c>
      <c r="AX53" s="23" t="s">
        <v>1186</v>
      </c>
      <c r="AY53" s="23">
        <f>VALUE(0)</f>
        <v>0</v>
      </c>
      <c r="AZ53" s="23">
        <f>VALUE(0)</f>
        <v>0</v>
      </c>
      <c r="BA53" s="23">
        <f>VALUE(0)</f>
        <v>0</v>
      </c>
      <c r="BB53" s="23">
        <f>VALUE(0)</f>
        <v>0</v>
      </c>
      <c r="BC53" s="23">
        <f>VALUE(0)</f>
        <v>0</v>
      </c>
      <c r="BD53" s="23">
        <f>VALUE(0)</f>
        <v>0</v>
      </c>
      <c r="BE53" s="23">
        <f>VALUE(0)</f>
        <v>0</v>
      </c>
      <c r="BF53" s="23">
        <f>VALUE(0)</f>
        <v>0</v>
      </c>
      <c r="BG53" s="23">
        <f>VALUE(0)</f>
        <v>0</v>
      </c>
      <c r="BH53" s="23">
        <f>VALUE(0)</f>
        <v>0</v>
      </c>
      <c r="BI53" s="23">
        <f>VALUE(0)</f>
        <v>0</v>
      </c>
      <c r="BJ53" s="23">
        <f>VALUE(0)</f>
        <v>0</v>
      </c>
      <c r="BK53" s="12">
        <f>$AX$53*24</f>
        <v>4.833333333333333</v>
      </c>
      <c r="BL53" s="12">
        <f>$AY$53*24</f>
        <v>0</v>
      </c>
      <c r="BM53" s="12">
        <f>$BJ$53*24</f>
        <v>0</v>
      </c>
      <c r="BN53" s="12">
        <f>VALUE($I$53)/100</f>
        <v>1</v>
      </c>
      <c r="BO53" s="12">
        <v>0</v>
      </c>
      <c r="BP53" s="12">
        <v>0</v>
      </c>
      <c r="BQ53" s="12">
        <v>0</v>
      </c>
      <c r="BR53" s="12">
        <v>0</v>
      </c>
      <c r="BS53" s="12">
        <v>0</v>
      </c>
      <c r="BT53" s="12">
        <v>0</v>
      </c>
      <c r="BU53" s="12">
        <v>0</v>
      </c>
      <c r="BV53" s="12">
        <v>0</v>
      </c>
      <c r="BW53" s="12">
        <v>0</v>
      </c>
      <c r="BX53" s="12">
        <v>0</v>
      </c>
      <c r="BY53" s="12">
        <v>0</v>
      </c>
      <c r="BZ53" s="12">
        <v>0</v>
      </c>
      <c r="CA53" s="12">
        <v>0</v>
      </c>
    </row>
    <row r="54" spans="1:79" hidden="1" x14ac:dyDescent="0.2">
      <c r="A54" s="12" t="s">
        <v>102</v>
      </c>
      <c r="B54" s="12" t="s">
        <v>107</v>
      </c>
      <c r="C54" s="12" t="s">
        <v>107</v>
      </c>
      <c r="D54" s="22" t="s">
        <v>251</v>
      </c>
      <c r="E54" s="22" t="s">
        <v>149</v>
      </c>
      <c r="F54" s="22" t="s">
        <v>671</v>
      </c>
      <c r="G54" s="22" t="s">
        <v>672</v>
      </c>
      <c r="H54" s="22" t="s">
        <v>166</v>
      </c>
      <c r="I54" s="22" t="s">
        <v>151</v>
      </c>
      <c r="J54" s="22" t="s">
        <v>152</v>
      </c>
      <c r="K54" s="22" t="s">
        <v>68</v>
      </c>
      <c r="L54" s="54" t="s">
        <v>153</v>
      </c>
      <c r="M54" s="24" t="s">
        <v>156</v>
      </c>
      <c r="N54" s="24" t="s">
        <v>153</v>
      </c>
      <c r="O54" s="24" t="s">
        <v>156</v>
      </c>
      <c r="P54" s="23" t="s">
        <v>153</v>
      </c>
      <c r="Q54" s="23" t="s">
        <v>153</v>
      </c>
      <c r="R54" s="23" t="s">
        <v>153</v>
      </c>
      <c r="S54" s="23" t="s">
        <v>153</v>
      </c>
      <c r="T54" s="23" t="s">
        <v>153</v>
      </c>
      <c r="U54" s="24" t="s">
        <v>153</v>
      </c>
      <c r="V54" s="54" t="s">
        <v>153</v>
      </c>
      <c r="W54" s="23" t="s">
        <v>153</v>
      </c>
      <c r="X54" s="23" t="s">
        <v>153</v>
      </c>
      <c r="Y54" s="23" t="s">
        <v>153</v>
      </c>
      <c r="Z54" s="23" t="s">
        <v>153</v>
      </c>
      <c r="AA54" s="24" t="s">
        <v>156</v>
      </c>
      <c r="AB54" s="24" t="s">
        <v>153</v>
      </c>
      <c r="AC54" s="24" t="s">
        <v>156</v>
      </c>
      <c r="AD54" s="23" t="s">
        <v>153</v>
      </c>
      <c r="AE54" s="23" t="s">
        <v>153</v>
      </c>
      <c r="AF54" s="23" t="s">
        <v>153</v>
      </c>
      <c r="AG54" s="23" t="s">
        <v>153</v>
      </c>
      <c r="AH54" s="23" t="s">
        <v>153</v>
      </c>
      <c r="AI54" s="24" t="s">
        <v>153</v>
      </c>
      <c r="AJ54" s="23" t="s">
        <v>153</v>
      </c>
      <c r="AK54" s="23" t="s">
        <v>153</v>
      </c>
      <c r="AL54" s="23" t="s">
        <v>153</v>
      </c>
      <c r="AM54" s="23" t="s">
        <v>153</v>
      </c>
      <c r="AN54" s="23" t="s">
        <v>153</v>
      </c>
      <c r="AO54" s="24" t="s">
        <v>156</v>
      </c>
      <c r="AP54" s="23">
        <f>VALUE(0)</f>
        <v>0</v>
      </c>
      <c r="AQ54" s="23">
        <f>VALUE(0)</f>
        <v>0</v>
      </c>
      <c r="AR54" s="23">
        <f>VALUE(0)</f>
        <v>0</v>
      </c>
      <c r="AS54" s="23">
        <f>VALUE(0)</f>
        <v>0</v>
      </c>
      <c r="AT54" s="23">
        <f>VALUE(0)</f>
        <v>0</v>
      </c>
      <c r="AU54" s="23">
        <f>VALUE(0)</f>
        <v>0</v>
      </c>
      <c r="AV54" s="23">
        <f>VALUE(2.5)</f>
        <v>2.5</v>
      </c>
      <c r="AW54" s="23">
        <f>VALUE(0)</f>
        <v>0</v>
      </c>
      <c r="AX54" s="23" t="s">
        <v>252</v>
      </c>
      <c r="AY54" s="23">
        <f>VALUE(0)</f>
        <v>0</v>
      </c>
      <c r="AZ54" s="23">
        <f>VALUE(0)</f>
        <v>0</v>
      </c>
      <c r="BA54" s="23">
        <f>VALUE(0)</f>
        <v>0</v>
      </c>
      <c r="BB54" s="23">
        <f>VALUE(0)</f>
        <v>0</v>
      </c>
      <c r="BC54" s="23">
        <f>VALUE(0)</f>
        <v>0</v>
      </c>
      <c r="BD54" s="23">
        <f>VALUE(0)</f>
        <v>0</v>
      </c>
      <c r="BE54" s="23">
        <f>VALUE(0)</f>
        <v>0</v>
      </c>
      <c r="BF54" s="23">
        <f>VALUE(0)</f>
        <v>0</v>
      </c>
      <c r="BG54" s="23">
        <f>VALUE(0)</f>
        <v>0</v>
      </c>
      <c r="BH54" s="23">
        <f>VALUE(0)</f>
        <v>0</v>
      </c>
      <c r="BI54" s="23">
        <f>VALUE(0)</f>
        <v>0</v>
      </c>
      <c r="BJ54" s="23">
        <f>VALUE(0)</f>
        <v>0</v>
      </c>
      <c r="BK54" s="12">
        <f>$AX$54*24</f>
        <v>7.25</v>
      </c>
      <c r="BL54" s="12">
        <f>$AY$54*24</f>
        <v>0</v>
      </c>
      <c r="BM54" s="12">
        <f>$BJ$54*24</f>
        <v>0</v>
      </c>
      <c r="BN54" s="12">
        <f>VALUE($I$54)/100</f>
        <v>1</v>
      </c>
      <c r="BO54" s="12">
        <v>0</v>
      </c>
      <c r="BP54" s="12">
        <v>0</v>
      </c>
      <c r="BQ54" s="12">
        <v>0</v>
      </c>
      <c r="BR54" s="12">
        <v>0</v>
      </c>
      <c r="BS54" s="12">
        <v>0</v>
      </c>
      <c r="BT54" s="12">
        <v>0</v>
      </c>
      <c r="BU54" s="12">
        <v>0</v>
      </c>
      <c r="BV54" s="12">
        <v>0</v>
      </c>
      <c r="BW54" s="12">
        <v>0</v>
      </c>
      <c r="BX54" s="12">
        <v>0</v>
      </c>
      <c r="BY54" s="12">
        <v>0</v>
      </c>
      <c r="BZ54" s="12">
        <v>0</v>
      </c>
      <c r="CA54" s="12">
        <v>0</v>
      </c>
    </row>
    <row r="55" spans="1:79" hidden="1" x14ac:dyDescent="0.2">
      <c r="A55" s="12" t="s">
        <v>102</v>
      </c>
      <c r="B55" s="12" t="s">
        <v>107</v>
      </c>
      <c r="C55" s="12" t="s">
        <v>107</v>
      </c>
      <c r="D55" s="22" t="s">
        <v>253</v>
      </c>
      <c r="E55" s="22" t="s">
        <v>149</v>
      </c>
      <c r="F55" s="22" t="s">
        <v>673</v>
      </c>
      <c r="G55" s="22" t="s">
        <v>674</v>
      </c>
      <c r="H55" s="22" t="s">
        <v>166</v>
      </c>
      <c r="I55" s="22" t="s">
        <v>151</v>
      </c>
      <c r="J55" s="22" t="s">
        <v>152</v>
      </c>
      <c r="K55" s="22" t="s">
        <v>68</v>
      </c>
      <c r="L55" s="54" t="s">
        <v>153</v>
      </c>
      <c r="M55" s="23" t="s">
        <v>153</v>
      </c>
      <c r="N55" s="24" t="s">
        <v>153</v>
      </c>
      <c r="O55" s="23" t="s">
        <v>153</v>
      </c>
      <c r="P55" s="23" t="s">
        <v>153</v>
      </c>
      <c r="Q55" s="23" t="s">
        <v>153</v>
      </c>
      <c r="R55" s="23" t="s">
        <v>153</v>
      </c>
      <c r="S55" s="23" t="s">
        <v>153</v>
      </c>
      <c r="T55" s="24" t="s">
        <v>156</v>
      </c>
      <c r="U55" s="24" t="s">
        <v>153</v>
      </c>
      <c r="V55" s="54" t="s">
        <v>156</v>
      </c>
      <c r="W55" s="23" t="s">
        <v>153</v>
      </c>
      <c r="X55" s="23" t="s">
        <v>153</v>
      </c>
      <c r="Y55" s="23" t="s">
        <v>153</v>
      </c>
      <c r="Z55" s="23" t="s">
        <v>153</v>
      </c>
      <c r="AA55" s="23" t="s">
        <v>153</v>
      </c>
      <c r="AB55" s="24" t="s">
        <v>153</v>
      </c>
      <c r="AC55" s="23" t="s">
        <v>153</v>
      </c>
      <c r="AD55" s="23" t="s">
        <v>153</v>
      </c>
      <c r="AE55" s="23" t="s">
        <v>153</v>
      </c>
      <c r="AF55" s="23" t="s">
        <v>153</v>
      </c>
      <c r="AG55" s="23" t="s">
        <v>153</v>
      </c>
      <c r="AH55" s="24" t="s">
        <v>156</v>
      </c>
      <c r="AI55" s="24" t="s">
        <v>153</v>
      </c>
      <c r="AJ55" s="24" t="s">
        <v>156</v>
      </c>
      <c r="AK55" s="23" t="s">
        <v>153</v>
      </c>
      <c r="AL55" s="23" t="s">
        <v>153</v>
      </c>
      <c r="AM55" s="23" t="s">
        <v>153</v>
      </c>
      <c r="AN55" s="23" t="s">
        <v>153</v>
      </c>
      <c r="AO55" s="23" t="s">
        <v>153</v>
      </c>
      <c r="AP55" s="23">
        <f>VALUE(0)</f>
        <v>0</v>
      </c>
      <c r="AQ55" s="23">
        <f>VALUE(0)</f>
        <v>0</v>
      </c>
      <c r="AR55" s="23">
        <f>VALUE(0)</f>
        <v>0</v>
      </c>
      <c r="AS55" s="23">
        <f>VALUE(0)</f>
        <v>0</v>
      </c>
      <c r="AT55" s="23">
        <f>VALUE(0)</f>
        <v>0</v>
      </c>
      <c r="AU55" s="23">
        <f>VALUE(0)</f>
        <v>0</v>
      </c>
      <c r="AV55" s="23">
        <f>VALUE(9.5)</f>
        <v>9.5</v>
      </c>
      <c r="AW55" s="23">
        <f>VALUE(0)</f>
        <v>0</v>
      </c>
      <c r="AX55" s="23" t="s">
        <v>1187</v>
      </c>
      <c r="AY55" s="23">
        <f>VALUE(0)</f>
        <v>0</v>
      </c>
      <c r="AZ55" s="23">
        <f>VALUE(0)</f>
        <v>0</v>
      </c>
      <c r="BA55" s="23">
        <f>VALUE(0)</f>
        <v>0</v>
      </c>
      <c r="BB55" s="23">
        <f>VALUE(0)</f>
        <v>0</v>
      </c>
      <c r="BC55" s="23">
        <f>VALUE(0)</f>
        <v>0</v>
      </c>
      <c r="BD55" s="23">
        <f>VALUE(0)</f>
        <v>0</v>
      </c>
      <c r="BE55" s="23">
        <f>VALUE(0)</f>
        <v>0</v>
      </c>
      <c r="BF55" s="23">
        <f>VALUE(0)</f>
        <v>0</v>
      </c>
      <c r="BG55" s="23">
        <f>VALUE(0)</f>
        <v>0</v>
      </c>
      <c r="BH55" s="23">
        <f>VALUE(0)</f>
        <v>0</v>
      </c>
      <c r="BI55" s="23">
        <f>VALUE(0)</f>
        <v>0</v>
      </c>
      <c r="BJ55" s="23">
        <f>VALUE(0)</f>
        <v>0</v>
      </c>
      <c r="BK55" s="12">
        <f>$AX$55*24</f>
        <v>8.85</v>
      </c>
      <c r="BL55" s="12">
        <f>$AY$55*24</f>
        <v>0</v>
      </c>
      <c r="BM55" s="12">
        <f>$BJ$55*24</f>
        <v>0</v>
      </c>
      <c r="BN55" s="12">
        <f>VALUE($I$55)/100</f>
        <v>1</v>
      </c>
      <c r="BO55" s="12">
        <v>0</v>
      </c>
      <c r="BP55" s="12">
        <v>0</v>
      </c>
      <c r="BQ55" s="12">
        <v>0</v>
      </c>
      <c r="BR55" s="12">
        <v>0</v>
      </c>
      <c r="BS55" s="12">
        <v>0</v>
      </c>
      <c r="BT55" s="12">
        <v>0</v>
      </c>
      <c r="BU55" s="12">
        <v>0</v>
      </c>
      <c r="BV55" s="12">
        <v>0</v>
      </c>
      <c r="BW55" s="12">
        <v>0</v>
      </c>
      <c r="BX55" s="12">
        <v>0</v>
      </c>
      <c r="BY55" s="12">
        <v>0</v>
      </c>
      <c r="BZ55" s="12">
        <v>0</v>
      </c>
      <c r="CA55" s="12">
        <v>0</v>
      </c>
    </row>
    <row r="56" spans="1:79" x14ac:dyDescent="0.2">
      <c r="A56" s="12" t="s">
        <v>102</v>
      </c>
      <c r="B56" s="12" t="s">
        <v>107</v>
      </c>
      <c r="C56" s="12" t="s">
        <v>107</v>
      </c>
      <c r="D56" s="22" t="s">
        <v>254</v>
      </c>
      <c r="E56" s="22" t="s">
        <v>149</v>
      </c>
      <c r="F56" s="22" t="s">
        <v>675</v>
      </c>
      <c r="G56" s="22" t="s">
        <v>676</v>
      </c>
      <c r="H56" s="22" t="s">
        <v>150</v>
      </c>
      <c r="I56" s="22" t="s">
        <v>151</v>
      </c>
      <c r="J56" s="22" t="s">
        <v>152</v>
      </c>
      <c r="K56" s="22" t="s">
        <v>68</v>
      </c>
      <c r="L56" s="54" t="s">
        <v>153</v>
      </c>
      <c r="M56" s="23" t="s">
        <v>153</v>
      </c>
      <c r="N56" s="24" t="s">
        <v>153</v>
      </c>
      <c r="O56" s="23" t="s">
        <v>153</v>
      </c>
      <c r="P56" s="23" t="s">
        <v>153</v>
      </c>
      <c r="Q56" s="24" t="s">
        <v>156</v>
      </c>
      <c r="R56" s="23" t="s">
        <v>153</v>
      </c>
      <c r="S56" s="23" t="s">
        <v>153</v>
      </c>
      <c r="T56" s="24" t="s">
        <v>156</v>
      </c>
      <c r="U56" s="24" t="s">
        <v>153</v>
      </c>
      <c r="V56" s="54" t="s">
        <v>153</v>
      </c>
      <c r="W56" s="23" t="s">
        <v>153</v>
      </c>
      <c r="X56" s="23" t="s">
        <v>153</v>
      </c>
      <c r="Y56" s="23" t="s">
        <v>153</v>
      </c>
      <c r="Z56" s="23" t="s">
        <v>153</v>
      </c>
      <c r="AA56" s="28" t="s">
        <v>338</v>
      </c>
      <c r="AB56" s="24" t="s">
        <v>153</v>
      </c>
      <c r="AC56" s="23" t="s">
        <v>153</v>
      </c>
      <c r="AD56" s="23" t="s">
        <v>153</v>
      </c>
      <c r="AE56" s="24" t="s">
        <v>156</v>
      </c>
      <c r="AF56" s="23" t="s">
        <v>153</v>
      </c>
      <c r="AG56" s="23" t="s">
        <v>153</v>
      </c>
      <c r="AH56" s="24" t="s">
        <v>156</v>
      </c>
      <c r="AI56" s="24" t="s">
        <v>153</v>
      </c>
      <c r="AJ56" s="23" t="s">
        <v>153</v>
      </c>
      <c r="AK56" s="23" t="s">
        <v>153</v>
      </c>
      <c r="AL56" s="23" t="s">
        <v>153</v>
      </c>
      <c r="AM56" s="23" t="s">
        <v>153</v>
      </c>
      <c r="AN56" s="23" t="s">
        <v>153</v>
      </c>
      <c r="AO56" s="23" t="s">
        <v>153</v>
      </c>
      <c r="AP56" s="23">
        <f>VALUE(0)</f>
        <v>0</v>
      </c>
      <c r="AQ56" s="23">
        <f>VALUE(0)</f>
        <v>0</v>
      </c>
      <c r="AR56" s="23">
        <f>VALUE(0)</f>
        <v>0</v>
      </c>
      <c r="AS56" s="23">
        <f>VALUE(0)</f>
        <v>0</v>
      </c>
      <c r="AT56" s="23">
        <f>VALUE(1)</f>
        <v>1</v>
      </c>
      <c r="AU56" s="23">
        <f>VALUE(0)</f>
        <v>0</v>
      </c>
      <c r="AV56" s="23">
        <f>VALUE(8)</f>
        <v>8</v>
      </c>
      <c r="AW56" s="23">
        <f>VALUE(0)</f>
        <v>0</v>
      </c>
      <c r="AX56" s="23" t="s">
        <v>171</v>
      </c>
      <c r="AY56" s="23" t="s">
        <v>255</v>
      </c>
      <c r="AZ56" s="23">
        <f>VALUE(0)</f>
        <v>0</v>
      </c>
      <c r="BA56" s="23">
        <f>VALUE(0)</f>
        <v>0</v>
      </c>
      <c r="BB56" s="23">
        <f>VALUE(0)</f>
        <v>0</v>
      </c>
      <c r="BC56" s="23">
        <f>VALUE(0)</f>
        <v>0</v>
      </c>
      <c r="BD56" s="23">
        <f>VALUE(0)</f>
        <v>0</v>
      </c>
      <c r="BE56" s="23">
        <f>VALUE(0)</f>
        <v>0</v>
      </c>
      <c r="BF56" s="23">
        <f>VALUE(0)</f>
        <v>0</v>
      </c>
      <c r="BG56" s="23">
        <f>VALUE(0)</f>
        <v>0</v>
      </c>
      <c r="BH56" s="23">
        <f>VALUE(0)</f>
        <v>0</v>
      </c>
      <c r="BI56" s="23">
        <f>VALUE(0)</f>
        <v>0</v>
      </c>
      <c r="BJ56" s="23">
        <f>VALUE(0)</f>
        <v>0</v>
      </c>
      <c r="BK56" s="12">
        <f>$AX$56*24</f>
        <v>5.833333333333333</v>
      </c>
      <c r="BL56" s="12">
        <f>$AY$56*24</f>
        <v>2.5</v>
      </c>
      <c r="BM56" s="12">
        <f>$BJ$56*24</f>
        <v>0</v>
      </c>
      <c r="BN56" s="12">
        <f>VALUE($I$56)/100</f>
        <v>1</v>
      </c>
      <c r="BO56" s="12">
        <v>0</v>
      </c>
      <c r="BP56" s="12">
        <v>0</v>
      </c>
      <c r="BQ56" s="12">
        <v>0</v>
      </c>
      <c r="BR56" s="12">
        <v>0</v>
      </c>
      <c r="BS56" s="12">
        <v>0</v>
      </c>
      <c r="BT56" s="12">
        <v>0</v>
      </c>
      <c r="BU56" s="12">
        <v>0</v>
      </c>
      <c r="BV56" s="12">
        <v>0</v>
      </c>
      <c r="BW56" s="12">
        <v>0</v>
      </c>
      <c r="BX56" s="12">
        <v>0</v>
      </c>
      <c r="BY56" s="12">
        <v>1</v>
      </c>
      <c r="BZ56" s="12">
        <v>0</v>
      </c>
      <c r="CA56" s="12">
        <v>0</v>
      </c>
    </row>
    <row r="57" spans="1:79" hidden="1" x14ac:dyDescent="0.2">
      <c r="A57" s="12" t="s">
        <v>102</v>
      </c>
      <c r="B57" s="12" t="s">
        <v>107</v>
      </c>
      <c r="C57" s="12" t="s">
        <v>107</v>
      </c>
      <c r="D57" s="22" t="s">
        <v>256</v>
      </c>
      <c r="E57" s="22" t="s">
        <v>149</v>
      </c>
      <c r="F57" s="22" t="s">
        <v>677</v>
      </c>
      <c r="G57" s="22" t="s">
        <v>678</v>
      </c>
      <c r="H57" s="22" t="s">
        <v>150</v>
      </c>
      <c r="I57" s="22" t="s">
        <v>151</v>
      </c>
      <c r="J57" s="22" t="s">
        <v>152</v>
      </c>
      <c r="K57" s="22" t="s">
        <v>68</v>
      </c>
      <c r="L57" s="54" t="s">
        <v>153</v>
      </c>
      <c r="M57" s="28" t="s">
        <v>163</v>
      </c>
      <c r="N57" s="24" t="s">
        <v>153</v>
      </c>
      <c r="O57" s="23" t="s">
        <v>153</v>
      </c>
      <c r="P57" s="23" t="s">
        <v>153</v>
      </c>
      <c r="Q57" s="23" t="s">
        <v>153</v>
      </c>
      <c r="R57" s="23" t="s">
        <v>153</v>
      </c>
      <c r="S57" s="23" t="s">
        <v>153</v>
      </c>
      <c r="T57" s="24" t="s">
        <v>156</v>
      </c>
      <c r="U57" s="24" t="s">
        <v>153</v>
      </c>
      <c r="V57" s="54" t="s">
        <v>153</v>
      </c>
      <c r="W57" s="23" t="s">
        <v>153</v>
      </c>
      <c r="X57" s="24" t="s">
        <v>156</v>
      </c>
      <c r="Y57" s="23" t="s">
        <v>153</v>
      </c>
      <c r="Z57" s="23" t="s">
        <v>153</v>
      </c>
      <c r="AA57" s="23" t="s">
        <v>153</v>
      </c>
      <c r="AB57" s="24" t="s">
        <v>153</v>
      </c>
      <c r="AC57" s="23" t="s">
        <v>153</v>
      </c>
      <c r="AD57" s="23" t="s">
        <v>153</v>
      </c>
      <c r="AE57" s="23" t="s">
        <v>153</v>
      </c>
      <c r="AF57" s="23" t="s">
        <v>153</v>
      </c>
      <c r="AG57" s="23" t="s">
        <v>153</v>
      </c>
      <c r="AH57" s="24" t="s">
        <v>156</v>
      </c>
      <c r="AI57" s="24" t="s">
        <v>153</v>
      </c>
      <c r="AJ57" s="23" t="s">
        <v>153</v>
      </c>
      <c r="AK57" s="23" t="s">
        <v>153</v>
      </c>
      <c r="AL57" s="24" t="s">
        <v>156</v>
      </c>
      <c r="AM57" s="23" t="s">
        <v>153</v>
      </c>
      <c r="AN57" s="23" t="s">
        <v>153</v>
      </c>
      <c r="AO57" s="23" t="s">
        <v>153</v>
      </c>
      <c r="AP57" s="23">
        <f>VALUE(0)</f>
        <v>0</v>
      </c>
      <c r="AQ57" s="23">
        <f>VALUE(0)</f>
        <v>0</v>
      </c>
      <c r="AR57" s="23">
        <f>VALUE(0)</f>
        <v>0</v>
      </c>
      <c r="AS57" s="23">
        <f>VALUE(0)</f>
        <v>0</v>
      </c>
      <c r="AT57" s="23">
        <f>VALUE(0)</f>
        <v>0</v>
      </c>
      <c r="AU57" s="23">
        <f>VALUE(1)</f>
        <v>1</v>
      </c>
      <c r="AV57" s="23">
        <f>VALUE(12)</f>
        <v>12</v>
      </c>
      <c r="AW57" s="23">
        <f>VALUE(0)</f>
        <v>0</v>
      </c>
      <c r="AX57" s="23" t="s">
        <v>1188</v>
      </c>
      <c r="AY57" s="23" t="s">
        <v>171</v>
      </c>
      <c r="AZ57" s="23">
        <f>VALUE(0)</f>
        <v>0</v>
      </c>
      <c r="BA57" s="23">
        <f>VALUE(0)</f>
        <v>0</v>
      </c>
      <c r="BB57" s="23">
        <f>VALUE(0)</f>
        <v>0</v>
      </c>
      <c r="BC57" s="23">
        <f>VALUE(0)</f>
        <v>0</v>
      </c>
      <c r="BD57" s="23">
        <f>VALUE(0)</f>
        <v>0</v>
      </c>
      <c r="BE57" s="23">
        <f>VALUE(0)</f>
        <v>0</v>
      </c>
      <c r="BF57" s="23">
        <f>VALUE(0)</f>
        <v>0</v>
      </c>
      <c r="BG57" s="23">
        <f>VALUE(0)</f>
        <v>0</v>
      </c>
      <c r="BH57" s="23">
        <f>VALUE(0)</f>
        <v>0</v>
      </c>
      <c r="BI57" s="23">
        <f>VALUE(0)</f>
        <v>0</v>
      </c>
      <c r="BJ57" s="23">
        <f>VALUE(0)</f>
        <v>0</v>
      </c>
      <c r="BK57" s="12">
        <f>$AX$57*24</f>
        <v>24.5</v>
      </c>
      <c r="BL57" s="12">
        <f>$AY$57*24</f>
        <v>5.833333333333333</v>
      </c>
      <c r="BM57" s="12">
        <f>$BJ$57*24</f>
        <v>0</v>
      </c>
      <c r="BN57" s="12">
        <f>VALUE($I$57)/100</f>
        <v>1</v>
      </c>
      <c r="BO57" s="12">
        <v>0</v>
      </c>
      <c r="BP57" s="12">
        <v>0</v>
      </c>
      <c r="BQ57" s="12">
        <v>0</v>
      </c>
      <c r="BR57" s="12">
        <v>0</v>
      </c>
      <c r="BS57" s="12">
        <v>0</v>
      </c>
      <c r="BT57" s="12">
        <v>0</v>
      </c>
      <c r="BU57" s="12">
        <v>0</v>
      </c>
      <c r="BV57" s="12">
        <v>0</v>
      </c>
      <c r="BW57" s="12">
        <v>0</v>
      </c>
      <c r="BX57" s="12">
        <v>0</v>
      </c>
      <c r="BY57" s="12">
        <v>0</v>
      </c>
      <c r="BZ57" s="12">
        <v>0</v>
      </c>
      <c r="CA57" s="12">
        <v>0</v>
      </c>
    </row>
    <row r="58" spans="1:79" hidden="1" x14ac:dyDescent="0.2">
      <c r="A58" s="12" t="s">
        <v>102</v>
      </c>
      <c r="B58" s="12" t="s">
        <v>107</v>
      </c>
      <c r="C58" s="12" t="s">
        <v>107</v>
      </c>
      <c r="D58" s="22" t="s">
        <v>258</v>
      </c>
      <c r="E58" s="22" t="s">
        <v>149</v>
      </c>
      <c r="F58" s="22" t="s">
        <v>679</v>
      </c>
      <c r="G58" s="22" t="s">
        <v>680</v>
      </c>
      <c r="H58" s="22" t="s">
        <v>150</v>
      </c>
      <c r="I58" s="22" t="s">
        <v>151</v>
      </c>
      <c r="J58" s="22" t="s">
        <v>152</v>
      </c>
      <c r="K58" s="22" t="s">
        <v>68</v>
      </c>
      <c r="L58" s="54" t="s">
        <v>153</v>
      </c>
      <c r="M58" s="24" t="s">
        <v>156</v>
      </c>
      <c r="N58" s="24" t="s">
        <v>153</v>
      </c>
      <c r="O58" s="24" t="s">
        <v>156</v>
      </c>
      <c r="P58" s="28" t="s">
        <v>163</v>
      </c>
      <c r="Q58" s="28" t="s">
        <v>163</v>
      </c>
      <c r="R58" s="28" t="s">
        <v>163</v>
      </c>
      <c r="S58" s="28" t="s">
        <v>163</v>
      </c>
      <c r="T58" s="28" t="s">
        <v>163</v>
      </c>
      <c r="U58" s="24" t="s">
        <v>153</v>
      </c>
      <c r="V58" s="54" t="s">
        <v>153</v>
      </c>
      <c r="W58" s="28" t="s">
        <v>163</v>
      </c>
      <c r="X58" s="28" t="s">
        <v>163</v>
      </c>
      <c r="Y58" s="28" t="s">
        <v>163</v>
      </c>
      <c r="Z58" s="28" t="s">
        <v>163</v>
      </c>
      <c r="AA58" s="28" t="s">
        <v>163</v>
      </c>
      <c r="AB58" s="24" t="s">
        <v>153</v>
      </c>
      <c r="AC58" s="28" t="s">
        <v>163</v>
      </c>
      <c r="AD58" s="23" t="s">
        <v>153</v>
      </c>
      <c r="AE58" s="23" t="s">
        <v>153</v>
      </c>
      <c r="AF58" s="23" t="s">
        <v>153</v>
      </c>
      <c r="AG58" s="23" t="s">
        <v>153</v>
      </c>
      <c r="AH58" s="23" t="s">
        <v>153</v>
      </c>
      <c r="AI58" s="24" t="s">
        <v>153</v>
      </c>
      <c r="AJ58" s="23" t="s">
        <v>153</v>
      </c>
      <c r="AK58" s="23" t="s">
        <v>153</v>
      </c>
      <c r="AL58" s="23" t="s">
        <v>153</v>
      </c>
      <c r="AM58" s="23" t="s">
        <v>153</v>
      </c>
      <c r="AN58" s="23" t="s">
        <v>153</v>
      </c>
      <c r="AO58" s="24" t="s">
        <v>156</v>
      </c>
      <c r="AP58" s="23">
        <f>VALUE(0)</f>
        <v>0</v>
      </c>
      <c r="AQ58" s="23">
        <f>VALUE(0)</f>
        <v>0</v>
      </c>
      <c r="AR58" s="23">
        <f>VALUE(0)</f>
        <v>0</v>
      </c>
      <c r="AS58" s="23">
        <f>VALUE(0)</f>
        <v>0</v>
      </c>
      <c r="AT58" s="23">
        <f>VALUE(0)</f>
        <v>0</v>
      </c>
      <c r="AU58" s="23">
        <f>VALUE(11)</f>
        <v>11</v>
      </c>
      <c r="AV58" s="23">
        <f>VALUE(0.5)</f>
        <v>0.5</v>
      </c>
      <c r="AW58" s="23">
        <f>VALUE(0)</f>
        <v>0</v>
      </c>
      <c r="AX58" s="23" t="s">
        <v>176</v>
      </c>
      <c r="AY58" s="23" t="s">
        <v>259</v>
      </c>
      <c r="AZ58" s="23">
        <f>VALUE(0)</f>
        <v>0</v>
      </c>
      <c r="BA58" s="23">
        <f>VALUE(0)</f>
        <v>0</v>
      </c>
      <c r="BB58" s="23">
        <f>VALUE(0)</f>
        <v>0</v>
      </c>
      <c r="BC58" s="23">
        <f>VALUE(0)</f>
        <v>0</v>
      </c>
      <c r="BD58" s="23">
        <f>VALUE(0)</f>
        <v>0</v>
      </c>
      <c r="BE58" s="23">
        <f>VALUE(0)</f>
        <v>0</v>
      </c>
      <c r="BF58" s="23">
        <f>VALUE(0)</f>
        <v>0</v>
      </c>
      <c r="BG58" s="23">
        <f>VALUE(0)</f>
        <v>0</v>
      </c>
      <c r="BH58" s="23">
        <f>VALUE(0)</f>
        <v>0</v>
      </c>
      <c r="BI58" s="23">
        <f>VALUE(0)</f>
        <v>0</v>
      </c>
      <c r="BJ58" s="23">
        <f>VALUE(0)</f>
        <v>0</v>
      </c>
      <c r="BK58" s="12">
        <f>$AX$58*24</f>
        <v>0</v>
      </c>
      <c r="BL58" s="12">
        <f>$AY$58*24</f>
        <v>6.5</v>
      </c>
      <c r="BM58" s="12">
        <f>$BJ$58*24</f>
        <v>0</v>
      </c>
      <c r="BN58" s="12">
        <f>VALUE($I$58)/100</f>
        <v>1</v>
      </c>
      <c r="BO58" s="12">
        <v>0</v>
      </c>
      <c r="BP58" s="12">
        <v>0</v>
      </c>
      <c r="BQ58" s="12">
        <v>0</v>
      </c>
      <c r="BR58" s="12">
        <v>0</v>
      </c>
      <c r="BS58" s="12">
        <v>0</v>
      </c>
      <c r="BT58" s="12">
        <v>0</v>
      </c>
      <c r="BU58" s="12">
        <v>0</v>
      </c>
      <c r="BV58" s="12">
        <v>0</v>
      </c>
      <c r="BW58" s="12">
        <v>0</v>
      </c>
      <c r="BX58" s="12">
        <v>0</v>
      </c>
      <c r="BY58" s="12">
        <v>0</v>
      </c>
      <c r="BZ58" s="12">
        <v>0</v>
      </c>
      <c r="CA58" s="12">
        <v>0</v>
      </c>
    </row>
    <row r="59" spans="1:79" ht="15" hidden="1" x14ac:dyDescent="0.25">
      <c r="A59" s="12" t="s">
        <v>102</v>
      </c>
      <c r="B59" s="12" t="s">
        <v>107</v>
      </c>
      <c r="C59" s="12" t="s">
        <v>107</v>
      </c>
      <c r="D59" s="31" t="s">
        <v>333</v>
      </c>
      <c r="E59" s="31" t="s">
        <v>153</v>
      </c>
      <c r="F59" s="31" t="s">
        <v>175</v>
      </c>
      <c r="G59" s="31" t="s">
        <v>153</v>
      </c>
      <c r="H59" s="31" t="s">
        <v>153</v>
      </c>
      <c r="I59" s="31" t="s">
        <v>153</v>
      </c>
      <c r="J59" s="31" t="s">
        <v>153</v>
      </c>
      <c r="K59" s="31" t="s">
        <v>153</v>
      </c>
      <c r="L59" s="31">
        <f>VALUE(0)</f>
        <v>0</v>
      </c>
      <c r="M59" s="31">
        <f>VALUE(4)</f>
        <v>4</v>
      </c>
      <c r="N59" s="31">
        <f>VALUE(0)</f>
        <v>0</v>
      </c>
      <c r="O59" s="31">
        <f>VALUE(5)</f>
        <v>5</v>
      </c>
      <c r="P59" s="31">
        <f>VALUE(7)</f>
        <v>7</v>
      </c>
      <c r="Q59" s="31">
        <f>VALUE(6)</f>
        <v>6</v>
      </c>
      <c r="R59" s="31">
        <f>VALUE(7)</f>
        <v>7</v>
      </c>
      <c r="S59" s="31">
        <f>VALUE(7)</f>
        <v>7</v>
      </c>
      <c r="T59" s="31">
        <f>VALUE(2)</f>
        <v>2</v>
      </c>
      <c r="U59" s="31">
        <f>VALUE(0)</f>
        <v>0</v>
      </c>
      <c r="V59" s="31">
        <f>VALUE(0)</f>
        <v>0</v>
      </c>
      <c r="W59" s="31">
        <f>VALUE(6)</f>
        <v>6</v>
      </c>
      <c r="X59" s="31">
        <f>VALUE(5)</f>
        <v>5</v>
      </c>
      <c r="Y59" s="31">
        <f>VALUE(7)</f>
        <v>7</v>
      </c>
      <c r="Z59" s="31">
        <f>VALUE(7)</f>
        <v>7</v>
      </c>
      <c r="AA59" s="31">
        <f>VALUE(4)</f>
        <v>4</v>
      </c>
      <c r="AB59" s="31">
        <f>VALUE(0)</f>
        <v>0</v>
      </c>
      <c r="AC59" s="31">
        <f>VALUE(5)</f>
        <v>5</v>
      </c>
      <c r="AD59" s="31">
        <f>VALUE(8)</f>
        <v>8</v>
      </c>
      <c r="AE59" s="31">
        <f>VALUE(7)</f>
        <v>7</v>
      </c>
      <c r="AF59" s="31">
        <f>VALUE(8)</f>
        <v>8</v>
      </c>
      <c r="AG59" s="31">
        <f>VALUE(8)</f>
        <v>8</v>
      </c>
      <c r="AH59" s="31">
        <f>VALUE(3)</f>
        <v>3</v>
      </c>
      <c r="AI59" s="31">
        <f>VALUE(0)</f>
        <v>0</v>
      </c>
      <c r="AJ59" s="31">
        <f>VALUE(5)</f>
        <v>5</v>
      </c>
      <c r="AK59" s="31">
        <f>VALUE(8)</f>
        <v>8</v>
      </c>
      <c r="AL59" s="31">
        <f>VALUE(7)</f>
        <v>7</v>
      </c>
      <c r="AM59" s="31">
        <f>VALUE(8)</f>
        <v>8</v>
      </c>
      <c r="AN59" s="31">
        <f>VALUE(8)</f>
        <v>8</v>
      </c>
      <c r="AO59" s="31">
        <f>VALUE(5)</f>
        <v>5</v>
      </c>
      <c r="AP59" s="31">
        <v>0</v>
      </c>
      <c r="AQ59" s="31">
        <v>0</v>
      </c>
      <c r="AR59" s="31">
        <v>0</v>
      </c>
      <c r="AS59" s="31">
        <v>0</v>
      </c>
      <c r="AT59" s="31">
        <v>0</v>
      </c>
      <c r="AU59" s="31">
        <v>0</v>
      </c>
      <c r="AV59" s="31">
        <v>0</v>
      </c>
      <c r="AW59" s="31">
        <v>0</v>
      </c>
      <c r="AX59" s="31">
        <v>0</v>
      </c>
      <c r="AY59" s="31">
        <v>0</v>
      </c>
      <c r="AZ59" s="31">
        <v>0</v>
      </c>
      <c r="BA59" s="31">
        <v>0</v>
      </c>
      <c r="BB59" s="31">
        <v>0</v>
      </c>
      <c r="BC59" s="31">
        <v>0</v>
      </c>
      <c r="BD59" s="31">
        <v>0</v>
      </c>
      <c r="BE59" s="31">
        <v>0</v>
      </c>
      <c r="BF59" s="31">
        <v>0</v>
      </c>
      <c r="BG59" s="31">
        <v>0</v>
      </c>
      <c r="BH59" s="31">
        <v>0</v>
      </c>
      <c r="BI59" s="31">
        <v>0</v>
      </c>
      <c r="BJ59" s="31">
        <v>0</v>
      </c>
      <c r="BK59" s="12">
        <v>0</v>
      </c>
      <c r="BL59" s="12">
        <v>0</v>
      </c>
      <c r="BM59" s="12">
        <v>0</v>
      </c>
      <c r="BN59" s="12"/>
      <c r="BO59" s="12">
        <v>0</v>
      </c>
      <c r="BP59" s="12">
        <v>0</v>
      </c>
      <c r="BQ59" s="12">
        <v>0</v>
      </c>
      <c r="BR59" s="12">
        <v>0</v>
      </c>
      <c r="BS59" s="12">
        <v>0</v>
      </c>
      <c r="BT59" s="12">
        <v>0</v>
      </c>
      <c r="BU59" s="12">
        <v>0</v>
      </c>
      <c r="BV59" s="12">
        <v>0</v>
      </c>
      <c r="BW59" s="12">
        <v>0</v>
      </c>
      <c r="BX59" s="12">
        <v>0</v>
      </c>
      <c r="BY59" s="12">
        <v>0</v>
      </c>
      <c r="BZ59" s="12">
        <v>0</v>
      </c>
      <c r="CA59" s="12">
        <v>0</v>
      </c>
    </row>
    <row r="60" spans="1:79" hidden="1" x14ac:dyDescent="0.2">
      <c r="A60" s="12" t="s">
        <v>102</v>
      </c>
      <c r="B60" s="12" t="s">
        <v>108</v>
      </c>
      <c r="C60" s="12" t="s">
        <v>108</v>
      </c>
      <c r="D60" s="22" t="s">
        <v>260</v>
      </c>
      <c r="E60" s="22" t="s">
        <v>173</v>
      </c>
      <c r="F60" s="22" t="s">
        <v>681</v>
      </c>
      <c r="G60" s="22" t="s">
        <v>682</v>
      </c>
      <c r="H60" s="22" t="s">
        <v>150</v>
      </c>
      <c r="I60" s="22" t="s">
        <v>151</v>
      </c>
      <c r="J60" s="22" t="s">
        <v>162</v>
      </c>
      <c r="K60" s="22" t="s">
        <v>69</v>
      </c>
      <c r="L60" s="54" t="s">
        <v>156</v>
      </c>
      <c r="M60" s="23" t="s">
        <v>153</v>
      </c>
      <c r="N60" s="24" t="s">
        <v>153</v>
      </c>
      <c r="O60" s="23" t="s">
        <v>153</v>
      </c>
      <c r="P60" s="23" t="s">
        <v>153</v>
      </c>
      <c r="Q60" s="24" t="s">
        <v>156</v>
      </c>
      <c r="R60" s="23" t="s">
        <v>153</v>
      </c>
      <c r="S60" s="23" t="s">
        <v>153</v>
      </c>
      <c r="T60" s="23" t="s">
        <v>153</v>
      </c>
      <c r="U60" s="24" t="s">
        <v>153</v>
      </c>
      <c r="V60" s="54" t="s">
        <v>153</v>
      </c>
      <c r="W60" s="23" t="s">
        <v>153</v>
      </c>
      <c r="X60" s="23" t="s">
        <v>153</v>
      </c>
      <c r="Y60" s="24" t="s">
        <v>156</v>
      </c>
      <c r="Z60" s="23" t="s">
        <v>153</v>
      </c>
      <c r="AA60" s="23" t="s">
        <v>153</v>
      </c>
      <c r="AB60" s="24" t="s">
        <v>153</v>
      </c>
      <c r="AC60" s="23" t="s">
        <v>153</v>
      </c>
      <c r="AD60" s="23" t="s">
        <v>153</v>
      </c>
      <c r="AE60" s="24" t="s">
        <v>156</v>
      </c>
      <c r="AF60" s="23" t="s">
        <v>153</v>
      </c>
      <c r="AG60" s="23" t="s">
        <v>153</v>
      </c>
      <c r="AH60" s="23" t="s">
        <v>153</v>
      </c>
      <c r="AI60" s="24" t="s">
        <v>153</v>
      </c>
      <c r="AJ60" s="23" t="s">
        <v>153</v>
      </c>
      <c r="AK60" s="23" t="s">
        <v>153</v>
      </c>
      <c r="AL60" s="23" t="s">
        <v>153</v>
      </c>
      <c r="AM60" s="23" t="s">
        <v>153</v>
      </c>
      <c r="AN60" s="24" t="s">
        <v>156</v>
      </c>
      <c r="AO60" s="30" t="s">
        <v>29</v>
      </c>
      <c r="AP60" s="23">
        <f>VALUE(0)</f>
        <v>0</v>
      </c>
      <c r="AQ60" s="23">
        <f>VALUE(0)</f>
        <v>0</v>
      </c>
      <c r="AR60" s="23">
        <f>VALUE(0)</f>
        <v>0</v>
      </c>
      <c r="AS60" s="23">
        <f>VALUE(0)</f>
        <v>0</v>
      </c>
      <c r="AT60" s="23">
        <f>VALUE(0)</f>
        <v>0</v>
      </c>
      <c r="AU60" s="23">
        <f>VALUE(0)</f>
        <v>0</v>
      </c>
      <c r="AV60" s="23">
        <f>VALUE(6)</f>
        <v>6</v>
      </c>
      <c r="AW60" s="23">
        <f>VALUE(0)</f>
        <v>0</v>
      </c>
      <c r="AX60" s="23" t="s">
        <v>445</v>
      </c>
      <c r="AY60" s="23" t="s">
        <v>1189</v>
      </c>
      <c r="AZ60" s="23">
        <f>VALUE(0)</f>
        <v>0</v>
      </c>
      <c r="BA60" s="23">
        <f>VALUE(0)</f>
        <v>0</v>
      </c>
      <c r="BB60" s="23">
        <f>VALUE(0)</f>
        <v>0</v>
      </c>
      <c r="BC60" s="23">
        <f>VALUE(0)</f>
        <v>0</v>
      </c>
      <c r="BD60" s="23">
        <f>VALUE(0)</f>
        <v>0</v>
      </c>
      <c r="BE60" s="23">
        <f>VALUE(0)</f>
        <v>0</v>
      </c>
      <c r="BF60" s="23">
        <f>VALUE(0)</f>
        <v>0</v>
      </c>
      <c r="BG60" s="23">
        <f>VALUE(0)</f>
        <v>0</v>
      </c>
      <c r="BH60" s="23">
        <f>VALUE(0)</f>
        <v>0</v>
      </c>
      <c r="BI60" s="23">
        <f>VALUE(0)</f>
        <v>0</v>
      </c>
      <c r="BJ60" s="23">
        <f>VALUE(0)</f>
        <v>0</v>
      </c>
      <c r="BK60" s="12">
        <f>$AX$60*24</f>
        <v>17.5</v>
      </c>
      <c r="BL60" s="12">
        <f>$AY$60*24</f>
        <v>142</v>
      </c>
      <c r="BM60" s="12">
        <f>$BJ$60*24</f>
        <v>0</v>
      </c>
      <c r="BN60" s="12">
        <f>VALUE($I$60)/100</f>
        <v>1</v>
      </c>
      <c r="BO60" s="12">
        <v>0</v>
      </c>
      <c r="BP60" s="12">
        <v>0</v>
      </c>
      <c r="BQ60" s="12">
        <v>0</v>
      </c>
      <c r="BR60" s="12">
        <v>0</v>
      </c>
      <c r="BS60" s="12">
        <v>0</v>
      </c>
      <c r="BT60" s="12">
        <v>0</v>
      </c>
      <c r="BU60" s="12">
        <v>0</v>
      </c>
      <c r="BV60" s="12">
        <v>0</v>
      </c>
      <c r="BW60" s="12">
        <v>0</v>
      </c>
      <c r="BX60" s="12">
        <v>0</v>
      </c>
      <c r="BY60" s="12">
        <v>0</v>
      </c>
      <c r="BZ60" s="12">
        <v>0</v>
      </c>
      <c r="CA60" s="12">
        <v>0</v>
      </c>
    </row>
    <row r="61" spans="1:79" ht="15" hidden="1" x14ac:dyDescent="0.25">
      <c r="A61" s="12" t="s">
        <v>102</v>
      </c>
      <c r="B61" s="12" t="s">
        <v>108</v>
      </c>
      <c r="C61" s="12" t="s">
        <v>108</v>
      </c>
      <c r="D61" s="31" t="s">
        <v>262</v>
      </c>
      <c r="E61" s="31" t="s">
        <v>153</v>
      </c>
      <c r="F61" s="31" t="s">
        <v>175</v>
      </c>
      <c r="G61" s="31" t="s">
        <v>153</v>
      </c>
      <c r="H61" s="31" t="s">
        <v>153</v>
      </c>
      <c r="I61" s="31" t="s">
        <v>153</v>
      </c>
      <c r="J61" s="31" t="s">
        <v>153</v>
      </c>
      <c r="K61" s="31" t="s">
        <v>153</v>
      </c>
      <c r="L61" s="31">
        <f>VALUE(0)</f>
        <v>0</v>
      </c>
      <c r="M61" s="31">
        <f>VALUE(1)</f>
        <v>1</v>
      </c>
      <c r="N61" s="31">
        <f>VALUE(0)</f>
        <v>0</v>
      </c>
      <c r="O61" s="31">
        <f>VALUE(1)</f>
        <v>1</v>
      </c>
      <c r="P61" s="31">
        <f>VALUE(1)</f>
        <v>1</v>
      </c>
      <c r="Q61" s="31">
        <f>VALUE(0)</f>
        <v>0</v>
      </c>
      <c r="R61" s="31">
        <f>VALUE(1)</f>
        <v>1</v>
      </c>
      <c r="S61" s="31">
        <f>VALUE(1)</f>
        <v>1</v>
      </c>
      <c r="T61" s="31">
        <f>VALUE(1)</f>
        <v>1</v>
      </c>
      <c r="U61" s="31">
        <f>VALUE(0)</f>
        <v>0</v>
      </c>
      <c r="V61" s="31">
        <f>VALUE(0)</f>
        <v>0</v>
      </c>
      <c r="W61" s="31">
        <f>VALUE(1)</f>
        <v>1</v>
      </c>
      <c r="X61" s="31">
        <f>VALUE(1)</f>
        <v>1</v>
      </c>
      <c r="Y61" s="31">
        <f>VALUE(0)</f>
        <v>0</v>
      </c>
      <c r="Z61" s="31">
        <f>VALUE(1)</f>
        <v>1</v>
      </c>
      <c r="AA61" s="31">
        <f>VALUE(1)</f>
        <v>1</v>
      </c>
      <c r="AB61" s="31">
        <f>VALUE(0)</f>
        <v>0</v>
      </c>
      <c r="AC61" s="31">
        <f>VALUE(1)</f>
        <v>1</v>
      </c>
      <c r="AD61" s="31">
        <f>VALUE(1)</f>
        <v>1</v>
      </c>
      <c r="AE61" s="31">
        <f>VALUE(0)</f>
        <v>0</v>
      </c>
      <c r="AF61" s="31">
        <f>VALUE(1)</f>
        <v>1</v>
      </c>
      <c r="AG61" s="31">
        <f>VALUE(1)</f>
        <v>1</v>
      </c>
      <c r="AH61" s="31">
        <f>VALUE(1)</f>
        <v>1</v>
      </c>
      <c r="AI61" s="31">
        <f>VALUE(0)</f>
        <v>0</v>
      </c>
      <c r="AJ61" s="31">
        <f>VALUE(1)</f>
        <v>1</v>
      </c>
      <c r="AK61" s="31">
        <f>VALUE(1)</f>
        <v>1</v>
      </c>
      <c r="AL61" s="31">
        <f>VALUE(1)</f>
        <v>1</v>
      </c>
      <c r="AM61" s="31">
        <f>VALUE(1)</f>
        <v>1</v>
      </c>
      <c r="AN61" s="31">
        <f>VALUE(0)</f>
        <v>0</v>
      </c>
      <c r="AO61" s="31">
        <f>VALUE(0)</f>
        <v>0</v>
      </c>
      <c r="AP61" s="31">
        <v>0</v>
      </c>
      <c r="AQ61" s="31">
        <v>0</v>
      </c>
      <c r="AR61" s="31">
        <v>0</v>
      </c>
      <c r="AS61" s="31">
        <v>0</v>
      </c>
      <c r="AT61" s="31">
        <v>0</v>
      </c>
      <c r="AU61" s="31">
        <v>0</v>
      </c>
      <c r="AV61" s="31">
        <v>0</v>
      </c>
      <c r="AW61" s="31">
        <v>0</v>
      </c>
      <c r="AX61" s="31">
        <v>0</v>
      </c>
      <c r="AY61" s="31">
        <v>0</v>
      </c>
      <c r="AZ61" s="31">
        <v>0</v>
      </c>
      <c r="BA61" s="31">
        <v>0</v>
      </c>
      <c r="BB61" s="31">
        <v>0</v>
      </c>
      <c r="BC61" s="31">
        <v>0</v>
      </c>
      <c r="BD61" s="31">
        <v>0</v>
      </c>
      <c r="BE61" s="31">
        <v>0</v>
      </c>
      <c r="BF61" s="31">
        <v>0</v>
      </c>
      <c r="BG61" s="31">
        <v>0</v>
      </c>
      <c r="BH61" s="31">
        <v>0</v>
      </c>
      <c r="BI61" s="31">
        <v>0</v>
      </c>
      <c r="BJ61" s="31">
        <v>0</v>
      </c>
      <c r="BK61" s="12">
        <v>0</v>
      </c>
      <c r="BL61" s="12">
        <v>0</v>
      </c>
      <c r="BM61" s="12">
        <v>0</v>
      </c>
      <c r="BN61" s="12"/>
      <c r="BO61" s="12">
        <v>0</v>
      </c>
      <c r="BP61" s="12">
        <v>0</v>
      </c>
      <c r="BQ61" s="12">
        <v>0</v>
      </c>
      <c r="BR61" s="12">
        <v>0</v>
      </c>
      <c r="BS61" s="12">
        <v>0</v>
      </c>
      <c r="BT61" s="12">
        <v>0</v>
      </c>
      <c r="BU61" s="12">
        <v>0</v>
      </c>
      <c r="BV61" s="12">
        <v>0</v>
      </c>
      <c r="BW61" s="12">
        <v>0</v>
      </c>
      <c r="BX61" s="12">
        <v>0</v>
      </c>
      <c r="BY61" s="12">
        <v>0</v>
      </c>
      <c r="BZ61" s="12">
        <v>0</v>
      </c>
      <c r="CA61" s="12">
        <v>0</v>
      </c>
    </row>
    <row r="62" spans="1:79" hidden="1" x14ac:dyDescent="0.2">
      <c r="A62" s="12" t="s">
        <v>102</v>
      </c>
      <c r="B62" s="12" t="s">
        <v>109</v>
      </c>
      <c r="C62" s="12" t="s">
        <v>109</v>
      </c>
      <c r="D62" s="22" t="s">
        <v>263</v>
      </c>
      <c r="E62" s="22" t="s">
        <v>161</v>
      </c>
      <c r="F62" s="22" t="s">
        <v>683</v>
      </c>
      <c r="G62" s="22" t="s">
        <v>684</v>
      </c>
      <c r="H62" s="22" t="s">
        <v>150</v>
      </c>
      <c r="I62" s="22" t="s">
        <v>151</v>
      </c>
      <c r="J62" s="22" t="s">
        <v>264</v>
      </c>
      <c r="K62" s="22" t="s">
        <v>70</v>
      </c>
      <c r="L62" s="54" t="s">
        <v>153</v>
      </c>
      <c r="M62" s="23" t="s">
        <v>153</v>
      </c>
      <c r="N62" s="24" t="s">
        <v>153</v>
      </c>
      <c r="O62" s="23" t="s">
        <v>153</v>
      </c>
      <c r="P62" s="23" t="s">
        <v>153</v>
      </c>
      <c r="Q62" s="23" t="s">
        <v>153</v>
      </c>
      <c r="R62" s="23" t="s">
        <v>153</v>
      </c>
      <c r="S62" s="23" t="s">
        <v>153</v>
      </c>
      <c r="T62" s="24" t="s">
        <v>156</v>
      </c>
      <c r="U62" s="24" t="s">
        <v>153</v>
      </c>
      <c r="V62" s="54" t="s">
        <v>153</v>
      </c>
      <c r="W62" s="23" t="s">
        <v>153</v>
      </c>
      <c r="X62" s="23" t="s">
        <v>153</v>
      </c>
      <c r="Y62" s="23" t="s">
        <v>153</v>
      </c>
      <c r="Z62" s="23" t="s">
        <v>153</v>
      </c>
      <c r="AA62" s="23" t="s">
        <v>153</v>
      </c>
      <c r="AB62" s="24" t="s">
        <v>153</v>
      </c>
      <c r="AC62" s="23" t="s">
        <v>153</v>
      </c>
      <c r="AD62" s="23" t="s">
        <v>153</v>
      </c>
      <c r="AE62" s="23" t="s">
        <v>153</v>
      </c>
      <c r="AF62" s="23" t="s">
        <v>153</v>
      </c>
      <c r="AG62" s="23" t="s">
        <v>153</v>
      </c>
      <c r="AH62" s="24" t="s">
        <v>156</v>
      </c>
      <c r="AI62" s="24" t="s">
        <v>153</v>
      </c>
      <c r="AJ62" s="23" t="s">
        <v>153</v>
      </c>
      <c r="AK62" s="23" t="s">
        <v>153</v>
      </c>
      <c r="AL62" s="23" t="s">
        <v>153</v>
      </c>
      <c r="AM62" s="23" t="s">
        <v>153</v>
      </c>
      <c r="AN62" s="23" t="s">
        <v>153</v>
      </c>
      <c r="AO62" s="23" t="s">
        <v>153</v>
      </c>
      <c r="AP62" s="23">
        <f>VALUE(0)</f>
        <v>0</v>
      </c>
      <c r="AQ62" s="23">
        <f>VALUE(0)</f>
        <v>0</v>
      </c>
      <c r="AR62" s="23">
        <f>VALUE(0)</f>
        <v>0</v>
      </c>
      <c r="AS62" s="23">
        <f>VALUE(0)</f>
        <v>0</v>
      </c>
      <c r="AT62" s="23">
        <f>VALUE(0)</f>
        <v>0</v>
      </c>
      <c r="AU62" s="23">
        <f>VALUE(0)</f>
        <v>0</v>
      </c>
      <c r="AV62" s="23">
        <f>VALUE(5)</f>
        <v>5</v>
      </c>
      <c r="AW62" s="23">
        <f>VALUE(0)</f>
        <v>0</v>
      </c>
      <c r="AX62" s="23" t="s">
        <v>171</v>
      </c>
      <c r="AY62" s="23" t="s">
        <v>265</v>
      </c>
      <c r="AZ62" s="23">
        <f>VALUE(0)</f>
        <v>0</v>
      </c>
      <c r="BA62" s="23">
        <f>VALUE(0)</f>
        <v>0</v>
      </c>
      <c r="BB62" s="23">
        <f>VALUE(0)</f>
        <v>0</v>
      </c>
      <c r="BC62" s="23">
        <f>VALUE(0)</f>
        <v>0</v>
      </c>
      <c r="BD62" s="23">
        <f>VALUE(0)</f>
        <v>0</v>
      </c>
      <c r="BE62" s="23">
        <f>VALUE(0)</f>
        <v>0</v>
      </c>
      <c r="BF62" s="23">
        <f>VALUE(0)</f>
        <v>0</v>
      </c>
      <c r="BG62" s="23">
        <f>VALUE(0)</f>
        <v>0</v>
      </c>
      <c r="BH62" s="23">
        <f>VALUE(0)</f>
        <v>0</v>
      </c>
      <c r="BI62" s="23">
        <f>VALUE(0)</f>
        <v>0</v>
      </c>
      <c r="BJ62" s="23">
        <f>VALUE(0)</f>
        <v>0</v>
      </c>
      <c r="BK62" s="12">
        <f>$AX$62*24</f>
        <v>5.833333333333333</v>
      </c>
      <c r="BL62" s="12">
        <f>$AY$62*24</f>
        <v>5.7666666666666666</v>
      </c>
      <c r="BM62" s="12">
        <f>$BJ$62*24</f>
        <v>0</v>
      </c>
      <c r="BN62" s="12">
        <f>VALUE($I$62)/100</f>
        <v>1</v>
      </c>
      <c r="BO62" s="12">
        <v>0</v>
      </c>
      <c r="BP62" s="12">
        <v>0</v>
      </c>
      <c r="BQ62" s="12">
        <v>0</v>
      </c>
      <c r="BR62" s="12">
        <v>0</v>
      </c>
      <c r="BS62" s="12">
        <v>0</v>
      </c>
      <c r="BT62" s="12">
        <v>0</v>
      </c>
      <c r="BU62" s="12">
        <v>0</v>
      </c>
      <c r="BV62" s="12">
        <v>0</v>
      </c>
      <c r="BW62" s="12">
        <v>0</v>
      </c>
      <c r="BX62" s="12">
        <v>0</v>
      </c>
      <c r="BY62" s="12">
        <v>0</v>
      </c>
      <c r="BZ62" s="12">
        <v>0</v>
      </c>
      <c r="CA62" s="12">
        <v>0</v>
      </c>
    </row>
    <row r="63" spans="1:79" ht="16.5" hidden="1" x14ac:dyDescent="0.2">
      <c r="A63" s="12" t="s">
        <v>102</v>
      </c>
      <c r="B63" s="12" t="s">
        <v>109</v>
      </c>
      <c r="C63" s="12" t="s">
        <v>109</v>
      </c>
      <c r="D63" s="22" t="s">
        <v>266</v>
      </c>
      <c r="E63" s="22" t="s">
        <v>173</v>
      </c>
      <c r="F63" s="22" t="s">
        <v>685</v>
      </c>
      <c r="G63" s="22" t="s">
        <v>686</v>
      </c>
      <c r="H63" s="22" t="s">
        <v>150</v>
      </c>
      <c r="I63" s="22" t="s">
        <v>151</v>
      </c>
      <c r="J63" s="22" t="s">
        <v>181</v>
      </c>
      <c r="K63" s="22" t="s">
        <v>70</v>
      </c>
      <c r="L63" s="54" t="s">
        <v>153</v>
      </c>
      <c r="M63" s="24" t="s">
        <v>156</v>
      </c>
      <c r="N63" s="24" t="s">
        <v>153</v>
      </c>
      <c r="O63" s="28" t="s">
        <v>163</v>
      </c>
      <c r="P63" s="28" t="s">
        <v>163</v>
      </c>
      <c r="Q63" s="28" t="s">
        <v>163</v>
      </c>
      <c r="R63" s="28" t="s">
        <v>163</v>
      </c>
      <c r="S63" s="28" t="s">
        <v>163</v>
      </c>
      <c r="T63" s="28" t="s">
        <v>163</v>
      </c>
      <c r="U63" s="24" t="s">
        <v>153</v>
      </c>
      <c r="V63" s="54" t="s">
        <v>153</v>
      </c>
      <c r="W63" s="26" t="s">
        <v>267</v>
      </c>
      <c r="X63" s="26" t="s">
        <v>267</v>
      </c>
      <c r="Y63" s="26" t="s">
        <v>267</v>
      </c>
      <c r="Z63" s="26" t="s">
        <v>267</v>
      </c>
      <c r="AA63" s="24" t="s">
        <v>156</v>
      </c>
      <c r="AB63" s="24" t="s">
        <v>153</v>
      </c>
      <c r="AC63" s="28" t="s">
        <v>163</v>
      </c>
      <c r="AD63" s="28" t="s">
        <v>163</v>
      </c>
      <c r="AE63" s="28" t="s">
        <v>163</v>
      </c>
      <c r="AF63" s="28" t="s">
        <v>163</v>
      </c>
      <c r="AG63" s="28" t="s">
        <v>163</v>
      </c>
      <c r="AH63" s="28" t="s">
        <v>163</v>
      </c>
      <c r="AI63" s="24" t="s">
        <v>153</v>
      </c>
      <c r="AJ63" s="26" t="s">
        <v>267</v>
      </c>
      <c r="AK63" s="26" t="s">
        <v>267</v>
      </c>
      <c r="AL63" s="26" t="s">
        <v>267</v>
      </c>
      <c r="AM63" s="26" t="s">
        <v>267</v>
      </c>
      <c r="AN63" s="26" t="s">
        <v>267</v>
      </c>
      <c r="AO63" s="24" t="s">
        <v>156</v>
      </c>
      <c r="AP63" s="23">
        <f>VALUE(0)</f>
        <v>0</v>
      </c>
      <c r="AQ63" s="23">
        <f>VALUE(0)</f>
        <v>0</v>
      </c>
      <c r="AR63" s="23">
        <f>VALUE(0)</f>
        <v>0</v>
      </c>
      <c r="AS63" s="23">
        <f>VALUE(0)</f>
        <v>0</v>
      </c>
      <c r="AT63" s="23">
        <f>VALUE(0)</f>
        <v>0</v>
      </c>
      <c r="AU63" s="23">
        <f>VALUE(12)</f>
        <v>12</v>
      </c>
      <c r="AV63" s="23">
        <f>VALUE(2)</f>
        <v>2</v>
      </c>
      <c r="AW63" s="23">
        <f>VALUE(0)</f>
        <v>0</v>
      </c>
      <c r="AX63" s="23" t="s">
        <v>268</v>
      </c>
      <c r="AY63" s="23" t="s">
        <v>269</v>
      </c>
      <c r="AZ63" s="23">
        <f>VALUE(0)</f>
        <v>0</v>
      </c>
      <c r="BA63" s="23">
        <f>VALUE(0)</f>
        <v>0</v>
      </c>
      <c r="BB63" s="23">
        <f>VALUE(0)</f>
        <v>0</v>
      </c>
      <c r="BC63" s="23">
        <f>VALUE(0)</f>
        <v>0</v>
      </c>
      <c r="BD63" s="23">
        <f>VALUE(0)</f>
        <v>0</v>
      </c>
      <c r="BE63" s="23">
        <f>VALUE(0)</f>
        <v>0</v>
      </c>
      <c r="BF63" s="23">
        <f>VALUE(0)</f>
        <v>0</v>
      </c>
      <c r="BG63" s="23">
        <f>VALUE(0)</f>
        <v>0</v>
      </c>
      <c r="BH63" s="23">
        <f>VALUE(0)</f>
        <v>0</v>
      </c>
      <c r="BI63" s="23">
        <f>VALUE(0)</f>
        <v>0</v>
      </c>
      <c r="BJ63" s="23">
        <f>VALUE(0)</f>
        <v>0</v>
      </c>
      <c r="BK63" s="12">
        <f>$AX$63*24</f>
        <v>5.5333333333333332</v>
      </c>
      <c r="BL63" s="12">
        <f>$AY$63*24</f>
        <v>2.25</v>
      </c>
      <c r="BM63" s="12">
        <f>$BJ$63*24</f>
        <v>0</v>
      </c>
      <c r="BN63" s="12">
        <f>VALUE($I$63)/100</f>
        <v>1</v>
      </c>
      <c r="BO63" s="12">
        <v>0</v>
      </c>
      <c r="BP63" s="12">
        <v>0</v>
      </c>
      <c r="BQ63" s="12">
        <v>0</v>
      </c>
      <c r="BR63" s="12">
        <v>0</v>
      </c>
      <c r="BS63" s="12">
        <v>0</v>
      </c>
      <c r="BT63" s="12">
        <v>0</v>
      </c>
      <c r="BU63" s="12">
        <v>0</v>
      </c>
      <c r="BV63" s="12">
        <v>0</v>
      </c>
      <c r="BW63" s="12">
        <v>0</v>
      </c>
      <c r="BX63" s="12">
        <v>0</v>
      </c>
      <c r="BY63" s="12">
        <v>0</v>
      </c>
      <c r="BZ63" s="12">
        <v>0</v>
      </c>
      <c r="CA63" s="12">
        <v>0</v>
      </c>
    </row>
    <row r="64" spans="1:79" hidden="1" x14ac:dyDescent="0.2">
      <c r="A64" s="12" t="s">
        <v>102</v>
      </c>
      <c r="B64" s="12" t="s">
        <v>109</v>
      </c>
      <c r="C64" s="12" t="s">
        <v>109</v>
      </c>
      <c r="D64" s="22" t="s">
        <v>270</v>
      </c>
      <c r="E64" s="22" t="s">
        <v>161</v>
      </c>
      <c r="F64" s="22" t="s">
        <v>687</v>
      </c>
      <c r="G64" s="22" t="s">
        <v>688</v>
      </c>
      <c r="H64" s="22" t="s">
        <v>150</v>
      </c>
      <c r="I64" s="22" t="s">
        <v>151</v>
      </c>
      <c r="J64" s="22" t="s">
        <v>181</v>
      </c>
      <c r="K64" s="22" t="s">
        <v>70</v>
      </c>
      <c r="L64" s="54" t="s">
        <v>153</v>
      </c>
      <c r="M64" s="24" t="s">
        <v>156</v>
      </c>
      <c r="N64" s="24" t="s">
        <v>153</v>
      </c>
      <c r="O64" s="23" t="s">
        <v>153</v>
      </c>
      <c r="P64" s="23" t="s">
        <v>153</v>
      </c>
      <c r="Q64" s="23" t="s">
        <v>153</v>
      </c>
      <c r="R64" s="23" t="s">
        <v>153</v>
      </c>
      <c r="S64" s="23" t="s">
        <v>153</v>
      </c>
      <c r="T64" s="23" t="s">
        <v>153</v>
      </c>
      <c r="U64" s="24" t="s">
        <v>153</v>
      </c>
      <c r="V64" s="54" t="s">
        <v>153</v>
      </c>
      <c r="W64" s="23" t="s">
        <v>153</v>
      </c>
      <c r="X64" s="23" t="s">
        <v>153</v>
      </c>
      <c r="Y64" s="23" t="s">
        <v>153</v>
      </c>
      <c r="Z64" s="23" t="s">
        <v>153</v>
      </c>
      <c r="AA64" s="24" t="s">
        <v>156</v>
      </c>
      <c r="AB64" s="24" t="s">
        <v>153</v>
      </c>
      <c r="AC64" s="23" t="s">
        <v>153</v>
      </c>
      <c r="AD64" s="23" t="s">
        <v>153</v>
      </c>
      <c r="AE64" s="23" t="s">
        <v>153</v>
      </c>
      <c r="AF64" s="23" t="s">
        <v>153</v>
      </c>
      <c r="AG64" s="23" t="s">
        <v>153</v>
      </c>
      <c r="AH64" s="23" t="s">
        <v>153</v>
      </c>
      <c r="AI64" s="24" t="s">
        <v>153</v>
      </c>
      <c r="AJ64" s="23" t="s">
        <v>153</v>
      </c>
      <c r="AK64" s="23" t="s">
        <v>153</v>
      </c>
      <c r="AL64" s="23" t="s">
        <v>153</v>
      </c>
      <c r="AM64" s="23" t="s">
        <v>153</v>
      </c>
      <c r="AN64" s="23" t="s">
        <v>153</v>
      </c>
      <c r="AO64" s="24" t="s">
        <v>156</v>
      </c>
      <c r="AP64" s="23">
        <f>VALUE(0)</f>
        <v>0</v>
      </c>
      <c r="AQ64" s="23">
        <f>VALUE(0)</f>
        <v>0</v>
      </c>
      <c r="AR64" s="23">
        <f>VALUE(0)</f>
        <v>0</v>
      </c>
      <c r="AS64" s="23">
        <f>VALUE(0)</f>
        <v>0</v>
      </c>
      <c r="AT64" s="23">
        <f>VALUE(0)</f>
        <v>0</v>
      </c>
      <c r="AU64" s="23">
        <f>VALUE(0)</f>
        <v>0</v>
      </c>
      <c r="AV64" s="23">
        <f>VALUE(4)</f>
        <v>4</v>
      </c>
      <c r="AW64" s="23">
        <f>VALUE(0)</f>
        <v>0</v>
      </c>
      <c r="AX64" s="23" t="s">
        <v>271</v>
      </c>
      <c r="AY64" s="23">
        <f>VALUE(0)</f>
        <v>0</v>
      </c>
      <c r="AZ64" s="23">
        <f>VALUE(0)</f>
        <v>0</v>
      </c>
      <c r="BA64" s="23">
        <f>VALUE(0)</f>
        <v>0</v>
      </c>
      <c r="BB64" s="23">
        <f>VALUE(0)</f>
        <v>0</v>
      </c>
      <c r="BC64" s="23">
        <f>VALUE(0)</f>
        <v>0</v>
      </c>
      <c r="BD64" s="23">
        <f>VALUE(0)</f>
        <v>0</v>
      </c>
      <c r="BE64" s="23">
        <f>VALUE(0)</f>
        <v>0</v>
      </c>
      <c r="BF64" s="23">
        <f>VALUE(0)</f>
        <v>0</v>
      </c>
      <c r="BG64" s="23">
        <f>VALUE(0)</f>
        <v>0</v>
      </c>
      <c r="BH64" s="23">
        <f>VALUE(0)</f>
        <v>0</v>
      </c>
      <c r="BI64" s="23">
        <f>VALUE(0)</f>
        <v>0</v>
      </c>
      <c r="BJ64" s="23">
        <f>VALUE(0)</f>
        <v>0</v>
      </c>
      <c r="BK64" s="12">
        <f>$AX$64*24</f>
        <v>13.783333333333331</v>
      </c>
      <c r="BL64" s="12">
        <f>$AY$64*24</f>
        <v>0</v>
      </c>
      <c r="BM64" s="12">
        <f>$BJ$64*24</f>
        <v>0</v>
      </c>
      <c r="BN64" s="12">
        <f>VALUE($I$64)/100</f>
        <v>1</v>
      </c>
      <c r="BO64" s="12">
        <v>0</v>
      </c>
      <c r="BP64" s="12">
        <v>0</v>
      </c>
      <c r="BQ64" s="12">
        <v>0</v>
      </c>
      <c r="BR64" s="12">
        <v>0</v>
      </c>
      <c r="BS64" s="12">
        <v>0</v>
      </c>
      <c r="BT64" s="12">
        <v>0</v>
      </c>
      <c r="BU64" s="12">
        <v>0</v>
      </c>
      <c r="BV64" s="12">
        <v>0</v>
      </c>
      <c r="BW64" s="12">
        <v>0</v>
      </c>
      <c r="BX64" s="12">
        <v>0</v>
      </c>
      <c r="BY64" s="12">
        <v>0</v>
      </c>
      <c r="BZ64" s="12">
        <v>0</v>
      </c>
      <c r="CA64" s="12">
        <v>0</v>
      </c>
    </row>
    <row r="65" spans="1:79" hidden="1" x14ac:dyDescent="0.2">
      <c r="A65" s="12" t="s">
        <v>102</v>
      </c>
      <c r="B65" s="12" t="s">
        <v>109</v>
      </c>
      <c r="C65" s="12" t="s">
        <v>109</v>
      </c>
      <c r="D65" s="22" t="s">
        <v>240</v>
      </c>
      <c r="E65" s="22" t="s">
        <v>159</v>
      </c>
      <c r="F65" s="22" t="s">
        <v>689</v>
      </c>
      <c r="G65" s="22" t="s">
        <v>690</v>
      </c>
      <c r="H65" s="22" t="s">
        <v>150</v>
      </c>
      <c r="I65" s="22" t="s">
        <v>151</v>
      </c>
      <c r="J65" s="22" t="s">
        <v>181</v>
      </c>
      <c r="K65" s="22" t="s">
        <v>70</v>
      </c>
      <c r="L65" s="54" t="s">
        <v>153</v>
      </c>
      <c r="M65" s="24" t="s">
        <v>156</v>
      </c>
      <c r="N65" s="24" t="s">
        <v>153</v>
      </c>
      <c r="O65" s="23" t="s">
        <v>153</v>
      </c>
      <c r="P65" s="23" t="s">
        <v>153</v>
      </c>
      <c r="Q65" s="23" t="s">
        <v>153</v>
      </c>
      <c r="R65" s="23" t="s">
        <v>153</v>
      </c>
      <c r="S65" s="23" t="s">
        <v>153</v>
      </c>
      <c r="T65" s="23" t="s">
        <v>153</v>
      </c>
      <c r="U65" s="24" t="s">
        <v>153</v>
      </c>
      <c r="V65" s="54" t="s">
        <v>153</v>
      </c>
      <c r="W65" s="28" t="s">
        <v>163</v>
      </c>
      <c r="X65" s="28" t="s">
        <v>163</v>
      </c>
      <c r="Y65" s="28" t="s">
        <v>163</v>
      </c>
      <c r="Z65" s="28" t="s">
        <v>163</v>
      </c>
      <c r="AA65" s="28" t="s">
        <v>163</v>
      </c>
      <c r="AB65" s="24" t="s">
        <v>153</v>
      </c>
      <c r="AC65" s="23" t="s">
        <v>153</v>
      </c>
      <c r="AD65" s="23" t="s">
        <v>153</v>
      </c>
      <c r="AE65" s="23" t="s">
        <v>153</v>
      </c>
      <c r="AF65" s="23" t="s">
        <v>153</v>
      </c>
      <c r="AG65" s="23" t="s">
        <v>153</v>
      </c>
      <c r="AH65" s="23" t="s">
        <v>153</v>
      </c>
      <c r="AI65" s="24" t="s">
        <v>153</v>
      </c>
      <c r="AJ65" s="23" t="s">
        <v>153</v>
      </c>
      <c r="AK65" s="23" t="s">
        <v>153</v>
      </c>
      <c r="AL65" s="23" t="s">
        <v>153</v>
      </c>
      <c r="AM65" s="23" t="s">
        <v>153</v>
      </c>
      <c r="AN65" s="23" t="s">
        <v>153</v>
      </c>
      <c r="AO65" s="24" t="s">
        <v>156</v>
      </c>
      <c r="AP65" s="23">
        <f>VALUE(0)</f>
        <v>0</v>
      </c>
      <c r="AQ65" s="23">
        <f>VALUE(0)</f>
        <v>0</v>
      </c>
      <c r="AR65" s="23">
        <f>VALUE(0)</f>
        <v>0</v>
      </c>
      <c r="AS65" s="23">
        <f>VALUE(17)</f>
        <v>17</v>
      </c>
      <c r="AT65" s="23">
        <f>VALUE(0)</f>
        <v>0</v>
      </c>
      <c r="AU65" s="23">
        <f>VALUE(5)</f>
        <v>5</v>
      </c>
      <c r="AV65" s="23">
        <f>VALUE(0)</f>
        <v>0</v>
      </c>
      <c r="AW65" s="23">
        <f>VALUE(0)</f>
        <v>0</v>
      </c>
      <c r="AX65" s="23" t="s">
        <v>176</v>
      </c>
      <c r="AY65" s="23" t="s">
        <v>272</v>
      </c>
      <c r="AZ65" s="23">
        <f>VALUE(0)</f>
        <v>0</v>
      </c>
      <c r="BA65" s="23">
        <f>VALUE(0)</f>
        <v>0</v>
      </c>
      <c r="BB65" s="23">
        <f>VALUE(0)</f>
        <v>0</v>
      </c>
      <c r="BC65" s="23">
        <f>VALUE(0)</f>
        <v>0</v>
      </c>
      <c r="BD65" s="23">
        <f>VALUE(0)</f>
        <v>0</v>
      </c>
      <c r="BE65" s="23">
        <f>VALUE(0)</f>
        <v>0</v>
      </c>
      <c r="BF65" s="23">
        <f>VALUE(0)</f>
        <v>0</v>
      </c>
      <c r="BG65" s="23">
        <f>VALUE(0)</f>
        <v>0</v>
      </c>
      <c r="BH65" s="23">
        <f>VALUE(0)</f>
        <v>0</v>
      </c>
      <c r="BI65" s="23">
        <f>VALUE(0)</f>
        <v>0</v>
      </c>
      <c r="BJ65" s="23">
        <f>VALUE(0)</f>
        <v>0</v>
      </c>
      <c r="BK65" s="12">
        <f>$AX$65*24</f>
        <v>0</v>
      </c>
      <c r="BL65" s="12">
        <f>$AY$65*24</f>
        <v>11.833333333333334</v>
      </c>
      <c r="BM65" s="12">
        <f>$BJ$65*24</f>
        <v>0</v>
      </c>
      <c r="BN65" s="12">
        <f>VALUE($I$65)/100</f>
        <v>1</v>
      </c>
      <c r="BO65" s="12">
        <v>0</v>
      </c>
      <c r="BP65" s="12">
        <v>0</v>
      </c>
      <c r="BQ65" s="12">
        <v>0</v>
      </c>
      <c r="BR65" s="12">
        <v>0</v>
      </c>
      <c r="BS65" s="12">
        <v>0</v>
      </c>
      <c r="BT65" s="12">
        <v>0</v>
      </c>
      <c r="BU65" s="12">
        <v>0</v>
      </c>
      <c r="BV65" s="12">
        <v>0</v>
      </c>
      <c r="BW65" s="12">
        <v>0</v>
      </c>
      <c r="BX65" s="12">
        <v>0</v>
      </c>
      <c r="BY65" s="12">
        <v>0</v>
      </c>
      <c r="BZ65" s="12">
        <v>0</v>
      </c>
      <c r="CA65" s="12">
        <v>0</v>
      </c>
    </row>
    <row r="66" spans="1:79" x14ac:dyDescent="0.2">
      <c r="A66" s="12" t="s">
        <v>102</v>
      </c>
      <c r="B66" s="12" t="s">
        <v>109</v>
      </c>
      <c r="C66" s="12" t="s">
        <v>109</v>
      </c>
      <c r="D66" s="22" t="s">
        <v>273</v>
      </c>
      <c r="E66" s="22" t="s">
        <v>161</v>
      </c>
      <c r="F66" s="22" t="s">
        <v>691</v>
      </c>
      <c r="G66" s="22" t="s">
        <v>692</v>
      </c>
      <c r="H66" s="22" t="s">
        <v>150</v>
      </c>
      <c r="I66" s="22" t="s">
        <v>151</v>
      </c>
      <c r="J66" s="22" t="s">
        <v>181</v>
      </c>
      <c r="K66" s="22" t="s">
        <v>70</v>
      </c>
      <c r="L66" s="54" t="s">
        <v>153</v>
      </c>
      <c r="M66" s="23" t="s">
        <v>153</v>
      </c>
      <c r="N66" s="24" t="s">
        <v>153</v>
      </c>
      <c r="O66" s="28" t="s">
        <v>338</v>
      </c>
      <c r="P66" s="23" t="s">
        <v>153</v>
      </c>
      <c r="Q66" s="23" t="s">
        <v>153</v>
      </c>
      <c r="R66" s="23" t="s">
        <v>153</v>
      </c>
      <c r="S66" s="23" t="s">
        <v>153</v>
      </c>
      <c r="T66" s="23" t="s">
        <v>153</v>
      </c>
      <c r="U66" s="24" t="s">
        <v>153</v>
      </c>
      <c r="V66" s="54" t="s">
        <v>156</v>
      </c>
      <c r="W66" s="24" t="s">
        <v>156</v>
      </c>
      <c r="X66" s="23" t="s">
        <v>153</v>
      </c>
      <c r="Y66" s="23" t="s">
        <v>153</v>
      </c>
      <c r="Z66" s="23" t="s">
        <v>153</v>
      </c>
      <c r="AA66" s="23" t="s">
        <v>153</v>
      </c>
      <c r="AB66" s="24" t="s">
        <v>153</v>
      </c>
      <c r="AC66" s="23" t="s">
        <v>153</v>
      </c>
      <c r="AD66" s="23" t="s">
        <v>153</v>
      </c>
      <c r="AE66" s="23" t="s">
        <v>153</v>
      </c>
      <c r="AF66" s="23" t="s">
        <v>153</v>
      </c>
      <c r="AG66" s="23" t="s">
        <v>153</v>
      </c>
      <c r="AH66" s="23" t="s">
        <v>153</v>
      </c>
      <c r="AI66" s="24" t="s">
        <v>153</v>
      </c>
      <c r="AJ66" s="23" t="s">
        <v>153</v>
      </c>
      <c r="AK66" s="23" t="s">
        <v>153</v>
      </c>
      <c r="AL66" s="23" t="s">
        <v>153</v>
      </c>
      <c r="AM66" s="23" t="s">
        <v>153</v>
      </c>
      <c r="AN66" s="23" t="s">
        <v>153</v>
      </c>
      <c r="AO66" s="23" t="s">
        <v>153</v>
      </c>
      <c r="AP66" s="23">
        <f>VALUE(0)</f>
        <v>0</v>
      </c>
      <c r="AQ66" s="23">
        <f>VALUE(0)</f>
        <v>0</v>
      </c>
      <c r="AR66" s="23">
        <f>VALUE(0)</f>
        <v>0</v>
      </c>
      <c r="AS66" s="23">
        <f>VALUE(0)</f>
        <v>0</v>
      </c>
      <c r="AT66" s="23">
        <f>VALUE(1)</f>
        <v>1</v>
      </c>
      <c r="AU66" s="23">
        <f>VALUE(0)</f>
        <v>0</v>
      </c>
      <c r="AV66" s="23">
        <f>VALUE(5)</f>
        <v>5</v>
      </c>
      <c r="AW66" s="23">
        <f>VALUE(0)</f>
        <v>0</v>
      </c>
      <c r="AX66" s="23" t="s">
        <v>176</v>
      </c>
      <c r="AY66" s="23">
        <f>VALUE(0)</f>
        <v>0</v>
      </c>
      <c r="AZ66" s="23">
        <f>VALUE(0)</f>
        <v>0</v>
      </c>
      <c r="BA66" s="23">
        <f>VALUE(0)</f>
        <v>0</v>
      </c>
      <c r="BB66" s="23">
        <f>VALUE(0)</f>
        <v>0</v>
      </c>
      <c r="BC66" s="23">
        <f>VALUE(0)</f>
        <v>0</v>
      </c>
      <c r="BD66" s="23">
        <f>VALUE(0)</f>
        <v>0</v>
      </c>
      <c r="BE66" s="23">
        <f>VALUE(0)</f>
        <v>0</v>
      </c>
      <c r="BF66" s="23">
        <f>VALUE(0)</f>
        <v>0</v>
      </c>
      <c r="BG66" s="23">
        <f>VALUE(0)</f>
        <v>0</v>
      </c>
      <c r="BH66" s="23">
        <f>VALUE(0)</f>
        <v>0</v>
      </c>
      <c r="BI66" s="23">
        <f>VALUE(0)</f>
        <v>0</v>
      </c>
      <c r="BJ66" s="23">
        <f>VALUE(0)</f>
        <v>0</v>
      </c>
      <c r="BK66" s="12">
        <f>$AX$66*24</f>
        <v>0</v>
      </c>
      <c r="BL66" s="12">
        <f>$AY$66*24</f>
        <v>0</v>
      </c>
      <c r="BM66" s="12">
        <f>$BJ$66*24</f>
        <v>0</v>
      </c>
      <c r="BN66" s="12">
        <f>VALUE($I$66)/100</f>
        <v>1</v>
      </c>
      <c r="BO66" s="12">
        <v>0</v>
      </c>
      <c r="BP66" s="12">
        <v>0</v>
      </c>
      <c r="BQ66" s="12">
        <v>0</v>
      </c>
      <c r="BR66" s="12">
        <v>0</v>
      </c>
      <c r="BS66" s="12">
        <v>0</v>
      </c>
      <c r="BT66" s="12">
        <v>0</v>
      </c>
      <c r="BU66" s="12">
        <v>0</v>
      </c>
      <c r="BV66" s="12">
        <v>0</v>
      </c>
      <c r="BW66" s="12">
        <v>0</v>
      </c>
      <c r="BX66" s="12">
        <v>0</v>
      </c>
      <c r="BY66" s="12">
        <v>1</v>
      </c>
      <c r="BZ66" s="12">
        <v>0</v>
      </c>
      <c r="CA66" s="12">
        <v>0</v>
      </c>
    </row>
    <row r="67" spans="1:79" hidden="1" x14ac:dyDescent="0.2">
      <c r="A67" s="12" t="s">
        <v>102</v>
      </c>
      <c r="B67" s="12" t="s">
        <v>109</v>
      </c>
      <c r="C67" s="12" t="s">
        <v>109</v>
      </c>
      <c r="D67" s="22" t="s">
        <v>274</v>
      </c>
      <c r="E67" s="22" t="s">
        <v>161</v>
      </c>
      <c r="F67" s="22" t="s">
        <v>693</v>
      </c>
      <c r="G67" s="22" t="s">
        <v>694</v>
      </c>
      <c r="H67" s="22" t="s">
        <v>166</v>
      </c>
      <c r="I67" s="22" t="s">
        <v>151</v>
      </c>
      <c r="J67" s="22" t="s">
        <v>181</v>
      </c>
      <c r="K67" s="22" t="s">
        <v>70</v>
      </c>
      <c r="L67" s="54" t="s">
        <v>153</v>
      </c>
      <c r="M67" s="23" t="s">
        <v>153</v>
      </c>
      <c r="N67" s="24" t="s">
        <v>153</v>
      </c>
      <c r="O67" s="23" t="s">
        <v>153</v>
      </c>
      <c r="P67" s="23" t="s">
        <v>153</v>
      </c>
      <c r="Q67" s="23" t="s">
        <v>153</v>
      </c>
      <c r="R67" s="23" t="s">
        <v>153</v>
      </c>
      <c r="S67" s="23" t="s">
        <v>153</v>
      </c>
      <c r="T67" s="23" t="s">
        <v>153</v>
      </c>
      <c r="U67" s="24" t="s">
        <v>153</v>
      </c>
      <c r="V67" s="54" t="s">
        <v>153</v>
      </c>
      <c r="W67" s="23" t="s">
        <v>153</v>
      </c>
      <c r="X67" s="23" t="s">
        <v>153</v>
      </c>
      <c r="Y67" s="23" t="s">
        <v>153</v>
      </c>
      <c r="Z67" s="23" t="s">
        <v>153</v>
      </c>
      <c r="AA67" s="23" t="s">
        <v>153</v>
      </c>
      <c r="AB67" s="24" t="s">
        <v>153</v>
      </c>
      <c r="AC67" s="24" t="s">
        <v>156</v>
      </c>
      <c r="AD67" s="24" t="s">
        <v>156</v>
      </c>
      <c r="AE67" s="23" t="s">
        <v>153</v>
      </c>
      <c r="AF67" s="23" t="s">
        <v>153</v>
      </c>
      <c r="AG67" s="23" t="s">
        <v>153</v>
      </c>
      <c r="AH67" s="23" t="s">
        <v>153</v>
      </c>
      <c r="AI67" s="24" t="s">
        <v>153</v>
      </c>
      <c r="AJ67" s="23" t="s">
        <v>153</v>
      </c>
      <c r="AK67" s="23" t="s">
        <v>153</v>
      </c>
      <c r="AL67" s="23" t="s">
        <v>153</v>
      </c>
      <c r="AM67" s="23" t="s">
        <v>153</v>
      </c>
      <c r="AN67" s="23" t="s">
        <v>153</v>
      </c>
      <c r="AO67" s="23" t="s">
        <v>153</v>
      </c>
      <c r="AP67" s="23">
        <f>VALUE(0)</f>
        <v>0</v>
      </c>
      <c r="AQ67" s="23">
        <f>VALUE(0)</f>
        <v>0</v>
      </c>
      <c r="AR67" s="23">
        <f>VALUE(0)</f>
        <v>0</v>
      </c>
      <c r="AS67" s="23">
        <f>VALUE(0)</f>
        <v>0</v>
      </c>
      <c r="AT67" s="23">
        <f>VALUE(0)</f>
        <v>0</v>
      </c>
      <c r="AU67" s="23">
        <f>VALUE(0)</f>
        <v>0</v>
      </c>
      <c r="AV67" s="23">
        <f>VALUE(2.5)</f>
        <v>2.5</v>
      </c>
      <c r="AW67" s="23">
        <f>VALUE(0)</f>
        <v>0</v>
      </c>
      <c r="AX67" s="23" t="s">
        <v>275</v>
      </c>
      <c r="AY67" s="23">
        <f>VALUE(0)</f>
        <v>0</v>
      </c>
      <c r="AZ67" s="23">
        <f>VALUE(0)</f>
        <v>0</v>
      </c>
      <c r="BA67" s="23">
        <f>VALUE(0)</f>
        <v>0</v>
      </c>
      <c r="BB67" s="23">
        <f>VALUE(0)</f>
        <v>0</v>
      </c>
      <c r="BC67" s="23">
        <f>VALUE(0)</f>
        <v>0</v>
      </c>
      <c r="BD67" s="23">
        <f>VALUE(0)</f>
        <v>0</v>
      </c>
      <c r="BE67" s="23">
        <f>VALUE(0)</f>
        <v>0</v>
      </c>
      <c r="BF67" s="23">
        <f>VALUE(0)</f>
        <v>0</v>
      </c>
      <c r="BG67" s="23">
        <f>VALUE(0)</f>
        <v>0</v>
      </c>
      <c r="BH67" s="23">
        <f>VALUE(0)</f>
        <v>0</v>
      </c>
      <c r="BI67" s="23">
        <f>VALUE(0)</f>
        <v>0</v>
      </c>
      <c r="BJ67" s="23">
        <f>VALUE(0)</f>
        <v>0</v>
      </c>
      <c r="BK67" s="12">
        <f>$AX$67*24</f>
        <v>4.2166666666666668</v>
      </c>
      <c r="BL67" s="12">
        <f>$AY$67*24</f>
        <v>0</v>
      </c>
      <c r="BM67" s="12">
        <f>$BJ$67*24</f>
        <v>0</v>
      </c>
      <c r="BN67" s="12">
        <f>VALUE($I$67)/100</f>
        <v>1</v>
      </c>
      <c r="BO67" s="12">
        <v>0</v>
      </c>
      <c r="BP67" s="12">
        <v>0</v>
      </c>
      <c r="BQ67" s="12">
        <v>0</v>
      </c>
      <c r="BR67" s="12">
        <v>0</v>
      </c>
      <c r="BS67" s="12">
        <v>0</v>
      </c>
      <c r="BT67" s="12">
        <v>0</v>
      </c>
      <c r="BU67" s="12">
        <v>0</v>
      </c>
      <c r="BV67" s="12">
        <v>0</v>
      </c>
      <c r="BW67" s="12">
        <v>0</v>
      </c>
      <c r="BX67" s="12">
        <v>0</v>
      </c>
      <c r="BY67" s="12">
        <v>0</v>
      </c>
      <c r="BZ67" s="12">
        <v>0</v>
      </c>
      <c r="CA67" s="12">
        <v>0</v>
      </c>
    </row>
    <row r="68" spans="1:79" hidden="1" x14ac:dyDescent="0.2">
      <c r="A68" s="12" t="s">
        <v>102</v>
      </c>
      <c r="B68" s="12" t="s">
        <v>109</v>
      </c>
      <c r="C68" s="12" t="s">
        <v>109</v>
      </c>
      <c r="D68" s="22" t="s">
        <v>276</v>
      </c>
      <c r="E68" s="22" t="s">
        <v>161</v>
      </c>
      <c r="F68" s="22" t="s">
        <v>695</v>
      </c>
      <c r="G68" s="22" t="s">
        <v>696</v>
      </c>
      <c r="H68" s="22" t="s">
        <v>150</v>
      </c>
      <c r="I68" s="22" t="s">
        <v>151</v>
      </c>
      <c r="J68" s="22" t="s">
        <v>181</v>
      </c>
      <c r="K68" s="22" t="s">
        <v>70</v>
      </c>
      <c r="L68" s="54" t="s">
        <v>153</v>
      </c>
      <c r="M68" s="23" t="s">
        <v>153</v>
      </c>
      <c r="N68" s="24" t="s">
        <v>153</v>
      </c>
      <c r="O68" s="24" t="s">
        <v>156</v>
      </c>
      <c r="P68" s="24" t="s">
        <v>156</v>
      </c>
      <c r="Q68" s="23" t="s">
        <v>153</v>
      </c>
      <c r="R68" s="23" t="s">
        <v>153</v>
      </c>
      <c r="S68" s="23" t="s">
        <v>153</v>
      </c>
      <c r="T68" s="23" t="s">
        <v>153</v>
      </c>
      <c r="U68" s="24" t="s">
        <v>153</v>
      </c>
      <c r="V68" s="54" t="s">
        <v>153</v>
      </c>
      <c r="W68" s="33" t="s">
        <v>201</v>
      </c>
      <c r="X68" s="33" t="s">
        <v>201</v>
      </c>
      <c r="Y68" s="33" t="s">
        <v>201</v>
      </c>
      <c r="Z68" s="33" t="s">
        <v>201</v>
      </c>
      <c r="AA68" s="33" t="s">
        <v>201</v>
      </c>
      <c r="AB68" s="24" t="s">
        <v>153</v>
      </c>
      <c r="AC68" s="33" t="s">
        <v>201</v>
      </c>
      <c r="AD68" s="33" t="s">
        <v>201</v>
      </c>
      <c r="AE68" s="33" t="s">
        <v>201</v>
      </c>
      <c r="AF68" s="33" t="s">
        <v>201</v>
      </c>
      <c r="AG68" s="33" t="s">
        <v>201</v>
      </c>
      <c r="AH68" s="33" t="s">
        <v>201</v>
      </c>
      <c r="AI68" s="24" t="s">
        <v>153</v>
      </c>
      <c r="AJ68" s="24" t="s">
        <v>156</v>
      </c>
      <c r="AK68" s="24" t="s">
        <v>156</v>
      </c>
      <c r="AL68" s="28" t="s">
        <v>163</v>
      </c>
      <c r="AM68" s="28" t="s">
        <v>163</v>
      </c>
      <c r="AN68" s="28" t="s">
        <v>163</v>
      </c>
      <c r="AO68" s="28" t="s">
        <v>163</v>
      </c>
      <c r="AP68" s="23">
        <f>VALUE(0)</f>
        <v>0</v>
      </c>
      <c r="AQ68" s="23">
        <f>VALUE(0)</f>
        <v>0</v>
      </c>
      <c r="AR68" s="23">
        <f>VALUE(0)</f>
        <v>0</v>
      </c>
      <c r="AS68" s="23">
        <f>VALUE(0)</f>
        <v>0</v>
      </c>
      <c r="AT68" s="23">
        <f>VALUE(0)</f>
        <v>0</v>
      </c>
      <c r="AU68" s="23">
        <f>VALUE(4)</f>
        <v>4</v>
      </c>
      <c r="AV68" s="23">
        <f>VALUE(6)</f>
        <v>6</v>
      </c>
      <c r="AW68" s="23">
        <f>VALUE(0)</f>
        <v>0</v>
      </c>
      <c r="AX68" s="23" t="s">
        <v>277</v>
      </c>
      <c r="AY68" s="23">
        <f>VALUE(0)</f>
        <v>0</v>
      </c>
      <c r="AZ68" s="23">
        <f>VALUE(0)</f>
        <v>0</v>
      </c>
      <c r="BA68" s="23">
        <f>VALUE(0)</f>
        <v>0</v>
      </c>
      <c r="BB68" s="23">
        <f>VALUE(11)</f>
        <v>11</v>
      </c>
      <c r="BC68" s="23">
        <f>VALUE(0)</f>
        <v>0</v>
      </c>
      <c r="BD68" s="23">
        <f>VALUE(0)</f>
        <v>0</v>
      </c>
      <c r="BE68" s="23">
        <f>VALUE(0)</f>
        <v>0</v>
      </c>
      <c r="BF68" s="23">
        <f>VALUE(0)</f>
        <v>0</v>
      </c>
      <c r="BG68" s="23">
        <f>VALUE(0)</f>
        <v>0</v>
      </c>
      <c r="BH68" s="23">
        <f>VALUE(0)</f>
        <v>0</v>
      </c>
      <c r="BI68" s="23">
        <f>VALUE(0)</f>
        <v>0</v>
      </c>
      <c r="BJ68" s="23">
        <f>VALUE(0)</f>
        <v>0</v>
      </c>
      <c r="BK68" s="12">
        <f>$AX$68*24</f>
        <v>28.716666666666661</v>
      </c>
      <c r="BL68" s="12">
        <f>$AY$68*24</f>
        <v>0</v>
      </c>
      <c r="BM68" s="12">
        <f>$BJ$68*24</f>
        <v>0</v>
      </c>
      <c r="BN68" s="12">
        <f>VALUE($I$68)/100</f>
        <v>1</v>
      </c>
      <c r="BO68" s="12">
        <v>0</v>
      </c>
      <c r="BP68" s="12">
        <v>0</v>
      </c>
      <c r="BQ68" s="12">
        <v>0</v>
      </c>
      <c r="BR68" s="12">
        <v>0</v>
      </c>
      <c r="BS68" s="12">
        <v>0</v>
      </c>
      <c r="BT68" s="12">
        <v>0</v>
      </c>
      <c r="BU68" s="12">
        <v>0</v>
      </c>
      <c r="BV68" s="12">
        <v>0</v>
      </c>
      <c r="BW68" s="12">
        <v>0</v>
      </c>
      <c r="BX68" s="12">
        <v>0</v>
      </c>
      <c r="BY68" s="12">
        <v>0</v>
      </c>
      <c r="BZ68" s="12">
        <v>0</v>
      </c>
      <c r="CA68" s="12">
        <v>0</v>
      </c>
    </row>
    <row r="69" spans="1:79" hidden="1" x14ac:dyDescent="0.2">
      <c r="A69" s="12" t="s">
        <v>102</v>
      </c>
      <c r="B69" s="12" t="s">
        <v>109</v>
      </c>
      <c r="C69" s="12" t="s">
        <v>109</v>
      </c>
      <c r="D69" s="22" t="s">
        <v>278</v>
      </c>
      <c r="E69" s="22" t="s">
        <v>161</v>
      </c>
      <c r="F69" s="22" t="s">
        <v>697</v>
      </c>
      <c r="G69" s="22" t="s">
        <v>698</v>
      </c>
      <c r="H69" s="22" t="s">
        <v>279</v>
      </c>
      <c r="I69" s="22" t="s">
        <v>151</v>
      </c>
      <c r="J69" s="22" t="s">
        <v>181</v>
      </c>
      <c r="K69" s="22" t="s">
        <v>70</v>
      </c>
      <c r="L69" s="54" t="s">
        <v>153</v>
      </c>
      <c r="M69" s="23" t="s">
        <v>153</v>
      </c>
      <c r="N69" s="24" t="s">
        <v>153</v>
      </c>
      <c r="O69" s="23" t="s">
        <v>266</v>
      </c>
      <c r="P69" s="23" t="s">
        <v>266</v>
      </c>
      <c r="Q69" s="23" t="s">
        <v>266</v>
      </c>
      <c r="R69" s="23" t="s">
        <v>266</v>
      </c>
      <c r="S69" s="23" t="s">
        <v>266</v>
      </c>
      <c r="T69" s="23" t="s">
        <v>266</v>
      </c>
      <c r="U69" s="24" t="s">
        <v>153</v>
      </c>
      <c r="V69" s="54" t="s">
        <v>153</v>
      </c>
      <c r="W69" s="23" t="s">
        <v>240</v>
      </c>
      <c r="X69" s="23" t="s">
        <v>240</v>
      </c>
      <c r="Y69" s="23" t="s">
        <v>240</v>
      </c>
      <c r="Z69" s="23" t="s">
        <v>240</v>
      </c>
      <c r="AA69" s="23" t="s">
        <v>240</v>
      </c>
      <c r="AB69" s="24" t="s">
        <v>153</v>
      </c>
      <c r="AC69" s="27" t="s">
        <v>153</v>
      </c>
      <c r="AD69" s="27" t="s">
        <v>153</v>
      </c>
      <c r="AE69" s="27" t="s">
        <v>153</v>
      </c>
      <c r="AF69" s="27" t="s">
        <v>153</v>
      </c>
      <c r="AG69" s="27" t="s">
        <v>153</v>
      </c>
      <c r="AH69" s="27" t="s">
        <v>153</v>
      </c>
      <c r="AI69" s="24" t="s">
        <v>153</v>
      </c>
      <c r="AJ69" s="27" t="s">
        <v>153</v>
      </c>
      <c r="AK69" s="27" t="s">
        <v>153</v>
      </c>
      <c r="AL69" s="27" t="s">
        <v>153</v>
      </c>
      <c r="AM69" s="27" t="s">
        <v>153</v>
      </c>
      <c r="AN69" s="27" t="s">
        <v>153</v>
      </c>
      <c r="AO69" s="27" t="s">
        <v>153</v>
      </c>
      <c r="AP69" s="23">
        <f>VALUE(0)</f>
        <v>0</v>
      </c>
      <c r="AQ69" s="23">
        <f>VALUE(0)</f>
        <v>0</v>
      </c>
      <c r="AR69" s="23">
        <f>VALUE(0)</f>
        <v>0</v>
      </c>
      <c r="AS69" s="23">
        <f>VALUE(0)</f>
        <v>0</v>
      </c>
      <c r="AT69" s="23">
        <f>VALUE(0)</f>
        <v>0</v>
      </c>
      <c r="AU69" s="23">
        <f>VALUE(0)</f>
        <v>0</v>
      </c>
      <c r="AV69" s="23">
        <f>VALUE(0)</f>
        <v>0</v>
      </c>
      <c r="AW69" s="23">
        <f>VALUE(0)</f>
        <v>0</v>
      </c>
      <c r="AX69" s="23">
        <f>VALUE(0)</f>
        <v>0</v>
      </c>
      <c r="AY69" s="23">
        <f>VALUE(0)</f>
        <v>0</v>
      </c>
      <c r="AZ69" s="23">
        <f>VALUE(0)</f>
        <v>0</v>
      </c>
      <c r="BA69" s="23">
        <f>VALUE(0)</f>
        <v>0</v>
      </c>
      <c r="BB69" s="23">
        <f>VALUE(0)</f>
        <v>0</v>
      </c>
      <c r="BC69" s="23">
        <f>VALUE(0)</f>
        <v>0</v>
      </c>
      <c r="BD69" s="23">
        <f>VALUE(0)</f>
        <v>0</v>
      </c>
      <c r="BE69" s="23">
        <f>VALUE(0)</f>
        <v>0</v>
      </c>
      <c r="BF69" s="23">
        <f>VALUE(0)</f>
        <v>0</v>
      </c>
      <c r="BG69" s="23">
        <f>VALUE(0)</f>
        <v>0</v>
      </c>
      <c r="BH69" s="23">
        <f>VALUE(0)</f>
        <v>0</v>
      </c>
      <c r="BI69" s="23">
        <f>VALUE(0)</f>
        <v>0</v>
      </c>
      <c r="BJ69" s="23">
        <f>VALUE(0)</f>
        <v>0</v>
      </c>
      <c r="BK69" s="12">
        <f>$AX$69*24</f>
        <v>0</v>
      </c>
      <c r="BL69" s="12">
        <f>$AY$69*24</f>
        <v>0</v>
      </c>
      <c r="BM69" s="12">
        <f>$BJ$69*24</f>
        <v>0</v>
      </c>
      <c r="BN69" s="12">
        <f>VALUE($I$69)/100</f>
        <v>1</v>
      </c>
      <c r="BO69" s="12">
        <v>0</v>
      </c>
      <c r="BP69" s="12">
        <v>0</v>
      </c>
      <c r="BQ69" s="12">
        <v>0</v>
      </c>
      <c r="BR69" s="12">
        <v>0</v>
      </c>
      <c r="BS69" s="12">
        <v>0</v>
      </c>
      <c r="BT69" s="12">
        <v>0</v>
      </c>
      <c r="BU69" s="12">
        <v>0</v>
      </c>
      <c r="BV69" s="12">
        <v>0</v>
      </c>
      <c r="BW69" s="12">
        <v>0</v>
      </c>
      <c r="BX69" s="12">
        <v>0</v>
      </c>
      <c r="BY69" s="12">
        <v>0</v>
      </c>
      <c r="BZ69" s="12">
        <v>0</v>
      </c>
      <c r="CA69" s="12">
        <v>0</v>
      </c>
    </row>
    <row r="70" spans="1:79" hidden="1" x14ac:dyDescent="0.2">
      <c r="A70" s="12" t="s">
        <v>102</v>
      </c>
      <c r="B70" s="12" t="s">
        <v>109</v>
      </c>
      <c r="C70" s="12" t="s">
        <v>109</v>
      </c>
      <c r="D70" s="22" t="s">
        <v>278</v>
      </c>
      <c r="E70" s="22" t="s">
        <v>161</v>
      </c>
      <c r="F70" s="22" t="s">
        <v>699</v>
      </c>
      <c r="G70" s="22" t="s">
        <v>700</v>
      </c>
      <c r="H70" s="22" t="s">
        <v>150</v>
      </c>
      <c r="I70" s="22" t="s">
        <v>151</v>
      </c>
      <c r="J70" s="22" t="s">
        <v>181</v>
      </c>
      <c r="K70" s="22" t="s">
        <v>70</v>
      </c>
      <c r="L70" s="54" t="s">
        <v>153</v>
      </c>
      <c r="M70" s="28" t="s">
        <v>163</v>
      </c>
      <c r="N70" s="24" t="s">
        <v>153</v>
      </c>
      <c r="O70" s="23" t="s">
        <v>153</v>
      </c>
      <c r="P70" s="23" t="s">
        <v>153</v>
      </c>
      <c r="Q70" s="23" t="s">
        <v>153</v>
      </c>
      <c r="R70" s="23" t="s">
        <v>153</v>
      </c>
      <c r="S70" s="23" t="s">
        <v>153</v>
      </c>
      <c r="T70" s="24" t="s">
        <v>156</v>
      </c>
      <c r="U70" s="24" t="s">
        <v>153</v>
      </c>
      <c r="V70" s="54" t="s">
        <v>153</v>
      </c>
      <c r="W70" s="23" t="s">
        <v>153</v>
      </c>
      <c r="X70" s="23" t="s">
        <v>153</v>
      </c>
      <c r="Y70" s="23" t="s">
        <v>153</v>
      </c>
      <c r="Z70" s="23" t="s">
        <v>153</v>
      </c>
      <c r="AA70" s="23" t="s">
        <v>153</v>
      </c>
      <c r="AB70" s="24" t="s">
        <v>153</v>
      </c>
      <c r="AC70" s="23" t="s">
        <v>153</v>
      </c>
      <c r="AD70" s="23" t="s">
        <v>153</v>
      </c>
      <c r="AE70" s="23" t="s">
        <v>153</v>
      </c>
      <c r="AF70" s="23" t="s">
        <v>153</v>
      </c>
      <c r="AG70" s="23" t="s">
        <v>153</v>
      </c>
      <c r="AH70" s="24" t="s">
        <v>156</v>
      </c>
      <c r="AI70" s="24" t="s">
        <v>153</v>
      </c>
      <c r="AJ70" s="23" t="s">
        <v>153</v>
      </c>
      <c r="AK70" s="23" t="s">
        <v>153</v>
      </c>
      <c r="AL70" s="23" t="s">
        <v>153</v>
      </c>
      <c r="AM70" s="23" t="s">
        <v>153</v>
      </c>
      <c r="AN70" s="23" t="s">
        <v>153</v>
      </c>
      <c r="AO70" s="23" t="s">
        <v>153</v>
      </c>
      <c r="AP70" s="23">
        <f>VALUE(0)</f>
        <v>0</v>
      </c>
      <c r="AQ70" s="23">
        <f>VALUE(0)</f>
        <v>0</v>
      </c>
      <c r="AR70" s="23">
        <f>VALUE(0)</f>
        <v>0</v>
      </c>
      <c r="AS70" s="23">
        <f>VALUE(0)</f>
        <v>0</v>
      </c>
      <c r="AT70" s="23">
        <f>VALUE(0)</f>
        <v>0</v>
      </c>
      <c r="AU70" s="23">
        <f>VALUE(1)</f>
        <v>1</v>
      </c>
      <c r="AV70" s="23">
        <f>VALUE(7)</f>
        <v>7</v>
      </c>
      <c r="AW70" s="23">
        <f>VALUE(0)</f>
        <v>0</v>
      </c>
      <c r="AX70" s="23">
        <f>VALUE(0)</f>
        <v>0</v>
      </c>
      <c r="AY70" s="23" t="s">
        <v>281</v>
      </c>
      <c r="AZ70" s="23">
        <f>VALUE(0)</f>
        <v>0</v>
      </c>
      <c r="BA70" s="23">
        <f>VALUE(0)</f>
        <v>0</v>
      </c>
      <c r="BB70" s="23">
        <f>VALUE(0)</f>
        <v>0</v>
      </c>
      <c r="BC70" s="23">
        <f>VALUE(0)</f>
        <v>0</v>
      </c>
      <c r="BD70" s="23">
        <f>VALUE(0)</f>
        <v>0</v>
      </c>
      <c r="BE70" s="23">
        <f>VALUE(0)</f>
        <v>0</v>
      </c>
      <c r="BF70" s="23">
        <f>VALUE(0)</f>
        <v>0</v>
      </c>
      <c r="BG70" s="23">
        <f>VALUE(0)</f>
        <v>0</v>
      </c>
      <c r="BH70" s="23">
        <f>VALUE(0)</f>
        <v>0</v>
      </c>
      <c r="BI70" s="23">
        <f>VALUE(0)</f>
        <v>0</v>
      </c>
      <c r="BJ70" s="23">
        <f>VALUE(0)</f>
        <v>0</v>
      </c>
      <c r="BK70" s="12">
        <f>$AX$70*24</f>
        <v>0</v>
      </c>
      <c r="BL70" s="12">
        <f>$AY$70*24</f>
        <v>6.7166666666666668</v>
      </c>
      <c r="BM70" s="12">
        <f>$BJ$70*24</f>
        <v>0</v>
      </c>
      <c r="BN70" s="12">
        <f>VALUE($I$70)/100</f>
        <v>1</v>
      </c>
      <c r="BO70" s="12">
        <v>0</v>
      </c>
      <c r="BP70" s="12">
        <v>0</v>
      </c>
      <c r="BQ70" s="12">
        <v>0</v>
      </c>
      <c r="BR70" s="12">
        <v>0</v>
      </c>
      <c r="BS70" s="12">
        <v>0</v>
      </c>
      <c r="BT70" s="12">
        <v>0</v>
      </c>
      <c r="BU70" s="12">
        <v>0</v>
      </c>
      <c r="BV70" s="12">
        <v>0</v>
      </c>
      <c r="BW70" s="12">
        <v>0</v>
      </c>
      <c r="BX70" s="12">
        <v>0</v>
      </c>
      <c r="BY70" s="12">
        <v>0</v>
      </c>
      <c r="BZ70" s="12">
        <v>0</v>
      </c>
      <c r="CA70" s="12">
        <v>0</v>
      </c>
    </row>
    <row r="71" spans="1:79" hidden="1" x14ac:dyDescent="0.2">
      <c r="A71" s="12" t="s">
        <v>102</v>
      </c>
      <c r="B71" s="12" t="s">
        <v>109</v>
      </c>
      <c r="C71" s="12" t="s">
        <v>109</v>
      </c>
      <c r="D71" s="22" t="s">
        <v>280</v>
      </c>
      <c r="E71" s="22" t="s">
        <v>161</v>
      </c>
      <c r="F71" s="22" t="s">
        <v>701</v>
      </c>
      <c r="G71" s="22" t="s">
        <v>702</v>
      </c>
      <c r="H71" s="22" t="s">
        <v>166</v>
      </c>
      <c r="I71" s="22" t="s">
        <v>151</v>
      </c>
      <c r="J71" s="22" t="s">
        <v>181</v>
      </c>
      <c r="K71" s="22" t="s">
        <v>70</v>
      </c>
      <c r="L71" s="54" t="s">
        <v>153</v>
      </c>
      <c r="M71" s="23" t="s">
        <v>153</v>
      </c>
      <c r="N71" s="24" t="s">
        <v>153</v>
      </c>
      <c r="O71" s="23" t="s">
        <v>153</v>
      </c>
      <c r="P71" s="23" t="s">
        <v>153</v>
      </c>
      <c r="Q71" s="23" t="s">
        <v>153</v>
      </c>
      <c r="R71" s="23" t="s">
        <v>153</v>
      </c>
      <c r="S71" s="23" t="s">
        <v>153</v>
      </c>
      <c r="T71" s="24" t="s">
        <v>156</v>
      </c>
      <c r="U71" s="24" t="s">
        <v>153</v>
      </c>
      <c r="V71" s="54" t="s">
        <v>153</v>
      </c>
      <c r="W71" s="23" t="s">
        <v>153</v>
      </c>
      <c r="X71" s="23" t="s">
        <v>153</v>
      </c>
      <c r="Y71" s="23" t="s">
        <v>153</v>
      </c>
      <c r="Z71" s="23" t="s">
        <v>153</v>
      </c>
      <c r="AA71" s="23" t="s">
        <v>153</v>
      </c>
      <c r="AB71" s="24" t="s">
        <v>153</v>
      </c>
      <c r="AC71" s="23" t="s">
        <v>153</v>
      </c>
      <c r="AD71" s="23" t="s">
        <v>153</v>
      </c>
      <c r="AE71" s="23" t="s">
        <v>153</v>
      </c>
      <c r="AF71" s="23" t="s">
        <v>153</v>
      </c>
      <c r="AG71" s="23" t="s">
        <v>153</v>
      </c>
      <c r="AH71" s="24" t="s">
        <v>156</v>
      </c>
      <c r="AI71" s="24" t="s">
        <v>153</v>
      </c>
      <c r="AJ71" s="28" t="s">
        <v>163</v>
      </c>
      <c r="AK71" s="28" t="s">
        <v>163</v>
      </c>
      <c r="AL71" s="28" t="s">
        <v>163</v>
      </c>
      <c r="AM71" s="28" t="s">
        <v>163</v>
      </c>
      <c r="AN71" s="28" t="s">
        <v>163</v>
      </c>
      <c r="AO71" s="28" t="s">
        <v>163</v>
      </c>
      <c r="AP71" s="23">
        <f>VALUE(0)</f>
        <v>0</v>
      </c>
      <c r="AQ71" s="23">
        <f>VALUE(0)</f>
        <v>0</v>
      </c>
      <c r="AR71" s="23">
        <f>VALUE(0)</f>
        <v>0</v>
      </c>
      <c r="AS71" s="23">
        <f>VALUE(0)</f>
        <v>0</v>
      </c>
      <c r="AT71" s="23">
        <f>VALUE(0)</f>
        <v>0</v>
      </c>
      <c r="AU71" s="23">
        <f>VALUE(6)</f>
        <v>6</v>
      </c>
      <c r="AV71" s="23">
        <f>VALUE(1)</f>
        <v>1</v>
      </c>
      <c r="AW71" s="23">
        <f>VALUE(0)</f>
        <v>0</v>
      </c>
      <c r="AX71" s="23" t="s">
        <v>282</v>
      </c>
      <c r="AY71" s="23">
        <f>VALUE(0)</f>
        <v>0</v>
      </c>
      <c r="AZ71" s="23">
        <f>VALUE(0)</f>
        <v>0</v>
      </c>
      <c r="BA71" s="23">
        <f>VALUE(0)</f>
        <v>0</v>
      </c>
      <c r="BB71" s="23">
        <f>VALUE(0)</f>
        <v>0</v>
      </c>
      <c r="BC71" s="23">
        <f>VALUE(0)</f>
        <v>0</v>
      </c>
      <c r="BD71" s="23">
        <f>VALUE(0)</f>
        <v>0</v>
      </c>
      <c r="BE71" s="23">
        <f>VALUE(0)</f>
        <v>0</v>
      </c>
      <c r="BF71" s="23">
        <f>VALUE(0)</f>
        <v>0</v>
      </c>
      <c r="BG71" s="23">
        <f>VALUE(0)</f>
        <v>0</v>
      </c>
      <c r="BH71" s="23">
        <f>VALUE(0)</f>
        <v>0</v>
      </c>
      <c r="BI71" s="23">
        <f>VALUE(0)</f>
        <v>0</v>
      </c>
      <c r="BJ71" s="23">
        <f>VALUE(0)</f>
        <v>0</v>
      </c>
      <c r="BK71" s="12">
        <f>$AX$71*24</f>
        <v>5.9833333333333334</v>
      </c>
      <c r="BL71" s="12">
        <f>$AY$71*24</f>
        <v>0</v>
      </c>
      <c r="BM71" s="12">
        <f>$BJ$71*24</f>
        <v>0</v>
      </c>
      <c r="BN71" s="12">
        <f>VALUE($I$71)/100</f>
        <v>1</v>
      </c>
      <c r="BO71" s="12">
        <v>0</v>
      </c>
      <c r="BP71" s="12">
        <v>0</v>
      </c>
      <c r="BQ71" s="12">
        <v>0</v>
      </c>
      <c r="BR71" s="12">
        <v>0</v>
      </c>
      <c r="BS71" s="12">
        <v>0</v>
      </c>
      <c r="BT71" s="12">
        <v>0</v>
      </c>
      <c r="BU71" s="12">
        <v>0</v>
      </c>
      <c r="BV71" s="12">
        <v>0</v>
      </c>
      <c r="BW71" s="12">
        <v>0</v>
      </c>
      <c r="BX71" s="12">
        <v>0</v>
      </c>
      <c r="BY71" s="12">
        <v>0</v>
      </c>
      <c r="BZ71" s="12">
        <v>0</v>
      </c>
      <c r="CA71" s="12">
        <v>0</v>
      </c>
    </row>
    <row r="72" spans="1:79" hidden="1" x14ac:dyDescent="0.2">
      <c r="A72" s="12" t="s">
        <v>102</v>
      </c>
      <c r="B72" s="12" t="s">
        <v>109</v>
      </c>
      <c r="C72" s="12" t="s">
        <v>109</v>
      </c>
      <c r="D72" s="22" t="s">
        <v>283</v>
      </c>
      <c r="E72" s="22" t="s">
        <v>161</v>
      </c>
      <c r="F72" s="22" t="s">
        <v>703</v>
      </c>
      <c r="G72" s="22" t="s">
        <v>704</v>
      </c>
      <c r="H72" s="22" t="s">
        <v>166</v>
      </c>
      <c r="I72" s="22" t="s">
        <v>151</v>
      </c>
      <c r="J72" s="22" t="s">
        <v>181</v>
      </c>
      <c r="K72" s="22" t="s">
        <v>70</v>
      </c>
      <c r="L72" s="54" t="s">
        <v>153</v>
      </c>
      <c r="M72" s="28" t="s">
        <v>163</v>
      </c>
      <c r="N72" s="24" t="s">
        <v>153</v>
      </c>
      <c r="O72" s="23" t="s">
        <v>153</v>
      </c>
      <c r="P72" s="23" t="s">
        <v>153</v>
      </c>
      <c r="Q72" s="23" t="s">
        <v>153</v>
      </c>
      <c r="R72" s="23" t="s">
        <v>153</v>
      </c>
      <c r="S72" s="23" t="s">
        <v>153</v>
      </c>
      <c r="T72" s="23" t="s">
        <v>153</v>
      </c>
      <c r="U72" s="24" t="s">
        <v>153</v>
      </c>
      <c r="V72" s="54" t="s">
        <v>153</v>
      </c>
      <c r="W72" s="23" t="s">
        <v>153</v>
      </c>
      <c r="X72" s="23" t="s">
        <v>153</v>
      </c>
      <c r="Y72" s="23" t="s">
        <v>153</v>
      </c>
      <c r="Z72" s="23" t="s">
        <v>153</v>
      </c>
      <c r="AA72" s="24" t="s">
        <v>156</v>
      </c>
      <c r="AB72" s="24" t="s">
        <v>153</v>
      </c>
      <c r="AC72" s="23" t="s">
        <v>153</v>
      </c>
      <c r="AD72" s="23" t="s">
        <v>153</v>
      </c>
      <c r="AE72" s="23" t="s">
        <v>153</v>
      </c>
      <c r="AF72" s="23" t="s">
        <v>153</v>
      </c>
      <c r="AG72" s="23" t="s">
        <v>153</v>
      </c>
      <c r="AH72" s="23" t="s">
        <v>153</v>
      </c>
      <c r="AI72" s="24" t="s">
        <v>153</v>
      </c>
      <c r="AJ72" s="23" t="s">
        <v>153</v>
      </c>
      <c r="AK72" s="23" t="s">
        <v>153</v>
      </c>
      <c r="AL72" s="23" t="s">
        <v>153</v>
      </c>
      <c r="AM72" s="23" t="s">
        <v>153</v>
      </c>
      <c r="AN72" s="23" t="s">
        <v>153</v>
      </c>
      <c r="AO72" s="24" t="s">
        <v>156</v>
      </c>
      <c r="AP72" s="23">
        <f>VALUE(0)</f>
        <v>0</v>
      </c>
      <c r="AQ72" s="23">
        <f>VALUE(0)</f>
        <v>0</v>
      </c>
      <c r="AR72" s="23">
        <f>VALUE(0)</f>
        <v>0</v>
      </c>
      <c r="AS72" s="23">
        <f>VALUE(0)</f>
        <v>0</v>
      </c>
      <c r="AT72" s="23">
        <f>VALUE(0)</f>
        <v>0</v>
      </c>
      <c r="AU72" s="23">
        <f>VALUE(1)</f>
        <v>1</v>
      </c>
      <c r="AV72" s="23">
        <f>VALUE(4.5)</f>
        <v>4.5</v>
      </c>
      <c r="AW72" s="23">
        <f>VALUE(0)</f>
        <v>0</v>
      </c>
      <c r="AX72" s="23" t="s">
        <v>284</v>
      </c>
      <c r="AY72" s="23">
        <f>VALUE(0)</f>
        <v>0</v>
      </c>
      <c r="AZ72" s="23">
        <f>VALUE(0)</f>
        <v>0</v>
      </c>
      <c r="BA72" s="23">
        <f>VALUE(0)</f>
        <v>0</v>
      </c>
      <c r="BB72" s="23">
        <f>VALUE(0)</f>
        <v>0</v>
      </c>
      <c r="BC72" s="23">
        <f>VALUE(0)</f>
        <v>0</v>
      </c>
      <c r="BD72" s="23">
        <f>VALUE(0)</f>
        <v>0</v>
      </c>
      <c r="BE72" s="23">
        <f>VALUE(0)</f>
        <v>0</v>
      </c>
      <c r="BF72" s="23">
        <f>VALUE(0)</f>
        <v>0</v>
      </c>
      <c r="BG72" s="23">
        <f>VALUE(0)</f>
        <v>0</v>
      </c>
      <c r="BH72" s="23">
        <f>VALUE(0)</f>
        <v>0</v>
      </c>
      <c r="BI72" s="23">
        <f>VALUE(0)</f>
        <v>0</v>
      </c>
      <c r="BJ72" s="23">
        <f>VALUE(0)</f>
        <v>0</v>
      </c>
      <c r="BK72" s="12">
        <f>$AX$72*24</f>
        <v>12.966666666666665</v>
      </c>
      <c r="BL72" s="12">
        <f>$AY$72*24</f>
        <v>0</v>
      </c>
      <c r="BM72" s="12">
        <f>$BJ$72*24</f>
        <v>0</v>
      </c>
      <c r="BN72" s="12">
        <f>VALUE($I$72)/100</f>
        <v>1</v>
      </c>
      <c r="BO72" s="12">
        <v>0</v>
      </c>
      <c r="BP72" s="12">
        <v>0</v>
      </c>
      <c r="BQ72" s="12">
        <v>0</v>
      </c>
      <c r="BR72" s="12">
        <v>0</v>
      </c>
      <c r="BS72" s="12">
        <v>0</v>
      </c>
      <c r="BT72" s="12">
        <v>0</v>
      </c>
      <c r="BU72" s="12">
        <v>0</v>
      </c>
      <c r="BV72" s="12">
        <v>0</v>
      </c>
      <c r="BW72" s="12">
        <v>0</v>
      </c>
      <c r="BX72" s="12">
        <v>0</v>
      </c>
      <c r="BY72" s="12">
        <v>0</v>
      </c>
      <c r="BZ72" s="12">
        <v>0</v>
      </c>
      <c r="CA72" s="12">
        <v>0</v>
      </c>
    </row>
    <row r="73" spans="1:79" hidden="1" x14ac:dyDescent="0.2">
      <c r="A73" s="12" t="s">
        <v>102</v>
      </c>
      <c r="B73" s="12" t="s">
        <v>109</v>
      </c>
      <c r="C73" s="12" t="s">
        <v>109</v>
      </c>
      <c r="D73" s="22" t="s">
        <v>285</v>
      </c>
      <c r="E73" s="22" t="s">
        <v>161</v>
      </c>
      <c r="F73" s="22" t="s">
        <v>705</v>
      </c>
      <c r="G73" s="22" t="s">
        <v>706</v>
      </c>
      <c r="H73" s="22" t="s">
        <v>166</v>
      </c>
      <c r="I73" s="22" t="s">
        <v>151</v>
      </c>
      <c r="J73" s="22" t="s">
        <v>181</v>
      </c>
      <c r="K73" s="22" t="s">
        <v>70</v>
      </c>
      <c r="L73" s="54" t="s">
        <v>153</v>
      </c>
      <c r="M73" s="23" t="s">
        <v>153</v>
      </c>
      <c r="N73" s="24" t="s">
        <v>153</v>
      </c>
      <c r="O73" s="23" t="s">
        <v>153</v>
      </c>
      <c r="P73" s="23" t="s">
        <v>153</v>
      </c>
      <c r="Q73" s="23" t="s">
        <v>153</v>
      </c>
      <c r="R73" s="23" t="s">
        <v>153</v>
      </c>
      <c r="S73" s="23" t="s">
        <v>153</v>
      </c>
      <c r="T73" s="24" t="s">
        <v>156</v>
      </c>
      <c r="U73" s="24" t="s">
        <v>153</v>
      </c>
      <c r="V73" s="54" t="s">
        <v>153</v>
      </c>
      <c r="W73" s="23" t="s">
        <v>153</v>
      </c>
      <c r="X73" s="23" t="s">
        <v>153</v>
      </c>
      <c r="Y73" s="23" t="s">
        <v>153</v>
      </c>
      <c r="Z73" s="23" t="s">
        <v>153</v>
      </c>
      <c r="AA73" s="23" t="s">
        <v>153</v>
      </c>
      <c r="AB73" s="24" t="s">
        <v>153</v>
      </c>
      <c r="AC73" s="23" t="s">
        <v>153</v>
      </c>
      <c r="AD73" s="23" t="s">
        <v>153</v>
      </c>
      <c r="AE73" s="23" t="s">
        <v>153</v>
      </c>
      <c r="AF73" s="23" t="s">
        <v>153</v>
      </c>
      <c r="AG73" s="23" t="s">
        <v>153</v>
      </c>
      <c r="AH73" s="24" t="s">
        <v>156</v>
      </c>
      <c r="AI73" s="24" t="s">
        <v>153</v>
      </c>
      <c r="AJ73" s="23" t="s">
        <v>153</v>
      </c>
      <c r="AK73" s="23" t="s">
        <v>153</v>
      </c>
      <c r="AL73" s="23" t="s">
        <v>153</v>
      </c>
      <c r="AM73" s="23" t="s">
        <v>153</v>
      </c>
      <c r="AN73" s="23" t="s">
        <v>153</v>
      </c>
      <c r="AO73" s="23" t="s">
        <v>153</v>
      </c>
      <c r="AP73" s="23">
        <f>VALUE(0)</f>
        <v>0</v>
      </c>
      <c r="AQ73" s="23">
        <f>VALUE(0)</f>
        <v>0</v>
      </c>
      <c r="AR73" s="23">
        <f>VALUE(0)</f>
        <v>0</v>
      </c>
      <c r="AS73" s="23">
        <f>VALUE(0)</f>
        <v>0</v>
      </c>
      <c r="AT73" s="23">
        <f>VALUE(0)</f>
        <v>0</v>
      </c>
      <c r="AU73" s="23">
        <f>VALUE(0)</f>
        <v>0</v>
      </c>
      <c r="AV73" s="23">
        <f>VALUE(5.5)</f>
        <v>5.5</v>
      </c>
      <c r="AW73" s="23">
        <f>VALUE(0)</f>
        <v>0</v>
      </c>
      <c r="AX73" s="23" t="s">
        <v>286</v>
      </c>
      <c r="AY73" s="23">
        <f>VALUE(0)</f>
        <v>0</v>
      </c>
      <c r="AZ73" s="23">
        <f>VALUE(0)</f>
        <v>0</v>
      </c>
      <c r="BA73" s="23">
        <f>VALUE(0)</f>
        <v>0</v>
      </c>
      <c r="BB73" s="23">
        <f>VALUE(0)</f>
        <v>0</v>
      </c>
      <c r="BC73" s="23">
        <f>VALUE(0)</f>
        <v>0</v>
      </c>
      <c r="BD73" s="23">
        <f>VALUE(0)</f>
        <v>0</v>
      </c>
      <c r="BE73" s="23">
        <f>VALUE(0)</f>
        <v>0</v>
      </c>
      <c r="BF73" s="23">
        <f>VALUE(0)</f>
        <v>0</v>
      </c>
      <c r="BG73" s="23">
        <f>VALUE(0)</f>
        <v>0</v>
      </c>
      <c r="BH73" s="23">
        <f>VALUE(0)</f>
        <v>0</v>
      </c>
      <c r="BI73" s="23">
        <f>VALUE(0)</f>
        <v>0</v>
      </c>
      <c r="BJ73" s="23">
        <f>VALUE(0)</f>
        <v>0</v>
      </c>
      <c r="BK73" s="12">
        <f>$AX$73*24</f>
        <v>8.7333333333333325</v>
      </c>
      <c r="BL73" s="12">
        <f>$AY$73*24</f>
        <v>0</v>
      </c>
      <c r="BM73" s="12">
        <f>$BJ$73*24</f>
        <v>0</v>
      </c>
      <c r="BN73" s="12">
        <f>VALUE($I$73)/100</f>
        <v>1</v>
      </c>
      <c r="BO73" s="12">
        <v>0</v>
      </c>
      <c r="BP73" s="12">
        <v>0</v>
      </c>
      <c r="BQ73" s="12">
        <v>0</v>
      </c>
      <c r="BR73" s="12">
        <v>0</v>
      </c>
      <c r="BS73" s="12">
        <v>0</v>
      </c>
      <c r="BT73" s="12">
        <v>0</v>
      </c>
      <c r="BU73" s="12">
        <v>0</v>
      </c>
      <c r="BV73" s="12">
        <v>0</v>
      </c>
      <c r="BW73" s="12">
        <v>0</v>
      </c>
      <c r="BX73" s="12">
        <v>0</v>
      </c>
      <c r="BY73" s="12">
        <v>0</v>
      </c>
      <c r="BZ73" s="12">
        <v>0</v>
      </c>
      <c r="CA73" s="12">
        <v>0</v>
      </c>
    </row>
    <row r="74" spans="1:79" ht="15" hidden="1" x14ac:dyDescent="0.25">
      <c r="A74" s="12" t="s">
        <v>102</v>
      </c>
      <c r="B74" s="12" t="s">
        <v>109</v>
      </c>
      <c r="C74" s="12" t="s">
        <v>109</v>
      </c>
      <c r="D74" s="31" t="s">
        <v>585</v>
      </c>
      <c r="E74" s="31" t="s">
        <v>153</v>
      </c>
      <c r="F74" s="31" t="s">
        <v>175</v>
      </c>
      <c r="G74" s="31" t="s">
        <v>153</v>
      </c>
      <c r="H74" s="31" t="s">
        <v>153</v>
      </c>
      <c r="I74" s="31" t="s">
        <v>153</v>
      </c>
      <c r="J74" s="31" t="s">
        <v>153</v>
      </c>
      <c r="K74" s="31" t="s">
        <v>153</v>
      </c>
      <c r="L74" s="31">
        <f>VALUE(0)</f>
        <v>0</v>
      </c>
      <c r="M74" s="31">
        <f>VALUE(7)</f>
        <v>7</v>
      </c>
      <c r="N74" s="31">
        <f>VALUE(0)</f>
        <v>0</v>
      </c>
      <c r="O74" s="31">
        <f>VALUE(9)</f>
        <v>9</v>
      </c>
      <c r="P74" s="31">
        <f>VALUE(10)</f>
        <v>10</v>
      </c>
      <c r="Q74" s="31">
        <f>VALUE(11)</f>
        <v>11</v>
      </c>
      <c r="R74" s="31">
        <f>VALUE(11)</f>
        <v>11</v>
      </c>
      <c r="S74" s="31">
        <f>VALUE(11)</f>
        <v>11</v>
      </c>
      <c r="T74" s="31">
        <f>VALUE(7)</f>
        <v>7</v>
      </c>
      <c r="U74" s="31">
        <f>VALUE(0)</f>
        <v>0</v>
      </c>
      <c r="V74" s="31">
        <f>VALUE(0)</f>
        <v>0</v>
      </c>
      <c r="W74" s="31">
        <f>VALUE(9)</f>
        <v>9</v>
      </c>
      <c r="X74" s="31">
        <f>VALUE(10)</f>
        <v>10</v>
      </c>
      <c r="Y74" s="31">
        <f>VALUE(10)</f>
        <v>10</v>
      </c>
      <c r="Z74" s="31">
        <f>VALUE(10)</f>
        <v>10</v>
      </c>
      <c r="AA74" s="31">
        <f>VALUE(7)</f>
        <v>7</v>
      </c>
      <c r="AB74" s="31">
        <f>VALUE(0)</f>
        <v>0</v>
      </c>
      <c r="AC74" s="31">
        <f>VALUE(8)</f>
        <v>8</v>
      </c>
      <c r="AD74" s="31">
        <f>VALUE(8)</f>
        <v>8</v>
      </c>
      <c r="AE74" s="31">
        <f>VALUE(9)</f>
        <v>9</v>
      </c>
      <c r="AF74" s="31">
        <f>VALUE(9)</f>
        <v>9</v>
      </c>
      <c r="AG74" s="31">
        <f>VALUE(9)</f>
        <v>9</v>
      </c>
      <c r="AH74" s="31">
        <f>VALUE(5)</f>
        <v>5</v>
      </c>
      <c r="AI74" s="31">
        <f>VALUE(0)</f>
        <v>0</v>
      </c>
      <c r="AJ74" s="31">
        <f>VALUE(9)</f>
        <v>9</v>
      </c>
      <c r="AK74" s="31">
        <f>VALUE(9)</f>
        <v>9</v>
      </c>
      <c r="AL74" s="31">
        <f>VALUE(9)</f>
        <v>9</v>
      </c>
      <c r="AM74" s="31">
        <f>VALUE(9)</f>
        <v>9</v>
      </c>
      <c r="AN74" s="31">
        <f>VALUE(9)</f>
        <v>9</v>
      </c>
      <c r="AO74" s="31">
        <f>VALUE(5)</f>
        <v>5</v>
      </c>
      <c r="AP74" s="31">
        <v>0</v>
      </c>
      <c r="AQ74" s="31">
        <v>0</v>
      </c>
      <c r="AR74" s="31">
        <v>0</v>
      </c>
      <c r="AS74" s="31">
        <v>0</v>
      </c>
      <c r="AT74" s="31">
        <v>0</v>
      </c>
      <c r="AU74" s="31">
        <v>0</v>
      </c>
      <c r="AV74" s="31">
        <v>0</v>
      </c>
      <c r="AW74" s="31">
        <v>0</v>
      </c>
      <c r="AX74" s="31">
        <v>0</v>
      </c>
      <c r="AY74" s="31">
        <v>0</v>
      </c>
      <c r="AZ74" s="31">
        <v>0</v>
      </c>
      <c r="BA74" s="31">
        <v>0</v>
      </c>
      <c r="BB74" s="31">
        <v>0</v>
      </c>
      <c r="BC74" s="31">
        <v>0</v>
      </c>
      <c r="BD74" s="31">
        <v>0</v>
      </c>
      <c r="BE74" s="31">
        <v>0</v>
      </c>
      <c r="BF74" s="31">
        <v>0</v>
      </c>
      <c r="BG74" s="31">
        <v>0</v>
      </c>
      <c r="BH74" s="31">
        <v>0</v>
      </c>
      <c r="BI74" s="31">
        <v>0</v>
      </c>
      <c r="BJ74" s="31">
        <v>0</v>
      </c>
      <c r="BK74" s="12">
        <v>0</v>
      </c>
      <c r="BL74" s="12">
        <v>0</v>
      </c>
      <c r="BM74" s="12">
        <v>0</v>
      </c>
      <c r="BN74" s="12"/>
      <c r="BO74" s="12">
        <v>0</v>
      </c>
      <c r="BP74" s="12">
        <v>0</v>
      </c>
      <c r="BQ74" s="12">
        <v>0</v>
      </c>
      <c r="BR74" s="12">
        <v>0</v>
      </c>
      <c r="BS74" s="12">
        <v>0</v>
      </c>
      <c r="BT74" s="12">
        <v>0</v>
      </c>
      <c r="BU74" s="12">
        <v>0</v>
      </c>
      <c r="BV74" s="12">
        <v>0</v>
      </c>
      <c r="BW74" s="12">
        <v>0</v>
      </c>
      <c r="BX74" s="12">
        <v>0</v>
      </c>
      <c r="BY74" s="12">
        <v>0</v>
      </c>
      <c r="BZ74" s="12">
        <v>0</v>
      </c>
      <c r="CA74" s="12">
        <v>0</v>
      </c>
    </row>
    <row r="75" spans="1:79" ht="16.5" hidden="1" x14ac:dyDescent="0.2">
      <c r="A75" s="12" t="s">
        <v>102</v>
      </c>
      <c r="B75" s="12" t="s">
        <v>110</v>
      </c>
      <c r="C75" s="12" t="s">
        <v>110</v>
      </c>
      <c r="D75" s="22" t="s">
        <v>1190</v>
      </c>
      <c r="E75" s="22" t="s">
        <v>161</v>
      </c>
      <c r="F75" s="22" t="s">
        <v>707</v>
      </c>
      <c r="G75" s="22" t="s">
        <v>708</v>
      </c>
      <c r="H75" s="22" t="s">
        <v>150</v>
      </c>
      <c r="I75" s="22" t="s">
        <v>151</v>
      </c>
      <c r="J75" s="22" t="s">
        <v>264</v>
      </c>
      <c r="K75" s="22" t="s">
        <v>71</v>
      </c>
      <c r="L75" s="54" t="s">
        <v>153</v>
      </c>
      <c r="M75" s="23" t="s">
        <v>287</v>
      </c>
      <c r="N75" s="24" t="s">
        <v>153</v>
      </c>
      <c r="O75" s="26" t="s">
        <v>1191</v>
      </c>
      <c r="P75" s="26" t="s">
        <v>1191</v>
      </c>
      <c r="Q75" s="26" t="s">
        <v>1191</v>
      </c>
      <c r="R75" s="24" t="s">
        <v>156</v>
      </c>
      <c r="S75" s="24" t="s">
        <v>156</v>
      </c>
      <c r="T75" s="24" t="s">
        <v>156</v>
      </c>
      <c r="U75" s="24" t="s">
        <v>153</v>
      </c>
      <c r="V75" s="54" t="s">
        <v>153</v>
      </c>
      <c r="W75" s="26" t="s">
        <v>1191</v>
      </c>
      <c r="X75" s="26" t="s">
        <v>1191</v>
      </c>
      <c r="Y75" s="23" t="s">
        <v>291</v>
      </c>
      <c r="Z75" s="23" t="s">
        <v>291</v>
      </c>
      <c r="AA75" s="26" t="s">
        <v>1191</v>
      </c>
      <c r="AB75" s="24" t="s">
        <v>153</v>
      </c>
      <c r="AC75" s="26" t="s">
        <v>1191</v>
      </c>
      <c r="AD75" s="26" t="s">
        <v>1191</v>
      </c>
      <c r="AE75" s="26" t="s">
        <v>1191</v>
      </c>
      <c r="AF75" s="26" t="s">
        <v>1191</v>
      </c>
      <c r="AG75" s="26" t="s">
        <v>1191</v>
      </c>
      <c r="AH75" s="26" t="s">
        <v>1191</v>
      </c>
      <c r="AI75" s="24" t="s">
        <v>153</v>
      </c>
      <c r="AJ75" s="26" t="s">
        <v>1191</v>
      </c>
      <c r="AK75" s="26" t="s">
        <v>1191</v>
      </c>
      <c r="AL75" s="26" t="s">
        <v>1191</v>
      </c>
      <c r="AM75" s="23" t="s">
        <v>288</v>
      </c>
      <c r="AN75" s="23" t="s">
        <v>288</v>
      </c>
      <c r="AO75" s="23" t="s">
        <v>288</v>
      </c>
      <c r="AP75" s="23">
        <f>VALUE(51)</f>
        <v>51</v>
      </c>
      <c r="AQ75" s="23">
        <f>VALUE(0)</f>
        <v>0</v>
      </c>
      <c r="AR75" s="23">
        <f>VALUE(0)</f>
        <v>0</v>
      </c>
      <c r="AS75" s="23">
        <f>VALUE(0)</f>
        <v>0</v>
      </c>
      <c r="AT75" s="23">
        <f>VALUE(0)</f>
        <v>0</v>
      </c>
      <c r="AU75" s="23">
        <f>VALUE(0)</f>
        <v>0</v>
      </c>
      <c r="AV75" s="23">
        <f>VALUE(8)</f>
        <v>8</v>
      </c>
      <c r="AW75" s="23">
        <f>VALUE(0)</f>
        <v>0</v>
      </c>
      <c r="AX75" s="23" t="s">
        <v>289</v>
      </c>
      <c r="AY75" s="23" t="s">
        <v>290</v>
      </c>
      <c r="AZ75" s="23">
        <f>VALUE(0)</f>
        <v>0</v>
      </c>
      <c r="BA75" s="23">
        <f>VALUE(0)</f>
        <v>0</v>
      </c>
      <c r="BB75" s="23">
        <f>VALUE(0)</f>
        <v>0</v>
      </c>
      <c r="BC75" s="23">
        <f>VALUE(0)</f>
        <v>0</v>
      </c>
      <c r="BD75" s="23">
        <f>VALUE(0)</f>
        <v>0</v>
      </c>
      <c r="BE75" s="23">
        <f>VALUE(0)</f>
        <v>0</v>
      </c>
      <c r="BF75" s="23">
        <f>VALUE(0)</f>
        <v>0</v>
      </c>
      <c r="BG75" s="23">
        <f>VALUE(0)</f>
        <v>0</v>
      </c>
      <c r="BH75" s="23">
        <f>VALUE(0)</f>
        <v>0</v>
      </c>
      <c r="BI75" s="23">
        <f>VALUE(0)</f>
        <v>0</v>
      </c>
      <c r="BJ75" s="23">
        <f>VALUE(0)</f>
        <v>0</v>
      </c>
      <c r="BK75" s="12">
        <f>$AX$75*24</f>
        <v>5.583333333333333</v>
      </c>
      <c r="BL75" s="12">
        <f>$AY$75*24</f>
        <v>4.4000000000000004</v>
      </c>
      <c r="BM75" s="12">
        <f>$BJ$75*24</f>
        <v>0</v>
      </c>
      <c r="BN75" s="12">
        <f>VALUE($I$75)/100</f>
        <v>1</v>
      </c>
      <c r="BO75" s="12">
        <v>0</v>
      </c>
      <c r="BP75" s="12">
        <v>0</v>
      </c>
      <c r="BQ75" s="12">
        <v>0</v>
      </c>
      <c r="BR75" s="12">
        <v>0</v>
      </c>
      <c r="BS75" s="12">
        <v>0</v>
      </c>
      <c r="BT75" s="12">
        <v>0</v>
      </c>
      <c r="BU75" s="12">
        <v>0</v>
      </c>
      <c r="BV75" s="12">
        <v>0</v>
      </c>
      <c r="BW75" s="12">
        <v>0</v>
      </c>
      <c r="BX75" s="12">
        <v>0</v>
      </c>
      <c r="BY75" s="12">
        <v>0</v>
      </c>
      <c r="BZ75" s="12">
        <v>0</v>
      </c>
      <c r="CA75" s="12">
        <v>0</v>
      </c>
    </row>
    <row r="76" spans="1:79" hidden="1" x14ac:dyDescent="0.2">
      <c r="A76" s="12" t="s">
        <v>102</v>
      </c>
      <c r="B76" s="12" t="s">
        <v>110</v>
      </c>
      <c r="C76" s="12" t="s">
        <v>110</v>
      </c>
      <c r="D76" s="22" t="s">
        <v>291</v>
      </c>
      <c r="E76" s="22" t="s">
        <v>161</v>
      </c>
      <c r="F76" s="22" t="s">
        <v>709</v>
      </c>
      <c r="G76" s="22" t="s">
        <v>710</v>
      </c>
      <c r="H76" s="22" t="s">
        <v>150</v>
      </c>
      <c r="I76" s="22" t="s">
        <v>151</v>
      </c>
      <c r="J76" s="22" t="s">
        <v>162</v>
      </c>
      <c r="K76" s="22" t="s">
        <v>71</v>
      </c>
      <c r="L76" s="54" t="s">
        <v>153</v>
      </c>
      <c r="M76" s="23" t="s">
        <v>153</v>
      </c>
      <c r="N76" s="24" t="s">
        <v>153</v>
      </c>
      <c r="O76" s="23" t="s">
        <v>153</v>
      </c>
      <c r="P76" s="23" t="s">
        <v>153</v>
      </c>
      <c r="Q76" s="23" t="s">
        <v>153</v>
      </c>
      <c r="R76" s="29" t="s">
        <v>29</v>
      </c>
      <c r="S76" s="29" t="s">
        <v>29</v>
      </c>
      <c r="T76" s="23" t="s">
        <v>153</v>
      </c>
      <c r="U76" s="24" t="s">
        <v>153</v>
      </c>
      <c r="V76" s="54" t="s">
        <v>153</v>
      </c>
      <c r="W76" s="23" t="s">
        <v>153</v>
      </c>
      <c r="X76" s="23" t="s">
        <v>153</v>
      </c>
      <c r="Y76" s="29" t="s">
        <v>29</v>
      </c>
      <c r="Z76" s="29" t="s">
        <v>29</v>
      </c>
      <c r="AA76" s="23" t="s">
        <v>153</v>
      </c>
      <c r="AB76" s="24" t="s">
        <v>153</v>
      </c>
      <c r="AC76" s="23" t="s">
        <v>153</v>
      </c>
      <c r="AD76" s="23" t="s">
        <v>153</v>
      </c>
      <c r="AE76" s="23" t="s">
        <v>153</v>
      </c>
      <c r="AF76" s="24" t="s">
        <v>156</v>
      </c>
      <c r="AG76" s="24" t="s">
        <v>156</v>
      </c>
      <c r="AH76" s="24" t="s">
        <v>156</v>
      </c>
      <c r="AI76" s="24" t="s">
        <v>153</v>
      </c>
      <c r="AJ76" s="28" t="s">
        <v>163</v>
      </c>
      <c r="AK76" s="28" t="s">
        <v>163</v>
      </c>
      <c r="AL76" s="28" t="s">
        <v>163</v>
      </c>
      <c r="AM76" s="28" t="s">
        <v>163</v>
      </c>
      <c r="AN76" s="28" t="s">
        <v>163</v>
      </c>
      <c r="AO76" s="28" t="s">
        <v>163</v>
      </c>
      <c r="AP76" s="23">
        <f>VALUE(32)</f>
        <v>32</v>
      </c>
      <c r="AQ76" s="23">
        <f>VALUE(0)</f>
        <v>0</v>
      </c>
      <c r="AR76" s="23">
        <f>VALUE(4)</f>
        <v>4</v>
      </c>
      <c r="AS76" s="23">
        <f>VALUE(0)</f>
        <v>0</v>
      </c>
      <c r="AT76" s="23">
        <f>VALUE(0)</f>
        <v>0</v>
      </c>
      <c r="AU76" s="23">
        <f>VALUE(6)</f>
        <v>6</v>
      </c>
      <c r="AV76" s="23">
        <f>VALUE(6)</f>
        <v>6</v>
      </c>
      <c r="AW76" s="23">
        <f>VALUE(0)</f>
        <v>0</v>
      </c>
      <c r="AX76" s="23" t="s">
        <v>292</v>
      </c>
      <c r="AY76" s="23" t="s">
        <v>176</v>
      </c>
      <c r="AZ76" s="23">
        <f>VALUE(0)</f>
        <v>0</v>
      </c>
      <c r="BA76" s="23">
        <f>VALUE(0)</f>
        <v>0</v>
      </c>
      <c r="BB76" s="23">
        <f>VALUE(0)</f>
        <v>0</v>
      </c>
      <c r="BC76" s="23">
        <f>VALUE(0)</f>
        <v>0</v>
      </c>
      <c r="BD76" s="23">
        <f>VALUE(0)</f>
        <v>0</v>
      </c>
      <c r="BE76" s="23">
        <f>VALUE(0)</f>
        <v>0</v>
      </c>
      <c r="BF76" s="23">
        <f>VALUE(0)</f>
        <v>0</v>
      </c>
      <c r="BG76" s="23">
        <f>VALUE(0)</f>
        <v>0</v>
      </c>
      <c r="BH76" s="23">
        <f>VALUE(0)</f>
        <v>0</v>
      </c>
      <c r="BI76" s="23">
        <f>VALUE(0)</f>
        <v>0</v>
      </c>
      <c r="BJ76" s="23">
        <f>VALUE(0)</f>
        <v>0</v>
      </c>
      <c r="BK76" s="12">
        <f>$AX$76*24</f>
        <v>3.6499999999999995</v>
      </c>
      <c r="BL76" s="12">
        <f>$AY$76*24</f>
        <v>0</v>
      </c>
      <c r="BM76" s="12">
        <f>$BJ$76*24</f>
        <v>0</v>
      </c>
      <c r="BN76" s="12">
        <f>VALUE($I$76)/100</f>
        <v>1</v>
      </c>
      <c r="BO76" s="12">
        <v>0</v>
      </c>
      <c r="BP76" s="12">
        <v>0</v>
      </c>
      <c r="BQ76" s="12">
        <v>0</v>
      </c>
      <c r="BR76" s="12">
        <v>0</v>
      </c>
      <c r="BS76" s="12">
        <v>0</v>
      </c>
      <c r="BT76" s="12">
        <v>0</v>
      </c>
      <c r="BU76" s="12">
        <v>0</v>
      </c>
      <c r="BV76" s="12">
        <v>0</v>
      </c>
      <c r="BW76" s="12">
        <v>0</v>
      </c>
      <c r="BX76" s="12">
        <v>0</v>
      </c>
      <c r="BY76" s="12">
        <v>0</v>
      </c>
      <c r="BZ76" s="12">
        <v>0</v>
      </c>
      <c r="CA76" s="12">
        <v>0</v>
      </c>
    </row>
    <row r="77" spans="1:79" hidden="1" x14ac:dyDescent="0.2">
      <c r="A77" s="12" t="s">
        <v>102</v>
      </c>
      <c r="B77" s="12" t="s">
        <v>110</v>
      </c>
      <c r="C77" s="12" t="s">
        <v>110</v>
      </c>
      <c r="D77" s="22" t="s">
        <v>293</v>
      </c>
      <c r="E77" s="22" t="s">
        <v>161</v>
      </c>
      <c r="F77" s="22" t="s">
        <v>711</v>
      </c>
      <c r="G77" s="22" t="s">
        <v>712</v>
      </c>
      <c r="H77" s="22" t="s">
        <v>150</v>
      </c>
      <c r="I77" s="22" t="s">
        <v>151</v>
      </c>
      <c r="J77" s="22" t="s">
        <v>162</v>
      </c>
      <c r="K77" s="22" t="s">
        <v>71</v>
      </c>
      <c r="L77" s="54" t="s">
        <v>153</v>
      </c>
      <c r="M77" s="24" t="s">
        <v>156</v>
      </c>
      <c r="N77" s="24" t="s">
        <v>153</v>
      </c>
      <c r="O77" s="24" t="s">
        <v>156</v>
      </c>
      <c r="P77" s="24" t="s">
        <v>156</v>
      </c>
      <c r="Q77" s="24" t="s">
        <v>156</v>
      </c>
      <c r="R77" s="28" t="s">
        <v>163</v>
      </c>
      <c r="S77" s="28" t="s">
        <v>163</v>
      </c>
      <c r="T77" s="28" t="s">
        <v>163</v>
      </c>
      <c r="U77" s="24" t="s">
        <v>153</v>
      </c>
      <c r="V77" s="54" t="s">
        <v>153</v>
      </c>
      <c r="W77" s="28" t="s">
        <v>163</v>
      </c>
      <c r="X77" s="28" t="s">
        <v>163</v>
      </c>
      <c r="Y77" s="28" t="s">
        <v>163</v>
      </c>
      <c r="Z77" s="28" t="s">
        <v>163</v>
      </c>
      <c r="AA77" s="28" t="s">
        <v>163</v>
      </c>
      <c r="AB77" s="24" t="s">
        <v>153</v>
      </c>
      <c r="AC77" s="23" t="s">
        <v>153</v>
      </c>
      <c r="AD77" s="23" t="s">
        <v>153</v>
      </c>
      <c r="AE77" s="23" t="s">
        <v>153</v>
      </c>
      <c r="AF77" s="23" t="s">
        <v>153</v>
      </c>
      <c r="AG77" s="23" t="s">
        <v>153</v>
      </c>
      <c r="AH77" s="23" t="s">
        <v>153</v>
      </c>
      <c r="AI77" s="24" t="s">
        <v>153</v>
      </c>
      <c r="AJ77" s="23" t="s">
        <v>153</v>
      </c>
      <c r="AK77" s="23" t="s">
        <v>153</v>
      </c>
      <c r="AL77" s="23" t="s">
        <v>153</v>
      </c>
      <c r="AM77" s="23" t="s">
        <v>153</v>
      </c>
      <c r="AN77" s="23" t="s">
        <v>153</v>
      </c>
      <c r="AO77" s="23" t="s">
        <v>153</v>
      </c>
      <c r="AP77" s="23">
        <f>VALUE(49)</f>
        <v>49</v>
      </c>
      <c r="AQ77" s="23">
        <f>VALUE(0)</f>
        <v>0</v>
      </c>
      <c r="AR77" s="23">
        <f>VALUE(0)</f>
        <v>0</v>
      </c>
      <c r="AS77" s="23">
        <f>VALUE(0)</f>
        <v>0</v>
      </c>
      <c r="AT77" s="23">
        <f>VALUE(0)</f>
        <v>0</v>
      </c>
      <c r="AU77" s="23">
        <f>VALUE(8)</f>
        <v>8</v>
      </c>
      <c r="AV77" s="23">
        <f>VALUE(7)</f>
        <v>7</v>
      </c>
      <c r="AW77" s="23">
        <f>VALUE(0)</f>
        <v>0</v>
      </c>
      <c r="AX77" s="23" t="s">
        <v>294</v>
      </c>
      <c r="AY77" s="23" t="s">
        <v>295</v>
      </c>
      <c r="AZ77" s="23">
        <f>VALUE(0)</f>
        <v>0</v>
      </c>
      <c r="BA77" s="23">
        <f>VALUE(0)</f>
        <v>0</v>
      </c>
      <c r="BB77" s="23">
        <f>VALUE(0)</f>
        <v>0</v>
      </c>
      <c r="BC77" s="23">
        <f>VALUE(0)</f>
        <v>0</v>
      </c>
      <c r="BD77" s="23">
        <f>VALUE(0)</f>
        <v>0</v>
      </c>
      <c r="BE77" s="23">
        <f>VALUE(0)</f>
        <v>0</v>
      </c>
      <c r="BF77" s="23">
        <f>VALUE(0)</f>
        <v>0</v>
      </c>
      <c r="BG77" s="23">
        <f>VALUE(0)</f>
        <v>0</v>
      </c>
      <c r="BH77" s="23">
        <f>VALUE(0)</f>
        <v>0</v>
      </c>
      <c r="BI77" s="23">
        <f>VALUE(0)</f>
        <v>0</v>
      </c>
      <c r="BJ77" s="23">
        <f>VALUE(0)</f>
        <v>0</v>
      </c>
      <c r="BK77" s="12">
        <f>$AX$77*24</f>
        <v>2.1666666666666665</v>
      </c>
      <c r="BL77" s="12">
        <f>$AY$77*24</f>
        <v>0.73333333333333328</v>
      </c>
      <c r="BM77" s="12">
        <f>$BJ$77*24</f>
        <v>0</v>
      </c>
      <c r="BN77" s="12">
        <f>VALUE($I$77)/100</f>
        <v>1</v>
      </c>
      <c r="BO77" s="12">
        <v>0</v>
      </c>
      <c r="BP77" s="12">
        <v>0</v>
      </c>
      <c r="BQ77" s="12">
        <v>0</v>
      </c>
      <c r="BR77" s="12">
        <v>0</v>
      </c>
      <c r="BS77" s="12">
        <v>0</v>
      </c>
      <c r="BT77" s="12">
        <v>0</v>
      </c>
      <c r="BU77" s="12">
        <v>0</v>
      </c>
      <c r="BV77" s="12">
        <v>0</v>
      </c>
      <c r="BW77" s="12">
        <v>0</v>
      </c>
      <c r="BX77" s="12">
        <v>0</v>
      </c>
      <c r="BY77" s="12">
        <v>0</v>
      </c>
      <c r="BZ77" s="12">
        <v>0</v>
      </c>
      <c r="CA77" s="12">
        <v>0</v>
      </c>
    </row>
    <row r="78" spans="1:79" hidden="1" x14ac:dyDescent="0.2">
      <c r="A78" s="12" t="s">
        <v>102</v>
      </c>
      <c r="B78" s="12" t="s">
        <v>110</v>
      </c>
      <c r="C78" s="12" t="s">
        <v>110</v>
      </c>
      <c r="D78" s="22" t="s">
        <v>288</v>
      </c>
      <c r="E78" s="22" t="s">
        <v>161</v>
      </c>
      <c r="F78" s="22" t="s">
        <v>713</v>
      </c>
      <c r="G78" s="22" t="s">
        <v>714</v>
      </c>
      <c r="H78" s="22" t="s">
        <v>166</v>
      </c>
      <c r="I78" s="22" t="s">
        <v>151</v>
      </c>
      <c r="J78" s="22" t="s">
        <v>162</v>
      </c>
      <c r="K78" s="22" t="s">
        <v>71</v>
      </c>
      <c r="L78" s="54" t="s">
        <v>153</v>
      </c>
      <c r="M78" s="28" t="s">
        <v>163</v>
      </c>
      <c r="N78" s="24" t="s">
        <v>153</v>
      </c>
      <c r="O78" s="23" t="s">
        <v>153</v>
      </c>
      <c r="P78" s="23" t="s">
        <v>153</v>
      </c>
      <c r="Q78" s="23" t="s">
        <v>153</v>
      </c>
      <c r="R78" s="23" t="s">
        <v>153</v>
      </c>
      <c r="S78" s="23" t="s">
        <v>153</v>
      </c>
      <c r="T78" s="23" t="s">
        <v>153</v>
      </c>
      <c r="U78" s="24" t="s">
        <v>153</v>
      </c>
      <c r="V78" s="54" t="s">
        <v>153</v>
      </c>
      <c r="W78" s="23" t="s">
        <v>153</v>
      </c>
      <c r="X78" s="23" t="s">
        <v>153</v>
      </c>
      <c r="Y78" s="23" t="s">
        <v>153</v>
      </c>
      <c r="Z78" s="23" t="s">
        <v>153</v>
      </c>
      <c r="AA78" s="23" t="s">
        <v>153</v>
      </c>
      <c r="AB78" s="24" t="s">
        <v>153</v>
      </c>
      <c r="AC78" s="23" t="s">
        <v>153</v>
      </c>
      <c r="AD78" s="23" t="s">
        <v>153</v>
      </c>
      <c r="AE78" s="23" t="s">
        <v>153</v>
      </c>
      <c r="AF78" s="23" t="s">
        <v>153</v>
      </c>
      <c r="AG78" s="23" t="s">
        <v>153</v>
      </c>
      <c r="AH78" s="23" t="s">
        <v>153</v>
      </c>
      <c r="AI78" s="24" t="s">
        <v>153</v>
      </c>
      <c r="AJ78" s="23" t="s">
        <v>153</v>
      </c>
      <c r="AK78" s="23" t="s">
        <v>153</v>
      </c>
      <c r="AL78" s="23" t="s">
        <v>153</v>
      </c>
      <c r="AM78" s="24" t="s">
        <v>156</v>
      </c>
      <c r="AN78" s="24" t="s">
        <v>156</v>
      </c>
      <c r="AO78" s="24" t="s">
        <v>156</v>
      </c>
      <c r="AP78" s="23">
        <f>VALUE(46)</f>
        <v>46</v>
      </c>
      <c r="AQ78" s="23">
        <f>VALUE(0)</f>
        <v>0</v>
      </c>
      <c r="AR78" s="23">
        <f>VALUE(0)</f>
        <v>0</v>
      </c>
      <c r="AS78" s="23">
        <f>VALUE(0)</f>
        <v>0</v>
      </c>
      <c r="AT78" s="23">
        <f>VALUE(0)</f>
        <v>0</v>
      </c>
      <c r="AU78" s="23">
        <f>VALUE(1)</f>
        <v>1</v>
      </c>
      <c r="AV78" s="23">
        <f>VALUE(6)</f>
        <v>6</v>
      </c>
      <c r="AW78" s="23">
        <f>VALUE(0)</f>
        <v>0</v>
      </c>
      <c r="AX78" s="23" t="s">
        <v>1192</v>
      </c>
      <c r="AY78" s="23">
        <f>VALUE(0)</f>
        <v>0</v>
      </c>
      <c r="AZ78" s="23">
        <f>VALUE(0)</f>
        <v>0</v>
      </c>
      <c r="BA78" s="23">
        <f>VALUE(0)</f>
        <v>0</v>
      </c>
      <c r="BB78" s="23">
        <f>VALUE(0)</f>
        <v>0</v>
      </c>
      <c r="BC78" s="23">
        <f>VALUE(0)</f>
        <v>0</v>
      </c>
      <c r="BD78" s="23">
        <f>VALUE(0)</f>
        <v>0</v>
      </c>
      <c r="BE78" s="23">
        <f>VALUE(0)</f>
        <v>0</v>
      </c>
      <c r="BF78" s="23">
        <f>VALUE(0)</f>
        <v>0</v>
      </c>
      <c r="BG78" s="23">
        <f>VALUE(0)</f>
        <v>0</v>
      </c>
      <c r="BH78" s="23">
        <f>VALUE(0)</f>
        <v>0</v>
      </c>
      <c r="BI78" s="23">
        <f>VALUE(0)</f>
        <v>0</v>
      </c>
      <c r="BJ78" s="23">
        <f>VALUE(0)</f>
        <v>0</v>
      </c>
      <c r="BK78" s="12">
        <f>$AX$78*24</f>
        <v>61.45</v>
      </c>
      <c r="BL78" s="12">
        <f>$AY$78*24</f>
        <v>0</v>
      </c>
      <c r="BM78" s="12">
        <f>$BJ$78*24</f>
        <v>0</v>
      </c>
      <c r="BN78" s="12">
        <f>VALUE($I$78)/100</f>
        <v>1</v>
      </c>
      <c r="BO78" s="12">
        <v>0</v>
      </c>
      <c r="BP78" s="12">
        <v>0</v>
      </c>
      <c r="BQ78" s="12">
        <v>0</v>
      </c>
      <c r="BR78" s="12">
        <v>0</v>
      </c>
      <c r="BS78" s="12">
        <v>0</v>
      </c>
      <c r="BT78" s="12">
        <v>0</v>
      </c>
      <c r="BU78" s="12">
        <v>0</v>
      </c>
      <c r="BV78" s="12">
        <v>0</v>
      </c>
      <c r="BW78" s="12">
        <v>0</v>
      </c>
      <c r="BX78" s="12">
        <v>0</v>
      </c>
      <c r="BY78" s="12">
        <v>0</v>
      </c>
      <c r="BZ78" s="12">
        <v>0</v>
      </c>
      <c r="CA78" s="12">
        <v>0</v>
      </c>
    </row>
    <row r="79" spans="1:79" hidden="1" x14ac:dyDescent="0.2">
      <c r="A79" s="12" t="s">
        <v>102</v>
      </c>
      <c r="B79" s="12" t="s">
        <v>110</v>
      </c>
      <c r="C79" s="12" t="s">
        <v>110</v>
      </c>
      <c r="D79" s="22" t="s">
        <v>296</v>
      </c>
      <c r="E79" s="22" t="s">
        <v>161</v>
      </c>
      <c r="F79" s="22" t="s">
        <v>715</v>
      </c>
      <c r="G79" s="22" t="s">
        <v>716</v>
      </c>
      <c r="H79" s="22" t="s">
        <v>150</v>
      </c>
      <c r="I79" s="22" t="s">
        <v>151</v>
      </c>
      <c r="J79" s="22" t="s">
        <v>162</v>
      </c>
      <c r="K79" s="22" t="s">
        <v>71</v>
      </c>
      <c r="L79" s="54" t="s">
        <v>153</v>
      </c>
      <c r="M79" s="23" t="s">
        <v>153</v>
      </c>
      <c r="N79" s="24" t="s">
        <v>153</v>
      </c>
      <c r="O79" s="23" t="s">
        <v>153</v>
      </c>
      <c r="P79" s="23" t="s">
        <v>153</v>
      </c>
      <c r="Q79" s="23" t="s">
        <v>153</v>
      </c>
      <c r="R79" s="23" t="s">
        <v>153</v>
      </c>
      <c r="S79" s="23" t="s">
        <v>153</v>
      </c>
      <c r="T79" s="23" t="s">
        <v>153</v>
      </c>
      <c r="U79" s="24" t="s">
        <v>153</v>
      </c>
      <c r="V79" s="54" t="s">
        <v>153</v>
      </c>
      <c r="W79" s="23" t="s">
        <v>153</v>
      </c>
      <c r="X79" s="23" t="s">
        <v>153</v>
      </c>
      <c r="Y79" s="24" t="s">
        <v>156</v>
      </c>
      <c r="Z79" s="24" t="s">
        <v>156</v>
      </c>
      <c r="AA79" s="24" t="s">
        <v>156</v>
      </c>
      <c r="AB79" s="24" t="s">
        <v>153</v>
      </c>
      <c r="AC79" s="28" t="s">
        <v>163</v>
      </c>
      <c r="AD79" s="28" t="s">
        <v>163</v>
      </c>
      <c r="AE79" s="28" t="s">
        <v>163</v>
      </c>
      <c r="AF79" s="23" t="s">
        <v>153</v>
      </c>
      <c r="AG79" s="23" t="s">
        <v>153</v>
      </c>
      <c r="AH79" s="23" t="s">
        <v>153</v>
      </c>
      <c r="AI79" s="24" t="s">
        <v>153</v>
      </c>
      <c r="AJ79" s="23" t="s">
        <v>153</v>
      </c>
      <c r="AK79" s="23" t="s">
        <v>153</v>
      </c>
      <c r="AL79" s="23" t="s">
        <v>153</v>
      </c>
      <c r="AM79" s="23" t="s">
        <v>153</v>
      </c>
      <c r="AN79" s="23" t="s">
        <v>153</v>
      </c>
      <c r="AO79" s="23" t="s">
        <v>153</v>
      </c>
      <c r="AP79" s="23">
        <f>VALUE(54)</f>
        <v>54</v>
      </c>
      <c r="AQ79" s="23">
        <f>VALUE(0)</f>
        <v>0</v>
      </c>
      <c r="AR79" s="23">
        <f>VALUE(0)</f>
        <v>0</v>
      </c>
      <c r="AS79" s="23">
        <f>VALUE(0)</f>
        <v>0</v>
      </c>
      <c r="AT79" s="23">
        <f>VALUE(0)</f>
        <v>0</v>
      </c>
      <c r="AU79" s="23">
        <f>VALUE(3)</f>
        <v>3</v>
      </c>
      <c r="AV79" s="23">
        <f>VALUE(13)</f>
        <v>13</v>
      </c>
      <c r="AW79" s="23">
        <f>VALUE(0)</f>
        <v>0</v>
      </c>
      <c r="AX79" s="23" t="s">
        <v>158</v>
      </c>
      <c r="AY79" s="23" t="s">
        <v>297</v>
      </c>
      <c r="AZ79" s="23">
        <f>VALUE(0)</f>
        <v>0</v>
      </c>
      <c r="BA79" s="23">
        <f>VALUE(0)</f>
        <v>0</v>
      </c>
      <c r="BB79" s="23">
        <f>VALUE(0)</f>
        <v>0</v>
      </c>
      <c r="BC79" s="23">
        <f>VALUE(0)</f>
        <v>0</v>
      </c>
      <c r="BD79" s="23">
        <f>VALUE(0)</f>
        <v>0</v>
      </c>
      <c r="BE79" s="23">
        <f>VALUE(0)</f>
        <v>0</v>
      </c>
      <c r="BF79" s="23">
        <f>VALUE(0)</f>
        <v>0</v>
      </c>
      <c r="BG79" s="23">
        <f>VALUE(0)</f>
        <v>0</v>
      </c>
      <c r="BH79" s="23">
        <f>VALUE(0)</f>
        <v>0</v>
      </c>
      <c r="BI79" s="23">
        <f>VALUE(0)</f>
        <v>0</v>
      </c>
      <c r="BJ79" s="23">
        <f>VALUE(0)</f>
        <v>0</v>
      </c>
      <c r="BK79" s="12">
        <f>$AX$79*24</f>
        <v>11.666666666666666</v>
      </c>
      <c r="BL79" s="12">
        <f>$AY$79*24</f>
        <v>2.4500000000000002</v>
      </c>
      <c r="BM79" s="12">
        <f>$BJ$79*24</f>
        <v>0</v>
      </c>
      <c r="BN79" s="12">
        <f>VALUE($I$79)/100</f>
        <v>1</v>
      </c>
      <c r="BO79" s="12">
        <v>0</v>
      </c>
      <c r="BP79" s="12">
        <v>0</v>
      </c>
      <c r="BQ79" s="12">
        <v>0</v>
      </c>
      <c r="BR79" s="12">
        <v>0</v>
      </c>
      <c r="BS79" s="12">
        <v>0</v>
      </c>
      <c r="BT79" s="12">
        <v>0</v>
      </c>
      <c r="BU79" s="12">
        <v>0</v>
      </c>
      <c r="BV79" s="12">
        <v>0</v>
      </c>
      <c r="BW79" s="12">
        <v>0</v>
      </c>
      <c r="BX79" s="12">
        <v>0</v>
      </c>
      <c r="BY79" s="12">
        <v>0</v>
      </c>
      <c r="BZ79" s="12">
        <v>0</v>
      </c>
      <c r="CA79" s="12">
        <v>0</v>
      </c>
    </row>
    <row r="80" spans="1:79" hidden="1" x14ac:dyDescent="0.2">
      <c r="A80" s="12" t="s">
        <v>102</v>
      </c>
      <c r="B80" s="12" t="s">
        <v>110</v>
      </c>
      <c r="C80" s="12" t="s">
        <v>110</v>
      </c>
      <c r="D80" s="22" t="s">
        <v>298</v>
      </c>
      <c r="E80" s="22" t="s">
        <v>161</v>
      </c>
      <c r="F80" s="22" t="s">
        <v>717</v>
      </c>
      <c r="G80" s="22" t="s">
        <v>718</v>
      </c>
      <c r="H80" s="22" t="s">
        <v>150</v>
      </c>
      <c r="I80" s="22" t="s">
        <v>151</v>
      </c>
      <c r="J80" s="22" t="s">
        <v>162</v>
      </c>
      <c r="K80" s="22" t="s">
        <v>71</v>
      </c>
      <c r="L80" s="54" t="s">
        <v>153</v>
      </c>
      <c r="M80" s="23" t="s">
        <v>153</v>
      </c>
      <c r="N80" s="24" t="s">
        <v>153</v>
      </c>
      <c r="O80" s="23" t="s">
        <v>153</v>
      </c>
      <c r="P80" s="23" t="s">
        <v>153</v>
      </c>
      <c r="Q80" s="23" t="s">
        <v>153</v>
      </c>
      <c r="R80" s="23" t="s">
        <v>153</v>
      </c>
      <c r="S80" s="23" t="s">
        <v>153</v>
      </c>
      <c r="T80" s="23" t="s">
        <v>153</v>
      </c>
      <c r="U80" s="24" t="s">
        <v>153</v>
      </c>
      <c r="V80" s="54" t="s">
        <v>156</v>
      </c>
      <c r="W80" s="24" t="s">
        <v>156</v>
      </c>
      <c r="X80" s="24" t="s">
        <v>156</v>
      </c>
      <c r="Y80" s="23" t="s">
        <v>153</v>
      </c>
      <c r="Z80" s="23" t="s">
        <v>153</v>
      </c>
      <c r="AA80" s="23" t="s">
        <v>153</v>
      </c>
      <c r="AB80" s="24" t="s">
        <v>153</v>
      </c>
      <c r="AC80" s="23" t="s">
        <v>153</v>
      </c>
      <c r="AD80" s="23" t="s">
        <v>153</v>
      </c>
      <c r="AE80" s="23" t="s">
        <v>153</v>
      </c>
      <c r="AF80" s="23" t="s">
        <v>153</v>
      </c>
      <c r="AG80" s="23" t="s">
        <v>153</v>
      </c>
      <c r="AH80" s="23" t="s">
        <v>153</v>
      </c>
      <c r="AI80" s="24" t="s">
        <v>153</v>
      </c>
      <c r="AJ80" s="23" t="s">
        <v>153</v>
      </c>
      <c r="AK80" s="23" t="s">
        <v>153</v>
      </c>
      <c r="AL80" s="23" t="s">
        <v>153</v>
      </c>
      <c r="AM80" s="23" t="s">
        <v>153</v>
      </c>
      <c r="AN80" s="23" t="s">
        <v>153</v>
      </c>
      <c r="AO80" s="23" t="s">
        <v>153</v>
      </c>
      <c r="AP80" s="23">
        <f>VALUE(59)</f>
        <v>59</v>
      </c>
      <c r="AQ80" s="23">
        <f>VALUE(0)</f>
        <v>0</v>
      </c>
      <c r="AR80" s="23">
        <f>VALUE(0)</f>
        <v>0</v>
      </c>
      <c r="AS80" s="23">
        <f>VALUE(0)</f>
        <v>0</v>
      </c>
      <c r="AT80" s="23">
        <f>VALUE(0)</f>
        <v>0</v>
      </c>
      <c r="AU80" s="23">
        <f>VALUE(0)</f>
        <v>0</v>
      </c>
      <c r="AV80" s="23">
        <f>VALUE(6)</f>
        <v>6</v>
      </c>
      <c r="AW80" s="23">
        <f>VALUE(0)</f>
        <v>0</v>
      </c>
      <c r="AX80" s="23">
        <f>VALUE(0)</f>
        <v>0</v>
      </c>
      <c r="AY80" s="23">
        <f>VALUE(0)</f>
        <v>0</v>
      </c>
      <c r="AZ80" s="23">
        <f>VALUE(0)</f>
        <v>0</v>
      </c>
      <c r="BA80" s="23">
        <f>VALUE(0)</f>
        <v>0</v>
      </c>
      <c r="BB80" s="23">
        <f>VALUE(0)</f>
        <v>0</v>
      </c>
      <c r="BC80" s="23">
        <f>VALUE(0)</f>
        <v>0</v>
      </c>
      <c r="BD80" s="23">
        <f>VALUE(0)</f>
        <v>0</v>
      </c>
      <c r="BE80" s="23">
        <f>VALUE(0)</f>
        <v>0</v>
      </c>
      <c r="BF80" s="23">
        <f>VALUE(0)</f>
        <v>0</v>
      </c>
      <c r="BG80" s="23">
        <f>VALUE(0)</f>
        <v>0</v>
      </c>
      <c r="BH80" s="23">
        <f>VALUE(0)</f>
        <v>0</v>
      </c>
      <c r="BI80" s="23">
        <f>VALUE(0)</f>
        <v>0</v>
      </c>
      <c r="BJ80" s="23">
        <f>VALUE(0)</f>
        <v>0</v>
      </c>
      <c r="BK80" s="12">
        <f>$AX$80*24</f>
        <v>0</v>
      </c>
      <c r="BL80" s="12">
        <f>$AY$80*24</f>
        <v>0</v>
      </c>
      <c r="BM80" s="12">
        <f>$BJ$80*24</f>
        <v>0</v>
      </c>
      <c r="BN80" s="12">
        <f>VALUE($I$80)/100</f>
        <v>1</v>
      </c>
      <c r="BO80" s="12">
        <v>0</v>
      </c>
      <c r="BP80" s="12">
        <v>0</v>
      </c>
      <c r="BQ80" s="12">
        <v>0</v>
      </c>
      <c r="BR80" s="12">
        <v>0</v>
      </c>
      <c r="BS80" s="12">
        <v>0</v>
      </c>
      <c r="BT80" s="12">
        <v>0</v>
      </c>
      <c r="BU80" s="12">
        <v>0</v>
      </c>
      <c r="BV80" s="12">
        <v>0</v>
      </c>
      <c r="BW80" s="12">
        <v>0</v>
      </c>
      <c r="BX80" s="12">
        <v>0</v>
      </c>
      <c r="BY80" s="12">
        <v>0</v>
      </c>
      <c r="BZ80" s="12">
        <v>0</v>
      </c>
      <c r="CA80" s="12">
        <v>0</v>
      </c>
    </row>
    <row r="81" spans="1:79" hidden="1" x14ac:dyDescent="0.2">
      <c r="A81" s="12" t="s">
        <v>102</v>
      </c>
      <c r="B81" s="12" t="s">
        <v>110</v>
      </c>
      <c r="C81" s="12" t="s">
        <v>110</v>
      </c>
      <c r="D81" s="22" t="s">
        <v>287</v>
      </c>
      <c r="E81" s="22" t="s">
        <v>161</v>
      </c>
      <c r="F81" s="22" t="s">
        <v>719</v>
      </c>
      <c r="G81" s="22" t="s">
        <v>720</v>
      </c>
      <c r="H81" s="22" t="s">
        <v>150</v>
      </c>
      <c r="I81" s="22" t="s">
        <v>151</v>
      </c>
      <c r="J81" s="22" t="s">
        <v>162</v>
      </c>
      <c r="K81" s="22" t="s">
        <v>71</v>
      </c>
      <c r="L81" s="54" t="s">
        <v>156</v>
      </c>
      <c r="M81" s="24" t="s">
        <v>156</v>
      </c>
      <c r="N81" s="24" t="s">
        <v>153</v>
      </c>
      <c r="O81" s="28" t="s">
        <v>163</v>
      </c>
      <c r="P81" s="28" t="s">
        <v>163</v>
      </c>
      <c r="Q81" s="28" t="s">
        <v>163</v>
      </c>
      <c r="R81" s="23" t="s">
        <v>153</v>
      </c>
      <c r="S81" s="23" t="s">
        <v>153</v>
      </c>
      <c r="T81" s="23" t="s">
        <v>153</v>
      </c>
      <c r="U81" s="24" t="s">
        <v>153</v>
      </c>
      <c r="V81" s="54" t="s">
        <v>153</v>
      </c>
      <c r="W81" s="23" t="s">
        <v>153</v>
      </c>
      <c r="X81" s="23" t="s">
        <v>153</v>
      </c>
      <c r="Y81" s="23" t="s">
        <v>153</v>
      </c>
      <c r="Z81" s="23" t="s">
        <v>153</v>
      </c>
      <c r="AA81" s="23" t="s">
        <v>153</v>
      </c>
      <c r="AB81" s="24" t="s">
        <v>153</v>
      </c>
      <c r="AC81" s="23" t="s">
        <v>153</v>
      </c>
      <c r="AD81" s="23" t="s">
        <v>153</v>
      </c>
      <c r="AE81" s="23" t="s">
        <v>153</v>
      </c>
      <c r="AF81" s="23" t="s">
        <v>153</v>
      </c>
      <c r="AG81" s="23" t="s">
        <v>153</v>
      </c>
      <c r="AH81" s="23" t="s">
        <v>153</v>
      </c>
      <c r="AI81" s="24" t="s">
        <v>153</v>
      </c>
      <c r="AJ81" s="24" t="s">
        <v>156</v>
      </c>
      <c r="AK81" s="24" t="s">
        <v>156</v>
      </c>
      <c r="AL81" s="24" t="s">
        <v>156</v>
      </c>
      <c r="AM81" s="23" t="s">
        <v>153</v>
      </c>
      <c r="AN81" s="23" t="s">
        <v>153</v>
      </c>
      <c r="AO81" s="23" t="s">
        <v>153</v>
      </c>
      <c r="AP81" s="23">
        <f>VALUE(51)</f>
        <v>51</v>
      </c>
      <c r="AQ81" s="23">
        <f>VALUE(0)</f>
        <v>0</v>
      </c>
      <c r="AR81" s="23">
        <f>VALUE(0)</f>
        <v>0</v>
      </c>
      <c r="AS81" s="23">
        <f>VALUE(0)</f>
        <v>0</v>
      </c>
      <c r="AT81" s="23">
        <f>VALUE(0)</f>
        <v>0</v>
      </c>
      <c r="AU81" s="23">
        <f>VALUE(3)</f>
        <v>3</v>
      </c>
      <c r="AV81" s="23">
        <f>VALUE(8)</f>
        <v>8</v>
      </c>
      <c r="AW81" s="23">
        <f>VALUE(0)</f>
        <v>0</v>
      </c>
      <c r="AX81" s="23" t="s">
        <v>1193</v>
      </c>
      <c r="AY81" s="23" t="s">
        <v>299</v>
      </c>
      <c r="AZ81" s="23">
        <f>VALUE(0)</f>
        <v>0</v>
      </c>
      <c r="BA81" s="23">
        <f>VALUE(0)</f>
        <v>0</v>
      </c>
      <c r="BB81" s="23">
        <f>VALUE(0)</f>
        <v>0</v>
      </c>
      <c r="BC81" s="23">
        <f>VALUE(0)</f>
        <v>0</v>
      </c>
      <c r="BD81" s="23">
        <f>VALUE(0)</f>
        <v>0</v>
      </c>
      <c r="BE81" s="23">
        <f>VALUE(0)</f>
        <v>0</v>
      </c>
      <c r="BF81" s="23">
        <f>VALUE(0)</f>
        <v>0</v>
      </c>
      <c r="BG81" s="23">
        <f>VALUE(0)</f>
        <v>0</v>
      </c>
      <c r="BH81" s="23">
        <f>VALUE(0)</f>
        <v>0</v>
      </c>
      <c r="BI81" s="23">
        <f>VALUE(0)</f>
        <v>0</v>
      </c>
      <c r="BJ81" s="23">
        <f>VALUE(0)</f>
        <v>0</v>
      </c>
      <c r="BK81" s="12">
        <f>$AX$81*24</f>
        <v>4.5</v>
      </c>
      <c r="BL81" s="12">
        <f>$AY$81*24</f>
        <v>1.65</v>
      </c>
      <c r="BM81" s="12">
        <f>$BJ$81*24</f>
        <v>0</v>
      </c>
      <c r="BN81" s="12">
        <f>VALUE($I$81)/100</f>
        <v>1</v>
      </c>
      <c r="BO81" s="12">
        <v>0</v>
      </c>
      <c r="BP81" s="12">
        <v>0</v>
      </c>
      <c r="BQ81" s="12">
        <v>0</v>
      </c>
      <c r="BR81" s="12">
        <v>0</v>
      </c>
      <c r="BS81" s="12">
        <v>0</v>
      </c>
      <c r="BT81" s="12">
        <v>0</v>
      </c>
      <c r="BU81" s="12">
        <v>0</v>
      </c>
      <c r="BV81" s="12">
        <v>0</v>
      </c>
      <c r="BW81" s="12">
        <v>0</v>
      </c>
      <c r="BX81" s="12">
        <v>0</v>
      </c>
      <c r="BY81" s="12">
        <v>0</v>
      </c>
      <c r="BZ81" s="12">
        <v>0</v>
      </c>
      <c r="CA81" s="12">
        <v>0</v>
      </c>
    </row>
    <row r="82" spans="1:79" hidden="1" x14ac:dyDescent="0.2">
      <c r="A82" s="12" t="s">
        <v>102</v>
      </c>
      <c r="B82" s="12" t="s">
        <v>110</v>
      </c>
      <c r="C82" s="12" t="s">
        <v>110</v>
      </c>
      <c r="D82" s="22" t="s">
        <v>300</v>
      </c>
      <c r="E82" s="22" t="s">
        <v>161</v>
      </c>
      <c r="F82" s="22" t="s">
        <v>721</v>
      </c>
      <c r="G82" s="22" t="s">
        <v>722</v>
      </c>
      <c r="H82" s="22" t="s">
        <v>150</v>
      </c>
      <c r="I82" s="22" t="s">
        <v>151</v>
      </c>
      <c r="J82" s="22" t="s">
        <v>162</v>
      </c>
      <c r="K82" s="22" t="s">
        <v>71</v>
      </c>
      <c r="L82" s="54" t="s">
        <v>153</v>
      </c>
      <c r="M82" s="23" t="s">
        <v>153</v>
      </c>
      <c r="N82" s="24" t="s">
        <v>153</v>
      </c>
      <c r="O82" s="23" t="s">
        <v>153</v>
      </c>
      <c r="P82" s="23" t="s">
        <v>153</v>
      </c>
      <c r="Q82" s="23" t="s">
        <v>153</v>
      </c>
      <c r="R82" s="23" t="s">
        <v>153</v>
      </c>
      <c r="S82" s="23" t="s">
        <v>153</v>
      </c>
      <c r="T82" s="23" t="s">
        <v>153</v>
      </c>
      <c r="U82" s="24" t="s">
        <v>153</v>
      </c>
      <c r="V82" s="54" t="s">
        <v>153</v>
      </c>
      <c r="W82" s="23" t="s">
        <v>153</v>
      </c>
      <c r="X82" s="23" t="s">
        <v>153</v>
      </c>
      <c r="Y82" s="23" t="s">
        <v>153</v>
      </c>
      <c r="Z82" s="23" t="s">
        <v>153</v>
      </c>
      <c r="AA82" s="23" t="s">
        <v>153</v>
      </c>
      <c r="AB82" s="24" t="s">
        <v>153</v>
      </c>
      <c r="AC82" s="23" t="s">
        <v>153</v>
      </c>
      <c r="AD82" s="23" t="s">
        <v>153</v>
      </c>
      <c r="AE82" s="23" t="s">
        <v>153</v>
      </c>
      <c r="AF82" s="23" t="s">
        <v>153</v>
      </c>
      <c r="AG82" s="23" t="s">
        <v>153</v>
      </c>
      <c r="AH82" s="23" t="s">
        <v>153</v>
      </c>
      <c r="AI82" s="24" t="s">
        <v>153</v>
      </c>
      <c r="AJ82" s="23" t="s">
        <v>153</v>
      </c>
      <c r="AK82" s="23" t="s">
        <v>153</v>
      </c>
      <c r="AL82" s="23" t="s">
        <v>153</v>
      </c>
      <c r="AM82" s="24" t="s">
        <v>156</v>
      </c>
      <c r="AN82" s="24" t="s">
        <v>156</v>
      </c>
      <c r="AO82" s="24" t="s">
        <v>156</v>
      </c>
      <c r="AP82" s="23">
        <f>VALUE(56)</f>
        <v>56</v>
      </c>
      <c r="AQ82" s="23">
        <f>VALUE(0)</f>
        <v>0</v>
      </c>
      <c r="AR82" s="23">
        <f>VALUE(0)</f>
        <v>0</v>
      </c>
      <c r="AS82" s="23">
        <f>VALUE(0)</f>
        <v>0</v>
      </c>
      <c r="AT82" s="23">
        <f>VALUE(0)</f>
        <v>0</v>
      </c>
      <c r="AU82" s="23">
        <f>VALUE(0)</f>
        <v>0</v>
      </c>
      <c r="AV82" s="23">
        <f>VALUE(7)</f>
        <v>7</v>
      </c>
      <c r="AW82" s="23">
        <f>VALUE(0)</f>
        <v>0</v>
      </c>
      <c r="AX82" s="23" t="s">
        <v>1193</v>
      </c>
      <c r="AY82" s="23" t="s">
        <v>301</v>
      </c>
      <c r="AZ82" s="23">
        <f>VALUE(0)</f>
        <v>0</v>
      </c>
      <c r="BA82" s="23">
        <f>VALUE(0)</f>
        <v>0</v>
      </c>
      <c r="BB82" s="23">
        <f>VALUE(0)</f>
        <v>0</v>
      </c>
      <c r="BC82" s="23">
        <f>VALUE(0)</f>
        <v>0</v>
      </c>
      <c r="BD82" s="23">
        <f>VALUE(0)</f>
        <v>0</v>
      </c>
      <c r="BE82" s="23">
        <f>VALUE(0)</f>
        <v>0</v>
      </c>
      <c r="BF82" s="23">
        <f>VALUE(0)</f>
        <v>0</v>
      </c>
      <c r="BG82" s="23">
        <f>VALUE(0)</f>
        <v>0</v>
      </c>
      <c r="BH82" s="23">
        <f>VALUE(0)</f>
        <v>0</v>
      </c>
      <c r="BI82" s="23">
        <f>VALUE(0)</f>
        <v>0</v>
      </c>
      <c r="BJ82" s="23">
        <f>VALUE(0)</f>
        <v>0</v>
      </c>
      <c r="BK82" s="12">
        <f>$AX$82*24</f>
        <v>4.5</v>
      </c>
      <c r="BL82" s="12">
        <f>$AY$82*24</f>
        <v>25.216666666666665</v>
      </c>
      <c r="BM82" s="12">
        <f>$BJ$82*24</f>
        <v>0</v>
      </c>
      <c r="BN82" s="12">
        <f>VALUE($I$82)/100</f>
        <v>1</v>
      </c>
      <c r="BO82" s="12">
        <v>0</v>
      </c>
      <c r="BP82" s="12">
        <v>0</v>
      </c>
      <c r="BQ82" s="12">
        <v>0</v>
      </c>
      <c r="BR82" s="12">
        <v>0</v>
      </c>
      <c r="BS82" s="12">
        <v>0</v>
      </c>
      <c r="BT82" s="12">
        <v>0</v>
      </c>
      <c r="BU82" s="12">
        <v>0</v>
      </c>
      <c r="BV82" s="12">
        <v>0</v>
      </c>
      <c r="BW82" s="12">
        <v>0</v>
      </c>
      <c r="BX82" s="12">
        <v>0</v>
      </c>
      <c r="BY82" s="12">
        <v>0</v>
      </c>
      <c r="BZ82" s="12">
        <v>0</v>
      </c>
      <c r="CA82" s="12">
        <v>0</v>
      </c>
    </row>
    <row r="83" spans="1:79" hidden="1" x14ac:dyDescent="0.2">
      <c r="A83" s="12" t="s">
        <v>102</v>
      </c>
      <c r="B83" s="12" t="s">
        <v>110</v>
      </c>
      <c r="C83" s="12" t="s">
        <v>110</v>
      </c>
      <c r="D83" s="22" t="s">
        <v>302</v>
      </c>
      <c r="E83" s="22" t="s">
        <v>159</v>
      </c>
      <c r="F83" s="22" t="s">
        <v>303</v>
      </c>
      <c r="G83" s="22" t="s">
        <v>304</v>
      </c>
      <c r="H83" s="22" t="s">
        <v>150</v>
      </c>
      <c r="I83" s="22" t="s">
        <v>151</v>
      </c>
      <c r="J83" s="22" t="s">
        <v>162</v>
      </c>
      <c r="K83" s="22" t="s">
        <v>71</v>
      </c>
      <c r="L83" s="54" t="s">
        <v>153</v>
      </c>
      <c r="M83" s="23" t="s">
        <v>288</v>
      </c>
      <c r="N83" s="24" t="s">
        <v>153</v>
      </c>
      <c r="O83" s="23" t="s">
        <v>287</v>
      </c>
      <c r="P83" s="23" t="s">
        <v>287</v>
      </c>
      <c r="Q83" s="23" t="s">
        <v>287</v>
      </c>
      <c r="R83" s="23" t="s">
        <v>291</v>
      </c>
      <c r="S83" s="23" t="s">
        <v>291</v>
      </c>
      <c r="T83" s="23" t="s">
        <v>305</v>
      </c>
      <c r="U83" s="24" t="s">
        <v>153</v>
      </c>
      <c r="V83" s="54" t="s">
        <v>153</v>
      </c>
      <c r="W83" s="23" t="s">
        <v>293</v>
      </c>
      <c r="X83" s="23" t="s">
        <v>293</v>
      </c>
      <c r="Y83" s="23" t="s">
        <v>293</v>
      </c>
      <c r="Z83" s="23" t="s">
        <v>293</v>
      </c>
      <c r="AA83" s="23" t="s">
        <v>293</v>
      </c>
      <c r="AB83" s="24" t="s">
        <v>153</v>
      </c>
      <c r="AC83" s="23" t="s">
        <v>296</v>
      </c>
      <c r="AD83" s="23" t="s">
        <v>296</v>
      </c>
      <c r="AE83" s="23" t="s">
        <v>296</v>
      </c>
      <c r="AF83" s="24" t="s">
        <v>156</v>
      </c>
      <c r="AG83" s="24" t="s">
        <v>156</v>
      </c>
      <c r="AH83" s="24" t="s">
        <v>156</v>
      </c>
      <c r="AI83" s="24" t="s">
        <v>153</v>
      </c>
      <c r="AJ83" s="23" t="s">
        <v>287</v>
      </c>
      <c r="AK83" s="23" t="s">
        <v>287</v>
      </c>
      <c r="AL83" s="23" t="s">
        <v>287</v>
      </c>
      <c r="AM83" s="23" t="s">
        <v>300</v>
      </c>
      <c r="AN83" s="23" t="s">
        <v>300</v>
      </c>
      <c r="AO83" s="23" t="s">
        <v>300</v>
      </c>
      <c r="AP83" s="23">
        <f>VALUE(51)</f>
        <v>51</v>
      </c>
      <c r="AQ83" s="23">
        <f>VALUE(0)</f>
        <v>0</v>
      </c>
      <c r="AR83" s="23">
        <f>VALUE(0)</f>
        <v>0</v>
      </c>
      <c r="AS83" s="23">
        <f>VALUE(0)</f>
        <v>0</v>
      </c>
      <c r="AT83" s="23">
        <f>VALUE(0)</f>
        <v>0</v>
      </c>
      <c r="AU83" s="23">
        <f>VALUE(0)</f>
        <v>0</v>
      </c>
      <c r="AV83" s="23">
        <f>VALUE(2)</f>
        <v>2</v>
      </c>
      <c r="AW83" s="23">
        <f>VALUE(0)</f>
        <v>0</v>
      </c>
      <c r="AX83" s="23" t="s">
        <v>1193</v>
      </c>
      <c r="AY83" s="23" t="s">
        <v>306</v>
      </c>
      <c r="AZ83" s="23">
        <f>VALUE(0)</f>
        <v>0</v>
      </c>
      <c r="BA83" s="23">
        <f>VALUE(0)</f>
        <v>0</v>
      </c>
      <c r="BB83" s="23">
        <f>VALUE(0)</f>
        <v>0</v>
      </c>
      <c r="BC83" s="23">
        <f>VALUE(0)</f>
        <v>0</v>
      </c>
      <c r="BD83" s="23">
        <f>VALUE(0)</f>
        <v>0</v>
      </c>
      <c r="BE83" s="23">
        <f>VALUE(0)</f>
        <v>0</v>
      </c>
      <c r="BF83" s="23">
        <f>VALUE(0)</f>
        <v>0</v>
      </c>
      <c r="BG83" s="23">
        <f>VALUE(0)</f>
        <v>0</v>
      </c>
      <c r="BH83" s="23">
        <f>VALUE(0)</f>
        <v>0</v>
      </c>
      <c r="BI83" s="23">
        <f>VALUE(0)</f>
        <v>0</v>
      </c>
      <c r="BJ83" s="23">
        <f>VALUE(0)</f>
        <v>0</v>
      </c>
      <c r="BK83" s="12">
        <f>$AX$83*24</f>
        <v>4.5</v>
      </c>
      <c r="BL83" s="12">
        <f>$AY$83*24</f>
        <v>6.5499999999999989</v>
      </c>
      <c r="BM83" s="12">
        <f>$BJ$83*24</f>
        <v>0</v>
      </c>
      <c r="BN83" s="12">
        <f>VALUE($I$83)/100</f>
        <v>1</v>
      </c>
      <c r="BO83" s="12">
        <v>0</v>
      </c>
      <c r="BP83" s="12">
        <v>0</v>
      </c>
      <c r="BQ83" s="12">
        <v>0</v>
      </c>
      <c r="BR83" s="12">
        <v>0</v>
      </c>
      <c r="BS83" s="12">
        <v>0</v>
      </c>
      <c r="BT83" s="12">
        <v>0</v>
      </c>
      <c r="BU83" s="12">
        <v>0</v>
      </c>
      <c r="BV83" s="12">
        <v>0</v>
      </c>
      <c r="BW83" s="12">
        <v>0</v>
      </c>
      <c r="BX83" s="12">
        <v>0</v>
      </c>
      <c r="BY83" s="12">
        <v>0</v>
      </c>
      <c r="BZ83" s="12">
        <v>0</v>
      </c>
      <c r="CA83" s="12">
        <v>0</v>
      </c>
    </row>
    <row r="84" spans="1:79" hidden="1" x14ac:dyDescent="0.2">
      <c r="A84" s="12" t="s">
        <v>102</v>
      </c>
      <c r="B84" s="12" t="s">
        <v>110</v>
      </c>
      <c r="C84" s="12" t="s">
        <v>110</v>
      </c>
      <c r="D84" s="22" t="s">
        <v>307</v>
      </c>
      <c r="E84" s="22" t="s">
        <v>173</v>
      </c>
      <c r="F84" s="22" t="s">
        <v>723</v>
      </c>
      <c r="G84" s="22" t="s">
        <v>724</v>
      </c>
      <c r="H84" s="22" t="s">
        <v>150</v>
      </c>
      <c r="I84" s="22" t="s">
        <v>151</v>
      </c>
      <c r="J84" s="22" t="s">
        <v>162</v>
      </c>
      <c r="K84" s="22" t="s">
        <v>71</v>
      </c>
      <c r="L84" s="54" t="s">
        <v>153</v>
      </c>
      <c r="M84" s="23" t="s">
        <v>293</v>
      </c>
      <c r="N84" s="24" t="s">
        <v>153</v>
      </c>
      <c r="O84" s="23" t="s">
        <v>293</v>
      </c>
      <c r="P84" s="23" t="s">
        <v>293</v>
      </c>
      <c r="Q84" s="23" t="s">
        <v>293</v>
      </c>
      <c r="R84" s="23" t="s">
        <v>293</v>
      </c>
      <c r="S84" s="23" t="s">
        <v>293</v>
      </c>
      <c r="T84" s="23" t="s">
        <v>293</v>
      </c>
      <c r="U84" s="24" t="s">
        <v>153</v>
      </c>
      <c r="V84" s="54" t="s">
        <v>153</v>
      </c>
      <c r="W84" s="23" t="s">
        <v>298</v>
      </c>
      <c r="X84" s="23" t="s">
        <v>298</v>
      </c>
      <c r="Y84" s="23" t="s">
        <v>296</v>
      </c>
      <c r="Z84" s="23" t="s">
        <v>296</v>
      </c>
      <c r="AA84" s="23" t="s">
        <v>296</v>
      </c>
      <c r="AB84" s="24" t="s">
        <v>153</v>
      </c>
      <c r="AC84" s="24" t="s">
        <v>156</v>
      </c>
      <c r="AD84" s="24" t="s">
        <v>156</v>
      </c>
      <c r="AE84" s="24" t="s">
        <v>156</v>
      </c>
      <c r="AF84" s="23" t="s">
        <v>291</v>
      </c>
      <c r="AG84" s="23" t="s">
        <v>291</v>
      </c>
      <c r="AH84" s="23" t="s">
        <v>291</v>
      </c>
      <c r="AI84" s="24" t="s">
        <v>153</v>
      </c>
      <c r="AJ84" s="23" t="s">
        <v>291</v>
      </c>
      <c r="AK84" s="23" t="s">
        <v>291</v>
      </c>
      <c r="AL84" s="23" t="s">
        <v>291</v>
      </c>
      <c r="AM84" s="23" t="s">
        <v>291</v>
      </c>
      <c r="AN84" s="23" t="s">
        <v>291</v>
      </c>
      <c r="AO84" s="23" t="s">
        <v>291</v>
      </c>
      <c r="AP84" s="23">
        <f>VALUE(54)</f>
        <v>54</v>
      </c>
      <c r="AQ84" s="23">
        <f>VALUE(0)</f>
        <v>0</v>
      </c>
      <c r="AR84" s="23">
        <f>VALUE(0)</f>
        <v>0</v>
      </c>
      <c r="AS84" s="23">
        <f>VALUE(0)</f>
        <v>0</v>
      </c>
      <c r="AT84" s="23">
        <f>VALUE(0)</f>
        <v>0</v>
      </c>
      <c r="AU84" s="23">
        <f>VALUE(0)</f>
        <v>0</v>
      </c>
      <c r="AV84" s="23">
        <f>VALUE(4)</f>
        <v>4</v>
      </c>
      <c r="AW84" s="23">
        <f>VALUE(0)</f>
        <v>0</v>
      </c>
      <c r="AX84" s="23" t="s">
        <v>171</v>
      </c>
      <c r="AY84" s="23" t="s">
        <v>308</v>
      </c>
      <c r="AZ84" s="23">
        <f>VALUE(0)</f>
        <v>0</v>
      </c>
      <c r="BA84" s="23">
        <f>VALUE(0)</f>
        <v>0</v>
      </c>
      <c r="BB84" s="23">
        <f>VALUE(0)</f>
        <v>0</v>
      </c>
      <c r="BC84" s="23">
        <f>VALUE(0)</f>
        <v>0</v>
      </c>
      <c r="BD84" s="23">
        <f>VALUE(0)</f>
        <v>0</v>
      </c>
      <c r="BE84" s="23">
        <f>VALUE(0)</f>
        <v>0</v>
      </c>
      <c r="BF84" s="23">
        <f>VALUE(0)</f>
        <v>0</v>
      </c>
      <c r="BG84" s="23">
        <f>VALUE(0)</f>
        <v>0</v>
      </c>
      <c r="BH84" s="23">
        <f>VALUE(0)</f>
        <v>0</v>
      </c>
      <c r="BI84" s="23">
        <f>VALUE(0)</f>
        <v>0</v>
      </c>
      <c r="BJ84" s="23">
        <f>VALUE(0)</f>
        <v>0</v>
      </c>
      <c r="BK84" s="12">
        <f>$AX$84*24</f>
        <v>5.833333333333333</v>
      </c>
      <c r="BL84" s="12">
        <f>$AY$84*24</f>
        <v>3.7833333333333332</v>
      </c>
      <c r="BM84" s="12">
        <f>$BJ$84*24</f>
        <v>0</v>
      </c>
      <c r="BN84" s="12">
        <f>VALUE($I$84)/100</f>
        <v>1</v>
      </c>
      <c r="BO84" s="12">
        <v>0</v>
      </c>
      <c r="BP84" s="12">
        <v>0</v>
      </c>
      <c r="BQ84" s="12">
        <v>0</v>
      </c>
      <c r="BR84" s="12">
        <v>0</v>
      </c>
      <c r="BS84" s="12">
        <v>0</v>
      </c>
      <c r="BT84" s="12">
        <v>0</v>
      </c>
      <c r="BU84" s="12">
        <v>0</v>
      </c>
      <c r="BV84" s="12">
        <v>0</v>
      </c>
      <c r="BW84" s="12">
        <v>0</v>
      </c>
      <c r="BX84" s="12">
        <v>0</v>
      </c>
      <c r="BY84" s="12">
        <v>0</v>
      </c>
      <c r="BZ84" s="12">
        <v>0</v>
      </c>
      <c r="CA84" s="12">
        <v>0</v>
      </c>
    </row>
    <row r="85" spans="1:79" ht="15" hidden="1" x14ac:dyDescent="0.25">
      <c r="A85" s="12" t="s">
        <v>102</v>
      </c>
      <c r="B85" s="12" t="s">
        <v>110</v>
      </c>
      <c r="C85" s="12" t="s">
        <v>110</v>
      </c>
      <c r="D85" s="31" t="s">
        <v>582</v>
      </c>
      <c r="E85" s="31" t="s">
        <v>153</v>
      </c>
      <c r="F85" s="31" t="s">
        <v>175</v>
      </c>
      <c r="G85" s="31" t="s">
        <v>153</v>
      </c>
      <c r="H85" s="31" t="s">
        <v>153</v>
      </c>
      <c r="I85" s="31" t="s">
        <v>153</v>
      </c>
      <c r="J85" s="31" t="s">
        <v>153</v>
      </c>
      <c r="K85" s="31" t="s">
        <v>153</v>
      </c>
      <c r="L85" s="31">
        <f>VALUE(0)</f>
        <v>0</v>
      </c>
      <c r="M85" s="31">
        <f>VALUE(7)</f>
        <v>7</v>
      </c>
      <c r="N85" s="31">
        <f>VALUE(0)</f>
        <v>0</v>
      </c>
      <c r="O85" s="31">
        <f>VALUE(8)</f>
        <v>8</v>
      </c>
      <c r="P85" s="31">
        <f>VALUE(8)</f>
        <v>8</v>
      </c>
      <c r="Q85" s="31">
        <f>VALUE(8)</f>
        <v>8</v>
      </c>
      <c r="R85" s="31">
        <f>VALUE(7)</f>
        <v>7</v>
      </c>
      <c r="S85" s="31">
        <f>VALUE(7)</f>
        <v>7</v>
      </c>
      <c r="T85" s="31">
        <f>VALUE(8)</f>
        <v>8</v>
      </c>
      <c r="U85" s="31">
        <f>VALUE(0)</f>
        <v>0</v>
      </c>
      <c r="V85" s="31">
        <f>VALUE(0)</f>
        <v>0</v>
      </c>
      <c r="W85" s="31">
        <f>VALUE(8)</f>
        <v>8</v>
      </c>
      <c r="X85" s="31">
        <f>VALUE(8)</f>
        <v>8</v>
      </c>
      <c r="Y85" s="31">
        <f>VALUE(7)</f>
        <v>7</v>
      </c>
      <c r="Z85" s="31">
        <f>VALUE(7)</f>
        <v>7</v>
      </c>
      <c r="AA85" s="31">
        <f>VALUE(8)</f>
        <v>8</v>
      </c>
      <c r="AB85" s="31">
        <f>VALUE(0)</f>
        <v>0</v>
      </c>
      <c r="AC85" s="31">
        <f>VALUE(8)</f>
        <v>8</v>
      </c>
      <c r="AD85" s="31">
        <f>VALUE(8)</f>
        <v>8</v>
      </c>
      <c r="AE85" s="31">
        <f>VALUE(8)</f>
        <v>8</v>
      </c>
      <c r="AF85" s="31">
        <f>VALUE(8)</f>
        <v>8</v>
      </c>
      <c r="AG85" s="31">
        <f>VALUE(8)</f>
        <v>8</v>
      </c>
      <c r="AH85" s="31">
        <f>VALUE(8)</f>
        <v>8</v>
      </c>
      <c r="AI85" s="31">
        <f>VALUE(0)</f>
        <v>0</v>
      </c>
      <c r="AJ85" s="31">
        <f>VALUE(8)</f>
        <v>8</v>
      </c>
      <c r="AK85" s="31">
        <f>VALUE(8)</f>
        <v>8</v>
      </c>
      <c r="AL85" s="31">
        <f>VALUE(8)</f>
        <v>8</v>
      </c>
      <c r="AM85" s="31">
        <f>VALUE(7)</f>
        <v>7</v>
      </c>
      <c r="AN85" s="31">
        <f>VALUE(7)</f>
        <v>7</v>
      </c>
      <c r="AO85" s="31">
        <f>VALUE(7)</f>
        <v>7</v>
      </c>
      <c r="AP85" s="31">
        <v>0</v>
      </c>
      <c r="AQ85" s="31">
        <v>0</v>
      </c>
      <c r="AR85" s="31">
        <v>0</v>
      </c>
      <c r="AS85" s="31">
        <v>0</v>
      </c>
      <c r="AT85" s="31">
        <v>0</v>
      </c>
      <c r="AU85" s="31">
        <v>0</v>
      </c>
      <c r="AV85" s="31">
        <v>0</v>
      </c>
      <c r="AW85" s="31">
        <v>0</v>
      </c>
      <c r="AX85" s="31">
        <v>0</v>
      </c>
      <c r="AY85" s="31">
        <v>0</v>
      </c>
      <c r="AZ85" s="31">
        <v>0</v>
      </c>
      <c r="BA85" s="31">
        <v>0</v>
      </c>
      <c r="BB85" s="31">
        <v>0</v>
      </c>
      <c r="BC85" s="31">
        <v>0</v>
      </c>
      <c r="BD85" s="31">
        <v>0</v>
      </c>
      <c r="BE85" s="31">
        <v>0</v>
      </c>
      <c r="BF85" s="31">
        <v>0</v>
      </c>
      <c r="BG85" s="31">
        <v>0</v>
      </c>
      <c r="BH85" s="31">
        <v>0</v>
      </c>
      <c r="BI85" s="31">
        <v>0</v>
      </c>
      <c r="BJ85" s="31">
        <v>0</v>
      </c>
      <c r="BK85" s="12">
        <v>0</v>
      </c>
      <c r="BL85" s="12">
        <v>0</v>
      </c>
      <c r="BM85" s="12">
        <v>0</v>
      </c>
      <c r="BN85" s="12"/>
      <c r="BO85" s="12">
        <v>0</v>
      </c>
      <c r="BP85" s="12">
        <v>0</v>
      </c>
      <c r="BQ85" s="12">
        <v>0</v>
      </c>
      <c r="BR85" s="12">
        <v>0</v>
      </c>
      <c r="BS85" s="12">
        <v>0</v>
      </c>
      <c r="BT85" s="12">
        <v>0</v>
      </c>
      <c r="BU85" s="12">
        <v>0</v>
      </c>
      <c r="BV85" s="12">
        <v>0</v>
      </c>
      <c r="BW85" s="12">
        <v>0</v>
      </c>
      <c r="BX85" s="12">
        <v>0</v>
      </c>
      <c r="BY85" s="12">
        <v>0</v>
      </c>
      <c r="BZ85" s="12">
        <v>0</v>
      </c>
      <c r="CA85" s="12">
        <v>0</v>
      </c>
    </row>
    <row r="86" spans="1:79" hidden="1" x14ac:dyDescent="0.2">
      <c r="A86" s="12" t="s">
        <v>102</v>
      </c>
      <c r="B86" s="12" t="s">
        <v>111</v>
      </c>
      <c r="C86" s="12" t="s">
        <v>111</v>
      </c>
      <c r="D86" s="22" t="s">
        <v>310</v>
      </c>
      <c r="E86" s="22" t="s">
        <v>159</v>
      </c>
      <c r="F86" s="22" t="s">
        <v>725</v>
      </c>
      <c r="G86" s="22" t="s">
        <v>726</v>
      </c>
      <c r="H86" s="22" t="s">
        <v>166</v>
      </c>
      <c r="I86" s="22" t="s">
        <v>151</v>
      </c>
      <c r="J86" s="22" t="s">
        <v>311</v>
      </c>
      <c r="K86" s="22" t="s">
        <v>72</v>
      </c>
      <c r="L86" s="54" t="s">
        <v>153</v>
      </c>
      <c r="M86" s="23" t="s">
        <v>153</v>
      </c>
      <c r="N86" s="24" t="s">
        <v>153</v>
      </c>
      <c r="O86" s="23" t="s">
        <v>153</v>
      </c>
      <c r="P86" s="23" t="s">
        <v>153</v>
      </c>
      <c r="Q86" s="29" t="s">
        <v>218</v>
      </c>
      <c r="R86" s="23" t="s">
        <v>153</v>
      </c>
      <c r="S86" s="23" t="s">
        <v>153</v>
      </c>
      <c r="T86" s="23" t="s">
        <v>153</v>
      </c>
      <c r="U86" s="24" t="s">
        <v>153</v>
      </c>
      <c r="V86" s="54" t="s">
        <v>153</v>
      </c>
      <c r="W86" s="23" t="s">
        <v>313</v>
      </c>
      <c r="X86" s="23" t="s">
        <v>313</v>
      </c>
      <c r="Y86" s="23" t="s">
        <v>313</v>
      </c>
      <c r="Z86" s="23" t="s">
        <v>313</v>
      </c>
      <c r="AA86" s="23" t="s">
        <v>313</v>
      </c>
      <c r="AB86" s="24" t="s">
        <v>153</v>
      </c>
      <c r="AC86" s="23" t="s">
        <v>153</v>
      </c>
      <c r="AD86" s="23" t="s">
        <v>153</v>
      </c>
      <c r="AE86" s="29" t="s">
        <v>218</v>
      </c>
      <c r="AF86" s="23" t="s">
        <v>153</v>
      </c>
      <c r="AG86" s="23" t="s">
        <v>153</v>
      </c>
      <c r="AH86" s="23" t="s">
        <v>153</v>
      </c>
      <c r="AI86" s="24" t="s">
        <v>153</v>
      </c>
      <c r="AJ86" s="23" t="s">
        <v>314</v>
      </c>
      <c r="AK86" s="23" t="s">
        <v>314</v>
      </c>
      <c r="AL86" s="23" t="s">
        <v>314</v>
      </c>
      <c r="AM86" s="23" t="s">
        <v>314</v>
      </c>
      <c r="AN86" s="23" t="s">
        <v>314</v>
      </c>
      <c r="AO86" s="23" t="s">
        <v>153</v>
      </c>
      <c r="AP86" s="23">
        <f>VALUE(0)</f>
        <v>0</v>
      </c>
      <c r="AQ86" s="23">
        <f>VALUE(0)</f>
        <v>0</v>
      </c>
      <c r="AR86" s="23">
        <f>VALUE(2)</f>
        <v>2</v>
      </c>
      <c r="AS86" s="23">
        <f>VALUE(12)</f>
        <v>12</v>
      </c>
      <c r="AT86" s="23">
        <f>VALUE(0)</f>
        <v>0</v>
      </c>
      <c r="AU86" s="23">
        <f>VALUE(0)</f>
        <v>0</v>
      </c>
      <c r="AV86" s="23">
        <f>VALUE(2)</f>
        <v>2</v>
      </c>
      <c r="AW86" s="23">
        <f>VALUE(0)</f>
        <v>0</v>
      </c>
      <c r="AX86" s="23" t="s">
        <v>1194</v>
      </c>
      <c r="AY86" s="23">
        <f>VALUE(0)</f>
        <v>0</v>
      </c>
      <c r="AZ86" s="23">
        <f>VALUE(0)</f>
        <v>0</v>
      </c>
      <c r="BA86" s="23">
        <f>VALUE(0)</f>
        <v>0</v>
      </c>
      <c r="BB86" s="23">
        <f>VALUE(0)</f>
        <v>0</v>
      </c>
      <c r="BC86" s="23">
        <f>VALUE(0)</f>
        <v>0</v>
      </c>
      <c r="BD86" s="23">
        <f>VALUE(0)</f>
        <v>0</v>
      </c>
      <c r="BE86" s="23">
        <f>VALUE(0)</f>
        <v>0</v>
      </c>
      <c r="BF86" s="23">
        <f>VALUE(0)</f>
        <v>0</v>
      </c>
      <c r="BG86" s="23">
        <f>VALUE(0)</f>
        <v>0</v>
      </c>
      <c r="BH86" s="23">
        <f>VALUE(0)</f>
        <v>0</v>
      </c>
      <c r="BI86" s="23">
        <f>VALUE(0)</f>
        <v>0</v>
      </c>
      <c r="BJ86" s="23">
        <f>VALUE(0)</f>
        <v>0</v>
      </c>
      <c r="BK86" s="12">
        <f>$AX$86*24</f>
        <v>20.666666666666668</v>
      </c>
      <c r="BL86" s="12">
        <f>$AY$86*24</f>
        <v>0</v>
      </c>
      <c r="BM86" s="12">
        <f>$BJ$86*24</f>
        <v>0</v>
      </c>
      <c r="BN86" s="12">
        <f>VALUE($I$86)/100</f>
        <v>1</v>
      </c>
      <c r="BO86" s="12">
        <v>0</v>
      </c>
      <c r="BP86" s="12">
        <v>0</v>
      </c>
      <c r="BQ86" s="12">
        <v>0</v>
      </c>
      <c r="BR86" s="12">
        <v>0</v>
      </c>
      <c r="BS86" s="12">
        <v>2</v>
      </c>
      <c r="BT86" s="12">
        <v>0</v>
      </c>
      <c r="BU86" s="12">
        <v>0</v>
      </c>
      <c r="BV86" s="12">
        <v>0</v>
      </c>
      <c r="BW86" s="12">
        <v>0</v>
      </c>
      <c r="BX86" s="12">
        <v>0</v>
      </c>
      <c r="BY86" s="12">
        <v>0</v>
      </c>
      <c r="BZ86" s="12">
        <v>0</v>
      </c>
      <c r="CA86" s="12">
        <v>0</v>
      </c>
    </row>
    <row r="87" spans="1:79" hidden="1" x14ac:dyDescent="0.2">
      <c r="A87" s="12" t="s">
        <v>102</v>
      </c>
      <c r="B87" s="12" t="s">
        <v>111</v>
      </c>
      <c r="C87" s="12" t="s">
        <v>111</v>
      </c>
      <c r="D87" s="22" t="s">
        <v>313</v>
      </c>
      <c r="E87" s="22" t="s">
        <v>161</v>
      </c>
      <c r="F87" s="22" t="s">
        <v>727</v>
      </c>
      <c r="G87" s="22" t="s">
        <v>728</v>
      </c>
      <c r="H87" s="22" t="s">
        <v>166</v>
      </c>
      <c r="I87" s="22" t="s">
        <v>151</v>
      </c>
      <c r="J87" s="22" t="s">
        <v>311</v>
      </c>
      <c r="K87" s="22" t="s">
        <v>72</v>
      </c>
      <c r="L87" s="54" t="s">
        <v>153</v>
      </c>
      <c r="M87" s="23" t="s">
        <v>153</v>
      </c>
      <c r="N87" s="24" t="s">
        <v>153</v>
      </c>
      <c r="O87" s="23" t="s">
        <v>153</v>
      </c>
      <c r="P87" s="23" t="s">
        <v>153</v>
      </c>
      <c r="Q87" s="23" t="s">
        <v>153</v>
      </c>
      <c r="R87" s="23" t="s">
        <v>153</v>
      </c>
      <c r="S87" s="23" t="s">
        <v>153</v>
      </c>
      <c r="T87" s="24" t="s">
        <v>156</v>
      </c>
      <c r="U87" s="24" t="s">
        <v>153</v>
      </c>
      <c r="V87" s="54" t="s">
        <v>153</v>
      </c>
      <c r="W87" s="28" t="s">
        <v>163</v>
      </c>
      <c r="X87" s="28" t="s">
        <v>163</v>
      </c>
      <c r="Y87" s="28" t="s">
        <v>163</v>
      </c>
      <c r="Z87" s="28" t="s">
        <v>163</v>
      </c>
      <c r="AA87" s="28" t="s">
        <v>163</v>
      </c>
      <c r="AB87" s="24" t="s">
        <v>153</v>
      </c>
      <c r="AC87" s="23" t="s">
        <v>153</v>
      </c>
      <c r="AD87" s="23" t="s">
        <v>153</v>
      </c>
      <c r="AE87" s="23" t="s">
        <v>153</v>
      </c>
      <c r="AF87" s="23" t="s">
        <v>153</v>
      </c>
      <c r="AG87" s="23" t="s">
        <v>153</v>
      </c>
      <c r="AH87" s="24" t="s">
        <v>156</v>
      </c>
      <c r="AI87" s="24" t="s">
        <v>153</v>
      </c>
      <c r="AJ87" s="23" t="s">
        <v>153</v>
      </c>
      <c r="AK87" s="23" t="s">
        <v>153</v>
      </c>
      <c r="AL87" s="23" t="s">
        <v>153</v>
      </c>
      <c r="AM87" s="23" t="s">
        <v>153</v>
      </c>
      <c r="AN87" s="23" t="s">
        <v>153</v>
      </c>
      <c r="AO87" s="23" t="s">
        <v>153</v>
      </c>
      <c r="AP87" s="23">
        <f>VALUE(0)</f>
        <v>0</v>
      </c>
      <c r="AQ87" s="23">
        <f>VALUE(0)</f>
        <v>0</v>
      </c>
      <c r="AR87" s="23">
        <f>VALUE(0)</f>
        <v>0</v>
      </c>
      <c r="AS87" s="23">
        <f>VALUE(0)</f>
        <v>0</v>
      </c>
      <c r="AT87" s="23">
        <f>VALUE(0)</f>
        <v>0</v>
      </c>
      <c r="AU87" s="23">
        <f>VALUE(5)</f>
        <v>5</v>
      </c>
      <c r="AV87" s="23">
        <f>VALUE(2)</f>
        <v>2</v>
      </c>
      <c r="AW87" s="23">
        <f>VALUE(0)</f>
        <v>0</v>
      </c>
      <c r="AX87" s="23" t="s">
        <v>1195</v>
      </c>
      <c r="AY87" s="23">
        <f>VALUE(0)</f>
        <v>0</v>
      </c>
      <c r="AZ87" s="23">
        <f>VALUE(0)</f>
        <v>0</v>
      </c>
      <c r="BA87" s="23">
        <f>VALUE(0)</f>
        <v>0</v>
      </c>
      <c r="BB87" s="23">
        <f>VALUE(0)</f>
        <v>0</v>
      </c>
      <c r="BC87" s="23">
        <f>VALUE(0)</f>
        <v>0</v>
      </c>
      <c r="BD87" s="23">
        <f>VALUE(0)</f>
        <v>0</v>
      </c>
      <c r="BE87" s="23">
        <f>VALUE(0)</f>
        <v>0</v>
      </c>
      <c r="BF87" s="23">
        <f>VALUE(0)</f>
        <v>0</v>
      </c>
      <c r="BG87" s="23">
        <f>VALUE(0)</f>
        <v>0</v>
      </c>
      <c r="BH87" s="23">
        <f>VALUE(0)</f>
        <v>0</v>
      </c>
      <c r="BI87" s="23">
        <f>VALUE(0)</f>
        <v>0</v>
      </c>
      <c r="BJ87" s="23">
        <f>VALUE(0)</f>
        <v>0</v>
      </c>
      <c r="BK87" s="12">
        <f>$AX$87*24</f>
        <v>11.783333333333333</v>
      </c>
      <c r="BL87" s="12">
        <f>$AY$87*24</f>
        <v>0</v>
      </c>
      <c r="BM87" s="12">
        <f>$BJ$87*24</f>
        <v>0</v>
      </c>
      <c r="BN87" s="12">
        <f>VALUE($I$87)/100</f>
        <v>1</v>
      </c>
      <c r="BO87" s="12">
        <v>0</v>
      </c>
      <c r="BP87" s="12">
        <v>0</v>
      </c>
      <c r="BQ87" s="12">
        <v>0</v>
      </c>
      <c r="BR87" s="12">
        <v>0</v>
      </c>
      <c r="BS87" s="12">
        <v>0</v>
      </c>
      <c r="BT87" s="12">
        <v>0</v>
      </c>
      <c r="BU87" s="12">
        <v>0</v>
      </c>
      <c r="BV87" s="12">
        <v>0</v>
      </c>
      <c r="BW87" s="12">
        <v>0</v>
      </c>
      <c r="BX87" s="12">
        <v>0</v>
      </c>
      <c r="BY87" s="12">
        <v>0</v>
      </c>
      <c r="BZ87" s="12">
        <v>0</v>
      </c>
      <c r="CA87" s="12">
        <v>0</v>
      </c>
    </row>
    <row r="88" spans="1:79" hidden="1" x14ac:dyDescent="0.2">
      <c r="A88" s="12" t="s">
        <v>102</v>
      </c>
      <c r="B88" s="12" t="s">
        <v>111</v>
      </c>
      <c r="C88" s="12" t="s">
        <v>111</v>
      </c>
      <c r="D88" s="22" t="s">
        <v>314</v>
      </c>
      <c r="E88" s="22" t="s">
        <v>161</v>
      </c>
      <c r="F88" s="22" t="s">
        <v>729</v>
      </c>
      <c r="G88" s="22" t="s">
        <v>730</v>
      </c>
      <c r="H88" s="22" t="s">
        <v>150</v>
      </c>
      <c r="I88" s="22" t="s">
        <v>151</v>
      </c>
      <c r="J88" s="22" t="s">
        <v>311</v>
      </c>
      <c r="K88" s="22" t="s">
        <v>72</v>
      </c>
      <c r="L88" s="54" t="s">
        <v>153</v>
      </c>
      <c r="M88" s="23" t="s">
        <v>153</v>
      </c>
      <c r="N88" s="24" t="s">
        <v>153</v>
      </c>
      <c r="O88" s="23" t="s">
        <v>153</v>
      </c>
      <c r="P88" s="23" t="s">
        <v>153</v>
      </c>
      <c r="Q88" s="23" t="s">
        <v>153</v>
      </c>
      <c r="R88" s="23" t="s">
        <v>153</v>
      </c>
      <c r="S88" s="23" t="s">
        <v>153</v>
      </c>
      <c r="T88" s="24" t="s">
        <v>156</v>
      </c>
      <c r="U88" s="24" t="s">
        <v>153</v>
      </c>
      <c r="V88" s="54" t="s">
        <v>153</v>
      </c>
      <c r="W88" s="23" t="s">
        <v>153</v>
      </c>
      <c r="X88" s="23" t="s">
        <v>153</v>
      </c>
      <c r="Y88" s="23" t="s">
        <v>153</v>
      </c>
      <c r="Z88" s="23" t="s">
        <v>153</v>
      </c>
      <c r="AA88" s="24" t="s">
        <v>156</v>
      </c>
      <c r="AB88" s="24" t="s">
        <v>153</v>
      </c>
      <c r="AC88" s="23" t="s">
        <v>153</v>
      </c>
      <c r="AD88" s="23" t="s">
        <v>153</v>
      </c>
      <c r="AE88" s="23" t="s">
        <v>153</v>
      </c>
      <c r="AF88" s="23" t="s">
        <v>153</v>
      </c>
      <c r="AG88" s="23" t="s">
        <v>153</v>
      </c>
      <c r="AH88" s="24" t="s">
        <v>156</v>
      </c>
      <c r="AI88" s="24" t="s">
        <v>153</v>
      </c>
      <c r="AJ88" s="29" t="s">
        <v>163</v>
      </c>
      <c r="AK88" s="29" t="s">
        <v>163</v>
      </c>
      <c r="AL88" s="29" t="s">
        <v>163</v>
      </c>
      <c r="AM88" s="29" t="s">
        <v>163</v>
      </c>
      <c r="AN88" s="29" t="s">
        <v>163</v>
      </c>
      <c r="AO88" s="23" t="s">
        <v>153</v>
      </c>
      <c r="AP88" s="23">
        <f>VALUE(0)</f>
        <v>0</v>
      </c>
      <c r="AQ88" s="23">
        <f>VALUE(0)</f>
        <v>0</v>
      </c>
      <c r="AR88" s="23">
        <f>VALUE(5)</f>
        <v>5</v>
      </c>
      <c r="AS88" s="23">
        <f>VALUE(0)</f>
        <v>0</v>
      </c>
      <c r="AT88" s="23">
        <f>VALUE(0)</f>
        <v>0</v>
      </c>
      <c r="AU88" s="23">
        <f>VALUE(0)</f>
        <v>0</v>
      </c>
      <c r="AV88" s="23">
        <f>VALUE(8)</f>
        <v>8</v>
      </c>
      <c r="AW88" s="23">
        <f>VALUE(0)</f>
        <v>0</v>
      </c>
      <c r="AX88" s="23" t="s">
        <v>171</v>
      </c>
      <c r="AY88" s="23" t="s">
        <v>315</v>
      </c>
      <c r="AZ88" s="23">
        <f>VALUE(0)</f>
        <v>0</v>
      </c>
      <c r="BA88" s="23">
        <f>VALUE(0)</f>
        <v>0</v>
      </c>
      <c r="BB88" s="23">
        <f>VALUE(0)</f>
        <v>0</v>
      </c>
      <c r="BC88" s="23">
        <f>VALUE(0)</f>
        <v>0</v>
      </c>
      <c r="BD88" s="23">
        <f>VALUE(0)</f>
        <v>0</v>
      </c>
      <c r="BE88" s="23">
        <f>VALUE(0)</f>
        <v>0</v>
      </c>
      <c r="BF88" s="23">
        <f>VALUE(0)</f>
        <v>0</v>
      </c>
      <c r="BG88" s="23">
        <f>VALUE(0)</f>
        <v>0</v>
      </c>
      <c r="BH88" s="23">
        <f>VALUE(0)</f>
        <v>0</v>
      </c>
      <c r="BI88" s="23">
        <f>VALUE(0)</f>
        <v>0</v>
      </c>
      <c r="BJ88" s="23">
        <f>VALUE(0)</f>
        <v>0</v>
      </c>
      <c r="BK88" s="12">
        <f>$AX$88*24</f>
        <v>5.833333333333333</v>
      </c>
      <c r="BL88" s="12">
        <f>$AY$88*24</f>
        <v>8.4666666666666668</v>
      </c>
      <c r="BM88" s="12">
        <f>$BJ$88*24</f>
        <v>0</v>
      </c>
      <c r="BN88" s="12">
        <f>VALUE($I$88)/100</f>
        <v>1</v>
      </c>
      <c r="BO88" s="12">
        <v>0</v>
      </c>
      <c r="BP88" s="12">
        <v>0</v>
      </c>
      <c r="BQ88" s="12">
        <v>0</v>
      </c>
      <c r="BR88" s="12">
        <v>0</v>
      </c>
      <c r="BS88" s="12">
        <v>0</v>
      </c>
      <c r="BT88" s="12">
        <v>5</v>
      </c>
      <c r="BU88" s="12">
        <v>0</v>
      </c>
      <c r="BV88" s="12">
        <v>0</v>
      </c>
      <c r="BW88" s="12">
        <v>0</v>
      </c>
      <c r="BX88" s="12">
        <v>0</v>
      </c>
      <c r="BY88" s="12">
        <v>0</v>
      </c>
      <c r="BZ88" s="12">
        <v>0</v>
      </c>
      <c r="CA88" s="12">
        <v>0</v>
      </c>
    </row>
    <row r="89" spans="1:79" ht="16.5" hidden="1" x14ac:dyDescent="0.2">
      <c r="A89" s="12" t="s">
        <v>102</v>
      </c>
      <c r="B89" s="12" t="s">
        <v>111</v>
      </c>
      <c r="C89" s="12" t="s">
        <v>111</v>
      </c>
      <c r="D89" s="22" t="s">
        <v>312</v>
      </c>
      <c r="E89" s="22" t="s">
        <v>161</v>
      </c>
      <c r="F89" s="22" t="s">
        <v>731</v>
      </c>
      <c r="G89" s="22" t="s">
        <v>732</v>
      </c>
      <c r="H89" s="22" t="s">
        <v>150</v>
      </c>
      <c r="I89" s="22" t="s">
        <v>151</v>
      </c>
      <c r="J89" s="22" t="s">
        <v>311</v>
      </c>
      <c r="K89" s="22" t="s">
        <v>72</v>
      </c>
      <c r="L89" s="54" t="s">
        <v>153</v>
      </c>
      <c r="M89" s="24" t="s">
        <v>156</v>
      </c>
      <c r="N89" s="24" t="s">
        <v>153</v>
      </c>
      <c r="O89" s="26" t="s">
        <v>316</v>
      </c>
      <c r="P89" s="26" t="s">
        <v>316</v>
      </c>
      <c r="Q89" s="26" t="s">
        <v>316</v>
      </c>
      <c r="R89" s="26" t="s">
        <v>316</v>
      </c>
      <c r="S89" s="26" t="s">
        <v>316</v>
      </c>
      <c r="T89" s="24" t="s">
        <v>156</v>
      </c>
      <c r="U89" s="24" t="s">
        <v>153</v>
      </c>
      <c r="V89" s="54" t="s">
        <v>153</v>
      </c>
      <c r="W89" s="26" t="s">
        <v>316</v>
      </c>
      <c r="X89" s="26" t="s">
        <v>316</v>
      </c>
      <c r="Y89" s="26" t="s">
        <v>316</v>
      </c>
      <c r="Z89" s="29" t="s">
        <v>218</v>
      </c>
      <c r="AA89" s="23" t="s">
        <v>153</v>
      </c>
      <c r="AB89" s="24" t="s">
        <v>153</v>
      </c>
      <c r="AC89" s="26" t="s">
        <v>316</v>
      </c>
      <c r="AD89" s="26" t="s">
        <v>316</v>
      </c>
      <c r="AE89" s="26" t="s">
        <v>316</v>
      </c>
      <c r="AF89" s="26" t="s">
        <v>316</v>
      </c>
      <c r="AG89" s="26" t="s">
        <v>316</v>
      </c>
      <c r="AH89" s="24" t="s">
        <v>156</v>
      </c>
      <c r="AI89" s="24" t="s">
        <v>153</v>
      </c>
      <c r="AJ89" s="26" t="s">
        <v>316</v>
      </c>
      <c r="AK89" s="26" t="s">
        <v>316</v>
      </c>
      <c r="AL89" s="26" t="s">
        <v>316</v>
      </c>
      <c r="AM89" s="26" t="s">
        <v>316</v>
      </c>
      <c r="AN89" s="26" t="s">
        <v>316</v>
      </c>
      <c r="AO89" s="24" t="s">
        <v>156</v>
      </c>
      <c r="AP89" s="23">
        <f>VALUE(0)</f>
        <v>0</v>
      </c>
      <c r="AQ89" s="23">
        <f>VALUE(0)</f>
        <v>0</v>
      </c>
      <c r="AR89" s="23">
        <f>VALUE(1)</f>
        <v>1</v>
      </c>
      <c r="AS89" s="23">
        <f>VALUE(0)</f>
        <v>0</v>
      </c>
      <c r="AT89" s="23">
        <f>VALUE(0)</f>
        <v>0</v>
      </c>
      <c r="AU89" s="23">
        <f>VALUE(0)</f>
        <v>0</v>
      </c>
      <c r="AV89" s="23">
        <f>VALUE(5)</f>
        <v>5</v>
      </c>
      <c r="AW89" s="23">
        <f>VALUE(0)</f>
        <v>0</v>
      </c>
      <c r="AX89" s="23" t="s">
        <v>317</v>
      </c>
      <c r="AY89" s="23" t="s">
        <v>318</v>
      </c>
      <c r="AZ89" s="23">
        <f>VALUE(0)</f>
        <v>0</v>
      </c>
      <c r="BA89" s="23">
        <f>VALUE(0)</f>
        <v>0</v>
      </c>
      <c r="BB89" s="23">
        <f>VALUE(0)</f>
        <v>0</v>
      </c>
      <c r="BC89" s="23">
        <f>VALUE(0)</f>
        <v>0</v>
      </c>
      <c r="BD89" s="23">
        <f>VALUE(0)</f>
        <v>0</v>
      </c>
      <c r="BE89" s="23">
        <f>VALUE(0)</f>
        <v>0</v>
      </c>
      <c r="BF89" s="23">
        <f>VALUE(0)</f>
        <v>0</v>
      </c>
      <c r="BG89" s="23">
        <f>VALUE(0)</f>
        <v>0</v>
      </c>
      <c r="BH89" s="23">
        <f>VALUE(0)</f>
        <v>0</v>
      </c>
      <c r="BI89" s="23">
        <f>VALUE(0)</f>
        <v>0</v>
      </c>
      <c r="BJ89" s="23">
        <f>VALUE(0)</f>
        <v>0</v>
      </c>
      <c r="BK89" s="12">
        <f>$AX$89*24</f>
        <v>1.0833333333333333</v>
      </c>
      <c r="BL89" s="12">
        <f>$AY$89*24</f>
        <v>4.0166666666666666</v>
      </c>
      <c r="BM89" s="12">
        <f>$BJ$89*24</f>
        <v>0</v>
      </c>
      <c r="BN89" s="12">
        <f>VALUE($I$89)/100</f>
        <v>1</v>
      </c>
      <c r="BO89" s="12">
        <v>0</v>
      </c>
      <c r="BP89" s="12">
        <v>0</v>
      </c>
      <c r="BQ89" s="12">
        <v>0</v>
      </c>
      <c r="BR89" s="12">
        <v>0</v>
      </c>
      <c r="BS89" s="12">
        <v>1</v>
      </c>
      <c r="BT89" s="12">
        <v>0</v>
      </c>
      <c r="BU89" s="12">
        <v>0</v>
      </c>
      <c r="BV89" s="12">
        <v>0</v>
      </c>
      <c r="BW89" s="12">
        <v>0</v>
      </c>
      <c r="BX89" s="12">
        <v>0</v>
      </c>
      <c r="BY89" s="12">
        <v>0</v>
      </c>
      <c r="BZ89" s="12">
        <v>0</v>
      </c>
      <c r="CA89" s="12">
        <v>0</v>
      </c>
    </row>
    <row r="90" spans="1:79" hidden="1" x14ac:dyDescent="0.2">
      <c r="A90" s="12" t="s">
        <v>102</v>
      </c>
      <c r="B90" s="12" t="s">
        <v>111</v>
      </c>
      <c r="C90" s="12" t="s">
        <v>111</v>
      </c>
      <c r="D90" s="22" t="s">
        <v>319</v>
      </c>
      <c r="E90" s="22" t="s">
        <v>161</v>
      </c>
      <c r="F90" s="22" t="s">
        <v>733</v>
      </c>
      <c r="G90" s="22" t="s">
        <v>734</v>
      </c>
      <c r="H90" s="22" t="s">
        <v>166</v>
      </c>
      <c r="I90" s="22" t="s">
        <v>151</v>
      </c>
      <c r="J90" s="22" t="s">
        <v>311</v>
      </c>
      <c r="K90" s="22" t="s">
        <v>72</v>
      </c>
      <c r="L90" s="54" t="s">
        <v>153</v>
      </c>
      <c r="M90" s="24" t="s">
        <v>156</v>
      </c>
      <c r="N90" s="24" t="s">
        <v>153</v>
      </c>
      <c r="O90" s="23" t="s">
        <v>153</v>
      </c>
      <c r="P90" s="23" t="s">
        <v>153</v>
      </c>
      <c r="Q90" s="23" t="s">
        <v>153</v>
      </c>
      <c r="R90" s="23" t="s">
        <v>153</v>
      </c>
      <c r="S90" s="23" t="s">
        <v>153</v>
      </c>
      <c r="T90" s="24" t="s">
        <v>156</v>
      </c>
      <c r="U90" s="24" t="s">
        <v>153</v>
      </c>
      <c r="V90" s="54" t="s">
        <v>153</v>
      </c>
      <c r="W90" s="23" t="s">
        <v>153</v>
      </c>
      <c r="X90" s="23" t="s">
        <v>153</v>
      </c>
      <c r="Y90" s="23" t="s">
        <v>153</v>
      </c>
      <c r="Z90" s="23" t="s">
        <v>153</v>
      </c>
      <c r="AA90" s="24" t="s">
        <v>156</v>
      </c>
      <c r="AB90" s="24" t="s">
        <v>153</v>
      </c>
      <c r="AC90" s="23" t="s">
        <v>153</v>
      </c>
      <c r="AD90" s="23" t="s">
        <v>153</v>
      </c>
      <c r="AE90" s="23" t="s">
        <v>153</v>
      </c>
      <c r="AF90" s="23" t="s">
        <v>153</v>
      </c>
      <c r="AG90" s="23" t="s">
        <v>153</v>
      </c>
      <c r="AH90" s="23" t="s">
        <v>153</v>
      </c>
      <c r="AI90" s="24" t="s">
        <v>153</v>
      </c>
      <c r="AJ90" s="23" t="s">
        <v>153</v>
      </c>
      <c r="AK90" s="23" t="s">
        <v>153</v>
      </c>
      <c r="AL90" s="23" t="s">
        <v>153</v>
      </c>
      <c r="AM90" s="23" t="s">
        <v>153</v>
      </c>
      <c r="AN90" s="23" t="s">
        <v>153</v>
      </c>
      <c r="AO90" s="24" t="s">
        <v>156</v>
      </c>
      <c r="AP90" s="23">
        <f>VALUE(0)</f>
        <v>0</v>
      </c>
      <c r="AQ90" s="23">
        <f>VALUE(0)</f>
        <v>0</v>
      </c>
      <c r="AR90" s="23">
        <f>VALUE(0)</f>
        <v>0</v>
      </c>
      <c r="AS90" s="23">
        <f>VALUE(0)</f>
        <v>0</v>
      </c>
      <c r="AT90" s="23">
        <f>VALUE(0)</f>
        <v>0</v>
      </c>
      <c r="AU90" s="23">
        <f>VALUE(0)</f>
        <v>0</v>
      </c>
      <c r="AV90" s="23">
        <f>VALUE(3)</f>
        <v>3</v>
      </c>
      <c r="AW90" s="23">
        <f>VALUE(0)</f>
        <v>0</v>
      </c>
      <c r="AX90" s="23" t="s">
        <v>320</v>
      </c>
      <c r="AY90" s="23">
        <f>VALUE(0)</f>
        <v>0</v>
      </c>
      <c r="AZ90" s="23">
        <f>VALUE(0)</f>
        <v>0</v>
      </c>
      <c r="BA90" s="23">
        <f>VALUE(0)</f>
        <v>0</v>
      </c>
      <c r="BB90" s="23">
        <f>VALUE(0)</f>
        <v>0</v>
      </c>
      <c r="BC90" s="23">
        <f>VALUE(0)</f>
        <v>0</v>
      </c>
      <c r="BD90" s="23">
        <f>VALUE(0)</f>
        <v>0</v>
      </c>
      <c r="BE90" s="23">
        <f>VALUE(0)</f>
        <v>0</v>
      </c>
      <c r="BF90" s="23">
        <f>VALUE(0)</f>
        <v>0</v>
      </c>
      <c r="BG90" s="23">
        <f>VALUE(0)</f>
        <v>0</v>
      </c>
      <c r="BH90" s="23">
        <f>VALUE(0)</f>
        <v>0</v>
      </c>
      <c r="BI90" s="23">
        <f>VALUE(0)</f>
        <v>0</v>
      </c>
      <c r="BJ90" s="23">
        <f>VALUE(0)</f>
        <v>0</v>
      </c>
      <c r="BK90" s="12">
        <f>$AX$90*24</f>
        <v>8.4166666666666661</v>
      </c>
      <c r="BL90" s="12">
        <f>$AY$90*24</f>
        <v>0</v>
      </c>
      <c r="BM90" s="12">
        <f>$BJ$90*24</f>
        <v>0</v>
      </c>
      <c r="BN90" s="12">
        <f>VALUE($I$90)/100</f>
        <v>1</v>
      </c>
      <c r="BO90" s="12">
        <v>0</v>
      </c>
      <c r="BP90" s="12">
        <v>0</v>
      </c>
      <c r="BQ90" s="12">
        <v>0</v>
      </c>
      <c r="BR90" s="12">
        <v>0</v>
      </c>
      <c r="BS90" s="12">
        <v>0</v>
      </c>
      <c r="BT90" s="12">
        <v>0</v>
      </c>
      <c r="BU90" s="12">
        <v>0</v>
      </c>
      <c r="BV90" s="12">
        <v>0</v>
      </c>
      <c r="BW90" s="12">
        <v>0</v>
      </c>
      <c r="BX90" s="12">
        <v>0</v>
      </c>
      <c r="BY90" s="12">
        <v>0</v>
      </c>
      <c r="BZ90" s="12">
        <v>0</v>
      </c>
      <c r="CA90" s="12">
        <v>0</v>
      </c>
    </row>
    <row r="91" spans="1:79" hidden="1" x14ac:dyDescent="0.2">
      <c r="A91" s="12" t="s">
        <v>102</v>
      </c>
      <c r="B91" s="12" t="s">
        <v>111</v>
      </c>
      <c r="C91" s="12" t="s">
        <v>111</v>
      </c>
      <c r="D91" s="22" t="s">
        <v>321</v>
      </c>
      <c r="E91" s="22" t="s">
        <v>161</v>
      </c>
      <c r="F91" s="22" t="s">
        <v>735</v>
      </c>
      <c r="G91" s="22" t="s">
        <v>736</v>
      </c>
      <c r="H91" s="22" t="s">
        <v>150</v>
      </c>
      <c r="I91" s="22" t="s">
        <v>151</v>
      </c>
      <c r="J91" s="22" t="s">
        <v>311</v>
      </c>
      <c r="K91" s="22" t="s">
        <v>72</v>
      </c>
      <c r="L91" s="54" t="s">
        <v>153</v>
      </c>
      <c r="M91" s="24" t="s">
        <v>156</v>
      </c>
      <c r="N91" s="24" t="s">
        <v>153</v>
      </c>
      <c r="O91" s="23" t="s">
        <v>153</v>
      </c>
      <c r="P91" s="23" t="s">
        <v>153</v>
      </c>
      <c r="Q91" s="23" t="s">
        <v>153</v>
      </c>
      <c r="R91" s="23" t="s">
        <v>153</v>
      </c>
      <c r="S91" s="23" t="s">
        <v>153</v>
      </c>
      <c r="T91" s="23" t="s">
        <v>153</v>
      </c>
      <c r="U91" s="24" t="s">
        <v>153</v>
      </c>
      <c r="V91" s="54" t="s">
        <v>153</v>
      </c>
      <c r="W91" s="23" t="s">
        <v>153</v>
      </c>
      <c r="X91" s="23" t="s">
        <v>153</v>
      </c>
      <c r="Y91" s="23" t="s">
        <v>153</v>
      </c>
      <c r="Z91" s="23" t="s">
        <v>153</v>
      </c>
      <c r="AA91" s="24" t="s">
        <v>156</v>
      </c>
      <c r="AB91" s="24" t="s">
        <v>153</v>
      </c>
      <c r="AC91" s="23" t="s">
        <v>153</v>
      </c>
      <c r="AD91" s="23" t="s">
        <v>153</v>
      </c>
      <c r="AE91" s="23" t="s">
        <v>153</v>
      </c>
      <c r="AF91" s="23" t="s">
        <v>153</v>
      </c>
      <c r="AG91" s="23" t="s">
        <v>153</v>
      </c>
      <c r="AH91" s="24" t="s">
        <v>156</v>
      </c>
      <c r="AI91" s="24" t="s">
        <v>153</v>
      </c>
      <c r="AJ91" s="23" t="s">
        <v>153</v>
      </c>
      <c r="AK91" s="23" t="s">
        <v>153</v>
      </c>
      <c r="AL91" s="23" t="s">
        <v>153</v>
      </c>
      <c r="AM91" s="23" t="s">
        <v>153</v>
      </c>
      <c r="AN91" s="23" t="s">
        <v>153</v>
      </c>
      <c r="AO91" s="24" t="s">
        <v>156</v>
      </c>
      <c r="AP91" s="23">
        <f>VALUE(0)</f>
        <v>0</v>
      </c>
      <c r="AQ91" s="23">
        <f>VALUE(0)</f>
        <v>0</v>
      </c>
      <c r="AR91" s="23">
        <f>VALUE(0)</f>
        <v>0</v>
      </c>
      <c r="AS91" s="23">
        <f>VALUE(0)</f>
        <v>0</v>
      </c>
      <c r="AT91" s="23">
        <f>VALUE(0)</f>
        <v>0</v>
      </c>
      <c r="AU91" s="23">
        <f>VALUE(0)</f>
        <v>0</v>
      </c>
      <c r="AV91" s="23">
        <f>VALUE(4)</f>
        <v>4</v>
      </c>
      <c r="AW91" s="23">
        <f>VALUE(0)</f>
        <v>0</v>
      </c>
      <c r="AX91" s="23" t="s">
        <v>176</v>
      </c>
      <c r="AY91" s="23" t="s">
        <v>322</v>
      </c>
      <c r="AZ91" s="23">
        <f>VALUE(0)</f>
        <v>0</v>
      </c>
      <c r="BA91" s="23">
        <f>VALUE(0)</f>
        <v>0</v>
      </c>
      <c r="BB91" s="23">
        <f>VALUE(0)</f>
        <v>0</v>
      </c>
      <c r="BC91" s="23">
        <f>VALUE(0)</f>
        <v>0</v>
      </c>
      <c r="BD91" s="23">
        <f>VALUE(0)</f>
        <v>0</v>
      </c>
      <c r="BE91" s="23">
        <f>VALUE(0)</f>
        <v>0</v>
      </c>
      <c r="BF91" s="23">
        <f>VALUE(0)</f>
        <v>0</v>
      </c>
      <c r="BG91" s="23">
        <f>VALUE(0)</f>
        <v>0</v>
      </c>
      <c r="BH91" s="23">
        <f>VALUE(0)</f>
        <v>0</v>
      </c>
      <c r="BI91" s="23">
        <f>VALUE(0)</f>
        <v>0</v>
      </c>
      <c r="BJ91" s="23">
        <f>VALUE(0)</f>
        <v>0</v>
      </c>
      <c r="BK91" s="12">
        <f>$AX$91*24</f>
        <v>0</v>
      </c>
      <c r="BL91" s="12">
        <f>$AY$91*24</f>
        <v>16.166666666666668</v>
      </c>
      <c r="BM91" s="12">
        <f>$BJ$91*24</f>
        <v>0</v>
      </c>
      <c r="BN91" s="12">
        <f>VALUE($I$91)/100</f>
        <v>1</v>
      </c>
      <c r="BO91" s="12">
        <v>0</v>
      </c>
      <c r="BP91" s="12">
        <v>0</v>
      </c>
      <c r="BQ91" s="12">
        <v>0</v>
      </c>
      <c r="BR91" s="12">
        <v>0</v>
      </c>
      <c r="BS91" s="12">
        <v>0</v>
      </c>
      <c r="BT91" s="12">
        <v>0</v>
      </c>
      <c r="BU91" s="12">
        <v>0</v>
      </c>
      <c r="BV91" s="12">
        <v>0</v>
      </c>
      <c r="BW91" s="12">
        <v>0</v>
      </c>
      <c r="BX91" s="12">
        <v>0</v>
      </c>
      <c r="BY91" s="12">
        <v>0</v>
      </c>
      <c r="BZ91" s="12">
        <v>0</v>
      </c>
      <c r="CA91" s="12">
        <v>0</v>
      </c>
    </row>
    <row r="92" spans="1:79" ht="15" hidden="1" x14ac:dyDescent="0.25">
      <c r="A92" s="12" t="s">
        <v>102</v>
      </c>
      <c r="B92" s="12" t="s">
        <v>111</v>
      </c>
      <c r="C92" s="12" t="s">
        <v>111</v>
      </c>
      <c r="D92" s="31" t="s">
        <v>323</v>
      </c>
      <c r="E92" s="31" t="s">
        <v>153</v>
      </c>
      <c r="F92" s="31" t="s">
        <v>175</v>
      </c>
      <c r="G92" s="31" t="s">
        <v>153</v>
      </c>
      <c r="H92" s="31" t="s">
        <v>153</v>
      </c>
      <c r="I92" s="31" t="s">
        <v>153</v>
      </c>
      <c r="J92" s="31" t="s">
        <v>153</v>
      </c>
      <c r="K92" s="31" t="s">
        <v>153</v>
      </c>
      <c r="L92" s="31">
        <f>VALUE(0)</f>
        <v>0</v>
      </c>
      <c r="M92" s="31">
        <f>VALUE(3)</f>
        <v>3</v>
      </c>
      <c r="N92" s="31">
        <f>VALUE(0)</f>
        <v>0</v>
      </c>
      <c r="O92" s="31">
        <f>VALUE(6)</f>
        <v>6</v>
      </c>
      <c r="P92" s="31">
        <f>VALUE(6)</f>
        <v>6</v>
      </c>
      <c r="Q92" s="31">
        <f>VALUE(5)</f>
        <v>5</v>
      </c>
      <c r="R92" s="31">
        <f>VALUE(6)</f>
        <v>6</v>
      </c>
      <c r="S92" s="31">
        <f>VALUE(6)</f>
        <v>6</v>
      </c>
      <c r="T92" s="31">
        <f>VALUE(2)</f>
        <v>2</v>
      </c>
      <c r="U92" s="31">
        <f>VALUE(0)</f>
        <v>0</v>
      </c>
      <c r="V92" s="31">
        <f>VALUE(0)</f>
        <v>0</v>
      </c>
      <c r="W92" s="31">
        <f>VALUE(5)</f>
        <v>5</v>
      </c>
      <c r="X92" s="31">
        <f>VALUE(5)</f>
        <v>5</v>
      </c>
      <c r="Y92" s="31">
        <f>VALUE(5)</f>
        <v>5</v>
      </c>
      <c r="Z92" s="31">
        <f>VALUE(4)</f>
        <v>4</v>
      </c>
      <c r="AA92" s="31">
        <f>VALUE(2)</f>
        <v>2</v>
      </c>
      <c r="AB92" s="31">
        <f>VALUE(0)</f>
        <v>0</v>
      </c>
      <c r="AC92" s="31">
        <f>VALUE(6)</f>
        <v>6</v>
      </c>
      <c r="AD92" s="31">
        <f>VALUE(6)</f>
        <v>6</v>
      </c>
      <c r="AE92" s="31">
        <f>VALUE(5)</f>
        <v>5</v>
      </c>
      <c r="AF92" s="31">
        <f>VALUE(6)</f>
        <v>6</v>
      </c>
      <c r="AG92" s="31">
        <f>VALUE(6)</f>
        <v>6</v>
      </c>
      <c r="AH92" s="31">
        <f>VALUE(2)</f>
        <v>2</v>
      </c>
      <c r="AI92" s="31">
        <f>VALUE(0)</f>
        <v>0</v>
      </c>
      <c r="AJ92" s="31">
        <f>VALUE(5)</f>
        <v>5</v>
      </c>
      <c r="AK92" s="31">
        <f>VALUE(5)</f>
        <v>5</v>
      </c>
      <c r="AL92" s="31">
        <f>VALUE(5)</f>
        <v>5</v>
      </c>
      <c r="AM92" s="31">
        <f>VALUE(5)</f>
        <v>5</v>
      </c>
      <c r="AN92" s="31">
        <f>VALUE(5)</f>
        <v>5</v>
      </c>
      <c r="AO92" s="31">
        <f>VALUE(3)</f>
        <v>3</v>
      </c>
      <c r="AP92" s="31">
        <v>0</v>
      </c>
      <c r="AQ92" s="31">
        <v>0</v>
      </c>
      <c r="AR92" s="31">
        <v>0</v>
      </c>
      <c r="AS92" s="31">
        <v>0</v>
      </c>
      <c r="AT92" s="31">
        <v>0</v>
      </c>
      <c r="AU92" s="31">
        <v>0</v>
      </c>
      <c r="AV92" s="31">
        <v>0</v>
      </c>
      <c r="AW92" s="31">
        <v>0</v>
      </c>
      <c r="AX92" s="31">
        <v>0</v>
      </c>
      <c r="AY92" s="31">
        <v>0</v>
      </c>
      <c r="AZ92" s="31">
        <v>0</v>
      </c>
      <c r="BA92" s="31">
        <v>0</v>
      </c>
      <c r="BB92" s="31">
        <v>0</v>
      </c>
      <c r="BC92" s="31">
        <v>0</v>
      </c>
      <c r="BD92" s="31">
        <v>0</v>
      </c>
      <c r="BE92" s="31">
        <v>0</v>
      </c>
      <c r="BF92" s="31">
        <v>0</v>
      </c>
      <c r="BG92" s="31">
        <v>0</v>
      </c>
      <c r="BH92" s="31">
        <v>0</v>
      </c>
      <c r="BI92" s="31">
        <v>0</v>
      </c>
      <c r="BJ92" s="31">
        <v>0</v>
      </c>
      <c r="BK92" s="12">
        <v>0</v>
      </c>
      <c r="BL92" s="12">
        <v>0</v>
      </c>
      <c r="BM92" s="12">
        <v>0</v>
      </c>
      <c r="BN92" s="12"/>
      <c r="BO92" s="12">
        <v>0</v>
      </c>
      <c r="BP92" s="12">
        <v>0</v>
      </c>
      <c r="BQ92" s="12">
        <v>0</v>
      </c>
      <c r="BR92" s="12">
        <v>0</v>
      </c>
      <c r="BS92" s="12">
        <v>0</v>
      </c>
      <c r="BT92" s="12">
        <v>0</v>
      </c>
      <c r="BU92" s="12">
        <v>0</v>
      </c>
      <c r="BV92" s="12">
        <v>0</v>
      </c>
      <c r="BW92" s="12">
        <v>0</v>
      </c>
      <c r="BX92" s="12">
        <v>0</v>
      </c>
      <c r="BY92" s="12">
        <v>0</v>
      </c>
      <c r="BZ92" s="12">
        <v>0</v>
      </c>
      <c r="CA92" s="12">
        <v>0</v>
      </c>
    </row>
    <row r="93" spans="1:79" hidden="1" x14ac:dyDescent="0.2">
      <c r="A93" s="12" t="s">
        <v>102</v>
      </c>
      <c r="B93" s="12" t="s">
        <v>112</v>
      </c>
      <c r="C93" s="12" t="s">
        <v>112</v>
      </c>
      <c r="D93" s="22" t="s">
        <v>324</v>
      </c>
      <c r="E93" s="22" t="s">
        <v>161</v>
      </c>
      <c r="F93" s="22" t="s">
        <v>735</v>
      </c>
      <c r="G93" s="22" t="s">
        <v>736</v>
      </c>
      <c r="H93" s="22" t="s">
        <v>150</v>
      </c>
      <c r="I93" s="22" t="s">
        <v>151</v>
      </c>
      <c r="J93" s="22" t="s">
        <v>162</v>
      </c>
      <c r="K93" s="22" t="s">
        <v>73</v>
      </c>
      <c r="L93" s="54" t="s">
        <v>153</v>
      </c>
      <c r="M93" s="23" t="s">
        <v>153</v>
      </c>
      <c r="N93" s="24" t="s">
        <v>153</v>
      </c>
      <c r="O93" s="23" t="s">
        <v>153</v>
      </c>
      <c r="P93" s="23" t="s">
        <v>153</v>
      </c>
      <c r="Q93" s="23" t="s">
        <v>153</v>
      </c>
      <c r="R93" s="23" t="s">
        <v>153</v>
      </c>
      <c r="S93" s="23" t="s">
        <v>153</v>
      </c>
      <c r="T93" s="23" t="s">
        <v>153</v>
      </c>
      <c r="U93" s="24" t="s">
        <v>153</v>
      </c>
      <c r="V93" s="54" t="s">
        <v>153</v>
      </c>
      <c r="W93" s="23" t="s">
        <v>153</v>
      </c>
      <c r="X93" s="23" t="s">
        <v>153</v>
      </c>
      <c r="Y93" s="23" t="s">
        <v>153</v>
      </c>
      <c r="Z93" s="23" t="s">
        <v>153</v>
      </c>
      <c r="AA93" s="23" t="s">
        <v>153</v>
      </c>
      <c r="AB93" s="24" t="s">
        <v>153</v>
      </c>
      <c r="AC93" s="23" t="s">
        <v>153</v>
      </c>
      <c r="AD93" s="23" t="s">
        <v>153</v>
      </c>
      <c r="AE93" s="23" t="s">
        <v>153</v>
      </c>
      <c r="AF93" s="23" t="s">
        <v>153</v>
      </c>
      <c r="AG93" s="23" t="s">
        <v>153</v>
      </c>
      <c r="AH93" s="23" t="s">
        <v>153</v>
      </c>
      <c r="AI93" s="24" t="s">
        <v>153</v>
      </c>
      <c r="AJ93" s="24" t="s">
        <v>156</v>
      </c>
      <c r="AK93" s="24" t="s">
        <v>156</v>
      </c>
      <c r="AL93" s="24" t="s">
        <v>156</v>
      </c>
      <c r="AM93" s="23" t="s">
        <v>153</v>
      </c>
      <c r="AN93" s="23" t="s">
        <v>153</v>
      </c>
      <c r="AO93" s="23" t="s">
        <v>153</v>
      </c>
      <c r="AP93" s="23">
        <f>VALUE(0)</f>
        <v>0</v>
      </c>
      <c r="AQ93" s="23">
        <f>VALUE(0)</f>
        <v>0</v>
      </c>
      <c r="AR93" s="23">
        <f>VALUE(0)</f>
        <v>0</v>
      </c>
      <c r="AS93" s="23">
        <f>VALUE(0)</f>
        <v>0</v>
      </c>
      <c r="AT93" s="23">
        <f>VALUE(0)</f>
        <v>0</v>
      </c>
      <c r="AU93" s="23">
        <f>VALUE(0)</f>
        <v>0</v>
      </c>
      <c r="AV93" s="23">
        <f>VALUE(32)</f>
        <v>32</v>
      </c>
      <c r="AW93" s="23">
        <f>VALUE(5)</f>
        <v>5</v>
      </c>
      <c r="AX93" s="23" t="s">
        <v>171</v>
      </c>
      <c r="AY93" s="23" t="s">
        <v>325</v>
      </c>
      <c r="AZ93" s="23">
        <f>VALUE(0)</f>
        <v>0</v>
      </c>
      <c r="BA93" s="23">
        <f>VALUE(0)</f>
        <v>0</v>
      </c>
      <c r="BB93" s="23">
        <f>VALUE(0)</f>
        <v>0</v>
      </c>
      <c r="BC93" s="23">
        <f>VALUE(0)</f>
        <v>0</v>
      </c>
      <c r="BD93" s="23">
        <f>VALUE(0)</f>
        <v>0</v>
      </c>
      <c r="BE93" s="23">
        <f>VALUE(0)</f>
        <v>0</v>
      </c>
      <c r="BF93" s="23">
        <f>VALUE(0)</f>
        <v>0</v>
      </c>
      <c r="BG93" s="23">
        <f>VALUE(0)</f>
        <v>0</v>
      </c>
      <c r="BH93" s="23">
        <f>VALUE(0)</f>
        <v>0</v>
      </c>
      <c r="BI93" s="23">
        <f>VALUE(0)</f>
        <v>0</v>
      </c>
      <c r="BJ93" s="23">
        <f>VALUE(0)</f>
        <v>0</v>
      </c>
      <c r="BK93" s="12">
        <f>$AX$93*24</f>
        <v>5.833333333333333</v>
      </c>
      <c r="BL93" s="12">
        <f>$AY$93*24</f>
        <v>31.533333333333331</v>
      </c>
      <c r="BM93" s="12">
        <f>$BJ$93*24</f>
        <v>0</v>
      </c>
      <c r="BN93" s="12">
        <f>VALUE($I$93)/100</f>
        <v>1</v>
      </c>
      <c r="BO93" s="12">
        <v>0</v>
      </c>
      <c r="BP93" s="12">
        <v>0</v>
      </c>
      <c r="BQ93" s="12">
        <v>0</v>
      </c>
      <c r="BR93" s="12">
        <v>0</v>
      </c>
      <c r="BS93" s="12">
        <v>0</v>
      </c>
      <c r="BT93" s="12">
        <v>0</v>
      </c>
      <c r="BU93" s="12">
        <v>0</v>
      </c>
      <c r="BV93" s="12">
        <v>0</v>
      </c>
      <c r="BW93" s="12">
        <v>0</v>
      </c>
      <c r="BX93" s="12">
        <v>0</v>
      </c>
      <c r="BY93" s="12">
        <v>0</v>
      </c>
      <c r="BZ93" s="12">
        <v>0</v>
      </c>
      <c r="CA93" s="12">
        <v>0</v>
      </c>
    </row>
    <row r="94" spans="1:79" hidden="1" x14ac:dyDescent="0.2">
      <c r="A94" s="12" t="s">
        <v>102</v>
      </c>
      <c r="B94" s="12" t="s">
        <v>112</v>
      </c>
      <c r="C94" s="12" t="s">
        <v>112</v>
      </c>
      <c r="D94" s="22" t="s">
        <v>157</v>
      </c>
      <c r="E94" s="22" t="s">
        <v>161</v>
      </c>
      <c r="F94" s="22" t="s">
        <v>737</v>
      </c>
      <c r="G94" s="22" t="s">
        <v>738</v>
      </c>
      <c r="H94" s="22" t="s">
        <v>150</v>
      </c>
      <c r="I94" s="22" t="s">
        <v>151</v>
      </c>
      <c r="J94" s="22" t="s">
        <v>162</v>
      </c>
      <c r="K94" s="22" t="s">
        <v>73</v>
      </c>
      <c r="L94" s="54" t="s">
        <v>153</v>
      </c>
      <c r="M94" s="23" t="s">
        <v>153</v>
      </c>
      <c r="N94" s="24" t="s">
        <v>153</v>
      </c>
      <c r="O94" s="23" t="s">
        <v>153</v>
      </c>
      <c r="P94" s="23" t="s">
        <v>153</v>
      </c>
      <c r="Q94" s="23" t="s">
        <v>153</v>
      </c>
      <c r="R94" s="25" t="s">
        <v>1196</v>
      </c>
      <c r="S94" s="25" t="s">
        <v>1196</v>
      </c>
      <c r="T94" s="25" t="s">
        <v>1196</v>
      </c>
      <c r="U94" s="24" t="s">
        <v>153</v>
      </c>
      <c r="V94" s="54" t="s">
        <v>153</v>
      </c>
      <c r="W94" s="23" t="s">
        <v>154</v>
      </c>
      <c r="X94" s="23" t="s">
        <v>154</v>
      </c>
      <c r="Y94" s="23" t="s">
        <v>154</v>
      </c>
      <c r="Z94" s="23" t="s">
        <v>154</v>
      </c>
      <c r="AA94" s="23" t="s">
        <v>154</v>
      </c>
      <c r="AB94" s="24" t="s">
        <v>153</v>
      </c>
      <c r="AC94" s="28" t="s">
        <v>163</v>
      </c>
      <c r="AD94" s="28" t="s">
        <v>163</v>
      </c>
      <c r="AE94" s="28" t="s">
        <v>163</v>
      </c>
      <c r="AF94" s="28" t="s">
        <v>163</v>
      </c>
      <c r="AG94" s="28" t="s">
        <v>163</v>
      </c>
      <c r="AH94" s="28" t="s">
        <v>163</v>
      </c>
      <c r="AI94" s="24" t="s">
        <v>153</v>
      </c>
      <c r="AJ94" s="23" t="s">
        <v>154</v>
      </c>
      <c r="AK94" s="23" t="s">
        <v>154</v>
      </c>
      <c r="AL94" s="23" t="s">
        <v>154</v>
      </c>
      <c r="AM94" s="24" t="s">
        <v>156</v>
      </c>
      <c r="AN94" s="24" t="s">
        <v>156</v>
      </c>
      <c r="AO94" s="24" t="s">
        <v>156</v>
      </c>
      <c r="AP94" s="23">
        <f>VALUE(3)</f>
        <v>3</v>
      </c>
      <c r="AQ94" s="23">
        <f>VALUE(0)</f>
        <v>0</v>
      </c>
      <c r="AR94" s="23">
        <f>VALUE(0)</f>
        <v>0</v>
      </c>
      <c r="AS94" s="23">
        <f>VALUE(0)</f>
        <v>0</v>
      </c>
      <c r="AT94" s="23">
        <f>VALUE(0)</f>
        <v>0</v>
      </c>
      <c r="AU94" s="23">
        <f>VALUE(6)</f>
        <v>6</v>
      </c>
      <c r="AV94" s="23">
        <f>VALUE(2)</f>
        <v>2</v>
      </c>
      <c r="AW94" s="23">
        <f>VALUE(0)</f>
        <v>0</v>
      </c>
      <c r="AX94" s="23" t="s">
        <v>171</v>
      </c>
      <c r="AY94" s="23" t="s">
        <v>326</v>
      </c>
      <c r="AZ94" s="23">
        <f>VALUE(0)</f>
        <v>0</v>
      </c>
      <c r="BA94" s="23">
        <f>VALUE(0)</f>
        <v>0</v>
      </c>
      <c r="BB94" s="23">
        <f>VALUE(0)</f>
        <v>0</v>
      </c>
      <c r="BC94" s="23">
        <f>VALUE(0)</f>
        <v>0</v>
      </c>
      <c r="BD94" s="23">
        <f>VALUE(3)</f>
        <v>3</v>
      </c>
      <c r="BE94" s="23">
        <f>VALUE(0)</f>
        <v>0</v>
      </c>
      <c r="BF94" s="23">
        <f>VALUE(0)</f>
        <v>0</v>
      </c>
      <c r="BG94" s="23">
        <f>VALUE(0)</f>
        <v>0</v>
      </c>
      <c r="BH94" s="23">
        <f>VALUE(0)</f>
        <v>0</v>
      </c>
      <c r="BI94" s="23">
        <f>VALUE(0)</f>
        <v>0</v>
      </c>
      <c r="BJ94" s="23">
        <f>VALUE(0)</f>
        <v>0</v>
      </c>
      <c r="BK94" s="12">
        <f>$AX$94*24</f>
        <v>5.833333333333333</v>
      </c>
      <c r="BL94" s="12">
        <f>$AY$94*24</f>
        <v>11.633333333333333</v>
      </c>
      <c r="BM94" s="12">
        <f>$BJ$94*24</f>
        <v>0</v>
      </c>
      <c r="BN94" s="12">
        <f>VALUE($I$94)/100</f>
        <v>1</v>
      </c>
      <c r="BO94" s="12">
        <v>0</v>
      </c>
      <c r="BP94" s="12">
        <v>0</v>
      </c>
      <c r="BQ94" s="12">
        <v>0</v>
      </c>
      <c r="BR94" s="12">
        <v>3</v>
      </c>
      <c r="BS94" s="12">
        <v>0</v>
      </c>
      <c r="BT94" s="12">
        <v>0</v>
      </c>
      <c r="BU94" s="12">
        <v>0</v>
      </c>
      <c r="BV94" s="12">
        <v>0</v>
      </c>
      <c r="BW94" s="12">
        <v>0</v>
      </c>
      <c r="BX94" s="12">
        <v>0</v>
      </c>
      <c r="BY94" s="12">
        <v>0</v>
      </c>
      <c r="BZ94" s="12">
        <v>0</v>
      </c>
      <c r="CA94" s="12">
        <v>0</v>
      </c>
    </row>
    <row r="95" spans="1:79" hidden="1" x14ac:dyDescent="0.2">
      <c r="A95" s="12" t="s">
        <v>102</v>
      </c>
      <c r="B95" s="12" t="s">
        <v>112</v>
      </c>
      <c r="C95" s="12" t="s">
        <v>112</v>
      </c>
      <c r="D95" s="22" t="s">
        <v>327</v>
      </c>
      <c r="E95" s="22" t="s">
        <v>161</v>
      </c>
      <c r="F95" s="22" t="s">
        <v>739</v>
      </c>
      <c r="G95" s="22" t="s">
        <v>740</v>
      </c>
      <c r="H95" s="22" t="s">
        <v>166</v>
      </c>
      <c r="I95" s="22" t="s">
        <v>151</v>
      </c>
      <c r="J95" s="22" t="s">
        <v>162</v>
      </c>
      <c r="K95" s="22" t="s">
        <v>73</v>
      </c>
      <c r="L95" s="54" t="s">
        <v>153</v>
      </c>
      <c r="M95" s="28" t="s">
        <v>163</v>
      </c>
      <c r="N95" s="24" t="s">
        <v>153</v>
      </c>
      <c r="O95" s="23" t="s">
        <v>153</v>
      </c>
      <c r="P95" s="23" t="s">
        <v>153</v>
      </c>
      <c r="Q95" s="23" t="s">
        <v>153</v>
      </c>
      <c r="R95" s="23" t="s">
        <v>153</v>
      </c>
      <c r="S95" s="23" t="s">
        <v>153</v>
      </c>
      <c r="T95" s="23" t="s">
        <v>153</v>
      </c>
      <c r="U95" s="24" t="s">
        <v>153</v>
      </c>
      <c r="V95" s="54" t="s">
        <v>153</v>
      </c>
      <c r="W95" s="23" t="s">
        <v>153</v>
      </c>
      <c r="X95" s="23" t="s">
        <v>153</v>
      </c>
      <c r="Y95" s="23" t="s">
        <v>153</v>
      </c>
      <c r="Z95" s="29" t="s">
        <v>218</v>
      </c>
      <c r="AA95" s="23" t="s">
        <v>153</v>
      </c>
      <c r="AB95" s="24" t="s">
        <v>153</v>
      </c>
      <c r="AC95" s="24" t="s">
        <v>156</v>
      </c>
      <c r="AD95" s="24" t="s">
        <v>156</v>
      </c>
      <c r="AE95" s="24" t="s">
        <v>156</v>
      </c>
      <c r="AF95" s="23" t="s">
        <v>153</v>
      </c>
      <c r="AG95" s="23" t="s">
        <v>153</v>
      </c>
      <c r="AH95" s="23" t="s">
        <v>153</v>
      </c>
      <c r="AI95" s="24" t="s">
        <v>153</v>
      </c>
      <c r="AJ95" s="23" t="s">
        <v>153</v>
      </c>
      <c r="AK95" s="23" t="s">
        <v>153</v>
      </c>
      <c r="AL95" s="23" t="s">
        <v>153</v>
      </c>
      <c r="AM95" s="23" t="s">
        <v>153</v>
      </c>
      <c r="AN95" s="23" t="s">
        <v>153</v>
      </c>
      <c r="AO95" s="23" t="s">
        <v>153</v>
      </c>
      <c r="AP95" s="23">
        <f>VALUE(6)</f>
        <v>6</v>
      </c>
      <c r="AQ95" s="23">
        <f>VALUE(0)</f>
        <v>0</v>
      </c>
      <c r="AR95" s="23">
        <f>VALUE(1)</f>
        <v>1</v>
      </c>
      <c r="AS95" s="23">
        <f>VALUE(0)</f>
        <v>0</v>
      </c>
      <c r="AT95" s="23">
        <f>VALUE(0)</f>
        <v>0</v>
      </c>
      <c r="AU95" s="23">
        <f>VALUE(1)</f>
        <v>1</v>
      </c>
      <c r="AV95" s="23">
        <f>VALUE(2)</f>
        <v>2</v>
      </c>
      <c r="AW95" s="23">
        <f>VALUE(0)</f>
        <v>0</v>
      </c>
      <c r="AX95" s="23" t="s">
        <v>328</v>
      </c>
      <c r="AY95" s="23">
        <f>VALUE(0)</f>
        <v>0</v>
      </c>
      <c r="AZ95" s="23">
        <f>VALUE(0)</f>
        <v>0</v>
      </c>
      <c r="BA95" s="23">
        <f>VALUE(0)</f>
        <v>0</v>
      </c>
      <c r="BB95" s="23">
        <f>VALUE(0)</f>
        <v>0</v>
      </c>
      <c r="BC95" s="23">
        <f>VALUE(0)</f>
        <v>0</v>
      </c>
      <c r="BD95" s="23">
        <f>VALUE(0)</f>
        <v>0</v>
      </c>
      <c r="BE95" s="23">
        <f>VALUE(0)</f>
        <v>0</v>
      </c>
      <c r="BF95" s="23">
        <f>VALUE(0)</f>
        <v>0</v>
      </c>
      <c r="BG95" s="23">
        <f>VALUE(0)</f>
        <v>0</v>
      </c>
      <c r="BH95" s="23">
        <f>VALUE(0)</f>
        <v>0</v>
      </c>
      <c r="BI95" s="23">
        <f>VALUE(0)</f>
        <v>0</v>
      </c>
      <c r="BJ95" s="23">
        <f>VALUE(0)</f>
        <v>0</v>
      </c>
      <c r="BK95" s="12">
        <f>$AX$95*24</f>
        <v>28.683333333333337</v>
      </c>
      <c r="BL95" s="12">
        <f>$AY$95*24</f>
        <v>0</v>
      </c>
      <c r="BM95" s="12">
        <f>$BJ$95*24</f>
        <v>0</v>
      </c>
      <c r="BN95" s="12">
        <f>VALUE($I$95)/100</f>
        <v>1</v>
      </c>
      <c r="BO95" s="12">
        <v>0</v>
      </c>
      <c r="BP95" s="12">
        <v>0</v>
      </c>
      <c r="BQ95" s="12">
        <v>0</v>
      </c>
      <c r="BR95" s="12">
        <v>0</v>
      </c>
      <c r="BS95" s="12">
        <v>1</v>
      </c>
      <c r="BT95" s="12">
        <v>0</v>
      </c>
      <c r="BU95" s="12">
        <v>0</v>
      </c>
      <c r="BV95" s="12">
        <v>0</v>
      </c>
      <c r="BW95" s="12">
        <v>0</v>
      </c>
      <c r="BX95" s="12">
        <v>0</v>
      </c>
      <c r="BY95" s="12">
        <v>0</v>
      </c>
      <c r="BZ95" s="12">
        <v>0</v>
      </c>
      <c r="CA95" s="12">
        <v>0</v>
      </c>
    </row>
    <row r="96" spans="1:79" hidden="1" x14ac:dyDescent="0.2">
      <c r="A96" s="12" t="s">
        <v>102</v>
      </c>
      <c r="B96" s="12" t="s">
        <v>112</v>
      </c>
      <c r="C96" s="12" t="s">
        <v>112</v>
      </c>
      <c r="D96" s="22" t="s">
        <v>154</v>
      </c>
      <c r="E96" s="22" t="s">
        <v>161</v>
      </c>
      <c r="F96" s="22" t="s">
        <v>741</v>
      </c>
      <c r="G96" s="22" t="s">
        <v>742</v>
      </c>
      <c r="H96" s="22" t="s">
        <v>150</v>
      </c>
      <c r="I96" s="22" t="s">
        <v>151</v>
      </c>
      <c r="J96" s="22" t="s">
        <v>162</v>
      </c>
      <c r="K96" s="22" t="s">
        <v>73</v>
      </c>
      <c r="L96" s="54" t="s">
        <v>153</v>
      </c>
      <c r="M96" s="28" t="s">
        <v>163</v>
      </c>
      <c r="N96" s="24" t="s">
        <v>153</v>
      </c>
      <c r="O96" s="35" t="s">
        <v>170</v>
      </c>
      <c r="P96" s="35" t="s">
        <v>170</v>
      </c>
      <c r="Q96" s="25" t="s">
        <v>169</v>
      </c>
      <c r="R96" s="23" t="s">
        <v>169</v>
      </c>
      <c r="S96" s="23" t="s">
        <v>169</v>
      </c>
      <c r="T96" s="23" t="s">
        <v>169</v>
      </c>
      <c r="U96" s="24" t="s">
        <v>153</v>
      </c>
      <c r="V96" s="54" t="s">
        <v>153</v>
      </c>
      <c r="W96" s="23" t="s">
        <v>167</v>
      </c>
      <c r="X96" s="23" t="s">
        <v>167</v>
      </c>
      <c r="Y96" s="23" t="s">
        <v>157</v>
      </c>
      <c r="Z96" s="23" t="s">
        <v>327</v>
      </c>
      <c r="AA96" s="23" t="s">
        <v>157</v>
      </c>
      <c r="AB96" s="24" t="s">
        <v>153</v>
      </c>
      <c r="AC96" s="23" t="s">
        <v>157</v>
      </c>
      <c r="AD96" s="23" t="s">
        <v>157</v>
      </c>
      <c r="AE96" s="23" t="s">
        <v>157</v>
      </c>
      <c r="AF96" s="34" t="s">
        <v>157</v>
      </c>
      <c r="AG96" s="34" t="s">
        <v>157</v>
      </c>
      <c r="AH96" s="34" t="s">
        <v>157</v>
      </c>
      <c r="AI96" s="24" t="s">
        <v>153</v>
      </c>
      <c r="AJ96" s="23" t="s">
        <v>169</v>
      </c>
      <c r="AK96" s="23" t="s">
        <v>169</v>
      </c>
      <c r="AL96" s="23" t="s">
        <v>169</v>
      </c>
      <c r="AM96" s="25" t="s">
        <v>157</v>
      </c>
      <c r="AN96" s="25" t="s">
        <v>157</v>
      </c>
      <c r="AO96" s="25" t="s">
        <v>157</v>
      </c>
      <c r="AP96" s="23">
        <f>VALUE(4)</f>
        <v>4</v>
      </c>
      <c r="AQ96" s="23">
        <f>VALUE(0)</f>
        <v>0</v>
      </c>
      <c r="AR96" s="23">
        <f>VALUE(0)</f>
        <v>0</v>
      </c>
      <c r="AS96" s="23">
        <f>VALUE(0)</f>
        <v>0</v>
      </c>
      <c r="AT96" s="23">
        <f>VALUE(0)</f>
        <v>0</v>
      </c>
      <c r="AU96" s="23">
        <f>VALUE(1)</f>
        <v>1</v>
      </c>
      <c r="AV96" s="23">
        <f>VALUE(1)</f>
        <v>1</v>
      </c>
      <c r="AW96" s="23">
        <f>VALUE(0)</f>
        <v>0</v>
      </c>
      <c r="AX96" s="23">
        <f>VALUE(0)</f>
        <v>0</v>
      </c>
      <c r="AY96" s="23">
        <f>VALUE(0)</f>
        <v>0</v>
      </c>
      <c r="AZ96" s="23">
        <f>VALUE(0)</f>
        <v>0</v>
      </c>
      <c r="BA96" s="23">
        <f>VALUE(0)</f>
        <v>0</v>
      </c>
      <c r="BB96" s="23">
        <f>VALUE(0)</f>
        <v>0</v>
      </c>
      <c r="BC96" s="23">
        <f>VALUE(0)</f>
        <v>0</v>
      </c>
      <c r="BD96" s="23">
        <f>VALUE(0)</f>
        <v>0</v>
      </c>
      <c r="BE96" s="23">
        <f>VALUE(2)</f>
        <v>2</v>
      </c>
      <c r="BF96" s="23">
        <f>VALUE(0)</f>
        <v>0</v>
      </c>
      <c r="BG96" s="23">
        <f>VALUE(0)</f>
        <v>0</v>
      </c>
      <c r="BH96" s="23">
        <f>VALUE(0)</f>
        <v>0</v>
      </c>
      <c r="BI96" s="23">
        <f>VALUE(0)</f>
        <v>0</v>
      </c>
      <c r="BJ96" s="23">
        <f>VALUE(0)</f>
        <v>0</v>
      </c>
      <c r="BK96" s="12">
        <f>$AX$96*24</f>
        <v>0</v>
      </c>
      <c r="BL96" s="12">
        <f>$AY$96*24</f>
        <v>0</v>
      </c>
      <c r="BM96" s="12">
        <f>$BJ$96*24</f>
        <v>0</v>
      </c>
      <c r="BN96" s="12">
        <f>VALUE($I$96)/100</f>
        <v>1</v>
      </c>
      <c r="BO96" s="12">
        <v>0</v>
      </c>
      <c r="BP96" s="12">
        <v>0</v>
      </c>
      <c r="BQ96" s="12">
        <v>0</v>
      </c>
      <c r="BR96" s="12">
        <v>0</v>
      </c>
      <c r="BS96" s="12">
        <v>0</v>
      </c>
      <c r="BT96" s="12">
        <v>0</v>
      </c>
      <c r="BU96" s="12">
        <v>0</v>
      </c>
      <c r="BV96" s="12">
        <v>0</v>
      </c>
      <c r="BW96" s="12">
        <v>0</v>
      </c>
      <c r="BX96" s="12">
        <v>0</v>
      </c>
      <c r="BY96" s="12">
        <v>0</v>
      </c>
      <c r="BZ96" s="12">
        <v>0</v>
      </c>
      <c r="CA96" s="12">
        <v>0</v>
      </c>
    </row>
    <row r="97" spans="1:79" ht="16.5" hidden="1" x14ac:dyDescent="0.2">
      <c r="A97" s="12" t="s">
        <v>102</v>
      </c>
      <c r="B97" s="12" t="s">
        <v>112</v>
      </c>
      <c r="C97" s="12" t="s">
        <v>112</v>
      </c>
      <c r="D97" s="22" t="s">
        <v>329</v>
      </c>
      <c r="E97" s="22" t="s">
        <v>159</v>
      </c>
      <c r="F97" s="22" t="s">
        <v>743</v>
      </c>
      <c r="G97" s="22" t="s">
        <v>744</v>
      </c>
      <c r="H97" s="22" t="s">
        <v>150</v>
      </c>
      <c r="I97" s="22" t="s">
        <v>151</v>
      </c>
      <c r="J97" s="22" t="s">
        <v>162</v>
      </c>
      <c r="K97" s="22" t="s">
        <v>73</v>
      </c>
      <c r="L97" s="54" t="s">
        <v>153</v>
      </c>
      <c r="M97" s="23" t="s">
        <v>327</v>
      </c>
      <c r="N97" s="24" t="s">
        <v>153</v>
      </c>
      <c r="O97" s="26" t="s">
        <v>1197</v>
      </c>
      <c r="P97" s="26" t="s">
        <v>1197</v>
      </c>
      <c r="Q97" s="26" t="s">
        <v>1197</v>
      </c>
      <c r="R97" s="26" t="s">
        <v>1197</v>
      </c>
      <c r="S97" s="26" t="s">
        <v>1197</v>
      </c>
      <c r="T97" s="26" t="s">
        <v>1197</v>
      </c>
      <c r="U97" s="24" t="s">
        <v>153</v>
      </c>
      <c r="V97" s="54" t="s">
        <v>153</v>
      </c>
      <c r="W97" s="28" t="s">
        <v>163</v>
      </c>
      <c r="X97" s="26" t="s">
        <v>1197</v>
      </c>
      <c r="Y97" s="26" t="s">
        <v>1197</v>
      </c>
      <c r="Z97" s="26" t="s">
        <v>1197</v>
      </c>
      <c r="AA97" s="26" t="s">
        <v>1197</v>
      </c>
      <c r="AB97" s="24" t="s">
        <v>153</v>
      </c>
      <c r="AC97" s="28" t="s">
        <v>163</v>
      </c>
      <c r="AD97" s="28" t="s">
        <v>163</v>
      </c>
      <c r="AE97" s="28" t="s">
        <v>163</v>
      </c>
      <c r="AF97" s="28" t="s">
        <v>163</v>
      </c>
      <c r="AG97" s="28" t="s">
        <v>163</v>
      </c>
      <c r="AH97" s="28" t="s">
        <v>163</v>
      </c>
      <c r="AI97" s="24" t="s">
        <v>153</v>
      </c>
      <c r="AJ97" s="26" t="s">
        <v>1197</v>
      </c>
      <c r="AK97" s="26" t="s">
        <v>1197</v>
      </c>
      <c r="AL97" s="26" t="s">
        <v>1197</v>
      </c>
      <c r="AM97" s="26" t="s">
        <v>1197</v>
      </c>
      <c r="AN97" s="26" t="s">
        <v>1197</v>
      </c>
      <c r="AO97" s="26" t="s">
        <v>1197</v>
      </c>
      <c r="AP97" s="23">
        <f>VALUE(3)</f>
        <v>3</v>
      </c>
      <c r="AQ97" s="23">
        <f>VALUE(0)</f>
        <v>0</v>
      </c>
      <c r="AR97" s="23">
        <f>VALUE(0)</f>
        <v>0</v>
      </c>
      <c r="AS97" s="23">
        <f>VALUE(0)</f>
        <v>0</v>
      </c>
      <c r="AT97" s="23">
        <f>VALUE(0)</f>
        <v>0</v>
      </c>
      <c r="AU97" s="23">
        <f>VALUE(7)</f>
        <v>7</v>
      </c>
      <c r="AV97" s="23">
        <f>VALUE(0)</f>
        <v>0</v>
      </c>
      <c r="AW97" s="23">
        <f>VALUE(0)</f>
        <v>0</v>
      </c>
      <c r="AX97" s="23" t="s">
        <v>176</v>
      </c>
      <c r="AY97" s="23" t="s">
        <v>330</v>
      </c>
      <c r="AZ97" s="23">
        <f>VALUE(0)</f>
        <v>0</v>
      </c>
      <c r="BA97" s="23">
        <f>VALUE(0)</f>
        <v>0</v>
      </c>
      <c r="BB97" s="23">
        <f>VALUE(0)</f>
        <v>0</v>
      </c>
      <c r="BC97" s="23">
        <f>VALUE(0)</f>
        <v>0</v>
      </c>
      <c r="BD97" s="23">
        <f>VALUE(0)</f>
        <v>0</v>
      </c>
      <c r="BE97" s="23">
        <f>VALUE(0)</f>
        <v>0</v>
      </c>
      <c r="BF97" s="23">
        <f>VALUE(0)</f>
        <v>0</v>
      </c>
      <c r="BG97" s="23">
        <f>VALUE(0)</f>
        <v>0</v>
      </c>
      <c r="BH97" s="23">
        <f>VALUE(0)</f>
        <v>0</v>
      </c>
      <c r="BI97" s="23">
        <f>VALUE(0)</f>
        <v>0</v>
      </c>
      <c r="BJ97" s="23">
        <f>VALUE(0)</f>
        <v>0</v>
      </c>
      <c r="BK97" s="12">
        <f>$AX$97*24</f>
        <v>0</v>
      </c>
      <c r="BL97" s="12">
        <f>$AY$97*24</f>
        <v>22.9</v>
      </c>
      <c r="BM97" s="12">
        <f>$BJ$97*24</f>
        <v>0</v>
      </c>
      <c r="BN97" s="12">
        <f>VALUE($I$97)/100</f>
        <v>1</v>
      </c>
      <c r="BO97" s="12">
        <v>0</v>
      </c>
      <c r="BP97" s="12">
        <v>0</v>
      </c>
      <c r="BQ97" s="12">
        <v>0</v>
      </c>
      <c r="BR97" s="12">
        <v>0</v>
      </c>
      <c r="BS97" s="12">
        <v>0</v>
      </c>
      <c r="BT97" s="12">
        <v>0</v>
      </c>
      <c r="BU97" s="12">
        <v>0</v>
      </c>
      <c r="BV97" s="12">
        <v>0</v>
      </c>
      <c r="BW97" s="12">
        <v>0</v>
      </c>
      <c r="BX97" s="12">
        <v>0</v>
      </c>
      <c r="BY97" s="12">
        <v>0</v>
      </c>
      <c r="BZ97" s="12">
        <v>0</v>
      </c>
      <c r="CA97" s="12">
        <v>0</v>
      </c>
    </row>
    <row r="98" spans="1:79" ht="16.5" hidden="1" x14ac:dyDescent="0.2">
      <c r="A98" s="12" t="s">
        <v>102</v>
      </c>
      <c r="B98" s="12" t="s">
        <v>112</v>
      </c>
      <c r="C98" s="12" t="s">
        <v>112</v>
      </c>
      <c r="D98" s="22" t="s">
        <v>159</v>
      </c>
      <c r="E98" s="22" t="s">
        <v>159</v>
      </c>
      <c r="F98" s="22" t="s">
        <v>745</v>
      </c>
      <c r="G98" s="22" t="s">
        <v>746</v>
      </c>
      <c r="H98" s="22" t="s">
        <v>150</v>
      </c>
      <c r="I98" s="22" t="s">
        <v>151</v>
      </c>
      <c r="J98" s="22" t="s">
        <v>162</v>
      </c>
      <c r="K98" s="22" t="s">
        <v>73</v>
      </c>
      <c r="L98" s="54" t="s">
        <v>153</v>
      </c>
      <c r="M98" s="23" t="s">
        <v>169</v>
      </c>
      <c r="N98" s="24" t="s">
        <v>153</v>
      </c>
      <c r="O98" s="23" t="s">
        <v>160</v>
      </c>
      <c r="P98" s="23" t="s">
        <v>160</v>
      </c>
      <c r="Q98" s="23" t="s">
        <v>160</v>
      </c>
      <c r="R98" s="23" t="s">
        <v>160</v>
      </c>
      <c r="S98" s="23" t="s">
        <v>160</v>
      </c>
      <c r="T98" s="23" t="s">
        <v>160</v>
      </c>
      <c r="U98" s="24" t="s">
        <v>153</v>
      </c>
      <c r="V98" s="54" t="s">
        <v>153</v>
      </c>
      <c r="W98" s="26" t="s">
        <v>1197</v>
      </c>
      <c r="X98" s="28" t="s">
        <v>163</v>
      </c>
      <c r="Y98" s="28" t="s">
        <v>163</v>
      </c>
      <c r="Z98" s="28" t="s">
        <v>163</v>
      </c>
      <c r="AA98" s="28" t="s">
        <v>163</v>
      </c>
      <c r="AB98" s="24" t="s">
        <v>153</v>
      </c>
      <c r="AC98" s="26" t="s">
        <v>1197</v>
      </c>
      <c r="AD98" s="26" t="s">
        <v>1197</v>
      </c>
      <c r="AE98" s="26" t="s">
        <v>1197</v>
      </c>
      <c r="AF98" s="23" t="s">
        <v>154</v>
      </c>
      <c r="AG98" s="23" t="s">
        <v>154</v>
      </c>
      <c r="AH98" s="23" t="s">
        <v>154</v>
      </c>
      <c r="AI98" s="24" t="s">
        <v>153</v>
      </c>
      <c r="AJ98" s="23" t="s">
        <v>324</v>
      </c>
      <c r="AK98" s="23" t="s">
        <v>324</v>
      </c>
      <c r="AL98" s="23" t="s">
        <v>324</v>
      </c>
      <c r="AM98" s="23" t="s">
        <v>169</v>
      </c>
      <c r="AN98" s="23" t="s">
        <v>160</v>
      </c>
      <c r="AO98" s="23" t="s">
        <v>160</v>
      </c>
      <c r="AP98" s="23">
        <f>VALUE(3)</f>
        <v>3</v>
      </c>
      <c r="AQ98" s="23">
        <f>VALUE(0)</f>
        <v>0</v>
      </c>
      <c r="AR98" s="23">
        <f>VALUE(0)</f>
        <v>0</v>
      </c>
      <c r="AS98" s="23">
        <f>VALUE(0)</f>
        <v>0</v>
      </c>
      <c r="AT98" s="23">
        <f>VALUE(0)</f>
        <v>0</v>
      </c>
      <c r="AU98" s="23">
        <f>VALUE(4)</f>
        <v>4</v>
      </c>
      <c r="AV98" s="23">
        <f>VALUE(2)</f>
        <v>2</v>
      </c>
      <c r="AW98" s="23">
        <f>VALUE(0)</f>
        <v>0</v>
      </c>
      <c r="AX98" s="23" t="s">
        <v>171</v>
      </c>
      <c r="AY98" s="23" t="s">
        <v>331</v>
      </c>
      <c r="AZ98" s="23">
        <f>VALUE(0)</f>
        <v>0</v>
      </c>
      <c r="BA98" s="23">
        <f>VALUE(0)</f>
        <v>0</v>
      </c>
      <c r="BB98" s="23">
        <f>VALUE(0)</f>
        <v>0</v>
      </c>
      <c r="BC98" s="23">
        <f>VALUE(0)</f>
        <v>0</v>
      </c>
      <c r="BD98" s="23">
        <f>VALUE(0)</f>
        <v>0</v>
      </c>
      <c r="BE98" s="23">
        <f>VALUE(0)</f>
        <v>0</v>
      </c>
      <c r="BF98" s="23">
        <f>VALUE(0)</f>
        <v>0</v>
      </c>
      <c r="BG98" s="23">
        <f>VALUE(0)</f>
        <v>0</v>
      </c>
      <c r="BH98" s="23">
        <f>VALUE(0)</f>
        <v>0</v>
      </c>
      <c r="BI98" s="23">
        <f>VALUE(0)</f>
        <v>0</v>
      </c>
      <c r="BJ98" s="23">
        <f>VALUE(0)</f>
        <v>0</v>
      </c>
      <c r="BK98" s="12">
        <f>$AX$98*24</f>
        <v>5.833333333333333</v>
      </c>
      <c r="BL98" s="12">
        <f>$AY$98*24</f>
        <v>16.416666666666668</v>
      </c>
      <c r="BM98" s="12">
        <f>$BJ$98*24</f>
        <v>0</v>
      </c>
      <c r="BN98" s="12">
        <f>VALUE($I$98)/100</f>
        <v>1</v>
      </c>
      <c r="BO98" s="12">
        <v>0</v>
      </c>
      <c r="BP98" s="12">
        <v>0</v>
      </c>
      <c r="BQ98" s="12">
        <v>0</v>
      </c>
      <c r="BR98" s="12">
        <v>0</v>
      </c>
      <c r="BS98" s="12">
        <v>0</v>
      </c>
      <c r="BT98" s="12">
        <v>0</v>
      </c>
      <c r="BU98" s="12">
        <v>0</v>
      </c>
      <c r="BV98" s="12">
        <v>0</v>
      </c>
      <c r="BW98" s="12">
        <v>0</v>
      </c>
      <c r="BX98" s="12">
        <v>0</v>
      </c>
      <c r="BY98" s="12">
        <v>0</v>
      </c>
      <c r="BZ98" s="12">
        <v>0</v>
      </c>
      <c r="CA98" s="12">
        <v>0</v>
      </c>
    </row>
    <row r="99" spans="1:79" hidden="1" x14ac:dyDescent="0.2">
      <c r="A99" s="12" t="s">
        <v>102</v>
      </c>
      <c r="B99" s="12" t="s">
        <v>112</v>
      </c>
      <c r="C99" s="12" t="s">
        <v>112</v>
      </c>
      <c r="D99" s="22" t="s">
        <v>1198</v>
      </c>
      <c r="E99" s="22" t="s">
        <v>332</v>
      </c>
      <c r="F99" s="22" t="s">
        <v>747</v>
      </c>
      <c r="G99" s="22" t="s">
        <v>748</v>
      </c>
      <c r="H99" s="22" t="s">
        <v>150</v>
      </c>
      <c r="I99" s="22" t="s">
        <v>151</v>
      </c>
      <c r="J99" s="22" t="s">
        <v>162</v>
      </c>
      <c r="K99" s="22" t="s">
        <v>73</v>
      </c>
      <c r="L99" s="54" t="s">
        <v>153</v>
      </c>
      <c r="M99" s="23" t="s">
        <v>167</v>
      </c>
      <c r="N99" s="24" t="s">
        <v>153</v>
      </c>
      <c r="O99" s="23" t="s">
        <v>154</v>
      </c>
      <c r="P99" s="23" t="s">
        <v>154</v>
      </c>
      <c r="Q99" s="23" t="s">
        <v>154</v>
      </c>
      <c r="R99" s="23" t="s">
        <v>157</v>
      </c>
      <c r="S99" s="23" t="s">
        <v>157</v>
      </c>
      <c r="T99" s="23" t="s">
        <v>157</v>
      </c>
      <c r="U99" s="24" t="s">
        <v>153</v>
      </c>
      <c r="V99" s="54" t="s">
        <v>153</v>
      </c>
      <c r="W99" s="25" t="s">
        <v>157</v>
      </c>
      <c r="X99" s="23" t="s">
        <v>157</v>
      </c>
      <c r="Y99" s="23" t="s">
        <v>165</v>
      </c>
      <c r="Z99" s="23" t="s">
        <v>165</v>
      </c>
      <c r="AA99" s="23" t="s">
        <v>165</v>
      </c>
      <c r="AB99" s="24" t="s">
        <v>153</v>
      </c>
      <c r="AC99" s="23" t="s">
        <v>327</v>
      </c>
      <c r="AD99" s="23" t="s">
        <v>327</v>
      </c>
      <c r="AE99" s="23" t="s">
        <v>327</v>
      </c>
      <c r="AF99" s="23" t="s">
        <v>153</v>
      </c>
      <c r="AG99" s="23" t="s">
        <v>153</v>
      </c>
      <c r="AH99" s="23" t="s">
        <v>153</v>
      </c>
      <c r="AI99" s="24" t="s">
        <v>153</v>
      </c>
      <c r="AJ99" s="23" t="s">
        <v>157</v>
      </c>
      <c r="AK99" s="23" t="s">
        <v>157</v>
      </c>
      <c r="AL99" s="23" t="s">
        <v>157</v>
      </c>
      <c r="AM99" s="25" t="s">
        <v>157</v>
      </c>
      <c r="AN99" s="25" t="s">
        <v>157</v>
      </c>
      <c r="AO99" s="23" t="s">
        <v>167</v>
      </c>
      <c r="AP99" s="23">
        <f>VALUE(4)</f>
        <v>4</v>
      </c>
      <c r="AQ99" s="23">
        <f>VALUE(0)</f>
        <v>0</v>
      </c>
      <c r="AR99" s="23">
        <f>VALUE(0)</f>
        <v>0</v>
      </c>
      <c r="AS99" s="23">
        <f>VALUE(3)</f>
        <v>3</v>
      </c>
      <c r="AT99" s="23">
        <f>VALUE(0)</f>
        <v>0</v>
      </c>
      <c r="AU99" s="23">
        <f>VALUE(0)</f>
        <v>0</v>
      </c>
      <c r="AV99" s="23">
        <f>VALUE(2)</f>
        <v>2</v>
      </c>
      <c r="AW99" s="23">
        <f>VALUE(0)</f>
        <v>0</v>
      </c>
      <c r="AX99" s="23" t="s">
        <v>158</v>
      </c>
      <c r="AY99" s="23" t="s">
        <v>171</v>
      </c>
      <c r="AZ99" s="23">
        <f>VALUE(0)</f>
        <v>0</v>
      </c>
      <c r="BA99" s="23">
        <f>VALUE(0)</f>
        <v>0</v>
      </c>
      <c r="BB99" s="23">
        <f>VALUE(0)</f>
        <v>0</v>
      </c>
      <c r="BC99" s="23">
        <f>VALUE(0)</f>
        <v>0</v>
      </c>
      <c r="BD99" s="23">
        <f>VALUE(0)</f>
        <v>0</v>
      </c>
      <c r="BE99" s="23">
        <f>VALUE(0)</f>
        <v>0</v>
      </c>
      <c r="BF99" s="23">
        <f>VALUE(0)</f>
        <v>0</v>
      </c>
      <c r="BG99" s="23">
        <f>VALUE(0)</f>
        <v>0</v>
      </c>
      <c r="BH99" s="23">
        <f>VALUE(0)</f>
        <v>0</v>
      </c>
      <c r="BI99" s="23">
        <f>VALUE(0)</f>
        <v>0</v>
      </c>
      <c r="BJ99" s="23">
        <f>VALUE(0)</f>
        <v>0</v>
      </c>
      <c r="BK99" s="12">
        <f>$AX$99*24</f>
        <v>11.666666666666666</v>
      </c>
      <c r="BL99" s="12">
        <f>$AY$99*24</f>
        <v>5.833333333333333</v>
      </c>
      <c r="BM99" s="12">
        <f>$BJ$99*24</f>
        <v>0</v>
      </c>
      <c r="BN99" s="12">
        <f>VALUE($I$99)/100</f>
        <v>1</v>
      </c>
      <c r="BO99" s="12">
        <v>0</v>
      </c>
      <c r="BP99" s="12">
        <v>0</v>
      </c>
      <c r="BQ99" s="12">
        <v>0</v>
      </c>
      <c r="BR99" s="12">
        <v>0</v>
      </c>
      <c r="BS99" s="12">
        <v>0</v>
      </c>
      <c r="BT99" s="12">
        <v>0</v>
      </c>
      <c r="BU99" s="12">
        <v>0</v>
      </c>
      <c r="BV99" s="12">
        <v>0</v>
      </c>
      <c r="BW99" s="12">
        <v>0</v>
      </c>
      <c r="BX99" s="12">
        <v>0</v>
      </c>
      <c r="BY99" s="12">
        <v>0</v>
      </c>
      <c r="BZ99" s="12">
        <v>0</v>
      </c>
      <c r="CA99" s="12">
        <v>0</v>
      </c>
    </row>
    <row r="100" spans="1:79" ht="15" hidden="1" x14ac:dyDescent="0.25">
      <c r="A100" s="12" t="s">
        <v>102</v>
      </c>
      <c r="B100" s="12" t="s">
        <v>112</v>
      </c>
      <c r="C100" s="12" t="s">
        <v>112</v>
      </c>
      <c r="D100" s="31" t="s">
        <v>590</v>
      </c>
      <c r="E100" s="31" t="s">
        <v>153</v>
      </c>
      <c r="F100" s="31" t="s">
        <v>175</v>
      </c>
      <c r="G100" s="31" t="s">
        <v>153</v>
      </c>
      <c r="H100" s="31" t="s">
        <v>153</v>
      </c>
      <c r="I100" s="31" t="s">
        <v>153</v>
      </c>
      <c r="J100" s="31" t="s">
        <v>153</v>
      </c>
      <c r="K100" s="31" t="s">
        <v>153</v>
      </c>
      <c r="L100" s="31">
        <f>VALUE(0)</f>
        <v>0</v>
      </c>
      <c r="M100" s="31">
        <f>VALUE(5)</f>
        <v>5</v>
      </c>
      <c r="N100" s="31">
        <f>VALUE(0)</f>
        <v>0</v>
      </c>
      <c r="O100" s="31">
        <f>VALUE(6)</f>
        <v>6</v>
      </c>
      <c r="P100" s="31">
        <f>VALUE(6)</f>
        <v>6</v>
      </c>
      <c r="Q100" s="31">
        <f>VALUE(7)</f>
        <v>7</v>
      </c>
      <c r="R100" s="31">
        <f>VALUE(7)</f>
        <v>7</v>
      </c>
      <c r="S100" s="31">
        <f>VALUE(7)</f>
        <v>7</v>
      </c>
      <c r="T100" s="31">
        <f>VALUE(7)</f>
        <v>7</v>
      </c>
      <c r="U100" s="31">
        <f>VALUE(0)</f>
        <v>0</v>
      </c>
      <c r="V100" s="31">
        <f>VALUE(0)</f>
        <v>0</v>
      </c>
      <c r="W100" s="31">
        <f>VALUE(6)</f>
        <v>6</v>
      </c>
      <c r="X100" s="31">
        <f>VALUE(6)</f>
        <v>6</v>
      </c>
      <c r="Y100" s="31">
        <f>VALUE(6)</f>
        <v>6</v>
      </c>
      <c r="Z100" s="31">
        <f>VALUE(5)</f>
        <v>5</v>
      </c>
      <c r="AA100" s="31">
        <f>VALUE(6)</f>
        <v>6</v>
      </c>
      <c r="AB100" s="31">
        <f>VALUE(0)</f>
        <v>0</v>
      </c>
      <c r="AC100" s="31">
        <f>VALUE(4)</f>
        <v>4</v>
      </c>
      <c r="AD100" s="31">
        <f>VALUE(4)</f>
        <v>4</v>
      </c>
      <c r="AE100" s="31">
        <f>VALUE(4)</f>
        <v>4</v>
      </c>
      <c r="AF100" s="31">
        <f>VALUE(4)</f>
        <v>4</v>
      </c>
      <c r="AG100" s="31">
        <f>VALUE(4)</f>
        <v>4</v>
      </c>
      <c r="AH100" s="31">
        <f>VALUE(4)</f>
        <v>4</v>
      </c>
      <c r="AI100" s="31">
        <f>VALUE(0)</f>
        <v>0</v>
      </c>
      <c r="AJ100" s="31">
        <f>VALUE(6)</f>
        <v>6</v>
      </c>
      <c r="AK100" s="31">
        <f>VALUE(6)</f>
        <v>6</v>
      </c>
      <c r="AL100" s="31">
        <f>VALUE(6)</f>
        <v>6</v>
      </c>
      <c r="AM100" s="31">
        <f>VALUE(6)</f>
        <v>6</v>
      </c>
      <c r="AN100" s="31">
        <f>VALUE(6)</f>
        <v>6</v>
      </c>
      <c r="AO100" s="31">
        <f>VALUE(6)</f>
        <v>6</v>
      </c>
      <c r="AP100" s="31">
        <v>0</v>
      </c>
      <c r="AQ100" s="31">
        <v>0</v>
      </c>
      <c r="AR100" s="31">
        <v>0</v>
      </c>
      <c r="AS100" s="31">
        <v>0</v>
      </c>
      <c r="AT100" s="31">
        <v>0</v>
      </c>
      <c r="AU100" s="31">
        <v>0</v>
      </c>
      <c r="AV100" s="31">
        <v>0</v>
      </c>
      <c r="AW100" s="31">
        <v>0</v>
      </c>
      <c r="AX100" s="31">
        <v>0</v>
      </c>
      <c r="AY100" s="31">
        <v>0</v>
      </c>
      <c r="AZ100" s="31">
        <v>0</v>
      </c>
      <c r="BA100" s="31">
        <v>0</v>
      </c>
      <c r="BB100" s="31">
        <v>0</v>
      </c>
      <c r="BC100" s="31">
        <v>0</v>
      </c>
      <c r="BD100" s="31">
        <v>0</v>
      </c>
      <c r="BE100" s="31">
        <v>0</v>
      </c>
      <c r="BF100" s="31">
        <v>0</v>
      </c>
      <c r="BG100" s="31">
        <v>0</v>
      </c>
      <c r="BH100" s="31">
        <v>0</v>
      </c>
      <c r="BI100" s="31">
        <v>0</v>
      </c>
      <c r="BJ100" s="31">
        <v>0</v>
      </c>
      <c r="BK100" s="12">
        <v>0</v>
      </c>
      <c r="BL100" s="12">
        <v>0</v>
      </c>
      <c r="BM100" s="12">
        <v>0</v>
      </c>
      <c r="BN100" s="12"/>
      <c r="BO100" s="12">
        <v>0</v>
      </c>
      <c r="BP100" s="12">
        <v>0</v>
      </c>
      <c r="BQ100" s="12">
        <v>0</v>
      </c>
      <c r="BR100" s="12">
        <v>0</v>
      </c>
      <c r="BS100" s="12">
        <v>0</v>
      </c>
      <c r="BT100" s="12">
        <v>0</v>
      </c>
      <c r="BU100" s="12">
        <v>0</v>
      </c>
      <c r="BV100" s="12">
        <v>0</v>
      </c>
      <c r="BW100" s="12">
        <v>0</v>
      </c>
      <c r="BX100" s="12">
        <v>0</v>
      </c>
      <c r="BY100" s="12">
        <v>0</v>
      </c>
      <c r="BZ100" s="12">
        <v>0</v>
      </c>
      <c r="CA100" s="12">
        <v>0</v>
      </c>
    </row>
    <row r="101" spans="1:79" hidden="1" x14ac:dyDescent="0.2">
      <c r="A101" s="12" t="s">
        <v>113</v>
      </c>
      <c r="B101" s="12" t="s">
        <v>114</v>
      </c>
      <c r="C101" s="12" t="s">
        <v>114</v>
      </c>
      <c r="D101" s="22" t="s">
        <v>334</v>
      </c>
      <c r="E101" s="22" t="s">
        <v>149</v>
      </c>
      <c r="F101" s="22" t="s">
        <v>749</v>
      </c>
      <c r="G101" s="22" t="s">
        <v>750</v>
      </c>
      <c r="H101" s="22" t="s">
        <v>150</v>
      </c>
      <c r="I101" s="22" t="s">
        <v>151</v>
      </c>
      <c r="J101" s="22" t="s">
        <v>335</v>
      </c>
      <c r="K101" s="22" t="s">
        <v>74</v>
      </c>
      <c r="L101" s="54" t="s">
        <v>153</v>
      </c>
      <c r="M101" s="24" t="s">
        <v>153</v>
      </c>
      <c r="N101" s="24" t="s">
        <v>153</v>
      </c>
      <c r="O101" s="23" t="s">
        <v>153</v>
      </c>
      <c r="P101" s="23" t="s">
        <v>153</v>
      </c>
      <c r="Q101" s="24" t="s">
        <v>156</v>
      </c>
      <c r="R101" s="23" t="s">
        <v>153</v>
      </c>
      <c r="S101" s="23" t="s">
        <v>153</v>
      </c>
      <c r="T101" s="24" t="s">
        <v>153</v>
      </c>
      <c r="U101" s="24" t="s">
        <v>153</v>
      </c>
      <c r="V101" s="54" t="s">
        <v>153</v>
      </c>
      <c r="W101" s="23" t="s">
        <v>153</v>
      </c>
      <c r="X101" s="23" t="s">
        <v>153</v>
      </c>
      <c r="Y101" s="23" t="s">
        <v>153</v>
      </c>
      <c r="Z101" s="23" t="s">
        <v>153</v>
      </c>
      <c r="AA101" s="24" t="s">
        <v>153</v>
      </c>
      <c r="AB101" s="24" t="s">
        <v>153</v>
      </c>
      <c r="AC101" s="23" t="s">
        <v>153</v>
      </c>
      <c r="AD101" s="23" t="s">
        <v>153</v>
      </c>
      <c r="AE101" s="24" t="s">
        <v>156</v>
      </c>
      <c r="AF101" s="23" t="s">
        <v>153</v>
      </c>
      <c r="AG101" s="23" t="s">
        <v>153</v>
      </c>
      <c r="AH101" s="24" t="s">
        <v>153</v>
      </c>
      <c r="AI101" s="24" t="s">
        <v>153</v>
      </c>
      <c r="AJ101" s="23" t="s">
        <v>153</v>
      </c>
      <c r="AK101" s="23" t="s">
        <v>153</v>
      </c>
      <c r="AL101" s="23" t="s">
        <v>153</v>
      </c>
      <c r="AM101" s="23" t="s">
        <v>153</v>
      </c>
      <c r="AN101" s="23" t="s">
        <v>153</v>
      </c>
      <c r="AO101" s="24" t="s">
        <v>153</v>
      </c>
      <c r="AP101" s="23">
        <f>VALUE(0)</f>
        <v>0</v>
      </c>
      <c r="AQ101" s="23">
        <f>VALUE(0)</f>
        <v>0</v>
      </c>
      <c r="AR101" s="23">
        <f>VALUE(0)</f>
        <v>0</v>
      </c>
      <c r="AS101" s="23">
        <f>VALUE(0)</f>
        <v>0</v>
      </c>
      <c r="AT101" s="23">
        <f>VALUE(0)</f>
        <v>0</v>
      </c>
      <c r="AU101" s="23">
        <f>VALUE(0)</f>
        <v>0</v>
      </c>
      <c r="AV101" s="23">
        <f>VALUE(6)</f>
        <v>6</v>
      </c>
      <c r="AW101" s="23">
        <f>VALUE(0)</f>
        <v>0</v>
      </c>
      <c r="AX101" s="23" t="s">
        <v>1199</v>
      </c>
      <c r="AY101" s="23">
        <f>VALUE(0)</f>
        <v>0</v>
      </c>
      <c r="AZ101" s="23">
        <f>VALUE(0)</f>
        <v>0</v>
      </c>
      <c r="BA101" s="23">
        <f>VALUE(0)</f>
        <v>0</v>
      </c>
      <c r="BB101" s="23">
        <f>VALUE(0)</f>
        <v>0</v>
      </c>
      <c r="BC101" s="23">
        <f>VALUE(0)</f>
        <v>0</v>
      </c>
      <c r="BD101" s="23">
        <f>VALUE(0)</f>
        <v>0</v>
      </c>
      <c r="BE101" s="23">
        <f>VALUE(0)</f>
        <v>0</v>
      </c>
      <c r="BF101" s="23">
        <f>VALUE(0)</f>
        <v>0</v>
      </c>
      <c r="BG101" s="23">
        <f>VALUE(0)</f>
        <v>0</v>
      </c>
      <c r="BH101" s="23">
        <f>VALUE(0)</f>
        <v>0</v>
      </c>
      <c r="BI101" s="23">
        <f>VALUE(0)</f>
        <v>0</v>
      </c>
      <c r="BJ101" s="23">
        <f>VALUE(0)</f>
        <v>0</v>
      </c>
      <c r="BK101" s="12">
        <f>$AX$101*24</f>
        <v>7</v>
      </c>
      <c r="BL101" s="12">
        <f>$AY$101*24</f>
        <v>0</v>
      </c>
      <c r="BM101" s="12">
        <f>$BJ$101*24</f>
        <v>0</v>
      </c>
      <c r="BN101" s="12">
        <f>VALUE($I$101)/100</f>
        <v>1</v>
      </c>
      <c r="BO101" s="12">
        <v>0</v>
      </c>
      <c r="BP101" s="12">
        <v>0</v>
      </c>
      <c r="BQ101" s="12">
        <v>0</v>
      </c>
      <c r="BR101" s="12">
        <v>0</v>
      </c>
      <c r="BS101" s="12">
        <v>0</v>
      </c>
      <c r="BT101" s="12">
        <v>0</v>
      </c>
      <c r="BU101" s="12">
        <v>0</v>
      </c>
      <c r="BV101" s="12">
        <v>0</v>
      </c>
      <c r="BW101" s="12">
        <v>0</v>
      </c>
      <c r="BX101" s="12">
        <v>0</v>
      </c>
      <c r="BY101" s="12">
        <v>0</v>
      </c>
      <c r="BZ101" s="12">
        <v>0</v>
      </c>
      <c r="CA101" s="12">
        <v>0</v>
      </c>
    </row>
    <row r="102" spans="1:79" ht="15" hidden="1" x14ac:dyDescent="0.25">
      <c r="A102" s="12" t="s">
        <v>113</v>
      </c>
      <c r="B102" s="12" t="s">
        <v>114</v>
      </c>
      <c r="C102" s="12" t="s">
        <v>114</v>
      </c>
      <c r="D102" s="31" t="s">
        <v>262</v>
      </c>
      <c r="E102" s="31" t="s">
        <v>153</v>
      </c>
      <c r="F102" s="31" t="s">
        <v>175</v>
      </c>
      <c r="G102" s="31" t="s">
        <v>153</v>
      </c>
      <c r="H102" s="31" t="s">
        <v>153</v>
      </c>
      <c r="I102" s="31" t="s">
        <v>153</v>
      </c>
      <c r="J102" s="31" t="s">
        <v>153</v>
      </c>
      <c r="K102" s="31" t="s">
        <v>153</v>
      </c>
      <c r="L102" s="31">
        <f>VALUE(0)</f>
        <v>0</v>
      </c>
      <c r="M102" s="31">
        <f>VALUE(0)</f>
        <v>0</v>
      </c>
      <c r="N102" s="31">
        <f>VALUE(0)</f>
        <v>0</v>
      </c>
      <c r="O102" s="31">
        <f>VALUE(1)</f>
        <v>1</v>
      </c>
      <c r="P102" s="31">
        <f>VALUE(1)</f>
        <v>1</v>
      </c>
      <c r="Q102" s="31">
        <f>VALUE(0)</f>
        <v>0</v>
      </c>
      <c r="R102" s="31">
        <f>VALUE(1)</f>
        <v>1</v>
      </c>
      <c r="S102" s="31">
        <f>VALUE(1)</f>
        <v>1</v>
      </c>
      <c r="T102" s="31">
        <f>VALUE(0)</f>
        <v>0</v>
      </c>
      <c r="U102" s="31">
        <f>VALUE(0)</f>
        <v>0</v>
      </c>
      <c r="V102" s="31">
        <f>VALUE(0)</f>
        <v>0</v>
      </c>
      <c r="W102" s="31">
        <f>VALUE(1)</f>
        <v>1</v>
      </c>
      <c r="X102" s="31">
        <f>VALUE(1)</f>
        <v>1</v>
      </c>
      <c r="Y102" s="31">
        <f>VALUE(1)</f>
        <v>1</v>
      </c>
      <c r="Z102" s="31">
        <f>VALUE(1)</f>
        <v>1</v>
      </c>
      <c r="AA102" s="31">
        <f>VALUE(0)</f>
        <v>0</v>
      </c>
      <c r="AB102" s="31">
        <f>VALUE(0)</f>
        <v>0</v>
      </c>
      <c r="AC102" s="31">
        <f>VALUE(1)</f>
        <v>1</v>
      </c>
      <c r="AD102" s="31">
        <f>VALUE(1)</f>
        <v>1</v>
      </c>
      <c r="AE102" s="31">
        <f>VALUE(0)</f>
        <v>0</v>
      </c>
      <c r="AF102" s="31">
        <f>VALUE(1)</f>
        <v>1</v>
      </c>
      <c r="AG102" s="31">
        <f>VALUE(1)</f>
        <v>1</v>
      </c>
      <c r="AH102" s="31">
        <f>VALUE(0)</f>
        <v>0</v>
      </c>
      <c r="AI102" s="31">
        <f>VALUE(0)</f>
        <v>0</v>
      </c>
      <c r="AJ102" s="31">
        <f>VALUE(1)</f>
        <v>1</v>
      </c>
      <c r="AK102" s="31">
        <f>VALUE(1)</f>
        <v>1</v>
      </c>
      <c r="AL102" s="31">
        <f>VALUE(1)</f>
        <v>1</v>
      </c>
      <c r="AM102" s="31">
        <f>VALUE(1)</f>
        <v>1</v>
      </c>
      <c r="AN102" s="31">
        <f>VALUE(1)</f>
        <v>1</v>
      </c>
      <c r="AO102" s="31">
        <f>VALUE(0)</f>
        <v>0</v>
      </c>
      <c r="AP102" s="31">
        <v>0</v>
      </c>
      <c r="AQ102" s="31">
        <v>0</v>
      </c>
      <c r="AR102" s="31">
        <v>0</v>
      </c>
      <c r="AS102" s="31">
        <v>0</v>
      </c>
      <c r="AT102" s="31">
        <v>0</v>
      </c>
      <c r="AU102" s="31">
        <v>0</v>
      </c>
      <c r="AV102" s="31">
        <v>0</v>
      </c>
      <c r="AW102" s="31">
        <v>0</v>
      </c>
      <c r="AX102" s="31">
        <v>0</v>
      </c>
      <c r="AY102" s="31">
        <v>0</v>
      </c>
      <c r="AZ102" s="31">
        <v>0</v>
      </c>
      <c r="BA102" s="31">
        <v>0</v>
      </c>
      <c r="BB102" s="31">
        <v>0</v>
      </c>
      <c r="BC102" s="31">
        <v>0</v>
      </c>
      <c r="BD102" s="31">
        <v>0</v>
      </c>
      <c r="BE102" s="31">
        <v>0</v>
      </c>
      <c r="BF102" s="31">
        <v>0</v>
      </c>
      <c r="BG102" s="31">
        <v>0</v>
      </c>
      <c r="BH102" s="31">
        <v>0</v>
      </c>
      <c r="BI102" s="31">
        <v>0</v>
      </c>
      <c r="BJ102" s="31">
        <v>0</v>
      </c>
      <c r="BK102" s="12">
        <v>0</v>
      </c>
      <c r="BL102" s="12">
        <v>0</v>
      </c>
      <c r="BM102" s="12">
        <v>0</v>
      </c>
      <c r="BN102" s="12"/>
      <c r="BO102" s="12">
        <v>0</v>
      </c>
      <c r="BP102" s="12">
        <v>0</v>
      </c>
      <c r="BQ102" s="12">
        <v>0</v>
      </c>
      <c r="BR102" s="12">
        <v>0</v>
      </c>
      <c r="BS102" s="12">
        <v>0</v>
      </c>
      <c r="BT102" s="12">
        <v>0</v>
      </c>
      <c r="BU102" s="12">
        <v>0</v>
      </c>
      <c r="BV102" s="12">
        <v>0</v>
      </c>
      <c r="BW102" s="12">
        <v>0</v>
      </c>
      <c r="BX102" s="12">
        <v>0</v>
      </c>
      <c r="BY102" s="12">
        <v>0</v>
      </c>
      <c r="BZ102" s="12">
        <v>0</v>
      </c>
      <c r="CA102" s="12">
        <v>0</v>
      </c>
    </row>
    <row r="103" spans="1:79" hidden="1" x14ac:dyDescent="0.2">
      <c r="A103" s="12" t="s">
        <v>113</v>
      </c>
      <c r="B103" s="12" t="s">
        <v>115</v>
      </c>
      <c r="C103" s="12" t="s">
        <v>115</v>
      </c>
      <c r="D103" s="22" t="s">
        <v>336</v>
      </c>
      <c r="E103" s="22" t="s">
        <v>149</v>
      </c>
      <c r="F103" s="22" t="s">
        <v>749</v>
      </c>
      <c r="G103" s="22" t="s">
        <v>750</v>
      </c>
      <c r="H103" s="22" t="s">
        <v>166</v>
      </c>
      <c r="I103" s="22" t="s">
        <v>151</v>
      </c>
      <c r="J103" s="22" t="s">
        <v>337</v>
      </c>
      <c r="K103" s="22" t="s">
        <v>75</v>
      </c>
      <c r="L103" s="54" t="s">
        <v>153</v>
      </c>
      <c r="M103" s="24" t="s">
        <v>153</v>
      </c>
      <c r="N103" s="24" t="s">
        <v>153</v>
      </c>
      <c r="O103" s="23" t="s">
        <v>153</v>
      </c>
      <c r="P103" s="23" t="s">
        <v>153</v>
      </c>
      <c r="Q103" s="23" t="s">
        <v>153</v>
      </c>
      <c r="R103" s="23" t="s">
        <v>153</v>
      </c>
      <c r="S103" s="23" t="s">
        <v>153</v>
      </c>
      <c r="T103" s="24" t="s">
        <v>153</v>
      </c>
      <c r="U103" s="24" t="s">
        <v>153</v>
      </c>
      <c r="V103" s="54" t="s">
        <v>153</v>
      </c>
      <c r="W103" s="23" t="s">
        <v>153</v>
      </c>
      <c r="X103" s="23" t="s">
        <v>153</v>
      </c>
      <c r="Y103" s="23" t="s">
        <v>153</v>
      </c>
      <c r="Z103" s="23" t="s">
        <v>153</v>
      </c>
      <c r="AA103" s="24" t="s">
        <v>153</v>
      </c>
      <c r="AB103" s="24" t="s">
        <v>153</v>
      </c>
      <c r="AC103" s="23" t="s">
        <v>153</v>
      </c>
      <c r="AD103" s="23" t="s">
        <v>153</v>
      </c>
      <c r="AE103" s="23" t="s">
        <v>153</v>
      </c>
      <c r="AF103" s="23" t="s">
        <v>153</v>
      </c>
      <c r="AG103" s="23" t="s">
        <v>153</v>
      </c>
      <c r="AH103" s="24" t="s">
        <v>153</v>
      </c>
      <c r="AI103" s="24" t="s">
        <v>153</v>
      </c>
      <c r="AJ103" s="23" t="s">
        <v>153</v>
      </c>
      <c r="AK103" s="23" t="s">
        <v>153</v>
      </c>
      <c r="AL103" s="23" t="s">
        <v>153</v>
      </c>
      <c r="AM103" s="23" t="s">
        <v>153</v>
      </c>
      <c r="AN103" s="23" t="s">
        <v>153</v>
      </c>
      <c r="AO103" s="24" t="s">
        <v>153</v>
      </c>
      <c r="AP103" s="23">
        <f>VALUE(0)</f>
        <v>0</v>
      </c>
      <c r="AQ103" s="23">
        <f>VALUE(0)</f>
        <v>0</v>
      </c>
      <c r="AR103" s="23">
        <f>VALUE(0)</f>
        <v>0</v>
      </c>
      <c r="AS103" s="23">
        <f>VALUE(0)</f>
        <v>0</v>
      </c>
      <c r="AT103" s="23">
        <f>VALUE(0)</f>
        <v>0</v>
      </c>
      <c r="AU103" s="23">
        <f>VALUE(0)</f>
        <v>0</v>
      </c>
      <c r="AV103" s="23">
        <f>VALUE(4)</f>
        <v>4</v>
      </c>
      <c r="AW103" s="23">
        <f>VALUE(0)</f>
        <v>0</v>
      </c>
      <c r="AX103" s="23">
        <f>VALUE(0)</f>
        <v>0</v>
      </c>
      <c r="AY103" s="23">
        <f>VALUE(0)</f>
        <v>0</v>
      </c>
      <c r="AZ103" s="23">
        <f>VALUE(0)</f>
        <v>0</v>
      </c>
      <c r="BA103" s="23">
        <f>VALUE(0)</f>
        <v>0</v>
      </c>
      <c r="BB103" s="23">
        <f>VALUE(0)</f>
        <v>0</v>
      </c>
      <c r="BC103" s="23">
        <f>VALUE(0)</f>
        <v>0</v>
      </c>
      <c r="BD103" s="23">
        <f>VALUE(0)</f>
        <v>0</v>
      </c>
      <c r="BE103" s="23">
        <f>VALUE(0)</f>
        <v>0</v>
      </c>
      <c r="BF103" s="23">
        <f>VALUE(0)</f>
        <v>0</v>
      </c>
      <c r="BG103" s="23">
        <f>VALUE(0)</f>
        <v>0</v>
      </c>
      <c r="BH103" s="23">
        <f>VALUE(0)</f>
        <v>0</v>
      </c>
      <c r="BI103" s="23">
        <f>VALUE(0)</f>
        <v>0</v>
      </c>
      <c r="BJ103" s="23">
        <f>VALUE(0)</f>
        <v>0</v>
      </c>
      <c r="BK103" s="12">
        <f>$AX$103*24</f>
        <v>0</v>
      </c>
      <c r="BL103" s="12">
        <f>$AY$103*24</f>
        <v>0</v>
      </c>
      <c r="BM103" s="12">
        <f>$BJ$103*24</f>
        <v>0</v>
      </c>
      <c r="BN103" s="12">
        <f>VALUE($I$103)/100</f>
        <v>1</v>
      </c>
      <c r="BO103" s="12">
        <v>0</v>
      </c>
      <c r="BP103" s="12">
        <v>0</v>
      </c>
      <c r="BQ103" s="12">
        <v>0</v>
      </c>
      <c r="BR103" s="12">
        <v>0</v>
      </c>
      <c r="BS103" s="12">
        <v>0</v>
      </c>
      <c r="BT103" s="12">
        <v>0</v>
      </c>
      <c r="BU103" s="12">
        <v>0</v>
      </c>
      <c r="BV103" s="12">
        <v>0</v>
      </c>
      <c r="BW103" s="12">
        <v>0</v>
      </c>
      <c r="BX103" s="12">
        <v>0</v>
      </c>
      <c r="BY103" s="12">
        <v>0</v>
      </c>
      <c r="BZ103" s="12">
        <v>0</v>
      </c>
      <c r="CA103" s="12">
        <v>0</v>
      </c>
    </row>
    <row r="104" spans="1:79" hidden="1" x14ac:dyDescent="0.2">
      <c r="A104" s="12" t="s">
        <v>113</v>
      </c>
      <c r="B104" s="12" t="s">
        <v>115</v>
      </c>
      <c r="C104" s="12" t="s">
        <v>115</v>
      </c>
      <c r="D104" s="22" t="s">
        <v>339</v>
      </c>
      <c r="E104" s="22" t="s">
        <v>173</v>
      </c>
      <c r="F104" s="22" t="s">
        <v>1200</v>
      </c>
      <c r="G104" s="22" t="s">
        <v>751</v>
      </c>
      <c r="H104" s="22" t="s">
        <v>166</v>
      </c>
      <c r="I104" s="22" t="s">
        <v>151</v>
      </c>
      <c r="J104" s="22" t="s">
        <v>340</v>
      </c>
      <c r="K104" s="22" t="s">
        <v>75</v>
      </c>
      <c r="L104" s="54" t="s">
        <v>153</v>
      </c>
      <c r="M104" s="24" t="s">
        <v>153</v>
      </c>
      <c r="N104" s="24" t="s">
        <v>153</v>
      </c>
      <c r="O104" s="23" t="s">
        <v>153</v>
      </c>
      <c r="P104" s="23" t="s">
        <v>153</v>
      </c>
      <c r="Q104" s="23" t="s">
        <v>153</v>
      </c>
      <c r="R104" s="23" t="s">
        <v>153</v>
      </c>
      <c r="S104" s="23" t="s">
        <v>153</v>
      </c>
      <c r="T104" s="24" t="s">
        <v>153</v>
      </c>
      <c r="U104" s="24" t="s">
        <v>153</v>
      </c>
      <c r="V104" s="54" t="s">
        <v>153</v>
      </c>
      <c r="W104" s="23" t="s">
        <v>153</v>
      </c>
      <c r="X104" s="23" t="s">
        <v>153</v>
      </c>
      <c r="Y104" s="23" t="s">
        <v>153</v>
      </c>
      <c r="Z104" s="23" t="s">
        <v>153</v>
      </c>
      <c r="AA104" s="24" t="s">
        <v>153</v>
      </c>
      <c r="AB104" s="24" t="s">
        <v>153</v>
      </c>
      <c r="AC104" s="23" t="s">
        <v>153</v>
      </c>
      <c r="AD104" s="23" t="s">
        <v>153</v>
      </c>
      <c r="AE104" s="23" t="s">
        <v>153</v>
      </c>
      <c r="AF104" s="23" t="s">
        <v>153</v>
      </c>
      <c r="AG104" s="23" t="s">
        <v>153</v>
      </c>
      <c r="AH104" s="24" t="s">
        <v>153</v>
      </c>
      <c r="AI104" s="24" t="s">
        <v>153</v>
      </c>
      <c r="AJ104" s="23" t="s">
        <v>153</v>
      </c>
      <c r="AK104" s="23" t="s">
        <v>153</v>
      </c>
      <c r="AL104" s="23" t="s">
        <v>153</v>
      </c>
      <c r="AM104" s="23" t="s">
        <v>153</v>
      </c>
      <c r="AN104" s="23" t="s">
        <v>153</v>
      </c>
      <c r="AO104" s="24" t="s">
        <v>153</v>
      </c>
      <c r="AP104" s="23">
        <f>VALUE(0)</f>
        <v>0</v>
      </c>
      <c r="AQ104" s="23">
        <f>VALUE(0)</f>
        <v>0</v>
      </c>
      <c r="AR104" s="23">
        <f>VALUE(0)</f>
        <v>0</v>
      </c>
      <c r="AS104" s="23">
        <f>VALUE(0)</f>
        <v>0</v>
      </c>
      <c r="AT104" s="23">
        <f>VALUE(0)</f>
        <v>0</v>
      </c>
      <c r="AU104" s="23">
        <f>VALUE(0)</f>
        <v>0</v>
      </c>
      <c r="AV104" s="23">
        <f>VALUE(6)</f>
        <v>6</v>
      </c>
      <c r="AW104" s="23">
        <f>VALUE(0)</f>
        <v>0</v>
      </c>
      <c r="AX104" s="23" t="s">
        <v>341</v>
      </c>
      <c r="AY104" s="23">
        <f>VALUE(0)</f>
        <v>0</v>
      </c>
      <c r="AZ104" s="23">
        <f>VALUE(0)</f>
        <v>0</v>
      </c>
      <c r="BA104" s="23">
        <f>VALUE(0)</f>
        <v>0</v>
      </c>
      <c r="BB104" s="23">
        <f>VALUE(0)</f>
        <v>0</v>
      </c>
      <c r="BC104" s="23">
        <f>VALUE(0)</f>
        <v>0</v>
      </c>
      <c r="BD104" s="23">
        <f>VALUE(0)</f>
        <v>0</v>
      </c>
      <c r="BE104" s="23">
        <f>VALUE(0)</f>
        <v>0</v>
      </c>
      <c r="BF104" s="23">
        <f>VALUE(0)</f>
        <v>0</v>
      </c>
      <c r="BG104" s="23">
        <f>VALUE(0)</f>
        <v>0</v>
      </c>
      <c r="BH104" s="23">
        <f>VALUE(0)</f>
        <v>0</v>
      </c>
      <c r="BI104" s="23">
        <f>VALUE(0)</f>
        <v>0</v>
      </c>
      <c r="BJ104" s="23">
        <f>VALUE(0)</f>
        <v>0</v>
      </c>
      <c r="BK104" s="12">
        <f>$AX$104*24</f>
        <v>0.78333333333333344</v>
      </c>
      <c r="BL104" s="12">
        <f>$AY$104*24</f>
        <v>0</v>
      </c>
      <c r="BM104" s="12">
        <f>$BJ$104*24</f>
        <v>0</v>
      </c>
      <c r="BN104" s="12">
        <f>VALUE($I$104)/100</f>
        <v>1</v>
      </c>
      <c r="BO104" s="12">
        <v>0</v>
      </c>
      <c r="BP104" s="12">
        <v>0</v>
      </c>
      <c r="BQ104" s="12">
        <v>0</v>
      </c>
      <c r="BR104" s="12">
        <v>0</v>
      </c>
      <c r="BS104" s="12">
        <v>0</v>
      </c>
      <c r="BT104" s="12">
        <v>0</v>
      </c>
      <c r="BU104" s="12">
        <v>0</v>
      </c>
      <c r="BV104" s="12">
        <v>0</v>
      </c>
      <c r="BW104" s="12">
        <v>0</v>
      </c>
      <c r="BX104" s="12">
        <v>0</v>
      </c>
      <c r="BY104" s="12">
        <v>0</v>
      </c>
      <c r="BZ104" s="12">
        <v>0</v>
      </c>
      <c r="CA104" s="12">
        <v>0</v>
      </c>
    </row>
    <row r="105" spans="1:79" ht="15" hidden="1" x14ac:dyDescent="0.25">
      <c r="A105" s="12" t="s">
        <v>113</v>
      </c>
      <c r="B105" s="12" t="s">
        <v>115</v>
      </c>
      <c r="C105" s="12" t="s">
        <v>115</v>
      </c>
      <c r="D105" s="31" t="s">
        <v>246</v>
      </c>
      <c r="E105" s="31" t="s">
        <v>153</v>
      </c>
      <c r="F105" s="31" t="s">
        <v>175</v>
      </c>
      <c r="G105" s="31" t="s">
        <v>153</v>
      </c>
      <c r="H105" s="31" t="s">
        <v>153</v>
      </c>
      <c r="I105" s="31" t="s">
        <v>153</v>
      </c>
      <c r="J105" s="31" t="s">
        <v>153</v>
      </c>
      <c r="K105" s="31" t="s">
        <v>153</v>
      </c>
      <c r="L105" s="31">
        <f>VALUE(0)</f>
        <v>0</v>
      </c>
      <c r="M105" s="31">
        <f>VALUE(0)</f>
        <v>0</v>
      </c>
      <c r="N105" s="31">
        <f>VALUE(0)</f>
        <v>0</v>
      </c>
      <c r="O105" s="31">
        <f>VALUE(2)</f>
        <v>2</v>
      </c>
      <c r="P105" s="31">
        <f>VALUE(2)</f>
        <v>2</v>
      </c>
      <c r="Q105" s="31">
        <f>VALUE(2)</f>
        <v>2</v>
      </c>
      <c r="R105" s="31">
        <f>VALUE(2)</f>
        <v>2</v>
      </c>
      <c r="S105" s="31">
        <f>VALUE(2)</f>
        <v>2</v>
      </c>
      <c r="T105" s="31">
        <f>VALUE(0)</f>
        <v>0</v>
      </c>
      <c r="U105" s="31">
        <f>VALUE(0)</f>
        <v>0</v>
      </c>
      <c r="V105" s="31">
        <f>VALUE(0)</f>
        <v>0</v>
      </c>
      <c r="W105" s="31">
        <f>VALUE(2)</f>
        <v>2</v>
      </c>
      <c r="X105" s="31">
        <f>VALUE(2)</f>
        <v>2</v>
      </c>
      <c r="Y105" s="31">
        <f>VALUE(2)</f>
        <v>2</v>
      </c>
      <c r="Z105" s="31">
        <f>VALUE(2)</f>
        <v>2</v>
      </c>
      <c r="AA105" s="31">
        <f>VALUE(0)</f>
        <v>0</v>
      </c>
      <c r="AB105" s="31">
        <f>VALUE(0)</f>
        <v>0</v>
      </c>
      <c r="AC105" s="31">
        <f>VALUE(2)</f>
        <v>2</v>
      </c>
      <c r="AD105" s="31">
        <f>VALUE(2)</f>
        <v>2</v>
      </c>
      <c r="AE105" s="31">
        <f>VALUE(2)</f>
        <v>2</v>
      </c>
      <c r="AF105" s="31">
        <f>VALUE(2)</f>
        <v>2</v>
      </c>
      <c r="AG105" s="31">
        <f>VALUE(2)</f>
        <v>2</v>
      </c>
      <c r="AH105" s="31">
        <f>VALUE(0)</f>
        <v>0</v>
      </c>
      <c r="AI105" s="31">
        <f>VALUE(0)</f>
        <v>0</v>
      </c>
      <c r="AJ105" s="31">
        <f>VALUE(2)</f>
        <v>2</v>
      </c>
      <c r="AK105" s="31">
        <f>VALUE(2)</f>
        <v>2</v>
      </c>
      <c r="AL105" s="31">
        <f>VALUE(2)</f>
        <v>2</v>
      </c>
      <c r="AM105" s="31">
        <f>VALUE(2)</f>
        <v>2</v>
      </c>
      <c r="AN105" s="31">
        <f>VALUE(2)</f>
        <v>2</v>
      </c>
      <c r="AO105" s="31">
        <f>VALUE(0)</f>
        <v>0</v>
      </c>
      <c r="AP105" s="31">
        <v>0</v>
      </c>
      <c r="AQ105" s="31">
        <v>0</v>
      </c>
      <c r="AR105" s="31">
        <v>0</v>
      </c>
      <c r="AS105" s="31">
        <v>0</v>
      </c>
      <c r="AT105" s="31">
        <v>0</v>
      </c>
      <c r="AU105" s="31">
        <v>0</v>
      </c>
      <c r="AV105" s="31">
        <v>0</v>
      </c>
      <c r="AW105" s="31">
        <v>0</v>
      </c>
      <c r="AX105" s="31">
        <v>0</v>
      </c>
      <c r="AY105" s="31">
        <v>0</v>
      </c>
      <c r="AZ105" s="31">
        <v>0</v>
      </c>
      <c r="BA105" s="31">
        <v>0</v>
      </c>
      <c r="BB105" s="31">
        <v>0</v>
      </c>
      <c r="BC105" s="31">
        <v>0</v>
      </c>
      <c r="BD105" s="31">
        <v>0</v>
      </c>
      <c r="BE105" s="31">
        <v>0</v>
      </c>
      <c r="BF105" s="31">
        <v>0</v>
      </c>
      <c r="BG105" s="31">
        <v>0</v>
      </c>
      <c r="BH105" s="31">
        <v>0</v>
      </c>
      <c r="BI105" s="31">
        <v>0</v>
      </c>
      <c r="BJ105" s="31">
        <v>0</v>
      </c>
      <c r="BK105" s="12">
        <v>0</v>
      </c>
      <c r="BL105" s="12">
        <v>0</v>
      </c>
      <c r="BM105" s="12">
        <v>0</v>
      </c>
      <c r="BN105" s="12"/>
      <c r="BO105" s="12">
        <v>0</v>
      </c>
      <c r="BP105" s="12">
        <v>0</v>
      </c>
      <c r="BQ105" s="12">
        <v>0</v>
      </c>
      <c r="BR105" s="12">
        <v>0</v>
      </c>
      <c r="BS105" s="12">
        <v>0</v>
      </c>
      <c r="BT105" s="12">
        <v>0</v>
      </c>
      <c r="BU105" s="12">
        <v>0</v>
      </c>
      <c r="BV105" s="12">
        <v>0</v>
      </c>
      <c r="BW105" s="12">
        <v>0</v>
      </c>
      <c r="BX105" s="12">
        <v>0</v>
      </c>
      <c r="BY105" s="12">
        <v>0</v>
      </c>
      <c r="BZ105" s="12">
        <v>0</v>
      </c>
      <c r="CA105" s="12">
        <v>0</v>
      </c>
    </row>
    <row r="106" spans="1:79" hidden="1" x14ac:dyDescent="0.2">
      <c r="A106" s="12" t="s">
        <v>113</v>
      </c>
      <c r="B106" s="12" t="s">
        <v>116</v>
      </c>
      <c r="C106" s="12" t="s">
        <v>116</v>
      </c>
      <c r="D106" s="22" t="s">
        <v>342</v>
      </c>
      <c r="E106" s="22" t="s">
        <v>173</v>
      </c>
      <c r="F106" s="22" t="s">
        <v>752</v>
      </c>
      <c r="G106" s="22" t="s">
        <v>753</v>
      </c>
      <c r="H106" s="22" t="s">
        <v>166</v>
      </c>
      <c r="I106" s="22" t="s">
        <v>343</v>
      </c>
      <c r="J106" s="22" t="s">
        <v>344</v>
      </c>
      <c r="K106" s="22" t="s">
        <v>76</v>
      </c>
      <c r="L106" s="54" t="s">
        <v>153</v>
      </c>
      <c r="M106" s="24" t="s">
        <v>153</v>
      </c>
      <c r="N106" s="24" t="s">
        <v>153</v>
      </c>
      <c r="O106" s="23" t="s">
        <v>153</v>
      </c>
      <c r="P106" s="23" t="s">
        <v>153</v>
      </c>
      <c r="Q106" s="23" t="s">
        <v>153</v>
      </c>
      <c r="R106" s="23" t="s">
        <v>153</v>
      </c>
      <c r="S106" s="23" t="s">
        <v>153</v>
      </c>
      <c r="T106" s="24" t="s">
        <v>153</v>
      </c>
      <c r="U106" s="24" t="s">
        <v>153</v>
      </c>
      <c r="V106" s="54" t="s">
        <v>156</v>
      </c>
      <c r="W106" s="23" t="s">
        <v>153</v>
      </c>
      <c r="X106" s="23" t="s">
        <v>153</v>
      </c>
      <c r="Y106" s="23" t="s">
        <v>153</v>
      </c>
      <c r="Z106" s="23" t="s">
        <v>153</v>
      </c>
      <c r="AA106" s="24" t="s">
        <v>153</v>
      </c>
      <c r="AB106" s="24" t="s">
        <v>153</v>
      </c>
      <c r="AC106" s="23" t="s">
        <v>153</v>
      </c>
      <c r="AD106" s="23" t="s">
        <v>153</v>
      </c>
      <c r="AE106" s="23" t="s">
        <v>153</v>
      </c>
      <c r="AF106" s="23" t="s">
        <v>153</v>
      </c>
      <c r="AG106" s="23" t="s">
        <v>153</v>
      </c>
      <c r="AH106" s="24" t="s">
        <v>153</v>
      </c>
      <c r="AI106" s="24" t="s">
        <v>153</v>
      </c>
      <c r="AJ106" s="24" t="s">
        <v>156</v>
      </c>
      <c r="AK106" s="23" t="s">
        <v>153</v>
      </c>
      <c r="AL106" s="23" t="s">
        <v>153</v>
      </c>
      <c r="AM106" s="23" t="s">
        <v>153</v>
      </c>
      <c r="AN106" s="23" t="s">
        <v>153</v>
      </c>
      <c r="AO106" s="24" t="s">
        <v>153</v>
      </c>
      <c r="AP106" s="23">
        <f>VALUE(0)</f>
        <v>0</v>
      </c>
      <c r="AQ106" s="23">
        <f>VALUE(0)</f>
        <v>0</v>
      </c>
      <c r="AR106" s="23">
        <f>VALUE(0)</f>
        <v>0</v>
      </c>
      <c r="AS106" s="23">
        <f>VALUE(0)</f>
        <v>0</v>
      </c>
      <c r="AT106" s="23">
        <f>VALUE(0)</f>
        <v>0</v>
      </c>
      <c r="AU106" s="23">
        <f>VALUE(0)</f>
        <v>0</v>
      </c>
      <c r="AV106" s="23">
        <f>VALUE(13)</f>
        <v>13</v>
      </c>
      <c r="AW106" s="23">
        <f>VALUE(0)</f>
        <v>0</v>
      </c>
      <c r="AX106" s="23" t="s">
        <v>1201</v>
      </c>
      <c r="AY106" s="23">
        <f>VALUE(0)</f>
        <v>0</v>
      </c>
      <c r="AZ106" s="23">
        <f>VALUE(0)</f>
        <v>0</v>
      </c>
      <c r="BA106" s="23">
        <f>VALUE(0)</f>
        <v>0</v>
      </c>
      <c r="BB106" s="23">
        <f>VALUE(0)</f>
        <v>0</v>
      </c>
      <c r="BC106" s="23">
        <f>VALUE(0)</f>
        <v>0</v>
      </c>
      <c r="BD106" s="23">
        <f>VALUE(0)</f>
        <v>0</v>
      </c>
      <c r="BE106" s="23">
        <f>VALUE(0)</f>
        <v>0</v>
      </c>
      <c r="BF106" s="23">
        <f>VALUE(0)</f>
        <v>0</v>
      </c>
      <c r="BG106" s="23">
        <f>VALUE(0)</f>
        <v>0</v>
      </c>
      <c r="BH106" s="23">
        <f>VALUE(0)</f>
        <v>0</v>
      </c>
      <c r="BI106" s="23">
        <f>VALUE(0)</f>
        <v>0</v>
      </c>
      <c r="BJ106" s="23">
        <f>VALUE(0)</f>
        <v>0</v>
      </c>
      <c r="BK106" s="12">
        <f>$AX$106*24</f>
        <v>77.566666666666663</v>
      </c>
      <c r="BL106" s="12">
        <f>$AY$106*24</f>
        <v>0</v>
      </c>
      <c r="BM106" s="12">
        <f>$BJ$106*24</f>
        <v>0</v>
      </c>
      <c r="BN106" s="12">
        <f>VALUE($I$106)/100</f>
        <v>0.7</v>
      </c>
      <c r="BO106" s="12">
        <v>0</v>
      </c>
      <c r="BP106" s="12">
        <v>0</v>
      </c>
      <c r="BQ106" s="12">
        <v>0</v>
      </c>
      <c r="BR106" s="12">
        <v>0</v>
      </c>
      <c r="BS106" s="12">
        <v>0</v>
      </c>
      <c r="BT106" s="12">
        <v>0</v>
      </c>
      <c r="BU106" s="12">
        <v>0</v>
      </c>
      <c r="BV106" s="12">
        <v>0</v>
      </c>
      <c r="BW106" s="12">
        <v>0</v>
      </c>
      <c r="BX106" s="12">
        <v>0</v>
      </c>
      <c r="BY106" s="12">
        <v>0</v>
      </c>
      <c r="BZ106" s="12">
        <v>0</v>
      </c>
      <c r="CA106" s="12">
        <v>0</v>
      </c>
    </row>
    <row r="107" spans="1:79" hidden="1" x14ac:dyDescent="0.2">
      <c r="A107" s="12" t="s">
        <v>113</v>
      </c>
      <c r="B107" s="12" t="s">
        <v>116</v>
      </c>
      <c r="C107" s="12" t="s">
        <v>116</v>
      </c>
      <c r="D107" s="22" t="s">
        <v>1202</v>
      </c>
      <c r="E107" s="22" t="s">
        <v>173</v>
      </c>
      <c r="F107" s="22" t="s">
        <v>754</v>
      </c>
      <c r="G107" s="22" t="s">
        <v>755</v>
      </c>
      <c r="H107" s="22" t="s">
        <v>190</v>
      </c>
      <c r="I107" s="22" t="s">
        <v>151</v>
      </c>
      <c r="J107" s="22" t="s">
        <v>1203</v>
      </c>
      <c r="K107" s="22" t="s">
        <v>76</v>
      </c>
      <c r="L107" s="54" t="s">
        <v>153</v>
      </c>
      <c r="M107" s="23" t="s">
        <v>153</v>
      </c>
      <c r="N107" s="24" t="s">
        <v>153</v>
      </c>
      <c r="O107" s="23" t="s">
        <v>153</v>
      </c>
      <c r="P107" s="28" t="s">
        <v>163</v>
      </c>
      <c r="Q107" s="28" t="s">
        <v>163</v>
      </c>
      <c r="R107" s="23" t="s">
        <v>153</v>
      </c>
      <c r="S107" s="23" t="s">
        <v>153</v>
      </c>
      <c r="T107" s="23" t="s">
        <v>153</v>
      </c>
      <c r="U107" s="24" t="s">
        <v>153</v>
      </c>
      <c r="V107" s="54" t="s">
        <v>153</v>
      </c>
      <c r="W107" s="28" t="s">
        <v>163</v>
      </c>
      <c r="X107" s="28" t="s">
        <v>163</v>
      </c>
      <c r="Y107" s="23" t="s">
        <v>153</v>
      </c>
      <c r="Z107" s="23" t="s">
        <v>153</v>
      </c>
      <c r="AA107" s="23" t="s">
        <v>153</v>
      </c>
      <c r="AB107" s="24" t="s">
        <v>153</v>
      </c>
      <c r="AC107" s="23" t="s">
        <v>153</v>
      </c>
      <c r="AD107" s="28" t="s">
        <v>163</v>
      </c>
      <c r="AE107" s="28" t="s">
        <v>163</v>
      </c>
      <c r="AF107" s="23" t="s">
        <v>153</v>
      </c>
      <c r="AG107" s="23" t="s">
        <v>153</v>
      </c>
      <c r="AH107" s="23" t="s">
        <v>153</v>
      </c>
      <c r="AI107" s="24" t="s">
        <v>153</v>
      </c>
      <c r="AJ107" s="23" t="s">
        <v>153</v>
      </c>
      <c r="AK107" s="28" t="s">
        <v>163</v>
      </c>
      <c r="AL107" s="28" t="s">
        <v>163</v>
      </c>
      <c r="AM107" s="23" t="s">
        <v>153</v>
      </c>
      <c r="AN107" s="35" t="s">
        <v>170</v>
      </c>
      <c r="AO107" s="23" t="s">
        <v>153</v>
      </c>
      <c r="AP107" s="23">
        <f>VALUE(0)</f>
        <v>0</v>
      </c>
      <c r="AQ107" s="23">
        <f>VALUE(0)</f>
        <v>0</v>
      </c>
      <c r="AR107" s="23">
        <f>VALUE(0)</f>
        <v>0</v>
      </c>
      <c r="AS107" s="23">
        <f>VALUE(0)</f>
        <v>0</v>
      </c>
      <c r="AT107" s="23">
        <f>VALUE(0)</f>
        <v>0</v>
      </c>
      <c r="AU107" s="23">
        <f>VALUE(8)</f>
        <v>8</v>
      </c>
      <c r="AV107" s="23">
        <f>VALUE(0)</f>
        <v>0</v>
      </c>
      <c r="AW107" s="23">
        <f>VALUE(0)</f>
        <v>0</v>
      </c>
      <c r="AX107" s="23" t="s">
        <v>345</v>
      </c>
      <c r="AY107" s="23">
        <f>VALUE(0)</f>
        <v>0</v>
      </c>
      <c r="AZ107" s="23">
        <f>VALUE(0)</f>
        <v>0</v>
      </c>
      <c r="BA107" s="23">
        <f>VALUE(0)</f>
        <v>0</v>
      </c>
      <c r="BB107" s="23">
        <f>VALUE(0)</f>
        <v>0</v>
      </c>
      <c r="BC107" s="23">
        <f>VALUE(0)</f>
        <v>0</v>
      </c>
      <c r="BD107" s="23">
        <f>VALUE(0)</f>
        <v>0</v>
      </c>
      <c r="BE107" s="23">
        <f>VALUE(1)</f>
        <v>1</v>
      </c>
      <c r="BF107" s="23">
        <f>VALUE(0)</f>
        <v>0</v>
      </c>
      <c r="BG107" s="23">
        <f>VALUE(0)</f>
        <v>0</v>
      </c>
      <c r="BH107" s="23">
        <f>VALUE(0)</f>
        <v>0</v>
      </c>
      <c r="BI107" s="23">
        <f>VALUE(0)</f>
        <v>0</v>
      </c>
      <c r="BJ107" s="23">
        <f>VALUE(0)</f>
        <v>0</v>
      </c>
      <c r="BK107" s="12">
        <f>$AX$107*24</f>
        <v>0.25</v>
      </c>
      <c r="BL107" s="12">
        <f>$AY$107*24</f>
        <v>0</v>
      </c>
      <c r="BM107" s="12">
        <f>$BJ$107*24</f>
        <v>0</v>
      </c>
      <c r="BN107" s="12">
        <f>VALUE($I$107)/100</f>
        <v>1</v>
      </c>
      <c r="BO107" s="12">
        <v>0</v>
      </c>
      <c r="BP107" s="12">
        <v>0</v>
      </c>
      <c r="BQ107" s="12">
        <v>0</v>
      </c>
      <c r="BR107" s="12">
        <v>0</v>
      </c>
      <c r="BS107" s="12">
        <v>0</v>
      </c>
      <c r="BT107" s="12">
        <v>0</v>
      </c>
      <c r="BU107" s="12">
        <v>0</v>
      </c>
      <c r="BV107" s="12">
        <v>0</v>
      </c>
      <c r="BW107" s="12">
        <v>0</v>
      </c>
      <c r="BX107" s="12">
        <v>0</v>
      </c>
      <c r="BY107" s="12">
        <v>0</v>
      </c>
      <c r="BZ107" s="12">
        <v>0</v>
      </c>
      <c r="CA107" s="12">
        <v>0</v>
      </c>
    </row>
    <row r="108" spans="1:79" ht="15" hidden="1" x14ac:dyDescent="0.25">
      <c r="A108" s="12" t="s">
        <v>113</v>
      </c>
      <c r="B108" s="12" t="s">
        <v>116</v>
      </c>
      <c r="C108" s="12" t="s">
        <v>116</v>
      </c>
      <c r="D108" s="31" t="s">
        <v>246</v>
      </c>
      <c r="E108" s="31" t="s">
        <v>153</v>
      </c>
      <c r="F108" s="31" t="s">
        <v>175</v>
      </c>
      <c r="G108" s="31" t="s">
        <v>153</v>
      </c>
      <c r="H108" s="31" t="s">
        <v>153</v>
      </c>
      <c r="I108" s="31" t="s">
        <v>153</v>
      </c>
      <c r="J108" s="31" t="s">
        <v>153</v>
      </c>
      <c r="K108" s="31" t="s">
        <v>153</v>
      </c>
      <c r="L108" s="31">
        <f>VALUE(0)</f>
        <v>0</v>
      </c>
      <c r="M108" s="31">
        <f>VALUE(1)</f>
        <v>1</v>
      </c>
      <c r="N108" s="31">
        <f>VALUE(0)</f>
        <v>0</v>
      </c>
      <c r="O108" s="31">
        <f>VALUE(2)</f>
        <v>2</v>
      </c>
      <c r="P108" s="31">
        <f>VALUE(1)</f>
        <v>1</v>
      </c>
      <c r="Q108" s="31">
        <f>VALUE(1)</f>
        <v>1</v>
      </c>
      <c r="R108" s="31">
        <f>VALUE(2)</f>
        <v>2</v>
      </c>
      <c r="S108" s="31">
        <f>VALUE(2)</f>
        <v>2</v>
      </c>
      <c r="T108" s="31">
        <f>VALUE(1)</f>
        <v>1</v>
      </c>
      <c r="U108" s="31">
        <f>VALUE(0)</f>
        <v>0</v>
      </c>
      <c r="V108" s="31">
        <f>VALUE(0)</f>
        <v>0</v>
      </c>
      <c r="W108" s="31">
        <f>VALUE(1)</f>
        <v>1</v>
      </c>
      <c r="X108" s="31">
        <f>VALUE(1)</f>
        <v>1</v>
      </c>
      <c r="Y108" s="31">
        <f>VALUE(2)</f>
        <v>2</v>
      </c>
      <c r="Z108" s="31">
        <f>VALUE(2)</f>
        <v>2</v>
      </c>
      <c r="AA108" s="31">
        <f>VALUE(1)</f>
        <v>1</v>
      </c>
      <c r="AB108" s="31">
        <f>VALUE(0)</f>
        <v>0</v>
      </c>
      <c r="AC108" s="31">
        <f>VALUE(2)</f>
        <v>2</v>
      </c>
      <c r="AD108" s="31">
        <f>VALUE(1)</f>
        <v>1</v>
      </c>
      <c r="AE108" s="31">
        <f>VALUE(1)</f>
        <v>1</v>
      </c>
      <c r="AF108" s="31">
        <f>VALUE(2)</f>
        <v>2</v>
      </c>
      <c r="AG108" s="31">
        <f>VALUE(2)</f>
        <v>2</v>
      </c>
      <c r="AH108" s="31">
        <f>VALUE(1)</f>
        <v>1</v>
      </c>
      <c r="AI108" s="31">
        <f>VALUE(0)</f>
        <v>0</v>
      </c>
      <c r="AJ108" s="31">
        <f>VALUE(1)</f>
        <v>1</v>
      </c>
      <c r="AK108" s="31">
        <f>VALUE(1)</f>
        <v>1</v>
      </c>
      <c r="AL108" s="31">
        <f>VALUE(1)</f>
        <v>1</v>
      </c>
      <c r="AM108" s="31">
        <f>VALUE(2)</f>
        <v>2</v>
      </c>
      <c r="AN108" s="31">
        <f>VALUE(1)</f>
        <v>1</v>
      </c>
      <c r="AO108" s="31">
        <f>VALUE(1)</f>
        <v>1</v>
      </c>
      <c r="AP108" s="31">
        <v>0</v>
      </c>
      <c r="AQ108" s="31">
        <v>0</v>
      </c>
      <c r="AR108" s="31">
        <v>0</v>
      </c>
      <c r="AS108" s="31">
        <v>0</v>
      </c>
      <c r="AT108" s="31">
        <v>0</v>
      </c>
      <c r="AU108" s="31">
        <v>0</v>
      </c>
      <c r="AV108" s="31">
        <v>0</v>
      </c>
      <c r="AW108" s="31">
        <v>0</v>
      </c>
      <c r="AX108" s="31">
        <v>0</v>
      </c>
      <c r="AY108" s="31">
        <v>0</v>
      </c>
      <c r="AZ108" s="31">
        <v>0</v>
      </c>
      <c r="BA108" s="31">
        <v>0</v>
      </c>
      <c r="BB108" s="31">
        <v>0</v>
      </c>
      <c r="BC108" s="31">
        <v>0</v>
      </c>
      <c r="BD108" s="31">
        <v>0</v>
      </c>
      <c r="BE108" s="31">
        <v>0</v>
      </c>
      <c r="BF108" s="31">
        <v>0</v>
      </c>
      <c r="BG108" s="31">
        <v>0</v>
      </c>
      <c r="BH108" s="31">
        <v>0</v>
      </c>
      <c r="BI108" s="31">
        <v>0</v>
      </c>
      <c r="BJ108" s="31">
        <v>0</v>
      </c>
      <c r="BK108" s="12">
        <v>0</v>
      </c>
      <c r="BL108" s="12">
        <v>0</v>
      </c>
      <c r="BM108" s="12">
        <v>0</v>
      </c>
      <c r="BN108" s="12"/>
      <c r="BO108" s="12">
        <v>0</v>
      </c>
      <c r="BP108" s="12">
        <v>0</v>
      </c>
      <c r="BQ108" s="12">
        <v>0</v>
      </c>
      <c r="BR108" s="12">
        <v>0</v>
      </c>
      <c r="BS108" s="12">
        <v>0</v>
      </c>
      <c r="BT108" s="12">
        <v>0</v>
      </c>
      <c r="BU108" s="12">
        <v>0</v>
      </c>
      <c r="BV108" s="12">
        <v>0</v>
      </c>
      <c r="BW108" s="12">
        <v>0</v>
      </c>
      <c r="BX108" s="12">
        <v>0</v>
      </c>
      <c r="BY108" s="12">
        <v>0</v>
      </c>
      <c r="BZ108" s="12">
        <v>0</v>
      </c>
      <c r="CA108" s="12">
        <v>0</v>
      </c>
    </row>
    <row r="109" spans="1:79" hidden="1" x14ac:dyDescent="0.2">
      <c r="A109" s="12" t="s">
        <v>113</v>
      </c>
      <c r="B109" s="12" t="s">
        <v>117</v>
      </c>
      <c r="C109" s="12" t="s">
        <v>117</v>
      </c>
      <c r="D109" s="22" t="s">
        <v>346</v>
      </c>
      <c r="E109" s="22" t="s">
        <v>149</v>
      </c>
      <c r="F109" s="22" t="s">
        <v>756</v>
      </c>
      <c r="G109" s="22" t="s">
        <v>757</v>
      </c>
      <c r="H109" s="22" t="s">
        <v>166</v>
      </c>
      <c r="I109" s="22" t="s">
        <v>151</v>
      </c>
      <c r="J109" s="22" t="s">
        <v>347</v>
      </c>
      <c r="K109" s="22" t="s">
        <v>77</v>
      </c>
      <c r="L109" s="54" t="s">
        <v>153</v>
      </c>
      <c r="M109" s="24" t="s">
        <v>153</v>
      </c>
      <c r="N109" s="24" t="s">
        <v>153</v>
      </c>
      <c r="O109" s="23" t="s">
        <v>153</v>
      </c>
      <c r="P109" s="23" t="s">
        <v>153</v>
      </c>
      <c r="Q109" s="23" t="s">
        <v>153</v>
      </c>
      <c r="R109" s="23" t="s">
        <v>153</v>
      </c>
      <c r="S109" s="23" t="s">
        <v>153</v>
      </c>
      <c r="T109" s="24" t="s">
        <v>153</v>
      </c>
      <c r="U109" s="24" t="s">
        <v>153</v>
      </c>
      <c r="V109" s="54" t="s">
        <v>153</v>
      </c>
      <c r="W109" s="23" t="s">
        <v>153</v>
      </c>
      <c r="X109" s="24" t="s">
        <v>156</v>
      </c>
      <c r="Y109" s="23" t="s">
        <v>153</v>
      </c>
      <c r="Z109" s="23" t="s">
        <v>153</v>
      </c>
      <c r="AA109" s="24" t="s">
        <v>153</v>
      </c>
      <c r="AB109" s="24" t="s">
        <v>153</v>
      </c>
      <c r="AC109" s="23" t="s">
        <v>153</v>
      </c>
      <c r="AD109" s="23" t="s">
        <v>153</v>
      </c>
      <c r="AE109" s="23" t="s">
        <v>153</v>
      </c>
      <c r="AF109" s="23" t="s">
        <v>153</v>
      </c>
      <c r="AG109" s="23" t="s">
        <v>153</v>
      </c>
      <c r="AH109" s="24" t="s">
        <v>153</v>
      </c>
      <c r="AI109" s="24" t="s">
        <v>153</v>
      </c>
      <c r="AJ109" s="23" t="s">
        <v>153</v>
      </c>
      <c r="AK109" s="23" t="s">
        <v>153</v>
      </c>
      <c r="AL109" s="24" t="s">
        <v>156</v>
      </c>
      <c r="AM109" s="23" t="s">
        <v>153</v>
      </c>
      <c r="AN109" s="23" t="s">
        <v>153</v>
      </c>
      <c r="AO109" s="24" t="s">
        <v>153</v>
      </c>
      <c r="AP109" s="23">
        <f>VALUE(0)</f>
        <v>0</v>
      </c>
      <c r="AQ109" s="23">
        <f>VALUE(0)</f>
        <v>0</v>
      </c>
      <c r="AR109" s="23">
        <f>VALUE(0)</f>
        <v>0</v>
      </c>
      <c r="AS109" s="23">
        <f>VALUE(0)</f>
        <v>0</v>
      </c>
      <c r="AT109" s="23">
        <f>VALUE(0)</f>
        <v>0</v>
      </c>
      <c r="AU109" s="23">
        <f>VALUE(0)</f>
        <v>0</v>
      </c>
      <c r="AV109" s="23">
        <f>VALUE(8)</f>
        <v>8</v>
      </c>
      <c r="AW109" s="23">
        <f>VALUE(0)</f>
        <v>0</v>
      </c>
      <c r="AX109" s="23" t="s">
        <v>1204</v>
      </c>
      <c r="AY109" s="23">
        <f>VALUE(0)</f>
        <v>0</v>
      </c>
      <c r="AZ109" s="23">
        <f>VALUE(0)</f>
        <v>0</v>
      </c>
      <c r="BA109" s="23">
        <f>VALUE(0)</f>
        <v>0</v>
      </c>
      <c r="BB109" s="23">
        <f>VALUE(0)</f>
        <v>0</v>
      </c>
      <c r="BC109" s="23">
        <f>VALUE(0)</f>
        <v>0</v>
      </c>
      <c r="BD109" s="23">
        <f>VALUE(0)</f>
        <v>0</v>
      </c>
      <c r="BE109" s="23">
        <f>VALUE(0)</f>
        <v>0</v>
      </c>
      <c r="BF109" s="23">
        <f>VALUE(0)</f>
        <v>0</v>
      </c>
      <c r="BG109" s="23">
        <f>VALUE(0)</f>
        <v>0</v>
      </c>
      <c r="BH109" s="23">
        <f>VALUE(0)</f>
        <v>0</v>
      </c>
      <c r="BI109" s="23">
        <f>VALUE(0)</f>
        <v>0</v>
      </c>
      <c r="BJ109" s="23">
        <f>VALUE(0)</f>
        <v>0</v>
      </c>
      <c r="BK109" s="12">
        <f>$AX$109*24</f>
        <v>4.8666666666666671</v>
      </c>
      <c r="BL109" s="12">
        <f>$AY$109*24</f>
        <v>0</v>
      </c>
      <c r="BM109" s="12">
        <f>$BJ$109*24</f>
        <v>0</v>
      </c>
      <c r="BN109" s="12">
        <f>VALUE($I$109)/100</f>
        <v>1</v>
      </c>
      <c r="BO109" s="12">
        <v>0</v>
      </c>
      <c r="BP109" s="12">
        <v>0</v>
      </c>
      <c r="BQ109" s="12">
        <v>0</v>
      </c>
      <c r="BR109" s="12">
        <v>0</v>
      </c>
      <c r="BS109" s="12">
        <v>0</v>
      </c>
      <c r="BT109" s="12">
        <v>0</v>
      </c>
      <c r="BU109" s="12">
        <v>0</v>
      </c>
      <c r="BV109" s="12">
        <v>0</v>
      </c>
      <c r="BW109" s="12">
        <v>0</v>
      </c>
      <c r="BX109" s="12">
        <v>0</v>
      </c>
      <c r="BY109" s="12">
        <v>0</v>
      </c>
      <c r="BZ109" s="12">
        <v>0</v>
      </c>
      <c r="CA109" s="12">
        <v>0</v>
      </c>
    </row>
    <row r="110" spans="1:79" hidden="1" x14ac:dyDescent="0.2">
      <c r="A110" s="12" t="s">
        <v>113</v>
      </c>
      <c r="B110" s="12" t="s">
        <v>117</v>
      </c>
      <c r="C110" s="12" t="s">
        <v>117</v>
      </c>
      <c r="D110" s="22" t="s">
        <v>348</v>
      </c>
      <c r="E110" s="22" t="s">
        <v>173</v>
      </c>
      <c r="F110" s="22" t="s">
        <v>758</v>
      </c>
      <c r="G110" s="22" t="s">
        <v>759</v>
      </c>
      <c r="H110" s="22" t="s">
        <v>349</v>
      </c>
      <c r="I110" s="22" t="s">
        <v>151</v>
      </c>
      <c r="J110" s="22" t="s">
        <v>347</v>
      </c>
      <c r="K110" s="22" t="s">
        <v>77</v>
      </c>
      <c r="L110" s="54" t="s">
        <v>153</v>
      </c>
      <c r="M110" s="24" t="s">
        <v>153</v>
      </c>
      <c r="N110" s="24" t="s">
        <v>153</v>
      </c>
      <c r="O110" s="23" t="s">
        <v>153</v>
      </c>
      <c r="P110" s="23" t="s">
        <v>153</v>
      </c>
      <c r="Q110" s="23" t="s">
        <v>153</v>
      </c>
      <c r="R110" s="23" t="s">
        <v>153</v>
      </c>
      <c r="S110" s="23" t="s">
        <v>153</v>
      </c>
      <c r="T110" s="24" t="s">
        <v>153</v>
      </c>
      <c r="U110" s="24" t="s">
        <v>153</v>
      </c>
      <c r="V110" s="54" t="s">
        <v>156</v>
      </c>
      <c r="W110" s="23" t="s">
        <v>153</v>
      </c>
      <c r="X110" s="23" t="s">
        <v>153</v>
      </c>
      <c r="Y110" s="23" t="s">
        <v>153</v>
      </c>
      <c r="Z110" s="23" t="s">
        <v>153</v>
      </c>
      <c r="AA110" s="24" t="s">
        <v>153</v>
      </c>
      <c r="AB110" s="24" t="s">
        <v>153</v>
      </c>
      <c r="AC110" s="23" t="s">
        <v>153</v>
      </c>
      <c r="AD110" s="23" t="s">
        <v>153</v>
      </c>
      <c r="AE110" s="23" t="s">
        <v>153</v>
      </c>
      <c r="AF110" s="23" t="s">
        <v>153</v>
      </c>
      <c r="AG110" s="23" t="s">
        <v>153</v>
      </c>
      <c r="AH110" s="24" t="s">
        <v>153</v>
      </c>
      <c r="AI110" s="24" t="s">
        <v>153</v>
      </c>
      <c r="AJ110" s="24" t="s">
        <v>156</v>
      </c>
      <c r="AK110" s="23" t="s">
        <v>153</v>
      </c>
      <c r="AL110" s="23" t="s">
        <v>153</v>
      </c>
      <c r="AM110" s="23" t="s">
        <v>153</v>
      </c>
      <c r="AN110" s="23" t="s">
        <v>153</v>
      </c>
      <c r="AO110" s="24" t="s">
        <v>153</v>
      </c>
      <c r="AP110" s="23">
        <f>VALUE(0)</f>
        <v>0</v>
      </c>
      <c r="AQ110" s="23">
        <f>VALUE(0)</f>
        <v>0</v>
      </c>
      <c r="AR110" s="23">
        <f>VALUE(0)</f>
        <v>0</v>
      </c>
      <c r="AS110" s="23">
        <f>VALUE(0)</f>
        <v>0</v>
      </c>
      <c r="AT110" s="23">
        <f>VALUE(0)</f>
        <v>0</v>
      </c>
      <c r="AU110" s="23">
        <f>VALUE(0)</f>
        <v>0</v>
      </c>
      <c r="AV110" s="23">
        <f>VALUE(10)</f>
        <v>10</v>
      </c>
      <c r="AW110" s="23">
        <f>VALUE(0)</f>
        <v>0</v>
      </c>
      <c r="AX110" s="23" t="s">
        <v>1199</v>
      </c>
      <c r="AY110" s="23">
        <f>VALUE(0)</f>
        <v>0</v>
      </c>
      <c r="AZ110" s="23">
        <f>VALUE(0)</f>
        <v>0</v>
      </c>
      <c r="BA110" s="23">
        <f>VALUE(0)</f>
        <v>0</v>
      </c>
      <c r="BB110" s="23">
        <f>VALUE(0)</f>
        <v>0</v>
      </c>
      <c r="BC110" s="23">
        <f>VALUE(0)</f>
        <v>0</v>
      </c>
      <c r="BD110" s="23">
        <f>VALUE(0)</f>
        <v>0</v>
      </c>
      <c r="BE110" s="23">
        <f>VALUE(0)</f>
        <v>0</v>
      </c>
      <c r="BF110" s="23">
        <f>VALUE(0)</f>
        <v>0</v>
      </c>
      <c r="BG110" s="23">
        <f>VALUE(0)</f>
        <v>0</v>
      </c>
      <c r="BH110" s="23">
        <f>VALUE(0)</f>
        <v>0</v>
      </c>
      <c r="BI110" s="23">
        <f>VALUE(0)</f>
        <v>0</v>
      </c>
      <c r="BJ110" s="23">
        <f>VALUE(0)</f>
        <v>0</v>
      </c>
      <c r="BK110" s="12">
        <f>$AX$110*24</f>
        <v>7</v>
      </c>
      <c r="BL110" s="12">
        <f>$AY$110*24</f>
        <v>0</v>
      </c>
      <c r="BM110" s="12">
        <f>$BJ$110*24</f>
        <v>0</v>
      </c>
      <c r="BN110" s="12">
        <f>VALUE($I$110)/100</f>
        <v>1</v>
      </c>
      <c r="BO110" s="12">
        <v>0</v>
      </c>
      <c r="BP110" s="12">
        <v>0</v>
      </c>
      <c r="BQ110" s="12">
        <v>0</v>
      </c>
      <c r="BR110" s="12">
        <v>0</v>
      </c>
      <c r="BS110" s="12">
        <v>0</v>
      </c>
      <c r="BT110" s="12">
        <v>0</v>
      </c>
      <c r="BU110" s="12">
        <v>0</v>
      </c>
      <c r="BV110" s="12">
        <v>0</v>
      </c>
      <c r="BW110" s="12">
        <v>0</v>
      </c>
      <c r="BX110" s="12">
        <v>0</v>
      </c>
      <c r="BY110" s="12">
        <v>0</v>
      </c>
      <c r="BZ110" s="12">
        <v>0</v>
      </c>
      <c r="CA110" s="12">
        <v>0</v>
      </c>
    </row>
    <row r="111" spans="1:79" hidden="1" x14ac:dyDescent="0.2">
      <c r="A111" s="12" t="s">
        <v>113</v>
      </c>
      <c r="B111" s="12" t="s">
        <v>117</v>
      </c>
      <c r="C111" s="12" t="s">
        <v>117</v>
      </c>
      <c r="D111" s="22" t="s">
        <v>350</v>
      </c>
      <c r="E111" s="22" t="s">
        <v>149</v>
      </c>
      <c r="F111" s="22" t="s">
        <v>760</v>
      </c>
      <c r="G111" s="22" t="s">
        <v>761</v>
      </c>
      <c r="H111" s="22" t="s">
        <v>166</v>
      </c>
      <c r="I111" s="22" t="s">
        <v>151</v>
      </c>
      <c r="J111" s="22" t="s">
        <v>351</v>
      </c>
      <c r="K111" s="22" t="s">
        <v>77</v>
      </c>
      <c r="L111" s="54" t="s">
        <v>153</v>
      </c>
      <c r="M111" s="24" t="s">
        <v>153</v>
      </c>
      <c r="N111" s="24" t="s">
        <v>153</v>
      </c>
      <c r="O111" s="23" t="s">
        <v>153</v>
      </c>
      <c r="P111" s="23" t="s">
        <v>153</v>
      </c>
      <c r="Q111" s="23" t="s">
        <v>153</v>
      </c>
      <c r="R111" s="23" t="s">
        <v>153</v>
      </c>
      <c r="S111" s="23" t="s">
        <v>153</v>
      </c>
      <c r="T111" s="24" t="s">
        <v>153</v>
      </c>
      <c r="U111" s="24" t="s">
        <v>153</v>
      </c>
      <c r="V111" s="54" t="s">
        <v>153</v>
      </c>
      <c r="W111" s="30" t="s">
        <v>28</v>
      </c>
      <c r="X111" s="23" t="s">
        <v>153</v>
      </c>
      <c r="Y111" s="23" t="s">
        <v>153</v>
      </c>
      <c r="Z111" s="23" t="s">
        <v>153</v>
      </c>
      <c r="AA111" s="24" t="s">
        <v>153</v>
      </c>
      <c r="AB111" s="24" t="s">
        <v>153</v>
      </c>
      <c r="AC111" s="23" t="s">
        <v>153</v>
      </c>
      <c r="AD111" s="23" t="s">
        <v>153</v>
      </c>
      <c r="AE111" s="23" t="s">
        <v>153</v>
      </c>
      <c r="AF111" s="23" t="s">
        <v>153</v>
      </c>
      <c r="AG111" s="23" t="s">
        <v>153</v>
      </c>
      <c r="AH111" s="24" t="s">
        <v>153</v>
      </c>
      <c r="AI111" s="24" t="s">
        <v>153</v>
      </c>
      <c r="AJ111" s="23" t="s">
        <v>153</v>
      </c>
      <c r="AK111" s="23" t="s">
        <v>153</v>
      </c>
      <c r="AL111" s="23" t="s">
        <v>153</v>
      </c>
      <c r="AM111" s="23" t="s">
        <v>153</v>
      </c>
      <c r="AN111" s="23" t="s">
        <v>153</v>
      </c>
      <c r="AO111" s="24" t="s">
        <v>153</v>
      </c>
      <c r="AP111" s="23">
        <f>VALUE(0)</f>
        <v>0</v>
      </c>
      <c r="AQ111" s="23">
        <f>VALUE(0)</f>
        <v>0</v>
      </c>
      <c r="AR111" s="23">
        <f>VALUE(0)</f>
        <v>0</v>
      </c>
      <c r="AS111" s="23">
        <f>VALUE(0)</f>
        <v>0</v>
      </c>
      <c r="AT111" s="23">
        <f>VALUE(0)</f>
        <v>0</v>
      </c>
      <c r="AU111" s="23">
        <f>VALUE(0)</f>
        <v>0</v>
      </c>
      <c r="AV111" s="23">
        <f>VALUE(4)</f>
        <v>4</v>
      </c>
      <c r="AW111" s="23">
        <f>VALUE(0)</f>
        <v>0</v>
      </c>
      <c r="AX111" s="23" t="s">
        <v>352</v>
      </c>
      <c r="AY111" s="23">
        <f>VALUE(0)</f>
        <v>0</v>
      </c>
      <c r="AZ111" s="23">
        <f>VALUE(0)</f>
        <v>0</v>
      </c>
      <c r="BA111" s="23">
        <f>VALUE(0)</f>
        <v>0</v>
      </c>
      <c r="BB111" s="23">
        <f>VALUE(0)</f>
        <v>0</v>
      </c>
      <c r="BC111" s="23">
        <f>VALUE(0)</f>
        <v>0</v>
      </c>
      <c r="BD111" s="23">
        <f>VALUE(0)</f>
        <v>0</v>
      </c>
      <c r="BE111" s="23">
        <f>VALUE(0)</f>
        <v>0</v>
      </c>
      <c r="BF111" s="23">
        <f>VALUE(0)</f>
        <v>0</v>
      </c>
      <c r="BG111" s="23">
        <f>VALUE(0)</f>
        <v>0</v>
      </c>
      <c r="BH111" s="23">
        <f>VALUE(0)</f>
        <v>0</v>
      </c>
      <c r="BI111" s="23">
        <f>VALUE(0)</f>
        <v>0</v>
      </c>
      <c r="BJ111" s="23">
        <f>VALUE(0)</f>
        <v>0</v>
      </c>
      <c r="BK111" s="12">
        <f>$AX$111*24</f>
        <v>12.183333333333334</v>
      </c>
      <c r="BL111" s="12">
        <f>$AY$111*24</f>
        <v>0</v>
      </c>
      <c r="BM111" s="12">
        <f>$BJ$111*24</f>
        <v>0</v>
      </c>
      <c r="BN111" s="12">
        <f>VALUE($I$111)/100</f>
        <v>1</v>
      </c>
      <c r="BO111" s="12">
        <v>0</v>
      </c>
      <c r="BP111" s="12">
        <v>0</v>
      </c>
      <c r="BQ111" s="12">
        <v>1</v>
      </c>
      <c r="BR111" s="12">
        <v>0</v>
      </c>
      <c r="BS111" s="12">
        <v>0</v>
      </c>
      <c r="BT111" s="12">
        <v>0</v>
      </c>
      <c r="BU111" s="12">
        <v>0</v>
      </c>
      <c r="BV111" s="12">
        <v>0</v>
      </c>
      <c r="BW111" s="12">
        <v>0</v>
      </c>
      <c r="BX111" s="12">
        <v>0</v>
      </c>
      <c r="BY111" s="12">
        <v>0</v>
      </c>
      <c r="BZ111" s="12">
        <v>0</v>
      </c>
      <c r="CA111" s="12">
        <v>0</v>
      </c>
    </row>
    <row r="112" spans="1:79" hidden="1" x14ac:dyDescent="0.2">
      <c r="A112" s="12" t="s">
        <v>113</v>
      </c>
      <c r="B112" s="12" t="s">
        <v>117</v>
      </c>
      <c r="C112" s="12" t="s">
        <v>117</v>
      </c>
      <c r="D112" s="22" t="s">
        <v>353</v>
      </c>
      <c r="E112" s="22" t="s">
        <v>149</v>
      </c>
      <c r="F112" s="22" t="s">
        <v>762</v>
      </c>
      <c r="G112" s="22" t="s">
        <v>763</v>
      </c>
      <c r="H112" s="22" t="s">
        <v>150</v>
      </c>
      <c r="I112" s="22" t="s">
        <v>151</v>
      </c>
      <c r="J112" s="22" t="s">
        <v>351</v>
      </c>
      <c r="K112" s="22" t="s">
        <v>77</v>
      </c>
      <c r="L112" s="54" t="s">
        <v>153</v>
      </c>
      <c r="M112" s="24" t="s">
        <v>153</v>
      </c>
      <c r="N112" s="24" t="s">
        <v>153</v>
      </c>
      <c r="O112" s="23" t="s">
        <v>153</v>
      </c>
      <c r="P112" s="23" t="s">
        <v>153</v>
      </c>
      <c r="Q112" s="23" t="s">
        <v>153</v>
      </c>
      <c r="R112" s="23" t="s">
        <v>153</v>
      </c>
      <c r="S112" s="23" t="s">
        <v>153</v>
      </c>
      <c r="T112" s="24" t="s">
        <v>153</v>
      </c>
      <c r="U112" s="24" t="s">
        <v>153</v>
      </c>
      <c r="V112" s="54" t="s">
        <v>153</v>
      </c>
      <c r="W112" s="23" t="s">
        <v>153</v>
      </c>
      <c r="X112" s="23" t="s">
        <v>153</v>
      </c>
      <c r="Y112" s="23" t="s">
        <v>153</v>
      </c>
      <c r="Z112" s="23" t="s">
        <v>153</v>
      </c>
      <c r="AA112" s="24" t="s">
        <v>153</v>
      </c>
      <c r="AB112" s="24" t="s">
        <v>153</v>
      </c>
      <c r="AC112" s="28" t="s">
        <v>163</v>
      </c>
      <c r="AD112" s="28" t="s">
        <v>163</v>
      </c>
      <c r="AE112" s="28" t="s">
        <v>163</v>
      </c>
      <c r="AF112" s="28" t="s">
        <v>163</v>
      </c>
      <c r="AG112" s="28" t="s">
        <v>163</v>
      </c>
      <c r="AH112" s="24" t="s">
        <v>153</v>
      </c>
      <c r="AI112" s="24" t="s">
        <v>153</v>
      </c>
      <c r="AJ112" s="28" t="s">
        <v>163</v>
      </c>
      <c r="AK112" s="28" t="s">
        <v>163</v>
      </c>
      <c r="AL112" s="28" t="s">
        <v>163</v>
      </c>
      <c r="AM112" s="28" t="s">
        <v>163</v>
      </c>
      <c r="AN112" s="28" t="s">
        <v>163</v>
      </c>
      <c r="AO112" s="24" t="s">
        <v>153</v>
      </c>
      <c r="AP112" s="23">
        <f>VALUE(0)</f>
        <v>0</v>
      </c>
      <c r="AQ112" s="23">
        <f>VALUE(0)</f>
        <v>0</v>
      </c>
      <c r="AR112" s="23">
        <f>VALUE(0)</f>
        <v>0</v>
      </c>
      <c r="AS112" s="23">
        <f>VALUE(0)</f>
        <v>0</v>
      </c>
      <c r="AT112" s="23">
        <f>VALUE(0)</f>
        <v>0</v>
      </c>
      <c r="AU112" s="23">
        <f>VALUE(10)</f>
        <v>10</v>
      </c>
      <c r="AV112" s="23">
        <f>VALUE(0)</f>
        <v>0</v>
      </c>
      <c r="AW112" s="23">
        <f>VALUE(0)</f>
        <v>0</v>
      </c>
      <c r="AX112" s="23" t="s">
        <v>176</v>
      </c>
      <c r="AY112" s="23" t="s">
        <v>354</v>
      </c>
      <c r="AZ112" s="23">
        <f>VALUE(0)</f>
        <v>0</v>
      </c>
      <c r="BA112" s="23">
        <f>VALUE(0)</f>
        <v>0</v>
      </c>
      <c r="BB112" s="23">
        <f>VALUE(0)</f>
        <v>0</v>
      </c>
      <c r="BC112" s="23">
        <f>VALUE(0)</f>
        <v>0</v>
      </c>
      <c r="BD112" s="23">
        <f>VALUE(0)</f>
        <v>0</v>
      </c>
      <c r="BE112" s="23">
        <f>VALUE(0)</f>
        <v>0</v>
      </c>
      <c r="BF112" s="23">
        <f>VALUE(0)</f>
        <v>0</v>
      </c>
      <c r="BG112" s="23">
        <f>VALUE(0)</f>
        <v>0</v>
      </c>
      <c r="BH112" s="23">
        <f>VALUE(0)</f>
        <v>0</v>
      </c>
      <c r="BI112" s="23">
        <f>VALUE(0)</f>
        <v>0</v>
      </c>
      <c r="BJ112" s="23">
        <f>VALUE(0)</f>
        <v>0</v>
      </c>
      <c r="BK112" s="12">
        <f>$AX$112*24</f>
        <v>0</v>
      </c>
      <c r="BL112" s="12">
        <f>$AY$112*24</f>
        <v>35.549999999999997</v>
      </c>
      <c r="BM112" s="12">
        <f>$BJ$112*24</f>
        <v>0</v>
      </c>
      <c r="BN112" s="12">
        <f>VALUE($I$112)/100</f>
        <v>1</v>
      </c>
      <c r="BO112" s="12">
        <v>0</v>
      </c>
      <c r="BP112" s="12">
        <v>0</v>
      </c>
      <c r="BQ112" s="12">
        <v>0</v>
      </c>
      <c r="BR112" s="12">
        <v>0</v>
      </c>
      <c r="BS112" s="12">
        <v>0</v>
      </c>
      <c r="BT112" s="12">
        <v>0</v>
      </c>
      <c r="BU112" s="12">
        <v>0</v>
      </c>
      <c r="BV112" s="12">
        <v>0</v>
      </c>
      <c r="BW112" s="12">
        <v>0</v>
      </c>
      <c r="BX112" s="12">
        <v>0</v>
      </c>
      <c r="BY112" s="12">
        <v>0</v>
      </c>
      <c r="BZ112" s="12">
        <v>0</v>
      </c>
      <c r="CA112" s="12">
        <v>0</v>
      </c>
    </row>
    <row r="113" spans="1:79" ht="15" hidden="1" x14ac:dyDescent="0.25">
      <c r="A113" s="12" t="s">
        <v>113</v>
      </c>
      <c r="B113" s="12" t="s">
        <v>117</v>
      </c>
      <c r="C113" s="12" t="s">
        <v>117</v>
      </c>
      <c r="D113" s="31" t="s">
        <v>355</v>
      </c>
      <c r="E113" s="31" t="s">
        <v>153</v>
      </c>
      <c r="F113" s="31" t="s">
        <v>175</v>
      </c>
      <c r="G113" s="31" t="s">
        <v>153</v>
      </c>
      <c r="H113" s="31" t="s">
        <v>153</v>
      </c>
      <c r="I113" s="31" t="s">
        <v>153</v>
      </c>
      <c r="J113" s="31" t="s">
        <v>153</v>
      </c>
      <c r="K113" s="31" t="s">
        <v>153</v>
      </c>
      <c r="L113" s="31">
        <f>VALUE(0)</f>
        <v>0</v>
      </c>
      <c r="M113" s="31">
        <f>VALUE(0)</f>
        <v>0</v>
      </c>
      <c r="N113" s="31">
        <f>VALUE(0)</f>
        <v>0</v>
      </c>
      <c r="O113" s="31">
        <f>VALUE(4)</f>
        <v>4</v>
      </c>
      <c r="P113" s="31">
        <f>VALUE(4)</f>
        <v>4</v>
      </c>
      <c r="Q113" s="31">
        <f>VALUE(4)</f>
        <v>4</v>
      </c>
      <c r="R113" s="31">
        <f>VALUE(4)</f>
        <v>4</v>
      </c>
      <c r="S113" s="31">
        <f>VALUE(4)</f>
        <v>4</v>
      </c>
      <c r="T113" s="31">
        <f>VALUE(0)</f>
        <v>0</v>
      </c>
      <c r="U113" s="31">
        <f>VALUE(0)</f>
        <v>0</v>
      </c>
      <c r="V113" s="31">
        <f>VALUE(0)</f>
        <v>0</v>
      </c>
      <c r="W113" s="31">
        <f>VALUE(3)</f>
        <v>3</v>
      </c>
      <c r="X113" s="31">
        <f>VALUE(3)</f>
        <v>3</v>
      </c>
      <c r="Y113" s="31">
        <f>VALUE(4)</f>
        <v>4</v>
      </c>
      <c r="Z113" s="31">
        <f>VALUE(4)</f>
        <v>4</v>
      </c>
      <c r="AA113" s="31">
        <f>VALUE(0)</f>
        <v>0</v>
      </c>
      <c r="AB113" s="31">
        <f>VALUE(0)</f>
        <v>0</v>
      </c>
      <c r="AC113" s="31">
        <f>VALUE(3)</f>
        <v>3</v>
      </c>
      <c r="AD113" s="31">
        <f>VALUE(3)</f>
        <v>3</v>
      </c>
      <c r="AE113" s="31">
        <f>VALUE(3)</f>
        <v>3</v>
      </c>
      <c r="AF113" s="31">
        <f>VALUE(3)</f>
        <v>3</v>
      </c>
      <c r="AG113" s="31">
        <f>VALUE(3)</f>
        <v>3</v>
      </c>
      <c r="AH113" s="31">
        <f>VALUE(0)</f>
        <v>0</v>
      </c>
      <c r="AI113" s="31">
        <f>VALUE(0)</f>
        <v>0</v>
      </c>
      <c r="AJ113" s="31">
        <f>VALUE(2)</f>
        <v>2</v>
      </c>
      <c r="AK113" s="31">
        <f>VALUE(3)</f>
        <v>3</v>
      </c>
      <c r="AL113" s="31">
        <f>VALUE(2)</f>
        <v>2</v>
      </c>
      <c r="AM113" s="31">
        <f>VALUE(3)</f>
        <v>3</v>
      </c>
      <c r="AN113" s="31">
        <f>VALUE(3)</f>
        <v>3</v>
      </c>
      <c r="AO113" s="31">
        <f>VALUE(0)</f>
        <v>0</v>
      </c>
      <c r="AP113" s="31">
        <v>0</v>
      </c>
      <c r="AQ113" s="31">
        <v>0</v>
      </c>
      <c r="AR113" s="31">
        <v>0</v>
      </c>
      <c r="AS113" s="31">
        <v>0</v>
      </c>
      <c r="AT113" s="31">
        <v>0</v>
      </c>
      <c r="AU113" s="31">
        <v>0</v>
      </c>
      <c r="AV113" s="31">
        <v>0</v>
      </c>
      <c r="AW113" s="31">
        <v>0</v>
      </c>
      <c r="AX113" s="31">
        <v>0</v>
      </c>
      <c r="AY113" s="31">
        <v>0</v>
      </c>
      <c r="AZ113" s="31">
        <v>0</v>
      </c>
      <c r="BA113" s="31">
        <v>0</v>
      </c>
      <c r="BB113" s="31">
        <v>0</v>
      </c>
      <c r="BC113" s="31">
        <v>0</v>
      </c>
      <c r="BD113" s="31">
        <v>0</v>
      </c>
      <c r="BE113" s="31">
        <v>0</v>
      </c>
      <c r="BF113" s="31">
        <v>0</v>
      </c>
      <c r="BG113" s="31">
        <v>0</v>
      </c>
      <c r="BH113" s="31">
        <v>0</v>
      </c>
      <c r="BI113" s="31">
        <v>0</v>
      </c>
      <c r="BJ113" s="31">
        <v>0</v>
      </c>
      <c r="BK113" s="12">
        <v>0</v>
      </c>
      <c r="BL113" s="12">
        <v>0</v>
      </c>
      <c r="BM113" s="12">
        <v>0</v>
      </c>
      <c r="BN113" s="12"/>
      <c r="BO113" s="12">
        <v>0</v>
      </c>
      <c r="BP113" s="12">
        <v>0</v>
      </c>
      <c r="BQ113" s="12">
        <v>0</v>
      </c>
      <c r="BR113" s="12">
        <v>0</v>
      </c>
      <c r="BS113" s="12">
        <v>0</v>
      </c>
      <c r="BT113" s="12">
        <v>0</v>
      </c>
      <c r="BU113" s="12">
        <v>0</v>
      </c>
      <c r="BV113" s="12">
        <v>0</v>
      </c>
      <c r="BW113" s="12">
        <v>0</v>
      </c>
      <c r="BX113" s="12">
        <v>0</v>
      </c>
      <c r="BY113" s="12">
        <v>0</v>
      </c>
      <c r="BZ113" s="12">
        <v>0</v>
      </c>
      <c r="CA113" s="12">
        <v>0</v>
      </c>
    </row>
    <row r="114" spans="1:79" hidden="1" x14ac:dyDescent="0.2">
      <c r="A114" s="12" t="s">
        <v>113</v>
      </c>
      <c r="B114" s="12" t="s">
        <v>118</v>
      </c>
      <c r="C114" s="12" t="s">
        <v>118</v>
      </c>
      <c r="D114" s="22" t="s">
        <v>356</v>
      </c>
      <c r="E114" s="22" t="s">
        <v>149</v>
      </c>
      <c r="F114" s="22" t="s">
        <v>764</v>
      </c>
      <c r="G114" s="22" t="s">
        <v>765</v>
      </c>
      <c r="H114" s="22" t="s">
        <v>166</v>
      </c>
      <c r="I114" s="22" t="s">
        <v>151</v>
      </c>
      <c r="J114" s="22" t="s">
        <v>357</v>
      </c>
      <c r="K114" s="22" t="s">
        <v>78</v>
      </c>
      <c r="L114" s="54" t="s">
        <v>153</v>
      </c>
      <c r="M114" s="24" t="s">
        <v>153</v>
      </c>
      <c r="N114" s="24" t="s">
        <v>153</v>
      </c>
      <c r="O114" s="23" t="s">
        <v>153</v>
      </c>
      <c r="P114" s="23" t="s">
        <v>153</v>
      </c>
      <c r="Q114" s="30" t="s">
        <v>1205</v>
      </c>
      <c r="R114" s="23" t="s">
        <v>153</v>
      </c>
      <c r="S114" s="23" t="s">
        <v>153</v>
      </c>
      <c r="T114" s="24" t="s">
        <v>153</v>
      </c>
      <c r="U114" s="24" t="s">
        <v>153</v>
      </c>
      <c r="V114" s="54" t="s">
        <v>153</v>
      </c>
      <c r="W114" s="23" t="s">
        <v>153</v>
      </c>
      <c r="X114" s="23" t="s">
        <v>153</v>
      </c>
      <c r="Y114" s="23" t="s">
        <v>153</v>
      </c>
      <c r="Z114" s="23" t="s">
        <v>153</v>
      </c>
      <c r="AA114" s="24" t="s">
        <v>153</v>
      </c>
      <c r="AB114" s="24" t="s">
        <v>153</v>
      </c>
      <c r="AC114" s="23" t="s">
        <v>153</v>
      </c>
      <c r="AD114" s="23" t="s">
        <v>153</v>
      </c>
      <c r="AE114" s="23" t="s">
        <v>153</v>
      </c>
      <c r="AF114" s="23" t="s">
        <v>153</v>
      </c>
      <c r="AG114" s="23" t="s">
        <v>153</v>
      </c>
      <c r="AH114" s="24" t="s">
        <v>153</v>
      </c>
      <c r="AI114" s="24" t="s">
        <v>153</v>
      </c>
      <c r="AJ114" s="23" t="s">
        <v>153</v>
      </c>
      <c r="AK114" s="23" t="s">
        <v>153</v>
      </c>
      <c r="AL114" s="23" t="s">
        <v>153</v>
      </c>
      <c r="AM114" s="23" t="s">
        <v>153</v>
      </c>
      <c r="AN114" s="23" t="s">
        <v>153</v>
      </c>
      <c r="AO114" s="24" t="s">
        <v>153</v>
      </c>
      <c r="AP114" s="23">
        <f>VALUE(0)</f>
        <v>0</v>
      </c>
      <c r="AQ114" s="23">
        <f>VALUE(0)</f>
        <v>0</v>
      </c>
      <c r="AR114" s="23">
        <f>VALUE(0)</f>
        <v>0</v>
      </c>
      <c r="AS114" s="23">
        <f>VALUE(0)</f>
        <v>0</v>
      </c>
      <c r="AT114" s="23">
        <f>VALUE(0)</f>
        <v>0</v>
      </c>
      <c r="AU114" s="23">
        <f>VALUE(0)</f>
        <v>0</v>
      </c>
      <c r="AV114" s="23">
        <f>VALUE(18)</f>
        <v>18</v>
      </c>
      <c r="AW114" s="23">
        <f>VALUE(0)</f>
        <v>0</v>
      </c>
      <c r="AX114" s="23">
        <f>VALUE(0)</f>
        <v>0</v>
      </c>
      <c r="AY114" s="23">
        <f>VALUE(0)</f>
        <v>0</v>
      </c>
      <c r="AZ114" s="23">
        <f>VALUE(0)</f>
        <v>0</v>
      </c>
      <c r="BA114" s="23">
        <f>VALUE(0)</f>
        <v>0</v>
      </c>
      <c r="BB114" s="23">
        <f>VALUE(0)</f>
        <v>0</v>
      </c>
      <c r="BC114" s="23">
        <f>VALUE(0)</f>
        <v>0</v>
      </c>
      <c r="BD114" s="23">
        <f>VALUE(0)</f>
        <v>0</v>
      </c>
      <c r="BE114" s="23">
        <f>VALUE(0)</f>
        <v>0</v>
      </c>
      <c r="BF114" s="23">
        <f>VALUE(0)</f>
        <v>0</v>
      </c>
      <c r="BG114" s="23">
        <f>VALUE(0)</f>
        <v>0</v>
      </c>
      <c r="BH114" s="23">
        <f>VALUE(0)</f>
        <v>0</v>
      </c>
      <c r="BI114" s="23">
        <f>VALUE(0)</f>
        <v>0</v>
      </c>
      <c r="BJ114" s="23">
        <f>VALUE(0)</f>
        <v>0</v>
      </c>
      <c r="BK114" s="12">
        <f>$AX$114*24</f>
        <v>0</v>
      </c>
      <c r="BL114" s="12">
        <f>$AY$114*24</f>
        <v>0</v>
      </c>
      <c r="BM114" s="12">
        <f>$BJ$114*24</f>
        <v>0</v>
      </c>
      <c r="BN114" s="12">
        <f>VALUE($I$114)/100</f>
        <v>1</v>
      </c>
      <c r="BO114" s="12">
        <v>0</v>
      </c>
      <c r="BP114" s="12">
        <v>0</v>
      </c>
      <c r="BQ114" s="12">
        <v>0</v>
      </c>
      <c r="BR114" s="12">
        <v>0</v>
      </c>
      <c r="BS114" s="12">
        <v>0</v>
      </c>
      <c r="BT114" s="12">
        <v>0</v>
      </c>
      <c r="BU114" s="12">
        <v>0</v>
      </c>
      <c r="BV114" s="12">
        <v>0</v>
      </c>
      <c r="BW114" s="12">
        <v>0</v>
      </c>
      <c r="BX114" s="12">
        <v>0</v>
      </c>
      <c r="BY114" s="12">
        <v>0</v>
      </c>
      <c r="BZ114" s="12">
        <v>0</v>
      </c>
      <c r="CA114" s="12">
        <v>0</v>
      </c>
    </row>
    <row r="115" spans="1:79" hidden="1" x14ac:dyDescent="0.2">
      <c r="A115" s="12" t="s">
        <v>113</v>
      </c>
      <c r="B115" s="12" t="s">
        <v>118</v>
      </c>
      <c r="C115" s="12" t="s">
        <v>118</v>
      </c>
      <c r="D115" s="22" t="s">
        <v>358</v>
      </c>
      <c r="E115" s="22" t="s">
        <v>149</v>
      </c>
      <c r="F115" s="22" t="s">
        <v>766</v>
      </c>
      <c r="G115" s="22" t="s">
        <v>767</v>
      </c>
      <c r="H115" s="22" t="s">
        <v>166</v>
      </c>
      <c r="I115" s="22" t="s">
        <v>151</v>
      </c>
      <c r="J115" s="22" t="s">
        <v>359</v>
      </c>
      <c r="K115" s="22" t="s">
        <v>78</v>
      </c>
      <c r="L115" s="54" t="s">
        <v>153</v>
      </c>
      <c r="M115" s="24" t="s">
        <v>153</v>
      </c>
      <c r="N115" s="24" t="s">
        <v>153</v>
      </c>
      <c r="O115" s="24" t="s">
        <v>156</v>
      </c>
      <c r="P115" s="23" t="s">
        <v>153</v>
      </c>
      <c r="Q115" s="23" t="s">
        <v>153</v>
      </c>
      <c r="R115" s="23" t="s">
        <v>153</v>
      </c>
      <c r="S115" s="23" t="s">
        <v>153</v>
      </c>
      <c r="T115" s="24" t="s">
        <v>153</v>
      </c>
      <c r="U115" s="24" t="s">
        <v>153</v>
      </c>
      <c r="V115" s="54" t="s">
        <v>153</v>
      </c>
      <c r="W115" s="23" t="s">
        <v>153</v>
      </c>
      <c r="X115" s="23" t="s">
        <v>153</v>
      </c>
      <c r="Y115" s="23" t="s">
        <v>153</v>
      </c>
      <c r="Z115" s="23" t="s">
        <v>153</v>
      </c>
      <c r="AA115" s="24" t="s">
        <v>153</v>
      </c>
      <c r="AB115" s="24" t="s">
        <v>153</v>
      </c>
      <c r="AC115" s="24" t="s">
        <v>156</v>
      </c>
      <c r="AD115" s="23" t="s">
        <v>153</v>
      </c>
      <c r="AE115" s="23" t="s">
        <v>153</v>
      </c>
      <c r="AF115" s="23" t="s">
        <v>153</v>
      </c>
      <c r="AG115" s="23" t="s">
        <v>153</v>
      </c>
      <c r="AH115" s="24" t="s">
        <v>153</v>
      </c>
      <c r="AI115" s="24" t="s">
        <v>153</v>
      </c>
      <c r="AJ115" s="23" t="s">
        <v>153</v>
      </c>
      <c r="AK115" s="23" t="s">
        <v>153</v>
      </c>
      <c r="AL115" s="23" t="s">
        <v>153</v>
      </c>
      <c r="AM115" s="23" t="s">
        <v>153</v>
      </c>
      <c r="AN115" s="23" t="s">
        <v>153</v>
      </c>
      <c r="AO115" s="24" t="s">
        <v>153</v>
      </c>
      <c r="AP115" s="23">
        <f>VALUE(0)</f>
        <v>0</v>
      </c>
      <c r="AQ115" s="23">
        <f>VALUE(0)</f>
        <v>0</v>
      </c>
      <c r="AR115" s="23">
        <f>VALUE(0)</f>
        <v>0</v>
      </c>
      <c r="AS115" s="23">
        <f>VALUE(0)</f>
        <v>0</v>
      </c>
      <c r="AT115" s="23">
        <f>VALUE(0)</f>
        <v>0</v>
      </c>
      <c r="AU115" s="23">
        <f>VALUE(0)</f>
        <v>0</v>
      </c>
      <c r="AV115" s="23">
        <f>VALUE(5.5)</f>
        <v>5.5</v>
      </c>
      <c r="AW115" s="23">
        <f>VALUE(0)</f>
        <v>0</v>
      </c>
      <c r="AX115" s="23" t="s">
        <v>1206</v>
      </c>
      <c r="AY115" s="23">
        <f>VALUE(0)</f>
        <v>0</v>
      </c>
      <c r="AZ115" s="23">
        <f>VALUE(0)</f>
        <v>0</v>
      </c>
      <c r="BA115" s="23">
        <f>VALUE(0)</f>
        <v>0</v>
      </c>
      <c r="BB115" s="23">
        <f>VALUE(0)</f>
        <v>0</v>
      </c>
      <c r="BC115" s="23">
        <f>VALUE(0)</f>
        <v>0</v>
      </c>
      <c r="BD115" s="23">
        <f>VALUE(0)</f>
        <v>0</v>
      </c>
      <c r="BE115" s="23">
        <f>VALUE(0)</f>
        <v>0</v>
      </c>
      <c r="BF115" s="23">
        <f>VALUE(0)</f>
        <v>0</v>
      </c>
      <c r="BG115" s="23">
        <f>VALUE(0)</f>
        <v>0</v>
      </c>
      <c r="BH115" s="23">
        <f>VALUE(0)</f>
        <v>0</v>
      </c>
      <c r="BI115" s="23">
        <f>VALUE(0)</f>
        <v>0</v>
      </c>
      <c r="BJ115" s="23">
        <f>VALUE(0)</f>
        <v>0</v>
      </c>
      <c r="BK115" s="12">
        <f>$AX$115*24</f>
        <v>7.8000000000000007</v>
      </c>
      <c r="BL115" s="12">
        <f>$AY$115*24</f>
        <v>0</v>
      </c>
      <c r="BM115" s="12">
        <f>$BJ$115*24</f>
        <v>0</v>
      </c>
      <c r="BN115" s="12">
        <f>VALUE($I$115)/100</f>
        <v>1</v>
      </c>
      <c r="BO115" s="12">
        <v>0</v>
      </c>
      <c r="BP115" s="12">
        <v>0</v>
      </c>
      <c r="BQ115" s="12">
        <v>0</v>
      </c>
      <c r="BR115" s="12">
        <v>0</v>
      </c>
      <c r="BS115" s="12">
        <v>0</v>
      </c>
      <c r="BT115" s="12">
        <v>0</v>
      </c>
      <c r="BU115" s="12">
        <v>0</v>
      </c>
      <c r="BV115" s="12">
        <v>0</v>
      </c>
      <c r="BW115" s="12">
        <v>0</v>
      </c>
      <c r="BX115" s="12">
        <v>0</v>
      </c>
      <c r="BY115" s="12">
        <v>0</v>
      </c>
      <c r="BZ115" s="12">
        <v>0</v>
      </c>
      <c r="CA115" s="12">
        <v>0</v>
      </c>
    </row>
    <row r="116" spans="1:79" ht="15" hidden="1" x14ac:dyDescent="0.25">
      <c r="A116" s="12" t="s">
        <v>113</v>
      </c>
      <c r="B116" s="12" t="s">
        <v>118</v>
      </c>
      <c r="C116" s="12" t="s">
        <v>118</v>
      </c>
      <c r="D116" s="31" t="s">
        <v>246</v>
      </c>
      <c r="E116" s="31" t="s">
        <v>153</v>
      </c>
      <c r="F116" s="31" t="s">
        <v>175</v>
      </c>
      <c r="G116" s="31" t="s">
        <v>153</v>
      </c>
      <c r="H116" s="31" t="s">
        <v>153</v>
      </c>
      <c r="I116" s="31" t="s">
        <v>153</v>
      </c>
      <c r="J116" s="31" t="s">
        <v>153</v>
      </c>
      <c r="K116" s="31" t="s">
        <v>153</v>
      </c>
      <c r="L116" s="31">
        <f>VALUE(0)</f>
        <v>0</v>
      </c>
      <c r="M116" s="31">
        <f>VALUE(0)</f>
        <v>0</v>
      </c>
      <c r="N116" s="31">
        <f>VALUE(0)</f>
        <v>0</v>
      </c>
      <c r="O116" s="31">
        <f>VALUE(1)</f>
        <v>1</v>
      </c>
      <c r="P116" s="31">
        <f>VALUE(2)</f>
        <v>2</v>
      </c>
      <c r="Q116" s="31">
        <f>VALUE(1)</f>
        <v>1</v>
      </c>
      <c r="R116" s="31">
        <f>VALUE(2)</f>
        <v>2</v>
      </c>
      <c r="S116" s="31">
        <f>VALUE(2)</f>
        <v>2</v>
      </c>
      <c r="T116" s="31">
        <f>VALUE(0)</f>
        <v>0</v>
      </c>
      <c r="U116" s="31">
        <f>VALUE(0)</f>
        <v>0</v>
      </c>
      <c r="V116" s="31">
        <f>VALUE(0)</f>
        <v>0</v>
      </c>
      <c r="W116" s="31">
        <f>VALUE(2)</f>
        <v>2</v>
      </c>
      <c r="X116" s="31">
        <f>VALUE(2)</f>
        <v>2</v>
      </c>
      <c r="Y116" s="31">
        <f>VALUE(2)</f>
        <v>2</v>
      </c>
      <c r="Z116" s="31">
        <f>VALUE(2)</f>
        <v>2</v>
      </c>
      <c r="AA116" s="31">
        <f>VALUE(0)</f>
        <v>0</v>
      </c>
      <c r="AB116" s="31">
        <f>VALUE(0)</f>
        <v>0</v>
      </c>
      <c r="AC116" s="31">
        <f>VALUE(1)</f>
        <v>1</v>
      </c>
      <c r="AD116" s="31">
        <f>VALUE(2)</f>
        <v>2</v>
      </c>
      <c r="AE116" s="31">
        <f>VALUE(2)</f>
        <v>2</v>
      </c>
      <c r="AF116" s="31">
        <f>VALUE(2)</f>
        <v>2</v>
      </c>
      <c r="AG116" s="31">
        <f>VALUE(2)</f>
        <v>2</v>
      </c>
      <c r="AH116" s="31">
        <f>VALUE(0)</f>
        <v>0</v>
      </c>
      <c r="AI116" s="31">
        <f>VALUE(0)</f>
        <v>0</v>
      </c>
      <c r="AJ116" s="31">
        <f>VALUE(2)</f>
        <v>2</v>
      </c>
      <c r="AK116" s="31">
        <f>VALUE(2)</f>
        <v>2</v>
      </c>
      <c r="AL116" s="31">
        <f>VALUE(2)</f>
        <v>2</v>
      </c>
      <c r="AM116" s="31">
        <f>VALUE(2)</f>
        <v>2</v>
      </c>
      <c r="AN116" s="31">
        <f>VALUE(2)</f>
        <v>2</v>
      </c>
      <c r="AO116" s="31">
        <f>VALUE(0)</f>
        <v>0</v>
      </c>
      <c r="AP116" s="31">
        <v>0</v>
      </c>
      <c r="AQ116" s="31">
        <v>0</v>
      </c>
      <c r="AR116" s="31">
        <v>0</v>
      </c>
      <c r="AS116" s="31">
        <v>0</v>
      </c>
      <c r="AT116" s="31">
        <v>0</v>
      </c>
      <c r="AU116" s="31">
        <v>0</v>
      </c>
      <c r="AV116" s="31">
        <v>0</v>
      </c>
      <c r="AW116" s="31">
        <v>0</v>
      </c>
      <c r="AX116" s="31">
        <v>0</v>
      </c>
      <c r="AY116" s="31">
        <v>0</v>
      </c>
      <c r="AZ116" s="31">
        <v>0</v>
      </c>
      <c r="BA116" s="31">
        <v>0</v>
      </c>
      <c r="BB116" s="31">
        <v>0</v>
      </c>
      <c r="BC116" s="31">
        <v>0</v>
      </c>
      <c r="BD116" s="31">
        <v>0</v>
      </c>
      <c r="BE116" s="31">
        <v>0</v>
      </c>
      <c r="BF116" s="31">
        <v>0</v>
      </c>
      <c r="BG116" s="31">
        <v>0</v>
      </c>
      <c r="BH116" s="31">
        <v>0</v>
      </c>
      <c r="BI116" s="31">
        <v>0</v>
      </c>
      <c r="BJ116" s="31">
        <v>0</v>
      </c>
      <c r="BK116" s="12">
        <v>0</v>
      </c>
      <c r="BL116" s="12">
        <v>0</v>
      </c>
      <c r="BM116" s="12">
        <v>0</v>
      </c>
      <c r="BN116" s="12"/>
      <c r="BO116" s="12">
        <v>0</v>
      </c>
      <c r="BP116" s="12">
        <v>0</v>
      </c>
      <c r="BQ116" s="12">
        <v>0</v>
      </c>
      <c r="BR116" s="12">
        <v>0</v>
      </c>
      <c r="BS116" s="12">
        <v>0</v>
      </c>
      <c r="BT116" s="12">
        <v>0</v>
      </c>
      <c r="BU116" s="12">
        <v>0</v>
      </c>
      <c r="BV116" s="12">
        <v>0</v>
      </c>
      <c r="BW116" s="12">
        <v>0</v>
      </c>
      <c r="BX116" s="12">
        <v>0</v>
      </c>
      <c r="BY116" s="12">
        <v>0</v>
      </c>
      <c r="BZ116" s="12">
        <v>0</v>
      </c>
      <c r="CA116" s="12">
        <v>0</v>
      </c>
    </row>
    <row r="117" spans="1:79" ht="15" hidden="1" x14ac:dyDescent="0.25">
      <c r="A117" s="12" t="s">
        <v>113</v>
      </c>
      <c r="B117" s="12" t="s">
        <v>119</v>
      </c>
      <c r="C117" s="12" t="s">
        <v>119</v>
      </c>
      <c r="D117" s="31" t="s">
        <v>488</v>
      </c>
      <c r="E117" s="31" t="s">
        <v>153</v>
      </c>
      <c r="F117" s="31" t="s">
        <v>175</v>
      </c>
      <c r="G117" s="31" t="s">
        <v>153</v>
      </c>
      <c r="H117" s="31" t="s">
        <v>153</v>
      </c>
      <c r="I117" s="31" t="s">
        <v>153</v>
      </c>
      <c r="J117" s="31" t="s">
        <v>153</v>
      </c>
      <c r="K117" s="31" t="s">
        <v>153</v>
      </c>
      <c r="L117" s="31">
        <f>VALUE(0)</f>
        <v>0</v>
      </c>
      <c r="M117" s="31">
        <f>VALUE(0)</f>
        <v>0</v>
      </c>
      <c r="N117" s="31">
        <f>VALUE(0)</f>
        <v>0</v>
      </c>
      <c r="O117" s="31">
        <f>VALUE(0)</f>
        <v>0</v>
      </c>
      <c r="P117" s="31">
        <f>VALUE(0)</f>
        <v>0</v>
      </c>
      <c r="Q117" s="31">
        <f>VALUE(0)</f>
        <v>0</v>
      </c>
      <c r="R117" s="31">
        <f>VALUE(0)</f>
        <v>0</v>
      </c>
      <c r="S117" s="31">
        <f>VALUE(0)</f>
        <v>0</v>
      </c>
      <c r="T117" s="31">
        <f>VALUE(0)</f>
        <v>0</v>
      </c>
      <c r="U117" s="31">
        <f>VALUE(0)</f>
        <v>0</v>
      </c>
      <c r="V117" s="31">
        <f>VALUE(0)</f>
        <v>0</v>
      </c>
      <c r="W117" s="31">
        <f>VALUE(0)</f>
        <v>0</v>
      </c>
      <c r="X117" s="31">
        <f>VALUE(0)</f>
        <v>0</v>
      </c>
      <c r="Y117" s="31">
        <f>VALUE(0)</f>
        <v>0</v>
      </c>
      <c r="Z117" s="31">
        <f>VALUE(0)</f>
        <v>0</v>
      </c>
      <c r="AA117" s="31">
        <f>VALUE(0)</f>
        <v>0</v>
      </c>
      <c r="AB117" s="31">
        <f>VALUE(0)</f>
        <v>0</v>
      </c>
      <c r="AC117" s="31">
        <f>VALUE(0)</f>
        <v>0</v>
      </c>
      <c r="AD117" s="31">
        <f>VALUE(0)</f>
        <v>0</v>
      </c>
      <c r="AE117" s="31">
        <f>VALUE(0)</f>
        <v>0</v>
      </c>
      <c r="AF117" s="31">
        <f>VALUE(0)</f>
        <v>0</v>
      </c>
      <c r="AG117" s="31">
        <f>VALUE(0)</f>
        <v>0</v>
      </c>
      <c r="AH117" s="31">
        <f>VALUE(0)</f>
        <v>0</v>
      </c>
      <c r="AI117" s="31">
        <f>VALUE(0)</f>
        <v>0</v>
      </c>
      <c r="AJ117" s="31">
        <f>VALUE(0)</f>
        <v>0</v>
      </c>
      <c r="AK117" s="31">
        <f>VALUE(0)</f>
        <v>0</v>
      </c>
      <c r="AL117" s="31">
        <f>VALUE(0)</f>
        <v>0</v>
      </c>
      <c r="AM117" s="31">
        <f>VALUE(0)</f>
        <v>0</v>
      </c>
      <c r="AN117" s="31">
        <f>VALUE(0)</f>
        <v>0</v>
      </c>
      <c r="AO117" s="31">
        <f>VALUE(0)</f>
        <v>0</v>
      </c>
      <c r="AP117" s="31">
        <v>0</v>
      </c>
      <c r="AQ117" s="31">
        <v>0</v>
      </c>
      <c r="AR117" s="31">
        <v>0</v>
      </c>
      <c r="AS117" s="31">
        <v>0</v>
      </c>
      <c r="AT117" s="31">
        <v>0</v>
      </c>
      <c r="AU117" s="31">
        <v>0</v>
      </c>
      <c r="AV117" s="31">
        <v>0</v>
      </c>
      <c r="AW117" s="31">
        <v>0</v>
      </c>
      <c r="AX117" s="31">
        <v>0</v>
      </c>
      <c r="AY117" s="31">
        <v>0</v>
      </c>
      <c r="AZ117" s="31">
        <v>0</v>
      </c>
      <c r="BA117" s="31">
        <v>0</v>
      </c>
      <c r="BB117" s="31">
        <v>0</v>
      </c>
      <c r="BC117" s="31">
        <v>0</v>
      </c>
      <c r="BD117" s="31">
        <v>0</v>
      </c>
      <c r="BE117" s="31">
        <v>0</v>
      </c>
      <c r="BF117" s="31">
        <v>0</v>
      </c>
      <c r="BG117" s="31">
        <v>0</v>
      </c>
      <c r="BH117" s="31">
        <v>0</v>
      </c>
      <c r="BI117" s="31">
        <v>0</v>
      </c>
      <c r="BJ117" s="31">
        <v>0</v>
      </c>
      <c r="BK117" s="12">
        <v>0</v>
      </c>
      <c r="BL117" s="12">
        <v>0</v>
      </c>
      <c r="BM117" s="12">
        <v>0</v>
      </c>
      <c r="BN117" s="12"/>
      <c r="BO117" s="12">
        <v>0</v>
      </c>
      <c r="BP117" s="12">
        <v>0</v>
      </c>
      <c r="BQ117" s="12">
        <v>0</v>
      </c>
      <c r="BR117" s="12">
        <v>0</v>
      </c>
      <c r="BS117" s="12">
        <v>0</v>
      </c>
      <c r="BT117" s="12">
        <v>0</v>
      </c>
      <c r="BU117" s="12">
        <v>0</v>
      </c>
      <c r="BV117" s="12">
        <v>0</v>
      </c>
      <c r="BW117" s="12">
        <v>0</v>
      </c>
      <c r="BX117" s="12">
        <v>0</v>
      </c>
      <c r="BY117" s="12">
        <v>0</v>
      </c>
      <c r="BZ117" s="12">
        <v>0</v>
      </c>
      <c r="CA117" s="12">
        <v>0</v>
      </c>
    </row>
    <row r="118" spans="1:79" hidden="1" x14ac:dyDescent="0.2">
      <c r="A118" s="12" t="s">
        <v>120</v>
      </c>
      <c r="B118" s="12" t="s">
        <v>121</v>
      </c>
      <c r="C118" s="12" t="s">
        <v>121</v>
      </c>
      <c r="D118" s="22" t="s">
        <v>360</v>
      </c>
      <c r="E118" s="22" t="s">
        <v>161</v>
      </c>
      <c r="F118" s="22" t="s">
        <v>768</v>
      </c>
      <c r="G118" s="22" t="s">
        <v>769</v>
      </c>
      <c r="H118" s="22" t="s">
        <v>150</v>
      </c>
      <c r="I118" s="22" t="s">
        <v>151</v>
      </c>
      <c r="J118" s="22" t="s">
        <v>311</v>
      </c>
      <c r="K118" s="22" t="s">
        <v>80</v>
      </c>
      <c r="L118" s="54" t="s">
        <v>153</v>
      </c>
      <c r="M118" s="24" t="s">
        <v>156</v>
      </c>
      <c r="N118" s="24" t="s">
        <v>153</v>
      </c>
      <c r="O118" s="28" t="s">
        <v>163</v>
      </c>
      <c r="P118" s="28" t="s">
        <v>163</v>
      </c>
      <c r="Q118" s="28" t="s">
        <v>163</v>
      </c>
      <c r="R118" s="28" t="s">
        <v>163</v>
      </c>
      <c r="S118" s="28" t="s">
        <v>163</v>
      </c>
      <c r="T118" s="28" t="s">
        <v>163</v>
      </c>
      <c r="U118" s="24" t="s">
        <v>153</v>
      </c>
      <c r="V118" s="54" t="s">
        <v>153</v>
      </c>
      <c r="W118" s="23" t="s">
        <v>153</v>
      </c>
      <c r="X118" s="23" t="s">
        <v>153</v>
      </c>
      <c r="Y118" s="23" t="s">
        <v>153</v>
      </c>
      <c r="Z118" s="23" t="s">
        <v>153</v>
      </c>
      <c r="AA118" s="24" t="s">
        <v>156</v>
      </c>
      <c r="AB118" s="24" t="s">
        <v>153</v>
      </c>
      <c r="AC118" s="23" t="s">
        <v>153</v>
      </c>
      <c r="AD118" s="23" t="s">
        <v>153</v>
      </c>
      <c r="AE118" s="23" t="s">
        <v>153</v>
      </c>
      <c r="AF118" s="23" t="s">
        <v>153</v>
      </c>
      <c r="AG118" s="23" t="s">
        <v>153</v>
      </c>
      <c r="AH118" s="24" t="s">
        <v>156</v>
      </c>
      <c r="AI118" s="24" t="s">
        <v>153</v>
      </c>
      <c r="AJ118" s="23" t="s">
        <v>153</v>
      </c>
      <c r="AK118" s="23" t="s">
        <v>153</v>
      </c>
      <c r="AL118" s="23" t="s">
        <v>153</v>
      </c>
      <c r="AM118" s="23" t="s">
        <v>153</v>
      </c>
      <c r="AN118" s="23" t="s">
        <v>153</v>
      </c>
      <c r="AO118" s="24" t="s">
        <v>156</v>
      </c>
      <c r="AP118" s="23">
        <f>VALUE(0)</f>
        <v>0</v>
      </c>
      <c r="AQ118" s="23">
        <f>VALUE(0)</f>
        <v>0</v>
      </c>
      <c r="AR118" s="23">
        <f>VALUE(0)</f>
        <v>0</v>
      </c>
      <c r="AS118" s="23">
        <f>VALUE(0)</f>
        <v>0</v>
      </c>
      <c r="AT118" s="23">
        <f>VALUE(0)</f>
        <v>0</v>
      </c>
      <c r="AU118" s="23">
        <f>VALUE(6)</f>
        <v>6</v>
      </c>
      <c r="AV118" s="23">
        <f>VALUE(8)</f>
        <v>8</v>
      </c>
      <c r="AW118" s="23">
        <f>VALUE(0)</f>
        <v>0</v>
      </c>
      <c r="AX118" s="23" t="s">
        <v>171</v>
      </c>
      <c r="AY118" s="23" t="s">
        <v>1207</v>
      </c>
      <c r="AZ118" s="23">
        <f>VALUE(0)</f>
        <v>0</v>
      </c>
      <c r="BA118" s="23">
        <f>VALUE(0)</f>
        <v>0</v>
      </c>
      <c r="BB118" s="23">
        <f>VALUE(0)</f>
        <v>0</v>
      </c>
      <c r="BC118" s="23">
        <f>VALUE(0)</f>
        <v>0</v>
      </c>
      <c r="BD118" s="23">
        <f>VALUE(0)</f>
        <v>0</v>
      </c>
      <c r="BE118" s="23">
        <f>VALUE(0)</f>
        <v>0</v>
      </c>
      <c r="BF118" s="23">
        <f>VALUE(0)</f>
        <v>0</v>
      </c>
      <c r="BG118" s="23">
        <f>VALUE(0)</f>
        <v>0</v>
      </c>
      <c r="BH118" s="23">
        <f>VALUE(0)</f>
        <v>0</v>
      </c>
      <c r="BI118" s="23">
        <f>VALUE(0)</f>
        <v>0</v>
      </c>
      <c r="BJ118" s="23">
        <f>VALUE(0)</f>
        <v>0</v>
      </c>
      <c r="BK118" s="12">
        <f>$AX$118*24</f>
        <v>5.833333333333333</v>
      </c>
      <c r="BL118" s="12">
        <f>$AY$118*24</f>
        <v>74.11666666666666</v>
      </c>
      <c r="BM118" s="12">
        <f>$BJ$118*24</f>
        <v>0</v>
      </c>
      <c r="BN118" s="12">
        <f>VALUE($I$118)/100</f>
        <v>1</v>
      </c>
      <c r="BO118" s="12">
        <v>0</v>
      </c>
      <c r="BP118" s="12">
        <v>0</v>
      </c>
      <c r="BQ118" s="12">
        <v>0</v>
      </c>
      <c r="BR118" s="12">
        <v>0</v>
      </c>
      <c r="BS118" s="12">
        <v>0</v>
      </c>
      <c r="BT118" s="12">
        <v>0</v>
      </c>
      <c r="BU118" s="12">
        <v>0</v>
      </c>
      <c r="BV118" s="12">
        <v>0</v>
      </c>
      <c r="BW118" s="12">
        <v>0</v>
      </c>
      <c r="BX118" s="12">
        <v>0</v>
      </c>
      <c r="BY118" s="12">
        <v>0</v>
      </c>
      <c r="BZ118" s="12">
        <v>0</v>
      </c>
      <c r="CA118" s="12">
        <v>0</v>
      </c>
    </row>
    <row r="119" spans="1:79" ht="16.5" hidden="1" x14ac:dyDescent="0.2">
      <c r="A119" s="12" t="s">
        <v>120</v>
      </c>
      <c r="B119" s="12" t="s">
        <v>121</v>
      </c>
      <c r="C119" s="12" t="s">
        <v>121</v>
      </c>
      <c r="D119" s="22" t="s">
        <v>361</v>
      </c>
      <c r="E119" s="22" t="s">
        <v>161</v>
      </c>
      <c r="F119" s="22" t="s">
        <v>770</v>
      </c>
      <c r="G119" s="22" t="s">
        <v>771</v>
      </c>
      <c r="H119" s="22" t="s">
        <v>150</v>
      </c>
      <c r="I119" s="22" t="s">
        <v>151</v>
      </c>
      <c r="J119" s="22" t="s">
        <v>162</v>
      </c>
      <c r="K119" s="22" t="s">
        <v>80</v>
      </c>
      <c r="L119" s="54" t="s">
        <v>153</v>
      </c>
      <c r="M119" s="23" t="s">
        <v>153</v>
      </c>
      <c r="N119" s="24" t="s">
        <v>153</v>
      </c>
      <c r="O119" s="24" t="s">
        <v>156</v>
      </c>
      <c r="P119" s="24" t="s">
        <v>156</v>
      </c>
      <c r="Q119" s="24" t="s">
        <v>156</v>
      </c>
      <c r="R119" s="26" t="s">
        <v>362</v>
      </c>
      <c r="S119" s="26" t="s">
        <v>362</v>
      </c>
      <c r="T119" s="23" t="s">
        <v>153</v>
      </c>
      <c r="U119" s="24" t="s">
        <v>153</v>
      </c>
      <c r="V119" s="54" t="s">
        <v>153</v>
      </c>
      <c r="W119" s="28" t="s">
        <v>163</v>
      </c>
      <c r="X119" s="28" t="s">
        <v>163</v>
      </c>
      <c r="Y119" s="28" t="s">
        <v>163</v>
      </c>
      <c r="Z119" s="28" t="s">
        <v>163</v>
      </c>
      <c r="AA119" s="28" t="s">
        <v>163</v>
      </c>
      <c r="AB119" s="24" t="s">
        <v>153</v>
      </c>
      <c r="AC119" s="28" t="s">
        <v>163</v>
      </c>
      <c r="AD119" s="28" t="s">
        <v>163</v>
      </c>
      <c r="AE119" s="28" t="s">
        <v>163</v>
      </c>
      <c r="AF119" s="28" t="s">
        <v>163</v>
      </c>
      <c r="AG119" s="26" t="s">
        <v>362</v>
      </c>
      <c r="AH119" s="23" t="s">
        <v>153</v>
      </c>
      <c r="AI119" s="24" t="s">
        <v>153</v>
      </c>
      <c r="AJ119" s="26" t="s">
        <v>362</v>
      </c>
      <c r="AK119" s="26" t="s">
        <v>362</v>
      </c>
      <c r="AL119" s="26" t="s">
        <v>362</v>
      </c>
      <c r="AM119" s="26" t="s">
        <v>362</v>
      </c>
      <c r="AN119" s="26" t="s">
        <v>362</v>
      </c>
      <c r="AO119" s="23" t="s">
        <v>153</v>
      </c>
      <c r="AP119" s="23">
        <f>VALUE(2)</f>
        <v>2</v>
      </c>
      <c r="AQ119" s="23">
        <f>VALUE(0)</f>
        <v>0</v>
      </c>
      <c r="AR119" s="23">
        <f>VALUE(0)</f>
        <v>0</v>
      </c>
      <c r="AS119" s="23">
        <f>VALUE(0)</f>
        <v>0</v>
      </c>
      <c r="AT119" s="23">
        <f>VALUE(0)</f>
        <v>0</v>
      </c>
      <c r="AU119" s="23">
        <f>VALUE(9)</f>
        <v>9</v>
      </c>
      <c r="AV119" s="23">
        <f>VALUE(3)</f>
        <v>3</v>
      </c>
      <c r="AW119" s="23">
        <f>VALUE(0)</f>
        <v>0</v>
      </c>
      <c r="AX119" s="23" t="s">
        <v>171</v>
      </c>
      <c r="AY119" s="23" t="s">
        <v>363</v>
      </c>
      <c r="AZ119" s="23">
        <f>VALUE(0)</f>
        <v>0</v>
      </c>
      <c r="BA119" s="23">
        <f>VALUE(0)</f>
        <v>0</v>
      </c>
      <c r="BB119" s="23">
        <f>VALUE(0)</f>
        <v>0</v>
      </c>
      <c r="BC119" s="23">
        <f>VALUE(0)</f>
        <v>0</v>
      </c>
      <c r="BD119" s="23">
        <f>VALUE(0)</f>
        <v>0</v>
      </c>
      <c r="BE119" s="23">
        <f>VALUE(0)</f>
        <v>0</v>
      </c>
      <c r="BF119" s="23">
        <f>VALUE(0)</f>
        <v>0</v>
      </c>
      <c r="BG119" s="23">
        <f>VALUE(0)</f>
        <v>0</v>
      </c>
      <c r="BH119" s="23">
        <f>VALUE(0)</f>
        <v>0</v>
      </c>
      <c r="BI119" s="23">
        <f>VALUE(0)</f>
        <v>0</v>
      </c>
      <c r="BJ119" s="23">
        <f>VALUE(0)</f>
        <v>0</v>
      </c>
      <c r="BK119" s="12">
        <f>$AX$119*24</f>
        <v>5.833333333333333</v>
      </c>
      <c r="BL119" s="12">
        <f>$AY$119*24</f>
        <v>20.033333333333335</v>
      </c>
      <c r="BM119" s="12">
        <f>$BJ$119*24</f>
        <v>0</v>
      </c>
      <c r="BN119" s="12">
        <f>VALUE($I$119)/100</f>
        <v>1</v>
      </c>
      <c r="BO119" s="12">
        <v>0</v>
      </c>
      <c r="BP119" s="12">
        <v>0</v>
      </c>
      <c r="BQ119" s="12">
        <v>0</v>
      </c>
      <c r="BR119" s="12">
        <v>0</v>
      </c>
      <c r="BS119" s="12">
        <v>0</v>
      </c>
      <c r="BT119" s="12">
        <v>0</v>
      </c>
      <c r="BU119" s="12">
        <v>0</v>
      </c>
      <c r="BV119" s="12">
        <v>0</v>
      </c>
      <c r="BW119" s="12">
        <v>0</v>
      </c>
      <c r="BX119" s="12">
        <v>0</v>
      </c>
      <c r="BY119" s="12">
        <v>0</v>
      </c>
      <c r="BZ119" s="12">
        <v>0</v>
      </c>
      <c r="CA119" s="12">
        <v>0</v>
      </c>
    </row>
    <row r="120" spans="1:79" hidden="1" x14ac:dyDescent="0.2">
      <c r="A120" s="12" t="s">
        <v>120</v>
      </c>
      <c r="B120" s="12" t="s">
        <v>121</v>
      </c>
      <c r="C120" s="12" t="s">
        <v>121</v>
      </c>
      <c r="D120" s="22" t="s">
        <v>364</v>
      </c>
      <c r="E120" s="22" t="s">
        <v>161</v>
      </c>
      <c r="F120" s="22" t="s">
        <v>772</v>
      </c>
      <c r="G120" s="22" t="s">
        <v>773</v>
      </c>
      <c r="H120" s="22" t="s">
        <v>150</v>
      </c>
      <c r="I120" s="22" t="s">
        <v>151</v>
      </c>
      <c r="J120" s="22" t="s">
        <v>162</v>
      </c>
      <c r="K120" s="22" t="s">
        <v>80</v>
      </c>
      <c r="L120" s="54" t="s">
        <v>153</v>
      </c>
      <c r="M120" s="23" t="s">
        <v>153</v>
      </c>
      <c r="N120" s="24" t="s">
        <v>153</v>
      </c>
      <c r="O120" s="23" t="s">
        <v>153</v>
      </c>
      <c r="P120" s="23" t="s">
        <v>153</v>
      </c>
      <c r="Q120" s="23" t="s">
        <v>153</v>
      </c>
      <c r="R120" s="23" t="s">
        <v>153</v>
      </c>
      <c r="S120" s="23" t="s">
        <v>153</v>
      </c>
      <c r="T120" s="23" t="s">
        <v>153</v>
      </c>
      <c r="U120" s="24" t="s">
        <v>153</v>
      </c>
      <c r="V120" s="54" t="s">
        <v>153</v>
      </c>
      <c r="W120" s="23" t="s">
        <v>153</v>
      </c>
      <c r="X120" s="23" t="s">
        <v>153</v>
      </c>
      <c r="Y120" s="23" t="s">
        <v>153</v>
      </c>
      <c r="Z120" s="23" t="s">
        <v>153</v>
      </c>
      <c r="AA120" s="23" t="s">
        <v>153</v>
      </c>
      <c r="AB120" s="24" t="s">
        <v>153</v>
      </c>
      <c r="AC120" s="23" t="s">
        <v>153</v>
      </c>
      <c r="AD120" s="23" t="s">
        <v>153</v>
      </c>
      <c r="AE120" s="23" t="s">
        <v>153</v>
      </c>
      <c r="AF120" s="23" t="s">
        <v>153</v>
      </c>
      <c r="AG120" s="24" t="s">
        <v>156</v>
      </c>
      <c r="AH120" s="24" t="s">
        <v>156</v>
      </c>
      <c r="AI120" s="24" t="s">
        <v>153</v>
      </c>
      <c r="AJ120" s="23" t="s">
        <v>153</v>
      </c>
      <c r="AK120" s="23" t="s">
        <v>153</v>
      </c>
      <c r="AL120" s="23" t="s">
        <v>153</v>
      </c>
      <c r="AM120" s="23" t="s">
        <v>153</v>
      </c>
      <c r="AN120" s="23" t="s">
        <v>153</v>
      </c>
      <c r="AO120" s="23" t="s">
        <v>153</v>
      </c>
      <c r="AP120" s="23">
        <f>VALUE(0)</f>
        <v>0</v>
      </c>
      <c r="AQ120" s="23">
        <f>VALUE(0)</f>
        <v>0</v>
      </c>
      <c r="AR120" s="23">
        <f>VALUE(0)</f>
        <v>0</v>
      </c>
      <c r="AS120" s="23">
        <f>VALUE(0)</f>
        <v>0</v>
      </c>
      <c r="AT120" s="23">
        <f>VALUE(0)</f>
        <v>0</v>
      </c>
      <c r="AU120" s="23">
        <f>VALUE(0)</f>
        <v>0</v>
      </c>
      <c r="AV120" s="23">
        <f>VALUE(10)</f>
        <v>10</v>
      </c>
      <c r="AW120" s="23">
        <f>VALUE(0)</f>
        <v>0</v>
      </c>
      <c r="AX120" s="23" t="s">
        <v>365</v>
      </c>
      <c r="AY120" s="23">
        <f>VALUE(0)</f>
        <v>0</v>
      </c>
      <c r="AZ120" s="23">
        <f>VALUE(0)</f>
        <v>0</v>
      </c>
      <c r="BA120" s="23">
        <f>VALUE(0)</f>
        <v>0</v>
      </c>
      <c r="BB120" s="23">
        <f>VALUE(0)</f>
        <v>0</v>
      </c>
      <c r="BC120" s="23">
        <f>VALUE(0)</f>
        <v>0</v>
      </c>
      <c r="BD120" s="23">
        <f>VALUE(0)</f>
        <v>0</v>
      </c>
      <c r="BE120" s="23">
        <f>VALUE(0)</f>
        <v>0</v>
      </c>
      <c r="BF120" s="23">
        <f>VALUE(0)</f>
        <v>0</v>
      </c>
      <c r="BG120" s="23">
        <f>VALUE(0)</f>
        <v>0</v>
      </c>
      <c r="BH120" s="23">
        <f>VALUE(0)</f>
        <v>0</v>
      </c>
      <c r="BI120" s="23">
        <f>VALUE(0)</f>
        <v>0</v>
      </c>
      <c r="BJ120" s="23">
        <f>VALUE(0)</f>
        <v>0</v>
      </c>
      <c r="BK120" s="12">
        <f>$AX$120*24</f>
        <v>5.3166666666666664</v>
      </c>
      <c r="BL120" s="12">
        <f>$AY$120*24</f>
        <v>0</v>
      </c>
      <c r="BM120" s="12">
        <f>$BJ$120*24</f>
        <v>0</v>
      </c>
      <c r="BN120" s="12">
        <f>VALUE($I$120)/100</f>
        <v>1</v>
      </c>
      <c r="BO120" s="12">
        <v>0</v>
      </c>
      <c r="BP120" s="12">
        <v>0</v>
      </c>
      <c r="BQ120" s="12">
        <v>0</v>
      </c>
      <c r="BR120" s="12">
        <v>0</v>
      </c>
      <c r="BS120" s="12">
        <v>0</v>
      </c>
      <c r="BT120" s="12">
        <v>0</v>
      </c>
      <c r="BU120" s="12">
        <v>0</v>
      </c>
      <c r="BV120" s="12">
        <v>0</v>
      </c>
      <c r="BW120" s="12">
        <v>0</v>
      </c>
      <c r="BX120" s="12">
        <v>0</v>
      </c>
      <c r="BY120" s="12">
        <v>0</v>
      </c>
      <c r="BZ120" s="12">
        <v>0</v>
      </c>
      <c r="CA120" s="12">
        <v>0</v>
      </c>
    </row>
    <row r="121" spans="1:79" ht="16.5" hidden="1" x14ac:dyDescent="0.2">
      <c r="A121" s="12" t="s">
        <v>120</v>
      </c>
      <c r="B121" s="12" t="s">
        <v>121</v>
      </c>
      <c r="C121" s="12" t="s">
        <v>121</v>
      </c>
      <c r="D121" s="22" t="s">
        <v>366</v>
      </c>
      <c r="E121" s="22" t="s">
        <v>159</v>
      </c>
      <c r="F121" s="22" t="s">
        <v>774</v>
      </c>
      <c r="G121" s="22" t="s">
        <v>775</v>
      </c>
      <c r="H121" s="22" t="s">
        <v>150</v>
      </c>
      <c r="I121" s="22" t="s">
        <v>151</v>
      </c>
      <c r="J121" s="22" t="s">
        <v>162</v>
      </c>
      <c r="K121" s="22" t="s">
        <v>80</v>
      </c>
      <c r="L121" s="54" t="s">
        <v>153</v>
      </c>
      <c r="M121" s="23" t="s">
        <v>222</v>
      </c>
      <c r="N121" s="24" t="s">
        <v>153</v>
      </c>
      <c r="O121" s="23" t="s">
        <v>153</v>
      </c>
      <c r="P121" s="23" t="s">
        <v>153</v>
      </c>
      <c r="Q121" s="23" t="s">
        <v>360</v>
      </c>
      <c r="R121" s="23" t="s">
        <v>360</v>
      </c>
      <c r="S121" s="23" t="s">
        <v>360</v>
      </c>
      <c r="T121" s="26" t="s">
        <v>367</v>
      </c>
      <c r="U121" s="24" t="s">
        <v>153</v>
      </c>
      <c r="V121" s="54" t="s">
        <v>153</v>
      </c>
      <c r="W121" s="23" t="s">
        <v>361</v>
      </c>
      <c r="X121" s="23" t="s">
        <v>361</v>
      </c>
      <c r="Y121" s="23" t="s">
        <v>361</v>
      </c>
      <c r="Z121" s="23" t="s">
        <v>361</v>
      </c>
      <c r="AA121" s="23" t="s">
        <v>361</v>
      </c>
      <c r="AB121" s="24" t="s">
        <v>153</v>
      </c>
      <c r="AC121" s="25" t="s">
        <v>361</v>
      </c>
      <c r="AD121" s="23" t="s">
        <v>153</v>
      </c>
      <c r="AE121" s="23" t="s">
        <v>153</v>
      </c>
      <c r="AF121" s="23" t="s">
        <v>153</v>
      </c>
      <c r="AG121" s="23" t="s">
        <v>364</v>
      </c>
      <c r="AH121" s="23" t="s">
        <v>364</v>
      </c>
      <c r="AI121" s="24" t="s">
        <v>153</v>
      </c>
      <c r="AJ121" s="23" t="s">
        <v>153</v>
      </c>
      <c r="AK121" s="23" t="s">
        <v>153</v>
      </c>
      <c r="AL121" s="23" t="s">
        <v>153</v>
      </c>
      <c r="AM121" s="23" t="s">
        <v>153</v>
      </c>
      <c r="AN121" s="24" t="s">
        <v>257</v>
      </c>
      <c r="AO121" s="24" t="s">
        <v>257</v>
      </c>
      <c r="AP121" s="23">
        <f>VALUE(0)</f>
        <v>0</v>
      </c>
      <c r="AQ121" s="23">
        <f>VALUE(0)</f>
        <v>0</v>
      </c>
      <c r="AR121" s="23">
        <f>VALUE(0)</f>
        <v>0</v>
      </c>
      <c r="AS121" s="23">
        <f>VALUE(7)</f>
        <v>7</v>
      </c>
      <c r="AT121" s="23">
        <f>VALUE(0)</f>
        <v>0</v>
      </c>
      <c r="AU121" s="23">
        <f>VALUE(0)</f>
        <v>0</v>
      </c>
      <c r="AV121" s="23">
        <f>VALUE(6)</f>
        <v>6</v>
      </c>
      <c r="AW121" s="23">
        <f>VALUE(0)</f>
        <v>0</v>
      </c>
      <c r="AX121" s="23" t="s">
        <v>227</v>
      </c>
      <c r="AY121" s="23" t="s">
        <v>368</v>
      </c>
      <c r="AZ121" s="23">
        <f>VALUE(0)</f>
        <v>0</v>
      </c>
      <c r="BA121" s="23">
        <f>VALUE(0)</f>
        <v>0</v>
      </c>
      <c r="BB121" s="23">
        <f>VALUE(0)</f>
        <v>0</v>
      </c>
      <c r="BC121" s="23">
        <f>VALUE(0)</f>
        <v>0</v>
      </c>
      <c r="BD121" s="23">
        <f>VALUE(0)</f>
        <v>0</v>
      </c>
      <c r="BE121" s="23">
        <f>VALUE(0)</f>
        <v>0</v>
      </c>
      <c r="BF121" s="23">
        <f>VALUE(0)</f>
        <v>0</v>
      </c>
      <c r="BG121" s="23">
        <f>VALUE(0)</f>
        <v>0</v>
      </c>
      <c r="BH121" s="23">
        <f>VALUE(0)</f>
        <v>0</v>
      </c>
      <c r="BI121" s="23">
        <f>VALUE(0)</f>
        <v>0</v>
      </c>
      <c r="BJ121" s="23">
        <f>VALUE(0)</f>
        <v>0</v>
      </c>
      <c r="BK121" s="12">
        <f>$AX$121*24</f>
        <v>2.8333333333333335</v>
      </c>
      <c r="BL121" s="12">
        <f>$AY$121*24</f>
        <v>3.55</v>
      </c>
      <c r="BM121" s="12">
        <f>$BJ$121*24</f>
        <v>0</v>
      </c>
      <c r="BN121" s="12">
        <f>VALUE($I$121)/100</f>
        <v>1</v>
      </c>
      <c r="BO121" s="12">
        <v>0</v>
      </c>
      <c r="BP121" s="12">
        <v>0</v>
      </c>
      <c r="BQ121" s="12">
        <v>0</v>
      </c>
      <c r="BR121" s="12">
        <v>1</v>
      </c>
      <c r="BS121" s="12">
        <v>0</v>
      </c>
      <c r="BT121" s="12">
        <v>0</v>
      </c>
      <c r="BU121" s="12">
        <v>0</v>
      </c>
      <c r="BV121" s="12">
        <v>0</v>
      </c>
      <c r="BW121" s="12">
        <v>0</v>
      </c>
      <c r="BX121" s="12">
        <v>0</v>
      </c>
      <c r="BY121" s="12">
        <v>0</v>
      </c>
      <c r="BZ121" s="12">
        <v>0</v>
      </c>
      <c r="CA121" s="12">
        <v>0</v>
      </c>
    </row>
    <row r="122" spans="1:79" ht="16.5" hidden="1" x14ac:dyDescent="0.2">
      <c r="A122" s="12" t="s">
        <v>120</v>
      </c>
      <c r="B122" s="12" t="s">
        <v>121</v>
      </c>
      <c r="C122" s="12" t="s">
        <v>121</v>
      </c>
      <c r="D122" s="22" t="s">
        <v>369</v>
      </c>
      <c r="E122" s="22" t="s">
        <v>173</v>
      </c>
      <c r="F122" s="22" t="s">
        <v>776</v>
      </c>
      <c r="G122" s="22" t="s">
        <v>777</v>
      </c>
      <c r="H122" s="22" t="s">
        <v>150</v>
      </c>
      <c r="I122" s="22" t="s">
        <v>151</v>
      </c>
      <c r="J122" s="22" t="s">
        <v>162</v>
      </c>
      <c r="K122" s="22" t="s">
        <v>80</v>
      </c>
      <c r="L122" s="54" t="s">
        <v>153</v>
      </c>
      <c r="M122" s="29" t="s">
        <v>170</v>
      </c>
      <c r="N122" s="24" t="s">
        <v>153</v>
      </c>
      <c r="O122" s="29" t="s">
        <v>170</v>
      </c>
      <c r="P122" s="29" t="s">
        <v>170</v>
      </c>
      <c r="Q122" s="29" t="s">
        <v>170</v>
      </c>
      <c r="R122" s="29" t="s">
        <v>170</v>
      </c>
      <c r="S122" s="29" t="s">
        <v>170</v>
      </c>
      <c r="T122" s="29" t="s">
        <v>170</v>
      </c>
      <c r="U122" s="24" t="s">
        <v>153</v>
      </c>
      <c r="V122" s="54" t="s">
        <v>153</v>
      </c>
      <c r="W122" s="29" t="s">
        <v>170</v>
      </c>
      <c r="X122" s="29" t="s">
        <v>170</v>
      </c>
      <c r="Y122" s="29" t="s">
        <v>170</v>
      </c>
      <c r="Z122" s="29" t="s">
        <v>170</v>
      </c>
      <c r="AA122" s="26" t="s">
        <v>370</v>
      </c>
      <c r="AB122" s="24" t="s">
        <v>153</v>
      </c>
      <c r="AC122" s="25" t="s">
        <v>1208</v>
      </c>
      <c r="AD122" s="23" t="s">
        <v>361</v>
      </c>
      <c r="AE122" s="23" t="s">
        <v>361</v>
      </c>
      <c r="AF122" s="23" t="s">
        <v>361</v>
      </c>
      <c r="AG122" s="24" t="s">
        <v>156</v>
      </c>
      <c r="AH122" s="24" t="s">
        <v>156</v>
      </c>
      <c r="AI122" s="24" t="s">
        <v>153</v>
      </c>
      <c r="AJ122" s="26" t="s">
        <v>1209</v>
      </c>
      <c r="AK122" s="26" t="s">
        <v>1209</v>
      </c>
      <c r="AL122" s="26" t="s">
        <v>1209</v>
      </c>
      <c r="AM122" s="26" t="s">
        <v>367</v>
      </c>
      <c r="AN122" s="26" t="s">
        <v>367</v>
      </c>
      <c r="AO122" s="26" t="s">
        <v>367</v>
      </c>
      <c r="AP122" s="23">
        <f>VALUE(10)</f>
        <v>10</v>
      </c>
      <c r="AQ122" s="23">
        <f>VALUE(0)</f>
        <v>0</v>
      </c>
      <c r="AR122" s="23">
        <f>VALUE(11)</f>
        <v>11</v>
      </c>
      <c r="AS122" s="23">
        <f>VALUE(0)</f>
        <v>0</v>
      </c>
      <c r="AT122" s="23">
        <f>VALUE(0)</f>
        <v>0</v>
      </c>
      <c r="AU122" s="23">
        <f>VALUE(0)</f>
        <v>0</v>
      </c>
      <c r="AV122" s="23">
        <f>VALUE(6)</f>
        <v>6</v>
      </c>
      <c r="AW122" s="23">
        <f>VALUE(0)</f>
        <v>0</v>
      </c>
      <c r="AX122" s="23" t="s">
        <v>171</v>
      </c>
      <c r="AY122" s="23" t="s">
        <v>371</v>
      </c>
      <c r="AZ122" s="23">
        <f>VALUE(0)</f>
        <v>0</v>
      </c>
      <c r="BA122" s="23">
        <f>VALUE(0)</f>
        <v>0</v>
      </c>
      <c r="BB122" s="23">
        <f>VALUE(0)</f>
        <v>0</v>
      </c>
      <c r="BC122" s="23">
        <f>VALUE(0)</f>
        <v>0</v>
      </c>
      <c r="BD122" s="23">
        <f>VALUE(4)</f>
        <v>4</v>
      </c>
      <c r="BE122" s="23">
        <f>VALUE(0)</f>
        <v>0</v>
      </c>
      <c r="BF122" s="23">
        <f>VALUE(0)</f>
        <v>0</v>
      </c>
      <c r="BG122" s="23">
        <f>VALUE(0)</f>
        <v>0</v>
      </c>
      <c r="BH122" s="23">
        <f>VALUE(0)</f>
        <v>0</v>
      </c>
      <c r="BI122" s="23">
        <f>VALUE(0)</f>
        <v>0</v>
      </c>
      <c r="BJ122" s="23">
        <f>VALUE(0)</f>
        <v>0</v>
      </c>
      <c r="BK122" s="12">
        <f>$AX$122*24</f>
        <v>5.833333333333333</v>
      </c>
      <c r="BL122" s="12">
        <f>$AY$122*24</f>
        <v>6.2166666666666668</v>
      </c>
      <c r="BM122" s="12">
        <f>$BJ$122*24</f>
        <v>0</v>
      </c>
      <c r="BN122" s="12">
        <f>VALUE($I$122)/100</f>
        <v>1</v>
      </c>
      <c r="BO122" s="12">
        <v>0</v>
      </c>
      <c r="BP122" s="12">
        <v>0</v>
      </c>
      <c r="BQ122" s="12">
        <v>0</v>
      </c>
      <c r="BR122" s="12">
        <v>1</v>
      </c>
      <c r="BS122" s="12">
        <v>0</v>
      </c>
      <c r="BT122" s="12">
        <v>0</v>
      </c>
      <c r="BU122" s="12">
        <v>11</v>
      </c>
      <c r="BV122" s="12">
        <v>0</v>
      </c>
      <c r="BW122" s="12">
        <v>0</v>
      </c>
      <c r="BX122" s="12">
        <v>0</v>
      </c>
      <c r="BY122" s="12">
        <v>0</v>
      </c>
      <c r="BZ122" s="12">
        <v>0</v>
      </c>
      <c r="CA122" s="12">
        <v>0</v>
      </c>
    </row>
    <row r="123" spans="1:79" ht="16.5" hidden="1" x14ac:dyDescent="0.2">
      <c r="A123" s="12" t="s">
        <v>120</v>
      </c>
      <c r="B123" s="12" t="s">
        <v>121</v>
      </c>
      <c r="C123" s="12" t="s">
        <v>121</v>
      </c>
      <c r="D123" s="22" t="s">
        <v>372</v>
      </c>
      <c r="E123" s="22" t="s">
        <v>173</v>
      </c>
      <c r="F123" s="22" t="s">
        <v>778</v>
      </c>
      <c r="G123" s="22" t="s">
        <v>779</v>
      </c>
      <c r="H123" s="22" t="s">
        <v>150</v>
      </c>
      <c r="I123" s="22" t="s">
        <v>151</v>
      </c>
      <c r="J123" s="22" t="s">
        <v>162</v>
      </c>
      <c r="K123" s="22" t="s">
        <v>80</v>
      </c>
      <c r="L123" s="54" t="s">
        <v>153</v>
      </c>
      <c r="M123" s="24" t="s">
        <v>156</v>
      </c>
      <c r="N123" s="24" t="s">
        <v>153</v>
      </c>
      <c r="O123" s="26" t="s">
        <v>367</v>
      </c>
      <c r="P123" s="26" t="s">
        <v>367</v>
      </c>
      <c r="Q123" s="26" t="s">
        <v>367</v>
      </c>
      <c r="R123" s="26" t="s">
        <v>367</v>
      </c>
      <c r="S123" s="26" t="s">
        <v>367</v>
      </c>
      <c r="T123" s="28" t="s">
        <v>163</v>
      </c>
      <c r="U123" s="24" t="s">
        <v>153</v>
      </c>
      <c r="V123" s="54" t="s">
        <v>153</v>
      </c>
      <c r="W123" s="26" t="s">
        <v>367</v>
      </c>
      <c r="X123" s="26" t="s">
        <v>367</v>
      </c>
      <c r="Y123" s="26" t="s">
        <v>367</v>
      </c>
      <c r="Z123" s="26" t="s">
        <v>367</v>
      </c>
      <c r="AA123" s="26" t="s">
        <v>367</v>
      </c>
      <c r="AB123" s="24" t="s">
        <v>153</v>
      </c>
      <c r="AC123" s="26" t="s">
        <v>367</v>
      </c>
      <c r="AD123" s="26" t="s">
        <v>367</v>
      </c>
      <c r="AE123" s="26" t="s">
        <v>367</v>
      </c>
      <c r="AF123" s="26" t="s">
        <v>367</v>
      </c>
      <c r="AG123" s="26" t="s">
        <v>367</v>
      </c>
      <c r="AH123" s="26" t="s">
        <v>367</v>
      </c>
      <c r="AI123" s="24" t="s">
        <v>153</v>
      </c>
      <c r="AJ123" s="26" t="s">
        <v>367</v>
      </c>
      <c r="AK123" s="26" t="s">
        <v>367</v>
      </c>
      <c r="AL123" s="26" t="s">
        <v>367</v>
      </c>
      <c r="AM123" s="24" t="s">
        <v>156</v>
      </c>
      <c r="AN123" s="24" t="s">
        <v>156</v>
      </c>
      <c r="AO123" s="24" t="s">
        <v>156</v>
      </c>
      <c r="AP123" s="23">
        <f>VALUE(2)</f>
        <v>2</v>
      </c>
      <c r="AQ123" s="23">
        <f>VALUE(0)</f>
        <v>0</v>
      </c>
      <c r="AR123" s="23">
        <f>VALUE(0)</f>
        <v>0</v>
      </c>
      <c r="AS123" s="23">
        <f>VALUE(0)</f>
        <v>0</v>
      </c>
      <c r="AT123" s="23">
        <f>VALUE(0)</f>
        <v>0</v>
      </c>
      <c r="AU123" s="23">
        <f>VALUE(1)</f>
        <v>1</v>
      </c>
      <c r="AV123" s="23">
        <f>VALUE(6)</f>
        <v>6</v>
      </c>
      <c r="AW123" s="23">
        <f>VALUE(0)</f>
        <v>0</v>
      </c>
      <c r="AX123" s="23" t="s">
        <v>176</v>
      </c>
      <c r="AY123" s="23" t="s">
        <v>373</v>
      </c>
      <c r="AZ123" s="23">
        <f>VALUE(0)</f>
        <v>0</v>
      </c>
      <c r="BA123" s="23">
        <f>VALUE(0)</f>
        <v>0</v>
      </c>
      <c r="BB123" s="23">
        <f>VALUE(0)</f>
        <v>0</v>
      </c>
      <c r="BC123" s="23">
        <f>VALUE(0)</f>
        <v>0</v>
      </c>
      <c r="BD123" s="23">
        <f>VALUE(0)</f>
        <v>0</v>
      </c>
      <c r="BE123" s="23">
        <f>VALUE(0)</f>
        <v>0</v>
      </c>
      <c r="BF123" s="23">
        <f>VALUE(0)</f>
        <v>0</v>
      </c>
      <c r="BG123" s="23">
        <f>VALUE(0)</f>
        <v>0</v>
      </c>
      <c r="BH123" s="23">
        <f>VALUE(0)</f>
        <v>0</v>
      </c>
      <c r="BI123" s="23">
        <f>VALUE(0)</f>
        <v>0</v>
      </c>
      <c r="BJ123" s="23">
        <f>VALUE(0)</f>
        <v>0</v>
      </c>
      <c r="BK123" s="12">
        <f>$AX$123*24</f>
        <v>0</v>
      </c>
      <c r="BL123" s="12">
        <f>$AY$123*24</f>
        <v>12.166666666666666</v>
      </c>
      <c r="BM123" s="12">
        <f>$BJ$123*24</f>
        <v>0</v>
      </c>
      <c r="BN123" s="12">
        <f>VALUE($I$123)/100</f>
        <v>1</v>
      </c>
      <c r="BO123" s="12">
        <v>0</v>
      </c>
      <c r="BP123" s="12">
        <v>0</v>
      </c>
      <c r="BQ123" s="12">
        <v>0</v>
      </c>
      <c r="BR123" s="12">
        <v>0</v>
      </c>
      <c r="BS123" s="12">
        <v>0</v>
      </c>
      <c r="BT123" s="12">
        <v>0</v>
      </c>
      <c r="BU123" s="12">
        <v>0</v>
      </c>
      <c r="BV123" s="12">
        <v>0</v>
      </c>
      <c r="BW123" s="12">
        <v>0</v>
      </c>
      <c r="BX123" s="12">
        <v>0</v>
      </c>
      <c r="BY123" s="12">
        <v>0</v>
      </c>
      <c r="BZ123" s="12">
        <v>0</v>
      </c>
      <c r="CA123" s="12">
        <v>0</v>
      </c>
    </row>
    <row r="124" spans="1:79" ht="15" hidden="1" x14ac:dyDescent="0.25">
      <c r="A124" s="12" t="s">
        <v>120</v>
      </c>
      <c r="B124" s="12" t="s">
        <v>121</v>
      </c>
      <c r="C124" s="12" t="s">
        <v>121</v>
      </c>
      <c r="D124" s="31" t="s">
        <v>323</v>
      </c>
      <c r="E124" s="31" t="s">
        <v>153</v>
      </c>
      <c r="F124" s="31" t="s">
        <v>175</v>
      </c>
      <c r="G124" s="31" t="s">
        <v>153</v>
      </c>
      <c r="H124" s="31" t="s">
        <v>153</v>
      </c>
      <c r="I124" s="31" t="s">
        <v>153</v>
      </c>
      <c r="J124" s="31" t="s">
        <v>153</v>
      </c>
      <c r="K124" s="31" t="s">
        <v>153</v>
      </c>
      <c r="L124" s="31">
        <f>VALUE(0)</f>
        <v>0</v>
      </c>
      <c r="M124" s="31">
        <f>VALUE(3)</f>
        <v>3</v>
      </c>
      <c r="N124" s="31">
        <f>VALUE(0)</f>
        <v>0</v>
      </c>
      <c r="O124" s="31">
        <f>VALUE(2)</f>
        <v>2</v>
      </c>
      <c r="P124" s="31">
        <f>VALUE(2)</f>
        <v>2</v>
      </c>
      <c r="Q124" s="31">
        <f>VALUE(3)</f>
        <v>3</v>
      </c>
      <c r="R124" s="31">
        <f>VALUE(4)</f>
        <v>4</v>
      </c>
      <c r="S124" s="31">
        <f>VALUE(4)</f>
        <v>4</v>
      </c>
      <c r="T124" s="31">
        <f>VALUE(3)</f>
        <v>3</v>
      </c>
      <c r="U124" s="31">
        <f>VALUE(0)</f>
        <v>0</v>
      </c>
      <c r="V124" s="31">
        <f>VALUE(0)</f>
        <v>0</v>
      </c>
      <c r="W124" s="31">
        <f>VALUE(4)</f>
        <v>4</v>
      </c>
      <c r="X124" s="31">
        <f>VALUE(4)</f>
        <v>4</v>
      </c>
      <c r="Y124" s="31">
        <f>VALUE(4)</f>
        <v>4</v>
      </c>
      <c r="Z124" s="31">
        <f>VALUE(4)</f>
        <v>4</v>
      </c>
      <c r="AA124" s="31">
        <f>VALUE(4)</f>
        <v>4</v>
      </c>
      <c r="AB124" s="31">
        <f>VALUE(0)</f>
        <v>0</v>
      </c>
      <c r="AC124" s="31">
        <f>VALUE(5)</f>
        <v>5</v>
      </c>
      <c r="AD124" s="31">
        <f>VALUE(5)</f>
        <v>5</v>
      </c>
      <c r="AE124" s="31">
        <f>VALUE(5)</f>
        <v>5</v>
      </c>
      <c r="AF124" s="31">
        <f>VALUE(5)</f>
        <v>5</v>
      </c>
      <c r="AG124" s="31">
        <f>VALUE(4)</f>
        <v>4</v>
      </c>
      <c r="AH124" s="31">
        <f>VALUE(3)</f>
        <v>3</v>
      </c>
      <c r="AI124" s="31">
        <f>VALUE(0)</f>
        <v>0</v>
      </c>
      <c r="AJ124" s="31">
        <f>VALUE(6)</f>
        <v>6</v>
      </c>
      <c r="AK124" s="31">
        <f>VALUE(6)</f>
        <v>6</v>
      </c>
      <c r="AL124" s="31">
        <f>VALUE(6)</f>
        <v>6</v>
      </c>
      <c r="AM124" s="31">
        <f>VALUE(5)</f>
        <v>5</v>
      </c>
      <c r="AN124" s="31">
        <f>VALUE(4)</f>
        <v>4</v>
      </c>
      <c r="AO124" s="31">
        <f>VALUE(3)</f>
        <v>3</v>
      </c>
      <c r="AP124" s="31">
        <v>0</v>
      </c>
      <c r="AQ124" s="31">
        <v>0</v>
      </c>
      <c r="AR124" s="31">
        <v>0</v>
      </c>
      <c r="AS124" s="31">
        <v>0</v>
      </c>
      <c r="AT124" s="31">
        <v>0</v>
      </c>
      <c r="AU124" s="31">
        <v>0</v>
      </c>
      <c r="AV124" s="31">
        <v>0</v>
      </c>
      <c r="AW124" s="31">
        <v>0</v>
      </c>
      <c r="AX124" s="31">
        <v>0</v>
      </c>
      <c r="AY124" s="31">
        <v>0</v>
      </c>
      <c r="AZ124" s="31">
        <v>0</v>
      </c>
      <c r="BA124" s="31">
        <v>0</v>
      </c>
      <c r="BB124" s="31">
        <v>0</v>
      </c>
      <c r="BC124" s="31">
        <v>0</v>
      </c>
      <c r="BD124" s="31">
        <v>0</v>
      </c>
      <c r="BE124" s="31">
        <v>0</v>
      </c>
      <c r="BF124" s="31">
        <v>0</v>
      </c>
      <c r="BG124" s="31">
        <v>0</v>
      </c>
      <c r="BH124" s="31">
        <v>0</v>
      </c>
      <c r="BI124" s="31">
        <v>0</v>
      </c>
      <c r="BJ124" s="31">
        <v>0</v>
      </c>
      <c r="BK124" s="12">
        <v>0</v>
      </c>
      <c r="BL124" s="12">
        <v>0</v>
      </c>
      <c r="BM124" s="12">
        <v>0</v>
      </c>
      <c r="BN124" s="12"/>
      <c r="BO124" s="12">
        <v>0</v>
      </c>
      <c r="BP124" s="12">
        <v>0</v>
      </c>
      <c r="BQ124" s="12">
        <v>0</v>
      </c>
      <c r="BR124" s="12">
        <v>0</v>
      </c>
      <c r="BS124" s="12">
        <v>0</v>
      </c>
      <c r="BT124" s="12">
        <v>0</v>
      </c>
      <c r="BU124" s="12">
        <v>0</v>
      </c>
      <c r="BV124" s="12">
        <v>0</v>
      </c>
      <c r="BW124" s="12">
        <v>0</v>
      </c>
      <c r="BX124" s="12">
        <v>0</v>
      </c>
      <c r="BY124" s="12">
        <v>0</v>
      </c>
      <c r="BZ124" s="12">
        <v>0</v>
      </c>
      <c r="CA124" s="12">
        <v>0</v>
      </c>
    </row>
    <row r="125" spans="1:79" ht="16.5" hidden="1" x14ac:dyDescent="0.2">
      <c r="A125" s="12" t="s">
        <v>120</v>
      </c>
      <c r="B125" s="12" t="s">
        <v>122</v>
      </c>
      <c r="C125" s="12" t="s">
        <v>122</v>
      </c>
      <c r="D125" s="22" t="s">
        <v>374</v>
      </c>
      <c r="E125" s="22" t="s">
        <v>173</v>
      </c>
      <c r="F125" s="22" t="s">
        <v>780</v>
      </c>
      <c r="G125" s="22" t="s">
        <v>781</v>
      </c>
      <c r="H125" s="22" t="s">
        <v>150</v>
      </c>
      <c r="I125" s="22" t="s">
        <v>151</v>
      </c>
      <c r="J125" s="22" t="s">
        <v>162</v>
      </c>
      <c r="K125" s="22" t="s">
        <v>81</v>
      </c>
      <c r="L125" s="54" t="s">
        <v>153</v>
      </c>
      <c r="M125" s="26" t="s">
        <v>591</v>
      </c>
      <c r="N125" s="24" t="s">
        <v>153</v>
      </c>
      <c r="O125" s="23" t="s">
        <v>391</v>
      </c>
      <c r="P125" s="23" t="s">
        <v>391</v>
      </c>
      <c r="Q125" s="26" t="s">
        <v>591</v>
      </c>
      <c r="R125" s="26" t="s">
        <v>591</v>
      </c>
      <c r="S125" s="26" t="s">
        <v>591</v>
      </c>
      <c r="T125" s="26" t="s">
        <v>591</v>
      </c>
      <c r="U125" s="24" t="s">
        <v>153</v>
      </c>
      <c r="V125" s="54" t="s">
        <v>153</v>
      </c>
      <c r="W125" s="26" t="s">
        <v>591</v>
      </c>
      <c r="X125" s="26" t="s">
        <v>591</v>
      </c>
      <c r="Y125" s="26" t="s">
        <v>591</v>
      </c>
      <c r="Z125" s="26" t="s">
        <v>591</v>
      </c>
      <c r="AA125" s="26" t="s">
        <v>591</v>
      </c>
      <c r="AB125" s="24" t="s">
        <v>153</v>
      </c>
      <c r="AC125" s="26" t="s">
        <v>591</v>
      </c>
      <c r="AD125" s="26" t="s">
        <v>591</v>
      </c>
      <c r="AE125" s="26" t="s">
        <v>591</v>
      </c>
      <c r="AF125" s="26" t="s">
        <v>591</v>
      </c>
      <c r="AG125" s="24" t="s">
        <v>156</v>
      </c>
      <c r="AH125" s="24" t="s">
        <v>156</v>
      </c>
      <c r="AI125" s="24" t="s">
        <v>153</v>
      </c>
      <c r="AJ125" s="25" t="s">
        <v>385</v>
      </c>
      <c r="AK125" s="26" t="s">
        <v>1210</v>
      </c>
      <c r="AL125" s="25" t="s">
        <v>429</v>
      </c>
      <c r="AM125" s="25" t="s">
        <v>429</v>
      </c>
      <c r="AN125" s="25" t="s">
        <v>429</v>
      </c>
      <c r="AO125" s="25" t="s">
        <v>429</v>
      </c>
      <c r="AP125" s="23">
        <f>VALUE(1)</f>
        <v>1</v>
      </c>
      <c r="AQ125" s="23">
        <f>VALUE(0)</f>
        <v>0</v>
      </c>
      <c r="AR125" s="23">
        <f>VALUE(0)</f>
        <v>0</v>
      </c>
      <c r="AS125" s="23">
        <f>VALUE(0)</f>
        <v>0</v>
      </c>
      <c r="AT125" s="23">
        <f>VALUE(0)</f>
        <v>0</v>
      </c>
      <c r="AU125" s="23">
        <f>VALUE(0)</f>
        <v>0</v>
      </c>
      <c r="AV125" s="23">
        <f>VALUE(5)</f>
        <v>5</v>
      </c>
      <c r="AW125" s="23">
        <f>VALUE(0)</f>
        <v>0</v>
      </c>
      <c r="AX125" s="23" t="s">
        <v>171</v>
      </c>
      <c r="AY125" s="23" t="s">
        <v>387</v>
      </c>
      <c r="AZ125" s="23">
        <f>VALUE(0)</f>
        <v>0</v>
      </c>
      <c r="BA125" s="23">
        <f>VALUE(0)</f>
        <v>0</v>
      </c>
      <c r="BB125" s="23">
        <f>VALUE(0)</f>
        <v>0</v>
      </c>
      <c r="BC125" s="23">
        <f>VALUE(0)</f>
        <v>0</v>
      </c>
      <c r="BD125" s="23">
        <f>VALUE(0)</f>
        <v>0</v>
      </c>
      <c r="BE125" s="23">
        <f>VALUE(0)</f>
        <v>0</v>
      </c>
      <c r="BF125" s="23">
        <f>VALUE(0)</f>
        <v>0</v>
      </c>
      <c r="BG125" s="23">
        <f>VALUE(0)</f>
        <v>0</v>
      </c>
      <c r="BH125" s="23">
        <f>VALUE(0)</f>
        <v>0</v>
      </c>
      <c r="BI125" s="23">
        <f>VALUE(0)</f>
        <v>0</v>
      </c>
      <c r="BJ125" s="23">
        <f>VALUE(0)</f>
        <v>0</v>
      </c>
      <c r="BK125" s="12">
        <f>$AX$125*24</f>
        <v>5.833333333333333</v>
      </c>
      <c r="BL125" s="12">
        <f>$AY$125*24</f>
        <v>3.35</v>
      </c>
      <c r="BM125" s="12">
        <f>$BJ$125*24</f>
        <v>0</v>
      </c>
      <c r="BN125" s="12">
        <f>VALUE($I$125)/100</f>
        <v>1</v>
      </c>
      <c r="BO125" s="12">
        <v>0</v>
      </c>
      <c r="BP125" s="12">
        <v>0</v>
      </c>
      <c r="BQ125" s="12">
        <v>0</v>
      </c>
      <c r="BR125" s="12">
        <v>0</v>
      </c>
      <c r="BS125" s="12">
        <v>0</v>
      </c>
      <c r="BT125" s="12">
        <v>0</v>
      </c>
      <c r="BU125" s="12">
        <v>0</v>
      </c>
      <c r="BV125" s="12">
        <v>0</v>
      </c>
      <c r="BW125" s="12">
        <v>0</v>
      </c>
      <c r="BX125" s="12">
        <v>0</v>
      </c>
      <c r="BY125" s="12">
        <v>0</v>
      </c>
      <c r="BZ125" s="12">
        <v>0</v>
      </c>
      <c r="CA125" s="12">
        <v>0</v>
      </c>
    </row>
    <row r="126" spans="1:79" hidden="1" x14ac:dyDescent="0.2">
      <c r="A126" s="12" t="s">
        <v>120</v>
      </c>
      <c r="B126" s="12" t="s">
        <v>122</v>
      </c>
      <c r="C126" s="12" t="s">
        <v>122</v>
      </c>
      <c r="D126" s="22" t="s">
        <v>377</v>
      </c>
      <c r="E126" s="22" t="s">
        <v>159</v>
      </c>
      <c r="F126" s="22" t="s">
        <v>782</v>
      </c>
      <c r="G126" s="22" t="s">
        <v>783</v>
      </c>
      <c r="H126" s="22" t="s">
        <v>150</v>
      </c>
      <c r="I126" s="22" t="s">
        <v>151</v>
      </c>
      <c r="J126" s="22" t="s">
        <v>162</v>
      </c>
      <c r="K126" s="22" t="s">
        <v>81</v>
      </c>
      <c r="L126" s="54" t="s">
        <v>153</v>
      </c>
      <c r="M126" s="28" t="s">
        <v>163</v>
      </c>
      <c r="N126" s="24" t="s">
        <v>153</v>
      </c>
      <c r="O126" s="25" t="s">
        <v>388</v>
      </c>
      <c r="P126" s="24" t="s">
        <v>156</v>
      </c>
      <c r="Q126" s="23" t="s">
        <v>153</v>
      </c>
      <c r="R126" s="23" t="s">
        <v>153</v>
      </c>
      <c r="S126" s="23" t="s">
        <v>153</v>
      </c>
      <c r="T126" s="23" t="s">
        <v>153</v>
      </c>
      <c r="U126" s="24" t="s">
        <v>153</v>
      </c>
      <c r="V126" s="54" t="s">
        <v>153</v>
      </c>
      <c r="W126" s="23" t="s">
        <v>153</v>
      </c>
      <c r="X126" s="23" t="s">
        <v>153</v>
      </c>
      <c r="Y126" s="23" t="s">
        <v>153</v>
      </c>
      <c r="Z126" s="23" t="s">
        <v>153</v>
      </c>
      <c r="AA126" s="23" t="s">
        <v>153</v>
      </c>
      <c r="AB126" s="24" t="s">
        <v>153</v>
      </c>
      <c r="AC126" s="23" t="s">
        <v>153</v>
      </c>
      <c r="AD126" s="23" t="s">
        <v>153</v>
      </c>
      <c r="AE126" s="24" t="s">
        <v>156</v>
      </c>
      <c r="AF126" s="24" t="s">
        <v>156</v>
      </c>
      <c r="AG126" s="23" t="s">
        <v>386</v>
      </c>
      <c r="AH126" s="23" t="s">
        <v>392</v>
      </c>
      <c r="AI126" s="24" t="s">
        <v>153</v>
      </c>
      <c r="AJ126" s="23" t="s">
        <v>153</v>
      </c>
      <c r="AK126" s="23" t="s">
        <v>153</v>
      </c>
      <c r="AL126" s="23" t="s">
        <v>153</v>
      </c>
      <c r="AM126" s="23" t="s">
        <v>153</v>
      </c>
      <c r="AN126" s="23" t="s">
        <v>153</v>
      </c>
      <c r="AO126" s="23" t="s">
        <v>153</v>
      </c>
      <c r="AP126" s="23">
        <f>VALUE(0)</f>
        <v>0</v>
      </c>
      <c r="AQ126" s="23">
        <f>VALUE(0)</f>
        <v>0</v>
      </c>
      <c r="AR126" s="23">
        <f>VALUE(0)</f>
        <v>0</v>
      </c>
      <c r="AS126" s="23">
        <f>VALUE(17)</f>
        <v>17</v>
      </c>
      <c r="AT126" s="23">
        <f>VALUE(0)</f>
        <v>0</v>
      </c>
      <c r="AU126" s="23">
        <f>VALUE(1)</f>
        <v>1</v>
      </c>
      <c r="AV126" s="23">
        <f>VALUE(0)</f>
        <v>0</v>
      </c>
      <c r="AW126" s="23">
        <f>VALUE(0)</f>
        <v>0</v>
      </c>
      <c r="AX126" s="23" t="s">
        <v>394</v>
      </c>
      <c r="AY126" s="23" t="s">
        <v>395</v>
      </c>
      <c r="AZ126" s="23">
        <f>VALUE(0)</f>
        <v>0</v>
      </c>
      <c r="BA126" s="23">
        <f>VALUE(0)</f>
        <v>0</v>
      </c>
      <c r="BB126" s="23">
        <f>VALUE(0)</f>
        <v>0</v>
      </c>
      <c r="BC126" s="23">
        <f>VALUE(0)</f>
        <v>0</v>
      </c>
      <c r="BD126" s="23">
        <f>VALUE(0)</f>
        <v>0</v>
      </c>
      <c r="BE126" s="23">
        <f>VALUE(0)</f>
        <v>0</v>
      </c>
      <c r="BF126" s="23">
        <f>VALUE(0)</f>
        <v>0</v>
      </c>
      <c r="BG126" s="23">
        <f>VALUE(0)</f>
        <v>0</v>
      </c>
      <c r="BH126" s="23">
        <f>VALUE(0)</f>
        <v>0</v>
      </c>
      <c r="BI126" s="23">
        <f>VALUE(0)</f>
        <v>0</v>
      </c>
      <c r="BJ126" s="23">
        <f>VALUE(0)</f>
        <v>0</v>
      </c>
      <c r="BK126" s="12">
        <f>$AX$126*24</f>
        <v>9.3333333333333339</v>
      </c>
      <c r="BL126" s="12">
        <f>$AY$126*24</f>
        <v>12.033333333333333</v>
      </c>
      <c r="BM126" s="12">
        <f>$BJ$126*24</f>
        <v>0</v>
      </c>
      <c r="BN126" s="12">
        <f>VALUE($I$126)/100</f>
        <v>1</v>
      </c>
      <c r="BO126" s="12">
        <v>0</v>
      </c>
      <c r="BP126" s="12">
        <v>0</v>
      </c>
      <c r="BQ126" s="12">
        <v>0</v>
      </c>
      <c r="BR126" s="12">
        <v>0</v>
      </c>
      <c r="BS126" s="12">
        <v>0</v>
      </c>
      <c r="BT126" s="12">
        <v>0</v>
      </c>
      <c r="BU126" s="12">
        <v>0</v>
      </c>
      <c r="BV126" s="12">
        <v>0</v>
      </c>
      <c r="BW126" s="12">
        <v>0</v>
      </c>
      <c r="BX126" s="12">
        <v>0</v>
      </c>
      <c r="BY126" s="12">
        <v>0</v>
      </c>
      <c r="BZ126" s="12">
        <v>0</v>
      </c>
      <c r="CA126" s="12">
        <v>0</v>
      </c>
    </row>
    <row r="127" spans="1:79" hidden="1" x14ac:dyDescent="0.2">
      <c r="A127" s="12" t="s">
        <v>120</v>
      </c>
      <c r="B127" s="12" t="s">
        <v>122</v>
      </c>
      <c r="C127" s="12" t="s">
        <v>122</v>
      </c>
      <c r="D127" s="22" t="s">
        <v>396</v>
      </c>
      <c r="E127" s="22" t="s">
        <v>159</v>
      </c>
      <c r="F127" s="22" t="s">
        <v>784</v>
      </c>
      <c r="G127" s="22" t="s">
        <v>785</v>
      </c>
      <c r="H127" s="22" t="s">
        <v>166</v>
      </c>
      <c r="I127" s="22" t="s">
        <v>151</v>
      </c>
      <c r="J127" s="22" t="s">
        <v>162</v>
      </c>
      <c r="K127" s="22" t="s">
        <v>81</v>
      </c>
      <c r="L127" s="54" t="s">
        <v>153</v>
      </c>
      <c r="M127" s="28" t="s">
        <v>163</v>
      </c>
      <c r="N127" s="24" t="s">
        <v>153</v>
      </c>
      <c r="O127" s="28" t="s">
        <v>163</v>
      </c>
      <c r="P127" s="28" t="s">
        <v>163</v>
      </c>
      <c r="Q127" s="28" t="s">
        <v>163</v>
      </c>
      <c r="R127" s="28" t="s">
        <v>163</v>
      </c>
      <c r="S127" s="28" t="s">
        <v>163</v>
      </c>
      <c r="T127" s="28" t="s">
        <v>163</v>
      </c>
      <c r="U127" s="24" t="s">
        <v>153</v>
      </c>
      <c r="V127" s="54" t="s">
        <v>153</v>
      </c>
      <c r="W127" s="23" t="s">
        <v>391</v>
      </c>
      <c r="X127" s="23" t="s">
        <v>391</v>
      </c>
      <c r="Y127" s="23" t="s">
        <v>391</v>
      </c>
      <c r="Z127" s="23" t="s">
        <v>391</v>
      </c>
      <c r="AA127" s="23" t="s">
        <v>391</v>
      </c>
      <c r="AB127" s="24" t="s">
        <v>153</v>
      </c>
      <c r="AC127" s="24" t="s">
        <v>156</v>
      </c>
      <c r="AD127" s="24" t="s">
        <v>156</v>
      </c>
      <c r="AE127" s="23" t="s">
        <v>383</v>
      </c>
      <c r="AF127" s="23" t="s">
        <v>383</v>
      </c>
      <c r="AG127" s="23" t="s">
        <v>383</v>
      </c>
      <c r="AH127" s="23" t="s">
        <v>383</v>
      </c>
      <c r="AI127" s="24" t="s">
        <v>153</v>
      </c>
      <c r="AJ127" s="23" t="s">
        <v>153</v>
      </c>
      <c r="AK127" s="23" t="s">
        <v>153</v>
      </c>
      <c r="AL127" s="29" t="s">
        <v>218</v>
      </c>
      <c r="AM127" s="23" t="s">
        <v>153</v>
      </c>
      <c r="AN127" s="23" t="s">
        <v>153</v>
      </c>
      <c r="AO127" s="23" t="s">
        <v>153</v>
      </c>
      <c r="AP127" s="23">
        <f>VALUE(0)</f>
        <v>0</v>
      </c>
      <c r="AQ127" s="23">
        <f>VALUE(0)</f>
        <v>0</v>
      </c>
      <c r="AR127" s="23">
        <f>VALUE(1)</f>
        <v>1</v>
      </c>
      <c r="AS127" s="23">
        <f>VALUE(5)</f>
        <v>5</v>
      </c>
      <c r="AT127" s="23">
        <f>VALUE(0)</f>
        <v>0</v>
      </c>
      <c r="AU127" s="23">
        <f>VALUE(7)</f>
        <v>7</v>
      </c>
      <c r="AV127" s="23">
        <f>VALUE(2.5)</f>
        <v>2.5</v>
      </c>
      <c r="AW127" s="23">
        <f>VALUE(0)</f>
        <v>0</v>
      </c>
      <c r="AX127" s="23" t="s">
        <v>1211</v>
      </c>
      <c r="AY127" s="23">
        <f>VALUE(0)</f>
        <v>0</v>
      </c>
      <c r="AZ127" s="23">
        <f>VALUE(0)</f>
        <v>0</v>
      </c>
      <c r="BA127" s="23">
        <f>VALUE(0)</f>
        <v>0</v>
      </c>
      <c r="BB127" s="23">
        <f>VALUE(0)</f>
        <v>0</v>
      </c>
      <c r="BC127" s="23">
        <f>VALUE(0)</f>
        <v>0</v>
      </c>
      <c r="BD127" s="23">
        <f>VALUE(0)</f>
        <v>0</v>
      </c>
      <c r="BE127" s="23">
        <f>VALUE(0)</f>
        <v>0</v>
      </c>
      <c r="BF127" s="23">
        <f>VALUE(0)</f>
        <v>0</v>
      </c>
      <c r="BG127" s="23">
        <f>VALUE(0)</f>
        <v>0</v>
      </c>
      <c r="BH127" s="23">
        <f>VALUE(0)</f>
        <v>0</v>
      </c>
      <c r="BI127" s="23">
        <f>VALUE(0)</f>
        <v>0</v>
      </c>
      <c r="BJ127" s="23">
        <f>VALUE(0)</f>
        <v>0</v>
      </c>
      <c r="BK127" s="12">
        <f>$AX$127*24</f>
        <v>53.283333333333331</v>
      </c>
      <c r="BL127" s="12">
        <f>$AY$127*24</f>
        <v>0</v>
      </c>
      <c r="BM127" s="12">
        <f>$BJ$127*24</f>
        <v>0</v>
      </c>
      <c r="BN127" s="12">
        <f>VALUE($I$127)/100</f>
        <v>1</v>
      </c>
      <c r="BO127" s="12">
        <v>0</v>
      </c>
      <c r="BP127" s="12">
        <v>0</v>
      </c>
      <c r="BQ127" s="12">
        <v>0</v>
      </c>
      <c r="BR127" s="12">
        <v>0</v>
      </c>
      <c r="BS127" s="12">
        <v>1</v>
      </c>
      <c r="BT127" s="12">
        <v>0</v>
      </c>
      <c r="BU127" s="12">
        <v>0</v>
      </c>
      <c r="BV127" s="12">
        <v>0</v>
      </c>
      <c r="BW127" s="12">
        <v>0</v>
      </c>
      <c r="BX127" s="12">
        <v>0</v>
      </c>
      <c r="BY127" s="12">
        <v>0</v>
      </c>
      <c r="BZ127" s="12">
        <v>0</v>
      </c>
      <c r="CA127" s="12">
        <v>0</v>
      </c>
    </row>
    <row r="128" spans="1:79" hidden="1" x14ac:dyDescent="0.2">
      <c r="A128" s="12" t="s">
        <v>120</v>
      </c>
      <c r="B128" s="12" t="s">
        <v>122</v>
      </c>
      <c r="C128" s="12" t="s">
        <v>122</v>
      </c>
      <c r="D128" s="22" t="s">
        <v>399</v>
      </c>
      <c r="E128" s="22" t="s">
        <v>173</v>
      </c>
      <c r="F128" s="22" t="s">
        <v>786</v>
      </c>
      <c r="G128" s="22" t="s">
        <v>787</v>
      </c>
      <c r="H128" s="22" t="s">
        <v>150</v>
      </c>
      <c r="I128" s="22" t="s">
        <v>151</v>
      </c>
      <c r="J128" s="22" t="s">
        <v>162</v>
      </c>
      <c r="K128" s="22" t="s">
        <v>81</v>
      </c>
      <c r="L128" s="54" t="s">
        <v>153</v>
      </c>
      <c r="M128" s="23" t="s">
        <v>386</v>
      </c>
      <c r="N128" s="24" t="s">
        <v>153</v>
      </c>
      <c r="O128" s="23" t="s">
        <v>386</v>
      </c>
      <c r="P128" s="23" t="s">
        <v>386</v>
      </c>
      <c r="Q128" s="28" t="s">
        <v>163</v>
      </c>
      <c r="R128" s="28" t="s">
        <v>163</v>
      </c>
      <c r="S128" s="28" t="s">
        <v>163</v>
      </c>
      <c r="T128" s="28" t="s">
        <v>163</v>
      </c>
      <c r="U128" s="24" t="s">
        <v>153</v>
      </c>
      <c r="V128" s="54" t="s">
        <v>153</v>
      </c>
      <c r="W128" s="28" t="s">
        <v>163</v>
      </c>
      <c r="X128" s="23" t="s">
        <v>386</v>
      </c>
      <c r="Y128" s="23" t="s">
        <v>386</v>
      </c>
      <c r="Z128" s="24" t="s">
        <v>156</v>
      </c>
      <c r="AA128" s="24" t="s">
        <v>156</v>
      </c>
      <c r="AB128" s="24" t="s">
        <v>153</v>
      </c>
      <c r="AC128" s="23" t="s">
        <v>392</v>
      </c>
      <c r="AD128" s="25" t="s">
        <v>392</v>
      </c>
      <c r="AE128" s="23" t="s">
        <v>392</v>
      </c>
      <c r="AF128" s="23" t="s">
        <v>392</v>
      </c>
      <c r="AG128" s="23" t="s">
        <v>392</v>
      </c>
      <c r="AH128" s="28" t="s">
        <v>163</v>
      </c>
      <c r="AI128" s="24" t="s">
        <v>153</v>
      </c>
      <c r="AJ128" s="23" t="s">
        <v>392</v>
      </c>
      <c r="AK128" s="23" t="s">
        <v>392</v>
      </c>
      <c r="AL128" s="23" t="s">
        <v>392</v>
      </c>
      <c r="AM128" s="23" t="s">
        <v>392</v>
      </c>
      <c r="AN128" s="23" t="s">
        <v>392</v>
      </c>
      <c r="AO128" s="23" t="s">
        <v>392</v>
      </c>
      <c r="AP128" s="23">
        <f>VALUE(0)</f>
        <v>0</v>
      </c>
      <c r="AQ128" s="23">
        <f>VALUE(0)</f>
        <v>0</v>
      </c>
      <c r="AR128" s="23">
        <f>VALUE(0)</f>
        <v>0</v>
      </c>
      <c r="AS128" s="23">
        <f>VALUE(0)</f>
        <v>0</v>
      </c>
      <c r="AT128" s="23">
        <f>VALUE(0)</f>
        <v>0</v>
      </c>
      <c r="AU128" s="23">
        <f>VALUE(6)</f>
        <v>6</v>
      </c>
      <c r="AV128" s="23">
        <f>VALUE(5)</f>
        <v>5</v>
      </c>
      <c r="AW128" s="23">
        <f>VALUE(0)</f>
        <v>0</v>
      </c>
      <c r="AX128" s="23" t="s">
        <v>171</v>
      </c>
      <c r="AY128" s="23">
        <f>VALUE(0)</f>
        <v>0</v>
      </c>
      <c r="AZ128" s="23">
        <f>VALUE(0)</f>
        <v>0</v>
      </c>
      <c r="BA128" s="23">
        <f>VALUE(0)</f>
        <v>0</v>
      </c>
      <c r="BB128" s="23">
        <f>VALUE(0)</f>
        <v>0</v>
      </c>
      <c r="BC128" s="23">
        <f>VALUE(0)</f>
        <v>0</v>
      </c>
      <c r="BD128" s="23">
        <f>VALUE(0)</f>
        <v>0</v>
      </c>
      <c r="BE128" s="23">
        <f>VALUE(0)</f>
        <v>0</v>
      </c>
      <c r="BF128" s="23">
        <f>VALUE(0)</f>
        <v>0</v>
      </c>
      <c r="BG128" s="23">
        <f>VALUE(0)</f>
        <v>0</v>
      </c>
      <c r="BH128" s="23">
        <f>VALUE(0)</f>
        <v>0</v>
      </c>
      <c r="BI128" s="23">
        <f>VALUE(0)</f>
        <v>0</v>
      </c>
      <c r="BJ128" s="23">
        <f>VALUE(0)</f>
        <v>0</v>
      </c>
      <c r="BK128" s="12">
        <f>$AX$128*24</f>
        <v>5.833333333333333</v>
      </c>
      <c r="BL128" s="12">
        <f>$AY$128*24</f>
        <v>0</v>
      </c>
      <c r="BM128" s="12">
        <f>$BJ$128*24</f>
        <v>0</v>
      </c>
      <c r="BN128" s="12">
        <f>VALUE($I$128)/100</f>
        <v>1</v>
      </c>
      <c r="BO128" s="12">
        <v>0</v>
      </c>
      <c r="BP128" s="12">
        <v>0</v>
      </c>
      <c r="BQ128" s="12">
        <v>0</v>
      </c>
      <c r="BR128" s="12">
        <v>0</v>
      </c>
      <c r="BS128" s="12">
        <v>0</v>
      </c>
      <c r="BT128" s="12">
        <v>0</v>
      </c>
      <c r="BU128" s="12">
        <v>0</v>
      </c>
      <c r="BV128" s="12">
        <v>0</v>
      </c>
      <c r="BW128" s="12">
        <v>0</v>
      </c>
      <c r="BX128" s="12">
        <v>0</v>
      </c>
      <c r="BY128" s="12">
        <v>0</v>
      </c>
      <c r="BZ128" s="12">
        <v>0</v>
      </c>
      <c r="CA128" s="12">
        <v>0</v>
      </c>
    </row>
    <row r="129" spans="1:79" ht="15" hidden="1" x14ac:dyDescent="0.25">
      <c r="A129" s="12" t="s">
        <v>120</v>
      </c>
      <c r="B129" s="12" t="s">
        <v>122</v>
      </c>
      <c r="C129" s="12" t="s">
        <v>122</v>
      </c>
      <c r="D129" s="31" t="s">
        <v>355</v>
      </c>
      <c r="E129" s="31" t="s">
        <v>153</v>
      </c>
      <c r="F129" s="31" t="s">
        <v>175</v>
      </c>
      <c r="G129" s="31" t="s">
        <v>153</v>
      </c>
      <c r="H129" s="31" t="s">
        <v>153</v>
      </c>
      <c r="I129" s="31" t="s">
        <v>153</v>
      </c>
      <c r="J129" s="31" t="s">
        <v>153</v>
      </c>
      <c r="K129" s="31" t="s">
        <v>153</v>
      </c>
      <c r="L129" s="31">
        <f>VALUE(0)</f>
        <v>0</v>
      </c>
      <c r="M129" s="31">
        <f>VALUE(2)</f>
        <v>2</v>
      </c>
      <c r="N129" s="31">
        <f>VALUE(0)</f>
        <v>0</v>
      </c>
      <c r="O129" s="31">
        <f>VALUE(3)</f>
        <v>3</v>
      </c>
      <c r="P129" s="31">
        <f>VALUE(2)</f>
        <v>2</v>
      </c>
      <c r="Q129" s="31">
        <f>VALUE(2)</f>
        <v>2</v>
      </c>
      <c r="R129" s="31">
        <f>VALUE(2)</f>
        <v>2</v>
      </c>
      <c r="S129" s="31">
        <f>VALUE(2)</f>
        <v>2</v>
      </c>
      <c r="T129" s="31">
        <f>VALUE(2)</f>
        <v>2</v>
      </c>
      <c r="U129" s="31">
        <f>VALUE(0)</f>
        <v>0</v>
      </c>
      <c r="V129" s="31">
        <f>VALUE(0)</f>
        <v>0</v>
      </c>
      <c r="W129" s="31">
        <f>VALUE(3)</f>
        <v>3</v>
      </c>
      <c r="X129" s="31">
        <f>VALUE(4)</f>
        <v>4</v>
      </c>
      <c r="Y129" s="31">
        <f>VALUE(4)</f>
        <v>4</v>
      </c>
      <c r="Z129" s="31">
        <f>VALUE(3)</f>
        <v>3</v>
      </c>
      <c r="AA129" s="31">
        <f>VALUE(3)</f>
        <v>3</v>
      </c>
      <c r="AB129" s="31">
        <f>VALUE(0)</f>
        <v>0</v>
      </c>
      <c r="AC129" s="31">
        <f>VALUE(3)</f>
        <v>3</v>
      </c>
      <c r="AD129" s="31">
        <f>VALUE(3)</f>
        <v>3</v>
      </c>
      <c r="AE129" s="31">
        <f>VALUE(3)</f>
        <v>3</v>
      </c>
      <c r="AF129" s="31">
        <f>VALUE(3)</f>
        <v>3</v>
      </c>
      <c r="AG129" s="31">
        <f>VALUE(3)</f>
        <v>3</v>
      </c>
      <c r="AH129" s="31">
        <f>VALUE(2)</f>
        <v>2</v>
      </c>
      <c r="AI129" s="31">
        <f>VALUE(0)</f>
        <v>0</v>
      </c>
      <c r="AJ129" s="31">
        <f>VALUE(4)</f>
        <v>4</v>
      </c>
      <c r="AK129" s="31">
        <f>VALUE(4)</f>
        <v>4</v>
      </c>
      <c r="AL129" s="31">
        <f>VALUE(3)</f>
        <v>3</v>
      </c>
      <c r="AM129" s="31">
        <f>VALUE(4)</f>
        <v>4</v>
      </c>
      <c r="AN129" s="31">
        <f>VALUE(4)</f>
        <v>4</v>
      </c>
      <c r="AO129" s="31">
        <f>VALUE(4)</f>
        <v>4</v>
      </c>
      <c r="AP129" s="31">
        <v>0</v>
      </c>
      <c r="AQ129" s="31">
        <v>0</v>
      </c>
      <c r="AR129" s="31">
        <v>0</v>
      </c>
      <c r="AS129" s="31">
        <v>0</v>
      </c>
      <c r="AT129" s="31">
        <v>0</v>
      </c>
      <c r="AU129" s="31">
        <v>0</v>
      </c>
      <c r="AV129" s="31">
        <v>0</v>
      </c>
      <c r="AW129" s="31">
        <v>0</v>
      </c>
      <c r="AX129" s="31">
        <v>0</v>
      </c>
      <c r="AY129" s="31">
        <v>0</v>
      </c>
      <c r="AZ129" s="31">
        <v>0</v>
      </c>
      <c r="BA129" s="31">
        <v>0</v>
      </c>
      <c r="BB129" s="31">
        <v>0</v>
      </c>
      <c r="BC129" s="31">
        <v>0</v>
      </c>
      <c r="BD129" s="31">
        <v>0</v>
      </c>
      <c r="BE129" s="31">
        <v>0</v>
      </c>
      <c r="BF129" s="31">
        <v>0</v>
      </c>
      <c r="BG129" s="31">
        <v>0</v>
      </c>
      <c r="BH129" s="31">
        <v>0</v>
      </c>
      <c r="BI129" s="31">
        <v>0</v>
      </c>
      <c r="BJ129" s="31">
        <v>0</v>
      </c>
      <c r="BK129" s="12">
        <v>0</v>
      </c>
      <c r="BL129" s="12">
        <v>0</v>
      </c>
      <c r="BM129" s="12">
        <v>0</v>
      </c>
      <c r="BN129" s="12"/>
      <c r="BO129" s="12">
        <v>0</v>
      </c>
      <c r="BP129" s="12">
        <v>0</v>
      </c>
      <c r="BQ129" s="12">
        <v>0</v>
      </c>
      <c r="BR129" s="12">
        <v>0</v>
      </c>
      <c r="BS129" s="12">
        <v>0</v>
      </c>
      <c r="BT129" s="12">
        <v>0</v>
      </c>
      <c r="BU129" s="12">
        <v>0</v>
      </c>
      <c r="BV129" s="12">
        <v>0</v>
      </c>
      <c r="BW129" s="12">
        <v>0</v>
      </c>
      <c r="BX129" s="12">
        <v>0</v>
      </c>
      <c r="BY129" s="12">
        <v>0</v>
      </c>
      <c r="BZ129" s="12">
        <v>0</v>
      </c>
      <c r="CA129" s="12">
        <v>0</v>
      </c>
    </row>
    <row r="130" spans="1:79" ht="16.5" hidden="1" x14ac:dyDescent="0.2">
      <c r="A130" s="12" t="s">
        <v>120</v>
      </c>
      <c r="B130" s="12" t="s">
        <v>1320</v>
      </c>
      <c r="C130" s="12" t="s">
        <v>1320</v>
      </c>
      <c r="D130" s="22" t="s">
        <v>1170</v>
      </c>
      <c r="E130" s="22" t="s">
        <v>149</v>
      </c>
      <c r="F130" s="22" t="s">
        <v>788</v>
      </c>
      <c r="G130" s="22" t="s">
        <v>789</v>
      </c>
      <c r="H130" s="22" t="s">
        <v>150</v>
      </c>
      <c r="I130" s="22" t="s">
        <v>151</v>
      </c>
      <c r="J130" s="22" t="s">
        <v>152</v>
      </c>
      <c r="K130" s="22" t="s">
        <v>1212</v>
      </c>
      <c r="L130" s="54" t="s">
        <v>153</v>
      </c>
      <c r="M130" s="24" t="s">
        <v>156</v>
      </c>
      <c r="N130" s="24" t="s">
        <v>153</v>
      </c>
      <c r="O130" s="24" t="s">
        <v>156</v>
      </c>
      <c r="P130" s="26" t="s">
        <v>1213</v>
      </c>
      <c r="Q130" s="26" t="s">
        <v>1213</v>
      </c>
      <c r="R130" s="26" t="s">
        <v>1213</v>
      </c>
      <c r="S130" s="26" t="s">
        <v>1213</v>
      </c>
      <c r="T130" s="26" t="s">
        <v>1213</v>
      </c>
      <c r="U130" s="24" t="s">
        <v>153</v>
      </c>
      <c r="V130" s="54" t="s">
        <v>153</v>
      </c>
      <c r="W130" s="26" t="s">
        <v>1213</v>
      </c>
      <c r="X130" s="26" t="s">
        <v>155</v>
      </c>
      <c r="Y130" s="26" t="s">
        <v>155</v>
      </c>
      <c r="Z130" s="26" t="s">
        <v>1213</v>
      </c>
      <c r="AA130" s="24" t="s">
        <v>156</v>
      </c>
      <c r="AB130" s="24" t="s">
        <v>153</v>
      </c>
      <c r="AC130" s="24" t="s">
        <v>156</v>
      </c>
      <c r="AD130" s="26" t="s">
        <v>1213</v>
      </c>
      <c r="AE130" s="26" t="s">
        <v>1213</v>
      </c>
      <c r="AF130" s="26" t="s">
        <v>1213</v>
      </c>
      <c r="AG130" s="26" t="s">
        <v>1213</v>
      </c>
      <c r="AH130" s="26" t="s">
        <v>1213</v>
      </c>
      <c r="AI130" s="24" t="s">
        <v>153</v>
      </c>
      <c r="AJ130" s="26" t="s">
        <v>1213</v>
      </c>
      <c r="AK130" s="35" t="s">
        <v>170</v>
      </c>
      <c r="AL130" s="35" t="s">
        <v>170</v>
      </c>
      <c r="AM130" s="35" t="s">
        <v>170</v>
      </c>
      <c r="AN130" s="35" t="s">
        <v>170</v>
      </c>
      <c r="AO130" s="24" t="s">
        <v>156</v>
      </c>
      <c r="AP130" s="23">
        <f>VALUE(0)</f>
        <v>0</v>
      </c>
      <c r="AQ130" s="23">
        <f>VALUE(0)</f>
        <v>0</v>
      </c>
      <c r="AR130" s="23">
        <f>VALUE(0)</f>
        <v>0</v>
      </c>
      <c r="AS130" s="23">
        <f>VALUE(0)</f>
        <v>0</v>
      </c>
      <c r="AT130" s="23">
        <f>VALUE(0)</f>
        <v>0</v>
      </c>
      <c r="AU130" s="23">
        <f>VALUE(0)</f>
        <v>0</v>
      </c>
      <c r="AV130" s="23">
        <f>VALUE(13)</f>
        <v>13</v>
      </c>
      <c r="AW130" s="23">
        <f>VALUE(0)</f>
        <v>0</v>
      </c>
      <c r="AX130" s="23" t="s">
        <v>1214</v>
      </c>
      <c r="AY130" s="23">
        <f>VALUE(0)</f>
        <v>0</v>
      </c>
      <c r="AZ130" s="23">
        <f>VALUE(0)</f>
        <v>0</v>
      </c>
      <c r="BA130" s="23">
        <f>VALUE(0)</f>
        <v>0</v>
      </c>
      <c r="BB130" s="23">
        <f>VALUE(0)</f>
        <v>0</v>
      </c>
      <c r="BC130" s="23">
        <f>VALUE(0)</f>
        <v>0</v>
      </c>
      <c r="BD130" s="23">
        <f>VALUE(0)</f>
        <v>0</v>
      </c>
      <c r="BE130" s="23">
        <f>VALUE(5)</f>
        <v>5</v>
      </c>
      <c r="BF130" s="23">
        <f>VALUE(0)</f>
        <v>0</v>
      </c>
      <c r="BG130" s="23">
        <f>VALUE(0)</f>
        <v>0</v>
      </c>
      <c r="BH130" s="23">
        <f>VALUE(0)</f>
        <v>0</v>
      </c>
      <c r="BI130" s="23">
        <f>VALUE(0)</f>
        <v>0</v>
      </c>
      <c r="BJ130" s="23">
        <f>VALUE(0)</f>
        <v>0</v>
      </c>
      <c r="BK130" s="12">
        <f>$AX$130*24</f>
        <v>18.016666666666666</v>
      </c>
      <c r="BL130" s="12">
        <f>$AY$130*24</f>
        <v>0</v>
      </c>
      <c r="BM130" s="12">
        <f>$BJ$130*24</f>
        <v>0</v>
      </c>
      <c r="BN130" s="12">
        <f>VALUE($I$130)/100</f>
        <v>1</v>
      </c>
      <c r="BO130" s="12">
        <v>0</v>
      </c>
      <c r="BP130" s="12">
        <v>0</v>
      </c>
      <c r="BQ130" s="12">
        <v>0</v>
      </c>
      <c r="BR130" s="12">
        <v>0</v>
      </c>
      <c r="BS130" s="12">
        <v>0</v>
      </c>
      <c r="BT130" s="12">
        <v>0</v>
      </c>
      <c r="BU130" s="12">
        <v>0</v>
      </c>
      <c r="BV130" s="12">
        <v>0</v>
      </c>
      <c r="BW130" s="12">
        <v>0</v>
      </c>
      <c r="BX130" s="12">
        <v>0</v>
      </c>
      <c r="BY130" s="12">
        <v>0</v>
      </c>
      <c r="BZ130" s="12">
        <v>0</v>
      </c>
      <c r="CA130" s="12">
        <v>0</v>
      </c>
    </row>
    <row r="131" spans="1:79" hidden="1" x14ac:dyDescent="0.2">
      <c r="A131" s="12" t="s">
        <v>120</v>
      </c>
      <c r="B131" s="12" t="s">
        <v>1320</v>
      </c>
      <c r="C131" s="12" t="s">
        <v>1320</v>
      </c>
      <c r="D131" s="22" t="s">
        <v>400</v>
      </c>
      <c r="E131" s="22" t="s">
        <v>161</v>
      </c>
      <c r="F131" s="22" t="s">
        <v>790</v>
      </c>
      <c r="G131" s="22" t="s">
        <v>791</v>
      </c>
      <c r="H131" s="22" t="s">
        <v>150</v>
      </c>
      <c r="I131" s="22" t="s">
        <v>151</v>
      </c>
      <c r="J131" s="22" t="s">
        <v>162</v>
      </c>
      <c r="K131" s="22" t="s">
        <v>1212</v>
      </c>
      <c r="L131" s="54" t="s">
        <v>153</v>
      </c>
      <c r="M131" s="23" t="s">
        <v>153</v>
      </c>
      <c r="N131" s="24" t="s">
        <v>153</v>
      </c>
      <c r="O131" s="23" t="s">
        <v>153</v>
      </c>
      <c r="P131" s="23" t="s">
        <v>153</v>
      </c>
      <c r="Q131" s="23" t="s">
        <v>153</v>
      </c>
      <c r="R131" s="23" t="s">
        <v>153</v>
      </c>
      <c r="S131" s="23" t="s">
        <v>153</v>
      </c>
      <c r="T131" s="23" t="s">
        <v>153</v>
      </c>
      <c r="U131" s="24" t="s">
        <v>153</v>
      </c>
      <c r="V131" s="54" t="s">
        <v>153</v>
      </c>
      <c r="W131" s="23" t="s">
        <v>153</v>
      </c>
      <c r="X131" s="23" t="s">
        <v>153</v>
      </c>
      <c r="Y131" s="23" t="s">
        <v>153</v>
      </c>
      <c r="Z131" s="23" t="s">
        <v>153</v>
      </c>
      <c r="AA131" s="23" t="s">
        <v>153</v>
      </c>
      <c r="AB131" s="24" t="s">
        <v>153</v>
      </c>
      <c r="AC131" s="23" t="s">
        <v>153</v>
      </c>
      <c r="AD131" s="23" t="s">
        <v>153</v>
      </c>
      <c r="AE131" s="23" t="s">
        <v>153</v>
      </c>
      <c r="AF131" s="23" t="s">
        <v>153</v>
      </c>
      <c r="AG131" s="23" t="s">
        <v>153</v>
      </c>
      <c r="AH131" s="23" t="s">
        <v>153</v>
      </c>
      <c r="AI131" s="24" t="s">
        <v>153</v>
      </c>
      <c r="AJ131" s="23" t="s">
        <v>153</v>
      </c>
      <c r="AK131" s="23" t="s">
        <v>153</v>
      </c>
      <c r="AL131" s="23" t="s">
        <v>153</v>
      </c>
      <c r="AM131" s="23" t="s">
        <v>153</v>
      </c>
      <c r="AN131" s="24" t="s">
        <v>156</v>
      </c>
      <c r="AO131" s="24" t="s">
        <v>156</v>
      </c>
      <c r="AP131" s="23">
        <f>VALUE(2)</f>
        <v>2</v>
      </c>
      <c r="AQ131" s="23">
        <f>VALUE(0)</f>
        <v>0</v>
      </c>
      <c r="AR131" s="23">
        <f>VALUE(0)</f>
        <v>0</v>
      </c>
      <c r="AS131" s="23">
        <f>VALUE(0)</f>
        <v>0</v>
      </c>
      <c r="AT131" s="23">
        <f>VALUE(0)</f>
        <v>0</v>
      </c>
      <c r="AU131" s="23">
        <f>VALUE(0)</f>
        <v>0</v>
      </c>
      <c r="AV131" s="23">
        <f>VALUE(1)</f>
        <v>1</v>
      </c>
      <c r="AW131" s="23">
        <f>VALUE(0)</f>
        <v>0</v>
      </c>
      <c r="AX131" s="23" t="s">
        <v>171</v>
      </c>
      <c r="AY131" s="23" t="s">
        <v>309</v>
      </c>
      <c r="AZ131" s="23">
        <f>VALUE(0)</f>
        <v>0</v>
      </c>
      <c r="BA131" s="23">
        <f>VALUE(0)</f>
        <v>0</v>
      </c>
      <c r="BB131" s="23">
        <f>VALUE(0)</f>
        <v>0</v>
      </c>
      <c r="BC131" s="23">
        <f>VALUE(0)</f>
        <v>0</v>
      </c>
      <c r="BD131" s="23">
        <f>VALUE(0)</f>
        <v>0</v>
      </c>
      <c r="BE131" s="23">
        <f>VALUE(0)</f>
        <v>0</v>
      </c>
      <c r="BF131" s="23">
        <f>VALUE(0)</f>
        <v>0</v>
      </c>
      <c r="BG131" s="23">
        <f>VALUE(0)</f>
        <v>0</v>
      </c>
      <c r="BH131" s="23">
        <f>VALUE(0)</f>
        <v>0</v>
      </c>
      <c r="BI131" s="23">
        <f>VALUE(0)</f>
        <v>0</v>
      </c>
      <c r="BJ131" s="23">
        <f>VALUE(0)</f>
        <v>0</v>
      </c>
      <c r="BK131" s="12">
        <f>$AX$131*24</f>
        <v>5.833333333333333</v>
      </c>
      <c r="BL131" s="12">
        <f>$AY$131*24</f>
        <v>4.583333333333333</v>
      </c>
      <c r="BM131" s="12">
        <f>$BJ$131*24</f>
        <v>0</v>
      </c>
      <c r="BN131" s="12">
        <f>VALUE($I$131)/100</f>
        <v>1</v>
      </c>
      <c r="BO131" s="12">
        <v>0</v>
      </c>
      <c r="BP131" s="12">
        <v>0</v>
      </c>
      <c r="BQ131" s="12">
        <v>0</v>
      </c>
      <c r="BR131" s="12">
        <v>0</v>
      </c>
      <c r="BS131" s="12">
        <v>0</v>
      </c>
      <c r="BT131" s="12">
        <v>0</v>
      </c>
      <c r="BU131" s="12">
        <v>0</v>
      </c>
      <c r="BV131" s="12">
        <v>0</v>
      </c>
      <c r="BW131" s="12">
        <v>0</v>
      </c>
      <c r="BX131" s="12">
        <v>0</v>
      </c>
      <c r="BY131" s="12">
        <v>0</v>
      </c>
      <c r="BZ131" s="12">
        <v>0</v>
      </c>
      <c r="CA131" s="12">
        <v>0</v>
      </c>
    </row>
    <row r="132" spans="1:79" hidden="1" x14ac:dyDescent="0.2">
      <c r="A132" s="12" t="s">
        <v>120</v>
      </c>
      <c r="B132" s="12" t="s">
        <v>1320</v>
      </c>
      <c r="C132" s="12" t="s">
        <v>1320</v>
      </c>
      <c r="D132" s="22" t="s">
        <v>401</v>
      </c>
      <c r="E132" s="22" t="s">
        <v>161</v>
      </c>
      <c r="F132" s="22" t="s">
        <v>792</v>
      </c>
      <c r="G132" s="22" t="s">
        <v>793</v>
      </c>
      <c r="H132" s="22" t="s">
        <v>166</v>
      </c>
      <c r="I132" s="22" t="s">
        <v>151</v>
      </c>
      <c r="J132" s="22" t="s">
        <v>162</v>
      </c>
      <c r="K132" s="22" t="s">
        <v>1212</v>
      </c>
      <c r="L132" s="54" t="s">
        <v>153</v>
      </c>
      <c r="M132" s="23" t="s">
        <v>153</v>
      </c>
      <c r="N132" s="24" t="s">
        <v>153</v>
      </c>
      <c r="O132" s="23" t="s">
        <v>153</v>
      </c>
      <c r="P132" s="23" t="s">
        <v>153</v>
      </c>
      <c r="Q132" s="23" t="s">
        <v>153</v>
      </c>
      <c r="R132" s="23" t="s">
        <v>153</v>
      </c>
      <c r="S132" s="23" t="s">
        <v>153</v>
      </c>
      <c r="T132" s="23" t="s">
        <v>153</v>
      </c>
      <c r="U132" s="24" t="s">
        <v>153</v>
      </c>
      <c r="V132" s="54" t="s">
        <v>153</v>
      </c>
      <c r="W132" s="23" t="s">
        <v>153</v>
      </c>
      <c r="X132" s="23" t="s">
        <v>153</v>
      </c>
      <c r="Y132" s="23" t="s">
        <v>153</v>
      </c>
      <c r="Z132" s="23" t="s">
        <v>153</v>
      </c>
      <c r="AA132" s="23" t="s">
        <v>153</v>
      </c>
      <c r="AB132" s="24" t="s">
        <v>153</v>
      </c>
      <c r="AC132" s="23" t="s">
        <v>153</v>
      </c>
      <c r="AD132" s="23" t="s">
        <v>153</v>
      </c>
      <c r="AE132" s="23" t="s">
        <v>153</v>
      </c>
      <c r="AF132" s="23" t="s">
        <v>153</v>
      </c>
      <c r="AG132" s="24" t="s">
        <v>156</v>
      </c>
      <c r="AH132" s="24" t="s">
        <v>156</v>
      </c>
      <c r="AI132" s="24" t="s">
        <v>153</v>
      </c>
      <c r="AJ132" s="23" t="s">
        <v>153</v>
      </c>
      <c r="AK132" s="23" t="s">
        <v>153</v>
      </c>
      <c r="AL132" s="23" t="s">
        <v>153</v>
      </c>
      <c r="AM132" s="23" t="s">
        <v>153</v>
      </c>
      <c r="AN132" s="23" t="s">
        <v>153</v>
      </c>
      <c r="AO132" s="23" t="s">
        <v>153</v>
      </c>
      <c r="AP132" s="23">
        <f>VALUE(0)</f>
        <v>0</v>
      </c>
      <c r="AQ132" s="23">
        <f>VALUE(0)</f>
        <v>0</v>
      </c>
      <c r="AR132" s="23">
        <f>VALUE(0)</f>
        <v>0</v>
      </c>
      <c r="AS132" s="23">
        <f>VALUE(0)</f>
        <v>0</v>
      </c>
      <c r="AT132" s="23">
        <f>VALUE(0)</f>
        <v>0</v>
      </c>
      <c r="AU132" s="23">
        <f>VALUE(0)</f>
        <v>0</v>
      </c>
      <c r="AV132" s="23">
        <f>VALUE(4)</f>
        <v>4</v>
      </c>
      <c r="AW132" s="23">
        <f>VALUE(0)</f>
        <v>0</v>
      </c>
      <c r="AX132" s="23" t="s">
        <v>402</v>
      </c>
      <c r="AY132" s="23">
        <f>VALUE(0)</f>
        <v>0</v>
      </c>
      <c r="AZ132" s="23">
        <f>VALUE(0)</f>
        <v>0</v>
      </c>
      <c r="BA132" s="23">
        <f>VALUE(0)</f>
        <v>0</v>
      </c>
      <c r="BB132" s="23">
        <f>VALUE(0)</f>
        <v>0</v>
      </c>
      <c r="BC132" s="23">
        <f>VALUE(0)</f>
        <v>0</v>
      </c>
      <c r="BD132" s="23">
        <f>VALUE(0)</f>
        <v>0</v>
      </c>
      <c r="BE132" s="23">
        <f>VALUE(0)</f>
        <v>0</v>
      </c>
      <c r="BF132" s="23">
        <f>VALUE(0)</f>
        <v>0</v>
      </c>
      <c r="BG132" s="23">
        <f>VALUE(0)</f>
        <v>0</v>
      </c>
      <c r="BH132" s="23">
        <f>VALUE(0)</f>
        <v>0</v>
      </c>
      <c r="BI132" s="23">
        <f>VALUE(0)</f>
        <v>0</v>
      </c>
      <c r="BJ132" s="23">
        <f>VALUE(0)</f>
        <v>0</v>
      </c>
      <c r="BK132" s="12">
        <f>$AX$132*24</f>
        <v>20.45</v>
      </c>
      <c r="BL132" s="12">
        <f>$AY$132*24</f>
        <v>0</v>
      </c>
      <c r="BM132" s="12">
        <f>$BJ$132*24</f>
        <v>0</v>
      </c>
      <c r="BN132" s="12">
        <f>VALUE($I$132)/100</f>
        <v>1</v>
      </c>
      <c r="BO132" s="12">
        <v>0</v>
      </c>
      <c r="BP132" s="12">
        <v>0</v>
      </c>
      <c r="BQ132" s="12">
        <v>0</v>
      </c>
      <c r="BR132" s="12">
        <v>0</v>
      </c>
      <c r="BS132" s="12">
        <v>0</v>
      </c>
      <c r="BT132" s="12">
        <v>0</v>
      </c>
      <c r="BU132" s="12">
        <v>0</v>
      </c>
      <c r="BV132" s="12">
        <v>0</v>
      </c>
      <c r="BW132" s="12">
        <v>0</v>
      </c>
      <c r="BX132" s="12">
        <v>0</v>
      </c>
      <c r="BY132" s="12">
        <v>0</v>
      </c>
      <c r="BZ132" s="12">
        <v>0</v>
      </c>
      <c r="CA132" s="12">
        <v>0</v>
      </c>
    </row>
    <row r="133" spans="1:79" hidden="1" x14ac:dyDescent="0.2">
      <c r="A133" s="12" t="s">
        <v>120</v>
      </c>
      <c r="B133" s="12" t="s">
        <v>1320</v>
      </c>
      <c r="C133" s="12" t="s">
        <v>1320</v>
      </c>
      <c r="D133" s="22" t="s">
        <v>381</v>
      </c>
      <c r="E133" s="22" t="s">
        <v>161</v>
      </c>
      <c r="F133" s="22" t="s">
        <v>794</v>
      </c>
      <c r="G133" s="22" t="s">
        <v>795</v>
      </c>
      <c r="H133" s="22" t="s">
        <v>191</v>
      </c>
      <c r="I133" s="22" t="s">
        <v>151</v>
      </c>
      <c r="J133" s="22" t="s">
        <v>162</v>
      </c>
      <c r="K133" s="22" t="s">
        <v>1212</v>
      </c>
      <c r="L133" s="54" t="s">
        <v>153</v>
      </c>
      <c r="M133" s="27" t="s">
        <v>153</v>
      </c>
      <c r="N133" s="24" t="s">
        <v>153</v>
      </c>
      <c r="O133" s="27" t="s">
        <v>153</v>
      </c>
      <c r="P133" s="27" t="s">
        <v>153</v>
      </c>
      <c r="Q133" s="27" t="s">
        <v>153</v>
      </c>
      <c r="R133" s="23" t="s">
        <v>153</v>
      </c>
      <c r="S133" s="23" t="s">
        <v>153</v>
      </c>
      <c r="T133" s="23" t="s">
        <v>153</v>
      </c>
      <c r="U133" s="24" t="s">
        <v>153</v>
      </c>
      <c r="V133" s="54" t="s">
        <v>153</v>
      </c>
      <c r="W133" s="23" t="s">
        <v>153</v>
      </c>
      <c r="X133" s="23" t="s">
        <v>153</v>
      </c>
      <c r="Y133" s="23" t="s">
        <v>153</v>
      </c>
      <c r="Z133" s="23" t="s">
        <v>153</v>
      </c>
      <c r="AA133" s="23" t="s">
        <v>153</v>
      </c>
      <c r="AB133" s="24" t="s">
        <v>153</v>
      </c>
      <c r="AC133" s="23" t="s">
        <v>153</v>
      </c>
      <c r="AD133" s="23" t="s">
        <v>153</v>
      </c>
      <c r="AE133" s="23" t="s">
        <v>153</v>
      </c>
      <c r="AF133" s="23" t="s">
        <v>153</v>
      </c>
      <c r="AG133" s="23" t="s">
        <v>153</v>
      </c>
      <c r="AH133" s="23" t="s">
        <v>153</v>
      </c>
      <c r="AI133" s="24" t="s">
        <v>153</v>
      </c>
      <c r="AJ133" s="27" t="s">
        <v>153</v>
      </c>
      <c r="AK133" s="27" t="s">
        <v>153</v>
      </c>
      <c r="AL133" s="27" t="s">
        <v>153</v>
      </c>
      <c r="AM133" s="27" t="s">
        <v>153</v>
      </c>
      <c r="AN133" s="27" t="s">
        <v>153</v>
      </c>
      <c r="AO133" s="27" t="s">
        <v>153</v>
      </c>
      <c r="AP133" s="23">
        <f>VALUE(0)</f>
        <v>0</v>
      </c>
      <c r="AQ133" s="23">
        <f>VALUE(0)</f>
        <v>0</v>
      </c>
      <c r="AR133" s="23">
        <f>VALUE(0)</f>
        <v>0</v>
      </c>
      <c r="AS133" s="23">
        <f>VALUE(0)</f>
        <v>0</v>
      </c>
      <c r="AT133" s="23">
        <f>VALUE(0)</f>
        <v>0</v>
      </c>
      <c r="AU133" s="23">
        <f>VALUE(0)</f>
        <v>0</v>
      </c>
      <c r="AV133" s="23">
        <f>VALUE(0)</f>
        <v>0</v>
      </c>
      <c r="AW133" s="23">
        <f>VALUE(0)</f>
        <v>0</v>
      </c>
      <c r="AX133" s="23">
        <f>VALUE(0)</f>
        <v>0</v>
      </c>
      <c r="AY133" s="23">
        <f>VALUE(0)</f>
        <v>0</v>
      </c>
      <c r="AZ133" s="23">
        <f>VALUE(0)</f>
        <v>0</v>
      </c>
      <c r="BA133" s="23">
        <f>VALUE(0)</f>
        <v>0</v>
      </c>
      <c r="BB133" s="23">
        <f>VALUE(0)</f>
        <v>0</v>
      </c>
      <c r="BC133" s="23">
        <f>VALUE(0)</f>
        <v>0</v>
      </c>
      <c r="BD133" s="23">
        <f>VALUE(0)</f>
        <v>0</v>
      </c>
      <c r="BE133" s="23">
        <f>VALUE(0)</f>
        <v>0</v>
      </c>
      <c r="BF133" s="23">
        <f>VALUE(0)</f>
        <v>0</v>
      </c>
      <c r="BG133" s="23">
        <f>VALUE(0)</f>
        <v>0</v>
      </c>
      <c r="BH133" s="23">
        <f>VALUE(0)</f>
        <v>0</v>
      </c>
      <c r="BI133" s="23">
        <f>VALUE(0)</f>
        <v>0</v>
      </c>
      <c r="BJ133" s="23">
        <f>VALUE(0)</f>
        <v>0</v>
      </c>
      <c r="BK133" s="12">
        <f>$AX$133*24</f>
        <v>0</v>
      </c>
      <c r="BL133" s="12">
        <f>$AY$133*24</f>
        <v>0</v>
      </c>
      <c r="BM133" s="12">
        <f>$BJ$133*24</f>
        <v>0</v>
      </c>
      <c r="BN133" s="12">
        <f>VALUE($I$133)/100</f>
        <v>1</v>
      </c>
      <c r="BO133" s="12">
        <v>0</v>
      </c>
      <c r="BP133" s="12">
        <v>0</v>
      </c>
      <c r="BQ133" s="12">
        <v>0</v>
      </c>
      <c r="BR133" s="12">
        <v>0</v>
      </c>
      <c r="BS133" s="12">
        <v>0</v>
      </c>
      <c r="BT133" s="12">
        <v>0</v>
      </c>
      <c r="BU133" s="12">
        <v>0</v>
      </c>
      <c r="BV133" s="12">
        <v>0</v>
      </c>
      <c r="BW133" s="12">
        <v>0</v>
      </c>
      <c r="BX133" s="12">
        <v>0</v>
      </c>
      <c r="BY133" s="12">
        <v>0</v>
      </c>
      <c r="BZ133" s="12">
        <v>0</v>
      </c>
      <c r="CA133" s="12">
        <v>0</v>
      </c>
    </row>
    <row r="134" spans="1:79" hidden="1" x14ac:dyDescent="0.2">
      <c r="A134" s="12" t="s">
        <v>120</v>
      </c>
      <c r="B134" s="12" t="s">
        <v>1320</v>
      </c>
      <c r="C134" s="12" t="s">
        <v>1320</v>
      </c>
      <c r="D134" s="22" t="s">
        <v>381</v>
      </c>
      <c r="E134" s="22" t="s">
        <v>161</v>
      </c>
      <c r="F134" s="22" t="s">
        <v>796</v>
      </c>
      <c r="G134" s="22" t="s">
        <v>797</v>
      </c>
      <c r="H134" s="22" t="s">
        <v>150</v>
      </c>
      <c r="I134" s="22" t="s">
        <v>151</v>
      </c>
      <c r="J134" s="22" t="s">
        <v>162</v>
      </c>
      <c r="K134" s="22" t="s">
        <v>1212</v>
      </c>
      <c r="L134" s="54" t="s">
        <v>153</v>
      </c>
      <c r="M134" s="23" t="s">
        <v>153</v>
      </c>
      <c r="N134" s="24" t="s">
        <v>153</v>
      </c>
      <c r="O134" s="23" t="s">
        <v>153</v>
      </c>
      <c r="P134" s="23" t="s">
        <v>153</v>
      </c>
      <c r="Q134" s="23" t="s">
        <v>153</v>
      </c>
      <c r="R134" s="23" t="s">
        <v>153</v>
      </c>
      <c r="S134" s="23" t="s">
        <v>153</v>
      </c>
      <c r="T134" s="23" t="s">
        <v>153</v>
      </c>
      <c r="U134" s="24" t="s">
        <v>153</v>
      </c>
      <c r="V134" s="54" t="s">
        <v>156</v>
      </c>
      <c r="W134" s="24" t="s">
        <v>156</v>
      </c>
      <c r="X134" s="28" t="s">
        <v>163</v>
      </c>
      <c r="Y134" s="28" t="s">
        <v>163</v>
      </c>
      <c r="Z134" s="28" t="s">
        <v>163</v>
      </c>
      <c r="AA134" s="28" t="s">
        <v>163</v>
      </c>
      <c r="AB134" s="24" t="s">
        <v>153</v>
      </c>
      <c r="AC134" s="28" t="s">
        <v>163</v>
      </c>
      <c r="AD134" s="28" t="s">
        <v>163</v>
      </c>
      <c r="AE134" s="28" t="s">
        <v>163</v>
      </c>
      <c r="AF134" s="28" t="s">
        <v>163</v>
      </c>
      <c r="AG134" s="28" t="s">
        <v>163</v>
      </c>
      <c r="AH134" s="28" t="s">
        <v>163</v>
      </c>
      <c r="AI134" s="24" t="s">
        <v>153</v>
      </c>
      <c r="AJ134" s="23" t="s">
        <v>153</v>
      </c>
      <c r="AK134" s="23" t="s">
        <v>153</v>
      </c>
      <c r="AL134" s="23" t="s">
        <v>153</v>
      </c>
      <c r="AM134" s="23" t="s">
        <v>153</v>
      </c>
      <c r="AN134" s="23" t="s">
        <v>153</v>
      </c>
      <c r="AO134" s="23" t="s">
        <v>153</v>
      </c>
      <c r="AP134" s="23">
        <f>VALUE(3)</f>
        <v>3</v>
      </c>
      <c r="AQ134" s="23">
        <f>VALUE(0)</f>
        <v>0</v>
      </c>
      <c r="AR134" s="23">
        <f>VALUE(0)</f>
        <v>0</v>
      </c>
      <c r="AS134" s="23">
        <f>VALUE(0)</f>
        <v>0</v>
      </c>
      <c r="AT134" s="23">
        <f>VALUE(0)</f>
        <v>0</v>
      </c>
      <c r="AU134" s="23">
        <f>VALUE(10)</f>
        <v>10</v>
      </c>
      <c r="AV134" s="23">
        <f>VALUE(9)</f>
        <v>9</v>
      </c>
      <c r="AW134" s="23">
        <f>VALUE(0)</f>
        <v>0</v>
      </c>
      <c r="AX134" s="23" t="s">
        <v>171</v>
      </c>
      <c r="AY134" s="23" t="s">
        <v>403</v>
      </c>
      <c r="AZ134" s="23">
        <f>VALUE(0)</f>
        <v>0</v>
      </c>
      <c r="BA134" s="23">
        <f>VALUE(0)</f>
        <v>0</v>
      </c>
      <c r="BB134" s="23">
        <f>VALUE(0)</f>
        <v>0</v>
      </c>
      <c r="BC134" s="23">
        <f>VALUE(0)</f>
        <v>0</v>
      </c>
      <c r="BD134" s="23">
        <f>VALUE(0)</f>
        <v>0</v>
      </c>
      <c r="BE134" s="23">
        <f>VALUE(0)</f>
        <v>0</v>
      </c>
      <c r="BF134" s="23">
        <f>VALUE(0)</f>
        <v>0</v>
      </c>
      <c r="BG134" s="23">
        <f>VALUE(0)</f>
        <v>0</v>
      </c>
      <c r="BH134" s="23">
        <f>VALUE(0)</f>
        <v>0</v>
      </c>
      <c r="BI134" s="23">
        <f>VALUE(0)</f>
        <v>0</v>
      </c>
      <c r="BJ134" s="23">
        <f>VALUE(0)</f>
        <v>0</v>
      </c>
      <c r="BK134" s="12">
        <f>$AX$134*24</f>
        <v>5.833333333333333</v>
      </c>
      <c r="BL134" s="12">
        <f>$AY$134*24</f>
        <v>2.1</v>
      </c>
      <c r="BM134" s="12">
        <f>$BJ$134*24</f>
        <v>0</v>
      </c>
      <c r="BN134" s="12">
        <f>VALUE($I$134)/100</f>
        <v>1</v>
      </c>
      <c r="BO134" s="12">
        <v>0</v>
      </c>
      <c r="BP134" s="12">
        <v>0</v>
      </c>
      <c r="BQ134" s="12">
        <v>0</v>
      </c>
      <c r="BR134" s="12">
        <v>0</v>
      </c>
      <c r="BS134" s="12">
        <v>0</v>
      </c>
      <c r="BT134" s="12">
        <v>0</v>
      </c>
      <c r="BU134" s="12">
        <v>0</v>
      </c>
      <c r="BV134" s="12">
        <v>0</v>
      </c>
      <c r="BW134" s="12">
        <v>0</v>
      </c>
      <c r="BX134" s="12">
        <v>0</v>
      </c>
      <c r="BY134" s="12">
        <v>0</v>
      </c>
      <c r="BZ134" s="12">
        <v>0</v>
      </c>
      <c r="CA134" s="12">
        <v>0</v>
      </c>
    </row>
    <row r="135" spans="1:79" hidden="1" x14ac:dyDescent="0.2">
      <c r="A135" s="12" t="s">
        <v>120</v>
      </c>
      <c r="B135" s="12" t="s">
        <v>1320</v>
      </c>
      <c r="C135" s="12" t="s">
        <v>1320</v>
      </c>
      <c r="D135" s="22" t="s">
        <v>375</v>
      </c>
      <c r="E135" s="22" t="s">
        <v>161</v>
      </c>
      <c r="F135" s="22" t="s">
        <v>798</v>
      </c>
      <c r="G135" s="22" t="s">
        <v>799</v>
      </c>
      <c r="H135" s="22" t="s">
        <v>150</v>
      </c>
      <c r="I135" s="22" t="s">
        <v>151</v>
      </c>
      <c r="J135" s="22" t="s">
        <v>162</v>
      </c>
      <c r="K135" s="22" t="s">
        <v>1212</v>
      </c>
      <c r="L135" s="54" t="s">
        <v>153</v>
      </c>
      <c r="M135" s="23" t="s">
        <v>153</v>
      </c>
      <c r="N135" s="24" t="s">
        <v>153</v>
      </c>
      <c r="O135" s="24" t="s">
        <v>156</v>
      </c>
      <c r="P135" s="24" t="s">
        <v>156</v>
      </c>
      <c r="Q135" s="23" t="s">
        <v>153</v>
      </c>
      <c r="R135" s="23" t="s">
        <v>153</v>
      </c>
      <c r="S135" s="23" t="s">
        <v>153</v>
      </c>
      <c r="T135" s="23" t="s">
        <v>153</v>
      </c>
      <c r="U135" s="24" t="s">
        <v>153</v>
      </c>
      <c r="V135" s="54" t="s">
        <v>153</v>
      </c>
      <c r="W135" s="23" t="s">
        <v>153</v>
      </c>
      <c r="X135" s="23" t="s">
        <v>153</v>
      </c>
      <c r="Y135" s="23" t="s">
        <v>153</v>
      </c>
      <c r="Z135" s="23" t="s">
        <v>153</v>
      </c>
      <c r="AA135" s="23" t="s">
        <v>153</v>
      </c>
      <c r="AB135" s="24" t="s">
        <v>153</v>
      </c>
      <c r="AC135" s="23" t="s">
        <v>153</v>
      </c>
      <c r="AD135" s="23" t="s">
        <v>153</v>
      </c>
      <c r="AE135" s="23" t="s">
        <v>153</v>
      </c>
      <c r="AF135" s="23" t="s">
        <v>153</v>
      </c>
      <c r="AG135" s="23" t="s">
        <v>153</v>
      </c>
      <c r="AH135" s="23" t="s">
        <v>153</v>
      </c>
      <c r="AI135" s="24" t="s">
        <v>153</v>
      </c>
      <c r="AJ135" s="23" t="s">
        <v>153</v>
      </c>
      <c r="AK135" s="23" t="s">
        <v>153</v>
      </c>
      <c r="AL135" s="23" t="s">
        <v>153</v>
      </c>
      <c r="AM135" s="23" t="s">
        <v>153</v>
      </c>
      <c r="AN135" s="23" t="s">
        <v>153</v>
      </c>
      <c r="AO135" s="23" t="s">
        <v>153</v>
      </c>
      <c r="AP135" s="23">
        <f>VALUE(0)</f>
        <v>0</v>
      </c>
      <c r="AQ135" s="23">
        <f>VALUE(0)</f>
        <v>0</v>
      </c>
      <c r="AR135" s="23">
        <f>VALUE(0)</f>
        <v>0</v>
      </c>
      <c r="AS135" s="23">
        <f>VALUE(0)</f>
        <v>0</v>
      </c>
      <c r="AT135" s="23">
        <f>VALUE(0)</f>
        <v>0</v>
      </c>
      <c r="AU135" s="23">
        <f>VALUE(0)</f>
        <v>0</v>
      </c>
      <c r="AV135" s="23">
        <f>VALUE(9)</f>
        <v>9</v>
      </c>
      <c r="AW135" s="23">
        <f>VALUE(0)</f>
        <v>0</v>
      </c>
      <c r="AX135" s="23" t="s">
        <v>404</v>
      </c>
      <c r="AY135" s="23">
        <f>VALUE(0)</f>
        <v>0</v>
      </c>
      <c r="AZ135" s="23">
        <f>VALUE(0)</f>
        <v>0</v>
      </c>
      <c r="BA135" s="23">
        <f>VALUE(0)</f>
        <v>0</v>
      </c>
      <c r="BB135" s="23">
        <f>VALUE(0)</f>
        <v>0</v>
      </c>
      <c r="BC135" s="23">
        <f>VALUE(0)</f>
        <v>0</v>
      </c>
      <c r="BD135" s="23">
        <f>VALUE(0)</f>
        <v>0</v>
      </c>
      <c r="BE135" s="23">
        <f>VALUE(0)</f>
        <v>0</v>
      </c>
      <c r="BF135" s="23">
        <f>VALUE(0)</f>
        <v>0</v>
      </c>
      <c r="BG135" s="23">
        <f>VALUE(0)</f>
        <v>0</v>
      </c>
      <c r="BH135" s="23">
        <f>VALUE(0)</f>
        <v>0</v>
      </c>
      <c r="BI135" s="23">
        <f>VALUE(0)</f>
        <v>0</v>
      </c>
      <c r="BJ135" s="23">
        <f>VALUE(0)</f>
        <v>0</v>
      </c>
      <c r="BK135" s="12">
        <f>$AX$135*24</f>
        <v>4.8499999999999996</v>
      </c>
      <c r="BL135" s="12">
        <f>$AY$135*24</f>
        <v>0</v>
      </c>
      <c r="BM135" s="12">
        <f>$BJ$135*24</f>
        <v>0</v>
      </c>
      <c r="BN135" s="12">
        <f>VALUE($I$135)/100</f>
        <v>1</v>
      </c>
      <c r="BO135" s="12">
        <v>0</v>
      </c>
      <c r="BP135" s="12">
        <v>0</v>
      </c>
      <c r="BQ135" s="12">
        <v>0</v>
      </c>
      <c r="BR135" s="12">
        <v>0</v>
      </c>
      <c r="BS135" s="12">
        <v>0</v>
      </c>
      <c r="BT135" s="12">
        <v>0</v>
      </c>
      <c r="BU135" s="12">
        <v>0</v>
      </c>
      <c r="BV135" s="12">
        <v>0</v>
      </c>
      <c r="BW135" s="12">
        <v>0</v>
      </c>
      <c r="BX135" s="12">
        <v>0</v>
      </c>
      <c r="BY135" s="12">
        <v>0</v>
      </c>
      <c r="BZ135" s="12">
        <v>0</v>
      </c>
      <c r="CA135" s="12">
        <v>0</v>
      </c>
    </row>
    <row r="136" spans="1:79" hidden="1" x14ac:dyDescent="0.2">
      <c r="A136" s="12" t="s">
        <v>120</v>
      </c>
      <c r="B136" s="12" t="s">
        <v>1320</v>
      </c>
      <c r="C136" s="12" t="s">
        <v>1320</v>
      </c>
      <c r="D136" s="22" t="s">
        <v>405</v>
      </c>
      <c r="E136" s="22" t="s">
        <v>161</v>
      </c>
      <c r="F136" s="22" t="s">
        <v>800</v>
      </c>
      <c r="G136" s="22" t="s">
        <v>801</v>
      </c>
      <c r="H136" s="22" t="s">
        <v>150</v>
      </c>
      <c r="I136" s="22" t="s">
        <v>151</v>
      </c>
      <c r="J136" s="22" t="s">
        <v>162</v>
      </c>
      <c r="K136" s="22" t="s">
        <v>1212</v>
      </c>
      <c r="L136" s="54" t="s">
        <v>153</v>
      </c>
      <c r="M136" s="23" t="s">
        <v>153</v>
      </c>
      <c r="N136" s="24" t="s">
        <v>153</v>
      </c>
      <c r="O136" s="23" t="s">
        <v>153</v>
      </c>
      <c r="P136" s="23" t="s">
        <v>153</v>
      </c>
      <c r="Q136" s="23" t="s">
        <v>153</v>
      </c>
      <c r="R136" s="23" t="s">
        <v>153</v>
      </c>
      <c r="S136" s="23" t="s">
        <v>153</v>
      </c>
      <c r="T136" s="23" t="s">
        <v>153</v>
      </c>
      <c r="U136" s="24" t="s">
        <v>153</v>
      </c>
      <c r="V136" s="54" t="s">
        <v>153</v>
      </c>
      <c r="W136" s="23" t="s">
        <v>153</v>
      </c>
      <c r="X136" s="23" t="s">
        <v>153</v>
      </c>
      <c r="Y136" s="23" t="s">
        <v>153</v>
      </c>
      <c r="Z136" s="23" t="s">
        <v>153</v>
      </c>
      <c r="AA136" s="23" t="s">
        <v>153</v>
      </c>
      <c r="AB136" s="24" t="s">
        <v>153</v>
      </c>
      <c r="AC136" s="23" t="s">
        <v>153</v>
      </c>
      <c r="AD136" s="23" t="s">
        <v>153</v>
      </c>
      <c r="AE136" s="24" t="s">
        <v>156</v>
      </c>
      <c r="AF136" s="24" t="s">
        <v>156</v>
      </c>
      <c r="AG136" s="23" t="s">
        <v>153</v>
      </c>
      <c r="AH136" s="23" t="s">
        <v>153</v>
      </c>
      <c r="AI136" s="24" t="s">
        <v>153</v>
      </c>
      <c r="AJ136" s="23" t="s">
        <v>153</v>
      </c>
      <c r="AK136" s="23" t="s">
        <v>153</v>
      </c>
      <c r="AL136" s="23" t="s">
        <v>153</v>
      </c>
      <c r="AM136" s="23" t="s">
        <v>153</v>
      </c>
      <c r="AN136" s="23" t="s">
        <v>153</v>
      </c>
      <c r="AO136" s="23" t="s">
        <v>153</v>
      </c>
      <c r="AP136" s="23">
        <f>VALUE(3)</f>
        <v>3</v>
      </c>
      <c r="AQ136" s="23">
        <f>VALUE(0)</f>
        <v>0</v>
      </c>
      <c r="AR136" s="23">
        <f>VALUE(0)</f>
        <v>0</v>
      </c>
      <c r="AS136" s="23">
        <f>VALUE(0)</f>
        <v>0</v>
      </c>
      <c r="AT136" s="23">
        <f>VALUE(0)</f>
        <v>0</v>
      </c>
      <c r="AU136" s="23">
        <f>VALUE(0)</f>
        <v>0</v>
      </c>
      <c r="AV136" s="23">
        <f>VALUE(0)</f>
        <v>0</v>
      </c>
      <c r="AW136" s="23">
        <f>VALUE(0)</f>
        <v>0</v>
      </c>
      <c r="AX136" s="23" t="s">
        <v>171</v>
      </c>
      <c r="AY136" s="23" t="s">
        <v>406</v>
      </c>
      <c r="AZ136" s="23">
        <f>VALUE(0)</f>
        <v>0</v>
      </c>
      <c r="BA136" s="23">
        <f>VALUE(0)</f>
        <v>0</v>
      </c>
      <c r="BB136" s="23">
        <f>VALUE(0)</f>
        <v>0</v>
      </c>
      <c r="BC136" s="23">
        <f>VALUE(0)</f>
        <v>0</v>
      </c>
      <c r="BD136" s="23">
        <f>VALUE(0)</f>
        <v>0</v>
      </c>
      <c r="BE136" s="23">
        <f>VALUE(0)</f>
        <v>0</v>
      </c>
      <c r="BF136" s="23">
        <f>VALUE(0)</f>
        <v>0</v>
      </c>
      <c r="BG136" s="23">
        <f>VALUE(0)</f>
        <v>0</v>
      </c>
      <c r="BH136" s="23">
        <f>VALUE(0)</f>
        <v>0</v>
      </c>
      <c r="BI136" s="23">
        <f>VALUE(0)</f>
        <v>0</v>
      </c>
      <c r="BJ136" s="23">
        <f>VALUE(0)</f>
        <v>0</v>
      </c>
      <c r="BK136" s="12">
        <f>$AX$136*24</f>
        <v>5.833333333333333</v>
      </c>
      <c r="BL136" s="12">
        <f>$AY$136*24</f>
        <v>9.9</v>
      </c>
      <c r="BM136" s="12">
        <f>$BJ$136*24</f>
        <v>0</v>
      </c>
      <c r="BN136" s="12">
        <f>VALUE($I$136)/100</f>
        <v>1</v>
      </c>
      <c r="BO136" s="12">
        <v>0</v>
      </c>
      <c r="BP136" s="12">
        <v>0</v>
      </c>
      <c r="BQ136" s="12">
        <v>0</v>
      </c>
      <c r="BR136" s="12">
        <v>0</v>
      </c>
      <c r="BS136" s="12">
        <v>0</v>
      </c>
      <c r="BT136" s="12">
        <v>0</v>
      </c>
      <c r="BU136" s="12">
        <v>0</v>
      </c>
      <c r="BV136" s="12">
        <v>0</v>
      </c>
      <c r="BW136" s="12">
        <v>0</v>
      </c>
      <c r="BX136" s="12">
        <v>0</v>
      </c>
      <c r="BY136" s="12">
        <v>0</v>
      </c>
      <c r="BZ136" s="12">
        <v>0</v>
      </c>
      <c r="CA136" s="12">
        <v>0</v>
      </c>
    </row>
    <row r="137" spans="1:79" hidden="1" x14ac:dyDescent="0.2">
      <c r="A137" s="12" t="s">
        <v>120</v>
      </c>
      <c r="B137" s="12" t="s">
        <v>1320</v>
      </c>
      <c r="C137" s="12" t="s">
        <v>1320</v>
      </c>
      <c r="D137" s="22" t="s">
        <v>383</v>
      </c>
      <c r="E137" s="22" t="s">
        <v>161</v>
      </c>
      <c r="F137" s="22" t="s">
        <v>802</v>
      </c>
      <c r="G137" s="22" t="s">
        <v>803</v>
      </c>
      <c r="H137" s="22" t="s">
        <v>166</v>
      </c>
      <c r="I137" s="22" t="s">
        <v>151</v>
      </c>
      <c r="J137" s="22" t="s">
        <v>162</v>
      </c>
      <c r="K137" s="22" t="s">
        <v>1212</v>
      </c>
      <c r="L137" s="54" t="s">
        <v>153</v>
      </c>
      <c r="M137" s="23" t="s">
        <v>153</v>
      </c>
      <c r="N137" s="24" t="s">
        <v>153</v>
      </c>
      <c r="O137" s="23" t="s">
        <v>153</v>
      </c>
      <c r="P137" s="23" t="s">
        <v>153</v>
      </c>
      <c r="Q137" s="23" t="s">
        <v>153</v>
      </c>
      <c r="R137" s="23" t="s">
        <v>153</v>
      </c>
      <c r="S137" s="23" t="s">
        <v>153</v>
      </c>
      <c r="T137" s="23" t="s">
        <v>153</v>
      </c>
      <c r="U137" s="24" t="s">
        <v>153</v>
      </c>
      <c r="V137" s="54" t="s">
        <v>153</v>
      </c>
      <c r="W137" s="23" t="s">
        <v>153</v>
      </c>
      <c r="X137" s="23" t="s">
        <v>153</v>
      </c>
      <c r="Y137" s="23" t="s">
        <v>153</v>
      </c>
      <c r="Z137" s="24" t="s">
        <v>156</v>
      </c>
      <c r="AA137" s="24" t="s">
        <v>156</v>
      </c>
      <c r="AB137" s="24" t="s">
        <v>153</v>
      </c>
      <c r="AC137" s="29" t="s">
        <v>163</v>
      </c>
      <c r="AD137" s="29" t="s">
        <v>163</v>
      </c>
      <c r="AE137" s="29" t="s">
        <v>163</v>
      </c>
      <c r="AF137" s="29" t="s">
        <v>163</v>
      </c>
      <c r="AG137" s="29" t="s">
        <v>163</v>
      </c>
      <c r="AH137" s="29" t="s">
        <v>163</v>
      </c>
      <c r="AI137" s="24" t="s">
        <v>153</v>
      </c>
      <c r="AJ137" s="23" t="s">
        <v>153</v>
      </c>
      <c r="AK137" s="23" t="s">
        <v>153</v>
      </c>
      <c r="AL137" s="23" t="s">
        <v>153</v>
      </c>
      <c r="AM137" s="23" t="s">
        <v>153</v>
      </c>
      <c r="AN137" s="23" t="s">
        <v>153</v>
      </c>
      <c r="AO137" s="23" t="s">
        <v>153</v>
      </c>
      <c r="AP137" s="23">
        <f>VALUE(3)</f>
        <v>3</v>
      </c>
      <c r="AQ137" s="23">
        <f>VALUE(0)</f>
        <v>0</v>
      </c>
      <c r="AR137" s="23">
        <f>VALUE(6)</f>
        <v>6</v>
      </c>
      <c r="AS137" s="23">
        <f>VALUE(0)</f>
        <v>0</v>
      </c>
      <c r="AT137" s="23">
        <f>VALUE(0)</f>
        <v>0</v>
      </c>
      <c r="AU137" s="23">
        <f>VALUE(0)</f>
        <v>0</v>
      </c>
      <c r="AV137" s="23">
        <f>VALUE(6)</f>
        <v>6</v>
      </c>
      <c r="AW137" s="23">
        <f>VALUE(3)</f>
        <v>3</v>
      </c>
      <c r="AX137" s="23" t="s">
        <v>1215</v>
      </c>
      <c r="AY137" s="23">
        <f>VALUE(0)</f>
        <v>0</v>
      </c>
      <c r="AZ137" s="23">
        <f>VALUE(0)</f>
        <v>0</v>
      </c>
      <c r="BA137" s="23">
        <f>VALUE(0)</f>
        <v>0</v>
      </c>
      <c r="BB137" s="23">
        <f>VALUE(0)</f>
        <v>0</v>
      </c>
      <c r="BC137" s="23">
        <f>VALUE(0)</f>
        <v>0</v>
      </c>
      <c r="BD137" s="23">
        <f>VALUE(0)</f>
        <v>0</v>
      </c>
      <c r="BE137" s="23">
        <f>VALUE(0)</f>
        <v>0</v>
      </c>
      <c r="BF137" s="23">
        <f>VALUE(0)</f>
        <v>0</v>
      </c>
      <c r="BG137" s="23">
        <f>VALUE(0)</f>
        <v>0</v>
      </c>
      <c r="BH137" s="23">
        <f>VALUE(0)</f>
        <v>0</v>
      </c>
      <c r="BI137" s="23">
        <f>VALUE(0)</f>
        <v>0</v>
      </c>
      <c r="BJ137" s="23">
        <f>VALUE(0)</f>
        <v>0</v>
      </c>
      <c r="BK137" s="12">
        <f>$AX$137*24</f>
        <v>27</v>
      </c>
      <c r="BL137" s="12">
        <f>$AY$137*24</f>
        <v>0</v>
      </c>
      <c r="BM137" s="12">
        <f>$BJ$137*24</f>
        <v>0</v>
      </c>
      <c r="BN137" s="12">
        <f>VALUE($I$137)/100</f>
        <v>1</v>
      </c>
      <c r="BO137" s="12">
        <v>0</v>
      </c>
      <c r="BP137" s="12">
        <v>0</v>
      </c>
      <c r="BQ137" s="12">
        <v>0</v>
      </c>
      <c r="BR137" s="12">
        <v>0</v>
      </c>
      <c r="BS137" s="12">
        <v>0</v>
      </c>
      <c r="BT137" s="12">
        <v>6</v>
      </c>
      <c r="BU137" s="12">
        <v>0</v>
      </c>
      <c r="BV137" s="12">
        <v>0</v>
      </c>
      <c r="BW137" s="12">
        <v>0</v>
      </c>
      <c r="BX137" s="12">
        <v>0</v>
      </c>
      <c r="BY137" s="12">
        <v>0</v>
      </c>
      <c r="BZ137" s="12">
        <v>0</v>
      </c>
      <c r="CA137" s="12">
        <v>0</v>
      </c>
    </row>
    <row r="138" spans="1:79" hidden="1" x14ac:dyDescent="0.2">
      <c r="A138" s="12" t="s">
        <v>120</v>
      </c>
      <c r="B138" s="12" t="s">
        <v>1320</v>
      </c>
      <c r="C138" s="12" t="s">
        <v>1320</v>
      </c>
      <c r="D138" s="22" t="s">
        <v>397</v>
      </c>
      <c r="E138" s="22" t="s">
        <v>161</v>
      </c>
      <c r="F138" s="22" t="s">
        <v>804</v>
      </c>
      <c r="G138" s="22" t="s">
        <v>805</v>
      </c>
      <c r="H138" s="22" t="s">
        <v>150</v>
      </c>
      <c r="I138" s="22" t="s">
        <v>151</v>
      </c>
      <c r="J138" s="22" t="s">
        <v>162</v>
      </c>
      <c r="K138" s="22" t="s">
        <v>1212</v>
      </c>
      <c r="L138" s="54" t="s">
        <v>153</v>
      </c>
      <c r="M138" s="28" t="s">
        <v>163</v>
      </c>
      <c r="N138" s="24" t="s">
        <v>153</v>
      </c>
      <c r="O138" s="28" t="s">
        <v>163</v>
      </c>
      <c r="P138" s="28" t="s">
        <v>163</v>
      </c>
      <c r="Q138" s="28" t="s">
        <v>163</v>
      </c>
      <c r="R138" s="28" t="s">
        <v>163</v>
      </c>
      <c r="S138" s="28" t="s">
        <v>163</v>
      </c>
      <c r="T138" s="28" t="s">
        <v>163</v>
      </c>
      <c r="U138" s="24" t="s">
        <v>153</v>
      </c>
      <c r="V138" s="54" t="s">
        <v>153</v>
      </c>
      <c r="W138" s="28" t="s">
        <v>163</v>
      </c>
      <c r="X138" s="28" t="s">
        <v>163</v>
      </c>
      <c r="Y138" s="28" t="s">
        <v>163</v>
      </c>
      <c r="Z138" s="28" t="s">
        <v>163</v>
      </c>
      <c r="AA138" s="28" t="s">
        <v>163</v>
      </c>
      <c r="AB138" s="24" t="s">
        <v>153</v>
      </c>
      <c r="AC138" s="23" t="s">
        <v>153</v>
      </c>
      <c r="AD138" s="23" t="s">
        <v>153</v>
      </c>
      <c r="AE138" s="23" t="s">
        <v>153</v>
      </c>
      <c r="AF138" s="23" t="s">
        <v>153</v>
      </c>
      <c r="AG138" s="23" t="s">
        <v>153</v>
      </c>
      <c r="AH138" s="23" t="s">
        <v>153</v>
      </c>
      <c r="AI138" s="24" t="s">
        <v>153</v>
      </c>
      <c r="AJ138" s="23" t="s">
        <v>153</v>
      </c>
      <c r="AK138" s="23" t="s">
        <v>153</v>
      </c>
      <c r="AL138" s="23" t="s">
        <v>153</v>
      </c>
      <c r="AM138" s="23" t="s">
        <v>153</v>
      </c>
      <c r="AN138" s="23" t="s">
        <v>153</v>
      </c>
      <c r="AO138" s="23" t="s">
        <v>153</v>
      </c>
      <c r="AP138" s="23">
        <f>VALUE(0)</f>
        <v>0</v>
      </c>
      <c r="AQ138" s="23">
        <f>VALUE(0)</f>
        <v>0</v>
      </c>
      <c r="AR138" s="23">
        <f>VALUE(0)</f>
        <v>0</v>
      </c>
      <c r="AS138" s="23">
        <f>VALUE(0)</f>
        <v>0</v>
      </c>
      <c r="AT138" s="23">
        <f>VALUE(0)</f>
        <v>0</v>
      </c>
      <c r="AU138" s="23">
        <f>VALUE(12)</f>
        <v>12</v>
      </c>
      <c r="AV138" s="23">
        <f>VALUE(5)</f>
        <v>5</v>
      </c>
      <c r="AW138" s="23">
        <f>VALUE(0)</f>
        <v>0</v>
      </c>
      <c r="AX138" s="23">
        <f>VALUE(0)</f>
        <v>0</v>
      </c>
      <c r="AY138" s="23">
        <f>VALUE(0)</f>
        <v>0</v>
      </c>
      <c r="AZ138" s="23">
        <f>VALUE(0)</f>
        <v>0</v>
      </c>
      <c r="BA138" s="23">
        <f>VALUE(0)</f>
        <v>0</v>
      </c>
      <c r="BB138" s="23">
        <f>VALUE(0)</f>
        <v>0</v>
      </c>
      <c r="BC138" s="23">
        <f>VALUE(0)</f>
        <v>0</v>
      </c>
      <c r="BD138" s="23">
        <f>VALUE(0)</f>
        <v>0</v>
      </c>
      <c r="BE138" s="23">
        <f>VALUE(0)</f>
        <v>0</v>
      </c>
      <c r="BF138" s="23">
        <f>VALUE(0)</f>
        <v>0</v>
      </c>
      <c r="BG138" s="23">
        <f>VALUE(0)</f>
        <v>0</v>
      </c>
      <c r="BH138" s="23">
        <f>VALUE(0)</f>
        <v>0</v>
      </c>
      <c r="BI138" s="23">
        <f>VALUE(0)</f>
        <v>0</v>
      </c>
      <c r="BJ138" s="23">
        <f>VALUE(0)</f>
        <v>0</v>
      </c>
      <c r="BK138" s="12">
        <f>$AX$138*24</f>
        <v>0</v>
      </c>
      <c r="BL138" s="12">
        <f>$AY$138*24</f>
        <v>0</v>
      </c>
      <c r="BM138" s="12">
        <f>$BJ$138*24</f>
        <v>0</v>
      </c>
      <c r="BN138" s="12">
        <f>VALUE($I$138)/100</f>
        <v>1</v>
      </c>
      <c r="BO138" s="12">
        <v>0</v>
      </c>
      <c r="BP138" s="12">
        <v>0</v>
      </c>
      <c r="BQ138" s="12">
        <v>0</v>
      </c>
      <c r="BR138" s="12">
        <v>0</v>
      </c>
      <c r="BS138" s="12">
        <v>0</v>
      </c>
      <c r="BT138" s="12">
        <v>0</v>
      </c>
      <c r="BU138" s="12">
        <v>0</v>
      </c>
      <c r="BV138" s="12">
        <v>0</v>
      </c>
      <c r="BW138" s="12">
        <v>0</v>
      </c>
      <c r="BX138" s="12">
        <v>0</v>
      </c>
      <c r="BY138" s="12">
        <v>0</v>
      </c>
      <c r="BZ138" s="12">
        <v>0</v>
      </c>
      <c r="CA138" s="12">
        <v>0</v>
      </c>
    </row>
    <row r="139" spans="1:79" hidden="1" x14ac:dyDescent="0.2">
      <c r="A139" s="12" t="s">
        <v>120</v>
      </c>
      <c r="B139" s="12" t="s">
        <v>1320</v>
      </c>
      <c r="C139" s="12" t="s">
        <v>1320</v>
      </c>
      <c r="D139" s="22" t="s">
        <v>397</v>
      </c>
      <c r="E139" s="22" t="s">
        <v>161</v>
      </c>
      <c r="F139" s="22" t="s">
        <v>806</v>
      </c>
      <c r="G139" s="22" t="s">
        <v>807</v>
      </c>
      <c r="H139" s="22" t="s">
        <v>190</v>
      </c>
      <c r="I139" s="22" t="s">
        <v>151</v>
      </c>
      <c r="J139" s="22" t="s">
        <v>162</v>
      </c>
      <c r="K139" s="22" t="s">
        <v>1212</v>
      </c>
      <c r="L139" s="54" t="s">
        <v>153</v>
      </c>
      <c r="M139" s="23" t="s">
        <v>153</v>
      </c>
      <c r="N139" s="24" t="s">
        <v>153</v>
      </c>
      <c r="O139" s="23" t="s">
        <v>153</v>
      </c>
      <c r="P139" s="23" t="s">
        <v>153</v>
      </c>
      <c r="Q139" s="23" t="s">
        <v>153</v>
      </c>
      <c r="R139" s="23" t="s">
        <v>153</v>
      </c>
      <c r="S139" s="23" t="s">
        <v>153</v>
      </c>
      <c r="T139" s="23" t="s">
        <v>153</v>
      </c>
      <c r="U139" s="24" t="s">
        <v>153</v>
      </c>
      <c r="V139" s="54" t="s">
        <v>153</v>
      </c>
      <c r="W139" s="23" t="s">
        <v>153</v>
      </c>
      <c r="X139" s="23" t="s">
        <v>153</v>
      </c>
      <c r="Y139" s="23" t="s">
        <v>153</v>
      </c>
      <c r="Z139" s="23" t="s">
        <v>153</v>
      </c>
      <c r="AA139" s="23" t="s">
        <v>153</v>
      </c>
      <c r="AB139" s="40" t="s">
        <v>153</v>
      </c>
      <c r="AC139" s="40" t="s">
        <v>153</v>
      </c>
      <c r="AD139" s="40" t="s">
        <v>153</v>
      </c>
      <c r="AE139" s="40" t="s">
        <v>153</v>
      </c>
      <c r="AF139" s="40" t="s">
        <v>153</v>
      </c>
      <c r="AG139" s="40" t="s">
        <v>153</v>
      </c>
      <c r="AH139" s="40" t="s">
        <v>153</v>
      </c>
      <c r="AI139" s="40" t="s">
        <v>153</v>
      </c>
      <c r="AJ139" s="40" t="s">
        <v>153</v>
      </c>
      <c r="AK139" s="40" t="s">
        <v>153</v>
      </c>
      <c r="AL139" s="40" t="s">
        <v>153</v>
      </c>
      <c r="AM139" s="40" t="s">
        <v>153</v>
      </c>
      <c r="AN139" s="40" t="s">
        <v>153</v>
      </c>
      <c r="AO139" s="40" t="s">
        <v>153</v>
      </c>
      <c r="AP139" s="23">
        <f>VALUE(0)</f>
        <v>0</v>
      </c>
      <c r="AQ139" s="23">
        <f>VALUE(0)</f>
        <v>0</v>
      </c>
      <c r="AR139" s="23">
        <f>VALUE(0)</f>
        <v>0</v>
      </c>
      <c r="AS139" s="23">
        <f>VALUE(0)</f>
        <v>0</v>
      </c>
      <c r="AT139" s="23">
        <f>VALUE(0)</f>
        <v>0</v>
      </c>
      <c r="AU139" s="23">
        <f>VALUE(0)</f>
        <v>0</v>
      </c>
      <c r="AV139" s="23">
        <f>VALUE(3)</f>
        <v>3</v>
      </c>
      <c r="AW139" s="23">
        <f>VALUE(0)</f>
        <v>0</v>
      </c>
      <c r="AX139" s="23">
        <f>VALUE(0)</f>
        <v>0</v>
      </c>
      <c r="AY139" s="23">
        <f>VALUE(0)</f>
        <v>0</v>
      </c>
      <c r="AZ139" s="23">
        <f>VALUE(0)</f>
        <v>0</v>
      </c>
      <c r="BA139" s="23">
        <f>VALUE(0)</f>
        <v>0</v>
      </c>
      <c r="BB139" s="23">
        <f>VALUE(0)</f>
        <v>0</v>
      </c>
      <c r="BC139" s="23">
        <f>VALUE(0)</f>
        <v>0</v>
      </c>
      <c r="BD139" s="23">
        <f>VALUE(0)</f>
        <v>0</v>
      </c>
      <c r="BE139" s="23">
        <f>VALUE(0)</f>
        <v>0</v>
      </c>
      <c r="BF139" s="23">
        <f>VALUE(0)</f>
        <v>0</v>
      </c>
      <c r="BG139" s="23">
        <f>VALUE(0)</f>
        <v>0</v>
      </c>
      <c r="BH139" s="23">
        <f>VALUE(0)</f>
        <v>0</v>
      </c>
      <c r="BI139" s="23">
        <f>VALUE(0)</f>
        <v>0</v>
      </c>
      <c r="BJ139" s="23">
        <f>VALUE(0)</f>
        <v>0</v>
      </c>
      <c r="BK139" s="12">
        <f>$AX$139*24</f>
        <v>0</v>
      </c>
      <c r="BL139" s="12">
        <f>$AY$139*24</f>
        <v>0</v>
      </c>
      <c r="BM139" s="12">
        <f>$BJ$139*24</f>
        <v>0</v>
      </c>
      <c r="BN139" s="12">
        <f>VALUE($I$139)/100</f>
        <v>1</v>
      </c>
      <c r="BO139" s="12">
        <v>0</v>
      </c>
      <c r="BP139" s="12">
        <v>0</v>
      </c>
      <c r="BQ139" s="12">
        <v>0</v>
      </c>
      <c r="BR139" s="12">
        <v>0</v>
      </c>
      <c r="BS139" s="12">
        <v>0</v>
      </c>
      <c r="BT139" s="12">
        <v>0</v>
      </c>
      <c r="BU139" s="12">
        <v>0</v>
      </c>
      <c r="BV139" s="12">
        <v>0</v>
      </c>
      <c r="BW139" s="12">
        <v>0</v>
      </c>
      <c r="BX139" s="12">
        <v>0</v>
      </c>
      <c r="BY139" s="12">
        <v>0</v>
      </c>
      <c r="BZ139" s="12">
        <v>0</v>
      </c>
      <c r="CA139" s="12">
        <v>0</v>
      </c>
    </row>
    <row r="140" spans="1:79" hidden="1" x14ac:dyDescent="0.2">
      <c r="A140" s="12" t="s">
        <v>120</v>
      </c>
      <c r="B140" s="12" t="s">
        <v>1320</v>
      </c>
      <c r="C140" s="12" t="s">
        <v>1320</v>
      </c>
      <c r="D140" s="22" t="s">
        <v>398</v>
      </c>
      <c r="E140" s="22" t="s">
        <v>161</v>
      </c>
      <c r="F140" s="22" t="s">
        <v>808</v>
      </c>
      <c r="G140" s="22" t="s">
        <v>809</v>
      </c>
      <c r="H140" s="22" t="s">
        <v>166</v>
      </c>
      <c r="I140" s="22" t="s">
        <v>194</v>
      </c>
      <c r="J140" s="22" t="s">
        <v>162</v>
      </c>
      <c r="K140" s="22" t="s">
        <v>1212</v>
      </c>
      <c r="L140" s="54" t="s">
        <v>156</v>
      </c>
      <c r="M140" s="24" t="s">
        <v>156</v>
      </c>
      <c r="N140" s="24" t="s">
        <v>153</v>
      </c>
      <c r="O140" s="23" t="s">
        <v>153</v>
      </c>
      <c r="P140" s="23" t="s">
        <v>153</v>
      </c>
      <c r="Q140" s="23" t="s">
        <v>153</v>
      </c>
      <c r="R140" s="23" t="s">
        <v>153</v>
      </c>
      <c r="S140" s="23" t="s">
        <v>153</v>
      </c>
      <c r="T140" s="23" t="s">
        <v>153</v>
      </c>
      <c r="U140" s="24" t="s">
        <v>153</v>
      </c>
      <c r="V140" s="54" t="s">
        <v>153</v>
      </c>
      <c r="W140" s="23" t="s">
        <v>153</v>
      </c>
      <c r="X140" s="23" t="s">
        <v>153</v>
      </c>
      <c r="Y140" s="23" t="s">
        <v>153</v>
      </c>
      <c r="Z140" s="23" t="s">
        <v>153</v>
      </c>
      <c r="AA140" s="23" t="s">
        <v>153</v>
      </c>
      <c r="AB140" s="24" t="s">
        <v>153</v>
      </c>
      <c r="AC140" s="23" t="s">
        <v>153</v>
      </c>
      <c r="AD140" s="23" t="s">
        <v>153</v>
      </c>
      <c r="AE140" s="23" t="s">
        <v>153</v>
      </c>
      <c r="AF140" s="23" t="s">
        <v>153</v>
      </c>
      <c r="AG140" s="23" t="s">
        <v>153</v>
      </c>
      <c r="AH140" s="23" t="s">
        <v>153</v>
      </c>
      <c r="AI140" s="24" t="s">
        <v>153</v>
      </c>
      <c r="AJ140" s="24" t="s">
        <v>195</v>
      </c>
      <c r="AK140" s="24" t="s">
        <v>195</v>
      </c>
      <c r="AL140" s="24" t="s">
        <v>195</v>
      </c>
      <c r="AM140" s="24" t="s">
        <v>195</v>
      </c>
      <c r="AN140" s="24" t="s">
        <v>195</v>
      </c>
      <c r="AO140" s="24" t="s">
        <v>195</v>
      </c>
      <c r="AP140" s="23">
        <f>VALUE(0)</f>
        <v>0</v>
      </c>
      <c r="AQ140" s="23">
        <f>VALUE(0)</f>
        <v>0</v>
      </c>
      <c r="AR140" s="23">
        <f>VALUE(0)</f>
        <v>0</v>
      </c>
      <c r="AS140" s="23">
        <f>VALUE(0)</f>
        <v>0</v>
      </c>
      <c r="AT140" s="23">
        <f>VALUE(0)</f>
        <v>0</v>
      </c>
      <c r="AU140" s="23">
        <f>VALUE(0)</f>
        <v>0</v>
      </c>
      <c r="AV140" s="23">
        <f>VALUE(1.5)</f>
        <v>1.5</v>
      </c>
      <c r="AW140" s="23">
        <f>VALUE(3)</f>
        <v>3</v>
      </c>
      <c r="AX140" s="23" t="s">
        <v>1216</v>
      </c>
      <c r="AY140" s="23">
        <f>VALUE(0)</f>
        <v>0</v>
      </c>
      <c r="AZ140" s="23">
        <f>VALUE(0)</f>
        <v>0</v>
      </c>
      <c r="BA140" s="23">
        <f>VALUE(0)</f>
        <v>0</v>
      </c>
      <c r="BB140" s="23">
        <f>VALUE(0)</f>
        <v>0</v>
      </c>
      <c r="BC140" s="23">
        <f>VALUE(0)</f>
        <v>0</v>
      </c>
      <c r="BD140" s="23">
        <f>VALUE(0)</f>
        <v>0</v>
      </c>
      <c r="BE140" s="23">
        <f>VALUE(0)</f>
        <v>0</v>
      </c>
      <c r="BF140" s="23">
        <f>VALUE(0)</f>
        <v>0</v>
      </c>
      <c r="BG140" s="23">
        <f>VALUE(0)</f>
        <v>0</v>
      </c>
      <c r="BH140" s="23">
        <f>VALUE(0)</f>
        <v>0</v>
      </c>
      <c r="BI140" s="23">
        <f>VALUE(0)</f>
        <v>0</v>
      </c>
      <c r="BJ140" s="23">
        <f>VALUE(0)</f>
        <v>0</v>
      </c>
      <c r="BK140" s="12">
        <f>$AX$140*24</f>
        <v>13.833333333333336</v>
      </c>
      <c r="BL140" s="12">
        <f>$AY$140*24</f>
        <v>0</v>
      </c>
      <c r="BM140" s="12">
        <f>$BJ$140*24</f>
        <v>0</v>
      </c>
      <c r="BN140" s="12">
        <f>VALUE($I$140)/100</f>
        <v>0.8</v>
      </c>
      <c r="BO140" s="12">
        <v>0</v>
      </c>
      <c r="BP140" s="12">
        <v>0</v>
      </c>
      <c r="BQ140" s="12">
        <v>0</v>
      </c>
      <c r="BR140" s="12">
        <v>0</v>
      </c>
      <c r="BS140" s="12">
        <v>0</v>
      </c>
      <c r="BT140" s="12">
        <v>0</v>
      </c>
      <c r="BU140" s="12">
        <v>0</v>
      </c>
      <c r="BV140" s="12">
        <v>0</v>
      </c>
      <c r="BW140" s="12">
        <v>0</v>
      </c>
      <c r="BX140" s="12">
        <v>0</v>
      </c>
      <c r="BY140" s="12">
        <v>0</v>
      </c>
      <c r="BZ140" s="12">
        <v>0</v>
      </c>
      <c r="CA140" s="12">
        <v>0</v>
      </c>
    </row>
    <row r="141" spans="1:79" hidden="1" x14ac:dyDescent="0.2">
      <c r="A141" s="12" t="s">
        <v>120</v>
      </c>
      <c r="B141" s="12" t="s">
        <v>1320</v>
      </c>
      <c r="C141" s="12" t="s">
        <v>1320</v>
      </c>
      <c r="D141" s="22" t="s">
        <v>1217</v>
      </c>
      <c r="E141" s="22" t="s">
        <v>159</v>
      </c>
      <c r="F141" s="22" t="s">
        <v>810</v>
      </c>
      <c r="G141" s="22" t="s">
        <v>811</v>
      </c>
      <c r="H141" s="22" t="s">
        <v>150</v>
      </c>
      <c r="I141" s="22" t="s">
        <v>151</v>
      </c>
      <c r="J141" s="22" t="s">
        <v>162</v>
      </c>
      <c r="K141" s="22" t="s">
        <v>1212</v>
      </c>
      <c r="L141" s="54" t="s">
        <v>153</v>
      </c>
      <c r="M141" s="23" t="s">
        <v>391</v>
      </c>
      <c r="N141" s="24" t="s">
        <v>153</v>
      </c>
      <c r="O141" s="28" t="s">
        <v>163</v>
      </c>
      <c r="P141" s="28" t="s">
        <v>163</v>
      </c>
      <c r="Q141" s="28" t="s">
        <v>163</v>
      </c>
      <c r="R141" s="28" t="s">
        <v>163</v>
      </c>
      <c r="S141" s="28" t="s">
        <v>163</v>
      </c>
      <c r="T141" s="28" t="s">
        <v>163</v>
      </c>
      <c r="U141" s="24" t="s">
        <v>153</v>
      </c>
      <c r="V141" s="54" t="s">
        <v>153</v>
      </c>
      <c r="W141" s="23" t="s">
        <v>260</v>
      </c>
      <c r="X141" s="23" t="s">
        <v>260</v>
      </c>
      <c r="Y141" s="23" t="s">
        <v>260</v>
      </c>
      <c r="Z141" s="23" t="s">
        <v>260</v>
      </c>
      <c r="AA141" s="23" t="s">
        <v>260</v>
      </c>
      <c r="AB141" s="24" t="s">
        <v>153</v>
      </c>
      <c r="AC141" s="23" t="s">
        <v>260</v>
      </c>
      <c r="AD141" s="23" t="s">
        <v>260</v>
      </c>
      <c r="AE141" s="23" t="s">
        <v>260</v>
      </c>
      <c r="AF141" s="23" t="s">
        <v>260</v>
      </c>
      <c r="AG141" s="24" t="s">
        <v>156</v>
      </c>
      <c r="AH141" s="24" t="s">
        <v>156</v>
      </c>
      <c r="AI141" s="24" t="s">
        <v>153</v>
      </c>
      <c r="AJ141" s="23" t="s">
        <v>260</v>
      </c>
      <c r="AK141" s="23" t="s">
        <v>260</v>
      </c>
      <c r="AL141" s="23" t="s">
        <v>260</v>
      </c>
      <c r="AM141" s="23" t="s">
        <v>260</v>
      </c>
      <c r="AN141" s="23" t="s">
        <v>260</v>
      </c>
      <c r="AO141" s="23" t="s">
        <v>260</v>
      </c>
      <c r="AP141" s="23">
        <f>VALUE(2)</f>
        <v>2</v>
      </c>
      <c r="AQ141" s="23">
        <f>VALUE(0)</f>
        <v>0</v>
      </c>
      <c r="AR141" s="23">
        <f>VALUE(0)</f>
        <v>0</v>
      </c>
      <c r="AS141" s="23">
        <f>VALUE(0)</f>
        <v>0</v>
      </c>
      <c r="AT141" s="23">
        <f>VALUE(0)</f>
        <v>0</v>
      </c>
      <c r="AU141" s="23">
        <f>VALUE(6)</f>
        <v>6</v>
      </c>
      <c r="AV141" s="23">
        <f>VALUE(0)</f>
        <v>0</v>
      </c>
      <c r="AW141" s="23">
        <f>VALUE(0)</f>
        <v>0</v>
      </c>
      <c r="AX141" s="23" t="s">
        <v>171</v>
      </c>
      <c r="AY141" s="23" t="s">
        <v>407</v>
      </c>
      <c r="AZ141" s="23">
        <f>VALUE(0)</f>
        <v>0</v>
      </c>
      <c r="BA141" s="23">
        <f>VALUE(0)</f>
        <v>0</v>
      </c>
      <c r="BB141" s="23">
        <f>VALUE(0)</f>
        <v>0</v>
      </c>
      <c r="BC141" s="23">
        <f>VALUE(0)</f>
        <v>0</v>
      </c>
      <c r="BD141" s="23">
        <f>VALUE(0)</f>
        <v>0</v>
      </c>
      <c r="BE141" s="23">
        <f>VALUE(0)</f>
        <v>0</v>
      </c>
      <c r="BF141" s="23">
        <f>VALUE(0)</f>
        <v>0</v>
      </c>
      <c r="BG141" s="23">
        <f>VALUE(0)</f>
        <v>0</v>
      </c>
      <c r="BH141" s="23">
        <f>VALUE(0)</f>
        <v>0</v>
      </c>
      <c r="BI141" s="23">
        <f>VALUE(0)</f>
        <v>0</v>
      </c>
      <c r="BJ141" s="23">
        <f>VALUE(0)</f>
        <v>0</v>
      </c>
      <c r="BK141" s="12">
        <f>$AX$141*24</f>
        <v>5.833333333333333</v>
      </c>
      <c r="BL141" s="12">
        <f>$AY$141*24</f>
        <v>1.2166666666666668</v>
      </c>
      <c r="BM141" s="12">
        <f>$BJ$141*24</f>
        <v>0</v>
      </c>
      <c r="BN141" s="12">
        <f>VALUE($I$141)/100</f>
        <v>1</v>
      </c>
      <c r="BO141" s="12">
        <v>0</v>
      </c>
      <c r="BP141" s="12">
        <v>0</v>
      </c>
      <c r="BQ141" s="12">
        <v>0</v>
      </c>
      <c r="BR141" s="12">
        <v>0</v>
      </c>
      <c r="BS141" s="12">
        <v>0</v>
      </c>
      <c r="BT141" s="12">
        <v>0</v>
      </c>
      <c r="BU141" s="12">
        <v>0</v>
      </c>
      <c r="BV141" s="12">
        <v>0</v>
      </c>
      <c r="BW141" s="12">
        <v>0</v>
      </c>
      <c r="BX141" s="12">
        <v>0</v>
      </c>
      <c r="BY141" s="12">
        <v>0</v>
      </c>
      <c r="BZ141" s="12">
        <v>0</v>
      </c>
      <c r="CA141" s="12">
        <v>0</v>
      </c>
    </row>
    <row r="142" spans="1:79" hidden="1" x14ac:dyDescent="0.2">
      <c r="A142" s="12" t="s">
        <v>120</v>
      </c>
      <c r="B142" s="12" t="s">
        <v>1320</v>
      </c>
      <c r="C142" s="12" t="s">
        <v>1320</v>
      </c>
      <c r="D142" s="22" t="s">
        <v>1218</v>
      </c>
      <c r="E142" s="22" t="s">
        <v>332</v>
      </c>
      <c r="F142" s="22" t="s">
        <v>812</v>
      </c>
      <c r="G142" s="22" t="s">
        <v>813</v>
      </c>
      <c r="H142" s="22" t="s">
        <v>150</v>
      </c>
      <c r="I142" s="22" t="s">
        <v>151</v>
      </c>
      <c r="J142" s="22" t="s">
        <v>162</v>
      </c>
      <c r="K142" s="22" t="s">
        <v>1212</v>
      </c>
      <c r="L142" s="54" t="s">
        <v>153</v>
      </c>
      <c r="M142" s="23" t="s">
        <v>398</v>
      </c>
      <c r="N142" s="24" t="s">
        <v>153</v>
      </c>
      <c r="O142" s="23" t="s">
        <v>375</v>
      </c>
      <c r="P142" s="23" t="s">
        <v>375</v>
      </c>
      <c r="Q142" s="23" t="s">
        <v>391</v>
      </c>
      <c r="R142" s="23" t="s">
        <v>391</v>
      </c>
      <c r="S142" s="23" t="s">
        <v>391</v>
      </c>
      <c r="T142" s="23" t="s">
        <v>391</v>
      </c>
      <c r="U142" s="24" t="s">
        <v>153</v>
      </c>
      <c r="V142" s="54" t="s">
        <v>153</v>
      </c>
      <c r="W142" s="25" t="s">
        <v>1219</v>
      </c>
      <c r="X142" s="24" t="s">
        <v>156</v>
      </c>
      <c r="Y142" s="24" t="s">
        <v>156</v>
      </c>
      <c r="Z142" s="23" t="s">
        <v>383</v>
      </c>
      <c r="AA142" s="23" t="s">
        <v>383</v>
      </c>
      <c r="AB142" s="24" t="s">
        <v>153</v>
      </c>
      <c r="AC142" s="23" t="s">
        <v>383</v>
      </c>
      <c r="AD142" s="23" t="s">
        <v>383</v>
      </c>
      <c r="AE142" s="23" t="s">
        <v>405</v>
      </c>
      <c r="AF142" s="23" t="s">
        <v>405</v>
      </c>
      <c r="AG142" s="23" t="s">
        <v>401</v>
      </c>
      <c r="AH142" s="23" t="s">
        <v>401</v>
      </c>
      <c r="AI142" s="24" t="s">
        <v>153</v>
      </c>
      <c r="AJ142" s="23" t="s">
        <v>398</v>
      </c>
      <c r="AK142" s="23" t="s">
        <v>398</v>
      </c>
      <c r="AL142" s="23" t="s">
        <v>391</v>
      </c>
      <c r="AM142" s="23" t="s">
        <v>391</v>
      </c>
      <c r="AN142" s="23" t="s">
        <v>400</v>
      </c>
      <c r="AO142" s="23" t="s">
        <v>400</v>
      </c>
      <c r="AP142" s="23">
        <f>VALUE(0)</f>
        <v>0</v>
      </c>
      <c r="AQ142" s="23">
        <f>VALUE(0)</f>
        <v>0</v>
      </c>
      <c r="AR142" s="23">
        <f>VALUE(0)</f>
        <v>0</v>
      </c>
      <c r="AS142" s="23">
        <f>VALUE(0)</f>
        <v>0</v>
      </c>
      <c r="AT142" s="23">
        <f>VALUE(0)</f>
        <v>0</v>
      </c>
      <c r="AU142" s="23">
        <f>VALUE(0)</f>
        <v>0</v>
      </c>
      <c r="AV142" s="23">
        <f>VALUE(5)</f>
        <v>5</v>
      </c>
      <c r="AW142" s="23">
        <f>VALUE(0)</f>
        <v>0</v>
      </c>
      <c r="AX142" s="23" t="s">
        <v>248</v>
      </c>
      <c r="AY142" s="23">
        <f>VALUE(0)</f>
        <v>0</v>
      </c>
      <c r="AZ142" s="23">
        <f>VALUE(0)</f>
        <v>0</v>
      </c>
      <c r="BA142" s="23">
        <f>VALUE(0)</f>
        <v>0</v>
      </c>
      <c r="BB142" s="23">
        <f>VALUE(0)</f>
        <v>0</v>
      </c>
      <c r="BC142" s="23">
        <f>VALUE(0)</f>
        <v>0</v>
      </c>
      <c r="BD142" s="23">
        <f>VALUE(1)</f>
        <v>1</v>
      </c>
      <c r="BE142" s="23">
        <f>VALUE(0)</f>
        <v>0</v>
      </c>
      <c r="BF142" s="23">
        <f>VALUE(0)</f>
        <v>0</v>
      </c>
      <c r="BG142" s="23">
        <f>VALUE(0)</f>
        <v>0</v>
      </c>
      <c r="BH142" s="23">
        <f>VALUE(0)</f>
        <v>0</v>
      </c>
      <c r="BI142" s="23">
        <f>VALUE(0)</f>
        <v>0</v>
      </c>
      <c r="BJ142" s="23">
        <f>VALUE(0)</f>
        <v>0</v>
      </c>
      <c r="BK142" s="12">
        <f>$AX$142*24</f>
        <v>16.333333333333332</v>
      </c>
      <c r="BL142" s="12">
        <f>$AY$142*24</f>
        <v>0</v>
      </c>
      <c r="BM142" s="12">
        <f>$BJ$142*24</f>
        <v>0</v>
      </c>
      <c r="BN142" s="12">
        <f>VALUE($I$142)/100</f>
        <v>1</v>
      </c>
      <c r="BO142" s="12">
        <v>0</v>
      </c>
      <c r="BP142" s="12">
        <v>0</v>
      </c>
      <c r="BQ142" s="12">
        <v>0</v>
      </c>
      <c r="BR142" s="12">
        <v>1</v>
      </c>
      <c r="BS142" s="12">
        <v>0</v>
      </c>
      <c r="BT142" s="12">
        <v>0</v>
      </c>
      <c r="BU142" s="12">
        <v>0</v>
      </c>
      <c r="BV142" s="12">
        <v>0</v>
      </c>
      <c r="BW142" s="12">
        <v>0</v>
      </c>
      <c r="BX142" s="12">
        <v>0</v>
      </c>
      <c r="BY142" s="12">
        <v>0</v>
      </c>
      <c r="BZ142" s="12">
        <v>0</v>
      </c>
      <c r="CA142" s="12">
        <v>0</v>
      </c>
    </row>
    <row r="143" spans="1:79" ht="15" hidden="1" x14ac:dyDescent="0.25">
      <c r="A143" s="12" t="s">
        <v>120</v>
      </c>
      <c r="B143" s="12" t="s">
        <v>1320</v>
      </c>
      <c r="C143" s="12" t="s">
        <v>1320</v>
      </c>
      <c r="D143" s="31" t="s">
        <v>202</v>
      </c>
      <c r="E143" s="31" t="s">
        <v>153</v>
      </c>
      <c r="F143" s="31" t="s">
        <v>175</v>
      </c>
      <c r="G143" s="31" t="s">
        <v>153</v>
      </c>
      <c r="H143" s="31" t="s">
        <v>153</v>
      </c>
      <c r="I143" s="31" t="s">
        <v>153</v>
      </c>
      <c r="J143" s="31" t="s">
        <v>153</v>
      </c>
      <c r="K143" s="31" t="s">
        <v>153</v>
      </c>
      <c r="L143" s="31">
        <f>VALUE(0)</f>
        <v>0</v>
      </c>
      <c r="M143" s="31">
        <f>VALUE(9)</f>
        <v>9</v>
      </c>
      <c r="N143" s="31">
        <f>VALUE(0)</f>
        <v>0</v>
      </c>
      <c r="O143" s="31">
        <f>VALUE(8)</f>
        <v>8</v>
      </c>
      <c r="P143" s="31">
        <f>VALUE(9)</f>
        <v>9</v>
      </c>
      <c r="Q143" s="31">
        <f>VALUE(10)</f>
        <v>10</v>
      </c>
      <c r="R143" s="31">
        <f>VALUE(11)</f>
        <v>11</v>
      </c>
      <c r="S143" s="31">
        <f>VALUE(11)</f>
        <v>11</v>
      </c>
      <c r="T143" s="31">
        <f>VALUE(11)</f>
        <v>11</v>
      </c>
      <c r="U143" s="31">
        <f>VALUE(0)</f>
        <v>0</v>
      </c>
      <c r="V143" s="31">
        <f>VALUE(0)</f>
        <v>0</v>
      </c>
      <c r="W143" s="31">
        <f>VALUE(11)</f>
        <v>11</v>
      </c>
      <c r="X143" s="31">
        <f>VALUE(9)</f>
        <v>9</v>
      </c>
      <c r="Y143" s="31">
        <f>VALUE(9)</f>
        <v>9</v>
      </c>
      <c r="Z143" s="31">
        <f>VALUE(10)</f>
        <v>10</v>
      </c>
      <c r="AA143" s="31">
        <f>VALUE(9)</f>
        <v>9</v>
      </c>
      <c r="AB143" s="31">
        <f>VALUE(0)</f>
        <v>0</v>
      </c>
      <c r="AC143" s="31">
        <f>VALUE(9)</f>
        <v>9</v>
      </c>
      <c r="AD143" s="31">
        <f>VALUE(10)</f>
        <v>10</v>
      </c>
      <c r="AE143" s="31">
        <f>VALUE(9)</f>
        <v>9</v>
      </c>
      <c r="AF143" s="31">
        <f>VALUE(9)</f>
        <v>9</v>
      </c>
      <c r="AG143" s="31">
        <f>VALUE(8)</f>
        <v>8</v>
      </c>
      <c r="AH143" s="31">
        <f>VALUE(8)</f>
        <v>8</v>
      </c>
      <c r="AI143" s="31">
        <f>VALUE(0)</f>
        <v>0</v>
      </c>
      <c r="AJ143" s="31">
        <f>VALUE(10)</f>
        <v>10</v>
      </c>
      <c r="AK143" s="31">
        <f>VALUE(9)</f>
        <v>9</v>
      </c>
      <c r="AL143" s="31">
        <f>VALUE(9)</f>
        <v>9</v>
      </c>
      <c r="AM143" s="31">
        <f>VALUE(9)</f>
        <v>9</v>
      </c>
      <c r="AN143" s="31">
        <f>VALUE(8)</f>
        <v>8</v>
      </c>
      <c r="AO143" s="31">
        <f>VALUE(8)</f>
        <v>8</v>
      </c>
      <c r="AP143" s="31">
        <v>0</v>
      </c>
      <c r="AQ143" s="31">
        <v>0</v>
      </c>
      <c r="AR143" s="31">
        <v>0</v>
      </c>
      <c r="AS143" s="31">
        <v>0</v>
      </c>
      <c r="AT143" s="31">
        <v>0</v>
      </c>
      <c r="AU143" s="31">
        <v>0</v>
      </c>
      <c r="AV143" s="31">
        <v>0</v>
      </c>
      <c r="AW143" s="31">
        <v>0</v>
      </c>
      <c r="AX143" s="31">
        <v>0</v>
      </c>
      <c r="AY143" s="31">
        <v>0</v>
      </c>
      <c r="AZ143" s="31">
        <v>0</v>
      </c>
      <c r="BA143" s="31">
        <v>0</v>
      </c>
      <c r="BB143" s="31">
        <v>0</v>
      </c>
      <c r="BC143" s="31">
        <v>0</v>
      </c>
      <c r="BD143" s="31">
        <v>0</v>
      </c>
      <c r="BE143" s="31">
        <v>0</v>
      </c>
      <c r="BF143" s="31">
        <v>0</v>
      </c>
      <c r="BG143" s="31">
        <v>0</v>
      </c>
      <c r="BH143" s="31">
        <v>0</v>
      </c>
      <c r="BI143" s="31">
        <v>0</v>
      </c>
      <c r="BJ143" s="31">
        <v>0</v>
      </c>
      <c r="BK143" s="12">
        <v>0</v>
      </c>
      <c r="BL143" s="12">
        <v>0</v>
      </c>
      <c r="BM143" s="12">
        <v>0</v>
      </c>
      <c r="BN143" s="12"/>
      <c r="BO143" s="12">
        <v>0</v>
      </c>
      <c r="BP143" s="12">
        <v>0</v>
      </c>
      <c r="BQ143" s="12">
        <v>0</v>
      </c>
      <c r="BR143" s="12">
        <v>0</v>
      </c>
      <c r="BS143" s="12">
        <v>0</v>
      </c>
      <c r="BT143" s="12">
        <v>0</v>
      </c>
      <c r="BU143" s="12">
        <v>0</v>
      </c>
      <c r="BV143" s="12">
        <v>0</v>
      </c>
      <c r="BW143" s="12">
        <v>0</v>
      </c>
      <c r="BX143" s="12">
        <v>0</v>
      </c>
      <c r="BY143" s="12">
        <v>0</v>
      </c>
      <c r="BZ143" s="12">
        <v>0</v>
      </c>
      <c r="CA143" s="12">
        <v>0</v>
      </c>
    </row>
    <row r="144" spans="1:79" hidden="1" x14ac:dyDescent="0.2">
      <c r="A144" s="12" t="s">
        <v>120</v>
      </c>
      <c r="B144" s="12" t="s">
        <v>123</v>
      </c>
      <c r="C144" s="12" t="s">
        <v>123</v>
      </c>
      <c r="D144" s="22" t="s">
        <v>392</v>
      </c>
      <c r="E144" s="22" t="s">
        <v>161</v>
      </c>
      <c r="F144" s="22" t="s">
        <v>814</v>
      </c>
      <c r="G144" s="22" t="s">
        <v>815</v>
      </c>
      <c r="H144" s="22" t="s">
        <v>150</v>
      </c>
      <c r="I144" s="22" t="s">
        <v>151</v>
      </c>
      <c r="J144" s="22" t="s">
        <v>162</v>
      </c>
      <c r="K144" s="22" t="s">
        <v>82</v>
      </c>
      <c r="L144" s="54" t="s">
        <v>153</v>
      </c>
      <c r="M144" s="23" t="s">
        <v>153</v>
      </c>
      <c r="N144" s="24" t="s">
        <v>153</v>
      </c>
      <c r="O144" s="23" t="s">
        <v>153</v>
      </c>
      <c r="P144" s="23" t="s">
        <v>153</v>
      </c>
      <c r="Q144" s="23" t="s">
        <v>153</v>
      </c>
      <c r="R144" s="23" t="s">
        <v>153</v>
      </c>
      <c r="S144" s="23" t="s">
        <v>153</v>
      </c>
      <c r="T144" s="23" t="s">
        <v>153</v>
      </c>
      <c r="U144" s="24" t="s">
        <v>153</v>
      </c>
      <c r="V144" s="54" t="s">
        <v>153</v>
      </c>
      <c r="W144" s="23" t="s">
        <v>153</v>
      </c>
      <c r="X144" s="23" t="s">
        <v>153</v>
      </c>
      <c r="Y144" s="23" t="s">
        <v>153</v>
      </c>
      <c r="Z144" s="23" t="s">
        <v>153</v>
      </c>
      <c r="AA144" s="23" t="s">
        <v>153</v>
      </c>
      <c r="AB144" s="24" t="s">
        <v>153</v>
      </c>
      <c r="AC144" s="24" t="s">
        <v>156</v>
      </c>
      <c r="AD144" s="23" t="s">
        <v>153</v>
      </c>
      <c r="AE144" s="24" t="s">
        <v>156</v>
      </c>
      <c r="AF144" s="24" t="s">
        <v>156</v>
      </c>
      <c r="AG144" s="24" t="s">
        <v>156</v>
      </c>
      <c r="AH144" s="28" t="s">
        <v>163</v>
      </c>
      <c r="AI144" s="24" t="s">
        <v>153</v>
      </c>
      <c r="AJ144" s="28" t="s">
        <v>163</v>
      </c>
      <c r="AK144" s="28" t="s">
        <v>163</v>
      </c>
      <c r="AL144" s="28" t="s">
        <v>163</v>
      </c>
      <c r="AM144" s="28" t="s">
        <v>163</v>
      </c>
      <c r="AN144" s="28" t="s">
        <v>163</v>
      </c>
      <c r="AO144" s="28" t="s">
        <v>163</v>
      </c>
      <c r="AP144" s="23">
        <f>VALUE(0)</f>
        <v>0</v>
      </c>
      <c r="AQ144" s="23">
        <f>VALUE(0)</f>
        <v>0</v>
      </c>
      <c r="AR144" s="23">
        <f>VALUE(0)</f>
        <v>0</v>
      </c>
      <c r="AS144" s="23">
        <f>VALUE(0)</f>
        <v>0</v>
      </c>
      <c r="AT144" s="23">
        <f>VALUE(0)</f>
        <v>0</v>
      </c>
      <c r="AU144" s="23">
        <f>VALUE(7)</f>
        <v>7</v>
      </c>
      <c r="AV144" s="23">
        <f>VALUE(2)</f>
        <v>2</v>
      </c>
      <c r="AW144" s="23">
        <f>VALUE(0)</f>
        <v>0</v>
      </c>
      <c r="AX144" s="23">
        <f>VALUE(0)</f>
        <v>0</v>
      </c>
      <c r="AY144" s="23" t="s">
        <v>408</v>
      </c>
      <c r="AZ144" s="23">
        <f>VALUE(0)</f>
        <v>0</v>
      </c>
      <c r="BA144" s="23">
        <f>VALUE(0)</f>
        <v>0</v>
      </c>
      <c r="BB144" s="23">
        <f>VALUE(0)</f>
        <v>0</v>
      </c>
      <c r="BC144" s="23">
        <f>VALUE(0)</f>
        <v>0</v>
      </c>
      <c r="BD144" s="23">
        <f>VALUE(0)</f>
        <v>0</v>
      </c>
      <c r="BE144" s="23">
        <f>VALUE(0)</f>
        <v>0</v>
      </c>
      <c r="BF144" s="23">
        <f>VALUE(0)</f>
        <v>0</v>
      </c>
      <c r="BG144" s="23">
        <f>VALUE(0)</f>
        <v>0</v>
      </c>
      <c r="BH144" s="23">
        <f>VALUE(0)</f>
        <v>0</v>
      </c>
      <c r="BI144" s="23">
        <f>VALUE(0)</f>
        <v>0</v>
      </c>
      <c r="BJ144" s="23">
        <f>VALUE(0)</f>
        <v>0</v>
      </c>
      <c r="BK144" s="12">
        <f>$AX$144*24</f>
        <v>0</v>
      </c>
      <c r="BL144" s="12">
        <f>$AY$144*24</f>
        <v>10.75</v>
      </c>
      <c r="BM144" s="12">
        <f>$BJ$144*24</f>
        <v>0</v>
      </c>
      <c r="BN144" s="12">
        <f>VALUE($I$144)/100</f>
        <v>1</v>
      </c>
      <c r="BO144" s="12">
        <v>0</v>
      </c>
      <c r="BP144" s="12">
        <v>0</v>
      </c>
      <c r="BQ144" s="12">
        <v>0</v>
      </c>
      <c r="BR144" s="12">
        <v>0</v>
      </c>
      <c r="BS144" s="12">
        <v>0</v>
      </c>
      <c r="BT144" s="12">
        <v>0</v>
      </c>
      <c r="BU144" s="12">
        <v>0</v>
      </c>
      <c r="BV144" s="12">
        <v>0</v>
      </c>
      <c r="BW144" s="12">
        <v>0</v>
      </c>
      <c r="BX144" s="12">
        <v>0</v>
      </c>
      <c r="BY144" s="12">
        <v>0</v>
      </c>
      <c r="BZ144" s="12">
        <v>0</v>
      </c>
      <c r="CA144" s="12">
        <v>0</v>
      </c>
    </row>
    <row r="145" spans="1:79" hidden="1" x14ac:dyDescent="0.2">
      <c r="A145" s="12" t="s">
        <v>120</v>
      </c>
      <c r="B145" s="12" t="s">
        <v>123</v>
      </c>
      <c r="C145" s="12" t="s">
        <v>123</v>
      </c>
      <c r="D145" s="22" t="s">
        <v>386</v>
      </c>
      <c r="E145" s="22" t="s">
        <v>161</v>
      </c>
      <c r="F145" s="22" t="s">
        <v>816</v>
      </c>
      <c r="G145" s="22" t="s">
        <v>817</v>
      </c>
      <c r="H145" s="22" t="s">
        <v>150</v>
      </c>
      <c r="I145" s="22" t="s">
        <v>151</v>
      </c>
      <c r="J145" s="22" t="s">
        <v>162</v>
      </c>
      <c r="K145" s="22" t="s">
        <v>82</v>
      </c>
      <c r="L145" s="54" t="s">
        <v>153</v>
      </c>
      <c r="M145" s="28" t="s">
        <v>163</v>
      </c>
      <c r="N145" s="24" t="s">
        <v>153</v>
      </c>
      <c r="O145" s="29" t="s">
        <v>218</v>
      </c>
      <c r="P145" s="29" t="s">
        <v>218</v>
      </c>
      <c r="Q145" s="23" t="s">
        <v>153</v>
      </c>
      <c r="R145" s="23" t="s">
        <v>153</v>
      </c>
      <c r="S145" s="23" t="s">
        <v>153</v>
      </c>
      <c r="T145" s="23" t="s">
        <v>153</v>
      </c>
      <c r="U145" s="24" t="s">
        <v>153</v>
      </c>
      <c r="V145" s="54" t="s">
        <v>153</v>
      </c>
      <c r="W145" s="23" t="s">
        <v>153</v>
      </c>
      <c r="X145" s="24" t="s">
        <v>156</v>
      </c>
      <c r="Y145" s="24" t="s">
        <v>156</v>
      </c>
      <c r="Z145" s="23" t="s">
        <v>153</v>
      </c>
      <c r="AA145" s="23" t="s">
        <v>153</v>
      </c>
      <c r="AB145" s="24" t="s">
        <v>153</v>
      </c>
      <c r="AC145" s="23" t="s">
        <v>153</v>
      </c>
      <c r="AD145" s="23" t="s">
        <v>153</v>
      </c>
      <c r="AE145" s="23" t="s">
        <v>153</v>
      </c>
      <c r="AF145" s="23" t="s">
        <v>153</v>
      </c>
      <c r="AG145" s="29" t="s">
        <v>218</v>
      </c>
      <c r="AH145" s="23" t="s">
        <v>153</v>
      </c>
      <c r="AI145" s="24" t="s">
        <v>153</v>
      </c>
      <c r="AJ145" s="23" t="s">
        <v>153</v>
      </c>
      <c r="AK145" s="23" t="s">
        <v>153</v>
      </c>
      <c r="AL145" s="23" t="s">
        <v>153</v>
      </c>
      <c r="AM145" s="23" t="s">
        <v>153</v>
      </c>
      <c r="AN145" s="23" t="s">
        <v>153</v>
      </c>
      <c r="AO145" s="23" t="s">
        <v>153</v>
      </c>
      <c r="AP145" s="23">
        <f>VALUE(0)</f>
        <v>0</v>
      </c>
      <c r="AQ145" s="23">
        <f>VALUE(0)</f>
        <v>0</v>
      </c>
      <c r="AR145" s="23">
        <f>VALUE(3)</f>
        <v>3</v>
      </c>
      <c r="AS145" s="23">
        <f>VALUE(0)</f>
        <v>0</v>
      </c>
      <c r="AT145" s="23">
        <f>VALUE(0)</f>
        <v>0</v>
      </c>
      <c r="AU145" s="23">
        <f>VALUE(1)</f>
        <v>1</v>
      </c>
      <c r="AV145" s="23">
        <f>VALUE(2)</f>
        <v>2</v>
      </c>
      <c r="AW145" s="23">
        <f>VALUE(0)</f>
        <v>0</v>
      </c>
      <c r="AX145" s="23" t="s">
        <v>158</v>
      </c>
      <c r="AY145" s="23">
        <f>VALUE(0)</f>
        <v>0</v>
      </c>
      <c r="AZ145" s="23">
        <f>VALUE(0)</f>
        <v>0</v>
      </c>
      <c r="BA145" s="23">
        <f>VALUE(0)</f>
        <v>0</v>
      </c>
      <c r="BB145" s="23">
        <f>VALUE(0)</f>
        <v>0</v>
      </c>
      <c r="BC145" s="23">
        <f>VALUE(0)</f>
        <v>0</v>
      </c>
      <c r="BD145" s="23">
        <f>VALUE(0)</f>
        <v>0</v>
      </c>
      <c r="BE145" s="23">
        <f>VALUE(0)</f>
        <v>0</v>
      </c>
      <c r="BF145" s="23">
        <f>VALUE(0)</f>
        <v>0</v>
      </c>
      <c r="BG145" s="23">
        <f>VALUE(0)</f>
        <v>0</v>
      </c>
      <c r="BH145" s="23">
        <f>VALUE(0)</f>
        <v>0</v>
      </c>
      <c r="BI145" s="23">
        <f>VALUE(0)</f>
        <v>0</v>
      </c>
      <c r="BJ145" s="23">
        <f>VALUE(0)</f>
        <v>0</v>
      </c>
      <c r="BK145" s="12">
        <f>$AX$145*24</f>
        <v>11.666666666666666</v>
      </c>
      <c r="BL145" s="12">
        <f>$AY$145*24</f>
        <v>0</v>
      </c>
      <c r="BM145" s="12">
        <f>$BJ$145*24</f>
        <v>0</v>
      </c>
      <c r="BN145" s="12">
        <f>VALUE($I$145)/100</f>
        <v>1</v>
      </c>
      <c r="BO145" s="12">
        <v>0</v>
      </c>
      <c r="BP145" s="12">
        <v>0</v>
      </c>
      <c r="BQ145" s="12">
        <v>0</v>
      </c>
      <c r="BR145" s="12">
        <v>0</v>
      </c>
      <c r="BS145" s="12">
        <v>3</v>
      </c>
      <c r="BT145" s="12">
        <v>0</v>
      </c>
      <c r="BU145" s="12">
        <v>0</v>
      </c>
      <c r="BV145" s="12">
        <v>0</v>
      </c>
      <c r="BW145" s="12">
        <v>0</v>
      </c>
      <c r="BX145" s="12">
        <v>0</v>
      </c>
      <c r="BY145" s="12">
        <v>0</v>
      </c>
      <c r="BZ145" s="12">
        <v>0</v>
      </c>
      <c r="CA145" s="12">
        <v>0</v>
      </c>
    </row>
    <row r="146" spans="1:79" hidden="1" x14ac:dyDescent="0.2">
      <c r="A146" s="12" t="s">
        <v>120</v>
      </c>
      <c r="B146" s="12" t="s">
        <v>123</v>
      </c>
      <c r="C146" s="12" t="s">
        <v>123</v>
      </c>
      <c r="D146" s="22" t="s">
        <v>409</v>
      </c>
      <c r="E146" s="22" t="s">
        <v>161</v>
      </c>
      <c r="F146" s="22" t="s">
        <v>818</v>
      </c>
      <c r="G146" s="22" t="s">
        <v>819</v>
      </c>
      <c r="H146" s="22" t="s">
        <v>150</v>
      </c>
      <c r="I146" s="22" t="s">
        <v>151</v>
      </c>
      <c r="J146" s="22" t="s">
        <v>162</v>
      </c>
      <c r="K146" s="22" t="s">
        <v>82</v>
      </c>
      <c r="L146" s="54" t="s">
        <v>153</v>
      </c>
      <c r="M146" s="23" t="s">
        <v>153</v>
      </c>
      <c r="N146" s="24" t="s">
        <v>153</v>
      </c>
      <c r="O146" s="24" t="s">
        <v>156</v>
      </c>
      <c r="P146" s="24" t="s">
        <v>156</v>
      </c>
      <c r="Q146" s="28" t="s">
        <v>163</v>
      </c>
      <c r="R146" s="28" t="s">
        <v>163</v>
      </c>
      <c r="S146" s="28" t="s">
        <v>163</v>
      </c>
      <c r="T146" s="28" t="s">
        <v>163</v>
      </c>
      <c r="U146" s="24" t="s">
        <v>153</v>
      </c>
      <c r="V146" s="54" t="s">
        <v>153</v>
      </c>
      <c r="W146" s="23" t="s">
        <v>153</v>
      </c>
      <c r="X146" s="23" t="s">
        <v>153</v>
      </c>
      <c r="Y146" s="23" t="s">
        <v>153</v>
      </c>
      <c r="Z146" s="23" t="s">
        <v>153</v>
      </c>
      <c r="AA146" s="23" t="s">
        <v>153</v>
      </c>
      <c r="AB146" s="24" t="s">
        <v>153</v>
      </c>
      <c r="AC146" s="23" t="s">
        <v>153</v>
      </c>
      <c r="AD146" s="23" t="s">
        <v>153</v>
      </c>
      <c r="AE146" s="23" t="s">
        <v>153</v>
      </c>
      <c r="AF146" s="23" t="s">
        <v>153</v>
      </c>
      <c r="AG146" s="23" t="s">
        <v>153</v>
      </c>
      <c r="AH146" s="23" t="s">
        <v>153</v>
      </c>
      <c r="AI146" s="24" t="s">
        <v>153</v>
      </c>
      <c r="AJ146" s="23" t="s">
        <v>153</v>
      </c>
      <c r="AK146" s="23" t="s">
        <v>153</v>
      </c>
      <c r="AL146" s="23" t="s">
        <v>153</v>
      </c>
      <c r="AM146" s="23" t="s">
        <v>153</v>
      </c>
      <c r="AN146" s="23" t="s">
        <v>153</v>
      </c>
      <c r="AO146" s="23" t="s">
        <v>153</v>
      </c>
      <c r="AP146" s="23">
        <f>VALUE(0)</f>
        <v>0</v>
      </c>
      <c r="AQ146" s="23">
        <f>VALUE(0)</f>
        <v>0</v>
      </c>
      <c r="AR146" s="23">
        <f>VALUE(0)</f>
        <v>0</v>
      </c>
      <c r="AS146" s="23">
        <f>VALUE(0)</f>
        <v>0</v>
      </c>
      <c r="AT146" s="23">
        <f>VALUE(0)</f>
        <v>0</v>
      </c>
      <c r="AU146" s="23">
        <f>VALUE(4)</f>
        <v>4</v>
      </c>
      <c r="AV146" s="23">
        <f>VALUE(3)</f>
        <v>3</v>
      </c>
      <c r="AW146" s="23">
        <f>VALUE(0)</f>
        <v>0</v>
      </c>
      <c r="AX146" s="23" t="s">
        <v>410</v>
      </c>
      <c r="AY146" s="23" t="s">
        <v>176</v>
      </c>
      <c r="AZ146" s="23">
        <f>VALUE(0)</f>
        <v>0</v>
      </c>
      <c r="BA146" s="23">
        <f>VALUE(0)</f>
        <v>0</v>
      </c>
      <c r="BB146" s="23">
        <f>VALUE(0)</f>
        <v>0</v>
      </c>
      <c r="BC146" s="23">
        <f>VALUE(0)</f>
        <v>0</v>
      </c>
      <c r="BD146" s="23">
        <f>VALUE(0)</f>
        <v>0</v>
      </c>
      <c r="BE146" s="23">
        <f>VALUE(0)</f>
        <v>0</v>
      </c>
      <c r="BF146" s="23">
        <f>VALUE(0)</f>
        <v>0</v>
      </c>
      <c r="BG146" s="23">
        <f>VALUE(0)</f>
        <v>0</v>
      </c>
      <c r="BH146" s="23">
        <f>VALUE(0)</f>
        <v>0</v>
      </c>
      <c r="BI146" s="23">
        <f>VALUE(0)</f>
        <v>0</v>
      </c>
      <c r="BJ146" s="23">
        <f>VALUE(0)</f>
        <v>0</v>
      </c>
      <c r="BK146" s="12">
        <f>$AX$146*24</f>
        <v>5.55</v>
      </c>
      <c r="BL146" s="12">
        <f>$AY$146*24</f>
        <v>0</v>
      </c>
      <c r="BM146" s="12">
        <f>$BJ$146*24</f>
        <v>0</v>
      </c>
      <c r="BN146" s="12">
        <f>VALUE($I$146)/100</f>
        <v>1</v>
      </c>
      <c r="BO146" s="12">
        <v>0</v>
      </c>
      <c r="BP146" s="12">
        <v>0</v>
      </c>
      <c r="BQ146" s="12">
        <v>0</v>
      </c>
      <c r="BR146" s="12">
        <v>0</v>
      </c>
      <c r="BS146" s="12">
        <v>0</v>
      </c>
      <c r="BT146" s="12">
        <v>0</v>
      </c>
      <c r="BU146" s="12">
        <v>0</v>
      </c>
      <c r="BV146" s="12">
        <v>0</v>
      </c>
      <c r="BW146" s="12">
        <v>0</v>
      </c>
      <c r="BX146" s="12">
        <v>0</v>
      </c>
      <c r="BY146" s="12">
        <v>0</v>
      </c>
      <c r="BZ146" s="12">
        <v>0</v>
      </c>
      <c r="CA146" s="12">
        <v>0</v>
      </c>
    </row>
    <row r="147" spans="1:79" hidden="1" x14ac:dyDescent="0.2">
      <c r="A147" s="12" t="s">
        <v>120</v>
      </c>
      <c r="B147" s="12" t="s">
        <v>123</v>
      </c>
      <c r="C147" s="12" t="s">
        <v>123</v>
      </c>
      <c r="D147" s="22" t="s">
        <v>411</v>
      </c>
      <c r="E147" s="22" t="s">
        <v>161</v>
      </c>
      <c r="F147" s="22" t="s">
        <v>820</v>
      </c>
      <c r="G147" s="22" t="s">
        <v>821</v>
      </c>
      <c r="H147" s="22" t="s">
        <v>150</v>
      </c>
      <c r="I147" s="22" t="s">
        <v>151</v>
      </c>
      <c r="J147" s="22" t="s">
        <v>162</v>
      </c>
      <c r="K147" s="22" t="s">
        <v>82</v>
      </c>
      <c r="L147" s="54" t="s">
        <v>153</v>
      </c>
      <c r="M147" s="23" t="s">
        <v>153</v>
      </c>
      <c r="N147" s="24" t="s">
        <v>153</v>
      </c>
      <c r="O147" s="23" t="s">
        <v>153</v>
      </c>
      <c r="P147" s="23" t="s">
        <v>153</v>
      </c>
      <c r="Q147" s="23" t="s">
        <v>153</v>
      </c>
      <c r="R147" s="23" t="s">
        <v>153</v>
      </c>
      <c r="S147" s="23" t="s">
        <v>153</v>
      </c>
      <c r="T147" s="23" t="s">
        <v>153</v>
      </c>
      <c r="U147" s="24" t="s">
        <v>153</v>
      </c>
      <c r="V147" s="54" t="s">
        <v>153</v>
      </c>
      <c r="W147" s="23" t="s">
        <v>153</v>
      </c>
      <c r="X147" s="23" t="s">
        <v>153</v>
      </c>
      <c r="Y147" s="23" t="s">
        <v>153</v>
      </c>
      <c r="Z147" s="23" t="s">
        <v>153</v>
      </c>
      <c r="AA147" s="23" t="s">
        <v>153</v>
      </c>
      <c r="AB147" s="24" t="s">
        <v>153</v>
      </c>
      <c r="AC147" s="23" t="s">
        <v>153</v>
      </c>
      <c r="AD147" s="23" t="s">
        <v>153</v>
      </c>
      <c r="AE147" s="23" t="s">
        <v>153</v>
      </c>
      <c r="AF147" s="23" t="s">
        <v>153</v>
      </c>
      <c r="AG147" s="23" t="s">
        <v>153</v>
      </c>
      <c r="AH147" s="23" t="s">
        <v>153</v>
      </c>
      <c r="AI147" s="24" t="s">
        <v>153</v>
      </c>
      <c r="AJ147" s="23" t="s">
        <v>153</v>
      </c>
      <c r="AK147" s="23" t="s">
        <v>153</v>
      </c>
      <c r="AL147" s="23" t="s">
        <v>153</v>
      </c>
      <c r="AM147" s="23" t="s">
        <v>153</v>
      </c>
      <c r="AN147" s="24" t="s">
        <v>156</v>
      </c>
      <c r="AO147" s="24" t="s">
        <v>156</v>
      </c>
      <c r="AP147" s="23">
        <f>VALUE(0)</f>
        <v>0</v>
      </c>
      <c r="AQ147" s="23">
        <f>VALUE(0)</f>
        <v>0</v>
      </c>
      <c r="AR147" s="23">
        <f>VALUE(0)</f>
        <v>0</v>
      </c>
      <c r="AS147" s="23">
        <f>VALUE(0)</f>
        <v>0</v>
      </c>
      <c r="AT147" s="23">
        <f>VALUE(0)</f>
        <v>0</v>
      </c>
      <c r="AU147" s="23">
        <f>VALUE(0)</f>
        <v>0</v>
      </c>
      <c r="AV147" s="23">
        <f>VALUE(2.5)</f>
        <v>2.5</v>
      </c>
      <c r="AW147" s="23">
        <f>VALUE(0)</f>
        <v>0</v>
      </c>
      <c r="AX147" s="23" t="s">
        <v>171</v>
      </c>
      <c r="AY147" s="23" t="s">
        <v>412</v>
      </c>
      <c r="AZ147" s="23">
        <f>VALUE(0)</f>
        <v>0</v>
      </c>
      <c r="BA147" s="23">
        <f>VALUE(0)</f>
        <v>0</v>
      </c>
      <c r="BB147" s="23">
        <f>VALUE(0)</f>
        <v>0</v>
      </c>
      <c r="BC147" s="23">
        <f>VALUE(0)</f>
        <v>0</v>
      </c>
      <c r="BD147" s="23">
        <f>VALUE(0)</f>
        <v>0</v>
      </c>
      <c r="BE147" s="23">
        <f>VALUE(0)</f>
        <v>0</v>
      </c>
      <c r="BF147" s="23">
        <f>VALUE(0)</f>
        <v>0</v>
      </c>
      <c r="BG147" s="23">
        <f>VALUE(0)</f>
        <v>0</v>
      </c>
      <c r="BH147" s="23">
        <f>VALUE(0)</f>
        <v>0</v>
      </c>
      <c r="BI147" s="23">
        <f>VALUE(0)</f>
        <v>0</v>
      </c>
      <c r="BJ147" s="23">
        <f>VALUE(0)</f>
        <v>0</v>
      </c>
      <c r="BK147" s="12">
        <f>$AX$147*24</f>
        <v>5.833333333333333</v>
      </c>
      <c r="BL147" s="12">
        <f>$AY$147*24</f>
        <v>3.9666666666666668</v>
      </c>
      <c r="BM147" s="12">
        <f>$BJ$147*24</f>
        <v>0</v>
      </c>
      <c r="BN147" s="12">
        <f>VALUE($I$147)/100</f>
        <v>1</v>
      </c>
      <c r="BO147" s="12">
        <v>0</v>
      </c>
      <c r="BP147" s="12">
        <v>0</v>
      </c>
      <c r="BQ147" s="12">
        <v>0</v>
      </c>
      <c r="BR147" s="12">
        <v>0</v>
      </c>
      <c r="BS147" s="12">
        <v>0</v>
      </c>
      <c r="BT147" s="12">
        <v>0</v>
      </c>
      <c r="BU147" s="12">
        <v>0</v>
      </c>
      <c r="BV147" s="12">
        <v>0</v>
      </c>
      <c r="BW147" s="12">
        <v>0</v>
      </c>
      <c r="BX147" s="12">
        <v>0</v>
      </c>
      <c r="BY147" s="12">
        <v>0</v>
      </c>
      <c r="BZ147" s="12">
        <v>0</v>
      </c>
      <c r="CA147" s="12">
        <v>0</v>
      </c>
    </row>
    <row r="148" spans="1:79" hidden="1" x14ac:dyDescent="0.2">
      <c r="A148" s="12" t="s">
        <v>120</v>
      </c>
      <c r="B148" s="12" t="s">
        <v>123</v>
      </c>
      <c r="C148" s="12" t="s">
        <v>123</v>
      </c>
      <c r="D148" s="22" t="s">
        <v>413</v>
      </c>
      <c r="E148" s="22" t="s">
        <v>161</v>
      </c>
      <c r="F148" s="22" t="s">
        <v>822</v>
      </c>
      <c r="G148" s="22" t="s">
        <v>823</v>
      </c>
      <c r="H148" s="22" t="s">
        <v>150</v>
      </c>
      <c r="I148" s="22" t="s">
        <v>151</v>
      </c>
      <c r="J148" s="22" t="s">
        <v>162</v>
      </c>
      <c r="K148" s="22" t="s">
        <v>82</v>
      </c>
      <c r="L148" s="54" t="s">
        <v>153</v>
      </c>
      <c r="M148" s="23" t="s">
        <v>153</v>
      </c>
      <c r="N148" s="24" t="s">
        <v>153</v>
      </c>
      <c r="O148" s="23" t="s">
        <v>153</v>
      </c>
      <c r="P148" s="23" t="s">
        <v>153</v>
      </c>
      <c r="Q148" s="23" t="s">
        <v>153</v>
      </c>
      <c r="R148" s="23" t="s">
        <v>153</v>
      </c>
      <c r="S148" s="23" t="s">
        <v>153</v>
      </c>
      <c r="T148" s="23" t="s">
        <v>153</v>
      </c>
      <c r="U148" s="24" t="s">
        <v>153</v>
      </c>
      <c r="V148" s="54" t="s">
        <v>153</v>
      </c>
      <c r="W148" s="23" t="s">
        <v>153</v>
      </c>
      <c r="X148" s="35" t="s">
        <v>170</v>
      </c>
      <c r="Y148" s="35" t="s">
        <v>170</v>
      </c>
      <c r="Z148" s="35" t="s">
        <v>170</v>
      </c>
      <c r="AA148" s="23" t="s">
        <v>153</v>
      </c>
      <c r="AB148" s="24" t="s">
        <v>153</v>
      </c>
      <c r="AC148" s="33" t="s">
        <v>201</v>
      </c>
      <c r="AD148" s="33" t="s">
        <v>201</v>
      </c>
      <c r="AE148" s="33" t="s">
        <v>201</v>
      </c>
      <c r="AF148" s="33" t="s">
        <v>201</v>
      </c>
      <c r="AG148" s="24" t="s">
        <v>156</v>
      </c>
      <c r="AH148" s="24" t="s">
        <v>156</v>
      </c>
      <c r="AI148" s="24" t="s">
        <v>153</v>
      </c>
      <c r="AJ148" s="23" t="s">
        <v>153</v>
      </c>
      <c r="AK148" s="23" t="s">
        <v>153</v>
      </c>
      <c r="AL148" s="33" t="s">
        <v>201</v>
      </c>
      <c r="AM148" s="23" t="s">
        <v>153</v>
      </c>
      <c r="AN148" s="23" t="s">
        <v>153</v>
      </c>
      <c r="AO148" s="23" t="s">
        <v>153</v>
      </c>
      <c r="AP148" s="23">
        <f>VALUE(0)</f>
        <v>0</v>
      </c>
      <c r="AQ148" s="23">
        <f>VALUE(0)</f>
        <v>0</v>
      </c>
      <c r="AR148" s="23">
        <f>VALUE(0)</f>
        <v>0</v>
      </c>
      <c r="AS148" s="23">
        <f>VALUE(0)</f>
        <v>0</v>
      </c>
      <c r="AT148" s="23">
        <f>VALUE(0)</f>
        <v>0</v>
      </c>
      <c r="AU148" s="23">
        <f>VALUE(0)</f>
        <v>0</v>
      </c>
      <c r="AV148" s="23">
        <f>VALUE(8)</f>
        <v>8</v>
      </c>
      <c r="AW148" s="23">
        <f>VALUE(0)</f>
        <v>0</v>
      </c>
      <c r="AX148" s="23" t="s">
        <v>158</v>
      </c>
      <c r="AY148" s="23" t="s">
        <v>414</v>
      </c>
      <c r="AZ148" s="23">
        <f>VALUE(0)</f>
        <v>0</v>
      </c>
      <c r="BA148" s="23">
        <f>VALUE(0)</f>
        <v>0</v>
      </c>
      <c r="BB148" s="23">
        <f>VALUE(5)</f>
        <v>5</v>
      </c>
      <c r="BC148" s="23">
        <f>VALUE(0)</f>
        <v>0</v>
      </c>
      <c r="BD148" s="23">
        <f>VALUE(0)</f>
        <v>0</v>
      </c>
      <c r="BE148" s="23">
        <f>VALUE(3)</f>
        <v>3</v>
      </c>
      <c r="BF148" s="23">
        <f>VALUE(0)</f>
        <v>0</v>
      </c>
      <c r="BG148" s="23">
        <f>VALUE(0)</f>
        <v>0</v>
      </c>
      <c r="BH148" s="23">
        <f>VALUE(0)</f>
        <v>0</v>
      </c>
      <c r="BI148" s="23">
        <f>VALUE(0)</f>
        <v>0</v>
      </c>
      <c r="BJ148" s="23">
        <f>VALUE(0)</f>
        <v>0</v>
      </c>
      <c r="BK148" s="12">
        <f>$AX$148*24</f>
        <v>11.666666666666666</v>
      </c>
      <c r="BL148" s="12">
        <f>$AY$148*24</f>
        <v>36.4</v>
      </c>
      <c r="BM148" s="12">
        <f>$BJ$148*24</f>
        <v>0</v>
      </c>
      <c r="BN148" s="12">
        <f>VALUE($I$148)/100</f>
        <v>1</v>
      </c>
      <c r="BO148" s="12">
        <v>0</v>
      </c>
      <c r="BP148" s="12">
        <v>0</v>
      </c>
      <c r="BQ148" s="12">
        <v>0</v>
      </c>
      <c r="BR148" s="12">
        <v>0</v>
      </c>
      <c r="BS148" s="12">
        <v>0</v>
      </c>
      <c r="BT148" s="12">
        <v>0</v>
      </c>
      <c r="BU148" s="12">
        <v>0</v>
      </c>
      <c r="BV148" s="12">
        <v>0</v>
      </c>
      <c r="BW148" s="12">
        <v>0</v>
      </c>
      <c r="BX148" s="12">
        <v>0</v>
      </c>
      <c r="BY148" s="12">
        <v>0</v>
      </c>
      <c r="BZ148" s="12">
        <v>0</v>
      </c>
      <c r="CA148" s="12">
        <v>0</v>
      </c>
    </row>
    <row r="149" spans="1:79" hidden="1" x14ac:dyDescent="0.2">
      <c r="A149" s="12" t="s">
        <v>120</v>
      </c>
      <c r="B149" s="12" t="s">
        <v>123</v>
      </c>
      <c r="C149" s="12" t="s">
        <v>123</v>
      </c>
      <c r="D149" s="22" t="s">
        <v>1220</v>
      </c>
      <c r="E149" s="22" t="s">
        <v>159</v>
      </c>
      <c r="F149" s="22" t="s">
        <v>824</v>
      </c>
      <c r="G149" s="22" t="s">
        <v>825</v>
      </c>
      <c r="H149" s="22" t="s">
        <v>150</v>
      </c>
      <c r="I149" s="22" t="s">
        <v>151</v>
      </c>
      <c r="J149" s="22" t="s">
        <v>162</v>
      </c>
      <c r="K149" s="22" t="s">
        <v>82</v>
      </c>
      <c r="L149" s="54" t="s">
        <v>153</v>
      </c>
      <c r="M149" s="23" t="s">
        <v>153</v>
      </c>
      <c r="N149" s="24" t="s">
        <v>153</v>
      </c>
      <c r="O149" s="23" t="s">
        <v>153</v>
      </c>
      <c r="P149" s="23" t="s">
        <v>153</v>
      </c>
      <c r="Q149" s="23" t="s">
        <v>153</v>
      </c>
      <c r="R149" s="23" t="s">
        <v>153</v>
      </c>
      <c r="S149" s="24" t="s">
        <v>156</v>
      </c>
      <c r="T149" s="24" t="s">
        <v>156</v>
      </c>
      <c r="U149" s="24" t="s">
        <v>153</v>
      </c>
      <c r="V149" s="54" t="s">
        <v>153</v>
      </c>
      <c r="W149" s="23" t="s">
        <v>153</v>
      </c>
      <c r="X149" s="23" t="s">
        <v>153</v>
      </c>
      <c r="Y149" s="23" t="s">
        <v>153</v>
      </c>
      <c r="Z149" s="23" t="s">
        <v>153</v>
      </c>
      <c r="AA149" s="23" t="s">
        <v>153</v>
      </c>
      <c r="AB149" s="24" t="s">
        <v>153</v>
      </c>
      <c r="AC149" s="23" t="s">
        <v>153</v>
      </c>
      <c r="AD149" s="23" t="s">
        <v>153</v>
      </c>
      <c r="AE149" s="23" t="s">
        <v>153</v>
      </c>
      <c r="AF149" s="23" t="s">
        <v>153</v>
      </c>
      <c r="AG149" s="23" t="s">
        <v>153</v>
      </c>
      <c r="AH149" s="23" t="s">
        <v>153</v>
      </c>
      <c r="AI149" s="24" t="s">
        <v>153</v>
      </c>
      <c r="AJ149" s="23" t="s">
        <v>153</v>
      </c>
      <c r="AK149" s="23" t="s">
        <v>153</v>
      </c>
      <c r="AL149" s="23" t="s">
        <v>153</v>
      </c>
      <c r="AM149" s="23" t="s">
        <v>153</v>
      </c>
      <c r="AN149" s="23" t="s">
        <v>153</v>
      </c>
      <c r="AO149" s="23" t="s">
        <v>153</v>
      </c>
      <c r="AP149" s="23">
        <f>VALUE(0)</f>
        <v>0</v>
      </c>
      <c r="AQ149" s="23">
        <f>VALUE(0)</f>
        <v>0</v>
      </c>
      <c r="AR149" s="23">
        <f>VALUE(0)</f>
        <v>0</v>
      </c>
      <c r="AS149" s="23">
        <f>VALUE(22)</f>
        <v>22</v>
      </c>
      <c r="AT149" s="23">
        <f>VALUE(0)</f>
        <v>0</v>
      </c>
      <c r="AU149" s="23">
        <f>VALUE(0)</f>
        <v>0</v>
      </c>
      <c r="AV149" s="23">
        <f>VALUE(2)</f>
        <v>2</v>
      </c>
      <c r="AW149" s="23">
        <f>VALUE(0)</f>
        <v>0</v>
      </c>
      <c r="AX149" s="23" t="s">
        <v>171</v>
      </c>
      <c r="AY149" s="23">
        <f>VALUE(0)</f>
        <v>0</v>
      </c>
      <c r="AZ149" s="23">
        <f>VALUE(0)</f>
        <v>0</v>
      </c>
      <c r="BA149" s="23">
        <f>VALUE(0)</f>
        <v>0</v>
      </c>
      <c r="BB149" s="23">
        <f>VALUE(0)</f>
        <v>0</v>
      </c>
      <c r="BC149" s="23">
        <f>VALUE(0)</f>
        <v>0</v>
      </c>
      <c r="BD149" s="23">
        <f>VALUE(0)</f>
        <v>0</v>
      </c>
      <c r="BE149" s="23">
        <f>VALUE(0)</f>
        <v>0</v>
      </c>
      <c r="BF149" s="23">
        <f>VALUE(0)</f>
        <v>0</v>
      </c>
      <c r="BG149" s="23">
        <f>VALUE(0)</f>
        <v>0</v>
      </c>
      <c r="BH149" s="23">
        <f>VALUE(0)</f>
        <v>0</v>
      </c>
      <c r="BI149" s="23">
        <f>VALUE(0)</f>
        <v>0</v>
      </c>
      <c r="BJ149" s="23">
        <f>VALUE(0)</f>
        <v>0</v>
      </c>
      <c r="BK149" s="12">
        <f>$AX$149*24</f>
        <v>5.833333333333333</v>
      </c>
      <c r="BL149" s="12">
        <f>$AY$149*24</f>
        <v>0</v>
      </c>
      <c r="BM149" s="12">
        <f>$BJ$149*24</f>
        <v>0</v>
      </c>
      <c r="BN149" s="12">
        <f>VALUE($I$149)/100</f>
        <v>1</v>
      </c>
      <c r="BO149" s="12">
        <v>0</v>
      </c>
      <c r="BP149" s="12">
        <v>0</v>
      </c>
      <c r="BQ149" s="12">
        <v>0</v>
      </c>
      <c r="BR149" s="12">
        <v>0</v>
      </c>
      <c r="BS149" s="12">
        <v>0</v>
      </c>
      <c r="BT149" s="12">
        <v>0</v>
      </c>
      <c r="BU149" s="12">
        <v>0</v>
      </c>
      <c r="BV149" s="12">
        <v>0</v>
      </c>
      <c r="BW149" s="12">
        <v>0</v>
      </c>
      <c r="BX149" s="12">
        <v>0</v>
      </c>
      <c r="BY149" s="12">
        <v>0</v>
      </c>
      <c r="BZ149" s="12">
        <v>0</v>
      </c>
      <c r="CA149" s="12">
        <v>0</v>
      </c>
    </row>
    <row r="150" spans="1:79" ht="15" hidden="1" x14ac:dyDescent="0.25">
      <c r="A150" s="12" t="s">
        <v>120</v>
      </c>
      <c r="B150" s="12" t="s">
        <v>123</v>
      </c>
      <c r="C150" s="12" t="s">
        <v>123</v>
      </c>
      <c r="D150" s="31" t="s">
        <v>323</v>
      </c>
      <c r="E150" s="31" t="s">
        <v>153</v>
      </c>
      <c r="F150" s="31" t="s">
        <v>175</v>
      </c>
      <c r="G150" s="31" t="s">
        <v>153</v>
      </c>
      <c r="H150" s="31" t="s">
        <v>153</v>
      </c>
      <c r="I150" s="31" t="s">
        <v>153</v>
      </c>
      <c r="J150" s="31" t="s">
        <v>153</v>
      </c>
      <c r="K150" s="31" t="s">
        <v>153</v>
      </c>
      <c r="L150" s="31">
        <f>VALUE(0)</f>
        <v>0</v>
      </c>
      <c r="M150" s="31">
        <f>VALUE(5)</f>
        <v>5</v>
      </c>
      <c r="N150" s="31">
        <f>VALUE(0)</f>
        <v>0</v>
      </c>
      <c r="O150" s="31">
        <f>VALUE(4)</f>
        <v>4</v>
      </c>
      <c r="P150" s="31">
        <f>VALUE(4)</f>
        <v>4</v>
      </c>
      <c r="Q150" s="31">
        <f>VALUE(5)</f>
        <v>5</v>
      </c>
      <c r="R150" s="31">
        <f>VALUE(5)</f>
        <v>5</v>
      </c>
      <c r="S150" s="31">
        <f>VALUE(4)</f>
        <v>4</v>
      </c>
      <c r="T150" s="31">
        <f>VALUE(4)</f>
        <v>4</v>
      </c>
      <c r="U150" s="31">
        <f>VALUE(0)</f>
        <v>0</v>
      </c>
      <c r="V150" s="31">
        <f>VALUE(0)</f>
        <v>0</v>
      </c>
      <c r="W150" s="31">
        <f>VALUE(6)</f>
        <v>6</v>
      </c>
      <c r="X150" s="31">
        <f>VALUE(4)</f>
        <v>4</v>
      </c>
      <c r="Y150" s="31">
        <f>VALUE(4)</f>
        <v>4</v>
      </c>
      <c r="Z150" s="31">
        <f>VALUE(5)</f>
        <v>5</v>
      </c>
      <c r="AA150" s="31">
        <f>VALUE(6)</f>
        <v>6</v>
      </c>
      <c r="AB150" s="31">
        <f>VALUE(0)</f>
        <v>0</v>
      </c>
      <c r="AC150" s="31">
        <f>VALUE(4)</f>
        <v>4</v>
      </c>
      <c r="AD150" s="31">
        <f>VALUE(5)</f>
        <v>5</v>
      </c>
      <c r="AE150" s="31">
        <f>VALUE(4)</f>
        <v>4</v>
      </c>
      <c r="AF150" s="31">
        <f>VALUE(4)</f>
        <v>4</v>
      </c>
      <c r="AG150" s="31">
        <f>VALUE(3)</f>
        <v>3</v>
      </c>
      <c r="AH150" s="31">
        <f>VALUE(4)</f>
        <v>4</v>
      </c>
      <c r="AI150" s="31">
        <f>VALUE(0)</f>
        <v>0</v>
      </c>
      <c r="AJ150" s="31">
        <f>VALUE(5)</f>
        <v>5</v>
      </c>
      <c r="AK150" s="31">
        <f>VALUE(5)</f>
        <v>5</v>
      </c>
      <c r="AL150" s="31">
        <f>VALUE(4)</f>
        <v>4</v>
      </c>
      <c r="AM150" s="31">
        <f>VALUE(5)</f>
        <v>5</v>
      </c>
      <c r="AN150" s="31">
        <f>VALUE(4)</f>
        <v>4</v>
      </c>
      <c r="AO150" s="31">
        <f>VALUE(4)</f>
        <v>4</v>
      </c>
      <c r="AP150" s="31">
        <v>0</v>
      </c>
      <c r="AQ150" s="31">
        <v>0</v>
      </c>
      <c r="AR150" s="31">
        <v>0</v>
      </c>
      <c r="AS150" s="31">
        <v>0</v>
      </c>
      <c r="AT150" s="31">
        <v>0</v>
      </c>
      <c r="AU150" s="31">
        <v>0</v>
      </c>
      <c r="AV150" s="31">
        <v>0</v>
      </c>
      <c r="AW150" s="31">
        <v>0</v>
      </c>
      <c r="AX150" s="31">
        <v>0</v>
      </c>
      <c r="AY150" s="31">
        <v>0</v>
      </c>
      <c r="AZ150" s="31">
        <v>0</v>
      </c>
      <c r="BA150" s="31">
        <v>0</v>
      </c>
      <c r="BB150" s="31">
        <v>0</v>
      </c>
      <c r="BC150" s="31">
        <v>0</v>
      </c>
      <c r="BD150" s="31">
        <v>0</v>
      </c>
      <c r="BE150" s="31">
        <v>0</v>
      </c>
      <c r="BF150" s="31">
        <v>0</v>
      </c>
      <c r="BG150" s="31">
        <v>0</v>
      </c>
      <c r="BH150" s="31">
        <v>0</v>
      </c>
      <c r="BI150" s="31">
        <v>0</v>
      </c>
      <c r="BJ150" s="31">
        <v>0</v>
      </c>
      <c r="BK150" s="12">
        <v>0</v>
      </c>
      <c r="BL150" s="12">
        <v>0</v>
      </c>
      <c r="BM150" s="12">
        <v>0</v>
      </c>
      <c r="BN150" s="12"/>
      <c r="BO150" s="12">
        <v>0</v>
      </c>
      <c r="BP150" s="12">
        <v>0</v>
      </c>
      <c r="BQ150" s="12">
        <v>0</v>
      </c>
      <c r="BR150" s="12">
        <v>0</v>
      </c>
      <c r="BS150" s="12">
        <v>0</v>
      </c>
      <c r="BT150" s="12">
        <v>0</v>
      </c>
      <c r="BU150" s="12">
        <v>0</v>
      </c>
      <c r="BV150" s="12">
        <v>0</v>
      </c>
      <c r="BW150" s="12">
        <v>0</v>
      </c>
      <c r="BX150" s="12">
        <v>0</v>
      </c>
      <c r="BY150" s="12">
        <v>0</v>
      </c>
      <c r="BZ150" s="12">
        <v>0</v>
      </c>
      <c r="CA150" s="12">
        <v>0</v>
      </c>
    </row>
    <row r="151" spans="1:79" hidden="1" x14ac:dyDescent="0.2">
      <c r="A151" s="12" t="s">
        <v>120</v>
      </c>
      <c r="B151" s="12" t="s">
        <v>124</v>
      </c>
      <c r="C151" s="12" t="s">
        <v>124</v>
      </c>
      <c r="D151" s="22" t="s">
        <v>388</v>
      </c>
      <c r="E151" s="22" t="s">
        <v>161</v>
      </c>
      <c r="F151" s="22" t="s">
        <v>826</v>
      </c>
      <c r="G151" s="22" t="s">
        <v>827</v>
      </c>
      <c r="H151" s="22" t="s">
        <v>150</v>
      </c>
      <c r="I151" s="22" t="s">
        <v>151</v>
      </c>
      <c r="J151" s="22" t="s">
        <v>162</v>
      </c>
      <c r="K151" s="22" t="s">
        <v>83</v>
      </c>
      <c r="L151" s="54" t="s">
        <v>153</v>
      </c>
      <c r="M151" s="32" t="s">
        <v>416</v>
      </c>
      <c r="N151" s="24" t="s">
        <v>153</v>
      </c>
      <c r="O151" s="23" t="s">
        <v>153</v>
      </c>
      <c r="P151" s="23" t="s">
        <v>153</v>
      </c>
      <c r="Q151" s="23" t="s">
        <v>153</v>
      </c>
      <c r="R151" s="23" t="s">
        <v>153</v>
      </c>
      <c r="S151" s="23" t="s">
        <v>153</v>
      </c>
      <c r="T151" s="23" t="s">
        <v>153</v>
      </c>
      <c r="U151" s="24" t="s">
        <v>153</v>
      </c>
      <c r="V151" s="54" t="s">
        <v>153</v>
      </c>
      <c r="W151" s="25" t="s">
        <v>393</v>
      </c>
      <c r="X151" s="25" t="s">
        <v>393</v>
      </c>
      <c r="Y151" s="25" t="s">
        <v>393</v>
      </c>
      <c r="Z151" s="25" t="s">
        <v>393</v>
      </c>
      <c r="AA151" s="25" t="s">
        <v>393</v>
      </c>
      <c r="AB151" s="24" t="s">
        <v>153</v>
      </c>
      <c r="AC151" s="25" t="s">
        <v>393</v>
      </c>
      <c r="AD151" s="25" t="s">
        <v>393</v>
      </c>
      <c r="AE151" s="25" t="s">
        <v>393</v>
      </c>
      <c r="AF151" s="25" t="s">
        <v>393</v>
      </c>
      <c r="AG151" s="25" t="s">
        <v>393</v>
      </c>
      <c r="AH151" s="25" t="s">
        <v>393</v>
      </c>
      <c r="AI151" s="24" t="s">
        <v>153</v>
      </c>
      <c r="AJ151" s="25" t="s">
        <v>393</v>
      </c>
      <c r="AK151" s="25" t="s">
        <v>393</v>
      </c>
      <c r="AL151" s="25" t="s">
        <v>393</v>
      </c>
      <c r="AM151" s="25" t="s">
        <v>393</v>
      </c>
      <c r="AN151" s="25" t="s">
        <v>393</v>
      </c>
      <c r="AO151" s="25" t="s">
        <v>393</v>
      </c>
      <c r="AP151" s="23">
        <f>VALUE(0)</f>
        <v>0</v>
      </c>
      <c r="AQ151" s="23">
        <f>VALUE(0)</f>
        <v>0</v>
      </c>
      <c r="AR151" s="23">
        <f>VALUE(0)</f>
        <v>0</v>
      </c>
      <c r="AS151" s="23">
        <f>VALUE(0)</f>
        <v>0</v>
      </c>
      <c r="AT151" s="23">
        <f>VALUE(0)</f>
        <v>0</v>
      </c>
      <c r="AU151" s="23">
        <f>VALUE(0)</f>
        <v>0</v>
      </c>
      <c r="AV151" s="23">
        <f>VALUE(11)</f>
        <v>11</v>
      </c>
      <c r="AW151" s="23">
        <f>VALUE(0)</f>
        <v>0</v>
      </c>
      <c r="AX151" s="23" t="s">
        <v>171</v>
      </c>
      <c r="AY151" s="23" t="s">
        <v>417</v>
      </c>
      <c r="AZ151" s="23">
        <f>VALUE(0)</f>
        <v>0</v>
      </c>
      <c r="BA151" s="23">
        <f>VALUE(1)</f>
        <v>1</v>
      </c>
      <c r="BB151" s="23">
        <f>VALUE(0)</f>
        <v>0</v>
      </c>
      <c r="BC151" s="23">
        <f>VALUE(0)</f>
        <v>0</v>
      </c>
      <c r="BD151" s="23">
        <f>VALUE(0)</f>
        <v>0</v>
      </c>
      <c r="BE151" s="23">
        <f>VALUE(0)</f>
        <v>0</v>
      </c>
      <c r="BF151" s="23">
        <f>VALUE(0)</f>
        <v>0</v>
      </c>
      <c r="BG151" s="23">
        <f>VALUE(0)</f>
        <v>0</v>
      </c>
      <c r="BH151" s="23">
        <f>VALUE(0)</f>
        <v>0</v>
      </c>
      <c r="BI151" s="23">
        <f>VALUE(0)</f>
        <v>0</v>
      </c>
      <c r="BJ151" s="23">
        <f>VALUE(0)</f>
        <v>0</v>
      </c>
      <c r="BK151" s="12">
        <f>$AX$151*24</f>
        <v>5.833333333333333</v>
      </c>
      <c r="BL151" s="12">
        <f>$AY$151*24</f>
        <v>16.533333333333335</v>
      </c>
      <c r="BM151" s="12">
        <f>$BJ$151*24</f>
        <v>0</v>
      </c>
      <c r="BN151" s="12">
        <f>VALUE($I$151)/100</f>
        <v>1</v>
      </c>
      <c r="BO151" s="12">
        <v>0</v>
      </c>
      <c r="BP151" s="12">
        <v>0</v>
      </c>
      <c r="BQ151" s="12">
        <v>0</v>
      </c>
      <c r="BR151" s="12">
        <v>0</v>
      </c>
      <c r="BS151" s="12">
        <v>0</v>
      </c>
      <c r="BT151" s="12">
        <v>0</v>
      </c>
      <c r="BU151" s="12">
        <v>0</v>
      </c>
      <c r="BV151" s="12">
        <v>0</v>
      </c>
      <c r="BW151" s="12">
        <v>0</v>
      </c>
      <c r="BX151" s="12">
        <v>0</v>
      </c>
      <c r="BY151" s="12">
        <v>0</v>
      </c>
      <c r="BZ151" s="12">
        <v>0</v>
      </c>
      <c r="CA151" s="12">
        <v>0</v>
      </c>
    </row>
    <row r="152" spans="1:79" hidden="1" x14ac:dyDescent="0.2">
      <c r="A152" s="12" t="s">
        <v>120</v>
      </c>
      <c r="B152" s="12" t="s">
        <v>124</v>
      </c>
      <c r="C152" s="12" t="s">
        <v>124</v>
      </c>
      <c r="D152" s="22" t="s">
        <v>418</v>
      </c>
      <c r="E152" s="22" t="s">
        <v>161</v>
      </c>
      <c r="F152" s="22" t="s">
        <v>828</v>
      </c>
      <c r="G152" s="22" t="s">
        <v>829</v>
      </c>
      <c r="H152" s="22" t="s">
        <v>166</v>
      </c>
      <c r="I152" s="22" t="s">
        <v>151</v>
      </c>
      <c r="J152" s="22" t="s">
        <v>162</v>
      </c>
      <c r="K152" s="22" t="s">
        <v>83</v>
      </c>
      <c r="L152" s="54" t="s">
        <v>153</v>
      </c>
      <c r="M152" s="23" t="s">
        <v>153</v>
      </c>
      <c r="N152" s="24" t="s">
        <v>153</v>
      </c>
      <c r="O152" s="24" t="s">
        <v>156</v>
      </c>
      <c r="P152" s="24" t="s">
        <v>156</v>
      </c>
      <c r="Q152" s="23" t="s">
        <v>153</v>
      </c>
      <c r="R152" s="23" t="s">
        <v>153</v>
      </c>
      <c r="S152" s="23" t="s">
        <v>153</v>
      </c>
      <c r="T152" s="23" t="s">
        <v>153</v>
      </c>
      <c r="U152" s="24" t="s">
        <v>153</v>
      </c>
      <c r="V152" s="54" t="s">
        <v>153</v>
      </c>
      <c r="W152" s="23" t="s">
        <v>153</v>
      </c>
      <c r="X152" s="23" t="s">
        <v>153</v>
      </c>
      <c r="Y152" s="23" t="s">
        <v>153</v>
      </c>
      <c r="Z152" s="23" t="s">
        <v>153</v>
      </c>
      <c r="AA152" s="23" t="s">
        <v>153</v>
      </c>
      <c r="AB152" s="24" t="s">
        <v>153</v>
      </c>
      <c r="AC152" s="23" t="s">
        <v>153</v>
      </c>
      <c r="AD152" s="23" t="s">
        <v>153</v>
      </c>
      <c r="AE152" s="23" t="s">
        <v>153</v>
      </c>
      <c r="AF152" s="23" t="s">
        <v>153</v>
      </c>
      <c r="AG152" s="23" t="s">
        <v>153</v>
      </c>
      <c r="AH152" s="23" t="s">
        <v>153</v>
      </c>
      <c r="AI152" s="24" t="s">
        <v>153</v>
      </c>
      <c r="AJ152" s="28" t="s">
        <v>163</v>
      </c>
      <c r="AK152" s="28" t="s">
        <v>163</v>
      </c>
      <c r="AL152" s="23" t="s">
        <v>153</v>
      </c>
      <c r="AM152" s="23" t="s">
        <v>153</v>
      </c>
      <c r="AN152" s="23" t="s">
        <v>153</v>
      </c>
      <c r="AO152" s="23" t="s">
        <v>153</v>
      </c>
      <c r="AP152" s="23">
        <f>VALUE(0)</f>
        <v>0</v>
      </c>
      <c r="AQ152" s="23">
        <f>VALUE(0)</f>
        <v>0</v>
      </c>
      <c r="AR152" s="23">
        <f>VALUE(0)</f>
        <v>0</v>
      </c>
      <c r="AS152" s="23">
        <f>VALUE(0)</f>
        <v>0</v>
      </c>
      <c r="AT152" s="23">
        <f>VALUE(0)</f>
        <v>0</v>
      </c>
      <c r="AU152" s="23">
        <f>VALUE(2)</f>
        <v>2</v>
      </c>
      <c r="AV152" s="23">
        <f>VALUE(1)</f>
        <v>1</v>
      </c>
      <c r="AW152" s="23">
        <f>VALUE(0)</f>
        <v>0</v>
      </c>
      <c r="AX152" s="23" t="s">
        <v>1221</v>
      </c>
      <c r="AY152" s="23">
        <f>VALUE(0)</f>
        <v>0</v>
      </c>
      <c r="AZ152" s="23">
        <f>VALUE(0)</f>
        <v>0</v>
      </c>
      <c r="BA152" s="23">
        <f>VALUE(0)</f>
        <v>0</v>
      </c>
      <c r="BB152" s="23">
        <f>VALUE(0)</f>
        <v>0</v>
      </c>
      <c r="BC152" s="23">
        <f>VALUE(0)</f>
        <v>0</v>
      </c>
      <c r="BD152" s="23">
        <f>VALUE(0)</f>
        <v>0</v>
      </c>
      <c r="BE152" s="23">
        <f>VALUE(0)</f>
        <v>0</v>
      </c>
      <c r="BF152" s="23">
        <f>VALUE(0)</f>
        <v>0</v>
      </c>
      <c r="BG152" s="23">
        <f>VALUE(0)</f>
        <v>0</v>
      </c>
      <c r="BH152" s="23">
        <f>VALUE(0)</f>
        <v>0</v>
      </c>
      <c r="BI152" s="23">
        <f>VALUE(0)</f>
        <v>0</v>
      </c>
      <c r="BJ152" s="23">
        <f>VALUE(0)</f>
        <v>0</v>
      </c>
      <c r="BK152" s="12">
        <f>$AX$152*24</f>
        <v>47.85</v>
      </c>
      <c r="BL152" s="12">
        <f>$AY$152*24</f>
        <v>0</v>
      </c>
      <c r="BM152" s="12">
        <f>$BJ$152*24</f>
        <v>0</v>
      </c>
      <c r="BN152" s="12">
        <f>VALUE($I$152)/100</f>
        <v>1</v>
      </c>
      <c r="BO152" s="12">
        <v>0</v>
      </c>
      <c r="BP152" s="12">
        <v>0</v>
      </c>
      <c r="BQ152" s="12">
        <v>0</v>
      </c>
      <c r="BR152" s="12">
        <v>0</v>
      </c>
      <c r="BS152" s="12">
        <v>0</v>
      </c>
      <c r="BT152" s="12">
        <v>0</v>
      </c>
      <c r="BU152" s="12">
        <v>0</v>
      </c>
      <c r="BV152" s="12">
        <v>0</v>
      </c>
      <c r="BW152" s="12">
        <v>0</v>
      </c>
      <c r="BX152" s="12">
        <v>0</v>
      </c>
      <c r="BY152" s="12">
        <v>0</v>
      </c>
      <c r="BZ152" s="12">
        <v>0</v>
      </c>
      <c r="CA152" s="12">
        <v>0</v>
      </c>
    </row>
    <row r="153" spans="1:79" hidden="1" x14ac:dyDescent="0.2">
      <c r="A153" s="12" t="s">
        <v>120</v>
      </c>
      <c r="B153" s="12" t="s">
        <v>124</v>
      </c>
      <c r="C153" s="12" t="s">
        <v>124</v>
      </c>
      <c r="D153" s="22" t="s">
        <v>419</v>
      </c>
      <c r="E153" s="22" t="s">
        <v>161</v>
      </c>
      <c r="F153" s="22" t="s">
        <v>1222</v>
      </c>
      <c r="G153" s="22" t="s">
        <v>830</v>
      </c>
      <c r="H153" s="22" t="s">
        <v>150</v>
      </c>
      <c r="I153" s="22" t="s">
        <v>151</v>
      </c>
      <c r="J153" s="22" t="s">
        <v>162</v>
      </c>
      <c r="K153" s="22" t="s">
        <v>83</v>
      </c>
      <c r="L153" s="54" t="s">
        <v>153</v>
      </c>
      <c r="M153" s="23" t="s">
        <v>153</v>
      </c>
      <c r="N153" s="24" t="s">
        <v>153</v>
      </c>
      <c r="O153" s="28" t="s">
        <v>163</v>
      </c>
      <c r="P153" s="28" t="s">
        <v>163</v>
      </c>
      <c r="Q153" s="28" t="s">
        <v>163</v>
      </c>
      <c r="R153" s="28" t="s">
        <v>163</v>
      </c>
      <c r="S153" s="28" t="s">
        <v>163</v>
      </c>
      <c r="T153" s="28" t="s">
        <v>163</v>
      </c>
      <c r="U153" s="24" t="s">
        <v>153</v>
      </c>
      <c r="V153" s="54" t="s">
        <v>153</v>
      </c>
      <c r="W153" s="23" t="s">
        <v>153</v>
      </c>
      <c r="X153" s="23" t="s">
        <v>153</v>
      </c>
      <c r="Y153" s="23" t="s">
        <v>153</v>
      </c>
      <c r="Z153" s="23" t="s">
        <v>153</v>
      </c>
      <c r="AA153" s="23" t="s">
        <v>153</v>
      </c>
      <c r="AB153" s="24" t="s">
        <v>153</v>
      </c>
      <c r="AC153" s="23" t="s">
        <v>153</v>
      </c>
      <c r="AD153" s="23" t="s">
        <v>153</v>
      </c>
      <c r="AE153" s="23" t="s">
        <v>153</v>
      </c>
      <c r="AF153" s="23" t="s">
        <v>153</v>
      </c>
      <c r="AG153" s="23" t="s">
        <v>153</v>
      </c>
      <c r="AH153" s="23" t="s">
        <v>153</v>
      </c>
      <c r="AI153" s="24" t="s">
        <v>153</v>
      </c>
      <c r="AJ153" s="23" t="s">
        <v>153</v>
      </c>
      <c r="AK153" s="23" t="s">
        <v>153</v>
      </c>
      <c r="AL153" s="24" t="s">
        <v>156</v>
      </c>
      <c r="AM153" s="24" t="s">
        <v>156</v>
      </c>
      <c r="AN153" s="23" t="s">
        <v>153</v>
      </c>
      <c r="AO153" s="23" t="s">
        <v>153</v>
      </c>
      <c r="AP153" s="23">
        <f>VALUE(0)</f>
        <v>0</v>
      </c>
      <c r="AQ153" s="23">
        <f>VALUE(0)</f>
        <v>0</v>
      </c>
      <c r="AR153" s="23">
        <f>VALUE(0)</f>
        <v>0</v>
      </c>
      <c r="AS153" s="23">
        <f>VALUE(0)</f>
        <v>0</v>
      </c>
      <c r="AT153" s="23">
        <f>VALUE(0)</f>
        <v>0</v>
      </c>
      <c r="AU153" s="23">
        <f>VALUE(6)</f>
        <v>6</v>
      </c>
      <c r="AV153" s="23">
        <f>VALUE(5)</f>
        <v>5</v>
      </c>
      <c r="AW153" s="23">
        <f>VALUE(0)</f>
        <v>0</v>
      </c>
      <c r="AX153" s="23" t="s">
        <v>171</v>
      </c>
      <c r="AY153" s="23" t="s">
        <v>1223</v>
      </c>
      <c r="AZ153" s="23">
        <f>VALUE(0)</f>
        <v>0</v>
      </c>
      <c r="BA153" s="23">
        <f>VALUE(0)</f>
        <v>0</v>
      </c>
      <c r="BB153" s="23">
        <f>VALUE(0)</f>
        <v>0</v>
      </c>
      <c r="BC153" s="23">
        <f>VALUE(0)</f>
        <v>0</v>
      </c>
      <c r="BD153" s="23">
        <f>VALUE(0)</f>
        <v>0</v>
      </c>
      <c r="BE153" s="23">
        <f>VALUE(0)</f>
        <v>0</v>
      </c>
      <c r="BF153" s="23">
        <f>VALUE(0)</f>
        <v>0</v>
      </c>
      <c r="BG153" s="23">
        <f>VALUE(0)</f>
        <v>0</v>
      </c>
      <c r="BH153" s="23">
        <f>VALUE(0)</f>
        <v>0</v>
      </c>
      <c r="BI153" s="23">
        <f>VALUE(0)</f>
        <v>0</v>
      </c>
      <c r="BJ153" s="23">
        <f>VALUE(0)</f>
        <v>0</v>
      </c>
      <c r="BK153" s="12">
        <f>$AX$153*24</f>
        <v>5.833333333333333</v>
      </c>
      <c r="BL153" s="12">
        <f>$AY$153*24</f>
        <v>58.3</v>
      </c>
      <c r="BM153" s="12">
        <f>$BJ$153*24</f>
        <v>0</v>
      </c>
      <c r="BN153" s="12">
        <f>VALUE($I$153)/100</f>
        <v>1</v>
      </c>
      <c r="BO153" s="12">
        <v>0</v>
      </c>
      <c r="BP153" s="12">
        <v>0</v>
      </c>
      <c r="BQ153" s="12">
        <v>0</v>
      </c>
      <c r="BR153" s="12">
        <v>0</v>
      </c>
      <c r="BS153" s="12">
        <v>0</v>
      </c>
      <c r="BT153" s="12">
        <v>0</v>
      </c>
      <c r="BU153" s="12">
        <v>0</v>
      </c>
      <c r="BV153" s="12">
        <v>0</v>
      </c>
      <c r="BW153" s="12">
        <v>0</v>
      </c>
      <c r="BX153" s="12">
        <v>0</v>
      </c>
      <c r="BY153" s="12">
        <v>0</v>
      </c>
      <c r="BZ153" s="12">
        <v>0</v>
      </c>
      <c r="CA153" s="12">
        <v>0</v>
      </c>
    </row>
    <row r="154" spans="1:79" hidden="1" x14ac:dyDescent="0.2">
      <c r="A154" s="12" t="s">
        <v>120</v>
      </c>
      <c r="B154" s="12" t="s">
        <v>124</v>
      </c>
      <c r="C154" s="12" t="s">
        <v>124</v>
      </c>
      <c r="D154" s="22" t="s">
        <v>376</v>
      </c>
      <c r="E154" s="22" t="s">
        <v>161</v>
      </c>
      <c r="F154" s="22" t="s">
        <v>831</v>
      </c>
      <c r="G154" s="22" t="s">
        <v>832</v>
      </c>
      <c r="H154" s="22" t="s">
        <v>242</v>
      </c>
      <c r="I154" s="22" t="s">
        <v>151</v>
      </c>
      <c r="J154" s="22" t="s">
        <v>162</v>
      </c>
      <c r="K154" s="22" t="s">
        <v>83</v>
      </c>
      <c r="L154" s="54" t="s">
        <v>153</v>
      </c>
      <c r="M154" s="23" t="s">
        <v>153</v>
      </c>
      <c r="N154" s="24" t="s">
        <v>153</v>
      </c>
      <c r="O154" s="23" t="s">
        <v>153</v>
      </c>
      <c r="P154" s="23" t="s">
        <v>153</v>
      </c>
      <c r="Q154" s="23" t="s">
        <v>153</v>
      </c>
      <c r="R154" s="23" t="s">
        <v>153</v>
      </c>
      <c r="S154" s="23" t="s">
        <v>153</v>
      </c>
      <c r="T154" s="23" t="s">
        <v>153</v>
      </c>
      <c r="U154" s="24" t="s">
        <v>153</v>
      </c>
      <c r="V154" s="54" t="s">
        <v>153</v>
      </c>
      <c r="W154" s="27" t="s">
        <v>153</v>
      </c>
      <c r="X154" s="27" t="s">
        <v>153</v>
      </c>
      <c r="Y154" s="27" t="s">
        <v>153</v>
      </c>
      <c r="Z154" s="27" t="s">
        <v>153</v>
      </c>
      <c r="AA154" s="27" t="s">
        <v>153</v>
      </c>
      <c r="AB154" s="24" t="s">
        <v>153</v>
      </c>
      <c r="AC154" s="27" t="s">
        <v>153</v>
      </c>
      <c r="AD154" s="27" t="s">
        <v>153</v>
      </c>
      <c r="AE154" s="27" t="s">
        <v>153</v>
      </c>
      <c r="AF154" s="27" t="s">
        <v>153</v>
      </c>
      <c r="AG154" s="27" t="s">
        <v>153</v>
      </c>
      <c r="AH154" s="27" t="s">
        <v>153</v>
      </c>
      <c r="AI154" s="24" t="s">
        <v>153</v>
      </c>
      <c r="AJ154" s="27" t="s">
        <v>153</v>
      </c>
      <c r="AK154" s="27" t="s">
        <v>153</v>
      </c>
      <c r="AL154" s="27" t="s">
        <v>153</v>
      </c>
      <c r="AM154" s="27" t="s">
        <v>153</v>
      </c>
      <c r="AN154" s="27" t="s">
        <v>153</v>
      </c>
      <c r="AO154" s="27" t="s">
        <v>153</v>
      </c>
      <c r="AP154" s="23">
        <f>VALUE(0)</f>
        <v>0</v>
      </c>
      <c r="AQ154" s="23">
        <f>VALUE(0)</f>
        <v>0</v>
      </c>
      <c r="AR154" s="23">
        <f>VALUE(0)</f>
        <v>0</v>
      </c>
      <c r="AS154" s="23">
        <f>VALUE(0)</f>
        <v>0</v>
      </c>
      <c r="AT154" s="23">
        <f>VALUE(0)</f>
        <v>0</v>
      </c>
      <c r="AU154" s="23">
        <f>VALUE(0)</f>
        <v>0</v>
      </c>
      <c r="AV154" s="23">
        <f>VALUE(0)</f>
        <v>0</v>
      </c>
      <c r="AW154" s="23">
        <f>VALUE(0)</f>
        <v>0</v>
      </c>
      <c r="AX154" s="23">
        <f>VALUE(0)</f>
        <v>0</v>
      </c>
      <c r="AY154" s="23">
        <f>VALUE(0)</f>
        <v>0</v>
      </c>
      <c r="AZ154" s="23">
        <f>VALUE(0)</f>
        <v>0</v>
      </c>
      <c r="BA154" s="23">
        <f>VALUE(0)</f>
        <v>0</v>
      </c>
      <c r="BB154" s="23">
        <f>VALUE(0)</f>
        <v>0</v>
      </c>
      <c r="BC154" s="23">
        <f>VALUE(0)</f>
        <v>0</v>
      </c>
      <c r="BD154" s="23">
        <f>VALUE(0)</f>
        <v>0</v>
      </c>
      <c r="BE154" s="23">
        <f>VALUE(0)</f>
        <v>0</v>
      </c>
      <c r="BF154" s="23">
        <f>VALUE(0)</f>
        <v>0</v>
      </c>
      <c r="BG154" s="23">
        <f>VALUE(0)</f>
        <v>0</v>
      </c>
      <c r="BH154" s="23">
        <f>VALUE(0)</f>
        <v>0</v>
      </c>
      <c r="BI154" s="23">
        <f>VALUE(0)</f>
        <v>0</v>
      </c>
      <c r="BJ154" s="23">
        <f>VALUE(0)</f>
        <v>0</v>
      </c>
      <c r="BK154" s="12">
        <f>$AX$154*24</f>
        <v>0</v>
      </c>
      <c r="BL154" s="12">
        <f>$AY$154*24</f>
        <v>0</v>
      </c>
      <c r="BM154" s="12">
        <f>$BJ$154*24</f>
        <v>0</v>
      </c>
      <c r="BN154" s="12">
        <f>VALUE($I$154)/100</f>
        <v>1</v>
      </c>
      <c r="BO154" s="12">
        <v>0</v>
      </c>
      <c r="BP154" s="12">
        <v>0</v>
      </c>
      <c r="BQ154" s="12">
        <v>0</v>
      </c>
      <c r="BR154" s="12">
        <v>0</v>
      </c>
      <c r="BS154" s="12">
        <v>0</v>
      </c>
      <c r="BT154" s="12">
        <v>0</v>
      </c>
      <c r="BU154" s="12">
        <v>0</v>
      </c>
      <c r="BV154" s="12">
        <v>0</v>
      </c>
      <c r="BW154" s="12">
        <v>0</v>
      </c>
      <c r="BX154" s="12">
        <v>0</v>
      </c>
      <c r="BY154" s="12">
        <v>0</v>
      </c>
      <c r="BZ154" s="12">
        <v>0</v>
      </c>
      <c r="CA154" s="12">
        <v>0</v>
      </c>
    </row>
    <row r="155" spans="1:79" hidden="1" x14ac:dyDescent="0.2">
      <c r="A155" s="12" t="s">
        <v>120</v>
      </c>
      <c r="B155" s="12" t="s">
        <v>124</v>
      </c>
      <c r="C155" s="12" t="s">
        <v>124</v>
      </c>
      <c r="D155" s="22" t="s">
        <v>382</v>
      </c>
      <c r="E155" s="22" t="s">
        <v>161</v>
      </c>
      <c r="F155" s="22" t="s">
        <v>1224</v>
      </c>
      <c r="G155" s="22" t="s">
        <v>833</v>
      </c>
      <c r="H155" s="22" t="s">
        <v>190</v>
      </c>
      <c r="I155" s="22" t="s">
        <v>151</v>
      </c>
      <c r="J155" s="22" t="s">
        <v>162</v>
      </c>
      <c r="K155" s="22" t="s">
        <v>83</v>
      </c>
      <c r="L155" s="54" t="s">
        <v>153</v>
      </c>
      <c r="M155" s="23" t="s">
        <v>153</v>
      </c>
      <c r="N155" s="24" t="s">
        <v>153</v>
      </c>
      <c r="O155" s="23" t="s">
        <v>153</v>
      </c>
      <c r="P155" s="23" t="s">
        <v>153</v>
      </c>
      <c r="Q155" s="23" t="s">
        <v>153</v>
      </c>
      <c r="R155" s="23" t="s">
        <v>153</v>
      </c>
      <c r="S155" s="23" t="s">
        <v>153</v>
      </c>
      <c r="T155" s="23" t="s">
        <v>153</v>
      </c>
      <c r="U155" s="24" t="s">
        <v>153</v>
      </c>
      <c r="V155" s="54" t="s">
        <v>153</v>
      </c>
      <c r="W155" s="40" t="s">
        <v>153</v>
      </c>
      <c r="X155" s="40" t="s">
        <v>153</v>
      </c>
      <c r="Y155" s="40" t="s">
        <v>153</v>
      </c>
      <c r="Z155" s="40" t="s">
        <v>153</v>
      </c>
      <c r="AA155" s="40" t="s">
        <v>153</v>
      </c>
      <c r="AB155" s="40" t="s">
        <v>153</v>
      </c>
      <c r="AC155" s="40" t="s">
        <v>153</v>
      </c>
      <c r="AD155" s="40" t="s">
        <v>153</v>
      </c>
      <c r="AE155" s="40" t="s">
        <v>153</v>
      </c>
      <c r="AF155" s="40" t="s">
        <v>153</v>
      </c>
      <c r="AG155" s="40" t="s">
        <v>153</v>
      </c>
      <c r="AH155" s="40" t="s">
        <v>153</v>
      </c>
      <c r="AI155" s="40" t="s">
        <v>153</v>
      </c>
      <c r="AJ155" s="40" t="s">
        <v>153</v>
      </c>
      <c r="AK155" s="40" t="s">
        <v>153</v>
      </c>
      <c r="AL155" s="40" t="s">
        <v>153</v>
      </c>
      <c r="AM155" s="40" t="s">
        <v>153</v>
      </c>
      <c r="AN155" s="40" t="s">
        <v>153</v>
      </c>
      <c r="AO155" s="40" t="s">
        <v>153</v>
      </c>
      <c r="AP155" s="23">
        <f>VALUE(0)</f>
        <v>0</v>
      </c>
      <c r="AQ155" s="23">
        <f>VALUE(0)</f>
        <v>0</v>
      </c>
      <c r="AR155" s="23">
        <f>VALUE(0)</f>
        <v>0</v>
      </c>
      <c r="AS155" s="23">
        <f>VALUE(0)</f>
        <v>0</v>
      </c>
      <c r="AT155" s="23">
        <f>VALUE(0)</f>
        <v>0</v>
      </c>
      <c r="AU155" s="23">
        <f>VALUE(0)</f>
        <v>0</v>
      </c>
      <c r="AV155" s="23">
        <f>VALUE(18)</f>
        <v>18</v>
      </c>
      <c r="AW155" s="23">
        <f>VALUE(0)</f>
        <v>0</v>
      </c>
      <c r="AX155" s="23">
        <f>VALUE(0)</f>
        <v>0</v>
      </c>
      <c r="AY155" s="23">
        <f>VALUE(0)</f>
        <v>0</v>
      </c>
      <c r="AZ155" s="23">
        <f>VALUE(0)</f>
        <v>0</v>
      </c>
      <c r="BA155" s="23">
        <f>VALUE(0)</f>
        <v>0</v>
      </c>
      <c r="BB155" s="23">
        <f>VALUE(0)</f>
        <v>0</v>
      </c>
      <c r="BC155" s="23">
        <f>VALUE(0)</f>
        <v>0</v>
      </c>
      <c r="BD155" s="23">
        <f>VALUE(0)</f>
        <v>0</v>
      </c>
      <c r="BE155" s="23">
        <f>VALUE(0)</f>
        <v>0</v>
      </c>
      <c r="BF155" s="23">
        <f>VALUE(0)</f>
        <v>0</v>
      </c>
      <c r="BG155" s="23">
        <f>VALUE(0)</f>
        <v>0</v>
      </c>
      <c r="BH155" s="23">
        <f>VALUE(0)</f>
        <v>0</v>
      </c>
      <c r="BI155" s="23">
        <f>VALUE(0)</f>
        <v>0</v>
      </c>
      <c r="BJ155" s="23">
        <f>VALUE(0)</f>
        <v>0</v>
      </c>
      <c r="BK155" s="12">
        <f>$AX$155*24</f>
        <v>0</v>
      </c>
      <c r="BL155" s="12">
        <f>$AY$155*24</f>
        <v>0</v>
      </c>
      <c r="BM155" s="12">
        <f>$BJ$155*24</f>
        <v>0</v>
      </c>
      <c r="BN155" s="12">
        <f>VALUE($I$155)/100</f>
        <v>1</v>
      </c>
      <c r="BO155" s="12">
        <v>0</v>
      </c>
      <c r="BP155" s="12">
        <v>0</v>
      </c>
      <c r="BQ155" s="12">
        <v>0</v>
      </c>
      <c r="BR155" s="12">
        <v>0</v>
      </c>
      <c r="BS155" s="12">
        <v>0</v>
      </c>
      <c r="BT155" s="12">
        <v>0</v>
      </c>
      <c r="BU155" s="12">
        <v>0</v>
      </c>
      <c r="BV155" s="12">
        <v>0</v>
      </c>
      <c r="BW155" s="12">
        <v>0</v>
      </c>
      <c r="BX155" s="12">
        <v>0</v>
      </c>
      <c r="BY155" s="12">
        <v>0</v>
      </c>
      <c r="BZ155" s="12">
        <v>0</v>
      </c>
      <c r="CA155" s="12">
        <v>0</v>
      </c>
    </row>
    <row r="156" spans="1:79" hidden="1" x14ac:dyDescent="0.2">
      <c r="A156" s="12" t="s">
        <v>120</v>
      </c>
      <c r="B156" s="12" t="s">
        <v>124</v>
      </c>
      <c r="C156" s="12" t="s">
        <v>124</v>
      </c>
      <c r="D156" s="22" t="s">
        <v>382</v>
      </c>
      <c r="E156" s="22" t="s">
        <v>161</v>
      </c>
      <c r="F156" s="22" t="s">
        <v>834</v>
      </c>
      <c r="G156" s="22" t="s">
        <v>835</v>
      </c>
      <c r="H156" s="22" t="s">
        <v>166</v>
      </c>
      <c r="I156" s="22" t="s">
        <v>151</v>
      </c>
      <c r="J156" s="22" t="s">
        <v>162</v>
      </c>
      <c r="K156" s="22" t="s">
        <v>83</v>
      </c>
      <c r="L156" s="54" t="s">
        <v>153</v>
      </c>
      <c r="M156" s="32" t="s">
        <v>188</v>
      </c>
      <c r="N156" s="24" t="s">
        <v>153</v>
      </c>
      <c r="O156" s="32" t="s">
        <v>188</v>
      </c>
      <c r="P156" s="32" t="s">
        <v>188</v>
      </c>
      <c r="Q156" s="32" t="s">
        <v>188</v>
      </c>
      <c r="R156" s="32" t="s">
        <v>188</v>
      </c>
      <c r="S156" s="32" t="s">
        <v>188</v>
      </c>
      <c r="T156" s="32" t="s">
        <v>188</v>
      </c>
      <c r="U156" s="24" t="s">
        <v>153</v>
      </c>
      <c r="V156" s="54" t="s">
        <v>156</v>
      </c>
      <c r="W156" s="24" t="s">
        <v>156</v>
      </c>
      <c r="X156" s="23" t="s">
        <v>153</v>
      </c>
      <c r="Y156" s="23" t="s">
        <v>153</v>
      </c>
      <c r="Z156" s="23" t="s">
        <v>153</v>
      </c>
      <c r="AA156" s="23" t="s">
        <v>153</v>
      </c>
      <c r="AB156" s="24" t="s">
        <v>153</v>
      </c>
      <c r="AC156" s="23" t="s">
        <v>153</v>
      </c>
      <c r="AD156" s="23" t="s">
        <v>153</v>
      </c>
      <c r="AE156" s="23" t="s">
        <v>153</v>
      </c>
      <c r="AF156" s="23" t="s">
        <v>153</v>
      </c>
      <c r="AG156" s="23" t="s">
        <v>153</v>
      </c>
      <c r="AH156" s="23" t="s">
        <v>153</v>
      </c>
      <c r="AI156" s="24" t="s">
        <v>153</v>
      </c>
      <c r="AJ156" s="23" t="s">
        <v>153</v>
      </c>
      <c r="AK156" s="23" t="s">
        <v>153</v>
      </c>
      <c r="AL156" s="23" t="s">
        <v>153</v>
      </c>
      <c r="AM156" s="23" t="s">
        <v>153</v>
      </c>
      <c r="AN156" s="23" t="s">
        <v>153</v>
      </c>
      <c r="AO156" s="23" t="s">
        <v>153</v>
      </c>
      <c r="AP156" s="23">
        <f>VALUE(0)</f>
        <v>0</v>
      </c>
      <c r="AQ156" s="23">
        <f>VALUE(0)</f>
        <v>0</v>
      </c>
      <c r="AR156" s="23">
        <f>VALUE(0)</f>
        <v>0</v>
      </c>
      <c r="AS156" s="23">
        <f>VALUE(0)</f>
        <v>0</v>
      </c>
      <c r="AT156" s="23">
        <f>VALUE(0)</f>
        <v>0</v>
      </c>
      <c r="AU156" s="23">
        <f>VALUE(0)</f>
        <v>0</v>
      </c>
      <c r="AV156" s="23">
        <f>VALUE(29.5)</f>
        <v>29.5</v>
      </c>
      <c r="AW156" s="23">
        <f>VALUE(0)</f>
        <v>0</v>
      </c>
      <c r="AX156" s="23" t="s">
        <v>1225</v>
      </c>
      <c r="AY156" s="23">
        <f>VALUE(0)</f>
        <v>0</v>
      </c>
      <c r="AZ156" s="23">
        <f>VALUE(7)</f>
        <v>7</v>
      </c>
      <c r="BA156" s="23">
        <f>VALUE(0)</f>
        <v>0</v>
      </c>
      <c r="BB156" s="23">
        <f>VALUE(0)</f>
        <v>0</v>
      </c>
      <c r="BC156" s="23">
        <f>VALUE(0)</f>
        <v>0</v>
      </c>
      <c r="BD156" s="23">
        <f>VALUE(0)</f>
        <v>0</v>
      </c>
      <c r="BE156" s="23">
        <f>VALUE(0)</f>
        <v>0</v>
      </c>
      <c r="BF156" s="23">
        <f>VALUE(0)</f>
        <v>0</v>
      </c>
      <c r="BG156" s="23">
        <f>VALUE(0)</f>
        <v>0</v>
      </c>
      <c r="BH156" s="23">
        <f>VALUE(0)</f>
        <v>0</v>
      </c>
      <c r="BI156" s="23">
        <f>VALUE(0)</f>
        <v>0</v>
      </c>
      <c r="BJ156" s="23">
        <f>VALUE(0)</f>
        <v>0</v>
      </c>
      <c r="BK156" s="12">
        <f>$AX$156*24</f>
        <v>31.966666666666665</v>
      </c>
      <c r="BL156" s="12">
        <f>$AY$156*24</f>
        <v>0</v>
      </c>
      <c r="BM156" s="12">
        <f>$BJ$156*24</f>
        <v>0</v>
      </c>
      <c r="BN156" s="12">
        <f>VALUE($I$156)/100</f>
        <v>1</v>
      </c>
      <c r="BO156" s="12">
        <v>0</v>
      </c>
      <c r="BP156" s="12">
        <v>0</v>
      </c>
      <c r="BQ156" s="12">
        <v>0</v>
      </c>
      <c r="BR156" s="12">
        <v>0</v>
      </c>
      <c r="BS156" s="12">
        <v>0</v>
      </c>
      <c r="BT156" s="12">
        <v>0</v>
      </c>
      <c r="BU156" s="12">
        <v>0</v>
      </c>
      <c r="BV156" s="12">
        <v>0</v>
      </c>
      <c r="BW156" s="12">
        <v>0</v>
      </c>
      <c r="BX156" s="12">
        <v>0</v>
      </c>
      <c r="BY156" s="12">
        <v>0</v>
      </c>
      <c r="BZ156" s="12">
        <v>0</v>
      </c>
      <c r="CA156" s="12">
        <v>0</v>
      </c>
    </row>
    <row r="157" spans="1:79" hidden="1" x14ac:dyDescent="0.2">
      <c r="A157" s="12" t="s">
        <v>120</v>
      </c>
      <c r="B157" s="12" t="s">
        <v>124</v>
      </c>
      <c r="C157" s="12" t="s">
        <v>124</v>
      </c>
      <c r="D157" s="22" t="s">
        <v>420</v>
      </c>
      <c r="E157" s="22" t="s">
        <v>161</v>
      </c>
      <c r="F157" s="22" t="s">
        <v>1226</v>
      </c>
      <c r="G157" s="22" t="s">
        <v>836</v>
      </c>
      <c r="H157" s="22" t="s">
        <v>150</v>
      </c>
      <c r="I157" s="22" t="s">
        <v>151</v>
      </c>
      <c r="J157" s="22" t="s">
        <v>162</v>
      </c>
      <c r="K157" s="22" t="s">
        <v>83</v>
      </c>
      <c r="L157" s="54" t="s">
        <v>153</v>
      </c>
      <c r="M157" s="23" t="s">
        <v>153</v>
      </c>
      <c r="N157" s="24" t="s">
        <v>153</v>
      </c>
      <c r="O157" s="24" t="s">
        <v>156</v>
      </c>
      <c r="P157" s="24" t="s">
        <v>156</v>
      </c>
      <c r="Q157" s="23" t="s">
        <v>153</v>
      </c>
      <c r="R157" s="23" t="s">
        <v>153</v>
      </c>
      <c r="S157" s="23" t="s">
        <v>153</v>
      </c>
      <c r="T157" s="23" t="s">
        <v>153</v>
      </c>
      <c r="U157" s="24" t="s">
        <v>153</v>
      </c>
      <c r="V157" s="54" t="s">
        <v>153</v>
      </c>
      <c r="W157" s="23" t="s">
        <v>153</v>
      </c>
      <c r="X157" s="23" t="s">
        <v>153</v>
      </c>
      <c r="Y157" s="23" t="s">
        <v>153</v>
      </c>
      <c r="Z157" s="23" t="s">
        <v>153</v>
      </c>
      <c r="AA157" s="23" t="s">
        <v>153</v>
      </c>
      <c r="AB157" s="24" t="s">
        <v>153</v>
      </c>
      <c r="AC157" s="23" t="s">
        <v>153</v>
      </c>
      <c r="AD157" s="23" t="s">
        <v>153</v>
      </c>
      <c r="AE157" s="23" t="s">
        <v>153</v>
      </c>
      <c r="AF157" s="23" t="s">
        <v>153</v>
      </c>
      <c r="AG157" s="23" t="s">
        <v>153</v>
      </c>
      <c r="AH157" s="23" t="s">
        <v>153</v>
      </c>
      <c r="AI157" s="24" t="s">
        <v>153</v>
      </c>
      <c r="AJ157" s="23" t="s">
        <v>153</v>
      </c>
      <c r="AK157" s="23" t="s">
        <v>153</v>
      </c>
      <c r="AL157" s="23" t="s">
        <v>153</v>
      </c>
      <c r="AM157" s="23" t="s">
        <v>153</v>
      </c>
      <c r="AN157" s="23" t="s">
        <v>153</v>
      </c>
      <c r="AO157" s="23" t="s">
        <v>153</v>
      </c>
      <c r="AP157" s="23">
        <f>VALUE(0)</f>
        <v>0</v>
      </c>
      <c r="AQ157" s="23">
        <f>VALUE(0)</f>
        <v>0</v>
      </c>
      <c r="AR157" s="23">
        <f>VALUE(0)</f>
        <v>0</v>
      </c>
      <c r="AS157" s="23">
        <f>VALUE(0)</f>
        <v>0</v>
      </c>
      <c r="AT157" s="23">
        <f>VALUE(0)</f>
        <v>0</v>
      </c>
      <c r="AU157" s="23">
        <f>VALUE(0)</f>
        <v>0</v>
      </c>
      <c r="AV157" s="23">
        <f>VALUE(3)</f>
        <v>3</v>
      </c>
      <c r="AW157" s="23">
        <f>VALUE(0)</f>
        <v>0</v>
      </c>
      <c r="AX157" s="23">
        <f>VALUE(0)</f>
        <v>0</v>
      </c>
      <c r="AY157" s="23" t="s">
        <v>421</v>
      </c>
      <c r="AZ157" s="23">
        <f>VALUE(0)</f>
        <v>0</v>
      </c>
      <c r="BA157" s="23">
        <f>VALUE(0)</f>
        <v>0</v>
      </c>
      <c r="BB157" s="23">
        <f>VALUE(0)</f>
        <v>0</v>
      </c>
      <c r="BC157" s="23">
        <f>VALUE(0)</f>
        <v>0</v>
      </c>
      <c r="BD157" s="23">
        <f>VALUE(0)</f>
        <v>0</v>
      </c>
      <c r="BE157" s="23">
        <f>VALUE(0)</f>
        <v>0</v>
      </c>
      <c r="BF157" s="23">
        <f>VALUE(0)</f>
        <v>0</v>
      </c>
      <c r="BG157" s="23">
        <f>VALUE(0)</f>
        <v>0</v>
      </c>
      <c r="BH157" s="23">
        <f>VALUE(0)</f>
        <v>0</v>
      </c>
      <c r="BI157" s="23">
        <f>VALUE(0)</f>
        <v>0</v>
      </c>
      <c r="BJ157" s="23">
        <f>VALUE(0)</f>
        <v>0</v>
      </c>
      <c r="BK157" s="12">
        <f>$AX$157*24</f>
        <v>0</v>
      </c>
      <c r="BL157" s="12">
        <f>$AY$157*24</f>
        <v>5.85</v>
      </c>
      <c r="BM157" s="12">
        <f>$BJ$157*24</f>
        <v>0</v>
      </c>
      <c r="BN157" s="12">
        <f>VALUE($I$157)/100</f>
        <v>1</v>
      </c>
      <c r="BO157" s="12">
        <v>0</v>
      </c>
      <c r="BP157" s="12">
        <v>0</v>
      </c>
      <c r="BQ157" s="12">
        <v>0</v>
      </c>
      <c r="BR157" s="12">
        <v>0</v>
      </c>
      <c r="BS157" s="12">
        <v>0</v>
      </c>
      <c r="BT157" s="12">
        <v>0</v>
      </c>
      <c r="BU157" s="12">
        <v>0</v>
      </c>
      <c r="BV157" s="12">
        <v>0</v>
      </c>
      <c r="BW157" s="12">
        <v>0</v>
      </c>
      <c r="BX157" s="12">
        <v>0</v>
      </c>
      <c r="BY157" s="12">
        <v>0</v>
      </c>
      <c r="BZ157" s="12">
        <v>0</v>
      </c>
      <c r="CA157" s="12">
        <v>0</v>
      </c>
    </row>
    <row r="158" spans="1:79" hidden="1" x14ac:dyDescent="0.2">
      <c r="A158" s="12" t="s">
        <v>120</v>
      </c>
      <c r="B158" s="12" t="s">
        <v>124</v>
      </c>
      <c r="C158" s="12" t="s">
        <v>124</v>
      </c>
      <c r="D158" s="22" t="s">
        <v>390</v>
      </c>
      <c r="E158" s="22" t="s">
        <v>161</v>
      </c>
      <c r="F158" s="22" t="s">
        <v>837</v>
      </c>
      <c r="G158" s="22" t="s">
        <v>838</v>
      </c>
      <c r="H158" s="22" t="s">
        <v>150</v>
      </c>
      <c r="I158" s="22" t="s">
        <v>151</v>
      </c>
      <c r="J158" s="22" t="s">
        <v>162</v>
      </c>
      <c r="K158" s="22" t="s">
        <v>83</v>
      </c>
      <c r="L158" s="54" t="s">
        <v>153</v>
      </c>
      <c r="M158" s="23" t="s">
        <v>153</v>
      </c>
      <c r="N158" s="24" t="s">
        <v>153</v>
      </c>
      <c r="O158" s="23" t="s">
        <v>153</v>
      </c>
      <c r="P158" s="23" t="s">
        <v>153</v>
      </c>
      <c r="Q158" s="23" t="s">
        <v>153</v>
      </c>
      <c r="R158" s="23" t="s">
        <v>153</v>
      </c>
      <c r="S158" s="23" t="s">
        <v>153</v>
      </c>
      <c r="T158" s="23" t="s">
        <v>153</v>
      </c>
      <c r="U158" s="24" t="s">
        <v>153</v>
      </c>
      <c r="V158" s="54" t="s">
        <v>153</v>
      </c>
      <c r="W158" s="23" t="s">
        <v>153</v>
      </c>
      <c r="X158" s="23" t="s">
        <v>153</v>
      </c>
      <c r="Y158" s="23" t="s">
        <v>153</v>
      </c>
      <c r="Z158" s="23" t="s">
        <v>153</v>
      </c>
      <c r="AA158" s="23" t="s">
        <v>153</v>
      </c>
      <c r="AB158" s="24" t="s">
        <v>153</v>
      </c>
      <c r="AC158" s="23" t="s">
        <v>153</v>
      </c>
      <c r="AD158" s="23" t="s">
        <v>153</v>
      </c>
      <c r="AE158" s="23" t="s">
        <v>153</v>
      </c>
      <c r="AF158" s="23" t="s">
        <v>153</v>
      </c>
      <c r="AG158" s="23" t="s">
        <v>153</v>
      </c>
      <c r="AH158" s="23" t="s">
        <v>153</v>
      </c>
      <c r="AI158" s="24" t="s">
        <v>153</v>
      </c>
      <c r="AJ158" s="23" t="s">
        <v>153</v>
      </c>
      <c r="AK158" s="23" t="s">
        <v>153</v>
      </c>
      <c r="AL158" s="24" t="s">
        <v>156</v>
      </c>
      <c r="AM158" s="24" t="s">
        <v>156</v>
      </c>
      <c r="AN158" s="23" t="s">
        <v>153</v>
      </c>
      <c r="AO158" s="23" t="s">
        <v>153</v>
      </c>
      <c r="AP158" s="23">
        <f>VALUE(0)</f>
        <v>0</v>
      </c>
      <c r="AQ158" s="23">
        <f>VALUE(0)</f>
        <v>0</v>
      </c>
      <c r="AR158" s="23">
        <f>VALUE(0)</f>
        <v>0</v>
      </c>
      <c r="AS158" s="23">
        <f>VALUE(0)</f>
        <v>0</v>
      </c>
      <c r="AT158" s="23">
        <f>VALUE(0)</f>
        <v>0</v>
      </c>
      <c r="AU158" s="23">
        <f>VALUE(0)</f>
        <v>0</v>
      </c>
      <c r="AV158" s="23">
        <f>VALUE(2)</f>
        <v>2</v>
      </c>
      <c r="AW158" s="23">
        <f>VALUE(0)</f>
        <v>0</v>
      </c>
      <c r="AX158" s="23" t="s">
        <v>255</v>
      </c>
      <c r="AY158" s="23" t="s">
        <v>422</v>
      </c>
      <c r="AZ158" s="23">
        <f>VALUE(0)</f>
        <v>0</v>
      </c>
      <c r="BA158" s="23">
        <f>VALUE(0)</f>
        <v>0</v>
      </c>
      <c r="BB158" s="23">
        <f>VALUE(0)</f>
        <v>0</v>
      </c>
      <c r="BC158" s="23">
        <f>VALUE(0)</f>
        <v>0</v>
      </c>
      <c r="BD158" s="23">
        <f>VALUE(0)</f>
        <v>0</v>
      </c>
      <c r="BE158" s="23">
        <f>VALUE(0)</f>
        <v>0</v>
      </c>
      <c r="BF158" s="23">
        <f>VALUE(0)</f>
        <v>0</v>
      </c>
      <c r="BG158" s="23">
        <f>VALUE(0)</f>
        <v>0</v>
      </c>
      <c r="BH158" s="23">
        <f>VALUE(0)</f>
        <v>0</v>
      </c>
      <c r="BI158" s="23">
        <f>VALUE(0)</f>
        <v>0</v>
      </c>
      <c r="BJ158" s="23">
        <f>VALUE(0)</f>
        <v>0</v>
      </c>
      <c r="BK158" s="12">
        <f>$AX$158*24</f>
        <v>2.5</v>
      </c>
      <c r="BL158" s="12">
        <f>$AY$158*24</f>
        <v>3.8166666666666664</v>
      </c>
      <c r="BM158" s="12">
        <f>$BJ$158*24</f>
        <v>0</v>
      </c>
      <c r="BN158" s="12">
        <f>VALUE($I$158)/100</f>
        <v>1</v>
      </c>
      <c r="BO158" s="12">
        <v>0</v>
      </c>
      <c r="BP158" s="12">
        <v>0</v>
      </c>
      <c r="BQ158" s="12">
        <v>0</v>
      </c>
      <c r="BR158" s="12">
        <v>0</v>
      </c>
      <c r="BS158" s="12">
        <v>0</v>
      </c>
      <c r="BT158" s="12">
        <v>0</v>
      </c>
      <c r="BU158" s="12">
        <v>0</v>
      </c>
      <c r="BV158" s="12">
        <v>0</v>
      </c>
      <c r="BW158" s="12">
        <v>0</v>
      </c>
      <c r="BX158" s="12">
        <v>0</v>
      </c>
      <c r="BY158" s="12">
        <v>0</v>
      </c>
      <c r="BZ158" s="12">
        <v>0</v>
      </c>
      <c r="CA158" s="12">
        <v>0</v>
      </c>
    </row>
    <row r="159" spans="1:79" hidden="1" x14ac:dyDescent="0.2">
      <c r="A159" s="12" t="s">
        <v>120</v>
      </c>
      <c r="B159" s="12" t="s">
        <v>124</v>
      </c>
      <c r="C159" s="12" t="s">
        <v>124</v>
      </c>
      <c r="D159" s="22" t="s">
        <v>384</v>
      </c>
      <c r="E159" s="22" t="s">
        <v>161</v>
      </c>
      <c r="F159" s="22" t="s">
        <v>839</v>
      </c>
      <c r="G159" s="22" t="s">
        <v>840</v>
      </c>
      <c r="H159" s="22" t="s">
        <v>150</v>
      </c>
      <c r="I159" s="22" t="s">
        <v>151</v>
      </c>
      <c r="J159" s="22" t="s">
        <v>162</v>
      </c>
      <c r="K159" s="22" t="s">
        <v>83</v>
      </c>
      <c r="L159" s="54" t="s">
        <v>153</v>
      </c>
      <c r="M159" s="23" t="s">
        <v>153</v>
      </c>
      <c r="N159" s="24" t="s">
        <v>153</v>
      </c>
      <c r="O159" s="23" t="s">
        <v>153</v>
      </c>
      <c r="P159" s="23" t="s">
        <v>153</v>
      </c>
      <c r="Q159" s="23" t="s">
        <v>153</v>
      </c>
      <c r="R159" s="23" t="s">
        <v>153</v>
      </c>
      <c r="S159" s="23" t="s">
        <v>153</v>
      </c>
      <c r="T159" s="23" t="s">
        <v>153</v>
      </c>
      <c r="U159" s="24" t="s">
        <v>153</v>
      </c>
      <c r="V159" s="54" t="s">
        <v>153</v>
      </c>
      <c r="W159" s="23" t="s">
        <v>153</v>
      </c>
      <c r="X159" s="23" t="s">
        <v>153</v>
      </c>
      <c r="Y159" s="23" t="s">
        <v>153</v>
      </c>
      <c r="Z159" s="23" t="s">
        <v>153</v>
      </c>
      <c r="AA159" s="23" t="s">
        <v>153</v>
      </c>
      <c r="AB159" s="24" t="s">
        <v>153</v>
      </c>
      <c r="AC159" s="23" t="s">
        <v>153</v>
      </c>
      <c r="AD159" s="23" t="s">
        <v>153</v>
      </c>
      <c r="AE159" s="23" t="s">
        <v>153</v>
      </c>
      <c r="AF159" s="23" t="s">
        <v>153</v>
      </c>
      <c r="AG159" s="23" t="s">
        <v>153</v>
      </c>
      <c r="AH159" s="23" t="s">
        <v>153</v>
      </c>
      <c r="AI159" s="24" t="s">
        <v>153</v>
      </c>
      <c r="AJ159" s="23" t="s">
        <v>153</v>
      </c>
      <c r="AK159" s="23" t="s">
        <v>153</v>
      </c>
      <c r="AL159" s="23" t="s">
        <v>153</v>
      </c>
      <c r="AM159" s="23" t="s">
        <v>153</v>
      </c>
      <c r="AN159" s="24" t="s">
        <v>156</v>
      </c>
      <c r="AO159" s="24" t="s">
        <v>156</v>
      </c>
      <c r="AP159" s="23">
        <f>VALUE(0)</f>
        <v>0</v>
      </c>
      <c r="AQ159" s="23">
        <f>VALUE(0)</f>
        <v>0</v>
      </c>
      <c r="AR159" s="23">
        <f>VALUE(0)</f>
        <v>0</v>
      </c>
      <c r="AS159" s="23">
        <f>VALUE(0)</f>
        <v>0</v>
      </c>
      <c r="AT159" s="23">
        <f>VALUE(0)</f>
        <v>0</v>
      </c>
      <c r="AU159" s="23">
        <f>VALUE(0)</f>
        <v>0</v>
      </c>
      <c r="AV159" s="23">
        <f>VALUE(3)</f>
        <v>3</v>
      </c>
      <c r="AW159" s="23">
        <f>VALUE(0)</f>
        <v>0</v>
      </c>
      <c r="AX159" s="23" t="s">
        <v>171</v>
      </c>
      <c r="AY159" s="23" t="s">
        <v>1227</v>
      </c>
      <c r="AZ159" s="23">
        <f>VALUE(0)</f>
        <v>0</v>
      </c>
      <c r="BA159" s="23">
        <f>VALUE(0)</f>
        <v>0</v>
      </c>
      <c r="BB159" s="23">
        <f>VALUE(0)</f>
        <v>0</v>
      </c>
      <c r="BC159" s="23">
        <f>VALUE(0)</f>
        <v>0</v>
      </c>
      <c r="BD159" s="23">
        <f>VALUE(0)</f>
        <v>0</v>
      </c>
      <c r="BE159" s="23">
        <f>VALUE(0)</f>
        <v>0</v>
      </c>
      <c r="BF159" s="23">
        <f>VALUE(0)</f>
        <v>0</v>
      </c>
      <c r="BG159" s="23">
        <f>VALUE(0)</f>
        <v>0</v>
      </c>
      <c r="BH159" s="23">
        <f>VALUE(0)</f>
        <v>0</v>
      </c>
      <c r="BI159" s="23">
        <f>VALUE(0)</f>
        <v>0</v>
      </c>
      <c r="BJ159" s="23">
        <f>VALUE(0)</f>
        <v>0</v>
      </c>
      <c r="BK159" s="12">
        <f>$AX$159*24</f>
        <v>5.833333333333333</v>
      </c>
      <c r="BL159" s="12">
        <f>$AY$159*24</f>
        <v>44.9</v>
      </c>
      <c r="BM159" s="12">
        <f>$BJ$159*24</f>
        <v>0</v>
      </c>
      <c r="BN159" s="12">
        <f>VALUE($I$159)/100</f>
        <v>1</v>
      </c>
      <c r="BO159" s="12">
        <v>0</v>
      </c>
      <c r="BP159" s="12">
        <v>0</v>
      </c>
      <c r="BQ159" s="12">
        <v>0</v>
      </c>
      <c r="BR159" s="12">
        <v>0</v>
      </c>
      <c r="BS159" s="12">
        <v>0</v>
      </c>
      <c r="BT159" s="12">
        <v>0</v>
      </c>
      <c r="BU159" s="12">
        <v>0</v>
      </c>
      <c r="BV159" s="12">
        <v>0</v>
      </c>
      <c r="BW159" s="12">
        <v>0</v>
      </c>
      <c r="BX159" s="12">
        <v>0</v>
      </c>
      <c r="BY159" s="12">
        <v>0</v>
      </c>
      <c r="BZ159" s="12">
        <v>0</v>
      </c>
      <c r="CA159" s="12">
        <v>0</v>
      </c>
    </row>
    <row r="160" spans="1:79" hidden="1" x14ac:dyDescent="0.2">
      <c r="A160" s="12" t="s">
        <v>120</v>
      </c>
      <c r="B160" s="12" t="s">
        <v>124</v>
      </c>
      <c r="C160" s="12" t="s">
        <v>124</v>
      </c>
      <c r="D160" s="22" t="s">
        <v>423</v>
      </c>
      <c r="E160" s="22" t="s">
        <v>161</v>
      </c>
      <c r="F160" s="22" t="s">
        <v>1228</v>
      </c>
      <c r="G160" s="22" t="s">
        <v>841</v>
      </c>
      <c r="H160" s="22" t="s">
        <v>150</v>
      </c>
      <c r="I160" s="22" t="s">
        <v>151</v>
      </c>
      <c r="J160" s="22" t="s">
        <v>162</v>
      </c>
      <c r="K160" s="22" t="s">
        <v>83</v>
      </c>
      <c r="L160" s="54" t="s">
        <v>153</v>
      </c>
      <c r="M160" s="28" t="s">
        <v>163</v>
      </c>
      <c r="N160" s="24" t="s">
        <v>153</v>
      </c>
      <c r="O160" s="23" t="s">
        <v>153</v>
      </c>
      <c r="P160" s="23" t="s">
        <v>153</v>
      </c>
      <c r="Q160" s="23" t="s">
        <v>153</v>
      </c>
      <c r="R160" s="23" t="s">
        <v>153</v>
      </c>
      <c r="S160" s="23" t="s">
        <v>153</v>
      </c>
      <c r="T160" s="23" t="s">
        <v>153</v>
      </c>
      <c r="U160" s="24" t="s">
        <v>153</v>
      </c>
      <c r="V160" s="54" t="s">
        <v>153</v>
      </c>
      <c r="W160" s="23" t="s">
        <v>153</v>
      </c>
      <c r="X160" s="23" t="s">
        <v>153</v>
      </c>
      <c r="Y160" s="23" t="s">
        <v>153</v>
      </c>
      <c r="Z160" s="24" t="s">
        <v>156</v>
      </c>
      <c r="AA160" s="24" t="s">
        <v>156</v>
      </c>
      <c r="AB160" s="24" t="s">
        <v>153</v>
      </c>
      <c r="AC160" s="23" t="s">
        <v>153</v>
      </c>
      <c r="AD160" s="23" t="s">
        <v>153</v>
      </c>
      <c r="AE160" s="23" t="s">
        <v>153</v>
      </c>
      <c r="AF160" s="23" t="s">
        <v>153</v>
      </c>
      <c r="AG160" s="23" t="s">
        <v>153</v>
      </c>
      <c r="AH160" s="23" t="s">
        <v>153</v>
      </c>
      <c r="AI160" s="24" t="s">
        <v>153</v>
      </c>
      <c r="AJ160" s="23" t="s">
        <v>153</v>
      </c>
      <c r="AK160" s="23" t="s">
        <v>153</v>
      </c>
      <c r="AL160" s="23" t="s">
        <v>153</v>
      </c>
      <c r="AM160" s="23" t="s">
        <v>153</v>
      </c>
      <c r="AN160" s="23" t="s">
        <v>153</v>
      </c>
      <c r="AO160" s="23" t="s">
        <v>153</v>
      </c>
      <c r="AP160" s="23">
        <f>VALUE(3)</f>
        <v>3</v>
      </c>
      <c r="AQ160" s="23">
        <f>VALUE(0)</f>
        <v>0</v>
      </c>
      <c r="AR160" s="23">
        <f>VALUE(0)</f>
        <v>0</v>
      </c>
      <c r="AS160" s="23">
        <f>VALUE(0)</f>
        <v>0</v>
      </c>
      <c r="AT160" s="23">
        <f>VALUE(0)</f>
        <v>0</v>
      </c>
      <c r="AU160" s="23">
        <f>VALUE(1)</f>
        <v>1</v>
      </c>
      <c r="AV160" s="23">
        <f>VALUE(4)</f>
        <v>4</v>
      </c>
      <c r="AW160" s="23">
        <f>VALUE(0)</f>
        <v>0</v>
      </c>
      <c r="AX160" s="23" t="s">
        <v>176</v>
      </c>
      <c r="AY160" s="23" t="s">
        <v>424</v>
      </c>
      <c r="AZ160" s="23">
        <f>VALUE(0)</f>
        <v>0</v>
      </c>
      <c r="BA160" s="23">
        <f>VALUE(0)</f>
        <v>0</v>
      </c>
      <c r="BB160" s="23">
        <f>VALUE(0)</f>
        <v>0</v>
      </c>
      <c r="BC160" s="23">
        <f>VALUE(0)</f>
        <v>0</v>
      </c>
      <c r="BD160" s="23">
        <f>VALUE(0)</f>
        <v>0</v>
      </c>
      <c r="BE160" s="23">
        <f>VALUE(0)</f>
        <v>0</v>
      </c>
      <c r="BF160" s="23">
        <f>VALUE(0)</f>
        <v>0</v>
      </c>
      <c r="BG160" s="23">
        <f>VALUE(0)</f>
        <v>0</v>
      </c>
      <c r="BH160" s="23">
        <f>VALUE(0)</f>
        <v>0</v>
      </c>
      <c r="BI160" s="23">
        <f>VALUE(0)</f>
        <v>0</v>
      </c>
      <c r="BJ160" s="23">
        <f>VALUE(0)</f>
        <v>0</v>
      </c>
      <c r="BK160" s="12">
        <f>$AX$160*24</f>
        <v>0</v>
      </c>
      <c r="BL160" s="12">
        <f>$AY$160*24</f>
        <v>2.4666666666666668</v>
      </c>
      <c r="BM160" s="12">
        <f>$BJ$160*24</f>
        <v>0</v>
      </c>
      <c r="BN160" s="12">
        <f>VALUE($I$160)/100</f>
        <v>1</v>
      </c>
      <c r="BO160" s="12">
        <v>0</v>
      </c>
      <c r="BP160" s="12">
        <v>0</v>
      </c>
      <c r="BQ160" s="12">
        <v>0</v>
      </c>
      <c r="BR160" s="12">
        <v>0</v>
      </c>
      <c r="BS160" s="12">
        <v>0</v>
      </c>
      <c r="BT160" s="12">
        <v>0</v>
      </c>
      <c r="BU160" s="12">
        <v>0</v>
      </c>
      <c r="BV160" s="12">
        <v>0</v>
      </c>
      <c r="BW160" s="12">
        <v>0</v>
      </c>
      <c r="BX160" s="12">
        <v>0</v>
      </c>
      <c r="BY160" s="12">
        <v>0</v>
      </c>
      <c r="BZ160" s="12">
        <v>0</v>
      </c>
      <c r="CA160" s="12">
        <v>0</v>
      </c>
    </row>
    <row r="161" spans="1:79" hidden="1" x14ac:dyDescent="0.2">
      <c r="A161" s="12" t="s">
        <v>120</v>
      </c>
      <c r="B161" s="12" t="s">
        <v>124</v>
      </c>
      <c r="C161" s="12" t="s">
        <v>124</v>
      </c>
      <c r="D161" s="22" t="s">
        <v>380</v>
      </c>
      <c r="E161" s="22" t="s">
        <v>161</v>
      </c>
      <c r="F161" s="22" t="s">
        <v>842</v>
      </c>
      <c r="G161" s="22" t="s">
        <v>843</v>
      </c>
      <c r="H161" s="22" t="s">
        <v>166</v>
      </c>
      <c r="I161" s="22" t="s">
        <v>151</v>
      </c>
      <c r="J161" s="22" t="s">
        <v>162</v>
      </c>
      <c r="K161" s="22" t="s">
        <v>83</v>
      </c>
      <c r="L161" s="54" t="s">
        <v>153</v>
      </c>
      <c r="M161" s="23" t="s">
        <v>153</v>
      </c>
      <c r="N161" s="24" t="s">
        <v>153</v>
      </c>
      <c r="O161" s="23" t="s">
        <v>153</v>
      </c>
      <c r="P161" s="23" t="s">
        <v>153</v>
      </c>
      <c r="Q161" s="23" t="s">
        <v>153</v>
      </c>
      <c r="R161" s="23" t="s">
        <v>153</v>
      </c>
      <c r="S161" s="24" t="s">
        <v>156</v>
      </c>
      <c r="T161" s="24" t="s">
        <v>156</v>
      </c>
      <c r="U161" s="24" t="s">
        <v>153</v>
      </c>
      <c r="V161" s="54" t="s">
        <v>153</v>
      </c>
      <c r="W161" s="28" t="s">
        <v>163</v>
      </c>
      <c r="X161" s="28" t="s">
        <v>163</v>
      </c>
      <c r="Y161" s="28" t="s">
        <v>163</v>
      </c>
      <c r="Z161" s="28" t="s">
        <v>163</v>
      </c>
      <c r="AA161" s="28" t="s">
        <v>163</v>
      </c>
      <c r="AB161" s="24" t="s">
        <v>153</v>
      </c>
      <c r="AC161" s="23" t="s">
        <v>153</v>
      </c>
      <c r="AD161" s="23" t="s">
        <v>153</v>
      </c>
      <c r="AE161" s="23" t="s">
        <v>153</v>
      </c>
      <c r="AF161" s="23" t="s">
        <v>153</v>
      </c>
      <c r="AG161" s="23" t="s">
        <v>153</v>
      </c>
      <c r="AH161" s="23" t="s">
        <v>153</v>
      </c>
      <c r="AI161" s="24" t="s">
        <v>153</v>
      </c>
      <c r="AJ161" s="23" t="s">
        <v>153</v>
      </c>
      <c r="AK161" s="23" t="s">
        <v>153</v>
      </c>
      <c r="AL161" s="23" t="s">
        <v>153</v>
      </c>
      <c r="AM161" s="23" t="s">
        <v>153</v>
      </c>
      <c r="AN161" s="23" t="s">
        <v>153</v>
      </c>
      <c r="AO161" s="23" t="s">
        <v>153</v>
      </c>
      <c r="AP161" s="23">
        <f>VALUE(0)</f>
        <v>0</v>
      </c>
      <c r="AQ161" s="23">
        <f>VALUE(0)</f>
        <v>0</v>
      </c>
      <c r="AR161" s="23">
        <f>VALUE(0)</f>
        <v>0</v>
      </c>
      <c r="AS161" s="23">
        <f>VALUE(0)</f>
        <v>0</v>
      </c>
      <c r="AT161" s="23">
        <f>VALUE(0)</f>
        <v>0</v>
      </c>
      <c r="AU161" s="23">
        <f>VALUE(5)</f>
        <v>5</v>
      </c>
      <c r="AV161" s="23">
        <f>VALUE(0.5)</f>
        <v>0.5</v>
      </c>
      <c r="AW161" s="23">
        <f>VALUE(0)</f>
        <v>0</v>
      </c>
      <c r="AX161" s="23" t="s">
        <v>1229</v>
      </c>
      <c r="AY161" s="23">
        <f>VALUE(0)</f>
        <v>0</v>
      </c>
      <c r="AZ161" s="23">
        <f>VALUE(0)</f>
        <v>0</v>
      </c>
      <c r="BA161" s="23">
        <f>VALUE(0)</f>
        <v>0</v>
      </c>
      <c r="BB161" s="23">
        <f>VALUE(0)</f>
        <v>0</v>
      </c>
      <c r="BC161" s="23">
        <f>VALUE(0)</f>
        <v>0</v>
      </c>
      <c r="BD161" s="23">
        <f>VALUE(0)</f>
        <v>0</v>
      </c>
      <c r="BE161" s="23">
        <f>VALUE(0)</f>
        <v>0</v>
      </c>
      <c r="BF161" s="23">
        <f>VALUE(0)</f>
        <v>0</v>
      </c>
      <c r="BG161" s="23">
        <f>VALUE(0)</f>
        <v>0</v>
      </c>
      <c r="BH161" s="23">
        <f>VALUE(0)</f>
        <v>0</v>
      </c>
      <c r="BI161" s="23">
        <f>VALUE(0)</f>
        <v>0</v>
      </c>
      <c r="BJ161" s="23">
        <f>VALUE(0)</f>
        <v>0</v>
      </c>
      <c r="BK161" s="12">
        <f>$AX$161*24</f>
        <v>55.349999999999994</v>
      </c>
      <c r="BL161" s="12">
        <f>$AY$161*24</f>
        <v>0</v>
      </c>
      <c r="BM161" s="12">
        <f>$BJ$161*24</f>
        <v>0</v>
      </c>
      <c r="BN161" s="12">
        <f>VALUE($I$161)/100</f>
        <v>1</v>
      </c>
      <c r="BO161" s="12">
        <v>0</v>
      </c>
      <c r="BP161" s="12">
        <v>0</v>
      </c>
      <c r="BQ161" s="12">
        <v>0</v>
      </c>
      <c r="BR161" s="12">
        <v>0</v>
      </c>
      <c r="BS161" s="12">
        <v>0</v>
      </c>
      <c r="BT161" s="12">
        <v>0</v>
      </c>
      <c r="BU161" s="12">
        <v>0</v>
      </c>
      <c r="BV161" s="12">
        <v>0</v>
      </c>
      <c r="BW161" s="12">
        <v>0</v>
      </c>
      <c r="BX161" s="12">
        <v>0</v>
      </c>
      <c r="BY161" s="12">
        <v>0</v>
      </c>
      <c r="BZ161" s="12">
        <v>0</v>
      </c>
      <c r="CA161" s="12">
        <v>0</v>
      </c>
    </row>
    <row r="162" spans="1:79" hidden="1" x14ac:dyDescent="0.2">
      <c r="A162" s="12" t="s">
        <v>120</v>
      </c>
      <c r="B162" s="12" t="s">
        <v>124</v>
      </c>
      <c r="C162" s="12" t="s">
        <v>124</v>
      </c>
      <c r="D162" s="22" t="s">
        <v>426</v>
      </c>
      <c r="E162" s="22" t="s">
        <v>161</v>
      </c>
      <c r="F162" s="22" t="s">
        <v>844</v>
      </c>
      <c r="G162" s="22" t="s">
        <v>845</v>
      </c>
      <c r="H162" s="22" t="s">
        <v>150</v>
      </c>
      <c r="I162" s="22" t="s">
        <v>151</v>
      </c>
      <c r="J162" s="22" t="s">
        <v>162</v>
      </c>
      <c r="K162" s="22" t="s">
        <v>83</v>
      </c>
      <c r="L162" s="54" t="s">
        <v>153</v>
      </c>
      <c r="M162" s="23" t="s">
        <v>153</v>
      </c>
      <c r="N162" s="24" t="s">
        <v>153</v>
      </c>
      <c r="O162" s="23" t="s">
        <v>153</v>
      </c>
      <c r="P162" s="23" t="s">
        <v>153</v>
      </c>
      <c r="Q162" s="23" t="s">
        <v>153</v>
      </c>
      <c r="R162" s="23" t="s">
        <v>153</v>
      </c>
      <c r="S162" s="23" t="s">
        <v>153</v>
      </c>
      <c r="T162" s="23" t="s">
        <v>153</v>
      </c>
      <c r="U162" s="24" t="s">
        <v>153</v>
      </c>
      <c r="V162" s="54" t="s">
        <v>153</v>
      </c>
      <c r="W162" s="23" t="s">
        <v>153</v>
      </c>
      <c r="X162" s="23" t="s">
        <v>153</v>
      </c>
      <c r="Y162" s="23" t="s">
        <v>153</v>
      </c>
      <c r="Z162" s="23" t="s">
        <v>153</v>
      </c>
      <c r="AA162" s="23" t="s">
        <v>153</v>
      </c>
      <c r="AB162" s="24" t="s">
        <v>153</v>
      </c>
      <c r="AC162" s="24" t="s">
        <v>156</v>
      </c>
      <c r="AD162" s="24" t="s">
        <v>156</v>
      </c>
      <c r="AE162" s="23" t="s">
        <v>153</v>
      </c>
      <c r="AF162" s="23" t="s">
        <v>153</v>
      </c>
      <c r="AG162" s="23" t="s">
        <v>153</v>
      </c>
      <c r="AH162" s="23" t="s">
        <v>153</v>
      </c>
      <c r="AI162" s="24" t="s">
        <v>153</v>
      </c>
      <c r="AJ162" s="23" t="s">
        <v>153</v>
      </c>
      <c r="AK162" s="23" t="s">
        <v>153</v>
      </c>
      <c r="AL162" s="23" t="s">
        <v>153</v>
      </c>
      <c r="AM162" s="23" t="s">
        <v>153</v>
      </c>
      <c r="AN162" s="23" t="s">
        <v>153</v>
      </c>
      <c r="AO162" s="23" t="s">
        <v>153</v>
      </c>
      <c r="AP162" s="23">
        <f>VALUE(0)</f>
        <v>0</v>
      </c>
      <c r="AQ162" s="23">
        <f>VALUE(0)</f>
        <v>0</v>
      </c>
      <c r="AR162" s="23">
        <f>VALUE(0)</f>
        <v>0</v>
      </c>
      <c r="AS162" s="23">
        <f>VALUE(0)</f>
        <v>0</v>
      </c>
      <c r="AT162" s="23">
        <f>VALUE(0)</f>
        <v>0</v>
      </c>
      <c r="AU162" s="23">
        <f>VALUE(0)</f>
        <v>0</v>
      </c>
      <c r="AV162" s="23">
        <f>VALUE(6)</f>
        <v>6</v>
      </c>
      <c r="AW162" s="23">
        <f>VALUE(0)</f>
        <v>0</v>
      </c>
      <c r="AX162" s="23" t="s">
        <v>171</v>
      </c>
      <c r="AY162" s="23" t="s">
        <v>427</v>
      </c>
      <c r="AZ162" s="23">
        <f>VALUE(0)</f>
        <v>0</v>
      </c>
      <c r="BA162" s="23">
        <f>VALUE(0)</f>
        <v>0</v>
      </c>
      <c r="BB162" s="23">
        <f>VALUE(0)</f>
        <v>0</v>
      </c>
      <c r="BC162" s="23">
        <f>VALUE(0)</f>
        <v>0</v>
      </c>
      <c r="BD162" s="23">
        <f>VALUE(0)</f>
        <v>0</v>
      </c>
      <c r="BE162" s="23">
        <f>VALUE(0)</f>
        <v>0</v>
      </c>
      <c r="BF162" s="23">
        <f>VALUE(0)</f>
        <v>0</v>
      </c>
      <c r="BG162" s="23">
        <f>VALUE(0)</f>
        <v>0</v>
      </c>
      <c r="BH162" s="23">
        <f>VALUE(0)</f>
        <v>0</v>
      </c>
      <c r="BI162" s="23">
        <f>VALUE(0)</f>
        <v>0</v>
      </c>
      <c r="BJ162" s="23">
        <f>VALUE(0)</f>
        <v>0</v>
      </c>
      <c r="BK162" s="12">
        <f>$AX$162*24</f>
        <v>5.833333333333333</v>
      </c>
      <c r="BL162" s="12">
        <f>$AY$162*24</f>
        <v>9.0500000000000007</v>
      </c>
      <c r="BM162" s="12">
        <f>$BJ$162*24</f>
        <v>0</v>
      </c>
      <c r="BN162" s="12">
        <f>VALUE($I$162)/100</f>
        <v>1</v>
      </c>
      <c r="BO162" s="12">
        <v>0</v>
      </c>
      <c r="BP162" s="12">
        <v>0</v>
      </c>
      <c r="BQ162" s="12">
        <v>0</v>
      </c>
      <c r="BR162" s="12">
        <v>0</v>
      </c>
      <c r="BS162" s="12">
        <v>0</v>
      </c>
      <c r="BT162" s="12">
        <v>0</v>
      </c>
      <c r="BU162" s="12">
        <v>0</v>
      </c>
      <c r="BV162" s="12">
        <v>0</v>
      </c>
      <c r="BW162" s="12">
        <v>0</v>
      </c>
      <c r="BX162" s="12">
        <v>0</v>
      </c>
      <c r="BY162" s="12">
        <v>0</v>
      </c>
      <c r="BZ162" s="12">
        <v>0</v>
      </c>
      <c r="CA162" s="12">
        <v>0</v>
      </c>
    </row>
    <row r="163" spans="1:79" hidden="1" x14ac:dyDescent="0.2">
      <c r="A163" s="12" t="s">
        <v>120</v>
      </c>
      <c r="B163" s="12" t="s">
        <v>124</v>
      </c>
      <c r="C163" s="12" t="s">
        <v>124</v>
      </c>
      <c r="D163" s="22" t="s">
        <v>385</v>
      </c>
      <c r="E163" s="22" t="s">
        <v>161</v>
      </c>
      <c r="F163" s="22" t="s">
        <v>846</v>
      </c>
      <c r="G163" s="22" t="s">
        <v>847</v>
      </c>
      <c r="H163" s="22" t="s">
        <v>150</v>
      </c>
      <c r="I163" s="22" t="s">
        <v>151</v>
      </c>
      <c r="J163" s="22" t="s">
        <v>162</v>
      </c>
      <c r="K163" s="22" t="s">
        <v>83</v>
      </c>
      <c r="L163" s="54" t="s">
        <v>156</v>
      </c>
      <c r="M163" s="24" t="s">
        <v>156</v>
      </c>
      <c r="N163" s="24" t="s">
        <v>153</v>
      </c>
      <c r="O163" s="23" t="s">
        <v>153</v>
      </c>
      <c r="P163" s="23" t="s">
        <v>153</v>
      </c>
      <c r="Q163" s="23" t="s">
        <v>153</v>
      </c>
      <c r="R163" s="23" t="s">
        <v>153</v>
      </c>
      <c r="S163" s="23" t="s">
        <v>153</v>
      </c>
      <c r="T163" s="23" t="s">
        <v>153</v>
      </c>
      <c r="U163" s="24" t="s">
        <v>153</v>
      </c>
      <c r="V163" s="54" t="s">
        <v>153</v>
      </c>
      <c r="W163" s="23" t="s">
        <v>153</v>
      </c>
      <c r="X163" s="23" t="s">
        <v>153</v>
      </c>
      <c r="Y163" s="23" t="s">
        <v>153</v>
      </c>
      <c r="Z163" s="23" t="s">
        <v>153</v>
      </c>
      <c r="AA163" s="23" t="s">
        <v>153</v>
      </c>
      <c r="AB163" s="24" t="s">
        <v>153</v>
      </c>
      <c r="AC163" s="23" t="s">
        <v>153</v>
      </c>
      <c r="AD163" s="23" t="s">
        <v>153</v>
      </c>
      <c r="AE163" s="23" t="s">
        <v>153</v>
      </c>
      <c r="AF163" s="23" t="s">
        <v>153</v>
      </c>
      <c r="AG163" s="23" t="s">
        <v>153</v>
      </c>
      <c r="AH163" s="23" t="s">
        <v>153</v>
      </c>
      <c r="AI163" s="24" t="s">
        <v>153</v>
      </c>
      <c r="AJ163" s="24" t="s">
        <v>156</v>
      </c>
      <c r="AK163" s="24" t="s">
        <v>156</v>
      </c>
      <c r="AL163" s="28" t="s">
        <v>163</v>
      </c>
      <c r="AM163" s="28" t="s">
        <v>163</v>
      </c>
      <c r="AN163" s="28" t="s">
        <v>163</v>
      </c>
      <c r="AO163" s="28" t="s">
        <v>163</v>
      </c>
      <c r="AP163" s="23">
        <f>VALUE(3)</f>
        <v>3</v>
      </c>
      <c r="AQ163" s="23">
        <f>VALUE(0)</f>
        <v>0</v>
      </c>
      <c r="AR163" s="23">
        <f>VALUE(0)</f>
        <v>0</v>
      </c>
      <c r="AS163" s="23">
        <f>VALUE(0)</f>
        <v>0</v>
      </c>
      <c r="AT163" s="23">
        <f>VALUE(0)</f>
        <v>0</v>
      </c>
      <c r="AU163" s="23">
        <f>VALUE(4)</f>
        <v>4</v>
      </c>
      <c r="AV163" s="23">
        <f>VALUE(7)</f>
        <v>7</v>
      </c>
      <c r="AW163" s="23">
        <f>VALUE(0)</f>
        <v>0</v>
      </c>
      <c r="AX163" s="23" t="s">
        <v>445</v>
      </c>
      <c r="AY163" s="23" t="s">
        <v>1230</v>
      </c>
      <c r="AZ163" s="23">
        <f>VALUE(0)</f>
        <v>0</v>
      </c>
      <c r="BA163" s="23">
        <f>VALUE(0)</f>
        <v>0</v>
      </c>
      <c r="BB163" s="23">
        <f>VALUE(0)</f>
        <v>0</v>
      </c>
      <c r="BC163" s="23">
        <f>VALUE(0)</f>
        <v>0</v>
      </c>
      <c r="BD163" s="23">
        <f>VALUE(0)</f>
        <v>0</v>
      </c>
      <c r="BE163" s="23">
        <f>VALUE(0)</f>
        <v>0</v>
      </c>
      <c r="BF163" s="23">
        <f>VALUE(0)</f>
        <v>0</v>
      </c>
      <c r="BG163" s="23">
        <f>VALUE(0)</f>
        <v>0</v>
      </c>
      <c r="BH163" s="23">
        <f>VALUE(0)</f>
        <v>0</v>
      </c>
      <c r="BI163" s="23">
        <f>VALUE(0)</f>
        <v>0</v>
      </c>
      <c r="BJ163" s="23">
        <f>VALUE(0)</f>
        <v>0</v>
      </c>
      <c r="BK163" s="12">
        <f>$AX$163*24</f>
        <v>17.5</v>
      </c>
      <c r="BL163" s="12">
        <f>$AY$163*24</f>
        <v>22.033333333333335</v>
      </c>
      <c r="BM163" s="12">
        <f>$BJ$163*24</f>
        <v>0</v>
      </c>
      <c r="BN163" s="12">
        <f>VALUE($I$163)/100</f>
        <v>1</v>
      </c>
      <c r="BO163" s="12">
        <v>0</v>
      </c>
      <c r="BP163" s="12">
        <v>0</v>
      </c>
      <c r="BQ163" s="12">
        <v>0</v>
      </c>
      <c r="BR163" s="12">
        <v>0</v>
      </c>
      <c r="BS163" s="12">
        <v>0</v>
      </c>
      <c r="BT163" s="12">
        <v>0</v>
      </c>
      <c r="BU163" s="12">
        <v>0</v>
      </c>
      <c r="BV163" s="12">
        <v>0</v>
      </c>
      <c r="BW163" s="12">
        <v>0</v>
      </c>
      <c r="BX163" s="12">
        <v>0</v>
      </c>
      <c r="BY163" s="12">
        <v>0</v>
      </c>
      <c r="BZ163" s="12">
        <v>0</v>
      </c>
      <c r="CA163" s="12">
        <v>0</v>
      </c>
    </row>
    <row r="164" spans="1:79" hidden="1" x14ac:dyDescent="0.2">
      <c r="A164" s="12" t="s">
        <v>120</v>
      </c>
      <c r="B164" s="12" t="s">
        <v>124</v>
      </c>
      <c r="C164" s="12" t="s">
        <v>124</v>
      </c>
      <c r="D164" s="22" t="s">
        <v>378</v>
      </c>
      <c r="E164" s="22" t="s">
        <v>161</v>
      </c>
      <c r="F164" s="22" t="s">
        <v>848</v>
      </c>
      <c r="G164" s="22" t="s">
        <v>849</v>
      </c>
      <c r="H164" s="22" t="s">
        <v>150</v>
      </c>
      <c r="I164" s="22" t="s">
        <v>151</v>
      </c>
      <c r="J164" s="22" t="s">
        <v>162</v>
      </c>
      <c r="K164" s="22" t="s">
        <v>83</v>
      </c>
      <c r="L164" s="54" t="s">
        <v>153</v>
      </c>
      <c r="M164" s="23" t="s">
        <v>153</v>
      </c>
      <c r="N164" s="24" t="s">
        <v>153</v>
      </c>
      <c r="O164" s="23" t="s">
        <v>153</v>
      </c>
      <c r="P164" s="23" t="s">
        <v>153</v>
      </c>
      <c r="Q164" s="23" t="s">
        <v>153</v>
      </c>
      <c r="R164" s="23" t="s">
        <v>153</v>
      </c>
      <c r="S164" s="23" t="s">
        <v>153</v>
      </c>
      <c r="T164" s="23" t="s">
        <v>153</v>
      </c>
      <c r="U164" s="24" t="s">
        <v>153</v>
      </c>
      <c r="V164" s="54" t="s">
        <v>153</v>
      </c>
      <c r="W164" s="30" t="s">
        <v>29</v>
      </c>
      <c r="X164" s="24" t="s">
        <v>156</v>
      </c>
      <c r="Y164" s="24" t="s">
        <v>156</v>
      </c>
      <c r="Z164" s="28" t="s">
        <v>163</v>
      </c>
      <c r="AA164" s="28" t="s">
        <v>163</v>
      </c>
      <c r="AB164" s="24" t="s">
        <v>153</v>
      </c>
      <c r="AC164" s="28" t="s">
        <v>163</v>
      </c>
      <c r="AD164" s="28" t="s">
        <v>163</v>
      </c>
      <c r="AE164" s="28" t="s">
        <v>163</v>
      </c>
      <c r="AF164" s="28" t="s">
        <v>163</v>
      </c>
      <c r="AG164" s="28" t="s">
        <v>163</v>
      </c>
      <c r="AH164" s="28" t="s">
        <v>163</v>
      </c>
      <c r="AI164" s="24" t="s">
        <v>153</v>
      </c>
      <c r="AJ164" s="28" t="s">
        <v>163</v>
      </c>
      <c r="AK164" s="28" t="s">
        <v>163</v>
      </c>
      <c r="AL164" s="28" t="s">
        <v>163</v>
      </c>
      <c r="AM164" s="28" t="s">
        <v>163</v>
      </c>
      <c r="AN164" s="28" t="s">
        <v>163</v>
      </c>
      <c r="AO164" s="28" t="s">
        <v>163</v>
      </c>
      <c r="AP164" s="23">
        <f>VALUE(0)</f>
        <v>0</v>
      </c>
      <c r="AQ164" s="23">
        <f>VALUE(0)</f>
        <v>0</v>
      </c>
      <c r="AR164" s="23">
        <f>VALUE(0)</f>
        <v>0</v>
      </c>
      <c r="AS164" s="23">
        <f>VALUE(0)</f>
        <v>0</v>
      </c>
      <c r="AT164" s="23">
        <f>VALUE(0)</f>
        <v>0</v>
      </c>
      <c r="AU164" s="23">
        <f>VALUE(14)</f>
        <v>14</v>
      </c>
      <c r="AV164" s="23">
        <f>VALUE(0)</f>
        <v>0</v>
      </c>
      <c r="AW164" s="23">
        <f>VALUE(0)</f>
        <v>0</v>
      </c>
      <c r="AX164" s="23" t="s">
        <v>171</v>
      </c>
      <c r="AY164" s="23" t="s">
        <v>428</v>
      </c>
      <c r="AZ164" s="23">
        <f>VALUE(0)</f>
        <v>0</v>
      </c>
      <c r="BA164" s="23">
        <f>VALUE(0)</f>
        <v>0</v>
      </c>
      <c r="BB164" s="23">
        <f>VALUE(0)</f>
        <v>0</v>
      </c>
      <c r="BC164" s="23">
        <f>VALUE(0)</f>
        <v>0</v>
      </c>
      <c r="BD164" s="23">
        <f>VALUE(0)</f>
        <v>0</v>
      </c>
      <c r="BE164" s="23">
        <f>VALUE(0)</f>
        <v>0</v>
      </c>
      <c r="BF164" s="23">
        <f>VALUE(0)</f>
        <v>0</v>
      </c>
      <c r="BG164" s="23">
        <f>VALUE(0)</f>
        <v>0</v>
      </c>
      <c r="BH164" s="23">
        <f>VALUE(0)</f>
        <v>0</v>
      </c>
      <c r="BI164" s="23">
        <f>VALUE(0)</f>
        <v>0</v>
      </c>
      <c r="BJ164" s="23">
        <f>VALUE(0)</f>
        <v>0</v>
      </c>
      <c r="BK164" s="12">
        <f>$AX$164*24</f>
        <v>5.833333333333333</v>
      </c>
      <c r="BL164" s="12">
        <f>$AY$164*24</f>
        <v>8.7666666666666675</v>
      </c>
      <c r="BM164" s="12">
        <f>$BJ$164*24</f>
        <v>0</v>
      </c>
      <c r="BN164" s="12">
        <f>VALUE($I$164)/100</f>
        <v>1</v>
      </c>
      <c r="BO164" s="12">
        <v>0</v>
      </c>
      <c r="BP164" s="12">
        <v>0</v>
      </c>
      <c r="BQ164" s="12">
        <v>0</v>
      </c>
      <c r="BR164" s="12">
        <v>0</v>
      </c>
      <c r="BS164" s="12">
        <v>0</v>
      </c>
      <c r="BT164" s="12">
        <v>0</v>
      </c>
      <c r="BU164" s="12">
        <v>0</v>
      </c>
      <c r="BV164" s="12">
        <v>0</v>
      </c>
      <c r="BW164" s="12">
        <v>0</v>
      </c>
      <c r="BX164" s="12">
        <v>0</v>
      </c>
      <c r="BY164" s="12">
        <v>0</v>
      </c>
      <c r="BZ164" s="12">
        <v>0</v>
      </c>
      <c r="CA164" s="12">
        <v>0</v>
      </c>
    </row>
    <row r="165" spans="1:79" hidden="1" x14ac:dyDescent="0.2">
      <c r="A165" s="12" t="s">
        <v>120</v>
      </c>
      <c r="B165" s="12" t="s">
        <v>124</v>
      </c>
      <c r="C165" s="12" t="s">
        <v>124</v>
      </c>
      <c r="D165" s="22" t="s">
        <v>378</v>
      </c>
      <c r="E165" s="22" t="s">
        <v>161</v>
      </c>
      <c r="F165" s="22" t="s">
        <v>1231</v>
      </c>
      <c r="G165" s="22" t="s">
        <v>850</v>
      </c>
      <c r="H165" s="22" t="s">
        <v>191</v>
      </c>
      <c r="I165" s="22" t="s">
        <v>151</v>
      </c>
      <c r="J165" s="22" t="s">
        <v>162</v>
      </c>
      <c r="K165" s="22" t="s">
        <v>83</v>
      </c>
      <c r="L165" s="54" t="s">
        <v>153</v>
      </c>
      <c r="M165" s="27" t="s">
        <v>153</v>
      </c>
      <c r="N165" s="24" t="s">
        <v>153</v>
      </c>
      <c r="O165" s="27" t="s">
        <v>153</v>
      </c>
      <c r="P165" s="27" t="s">
        <v>153</v>
      </c>
      <c r="Q165" s="27" t="s">
        <v>153</v>
      </c>
      <c r="R165" s="23" t="s">
        <v>1232</v>
      </c>
      <c r="S165" s="23" t="s">
        <v>1232</v>
      </c>
      <c r="T165" s="23" t="s">
        <v>1232</v>
      </c>
      <c r="U165" s="24" t="s">
        <v>153</v>
      </c>
      <c r="V165" s="54" t="s">
        <v>153</v>
      </c>
      <c r="W165" s="23" t="s">
        <v>153</v>
      </c>
      <c r="X165" s="23" t="s">
        <v>153</v>
      </c>
      <c r="Y165" s="23" t="s">
        <v>153</v>
      </c>
      <c r="Z165" s="23" t="s">
        <v>153</v>
      </c>
      <c r="AA165" s="23" t="s">
        <v>153</v>
      </c>
      <c r="AB165" s="24" t="s">
        <v>153</v>
      </c>
      <c r="AC165" s="23" t="s">
        <v>153</v>
      </c>
      <c r="AD165" s="23" t="s">
        <v>153</v>
      </c>
      <c r="AE165" s="23" t="s">
        <v>153</v>
      </c>
      <c r="AF165" s="23" t="s">
        <v>153</v>
      </c>
      <c r="AG165" s="23" t="s">
        <v>153</v>
      </c>
      <c r="AH165" s="23" t="s">
        <v>153</v>
      </c>
      <c r="AI165" s="24" t="s">
        <v>153</v>
      </c>
      <c r="AJ165" s="23" t="s">
        <v>153</v>
      </c>
      <c r="AK165" s="23" t="s">
        <v>153</v>
      </c>
      <c r="AL165" s="23" t="s">
        <v>153</v>
      </c>
      <c r="AM165" s="23" t="s">
        <v>153</v>
      </c>
      <c r="AN165" s="23" t="s">
        <v>153</v>
      </c>
      <c r="AO165" s="23" t="s">
        <v>153</v>
      </c>
      <c r="AP165" s="23">
        <f>VALUE(0)</f>
        <v>0</v>
      </c>
      <c r="AQ165" s="23">
        <f>VALUE(0)</f>
        <v>0</v>
      </c>
      <c r="AR165" s="23">
        <f>VALUE(0)</f>
        <v>0</v>
      </c>
      <c r="AS165" s="23">
        <f>VALUE(0)</f>
        <v>0</v>
      </c>
      <c r="AT165" s="23">
        <f>VALUE(0)</f>
        <v>0</v>
      </c>
      <c r="AU165" s="23">
        <f>VALUE(0)</f>
        <v>0</v>
      </c>
      <c r="AV165" s="23">
        <f>VALUE(0)</f>
        <v>0</v>
      </c>
      <c r="AW165" s="23">
        <f>VALUE(0)</f>
        <v>0</v>
      </c>
      <c r="AX165" s="23">
        <f>VALUE(0)</f>
        <v>0</v>
      </c>
      <c r="AY165" s="23">
        <f>VALUE(0)</f>
        <v>0</v>
      </c>
      <c r="AZ165" s="23">
        <f>VALUE(0)</f>
        <v>0</v>
      </c>
      <c r="BA165" s="23">
        <f>VALUE(0)</f>
        <v>0</v>
      </c>
      <c r="BB165" s="23">
        <f>VALUE(0)</f>
        <v>0</v>
      </c>
      <c r="BC165" s="23">
        <f>VALUE(0)</f>
        <v>0</v>
      </c>
      <c r="BD165" s="23">
        <f>VALUE(3)</f>
        <v>3</v>
      </c>
      <c r="BE165" s="23">
        <f>VALUE(0)</f>
        <v>0</v>
      </c>
      <c r="BF165" s="23">
        <f>VALUE(0)</f>
        <v>0</v>
      </c>
      <c r="BG165" s="23">
        <f>VALUE(0)</f>
        <v>0</v>
      </c>
      <c r="BH165" s="23">
        <f>VALUE(0)</f>
        <v>0</v>
      </c>
      <c r="BI165" s="23">
        <f>VALUE(0)</f>
        <v>0</v>
      </c>
      <c r="BJ165" s="23">
        <f>VALUE(0)</f>
        <v>0</v>
      </c>
      <c r="BK165" s="12">
        <f>$AX$165*24</f>
        <v>0</v>
      </c>
      <c r="BL165" s="12">
        <f>$AY$165*24</f>
        <v>0</v>
      </c>
      <c r="BM165" s="12">
        <f>$BJ$165*24</f>
        <v>0</v>
      </c>
      <c r="BN165" s="12">
        <f>VALUE($I$165)/100</f>
        <v>1</v>
      </c>
      <c r="BO165" s="12">
        <v>0</v>
      </c>
      <c r="BP165" s="12">
        <v>0</v>
      </c>
      <c r="BQ165" s="12">
        <v>0</v>
      </c>
      <c r="BR165" s="12">
        <v>0</v>
      </c>
      <c r="BS165" s="12">
        <v>0</v>
      </c>
      <c r="BT165" s="12">
        <v>0</v>
      </c>
      <c r="BU165" s="12">
        <v>0</v>
      </c>
      <c r="BV165" s="12">
        <v>0</v>
      </c>
      <c r="BW165" s="12">
        <v>0</v>
      </c>
      <c r="BX165" s="12">
        <v>0</v>
      </c>
      <c r="BY165" s="12">
        <v>0</v>
      </c>
      <c r="BZ165" s="12">
        <v>0</v>
      </c>
      <c r="CA165" s="12">
        <v>0</v>
      </c>
    </row>
    <row r="166" spans="1:79" hidden="1" x14ac:dyDescent="0.2">
      <c r="A166" s="12" t="s">
        <v>120</v>
      </c>
      <c r="B166" s="12" t="s">
        <v>124</v>
      </c>
      <c r="C166" s="12" t="s">
        <v>124</v>
      </c>
      <c r="D166" s="22" t="s">
        <v>389</v>
      </c>
      <c r="E166" s="22" t="s">
        <v>161</v>
      </c>
      <c r="F166" s="22" t="s">
        <v>851</v>
      </c>
      <c r="G166" s="22" t="s">
        <v>852</v>
      </c>
      <c r="H166" s="22" t="s">
        <v>279</v>
      </c>
      <c r="I166" s="22" t="s">
        <v>151</v>
      </c>
      <c r="J166" s="22" t="s">
        <v>162</v>
      </c>
      <c r="K166" s="22" t="s">
        <v>83</v>
      </c>
      <c r="L166" s="54" t="s">
        <v>153</v>
      </c>
      <c r="M166" s="27" t="s">
        <v>153</v>
      </c>
      <c r="N166" s="24" t="s">
        <v>153</v>
      </c>
      <c r="O166" s="23" t="s">
        <v>153</v>
      </c>
      <c r="P166" s="23" t="s">
        <v>153</v>
      </c>
      <c r="Q166" s="25" t="s">
        <v>1233</v>
      </c>
      <c r="R166" s="25" t="s">
        <v>1233</v>
      </c>
      <c r="S166" s="23" t="s">
        <v>380</v>
      </c>
      <c r="T166" s="23" t="s">
        <v>380</v>
      </c>
      <c r="U166" s="24" t="s">
        <v>153</v>
      </c>
      <c r="V166" s="54" t="s">
        <v>153</v>
      </c>
      <c r="W166" s="23" t="s">
        <v>380</v>
      </c>
      <c r="X166" s="23" t="s">
        <v>380</v>
      </c>
      <c r="Y166" s="23" t="s">
        <v>380</v>
      </c>
      <c r="Z166" s="23" t="s">
        <v>380</v>
      </c>
      <c r="AA166" s="23" t="s">
        <v>380</v>
      </c>
      <c r="AB166" s="24" t="s">
        <v>153</v>
      </c>
      <c r="AC166" s="23" t="s">
        <v>388</v>
      </c>
      <c r="AD166" s="23" t="s">
        <v>388</v>
      </c>
      <c r="AE166" s="23" t="s">
        <v>388</v>
      </c>
      <c r="AF166" s="23" t="s">
        <v>388</v>
      </c>
      <c r="AG166" s="23" t="s">
        <v>388</v>
      </c>
      <c r="AH166" s="23" t="s">
        <v>388</v>
      </c>
      <c r="AI166" s="24" t="s">
        <v>153</v>
      </c>
      <c r="AJ166" s="23" t="s">
        <v>388</v>
      </c>
      <c r="AK166" s="23" t="s">
        <v>388</v>
      </c>
      <c r="AL166" s="23" t="s">
        <v>388</v>
      </c>
      <c r="AM166" s="23" t="s">
        <v>388</v>
      </c>
      <c r="AN166" s="23" t="s">
        <v>388</v>
      </c>
      <c r="AO166" s="23" t="s">
        <v>388</v>
      </c>
      <c r="AP166" s="23">
        <f>VALUE(0)</f>
        <v>0</v>
      </c>
      <c r="AQ166" s="23">
        <f>VALUE(0)</f>
        <v>0</v>
      </c>
      <c r="AR166" s="23">
        <f>VALUE(0)</f>
        <v>0</v>
      </c>
      <c r="AS166" s="23">
        <f>VALUE(0)</f>
        <v>0</v>
      </c>
      <c r="AT166" s="23">
        <f>VALUE(0)</f>
        <v>0</v>
      </c>
      <c r="AU166" s="23">
        <f>VALUE(0)</f>
        <v>0</v>
      </c>
      <c r="AV166" s="23">
        <f>VALUE(0)</f>
        <v>0</v>
      </c>
      <c r="AW166" s="23">
        <f>VALUE(0)</f>
        <v>0</v>
      </c>
      <c r="AX166" s="23">
        <f>VALUE(0)</f>
        <v>0</v>
      </c>
      <c r="AY166" s="23">
        <f>VALUE(0)</f>
        <v>0</v>
      </c>
      <c r="AZ166" s="23">
        <f>VALUE(0)</f>
        <v>0</v>
      </c>
      <c r="BA166" s="23">
        <f>VALUE(0)</f>
        <v>0</v>
      </c>
      <c r="BB166" s="23">
        <f>VALUE(0)</f>
        <v>0</v>
      </c>
      <c r="BC166" s="23">
        <f>VALUE(0)</f>
        <v>0</v>
      </c>
      <c r="BD166" s="23">
        <f>VALUE(2)</f>
        <v>2</v>
      </c>
      <c r="BE166" s="23">
        <f>VALUE(0)</f>
        <v>0</v>
      </c>
      <c r="BF166" s="23">
        <f>VALUE(0)</f>
        <v>0</v>
      </c>
      <c r="BG166" s="23">
        <f>VALUE(0)</f>
        <v>0</v>
      </c>
      <c r="BH166" s="23">
        <f>VALUE(0)</f>
        <v>0</v>
      </c>
      <c r="BI166" s="23">
        <f>VALUE(0)</f>
        <v>0</v>
      </c>
      <c r="BJ166" s="23">
        <f>VALUE(0)</f>
        <v>0</v>
      </c>
      <c r="BK166" s="12">
        <f>$AX$166*24</f>
        <v>0</v>
      </c>
      <c r="BL166" s="12">
        <f>$AY$166*24</f>
        <v>0</v>
      </c>
      <c r="BM166" s="12">
        <f>$BJ$166*24</f>
        <v>0</v>
      </c>
      <c r="BN166" s="12">
        <f>VALUE($I$166)/100</f>
        <v>1</v>
      </c>
      <c r="BO166" s="12">
        <v>0</v>
      </c>
      <c r="BP166" s="12">
        <v>0</v>
      </c>
      <c r="BQ166" s="12">
        <v>0</v>
      </c>
      <c r="BR166" s="12">
        <v>2</v>
      </c>
      <c r="BS166" s="12">
        <v>0</v>
      </c>
      <c r="BT166" s="12">
        <v>0</v>
      </c>
      <c r="BU166" s="12">
        <v>0</v>
      </c>
      <c r="BV166" s="12">
        <v>0</v>
      </c>
      <c r="BW166" s="12">
        <v>0</v>
      </c>
      <c r="BX166" s="12">
        <v>0</v>
      </c>
      <c r="BY166" s="12">
        <v>0</v>
      </c>
      <c r="BZ166" s="12">
        <v>0</v>
      </c>
      <c r="CA166" s="12">
        <v>0</v>
      </c>
    </row>
    <row r="167" spans="1:79" hidden="1" x14ac:dyDescent="0.2">
      <c r="A167" s="12" t="s">
        <v>120</v>
      </c>
      <c r="B167" s="12" t="s">
        <v>124</v>
      </c>
      <c r="C167" s="12" t="s">
        <v>124</v>
      </c>
      <c r="D167" s="22" t="s">
        <v>379</v>
      </c>
      <c r="E167" s="22" t="s">
        <v>161</v>
      </c>
      <c r="F167" s="22" t="s">
        <v>853</v>
      </c>
      <c r="G167" s="22" t="s">
        <v>854</v>
      </c>
      <c r="H167" s="22" t="s">
        <v>166</v>
      </c>
      <c r="I167" s="22" t="s">
        <v>151</v>
      </c>
      <c r="J167" s="22" t="s">
        <v>162</v>
      </c>
      <c r="K167" s="22" t="s">
        <v>83</v>
      </c>
      <c r="L167" s="54" t="s">
        <v>153</v>
      </c>
      <c r="M167" s="23" t="s">
        <v>153</v>
      </c>
      <c r="N167" s="24" t="s">
        <v>153</v>
      </c>
      <c r="O167" s="23" t="s">
        <v>153</v>
      </c>
      <c r="P167" s="23" t="s">
        <v>153</v>
      </c>
      <c r="Q167" s="23" t="s">
        <v>153</v>
      </c>
      <c r="R167" s="23" t="s">
        <v>153</v>
      </c>
      <c r="S167" s="23" t="s">
        <v>153</v>
      </c>
      <c r="T167" s="23" t="s">
        <v>153</v>
      </c>
      <c r="U167" s="24" t="s">
        <v>153</v>
      </c>
      <c r="V167" s="54" t="s">
        <v>153</v>
      </c>
      <c r="W167" s="23" t="s">
        <v>153</v>
      </c>
      <c r="X167" s="23" t="s">
        <v>153</v>
      </c>
      <c r="Y167" s="23" t="s">
        <v>153</v>
      </c>
      <c r="Z167" s="23" t="s">
        <v>153</v>
      </c>
      <c r="AA167" s="23" t="s">
        <v>153</v>
      </c>
      <c r="AB167" s="24" t="s">
        <v>153</v>
      </c>
      <c r="AC167" s="23" t="s">
        <v>153</v>
      </c>
      <c r="AD167" s="23" t="s">
        <v>153</v>
      </c>
      <c r="AE167" s="23" t="s">
        <v>153</v>
      </c>
      <c r="AF167" s="23" t="s">
        <v>153</v>
      </c>
      <c r="AG167" s="23" t="s">
        <v>153</v>
      </c>
      <c r="AH167" s="23" t="s">
        <v>153</v>
      </c>
      <c r="AI167" s="24" t="s">
        <v>153</v>
      </c>
      <c r="AJ167" s="23" t="s">
        <v>153</v>
      </c>
      <c r="AK167" s="23" t="s">
        <v>153</v>
      </c>
      <c r="AL167" s="23" t="s">
        <v>153</v>
      </c>
      <c r="AM167" s="23" t="s">
        <v>153</v>
      </c>
      <c r="AN167" s="24" t="s">
        <v>156</v>
      </c>
      <c r="AO167" s="24" t="s">
        <v>156</v>
      </c>
      <c r="AP167" s="23">
        <f>VALUE(1)</f>
        <v>1</v>
      </c>
      <c r="AQ167" s="23">
        <f>VALUE(0)</f>
        <v>0</v>
      </c>
      <c r="AR167" s="23">
        <f>VALUE(0)</f>
        <v>0</v>
      </c>
      <c r="AS167" s="23">
        <f>VALUE(0)</f>
        <v>0</v>
      </c>
      <c r="AT167" s="23">
        <f>VALUE(0)</f>
        <v>0</v>
      </c>
      <c r="AU167" s="23">
        <f>VALUE(0)</f>
        <v>0</v>
      </c>
      <c r="AV167" s="23">
        <f>VALUE(1)</f>
        <v>1</v>
      </c>
      <c r="AW167" s="23">
        <f>VALUE(3)</f>
        <v>3</v>
      </c>
      <c r="AX167" s="23" t="s">
        <v>1234</v>
      </c>
      <c r="AY167" s="23">
        <f>VALUE(0)</f>
        <v>0</v>
      </c>
      <c r="AZ167" s="23">
        <f>VALUE(0)</f>
        <v>0</v>
      </c>
      <c r="BA167" s="23">
        <f>VALUE(0)</f>
        <v>0</v>
      </c>
      <c r="BB167" s="23">
        <f>VALUE(0)</f>
        <v>0</v>
      </c>
      <c r="BC167" s="23">
        <f>VALUE(0)</f>
        <v>0</v>
      </c>
      <c r="BD167" s="23">
        <f>VALUE(0)</f>
        <v>0</v>
      </c>
      <c r="BE167" s="23">
        <f>VALUE(0)</f>
        <v>0</v>
      </c>
      <c r="BF167" s="23">
        <f>VALUE(0)</f>
        <v>0</v>
      </c>
      <c r="BG167" s="23">
        <f>VALUE(0)</f>
        <v>0</v>
      </c>
      <c r="BH167" s="23">
        <f>VALUE(0)</f>
        <v>0</v>
      </c>
      <c r="BI167" s="23">
        <f>VALUE(0)</f>
        <v>0</v>
      </c>
      <c r="BJ167" s="23">
        <f>VALUE(0)</f>
        <v>0</v>
      </c>
      <c r="BK167" s="12">
        <f>$AX$167*24</f>
        <v>9.8833333333333329</v>
      </c>
      <c r="BL167" s="12">
        <f>$AY$167*24</f>
        <v>0</v>
      </c>
      <c r="BM167" s="12">
        <f>$BJ$167*24</f>
        <v>0</v>
      </c>
      <c r="BN167" s="12">
        <f>VALUE($I$167)/100</f>
        <v>1</v>
      </c>
      <c r="BO167" s="12">
        <v>0</v>
      </c>
      <c r="BP167" s="12">
        <v>0</v>
      </c>
      <c r="BQ167" s="12">
        <v>0</v>
      </c>
      <c r="BR167" s="12">
        <v>0</v>
      </c>
      <c r="BS167" s="12">
        <v>0</v>
      </c>
      <c r="BT167" s="12">
        <v>0</v>
      </c>
      <c r="BU167" s="12">
        <v>0</v>
      </c>
      <c r="BV167" s="12">
        <v>0</v>
      </c>
      <c r="BW167" s="12">
        <v>0</v>
      </c>
      <c r="BX167" s="12">
        <v>0</v>
      </c>
      <c r="BY167" s="12">
        <v>0</v>
      </c>
      <c r="BZ167" s="12">
        <v>0</v>
      </c>
      <c r="CA167" s="12">
        <v>0</v>
      </c>
    </row>
    <row r="168" spans="1:79" hidden="1" x14ac:dyDescent="0.2">
      <c r="A168" s="12" t="s">
        <v>120</v>
      </c>
      <c r="B168" s="12" t="s">
        <v>124</v>
      </c>
      <c r="C168" s="12" t="s">
        <v>124</v>
      </c>
      <c r="D168" s="22" t="s">
        <v>429</v>
      </c>
      <c r="E168" s="22" t="s">
        <v>161</v>
      </c>
      <c r="F168" s="22" t="s">
        <v>1235</v>
      </c>
      <c r="G168" s="22" t="s">
        <v>855</v>
      </c>
      <c r="H168" s="22" t="s">
        <v>166</v>
      </c>
      <c r="I168" s="22" t="s">
        <v>151</v>
      </c>
      <c r="J168" s="22" t="s">
        <v>162</v>
      </c>
      <c r="K168" s="22" t="s">
        <v>83</v>
      </c>
      <c r="L168" s="54" t="s">
        <v>153</v>
      </c>
      <c r="M168" s="29" t="s">
        <v>1175</v>
      </c>
      <c r="N168" s="24" t="s">
        <v>153</v>
      </c>
      <c r="O168" s="29" t="s">
        <v>1175</v>
      </c>
      <c r="P168" s="29" t="s">
        <v>1175</v>
      </c>
      <c r="Q168" s="29" t="s">
        <v>1175</v>
      </c>
      <c r="R168" s="29" t="s">
        <v>1175</v>
      </c>
      <c r="S168" s="29" t="s">
        <v>1175</v>
      </c>
      <c r="T168" s="29" t="s">
        <v>1175</v>
      </c>
      <c r="U168" s="24" t="s">
        <v>153</v>
      </c>
      <c r="V168" s="54" t="s">
        <v>153</v>
      </c>
      <c r="W168" s="29" t="s">
        <v>1175</v>
      </c>
      <c r="X168" s="29" t="s">
        <v>1175</v>
      </c>
      <c r="Y168" s="29" t="s">
        <v>1175</v>
      </c>
      <c r="Z168" s="29" t="s">
        <v>1175</v>
      </c>
      <c r="AA168" s="29" t="s">
        <v>1175</v>
      </c>
      <c r="AB168" s="24" t="s">
        <v>153</v>
      </c>
      <c r="AC168" s="23" t="s">
        <v>153</v>
      </c>
      <c r="AD168" s="23" t="s">
        <v>153</v>
      </c>
      <c r="AE168" s="23" t="s">
        <v>153</v>
      </c>
      <c r="AF168" s="23" t="s">
        <v>153</v>
      </c>
      <c r="AG168" s="24" t="s">
        <v>156</v>
      </c>
      <c r="AH168" s="24" t="s">
        <v>156</v>
      </c>
      <c r="AI168" s="24" t="s">
        <v>153</v>
      </c>
      <c r="AJ168" s="23" t="s">
        <v>153</v>
      </c>
      <c r="AK168" s="23" t="s">
        <v>153</v>
      </c>
      <c r="AL168" s="23" t="s">
        <v>153</v>
      </c>
      <c r="AM168" s="23" t="s">
        <v>153</v>
      </c>
      <c r="AN168" s="23" t="s">
        <v>153</v>
      </c>
      <c r="AO168" s="23" t="s">
        <v>153</v>
      </c>
      <c r="AP168" s="23">
        <f>VALUE(0)</f>
        <v>0</v>
      </c>
      <c r="AQ168" s="23">
        <f>VALUE(0)</f>
        <v>0</v>
      </c>
      <c r="AR168" s="23">
        <f>VALUE(12)</f>
        <v>12</v>
      </c>
      <c r="AS168" s="23">
        <f>VALUE(0)</f>
        <v>0</v>
      </c>
      <c r="AT168" s="23">
        <f>VALUE(0)</f>
        <v>0</v>
      </c>
      <c r="AU168" s="23">
        <f>VALUE(0)</f>
        <v>0</v>
      </c>
      <c r="AV168" s="23">
        <f>VALUE(32)</f>
        <v>32</v>
      </c>
      <c r="AW168" s="23">
        <f>VALUE(4)</f>
        <v>4</v>
      </c>
      <c r="AX168" s="23" t="s">
        <v>430</v>
      </c>
      <c r="AY168" s="23">
        <f>VALUE(0)</f>
        <v>0</v>
      </c>
      <c r="AZ168" s="23">
        <f>VALUE(0)</f>
        <v>0</v>
      </c>
      <c r="BA168" s="23">
        <f>VALUE(0)</f>
        <v>0</v>
      </c>
      <c r="BB168" s="23">
        <f>VALUE(0)</f>
        <v>0</v>
      </c>
      <c r="BC168" s="23">
        <f>VALUE(0)</f>
        <v>0</v>
      </c>
      <c r="BD168" s="23">
        <f>VALUE(0)</f>
        <v>0</v>
      </c>
      <c r="BE168" s="23">
        <f>VALUE(0)</f>
        <v>0</v>
      </c>
      <c r="BF168" s="23">
        <f>VALUE(0)</f>
        <v>0</v>
      </c>
      <c r="BG168" s="23">
        <f>VALUE(0)</f>
        <v>0</v>
      </c>
      <c r="BH168" s="23">
        <f>VALUE(0)</f>
        <v>0</v>
      </c>
      <c r="BI168" s="23">
        <f>VALUE(0)</f>
        <v>0</v>
      </c>
      <c r="BJ168" s="23">
        <f>VALUE(0)</f>
        <v>0</v>
      </c>
      <c r="BK168" s="12">
        <f>$AX$168*24</f>
        <v>28.216666666666665</v>
      </c>
      <c r="BL168" s="12">
        <f>$AY$168*24</f>
        <v>0</v>
      </c>
      <c r="BM168" s="12">
        <f>$BJ$168*24</f>
        <v>0</v>
      </c>
      <c r="BN168" s="12">
        <f>VALUE($I$168)/100</f>
        <v>1</v>
      </c>
      <c r="BO168" s="12">
        <v>0</v>
      </c>
      <c r="BP168" s="12">
        <v>0</v>
      </c>
      <c r="BQ168" s="12">
        <v>0</v>
      </c>
      <c r="BR168" s="12">
        <v>0</v>
      </c>
      <c r="BS168" s="12">
        <v>0</v>
      </c>
      <c r="BT168" s="12">
        <v>0</v>
      </c>
      <c r="BU168" s="12">
        <v>0</v>
      </c>
      <c r="BV168" s="12">
        <v>12</v>
      </c>
      <c r="BW168" s="12">
        <v>0</v>
      </c>
      <c r="BX168" s="12">
        <v>0</v>
      </c>
      <c r="BY168" s="12">
        <v>0</v>
      </c>
      <c r="BZ168" s="12">
        <v>0</v>
      </c>
      <c r="CA168" s="12">
        <v>0</v>
      </c>
    </row>
    <row r="169" spans="1:79" hidden="1" x14ac:dyDescent="0.2">
      <c r="A169" s="12" t="s">
        <v>120</v>
      </c>
      <c r="B169" s="12" t="s">
        <v>124</v>
      </c>
      <c r="C169" s="12" t="s">
        <v>124</v>
      </c>
      <c r="D169" s="22" t="s">
        <v>429</v>
      </c>
      <c r="E169" s="22" t="s">
        <v>161</v>
      </c>
      <c r="F169" s="22" t="s">
        <v>856</v>
      </c>
      <c r="G169" s="22" t="s">
        <v>857</v>
      </c>
      <c r="H169" s="22" t="s">
        <v>190</v>
      </c>
      <c r="I169" s="22" t="s">
        <v>151</v>
      </c>
      <c r="J169" s="22" t="s">
        <v>162</v>
      </c>
      <c r="K169" s="22" t="s">
        <v>83</v>
      </c>
      <c r="L169" s="54" t="s">
        <v>153</v>
      </c>
      <c r="M169" s="23" t="s">
        <v>153</v>
      </c>
      <c r="N169" s="24" t="s">
        <v>153</v>
      </c>
      <c r="O169" s="40" t="s">
        <v>153</v>
      </c>
      <c r="P169" s="23" t="s">
        <v>153</v>
      </c>
      <c r="Q169" s="23" t="s">
        <v>153</v>
      </c>
      <c r="R169" s="23" t="s">
        <v>153</v>
      </c>
      <c r="S169" s="23" t="s">
        <v>153</v>
      </c>
      <c r="T169" s="23" t="s">
        <v>153</v>
      </c>
      <c r="U169" s="24" t="s">
        <v>153</v>
      </c>
      <c r="V169" s="40" t="s">
        <v>153</v>
      </c>
      <c r="W169" s="40" t="s">
        <v>153</v>
      </c>
      <c r="X169" s="40" t="s">
        <v>153</v>
      </c>
      <c r="Y169" s="40" t="s">
        <v>153</v>
      </c>
      <c r="Z169" s="40" t="s">
        <v>153</v>
      </c>
      <c r="AA169" s="40" t="s">
        <v>153</v>
      </c>
      <c r="AB169" s="40" t="s">
        <v>153</v>
      </c>
      <c r="AC169" s="40" t="s">
        <v>153</v>
      </c>
      <c r="AD169" s="40" t="s">
        <v>153</v>
      </c>
      <c r="AE169" s="40" t="s">
        <v>153</v>
      </c>
      <c r="AF169" s="40" t="s">
        <v>153</v>
      </c>
      <c r="AG169" s="40" t="s">
        <v>153</v>
      </c>
      <c r="AH169" s="40" t="s">
        <v>153</v>
      </c>
      <c r="AI169" s="40" t="s">
        <v>153</v>
      </c>
      <c r="AJ169" s="40" t="s">
        <v>153</v>
      </c>
      <c r="AK169" s="40" t="s">
        <v>153</v>
      </c>
      <c r="AL169" s="40" t="s">
        <v>153</v>
      </c>
      <c r="AM169" s="40" t="s">
        <v>153</v>
      </c>
      <c r="AN169" s="40" t="s">
        <v>153</v>
      </c>
      <c r="AO169" s="40" t="s">
        <v>153</v>
      </c>
      <c r="AP169" s="23">
        <f>VALUE(0)</f>
        <v>0</v>
      </c>
      <c r="AQ169" s="23">
        <f>VALUE(0)</f>
        <v>0</v>
      </c>
      <c r="AR169" s="23">
        <f>VALUE(0)</f>
        <v>0</v>
      </c>
      <c r="AS169" s="23">
        <f>VALUE(0)</f>
        <v>0</v>
      </c>
      <c r="AT169" s="23">
        <f>VALUE(0)</f>
        <v>0</v>
      </c>
      <c r="AU169" s="23">
        <f>VALUE(0)</f>
        <v>0</v>
      </c>
      <c r="AV169" s="23">
        <f>VALUE(4)</f>
        <v>4</v>
      </c>
      <c r="AW169" s="23">
        <f>VALUE(0)</f>
        <v>0</v>
      </c>
      <c r="AX169" s="23" t="s">
        <v>171</v>
      </c>
      <c r="AY169" s="23">
        <f>VALUE(0)</f>
        <v>0</v>
      </c>
      <c r="AZ169" s="23">
        <f>VALUE(0)</f>
        <v>0</v>
      </c>
      <c r="BA169" s="23">
        <f>VALUE(0)</f>
        <v>0</v>
      </c>
      <c r="BB169" s="23">
        <f>VALUE(0)</f>
        <v>0</v>
      </c>
      <c r="BC169" s="23">
        <f>VALUE(0)</f>
        <v>0</v>
      </c>
      <c r="BD169" s="23">
        <f>VALUE(0)</f>
        <v>0</v>
      </c>
      <c r="BE169" s="23">
        <f>VALUE(0)</f>
        <v>0</v>
      </c>
      <c r="BF169" s="23">
        <f>VALUE(0)</f>
        <v>0</v>
      </c>
      <c r="BG169" s="23">
        <f>VALUE(0)</f>
        <v>0</v>
      </c>
      <c r="BH169" s="23">
        <f>VALUE(0)</f>
        <v>0</v>
      </c>
      <c r="BI169" s="23">
        <f>VALUE(0)</f>
        <v>0</v>
      </c>
      <c r="BJ169" s="23">
        <f>VALUE(0)</f>
        <v>0</v>
      </c>
      <c r="BK169" s="12">
        <f>$AX$169*24</f>
        <v>5.833333333333333</v>
      </c>
      <c r="BL169" s="12">
        <f>$AY$169*24</f>
        <v>0</v>
      </c>
      <c r="BM169" s="12">
        <f>$BJ$169*24</f>
        <v>0</v>
      </c>
      <c r="BN169" s="12">
        <f>VALUE($I$169)/100</f>
        <v>1</v>
      </c>
      <c r="BO169" s="12">
        <v>0</v>
      </c>
      <c r="BP169" s="12">
        <v>0</v>
      </c>
      <c r="BQ169" s="12">
        <v>0</v>
      </c>
      <c r="BR169" s="12">
        <v>0</v>
      </c>
      <c r="BS169" s="12">
        <v>0</v>
      </c>
      <c r="BT169" s="12">
        <v>0</v>
      </c>
      <c r="BU169" s="12">
        <v>0</v>
      </c>
      <c r="BV169" s="12">
        <v>0</v>
      </c>
      <c r="BW169" s="12">
        <v>0</v>
      </c>
      <c r="BX169" s="12">
        <v>0</v>
      </c>
      <c r="BY169" s="12">
        <v>0</v>
      </c>
      <c r="BZ169" s="12">
        <v>0</v>
      </c>
      <c r="CA169" s="12">
        <v>0</v>
      </c>
    </row>
    <row r="170" spans="1:79" hidden="1" x14ac:dyDescent="0.2">
      <c r="A170" s="12" t="s">
        <v>120</v>
      </c>
      <c r="B170" s="12" t="s">
        <v>124</v>
      </c>
      <c r="C170" s="12" t="s">
        <v>124</v>
      </c>
      <c r="D170" s="22" t="s">
        <v>431</v>
      </c>
      <c r="E170" s="22" t="s">
        <v>159</v>
      </c>
      <c r="F170" s="22" t="s">
        <v>858</v>
      </c>
      <c r="G170" s="22" t="s">
        <v>859</v>
      </c>
      <c r="H170" s="22" t="s">
        <v>150</v>
      </c>
      <c r="I170" s="22" t="s">
        <v>151</v>
      </c>
      <c r="J170" s="22" t="s">
        <v>162</v>
      </c>
      <c r="K170" s="22" t="s">
        <v>83</v>
      </c>
      <c r="L170" s="54" t="s">
        <v>153</v>
      </c>
      <c r="M170" s="28" t="s">
        <v>163</v>
      </c>
      <c r="N170" s="24" t="s">
        <v>153</v>
      </c>
      <c r="O170" s="28" t="s">
        <v>163</v>
      </c>
      <c r="P170" s="25" t="s">
        <v>388</v>
      </c>
      <c r="Q170" s="25" t="s">
        <v>388</v>
      </c>
      <c r="R170" s="25" t="s">
        <v>388</v>
      </c>
      <c r="S170" s="24" t="s">
        <v>156</v>
      </c>
      <c r="T170" s="24" t="s">
        <v>156</v>
      </c>
      <c r="U170" s="24" t="s">
        <v>153</v>
      </c>
      <c r="V170" s="54" t="s">
        <v>153</v>
      </c>
      <c r="W170" s="23" t="s">
        <v>429</v>
      </c>
      <c r="X170" s="23" t="s">
        <v>429</v>
      </c>
      <c r="Y170" s="23" t="s">
        <v>429</v>
      </c>
      <c r="Z170" s="23" t="s">
        <v>429</v>
      </c>
      <c r="AA170" s="23" t="s">
        <v>429</v>
      </c>
      <c r="AB170" s="24" t="s">
        <v>153</v>
      </c>
      <c r="AC170" s="25" t="s">
        <v>429</v>
      </c>
      <c r="AD170" s="25" t="s">
        <v>429</v>
      </c>
      <c r="AE170" s="25" t="s">
        <v>429</v>
      </c>
      <c r="AF170" s="25" t="s">
        <v>429</v>
      </c>
      <c r="AG170" s="29" t="s">
        <v>163</v>
      </c>
      <c r="AH170" s="29" t="s">
        <v>163</v>
      </c>
      <c r="AI170" s="24" t="s">
        <v>153</v>
      </c>
      <c r="AJ170" s="25" t="s">
        <v>1236</v>
      </c>
      <c r="AK170" s="23" t="s">
        <v>385</v>
      </c>
      <c r="AL170" s="23" t="s">
        <v>385</v>
      </c>
      <c r="AM170" s="23" t="s">
        <v>385</v>
      </c>
      <c r="AN170" s="23" t="s">
        <v>385</v>
      </c>
      <c r="AO170" s="23" t="s">
        <v>385</v>
      </c>
      <c r="AP170" s="23">
        <f>VALUE(0)</f>
        <v>0</v>
      </c>
      <c r="AQ170" s="23">
        <f>VALUE(0)</f>
        <v>0</v>
      </c>
      <c r="AR170" s="23">
        <f>VALUE(2)</f>
        <v>2</v>
      </c>
      <c r="AS170" s="23">
        <f>VALUE(0)</f>
        <v>0</v>
      </c>
      <c r="AT170" s="23">
        <f>VALUE(0)</f>
        <v>0</v>
      </c>
      <c r="AU170" s="23">
        <f>VALUE(2)</f>
        <v>2</v>
      </c>
      <c r="AV170" s="23">
        <f>VALUE(2)</f>
        <v>2</v>
      </c>
      <c r="AW170" s="23">
        <f>VALUE(0)</f>
        <v>0</v>
      </c>
      <c r="AX170" s="23" t="s">
        <v>1237</v>
      </c>
      <c r="AY170" s="23">
        <f>VALUE(0)</f>
        <v>0</v>
      </c>
      <c r="AZ170" s="23">
        <f>VALUE(0)</f>
        <v>0</v>
      </c>
      <c r="BA170" s="23">
        <f>VALUE(0)</f>
        <v>0</v>
      </c>
      <c r="BB170" s="23">
        <f>VALUE(0)</f>
        <v>0</v>
      </c>
      <c r="BC170" s="23">
        <f>VALUE(0)</f>
        <v>0</v>
      </c>
      <c r="BD170" s="23">
        <f>VALUE(1)</f>
        <v>1</v>
      </c>
      <c r="BE170" s="23">
        <f>VALUE(0)</f>
        <v>0</v>
      </c>
      <c r="BF170" s="23">
        <f>VALUE(0)</f>
        <v>0</v>
      </c>
      <c r="BG170" s="23">
        <f>VALUE(0)</f>
        <v>0</v>
      </c>
      <c r="BH170" s="23">
        <f>VALUE(0)</f>
        <v>0</v>
      </c>
      <c r="BI170" s="23">
        <f>VALUE(0)</f>
        <v>0</v>
      </c>
      <c r="BJ170" s="23">
        <f>VALUE(0)</f>
        <v>0</v>
      </c>
      <c r="BK170" s="12">
        <f>$AX$170*24</f>
        <v>12.866666666666667</v>
      </c>
      <c r="BL170" s="12">
        <f>$AY$170*24</f>
        <v>0</v>
      </c>
      <c r="BM170" s="12">
        <f>$BJ$170*24</f>
        <v>0</v>
      </c>
      <c r="BN170" s="12">
        <f>VALUE($I$170)/100</f>
        <v>1</v>
      </c>
      <c r="BO170" s="12">
        <v>0</v>
      </c>
      <c r="BP170" s="12">
        <v>0</v>
      </c>
      <c r="BQ170" s="12">
        <v>0</v>
      </c>
      <c r="BR170" s="12">
        <v>1</v>
      </c>
      <c r="BS170" s="12">
        <v>0</v>
      </c>
      <c r="BT170" s="12">
        <v>2</v>
      </c>
      <c r="BU170" s="12">
        <v>0</v>
      </c>
      <c r="BV170" s="12">
        <v>0</v>
      </c>
      <c r="BW170" s="12">
        <v>0</v>
      </c>
      <c r="BX170" s="12">
        <v>0</v>
      </c>
      <c r="BY170" s="12">
        <v>0</v>
      </c>
      <c r="BZ170" s="12">
        <v>0</v>
      </c>
      <c r="CA170" s="12">
        <v>0</v>
      </c>
    </row>
    <row r="171" spans="1:79" hidden="1" x14ac:dyDescent="0.2">
      <c r="A171" s="12" t="s">
        <v>120</v>
      </c>
      <c r="B171" s="12" t="s">
        <v>124</v>
      </c>
      <c r="C171" s="12" t="s">
        <v>124</v>
      </c>
      <c r="D171" s="22" t="s">
        <v>433</v>
      </c>
      <c r="E171" s="22" t="s">
        <v>332</v>
      </c>
      <c r="F171" s="22" t="s">
        <v>860</v>
      </c>
      <c r="G171" s="22" t="s">
        <v>861</v>
      </c>
      <c r="H171" s="22" t="s">
        <v>150</v>
      </c>
      <c r="I171" s="22" t="s">
        <v>151</v>
      </c>
      <c r="J171" s="22" t="s">
        <v>162</v>
      </c>
      <c r="K171" s="22" t="s">
        <v>83</v>
      </c>
      <c r="L171" s="54" t="s">
        <v>153</v>
      </c>
      <c r="M171" s="23" t="s">
        <v>385</v>
      </c>
      <c r="N171" s="24" t="s">
        <v>153</v>
      </c>
      <c r="O171" s="23" t="s">
        <v>418</v>
      </c>
      <c r="P171" s="23" t="s">
        <v>418</v>
      </c>
      <c r="Q171" s="23" t="s">
        <v>389</v>
      </c>
      <c r="R171" s="23" t="s">
        <v>389</v>
      </c>
      <c r="S171" s="23" t="s">
        <v>389</v>
      </c>
      <c r="T171" s="23" t="s">
        <v>389</v>
      </c>
      <c r="U171" s="24" t="s">
        <v>153</v>
      </c>
      <c r="V171" s="54" t="s">
        <v>153</v>
      </c>
      <c r="W171" s="23" t="s">
        <v>388</v>
      </c>
      <c r="X171" s="23" t="s">
        <v>388</v>
      </c>
      <c r="Y171" s="23" t="s">
        <v>388</v>
      </c>
      <c r="Z171" s="24" t="s">
        <v>156</v>
      </c>
      <c r="AA171" s="24" t="s">
        <v>156</v>
      </c>
      <c r="AB171" s="24" t="s">
        <v>153</v>
      </c>
      <c r="AC171" s="24" t="s">
        <v>156</v>
      </c>
      <c r="AD171" s="24" t="s">
        <v>156</v>
      </c>
      <c r="AE171" s="28" t="s">
        <v>163</v>
      </c>
      <c r="AF171" s="28" t="s">
        <v>163</v>
      </c>
      <c r="AG171" s="28" t="s">
        <v>163</v>
      </c>
      <c r="AH171" s="28" t="s">
        <v>163</v>
      </c>
      <c r="AI171" s="24" t="s">
        <v>153</v>
      </c>
      <c r="AJ171" s="25" t="s">
        <v>429</v>
      </c>
      <c r="AK171" s="25" t="s">
        <v>429</v>
      </c>
      <c r="AL171" s="23" t="s">
        <v>419</v>
      </c>
      <c r="AM171" s="23" t="s">
        <v>419</v>
      </c>
      <c r="AN171" s="23" t="s">
        <v>384</v>
      </c>
      <c r="AO171" s="23" t="s">
        <v>384</v>
      </c>
      <c r="AP171" s="23">
        <f>VALUE(0)</f>
        <v>0</v>
      </c>
      <c r="AQ171" s="23">
        <f>VALUE(0)</f>
        <v>0</v>
      </c>
      <c r="AR171" s="23">
        <f>VALUE(0)</f>
        <v>0</v>
      </c>
      <c r="AS171" s="23">
        <f>VALUE(0)</f>
        <v>0</v>
      </c>
      <c r="AT171" s="23">
        <f>VALUE(0)</f>
        <v>0</v>
      </c>
      <c r="AU171" s="23">
        <f>VALUE(4)</f>
        <v>4</v>
      </c>
      <c r="AV171" s="23">
        <f>VALUE(4)</f>
        <v>4</v>
      </c>
      <c r="AW171" s="23">
        <f>VALUE(0)</f>
        <v>0</v>
      </c>
      <c r="AX171" s="23" t="s">
        <v>176</v>
      </c>
      <c r="AY171" s="23" t="s">
        <v>176</v>
      </c>
      <c r="AZ171" s="23">
        <f>VALUE(0)</f>
        <v>0</v>
      </c>
      <c r="BA171" s="23">
        <f>VALUE(0)</f>
        <v>0</v>
      </c>
      <c r="BB171" s="23">
        <f>VALUE(0)</f>
        <v>0</v>
      </c>
      <c r="BC171" s="23">
        <f>VALUE(0)</f>
        <v>0</v>
      </c>
      <c r="BD171" s="23">
        <f>VALUE(0)</f>
        <v>0</v>
      </c>
      <c r="BE171" s="23">
        <f>VALUE(0)</f>
        <v>0</v>
      </c>
      <c r="BF171" s="23">
        <f>VALUE(0)</f>
        <v>0</v>
      </c>
      <c r="BG171" s="23">
        <f>VALUE(0)</f>
        <v>0</v>
      </c>
      <c r="BH171" s="23">
        <f>VALUE(0)</f>
        <v>0</v>
      </c>
      <c r="BI171" s="23">
        <f>VALUE(0)</f>
        <v>0</v>
      </c>
      <c r="BJ171" s="23">
        <f>VALUE(0)</f>
        <v>0</v>
      </c>
      <c r="BK171" s="12">
        <f>$AX$171*24</f>
        <v>0</v>
      </c>
      <c r="BL171" s="12">
        <f>$AY$171*24</f>
        <v>0</v>
      </c>
      <c r="BM171" s="12">
        <f>$BJ$171*24</f>
        <v>0</v>
      </c>
      <c r="BN171" s="12">
        <f>VALUE($I$171)/100</f>
        <v>1</v>
      </c>
      <c r="BO171" s="12">
        <v>0</v>
      </c>
      <c r="BP171" s="12">
        <v>0</v>
      </c>
      <c r="BQ171" s="12">
        <v>0</v>
      </c>
      <c r="BR171" s="12">
        <v>0</v>
      </c>
      <c r="BS171" s="12">
        <v>0</v>
      </c>
      <c r="BT171" s="12">
        <v>0</v>
      </c>
      <c r="BU171" s="12">
        <v>0</v>
      </c>
      <c r="BV171" s="12">
        <v>0</v>
      </c>
      <c r="BW171" s="12">
        <v>0</v>
      </c>
      <c r="BX171" s="12">
        <v>0</v>
      </c>
      <c r="BY171" s="12">
        <v>0</v>
      </c>
      <c r="BZ171" s="12">
        <v>0</v>
      </c>
      <c r="CA171" s="12">
        <v>0</v>
      </c>
    </row>
    <row r="172" spans="1:79" hidden="1" x14ac:dyDescent="0.2">
      <c r="A172" s="12" t="s">
        <v>120</v>
      </c>
      <c r="B172" s="12" t="s">
        <v>124</v>
      </c>
      <c r="C172" s="12" t="s">
        <v>124</v>
      </c>
      <c r="D172" s="22" t="s">
        <v>434</v>
      </c>
      <c r="E172" s="22" t="s">
        <v>332</v>
      </c>
      <c r="F172" s="22" t="s">
        <v>862</v>
      </c>
      <c r="G172" s="22" t="s">
        <v>863</v>
      </c>
      <c r="H172" s="22" t="s">
        <v>150</v>
      </c>
      <c r="I172" s="22" t="s">
        <v>151</v>
      </c>
      <c r="J172" s="22" t="s">
        <v>162</v>
      </c>
      <c r="K172" s="22" t="s">
        <v>83</v>
      </c>
      <c r="L172" s="54" t="s">
        <v>153</v>
      </c>
      <c r="M172" s="23" t="s">
        <v>423</v>
      </c>
      <c r="N172" s="24" t="s">
        <v>153</v>
      </c>
      <c r="O172" s="23" t="s">
        <v>420</v>
      </c>
      <c r="P172" s="23" t="s">
        <v>420</v>
      </c>
      <c r="Q172" s="24" t="s">
        <v>156</v>
      </c>
      <c r="R172" s="24" t="s">
        <v>156</v>
      </c>
      <c r="S172" s="25" t="s">
        <v>388</v>
      </c>
      <c r="T172" s="25" t="s">
        <v>388</v>
      </c>
      <c r="U172" s="24" t="s">
        <v>153</v>
      </c>
      <c r="V172" s="54" t="s">
        <v>153</v>
      </c>
      <c r="W172" s="23" t="s">
        <v>382</v>
      </c>
      <c r="X172" s="25" t="s">
        <v>1238</v>
      </c>
      <c r="Y172" s="25" t="s">
        <v>1238</v>
      </c>
      <c r="Z172" s="23" t="s">
        <v>423</v>
      </c>
      <c r="AA172" s="23" t="s">
        <v>423</v>
      </c>
      <c r="AB172" s="24" t="s">
        <v>153</v>
      </c>
      <c r="AC172" s="23" t="s">
        <v>426</v>
      </c>
      <c r="AD172" s="23" t="s">
        <v>426</v>
      </c>
      <c r="AE172" s="23" t="s">
        <v>389</v>
      </c>
      <c r="AF172" s="23" t="s">
        <v>389</v>
      </c>
      <c r="AG172" s="23" t="s">
        <v>429</v>
      </c>
      <c r="AH172" s="23" t="s">
        <v>429</v>
      </c>
      <c r="AI172" s="24" t="s">
        <v>153</v>
      </c>
      <c r="AJ172" s="23" t="s">
        <v>418</v>
      </c>
      <c r="AK172" s="23" t="s">
        <v>418</v>
      </c>
      <c r="AL172" s="23" t="s">
        <v>390</v>
      </c>
      <c r="AM172" s="23" t="s">
        <v>390</v>
      </c>
      <c r="AN172" s="23" t="s">
        <v>379</v>
      </c>
      <c r="AO172" s="23" t="s">
        <v>379</v>
      </c>
      <c r="AP172" s="23">
        <f>VALUE(0)</f>
        <v>0</v>
      </c>
      <c r="AQ172" s="23">
        <f>VALUE(0)</f>
        <v>0</v>
      </c>
      <c r="AR172" s="23">
        <f>VALUE(0)</f>
        <v>0</v>
      </c>
      <c r="AS172" s="23">
        <f>VALUE(0)</f>
        <v>0</v>
      </c>
      <c r="AT172" s="23">
        <f>VALUE(0)</f>
        <v>0</v>
      </c>
      <c r="AU172" s="23">
        <f>VALUE(0)</f>
        <v>0</v>
      </c>
      <c r="AV172" s="23">
        <f>VALUE(2)</f>
        <v>2</v>
      </c>
      <c r="AW172" s="23">
        <f>VALUE(0)</f>
        <v>0</v>
      </c>
      <c r="AX172" s="23" t="s">
        <v>171</v>
      </c>
      <c r="AY172" s="23">
        <f>VALUE(0)</f>
        <v>0</v>
      </c>
      <c r="AZ172" s="23">
        <f>VALUE(0)</f>
        <v>0</v>
      </c>
      <c r="BA172" s="23">
        <f>VALUE(0)</f>
        <v>0</v>
      </c>
      <c r="BB172" s="23">
        <f>VALUE(0)</f>
        <v>0</v>
      </c>
      <c r="BC172" s="23">
        <f>VALUE(0)</f>
        <v>0</v>
      </c>
      <c r="BD172" s="23">
        <f>VALUE(2)</f>
        <v>2</v>
      </c>
      <c r="BE172" s="23">
        <f>VALUE(0)</f>
        <v>0</v>
      </c>
      <c r="BF172" s="23">
        <f>VALUE(0)</f>
        <v>0</v>
      </c>
      <c r="BG172" s="23">
        <f>VALUE(0)</f>
        <v>0</v>
      </c>
      <c r="BH172" s="23">
        <f>VALUE(0)</f>
        <v>0</v>
      </c>
      <c r="BI172" s="23">
        <f>VALUE(0)</f>
        <v>0</v>
      </c>
      <c r="BJ172" s="23">
        <f>VALUE(0)</f>
        <v>0</v>
      </c>
      <c r="BK172" s="12">
        <f>$AX$172*24</f>
        <v>5.833333333333333</v>
      </c>
      <c r="BL172" s="12">
        <f>$AY$172*24</f>
        <v>0</v>
      </c>
      <c r="BM172" s="12">
        <f>$BJ$172*24</f>
        <v>0</v>
      </c>
      <c r="BN172" s="12">
        <f>VALUE($I$172)/100</f>
        <v>1</v>
      </c>
      <c r="BO172" s="12">
        <v>0</v>
      </c>
      <c r="BP172" s="12">
        <v>0</v>
      </c>
      <c r="BQ172" s="12">
        <v>0</v>
      </c>
      <c r="BR172" s="12">
        <v>2</v>
      </c>
      <c r="BS172" s="12">
        <v>0</v>
      </c>
      <c r="BT172" s="12">
        <v>0</v>
      </c>
      <c r="BU172" s="12">
        <v>0</v>
      </c>
      <c r="BV172" s="12">
        <v>0</v>
      </c>
      <c r="BW172" s="12">
        <v>0</v>
      </c>
      <c r="BX172" s="12">
        <v>0</v>
      </c>
      <c r="BY172" s="12">
        <v>0</v>
      </c>
      <c r="BZ172" s="12">
        <v>0</v>
      </c>
      <c r="CA172" s="12">
        <v>0</v>
      </c>
    </row>
    <row r="173" spans="1:79" hidden="1" x14ac:dyDescent="0.2">
      <c r="A173" s="12" t="s">
        <v>120</v>
      </c>
      <c r="B173" s="12" t="s">
        <v>124</v>
      </c>
      <c r="C173" s="12" t="s">
        <v>124</v>
      </c>
      <c r="D173" s="22" t="s">
        <v>435</v>
      </c>
      <c r="E173" s="22" t="s">
        <v>173</v>
      </c>
      <c r="F173" s="22" t="s">
        <v>1239</v>
      </c>
      <c r="G173" s="22" t="s">
        <v>864</v>
      </c>
      <c r="H173" s="22" t="s">
        <v>150</v>
      </c>
      <c r="I173" s="22" t="s">
        <v>151</v>
      </c>
      <c r="J173" s="22" t="s">
        <v>162</v>
      </c>
      <c r="K173" s="22" t="s">
        <v>83</v>
      </c>
      <c r="L173" s="54" t="s">
        <v>153</v>
      </c>
      <c r="M173" s="23" t="s">
        <v>389</v>
      </c>
      <c r="N173" s="24" t="s">
        <v>153</v>
      </c>
      <c r="O173" s="23" t="s">
        <v>419</v>
      </c>
      <c r="P173" s="23" t="s">
        <v>419</v>
      </c>
      <c r="Q173" s="23" t="s">
        <v>419</v>
      </c>
      <c r="R173" s="23" t="s">
        <v>419</v>
      </c>
      <c r="S173" s="23" t="s">
        <v>419</v>
      </c>
      <c r="T173" s="23" t="s">
        <v>419</v>
      </c>
      <c r="U173" s="24" t="s">
        <v>153</v>
      </c>
      <c r="V173" s="54" t="s">
        <v>153</v>
      </c>
      <c r="W173" s="23" t="s">
        <v>389</v>
      </c>
      <c r="X173" s="23" t="s">
        <v>389</v>
      </c>
      <c r="Y173" s="23" t="s">
        <v>389</v>
      </c>
      <c r="Z173" s="23" t="s">
        <v>389</v>
      </c>
      <c r="AA173" s="23" t="s">
        <v>389</v>
      </c>
      <c r="AB173" s="24" t="s">
        <v>153</v>
      </c>
      <c r="AC173" s="23" t="s">
        <v>389</v>
      </c>
      <c r="AD173" s="23" t="s">
        <v>389</v>
      </c>
      <c r="AE173" s="24" t="s">
        <v>156</v>
      </c>
      <c r="AF173" s="24" t="s">
        <v>156</v>
      </c>
      <c r="AG173" s="23" t="s">
        <v>389</v>
      </c>
      <c r="AH173" s="23" t="s">
        <v>389</v>
      </c>
      <c r="AI173" s="24" t="s">
        <v>153</v>
      </c>
      <c r="AJ173" s="23" t="s">
        <v>389</v>
      </c>
      <c r="AK173" s="23" t="s">
        <v>389</v>
      </c>
      <c r="AL173" s="23" t="s">
        <v>389</v>
      </c>
      <c r="AM173" s="23" t="s">
        <v>389</v>
      </c>
      <c r="AN173" s="23" t="s">
        <v>389</v>
      </c>
      <c r="AO173" s="23" t="s">
        <v>389</v>
      </c>
      <c r="AP173" s="23">
        <f>VALUE(0)</f>
        <v>0</v>
      </c>
      <c r="AQ173" s="23">
        <f>VALUE(0)</f>
        <v>0</v>
      </c>
      <c r="AR173" s="23">
        <f>VALUE(0)</f>
        <v>0</v>
      </c>
      <c r="AS173" s="23">
        <f>VALUE(0)</f>
        <v>0</v>
      </c>
      <c r="AT173" s="23">
        <f>VALUE(0)</f>
        <v>0</v>
      </c>
      <c r="AU173" s="23">
        <f>VALUE(0)</f>
        <v>0</v>
      </c>
      <c r="AV173" s="23">
        <f>VALUE(1)</f>
        <v>1</v>
      </c>
      <c r="AW173" s="23">
        <f>VALUE(0)</f>
        <v>0</v>
      </c>
      <c r="AX173" s="23">
        <f>VALUE(0)</f>
        <v>0</v>
      </c>
      <c r="AY173" s="23">
        <f>VALUE(0)</f>
        <v>0</v>
      </c>
      <c r="AZ173" s="23">
        <f>VALUE(0)</f>
        <v>0</v>
      </c>
      <c r="BA173" s="23">
        <f>VALUE(0)</f>
        <v>0</v>
      </c>
      <c r="BB173" s="23">
        <f>VALUE(0)</f>
        <v>0</v>
      </c>
      <c r="BC173" s="23">
        <f>VALUE(0)</f>
        <v>0</v>
      </c>
      <c r="BD173" s="23">
        <f>VALUE(0)</f>
        <v>0</v>
      </c>
      <c r="BE173" s="23">
        <f>VALUE(0)</f>
        <v>0</v>
      </c>
      <c r="BF173" s="23">
        <f>VALUE(0)</f>
        <v>0</v>
      </c>
      <c r="BG173" s="23">
        <f>VALUE(0)</f>
        <v>0</v>
      </c>
      <c r="BH173" s="23">
        <f>VALUE(0)</f>
        <v>0</v>
      </c>
      <c r="BI173" s="23">
        <f>VALUE(0)</f>
        <v>0</v>
      </c>
      <c r="BJ173" s="23">
        <f>VALUE(0)</f>
        <v>0</v>
      </c>
      <c r="BK173" s="12">
        <f>$AX$173*24</f>
        <v>0</v>
      </c>
      <c r="BL173" s="12">
        <f>$AY$173*24</f>
        <v>0</v>
      </c>
      <c r="BM173" s="12">
        <f>$BJ$173*24</f>
        <v>0</v>
      </c>
      <c r="BN173" s="12">
        <f>VALUE($I$173)/100</f>
        <v>1</v>
      </c>
      <c r="BO173" s="12">
        <v>0</v>
      </c>
      <c r="BP173" s="12">
        <v>0</v>
      </c>
      <c r="BQ173" s="12">
        <v>0</v>
      </c>
      <c r="BR173" s="12">
        <v>0</v>
      </c>
      <c r="BS173" s="12">
        <v>0</v>
      </c>
      <c r="BT173" s="12">
        <v>0</v>
      </c>
      <c r="BU173" s="12">
        <v>0</v>
      </c>
      <c r="BV173" s="12">
        <v>0</v>
      </c>
      <c r="BW173" s="12">
        <v>0</v>
      </c>
      <c r="BX173" s="12">
        <v>0</v>
      </c>
      <c r="BY173" s="12">
        <v>0</v>
      </c>
      <c r="BZ173" s="12">
        <v>0</v>
      </c>
      <c r="CA173" s="12">
        <v>0</v>
      </c>
    </row>
    <row r="174" spans="1:79" hidden="1" x14ac:dyDescent="0.2">
      <c r="A174" s="12" t="s">
        <v>120</v>
      </c>
      <c r="B174" s="12" t="s">
        <v>124</v>
      </c>
      <c r="C174" s="12" t="s">
        <v>124</v>
      </c>
      <c r="D174" s="22" t="s">
        <v>1240</v>
      </c>
      <c r="E174" s="22" t="s">
        <v>173</v>
      </c>
      <c r="F174" s="22" t="s">
        <v>865</v>
      </c>
      <c r="G174" s="22" t="s">
        <v>866</v>
      </c>
      <c r="H174" s="22" t="s">
        <v>150</v>
      </c>
      <c r="I174" s="22" t="s">
        <v>415</v>
      </c>
      <c r="J174" s="22" t="s">
        <v>162</v>
      </c>
      <c r="K174" s="22" t="s">
        <v>83</v>
      </c>
      <c r="L174" s="54" t="s">
        <v>153</v>
      </c>
      <c r="M174" s="28" t="s">
        <v>163</v>
      </c>
      <c r="N174" s="24" t="s">
        <v>153</v>
      </c>
      <c r="O174" s="23" t="s">
        <v>153</v>
      </c>
      <c r="P174" s="23" t="s">
        <v>153</v>
      </c>
      <c r="Q174" s="23" t="s">
        <v>153</v>
      </c>
      <c r="R174" s="23" t="s">
        <v>153</v>
      </c>
      <c r="S174" s="23" t="s">
        <v>153</v>
      </c>
      <c r="T174" s="23" t="s">
        <v>153</v>
      </c>
      <c r="U174" s="24" t="s">
        <v>153</v>
      </c>
      <c r="V174" s="54" t="s">
        <v>153</v>
      </c>
      <c r="W174" s="25" t="s">
        <v>393</v>
      </c>
      <c r="X174" s="25" t="s">
        <v>393</v>
      </c>
      <c r="Y174" s="25" t="s">
        <v>393</v>
      </c>
      <c r="Z174" s="25" t="s">
        <v>393</v>
      </c>
      <c r="AA174" s="25" t="s">
        <v>393</v>
      </c>
      <c r="AB174" s="24" t="s">
        <v>153</v>
      </c>
      <c r="AC174" s="25" t="s">
        <v>393</v>
      </c>
      <c r="AD174" s="25" t="s">
        <v>393</v>
      </c>
      <c r="AE174" s="25" t="s">
        <v>393</v>
      </c>
      <c r="AF174" s="25" t="s">
        <v>393</v>
      </c>
      <c r="AG174" s="25" t="s">
        <v>393</v>
      </c>
      <c r="AH174" s="25" t="s">
        <v>393</v>
      </c>
      <c r="AI174" s="24" t="s">
        <v>153</v>
      </c>
      <c r="AJ174" s="25" t="s">
        <v>393</v>
      </c>
      <c r="AK174" s="25" t="s">
        <v>393</v>
      </c>
      <c r="AL174" s="25" t="s">
        <v>393</v>
      </c>
      <c r="AM174" s="25" t="s">
        <v>393</v>
      </c>
      <c r="AN174" s="25" t="s">
        <v>393</v>
      </c>
      <c r="AO174" s="25" t="s">
        <v>393</v>
      </c>
      <c r="AP174" s="23">
        <f>VALUE(0)</f>
        <v>0</v>
      </c>
      <c r="AQ174" s="23">
        <f>VALUE(0)</f>
        <v>0</v>
      </c>
      <c r="AR174" s="23">
        <f>VALUE(0)</f>
        <v>0</v>
      </c>
      <c r="AS174" s="23">
        <f>VALUE(0)</f>
        <v>0</v>
      </c>
      <c r="AT174" s="23">
        <f>VALUE(0)</f>
        <v>0</v>
      </c>
      <c r="AU174" s="23">
        <f>VALUE(1)</f>
        <v>1</v>
      </c>
      <c r="AV174" s="23">
        <f>VALUE(0)</f>
        <v>0</v>
      </c>
      <c r="AW174" s="23">
        <f>VALUE(0)</f>
        <v>0</v>
      </c>
      <c r="AX174" s="23">
        <f>VALUE(0)</f>
        <v>0</v>
      </c>
      <c r="AY174" s="23" t="s">
        <v>436</v>
      </c>
      <c r="AZ174" s="23">
        <f>VALUE(0)</f>
        <v>0</v>
      </c>
      <c r="BA174" s="23">
        <f>VALUE(0)</f>
        <v>0</v>
      </c>
      <c r="BB174" s="23">
        <f>VALUE(0)</f>
        <v>0</v>
      </c>
      <c r="BC174" s="23">
        <f>VALUE(0)</f>
        <v>0</v>
      </c>
      <c r="BD174" s="23">
        <f>VALUE(0)</f>
        <v>0</v>
      </c>
      <c r="BE174" s="23">
        <f>VALUE(0)</f>
        <v>0</v>
      </c>
      <c r="BF174" s="23">
        <f>VALUE(0)</f>
        <v>0</v>
      </c>
      <c r="BG174" s="23">
        <f>VALUE(0)</f>
        <v>0</v>
      </c>
      <c r="BH174" s="23">
        <f>VALUE(0)</f>
        <v>0</v>
      </c>
      <c r="BI174" s="23">
        <f>VALUE(0)</f>
        <v>0</v>
      </c>
      <c r="BJ174" s="23">
        <f>VALUE(0)</f>
        <v>0</v>
      </c>
      <c r="BK174" s="12">
        <f>$AX$174*24</f>
        <v>0</v>
      </c>
      <c r="BL174" s="12">
        <f>$AY$174*24</f>
        <v>12.533333333333335</v>
      </c>
      <c r="BM174" s="12">
        <f>$BJ$174*24</f>
        <v>0</v>
      </c>
      <c r="BN174" s="12">
        <f>VALUE($I$174)/100</f>
        <v>0.5</v>
      </c>
      <c r="BO174" s="12">
        <v>0</v>
      </c>
      <c r="BP174" s="12">
        <v>0</v>
      </c>
      <c r="BQ174" s="12">
        <v>0</v>
      </c>
      <c r="BR174" s="12">
        <v>0</v>
      </c>
      <c r="BS174" s="12">
        <v>0</v>
      </c>
      <c r="BT174" s="12">
        <v>0</v>
      </c>
      <c r="BU174" s="12">
        <v>0</v>
      </c>
      <c r="BV174" s="12">
        <v>0</v>
      </c>
      <c r="BW174" s="12">
        <v>0</v>
      </c>
      <c r="BX174" s="12">
        <v>0</v>
      </c>
      <c r="BY174" s="12">
        <v>0</v>
      </c>
      <c r="BZ174" s="12">
        <v>0</v>
      </c>
      <c r="CA174" s="12">
        <v>0</v>
      </c>
    </row>
    <row r="175" spans="1:79" hidden="1" x14ac:dyDescent="0.2">
      <c r="A175" s="12" t="s">
        <v>120</v>
      </c>
      <c r="B175" s="12" t="s">
        <v>124</v>
      </c>
      <c r="C175" s="12" t="s">
        <v>124</v>
      </c>
      <c r="D175" s="22" t="s">
        <v>393</v>
      </c>
      <c r="E175" s="22" t="s">
        <v>173</v>
      </c>
      <c r="F175" s="22" t="s">
        <v>867</v>
      </c>
      <c r="G175" s="22" t="s">
        <v>868</v>
      </c>
      <c r="H175" s="22" t="s">
        <v>190</v>
      </c>
      <c r="I175" s="22" t="s">
        <v>151</v>
      </c>
      <c r="J175" s="22" t="s">
        <v>162</v>
      </c>
      <c r="K175" s="22" t="s">
        <v>83</v>
      </c>
      <c r="L175" s="54" t="s">
        <v>153</v>
      </c>
      <c r="M175" s="23" t="s">
        <v>153</v>
      </c>
      <c r="N175" s="24" t="s">
        <v>153</v>
      </c>
      <c r="O175" s="23" t="s">
        <v>153</v>
      </c>
      <c r="P175" s="23" t="s">
        <v>153</v>
      </c>
      <c r="Q175" s="23" t="s">
        <v>153</v>
      </c>
      <c r="R175" s="23" t="s">
        <v>153</v>
      </c>
      <c r="S175" s="23" t="s">
        <v>153</v>
      </c>
      <c r="T175" s="23" t="s">
        <v>153</v>
      </c>
      <c r="U175" s="24" t="s">
        <v>153</v>
      </c>
      <c r="V175" s="54" t="s">
        <v>153</v>
      </c>
      <c r="W175" s="23" t="s">
        <v>153</v>
      </c>
      <c r="X175" s="23" t="s">
        <v>153</v>
      </c>
      <c r="Y175" s="23" t="s">
        <v>153</v>
      </c>
      <c r="Z175" s="23" t="s">
        <v>153</v>
      </c>
      <c r="AA175" s="23" t="s">
        <v>153</v>
      </c>
      <c r="AB175" s="40" t="s">
        <v>153</v>
      </c>
      <c r="AC175" s="40" t="s">
        <v>153</v>
      </c>
      <c r="AD175" s="40" t="s">
        <v>153</v>
      </c>
      <c r="AE175" s="40" t="s">
        <v>153</v>
      </c>
      <c r="AF175" s="40" t="s">
        <v>153</v>
      </c>
      <c r="AG175" s="40" t="s">
        <v>153</v>
      </c>
      <c r="AH175" s="40" t="s">
        <v>153</v>
      </c>
      <c r="AI175" s="40" t="s">
        <v>153</v>
      </c>
      <c r="AJ175" s="40" t="s">
        <v>153</v>
      </c>
      <c r="AK175" s="40" t="s">
        <v>153</v>
      </c>
      <c r="AL175" s="40" t="s">
        <v>153</v>
      </c>
      <c r="AM175" s="40" t="s">
        <v>153</v>
      </c>
      <c r="AN175" s="40" t="s">
        <v>153</v>
      </c>
      <c r="AO175" s="40" t="s">
        <v>153</v>
      </c>
      <c r="AP175" s="23">
        <f>VALUE(0)</f>
        <v>0</v>
      </c>
      <c r="AQ175" s="23">
        <f>VALUE(0)</f>
        <v>0</v>
      </c>
      <c r="AR175" s="23">
        <f>VALUE(0)</f>
        <v>0</v>
      </c>
      <c r="AS175" s="23">
        <f>VALUE(0)</f>
        <v>0</v>
      </c>
      <c r="AT175" s="23">
        <f>VALUE(0)</f>
        <v>0</v>
      </c>
      <c r="AU175" s="23">
        <f>VALUE(0)</f>
        <v>0</v>
      </c>
      <c r="AV175" s="23">
        <f>VALUE(3)</f>
        <v>3</v>
      </c>
      <c r="AW175" s="23">
        <f>VALUE(0)</f>
        <v>0</v>
      </c>
      <c r="AX175" s="23">
        <f>VALUE(0)</f>
        <v>0</v>
      </c>
      <c r="AY175" s="23">
        <f>VALUE(0)</f>
        <v>0</v>
      </c>
      <c r="AZ175" s="23">
        <f>VALUE(0)</f>
        <v>0</v>
      </c>
      <c r="BA175" s="23">
        <f>VALUE(0)</f>
        <v>0</v>
      </c>
      <c r="BB175" s="23">
        <f>VALUE(0)</f>
        <v>0</v>
      </c>
      <c r="BC175" s="23">
        <f>VALUE(0)</f>
        <v>0</v>
      </c>
      <c r="BD175" s="23">
        <f>VALUE(0)</f>
        <v>0</v>
      </c>
      <c r="BE175" s="23">
        <f>VALUE(0)</f>
        <v>0</v>
      </c>
      <c r="BF175" s="23">
        <f>VALUE(0)</f>
        <v>0</v>
      </c>
      <c r="BG175" s="23">
        <f>VALUE(0)</f>
        <v>0</v>
      </c>
      <c r="BH175" s="23">
        <f>VALUE(0)</f>
        <v>0</v>
      </c>
      <c r="BI175" s="23">
        <f>VALUE(0)</f>
        <v>0</v>
      </c>
      <c r="BJ175" s="23">
        <f>VALUE(0)</f>
        <v>0</v>
      </c>
      <c r="BK175" s="12">
        <f>$AX$175*24</f>
        <v>0</v>
      </c>
      <c r="BL175" s="12">
        <f>$AY$175*24</f>
        <v>0</v>
      </c>
      <c r="BM175" s="12">
        <f>$BJ$175*24</f>
        <v>0</v>
      </c>
      <c r="BN175" s="12">
        <f>VALUE($I$175)/100</f>
        <v>1</v>
      </c>
      <c r="BO175" s="12">
        <v>0</v>
      </c>
      <c r="BP175" s="12">
        <v>0</v>
      </c>
      <c r="BQ175" s="12">
        <v>0</v>
      </c>
      <c r="BR175" s="12">
        <v>0</v>
      </c>
      <c r="BS175" s="12">
        <v>0</v>
      </c>
      <c r="BT175" s="12">
        <v>0</v>
      </c>
      <c r="BU175" s="12">
        <v>0</v>
      </c>
      <c r="BV175" s="12">
        <v>0</v>
      </c>
      <c r="BW175" s="12">
        <v>0</v>
      </c>
      <c r="BX175" s="12">
        <v>0</v>
      </c>
      <c r="BY175" s="12">
        <v>0</v>
      </c>
      <c r="BZ175" s="12">
        <v>0</v>
      </c>
      <c r="CA175" s="12">
        <v>0</v>
      </c>
    </row>
    <row r="176" spans="1:79" ht="15" hidden="1" x14ac:dyDescent="0.25">
      <c r="A176" s="12" t="s">
        <v>120</v>
      </c>
      <c r="B176" s="12" t="s">
        <v>124</v>
      </c>
      <c r="C176" s="12" t="s">
        <v>124</v>
      </c>
      <c r="D176" s="31" t="s">
        <v>581</v>
      </c>
      <c r="E176" s="31" t="s">
        <v>153</v>
      </c>
      <c r="F176" s="31" t="s">
        <v>175</v>
      </c>
      <c r="G176" s="31" t="s">
        <v>153</v>
      </c>
      <c r="H176" s="31" t="s">
        <v>153</v>
      </c>
      <c r="I176" s="31" t="s">
        <v>153</v>
      </c>
      <c r="J176" s="31" t="s">
        <v>153</v>
      </c>
      <c r="K176" s="31" t="s">
        <v>153</v>
      </c>
      <c r="L176" s="31">
        <f>VALUE(0)</f>
        <v>0</v>
      </c>
      <c r="M176" s="31">
        <f>VALUE(16)</f>
        <v>16</v>
      </c>
      <c r="N176" s="31">
        <f>VALUE(0)</f>
        <v>0</v>
      </c>
      <c r="O176" s="31">
        <f>VALUE(17)</f>
        <v>17</v>
      </c>
      <c r="P176" s="31">
        <f>VALUE(19)</f>
        <v>19</v>
      </c>
      <c r="Q176" s="31">
        <f>VALUE(20)</f>
        <v>20</v>
      </c>
      <c r="R176" s="31">
        <f>VALUE(21)</f>
        <v>21</v>
      </c>
      <c r="S176" s="31">
        <f>VALUE(20)</f>
        <v>20</v>
      </c>
      <c r="T176" s="31">
        <f>VALUE(20)</f>
        <v>20</v>
      </c>
      <c r="U176" s="31">
        <f>VALUE(0)</f>
        <v>0</v>
      </c>
      <c r="V176" s="31">
        <f>VALUE(0)</f>
        <v>0</v>
      </c>
      <c r="W176" s="31">
        <f>VALUE(18)</f>
        <v>18</v>
      </c>
      <c r="X176" s="31">
        <f>VALUE(19)</f>
        <v>19</v>
      </c>
      <c r="Y176" s="31">
        <f>VALUE(19)</f>
        <v>19</v>
      </c>
      <c r="Z176" s="31">
        <f>VALUE(17)</f>
        <v>17</v>
      </c>
      <c r="AA176" s="31">
        <f>VALUE(17)</f>
        <v>17</v>
      </c>
      <c r="AB176" s="31">
        <f>VALUE(0)</f>
        <v>0</v>
      </c>
      <c r="AC176" s="31">
        <f>VALUE(18)</f>
        <v>18</v>
      </c>
      <c r="AD176" s="31">
        <f>VALUE(18)</f>
        <v>18</v>
      </c>
      <c r="AE176" s="31">
        <f>VALUE(18)</f>
        <v>18</v>
      </c>
      <c r="AF176" s="31">
        <f>VALUE(18)</f>
        <v>18</v>
      </c>
      <c r="AG176" s="31">
        <f>VALUE(17)</f>
        <v>17</v>
      </c>
      <c r="AH176" s="31">
        <f>VALUE(17)</f>
        <v>17</v>
      </c>
      <c r="AI176" s="31">
        <f>VALUE(0)</f>
        <v>0</v>
      </c>
      <c r="AJ176" s="31">
        <f>VALUE(18)</f>
        <v>18</v>
      </c>
      <c r="AK176" s="31">
        <f>VALUE(18)</f>
        <v>18</v>
      </c>
      <c r="AL176" s="31">
        <f>VALUE(17)</f>
        <v>17</v>
      </c>
      <c r="AM176" s="31">
        <f>VALUE(17)</f>
        <v>17</v>
      </c>
      <c r="AN176" s="31">
        <f>VALUE(17)</f>
        <v>17</v>
      </c>
      <c r="AO176" s="31">
        <f>VALUE(17)</f>
        <v>17</v>
      </c>
      <c r="AP176" s="31">
        <v>0</v>
      </c>
      <c r="AQ176" s="31">
        <v>0</v>
      </c>
      <c r="AR176" s="31">
        <v>0</v>
      </c>
      <c r="AS176" s="31">
        <v>0</v>
      </c>
      <c r="AT176" s="31">
        <v>0</v>
      </c>
      <c r="AU176" s="31">
        <v>0</v>
      </c>
      <c r="AV176" s="31">
        <v>0</v>
      </c>
      <c r="AW176" s="31">
        <v>0</v>
      </c>
      <c r="AX176" s="31">
        <v>0</v>
      </c>
      <c r="AY176" s="31">
        <v>0</v>
      </c>
      <c r="AZ176" s="31">
        <v>0</v>
      </c>
      <c r="BA176" s="31">
        <v>0</v>
      </c>
      <c r="BB176" s="31">
        <v>0</v>
      </c>
      <c r="BC176" s="31">
        <v>0</v>
      </c>
      <c r="BD176" s="31">
        <v>0</v>
      </c>
      <c r="BE176" s="31">
        <v>0</v>
      </c>
      <c r="BF176" s="31">
        <v>0</v>
      </c>
      <c r="BG176" s="31">
        <v>0</v>
      </c>
      <c r="BH176" s="31">
        <v>0</v>
      </c>
      <c r="BI176" s="31">
        <v>0</v>
      </c>
      <c r="BJ176" s="31">
        <v>0</v>
      </c>
      <c r="BK176" s="12">
        <v>0</v>
      </c>
      <c r="BL176" s="12">
        <v>0</v>
      </c>
      <c r="BM176" s="12">
        <v>0</v>
      </c>
      <c r="BN176" s="12"/>
      <c r="BO176" s="12">
        <v>0</v>
      </c>
      <c r="BP176" s="12">
        <v>0</v>
      </c>
      <c r="BQ176" s="12">
        <v>0</v>
      </c>
      <c r="BR176" s="12">
        <v>0</v>
      </c>
      <c r="BS176" s="12">
        <v>0</v>
      </c>
      <c r="BT176" s="12">
        <v>0</v>
      </c>
      <c r="BU176" s="12">
        <v>0</v>
      </c>
      <c r="BV176" s="12">
        <v>0</v>
      </c>
      <c r="BW176" s="12">
        <v>0</v>
      </c>
      <c r="BX176" s="12">
        <v>0</v>
      </c>
      <c r="BY176" s="12">
        <v>0</v>
      </c>
      <c r="BZ176" s="12">
        <v>0</v>
      </c>
      <c r="CA176" s="12">
        <v>0</v>
      </c>
    </row>
    <row r="177" spans="1:79" hidden="1" x14ac:dyDescent="0.2">
      <c r="A177" s="12" t="s">
        <v>120</v>
      </c>
      <c r="B177" s="12" t="s">
        <v>125</v>
      </c>
      <c r="C177" s="12" t="s">
        <v>125</v>
      </c>
      <c r="D177" s="22" t="s">
        <v>437</v>
      </c>
      <c r="E177" s="22" t="s">
        <v>161</v>
      </c>
      <c r="F177" s="22" t="s">
        <v>869</v>
      </c>
      <c r="G177" s="22" t="s">
        <v>870</v>
      </c>
      <c r="H177" s="22" t="s">
        <v>190</v>
      </c>
      <c r="I177" s="22" t="s">
        <v>151</v>
      </c>
      <c r="J177" s="22" t="s">
        <v>162</v>
      </c>
      <c r="K177" s="22" t="s">
        <v>84</v>
      </c>
      <c r="L177" s="54" t="s">
        <v>153</v>
      </c>
      <c r="M177" s="23" t="s">
        <v>153</v>
      </c>
      <c r="N177" s="24" t="s">
        <v>153</v>
      </c>
      <c r="O177" s="23" t="s">
        <v>153</v>
      </c>
      <c r="P177" s="23" t="s">
        <v>153</v>
      </c>
      <c r="Q177" s="23" t="s">
        <v>153</v>
      </c>
      <c r="R177" s="23" t="s">
        <v>153</v>
      </c>
      <c r="S177" s="23" t="s">
        <v>153</v>
      </c>
      <c r="T177" s="23" t="s">
        <v>153</v>
      </c>
      <c r="U177" s="24" t="s">
        <v>153</v>
      </c>
      <c r="V177" s="54" t="s">
        <v>153</v>
      </c>
      <c r="W177" s="23" t="s">
        <v>153</v>
      </c>
      <c r="X177" s="23" t="s">
        <v>153</v>
      </c>
      <c r="Y177" s="23" t="s">
        <v>153</v>
      </c>
      <c r="Z177" s="23" t="s">
        <v>153</v>
      </c>
      <c r="AA177" s="23" t="s">
        <v>153</v>
      </c>
      <c r="AB177" s="24" t="s">
        <v>153</v>
      </c>
      <c r="AC177" s="23" t="s">
        <v>153</v>
      </c>
      <c r="AD177" s="23" t="s">
        <v>153</v>
      </c>
      <c r="AE177" s="23" t="s">
        <v>153</v>
      </c>
      <c r="AF177" s="23" t="s">
        <v>153</v>
      </c>
      <c r="AG177" s="23" t="s">
        <v>153</v>
      </c>
      <c r="AH177" s="23" t="s">
        <v>153</v>
      </c>
      <c r="AI177" s="24" t="s">
        <v>153</v>
      </c>
      <c r="AJ177" s="23" t="s">
        <v>153</v>
      </c>
      <c r="AK177" s="23" t="s">
        <v>153</v>
      </c>
      <c r="AL177" s="23" t="s">
        <v>153</v>
      </c>
      <c r="AM177" s="23" t="s">
        <v>153</v>
      </c>
      <c r="AN177" s="23" t="s">
        <v>153</v>
      </c>
      <c r="AO177" s="23" t="s">
        <v>153</v>
      </c>
      <c r="AP177" s="23">
        <f>VALUE(2)</f>
        <v>2</v>
      </c>
      <c r="AQ177" s="23">
        <f>VALUE(0)</f>
        <v>0</v>
      </c>
      <c r="AR177" s="23">
        <f>VALUE(0)</f>
        <v>0</v>
      </c>
      <c r="AS177" s="23">
        <f>VALUE(0)</f>
        <v>0</v>
      </c>
      <c r="AT177" s="23">
        <f>VALUE(0)</f>
        <v>0</v>
      </c>
      <c r="AU177" s="23">
        <f>VALUE(0)</f>
        <v>0</v>
      </c>
      <c r="AV177" s="23">
        <f>VALUE(7)</f>
        <v>7</v>
      </c>
      <c r="AW177" s="23">
        <f>VALUE(0)</f>
        <v>0</v>
      </c>
      <c r="AX177" s="23">
        <f>VALUE(0)</f>
        <v>0</v>
      </c>
      <c r="AY177" s="23">
        <f>VALUE(0)</f>
        <v>0</v>
      </c>
      <c r="AZ177" s="23">
        <f>VALUE(0)</f>
        <v>0</v>
      </c>
      <c r="BA177" s="23">
        <f>VALUE(0)</f>
        <v>0</v>
      </c>
      <c r="BB177" s="23">
        <f>VALUE(0)</f>
        <v>0</v>
      </c>
      <c r="BC177" s="23">
        <f>VALUE(0)</f>
        <v>0</v>
      </c>
      <c r="BD177" s="23">
        <f>VALUE(0)</f>
        <v>0</v>
      </c>
      <c r="BE177" s="23">
        <f>VALUE(0)</f>
        <v>0</v>
      </c>
      <c r="BF177" s="23">
        <f>VALUE(0)</f>
        <v>0</v>
      </c>
      <c r="BG177" s="23">
        <f>VALUE(0)</f>
        <v>0</v>
      </c>
      <c r="BH177" s="23">
        <f>VALUE(0)</f>
        <v>0</v>
      </c>
      <c r="BI177" s="23">
        <f>VALUE(0)</f>
        <v>0</v>
      </c>
      <c r="BJ177" s="23">
        <f>VALUE(0)</f>
        <v>0</v>
      </c>
      <c r="BK177" s="12">
        <f>$AX$177*24</f>
        <v>0</v>
      </c>
      <c r="BL177" s="12">
        <f>$AY$177*24</f>
        <v>0</v>
      </c>
      <c r="BM177" s="12">
        <f>$BJ$177*24</f>
        <v>0</v>
      </c>
      <c r="BN177" s="12">
        <f>VALUE($I$177)/100</f>
        <v>1</v>
      </c>
      <c r="BO177" s="12">
        <v>0</v>
      </c>
      <c r="BP177" s="12">
        <v>0</v>
      </c>
      <c r="BQ177" s="12">
        <v>0</v>
      </c>
      <c r="BR177" s="12">
        <v>0</v>
      </c>
      <c r="BS177" s="12">
        <v>0</v>
      </c>
      <c r="BT177" s="12">
        <v>0</v>
      </c>
      <c r="BU177" s="12">
        <v>0</v>
      </c>
      <c r="BV177" s="12">
        <v>0</v>
      </c>
      <c r="BW177" s="12">
        <v>0</v>
      </c>
      <c r="BX177" s="12">
        <v>0</v>
      </c>
      <c r="BY177" s="12">
        <v>0</v>
      </c>
      <c r="BZ177" s="12">
        <v>0</v>
      </c>
      <c r="CA177" s="12">
        <v>0</v>
      </c>
    </row>
    <row r="178" spans="1:79" hidden="1" x14ac:dyDescent="0.2">
      <c r="A178" s="12" t="s">
        <v>120</v>
      </c>
      <c r="B178" s="12" t="s">
        <v>125</v>
      </c>
      <c r="C178" s="12" t="s">
        <v>125</v>
      </c>
      <c r="D178" s="22" t="s">
        <v>438</v>
      </c>
      <c r="E178" s="22" t="s">
        <v>161</v>
      </c>
      <c r="F178" s="22" t="s">
        <v>871</v>
      </c>
      <c r="G178" s="22" t="s">
        <v>872</v>
      </c>
      <c r="H178" s="22" t="s">
        <v>150</v>
      </c>
      <c r="I178" s="22" t="s">
        <v>151</v>
      </c>
      <c r="J178" s="22" t="s">
        <v>162</v>
      </c>
      <c r="K178" s="22" t="s">
        <v>84</v>
      </c>
      <c r="L178" s="54" t="s">
        <v>153</v>
      </c>
      <c r="M178" s="23" t="s">
        <v>153</v>
      </c>
      <c r="N178" s="24" t="s">
        <v>153</v>
      </c>
      <c r="O178" s="23" t="s">
        <v>153</v>
      </c>
      <c r="P178" s="23" t="s">
        <v>153</v>
      </c>
      <c r="Q178" s="23" t="s">
        <v>153</v>
      </c>
      <c r="R178" s="23" t="s">
        <v>153</v>
      </c>
      <c r="S178" s="23" t="s">
        <v>153</v>
      </c>
      <c r="T178" s="23" t="s">
        <v>153</v>
      </c>
      <c r="U178" s="24" t="s">
        <v>153</v>
      </c>
      <c r="V178" s="54" t="s">
        <v>153</v>
      </c>
      <c r="W178" s="23" t="s">
        <v>153</v>
      </c>
      <c r="X178" s="23" t="s">
        <v>153</v>
      </c>
      <c r="Y178" s="23" t="s">
        <v>153</v>
      </c>
      <c r="Z178" s="23" t="s">
        <v>153</v>
      </c>
      <c r="AA178" s="23" t="s">
        <v>153</v>
      </c>
      <c r="AB178" s="24" t="s">
        <v>153</v>
      </c>
      <c r="AC178" s="29" t="s">
        <v>163</v>
      </c>
      <c r="AD178" s="29" t="s">
        <v>163</v>
      </c>
      <c r="AE178" s="24" t="s">
        <v>156</v>
      </c>
      <c r="AF178" s="24" t="s">
        <v>156</v>
      </c>
      <c r="AG178" s="28" t="s">
        <v>163</v>
      </c>
      <c r="AH178" s="28" t="s">
        <v>163</v>
      </c>
      <c r="AI178" s="24" t="s">
        <v>153</v>
      </c>
      <c r="AJ178" s="28" t="s">
        <v>163</v>
      </c>
      <c r="AK178" s="28" t="s">
        <v>163</v>
      </c>
      <c r="AL178" s="28" t="s">
        <v>163</v>
      </c>
      <c r="AM178" s="28" t="s">
        <v>163</v>
      </c>
      <c r="AN178" s="28" t="s">
        <v>163</v>
      </c>
      <c r="AO178" s="28" t="s">
        <v>163</v>
      </c>
      <c r="AP178" s="23">
        <f>VALUE(7)</f>
        <v>7</v>
      </c>
      <c r="AQ178" s="23">
        <f>VALUE(0)</f>
        <v>0</v>
      </c>
      <c r="AR178" s="23">
        <f>VALUE(2)</f>
        <v>2</v>
      </c>
      <c r="AS178" s="23">
        <f>VALUE(0)</f>
        <v>0</v>
      </c>
      <c r="AT178" s="23">
        <f>VALUE(0)</f>
        <v>0</v>
      </c>
      <c r="AU178" s="23">
        <f>VALUE(8)</f>
        <v>8</v>
      </c>
      <c r="AV178" s="23">
        <f>VALUE(1)</f>
        <v>1</v>
      </c>
      <c r="AW178" s="23">
        <f>VALUE(0)</f>
        <v>0</v>
      </c>
      <c r="AX178" s="23" t="s">
        <v>176</v>
      </c>
      <c r="AY178" s="23" t="s">
        <v>439</v>
      </c>
      <c r="AZ178" s="23">
        <f>VALUE(0)</f>
        <v>0</v>
      </c>
      <c r="BA178" s="23">
        <f>VALUE(0)</f>
        <v>0</v>
      </c>
      <c r="BB178" s="23">
        <f>VALUE(0)</f>
        <v>0</v>
      </c>
      <c r="BC178" s="23">
        <f>VALUE(0)</f>
        <v>0</v>
      </c>
      <c r="BD178" s="23">
        <f>VALUE(0)</f>
        <v>0</v>
      </c>
      <c r="BE178" s="23">
        <f>VALUE(0)</f>
        <v>0</v>
      </c>
      <c r="BF178" s="23">
        <f>VALUE(0)</f>
        <v>0</v>
      </c>
      <c r="BG178" s="23">
        <f>VALUE(0)</f>
        <v>0</v>
      </c>
      <c r="BH178" s="23">
        <f>VALUE(0)</f>
        <v>0</v>
      </c>
      <c r="BI178" s="23">
        <f>VALUE(0)</f>
        <v>0</v>
      </c>
      <c r="BJ178" s="23">
        <f>VALUE(0)</f>
        <v>0</v>
      </c>
      <c r="BK178" s="12">
        <f>$AX$178*24</f>
        <v>0</v>
      </c>
      <c r="BL178" s="12">
        <f>$AY$178*24</f>
        <v>8.3333333333333329E-2</v>
      </c>
      <c r="BM178" s="12">
        <f>$BJ$178*24</f>
        <v>0</v>
      </c>
      <c r="BN178" s="12">
        <f>VALUE($I$178)/100</f>
        <v>1</v>
      </c>
      <c r="BO178" s="12">
        <v>0</v>
      </c>
      <c r="BP178" s="12">
        <v>0</v>
      </c>
      <c r="BQ178" s="12">
        <v>0</v>
      </c>
      <c r="BR178" s="12">
        <v>0</v>
      </c>
      <c r="BS178" s="12">
        <v>0</v>
      </c>
      <c r="BT178" s="12">
        <v>2</v>
      </c>
      <c r="BU178" s="12">
        <v>0</v>
      </c>
      <c r="BV178" s="12">
        <v>0</v>
      </c>
      <c r="BW178" s="12">
        <v>0</v>
      </c>
      <c r="BX178" s="12">
        <v>0</v>
      </c>
      <c r="BY178" s="12">
        <v>0</v>
      </c>
      <c r="BZ178" s="12">
        <v>0</v>
      </c>
      <c r="CA178" s="12">
        <v>0</v>
      </c>
    </row>
    <row r="179" spans="1:79" hidden="1" x14ac:dyDescent="0.2">
      <c r="A179" s="12" t="s">
        <v>120</v>
      </c>
      <c r="B179" s="12" t="s">
        <v>125</v>
      </c>
      <c r="C179" s="12" t="s">
        <v>125</v>
      </c>
      <c r="D179" s="22" t="s">
        <v>440</v>
      </c>
      <c r="E179" s="22" t="s">
        <v>161</v>
      </c>
      <c r="F179" s="22" t="s">
        <v>873</v>
      </c>
      <c r="G179" s="22" t="s">
        <v>874</v>
      </c>
      <c r="H179" s="22" t="s">
        <v>150</v>
      </c>
      <c r="I179" s="22" t="s">
        <v>151</v>
      </c>
      <c r="J179" s="22" t="s">
        <v>162</v>
      </c>
      <c r="K179" s="22" t="s">
        <v>84</v>
      </c>
      <c r="L179" s="54" t="s">
        <v>153</v>
      </c>
      <c r="M179" s="23" t="s">
        <v>153</v>
      </c>
      <c r="N179" s="24" t="s">
        <v>153</v>
      </c>
      <c r="O179" s="23" t="s">
        <v>153</v>
      </c>
      <c r="P179" s="23" t="s">
        <v>153</v>
      </c>
      <c r="Q179" s="23" t="s">
        <v>153</v>
      </c>
      <c r="R179" s="23" t="s">
        <v>153</v>
      </c>
      <c r="S179" s="23" t="s">
        <v>153</v>
      </c>
      <c r="T179" s="23" t="s">
        <v>153</v>
      </c>
      <c r="U179" s="24" t="s">
        <v>153</v>
      </c>
      <c r="V179" s="54" t="s">
        <v>153</v>
      </c>
      <c r="W179" s="23" t="s">
        <v>153</v>
      </c>
      <c r="X179" s="23" t="s">
        <v>153</v>
      </c>
      <c r="Y179" s="23" t="s">
        <v>153</v>
      </c>
      <c r="Z179" s="24" t="s">
        <v>156</v>
      </c>
      <c r="AA179" s="24" t="s">
        <v>156</v>
      </c>
      <c r="AB179" s="24" t="s">
        <v>153</v>
      </c>
      <c r="AC179" s="23" t="s">
        <v>153</v>
      </c>
      <c r="AD179" s="23" t="s">
        <v>153</v>
      </c>
      <c r="AE179" s="23" t="s">
        <v>153</v>
      </c>
      <c r="AF179" s="23" t="s">
        <v>153</v>
      </c>
      <c r="AG179" s="23" t="s">
        <v>153</v>
      </c>
      <c r="AH179" s="23" t="s">
        <v>153</v>
      </c>
      <c r="AI179" s="24" t="s">
        <v>153</v>
      </c>
      <c r="AJ179" s="23" t="s">
        <v>153</v>
      </c>
      <c r="AK179" s="23" t="s">
        <v>153</v>
      </c>
      <c r="AL179" s="23" t="s">
        <v>153</v>
      </c>
      <c r="AM179" s="23" t="s">
        <v>153</v>
      </c>
      <c r="AN179" s="23" t="s">
        <v>153</v>
      </c>
      <c r="AO179" s="23" t="s">
        <v>153</v>
      </c>
      <c r="AP179" s="23">
        <f>VALUE(18)</f>
        <v>18</v>
      </c>
      <c r="AQ179" s="23">
        <f>VALUE(0)</f>
        <v>0</v>
      </c>
      <c r="AR179" s="23">
        <f>VALUE(0)</f>
        <v>0</v>
      </c>
      <c r="AS179" s="23">
        <f>VALUE(0)</f>
        <v>0</v>
      </c>
      <c r="AT179" s="23">
        <f>VALUE(0)</f>
        <v>0</v>
      </c>
      <c r="AU179" s="23">
        <f>VALUE(0)</f>
        <v>0</v>
      </c>
      <c r="AV179" s="23">
        <f>VALUE(0)</f>
        <v>0</v>
      </c>
      <c r="AW179" s="23">
        <f>VALUE(0)</f>
        <v>0</v>
      </c>
      <c r="AX179" s="23" t="s">
        <v>158</v>
      </c>
      <c r="AY179" s="23" t="s">
        <v>441</v>
      </c>
      <c r="AZ179" s="23">
        <f>VALUE(0)</f>
        <v>0</v>
      </c>
      <c r="BA179" s="23">
        <f>VALUE(0)</f>
        <v>0</v>
      </c>
      <c r="BB179" s="23">
        <f>VALUE(0)</f>
        <v>0</v>
      </c>
      <c r="BC179" s="23">
        <f>VALUE(0)</f>
        <v>0</v>
      </c>
      <c r="BD179" s="23">
        <f>VALUE(0)</f>
        <v>0</v>
      </c>
      <c r="BE179" s="23">
        <f>VALUE(0)</f>
        <v>0</v>
      </c>
      <c r="BF179" s="23">
        <f>VALUE(0)</f>
        <v>0</v>
      </c>
      <c r="BG179" s="23">
        <f>VALUE(0)</f>
        <v>0</v>
      </c>
      <c r="BH179" s="23">
        <f>VALUE(0)</f>
        <v>0</v>
      </c>
      <c r="BI179" s="23">
        <f>VALUE(0)</f>
        <v>0</v>
      </c>
      <c r="BJ179" s="23">
        <f>VALUE(0)</f>
        <v>0</v>
      </c>
      <c r="BK179" s="12">
        <f>$AX$179*24</f>
        <v>11.666666666666666</v>
      </c>
      <c r="BL179" s="12">
        <f>$AY$179*24</f>
        <v>16.183333333333334</v>
      </c>
      <c r="BM179" s="12">
        <f>$BJ$179*24</f>
        <v>0</v>
      </c>
      <c r="BN179" s="12">
        <f>VALUE($I$179)/100</f>
        <v>1</v>
      </c>
      <c r="BO179" s="12">
        <v>0</v>
      </c>
      <c r="BP179" s="12">
        <v>0</v>
      </c>
      <c r="BQ179" s="12">
        <v>0</v>
      </c>
      <c r="BR179" s="12">
        <v>0</v>
      </c>
      <c r="BS179" s="12">
        <v>0</v>
      </c>
      <c r="BT179" s="12">
        <v>0</v>
      </c>
      <c r="BU179" s="12">
        <v>0</v>
      </c>
      <c r="BV179" s="12">
        <v>0</v>
      </c>
      <c r="BW179" s="12">
        <v>0</v>
      </c>
      <c r="BX179" s="12">
        <v>0</v>
      </c>
      <c r="BY179" s="12">
        <v>0</v>
      </c>
      <c r="BZ179" s="12">
        <v>0</v>
      </c>
      <c r="CA179" s="12">
        <v>0</v>
      </c>
    </row>
    <row r="180" spans="1:79" hidden="1" x14ac:dyDescent="0.2">
      <c r="A180" s="12" t="s">
        <v>120</v>
      </c>
      <c r="B180" s="12" t="s">
        <v>125</v>
      </c>
      <c r="C180" s="12" t="s">
        <v>125</v>
      </c>
      <c r="D180" s="22" t="s">
        <v>442</v>
      </c>
      <c r="E180" s="22" t="s">
        <v>161</v>
      </c>
      <c r="F180" s="22" t="s">
        <v>875</v>
      </c>
      <c r="G180" s="22" t="s">
        <v>876</v>
      </c>
      <c r="H180" s="22" t="s">
        <v>150</v>
      </c>
      <c r="I180" s="22" t="s">
        <v>151</v>
      </c>
      <c r="J180" s="22" t="s">
        <v>162</v>
      </c>
      <c r="K180" s="22" t="s">
        <v>84</v>
      </c>
      <c r="L180" s="54" t="s">
        <v>153</v>
      </c>
      <c r="M180" s="29" t="s">
        <v>163</v>
      </c>
      <c r="N180" s="24" t="s">
        <v>153</v>
      </c>
      <c r="O180" s="23" t="s">
        <v>153</v>
      </c>
      <c r="P180" s="23" t="s">
        <v>153</v>
      </c>
      <c r="Q180" s="23" t="s">
        <v>153</v>
      </c>
      <c r="R180" s="23" t="s">
        <v>153</v>
      </c>
      <c r="S180" s="24" t="s">
        <v>156</v>
      </c>
      <c r="T180" s="24" t="s">
        <v>156</v>
      </c>
      <c r="U180" s="24" t="s">
        <v>153</v>
      </c>
      <c r="V180" s="54" t="s">
        <v>153</v>
      </c>
      <c r="W180" s="23" t="s">
        <v>153</v>
      </c>
      <c r="X180" s="23" t="s">
        <v>153</v>
      </c>
      <c r="Y180" s="23" t="s">
        <v>153</v>
      </c>
      <c r="Z180" s="23" t="s">
        <v>153</v>
      </c>
      <c r="AA180" s="23" t="s">
        <v>153</v>
      </c>
      <c r="AB180" s="24" t="s">
        <v>153</v>
      </c>
      <c r="AC180" s="23" t="s">
        <v>153</v>
      </c>
      <c r="AD180" s="23" t="s">
        <v>153</v>
      </c>
      <c r="AE180" s="23" t="s">
        <v>153</v>
      </c>
      <c r="AF180" s="23" t="s">
        <v>153</v>
      </c>
      <c r="AG180" s="23" t="s">
        <v>153</v>
      </c>
      <c r="AH180" s="23" t="s">
        <v>153</v>
      </c>
      <c r="AI180" s="24" t="s">
        <v>153</v>
      </c>
      <c r="AJ180" s="23" t="s">
        <v>153</v>
      </c>
      <c r="AK180" s="23" t="s">
        <v>153</v>
      </c>
      <c r="AL180" s="23" t="s">
        <v>153</v>
      </c>
      <c r="AM180" s="23" t="s">
        <v>153</v>
      </c>
      <c r="AN180" s="23" t="s">
        <v>153</v>
      </c>
      <c r="AO180" s="23" t="s">
        <v>153</v>
      </c>
      <c r="AP180" s="23">
        <f>VALUE(16)</f>
        <v>16</v>
      </c>
      <c r="AQ180" s="23">
        <f>VALUE(0)</f>
        <v>0</v>
      </c>
      <c r="AR180" s="23">
        <f>VALUE(1)</f>
        <v>1</v>
      </c>
      <c r="AS180" s="23">
        <f>VALUE(0)</f>
        <v>0</v>
      </c>
      <c r="AT180" s="23">
        <f>VALUE(0)</f>
        <v>0</v>
      </c>
      <c r="AU180" s="23">
        <f>VALUE(0)</f>
        <v>0</v>
      </c>
      <c r="AV180" s="23">
        <f>VALUE(0)</f>
        <v>0</v>
      </c>
      <c r="AW180" s="23">
        <f>VALUE(0)</f>
        <v>0</v>
      </c>
      <c r="AX180" s="23" t="s">
        <v>176</v>
      </c>
      <c r="AY180" s="23" t="s">
        <v>443</v>
      </c>
      <c r="AZ180" s="23">
        <f>VALUE(0)</f>
        <v>0</v>
      </c>
      <c r="BA180" s="23">
        <f>VALUE(0)</f>
        <v>0</v>
      </c>
      <c r="BB180" s="23">
        <f>VALUE(0)</f>
        <v>0</v>
      </c>
      <c r="BC180" s="23">
        <f>VALUE(0)</f>
        <v>0</v>
      </c>
      <c r="BD180" s="23">
        <f>VALUE(0)</f>
        <v>0</v>
      </c>
      <c r="BE180" s="23">
        <f>VALUE(0)</f>
        <v>0</v>
      </c>
      <c r="BF180" s="23">
        <f>VALUE(0)</f>
        <v>0</v>
      </c>
      <c r="BG180" s="23">
        <f>VALUE(0)</f>
        <v>0</v>
      </c>
      <c r="BH180" s="23">
        <f>VALUE(0)</f>
        <v>0</v>
      </c>
      <c r="BI180" s="23">
        <f>VALUE(0)</f>
        <v>0</v>
      </c>
      <c r="BJ180" s="23">
        <f>VALUE(0)</f>
        <v>0</v>
      </c>
      <c r="BK180" s="12">
        <f>$AX$180*24</f>
        <v>0</v>
      </c>
      <c r="BL180" s="12">
        <f>$AY$180*24</f>
        <v>5.4333333333333336</v>
      </c>
      <c r="BM180" s="12">
        <f>$BJ$180*24</f>
        <v>0</v>
      </c>
      <c r="BN180" s="12">
        <f>VALUE($I$180)/100</f>
        <v>1</v>
      </c>
      <c r="BO180" s="12">
        <v>0</v>
      </c>
      <c r="BP180" s="12">
        <v>0</v>
      </c>
      <c r="BQ180" s="12">
        <v>0</v>
      </c>
      <c r="BR180" s="12">
        <v>0</v>
      </c>
      <c r="BS180" s="12">
        <v>0</v>
      </c>
      <c r="BT180" s="12">
        <v>1</v>
      </c>
      <c r="BU180" s="12">
        <v>0</v>
      </c>
      <c r="BV180" s="12">
        <v>0</v>
      </c>
      <c r="BW180" s="12">
        <v>0</v>
      </c>
      <c r="BX180" s="12">
        <v>0</v>
      </c>
      <c r="BY180" s="12">
        <v>0</v>
      </c>
      <c r="BZ180" s="12">
        <v>0</v>
      </c>
      <c r="CA180" s="12">
        <v>0</v>
      </c>
    </row>
    <row r="181" spans="1:79" hidden="1" x14ac:dyDescent="0.2">
      <c r="A181" s="12" t="s">
        <v>120</v>
      </c>
      <c r="B181" s="12" t="s">
        <v>125</v>
      </c>
      <c r="C181" s="12" t="s">
        <v>125</v>
      </c>
      <c r="D181" s="22" t="s">
        <v>444</v>
      </c>
      <c r="E181" s="22" t="s">
        <v>161</v>
      </c>
      <c r="F181" s="22" t="s">
        <v>877</v>
      </c>
      <c r="G181" s="22" t="s">
        <v>878</v>
      </c>
      <c r="H181" s="22" t="s">
        <v>150</v>
      </c>
      <c r="I181" s="22" t="s">
        <v>151</v>
      </c>
      <c r="J181" s="22" t="s">
        <v>162</v>
      </c>
      <c r="K181" s="22" t="s">
        <v>84</v>
      </c>
      <c r="L181" s="54" t="s">
        <v>156</v>
      </c>
      <c r="M181" s="24" t="s">
        <v>156</v>
      </c>
      <c r="N181" s="24" t="s">
        <v>153</v>
      </c>
      <c r="O181" s="28" t="s">
        <v>163</v>
      </c>
      <c r="P181" s="28" t="s">
        <v>163</v>
      </c>
      <c r="Q181" s="28" t="s">
        <v>163</v>
      </c>
      <c r="R181" s="29" t="s">
        <v>163</v>
      </c>
      <c r="S181" s="29" t="s">
        <v>163</v>
      </c>
      <c r="T181" s="29" t="s">
        <v>163</v>
      </c>
      <c r="U181" s="24" t="s">
        <v>153</v>
      </c>
      <c r="V181" s="54" t="s">
        <v>153</v>
      </c>
      <c r="W181" s="55" t="s">
        <v>1241</v>
      </c>
      <c r="X181" s="55" t="s">
        <v>1241</v>
      </c>
      <c r="Y181" s="55" t="s">
        <v>1241</v>
      </c>
      <c r="Z181" s="55" t="s">
        <v>1241</v>
      </c>
      <c r="AA181" s="55" t="s">
        <v>1241</v>
      </c>
      <c r="AB181" s="24" t="s">
        <v>153</v>
      </c>
      <c r="AC181" s="23" t="s">
        <v>153</v>
      </c>
      <c r="AD181" s="23" t="s">
        <v>153</v>
      </c>
      <c r="AE181" s="23" t="s">
        <v>153</v>
      </c>
      <c r="AF181" s="23" t="s">
        <v>153</v>
      </c>
      <c r="AG181" s="23" t="s">
        <v>153</v>
      </c>
      <c r="AH181" s="23" t="s">
        <v>153</v>
      </c>
      <c r="AI181" s="24" t="s">
        <v>153</v>
      </c>
      <c r="AJ181" s="24" t="s">
        <v>156</v>
      </c>
      <c r="AK181" s="24" t="s">
        <v>156</v>
      </c>
      <c r="AL181" s="23" t="s">
        <v>153</v>
      </c>
      <c r="AM181" s="23" t="s">
        <v>153</v>
      </c>
      <c r="AN181" s="23" t="s">
        <v>153</v>
      </c>
      <c r="AO181" s="23" t="s">
        <v>153</v>
      </c>
      <c r="AP181" s="23">
        <f>VALUE(14)</f>
        <v>14</v>
      </c>
      <c r="AQ181" s="23">
        <f>VALUE(0)</f>
        <v>0</v>
      </c>
      <c r="AR181" s="23">
        <f>VALUE(3)</f>
        <v>3</v>
      </c>
      <c r="AS181" s="23">
        <f>VALUE(0)</f>
        <v>0</v>
      </c>
      <c r="AT181" s="23">
        <f>VALUE(0)</f>
        <v>0</v>
      </c>
      <c r="AU181" s="23">
        <f>VALUE(3)</f>
        <v>3</v>
      </c>
      <c r="AV181" s="23">
        <f>VALUE(1)</f>
        <v>1</v>
      </c>
      <c r="AW181" s="23">
        <f>VALUE(0)</f>
        <v>0</v>
      </c>
      <c r="AX181" s="23" t="s">
        <v>158</v>
      </c>
      <c r="AY181" s="23" t="s">
        <v>446</v>
      </c>
      <c r="AZ181" s="23">
        <f>VALUE(0)</f>
        <v>0</v>
      </c>
      <c r="BA181" s="23">
        <f>VALUE(0)</f>
        <v>0</v>
      </c>
      <c r="BB181" s="23">
        <f>VALUE(0)</f>
        <v>0</v>
      </c>
      <c r="BC181" s="23">
        <f>VALUE(0)</f>
        <v>0</v>
      </c>
      <c r="BD181" s="23">
        <f>VALUE(0)</f>
        <v>0</v>
      </c>
      <c r="BE181" s="23">
        <f>VALUE(0)</f>
        <v>0</v>
      </c>
      <c r="BF181" s="23">
        <f>VALUE(0)</f>
        <v>0</v>
      </c>
      <c r="BG181" s="23">
        <f>VALUE(0)</f>
        <v>0</v>
      </c>
      <c r="BH181" s="23">
        <f>VALUE(0)</f>
        <v>0</v>
      </c>
      <c r="BI181" s="23">
        <f>VALUE(0)</f>
        <v>0</v>
      </c>
      <c r="BJ181" s="23">
        <f>VALUE(0)</f>
        <v>0</v>
      </c>
      <c r="BK181" s="12">
        <f>$AX$181*24</f>
        <v>11.666666666666666</v>
      </c>
      <c r="BL181" s="12">
        <f>$AY$181*24</f>
        <v>21.433333333333334</v>
      </c>
      <c r="BM181" s="12">
        <f>$BJ$181*24</f>
        <v>0</v>
      </c>
      <c r="BN181" s="12">
        <f>VALUE($I$181)/100</f>
        <v>1</v>
      </c>
      <c r="BO181" s="12">
        <v>0</v>
      </c>
      <c r="BP181" s="12">
        <v>5</v>
      </c>
      <c r="BQ181" s="12">
        <v>0</v>
      </c>
      <c r="BR181" s="12">
        <v>0</v>
      </c>
      <c r="BS181" s="12">
        <v>0</v>
      </c>
      <c r="BT181" s="12">
        <v>3</v>
      </c>
      <c r="BU181" s="12">
        <v>0</v>
      </c>
      <c r="BV181" s="12">
        <v>0</v>
      </c>
      <c r="BW181" s="12">
        <v>0</v>
      </c>
      <c r="BX181" s="12">
        <v>0</v>
      </c>
      <c r="BY181" s="12">
        <v>0</v>
      </c>
      <c r="BZ181" s="12">
        <v>0</v>
      </c>
      <c r="CA181" s="12">
        <v>0</v>
      </c>
    </row>
    <row r="182" spans="1:79" hidden="1" x14ac:dyDescent="0.2">
      <c r="A182" s="12" t="s">
        <v>120</v>
      </c>
      <c r="B182" s="12" t="s">
        <v>125</v>
      </c>
      <c r="C182" s="12" t="s">
        <v>125</v>
      </c>
      <c r="D182" s="22" t="s">
        <v>444</v>
      </c>
      <c r="E182" s="22" t="s">
        <v>161</v>
      </c>
      <c r="F182" s="22" t="s">
        <v>879</v>
      </c>
      <c r="G182" s="22" t="s">
        <v>880</v>
      </c>
      <c r="H182" s="22" t="s">
        <v>190</v>
      </c>
      <c r="I182" s="22" t="s">
        <v>151</v>
      </c>
      <c r="J182" s="22" t="s">
        <v>162</v>
      </c>
      <c r="K182" s="22" t="s">
        <v>84</v>
      </c>
      <c r="L182" s="54" t="s">
        <v>153</v>
      </c>
      <c r="M182" s="23" t="s">
        <v>153</v>
      </c>
      <c r="N182" s="24" t="s">
        <v>153</v>
      </c>
      <c r="O182" s="23" t="s">
        <v>153</v>
      </c>
      <c r="P182" s="23" t="s">
        <v>153</v>
      </c>
      <c r="Q182" s="23" t="s">
        <v>153</v>
      </c>
      <c r="R182" s="23" t="s">
        <v>153</v>
      </c>
      <c r="S182" s="23" t="s">
        <v>153</v>
      </c>
      <c r="T182" s="23" t="s">
        <v>153</v>
      </c>
      <c r="U182" s="24" t="s">
        <v>153</v>
      </c>
      <c r="V182" s="54" t="s">
        <v>153</v>
      </c>
      <c r="W182" s="23" t="s">
        <v>153</v>
      </c>
      <c r="X182" s="23" t="s">
        <v>153</v>
      </c>
      <c r="Y182" s="23" t="s">
        <v>153</v>
      </c>
      <c r="Z182" s="23" t="s">
        <v>153</v>
      </c>
      <c r="AA182" s="23" t="s">
        <v>153</v>
      </c>
      <c r="AB182" s="40" t="s">
        <v>153</v>
      </c>
      <c r="AC182" s="40" t="s">
        <v>153</v>
      </c>
      <c r="AD182" s="40" t="s">
        <v>153</v>
      </c>
      <c r="AE182" s="40" t="s">
        <v>153</v>
      </c>
      <c r="AF182" s="40" t="s">
        <v>153</v>
      </c>
      <c r="AG182" s="40" t="s">
        <v>153</v>
      </c>
      <c r="AH182" s="40" t="s">
        <v>153</v>
      </c>
      <c r="AI182" s="40" t="s">
        <v>153</v>
      </c>
      <c r="AJ182" s="40" t="s">
        <v>153</v>
      </c>
      <c r="AK182" s="40" t="s">
        <v>153</v>
      </c>
      <c r="AL182" s="40" t="s">
        <v>153</v>
      </c>
      <c r="AM182" s="40" t="s">
        <v>153</v>
      </c>
      <c r="AN182" s="40" t="s">
        <v>153</v>
      </c>
      <c r="AO182" s="40" t="s">
        <v>153</v>
      </c>
      <c r="AP182" s="23">
        <f>VALUE(2)</f>
        <v>2</v>
      </c>
      <c r="AQ182" s="23">
        <f>VALUE(0)</f>
        <v>0</v>
      </c>
      <c r="AR182" s="23">
        <f>VALUE(0)</f>
        <v>0</v>
      </c>
      <c r="AS182" s="23">
        <f>VALUE(0)</f>
        <v>0</v>
      </c>
      <c r="AT182" s="23">
        <f>VALUE(0)</f>
        <v>0</v>
      </c>
      <c r="AU182" s="23">
        <f>VALUE(0)</f>
        <v>0</v>
      </c>
      <c r="AV182" s="23">
        <f>VALUE(6)</f>
        <v>6</v>
      </c>
      <c r="AW182" s="23">
        <f>VALUE(0)</f>
        <v>0</v>
      </c>
      <c r="AX182" s="23">
        <f>VALUE(0)</f>
        <v>0</v>
      </c>
      <c r="AY182" s="23">
        <f>VALUE(0)</f>
        <v>0</v>
      </c>
      <c r="AZ182" s="23">
        <f>VALUE(0)</f>
        <v>0</v>
      </c>
      <c r="BA182" s="23">
        <f>VALUE(0)</f>
        <v>0</v>
      </c>
      <c r="BB182" s="23">
        <f>VALUE(0)</f>
        <v>0</v>
      </c>
      <c r="BC182" s="23">
        <f>VALUE(0)</f>
        <v>0</v>
      </c>
      <c r="BD182" s="23">
        <f>VALUE(0)</f>
        <v>0</v>
      </c>
      <c r="BE182" s="23">
        <f>VALUE(0)</f>
        <v>0</v>
      </c>
      <c r="BF182" s="23">
        <f>VALUE(0)</f>
        <v>0</v>
      </c>
      <c r="BG182" s="23">
        <f>VALUE(0)</f>
        <v>0</v>
      </c>
      <c r="BH182" s="23">
        <f>VALUE(0)</f>
        <v>0</v>
      </c>
      <c r="BI182" s="23">
        <f>VALUE(0)</f>
        <v>0</v>
      </c>
      <c r="BJ182" s="23">
        <f>VALUE(0)</f>
        <v>0</v>
      </c>
      <c r="BK182" s="12">
        <f>$AX$182*24</f>
        <v>0</v>
      </c>
      <c r="BL182" s="12">
        <f>$AY$182*24</f>
        <v>0</v>
      </c>
      <c r="BM182" s="12">
        <f>$BJ$182*24</f>
        <v>0</v>
      </c>
      <c r="BN182" s="12">
        <f>VALUE($I$182)/100</f>
        <v>1</v>
      </c>
      <c r="BO182" s="12">
        <v>0</v>
      </c>
      <c r="BP182" s="12">
        <v>0</v>
      </c>
      <c r="BQ182" s="12">
        <v>0</v>
      </c>
      <c r="BR182" s="12">
        <v>0</v>
      </c>
      <c r="BS182" s="12">
        <v>0</v>
      </c>
      <c r="BT182" s="12">
        <v>0</v>
      </c>
      <c r="BU182" s="12">
        <v>0</v>
      </c>
      <c r="BV182" s="12">
        <v>0</v>
      </c>
      <c r="BW182" s="12">
        <v>0</v>
      </c>
      <c r="BX182" s="12">
        <v>0</v>
      </c>
      <c r="BY182" s="12">
        <v>0</v>
      </c>
      <c r="BZ182" s="12">
        <v>0</v>
      </c>
      <c r="CA182" s="12">
        <v>0</v>
      </c>
    </row>
    <row r="183" spans="1:79" hidden="1" x14ac:dyDescent="0.2">
      <c r="A183" s="12" t="s">
        <v>120</v>
      </c>
      <c r="B183" s="12" t="s">
        <v>125</v>
      </c>
      <c r="C183" s="12" t="s">
        <v>125</v>
      </c>
      <c r="D183" s="22" t="s">
        <v>447</v>
      </c>
      <c r="E183" s="22" t="s">
        <v>161</v>
      </c>
      <c r="F183" s="22" t="s">
        <v>881</v>
      </c>
      <c r="G183" s="22" t="s">
        <v>882</v>
      </c>
      <c r="H183" s="22" t="s">
        <v>166</v>
      </c>
      <c r="I183" s="22" t="s">
        <v>151</v>
      </c>
      <c r="J183" s="22" t="s">
        <v>162</v>
      </c>
      <c r="K183" s="22" t="s">
        <v>84</v>
      </c>
      <c r="L183" s="54" t="s">
        <v>153</v>
      </c>
      <c r="M183" s="28" t="s">
        <v>163</v>
      </c>
      <c r="N183" s="24" t="s">
        <v>153</v>
      </c>
      <c r="O183" s="23" t="s">
        <v>153</v>
      </c>
      <c r="P183" s="23" t="s">
        <v>153</v>
      </c>
      <c r="Q183" s="23" t="s">
        <v>153</v>
      </c>
      <c r="R183" s="23" t="s">
        <v>153</v>
      </c>
      <c r="S183" s="23" t="s">
        <v>153</v>
      </c>
      <c r="T183" s="23" t="s">
        <v>153</v>
      </c>
      <c r="U183" s="24" t="s">
        <v>153</v>
      </c>
      <c r="V183" s="54" t="s">
        <v>153</v>
      </c>
      <c r="W183" s="23" t="s">
        <v>153</v>
      </c>
      <c r="X183" s="23" t="s">
        <v>153</v>
      </c>
      <c r="Y183" s="23" t="s">
        <v>153</v>
      </c>
      <c r="Z183" s="23" t="s">
        <v>153</v>
      </c>
      <c r="AA183" s="23" t="s">
        <v>153</v>
      </c>
      <c r="AB183" s="24" t="s">
        <v>153</v>
      </c>
      <c r="AC183" s="24" t="s">
        <v>156</v>
      </c>
      <c r="AD183" s="24" t="s">
        <v>156</v>
      </c>
      <c r="AE183" s="23" t="s">
        <v>153</v>
      </c>
      <c r="AF183" s="23" t="s">
        <v>153</v>
      </c>
      <c r="AG183" s="23" t="s">
        <v>153</v>
      </c>
      <c r="AH183" s="23" t="s">
        <v>153</v>
      </c>
      <c r="AI183" s="24" t="s">
        <v>153</v>
      </c>
      <c r="AJ183" s="23" t="s">
        <v>153</v>
      </c>
      <c r="AK183" s="23" t="s">
        <v>153</v>
      </c>
      <c r="AL183" s="23" t="s">
        <v>153</v>
      </c>
      <c r="AM183" s="23" t="s">
        <v>153</v>
      </c>
      <c r="AN183" s="23" t="s">
        <v>153</v>
      </c>
      <c r="AO183" s="23" t="s">
        <v>153</v>
      </c>
      <c r="AP183" s="23">
        <f>VALUE(18)</f>
        <v>18</v>
      </c>
      <c r="AQ183" s="23">
        <f>VALUE(0)</f>
        <v>0</v>
      </c>
      <c r="AR183" s="23">
        <f>VALUE(0)</f>
        <v>0</v>
      </c>
      <c r="AS183" s="23">
        <f>VALUE(0)</f>
        <v>0</v>
      </c>
      <c r="AT183" s="23">
        <f>VALUE(0)</f>
        <v>0</v>
      </c>
      <c r="AU183" s="23">
        <f>VALUE(1)</f>
        <v>1</v>
      </c>
      <c r="AV183" s="23">
        <f>VALUE(2)</f>
        <v>2</v>
      </c>
      <c r="AW183" s="23">
        <f>VALUE(0)</f>
        <v>0</v>
      </c>
      <c r="AX183" s="23" t="s">
        <v>1242</v>
      </c>
      <c r="AY183" s="23">
        <f>VALUE(0)</f>
        <v>0</v>
      </c>
      <c r="AZ183" s="23">
        <f>VALUE(0)</f>
        <v>0</v>
      </c>
      <c r="BA183" s="23">
        <f>VALUE(0)</f>
        <v>0</v>
      </c>
      <c r="BB183" s="23">
        <f>VALUE(0)</f>
        <v>0</v>
      </c>
      <c r="BC183" s="23">
        <f>VALUE(0)</f>
        <v>0</v>
      </c>
      <c r="BD183" s="23">
        <f>VALUE(0)</f>
        <v>0</v>
      </c>
      <c r="BE183" s="23">
        <f>VALUE(0)</f>
        <v>0</v>
      </c>
      <c r="BF183" s="23">
        <f>VALUE(0)</f>
        <v>0</v>
      </c>
      <c r="BG183" s="23">
        <f>VALUE(0)</f>
        <v>0</v>
      </c>
      <c r="BH183" s="23">
        <f>VALUE(0)</f>
        <v>0</v>
      </c>
      <c r="BI183" s="23">
        <f>VALUE(0)</f>
        <v>0</v>
      </c>
      <c r="BJ183" s="23">
        <f>VALUE(0)</f>
        <v>0</v>
      </c>
      <c r="BK183" s="12">
        <f>$AX$183*24</f>
        <v>20.166666666666668</v>
      </c>
      <c r="BL183" s="12">
        <f>$AY$183*24</f>
        <v>0</v>
      </c>
      <c r="BM183" s="12">
        <f>$BJ$183*24</f>
        <v>0</v>
      </c>
      <c r="BN183" s="12">
        <f>VALUE($I$183)/100</f>
        <v>1</v>
      </c>
      <c r="BO183" s="12">
        <v>0</v>
      </c>
      <c r="BP183" s="12">
        <v>0</v>
      </c>
      <c r="BQ183" s="12">
        <v>0</v>
      </c>
      <c r="BR183" s="12">
        <v>0</v>
      </c>
      <c r="BS183" s="12">
        <v>0</v>
      </c>
      <c r="BT183" s="12">
        <v>0</v>
      </c>
      <c r="BU183" s="12">
        <v>0</v>
      </c>
      <c r="BV183" s="12">
        <v>0</v>
      </c>
      <c r="BW183" s="12">
        <v>0</v>
      </c>
      <c r="BX183" s="12">
        <v>0</v>
      </c>
      <c r="BY183" s="12">
        <v>0</v>
      </c>
      <c r="BZ183" s="12">
        <v>0</v>
      </c>
      <c r="CA183" s="12">
        <v>0</v>
      </c>
    </row>
    <row r="184" spans="1:79" hidden="1" x14ac:dyDescent="0.2">
      <c r="A184" s="12" t="s">
        <v>120</v>
      </c>
      <c r="B184" s="12" t="s">
        <v>125</v>
      </c>
      <c r="C184" s="12" t="s">
        <v>125</v>
      </c>
      <c r="D184" s="22" t="s">
        <v>447</v>
      </c>
      <c r="E184" s="22" t="s">
        <v>161</v>
      </c>
      <c r="F184" s="22" t="s">
        <v>1243</v>
      </c>
      <c r="G184" s="22" t="s">
        <v>883</v>
      </c>
      <c r="H184" s="22" t="s">
        <v>279</v>
      </c>
      <c r="I184" s="22" t="s">
        <v>151</v>
      </c>
      <c r="J184" s="22" t="s">
        <v>162</v>
      </c>
      <c r="K184" s="22" t="s">
        <v>84</v>
      </c>
      <c r="L184" s="54" t="s">
        <v>153</v>
      </c>
      <c r="M184" s="23" t="s">
        <v>153</v>
      </c>
      <c r="N184" s="24" t="s">
        <v>153</v>
      </c>
      <c r="O184" s="23" t="s">
        <v>448</v>
      </c>
      <c r="P184" s="23" t="s">
        <v>448</v>
      </c>
      <c r="Q184" s="23" t="s">
        <v>448</v>
      </c>
      <c r="R184" s="23" t="s">
        <v>448</v>
      </c>
      <c r="S184" s="23" t="s">
        <v>448</v>
      </c>
      <c r="T184" s="23" t="s">
        <v>448</v>
      </c>
      <c r="U184" s="24" t="s">
        <v>153</v>
      </c>
      <c r="V184" s="54" t="s">
        <v>153</v>
      </c>
      <c r="W184" s="27" t="s">
        <v>153</v>
      </c>
      <c r="X184" s="27" t="s">
        <v>153</v>
      </c>
      <c r="Y184" s="27" t="s">
        <v>153</v>
      </c>
      <c r="Z184" s="27" t="s">
        <v>153</v>
      </c>
      <c r="AA184" s="27" t="s">
        <v>153</v>
      </c>
      <c r="AB184" s="24" t="s">
        <v>153</v>
      </c>
      <c r="AC184" s="27" t="s">
        <v>153</v>
      </c>
      <c r="AD184" s="27" t="s">
        <v>153</v>
      </c>
      <c r="AE184" s="27" t="s">
        <v>153</v>
      </c>
      <c r="AF184" s="27" t="s">
        <v>153</v>
      </c>
      <c r="AG184" s="27" t="s">
        <v>153</v>
      </c>
      <c r="AH184" s="27" t="s">
        <v>153</v>
      </c>
      <c r="AI184" s="24" t="s">
        <v>153</v>
      </c>
      <c r="AJ184" s="27" t="s">
        <v>153</v>
      </c>
      <c r="AK184" s="27" t="s">
        <v>153</v>
      </c>
      <c r="AL184" s="27" t="s">
        <v>153</v>
      </c>
      <c r="AM184" s="27" t="s">
        <v>153</v>
      </c>
      <c r="AN184" s="27" t="s">
        <v>153</v>
      </c>
      <c r="AO184" s="27" t="s">
        <v>153</v>
      </c>
      <c r="AP184" s="23">
        <f>VALUE(0)</f>
        <v>0</v>
      </c>
      <c r="AQ184" s="23">
        <f>VALUE(0)</f>
        <v>0</v>
      </c>
      <c r="AR184" s="23">
        <f>VALUE(0)</f>
        <v>0</v>
      </c>
      <c r="AS184" s="23">
        <f>VALUE(0)</f>
        <v>0</v>
      </c>
      <c r="AT184" s="23">
        <f>VALUE(0)</f>
        <v>0</v>
      </c>
      <c r="AU184" s="23">
        <f>VALUE(0)</f>
        <v>0</v>
      </c>
      <c r="AV184" s="23">
        <f>VALUE(0)</f>
        <v>0</v>
      </c>
      <c r="AW184" s="23">
        <f>VALUE(0)</f>
        <v>0</v>
      </c>
      <c r="AX184" s="23">
        <f>VALUE(0)</f>
        <v>0</v>
      </c>
      <c r="AY184" s="23">
        <f>VALUE(0)</f>
        <v>0</v>
      </c>
      <c r="AZ184" s="23">
        <f>VALUE(0)</f>
        <v>0</v>
      </c>
      <c r="BA184" s="23">
        <f>VALUE(0)</f>
        <v>0</v>
      </c>
      <c r="BB184" s="23">
        <f>VALUE(0)</f>
        <v>0</v>
      </c>
      <c r="BC184" s="23">
        <f>VALUE(0)</f>
        <v>0</v>
      </c>
      <c r="BD184" s="23">
        <f>VALUE(0)</f>
        <v>0</v>
      </c>
      <c r="BE184" s="23">
        <f>VALUE(0)</f>
        <v>0</v>
      </c>
      <c r="BF184" s="23">
        <f>VALUE(0)</f>
        <v>0</v>
      </c>
      <c r="BG184" s="23">
        <f>VALUE(0)</f>
        <v>0</v>
      </c>
      <c r="BH184" s="23">
        <f>VALUE(0)</f>
        <v>0</v>
      </c>
      <c r="BI184" s="23">
        <f>VALUE(0)</f>
        <v>0</v>
      </c>
      <c r="BJ184" s="23">
        <f>VALUE(0)</f>
        <v>0</v>
      </c>
      <c r="BK184" s="12">
        <f>$AX$184*24</f>
        <v>0</v>
      </c>
      <c r="BL184" s="12">
        <f>$AY$184*24</f>
        <v>0</v>
      </c>
      <c r="BM184" s="12">
        <f>$BJ$184*24</f>
        <v>0</v>
      </c>
      <c r="BN184" s="12">
        <f>VALUE($I$184)/100</f>
        <v>1</v>
      </c>
      <c r="BO184" s="12">
        <v>0</v>
      </c>
      <c r="BP184" s="12">
        <v>0</v>
      </c>
      <c r="BQ184" s="12">
        <v>0</v>
      </c>
      <c r="BR184" s="12">
        <v>0</v>
      </c>
      <c r="BS184" s="12">
        <v>0</v>
      </c>
      <c r="BT184" s="12">
        <v>0</v>
      </c>
      <c r="BU184" s="12">
        <v>0</v>
      </c>
      <c r="BV184" s="12">
        <v>0</v>
      </c>
      <c r="BW184" s="12">
        <v>0</v>
      </c>
      <c r="BX184" s="12">
        <v>0</v>
      </c>
      <c r="BY184" s="12">
        <v>0</v>
      </c>
      <c r="BZ184" s="12">
        <v>0</v>
      </c>
      <c r="CA184" s="12">
        <v>0</v>
      </c>
    </row>
    <row r="185" spans="1:79" hidden="1" x14ac:dyDescent="0.2">
      <c r="A185" s="12" t="s">
        <v>120</v>
      </c>
      <c r="B185" s="12" t="s">
        <v>125</v>
      </c>
      <c r="C185" s="12" t="s">
        <v>125</v>
      </c>
      <c r="D185" s="22" t="s">
        <v>451</v>
      </c>
      <c r="E185" s="22" t="s">
        <v>161</v>
      </c>
      <c r="F185" s="22" t="s">
        <v>884</v>
      </c>
      <c r="G185" s="22" t="s">
        <v>885</v>
      </c>
      <c r="H185" s="22" t="s">
        <v>166</v>
      </c>
      <c r="I185" s="22" t="s">
        <v>194</v>
      </c>
      <c r="J185" s="22" t="s">
        <v>162</v>
      </c>
      <c r="K185" s="22" t="s">
        <v>84</v>
      </c>
      <c r="L185" s="54" t="s">
        <v>153</v>
      </c>
      <c r="M185" s="24" t="s">
        <v>195</v>
      </c>
      <c r="N185" s="24" t="s">
        <v>153</v>
      </c>
      <c r="O185" s="23" t="s">
        <v>153</v>
      </c>
      <c r="P185" s="23" t="s">
        <v>153</v>
      </c>
      <c r="Q185" s="23" t="s">
        <v>153</v>
      </c>
      <c r="R185" s="23" t="s">
        <v>153</v>
      </c>
      <c r="S185" s="23" t="s">
        <v>153</v>
      </c>
      <c r="T185" s="23" t="s">
        <v>153</v>
      </c>
      <c r="U185" s="24" t="s">
        <v>153</v>
      </c>
      <c r="V185" s="54" t="s">
        <v>153</v>
      </c>
      <c r="W185" s="23" t="s">
        <v>153</v>
      </c>
      <c r="X185" s="24" t="s">
        <v>156</v>
      </c>
      <c r="Y185" s="24" t="s">
        <v>156</v>
      </c>
      <c r="Z185" s="23" t="s">
        <v>153</v>
      </c>
      <c r="AA185" s="23" t="s">
        <v>153</v>
      </c>
      <c r="AB185" s="24" t="s">
        <v>153</v>
      </c>
      <c r="AC185" s="23" t="s">
        <v>153</v>
      </c>
      <c r="AD185" s="23" t="s">
        <v>153</v>
      </c>
      <c r="AE185" s="23" t="s">
        <v>153</v>
      </c>
      <c r="AF185" s="24" t="s">
        <v>195</v>
      </c>
      <c r="AG185" s="24" t="s">
        <v>195</v>
      </c>
      <c r="AH185" s="24" t="s">
        <v>195</v>
      </c>
      <c r="AI185" s="24" t="s">
        <v>153</v>
      </c>
      <c r="AJ185" s="23" t="s">
        <v>153</v>
      </c>
      <c r="AK185" s="23" t="s">
        <v>153</v>
      </c>
      <c r="AL185" s="23" t="s">
        <v>153</v>
      </c>
      <c r="AM185" s="23" t="s">
        <v>153</v>
      </c>
      <c r="AN185" s="23" t="s">
        <v>153</v>
      </c>
      <c r="AO185" s="23" t="s">
        <v>153</v>
      </c>
      <c r="AP185" s="23">
        <f>VALUE(15)</f>
        <v>15</v>
      </c>
      <c r="AQ185" s="23">
        <f>VALUE(0)</f>
        <v>0</v>
      </c>
      <c r="AR185" s="23">
        <f>VALUE(0)</f>
        <v>0</v>
      </c>
      <c r="AS185" s="23">
        <f>VALUE(0)</f>
        <v>0</v>
      </c>
      <c r="AT185" s="23">
        <f>VALUE(0)</f>
        <v>0</v>
      </c>
      <c r="AU185" s="23">
        <f>VALUE(0)</f>
        <v>0</v>
      </c>
      <c r="AV185" s="23">
        <f>VALUE(1)</f>
        <v>1</v>
      </c>
      <c r="AW185" s="23">
        <f>VALUE(0)</f>
        <v>0</v>
      </c>
      <c r="AX185" s="23" t="s">
        <v>452</v>
      </c>
      <c r="AY185" s="23">
        <f>VALUE(0)</f>
        <v>0</v>
      </c>
      <c r="AZ185" s="23">
        <f>VALUE(0)</f>
        <v>0</v>
      </c>
      <c r="BA185" s="23">
        <f>VALUE(0)</f>
        <v>0</v>
      </c>
      <c r="BB185" s="23">
        <f>VALUE(0)</f>
        <v>0</v>
      </c>
      <c r="BC185" s="23">
        <f>VALUE(0)</f>
        <v>0</v>
      </c>
      <c r="BD185" s="23">
        <f>VALUE(0)</f>
        <v>0</v>
      </c>
      <c r="BE185" s="23">
        <f>VALUE(0)</f>
        <v>0</v>
      </c>
      <c r="BF185" s="23">
        <f>VALUE(0)</f>
        <v>0</v>
      </c>
      <c r="BG185" s="23">
        <f>VALUE(0)</f>
        <v>0</v>
      </c>
      <c r="BH185" s="23">
        <f>VALUE(0)</f>
        <v>0</v>
      </c>
      <c r="BI185" s="23">
        <f>VALUE(0)</f>
        <v>0</v>
      </c>
      <c r="BJ185" s="23">
        <f>VALUE(0)</f>
        <v>0</v>
      </c>
      <c r="BK185" s="12">
        <f>$AX$185*24</f>
        <v>21.266666666666666</v>
      </c>
      <c r="BL185" s="12">
        <f>$AY$185*24</f>
        <v>0</v>
      </c>
      <c r="BM185" s="12">
        <f>$BJ$185*24</f>
        <v>0</v>
      </c>
      <c r="BN185" s="12">
        <f>VALUE($I$185)/100</f>
        <v>0.8</v>
      </c>
      <c r="BO185" s="12">
        <v>0</v>
      </c>
      <c r="BP185" s="12">
        <v>0</v>
      </c>
      <c r="BQ185" s="12">
        <v>0</v>
      </c>
      <c r="BR185" s="12">
        <v>0</v>
      </c>
      <c r="BS185" s="12">
        <v>0</v>
      </c>
      <c r="BT185" s="12">
        <v>0</v>
      </c>
      <c r="BU185" s="12">
        <v>0</v>
      </c>
      <c r="BV185" s="12">
        <v>0</v>
      </c>
      <c r="BW185" s="12">
        <v>0</v>
      </c>
      <c r="BX185" s="12">
        <v>0</v>
      </c>
      <c r="BY185" s="12">
        <v>0</v>
      </c>
      <c r="BZ185" s="12">
        <v>0</v>
      </c>
      <c r="CA185" s="12">
        <v>0</v>
      </c>
    </row>
    <row r="186" spans="1:79" hidden="1" x14ac:dyDescent="0.2">
      <c r="A186" s="12" t="s">
        <v>120</v>
      </c>
      <c r="B186" s="12" t="s">
        <v>125</v>
      </c>
      <c r="C186" s="12" t="s">
        <v>125</v>
      </c>
      <c r="D186" s="22" t="s">
        <v>453</v>
      </c>
      <c r="E186" s="22" t="s">
        <v>161</v>
      </c>
      <c r="F186" s="22" t="s">
        <v>1244</v>
      </c>
      <c r="G186" s="22" t="s">
        <v>886</v>
      </c>
      <c r="H186" s="22" t="s">
        <v>150</v>
      </c>
      <c r="I186" s="22" t="s">
        <v>151</v>
      </c>
      <c r="J186" s="22" t="s">
        <v>162</v>
      </c>
      <c r="K186" s="22" t="s">
        <v>84</v>
      </c>
      <c r="L186" s="54" t="s">
        <v>153</v>
      </c>
      <c r="M186" s="23" t="s">
        <v>153</v>
      </c>
      <c r="N186" s="24" t="s">
        <v>153</v>
      </c>
      <c r="O186" s="23" t="s">
        <v>153</v>
      </c>
      <c r="P186" s="23" t="s">
        <v>153</v>
      </c>
      <c r="Q186" s="24" t="s">
        <v>156</v>
      </c>
      <c r="R186" s="24" t="s">
        <v>156</v>
      </c>
      <c r="S186" s="23" t="s">
        <v>153</v>
      </c>
      <c r="T186" s="23" t="s">
        <v>153</v>
      </c>
      <c r="U186" s="24" t="s">
        <v>153</v>
      </c>
      <c r="V186" s="54" t="s">
        <v>153</v>
      </c>
      <c r="W186" s="23" t="s">
        <v>153</v>
      </c>
      <c r="X186" s="23" t="s">
        <v>153</v>
      </c>
      <c r="Y186" s="23" t="s">
        <v>153</v>
      </c>
      <c r="Z186" s="23" t="s">
        <v>153</v>
      </c>
      <c r="AA186" s="23" t="s">
        <v>153</v>
      </c>
      <c r="AB186" s="24" t="s">
        <v>153</v>
      </c>
      <c r="AC186" s="23" t="s">
        <v>153</v>
      </c>
      <c r="AD186" s="23" t="s">
        <v>153</v>
      </c>
      <c r="AE186" s="23" t="s">
        <v>153</v>
      </c>
      <c r="AF186" s="23" t="s">
        <v>153</v>
      </c>
      <c r="AG186" s="23" t="s">
        <v>153</v>
      </c>
      <c r="AH186" s="23" t="s">
        <v>153</v>
      </c>
      <c r="AI186" s="24" t="s">
        <v>153</v>
      </c>
      <c r="AJ186" s="23" t="s">
        <v>153</v>
      </c>
      <c r="AK186" s="23" t="s">
        <v>153</v>
      </c>
      <c r="AL186" s="23" t="s">
        <v>153</v>
      </c>
      <c r="AM186" s="23" t="s">
        <v>153</v>
      </c>
      <c r="AN186" s="23" t="s">
        <v>153</v>
      </c>
      <c r="AO186" s="23" t="s">
        <v>153</v>
      </c>
      <c r="AP186" s="23">
        <f>VALUE(17)</f>
        <v>17</v>
      </c>
      <c r="AQ186" s="23">
        <f>VALUE(0)</f>
        <v>0</v>
      </c>
      <c r="AR186" s="23">
        <f>VALUE(0)</f>
        <v>0</v>
      </c>
      <c r="AS186" s="23">
        <f>VALUE(0)</f>
        <v>0</v>
      </c>
      <c r="AT186" s="23">
        <f>VALUE(0)</f>
        <v>0</v>
      </c>
      <c r="AU186" s="23">
        <f>VALUE(0)</f>
        <v>0</v>
      </c>
      <c r="AV186" s="23">
        <f>VALUE(4)</f>
        <v>4</v>
      </c>
      <c r="AW186" s="23">
        <f>VALUE(0)</f>
        <v>0</v>
      </c>
      <c r="AX186" s="23" t="s">
        <v>445</v>
      </c>
      <c r="AY186" s="23" t="s">
        <v>187</v>
      </c>
      <c r="AZ186" s="23">
        <f>VALUE(0)</f>
        <v>0</v>
      </c>
      <c r="BA186" s="23">
        <f>VALUE(0)</f>
        <v>0</v>
      </c>
      <c r="BB186" s="23">
        <f>VALUE(0)</f>
        <v>0</v>
      </c>
      <c r="BC186" s="23">
        <f>VALUE(0)</f>
        <v>0</v>
      </c>
      <c r="BD186" s="23">
        <f>VALUE(0)</f>
        <v>0</v>
      </c>
      <c r="BE186" s="23">
        <f>VALUE(0)</f>
        <v>0</v>
      </c>
      <c r="BF186" s="23">
        <f>VALUE(0)</f>
        <v>0</v>
      </c>
      <c r="BG186" s="23">
        <f>VALUE(0)</f>
        <v>0</v>
      </c>
      <c r="BH186" s="23">
        <f>VALUE(0)</f>
        <v>0</v>
      </c>
      <c r="BI186" s="23">
        <f>VALUE(0)</f>
        <v>0</v>
      </c>
      <c r="BJ186" s="23">
        <f>VALUE(0)</f>
        <v>0</v>
      </c>
      <c r="BK186" s="12">
        <f>$AX$186*24</f>
        <v>17.5</v>
      </c>
      <c r="BL186" s="12">
        <f>$AY$186*24</f>
        <v>6.1833333333333336</v>
      </c>
      <c r="BM186" s="12">
        <f>$BJ$186*24</f>
        <v>0</v>
      </c>
      <c r="BN186" s="12">
        <f>VALUE($I$186)/100</f>
        <v>1</v>
      </c>
      <c r="BO186" s="12">
        <v>0</v>
      </c>
      <c r="BP186" s="12">
        <v>0</v>
      </c>
      <c r="BQ186" s="12">
        <v>0</v>
      </c>
      <c r="BR186" s="12">
        <v>0</v>
      </c>
      <c r="BS186" s="12">
        <v>0</v>
      </c>
      <c r="BT186" s="12">
        <v>0</v>
      </c>
      <c r="BU186" s="12">
        <v>0</v>
      </c>
      <c r="BV186" s="12">
        <v>0</v>
      </c>
      <c r="BW186" s="12">
        <v>0</v>
      </c>
      <c r="BX186" s="12">
        <v>0</v>
      </c>
      <c r="BY186" s="12">
        <v>0</v>
      </c>
      <c r="BZ186" s="12">
        <v>0</v>
      </c>
      <c r="CA186" s="12">
        <v>0</v>
      </c>
    </row>
    <row r="187" spans="1:79" hidden="1" x14ac:dyDescent="0.2">
      <c r="A187" s="12" t="s">
        <v>120</v>
      </c>
      <c r="B187" s="12" t="s">
        <v>125</v>
      </c>
      <c r="C187" s="12" t="s">
        <v>125</v>
      </c>
      <c r="D187" s="22" t="s">
        <v>454</v>
      </c>
      <c r="E187" s="22" t="s">
        <v>161</v>
      </c>
      <c r="F187" s="22" t="s">
        <v>887</v>
      </c>
      <c r="G187" s="22" t="s">
        <v>888</v>
      </c>
      <c r="H187" s="22" t="s">
        <v>150</v>
      </c>
      <c r="I187" s="22" t="s">
        <v>151</v>
      </c>
      <c r="J187" s="22" t="s">
        <v>162</v>
      </c>
      <c r="K187" s="22" t="s">
        <v>84</v>
      </c>
      <c r="L187" s="54" t="s">
        <v>153</v>
      </c>
      <c r="M187" s="23" t="s">
        <v>153</v>
      </c>
      <c r="N187" s="24" t="s">
        <v>153</v>
      </c>
      <c r="O187" s="23" t="s">
        <v>153</v>
      </c>
      <c r="P187" s="23" t="s">
        <v>153</v>
      </c>
      <c r="Q187" s="23" t="s">
        <v>153</v>
      </c>
      <c r="R187" s="23" t="s">
        <v>153</v>
      </c>
      <c r="S187" s="23" t="s">
        <v>153</v>
      </c>
      <c r="T187" s="23" t="s">
        <v>153</v>
      </c>
      <c r="U187" s="24" t="s">
        <v>153</v>
      </c>
      <c r="V187" s="54" t="s">
        <v>153</v>
      </c>
      <c r="W187" s="28" t="s">
        <v>163</v>
      </c>
      <c r="X187" s="28" t="s">
        <v>163</v>
      </c>
      <c r="Y187" s="28" t="s">
        <v>163</v>
      </c>
      <c r="Z187" s="28" t="s">
        <v>163</v>
      </c>
      <c r="AA187" s="28" t="s">
        <v>163</v>
      </c>
      <c r="AB187" s="24" t="s">
        <v>153</v>
      </c>
      <c r="AC187" s="23" t="s">
        <v>153</v>
      </c>
      <c r="AD187" s="23" t="s">
        <v>153</v>
      </c>
      <c r="AE187" s="23" t="s">
        <v>153</v>
      </c>
      <c r="AF187" s="23" t="s">
        <v>153</v>
      </c>
      <c r="AG187" s="23" t="s">
        <v>153</v>
      </c>
      <c r="AH187" s="23" t="s">
        <v>153</v>
      </c>
      <c r="AI187" s="24" t="s">
        <v>153</v>
      </c>
      <c r="AJ187" s="23" t="s">
        <v>153</v>
      </c>
      <c r="AK187" s="23" t="s">
        <v>153</v>
      </c>
      <c r="AL187" s="23" t="s">
        <v>153</v>
      </c>
      <c r="AM187" s="23" t="s">
        <v>153</v>
      </c>
      <c r="AN187" s="24" t="s">
        <v>156</v>
      </c>
      <c r="AO187" s="24" t="s">
        <v>156</v>
      </c>
      <c r="AP187" s="23">
        <f>VALUE(12)</f>
        <v>12</v>
      </c>
      <c r="AQ187" s="23">
        <f>VALUE(0)</f>
        <v>0</v>
      </c>
      <c r="AR187" s="23">
        <f>VALUE(0)</f>
        <v>0</v>
      </c>
      <c r="AS187" s="23">
        <f>VALUE(0)</f>
        <v>0</v>
      </c>
      <c r="AT187" s="23">
        <f>VALUE(0)</f>
        <v>0</v>
      </c>
      <c r="AU187" s="23">
        <f>VALUE(5)</f>
        <v>5</v>
      </c>
      <c r="AV187" s="23">
        <f>VALUE(3)</f>
        <v>3</v>
      </c>
      <c r="AW187" s="23">
        <f>VALUE(0)</f>
        <v>0</v>
      </c>
      <c r="AX187" s="23">
        <f>VALUE(0)</f>
        <v>0</v>
      </c>
      <c r="AY187" s="23" t="s">
        <v>455</v>
      </c>
      <c r="AZ187" s="23">
        <f>VALUE(0)</f>
        <v>0</v>
      </c>
      <c r="BA187" s="23">
        <f>VALUE(0)</f>
        <v>0</v>
      </c>
      <c r="BB187" s="23">
        <f>VALUE(0)</f>
        <v>0</v>
      </c>
      <c r="BC187" s="23">
        <f>VALUE(0)</f>
        <v>0</v>
      </c>
      <c r="BD187" s="23">
        <f>VALUE(0)</f>
        <v>0</v>
      </c>
      <c r="BE187" s="23">
        <f>VALUE(0)</f>
        <v>0</v>
      </c>
      <c r="BF187" s="23">
        <f>VALUE(0)</f>
        <v>0</v>
      </c>
      <c r="BG187" s="23">
        <f>VALUE(0)</f>
        <v>0</v>
      </c>
      <c r="BH187" s="23">
        <f>VALUE(0)</f>
        <v>0</v>
      </c>
      <c r="BI187" s="23">
        <f>VALUE(0)</f>
        <v>0</v>
      </c>
      <c r="BJ187" s="23">
        <f>VALUE(0)</f>
        <v>0</v>
      </c>
      <c r="BK187" s="12">
        <f>$AX$187*24</f>
        <v>0</v>
      </c>
      <c r="BL187" s="12">
        <f>$AY$187*24</f>
        <v>3.2333333333333334</v>
      </c>
      <c r="BM187" s="12">
        <f>$BJ$187*24</f>
        <v>0</v>
      </c>
      <c r="BN187" s="12">
        <f>VALUE($I$187)/100</f>
        <v>1</v>
      </c>
      <c r="BO187" s="12">
        <v>0</v>
      </c>
      <c r="BP187" s="12">
        <v>0</v>
      </c>
      <c r="BQ187" s="12">
        <v>0</v>
      </c>
      <c r="BR187" s="12">
        <v>0</v>
      </c>
      <c r="BS187" s="12">
        <v>0</v>
      </c>
      <c r="BT187" s="12">
        <v>0</v>
      </c>
      <c r="BU187" s="12">
        <v>0</v>
      </c>
      <c r="BV187" s="12">
        <v>0</v>
      </c>
      <c r="BW187" s="12">
        <v>0</v>
      </c>
      <c r="BX187" s="12">
        <v>0</v>
      </c>
      <c r="BY187" s="12">
        <v>0</v>
      </c>
      <c r="BZ187" s="12">
        <v>0</v>
      </c>
      <c r="CA187" s="12">
        <v>0</v>
      </c>
    </row>
    <row r="188" spans="1:79" hidden="1" x14ac:dyDescent="0.2">
      <c r="A188" s="12" t="s">
        <v>120</v>
      </c>
      <c r="B188" s="12" t="s">
        <v>125</v>
      </c>
      <c r="C188" s="12" t="s">
        <v>125</v>
      </c>
      <c r="D188" s="22" t="s">
        <v>456</v>
      </c>
      <c r="E188" s="22" t="s">
        <v>161</v>
      </c>
      <c r="F188" s="22" t="s">
        <v>1245</v>
      </c>
      <c r="G188" s="22" t="s">
        <v>889</v>
      </c>
      <c r="H188" s="22" t="s">
        <v>190</v>
      </c>
      <c r="I188" s="22" t="s">
        <v>151</v>
      </c>
      <c r="J188" s="22" t="s">
        <v>162</v>
      </c>
      <c r="K188" s="22" t="s">
        <v>84</v>
      </c>
      <c r="L188" s="54" t="s">
        <v>153</v>
      </c>
      <c r="M188" s="23" t="s">
        <v>153</v>
      </c>
      <c r="N188" s="24" t="s">
        <v>153</v>
      </c>
      <c r="O188" s="23" t="s">
        <v>153</v>
      </c>
      <c r="P188" s="23" t="s">
        <v>153</v>
      </c>
      <c r="Q188" s="23" t="s">
        <v>153</v>
      </c>
      <c r="R188" s="23" t="s">
        <v>153</v>
      </c>
      <c r="S188" s="23" t="s">
        <v>153</v>
      </c>
      <c r="T188" s="23" t="s">
        <v>153</v>
      </c>
      <c r="U188" s="24" t="s">
        <v>153</v>
      </c>
      <c r="V188" s="54" t="s">
        <v>153</v>
      </c>
      <c r="W188" s="23" t="s">
        <v>153</v>
      </c>
      <c r="X188" s="23" t="s">
        <v>153</v>
      </c>
      <c r="Y188" s="23" t="s">
        <v>153</v>
      </c>
      <c r="Z188" s="23" t="s">
        <v>153</v>
      </c>
      <c r="AA188" s="23" t="s">
        <v>153</v>
      </c>
      <c r="AB188" s="24" t="s">
        <v>153</v>
      </c>
      <c r="AC188" s="23" t="s">
        <v>153</v>
      </c>
      <c r="AD188" s="23" t="s">
        <v>153</v>
      </c>
      <c r="AE188" s="23" t="s">
        <v>153</v>
      </c>
      <c r="AF188" s="23" t="s">
        <v>153</v>
      </c>
      <c r="AG188" s="24" t="s">
        <v>156</v>
      </c>
      <c r="AH188" s="24" t="s">
        <v>156</v>
      </c>
      <c r="AI188" s="24" t="s">
        <v>153</v>
      </c>
      <c r="AJ188" s="23" t="s">
        <v>153</v>
      </c>
      <c r="AK188" s="23" t="s">
        <v>153</v>
      </c>
      <c r="AL188" s="23" t="s">
        <v>153</v>
      </c>
      <c r="AM188" s="23" t="s">
        <v>153</v>
      </c>
      <c r="AN188" s="23" t="s">
        <v>153</v>
      </c>
      <c r="AO188" s="23" t="s">
        <v>153</v>
      </c>
      <c r="AP188" s="23">
        <f>VALUE(0)</f>
        <v>0</v>
      </c>
      <c r="AQ188" s="23">
        <f>VALUE(0)</f>
        <v>0</v>
      </c>
      <c r="AR188" s="23">
        <f>VALUE(0)</f>
        <v>0</v>
      </c>
      <c r="AS188" s="23">
        <f>VALUE(0)</f>
        <v>0</v>
      </c>
      <c r="AT188" s="23">
        <f>VALUE(0)</f>
        <v>0</v>
      </c>
      <c r="AU188" s="23">
        <f>VALUE(0)</f>
        <v>0</v>
      </c>
      <c r="AV188" s="23">
        <f>VALUE(7)</f>
        <v>7</v>
      </c>
      <c r="AW188" s="23">
        <f>VALUE(0)</f>
        <v>0</v>
      </c>
      <c r="AX188" s="23">
        <f>VALUE(0)</f>
        <v>0</v>
      </c>
      <c r="AY188" s="23">
        <f>VALUE(0)</f>
        <v>0</v>
      </c>
      <c r="AZ188" s="23">
        <f>VALUE(0)</f>
        <v>0</v>
      </c>
      <c r="BA188" s="23">
        <f>VALUE(0)</f>
        <v>0</v>
      </c>
      <c r="BB188" s="23">
        <f>VALUE(0)</f>
        <v>0</v>
      </c>
      <c r="BC188" s="23">
        <f>VALUE(0)</f>
        <v>0</v>
      </c>
      <c r="BD188" s="23">
        <f>VALUE(0)</f>
        <v>0</v>
      </c>
      <c r="BE188" s="23">
        <f>VALUE(0)</f>
        <v>0</v>
      </c>
      <c r="BF188" s="23">
        <f>VALUE(0)</f>
        <v>0</v>
      </c>
      <c r="BG188" s="23">
        <f>VALUE(0)</f>
        <v>0</v>
      </c>
      <c r="BH188" s="23">
        <f>VALUE(0)</f>
        <v>0</v>
      </c>
      <c r="BI188" s="23">
        <f>VALUE(0)</f>
        <v>0</v>
      </c>
      <c r="BJ188" s="23">
        <f>VALUE(0)</f>
        <v>0</v>
      </c>
      <c r="BK188" s="12">
        <f>$AX$188*24</f>
        <v>0</v>
      </c>
      <c r="BL188" s="12">
        <f>$AY$188*24</f>
        <v>0</v>
      </c>
      <c r="BM188" s="12">
        <f>$BJ$188*24</f>
        <v>0</v>
      </c>
      <c r="BN188" s="12">
        <f>VALUE($I$188)/100</f>
        <v>1</v>
      </c>
      <c r="BO188" s="12">
        <v>0</v>
      </c>
      <c r="BP188" s="12">
        <v>0</v>
      </c>
      <c r="BQ188" s="12">
        <v>0</v>
      </c>
      <c r="BR188" s="12">
        <v>0</v>
      </c>
      <c r="BS188" s="12">
        <v>0</v>
      </c>
      <c r="BT188" s="12">
        <v>0</v>
      </c>
      <c r="BU188" s="12">
        <v>0</v>
      </c>
      <c r="BV188" s="12">
        <v>0</v>
      </c>
      <c r="BW188" s="12">
        <v>0</v>
      </c>
      <c r="BX188" s="12">
        <v>0</v>
      </c>
      <c r="BY188" s="12">
        <v>0</v>
      </c>
      <c r="BZ188" s="12">
        <v>0</v>
      </c>
      <c r="CA188" s="12">
        <v>0</v>
      </c>
    </row>
    <row r="189" spans="1:79" hidden="1" x14ac:dyDescent="0.2">
      <c r="A189" s="12" t="s">
        <v>120</v>
      </c>
      <c r="B189" s="12" t="s">
        <v>125</v>
      </c>
      <c r="C189" s="12" t="s">
        <v>125</v>
      </c>
      <c r="D189" s="22" t="s">
        <v>456</v>
      </c>
      <c r="E189" s="22" t="s">
        <v>161</v>
      </c>
      <c r="F189" s="22" t="s">
        <v>890</v>
      </c>
      <c r="G189" s="22" t="s">
        <v>891</v>
      </c>
      <c r="H189" s="22" t="s">
        <v>150</v>
      </c>
      <c r="I189" s="22" t="s">
        <v>151</v>
      </c>
      <c r="J189" s="22" t="s">
        <v>162</v>
      </c>
      <c r="K189" s="22" t="s">
        <v>84</v>
      </c>
      <c r="L189" s="54" t="s">
        <v>153</v>
      </c>
      <c r="M189" s="32" t="s">
        <v>416</v>
      </c>
      <c r="N189" s="24" t="s">
        <v>153</v>
      </c>
      <c r="O189" s="32" t="s">
        <v>416</v>
      </c>
      <c r="P189" s="32" t="s">
        <v>416</v>
      </c>
      <c r="Q189" s="32" t="s">
        <v>416</v>
      </c>
      <c r="R189" s="32" t="s">
        <v>416</v>
      </c>
      <c r="S189" s="32" t="s">
        <v>416</v>
      </c>
      <c r="T189" s="32" t="s">
        <v>416</v>
      </c>
      <c r="U189" s="24" t="s">
        <v>153</v>
      </c>
      <c r="V189" s="54" t="s">
        <v>153</v>
      </c>
      <c r="W189" s="32" t="s">
        <v>416</v>
      </c>
      <c r="X189" s="32" t="s">
        <v>416</v>
      </c>
      <c r="Y189" s="32" t="s">
        <v>416</v>
      </c>
      <c r="Z189" s="32" t="s">
        <v>416</v>
      </c>
      <c r="AA189" s="32" t="s">
        <v>416</v>
      </c>
      <c r="AB189" s="24" t="s">
        <v>153</v>
      </c>
      <c r="AC189" s="32" t="s">
        <v>416</v>
      </c>
      <c r="AD189" s="32" t="s">
        <v>416</v>
      </c>
      <c r="AE189" s="32" t="s">
        <v>416</v>
      </c>
      <c r="AF189" s="32" t="s">
        <v>416</v>
      </c>
      <c r="AG189" s="32" t="s">
        <v>416</v>
      </c>
      <c r="AH189" s="32" t="s">
        <v>416</v>
      </c>
      <c r="AI189" s="24" t="s">
        <v>153</v>
      </c>
      <c r="AJ189" s="32" t="s">
        <v>416</v>
      </c>
      <c r="AK189" s="32" t="s">
        <v>416</v>
      </c>
      <c r="AL189" s="32" t="s">
        <v>416</v>
      </c>
      <c r="AM189" s="32" t="s">
        <v>416</v>
      </c>
      <c r="AN189" s="32" t="s">
        <v>416</v>
      </c>
      <c r="AO189" s="32" t="s">
        <v>416</v>
      </c>
      <c r="AP189" s="23">
        <f>VALUE(3)</f>
        <v>3</v>
      </c>
      <c r="AQ189" s="23">
        <f>VALUE(0)</f>
        <v>0</v>
      </c>
      <c r="AR189" s="23">
        <f>VALUE(0)</f>
        <v>0</v>
      </c>
      <c r="AS189" s="23">
        <f>VALUE(0)</f>
        <v>0</v>
      </c>
      <c r="AT189" s="23">
        <f>VALUE(0)</f>
        <v>0</v>
      </c>
      <c r="AU189" s="23">
        <f>VALUE(0)</f>
        <v>0</v>
      </c>
      <c r="AV189" s="23">
        <f>VALUE(2)</f>
        <v>2</v>
      </c>
      <c r="AW189" s="23">
        <f>VALUE(0)</f>
        <v>0</v>
      </c>
      <c r="AX189" s="23" t="s">
        <v>158</v>
      </c>
      <c r="AY189" s="23" t="s">
        <v>457</v>
      </c>
      <c r="AZ189" s="23">
        <f>VALUE(0)</f>
        <v>0</v>
      </c>
      <c r="BA189" s="23">
        <f>VALUE(24)</f>
        <v>24</v>
      </c>
      <c r="BB189" s="23">
        <f>VALUE(0)</f>
        <v>0</v>
      </c>
      <c r="BC189" s="23">
        <f>VALUE(0)</f>
        <v>0</v>
      </c>
      <c r="BD189" s="23">
        <f>VALUE(0)</f>
        <v>0</v>
      </c>
      <c r="BE189" s="23">
        <f>VALUE(0)</f>
        <v>0</v>
      </c>
      <c r="BF189" s="23">
        <f>VALUE(0)</f>
        <v>0</v>
      </c>
      <c r="BG189" s="23">
        <f>VALUE(0)</f>
        <v>0</v>
      </c>
      <c r="BH189" s="23">
        <f>VALUE(0)</f>
        <v>0</v>
      </c>
      <c r="BI189" s="23">
        <f>VALUE(0)</f>
        <v>0</v>
      </c>
      <c r="BJ189" s="23">
        <f>VALUE(0)</f>
        <v>0</v>
      </c>
      <c r="BK189" s="12">
        <f>$AX$189*24</f>
        <v>11.666666666666666</v>
      </c>
      <c r="BL189" s="12">
        <f>$AY$189*24</f>
        <v>26.766666666666666</v>
      </c>
      <c r="BM189" s="12">
        <f>$BJ$189*24</f>
        <v>0</v>
      </c>
      <c r="BN189" s="12">
        <f>VALUE($I$189)/100</f>
        <v>1</v>
      </c>
      <c r="BO189" s="12">
        <v>0</v>
      </c>
      <c r="BP189" s="12">
        <v>0</v>
      </c>
      <c r="BQ189" s="12">
        <v>0</v>
      </c>
      <c r="BR189" s="12">
        <v>0</v>
      </c>
      <c r="BS189" s="12">
        <v>0</v>
      </c>
      <c r="BT189" s="12">
        <v>0</v>
      </c>
      <c r="BU189" s="12">
        <v>0</v>
      </c>
      <c r="BV189" s="12">
        <v>0</v>
      </c>
      <c r="BW189" s="12">
        <v>0</v>
      </c>
      <c r="BX189" s="12">
        <v>0</v>
      </c>
      <c r="BY189" s="12">
        <v>0</v>
      </c>
      <c r="BZ189" s="12">
        <v>0</v>
      </c>
      <c r="CA189" s="12">
        <v>0</v>
      </c>
    </row>
    <row r="190" spans="1:79" hidden="1" x14ac:dyDescent="0.2">
      <c r="A190" s="12" t="s">
        <v>120</v>
      </c>
      <c r="B190" s="12" t="s">
        <v>125</v>
      </c>
      <c r="C190" s="12" t="s">
        <v>125</v>
      </c>
      <c r="D190" s="22" t="s">
        <v>458</v>
      </c>
      <c r="E190" s="22" t="s">
        <v>161</v>
      </c>
      <c r="F190" s="22" t="s">
        <v>892</v>
      </c>
      <c r="G190" s="22" t="s">
        <v>893</v>
      </c>
      <c r="H190" s="22" t="s">
        <v>150</v>
      </c>
      <c r="I190" s="22" t="s">
        <v>151</v>
      </c>
      <c r="J190" s="22" t="s">
        <v>162</v>
      </c>
      <c r="K190" s="22" t="s">
        <v>84</v>
      </c>
      <c r="L190" s="54" t="s">
        <v>153</v>
      </c>
      <c r="M190" s="23" t="s">
        <v>459</v>
      </c>
      <c r="N190" s="24" t="s">
        <v>153</v>
      </c>
      <c r="O190" s="23" t="s">
        <v>459</v>
      </c>
      <c r="P190" s="23" t="s">
        <v>459</v>
      </c>
      <c r="Q190" s="23" t="s">
        <v>459</v>
      </c>
      <c r="R190" s="23" t="s">
        <v>459</v>
      </c>
      <c r="S190" s="23" t="s">
        <v>459</v>
      </c>
      <c r="T190" s="23" t="s">
        <v>459</v>
      </c>
      <c r="U190" s="24" t="s">
        <v>153</v>
      </c>
      <c r="V190" s="54" t="s">
        <v>153</v>
      </c>
      <c r="W190" s="23" t="s">
        <v>459</v>
      </c>
      <c r="X190" s="23" t="s">
        <v>459</v>
      </c>
      <c r="Y190" s="23" t="s">
        <v>459</v>
      </c>
      <c r="Z190" s="23" t="s">
        <v>459</v>
      </c>
      <c r="AA190" s="23" t="s">
        <v>459</v>
      </c>
      <c r="AB190" s="24" t="s">
        <v>153</v>
      </c>
      <c r="AC190" s="23" t="s">
        <v>459</v>
      </c>
      <c r="AD190" s="23" t="s">
        <v>459</v>
      </c>
      <c r="AE190" s="23" t="s">
        <v>459</v>
      </c>
      <c r="AF190" s="23" t="s">
        <v>459</v>
      </c>
      <c r="AG190" s="23" t="s">
        <v>459</v>
      </c>
      <c r="AH190" s="23" t="s">
        <v>459</v>
      </c>
      <c r="AI190" s="24" t="s">
        <v>153</v>
      </c>
      <c r="AJ190" s="23" t="s">
        <v>459</v>
      </c>
      <c r="AK190" s="23" t="s">
        <v>459</v>
      </c>
      <c r="AL190" s="24" t="s">
        <v>156</v>
      </c>
      <c r="AM190" s="24" t="s">
        <v>156</v>
      </c>
      <c r="AN190" s="23" t="s">
        <v>459</v>
      </c>
      <c r="AO190" s="23" t="s">
        <v>459</v>
      </c>
      <c r="AP190" s="23">
        <f>VALUE(17)</f>
        <v>17</v>
      </c>
      <c r="AQ190" s="23">
        <f>VALUE(0)</f>
        <v>0</v>
      </c>
      <c r="AR190" s="23">
        <f>VALUE(0)</f>
        <v>0</v>
      </c>
      <c r="AS190" s="23">
        <f>VALUE(0)</f>
        <v>0</v>
      </c>
      <c r="AT190" s="23">
        <f>VALUE(0)</f>
        <v>0</v>
      </c>
      <c r="AU190" s="23">
        <f>VALUE(0)</f>
        <v>0</v>
      </c>
      <c r="AV190" s="23">
        <f>VALUE(2)</f>
        <v>2</v>
      </c>
      <c r="AW190" s="23">
        <f>VALUE(0)</f>
        <v>0</v>
      </c>
      <c r="AX190" s="23">
        <f>VALUE(0)</f>
        <v>0</v>
      </c>
      <c r="AY190" s="23" t="s">
        <v>460</v>
      </c>
      <c r="AZ190" s="23">
        <f>VALUE(0)</f>
        <v>0</v>
      </c>
      <c r="BA190" s="23">
        <f>VALUE(0)</f>
        <v>0</v>
      </c>
      <c r="BB190" s="23">
        <f>VALUE(0)</f>
        <v>0</v>
      </c>
      <c r="BC190" s="23">
        <f>VALUE(0)</f>
        <v>0</v>
      </c>
      <c r="BD190" s="23">
        <f>VALUE(0)</f>
        <v>0</v>
      </c>
      <c r="BE190" s="23">
        <f>VALUE(0)</f>
        <v>0</v>
      </c>
      <c r="BF190" s="23">
        <f>VALUE(0)</f>
        <v>0</v>
      </c>
      <c r="BG190" s="23">
        <f>VALUE(0)</f>
        <v>0</v>
      </c>
      <c r="BH190" s="23">
        <f>VALUE(0)</f>
        <v>0</v>
      </c>
      <c r="BI190" s="23">
        <f>VALUE(0)</f>
        <v>0</v>
      </c>
      <c r="BJ190" s="23">
        <f>VALUE(0)</f>
        <v>0</v>
      </c>
      <c r="BK190" s="12">
        <f>$AX$190*24</f>
        <v>0</v>
      </c>
      <c r="BL190" s="12">
        <f>$AY$190*24</f>
        <v>4.3666666666666663</v>
      </c>
      <c r="BM190" s="12">
        <f>$BJ$190*24</f>
        <v>0</v>
      </c>
      <c r="BN190" s="12">
        <f>VALUE($I$190)/100</f>
        <v>1</v>
      </c>
      <c r="BO190" s="12">
        <v>0</v>
      </c>
      <c r="BP190" s="12">
        <v>0</v>
      </c>
      <c r="BQ190" s="12">
        <v>0</v>
      </c>
      <c r="BR190" s="12">
        <v>0</v>
      </c>
      <c r="BS190" s="12">
        <v>0</v>
      </c>
      <c r="BT190" s="12">
        <v>0</v>
      </c>
      <c r="BU190" s="12">
        <v>0</v>
      </c>
      <c r="BV190" s="12">
        <v>0</v>
      </c>
      <c r="BW190" s="12">
        <v>0</v>
      </c>
      <c r="BX190" s="12">
        <v>0</v>
      </c>
      <c r="BY190" s="12">
        <v>0</v>
      </c>
      <c r="BZ190" s="12">
        <v>0</v>
      </c>
      <c r="CA190" s="12">
        <v>0</v>
      </c>
    </row>
    <row r="191" spans="1:79" hidden="1" x14ac:dyDescent="0.2">
      <c r="A191" s="12" t="s">
        <v>120</v>
      </c>
      <c r="B191" s="12" t="s">
        <v>125</v>
      </c>
      <c r="C191" s="12" t="s">
        <v>125</v>
      </c>
      <c r="D191" s="22" t="s">
        <v>587</v>
      </c>
      <c r="E191" s="22" t="s">
        <v>173</v>
      </c>
      <c r="F191" s="22" t="s">
        <v>894</v>
      </c>
      <c r="G191" s="22" t="s">
        <v>895</v>
      </c>
      <c r="H191" s="22" t="s">
        <v>150</v>
      </c>
      <c r="I191" s="22" t="s">
        <v>151</v>
      </c>
      <c r="J191" s="22" t="s">
        <v>162</v>
      </c>
      <c r="K191" s="22" t="s">
        <v>84</v>
      </c>
      <c r="L191" s="54" t="s">
        <v>153</v>
      </c>
      <c r="M191" s="23" t="s">
        <v>442</v>
      </c>
      <c r="N191" s="24" t="s">
        <v>153</v>
      </c>
      <c r="O191" s="25" t="s">
        <v>1246</v>
      </c>
      <c r="P191" s="25" t="s">
        <v>1247</v>
      </c>
      <c r="Q191" s="25" t="s">
        <v>1247</v>
      </c>
      <c r="R191" s="25" t="s">
        <v>1247</v>
      </c>
      <c r="S191" s="25" t="s">
        <v>451</v>
      </c>
      <c r="T191" s="25" t="s">
        <v>451</v>
      </c>
      <c r="U191" s="24" t="s">
        <v>153</v>
      </c>
      <c r="V191" s="54" t="s">
        <v>156</v>
      </c>
      <c r="W191" s="24" t="s">
        <v>156</v>
      </c>
      <c r="X191" s="28" t="s">
        <v>163</v>
      </c>
      <c r="Y191" s="25" t="s">
        <v>1246</v>
      </c>
      <c r="Z191" s="25" t="s">
        <v>1246</v>
      </c>
      <c r="AA191" s="25" t="s">
        <v>1246</v>
      </c>
      <c r="AB191" s="24" t="s">
        <v>153</v>
      </c>
      <c r="AC191" s="23" t="s">
        <v>438</v>
      </c>
      <c r="AD191" s="23" t="s">
        <v>438</v>
      </c>
      <c r="AE191" s="25" t="s">
        <v>438</v>
      </c>
      <c r="AF191" s="25" t="s">
        <v>438</v>
      </c>
      <c r="AG191" s="23" t="s">
        <v>438</v>
      </c>
      <c r="AH191" s="23" t="s">
        <v>438</v>
      </c>
      <c r="AI191" s="24" t="s">
        <v>153</v>
      </c>
      <c r="AJ191" s="23" t="s">
        <v>438</v>
      </c>
      <c r="AK191" s="23" t="s">
        <v>438</v>
      </c>
      <c r="AL191" s="23" t="s">
        <v>438</v>
      </c>
      <c r="AM191" s="23" t="s">
        <v>438</v>
      </c>
      <c r="AN191" s="23" t="s">
        <v>438</v>
      </c>
      <c r="AO191" s="23" t="s">
        <v>438</v>
      </c>
      <c r="AP191" s="23">
        <f>VALUE(4)</f>
        <v>4</v>
      </c>
      <c r="AQ191" s="23">
        <f>VALUE(0)</f>
        <v>0</v>
      </c>
      <c r="AR191" s="23">
        <f>VALUE(0)</f>
        <v>0</v>
      </c>
      <c r="AS191" s="23">
        <f>VALUE(0)</f>
        <v>0</v>
      </c>
      <c r="AT191" s="23">
        <f>VALUE(0)</f>
        <v>0</v>
      </c>
      <c r="AU191" s="23">
        <f>VALUE(1)</f>
        <v>1</v>
      </c>
      <c r="AV191" s="23">
        <f>VALUE(3)</f>
        <v>3</v>
      </c>
      <c r="AW191" s="23">
        <f>VALUE(0)</f>
        <v>0</v>
      </c>
      <c r="AX191" s="23">
        <f>VALUE(0)</f>
        <v>0</v>
      </c>
      <c r="AY191" s="23">
        <f>VALUE(0)</f>
        <v>0</v>
      </c>
      <c r="AZ191" s="23">
        <f>VALUE(0)</f>
        <v>0</v>
      </c>
      <c r="BA191" s="23">
        <f>VALUE(0)</f>
        <v>0</v>
      </c>
      <c r="BB191" s="23">
        <f>VALUE(0)</f>
        <v>0</v>
      </c>
      <c r="BC191" s="23">
        <f>VALUE(0)</f>
        <v>0</v>
      </c>
      <c r="BD191" s="23">
        <f>VALUE(7)</f>
        <v>7</v>
      </c>
      <c r="BE191" s="23">
        <f>VALUE(0)</f>
        <v>0</v>
      </c>
      <c r="BF191" s="23">
        <f>VALUE(0)</f>
        <v>0</v>
      </c>
      <c r="BG191" s="23">
        <f>VALUE(0)</f>
        <v>0</v>
      </c>
      <c r="BH191" s="23">
        <f>VALUE(0)</f>
        <v>0</v>
      </c>
      <c r="BI191" s="23">
        <f>VALUE(0)</f>
        <v>0</v>
      </c>
      <c r="BJ191" s="23">
        <f>VALUE(0)</f>
        <v>0</v>
      </c>
      <c r="BK191" s="12">
        <f>$AX$191*24</f>
        <v>0</v>
      </c>
      <c r="BL191" s="12">
        <f>$AY$191*24</f>
        <v>0</v>
      </c>
      <c r="BM191" s="12">
        <f>$BJ$191*24</f>
        <v>0</v>
      </c>
      <c r="BN191" s="12">
        <f>VALUE($I$191)/100</f>
        <v>1</v>
      </c>
      <c r="BO191" s="12">
        <v>0</v>
      </c>
      <c r="BP191" s="12">
        <v>0</v>
      </c>
      <c r="BQ191" s="12">
        <v>0</v>
      </c>
      <c r="BR191" s="12">
        <v>7</v>
      </c>
      <c r="BS191" s="12">
        <v>0</v>
      </c>
      <c r="BT191" s="12">
        <v>0</v>
      </c>
      <c r="BU191" s="12">
        <v>0</v>
      </c>
      <c r="BV191" s="12">
        <v>0</v>
      </c>
      <c r="BW191" s="12">
        <v>0</v>
      </c>
      <c r="BX191" s="12">
        <v>0</v>
      </c>
      <c r="BY191" s="12">
        <v>0</v>
      </c>
      <c r="BZ191" s="12">
        <v>0</v>
      </c>
      <c r="CA191" s="12">
        <v>0</v>
      </c>
    </row>
    <row r="192" spans="1:79" hidden="1" x14ac:dyDescent="0.2">
      <c r="A192" s="12" t="s">
        <v>120</v>
      </c>
      <c r="B192" s="12" t="s">
        <v>125</v>
      </c>
      <c r="C192" s="12" t="s">
        <v>125</v>
      </c>
      <c r="D192" s="22" t="s">
        <v>461</v>
      </c>
      <c r="E192" s="22" t="s">
        <v>332</v>
      </c>
      <c r="F192" s="22" t="s">
        <v>896</v>
      </c>
      <c r="G192" s="22" t="s">
        <v>897</v>
      </c>
      <c r="H192" s="22" t="s">
        <v>150</v>
      </c>
      <c r="I192" s="22" t="s">
        <v>151</v>
      </c>
      <c r="J192" s="22" t="s">
        <v>162</v>
      </c>
      <c r="K192" s="22" t="s">
        <v>84</v>
      </c>
      <c r="L192" s="54" t="s">
        <v>153</v>
      </c>
      <c r="M192" s="23" t="s">
        <v>451</v>
      </c>
      <c r="N192" s="24" t="s">
        <v>153</v>
      </c>
      <c r="O192" s="24" t="s">
        <v>156</v>
      </c>
      <c r="P192" s="24" t="s">
        <v>156</v>
      </c>
      <c r="Q192" s="23" t="s">
        <v>453</v>
      </c>
      <c r="R192" s="23" t="s">
        <v>453</v>
      </c>
      <c r="S192" s="23" t="s">
        <v>442</v>
      </c>
      <c r="T192" s="23" t="s">
        <v>442</v>
      </c>
      <c r="U192" s="24" t="s">
        <v>153</v>
      </c>
      <c r="V192" s="54" t="s">
        <v>153</v>
      </c>
      <c r="W192" s="25" t="s">
        <v>438</v>
      </c>
      <c r="X192" s="23" t="s">
        <v>451</v>
      </c>
      <c r="Y192" s="23" t="s">
        <v>451</v>
      </c>
      <c r="Z192" s="23" t="s">
        <v>440</v>
      </c>
      <c r="AA192" s="23" t="s">
        <v>440</v>
      </c>
      <c r="AB192" s="24" t="s">
        <v>153</v>
      </c>
      <c r="AC192" s="23" t="s">
        <v>447</v>
      </c>
      <c r="AD192" s="23" t="s">
        <v>447</v>
      </c>
      <c r="AE192" s="25" t="s">
        <v>438</v>
      </c>
      <c r="AF192" s="25" t="s">
        <v>438</v>
      </c>
      <c r="AG192" s="23" t="s">
        <v>456</v>
      </c>
      <c r="AH192" s="23" t="s">
        <v>456</v>
      </c>
      <c r="AI192" s="24" t="s">
        <v>153</v>
      </c>
      <c r="AJ192" s="23" t="s">
        <v>444</v>
      </c>
      <c r="AK192" s="23" t="s">
        <v>444</v>
      </c>
      <c r="AL192" s="23" t="s">
        <v>459</v>
      </c>
      <c r="AM192" s="23" t="s">
        <v>459</v>
      </c>
      <c r="AN192" s="23" t="s">
        <v>454</v>
      </c>
      <c r="AO192" s="23" t="s">
        <v>454</v>
      </c>
      <c r="AP192" s="23">
        <f>VALUE(11)</f>
        <v>11</v>
      </c>
      <c r="AQ192" s="23">
        <f>VALUE(0)</f>
        <v>0</v>
      </c>
      <c r="AR192" s="23">
        <f>VALUE(0)</f>
        <v>0</v>
      </c>
      <c r="AS192" s="23">
        <f>VALUE(0)</f>
        <v>0</v>
      </c>
      <c r="AT192" s="23">
        <f>VALUE(0)</f>
        <v>0</v>
      </c>
      <c r="AU192" s="23">
        <f>VALUE(0)</f>
        <v>0</v>
      </c>
      <c r="AV192" s="23">
        <f>VALUE(2)</f>
        <v>2</v>
      </c>
      <c r="AW192" s="23">
        <f>VALUE(0)</f>
        <v>0</v>
      </c>
      <c r="AX192" s="23">
        <f>VALUE(0)</f>
        <v>0</v>
      </c>
      <c r="AY192" s="23">
        <f>VALUE(0)</f>
        <v>0</v>
      </c>
      <c r="AZ192" s="23">
        <f>VALUE(0)</f>
        <v>0</v>
      </c>
      <c r="BA192" s="23">
        <f>VALUE(0)</f>
        <v>0</v>
      </c>
      <c r="BB192" s="23">
        <f>VALUE(0)</f>
        <v>0</v>
      </c>
      <c r="BC192" s="23">
        <f>VALUE(0)</f>
        <v>0</v>
      </c>
      <c r="BD192" s="23">
        <f>VALUE(0)</f>
        <v>0</v>
      </c>
      <c r="BE192" s="23">
        <f>VALUE(0)</f>
        <v>0</v>
      </c>
      <c r="BF192" s="23">
        <f>VALUE(0)</f>
        <v>0</v>
      </c>
      <c r="BG192" s="23">
        <f>VALUE(0)</f>
        <v>0</v>
      </c>
      <c r="BH192" s="23">
        <f>VALUE(0)</f>
        <v>0</v>
      </c>
      <c r="BI192" s="23">
        <f>VALUE(0)</f>
        <v>0</v>
      </c>
      <c r="BJ192" s="23">
        <f>VALUE(0)</f>
        <v>0</v>
      </c>
      <c r="BK192" s="12">
        <f>$AX$192*24</f>
        <v>0</v>
      </c>
      <c r="BL192" s="12">
        <f>$AY$192*24</f>
        <v>0</v>
      </c>
      <c r="BM192" s="12">
        <f>$BJ$192*24</f>
        <v>0</v>
      </c>
      <c r="BN192" s="12">
        <f>VALUE($I$192)/100</f>
        <v>1</v>
      </c>
      <c r="BO192" s="12">
        <v>0</v>
      </c>
      <c r="BP192" s="12">
        <v>0</v>
      </c>
      <c r="BQ192" s="12">
        <v>0</v>
      </c>
      <c r="BR192" s="12">
        <v>0</v>
      </c>
      <c r="BS192" s="12">
        <v>0</v>
      </c>
      <c r="BT192" s="12">
        <v>0</v>
      </c>
      <c r="BU192" s="12">
        <v>0</v>
      </c>
      <c r="BV192" s="12">
        <v>0</v>
      </c>
      <c r="BW192" s="12">
        <v>0</v>
      </c>
      <c r="BX192" s="12">
        <v>0</v>
      </c>
      <c r="BY192" s="12">
        <v>0</v>
      </c>
      <c r="BZ192" s="12">
        <v>0</v>
      </c>
      <c r="CA192" s="12">
        <v>0</v>
      </c>
    </row>
    <row r="193" spans="1:79" ht="15" hidden="1" x14ac:dyDescent="0.25">
      <c r="A193" s="12" t="s">
        <v>120</v>
      </c>
      <c r="B193" s="12" t="s">
        <v>125</v>
      </c>
      <c r="C193" s="12" t="s">
        <v>125</v>
      </c>
      <c r="D193" s="31" t="s">
        <v>1248</v>
      </c>
      <c r="E193" s="31" t="s">
        <v>153</v>
      </c>
      <c r="F193" s="31" t="s">
        <v>175</v>
      </c>
      <c r="G193" s="31" t="s">
        <v>153</v>
      </c>
      <c r="H193" s="31" t="s">
        <v>153</v>
      </c>
      <c r="I193" s="31" t="s">
        <v>153</v>
      </c>
      <c r="J193" s="31" t="s">
        <v>153</v>
      </c>
      <c r="K193" s="31" t="s">
        <v>153</v>
      </c>
      <c r="L193" s="31">
        <f>VALUE(0)</f>
        <v>0</v>
      </c>
      <c r="M193" s="31">
        <f>VALUE(11)</f>
        <v>11</v>
      </c>
      <c r="N193" s="31">
        <f>VALUE(0)</f>
        <v>0</v>
      </c>
      <c r="O193" s="31">
        <f>VALUE(13)</f>
        <v>13</v>
      </c>
      <c r="P193" s="31">
        <f>VALUE(13)</f>
        <v>13</v>
      </c>
      <c r="Q193" s="31">
        <f>VALUE(13)</f>
        <v>13</v>
      </c>
      <c r="R193" s="31">
        <f>VALUE(13)</f>
        <v>13</v>
      </c>
      <c r="S193" s="31">
        <f>VALUE(13)</f>
        <v>13</v>
      </c>
      <c r="T193" s="31">
        <f>VALUE(13)</f>
        <v>13</v>
      </c>
      <c r="U193" s="31">
        <f>VALUE(0)</f>
        <v>0</v>
      </c>
      <c r="V193" s="31">
        <f>VALUE(0)</f>
        <v>0</v>
      </c>
      <c r="W193" s="31">
        <f>VALUE(11)</f>
        <v>11</v>
      </c>
      <c r="X193" s="31">
        <f>VALUE(10)</f>
        <v>10</v>
      </c>
      <c r="Y193" s="31">
        <f>VALUE(11)</f>
        <v>11</v>
      </c>
      <c r="Z193" s="31">
        <f>VALUE(11)</f>
        <v>11</v>
      </c>
      <c r="AA193" s="31">
        <f>VALUE(11)</f>
        <v>11</v>
      </c>
      <c r="AB193" s="31">
        <f>VALUE(0)</f>
        <v>0</v>
      </c>
      <c r="AC193" s="31">
        <f>VALUE(11)</f>
        <v>11</v>
      </c>
      <c r="AD193" s="31">
        <f>VALUE(11)</f>
        <v>11</v>
      </c>
      <c r="AE193" s="31">
        <f>VALUE(12)</f>
        <v>12</v>
      </c>
      <c r="AF193" s="31">
        <f>VALUE(11)</f>
        <v>11</v>
      </c>
      <c r="AG193" s="31">
        <f>VALUE(10)</f>
        <v>10</v>
      </c>
      <c r="AH193" s="31">
        <f>VALUE(10)</f>
        <v>10</v>
      </c>
      <c r="AI193" s="31">
        <f>VALUE(0)</f>
        <v>0</v>
      </c>
      <c r="AJ193" s="31">
        <f>VALUE(11)</f>
        <v>11</v>
      </c>
      <c r="AK193" s="31">
        <f>VALUE(11)</f>
        <v>11</v>
      </c>
      <c r="AL193" s="31">
        <f>VALUE(11)</f>
        <v>11</v>
      </c>
      <c r="AM193" s="31">
        <f>VALUE(11)</f>
        <v>11</v>
      </c>
      <c r="AN193" s="31">
        <f>VALUE(11)</f>
        <v>11</v>
      </c>
      <c r="AO193" s="31">
        <f>VALUE(11)</f>
        <v>11</v>
      </c>
      <c r="AP193" s="31">
        <v>0</v>
      </c>
      <c r="AQ193" s="31">
        <v>0</v>
      </c>
      <c r="AR193" s="31">
        <v>0</v>
      </c>
      <c r="AS193" s="31">
        <v>0</v>
      </c>
      <c r="AT193" s="31">
        <v>0</v>
      </c>
      <c r="AU193" s="31">
        <v>0</v>
      </c>
      <c r="AV193" s="31">
        <v>0</v>
      </c>
      <c r="AW193" s="31">
        <v>0</v>
      </c>
      <c r="AX193" s="31">
        <v>0</v>
      </c>
      <c r="AY193" s="31">
        <v>0</v>
      </c>
      <c r="AZ193" s="31">
        <v>0</v>
      </c>
      <c r="BA193" s="31">
        <v>0</v>
      </c>
      <c r="BB193" s="31">
        <v>0</v>
      </c>
      <c r="BC193" s="31">
        <v>0</v>
      </c>
      <c r="BD193" s="31">
        <v>0</v>
      </c>
      <c r="BE193" s="31">
        <v>0</v>
      </c>
      <c r="BF193" s="31">
        <v>0</v>
      </c>
      <c r="BG193" s="31">
        <v>0</v>
      </c>
      <c r="BH193" s="31">
        <v>0</v>
      </c>
      <c r="BI193" s="31">
        <v>0</v>
      </c>
      <c r="BJ193" s="31">
        <v>0</v>
      </c>
      <c r="BK193" s="12">
        <v>0</v>
      </c>
      <c r="BL193" s="12">
        <v>0</v>
      </c>
      <c r="BM193" s="12">
        <v>0</v>
      </c>
      <c r="BN193" s="12"/>
      <c r="BO193" s="12">
        <v>0</v>
      </c>
      <c r="BP193" s="12">
        <v>0</v>
      </c>
      <c r="BQ193" s="12">
        <v>0</v>
      </c>
      <c r="BR193" s="12">
        <v>0</v>
      </c>
      <c r="BS193" s="12">
        <v>0</v>
      </c>
      <c r="BT193" s="12">
        <v>0</v>
      </c>
      <c r="BU193" s="12">
        <v>0</v>
      </c>
      <c r="BV193" s="12">
        <v>0</v>
      </c>
      <c r="BW193" s="12">
        <v>0</v>
      </c>
      <c r="BX193" s="12">
        <v>0</v>
      </c>
      <c r="BY193" s="12">
        <v>0</v>
      </c>
      <c r="BZ193" s="12">
        <v>0</v>
      </c>
      <c r="CA193" s="12">
        <v>0</v>
      </c>
    </row>
    <row r="194" spans="1:79" hidden="1" x14ac:dyDescent="0.2">
      <c r="A194" s="12" t="s">
        <v>120</v>
      </c>
      <c r="B194" s="12" t="s">
        <v>126</v>
      </c>
      <c r="C194" s="12" t="s">
        <v>126</v>
      </c>
      <c r="D194" s="22" t="s">
        <v>462</v>
      </c>
      <c r="E194" s="22" t="s">
        <v>161</v>
      </c>
      <c r="F194" s="22" t="s">
        <v>898</v>
      </c>
      <c r="G194" s="22" t="s">
        <v>899</v>
      </c>
      <c r="H194" s="22" t="s">
        <v>150</v>
      </c>
      <c r="I194" s="22" t="s">
        <v>151</v>
      </c>
      <c r="J194" s="22" t="s">
        <v>162</v>
      </c>
      <c r="K194" s="22" t="s">
        <v>85</v>
      </c>
      <c r="L194" s="54" t="s">
        <v>153</v>
      </c>
      <c r="M194" s="23" t="s">
        <v>153</v>
      </c>
      <c r="N194" s="24" t="s">
        <v>153</v>
      </c>
      <c r="O194" s="28" t="s">
        <v>163</v>
      </c>
      <c r="P194" s="28" t="s">
        <v>163</v>
      </c>
      <c r="Q194" s="28" t="s">
        <v>163</v>
      </c>
      <c r="R194" s="28" t="s">
        <v>163</v>
      </c>
      <c r="S194" s="28" t="s">
        <v>163</v>
      </c>
      <c r="T194" s="28" t="s">
        <v>163</v>
      </c>
      <c r="U194" s="24" t="s">
        <v>153</v>
      </c>
      <c r="V194" s="54" t="s">
        <v>153</v>
      </c>
      <c r="W194" s="23" t="s">
        <v>153</v>
      </c>
      <c r="X194" s="23" t="s">
        <v>153</v>
      </c>
      <c r="Y194" s="23" t="s">
        <v>153</v>
      </c>
      <c r="Z194" s="23" t="s">
        <v>153</v>
      </c>
      <c r="AA194" s="23" t="s">
        <v>153</v>
      </c>
      <c r="AB194" s="24" t="s">
        <v>153</v>
      </c>
      <c r="AC194" s="23" t="s">
        <v>153</v>
      </c>
      <c r="AD194" s="23" t="s">
        <v>153</v>
      </c>
      <c r="AE194" s="23" t="s">
        <v>153</v>
      </c>
      <c r="AF194" s="23" t="s">
        <v>153</v>
      </c>
      <c r="AG194" s="23" t="s">
        <v>153</v>
      </c>
      <c r="AH194" s="23" t="s">
        <v>153</v>
      </c>
      <c r="AI194" s="24" t="s">
        <v>153</v>
      </c>
      <c r="AJ194" s="23" t="s">
        <v>153</v>
      </c>
      <c r="AK194" s="23" t="s">
        <v>153</v>
      </c>
      <c r="AL194" s="23" t="s">
        <v>153</v>
      </c>
      <c r="AM194" s="23" t="s">
        <v>153</v>
      </c>
      <c r="AN194" s="23" t="s">
        <v>153</v>
      </c>
      <c r="AO194" s="23" t="s">
        <v>153</v>
      </c>
      <c r="AP194" s="23">
        <f>VALUE(2)</f>
        <v>2</v>
      </c>
      <c r="AQ194" s="23">
        <f>VALUE(0)</f>
        <v>0</v>
      </c>
      <c r="AR194" s="23">
        <f>VALUE(0)</f>
        <v>0</v>
      </c>
      <c r="AS194" s="23">
        <f>VALUE(0)</f>
        <v>0</v>
      </c>
      <c r="AT194" s="23">
        <f>VALUE(0)</f>
        <v>0</v>
      </c>
      <c r="AU194" s="23">
        <f>VALUE(6)</f>
        <v>6</v>
      </c>
      <c r="AV194" s="23">
        <f>VALUE(0)</f>
        <v>0</v>
      </c>
      <c r="AW194" s="23">
        <f>VALUE(0)</f>
        <v>0</v>
      </c>
      <c r="AX194" s="23" t="s">
        <v>463</v>
      </c>
      <c r="AY194" s="23" t="s">
        <v>1249</v>
      </c>
      <c r="AZ194" s="23">
        <f>VALUE(0)</f>
        <v>0</v>
      </c>
      <c r="BA194" s="23">
        <f>VALUE(0)</f>
        <v>0</v>
      </c>
      <c r="BB194" s="23">
        <f>VALUE(0)</f>
        <v>0</v>
      </c>
      <c r="BC194" s="23">
        <f>VALUE(0)</f>
        <v>0</v>
      </c>
      <c r="BD194" s="23">
        <f>VALUE(0)</f>
        <v>0</v>
      </c>
      <c r="BE194" s="23">
        <f>VALUE(0)</f>
        <v>0</v>
      </c>
      <c r="BF194" s="23">
        <f>VALUE(0)</f>
        <v>0</v>
      </c>
      <c r="BG194" s="23">
        <f>VALUE(0)</f>
        <v>0</v>
      </c>
      <c r="BH194" s="23">
        <f>VALUE(0)</f>
        <v>0</v>
      </c>
      <c r="BI194" s="23">
        <f>VALUE(0)</f>
        <v>0</v>
      </c>
      <c r="BJ194" s="23">
        <f>VALUE(0)</f>
        <v>0</v>
      </c>
      <c r="BK194" s="12">
        <f>$AX$194*24</f>
        <v>11.316666666666666</v>
      </c>
      <c r="BL194" s="12">
        <f>$AY$194*24</f>
        <v>56.350000000000009</v>
      </c>
      <c r="BM194" s="12">
        <f>$BJ$194*24</f>
        <v>0</v>
      </c>
      <c r="BN194" s="12">
        <f>VALUE($I$194)/100</f>
        <v>1</v>
      </c>
      <c r="BO194" s="12">
        <v>0</v>
      </c>
      <c r="BP194" s="12">
        <v>0</v>
      </c>
      <c r="BQ194" s="12">
        <v>0</v>
      </c>
      <c r="BR194" s="12">
        <v>0</v>
      </c>
      <c r="BS194" s="12">
        <v>0</v>
      </c>
      <c r="BT194" s="12">
        <v>0</v>
      </c>
      <c r="BU194" s="12">
        <v>0</v>
      </c>
      <c r="BV194" s="12">
        <v>0</v>
      </c>
      <c r="BW194" s="12">
        <v>0</v>
      </c>
      <c r="BX194" s="12">
        <v>0</v>
      </c>
      <c r="BY194" s="12">
        <v>0</v>
      </c>
      <c r="BZ194" s="12">
        <v>0</v>
      </c>
      <c r="CA194" s="12">
        <v>0</v>
      </c>
    </row>
    <row r="195" spans="1:79" hidden="1" x14ac:dyDescent="0.2">
      <c r="A195" s="12" t="s">
        <v>120</v>
      </c>
      <c r="B195" s="12" t="s">
        <v>126</v>
      </c>
      <c r="C195" s="12" t="s">
        <v>126</v>
      </c>
      <c r="D195" s="22" t="s">
        <v>449</v>
      </c>
      <c r="E195" s="22" t="s">
        <v>161</v>
      </c>
      <c r="F195" s="22" t="s">
        <v>900</v>
      </c>
      <c r="G195" s="22" t="s">
        <v>901</v>
      </c>
      <c r="H195" s="22" t="s">
        <v>166</v>
      </c>
      <c r="I195" s="22" t="s">
        <v>151</v>
      </c>
      <c r="J195" s="22" t="s">
        <v>162</v>
      </c>
      <c r="K195" s="22" t="s">
        <v>85</v>
      </c>
      <c r="L195" s="54" t="s">
        <v>156</v>
      </c>
      <c r="M195" s="24" t="s">
        <v>156</v>
      </c>
      <c r="N195" s="24" t="s">
        <v>153</v>
      </c>
      <c r="O195" s="23" t="s">
        <v>153</v>
      </c>
      <c r="P195" s="23" t="s">
        <v>153</v>
      </c>
      <c r="Q195" s="23" t="s">
        <v>153</v>
      </c>
      <c r="R195" s="23" t="s">
        <v>153</v>
      </c>
      <c r="S195" s="23" t="s">
        <v>153</v>
      </c>
      <c r="T195" s="23" t="s">
        <v>153</v>
      </c>
      <c r="U195" s="24" t="s">
        <v>153</v>
      </c>
      <c r="V195" s="54" t="s">
        <v>153</v>
      </c>
      <c r="W195" s="28" t="s">
        <v>163</v>
      </c>
      <c r="X195" s="28" t="s">
        <v>163</v>
      </c>
      <c r="Y195" s="28" t="s">
        <v>163</v>
      </c>
      <c r="Z195" s="28" t="s">
        <v>163</v>
      </c>
      <c r="AA195" s="28" t="s">
        <v>163</v>
      </c>
      <c r="AB195" s="24" t="s">
        <v>153</v>
      </c>
      <c r="AC195" s="23" t="s">
        <v>153</v>
      </c>
      <c r="AD195" s="23" t="s">
        <v>153</v>
      </c>
      <c r="AE195" s="23" t="s">
        <v>153</v>
      </c>
      <c r="AF195" s="23" t="s">
        <v>153</v>
      </c>
      <c r="AG195" s="23" t="s">
        <v>153</v>
      </c>
      <c r="AH195" s="23" t="s">
        <v>153</v>
      </c>
      <c r="AI195" s="24" t="s">
        <v>153</v>
      </c>
      <c r="AJ195" s="28" t="s">
        <v>163</v>
      </c>
      <c r="AK195" s="28" t="s">
        <v>163</v>
      </c>
      <c r="AL195" s="28" t="s">
        <v>163</v>
      </c>
      <c r="AM195" s="28" t="s">
        <v>163</v>
      </c>
      <c r="AN195" s="28" t="s">
        <v>163</v>
      </c>
      <c r="AO195" s="28" t="s">
        <v>163</v>
      </c>
      <c r="AP195" s="23">
        <f>VALUE(2)</f>
        <v>2</v>
      </c>
      <c r="AQ195" s="23">
        <f>VALUE(0)</f>
        <v>0</v>
      </c>
      <c r="AR195" s="23">
        <f>VALUE(0)</f>
        <v>0</v>
      </c>
      <c r="AS195" s="23">
        <f>VALUE(0)</f>
        <v>0</v>
      </c>
      <c r="AT195" s="23">
        <f>VALUE(0)</f>
        <v>0</v>
      </c>
      <c r="AU195" s="23">
        <f>VALUE(11)</f>
        <v>11</v>
      </c>
      <c r="AV195" s="23">
        <f>VALUE(7)</f>
        <v>7</v>
      </c>
      <c r="AW195" s="23">
        <f>VALUE(0)</f>
        <v>0</v>
      </c>
      <c r="AX195" s="23" t="s">
        <v>1250</v>
      </c>
      <c r="AY195" s="23">
        <f>VALUE(0)</f>
        <v>0</v>
      </c>
      <c r="AZ195" s="23">
        <f>VALUE(0)</f>
        <v>0</v>
      </c>
      <c r="BA195" s="23">
        <f>VALUE(0)</f>
        <v>0</v>
      </c>
      <c r="BB195" s="23">
        <f>VALUE(0)</f>
        <v>0</v>
      </c>
      <c r="BC195" s="23">
        <f>VALUE(0)</f>
        <v>0</v>
      </c>
      <c r="BD195" s="23">
        <f>VALUE(0)</f>
        <v>0</v>
      </c>
      <c r="BE195" s="23">
        <f>VALUE(0)</f>
        <v>0</v>
      </c>
      <c r="BF195" s="23">
        <f>VALUE(0)</f>
        <v>0</v>
      </c>
      <c r="BG195" s="23">
        <f>VALUE(0)</f>
        <v>0</v>
      </c>
      <c r="BH195" s="23">
        <f>VALUE(0)</f>
        <v>0</v>
      </c>
      <c r="BI195" s="23">
        <f>VALUE(0)</f>
        <v>0</v>
      </c>
      <c r="BJ195" s="23">
        <f>VALUE(0)</f>
        <v>0</v>
      </c>
      <c r="BK195" s="12">
        <f>$AX$195*24</f>
        <v>18.55</v>
      </c>
      <c r="BL195" s="12">
        <f>$AY$195*24</f>
        <v>0</v>
      </c>
      <c r="BM195" s="12">
        <f>$BJ$195*24</f>
        <v>0</v>
      </c>
      <c r="BN195" s="12">
        <f>VALUE($I$195)/100</f>
        <v>1</v>
      </c>
      <c r="BO195" s="12">
        <v>0</v>
      </c>
      <c r="BP195" s="12">
        <v>0</v>
      </c>
      <c r="BQ195" s="12">
        <v>0</v>
      </c>
      <c r="BR195" s="12">
        <v>0</v>
      </c>
      <c r="BS195" s="12">
        <v>0</v>
      </c>
      <c r="BT195" s="12">
        <v>0</v>
      </c>
      <c r="BU195" s="12">
        <v>0</v>
      </c>
      <c r="BV195" s="12">
        <v>0</v>
      </c>
      <c r="BW195" s="12">
        <v>0</v>
      </c>
      <c r="BX195" s="12">
        <v>0</v>
      </c>
      <c r="BY195" s="12">
        <v>0</v>
      </c>
      <c r="BZ195" s="12">
        <v>0</v>
      </c>
      <c r="CA195" s="12">
        <v>0</v>
      </c>
    </row>
    <row r="196" spans="1:79" hidden="1" x14ac:dyDescent="0.2">
      <c r="A196" s="12" t="s">
        <v>120</v>
      </c>
      <c r="B196" s="12" t="s">
        <v>126</v>
      </c>
      <c r="C196" s="12" t="s">
        <v>126</v>
      </c>
      <c r="D196" s="22" t="s">
        <v>448</v>
      </c>
      <c r="E196" s="22" t="s">
        <v>161</v>
      </c>
      <c r="F196" s="22" t="s">
        <v>902</v>
      </c>
      <c r="G196" s="22" t="s">
        <v>903</v>
      </c>
      <c r="H196" s="22" t="s">
        <v>150</v>
      </c>
      <c r="I196" s="22" t="s">
        <v>151</v>
      </c>
      <c r="J196" s="22" t="s">
        <v>162</v>
      </c>
      <c r="K196" s="22" t="s">
        <v>85</v>
      </c>
      <c r="L196" s="54" t="s">
        <v>153</v>
      </c>
      <c r="M196" s="23" t="s">
        <v>153</v>
      </c>
      <c r="N196" s="24" t="s">
        <v>153</v>
      </c>
      <c r="O196" s="23" t="s">
        <v>462</v>
      </c>
      <c r="P196" s="23" t="s">
        <v>462</v>
      </c>
      <c r="Q196" s="23" t="s">
        <v>462</v>
      </c>
      <c r="R196" s="23" t="s">
        <v>462</v>
      </c>
      <c r="S196" s="25" t="s">
        <v>454</v>
      </c>
      <c r="T196" s="25" t="s">
        <v>454</v>
      </c>
      <c r="U196" s="24" t="s">
        <v>153</v>
      </c>
      <c r="V196" s="54" t="s">
        <v>153</v>
      </c>
      <c r="W196" s="23" t="s">
        <v>454</v>
      </c>
      <c r="X196" s="23" t="s">
        <v>454</v>
      </c>
      <c r="Y196" s="23" t="s">
        <v>454</v>
      </c>
      <c r="Z196" s="23" t="s">
        <v>454</v>
      </c>
      <c r="AA196" s="23" t="s">
        <v>454</v>
      </c>
      <c r="AB196" s="24" t="s">
        <v>153</v>
      </c>
      <c r="AC196" s="23" t="s">
        <v>153</v>
      </c>
      <c r="AD196" s="23" t="s">
        <v>153</v>
      </c>
      <c r="AE196" s="23" t="s">
        <v>153</v>
      </c>
      <c r="AF196" s="23" t="s">
        <v>451</v>
      </c>
      <c r="AG196" s="23" t="s">
        <v>451</v>
      </c>
      <c r="AH196" s="23" t="s">
        <v>451</v>
      </c>
      <c r="AI196" s="24" t="s">
        <v>153</v>
      </c>
      <c r="AJ196" s="23" t="s">
        <v>153</v>
      </c>
      <c r="AK196" s="23" t="s">
        <v>153</v>
      </c>
      <c r="AL196" s="23" t="s">
        <v>153</v>
      </c>
      <c r="AM196" s="23" t="s">
        <v>153</v>
      </c>
      <c r="AN196" s="23" t="s">
        <v>153</v>
      </c>
      <c r="AO196" s="23" t="s">
        <v>153</v>
      </c>
      <c r="AP196" s="23">
        <f>VALUE(7)</f>
        <v>7</v>
      </c>
      <c r="AQ196" s="23">
        <f>VALUE(0)</f>
        <v>0</v>
      </c>
      <c r="AR196" s="23">
        <f>VALUE(0)</f>
        <v>0</v>
      </c>
      <c r="AS196" s="23">
        <f>VALUE(0)</f>
        <v>0</v>
      </c>
      <c r="AT196" s="23">
        <f>VALUE(0)</f>
        <v>0</v>
      </c>
      <c r="AU196" s="23">
        <f>VALUE(0)</f>
        <v>0</v>
      </c>
      <c r="AV196" s="23">
        <f>VALUE(18)</f>
        <v>18</v>
      </c>
      <c r="AW196" s="23">
        <f>VALUE(0)</f>
        <v>0</v>
      </c>
      <c r="AX196" s="23">
        <f>VALUE(0)</f>
        <v>0</v>
      </c>
      <c r="AY196" s="23">
        <f>VALUE(0)</f>
        <v>0</v>
      </c>
      <c r="AZ196" s="23">
        <f>VALUE(0)</f>
        <v>0</v>
      </c>
      <c r="BA196" s="23">
        <f>VALUE(0)</f>
        <v>0</v>
      </c>
      <c r="BB196" s="23">
        <f>VALUE(0)</f>
        <v>0</v>
      </c>
      <c r="BC196" s="23">
        <f>VALUE(0)</f>
        <v>0</v>
      </c>
      <c r="BD196" s="23">
        <f>VALUE(0)</f>
        <v>0</v>
      </c>
      <c r="BE196" s="23">
        <f>VALUE(0)</f>
        <v>0</v>
      </c>
      <c r="BF196" s="23">
        <f>VALUE(0)</f>
        <v>0</v>
      </c>
      <c r="BG196" s="23">
        <f>VALUE(0)</f>
        <v>0</v>
      </c>
      <c r="BH196" s="23">
        <f>VALUE(0)</f>
        <v>0</v>
      </c>
      <c r="BI196" s="23">
        <f>VALUE(0)</f>
        <v>0</v>
      </c>
      <c r="BJ196" s="23">
        <f>VALUE(0)</f>
        <v>0</v>
      </c>
      <c r="BK196" s="12">
        <f>$AX$196*24</f>
        <v>0</v>
      </c>
      <c r="BL196" s="12">
        <f>$AY$196*24</f>
        <v>0</v>
      </c>
      <c r="BM196" s="12">
        <f>$BJ$196*24</f>
        <v>0</v>
      </c>
      <c r="BN196" s="12">
        <f>VALUE($I$196)/100</f>
        <v>1</v>
      </c>
      <c r="BO196" s="12">
        <v>0</v>
      </c>
      <c r="BP196" s="12">
        <v>0</v>
      </c>
      <c r="BQ196" s="12">
        <v>0</v>
      </c>
      <c r="BR196" s="12">
        <v>0</v>
      </c>
      <c r="BS196" s="12">
        <v>0</v>
      </c>
      <c r="BT196" s="12">
        <v>0</v>
      </c>
      <c r="BU196" s="12">
        <v>0</v>
      </c>
      <c r="BV196" s="12">
        <v>0</v>
      </c>
      <c r="BW196" s="12">
        <v>0</v>
      </c>
      <c r="BX196" s="12">
        <v>0</v>
      </c>
      <c r="BY196" s="12">
        <v>0</v>
      </c>
      <c r="BZ196" s="12">
        <v>0</v>
      </c>
      <c r="CA196" s="12">
        <v>0</v>
      </c>
    </row>
    <row r="197" spans="1:79" hidden="1" x14ac:dyDescent="0.2">
      <c r="A197" s="12" t="s">
        <v>120</v>
      </c>
      <c r="B197" s="12" t="s">
        <v>126</v>
      </c>
      <c r="C197" s="12" t="s">
        <v>126</v>
      </c>
      <c r="D197" s="22" t="s">
        <v>450</v>
      </c>
      <c r="E197" s="22" t="s">
        <v>161</v>
      </c>
      <c r="F197" s="22" t="s">
        <v>904</v>
      </c>
      <c r="G197" s="22" t="s">
        <v>905</v>
      </c>
      <c r="H197" s="22" t="s">
        <v>242</v>
      </c>
      <c r="I197" s="22" t="s">
        <v>151</v>
      </c>
      <c r="J197" s="22" t="s">
        <v>162</v>
      </c>
      <c r="K197" s="22" t="s">
        <v>85</v>
      </c>
      <c r="L197" s="54" t="s">
        <v>153</v>
      </c>
      <c r="M197" s="23" t="s">
        <v>153</v>
      </c>
      <c r="N197" s="24" t="s">
        <v>153</v>
      </c>
      <c r="O197" s="23" t="s">
        <v>153</v>
      </c>
      <c r="P197" s="23" t="s">
        <v>153</v>
      </c>
      <c r="Q197" s="23" t="s">
        <v>153</v>
      </c>
      <c r="R197" s="23" t="s">
        <v>153</v>
      </c>
      <c r="S197" s="23" t="s">
        <v>153</v>
      </c>
      <c r="T197" s="23" t="s">
        <v>153</v>
      </c>
      <c r="U197" s="24" t="s">
        <v>153</v>
      </c>
      <c r="V197" s="54" t="s">
        <v>153</v>
      </c>
      <c r="W197" s="23" t="s">
        <v>153</v>
      </c>
      <c r="X197" s="23" t="s">
        <v>153</v>
      </c>
      <c r="Y197" s="23" t="s">
        <v>153</v>
      </c>
      <c r="Z197" s="23" t="s">
        <v>153</v>
      </c>
      <c r="AA197" s="23" t="s">
        <v>153</v>
      </c>
      <c r="AB197" s="24" t="s">
        <v>153</v>
      </c>
      <c r="AC197" s="27" t="s">
        <v>153</v>
      </c>
      <c r="AD197" s="27" t="s">
        <v>153</v>
      </c>
      <c r="AE197" s="27" t="s">
        <v>153</v>
      </c>
      <c r="AF197" s="27" t="s">
        <v>153</v>
      </c>
      <c r="AG197" s="27" t="s">
        <v>153</v>
      </c>
      <c r="AH197" s="27" t="s">
        <v>153</v>
      </c>
      <c r="AI197" s="24" t="s">
        <v>153</v>
      </c>
      <c r="AJ197" s="27" t="s">
        <v>153</v>
      </c>
      <c r="AK197" s="27" t="s">
        <v>153</v>
      </c>
      <c r="AL197" s="27" t="s">
        <v>153</v>
      </c>
      <c r="AM197" s="27" t="s">
        <v>153</v>
      </c>
      <c r="AN197" s="27" t="s">
        <v>153</v>
      </c>
      <c r="AO197" s="27" t="s">
        <v>153</v>
      </c>
      <c r="AP197" s="23">
        <f>VALUE(0)</f>
        <v>0</v>
      </c>
      <c r="AQ197" s="23">
        <f>VALUE(0)</f>
        <v>0</v>
      </c>
      <c r="AR197" s="23">
        <f>VALUE(0)</f>
        <v>0</v>
      </c>
      <c r="AS197" s="23">
        <f>VALUE(0)</f>
        <v>0</v>
      </c>
      <c r="AT197" s="23">
        <f>VALUE(0)</f>
        <v>0</v>
      </c>
      <c r="AU197" s="23">
        <f>VALUE(0)</f>
        <v>0</v>
      </c>
      <c r="AV197" s="23">
        <f>VALUE(0)</f>
        <v>0</v>
      </c>
      <c r="AW197" s="23">
        <f>VALUE(0)</f>
        <v>0</v>
      </c>
      <c r="AX197" s="23">
        <f>VALUE(0)</f>
        <v>0</v>
      </c>
      <c r="AY197" s="23">
        <f>VALUE(0)</f>
        <v>0</v>
      </c>
      <c r="AZ197" s="23">
        <f>VALUE(0)</f>
        <v>0</v>
      </c>
      <c r="BA197" s="23">
        <f>VALUE(0)</f>
        <v>0</v>
      </c>
      <c r="BB197" s="23">
        <f>VALUE(0)</f>
        <v>0</v>
      </c>
      <c r="BC197" s="23">
        <f>VALUE(0)</f>
        <v>0</v>
      </c>
      <c r="BD197" s="23">
        <f>VALUE(0)</f>
        <v>0</v>
      </c>
      <c r="BE197" s="23">
        <f>VALUE(0)</f>
        <v>0</v>
      </c>
      <c r="BF197" s="23">
        <f>VALUE(0)</f>
        <v>0</v>
      </c>
      <c r="BG197" s="23">
        <f>VALUE(0)</f>
        <v>0</v>
      </c>
      <c r="BH197" s="23">
        <f>VALUE(0)</f>
        <v>0</v>
      </c>
      <c r="BI197" s="23">
        <f>VALUE(0)</f>
        <v>0</v>
      </c>
      <c r="BJ197" s="23">
        <f>VALUE(0)</f>
        <v>0</v>
      </c>
      <c r="BK197" s="12">
        <f>$AX$197*24</f>
        <v>0</v>
      </c>
      <c r="BL197" s="12">
        <f>$AY$197*24</f>
        <v>0</v>
      </c>
      <c r="BM197" s="12">
        <f>$BJ$197*24</f>
        <v>0</v>
      </c>
      <c r="BN197" s="12">
        <f>VALUE($I$197)/100</f>
        <v>1</v>
      </c>
      <c r="BO197" s="12">
        <v>0</v>
      </c>
      <c r="BP197" s="12">
        <v>0</v>
      </c>
      <c r="BQ197" s="12">
        <v>0</v>
      </c>
      <c r="BR197" s="12">
        <v>0</v>
      </c>
      <c r="BS197" s="12">
        <v>0</v>
      </c>
      <c r="BT197" s="12">
        <v>0</v>
      </c>
      <c r="BU197" s="12">
        <v>0</v>
      </c>
      <c r="BV197" s="12">
        <v>0</v>
      </c>
      <c r="BW197" s="12">
        <v>0</v>
      </c>
      <c r="BX197" s="12">
        <v>0</v>
      </c>
      <c r="BY197" s="12">
        <v>0</v>
      </c>
      <c r="BZ197" s="12">
        <v>0</v>
      </c>
      <c r="CA197" s="12">
        <v>0</v>
      </c>
    </row>
    <row r="198" spans="1:79" hidden="1" x14ac:dyDescent="0.2">
      <c r="A198" s="12" t="s">
        <v>120</v>
      </c>
      <c r="B198" s="12" t="s">
        <v>126</v>
      </c>
      <c r="C198" s="12" t="s">
        <v>126</v>
      </c>
      <c r="D198" s="22" t="s">
        <v>450</v>
      </c>
      <c r="E198" s="22" t="s">
        <v>161</v>
      </c>
      <c r="F198" s="22" t="s">
        <v>906</v>
      </c>
      <c r="G198" s="22" t="s">
        <v>907</v>
      </c>
      <c r="H198" s="22" t="s">
        <v>150</v>
      </c>
      <c r="I198" s="22" t="s">
        <v>151</v>
      </c>
      <c r="J198" s="22" t="s">
        <v>162</v>
      </c>
      <c r="K198" s="22" t="s">
        <v>85</v>
      </c>
      <c r="L198" s="54" t="s">
        <v>153</v>
      </c>
      <c r="M198" s="23" t="s">
        <v>153</v>
      </c>
      <c r="N198" s="24" t="s">
        <v>153</v>
      </c>
      <c r="O198" s="29" t="s">
        <v>163</v>
      </c>
      <c r="P198" s="29" t="s">
        <v>163</v>
      </c>
      <c r="Q198" s="29" t="s">
        <v>163</v>
      </c>
      <c r="R198" s="29" t="s">
        <v>163</v>
      </c>
      <c r="S198" s="29" t="s">
        <v>163</v>
      </c>
      <c r="T198" s="29" t="s">
        <v>163</v>
      </c>
      <c r="U198" s="24" t="s">
        <v>153</v>
      </c>
      <c r="V198" s="54" t="s">
        <v>153</v>
      </c>
      <c r="W198" s="29" t="s">
        <v>163</v>
      </c>
      <c r="X198" s="29" t="s">
        <v>163</v>
      </c>
      <c r="Y198" s="29" t="s">
        <v>163</v>
      </c>
      <c r="Z198" s="29" t="s">
        <v>163</v>
      </c>
      <c r="AA198" s="29" t="s">
        <v>163</v>
      </c>
      <c r="AB198" s="24" t="s">
        <v>153</v>
      </c>
      <c r="AC198" s="23" t="s">
        <v>153</v>
      </c>
      <c r="AD198" s="23" t="s">
        <v>153</v>
      </c>
      <c r="AE198" s="23" t="s">
        <v>153</v>
      </c>
      <c r="AF198" s="23" t="s">
        <v>153</v>
      </c>
      <c r="AG198" s="23" t="s">
        <v>153</v>
      </c>
      <c r="AH198" s="23" t="s">
        <v>153</v>
      </c>
      <c r="AI198" s="24" t="s">
        <v>153</v>
      </c>
      <c r="AJ198" s="23" t="s">
        <v>153</v>
      </c>
      <c r="AK198" s="23" t="s">
        <v>153</v>
      </c>
      <c r="AL198" s="23" t="s">
        <v>153</v>
      </c>
      <c r="AM198" s="23" t="s">
        <v>153</v>
      </c>
      <c r="AN198" s="23" t="s">
        <v>153</v>
      </c>
      <c r="AO198" s="23" t="s">
        <v>153</v>
      </c>
      <c r="AP198" s="23">
        <f>VALUE(4)</f>
        <v>4</v>
      </c>
      <c r="AQ198" s="23">
        <f>VALUE(0)</f>
        <v>0</v>
      </c>
      <c r="AR198" s="23">
        <f>VALUE(11)</f>
        <v>11</v>
      </c>
      <c r="AS198" s="23">
        <f>VALUE(0)</f>
        <v>0</v>
      </c>
      <c r="AT198" s="23">
        <f>VALUE(0)</f>
        <v>0</v>
      </c>
      <c r="AU198" s="23">
        <f>VALUE(0)</f>
        <v>0</v>
      </c>
      <c r="AV198" s="23">
        <f>VALUE(8)</f>
        <v>8</v>
      </c>
      <c r="AW198" s="23">
        <f>VALUE(0)</f>
        <v>0</v>
      </c>
      <c r="AX198" s="23" t="s">
        <v>171</v>
      </c>
      <c r="AY198" s="23" t="s">
        <v>465</v>
      </c>
      <c r="AZ198" s="23">
        <f>VALUE(0)</f>
        <v>0</v>
      </c>
      <c r="BA198" s="23">
        <f>VALUE(0)</f>
        <v>0</v>
      </c>
      <c r="BB198" s="23">
        <f>VALUE(0)</f>
        <v>0</v>
      </c>
      <c r="BC198" s="23">
        <f>VALUE(0)</f>
        <v>0</v>
      </c>
      <c r="BD198" s="23">
        <f>VALUE(0)</f>
        <v>0</v>
      </c>
      <c r="BE198" s="23">
        <f>VALUE(0)</f>
        <v>0</v>
      </c>
      <c r="BF198" s="23">
        <f>VALUE(0)</f>
        <v>0</v>
      </c>
      <c r="BG198" s="23">
        <f>VALUE(0)</f>
        <v>0</v>
      </c>
      <c r="BH198" s="23">
        <f>VALUE(0)</f>
        <v>0</v>
      </c>
      <c r="BI198" s="23">
        <f>VALUE(0)</f>
        <v>0</v>
      </c>
      <c r="BJ198" s="23">
        <f>VALUE(0)</f>
        <v>0</v>
      </c>
      <c r="BK198" s="12">
        <f>$AX$198*24</f>
        <v>5.833333333333333</v>
      </c>
      <c r="BL198" s="12">
        <f>$AY$198*24</f>
        <v>6.25</v>
      </c>
      <c r="BM198" s="12">
        <f>$BJ$198*24</f>
        <v>0</v>
      </c>
      <c r="BN198" s="12">
        <f>VALUE($I$198)/100</f>
        <v>1</v>
      </c>
      <c r="BO198" s="12">
        <v>0</v>
      </c>
      <c r="BP198" s="12">
        <v>0</v>
      </c>
      <c r="BQ198" s="12">
        <v>0</v>
      </c>
      <c r="BR198" s="12">
        <v>0</v>
      </c>
      <c r="BS198" s="12">
        <v>0</v>
      </c>
      <c r="BT198" s="12">
        <v>11</v>
      </c>
      <c r="BU198" s="12">
        <v>0</v>
      </c>
      <c r="BV198" s="12">
        <v>0</v>
      </c>
      <c r="BW198" s="12">
        <v>0</v>
      </c>
      <c r="BX198" s="12">
        <v>0</v>
      </c>
      <c r="BY198" s="12">
        <v>0</v>
      </c>
      <c r="BZ198" s="12">
        <v>0</v>
      </c>
      <c r="CA198" s="12">
        <v>0</v>
      </c>
    </row>
    <row r="199" spans="1:79" hidden="1" x14ac:dyDescent="0.2">
      <c r="A199" s="12" t="s">
        <v>120</v>
      </c>
      <c r="B199" s="12" t="s">
        <v>126</v>
      </c>
      <c r="C199" s="12" t="s">
        <v>126</v>
      </c>
      <c r="D199" s="22" t="s">
        <v>466</v>
      </c>
      <c r="E199" s="22" t="s">
        <v>161</v>
      </c>
      <c r="F199" s="22" t="s">
        <v>908</v>
      </c>
      <c r="G199" s="22" t="s">
        <v>909</v>
      </c>
      <c r="H199" s="22" t="s">
        <v>166</v>
      </c>
      <c r="I199" s="22" t="s">
        <v>151</v>
      </c>
      <c r="J199" s="22" t="s">
        <v>162</v>
      </c>
      <c r="K199" s="22" t="s">
        <v>85</v>
      </c>
      <c r="L199" s="54" t="s">
        <v>153</v>
      </c>
      <c r="M199" s="23" t="s">
        <v>153</v>
      </c>
      <c r="N199" s="24" t="s">
        <v>153</v>
      </c>
      <c r="O199" s="23" t="s">
        <v>153</v>
      </c>
      <c r="P199" s="23" t="s">
        <v>153</v>
      </c>
      <c r="Q199" s="23" t="s">
        <v>153</v>
      </c>
      <c r="R199" s="23" t="s">
        <v>153</v>
      </c>
      <c r="S199" s="23" t="s">
        <v>153</v>
      </c>
      <c r="T199" s="23" t="s">
        <v>153</v>
      </c>
      <c r="U199" s="24" t="s">
        <v>153</v>
      </c>
      <c r="V199" s="54" t="s">
        <v>153</v>
      </c>
      <c r="W199" s="23" t="s">
        <v>153</v>
      </c>
      <c r="X199" s="23" t="s">
        <v>153</v>
      </c>
      <c r="Y199" s="23" t="s">
        <v>153</v>
      </c>
      <c r="Z199" s="23" t="s">
        <v>153</v>
      </c>
      <c r="AA199" s="23" t="s">
        <v>153</v>
      </c>
      <c r="AB199" s="24" t="s">
        <v>153</v>
      </c>
      <c r="AC199" s="23" t="s">
        <v>153</v>
      </c>
      <c r="AD199" s="23" t="s">
        <v>153</v>
      </c>
      <c r="AE199" s="23" t="s">
        <v>153</v>
      </c>
      <c r="AF199" s="23" t="s">
        <v>153</v>
      </c>
      <c r="AG199" s="23" t="s">
        <v>153</v>
      </c>
      <c r="AH199" s="23" t="s">
        <v>153</v>
      </c>
      <c r="AI199" s="24" t="s">
        <v>153</v>
      </c>
      <c r="AJ199" s="23" t="s">
        <v>153</v>
      </c>
      <c r="AK199" s="23" t="s">
        <v>153</v>
      </c>
      <c r="AL199" s="23" t="s">
        <v>153</v>
      </c>
      <c r="AM199" s="24" t="s">
        <v>156</v>
      </c>
      <c r="AN199" s="24" t="s">
        <v>156</v>
      </c>
      <c r="AO199" s="24" t="s">
        <v>156</v>
      </c>
      <c r="AP199" s="23">
        <f>VALUE(2)</f>
        <v>2</v>
      </c>
      <c r="AQ199" s="23">
        <f>VALUE(0)</f>
        <v>0</v>
      </c>
      <c r="AR199" s="23">
        <f>VALUE(0)</f>
        <v>0</v>
      </c>
      <c r="AS199" s="23">
        <f>VALUE(0)</f>
        <v>0</v>
      </c>
      <c r="AT199" s="23">
        <f>VALUE(0)</f>
        <v>0</v>
      </c>
      <c r="AU199" s="23">
        <f>VALUE(0)</f>
        <v>0</v>
      </c>
      <c r="AV199" s="23">
        <f>VALUE(9)</f>
        <v>9</v>
      </c>
      <c r="AW199" s="23">
        <f>VALUE(0)</f>
        <v>0</v>
      </c>
      <c r="AX199" s="23" t="s">
        <v>1251</v>
      </c>
      <c r="AY199" s="23">
        <f>VALUE(0)</f>
        <v>0</v>
      </c>
      <c r="AZ199" s="23">
        <f>VALUE(0)</f>
        <v>0</v>
      </c>
      <c r="BA199" s="23">
        <f>VALUE(0)</f>
        <v>0</v>
      </c>
      <c r="BB199" s="23">
        <f>VALUE(0)</f>
        <v>0</v>
      </c>
      <c r="BC199" s="23">
        <f>VALUE(0)</f>
        <v>0</v>
      </c>
      <c r="BD199" s="23">
        <f>VALUE(0)</f>
        <v>0</v>
      </c>
      <c r="BE199" s="23">
        <f>VALUE(0)</f>
        <v>0</v>
      </c>
      <c r="BF199" s="23">
        <f>VALUE(0)</f>
        <v>0</v>
      </c>
      <c r="BG199" s="23">
        <f>VALUE(0)</f>
        <v>0</v>
      </c>
      <c r="BH199" s="23">
        <f>VALUE(0)</f>
        <v>0</v>
      </c>
      <c r="BI199" s="23">
        <f>VALUE(0)</f>
        <v>0</v>
      </c>
      <c r="BJ199" s="23">
        <f>VALUE(0)</f>
        <v>0</v>
      </c>
      <c r="BK199" s="12">
        <f>$AX$199*24</f>
        <v>32.6</v>
      </c>
      <c r="BL199" s="12">
        <f>$AY$199*24</f>
        <v>0</v>
      </c>
      <c r="BM199" s="12">
        <f>$BJ$199*24</f>
        <v>0</v>
      </c>
      <c r="BN199" s="12">
        <f>VALUE($I$199)/100</f>
        <v>1</v>
      </c>
      <c r="BO199" s="12">
        <v>0</v>
      </c>
      <c r="BP199" s="12">
        <v>0</v>
      </c>
      <c r="BQ199" s="12">
        <v>0</v>
      </c>
      <c r="BR199" s="12">
        <v>0</v>
      </c>
      <c r="BS199" s="12">
        <v>0</v>
      </c>
      <c r="BT199" s="12">
        <v>0</v>
      </c>
      <c r="BU199" s="12">
        <v>0</v>
      </c>
      <c r="BV199" s="12">
        <v>0</v>
      </c>
      <c r="BW199" s="12">
        <v>0</v>
      </c>
      <c r="BX199" s="12">
        <v>0</v>
      </c>
      <c r="BY199" s="12">
        <v>0</v>
      </c>
      <c r="BZ199" s="12">
        <v>0</v>
      </c>
      <c r="CA199" s="12">
        <v>0</v>
      </c>
    </row>
    <row r="200" spans="1:79" hidden="1" x14ac:dyDescent="0.2">
      <c r="A200" s="12" t="s">
        <v>120</v>
      </c>
      <c r="B200" s="12" t="s">
        <v>126</v>
      </c>
      <c r="C200" s="12" t="s">
        <v>126</v>
      </c>
      <c r="D200" s="22" t="s">
        <v>467</v>
      </c>
      <c r="E200" s="22" t="s">
        <v>161</v>
      </c>
      <c r="F200" s="22" t="s">
        <v>910</v>
      </c>
      <c r="G200" s="22" t="s">
        <v>911</v>
      </c>
      <c r="H200" s="22" t="s">
        <v>150</v>
      </c>
      <c r="I200" s="22" t="s">
        <v>151</v>
      </c>
      <c r="J200" s="22" t="s">
        <v>162</v>
      </c>
      <c r="K200" s="22" t="s">
        <v>85</v>
      </c>
      <c r="L200" s="54" t="s">
        <v>153</v>
      </c>
      <c r="M200" s="28" t="s">
        <v>163</v>
      </c>
      <c r="N200" s="24" t="s">
        <v>153</v>
      </c>
      <c r="O200" s="23" t="s">
        <v>153</v>
      </c>
      <c r="P200" s="23" t="s">
        <v>153</v>
      </c>
      <c r="Q200" s="23" t="s">
        <v>153</v>
      </c>
      <c r="R200" s="23" t="s">
        <v>153</v>
      </c>
      <c r="S200" s="23" t="s">
        <v>153</v>
      </c>
      <c r="T200" s="23" t="s">
        <v>153</v>
      </c>
      <c r="U200" s="24" t="s">
        <v>153</v>
      </c>
      <c r="V200" s="54" t="s">
        <v>153</v>
      </c>
      <c r="W200" s="23" t="s">
        <v>153</v>
      </c>
      <c r="X200" s="23" t="s">
        <v>153</v>
      </c>
      <c r="Y200" s="23" t="s">
        <v>153</v>
      </c>
      <c r="Z200" s="23" t="s">
        <v>153</v>
      </c>
      <c r="AA200" s="23" t="s">
        <v>153</v>
      </c>
      <c r="AB200" s="24" t="s">
        <v>153</v>
      </c>
      <c r="AC200" s="24" t="s">
        <v>156</v>
      </c>
      <c r="AD200" s="24" t="s">
        <v>156</v>
      </c>
      <c r="AE200" s="24" t="s">
        <v>156</v>
      </c>
      <c r="AF200" s="28" t="s">
        <v>163</v>
      </c>
      <c r="AG200" s="28" t="s">
        <v>163</v>
      </c>
      <c r="AH200" s="28" t="s">
        <v>163</v>
      </c>
      <c r="AI200" s="24" t="s">
        <v>153</v>
      </c>
      <c r="AJ200" s="23" t="s">
        <v>153</v>
      </c>
      <c r="AK200" s="23" t="s">
        <v>153</v>
      </c>
      <c r="AL200" s="23" t="s">
        <v>153</v>
      </c>
      <c r="AM200" s="23" t="s">
        <v>153</v>
      </c>
      <c r="AN200" s="23" t="s">
        <v>153</v>
      </c>
      <c r="AO200" s="23" t="s">
        <v>153</v>
      </c>
      <c r="AP200" s="23">
        <f>VALUE(2)</f>
        <v>2</v>
      </c>
      <c r="AQ200" s="23">
        <f>VALUE(0)</f>
        <v>0</v>
      </c>
      <c r="AR200" s="23">
        <f>VALUE(0)</f>
        <v>0</v>
      </c>
      <c r="AS200" s="23">
        <f>VALUE(0)</f>
        <v>0</v>
      </c>
      <c r="AT200" s="23">
        <f>VALUE(0)</f>
        <v>0</v>
      </c>
      <c r="AU200" s="23">
        <f>VALUE(4)</f>
        <v>4</v>
      </c>
      <c r="AV200" s="23">
        <f>VALUE(13)</f>
        <v>13</v>
      </c>
      <c r="AW200" s="23">
        <f>VALUE(0)</f>
        <v>0</v>
      </c>
      <c r="AX200" s="23" t="s">
        <v>171</v>
      </c>
      <c r="AY200" s="23" t="s">
        <v>176</v>
      </c>
      <c r="AZ200" s="23">
        <f>VALUE(0)</f>
        <v>0</v>
      </c>
      <c r="BA200" s="23">
        <f>VALUE(0)</f>
        <v>0</v>
      </c>
      <c r="BB200" s="23">
        <f>VALUE(0)</f>
        <v>0</v>
      </c>
      <c r="BC200" s="23">
        <f>VALUE(0)</f>
        <v>0</v>
      </c>
      <c r="BD200" s="23">
        <f>VALUE(0)</f>
        <v>0</v>
      </c>
      <c r="BE200" s="23">
        <f>VALUE(0)</f>
        <v>0</v>
      </c>
      <c r="BF200" s="23">
        <f>VALUE(0)</f>
        <v>0</v>
      </c>
      <c r="BG200" s="23">
        <f>VALUE(0)</f>
        <v>0</v>
      </c>
      <c r="BH200" s="23">
        <f>VALUE(0)</f>
        <v>0</v>
      </c>
      <c r="BI200" s="23">
        <f>VALUE(0)</f>
        <v>0</v>
      </c>
      <c r="BJ200" s="23">
        <f>VALUE(0)</f>
        <v>0</v>
      </c>
      <c r="BK200" s="12">
        <f>$AX$200*24</f>
        <v>5.833333333333333</v>
      </c>
      <c r="BL200" s="12">
        <f>$AY$200*24</f>
        <v>0</v>
      </c>
      <c r="BM200" s="12">
        <f>$BJ$200*24</f>
        <v>0</v>
      </c>
      <c r="BN200" s="12">
        <f>VALUE($I$200)/100</f>
        <v>1</v>
      </c>
      <c r="BO200" s="12">
        <v>0</v>
      </c>
      <c r="BP200" s="12">
        <v>0</v>
      </c>
      <c r="BQ200" s="12">
        <v>0</v>
      </c>
      <c r="BR200" s="12">
        <v>0</v>
      </c>
      <c r="BS200" s="12">
        <v>0</v>
      </c>
      <c r="BT200" s="12">
        <v>0</v>
      </c>
      <c r="BU200" s="12">
        <v>0</v>
      </c>
      <c r="BV200" s="12">
        <v>0</v>
      </c>
      <c r="BW200" s="12">
        <v>0</v>
      </c>
      <c r="BX200" s="12">
        <v>0</v>
      </c>
      <c r="BY200" s="12">
        <v>0</v>
      </c>
      <c r="BZ200" s="12">
        <v>0</v>
      </c>
      <c r="CA200" s="12">
        <v>0</v>
      </c>
    </row>
    <row r="201" spans="1:79" hidden="1" x14ac:dyDescent="0.2">
      <c r="A201" s="12" t="s">
        <v>120</v>
      </c>
      <c r="B201" s="12" t="s">
        <v>126</v>
      </c>
      <c r="C201" s="12" t="s">
        <v>126</v>
      </c>
      <c r="D201" s="22" t="s">
        <v>468</v>
      </c>
      <c r="E201" s="22" t="s">
        <v>161</v>
      </c>
      <c r="F201" s="22" t="s">
        <v>912</v>
      </c>
      <c r="G201" s="22" t="s">
        <v>913</v>
      </c>
      <c r="H201" s="22" t="s">
        <v>166</v>
      </c>
      <c r="I201" s="22" t="s">
        <v>194</v>
      </c>
      <c r="J201" s="22" t="s">
        <v>162</v>
      </c>
      <c r="K201" s="22" t="s">
        <v>85</v>
      </c>
      <c r="L201" s="54" t="s">
        <v>153</v>
      </c>
      <c r="M201" s="23" t="s">
        <v>153</v>
      </c>
      <c r="N201" s="24" t="s">
        <v>153</v>
      </c>
      <c r="O201" s="24" t="s">
        <v>195</v>
      </c>
      <c r="P201" s="24" t="s">
        <v>195</v>
      </c>
      <c r="Q201" s="24" t="s">
        <v>195</v>
      </c>
      <c r="R201" s="24" t="s">
        <v>195</v>
      </c>
      <c r="S201" s="24" t="s">
        <v>195</v>
      </c>
      <c r="T201" s="24" t="s">
        <v>195</v>
      </c>
      <c r="U201" s="24" t="s">
        <v>153</v>
      </c>
      <c r="V201" s="54" t="s">
        <v>153</v>
      </c>
      <c r="W201" s="23" t="s">
        <v>153</v>
      </c>
      <c r="X201" s="23" t="s">
        <v>153</v>
      </c>
      <c r="Y201" s="23" t="s">
        <v>153</v>
      </c>
      <c r="Z201" s="23" t="s">
        <v>153</v>
      </c>
      <c r="AA201" s="23" t="s">
        <v>153</v>
      </c>
      <c r="AB201" s="24" t="s">
        <v>153</v>
      </c>
      <c r="AC201" s="23" t="s">
        <v>153</v>
      </c>
      <c r="AD201" s="23" t="s">
        <v>153</v>
      </c>
      <c r="AE201" s="23" t="s">
        <v>153</v>
      </c>
      <c r="AF201" s="23" t="s">
        <v>153</v>
      </c>
      <c r="AG201" s="23" t="s">
        <v>153</v>
      </c>
      <c r="AH201" s="23" t="s">
        <v>153</v>
      </c>
      <c r="AI201" s="24" t="s">
        <v>153</v>
      </c>
      <c r="AJ201" s="23" t="s">
        <v>153</v>
      </c>
      <c r="AK201" s="23" t="s">
        <v>153</v>
      </c>
      <c r="AL201" s="23" t="s">
        <v>153</v>
      </c>
      <c r="AM201" s="24" t="s">
        <v>195</v>
      </c>
      <c r="AN201" s="24" t="s">
        <v>195</v>
      </c>
      <c r="AO201" s="24" t="s">
        <v>195</v>
      </c>
      <c r="AP201" s="23">
        <f>VALUE(2)</f>
        <v>2</v>
      </c>
      <c r="AQ201" s="23">
        <f>VALUE(0)</f>
        <v>0</v>
      </c>
      <c r="AR201" s="23">
        <f>VALUE(0)</f>
        <v>0</v>
      </c>
      <c r="AS201" s="23">
        <f>VALUE(0)</f>
        <v>0</v>
      </c>
      <c r="AT201" s="23">
        <f>VALUE(0)</f>
        <v>0</v>
      </c>
      <c r="AU201" s="23">
        <f>VALUE(0)</f>
        <v>0</v>
      </c>
      <c r="AV201" s="23">
        <f>VALUE(1.5)</f>
        <v>1.5</v>
      </c>
      <c r="AW201" s="23">
        <f>VALUE(0)</f>
        <v>0</v>
      </c>
      <c r="AX201" s="23" t="s">
        <v>1252</v>
      </c>
      <c r="AY201" s="23">
        <f>VALUE(0)</f>
        <v>0</v>
      </c>
      <c r="AZ201" s="23">
        <f>VALUE(0)</f>
        <v>0</v>
      </c>
      <c r="BA201" s="23">
        <f>VALUE(0)</f>
        <v>0</v>
      </c>
      <c r="BB201" s="23">
        <f>VALUE(0)</f>
        <v>0</v>
      </c>
      <c r="BC201" s="23">
        <f>VALUE(0)</f>
        <v>0</v>
      </c>
      <c r="BD201" s="23">
        <f>VALUE(0)</f>
        <v>0</v>
      </c>
      <c r="BE201" s="23">
        <f>VALUE(0)</f>
        <v>0</v>
      </c>
      <c r="BF201" s="23">
        <f>VALUE(0)</f>
        <v>0</v>
      </c>
      <c r="BG201" s="23">
        <f>VALUE(0)</f>
        <v>0</v>
      </c>
      <c r="BH201" s="23">
        <f>VALUE(0)</f>
        <v>0</v>
      </c>
      <c r="BI201" s="23">
        <f>VALUE(0)</f>
        <v>0</v>
      </c>
      <c r="BJ201" s="23">
        <f>VALUE(0)</f>
        <v>0</v>
      </c>
      <c r="BK201" s="12">
        <f>$AX$201*24</f>
        <v>39.56666666666667</v>
      </c>
      <c r="BL201" s="12">
        <f>$AY$201*24</f>
        <v>0</v>
      </c>
      <c r="BM201" s="12">
        <f>$BJ$201*24</f>
        <v>0</v>
      </c>
      <c r="BN201" s="12">
        <f>VALUE($I$201)/100</f>
        <v>0.8</v>
      </c>
      <c r="BO201" s="12">
        <v>0</v>
      </c>
      <c r="BP201" s="12">
        <v>0</v>
      </c>
      <c r="BQ201" s="12">
        <v>0</v>
      </c>
      <c r="BR201" s="12">
        <v>0</v>
      </c>
      <c r="BS201" s="12">
        <v>0</v>
      </c>
      <c r="BT201" s="12">
        <v>0</v>
      </c>
      <c r="BU201" s="12">
        <v>0</v>
      </c>
      <c r="BV201" s="12">
        <v>0</v>
      </c>
      <c r="BW201" s="12">
        <v>0</v>
      </c>
      <c r="BX201" s="12">
        <v>0</v>
      </c>
      <c r="BY201" s="12">
        <v>0</v>
      </c>
      <c r="BZ201" s="12">
        <v>0</v>
      </c>
      <c r="CA201" s="12">
        <v>0</v>
      </c>
    </row>
    <row r="202" spans="1:79" hidden="1" x14ac:dyDescent="0.2">
      <c r="A202" s="12" t="s">
        <v>120</v>
      </c>
      <c r="B202" s="12" t="s">
        <v>126</v>
      </c>
      <c r="C202" s="12" t="s">
        <v>126</v>
      </c>
      <c r="D202" s="22" t="s">
        <v>469</v>
      </c>
      <c r="E202" s="22" t="s">
        <v>173</v>
      </c>
      <c r="F202" s="22" t="s">
        <v>914</v>
      </c>
      <c r="G202" s="22" t="s">
        <v>915</v>
      </c>
      <c r="H202" s="22" t="s">
        <v>279</v>
      </c>
      <c r="I202" s="22" t="s">
        <v>151</v>
      </c>
      <c r="J202" s="22" t="s">
        <v>162</v>
      </c>
      <c r="K202" s="22" t="s">
        <v>85</v>
      </c>
      <c r="L202" s="54" t="s">
        <v>153</v>
      </c>
      <c r="M202" s="23" t="s">
        <v>469</v>
      </c>
      <c r="N202" s="24" t="s">
        <v>153</v>
      </c>
      <c r="O202" s="23" t="s">
        <v>469</v>
      </c>
      <c r="P202" s="23" t="s">
        <v>469</v>
      </c>
      <c r="Q202" s="23" t="s">
        <v>469</v>
      </c>
      <c r="R202" s="23" t="s">
        <v>469</v>
      </c>
      <c r="S202" s="23" t="s">
        <v>469</v>
      </c>
      <c r="T202" s="23" t="s">
        <v>469</v>
      </c>
      <c r="U202" s="24" t="s">
        <v>153</v>
      </c>
      <c r="V202" s="54" t="s">
        <v>153</v>
      </c>
      <c r="W202" s="27" t="s">
        <v>153</v>
      </c>
      <c r="X202" s="27" t="s">
        <v>153</v>
      </c>
      <c r="Y202" s="27" t="s">
        <v>153</v>
      </c>
      <c r="Z202" s="27" t="s">
        <v>153</v>
      </c>
      <c r="AA202" s="27" t="s">
        <v>153</v>
      </c>
      <c r="AB202" s="24" t="s">
        <v>153</v>
      </c>
      <c r="AC202" s="27" t="s">
        <v>153</v>
      </c>
      <c r="AD202" s="27" t="s">
        <v>153</v>
      </c>
      <c r="AE202" s="27" t="s">
        <v>153</v>
      </c>
      <c r="AF202" s="27" t="s">
        <v>153</v>
      </c>
      <c r="AG202" s="27" t="s">
        <v>153</v>
      </c>
      <c r="AH202" s="27" t="s">
        <v>153</v>
      </c>
      <c r="AI202" s="24" t="s">
        <v>153</v>
      </c>
      <c r="AJ202" s="27" t="s">
        <v>153</v>
      </c>
      <c r="AK202" s="27" t="s">
        <v>153</v>
      </c>
      <c r="AL202" s="27" t="s">
        <v>153</v>
      </c>
      <c r="AM202" s="27" t="s">
        <v>153</v>
      </c>
      <c r="AN202" s="27" t="s">
        <v>153</v>
      </c>
      <c r="AO202" s="27" t="s">
        <v>153</v>
      </c>
      <c r="AP202" s="23">
        <f>VALUE(0)</f>
        <v>0</v>
      </c>
      <c r="AQ202" s="23">
        <f>VALUE(0)</f>
        <v>0</v>
      </c>
      <c r="AR202" s="23">
        <f>VALUE(0)</f>
        <v>0</v>
      </c>
      <c r="AS202" s="23">
        <f>VALUE(0)</f>
        <v>0</v>
      </c>
      <c r="AT202" s="23">
        <f>VALUE(0)</f>
        <v>0</v>
      </c>
      <c r="AU202" s="23">
        <f>VALUE(0)</f>
        <v>0</v>
      </c>
      <c r="AV202" s="23">
        <f>VALUE(0)</f>
        <v>0</v>
      </c>
      <c r="AW202" s="23">
        <f>VALUE(0)</f>
        <v>0</v>
      </c>
      <c r="AX202" s="23">
        <f>VALUE(0)</f>
        <v>0</v>
      </c>
      <c r="AY202" s="23">
        <f>VALUE(0)</f>
        <v>0</v>
      </c>
      <c r="AZ202" s="23">
        <f>VALUE(0)</f>
        <v>0</v>
      </c>
      <c r="BA202" s="23">
        <f>VALUE(0)</f>
        <v>0</v>
      </c>
      <c r="BB202" s="23">
        <f>VALUE(0)</f>
        <v>0</v>
      </c>
      <c r="BC202" s="23">
        <f>VALUE(0)</f>
        <v>0</v>
      </c>
      <c r="BD202" s="23">
        <f>VALUE(0)</f>
        <v>0</v>
      </c>
      <c r="BE202" s="23">
        <f>VALUE(0)</f>
        <v>0</v>
      </c>
      <c r="BF202" s="23">
        <f>VALUE(0)</f>
        <v>0</v>
      </c>
      <c r="BG202" s="23">
        <f>VALUE(0)</f>
        <v>0</v>
      </c>
      <c r="BH202" s="23">
        <f>VALUE(0)</f>
        <v>0</v>
      </c>
      <c r="BI202" s="23">
        <f>VALUE(0)</f>
        <v>0</v>
      </c>
      <c r="BJ202" s="23">
        <f>VALUE(0)</f>
        <v>0</v>
      </c>
      <c r="BK202" s="12">
        <f>$AX$202*24</f>
        <v>0</v>
      </c>
      <c r="BL202" s="12">
        <f>$AY$202*24</f>
        <v>0</v>
      </c>
      <c r="BM202" s="12">
        <f>$BJ$202*24</f>
        <v>0</v>
      </c>
      <c r="BN202" s="12">
        <f>VALUE($I$202)/100</f>
        <v>1</v>
      </c>
      <c r="BO202" s="12">
        <v>0</v>
      </c>
      <c r="BP202" s="12">
        <v>0</v>
      </c>
      <c r="BQ202" s="12">
        <v>0</v>
      </c>
      <c r="BR202" s="12">
        <v>0</v>
      </c>
      <c r="BS202" s="12">
        <v>0</v>
      </c>
      <c r="BT202" s="12">
        <v>0</v>
      </c>
      <c r="BU202" s="12">
        <v>0</v>
      </c>
      <c r="BV202" s="12">
        <v>0</v>
      </c>
      <c r="BW202" s="12">
        <v>0</v>
      </c>
      <c r="BX202" s="12">
        <v>0</v>
      </c>
      <c r="BY202" s="12">
        <v>0</v>
      </c>
      <c r="BZ202" s="12">
        <v>0</v>
      </c>
      <c r="CA202" s="12">
        <v>0</v>
      </c>
    </row>
    <row r="203" spans="1:79" hidden="1" x14ac:dyDescent="0.2">
      <c r="A203" s="12" t="s">
        <v>120</v>
      </c>
      <c r="B203" s="12" t="s">
        <v>126</v>
      </c>
      <c r="C203" s="12" t="s">
        <v>126</v>
      </c>
      <c r="D203" s="22" t="s">
        <v>469</v>
      </c>
      <c r="E203" s="22" t="s">
        <v>161</v>
      </c>
      <c r="F203" s="22" t="s">
        <v>916</v>
      </c>
      <c r="G203" s="22" t="s">
        <v>917</v>
      </c>
      <c r="H203" s="22" t="s">
        <v>150</v>
      </c>
      <c r="I203" s="22" t="s">
        <v>151</v>
      </c>
      <c r="J203" s="22" t="s">
        <v>162</v>
      </c>
      <c r="K203" s="22" t="s">
        <v>85</v>
      </c>
      <c r="L203" s="54" t="s">
        <v>153</v>
      </c>
      <c r="M203" s="23" t="s">
        <v>467</v>
      </c>
      <c r="N203" s="24" t="s">
        <v>153</v>
      </c>
      <c r="O203" s="25" t="s">
        <v>449</v>
      </c>
      <c r="P203" s="25" t="s">
        <v>1253</v>
      </c>
      <c r="Q203" s="25" t="s">
        <v>1253</v>
      </c>
      <c r="R203" s="25" t="s">
        <v>1253</v>
      </c>
      <c r="S203" s="23" t="s">
        <v>468</v>
      </c>
      <c r="T203" s="23" t="s">
        <v>468</v>
      </c>
      <c r="U203" s="24" t="s">
        <v>153</v>
      </c>
      <c r="V203" s="54" t="s">
        <v>153</v>
      </c>
      <c r="W203" s="23" t="s">
        <v>449</v>
      </c>
      <c r="X203" s="23" t="s">
        <v>449</v>
      </c>
      <c r="Y203" s="23" t="s">
        <v>449</v>
      </c>
      <c r="Z203" s="23" t="s">
        <v>449</v>
      </c>
      <c r="AA203" s="23" t="s">
        <v>449</v>
      </c>
      <c r="AB203" s="24" t="s">
        <v>153</v>
      </c>
      <c r="AC203" s="23" t="s">
        <v>467</v>
      </c>
      <c r="AD203" s="23" t="s">
        <v>459</v>
      </c>
      <c r="AE203" s="23" t="s">
        <v>459</v>
      </c>
      <c r="AF203" s="24" t="s">
        <v>156</v>
      </c>
      <c r="AG203" s="24" t="s">
        <v>156</v>
      </c>
      <c r="AH203" s="24" t="s">
        <v>156</v>
      </c>
      <c r="AI203" s="24" t="s">
        <v>153</v>
      </c>
      <c r="AJ203" s="23" t="s">
        <v>459</v>
      </c>
      <c r="AK203" s="23" t="s">
        <v>459</v>
      </c>
      <c r="AL203" s="23" t="s">
        <v>459</v>
      </c>
      <c r="AM203" s="23" t="s">
        <v>459</v>
      </c>
      <c r="AN203" s="23" t="s">
        <v>459</v>
      </c>
      <c r="AO203" s="23" t="s">
        <v>459</v>
      </c>
      <c r="AP203" s="23">
        <f>VALUE(12)</f>
        <v>12</v>
      </c>
      <c r="AQ203" s="23">
        <f>VALUE(0)</f>
        <v>0</v>
      </c>
      <c r="AR203" s="23">
        <f>VALUE(0)</f>
        <v>0</v>
      </c>
      <c r="AS203" s="23">
        <f>VALUE(0)</f>
        <v>0</v>
      </c>
      <c r="AT203" s="23">
        <f>VALUE(0)</f>
        <v>0</v>
      </c>
      <c r="AU203" s="23">
        <f>VALUE(0)</f>
        <v>0</v>
      </c>
      <c r="AV203" s="23">
        <f>VALUE(4)</f>
        <v>4</v>
      </c>
      <c r="AW203" s="23">
        <f>VALUE(0)</f>
        <v>0</v>
      </c>
      <c r="AX203" s="23" t="s">
        <v>171</v>
      </c>
      <c r="AY203" s="23" t="s">
        <v>470</v>
      </c>
      <c r="AZ203" s="23">
        <f>VALUE(0)</f>
        <v>0</v>
      </c>
      <c r="BA203" s="23">
        <f>VALUE(0)</f>
        <v>0</v>
      </c>
      <c r="BB203" s="23">
        <f>VALUE(0)</f>
        <v>0</v>
      </c>
      <c r="BC203" s="23">
        <f>VALUE(0)</f>
        <v>0</v>
      </c>
      <c r="BD203" s="23">
        <f>VALUE(3)</f>
        <v>3</v>
      </c>
      <c r="BE203" s="23">
        <f>VALUE(0)</f>
        <v>0</v>
      </c>
      <c r="BF203" s="23">
        <f>VALUE(0)</f>
        <v>0</v>
      </c>
      <c r="BG203" s="23">
        <f>VALUE(0)</f>
        <v>0</v>
      </c>
      <c r="BH203" s="23">
        <f>VALUE(0)</f>
        <v>0</v>
      </c>
      <c r="BI203" s="23">
        <f>VALUE(0)</f>
        <v>0</v>
      </c>
      <c r="BJ203" s="23">
        <f>VALUE(0)</f>
        <v>0</v>
      </c>
      <c r="BK203" s="12">
        <f>$AX$203*24</f>
        <v>5.833333333333333</v>
      </c>
      <c r="BL203" s="12">
        <f>$AY$203*24</f>
        <v>10</v>
      </c>
      <c r="BM203" s="12">
        <f>$BJ$203*24</f>
        <v>0</v>
      </c>
      <c r="BN203" s="12">
        <f>VALUE($I$203)/100</f>
        <v>1</v>
      </c>
      <c r="BO203" s="12">
        <v>0</v>
      </c>
      <c r="BP203" s="12">
        <v>0</v>
      </c>
      <c r="BQ203" s="12">
        <v>0</v>
      </c>
      <c r="BR203" s="12">
        <v>3</v>
      </c>
      <c r="BS203" s="12">
        <v>0</v>
      </c>
      <c r="BT203" s="12">
        <v>0</v>
      </c>
      <c r="BU203" s="12">
        <v>0</v>
      </c>
      <c r="BV203" s="12">
        <v>0</v>
      </c>
      <c r="BW203" s="12">
        <v>0</v>
      </c>
      <c r="BX203" s="12">
        <v>0</v>
      </c>
      <c r="BY203" s="12">
        <v>0</v>
      </c>
      <c r="BZ203" s="12">
        <v>0</v>
      </c>
      <c r="CA203" s="12">
        <v>0</v>
      </c>
    </row>
    <row r="204" spans="1:79" hidden="1" x14ac:dyDescent="0.2">
      <c r="A204" s="12" t="s">
        <v>120</v>
      </c>
      <c r="B204" s="12" t="s">
        <v>126</v>
      </c>
      <c r="C204" s="12" t="s">
        <v>126</v>
      </c>
      <c r="D204" s="22" t="s">
        <v>589</v>
      </c>
      <c r="E204" s="22" t="s">
        <v>173</v>
      </c>
      <c r="F204" s="22" t="s">
        <v>918</v>
      </c>
      <c r="G204" s="22" t="s">
        <v>919</v>
      </c>
      <c r="H204" s="22" t="s">
        <v>150</v>
      </c>
      <c r="I204" s="22" t="s">
        <v>151</v>
      </c>
      <c r="J204" s="22" t="s">
        <v>162</v>
      </c>
      <c r="K204" s="22" t="s">
        <v>85</v>
      </c>
      <c r="L204" s="54" t="s">
        <v>153</v>
      </c>
      <c r="M204" s="23" t="s">
        <v>449</v>
      </c>
      <c r="N204" s="24" t="s">
        <v>153</v>
      </c>
      <c r="O204" s="25" t="s">
        <v>464</v>
      </c>
      <c r="P204" s="25" t="s">
        <v>464</v>
      </c>
      <c r="Q204" s="25" t="s">
        <v>464</v>
      </c>
      <c r="R204" s="25" t="s">
        <v>464</v>
      </c>
      <c r="S204" s="25" t="s">
        <v>464</v>
      </c>
      <c r="T204" s="25" t="s">
        <v>464</v>
      </c>
      <c r="U204" s="24" t="s">
        <v>153</v>
      </c>
      <c r="V204" s="54" t="s">
        <v>153</v>
      </c>
      <c r="W204" s="25" t="s">
        <v>464</v>
      </c>
      <c r="X204" s="25" t="s">
        <v>464</v>
      </c>
      <c r="Y204" s="25" t="s">
        <v>464</v>
      </c>
      <c r="Z204" s="25" t="s">
        <v>464</v>
      </c>
      <c r="AA204" s="25" t="s">
        <v>464</v>
      </c>
      <c r="AB204" s="24" t="s">
        <v>153</v>
      </c>
      <c r="AC204" s="23" t="s">
        <v>464</v>
      </c>
      <c r="AD204" s="25" t="s">
        <v>450</v>
      </c>
      <c r="AE204" s="25" t="s">
        <v>450</v>
      </c>
      <c r="AF204" s="25" t="s">
        <v>450</v>
      </c>
      <c r="AG204" s="25" t="s">
        <v>450</v>
      </c>
      <c r="AH204" s="25" t="s">
        <v>450</v>
      </c>
      <c r="AI204" s="24" t="s">
        <v>153</v>
      </c>
      <c r="AJ204" s="24" t="s">
        <v>156</v>
      </c>
      <c r="AK204" s="24" t="s">
        <v>156</v>
      </c>
      <c r="AL204" s="24" t="s">
        <v>156</v>
      </c>
      <c r="AM204" s="23" t="s">
        <v>468</v>
      </c>
      <c r="AN204" s="23" t="s">
        <v>468</v>
      </c>
      <c r="AO204" s="23" t="s">
        <v>468</v>
      </c>
      <c r="AP204" s="23">
        <f>VALUE(4)</f>
        <v>4</v>
      </c>
      <c r="AQ204" s="23">
        <f>VALUE(0)</f>
        <v>0</v>
      </c>
      <c r="AR204" s="23">
        <f>VALUE(0)</f>
        <v>0</v>
      </c>
      <c r="AS204" s="23">
        <f>VALUE(0)</f>
        <v>0</v>
      </c>
      <c r="AT204" s="23">
        <f>VALUE(0)</f>
        <v>0</v>
      </c>
      <c r="AU204" s="23">
        <f>VALUE(0)</f>
        <v>0</v>
      </c>
      <c r="AV204" s="23">
        <f>VALUE(1)</f>
        <v>1</v>
      </c>
      <c r="AW204" s="23">
        <f>VALUE(0)</f>
        <v>0</v>
      </c>
      <c r="AX204" s="23" t="s">
        <v>171</v>
      </c>
      <c r="AY204" s="23">
        <f>VALUE(0)</f>
        <v>0</v>
      </c>
      <c r="AZ204" s="23">
        <f>VALUE(0)</f>
        <v>0</v>
      </c>
      <c r="BA204" s="23">
        <f>VALUE(0)</f>
        <v>0</v>
      </c>
      <c r="BB204" s="23">
        <f>VALUE(0)</f>
        <v>0</v>
      </c>
      <c r="BC204" s="23">
        <f>VALUE(0)</f>
        <v>0</v>
      </c>
      <c r="BD204" s="23">
        <f>VALUE(0)</f>
        <v>0</v>
      </c>
      <c r="BE204" s="23">
        <f>VALUE(0)</f>
        <v>0</v>
      </c>
      <c r="BF204" s="23">
        <f>VALUE(0)</f>
        <v>0</v>
      </c>
      <c r="BG204" s="23">
        <f>VALUE(0)</f>
        <v>0</v>
      </c>
      <c r="BH204" s="23">
        <f>VALUE(0)</f>
        <v>0</v>
      </c>
      <c r="BI204" s="23">
        <f>VALUE(0)</f>
        <v>0</v>
      </c>
      <c r="BJ204" s="23">
        <f>VALUE(0)</f>
        <v>0</v>
      </c>
      <c r="BK204" s="12">
        <f>$AX$204*24</f>
        <v>5.833333333333333</v>
      </c>
      <c r="BL204" s="12">
        <f>$AY$204*24</f>
        <v>0</v>
      </c>
      <c r="BM204" s="12">
        <f>$BJ$204*24</f>
        <v>0</v>
      </c>
      <c r="BN204" s="12">
        <f>VALUE($I$204)/100</f>
        <v>1</v>
      </c>
      <c r="BO204" s="12">
        <v>0</v>
      </c>
      <c r="BP204" s="12">
        <v>0</v>
      </c>
      <c r="BQ204" s="12">
        <v>0</v>
      </c>
      <c r="BR204" s="12">
        <v>0</v>
      </c>
      <c r="BS204" s="12">
        <v>0</v>
      </c>
      <c r="BT204" s="12">
        <v>0</v>
      </c>
      <c r="BU204" s="12">
        <v>0</v>
      </c>
      <c r="BV204" s="12">
        <v>0</v>
      </c>
      <c r="BW204" s="12">
        <v>0</v>
      </c>
      <c r="BX204" s="12">
        <v>0</v>
      </c>
      <c r="BY204" s="12">
        <v>0</v>
      </c>
      <c r="BZ204" s="12">
        <v>0</v>
      </c>
      <c r="CA204" s="12">
        <v>0</v>
      </c>
    </row>
    <row r="205" spans="1:79" hidden="1" x14ac:dyDescent="0.2">
      <c r="A205" s="12" t="s">
        <v>120</v>
      </c>
      <c r="B205" s="12" t="s">
        <v>126</v>
      </c>
      <c r="C205" s="12" t="s">
        <v>126</v>
      </c>
      <c r="D205" s="22" t="s">
        <v>1254</v>
      </c>
      <c r="E205" s="22" t="s">
        <v>159</v>
      </c>
      <c r="F205" s="22" t="s">
        <v>920</v>
      </c>
      <c r="G205" s="22" t="s">
        <v>921</v>
      </c>
      <c r="H205" s="22" t="s">
        <v>150</v>
      </c>
      <c r="I205" s="22" t="s">
        <v>151</v>
      </c>
      <c r="J205" s="22" t="s">
        <v>162</v>
      </c>
      <c r="K205" s="22" t="s">
        <v>85</v>
      </c>
      <c r="L205" s="54" t="s">
        <v>153</v>
      </c>
      <c r="M205" s="23" t="s">
        <v>464</v>
      </c>
      <c r="N205" s="24" t="s">
        <v>153</v>
      </c>
      <c r="O205" s="25" t="s">
        <v>464</v>
      </c>
      <c r="P205" s="25" t="s">
        <v>464</v>
      </c>
      <c r="Q205" s="25" t="s">
        <v>464</v>
      </c>
      <c r="R205" s="25" t="s">
        <v>464</v>
      </c>
      <c r="S205" s="25" t="s">
        <v>464</v>
      </c>
      <c r="T205" s="25" t="s">
        <v>464</v>
      </c>
      <c r="U205" s="24" t="s">
        <v>153</v>
      </c>
      <c r="V205" s="54" t="s">
        <v>153</v>
      </c>
      <c r="W205" s="25" t="s">
        <v>464</v>
      </c>
      <c r="X205" s="25" t="s">
        <v>464</v>
      </c>
      <c r="Y205" s="25" t="s">
        <v>464</v>
      </c>
      <c r="Z205" s="25" t="s">
        <v>464</v>
      </c>
      <c r="AA205" s="25" t="s">
        <v>464</v>
      </c>
      <c r="AB205" s="24" t="s">
        <v>153</v>
      </c>
      <c r="AC205" s="24" t="s">
        <v>156</v>
      </c>
      <c r="AD205" s="24" t="s">
        <v>156</v>
      </c>
      <c r="AE205" s="24" t="s">
        <v>156</v>
      </c>
      <c r="AF205" s="23" t="s">
        <v>464</v>
      </c>
      <c r="AG205" s="23" t="s">
        <v>464</v>
      </c>
      <c r="AH205" s="23" t="s">
        <v>464</v>
      </c>
      <c r="AI205" s="24" t="s">
        <v>153</v>
      </c>
      <c r="AJ205" s="23" t="s">
        <v>464</v>
      </c>
      <c r="AK205" s="23" t="s">
        <v>464</v>
      </c>
      <c r="AL205" s="23" t="s">
        <v>464</v>
      </c>
      <c r="AM205" s="23" t="s">
        <v>464</v>
      </c>
      <c r="AN205" s="23" t="s">
        <v>464</v>
      </c>
      <c r="AO205" s="23" t="s">
        <v>464</v>
      </c>
      <c r="AP205" s="23">
        <f>VALUE(2)</f>
        <v>2</v>
      </c>
      <c r="AQ205" s="23">
        <f>VALUE(0)</f>
        <v>0</v>
      </c>
      <c r="AR205" s="23">
        <f>VALUE(0)</f>
        <v>0</v>
      </c>
      <c r="AS205" s="23">
        <f>VALUE(0)</f>
        <v>0</v>
      </c>
      <c r="AT205" s="23">
        <f>VALUE(0)</f>
        <v>0</v>
      </c>
      <c r="AU205" s="23">
        <f>VALUE(0)</f>
        <v>0</v>
      </c>
      <c r="AV205" s="23">
        <f>VALUE(6)</f>
        <v>6</v>
      </c>
      <c r="AW205" s="23">
        <f>VALUE(0)</f>
        <v>0</v>
      </c>
      <c r="AX205" s="23" t="s">
        <v>171</v>
      </c>
      <c r="AY205" s="23" t="s">
        <v>471</v>
      </c>
      <c r="AZ205" s="23">
        <f>VALUE(0)</f>
        <v>0</v>
      </c>
      <c r="BA205" s="23">
        <f>VALUE(0)</f>
        <v>0</v>
      </c>
      <c r="BB205" s="23">
        <f>VALUE(0)</f>
        <v>0</v>
      </c>
      <c r="BC205" s="23">
        <f>VALUE(0)</f>
        <v>0</v>
      </c>
      <c r="BD205" s="23">
        <f>VALUE(0)</f>
        <v>0</v>
      </c>
      <c r="BE205" s="23">
        <f>VALUE(0)</f>
        <v>0</v>
      </c>
      <c r="BF205" s="23">
        <f>VALUE(0)</f>
        <v>0</v>
      </c>
      <c r="BG205" s="23">
        <f>VALUE(0)</f>
        <v>0</v>
      </c>
      <c r="BH205" s="23">
        <f>VALUE(0)</f>
        <v>0</v>
      </c>
      <c r="BI205" s="23">
        <f>VALUE(0)</f>
        <v>0</v>
      </c>
      <c r="BJ205" s="23">
        <f>VALUE(0)</f>
        <v>0</v>
      </c>
      <c r="BK205" s="12">
        <f>$AX$205*24</f>
        <v>5.833333333333333</v>
      </c>
      <c r="BL205" s="12">
        <f>$AY$205*24</f>
        <v>4.3166666666666664</v>
      </c>
      <c r="BM205" s="12">
        <f>$BJ$205*24</f>
        <v>0</v>
      </c>
      <c r="BN205" s="12">
        <f>VALUE($I$205)/100</f>
        <v>1</v>
      </c>
      <c r="BO205" s="12">
        <v>0</v>
      </c>
      <c r="BP205" s="12">
        <v>0</v>
      </c>
      <c r="BQ205" s="12">
        <v>0</v>
      </c>
      <c r="BR205" s="12">
        <v>0</v>
      </c>
      <c r="BS205" s="12">
        <v>0</v>
      </c>
      <c r="BT205" s="12">
        <v>0</v>
      </c>
      <c r="BU205" s="12">
        <v>0</v>
      </c>
      <c r="BV205" s="12">
        <v>0</v>
      </c>
      <c r="BW205" s="12">
        <v>0</v>
      </c>
      <c r="BX205" s="12">
        <v>0</v>
      </c>
      <c r="BY205" s="12">
        <v>0</v>
      </c>
      <c r="BZ205" s="12">
        <v>0</v>
      </c>
      <c r="CA205" s="12">
        <v>0</v>
      </c>
    </row>
    <row r="206" spans="1:79" hidden="1" x14ac:dyDescent="0.2">
      <c r="A206" s="12" t="s">
        <v>120</v>
      </c>
      <c r="B206" s="12" t="s">
        <v>126</v>
      </c>
      <c r="C206" s="12" t="s">
        <v>126</v>
      </c>
      <c r="D206" s="22" t="s">
        <v>472</v>
      </c>
      <c r="E206" s="22" t="s">
        <v>332</v>
      </c>
      <c r="F206" s="22" t="s">
        <v>922</v>
      </c>
      <c r="G206" s="22" t="s">
        <v>923</v>
      </c>
      <c r="H206" s="22" t="s">
        <v>150</v>
      </c>
      <c r="I206" s="22" t="s">
        <v>151</v>
      </c>
      <c r="J206" s="22" t="s">
        <v>162</v>
      </c>
      <c r="K206" s="22" t="s">
        <v>85</v>
      </c>
      <c r="L206" s="54" t="s">
        <v>153</v>
      </c>
      <c r="M206" s="28" t="s">
        <v>163</v>
      </c>
      <c r="N206" s="24" t="s">
        <v>153</v>
      </c>
      <c r="O206" s="23" t="s">
        <v>468</v>
      </c>
      <c r="P206" s="25" t="s">
        <v>468</v>
      </c>
      <c r="Q206" s="25" t="s">
        <v>468</v>
      </c>
      <c r="R206" s="25" t="s">
        <v>468</v>
      </c>
      <c r="S206" s="23" t="s">
        <v>462</v>
      </c>
      <c r="T206" s="23" t="s">
        <v>462</v>
      </c>
      <c r="U206" s="24" t="s">
        <v>153</v>
      </c>
      <c r="V206" s="54" t="s">
        <v>156</v>
      </c>
      <c r="W206" s="24" t="s">
        <v>156</v>
      </c>
      <c r="X206" s="24" t="s">
        <v>156</v>
      </c>
      <c r="Y206" s="23" t="s">
        <v>153</v>
      </c>
      <c r="Z206" s="23" t="s">
        <v>153</v>
      </c>
      <c r="AA206" s="23" t="s">
        <v>153</v>
      </c>
      <c r="AB206" s="24" t="s">
        <v>153</v>
      </c>
      <c r="AC206" s="25" t="s">
        <v>450</v>
      </c>
      <c r="AD206" s="23" t="s">
        <v>467</v>
      </c>
      <c r="AE206" s="23" t="s">
        <v>467</v>
      </c>
      <c r="AF206" s="23" t="s">
        <v>459</v>
      </c>
      <c r="AG206" s="23" t="s">
        <v>459</v>
      </c>
      <c r="AH206" s="23" t="s">
        <v>459</v>
      </c>
      <c r="AI206" s="24" t="s">
        <v>153</v>
      </c>
      <c r="AJ206" s="23" t="s">
        <v>153</v>
      </c>
      <c r="AK206" s="23" t="s">
        <v>153</v>
      </c>
      <c r="AL206" s="23" t="s">
        <v>153</v>
      </c>
      <c r="AM206" s="23" t="s">
        <v>466</v>
      </c>
      <c r="AN206" s="23" t="s">
        <v>466</v>
      </c>
      <c r="AO206" s="23" t="s">
        <v>466</v>
      </c>
      <c r="AP206" s="23">
        <f>VALUE(2)</f>
        <v>2</v>
      </c>
      <c r="AQ206" s="23">
        <f>VALUE(0)</f>
        <v>0</v>
      </c>
      <c r="AR206" s="23">
        <f>VALUE(0)</f>
        <v>0</v>
      </c>
      <c r="AS206" s="23">
        <f>VALUE(6)</f>
        <v>6</v>
      </c>
      <c r="AT206" s="23">
        <f>VALUE(0)</f>
        <v>0</v>
      </c>
      <c r="AU206" s="23">
        <f>VALUE(1)</f>
        <v>1</v>
      </c>
      <c r="AV206" s="23">
        <f>VALUE(3)</f>
        <v>3</v>
      </c>
      <c r="AW206" s="23">
        <f>VALUE(0)</f>
        <v>0</v>
      </c>
      <c r="AX206" s="23" t="s">
        <v>176</v>
      </c>
      <c r="AY206" s="23" t="s">
        <v>473</v>
      </c>
      <c r="AZ206" s="23">
        <f>VALUE(0)</f>
        <v>0</v>
      </c>
      <c r="BA206" s="23">
        <f>VALUE(0)</f>
        <v>0</v>
      </c>
      <c r="BB206" s="23">
        <f>VALUE(0)</f>
        <v>0</v>
      </c>
      <c r="BC206" s="23">
        <f>VALUE(0)</f>
        <v>0</v>
      </c>
      <c r="BD206" s="23">
        <f>VALUE(0)</f>
        <v>0</v>
      </c>
      <c r="BE206" s="23">
        <f>VALUE(0)</f>
        <v>0</v>
      </c>
      <c r="BF206" s="23">
        <f>VALUE(0)</f>
        <v>0</v>
      </c>
      <c r="BG206" s="23">
        <f>VALUE(0)</f>
        <v>0</v>
      </c>
      <c r="BH206" s="23">
        <f>VALUE(0)</f>
        <v>0</v>
      </c>
      <c r="BI206" s="23">
        <f>VALUE(0)</f>
        <v>0</v>
      </c>
      <c r="BJ206" s="23">
        <f>VALUE(0)</f>
        <v>0</v>
      </c>
      <c r="BK206" s="12">
        <f>$AX$206*24</f>
        <v>0</v>
      </c>
      <c r="BL206" s="12">
        <f>$AY$206*24</f>
        <v>3.6833333333333336</v>
      </c>
      <c r="BM206" s="12">
        <f>$BJ$206*24</f>
        <v>0</v>
      </c>
      <c r="BN206" s="12">
        <f>VALUE($I$206)/100</f>
        <v>1</v>
      </c>
      <c r="BO206" s="12">
        <v>0</v>
      </c>
      <c r="BP206" s="12">
        <v>0</v>
      </c>
      <c r="BQ206" s="12">
        <v>0</v>
      </c>
      <c r="BR206" s="12">
        <v>0</v>
      </c>
      <c r="BS206" s="12">
        <v>0</v>
      </c>
      <c r="BT206" s="12">
        <v>0</v>
      </c>
      <c r="BU206" s="12">
        <v>0</v>
      </c>
      <c r="BV206" s="12">
        <v>0</v>
      </c>
      <c r="BW206" s="12">
        <v>0</v>
      </c>
      <c r="BX206" s="12">
        <v>0</v>
      </c>
      <c r="BY206" s="12">
        <v>0</v>
      </c>
      <c r="BZ206" s="12">
        <v>0</v>
      </c>
      <c r="CA206" s="12">
        <v>0</v>
      </c>
    </row>
    <row r="207" spans="1:79" ht="15" hidden="1" x14ac:dyDescent="0.25">
      <c r="A207" s="12" t="s">
        <v>120</v>
      </c>
      <c r="B207" s="12" t="s">
        <v>126</v>
      </c>
      <c r="C207" s="12" t="s">
        <v>126</v>
      </c>
      <c r="D207" s="31" t="s">
        <v>202</v>
      </c>
      <c r="E207" s="31" t="s">
        <v>153</v>
      </c>
      <c r="F207" s="31" t="s">
        <v>175</v>
      </c>
      <c r="G207" s="31" t="s">
        <v>153</v>
      </c>
      <c r="H207" s="31" t="s">
        <v>153</v>
      </c>
      <c r="I207" s="31" t="s">
        <v>153</v>
      </c>
      <c r="J207" s="31" t="s">
        <v>153</v>
      </c>
      <c r="K207" s="31" t="s">
        <v>153</v>
      </c>
      <c r="L207" s="31">
        <f>VALUE(0)</f>
        <v>0</v>
      </c>
      <c r="M207" s="31">
        <f>VALUE(10)</f>
        <v>10</v>
      </c>
      <c r="N207" s="31">
        <f>VALUE(0)</f>
        <v>0</v>
      </c>
      <c r="O207" s="31">
        <f>VALUE(10)</f>
        <v>10</v>
      </c>
      <c r="P207" s="31">
        <f>VALUE(10)</f>
        <v>10</v>
      </c>
      <c r="Q207" s="31">
        <f>VALUE(10)</f>
        <v>10</v>
      </c>
      <c r="R207" s="31">
        <f>VALUE(10)</f>
        <v>10</v>
      </c>
      <c r="S207" s="31">
        <f>VALUE(10)</f>
        <v>10</v>
      </c>
      <c r="T207" s="31">
        <f>VALUE(10)</f>
        <v>10</v>
      </c>
      <c r="U207" s="31">
        <f>VALUE(0)</f>
        <v>0</v>
      </c>
      <c r="V207" s="31">
        <f>VALUE(0)</f>
        <v>0</v>
      </c>
      <c r="W207" s="31">
        <f>VALUE(9)</f>
        <v>9</v>
      </c>
      <c r="X207" s="31">
        <f>VALUE(9)</f>
        <v>9</v>
      </c>
      <c r="Y207" s="31">
        <f>VALUE(10)</f>
        <v>10</v>
      </c>
      <c r="Z207" s="31">
        <f>VALUE(10)</f>
        <v>10</v>
      </c>
      <c r="AA207" s="31">
        <f>VALUE(10)</f>
        <v>10</v>
      </c>
      <c r="AB207" s="31">
        <f>VALUE(0)</f>
        <v>0</v>
      </c>
      <c r="AC207" s="31">
        <f>VALUE(9)</f>
        <v>9</v>
      </c>
      <c r="AD207" s="31">
        <f>VALUE(9)</f>
        <v>9</v>
      </c>
      <c r="AE207" s="31">
        <f>VALUE(9)</f>
        <v>9</v>
      </c>
      <c r="AF207" s="31">
        <f>VALUE(9)</f>
        <v>9</v>
      </c>
      <c r="AG207" s="31">
        <f>VALUE(9)</f>
        <v>9</v>
      </c>
      <c r="AH207" s="31">
        <f>VALUE(9)</f>
        <v>9</v>
      </c>
      <c r="AI207" s="31">
        <f>VALUE(0)</f>
        <v>0</v>
      </c>
      <c r="AJ207" s="31">
        <f>VALUE(9)</f>
        <v>9</v>
      </c>
      <c r="AK207" s="31">
        <f>VALUE(9)</f>
        <v>9</v>
      </c>
      <c r="AL207" s="31">
        <f>VALUE(9)</f>
        <v>9</v>
      </c>
      <c r="AM207" s="31">
        <f>VALUE(8)</f>
        <v>8</v>
      </c>
      <c r="AN207" s="31">
        <f>VALUE(8)</f>
        <v>8</v>
      </c>
      <c r="AO207" s="31">
        <f>VALUE(8)</f>
        <v>8</v>
      </c>
      <c r="AP207" s="31">
        <v>0</v>
      </c>
      <c r="AQ207" s="31">
        <v>0</v>
      </c>
      <c r="AR207" s="31">
        <v>0</v>
      </c>
      <c r="AS207" s="31">
        <v>0</v>
      </c>
      <c r="AT207" s="31">
        <v>0</v>
      </c>
      <c r="AU207" s="31">
        <v>0</v>
      </c>
      <c r="AV207" s="31">
        <v>0</v>
      </c>
      <c r="AW207" s="31">
        <v>0</v>
      </c>
      <c r="AX207" s="31">
        <v>0</v>
      </c>
      <c r="AY207" s="31">
        <v>0</v>
      </c>
      <c r="AZ207" s="31">
        <v>0</v>
      </c>
      <c r="BA207" s="31">
        <v>0</v>
      </c>
      <c r="BB207" s="31">
        <v>0</v>
      </c>
      <c r="BC207" s="31">
        <v>0</v>
      </c>
      <c r="BD207" s="31">
        <v>0</v>
      </c>
      <c r="BE207" s="31">
        <v>0</v>
      </c>
      <c r="BF207" s="31">
        <v>0</v>
      </c>
      <c r="BG207" s="31">
        <v>0</v>
      </c>
      <c r="BH207" s="31">
        <v>0</v>
      </c>
      <c r="BI207" s="31">
        <v>0</v>
      </c>
      <c r="BJ207" s="31">
        <v>0</v>
      </c>
      <c r="BK207" s="12">
        <v>0</v>
      </c>
      <c r="BL207" s="12">
        <v>0</v>
      </c>
      <c r="BM207" s="12">
        <v>0</v>
      </c>
      <c r="BN207" s="12"/>
      <c r="BO207" s="12">
        <v>0</v>
      </c>
      <c r="BP207" s="12">
        <v>0</v>
      </c>
      <c r="BQ207" s="12">
        <v>0</v>
      </c>
      <c r="BR207" s="12">
        <v>0</v>
      </c>
      <c r="BS207" s="12">
        <v>0</v>
      </c>
      <c r="BT207" s="12">
        <v>0</v>
      </c>
      <c r="BU207" s="12">
        <v>0</v>
      </c>
      <c r="BV207" s="12">
        <v>0</v>
      </c>
      <c r="BW207" s="12">
        <v>0</v>
      </c>
      <c r="BX207" s="12">
        <v>0</v>
      </c>
      <c r="BY207" s="12">
        <v>0</v>
      </c>
      <c r="BZ207" s="12">
        <v>0</v>
      </c>
      <c r="CA207" s="12">
        <v>0</v>
      </c>
    </row>
    <row r="208" spans="1:79" hidden="1" x14ac:dyDescent="0.2">
      <c r="A208" s="12" t="s">
        <v>127</v>
      </c>
      <c r="B208" s="12" t="s">
        <v>128</v>
      </c>
      <c r="C208" s="12" t="s">
        <v>128</v>
      </c>
      <c r="D208" s="22" t="s">
        <v>474</v>
      </c>
      <c r="E208" s="22" t="s">
        <v>173</v>
      </c>
      <c r="F208" s="22" t="s">
        <v>924</v>
      </c>
      <c r="G208" s="22" t="s">
        <v>925</v>
      </c>
      <c r="H208" s="22" t="s">
        <v>150</v>
      </c>
      <c r="I208" s="22" t="s">
        <v>415</v>
      </c>
      <c r="J208" s="22" t="s">
        <v>162</v>
      </c>
      <c r="K208" s="22" t="s">
        <v>86</v>
      </c>
      <c r="L208" s="54" t="s">
        <v>153</v>
      </c>
      <c r="M208" s="33" t="s">
        <v>475</v>
      </c>
      <c r="N208" s="24" t="s">
        <v>153</v>
      </c>
      <c r="O208" s="33" t="s">
        <v>475</v>
      </c>
      <c r="P208" s="33" t="s">
        <v>475</v>
      </c>
      <c r="Q208" s="33" t="s">
        <v>475</v>
      </c>
      <c r="R208" s="33" t="s">
        <v>475</v>
      </c>
      <c r="S208" s="33" t="s">
        <v>475</v>
      </c>
      <c r="T208" s="33" t="s">
        <v>475</v>
      </c>
      <c r="U208" s="24" t="s">
        <v>153</v>
      </c>
      <c r="V208" s="54" t="s">
        <v>153</v>
      </c>
      <c r="W208" s="33" t="s">
        <v>475</v>
      </c>
      <c r="X208" s="33" t="s">
        <v>475</v>
      </c>
      <c r="Y208" s="33" t="s">
        <v>475</v>
      </c>
      <c r="Z208" s="33" t="s">
        <v>475</v>
      </c>
      <c r="AA208" s="33" t="s">
        <v>475</v>
      </c>
      <c r="AB208" s="24" t="s">
        <v>153</v>
      </c>
      <c r="AC208" s="33" t="s">
        <v>475</v>
      </c>
      <c r="AD208" s="33" t="s">
        <v>475</v>
      </c>
      <c r="AE208" s="33" t="s">
        <v>475</v>
      </c>
      <c r="AF208" s="33" t="s">
        <v>475</v>
      </c>
      <c r="AG208" s="33" t="s">
        <v>475</v>
      </c>
      <c r="AH208" s="33" t="s">
        <v>475</v>
      </c>
      <c r="AI208" s="24" t="s">
        <v>153</v>
      </c>
      <c r="AJ208" s="33" t="s">
        <v>475</v>
      </c>
      <c r="AK208" s="33" t="s">
        <v>475</v>
      </c>
      <c r="AL208" s="33" t="s">
        <v>475</v>
      </c>
      <c r="AM208" s="33" t="s">
        <v>475</v>
      </c>
      <c r="AN208" s="33" t="s">
        <v>475</v>
      </c>
      <c r="AO208" s="33" t="s">
        <v>475</v>
      </c>
      <c r="AP208" s="23">
        <f>VALUE(0)</f>
        <v>0</v>
      </c>
      <c r="AQ208" s="23">
        <f>VALUE(0)</f>
        <v>0</v>
      </c>
      <c r="AR208" s="23">
        <f>VALUE(0)</f>
        <v>0</v>
      </c>
      <c r="AS208" s="23">
        <f>VALUE(0)</f>
        <v>0</v>
      </c>
      <c r="AT208" s="23">
        <f>VALUE(0)</f>
        <v>0</v>
      </c>
      <c r="AU208" s="23">
        <f>VALUE(0)</f>
        <v>0</v>
      </c>
      <c r="AV208" s="23">
        <f>VALUE(0)</f>
        <v>0</v>
      </c>
      <c r="AW208" s="23">
        <f>VALUE(4)</f>
        <v>4</v>
      </c>
      <c r="AX208" s="23">
        <f>VALUE(0)</f>
        <v>0</v>
      </c>
      <c r="AY208" s="23" t="s">
        <v>476</v>
      </c>
      <c r="AZ208" s="23">
        <f>VALUE(0)</f>
        <v>0</v>
      </c>
      <c r="BA208" s="23">
        <f>VALUE(0)</f>
        <v>0</v>
      </c>
      <c r="BB208" s="23">
        <f>VALUE(0)</f>
        <v>0</v>
      </c>
      <c r="BC208" s="23">
        <f>VALUE(0)</f>
        <v>0</v>
      </c>
      <c r="BD208" s="23">
        <f>VALUE(0)</f>
        <v>0</v>
      </c>
      <c r="BE208" s="23">
        <f>VALUE(0)</f>
        <v>0</v>
      </c>
      <c r="BF208" s="23">
        <f>VALUE(0)</f>
        <v>0</v>
      </c>
      <c r="BG208" s="23">
        <f>VALUE(0)</f>
        <v>0</v>
      </c>
      <c r="BH208" s="23">
        <f>VALUE(0)</f>
        <v>0</v>
      </c>
      <c r="BI208" s="23">
        <f>VALUE(0)</f>
        <v>0</v>
      </c>
      <c r="BJ208" s="23">
        <f>VALUE(0)</f>
        <v>0</v>
      </c>
      <c r="BK208" s="12">
        <f>$AX$208*24</f>
        <v>0</v>
      </c>
      <c r="BL208" s="12">
        <f>$AY$208*24</f>
        <v>5.2833333333333332</v>
      </c>
      <c r="BM208" s="12">
        <f>$BJ$208*24</f>
        <v>0</v>
      </c>
      <c r="BN208" s="12">
        <f>VALUE($I$208)/100</f>
        <v>0.5</v>
      </c>
      <c r="BO208" s="12">
        <v>0</v>
      </c>
      <c r="BP208" s="12">
        <v>0</v>
      </c>
      <c r="BQ208" s="12">
        <v>0</v>
      </c>
      <c r="BR208" s="12">
        <v>0</v>
      </c>
      <c r="BS208" s="12">
        <v>0</v>
      </c>
      <c r="BT208" s="12">
        <v>0</v>
      </c>
      <c r="BU208" s="12">
        <v>0</v>
      </c>
      <c r="BV208" s="12">
        <v>0</v>
      </c>
      <c r="BW208" s="12">
        <v>0</v>
      </c>
      <c r="BX208" s="12">
        <v>0</v>
      </c>
      <c r="BY208" s="12">
        <v>0</v>
      </c>
      <c r="BZ208" s="12">
        <v>0</v>
      </c>
      <c r="CA208" s="12">
        <v>0</v>
      </c>
    </row>
    <row r="209" spans="1:79" ht="15" hidden="1" x14ac:dyDescent="0.25">
      <c r="A209" s="12" t="s">
        <v>127</v>
      </c>
      <c r="B209" s="12" t="s">
        <v>128</v>
      </c>
      <c r="C209" s="12" t="s">
        <v>128</v>
      </c>
      <c r="D209" s="31" t="s">
        <v>262</v>
      </c>
      <c r="E209" s="31" t="s">
        <v>153</v>
      </c>
      <c r="F209" s="31" t="s">
        <v>175</v>
      </c>
      <c r="G209" s="31" t="s">
        <v>153</v>
      </c>
      <c r="H209" s="31" t="s">
        <v>153</v>
      </c>
      <c r="I209" s="31" t="s">
        <v>153</v>
      </c>
      <c r="J209" s="31" t="s">
        <v>153</v>
      </c>
      <c r="K209" s="31" t="s">
        <v>153</v>
      </c>
      <c r="L209" s="31">
        <f>VALUE(0)</f>
        <v>0</v>
      </c>
      <c r="M209" s="31">
        <f>VALUE(0)</f>
        <v>0</v>
      </c>
      <c r="N209" s="31">
        <f>VALUE(0)</f>
        <v>0</v>
      </c>
      <c r="O209" s="31">
        <f>VALUE(0)</f>
        <v>0</v>
      </c>
      <c r="P209" s="31">
        <f>VALUE(0)</f>
        <v>0</v>
      </c>
      <c r="Q209" s="31">
        <f>VALUE(0)</f>
        <v>0</v>
      </c>
      <c r="R209" s="31">
        <f>VALUE(0)</f>
        <v>0</v>
      </c>
      <c r="S209" s="31">
        <f>VALUE(0)</f>
        <v>0</v>
      </c>
      <c r="T209" s="31">
        <f>VALUE(0)</f>
        <v>0</v>
      </c>
      <c r="U209" s="31">
        <f>VALUE(0)</f>
        <v>0</v>
      </c>
      <c r="V209" s="31">
        <f>VALUE(0)</f>
        <v>0</v>
      </c>
      <c r="W209" s="31">
        <f>VALUE(0)</f>
        <v>0</v>
      </c>
      <c r="X209" s="31">
        <f>VALUE(0)</f>
        <v>0</v>
      </c>
      <c r="Y209" s="31">
        <f>VALUE(0)</f>
        <v>0</v>
      </c>
      <c r="Z209" s="31">
        <f>VALUE(0)</f>
        <v>0</v>
      </c>
      <c r="AA209" s="31">
        <f>VALUE(0)</f>
        <v>0</v>
      </c>
      <c r="AB209" s="31">
        <f>VALUE(0)</f>
        <v>0</v>
      </c>
      <c r="AC209" s="31">
        <f>VALUE(0)</f>
        <v>0</v>
      </c>
      <c r="AD209" s="31">
        <f>VALUE(0)</f>
        <v>0</v>
      </c>
      <c r="AE209" s="31">
        <f>VALUE(0)</f>
        <v>0</v>
      </c>
      <c r="AF209" s="31">
        <f>VALUE(0)</f>
        <v>0</v>
      </c>
      <c r="AG209" s="31">
        <f>VALUE(0)</f>
        <v>0</v>
      </c>
      <c r="AH209" s="31">
        <f>VALUE(0)</f>
        <v>0</v>
      </c>
      <c r="AI209" s="31">
        <f>VALUE(0)</f>
        <v>0</v>
      </c>
      <c r="AJ209" s="31">
        <f>VALUE(0)</f>
        <v>0</v>
      </c>
      <c r="AK209" s="31">
        <f>VALUE(0)</f>
        <v>0</v>
      </c>
      <c r="AL209" s="31">
        <f>VALUE(0)</f>
        <v>0</v>
      </c>
      <c r="AM209" s="31">
        <f>VALUE(0)</f>
        <v>0</v>
      </c>
      <c r="AN209" s="31">
        <f>VALUE(0)</f>
        <v>0</v>
      </c>
      <c r="AO209" s="31">
        <f>VALUE(0)</f>
        <v>0</v>
      </c>
      <c r="AP209" s="31">
        <v>0</v>
      </c>
      <c r="AQ209" s="31">
        <v>0</v>
      </c>
      <c r="AR209" s="31">
        <v>0</v>
      </c>
      <c r="AS209" s="31">
        <v>0</v>
      </c>
      <c r="AT209" s="31">
        <v>0</v>
      </c>
      <c r="AU209" s="31">
        <v>0</v>
      </c>
      <c r="AV209" s="31">
        <v>0</v>
      </c>
      <c r="AW209" s="31">
        <v>0</v>
      </c>
      <c r="AX209" s="31">
        <v>0</v>
      </c>
      <c r="AY209" s="31">
        <v>0</v>
      </c>
      <c r="AZ209" s="31">
        <v>0</v>
      </c>
      <c r="BA209" s="31">
        <v>0</v>
      </c>
      <c r="BB209" s="31">
        <v>0</v>
      </c>
      <c r="BC209" s="31">
        <v>0</v>
      </c>
      <c r="BD209" s="31">
        <v>0</v>
      </c>
      <c r="BE209" s="31">
        <v>0</v>
      </c>
      <c r="BF209" s="31">
        <v>0</v>
      </c>
      <c r="BG209" s="31">
        <v>0</v>
      </c>
      <c r="BH209" s="31">
        <v>0</v>
      </c>
      <c r="BI209" s="31">
        <v>0</v>
      </c>
      <c r="BJ209" s="31">
        <v>0</v>
      </c>
      <c r="BK209" s="12">
        <v>0</v>
      </c>
      <c r="BL209" s="12">
        <v>0</v>
      </c>
      <c r="BM209" s="12">
        <v>0</v>
      </c>
      <c r="BN209" s="12"/>
      <c r="BO209" s="12">
        <v>0</v>
      </c>
      <c r="BP209" s="12">
        <v>0</v>
      </c>
      <c r="BQ209" s="12">
        <v>0</v>
      </c>
      <c r="BR209" s="12">
        <v>0</v>
      </c>
      <c r="BS209" s="12">
        <v>0</v>
      </c>
      <c r="BT209" s="12">
        <v>0</v>
      </c>
      <c r="BU209" s="12">
        <v>0</v>
      </c>
      <c r="BV209" s="12">
        <v>0</v>
      </c>
      <c r="BW209" s="12">
        <v>0</v>
      </c>
      <c r="BX209" s="12">
        <v>0</v>
      </c>
      <c r="BY209" s="12">
        <v>0</v>
      </c>
      <c r="BZ209" s="12">
        <v>0</v>
      </c>
      <c r="CA209" s="12">
        <v>0</v>
      </c>
    </row>
    <row r="210" spans="1:79" hidden="1" x14ac:dyDescent="0.2">
      <c r="A210" s="12" t="s">
        <v>127</v>
      </c>
      <c r="B210" s="12" t="s">
        <v>129</v>
      </c>
      <c r="C210" s="12" t="s">
        <v>129</v>
      </c>
      <c r="D210" s="22" t="s">
        <v>477</v>
      </c>
      <c r="E210" s="22" t="s">
        <v>173</v>
      </c>
      <c r="F210" s="22" t="s">
        <v>924</v>
      </c>
      <c r="G210" s="22" t="s">
        <v>925</v>
      </c>
      <c r="H210" s="22" t="s">
        <v>166</v>
      </c>
      <c r="I210" s="22" t="s">
        <v>151</v>
      </c>
      <c r="J210" s="22" t="s">
        <v>162</v>
      </c>
      <c r="K210" s="22" t="s">
        <v>87</v>
      </c>
      <c r="L210" s="54" t="s">
        <v>153</v>
      </c>
      <c r="M210" s="32" t="s">
        <v>188</v>
      </c>
      <c r="N210" s="24" t="s">
        <v>153</v>
      </c>
      <c r="O210" s="32" t="s">
        <v>188</v>
      </c>
      <c r="P210" s="32" t="s">
        <v>188</v>
      </c>
      <c r="Q210" s="32" t="s">
        <v>188</v>
      </c>
      <c r="R210" s="32" t="s">
        <v>188</v>
      </c>
      <c r="S210" s="32" t="s">
        <v>188</v>
      </c>
      <c r="T210" s="32" t="s">
        <v>188</v>
      </c>
      <c r="U210" s="24" t="s">
        <v>153</v>
      </c>
      <c r="V210" s="54" t="s">
        <v>153</v>
      </c>
      <c r="W210" s="32" t="s">
        <v>188</v>
      </c>
      <c r="X210" s="32" t="s">
        <v>188</v>
      </c>
      <c r="Y210" s="32" t="s">
        <v>188</v>
      </c>
      <c r="Z210" s="32" t="s">
        <v>188</v>
      </c>
      <c r="AA210" s="32" t="s">
        <v>188</v>
      </c>
      <c r="AB210" s="24" t="s">
        <v>153</v>
      </c>
      <c r="AC210" s="32" t="s">
        <v>188</v>
      </c>
      <c r="AD210" s="32" t="s">
        <v>188</v>
      </c>
      <c r="AE210" s="32" t="s">
        <v>188</v>
      </c>
      <c r="AF210" s="32" t="s">
        <v>188</v>
      </c>
      <c r="AG210" s="32" t="s">
        <v>188</v>
      </c>
      <c r="AH210" s="32" t="s">
        <v>188</v>
      </c>
      <c r="AI210" s="24" t="s">
        <v>153</v>
      </c>
      <c r="AJ210" s="32" t="s">
        <v>188</v>
      </c>
      <c r="AK210" s="32" t="s">
        <v>188</v>
      </c>
      <c r="AL210" s="32" t="s">
        <v>188</v>
      </c>
      <c r="AM210" s="32" t="s">
        <v>188</v>
      </c>
      <c r="AN210" s="32" t="s">
        <v>188</v>
      </c>
      <c r="AO210" s="32" t="s">
        <v>188</v>
      </c>
      <c r="AP210" s="23">
        <f>VALUE(0)</f>
        <v>0</v>
      </c>
      <c r="AQ210" s="23">
        <f>VALUE(0)</f>
        <v>0</v>
      </c>
      <c r="AR210" s="23">
        <f>VALUE(0)</f>
        <v>0</v>
      </c>
      <c r="AS210" s="23">
        <f>VALUE(0)</f>
        <v>0</v>
      </c>
      <c r="AT210" s="23">
        <f>VALUE(0)</f>
        <v>0</v>
      </c>
      <c r="AU210" s="23">
        <f>VALUE(0)</f>
        <v>0</v>
      </c>
      <c r="AV210" s="23">
        <f>VALUE(0.5)</f>
        <v>0.5</v>
      </c>
      <c r="AW210" s="23">
        <f>VALUE(4)</f>
        <v>4</v>
      </c>
      <c r="AX210" s="23" t="s">
        <v>1255</v>
      </c>
      <c r="AY210" s="23">
        <f>VALUE(0)</f>
        <v>0</v>
      </c>
      <c r="AZ210" s="23">
        <f>VALUE(0)</f>
        <v>0</v>
      </c>
      <c r="BA210" s="23">
        <f>VALUE(0)</f>
        <v>0</v>
      </c>
      <c r="BB210" s="23">
        <f>VALUE(0)</f>
        <v>0</v>
      </c>
      <c r="BC210" s="23">
        <f>VALUE(0)</f>
        <v>0</v>
      </c>
      <c r="BD210" s="23">
        <f>VALUE(0)</f>
        <v>0</v>
      </c>
      <c r="BE210" s="23">
        <f>VALUE(0)</f>
        <v>0</v>
      </c>
      <c r="BF210" s="23">
        <f>VALUE(0)</f>
        <v>0</v>
      </c>
      <c r="BG210" s="23">
        <f>VALUE(0)</f>
        <v>0</v>
      </c>
      <c r="BH210" s="23">
        <f>VALUE(24)</f>
        <v>24</v>
      </c>
      <c r="BI210" s="23">
        <f>VALUE(0)</f>
        <v>0</v>
      </c>
      <c r="BJ210" s="23">
        <f>VALUE(0)</f>
        <v>0</v>
      </c>
      <c r="BK210" s="12">
        <f>$AX$210*24</f>
        <v>8.3833333333333329</v>
      </c>
      <c r="BL210" s="12">
        <f>$AY$210*24</f>
        <v>0</v>
      </c>
      <c r="BM210" s="12">
        <f>$BJ$210*24</f>
        <v>0</v>
      </c>
      <c r="BN210" s="12">
        <f>VALUE($I$210)/100</f>
        <v>1</v>
      </c>
      <c r="BO210" s="12">
        <v>0</v>
      </c>
      <c r="BP210" s="12">
        <v>0</v>
      </c>
      <c r="BQ210" s="12">
        <v>0</v>
      </c>
      <c r="BR210" s="12">
        <v>0</v>
      </c>
      <c r="BS210" s="12">
        <v>0</v>
      </c>
      <c r="BT210" s="12">
        <v>0</v>
      </c>
      <c r="BU210" s="12">
        <v>0</v>
      </c>
      <c r="BV210" s="12">
        <v>0</v>
      </c>
      <c r="BW210" s="12">
        <v>0</v>
      </c>
      <c r="BX210" s="12">
        <v>0</v>
      </c>
      <c r="BY210" s="12">
        <v>0</v>
      </c>
      <c r="BZ210" s="12">
        <v>0</v>
      </c>
      <c r="CA210" s="12">
        <v>0</v>
      </c>
    </row>
    <row r="211" spans="1:79" ht="15" hidden="1" x14ac:dyDescent="0.25">
      <c r="A211" s="12" t="s">
        <v>127</v>
      </c>
      <c r="B211" s="12" t="s">
        <v>129</v>
      </c>
      <c r="C211" s="12" t="s">
        <v>129</v>
      </c>
      <c r="D211" s="31" t="s">
        <v>262</v>
      </c>
      <c r="E211" s="31" t="s">
        <v>153</v>
      </c>
      <c r="F211" s="31" t="s">
        <v>175</v>
      </c>
      <c r="G211" s="31" t="s">
        <v>153</v>
      </c>
      <c r="H211" s="31" t="s">
        <v>153</v>
      </c>
      <c r="I211" s="31" t="s">
        <v>153</v>
      </c>
      <c r="J211" s="31" t="s">
        <v>153</v>
      </c>
      <c r="K211" s="31" t="s">
        <v>153</v>
      </c>
      <c r="L211" s="31">
        <f>VALUE(0)</f>
        <v>0</v>
      </c>
      <c r="M211" s="31">
        <f>VALUE(0)</f>
        <v>0</v>
      </c>
      <c r="N211" s="31">
        <f>VALUE(0)</f>
        <v>0</v>
      </c>
      <c r="O211" s="31">
        <f>VALUE(0)</f>
        <v>0</v>
      </c>
      <c r="P211" s="31">
        <f>VALUE(0)</f>
        <v>0</v>
      </c>
      <c r="Q211" s="31">
        <f>VALUE(0)</f>
        <v>0</v>
      </c>
      <c r="R211" s="31">
        <f>VALUE(0)</f>
        <v>0</v>
      </c>
      <c r="S211" s="31">
        <f>VALUE(0)</f>
        <v>0</v>
      </c>
      <c r="T211" s="31">
        <f>VALUE(0)</f>
        <v>0</v>
      </c>
      <c r="U211" s="31">
        <f>VALUE(0)</f>
        <v>0</v>
      </c>
      <c r="V211" s="31">
        <f>VALUE(0)</f>
        <v>0</v>
      </c>
      <c r="W211" s="31">
        <f>VALUE(0)</f>
        <v>0</v>
      </c>
      <c r="X211" s="31">
        <f>VALUE(0)</f>
        <v>0</v>
      </c>
      <c r="Y211" s="31">
        <f>VALUE(0)</f>
        <v>0</v>
      </c>
      <c r="Z211" s="31">
        <f>VALUE(0)</f>
        <v>0</v>
      </c>
      <c r="AA211" s="31">
        <f>VALUE(0)</f>
        <v>0</v>
      </c>
      <c r="AB211" s="31">
        <f>VALUE(0)</f>
        <v>0</v>
      </c>
      <c r="AC211" s="31">
        <f>VALUE(0)</f>
        <v>0</v>
      </c>
      <c r="AD211" s="31">
        <f>VALUE(0)</f>
        <v>0</v>
      </c>
      <c r="AE211" s="31">
        <f>VALUE(0)</f>
        <v>0</v>
      </c>
      <c r="AF211" s="31">
        <f>VALUE(0)</f>
        <v>0</v>
      </c>
      <c r="AG211" s="31">
        <f>VALUE(0)</f>
        <v>0</v>
      </c>
      <c r="AH211" s="31">
        <f>VALUE(0)</f>
        <v>0</v>
      </c>
      <c r="AI211" s="31">
        <f>VALUE(0)</f>
        <v>0</v>
      </c>
      <c r="AJ211" s="31">
        <f>VALUE(0)</f>
        <v>0</v>
      </c>
      <c r="AK211" s="31">
        <f>VALUE(0)</f>
        <v>0</v>
      </c>
      <c r="AL211" s="31">
        <f>VALUE(0)</f>
        <v>0</v>
      </c>
      <c r="AM211" s="31">
        <f>VALUE(0)</f>
        <v>0</v>
      </c>
      <c r="AN211" s="31">
        <f>VALUE(0)</f>
        <v>0</v>
      </c>
      <c r="AO211" s="31">
        <f>VALUE(0)</f>
        <v>0</v>
      </c>
      <c r="AP211" s="31">
        <v>0</v>
      </c>
      <c r="AQ211" s="31">
        <v>0</v>
      </c>
      <c r="AR211" s="31">
        <v>0</v>
      </c>
      <c r="AS211" s="31">
        <v>0</v>
      </c>
      <c r="AT211" s="31">
        <v>0</v>
      </c>
      <c r="AU211" s="31">
        <v>0</v>
      </c>
      <c r="AV211" s="31">
        <v>0</v>
      </c>
      <c r="AW211" s="31">
        <v>0</v>
      </c>
      <c r="AX211" s="31">
        <v>0</v>
      </c>
      <c r="AY211" s="31">
        <v>0</v>
      </c>
      <c r="AZ211" s="31">
        <v>0</v>
      </c>
      <c r="BA211" s="31">
        <v>0</v>
      </c>
      <c r="BB211" s="31">
        <v>0</v>
      </c>
      <c r="BC211" s="31">
        <v>0</v>
      </c>
      <c r="BD211" s="31">
        <v>0</v>
      </c>
      <c r="BE211" s="31">
        <v>0</v>
      </c>
      <c r="BF211" s="31">
        <v>0</v>
      </c>
      <c r="BG211" s="31">
        <v>0</v>
      </c>
      <c r="BH211" s="31">
        <v>0</v>
      </c>
      <c r="BI211" s="31">
        <v>0</v>
      </c>
      <c r="BJ211" s="31">
        <v>0</v>
      </c>
      <c r="BK211" s="12">
        <v>0</v>
      </c>
      <c r="BL211" s="12">
        <v>0</v>
      </c>
      <c r="BM211" s="12">
        <v>0</v>
      </c>
      <c r="BN211" s="12"/>
      <c r="BO211" s="12">
        <v>0</v>
      </c>
      <c r="BP211" s="12">
        <v>0</v>
      </c>
      <c r="BQ211" s="12">
        <v>0</v>
      </c>
      <c r="BR211" s="12">
        <v>0</v>
      </c>
      <c r="BS211" s="12">
        <v>0</v>
      </c>
      <c r="BT211" s="12">
        <v>0</v>
      </c>
      <c r="BU211" s="12">
        <v>0</v>
      </c>
      <c r="BV211" s="12">
        <v>0</v>
      </c>
      <c r="BW211" s="12">
        <v>0</v>
      </c>
      <c r="BX211" s="12">
        <v>0</v>
      </c>
      <c r="BY211" s="12">
        <v>0</v>
      </c>
      <c r="BZ211" s="12">
        <v>0</v>
      </c>
      <c r="CA211" s="12">
        <v>0</v>
      </c>
    </row>
    <row r="212" spans="1:79" hidden="1" x14ac:dyDescent="0.2">
      <c r="A212" s="12" t="s">
        <v>127</v>
      </c>
      <c r="B212" s="12" t="s">
        <v>130</v>
      </c>
      <c r="C212" s="12" t="s">
        <v>130</v>
      </c>
      <c r="D212" s="22" t="s">
        <v>478</v>
      </c>
      <c r="E212" s="22" t="s">
        <v>173</v>
      </c>
      <c r="F212" s="22" t="s">
        <v>926</v>
      </c>
      <c r="G212" s="22" t="s">
        <v>927</v>
      </c>
      <c r="H212" s="22" t="s">
        <v>150</v>
      </c>
      <c r="I212" s="22" t="s">
        <v>151</v>
      </c>
      <c r="J212" s="22" t="s">
        <v>162</v>
      </c>
      <c r="K212" s="22" t="s">
        <v>88</v>
      </c>
      <c r="L212" s="54" t="s">
        <v>153</v>
      </c>
      <c r="M212" s="33" t="s">
        <v>475</v>
      </c>
      <c r="N212" s="24" t="s">
        <v>153</v>
      </c>
      <c r="O212" s="33" t="s">
        <v>475</v>
      </c>
      <c r="P212" s="33" t="s">
        <v>475</v>
      </c>
      <c r="Q212" s="33" t="s">
        <v>475</v>
      </c>
      <c r="R212" s="33" t="s">
        <v>475</v>
      </c>
      <c r="S212" s="33" t="s">
        <v>475</v>
      </c>
      <c r="T212" s="33" t="s">
        <v>475</v>
      </c>
      <c r="U212" s="24" t="s">
        <v>153</v>
      </c>
      <c r="V212" s="54" t="s">
        <v>156</v>
      </c>
      <c r="W212" s="33" t="s">
        <v>475</v>
      </c>
      <c r="X212" s="33" t="s">
        <v>475</v>
      </c>
      <c r="Y212" s="33" t="s">
        <v>475</v>
      </c>
      <c r="Z212" s="33" t="s">
        <v>475</v>
      </c>
      <c r="AA212" s="33" t="s">
        <v>475</v>
      </c>
      <c r="AB212" s="24" t="s">
        <v>153</v>
      </c>
      <c r="AC212" s="33" t="s">
        <v>475</v>
      </c>
      <c r="AD212" s="33" t="s">
        <v>475</v>
      </c>
      <c r="AE212" s="33" t="s">
        <v>475</v>
      </c>
      <c r="AF212" s="33" t="s">
        <v>475</v>
      </c>
      <c r="AG212" s="33" t="s">
        <v>475</v>
      </c>
      <c r="AH212" s="33" t="s">
        <v>475</v>
      </c>
      <c r="AI212" s="24" t="s">
        <v>153</v>
      </c>
      <c r="AJ212" s="33" t="s">
        <v>475</v>
      </c>
      <c r="AK212" s="33" t="s">
        <v>475</v>
      </c>
      <c r="AL212" s="33" t="s">
        <v>475</v>
      </c>
      <c r="AM212" s="33" t="s">
        <v>475</v>
      </c>
      <c r="AN212" s="33" t="s">
        <v>475</v>
      </c>
      <c r="AO212" s="33" t="s">
        <v>475</v>
      </c>
      <c r="AP212" s="23">
        <f>VALUE(0)</f>
        <v>0</v>
      </c>
      <c r="AQ212" s="23">
        <f>VALUE(0)</f>
        <v>0</v>
      </c>
      <c r="AR212" s="23">
        <f>VALUE(0)</f>
        <v>0</v>
      </c>
      <c r="AS212" s="23">
        <f>VALUE(0)</f>
        <v>0</v>
      </c>
      <c r="AT212" s="23">
        <f>VALUE(0)</f>
        <v>0</v>
      </c>
      <c r="AU212" s="23">
        <f>VALUE(0)</f>
        <v>0</v>
      </c>
      <c r="AV212" s="23">
        <f>VALUE(0)</f>
        <v>0</v>
      </c>
      <c r="AW212" s="23">
        <f>VALUE(5)</f>
        <v>5</v>
      </c>
      <c r="AX212" s="23" t="s">
        <v>1256</v>
      </c>
      <c r="AY212" s="23">
        <f>VALUE(0)</f>
        <v>0</v>
      </c>
      <c r="AZ212" s="23">
        <f>VALUE(0)</f>
        <v>0</v>
      </c>
      <c r="BA212" s="23">
        <f>VALUE(0)</f>
        <v>0</v>
      </c>
      <c r="BB212" s="23">
        <f>VALUE(0)</f>
        <v>0</v>
      </c>
      <c r="BC212" s="23">
        <f>VALUE(0)</f>
        <v>0</v>
      </c>
      <c r="BD212" s="23">
        <f>VALUE(0)</f>
        <v>0</v>
      </c>
      <c r="BE212" s="23">
        <f>VALUE(0)</f>
        <v>0</v>
      </c>
      <c r="BF212" s="23">
        <f>VALUE(0)</f>
        <v>0</v>
      </c>
      <c r="BG212" s="23">
        <f>VALUE(0)</f>
        <v>0</v>
      </c>
      <c r="BH212" s="23">
        <f>VALUE(0)</f>
        <v>0</v>
      </c>
      <c r="BI212" s="23">
        <f>VALUE(0)</f>
        <v>0</v>
      </c>
      <c r="BJ212" s="23">
        <f>VALUE(0)</f>
        <v>0</v>
      </c>
      <c r="BK212" s="12">
        <f>$AX$212*24</f>
        <v>22.5</v>
      </c>
      <c r="BL212" s="12">
        <f>$AY$212*24</f>
        <v>0</v>
      </c>
      <c r="BM212" s="12">
        <f>$BJ$212*24</f>
        <v>0</v>
      </c>
      <c r="BN212" s="12">
        <f>VALUE($I$212)/100</f>
        <v>1</v>
      </c>
      <c r="BO212" s="12">
        <v>0</v>
      </c>
      <c r="BP212" s="12">
        <v>0</v>
      </c>
      <c r="BQ212" s="12">
        <v>0</v>
      </c>
      <c r="BR212" s="12">
        <v>0</v>
      </c>
      <c r="BS212" s="12">
        <v>0</v>
      </c>
      <c r="BT212" s="12">
        <v>0</v>
      </c>
      <c r="BU212" s="12">
        <v>0</v>
      </c>
      <c r="BV212" s="12">
        <v>0</v>
      </c>
      <c r="BW212" s="12">
        <v>0</v>
      </c>
      <c r="BX212" s="12">
        <v>0</v>
      </c>
      <c r="BY212" s="12">
        <v>0</v>
      </c>
      <c r="BZ212" s="12">
        <v>0</v>
      </c>
      <c r="CA212" s="12">
        <v>0</v>
      </c>
    </row>
    <row r="213" spans="1:79" hidden="1" x14ac:dyDescent="0.2">
      <c r="A213" s="12" t="s">
        <v>127</v>
      </c>
      <c r="B213" s="12" t="s">
        <v>130</v>
      </c>
      <c r="C213" s="12" t="s">
        <v>130</v>
      </c>
      <c r="D213" s="22" t="s">
        <v>478</v>
      </c>
      <c r="E213" s="22" t="s">
        <v>173</v>
      </c>
      <c r="F213" s="22" t="s">
        <v>928</v>
      </c>
      <c r="G213" s="22" t="s">
        <v>929</v>
      </c>
      <c r="H213" s="22" t="s">
        <v>150</v>
      </c>
      <c r="I213" s="22" t="s">
        <v>151</v>
      </c>
      <c r="J213" s="22" t="s">
        <v>162</v>
      </c>
      <c r="K213" s="22" t="s">
        <v>88</v>
      </c>
      <c r="L213" s="54" t="s">
        <v>153</v>
      </c>
      <c r="M213" s="33" t="s">
        <v>475</v>
      </c>
      <c r="N213" s="24" t="s">
        <v>153</v>
      </c>
      <c r="O213" s="33" t="s">
        <v>475</v>
      </c>
      <c r="P213" s="33" t="s">
        <v>475</v>
      </c>
      <c r="Q213" s="33" t="s">
        <v>475</v>
      </c>
      <c r="R213" s="33" t="s">
        <v>475</v>
      </c>
      <c r="S213" s="33" t="s">
        <v>475</v>
      </c>
      <c r="T213" s="33" t="s">
        <v>475</v>
      </c>
      <c r="U213" s="24" t="s">
        <v>153</v>
      </c>
      <c r="V213" s="54" t="s">
        <v>153</v>
      </c>
      <c r="W213" s="33" t="s">
        <v>475</v>
      </c>
      <c r="X213" s="33" t="s">
        <v>475</v>
      </c>
      <c r="Y213" s="33" t="s">
        <v>475</v>
      </c>
      <c r="Z213" s="33" t="s">
        <v>475</v>
      </c>
      <c r="AA213" s="33" t="s">
        <v>475</v>
      </c>
      <c r="AB213" s="24" t="s">
        <v>153</v>
      </c>
      <c r="AC213" s="33" t="s">
        <v>475</v>
      </c>
      <c r="AD213" s="33" t="s">
        <v>475</v>
      </c>
      <c r="AE213" s="33" t="s">
        <v>475</v>
      </c>
      <c r="AF213" s="33" t="s">
        <v>475</v>
      </c>
      <c r="AG213" s="33" t="s">
        <v>475</v>
      </c>
      <c r="AH213" s="33" t="s">
        <v>475</v>
      </c>
      <c r="AI213" s="24" t="s">
        <v>153</v>
      </c>
      <c r="AJ213" s="33" t="s">
        <v>475</v>
      </c>
      <c r="AK213" s="33" t="s">
        <v>475</v>
      </c>
      <c r="AL213" s="33" t="s">
        <v>475</v>
      </c>
      <c r="AM213" s="33" t="s">
        <v>475</v>
      </c>
      <c r="AN213" s="33" t="s">
        <v>475</v>
      </c>
      <c r="AO213" s="33" t="s">
        <v>475</v>
      </c>
      <c r="AP213" s="23">
        <f>VALUE(0)</f>
        <v>0</v>
      </c>
      <c r="AQ213" s="23">
        <f>VALUE(0)</f>
        <v>0</v>
      </c>
      <c r="AR213" s="23">
        <f>VALUE(0)</f>
        <v>0</v>
      </c>
      <c r="AS213" s="23">
        <f>VALUE(0)</f>
        <v>0</v>
      </c>
      <c r="AT213" s="23">
        <f>VALUE(0)</f>
        <v>0</v>
      </c>
      <c r="AU213" s="23">
        <f>VALUE(0)</f>
        <v>0</v>
      </c>
      <c r="AV213" s="23">
        <f>VALUE(0)</f>
        <v>0</v>
      </c>
      <c r="AW213" s="23">
        <f>VALUE(0)</f>
        <v>0</v>
      </c>
      <c r="AX213" s="23" t="s">
        <v>171</v>
      </c>
      <c r="AY213" s="23" t="s">
        <v>214</v>
      </c>
      <c r="AZ213" s="23">
        <f>VALUE(0)</f>
        <v>0</v>
      </c>
      <c r="BA213" s="23">
        <f>VALUE(0)</f>
        <v>0</v>
      </c>
      <c r="BB213" s="23">
        <f>VALUE(0)</f>
        <v>0</v>
      </c>
      <c r="BC213" s="23">
        <f>VALUE(0)</f>
        <v>0</v>
      </c>
      <c r="BD213" s="23">
        <f>VALUE(0)</f>
        <v>0</v>
      </c>
      <c r="BE213" s="23">
        <f>VALUE(0)</f>
        <v>0</v>
      </c>
      <c r="BF213" s="23">
        <f>VALUE(0)</f>
        <v>0</v>
      </c>
      <c r="BG213" s="23">
        <f>VALUE(0)</f>
        <v>0</v>
      </c>
      <c r="BH213" s="23">
        <f>VALUE(0)</f>
        <v>0</v>
      </c>
      <c r="BI213" s="23">
        <f>VALUE(0)</f>
        <v>0</v>
      </c>
      <c r="BJ213" s="23">
        <f>VALUE(0)</f>
        <v>0</v>
      </c>
      <c r="BK213" s="12">
        <f>$AX$213*24</f>
        <v>5.833333333333333</v>
      </c>
      <c r="BL213" s="12">
        <f>$AY$213*24</f>
        <v>2.4</v>
      </c>
      <c r="BM213" s="12">
        <f>$BJ$213*24</f>
        <v>0</v>
      </c>
      <c r="BN213" s="12">
        <f>VALUE($I$213)/100</f>
        <v>1</v>
      </c>
      <c r="BO213" s="12">
        <v>0</v>
      </c>
      <c r="BP213" s="12">
        <v>0</v>
      </c>
      <c r="BQ213" s="12">
        <v>0</v>
      </c>
      <c r="BR213" s="12">
        <v>0</v>
      </c>
      <c r="BS213" s="12">
        <v>0</v>
      </c>
      <c r="BT213" s="12">
        <v>0</v>
      </c>
      <c r="BU213" s="12">
        <v>0</v>
      </c>
      <c r="BV213" s="12">
        <v>0</v>
      </c>
      <c r="BW213" s="12">
        <v>0</v>
      </c>
      <c r="BX213" s="12">
        <v>0</v>
      </c>
      <c r="BY213" s="12">
        <v>0</v>
      </c>
      <c r="BZ213" s="12">
        <v>0</v>
      </c>
      <c r="CA213" s="12">
        <v>0</v>
      </c>
    </row>
    <row r="214" spans="1:79" hidden="1" x14ac:dyDescent="0.2">
      <c r="A214" s="12" t="s">
        <v>127</v>
      </c>
      <c r="B214" s="12" t="s">
        <v>130</v>
      </c>
      <c r="C214" s="12" t="s">
        <v>130</v>
      </c>
      <c r="D214" s="22" t="s">
        <v>478</v>
      </c>
      <c r="E214" s="22" t="s">
        <v>173</v>
      </c>
      <c r="F214" s="22" t="s">
        <v>1257</v>
      </c>
      <c r="G214" s="22" t="s">
        <v>930</v>
      </c>
      <c r="H214" s="22" t="s">
        <v>166</v>
      </c>
      <c r="I214" s="22" t="s">
        <v>151</v>
      </c>
      <c r="J214" s="22" t="s">
        <v>162</v>
      </c>
      <c r="K214" s="22" t="s">
        <v>88</v>
      </c>
      <c r="L214" s="54" t="s">
        <v>153</v>
      </c>
      <c r="M214" s="33" t="s">
        <v>475</v>
      </c>
      <c r="N214" s="24" t="s">
        <v>153</v>
      </c>
      <c r="O214" s="33" t="s">
        <v>475</v>
      </c>
      <c r="P214" s="33" t="s">
        <v>475</v>
      </c>
      <c r="Q214" s="33" t="s">
        <v>475</v>
      </c>
      <c r="R214" s="33" t="s">
        <v>475</v>
      </c>
      <c r="S214" s="33" t="s">
        <v>475</v>
      </c>
      <c r="T214" s="33" t="s">
        <v>475</v>
      </c>
      <c r="U214" s="24" t="s">
        <v>153</v>
      </c>
      <c r="V214" s="54" t="s">
        <v>153</v>
      </c>
      <c r="W214" s="33" t="s">
        <v>475</v>
      </c>
      <c r="X214" s="33" t="s">
        <v>475</v>
      </c>
      <c r="Y214" s="33" t="s">
        <v>475</v>
      </c>
      <c r="Z214" s="33" t="s">
        <v>475</v>
      </c>
      <c r="AA214" s="33" t="s">
        <v>475</v>
      </c>
      <c r="AB214" s="24" t="s">
        <v>153</v>
      </c>
      <c r="AC214" s="33" t="s">
        <v>475</v>
      </c>
      <c r="AD214" s="33" t="s">
        <v>475</v>
      </c>
      <c r="AE214" s="33" t="s">
        <v>475</v>
      </c>
      <c r="AF214" s="33" t="s">
        <v>475</v>
      </c>
      <c r="AG214" s="33" t="s">
        <v>475</v>
      </c>
      <c r="AH214" s="33" t="s">
        <v>475</v>
      </c>
      <c r="AI214" s="24" t="s">
        <v>153</v>
      </c>
      <c r="AJ214" s="33" t="s">
        <v>475</v>
      </c>
      <c r="AK214" s="33" t="s">
        <v>475</v>
      </c>
      <c r="AL214" s="33" t="s">
        <v>475</v>
      </c>
      <c r="AM214" s="33" t="s">
        <v>475</v>
      </c>
      <c r="AN214" s="33" t="s">
        <v>475</v>
      </c>
      <c r="AO214" s="33" t="s">
        <v>475</v>
      </c>
      <c r="AP214" s="23">
        <f>VALUE(0)</f>
        <v>0</v>
      </c>
      <c r="AQ214" s="23">
        <f>VALUE(0)</f>
        <v>0</v>
      </c>
      <c r="AR214" s="23">
        <f>VALUE(0)</f>
        <v>0</v>
      </c>
      <c r="AS214" s="23">
        <f>VALUE(0)</f>
        <v>0</v>
      </c>
      <c r="AT214" s="23">
        <f>VALUE(0)</f>
        <v>0</v>
      </c>
      <c r="AU214" s="23">
        <f>VALUE(0)</f>
        <v>0</v>
      </c>
      <c r="AV214" s="23">
        <f>VALUE(0.5)</f>
        <v>0.5</v>
      </c>
      <c r="AW214" s="23">
        <f>VALUE(0)</f>
        <v>0</v>
      </c>
      <c r="AX214" s="23" t="s">
        <v>479</v>
      </c>
      <c r="AY214" s="23">
        <f>VALUE(0)</f>
        <v>0</v>
      </c>
      <c r="AZ214" s="23">
        <f>VALUE(0)</f>
        <v>0</v>
      </c>
      <c r="BA214" s="23">
        <f>VALUE(0)</f>
        <v>0</v>
      </c>
      <c r="BB214" s="23">
        <f>VALUE(0)</f>
        <v>0</v>
      </c>
      <c r="BC214" s="23">
        <f>VALUE(0)</f>
        <v>0</v>
      </c>
      <c r="BD214" s="23">
        <f>VALUE(0)</f>
        <v>0</v>
      </c>
      <c r="BE214" s="23">
        <f>VALUE(0)</f>
        <v>0</v>
      </c>
      <c r="BF214" s="23">
        <f>VALUE(0)</f>
        <v>0</v>
      </c>
      <c r="BG214" s="23">
        <f>VALUE(0)</f>
        <v>0</v>
      </c>
      <c r="BH214" s="23">
        <f>VALUE(0)</f>
        <v>0</v>
      </c>
      <c r="BI214" s="23">
        <f>VALUE(0)</f>
        <v>0</v>
      </c>
      <c r="BJ214" s="23">
        <f>VALUE(0)</f>
        <v>0</v>
      </c>
      <c r="BK214" s="12">
        <f>$AX$214*24</f>
        <v>4.5999999999999996</v>
      </c>
      <c r="BL214" s="12">
        <f>$AY$214*24</f>
        <v>0</v>
      </c>
      <c r="BM214" s="12">
        <f>$BJ$214*24</f>
        <v>0</v>
      </c>
      <c r="BN214" s="12">
        <f>VALUE($I$214)/100</f>
        <v>1</v>
      </c>
      <c r="BO214" s="12">
        <v>0</v>
      </c>
      <c r="BP214" s="12">
        <v>0</v>
      </c>
      <c r="BQ214" s="12">
        <v>0</v>
      </c>
      <c r="BR214" s="12">
        <v>0</v>
      </c>
      <c r="BS214" s="12">
        <v>0</v>
      </c>
      <c r="BT214" s="12">
        <v>0</v>
      </c>
      <c r="BU214" s="12">
        <v>0</v>
      </c>
      <c r="BV214" s="12">
        <v>0</v>
      </c>
      <c r="BW214" s="12">
        <v>0</v>
      </c>
      <c r="BX214" s="12">
        <v>0</v>
      </c>
      <c r="BY214" s="12">
        <v>0</v>
      </c>
      <c r="BZ214" s="12">
        <v>0</v>
      </c>
      <c r="CA214" s="12">
        <v>0</v>
      </c>
    </row>
    <row r="215" spans="1:79" ht="15" hidden="1" x14ac:dyDescent="0.25">
      <c r="A215" s="12" t="s">
        <v>127</v>
      </c>
      <c r="B215" s="12" t="s">
        <v>130</v>
      </c>
      <c r="C215" s="12" t="s">
        <v>130</v>
      </c>
      <c r="D215" s="31" t="s">
        <v>1258</v>
      </c>
      <c r="E215" s="31" t="s">
        <v>153</v>
      </c>
      <c r="F215" s="31" t="s">
        <v>175</v>
      </c>
      <c r="G215" s="31" t="s">
        <v>153</v>
      </c>
      <c r="H215" s="31" t="s">
        <v>153</v>
      </c>
      <c r="I215" s="31" t="s">
        <v>153</v>
      </c>
      <c r="J215" s="31" t="s">
        <v>153</v>
      </c>
      <c r="K215" s="31" t="s">
        <v>153</v>
      </c>
      <c r="L215" s="31">
        <f>VALUE(0)</f>
        <v>0</v>
      </c>
      <c r="M215" s="31">
        <f>VALUE(0)</f>
        <v>0</v>
      </c>
      <c r="N215" s="31">
        <f>VALUE(0)</f>
        <v>0</v>
      </c>
      <c r="O215" s="31">
        <f>VALUE(0)</f>
        <v>0</v>
      </c>
      <c r="P215" s="31">
        <f>VALUE(0)</f>
        <v>0</v>
      </c>
      <c r="Q215" s="31">
        <f>VALUE(0)</f>
        <v>0</v>
      </c>
      <c r="R215" s="31">
        <f>VALUE(0)</f>
        <v>0</v>
      </c>
      <c r="S215" s="31">
        <f>VALUE(0)</f>
        <v>0</v>
      </c>
      <c r="T215" s="31">
        <f>VALUE(0)</f>
        <v>0</v>
      </c>
      <c r="U215" s="31">
        <f>VALUE(0)</f>
        <v>0</v>
      </c>
      <c r="V215" s="31">
        <f>VALUE(0)</f>
        <v>0</v>
      </c>
      <c r="W215" s="31">
        <f>VALUE(0)</f>
        <v>0</v>
      </c>
      <c r="X215" s="31">
        <f>VALUE(0)</f>
        <v>0</v>
      </c>
      <c r="Y215" s="31">
        <f>VALUE(0)</f>
        <v>0</v>
      </c>
      <c r="Z215" s="31">
        <f>VALUE(0)</f>
        <v>0</v>
      </c>
      <c r="AA215" s="31">
        <f>VALUE(0)</f>
        <v>0</v>
      </c>
      <c r="AB215" s="31">
        <f>VALUE(0)</f>
        <v>0</v>
      </c>
      <c r="AC215" s="31">
        <f>VALUE(0)</f>
        <v>0</v>
      </c>
      <c r="AD215" s="31">
        <f>VALUE(0)</f>
        <v>0</v>
      </c>
      <c r="AE215" s="31">
        <f>VALUE(0)</f>
        <v>0</v>
      </c>
      <c r="AF215" s="31">
        <f>VALUE(0)</f>
        <v>0</v>
      </c>
      <c r="AG215" s="31">
        <f>VALUE(0)</f>
        <v>0</v>
      </c>
      <c r="AH215" s="31">
        <f>VALUE(0)</f>
        <v>0</v>
      </c>
      <c r="AI215" s="31">
        <f>VALUE(0)</f>
        <v>0</v>
      </c>
      <c r="AJ215" s="31">
        <f>VALUE(0)</f>
        <v>0</v>
      </c>
      <c r="AK215" s="31">
        <f>VALUE(0)</f>
        <v>0</v>
      </c>
      <c r="AL215" s="31">
        <f>VALUE(0)</f>
        <v>0</v>
      </c>
      <c r="AM215" s="31">
        <f>VALUE(0)</f>
        <v>0</v>
      </c>
      <c r="AN215" s="31">
        <f>VALUE(0)</f>
        <v>0</v>
      </c>
      <c r="AO215" s="31">
        <f>VALUE(0)</f>
        <v>0</v>
      </c>
      <c r="AP215" s="31">
        <v>0</v>
      </c>
      <c r="AQ215" s="31">
        <v>0</v>
      </c>
      <c r="AR215" s="31">
        <v>0</v>
      </c>
      <c r="AS215" s="31">
        <v>0</v>
      </c>
      <c r="AT215" s="31">
        <v>0</v>
      </c>
      <c r="AU215" s="31">
        <v>0</v>
      </c>
      <c r="AV215" s="31">
        <v>0</v>
      </c>
      <c r="AW215" s="31">
        <v>0</v>
      </c>
      <c r="AX215" s="31">
        <v>0</v>
      </c>
      <c r="AY215" s="31">
        <v>0</v>
      </c>
      <c r="AZ215" s="31">
        <v>0</v>
      </c>
      <c r="BA215" s="31">
        <v>0</v>
      </c>
      <c r="BB215" s="31">
        <v>0</v>
      </c>
      <c r="BC215" s="31">
        <v>0</v>
      </c>
      <c r="BD215" s="31">
        <v>0</v>
      </c>
      <c r="BE215" s="31">
        <v>0</v>
      </c>
      <c r="BF215" s="31">
        <v>0</v>
      </c>
      <c r="BG215" s="31">
        <v>0</v>
      </c>
      <c r="BH215" s="31">
        <v>0</v>
      </c>
      <c r="BI215" s="31">
        <v>0</v>
      </c>
      <c r="BJ215" s="31">
        <v>0</v>
      </c>
      <c r="BK215" s="12">
        <v>0</v>
      </c>
      <c r="BL215" s="12">
        <v>0</v>
      </c>
      <c r="BM215" s="12">
        <v>0</v>
      </c>
      <c r="BN215" s="12"/>
      <c r="BO215" s="12">
        <v>0</v>
      </c>
      <c r="BP215" s="12">
        <v>0</v>
      </c>
      <c r="BQ215" s="12">
        <v>0</v>
      </c>
      <c r="BR215" s="12">
        <v>0</v>
      </c>
      <c r="BS215" s="12">
        <v>0</v>
      </c>
      <c r="BT215" s="12">
        <v>0</v>
      </c>
      <c r="BU215" s="12">
        <v>0</v>
      </c>
      <c r="BV215" s="12">
        <v>0</v>
      </c>
      <c r="BW215" s="12">
        <v>0</v>
      </c>
      <c r="BX215" s="12">
        <v>0</v>
      </c>
      <c r="BY215" s="12">
        <v>0</v>
      </c>
      <c r="BZ215" s="12">
        <v>0</v>
      </c>
      <c r="CA215" s="12">
        <v>0</v>
      </c>
    </row>
    <row r="216" spans="1:79" hidden="1" x14ac:dyDescent="0.2">
      <c r="A216" s="12" t="s">
        <v>127</v>
      </c>
      <c r="B216" s="12" t="s">
        <v>131</v>
      </c>
      <c r="C216" s="12" t="s">
        <v>131</v>
      </c>
      <c r="D216" s="22" t="s">
        <v>480</v>
      </c>
      <c r="E216" s="22" t="s">
        <v>173</v>
      </c>
      <c r="F216" s="22" t="s">
        <v>931</v>
      </c>
      <c r="G216" s="22" t="s">
        <v>932</v>
      </c>
      <c r="H216" s="22" t="s">
        <v>150</v>
      </c>
      <c r="I216" s="22" t="s">
        <v>343</v>
      </c>
      <c r="J216" s="22" t="s">
        <v>162</v>
      </c>
      <c r="K216" s="22" t="s">
        <v>89</v>
      </c>
      <c r="L216" s="54" t="s">
        <v>153</v>
      </c>
      <c r="M216" s="33" t="s">
        <v>475</v>
      </c>
      <c r="N216" s="24" t="s">
        <v>153</v>
      </c>
      <c r="O216" s="33" t="s">
        <v>475</v>
      </c>
      <c r="P216" s="33" t="s">
        <v>475</v>
      </c>
      <c r="Q216" s="33" t="s">
        <v>475</v>
      </c>
      <c r="R216" s="33" t="s">
        <v>475</v>
      </c>
      <c r="S216" s="33" t="s">
        <v>475</v>
      </c>
      <c r="T216" s="33" t="s">
        <v>475</v>
      </c>
      <c r="U216" s="24" t="s">
        <v>153</v>
      </c>
      <c r="V216" s="54" t="s">
        <v>153</v>
      </c>
      <c r="W216" s="33" t="s">
        <v>475</v>
      </c>
      <c r="X216" s="33" t="s">
        <v>475</v>
      </c>
      <c r="Y216" s="33" t="s">
        <v>475</v>
      </c>
      <c r="Z216" s="33" t="s">
        <v>475</v>
      </c>
      <c r="AA216" s="33" t="s">
        <v>475</v>
      </c>
      <c r="AB216" s="24" t="s">
        <v>153</v>
      </c>
      <c r="AC216" s="33" t="s">
        <v>475</v>
      </c>
      <c r="AD216" s="33" t="s">
        <v>475</v>
      </c>
      <c r="AE216" s="33" t="s">
        <v>475</v>
      </c>
      <c r="AF216" s="33" t="s">
        <v>475</v>
      </c>
      <c r="AG216" s="33" t="s">
        <v>475</v>
      </c>
      <c r="AH216" s="33" t="s">
        <v>475</v>
      </c>
      <c r="AI216" s="24" t="s">
        <v>153</v>
      </c>
      <c r="AJ216" s="33" t="s">
        <v>475</v>
      </c>
      <c r="AK216" s="33" t="s">
        <v>475</v>
      </c>
      <c r="AL216" s="33" t="s">
        <v>475</v>
      </c>
      <c r="AM216" s="33" t="s">
        <v>475</v>
      </c>
      <c r="AN216" s="33" t="s">
        <v>475</v>
      </c>
      <c r="AO216" s="33" t="s">
        <v>475</v>
      </c>
      <c r="AP216" s="23">
        <f>VALUE(0)</f>
        <v>0</v>
      </c>
      <c r="AQ216" s="23">
        <f>VALUE(0)</f>
        <v>0</v>
      </c>
      <c r="AR216" s="23">
        <f>VALUE(0)</f>
        <v>0</v>
      </c>
      <c r="AS216" s="23">
        <f>VALUE(0)</f>
        <v>0</v>
      </c>
      <c r="AT216" s="23">
        <f>VALUE(0)</f>
        <v>0</v>
      </c>
      <c r="AU216" s="23">
        <f>VALUE(0)</f>
        <v>0</v>
      </c>
      <c r="AV216" s="23">
        <f>VALUE(0)</f>
        <v>0</v>
      </c>
      <c r="AW216" s="23">
        <f>VALUE(0)</f>
        <v>0</v>
      </c>
      <c r="AX216" s="23" t="s">
        <v>481</v>
      </c>
      <c r="AY216" s="23" t="s">
        <v>403</v>
      </c>
      <c r="AZ216" s="23">
        <f>VALUE(0)</f>
        <v>0</v>
      </c>
      <c r="BA216" s="23">
        <f>VALUE(0)</f>
        <v>0</v>
      </c>
      <c r="BB216" s="23">
        <f>VALUE(0)</f>
        <v>0</v>
      </c>
      <c r="BC216" s="23">
        <f>VALUE(0)</f>
        <v>0</v>
      </c>
      <c r="BD216" s="23">
        <f>VALUE(0)</f>
        <v>0</v>
      </c>
      <c r="BE216" s="23">
        <f>VALUE(0)</f>
        <v>0</v>
      </c>
      <c r="BF216" s="23">
        <f>VALUE(0)</f>
        <v>0</v>
      </c>
      <c r="BG216" s="23">
        <f>VALUE(0)</f>
        <v>0</v>
      </c>
      <c r="BH216" s="23">
        <f>VALUE(0)</f>
        <v>0</v>
      </c>
      <c r="BI216" s="23">
        <f>VALUE(0)</f>
        <v>0</v>
      </c>
      <c r="BJ216" s="23">
        <f>VALUE(0)</f>
        <v>0</v>
      </c>
      <c r="BK216" s="12">
        <f>$AX$216*24</f>
        <v>8.1666666666666661</v>
      </c>
      <c r="BL216" s="12">
        <f>$AY$216*24</f>
        <v>2.1</v>
      </c>
      <c r="BM216" s="12">
        <f>$BJ$216*24</f>
        <v>0</v>
      </c>
      <c r="BN216" s="12">
        <f>VALUE($I$216)/100</f>
        <v>0.7</v>
      </c>
      <c r="BO216" s="12">
        <v>0</v>
      </c>
      <c r="BP216" s="12">
        <v>0</v>
      </c>
      <c r="BQ216" s="12">
        <v>0</v>
      </c>
      <c r="BR216" s="12">
        <v>0</v>
      </c>
      <c r="BS216" s="12">
        <v>0</v>
      </c>
      <c r="BT216" s="12">
        <v>0</v>
      </c>
      <c r="BU216" s="12">
        <v>0</v>
      </c>
      <c r="BV216" s="12">
        <v>0</v>
      </c>
      <c r="BW216" s="12">
        <v>0</v>
      </c>
      <c r="BX216" s="12">
        <v>0</v>
      </c>
      <c r="BY216" s="12">
        <v>0</v>
      </c>
      <c r="BZ216" s="12">
        <v>0</v>
      </c>
      <c r="CA216" s="12">
        <v>0</v>
      </c>
    </row>
    <row r="217" spans="1:79" hidden="1" x14ac:dyDescent="0.2">
      <c r="A217" s="12" t="s">
        <v>127</v>
      </c>
      <c r="B217" s="12" t="s">
        <v>131</v>
      </c>
      <c r="C217" s="12" t="s">
        <v>131</v>
      </c>
      <c r="D217" s="22" t="s">
        <v>480</v>
      </c>
      <c r="E217" s="22" t="s">
        <v>173</v>
      </c>
      <c r="F217" s="22" t="s">
        <v>933</v>
      </c>
      <c r="G217" s="22" t="s">
        <v>934</v>
      </c>
      <c r="H217" s="22" t="s">
        <v>150</v>
      </c>
      <c r="I217" s="22" t="s">
        <v>343</v>
      </c>
      <c r="J217" s="22" t="s">
        <v>162</v>
      </c>
      <c r="K217" s="22" t="s">
        <v>89</v>
      </c>
      <c r="L217" s="54" t="s">
        <v>156</v>
      </c>
      <c r="M217" s="33" t="s">
        <v>475</v>
      </c>
      <c r="N217" s="24" t="s">
        <v>153</v>
      </c>
      <c r="O217" s="33" t="s">
        <v>475</v>
      </c>
      <c r="P217" s="33" t="s">
        <v>475</v>
      </c>
      <c r="Q217" s="33" t="s">
        <v>475</v>
      </c>
      <c r="R217" s="33" t="s">
        <v>475</v>
      </c>
      <c r="S217" s="33" t="s">
        <v>475</v>
      </c>
      <c r="T217" s="33" t="s">
        <v>475</v>
      </c>
      <c r="U217" s="24" t="s">
        <v>153</v>
      </c>
      <c r="V217" s="54" t="s">
        <v>153</v>
      </c>
      <c r="W217" s="33" t="s">
        <v>475</v>
      </c>
      <c r="X217" s="33" t="s">
        <v>475</v>
      </c>
      <c r="Y217" s="33" t="s">
        <v>475</v>
      </c>
      <c r="Z217" s="33" t="s">
        <v>475</v>
      </c>
      <c r="AA217" s="33" t="s">
        <v>475</v>
      </c>
      <c r="AB217" s="24" t="s">
        <v>153</v>
      </c>
      <c r="AC217" s="33" t="s">
        <v>475</v>
      </c>
      <c r="AD217" s="33" t="s">
        <v>475</v>
      </c>
      <c r="AE217" s="33" t="s">
        <v>475</v>
      </c>
      <c r="AF217" s="33" t="s">
        <v>475</v>
      </c>
      <c r="AG217" s="33" t="s">
        <v>475</v>
      </c>
      <c r="AH217" s="33" t="s">
        <v>475</v>
      </c>
      <c r="AI217" s="24" t="s">
        <v>153</v>
      </c>
      <c r="AJ217" s="33" t="s">
        <v>475</v>
      </c>
      <c r="AK217" s="33" t="s">
        <v>475</v>
      </c>
      <c r="AL217" s="33" t="s">
        <v>475</v>
      </c>
      <c r="AM217" s="33" t="s">
        <v>475</v>
      </c>
      <c r="AN217" s="33" t="s">
        <v>475</v>
      </c>
      <c r="AO217" s="33" t="s">
        <v>475</v>
      </c>
      <c r="AP217" s="23">
        <f>VALUE(0)</f>
        <v>0</v>
      </c>
      <c r="AQ217" s="23">
        <f>VALUE(0)</f>
        <v>0</v>
      </c>
      <c r="AR217" s="23">
        <f>VALUE(0)</f>
        <v>0</v>
      </c>
      <c r="AS217" s="23">
        <f>VALUE(0)</f>
        <v>0</v>
      </c>
      <c r="AT217" s="23">
        <f>VALUE(0)</f>
        <v>0</v>
      </c>
      <c r="AU217" s="23">
        <f>VALUE(0)</f>
        <v>0</v>
      </c>
      <c r="AV217" s="23">
        <f>VALUE(0)</f>
        <v>0</v>
      </c>
      <c r="AW217" s="23">
        <f>VALUE(0)</f>
        <v>0</v>
      </c>
      <c r="AX217" s="23" t="s">
        <v>1259</v>
      </c>
      <c r="AY217" s="23" t="s">
        <v>482</v>
      </c>
      <c r="AZ217" s="23">
        <f>VALUE(0)</f>
        <v>0</v>
      </c>
      <c r="BA217" s="23">
        <f>VALUE(0)</f>
        <v>0</v>
      </c>
      <c r="BB217" s="23">
        <f>VALUE(0)</f>
        <v>0</v>
      </c>
      <c r="BC217" s="23">
        <f>VALUE(0)</f>
        <v>0</v>
      </c>
      <c r="BD217" s="23">
        <f>VALUE(0)</f>
        <v>0</v>
      </c>
      <c r="BE217" s="23">
        <f>VALUE(0)</f>
        <v>0</v>
      </c>
      <c r="BF217" s="23">
        <f>VALUE(0)</f>
        <v>0</v>
      </c>
      <c r="BG217" s="23">
        <f>VALUE(0)</f>
        <v>0</v>
      </c>
      <c r="BH217" s="23">
        <f>VALUE(0)</f>
        <v>0</v>
      </c>
      <c r="BI217" s="23">
        <f>VALUE(0)</f>
        <v>0</v>
      </c>
      <c r="BJ217" s="23">
        <f>VALUE(0)</f>
        <v>0</v>
      </c>
      <c r="BK217" s="12">
        <f>$AX$217*24</f>
        <v>12.25</v>
      </c>
      <c r="BL217" s="12">
        <f>$AY$217*24</f>
        <v>2.85</v>
      </c>
      <c r="BM217" s="12">
        <f>$BJ$217*24</f>
        <v>0</v>
      </c>
      <c r="BN217" s="12">
        <f>VALUE($I$217)/100</f>
        <v>0.7</v>
      </c>
      <c r="BO217" s="12">
        <v>0</v>
      </c>
      <c r="BP217" s="12">
        <v>0</v>
      </c>
      <c r="BQ217" s="12">
        <v>0</v>
      </c>
      <c r="BR217" s="12">
        <v>0</v>
      </c>
      <c r="BS217" s="12">
        <v>0</v>
      </c>
      <c r="BT217" s="12">
        <v>0</v>
      </c>
      <c r="BU217" s="12">
        <v>0</v>
      </c>
      <c r="BV217" s="12">
        <v>0</v>
      </c>
      <c r="BW217" s="12">
        <v>0</v>
      </c>
      <c r="BX217" s="12">
        <v>0</v>
      </c>
      <c r="BY217" s="12">
        <v>0</v>
      </c>
      <c r="BZ217" s="12">
        <v>0</v>
      </c>
      <c r="CA217" s="12">
        <v>0</v>
      </c>
    </row>
    <row r="218" spans="1:79" hidden="1" x14ac:dyDescent="0.2">
      <c r="A218" s="12" t="s">
        <v>127</v>
      </c>
      <c r="B218" s="12" t="s">
        <v>131</v>
      </c>
      <c r="C218" s="12" t="s">
        <v>131</v>
      </c>
      <c r="D218" s="22" t="s">
        <v>480</v>
      </c>
      <c r="E218" s="22" t="s">
        <v>173</v>
      </c>
      <c r="F218" s="22" t="s">
        <v>935</v>
      </c>
      <c r="G218" s="22" t="s">
        <v>936</v>
      </c>
      <c r="H218" s="22" t="s">
        <v>150</v>
      </c>
      <c r="I218" s="22" t="s">
        <v>343</v>
      </c>
      <c r="J218" s="22" t="s">
        <v>162</v>
      </c>
      <c r="K218" s="22" t="s">
        <v>89</v>
      </c>
      <c r="L218" s="54" t="s">
        <v>156</v>
      </c>
      <c r="M218" s="33" t="s">
        <v>475</v>
      </c>
      <c r="N218" s="24" t="s">
        <v>153</v>
      </c>
      <c r="O218" s="33" t="s">
        <v>475</v>
      </c>
      <c r="P218" s="33" t="s">
        <v>475</v>
      </c>
      <c r="Q218" s="33" t="s">
        <v>475</v>
      </c>
      <c r="R218" s="33" t="s">
        <v>475</v>
      </c>
      <c r="S218" s="33" t="s">
        <v>475</v>
      </c>
      <c r="T218" s="33" t="s">
        <v>475</v>
      </c>
      <c r="U218" s="24" t="s">
        <v>153</v>
      </c>
      <c r="V218" s="54" t="s">
        <v>153</v>
      </c>
      <c r="W218" s="33" t="s">
        <v>475</v>
      </c>
      <c r="X218" s="33" t="s">
        <v>475</v>
      </c>
      <c r="Y218" s="33" t="s">
        <v>475</v>
      </c>
      <c r="Z218" s="33" t="s">
        <v>475</v>
      </c>
      <c r="AA218" s="33" t="s">
        <v>475</v>
      </c>
      <c r="AB218" s="24" t="s">
        <v>153</v>
      </c>
      <c r="AC218" s="33" t="s">
        <v>475</v>
      </c>
      <c r="AD218" s="33" t="s">
        <v>475</v>
      </c>
      <c r="AE218" s="33" t="s">
        <v>475</v>
      </c>
      <c r="AF218" s="33" t="s">
        <v>475</v>
      </c>
      <c r="AG218" s="33" t="s">
        <v>475</v>
      </c>
      <c r="AH218" s="33" t="s">
        <v>475</v>
      </c>
      <c r="AI218" s="24" t="s">
        <v>153</v>
      </c>
      <c r="AJ218" s="33" t="s">
        <v>475</v>
      </c>
      <c r="AK218" s="33" t="s">
        <v>475</v>
      </c>
      <c r="AL218" s="33" t="s">
        <v>475</v>
      </c>
      <c r="AM218" s="33" t="s">
        <v>475</v>
      </c>
      <c r="AN218" s="33" t="s">
        <v>475</v>
      </c>
      <c r="AO218" s="33" t="s">
        <v>475</v>
      </c>
      <c r="AP218" s="23">
        <f>VALUE(0)</f>
        <v>0</v>
      </c>
      <c r="AQ218" s="23">
        <f>VALUE(0)</f>
        <v>0</v>
      </c>
      <c r="AR218" s="23">
        <f>VALUE(0)</f>
        <v>0</v>
      </c>
      <c r="AS218" s="23">
        <f>VALUE(0)</f>
        <v>0</v>
      </c>
      <c r="AT218" s="23">
        <f>VALUE(0)</f>
        <v>0</v>
      </c>
      <c r="AU218" s="23">
        <f>VALUE(0)</f>
        <v>0</v>
      </c>
      <c r="AV218" s="23">
        <f>VALUE(0)</f>
        <v>0</v>
      </c>
      <c r="AW218" s="23">
        <f>VALUE(0)</f>
        <v>0</v>
      </c>
      <c r="AX218" s="23" t="s">
        <v>421</v>
      </c>
      <c r="AY218" s="23">
        <f>VALUE(0)</f>
        <v>0</v>
      </c>
      <c r="AZ218" s="23">
        <f>VALUE(0)</f>
        <v>0</v>
      </c>
      <c r="BA218" s="23">
        <f>VALUE(0)</f>
        <v>0</v>
      </c>
      <c r="BB218" s="23">
        <f>VALUE(0)</f>
        <v>0</v>
      </c>
      <c r="BC218" s="23">
        <f>VALUE(0)</f>
        <v>0</v>
      </c>
      <c r="BD218" s="23">
        <f>VALUE(0)</f>
        <v>0</v>
      </c>
      <c r="BE218" s="23">
        <f>VALUE(0)</f>
        <v>0</v>
      </c>
      <c r="BF218" s="23">
        <f>VALUE(0)</f>
        <v>0</v>
      </c>
      <c r="BG218" s="23">
        <f>VALUE(0)</f>
        <v>0</v>
      </c>
      <c r="BH218" s="23">
        <f>VALUE(0)</f>
        <v>0</v>
      </c>
      <c r="BI218" s="23">
        <f>VALUE(0)</f>
        <v>0</v>
      </c>
      <c r="BJ218" s="23">
        <f>VALUE(0)</f>
        <v>0</v>
      </c>
      <c r="BK218" s="12">
        <f>$AX$218*24</f>
        <v>5.85</v>
      </c>
      <c r="BL218" s="12">
        <f>$AY$218*24</f>
        <v>0</v>
      </c>
      <c r="BM218" s="12">
        <f>$BJ$218*24</f>
        <v>0</v>
      </c>
      <c r="BN218" s="12">
        <f>VALUE($I$218)/100</f>
        <v>0.7</v>
      </c>
      <c r="BO218" s="12">
        <v>0</v>
      </c>
      <c r="BP218" s="12">
        <v>0</v>
      </c>
      <c r="BQ218" s="12">
        <v>0</v>
      </c>
      <c r="BR218" s="12">
        <v>0</v>
      </c>
      <c r="BS218" s="12">
        <v>0</v>
      </c>
      <c r="BT218" s="12">
        <v>0</v>
      </c>
      <c r="BU218" s="12">
        <v>0</v>
      </c>
      <c r="BV218" s="12">
        <v>0</v>
      </c>
      <c r="BW218" s="12">
        <v>0</v>
      </c>
      <c r="BX218" s="12">
        <v>0</v>
      </c>
      <c r="BY218" s="12">
        <v>0</v>
      </c>
      <c r="BZ218" s="12">
        <v>0</v>
      </c>
      <c r="CA218" s="12">
        <v>0</v>
      </c>
    </row>
    <row r="219" spans="1:79" hidden="1" x14ac:dyDescent="0.2">
      <c r="A219" s="12" t="s">
        <v>127</v>
      </c>
      <c r="B219" s="12" t="s">
        <v>131</v>
      </c>
      <c r="C219" s="12" t="s">
        <v>131</v>
      </c>
      <c r="D219" s="22" t="s">
        <v>480</v>
      </c>
      <c r="E219" s="22" t="s">
        <v>173</v>
      </c>
      <c r="F219" s="22" t="s">
        <v>937</v>
      </c>
      <c r="G219" s="22" t="s">
        <v>938</v>
      </c>
      <c r="H219" s="22" t="s">
        <v>166</v>
      </c>
      <c r="I219" s="22" t="s">
        <v>343</v>
      </c>
      <c r="J219" s="22" t="s">
        <v>162</v>
      </c>
      <c r="K219" s="22" t="s">
        <v>89</v>
      </c>
      <c r="L219" s="54" t="s">
        <v>153</v>
      </c>
      <c r="M219" s="33" t="s">
        <v>475</v>
      </c>
      <c r="N219" s="24" t="s">
        <v>153</v>
      </c>
      <c r="O219" s="33" t="s">
        <v>475</v>
      </c>
      <c r="P219" s="33" t="s">
        <v>475</v>
      </c>
      <c r="Q219" s="33" t="s">
        <v>475</v>
      </c>
      <c r="R219" s="33" t="s">
        <v>475</v>
      </c>
      <c r="S219" s="33" t="s">
        <v>475</v>
      </c>
      <c r="T219" s="33" t="s">
        <v>475</v>
      </c>
      <c r="U219" s="24" t="s">
        <v>153</v>
      </c>
      <c r="V219" s="54" t="s">
        <v>153</v>
      </c>
      <c r="W219" s="33" t="s">
        <v>475</v>
      </c>
      <c r="X219" s="33" t="s">
        <v>475</v>
      </c>
      <c r="Y219" s="33" t="s">
        <v>475</v>
      </c>
      <c r="Z219" s="33" t="s">
        <v>475</v>
      </c>
      <c r="AA219" s="33" t="s">
        <v>475</v>
      </c>
      <c r="AB219" s="24" t="s">
        <v>153</v>
      </c>
      <c r="AC219" s="33" t="s">
        <v>475</v>
      </c>
      <c r="AD219" s="33" t="s">
        <v>475</v>
      </c>
      <c r="AE219" s="33" t="s">
        <v>475</v>
      </c>
      <c r="AF219" s="33" t="s">
        <v>475</v>
      </c>
      <c r="AG219" s="33" t="s">
        <v>475</v>
      </c>
      <c r="AH219" s="33" t="s">
        <v>475</v>
      </c>
      <c r="AI219" s="24" t="s">
        <v>153</v>
      </c>
      <c r="AJ219" s="33" t="s">
        <v>475</v>
      </c>
      <c r="AK219" s="33" t="s">
        <v>475</v>
      </c>
      <c r="AL219" s="33" t="s">
        <v>475</v>
      </c>
      <c r="AM219" s="33" t="s">
        <v>475</v>
      </c>
      <c r="AN219" s="33" t="s">
        <v>475</v>
      </c>
      <c r="AO219" s="33" t="s">
        <v>475</v>
      </c>
      <c r="AP219" s="23">
        <f>VALUE(0)</f>
        <v>0</v>
      </c>
      <c r="AQ219" s="23">
        <f>VALUE(0)</f>
        <v>0</v>
      </c>
      <c r="AR219" s="23">
        <f>VALUE(0)</f>
        <v>0</v>
      </c>
      <c r="AS219" s="23">
        <f>VALUE(0)</f>
        <v>0</v>
      </c>
      <c r="AT219" s="23">
        <f>VALUE(0)</f>
        <v>0</v>
      </c>
      <c r="AU219" s="23">
        <f>VALUE(0)</f>
        <v>0</v>
      </c>
      <c r="AV219" s="23">
        <f>VALUE(0)</f>
        <v>0</v>
      </c>
      <c r="AW219" s="23">
        <f>VALUE(0)</f>
        <v>0</v>
      </c>
      <c r="AX219" s="23" t="s">
        <v>483</v>
      </c>
      <c r="AY219" s="23">
        <f>VALUE(0)</f>
        <v>0</v>
      </c>
      <c r="AZ219" s="23">
        <f>VALUE(0)</f>
        <v>0</v>
      </c>
      <c r="BA219" s="23">
        <f>VALUE(0)</f>
        <v>0</v>
      </c>
      <c r="BB219" s="23">
        <f>VALUE(0)</f>
        <v>0</v>
      </c>
      <c r="BC219" s="23">
        <f>VALUE(0)</f>
        <v>0</v>
      </c>
      <c r="BD219" s="23">
        <f>VALUE(0)</f>
        <v>0</v>
      </c>
      <c r="BE219" s="23">
        <f>VALUE(0)</f>
        <v>0</v>
      </c>
      <c r="BF219" s="23">
        <f>VALUE(0)</f>
        <v>0</v>
      </c>
      <c r="BG219" s="23">
        <f>VALUE(0)</f>
        <v>0</v>
      </c>
      <c r="BH219" s="23">
        <f>VALUE(0)</f>
        <v>0</v>
      </c>
      <c r="BI219" s="23">
        <f>VALUE(0)</f>
        <v>0</v>
      </c>
      <c r="BJ219" s="23">
        <f>VALUE(0)</f>
        <v>0</v>
      </c>
      <c r="BK219" s="12">
        <f>$AX$219*24</f>
        <v>4.7333333333333334</v>
      </c>
      <c r="BL219" s="12">
        <f>$AY$219*24</f>
        <v>0</v>
      </c>
      <c r="BM219" s="12">
        <f>$BJ$219*24</f>
        <v>0</v>
      </c>
      <c r="BN219" s="12">
        <f>VALUE($I$219)/100</f>
        <v>0.7</v>
      </c>
      <c r="BO219" s="12">
        <v>0</v>
      </c>
      <c r="BP219" s="12">
        <v>0</v>
      </c>
      <c r="BQ219" s="12">
        <v>0</v>
      </c>
      <c r="BR219" s="12">
        <v>0</v>
      </c>
      <c r="BS219" s="12">
        <v>0</v>
      </c>
      <c r="BT219" s="12">
        <v>0</v>
      </c>
      <c r="BU219" s="12">
        <v>0</v>
      </c>
      <c r="BV219" s="12">
        <v>0</v>
      </c>
      <c r="BW219" s="12">
        <v>0</v>
      </c>
      <c r="BX219" s="12">
        <v>0</v>
      </c>
      <c r="BY219" s="12">
        <v>0</v>
      </c>
      <c r="BZ219" s="12">
        <v>0</v>
      </c>
      <c r="CA219" s="12">
        <v>0</v>
      </c>
    </row>
    <row r="220" spans="1:79" hidden="1" x14ac:dyDescent="0.2">
      <c r="A220" s="12" t="s">
        <v>127</v>
      </c>
      <c r="B220" s="12" t="s">
        <v>131</v>
      </c>
      <c r="C220" s="12" t="s">
        <v>131</v>
      </c>
      <c r="D220" s="22" t="s">
        <v>480</v>
      </c>
      <c r="E220" s="22" t="s">
        <v>173</v>
      </c>
      <c r="F220" s="22" t="s">
        <v>939</v>
      </c>
      <c r="G220" s="22" t="s">
        <v>940</v>
      </c>
      <c r="H220" s="22" t="s">
        <v>166</v>
      </c>
      <c r="I220" s="22" t="s">
        <v>343</v>
      </c>
      <c r="J220" s="22" t="s">
        <v>162</v>
      </c>
      <c r="K220" s="22" t="s">
        <v>89</v>
      </c>
      <c r="L220" s="54" t="s">
        <v>153</v>
      </c>
      <c r="M220" s="33" t="s">
        <v>475</v>
      </c>
      <c r="N220" s="24" t="s">
        <v>153</v>
      </c>
      <c r="O220" s="33" t="s">
        <v>475</v>
      </c>
      <c r="P220" s="33" t="s">
        <v>475</v>
      </c>
      <c r="Q220" s="33" t="s">
        <v>475</v>
      </c>
      <c r="R220" s="33" t="s">
        <v>475</v>
      </c>
      <c r="S220" s="33" t="s">
        <v>475</v>
      </c>
      <c r="T220" s="33" t="s">
        <v>475</v>
      </c>
      <c r="U220" s="24" t="s">
        <v>153</v>
      </c>
      <c r="V220" s="54" t="s">
        <v>153</v>
      </c>
      <c r="W220" s="33" t="s">
        <v>475</v>
      </c>
      <c r="X220" s="33" t="s">
        <v>475</v>
      </c>
      <c r="Y220" s="33" t="s">
        <v>475</v>
      </c>
      <c r="Z220" s="33" t="s">
        <v>475</v>
      </c>
      <c r="AA220" s="33" t="s">
        <v>475</v>
      </c>
      <c r="AB220" s="24" t="s">
        <v>153</v>
      </c>
      <c r="AC220" s="33" t="s">
        <v>475</v>
      </c>
      <c r="AD220" s="33" t="s">
        <v>475</v>
      </c>
      <c r="AE220" s="33" t="s">
        <v>475</v>
      </c>
      <c r="AF220" s="33" t="s">
        <v>475</v>
      </c>
      <c r="AG220" s="33" t="s">
        <v>475</v>
      </c>
      <c r="AH220" s="33" t="s">
        <v>475</v>
      </c>
      <c r="AI220" s="24" t="s">
        <v>153</v>
      </c>
      <c r="AJ220" s="33" t="s">
        <v>475</v>
      </c>
      <c r="AK220" s="33" t="s">
        <v>475</v>
      </c>
      <c r="AL220" s="33" t="s">
        <v>475</v>
      </c>
      <c r="AM220" s="33" t="s">
        <v>475</v>
      </c>
      <c r="AN220" s="33" t="s">
        <v>475</v>
      </c>
      <c r="AO220" s="33" t="s">
        <v>475</v>
      </c>
      <c r="AP220" s="23">
        <f>VALUE(0)</f>
        <v>0</v>
      </c>
      <c r="AQ220" s="23">
        <f>VALUE(0)</f>
        <v>0</v>
      </c>
      <c r="AR220" s="23">
        <f>VALUE(0)</f>
        <v>0</v>
      </c>
      <c r="AS220" s="23">
        <f>VALUE(0)</f>
        <v>0</v>
      </c>
      <c r="AT220" s="23">
        <f>VALUE(0)</f>
        <v>0</v>
      </c>
      <c r="AU220" s="23">
        <f>VALUE(0)</f>
        <v>0</v>
      </c>
      <c r="AV220" s="23">
        <f>VALUE(0)</f>
        <v>0</v>
      </c>
      <c r="AW220" s="23">
        <f>VALUE(0)</f>
        <v>0</v>
      </c>
      <c r="AX220" s="23" t="s">
        <v>403</v>
      </c>
      <c r="AY220" s="23">
        <f>VALUE(0)</f>
        <v>0</v>
      </c>
      <c r="AZ220" s="23">
        <f>VALUE(0)</f>
        <v>0</v>
      </c>
      <c r="BA220" s="23">
        <f>VALUE(0)</f>
        <v>0</v>
      </c>
      <c r="BB220" s="23">
        <f>VALUE(0)</f>
        <v>0</v>
      </c>
      <c r="BC220" s="23">
        <f>VALUE(0)</f>
        <v>0</v>
      </c>
      <c r="BD220" s="23">
        <f>VALUE(0)</f>
        <v>0</v>
      </c>
      <c r="BE220" s="23">
        <f>VALUE(0)</f>
        <v>0</v>
      </c>
      <c r="BF220" s="23">
        <f>VALUE(0)</f>
        <v>0</v>
      </c>
      <c r="BG220" s="23">
        <f>VALUE(0)</f>
        <v>0</v>
      </c>
      <c r="BH220" s="23">
        <f>VALUE(0)</f>
        <v>0</v>
      </c>
      <c r="BI220" s="23">
        <f>VALUE(0)</f>
        <v>0</v>
      </c>
      <c r="BJ220" s="23">
        <f>VALUE(0)</f>
        <v>0</v>
      </c>
      <c r="BK220" s="12">
        <f>$AX$220*24</f>
        <v>2.1</v>
      </c>
      <c r="BL220" s="12">
        <f>$AY$220*24</f>
        <v>0</v>
      </c>
      <c r="BM220" s="12">
        <f>$BJ$220*24</f>
        <v>0</v>
      </c>
      <c r="BN220" s="12">
        <f>VALUE($I$220)/100</f>
        <v>0.7</v>
      </c>
      <c r="BO220" s="12">
        <v>0</v>
      </c>
      <c r="BP220" s="12">
        <v>0</v>
      </c>
      <c r="BQ220" s="12">
        <v>0</v>
      </c>
      <c r="BR220" s="12">
        <v>0</v>
      </c>
      <c r="BS220" s="12">
        <v>0</v>
      </c>
      <c r="BT220" s="12">
        <v>0</v>
      </c>
      <c r="BU220" s="12">
        <v>0</v>
      </c>
      <c r="BV220" s="12">
        <v>0</v>
      </c>
      <c r="BW220" s="12">
        <v>0</v>
      </c>
      <c r="BX220" s="12">
        <v>0</v>
      </c>
      <c r="BY220" s="12">
        <v>0</v>
      </c>
      <c r="BZ220" s="12">
        <v>0</v>
      </c>
      <c r="CA220" s="12">
        <v>0</v>
      </c>
    </row>
    <row r="221" spans="1:79" hidden="1" x14ac:dyDescent="0.2">
      <c r="A221" s="12" t="s">
        <v>127</v>
      </c>
      <c r="B221" s="12" t="s">
        <v>131</v>
      </c>
      <c r="C221" s="12" t="s">
        <v>131</v>
      </c>
      <c r="D221" s="22" t="s">
        <v>480</v>
      </c>
      <c r="E221" s="22" t="s">
        <v>173</v>
      </c>
      <c r="F221" s="22" t="s">
        <v>941</v>
      </c>
      <c r="G221" s="22" t="s">
        <v>942</v>
      </c>
      <c r="H221" s="22" t="s">
        <v>166</v>
      </c>
      <c r="I221" s="22" t="s">
        <v>343</v>
      </c>
      <c r="J221" s="22" t="s">
        <v>162</v>
      </c>
      <c r="K221" s="22" t="s">
        <v>89</v>
      </c>
      <c r="L221" s="54" t="s">
        <v>153</v>
      </c>
      <c r="M221" s="33" t="s">
        <v>475</v>
      </c>
      <c r="N221" s="24" t="s">
        <v>153</v>
      </c>
      <c r="O221" s="33" t="s">
        <v>475</v>
      </c>
      <c r="P221" s="33" t="s">
        <v>475</v>
      </c>
      <c r="Q221" s="33" t="s">
        <v>475</v>
      </c>
      <c r="R221" s="33" t="s">
        <v>475</v>
      </c>
      <c r="S221" s="33" t="s">
        <v>475</v>
      </c>
      <c r="T221" s="33" t="s">
        <v>475</v>
      </c>
      <c r="U221" s="24" t="s">
        <v>153</v>
      </c>
      <c r="V221" s="54" t="s">
        <v>153</v>
      </c>
      <c r="W221" s="33" t="s">
        <v>475</v>
      </c>
      <c r="X221" s="33" t="s">
        <v>475</v>
      </c>
      <c r="Y221" s="33" t="s">
        <v>475</v>
      </c>
      <c r="Z221" s="33" t="s">
        <v>475</v>
      </c>
      <c r="AA221" s="33" t="s">
        <v>475</v>
      </c>
      <c r="AB221" s="24" t="s">
        <v>153</v>
      </c>
      <c r="AC221" s="33" t="s">
        <v>475</v>
      </c>
      <c r="AD221" s="33" t="s">
        <v>475</v>
      </c>
      <c r="AE221" s="33" t="s">
        <v>475</v>
      </c>
      <c r="AF221" s="33" t="s">
        <v>475</v>
      </c>
      <c r="AG221" s="33" t="s">
        <v>475</v>
      </c>
      <c r="AH221" s="33" t="s">
        <v>475</v>
      </c>
      <c r="AI221" s="24" t="s">
        <v>153</v>
      </c>
      <c r="AJ221" s="33" t="s">
        <v>475</v>
      </c>
      <c r="AK221" s="33" t="s">
        <v>475</v>
      </c>
      <c r="AL221" s="33" t="s">
        <v>475</v>
      </c>
      <c r="AM221" s="33" t="s">
        <v>475</v>
      </c>
      <c r="AN221" s="33" t="s">
        <v>475</v>
      </c>
      <c r="AO221" s="33" t="s">
        <v>475</v>
      </c>
      <c r="AP221" s="23">
        <f>VALUE(0)</f>
        <v>0</v>
      </c>
      <c r="AQ221" s="23">
        <f>VALUE(0)</f>
        <v>0</v>
      </c>
      <c r="AR221" s="23">
        <f>VALUE(0)</f>
        <v>0</v>
      </c>
      <c r="AS221" s="23">
        <f>VALUE(0)</f>
        <v>0</v>
      </c>
      <c r="AT221" s="23">
        <f>VALUE(0)</f>
        <v>0</v>
      </c>
      <c r="AU221" s="23">
        <f>VALUE(0)</f>
        <v>0</v>
      </c>
      <c r="AV221" s="23">
        <f>VALUE(0)</f>
        <v>0</v>
      </c>
      <c r="AW221" s="23">
        <f>VALUE(0)</f>
        <v>0</v>
      </c>
      <c r="AX221" s="23" t="s">
        <v>484</v>
      </c>
      <c r="AY221" s="23">
        <f>VALUE(0)</f>
        <v>0</v>
      </c>
      <c r="AZ221" s="23">
        <f>VALUE(0)</f>
        <v>0</v>
      </c>
      <c r="BA221" s="23">
        <f>VALUE(0)</f>
        <v>0</v>
      </c>
      <c r="BB221" s="23">
        <f>VALUE(0)</f>
        <v>0</v>
      </c>
      <c r="BC221" s="23">
        <f>VALUE(0)</f>
        <v>0</v>
      </c>
      <c r="BD221" s="23">
        <f>VALUE(0)</f>
        <v>0</v>
      </c>
      <c r="BE221" s="23">
        <f>VALUE(0)</f>
        <v>0</v>
      </c>
      <c r="BF221" s="23">
        <f>VALUE(0)</f>
        <v>0</v>
      </c>
      <c r="BG221" s="23">
        <f>VALUE(0)</f>
        <v>0</v>
      </c>
      <c r="BH221" s="23">
        <f>VALUE(0)</f>
        <v>0</v>
      </c>
      <c r="BI221" s="23">
        <f>VALUE(0)</f>
        <v>0</v>
      </c>
      <c r="BJ221" s="23">
        <f>VALUE(0)</f>
        <v>0</v>
      </c>
      <c r="BK221" s="12">
        <f>$AX$221*24</f>
        <v>12.75</v>
      </c>
      <c r="BL221" s="12">
        <f>$AY$221*24</f>
        <v>0</v>
      </c>
      <c r="BM221" s="12">
        <f>$BJ$221*24</f>
        <v>0</v>
      </c>
      <c r="BN221" s="12">
        <f>VALUE($I$221)/100</f>
        <v>0.7</v>
      </c>
      <c r="BO221" s="12">
        <v>0</v>
      </c>
      <c r="BP221" s="12">
        <v>0</v>
      </c>
      <c r="BQ221" s="12">
        <v>0</v>
      </c>
      <c r="BR221" s="12">
        <v>0</v>
      </c>
      <c r="BS221" s="12">
        <v>0</v>
      </c>
      <c r="BT221" s="12">
        <v>0</v>
      </c>
      <c r="BU221" s="12">
        <v>0</v>
      </c>
      <c r="BV221" s="12">
        <v>0</v>
      </c>
      <c r="BW221" s="12">
        <v>0</v>
      </c>
      <c r="BX221" s="12">
        <v>0</v>
      </c>
      <c r="BY221" s="12">
        <v>0</v>
      </c>
      <c r="BZ221" s="12">
        <v>0</v>
      </c>
      <c r="CA221" s="12">
        <v>0</v>
      </c>
    </row>
    <row r="222" spans="1:79" hidden="1" x14ac:dyDescent="0.2">
      <c r="A222" s="12" t="s">
        <v>127</v>
      </c>
      <c r="B222" s="12" t="s">
        <v>131</v>
      </c>
      <c r="C222" s="12" t="s">
        <v>131</v>
      </c>
      <c r="D222" s="22" t="s">
        <v>480</v>
      </c>
      <c r="E222" s="22" t="s">
        <v>173</v>
      </c>
      <c r="F222" s="22" t="s">
        <v>943</v>
      </c>
      <c r="G222" s="22" t="s">
        <v>944</v>
      </c>
      <c r="H222" s="22" t="s">
        <v>150</v>
      </c>
      <c r="I222" s="22" t="s">
        <v>343</v>
      </c>
      <c r="J222" s="22" t="s">
        <v>162</v>
      </c>
      <c r="K222" s="22" t="s">
        <v>89</v>
      </c>
      <c r="L222" s="54" t="s">
        <v>153</v>
      </c>
      <c r="M222" s="33" t="s">
        <v>475</v>
      </c>
      <c r="N222" s="24" t="s">
        <v>153</v>
      </c>
      <c r="O222" s="33" t="s">
        <v>475</v>
      </c>
      <c r="P222" s="33" t="s">
        <v>475</v>
      </c>
      <c r="Q222" s="33" t="s">
        <v>475</v>
      </c>
      <c r="R222" s="33" t="s">
        <v>475</v>
      </c>
      <c r="S222" s="33" t="s">
        <v>475</v>
      </c>
      <c r="T222" s="33" t="s">
        <v>475</v>
      </c>
      <c r="U222" s="24" t="s">
        <v>153</v>
      </c>
      <c r="V222" s="54" t="s">
        <v>153</v>
      </c>
      <c r="W222" s="33" t="s">
        <v>475</v>
      </c>
      <c r="X222" s="33" t="s">
        <v>475</v>
      </c>
      <c r="Y222" s="33" t="s">
        <v>475</v>
      </c>
      <c r="Z222" s="33" t="s">
        <v>475</v>
      </c>
      <c r="AA222" s="33" t="s">
        <v>475</v>
      </c>
      <c r="AB222" s="24" t="s">
        <v>153</v>
      </c>
      <c r="AC222" s="33" t="s">
        <v>475</v>
      </c>
      <c r="AD222" s="33" t="s">
        <v>475</v>
      </c>
      <c r="AE222" s="33" t="s">
        <v>475</v>
      </c>
      <c r="AF222" s="33" t="s">
        <v>475</v>
      </c>
      <c r="AG222" s="33" t="s">
        <v>475</v>
      </c>
      <c r="AH222" s="33" t="s">
        <v>475</v>
      </c>
      <c r="AI222" s="24" t="s">
        <v>153</v>
      </c>
      <c r="AJ222" s="33" t="s">
        <v>475</v>
      </c>
      <c r="AK222" s="33" t="s">
        <v>475</v>
      </c>
      <c r="AL222" s="33" t="s">
        <v>475</v>
      </c>
      <c r="AM222" s="33" t="s">
        <v>475</v>
      </c>
      <c r="AN222" s="33" t="s">
        <v>475</v>
      </c>
      <c r="AO222" s="33" t="s">
        <v>475</v>
      </c>
      <c r="AP222" s="23">
        <f>VALUE(0)</f>
        <v>0</v>
      </c>
      <c r="AQ222" s="23">
        <f>VALUE(0)</f>
        <v>0</v>
      </c>
      <c r="AR222" s="23">
        <f>VALUE(0)</f>
        <v>0</v>
      </c>
      <c r="AS222" s="23">
        <f>VALUE(0)</f>
        <v>0</v>
      </c>
      <c r="AT222" s="23">
        <f>VALUE(0)</f>
        <v>0</v>
      </c>
      <c r="AU222" s="23">
        <f>VALUE(0)</f>
        <v>0</v>
      </c>
      <c r="AV222" s="23">
        <f>VALUE(0)</f>
        <v>0</v>
      </c>
      <c r="AW222" s="23">
        <f>VALUE(0)</f>
        <v>0</v>
      </c>
      <c r="AX222" s="23" t="s">
        <v>309</v>
      </c>
      <c r="AY222" s="23" t="s">
        <v>485</v>
      </c>
      <c r="AZ222" s="23">
        <f>VALUE(0)</f>
        <v>0</v>
      </c>
      <c r="BA222" s="23">
        <f>VALUE(0)</f>
        <v>0</v>
      </c>
      <c r="BB222" s="23">
        <f>VALUE(0)</f>
        <v>0</v>
      </c>
      <c r="BC222" s="23">
        <f>VALUE(0)</f>
        <v>0</v>
      </c>
      <c r="BD222" s="23">
        <f>VALUE(0)</f>
        <v>0</v>
      </c>
      <c r="BE222" s="23">
        <f>VALUE(0)</f>
        <v>0</v>
      </c>
      <c r="BF222" s="23">
        <f>VALUE(0)</f>
        <v>0</v>
      </c>
      <c r="BG222" s="23">
        <f>VALUE(0)</f>
        <v>0</v>
      </c>
      <c r="BH222" s="23">
        <f>VALUE(0)</f>
        <v>0</v>
      </c>
      <c r="BI222" s="23">
        <f>VALUE(0)</f>
        <v>0</v>
      </c>
      <c r="BJ222" s="23">
        <f>VALUE(0)</f>
        <v>0</v>
      </c>
      <c r="BK222" s="12">
        <f>$AX$222*24</f>
        <v>4.583333333333333</v>
      </c>
      <c r="BL222" s="12">
        <f>$AY$222*24</f>
        <v>3.8333333333333339</v>
      </c>
      <c r="BM222" s="12">
        <f>$BJ$222*24</f>
        <v>0</v>
      </c>
      <c r="BN222" s="12">
        <f>VALUE($I$222)/100</f>
        <v>0.7</v>
      </c>
      <c r="BO222" s="12">
        <v>0</v>
      </c>
      <c r="BP222" s="12">
        <v>0</v>
      </c>
      <c r="BQ222" s="12">
        <v>0</v>
      </c>
      <c r="BR222" s="12">
        <v>0</v>
      </c>
      <c r="BS222" s="12">
        <v>0</v>
      </c>
      <c r="BT222" s="12">
        <v>0</v>
      </c>
      <c r="BU222" s="12">
        <v>0</v>
      </c>
      <c r="BV222" s="12">
        <v>0</v>
      </c>
      <c r="BW222" s="12">
        <v>0</v>
      </c>
      <c r="BX222" s="12">
        <v>0</v>
      </c>
      <c r="BY222" s="12">
        <v>0</v>
      </c>
      <c r="BZ222" s="12">
        <v>0</v>
      </c>
      <c r="CA222" s="12">
        <v>0</v>
      </c>
    </row>
    <row r="223" spans="1:79" hidden="1" x14ac:dyDescent="0.2">
      <c r="A223" s="12" t="s">
        <v>127</v>
      </c>
      <c r="B223" s="12" t="s">
        <v>131</v>
      </c>
      <c r="C223" s="12" t="s">
        <v>131</v>
      </c>
      <c r="D223" s="22" t="s">
        <v>480</v>
      </c>
      <c r="E223" s="22" t="s">
        <v>173</v>
      </c>
      <c r="F223" s="22" t="s">
        <v>945</v>
      </c>
      <c r="G223" s="22" t="s">
        <v>946</v>
      </c>
      <c r="H223" s="22" t="s">
        <v>166</v>
      </c>
      <c r="I223" s="22" t="s">
        <v>343</v>
      </c>
      <c r="J223" s="22" t="s">
        <v>162</v>
      </c>
      <c r="K223" s="22" t="s">
        <v>89</v>
      </c>
      <c r="L223" s="54" t="s">
        <v>153</v>
      </c>
      <c r="M223" s="33" t="s">
        <v>475</v>
      </c>
      <c r="N223" s="24" t="s">
        <v>153</v>
      </c>
      <c r="O223" s="33" t="s">
        <v>475</v>
      </c>
      <c r="P223" s="33" t="s">
        <v>475</v>
      </c>
      <c r="Q223" s="33" t="s">
        <v>475</v>
      </c>
      <c r="R223" s="33" t="s">
        <v>475</v>
      </c>
      <c r="S223" s="33" t="s">
        <v>475</v>
      </c>
      <c r="T223" s="33" t="s">
        <v>475</v>
      </c>
      <c r="U223" s="24" t="s">
        <v>153</v>
      </c>
      <c r="V223" s="54" t="s">
        <v>156</v>
      </c>
      <c r="W223" s="33" t="s">
        <v>475</v>
      </c>
      <c r="X223" s="33" t="s">
        <v>475</v>
      </c>
      <c r="Y223" s="33" t="s">
        <v>475</v>
      </c>
      <c r="Z223" s="33" t="s">
        <v>475</v>
      </c>
      <c r="AA223" s="33" t="s">
        <v>475</v>
      </c>
      <c r="AB223" s="24" t="s">
        <v>153</v>
      </c>
      <c r="AC223" s="33" t="s">
        <v>475</v>
      </c>
      <c r="AD223" s="33" t="s">
        <v>475</v>
      </c>
      <c r="AE223" s="33" t="s">
        <v>475</v>
      </c>
      <c r="AF223" s="33" t="s">
        <v>475</v>
      </c>
      <c r="AG223" s="33" t="s">
        <v>475</v>
      </c>
      <c r="AH223" s="33" t="s">
        <v>475</v>
      </c>
      <c r="AI223" s="24" t="s">
        <v>153</v>
      </c>
      <c r="AJ223" s="33" t="s">
        <v>475</v>
      </c>
      <c r="AK223" s="33" t="s">
        <v>475</v>
      </c>
      <c r="AL223" s="33" t="s">
        <v>475</v>
      </c>
      <c r="AM223" s="33" t="s">
        <v>475</v>
      </c>
      <c r="AN223" s="33" t="s">
        <v>475</v>
      </c>
      <c r="AO223" s="33" t="s">
        <v>475</v>
      </c>
      <c r="AP223" s="23">
        <f>VALUE(0)</f>
        <v>0</v>
      </c>
      <c r="AQ223" s="23">
        <f>VALUE(0)</f>
        <v>0</v>
      </c>
      <c r="AR223" s="23">
        <f>VALUE(0)</f>
        <v>0</v>
      </c>
      <c r="AS223" s="23">
        <f>VALUE(0)</f>
        <v>0</v>
      </c>
      <c r="AT223" s="23">
        <f>VALUE(0)</f>
        <v>0</v>
      </c>
      <c r="AU223" s="23">
        <f>VALUE(0)</f>
        <v>0</v>
      </c>
      <c r="AV223" s="23">
        <f>VALUE(0)</f>
        <v>0</v>
      </c>
      <c r="AW223" s="23">
        <f>VALUE(0)</f>
        <v>0</v>
      </c>
      <c r="AX223" s="23" t="s">
        <v>487</v>
      </c>
      <c r="AY223" s="23">
        <f>VALUE(0)</f>
        <v>0</v>
      </c>
      <c r="AZ223" s="23">
        <f>VALUE(0)</f>
        <v>0</v>
      </c>
      <c r="BA223" s="23">
        <f>VALUE(0)</f>
        <v>0</v>
      </c>
      <c r="BB223" s="23">
        <f>VALUE(0)</f>
        <v>0</v>
      </c>
      <c r="BC223" s="23">
        <f>VALUE(0)</f>
        <v>0</v>
      </c>
      <c r="BD223" s="23">
        <f>VALUE(0)</f>
        <v>0</v>
      </c>
      <c r="BE223" s="23">
        <f>VALUE(0)</f>
        <v>0</v>
      </c>
      <c r="BF223" s="23">
        <f>VALUE(0)</f>
        <v>0</v>
      </c>
      <c r="BG223" s="23">
        <f>VALUE(0)</f>
        <v>0</v>
      </c>
      <c r="BH223" s="23">
        <f>VALUE(0)</f>
        <v>0</v>
      </c>
      <c r="BI223" s="23">
        <f>VALUE(0)</f>
        <v>0</v>
      </c>
      <c r="BJ223" s="23">
        <f>VALUE(0)</f>
        <v>0</v>
      </c>
      <c r="BK223" s="12">
        <f>$AX$223*24</f>
        <v>4.083333333333333</v>
      </c>
      <c r="BL223" s="12">
        <f>$AY$223*24</f>
        <v>0</v>
      </c>
      <c r="BM223" s="12">
        <f>$BJ$223*24</f>
        <v>0</v>
      </c>
      <c r="BN223" s="12">
        <f>VALUE($I$223)/100</f>
        <v>0.7</v>
      </c>
      <c r="BO223" s="12">
        <v>0</v>
      </c>
      <c r="BP223" s="12">
        <v>0</v>
      </c>
      <c r="BQ223" s="12">
        <v>0</v>
      </c>
      <c r="BR223" s="12">
        <v>0</v>
      </c>
      <c r="BS223" s="12">
        <v>0</v>
      </c>
      <c r="BT223" s="12">
        <v>0</v>
      </c>
      <c r="BU223" s="12">
        <v>0</v>
      </c>
      <c r="BV223" s="12">
        <v>0</v>
      </c>
      <c r="BW223" s="12">
        <v>0</v>
      </c>
      <c r="BX223" s="12">
        <v>0</v>
      </c>
      <c r="BY223" s="12">
        <v>0</v>
      </c>
      <c r="BZ223" s="12">
        <v>0</v>
      </c>
      <c r="CA223" s="12">
        <v>0</v>
      </c>
    </row>
    <row r="224" spans="1:79" hidden="1" x14ac:dyDescent="0.2">
      <c r="A224" s="12" t="s">
        <v>127</v>
      </c>
      <c r="B224" s="12" t="s">
        <v>131</v>
      </c>
      <c r="C224" s="12" t="s">
        <v>131</v>
      </c>
      <c r="D224" s="22" t="s">
        <v>480</v>
      </c>
      <c r="E224" s="22" t="s">
        <v>173</v>
      </c>
      <c r="F224" s="22" t="s">
        <v>947</v>
      </c>
      <c r="G224" s="22" t="s">
        <v>948</v>
      </c>
      <c r="H224" s="22" t="s">
        <v>166</v>
      </c>
      <c r="I224" s="22" t="s">
        <v>343</v>
      </c>
      <c r="J224" s="22" t="s">
        <v>162</v>
      </c>
      <c r="K224" s="22" t="s">
        <v>89</v>
      </c>
      <c r="L224" s="54" t="s">
        <v>153</v>
      </c>
      <c r="M224" s="33" t="s">
        <v>475</v>
      </c>
      <c r="N224" s="24" t="s">
        <v>153</v>
      </c>
      <c r="O224" s="33" t="s">
        <v>475</v>
      </c>
      <c r="P224" s="33" t="s">
        <v>475</v>
      </c>
      <c r="Q224" s="33" t="s">
        <v>475</v>
      </c>
      <c r="R224" s="33" t="s">
        <v>475</v>
      </c>
      <c r="S224" s="33" t="s">
        <v>475</v>
      </c>
      <c r="T224" s="33" t="s">
        <v>475</v>
      </c>
      <c r="U224" s="24" t="s">
        <v>153</v>
      </c>
      <c r="V224" s="54" t="s">
        <v>156</v>
      </c>
      <c r="W224" s="33" t="s">
        <v>475</v>
      </c>
      <c r="X224" s="33" t="s">
        <v>475</v>
      </c>
      <c r="Y224" s="33" t="s">
        <v>475</v>
      </c>
      <c r="Z224" s="33" t="s">
        <v>475</v>
      </c>
      <c r="AA224" s="33" t="s">
        <v>475</v>
      </c>
      <c r="AB224" s="24" t="s">
        <v>153</v>
      </c>
      <c r="AC224" s="33" t="s">
        <v>475</v>
      </c>
      <c r="AD224" s="33" t="s">
        <v>475</v>
      </c>
      <c r="AE224" s="33" t="s">
        <v>475</v>
      </c>
      <c r="AF224" s="33" t="s">
        <v>475</v>
      </c>
      <c r="AG224" s="33" t="s">
        <v>475</v>
      </c>
      <c r="AH224" s="33" t="s">
        <v>475</v>
      </c>
      <c r="AI224" s="24" t="s">
        <v>153</v>
      </c>
      <c r="AJ224" s="33" t="s">
        <v>475</v>
      </c>
      <c r="AK224" s="33" t="s">
        <v>475</v>
      </c>
      <c r="AL224" s="33" t="s">
        <v>475</v>
      </c>
      <c r="AM224" s="33" t="s">
        <v>475</v>
      </c>
      <c r="AN224" s="33" t="s">
        <v>475</v>
      </c>
      <c r="AO224" s="33" t="s">
        <v>475</v>
      </c>
      <c r="AP224" s="23">
        <f>VALUE(0)</f>
        <v>0</v>
      </c>
      <c r="AQ224" s="23">
        <f>VALUE(0)</f>
        <v>0</v>
      </c>
      <c r="AR224" s="23">
        <f>VALUE(0)</f>
        <v>0</v>
      </c>
      <c r="AS224" s="23">
        <f>VALUE(0)</f>
        <v>0</v>
      </c>
      <c r="AT224" s="23">
        <f>VALUE(0)</f>
        <v>0</v>
      </c>
      <c r="AU224" s="23">
        <f>VALUE(0)</f>
        <v>0</v>
      </c>
      <c r="AV224" s="23">
        <f>VALUE(0)</f>
        <v>0</v>
      </c>
      <c r="AW224" s="23">
        <f>VALUE(0)</f>
        <v>0</v>
      </c>
      <c r="AX224" s="23" t="s">
        <v>1260</v>
      </c>
      <c r="AY224" s="23">
        <f>VALUE(0)</f>
        <v>0</v>
      </c>
      <c r="AZ224" s="23">
        <f>VALUE(0)</f>
        <v>0</v>
      </c>
      <c r="BA224" s="23">
        <f>VALUE(0)</f>
        <v>0</v>
      </c>
      <c r="BB224" s="23">
        <f>VALUE(0)</f>
        <v>0</v>
      </c>
      <c r="BC224" s="23">
        <f>VALUE(0)</f>
        <v>0</v>
      </c>
      <c r="BD224" s="23">
        <f>VALUE(0)</f>
        <v>0</v>
      </c>
      <c r="BE224" s="23">
        <f>VALUE(0)</f>
        <v>0</v>
      </c>
      <c r="BF224" s="23">
        <f>VALUE(0)</f>
        <v>0</v>
      </c>
      <c r="BG224" s="23">
        <f>VALUE(0)</f>
        <v>0</v>
      </c>
      <c r="BH224" s="23">
        <f>VALUE(0)</f>
        <v>0</v>
      </c>
      <c r="BI224" s="23">
        <f>VALUE(0)</f>
        <v>0</v>
      </c>
      <c r="BJ224" s="23">
        <f>VALUE(0)</f>
        <v>0</v>
      </c>
      <c r="BK224" s="12">
        <f>$AX$224*24</f>
        <v>11.733333333333333</v>
      </c>
      <c r="BL224" s="12">
        <f>$AY$224*24</f>
        <v>0</v>
      </c>
      <c r="BM224" s="12">
        <f>$BJ$224*24</f>
        <v>0</v>
      </c>
      <c r="BN224" s="12">
        <f>VALUE($I$224)/100</f>
        <v>0.7</v>
      </c>
      <c r="BO224" s="12">
        <v>0</v>
      </c>
      <c r="BP224" s="12">
        <v>0</v>
      </c>
      <c r="BQ224" s="12">
        <v>0</v>
      </c>
      <c r="BR224" s="12">
        <v>0</v>
      </c>
      <c r="BS224" s="12">
        <v>0</v>
      </c>
      <c r="BT224" s="12">
        <v>0</v>
      </c>
      <c r="BU224" s="12">
        <v>0</v>
      </c>
      <c r="BV224" s="12">
        <v>0</v>
      </c>
      <c r="BW224" s="12">
        <v>0</v>
      </c>
      <c r="BX224" s="12">
        <v>0</v>
      </c>
      <c r="BY224" s="12">
        <v>0</v>
      </c>
      <c r="BZ224" s="12">
        <v>0</v>
      </c>
      <c r="CA224" s="12">
        <v>0</v>
      </c>
    </row>
    <row r="225" spans="1:79" hidden="1" x14ac:dyDescent="0.2">
      <c r="A225" s="12" t="s">
        <v>127</v>
      </c>
      <c r="B225" s="12" t="s">
        <v>131</v>
      </c>
      <c r="C225" s="12" t="s">
        <v>131</v>
      </c>
      <c r="D225" s="22" t="s">
        <v>480</v>
      </c>
      <c r="E225" s="22" t="s">
        <v>173</v>
      </c>
      <c r="F225" s="22" t="s">
        <v>949</v>
      </c>
      <c r="G225" s="22" t="s">
        <v>950</v>
      </c>
      <c r="H225" s="22" t="s">
        <v>166</v>
      </c>
      <c r="I225" s="22" t="s">
        <v>343</v>
      </c>
      <c r="J225" s="22" t="s">
        <v>162</v>
      </c>
      <c r="K225" s="22" t="s">
        <v>89</v>
      </c>
      <c r="L225" s="54" t="s">
        <v>153</v>
      </c>
      <c r="M225" s="24" t="s">
        <v>153</v>
      </c>
      <c r="N225" s="24" t="s">
        <v>153</v>
      </c>
      <c r="O225" s="33" t="s">
        <v>475</v>
      </c>
      <c r="P225" s="33" t="s">
        <v>475</v>
      </c>
      <c r="Q225" s="33" t="s">
        <v>475</v>
      </c>
      <c r="R225" s="33" t="s">
        <v>475</v>
      </c>
      <c r="S225" s="33" t="s">
        <v>475</v>
      </c>
      <c r="T225" s="24" t="s">
        <v>153</v>
      </c>
      <c r="U225" s="24" t="s">
        <v>153</v>
      </c>
      <c r="V225" s="54" t="s">
        <v>153</v>
      </c>
      <c r="W225" s="33" t="s">
        <v>475</v>
      </c>
      <c r="X225" s="33" t="s">
        <v>475</v>
      </c>
      <c r="Y225" s="33" t="s">
        <v>475</v>
      </c>
      <c r="Z225" s="33" t="s">
        <v>475</v>
      </c>
      <c r="AA225" s="24" t="s">
        <v>153</v>
      </c>
      <c r="AB225" s="24" t="s">
        <v>153</v>
      </c>
      <c r="AC225" s="33" t="s">
        <v>475</v>
      </c>
      <c r="AD225" s="33" t="s">
        <v>475</v>
      </c>
      <c r="AE225" s="33" t="s">
        <v>475</v>
      </c>
      <c r="AF225" s="33" t="s">
        <v>475</v>
      </c>
      <c r="AG225" s="33" t="s">
        <v>475</v>
      </c>
      <c r="AH225" s="24" t="s">
        <v>153</v>
      </c>
      <c r="AI225" s="24" t="s">
        <v>153</v>
      </c>
      <c r="AJ225" s="33" t="s">
        <v>475</v>
      </c>
      <c r="AK225" s="33" t="s">
        <v>475</v>
      </c>
      <c r="AL225" s="33" t="s">
        <v>475</v>
      </c>
      <c r="AM225" s="33" t="s">
        <v>475</v>
      </c>
      <c r="AN225" s="33" t="s">
        <v>475</v>
      </c>
      <c r="AO225" s="24" t="s">
        <v>153</v>
      </c>
      <c r="AP225" s="23">
        <f>VALUE(0)</f>
        <v>0</v>
      </c>
      <c r="AQ225" s="23">
        <f>VALUE(0)</f>
        <v>0</v>
      </c>
      <c r="AR225" s="23">
        <f>VALUE(0)</f>
        <v>0</v>
      </c>
      <c r="AS225" s="23">
        <f>VALUE(0)</f>
        <v>0</v>
      </c>
      <c r="AT225" s="23">
        <f>VALUE(0)</f>
        <v>0</v>
      </c>
      <c r="AU225" s="23">
        <f>VALUE(0)</f>
        <v>0</v>
      </c>
      <c r="AV225" s="23">
        <f>VALUE(0)</f>
        <v>0</v>
      </c>
      <c r="AW225" s="23">
        <f>VALUE(0)</f>
        <v>0</v>
      </c>
      <c r="AX225" s="23" t="s">
        <v>1261</v>
      </c>
      <c r="AY225" s="23">
        <f>VALUE(0)</f>
        <v>0</v>
      </c>
      <c r="AZ225" s="23">
        <f>VALUE(0)</f>
        <v>0</v>
      </c>
      <c r="BA225" s="23">
        <f>VALUE(0)</f>
        <v>0</v>
      </c>
      <c r="BB225" s="23">
        <f>VALUE(0)</f>
        <v>0</v>
      </c>
      <c r="BC225" s="23">
        <f>VALUE(0)</f>
        <v>0</v>
      </c>
      <c r="BD225" s="23">
        <f>VALUE(0)</f>
        <v>0</v>
      </c>
      <c r="BE225" s="23">
        <f>VALUE(0)</f>
        <v>0</v>
      </c>
      <c r="BF225" s="23">
        <f>VALUE(0)</f>
        <v>0</v>
      </c>
      <c r="BG225" s="23">
        <f>VALUE(0)</f>
        <v>0</v>
      </c>
      <c r="BH225" s="23">
        <f>VALUE(0)</f>
        <v>0</v>
      </c>
      <c r="BI225" s="23">
        <f>VALUE(0)</f>
        <v>0</v>
      </c>
      <c r="BJ225" s="23">
        <f>VALUE(0)</f>
        <v>0</v>
      </c>
      <c r="BK225" s="12">
        <f>$AX$225*24</f>
        <v>16.350000000000001</v>
      </c>
      <c r="BL225" s="12">
        <f>$AY$225*24</f>
        <v>0</v>
      </c>
      <c r="BM225" s="12">
        <f>$BJ$225*24</f>
        <v>0</v>
      </c>
      <c r="BN225" s="12">
        <f>VALUE($I$225)/100</f>
        <v>0.7</v>
      </c>
      <c r="BO225" s="12">
        <v>0</v>
      </c>
      <c r="BP225" s="12">
        <v>0</v>
      </c>
      <c r="BQ225" s="12">
        <v>0</v>
      </c>
      <c r="BR225" s="12">
        <v>0</v>
      </c>
      <c r="BS225" s="12">
        <v>0</v>
      </c>
      <c r="BT225" s="12">
        <v>0</v>
      </c>
      <c r="BU225" s="12">
        <v>0</v>
      </c>
      <c r="BV225" s="12">
        <v>0</v>
      </c>
      <c r="BW225" s="12">
        <v>0</v>
      </c>
      <c r="BX225" s="12">
        <v>0</v>
      </c>
      <c r="BY225" s="12">
        <v>0</v>
      </c>
      <c r="BZ225" s="12">
        <v>0</v>
      </c>
      <c r="CA225" s="12">
        <v>0</v>
      </c>
    </row>
    <row r="226" spans="1:79" hidden="1" x14ac:dyDescent="0.2">
      <c r="A226" s="12" t="s">
        <v>127</v>
      </c>
      <c r="B226" s="12" t="s">
        <v>131</v>
      </c>
      <c r="C226" s="12" t="s">
        <v>131</v>
      </c>
      <c r="D226" s="22" t="s">
        <v>480</v>
      </c>
      <c r="E226" s="22" t="s">
        <v>173</v>
      </c>
      <c r="F226" s="22" t="s">
        <v>951</v>
      </c>
      <c r="G226" s="22" t="s">
        <v>952</v>
      </c>
      <c r="H226" s="22" t="s">
        <v>166</v>
      </c>
      <c r="I226" s="22" t="s">
        <v>343</v>
      </c>
      <c r="J226" s="22" t="s">
        <v>162</v>
      </c>
      <c r="K226" s="22" t="s">
        <v>89</v>
      </c>
      <c r="L226" s="54" t="s">
        <v>153</v>
      </c>
      <c r="M226" s="33" t="s">
        <v>475</v>
      </c>
      <c r="N226" s="24" t="s">
        <v>153</v>
      </c>
      <c r="O226" s="33" t="s">
        <v>475</v>
      </c>
      <c r="P226" s="33" t="s">
        <v>475</v>
      </c>
      <c r="Q226" s="33" t="s">
        <v>475</v>
      </c>
      <c r="R226" s="33" t="s">
        <v>475</v>
      </c>
      <c r="S226" s="33" t="s">
        <v>475</v>
      </c>
      <c r="T226" s="33" t="s">
        <v>475</v>
      </c>
      <c r="U226" s="24" t="s">
        <v>153</v>
      </c>
      <c r="V226" s="54" t="s">
        <v>153</v>
      </c>
      <c r="W226" s="33" t="s">
        <v>475</v>
      </c>
      <c r="X226" s="33" t="s">
        <v>475</v>
      </c>
      <c r="Y226" s="33" t="s">
        <v>475</v>
      </c>
      <c r="Z226" s="33" t="s">
        <v>475</v>
      </c>
      <c r="AA226" s="33" t="s">
        <v>475</v>
      </c>
      <c r="AB226" s="24" t="s">
        <v>153</v>
      </c>
      <c r="AC226" s="33" t="s">
        <v>475</v>
      </c>
      <c r="AD226" s="33" t="s">
        <v>475</v>
      </c>
      <c r="AE226" s="33" t="s">
        <v>475</v>
      </c>
      <c r="AF226" s="33" t="s">
        <v>475</v>
      </c>
      <c r="AG226" s="33" t="s">
        <v>475</v>
      </c>
      <c r="AH226" s="33" t="s">
        <v>475</v>
      </c>
      <c r="AI226" s="24" t="s">
        <v>153</v>
      </c>
      <c r="AJ226" s="33" t="s">
        <v>475</v>
      </c>
      <c r="AK226" s="33" t="s">
        <v>475</v>
      </c>
      <c r="AL226" s="33" t="s">
        <v>475</v>
      </c>
      <c r="AM226" s="33" t="s">
        <v>475</v>
      </c>
      <c r="AN226" s="33" t="s">
        <v>475</v>
      </c>
      <c r="AO226" s="33" t="s">
        <v>475</v>
      </c>
      <c r="AP226" s="23">
        <f>VALUE(0)</f>
        <v>0</v>
      </c>
      <c r="AQ226" s="23">
        <f>VALUE(0)</f>
        <v>0</v>
      </c>
      <c r="AR226" s="23">
        <f>VALUE(0)</f>
        <v>0</v>
      </c>
      <c r="AS226" s="23">
        <f>VALUE(0)</f>
        <v>0</v>
      </c>
      <c r="AT226" s="23">
        <f>VALUE(0)</f>
        <v>0</v>
      </c>
      <c r="AU226" s="23">
        <f>VALUE(0)</f>
        <v>0</v>
      </c>
      <c r="AV226" s="23">
        <f>VALUE(0)</f>
        <v>0</v>
      </c>
      <c r="AW226" s="23">
        <f>VALUE(0)</f>
        <v>0</v>
      </c>
      <c r="AX226" s="23" t="s">
        <v>486</v>
      </c>
      <c r="AY226" s="23">
        <f>VALUE(0)</f>
        <v>0</v>
      </c>
      <c r="AZ226" s="23">
        <f>VALUE(0)</f>
        <v>0</v>
      </c>
      <c r="BA226" s="23">
        <f>VALUE(0)</f>
        <v>0</v>
      </c>
      <c r="BB226" s="23">
        <f>VALUE(0)</f>
        <v>0</v>
      </c>
      <c r="BC226" s="23">
        <f>VALUE(0)</f>
        <v>0</v>
      </c>
      <c r="BD226" s="23">
        <f>VALUE(0)</f>
        <v>0</v>
      </c>
      <c r="BE226" s="23">
        <f>VALUE(0)</f>
        <v>0</v>
      </c>
      <c r="BF226" s="23">
        <f>VALUE(0)</f>
        <v>0</v>
      </c>
      <c r="BG226" s="23">
        <f>VALUE(0)</f>
        <v>0</v>
      </c>
      <c r="BH226" s="23">
        <f>VALUE(0)</f>
        <v>0</v>
      </c>
      <c r="BI226" s="23">
        <f>VALUE(0)</f>
        <v>0</v>
      </c>
      <c r="BJ226" s="23">
        <f>VALUE(0)</f>
        <v>0</v>
      </c>
      <c r="BK226" s="12">
        <f>$AX$226*24</f>
        <v>8.5666666666666664</v>
      </c>
      <c r="BL226" s="12">
        <f>$AY$226*24</f>
        <v>0</v>
      </c>
      <c r="BM226" s="12">
        <f>$BJ$226*24</f>
        <v>0</v>
      </c>
      <c r="BN226" s="12">
        <f>VALUE($I$226)/100</f>
        <v>0.7</v>
      </c>
      <c r="BO226" s="12">
        <v>0</v>
      </c>
      <c r="BP226" s="12">
        <v>0</v>
      </c>
      <c r="BQ226" s="12">
        <v>0</v>
      </c>
      <c r="BR226" s="12">
        <v>0</v>
      </c>
      <c r="BS226" s="12">
        <v>0</v>
      </c>
      <c r="BT226" s="12">
        <v>0</v>
      </c>
      <c r="BU226" s="12">
        <v>0</v>
      </c>
      <c r="BV226" s="12">
        <v>0</v>
      </c>
      <c r="BW226" s="12">
        <v>0</v>
      </c>
      <c r="BX226" s="12">
        <v>0</v>
      </c>
      <c r="BY226" s="12">
        <v>0</v>
      </c>
      <c r="BZ226" s="12">
        <v>0</v>
      </c>
      <c r="CA226" s="12">
        <v>0</v>
      </c>
    </row>
    <row r="227" spans="1:79" hidden="1" x14ac:dyDescent="0.2">
      <c r="A227" s="12" t="s">
        <v>127</v>
      </c>
      <c r="B227" s="12" t="s">
        <v>131</v>
      </c>
      <c r="C227" s="12" t="s">
        <v>131</v>
      </c>
      <c r="D227" s="22" t="s">
        <v>480</v>
      </c>
      <c r="E227" s="22" t="s">
        <v>173</v>
      </c>
      <c r="F227" s="22" t="s">
        <v>1262</v>
      </c>
      <c r="G227" s="22" t="s">
        <v>953</v>
      </c>
      <c r="H227" s="22" t="s">
        <v>166</v>
      </c>
      <c r="I227" s="22" t="s">
        <v>343</v>
      </c>
      <c r="J227" s="22" t="s">
        <v>162</v>
      </c>
      <c r="K227" s="22" t="s">
        <v>89</v>
      </c>
      <c r="L227" s="54" t="s">
        <v>153</v>
      </c>
      <c r="M227" s="33" t="s">
        <v>475</v>
      </c>
      <c r="N227" s="24" t="s">
        <v>153</v>
      </c>
      <c r="O227" s="33" t="s">
        <v>475</v>
      </c>
      <c r="P227" s="33" t="s">
        <v>475</v>
      </c>
      <c r="Q227" s="33" t="s">
        <v>475</v>
      </c>
      <c r="R227" s="33" t="s">
        <v>475</v>
      </c>
      <c r="S227" s="33" t="s">
        <v>475</v>
      </c>
      <c r="T227" s="33" t="s">
        <v>475</v>
      </c>
      <c r="U227" s="24" t="s">
        <v>153</v>
      </c>
      <c r="V227" s="54" t="s">
        <v>153</v>
      </c>
      <c r="W227" s="33" t="s">
        <v>475</v>
      </c>
      <c r="X227" s="33" t="s">
        <v>475</v>
      </c>
      <c r="Y227" s="33" t="s">
        <v>475</v>
      </c>
      <c r="Z227" s="33" t="s">
        <v>475</v>
      </c>
      <c r="AA227" s="33" t="s">
        <v>475</v>
      </c>
      <c r="AB227" s="24" t="s">
        <v>153</v>
      </c>
      <c r="AC227" s="33" t="s">
        <v>475</v>
      </c>
      <c r="AD227" s="33" t="s">
        <v>475</v>
      </c>
      <c r="AE227" s="33" t="s">
        <v>475</v>
      </c>
      <c r="AF227" s="33" t="s">
        <v>475</v>
      </c>
      <c r="AG227" s="33" t="s">
        <v>475</v>
      </c>
      <c r="AH227" s="33" t="s">
        <v>475</v>
      </c>
      <c r="AI227" s="24" t="s">
        <v>153</v>
      </c>
      <c r="AJ227" s="33" t="s">
        <v>475</v>
      </c>
      <c r="AK227" s="33" t="s">
        <v>475</v>
      </c>
      <c r="AL227" s="33" t="s">
        <v>475</v>
      </c>
      <c r="AM227" s="33" t="s">
        <v>475</v>
      </c>
      <c r="AN227" s="33" t="s">
        <v>475</v>
      </c>
      <c r="AO227" s="33" t="s">
        <v>475</v>
      </c>
      <c r="AP227" s="23">
        <f>VALUE(0)</f>
        <v>0</v>
      </c>
      <c r="AQ227" s="23">
        <f>VALUE(0)</f>
        <v>0</v>
      </c>
      <c r="AR227" s="23">
        <f>VALUE(0)</f>
        <v>0</v>
      </c>
      <c r="AS227" s="23">
        <f>VALUE(0)</f>
        <v>0</v>
      </c>
      <c r="AT227" s="23">
        <f>VALUE(0)</f>
        <v>0</v>
      </c>
      <c r="AU227" s="23">
        <f>VALUE(0)</f>
        <v>0</v>
      </c>
      <c r="AV227" s="23">
        <f>VALUE(0)</f>
        <v>0</v>
      </c>
      <c r="AW227" s="23">
        <f>VALUE(0)</f>
        <v>0</v>
      </c>
      <c r="AX227" s="23" t="s">
        <v>487</v>
      </c>
      <c r="AY227" s="23">
        <f>VALUE(0)</f>
        <v>0</v>
      </c>
      <c r="AZ227" s="23">
        <f>VALUE(0)</f>
        <v>0</v>
      </c>
      <c r="BA227" s="23">
        <f>VALUE(0)</f>
        <v>0</v>
      </c>
      <c r="BB227" s="23">
        <f>VALUE(0)</f>
        <v>0</v>
      </c>
      <c r="BC227" s="23">
        <f>VALUE(0)</f>
        <v>0</v>
      </c>
      <c r="BD227" s="23">
        <f>VALUE(0)</f>
        <v>0</v>
      </c>
      <c r="BE227" s="23">
        <f>VALUE(0)</f>
        <v>0</v>
      </c>
      <c r="BF227" s="23">
        <f>VALUE(0)</f>
        <v>0</v>
      </c>
      <c r="BG227" s="23">
        <f>VALUE(0)</f>
        <v>0</v>
      </c>
      <c r="BH227" s="23">
        <f>VALUE(0)</f>
        <v>0</v>
      </c>
      <c r="BI227" s="23">
        <f>VALUE(0)</f>
        <v>0</v>
      </c>
      <c r="BJ227" s="23">
        <f>VALUE(0)</f>
        <v>0</v>
      </c>
      <c r="BK227" s="12">
        <f>$AX$227*24</f>
        <v>4.083333333333333</v>
      </c>
      <c r="BL227" s="12">
        <f>$AY$227*24</f>
        <v>0</v>
      </c>
      <c r="BM227" s="12">
        <f>$BJ$227*24</f>
        <v>0</v>
      </c>
      <c r="BN227" s="12">
        <f>VALUE($I$227)/100</f>
        <v>0.7</v>
      </c>
      <c r="BO227" s="12">
        <v>0</v>
      </c>
      <c r="BP227" s="12">
        <v>0</v>
      </c>
      <c r="BQ227" s="12">
        <v>0</v>
      </c>
      <c r="BR227" s="12">
        <v>0</v>
      </c>
      <c r="BS227" s="12">
        <v>0</v>
      </c>
      <c r="BT227" s="12">
        <v>0</v>
      </c>
      <c r="BU227" s="12">
        <v>0</v>
      </c>
      <c r="BV227" s="12">
        <v>0</v>
      </c>
      <c r="BW227" s="12">
        <v>0</v>
      </c>
      <c r="BX227" s="12">
        <v>0</v>
      </c>
      <c r="BY227" s="12">
        <v>0</v>
      </c>
      <c r="BZ227" s="12">
        <v>0</v>
      </c>
      <c r="CA227" s="12">
        <v>0</v>
      </c>
    </row>
    <row r="228" spans="1:79" hidden="1" x14ac:dyDescent="0.2">
      <c r="A228" s="12" t="s">
        <v>127</v>
      </c>
      <c r="B228" s="12" t="s">
        <v>131</v>
      </c>
      <c r="C228" s="12" t="s">
        <v>131</v>
      </c>
      <c r="D228" s="22" t="s">
        <v>480</v>
      </c>
      <c r="E228" s="22" t="s">
        <v>173</v>
      </c>
      <c r="F228" s="22" t="s">
        <v>954</v>
      </c>
      <c r="G228" s="22" t="s">
        <v>955</v>
      </c>
      <c r="H228" s="22" t="s">
        <v>166</v>
      </c>
      <c r="I228" s="22" t="s">
        <v>343</v>
      </c>
      <c r="J228" s="22" t="s">
        <v>162</v>
      </c>
      <c r="K228" s="22" t="s">
        <v>89</v>
      </c>
      <c r="L228" s="54" t="s">
        <v>153</v>
      </c>
      <c r="M228" s="33" t="s">
        <v>475</v>
      </c>
      <c r="N228" s="24" t="s">
        <v>153</v>
      </c>
      <c r="O228" s="33" t="s">
        <v>475</v>
      </c>
      <c r="P228" s="33" t="s">
        <v>475</v>
      </c>
      <c r="Q228" s="33" t="s">
        <v>475</v>
      </c>
      <c r="R228" s="33" t="s">
        <v>475</v>
      </c>
      <c r="S228" s="33" t="s">
        <v>475</v>
      </c>
      <c r="T228" s="33" t="s">
        <v>475</v>
      </c>
      <c r="U228" s="24" t="s">
        <v>153</v>
      </c>
      <c r="V228" s="54" t="s">
        <v>153</v>
      </c>
      <c r="W228" s="33" t="s">
        <v>475</v>
      </c>
      <c r="X228" s="33" t="s">
        <v>475</v>
      </c>
      <c r="Y228" s="33" t="s">
        <v>475</v>
      </c>
      <c r="Z228" s="33" t="s">
        <v>475</v>
      </c>
      <c r="AA228" s="33" t="s">
        <v>475</v>
      </c>
      <c r="AB228" s="24" t="s">
        <v>153</v>
      </c>
      <c r="AC228" s="33" t="s">
        <v>475</v>
      </c>
      <c r="AD228" s="33" t="s">
        <v>475</v>
      </c>
      <c r="AE228" s="33" t="s">
        <v>475</v>
      </c>
      <c r="AF228" s="33" t="s">
        <v>475</v>
      </c>
      <c r="AG228" s="33" t="s">
        <v>475</v>
      </c>
      <c r="AH228" s="33" t="s">
        <v>475</v>
      </c>
      <c r="AI228" s="24" t="s">
        <v>153</v>
      </c>
      <c r="AJ228" s="33" t="s">
        <v>475</v>
      </c>
      <c r="AK228" s="33" t="s">
        <v>475</v>
      </c>
      <c r="AL228" s="33" t="s">
        <v>475</v>
      </c>
      <c r="AM228" s="33" t="s">
        <v>475</v>
      </c>
      <c r="AN228" s="33" t="s">
        <v>475</v>
      </c>
      <c r="AO228" s="33" t="s">
        <v>475</v>
      </c>
      <c r="AP228" s="23">
        <f>VALUE(0)</f>
        <v>0</v>
      </c>
      <c r="AQ228" s="23">
        <f>VALUE(0)</f>
        <v>0</v>
      </c>
      <c r="AR228" s="23">
        <f>VALUE(0)</f>
        <v>0</v>
      </c>
      <c r="AS228" s="23">
        <f>VALUE(0)</f>
        <v>0</v>
      </c>
      <c r="AT228" s="23">
        <f>VALUE(0)</f>
        <v>0</v>
      </c>
      <c r="AU228" s="23">
        <f>VALUE(0)</f>
        <v>0</v>
      </c>
      <c r="AV228" s="23">
        <f>VALUE(2.5)</f>
        <v>2.5</v>
      </c>
      <c r="AW228" s="23">
        <f>VALUE(0)</f>
        <v>0</v>
      </c>
      <c r="AX228" s="23" t="s">
        <v>290</v>
      </c>
      <c r="AY228" s="23">
        <f>VALUE(0)</f>
        <v>0</v>
      </c>
      <c r="AZ228" s="23">
        <f>VALUE(0)</f>
        <v>0</v>
      </c>
      <c r="BA228" s="23">
        <f>VALUE(0)</f>
        <v>0</v>
      </c>
      <c r="BB228" s="23">
        <f>VALUE(0)</f>
        <v>0</v>
      </c>
      <c r="BC228" s="23">
        <f>VALUE(0)</f>
        <v>0</v>
      </c>
      <c r="BD228" s="23">
        <f>VALUE(0)</f>
        <v>0</v>
      </c>
      <c r="BE228" s="23">
        <f>VALUE(0)</f>
        <v>0</v>
      </c>
      <c r="BF228" s="23">
        <f>VALUE(0)</f>
        <v>0</v>
      </c>
      <c r="BG228" s="23">
        <f>VALUE(0)</f>
        <v>0</v>
      </c>
      <c r="BH228" s="23">
        <f>VALUE(0)</f>
        <v>0</v>
      </c>
      <c r="BI228" s="23">
        <f>VALUE(0)</f>
        <v>0</v>
      </c>
      <c r="BJ228" s="23">
        <f>VALUE(0)</f>
        <v>0</v>
      </c>
      <c r="BK228" s="12">
        <f>$AX$228*24</f>
        <v>4.4000000000000004</v>
      </c>
      <c r="BL228" s="12">
        <f>$AY$228*24</f>
        <v>0</v>
      </c>
      <c r="BM228" s="12">
        <f>$BJ$228*24</f>
        <v>0</v>
      </c>
      <c r="BN228" s="12">
        <f>VALUE($I$228)/100</f>
        <v>0.7</v>
      </c>
      <c r="BO228" s="12">
        <v>0</v>
      </c>
      <c r="BP228" s="12">
        <v>0</v>
      </c>
      <c r="BQ228" s="12">
        <v>0</v>
      </c>
      <c r="BR228" s="12">
        <v>0</v>
      </c>
      <c r="BS228" s="12">
        <v>0</v>
      </c>
      <c r="BT228" s="12">
        <v>0</v>
      </c>
      <c r="BU228" s="12">
        <v>0</v>
      </c>
      <c r="BV228" s="12">
        <v>0</v>
      </c>
      <c r="BW228" s="12">
        <v>0</v>
      </c>
      <c r="BX228" s="12">
        <v>0</v>
      </c>
      <c r="BY228" s="12">
        <v>0</v>
      </c>
      <c r="BZ228" s="12">
        <v>0</v>
      </c>
      <c r="CA228" s="12">
        <v>0</v>
      </c>
    </row>
    <row r="229" spans="1:79" hidden="1" x14ac:dyDescent="0.2">
      <c r="A229" s="12" t="s">
        <v>127</v>
      </c>
      <c r="B229" s="12" t="s">
        <v>131</v>
      </c>
      <c r="C229" s="12" t="s">
        <v>131</v>
      </c>
      <c r="D229" s="22" t="s">
        <v>480</v>
      </c>
      <c r="E229" s="22" t="s">
        <v>173</v>
      </c>
      <c r="F229" s="22" t="s">
        <v>956</v>
      </c>
      <c r="G229" s="22" t="s">
        <v>957</v>
      </c>
      <c r="H229" s="22" t="s">
        <v>166</v>
      </c>
      <c r="I229" s="22" t="s">
        <v>343</v>
      </c>
      <c r="J229" s="22" t="s">
        <v>162</v>
      </c>
      <c r="K229" s="22" t="s">
        <v>89</v>
      </c>
      <c r="L229" s="54" t="s">
        <v>153</v>
      </c>
      <c r="M229" s="24" t="s">
        <v>156</v>
      </c>
      <c r="N229" s="24" t="s">
        <v>153</v>
      </c>
      <c r="O229" s="24" t="s">
        <v>156</v>
      </c>
      <c r="P229" s="23" t="s">
        <v>153</v>
      </c>
      <c r="Q229" s="23" t="s">
        <v>153</v>
      </c>
      <c r="R229" s="23" t="s">
        <v>153</v>
      </c>
      <c r="S229" s="23" t="s">
        <v>153</v>
      </c>
      <c r="T229" s="23" t="s">
        <v>153</v>
      </c>
      <c r="U229" s="24" t="s">
        <v>153</v>
      </c>
      <c r="V229" s="54" t="s">
        <v>153</v>
      </c>
      <c r="W229" s="23" t="s">
        <v>153</v>
      </c>
      <c r="X229" s="23" t="s">
        <v>153</v>
      </c>
      <c r="Y229" s="23" t="s">
        <v>153</v>
      </c>
      <c r="Z229" s="23" t="s">
        <v>153</v>
      </c>
      <c r="AA229" s="24" t="s">
        <v>156</v>
      </c>
      <c r="AB229" s="24" t="s">
        <v>153</v>
      </c>
      <c r="AC229" s="24" t="s">
        <v>156</v>
      </c>
      <c r="AD229" s="23" t="s">
        <v>153</v>
      </c>
      <c r="AE229" s="23" t="s">
        <v>153</v>
      </c>
      <c r="AF229" s="23" t="s">
        <v>153</v>
      </c>
      <c r="AG229" s="23" t="s">
        <v>153</v>
      </c>
      <c r="AH229" s="23" t="s">
        <v>153</v>
      </c>
      <c r="AI229" s="24" t="s">
        <v>153</v>
      </c>
      <c r="AJ229" s="23" t="s">
        <v>153</v>
      </c>
      <c r="AK229" s="23" t="s">
        <v>153</v>
      </c>
      <c r="AL229" s="23" t="s">
        <v>153</v>
      </c>
      <c r="AM229" s="23" t="s">
        <v>153</v>
      </c>
      <c r="AN229" s="23" t="s">
        <v>153</v>
      </c>
      <c r="AO229" s="24" t="s">
        <v>156</v>
      </c>
      <c r="AP229" s="23">
        <f>VALUE(0)</f>
        <v>0</v>
      </c>
      <c r="AQ229" s="23">
        <f>VALUE(0)</f>
        <v>0</v>
      </c>
      <c r="AR229" s="23">
        <f>VALUE(0)</f>
        <v>0</v>
      </c>
      <c r="AS229" s="23">
        <f>VALUE(0)</f>
        <v>0</v>
      </c>
      <c r="AT229" s="23">
        <f>VALUE(0)</f>
        <v>0</v>
      </c>
      <c r="AU229" s="23">
        <f>VALUE(0)</f>
        <v>0</v>
      </c>
      <c r="AV229" s="23">
        <f>VALUE(0)</f>
        <v>0</v>
      </c>
      <c r="AW229" s="23">
        <f>VALUE(0)</f>
        <v>0</v>
      </c>
      <c r="AX229" s="23" t="s">
        <v>487</v>
      </c>
      <c r="AY229" s="23">
        <f>VALUE(0)</f>
        <v>0</v>
      </c>
      <c r="AZ229" s="23">
        <f>VALUE(0)</f>
        <v>0</v>
      </c>
      <c r="BA229" s="23">
        <f>VALUE(0)</f>
        <v>0</v>
      </c>
      <c r="BB229" s="23">
        <f>VALUE(0)</f>
        <v>0</v>
      </c>
      <c r="BC229" s="23">
        <f>VALUE(0)</f>
        <v>0</v>
      </c>
      <c r="BD229" s="23">
        <f>VALUE(0)</f>
        <v>0</v>
      </c>
      <c r="BE229" s="23">
        <f>VALUE(0)</f>
        <v>0</v>
      </c>
      <c r="BF229" s="23">
        <f>VALUE(0)</f>
        <v>0</v>
      </c>
      <c r="BG229" s="23">
        <f>VALUE(0)</f>
        <v>0</v>
      </c>
      <c r="BH229" s="23">
        <f>VALUE(0)</f>
        <v>0</v>
      </c>
      <c r="BI229" s="23">
        <f>VALUE(0)</f>
        <v>0</v>
      </c>
      <c r="BJ229" s="23">
        <f>VALUE(0)</f>
        <v>0</v>
      </c>
      <c r="BK229" s="12">
        <f>$AX$229*24</f>
        <v>4.083333333333333</v>
      </c>
      <c r="BL229" s="12">
        <f>$AY$229*24</f>
        <v>0</v>
      </c>
      <c r="BM229" s="12">
        <f>$BJ$229*24</f>
        <v>0</v>
      </c>
      <c r="BN229" s="12">
        <f>VALUE($I$229)/100</f>
        <v>0.7</v>
      </c>
      <c r="BO229" s="12">
        <v>0</v>
      </c>
      <c r="BP229" s="12">
        <v>0</v>
      </c>
      <c r="BQ229" s="12">
        <v>0</v>
      </c>
      <c r="BR229" s="12">
        <v>0</v>
      </c>
      <c r="BS229" s="12">
        <v>0</v>
      </c>
      <c r="BT229" s="12">
        <v>0</v>
      </c>
      <c r="BU229" s="12">
        <v>0</v>
      </c>
      <c r="BV229" s="12">
        <v>0</v>
      </c>
      <c r="BW229" s="12">
        <v>0</v>
      </c>
      <c r="BX229" s="12">
        <v>0</v>
      </c>
      <c r="BY229" s="12">
        <v>0</v>
      </c>
      <c r="BZ229" s="12">
        <v>0</v>
      </c>
      <c r="CA229" s="12">
        <v>0</v>
      </c>
    </row>
    <row r="230" spans="1:79" hidden="1" x14ac:dyDescent="0.2">
      <c r="A230" s="12" t="s">
        <v>127</v>
      </c>
      <c r="B230" s="12" t="s">
        <v>131</v>
      </c>
      <c r="C230" s="12" t="s">
        <v>131</v>
      </c>
      <c r="D230" s="22" t="s">
        <v>480</v>
      </c>
      <c r="E230" s="22" t="s">
        <v>173</v>
      </c>
      <c r="F230" s="22" t="s">
        <v>958</v>
      </c>
      <c r="G230" s="22" t="s">
        <v>959</v>
      </c>
      <c r="H230" s="22" t="s">
        <v>150</v>
      </c>
      <c r="I230" s="22" t="s">
        <v>343</v>
      </c>
      <c r="J230" s="22" t="s">
        <v>162</v>
      </c>
      <c r="K230" s="22" t="s">
        <v>89</v>
      </c>
      <c r="L230" s="54" t="s">
        <v>153</v>
      </c>
      <c r="M230" s="33" t="s">
        <v>475</v>
      </c>
      <c r="N230" s="24" t="s">
        <v>153</v>
      </c>
      <c r="O230" s="33" t="s">
        <v>475</v>
      </c>
      <c r="P230" s="33" t="s">
        <v>475</v>
      </c>
      <c r="Q230" s="33" t="s">
        <v>475</v>
      </c>
      <c r="R230" s="33" t="s">
        <v>475</v>
      </c>
      <c r="S230" s="33" t="s">
        <v>475</v>
      </c>
      <c r="T230" s="33" t="s">
        <v>475</v>
      </c>
      <c r="U230" s="24" t="s">
        <v>153</v>
      </c>
      <c r="V230" s="54" t="s">
        <v>153</v>
      </c>
      <c r="W230" s="33" t="s">
        <v>475</v>
      </c>
      <c r="X230" s="33" t="s">
        <v>475</v>
      </c>
      <c r="Y230" s="33" t="s">
        <v>475</v>
      </c>
      <c r="Z230" s="33" t="s">
        <v>475</v>
      </c>
      <c r="AA230" s="33" t="s">
        <v>475</v>
      </c>
      <c r="AB230" s="24" t="s">
        <v>153</v>
      </c>
      <c r="AC230" s="33" t="s">
        <v>475</v>
      </c>
      <c r="AD230" s="33" t="s">
        <v>475</v>
      </c>
      <c r="AE230" s="33" t="s">
        <v>475</v>
      </c>
      <c r="AF230" s="33" t="s">
        <v>475</v>
      </c>
      <c r="AG230" s="33" t="s">
        <v>475</v>
      </c>
      <c r="AH230" s="33" t="s">
        <v>475</v>
      </c>
      <c r="AI230" s="24" t="s">
        <v>153</v>
      </c>
      <c r="AJ230" s="33" t="s">
        <v>475</v>
      </c>
      <c r="AK230" s="33" t="s">
        <v>475</v>
      </c>
      <c r="AL230" s="33" t="s">
        <v>475</v>
      </c>
      <c r="AM230" s="33" t="s">
        <v>475</v>
      </c>
      <c r="AN230" s="33" t="s">
        <v>475</v>
      </c>
      <c r="AO230" s="33" t="s">
        <v>475</v>
      </c>
      <c r="AP230" s="23">
        <f>VALUE(0)</f>
        <v>0</v>
      </c>
      <c r="AQ230" s="23">
        <f>VALUE(0)</f>
        <v>0</v>
      </c>
      <c r="AR230" s="23">
        <f>VALUE(0)</f>
        <v>0</v>
      </c>
      <c r="AS230" s="23">
        <f>VALUE(0)</f>
        <v>0</v>
      </c>
      <c r="AT230" s="23">
        <f>VALUE(0)</f>
        <v>0</v>
      </c>
      <c r="AU230" s="23">
        <f>VALUE(0)</f>
        <v>0</v>
      </c>
      <c r="AV230" s="23">
        <f>VALUE(0)</f>
        <v>0</v>
      </c>
      <c r="AW230" s="23">
        <f>VALUE(0)</f>
        <v>0</v>
      </c>
      <c r="AX230" s="23" t="s">
        <v>487</v>
      </c>
      <c r="AY230" s="23">
        <f>VALUE(0)</f>
        <v>0</v>
      </c>
      <c r="AZ230" s="23">
        <f>VALUE(0)</f>
        <v>0</v>
      </c>
      <c r="BA230" s="23">
        <f>VALUE(0)</f>
        <v>0</v>
      </c>
      <c r="BB230" s="23">
        <f>VALUE(0)</f>
        <v>0</v>
      </c>
      <c r="BC230" s="23">
        <f>VALUE(0)</f>
        <v>0</v>
      </c>
      <c r="BD230" s="23">
        <f>VALUE(0)</f>
        <v>0</v>
      </c>
      <c r="BE230" s="23">
        <f>VALUE(0)</f>
        <v>0</v>
      </c>
      <c r="BF230" s="23">
        <f>VALUE(0)</f>
        <v>0</v>
      </c>
      <c r="BG230" s="23">
        <f>VALUE(0)</f>
        <v>0</v>
      </c>
      <c r="BH230" s="23">
        <f>VALUE(0)</f>
        <v>0</v>
      </c>
      <c r="BI230" s="23">
        <f>VALUE(0)</f>
        <v>0</v>
      </c>
      <c r="BJ230" s="23">
        <f>VALUE(0)</f>
        <v>0</v>
      </c>
      <c r="BK230" s="12">
        <f>$AX$230*24</f>
        <v>4.083333333333333</v>
      </c>
      <c r="BL230" s="12">
        <f>$AY$230*24</f>
        <v>0</v>
      </c>
      <c r="BM230" s="12">
        <f>$BJ$230*24</f>
        <v>0</v>
      </c>
      <c r="BN230" s="12">
        <f>VALUE($I$230)/100</f>
        <v>0.7</v>
      </c>
      <c r="BO230" s="12">
        <v>0</v>
      </c>
      <c r="BP230" s="12">
        <v>0</v>
      </c>
      <c r="BQ230" s="12">
        <v>0</v>
      </c>
      <c r="BR230" s="12">
        <v>0</v>
      </c>
      <c r="BS230" s="12">
        <v>0</v>
      </c>
      <c r="BT230" s="12">
        <v>0</v>
      </c>
      <c r="BU230" s="12">
        <v>0</v>
      </c>
      <c r="BV230" s="12">
        <v>0</v>
      </c>
      <c r="BW230" s="12">
        <v>0</v>
      </c>
      <c r="BX230" s="12">
        <v>0</v>
      </c>
      <c r="BY230" s="12">
        <v>0</v>
      </c>
      <c r="BZ230" s="12">
        <v>0</v>
      </c>
      <c r="CA230" s="12">
        <v>0</v>
      </c>
    </row>
    <row r="231" spans="1:79" hidden="1" x14ac:dyDescent="0.2">
      <c r="A231" s="12" t="s">
        <v>127</v>
      </c>
      <c r="B231" s="12" t="s">
        <v>131</v>
      </c>
      <c r="C231" s="12" t="s">
        <v>131</v>
      </c>
      <c r="D231" s="22" t="s">
        <v>480</v>
      </c>
      <c r="E231" s="22" t="s">
        <v>173</v>
      </c>
      <c r="F231" s="22" t="s">
        <v>960</v>
      </c>
      <c r="G231" s="22" t="s">
        <v>961</v>
      </c>
      <c r="H231" s="22" t="s">
        <v>166</v>
      </c>
      <c r="I231" s="22" t="s">
        <v>343</v>
      </c>
      <c r="J231" s="22" t="s">
        <v>181</v>
      </c>
      <c r="K231" s="22" t="s">
        <v>89</v>
      </c>
      <c r="L231" s="54" t="s">
        <v>153</v>
      </c>
      <c r="M231" s="33" t="s">
        <v>475</v>
      </c>
      <c r="N231" s="24" t="s">
        <v>153</v>
      </c>
      <c r="O231" s="33" t="s">
        <v>475</v>
      </c>
      <c r="P231" s="33" t="s">
        <v>475</v>
      </c>
      <c r="Q231" s="33" t="s">
        <v>475</v>
      </c>
      <c r="R231" s="33" t="s">
        <v>475</v>
      </c>
      <c r="S231" s="33" t="s">
        <v>475</v>
      </c>
      <c r="T231" s="33" t="s">
        <v>475</v>
      </c>
      <c r="U231" s="24" t="s">
        <v>153</v>
      </c>
      <c r="V231" s="54" t="s">
        <v>153</v>
      </c>
      <c r="W231" s="33" t="s">
        <v>475</v>
      </c>
      <c r="X231" s="33" t="s">
        <v>475</v>
      </c>
      <c r="Y231" s="33" t="s">
        <v>475</v>
      </c>
      <c r="Z231" s="33" t="s">
        <v>475</v>
      </c>
      <c r="AA231" s="33" t="s">
        <v>475</v>
      </c>
      <c r="AB231" s="24" t="s">
        <v>153</v>
      </c>
      <c r="AC231" s="33" t="s">
        <v>475</v>
      </c>
      <c r="AD231" s="33" t="s">
        <v>475</v>
      </c>
      <c r="AE231" s="33" t="s">
        <v>475</v>
      </c>
      <c r="AF231" s="33" t="s">
        <v>475</v>
      </c>
      <c r="AG231" s="33" t="s">
        <v>475</v>
      </c>
      <c r="AH231" s="33" t="s">
        <v>475</v>
      </c>
      <c r="AI231" s="24" t="s">
        <v>153</v>
      </c>
      <c r="AJ231" s="33" t="s">
        <v>475</v>
      </c>
      <c r="AK231" s="33" t="s">
        <v>475</v>
      </c>
      <c r="AL231" s="33" t="s">
        <v>475</v>
      </c>
      <c r="AM231" s="33" t="s">
        <v>475</v>
      </c>
      <c r="AN231" s="33" t="s">
        <v>475</v>
      </c>
      <c r="AO231" s="33" t="s">
        <v>475</v>
      </c>
      <c r="AP231" s="23">
        <f>VALUE(0)</f>
        <v>0</v>
      </c>
      <c r="AQ231" s="23">
        <f>VALUE(0)</f>
        <v>0</v>
      </c>
      <c r="AR231" s="23">
        <f>VALUE(0)</f>
        <v>0</v>
      </c>
      <c r="AS231" s="23">
        <f>VALUE(0)</f>
        <v>0</v>
      </c>
      <c r="AT231" s="23">
        <f>VALUE(0)</f>
        <v>0</v>
      </c>
      <c r="AU231" s="23">
        <f>VALUE(0)</f>
        <v>0</v>
      </c>
      <c r="AV231" s="23">
        <f>VALUE(1.5)</f>
        <v>1.5</v>
      </c>
      <c r="AW231" s="23">
        <f>VALUE(0)</f>
        <v>0</v>
      </c>
      <c r="AX231" s="23" t="s">
        <v>171</v>
      </c>
      <c r="AY231" s="23">
        <f>VALUE(0)</f>
        <v>0</v>
      </c>
      <c r="AZ231" s="23">
        <f>VALUE(0)</f>
        <v>0</v>
      </c>
      <c r="BA231" s="23">
        <f>VALUE(0)</f>
        <v>0</v>
      </c>
      <c r="BB231" s="23">
        <f>VALUE(0)</f>
        <v>0</v>
      </c>
      <c r="BC231" s="23">
        <f>VALUE(0)</f>
        <v>0</v>
      </c>
      <c r="BD231" s="23">
        <f>VALUE(0)</f>
        <v>0</v>
      </c>
      <c r="BE231" s="23">
        <f>VALUE(0)</f>
        <v>0</v>
      </c>
      <c r="BF231" s="23">
        <f>VALUE(0)</f>
        <v>0</v>
      </c>
      <c r="BG231" s="23">
        <f>VALUE(0)</f>
        <v>0</v>
      </c>
      <c r="BH231" s="23">
        <f>VALUE(0)</f>
        <v>0</v>
      </c>
      <c r="BI231" s="23">
        <f>VALUE(0)</f>
        <v>0</v>
      </c>
      <c r="BJ231" s="23">
        <f>VALUE(0)</f>
        <v>0</v>
      </c>
      <c r="BK231" s="12">
        <f>$AX$231*24</f>
        <v>5.833333333333333</v>
      </c>
      <c r="BL231" s="12">
        <f>$AY$231*24</f>
        <v>0</v>
      </c>
      <c r="BM231" s="12">
        <f>$BJ$231*24</f>
        <v>0</v>
      </c>
      <c r="BN231" s="12">
        <f>VALUE($I$231)/100</f>
        <v>0.7</v>
      </c>
      <c r="BO231" s="12">
        <v>0</v>
      </c>
      <c r="BP231" s="12">
        <v>0</v>
      </c>
      <c r="BQ231" s="12">
        <v>0</v>
      </c>
      <c r="BR231" s="12">
        <v>0</v>
      </c>
      <c r="BS231" s="12">
        <v>0</v>
      </c>
      <c r="BT231" s="12">
        <v>0</v>
      </c>
      <c r="BU231" s="12">
        <v>0</v>
      </c>
      <c r="BV231" s="12">
        <v>0</v>
      </c>
      <c r="BW231" s="12">
        <v>0</v>
      </c>
      <c r="BX231" s="12">
        <v>0</v>
      </c>
      <c r="BY231" s="12">
        <v>0</v>
      </c>
      <c r="BZ231" s="12">
        <v>0</v>
      </c>
      <c r="CA231" s="12">
        <v>0</v>
      </c>
    </row>
    <row r="232" spans="1:79" ht="15" hidden="1" x14ac:dyDescent="0.25">
      <c r="A232" s="12" t="s">
        <v>127</v>
      </c>
      <c r="B232" s="12" t="s">
        <v>131</v>
      </c>
      <c r="C232" s="12" t="s">
        <v>131</v>
      </c>
      <c r="D232" s="31" t="s">
        <v>1248</v>
      </c>
      <c r="E232" s="31" t="s">
        <v>153</v>
      </c>
      <c r="F232" s="31" t="s">
        <v>175</v>
      </c>
      <c r="G232" s="31" t="s">
        <v>153</v>
      </c>
      <c r="H232" s="31" t="s">
        <v>153</v>
      </c>
      <c r="I232" s="31" t="s">
        <v>153</v>
      </c>
      <c r="J232" s="31" t="s">
        <v>153</v>
      </c>
      <c r="K232" s="31" t="s">
        <v>153</v>
      </c>
      <c r="L232" s="31">
        <f>VALUE(0)</f>
        <v>0</v>
      </c>
      <c r="M232" s="31">
        <f>VALUE(0)</f>
        <v>0</v>
      </c>
      <c r="N232" s="31">
        <f>VALUE(0)</f>
        <v>0</v>
      </c>
      <c r="O232" s="31">
        <f>VALUE(0)</f>
        <v>0</v>
      </c>
      <c r="P232" s="31">
        <f>VALUE(1)</f>
        <v>1</v>
      </c>
      <c r="Q232" s="31">
        <f>VALUE(1)</f>
        <v>1</v>
      </c>
      <c r="R232" s="31">
        <f>VALUE(1)</f>
        <v>1</v>
      </c>
      <c r="S232" s="31">
        <f>VALUE(1)</f>
        <v>1</v>
      </c>
      <c r="T232" s="31">
        <f>VALUE(1)</f>
        <v>1</v>
      </c>
      <c r="U232" s="31">
        <f>VALUE(0)</f>
        <v>0</v>
      </c>
      <c r="V232" s="31">
        <f>VALUE(0)</f>
        <v>0</v>
      </c>
      <c r="W232" s="31">
        <f>VALUE(1)</f>
        <v>1</v>
      </c>
      <c r="X232" s="31">
        <f>VALUE(1)</f>
        <v>1</v>
      </c>
      <c r="Y232" s="31">
        <f>VALUE(1)</f>
        <v>1</v>
      </c>
      <c r="Z232" s="31">
        <f>VALUE(1)</f>
        <v>1</v>
      </c>
      <c r="AA232" s="31">
        <f>VALUE(0)</f>
        <v>0</v>
      </c>
      <c r="AB232" s="31">
        <f>VALUE(0)</f>
        <v>0</v>
      </c>
      <c r="AC232" s="31">
        <f>VALUE(0)</f>
        <v>0</v>
      </c>
      <c r="AD232" s="31">
        <f>VALUE(1)</f>
        <v>1</v>
      </c>
      <c r="AE232" s="31">
        <f>VALUE(1)</f>
        <v>1</v>
      </c>
      <c r="AF232" s="31">
        <f>VALUE(1)</f>
        <v>1</v>
      </c>
      <c r="AG232" s="31">
        <f>VALUE(1)</f>
        <v>1</v>
      </c>
      <c r="AH232" s="31">
        <f>VALUE(1)</f>
        <v>1</v>
      </c>
      <c r="AI232" s="31">
        <f>VALUE(0)</f>
        <v>0</v>
      </c>
      <c r="AJ232" s="31">
        <f>VALUE(1)</f>
        <v>1</v>
      </c>
      <c r="AK232" s="31">
        <f>VALUE(1)</f>
        <v>1</v>
      </c>
      <c r="AL232" s="31">
        <f>VALUE(1)</f>
        <v>1</v>
      </c>
      <c r="AM232" s="31">
        <f>VALUE(1)</f>
        <v>1</v>
      </c>
      <c r="AN232" s="31">
        <f>VALUE(1)</f>
        <v>1</v>
      </c>
      <c r="AO232" s="31">
        <f>VALUE(0)</f>
        <v>0</v>
      </c>
      <c r="AP232" s="31">
        <v>0</v>
      </c>
      <c r="AQ232" s="31">
        <v>0</v>
      </c>
      <c r="AR232" s="31">
        <v>0</v>
      </c>
      <c r="AS232" s="31">
        <v>0</v>
      </c>
      <c r="AT232" s="31">
        <v>0</v>
      </c>
      <c r="AU232" s="31">
        <v>0</v>
      </c>
      <c r="AV232" s="31">
        <v>0</v>
      </c>
      <c r="AW232" s="31">
        <v>0</v>
      </c>
      <c r="AX232" s="31">
        <v>0</v>
      </c>
      <c r="AY232" s="31">
        <v>0</v>
      </c>
      <c r="AZ232" s="31">
        <v>0</v>
      </c>
      <c r="BA232" s="31">
        <v>0</v>
      </c>
      <c r="BB232" s="31">
        <v>0</v>
      </c>
      <c r="BC232" s="31">
        <v>0</v>
      </c>
      <c r="BD232" s="31">
        <v>0</v>
      </c>
      <c r="BE232" s="31">
        <v>0</v>
      </c>
      <c r="BF232" s="31">
        <v>0</v>
      </c>
      <c r="BG232" s="31">
        <v>0</v>
      </c>
      <c r="BH232" s="31">
        <v>0</v>
      </c>
      <c r="BI232" s="31">
        <v>0</v>
      </c>
      <c r="BJ232" s="31">
        <v>0</v>
      </c>
      <c r="BK232" s="12">
        <v>0</v>
      </c>
      <c r="BL232" s="12">
        <v>0</v>
      </c>
      <c r="BM232" s="12">
        <v>0</v>
      </c>
      <c r="BN232" s="12"/>
      <c r="BO232" s="12">
        <v>0</v>
      </c>
      <c r="BP232" s="12">
        <v>0</v>
      </c>
      <c r="BQ232" s="12">
        <v>0</v>
      </c>
      <c r="BR232" s="12">
        <v>0</v>
      </c>
      <c r="BS232" s="12">
        <v>0</v>
      </c>
      <c r="BT232" s="12">
        <v>0</v>
      </c>
      <c r="BU232" s="12">
        <v>0</v>
      </c>
      <c r="BV232" s="12">
        <v>0</v>
      </c>
      <c r="BW232" s="12">
        <v>0</v>
      </c>
      <c r="BX232" s="12">
        <v>0</v>
      </c>
      <c r="BY232" s="12">
        <v>0</v>
      </c>
      <c r="BZ232" s="12">
        <v>0</v>
      </c>
      <c r="CA232" s="12">
        <v>0</v>
      </c>
    </row>
    <row r="233" spans="1:79" ht="15" hidden="1" x14ac:dyDescent="0.25">
      <c r="A233" s="12" t="s">
        <v>132</v>
      </c>
      <c r="B233" s="12" t="s">
        <v>133</v>
      </c>
      <c r="C233" s="12" t="s">
        <v>133</v>
      </c>
      <c r="D233" s="31" t="s">
        <v>488</v>
      </c>
      <c r="E233" s="31" t="s">
        <v>153</v>
      </c>
      <c r="F233" s="31" t="s">
        <v>175</v>
      </c>
      <c r="G233" s="31" t="s">
        <v>153</v>
      </c>
      <c r="H233" s="31" t="s">
        <v>153</v>
      </c>
      <c r="I233" s="31" t="s">
        <v>153</v>
      </c>
      <c r="J233" s="31" t="s">
        <v>153</v>
      </c>
      <c r="K233" s="31" t="s">
        <v>153</v>
      </c>
      <c r="L233" s="31">
        <f>VALUE(0)</f>
        <v>0</v>
      </c>
      <c r="M233" s="31">
        <f>VALUE(0)</f>
        <v>0</v>
      </c>
      <c r="N233" s="31">
        <f>VALUE(0)</f>
        <v>0</v>
      </c>
      <c r="O233" s="31">
        <f>VALUE(0)</f>
        <v>0</v>
      </c>
      <c r="P233" s="31">
        <f>VALUE(0)</f>
        <v>0</v>
      </c>
      <c r="Q233" s="31">
        <f>VALUE(0)</f>
        <v>0</v>
      </c>
      <c r="R233" s="31">
        <f>VALUE(0)</f>
        <v>0</v>
      </c>
      <c r="S233" s="31">
        <f>VALUE(0)</f>
        <v>0</v>
      </c>
      <c r="T233" s="31">
        <f>VALUE(0)</f>
        <v>0</v>
      </c>
      <c r="U233" s="31">
        <f>VALUE(0)</f>
        <v>0</v>
      </c>
      <c r="V233" s="31">
        <f>VALUE(0)</f>
        <v>0</v>
      </c>
      <c r="W233" s="31">
        <f>VALUE(0)</f>
        <v>0</v>
      </c>
      <c r="X233" s="31">
        <f>VALUE(0)</f>
        <v>0</v>
      </c>
      <c r="Y233" s="31">
        <f>VALUE(0)</f>
        <v>0</v>
      </c>
      <c r="Z233" s="31">
        <f>VALUE(0)</f>
        <v>0</v>
      </c>
      <c r="AA233" s="31">
        <f>VALUE(0)</f>
        <v>0</v>
      </c>
      <c r="AB233" s="31">
        <f>VALUE(0)</f>
        <v>0</v>
      </c>
      <c r="AC233" s="31">
        <f>VALUE(0)</f>
        <v>0</v>
      </c>
      <c r="AD233" s="31">
        <f>VALUE(0)</f>
        <v>0</v>
      </c>
      <c r="AE233" s="31">
        <f>VALUE(0)</f>
        <v>0</v>
      </c>
      <c r="AF233" s="31">
        <f>VALUE(0)</f>
        <v>0</v>
      </c>
      <c r="AG233" s="31">
        <f>VALUE(0)</f>
        <v>0</v>
      </c>
      <c r="AH233" s="31">
        <f>VALUE(0)</f>
        <v>0</v>
      </c>
      <c r="AI233" s="31">
        <f>VALUE(0)</f>
        <v>0</v>
      </c>
      <c r="AJ233" s="31">
        <f>VALUE(0)</f>
        <v>0</v>
      </c>
      <c r="AK233" s="31">
        <f>VALUE(0)</f>
        <v>0</v>
      </c>
      <c r="AL233" s="31">
        <f>VALUE(0)</f>
        <v>0</v>
      </c>
      <c r="AM233" s="31">
        <f>VALUE(0)</f>
        <v>0</v>
      </c>
      <c r="AN233" s="31">
        <f>VALUE(0)</f>
        <v>0</v>
      </c>
      <c r="AO233" s="31">
        <f>VALUE(0)</f>
        <v>0</v>
      </c>
      <c r="AP233" s="31">
        <v>0</v>
      </c>
      <c r="AQ233" s="31">
        <v>0</v>
      </c>
      <c r="AR233" s="31">
        <v>0</v>
      </c>
      <c r="AS233" s="31">
        <v>0</v>
      </c>
      <c r="AT233" s="31">
        <v>0</v>
      </c>
      <c r="AU233" s="31">
        <v>0</v>
      </c>
      <c r="AV233" s="31">
        <v>0</v>
      </c>
      <c r="AW233" s="31">
        <v>0</v>
      </c>
      <c r="AX233" s="31">
        <v>0</v>
      </c>
      <c r="AY233" s="31">
        <v>0</v>
      </c>
      <c r="AZ233" s="31">
        <v>0</v>
      </c>
      <c r="BA233" s="31">
        <v>0</v>
      </c>
      <c r="BB233" s="31">
        <v>0</v>
      </c>
      <c r="BC233" s="31">
        <v>0</v>
      </c>
      <c r="BD233" s="31">
        <v>0</v>
      </c>
      <c r="BE233" s="31">
        <v>0</v>
      </c>
      <c r="BF233" s="31">
        <v>0</v>
      </c>
      <c r="BG233" s="31">
        <v>0</v>
      </c>
      <c r="BH233" s="31">
        <v>0</v>
      </c>
      <c r="BI233" s="31">
        <v>0</v>
      </c>
      <c r="BJ233" s="31">
        <v>0</v>
      </c>
      <c r="BK233" s="12">
        <v>0</v>
      </c>
      <c r="BL233" s="12">
        <v>0</v>
      </c>
      <c r="BM233" s="12">
        <v>0</v>
      </c>
      <c r="BN233" s="12"/>
      <c r="BO233" s="12">
        <v>0</v>
      </c>
      <c r="BP233" s="12">
        <v>0</v>
      </c>
      <c r="BQ233" s="12">
        <v>0</v>
      </c>
      <c r="BR233" s="12">
        <v>0</v>
      </c>
      <c r="BS233" s="12">
        <v>0</v>
      </c>
      <c r="BT233" s="12">
        <v>0</v>
      </c>
      <c r="BU233" s="12">
        <v>0</v>
      </c>
      <c r="BV233" s="12">
        <v>0</v>
      </c>
      <c r="BW233" s="12">
        <v>0</v>
      </c>
      <c r="BX233" s="12">
        <v>0</v>
      </c>
      <c r="BY233" s="12">
        <v>0</v>
      </c>
      <c r="BZ233" s="12">
        <v>0</v>
      </c>
      <c r="CA233" s="12">
        <v>0</v>
      </c>
    </row>
    <row r="234" spans="1:79" ht="15" hidden="1" x14ac:dyDescent="0.25">
      <c r="A234" s="12" t="s">
        <v>132</v>
      </c>
      <c r="B234" s="12" t="s">
        <v>134</v>
      </c>
      <c r="C234" s="12" t="s">
        <v>134</v>
      </c>
      <c r="D234" s="31" t="s">
        <v>488</v>
      </c>
      <c r="E234" s="31" t="s">
        <v>153</v>
      </c>
      <c r="F234" s="31" t="s">
        <v>175</v>
      </c>
      <c r="G234" s="31" t="s">
        <v>153</v>
      </c>
      <c r="H234" s="31" t="s">
        <v>153</v>
      </c>
      <c r="I234" s="31" t="s">
        <v>153</v>
      </c>
      <c r="J234" s="31" t="s">
        <v>153</v>
      </c>
      <c r="K234" s="31" t="s">
        <v>153</v>
      </c>
      <c r="L234" s="31">
        <f>VALUE(0)</f>
        <v>0</v>
      </c>
      <c r="M234" s="31">
        <f>VALUE(0)</f>
        <v>0</v>
      </c>
      <c r="N234" s="31">
        <f>VALUE(0)</f>
        <v>0</v>
      </c>
      <c r="O234" s="31">
        <f>VALUE(0)</f>
        <v>0</v>
      </c>
      <c r="P234" s="31">
        <f>VALUE(0)</f>
        <v>0</v>
      </c>
      <c r="Q234" s="31">
        <f>VALUE(0)</f>
        <v>0</v>
      </c>
      <c r="R234" s="31">
        <f>VALUE(0)</f>
        <v>0</v>
      </c>
      <c r="S234" s="31">
        <f>VALUE(0)</f>
        <v>0</v>
      </c>
      <c r="T234" s="31">
        <f>VALUE(0)</f>
        <v>0</v>
      </c>
      <c r="U234" s="31">
        <f>VALUE(0)</f>
        <v>0</v>
      </c>
      <c r="V234" s="31">
        <f>VALUE(0)</f>
        <v>0</v>
      </c>
      <c r="W234" s="31">
        <f>VALUE(0)</f>
        <v>0</v>
      </c>
      <c r="X234" s="31">
        <f>VALUE(0)</f>
        <v>0</v>
      </c>
      <c r="Y234" s="31">
        <f>VALUE(0)</f>
        <v>0</v>
      </c>
      <c r="Z234" s="31">
        <f>VALUE(0)</f>
        <v>0</v>
      </c>
      <c r="AA234" s="31">
        <f>VALUE(0)</f>
        <v>0</v>
      </c>
      <c r="AB234" s="31">
        <f>VALUE(0)</f>
        <v>0</v>
      </c>
      <c r="AC234" s="31">
        <f>VALUE(0)</f>
        <v>0</v>
      </c>
      <c r="AD234" s="31">
        <f>VALUE(0)</f>
        <v>0</v>
      </c>
      <c r="AE234" s="31">
        <f>VALUE(0)</f>
        <v>0</v>
      </c>
      <c r="AF234" s="31">
        <f>VALUE(0)</f>
        <v>0</v>
      </c>
      <c r="AG234" s="31">
        <f>VALUE(0)</f>
        <v>0</v>
      </c>
      <c r="AH234" s="31">
        <f>VALUE(0)</f>
        <v>0</v>
      </c>
      <c r="AI234" s="31">
        <f>VALUE(0)</f>
        <v>0</v>
      </c>
      <c r="AJ234" s="31">
        <f>VALUE(0)</f>
        <v>0</v>
      </c>
      <c r="AK234" s="31">
        <f>VALUE(0)</f>
        <v>0</v>
      </c>
      <c r="AL234" s="31">
        <f>VALUE(0)</f>
        <v>0</v>
      </c>
      <c r="AM234" s="31">
        <f>VALUE(0)</f>
        <v>0</v>
      </c>
      <c r="AN234" s="31">
        <f>VALUE(0)</f>
        <v>0</v>
      </c>
      <c r="AO234" s="31">
        <f>VALUE(0)</f>
        <v>0</v>
      </c>
      <c r="AP234" s="31">
        <v>0</v>
      </c>
      <c r="AQ234" s="31">
        <v>0</v>
      </c>
      <c r="AR234" s="31">
        <v>0</v>
      </c>
      <c r="AS234" s="31">
        <v>0</v>
      </c>
      <c r="AT234" s="31">
        <v>0</v>
      </c>
      <c r="AU234" s="31">
        <v>0</v>
      </c>
      <c r="AV234" s="31">
        <v>0</v>
      </c>
      <c r="AW234" s="31">
        <v>0</v>
      </c>
      <c r="AX234" s="31">
        <v>0</v>
      </c>
      <c r="AY234" s="31">
        <v>0</v>
      </c>
      <c r="AZ234" s="31">
        <v>0</v>
      </c>
      <c r="BA234" s="31">
        <v>0</v>
      </c>
      <c r="BB234" s="31">
        <v>0</v>
      </c>
      <c r="BC234" s="31">
        <v>0</v>
      </c>
      <c r="BD234" s="31">
        <v>0</v>
      </c>
      <c r="BE234" s="31">
        <v>0</v>
      </c>
      <c r="BF234" s="31">
        <v>0</v>
      </c>
      <c r="BG234" s="31">
        <v>0</v>
      </c>
      <c r="BH234" s="31">
        <v>0</v>
      </c>
      <c r="BI234" s="31">
        <v>0</v>
      </c>
      <c r="BJ234" s="31">
        <v>0</v>
      </c>
      <c r="BK234" s="12">
        <v>0</v>
      </c>
      <c r="BL234" s="12">
        <v>0</v>
      </c>
      <c r="BM234" s="12">
        <v>0</v>
      </c>
      <c r="BN234" s="12"/>
      <c r="BO234" s="12">
        <v>0</v>
      </c>
      <c r="BP234" s="12">
        <v>0</v>
      </c>
      <c r="BQ234" s="12">
        <v>0</v>
      </c>
      <c r="BR234" s="12">
        <v>0</v>
      </c>
      <c r="BS234" s="12">
        <v>0</v>
      </c>
      <c r="BT234" s="12">
        <v>0</v>
      </c>
      <c r="BU234" s="12">
        <v>0</v>
      </c>
      <c r="BV234" s="12">
        <v>0</v>
      </c>
      <c r="BW234" s="12">
        <v>0</v>
      </c>
      <c r="BX234" s="12">
        <v>0</v>
      </c>
      <c r="BY234" s="12">
        <v>0</v>
      </c>
      <c r="BZ234" s="12">
        <v>0</v>
      </c>
      <c r="CA234" s="12">
        <v>0</v>
      </c>
    </row>
    <row r="235" spans="1:79" ht="16.5" hidden="1" x14ac:dyDescent="0.2">
      <c r="A235" s="12" t="s">
        <v>135</v>
      </c>
      <c r="B235" s="12" t="s">
        <v>136</v>
      </c>
      <c r="C235" s="12" t="s">
        <v>136</v>
      </c>
      <c r="D235" s="22" t="s">
        <v>1263</v>
      </c>
      <c r="E235" s="22" t="s">
        <v>149</v>
      </c>
      <c r="F235" s="22" t="s">
        <v>962</v>
      </c>
      <c r="G235" s="22" t="s">
        <v>963</v>
      </c>
      <c r="H235" s="22" t="s">
        <v>150</v>
      </c>
      <c r="I235" s="22" t="s">
        <v>151</v>
      </c>
      <c r="J235" s="22" t="s">
        <v>152</v>
      </c>
      <c r="K235" s="22" t="s">
        <v>92</v>
      </c>
      <c r="L235" s="54" t="s">
        <v>153</v>
      </c>
      <c r="M235" s="24" t="s">
        <v>156</v>
      </c>
      <c r="N235" s="24" t="s">
        <v>153</v>
      </c>
      <c r="O235" s="34" t="s">
        <v>489</v>
      </c>
      <c r="P235" s="23" t="s">
        <v>489</v>
      </c>
      <c r="Q235" s="23" t="s">
        <v>489</v>
      </c>
      <c r="R235" s="23" t="s">
        <v>489</v>
      </c>
      <c r="S235" s="23" t="s">
        <v>490</v>
      </c>
      <c r="T235" s="23" t="s">
        <v>490</v>
      </c>
      <c r="U235" s="24" t="s">
        <v>153</v>
      </c>
      <c r="V235" s="54" t="s">
        <v>153</v>
      </c>
      <c r="W235" s="26" t="s">
        <v>1264</v>
      </c>
      <c r="X235" s="26" t="s">
        <v>155</v>
      </c>
      <c r="Y235" s="23" t="s">
        <v>155</v>
      </c>
      <c r="Z235" s="25" t="s">
        <v>1265</v>
      </c>
      <c r="AA235" s="24" t="s">
        <v>156</v>
      </c>
      <c r="AB235" s="24" t="s">
        <v>153</v>
      </c>
      <c r="AC235" s="34" t="s">
        <v>492</v>
      </c>
      <c r="AD235" s="23" t="s">
        <v>492</v>
      </c>
      <c r="AE235" s="23" t="s">
        <v>491</v>
      </c>
      <c r="AF235" s="26" t="s">
        <v>1264</v>
      </c>
      <c r="AG235" s="26" t="s">
        <v>1264</v>
      </c>
      <c r="AH235" s="29" t="s">
        <v>163</v>
      </c>
      <c r="AI235" s="24" t="s">
        <v>153</v>
      </c>
      <c r="AJ235" s="29" t="s">
        <v>163</v>
      </c>
      <c r="AK235" s="35" t="s">
        <v>170</v>
      </c>
      <c r="AL235" s="35" t="s">
        <v>170</v>
      </c>
      <c r="AM235" s="35" t="s">
        <v>170</v>
      </c>
      <c r="AN235" s="35" t="s">
        <v>170</v>
      </c>
      <c r="AO235" s="24" t="s">
        <v>156</v>
      </c>
      <c r="AP235" s="23">
        <f>VALUE(0)</f>
        <v>0</v>
      </c>
      <c r="AQ235" s="23">
        <f>VALUE(0)</f>
        <v>0</v>
      </c>
      <c r="AR235" s="23">
        <f>VALUE(2)</f>
        <v>2</v>
      </c>
      <c r="AS235" s="23">
        <f>VALUE(0)</f>
        <v>0</v>
      </c>
      <c r="AT235" s="23">
        <f>VALUE(0)</f>
        <v>0</v>
      </c>
      <c r="AU235" s="23">
        <f>VALUE(0)</f>
        <v>0</v>
      </c>
      <c r="AV235" s="23">
        <f>VALUE(19)</f>
        <v>19</v>
      </c>
      <c r="AW235" s="23">
        <f>VALUE(0)</f>
        <v>0</v>
      </c>
      <c r="AX235" s="23" t="s">
        <v>171</v>
      </c>
      <c r="AY235" s="23" t="s">
        <v>292</v>
      </c>
      <c r="AZ235" s="23">
        <f>VALUE(0)</f>
        <v>0</v>
      </c>
      <c r="BA235" s="23">
        <f>VALUE(0)</f>
        <v>0</v>
      </c>
      <c r="BB235" s="23">
        <f>VALUE(0)</f>
        <v>0</v>
      </c>
      <c r="BC235" s="23">
        <f>VALUE(0)</f>
        <v>0</v>
      </c>
      <c r="BD235" s="23">
        <f>VALUE(2)</f>
        <v>2</v>
      </c>
      <c r="BE235" s="23">
        <f>VALUE(5)</f>
        <v>5</v>
      </c>
      <c r="BF235" s="23">
        <f>VALUE(0)</f>
        <v>0</v>
      </c>
      <c r="BG235" s="23">
        <f>VALUE(0)</f>
        <v>0</v>
      </c>
      <c r="BH235" s="23">
        <f>VALUE(0)</f>
        <v>0</v>
      </c>
      <c r="BI235" s="23">
        <f>VALUE(0)</f>
        <v>0</v>
      </c>
      <c r="BJ235" s="23">
        <f>VALUE(0)</f>
        <v>0</v>
      </c>
      <c r="BK235" s="12">
        <f>$AX$235*24</f>
        <v>5.833333333333333</v>
      </c>
      <c r="BL235" s="12">
        <f>$AY$235*24</f>
        <v>3.6499999999999995</v>
      </c>
      <c r="BM235" s="12">
        <f>$BJ$235*24</f>
        <v>0</v>
      </c>
      <c r="BN235" s="12">
        <f>VALUE($I$235)/100</f>
        <v>1</v>
      </c>
      <c r="BO235" s="12">
        <v>0</v>
      </c>
      <c r="BP235" s="12">
        <v>0</v>
      </c>
      <c r="BQ235" s="12">
        <v>0</v>
      </c>
      <c r="BR235" s="12">
        <v>1</v>
      </c>
      <c r="BS235" s="12">
        <v>0</v>
      </c>
      <c r="BT235" s="12">
        <v>2</v>
      </c>
      <c r="BU235" s="12">
        <v>0</v>
      </c>
      <c r="BV235" s="12">
        <v>0</v>
      </c>
      <c r="BW235" s="12">
        <v>0</v>
      </c>
      <c r="BX235" s="12">
        <v>0</v>
      </c>
      <c r="BY235" s="12">
        <v>0</v>
      </c>
      <c r="BZ235" s="12">
        <v>0</v>
      </c>
      <c r="CA235" s="12">
        <v>0</v>
      </c>
    </row>
    <row r="236" spans="1:79" x14ac:dyDescent="0.2">
      <c r="A236" s="12" t="s">
        <v>135</v>
      </c>
      <c r="B236" s="12" t="s">
        <v>136</v>
      </c>
      <c r="C236" s="12" t="s">
        <v>136</v>
      </c>
      <c r="D236" s="22" t="s">
        <v>494</v>
      </c>
      <c r="E236" s="22" t="s">
        <v>161</v>
      </c>
      <c r="F236" s="22" t="s">
        <v>964</v>
      </c>
      <c r="G236" s="22" t="s">
        <v>965</v>
      </c>
      <c r="H236" s="22" t="s">
        <v>150</v>
      </c>
      <c r="I236" s="22" t="s">
        <v>151</v>
      </c>
      <c r="J236" s="22" t="s">
        <v>162</v>
      </c>
      <c r="K236" s="22" t="s">
        <v>92</v>
      </c>
      <c r="L236" s="54" t="s">
        <v>153</v>
      </c>
      <c r="M236" s="23" t="s">
        <v>153</v>
      </c>
      <c r="N236" s="24" t="s">
        <v>153</v>
      </c>
      <c r="O236" s="23" t="s">
        <v>153</v>
      </c>
      <c r="P236" s="23" t="s">
        <v>153</v>
      </c>
      <c r="Q236" s="23" t="s">
        <v>153</v>
      </c>
      <c r="R236" s="23" t="s">
        <v>153</v>
      </c>
      <c r="S236" s="23" t="s">
        <v>153</v>
      </c>
      <c r="T236" s="23" t="s">
        <v>153</v>
      </c>
      <c r="U236" s="24" t="s">
        <v>153</v>
      </c>
      <c r="V236" s="54" t="s">
        <v>153</v>
      </c>
      <c r="W236" s="28" t="s">
        <v>338</v>
      </c>
      <c r="X236" s="28" t="s">
        <v>338</v>
      </c>
      <c r="Y236" s="28" t="s">
        <v>338</v>
      </c>
      <c r="Z236" s="28" t="s">
        <v>338</v>
      </c>
      <c r="AA236" s="28" t="s">
        <v>338</v>
      </c>
      <c r="AB236" s="24" t="s">
        <v>153</v>
      </c>
      <c r="AC236" s="23" t="s">
        <v>153</v>
      </c>
      <c r="AD236" s="23" t="s">
        <v>153</v>
      </c>
      <c r="AE236" s="23" t="s">
        <v>153</v>
      </c>
      <c r="AF236" s="23" t="s">
        <v>153</v>
      </c>
      <c r="AG236" s="24" t="s">
        <v>156</v>
      </c>
      <c r="AH236" s="24" t="s">
        <v>156</v>
      </c>
      <c r="AI236" s="24" t="s">
        <v>153</v>
      </c>
      <c r="AJ236" s="23" t="s">
        <v>153</v>
      </c>
      <c r="AK236" s="23" t="s">
        <v>153</v>
      </c>
      <c r="AL236" s="23" t="s">
        <v>153</v>
      </c>
      <c r="AM236" s="23" t="s">
        <v>153</v>
      </c>
      <c r="AN236" s="23" t="s">
        <v>153</v>
      </c>
      <c r="AO236" s="23" t="s">
        <v>153</v>
      </c>
      <c r="AP236" s="23">
        <f>VALUE(0)</f>
        <v>0</v>
      </c>
      <c r="AQ236" s="23">
        <f>VALUE(0)</f>
        <v>0</v>
      </c>
      <c r="AR236" s="23">
        <f>VALUE(0)</f>
        <v>0</v>
      </c>
      <c r="AS236" s="23">
        <f>VALUE(0)</f>
        <v>0</v>
      </c>
      <c r="AT236" s="23">
        <f>VALUE(5)</f>
        <v>5</v>
      </c>
      <c r="AU236" s="23">
        <f>VALUE(0)</f>
        <v>0</v>
      </c>
      <c r="AV236" s="23">
        <f>VALUE(8)</f>
        <v>8</v>
      </c>
      <c r="AW236" s="23">
        <f>VALUE(0)</f>
        <v>0</v>
      </c>
      <c r="AX236" s="23" t="s">
        <v>171</v>
      </c>
      <c r="AY236" s="23" t="s">
        <v>424</v>
      </c>
      <c r="AZ236" s="23">
        <f>VALUE(0)</f>
        <v>0</v>
      </c>
      <c r="BA236" s="23">
        <f>VALUE(0)</f>
        <v>0</v>
      </c>
      <c r="BB236" s="23">
        <f>VALUE(0)</f>
        <v>0</v>
      </c>
      <c r="BC236" s="23">
        <f>VALUE(0)</f>
        <v>0</v>
      </c>
      <c r="BD236" s="23">
        <f>VALUE(0)</f>
        <v>0</v>
      </c>
      <c r="BE236" s="23">
        <f>VALUE(0)</f>
        <v>0</v>
      </c>
      <c r="BF236" s="23">
        <f>VALUE(0)</f>
        <v>0</v>
      </c>
      <c r="BG236" s="23">
        <f>VALUE(0)</f>
        <v>0</v>
      </c>
      <c r="BH236" s="23">
        <f>VALUE(0)</f>
        <v>0</v>
      </c>
      <c r="BI236" s="23">
        <f>VALUE(0)</f>
        <v>0</v>
      </c>
      <c r="BJ236" s="23">
        <f>VALUE(0)</f>
        <v>0</v>
      </c>
      <c r="BK236" s="12">
        <f>$AX$236*24</f>
        <v>5.833333333333333</v>
      </c>
      <c r="BL236" s="12">
        <f>$AY$236*24</f>
        <v>2.4666666666666668</v>
      </c>
      <c r="BM236" s="12">
        <f>$BJ$236*24</f>
        <v>0</v>
      </c>
      <c r="BN236" s="12">
        <f>VALUE($I$236)/100</f>
        <v>1</v>
      </c>
      <c r="BO236" s="12">
        <v>0</v>
      </c>
      <c r="BP236" s="12">
        <v>0</v>
      </c>
      <c r="BQ236" s="12">
        <v>0</v>
      </c>
      <c r="BR236" s="12">
        <v>0</v>
      </c>
      <c r="BS236" s="12">
        <v>0</v>
      </c>
      <c r="BT236" s="12">
        <v>0</v>
      </c>
      <c r="BU236" s="12">
        <v>0</v>
      </c>
      <c r="BV236" s="12">
        <v>0</v>
      </c>
      <c r="BW236" s="12">
        <v>0</v>
      </c>
      <c r="BX236" s="12">
        <v>0</v>
      </c>
      <c r="BY236" s="12">
        <v>5</v>
      </c>
      <c r="BZ236" s="12">
        <v>0</v>
      </c>
      <c r="CA236" s="12">
        <v>0</v>
      </c>
    </row>
    <row r="237" spans="1:79" hidden="1" x14ac:dyDescent="0.2">
      <c r="A237" s="12" t="s">
        <v>135</v>
      </c>
      <c r="B237" s="12" t="s">
        <v>136</v>
      </c>
      <c r="C237" s="12" t="s">
        <v>136</v>
      </c>
      <c r="D237" s="22" t="s">
        <v>495</v>
      </c>
      <c r="E237" s="22" t="s">
        <v>161</v>
      </c>
      <c r="F237" s="22" t="s">
        <v>966</v>
      </c>
      <c r="G237" s="22" t="s">
        <v>967</v>
      </c>
      <c r="H237" s="22" t="s">
        <v>150</v>
      </c>
      <c r="I237" s="22" t="s">
        <v>151</v>
      </c>
      <c r="J237" s="22" t="s">
        <v>162</v>
      </c>
      <c r="K237" s="22" t="s">
        <v>92</v>
      </c>
      <c r="L237" s="54" t="s">
        <v>153</v>
      </c>
      <c r="M237" s="23" t="s">
        <v>153</v>
      </c>
      <c r="N237" s="24" t="s">
        <v>153</v>
      </c>
      <c r="O237" s="23" t="s">
        <v>153</v>
      </c>
      <c r="P237" s="23" t="s">
        <v>153</v>
      </c>
      <c r="Q237" s="23" t="s">
        <v>153</v>
      </c>
      <c r="R237" s="23" t="s">
        <v>153</v>
      </c>
      <c r="S237" s="23" t="s">
        <v>153</v>
      </c>
      <c r="T237" s="23" t="s">
        <v>153</v>
      </c>
      <c r="U237" s="24" t="s">
        <v>153</v>
      </c>
      <c r="V237" s="54" t="s">
        <v>156</v>
      </c>
      <c r="W237" s="24" t="s">
        <v>156</v>
      </c>
      <c r="X237" s="23" t="s">
        <v>153</v>
      </c>
      <c r="Y237" s="23" t="s">
        <v>153</v>
      </c>
      <c r="Z237" s="23" t="s">
        <v>153</v>
      </c>
      <c r="AA237" s="23" t="s">
        <v>153</v>
      </c>
      <c r="AB237" s="24" t="s">
        <v>153</v>
      </c>
      <c r="AC237" s="23" t="s">
        <v>153</v>
      </c>
      <c r="AD237" s="23" t="s">
        <v>153</v>
      </c>
      <c r="AE237" s="23" t="s">
        <v>153</v>
      </c>
      <c r="AF237" s="23" t="s">
        <v>153</v>
      </c>
      <c r="AG237" s="23" t="s">
        <v>153</v>
      </c>
      <c r="AH237" s="23" t="s">
        <v>153</v>
      </c>
      <c r="AI237" s="24" t="s">
        <v>153</v>
      </c>
      <c r="AJ237" s="23" t="s">
        <v>153</v>
      </c>
      <c r="AK237" s="23" t="s">
        <v>153</v>
      </c>
      <c r="AL237" s="23" t="s">
        <v>153</v>
      </c>
      <c r="AM237" s="23" t="s">
        <v>153</v>
      </c>
      <c r="AN237" s="23" t="s">
        <v>153</v>
      </c>
      <c r="AO237" s="23" t="s">
        <v>153</v>
      </c>
      <c r="AP237" s="23">
        <f>VALUE(0)</f>
        <v>0</v>
      </c>
      <c r="AQ237" s="23">
        <f>VALUE(0)</f>
        <v>0</v>
      </c>
      <c r="AR237" s="23">
        <f>VALUE(0)</f>
        <v>0</v>
      </c>
      <c r="AS237" s="23">
        <f>VALUE(0)</f>
        <v>0</v>
      </c>
      <c r="AT237" s="23">
        <f>VALUE(0)</f>
        <v>0</v>
      </c>
      <c r="AU237" s="23">
        <f>VALUE(0)</f>
        <v>0</v>
      </c>
      <c r="AV237" s="23">
        <f>VALUE(11)</f>
        <v>11</v>
      </c>
      <c r="AW237" s="23">
        <f>VALUE(0)</f>
        <v>0</v>
      </c>
      <c r="AX237" s="23" t="s">
        <v>158</v>
      </c>
      <c r="AY237" s="23" t="s">
        <v>496</v>
      </c>
      <c r="AZ237" s="23">
        <f>VALUE(0)</f>
        <v>0</v>
      </c>
      <c r="BA237" s="23">
        <f>VALUE(0)</f>
        <v>0</v>
      </c>
      <c r="BB237" s="23">
        <f>VALUE(0)</f>
        <v>0</v>
      </c>
      <c r="BC237" s="23">
        <f>VALUE(0)</f>
        <v>0</v>
      </c>
      <c r="BD237" s="23">
        <f>VALUE(0)</f>
        <v>0</v>
      </c>
      <c r="BE237" s="23">
        <f>VALUE(0)</f>
        <v>0</v>
      </c>
      <c r="BF237" s="23">
        <f>VALUE(0)</f>
        <v>0</v>
      </c>
      <c r="BG237" s="23">
        <f>VALUE(0)</f>
        <v>0</v>
      </c>
      <c r="BH237" s="23">
        <f>VALUE(0)</f>
        <v>0</v>
      </c>
      <c r="BI237" s="23">
        <f>VALUE(0)</f>
        <v>0</v>
      </c>
      <c r="BJ237" s="23">
        <f>VALUE(0)</f>
        <v>0</v>
      </c>
      <c r="BK237" s="12">
        <f>$AX$237*24</f>
        <v>11.666666666666666</v>
      </c>
      <c r="BL237" s="12">
        <f>$AY$237*24</f>
        <v>0.71666666666666667</v>
      </c>
      <c r="BM237" s="12">
        <f>$BJ$237*24</f>
        <v>0</v>
      </c>
      <c r="BN237" s="12">
        <f>VALUE($I$237)/100</f>
        <v>1</v>
      </c>
      <c r="BO237" s="12">
        <v>0</v>
      </c>
      <c r="BP237" s="12">
        <v>0</v>
      </c>
      <c r="BQ237" s="12">
        <v>0</v>
      </c>
      <c r="BR237" s="12">
        <v>0</v>
      </c>
      <c r="BS237" s="12">
        <v>0</v>
      </c>
      <c r="BT237" s="12">
        <v>0</v>
      </c>
      <c r="BU237" s="12">
        <v>0</v>
      </c>
      <c r="BV237" s="12">
        <v>0</v>
      </c>
      <c r="BW237" s="12">
        <v>0</v>
      </c>
      <c r="BX237" s="12">
        <v>0</v>
      </c>
      <c r="BY237" s="12">
        <v>0</v>
      </c>
      <c r="BZ237" s="12">
        <v>0</v>
      </c>
      <c r="CA237" s="12">
        <v>0</v>
      </c>
    </row>
    <row r="238" spans="1:79" x14ac:dyDescent="0.2">
      <c r="A238" s="12" t="s">
        <v>135</v>
      </c>
      <c r="B238" s="12" t="s">
        <v>136</v>
      </c>
      <c r="C238" s="12" t="s">
        <v>136</v>
      </c>
      <c r="D238" s="22" t="s">
        <v>497</v>
      </c>
      <c r="E238" s="22" t="s">
        <v>161</v>
      </c>
      <c r="F238" s="22" t="s">
        <v>968</v>
      </c>
      <c r="G238" s="22" t="s">
        <v>969</v>
      </c>
      <c r="H238" s="22" t="s">
        <v>150</v>
      </c>
      <c r="I238" s="22" t="s">
        <v>151</v>
      </c>
      <c r="J238" s="22" t="s">
        <v>162</v>
      </c>
      <c r="K238" s="22" t="s">
        <v>92</v>
      </c>
      <c r="L238" s="28" t="s">
        <v>338</v>
      </c>
      <c r="M238" s="28" t="s">
        <v>338</v>
      </c>
      <c r="N238" s="24" t="s">
        <v>153</v>
      </c>
      <c r="O238" s="23" t="s">
        <v>153</v>
      </c>
      <c r="P238" s="23" t="s">
        <v>153</v>
      </c>
      <c r="Q238" s="23" t="s">
        <v>153</v>
      </c>
      <c r="R238" s="23" t="s">
        <v>153</v>
      </c>
      <c r="S238" s="23" t="s">
        <v>153</v>
      </c>
      <c r="T238" s="23" t="s">
        <v>153</v>
      </c>
      <c r="U238" s="24" t="s">
        <v>153</v>
      </c>
      <c r="V238" s="54" t="s">
        <v>153</v>
      </c>
      <c r="W238" s="23" t="s">
        <v>153</v>
      </c>
      <c r="X238" s="23" t="s">
        <v>153</v>
      </c>
      <c r="Y238" s="23" t="s">
        <v>153</v>
      </c>
      <c r="Z238" s="23" t="s">
        <v>153</v>
      </c>
      <c r="AA238" s="23" t="s">
        <v>153</v>
      </c>
      <c r="AB238" s="24" t="s">
        <v>153</v>
      </c>
      <c r="AC238" s="23" t="s">
        <v>153</v>
      </c>
      <c r="AD238" s="23" t="s">
        <v>153</v>
      </c>
      <c r="AE238" s="23" t="s">
        <v>153</v>
      </c>
      <c r="AF238" s="23" t="s">
        <v>153</v>
      </c>
      <c r="AG238" s="23" t="s">
        <v>153</v>
      </c>
      <c r="AH238" s="23" t="s">
        <v>153</v>
      </c>
      <c r="AI238" s="24" t="s">
        <v>153</v>
      </c>
      <c r="AJ238" s="23" t="s">
        <v>153</v>
      </c>
      <c r="AK238" s="23" t="s">
        <v>153</v>
      </c>
      <c r="AL238" s="24" t="s">
        <v>156</v>
      </c>
      <c r="AM238" s="24" t="s">
        <v>156</v>
      </c>
      <c r="AN238" s="23" t="s">
        <v>153</v>
      </c>
      <c r="AO238" s="23" t="s">
        <v>153</v>
      </c>
      <c r="AP238" s="23">
        <f>VALUE(0)</f>
        <v>0</v>
      </c>
      <c r="AQ238" s="23">
        <f>VALUE(0)</f>
        <v>0</v>
      </c>
      <c r="AR238" s="23">
        <f>VALUE(0)</f>
        <v>0</v>
      </c>
      <c r="AS238" s="23">
        <f>VALUE(0)</f>
        <v>0</v>
      </c>
      <c r="AT238" s="23">
        <f>VALUE(2)</f>
        <v>2</v>
      </c>
      <c r="AU238" s="23">
        <f>VALUE(0)</f>
        <v>0</v>
      </c>
      <c r="AV238" s="23">
        <f>VALUE(6)</f>
        <v>6</v>
      </c>
      <c r="AW238" s="23">
        <f>VALUE(0)</f>
        <v>0</v>
      </c>
      <c r="AX238" s="23" t="s">
        <v>176</v>
      </c>
      <c r="AY238" s="23" t="s">
        <v>432</v>
      </c>
      <c r="AZ238" s="23">
        <f>VALUE(0)</f>
        <v>0</v>
      </c>
      <c r="BA238" s="23">
        <f>VALUE(0)</f>
        <v>0</v>
      </c>
      <c r="BB238" s="23">
        <f>VALUE(0)</f>
        <v>0</v>
      </c>
      <c r="BC238" s="23">
        <f>VALUE(0)</f>
        <v>0</v>
      </c>
      <c r="BD238" s="23">
        <f>VALUE(0)</f>
        <v>0</v>
      </c>
      <c r="BE238" s="23">
        <f>VALUE(0)</f>
        <v>0</v>
      </c>
      <c r="BF238" s="23">
        <f>VALUE(0)</f>
        <v>0</v>
      </c>
      <c r="BG238" s="23">
        <f>VALUE(0)</f>
        <v>0</v>
      </c>
      <c r="BH238" s="23">
        <f>VALUE(0)</f>
        <v>0</v>
      </c>
      <c r="BI238" s="23">
        <f>VALUE(0)</f>
        <v>0</v>
      </c>
      <c r="BJ238" s="23">
        <f>VALUE(0)</f>
        <v>0</v>
      </c>
      <c r="BK238" s="12">
        <f>$AX$238*24</f>
        <v>0</v>
      </c>
      <c r="BL238" s="12">
        <f>$AY$238*24</f>
        <v>3</v>
      </c>
      <c r="BM238" s="12">
        <f>$BJ$238*24</f>
        <v>0</v>
      </c>
      <c r="BN238" s="12">
        <f>VALUE($I$238)/100</f>
        <v>1</v>
      </c>
      <c r="BO238" s="12">
        <v>0</v>
      </c>
      <c r="BP238" s="12">
        <v>0</v>
      </c>
      <c r="BQ238" s="12">
        <v>0</v>
      </c>
      <c r="BR238" s="12">
        <v>0</v>
      </c>
      <c r="BS238" s="12">
        <v>0</v>
      </c>
      <c r="BT238" s="12">
        <v>0</v>
      </c>
      <c r="BU238" s="12">
        <v>0</v>
      </c>
      <c r="BV238" s="12">
        <v>0</v>
      </c>
      <c r="BW238" s="12">
        <v>0</v>
      </c>
      <c r="BX238" s="12">
        <v>0</v>
      </c>
      <c r="BY238" s="12">
        <v>2</v>
      </c>
      <c r="BZ238" s="12">
        <v>0</v>
      </c>
      <c r="CA238" s="12">
        <v>0</v>
      </c>
    </row>
    <row r="239" spans="1:79" hidden="1" x14ac:dyDescent="0.2">
      <c r="A239" s="12" t="s">
        <v>135</v>
      </c>
      <c r="B239" s="12" t="s">
        <v>136</v>
      </c>
      <c r="C239" s="12" t="s">
        <v>136</v>
      </c>
      <c r="D239" s="22" t="s">
        <v>491</v>
      </c>
      <c r="E239" s="22" t="s">
        <v>161</v>
      </c>
      <c r="F239" s="22" t="s">
        <v>970</v>
      </c>
      <c r="G239" s="22" t="s">
        <v>971</v>
      </c>
      <c r="H239" s="22" t="s">
        <v>150</v>
      </c>
      <c r="I239" s="22" t="s">
        <v>151</v>
      </c>
      <c r="J239" s="22" t="s">
        <v>162</v>
      </c>
      <c r="K239" s="22" t="s">
        <v>92</v>
      </c>
      <c r="L239" s="54" t="s">
        <v>153</v>
      </c>
      <c r="M239" s="23" t="s">
        <v>153</v>
      </c>
      <c r="N239" s="24" t="s">
        <v>153</v>
      </c>
      <c r="O239" s="29" t="s">
        <v>163</v>
      </c>
      <c r="P239" s="29" t="s">
        <v>163</v>
      </c>
      <c r="Q239" s="29" t="s">
        <v>163</v>
      </c>
      <c r="R239" s="29" t="s">
        <v>163</v>
      </c>
      <c r="S239" s="29" t="s">
        <v>163</v>
      </c>
      <c r="T239" s="29" t="s">
        <v>163</v>
      </c>
      <c r="U239" s="24" t="s">
        <v>153</v>
      </c>
      <c r="V239" s="54" t="s">
        <v>153</v>
      </c>
      <c r="W239" s="23" t="s">
        <v>153</v>
      </c>
      <c r="X239" s="23" t="s">
        <v>153</v>
      </c>
      <c r="Y239" s="23" t="s">
        <v>153</v>
      </c>
      <c r="Z239" s="23" t="s">
        <v>153</v>
      </c>
      <c r="AA239" s="23" t="s">
        <v>153</v>
      </c>
      <c r="AB239" s="24" t="s">
        <v>153</v>
      </c>
      <c r="AC239" s="23" t="s">
        <v>153</v>
      </c>
      <c r="AD239" s="23" t="s">
        <v>153</v>
      </c>
      <c r="AE239" s="24" t="s">
        <v>156</v>
      </c>
      <c r="AF239" s="24" t="s">
        <v>156</v>
      </c>
      <c r="AG239" s="23" t="s">
        <v>153</v>
      </c>
      <c r="AH239" s="23" t="s">
        <v>153</v>
      </c>
      <c r="AI239" s="24" t="s">
        <v>153</v>
      </c>
      <c r="AJ239" s="23" t="s">
        <v>153</v>
      </c>
      <c r="AK239" s="23" t="s">
        <v>153</v>
      </c>
      <c r="AL239" s="23" t="s">
        <v>153</v>
      </c>
      <c r="AM239" s="23" t="s">
        <v>153</v>
      </c>
      <c r="AN239" s="23" t="s">
        <v>153</v>
      </c>
      <c r="AO239" s="23" t="s">
        <v>153</v>
      </c>
      <c r="AP239" s="23">
        <f>VALUE(0)</f>
        <v>0</v>
      </c>
      <c r="AQ239" s="23">
        <f>VALUE(0)</f>
        <v>0</v>
      </c>
      <c r="AR239" s="23">
        <f>VALUE(6)</f>
        <v>6</v>
      </c>
      <c r="AS239" s="23">
        <f>VALUE(0)</f>
        <v>0</v>
      </c>
      <c r="AT239" s="23">
        <f>VALUE(0)</f>
        <v>0</v>
      </c>
      <c r="AU239" s="23">
        <f>VALUE(0)</f>
        <v>0</v>
      </c>
      <c r="AV239" s="23">
        <f>VALUE(11)</f>
        <v>11</v>
      </c>
      <c r="AW239" s="23">
        <f>VALUE(0)</f>
        <v>0</v>
      </c>
      <c r="AX239" s="23" t="s">
        <v>261</v>
      </c>
      <c r="AY239" s="23" t="s">
        <v>1266</v>
      </c>
      <c r="AZ239" s="23">
        <f>VALUE(0)</f>
        <v>0</v>
      </c>
      <c r="BA239" s="23">
        <f>VALUE(0)</f>
        <v>0</v>
      </c>
      <c r="BB239" s="23">
        <f>VALUE(0)</f>
        <v>0</v>
      </c>
      <c r="BC239" s="23">
        <f>VALUE(0)</f>
        <v>0</v>
      </c>
      <c r="BD239" s="23">
        <f>VALUE(0)</f>
        <v>0</v>
      </c>
      <c r="BE239" s="23">
        <f>VALUE(0)</f>
        <v>0</v>
      </c>
      <c r="BF239" s="23">
        <f>VALUE(0)</f>
        <v>0</v>
      </c>
      <c r="BG239" s="23">
        <f>VALUE(0)</f>
        <v>0</v>
      </c>
      <c r="BH239" s="23">
        <f>VALUE(0)</f>
        <v>0</v>
      </c>
      <c r="BI239" s="23">
        <f>VALUE(0)</f>
        <v>0</v>
      </c>
      <c r="BJ239" s="23">
        <f>VALUE(0)</f>
        <v>0</v>
      </c>
      <c r="BK239" s="12">
        <f>$AX$239*24</f>
        <v>23.333333333333332</v>
      </c>
      <c r="BL239" s="12">
        <f>$AY$239*24</f>
        <v>38.450000000000003</v>
      </c>
      <c r="BM239" s="12">
        <f>$BJ$239*24</f>
        <v>0</v>
      </c>
      <c r="BN239" s="12">
        <f>VALUE($I$239)/100</f>
        <v>1</v>
      </c>
      <c r="BO239" s="12">
        <v>0</v>
      </c>
      <c r="BP239" s="12">
        <v>0</v>
      </c>
      <c r="BQ239" s="12">
        <v>0</v>
      </c>
      <c r="BR239" s="12">
        <v>0</v>
      </c>
      <c r="BS239" s="12">
        <v>0</v>
      </c>
      <c r="BT239" s="12">
        <v>6</v>
      </c>
      <c r="BU239" s="12">
        <v>0</v>
      </c>
      <c r="BV239" s="12">
        <v>0</v>
      </c>
      <c r="BW239" s="12">
        <v>0</v>
      </c>
      <c r="BX239" s="12">
        <v>0</v>
      </c>
      <c r="BY239" s="12">
        <v>0</v>
      </c>
      <c r="BZ239" s="12">
        <v>0</v>
      </c>
      <c r="CA239" s="12">
        <v>0</v>
      </c>
    </row>
    <row r="240" spans="1:79" x14ac:dyDescent="0.2">
      <c r="A240" s="12" t="s">
        <v>135</v>
      </c>
      <c r="B240" s="12" t="s">
        <v>136</v>
      </c>
      <c r="C240" s="12" t="s">
        <v>136</v>
      </c>
      <c r="D240" s="22" t="s">
        <v>498</v>
      </c>
      <c r="E240" s="22" t="s">
        <v>161</v>
      </c>
      <c r="F240" s="22" t="s">
        <v>972</v>
      </c>
      <c r="G240" s="22" t="s">
        <v>973</v>
      </c>
      <c r="H240" s="22" t="s">
        <v>150</v>
      </c>
      <c r="I240" s="22" t="s">
        <v>151</v>
      </c>
      <c r="J240" s="22" t="s">
        <v>162</v>
      </c>
      <c r="K240" s="22" t="s">
        <v>92</v>
      </c>
      <c r="L240" s="54" t="s">
        <v>153</v>
      </c>
      <c r="M240" s="23" t="s">
        <v>153</v>
      </c>
      <c r="N240" s="24" t="s">
        <v>153</v>
      </c>
      <c r="O240" s="23" t="s">
        <v>153</v>
      </c>
      <c r="P240" s="23" t="s">
        <v>153</v>
      </c>
      <c r="Q240" s="23" t="s">
        <v>153</v>
      </c>
      <c r="R240" s="23" t="s">
        <v>153</v>
      </c>
      <c r="S240" s="23" t="s">
        <v>153</v>
      </c>
      <c r="T240" s="23" t="s">
        <v>153</v>
      </c>
      <c r="U240" s="24" t="s">
        <v>153</v>
      </c>
      <c r="V240" s="54" t="s">
        <v>153</v>
      </c>
      <c r="W240" s="23" t="s">
        <v>153</v>
      </c>
      <c r="X240" s="23" t="s">
        <v>153</v>
      </c>
      <c r="Y240" s="23" t="s">
        <v>153</v>
      </c>
      <c r="Z240" s="24" t="s">
        <v>156</v>
      </c>
      <c r="AA240" s="24" t="s">
        <v>156</v>
      </c>
      <c r="AB240" s="24" t="s">
        <v>153</v>
      </c>
      <c r="AC240" s="28" t="s">
        <v>338</v>
      </c>
      <c r="AD240" s="28" t="s">
        <v>338</v>
      </c>
      <c r="AE240" s="28" t="s">
        <v>338</v>
      </c>
      <c r="AF240" s="23" t="s">
        <v>153</v>
      </c>
      <c r="AG240" s="23" t="s">
        <v>153</v>
      </c>
      <c r="AH240" s="23" t="s">
        <v>153</v>
      </c>
      <c r="AI240" s="24" t="s">
        <v>153</v>
      </c>
      <c r="AJ240" s="23" t="s">
        <v>153</v>
      </c>
      <c r="AK240" s="23" t="s">
        <v>153</v>
      </c>
      <c r="AL240" s="23" t="s">
        <v>153</v>
      </c>
      <c r="AM240" s="23" t="s">
        <v>153</v>
      </c>
      <c r="AN240" s="23" t="s">
        <v>153</v>
      </c>
      <c r="AO240" s="23" t="s">
        <v>153</v>
      </c>
      <c r="AP240" s="23">
        <f>VALUE(0)</f>
        <v>0</v>
      </c>
      <c r="AQ240" s="23">
        <f>VALUE(0)</f>
        <v>0</v>
      </c>
      <c r="AR240" s="23">
        <f>VALUE(0)</f>
        <v>0</v>
      </c>
      <c r="AS240" s="23">
        <f>VALUE(0)</f>
        <v>0</v>
      </c>
      <c r="AT240" s="23">
        <f>VALUE(3)</f>
        <v>3</v>
      </c>
      <c r="AU240" s="23">
        <f>VALUE(0)</f>
        <v>0</v>
      </c>
      <c r="AV240" s="23">
        <f>VALUE(6)</f>
        <v>6</v>
      </c>
      <c r="AW240" s="23">
        <f>VALUE(0)</f>
        <v>0</v>
      </c>
      <c r="AX240" s="23" t="s">
        <v>176</v>
      </c>
      <c r="AY240" s="23" t="s">
        <v>499</v>
      </c>
      <c r="AZ240" s="23">
        <f>VALUE(0)</f>
        <v>0</v>
      </c>
      <c r="BA240" s="23">
        <f>VALUE(0)</f>
        <v>0</v>
      </c>
      <c r="BB240" s="23">
        <f>VALUE(0)</f>
        <v>0</v>
      </c>
      <c r="BC240" s="23">
        <f>VALUE(0)</f>
        <v>0</v>
      </c>
      <c r="BD240" s="23">
        <f>VALUE(0)</f>
        <v>0</v>
      </c>
      <c r="BE240" s="23">
        <f>VALUE(0)</f>
        <v>0</v>
      </c>
      <c r="BF240" s="23">
        <f>VALUE(0)</f>
        <v>0</v>
      </c>
      <c r="BG240" s="23">
        <f>VALUE(0)</f>
        <v>0</v>
      </c>
      <c r="BH240" s="23">
        <f>VALUE(0)</f>
        <v>0</v>
      </c>
      <c r="BI240" s="23">
        <f>VALUE(0)</f>
        <v>0</v>
      </c>
      <c r="BJ240" s="23">
        <f>VALUE(0)</f>
        <v>0</v>
      </c>
      <c r="BK240" s="12">
        <f>$AX$240*24</f>
        <v>0</v>
      </c>
      <c r="BL240" s="12">
        <f>$AY$240*24</f>
        <v>16.716666666666665</v>
      </c>
      <c r="BM240" s="12">
        <f>$BJ$240*24</f>
        <v>0</v>
      </c>
      <c r="BN240" s="12">
        <f>VALUE($I$240)/100</f>
        <v>1</v>
      </c>
      <c r="BO240" s="12">
        <v>0</v>
      </c>
      <c r="BP240" s="12">
        <v>0</v>
      </c>
      <c r="BQ240" s="12">
        <v>0</v>
      </c>
      <c r="BR240" s="12">
        <v>0</v>
      </c>
      <c r="BS240" s="12">
        <v>0</v>
      </c>
      <c r="BT240" s="12">
        <v>0</v>
      </c>
      <c r="BU240" s="12">
        <v>0</v>
      </c>
      <c r="BV240" s="12">
        <v>0</v>
      </c>
      <c r="BW240" s="12">
        <v>0</v>
      </c>
      <c r="BX240" s="12">
        <v>0</v>
      </c>
      <c r="BY240" s="12">
        <v>3</v>
      </c>
      <c r="BZ240" s="12">
        <v>0</v>
      </c>
      <c r="CA240" s="12">
        <v>0</v>
      </c>
    </row>
    <row r="241" spans="1:79" hidden="1" x14ac:dyDescent="0.2">
      <c r="A241" s="12" t="s">
        <v>135</v>
      </c>
      <c r="B241" s="12" t="s">
        <v>136</v>
      </c>
      <c r="C241" s="12" t="s">
        <v>136</v>
      </c>
      <c r="D241" s="22" t="s">
        <v>500</v>
      </c>
      <c r="E241" s="22" t="s">
        <v>161</v>
      </c>
      <c r="F241" s="22" t="s">
        <v>974</v>
      </c>
      <c r="G241" s="22" t="s">
        <v>975</v>
      </c>
      <c r="H241" s="22" t="s">
        <v>150</v>
      </c>
      <c r="I241" s="22" t="s">
        <v>151</v>
      </c>
      <c r="J241" s="22" t="s">
        <v>162</v>
      </c>
      <c r="K241" s="22" t="s">
        <v>92</v>
      </c>
      <c r="L241" s="54" t="s">
        <v>156</v>
      </c>
      <c r="M241" s="23" t="s">
        <v>153</v>
      </c>
      <c r="N241" s="24" t="s">
        <v>153</v>
      </c>
      <c r="O241" s="23" t="s">
        <v>153</v>
      </c>
      <c r="P241" s="23" t="s">
        <v>153</v>
      </c>
      <c r="Q241" s="23" t="s">
        <v>153</v>
      </c>
      <c r="R241" s="29" t="s">
        <v>163</v>
      </c>
      <c r="S241" s="29" t="s">
        <v>163</v>
      </c>
      <c r="T241" s="29" t="s">
        <v>163</v>
      </c>
      <c r="U241" s="24" t="s">
        <v>153</v>
      </c>
      <c r="V241" s="54" t="s">
        <v>153</v>
      </c>
      <c r="W241" s="29" t="s">
        <v>163</v>
      </c>
      <c r="X241" s="23" t="s">
        <v>153</v>
      </c>
      <c r="Y241" s="23" t="s">
        <v>153</v>
      </c>
      <c r="Z241" s="23" t="s">
        <v>153</v>
      </c>
      <c r="AA241" s="23" t="s">
        <v>153</v>
      </c>
      <c r="AB241" s="24" t="s">
        <v>153</v>
      </c>
      <c r="AC241" s="23" t="s">
        <v>153</v>
      </c>
      <c r="AD241" s="23" t="s">
        <v>153</v>
      </c>
      <c r="AE241" s="23" t="s">
        <v>153</v>
      </c>
      <c r="AF241" s="23" t="s">
        <v>153</v>
      </c>
      <c r="AG241" s="23" t="s">
        <v>153</v>
      </c>
      <c r="AH241" s="23" t="s">
        <v>153</v>
      </c>
      <c r="AI241" s="24" t="s">
        <v>153</v>
      </c>
      <c r="AJ241" s="24" t="s">
        <v>156</v>
      </c>
      <c r="AK241" s="24" t="s">
        <v>156</v>
      </c>
      <c r="AL241" s="23" t="s">
        <v>153</v>
      </c>
      <c r="AM241" s="23" t="s">
        <v>153</v>
      </c>
      <c r="AN241" s="23" t="s">
        <v>153</v>
      </c>
      <c r="AO241" s="23" t="s">
        <v>153</v>
      </c>
      <c r="AP241" s="23">
        <f>VALUE(0)</f>
        <v>0</v>
      </c>
      <c r="AQ241" s="23">
        <f>VALUE(0)</f>
        <v>0</v>
      </c>
      <c r="AR241" s="23">
        <f>VALUE(4)</f>
        <v>4</v>
      </c>
      <c r="AS241" s="23">
        <f>VALUE(0)</f>
        <v>0</v>
      </c>
      <c r="AT241" s="23">
        <f>VALUE(0)</f>
        <v>0</v>
      </c>
      <c r="AU241" s="23">
        <f>VALUE(0)</f>
        <v>0</v>
      </c>
      <c r="AV241" s="23">
        <f>VALUE(10)</f>
        <v>10</v>
      </c>
      <c r="AW241" s="23">
        <f>VALUE(0)</f>
        <v>0</v>
      </c>
      <c r="AX241" s="23" t="s">
        <v>158</v>
      </c>
      <c r="AY241" s="23" t="s">
        <v>352</v>
      </c>
      <c r="AZ241" s="23">
        <f>VALUE(0)</f>
        <v>0</v>
      </c>
      <c r="BA241" s="23">
        <f>VALUE(0)</f>
        <v>0</v>
      </c>
      <c r="BB241" s="23">
        <f>VALUE(0)</f>
        <v>0</v>
      </c>
      <c r="BC241" s="23">
        <f>VALUE(0)</f>
        <v>0</v>
      </c>
      <c r="BD241" s="23">
        <f>VALUE(0)</f>
        <v>0</v>
      </c>
      <c r="BE241" s="23">
        <f>VALUE(0)</f>
        <v>0</v>
      </c>
      <c r="BF241" s="23">
        <f>VALUE(0)</f>
        <v>0</v>
      </c>
      <c r="BG241" s="23">
        <f>VALUE(0)</f>
        <v>0</v>
      </c>
      <c r="BH241" s="23">
        <f>VALUE(0)</f>
        <v>0</v>
      </c>
      <c r="BI241" s="23">
        <f>VALUE(0)</f>
        <v>0</v>
      </c>
      <c r="BJ241" s="23">
        <f>VALUE(0)</f>
        <v>0</v>
      </c>
      <c r="BK241" s="12">
        <f>$AX$241*24</f>
        <v>11.666666666666666</v>
      </c>
      <c r="BL241" s="12">
        <f>$AY$241*24</f>
        <v>12.183333333333334</v>
      </c>
      <c r="BM241" s="12">
        <f>$BJ$241*24</f>
        <v>0</v>
      </c>
      <c r="BN241" s="12">
        <f>VALUE($I$241)/100</f>
        <v>1</v>
      </c>
      <c r="BO241" s="12">
        <v>0</v>
      </c>
      <c r="BP241" s="12">
        <v>0</v>
      </c>
      <c r="BQ241" s="12">
        <v>0</v>
      </c>
      <c r="BR241" s="12">
        <v>0</v>
      </c>
      <c r="BS241" s="12">
        <v>0</v>
      </c>
      <c r="BT241" s="12">
        <v>4</v>
      </c>
      <c r="BU241" s="12">
        <v>0</v>
      </c>
      <c r="BV241" s="12">
        <v>0</v>
      </c>
      <c r="BW241" s="12">
        <v>0</v>
      </c>
      <c r="BX241" s="12">
        <v>0</v>
      </c>
      <c r="BY241" s="12">
        <v>0</v>
      </c>
      <c r="BZ241" s="12">
        <v>0</v>
      </c>
      <c r="CA241" s="12">
        <v>0</v>
      </c>
    </row>
    <row r="242" spans="1:79" hidden="1" x14ac:dyDescent="0.2">
      <c r="A242" s="12" t="s">
        <v>135</v>
      </c>
      <c r="B242" s="12" t="s">
        <v>136</v>
      </c>
      <c r="C242" s="12" t="s">
        <v>136</v>
      </c>
      <c r="D242" s="22" t="s">
        <v>489</v>
      </c>
      <c r="E242" s="22" t="s">
        <v>161</v>
      </c>
      <c r="F242" s="22" t="s">
        <v>976</v>
      </c>
      <c r="G242" s="22" t="s">
        <v>977</v>
      </c>
      <c r="H242" s="22" t="s">
        <v>150</v>
      </c>
      <c r="I242" s="22" t="s">
        <v>151</v>
      </c>
      <c r="J242" s="22" t="s">
        <v>162</v>
      </c>
      <c r="K242" s="22" t="s">
        <v>92</v>
      </c>
      <c r="L242" s="54" t="s">
        <v>153</v>
      </c>
      <c r="M242" s="23" t="s">
        <v>153</v>
      </c>
      <c r="N242" s="24" t="s">
        <v>153</v>
      </c>
      <c r="O242" s="35" t="s">
        <v>170</v>
      </c>
      <c r="P242" s="35" t="s">
        <v>170</v>
      </c>
      <c r="Q242" s="24" t="s">
        <v>156</v>
      </c>
      <c r="R242" s="24" t="s">
        <v>156</v>
      </c>
      <c r="S242" s="23" t="s">
        <v>153</v>
      </c>
      <c r="T242" s="23" t="s">
        <v>153</v>
      </c>
      <c r="U242" s="24" t="s">
        <v>153</v>
      </c>
      <c r="V242" s="54" t="s">
        <v>153</v>
      </c>
      <c r="W242" s="23" t="s">
        <v>153</v>
      </c>
      <c r="X242" s="23" t="s">
        <v>153</v>
      </c>
      <c r="Y242" s="23" t="s">
        <v>153</v>
      </c>
      <c r="Z242" s="23" t="s">
        <v>153</v>
      </c>
      <c r="AA242" s="23" t="s">
        <v>153</v>
      </c>
      <c r="AB242" s="24" t="s">
        <v>153</v>
      </c>
      <c r="AC242" s="23" t="s">
        <v>153</v>
      </c>
      <c r="AD242" s="23" t="s">
        <v>153</v>
      </c>
      <c r="AE242" s="23" t="s">
        <v>153</v>
      </c>
      <c r="AF242" s="23" t="s">
        <v>153</v>
      </c>
      <c r="AG242" s="23" t="s">
        <v>153</v>
      </c>
      <c r="AH242" s="23" t="s">
        <v>153</v>
      </c>
      <c r="AI242" s="24" t="s">
        <v>153</v>
      </c>
      <c r="AJ242" s="23" t="s">
        <v>153</v>
      </c>
      <c r="AK242" s="23" t="s">
        <v>153</v>
      </c>
      <c r="AL242" s="23" t="s">
        <v>153</v>
      </c>
      <c r="AM242" s="23" t="s">
        <v>153</v>
      </c>
      <c r="AN242" s="23" t="s">
        <v>153</v>
      </c>
      <c r="AO242" s="23" t="s">
        <v>153</v>
      </c>
      <c r="AP242" s="23">
        <f>VALUE(0)</f>
        <v>0</v>
      </c>
      <c r="AQ242" s="23">
        <f>VALUE(0)</f>
        <v>0</v>
      </c>
      <c r="AR242" s="23">
        <f>VALUE(0)</f>
        <v>0</v>
      </c>
      <c r="AS242" s="23">
        <f>VALUE(0)</f>
        <v>0</v>
      </c>
      <c r="AT242" s="23">
        <f>VALUE(0)</f>
        <v>0</v>
      </c>
      <c r="AU242" s="23">
        <f>VALUE(0)</f>
        <v>0</v>
      </c>
      <c r="AV242" s="23">
        <f>VALUE(16)</f>
        <v>16</v>
      </c>
      <c r="AW242" s="23">
        <f>VALUE(0)</f>
        <v>0</v>
      </c>
      <c r="AX242" s="23" t="s">
        <v>171</v>
      </c>
      <c r="AY242" s="23" t="s">
        <v>501</v>
      </c>
      <c r="AZ242" s="23">
        <f>VALUE(0)</f>
        <v>0</v>
      </c>
      <c r="BA242" s="23">
        <f>VALUE(0)</f>
        <v>0</v>
      </c>
      <c r="BB242" s="23">
        <f>VALUE(0)</f>
        <v>0</v>
      </c>
      <c r="BC242" s="23">
        <f>VALUE(0)</f>
        <v>0</v>
      </c>
      <c r="BD242" s="23">
        <f>VALUE(0)</f>
        <v>0</v>
      </c>
      <c r="BE242" s="23">
        <f>VALUE(2)</f>
        <v>2</v>
      </c>
      <c r="BF242" s="23">
        <f>VALUE(0)</f>
        <v>0</v>
      </c>
      <c r="BG242" s="23">
        <f>VALUE(0)</f>
        <v>0</v>
      </c>
      <c r="BH242" s="23">
        <f>VALUE(0)</f>
        <v>0</v>
      </c>
      <c r="BI242" s="23">
        <f>VALUE(0)</f>
        <v>0</v>
      </c>
      <c r="BJ242" s="23">
        <f>VALUE(0)</f>
        <v>0</v>
      </c>
      <c r="BK242" s="12">
        <f>$AX$242*24</f>
        <v>5.833333333333333</v>
      </c>
      <c r="BL242" s="12">
        <f>$AY$242*24</f>
        <v>78.533333333333331</v>
      </c>
      <c r="BM242" s="12">
        <f>$BJ$242*24</f>
        <v>0</v>
      </c>
      <c r="BN242" s="12">
        <f>VALUE($I$242)/100</f>
        <v>1</v>
      </c>
      <c r="BO242" s="12">
        <v>0</v>
      </c>
      <c r="BP242" s="12">
        <v>0</v>
      </c>
      <c r="BQ242" s="12">
        <v>0</v>
      </c>
      <c r="BR242" s="12">
        <v>0</v>
      </c>
      <c r="BS242" s="12">
        <v>0</v>
      </c>
      <c r="BT242" s="12">
        <v>0</v>
      </c>
      <c r="BU242" s="12">
        <v>0</v>
      </c>
      <c r="BV242" s="12">
        <v>0</v>
      </c>
      <c r="BW242" s="12">
        <v>0</v>
      </c>
      <c r="BX242" s="12">
        <v>0</v>
      </c>
      <c r="BY242" s="12">
        <v>0</v>
      </c>
      <c r="BZ242" s="12">
        <v>0</v>
      </c>
      <c r="CA242" s="12">
        <v>0</v>
      </c>
    </row>
    <row r="243" spans="1:79" hidden="1" x14ac:dyDescent="0.2">
      <c r="A243" s="12" t="s">
        <v>135</v>
      </c>
      <c r="B243" s="12" t="s">
        <v>136</v>
      </c>
      <c r="C243" s="12" t="s">
        <v>136</v>
      </c>
      <c r="D243" s="22" t="s">
        <v>502</v>
      </c>
      <c r="E243" s="22" t="s">
        <v>173</v>
      </c>
      <c r="F243" s="22" t="s">
        <v>978</v>
      </c>
      <c r="G243" s="22" t="s">
        <v>979</v>
      </c>
      <c r="H243" s="22" t="s">
        <v>150</v>
      </c>
      <c r="I243" s="22" t="s">
        <v>151</v>
      </c>
      <c r="J243" s="22" t="s">
        <v>162</v>
      </c>
      <c r="K243" s="22" t="s">
        <v>92</v>
      </c>
      <c r="L243" s="54" t="s">
        <v>153</v>
      </c>
      <c r="M243" s="24" t="s">
        <v>156</v>
      </c>
      <c r="N243" s="24" t="s">
        <v>153</v>
      </c>
      <c r="O243" s="23" t="s">
        <v>492</v>
      </c>
      <c r="P243" s="23" t="s">
        <v>492</v>
      </c>
      <c r="Q243" s="23" t="s">
        <v>492</v>
      </c>
      <c r="R243" s="23" t="s">
        <v>492</v>
      </c>
      <c r="S243" s="23" t="s">
        <v>492</v>
      </c>
      <c r="T243" s="23" t="s">
        <v>492</v>
      </c>
      <c r="U243" s="24" t="s">
        <v>153</v>
      </c>
      <c r="V243" s="54" t="s">
        <v>153</v>
      </c>
      <c r="W243" s="23" t="s">
        <v>492</v>
      </c>
      <c r="X243" s="23" t="s">
        <v>492</v>
      </c>
      <c r="Y243" s="23" t="s">
        <v>492</v>
      </c>
      <c r="Z243" s="23" t="s">
        <v>492</v>
      </c>
      <c r="AA243" s="23" t="s">
        <v>492</v>
      </c>
      <c r="AB243" s="24" t="s">
        <v>153</v>
      </c>
      <c r="AC243" s="24" t="s">
        <v>156</v>
      </c>
      <c r="AD243" s="24" t="s">
        <v>156</v>
      </c>
      <c r="AE243" s="23" t="s">
        <v>492</v>
      </c>
      <c r="AF243" s="23" t="s">
        <v>492</v>
      </c>
      <c r="AG243" s="23" t="s">
        <v>492</v>
      </c>
      <c r="AH243" s="23" t="s">
        <v>492</v>
      </c>
      <c r="AI243" s="24" t="s">
        <v>153</v>
      </c>
      <c r="AJ243" s="23" t="s">
        <v>492</v>
      </c>
      <c r="AK243" s="23" t="s">
        <v>492</v>
      </c>
      <c r="AL243" s="23" t="s">
        <v>492</v>
      </c>
      <c r="AM243" s="23" t="s">
        <v>492</v>
      </c>
      <c r="AN243" s="23" t="s">
        <v>492</v>
      </c>
      <c r="AO243" s="23" t="s">
        <v>492</v>
      </c>
      <c r="AP243" s="23">
        <f>VALUE(9)</f>
        <v>9</v>
      </c>
      <c r="AQ243" s="23">
        <f>VALUE(0)</f>
        <v>0</v>
      </c>
      <c r="AR243" s="23">
        <f>VALUE(0)</f>
        <v>0</v>
      </c>
      <c r="AS243" s="23">
        <f>VALUE(0)</f>
        <v>0</v>
      </c>
      <c r="AT243" s="23">
        <f>VALUE(0)</f>
        <v>0</v>
      </c>
      <c r="AU243" s="23">
        <f>VALUE(0)</f>
        <v>0</v>
      </c>
      <c r="AV243" s="23">
        <f>VALUE(8)</f>
        <v>8</v>
      </c>
      <c r="AW243" s="23">
        <f>VALUE(0)</f>
        <v>0</v>
      </c>
      <c r="AX243" s="23" t="s">
        <v>171</v>
      </c>
      <c r="AY243" s="23" t="s">
        <v>425</v>
      </c>
      <c r="AZ243" s="23">
        <f>VALUE(0)</f>
        <v>0</v>
      </c>
      <c r="BA243" s="23">
        <f>VALUE(0)</f>
        <v>0</v>
      </c>
      <c r="BB243" s="23">
        <f>VALUE(0)</f>
        <v>0</v>
      </c>
      <c r="BC243" s="23">
        <f>VALUE(0)</f>
        <v>0</v>
      </c>
      <c r="BD243" s="23">
        <f>VALUE(0)</f>
        <v>0</v>
      </c>
      <c r="BE243" s="23">
        <f>VALUE(0)</f>
        <v>0</v>
      </c>
      <c r="BF243" s="23">
        <f>VALUE(0)</f>
        <v>0</v>
      </c>
      <c r="BG243" s="23">
        <f>VALUE(0)</f>
        <v>0</v>
      </c>
      <c r="BH243" s="23">
        <f>VALUE(0)</f>
        <v>0</v>
      </c>
      <c r="BI243" s="23">
        <f>VALUE(0)</f>
        <v>0</v>
      </c>
      <c r="BJ243" s="23">
        <f>VALUE(0)</f>
        <v>0</v>
      </c>
      <c r="BK243" s="12">
        <f>$AX$243*24</f>
        <v>5.833333333333333</v>
      </c>
      <c r="BL243" s="12">
        <f>$AY$243*24</f>
        <v>1.4166666666666667</v>
      </c>
      <c r="BM243" s="12">
        <f>$BJ$243*24</f>
        <v>0</v>
      </c>
      <c r="BN243" s="12">
        <f>VALUE($I$243)/100</f>
        <v>1</v>
      </c>
      <c r="BO243" s="12">
        <v>0</v>
      </c>
      <c r="BP243" s="12">
        <v>0</v>
      </c>
      <c r="BQ243" s="12">
        <v>0</v>
      </c>
      <c r="BR243" s="12">
        <v>0</v>
      </c>
      <c r="BS243" s="12">
        <v>0</v>
      </c>
      <c r="BT243" s="12">
        <v>0</v>
      </c>
      <c r="BU243" s="12">
        <v>0</v>
      </c>
      <c r="BV243" s="12">
        <v>0</v>
      </c>
      <c r="BW243" s="12">
        <v>0</v>
      </c>
      <c r="BX243" s="12">
        <v>0</v>
      </c>
      <c r="BY243" s="12">
        <v>0</v>
      </c>
      <c r="BZ243" s="12">
        <v>0</v>
      </c>
      <c r="CA243" s="12">
        <v>0</v>
      </c>
    </row>
    <row r="244" spans="1:79" hidden="1" x14ac:dyDescent="0.2">
      <c r="A244" s="12" t="s">
        <v>135</v>
      </c>
      <c r="B244" s="12" t="s">
        <v>136</v>
      </c>
      <c r="C244" s="12" t="s">
        <v>136</v>
      </c>
      <c r="D244" s="22" t="s">
        <v>503</v>
      </c>
      <c r="E244" s="22" t="s">
        <v>159</v>
      </c>
      <c r="F244" s="22" t="s">
        <v>980</v>
      </c>
      <c r="G244" s="22" t="s">
        <v>981</v>
      </c>
      <c r="H244" s="22" t="s">
        <v>150</v>
      </c>
      <c r="I244" s="22" t="s">
        <v>151</v>
      </c>
      <c r="J244" s="22" t="s">
        <v>162</v>
      </c>
      <c r="K244" s="22" t="s">
        <v>92</v>
      </c>
      <c r="L244" s="54" t="s">
        <v>153</v>
      </c>
      <c r="M244" s="23" t="s">
        <v>490</v>
      </c>
      <c r="N244" s="24" t="s">
        <v>153</v>
      </c>
      <c r="O244" s="23" t="s">
        <v>490</v>
      </c>
      <c r="P244" s="23" t="s">
        <v>490</v>
      </c>
      <c r="Q244" s="23" t="s">
        <v>490</v>
      </c>
      <c r="R244" s="23" t="s">
        <v>490</v>
      </c>
      <c r="S244" s="24" t="s">
        <v>156</v>
      </c>
      <c r="T244" s="24" t="s">
        <v>156</v>
      </c>
      <c r="U244" s="24" t="s">
        <v>153</v>
      </c>
      <c r="V244" s="54" t="s">
        <v>153</v>
      </c>
      <c r="W244" s="23" t="s">
        <v>490</v>
      </c>
      <c r="X244" s="23" t="s">
        <v>490</v>
      </c>
      <c r="Y244" s="23" t="s">
        <v>490</v>
      </c>
      <c r="Z244" s="23" t="s">
        <v>490</v>
      </c>
      <c r="AA244" s="23" t="s">
        <v>490</v>
      </c>
      <c r="AB244" s="24" t="s">
        <v>153</v>
      </c>
      <c r="AC244" s="23" t="s">
        <v>490</v>
      </c>
      <c r="AD244" s="23" t="s">
        <v>490</v>
      </c>
      <c r="AE244" s="23" t="s">
        <v>490</v>
      </c>
      <c r="AF244" s="23" t="s">
        <v>490</v>
      </c>
      <c r="AG244" s="23" t="s">
        <v>490</v>
      </c>
      <c r="AH244" s="23" t="s">
        <v>490</v>
      </c>
      <c r="AI244" s="24" t="s">
        <v>153</v>
      </c>
      <c r="AJ244" s="23" t="s">
        <v>490</v>
      </c>
      <c r="AK244" s="23" t="s">
        <v>490</v>
      </c>
      <c r="AL244" s="23" t="s">
        <v>490</v>
      </c>
      <c r="AM244" s="23" t="s">
        <v>490</v>
      </c>
      <c r="AN244" s="23" t="s">
        <v>490</v>
      </c>
      <c r="AO244" s="23" t="s">
        <v>490</v>
      </c>
      <c r="AP244" s="23">
        <f>VALUE(0)</f>
        <v>0</v>
      </c>
      <c r="AQ244" s="23">
        <f>VALUE(0)</f>
        <v>0</v>
      </c>
      <c r="AR244" s="23">
        <f>VALUE(0)</f>
        <v>0</v>
      </c>
      <c r="AS244" s="23">
        <f>VALUE(0)</f>
        <v>0</v>
      </c>
      <c r="AT244" s="23">
        <f>VALUE(0)</f>
        <v>0</v>
      </c>
      <c r="AU244" s="23">
        <f>VALUE(0)</f>
        <v>0</v>
      </c>
      <c r="AV244" s="23">
        <f>VALUE(6)</f>
        <v>6</v>
      </c>
      <c r="AW244" s="23">
        <f>VALUE(0)</f>
        <v>0</v>
      </c>
      <c r="AX244" s="23" t="s">
        <v>171</v>
      </c>
      <c r="AY244" s="23" t="s">
        <v>504</v>
      </c>
      <c r="AZ244" s="23">
        <f>VALUE(0)</f>
        <v>0</v>
      </c>
      <c r="BA244" s="23">
        <f>VALUE(0)</f>
        <v>0</v>
      </c>
      <c r="BB244" s="23">
        <f>VALUE(0)</f>
        <v>0</v>
      </c>
      <c r="BC244" s="23">
        <f>VALUE(0)</f>
        <v>0</v>
      </c>
      <c r="BD244" s="23">
        <f>VALUE(0)</f>
        <v>0</v>
      </c>
      <c r="BE244" s="23">
        <f>VALUE(0)</f>
        <v>0</v>
      </c>
      <c r="BF244" s="23">
        <f>VALUE(0)</f>
        <v>0</v>
      </c>
      <c r="BG244" s="23">
        <f>VALUE(0)</f>
        <v>0</v>
      </c>
      <c r="BH244" s="23">
        <f>VALUE(0)</f>
        <v>0</v>
      </c>
      <c r="BI244" s="23">
        <f>VALUE(0)</f>
        <v>0</v>
      </c>
      <c r="BJ244" s="23">
        <f>VALUE(0)</f>
        <v>0</v>
      </c>
      <c r="BK244" s="12">
        <f>$AX$244*24</f>
        <v>5.833333333333333</v>
      </c>
      <c r="BL244" s="12">
        <f>$AY$244*24</f>
        <v>23.783333333333335</v>
      </c>
      <c r="BM244" s="12">
        <f>$BJ$244*24</f>
        <v>0</v>
      </c>
      <c r="BN244" s="12">
        <f>VALUE($I$244)/100</f>
        <v>1</v>
      </c>
      <c r="BO244" s="12">
        <v>0</v>
      </c>
      <c r="BP244" s="12">
        <v>0</v>
      </c>
      <c r="BQ244" s="12">
        <v>0</v>
      </c>
      <c r="BR244" s="12">
        <v>0</v>
      </c>
      <c r="BS244" s="12">
        <v>0</v>
      </c>
      <c r="BT244" s="12">
        <v>0</v>
      </c>
      <c r="BU244" s="12">
        <v>0</v>
      </c>
      <c r="BV244" s="12">
        <v>0</v>
      </c>
      <c r="BW244" s="12">
        <v>0</v>
      </c>
      <c r="BX244" s="12">
        <v>0</v>
      </c>
      <c r="BY244" s="12">
        <v>0</v>
      </c>
      <c r="BZ244" s="12">
        <v>0</v>
      </c>
      <c r="CA244" s="12">
        <v>0</v>
      </c>
    </row>
    <row r="245" spans="1:79" hidden="1" x14ac:dyDescent="0.2">
      <c r="A245" s="12" t="s">
        <v>135</v>
      </c>
      <c r="B245" s="12" t="s">
        <v>136</v>
      </c>
      <c r="C245" s="12" t="s">
        <v>136</v>
      </c>
      <c r="D245" s="22" t="s">
        <v>505</v>
      </c>
      <c r="E245" s="22" t="s">
        <v>173</v>
      </c>
      <c r="F245" s="22" t="s">
        <v>982</v>
      </c>
      <c r="G245" s="22" t="s">
        <v>983</v>
      </c>
      <c r="H245" s="22" t="s">
        <v>150</v>
      </c>
      <c r="I245" s="22" t="s">
        <v>151</v>
      </c>
      <c r="J245" s="22" t="s">
        <v>162</v>
      </c>
      <c r="K245" s="22" t="s">
        <v>92</v>
      </c>
      <c r="L245" s="54" t="s">
        <v>153</v>
      </c>
      <c r="M245" s="23" t="s">
        <v>492</v>
      </c>
      <c r="N245" s="24" t="s">
        <v>153</v>
      </c>
      <c r="O245" s="23" t="s">
        <v>491</v>
      </c>
      <c r="P245" s="23" t="s">
        <v>491</v>
      </c>
      <c r="Q245" s="23" t="s">
        <v>491</v>
      </c>
      <c r="R245" s="23" t="s">
        <v>491</v>
      </c>
      <c r="S245" s="23" t="s">
        <v>491</v>
      </c>
      <c r="T245" s="23" t="s">
        <v>491</v>
      </c>
      <c r="U245" s="24" t="s">
        <v>153</v>
      </c>
      <c r="V245" s="54" t="s">
        <v>153</v>
      </c>
      <c r="W245" s="23" t="s">
        <v>495</v>
      </c>
      <c r="X245" s="23" t="s">
        <v>153</v>
      </c>
      <c r="Y245" s="23" t="s">
        <v>153</v>
      </c>
      <c r="Z245" s="23" t="s">
        <v>498</v>
      </c>
      <c r="AA245" s="23" t="s">
        <v>498</v>
      </c>
      <c r="AB245" s="24" t="s">
        <v>153</v>
      </c>
      <c r="AC245" s="23" t="s">
        <v>498</v>
      </c>
      <c r="AD245" s="23" t="s">
        <v>498</v>
      </c>
      <c r="AE245" s="23" t="s">
        <v>498</v>
      </c>
      <c r="AF245" s="23" t="s">
        <v>491</v>
      </c>
      <c r="AG245" s="23" t="s">
        <v>494</v>
      </c>
      <c r="AH245" s="23" t="s">
        <v>494</v>
      </c>
      <c r="AI245" s="24" t="s">
        <v>153</v>
      </c>
      <c r="AJ245" s="23" t="s">
        <v>500</v>
      </c>
      <c r="AK245" s="23" t="s">
        <v>500</v>
      </c>
      <c r="AL245" s="23" t="s">
        <v>497</v>
      </c>
      <c r="AM245" s="23" t="s">
        <v>497</v>
      </c>
      <c r="AN245" s="24" t="s">
        <v>156</v>
      </c>
      <c r="AO245" s="24" t="s">
        <v>156</v>
      </c>
      <c r="AP245" s="23">
        <f>VALUE(0)</f>
        <v>0</v>
      </c>
      <c r="AQ245" s="23">
        <f>VALUE(0)</f>
        <v>0</v>
      </c>
      <c r="AR245" s="23">
        <f>VALUE(0)</f>
        <v>0</v>
      </c>
      <c r="AS245" s="23">
        <f>VALUE(0)</f>
        <v>0</v>
      </c>
      <c r="AT245" s="23">
        <f>VALUE(0)</f>
        <v>0</v>
      </c>
      <c r="AU245" s="23">
        <f>VALUE(0)</f>
        <v>0</v>
      </c>
      <c r="AV245" s="23">
        <f>VALUE(10)</f>
        <v>10</v>
      </c>
      <c r="AW245" s="23">
        <f>VALUE(0)</f>
        <v>0</v>
      </c>
      <c r="AX245" s="23" t="s">
        <v>158</v>
      </c>
      <c r="AY245" s="23" t="s">
        <v>171</v>
      </c>
      <c r="AZ245" s="23">
        <f>VALUE(0)</f>
        <v>0</v>
      </c>
      <c r="BA245" s="23">
        <f>VALUE(0)</f>
        <v>0</v>
      </c>
      <c r="BB245" s="23">
        <f>VALUE(0)</f>
        <v>0</v>
      </c>
      <c r="BC245" s="23">
        <f>VALUE(0)</f>
        <v>0</v>
      </c>
      <c r="BD245" s="23">
        <f>VALUE(0)</f>
        <v>0</v>
      </c>
      <c r="BE245" s="23">
        <f>VALUE(0)</f>
        <v>0</v>
      </c>
      <c r="BF245" s="23">
        <f>VALUE(0)</f>
        <v>0</v>
      </c>
      <c r="BG245" s="23">
        <f>VALUE(0)</f>
        <v>0</v>
      </c>
      <c r="BH245" s="23">
        <f>VALUE(0)</f>
        <v>0</v>
      </c>
      <c r="BI245" s="23">
        <f>VALUE(0)</f>
        <v>0</v>
      </c>
      <c r="BJ245" s="23">
        <f>VALUE(0)</f>
        <v>0</v>
      </c>
      <c r="BK245" s="12">
        <f>$AX$245*24</f>
        <v>11.666666666666666</v>
      </c>
      <c r="BL245" s="12">
        <f>$AY$245*24</f>
        <v>5.833333333333333</v>
      </c>
      <c r="BM245" s="12">
        <f>$BJ$245*24</f>
        <v>0</v>
      </c>
      <c r="BN245" s="12">
        <f>VALUE($I$245)/100</f>
        <v>1</v>
      </c>
      <c r="BO245" s="12">
        <v>0</v>
      </c>
      <c r="BP245" s="12">
        <v>0</v>
      </c>
      <c r="BQ245" s="12">
        <v>0</v>
      </c>
      <c r="BR245" s="12">
        <v>0</v>
      </c>
      <c r="BS245" s="12">
        <v>0</v>
      </c>
      <c r="BT245" s="12">
        <v>0</v>
      </c>
      <c r="BU245" s="12">
        <v>0</v>
      </c>
      <c r="BV245" s="12">
        <v>0</v>
      </c>
      <c r="BW245" s="12">
        <v>0</v>
      </c>
      <c r="BX245" s="12">
        <v>0</v>
      </c>
      <c r="BY245" s="12">
        <v>0</v>
      </c>
      <c r="BZ245" s="12">
        <v>0</v>
      </c>
      <c r="CA245" s="12">
        <v>0</v>
      </c>
    </row>
    <row r="246" spans="1:79" hidden="1" x14ac:dyDescent="0.2">
      <c r="A246" s="12" t="s">
        <v>135</v>
      </c>
      <c r="B246" s="12" t="s">
        <v>136</v>
      </c>
      <c r="C246" s="12" t="s">
        <v>136</v>
      </c>
      <c r="D246" s="22" t="s">
        <v>493</v>
      </c>
      <c r="E246" s="22" t="s">
        <v>161</v>
      </c>
      <c r="F246" s="22" t="s">
        <v>984</v>
      </c>
      <c r="G246" s="22" t="s">
        <v>985</v>
      </c>
      <c r="H246" s="22" t="s">
        <v>150</v>
      </c>
      <c r="I246" s="22" t="s">
        <v>1268</v>
      </c>
      <c r="J246" s="22" t="s">
        <v>181</v>
      </c>
      <c r="K246" s="22" t="s">
        <v>92</v>
      </c>
      <c r="L246" s="54" t="s">
        <v>153</v>
      </c>
      <c r="M246" s="24" t="s">
        <v>195</v>
      </c>
      <c r="N246" s="24" t="s">
        <v>153</v>
      </c>
      <c r="O246" s="24" t="s">
        <v>195</v>
      </c>
      <c r="P246" s="23" t="s">
        <v>153</v>
      </c>
      <c r="Q246" s="23" t="s">
        <v>153</v>
      </c>
      <c r="R246" s="23" t="s">
        <v>153</v>
      </c>
      <c r="S246" s="23" t="s">
        <v>153</v>
      </c>
      <c r="T246" s="23" t="s">
        <v>153</v>
      </c>
      <c r="U246" s="24" t="s">
        <v>153</v>
      </c>
      <c r="V246" s="54" t="s">
        <v>153</v>
      </c>
      <c r="W246" s="23" t="s">
        <v>153</v>
      </c>
      <c r="X246" s="23" t="s">
        <v>153</v>
      </c>
      <c r="Y246" s="23" t="s">
        <v>153</v>
      </c>
      <c r="Z246" s="23" t="s">
        <v>153</v>
      </c>
      <c r="AA246" s="24" t="s">
        <v>195</v>
      </c>
      <c r="AB246" s="24" t="s">
        <v>153</v>
      </c>
      <c r="AC246" s="24" t="s">
        <v>195</v>
      </c>
      <c r="AD246" s="23" t="s">
        <v>153</v>
      </c>
      <c r="AE246" s="23" t="s">
        <v>153</v>
      </c>
      <c r="AF246" s="23" t="s">
        <v>153</v>
      </c>
      <c r="AG246" s="23" t="s">
        <v>153</v>
      </c>
      <c r="AH246" s="23" t="s">
        <v>153</v>
      </c>
      <c r="AI246" s="24" t="s">
        <v>153</v>
      </c>
      <c r="AJ246" s="23" t="s">
        <v>153</v>
      </c>
      <c r="AK246" s="23" t="s">
        <v>153</v>
      </c>
      <c r="AL246" s="23" t="s">
        <v>153</v>
      </c>
      <c r="AM246" s="23" t="s">
        <v>153</v>
      </c>
      <c r="AN246" s="23" t="s">
        <v>153</v>
      </c>
      <c r="AO246" s="24" t="s">
        <v>195</v>
      </c>
      <c r="AP246" s="23">
        <f>VALUE(0)</f>
        <v>0</v>
      </c>
      <c r="AQ246" s="23">
        <f>VALUE(0)</f>
        <v>0</v>
      </c>
      <c r="AR246" s="23">
        <f>VALUE(0)</f>
        <v>0</v>
      </c>
      <c r="AS246" s="23">
        <f>VALUE(0)</f>
        <v>0</v>
      </c>
      <c r="AT246" s="23">
        <f>VALUE(0)</f>
        <v>0</v>
      </c>
      <c r="AU246" s="23">
        <f>VALUE(0)</f>
        <v>0</v>
      </c>
      <c r="AV246" s="23">
        <f>VALUE(12)</f>
        <v>12</v>
      </c>
      <c r="AW246" s="23">
        <f>VALUE(0)</f>
        <v>0</v>
      </c>
      <c r="AX246" s="23" t="s">
        <v>506</v>
      </c>
      <c r="AY246" s="23" t="s">
        <v>164</v>
      </c>
      <c r="AZ246" s="23">
        <f>VALUE(0)</f>
        <v>0</v>
      </c>
      <c r="BA246" s="23">
        <f>VALUE(0)</f>
        <v>0</v>
      </c>
      <c r="BB246" s="23">
        <f>VALUE(0)</f>
        <v>0</v>
      </c>
      <c r="BC246" s="23">
        <f>VALUE(0)</f>
        <v>0</v>
      </c>
      <c r="BD246" s="23">
        <f>VALUE(0)</f>
        <v>0</v>
      </c>
      <c r="BE246" s="23">
        <f>VALUE(0)</f>
        <v>0</v>
      </c>
      <c r="BF246" s="23">
        <f>VALUE(0)</f>
        <v>0</v>
      </c>
      <c r="BG246" s="23">
        <f>VALUE(0)</f>
        <v>0</v>
      </c>
      <c r="BH246" s="23">
        <f>VALUE(0)</f>
        <v>0</v>
      </c>
      <c r="BI246" s="23">
        <f>VALUE(0)</f>
        <v>0</v>
      </c>
      <c r="BJ246" s="23">
        <f>VALUE(0)</f>
        <v>0</v>
      </c>
      <c r="BK246" s="12">
        <f>$AX$246*24</f>
        <v>4</v>
      </c>
      <c r="BL246" s="12">
        <f>$AY$246*24</f>
        <v>1.1666666666666667</v>
      </c>
      <c r="BM246" s="12">
        <f>$BJ$246*24</f>
        <v>0</v>
      </c>
      <c r="BN246" s="12">
        <f>VALUE($I$246)/100</f>
        <v>0.68</v>
      </c>
      <c r="BO246" s="12">
        <v>0</v>
      </c>
      <c r="BP246" s="12">
        <v>0</v>
      </c>
      <c r="BQ246" s="12">
        <v>0</v>
      </c>
      <c r="BR246" s="12">
        <v>0</v>
      </c>
      <c r="BS246" s="12">
        <v>0</v>
      </c>
      <c r="BT246" s="12">
        <v>0</v>
      </c>
      <c r="BU246" s="12">
        <v>0</v>
      </c>
      <c r="BV246" s="12">
        <v>0</v>
      </c>
      <c r="BW246" s="12">
        <v>0</v>
      </c>
      <c r="BX246" s="12">
        <v>0</v>
      </c>
      <c r="BY246" s="12">
        <v>0</v>
      </c>
      <c r="BZ246" s="12">
        <v>0</v>
      </c>
      <c r="CA246" s="12">
        <v>0</v>
      </c>
    </row>
    <row r="247" spans="1:79" ht="15" hidden="1" x14ac:dyDescent="0.25">
      <c r="A247" s="12" t="s">
        <v>135</v>
      </c>
      <c r="B247" s="12" t="s">
        <v>136</v>
      </c>
      <c r="C247" s="12" t="s">
        <v>136</v>
      </c>
      <c r="D247" s="31" t="s">
        <v>585</v>
      </c>
      <c r="E247" s="31" t="s">
        <v>153</v>
      </c>
      <c r="F247" s="31" t="s">
        <v>175</v>
      </c>
      <c r="G247" s="31" t="s">
        <v>153</v>
      </c>
      <c r="H247" s="31" t="s">
        <v>153</v>
      </c>
      <c r="I247" s="31" t="s">
        <v>153</v>
      </c>
      <c r="J247" s="31" t="s">
        <v>153</v>
      </c>
      <c r="K247" s="31" t="s">
        <v>153</v>
      </c>
      <c r="L247" s="31">
        <f>VALUE(0)</f>
        <v>0</v>
      </c>
      <c r="M247" s="31">
        <f>VALUE(8)</f>
        <v>8</v>
      </c>
      <c r="N247" s="31">
        <f>VALUE(0)</f>
        <v>0</v>
      </c>
      <c r="O247" s="31">
        <f>VALUE(8)</f>
        <v>8</v>
      </c>
      <c r="P247" s="31">
        <f>VALUE(10)</f>
        <v>10</v>
      </c>
      <c r="Q247" s="31">
        <f>VALUE(10)</f>
        <v>10</v>
      </c>
      <c r="R247" s="31">
        <f>VALUE(9)</f>
        <v>9</v>
      </c>
      <c r="S247" s="31">
        <f>VALUE(9)</f>
        <v>9</v>
      </c>
      <c r="T247" s="31">
        <f>VALUE(9)</f>
        <v>9</v>
      </c>
      <c r="U247" s="31">
        <f>VALUE(0)</f>
        <v>0</v>
      </c>
      <c r="V247" s="31">
        <f>VALUE(0)</f>
        <v>0</v>
      </c>
      <c r="W247" s="31">
        <f>VALUE(9)</f>
        <v>9</v>
      </c>
      <c r="X247" s="31">
        <f>VALUE(10)</f>
        <v>10</v>
      </c>
      <c r="Y247" s="31">
        <f>VALUE(10)</f>
        <v>10</v>
      </c>
      <c r="Z247" s="31">
        <f>VALUE(10)</f>
        <v>10</v>
      </c>
      <c r="AA247" s="31">
        <f>VALUE(8)</f>
        <v>8</v>
      </c>
      <c r="AB247" s="31">
        <f>VALUE(0)</f>
        <v>0</v>
      </c>
      <c r="AC247" s="31">
        <f>VALUE(8)</f>
        <v>8</v>
      </c>
      <c r="AD247" s="31">
        <f>VALUE(10)</f>
        <v>10</v>
      </c>
      <c r="AE247" s="31">
        <f>VALUE(10)</f>
        <v>10</v>
      </c>
      <c r="AF247" s="31">
        <f>VALUE(11)</f>
        <v>11</v>
      </c>
      <c r="AG247" s="31">
        <f>VALUE(11)</f>
        <v>11</v>
      </c>
      <c r="AH247" s="31">
        <f>VALUE(10)</f>
        <v>10</v>
      </c>
      <c r="AI247" s="31">
        <f>VALUE(0)</f>
        <v>0</v>
      </c>
      <c r="AJ247" s="31">
        <f>VALUE(10)</f>
        <v>10</v>
      </c>
      <c r="AK247" s="31">
        <f>VALUE(10)</f>
        <v>10</v>
      </c>
      <c r="AL247" s="31">
        <f>VALUE(10)</f>
        <v>10</v>
      </c>
      <c r="AM247" s="31">
        <f>VALUE(10)</f>
        <v>10</v>
      </c>
      <c r="AN247" s="31">
        <f>VALUE(10)</f>
        <v>10</v>
      </c>
      <c r="AO247" s="31">
        <f>VALUE(9)</f>
        <v>9</v>
      </c>
      <c r="AP247" s="31">
        <v>0</v>
      </c>
      <c r="AQ247" s="31">
        <v>0</v>
      </c>
      <c r="AR247" s="31">
        <v>0</v>
      </c>
      <c r="AS247" s="31">
        <v>0</v>
      </c>
      <c r="AT247" s="31">
        <v>0</v>
      </c>
      <c r="AU247" s="31">
        <v>0</v>
      </c>
      <c r="AV247" s="31">
        <v>0</v>
      </c>
      <c r="AW247" s="31">
        <v>0</v>
      </c>
      <c r="AX247" s="31">
        <v>0</v>
      </c>
      <c r="AY247" s="31">
        <v>0</v>
      </c>
      <c r="AZ247" s="31">
        <v>0</v>
      </c>
      <c r="BA247" s="31">
        <v>0</v>
      </c>
      <c r="BB247" s="31">
        <v>0</v>
      </c>
      <c r="BC247" s="31">
        <v>0</v>
      </c>
      <c r="BD247" s="31">
        <v>0</v>
      </c>
      <c r="BE247" s="31">
        <v>0</v>
      </c>
      <c r="BF247" s="31">
        <v>0</v>
      </c>
      <c r="BG247" s="31">
        <v>0</v>
      </c>
      <c r="BH247" s="31">
        <v>0</v>
      </c>
      <c r="BI247" s="31">
        <v>0</v>
      </c>
      <c r="BJ247" s="31">
        <v>0</v>
      </c>
      <c r="BK247" s="12">
        <v>0</v>
      </c>
      <c r="BL247" s="12">
        <v>0</v>
      </c>
      <c r="BM247" s="12">
        <v>0</v>
      </c>
      <c r="BN247" s="12"/>
      <c r="BO247" s="12">
        <v>0</v>
      </c>
      <c r="BP247" s="12">
        <v>0</v>
      </c>
      <c r="BQ247" s="12">
        <v>0</v>
      </c>
      <c r="BR247" s="12">
        <v>0</v>
      </c>
      <c r="BS247" s="12">
        <v>0</v>
      </c>
      <c r="BT247" s="12">
        <v>0</v>
      </c>
      <c r="BU247" s="12">
        <v>0</v>
      </c>
      <c r="BV247" s="12">
        <v>0</v>
      </c>
      <c r="BW247" s="12">
        <v>0</v>
      </c>
      <c r="BX247" s="12">
        <v>0</v>
      </c>
      <c r="BY247" s="12">
        <v>0</v>
      </c>
      <c r="BZ247" s="12">
        <v>0</v>
      </c>
      <c r="CA247" s="12">
        <v>0</v>
      </c>
    </row>
    <row r="248" spans="1:79" hidden="1" x14ac:dyDescent="0.2">
      <c r="A248" s="12" t="s">
        <v>137</v>
      </c>
      <c r="B248" s="12" t="s">
        <v>138</v>
      </c>
      <c r="C248" s="12" t="s">
        <v>138</v>
      </c>
      <c r="D248" s="22" t="s">
        <v>491</v>
      </c>
      <c r="E248" s="22" t="s">
        <v>161</v>
      </c>
      <c r="F248" s="22" t="s">
        <v>986</v>
      </c>
      <c r="G248" s="22" t="s">
        <v>987</v>
      </c>
      <c r="H248" s="22" t="s">
        <v>150</v>
      </c>
      <c r="I248" s="22" t="s">
        <v>151</v>
      </c>
      <c r="J248" s="22" t="s">
        <v>162</v>
      </c>
      <c r="K248" s="22" t="s">
        <v>93</v>
      </c>
      <c r="L248" s="54" t="s">
        <v>153</v>
      </c>
      <c r="M248" s="23" t="s">
        <v>153</v>
      </c>
      <c r="N248" s="24" t="s">
        <v>153</v>
      </c>
      <c r="O248" s="23" t="s">
        <v>153</v>
      </c>
      <c r="P248" s="23" t="s">
        <v>153</v>
      </c>
      <c r="Q248" s="23" t="s">
        <v>153</v>
      </c>
      <c r="R248" s="23" t="s">
        <v>153</v>
      </c>
      <c r="S248" s="23" t="s">
        <v>153</v>
      </c>
      <c r="T248" s="23" t="s">
        <v>153</v>
      </c>
      <c r="U248" s="24" t="s">
        <v>153</v>
      </c>
      <c r="V248" s="54" t="s">
        <v>156</v>
      </c>
      <c r="W248" s="24" t="s">
        <v>156</v>
      </c>
      <c r="X248" s="28" t="s">
        <v>163</v>
      </c>
      <c r="Y248" s="28" t="s">
        <v>163</v>
      </c>
      <c r="Z248" s="23" t="s">
        <v>153</v>
      </c>
      <c r="AA248" s="23" t="s">
        <v>153</v>
      </c>
      <c r="AB248" s="24" t="s">
        <v>153</v>
      </c>
      <c r="AC248" s="23" t="s">
        <v>153</v>
      </c>
      <c r="AD248" s="23" t="s">
        <v>153</v>
      </c>
      <c r="AE248" s="23" t="s">
        <v>153</v>
      </c>
      <c r="AF248" s="23" t="s">
        <v>153</v>
      </c>
      <c r="AG248" s="23" t="s">
        <v>153</v>
      </c>
      <c r="AH248" s="23" t="s">
        <v>153</v>
      </c>
      <c r="AI248" s="24" t="s">
        <v>153</v>
      </c>
      <c r="AJ248" s="23" t="s">
        <v>153</v>
      </c>
      <c r="AK248" s="23" t="s">
        <v>153</v>
      </c>
      <c r="AL248" s="23" t="s">
        <v>153</v>
      </c>
      <c r="AM248" s="23" t="s">
        <v>153</v>
      </c>
      <c r="AN248" s="23" t="s">
        <v>153</v>
      </c>
      <c r="AO248" s="23" t="s">
        <v>153</v>
      </c>
      <c r="AP248" s="23">
        <f>VALUE(0)</f>
        <v>0</v>
      </c>
      <c r="AQ248" s="23">
        <f>VALUE(0)</f>
        <v>0</v>
      </c>
      <c r="AR248" s="23">
        <f>VALUE(0)</f>
        <v>0</v>
      </c>
      <c r="AS248" s="23">
        <f>VALUE(0)</f>
        <v>0</v>
      </c>
      <c r="AT248" s="23">
        <f>VALUE(0)</f>
        <v>0</v>
      </c>
      <c r="AU248" s="23">
        <f>VALUE(2)</f>
        <v>2</v>
      </c>
      <c r="AV248" s="23">
        <f>VALUE(2)</f>
        <v>2</v>
      </c>
      <c r="AW248" s="23">
        <f>VALUE(0)</f>
        <v>0</v>
      </c>
      <c r="AX248" s="23" t="s">
        <v>158</v>
      </c>
      <c r="AY248" s="23" t="s">
        <v>507</v>
      </c>
      <c r="AZ248" s="23">
        <f>VALUE(0)</f>
        <v>0</v>
      </c>
      <c r="BA248" s="23">
        <f>VALUE(0)</f>
        <v>0</v>
      </c>
      <c r="BB248" s="23">
        <f>VALUE(0)</f>
        <v>0</v>
      </c>
      <c r="BC248" s="23">
        <f>VALUE(0)</f>
        <v>0</v>
      </c>
      <c r="BD248" s="23">
        <f>VALUE(0)</f>
        <v>0</v>
      </c>
      <c r="BE248" s="23">
        <f>VALUE(0)</f>
        <v>0</v>
      </c>
      <c r="BF248" s="23">
        <f>VALUE(0)</f>
        <v>0</v>
      </c>
      <c r="BG248" s="23">
        <f>VALUE(0)</f>
        <v>0</v>
      </c>
      <c r="BH248" s="23">
        <f>VALUE(0)</f>
        <v>0</v>
      </c>
      <c r="BI248" s="23">
        <f>VALUE(0)</f>
        <v>0</v>
      </c>
      <c r="BJ248" s="23">
        <f>VALUE(0)</f>
        <v>0</v>
      </c>
      <c r="BK248" s="12">
        <f>$AX$248*24</f>
        <v>11.666666666666666</v>
      </c>
      <c r="BL248" s="12">
        <f>$AY$248*24</f>
        <v>1.9333333333333336</v>
      </c>
      <c r="BM248" s="12">
        <f>$BJ$248*24</f>
        <v>0</v>
      </c>
      <c r="BN248" s="12">
        <f>VALUE($I$248)/100</f>
        <v>1</v>
      </c>
      <c r="BO248" s="12">
        <v>0</v>
      </c>
      <c r="BP248" s="12">
        <v>0</v>
      </c>
      <c r="BQ248" s="12">
        <v>0</v>
      </c>
      <c r="BR248" s="12">
        <v>0</v>
      </c>
      <c r="BS248" s="12">
        <v>0</v>
      </c>
      <c r="BT248" s="12">
        <v>0</v>
      </c>
      <c r="BU248" s="12">
        <v>0</v>
      </c>
      <c r="BV248" s="12">
        <v>0</v>
      </c>
      <c r="BW248" s="12">
        <v>0</v>
      </c>
      <c r="BX248" s="12">
        <v>0</v>
      </c>
      <c r="BY248" s="12">
        <v>0</v>
      </c>
      <c r="BZ248" s="12">
        <v>0</v>
      </c>
      <c r="CA248" s="12">
        <v>0</v>
      </c>
    </row>
    <row r="249" spans="1:79" hidden="1" x14ac:dyDescent="0.2">
      <c r="A249" s="12" t="s">
        <v>137</v>
      </c>
      <c r="B249" s="12" t="s">
        <v>138</v>
      </c>
      <c r="C249" s="12" t="s">
        <v>138</v>
      </c>
      <c r="D249" s="22" t="s">
        <v>492</v>
      </c>
      <c r="E249" s="22" t="s">
        <v>161</v>
      </c>
      <c r="F249" s="22" t="s">
        <v>988</v>
      </c>
      <c r="G249" s="22" t="s">
        <v>989</v>
      </c>
      <c r="H249" s="22" t="s">
        <v>150</v>
      </c>
      <c r="I249" s="22" t="s">
        <v>151</v>
      </c>
      <c r="J249" s="22" t="s">
        <v>162</v>
      </c>
      <c r="K249" s="22" t="s">
        <v>93</v>
      </c>
      <c r="L249" s="54" t="s">
        <v>153</v>
      </c>
      <c r="M249" s="28" t="s">
        <v>163</v>
      </c>
      <c r="N249" s="24" t="s">
        <v>153</v>
      </c>
      <c r="O249" s="28" t="s">
        <v>163</v>
      </c>
      <c r="P249" s="28" t="s">
        <v>163</v>
      </c>
      <c r="Q249" s="23" t="s">
        <v>153</v>
      </c>
      <c r="R249" s="23" t="s">
        <v>153</v>
      </c>
      <c r="S249" s="23" t="s">
        <v>153</v>
      </c>
      <c r="T249" s="23" t="s">
        <v>153</v>
      </c>
      <c r="U249" s="24" t="s">
        <v>153</v>
      </c>
      <c r="V249" s="54" t="s">
        <v>153</v>
      </c>
      <c r="W249" s="30" t="s">
        <v>28</v>
      </c>
      <c r="X249" s="23" t="s">
        <v>153</v>
      </c>
      <c r="Y249" s="23" t="s">
        <v>153</v>
      </c>
      <c r="Z249" s="23" t="s">
        <v>153</v>
      </c>
      <c r="AA249" s="23" t="s">
        <v>153</v>
      </c>
      <c r="AB249" s="24" t="s">
        <v>153</v>
      </c>
      <c r="AC249" s="23" t="s">
        <v>153</v>
      </c>
      <c r="AD249" s="23" t="s">
        <v>153</v>
      </c>
      <c r="AE249" s="24" t="s">
        <v>156</v>
      </c>
      <c r="AF249" s="24" t="s">
        <v>156</v>
      </c>
      <c r="AG249" s="23" t="s">
        <v>153</v>
      </c>
      <c r="AH249" s="23" t="s">
        <v>153</v>
      </c>
      <c r="AI249" s="24" t="s">
        <v>153</v>
      </c>
      <c r="AJ249" s="23" t="s">
        <v>153</v>
      </c>
      <c r="AK249" s="23" t="s">
        <v>153</v>
      </c>
      <c r="AL249" s="23" t="s">
        <v>153</v>
      </c>
      <c r="AM249" s="23" t="s">
        <v>153</v>
      </c>
      <c r="AN249" s="23" t="s">
        <v>153</v>
      </c>
      <c r="AO249" s="23" t="s">
        <v>153</v>
      </c>
      <c r="AP249" s="23">
        <f>VALUE(0)</f>
        <v>0</v>
      </c>
      <c r="AQ249" s="23">
        <f>VALUE(0)</f>
        <v>0</v>
      </c>
      <c r="AR249" s="23">
        <f>VALUE(0)</f>
        <v>0</v>
      </c>
      <c r="AS249" s="23">
        <f>VALUE(0)</f>
        <v>0</v>
      </c>
      <c r="AT249" s="23">
        <f>VALUE(0)</f>
        <v>0</v>
      </c>
      <c r="AU249" s="23">
        <f>VALUE(3)</f>
        <v>3</v>
      </c>
      <c r="AV249" s="23">
        <f>VALUE(2)</f>
        <v>2</v>
      </c>
      <c r="AW249" s="23">
        <f>VALUE(0)</f>
        <v>0</v>
      </c>
      <c r="AX249" s="23" t="s">
        <v>445</v>
      </c>
      <c r="AY249" s="23" t="s">
        <v>508</v>
      </c>
      <c r="AZ249" s="23">
        <f>VALUE(0)</f>
        <v>0</v>
      </c>
      <c r="BA249" s="23">
        <f>VALUE(0)</f>
        <v>0</v>
      </c>
      <c r="BB249" s="23">
        <f>VALUE(0)</f>
        <v>0</v>
      </c>
      <c r="BC249" s="23">
        <f>VALUE(0)</f>
        <v>0</v>
      </c>
      <c r="BD249" s="23">
        <f>VALUE(0)</f>
        <v>0</v>
      </c>
      <c r="BE249" s="23">
        <f>VALUE(0)</f>
        <v>0</v>
      </c>
      <c r="BF249" s="23">
        <f>VALUE(0)</f>
        <v>0</v>
      </c>
      <c r="BG249" s="23">
        <f>VALUE(0)</f>
        <v>0</v>
      </c>
      <c r="BH249" s="23">
        <f>VALUE(0)</f>
        <v>0</v>
      </c>
      <c r="BI249" s="23">
        <f>VALUE(0)</f>
        <v>0</v>
      </c>
      <c r="BJ249" s="23">
        <f>VALUE(0)</f>
        <v>0</v>
      </c>
      <c r="BK249" s="12">
        <f>$AX$249*24</f>
        <v>17.5</v>
      </c>
      <c r="BL249" s="12">
        <f>$AY$249*24</f>
        <v>6.35</v>
      </c>
      <c r="BM249" s="12">
        <f>$BJ$249*24</f>
        <v>0</v>
      </c>
      <c r="BN249" s="12">
        <f>VALUE($I$249)/100</f>
        <v>1</v>
      </c>
      <c r="BO249" s="12">
        <v>0</v>
      </c>
      <c r="BP249" s="12">
        <v>0</v>
      </c>
      <c r="BQ249" s="12">
        <v>1</v>
      </c>
      <c r="BR249" s="12">
        <v>0</v>
      </c>
      <c r="BS249" s="12">
        <v>0</v>
      </c>
      <c r="BT249" s="12">
        <v>0</v>
      </c>
      <c r="BU249" s="12">
        <v>0</v>
      </c>
      <c r="BV249" s="12">
        <v>0</v>
      </c>
      <c r="BW249" s="12">
        <v>0</v>
      </c>
      <c r="BX249" s="12">
        <v>0</v>
      </c>
      <c r="BY249" s="12">
        <v>0</v>
      </c>
      <c r="BZ249" s="12">
        <v>0</v>
      </c>
      <c r="CA249" s="12">
        <v>0</v>
      </c>
    </row>
    <row r="250" spans="1:79" hidden="1" x14ac:dyDescent="0.2">
      <c r="A250" s="12" t="s">
        <v>137</v>
      </c>
      <c r="B250" s="12" t="s">
        <v>138</v>
      </c>
      <c r="C250" s="12" t="s">
        <v>138</v>
      </c>
      <c r="D250" s="22" t="s">
        <v>500</v>
      </c>
      <c r="E250" s="22" t="s">
        <v>161</v>
      </c>
      <c r="F250" s="22" t="s">
        <v>1269</v>
      </c>
      <c r="G250" s="22" t="s">
        <v>990</v>
      </c>
      <c r="H250" s="22" t="s">
        <v>166</v>
      </c>
      <c r="I250" s="22" t="s">
        <v>151</v>
      </c>
      <c r="J250" s="22" t="s">
        <v>162</v>
      </c>
      <c r="K250" s="22" t="s">
        <v>93</v>
      </c>
      <c r="L250" s="54" t="s">
        <v>153</v>
      </c>
      <c r="M250" s="23" t="s">
        <v>153</v>
      </c>
      <c r="N250" s="24" t="s">
        <v>153</v>
      </c>
      <c r="O250" s="23" t="s">
        <v>153</v>
      </c>
      <c r="P250" s="23" t="s">
        <v>153</v>
      </c>
      <c r="Q250" s="23" t="s">
        <v>153</v>
      </c>
      <c r="R250" s="23" t="s">
        <v>153</v>
      </c>
      <c r="S250" s="23" t="s">
        <v>153</v>
      </c>
      <c r="T250" s="23" t="s">
        <v>153</v>
      </c>
      <c r="U250" s="24" t="s">
        <v>153</v>
      </c>
      <c r="V250" s="54" t="s">
        <v>153</v>
      </c>
      <c r="W250" s="23" t="s">
        <v>153</v>
      </c>
      <c r="X250" s="23" t="s">
        <v>153</v>
      </c>
      <c r="Y250" s="23" t="s">
        <v>153</v>
      </c>
      <c r="Z250" s="24" t="s">
        <v>156</v>
      </c>
      <c r="AA250" s="24" t="s">
        <v>156</v>
      </c>
      <c r="AB250" s="24" t="s">
        <v>153</v>
      </c>
      <c r="AC250" s="28" t="s">
        <v>163</v>
      </c>
      <c r="AD250" s="28" t="s">
        <v>163</v>
      </c>
      <c r="AE250" s="28" t="s">
        <v>163</v>
      </c>
      <c r="AF250" s="28" t="s">
        <v>163</v>
      </c>
      <c r="AG250" s="28" t="s">
        <v>163</v>
      </c>
      <c r="AH250" s="28" t="s">
        <v>163</v>
      </c>
      <c r="AI250" s="24" t="s">
        <v>153</v>
      </c>
      <c r="AJ250" s="23" t="s">
        <v>153</v>
      </c>
      <c r="AK250" s="23" t="s">
        <v>153</v>
      </c>
      <c r="AL250" s="23" t="s">
        <v>153</v>
      </c>
      <c r="AM250" s="23" t="s">
        <v>153</v>
      </c>
      <c r="AN250" s="23" t="s">
        <v>153</v>
      </c>
      <c r="AO250" s="23" t="s">
        <v>153</v>
      </c>
      <c r="AP250" s="23">
        <f>VALUE(0)</f>
        <v>0</v>
      </c>
      <c r="AQ250" s="23">
        <f>VALUE(0)</f>
        <v>0</v>
      </c>
      <c r="AR250" s="23">
        <f>VALUE(0)</f>
        <v>0</v>
      </c>
      <c r="AS250" s="23">
        <f>VALUE(0)</f>
        <v>0</v>
      </c>
      <c r="AT250" s="23">
        <f>VALUE(0)</f>
        <v>0</v>
      </c>
      <c r="AU250" s="23">
        <f>VALUE(6)</f>
        <v>6</v>
      </c>
      <c r="AV250" s="23">
        <f>VALUE(2)</f>
        <v>2</v>
      </c>
      <c r="AW250" s="23">
        <f>VALUE(1)</f>
        <v>1</v>
      </c>
      <c r="AX250" s="23" t="s">
        <v>394</v>
      </c>
      <c r="AY250" s="23">
        <f>VALUE(0)</f>
        <v>0</v>
      </c>
      <c r="AZ250" s="23">
        <f>VALUE(0)</f>
        <v>0</v>
      </c>
      <c r="BA250" s="23">
        <f>VALUE(0)</f>
        <v>0</v>
      </c>
      <c r="BB250" s="23">
        <f>VALUE(0)</f>
        <v>0</v>
      </c>
      <c r="BC250" s="23">
        <f>VALUE(0)</f>
        <v>0</v>
      </c>
      <c r="BD250" s="23">
        <f>VALUE(0)</f>
        <v>0</v>
      </c>
      <c r="BE250" s="23">
        <f>VALUE(0)</f>
        <v>0</v>
      </c>
      <c r="BF250" s="23">
        <f>VALUE(0)</f>
        <v>0</v>
      </c>
      <c r="BG250" s="23">
        <f>VALUE(0)</f>
        <v>0</v>
      </c>
      <c r="BH250" s="23">
        <f>VALUE(0)</f>
        <v>0</v>
      </c>
      <c r="BI250" s="23">
        <f>VALUE(0)</f>
        <v>0</v>
      </c>
      <c r="BJ250" s="23">
        <f>VALUE(0)</f>
        <v>0</v>
      </c>
      <c r="BK250" s="12">
        <f>$AX$250*24</f>
        <v>9.3333333333333339</v>
      </c>
      <c r="BL250" s="12">
        <f>$AY$250*24</f>
        <v>0</v>
      </c>
      <c r="BM250" s="12">
        <f>$BJ$250*24</f>
        <v>0</v>
      </c>
      <c r="BN250" s="12">
        <f>VALUE($I$250)/100</f>
        <v>1</v>
      </c>
      <c r="BO250" s="12">
        <v>0</v>
      </c>
      <c r="BP250" s="12">
        <v>0</v>
      </c>
      <c r="BQ250" s="12">
        <v>0</v>
      </c>
      <c r="BR250" s="12">
        <v>0</v>
      </c>
      <c r="BS250" s="12">
        <v>0</v>
      </c>
      <c r="BT250" s="12">
        <v>0</v>
      </c>
      <c r="BU250" s="12">
        <v>0</v>
      </c>
      <c r="BV250" s="12">
        <v>0</v>
      </c>
      <c r="BW250" s="12">
        <v>0</v>
      </c>
      <c r="BX250" s="12">
        <v>0</v>
      </c>
      <c r="BY250" s="12">
        <v>0</v>
      </c>
      <c r="BZ250" s="12">
        <v>0</v>
      </c>
      <c r="CA250" s="12">
        <v>0</v>
      </c>
    </row>
    <row r="251" spans="1:79" hidden="1" x14ac:dyDescent="0.2">
      <c r="A251" s="12" t="s">
        <v>137</v>
      </c>
      <c r="B251" s="12" t="s">
        <v>138</v>
      </c>
      <c r="C251" s="12" t="s">
        <v>138</v>
      </c>
      <c r="D251" s="22" t="s">
        <v>489</v>
      </c>
      <c r="E251" s="22" t="s">
        <v>161</v>
      </c>
      <c r="F251" s="22" t="s">
        <v>991</v>
      </c>
      <c r="G251" s="22" t="s">
        <v>992</v>
      </c>
      <c r="H251" s="22" t="s">
        <v>150</v>
      </c>
      <c r="I251" s="22" t="s">
        <v>151</v>
      </c>
      <c r="J251" s="22" t="s">
        <v>162</v>
      </c>
      <c r="K251" s="22" t="s">
        <v>93</v>
      </c>
      <c r="L251" s="54" t="s">
        <v>153</v>
      </c>
      <c r="M251" s="23" t="s">
        <v>153</v>
      </c>
      <c r="N251" s="24" t="s">
        <v>153</v>
      </c>
      <c r="O251" s="23" t="s">
        <v>153</v>
      </c>
      <c r="P251" s="23" t="s">
        <v>153</v>
      </c>
      <c r="Q251" s="23" t="s">
        <v>153</v>
      </c>
      <c r="R251" s="23" t="s">
        <v>153</v>
      </c>
      <c r="S251" s="23" t="s">
        <v>153</v>
      </c>
      <c r="T251" s="23" t="s">
        <v>153</v>
      </c>
      <c r="U251" s="24" t="s">
        <v>153</v>
      </c>
      <c r="V251" s="54" t="s">
        <v>153</v>
      </c>
      <c r="W251" s="23" t="s">
        <v>153</v>
      </c>
      <c r="X251" s="23" t="s">
        <v>153</v>
      </c>
      <c r="Y251" s="23" t="s">
        <v>153</v>
      </c>
      <c r="Z251" s="23" t="s">
        <v>153</v>
      </c>
      <c r="AA251" s="23" t="s">
        <v>153</v>
      </c>
      <c r="AB251" s="24" t="s">
        <v>153</v>
      </c>
      <c r="AC251" s="23" t="s">
        <v>153</v>
      </c>
      <c r="AD251" s="23" t="s">
        <v>153</v>
      </c>
      <c r="AE251" s="23" t="s">
        <v>153</v>
      </c>
      <c r="AF251" s="23" t="s">
        <v>153</v>
      </c>
      <c r="AG251" s="23" t="s">
        <v>153</v>
      </c>
      <c r="AH251" s="23" t="s">
        <v>153</v>
      </c>
      <c r="AI251" s="24" t="s">
        <v>153</v>
      </c>
      <c r="AJ251" s="24" t="s">
        <v>156</v>
      </c>
      <c r="AK251" s="24" t="s">
        <v>156</v>
      </c>
      <c r="AL251" s="24" t="s">
        <v>156</v>
      </c>
      <c r="AM251" s="24" t="s">
        <v>156</v>
      </c>
      <c r="AN251" s="23" t="s">
        <v>153</v>
      </c>
      <c r="AO251" s="23" t="s">
        <v>153</v>
      </c>
      <c r="AP251" s="23">
        <f>VALUE(0)</f>
        <v>0</v>
      </c>
      <c r="AQ251" s="23">
        <f>VALUE(0)</f>
        <v>0</v>
      </c>
      <c r="AR251" s="23">
        <f>VALUE(0)</f>
        <v>0</v>
      </c>
      <c r="AS251" s="23">
        <f>VALUE(0)</f>
        <v>0</v>
      </c>
      <c r="AT251" s="23">
        <f>VALUE(0)</f>
        <v>0</v>
      </c>
      <c r="AU251" s="23">
        <f>VALUE(0)</f>
        <v>0</v>
      </c>
      <c r="AV251" s="23">
        <f>VALUE(0)</f>
        <v>0</v>
      </c>
      <c r="AW251" s="23">
        <f>VALUE(0)</f>
        <v>0</v>
      </c>
      <c r="AX251" s="23" t="s">
        <v>290</v>
      </c>
      <c r="AY251" s="23" t="s">
        <v>509</v>
      </c>
      <c r="AZ251" s="23">
        <f>VALUE(0)</f>
        <v>0</v>
      </c>
      <c r="BA251" s="23">
        <f>VALUE(0)</f>
        <v>0</v>
      </c>
      <c r="BB251" s="23">
        <f>VALUE(0)</f>
        <v>0</v>
      </c>
      <c r="BC251" s="23">
        <f>VALUE(0)</f>
        <v>0</v>
      </c>
      <c r="BD251" s="23">
        <f>VALUE(0)</f>
        <v>0</v>
      </c>
      <c r="BE251" s="23">
        <f>VALUE(0)</f>
        <v>0</v>
      </c>
      <c r="BF251" s="23">
        <f>VALUE(0)</f>
        <v>0</v>
      </c>
      <c r="BG251" s="23">
        <f>VALUE(0)</f>
        <v>0</v>
      </c>
      <c r="BH251" s="23">
        <f>VALUE(0)</f>
        <v>0</v>
      </c>
      <c r="BI251" s="23">
        <f>VALUE(0)</f>
        <v>0</v>
      </c>
      <c r="BJ251" s="23">
        <f>VALUE(0)</f>
        <v>0</v>
      </c>
      <c r="BK251" s="12">
        <f>$AX$251*24</f>
        <v>4.4000000000000004</v>
      </c>
      <c r="BL251" s="12">
        <f>$AY$251*24</f>
        <v>5.95</v>
      </c>
      <c r="BM251" s="12">
        <f>$BJ$251*24</f>
        <v>0</v>
      </c>
      <c r="BN251" s="12">
        <f>VALUE($I$251)/100</f>
        <v>1</v>
      </c>
      <c r="BO251" s="12">
        <v>0</v>
      </c>
      <c r="BP251" s="12">
        <v>0</v>
      </c>
      <c r="BQ251" s="12">
        <v>0</v>
      </c>
      <c r="BR251" s="12">
        <v>0</v>
      </c>
      <c r="BS251" s="12">
        <v>0</v>
      </c>
      <c r="BT251" s="12">
        <v>0</v>
      </c>
      <c r="BU251" s="12">
        <v>0</v>
      </c>
      <c r="BV251" s="12">
        <v>0</v>
      </c>
      <c r="BW251" s="12">
        <v>0</v>
      </c>
      <c r="BX251" s="12">
        <v>0</v>
      </c>
      <c r="BY251" s="12">
        <v>0</v>
      </c>
      <c r="BZ251" s="12">
        <v>0</v>
      </c>
      <c r="CA251" s="12">
        <v>0</v>
      </c>
    </row>
    <row r="252" spans="1:79" hidden="1" x14ac:dyDescent="0.2">
      <c r="A252" s="12" t="s">
        <v>137</v>
      </c>
      <c r="B252" s="12" t="s">
        <v>138</v>
      </c>
      <c r="C252" s="12" t="s">
        <v>138</v>
      </c>
      <c r="D252" s="22" t="s">
        <v>510</v>
      </c>
      <c r="E252" s="22" t="s">
        <v>161</v>
      </c>
      <c r="F252" s="22" t="s">
        <v>993</v>
      </c>
      <c r="G252" s="22" t="s">
        <v>994</v>
      </c>
      <c r="H252" s="22" t="s">
        <v>166</v>
      </c>
      <c r="I252" s="22" t="s">
        <v>151</v>
      </c>
      <c r="J252" s="22" t="s">
        <v>162</v>
      </c>
      <c r="K252" s="22" t="s">
        <v>93</v>
      </c>
      <c r="L252" s="54" t="s">
        <v>156</v>
      </c>
      <c r="M252" s="23" t="s">
        <v>153</v>
      </c>
      <c r="N252" s="24" t="s">
        <v>153</v>
      </c>
      <c r="O252" s="23" t="s">
        <v>153</v>
      </c>
      <c r="P252" s="23" t="s">
        <v>153</v>
      </c>
      <c r="Q252" s="23" t="s">
        <v>153</v>
      </c>
      <c r="R252" s="23" t="s">
        <v>153</v>
      </c>
      <c r="S252" s="23" t="s">
        <v>153</v>
      </c>
      <c r="T252" s="23" t="s">
        <v>153</v>
      </c>
      <c r="U252" s="24" t="s">
        <v>153</v>
      </c>
      <c r="V252" s="54" t="s">
        <v>153</v>
      </c>
      <c r="W252" s="23" t="s">
        <v>153</v>
      </c>
      <c r="X252" s="23" t="s">
        <v>153</v>
      </c>
      <c r="Y252" s="23" t="s">
        <v>153</v>
      </c>
      <c r="Z252" s="23" t="s">
        <v>153</v>
      </c>
      <c r="AA252" s="24" t="s">
        <v>156</v>
      </c>
      <c r="AB252" s="24" t="s">
        <v>153</v>
      </c>
      <c r="AC252" s="24" t="s">
        <v>156</v>
      </c>
      <c r="AD252" s="24" t="s">
        <v>156</v>
      </c>
      <c r="AE252" s="23" t="s">
        <v>153</v>
      </c>
      <c r="AF252" s="23" t="s">
        <v>153</v>
      </c>
      <c r="AG252" s="23" t="s">
        <v>153</v>
      </c>
      <c r="AH252" s="23" t="s">
        <v>153</v>
      </c>
      <c r="AI252" s="24" t="s">
        <v>153</v>
      </c>
      <c r="AJ252" s="23" t="s">
        <v>153</v>
      </c>
      <c r="AK252" s="23" t="s">
        <v>153</v>
      </c>
      <c r="AL252" s="23" t="s">
        <v>153</v>
      </c>
      <c r="AM252" s="23" t="s">
        <v>153</v>
      </c>
      <c r="AN252" s="23" t="s">
        <v>153</v>
      </c>
      <c r="AO252" s="23" t="s">
        <v>153</v>
      </c>
      <c r="AP252" s="23">
        <f>VALUE(0)</f>
        <v>0</v>
      </c>
      <c r="AQ252" s="23">
        <f>VALUE(0)</f>
        <v>0</v>
      </c>
      <c r="AR252" s="23">
        <f>VALUE(0)</f>
        <v>0</v>
      </c>
      <c r="AS252" s="23">
        <f>VALUE(0)</f>
        <v>0</v>
      </c>
      <c r="AT252" s="23">
        <f>VALUE(0)</f>
        <v>0</v>
      </c>
      <c r="AU252" s="23">
        <f>VALUE(0)</f>
        <v>0</v>
      </c>
      <c r="AV252" s="23">
        <f>VALUE(2.5)</f>
        <v>2.5</v>
      </c>
      <c r="AW252" s="23">
        <f>VALUE(0)</f>
        <v>0</v>
      </c>
      <c r="AX252" s="23" t="s">
        <v>1270</v>
      </c>
      <c r="AY252" s="23">
        <f>VALUE(0)</f>
        <v>0</v>
      </c>
      <c r="AZ252" s="23">
        <f>VALUE(0)</f>
        <v>0</v>
      </c>
      <c r="BA252" s="23">
        <f>VALUE(0)</f>
        <v>0</v>
      </c>
      <c r="BB252" s="23">
        <f>VALUE(0)</f>
        <v>0</v>
      </c>
      <c r="BC252" s="23">
        <f>VALUE(0)</f>
        <v>0</v>
      </c>
      <c r="BD252" s="23">
        <f>VALUE(0)</f>
        <v>0</v>
      </c>
      <c r="BE252" s="23">
        <f>VALUE(0)</f>
        <v>0</v>
      </c>
      <c r="BF252" s="23">
        <f>VALUE(0)</f>
        <v>0</v>
      </c>
      <c r="BG252" s="23">
        <f>VALUE(0)</f>
        <v>0</v>
      </c>
      <c r="BH252" s="23">
        <f>VALUE(0)</f>
        <v>0</v>
      </c>
      <c r="BI252" s="23">
        <f>VALUE(0)</f>
        <v>0</v>
      </c>
      <c r="BJ252" s="23">
        <f>VALUE(0)</f>
        <v>0</v>
      </c>
      <c r="BK252" s="12">
        <f>$AX$252*24</f>
        <v>2</v>
      </c>
      <c r="BL252" s="12">
        <f>$AY$252*24</f>
        <v>0</v>
      </c>
      <c r="BM252" s="12">
        <f>$BJ$252*24</f>
        <v>0</v>
      </c>
      <c r="BN252" s="12">
        <f>VALUE($I$252)/100</f>
        <v>1</v>
      </c>
      <c r="BO252" s="12">
        <v>0</v>
      </c>
      <c r="BP252" s="12">
        <v>0</v>
      </c>
      <c r="BQ252" s="12">
        <v>0</v>
      </c>
      <c r="BR252" s="12">
        <v>0</v>
      </c>
      <c r="BS252" s="12">
        <v>0</v>
      </c>
      <c r="BT252" s="12">
        <v>0</v>
      </c>
      <c r="BU252" s="12">
        <v>0</v>
      </c>
      <c r="BV252" s="12">
        <v>0</v>
      </c>
      <c r="BW252" s="12">
        <v>0</v>
      </c>
      <c r="BX252" s="12">
        <v>0</v>
      </c>
      <c r="BY252" s="12">
        <v>0</v>
      </c>
      <c r="BZ252" s="12">
        <v>0</v>
      </c>
      <c r="CA252" s="12">
        <v>0</v>
      </c>
    </row>
    <row r="253" spans="1:79" hidden="1" x14ac:dyDescent="0.2">
      <c r="A253" s="12" t="s">
        <v>137</v>
      </c>
      <c r="B253" s="12" t="s">
        <v>138</v>
      </c>
      <c r="C253" s="12" t="s">
        <v>138</v>
      </c>
      <c r="D253" s="22" t="s">
        <v>1271</v>
      </c>
      <c r="E253" s="22" t="s">
        <v>159</v>
      </c>
      <c r="F253" s="22" t="s">
        <v>995</v>
      </c>
      <c r="G253" s="22" t="s">
        <v>996</v>
      </c>
      <c r="H253" s="22" t="s">
        <v>150</v>
      </c>
      <c r="I253" s="22" t="s">
        <v>151</v>
      </c>
      <c r="J253" s="22" t="s">
        <v>162</v>
      </c>
      <c r="K253" s="22" t="s">
        <v>93</v>
      </c>
      <c r="L253" s="54" t="s">
        <v>153</v>
      </c>
      <c r="M253" s="28" t="s">
        <v>163</v>
      </c>
      <c r="N253" s="24" t="s">
        <v>153</v>
      </c>
      <c r="O253" s="25" t="s">
        <v>511</v>
      </c>
      <c r="P253" s="25" t="s">
        <v>511</v>
      </c>
      <c r="Q253" s="24" t="s">
        <v>156</v>
      </c>
      <c r="R253" s="24" t="s">
        <v>156</v>
      </c>
      <c r="S253" s="23" t="s">
        <v>490</v>
      </c>
      <c r="T253" s="23" t="s">
        <v>490</v>
      </c>
      <c r="U253" s="24" t="s">
        <v>153</v>
      </c>
      <c r="V253" s="54" t="s">
        <v>153</v>
      </c>
      <c r="W253" s="25" t="s">
        <v>513</v>
      </c>
      <c r="X253" s="23" t="s">
        <v>511</v>
      </c>
      <c r="Y253" s="23" t="s">
        <v>511</v>
      </c>
      <c r="Z253" s="23" t="s">
        <v>500</v>
      </c>
      <c r="AA253" s="23" t="s">
        <v>500</v>
      </c>
      <c r="AB253" s="24" t="s">
        <v>153</v>
      </c>
      <c r="AC253" s="23" t="s">
        <v>500</v>
      </c>
      <c r="AD253" s="23" t="s">
        <v>500</v>
      </c>
      <c r="AE253" s="23" t="s">
        <v>500</v>
      </c>
      <c r="AF253" s="23" t="s">
        <v>500</v>
      </c>
      <c r="AG253" s="23" t="s">
        <v>500</v>
      </c>
      <c r="AH253" s="23" t="s">
        <v>500</v>
      </c>
      <c r="AI253" s="24" t="s">
        <v>153</v>
      </c>
      <c r="AJ253" s="25" t="s">
        <v>522</v>
      </c>
      <c r="AK253" s="25" t="s">
        <v>522</v>
      </c>
      <c r="AL253" s="23" t="s">
        <v>498</v>
      </c>
      <c r="AM253" s="23" t="s">
        <v>498</v>
      </c>
      <c r="AN253" s="24" t="s">
        <v>156</v>
      </c>
      <c r="AO253" s="24" t="s">
        <v>156</v>
      </c>
      <c r="AP253" s="23">
        <f>VALUE(0)</f>
        <v>0</v>
      </c>
      <c r="AQ253" s="23">
        <f>VALUE(0)</f>
        <v>0</v>
      </c>
      <c r="AR253" s="23">
        <f>VALUE(0)</f>
        <v>0</v>
      </c>
      <c r="AS253" s="23">
        <f>VALUE(0)</f>
        <v>0</v>
      </c>
      <c r="AT253" s="23">
        <f>VALUE(0)</f>
        <v>0</v>
      </c>
      <c r="AU253" s="23">
        <f>VALUE(1)</f>
        <v>1</v>
      </c>
      <c r="AV253" s="23">
        <f>VALUE(3)</f>
        <v>3</v>
      </c>
      <c r="AW253" s="23">
        <f>VALUE(0)</f>
        <v>0</v>
      </c>
      <c r="AX253" s="23" t="s">
        <v>176</v>
      </c>
      <c r="AY253" s="23">
        <f>VALUE(0)</f>
        <v>0</v>
      </c>
      <c r="AZ253" s="23">
        <f>VALUE(0)</f>
        <v>0</v>
      </c>
      <c r="BA253" s="23">
        <f>VALUE(0)</f>
        <v>0</v>
      </c>
      <c r="BB253" s="23">
        <f>VALUE(0)</f>
        <v>0</v>
      </c>
      <c r="BC253" s="23">
        <f>VALUE(0)</f>
        <v>0</v>
      </c>
      <c r="BD253" s="23">
        <f>VALUE(0)</f>
        <v>0</v>
      </c>
      <c r="BE253" s="23">
        <f>VALUE(0)</f>
        <v>0</v>
      </c>
      <c r="BF253" s="23">
        <f>VALUE(0)</f>
        <v>0</v>
      </c>
      <c r="BG253" s="23">
        <f>VALUE(0)</f>
        <v>0</v>
      </c>
      <c r="BH253" s="23">
        <f>VALUE(0)</f>
        <v>0</v>
      </c>
      <c r="BI253" s="23">
        <f>VALUE(0)</f>
        <v>0</v>
      </c>
      <c r="BJ253" s="23">
        <f>VALUE(0)</f>
        <v>0</v>
      </c>
      <c r="BK253" s="12">
        <f>$AX$253*24</f>
        <v>0</v>
      </c>
      <c r="BL253" s="12">
        <f>$AY$253*24</f>
        <v>0</v>
      </c>
      <c r="BM253" s="12">
        <f>$BJ$253*24</f>
        <v>0</v>
      </c>
      <c r="BN253" s="12">
        <f>VALUE($I$253)/100</f>
        <v>1</v>
      </c>
      <c r="BO253" s="12">
        <v>0</v>
      </c>
      <c r="BP253" s="12">
        <v>0</v>
      </c>
      <c r="BQ253" s="12">
        <v>0</v>
      </c>
      <c r="BR253" s="12">
        <v>0</v>
      </c>
      <c r="BS253" s="12">
        <v>0</v>
      </c>
      <c r="BT253" s="12">
        <v>0</v>
      </c>
      <c r="BU253" s="12">
        <v>0</v>
      </c>
      <c r="BV253" s="12">
        <v>0</v>
      </c>
      <c r="BW253" s="12">
        <v>0</v>
      </c>
      <c r="BX253" s="12">
        <v>0</v>
      </c>
      <c r="BY253" s="12">
        <v>0</v>
      </c>
      <c r="BZ253" s="12">
        <v>0</v>
      </c>
      <c r="CA253" s="12">
        <v>0</v>
      </c>
    </row>
    <row r="254" spans="1:79" hidden="1" x14ac:dyDescent="0.2">
      <c r="A254" s="12" t="s">
        <v>137</v>
      </c>
      <c r="B254" s="12" t="s">
        <v>138</v>
      </c>
      <c r="C254" s="12" t="s">
        <v>138</v>
      </c>
      <c r="D254" s="22" t="s">
        <v>307</v>
      </c>
      <c r="E254" s="22" t="s">
        <v>173</v>
      </c>
      <c r="F254" s="22" t="s">
        <v>997</v>
      </c>
      <c r="G254" s="22" t="s">
        <v>998</v>
      </c>
      <c r="H254" s="22" t="s">
        <v>150</v>
      </c>
      <c r="I254" s="22" t="s">
        <v>151</v>
      </c>
      <c r="J254" s="22" t="s">
        <v>162</v>
      </c>
      <c r="K254" s="22" t="s">
        <v>93</v>
      </c>
      <c r="L254" s="54" t="s">
        <v>153</v>
      </c>
      <c r="M254" s="23" t="s">
        <v>497</v>
      </c>
      <c r="N254" s="24" t="s">
        <v>153</v>
      </c>
      <c r="O254" s="28" t="s">
        <v>163</v>
      </c>
      <c r="P254" s="28" t="s">
        <v>163</v>
      </c>
      <c r="Q254" s="28" t="s">
        <v>163</v>
      </c>
      <c r="R254" s="28" t="s">
        <v>163</v>
      </c>
      <c r="S254" s="28" t="s">
        <v>163</v>
      </c>
      <c r="T254" s="28" t="s">
        <v>163</v>
      </c>
      <c r="U254" s="24" t="s">
        <v>153</v>
      </c>
      <c r="V254" s="54" t="s">
        <v>153</v>
      </c>
      <c r="W254" s="23" t="s">
        <v>492</v>
      </c>
      <c r="X254" s="24" t="s">
        <v>156</v>
      </c>
      <c r="Y254" s="24" t="s">
        <v>156</v>
      </c>
      <c r="Z254" s="25" t="s">
        <v>510</v>
      </c>
      <c r="AA254" s="23" t="s">
        <v>510</v>
      </c>
      <c r="AB254" s="24" t="s">
        <v>153</v>
      </c>
      <c r="AC254" s="23" t="s">
        <v>510</v>
      </c>
      <c r="AD254" s="23" t="s">
        <v>510</v>
      </c>
      <c r="AE254" s="23" t="s">
        <v>492</v>
      </c>
      <c r="AF254" s="23" t="s">
        <v>492</v>
      </c>
      <c r="AG254" s="23" t="s">
        <v>493</v>
      </c>
      <c r="AH254" s="23" t="s">
        <v>493</v>
      </c>
      <c r="AI254" s="24" t="s">
        <v>153</v>
      </c>
      <c r="AJ254" s="23" t="s">
        <v>489</v>
      </c>
      <c r="AK254" s="23" t="s">
        <v>489</v>
      </c>
      <c r="AL254" s="23" t="s">
        <v>489</v>
      </c>
      <c r="AM254" s="23" t="s">
        <v>489</v>
      </c>
      <c r="AN254" s="25" t="s">
        <v>513</v>
      </c>
      <c r="AO254" s="25" t="s">
        <v>513</v>
      </c>
      <c r="AP254" s="23">
        <f>VALUE(0)</f>
        <v>0</v>
      </c>
      <c r="AQ254" s="23">
        <f>VALUE(0)</f>
        <v>0</v>
      </c>
      <c r="AR254" s="23">
        <f>VALUE(0)</f>
        <v>0</v>
      </c>
      <c r="AS254" s="23">
        <f>VALUE(0)</f>
        <v>0</v>
      </c>
      <c r="AT254" s="23">
        <f>VALUE(0)</f>
        <v>0</v>
      </c>
      <c r="AU254" s="23">
        <f>VALUE(6)</f>
        <v>6</v>
      </c>
      <c r="AV254" s="23">
        <f>VALUE(2)</f>
        <v>2</v>
      </c>
      <c r="AW254" s="23">
        <f>VALUE(0)</f>
        <v>0</v>
      </c>
      <c r="AX254" s="23" t="s">
        <v>158</v>
      </c>
      <c r="AY254" s="23" t="s">
        <v>345</v>
      </c>
      <c r="AZ254" s="23">
        <f>VALUE(0)</f>
        <v>0</v>
      </c>
      <c r="BA254" s="23">
        <f>VALUE(0)</f>
        <v>0</v>
      </c>
      <c r="BB254" s="23">
        <f>VALUE(0)</f>
        <v>0</v>
      </c>
      <c r="BC254" s="23">
        <f>VALUE(0)</f>
        <v>0</v>
      </c>
      <c r="BD254" s="23">
        <f>VALUE(0)</f>
        <v>0</v>
      </c>
      <c r="BE254" s="23">
        <f>VALUE(0)</f>
        <v>0</v>
      </c>
      <c r="BF254" s="23">
        <f>VALUE(0)</f>
        <v>0</v>
      </c>
      <c r="BG254" s="23">
        <f>VALUE(0)</f>
        <v>0</v>
      </c>
      <c r="BH254" s="23">
        <f>VALUE(0)</f>
        <v>0</v>
      </c>
      <c r="BI254" s="23">
        <f>VALUE(0)</f>
        <v>0</v>
      </c>
      <c r="BJ254" s="23">
        <f>VALUE(0)</f>
        <v>0</v>
      </c>
      <c r="BK254" s="12">
        <f>$AX$254*24</f>
        <v>11.666666666666666</v>
      </c>
      <c r="BL254" s="12">
        <f>$AY$254*24</f>
        <v>0.25</v>
      </c>
      <c r="BM254" s="12">
        <f>$BJ$254*24</f>
        <v>0</v>
      </c>
      <c r="BN254" s="12">
        <f>VALUE($I$254)/100</f>
        <v>1</v>
      </c>
      <c r="BO254" s="12">
        <v>0</v>
      </c>
      <c r="BP254" s="12">
        <v>0</v>
      </c>
      <c r="BQ254" s="12">
        <v>0</v>
      </c>
      <c r="BR254" s="12">
        <v>0</v>
      </c>
      <c r="BS254" s="12">
        <v>0</v>
      </c>
      <c r="BT254" s="12">
        <v>0</v>
      </c>
      <c r="BU254" s="12">
        <v>0</v>
      </c>
      <c r="BV254" s="12">
        <v>0</v>
      </c>
      <c r="BW254" s="12">
        <v>0</v>
      </c>
      <c r="BX254" s="12">
        <v>0</v>
      </c>
      <c r="BY254" s="12">
        <v>0</v>
      </c>
      <c r="BZ254" s="12">
        <v>0</v>
      </c>
      <c r="CA254" s="12">
        <v>0</v>
      </c>
    </row>
    <row r="255" spans="1:79" hidden="1" x14ac:dyDescent="0.2">
      <c r="A255" s="12" t="s">
        <v>137</v>
      </c>
      <c r="B255" s="12" t="s">
        <v>138</v>
      </c>
      <c r="C255" s="12" t="s">
        <v>138</v>
      </c>
      <c r="D255" s="22" t="s">
        <v>493</v>
      </c>
      <c r="E255" s="22" t="s">
        <v>161</v>
      </c>
      <c r="F255" s="22" t="s">
        <v>999</v>
      </c>
      <c r="G255" s="22" t="s">
        <v>1000</v>
      </c>
      <c r="H255" s="22" t="s">
        <v>166</v>
      </c>
      <c r="I255" s="22" t="s">
        <v>151</v>
      </c>
      <c r="J255" s="22" t="s">
        <v>181</v>
      </c>
      <c r="K255" s="22" t="s">
        <v>93</v>
      </c>
      <c r="L255" s="54" t="s">
        <v>153</v>
      </c>
      <c r="M255" s="23" t="s">
        <v>153</v>
      </c>
      <c r="N255" s="24" t="s">
        <v>153</v>
      </c>
      <c r="O255" s="23" t="s">
        <v>153</v>
      </c>
      <c r="P255" s="23" t="s">
        <v>153</v>
      </c>
      <c r="Q255" s="23" t="s">
        <v>153</v>
      </c>
      <c r="R255" s="23" t="s">
        <v>153</v>
      </c>
      <c r="S255" s="23" t="s">
        <v>153</v>
      </c>
      <c r="T255" s="23" t="s">
        <v>153</v>
      </c>
      <c r="U255" s="24" t="s">
        <v>153</v>
      </c>
      <c r="V255" s="54" t="s">
        <v>153</v>
      </c>
      <c r="W255" s="23" t="s">
        <v>153</v>
      </c>
      <c r="X255" s="23" t="s">
        <v>153</v>
      </c>
      <c r="Y255" s="23" t="s">
        <v>153</v>
      </c>
      <c r="Z255" s="23" t="s">
        <v>153</v>
      </c>
      <c r="AA255" s="23" t="s">
        <v>153</v>
      </c>
      <c r="AB255" s="24" t="s">
        <v>153</v>
      </c>
      <c r="AC255" s="23" t="s">
        <v>153</v>
      </c>
      <c r="AD255" s="23" t="s">
        <v>153</v>
      </c>
      <c r="AE255" s="23" t="s">
        <v>153</v>
      </c>
      <c r="AF255" s="23" t="s">
        <v>153</v>
      </c>
      <c r="AG255" s="24" t="s">
        <v>156</v>
      </c>
      <c r="AH255" s="24" t="s">
        <v>156</v>
      </c>
      <c r="AI255" s="24" t="s">
        <v>153</v>
      </c>
      <c r="AJ255" s="23" t="s">
        <v>153</v>
      </c>
      <c r="AK255" s="23" t="s">
        <v>153</v>
      </c>
      <c r="AL255" s="23" t="s">
        <v>153</v>
      </c>
      <c r="AM255" s="23" t="s">
        <v>153</v>
      </c>
      <c r="AN255" s="23" t="s">
        <v>153</v>
      </c>
      <c r="AO255" s="23" t="s">
        <v>153</v>
      </c>
      <c r="AP255" s="23">
        <f>VALUE(0)</f>
        <v>0</v>
      </c>
      <c r="AQ255" s="23">
        <f>VALUE(0)</f>
        <v>0</v>
      </c>
      <c r="AR255" s="23">
        <f>VALUE(0)</f>
        <v>0</v>
      </c>
      <c r="AS255" s="23">
        <f>VALUE(0)</f>
        <v>0</v>
      </c>
      <c r="AT255" s="23">
        <f>VALUE(0)</f>
        <v>0</v>
      </c>
      <c r="AU255" s="23">
        <f>VALUE(0)</f>
        <v>0</v>
      </c>
      <c r="AV255" s="23">
        <f>VALUE(0)</f>
        <v>0</v>
      </c>
      <c r="AW255" s="23">
        <f>VALUE(0)</f>
        <v>0</v>
      </c>
      <c r="AX255" s="23" t="s">
        <v>1272</v>
      </c>
      <c r="AY255" s="23">
        <f>VALUE(0)</f>
        <v>0</v>
      </c>
      <c r="AZ255" s="23">
        <f>VALUE(0)</f>
        <v>0</v>
      </c>
      <c r="BA255" s="23">
        <f>VALUE(0)</f>
        <v>0</v>
      </c>
      <c r="BB255" s="23">
        <f>VALUE(0)</f>
        <v>0</v>
      </c>
      <c r="BC255" s="23">
        <f>VALUE(0)</f>
        <v>0</v>
      </c>
      <c r="BD255" s="23">
        <f>VALUE(0)</f>
        <v>0</v>
      </c>
      <c r="BE255" s="23">
        <f>VALUE(0)</f>
        <v>0</v>
      </c>
      <c r="BF255" s="23">
        <f>VALUE(0)</f>
        <v>0</v>
      </c>
      <c r="BG255" s="23">
        <f>VALUE(0)</f>
        <v>0</v>
      </c>
      <c r="BH255" s="23">
        <f>VALUE(0)</f>
        <v>0</v>
      </c>
      <c r="BI255" s="23">
        <f>VALUE(0)</f>
        <v>0</v>
      </c>
      <c r="BJ255" s="23">
        <f>VALUE(0)</f>
        <v>0</v>
      </c>
      <c r="BK255" s="12">
        <f>$AX$255*24</f>
        <v>18.649999999999999</v>
      </c>
      <c r="BL255" s="12">
        <f>$AY$255*24</f>
        <v>0</v>
      </c>
      <c r="BM255" s="12">
        <f>$BJ$255*24</f>
        <v>0</v>
      </c>
      <c r="BN255" s="12">
        <f>VALUE($I$255)/100</f>
        <v>1</v>
      </c>
      <c r="BO255" s="12">
        <v>0</v>
      </c>
      <c r="BP255" s="12">
        <v>0</v>
      </c>
      <c r="BQ255" s="12">
        <v>0</v>
      </c>
      <c r="BR255" s="12">
        <v>0</v>
      </c>
      <c r="BS255" s="12">
        <v>0</v>
      </c>
      <c r="BT255" s="12">
        <v>0</v>
      </c>
      <c r="BU255" s="12">
        <v>0</v>
      </c>
      <c r="BV255" s="12">
        <v>0</v>
      </c>
      <c r="BW255" s="12">
        <v>0</v>
      </c>
      <c r="BX255" s="12">
        <v>0</v>
      </c>
      <c r="BY255" s="12">
        <v>0</v>
      </c>
      <c r="BZ255" s="12">
        <v>0</v>
      </c>
      <c r="CA255" s="12">
        <v>0</v>
      </c>
    </row>
    <row r="256" spans="1:79" ht="15" hidden="1" x14ac:dyDescent="0.25">
      <c r="A256" s="12" t="s">
        <v>137</v>
      </c>
      <c r="B256" s="12" t="s">
        <v>138</v>
      </c>
      <c r="C256" s="12" t="s">
        <v>138</v>
      </c>
      <c r="D256" s="31" t="s">
        <v>333</v>
      </c>
      <c r="E256" s="31" t="s">
        <v>153</v>
      </c>
      <c r="F256" s="31" t="s">
        <v>175</v>
      </c>
      <c r="G256" s="31" t="s">
        <v>153</v>
      </c>
      <c r="H256" s="31" t="s">
        <v>153</v>
      </c>
      <c r="I256" s="31" t="s">
        <v>153</v>
      </c>
      <c r="J256" s="31" t="s">
        <v>153</v>
      </c>
      <c r="K256" s="31" t="s">
        <v>153</v>
      </c>
      <c r="L256" s="31">
        <f>VALUE(0)</f>
        <v>0</v>
      </c>
      <c r="M256" s="31">
        <f>VALUE(6)</f>
        <v>6</v>
      </c>
      <c r="N256" s="31">
        <f>VALUE(0)</f>
        <v>0</v>
      </c>
      <c r="O256" s="31">
        <f>VALUE(6)</f>
        <v>6</v>
      </c>
      <c r="P256" s="31">
        <f>VALUE(6)</f>
        <v>6</v>
      </c>
      <c r="Q256" s="31">
        <f>VALUE(6)</f>
        <v>6</v>
      </c>
      <c r="R256" s="31">
        <f>VALUE(6)</f>
        <v>6</v>
      </c>
      <c r="S256" s="31">
        <f>VALUE(7)</f>
        <v>7</v>
      </c>
      <c r="T256" s="31">
        <f>VALUE(7)</f>
        <v>7</v>
      </c>
      <c r="U256" s="31">
        <f>VALUE(0)</f>
        <v>0</v>
      </c>
      <c r="V256" s="31">
        <f>VALUE(0)</f>
        <v>0</v>
      </c>
      <c r="W256" s="31">
        <f>VALUE(6)</f>
        <v>6</v>
      </c>
      <c r="X256" s="31">
        <f>VALUE(6)</f>
        <v>6</v>
      </c>
      <c r="Y256" s="31">
        <f>VALUE(6)</f>
        <v>6</v>
      </c>
      <c r="Z256" s="31">
        <f>VALUE(7)</f>
        <v>7</v>
      </c>
      <c r="AA256" s="31">
        <f>VALUE(6)</f>
        <v>6</v>
      </c>
      <c r="AB256" s="31">
        <f>VALUE(0)</f>
        <v>0</v>
      </c>
      <c r="AC256" s="31">
        <f>VALUE(6)</f>
        <v>6</v>
      </c>
      <c r="AD256" s="31">
        <f>VALUE(6)</f>
        <v>6</v>
      </c>
      <c r="AE256" s="31">
        <f>VALUE(6)</f>
        <v>6</v>
      </c>
      <c r="AF256" s="31">
        <f>VALUE(6)</f>
        <v>6</v>
      </c>
      <c r="AG256" s="31">
        <f>VALUE(6)</f>
        <v>6</v>
      </c>
      <c r="AH256" s="31">
        <f>VALUE(6)</f>
        <v>6</v>
      </c>
      <c r="AI256" s="31">
        <f>VALUE(0)</f>
        <v>0</v>
      </c>
      <c r="AJ256" s="31">
        <f>VALUE(7)</f>
        <v>7</v>
      </c>
      <c r="AK256" s="31">
        <f>VALUE(7)</f>
        <v>7</v>
      </c>
      <c r="AL256" s="31">
        <f>VALUE(7)</f>
        <v>7</v>
      </c>
      <c r="AM256" s="31">
        <f>VALUE(7)</f>
        <v>7</v>
      </c>
      <c r="AN256" s="31">
        <f>VALUE(7)</f>
        <v>7</v>
      </c>
      <c r="AO256" s="31">
        <f>VALUE(7)</f>
        <v>7</v>
      </c>
      <c r="AP256" s="31">
        <v>0</v>
      </c>
      <c r="AQ256" s="31">
        <v>0</v>
      </c>
      <c r="AR256" s="31">
        <v>0</v>
      </c>
      <c r="AS256" s="31">
        <v>0</v>
      </c>
      <c r="AT256" s="31">
        <v>0</v>
      </c>
      <c r="AU256" s="31">
        <v>0</v>
      </c>
      <c r="AV256" s="31">
        <v>0</v>
      </c>
      <c r="AW256" s="31">
        <v>0</v>
      </c>
      <c r="AX256" s="31">
        <v>0</v>
      </c>
      <c r="AY256" s="31">
        <v>0</v>
      </c>
      <c r="AZ256" s="31">
        <v>0</v>
      </c>
      <c r="BA256" s="31">
        <v>0</v>
      </c>
      <c r="BB256" s="31">
        <v>0</v>
      </c>
      <c r="BC256" s="31">
        <v>0</v>
      </c>
      <c r="BD256" s="31">
        <v>0</v>
      </c>
      <c r="BE256" s="31">
        <v>0</v>
      </c>
      <c r="BF256" s="31">
        <v>0</v>
      </c>
      <c r="BG256" s="31">
        <v>0</v>
      </c>
      <c r="BH256" s="31">
        <v>0</v>
      </c>
      <c r="BI256" s="31">
        <v>0</v>
      </c>
      <c r="BJ256" s="31">
        <v>0</v>
      </c>
      <c r="BK256" s="12">
        <v>0</v>
      </c>
      <c r="BL256" s="12">
        <v>0</v>
      </c>
      <c r="BM256" s="12">
        <v>0</v>
      </c>
      <c r="BN256" s="12"/>
      <c r="BO256" s="12">
        <v>0</v>
      </c>
      <c r="BP256" s="12">
        <v>0</v>
      </c>
      <c r="BQ256" s="12">
        <v>0</v>
      </c>
      <c r="BR256" s="12">
        <v>0</v>
      </c>
      <c r="BS256" s="12">
        <v>0</v>
      </c>
      <c r="BT256" s="12">
        <v>0</v>
      </c>
      <c r="BU256" s="12">
        <v>0</v>
      </c>
      <c r="BV256" s="12">
        <v>0</v>
      </c>
      <c r="BW256" s="12">
        <v>0</v>
      </c>
      <c r="BX256" s="12">
        <v>0</v>
      </c>
      <c r="BY256" s="12">
        <v>0</v>
      </c>
      <c r="BZ256" s="12">
        <v>0</v>
      </c>
      <c r="CA256" s="12">
        <v>0</v>
      </c>
    </row>
    <row r="257" spans="1:79" hidden="1" x14ac:dyDescent="0.2">
      <c r="A257" s="12" t="s">
        <v>137</v>
      </c>
      <c r="B257" s="12" t="s">
        <v>139</v>
      </c>
      <c r="C257" s="12" t="s">
        <v>139</v>
      </c>
      <c r="D257" s="22" t="s">
        <v>514</v>
      </c>
      <c r="E257" s="22" t="s">
        <v>161</v>
      </c>
      <c r="F257" s="22" t="s">
        <v>1001</v>
      </c>
      <c r="G257" s="22" t="s">
        <v>1002</v>
      </c>
      <c r="H257" s="22" t="s">
        <v>166</v>
      </c>
      <c r="I257" s="22" t="s">
        <v>151</v>
      </c>
      <c r="J257" s="22" t="s">
        <v>162</v>
      </c>
      <c r="K257" s="22" t="s">
        <v>94</v>
      </c>
      <c r="L257" s="54" t="s">
        <v>153</v>
      </c>
      <c r="M257" s="23" t="s">
        <v>153</v>
      </c>
      <c r="N257" s="24" t="s">
        <v>153</v>
      </c>
      <c r="O257" s="23" t="s">
        <v>153</v>
      </c>
      <c r="P257" s="23" t="s">
        <v>153</v>
      </c>
      <c r="Q257" s="23" t="s">
        <v>153</v>
      </c>
      <c r="R257" s="23" t="s">
        <v>153</v>
      </c>
      <c r="S257" s="23" t="s">
        <v>153</v>
      </c>
      <c r="T257" s="23" t="s">
        <v>153</v>
      </c>
      <c r="U257" s="24" t="s">
        <v>153</v>
      </c>
      <c r="V257" s="54" t="s">
        <v>153</v>
      </c>
      <c r="W257" s="28" t="s">
        <v>163</v>
      </c>
      <c r="X257" s="23" t="s">
        <v>153</v>
      </c>
      <c r="Y257" s="23" t="s">
        <v>153</v>
      </c>
      <c r="Z257" s="23" t="s">
        <v>153</v>
      </c>
      <c r="AA257" s="23" t="s">
        <v>153</v>
      </c>
      <c r="AB257" s="24" t="s">
        <v>153</v>
      </c>
      <c r="AC257" s="23" t="s">
        <v>153</v>
      </c>
      <c r="AD257" s="23" t="s">
        <v>153</v>
      </c>
      <c r="AE257" s="23" t="s">
        <v>153</v>
      </c>
      <c r="AF257" s="23" t="s">
        <v>153</v>
      </c>
      <c r="AG257" s="24" t="s">
        <v>156</v>
      </c>
      <c r="AH257" s="24" t="s">
        <v>156</v>
      </c>
      <c r="AI257" s="24" t="s">
        <v>153</v>
      </c>
      <c r="AJ257" s="23" t="s">
        <v>153</v>
      </c>
      <c r="AK257" s="23" t="s">
        <v>153</v>
      </c>
      <c r="AL257" s="23" t="s">
        <v>153</v>
      </c>
      <c r="AM257" s="23" t="s">
        <v>153</v>
      </c>
      <c r="AN257" s="29" t="s">
        <v>218</v>
      </c>
      <c r="AO257" s="29" t="s">
        <v>218</v>
      </c>
      <c r="AP257" s="23">
        <f>VALUE(0)</f>
        <v>0</v>
      </c>
      <c r="AQ257" s="23">
        <f>VALUE(0)</f>
        <v>0</v>
      </c>
      <c r="AR257" s="23">
        <f>VALUE(2)</f>
        <v>2</v>
      </c>
      <c r="AS257" s="23">
        <f>VALUE(0)</f>
        <v>0</v>
      </c>
      <c r="AT257" s="23">
        <f>VALUE(0)</f>
        <v>0</v>
      </c>
      <c r="AU257" s="23">
        <f>VALUE(1)</f>
        <v>1</v>
      </c>
      <c r="AV257" s="23">
        <f>VALUE(7)</f>
        <v>7</v>
      </c>
      <c r="AW257" s="23">
        <f>VALUE(0)</f>
        <v>0</v>
      </c>
      <c r="AX257" s="23" t="s">
        <v>1273</v>
      </c>
      <c r="AY257" s="23">
        <f>VALUE(0)</f>
        <v>0</v>
      </c>
      <c r="AZ257" s="23">
        <f>VALUE(0)</f>
        <v>0</v>
      </c>
      <c r="BA257" s="23">
        <f>VALUE(0)</f>
        <v>0</v>
      </c>
      <c r="BB257" s="23">
        <f>VALUE(0)</f>
        <v>0</v>
      </c>
      <c r="BC257" s="23">
        <f>VALUE(0)</f>
        <v>0</v>
      </c>
      <c r="BD257" s="23">
        <f>VALUE(0)</f>
        <v>0</v>
      </c>
      <c r="BE257" s="23">
        <f>VALUE(0)</f>
        <v>0</v>
      </c>
      <c r="BF257" s="23">
        <f>VALUE(0)</f>
        <v>0</v>
      </c>
      <c r="BG257" s="23">
        <f>VALUE(0)</f>
        <v>0</v>
      </c>
      <c r="BH257" s="23">
        <f>VALUE(0)</f>
        <v>0</v>
      </c>
      <c r="BI257" s="23">
        <f>VALUE(0)</f>
        <v>0</v>
      </c>
      <c r="BJ257" s="23">
        <f>VALUE(0)</f>
        <v>0</v>
      </c>
      <c r="BK257" s="12">
        <f>$AX$257*24</f>
        <v>11.583333333333334</v>
      </c>
      <c r="BL257" s="12">
        <f>$AY$257*24</f>
        <v>0</v>
      </c>
      <c r="BM257" s="12">
        <f>$BJ$257*24</f>
        <v>0</v>
      </c>
      <c r="BN257" s="12">
        <f>VALUE($I$257)/100</f>
        <v>1</v>
      </c>
      <c r="BO257" s="12">
        <v>0</v>
      </c>
      <c r="BP257" s="12">
        <v>0</v>
      </c>
      <c r="BQ257" s="12">
        <v>0</v>
      </c>
      <c r="BR257" s="12">
        <v>0</v>
      </c>
      <c r="BS257" s="12">
        <v>2</v>
      </c>
      <c r="BT257" s="12">
        <v>0</v>
      </c>
      <c r="BU257" s="12">
        <v>0</v>
      </c>
      <c r="BV257" s="12">
        <v>0</v>
      </c>
      <c r="BW257" s="12">
        <v>0</v>
      </c>
      <c r="BX257" s="12">
        <v>0</v>
      </c>
      <c r="BY257" s="12">
        <v>0</v>
      </c>
      <c r="BZ257" s="12">
        <v>0</v>
      </c>
      <c r="CA257" s="12">
        <v>0</v>
      </c>
    </row>
    <row r="258" spans="1:79" hidden="1" x14ac:dyDescent="0.2">
      <c r="A258" s="12" t="s">
        <v>137</v>
      </c>
      <c r="B258" s="12" t="s">
        <v>139</v>
      </c>
      <c r="C258" s="12" t="s">
        <v>139</v>
      </c>
      <c r="D258" s="22" t="s">
        <v>511</v>
      </c>
      <c r="E258" s="22" t="s">
        <v>161</v>
      </c>
      <c r="F258" s="22" t="s">
        <v>1003</v>
      </c>
      <c r="G258" s="22" t="s">
        <v>1004</v>
      </c>
      <c r="H258" s="22" t="s">
        <v>150</v>
      </c>
      <c r="I258" s="22" t="s">
        <v>151</v>
      </c>
      <c r="J258" s="22" t="s">
        <v>162</v>
      </c>
      <c r="K258" s="22" t="s">
        <v>94</v>
      </c>
      <c r="L258" s="54" t="s">
        <v>153</v>
      </c>
      <c r="M258" s="28" t="s">
        <v>163</v>
      </c>
      <c r="N258" s="24" t="s">
        <v>153</v>
      </c>
      <c r="O258" s="23" t="s">
        <v>153</v>
      </c>
      <c r="P258" s="23" t="s">
        <v>153</v>
      </c>
      <c r="Q258" s="23" t="s">
        <v>153</v>
      </c>
      <c r="R258" s="23" t="s">
        <v>498</v>
      </c>
      <c r="S258" s="23" t="s">
        <v>498</v>
      </c>
      <c r="T258" s="23" t="s">
        <v>498</v>
      </c>
      <c r="U258" s="24" t="s">
        <v>153</v>
      </c>
      <c r="V258" s="54" t="s">
        <v>153</v>
      </c>
      <c r="W258" s="23" t="s">
        <v>498</v>
      </c>
      <c r="X258" s="23" t="s">
        <v>498</v>
      </c>
      <c r="Y258" s="23" t="s">
        <v>498</v>
      </c>
      <c r="Z258" s="23" t="s">
        <v>498</v>
      </c>
      <c r="AA258" s="23" t="s">
        <v>498</v>
      </c>
      <c r="AB258" s="24" t="s">
        <v>153</v>
      </c>
      <c r="AC258" s="23" t="s">
        <v>498</v>
      </c>
      <c r="AD258" s="23" t="s">
        <v>498</v>
      </c>
      <c r="AE258" s="23" t="s">
        <v>498</v>
      </c>
      <c r="AF258" s="23" t="s">
        <v>498</v>
      </c>
      <c r="AG258" s="23" t="s">
        <v>498</v>
      </c>
      <c r="AH258" s="23" t="s">
        <v>498</v>
      </c>
      <c r="AI258" s="24" t="s">
        <v>153</v>
      </c>
      <c r="AJ258" s="23" t="s">
        <v>498</v>
      </c>
      <c r="AK258" s="23" t="s">
        <v>498</v>
      </c>
      <c r="AL258" s="24" t="s">
        <v>156</v>
      </c>
      <c r="AM258" s="24" t="s">
        <v>156</v>
      </c>
      <c r="AN258" s="23" t="s">
        <v>498</v>
      </c>
      <c r="AO258" s="23" t="s">
        <v>498</v>
      </c>
      <c r="AP258" s="23">
        <f>VALUE(0)</f>
        <v>0</v>
      </c>
      <c r="AQ258" s="23">
        <f>VALUE(0)</f>
        <v>0</v>
      </c>
      <c r="AR258" s="23">
        <f>VALUE(0)</f>
        <v>0</v>
      </c>
      <c r="AS258" s="23">
        <f>VALUE(0)</f>
        <v>0</v>
      </c>
      <c r="AT258" s="23">
        <f>VALUE(0)</f>
        <v>0</v>
      </c>
      <c r="AU258" s="23">
        <f>VALUE(1)</f>
        <v>1</v>
      </c>
      <c r="AV258" s="23">
        <f>VALUE(0)</f>
        <v>0</v>
      </c>
      <c r="AW258" s="23">
        <f>VALUE(0)</f>
        <v>0</v>
      </c>
      <c r="AX258" s="23" t="s">
        <v>515</v>
      </c>
      <c r="AY258" s="23" t="s">
        <v>1274</v>
      </c>
      <c r="AZ258" s="23">
        <f>VALUE(0)</f>
        <v>0</v>
      </c>
      <c r="BA258" s="23">
        <f>VALUE(0)</f>
        <v>0</v>
      </c>
      <c r="BB258" s="23">
        <f>VALUE(0)</f>
        <v>0</v>
      </c>
      <c r="BC258" s="23">
        <f>VALUE(0)</f>
        <v>0</v>
      </c>
      <c r="BD258" s="23">
        <f>VALUE(0)</f>
        <v>0</v>
      </c>
      <c r="BE258" s="23">
        <f>VALUE(0)</f>
        <v>0</v>
      </c>
      <c r="BF258" s="23">
        <f>VALUE(0)</f>
        <v>0</v>
      </c>
      <c r="BG258" s="23">
        <f>VALUE(0)</f>
        <v>0</v>
      </c>
      <c r="BH258" s="23">
        <f>VALUE(0)</f>
        <v>0</v>
      </c>
      <c r="BI258" s="23">
        <f>VALUE(0)</f>
        <v>0</v>
      </c>
      <c r="BJ258" s="23">
        <f>VALUE(0)</f>
        <v>0</v>
      </c>
      <c r="BK258" s="12">
        <f>$AX$258*24</f>
        <v>5.1166666666666663</v>
      </c>
      <c r="BL258" s="12">
        <f>$AY$258*24</f>
        <v>6.7333333333333334</v>
      </c>
      <c r="BM258" s="12">
        <f>$BJ$258*24</f>
        <v>0</v>
      </c>
      <c r="BN258" s="12">
        <f>VALUE($I$258)/100</f>
        <v>1</v>
      </c>
      <c r="BO258" s="12">
        <v>0</v>
      </c>
      <c r="BP258" s="12">
        <v>0</v>
      </c>
      <c r="BQ258" s="12">
        <v>0</v>
      </c>
      <c r="BR258" s="12">
        <v>0</v>
      </c>
      <c r="BS258" s="12">
        <v>0</v>
      </c>
      <c r="BT258" s="12">
        <v>0</v>
      </c>
      <c r="BU258" s="12">
        <v>0</v>
      </c>
      <c r="BV258" s="12">
        <v>0</v>
      </c>
      <c r="BW258" s="12">
        <v>0</v>
      </c>
      <c r="BX258" s="12">
        <v>0</v>
      </c>
      <c r="BY258" s="12">
        <v>0</v>
      </c>
      <c r="BZ258" s="12">
        <v>0</v>
      </c>
      <c r="CA258" s="12">
        <v>0</v>
      </c>
    </row>
    <row r="259" spans="1:79" hidden="1" x14ac:dyDescent="0.2">
      <c r="A259" s="12" t="s">
        <v>137</v>
      </c>
      <c r="B259" s="12" t="s">
        <v>139</v>
      </c>
      <c r="C259" s="12" t="s">
        <v>139</v>
      </c>
      <c r="D259" s="22" t="s">
        <v>512</v>
      </c>
      <c r="E259" s="22" t="s">
        <v>161</v>
      </c>
      <c r="F259" s="22" t="s">
        <v>1005</v>
      </c>
      <c r="G259" s="22" t="s">
        <v>1006</v>
      </c>
      <c r="H259" s="22" t="s">
        <v>150</v>
      </c>
      <c r="I259" s="22" t="s">
        <v>151</v>
      </c>
      <c r="J259" s="22" t="s">
        <v>162</v>
      </c>
      <c r="K259" s="22" t="s">
        <v>94</v>
      </c>
      <c r="L259" s="54" t="s">
        <v>153</v>
      </c>
      <c r="M259" s="23" t="s">
        <v>153</v>
      </c>
      <c r="N259" s="24" t="s">
        <v>153</v>
      </c>
      <c r="O259" s="24" t="s">
        <v>156</v>
      </c>
      <c r="P259" s="24" t="s">
        <v>156</v>
      </c>
      <c r="Q259" s="23" t="s">
        <v>153</v>
      </c>
      <c r="R259" s="28" t="s">
        <v>163</v>
      </c>
      <c r="S259" s="28" t="s">
        <v>163</v>
      </c>
      <c r="T259" s="28" t="s">
        <v>163</v>
      </c>
      <c r="U259" s="24" t="s">
        <v>153</v>
      </c>
      <c r="V259" s="54" t="s">
        <v>153</v>
      </c>
      <c r="W259" s="28" t="s">
        <v>163</v>
      </c>
      <c r="X259" s="28" t="s">
        <v>163</v>
      </c>
      <c r="Y259" s="28" t="s">
        <v>163</v>
      </c>
      <c r="Z259" s="28" t="s">
        <v>163</v>
      </c>
      <c r="AA259" s="28" t="s">
        <v>163</v>
      </c>
      <c r="AB259" s="24" t="s">
        <v>153</v>
      </c>
      <c r="AC259" s="23" t="s">
        <v>153</v>
      </c>
      <c r="AD259" s="23" t="s">
        <v>153</v>
      </c>
      <c r="AE259" s="23" t="s">
        <v>153</v>
      </c>
      <c r="AF259" s="23" t="s">
        <v>153</v>
      </c>
      <c r="AG259" s="23" t="s">
        <v>153</v>
      </c>
      <c r="AH259" s="23" t="s">
        <v>153</v>
      </c>
      <c r="AI259" s="24" t="s">
        <v>153</v>
      </c>
      <c r="AJ259" s="23" t="s">
        <v>153</v>
      </c>
      <c r="AK259" s="23" t="s">
        <v>153</v>
      </c>
      <c r="AL259" s="24" t="s">
        <v>156</v>
      </c>
      <c r="AM259" s="24" t="s">
        <v>156</v>
      </c>
      <c r="AN259" s="23" t="s">
        <v>153</v>
      </c>
      <c r="AO259" s="23" t="s">
        <v>153</v>
      </c>
      <c r="AP259" s="23">
        <f>VALUE(0)</f>
        <v>0</v>
      </c>
      <c r="AQ259" s="23">
        <f>VALUE(0)</f>
        <v>0</v>
      </c>
      <c r="AR259" s="23">
        <f>VALUE(0)</f>
        <v>0</v>
      </c>
      <c r="AS259" s="23">
        <f>VALUE(0)</f>
        <v>0</v>
      </c>
      <c r="AT259" s="23">
        <f>VALUE(0)</f>
        <v>0</v>
      </c>
      <c r="AU259" s="23">
        <f>VALUE(8)</f>
        <v>8</v>
      </c>
      <c r="AV259" s="23">
        <f>VALUE(1)</f>
        <v>1</v>
      </c>
      <c r="AW259" s="23">
        <f>VALUE(0)</f>
        <v>0</v>
      </c>
      <c r="AX259" s="23" t="s">
        <v>171</v>
      </c>
      <c r="AY259" s="23" t="s">
        <v>516</v>
      </c>
      <c r="AZ259" s="23">
        <f>VALUE(0)</f>
        <v>0</v>
      </c>
      <c r="BA259" s="23">
        <f>VALUE(0)</f>
        <v>0</v>
      </c>
      <c r="BB259" s="23">
        <f>VALUE(0)</f>
        <v>0</v>
      </c>
      <c r="BC259" s="23">
        <f>VALUE(0)</f>
        <v>0</v>
      </c>
      <c r="BD259" s="23">
        <f>VALUE(0)</f>
        <v>0</v>
      </c>
      <c r="BE259" s="23">
        <f>VALUE(0)</f>
        <v>0</v>
      </c>
      <c r="BF259" s="23">
        <f>VALUE(0)</f>
        <v>0</v>
      </c>
      <c r="BG259" s="23">
        <f>VALUE(0)</f>
        <v>0</v>
      </c>
      <c r="BH259" s="23">
        <f>VALUE(0)</f>
        <v>0</v>
      </c>
      <c r="BI259" s="23">
        <f>VALUE(0)</f>
        <v>0</v>
      </c>
      <c r="BJ259" s="23">
        <f>VALUE(0)</f>
        <v>0</v>
      </c>
      <c r="BK259" s="12">
        <f>$AX$259*24</f>
        <v>5.833333333333333</v>
      </c>
      <c r="BL259" s="12">
        <f>$AY$259*24</f>
        <v>11.883333333333333</v>
      </c>
      <c r="BM259" s="12">
        <f>$BJ$259*24</f>
        <v>0</v>
      </c>
      <c r="BN259" s="12">
        <f>VALUE($I$259)/100</f>
        <v>1</v>
      </c>
      <c r="BO259" s="12">
        <v>0</v>
      </c>
      <c r="BP259" s="12">
        <v>0</v>
      </c>
      <c r="BQ259" s="12">
        <v>0</v>
      </c>
      <c r="BR259" s="12">
        <v>0</v>
      </c>
      <c r="BS259" s="12">
        <v>0</v>
      </c>
      <c r="BT259" s="12">
        <v>0</v>
      </c>
      <c r="BU259" s="12">
        <v>0</v>
      </c>
      <c r="BV259" s="12">
        <v>0</v>
      </c>
      <c r="BW259" s="12">
        <v>0</v>
      </c>
      <c r="BX259" s="12">
        <v>0</v>
      </c>
      <c r="BY259" s="12">
        <v>0</v>
      </c>
      <c r="BZ259" s="12">
        <v>0</v>
      </c>
      <c r="CA259" s="12">
        <v>0</v>
      </c>
    </row>
    <row r="260" spans="1:79" hidden="1" x14ac:dyDescent="0.2">
      <c r="A260" s="12" t="s">
        <v>137</v>
      </c>
      <c r="B260" s="12" t="s">
        <v>139</v>
      </c>
      <c r="C260" s="12" t="s">
        <v>139</v>
      </c>
      <c r="D260" s="22" t="s">
        <v>512</v>
      </c>
      <c r="E260" s="22" t="s">
        <v>161</v>
      </c>
      <c r="F260" s="22" t="s">
        <v>1007</v>
      </c>
      <c r="G260" s="22" t="s">
        <v>1008</v>
      </c>
      <c r="H260" s="22" t="s">
        <v>191</v>
      </c>
      <c r="I260" s="22" t="s">
        <v>151</v>
      </c>
      <c r="J260" s="22" t="s">
        <v>162</v>
      </c>
      <c r="K260" s="22" t="s">
        <v>94</v>
      </c>
      <c r="L260" s="54" t="s">
        <v>153</v>
      </c>
      <c r="M260" s="23" t="s">
        <v>1275</v>
      </c>
      <c r="N260" s="24" t="s">
        <v>153</v>
      </c>
      <c r="O260" s="23" t="s">
        <v>153</v>
      </c>
      <c r="P260" s="23" t="s">
        <v>153</v>
      </c>
      <c r="Q260" s="23" t="s">
        <v>153</v>
      </c>
      <c r="R260" s="23" t="s">
        <v>153</v>
      </c>
      <c r="S260" s="23" t="s">
        <v>153</v>
      </c>
      <c r="T260" s="23" t="s">
        <v>153</v>
      </c>
      <c r="U260" s="24" t="s">
        <v>153</v>
      </c>
      <c r="V260" s="54" t="s">
        <v>153</v>
      </c>
      <c r="W260" s="23" t="s">
        <v>153</v>
      </c>
      <c r="X260" s="23" t="s">
        <v>153</v>
      </c>
      <c r="Y260" s="23" t="s">
        <v>153</v>
      </c>
      <c r="Z260" s="23" t="s">
        <v>153</v>
      </c>
      <c r="AA260" s="23" t="s">
        <v>153</v>
      </c>
      <c r="AB260" s="24" t="s">
        <v>153</v>
      </c>
      <c r="AC260" s="27" t="s">
        <v>153</v>
      </c>
      <c r="AD260" s="27" t="s">
        <v>153</v>
      </c>
      <c r="AE260" s="27" t="s">
        <v>153</v>
      </c>
      <c r="AF260" s="27" t="s">
        <v>153</v>
      </c>
      <c r="AG260" s="27" t="s">
        <v>153</v>
      </c>
      <c r="AH260" s="27" t="s">
        <v>153</v>
      </c>
      <c r="AI260" s="24" t="s">
        <v>153</v>
      </c>
      <c r="AJ260" s="27" t="s">
        <v>153</v>
      </c>
      <c r="AK260" s="27" t="s">
        <v>153</v>
      </c>
      <c r="AL260" s="27" t="s">
        <v>153</v>
      </c>
      <c r="AM260" s="27" t="s">
        <v>153</v>
      </c>
      <c r="AN260" s="27" t="s">
        <v>153</v>
      </c>
      <c r="AO260" s="27" t="s">
        <v>153</v>
      </c>
      <c r="AP260" s="23">
        <f>VALUE(0)</f>
        <v>0</v>
      </c>
      <c r="AQ260" s="23">
        <f>VALUE(0)</f>
        <v>0</v>
      </c>
      <c r="AR260" s="23">
        <f>VALUE(0)</f>
        <v>0</v>
      </c>
      <c r="AS260" s="23">
        <f>VALUE(0)</f>
        <v>0</v>
      </c>
      <c r="AT260" s="23">
        <f>VALUE(0)</f>
        <v>0</v>
      </c>
      <c r="AU260" s="23">
        <f>VALUE(0)</f>
        <v>0</v>
      </c>
      <c r="AV260" s="23">
        <f>VALUE(0)</f>
        <v>0</v>
      </c>
      <c r="AW260" s="23">
        <f>VALUE(0)</f>
        <v>0</v>
      </c>
      <c r="AX260" s="23">
        <f>VALUE(0)</f>
        <v>0</v>
      </c>
      <c r="AY260" s="23">
        <f>VALUE(0)</f>
        <v>0</v>
      </c>
      <c r="AZ260" s="23">
        <f>VALUE(0)</f>
        <v>0</v>
      </c>
      <c r="BA260" s="23">
        <f>VALUE(0)</f>
        <v>0</v>
      </c>
      <c r="BB260" s="23">
        <f>VALUE(0)</f>
        <v>0</v>
      </c>
      <c r="BC260" s="23">
        <f>VALUE(0)</f>
        <v>0</v>
      </c>
      <c r="BD260" s="23">
        <f>VALUE(1)</f>
        <v>1</v>
      </c>
      <c r="BE260" s="23">
        <f>VALUE(0)</f>
        <v>0</v>
      </c>
      <c r="BF260" s="23">
        <f>VALUE(0)</f>
        <v>0</v>
      </c>
      <c r="BG260" s="23">
        <f>VALUE(0)</f>
        <v>0</v>
      </c>
      <c r="BH260" s="23">
        <f>VALUE(0)</f>
        <v>0</v>
      </c>
      <c r="BI260" s="23">
        <f>VALUE(0)</f>
        <v>0</v>
      </c>
      <c r="BJ260" s="23">
        <f>VALUE(0)</f>
        <v>0</v>
      </c>
      <c r="BK260" s="12">
        <f>$AX$260*24</f>
        <v>0</v>
      </c>
      <c r="BL260" s="12">
        <f>$AY$260*24</f>
        <v>0</v>
      </c>
      <c r="BM260" s="12">
        <f>$BJ$260*24</f>
        <v>0</v>
      </c>
      <c r="BN260" s="12">
        <f>VALUE($I$260)/100</f>
        <v>1</v>
      </c>
      <c r="BO260" s="12">
        <v>0</v>
      </c>
      <c r="BP260" s="12">
        <v>0</v>
      </c>
      <c r="BQ260" s="12">
        <v>0</v>
      </c>
      <c r="BR260" s="12">
        <v>0</v>
      </c>
      <c r="BS260" s="12">
        <v>0</v>
      </c>
      <c r="BT260" s="12">
        <v>0</v>
      </c>
      <c r="BU260" s="12">
        <v>0</v>
      </c>
      <c r="BV260" s="12">
        <v>0</v>
      </c>
      <c r="BW260" s="12">
        <v>0</v>
      </c>
      <c r="BX260" s="12">
        <v>0</v>
      </c>
      <c r="BY260" s="12">
        <v>0</v>
      </c>
      <c r="BZ260" s="12">
        <v>0</v>
      </c>
      <c r="CA260" s="12">
        <v>0</v>
      </c>
    </row>
    <row r="261" spans="1:79" hidden="1" x14ac:dyDescent="0.2">
      <c r="A261" s="12" t="s">
        <v>137</v>
      </c>
      <c r="B261" s="12" t="s">
        <v>139</v>
      </c>
      <c r="C261" s="12" t="s">
        <v>139</v>
      </c>
      <c r="D261" s="22" t="s">
        <v>494</v>
      </c>
      <c r="E261" s="22" t="s">
        <v>161</v>
      </c>
      <c r="F261" s="22" t="s">
        <v>1009</v>
      </c>
      <c r="G261" s="22" t="s">
        <v>1010</v>
      </c>
      <c r="H261" s="22" t="s">
        <v>150</v>
      </c>
      <c r="I261" s="22" t="s">
        <v>151</v>
      </c>
      <c r="J261" s="22" t="s">
        <v>162</v>
      </c>
      <c r="K261" s="22" t="s">
        <v>94</v>
      </c>
      <c r="L261" s="54" t="s">
        <v>153</v>
      </c>
      <c r="M261" s="23" t="s">
        <v>153</v>
      </c>
      <c r="N261" s="24" t="s">
        <v>153</v>
      </c>
      <c r="O261" s="23" t="s">
        <v>153</v>
      </c>
      <c r="P261" s="23" t="s">
        <v>153</v>
      </c>
      <c r="Q261" s="23" t="s">
        <v>153</v>
      </c>
      <c r="R261" s="23" t="s">
        <v>153</v>
      </c>
      <c r="S261" s="23" t="s">
        <v>153</v>
      </c>
      <c r="T261" s="23" t="s">
        <v>153</v>
      </c>
      <c r="U261" s="24" t="s">
        <v>153</v>
      </c>
      <c r="V261" s="54" t="s">
        <v>153</v>
      </c>
      <c r="W261" s="23" t="s">
        <v>153</v>
      </c>
      <c r="X261" s="23" t="s">
        <v>153</v>
      </c>
      <c r="Y261" s="23" t="s">
        <v>153</v>
      </c>
      <c r="Z261" s="23" t="s">
        <v>153</v>
      </c>
      <c r="AA261" s="23" t="s">
        <v>153</v>
      </c>
      <c r="AB261" s="24" t="s">
        <v>153</v>
      </c>
      <c r="AC261" s="23" t="s">
        <v>153</v>
      </c>
      <c r="AD261" s="23" t="s">
        <v>153</v>
      </c>
      <c r="AE261" s="24" t="s">
        <v>156</v>
      </c>
      <c r="AF261" s="24" t="s">
        <v>156</v>
      </c>
      <c r="AG261" s="23" t="s">
        <v>153</v>
      </c>
      <c r="AH261" s="23" t="s">
        <v>153</v>
      </c>
      <c r="AI261" s="24" t="s">
        <v>153</v>
      </c>
      <c r="AJ261" s="23" t="s">
        <v>153</v>
      </c>
      <c r="AK261" s="23" t="s">
        <v>153</v>
      </c>
      <c r="AL261" s="23" t="s">
        <v>153</v>
      </c>
      <c r="AM261" s="23" t="s">
        <v>153</v>
      </c>
      <c r="AN261" s="23" t="s">
        <v>153</v>
      </c>
      <c r="AO261" s="23" t="s">
        <v>153</v>
      </c>
      <c r="AP261" s="23">
        <f>VALUE(0)</f>
        <v>0</v>
      </c>
      <c r="AQ261" s="23">
        <f>VALUE(0)</f>
        <v>0</v>
      </c>
      <c r="AR261" s="23">
        <f>VALUE(0)</f>
        <v>0</v>
      </c>
      <c r="AS261" s="23">
        <f>VALUE(0)</f>
        <v>0</v>
      </c>
      <c r="AT261" s="23">
        <f>VALUE(0)</f>
        <v>0</v>
      </c>
      <c r="AU261" s="23">
        <f>VALUE(0)</f>
        <v>0</v>
      </c>
      <c r="AV261" s="23">
        <f>VALUE(2)</f>
        <v>2</v>
      </c>
      <c r="AW261" s="23">
        <f>VALUE(0)</f>
        <v>0</v>
      </c>
      <c r="AX261" s="23" t="s">
        <v>171</v>
      </c>
      <c r="AY261" s="23" t="s">
        <v>517</v>
      </c>
      <c r="AZ261" s="23">
        <f>VALUE(0)</f>
        <v>0</v>
      </c>
      <c r="BA261" s="23">
        <f>VALUE(0)</f>
        <v>0</v>
      </c>
      <c r="BB261" s="23">
        <f>VALUE(0)</f>
        <v>0</v>
      </c>
      <c r="BC261" s="23">
        <f>VALUE(0)</f>
        <v>0</v>
      </c>
      <c r="BD261" s="23">
        <f>VALUE(0)</f>
        <v>0</v>
      </c>
      <c r="BE261" s="23">
        <f>VALUE(0)</f>
        <v>0</v>
      </c>
      <c r="BF261" s="23">
        <f>VALUE(0)</f>
        <v>0</v>
      </c>
      <c r="BG261" s="23">
        <f>VALUE(0)</f>
        <v>0</v>
      </c>
      <c r="BH261" s="23">
        <f>VALUE(0)</f>
        <v>0</v>
      </c>
      <c r="BI261" s="23">
        <f>VALUE(0)</f>
        <v>0</v>
      </c>
      <c r="BJ261" s="23">
        <f>VALUE(0)</f>
        <v>0</v>
      </c>
      <c r="BK261" s="12">
        <f>$AX$261*24</f>
        <v>5.833333333333333</v>
      </c>
      <c r="BL261" s="12">
        <f>$AY$261*24</f>
        <v>1.3</v>
      </c>
      <c r="BM261" s="12">
        <f>$BJ$261*24</f>
        <v>0</v>
      </c>
      <c r="BN261" s="12">
        <f>VALUE($I$261)/100</f>
        <v>1</v>
      </c>
      <c r="BO261" s="12">
        <v>0</v>
      </c>
      <c r="BP261" s="12">
        <v>0</v>
      </c>
      <c r="BQ261" s="12">
        <v>0</v>
      </c>
      <c r="BR261" s="12">
        <v>0</v>
      </c>
      <c r="BS261" s="12">
        <v>0</v>
      </c>
      <c r="BT261" s="12">
        <v>0</v>
      </c>
      <c r="BU261" s="12">
        <v>0</v>
      </c>
      <c r="BV261" s="12">
        <v>0</v>
      </c>
      <c r="BW261" s="12">
        <v>0</v>
      </c>
      <c r="BX261" s="12">
        <v>0</v>
      </c>
      <c r="BY261" s="12">
        <v>0</v>
      </c>
      <c r="BZ261" s="12">
        <v>0</v>
      </c>
      <c r="CA261" s="12">
        <v>0</v>
      </c>
    </row>
    <row r="262" spans="1:79" hidden="1" x14ac:dyDescent="0.2">
      <c r="A262" s="12" t="s">
        <v>137</v>
      </c>
      <c r="B262" s="12" t="s">
        <v>139</v>
      </c>
      <c r="C262" s="12" t="s">
        <v>139</v>
      </c>
      <c r="D262" s="22" t="s">
        <v>495</v>
      </c>
      <c r="E262" s="22" t="s">
        <v>161</v>
      </c>
      <c r="F262" s="22" t="s">
        <v>1011</v>
      </c>
      <c r="G262" s="22" t="s">
        <v>1012</v>
      </c>
      <c r="H262" s="22" t="s">
        <v>150</v>
      </c>
      <c r="I262" s="22" t="s">
        <v>151</v>
      </c>
      <c r="J262" s="22" t="s">
        <v>162</v>
      </c>
      <c r="K262" s="22" t="s">
        <v>94</v>
      </c>
      <c r="L262" s="54" t="s">
        <v>153</v>
      </c>
      <c r="M262" s="23" t="s">
        <v>153</v>
      </c>
      <c r="N262" s="24" t="s">
        <v>153</v>
      </c>
      <c r="O262" s="23" t="s">
        <v>153</v>
      </c>
      <c r="P262" s="23" t="s">
        <v>153</v>
      </c>
      <c r="Q262" s="23" t="s">
        <v>153</v>
      </c>
      <c r="R262" s="23" t="s">
        <v>153</v>
      </c>
      <c r="S262" s="23" t="s">
        <v>153</v>
      </c>
      <c r="T262" s="23" t="s">
        <v>153</v>
      </c>
      <c r="U262" s="24" t="s">
        <v>153</v>
      </c>
      <c r="V262" s="54" t="s">
        <v>153</v>
      </c>
      <c r="W262" s="28" t="s">
        <v>163</v>
      </c>
      <c r="X262" s="23" t="s">
        <v>153</v>
      </c>
      <c r="Y262" s="23" t="s">
        <v>153</v>
      </c>
      <c r="Z262" s="24" t="s">
        <v>156</v>
      </c>
      <c r="AA262" s="24" t="s">
        <v>156</v>
      </c>
      <c r="AB262" s="24" t="s">
        <v>153</v>
      </c>
      <c r="AC262" s="23" t="s">
        <v>153</v>
      </c>
      <c r="AD262" s="23" t="s">
        <v>153</v>
      </c>
      <c r="AE262" s="23" t="s">
        <v>153</v>
      </c>
      <c r="AF262" s="23" t="s">
        <v>153</v>
      </c>
      <c r="AG262" s="23" t="s">
        <v>153</v>
      </c>
      <c r="AH262" s="23" t="s">
        <v>153</v>
      </c>
      <c r="AI262" s="24" t="s">
        <v>153</v>
      </c>
      <c r="AJ262" s="23" t="s">
        <v>153</v>
      </c>
      <c r="AK262" s="23" t="s">
        <v>153</v>
      </c>
      <c r="AL262" s="23" t="s">
        <v>153</v>
      </c>
      <c r="AM262" s="23" t="s">
        <v>153</v>
      </c>
      <c r="AN262" s="23" t="s">
        <v>153</v>
      </c>
      <c r="AO262" s="23" t="s">
        <v>153</v>
      </c>
      <c r="AP262" s="23">
        <f>VALUE(0)</f>
        <v>0</v>
      </c>
      <c r="AQ262" s="23">
        <f>VALUE(0)</f>
        <v>0</v>
      </c>
      <c r="AR262" s="23">
        <f>VALUE(0)</f>
        <v>0</v>
      </c>
      <c r="AS262" s="23">
        <f>VALUE(0)</f>
        <v>0</v>
      </c>
      <c r="AT262" s="23">
        <f>VALUE(0)</f>
        <v>0</v>
      </c>
      <c r="AU262" s="23">
        <f>VALUE(1)</f>
        <v>1</v>
      </c>
      <c r="AV262" s="23">
        <f>VALUE(0)</f>
        <v>0</v>
      </c>
      <c r="AW262" s="23">
        <f>VALUE(0)</f>
        <v>0</v>
      </c>
      <c r="AX262" s="23" t="s">
        <v>171</v>
      </c>
      <c r="AY262" s="23" t="s">
        <v>404</v>
      </c>
      <c r="AZ262" s="23">
        <f>VALUE(0)</f>
        <v>0</v>
      </c>
      <c r="BA262" s="23">
        <f>VALUE(0)</f>
        <v>0</v>
      </c>
      <c r="BB262" s="23">
        <f>VALUE(0)</f>
        <v>0</v>
      </c>
      <c r="BC262" s="23">
        <f>VALUE(0)</f>
        <v>0</v>
      </c>
      <c r="BD262" s="23">
        <f>VALUE(0)</f>
        <v>0</v>
      </c>
      <c r="BE262" s="23">
        <f>VALUE(0)</f>
        <v>0</v>
      </c>
      <c r="BF262" s="23">
        <f>VALUE(0)</f>
        <v>0</v>
      </c>
      <c r="BG262" s="23">
        <f>VALUE(0)</f>
        <v>0</v>
      </c>
      <c r="BH262" s="23">
        <f>VALUE(0)</f>
        <v>0</v>
      </c>
      <c r="BI262" s="23">
        <f>VALUE(0)</f>
        <v>0</v>
      </c>
      <c r="BJ262" s="23">
        <f>VALUE(0)</f>
        <v>0</v>
      </c>
      <c r="BK262" s="12">
        <f>$AX$262*24</f>
        <v>5.833333333333333</v>
      </c>
      <c r="BL262" s="12">
        <f>$AY$262*24</f>
        <v>4.8499999999999996</v>
      </c>
      <c r="BM262" s="12">
        <f>$BJ$262*24</f>
        <v>0</v>
      </c>
      <c r="BN262" s="12">
        <f>VALUE($I$262)/100</f>
        <v>1</v>
      </c>
      <c r="BO262" s="12">
        <v>0</v>
      </c>
      <c r="BP262" s="12">
        <v>0</v>
      </c>
      <c r="BQ262" s="12">
        <v>0</v>
      </c>
      <c r="BR262" s="12">
        <v>0</v>
      </c>
      <c r="BS262" s="12">
        <v>0</v>
      </c>
      <c r="BT262" s="12">
        <v>0</v>
      </c>
      <c r="BU262" s="12">
        <v>0</v>
      </c>
      <c r="BV262" s="12">
        <v>0</v>
      </c>
      <c r="BW262" s="12">
        <v>0</v>
      </c>
      <c r="BX262" s="12">
        <v>0</v>
      </c>
      <c r="BY262" s="12">
        <v>0</v>
      </c>
      <c r="BZ262" s="12">
        <v>0</v>
      </c>
      <c r="CA262" s="12">
        <v>0</v>
      </c>
    </row>
    <row r="263" spans="1:79" hidden="1" x14ac:dyDescent="0.2">
      <c r="A263" s="12" t="s">
        <v>137</v>
      </c>
      <c r="B263" s="12" t="s">
        <v>139</v>
      </c>
      <c r="C263" s="12" t="s">
        <v>139</v>
      </c>
      <c r="D263" s="22" t="s">
        <v>490</v>
      </c>
      <c r="E263" s="22" t="s">
        <v>161</v>
      </c>
      <c r="F263" s="22" t="s">
        <v>1013</v>
      </c>
      <c r="G263" s="22" t="s">
        <v>1014</v>
      </c>
      <c r="H263" s="22" t="s">
        <v>191</v>
      </c>
      <c r="I263" s="22" t="s">
        <v>151</v>
      </c>
      <c r="J263" s="22" t="s">
        <v>162</v>
      </c>
      <c r="K263" s="22" t="s">
        <v>94</v>
      </c>
      <c r="L263" s="54" t="s">
        <v>153</v>
      </c>
      <c r="M263" s="23" t="s">
        <v>153</v>
      </c>
      <c r="N263" s="24" t="s">
        <v>153</v>
      </c>
      <c r="O263" s="27" t="s">
        <v>153</v>
      </c>
      <c r="P263" s="27" t="s">
        <v>153</v>
      </c>
      <c r="Q263" s="27" t="s">
        <v>153</v>
      </c>
      <c r="R263" s="27" t="s">
        <v>153</v>
      </c>
      <c r="S263" s="27" t="s">
        <v>153</v>
      </c>
      <c r="T263" s="27" t="s">
        <v>153</v>
      </c>
      <c r="U263" s="24" t="s">
        <v>153</v>
      </c>
      <c r="V263" s="54" t="s">
        <v>153</v>
      </c>
      <c r="W263" s="27" t="s">
        <v>153</v>
      </c>
      <c r="X263" s="27" t="s">
        <v>153</v>
      </c>
      <c r="Y263" s="27" t="s">
        <v>153</v>
      </c>
      <c r="Z263" s="27" t="s">
        <v>153</v>
      </c>
      <c r="AA263" s="27" t="s">
        <v>153</v>
      </c>
      <c r="AB263" s="24" t="s">
        <v>153</v>
      </c>
      <c r="AC263" s="27" t="s">
        <v>153</v>
      </c>
      <c r="AD263" s="27" t="s">
        <v>153</v>
      </c>
      <c r="AE263" s="27" t="s">
        <v>153</v>
      </c>
      <c r="AF263" s="27" t="s">
        <v>153</v>
      </c>
      <c r="AG263" s="27" t="s">
        <v>153</v>
      </c>
      <c r="AH263" s="27" t="s">
        <v>153</v>
      </c>
      <c r="AI263" s="24" t="s">
        <v>153</v>
      </c>
      <c r="AJ263" s="27" t="s">
        <v>153</v>
      </c>
      <c r="AK263" s="27" t="s">
        <v>153</v>
      </c>
      <c r="AL263" s="27" t="s">
        <v>153</v>
      </c>
      <c r="AM263" s="27" t="s">
        <v>153</v>
      </c>
      <c r="AN263" s="27" t="s">
        <v>153</v>
      </c>
      <c r="AO263" s="27" t="s">
        <v>153</v>
      </c>
      <c r="AP263" s="23">
        <f>VALUE(0)</f>
        <v>0</v>
      </c>
      <c r="AQ263" s="23">
        <f>VALUE(0)</f>
        <v>0</v>
      </c>
      <c r="AR263" s="23">
        <f>VALUE(0)</f>
        <v>0</v>
      </c>
      <c r="AS263" s="23">
        <f>VALUE(0)</f>
        <v>0</v>
      </c>
      <c r="AT263" s="23">
        <f>VALUE(0)</f>
        <v>0</v>
      </c>
      <c r="AU263" s="23">
        <f>VALUE(0)</f>
        <v>0</v>
      </c>
      <c r="AV263" s="23">
        <f>VALUE(0)</f>
        <v>0</v>
      </c>
      <c r="AW263" s="23">
        <f>VALUE(0)</f>
        <v>0</v>
      </c>
      <c r="AX263" s="23">
        <f>VALUE(0)</f>
        <v>0</v>
      </c>
      <c r="AY263" s="23">
        <f>VALUE(0)</f>
        <v>0</v>
      </c>
      <c r="AZ263" s="23">
        <f>VALUE(0)</f>
        <v>0</v>
      </c>
      <c r="BA263" s="23">
        <f>VALUE(0)</f>
        <v>0</v>
      </c>
      <c r="BB263" s="23">
        <f>VALUE(0)</f>
        <v>0</v>
      </c>
      <c r="BC263" s="23">
        <f>VALUE(0)</f>
        <v>0</v>
      </c>
      <c r="BD263" s="23">
        <f>VALUE(0)</f>
        <v>0</v>
      </c>
      <c r="BE263" s="23">
        <f>VALUE(0)</f>
        <v>0</v>
      </c>
      <c r="BF263" s="23">
        <f>VALUE(0)</f>
        <v>0</v>
      </c>
      <c r="BG263" s="23">
        <f>VALUE(0)</f>
        <v>0</v>
      </c>
      <c r="BH263" s="23">
        <f>VALUE(0)</f>
        <v>0</v>
      </c>
      <c r="BI263" s="23">
        <f>VALUE(0)</f>
        <v>0</v>
      </c>
      <c r="BJ263" s="23">
        <f>VALUE(0)</f>
        <v>0</v>
      </c>
      <c r="BK263" s="12">
        <f>$AX$263*24</f>
        <v>0</v>
      </c>
      <c r="BL263" s="12">
        <f>$AY$263*24</f>
        <v>0</v>
      </c>
      <c r="BM263" s="12">
        <f>$BJ$263*24</f>
        <v>0</v>
      </c>
      <c r="BN263" s="12">
        <f>VALUE($I$263)/100</f>
        <v>1</v>
      </c>
      <c r="BO263" s="12">
        <v>0</v>
      </c>
      <c r="BP263" s="12">
        <v>0</v>
      </c>
      <c r="BQ263" s="12">
        <v>0</v>
      </c>
      <c r="BR263" s="12">
        <v>0</v>
      </c>
      <c r="BS263" s="12">
        <v>0</v>
      </c>
      <c r="BT263" s="12">
        <v>0</v>
      </c>
      <c r="BU263" s="12">
        <v>0</v>
      </c>
      <c r="BV263" s="12">
        <v>0</v>
      </c>
      <c r="BW263" s="12">
        <v>0</v>
      </c>
      <c r="BX263" s="12">
        <v>0</v>
      </c>
      <c r="BY263" s="12">
        <v>0</v>
      </c>
      <c r="BZ263" s="12">
        <v>0</v>
      </c>
      <c r="CA263" s="12">
        <v>0</v>
      </c>
    </row>
    <row r="264" spans="1:79" hidden="1" x14ac:dyDescent="0.2">
      <c r="A264" s="12" t="s">
        <v>137</v>
      </c>
      <c r="B264" s="12" t="s">
        <v>139</v>
      </c>
      <c r="C264" s="12" t="s">
        <v>139</v>
      </c>
      <c r="D264" s="22" t="s">
        <v>490</v>
      </c>
      <c r="E264" s="22" t="s">
        <v>161</v>
      </c>
      <c r="F264" s="22" t="s">
        <v>1015</v>
      </c>
      <c r="G264" s="22" t="s">
        <v>1016</v>
      </c>
      <c r="H264" s="22" t="s">
        <v>150</v>
      </c>
      <c r="I264" s="22" t="s">
        <v>151</v>
      </c>
      <c r="J264" s="22" t="s">
        <v>162</v>
      </c>
      <c r="K264" s="22" t="s">
        <v>94</v>
      </c>
      <c r="L264" s="54" t="s">
        <v>153</v>
      </c>
      <c r="M264" s="28" t="s">
        <v>163</v>
      </c>
      <c r="N264" s="24" t="s">
        <v>153</v>
      </c>
      <c r="O264" s="23" t="s">
        <v>153</v>
      </c>
      <c r="P264" s="23" t="s">
        <v>153</v>
      </c>
      <c r="Q264" s="23" t="s">
        <v>153</v>
      </c>
      <c r="R264" s="23" t="s">
        <v>153</v>
      </c>
      <c r="S264" s="24" t="s">
        <v>156</v>
      </c>
      <c r="T264" s="24" t="s">
        <v>156</v>
      </c>
      <c r="U264" s="24" t="s">
        <v>153</v>
      </c>
      <c r="V264" s="54" t="s">
        <v>153</v>
      </c>
      <c r="W264" s="23" t="s">
        <v>153</v>
      </c>
      <c r="X264" s="23" t="s">
        <v>153</v>
      </c>
      <c r="Y264" s="23" t="s">
        <v>153</v>
      </c>
      <c r="Z264" s="23" t="s">
        <v>153</v>
      </c>
      <c r="AA264" s="23" t="s">
        <v>153</v>
      </c>
      <c r="AB264" s="24" t="s">
        <v>153</v>
      </c>
      <c r="AC264" s="23" t="s">
        <v>153</v>
      </c>
      <c r="AD264" s="23" t="s">
        <v>153</v>
      </c>
      <c r="AE264" s="23" t="s">
        <v>153</v>
      </c>
      <c r="AF264" s="23" t="s">
        <v>153</v>
      </c>
      <c r="AG264" s="23" t="s">
        <v>153</v>
      </c>
      <c r="AH264" s="23" t="s">
        <v>153</v>
      </c>
      <c r="AI264" s="24" t="s">
        <v>153</v>
      </c>
      <c r="AJ264" s="24" t="s">
        <v>156</v>
      </c>
      <c r="AK264" s="24" t="s">
        <v>156</v>
      </c>
      <c r="AL264" s="23" t="s">
        <v>153</v>
      </c>
      <c r="AM264" s="23" t="s">
        <v>153</v>
      </c>
      <c r="AN264" s="23" t="s">
        <v>153</v>
      </c>
      <c r="AO264" s="23" t="s">
        <v>153</v>
      </c>
      <c r="AP264" s="23">
        <f>VALUE(0)</f>
        <v>0</v>
      </c>
      <c r="AQ264" s="23">
        <f>VALUE(0)</f>
        <v>0</v>
      </c>
      <c r="AR264" s="23">
        <f>VALUE(0)</f>
        <v>0</v>
      </c>
      <c r="AS264" s="23">
        <f>VALUE(0)</f>
        <v>0</v>
      </c>
      <c r="AT264" s="23">
        <f>VALUE(0)</f>
        <v>0</v>
      </c>
      <c r="AU264" s="23">
        <f>VALUE(1)</f>
        <v>1</v>
      </c>
      <c r="AV264" s="23">
        <f>VALUE(0)</f>
        <v>0</v>
      </c>
      <c r="AW264" s="23">
        <f>VALUE(0)</f>
        <v>0</v>
      </c>
      <c r="AX264" s="23" t="s">
        <v>171</v>
      </c>
      <c r="AY264" s="23" t="s">
        <v>518</v>
      </c>
      <c r="AZ264" s="23">
        <f>VALUE(0)</f>
        <v>0</v>
      </c>
      <c r="BA264" s="23">
        <f>VALUE(0)</f>
        <v>0</v>
      </c>
      <c r="BB264" s="23">
        <f>VALUE(0)</f>
        <v>0</v>
      </c>
      <c r="BC264" s="23">
        <f>VALUE(0)</f>
        <v>0</v>
      </c>
      <c r="BD264" s="23">
        <f>VALUE(0)</f>
        <v>0</v>
      </c>
      <c r="BE264" s="23">
        <f>VALUE(0)</f>
        <v>0</v>
      </c>
      <c r="BF264" s="23">
        <f>VALUE(0)</f>
        <v>0</v>
      </c>
      <c r="BG264" s="23">
        <f>VALUE(0)</f>
        <v>0</v>
      </c>
      <c r="BH264" s="23">
        <f>VALUE(0)</f>
        <v>0</v>
      </c>
      <c r="BI264" s="23">
        <f>VALUE(0)</f>
        <v>0</v>
      </c>
      <c r="BJ264" s="23">
        <f>VALUE(0)</f>
        <v>0</v>
      </c>
      <c r="BK264" s="12">
        <f>$AX$264*24</f>
        <v>5.833333333333333</v>
      </c>
      <c r="BL264" s="12">
        <f>$AY$264*24</f>
        <v>3.8500000000000005</v>
      </c>
      <c r="BM264" s="12">
        <f>$BJ$264*24</f>
        <v>0</v>
      </c>
      <c r="BN264" s="12">
        <f>VALUE($I$264)/100</f>
        <v>1</v>
      </c>
      <c r="BO264" s="12">
        <v>0</v>
      </c>
      <c r="BP264" s="12">
        <v>0</v>
      </c>
      <c r="BQ264" s="12">
        <v>0</v>
      </c>
      <c r="BR264" s="12">
        <v>0</v>
      </c>
      <c r="BS264" s="12">
        <v>0</v>
      </c>
      <c r="BT264" s="12">
        <v>0</v>
      </c>
      <c r="BU264" s="12">
        <v>0</v>
      </c>
      <c r="BV264" s="12">
        <v>0</v>
      </c>
      <c r="BW264" s="12">
        <v>0</v>
      </c>
      <c r="BX264" s="12">
        <v>0</v>
      </c>
      <c r="BY264" s="12">
        <v>0</v>
      </c>
      <c r="BZ264" s="12">
        <v>0</v>
      </c>
      <c r="CA264" s="12">
        <v>0</v>
      </c>
    </row>
    <row r="265" spans="1:79" hidden="1" x14ac:dyDescent="0.2">
      <c r="A265" s="12" t="s">
        <v>137</v>
      </c>
      <c r="B265" s="12" t="s">
        <v>139</v>
      </c>
      <c r="C265" s="12" t="s">
        <v>139</v>
      </c>
      <c r="D265" s="22" t="s">
        <v>497</v>
      </c>
      <c r="E265" s="22" t="s">
        <v>161</v>
      </c>
      <c r="F265" s="22" t="s">
        <v>1276</v>
      </c>
      <c r="G265" s="22" t="s">
        <v>1017</v>
      </c>
      <c r="H265" s="22" t="s">
        <v>166</v>
      </c>
      <c r="I265" s="22" t="s">
        <v>151</v>
      </c>
      <c r="J265" s="22" t="s">
        <v>162</v>
      </c>
      <c r="K265" s="22" t="s">
        <v>94</v>
      </c>
      <c r="L265" s="54" t="s">
        <v>156</v>
      </c>
      <c r="M265" s="24" t="s">
        <v>156</v>
      </c>
      <c r="N265" s="24" t="s">
        <v>153</v>
      </c>
      <c r="O265" s="23" t="s">
        <v>153</v>
      </c>
      <c r="P265" s="23" t="s">
        <v>153</v>
      </c>
      <c r="Q265" s="23" t="s">
        <v>153</v>
      </c>
      <c r="R265" s="23" t="s">
        <v>153</v>
      </c>
      <c r="S265" s="23" t="s">
        <v>153</v>
      </c>
      <c r="T265" s="23" t="s">
        <v>153</v>
      </c>
      <c r="U265" s="24" t="s">
        <v>153</v>
      </c>
      <c r="V265" s="54" t="s">
        <v>153</v>
      </c>
      <c r="W265" s="23" t="s">
        <v>153</v>
      </c>
      <c r="X265" s="23" t="s">
        <v>153</v>
      </c>
      <c r="Y265" s="23" t="s">
        <v>153</v>
      </c>
      <c r="Z265" s="23" t="s">
        <v>153</v>
      </c>
      <c r="AA265" s="23" t="s">
        <v>153</v>
      </c>
      <c r="AB265" s="24" t="s">
        <v>153</v>
      </c>
      <c r="AC265" s="24" t="s">
        <v>156</v>
      </c>
      <c r="AD265" s="24" t="s">
        <v>156</v>
      </c>
      <c r="AE265" s="55" t="s">
        <v>1277</v>
      </c>
      <c r="AF265" s="55" t="s">
        <v>1277</v>
      </c>
      <c r="AG265" s="55" t="s">
        <v>1277</v>
      </c>
      <c r="AH265" s="55" t="s">
        <v>1277</v>
      </c>
      <c r="AI265" s="24" t="s">
        <v>153</v>
      </c>
      <c r="AJ265" s="23" t="s">
        <v>153</v>
      </c>
      <c r="AK265" s="23" t="s">
        <v>153</v>
      </c>
      <c r="AL265" s="23" t="s">
        <v>153</v>
      </c>
      <c r="AM265" s="23" t="s">
        <v>153</v>
      </c>
      <c r="AN265" s="23" t="s">
        <v>153</v>
      </c>
      <c r="AO265" s="23" t="s">
        <v>153</v>
      </c>
      <c r="AP265" s="23">
        <f>VALUE(0)</f>
        <v>0</v>
      </c>
      <c r="AQ265" s="23">
        <f>VALUE(0)</f>
        <v>0</v>
      </c>
      <c r="AR265" s="23">
        <f>VALUE(0)</f>
        <v>0</v>
      </c>
      <c r="AS265" s="23">
        <f>VALUE(0)</f>
        <v>0</v>
      </c>
      <c r="AT265" s="23">
        <f>VALUE(0)</f>
        <v>0</v>
      </c>
      <c r="AU265" s="23">
        <f>VALUE(0)</f>
        <v>0</v>
      </c>
      <c r="AV265" s="23">
        <f>VALUE(3)</f>
        <v>3</v>
      </c>
      <c r="AW265" s="23">
        <f>VALUE(0)</f>
        <v>0</v>
      </c>
      <c r="AX265" s="23" t="s">
        <v>1278</v>
      </c>
      <c r="AY265" s="23">
        <f>VALUE(0)</f>
        <v>0</v>
      </c>
      <c r="AZ265" s="23">
        <f>VALUE(0)</f>
        <v>0</v>
      </c>
      <c r="BA265" s="23">
        <f>VALUE(0)</f>
        <v>0</v>
      </c>
      <c r="BB265" s="23">
        <f>VALUE(0)</f>
        <v>0</v>
      </c>
      <c r="BC265" s="23">
        <f>VALUE(0)</f>
        <v>0</v>
      </c>
      <c r="BD265" s="23">
        <f>VALUE(0)</f>
        <v>0</v>
      </c>
      <c r="BE265" s="23">
        <f>VALUE(0)</f>
        <v>0</v>
      </c>
      <c r="BF265" s="23">
        <f>VALUE(0)</f>
        <v>0</v>
      </c>
      <c r="BG265" s="23">
        <f>VALUE(0)</f>
        <v>0</v>
      </c>
      <c r="BH265" s="23">
        <f>VALUE(0)</f>
        <v>0</v>
      </c>
      <c r="BI265" s="23">
        <f>VALUE(0)</f>
        <v>0</v>
      </c>
      <c r="BJ265" s="23">
        <f>VALUE(0)</f>
        <v>0</v>
      </c>
      <c r="BK265" s="12">
        <f>$AX$265*24</f>
        <v>6.3166666666666664</v>
      </c>
      <c r="BL265" s="12">
        <f>$AY$265*24</f>
        <v>0</v>
      </c>
      <c r="BM265" s="12">
        <f>$BJ$265*24</f>
        <v>0</v>
      </c>
      <c r="BN265" s="12">
        <f>VALUE($I$265)/100</f>
        <v>1</v>
      </c>
      <c r="BO265" s="12">
        <v>0</v>
      </c>
      <c r="BP265" s="12">
        <v>0</v>
      </c>
      <c r="BQ265" s="12">
        <v>0</v>
      </c>
      <c r="BR265" s="12">
        <v>0</v>
      </c>
      <c r="BS265" s="12">
        <v>0</v>
      </c>
      <c r="BT265" s="12">
        <v>0</v>
      </c>
      <c r="BU265" s="12">
        <v>0</v>
      </c>
      <c r="BV265" s="12">
        <v>0</v>
      </c>
      <c r="BW265" s="12">
        <v>0</v>
      </c>
      <c r="BX265" s="12">
        <v>0</v>
      </c>
      <c r="BY265" s="12">
        <v>0</v>
      </c>
      <c r="BZ265" s="12">
        <v>0</v>
      </c>
      <c r="CA265" s="12">
        <v>0</v>
      </c>
    </row>
    <row r="266" spans="1:79" hidden="1" x14ac:dyDescent="0.2">
      <c r="A266" s="12" t="s">
        <v>137</v>
      </c>
      <c r="B266" s="12" t="s">
        <v>139</v>
      </c>
      <c r="C266" s="12" t="s">
        <v>139</v>
      </c>
      <c r="D266" s="22" t="s">
        <v>519</v>
      </c>
      <c r="E266" s="22" t="s">
        <v>173</v>
      </c>
      <c r="F266" s="22" t="s">
        <v>1018</v>
      </c>
      <c r="G266" s="22" t="s">
        <v>1019</v>
      </c>
      <c r="H266" s="22" t="s">
        <v>190</v>
      </c>
      <c r="I266" s="22" t="s">
        <v>151</v>
      </c>
      <c r="J266" s="22" t="s">
        <v>162</v>
      </c>
      <c r="K266" s="22" t="s">
        <v>94</v>
      </c>
      <c r="L266" s="54" t="s">
        <v>153</v>
      </c>
      <c r="M266" s="23" t="s">
        <v>498</v>
      </c>
      <c r="N266" s="24" t="s">
        <v>153</v>
      </c>
      <c r="O266" s="23" t="s">
        <v>498</v>
      </c>
      <c r="P266" s="23" t="s">
        <v>498</v>
      </c>
      <c r="Q266" s="23" t="s">
        <v>498</v>
      </c>
      <c r="R266" s="23" t="s">
        <v>511</v>
      </c>
      <c r="S266" s="23" t="s">
        <v>511</v>
      </c>
      <c r="T266" s="23" t="s">
        <v>511</v>
      </c>
      <c r="U266" s="40" t="s">
        <v>153</v>
      </c>
      <c r="V266" s="40" t="s">
        <v>153</v>
      </c>
      <c r="W266" s="40" t="s">
        <v>153</v>
      </c>
      <c r="X266" s="40" t="s">
        <v>153</v>
      </c>
      <c r="Y266" s="40" t="s">
        <v>153</v>
      </c>
      <c r="Z266" s="40" t="s">
        <v>153</v>
      </c>
      <c r="AA266" s="40" t="s">
        <v>153</v>
      </c>
      <c r="AB266" s="40" t="s">
        <v>153</v>
      </c>
      <c r="AC266" s="40" t="s">
        <v>153</v>
      </c>
      <c r="AD266" s="40" t="s">
        <v>153</v>
      </c>
      <c r="AE266" s="40" t="s">
        <v>153</v>
      </c>
      <c r="AF266" s="40" t="s">
        <v>153</v>
      </c>
      <c r="AG266" s="40" t="s">
        <v>153</v>
      </c>
      <c r="AH266" s="40" t="s">
        <v>153</v>
      </c>
      <c r="AI266" s="40" t="s">
        <v>153</v>
      </c>
      <c r="AJ266" s="40" t="s">
        <v>153</v>
      </c>
      <c r="AK266" s="40" t="s">
        <v>153</v>
      </c>
      <c r="AL266" s="40" t="s">
        <v>153</v>
      </c>
      <c r="AM266" s="40" t="s">
        <v>153</v>
      </c>
      <c r="AN266" s="40" t="s">
        <v>153</v>
      </c>
      <c r="AO266" s="40" t="s">
        <v>153</v>
      </c>
      <c r="AP266" s="23">
        <f>VALUE(0)</f>
        <v>0</v>
      </c>
      <c r="AQ266" s="23">
        <f>VALUE(0)</f>
        <v>0</v>
      </c>
      <c r="AR266" s="23">
        <f>VALUE(0)</f>
        <v>0</v>
      </c>
      <c r="AS266" s="23">
        <f>VALUE(0)</f>
        <v>0</v>
      </c>
      <c r="AT266" s="23">
        <f>VALUE(0)</f>
        <v>0</v>
      </c>
      <c r="AU266" s="23">
        <f>VALUE(0)</f>
        <v>0</v>
      </c>
      <c r="AV266" s="23">
        <f>VALUE(4)</f>
        <v>4</v>
      </c>
      <c r="AW266" s="23">
        <f>VALUE(0)</f>
        <v>0</v>
      </c>
      <c r="AX266" s="23">
        <f>VALUE(0)</f>
        <v>0</v>
      </c>
      <c r="AY266" s="23">
        <f>VALUE(0)</f>
        <v>0</v>
      </c>
      <c r="AZ266" s="23">
        <f>VALUE(0)</f>
        <v>0</v>
      </c>
      <c r="BA266" s="23">
        <f>VALUE(0)</f>
        <v>0</v>
      </c>
      <c r="BB266" s="23">
        <f>VALUE(0)</f>
        <v>0</v>
      </c>
      <c r="BC266" s="23">
        <f>VALUE(0)</f>
        <v>0</v>
      </c>
      <c r="BD266" s="23">
        <f>VALUE(0)</f>
        <v>0</v>
      </c>
      <c r="BE266" s="23">
        <f>VALUE(0)</f>
        <v>0</v>
      </c>
      <c r="BF266" s="23">
        <f>VALUE(0)</f>
        <v>0</v>
      </c>
      <c r="BG266" s="23">
        <f>VALUE(0)</f>
        <v>0</v>
      </c>
      <c r="BH266" s="23">
        <f>VALUE(0)</f>
        <v>0</v>
      </c>
      <c r="BI266" s="23">
        <f>VALUE(0)</f>
        <v>0</v>
      </c>
      <c r="BJ266" s="23">
        <f>VALUE(0)</f>
        <v>0</v>
      </c>
      <c r="BK266" s="12">
        <f>$AX$266*24</f>
        <v>0</v>
      </c>
      <c r="BL266" s="12">
        <f>$AY$266*24</f>
        <v>0</v>
      </c>
      <c r="BM266" s="12">
        <f>$BJ$266*24</f>
        <v>0</v>
      </c>
      <c r="BN266" s="12">
        <f>VALUE($I$266)/100</f>
        <v>1</v>
      </c>
      <c r="BO266" s="12">
        <v>0</v>
      </c>
      <c r="BP266" s="12">
        <v>0</v>
      </c>
      <c r="BQ266" s="12">
        <v>0</v>
      </c>
      <c r="BR266" s="12">
        <v>0</v>
      </c>
      <c r="BS266" s="12">
        <v>0</v>
      </c>
      <c r="BT266" s="12">
        <v>0</v>
      </c>
      <c r="BU266" s="12">
        <v>0</v>
      </c>
      <c r="BV266" s="12">
        <v>0</v>
      </c>
      <c r="BW266" s="12">
        <v>0</v>
      </c>
      <c r="BX266" s="12">
        <v>0</v>
      </c>
      <c r="BY266" s="12">
        <v>0</v>
      </c>
      <c r="BZ266" s="12">
        <v>0</v>
      </c>
      <c r="CA266" s="12">
        <v>0</v>
      </c>
    </row>
    <row r="267" spans="1:79" hidden="1" x14ac:dyDescent="0.2">
      <c r="A267" s="12" t="s">
        <v>137</v>
      </c>
      <c r="B267" s="12" t="s">
        <v>139</v>
      </c>
      <c r="C267" s="12" t="s">
        <v>139</v>
      </c>
      <c r="D267" s="22" t="s">
        <v>519</v>
      </c>
      <c r="E267" s="22" t="s">
        <v>159</v>
      </c>
      <c r="F267" s="22" t="s">
        <v>1020</v>
      </c>
      <c r="G267" s="22" t="s">
        <v>1021</v>
      </c>
      <c r="H267" s="22" t="s">
        <v>150</v>
      </c>
      <c r="I267" s="22" t="s">
        <v>151</v>
      </c>
      <c r="J267" s="22" t="s">
        <v>162</v>
      </c>
      <c r="K267" s="22" t="s">
        <v>94</v>
      </c>
      <c r="L267" s="54" t="s">
        <v>153</v>
      </c>
      <c r="M267" s="23" t="s">
        <v>492</v>
      </c>
      <c r="N267" s="24" t="s">
        <v>153</v>
      </c>
      <c r="O267" s="23" t="s">
        <v>492</v>
      </c>
      <c r="P267" s="23" t="s">
        <v>492</v>
      </c>
      <c r="Q267" s="24" t="s">
        <v>156</v>
      </c>
      <c r="R267" s="24" t="s">
        <v>156</v>
      </c>
      <c r="S267" s="28" t="s">
        <v>163</v>
      </c>
      <c r="T267" s="28" t="s">
        <v>163</v>
      </c>
      <c r="U267" s="24" t="s">
        <v>153</v>
      </c>
      <c r="V267" s="54" t="s">
        <v>153</v>
      </c>
      <c r="W267" s="28" t="s">
        <v>163</v>
      </c>
      <c r="X267" s="28" t="s">
        <v>163</v>
      </c>
      <c r="Y267" s="28" t="s">
        <v>163</v>
      </c>
      <c r="Z267" s="28" t="s">
        <v>163</v>
      </c>
      <c r="AA267" s="28" t="s">
        <v>163</v>
      </c>
      <c r="AB267" s="24" t="s">
        <v>153</v>
      </c>
      <c r="AC267" s="28" t="s">
        <v>163</v>
      </c>
      <c r="AD267" s="25" t="s">
        <v>588</v>
      </c>
      <c r="AE267" s="25" t="s">
        <v>588</v>
      </c>
      <c r="AF267" s="25" t="s">
        <v>588</v>
      </c>
      <c r="AG267" s="23" t="s">
        <v>511</v>
      </c>
      <c r="AH267" s="23" t="s">
        <v>511</v>
      </c>
      <c r="AI267" s="24" t="s">
        <v>153</v>
      </c>
      <c r="AJ267" s="23" t="s">
        <v>511</v>
      </c>
      <c r="AK267" s="23" t="s">
        <v>511</v>
      </c>
      <c r="AL267" s="23" t="s">
        <v>511</v>
      </c>
      <c r="AM267" s="23" t="s">
        <v>511</v>
      </c>
      <c r="AN267" s="24" t="s">
        <v>156</v>
      </c>
      <c r="AO267" s="24" t="s">
        <v>156</v>
      </c>
      <c r="AP267" s="23">
        <f>VALUE(22)</f>
        <v>22</v>
      </c>
      <c r="AQ267" s="23">
        <f>VALUE(0)</f>
        <v>0</v>
      </c>
      <c r="AR267" s="23">
        <f>VALUE(0)</f>
        <v>0</v>
      </c>
      <c r="AS267" s="23">
        <f>VALUE(0)</f>
        <v>0</v>
      </c>
      <c r="AT267" s="23">
        <f>VALUE(0)</f>
        <v>0</v>
      </c>
      <c r="AU267" s="23">
        <f>VALUE(8)</f>
        <v>8</v>
      </c>
      <c r="AV267" s="23">
        <f>VALUE(0)</f>
        <v>0</v>
      </c>
      <c r="AW267" s="23">
        <f>VALUE(0)</f>
        <v>0</v>
      </c>
      <c r="AX267" s="23">
        <f>VALUE(0)</f>
        <v>0</v>
      </c>
      <c r="AY267" s="23">
        <f>VALUE(0)</f>
        <v>0</v>
      </c>
      <c r="AZ267" s="23">
        <f>VALUE(0)</f>
        <v>0</v>
      </c>
      <c r="BA267" s="23">
        <f>VALUE(0)</f>
        <v>0</v>
      </c>
      <c r="BB267" s="23">
        <f>VALUE(0)</f>
        <v>0</v>
      </c>
      <c r="BC267" s="23">
        <f>VALUE(0)</f>
        <v>0</v>
      </c>
      <c r="BD267" s="23">
        <f>VALUE(3)</f>
        <v>3</v>
      </c>
      <c r="BE267" s="23">
        <f>VALUE(0)</f>
        <v>0</v>
      </c>
      <c r="BF267" s="23">
        <f>VALUE(0)</f>
        <v>0</v>
      </c>
      <c r="BG267" s="23">
        <f>VALUE(0)</f>
        <v>0</v>
      </c>
      <c r="BH267" s="23">
        <f>VALUE(0)</f>
        <v>0</v>
      </c>
      <c r="BI267" s="23">
        <f>VALUE(0)</f>
        <v>0</v>
      </c>
      <c r="BJ267" s="23">
        <f>VALUE(0)</f>
        <v>0</v>
      </c>
      <c r="BK267" s="12">
        <f>$AX$267*24</f>
        <v>0</v>
      </c>
      <c r="BL267" s="12">
        <f>$AY$267*24</f>
        <v>0</v>
      </c>
      <c r="BM267" s="12">
        <f>$BJ$267*24</f>
        <v>0</v>
      </c>
      <c r="BN267" s="12">
        <f>VALUE($I$267)/100</f>
        <v>1</v>
      </c>
      <c r="BO267" s="12">
        <v>0</v>
      </c>
      <c r="BP267" s="12">
        <v>0</v>
      </c>
      <c r="BQ267" s="12">
        <v>0</v>
      </c>
      <c r="BR267" s="12">
        <v>3</v>
      </c>
      <c r="BS267" s="12">
        <v>0</v>
      </c>
      <c r="BT267" s="12">
        <v>0</v>
      </c>
      <c r="BU267" s="12">
        <v>0</v>
      </c>
      <c r="BV267" s="12">
        <v>0</v>
      </c>
      <c r="BW267" s="12">
        <v>0</v>
      </c>
      <c r="BX267" s="12">
        <v>0</v>
      </c>
      <c r="BY267" s="12">
        <v>0</v>
      </c>
      <c r="BZ267" s="12">
        <v>0</v>
      </c>
      <c r="CA267" s="12">
        <v>0</v>
      </c>
    </row>
    <row r="268" spans="1:79" ht="16.5" hidden="1" x14ac:dyDescent="0.2">
      <c r="A268" s="12" t="s">
        <v>137</v>
      </c>
      <c r="B268" s="12" t="s">
        <v>139</v>
      </c>
      <c r="C268" s="12" t="s">
        <v>139</v>
      </c>
      <c r="D268" s="22" t="s">
        <v>1279</v>
      </c>
      <c r="E268" s="22" t="s">
        <v>173</v>
      </c>
      <c r="F268" s="22" t="s">
        <v>1022</v>
      </c>
      <c r="G268" s="22" t="s">
        <v>1023</v>
      </c>
      <c r="H268" s="22" t="s">
        <v>150</v>
      </c>
      <c r="I268" s="22" t="s">
        <v>151</v>
      </c>
      <c r="J268" s="22" t="s">
        <v>162</v>
      </c>
      <c r="K268" s="22" t="s">
        <v>94</v>
      </c>
      <c r="L268" s="54" t="s">
        <v>153</v>
      </c>
      <c r="M268" s="32" t="s">
        <v>188</v>
      </c>
      <c r="N268" s="24" t="s">
        <v>153</v>
      </c>
      <c r="O268" s="32" t="s">
        <v>188</v>
      </c>
      <c r="P268" s="32" t="s">
        <v>188</v>
      </c>
      <c r="Q268" s="32" t="s">
        <v>188</v>
      </c>
      <c r="R268" s="32" t="s">
        <v>188</v>
      </c>
      <c r="S268" s="32" t="s">
        <v>188</v>
      </c>
      <c r="T268" s="32" t="s">
        <v>188</v>
      </c>
      <c r="U268" s="24" t="s">
        <v>153</v>
      </c>
      <c r="V268" s="54" t="s">
        <v>153</v>
      </c>
      <c r="W268" s="26" t="s">
        <v>1280</v>
      </c>
      <c r="X268" s="24" t="s">
        <v>156</v>
      </c>
      <c r="Y268" s="24" t="s">
        <v>156</v>
      </c>
      <c r="Z268" s="26" t="s">
        <v>1280</v>
      </c>
      <c r="AA268" s="26" t="s">
        <v>1280</v>
      </c>
      <c r="AB268" s="24" t="s">
        <v>153</v>
      </c>
      <c r="AC268" s="26" t="s">
        <v>1280</v>
      </c>
      <c r="AD268" s="26" t="s">
        <v>1280</v>
      </c>
      <c r="AE268" s="26" t="s">
        <v>1280</v>
      </c>
      <c r="AF268" s="26" t="s">
        <v>1280</v>
      </c>
      <c r="AG268" s="26" t="s">
        <v>1280</v>
      </c>
      <c r="AH268" s="26" t="s">
        <v>1280</v>
      </c>
      <c r="AI268" s="24" t="s">
        <v>153</v>
      </c>
      <c r="AJ268" s="26" t="s">
        <v>1280</v>
      </c>
      <c r="AK268" s="26" t="s">
        <v>1280</v>
      </c>
      <c r="AL268" s="26" t="s">
        <v>1280</v>
      </c>
      <c r="AM268" s="26" t="s">
        <v>1280</v>
      </c>
      <c r="AN268" s="26" t="s">
        <v>1280</v>
      </c>
      <c r="AO268" s="26" t="s">
        <v>1280</v>
      </c>
      <c r="AP268" s="23">
        <f>VALUE(0)</f>
        <v>0</v>
      </c>
      <c r="AQ268" s="23">
        <f>VALUE(0)</f>
        <v>0</v>
      </c>
      <c r="AR268" s="23">
        <f>VALUE(0)</f>
        <v>0</v>
      </c>
      <c r="AS268" s="23">
        <f>VALUE(0)</f>
        <v>0</v>
      </c>
      <c r="AT268" s="23">
        <f>VALUE(0)</f>
        <v>0</v>
      </c>
      <c r="AU268" s="23">
        <f>VALUE(0)</f>
        <v>0</v>
      </c>
      <c r="AV268" s="23">
        <f>VALUE(32)</f>
        <v>32</v>
      </c>
      <c r="AW268" s="23">
        <f>VALUE(0)</f>
        <v>0</v>
      </c>
      <c r="AX268" s="23" t="s">
        <v>520</v>
      </c>
      <c r="AY268" s="23" t="s">
        <v>1281</v>
      </c>
      <c r="AZ268" s="23">
        <f>VALUE(7)</f>
        <v>7</v>
      </c>
      <c r="BA268" s="23">
        <f>VALUE(0)</f>
        <v>0</v>
      </c>
      <c r="BB268" s="23">
        <f>VALUE(0)</f>
        <v>0</v>
      </c>
      <c r="BC268" s="23">
        <f>VALUE(0)</f>
        <v>0</v>
      </c>
      <c r="BD268" s="23">
        <f>VALUE(0)</f>
        <v>0</v>
      </c>
      <c r="BE268" s="23">
        <f>VALUE(0)</f>
        <v>0</v>
      </c>
      <c r="BF268" s="23">
        <f>VALUE(0)</f>
        <v>0</v>
      </c>
      <c r="BG268" s="23">
        <f>VALUE(0)</f>
        <v>0</v>
      </c>
      <c r="BH268" s="23">
        <f>VALUE(0)</f>
        <v>0</v>
      </c>
      <c r="BI268" s="23">
        <f>VALUE(0)</f>
        <v>0</v>
      </c>
      <c r="BJ268" s="23">
        <f>VALUE(0)</f>
        <v>0</v>
      </c>
      <c r="BK268" s="12">
        <f>$AX$268*24</f>
        <v>9.4833333333333325</v>
      </c>
      <c r="BL268" s="12">
        <f>$AY$268*24</f>
        <v>33.15</v>
      </c>
      <c r="BM268" s="12">
        <f>$BJ$268*24</f>
        <v>0</v>
      </c>
      <c r="BN268" s="12">
        <f>VALUE($I$268)/100</f>
        <v>1</v>
      </c>
      <c r="BO268" s="12">
        <v>0</v>
      </c>
      <c r="BP268" s="12">
        <v>0</v>
      </c>
      <c r="BQ268" s="12">
        <v>0</v>
      </c>
      <c r="BR268" s="12">
        <v>0</v>
      </c>
      <c r="BS268" s="12">
        <v>0</v>
      </c>
      <c r="BT268" s="12">
        <v>0</v>
      </c>
      <c r="BU268" s="12">
        <v>0</v>
      </c>
      <c r="BV268" s="12">
        <v>0</v>
      </c>
      <c r="BW268" s="12">
        <v>0</v>
      </c>
      <c r="BX268" s="12">
        <v>0</v>
      </c>
      <c r="BY268" s="12">
        <v>0</v>
      </c>
      <c r="BZ268" s="12">
        <v>0</v>
      </c>
      <c r="CA268" s="12">
        <v>0</v>
      </c>
    </row>
    <row r="269" spans="1:79" hidden="1" x14ac:dyDescent="0.2">
      <c r="A269" s="12" t="s">
        <v>137</v>
      </c>
      <c r="B269" s="12" t="s">
        <v>139</v>
      </c>
      <c r="C269" s="12" t="s">
        <v>139</v>
      </c>
      <c r="D269" s="22" t="s">
        <v>521</v>
      </c>
      <c r="E269" s="22" t="s">
        <v>173</v>
      </c>
      <c r="F269" s="22" t="s">
        <v>1024</v>
      </c>
      <c r="G269" s="22" t="s">
        <v>1025</v>
      </c>
      <c r="H269" s="22" t="s">
        <v>150</v>
      </c>
      <c r="I269" s="22" t="s">
        <v>151</v>
      </c>
      <c r="J269" s="22" t="s">
        <v>162</v>
      </c>
      <c r="K269" s="22" t="s">
        <v>94</v>
      </c>
      <c r="L269" s="54" t="s">
        <v>153</v>
      </c>
      <c r="M269" s="23" t="s">
        <v>511</v>
      </c>
      <c r="N269" s="24" t="s">
        <v>153</v>
      </c>
      <c r="O269" s="28" t="s">
        <v>163</v>
      </c>
      <c r="P269" s="28" t="s">
        <v>163</v>
      </c>
      <c r="Q269" s="28" t="s">
        <v>163</v>
      </c>
      <c r="R269" s="28" t="s">
        <v>163</v>
      </c>
      <c r="S269" s="28" t="s">
        <v>163</v>
      </c>
      <c r="T269" s="28" t="s">
        <v>163</v>
      </c>
      <c r="U269" s="24" t="s">
        <v>153</v>
      </c>
      <c r="V269" s="54" t="s">
        <v>153</v>
      </c>
      <c r="W269" s="23" t="s">
        <v>511</v>
      </c>
      <c r="X269" s="24" t="s">
        <v>156</v>
      </c>
      <c r="Y269" s="24" t="s">
        <v>156</v>
      </c>
      <c r="Z269" s="23" t="s">
        <v>511</v>
      </c>
      <c r="AA269" s="23" t="s">
        <v>511</v>
      </c>
      <c r="AB269" s="24" t="s">
        <v>153</v>
      </c>
      <c r="AC269" s="23" t="s">
        <v>511</v>
      </c>
      <c r="AD269" s="25" t="s">
        <v>511</v>
      </c>
      <c r="AE269" s="25" t="s">
        <v>511</v>
      </c>
      <c r="AF269" s="25" t="s">
        <v>511</v>
      </c>
      <c r="AG269" s="23" t="s">
        <v>514</v>
      </c>
      <c r="AH269" s="23" t="s">
        <v>514</v>
      </c>
      <c r="AI269" s="24" t="s">
        <v>153</v>
      </c>
      <c r="AJ269" s="23" t="s">
        <v>490</v>
      </c>
      <c r="AK269" s="23" t="s">
        <v>490</v>
      </c>
      <c r="AL269" s="23" t="s">
        <v>512</v>
      </c>
      <c r="AM269" s="23" t="s">
        <v>512</v>
      </c>
      <c r="AN269" s="23" t="s">
        <v>514</v>
      </c>
      <c r="AO269" s="23" t="s">
        <v>514</v>
      </c>
      <c r="AP269" s="23">
        <f>VALUE(0)</f>
        <v>0</v>
      </c>
      <c r="AQ269" s="23">
        <f>VALUE(0)</f>
        <v>0</v>
      </c>
      <c r="AR269" s="23">
        <f>VALUE(0)</f>
        <v>0</v>
      </c>
      <c r="AS269" s="23">
        <f>VALUE(0)</f>
        <v>0</v>
      </c>
      <c r="AT269" s="23">
        <f>VALUE(0)</f>
        <v>0</v>
      </c>
      <c r="AU269" s="23">
        <f>VALUE(6)</f>
        <v>6</v>
      </c>
      <c r="AV269" s="23">
        <f>VALUE(1)</f>
        <v>1</v>
      </c>
      <c r="AW269" s="23">
        <f>VALUE(0)</f>
        <v>0</v>
      </c>
      <c r="AX269" s="23" t="s">
        <v>515</v>
      </c>
      <c r="AY269" s="23" t="s">
        <v>523</v>
      </c>
      <c r="AZ269" s="23">
        <f>VALUE(0)</f>
        <v>0</v>
      </c>
      <c r="BA269" s="23">
        <f>VALUE(0)</f>
        <v>0</v>
      </c>
      <c r="BB269" s="23">
        <f>VALUE(0)</f>
        <v>0</v>
      </c>
      <c r="BC269" s="23">
        <f>VALUE(0)</f>
        <v>0</v>
      </c>
      <c r="BD269" s="23">
        <f>VALUE(0)</f>
        <v>0</v>
      </c>
      <c r="BE269" s="23">
        <f>VALUE(0)</f>
        <v>0</v>
      </c>
      <c r="BF269" s="23">
        <f>VALUE(0)</f>
        <v>0</v>
      </c>
      <c r="BG269" s="23">
        <f>VALUE(0)</f>
        <v>0</v>
      </c>
      <c r="BH269" s="23">
        <f>VALUE(0)</f>
        <v>0</v>
      </c>
      <c r="BI269" s="23">
        <f>VALUE(0)</f>
        <v>0</v>
      </c>
      <c r="BJ269" s="23">
        <f>VALUE(0)</f>
        <v>0</v>
      </c>
      <c r="BK269" s="12">
        <f>$AX$269*24</f>
        <v>5.1166666666666663</v>
      </c>
      <c r="BL269" s="12">
        <f>$AY$269*24</f>
        <v>4.3833333333333337</v>
      </c>
      <c r="BM269" s="12">
        <f>$BJ$269*24</f>
        <v>0</v>
      </c>
      <c r="BN269" s="12">
        <f>VALUE($I$269)/100</f>
        <v>1</v>
      </c>
      <c r="BO269" s="12">
        <v>0</v>
      </c>
      <c r="BP269" s="12">
        <v>0</v>
      </c>
      <c r="BQ269" s="12">
        <v>0</v>
      </c>
      <c r="BR269" s="12">
        <v>0</v>
      </c>
      <c r="BS269" s="12">
        <v>0</v>
      </c>
      <c r="BT269" s="12">
        <v>0</v>
      </c>
      <c r="BU269" s="12">
        <v>0</v>
      </c>
      <c r="BV269" s="12">
        <v>0</v>
      </c>
      <c r="BW269" s="12">
        <v>0</v>
      </c>
      <c r="BX269" s="12">
        <v>0</v>
      </c>
      <c r="BY269" s="12">
        <v>0</v>
      </c>
      <c r="BZ269" s="12">
        <v>0</v>
      </c>
      <c r="CA269" s="12">
        <v>0</v>
      </c>
    </row>
    <row r="270" spans="1:79" ht="15" hidden="1" x14ac:dyDescent="0.25">
      <c r="A270" s="12" t="s">
        <v>137</v>
      </c>
      <c r="B270" s="12" t="s">
        <v>139</v>
      </c>
      <c r="C270" s="12" t="s">
        <v>139</v>
      </c>
      <c r="D270" s="31" t="s">
        <v>202</v>
      </c>
      <c r="E270" s="31" t="s">
        <v>153</v>
      </c>
      <c r="F270" s="31" t="s">
        <v>175</v>
      </c>
      <c r="G270" s="31" t="s">
        <v>153</v>
      </c>
      <c r="H270" s="31" t="s">
        <v>153</v>
      </c>
      <c r="I270" s="31" t="s">
        <v>153</v>
      </c>
      <c r="J270" s="31" t="s">
        <v>153</v>
      </c>
      <c r="K270" s="31" t="s">
        <v>153</v>
      </c>
      <c r="L270" s="31">
        <f>VALUE(0)</f>
        <v>0</v>
      </c>
      <c r="M270" s="31">
        <f>VALUE(9)</f>
        <v>9</v>
      </c>
      <c r="N270" s="31">
        <f>VALUE(0)</f>
        <v>0</v>
      </c>
      <c r="O270" s="31">
        <f>VALUE(9)</f>
        <v>9</v>
      </c>
      <c r="P270" s="31">
        <f>VALUE(9)</f>
        <v>9</v>
      </c>
      <c r="Q270" s="31">
        <f>VALUE(9)</f>
        <v>9</v>
      </c>
      <c r="R270" s="31">
        <f>VALUE(8)</f>
        <v>8</v>
      </c>
      <c r="S270" s="31">
        <f>VALUE(7)</f>
        <v>7</v>
      </c>
      <c r="T270" s="31">
        <f>VALUE(7)</f>
        <v>7</v>
      </c>
      <c r="U270" s="31">
        <f>VALUE(0)</f>
        <v>0</v>
      </c>
      <c r="V270" s="31">
        <f>VALUE(0)</f>
        <v>0</v>
      </c>
      <c r="W270" s="31">
        <f>VALUE(7)</f>
        <v>7</v>
      </c>
      <c r="X270" s="31">
        <f>VALUE(7)</f>
        <v>7</v>
      </c>
      <c r="Y270" s="31">
        <f>VALUE(7)</f>
        <v>7</v>
      </c>
      <c r="Z270" s="31">
        <f>VALUE(8)</f>
        <v>8</v>
      </c>
      <c r="AA270" s="31">
        <f>VALUE(8)</f>
        <v>8</v>
      </c>
      <c r="AB270" s="31">
        <f>VALUE(0)</f>
        <v>0</v>
      </c>
      <c r="AC270" s="31">
        <f>VALUE(8)</f>
        <v>8</v>
      </c>
      <c r="AD270" s="31">
        <f>VALUE(9)</f>
        <v>9</v>
      </c>
      <c r="AE270" s="31">
        <f>VALUE(8)</f>
        <v>8</v>
      </c>
      <c r="AF270" s="31">
        <f>VALUE(8)</f>
        <v>8</v>
      </c>
      <c r="AG270" s="31">
        <f>VALUE(8)</f>
        <v>8</v>
      </c>
      <c r="AH270" s="31">
        <f>VALUE(8)</f>
        <v>8</v>
      </c>
      <c r="AI270" s="31">
        <f>VALUE(0)</f>
        <v>0</v>
      </c>
      <c r="AJ270" s="31">
        <f>VALUE(9)</f>
        <v>9</v>
      </c>
      <c r="AK270" s="31">
        <f>VALUE(9)</f>
        <v>9</v>
      </c>
      <c r="AL270" s="31">
        <f>VALUE(8)</f>
        <v>8</v>
      </c>
      <c r="AM270" s="31">
        <f>VALUE(8)</f>
        <v>8</v>
      </c>
      <c r="AN270" s="31">
        <f>VALUE(8)</f>
        <v>8</v>
      </c>
      <c r="AO270" s="31">
        <f>VALUE(8)</f>
        <v>8</v>
      </c>
      <c r="AP270" s="31">
        <v>0</v>
      </c>
      <c r="AQ270" s="31">
        <v>0</v>
      </c>
      <c r="AR270" s="31">
        <v>0</v>
      </c>
      <c r="AS270" s="31">
        <v>0</v>
      </c>
      <c r="AT270" s="31">
        <v>0</v>
      </c>
      <c r="AU270" s="31">
        <v>0</v>
      </c>
      <c r="AV270" s="31">
        <v>0</v>
      </c>
      <c r="AW270" s="31">
        <v>0</v>
      </c>
      <c r="AX270" s="31">
        <v>0</v>
      </c>
      <c r="AY270" s="31">
        <v>0</v>
      </c>
      <c r="AZ270" s="31">
        <v>0</v>
      </c>
      <c r="BA270" s="31">
        <v>0</v>
      </c>
      <c r="BB270" s="31">
        <v>0</v>
      </c>
      <c r="BC270" s="31">
        <v>0</v>
      </c>
      <c r="BD270" s="31">
        <v>0</v>
      </c>
      <c r="BE270" s="31">
        <v>0</v>
      </c>
      <c r="BF270" s="31">
        <v>0</v>
      </c>
      <c r="BG270" s="31">
        <v>0</v>
      </c>
      <c r="BH270" s="31">
        <v>0</v>
      </c>
      <c r="BI270" s="31">
        <v>0</v>
      </c>
      <c r="BJ270" s="31">
        <v>0</v>
      </c>
      <c r="BK270" s="12">
        <v>0</v>
      </c>
      <c r="BL270" s="12">
        <v>0</v>
      </c>
      <c r="BM270" s="12">
        <v>0</v>
      </c>
      <c r="BN270" s="12"/>
      <c r="BO270" s="12">
        <v>0</v>
      </c>
      <c r="BP270" s="12">
        <v>0</v>
      </c>
      <c r="BQ270" s="12">
        <v>0</v>
      </c>
      <c r="BR270" s="12">
        <v>0</v>
      </c>
      <c r="BS270" s="12">
        <v>0</v>
      </c>
      <c r="BT270" s="12">
        <v>0</v>
      </c>
      <c r="BU270" s="12">
        <v>0</v>
      </c>
      <c r="BV270" s="12">
        <v>0</v>
      </c>
      <c r="BW270" s="12">
        <v>0</v>
      </c>
      <c r="BX270" s="12">
        <v>0</v>
      </c>
      <c r="BY270" s="12">
        <v>0</v>
      </c>
      <c r="BZ270" s="12">
        <v>0</v>
      </c>
      <c r="CA270" s="12">
        <v>0</v>
      </c>
    </row>
    <row r="271" spans="1:79" hidden="1" x14ac:dyDescent="0.2">
      <c r="A271" s="12" t="s">
        <v>137</v>
      </c>
      <c r="B271" s="12" t="s">
        <v>140</v>
      </c>
      <c r="C271" s="12" t="s">
        <v>140</v>
      </c>
      <c r="D271" s="22" t="s">
        <v>513</v>
      </c>
      <c r="E271" s="22" t="s">
        <v>149</v>
      </c>
      <c r="F271" s="22" t="s">
        <v>1026</v>
      </c>
      <c r="G271" s="22" t="s">
        <v>1027</v>
      </c>
      <c r="H271" s="22" t="s">
        <v>150</v>
      </c>
      <c r="I271" s="22" t="s">
        <v>151</v>
      </c>
      <c r="J271" s="22" t="s">
        <v>524</v>
      </c>
      <c r="K271" s="22" t="s">
        <v>95</v>
      </c>
      <c r="L271" s="54" t="s">
        <v>153</v>
      </c>
      <c r="M271" s="32" t="s">
        <v>188</v>
      </c>
      <c r="N271" s="24" t="s">
        <v>153</v>
      </c>
      <c r="O271" s="32" t="s">
        <v>188</v>
      </c>
      <c r="P271" s="23" t="s">
        <v>459</v>
      </c>
      <c r="Q271" s="23" t="s">
        <v>459</v>
      </c>
      <c r="R271" s="23" t="s">
        <v>459</v>
      </c>
      <c r="S271" s="23" t="s">
        <v>459</v>
      </c>
      <c r="T271" s="23" t="s">
        <v>459</v>
      </c>
      <c r="U271" s="24" t="s">
        <v>153</v>
      </c>
      <c r="V271" s="54" t="s">
        <v>153</v>
      </c>
      <c r="W271" s="23" t="s">
        <v>459</v>
      </c>
      <c r="X271" s="23" t="s">
        <v>459</v>
      </c>
      <c r="Y271" s="23" t="s">
        <v>459</v>
      </c>
      <c r="Z271" s="24" t="s">
        <v>156</v>
      </c>
      <c r="AA271" s="24" t="s">
        <v>156</v>
      </c>
      <c r="AB271" s="24" t="s">
        <v>153</v>
      </c>
      <c r="AC271" s="23" t="s">
        <v>459</v>
      </c>
      <c r="AD271" s="23" t="s">
        <v>459</v>
      </c>
      <c r="AE271" s="23" t="s">
        <v>459</v>
      </c>
      <c r="AF271" s="23" t="s">
        <v>459</v>
      </c>
      <c r="AG271" s="23" t="s">
        <v>459</v>
      </c>
      <c r="AH271" s="23" t="s">
        <v>459</v>
      </c>
      <c r="AI271" s="24" t="s">
        <v>153</v>
      </c>
      <c r="AJ271" s="23" t="s">
        <v>459</v>
      </c>
      <c r="AK271" s="23" t="s">
        <v>459</v>
      </c>
      <c r="AL271" s="23" t="s">
        <v>459</v>
      </c>
      <c r="AM271" s="23" t="s">
        <v>459</v>
      </c>
      <c r="AN271" s="23" t="s">
        <v>459</v>
      </c>
      <c r="AO271" s="23" t="s">
        <v>459</v>
      </c>
      <c r="AP271" s="23">
        <f>VALUE(0)</f>
        <v>0</v>
      </c>
      <c r="AQ271" s="23">
        <f>VALUE(0)</f>
        <v>0</v>
      </c>
      <c r="AR271" s="23">
        <f>VALUE(0)</f>
        <v>0</v>
      </c>
      <c r="AS271" s="23">
        <f>VALUE(0)</f>
        <v>0</v>
      </c>
      <c r="AT271" s="23">
        <f>VALUE(0)</f>
        <v>0</v>
      </c>
      <c r="AU271" s="23">
        <f>VALUE(0)</f>
        <v>0</v>
      </c>
      <c r="AV271" s="23">
        <f>VALUE(11)</f>
        <v>11</v>
      </c>
      <c r="AW271" s="23">
        <f>VALUE(0)</f>
        <v>0</v>
      </c>
      <c r="AX271" s="23" t="s">
        <v>1282</v>
      </c>
      <c r="AY271" s="23" t="s">
        <v>176</v>
      </c>
      <c r="AZ271" s="23">
        <f>VALUE(2)</f>
        <v>2</v>
      </c>
      <c r="BA271" s="23">
        <f>VALUE(0)</f>
        <v>0</v>
      </c>
      <c r="BB271" s="23">
        <f>VALUE(0)</f>
        <v>0</v>
      </c>
      <c r="BC271" s="23">
        <f>VALUE(0)</f>
        <v>0</v>
      </c>
      <c r="BD271" s="23">
        <f>VALUE(0)</f>
        <v>0</v>
      </c>
      <c r="BE271" s="23">
        <f>VALUE(0)</f>
        <v>0</v>
      </c>
      <c r="BF271" s="23">
        <f>VALUE(0)</f>
        <v>0</v>
      </c>
      <c r="BG271" s="23">
        <f>VALUE(0)</f>
        <v>0</v>
      </c>
      <c r="BH271" s="23">
        <f>VALUE(0)</f>
        <v>0</v>
      </c>
      <c r="BI271" s="23">
        <f>VALUE(0)</f>
        <v>0</v>
      </c>
      <c r="BJ271" s="23">
        <f>VALUE(0)</f>
        <v>0</v>
      </c>
      <c r="BK271" s="12">
        <f>$AX$271*24</f>
        <v>1.8333333333333335</v>
      </c>
      <c r="BL271" s="12">
        <f>$AY$271*24</f>
        <v>0</v>
      </c>
      <c r="BM271" s="12">
        <f>$BJ$271*24</f>
        <v>0</v>
      </c>
      <c r="BN271" s="12">
        <f>VALUE($I$271)/100</f>
        <v>1</v>
      </c>
      <c r="BO271" s="12">
        <v>0</v>
      </c>
      <c r="BP271" s="12">
        <v>0</v>
      </c>
      <c r="BQ271" s="12">
        <v>0</v>
      </c>
      <c r="BR271" s="12">
        <v>0</v>
      </c>
      <c r="BS271" s="12">
        <v>0</v>
      </c>
      <c r="BT271" s="12">
        <v>0</v>
      </c>
      <c r="BU271" s="12">
        <v>0</v>
      </c>
      <c r="BV271" s="12">
        <v>0</v>
      </c>
      <c r="BW271" s="12">
        <v>0</v>
      </c>
      <c r="BX271" s="12">
        <v>0</v>
      </c>
      <c r="BY271" s="12">
        <v>0</v>
      </c>
      <c r="BZ271" s="12">
        <v>0</v>
      </c>
      <c r="CA271" s="12">
        <v>0</v>
      </c>
    </row>
    <row r="272" spans="1:79" ht="15" hidden="1" x14ac:dyDescent="0.25">
      <c r="A272" s="12" t="s">
        <v>137</v>
      </c>
      <c r="B272" s="12" t="s">
        <v>140</v>
      </c>
      <c r="C272" s="12" t="s">
        <v>140</v>
      </c>
      <c r="D272" s="31" t="s">
        <v>262</v>
      </c>
      <c r="E272" s="31" t="s">
        <v>153</v>
      </c>
      <c r="F272" s="31" t="s">
        <v>175</v>
      </c>
      <c r="G272" s="31" t="s">
        <v>153</v>
      </c>
      <c r="H272" s="31" t="s">
        <v>153</v>
      </c>
      <c r="I272" s="31" t="s">
        <v>153</v>
      </c>
      <c r="J272" s="31" t="s">
        <v>153</v>
      </c>
      <c r="K272" s="31" t="s">
        <v>153</v>
      </c>
      <c r="L272" s="31">
        <f>VALUE(0)</f>
        <v>0</v>
      </c>
      <c r="M272" s="31">
        <f>VALUE(0)</f>
        <v>0</v>
      </c>
      <c r="N272" s="31">
        <f>VALUE(0)</f>
        <v>0</v>
      </c>
      <c r="O272" s="31">
        <f>VALUE(0)</f>
        <v>0</v>
      </c>
      <c r="P272" s="31">
        <f>VALUE(1)</f>
        <v>1</v>
      </c>
      <c r="Q272" s="31">
        <f>VALUE(1)</f>
        <v>1</v>
      </c>
      <c r="R272" s="31">
        <f>VALUE(1)</f>
        <v>1</v>
      </c>
      <c r="S272" s="31">
        <f>VALUE(1)</f>
        <v>1</v>
      </c>
      <c r="T272" s="31">
        <f>VALUE(1)</f>
        <v>1</v>
      </c>
      <c r="U272" s="31">
        <f>VALUE(0)</f>
        <v>0</v>
      </c>
      <c r="V272" s="31">
        <f>VALUE(0)</f>
        <v>0</v>
      </c>
      <c r="W272" s="31">
        <f>VALUE(1)</f>
        <v>1</v>
      </c>
      <c r="X272" s="31">
        <f>VALUE(1)</f>
        <v>1</v>
      </c>
      <c r="Y272" s="31">
        <f>VALUE(1)</f>
        <v>1</v>
      </c>
      <c r="Z272" s="31">
        <f>VALUE(0)</f>
        <v>0</v>
      </c>
      <c r="AA272" s="31">
        <f>VALUE(0)</f>
        <v>0</v>
      </c>
      <c r="AB272" s="31">
        <f>VALUE(0)</f>
        <v>0</v>
      </c>
      <c r="AC272" s="31">
        <f>VALUE(1)</f>
        <v>1</v>
      </c>
      <c r="AD272" s="31">
        <f>VALUE(1)</f>
        <v>1</v>
      </c>
      <c r="AE272" s="31">
        <f>VALUE(1)</f>
        <v>1</v>
      </c>
      <c r="AF272" s="31">
        <f>VALUE(1)</f>
        <v>1</v>
      </c>
      <c r="AG272" s="31">
        <f>VALUE(1)</f>
        <v>1</v>
      </c>
      <c r="AH272" s="31">
        <f>VALUE(1)</f>
        <v>1</v>
      </c>
      <c r="AI272" s="31">
        <f>VALUE(0)</f>
        <v>0</v>
      </c>
      <c r="AJ272" s="31">
        <f>VALUE(1)</f>
        <v>1</v>
      </c>
      <c r="AK272" s="31">
        <f>VALUE(1)</f>
        <v>1</v>
      </c>
      <c r="AL272" s="31">
        <f>VALUE(1)</f>
        <v>1</v>
      </c>
      <c r="AM272" s="31">
        <f>VALUE(1)</f>
        <v>1</v>
      </c>
      <c r="AN272" s="31">
        <f>VALUE(1)</f>
        <v>1</v>
      </c>
      <c r="AO272" s="31">
        <f>VALUE(1)</f>
        <v>1</v>
      </c>
      <c r="AP272" s="31">
        <v>0</v>
      </c>
      <c r="AQ272" s="31">
        <v>0</v>
      </c>
      <c r="AR272" s="31">
        <v>0</v>
      </c>
      <c r="AS272" s="31">
        <v>0</v>
      </c>
      <c r="AT272" s="31">
        <v>0</v>
      </c>
      <c r="AU272" s="31">
        <v>0</v>
      </c>
      <c r="AV272" s="31">
        <v>0</v>
      </c>
      <c r="AW272" s="31">
        <v>0</v>
      </c>
      <c r="AX272" s="31">
        <v>0</v>
      </c>
      <c r="AY272" s="31">
        <v>0</v>
      </c>
      <c r="AZ272" s="31">
        <v>0</v>
      </c>
      <c r="BA272" s="31">
        <v>0</v>
      </c>
      <c r="BB272" s="31">
        <v>0</v>
      </c>
      <c r="BC272" s="31">
        <v>0</v>
      </c>
      <c r="BD272" s="31">
        <v>0</v>
      </c>
      <c r="BE272" s="31">
        <v>0</v>
      </c>
      <c r="BF272" s="31">
        <v>0</v>
      </c>
      <c r="BG272" s="31">
        <v>0</v>
      </c>
      <c r="BH272" s="31">
        <v>0</v>
      </c>
      <c r="BI272" s="31">
        <v>0</v>
      </c>
      <c r="BJ272" s="31">
        <v>0</v>
      </c>
      <c r="BK272" s="12">
        <v>0</v>
      </c>
      <c r="BL272" s="12">
        <v>0</v>
      </c>
      <c r="BM272" s="12">
        <v>0</v>
      </c>
      <c r="BN272" s="12"/>
      <c r="BO272" s="12">
        <v>0</v>
      </c>
      <c r="BP272" s="12">
        <v>0</v>
      </c>
      <c r="BQ272" s="12">
        <v>0</v>
      </c>
      <c r="BR272" s="12">
        <v>0</v>
      </c>
      <c r="BS272" s="12">
        <v>0</v>
      </c>
      <c r="BT272" s="12">
        <v>0</v>
      </c>
      <c r="BU272" s="12">
        <v>0</v>
      </c>
      <c r="BV272" s="12">
        <v>0</v>
      </c>
      <c r="BW272" s="12">
        <v>0</v>
      </c>
      <c r="BX272" s="12">
        <v>0</v>
      </c>
      <c r="BY272" s="12">
        <v>0</v>
      </c>
      <c r="BZ272" s="12">
        <v>0</v>
      </c>
      <c r="CA272" s="12">
        <v>0</v>
      </c>
    </row>
    <row r="273" spans="1:79" hidden="1" x14ac:dyDescent="0.2">
      <c r="A273" s="12" t="s">
        <v>141</v>
      </c>
      <c r="B273" s="12" t="s">
        <v>142</v>
      </c>
      <c r="C273" s="12" t="s">
        <v>142</v>
      </c>
      <c r="D273" s="22" t="s">
        <v>525</v>
      </c>
      <c r="E273" s="22" t="s">
        <v>161</v>
      </c>
      <c r="F273" s="22" t="s">
        <v>1028</v>
      </c>
      <c r="G273" s="22" t="s">
        <v>1029</v>
      </c>
      <c r="H273" s="22" t="s">
        <v>279</v>
      </c>
      <c r="I273" s="22" t="s">
        <v>151</v>
      </c>
      <c r="J273" s="22" t="s">
        <v>181</v>
      </c>
      <c r="K273" s="22" t="s">
        <v>96</v>
      </c>
      <c r="L273" s="54" t="s">
        <v>153</v>
      </c>
      <c r="M273" s="23" t="s">
        <v>153</v>
      </c>
      <c r="N273" s="24" t="s">
        <v>153</v>
      </c>
      <c r="O273" s="23" t="s">
        <v>153</v>
      </c>
      <c r="P273" s="23" t="s">
        <v>153</v>
      </c>
      <c r="Q273" s="23" t="s">
        <v>153</v>
      </c>
      <c r="R273" s="23" t="s">
        <v>153</v>
      </c>
      <c r="S273" s="23" t="s">
        <v>153</v>
      </c>
      <c r="T273" s="23" t="s">
        <v>153</v>
      </c>
      <c r="U273" s="24" t="s">
        <v>153</v>
      </c>
      <c r="V273" s="54" t="s">
        <v>153</v>
      </c>
      <c r="W273" s="27" t="s">
        <v>153</v>
      </c>
      <c r="X273" s="27" t="s">
        <v>153</v>
      </c>
      <c r="Y273" s="27" t="s">
        <v>153</v>
      </c>
      <c r="Z273" s="27" t="s">
        <v>153</v>
      </c>
      <c r="AA273" s="27" t="s">
        <v>153</v>
      </c>
      <c r="AB273" s="24" t="s">
        <v>153</v>
      </c>
      <c r="AC273" s="27" t="s">
        <v>153</v>
      </c>
      <c r="AD273" s="27" t="s">
        <v>153</v>
      </c>
      <c r="AE273" s="27" t="s">
        <v>153</v>
      </c>
      <c r="AF273" s="27" t="s">
        <v>153</v>
      </c>
      <c r="AG273" s="27" t="s">
        <v>153</v>
      </c>
      <c r="AH273" s="27" t="s">
        <v>153</v>
      </c>
      <c r="AI273" s="24" t="s">
        <v>153</v>
      </c>
      <c r="AJ273" s="27" t="s">
        <v>153</v>
      </c>
      <c r="AK273" s="27" t="s">
        <v>153</v>
      </c>
      <c r="AL273" s="27" t="s">
        <v>153</v>
      </c>
      <c r="AM273" s="27" t="s">
        <v>153</v>
      </c>
      <c r="AN273" s="27" t="s">
        <v>153</v>
      </c>
      <c r="AO273" s="27" t="s">
        <v>153</v>
      </c>
      <c r="AP273" s="23">
        <f>VALUE(0)</f>
        <v>0</v>
      </c>
      <c r="AQ273" s="23">
        <f>VALUE(0)</f>
        <v>0</v>
      </c>
      <c r="AR273" s="23">
        <f>VALUE(0)</f>
        <v>0</v>
      </c>
      <c r="AS273" s="23">
        <f>VALUE(0)</f>
        <v>0</v>
      </c>
      <c r="AT273" s="23">
        <f>VALUE(0)</f>
        <v>0</v>
      </c>
      <c r="AU273" s="23">
        <f>VALUE(0)</f>
        <v>0</v>
      </c>
      <c r="AV273" s="23">
        <f>VALUE(0)</f>
        <v>0</v>
      </c>
      <c r="AW273" s="23">
        <f>VALUE(0)</f>
        <v>0</v>
      </c>
      <c r="AX273" s="23">
        <f>VALUE(0)</f>
        <v>0</v>
      </c>
      <c r="AY273" s="23">
        <f>VALUE(0)</f>
        <v>0</v>
      </c>
      <c r="AZ273" s="23">
        <f>VALUE(0)</f>
        <v>0</v>
      </c>
      <c r="BA273" s="23">
        <f>VALUE(0)</f>
        <v>0</v>
      </c>
      <c r="BB273" s="23">
        <f>VALUE(0)</f>
        <v>0</v>
      </c>
      <c r="BC273" s="23">
        <f>VALUE(0)</f>
        <v>0</v>
      </c>
      <c r="BD273" s="23">
        <f>VALUE(0)</f>
        <v>0</v>
      </c>
      <c r="BE273" s="23">
        <f>VALUE(0)</f>
        <v>0</v>
      </c>
      <c r="BF273" s="23">
        <f>VALUE(0)</f>
        <v>0</v>
      </c>
      <c r="BG273" s="23">
        <f>VALUE(0)</f>
        <v>0</v>
      </c>
      <c r="BH273" s="23">
        <f>VALUE(0)</f>
        <v>0</v>
      </c>
      <c r="BI273" s="23">
        <f>VALUE(0)</f>
        <v>0</v>
      </c>
      <c r="BJ273" s="23">
        <f>VALUE(0)</f>
        <v>0</v>
      </c>
      <c r="BK273" s="12">
        <f>$AX$273*24</f>
        <v>0</v>
      </c>
      <c r="BL273" s="12">
        <f>$AY$273*24</f>
        <v>0</v>
      </c>
      <c r="BM273" s="12">
        <f>$BJ$273*24</f>
        <v>0</v>
      </c>
      <c r="BN273" s="12">
        <f>VALUE($I$273)/100</f>
        <v>1</v>
      </c>
      <c r="BO273" s="12">
        <v>0</v>
      </c>
      <c r="BP273" s="12">
        <v>0</v>
      </c>
      <c r="BQ273" s="12">
        <v>0</v>
      </c>
      <c r="BR273" s="12">
        <v>0</v>
      </c>
      <c r="BS273" s="12">
        <v>0</v>
      </c>
      <c r="BT273" s="12">
        <v>0</v>
      </c>
      <c r="BU273" s="12">
        <v>0</v>
      </c>
      <c r="BV273" s="12">
        <v>0</v>
      </c>
      <c r="BW273" s="12">
        <v>0</v>
      </c>
      <c r="BX273" s="12">
        <v>0</v>
      </c>
      <c r="BY273" s="12">
        <v>0</v>
      </c>
      <c r="BZ273" s="12">
        <v>0</v>
      </c>
      <c r="CA273" s="12">
        <v>0</v>
      </c>
    </row>
    <row r="274" spans="1:79" ht="16.5" hidden="1" x14ac:dyDescent="0.2">
      <c r="A274" s="12" t="s">
        <v>141</v>
      </c>
      <c r="B274" s="12" t="s">
        <v>142</v>
      </c>
      <c r="C274" s="12" t="s">
        <v>142</v>
      </c>
      <c r="D274" s="22" t="s">
        <v>525</v>
      </c>
      <c r="E274" s="22" t="s">
        <v>161</v>
      </c>
      <c r="F274" s="22" t="s">
        <v>1030</v>
      </c>
      <c r="G274" s="22" t="s">
        <v>1031</v>
      </c>
      <c r="H274" s="22" t="s">
        <v>150</v>
      </c>
      <c r="I274" s="22" t="s">
        <v>151</v>
      </c>
      <c r="J274" s="22" t="s">
        <v>181</v>
      </c>
      <c r="K274" s="22" t="s">
        <v>96</v>
      </c>
      <c r="L274" s="54" t="s">
        <v>153</v>
      </c>
      <c r="M274" s="32" t="s">
        <v>188</v>
      </c>
      <c r="N274" s="24" t="s">
        <v>153</v>
      </c>
      <c r="O274" s="32" t="s">
        <v>188</v>
      </c>
      <c r="P274" s="32" t="s">
        <v>188</v>
      </c>
      <c r="Q274" s="32" t="s">
        <v>188</v>
      </c>
      <c r="R274" s="32" t="s">
        <v>188</v>
      </c>
      <c r="S274" s="32" t="s">
        <v>188</v>
      </c>
      <c r="T274" s="32" t="s">
        <v>188</v>
      </c>
      <c r="U274" s="24" t="s">
        <v>153</v>
      </c>
      <c r="V274" s="54" t="s">
        <v>156</v>
      </c>
      <c r="W274" s="24" t="s">
        <v>156</v>
      </c>
      <c r="X274" s="23" t="s">
        <v>153</v>
      </c>
      <c r="Y274" s="23" t="s">
        <v>153</v>
      </c>
      <c r="Z274" s="23" t="s">
        <v>153</v>
      </c>
      <c r="AA274" s="26" t="s">
        <v>1283</v>
      </c>
      <c r="AB274" s="24" t="s">
        <v>153</v>
      </c>
      <c r="AC274" s="23" t="s">
        <v>153</v>
      </c>
      <c r="AD274" s="23" t="s">
        <v>153</v>
      </c>
      <c r="AE274" s="23" t="s">
        <v>153</v>
      </c>
      <c r="AF274" s="23" t="s">
        <v>153</v>
      </c>
      <c r="AG274" s="23" t="s">
        <v>153</v>
      </c>
      <c r="AH274" s="26" t="s">
        <v>1283</v>
      </c>
      <c r="AI274" s="24" t="s">
        <v>153</v>
      </c>
      <c r="AJ274" s="23" t="s">
        <v>153</v>
      </c>
      <c r="AK274" s="23" t="s">
        <v>153</v>
      </c>
      <c r="AL274" s="23" t="s">
        <v>153</v>
      </c>
      <c r="AM274" s="23" t="s">
        <v>153</v>
      </c>
      <c r="AN274" s="23" t="s">
        <v>153</v>
      </c>
      <c r="AO274" s="26" t="s">
        <v>1283</v>
      </c>
      <c r="AP274" s="23">
        <f>VALUE(0)</f>
        <v>0</v>
      </c>
      <c r="AQ274" s="23">
        <f>VALUE(0)</f>
        <v>0</v>
      </c>
      <c r="AR274" s="23">
        <f>VALUE(0)</f>
        <v>0</v>
      </c>
      <c r="AS274" s="23">
        <f>VALUE(0)</f>
        <v>0</v>
      </c>
      <c r="AT274" s="23">
        <f>VALUE(0)</f>
        <v>0</v>
      </c>
      <c r="AU274" s="23">
        <f>VALUE(0)</f>
        <v>0</v>
      </c>
      <c r="AV274" s="23">
        <f>VALUE(32)</f>
        <v>32</v>
      </c>
      <c r="AW274" s="23">
        <f>VALUE(0)</f>
        <v>0</v>
      </c>
      <c r="AX274" s="23" t="s">
        <v>171</v>
      </c>
      <c r="AY274" s="23" t="s">
        <v>586</v>
      </c>
      <c r="AZ274" s="23">
        <f>VALUE(7)</f>
        <v>7</v>
      </c>
      <c r="BA274" s="23">
        <f>VALUE(0)</f>
        <v>0</v>
      </c>
      <c r="BB274" s="23">
        <f>VALUE(0)</f>
        <v>0</v>
      </c>
      <c r="BC274" s="23">
        <f>VALUE(0)</f>
        <v>0</v>
      </c>
      <c r="BD274" s="23">
        <f>VALUE(0)</f>
        <v>0</v>
      </c>
      <c r="BE274" s="23">
        <f>VALUE(0)</f>
        <v>0</v>
      </c>
      <c r="BF274" s="23">
        <f>VALUE(0)</f>
        <v>0</v>
      </c>
      <c r="BG274" s="23">
        <f>VALUE(0)</f>
        <v>0</v>
      </c>
      <c r="BH274" s="23">
        <f>VALUE(0)</f>
        <v>0</v>
      </c>
      <c r="BI274" s="23">
        <f>VALUE(0)</f>
        <v>0</v>
      </c>
      <c r="BJ274" s="23">
        <f>VALUE(0)</f>
        <v>0</v>
      </c>
      <c r="BK274" s="12">
        <f>$AX$274*24</f>
        <v>5.833333333333333</v>
      </c>
      <c r="BL274" s="12">
        <f>$AY$274*24</f>
        <v>6.2333333333333343</v>
      </c>
      <c r="BM274" s="12">
        <f>$BJ$274*24</f>
        <v>0</v>
      </c>
      <c r="BN274" s="12">
        <f>VALUE($I$274)/100</f>
        <v>1</v>
      </c>
      <c r="BO274" s="12">
        <v>0</v>
      </c>
      <c r="BP274" s="12">
        <v>0</v>
      </c>
      <c r="BQ274" s="12">
        <v>0</v>
      </c>
      <c r="BR274" s="12">
        <v>0</v>
      </c>
      <c r="BS274" s="12">
        <v>0</v>
      </c>
      <c r="BT274" s="12">
        <v>0</v>
      </c>
      <c r="BU274" s="12">
        <v>0</v>
      </c>
      <c r="BV274" s="12">
        <v>0</v>
      </c>
      <c r="BW274" s="12">
        <v>0</v>
      </c>
      <c r="BX274" s="12">
        <v>0</v>
      </c>
      <c r="BY274" s="12">
        <v>0</v>
      </c>
      <c r="BZ274" s="12">
        <v>0</v>
      </c>
      <c r="CA274" s="12">
        <v>0</v>
      </c>
    </row>
    <row r="275" spans="1:79" ht="16.5" hidden="1" x14ac:dyDescent="0.2">
      <c r="A275" s="12" t="s">
        <v>141</v>
      </c>
      <c r="B275" s="12" t="s">
        <v>142</v>
      </c>
      <c r="C275" s="12" t="s">
        <v>142</v>
      </c>
      <c r="D275" s="22" t="s">
        <v>182</v>
      </c>
      <c r="E275" s="22" t="s">
        <v>161</v>
      </c>
      <c r="F275" s="22" t="s">
        <v>1032</v>
      </c>
      <c r="G275" s="22" t="s">
        <v>1033</v>
      </c>
      <c r="H275" s="22" t="s">
        <v>150</v>
      </c>
      <c r="I275" s="22" t="s">
        <v>151</v>
      </c>
      <c r="J275" s="22" t="s">
        <v>181</v>
      </c>
      <c r="K275" s="22" t="s">
        <v>96</v>
      </c>
      <c r="L275" s="54" t="s">
        <v>153</v>
      </c>
      <c r="M275" s="26" t="s">
        <v>526</v>
      </c>
      <c r="N275" s="24" t="s">
        <v>153</v>
      </c>
      <c r="O275" s="23" t="s">
        <v>153</v>
      </c>
      <c r="P275" s="23" t="s">
        <v>153</v>
      </c>
      <c r="Q275" s="23" t="s">
        <v>153</v>
      </c>
      <c r="R275" s="23" t="s">
        <v>153</v>
      </c>
      <c r="S275" s="23" t="s">
        <v>153</v>
      </c>
      <c r="T275" s="24" t="s">
        <v>156</v>
      </c>
      <c r="U275" s="24" t="s">
        <v>153</v>
      </c>
      <c r="V275" s="54" t="s">
        <v>153</v>
      </c>
      <c r="W275" s="23" t="s">
        <v>153</v>
      </c>
      <c r="X275" s="23" t="s">
        <v>153</v>
      </c>
      <c r="Y275" s="23" t="s">
        <v>153</v>
      </c>
      <c r="Z275" s="28" t="s">
        <v>163</v>
      </c>
      <c r="AA275" s="28" t="s">
        <v>163</v>
      </c>
      <c r="AB275" s="24" t="s">
        <v>153</v>
      </c>
      <c r="AC275" s="28" t="s">
        <v>163</v>
      </c>
      <c r="AD275" s="28" t="s">
        <v>163</v>
      </c>
      <c r="AE275" s="23" t="s">
        <v>153</v>
      </c>
      <c r="AF275" s="23" t="s">
        <v>153</v>
      </c>
      <c r="AG275" s="23" t="s">
        <v>153</v>
      </c>
      <c r="AH275" s="24" t="s">
        <v>156</v>
      </c>
      <c r="AI275" s="24" t="s">
        <v>153</v>
      </c>
      <c r="AJ275" s="23" t="s">
        <v>153</v>
      </c>
      <c r="AK275" s="23" t="s">
        <v>153</v>
      </c>
      <c r="AL275" s="23" t="s">
        <v>153</v>
      </c>
      <c r="AM275" s="23" t="s">
        <v>153</v>
      </c>
      <c r="AN275" s="23" t="s">
        <v>153</v>
      </c>
      <c r="AO275" s="26" t="s">
        <v>526</v>
      </c>
      <c r="AP275" s="23">
        <f>VALUE(0)</f>
        <v>0</v>
      </c>
      <c r="AQ275" s="23">
        <f>VALUE(0)</f>
        <v>0</v>
      </c>
      <c r="AR275" s="23">
        <f>VALUE(0)</f>
        <v>0</v>
      </c>
      <c r="AS275" s="23">
        <f>VALUE(0)</f>
        <v>0</v>
      </c>
      <c r="AT275" s="23">
        <f>VALUE(0)</f>
        <v>0</v>
      </c>
      <c r="AU275" s="23">
        <f>VALUE(4)</f>
        <v>4</v>
      </c>
      <c r="AV275" s="23">
        <f>VALUE(1)</f>
        <v>1</v>
      </c>
      <c r="AW275" s="23">
        <f>VALUE(0)</f>
        <v>0</v>
      </c>
      <c r="AX275" s="23" t="s">
        <v>176</v>
      </c>
      <c r="AY275" s="23" t="s">
        <v>408</v>
      </c>
      <c r="AZ275" s="23">
        <f>VALUE(0)</f>
        <v>0</v>
      </c>
      <c r="BA275" s="23">
        <f>VALUE(0)</f>
        <v>0</v>
      </c>
      <c r="BB275" s="23">
        <f>VALUE(0)</f>
        <v>0</v>
      </c>
      <c r="BC275" s="23">
        <f>VALUE(0)</f>
        <v>0</v>
      </c>
      <c r="BD275" s="23">
        <f>VALUE(0)</f>
        <v>0</v>
      </c>
      <c r="BE275" s="23">
        <f>VALUE(0)</f>
        <v>0</v>
      </c>
      <c r="BF275" s="23">
        <f>VALUE(0)</f>
        <v>0</v>
      </c>
      <c r="BG275" s="23">
        <f>VALUE(0)</f>
        <v>0</v>
      </c>
      <c r="BH275" s="23">
        <f>VALUE(0)</f>
        <v>0</v>
      </c>
      <c r="BI275" s="23">
        <f>VALUE(0)</f>
        <v>0</v>
      </c>
      <c r="BJ275" s="23">
        <f>VALUE(0)</f>
        <v>0</v>
      </c>
      <c r="BK275" s="12">
        <f>$AX$275*24</f>
        <v>0</v>
      </c>
      <c r="BL275" s="12">
        <f>$AY$275*24</f>
        <v>10.75</v>
      </c>
      <c r="BM275" s="12">
        <f>$BJ$275*24</f>
        <v>0</v>
      </c>
      <c r="BN275" s="12">
        <f>VALUE($I$275)/100</f>
        <v>1</v>
      </c>
      <c r="BO275" s="12">
        <v>0</v>
      </c>
      <c r="BP275" s="12">
        <v>0</v>
      </c>
      <c r="BQ275" s="12">
        <v>0</v>
      </c>
      <c r="BR275" s="12">
        <v>0</v>
      </c>
      <c r="BS275" s="12">
        <v>0</v>
      </c>
      <c r="BT275" s="12">
        <v>0</v>
      </c>
      <c r="BU275" s="12">
        <v>0</v>
      </c>
      <c r="BV275" s="12">
        <v>0</v>
      </c>
      <c r="BW275" s="12">
        <v>0</v>
      </c>
      <c r="BX275" s="12">
        <v>0</v>
      </c>
      <c r="BY275" s="12">
        <v>0</v>
      </c>
      <c r="BZ275" s="12">
        <v>0</v>
      </c>
      <c r="CA275" s="12">
        <v>0</v>
      </c>
    </row>
    <row r="276" spans="1:79" ht="16.5" hidden="1" x14ac:dyDescent="0.2">
      <c r="A276" s="12" t="s">
        <v>141</v>
      </c>
      <c r="B276" s="12" t="s">
        <v>142</v>
      </c>
      <c r="C276" s="12" t="s">
        <v>142</v>
      </c>
      <c r="D276" s="22" t="s">
        <v>185</v>
      </c>
      <c r="E276" s="22" t="s">
        <v>161</v>
      </c>
      <c r="F276" s="22" t="s">
        <v>1284</v>
      </c>
      <c r="G276" s="22" t="s">
        <v>1034</v>
      </c>
      <c r="H276" s="22" t="s">
        <v>166</v>
      </c>
      <c r="I276" s="22" t="s">
        <v>151</v>
      </c>
      <c r="J276" s="22" t="s">
        <v>181</v>
      </c>
      <c r="K276" s="22" t="s">
        <v>96</v>
      </c>
      <c r="L276" s="54" t="s">
        <v>153</v>
      </c>
      <c r="M276" s="24" t="s">
        <v>156</v>
      </c>
      <c r="N276" s="24" t="s">
        <v>153</v>
      </c>
      <c r="O276" s="28" t="s">
        <v>163</v>
      </c>
      <c r="P276" s="23" t="s">
        <v>153</v>
      </c>
      <c r="Q276" s="23" t="s">
        <v>153</v>
      </c>
      <c r="R276" s="23" t="s">
        <v>153</v>
      </c>
      <c r="S276" s="23" t="s">
        <v>153</v>
      </c>
      <c r="T276" s="26" t="s">
        <v>527</v>
      </c>
      <c r="U276" s="24" t="s">
        <v>153</v>
      </c>
      <c r="V276" s="54" t="s">
        <v>153</v>
      </c>
      <c r="W276" s="23" t="s">
        <v>153</v>
      </c>
      <c r="X276" s="23" t="s">
        <v>153</v>
      </c>
      <c r="Y276" s="23" t="s">
        <v>153</v>
      </c>
      <c r="Z276" s="23" t="s">
        <v>153</v>
      </c>
      <c r="AA276" s="24" t="s">
        <v>156</v>
      </c>
      <c r="AB276" s="24" t="s">
        <v>153</v>
      </c>
      <c r="AC276" s="28" t="s">
        <v>163</v>
      </c>
      <c r="AD276" s="28" t="s">
        <v>163</v>
      </c>
      <c r="AE276" s="28" t="s">
        <v>163</v>
      </c>
      <c r="AF276" s="28" t="s">
        <v>163</v>
      </c>
      <c r="AG276" s="28" t="s">
        <v>163</v>
      </c>
      <c r="AH276" s="28" t="s">
        <v>163</v>
      </c>
      <c r="AI276" s="24" t="s">
        <v>153</v>
      </c>
      <c r="AJ276" s="23" t="s">
        <v>153</v>
      </c>
      <c r="AK276" s="23" t="s">
        <v>153</v>
      </c>
      <c r="AL276" s="23" t="s">
        <v>153</v>
      </c>
      <c r="AM276" s="23" t="s">
        <v>153</v>
      </c>
      <c r="AN276" s="23" t="s">
        <v>153</v>
      </c>
      <c r="AO276" s="24" t="s">
        <v>156</v>
      </c>
      <c r="AP276" s="23">
        <f>VALUE(0)</f>
        <v>0</v>
      </c>
      <c r="AQ276" s="23">
        <f>VALUE(0)</f>
        <v>0</v>
      </c>
      <c r="AR276" s="23">
        <f>VALUE(0)</f>
        <v>0</v>
      </c>
      <c r="AS276" s="23">
        <f>VALUE(0)</f>
        <v>0</v>
      </c>
      <c r="AT276" s="23">
        <f>VALUE(0)</f>
        <v>0</v>
      </c>
      <c r="AU276" s="23">
        <f>VALUE(7)</f>
        <v>7</v>
      </c>
      <c r="AV276" s="23">
        <f>VALUE(1)</f>
        <v>1</v>
      </c>
      <c r="AW276" s="23">
        <f>VALUE(0)</f>
        <v>0</v>
      </c>
      <c r="AX276" s="23" t="s">
        <v>1285</v>
      </c>
      <c r="AY276" s="23">
        <f>VALUE(0)</f>
        <v>0</v>
      </c>
      <c r="AZ276" s="23">
        <f>VALUE(0)</f>
        <v>0</v>
      </c>
      <c r="BA276" s="23">
        <f>VALUE(0)</f>
        <v>0</v>
      </c>
      <c r="BB276" s="23">
        <f>VALUE(0)</f>
        <v>0</v>
      </c>
      <c r="BC276" s="23">
        <f>VALUE(0)</f>
        <v>0</v>
      </c>
      <c r="BD276" s="23">
        <f>VALUE(0)</f>
        <v>0</v>
      </c>
      <c r="BE276" s="23">
        <f>VALUE(0)</f>
        <v>0</v>
      </c>
      <c r="BF276" s="23">
        <f>VALUE(0)</f>
        <v>0</v>
      </c>
      <c r="BG276" s="23">
        <f>VALUE(0)</f>
        <v>0</v>
      </c>
      <c r="BH276" s="23">
        <f>VALUE(0)</f>
        <v>0</v>
      </c>
      <c r="BI276" s="23">
        <f>VALUE(0)</f>
        <v>0</v>
      </c>
      <c r="BJ276" s="23">
        <f>VALUE(0)</f>
        <v>0</v>
      </c>
      <c r="BK276" s="12">
        <f>$AX$276*24</f>
        <v>17.016666666666666</v>
      </c>
      <c r="BL276" s="12">
        <f>$AY$276*24</f>
        <v>0</v>
      </c>
      <c r="BM276" s="12">
        <f>$BJ$276*24</f>
        <v>0</v>
      </c>
      <c r="BN276" s="12">
        <f>VALUE($I$276)/100</f>
        <v>1</v>
      </c>
      <c r="BO276" s="12">
        <v>0</v>
      </c>
      <c r="BP276" s="12">
        <v>0</v>
      </c>
      <c r="BQ276" s="12">
        <v>0</v>
      </c>
      <c r="BR276" s="12">
        <v>0</v>
      </c>
      <c r="BS276" s="12">
        <v>0</v>
      </c>
      <c r="BT276" s="12">
        <v>0</v>
      </c>
      <c r="BU276" s="12">
        <v>0</v>
      </c>
      <c r="BV276" s="12">
        <v>0</v>
      </c>
      <c r="BW276" s="12">
        <v>0</v>
      </c>
      <c r="BX276" s="12">
        <v>0</v>
      </c>
      <c r="BY276" s="12">
        <v>0</v>
      </c>
      <c r="BZ276" s="12">
        <v>0</v>
      </c>
      <c r="CA276" s="12">
        <v>0</v>
      </c>
    </row>
    <row r="277" spans="1:79" ht="15" hidden="1" x14ac:dyDescent="0.25">
      <c r="A277" s="12" t="s">
        <v>141</v>
      </c>
      <c r="B277" s="12" t="s">
        <v>142</v>
      </c>
      <c r="C277" s="12" t="s">
        <v>142</v>
      </c>
      <c r="D277" s="31" t="s">
        <v>355</v>
      </c>
      <c r="E277" s="31" t="s">
        <v>153</v>
      </c>
      <c r="F277" s="31" t="s">
        <v>175</v>
      </c>
      <c r="G277" s="31" t="s">
        <v>153</v>
      </c>
      <c r="H277" s="31" t="s">
        <v>153</v>
      </c>
      <c r="I277" s="31" t="s">
        <v>153</v>
      </c>
      <c r="J277" s="31" t="s">
        <v>153</v>
      </c>
      <c r="K277" s="31" t="s">
        <v>153</v>
      </c>
      <c r="L277" s="31">
        <f>VALUE(0)</f>
        <v>0</v>
      </c>
      <c r="M277" s="31">
        <f>VALUE(2)</f>
        <v>2</v>
      </c>
      <c r="N277" s="31">
        <f>VALUE(0)</f>
        <v>0</v>
      </c>
      <c r="O277" s="31">
        <f>VALUE(2)</f>
        <v>2</v>
      </c>
      <c r="P277" s="31">
        <f>VALUE(3)</f>
        <v>3</v>
      </c>
      <c r="Q277" s="31">
        <f>VALUE(3)</f>
        <v>3</v>
      </c>
      <c r="R277" s="31">
        <f>VALUE(3)</f>
        <v>3</v>
      </c>
      <c r="S277" s="31">
        <f>VALUE(3)</f>
        <v>3</v>
      </c>
      <c r="T277" s="31">
        <f>VALUE(2)</f>
        <v>2</v>
      </c>
      <c r="U277" s="31">
        <f>VALUE(0)</f>
        <v>0</v>
      </c>
      <c r="V277" s="31">
        <f>VALUE(0)</f>
        <v>0</v>
      </c>
      <c r="W277" s="31">
        <f>VALUE(2)</f>
        <v>2</v>
      </c>
      <c r="X277" s="31">
        <f>VALUE(3)</f>
        <v>3</v>
      </c>
      <c r="Y277" s="31">
        <f>VALUE(3)</f>
        <v>3</v>
      </c>
      <c r="Z277" s="31">
        <f>VALUE(2)</f>
        <v>2</v>
      </c>
      <c r="AA277" s="31">
        <f>VALUE(1)</f>
        <v>1</v>
      </c>
      <c r="AB277" s="31">
        <f>VALUE(0)</f>
        <v>0</v>
      </c>
      <c r="AC277" s="31">
        <f>VALUE(1)</f>
        <v>1</v>
      </c>
      <c r="AD277" s="31">
        <f>VALUE(1)</f>
        <v>1</v>
      </c>
      <c r="AE277" s="31">
        <f>VALUE(2)</f>
        <v>2</v>
      </c>
      <c r="AF277" s="31">
        <f>VALUE(2)</f>
        <v>2</v>
      </c>
      <c r="AG277" s="31">
        <f>VALUE(2)</f>
        <v>2</v>
      </c>
      <c r="AH277" s="31">
        <f>VALUE(1)</f>
        <v>1</v>
      </c>
      <c r="AI277" s="31">
        <f>VALUE(0)</f>
        <v>0</v>
      </c>
      <c r="AJ277" s="31">
        <f>VALUE(3)</f>
        <v>3</v>
      </c>
      <c r="AK277" s="31">
        <f>VALUE(3)</f>
        <v>3</v>
      </c>
      <c r="AL277" s="31">
        <f>VALUE(3)</f>
        <v>3</v>
      </c>
      <c r="AM277" s="31">
        <f>VALUE(3)</f>
        <v>3</v>
      </c>
      <c r="AN277" s="31">
        <f>VALUE(3)</f>
        <v>3</v>
      </c>
      <c r="AO277" s="31">
        <f>VALUE(2)</f>
        <v>2</v>
      </c>
      <c r="AP277" s="31">
        <v>0</v>
      </c>
      <c r="AQ277" s="31">
        <v>0</v>
      </c>
      <c r="AR277" s="31">
        <v>0</v>
      </c>
      <c r="AS277" s="31">
        <v>0</v>
      </c>
      <c r="AT277" s="31">
        <v>0</v>
      </c>
      <c r="AU277" s="31">
        <v>0</v>
      </c>
      <c r="AV277" s="31">
        <v>0</v>
      </c>
      <c r="AW277" s="31">
        <v>0</v>
      </c>
      <c r="AX277" s="31">
        <v>0</v>
      </c>
      <c r="AY277" s="31">
        <v>0</v>
      </c>
      <c r="AZ277" s="31">
        <v>0</v>
      </c>
      <c r="BA277" s="31">
        <v>0</v>
      </c>
      <c r="BB277" s="31">
        <v>0</v>
      </c>
      <c r="BC277" s="31">
        <v>0</v>
      </c>
      <c r="BD277" s="31">
        <v>0</v>
      </c>
      <c r="BE277" s="31">
        <v>0</v>
      </c>
      <c r="BF277" s="31">
        <v>0</v>
      </c>
      <c r="BG277" s="31">
        <v>0</v>
      </c>
      <c r="BH277" s="31">
        <v>0</v>
      </c>
      <c r="BI277" s="31">
        <v>0</v>
      </c>
      <c r="BJ277" s="31">
        <v>0</v>
      </c>
      <c r="BK277" s="12">
        <v>0</v>
      </c>
      <c r="BL277" s="12">
        <v>0</v>
      </c>
      <c r="BM277" s="12">
        <v>0</v>
      </c>
      <c r="BN277" s="12"/>
      <c r="BO277" s="12">
        <v>0</v>
      </c>
      <c r="BP277" s="12">
        <v>0</v>
      </c>
      <c r="BQ277" s="12">
        <v>0</v>
      </c>
      <c r="BR277" s="12">
        <v>0</v>
      </c>
      <c r="BS277" s="12">
        <v>0</v>
      </c>
      <c r="BT277" s="12">
        <v>0</v>
      </c>
      <c r="BU277" s="12">
        <v>0</v>
      </c>
      <c r="BV277" s="12">
        <v>0</v>
      </c>
      <c r="BW277" s="12">
        <v>0</v>
      </c>
      <c r="BX277" s="12">
        <v>0</v>
      </c>
      <c r="BY277" s="12">
        <v>0</v>
      </c>
      <c r="BZ277" s="12">
        <v>0</v>
      </c>
      <c r="CA277" s="12">
        <v>0</v>
      </c>
    </row>
    <row r="278" spans="1:79" hidden="1" x14ac:dyDescent="0.2">
      <c r="A278" s="12" t="s">
        <v>141</v>
      </c>
      <c r="B278" s="12" t="s">
        <v>143</v>
      </c>
      <c r="C278" s="12" t="s">
        <v>143</v>
      </c>
      <c r="D278" s="22" t="s">
        <v>528</v>
      </c>
      <c r="E278" s="22" t="s">
        <v>159</v>
      </c>
      <c r="F278" s="22" t="s">
        <v>1035</v>
      </c>
      <c r="G278" s="22" t="s">
        <v>1036</v>
      </c>
      <c r="H278" s="22" t="s">
        <v>166</v>
      </c>
      <c r="I278" s="22" t="s">
        <v>151</v>
      </c>
      <c r="J278" s="22" t="s">
        <v>524</v>
      </c>
      <c r="K278" s="22" t="s">
        <v>97</v>
      </c>
      <c r="L278" s="54" t="s">
        <v>153</v>
      </c>
      <c r="M278" s="23" t="s">
        <v>287</v>
      </c>
      <c r="N278" s="24" t="s">
        <v>153</v>
      </c>
      <c r="O278" s="23" t="s">
        <v>584</v>
      </c>
      <c r="P278" s="23" t="s">
        <v>584</v>
      </c>
      <c r="Q278" s="23" t="s">
        <v>300</v>
      </c>
      <c r="R278" s="23" t="s">
        <v>300</v>
      </c>
      <c r="S278" s="23" t="s">
        <v>300</v>
      </c>
      <c r="T278" s="23" t="s">
        <v>300</v>
      </c>
      <c r="U278" s="24" t="s">
        <v>153</v>
      </c>
      <c r="V278" s="54" t="s">
        <v>156</v>
      </c>
      <c r="W278" s="24" t="s">
        <v>156</v>
      </c>
      <c r="X278" s="23" t="s">
        <v>529</v>
      </c>
      <c r="Y278" s="23" t="s">
        <v>529</v>
      </c>
      <c r="Z278" s="23" t="s">
        <v>529</v>
      </c>
      <c r="AA278" s="23" t="s">
        <v>529</v>
      </c>
      <c r="AB278" s="24" t="s">
        <v>153</v>
      </c>
      <c r="AC278" s="23" t="s">
        <v>300</v>
      </c>
      <c r="AD278" s="23" t="s">
        <v>300</v>
      </c>
      <c r="AE278" s="23" t="s">
        <v>300</v>
      </c>
      <c r="AF278" s="23" t="s">
        <v>300</v>
      </c>
      <c r="AG278" s="23" t="s">
        <v>529</v>
      </c>
      <c r="AH278" s="23" t="s">
        <v>529</v>
      </c>
      <c r="AI278" s="24" t="s">
        <v>153</v>
      </c>
      <c r="AJ278" s="23" t="s">
        <v>584</v>
      </c>
      <c r="AK278" s="23" t="s">
        <v>584</v>
      </c>
      <c r="AL278" s="23" t="s">
        <v>300</v>
      </c>
      <c r="AM278" s="23" t="s">
        <v>300</v>
      </c>
      <c r="AN278" s="23" t="s">
        <v>584</v>
      </c>
      <c r="AO278" s="23" t="s">
        <v>584</v>
      </c>
      <c r="AP278" s="23">
        <f>VALUE(22)</f>
        <v>22</v>
      </c>
      <c r="AQ278" s="23">
        <f>VALUE(0)</f>
        <v>0</v>
      </c>
      <c r="AR278" s="23">
        <f>VALUE(0)</f>
        <v>0</v>
      </c>
      <c r="AS278" s="23">
        <f>VALUE(0)</f>
        <v>0</v>
      </c>
      <c r="AT278" s="23">
        <f>VALUE(0)</f>
        <v>0</v>
      </c>
      <c r="AU278" s="23">
        <f>VALUE(0)</f>
        <v>0</v>
      </c>
      <c r="AV278" s="23">
        <f>VALUE(2)</f>
        <v>2</v>
      </c>
      <c r="AW278" s="23">
        <f>VALUE(0)</f>
        <v>0</v>
      </c>
      <c r="AX278" s="23" t="s">
        <v>1287</v>
      </c>
      <c r="AY278" s="23">
        <f>VALUE(0)</f>
        <v>0</v>
      </c>
      <c r="AZ278" s="23">
        <f>VALUE(0)</f>
        <v>0</v>
      </c>
      <c r="BA278" s="23">
        <f>VALUE(0)</f>
        <v>0</v>
      </c>
      <c r="BB278" s="23">
        <f>VALUE(0)</f>
        <v>0</v>
      </c>
      <c r="BC278" s="23">
        <f>VALUE(0)</f>
        <v>0</v>
      </c>
      <c r="BD278" s="23">
        <f>VALUE(0)</f>
        <v>0</v>
      </c>
      <c r="BE278" s="23">
        <f>VALUE(0)</f>
        <v>0</v>
      </c>
      <c r="BF278" s="23">
        <f>VALUE(0)</f>
        <v>0</v>
      </c>
      <c r="BG278" s="23">
        <f>VALUE(0)</f>
        <v>0</v>
      </c>
      <c r="BH278" s="23">
        <f>VALUE(0)</f>
        <v>0</v>
      </c>
      <c r="BI278" s="23">
        <f>VALUE(0)</f>
        <v>0</v>
      </c>
      <c r="BJ278" s="23">
        <f>VALUE(0)</f>
        <v>0</v>
      </c>
      <c r="BK278" s="12">
        <f>$AX$278*24</f>
        <v>1.1499999999999999</v>
      </c>
      <c r="BL278" s="12">
        <f>$AY$278*24</f>
        <v>0</v>
      </c>
      <c r="BM278" s="12">
        <f>$BJ$278*24</f>
        <v>0</v>
      </c>
      <c r="BN278" s="12">
        <f>VALUE($I$278)/100</f>
        <v>1</v>
      </c>
      <c r="BO278" s="12">
        <v>0</v>
      </c>
      <c r="BP278" s="12">
        <v>0</v>
      </c>
      <c r="BQ278" s="12">
        <v>0</v>
      </c>
      <c r="BR278" s="12">
        <v>0</v>
      </c>
      <c r="BS278" s="12">
        <v>0</v>
      </c>
      <c r="BT278" s="12">
        <v>0</v>
      </c>
      <c r="BU278" s="12">
        <v>0</v>
      </c>
      <c r="BV278" s="12">
        <v>0</v>
      </c>
      <c r="BW278" s="12">
        <v>0</v>
      </c>
      <c r="BX278" s="12">
        <v>0</v>
      </c>
      <c r="BY278" s="12">
        <v>0</v>
      </c>
      <c r="BZ278" s="12">
        <v>0</v>
      </c>
      <c r="CA278" s="12">
        <v>0</v>
      </c>
    </row>
    <row r="279" spans="1:79" ht="16.5" hidden="1" x14ac:dyDescent="0.2">
      <c r="A279" s="12" t="s">
        <v>141</v>
      </c>
      <c r="B279" s="12" t="s">
        <v>143</v>
      </c>
      <c r="C279" s="12" t="s">
        <v>143</v>
      </c>
      <c r="D279" s="22" t="s">
        <v>1288</v>
      </c>
      <c r="E279" s="22" t="s">
        <v>161</v>
      </c>
      <c r="F279" s="22" t="s">
        <v>1037</v>
      </c>
      <c r="G279" s="22" t="s">
        <v>1038</v>
      </c>
      <c r="H279" s="22" t="s">
        <v>166</v>
      </c>
      <c r="I279" s="22" t="s">
        <v>151</v>
      </c>
      <c r="J279" s="22" t="s">
        <v>530</v>
      </c>
      <c r="K279" s="22" t="s">
        <v>97</v>
      </c>
      <c r="L279" s="54" t="s">
        <v>153</v>
      </c>
      <c r="M279" s="26" t="s">
        <v>531</v>
      </c>
      <c r="N279" s="24" t="s">
        <v>153</v>
      </c>
      <c r="O279" s="23" t="s">
        <v>300</v>
      </c>
      <c r="P279" s="23" t="s">
        <v>300</v>
      </c>
      <c r="Q279" s="26" t="s">
        <v>531</v>
      </c>
      <c r="R279" s="26" t="s">
        <v>531</v>
      </c>
      <c r="S279" s="26" t="s">
        <v>531</v>
      </c>
      <c r="T279" s="26" t="s">
        <v>531</v>
      </c>
      <c r="U279" s="24" t="s">
        <v>153</v>
      </c>
      <c r="V279" s="54" t="s">
        <v>153</v>
      </c>
      <c r="W279" s="23" t="s">
        <v>529</v>
      </c>
      <c r="X279" s="26" t="s">
        <v>531</v>
      </c>
      <c r="Y279" s="26" t="s">
        <v>531</v>
      </c>
      <c r="Z279" s="26" t="s">
        <v>531</v>
      </c>
      <c r="AA279" s="26" t="s">
        <v>531</v>
      </c>
      <c r="AB279" s="24" t="s">
        <v>153</v>
      </c>
      <c r="AC279" s="23" t="s">
        <v>380</v>
      </c>
      <c r="AD279" s="23" t="s">
        <v>380</v>
      </c>
      <c r="AE279" s="26" t="s">
        <v>531</v>
      </c>
      <c r="AF279" s="26" t="s">
        <v>531</v>
      </c>
      <c r="AG279" s="26" t="s">
        <v>531</v>
      </c>
      <c r="AH279" s="26" t="s">
        <v>531</v>
      </c>
      <c r="AI279" s="24" t="s">
        <v>153</v>
      </c>
      <c r="AJ279" s="24" t="s">
        <v>156</v>
      </c>
      <c r="AK279" s="24" t="s">
        <v>156</v>
      </c>
      <c r="AL279" s="26" t="s">
        <v>531</v>
      </c>
      <c r="AM279" s="26" t="s">
        <v>531</v>
      </c>
      <c r="AN279" s="26" t="s">
        <v>531</v>
      </c>
      <c r="AO279" s="26" t="s">
        <v>531</v>
      </c>
      <c r="AP279" s="23">
        <f>VALUE(31)</f>
        <v>31</v>
      </c>
      <c r="AQ279" s="23">
        <f>VALUE(0)</f>
        <v>0</v>
      </c>
      <c r="AR279" s="23">
        <f>VALUE(0)</f>
        <v>0</v>
      </c>
      <c r="AS279" s="23">
        <f>VALUE(0)</f>
        <v>0</v>
      </c>
      <c r="AT279" s="23">
        <f>VALUE(0)</f>
        <v>0</v>
      </c>
      <c r="AU279" s="23">
        <f>VALUE(0)</f>
        <v>0</v>
      </c>
      <c r="AV279" s="23">
        <f>VALUE(2)</f>
        <v>2</v>
      </c>
      <c r="AW279" s="23">
        <f>VALUE(0)</f>
        <v>0</v>
      </c>
      <c r="AX279" s="23" t="s">
        <v>425</v>
      </c>
      <c r="AY279" s="23">
        <f>VALUE(0)</f>
        <v>0</v>
      </c>
      <c r="AZ279" s="23">
        <f>VALUE(0)</f>
        <v>0</v>
      </c>
      <c r="BA279" s="23">
        <f>VALUE(0)</f>
        <v>0</v>
      </c>
      <c r="BB279" s="23">
        <f>VALUE(0)</f>
        <v>0</v>
      </c>
      <c r="BC279" s="23">
        <f>VALUE(0)</f>
        <v>0</v>
      </c>
      <c r="BD279" s="23">
        <f>VALUE(0)</f>
        <v>0</v>
      </c>
      <c r="BE279" s="23">
        <f>VALUE(0)</f>
        <v>0</v>
      </c>
      <c r="BF279" s="23">
        <f>VALUE(0)</f>
        <v>0</v>
      </c>
      <c r="BG279" s="23">
        <f>VALUE(0)</f>
        <v>0</v>
      </c>
      <c r="BH279" s="23">
        <f>VALUE(0)</f>
        <v>0</v>
      </c>
      <c r="BI279" s="23">
        <f>VALUE(0)</f>
        <v>0</v>
      </c>
      <c r="BJ279" s="23">
        <f>VALUE(0)</f>
        <v>0</v>
      </c>
      <c r="BK279" s="12">
        <f>$AX$279*24</f>
        <v>1.4166666666666667</v>
      </c>
      <c r="BL279" s="12">
        <f>$AY$279*24</f>
        <v>0</v>
      </c>
      <c r="BM279" s="12">
        <f>$BJ$279*24</f>
        <v>0</v>
      </c>
      <c r="BN279" s="12">
        <f>VALUE($I$279)/100</f>
        <v>1</v>
      </c>
      <c r="BO279" s="12">
        <v>0</v>
      </c>
      <c r="BP279" s="12">
        <v>0</v>
      </c>
      <c r="BQ279" s="12">
        <v>0</v>
      </c>
      <c r="BR279" s="12">
        <v>0</v>
      </c>
      <c r="BS279" s="12">
        <v>0</v>
      </c>
      <c r="BT279" s="12">
        <v>0</v>
      </c>
      <c r="BU279" s="12">
        <v>0</v>
      </c>
      <c r="BV279" s="12">
        <v>0</v>
      </c>
      <c r="BW279" s="12">
        <v>0</v>
      </c>
      <c r="BX279" s="12">
        <v>0</v>
      </c>
      <c r="BY279" s="12">
        <v>0</v>
      </c>
      <c r="BZ279" s="12">
        <v>0</v>
      </c>
      <c r="CA279" s="12">
        <v>0</v>
      </c>
    </row>
    <row r="280" spans="1:79" hidden="1" x14ac:dyDescent="0.2">
      <c r="A280" s="12" t="s">
        <v>141</v>
      </c>
      <c r="B280" s="12" t="s">
        <v>143</v>
      </c>
      <c r="C280" s="12" t="s">
        <v>143</v>
      </c>
      <c r="D280" s="22" t="s">
        <v>287</v>
      </c>
      <c r="E280" s="22" t="s">
        <v>161</v>
      </c>
      <c r="F280" s="22" t="s">
        <v>1039</v>
      </c>
      <c r="G280" s="22" t="s">
        <v>1040</v>
      </c>
      <c r="H280" s="22" t="s">
        <v>150</v>
      </c>
      <c r="I280" s="22" t="s">
        <v>1289</v>
      </c>
      <c r="J280" s="22" t="s">
        <v>162</v>
      </c>
      <c r="K280" s="22" t="s">
        <v>97</v>
      </c>
      <c r="L280" s="54" t="s">
        <v>153</v>
      </c>
      <c r="M280" s="24" t="s">
        <v>195</v>
      </c>
      <c r="N280" s="24" t="s">
        <v>153</v>
      </c>
      <c r="O280" s="23" t="s">
        <v>153</v>
      </c>
      <c r="P280" s="23" t="s">
        <v>153</v>
      </c>
      <c r="Q280" s="23" t="s">
        <v>153</v>
      </c>
      <c r="R280" s="23" t="s">
        <v>153</v>
      </c>
      <c r="S280" s="23" t="s">
        <v>153</v>
      </c>
      <c r="T280" s="23" t="s">
        <v>153</v>
      </c>
      <c r="U280" s="24" t="s">
        <v>153</v>
      </c>
      <c r="V280" s="54" t="s">
        <v>153</v>
      </c>
      <c r="W280" s="23" t="s">
        <v>153</v>
      </c>
      <c r="X280" s="24" t="s">
        <v>156</v>
      </c>
      <c r="Y280" s="24" t="s">
        <v>156</v>
      </c>
      <c r="Z280" s="23" t="s">
        <v>153</v>
      </c>
      <c r="AA280" s="23" t="s">
        <v>153</v>
      </c>
      <c r="AB280" s="24" t="s">
        <v>153</v>
      </c>
      <c r="AC280" s="23" t="s">
        <v>153</v>
      </c>
      <c r="AD280" s="23" t="s">
        <v>153</v>
      </c>
      <c r="AE280" s="23" t="s">
        <v>153</v>
      </c>
      <c r="AF280" s="23" t="s">
        <v>153</v>
      </c>
      <c r="AG280" s="23" t="s">
        <v>153</v>
      </c>
      <c r="AH280" s="23" t="s">
        <v>153</v>
      </c>
      <c r="AI280" s="24" t="s">
        <v>153</v>
      </c>
      <c r="AJ280" s="23" t="s">
        <v>153</v>
      </c>
      <c r="AK280" s="23" t="s">
        <v>153</v>
      </c>
      <c r="AL280" s="23" t="s">
        <v>153</v>
      </c>
      <c r="AM280" s="23" t="s">
        <v>153</v>
      </c>
      <c r="AN280" s="23" t="s">
        <v>153</v>
      </c>
      <c r="AO280" s="23" t="s">
        <v>153</v>
      </c>
      <c r="AP280" s="23">
        <f>VALUE(0)</f>
        <v>0</v>
      </c>
      <c r="AQ280" s="23">
        <f>VALUE(0)</f>
        <v>0</v>
      </c>
      <c r="AR280" s="23">
        <f>VALUE(0)</f>
        <v>0</v>
      </c>
      <c r="AS280" s="23">
        <f>VALUE(0)</f>
        <v>0</v>
      </c>
      <c r="AT280" s="23">
        <f>VALUE(0)</f>
        <v>0</v>
      </c>
      <c r="AU280" s="23">
        <f>VALUE(0)</f>
        <v>0</v>
      </c>
      <c r="AV280" s="23">
        <f>VALUE(5.5)</f>
        <v>5.5</v>
      </c>
      <c r="AW280" s="23">
        <f>VALUE(0)</f>
        <v>0</v>
      </c>
      <c r="AX280" s="23" t="s">
        <v>532</v>
      </c>
      <c r="AY280" s="23" t="s">
        <v>407</v>
      </c>
      <c r="AZ280" s="23">
        <f>VALUE(0)</f>
        <v>0</v>
      </c>
      <c r="BA280" s="23">
        <f>VALUE(0)</f>
        <v>0</v>
      </c>
      <c r="BB280" s="23">
        <f>VALUE(0)</f>
        <v>0</v>
      </c>
      <c r="BC280" s="23">
        <f>VALUE(0)</f>
        <v>0</v>
      </c>
      <c r="BD280" s="23">
        <f>VALUE(0)</f>
        <v>0</v>
      </c>
      <c r="BE280" s="23">
        <f>VALUE(0)</f>
        <v>0</v>
      </c>
      <c r="BF280" s="23">
        <f>VALUE(0)</f>
        <v>0</v>
      </c>
      <c r="BG280" s="23">
        <f>VALUE(0)</f>
        <v>0</v>
      </c>
      <c r="BH280" s="23">
        <f>VALUE(0)</f>
        <v>0</v>
      </c>
      <c r="BI280" s="23">
        <f>VALUE(0)</f>
        <v>0</v>
      </c>
      <c r="BJ280" s="23">
        <f>VALUE(0)</f>
        <v>0</v>
      </c>
      <c r="BK280" s="12">
        <f>$AX$280*24</f>
        <v>11.65</v>
      </c>
      <c r="BL280" s="12">
        <f>$AY$280*24</f>
        <v>1.2166666666666668</v>
      </c>
      <c r="BM280" s="12">
        <f>$BJ$280*24</f>
        <v>0</v>
      </c>
      <c r="BN280" s="12">
        <f>VALUE($I$280)/100</f>
        <v>0.79</v>
      </c>
      <c r="BO280" s="12">
        <v>0</v>
      </c>
      <c r="BP280" s="12">
        <v>0</v>
      </c>
      <c r="BQ280" s="12">
        <v>0</v>
      </c>
      <c r="BR280" s="12">
        <v>0</v>
      </c>
      <c r="BS280" s="12">
        <v>0</v>
      </c>
      <c r="BT280" s="12">
        <v>0</v>
      </c>
      <c r="BU280" s="12">
        <v>0</v>
      </c>
      <c r="BV280" s="12">
        <v>0</v>
      </c>
      <c r="BW280" s="12">
        <v>0</v>
      </c>
      <c r="BX280" s="12">
        <v>0</v>
      </c>
      <c r="BY280" s="12">
        <v>0</v>
      </c>
      <c r="BZ280" s="12">
        <v>0</v>
      </c>
      <c r="CA280" s="12">
        <v>0</v>
      </c>
    </row>
    <row r="281" spans="1:79" hidden="1" x14ac:dyDescent="0.2">
      <c r="A281" s="12" t="s">
        <v>141</v>
      </c>
      <c r="B281" s="12" t="s">
        <v>143</v>
      </c>
      <c r="C281" s="12" t="s">
        <v>143</v>
      </c>
      <c r="D281" s="22" t="s">
        <v>529</v>
      </c>
      <c r="E281" s="22" t="s">
        <v>161</v>
      </c>
      <c r="F281" s="22" t="s">
        <v>1041</v>
      </c>
      <c r="G281" s="22" t="s">
        <v>1042</v>
      </c>
      <c r="H281" s="22" t="s">
        <v>150</v>
      </c>
      <c r="I281" s="22" t="s">
        <v>151</v>
      </c>
      <c r="J281" s="22" t="s">
        <v>162</v>
      </c>
      <c r="K281" s="22" t="s">
        <v>97</v>
      </c>
      <c r="L281" s="54" t="s">
        <v>153</v>
      </c>
      <c r="M281" s="23" t="s">
        <v>153</v>
      </c>
      <c r="N281" s="24" t="s">
        <v>153</v>
      </c>
      <c r="O281" s="23" t="s">
        <v>153</v>
      </c>
      <c r="P281" s="23" t="s">
        <v>153</v>
      </c>
      <c r="Q281" s="23" t="s">
        <v>153</v>
      </c>
      <c r="R281" s="23" t="s">
        <v>153</v>
      </c>
      <c r="S281" s="23" t="s">
        <v>153</v>
      </c>
      <c r="T281" s="23" t="s">
        <v>153</v>
      </c>
      <c r="U281" s="24" t="s">
        <v>153</v>
      </c>
      <c r="V281" s="54" t="s">
        <v>153</v>
      </c>
      <c r="W281" s="28" t="s">
        <v>163</v>
      </c>
      <c r="X281" s="28" t="s">
        <v>163</v>
      </c>
      <c r="Y281" s="28" t="s">
        <v>163</v>
      </c>
      <c r="Z281" s="28" t="s">
        <v>163</v>
      </c>
      <c r="AA281" s="28" t="s">
        <v>163</v>
      </c>
      <c r="AB281" s="24" t="s">
        <v>153</v>
      </c>
      <c r="AC281" s="23" t="s">
        <v>153</v>
      </c>
      <c r="AD281" s="23" t="s">
        <v>153</v>
      </c>
      <c r="AE281" s="23" t="s">
        <v>153</v>
      </c>
      <c r="AF281" s="23" t="s">
        <v>153</v>
      </c>
      <c r="AG281" s="24" t="s">
        <v>156</v>
      </c>
      <c r="AH281" s="24" t="s">
        <v>156</v>
      </c>
      <c r="AI281" s="24" t="s">
        <v>153</v>
      </c>
      <c r="AJ281" s="23" t="s">
        <v>153</v>
      </c>
      <c r="AK281" s="23" t="s">
        <v>153</v>
      </c>
      <c r="AL281" s="23" t="s">
        <v>153</v>
      </c>
      <c r="AM281" s="23" t="s">
        <v>153</v>
      </c>
      <c r="AN281" s="23" t="s">
        <v>153</v>
      </c>
      <c r="AO281" s="23" t="s">
        <v>153</v>
      </c>
      <c r="AP281" s="23">
        <f>VALUE(41)</f>
        <v>41</v>
      </c>
      <c r="AQ281" s="23">
        <f>VALUE(0)</f>
        <v>0</v>
      </c>
      <c r="AR281" s="23">
        <f>VALUE(0)</f>
        <v>0</v>
      </c>
      <c r="AS281" s="23">
        <f>VALUE(0)</f>
        <v>0</v>
      </c>
      <c r="AT281" s="23">
        <f>VALUE(0)</f>
        <v>0</v>
      </c>
      <c r="AU281" s="23">
        <f>VALUE(5)</f>
        <v>5</v>
      </c>
      <c r="AV281" s="23">
        <f>VALUE(4)</f>
        <v>4</v>
      </c>
      <c r="AW281" s="23">
        <f>VALUE(0)</f>
        <v>0</v>
      </c>
      <c r="AX281" s="23" t="s">
        <v>1290</v>
      </c>
      <c r="AY281" s="23" t="s">
        <v>1291</v>
      </c>
      <c r="AZ281" s="23">
        <f>VALUE(0)</f>
        <v>0</v>
      </c>
      <c r="BA281" s="23">
        <f>VALUE(0)</f>
        <v>0</v>
      </c>
      <c r="BB281" s="23">
        <f>VALUE(0)</f>
        <v>0</v>
      </c>
      <c r="BC281" s="23">
        <f>VALUE(0)</f>
        <v>0</v>
      </c>
      <c r="BD281" s="23">
        <f>VALUE(0)</f>
        <v>0</v>
      </c>
      <c r="BE281" s="23">
        <f>VALUE(0)</f>
        <v>0</v>
      </c>
      <c r="BF281" s="23">
        <f>VALUE(0)</f>
        <v>0</v>
      </c>
      <c r="BG281" s="23">
        <f>VALUE(0)</f>
        <v>0</v>
      </c>
      <c r="BH281" s="23">
        <f>VALUE(0)</f>
        <v>0</v>
      </c>
      <c r="BI281" s="23">
        <f>VALUE(0)</f>
        <v>0</v>
      </c>
      <c r="BJ281" s="23">
        <f>VALUE(0)</f>
        <v>0</v>
      </c>
      <c r="BK281" s="12">
        <f>$AX$281*24</f>
        <v>3.9333333333333336</v>
      </c>
      <c r="BL281" s="12">
        <f>$AY$281*24</f>
        <v>4.7833333333333332</v>
      </c>
      <c r="BM281" s="12">
        <f>$BJ$281*24</f>
        <v>0</v>
      </c>
      <c r="BN281" s="12">
        <f>VALUE($I$281)/100</f>
        <v>1</v>
      </c>
      <c r="BO281" s="12">
        <v>0</v>
      </c>
      <c r="BP281" s="12">
        <v>0</v>
      </c>
      <c r="BQ281" s="12">
        <v>0</v>
      </c>
      <c r="BR281" s="12">
        <v>0</v>
      </c>
      <c r="BS281" s="12">
        <v>0</v>
      </c>
      <c r="BT281" s="12">
        <v>0</v>
      </c>
      <c r="BU281" s="12">
        <v>0</v>
      </c>
      <c r="BV281" s="12">
        <v>0</v>
      </c>
      <c r="BW281" s="12">
        <v>0</v>
      </c>
      <c r="BX281" s="12">
        <v>0</v>
      </c>
      <c r="BY281" s="12">
        <v>0</v>
      </c>
      <c r="BZ281" s="12">
        <v>0</v>
      </c>
      <c r="CA281" s="12">
        <v>0</v>
      </c>
    </row>
    <row r="282" spans="1:79" hidden="1" x14ac:dyDescent="0.2">
      <c r="A282" s="12" t="s">
        <v>141</v>
      </c>
      <c r="B282" s="12" t="s">
        <v>143</v>
      </c>
      <c r="C282" s="12" t="s">
        <v>143</v>
      </c>
      <c r="D282" s="22" t="s">
        <v>426</v>
      </c>
      <c r="E282" s="22" t="s">
        <v>161</v>
      </c>
      <c r="F282" s="22" t="s">
        <v>1043</v>
      </c>
      <c r="G282" s="22" t="s">
        <v>1044</v>
      </c>
      <c r="H282" s="22" t="s">
        <v>150</v>
      </c>
      <c r="I282" s="22" t="s">
        <v>151</v>
      </c>
      <c r="J282" s="22" t="s">
        <v>162</v>
      </c>
      <c r="K282" s="22" t="s">
        <v>97</v>
      </c>
      <c r="L282" s="54" t="s">
        <v>153</v>
      </c>
      <c r="M282" s="23" t="s">
        <v>153</v>
      </c>
      <c r="N282" s="24" t="s">
        <v>153</v>
      </c>
      <c r="O282" s="23" t="s">
        <v>153</v>
      </c>
      <c r="P282" s="23" t="s">
        <v>153</v>
      </c>
      <c r="Q282" s="23" t="s">
        <v>153</v>
      </c>
      <c r="R282" s="23" t="s">
        <v>153</v>
      </c>
      <c r="S282" s="23" t="s">
        <v>153</v>
      </c>
      <c r="T282" s="23" t="s">
        <v>153</v>
      </c>
      <c r="U282" s="24" t="s">
        <v>153</v>
      </c>
      <c r="V282" s="54" t="s">
        <v>153</v>
      </c>
      <c r="W282" s="28" t="s">
        <v>163</v>
      </c>
      <c r="X282" s="28" t="s">
        <v>163</v>
      </c>
      <c r="Y282" s="28" t="s">
        <v>163</v>
      </c>
      <c r="Z282" s="28" t="s">
        <v>163</v>
      </c>
      <c r="AA282" s="28" t="s">
        <v>163</v>
      </c>
      <c r="AB282" s="24" t="s">
        <v>153</v>
      </c>
      <c r="AC282" s="28" t="s">
        <v>163</v>
      </c>
      <c r="AD282" s="28" t="s">
        <v>163</v>
      </c>
      <c r="AE282" s="28" t="s">
        <v>163</v>
      </c>
      <c r="AF282" s="28" t="s">
        <v>163</v>
      </c>
      <c r="AG282" s="28" t="s">
        <v>163</v>
      </c>
      <c r="AH282" s="28" t="s">
        <v>163</v>
      </c>
      <c r="AI282" s="24" t="s">
        <v>153</v>
      </c>
      <c r="AJ282" s="23" t="s">
        <v>153</v>
      </c>
      <c r="AK282" s="23" t="s">
        <v>153</v>
      </c>
      <c r="AL282" s="23" t="s">
        <v>153</v>
      </c>
      <c r="AM282" s="23" t="s">
        <v>153</v>
      </c>
      <c r="AN282" s="23" t="s">
        <v>153</v>
      </c>
      <c r="AO282" s="23" t="s">
        <v>153</v>
      </c>
      <c r="AP282" s="23">
        <f>VALUE(30)</f>
        <v>30</v>
      </c>
      <c r="AQ282" s="23">
        <f>VALUE(0)</f>
        <v>0</v>
      </c>
      <c r="AR282" s="23">
        <f>VALUE(0)</f>
        <v>0</v>
      </c>
      <c r="AS282" s="23">
        <f>VALUE(0)</f>
        <v>0</v>
      </c>
      <c r="AT282" s="23">
        <f>VALUE(0)</f>
        <v>0</v>
      </c>
      <c r="AU282" s="23">
        <f>VALUE(11)</f>
        <v>11</v>
      </c>
      <c r="AV282" s="23">
        <f>VALUE(3)</f>
        <v>3</v>
      </c>
      <c r="AW282" s="23">
        <f>VALUE(0)</f>
        <v>0</v>
      </c>
      <c r="AX282" s="23" t="s">
        <v>445</v>
      </c>
      <c r="AY282" s="23">
        <f>VALUE(0)</f>
        <v>0</v>
      </c>
      <c r="AZ282" s="23">
        <f>VALUE(0)</f>
        <v>0</v>
      </c>
      <c r="BA282" s="23">
        <f>VALUE(0)</f>
        <v>0</v>
      </c>
      <c r="BB282" s="23">
        <f>VALUE(0)</f>
        <v>0</v>
      </c>
      <c r="BC282" s="23">
        <f>VALUE(0)</f>
        <v>0</v>
      </c>
      <c r="BD282" s="23">
        <f>VALUE(0)</f>
        <v>0</v>
      </c>
      <c r="BE282" s="23">
        <f>VALUE(0)</f>
        <v>0</v>
      </c>
      <c r="BF282" s="23">
        <f>VALUE(0)</f>
        <v>0</v>
      </c>
      <c r="BG282" s="23">
        <f>VALUE(0)</f>
        <v>0</v>
      </c>
      <c r="BH282" s="23">
        <f>VALUE(0)</f>
        <v>0</v>
      </c>
      <c r="BI282" s="23">
        <f>VALUE(0)</f>
        <v>0</v>
      </c>
      <c r="BJ282" s="23">
        <f>VALUE(0)</f>
        <v>0</v>
      </c>
      <c r="BK282" s="12">
        <f>$AX$282*24</f>
        <v>17.5</v>
      </c>
      <c r="BL282" s="12">
        <f>$AY$282*24</f>
        <v>0</v>
      </c>
      <c r="BM282" s="12">
        <f>$BJ$282*24</f>
        <v>0</v>
      </c>
      <c r="BN282" s="12">
        <f>VALUE($I$282)/100</f>
        <v>1</v>
      </c>
      <c r="BO282" s="12">
        <v>0</v>
      </c>
      <c r="BP282" s="12">
        <v>0</v>
      </c>
      <c r="BQ282" s="12">
        <v>0</v>
      </c>
      <c r="BR282" s="12">
        <v>0</v>
      </c>
      <c r="BS282" s="12">
        <v>0</v>
      </c>
      <c r="BT282" s="12">
        <v>0</v>
      </c>
      <c r="BU282" s="12">
        <v>0</v>
      </c>
      <c r="BV282" s="12">
        <v>0</v>
      </c>
      <c r="BW282" s="12">
        <v>0</v>
      </c>
      <c r="BX282" s="12">
        <v>0</v>
      </c>
      <c r="BY282" s="12">
        <v>0</v>
      </c>
      <c r="BZ282" s="12">
        <v>0</v>
      </c>
      <c r="CA282" s="12">
        <v>0</v>
      </c>
    </row>
    <row r="283" spans="1:79" hidden="1" x14ac:dyDescent="0.2">
      <c r="A283" s="12" t="s">
        <v>141</v>
      </c>
      <c r="B283" s="12" t="s">
        <v>143</v>
      </c>
      <c r="C283" s="12" t="s">
        <v>143</v>
      </c>
      <c r="D283" s="22" t="s">
        <v>385</v>
      </c>
      <c r="E283" s="22" t="s">
        <v>161</v>
      </c>
      <c r="F283" s="22" t="s">
        <v>1045</v>
      </c>
      <c r="G283" s="22" t="s">
        <v>1046</v>
      </c>
      <c r="H283" s="22" t="s">
        <v>166</v>
      </c>
      <c r="I283" s="22" t="s">
        <v>151</v>
      </c>
      <c r="J283" s="22" t="s">
        <v>162</v>
      </c>
      <c r="K283" s="22" t="s">
        <v>97</v>
      </c>
      <c r="L283" s="54" t="s">
        <v>153</v>
      </c>
      <c r="M283" s="23" t="s">
        <v>153</v>
      </c>
      <c r="N283" s="24" t="s">
        <v>153</v>
      </c>
      <c r="O283" s="23" t="s">
        <v>153</v>
      </c>
      <c r="P283" s="23" t="s">
        <v>153</v>
      </c>
      <c r="Q283" s="23" t="s">
        <v>153</v>
      </c>
      <c r="R283" s="23" t="s">
        <v>153</v>
      </c>
      <c r="S283" s="23" t="s">
        <v>153</v>
      </c>
      <c r="T283" s="23" t="s">
        <v>153</v>
      </c>
      <c r="U283" s="24" t="s">
        <v>153</v>
      </c>
      <c r="V283" s="54" t="s">
        <v>153</v>
      </c>
      <c r="W283" s="23" t="s">
        <v>153</v>
      </c>
      <c r="X283" s="23" t="s">
        <v>153</v>
      </c>
      <c r="Y283" s="23" t="s">
        <v>153</v>
      </c>
      <c r="Z283" s="23" t="s">
        <v>153</v>
      </c>
      <c r="AA283" s="23" t="s">
        <v>153</v>
      </c>
      <c r="AB283" s="24" t="s">
        <v>153</v>
      </c>
      <c r="AC283" s="23" t="s">
        <v>153</v>
      </c>
      <c r="AD283" s="23" t="s">
        <v>153</v>
      </c>
      <c r="AE283" s="23" t="s">
        <v>153</v>
      </c>
      <c r="AF283" s="23" t="s">
        <v>153</v>
      </c>
      <c r="AG283" s="23" t="s">
        <v>153</v>
      </c>
      <c r="AH283" s="23" t="s">
        <v>153</v>
      </c>
      <c r="AI283" s="24" t="s">
        <v>153</v>
      </c>
      <c r="AJ283" s="28" t="s">
        <v>163</v>
      </c>
      <c r="AK283" s="28" t="s">
        <v>163</v>
      </c>
      <c r="AL283" s="28" t="s">
        <v>163</v>
      </c>
      <c r="AM283" s="30" t="s">
        <v>28</v>
      </c>
      <c r="AN283" s="24" t="s">
        <v>156</v>
      </c>
      <c r="AO283" s="24" t="s">
        <v>156</v>
      </c>
      <c r="AP283" s="23">
        <f>VALUE(40)</f>
        <v>40</v>
      </c>
      <c r="AQ283" s="23">
        <f>VALUE(0)</f>
        <v>0</v>
      </c>
      <c r="AR283" s="23">
        <f>VALUE(0)</f>
        <v>0</v>
      </c>
      <c r="AS283" s="23">
        <f>VALUE(0)</f>
        <v>0</v>
      </c>
      <c r="AT283" s="23">
        <f>VALUE(0)</f>
        <v>0</v>
      </c>
      <c r="AU283" s="23">
        <f>VALUE(3)</f>
        <v>3</v>
      </c>
      <c r="AV283" s="23">
        <f>VALUE(3)</f>
        <v>3</v>
      </c>
      <c r="AW283" s="23">
        <f>VALUE(0)</f>
        <v>0</v>
      </c>
      <c r="AX283" s="23" t="s">
        <v>533</v>
      </c>
      <c r="AY283" s="23">
        <f>VALUE(0)</f>
        <v>0</v>
      </c>
      <c r="AZ283" s="23">
        <f>VALUE(0)</f>
        <v>0</v>
      </c>
      <c r="BA283" s="23">
        <f>VALUE(0)</f>
        <v>0</v>
      </c>
      <c r="BB283" s="23">
        <f>VALUE(0)</f>
        <v>0</v>
      </c>
      <c r="BC283" s="23">
        <f>VALUE(0)</f>
        <v>0</v>
      </c>
      <c r="BD283" s="23">
        <f>VALUE(0)</f>
        <v>0</v>
      </c>
      <c r="BE283" s="23">
        <f>VALUE(0)</f>
        <v>0</v>
      </c>
      <c r="BF283" s="23">
        <f>VALUE(0)</f>
        <v>0</v>
      </c>
      <c r="BG283" s="23">
        <f>VALUE(0)</f>
        <v>0</v>
      </c>
      <c r="BH283" s="23">
        <f>VALUE(0)</f>
        <v>0</v>
      </c>
      <c r="BI283" s="23">
        <f>VALUE(0)</f>
        <v>0</v>
      </c>
      <c r="BJ283" s="23">
        <f>VALUE(0)</f>
        <v>0</v>
      </c>
      <c r="BK283" s="12">
        <f>$AX$283*24</f>
        <v>1.0166666666666666</v>
      </c>
      <c r="BL283" s="12">
        <f>$AY$283*24</f>
        <v>0</v>
      </c>
      <c r="BM283" s="12">
        <f>$BJ$283*24</f>
        <v>0</v>
      </c>
      <c r="BN283" s="12">
        <f>VALUE($I$283)/100</f>
        <v>1</v>
      </c>
      <c r="BO283" s="12">
        <v>0</v>
      </c>
      <c r="BP283" s="12">
        <v>0</v>
      </c>
      <c r="BQ283" s="12">
        <v>1</v>
      </c>
      <c r="BR283" s="12">
        <v>0</v>
      </c>
      <c r="BS283" s="12">
        <v>0</v>
      </c>
      <c r="BT283" s="12">
        <v>0</v>
      </c>
      <c r="BU283" s="12">
        <v>0</v>
      </c>
      <c r="BV283" s="12">
        <v>0</v>
      </c>
      <c r="BW283" s="12">
        <v>0</v>
      </c>
      <c r="BX283" s="12">
        <v>0</v>
      </c>
      <c r="BY283" s="12">
        <v>0</v>
      </c>
      <c r="BZ283" s="12">
        <v>0</v>
      </c>
      <c r="CA283" s="12">
        <v>0</v>
      </c>
    </row>
    <row r="284" spans="1:79" hidden="1" x14ac:dyDescent="0.2">
      <c r="A284" s="12" t="s">
        <v>141</v>
      </c>
      <c r="B284" s="12" t="s">
        <v>143</v>
      </c>
      <c r="C284" s="12" t="s">
        <v>143</v>
      </c>
      <c r="D284" s="22" t="s">
        <v>378</v>
      </c>
      <c r="E284" s="22" t="s">
        <v>161</v>
      </c>
      <c r="F284" s="22" t="s">
        <v>1292</v>
      </c>
      <c r="G284" s="22" t="s">
        <v>1047</v>
      </c>
      <c r="H284" s="22" t="s">
        <v>166</v>
      </c>
      <c r="I284" s="22" t="s">
        <v>151</v>
      </c>
      <c r="J284" s="22" t="s">
        <v>162</v>
      </c>
      <c r="K284" s="22" t="s">
        <v>97</v>
      </c>
      <c r="L284" s="54" t="s">
        <v>153</v>
      </c>
      <c r="M284" s="23" t="s">
        <v>153</v>
      </c>
      <c r="N284" s="24" t="s">
        <v>153</v>
      </c>
      <c r="O284" s="23" t="s">
        <v>153</v>
      </c>
      <c r="P284" s="23" t="s">
        <v>153</v>
      </c>
      <c r="Q284" s="23" t="s">
        <v>153</v>
      </c>
      <c r="R284" s="23" t="s">
        <v>153</v>
      </c>
      <c r="S284" s="23" t="s">
        <v>153</v>
      </c>
      <c r="T284" s="23" t="s">
        <v>153</v>
      </c>
      <c r="U284" s="24" t="s">
        <v>153</v>
      </c>
      <c r="V284" s="54" t="s">
        <v>153</v>
      </c>
      <c r="W284" s="23" t="s">
        <v>153</v>
      </c>
      <c r="X284" s="23" t="s">
        <v>153</v>
      </c>
      <c r="Y284" s="23" t="s">
        <v>153</v>
      </c>
      <c r="Z284" s="23" t="s">
        <v>153</v>
      </c>
      <c r="AA284" s="23" t="s">
        <v>153</v>
      </c>
      <c r="AB284" s="24" t="s">
        <v>153</v>
      </c>
      <c r="AC284" s="23" t="s">
        <v>153</v>
      </c>
      <c r="AD284" s="23" t="s">
        <v>153</v>
      </c>
      <c r="AE284" s="23" t="s">
        <v>153</v>
      </c>
      <c r="AF284" s="23" t="s">
        <v>153</v>
      </c>
      <c r="AG284" s="23" t="s">
        <v>153</v>
      </c>
      <c r="AH284" s="23" t="s">
        <v>153</v>
      </c>
      <c r="AI284" s="24" t="s">
        <v>153</v>
      </c>
      <c r="AJ284" s="23" t="s">
        <v>153</v>
      </c>
      <c r="AK284" s="23" t="s">
        <v>153</v>
      </c>
      <c r="AL284" s="23" t="s">
        <v>153</v>
      </c>
      <c r="AM284" s="23" t="s">
        <v>153</v>
      </c>
      <c r="AN284" s="23" t="s">
        <v>153</v>
      </c>
      <c r="AO284" s="23" t="s">
        <v>153</v>
      </c>
      <c r="AP284" s="23">
        <f>VALUE(44)</f>
        <v>44</v>
      </c>
      <c r="AQ284" s="23">
        <f>VALUE(0)</f>
        <v>0</v>
      </c>
      <c r="AR284" s="23">
        <f>VALUE(0)</f>
        <v>0</v>
      </c>
      <c r="AS284" s="23">
        <f>VALUE(0)</f>
        <v>0</v>
      </c>
      <c r="AT284" s="23">
        <f>VALUE(0)</f>
        <v>0</v>
      </c>
      <c r="AU284" s="23">
        <f>VALUE(0)</f>
        <v>0</v>
      </c>
      <c r="AV284" s="23">
        <f>VALUE(6)</f>
        <v>6</v>
      </c>
      <c r="AW284" s="23">
        <f>VALUE(0)</f>
        <v>0</v>
      </c>
      <c r="AX284" s="23" t="s">
        <v>1293</v>
      </c>
      <c r="AY284" s="23">
        <f>VALUE(0)</f>
        <v>0</v>
      </c>
      <c r="AZ284" s="23">
        <f>VALUE(0)</f>
        <v>0</v>
      </c>
      <c r="BA284" s="23">
        <f>VALUE(0)</f>
        <v>0</v>
      </c>
      <c r="BB284" s="23">
        <f>VALUE(0)</f>
        <v>0</v>
      </c>
      <c r="BC284" s="23">
        <f>VALUE(0)</f>
        <v>0</v>
      </c>
      <c r="BD284" s="23">
        <f>VALUE(0)</f>
        <v>0</v>
      </c>
      <c r="BE284" s="23">
        <f>VALUE(0)</f>
        <v>0</v>
      </c>
      <c r="BF284" s="23">
        <f>VALUE(0)</f>
        <v>0</v>
      </c>
      <c r="BG284" s="23">
        <f>VALUE(0)</f>
        <v>0</v>
      </c>
      <c r="BH284" s="23">
        <f>VALUE(0)</f>
        <v>0</v>
      </c>
      <c r="BI284" s="23">
        <f>VALUE(0)</f>
        <v>0</v>
      </c>
      <c r="BJ284" s="23">
        <f>VALUE(0)</f>
        <v>0</v>
      </c>
      <c r="BK284" s="12">
        <f>$AX$284*24</f>
        <v>35.333333333333336</v>
      </c>
      <c r="BL284" s="12">
        <f>$AY$284*24</f>
        <v>0</v>
      </c>
      <c r="BM284" s="12">
        <f>$BJ$284*24</f>
        <v>0</v>
      </c>
      <c r="BN284" s="12">
        <f>VALUE($I$284)/100</f>
        <v>1</v>
      </c>
      <c r="BO284" s="12">
        <v>0</v>
      </c>
      <c r="BP284" s="12">
        <v>0</v>
      </c>
      <c r="BQ284" s="12">
        <v>0</v>
      </c>
      <c r="BR284" s="12">
        <v>0</v>
      </c>
      <c r="BS284" s="12">
        <v>0</v>
      </c>
      <c r="BT284" s="12">
        <v>0</v>
      </c>
      <c r="BU284" s="12">
        <v>0</v>
      </c>
      <c r="BV284" s="12">
        <v>0</v>
      </c>
      <c r="BW284" s="12">
        <v>0</v>
      </c>
      <c r="BX284" s="12">
        <v>0</v>
      </c>
      <c r="BY284" s="12">
        <v>0</v>
      </c>
      <c r="BZ284" s="12">
        <v>0</v>
      </c>
      <c r="CA284" s="12">
        <v>0</v>
      </c>
    </row>
    <row r="285" spans="1:79" hidden="1" x14ac:dyDescent="0.2">
      <c r="A285" s="12" t="s">
        <v>141</v>
      </c>
      <c r="B285" s="12" t="s">
        <v>143</v>
      </c>
      <c r="C285" s="12" t="s">
        <v>143</v>
      </c>
      <c r="D285" s="22" t="s">
        <v>389</v>
      </c>
      <c r="E285" s="22" t="s">
        <v>161</v>
      </c>
      <c r="F285" s="22" t="s">
        <v>1048</v>
      </c>
      <c r="G285" s="22" t="s">
        <v>1049</v>
      </c>
      <c r="H285" s="22" t="s">
        <v>279</v>
      </c>
      <c r="I285" s="22" t="s">
        <v>151</v>
      </c>
      <c r="J285" s="22" t="s">
        <v>162</v>
      </c>
      <c r="K285" s="22" t="s">
        <v>97</v>
      </c>
      <c r="L285" s="54" t="s">
        <v>153</v>
      </c>
      <c r="M285" s="23" t="s">
        <v>153</v>
      </c>
      <c r="N285" s="24" t="s">
        <v>153</v>
      </c>
      <c r="O285" s="23" t="s">
        <v>153</v>
      </c>
      <c r="P285" s="23" t="s">
        <v>153</v>
      </c>
      <c r="Q285" s="23" t="s">
        <v>153</v>
      </c>
      <c r="R285" s="23" t="s">
        <v>153</v>
      </c>
      <c r="S285" s="23" t="s">
        <v>153</v>
      </c>
      <c r="T285" s="23" t="s">
        <v>153</v>
      </c>
      <c r="U285" s="24" t="s">
        <v>153</v>
      </c>
      <c r="V285" s="54" t="s">
        <v>153</v>
      </c>
      <c r="W285" s="23" t="s">
        <v>426</v>
      </c>
      <c r="X285" s="23" t="s">
        <v>426</v>
      </c>
      <c r="Y285" s="23" t="s">
        <v>426</v>
      </c>
      <c r="Z285" s="23" t="s">
        <v>426</v>
      </c>
      <c r="AA285" s="23" t="s">
        <v>426</v>
      </c>
      <c r="AB285" s="24" t="s">
        <v>153</v>
      </c>
      <c r="AC285" s="23" t="s">
        <v>426</v>
      </c>
      <c r="AD285" s="23" t="s">
        <v>426</v>
      </c>
      <c r="AE285" s="23" t="s">
        <v>426</v>
      </c>
      <c r="AF285" s="23" t="s">
        <v>426</v>
      </c>
      <c r="AG285" s="23" t="s">
        <v>426</v>
      </c>
      <c r="AH285" s="23" t="s">
        <v>426</v>
      </c>
      <c r="AI285" s="24" t="s">
        <v>153</v>
      </c>
      <c r="AJ285" s="23" t="s">
        <v>385</v>
      </c>
      <c r="AK285" s="23" t="s">
        <v>385</v>
      </c>
      <c r="AL285" s="23" t="s">
        <v>385</v>
      </c>
      <c r="AM285" s="23" t="s">
        <v>385</v>
      </c>
      <c r="AN285" s="23" t="s">
        <v>385</v>
      </c>
      <c r="AO285" s="23" t="s">
        <v>385</v>
      </c>
      <c r="AP285" s="23">
        <f>VALUE(0)</f>
        <v>0</v>
      </c>
      <c r="AQ285" s="23">
        <f>VALUE(0)</f>
        <v>0</v>
      </c>
      <c r="AR285" s="23">
        <f>VALUE(0)</f>
        <v>0</v>
      </c>
      <c r="AS285" s="23">
        <f>VALUE(0)</f>
        <v>0</v>
      </c>
      <c r="AT285" s="23">
        <f>VALUE(0)</f>
        <v>0</v>
      </c>
      <c r="AU285" s="23">
        <f>VALUE(0)</f>
        <v>0</v>
      </c>
      <c r="AV285" s="23">
        <f>VALUE(0)</f>
        <v>0</v>
      </c>
      <c r="AW285" s="23">
        <f>VALUE(0)</f>
        <v>0</v>
      </c>
      <c r="AX285" s="23">
        <f>VALUE(0)</f>
        <v>0</v>
      </c>
      <c r="AY285" s="23">
        <f>VALUE(0)</f>
        <v>0</v>
      </c>
      <c r="AZ285" s="23">
        <f>VALUE(0)</f>
        <v>0</v>
      </c>
      <c r="BA285" s="23">
        <f>VALUE(0)</f>
        <v>0</v>
      </c>
      <c r="BB285" s="23">
        <f>VALUE(0)</f>
        <v>0</v>
      </c>
      <c r="BC285" s="23">
        <f>VALUE(0)</f>
        <v>0</v>
      </c>
      <c r="BD285" s="23">
        <f>VALUE(0)</f>
        <v>0</v>
      </c>
      <c r="BE285" s="23">
        <f>VALUE(0)</f>
        <v>0</v>
      </c>
      <c r="BF285" s="23">
        <f>VALUE(0)</f>
        <v>0</v>
      </c>
      <c r="BG285" s="23">
        <f>VALUE(0)</f>
        <v>0</v>
      </c>
      <c r="BH285" s="23">
        <f>VALUE(0)</f>
        <v>0</v>
      </c>
      <c r="BI285" s="23">
        <f>VALUE(0)</f>
        <v>0</v>
      </c>
      <c r="BJ285" s="23">
        <f>VALUE(0)</f>
        <v>0</v>
      </c>
      <c r="BK285" s="12">
        <f>$AX$285*24</f>
        <v>0</v>
      </c>
      <c r="BL285" s="12">
        <f>$AY$285*24</f>
        <v>0</v>
      </c>
      <c r="BM285" s="12">
        <f>$BJ$285*24</f>
        <v>0</v>
      </c>
      <c r="BN285" s="12">
        <f>VALUE($I$285)/100</f>
        <v>1</v>
      </c>
      <c r="BO285" s="12">
        <v>0</v>
      </c>
      <c r="BP285" s="12">
        <v>0</v>
      </c>
      <c r="BQ285" s="12">
        <v>0</v>
      </c>
      <c r="BR285" s="12">
        <v>0</v>
      </c>
      <c r="BS285" s="12">
        <v>0</v>
      </c>
      <c r="BT285" s="12">
        <v>0</v>
      </c>
      <c r="BU285" s="12">
        <v>0</v>
      </c>
      <c r="BV285" s="12">
        <v>0</v>
      </c>
      <c r="BW285" s="12">
        <v>0</v>
      </c>
      <c r="BX285" s="12">
        <v>0</v>
      </c>
      <c r="BY285" s="12">
        <v>0</v>
      </c>
      <c r="BZ285" s="12">
        <v>0</v>
      </c>
      <c r="CA285" s="12">
        <v>0</v>
      </c>
    </row>
    <row r="286" spans="1:79" hidden="1" x14ac:dyDescent="0.2">
      <c r="A286" s="12" t="s">
        <v>141</v>
      </c>
      <c r="B286" s="12" t="s">
        <v>143</v>
      </c>
      <c r="C286" s="12" t="s">
        <v>143</v>
      </c>
      <c r="D286" s="22" t="s">
        <v>379</v>
      </c>
      <c r="E286" s="22" t="s">
        <v>161</v>
      </c>
      <c r="F286" s="22" t="s">
        <v>1050</v>
      </c>
      <c r="G286" s="22" t="s">
        <v>1051</v>
      </c>
      <c r="H286" s="22" t="s">
        <v>166</v>
      </c>
      <c r="I286" s="22" t="s">
        <v>151</v>
      </c>
      <c r="J286" s="22" t="s">
        <v>162</v>
      </c>
      <c r="K286" s="22" t="s">
        <v>97</v>
      </c>
      <c r="L286" s="54" t="s">
        <v>156</v>
      </c>
      <c r="M286" s="24" t="s">
        <v>156</v>
      </c>
      <c r="N286" s="24" t="s">
        <v>153</v>
      </c>
      <c r="O286" s="23" t="s">
        <v>153</v>
      </c>
      <c r="P286" s="23" t="s">
        <v>153</v>
      </c>
      <c r="Q286" s="23" t="s">
        <v>153</v>
      </c>
      <c r="R286" s="23" t="s">
        <v>153</v>
      </c>
      <c r="S286" s="23" t="s">
        <v>153</v>
      </c>
      <c r="T286" s="23" t="s">
        <v>153</v>
      </c>
      <c r="U286" s="24" t="s">
        <v>153</v>
      </c>
      <c r="V286" s="54" t="s">
        <v>153</v>
      </c>
      <c r="W286" s="23" t="s">
        <v>153</v>
      </c>
      <c r="X286" s="23" t="s">
        <v>153</v>
      </c>
      <c r="Y286" s="23" t="s">
        <v>153</v>
      </c>
      <c r="Z286" s="23" t="s">
        <v>153</v>
      </c>
      <c r="AA286" s="23" t="s">
        <v>153</v>
      </c>
      <c r="AB286" s="24" t="s">
        <v>153</v>
      </c>
      <c r="AC286" s="23" t="s">
        <v>153</v>
      </c>
      <c r="AD286" s="23" t="s">
        <v>153</v>
      </c>
      <c r="AE286" s="23" t="s">
        <v>153</v>
      </c>
      <c r="AF286" s="23" t="s">
        <v>153</v>
      </c>
      <c r="AG286" s="23" t="s">
        <v>153</v>
      </c>
      <c r="AH286" s="23" t="s">
        <v>153</v>
      </c>
      <c r="AI286" s="24" t="s">
        <v>153</v>
      </c>
      <c r="AJ286" s="23" t="s">
        <v>153</v>
      </c>
      <c r="AK286" s="23" t="s">
        <v>153</v>
      </c>
      <c r="AL286" s="23" t="s">
        <v>153</v>
      </c>
      <c r="AM286" s="23" t="s">
        <v>153</v>
      </c>
      <c r="AN286" s="23" t="s">
        <v>153</v>
      </c>
      <c r="AO286" s="23" t="s">
        <v>153</v>
      </c>
      <c r="AP286" s="23">
        <f>VALUE(41)</f>
        <v>41</v>
      </c>
      <c r="AQ286" s="23">
        <f>VALUE(0)</f>
        <v>0</v>
      </c>
      <c r="AR286" s="23">
        <f>VALUE(0)</f>
        <v>0</v>
      </c>
      <c r="AS286" s="23">
        <f>VALUE(0)</f>
        <v>0</v>
      </c>
      <c r="AT286" s="23">
        <f>VALUE(0)</f>
        <v>0</v>
      </c>
      <c r="AU286" s="23">
        <f>VALUE(0)</f>
        <v>0</v>
      </c>
      <c r="AV286" s="23">
        <f>VALUE(6)</f>
        <v>6</v>
      </c>
      <c r="AW286" s="23">
        <f>VALUE(0)</f>
        <v>0</v>
      </c>
      <c r="AX286" s="23" t="s">
        <v>1294</v>
      </c>
      <c r="AY286" s="23">
        <f>VALUE(0)</f>
        <v>0</v>
      </c>
      <c r="AZ286" s="23">
        <f>VALUE(0)</f>
        <v>0</v>
      </c>
      <c r="BA286" s="23">
        <f>VALUE(0)</f>
        <v>0</v>
      </c>
      <c r="BB286" s="23">
        <f>VALUE(0)</f>
        <v>0</v>
      </c>
      <c r="BC286" s="23">
        <f>VALUE(0)</f>
        <v>0</v>
      </c>
      <c r="BD286" s="23">
        <f>VALUE(0)</f>
        <v>0</v>
      </c>
      <c r="BE286" s="23">
        <f>VALUE(0)</f>
        <v>0</v>
      </c>
      <c r="BF286" s="23">
        <f>VALUE(0)</f>
        <v>0</v>
      </c>
      <c r="BG286" s="23">
        <f>VALUE(0)</f>
        <v>0</v>
      </c>
      <c r="BH286" s="23">
        <f>VALUE(0)</f>
        <v>0</v>
      </c>
      <c r="BI286" s="23">
        <f>VALUE(0)</f>
        <v>0</v>
      </c>
      <c r="BJ286" s="23">
        <f>VALUE(0)</f>
        <v>0</v>
      </c>
      <c r="BK286" s="12">
        <f>$AX$286*24</f>
        <v>12.133333333333333</v>
      </c>
      <c r="BL286" s="12">
        <f>$AY$286*24</f>
        <v>0</v>
      </c>
      <c r="BM286" s="12">
        <f>$BJ$286*24</f>
        <v>0</v>
      </c>
      <c r="BN286" s="12">
        <f>VALUE($I$286)/100</f>
        <v>1</v>
      </c>
      <c r="BO286" s="12">
        <v>0</v>
      </c>
      <c r="BP286" s="12">
        <v>0</v>
      </c>
      <c r="BQ286" s="12">
        <v>0</v>
      </c>
      <c r="BR286" s="12">
        <v>0</v>
      </c>
      <c r="BS286" s="12">
        <v>0</v>
      </c>
      <c r="BT286" s="12">
        <v>0</v>
      </c>
      <c r="BU286" s="12">
        <v>0</v>
      </c>
      <c r="BV286" s="12">
        <v>0</v>
      </c>
      <c r="BW286" s="12">
        <v>0</v>
      </c>
      <c r="BX286" s="12">
        <v>0</v>
      </c>
      <c r="BY286" s="12">
        <v>0</v>
      </c>
      <c r="BZ286" s="12">
        <v>0</v>
      </c>
      <c r="CA286" s="12">
        <v>0</v>
      </c>
    </row>
    <row r="287" spans="1:79" hidden="1" x14ac:dyDescent="0.2">
      <c r="A287" s="12" t="s">
        <v>141</v>
      </c>
      <c r="B287" s="12" t="s">
        <v>143</v>
      </c>
      <c r="C287" s="12" t="s">
        <v>143</v>
      </c>
      <c r="D287" s="22" t="s">
        <v>429</v>
      </c>
      <c r="E287" s="22" t="s">
        <v>161</v>
      </c>
      <c r="F287" s="22" t="s">
        <v>1052</v>
      </c>
      <c r="G287" s="22" t="s">
        <v>1053</v>
      </c>
      <c r="H287" s="22" t="s">
        <v>166</v>
      </c>
      <c r="I287" s="22" t="s">
        <v>151</v>
      </c>
      <c r="J287" s="22" t="s">
        <v>162</v>
      </c>
      <c r="K287" s="22" t="s">
        <v>97</v>
      </c>
      <c r="L287" s="54" t="s">
        <v>153</v>
      </c>
      <c r="M287" s="23" t="s">
        <v>153</v>
      </c>
      <c r="N287" s="24" t="s">
        <v>153</v>
      </c>
      <c r="O287" s="23" t="s">
        <v>153</v>
      </c>
      <c r="P287" s="23" t="s">
        <v>153</v>
      </c>
      <c r="Q287" s="23" t="s">
        <v>153</v>
      </c>
      <c r="R287" s="23" t="s">
        <v>153</v>
      </c>
      <c r="S287" s="24" t="s">
        <v>156</v>
      </c>
      <c r="T287" s="24" t="s">
        <v>156</v>
      </c>
      <c r="U287" s="24" t="s">
        <v>153</v>
      </c>
      <c r="V287" s="54" t="s">
        <v>153</v>
      </c>
      <c r="W287" s="23" t="s">
        <v>153</v>
      </c>
      <c r="X287" s="23" t="s">
        <v>153</v>
      </c>
      <c r="Y287" s="23" t="s">
        <v>153</v>
      </c>
      <c r="Z287" s="23" t="s">
        <v>153</v>
      </c>
      <c r="AA287" s="23" t="s">
        <v>153</v>
      </c>
      <c r="AB287" s="24" t="s">
        <v>153</v>
      </c>
      <c r="AC287" s="28" t="s">
        <v>163</v>
      </c>
      <c r="AD287" s="28" t="s">
        <v>163</v>
      </c>
      <c r="AE287" s="28" t="s">
        <v>163</v>
      </c>
      <c r="AF287" s="28" t="s">
        <v>163</v>
      </c>
      <c r="AG287" s="28" t="s">
        <v>163</v>
      </c>
      <c r="AH287" s="28" t="s">
        <v>163</v>
      </c>
      <c r="AI287" s="24" t="s">
        <v>153</v>
      </c>
      <c r="AJ287" s="28" t="s">
        <v>163</v>
      </c>
      <c r="AK287" s="28" t="s">
        <v>163</v>
      </c>
      <c r="AL287" s="28" t="s">
        <v>163</v>
      </c>
      <c r="AM287" s="28" t="s">
        <v>163</v>
      </c>
      <c r="AN287" s="23" t="s">
        <v>153</v>
      </c>
      <c r="AO287" s="23" t="s">
        <v>153</v>
      </c>
      <c r="AP287" s="23">
        <f>VALUE(36)</f>
        <v>36</v>
      </c>
      <c r="AQ287" s="23">
        <f>VALUE(0)</f>
        <v>0</v>
      </c>
      <c r="AR287" s="23">
        <f>VALUE(0)</f>
        <v>0</v>
      </c>
      <c r="AS287" s="23">
        <f>VALUE(0)</f>
        <v>0</v>
      </c>
      <c r="AT287" s="23">
        <f>VALUE(0)</f>
        <v>0</v>
      </c>
      <c r="AU287" s="23">
        <f>VALUE(10)</f>
        <v>10</v>
      </c>
      <c r="AV287" s="23">
        <f>VALUE(0)</f>
        <v>0</v>
      </c>
      <c r="AW287" s="23">
        <f>VALUE(0)</f>
        <v>0</v>
      </c>
      <c r="AX287" s="23" t="s">
        <v>1295</v>
      </c>
      <c r="AY287" s="23">
        <f>VALUE(0)</f>
        <v>0</v>
      </c>
      <c r="AZ287" s="23">
        <f>VALUE(0)</f>
        <v>0</v>
      </c>
      <c r="BA287" s="23">
        <f>VALUE(0)</f>
        <v>0</v>
      </c>
      <c r="BB287" s="23">
        <f>VALUE(0)</f>
        <v>0</v>
      </c>
      <c r="BC287" s="23">
        <f>VALUE(0)</f>
        <v>0</v>
      </c>
      <c r="BD287" s="23">
        <f>VALUE(0)</f>
        <v>0</v>
      </c>
      <c r="BE287" s="23">
        <f>VALUE(0)</f>
        <v>0</v>
      </c>
      <c r="BF287" s="23">
        <f>VALUE(0)</f>
        <v>0</v>
      </c>
      <c r="BG287" s="23">
        <f>VALUE(0)</f>
        <v>0</v>
      </c>
      <c r="BH287" s="23">
        <f>VALUE(0)</f>
        <v>0</v>
      </c>
      <c r="BI287" s="23">
        <f>VALUE(0)</f>
        <v>0</v>
      </c>
      <c r="BJ287" s="23">
        <f>VALUE(0)</f>
        <v>0</v>
      </c>
      <c r="BK287" s="12">
        <f>$AX$287*24</f>
        <v>4.5333333333333332</v>
      </c>
      <c r="BL287" s="12">
        <f>$AY$287*24</f>
        <v>0</v>
      </c>
      <c r="BM287" s="12">
        <f>$BJ$287*24</f>
        <v>0</v>
      </c>
      <c r="BN287" s="12">
        <f>VALUE($I$287)/100</f>
        <v>1</v>
      </c>
      <c r="BO287" s="12">
        <v>0</v>
      </c>
      <c r="BP287" s="12">
        <v>0</v>
      </c>
      <c r="BQ287" s="12">
        <v>0</v>
      </c>
      <c r="BR287" s="12">
        <v>0</v>
      </c>
      <c r="BS287" s="12">
        <v>0</v>
      </c>
      <c r="BT287" s="12">
        <v>0</v>
      </c>
      <c r="BU287" s="12">
        <v>0</v>
      </c>
      <c r="BV287" s="12">
        <v>0</v>
      </c>
      <c r="BW287" s="12">
        <v>0</v>
      </c>
      <c r="BX287" s="12">
        <v>0</v>
      </c>
      <c r="BY287" s="12">
        <v>0</v>
      </c>
      <c r="BZ287" s="12">
        <v>0</v>
      </c>
      <c r="CA287" s="12">
        <v>0</v>
      </c>
    </row>
    <row r="288" spans="1:79" hidden="1" x14ac:dyDescent="0.2">
      <c r="A288" s="12" t="s">
        <v>141</v>
      </c>
      <c r="B288" s="12" t="s">
        <v>143</v>
      </c>
      <c r="C288" s="12" t="s">
        <v>143</v>
      </c>
      <c r="D288" s="22" t="s">
        <v>534</v>
      </c>
      <c r="E288" s="22" t="s">
        <v>159</v>
      </c>
      <c r="F288" s="22" t="s">
        <v>535</v>
      </c>
      <c r="G288" s="22" t="s">
        <v>1054</v>
      </c>
      <c r="H288" s="22" t="s">
        <v>166</v>
      </c>
      <c r="I288" s="22" t="s">
        <v>151</v>
      </c>
      <c r="J288" s="22" t="s">
        <v>162</v>
      </c>
      <c r="K288" s="22" t="s">
        <v>97</v>
      </c>
      <c r="L288" s="54" t="s">
        <v>153</v>
      </c>
      <c r="M288" s="23" t="s">
        <v>300</v>
      </c>
      <c r="N288" s="24" t="s">
        <v>153</v>
      </c>
      <c r="O288" s="28" t="s">
        <v>163</v>
      </c>
      <c r="P288" s="28" t="s">
        <v>163</v>
      </c>
      <c r="Q288" s="28" t="s">
        <v>163</v>
      </c>
      <c r="R288" s="28" t="s">
        <v>163</v>
      </c>
      <c r="S288" s="28" t="s">
        <v>163</v>
      </c>
      <c r="T288" s="28" t="s">
        <v>163</v>
      </c>
      <c r="U288" s="24" t="s">
        <v>153</v>
      </c>
      <c r="V288" s="54" t="s">
        <v>153</v>
      </c>
      <c r="W288" s="23" t="s">
        <v>389</v>
      </c>
      <c r="X288" s="23" t="s">
        <v>389</v>
      </c>
      <c r="Y288" s="23" t="s">
        <v>389</v>
      </c>
      <c r="Z288" s="23" t="s">
        <v>389</v>
      </c>
      <c r="AA288" s="23" t="s">
        <v>389</v>
      </c>
      <c r="AB288" s="24" t="s">
        <v>153</v>
      </c>
      <c r="AC288" s="23" t="s">
        <v>185</v>
      </c>
      <c r="AD288" s="23" t="s">
        <v>185</v>
      </c>
      <c r="AE288" s="24" t="s">
        <v>156</v>
      </c>
      <c r="AF288" s="24" t="s">
        <v>156</v>
      </c>
      <c r="AG288" s="23" t="s">
        <v>185</v>
      </c>
      <c r="AH288" s="23" t="s">
        <v>185</v>
      </c>
      <c r="AI288" s="24" t="s">
        <v>153</v>
      </c>
      <c r="AJ288" s="23" t="s">
        <v>389</v>
      </c>
      <c r="AK288" s="23" t="s">
        <v>389</v>
      </c>
      <c r="AL288" s="23" t="s">
        <v>389</v>
      </c>
      <c r="AM288" s="23" t="s">
        <v>389</v>
      </c>
      <c r="AN288" s="23" t="s">
        <v>389</v>
      </c>
      <c r="AO288" s="23" t="s">
        <v>389</v>
      </c>
      <c r="AP288" s="23">
        <f>VALUE(24)</f>
        <v>24</v>
      </c>
      <c r="AQ288" s="23">
        <f>VALUE(0)</f>
        <v>0</v>
      </c>
      <c r="AR288" s="23">
        <f>VALUE(0)</f>
        <v>0</v>
      </c>
      <c r="AS288" s="23">
        <f>VALUE(0)</f>
        <v>0</v>
      </c>
      <c r="AT288" s="23">
        <f>VALUE(0)</f>
        <v>0</v>
      </c>
      <c r="AU288" s="23">
        <f>VALUE(6)</f>
        <v>6</v>
      </c>
      <c r="AV288" s="23">
        <f>VALUE(4)</f>
        <v>4</v>
      </c>
      <c r="AW288" s="23">
        <f>VALUE(0)</f>
        <v>0</v>
      </c>
      <c r="AX288" s="23" t="s">
        <v>1296</v>
      </c>
      <c r="AY288" s="23">
        <f>VALUE(0)</f>
        <v>0</v>
      </c>
      <c r="AZ288" s="23">
        <f>VALUE(0)</f>
        <v>0</v>
      </c>
      <c r="BA288" s="23">
        <f>VALUE(0)</f>
        <v>0</v>
      </c>
      <c r="BB288" s="23">
        <f>VALUE(0)</f>
        <v>0</v>
      </c>
      <c r="BC288" s="23">
        <f>VALUE(0)</f>
        <v>0</v>
      </c>
      <c r="BD288" s="23">
        <f>VALUE(0)</f>
        <v>0</v>
      </c>
      <c r="BE288" s="23">
        <f>VALUE(0)</f>
        <v>0</v>
      </c>
      <c r="BF288" s="23">
        <f>VALUE(0)</f>
        <v>0</v>
      </c>
      <c r="BG288" s="23">
        <f>VALUE(0)</f>
        <v>0</v>
      </c>
      <c r="BH288" s="23">
        <f>VALUE(0)</f>
        <v>0</v>
      </c>
      <c r="BI288" s="23">
        <f>VALUE(0)</f>
        <v>0</v>
      </c>
      <c r="BJ288" s="23">
        <f>VALUE(0)</f>
        <v>0</v>
      </c>
      <c r="BK288" s="12">
        <f>$AX$288*24</f>
        <v>35.700000000000003</v>
      </c>
      <c r="BL288" s="12">
        <f>$AY$288*24</f>
        <v>0</v>
      </c>
      <c r="BM288" s="12">
        <f>$BJ$288*24</f>
        <v>0</v>
      </c>
      <c r="BN288" s="12">
        <f>VALUE($I$288)/100</f>
        <v>1</v>
      </c>
      <c r="BO288" s="12">
        <v>0</v>
      </c>
      <c r="BP288" s="12">
        <v>0</v>
      </c>
      <c r="BQ288" s="12">
        <v>0</v>
      </c>
      <c r="BR288" s="12">
        <v>0</v>
      </c>
      <c r="BS288" s="12">
        <v>0</v>
      </c>
      <c r="BT288" s="12">
        <v>0</v>
      </c>
      <c r="BU288" s="12">
        <v>0</v>
      </c>
      <c r="BV288" s="12">
        <v>0</v>
      </c>
      <c r="BW288" s="12">
        <v>0</v>
      </c>
      <c r="BX288" s="12">
        <v>0</v>
      </c>
      <c r="BY288" s="12">
        <v>0</v>
      </c>
      <c r="BZ288" s="12">
        <v>0</v>
      </c>
      <c r="CA288" s="12">
        <v>0</v>
      </c>
    </row>
    <row r="289" spans="1:79" hidden="1" x14ac:dyDescent="0.2">
      <c r="A289" s="12" t="s">
        <v>141</v>
      </c>
      <c r="B289" s="12" t="s">
        <v>143</v>
      </c>
      <c r="C289" s="12" t="s">
        <v>143</v>
      </c>
      <c r="D289" s="22" t="s">
        <v>536</v>
      </c>
      <c r="E289" s="22" t="s">
        <v>159</v>
      </c>
      <c r="F289" s="22" t="s">
        <v>1055</v>
      </c>
      <c r="G289" s="22" t="s">
        <v>1056</v>
      </c>
      <c r="H289" s="22" t="s">
        <v>150</v>
      </c>
      <c r="I289" s="22" t="s">
        <v>151</v>
      </c>
      <c r="J289" s="22" t="s">
        <v>162</v>
      </c>
      <c r="K289" s="22" t="s">
        <v>97</v>
      </c>
      <c r="L289" s="54" t="s">
        <v>153</v>
      </c>
      <c r="M289" s="27" t="s">
        <v>153</v>
      </c>
      <c r="N289" s="27" t="s">
        <v>153</v>
      </c>
      <c r="O289" s="27" t="s">
        <v>153</v>
      </c>
      <c r="P289" s="27" t="s">
        <v>153</v>
      </c>
      <c r="Q289" s="27" t="s">
        <v>153</v>
      </c>
      <c r="R289" s="27" t="s">
        <v>153</v>
      </c>
      <c r="S289" s="27" t="s">
        <v>153</v>
      </c>
      <c r="T289" s="27" t="s">
        <v>153</v>
      </c>
      <c r="U289" s="27" t="s">
        <v>153</v>
      </c>
      <c r="V289" s="54" t="s">
        <v>153</v>
      </c>
      <c r="W289" s="27" t="s">
        <v>153</v>
      </c>
      <c r="X289" s="27" t="s">
        <v>153</v>
      </c>
      <c r="Y289" s="27" t="s">
        <v>153</v>
      </c>
      <c r="Z289" s="27" t="s">
        <v>153</v>
      </c>
      <c r="AA289" s="27" t="s">
        <v>153</v>
      </c>
      <c r="AB289" s="27" t="s">
        <v>153</v>
      </c>
      <c r="AC289" s="27" t="s">
        <v>153</v>
      </c>
      <c r="AD289" s="27" t="s">
        <v>153</v>
      </c>
      <c r="AE289" s="27" t="s">
        <v>153</v>
      </c>
      <c r="AF289" s="27" t="s">
        <v>153</v>
      </c>
      <c r="AG289" s="27" t="s">
        <v>153</v>
      </c>
      <c r="AH289" s="27" t="s">
        <v>153</v>
      </c>
      <c r="AI289" s="27" t="s">
        <v>153</v>
      </c>
      <c r="AJ289" s="27" t="s">
        <v>153</v>
      </c>
      <c r="AK289" s="27" t="s">
        <v>153</v>
      </c>
      <c r="AL289" s="27" t="s">
        <v>153</v>
      </c>
      <c r="AM289" s="27" t="s">
        <v>153</v>
      </c>
      <c r="AN289" s="27" t="s">
        <v>153</v>
      </c>
      <c r="AO289" s="27" t="s">
        <v>153</v>
      </c>
      <c r="AP289" s="23">
        <f>VALUE(0)</f>
        <v>0</v>
      </c>
      <c r="AQ289" s="23">
        <f>VALUE(0)</f>
        <v>0</v>
      </c>
      <c r="AR289" s="23">
        <f>VALUE(0)</f>
        <v>0</v>
      </c>
      <c r="AS289" s="23">
        <f>VALUE(0)</f>
        <v>0</v>
      </c>
      <c r="AT289" s="23">
        <f>VALUE(0)</f>
        <v>0</v>
      </c>
      <c r="AU289" s="23">
        <f>VALUE(0)</f>
        <v>0</v>
      </c>
      <c r="AV289" s="23">
        <f>VALUE(0)</f>
        <v>0</v>
      </c>
      <c r="AW289" s="23">
        <f>VALUE(0)</f>
        <v>0</v>
      </c>
      <c r="AX289" s="23">
        <f>VALUE(0)</f>
        <v>0</v>
      </c>
      <c r="AY289" s="23">
        <f>VALUE(0)</f>
        <v>0</v>
      </c>
      <c r="AZ289" s="23">
        <f>VALUE(0)</f>
        <v>0</v>
      </c>
      <c r="BA289" s="23">
        <f>VALUE(0)</f>
        <v>0</v>
      </c>
      <c r="BB289" s="23">
        <f>VALUE(0)</f>
        <v>0</v>
      </c>
      <c r="BC289" s="23">
        <f>VALUE(0)</f>
        <v>0</v>
      </c>
      <c r="BD289" s="23">
        <f>VALUE(0)</f>
        <v>0</v>
      </c>
      <c r="BE289" s="23">
        <f>VALUE(0)</f>
        <v>0</v>
      </c>
      <c r="BF289" s="23">
        <f>VALUE(0)</f>
        <v>0</v>
      </c>
      <c r="BG289" s="23">
        <f>VALUE(0)</f>
        <v>0</v>
      </c>
      <c r="BH289" s="23">
        <f>VALUE(0)</f>
        <v>0</v>
      </c>
      <c r="BI289" s="23">
        <f>VALUE(0)</f>
        <v>0</v>
      </c>
      <c r="BJ289" s="23">
        <f>VALUE(0)</f>
        <v>0</v>
      </c>
      <c r="BK289" s="12">
        <f>$AX$289*24</f>
        <v>0</v>
      </c>
      <c r="BL289" s="12">
        <f>$AY$289*24</f>
        <v>0</v>
      </c>
      <c r="BM289" s="12">
        <f>$BJ$289*24</f>
        <v>0</v>
      </c>
      <c r="BN289" s="12">
        <f>VALUE($I$289)/100</f>
        <v>1</v>
      </c>
      <c r="BO289" s="12">
        <v>0</v>
      </c>
      <c r="BP289" s="12">
        <v>0</v>
      </c>
      <c r="BQ289" s="12">
        <v>0</v>
      </c>
      <c r="BR289" s="12">
        <v>0</v>
      </c>
      <c r="BS289" s="12">
        <v>0</v>
      </c>
      <c r="BT289" s="12">
        <v>0</v>
      </c>
      <c r="BU289" s="12">
        <v>0</v>
      </c>
      <c r="BV289" s="12">
        <v>0</v>
      </c>
      <c r="BW289" s="12">
        <v>0</v>
      </c>
      <c r="BX289" s="12">
        <v>0</v>
      </c>
      <c r="BY289" s="12">
        <v>0</v>
      </c>
      <c r="BZ289" s="12">
        <v>0</v>
      </c>
      <c r="CA289" s="12">
        <v>0</v>
      </c>
    </row>
    <row r="290" spans="1:79" hidden="1" x14ac:dyDescent="0.2">
      <c r="A290" s="12" t="s">
        <v>141</v>
      </c>
      <c r="B290" s="12" t="s">
        <v>143</v>
      </c>
      <c r="C290" s="12" t="s">
        <v>143</v>
      </c>
      <c r="D290" s="22" t="s">
        <v>435</v>
      </c>
      <c r="E290" s="22" t="s">
        <v>173</v>
      </c>
      <c r="F290" s="22" t="s">
        <v>1057</v>
      </c>
      <c r="G290" s="22" t="s">
        <v>1058</v>
      </c>
      <c r="H290" s="22" t="s">
        <v>150</v>
      </c>
      <c r="I290" s="22" t="s">
        <v>151</v>
      </c>
      <c r="J290" s="22" t="s">
        <v>162</v>
      </c>
      <c r="K290" s="22" t="s">
        <v>97</v>
      </c>
      <c r="L290" s="54" t="s">
        <v>153</v>
      </c>
      <c r="M290" s="23" t="s">
        <v>380</v>
      </c>
      <c r="N290" s="24" t="s">
        <v>153</v>
      </c>
      <c r="O290" s="23" t="s">
        <v>380</v>
      </c>
      <c r="P290" s="23" t="s">
        <v>380</v>
      </c>
      <c r="Q290" s="23" t="s">
        <v>380</v>
      </c>
      <c r="R290" s="23" t="s">
        <v>380</v>
      </c>
      <c r="S290" s="23" t="s">
        <v>380</v>
      </c>
      <c r="T290" s="23" t="s">
        <v>380</v>
      </c>
      <c r="U290" s="24" t="s">
        <v>153</v>
      </c>
      <c r="V290" s="54" t="s">
        <v>153</v>
      </c>
      <c r="W290" s="23" t="s">
        <v>380</v>
      </c>
      <c r="X290" s="23" t="s">
        <v>380</v>
      </c>
      <c r="Y290" s="23" t="s">
        <v>380</v>
      </c>
      <c r="Z290" s="23" t="s">
        <v>380</v>
      </c>
      <c r="AA290" s="23" t="s">
        <v>380</v>
      </c>
      <c r="AB290" s="24" t="s">
        <v>153</v>
      </c>
      <c r="AC290" s="24" t="s">
        <v>156</v>
      </c>
      <c r="AD290" s="24" t="s">
        <v>156</v>
      </c>
      <c r="AE290" s="23" t="s">
        <v>380</v>
      </c>
      <c r="AF290" s="23" t="s">
        <v>380</v>
      </c>
      <c r="AG290" s="23" t="s">
        <v>380</v>
      </c>
      <c r="AH290" s="23" t="s">
        <v>380</v>
      </c>
      <c r="AI290" s="24" t="s">
        <v>153</v>
      </c>
      <c r="AJ290" s="23" t="s">
        <v>380</v>
      </c>
      <c r="AK290" s="23" t="s">
        <v>380</v>
      </c>
      <c r="AL290" s="23" t="s">
        <v>380</v>
      </c>
      <c r="AM290" s="23" t="s">
        <v>380</v>
      </c>
      <c r="AN290" s="23" t="s">
        <v>380</v>
      </c>
      <c r="AO290" s="23" t="s">
        <v>380</v>
      </c>
      <c r="AP290" s="23">
        <f>VALUE(32)</f>
        <v>32</v>
      </c>
      <c r="AQ290" s="23">
        <f>VALUE(0)</f>
        <v>0</v>
      </c>
      <c r="AR290" s="23">
        <f>VALUE(0)</f>
        <v>0</v>
      </c>
      <c r="AS290" s="23">
        <f>VALUE(0)</f>
        <v>0</v>
      </c>
      <c r="AT290" s="23">
        <f>VALUE(0)</f>
        <v>0</v>
      </c>
      <c r="AU290" s="23">
        <f>VALUE(0)</f>
        <v>0</v>
      </c>
      <c r="AV290" s="23">
        <f>VALUE(6)</f>
        <v>6</v>
      </c>
      <c r="AW290" s="23">
        <f>VALUE(0)</f>
        <v>0</v>
      </c>
      <c r="AX290" s="23">
        <f>VALUE(0)</f>
        <v>0</v>
      </c>
      <c r="AY290" s="23">
        <f>VALUE(0)</f>
        <v>0</v>
      </c>
      <c r="AZ290" s="23">
        <f>VALUE(0)</f>
        <v>0</v>
      </c>
      <c r="BA290" s="23">
        <f>VALUE(0)</f>
        <v>0</v>
      </c>
      <c r="BB290" s="23">
        <f>VALUE(0)</f>
        <v>0</v>
      </c>
      <c r="BC290" s="23">
        <f>VALUE(0)</f>
        <v>0</v>
      </c>
      <c r="BD290" s="23">
        <f>VALUE(0)</f>
        <v>0</v>
      </c>
      <c r="BE290" s="23">
        <f>VALUE(0)</f>
        <v>0</v>
      </c>
      <c r="BF290" s="23">
        <f>VALUE(0)</f>
        <v>0</v>
      </c>
      <c r="BG290" s="23">
        <f>VALUE(0)</f>
        <v>0</v>
      </c>
      <c r="BH290" s="23">
        <f>VALUE(0)</f>
        <v>0</v>
      </c>
      <c r="BI290" s="23">
        <f>VALUE(0)</f>
        <v>0</v>
      </c>
      <c r="BJ290" s="23">
        <f>VALUE(0)</f>
        <v>0</v>
      </c>
      <c r="BK290" s="12">
        <f>$AX$290*24</f>
        <v>0</v>
      </c>
      <c r="BL290" s="12">
        <f>$AY$290*24</f>
        <v>0</v>
      </c>
      <c r="BM290" s="12">
        <f>$BJ$290*24</f>
        <v>0</v>
      </c>
      <c r="BN290" s="12">
        <f>VALUE($I$290)/100</f>
        <v>1</v>
      </c>
      <c r="BO290" s="12">
        <v>0</v>
      </c>
      <c r="BP290" s="12">
        <v>0</v>
      </c>
      <c r="BQ290" s="12">
        <v>0</v>
      </c>
      <c r="BR290" s="12">
        <v>0</v>
      </c>
      <c r="BS290" s="12">
        <v>0</v>
      </c>
      <c r="BT290" s="12">
        <v>0</v>
      </c>
      <c r="BU290" s="12">
        <v>0</v>
      </c>
      <c r="BV290" s="12">
        <v>0</v>
      </c>
      <c r="BW290" s="12">
        <v>0</v>
      </c>
      <c r="BX290" s="12">
        <v>0</v>
      </c>
      <c r="BY290" s="12">
        <v>0</v>
      </c>
      <c r="BZ290" s="12">
        <v>0</v>
      </c>
      <c r="CA290" s="12">
        <v>0</v>
      </c>
    </row>
    <row r="291" spans="1:79" ht="15" hidden="1" x14ac:dyDescent="0.25">
      <c r="A291" s="12" t="s">
        <v>141</v>
      </c>
      <c r="B291" s="12" t="s">
        <v>143</v>
      </c>
      <c r="C291" s="12" t="s">
        <v>143</v>
      </c>
      <c r="D291" s="31" t="s">
        <v>202</v>
      </c>
      <c r="E291" s="31" t="s">
        <v>153</v>
      </c>
      <c r="F291" s="31" t="s">
        <v>175</v>
      </c>
      <c r="G291" s="31" t="s">
        <v>153</v>
      </c>
      <c r="H291" s="31" t="s">
        <v>153</v>
      </c>
      <c r="I291" s="31" t="s">
        <v>153</v>
      </c>
      <c r="J291" s="31" t="s">
        <v>153</v>
      </c>
      <c r="K291" s="31" t="s">
        <v>153</v>
      </c>
      <c r="L291" s="31">
        <f>VALUE(0)</f>
        <v>0</v>
      </c>
      <c r="M291" s="31">
        <f>VALUE(10)</f>
        <v>10</v>
      </c>
      <c r="N291" s="31">
        <f>VALUE(0)</f>
        <v>0</v>
      </c>
      <c r="O291" s="31">
        <f>VALUE(11)</f>
        <v>11</v>
      </c>
      <c r="P291" s="31">
        <f>VALUE(11)</f>
        <v>11</v>
      </c>
      <c r="Q291" s="31">
        <f>VALUE(11)</f>
        <v>11</v>
      </c>
      <c r="R291" s="31">
        <f>VALUE(11)</f>
        <v>11</v>
      </c>
      <c r="S291" s="31">
        <f>VALUE(10)</f>
        <v>10</v>
      </c>
      <c r="T291" s="31">
        <f>VALUE(10)</f>
        <v>10</v>
      </c>
      <c r="U291" s="31">
        <f>VALUE(0)</f>
        <v>0</v>
      </c>
      <c r="V291" s="31">
        <f>VALUE(0)</f>
        <v>0</v>
      </c>
      <c r="W291" s="31">
        <f>VALUE(10)</f>
        <v>10</v>
      </c>
      <c r="X291" s="31">
        <f>VALUE(10)</f>
        <v>10</v>
      </c>
      <c r="Y291" s="31">
        <f>VALUE(10)</f>
        <v>10</v>
      </c>
      <c r="Z291" s="31">
        <f>VALUE(11)</f>
        <v>11</v>
      </c>
      <c r="AA291" s="31">
        <f>VALUE(11)</f>
        <v>11</v>
      </c>
      <c r="AB291" s="31">
        <f>VALUE(0)</f>
        <v>0</v>
      </c>
      <c r="AC291" s="31">
        <f>VALUE(10)</f>
        <v>10</v>
      </c>
      <c r="AD291" s="31">
        <f>VALUE(10)</f>
        <v>10</v>
      </c>
      <c r="AE291" s="31">
        <f>VALUE(10)</f>
        <v>10</v>
      </c>
      <c r="AF291" s="31">
        <f>VALUE(10)</f>
        <v>10</v>
      </c>
      <c r="AG291" s="31">
        <f>VALUE(10)</f>
        <v>10</v>
      </c>
      <c r="AH291" s="31">
        <f>VALUE(10)</f>
        <v>10</v>
      </c>
      <c r="AI291" s="31">
        <f>VALUE(0)</f>
        <v>0</v>
      </c>
      <c r="AJ291" s="31">
        <f>VALUE(10)</f>
        <v>10</v>
      </c>
      <c r="AK291" s="31">
        <f>VALUE(10)</f>
        <v>10</v>
      </c>
      <c r="AL291" s="31">
        <f>VALUE(10)</f>
        <v>10</v>
      </c>
      <c r="AM291" s="31">
        <f>VALUE(10)</f>
        <v>10</v>
      </c>
      <c r="AN291" s="31">
        <f>VALUE(12)</f>
        <v>12</v>
      </c>
      <c r="AO291" s="31">
        <f>VALUE(12)</f>
        <v>12</v>
      </c>
      <c r="AP291" s="31">
        <v>0</v>
      </c>
      <c r="AQ291" s="31">
        <v>0</v>
      </c>
      <c r="AR291" s="31">
        <v>0</v>
      </c>
      <c r="AS291" s="31">
        <v>0</v>
      </c>
      <c r="AT291" s="31">
        <v>0</v>
      </c>
      <c r="AU291" s="31">
        <v>0</v>
      </c>
      <c r="AV291" s="31">
        <v>0</v>
      </c>
      <c r="AW291" s="31">
        <v>0</v>
      </c>
      <c r="AX291" s="31">
        <v>0</v>
      </c>
      <c r="AY291" s="31">
        <v>0</v>
      </c>
      <c r="AZ291" s="31">
        <v>0</v>
      </c>
      <c r="BA291" s="31">
        <v>0</v>
      </c>
      <c r="BB291" s="31">
        <v>0</v>
      </c>
      <c r="BC291" s="31">
        <v>0</v>
      </c>
      <c r="BD291" s="31">
        <v>0</v>
      </c>
      <c r="BE291" s="31">
        <v>0</v>
      </c>
      <c r="BF291" s="31">
        <v>0</v>
      </c>
      <c r="BG291" s="31">
        <v>0</v>
      </c>
      <c r="BH291" s="31">
        <v>0</v>
      </c>
      <c r="BI291" s="31">
        <v>0</v>
      </c>
      <c r="BJ291" s="31">
        <v>0</v>
      </c>
      <c r="BK291" s="12">
        <v>0</v>
      </c>
      <c r="BL291" s="12">
        <v>0</v>
      </c>
      <c r="BM291" s="12">
        <v>0</v>
      </c>
      <c r="BN291" s="12"/>
      <c r="BO291" s="12">
        <v>0</v>
      </c>
      <c r="BP291" s="12">
        <v>0</v>
      </c>
      <c r="BQ291" s="12">
        <v>0</v>
      </c>
      <c r="BR291" s="12">
        <v>0</v>
      </c>
      <c r="BS291" s="12">
        <v>0</v>
      </c>
      <c r="BT291" s="12">
        <v>0</v>
      </c>
      <c r="BU291" s="12">
        <v>0</v>
      </c>
      <c r="BV291" s="12">
        <v>0</v>
      </c>
      <c r="BW291" s="12">
        <v>0</v>
      </c>
      <c r="BX291" s="12">
        <v>0</v>
      </c>
      <c r="BY291" s="12">
        <v>0</v>
      </c>
      <c r="BZ291" s="12">
        <v>0</v>
      </c>
      <c r="CA291" s="12">
        <v>0</v>
      </c>
    </row>
    <row r="292" spans="1:79" hidden="1" x14ac:dyDescent="0.2">
      <c r="A292" s="12" t="s">
        <v>141</v>
      </c>
      <c r="B292" s="12" t="s">
        <v>144</v>
      </c>
      <c r="C292" s="12" t="s">
        <v>144</v>
      </c>
      <c r="D292" s="22" t="s">
        <v>1286</v>
      </c>
      <c r="E292" s="22" t="s">
        <v>149</v>
      </c>
      <c r="F292" s="22" t="s">
        <v>1059</v>
      </c>
      <c r="G292" s="22" t="s">
        <v>1060</v>
      </c>
      <c r="H292" s="22" t="s">
        <v>166</v>
      </c>
      <c r="I292" s="22" t="s">
        <v>151</v>
      </c>
      <c r="J292" s="22" t="s">
        <v>524</v>
      </c>
      <c r="K292" s="22" t="s">
        <v>98</v>
      </c>
      <c r="L292" s="54" t="s">
        <v>153</v>
      </c>
      <c r="M292" s="30" t="s">
        <v>28</v>
      </c>
      <c r="N292" s="24" t="s">
        <v>153</v>
      </c>
      <c r="O292" s="28" t="s">
        <v>163</v>
      </c>
      <c r="P292" s="28" t="s">
        <v>163</v>
      </c>
      <c r="Q292" s="28" t="s">
        <v>163</v>
      </c>
      <c r="R292" s="28" t="s">
        <v>163</v>
      </c>
      <c r="S292" s="28" t="s">
        <v>163</v>
      </c>
      <c r="T292" s="28" t="s">
        <v>163</v>
      </c>
      <c r="U292" s="24" t="s">
        <v>153</v>
      </c>
      <c r="V292" s="54" t="s">
        <v>153</v>
      </c>
      <c r="W292" s="23" t="s">
        <v>153</v>
      </c>
      <c r="X292" s="23" t="s">
        <v>537</v>
      </c>
      <c r="Y292" s="23" t="s">
        <v>537</v>
      </c>
      <c r="Z292" s="23" t="s">
        <v>537</v>
      </c>
      <c r="AA292" s="23" t="s">
        <v>537</v>
      </c>
      <c r="AB292" s="24" t="s">
        <v>153</v>
      </c>
      <c r="AC292" s="23" t="s">
        <v>182</v>
      </c>
      <c r="AD292" s="23" t="s">
        <v>182</v>
      </c>
      <c r="AE292" s="23" t="s">
        <v>538</v>
      </c>
      <c r="AF292" s="23" t="s">
        <v>538</v>
      </c>
      <c r="AG292" s="23" t="s">
        <v>539</v>
      </c>
      <c r="AH292" s="23" t="s">
        <v>539</v>
      </c>
      <c r="AI292" s="24" t="s">
        <v>153</v>
      </c>
      <c r="AJ292" s="25" t="s">
        <v>539</v>
      </c>
      <c r="AK292" s="25" t="s">
        <v>539</v>
      </c>
      <c r="AL292" s="25" t="s">
        <v>539</v>
      </c>
      <c r="AM292" s="25" t="s">
        <v>539</v>
      </c>
      <c r="AN292" s="25" t="s">
        <v>539</v>
      </c>
      <c r="AO292" s="25" t="s">
        <v>539</v>
      </c>
      <c r="AP292" s="23">
        <f>VALUE(23)</f>
        <v>23</v>
      </c>
      <c r="AQ292" s="23">
        <f>VALUE(0)</f>
        <v>0</v>
      </c>
      <c r="AR292" s="23">
        <f>VALUE(0)</f>
        <v>0</v>
      </c>
      <c r="AS292" s="23">
        <f>VALUE(0)</f>
        <v>0</v>
      </c>
      <c r="AT292" s="23">
        <f>VALUE(0)</f>
        <v>0</v>
      </c>
      <c r="AU292" s="23">
        <f>VALUE(6)</f>
        <v>6</v>
      </c>
      <c r="AV292" s="23">
        <f>VALUE(2)</f>
        <v>2</v>
      </c>
      <c r="AW292" s="23">
        <f>VALUE(0)</f>
        <v>0</v>
      </c>
      <c r="AX292" s="23" t="s">
        <v>1297</v>
      </c>
      <c r="AY292" s="23">
        <f>VALUE(0)</f>
        <v>0</v>
      </c>
      <c r="AZ292" s="23">
        <f>VALUE(0)</f>
        <v>0</v>
      </c>
      <c r="BA292" s="23">
        <f>VALUE(0)</f>
        <v>0</v>
      </c>
      <c r="BB292" s="23">
        <f>VALUE(0)</f>
        <v>0</v>
      </c>
      <c r="BC292" s="23">
        <f>VALUE(0)</f>
        <v>0</v>
      </c>
      <c r="BD292" s="23">
        <f>VALUE(0)</f>
        <v>0</v>
      </c>
      <c r="BE292" s="23">
        <f>VALUE(0)</f>
        <v>0</v>
      </c>
      <c r="BF292" s="23">
        <f>VALUE(0)</f>
        <v>0</v>
      </c>
      <c r="BG292" s="23">
        <f>VALUE(0)</f>
        <v>0</v>
      </c>
      <c r="BH292" s="23">
        <f>VALUE(0)</f>
        <v>0</v>
      </c>
      <c r="BI292" s="23">
        <f>VALUE(0)</f>
        <v>0</v>
      </c>
      <c r="BJ292" s="23">
        <f>VALUE(0)</f>
        <v>0</v>
      </c>
      <c r="BK292" s="12">
        <f>$AX$292*24</f>
        <v>96.483333333333334</v>
      </c>
      <c r="BL292" s="12">
        <f>$AY$292*24</f>
        <v>0</v>
      </c>
      <c r="BM292" s="12">
        <f>$BJ$292*24</f>
        <v>0</v>
      </c>
      <c r="BN292" s="12">
        <f>VALUE($I$292)/100</f>
        <v>1</v>
      </c>
      <c r="BO292" s="12">
        <v>0</v>
      </c>
      <c r="BP292" s="12">
        <v>0</v>
      </c>
      <c r="BQ292" s="12">
        <v>1</v>
      </c>
      <c r="BR292" s="12">
        <v>0</v>
      </c>
      <c r="BS292" s="12">
        <v>0</v>
      </c>
      <c r="BT292" s="12">
        <v>0</v>
      </c>
      <c r="BU292" s="12">
        <v>0</v>
      </c>
      <c r="BV292" s="12">
        <v>0</v>
      </c>
      <c r="BW292" s="12">
        <v>0</v>
      </c>
      <c r="BX292" s="12">
        <v>0</v>
      </c>
      <c r="BY292" s="12">
        <v>0</v>
      </c>
      <c r="BZ292" s="12">
        <v>0</v>
      </c>
      <c r="CA292" s="12">
        <v>0</v>
      </c>
    </row>
    <row r="293" spans="1:79" ht="16.5" hidden="1" x14ac:dyDescent="0.2">
      <c r="A293" s="12" t="s">
        <v>141</v>
      </c>
      <c r="B293" s="12" t="s">
        <v>144</v>
      </c>
      <c r="C293" s="12" t="s">
        <v>144</v>
      </c>
      <c r="D293" s="22" t="s">
        <v>1298</v>
      </c>
      <c r="E293" s="22" t="s">
        <v>161</v>
      </c>
      <c r="F293" s="22" t="s">
        <v>1061</v>
      </c>
      <c r="G293" s="22" t="s">
        <v>1062</v>
      </c>
      <c r="H293" s="22" t="s">
        <v>150</v>
      </c>
      <c r="I293" s="22" t="s">
        <v>151</v>
      </c>
      <c r="J293" s="22" t="s">
        <v>530</v>
      </c>
      <c r="K293" s="22" t="s">
        <v>98</v>
      </c>
      <c r="L293" s="54" t="s">
        <v>153</v>
      </c>
      <c r="M293" s="26" t="s">
        <v>1299</v>
      </c>
      <c r="N293" s="24" t="s">
        <v>153</v>
      </c>
      <c r="O293" s="23" t="s">
        <v>540</v>
      </c>
      <c r="P293" s="23" t="s">
        <v>540</v>
      </c>
      <c r="Q293" s="23" t="s">
        <v>153</v>
      </c>
      <c r="R293" s="23" t="s">
        <v>153</v>
      </c>
      <c r="S293" s="23" t="s">
        <v>153</v>
      </c>
      <c r="T293" s="26" t="s">
        <v>1299</v>
      </c>
      <c r="U293" s="24" t="s">
        <v>153</v>
      </c>
      <c r="V293" s="54" t="s">
        <v>153</v>
      </c>
      <c r="W293" s="23" t="s">
        <v>153</v>
      </c>
      <c r="X293" s="23" t="s">
        <v>153</v>
      </c>
      <c r="Y293" s="23" t="s">
        <v>153</v>
      </c>
      <c r="Z293" s="23" t="s">
        <v>153</v>
      </c>
      <c r="AA293" s="26" t="s">
        <v>1299</v>
      </c>
      <c r="AB293" s="24" t="s">
        <v>153</v>
      </c>
      <c r="AC293" s="23" t="s">
        <v>153</v>
      </c>
      <c r="AD293" s="23" t="s">
        <v>153</v>
      </c>
      <c r="AE293" s="23" t="s">
        <v>153</v>
      </c>
      <c r="AF293" s="23" t="s">
        <v>153</v>
      </c>
      <c r="AG293" s="23" t="s">
        <v>153</v>
      </c>
      <c r="AH293" s="26" t="s">
        <v>1299</v>
      </c>
      <c r="AI293" s="24" t="s">
        <v>153</v>
      </c>
      <c r="AJ293" s="23" t="s">
        <v>153</v>
      </c>
      <c r="AK293" s="23" t="s">
        <v>153</v>
      </c>
      <c r="AL293" s="24" t="s">
        <v>156</v>
      </c>
      <c r="AM293" s="24" t="s">
        <v>156</v>
      </c>
      <c r="AN293" s="23" t="s">
        <v>153</v>
      </c>
      <c r="AO293" s="26" t="s">
        <v>1299</v>
      </c>
      <c r="AP293" s="23">
        <f>VALUE(32)</f>
        <v>32</v>
      </c>
      <c r="AQ293" s="23">
        <f>VALUE(0)</f>
        <v>0</v>
      </c>
      <c r="AR293" s="23">
        <f>VALUE(0)</f>
        <v>0</v>
      </c>
      <c r="AS293" s="23">
        <f>VALUE(0)</f>
        <v>0</v>
      </c>
      <c r="AT293" s="23">
        <f>VALUE(0)</f>
        <v>0</v>
      </c>
      <c r="AU293" s="23">
        <f>VALUE(0)</f>
        <v>0</v>
      </c>
      <c r="AV293" s="23">
        <f>VALUE(2)</f>
        <v>2</v>
      </c>
      <c r="AW293" s="23">
        <f>VALUE(0)</f>
        <v>0</v>
      </c>
      <c r="AX293" s="23" t="s">
        <v>158</v>
      </c>
      <c r="AY293" s="23" t="s">
        <v>1300</v>
      </c>
      <c r="AZ293" s="23">
        <f>VALUE(0)</f>
        <v>0</v>
      </c>
      <c r="BA293" s="23">
        <f>VALUE(0)</f>
        <v>0</v>
      </c>
      <c r="BB293" s="23">
        <f>VALUE(0)</f>
        <v>0</v>
      </c>
      <c r="BC293" s="23">
        <f>VALUE(0)</f>
        <v>0</v>
      </c>
      <c r="BD293" s="23">
        <f>VALUE(0)</f>
        <v>0</v>
      </c>
      <c r="BE293" s="23">
        <f>VALUE(0)</f>
        <v>0</v>
      </c>
      <c r="BF293" s="23">
        <f>VALUE(0)</f>
        <v>0</v>
      </c>
      <c r="BG293" s="23">
        <f>VALUE(0)</f>
        <v>0</v>
      </c>
      <c r="BH293" s="23">
        <f>VALUE(0)</f>
        <v>0</v>
      </c>
      <c r="BI293" s="23">
        <f>VALUE(0)</f>
        <v>0</v>
      </c>
      <c r="BJ293" s="23">
        <f>VALUE(0)</f>
        <v>0</v>
      </c>
      <c r="BK293" s="12">
        <f>$AX$293*24</f>
        <v>11.666666666666666</v>
      </c>
      <c r="BL293" s="12">
        <f>$AY$293*24</f>
        <v>5.7</v>
      </c>
      <c r="BM293" s="12">
        <f>$BJ$293*24</f>
        <v>0</v>
      </c>
      <c r="BN293" s="12">
        <f>VALUE($I$293)/100</f>
        <v>1</v>
      </c>
      <c r="BO293" s="12">
        <v>0</v>
      </c>
      <c r="BP293" s="12">
        <v>0</v>
      </c>
      <c r="BQ293" s="12">
        <v>0</v>
      </c>
      <c r="BR293" s="12">
        <v>0</v>
      </c>
      <c r="BS293" s="12">
        <v>0</v>
      </c>
      <c r="BT293" s="12">
        <v>0</v>
      </c>
      <c r="BU293" s="12">
        <v>0</v>
      </c>
      <c r="BV293" s="12">
        <v>0</v>
      </c>
      <c r="BW293" s="12">
        <v>0</v>
      </c>
      <c r="BX293" s="12">
        <v>0</v>
      </c>
      <c r="BY293" s="12">
        <v>0</v>
      </c>
      <c r="BZ293" s="12">
        <v>0</v>
      </c>
      <c r="CA293" s="12">
        <v>0</v>
      </c>
    </row>
    <row r="294" spans="1:79" hidden="1" x14ac:dyDescent="0.2">
      <c r="A294" s="12" t="s">
        <v>141</v>
      </c>
      <c r="B294" s="12" t="s">
        <v>144</v>
      </c>
      <c r="C294" s="12" t="s">
        <v>144</v>
      </c>
      <c r="D294" s="22" t="s">
        <v>542</v>
      </c>
      <c r="E294" s="22" t="s">
        <v>161</v>
      </c>
      <c r="F294" s="22" t="s">
        <v>1063</v>
      </c>
      <c r="G294" s="22" t="s">
        <v>1064</v>
      </c>
      <c r="H294" s="22" t="s">
        <v>166</v>
      </c>
      <c r="I294" s="22" t="s">
        <v>151</v>
      </c>
      <c r="J294" s="22" t="s">
        <v>162</v>
      </c>
      <c r="K294" s="22" t="s">
        <v>98</v>
      </c>
      <c r="L294" s="54" t="s">
        <v>153</v>
      </c>
      <c r="M294" s="23" t="s">
        <v>153</v>
      </c>
      <c r="N294" s="24" t="s">
        <v>153</v>
      </c>
      <c r="O294" s="23" t="s">
        <v>153</v>
      </c>
      <c r="P294" s="23" t="s">
        <v>153</v>
      </c>
      <c r="Q294" s="23" t="s">
        <v>153</v>
      </c>
      <c r="R294" s="23" t="s">
        <v>153</v>
      </c>
      <c r="S294" s="24" t="s">
        <v>156</v>
      </c>
      <c r="T294" s="24" t="s">
        <v>156</v>
      </c>
      <c r="U294" s="24" t="s">
        <v>153</v>
      </c>
      <c r="V294" s="54" t="s">
        <v>153</v>
      </c>
      <c r="W294" s="23" t="s">
        <v>153</v>
      </c>
      <c r="X294" s="23" t="s">
        <v>153</v>
      </c>
      <c r="Y294" s="23" t="s">
        <v>153</v>
      </c>
      <c r="Z294" s="23" t="s">
        <v>153</v>
      </c>
      <c r="AA294" s="23" t="s">
        <v>153</v>
      </c>
      <c r="AB294" s="24" t="s">
        <v>153</v>
      </c>
      <c r="AC294" s="23" t="s">
        <v>153</v>
      </c>
      <c r="AD294" s="23" t="s">
        <v>153</v>
      </c>
      <c r="AE294" s="23" t="s">
        <v>153</v>
      </c>
      <c r="AF294" s="23" t="s">
        <v>153</v>
      </c>
      <c r="AG294" s="23" t="s">
        <v>153</v>
      </c>
      <c r="AH294" s="23" t="s">
        <v>153</v>
      </c>
      <c r="AI294" s="24" t="s">
        <v>153</v>
      </c>
      <c r="AJ294" s="23" t="s">
        <v>153</v>
      </c>
      <c r="AK294" s="23" t="s">
        <v>153</v>
      </c>
      <c r="AL294" s="23" t="s">
        <v>153</v>
      </c>
      <c r="AM294" s="23" t="s">
        <v>153</v>
      </c>
      <c r="AN294" s="23" t="s">
        <v>153</v>
      </c>
      <c r="AO294" s="23" t="s">
        <v>153</v>
      </c>
      <c r="AP294" s="23">
        <f>VALUE(30)</f>
        <v>30</v>
      </c>
      <c r="AQ294" s="23">
        <f>VALUE(0)</f>
        <v>0</v>
      </c>
      <c r="AR294" s="23">
        <f>VALUE(0)</f>
        <v>0</v>
      </c>
      <c r="AS294" s="23">
        <f>VALUE(0)</f>
        <v>0</v>
      </c>
      <c r="AT294" s="23">
        <f>VALUE(0)</f>
        <v>0</v>
      </c>
      <c r="AU294" s="23">
        <f>VALUE(0)</f>
        <v>0</v>
      </c>
      <c r="AV294" s="23">
        <f>VALUE(8)</f>
        <v>8</v>
      </c>
      <c r="AW294" s="23">
        <f>VALUE(0)</f>
        <v>0</v>
      </c>
      <c r="AX294" s="23" t="s">
        <v>1301</v>
      </c>
      <c r="AY294" s="23">
        <f>VALUE(0)</f>
        <v>0</v>
      </c>
      <c r="AZ294" s="23">
        <f>VALUE(0)</f>
        <v>0</v>
      </c>
      <c r="BA294" s="23">
        <f>VALUE(0)</f>
        <v>0</v>
      </c>
      <c r="BB294" s="23">
        <f>VALUE(0)</f>
        <v>0</v>
      </c>
      <c r="BC294" s="23">
        <f>VALUE(0)</f>
        <v>0</v>
      </c>
      <c r="BD294" s="23">
        <f>VALUE(0)</f>
        <v>0</v>
      </c>
      <c r="BE294" s="23">
        <f>VALUE(0)</f>
        <v>0</v>
      </c>
      <c r="BF294" s="23">
        <f>VALUE(0)</f>
        <v>0</v>
      </c>
      <c r="BG294" s="23">
        <f>VALUE(0)</f>
        <v>0</v>
      </c>
      <c r="BH294" s="23">
        <f>VALUE(0)</f>
        <v>0</v>
      </c>
      <c r="BI294" s="23">
        <f>VALUE(0)</f>
        <v>0</v>
      </c>
      <c r="BJ294" s="23">
        <f>VALUE(0)</f>
        <v>0</v>
      </c>
      <c r="BK294" s="12">
        <f>$AX$294*24</f>
        <v>18.816666666666666</v>
      </c>
      <c r="BL294" s="12">
        <f>$AY$294*24</f>
        <v>0</v>
      </c>
      <c r="BM294" s="12">
        <f>$BJ$294*24</f>
        <v>0</v>
      </c>
      <c r="BN294" s="12">
        <f>VALUE($I$294)/100</f>
        <v>1</v>
      </c>
      <c r="BO294" s="12">
        <v>0</v>
      </c>
      <c r="BP294" s="12">
        <v>0</v>
      </c>
      <c r="BQ294" s="12">
        <v>0</v>
      </c>
      <c r="BR294" s="12">
        <v>0</v>
      </c>
      <c r="BS294" s="12">
        <v>0</v>
      </c>
      <c r="BT294" s="12">
        <v>0</v>
      </c>
      <c r="BU294" s="12">
        <v>0</v>
      </c>
      <c r="BV294" s="12">
        <v>0</v>
      </c>
      <c r="BW294" s="12">
        <v>0</v>
      </c>
      <c r="BX294" s="12">
        <v>0</v>
      </c>
      <c r="BY294" s="12">
        <v>0</v>
      </c>
      <c r="BZ294" s="12">
        <v>0</v>
      </c>
      <c r="CA294" s="12">
        <v>0</v>
      </c>
    </row>
    <row r="295" spans="1:79" hidden="1" x14ac:dyDescent="0.2">
      <c r="A295" s="12" t="s">
        <v>141</v>
      </c>
      <c r="B295" s="12" t="s">
        <v>144</v>
      </c>
      <c r="C295" s="12" t="s">
        <v>144</v>
      </c>
      <c r="D295" s="22" t="s">
        <v>537</v>
      </c>
      <c r="E295" s="22" t="s">
        <v>161</v>
      </c>
      <c r="F295" s="22" t="s">
        <v>1065</v>
      </c>
      <c r="G295" s="22" t="s">
        <v>1066</v>
      </c>
      <c r="H295" s="22" t="s">
        <v>150</v>
      </c>
      <c r="I295" s="22" t="s">
        <v>151</v>
      </c>
      <c r="J295" s="22" t="s">
        <v>162</v>
      </c>
      <c r="K295" s="22" t="s">
        <v>98</v>
      </c>
      <c r="L295" s="54" t="s">
        <v>153</v>
      </c>
      <c r="M295" s="23" t="s">
        <v>153</v>
      </c>
      <c r="N295" s="24" t="s">
        <v>153</v>
      </c>
      <c r="O295" s="23" t="s">
        <v>153</v>
      </c>
      <c r="P295" s="23" t="s">
        <v>153</v>
      </c>
      <c r="Q295" s="24" t="s">
        <v>156</v>
      </c>
      <c r="R295" s="24" t="s">
        <v>156</v>
      </c>
      <c r="S295" s="23" t="s">
        <v>153</v>
      </c>
      <c r="T295" s="23" t="s">
        <v>153</v>
      </c>
      <c r="U295" s="24" t="s">
        <v>153</v>
      </c>
      <c r="V295" s="54" t="s">
        <v>153</v>
      </c>
      <c r="W295" s="28" t="s">
        <v>163</v>
      </c>
      <c r="X295" s="28" t="s">
        <v>163</v>
      </c>
      <c r="Y295" s="28" t="s">
        <v>163</v>
      </c>
      <c r="Z295" s="28" t="s">
        <v>163</v>
      </c>
      <c r="AA295" s="28" t="s">
        <v>163</v>
      </c>
      <c r="AB295" s="24" t="s">
        <v>153</v>
      </c>
      <c r="AC295" s="28" t="s">
        <v>163</v>
      </c>
      <c r="AD295" s="28" t="s">
        <v>163</v>
      </c>
      <c r="AE295" s="28" t="s">
        <v>163</v>
      </c>
      <c r="AF295" s="28" t="s">
        <v>163</v>
      </c>
      <c r="AG295" s="28" t="s">
        <v>163</v>
      </c>
      <c r="AH295" s="28" t="s">
        <v>163</v>
      </c>
      <c r="AI295" s="24" t="s">
        <v>153</v>
      </c>
      <c r="AJ295" s="23" t="s">
        <v>153</v>
      </c>
      <c r="AK295" s="23" t="s">
        <v>153</v>
      </c>
      <c r="AL295" s="23" t="s">
        <v>153</v>
      </c>
      <c r="AM295" s="23" t="s">
        <v>153</v>
      </c>
      <c r="AN295" s="23" t="s">
        <v>153</v>
      </c>
      <c r="AO295" s="23" t="s">
        <v>153</v>
      </c>
      <c r="AP295" s="23">
        <f>VALUE(35)</f>
        <v>35</v>
      </c>
      <c r="AQ295" s="23">
        <f>VALUE(0)</f>
        <v>0</v>
      </c>
      <c r="AR295" s="23">
        <f>VALUE(0)</f>
        <v>0</v>
      </c>
      <c r="AS295" s="23">
        <f>VALUE(0)</f>
        <v>0</v>
      </c>
      <c r="AT295" s="23">
        <f>VALUE(0)</f>
        <v>0</v>
      </c>
      <c r="AU295" s="23">
        <f>VALUE(11)</f>
        <v>11</v>
      </c>
      <c r="AV295" s="23">
        <f>VALUE(2)</f>
        <v>2</v>
      </c>
      <c r="AW295" s="23">
        <f>VALUE(0)</f>
        <v>0</v>
      </c>
      <c r="AX295" s="23">
        <f>VALUE(0)</f>
        <v>0</v>
      </c>
      <c r="AY295" s="23" t="s">
        <v>543</v>
      </c>
      <c r="AZ295" s="23">
        <f>VALUE(0)</f>
        <v>0</v>
      </c>
      <c r="BA295" s="23">
        <f>VALUE(0)</f>
        <v>0</v>
      </c>
      <c r="BB295" s="23">
        <f>VALUE(0)</f>
        <v>0</v>
      </c>
      <c r="BC295" s="23">
        <f>VALUE(0)</f>
        <v>0</v>
      </c>
      <c r="BD295" s="23">
        <f>VALUE(0)</f>
        <v>0</v>
      </c>
      <c r="BE295" s="23">
        <f>VALUE(0)</f>
        <v>0</v>
      </c>
      <c r="BF295" s="23">
        <f>VALUE(0)</f>
        <v>0</v>
      </c>
      <c r="BG295" s="23">
        <f>VALUE(0)</f>
        <v>0</v>
      </c>
      <c r="BH295" s="23">
        <f>VALUE(0)</f>
        <v>0</v>
      </c>
      <c r="BI295" s="23">
        <f>VALUE(0)</f>
        <v>0</v>
      </c>
      <c r="BJ295" s="23">
        <f>VALUE(0)</f>
        <v>0</v>
      </c>
      <c r="BK295" s="12">
        <f>$AX$295*24</f>
        <v>0</v>
      </c>
      <c r="BL295" s="12">
        <f>$AY$295*24</f>
        <v>33.116666666666667</v>
      </c>
      <c r="BM295" s="12">
        <f>$BJ$295*24</f>
        <v>0</v>
      </c>
      <c r="BN295" s="12">
        <f>VALUE($I$295)/100</f>
        <v>1</v>
      </c>
      <c r="BO295" s="12">
        <v>0</v>
      </c>
      <c r="BP295" s="12">
        <v>0</v>
      </c>
      <c r="BQ295" s="12">
        <v>0</v>
      </c>
      <c r="BR295" s="12">
        <v>0</v>
      </c>
      <c r="BS295" s="12">
        <v>0</v>
      </c>
      <c r="BT295" s="12">
        <v>0</v>
      </c>
      <c r="BU295" s="12">
        <v>0</v>
      </c>
      <c r="BV295" s="12">
        <v>0</v>
      </c>
      <c r="BW295" s="12">
        <v>0</v>
      </c>
      <c r="BX295" s="12">
        <v>0</v>
      </c>
      <c r="BY295" s="12">
        <v>0</v>
      </c>
      <c r="BZ295" s="12">
        <v>0</v>
      </c>
      <c r="CA295" s="12">
        <v>0</v>
      </c>
    </row>
    <row r="296" spans="1:79" hidden="1" x14ac:dyDescent="0.2">
      <c r="A296" s="12" t="s">
        <v>141</v>
      </c>
      <c r="B296" s="12" t="s">
        <v>144</v>
      </c>
      <c r="C296" s="12" t="s">
        <v>144</v>
      </c>
      <c r="D296" s="22" t="s">
        <v>539</v>
      </c>
      <c r="E296" s="22" t="s">
        <v>161</v>
      </c>
      <c r="F296" s="22" t="s">
        <v>1302</v>
      </c>
      <c r="G296" s="22" t="s">
        <v>1067</v>
      </c>
      <c r="H296" s="22" t="s">
        <v>150</v>
      </c>
      <c r="I296" s="22" t="s">
        <v>151</v>
      </c>
      <c r="J296" s="22" t="s">
        <v>162</v>
      </c>
      <c r="K296" s="22" t="s">
        <v>98</v>
      </c>
      <c r="L296" s="54" t="s">
        <v>153</v>
      </c>
      <c r="M296" s="23" t="s">
        <v>153</v>
      </c>
      <c r="N296" s="24" t="s">
        <v>153</v>
      </c>
      <c r="O296" s="23" t="s">
        <v>153</v>
      </c>
      <c r="P296" s="23" t="s">
        <v>153</v>
      </c>
      <c r="Q296" s="23" t="s">
        <v>153</v>
      </c>
      <c r="R296" s="23" t="s">
        <v>153</v>
      </c>
      <c r="S296" s="23" t="s">
        <v>153</v>
      </c>
      <c r="T296" s="23" t="s">
        <v>153</v>
      </c>
      <c r="U296" s="24" t="s">
        <v>153</v>
      </c>
      <c r="V296" s="54" t="s">
        <v>153</v>
      </c>
      <c r="W296" s="23" t="s">
        <v>153</v>
      </c>
      <c r="X296" s="23" t="s">
        <v>153</v>
      </c>
      <c r="Y296" s="23" t="s">
        <v>153</v>
      </c>
      <c r="Z296" s="23" t="s">
        <v>153</v>
      </c>
      <c r="AA296" s="23" t="s">
        <v>153</v>
      </c>
      <c r="AB296" s="24" t="s">
        <v>153</v>
      </c>
      <c r="AC296" s="23" t="s">
        <v>153</v>
      </c>
      <c r="AD296" s="23" t="s">
        <v>153</v>
      </c>
      <c r="AE296" s="23" t="s">
        <v>153</v>
      </c>
      <c r="AF296" s="23" t="s">
        <v>153</v>
      </c>
      <c r="AG296" s="24" t="s">
        <v>156</v>
      </c>
      <c r="AH296" s="24" t="s">
        <v>156</v>
      </c>
      <c r="AI296" s="24" t="s">
        <v>153</v>
      </c>
      <c r="AJ296" s="23" t="s">
        <v>153</v>
      </c>
      <c r="AK296" s="23" t="s">
        <v>153</v>
      </c>
      <c r="AL296" s="23" t="s">
        <v>153</v>
      </c>
      <c r="AM296" s="23" t="s">
        <v>153</v>
      </c>
      <c r="AN296" s="23" t="s">
        <v>153</v>
      </c>
      <c r="AO296" s="23" t="s">
        <v>153</v>
      </c>
      <c r="AP296" s="23">
        <f>VALUE(34)</f>
        <v>34</v>
      </c>
      <c r="AQ296" s="23">
        <f>VALUE(0)</f>
        <v>0</v>
      </c>
      <c r="AR296" s="23">
        <f>VALUE(0)</f>
        <v>0</v>
      </c>
      <c r="AS296" s="23">
        <f>VALUE(0)</f>
        <v>0</v>
      </c>
      <c r="AT296" s="23">
        <f>VALUE(0)</f>
        <v>0</v>
      </c>
      <c r="AU296" s="23">
        <f>VALUE(0)</f>
        <v>0</v>
      </c>
      <c r="AV296" s="23">
        <f>VALUE(2)</f>
        <v>2</v>
      </c>
      <c r="AW296" s="23">
        <f>VALUE(0)</f>
        <v>0</v>
      </c>
      <c r="AX296" s="23" t="s">
        <v>158</v>
      </c>
      <c r="AY296" s="23" t="s">
        <v>544</v>
      </c>
      <c r="AZ296" s="23">
        <f>VALUE(0)</f>
        <v>0</v>
      </c>
      <c r="BA296" s="23">
        <f>VALUE(0)</f>
        <v>0</v>
      </c>
      <c r="BB296" s="23">
        <f>VALUE(0)</f>
        <v>0</v>
      </c>
      <c r="BC296" s="23">
        <f>VALUE(0)</f>
        <v>0</v>
      </c>
      <c r="BD296" s="23">
        <f>VALUE(0)</f>
        <v>0</v>
      </c>
      <c r="BE296" s="23">
        <f>VALUE(0)</f>
        <v>0</v>
      </c>
      <c r="BF296" s="23">
        <f>VALUE(0)</f>
        <v>0</v>
      </c>
      <c r="BG296" s="23">
        <f>VALUE(0)</f>
        <v>0</v>
      </c>
      <c r="BH296" s="23">
        <f>VALUE(0)</f>
        <v>0</v>
      </c>
      <c r="BI296" s="23">
        <f>VALUE(0)</f>
        <v>0</v>
      </c>
      <c r="BJ296" s="23">
        <f>VALUE(0)</f>
        <v>0</v>
      </c>
      <c r="BK296" s="12">
        <f>$AX$296*24</f>
        <v>11.666666666666666</v>
      </c>
      <c r="BL296" s="12">
        <f>$AY$296*24</f>
        <v>21.933333333333334</v>
      </c>
      <c r="BM296" s="12">
        <f>$BJ$296*24</f>
        <v>0</v>
      </c>
      <c r="BN296" s="12">
        <f>VALUE($I$296)/100</f>
        <v>1</v>
      </c>
      <c r="BO296" s="12">
        <v>0</v>
      </c>
      <c r="BP296" s="12">
        <v>0</v>
      </c>
      <c r="BQ296" s="12">
        <v>0</v>
      </c>
      <c r="BR296" s="12">
        <v>0</v>
      </c>
      <c r="BS296" s="12">
        <v>0</v>
      </c>
      <c r="BT296" s="12">
        <v>0</v>
      </c>
      <c r="BU296" s="12">
        <v>0</v>
      </c>
      <c r="BV296" s="12">
        <v>0</v>
      </c>
      <c r="BW296" s="12">
        <v>0</v>
      </c>
      <c r="BX296" s="12">
        <v>0</v>
      </c>
      <c r="BY296" s="12">
        <v>0</v>
      </c>
      <c r="BZ296" s="12">
        <v>0</v>
      </c>
      <c r="CA296" s="12">
        <v>0</v>
      </c>
    </row>
    <row r="297" spans="1:79" hidden="1" x14ac:dyDescent="0.2">
      <c r="A297" s="12" t="s">
        <v>141</v>
      </c>
      <c r="B297" s="12" t="s">
        <v>144</v>
      </c>
      <c r="C297" s="12" t="s">
        <v>144</v>
      </c>
      <c r="D297" s="22" t="s">
        <v>545</v>
      </c>
      <c r="E297" s="22" t="s">
        <v>161</v>
      </c>
      <c r="F297" s="22" t="s">
        <v>1068</v>
      </c>
      <c r="G297" s="22" t="s">
        <v>1069</v>
      </c>
      <c r="H297" s="22" t="s">
        <v>150</v>
      </c>
      <c r="I297" s="22" t="s">
        <v>151</v>
      </c>
      <c r="J297" s="22" t="s">
        <v>162</v>
      </c>
      <c r="K297" s="22" t="s">
        <v>98</v>
      </c>
      <c r="L297" s="54" t="s">
        <v>153</v>
      </c>
      <c r="M297" s="23" t="s">
        <v>153</v>
      </c>
      <c r="N297" s="24" t="s">
        <v>153</v>
      </c>
      <c r="O297" s="23" t="s">
        <v>153</v>
      </c>
      <c r="P297" s="23" t="s">
        <v>153</v>
      </c>
      <c r="Q297" s="23" t="s">
        <v>153</v>
      </c>
      <c r="R297" s="23" t="s">
        <v>153</v>
      </c>
      <c r="S297" s="23" t="s">
        <v>153</v>
      </c>
      <c r="T297" s="23" t="s">
        <v>153</v>
      </c>
      <c r="U297" s="24" t="s">
        <v>153</v>
      </c>
      <c r="V297" s="54" t="s">
        <v>153</v>
      </c>
      <c r="W297" s="23" t="s">
        <v>153</v>
      </c>
      <c r="X297" s="23" t="s">
        <v>153</v>
      </c>
      <c r="Y297" s="23" t="s">
        <v>153</v>
      </c>
      <c r="Z297" s="23" t="s">
        <v>153</v>
      </c>
      <c r="AA297" s="23" t="s">
        <v>153</v>
      </c>
      <c r="AB297" s="24" t="s">
        <v>153</v>
      </c>
      <c r="AC297" s="23" t="s">
        <v>153</v>
      </c>
      <c r="AD297" s="23" t="s">
        <v>153</v>
      </c>
      <c r="AE297" s="23" t="s">
        <v>153</v>
      </c>
      <c r="AF297" s="23" t="s">
        <v>153</v>
      </c>
      <c r="AG297" s="23" t="s">
        <v>153</v>
      </c>
      <c r="AH297" s="23" t="s">
        <v>153</v>
      </c>
      <c r="AI297" s="24" t="s">
        <v>153</v>
      </c>
      <c r="AJ297" s="23" t="s">
        <v>153</v>
      </c>
      <c r="AK297" s="23" t="s">
        <v>153</v>
      </c>
      <c r="AL297" s="23" t="s">
        <v>153</v>
      </c>
      <c r="AM297" s="23" t="s">
        <v>153</v>
      </c>
      <c r="AN297" s="24" t="s">
        <v>156</v>
      </c>
      <c r="AO297" s="24" t="s">
        <v>156</v>
      </c>
      <c r="AP297" s="23">
        <f>VALUE(34)</f>
        <v>34</v>
      </c>
      <c r="AQ297" s="23">
        <f>VALUE(0)</f>
        <v>0</v>
      </c>
      <c r="AR297" s="23">
        <f>VALUE(0)</f>
        <v>0</v>
      </c>
      <c r="AS297" s="23">
        <f>VALUE(0)</f>
        <v>0</v>
      </c>
      <c r="AT297" s="23">
        <f>VALUE(0)</f>
        <v>0</v>
      </c>
      <c r="AU297" s="23">
        <f>VALUE(0)</f>
        <v>0</v>
      </c>
      <c r="AV297" s="23">
        <f>VALUE(2)</f>
        <v>2</v>
      </c>
      <c r="AW297" s="23">
        <f>VALUE(0)</f>
        <v>0</v>
      </c>
      <c r="AX297" s="23" t="s">
        <v>176</v>
      </c>
      <c r="AY297" s="23" t="s">
        <v>244</v>
      </c>
      <c r="AZ297" s="23">
        <f>VALUE(0)</f>
        <v>0</v>
      </c>
      <c r="BA297" s="23">
        <f>VALUE(0)</f>
        <v>0</v>
      </c>
      <c r="BB297" s="23">
        <f>VALUE(0)</f>
        <v>0</v>
      </c>
      <c r="BC297" s="23">
        <f>VALUE(0)</f>
        <v>0</v>
      </c>
      <c r="BD297" s="23">
        <f>VALUE(0)</f>
        <v>0</v>
      </c>
      <c r="BE297" s="23">
        <f>VALUE(0)</f>
        <v>0</v>
      </c>
      <c r="BF297" s="23">
        <f>VALUE(0)</f>
        <v>0</v>
      </c>
      <c r="BG297" s="23">
        <f>VALUE(0)</f>
        <v>0</v>
      </c>
      <c r="BH297" s="23">
        <f>VALUE(0)</f>
        <v>0</v>
      </c>
      <c r="BI297" s="23">
        <f>VALUE(0)</f>
        <v>0</v>
      </c>
      <c r="BJ297" s="23">
        <f>VALUE(0)</f>
        <v>0</v>
      </c>
      <c r="BK297" s="12">
        <f>$AX$297*24</f>
        <v>0</v>
      </c>
      <c r="BL297" s="12">
        <f>$AY$297*24</f>
        <v>0.23333333333333334</v>
      </c>
      <c r="BM297" s="12">
        <f>$BJ$297*24</f>
        <v>0</v>
      </c>
      <c r="BN297" s="12">
        <f>VALUE($I$297)/100</f>
        <v>1</v>
      </c>
      <c r="BO297" s="12">
        <v>0</v>
      </c>
      <c r="BP297" s="12">
        <v>0</v>
      </c>
      <c r="BQ297" s="12">
        <v>0</v>
      </c>
      <c r="BR297" s="12">
        <v>0</v>
      </c>
      <c r="BS297" s="12">
        <v>0</v>
      </c>
      <c r="BT297" s="12">
        <v>0</v>
      </c>
      <c r="BU297" s="12">
        <v>0</v>
      </c>
      <c r="BV297" s="12">
        <v>0</v>
      </c>
      <c r="BW297" s="12">
        <v>0</v>
      </c>
      <c r="BX297" s="12">
        <v>0</v>
      </c>
      <c r="BY297" s="12">
        <v>0</v>
      </c>
      <c r="BZ297" s="12">
        <v>0</v>
      </c>
      <c r="CA297" s="12">
        <v>0</v>
      </c>
    </row>
    <row r="298" spans="1:79" hidden="1" x14ac:dyDescent="0.2">
      <c r="A298" s="12" t="s">
        <v>141</v>
      </c>
      <c r="B298" s="12" t="s">
        <v>144</v>
      </c>
      <c r="C298" s="12" t="s">
        <v>144</v>
      </c>
      <c r="D298" s="22" t="s">
        <v>546</v>
      </c>
      <c r="E298" s="22" t="s">
        <v>161</v>
      </c>
      <c r="F298" s="22" t="s">
        <v>1070</v>
      </c>
      <c r="G298" s="22" t="s">
        <v>1071</v>
      </c>
      <c r="H298" s="22" t="s">
        <v>190</v>
      </c>
      <c r="I298" s="22" t="s">
        <v>151</v>
      </c>
      <c r="J298" s="22" t="s">
        <v>162</v>
      </c>
      <c r="K298" s="22" t="s">
        <v>98</v>
      </c>
      <c r="L298" s="27" t="s">
        <v>153</v>
      </c>
      <c r="M298" s="27" t="s">
        <v>153</v>
      </c>
      <c r="N298" s="27" t="s">
        <v>153</v>
      </c>
      <c r="O298" s="27" t="s">
        <v>153</v>
      </c>
      <c r="P298" s="27" t="s">
        <v>153</v>
      </c>
      <c r="Q298" s="27" t="s">
        <v>153</v>
      </c>
      <c r="R298" s="27" t="s">
        <v>153</v>
      </c>
      <c r="S298" s="27" t="s">
        <v>153</v>
      </c>
      <c r="T298" s="27" t="s">
        <v>153</v>
      </c>
      <c r="U298" s="27" t="s">
        <v>153</v>
      </c>
      <c r="V298" s="27" t="s">
        <v>153</v>
      </c>
      <c r="W298" s="27" t="s">
        <v>153</v>
      </c>
      <c r="X298" s="27" t="s">
        <v>153</v>
      </c>
      <c r="Y298" s="27" t="s">
        <v>153</v>
      </c>
      <c r="Z298" s="27" t="s">
        <v>153</v>
      </c>
      <c r="AA298" s="27" t="s">
        <v>153</v>
      </c>
      <c r="AB298" s="40" t="s">
        <v>153</v>
      </c>
      <c r="AC298" s="40" t="s">
        <v>153</v>
      </c>
      <c r="AD298" s="40" t="s">
        <v>153</v>
      </c>
      <c r="AE298" s="40" t="s">
        <v>153</v>
      </c>
      <c r="AF298" s="40" t="s">
        <v>153</v>
      </c>
      <c r="AG298" s="40" t="s">
        <v>153</v>
      </c>
      <c r="AH298" s="40" t="s">
        <v>153</v>
      </c>
      <c r="AI298" s="40" t="s">
        <v>153</v>
      </c>
      <c r="AJ298" s="40" t="s">
        <v>153</v>
      </c>
      <c r="AK298" s="40" t="s">
        <v>153</v>
      </c>
      <c r="AL298" s="40" t="s">
        <v>153</v>
      </c>
      <c r="AM298" s="40" t="s">
        <v>153</v>
      </c>
      <c r="AN298" s="40" t="s">
        <v>153</v>
      </c>
      <c r="AO298" s="40" t="s">
        <v>153</v>
      </c>
      <c r="AP298" s="23">
        <f>VALUE(1)</f>
        <v>1</v>
      </c>
      <c r="AQ298" s="23">
        <f>VALUE(0)</f>
        <v>0</v>
      </c>
      <c r="AR298" s="23">
        <f>VALUE(0)</f>
        <v>0</v>
      </c>
      <c r="AS298" s="23">
        <f>VALUE(0)</f>
        <v>0</v>
      </c>
      <c r="AT298" s="23">
        <f>VALUE(0)</f>
        <v>0</v>
      </c>
      <c r="AU298" s="23">
        <f>VALUE(0)</f>
        <v>0</v>
      </c>
      <c r="AV298" s="23">
        <f>VALUE(3)</f>
        <v>3</v>
      </c>
      <c r="AW298" s="23">
        <f>VALUE(0)</f>
        <v>0</v>
      </c>
      <c r="AX298" s="23">
        <f>VALUE(0)</f>
        <v>0</v>
      </c>
      <c r="AY298" s="23">
        <f>VALUE(0)</f>
        <v>0</v>
      </c>
      <c r="AZ298" s="23">
        <f>VALUE(0)</f>
        <v>0</v>
      </c>
      <c r="BA298" s="23">
        <f>VALUE(0)</f>
        <v>0</v>
      </c>
      <c r="BB298" s="23">
        <f>VALUE(0)</f>
        <v>0</v>
      </c>
      <c r="BC298" s="23">
        <f>VALUE(0)</f>
        <v>0</v>
      </c>
      <c r="BD298" s="23">
        <f>VALUE(0)</f>
        <v>0</v>
      </c>
      <c r="BE298" s="23">
        <f>VALUE(0)</f>
        <v>0</v>
      </c>
      <c r="BF298" s="23">
        <f>VALUE(0)</f>
        <v>0</v>
      </c>
      <c r="BG298" s="23">
        <f>VALUE(0)</f>
        <v>0</v>
      </c>
      <c r="BH298" s="23">
        <f>VALUE(0)</f>
        <v>0</v>
      </c>
      <c r="BI298" s="23">
        <f>VALUE(0)</f>
        <v>0</v>
      </c>
      <c r="BJ298" s="23">
        <f>VALUE(0)</f>
        <v>0</v>
      </c>
      <c r="BK298" s="12">
        <f>$AX$298*24</f>
        <v>0</v>
      </c>
      <c r="BL298" s="12">
        <f>$AY$298*24</f>
        <v>0</v>
      </c>
      <c r="BM298" s="12">
        <f>$BJ$298*24</f>
        <v>0</v>
      </c>
      <c r="BN298" s="12">
        <f>VALUE($I$298)/100</f>
        <v>1</v>
      </c>
      <c r="BO298" s="12">
        <v>0</v>
      </c>
      <c r="BP298" s="12">
        <v>0</v>
      </c>
      <c r="BQ298" s="12">
        <v>0</v>
      </c>
      <c r="BR298" s="12">
        <v>0</v>
      </c>
      <c r="BS298" s="12">
        <v>0</v>
      </c>
      <c r="BT298" s="12">
        <v>0</v>
      </c>
      <c r="BU298" s="12">
        <v>0</v>
      </c>
      <c r="BV298" s="12">
        <v>0</v>
      </c>
      <c r="BW298" s="12">
        <v>0</v>
      </c>
      <c r="BX298" s="12">
        <v>0</v>
      </c>
      <c r="BY298" s="12">
        <v>0</v>
      </c>
      <c r="BZ298" s="12">
        <v>0</v>
      </c>
      <c r="CA298" s="12">
        <v>0</v>
      </c>
    </row>
    <row r="299" spans="1:79" hidden="1" x14ac:dyDescent="0.2">
      <c r="A299" s="12" t="s">
        <v>141</v>
      </c>
      <c r="B299" s="12" t="s">
        <v>144</v>
      </c>
      <c r="C299" s="12" t="s">
        <v>144</v>
      </c>
      <c r="D299" s="22" t="s">
        <v>546</v>
      </c>
      <c r="E299" s="22" t="s">
        <v>161</v>
      </c>
      <c r="F299" s="22" t="s">
        <v>1303</v>
      </c>
      <c r="G299" s="22" t="s">
        <v>1072</v>
      </c>
      <c r="H299" s="22" t="s">
        <v>153</v>
      </c>
      <c r="I299" s="22" t="s">
        <v>151</v>
      </c>
      <c r="J299" s="22" t="s">
        <v>162</v>
      </c>
      <c r="K299" s="22" t="s">
        <v>98</v>
      </c>
      <c r="L299" s="54" t="s">
        <v>153</v>
      </c>
      <c r="M299" s="23" t="s">
        <v>153</v>
      </c>
      <c r="N299" s="40" t="s">
        <v>153</v>
      </c>
      <c r="O299" s="40" t="s">
        <v>153</v>
      </c>
      <c r="P299" s="40" t="s">
        <v>153</v>
      </c>
      <c r="Q299" s="40" t="s">
        <v>153</v>
      </c>
      <c r="R299" s="40" t="s">
        <v>153</v>
      </c>
      <c r="S299" s="40" t="s">
        <v>153</v>
      </c>
      <c r="T299" s="40" t="s">
        <v>153</v>
      </c>
      <c r="U299" s="40" t="s">
        <v>153</v>
      </c>
      <c r="V299" s="40" t="s">
        <v>153</v>
      </c>
      <c r="W299" s="40" t="s">
        <v>153</v>
      </c>
      <c r="X299" s="40" t="s">
        <v>153</v>
      </c>
      <c r="Y299" s="40" t="s">
        <v>153</v>
      </c>
      <c r="Z299" s="40" t="s">
        <v>153</v>
      </c>
      <c r="AA299" s="40" t="s">
        <v>153</v>
      </c>
      <c r="AB299" s="40" t="s">
        <v>153</v>
      </c>
      <c r="AC299" s="40" t="s">
        <v>153</v>
      </c>
      <c r="AD299" s="40" t="s">
        <v>153</v>
      </c>
      <c r="AE299" s="40" t="s">
        <v>153</v>
      </c>
      <c r="AF299" s="40" t="s">
        <v>153</v>
      </c>
      <c r="AG299" s="40" t="s">
        <v>153</v>
      </c>
      <c r="AH299" s="40" t="s">
        <v>153</v>
      </c>
      <c r="AI299" s="40" t="s">
        <v>153</v>
      </c>
      <c r="AJ299" s="40" t="s">
        <v>153</v>
      </c>
      <c r="AK299" s="40" t="s">
        <v>153</v>
      </c>
      <c r="AL299" s="40" t="s">
        <v>153</v>
      </c>
      <c r="AM299" s="40" t="s">
        <v>153</v>
      </c>
      <c r="AN299" s="40" t="s">
        <v>153</v>
      </c>
      <c r="AO299" s="40" t="s">
        <v>153</v>
      </c>
      <c r="AP299" s="23">
        <f>VALUE(9)</f>
        <v>9</v>
      </c>
      <c r="AQ299" s="23">
        <f>VALUE(0)</f>
        <v>0</v>
      </c>
      <c r="AR299" s="23">
        <f>VALUE(0)</f>
        <v>0</v>
      </c>
      <c r="AS299" s="23">
        <f>VALUE(0)</f>
        <v>0</v>
      </c>
      <c r="AT299" s="23">
        <f>VALUE(0)</f>
        <v>0</v>
      </c>
      <c r="AU299" s="23">
        <f>VALUE(0)</f>
        <v>0</v>
      </c>
      <c r="AV299" s="23">
        <f>VALUE(0)</f>
        <v>0</v>
      </c>
      <c r="AW299" s="23">
        <f>VALUE(0)</f>
        <v>0</v>
      </c>
      <c r="AX299" s="23">
        <f>VALUE(0)</f>
        <v>0</v>
      </c>
      <c r="AY299" s="23">
        <f>VALUE(0)</f>
        <v>0</v>
      </c>
      <c r="AZ299" s="23">
        <f>VALUE(0)</f>
        <v>0</v>
      </c>
      <c r="BA299" s="23">
        <f>VALUE(0)</f>
        <v>0</v>
      </c>
      <c r="BB299" s="23">
        <f>VALUE(0)</f>
        <v>0</v>
      </c>
      <c r="BC299" s="23">
        <f>VALUE(0)</f>
        <v>0</v>
      </c>
      <c r="BD299" s="23">
        <f>VALUE(0)</f>
        <v>0</v>
      </c>
      <c r="BE299" s="23">
        <f>VALUE(0)</f>
        <v>0</v>
      </c>
      <c r="BF299" s="23">
        <f>VALUE(0)</f>
        <v>0</v>
      </c>
      <c r="BG299" s="23">
        <f>VALUE(0)</f>
        <v>0</v>
      </c>
      <c r="BH299" s="23">
        <f>VALUE(0)</f>
        <v>0</v>
      </c>
      <c r="BI299" s="23">
        <f>VALUE(0)</f>
        <v>0</v>
      </c>
      <c r="BJ299" s="23">
        <f>VALUE(0)</f>
        <v>0</v>
      </c>
      <c r="BK299" s="12">
        <f>$AX$299*24</f>
        <v>0</v>
      </c>
      <c r="BL299" s="12">
        <f>$AY$299*24</f>
        <v>0</v>
      </c>
      <c r="BM299" s="12">
        <f>$BJ$299*24</f>
        <v>0</v>
      </c>
      <c r="BN299" s="12">
        <f>VALUE($I$299)/100</f>
        <v>1</v>
      </c>
      <c r="BO299" s="12">
        <v>0</v>
      </c>
      <c r="BP299" s="12">
        <v>0</v>
      </c>
      <c r="BQ299" s="12">
        <v>0</v>
      </c>
      <c r="BR299" s="12">
        <v>0</v>
      </c>
      <c r="BS299" s="12">
        <v>0</v>
      </c>
      <c r="BT299" s="12">
        <v>0</v>
      </c>
      <c r="BU299" s="12">
        <v>0</v>
      </c>
      <c r="BV299" s="12">
        <v>0</v>
      </c>
      <c r="BW299" s="12">
        <v>0</v>
      </c>
      <c r="BX299" s="12">
        <v>0</v>
      </c>
      <c r="BY299" s="12">
        <v>0</v>
      </c>
      <c r="BZ299" s="12">
        <v>0</v>
      </c>
      <c r="CA299" s="12">
        <v>0</v>
      </c>
    </row>
    <row r="300" spans="1:79" hidden="1" x14ac:dyDescent="0.2">
      <c r="A300" s="12" t="s">
        <v>141</v>
      </c>
      <c r="B300" s="12" t="s">
        <v>144</v>
      </c>
      <c r="C300" s="12" t="s">
        <v>144</v>
      </c>
      <c r="D300" s="22" t="s">
        <v>540</v>
      </c>
      <c r="E300" s="22" t="s">
        <v>161</v>
      </c>
      <c r="F300" s="22" t="s">
        <v>1073</v>
      </c>
      <c r="G300" s="22" t="s">
        <v>1074</v>
      </c>
      <c r="H300" s="22" t="s">
        <v>150</v>
      </c>
      <c r="I300" s="22" t="s">
        <v>151</v>
      </c>
      <c r="J300" s="22" t="s">
        <v>162</v>
      </c>
      <c r="K300" s="22" t="s">
        <v>98</v>
      </c>
      <c r="L300" s="54" t="s">
        <v>153</v>
      </c>
      <c r="M300" s="28" t="s">
        <v>163</v>
      </c>
      <c r="N300" s="24" t="s">
        <v>153</v>
      </c>
      <c r="O300" s="28" t="s">
        <v>163</v>
      </c>
      <c r="P300" s="28" t="s">
        <v>163</v>
      </c>
      <c r="Q300" s="23" t="s">
        <v>538</v>
      </c>
      <c r="R300" s="23" t="s">
        <v>538</v>
      </c>
      <c r="S300" s="23" t="s">
        <v>153</v>
      </c>
      <c r="T300" s="23" t="s">
        <v>153</v>
      </c>
      <c r="U300" s="24" t="s">
        <v>153</v>
      </c>
      <c r="V300" s="54" t="s">
        <v>153</v>
      </c>
      <c r="W300" s="23" t="s">
        <v>153</v>
      </c>
      <c r="X300" s="23" t="s">
        <v>153</v>
      </c>
      <c r="Y300" s="23" t="s">
        <v>153</v>
      </c>
      <c r="Z300" s="23" t="s">
        <v>153</v>
      </c>
      <c r="AA300" s="23" t="s">
        <v>153</v>
      </c>
      <c r="AB300" s="24" t="s">
        <v>153</v>
      </c>
      <c r="AC300" s="23" t="s">
        <v>153</v>
      </c>
      <c r="AD300" s="23" t="s">
        <v>153</v>
      </c>
      <c r="AE300" s="23" t="s">
        <v>153</v>
      </c>
      <c r="AF300" s="23" t="s">
        <v>153</v>
      </c>
      <c r="AG300" s="23" t="s">
        <v>153</v>
      </c>
      <c r="AH300" s="23" t="s">
        <v>153</v>
      </c>
      <c r="AI300" s="24" t="s">
        <v>153</v>
      </c>
      <c r="AJ300" s="23" t="s">
        <v>153</v>
      </c>
      <c r="AK300" s="23" t="s">
        <v>153</v>
      </c>
      <c r="AL300" s="23" t="s">
        <v>153</v>
      </c>
      <c r="AM300" s="23" t="s">
        <v>153</v>
      </c>
      <c r="AN300" s="23" t="s">
        <v>153</v>
      </c>
      <c r="AO300" s="23" t="s">
        <v>153</v>
      </c>
      <c r="AP300" s="23">
        <f>VALUE(38)</f>
        <v>38</v>
      </c>
      <c r="AQ300" s="23">
        <f>VALUE(0)</f>
        <v>0</v>
      </c>
      <c r="AR300" s="23">
        <f>VALUE(0)</f>
        <v>0</v>
      </c>
      <c r="AS300" s="23">
        <f>VALUE(0)</f>
        <v>0</v>
      </c>
      <c r="AT300" s="23">
        <f>VALUE(0)</f>
        <v>0</v>
      </c>
      <c r="AU300" s="23">
        <f>VALUE(3)</f>
        <v>3</v>
      </c>
      <c r="AV300" s="23">
        <f>VALUE(3)</f>
        <v>3</v>
      </c>
      <c r="AW300" s="23">
        <f>VALUE(0)</f>
        <v>0</v>
      </c>
      <c r="AX300" s="23" t="s">
        <v>171</v>
      </c>
      <c r="AY300" s="23">
        <f>VALUE(0)</f>
        <v>0</v>
      </c>
      <c r="AZ300" s="23">
        <f>VALUE(0)</f>
        <v>0</v>
      </c>
      <c r="BA300" s="23">
        <f>VALUE(0)</f>
        <v>0</v>
      </c>
      <c r="BB300" s="23">
        <f>VALUE(0)</f>
        <v>0</v>
      </c>
      <c r="BC300" s="23">
        <f>VALUE(0)</f>
        <v>0</v>
      </c>
      <c r="BD300" s="23">
        <f>VALUE(0)</f>
        <v>0</v>
      </c>
      <c r="BE300" s="23">
        <f>VALUE(0)</f>
        <v>0</v>
      </c>
      <c r="BF300" s="23">
        <f>VALUE(0)</f>
        <v>0</v>
      </c>
      <c r="BG300" s="23">
        <f>VALUE(0)</f>
        <v>0</v>
      </c>
      <c r="BH300" s="23">
        <f>VALUE(0)</f>
        <v>0</v>
      </c>
      <c r="BI300" s="23">
        <f>VALUE(0)</f>
        <v>0</v>
      </c>
      <c r="BJ300" s="23">
        <f>VALUE(0)</f>
        <v>0</v>
      </c>
      <c r="BK300" s="12">
        <f>$AX$300*24</f>
        <v>5.833333333333333</v>
      </c>
      <c r="BL300" s="12">
        <f>$AY$300*24</f>
        <v>0</v>
      </c>
      <c r="BM300" s="12">
        <f>$BJ$300*24</f>
        <v>0</v>
      </c>
      <c r="BN300" s="12">
        <f>VALUE($I$300)/100</f>
        <v>1</v>
      </c>
      <c r="BO300" s="12">
        <v>0</v>
      </c>
      <c r="BP300" s="12">
        <v>0</v>
      </c>
      <c r="BQ300" s="12">
        <v>0</v>
      </c>
      <c r="BR300" s="12">
        <v>0</v>
      </c>
      <c r="BS300" s="12">
        <v>0</v>
      </c>
      <c r="BT300" s="12">
        <v>0</v>
      </c>
      <c r="BU300" s="12">
        <v>0</v>
      </c>
      <c r="BV300" s="12">
        <v>0</v>
      </c>
      <c r="BW300" s="12">
        <v>0</v>
      </c>
      <c r="BX300" s="12">
        <v>0</v>
      </c>
      <c r="BY300" s="12">
        <v>0</v>
      </c>
      <c r="BZ300" s="12">
        <v>0</v>
      </c>
      <c r="CA300" s="12">
        <v>0</v>
      </c>
    </row>
    <row r="301" spans="1:79" hidden="1" x14ac:dyDescent="0.2">
      <c r="A301" s="12" t="s">
        <v>141</v>
      </c>
      <c r="B301" s="12" t="s">
        <v>144</v>
      </c>
      <c r="C301" s="12" t="s">
        <v>144</v>
      </c>
      <c r="D301" s="22" t="s">
        <v>547</v>
      </c>
      <c r="E301" s="22" t="s">
        <v>161</v>
      </c>
      <c r="F301" s="22" t="s">
        <v>1075</v>
      </c>
      <c r="G301" s="22" t="s">
        <v>1076</v>
      </c>
      <c r="H301" s="22" t="s">
        <v>150</v>
      </c>
      <c r="I301" s="22" t="s">
        <v>151</v>
      </c>
      <c r="J301" s="22" t="s">
        <v>162</v>
      </c>
      <c r="K301" s="22" t="s">
        <v>98</v>
      </c>
      <c r="L301" s="54" t="s">
        <v>153</v>
      </c>
      <c r="M301" s="29" t="s">
        <v>218</v>
      </c>
      <c r="N301" s="24" t="s">
        <v>153</v>
      </c>
      <c r="O301" s="29" t="s">
        <v>218</v>
      </c>
      <c r="P301" s="29" t="s">
        <v>218</v>
      </c>
      <c r="Q301" s="29" t="s">
        <v>218</v>
      </c>
      <c r="R301" s="29" t="s">
        <v>218</v>
      </c>
      <c r="S301" s="29" t="s">
        <v>218</v>
      </c>
      <c r="T301" s="29" t="s">
        <v>218</v>
      </c>
      <c r="U301" s="24" t="s">
        <v>153</v>
      </c>
      <c r="V301" s="54" t="s">
        <v>153</v>
      </c>
      <c r="W301" s="29" t="s">
        <v>218</v>
      </c>
      <c r="X301" s="29" t="s">
        <v>218</v>
      </c>
      <c r="Y301" s="29" t="s">
        <v>218</v>
      </c>
      <c r="Z301" s="29" t="s">
        <v>218</v>
      </c>
      <c r="AA301" s="29" t="s">
        <v>218</v>
      </c>
      <c r="AB301" s="24" t="s">
        <v>153</v>
      </c>
      <c r="AC301" s="29" t="s">
        <v>218</v>
      </c>
      <c r="AD301" s="29" t="s">
        <v>218</v>
      </c>
      <c r="AE301" s="29" t="s">
        <v>218</v>
      </c>
      <c r="AF301" s="29" t="s">
        <v>218</v>
      </c>
      <c r="AG301" s="29" t="s">
        <v>218</v>
      </c>
      <c r="AH301" s="29" t="s">
        <v>218</v>
      </c>
      <c r="AI301" s="24" t="s">
        <v>153</v>
      </c>
      <c r="AJ301" s="29" t="s">
        <v>218</v>
      </c>
      <c r="AK301" s="29" t="s">
        <v>218</v>
      </c>
      <c r="AL301" s="29" t="s">
        <v>218</v>
      </c>
      <c r="AM301" s="29" t="s">
        <v>218</v>
      </c>
      <c r="AN301" s="29" t="s">
        <v>218</v>
      </c>
      <c r="AO301" s="29" t="s">
        <v>218</v>
      </c>
      <c r="AP301" s="23">
        <f>VALUE(11)</f>
        <v>11</v>
      </c>
      <c r="AQ301" s="23">
        <f>VALUE(0)</f>
        <v>0</v>
      </c>
      <c r="AR301" s="23">
        <f>VALUE(24)</f>
        <v>24</v>
      </c>
      <c r="AS301" s="23">
        <f>VALUE(0)</f>
        <v>0</v>
      </c>
      <c r="AT301" s="23">
        <f>VALUE(0)</f>
        <v>0</v>
      </c>
      <c r="AU301" s="23">
        <f>VALUE(0)</f>
        <v>0</v>
      </c>
      <c r="AV301" s="23">
        <f>VALUE(14)</f>
        <v>14</v>
      </c>
      <c r="AW301" s="23">
        <f>VALUE(0)</f>
        <v>0</v>
      </c>
      <c r="AX301" s="23" t="s">
        <v>171</v>
      </c>
      <c r="AY301" s="23" t="s">
        <v>548</v>
      </c>
      <c r="AZ301" s="23">
        <f>VALUE(0)</f>
        <v>0</v>
      </c>
      <c r="BA301" s="23">
        <f>VALUE(0)</f>
        <v>0</v>
      </c>
      <c r="BB301" s="23">
        <f>VALUE(0)</f>
        <v>0</v>
      </c>
      <c r="BC301" s="23">
        <f>VALUE(0)</f>
        <v>0</v>
      </c>
      <c r="BD301" s="23">
        <f>VALUE(0)</f>
        <v>0</v>
      </c>
      <c r="BE301" s="23">
        <f>VALUE(0)</f>
        <v>0</v>
      </c>
      <c r="BF301" s="23">
        <f>VALUE(0)</f>
        <v>0</v>
      </c>
      <c r="BG301" s="23">
        <f>VALUE(0)</f>
        <v>0</v>
      </c>
      <c r="BH301" s="23">
        <f>VALUE(0)</f>
        <v>0</v>
      </c>
      <c r="BI301" s="23">
        <f>VALUE(0)</f>
        <v>0</v>
      </c>
      <c r="BJ301" s="23">
        <f>VALUE(0)</f>
        <v>0</v>
      </c>
      <c r="BK301" s="12">
        <f>$AX$301*24</f>
        <v>5.833333333333333</v>
      </c>
      <c r="BL301" s="12">
        <f>$AY$301*24</f>
        <v>4.6166666666666671</v>
      </c>
      <c r="BM301" s="12">
        <f>$BJ$301*24</f>
        <v>0</v>
      </c>
      <c r="BN301" s="12">
        <f>VALUE($I$301)/100</f>
        <v>1</v>
      </c>
      <c r="BO301" s="12">
        <v>0</v>
      </c>
      <c r="BP301" s="12">
        <v>0</v>
      </c>
      <c r="BQ301" s="12">
        <v>0</v>
      </c>
      <c r="BR301" s="12">
        <v>0</v>
      </c>
      <c r="BS301" s="12">
        <v>24</v>
      </c>
      <c r="BT301" s="12">
        <v>0</v>
      </c>
      <c r="BU301" s="12">
        <v>0</v>
      </c>
      <c r="BV301" s="12">
        <v>0</v>
      </c>
      <c r="BW301" s="12">
        <v>0</v>
      </c>
      <c r="BX301" s="12">
        <v>0</v>
      </c>
      <c r="BY301" s="12">
        <v>0</v>
      </c>
      <c r="BZ301" s="12">
        <v>0</v>
      </c>
      <c r="CA301" s="12">
        <v>0</v>
      </c>
    </row>
    <row r="302" spans="1:79" hidden="1" x14ac:dyDescent="0.2">
      <c r="A302" s="12" t="s">
        <v>141</v>
      </c>
      <c r="B302" s="12" t="s">
        <v>144</v>
      </c>
      <c r="C302" s="12" t="s">
        <v>144</v>
      </c>
      <c r="D302" s="22" t="s">
        <v>547</v>
      </c>
      <c r="E302" s="22" t="s">
        <v>161</v>
      </c>
      <c r="F302" s="22" t="s">
        <v>1304</v>
      </c>
      <c r="G302" s="22" t="s">
        <v>1077</v>
      </c>
      <c r="H302" s="22" t="s">
        <v>190</v>
      </c>
      <c r="I302" s="22" t="s">
        <v>151</v>
      </c>
      <c r="J302" s="22" t="s">
        <v>162</v>
      </c>
      <c r="K302" s="22" t="s">
        <v>98</v>
      </c>
      <c r="L302" s="54" t="s">
        <v>153</v>
      </c>
      <c r="M302" s="23" t="s">
        <v>153</v>
      </c>
      <c r="N302" s="24" t="s">
        <v>153</v>
      </c>
      <c r="O302" s="29" t="s">
        <v>163</v>
      </c>
      <c r="P302" s="23" t="s">
        <v>153</v>
      </c>
      <c r="Q302" s="23" t="s">
        <v>153</v>
      </c>
      <c r="R302" s="23" t="s">
        <v>153</v>
      </c>
      <c r="S302" s="23" t="s">
        <v>153</v>
      </c>
      <c r="T302" s="23" t="s">
        <v>153</v>
      </c>
      <c r="U302" s="24" t="s">
        <v>153</v>
      </c>
      <c r="V302" s="54" t="s">
        <v>153</v>
      </c>
      <c r="W302" s="23" t="s">
        <v>153</v>
      </c>
      <c r="X302" s="23" t="s">
        <v>153</v>
      </c>
      <c r="Y302" s="23" t="s">
        <v>153</v>
      </c>
      <c r="Z302" s="23" t="s">
        <v>153</v>
      </c>
      <c r="AA302" s="23" t="s">
        <v>153</v>
      </c>
      <c r="AB302" s="24" t="s">
        <v>153</v>
      </c>
      <c r="AC302" s="23" t="s">
        <v>153</v>
      </c>
      <c r="AD302" s="23" t="s">
        <v>153</v>
      </c>
      <c r="AE302" s="23" t="s">
        <v>153</v>
      </c>
      <c r="AF302" s="23" t="s">
        <v>153</v>
      </c>
      <c r="AG302" s="23" t="s">
        <v>153</v>
      </c>
      <c r="AH302" s="23" t="s">
        <v>153</v>
      </c>
      <c r="AI302" s="24" t="s">
        <v>153</v>
      </c>
      <c r="AJ302" s="23" t="s">
        <v>153</v>
      </c>
      <c r="AK302" s="23" t="s">
        <v>153</v>
      </c>
      <c r="AL302" s="23" t="s">
        <v>153</v>
      </c>
      <c r="AM302" s="23" t="s">
        <v>153</v>
      </c>
      <c r="AN302" s="23" t="s">
        <v>153</v>
      </c>
      <c r="AO302" s="23" t="s">
        <v>153</v>
      </c>
      <c r="AP302" s="23">
        <f>VALUE(6)</f>
        <v>6</v>
      </c>
      <c r="AQ302" s="23">
        <f>VALUE(0)</f>
        <v>0</v>
      </c>
      <c r="AR302" s="23">
        <f>VALUE(1)</f>
        <v>1</v>
      </c>
      <c r="AS302" s="23">
        <f>VALUE(0)</f>
        <v>0</v>
      </c>
      <c r="AT302" s="23">
        <f>VALUE(0)</f>
        <v>0</v>
      </c>
      <c r="AU302" s="23">
        <f>VALUE(0)</f>
        <v>0</v>
      </c>
      <c r="AV302" s="23">
        <f>VALUE(8)</f>
        <v>8</v>
      </c>
      <c r="AW302" s="23">
        <f>VALUE(0)</f>
        <v>0</v>
      </c>
      <c r="AX302" s="23" t="s">
        <v>171</v>
      </c>
      <c r="AY302" s="23">
        <f>VALUE(0)</f>
        <v>0</v>
      </c>
      <c r="AZ302" s="23">
        <f>VALUE(0)</f>
        <v>0</v>
      </c>
      <c r="BA302" s="23">
        <f>VALUE(0)</f>
        <v>0</v>
      </c>
      <c r="BB302" s="23">
        <f>VALUE(0)</f>
        <v>0</v>
      </c>
      <c r="BC302" s="23">
        <f>VALUE(0)</f>
        <v>0</v>
      </c>
      <c r="BD302" s="23">
        <f>VALUE(0)</f>
        <v>0</v>
      </c>
      <c r="BE302" s="23">
        <f>VALUE(0)</f>
        <v>0</v>
      </c>
      <c r="BF302" s="23">
        <f>VALUE(0)</f>
        <v>0</v>
      </c>
      <c r="BG302" s="23">
        <f>VALUE(0)</f>
        <v>0</v>
      </c>
      <c r="BH302" s="23">
        <f>VALUE(0)</f>
        <v>0</v>
      </c>
      <c r="BI302" s="23">
        <f>VALUE(0)</f>
        <v>0</v>
      </c>
      <c r="BJ302" s="23">
        <f>VALUE(0)</f>
        <v>0</v>
      </c>
      <c r="BK302" s="12">
        <f>$AX$302*24</f>
        <v>5.833333333333333</v>
      </c>
      <c r="BL302" s="12">
        <f>$AY$302*24</f>
        <v>0</v>
      </c>
      <c r="BM302" s="12">
        <f>$BJ$302*24</f>
        <v>0</v>
      </c>
      <c r="BN302" s="12">
        <f>VALUE($I$302)/100</f>
        <v>1</v>
      </c>
      <c r="BO302" s="12">
        <v>0</v>
      </c>
      <c r="BP302" s="12">
        <v>0</v>
      </c>
      <c r="BQ302" s="12">
        <v>0</v>
      </c>
      <c r="BR302" s="12">
        <v>0</v>
      </c>
      <c r="BS302" s="12">
        <v>0</v>
      </c>
      <c r="BT302" s="12">
        <v>1</v>
      </c>
      <c r="BU302" s="12">
        <v>0</v>
      </c>
      <c r="BV302" s="12">
        <v>0</v>
      </c>
      <c r="BW302" s="12">
        <v>0</v>
      </c>
      <c r="BX302" s="12">
        <v>0</v>
      </c>
      <c r="BY302" s="12">
        <v>0</v>
      </c>
      <c r="BZ302" s="12">
        <v>0</v>
      </c>
      <c r="CA302" s="12">
        <v>0</v>
      </c>
    </row>
    <row r="303" spans="1:79" hidden="1" x14ac:dyDescent="0.2">
      <c r="A303" s="12" t="s">
        <v>141</v>
      </c>
      <c r="B303" s="12" t="s">
        <v>144</v>
      </c>
      <c r="C303" s="12" t="s">
        <v>144</v>
      </c>
      <c r="D303" s="22" t="s">
        <v>1279</v>
      </c>
      <c r="E303" s="22" t="s">
        <v>173</v>
      </c>
      <c r="F303" s="22" t="s">
        <v>1078</v>
      </c>
      <c r="G303" s="22" t="s">
        <v>1079</v>
      </c>
      <c r="H303" s="22" t="s">
        <v>150</v>
      </c>
      <c r="I303" s="22" t="s">
        <v>151</v>
      </c>
      <c r="J303" s="22" t="s">
        <v>162</v>
      </c>
      <c r="K303" s="22" t="s">
        <v>98</v>
      </c>
      <c r="L303" s="54" t="s">
        <v>153</v>
      </c>
      <c r="M303" s="27" t="s">
        <v>153</v>
      </c>
      <c r="N303" s="27" t="s">
        <v>153</v>
      </c>
      <c r="O303" s="27" t="s">
        <v>153</v>
      </c>
      <c r="P303" s="27" t="s">
        <v>153</v>
      </c>
      <c r="Q303" s="27" t="s">
        <v>153</v>
      </c>
      <c r="R303" s="27" t="s">
        <v>153</v>
      </c>
      <c r="S303" s="27" t="s">
        <v>153</v>
      </c>
      <c r="T303" s="27" t="s">
        <v>153</v>
      </c>
      <c r="U303" s="27" t="s">
        <v>153</v>
      </c>
      <c r="V303" s="54" t="s">
        <v>153</v>
      </c>
      <c r="W303" s="27" t="s">
        <v>153</v>
      </c>
      <c r="X303" s="27" t="s">
        <v>153</v>
      </c>
      <c r="Y303" s="27" t="s">
        <v>153</v>
      </c>
      <c r="Z303" s="27" t="s">
        <v>153</v>
      </c>
      <c r="AA303" s="27" t="s">
        <v>153</v>
      </c>
      <c r="AB303" s="27" t="s">
        <v>153</v>
      </c>
      <c r="AC303" s="27" t="s">
        <v>153</v>
      </c>
      <c r="AD303" s="27" t="s">
        <v>153</v>
      </c>
      <c r="AE303" s="27" t="s">
        <v>153</v>
      </c>
      <c r="AF303" s="27" t="s">
        <v>153</v>
      </c>
      <c r="AG303" s="27" t="s">
        <v>153</v>
      </c>
      <c r="AH303" s="27" t="s">
        <v>153</v>
      </c>
      <c r="AI303" s="27" t="s">
        <v>153</v>
      </c>
      <c r="AJ303" s="27" t="s">
        <v>153</v>
      </c>
      <c r="AK303" s="27" t="s">
        <v>153</v>
      </c>
      <c r="AL303" s="27" t="s">
        <v>153</v>
      </c>
      <c r="AM303" s="27" t="s">
        <v>153</v>
      </c>
      <c r="AN303" s="27" t="s">
        <v>153</v>
      </c>
      <c r="AO303" s="27" t="s">
        <v>153</v>
      </c>
      <c r="AP303" s="23">
        <f>VALUE(0)</f>
        <v>0</v>
      </c>
      <c r="AQ303" s="23">
        <f>VALUE(0)</f>
        <v>0</v>
      </c>
      <c r="AR303" s="23">
        <f>VALUE(0)</f>
        <v>0</v>
      </c>
      <c r="AS303" s="23">
        <f>VALUE(0)</f>
        <v>0</v>
      </c>
      <c r="AT303" s="23">
        <f>VALUE(0)</f>
        <v>0</v>
      </c>
      <c r="AU303" s="23">
        <f>VALUE(0)</f>
        <v>0</v>
      </c>
      <c r="AV303" s="23">
        <f>VALUE(0)</f>
        <v>0</v>
      </c>
      <c r="AW303" s="23">
        <f>VALUE(0)</f>
        <v>0</v>
      </c>
      <c r="AX303" s="23">
        <f>VALUE(0)</f>
        <v>0</v>
      </c>
      <c r="AY303" s="23">
        <f>VALUE(0)</f>
        <v>0</v>
      </c>
      <c r="AZ303" s="23">
        <f>VALUE(0)</f>
        <v>0</v>
      </c>
      <c r="BA303" s="23">
        <f>VALUE(0)</f>
        <v>0</v>
      </c>
      <c r="BB303" s="23">
        <f>VALUE(0)</f>
        <v>0</v>
      </c>
      <c r="BC303" s="23">
        <f>VALUE(0)</f>
        <v>0</v>
      </c>
      <c r="BD303" s="23">
        <f>VALUE(0)</f>
        <v>0</v>
      </c>
      <c r="BE303" s="23">
        <f>VALUE(0)</f>
        <v>0</v>
      </c>
      <c r="BF303" s="23">
        <f>VALUE(0)</f>
        <v>0</v>
      </c>
      <c r="BG303" s="23">
        <f>VALUE(0)</f>
        <v>0</v>
      </c>
      <c r="BH303" s="23">
        <f>VALUE(0)</f>
        <v>0</v>
      </c>
      <c r="BI303" s="23">
        <f>VALUE(0)</f>
        <v>0</v>
      </c>
      <c r="BJ303" s="23">
        <f>VALUE(0)</f>
        <v>0</v>
      </c>
      <c r="BK303" s="12">
        <f>$AX$303*24</f>
        <v>0</v>
      </c>
      <c r="BL303" s="12">
        <f>$AY$303*24</f>
        <v>0</v>
      </c>
      <c r="BM303" s="12">
        <f>$BJ$303*24</f>
        <v>0</v>
      </c>
      <c r="BN303" s="12">
        <f>VALUE($I$303)/100</f>
        <v>1</v>
      </c>
      <c r="BO303" s="12">
        <v>0</v>
      </c>
      <c r="BP303" s="12">
        <v>0</v>
      </c>
      <c r="BQ303" s="12">
        <v>0</v>
      </c>
      <c r="BR303" s="12">
        <v>0</v>
      </c>
      <c r="BS303" s="12">
        <v>0</v>
      </c>
      <c r="BT303" s="12">
        <v>0</v>
      </c>
      <c r="BU303" s="12">
        <v>0</v>
      </c>
      <c r="BV303" s="12">
        <v>0</v>
      </c>
      <c r="BW303" s="12">
        <v>0</v>
      </c>
      <c r="BX303" s="12">
        <v>0</v>
      </c>
      <c r="BY303" s="12">
        <v>0</v>
      </c>
      <c r="BZ303" s="12">
        <v>0</v>
      </c>
      <c r="CA303" s="12">
        <v>0</v>
      </c>
    </row>
    <row r="304" spans="1:79" ht="16.5" hidden="1" x14ac:dyDescent="0.2">
      <c r="A304" s="12" t="s">
        <v>141</v>
      </c>
      <c r="B304" s="12" t="s">
        <v>144</v>
      </c>
      <c r="C304" s="12" t="s">
        <v>144</v>
      </c>
      <c r="D304" s="22" t="s">
        <v>549</v>
      </c>
      <c r="E304" s="22" t="s">
        <v>173</v>
      </c>
      <c r="F304" s="22" t="s">
        <v>1080</v>
      </c>
      <c r="G304" s="22" t="s">
        <v>1081</v>
      </c>
      <c r="H304" s="22" t="s">
        <v>166</v>
      </c>
      <c r="I304" s="22" t="s">
        <v>151</v>
      </c>
      <c r="J304" s="22" t="s">
        <v>162</v>
      </c>
      <c r="K304" s="22" t="s">
        <v>98</v>
      </c>
      <c r="L304" s="54" t="s">
        <v>153</v>
      </c>
      <c r="M304" s="26" t="s">
        <v>550</v>
      </c>
      <c r="N304" s="24" t="s">
        <v>153</v>
      </c>
      <c r="O304" s="23" t="s">
        <v>185</v>
      </c>
      <c r="P304" s="25" t="s">
        <v>1305</v>
      </c>
      <c r="Q304" s="23" t="s">
        <v>540</v>
      </c>
      <c r="R304" s="23" t="s">
        <v>540</v>
      </c>
      <c r="S304" s="23" t="s">
        <v>542</v>
      </c>
      <c r="T304" s="23" t="s">
        <v>542</v>
      </c>
      <c r="U304" s="24" t="s">
        <v>153</v>
      </c>
      <c r="V304" s="54" t="s">
        <v>153</v>
      </c>
      <c r="W304" s="23" t="s">
        <v>537</v>
      </c>
      <c r="X304" s="24" t="s">
        <v>156</v>
      </c>
      <c r="Y304" s="24" t="s">
        <v>156</v>
      </c>
      <c r="Z304" s="23" t="s">
        <v>182</v>
      </c>
      <c r="AA304" s="23" t="s">
        <v>182</v>
      </c>
      <c r="AB304" s="24" t="s">
        <v>153</v>
      </c>
      <c r="AC304" s="23" t="s">
        <v>537</v>
      </c>
      <c r="AD304" s="23" t="s">
        <v>537</v>
      </c>
      <c r="AE304" s="23" t="s">
        <v>537</v>
      </c>
      <c r="AF304" s="23" t="s">
        <v>537</v>
      </c>
      <c r="AG304" s="23" t="s">
        <v>537</v>
      </c>
      <c r="AH304" s="23" t="s">
        <v>537</v>
      </c>
      <c r="AI304" s="24" t="s">
        <v>153</v>
      </c>
      <c r="AJ304" s="28" t="s">
        <v>163</v>
      </c>
      <c r="AK304" s="28" t="s">
        <v>163</v>
      </c>
      <c r="AL304" s="28" t="s">
        <v>163</v>
      </c>
      <c r="AM304" s="28" t="s">
        <v>163</v>
      </c>
      <c r="AN304" s="28" t="s">
        <v>163</v>
      </c>
      <c r="AO304" s="28" t="s">
        <v>163</v>
      </c>
      <c r="AP304" s="23">
        <f>VALUE(14)</f>
        <v>14</v>
      </c>
      <c r="AQ304" s="23">
        <f>VALUE(0)</f>
        <v>0</v>
      </c>
      <c r="AR304" s="23">
        <f>VALUE(0)</f>
        <v>0</v>
      </c>
      <c r="AS304" s="23">
        <f>VALUE(0)</f>
        <v>0</v>
      </c>
      <c r="AT304" s="23">
        <f>VALUE(0)</f>
        <v>0</v>
      </c>
      <c r="AU304" s="23">
        <f>VALUE(6)</f>
        <v>6</v>
      </c>
      <c r="AV304" s="23">
        <f>VALUE(6)</f>
        <v>6</v>
      </c>
      <c r="AW304" s="23">
        <f>VALUE(0)</f>
        <v>0</v>
      </c>
      <c r="AX304" s="23" t="s">
        <v>551</v>
      </c>
      <c r="AY304" s="23">
        <f>VALUE(0)</f>
        <v>0</v>
      </c>
      <c r="AZ304" s="23">
        <f>VALUE(0)</f>
        <v>0</v>
      </c>
      <c r="BA304" s="23">
        <f>VALUE(0)</f>
        <v>0</v>
      </c>
      <c r="BB304" s="23">
        <f>VALUE(0)</f>
        <v>0</v>
      </c>
      <c r="BC304" s="23">
        <f>VALUE(0)</f>
        <v>0</v>
      </c>
      <c r="BD304" s="23">
        <f>VALUE(1)</f>
        <v>1</v>
      </c>
      <c r="BE304" s="23">
        <f>VALUE(0)</f>
        <v>0</v>
      </c>
      <c r="BF304" s="23">
        <f>VALUE(0)</f>
        <v>0</v>
      </c>
      <c r="BG304" s="23">
        <f>VALUE(0)</f>
        <v>0</v>
      </c>
      <c r="BH304" s="23">
        <f>VALUE(0)</f>
        <v>0</v>
      </c>
      <c r="BI304" s="23">
        <f>VALUE(0)</f>
        <v>0</v>
      </c>
      <c r="BJ304" s="23">
        <f>VALUE(0)</f>
        <v>0</v>
      </c>
      <c r="BK304" s="12">
        <f>$AX$304*24</f>
        <v>20.283333333333335</v>
      </c>
      <c r="BL304" s="12">
        <f>$AY$304*24</f>
        <v>0</v>
      </c>
      <c r="BM304" s="12">
        <f>$BJ$304*24</f>
        <v>0</v>
      </c>
      <c r="BN304" s="12">
        <f>VALUE($I$304)/100</f>
        <v>1</v>
      </c>
      <c r="BO304" s="12">
        <v>0</v>
      </c>
      <c r="BP304" s="12">
        <v>0</v>
      </c>
      <c r="BQ304" s="12">
        <v>0</v>
      </c>
      <c r="BR304" s="12">
        <v>1</v>
      </c>
      <c r="BS304" s="12">
        <v>0</v>
      </c>
      <c r="BT304" s="12">
        <v>0</v>
      </c>
      <c r="BU304" s="12">
        <v>0</v>
      </c>
      <c r="BV304" s="12">
        <v>0</v>
      </c>
      <c r="BW304" s="12">
        <v>0</v>
      </c>
      <c r="BX304" s="12">
        <v>0</v>
      </c>
      <c r="BY304" s="12">
        <v>0</v>
      </c>
      <c r="BZ304" s="12">
        <v>0</v>
      </c>
      <c r="CA304" s="12">
        <v>0</v>
      </c>
    </row>
    <row r="305" spans="1:79" ht="15" hidden="1" x14ac:dyDescent="0.25">
      <c r="A305" s="12" t="s">
        <v>141</v>
      </c>
      <c r="B305" s="12" t="s">
        <v>144</v>
      </c>
      <c r="C305" s="12" t="s">
        <v>144</v>
      </c>
      <c r="D305" s="31" t="s">
        <v>202</v>
      </c>
      <c r="E305" s="31" t="s">
        <v>153</v>
      </c>
      <c r="F305" s="31" t="s">
        <v>175</v>
      </c>
      <c r="G305" s="31" t="s">
        <v>153</v>
      </c>
      <c r="H305" s="31" t="s">
        <v>153</v>
      </c>
      <c r="I305" s="31" t="s">
        <v>153</v>
      </c>
      <c r="J305" s="31" t="s">
        <v>153</v>
      </c>
      <c r="K305" s="31" t="s">
        <v>153</v>
      </c>
      <c r="L305" s="31">
        <f>VALUE(0)</f>
        <v>0</v>
      </c>
      <c r="M305" s="31">
        <f>VALUE(9)</f>
        <v>9</v>
      </c>
      <c r="N305" s="31">
        <f>VALUE(0)</f>
        <v>0</v>
      </c>
      <c r="O305" s="31">
        <f>VALUE(7)</f>
        <v>7</v>
      </c>
      <c r="P305" s="31">
        <f>VALUE(8)</f>
        <v>8</v>
      </c>
      <c r="Q305" s="31">
        <f>VALUE(8)</f>
        <v>8</v>
      </c>
      <c r="R305" s="31">
        <f>VALUE(8)</f>
        <v>8</v>
      </c>
      <c r="S305" s="31">
        <f>VALUE(8)</f>
        <v>8</v>
      </c>
      <c r="T305" s="31">
        <f>VALUE(8)</f>
        <v>8</v>
      </c>
      <c r="U305" s="31">
        <f>VALUE(0)</f>
        <v>0</v>
      </c>
      <c r="V305" s="31">
        <f>VALUE(0)</f>
        <v>0</v>
      </c>
      <c r="W305" s="31">
        <f>VALUE(9)</f>
        <v>9</v>
      </c>
      <c r="X305" s="31">
        <f>VALUE(8)</f>
        <v>8</v>
      </c>
      <c r="Y305" s="31">
        <f>VALUE(8)</f>
        <v>8</v>
      </c>
      <c r="Z305" s="31">
        <f>VALUE(9)</f>
        <v>9</v>
      </c>
      <c r="AA305" s="31">
        <f>VALUE(9)</f>
        <v>9</v>
      </c>
      <c r="AB305" s="31">
        <f>VALUE(0)</f>
        <v>0</v>
      </c>
      <c r="AC305" s="31">
        <f>VALUE(9)</f>
        <v>9</v>
      </c>
      <c r="AD305" s="31">
        <f>VALUE(9)</f>
        <v>9</v>
      </c>
      <c r="AE305" s="31">
        <f>VALUE(8)</f>
        <v>8</v>
      </c>
      <c r="AF305" s="31">
        <f>VALUE(8)</f>
        <v>8</v>
      </c>
      <c r="AG305" s="31">
        <f>VALUE(8)</f>
        <v>8</v>
      </c>
      <c r="AH305" s="31">
        <f>VALUE(8)</f>
        <v>8</v>
      </c>
      <c r="AI305" s="31">
        <f>VALUE(0)</f>
        <v>0</v>
      </c>
      <c r="AJ305" s="31">
        <f>VALUE(9)</f>
        <v>9</v>
      </c>
      <c r="AK305" s="31">
        <f>VALUE(9)</f>
        <v>9</v>
      </c>
      <c r="AL305" s="31">
        <f>VALUE(8)</f>
        <v>8</v>
      </c>
      <c r="AM305" s="31">
        <f>VALUE(8)</f>
        <v>8</v>
      </c>
      <c r="AN305" s="31">
        <f>VALUE(8)</f>
        <v>8</v>
      </c>
      <c r="AO305" s="31">
        <f>VALUE(8)</f>
        <v>8</v>
      </c>
      <c r="AP305" s="31">
        <v>0</v>
      </c>
      <c r="AQ305" s="31">
        <v>0</v>
      </c>
      <c r="AR305" s="31">
        <v>0</v>
      </c>
      <c r="AS305" s="31">
        <v>0</v>
      </c>
      <c r="AT305" s="31">
        <v>0</v>
      </c>
      <c r="AU305" s="31">
        <v>0</v>
      </c>
      <c r="AV305" s="31">
        <v>0</v>
      </c>
      <c r="AW305" s="31">
        <v>0</v>
      </c>
      <c r="AX305" s="31">
        <v>0</v>
      </c>
      <c r="AY305" s="31">
        <v>0</v>
      </c>
      <c r="AZ305" s="31">
        <v>0</v>
      </c>
      <c r="BA305" s="31">
        <v>0</v>
      </c>
      <c r="BB305" s="31">
        <v>0</v>
      </c>
      <c r="BC305" s="31">
        <v>0</v>
      </c>
      <c r="BD305" s="31">
        <v>0</v>
      </c>
      <c r="BE305" s="31">
        <v>0</v>
      </c>
      <c r="BF305" s="31">
        <v>0</v>
      </c>
      <c r="BG305" s="31">
        <v>0</v>
      </c>
      <c r="BH305" s="31">
        <v>0</v>
      </c>
      <c r="BI305" s="31">
        <v>0</v>
      </c>
      <c r="BJ305" s="31">
        <v>0</v>
      </c>
      <c r="BK305" s="12">
        <v>0</v>
      </c>
      <c r="BL305" s="12">
        <v>0</v>
      </c>
      <c r="BM305" s="12">
        <v>0</v>
      </c>
      <c r="BN305" s="12"/>
      <c r="BO305" s="12">
        <v>0</v>
      </c>
      <c r="BP305" s="12">
        <v>0</v>
      </c>
      <c r="BQ305" s="12">
        <v>0</v>
      </c>
      <c r="BR305" s="12">
        <v>0</v>
      </c>
      <c r="BS305" s="12">
        <v>0</v>
      </c>
      <c r="BT305" s="12">
        <v>0</v>
      </c>
      <c r="BU305" s="12">
        <v>0</v>
      </c>
      <c r="BV305" s="12">
        <v>0</v>
      </c>
      <c r="BW305" s="12">
        <v>0</v>
      </c>
      <c r="BX305" s="12">
        <v>0</v>
      </c>
      <c r="BY305" s="12">
        <v>0</v>
      </c>
      <c r="BZ305" s="12">
        <v>0</v>
      </c>
      <c r="CA305" s="12">
        <v>0</v>
      </c>
    </row>
    <row r="306" spans="1:79" ht="16.5" hidden="1" x14ac:dyDescent="0.2">
      <c r="A306" s="12" t="s">
        <v>141</v>
      </c>
      <c r="B306" s="12" t="s">
        <v>145</v>
      </c>
      <c r="C306" s="12" t="s">
        <v>145</v>
      </c>
      <c r="D306" s="22" t="s">
        <v>1286</v>
      </c>
      <c r="E306" s="22" t="s">
        <v>149</v>
      </c>
      <c r="F306" s="22" t="s">
        <v>1082</v>
      </c>
      <c r="G306" s="22" t="s">
        <v>1083</v>
      </c>
      <c r="H306" s="22" t="s">
        <v>166</v>
      </c>
      <c r="I306" s="22" t="s">
        <v>151</v>
      </c>
      <c r="J306" s="22" t="s">
        <v>524</v>
      </c>
      <c r="K306" s="22" t="s">
        <v>99</v>
      </c>
      <c r="L306" s="54" t="s">
        <v>153</v>
      </c>
      <c r="M306" s="23" t="s">
        <v>562</v>
      </c>
      <c r="N306" s="24" t="s">
        <v>153</v>
      </c>
      <c r="O306" s="25" t="s">
        <v>552</v>
      </c>
      <c r="P306" s="26" t="s">
        <v>1306</v>
      </c>
      <c r="Q306" s="23" t="s">
        <v>553</v>
      </c>
      <c r="R306" s="23" t="s">
        <v>553</v>
      </c>
      <c r="S306" s="23" t="s">
        <v>553</v>
      </c>
      <c r="T306" s="23" t="s">
        <v>553</v>
      </c>
      <c r="U306" s="24" t="s">
        <v>153</v>
      </c>
      <c r="V306" s="54" t="s">
        <v>153</v>
      </c>
      <c r="W306" s="26" t="s">
        <v>1306</v>
      </c>
      <c r="X306" s="23" t="s">
        <v>287</v>
      </c>
      <c r="Y306" s="23" t="s">
        <v>287</v>
      </c>
      <c r="Z306" s="29" t="s">
        <v>218</v>
      </c>
      <c r="AA306" s="23" t="s">
        <v>552</v>
      </c>
      <c r="AB306" s="24" t="s">
        <v>153</v>
      </c>
      <c r="AC306" s="26" t="s">
        <v>1306</v>
      </c>
      <c r="AD306" s="26" t="s">
        <v>1306</v>
      </c>
      <c r="AE306" s="23" t="s">
        <v>1307</v>
      </c>
      <c r="AF306" s="23" t="s">
        <v>1307</v>
      </c>
      <c r="AG306" s="23" t="s">
        <v>1307</v>
      </c>
      <c r="AH306" s="23" t="s">
        <v>1307</v>
      </c>
      <c r="AI306" s="24" t="s">
        <v>153</v>
      </c>
      <c r="AJ306" s="23" t="s">
        <v>554</v>
      </c>
      <c r="AK306" s="23" t="s">
        <v>554</v>
      </c>
      <c r="AL306" s="23" t="s">
        <v>1308</v>
      </c>
      <c r="AM306" s="23" t="s">
        <v>1308</v>
      </c>
      <c r="AN306" s="23" t="s">
        <v>555</v>
      </c>
      <c r="AO306" s="23" t="s">
        <v>555</v>
      </c>
      <c r="AP306" s="23">
        <f>VALUE(29)</f>
        <v>29</v>
      </c>
      <c r="AQ306" s="23">
        <f>VALUE(0)</f>
        <v>0</v>
      </c>
      <c r="AR306" s="23">
        <f>VALUE(1)</f>
        <v>1</v>
      </c>
      <c r="AS306" s="23">
        <f>VALUE(0)</f>
        <v>0</v>
      </c>
      <c r="AT306" s="23">
        <f>VALUE(0)</f>
        <v>0</v>
      </c>
      <c r="AU306" s="23">
        <f>VALUE(0)</f>
        <v>0</v>
      </c>
      <c r="AV306" s="23">
        <f>VALUE(3)</f>
        <v>3</v>
      </c>
      <c r="AW306" s="23">
        <f>VALUE(0)</f>
        <v>0</v>
      </c>
      <c r="AX306" s="23" t="s">
        <v>1309</v>
      </c>
      <c r="AY306" s="23">
        <f>VALUE(0)</f>
        <v>0</v>
      </c>
      <c r="AZ306" s="23">
        <f>VALUE(0)</f>
        <v>0</v>
      </c>
      <c r="BA306" s="23">
        <f>VALUE(0)</f>
        <v>0</v>
      </c>
      <c r="BB306" s="23">
        <f>VALUE(0)</f>
        <v>0</v>
      </c>
      <c r="BC306" s="23">
        <f>VALUE(0)</f>
        <v>0</v>
      </c>
      <c r="BD306" s="23">
        <f>VALUE(0)</f>
        <v>0</v>
      </c>
      <c r="BE306" s="23">
        <f>VALUE(0)</f>
        <v>0</v>
      </c>
      <c r="BF306" s="23">
        <f>VALUE(0)</f>
        <v>0</v>
      </c>
      <c r="BG306" s="23">
        <f>VALUE(0)</f>
        <v>0</v>
      </c>
      <c r="BH306" s="23">
        <f>VALUE(0)</f>
        <v>0</v>
      </c>
      <c r="BI306" s="23">
        <f>VALUE(0)</f>
        <v>0</v>
      </c>
      <c r="BJ306" s="23">
        <f>VALUE(0)</f>
        <v>0</v>
      </c>
      <c r="BK306" s="12">
        <f>$AX$306*24</f>
        <v>36.1</v>
      </c>
      <c r="BL306" s="12">
        <f>$AY$306*24</f>
        <v>0</v>
      </c>
      <c r="BM306" s="12">
        <f>$BJ$306*24</f>
        <v>0</v>
      </c>
      <c r="BN306" s="12">
        <f>VALUE($I$306)/100</f>
        <v>1</v>
      </c>
      <c r="BO306" s="12">
        <v>0</v>
      </c>
      <c r="BP306" s="12">
        <v>0</v>
      </c>
      <c r="BQ306" s="12">
        <v>0</v>
      </c>
      <c r="BR306" s="12">
        <v>0</v>
      </c>
      <c r="BS306" s="12">
        <v>1</v>
      </c>
      <c r="BT306" s="12">
        <v>0</v>
      </c>
      <c r="BU306" s="12">
        <v>0</v>
      </c>
      <c r="BV306" s="12">
        <v>0</v>
      </c>
      <c r="BW306" s="12">
        <v>0</v>
      </c>
      <c r="BX306" s="12">
        <v>0</v>
      </c>
      <c r="BY306" s="12">
        <v>0</v>
      </c>
      <c r="BZ306" s="12">
        <v>0</v>
      </c>
      <c r="CA306" s="12">
        <v>0</v>
      </c>
    </row>
    <row r="307" spans="1:79" hidden="1" x14ac:dyDescent="0.2">
      <c r="A307" s="12" t="s">
        <v>141</v>
      </c>
      <c r="B307" s="12" t="s">
        <v>145</v>
      </c>
      <c r="C307" s="12" t="s">
        <v>145</v>
      </c>
      <c r="D307" s="22" t="s">
        <v>556</v>
      </c>
      <c r="E307" s="22" t="s">
        <v>161</v>
      </c>
      <c r="F307" s="22" t="s">
        <v>1084</v>
      </c>
      <c r="G307" s="22" t="s">
        <v>1085</v>
      </c>
      <c r="H307" s="22" t="s">
        <v>150</v>
      </c>
      <c r="I307" s="22" t="s">
        <v>557</v>
      </c>
      <c r="J307" s="22" t="s">
        <v>530</v>
      </c>
      <c r="K307" s="22" t="s">
        <v>99</v>
      </c>
      <c r="L307" s="54" t="s">
        <v>153</v>
      </c>
      <c r="M307" s="24" t="s">
        <v>195</v>
      </c>
      <c r="N307" s="24" t="s">
        <v>153</v>
      </c>
      <c r="O307" s="23" t="s">
        <v>558</v>
      </c>
      <c r="P307" s="23" t="s">
        <v>558</v>
      </c>
      <c r="Q307" s="23" t="s">
        <v>153</v>
      </c>
      <c r="R307" s="23" t="s">
        <v>153</v>
      </c>
      <c r="S307" s="23" t="s">
        <v>153</v>
      </c>
      <c r="T307" s="23" t="s">
        <v>153</v>
      </c>
      <c r="U307" s="24" t="s">
        <v>153</v>
      </c>
      <c r="V307" s="54" t="s">
        <v>153</v>
      </c>
      <c r="W307" s="23" t="s">
        <v>153</v>
      </c>
      <c r="X307" s="23" t="s">
        <v>153</v>
      </c>
      <c r="Y307" s="23" t="s">
        <v>153</v>
      </c>
      <c r="Z307" s="23" t="s">
        <v>552</v>
      </c>
      <c r="AA307" s="23" t="s">
        <v>153</v>
      </c>
      <c r="AB307" s="24" t="s">
        <v>153</v>
      </c>
      <c r="AC307" s="23" t="s">
        <v>153</v>
      </c>
      <c r="AD307" s="23" t="s">
        <v>153</v>
      </c>
      <c r="AE307" s="23" t="s">
        <v>153</v>
      </c>
      <c r="AF307" s="23" t="s">
        <v>153</v>
      </c>
      <c r="AG307" s="23" t="s">
        <v>153</v>
      </c>
      <c r="AH307" s="23" t="s">
        <v>153</v>
      </c>
      <c r="AI307" s="24" t="s">
        <v>153</v>
      </c>
      <c r="AJ307" s="23" t="s">
        <v>153</v>
      </c>
      <c r="AK307" s="23" t="s">
        <v>153</v>
      </c>
      <c r="AL307" s="24" t="s">
        <v>156</v>
      </c>
      <c r="AM307" s="24" t="s">
        <v>156</v>
      </c>
      <c r="AN307" s="23" t="s">
        <v>153</v>
      </c>
      <c r="AO307" s="23" t="s">
        <v>153</v>
      </c>
      <c r="AP307" s="23">
        <f>VALUE(22)</f>
        <v>22</v>
      </c>
      <c r="AQ307" s="23">
        <f>VALUE(0)</f>
        <v>0</v>
      </c>
      <c r="AR307" s="23">
        <f>VALUE(0)</f>
        <v>0</v>
      </c>
      <c r="AS307" s="23">
        <f>VALUE(0)</f>
        <v>0</v>
      </c>
      <c r="AT307" s="23">
        <f>VALUE(0)</f>
        <v>0</v>
      </c>
      <c r="AU307" s="23">
        <f>VALUE(0)</f>
        <v>0</v>
      </c>
      <c r="AV307" s="23">
        <f>VALUE(2)</f>
        <v>2</v>
      </c>
      <c r="AW307" s="23">
        <f>VALUE(0)</f>
        <v>0</v>
      </c>
      <c r="AX307" s="23" t="s">
        <v>289</v>
      </c>
      <c r="AY307" s="23" t="s">
        <v>255</v>
      </c>
      <c r="AZ307" s="23">
        <f>VALUE(0)</f>
        <v>0</v>
      </c>
      <c r="BA307" s="23">
        <f>VALUE(0)</f>
        <v>0</v>
      </c>
      <c r="BB307" s="23">
        <f>VALUE(0)</f>
        <v>0</v>
      </c>
      <c r="BC307" s="23">
        <f>VALUE(0)</f>
        <v>0</v>
      </c>
      <c r="BD307" s="23">
        <f>VALUE(0)</f>
        <v>0</v>
      </c>
      <c r="BE307" s="23">
        <f>VALUE(0)</f>
        <v>0</v>
      </c>
      <c r="BF307" s="23">
        <f>VALUE(0)</f>
        <v>0</v>
      </c>
      <c r="BG307" s="23">
        <f>VALUE(0)</f>
        <v>0</v>
      </c>
      <c r="BH307" s="23">
        <f>VALUE(0)</f>
        <v>0</v>
      </c>
      <c r="BI307" s="23">
        <f>VALUE(0)</f>
        <v>0</v>
      </c>
      <c r="BJ307" s="23">
        <f>VALUE(0)</f>
        <v>0</v>
      </c>
      <c r="BK307" s="12">
        <f>$AX$307*24</f>
        <v>5.583333333333333</v>
      </c>
      <c r="BL307" s="12">
        <f>$AY$307*24</f>
        <v>2.5</v>
      </c>
      <c r="BM307" s="12">
        <f>$BJ$307*24</f>
        <v>0</v>
      </c>
      <c r="BN307" s="12">
        <f>VALUE($I$307)/100</f>
        <v>0.78</v>
      </c>
      <c r="BO307" s="12">
        <v>0</v>
      </c>
      <c r="BP307" s="12">
        <v>0</v>
      </c>
      <c r="BQ307" s="12">
        <v>0</v>
      </c>
      <c r="BR307" s="12">
        <v>0</v>
      </c>
      <c r="BS307" s="12">
        <v>0</v>
      </c>
      <c r="BT307" s="12">
        <v>0</v>
      </c>
      <c r="BU307" s="12">
        <v>0</v>
      </c>
      <c r="BV307" s="12">
        <v>0</v>
      </c>
      <c r="BW307" s="12">
        <v>0</v>
      </c>
      <c r="BX307" s="12">
        <v>0</v>
      </c>
      <c r="BY307" s="12">
        <v>0</v>
      </c>
      <c r="BZ307" s="12">
        <v>0</v>
      </c>
      <c r="CA307" s="12">
        <v>0</v>
      </c>
    </row>
    <row r="308" spans="1:79" hidden="1" x14ac:dyDescent="0.2">
      <c r="A308" s="12" t="s">
        <v>141</v>
      </c>
      <c r="B308" s="12" t="s">
        <v>145</v>
      </c>
      <c r="C308" s="12" t="s">
        <v>145</v>
      </c>
      <c r="D308" s="22" t="s">
        <v>555</v>
      </c>
      <c r="E308" s="22" t="s">
        <v>161</v>
      </c>
      <c r="F308" s="22" t="s">
        <v>1086</v>
      </c>
      <c r="G308" s="22" t="s">
        <v>1087</v>
      </c>
      <c r="H308" s="22" t="s">
        <v>166</v>
      </c>
      <c r="I308" s="22" t="s">
        <v>151</v>
      </c>
      <c r="J308" s="22" t="s">
        <v>162</v>
      </c>
      <c r="K308" s="22" t="s">
        <v>99</v>
      </c>
      <c r="L308" s="54" t="s">
        <v>153</v>
      </c>
      <c r="M308" s="23" t="s">
        <v>153</v>
      </c>
      <c r="N308" s="24" t="s">
        <v>153</v>
      </c>
      <c r="O308" s="28" t="s">
        <v>163</v>
      </c>
      <c r="P308" s="28" t="s">
        <v>163</v>
      </c>
      <c r="Q308" s="28" t="s">
        <v>163</v>
      </c>
      <c r="R308" s="28" t="s">
        <v>163</v>
      </c>
      <c r="S308" s="28" t="s">
        <v>163</v>
      </c>
      <c r="T308" s="28" t="s">
        <v>163</v>
      </c>
      <c r="U308" s="24" t="s">
        <v>153</v>
      </c>
      <c r="V308" s="54" t="s">
        <v>153</v>
      </c>
      <c r="W308" s="23" t="s">
        <v>153</v>
      </c>
      <c r="X308" s="23" t="s">
        <v>153</v>
      </c>
      <c r="Y308" s="23" t="s">
        <v>153</v>
      </c>
      <c r="Z308" s="23" t="s">
        <v>153</v>
      </c>
      <c r="AA308" s="23" t="s">
        <v>153</v>
      </c>
      <c r="AB308" s="24" t="s">
        <v>153</v>
      </c>
      <c r="AC308" s="23" t="s">
        <v>153</v>
      </c>
      <c r="AD308" s="23" t="s">
        <v>153</v>
      </c>
      <c r="AE308" s="23" t="s">
        <v>153</v>
      </c>
      <c r="AF308" s="23" t="s">
        <v>153</v>
      </c>
      <c r="AG308" s="23" t="s">
        <v>153</v>
      </c>
      <c r="AH308" s="23" t="s">
        <v>153</v>
      </c>
      <c r="AI308" s="24" t="s">
        <v>153</v>
      </c>
      <c r="AJ308" s="23" t="s">
        <v>153</v>
      </c>
      <c r="AK308" s="23" t="s">
        <v>153</v>
      </c>
      <c r="AL308" s="23" t="s">
        <v>153</v>
      </c>
      <c r="AM308" s="23" t="s">
        <v>153</v>
      </c>
      <c r="AN308" s="24" t="s">
        <v>156</v>
      </c>
      <c r="AO308" s="24" t="s">
        <v>156</v>
      </c>
      <c r="AP308" s="23">
        <f>VALUE(32)</f>
        <v>32</v>
      </c>
      <c r="AQ308" s="23">
        <f>VALUE(0)</f>
        <v>0</v>
      </c>
      <c r="AR308" s="23">
        <f>VALUE(0)</f>
        <v>0</v>
      </c>
      <c r="AS308" s="23">
        <f>VALUE(0)</f>
        <v>0</v>
      </c>
      <c r="AT308" s="23">
        <f>VALUE(0)</f>
        <v>0</v>
      </c>
      <c r="AU308" s="23">
        <f>VALUE(6)</f>
        <v>6</v>
      </c>
      <c r="AV308" s="23">
        <f>VALUE(0)</f>
        <v>0</v>
      </c>
      <c r="AW308" s="23">
        <f>VALUE(2)</f>
        <v>2</v>
      </c>
      <c r="AX308" s="23" t="s">
        <v>560</v>
      </c>
      <c r="AY308" s="23">
        <f>VALUE(0)</f>
        <v>0</v>
      </c>
      <c r="AZ308" s="23">
        <f>VALUE(0)</f>
        <v>0</v>
      </c>
      <c r="BA308" s="23">
        <f>VALUE(0)</f>
        <v>0</v>
      </c>
      <c r="BB308" s="23">
        <f>VALUE(0)</f>
        <v>0</v>
      </c>
      <c r="BC308" s="23">
        <f>VALUE(0)</f>
        <v>0</v>
      </c>
      <c r="BD308" s="23">
        <f>VALUE(0)</f>
        <v>0</v>
      </c>
      <c r="BE308" s="23">
        <f>VALUE(0)</f>
        <v>0</v>
      </c>
      <c r="BF308" s="23">
        <f>VALUE(0)</f>
        <v>0</v>
      </c>
      <c r="BG308" s="23">
        <f>VALUE(0)</f>
        <v>0</v>
      </c>
      <c r="BH308" s="23">
        <f>VALUE(0)</f>
        <v>0</v>
      </c>
      <c r="BI308" s="23">
        <f>VALUE(0)</f>
        <v>0</v>
      </c>
      <c r="BJ308" s="23">
        <f>VALUE(0)</f>
        <v>0</v>
      </c>
      <c r="BK308" s="12">
        <f>$AX$308*24</f>
        <v>1.3166666666666667</v>
      </c>
      <c r="BL308" s="12">
        <f>$AY$308*24</f>
        <v>0</v>
      </c>
      <c r="BM308" s="12">
        <f>$BJ$308*24</f>
        <v>0</v>
      </c>
      <c r="BN308" s="12">
        <f>VALUE($I$308)/100</f>
        <v>1</v>
      </c>
      <c r="BO308" s="12">
        <v>0</v>
      </c>
      <c r="BP308" s="12">
        <v>0</v>
      </c>
      <c r="BQ308" s="12">
        <v>0</v>
      </c>
      <c r="BR308" s="12">
        <v>0</v>
      </c>
      <c r="BS308" s="12">
        <v>0</v>
      </c>
      <c r="BT308" s="12">
        <v>0</v>
      </c>
      <c r="BU308" s="12">
        <v>0</v>
      </c>
      <c r="BV308" s="12">
        <v>0</v>
      </c>
      <c r="BW308" s="12">
        <v>0</v>
      </c>
      <c r="BX308" s="12">
        <v>0</v>
      </c>
      <c r="BY308" s="12">
        <v>0</v>
      </c>
      <c r="BZ308" s="12">
        <v>0</v>
      </c>
      <c r="CA308" s="12">
        <v>0</v>
      </c>
    </row>
    <row r="309" spans="1:79" hidden="1" x14ac:dyDescent="0.2">
      <c r="A309" s="12" t="s">
        <v>141</v>
      </c>
      <c r="B309" s="12" t="s">
        <v>145</v>
      </c>
      <c r="C309" s="12" t="s">
        <v>145</v>
      </c>
      <c r="D309" s="22" t="s">
        <v>555</v>
      </c>
      <c r="E309" s="22" t="s">
        <v>161</v>
      </c>
      <c r="F309" s="22" t="s">
        <v>1088</v>
      </c>
      <c r="G309" s="22" t="s">
        <v>1089</v>
      </c>
      <c r="H309" s="22" t="s">
        <v>150</v>
      </c>
      <c r="I309" s="22" t="s">
        <v>343</v>
      </c>
      <c r="J309" s="22" t="s">
        <v>162</v>
      </c>
      <c r="K309" s="22" t="s">
        <v>99</v>
      </c>
      <c r="L309" s="54" t="s">
        <v>153</v>
      </c>
      <c r="M309" s="33" t="s">
        <v>475</v>
      </c>
      <c r="N309" s="24" t="s">
        <v>153</v>
      </c>
      <c r="O309" s="33" t="s">
        <v>475</v>
      </c>
      <c r="P309" s="33" t="s">
        <v>475</v>
      </c>
      <c r="Q309" s="33" t="s">
        <v>475</v>
      </c>
      <c r="R309" s="33" t="s">
        <v>475</v>
      </c>
      <c r="S309" s="33" t="s">
        <v>475</v>
      </c>
      <c r="T309" s="33" t="s">
        <v>475</v>
      </c>
      <c r="U309" s="24" t="s">
        <v>153</v>
      </c>
      <c r="V309" s="54" t="s">
        <v>156</v>
      </c>
      <c r="W309" s="33" t="s">
        <v>475</v>
      </c>
      <c r="X309" s="33" t="s">
        <v>475</v>
      </c>
      <c r="Y309" s="33" t="s">
        <v>475</v>
      </c>
      <c r="Z309" s="33" t="s">
        <v>475</v>
      </c>
      <c r="AA309" s="33" t="s">
        <v>475</v>
      </c>
      <c r="AB309" s="24" t="s">
        <v>153</v>
      </c>
      <c r="AC309" s="33" t="s">
        <v>475</v>
      </c>
      <c r="AD309" s="33" t="s">
        <v>475</v>
      </c>
      <c r="AE309" s="33" t="s">
        <v>475</v>
      </c>
      <c r="AF309" s="33" t="s">
        <v>475</v>
      </c>
      <c r="AG309" s="33" t="s">
        <v>475</v>
      </c>
      <c r="AH309" s="33" t="s">
        <v>475</v>
      </c>
      <c r="AI309" s="24" t="s">
        <v>153</v>
      </c>
      <c r="AJ309" s="33" t="s">
        <v>475</v>
      </c>
      <c r="AK309" s="33" t="s">
        <v>475</v>
      </c>
      <c r="AL309" s="33" t="s">
        <v>475</v>
      </c>
      <c r="AM309" s="33" t="s">
        <v>475</v>
      </c>
      <c r="AN309" s="33" t="s">
        <v>475</v>
      </c>
      <c r="AO309" s="33" t="s">
        <v>475</v>
      </c>
      <c r="AP309" s="23">
        <f>VALUE(0)</f>
        <v>0</v>
      </c>
      <c r="AQ309" s="23">
        <f>VALUE(0)</f>
        <v>0</v>
      </c>
      <c r="AR309" s="23">
        <f>VALUE(0)</f>
        <v>0</v>
      </c>
      <c r="AS309" s="23">
        <f>VALUE(0)</f>
        <v>0</v>
      </c>
      <c r="AT309" s="23">
        <f>VALUE(0)</f>
        <v>0</v>
      </c>
      <c r="AU309" s="23">
        <f>VALUE(0)</f>
        <v>0</v>
      </c>
      <c r="AV309" s="23">
        <f>VALUE(0)</f>
        <v>0</v>
      </c>
      <c r="AW309" s="23">
        <f>VALUE(0)</f>
        <v>0</v>
      </c>
      <c r="AX309" s="23" t="s">
        <v>487</v>
      </c>
      <c r="AY309" s="23" t="s">
        <v>176</v>
      </c>
      <c r="AZ309" s="23">
        <f>VALUE(0)</f>
        <v>0</v>
      </c>
      <c r="BA309" s="23">
        <f>VALUE(0)</f>
        <v>0</v>
      </c>
      <c r="BB309" s="23">
        <f>VALUE(0)</f>
        <v>0</v>
      </c>
      <c r="BC309" s="23">
        <f>VALUE(0)</f>
        <v>0</v>
      </c>
      <c r="BD309" s="23">
        <f>VALUE(0)</f>
        <v>0</v>
      </c>
      <c r="BE309" s="23">
        <f>VALUE(0)</f>
        <v>0</v>
      </c>
      <c r="BF309" s="23">
        <f>VALUE(0)</f>
        <v>0</v>
      </c>
      <c r="BG309" s="23">
        <f>VALUE(0)</f>
        <v>0</v>
      </c>
      <c r="BH309" s="23">
        <f>VALUE(0)</f>
        <v>0</v>
      </c>
      <c r="BI309" s="23">
        <f>VALUE(0)</f>
        <v>0</v>
      </c>
      <c r="BJ309" s="23">
        <f>VALUE(0)</f>
        <v>0</v>
      </c>
      <c r="BK309" s="12">
        <f>$AX$309*24</f>
        <v>4.083333333333333</v>
      </c>
      <c r="BL309" s="12">
        <f>$AY$309*24</f>
        <v>0</v>
      </c>
      <c r="BM309" s="12">
        <f>$BJ$309*24</f>
        <v>0</v>
      </c>
      <c r="BN309" s="12">
        <f>VALUE($I$309)/100</f>
        <v>0.7</v>
      </c>
      <c r="BO309" s="12">
        <v>0</v>
      </c>
      <c r="BP309" s="12">
        <v>0</v>
      </c>
      <c r="BQ309" s="12">
        <v>0</v>
      </c>
      <c r="BR309" s="12">
        <v>0</v>
      </c>
      <c r="BS309" s="12">
        <v>0</v>
      </c>
      <c r="BT309" s="12">
        <v>0</v>
      </c>
      <c r="BU309" s="12">
        <v>0</v>
      </c>
      <c r="BV309" s="12">
        <v>0</v>
      </c>
      <c r="BW309" s="12">
        <v>0</v>
      </c>
      <c r="BX309" s="12">
        <v>0</v>
      </c>
      <c r="BY309" s="12">
        <v>0</v>
      </c>
      <c r="BZ309" s="12">
        <v>0</v>
      </c>
      <c r="CA309" s="12">
        <v>0</v>
      </c>
    </row>
    <row r="310" spans="1:79" hidden="1" x14ac:dyDescent="0.2">
      <c r="A310" s="12" t="s">
        <v>141</v>
      </c>
      <c r="B310" s="12" t="s">
        <v>145</v>
      </c>
      <c r="C310" s="12" t="s">
        <v>145</v>
      </c>
      <c r="D310" s="22" t="s">
        <v>553</v>
      </c>
      <c r="E310" s="22" t="s">
        <v>161</v>
      </c>
      <c r="F310" s="22" t="s">
        <v>1310</v>
      </c>
      <c r="G310" s="22" t="s">
        <v>1090</v>
      </c>
      <c r="H310" s="22" t="s">
        <v>150</v>
      </c>
      <c r="I310" s="22" t="s">
        <v>151</v>
      </c>
      <c r="J310" s="22" t="s">
        <v>162</v>
      </c>
      <c r="K310" s="22" t="s">
        <v>99</v>
      </c>
      <c r="L310" s="54" t="s">
        <v>153</v>
      </c>
      <c r="M310" s="23" t="s">
        <v>153</v>
      </c>
      <c r="N310" s="24" t="s">
        <v>153</v>
      </c>
      <c r="O310" s="23" t="s">
        <v>153</v>
      </c>
      <c r="P310" s="23" t="s">
        <v>153</v>
      </c>
      <c r="Q310" s="24" t="s">
        <v>156</v>
      </c>
      <c r="R310" s="24" t="s">
        <v>156</v>
      </c>
      <c r="S310" s="28" t="s">
        <v>163</v>
      </c>
      <c r="T310" s="28" t="s">
        <v>163</v>
      </c>
      <c r="U310" s="24" t="s">
        <v>153</v>
      </c>
      <c r="V310" s="54" t="s">
        <v>153</v>
      </c>
      <c r="W310" s="23" t="s">
        <v>153</v>
      </c>
      <c r="X310" s="23" t="s">
        <v>153</v>
      </c>
      <c r="Y310" s="23" t="s">
        <v>153</v>
      </c>
      <c r="Z310" s="23" t="s">
        <v>153</v>
      </c>
      <c r="AA310" s="23" t="s">
        <v>153</v>
      </c>
      <c r="AB310" s="24" t="s">
        <v>153</v>
      </c>
      <c r="AC310" s="23" t="s">
        <v>153</v>
      </c>
      <c r="AD310" s="23" t="s">
        <v>153</v>
      </c>
      <c r="AE310" s="23" t="s">
        <v>153</v>
      </c>
      <c r="AF310" s="23" t="s">
        <v>153</v>
      </c>
      <c r="AG310" s="23" t="s">
        <v>153</v>
      </c>
      <c r="AH310" s="23" t="s">
        <v>153</v>
      </c>
      <c r="AI310" s="24" t="s">
        <v>153</v>
      </c>
      <c r="AJ310" s="23" t="s">
        <v>153</v>
      </c>
      <c r="AK310" s="23" t="s">
        <v>153</v>
      </c>
      <c r="AL310" s="23" t="s">
        <v>153</v>
      </c>
      <c r="AM310" s="23" t="s">
        <v>153</v>
      </c>
      <c r="AN310" s="23" t="s">
        <v>153</v>
      </c>
      <c r="AO310" s="23" t="s">
        <v>153</v>
      </c>
      <c r="AP310" s="23">
        <f>VALUE(28)</f>
        <v>28</v>
      </c>
      <c r="AQ310" s="23">
        <f>VALUE(0)</f>
        <v>0</v>
      </c>
      <c r="AR310" s="23">
        <f>VALUE(0)</f>
        <v>0</v>
      </c>
      <c r="AS310" s="23">
        <f>VALUE(0)</f>
        <v>0</v>
      </c>
      <c r="AT310" s="23">
        <f>VALUE(0)</f>
        <v>0</v>
      </c>
      <c r="AU310" s="23">
        <f>VALUE(2)</f>
        <v>2</v>
      </c>
      <c r="AV310" s="23">
        <f>VALUE(2)</f>
        <v>2</v>
      </c>
      <c r="AW310" s="23">
        <f>VALUE(0)</f>
        <v>0</v>
      </c>
      <c r="AX310" s="23" t="s">
        <v>176</v>
      </c>
      <c r="AY310" s="23" t="s">
        <v>561</v>
      </c>
      <c r="AZ310" s="23">
        <f>VALUE(0)</f>
        <v>0</v>
      </c>
      <c r="BA310" s="23">
        <f>VALUE(0)</f>
        <v>0</v>
      </c>
      <c r="BB310" s="23">
        <f>VALUE(0)</f>
        <v>0</v>
      </c>
      <c r="BC310" s="23">
        <f>VALUE(0)</f>
        <v>0</v>
      </c>
      <c r="BD310" s="23">
        <f>VALUE(0)</f>
        <v>0</v>
      </c>
      <c r="BE310" s="23">
        <f>VALUE(0)</f>
        <v>0</v>
      </c>
      <c r="BF310" s="23">
        <f>VALUE(0)</f>
        <v>0</v>
      </c>
      <c r="BG310" s="23">
        <f>VALUE(0)</f>
        <v>0</v>
      </c>
      <c r="BH310" s="23">
        <f>VALUE(0)</f>
        <v>0</v>
      </c>
      <c r="BI310" s="23">
        <f>VALUE(0)</f>
        <v>0</v>
      </c>
      <c r="BJ310" s="23">
        <f>VALUE(0)</f>
        <v>0</v>
      </c>
      <c r="BK310" s="12">
        <f>$AX$310*24</f>
        <v>0</v>
      </c>
      <c r="BL310" s="12">
        <f>$AY$310*24</f>
        <v>7.0666666666666664</v>
      </c>
      <c r="BM310" s="12">
        <f>$BJ$310*24</f>
        <v>0</v>
      </c>
      <c r="BN310" s="12">
        <f>VALUE($I$310)/100</f>
        <v>1</v>
      </c>
      <c r="BO310" s="12">
        <v>0</v>
      </c>
      <c r="BP310" s="12">
        <v>0</v>
      </c>
      <c r="BQ310" s="12">
        <v>0</v>
      </c>
      <c r="BR310" s="12">
        <v>0</v>
      </c>
      <c r="BS310" s="12">
        <v>0</v>
      </c>
      <c r="BT310" s="12">
        <v>0</v>
      </c>
      <c r="BU310" s="12">
        <v>0</v>
      </c>
      <c r="BV310" s="12">
        <v>0</v>
      </c>
      <c r="BW310" s="12">
        <v>0</v>
      </c>
      <c r="BX310" s="12">
        <v>0</v>
      </c>
      <c r="BY310" s="12">
        <v>0</v>
      </c>
      <c r="BZ310" s="12">
        <v>0</v>
      </c>
      <c r="CA310" s="12">
        <v>0</v>
      </c>
    </row>
    <row r="311" spans="1:79" hidden="1" x14ac:dyDescent="0.2">
      <c r="A311" s="12" t="s">
        <v>141</v>
      </c>
      <c r="B311" s="12" t="s">
        <v>145</v>
      </c>
      <c r="C311" s="12" t="s">
        <v>145</v>
      </c>
      <c r="D311" s="22" t="s">
        <v>562</v>
      </c>
      <c r="E311" s="22" t="s">
        <v>161</v>
      </c>
      <c r="F311" s="22" t="s">
        <v>1091</v>
      </c>
      <c r="G311" s="22" t="s">
        <v>1092</v>
      </c>
      <c r="H311" s="22" t="s">
        <v>166</v>
      </c>
      <c r="I311" s="22" t="s">
        <v>194</v>
      </c>
      <c r="J311" s="22" t="s">
        <v>162</v>
      </c>
      <c r="K311" s="22" t="s">
        <v>99</v>
      </c>
      <c r="L311" s="54" t="s">
        <v>153</v>
      </c>
      <c r="M311" s="28" t="s">
        <v>163</v>
      </c>
      <c r="N311" s="24" t="s">
        <v>153</v>
      </c>
      <c r="O311" s="23" t="s">
        <v>153</v>
      </c>
      <c r="P311" s="23" t="s">
        <v>153</v>
      </c>
      <c r="Q311" s="23" t="s">
        <v>153</v>
      </c>
      <c r="R311" s="23" t="s">
        <v>153</v>
      </c>
      <c r="S311" s="23" t="s">
        <v>153</v>
      </c>
      <c r="T311" s="23" t="s">
        <v>153</v>
      </c>
      <c r="U311" s="24" t="s">
        <v>153</v>
      </c>
      <c r="V311" s="54" t="s">
        <v>153</v>
      </c>
      <c r="W311" s="24" t="s">
        <v>195</v>
      </c>
      <c r="X311" s="24" t="s">
        <v>195</v>
      </c>
      <c r="Y311" s="24" t="s">
        <v>195</v>
      </c>
      <c r="Z311" s="24" t="s">
        <v>195</v>
      </c>
      <c r="AA311" s="24" t="s">
        <v>195</v>
      </c>
      <c r="AB311" s="24" t="s">
        <v>153</v>
      </c>
      <c r="AC311" s="23" t="s">
        <v>153</v>
      </c>
      <c r="AD311" s="23" t="s">
        <v>153</v>
      </c>
      <c r="AE311" s="23" t="s">
        <v>153</v>
      </c>
      <c r="AF311" s="23" t="s">
        <v>153</v>
      </c>
      <c r="AG311" s="23" t="s">
        <v>153</v>
      </c>
      <c r="AH311" s="23" t="s">
        <v>153</v>
      </c>
      <c r="AI311" s="24" t="s">
        <v>153</v>
      </c>
      <c r="AJ311" s="23" t="s">
        <v>153</v>
      </c>
      <c r="AK311" s="23" t="s">
        <v>153</v>
      </c>
      <c r="AL311" s="23" t="s">
        <v>153</v>
      </c>
      <c r="AM311" s="23" t="s">
        <v>153</v>
      </c>
      <c r="AN311" s="23" t="s">
        <v>153</v>
      </c>
      <c r="AO311" s="23" t="s">
        <v>153</v>
      </c>
      <c r="AP311" s="23">
        <f>VALUE(24)</f>
        <v>24</v>
      </c>
      <c r="AQ311" s="23">
        <f>VALUE(0)</f>
        <v>0</v>
      </c>
      <c r="AR311" s="23">
        <f>VALUE(0)</f>
        <v>0</v>
      </c>
      <c r="AS311" s="23">
        <f>VALUE(0)</f>
        <v>0</v>
      </c>
      <c r="AT311" s="23">
        <f>VALUE(0)</f>
        <v>0</v>
      </c>
      <c r="AU311" s="23">
        <f>VALUE(1)</f>
        <v>1</v>
      </c>
      <c r="AV311" s="23">
        <f>VALUE(19)</f>
        <v>19</v>
      </c>
      <c r="AW311" s="23">
        <f>VALUE(0)</f>
        <v>0</v>
      </c>
      <c r="AX311" s="23" t="s">
        <v>1311</v>
      </c>
      <c r="AY311" s="23">
        <f>VALUE(0)</f>
        <v>0</v>
      </c>
      <c r="AZ311" s="23">
        <f>VALUE(0)</f>
        <v>0</v>
      </c>
      <c r="BA311" s="23">
        <f>VALUE(0)</f>
        <v>0</v>
      </c>
      <c r="BB311" s="23">
        <f>VALUE(0)</f>
        <v>0</v>
      </c>
      <c r="BC311" s="23">
        <f>VALUE(0)</f>
        <v>0</v>
      </c>
      <c r="BD311" s="23">
        <f>VALUE(0)</f>
        <v>0</v>
      </c>
      <c r="BE311" s="23">
        <f>VALUE(0)</f>
        <v>0</v>
      </c>
      <c r="BF311" s="23">
        <f>VALUE(0)</f>
        <v>0</v>
      </c>
      <c r="BG311" s="23">
        <f>VALUE(0)</f>
        <v>0</v>
      </c>
      <c r="BH311" s="23">
        <f>VALUE(0)</f>
        <v>0</v>
      </c>
      <c r="BI311" s="23">
        <f>VALUE(0)</f>
        <v>0</v>
      </c>
      <c r="BJ311" s="23">
        <f>VALUE(0)</f>
        <v>0</v>
      </c>
      <c r="BK311" s="12">
        <f>$AX$311*24</f>
        <v>10.9</v>
      </c>
      <c r="BL311" s="12">
        <f>$AY$311*24</f>
        <v>0</v>
      </c>
      <c r="BM311" s="12">
        <f>$BJ$311*24</f>
        <v>0</v>
      </c>
      <c r="BN311" s="12">
        <f>VALUE($I$311)/100</f>
        <v>0.8</v>
      </c>
      <c r="BO311" s="12">
        <v>0</v>
      </c>
      <c r="BP311" s="12">
        <v>0</v>
      </c>
      <c r="BQ311" s="12">
        <v>0</v>
      </c>
      <c r="BR311" s="12">
        <v>0</v>
      </c>
      <c r="BS311" s="12">
        <v>0</v>
      </c>
      <c r="BT311" s="12">
        <v>0</v>
      </c>
      <c r="BU311" s="12">
        <v>0</v>
      </c>
      <c r="BV311" s="12">
        <v>0</v>
      </c>
      <c r="BW311" s="12">
        <v>0</v>
      </c>
      <c r="BX311" s="12">
        <v>0</v>
      </c>
      <c r="BY311" s="12">
        <v>0</v>
      </c>
      <c r="BZ311" s="12">
        <v>0</v>
      </c>
      <c r="CA311" s="12">
        <v>0</v>
      </c>
    </row>
    <row r="312" spans="1:79" hidden="1" x14ac:dyDescent="0.2">
      <c r="A312" s="12" t="s">
        <v>141</v>
      </c>
      <c r="B312" s="12" t="s">
        <v>145</v>
      </c>
      <c r="C312" s="12" t="s">
        <v>145</v>
      </c>
      <c r="D312" s="22" t="s">
        <v>558</v>
      </c>
      <c r="E312" s="22" t="s">
        <v>161</v>
      </c>
      <c r="F312" s="22" t="s">
        <v>1093</v>
      </c>
      <c r="G312" s="22" t="s">
        <v>1094</v>
      </c>
      <c r="H312" s="22" t="s">
        <v>150</v>
      </c>
      <c r="I312" s="22" t="s">
        <v>563</v>
      </c>
      <c r="J312" s="22" t="s">
        <v>162</v>
      </c>
      <c r="K312" s="22" t="s">
        <v>99</v>
      </c>
      <c r="L312" s="54" t="s">
        <v>153</v>
      </c>
      <c r="M312" s="23" t="s">
        <v>153</v>
      </c>
      <c r="N312" s="24" t="s">
        <v>153</v>
      </c>
      <c r="O312" s="24" t="s">
        <v>156</v>
      </c>
      <c r="P312" s="24" t="s">
        <v>156</v>
      </c>
      <c r="Q312" s="23" t="s">
        <v>153</v>
      </c>
      <c r="R312" s="23" t="s">
        <v>153</v>
      </c>
      <c r="S312" s="23" t="s">
        <v>153</v>
      </c>
      <c r="T312" s="23" t="s">
        <v>153</v>
      </c>
      <c r="U312" s="24" t="s">
        <v>153</v>
      </c>
      <c r="V312" s="54" t="s">
        <v>153</v>
      </c>
      <c r="W312" s="23" t="s">
        <v>153</v>
      </c>
      <c r="X312" s="23" t="s">
        <v>153</v>
      </c>
      <c r="Y312" s="23" t="s">
        <v>153</v>
      </c>
      <c r="Z312" s="23" t="s">
        <v>153</v>
      </c>
      <c r="AA312" s="23" t="s">
        <v>153</v>
      </c>
      <c r="AB312" s="24" t="s">
        <v>153</v>
      </c>
      <c r="AC312" s="23" t="s">
        <v>153</v>
      </c>
      <c r="AD312" s="23" t="s">
        <v>153</v>
      </c>
      <c r="AE312" s="23" t="s">
        <v>153</v>
      </c>
      <c r="AF312" s="23" t="s">
        <v>153</v>
      </c>
      <c r="AG312" s="23" t="s">
        <v>153</v>
      </c>
      <c r="AH312" s="23" t="s">
        <v>153</v>
      </c>
      <c r="AI312" s="24" t="s">
        <v>153</v>
      </c>
      <c r="AJ312" s="24" t="s">
        <v>195</v>
      </c>
      <c r="AK312" s="24" t="s">
        <v>195</v>
      </c>
      <c r="AL312" s="24" t="s">
        <v>195</v>
      </c>
      <c r="AM312" s="24" t="s">
        <v>195</v>
      </c>
      <c r="AN312" s="24" t="s">
        <v>195</v>
      </c>
      <c r="AO312" s="24" t="s">
        <v>195</v>
      </c>
      <c r="AP312" s="23">
        <f>VALUE(28)</f>
        <v>28</v>
      </c>
      <c r="AQ312" s="23">
        <f>VALUE(0)</f>
        <v>0</v>
      </c>
      <c r="AR312" s="23">
        <f>VALUE(0)</f>
        <v>0</v>
      </c>
      <c r="AS312" s="23">
        <f>VALUE(0)</f>
        <v>0</v>
      </c>
      <c r="AT312" s="23">
        <f>VALUE(0)</f>
        <v>0</v>
      </c>
      <c r="AU312" s="23">
        <f>VALUE(0)</f>
        <v>0</v>
      </c>
      <c r="AV312" s="23">
        <f>VALUE(0)</f>
        <v>0</v>
      </c>
      <c r="AW312" s="23">
        <f>VALUE(0)</f>
        <v>0</v>
      </c>
      <c r="AX312" s="23" t="s">
        <v>564</v>
      </c>
      <c r="AY312" s="23">
        <f>VALUE(0)</f>
        <v>0</v>
      </c>
      <c r="AZ312" s="23">
        <f>VALUE(0)</f>
        <v>0</v>
      </c>
      <c r="BA312" s="23">
        <f>VALUE(0)</f>
        <v>0</v>
      </c>
      <c r="BB312" s="23">
        <f>VALUE(0)</f>
        <v>0</v>
      </c>
      <c r="BC312" s="23">
        <f>VALUE(0)</f>
        <v>0</v>
      </c>
      <c r="BD312" s="23">
        <f>VALUE(0)</f>
        <v>0</v>
      </c>
      <c r="BE312" s="23">
        <f>VALUE(0)</f>
        <v>0</v>
      </c>
      <c r="BF312" s="23">
        <f>VALUE(0)</f>
        <v>0</v>
      </c>
      <c r="BG312" s="23">
        <f>VALUE(0)</f>
        <v>0</v>
      </c>
      <c r="BH312" s="23">
        <f>VALUE(0)</f>
        <v>0</v>
      </c>
      <c r="BI312" s="23">
        <f>VALUE(0)</f>
        <v>0</v>
      </c>
      <c r="BJ312" s="23">
        <f>VALUE(0)</f>
        <v>0</v>
      </c>
      <c r="BK312" s="12">
        <f>$AX$312*24</f>
        <v>5.8</v>
      </c>
      <c r="BL312" s="12">
        <f>$AY$312*24</f>
        <v>0</v>
      </c>
      <c r="BM312" s="12">
        <f>$BJ$312*24</f>
        <v>0</v>
      </c>
      <c r="BN312" s="12">
        <f>VALUE($I$312)/100</f>
        <v>0.77</v>
      </c>
      <c r="BO312" s="12">
        <v>0</v>
      </c>
      <c r="BP312" s="12">
        <v>0</v>
      </c>
      <c r="BQ312" s="12">
        <v>0</v>
      </c>
      <c r="BR312" s="12">
        <v>0</v>
      </c>
      <c r="BS312" s="12">
        <v>0</v>
      </c>
      <c r="BT312" s="12">
        <v>0</v>
      </c>
      <c r="BU312" s="12">
        <v>0</v>
      </c>
      <c r="BV312" s="12">
        <v>0</v>
      </c>
      <c r="BW312" s="12">
        <v>0</v>
      </c>
      <c r="BX312" s="12">
        <v>0</v>
      </c>
      <c r="BY312" s="12">
        <v>0</v>
      </c>
      <c r="BZ312" s="12">
        <v>0</v>
      </c>
      <c r="CA312" s="12">
        <v>0</v>
      </c>
    </row>
    <row r="313" spans="1:79" hidden="1" x14ac:dyDescent="0.2">
      <c r="A313" s="12" t="s">
        <v>141</v>
      </c>
      <c r="B313" s="12" t="s">
        <v>145</v>
      </c>
      <c r="C313" s="12" t="s">
        <v>145</v>
      </c>
      <c r="D313" s="22" t="s">
        <v>558</v>
      </c>
      <c r="E313" s="22" t="s">
        <v>161</v>
      </c>
      <c r="F313" s="22" t="s">
        <v>1095</v>
      </c>
      <c r="G313" s="22" t="s">
        <v>1096</v>
      </c>
      <c r="H313" s="22" t="s">
        <v>150</v>
      </c>
      <c r="I313" s="22" t="s">
        <v>151</v>
      </c>
      <c r="J313" s="22" t="s">
        <v>162</v>
      </c>
      <c r="K313" s="22" t="s">
        <v>99</v>
      </c>
      <c r="L313" s="54" t="s">
        <v>153</v>
      </c>
      <c r="M313" s="23" t="s">
        <v>554</v>
      </c>
      <c r="N313" s="24" t="s">
        <v>153</v>
      </c>
      <c r="O313" s="23" t="s">
        <v>554</v>
      </c>
      <c r="P313" s="23" t="s">
        <v>554</v>
      </c>
      <c r="Q313" s="23" t="s">
        <v>554</v>
      </c>
      <c r="R313" s="23" t="s">
        <v>554</v>
      </c>
      <c r="S313" s="23" t="s">
        <v>554</v>
      </c>
      <c r="T313" s="23" t="s">
        <v>554</v>
      </c>
      <c r="U313" s="24" t="s">
        <v>153</v>
      </c>
      <c r="V313" s="54" t="s">
        <v>153</v>
      </c>
      <c r="W313" s="23" t="s">
        <v>554</v>
      </c>
      <c r="X313" s="23" t="s">
        <v>554</v>
      </c>
      <c r="Y313" s="23" t="s">
        <v>554</v>
      </c>
      <c r="Z313" s="23" t="s">
        <v>554</v>
      </c>
      <c r="AA313" s="23" t="s">
        <v>554</v>
      </c>
      <c r="AB313" s="24" t="s">
        <v>153</v>
      </c>
      <c r="AC313" s="23" t="s">
        <v>554</v>
      </c>
      <c r="AD313" s="23" t="s">
        <v>554</v>
      </c>
      <c r="AE313" s="23" t="s">
        <v>554</v>
      </c>
      <c r="AF313" s="23" t="s">
        <v>554</v>
      </c>
      <c r="AG313" s="23" t="s">
        <v>554</v>
      </c>
      <c r="AH313" s="23" t="s">
        <v>554</v>
      </c>
      <c r="AI313" s="24" t="s">
        <v>153</v>
      </c>
      <c r="AJ313" s="24" t="s">
        <v>156</v>
      </c>
      <c r="AK313" s="24" t="s">
        <v>156</v>
      </c>
      <c r="AL313" s="23" t="s">
        <v>554</v>
      </c>
      <c r="AM313" s="23" t="s">
        <v>554</v>
      </c>
      <c r="AN313" s="28" t="s">
        <v>163</v>
      </c>
      <c r="AO313" s="28" t="s">
        <v>163</v>
      </c>
      <c r="AP313" s="23">
        <f>VALUE(25)</f>
        <v>25</v>
      </c>
      <c r="AQ313" s="23">
        <f>VALUE(0)</f>
        <v>0</v>
      </c>
      <c r="AR313" s="23">
        <f>VALUE(0)</f>
        <v>0</v>
      </c>
      <c r="AS313" s="23">
        <f>VALUE(0)</f>
        <v>0</v>
      </c>
      <c r="AT313" s="23">
        <f>VALUE(0)</f>
        <v>0</v>
      </c>
      <c r="AU313" s="23">
        <f>VALUE(2)</f>
        <v>2</v>
      </c>
      <c r="AV313" s="23">
        <f>VALUE(3)</f>
        <v>3</v>
      </c>
      <c r="AW313" s="23">
        <f>VALUE(0)</f>
        <v>0</v>
      </c>
      <c r="AX313" s="23" t="s">
        <v>176</v>
      </c>
      <c r="AY313" s="23" t="s">
        <v>565</v>
      </c>
      <c r="AZ313" s="23">
        <f>VALUE(0)</f>
        <v>0</v>
      </c>
      <c r="BA313" s="23">
        <f>VALUE(0)</f>
        <v>0</v>
      </c>
      <c r="BB313" s="23">
        <f>VALUE(0)</f>
        <v>0</v>
      </c>
      <c r="BC313" s="23">
        <f>VALUE(0)</f>
        <v>0</v>
      </c>
      <c r="BD313" s="23">
        <f>VALUE(0)</f>
        <v>0</v>
      </c>
      <c r="BE313" s="23">
        <f>VALUE(0)</f>
        <v>0</v>
      </c>
      <c r="BF313" s="23">
        <f>VALUE(0)</f>
        <v>0</v>
      </c>
      <c r="BG313" s="23">
        <f>VALUE(0)</f>
        <v>0</v>
      </c>
      <c r="BH313" s="23">
        <f>VALUE(0)</f>
        <v>0</v>
      </c>
      <c r="BI313" s="23">
        <f>VALUE(0)</f>
        <v>0</v>
      </c>
      <c r="BJ313" s="23">
        <f>VALUE(0)</f>
        <v>0</v>
      </c>
      <c r="BK313" s="12">
        <f>$AX$313*24</f>
        <v>0</v>
      </c>
      <c r="BL313" s="12">
        <f>$AY$313*24</f>
        <v>24.6</v>
      </c>
      <c r="BM313" s="12">
        <f>$BJ$313*24</f>
        <v>0</v>
      </c>
      <c r="BN313" s="12">
        <f>VALUE($I$313)/100</f>
        <v>1</v>
      </c>
      <c r="BO313" s="12">
        <v>0</v>
      </c>
      <c r="BP313" s="12">
        <v>0</v>
      </c>
      <c r="BQ313" s="12">
        <v>0</v>
      </c>
      <c r="BR313" s="12">
        <v>0</v>
      </c>
      <c r="BS313" s="12">
        <v>0</v>
      </c>
      <c r="BT313" s="12">
        <v>0</v>
      </c>
      <c r="BU313" s="12">
        <v>0</v>
      </c>
      <c r="BV313" s="12">
        <v>0</v>
      </c>
      <c r="BW313" s="12">
        <v>0</v>
      </c>
      <c r="BX313" s="12">
        <v>0</v>
      </c>
      <c r="BY313" s="12">
        <v>0</v>
      </c>
      <c r="BZ313" s="12">
        <v>0</v>
      </c>
      <c r="CA313" s="12">
        <v>0</v>
      </c>
    </row>
    <row r="314" spans="1:79" hidden="1" x14ac:dyDescent="0.2">
      <c r="A314" s="12" t="s">
        <v>141</v>
      </c>
      <c r="B314" s="12" t="s">
        <v>145</v>
      </c>
      <c r="C314" s="12" t="s">
        <v>145</v>
      </c>
      <c r="D314" s="22" t="s">
        <v>552</v>
      </c>
      <c r="E314" s="22" t="s">
        <v>161</v>
      </c>
      <c r="F314" s="22" t="s">
        <v>1097</v>
      </c>
      <c r="G314" s="22" t="s">
        <v>1098</v>
      </c>
      <c r="H314" s="22" t="s">
        <v>150</v>
      </c>
      <c r="I314" s="22" t="s">
        <v>566</v>
      </c>
      <c r="J314" s="22" t="s">
        <v>162</v>
      </c>
      <c r="K314" s="22" t="s">
        <v>99</v>
      </c>
      <c r="L314" s="54" t="s">
        <v>153</v>
      </c>
      <c r="M314" s="23" t="s">
        <v>153</v>
      </c>
      <c r="N314" s="24" t="s">
        <v>153</v>
      </c>
      <c r="O314" s="23" t="s">
        <v>153</v>
      </c>
      <c r="P314" s="23" t="s">
        <v>153</v>
      </c>
      <c r="Q314" s="23" t="s">
        <v>153</v>
      </c>
      <c r="R314" s="23" t="s">
        <v>153</v>
      </c>
      <c r="S314" s="23" t="s">
        <v>153</v>
      </c>
      <c r="T314" s="23" t="s">
        <v>153</v>
      </c>
      <c r="U314" s="24" t="s">
        <v>153</v>
      </c>
      <c r="V314" s="54" t="s">
        <v>153</v>
      </c>
      <c r="W314" s="23" t="s">
        <v>153</v>
      </c>
      <c r="X314" s="23" t="s">
        <v>153</v>
      </c>
      <c r="Y314" s="23" t="s">
        <v>153</v>
      </c>
      <c r="Z314" s="24" t="s">
        <v>156</v>
      </c>
      <c r="AA314" s="24" t="s">
        <v>156</v>
      </c>
      <c r="AB314" s="24" t="s">
        <v>153</v>
      </c>
      <c r="AC314" s="24" t="s">
        <v>195</v>
      </c>
      <c r="AD314" s="24" t="s">
        <v>195</v>
      </c>
      <c r="AE314" s="24" t="s">
        <v>195</v>
      </c>
      <c r="AF314" s="24" t="s">
        <v>195</v>
      </c>
      <c r="AG314" s="24" t="s">
        <v>195</v>
      </c>
      <c r="AH314" s="24" t="s">
        <v>195</v>
      </c>
      <c r="AI314" s="24" t="s">
        <v>153</v>
      </c>
      <c r="AJ314" s="23" t="s">
        <v>153</v>
      </c>
      <c r="AK314" s="23" t="s">
        <v>153</v>
      </c>
      <c r="AL314" s="23" t="s">
        <v>153</v>
      </c>
      <c r="AM314" s="23" t="s">
        <v>153</v>
      </c>
      <c r="AN314" s="23" t="s">
        <v>153</v>
      </c>
      <c r="AO314" s="23" t="s">
        <v>153</v>
      </c>
      <c r="AP314" s="23">
        <f>VALUE(22)</f>
        <v>22</v>
      </c>
      <c r="AQ314" s="23">
        <f>VALUE(0)</f>
        <v>0</v>
      </c>
      <c r="AR314" s="23">
        <f>VALUE(0)</f>
        <v>0</v>
      </c>
      <c r="AS314" s="23">
        <f>VALUE(0)</f>
        <v>0</v>
      </c>
      <c r="AT314" s="23">
        <f>VALUE(0)</f>
        <v>0</v>
      </c>
      <c r="AU314" s="23">
        <f>VALUE(0)</f>
        <v>0</v>
      </c>
      <c r="AV314" s="23">
        <f>VALUE(6)</f>
        <v>6</v>
      </c>
      <c r="AW314" s="23">
        <f>VALUE(2)</f>
        <v>2</v>
      </c>
      <c r="AX314" s="23" t="s">
        <v>567</v>
      </c>
      <c r="AY314" s="23" t="s">
        <v>485</v>
      </c>
      <c r="AZ314" s="23">
        <f>VALUE(0)</f>
        <v>0</v>
      </c>
      <c r="BA314" s="23">
        <f>VALUE(0)</f>
        <v>0</v>
      </c>
      <c r="BB314" s="23">
        <f>VALUE(0)</f>
        <v>0</v>
      </c>
      <c r="BC314" s="23">
        <f>VALUE(0)</f>
        <v>0</v>
      </c>
      <c r="BD314" s="23">
        <f>VALUE(0)</f>
        <v>0</v>
      </c>
      <c r="BE314" s="23">
        <f>VALUE(0)</f>
        <v>0</v>
      </c>
      <c r="BF314" s="23">
        <f>VALUE(0)</f>
        <v>0</v>
      </c>
      <c r="BG314" s="23">
        <f>VALUE(0)</f>
        <v>0</v>
      </c>
      <c r="BH314" s="23">
        <f>VALUE(0)</f>
        <v>0</v>
      </c>
      <c r="BI314" s="23">
        <f>VALUE(0)</f>
        <v>0</v>
      </c>
      <c r="BJ314" s="23">
        <f>VALUE(0)</f>
        <v>0</v>
      </c>
      <c r="BK314" s="12">
        <f>$AX$314*24</f>
        <v>2.5833333333333335</v>
      </c>
      <c r="BL314" s="12">
        <f>$AY$314*24</f>
        <v>3.8333333333333339</v>
      </c>
      <c r="BM314" s="12">
        <f>$BJ$314*24</f>
        <v>0</v>
      </c>
      <c r="BN314" s="12">
        <f>VALUE($I$314)/100</f>
        <v>0.76</v>
      </c>
      <c r="BO314" s="12">
        <v>0</v>
      </c>
      <c r="BP314" s="12">
        <v>0</v>
      </c>
      <c r="BQ314" s="12">
        <v>0</v>
      </c>
      <c r="BR314" s="12">
        <v>0</v>
      </c>
      <c r="BS314" s="12">
        <v>0</v>
      </c>
      <c r="BT314" s="12">
        <v>0</v>
      </c>
      <c r="BU314" s="12">
        <v>0</v>
      </c>
      <c r="BV314" s="12">
        <v>0</v>
      </c>
      <c r="BW314" s="12">
        <v>0</v>
      </c>
      <c r="BX314" s="12">
        <v>0</v>
      </c>
      <c r="BY314" s="12">
        <v>0</v>
      </c>
      <c r="BZ314" s="12">
        <v>0</v>
      </c>
      <c r="CA314" s="12">
        <v>0</v>
      </c>
    </row>
    <row r="315" spans="1:79" hidden="1" x14ac:dyDescent="0.2">
      <c r="A315" s="12" t="s">
        <v>141</v>
      </c>
      <c r="B315" s="12" t="s">
        <v>145</v>
      </c>
      <c r="C315" s="12" t="s">
        <v>145</v>
      </c>
      <c r="D315" s="22" t="s">
        <v>568</v>
      </c>
      <c r="E315" s="22" t="s">
        <v>161</v>
      </c>
      <c r="F315" s="22" t="s">
        <v>1099</v>
      </c>
      <c r="G315" s="22" t="s">
        <v>1100</v>
      </c>
      <c r="H315" s="22" t="s">
        <v>166</v>
      </c>
      <c r="I315" s="22" t="s">
        <v>151</v>
      </c>
      <c r="J315" s="22" t="s">
        <v>162</v>
      </c>
      <c r="K315" s="22" t="s">
        <v>99</v>
      </c>
      <c r="L315" s="54" t="s">
        <v>153</v>
      </c>
      <c r="M315" s="23" t="s">
        <v>153</v>
      </c>
      <c r="N315" s="24" t="s">
        <v>153</v>
      </c>
      <c r="O315" s="23" t="s">
        <v>153</v>
      </c>
      <c r="P315" s="23" t="s">
        <v>153</v>
      </c>
      <c r="Q315" s="23" t="s">
        <v>153</v>
      </c>
      <c r="R315" s="23" t="s">
        <v>153</v>
      </c>
      <c r="S315" s="24" t="s">
        <v>156</v>
      </c>
      <c r="T315" s="24" t="s">
        <v>156</v>
      </c>
      <c r="U315" s="24" t="s">
        <v>153</v>
      </c>
      <c r="V315" s="54" t="s">
        <v>153</v>
      </c>
      <c r="W315" s="23" t="s">
        <v>153</v>
      </c>
      <c r="X315" s="23" t="s">
        <v>153</v>
      </c>
      <c r="Y315" s="23" t="s">
        <v>153</v>
      </c>
      <c r="Z315" s="23" t="s">
        <v>153</v>
      </c>
      <c r="AA315" s="23" t="s">
        <v>153</v>
      </c>
      <c r="AB315" s="24" t="s">
        <v>153</v>
      </c>
      <c r="AC315" s="28" t="s">
        <v>163</v>
      </c>
      <c r="AD315" s="28" t="s">
        <v>163</v>
      </c>
      <c r="AE315" s="28" t="s">
        <v>163</v>
      </c>
      <c r="AF315" s="28" t="s">
        <v>163</v>
      </c>
      <c r="AG315" s="28" t="s">
        <v>163</v>
      </c>
      <c r="AH315" s="28" t="s">
        <v>163</v>
      </c>
      <c r="AI315" s="24" t="s">
        <v>153</v>
      </c>
      <c r="AJ315" s="28" t="s">
        <v>163</v>
      </c>
      <c r="AK315" s="28" t="s">
        <v>163</v>
      </c>
      <c r="AL315" s="28" t="s">
        <v>163</v>
      </c>
      <c r="AM315" s="28" t="s">
        <v>163</v>
      </c>
      <c r="AN315" s="28" t="s">
        <v>163</v>
      </c>
      <c r="AO315" s="28" t="s">
        <v>163</v>
      </c>
      <c r="AP315" s="23">
        <f>VALUE(0)</f>
        <v>0</v>
      </c>
      <c r="AQ315" s="23">
        <f>VALUE(0)</f>
        <v>0</v>
      </c>
      <c r="AR315" s="23">
        <f>VALUE(0)</f>
        <v>0</v>
      </c>
      <c r="AS315" s="23">
        <f>VALUE(0)</f>
        <v>0</v>
      </c>
      <c r="AT315" s="23">
        <f>VALUE(0)</f>
        <v>0</v>
      </c>
      <c r="AU315" s="23">
        <f>VALUE(12)</f>
        <v>12</v>
      </c>
      <c r="AV315" s="23">
        <f>VALUE(9)</f>
        <v>9</v>
      </c>
      <c r="AW315" s="23">
        <f>VALUE(0)</f>
        <v>0</v>
      </c>
      <c r="AX315" s="23" t="s">
        <v>569</v>
      </c>
      <c r="AY315" s="23">
        <f>VALUE(0)</f>
        <v>0</v>
      </c>
      <c r="AZ315" s="23">
        <f>VALUE(0)</f>
        <v>0</v>
      </c>
      <c r="BA315" s="23">
        <f>VALUE(0)</f>
        <v>0</v>
      </c>
      <c r="BB315" s="23">
        <f>VALUE(0)</f>
        <v>0</v>
      </c>
      <c r="BC315" s="23">
        <f>VALUE(0)</f>
        <v>0</v>
      </c>
      <c r="BD315" s="23">
        <f>VALUE(0)</f>
        <v>0</v>
      </c>
      <c r="BE315" s="23">
        <f>VALUE(0)</f>
        <v>0</v>
      </c>
      <c r="BF315" s="23">
        <f>VALUE(0)</f>
        <v>0</v>
      </c>
      <c r="BG315" s="23">
        <f>VALUE(0)</f>
        <v>0</v>
      </c>
      <c r="BH315" s="23">
        <f>VALUE(0)</f>
        <v>0</v>
      </c>
      <c r="BI315" s="23">
        <f>VALUE(0)</f>
        <v>0</v>
      </c>
      <c r="BJ315" s="23">
        <f>VALUE(0)</f>
        <v>0</v>
      </c>
      <c r="BK315" s="12">
        <f>$AX$315*24</f>
        <v>7.2833333333333332</v>
      </c>
      <c r="BL315" s="12">
        <f>$AY$315*24</f>
        <v>0</v>
      </c>
      <c r="BM315" s="12">
        <f>$BJ$315*24</f>
        <v>0</v>
      </c>
      <c r="BN315" s="12">
        <f>VALUE($I$315)/100</f>
        <v>1</v>
      </c>
      <c r="BO315" s="12">
        <v>0</v>
      </c>
      <c r="BP315" s="12">
        <v>0</v>
      </c>
      <c r="BQ315" s="12">
        <v>0</v>
      </c>
      <c r="BR315" s="12">
        <v>0</v>
      </c>
      <c r="BS315" s="12">
        <v>0</v>
      </c>
      <c r="BT315" s="12">
        <v>0</v>
      </c>
      <c r="BU315" s="12">
        <v>0</v>
      </c>
      <c r="BV315" s="12">
        <v>0</v>
      </c>
      <c r="BW315" s="12">
        <v>0</v>
      </c>
      <c r="BX315" s="12">
        <v>0</v>
      </c>
      <c r="BY315" s="12">
        <v>0</v>
      </c>
      <c r="BZ315" s="12">
        <v>0</v>
      </c>
      <c r="CA315" s="12">
        <v>0</v>
      </c>
    </row>
    <row r="316" spans="1:79" hidden="1" x14ac:dyDescent="0.2">
      <c r="A316" s="12" t="s">
        <v>141</v>
      </c>
      <c r="B316" s="12" t="s">
        <v>145</v>
      </c>
      <c r="C316" s="12" t="s">
        <v>145</v>
      </c>
      <c r="D316" s="22" t="s">
        <v>1267</v>
      </c>
      <c r="E316" s="22" t="s">
        <v>173</v>
      </c>
      <c r="F316" s="22" t="s">
        <v>1101</v>
      </c>
      <c r="G316" s="22" t="s">
        <v>1102</v>
      </c>
      <c r="H316" s="22" t="s">
        <v>150</v>
      </c>
      <c r="I316" s="22" t="s">
        <v>151</v>
      </c>
      <c r="J316" s="22" t="s">
        <v>162</v>
      </c>
      <c r="K316" s="22" t="s">
        <v>99</v>
      </c>
      <c r="L316" s="54" t="s">
        <v>153</v>
      </c>
      <c r="M316" s="27" t="s">
        <v>153</v>
      </c>
      <c r="N316" s="27" t="s">
        <v>153</v>
      </c>
      <c r="O316" s="27" t="s">
        <v>153</v>
      </c>
      <c r="P316" s="27" t="s">
        <v>153</v>
      </c>
      <c r="Q316" s="27" t="s">
        <v>153</v>
      </c>
      <c r="R316" s="27" t="s">
        <v>153</v>
      </c>
      <c r="S316" s="27" t="s">
        <v>153</v>
      </c>
      <c r="T316" s="27" t="s">
        <v>153</v>
      </c>
      <c r="U316" s="27" t="s">
        <v>153</v>
      </c>
      <c r="V316" s="54" t="s">
        <v>153</v>
      </c>
      <c r="W316" s="27" t="s">
        <v>153</v>
      </c>
      <c r="X316" s="27" t="s">
        <v>153</v>
      </c>
      <c r="Y316" s="27" t="s">
        <v>153</v>
      </c>
      <c r="Z316" s="27" t="s">
        <v>153</v>
      </c>
      <c r="AA316" s="27" t="s">
        <v>153</v>
      </c>
      <c r="AB316" s="27" t="s">
        <v>153</v>
      </c>
      <c r="AC316" s="27" t="s">
        <v>153</v>
      </c>
      <c r="AD316" s="27" t="s">
        <v>153</v>
      </c>
      <c r="AE316" s="27" t="s">
        <v>153</v>
      </c>
      <c r="AF316" s="27" t="s">
        <v>153</v>
      </c>
      <c r="AG316" s="27" t="s">
        <v>153</v>
      </c>
      <c r="AH316" s="27" t="s">
        <v>153</v>
      </c>
      <c r="AI316" s="27" t="s">
        <v>153</v>
      </c>
      <c r="AJ316" s="27" t="s">
        <v>153</v>
      </c>
      <c r="AK316" s="27" t="s">
        <v>153</v>
      </c>
      <c r="AL316" s="27" t="s">
        <v>153</v>
      </c>
      <c r="AM316" s="27" t="s">
        <v>153</v>
      </c>
      <c r="AN316" s="27" t="s">
        <v>153</v>
      </c>
      <c r="AO316" s="27" t="s">
        <v>153</v>
      </c>
      <c r="AP316" s="23">
        <f>VALUE(0)</f>
        <v>0</v>
      </c>
      <c r="AQ316" s="23">
        <f>VALUE(0)</f>
        <v>0</v>
      </c>
      <c r="AR316" s="23">
        <f>VALUE(0)</f>
        <v>0</v>
      </c>
      <c r="AS316" s="23">
        <f>VALUE(0)</f>
        <v>0</v>
      </c>
      <c r="AT316" s="23">
        <f>VALUE(0)</f>
        <v>0</v>
      </c>
      <c r="AU316" s="23">
        <f>VALUE(0)</f>
        <v>0</v>
      </c>
      <c r="AV316" s="23">
        <f>VALUE(0)</f>
        <v>0</v>
      </c>
      <c r="AW316" s="23">
        <f>VALUE(0)</f>
        <v>0</v>
      </c>
      <c r="AX316" s="23">
        <f>VALUE(0)</f>
        <v>0</v>
      </c>
      <c r="AY316" s="23">
        <f>VALUE(0)</f>
        <v>0</v>
      </c>
      <c r="AZ316" s="23">
        <f>VALUE(0)</f>
        <v>0</v>
      </c>
      <c r="BA316" s="23">
        <f>VALUE(0)</f>
        <v>0</v>
      </c>
      <c r="BB316" s="23">
        <f>VALUE(0)</f>
        <v>0</v>
      </c>
      <c r="BC316" s="23">
        <f>VALUE(0)</f>
        <v>0</v>
      </c>
      <c r="BD316" s="23">
        <f>VALUE(0)</f>
        <v>0</v>
      </c>
      <c r="BE316" s="23">
        <f>VALUE(0)</f>
        <v>0</v>
      </c>
      <c r="BF316" s="23">
        <f>VALUE(0)</f>
        <v>0</v>
      </c>
      <c r="BG316" s="23">
        <f>VALUE(0)</f>
        <v>0</v>
      </c>
      <c r="BH316" s="23">
        <f>VALUE(0)</f>
        <v>0</v>
      </c>
      <c r="BI316" s="23">
        <f>VALUE(0)</f>
        <v>0</v>
      </c>
      <c r="BJ316" s="23">
        <f>VALUE(0)</f>
        <v>0</v>
      </c>
      <c r="BK316" s="12">
        <f>$AX$316*24</f>
        <v>0</v>
      </c>
      <c r="BL316" s="12">
        <f>$AY$316*24</f>
        <v>0</v>
      </c>
      <c r="BM316" s="12">
        <f>$BJ$316*24</f>
        <v>0</v>
      </c>
      <c r="BN316" s="12">
        <f>VALUE($I$316)/100</f>
        <v>1</v>
      </c>
      <c r="BO316" s="12">
        <v>0</v>
      </c>
      <c r="BP316" s="12">
        <v>0</v>
      </c>
      <c r="BQ316" s="12">
        <v>0</v>
      </c>
      <c r="BR316" s="12">
        <v>0</v>
      </c>
      <c r="BS316" s="12">
        <v>0</v>
      </c>
      <c r="BT316" s="12">
        <v>0</v>
      </c>
      <c r="BU316" s="12">
        <v>0</v>
      </c>
      <c r="BV316" s="12">
        <v>0</v>
      </c>
      <c r="BW316" s="12">
        <v>0</v>
      </c>
      <c r="BX316" s="12">
        <v>0</v>
      </c>
      <c r="BY316" s="12">
        <v>0</v>
      </c>
      <c r="BZ316" s="12">
        <v>0</v>
      </c>
      <c r="CA316" s="12">
        <v>0</v>
      </c>
    </row>
    <row r="317" spans="1:79" ht="16.5" hidden="1" x14ac:dyDescent="0.2">
      <c r="A317" s="12" t="s">
        <v>141</v>
      </c>
      <c r="B317" s="12" t="s">
        <v>145</v>
      </c>
      <c r="C317" s="12" t="s">
        <v>145</v>
      </c>
      <c r="D317" s="22" t="s">
        <v>570</v>
      </c>
      <c r="E317" s="22" t="s">
        <v>161</v>
      </c>
      <c r="F317" s="22" t="s">
        <v>1103</v>
      </c>
      <c r="G317" s="22" t="s">
        <v>1104</v>
      </c>
      <c r="H317" s="22" t="s">
        <v>150</v>
      </c>
      <c r="I317" s="22" t="s">
        <v>151</v>
      </c>
      <c r="J317" s="22" t="s">
        <v>162</v>
      </c>
      <c r="K317" s="22" t="s">
        <v>99</v>
      </c>
      <c r="L317" s="54" t="s">
        <v>156</v>
      </c>
      <c r="M317" s="24" t="s">
        <v>156</v>
      </c>
      <c r="N317" s="24" t="s">
        <v>153</v>
      </c>
      <c r="O317" s="26" t="s">
        <v>550</v>
      </c>
      <c r="P317" s="26" t="s">
        <v>550</v>
      </c>
      <c r="Q317" s="26" t="s">
        <v>550</v>
      </c>
      <c r="R317" s="26" t="s">
        <v>550</v>
      </c>
      <c r="S317" s="23" t="s">
        <v>459</v>
      </c>
      <c r="T317" s="26" t="s">
        <v>550</v>
      </c>
      <c r="U317" s="24" t="s">
        <v>153</v>
      </c>
      <c r="V317" s="54" t="s">
        <v>153</v>
      </c>
      <c r="W317" s="26" t="s">
        <v>550</v>
      </c>
      <c r="X317" s="26" t="s">
        <v>550</v>
      </c>
      <c r="Y317" s="26" t="s">
        <v>550</v>
      </c>
      <c r="Z317" s="23" t="s">
        <v>459</v>
      </c>
      <c r="AA317" s="26" t="s">
        <v>550</v>
      </c>
      <c r="AB317" s="24" t="s">
        <v>153</v>
      </c>
      <c r="AC317" s="26" t="s">
        <v>550</v>
      </c>
      <c r="AD317" s="26" t="s">
        <v>550</v>
      </c>
      <c r="AE317" s="26" t="s">
        <v>550</v>
      </c>
      <c r="AF317" s="26" t="s">
        <v>550</v>
      </c>
      <c r="AG317" s="23" t="s">
        <v>459</v>
      </c>
      <c r="AH317" s="26" t="s">
        <v>550</v>
      </c>
      <c r="AI317" s="24" t="s">
        <v>153</v>
      </c>
      <c r="AJ317" s="26" t="s">
        <v>550</v>
      </c>
      <c r="AK317" s="26" t="s">
        <v>550</v>
      </c>
      <c r="AL317" s="26" t="s">
        <v>550</v>
      </c>
      <c r="AM317" s="26" t="s">
        <v>550</v>
      </c>
      <c r="AN317" s="23" t="s">
        <v>459</v>
      </c>
      <c r="AO317" s="26" t="s">
        <v>550</v>
      </c>
      <c r="AP317" s="23">
        <f>VALUE(0)</f>
        <v>0</v>
      </c>
      <c r="AQ317" s="23">
        <f>VALUE(0)</f>
        <v>0</v>
      </c>
      <c r="AR317" s="23">
        <f>VALUE(0)</f>
        <v>0</v>
      </c>
      <c r="AS317" s="23">
        <f>VALUE(0)</f>
        <v>0</v>
      </c>
      <c r="AT317" s="23">
        <f>VALUE(0)</f>
        <v>0</v>
      </c>
      <c r="AU317" s="23">
        <f>VALUE(0)</f>
        <v>0</v>
      </c>
      <c r="AV317" s="23">
        <f>VALUE(8)</f>
        <v>8</v>
      </c>
      <c r="AW317" s="23">
        <f>VALUE(0)</f>
        <v>0</v>
      </c>
      <c r="AX317" s="23" t="s">
        <v>176</v>
      </c>
      <c r="AY317" s="23" t="s">
        <v>571</v>
      </c>
      <c r="AZ317" s="23">
        <f>VALUE(0)</f>
        <v>0</v>
      </c>
      <c r="BA317" s="23">
        <f>VALUE(0)</f>
        <v>0</v>
      </c>
      <c r="BB317" s="23">
        <f>VALUE(0)</f>
        <v>0</v>
      </c>
      <c r="BC317" s="23">
        <f>VALUE(0)</f>
        <v>0</v>
      </c>
      <c r="BD317" s="23">
        <f>VALUE(0)</f>
        <v>0</v>
      </c>
      <c r="BE317" s="23">
        <f>VALUE(0)</f>
        <v>0</v>
      </c>
      <c r="BF317" s="23">
        <f>VALUE(0)</f>
        <v>0</v>
      </c>
      <c r="BG317" s="23">
        <f>VALUE(0)</f>
        <v>0</v>
      </c>
      <c r="BH317" s="23">
        <f>VALUE(0)</f>
        <v>0</v>
      </c>
      <c r="BI317" s="23">
        <f>VALUE(0)</f>
        <v>0</v>
      </c>
      <c r="BJ317" s="23">
        <f>VALUE(0)</f>
        <v>0</v>
      </c>
      <c r="BK317" s="12">
        <f>$AX$317*24</f>
        <v>0</v>
      </c>
      <c r="BL317" s="12">
        <f>$AY$317*24</f>
        <v>3.1000000000000005</v>
      </c>
      <c r="BM317" s="12">
        <f>$BJ$317*24</f>
        <v>0</v>
      </c>
      <c r="BN317" s="12">
        <f>VALUE($I$317)/100</f>
        <v>1</v>
      </c>
      <c r="BO317" s="12">
        <v>0</v>
      </c>
      <c r="BP317" s="12">
        <v>0</v>
      </c>
      <c r="BQ317" s="12">
        <v>0</v>
      </c>
      <c r="BR317" s="12">
        <v>0</v>
      </c>
      <c r="BS317" s="12">
        <v>0</v>
      </c>
      <c r="BT317" s="12">
        <v>0</v>
      </c>
      <c r="BU317" s="12">
        <v>0</v>
      </c>
      <c r="BV317" s="12">
        <v>0</v>
      </c>
      <c r="BW317" s="12">
        <v>0</v>
      </c>
      <c r="BX317" s="12">
        <v>0</v>
      </c>
      <c r="BY317" s="12">
        <v>0</v>
      </c>
      <c r="BZ317" s="12">
        <v>0</v>
      </c>
      <c r="CA317" s="12">
        <v>0</v>
      </c>
    </row>
    <row r="318" spans="1:79" hidden="1" x14ac:dyDescent="0.2">
      <c r="A318" s="12" t="s">
        <v>141</v>
      </c>
      <c r="B318" s="12" t="s">
        <v>145</v>
      </c>
      <c r="C318" s="12" t="s">
        <v>145</v>
      </c>
      <c r="D318" s="22" t="s">
        <v>1312</v>
      </c>
      <c r="E318" s="22" t="s">
        <v>173</v>
      </c>
      <c r="F318" s="22" t="s">
        <v>1105</v>
      </c>
      <c r="G318" s="22" t="s">
        <v>1106</v>
      </c>
      <c r="H318" s="22" t="s">
        <v>150</v>
      </c>
      <c r="I318" s="22" t="s">
        <v>151</v>
      </c>
      <c r="J318" s="22" t="s">
        <v>162</v>
      </c>
      <c r="K318" s="22" t="s">
        <v>99</v>
      </c>
      <c r="L318" s="54" t="s">
        <v>153</v>
      </c>
      <c r="M318" s="23" t="s">
        <v>1308</v>
      </c>
      <c r="N318" s="24" t="s">
        <v>153</v>
      </c>
      <c r="O318" s="23" t="s">
        <v>555</v>
      </c>
      <c r="P318" s="23" t="s">
        <v>555</v>
      </c>
      <c r="Q318" s="23" t="s">
        <v>555</v>
      </c>
      <c r="R318" s="23" t="s">
        <v>555</v>
      </c>
      <c r="S318" s="23" t="s">
        <v>568</v>
      </c>
      <c r="T318" s="23" t="s">
        <v>568</v>
      </c>
      <c r="U318" s="24" t="s">
        <v>153</v>
      </c>
      <c r="V318" s="54" t="s">
        <v>153</v>
      </c>
      <c r="W318" s="23" t="s">
        <v>562</v>
      </c>
      <c r="X318" s="23" t="s">
        <v>562</v>
      </c>
      <c r="Y318" s="23" t="s">
        <v>562</v>
      </c>
      <c r="Z318" s="23" t="s">
        <v>562</v>
      </c>
      <c r="AA318" s="23" t="s">
        <v>562</v>
      </c>
      <c r="AB318" s="24" t="s">
        <v>153</v>
      </c>
      <c r="AC318" s="23" t="s">
        <v>1307</v>
      </c>
      <c r="AD318" s="23" t="s">
        <v>1307</v>
      </c>
      <c r="AE318" s="24" t="s">
        <v>156</v>
      </c>
      <c r="AF318" s="24" t="s">
        <v>156</v>
      </c>
      <c r="AG318" s="23" t="s">
        <v>389</v>
      </c>
      <c r="AH318" s="23" t="s">
        <v>389</v>
      </c>
      <c r="AI318" s="24" t="s">
        <v>153</v>
      </c>
      <c r="AJ318" s="23" t="s">
        <v>1307</v>
      </c>
      <c r="AK318" s="23" t="s">
        <v>1307</v>
      </c>
      <c r="AL318" s="23" t="s">
        <v>1307</v>
      </c>
      <c r="AM318" s="23" t="s">
        <v>1307</v>
      </c>
      <c r="AN318" s="23" t="s">
        <v>1307</v>
      </c>
      <c r="AO318" s="23" t="s">
        <v>1307</v>
      </c>
      <c r="AP318" s="23">
        <f>VALUE(35)</f>
        <v>35</v>
      </c>
      <c r="AQ318" s="23">
        <f>VALUE(0)</f>
        <v>0</v>
      </c>
      <c r="AR318" s="23">
        <f>VALUE(0)</f>
        <v>0</v>
      </c>
      <c r="AS318" s="23">
        <f>VALUE(0)</f>
        <v>0</v>
      </c>
      <c r="AT318" s="23">
        <f>VALUE(0)</f>
        <v>0</v>
      </c>
      <c r="AU318" s="23">
        <f>VALUE(0)</f>
        <v>0</v>
      </c>
      <c r="AV318" s="23">
        <f>VALUE(2)</f>
        <v>2</v>
      </c>
      <c r="AW318" s="23">
        <f>VALUE(0)</f>
        <v>0</v>
      </c>
      <c r="AX318" s="23" t="s">
        <v>171</v>
      </c>
      <c r="AY318" s="23" t="s">
        <v>1313</v>
      </c>
      <c r="AZ318" s="23">
        <f>VALUE(0)</f>
        <v>0</v>
      </c>
      <c r="BA318" s="23">
        <f>VALUE(0)</f>
        <v>0</v>
      </c>
      <c r="BB318" s="23">
        <f>VALUE(0)</f>
        <v>0</v>
      </c>
      <c r="BC318" s="23">
        <f>VALUE(0)</f>
        <v>0</v>
      </c>
      <c r="BD318" s="23">
        <f>VALUE(0)</f>
        <v>0</v>
      </c>
      <c r="BE318" s="23">
        <f>VALUE(0)</f>
        <v>0</v>
      </c>
      <c r="BF318" s="23">
        <f>VALUE(0)</f>
        <v>0</v>
      </c>
      <c r="BG318" s="23">
        <f>VALUE(0)</f>
        <v>0</v>
      </c>
      <c r="BH318" s="23">
        <f>VALUE(0)</f>
        <v>0</v>
      </c>
      <c r="BI318" s="23">
        <f>VALUE(0)</f>
        <v>0</v>
      </c>
      <c r="BJ318" s="23">
        <f>VALUE(0)</f>
        <v>0</v>
      </c>
      <c r="BK318" s="12">
        <f>$AX$318*24</f>
        <v>5.833333333333333</v>
      </c>
      <c r="BL318" s="12">
        <f>$AY$318*24</f>
        <v>18.533333333333335</v>
      </c>
      <c r="BM318" s="12">
        <f>$BJ$318*24</f>
        <v>0</v>
      </c>
      <c r="BN318" s="12">
        <f>VALUE($I$318)/100</f>
        <v>1</v>
      </c>
      <c r="BO318" s="12">
        <v>0</v>
      </c>
      <c r="BP318" s="12">
        <v>0</v>
      </c>
      <c r="BQ318" s="12">
        <v>0</v>
      </c>
      <c r="BR318" s="12">
        <v>0</v>
      </c>
      <c r="BS318" s="12">
        <v>0</v>
      </c>
      <c r="BT318" s="12">
        <v>0</v>
      </c>
      <c r="BU318" s="12">
        <v>0</v>
      </c>
      <c r="BV318" s="12">
        <v>0</v>
      </c>
      <c r="BW318" s="12">
        <v>0</v>
      </c>
      <c r="BX318" s="12">
        <v>0</v>
      </c>
      <c r="BY318" s="12">
        <v>0</v>
      </c>
      <c r="BZ318" s="12">
        <v>0</v>
      </c>
      <c r="CA318" s="12">
        <v>0</v>
      </c>
    </row>
    <row r="319" spans="1:79" hidden="1" x14ac:dyDescent="0.2">
      <c r="A319" s="12" t="s">
        <v>141</v>
      </c>
      <c r="B319" s="12" t="s">
        <v>145</v>
      </c>
      <c r="C319" s="12" t="s">
        <v>145</v>
      </c>
      <c r="D319" s="22" t="s">
        <v>536</v>
      </c>
      <c r="E319" s="22" t="s">
        <v>159</v>
      </c>
      <c r="F319" s="22" t="s">
        <v>1107</v>
      </c>
      <c r="G319" s="22" t="s">
        <v>1108</v>
      </c>
      <c r="H319" s="22" t="s">
        <v>150</v>
      </c>
      <c r="I319" s="22" t="s">
        <v>151</v>
      </c>
      <c r="J319" s="22" t="s">
        <v>162</v>
      </c>
      <c r="K319" s="22" t="s">
        <v>99</v>
      </c>
      <c r="L319" s="54" t="s">
        <v>153</v>
      </c>
      <c r="M319" s="27" t="s">
        <v>153</v>
      </c>
      <c r="N319" s="27" t="s">
        <v>153</v>
      </c>
      <c r="O319" s="27" t="s">
        <v>153</v>
      </c>
      <c r="P319" s="27" t="s">
        <v>153</v>
      </c>
      <c r="Q319" s="27" t="s">
        <v>153</v>
      </c>
      <c r="R319" s="27" t="s">
        <v>153</v>
      </c>
      <c r="S319" s="27" t="s">
        <v>153</v>
      </c>
      <c r="T319" s="27" t="s">
        <v>153</v>
      </c>
      <c r="U319" s="27" t="s">
        <v>153</v>
      </c>
      <c r="V319" s="54" t="s">
        <v>153</v>
      </c>
      <c r="W319" s="27" t="s">
        <v>153</v>
      </c>
      <c r="X319" s="27" t="s">
        <v>153</v>
      </c>
      <c r="Y319" s="27" t="s">
        <v>153</v>
      </c>
      <c r="Z319" s="27" t="s">
        <v>153</v>
      </c>
      <c r="AA319" s="27" t="s">
        <v>153</v>
      </c>
      <c r="AB319" s="27" t="s">
        <v>153</v>
      </c>
      <c r="AC319" s="27" t="s">
        <v>153</v>
      </c>
      <c r="AD319" s="27" t="s">
        <v>153</v>
      </c>
      <c r="AE319" s="27" t="s">
        <v>153</v>
      </c>
      <c r="AF319" s="27" t="s">
        <v>153</v>
      </c>
      <c r="AG319" s="27" t="s">
        <v>153</v>
      </c>
      <c r="AH319" s="27" t="s">
        <v>153</v>
      </c>
      <c r="AI319" s="27" t="s">
        <v>153</v>
      </c>
      <c r="AJ319" s="27" t="s">
        <v>153</v>
      </c>
      <c r="AK319" s="27" t="s">
        <v>153</v>
      </c>
      <c r="AL319" s="27" t="s">
        <v>153</v>
      </c>
      <c r="AM319" s="27" t="s">
        <v>153</v>
      </c>
      <c r="AN319" s="27" t="s">
        <v>153</v>
      </c>
      <c r="AO319" s="27" t="s">
        <v>153</v>
      </c>
      <c r="AP319" s="23">
        <f>VALUE(0)</f>
        <v>0</v>
      </c>
      <c r="AQ319" s="23">
        <f>VALUE(0)</f>
        <v>0</v>
      </c>
      <c r="AR319" s="23">
        <f>VALUE(0)</f>
        <v>0</v>
      </c>
      <c r="AS319" s="23">
        <f>VALUE(0)</f>
        <v>0</v>
      </c>
      <c r="AT319" s="23">
        <f>VALUE(0)</f>
        <v>0</v>
      </c>
      <c r="AU319" s="23">
        <f>VALUE(0)</f>
        <v>0</v>
      </c>
      <c r="AV319" s="23">
        <f>VALUE(0)</f>
        <v>0</v>
      </c>
      <c r="AW319" s="23">
        <f>VALUE(0)</f>
        <v>0</v>
      </c>
      <c r="AX319" s="23">
        <f>VALUE(0)</f>
        <v>0</v>
      </c>
      <c r="AY319" s="23">
        <f>VALUE(0)</f>
        <v>0</v>
      </c>
      <c r="AZ319" s="23">
        <f>VALUE(0)</f>
        <v>0</v>
      </c>
      <c r="BA319" s="23">
        <f>VALUE(0)</f>
        <v>0</v>
      </c>
      <c r="BB319" s="23">
        <f>VALUE(0)</f>
        <v>0</v>
      </c>
      <c r="BC319" s="23">
        <f>VALUE(0)</f>
        <v>0</v>
      </c>
      <c r="BD319" s="23">
        <f>VALUE(0)</f>
        <v>0</v>
      </c>
      <c r="BE319" s="23">
        <f>VALUE(0)</f>
        <v>0</v>
      </c>
      <c r="BF319" s="23">
        <f>VALUE(0)</f>
        <v>0</v>
      </c>
      <c r="BG319" s="23">
        <f>VALUE(0)</f>
        <v>0</v>
      </c>
      <c r="BH319" s="23">
        <f>VALUE(0)</f>
        <v>0</v>
      </c>
      <c r="BI319" s="23">
        <f>VALUE(0)</f>
        <v>0</v>
      </c>
      <c r="BJ319" s="23">
        <f>VALUE(0)</f>
        <v>0</v>
      </c>
      <c r="BK319" s="12">
        <f>$AX$319*24</f>
        <v>0</v>
      </c>
      <c r="BL319" s="12">
        <f>$AY$319*24</f>
        <v>0</v>
      </c>
      <c r="BM319" s="12">
        <f>$BJ$319*24</f>
        <v>0</v>
      </c>
      <c r="BN319" s="12">
        <f>VALUE($I$319)/100</f>
        <v>1</v>
      </c>
      <c r="BO319" s="12">
        <v>0</v>
      </c>
      <c r="BP319" s="12">
        <v>0</v>
      </c>
      <c r="BQ319" s="12">
        <v>0</v>
      </c>
      <c r="BR319" s="12">
        <v>0</v>
      </c>
      <c r="BS319" s="12">
        <v>0</v>
      </c>
      <c r="BT319" s="12">
        <v>0</v>
      </c>
      <c r="BU319" s="12">
        <v>0</v>
      </c>
      <c r="BV319" s="12">
        <v>0</v>
      </c>
      <c r="BW319" s="12">
        <v>0</v>
      </c>
      <c r="BX319" s="12">
        <v>0</v>
      </c>
      <c r="BY319" s="12">
        <v>0</v>
      </c>
      <c r="BZ319" s="12">
        <v>0</v>
      </c>
      <c r="CA319" s="12">
        <v>0</v>
      </c>
    </row>
    <row r="320" spans="1:79" ht="15" hidden="1" x14ac:dyDescent="0.25">
      <c r="A320" s="12" t="s">
        <v>141</v>
      </c>
      <c r="B320" s="12" t="s">
        <v>145</v>
      </c>
      <c r="C320" s="12" t="s">
        <v>145</v>
      </c>
      <c r="D320" s="31" t="s">
        <v>202</v>
      </c>
      <c r="E320" s="31" t="s">
        <v>153</v>
      </c>
      <c r="F320" s="31" t="s">
        <v>175</v>
      </c>
      <c r="G320" s="31" t="s">
        <v>153</v>
      </c>
      <c r="H320" s="31" t="s">
        <v>153</v>
      </c>
      <c r="I320" s="31" t="s">
        <v>153</v>
      </c>
      <c r="J320" s="31" t="s">
        <v>153</v>
      </c>
      <c r="K320" s="31" t="s">
        <v>153</v>
      </c>
      <c r="L320" s="31">
        <f>VALUE(0)</f>
        <v>0</v>
      </c>
      <c r="M320" s="31">
        <f>VALUE(8)</f>
        <v>8</v>
      </c>
      <c r="N320" s="31">
        <f>VALUE(0)</f>
        <v>0</v>
      </c>
      <c r="O320" s="31">
        <f>VALUE(10)</f>
        <v>10</v>
      </c>
      <c r="P320" s="31">
        <f>VALUE(10)</f>
        <v>10</v>
      </c>
      <c r="Q320" s="31">
        <f>VALUE(10)</f>
        <v>10</v>
      </c>
      <c r="R320" s="31">
        <f>VALUE(10)</f>
        <v>10</v>
      </c>
      <c r="S320" s="31">
        <f>VALUE(9)</f>
        <v>9</v>
      </c>
      <c r="T320" s="31">
        <f>VALUE(9)</f>
        <v>9</v>
      </c>
      <c r="U320" s="31">
        <f>VALUE(0)</f>
        <v>0</v>
      </c>
      <c r="V320" s="31">
        <f>VALUE(0)</f>
        <v>0</v>
      </c>
      <c r="W320" s="31">
        <f>VALUE(11)</f>
        <v>11</v>
      </c>
      <c r="X320" s="31">
        <f>VALUE(11)</f>
        <v>11</v>
      </c>
      <c r="Y320" s="31">
        <f>VALUE(11)</f>
        <v>11</v>
      </c>
      <c r="Z320" s="31">
        <f>VALUE(9)</f>
        <v>9</v>
      </c>
      <c r="AA320" s="31">
        <f>VALUE(10)</f>
        <v>10</v>
      </c>
      <c r="AB320" s="31">
        <f>VALUE(0)</f>
        <v>0</v>
      </c>
      <c r="AC320" s="31">
        <f>VALUE(9)</f>
        <v>9</v>
      </c>
      <c r="AD320" s="31">
        <f>VALUE(9)</f>
        <v>9</v>
      </c>
      <c r="AE320" s="31">
        <f>VALUE(9)</f>
        <v>9</v>
      </c>
      <c r="AF320" s="31">
        <f>VALUE(9)</f>
        <v>9</v>
      </c>
      <c r="AG320" s="31">
        <f>VALUE(10)</f>
        <v>10</v>
      </c>
      <c r="AH320" s="31">
        <f>VALUE(10)</f>
        <v>10</v>
      </c>
      <c r="AI320" s="31">
        <f>VALUE(0)</f>
        <v>0</v>
      </c>
      <c r="AJ320" s="31">
        <f>VALUE(9)</f>
        <v>9</v>
      </c>
      <c r="AK320" s="31">
        <f>VALUE(9)</f>
        <v>9</v>
      </c>
      <c r="AL320" s="31">
        <f>VALUE(9)</f>
        <v>9</v>
      </c>
      <c r="AM320" s="31">
        <f>VALUE(9)</f>
        <v>9</v>
      </c>
      <c r="AN320" s="31">
        <f>VALUE(8)</f>
        <v>8</v>
      </c>
      <c r="AO320" s="31">
        <f>VALUE(8)</f>
        <v>8</v>
      </c>
      <c r="AP320" s="31">
        <v>0</v>
      </c>
      <c r="AQ320" s="31">
        <v>0</v>
      </c>
      <c r="AR320" s="31">
        <v>0</v>
      </c>
      <c r="AS320" s="31">
        <v>0</v>
      </c>
      <c r="AT320" s="31">
        <v>0</v>
      </c>
      <c r="AU320" s="31">
        <v>0</v>
      </c>
      <c r="AV320" s="31">
        <v>0</v>
      </c>
      <c r="AW320" s="31">
        <v>0</v>
      </c>
      <c r="AX320" s="31">
        <v>0</v>
      </c>
      <c r="AY320" s="31">
        <v>0</v>
      </c>
      <c r="AZ320" s="31">
        <v>0</v>
      </c>
      <c r="BA320" s="31">
        <v>0</v>
      </c>
      <c r="BB320" s="31">
        <v>0</v>
      </c>
      <c r="BC320" s="31">
        <v>0</v>
      </c>
      <c r="BD320" s="31">
        <v>0</v>
      </c>
      <c r="BE320" s="31">
        <v>0</v>
      </c>
      <c r="BF320" s="31">
        <v>0</v>
      </c>
      <c r="BG320" s="31">
        <v>0</v>
      </c>
      <c r="BH320" s="31">
        <v>0</v>
      </c>
      <c r="BI320" s="31">
        <v>0</v>
      </c>
      <c r="BJ320" s="31">
        <v>0</v>
      </c>
      <c r="BK320" s="12">
        <v>0</v>
      </c>
      <c r="BL320" s="12">
        <v>0</v>
      </c>
      <c r="BM320" s="12">
        <v>0</v>
      </c>
      <c r="BN320" s="12"/>
      <c r="BO320" s="12">
        <v>0</v>
      </c>
      <c r="BP320" s="12">
        <v>0</v>
      </c>
      <c r="BQ320" s="12">
        <v>0</v>
      </c>
      <c r="BR320" s="12">
        <v>0</v>
      </c>
      <c r="BS320" s="12">
        <v>0</v>
      </c>
      <c r="BT320" s="12">
        <v>0</v>
      </c>
      <c r="BU320" s="12">
        <v>0</v>
      </c>
      <c r="BV320" s="12">
        <v>0</v>
      </c>
      <c r="BW320" s="12">
        <v>0</v>
      </c>
      <c r="BX320" s="12">
        <v>0</v>
      </c>
      <c r="BY320" s="12">
        <v>0</v>
      </c>
      <c r="BZ320" s="12">
        <v>0</v>
      </c>
      <c r="CA320" s="12">
        <v>0</v>
      </c>
    </row>
    <row r="321" spans="1:79" ht="16.5" hidden="1" x14ac:dyDescent="0.2">
      <c r="A321" s="12" t="s">
        <v>141</v>
      </c>
      <c r="B321" s="12" t="s">
        <v>146</v>
      </c>
      <c r="C321" s="12" t="s">
        <v>146</v>
      </c>
      <c r="D321" s="22" t="s">
        <v>572</v>
      </c>
      <c r="E321" s="22" t="s">
        <v>173</v>
      </c>
      <c r="F321" s="22" t="s">
        <v>1109</v>
      </c>
      <c r="G321" s="22" t="s">
        <v>1110</v>
      </c>
      <c r="H321" s="22" t="s">
        <v>150</v>
      </c>
      <c r="I321" s="22" t="s">
        <v>151</v>
      </c>
      <c r="J321" s="22" t="s">
        <v>162</v>
      </c>
      <c r="K321" s="22" t="s">
        <v>100</v>
      </c>
      <c r="L321" s="54" t="s">
        <v>153</v>
      </c>
      <c r="M321" s="23" t="s">
        <v>1307</v>
      </c>
      <c r="N321" s="24" t="s">
        <v>153</v>
      </c>
      <c r="O321" s="23" t="s">
        <v>547</v>
      </c>
      <c r="P321" s="25" t="s">
        <v>552</v>
      </c>
      <c r="Q321" s="25" t="s">
        <v>552</v>
      </c>
      <c r="R321" s="25" t="s">
        <v>552</v>
      </c>
      <c r="S321" s="25" t="s">
        <v>552</v>
      </c>
      <c r="T321" s="25" t="s">
        <v>552</v>
      </c>
      <c r="U321" s="24" t="s">
        <v>153</v>
      </c>
      <c r="V321" s="54" t="s">
        <v>153</v>
      </c>
      <c r="W321" s="23" t="s">
        <v>153</v>
      </c>
      <c r="X321" s="23" t="s">
        <v>153</v>
      </c>
      <c r="Y321" s="23" t="s">
        <v>153</v>
      </c>
      <c r="Z321" s="23" t="s">
        <v>153</v>
      </c>
      <c r="AA321" s="26" t="s">
        <v>1314</v>
      </c>
      <c r="AB321" s="24" t="s">
        <v>153</v>
      </c>
      <c r="AC321" s="23" t="s">
        <v>552</v>
      </c>
      <c r="AD321" s="23" t="s">
        <v>552</v>
      </c>
      <c r="AE321" s="23" t="s">
        <v>552</v>
      </c>
      <c r="AF321" s="23" t="s">
        <v>552</v>
      </c>
      <c r="AG321" s="23" t="s">
        <v>552</v>
      </c>
      <c r="AH321" s="23" t="s">
        <v>552</v>
      </c>
      <c r="AI321" s="24" t="s">
        <v>153</v>
      </c>
      <c r="AJ321" s="24" t="s">
        <v>156</v>
      </c>
      <c r="AK321" s="24" t="s">
        <v>156</v>
      </c>
      <c r="AL321" s="23" t="s">
        <v>541</v>
      </c>
      <c r="AM321" s="23" t="s">
        <v>541</v>
      </c>
      <c r="AN321" s="23" t="s">
        <v>554</v>
      </c>
      <c r="AO321" s="23" t="s">
        <v>554</v>
      </c>
      <c r="AP321" s="23">
        <f>VALUE(23)</f>
        <v>23</v>
      </c>
      <c r="AQ321" s="23">
        <f>VALUE(0)</f>
        <v>0</v>
      </c>
      <c r="AR321" s="23">
        <f>VALUE(0)</f>
        <v>0</v>
      </c>
      <c r="AS321" s="23">
        <f>VALUE(0)</f>
        <v>0</v>
      </c>
      <c r="AT321" s="23">
        <f>VALUE(0)</f>
        <v>0</v>
      </c>
      <c r="AU321" s="23">
        <f>VALUE(0)</f>
        <v>0</v>
      </c>
      <c r="AV321" s="23">
        <f>VALUE(5)</f>
        <v>5</v>
      </c>
      <c r="AW321" s="23">
        <f>VALUE(0)</f>
        <v>0</v>
      </c>
      <c r="AX321" s="23">
        <f>VALUE(0)</f>
        <v>0</v>
      </c>
      <c r="AY321" s="23">
        <f>VALUE(0)</f>
        <v>0</v>
      </c>
      <c r="AZ321" s="23">
        <f>VALUE(0)</f>
        <v>0</v>
      </c>
      <c r="BA321" s="23">
        <f>VALUE(0)</f>
        <v>0</v>
      </c>
      <c r="BB321" s="23">
        <f>VALUE(0)</f>
        <v>0</v>
      </c>
      <c r="BC321" s="23">
        <f>VALUE(0)</f>
        <v>0</v>
      </c>
      <c r="BD321" s="23">
        <f>VALUE(0)</f>
        <v>0</v>
      </c>
      <c r="BE321" s="23">
        <f>VALUE(0)</f>
        <v>0</v>
      </c>
      <c r="BF321" s="23">
        <f>VALUE(0)</f>
        <v>0</v>
      </c>
      <c r="BG321" s="23">
        <f>VALUE(0)</f>
        <v>0</v>
      </c>
      <c r="BH321" s="23">
        <f>VALUE(0)</f>
        <v>0</v>
      </c>
      <c r="BI321" s="23">
        <f>VALUE(0)</f>
        <v>0</v>
      </c>
      <c r="BJ321" s="23">
        <f>VALUE(0)</f>
        <v>0</v>
      </c>
      <c r="BK321" s="12">
        <f>$AX$321*24</f>
        <v>0</v>
      </c>
      <c r="BL321" s="12">
        <f>$AY$321*24</f>
        <v>0</v>
      </c>
      <c r="BM321" s="12">
        <f>$BJ$321*24</f>
        <v>0</v>
      </c>
      <c r="BN321" s="12">
        <f>VALUE($I$321)/100</f>
        <v>1</v>
      </c>
      <c r="BO321" s="12">
        <v>0</v>
      </c>
      <c r="BP321" s="12">
        <v>0</v>
      </c>
      <c r="BQ321" s="12">
        <v>0</v>
      </c>
      <c r="BR321" s="12">
        <v>0</v>
      </c>
      <c r="BS321" s="12">
        <v>0</v>
      </c>
      <c r="BT321" s="12">
        <v>0</v>
      </c>
      <c r="BU321" s="12">
        <v>0</v>
      </c>
      <c r="BV321" s="12">
        <v>0</v>
      </c>
      <c r="BW321" s="12">
        <v>0</v>
      </c>
      <c r="BX321" s="12">
        <v>0</v>
      </c>
      <c r="BY321" s="12">
        <v>0</v>
      </c>
      <c r="BZ321" s="12">
        <v>0</v>
      </c>
      <c r="CA321" s="12">
        <v>0</v>
      </c>
    </row>
    <row r="322" spans="1:79" hidden="1" x14ac:dyDescent="0.2">
      <c r="A322" s="12" t="s">
        <v>141</v>
      </c>
      <c r="B322" s="12" t="s">
        <v>146</v>
      </c>
      <c r="C322" s="12" t="s">
        <v>146</v>
      </c>
      <c r="D322" s="22" t="s">
        <v>435</v>
      </c>
      <c r="E322" s="22" t="s">
        <v>173</v>
      </c>
      <c r="F322" s="22" t="s">
        <v>1111</v>
      </c>
      <c r="G322" s="22" t="s">
        <v>1112</v>
      </c>
      <c r="H322" s="22" t="s">
        <v>150</v>
      </c>
      <c r="I322" s="22" t="s">
        <v>151</v>
      </c>
      <c r="J322" s="22" t="s">
        <v>162</v>
      </c>
      <c r="K322" s="22" t="s">
        <v>100</v>
      </c>
      <c r="L322" s="54" t="s">
        <v>153</v>
      </c>
      <c r="M322" s="23" t="s">
        <v>559</v>
      </c>
      <c r="N322" s="24" t="s">
        <v>153</v>
      </c>
      <c r="O322" s="23" t="s">
        <v>559</v>
      </c>
      <c r="P322" s="23" t="s">
        <v>559</v>
      </c>
      <c r="Q322" s="23" t="s">
        <v>559</v>
      </c>
      <c r="R322" s="23" t="s">
        <v>559</v>
      </c>
      <c r="S322" s="23" t="s">
        <v>559</v>
      </c>
      <c r="T322" s="23" t="s">
        <v>559</v>
      </c>
      <c r="U322" s="24" t="s">
        <v>153</v>
      </c>
      <c r="V322" s="54" t="s">
        <v>153</v>
      </c>
      <c r="W322" s="23" t="s">
        <v>153</v>
      </c>
      <c r="X322" s="23" t="s">
        <v>153</v>
      </c>
      <c r="Y322" s="23" t="s">
        <v>153</v>
      </c>
      <c r="Z322" s="23" t="s">
        <v>153</v>
      </c>
      <c r="AA322" s="23" t="s">
        <v>153</v>
      </c>
      <c r="AB322" s="24" t="s">
        <v>153</v>
      </c>
      <c r="AC322" s="23" t="s">
        <v>559</v>
      </c>
      <c r="AD322" s="23" t="s">
        <v>559</v>
      </c>
      <c r="AE322" s="29" t="s">
        <v>1175</v>
      </c>
      <c r="AF322" s="29" t="s">
        <v>1175</v>
      </c>
      <c r="AG322" s="24" t="s">
        <v>156</v>
      </c>
      <c r="AH322" s="24" t="s">
        <v>156</v>
      </c>
      <c r="AI322" s="24" t="s">
        <v>153</v>
      </c>
      <c r="AJ322" s="23" t="s">
        <v>559</v>
      </c>
      <c r="AK322" s="23" t="s">
        <v>559</v>
      </c>
      <c r="AL322" s="23" t="s">
        <v>559</v>
      </c>
      <c r="AM322" s="23" t="s">
        <v>559</v>
      </c>
      <c r="AN322" s="23" t="s">
        <v>559</v>
      </c>
      <c r="AO322" s="23" t="s">
        <v>559</v>
      </c>
      <c r="AP322" s="23">
        <f>VALUE(35)</f>
        <v>35</v>
      </c>
      <c r="AQ322" s="23">
        <f>VALUE(0)</f>
        <v>0</v>
      </c>
      <c r="AR322" s="23">
        <f>VALUE(2)</f>
        <v>2</v>
      </c>
      <c r="AS322" s="23">
        <f>VALUE(0)</f>
        <v>0</v>
      </c>
      <c r="AT322" s="23">
        <f>VALUE(0)</f>
        <v>0</v>
      </c>
      <c r="AU322" s="23">
        <f>VALUE(0)</f>
        <v>0</v>
      </c>
      <c r="AV322" s="23">
        <f>VALUE(11)</f>
        <v>11</v>
      </c>
      <c r="AW322" s="23">
        <f>VALUE(0)</f>
        <v>0</v>
      </c>
      <c r="AX322" s="23">
        <f>VALUE(0)</f>
        <v>0</v>
      </c>
      <c r="AY322" s="23">
        <f>VALUE(0)</f>
        <v>0</v>
      </c>
      <c r="AZ322" s="23">
        <f>VALUE(0)</f>
        <v>0</v>
      </c>
      <c r="BA322" s="23">
        <f>VALUE(0)</f>
        <v>0</v>
      </c>
      <c r="BB322" s="23">
        <f>VALUE(0)</f>
        <v>0</v>
      </c>
      <c r="BC322" s="23">
        <f>VALUE(0)</f>
        <v>0</v>
      </c>
      <c r="BD322" s="23">
        <f>VALUE(0)</f>
        <v>0</v>
      </c>
      <c r="BE322" s="23">
        <f>VALUE(0)</f>
        <v>0</v>
      </c>
      <c r="BF322" s="23">
        <f>VALUE(0)</f>
        <v>0</v>
      </c>
      <c r="BG322" s="23">
        <f>VALUE(0)</f>
        <v>0</v>
      </c>
      <c r="BH322" s="23">
        <f>VALUE(0)</f>
        <v>0</v>
      </c>
      <c r="BI322" s="23">
        <f>VALUE(0)</f>
        <v>0</v>
      </c>
      <c r="BJ322" s="23">
        <f>VALUE(0)</f>
        <v>0</v>
      </c>
      <c r="BK322" s="12">
        <f>$AX$322*24</f>
        <v>0</v>
      </c>
      <c r="BL322" s="12">
        <f>$AY$322*24</f>
        <v>0</v>
      </c>
      <c r="BM322" s="12">
        <f>$BJ$322*24</f>
        <v>0</v>
      </c>
      <c r="BN322" s="12">
        <f>VALUE($I$322)/100</f>
        <v>1</v>
      </c>
      <c r="BO322" s="12">
        <v>0</v>
      </c>
      <c r="BP322" s="12">
        <v>0</v>
      </c>
      <c r="BQ322" s="12">
        <v>0</v>
      </c>
      <c r="BR322" s="12">
        <v>0</v>
      </c>
      <c r="BS322" s="12">
        <v>0</v>
      </c>
      <c r="BT322" s="12">
        <v>0</v>
      </c>
      <c r="BU322" s="12">
        <v>0</v>
      </c>
      <c r="BV322" s="12">
        <v>2</v>
      </c>
      <c r="BW322" s="12">
        <v>0</v>
      </c>
      <c r="BX322" s="12">
        <v>0</v>
      </c>
      <c r="BY322" s="12">
        <v>0</v>
      </c>
      <c r="BZ322" s="12">
        <v>0</v>
      </c>
      <c r="CA322" s="12">
        <v>0</v>
      </c>
    </row>
    <row r="323" spans="1:79" ht="15" hidden="1" x14ac:dyDescent="0.25">
      <c r="A323" s="12" t="s">
        <v>141</v>
      </c>
      <c r="B323" s="12" t="s">
        <v>146</v>
      </c>
      <c r="C323" s="12" t="s">
        <v>146</v>
      </c>
      <c r="D323" s="31" t="s">
        <v>246</v>
      </c>
      <c r="E323" s="31" t="s">
        <v>153</v>
      </c>
      <c r="F323" s="31" t="s">
        <v>175</v>
      </c>
      <c r="G323" s="31" t="s">
        <v>153</v>
      </c>
      <c r="H323" s="31" t="s">
        <v>153</v>
      </c>
      <c r="I323" s="31" t="s">
        <v>153</v>
      </c>
      <c r="J323" s="31" t="s">
        <v>153</v>
      </c>
      <c r="K323" s="31" t="s">
        <v>153</v>
      </c>
      <c r="L323" s="31">
        <f>VALUE(0)</f>
        <v>0</v>
      </c>
      <c r="M323" s="31">
        <f>VALUE(2)</f>
        <v>2</v>
      </c>
      <c r="N323" s="31">
        <f>VALUE(0)</f>
        <v>0</v>
      </c>
      <c r="O323" s="31">
        <f>VALUE(2)</f>
        <v>2</v>
      </c>
      <c r="P323" s="31">
        <f>VALUE(2)</f>
        <v>2</v>
      </c>
      <c r="Q323" s="31">
        <f>VALUE(2)</f>
        <v>2</v>
      </c>
      <c r="R323" s="31">
        <f>VALUE(2)</f>
        <v>2</v>
      </c>
      <c r="S323" s="31">
        <f>VALUE(2)</f>
        <v>2</v>
      </c>
      <c r="T323" s="31">
        <f>VALUE(2)</f>
        <v>2</v>
      </c>
      <c r="U323" s="31">
        <f>VALUE(0)</f>
        <v>0</v>
      </c>
      <c r="V323" s="31">
        <f>VALUE(0)</f>
        <v>0</v>
      </c>
      <c r="W323" s="31">
        <f>VALUE(2)</f>
        <v>2</v>
      </c>
      <c r="X323" s="31">
        <f>VALUE(2)</f>
        <v>2</v>
      </c>
      <c r="Y323" s="31">
        <f>VALUE(2)</f>
        <v>2</v>
      </c>
      <c r="Z323" s="31">
        <f>VALUE(2)</f>
        <v>2</v>
      </c>
      <c r="AA323" s="31">
        <f>VALUE(2)</f>
        <v>2</v>
      </c>
      <c r="AB323" s="31">
        <f>VALUE(0)</f>
        <v>0</v>
      </c>
      <c r="AC323" s="31">
        <f>VALUE(2)</f>
        <v>2</v>
      </c>
      <c r="AD323" s="31">
        <f>VALUE(2)</f>
        <v>2</v>
      </c>
      <c r="AE323" s="31">
        <f>VALUE(1)</f>
        <v>1</v>
      </c>
      <c r="AF323" s="31">
        <f>VALUE(1)</f>
        <v>1</v>
      </c>
      <c r="AG323" s="31">
        <f>VALUE(1)</f>
        <v>1</v>
      </c>
      <c r="AH323" s="31">
        <f>VALUE(1)</f>
        <v>1</v>
      </c>
      <c r="AI323" s="31">
        <f>VALUE(0)</f>
        <v>0</v>
      </c>
      <c r="AJ323" s="31">
        <f>VALUE(1)</f>
        <v>1</v>
      </c>
      <c r="AK323" s="31">
        <f>VALUE(1)</f>
        <v>1</v>
      </c>
      <c r="AL323" s="31">
        <f>VALUE(2)</f>
        <v>2</v>
      </c>
      <c r="AM323" s="31">
        <f>VALUE(2)</f>
        <v>2</v>
      </c>
      <c r="AN323" s="31">
        <f>VALUE(2)</f>
        <v>2</v>
      </c>
      <c r="AO323" s="31">
        <f>VALUE(2)</f>
        <v>2</v>
      </c>
      <c r="AP323" s="31">
        <v>0</v>
      </c>
      <c r="AQ323" s="31">
        <v>0</v>
      </c>
      <c r="AR323" s="31">
        <v>0</v>
      </c>
      <c r="AS323" s="31">
        <v>0</v>
      </c>
      <c r="AT323" s="31">
        <v>0</v>
      </c>
      <c r="AU323" s="31">
        <v>0</v>
      </c>
      <c r="AV323" s="31">
        <v>0</v>
      </c>
      <c r="AW323" s="31">
        <v>0</v>
      </c>
      <c r="AX323" s="31">
        <v>0</v>
      </c>
      <c r="AY323" s="31">
        <v>0</v>
      </c>
      <c r="AZ323" s="31">
        <v>0</v>
      </c>
      <c r="BA323" s="31">
        <v>0</v>
      </c>
      <c r="BB323" s="31">
        <v>0</v>
      </c>
      <c r="BC323" s="31">
        <v>0</v>
      </c>
      <c r="BD323" s="31">
        <v>0</v>
      </c>
      <c r="BE323" s="31">
        <v>0</v>
      </c>
      <c r="BF323" s="31">
        <v>0</v>
      </c>
      <c r="BG323" s="31">
        <v>0</v>
      </c>
      <c r="BH323" s="31">
        <v>0</v>
      </c>
      <c r="BI323" s="31">
        <v>0</v>
      </c>
      <c r="BJ323" s="31">
        <v>0</v>
      </c>
      <c r="BK323" s="12">
        <v>0</v>
      </c>
      <c r="BL323" s="12">
        <v>0</v>
      </c>
      <c r="BM323" s="12">
        <v>0</v>
      </c>
      <c r="BN323" s="12"/>
      <c r="BO323" s="12">
        <v>0</v>
      </c>
      <c r="BP323" s="12">
        <v>0</v>
      </c>
      <c r="BQ323" s="12">
        <v>0</v>
      </c>
      <c r="BR323" s="12">
        <v>0</v>
      </c>
      <c r="BS323" s="12">
        <v>0</v>
      </c>
      <c r="BT323" s="12">
        <v>0</v>
      </c>
      <c r="BU323" s="12">
        <v>0</v>
      </c>
      <c r="BV323" s="12">
        <v>0</v>
      </c>
      <c r="BW323" s="12">
        <v>0</v>
      </c>
      <c r="BX323" s="12">
        <v>0</v>
      </c>
      <c r="BY323" s="12">
        <v>0</v>
      </c>
      <c r="BZ323" s="12">
        <v>0</v>
      </c>
      <c r="CA323" s="12">
        <v>0</v>
      </c>
    </row>
    <row r="324" spans="1:79" x14ac:dyDescent="0.2">
      <c r="A324" s="12" t="s">
        <v>147</v>
      </c>
      <c r="B324" s="12" t="s">
        <v>148</v>
      </c>
      <c r="C324" s="12" t="s">
        <v>148</v>
      </c>
      <c r="D324" s="22" t="s">
        <v>573</v>
      </c>
      <c r="E324" s="22" t="s">
        <v>161</v>
      </c>
      <c r="F324" s="22" t="s">
        <v>1113</v>
      </c>
      <c r="G324" s="22" t="s">
        <v>1114</v>
      </c>
      <c r="H324" s="22" t="s">
        <v>166</v>
      </c>
      <c r="I324" s="22" t="s">
        <v>151</v>
      </c>
      <c r="J324" s="22" t="s">
        <v>162</v>
      </c>
      <c r="K324" s="22" t="s">
        <v>101</v>
      </c>
      <c r="L324" s="54" t="s">
        <v>153</v>
      </c>
      <c r="M324" s="23" t="s">
        <v>153</v>
      </c>
      <c r="N324" s="24" t="s">
        <v>153</v>
      </c>
      <c r="O324" s="23" t="s">
        <v>153</v>
      </c>
      <c r="P324" s="23" t="s">
        <v>153</v>
      </c>
      <c r="Q324" s="23" t="s">
        <v>153</v>
      </c>
      <c r="R324" s="23" t="s">
        <v>153</v>
      </c>
      <c r="S324" s="23" t="s">
        <v>153</v>
      </c>
      <c r="T324" s="23" t="s">
        <v>153</v>
      </c>
      <c r="U324" s="24" t="s">
        <v>153</v>
      </c>
      <c r="V324" s="54" t="s">
        <v>153</v>
      </c>
      <c r="W324" s="23" t="s">
        <v>153</v>
      </c>
      <c r="X324" s="23" t="s">
        <v>153</v>
      </c>
      <c r="Y324" s="23" t="s">
        <v>153</v>
      </c>
      <c r="Z324" s="23" t="s">
        <v>153</v>
      </c>
      <c r="AA324" s="23" t="s">
        <v>153</v>
      </c>
      <c r="AB324" s="24" t="s">
        <v>153</v>
      </c>
      <c r="AC324" s="23" t="s">
        <v>153</v>
      </c>
      <c r="AD324" s="23" t="s">
        <v>153</v>
      </c>
      <c r="AE324" s="23" t="s">
        <v>153</v>
      </c>
      <c r="AF324" s="24" t="s">
        <v>156</v>
      </c>
      <c r="AG324" s="24" t="s">
        <v>156</v>
      </c>
      <c r="AH324" s="24" t="s">
        <v>156</v>
      </c>
      <c r="AI324" s="24" t="s">
        <v>153</v>
      </c>
      <c r="AJ324" s="28" t="s">
        <v>338</v>
      </c>
      <c r="AK324" s="28" t="s">
        <v>338</v>
      </c>
      <c r="AL324" s="28" t="s">
        <v>338</v>
      </c>
      <c r="AM324" s="23" t="s">
        <v>153</v>
      </c>
      <c r="AN324" s="23" t="s">
        <v>153</v>
      </c>
      <c r="AO324" s="23" t="s">
        <v>153</v>
      </c>
      <c r="AP324" s="23">
        <f>VALUE(6)</f>
        <v>6</v>
      </c>
      <c r="AQ324" s="23">
        <f>VALUE(0)</f>
        <v>0</v>
      </c>
      <c r="AR324" s="23">
        <f>VALUE(0)</f>
        <v>0</v>
      </c>
      <c r="AS324" s="23">
        <f>VALUE(0)</f>
        <v>0</v>
      </c>
      <c r="AT324" s="23">
        <f>VALUE(3)</f>
        <v>3</v>
      </c>
      <c r="AU324" s="23">
        <f>VALUE(0)</f>
        <v>0</v>
      </c>
      <c r="AV324" s="23">
        <f>VALUE(5.5)</f>
        <v>5.5</v>
      </c>
      <c r="AW324" s="23">
        <f>VALUE(0)</f>
        <v>0</v>
      </c>
      <c r="AX324" s="23" t="s">
        <v>504</v>
      </c>
      <c r="AY324" s="23">
        <f>VALUE(0)</f>
        <v>0</v>
      </c>
      <c r="AZ324" s="23">
        <f>VALUE(0)</f>
        <v>0</v>
      </c>
      <c r="BA324" s="23">
        <f>VALUE(0)</f>
        <v>0</v>
      </c>
      <c r="BB324" s="23">
        <f>VALUE(0)</f>
        <v>0</v>
      </c>
      <c r="BC324" s="23">
        <f>VALUE(0)</f>
        <v>0</v>
      </c>
      <c r="BD324" s="23">
        <f>VALUE(0)</f>
        <v>0</v>
      </c>
      <c r="BE324" s="23">
        <f>VALUE(0)</f>
        <v>0</v>
      </c>
      <c r="BF324" s="23">
        <f>VALUE(0)</f>
        <v>0</v>
      </c>
      <c r="BG324" s="23">
        <f>VALUE(0)</f>
        <v>0</v>
      </c>
      <c r="BH324" s="23">
        <f>VALUE(0)</f>
        <v>0</v>
      </c>
      <c r="BI324" s="23">
        <f>VALUE(0)</f>
        <v>0</v>
      </c>
      <c r="BJ324" s="23">
        <f>VALUE(0)</f>
        <v>0</v>
      </c>
      <c r="BK324" s="12">
        <f>$AX$324*24</f>
        <v>23.783333333333335</v>
      </c>
      <c r="BL324" s="12">
        <f>$AY$324*24</f>
        <v>0</v>
      </c>
      <c r="BM324" s="12">
        <f>$BJ$324*24</f>
        <v>0</v>
      </c>
      <c r="BN324" s="12">
        <f>VALUE($I$324)/100</f>
        <v>1</v>
      </c>
      <c r="BO324" s="12">
        <v>0</v>
      </c>
      <c r="BP324" s="12">
        <v>0</v>
      </c>
      <c r="BQ324" s="12">
        <v>0</v>
      </c>
      <c r="BR324" s="12">
        <v>0</v>
      </c>
      <c r="BS324" s="12">
        <v>0</v>
      </c>
      <c r="BT324" s="12">
        <v>0</v>
      </c>
      <c r="BU324" s="12">
        <v>0</v>
      </c>
      <c r="BV324" s="12">
        <v>0</v>
      </c>
      <c r="BW324" s="12">
        <v>0</v>
      </c>
      <c r="BX324" s="12">
        <v>0</v>
      </c>
      <c r="BY324" s="12">
        <v>3</v>
      </c>
      <c r="BZ324" s="12">
        <v>0</v>
      </c>
      <c r="CA324" s="12">
        <v>0</v>
      </c>
    </row>
    <row r="325" spans="1:79" hidden="1" x14ac:dyDescent="0.2">
      <c r="A325" s="12" t="s">
        <v>147</v>
      </c>
      <c r="B325" s="12" t="s">
        <v>148</v>
      </c>
      <c r="C325" s="12" t="s">
        <v>148</v>
      </c>
      <c r="D325" s="22" t="s">
        <v>574</v>
      </c>
      <c r="E325" s="22" t="s">
        <v>161</v>
      </c>
      <c r="F325" s="22" t="s">
        <v>1115</v>
      </c>
      <c r="G325" s="22" t="s">
        <v>1116</v>
      </c>
      <c r="H325" s="22" t="s">
        <v>190</v>
      </c>
      <c r="I325" s="22" t="s">
        <v>151</v>
      </c>
      <c r="J325" s="22" t="s">
        <v>162</v>
      </c>
      <c r="K325" s="22" t="s">
        <v>101</v>
      </c>
      <c r="L325" s="54" t="s">
        <v>153</v>
      </c>
      <c r="M325" s="23" t="s">
        <v>153</v>
      </c>
      <c r="N325" s="24" t="s">
        <v>153</v>
      </c>
      <c r="O325" s="23" t="s">
        <v>153</v>
      </c>
      <c r="P325" s="23" t="s">
        <v>153</v>
      </c>
      <c r="Q325" s="23" t="s">
        <v>153</v>
      </c>
      <c r="R325" s="23" t="s">
        <v>153</v>
      </c>
      <c r="S325" s="23" t="s">
        <v>153</v>
      </c>
      <c r="T325" s="23" t="s">
        <v>153</v>
      </c>
      <c r="U325" s="40" t="s">
        <v>153</v>
      </c>
      <c r="V325" s="40" t="s">
        <v>153</v>
      </c>
      <c r="W325" s="40" t="s">
        <v>153</v>
      </c>
      <c r="X325" s="40" t="s">
        <v>153</v>
      </c>
      <c r="Y325" s="40" t="s">
        <v>153</v>
      </c>
      <c r="Z325" s="40" t="s">
        <v>153</v>
      </c>
      <c r="AA325" s="40" t="s">
        <v>153</v>
      </c>
      <c r="AB325" s="40" t="s">
        <v>153</v>
      </c>
      <c r="AC325" s="40" t="s">
        <v>153</v>
      </c>
      <c r="AD325" s="40" t="s">
        <v>153</v>
      </c>
      <c r="AE325" s="40" t="s">
        <v>153</v>
      </c>
      <c r="AF325" s="40" t="s">
        <v>153</v>
      </c>
      <c r="AG325" s="40" t="s">
        <v>153</v>
      </c>
      <c r="AH325" s="40" t="s">
        <v>153</v>
      </c>
      <c r="AI325" s="40" t="s">
        <v>153</v>
      </c>
      <c r="AJ325" s="40" t="s">
        <v>153</v>
      </c>
      <c r="AK325" s="40" t="s">
        <v>153</v>
      </c>
      <c r="AL325" s="40" t="s">
        <v>153</v>
      </c>
      <c r="AM325" s="40" t="s">
        <v>153</v>
      </c>
      <c r="AN325" s="40" t="s">
        <v>153</v>
      </c>
      <c r="AO325" s="40" t="s">
        <v>153</v>
      </c>
      <c r="AP325" s="23">
        <f>VALUE(0)</f>
        <v>0</v>
      </c>
      <c r="AQ325" s="23">
        <f>VALUE(0)</f>
        <v>0</v>
      </c>
      <c r="AR325" s="23">
        <f>VALUE(0)</f>
        <v>0</v>
      </c>
      <c r="AS325" s="23">
        <f>VALUE(0)</f>
        <v>0</v>
      </c>
      <c r="AT325" s="23">
        <f>VALUE(0)</f>
        <v>0</v>
      </c>
      <c r="AU325" s="23">
        <f>VALUE(0)</f>
        <v>0</v>
      </c>
      <c r="AV325" s="23">
        <f>VALUE(2)</f>
        <v>2</v>
      </c>
      <c r="AW325" s="23">
        <f>VALUE(0)</f>
        <v>0</v>
      </c>
      <c r="AX325" s="23">
        <f>VALUE(0)</f>
        <v>0</v>
      </c>
      <c r="AY325" s="23">
        <f>VALUE(0)</f>
        <v>0</v>
      </c>
      <c r="AZ325" s="23">
        <f>VALUE(0)</f>
        <v>0</v>
      </c>
      <c r="BA325" s="23">
        <f>VALUE(0)</f>
        <v>0</v>
      </c>
      <c r="BB325" s="23">
        <f>VALUE(0)</f>
        <v>0</v>
      </c>
      <c r="BC325" s="23">
        <f>VALUE(0)</f>
        <v>0</v>
      </c>
      <c r="BD325" s="23">
        <f>VALUE(0)</f>
        <v>0</v>
      </c>
      <c r="BE325" s="23">
        <f>VALUE(0)</f>
        <v>0</v>
      </c>
      <c r="BF325" s="23">
        <f>VALUE(0)</f>
        <v>0</v>
      </c>
      <c r="BG325" s="23">
        <f>VALUE(0)</f>
        <v>0</v>
      </c>
      <c r="BH325" s="23">
        <f>VALUE(0)</f>
        <v>0</v>
      </c>
      <c r="BI325" s="23">
        <f>VALUE(0)</f>
        <v>0</v>
      </c>
      <c r="BJ325" s="23">
        <f>VALUE(0)</f>
        <v>0</v>
      </c>
      <c r="BK325" s="12">
        <f>$AX$325*24</f>
        <v>0</v>
      </c>
      <c r="BL325" s="12">
        <f>$AY$325*24</f>
        <v>0</v>
      </c>
      <c r="BM325" s="12">
        <f>$BJ$325*24</f>
        <v>0</v>
      </c>
      <c r="BN325" s="12">
        <f>VALUE($I$325)/100</f>
        <v>1</v>
      </c>
      <c r="BO325" s="12">
        <v>0</v>
      </c>
      <c r="BP325" s="12">
        <v>0</v>
      </c>
      <c r="BQ325" s="12">
        <v>0</v>
      </c>
      <c r="BR325" s="12">
        <v>0</v>
      </c>
      <c r="BS325" s="12">
        <v>0</v>
      </c>
      <c r="BT325" s="12">
        <v>0</v>
      </c>
      <c r="BU325" s="12">
        <v>0</v>
      </c>
      <c r="BV325" s="12">
        <v>0</v>
      </c>
      <c r="BW325" s="12">
        <v>0</v>
      </c>
      <c r="BX325" s="12">
        <v>0</v>
      </c>
      <c r="BY325" s="12">
        <v>0</v>
      </c>
      <c r="BZ325" s="12">
        <v>0</v>
      </c>
      <c r="CA325" s="12">
        <v>0</v>
      </c>
    </row>
    <row r="326" spans="1:79" hidden="1" x14ac:dyDescent="0.2">
      <c r="A326" s="12" t="s">
        <v>147</v>
      </c>
      <c r="B326" s="12" t="s">
        <v>148</v>
      </c>
      <c r="C326" s="12" t="s">
        <v>148</v>
      </c>
      <c r="D326" s="22" t="s">
        <v>575</v>
      </c>
      <c r="E326" s="22" t="s">
        <v>161</v>
      </c>
      <c r="F326" s="22" t="s">
        <v>1315</v>
      </c>
      <c r="G326" s="22" t="s">
        <v>1117</v>
      </c>
      <c r="H326" s="22" t="s">
        <v>150</v>
      </c>
      <c r="I326" s="22" t="s">
        <v>151</v>
      </c>
      <c r="J326" s="22" t="s">
        <v>162</v>
      </c>
      <c r="K326" s="22" t="s">
        <v>101</v>
      </c>
      <c r="L326" s="54" t="s">
        <v>153</v>
      </c>
      <c r="M326" s="28" t="s">
        <v>163</v>
      </c>
      <c r="N326" s="24" t="s">
        <v>153</v>
      </c>
      <c r="O326" s="28" t="s">
        <v>163</v>
      </c>
      <c r="P326" s="28" t="s">
        <v>163</v>
      </c>
      <c r="Q326" s="28" t="s">
        <v>163</v>
      </c>
      <c r="R326" s="28" t="s">
        <v>163</v>
      </c>
      <c r="S326" s="28" t="s">
        <v>163</v>
      </c>
      <c r="T326" s="28" t="s">
        <v>163</v>
      </c>
      <c r="U326" s="24" t="s">
        <v>153</v>
      </c>
      <c r="V326" s="54" t="s">
        <v>153</v>
      </c>
      <c r="W326" s="23" t="s">
        <v>153</v>
      </c>
      <c r="X326" s="23" t="s">
        <v>153</v>
      </c>
      <c r="Y326" s="23" t="s">
        <v>153</v>
      </c>
      <c r="Z326" s="23" t="s">
        <v>153</v>
      </c>
      <c r="AA326" s="23" t="s">
        <v>153</v>
      </c>
      <c r="AB326" s="24" t="s">
        <v>153</v>
      </c>
      <c r="AC326" s="23" t="s">
        <v>153</v>
      </c>
      <c r="AD326" s="23" t="s">
        <v>153</v>
      </c>
      <c r="AE326" s="23" t="s">
        <v>153</v>
      </c>
      <c r="AF326" s="23" t="s">
        <v>153</v>
      </c>
      <c r="AG326" s="23" t="s">
        <v>153</v>
      </c>
      <c r="AH326" s="23" t="s">
        <v>153</v>
      </c>
      <c r="AI326" s="24" t="s">
        <v>153</v>
      </c>
      <c r="AJ326" s="23" t="s">
        <v>153</v>
      </c>
      <c r="AK326" s="23" t="s">
        <v>153</v>
      </c>
      <c r="AL326" s="23" t="s">
        <v>153</v>
      </c>
      <c r="AM326" s="23" t="s">
        <v>153</v>
      </c>
      <c r="AN326" s="23" t="s">
        <v>153</v>
      </c>
      <c r="AO326" s="23" t="s">
        <v>153</v>
      </c>
      <c r="AP326" s="23">
        <f>VALUE(7)</f>
        <v>7</v>
      </c>
      <c r="AQ326" s="23">
        <f>VALUE(0)</f>
        <v>0</v>
      </c>
      <c r="AR326" s="23">
        <f>VALUE(0)</f>
        <v>0</v>
      </c>
      <c r="AS326" s="23">
        <f>VALUE(0)</f>
        <v>0</v>
      </c>
      <c r="AT326" s="23">
        <f>VALUE(0)</f>
        <v>0</v>
      </c>
      <c r="AU326" s="23">
        <f>VALUE(7)</f>
        <v>7</v>
      </c>
      <c r="AV326" s="23">
        <f>VALUE(0)</f>
        <v>0</v>
      </c>
      <c r="AW326" s="23">
        <f>VALUE(0)</f>
        <v>0</v>
      </c>
      <c r="AX326" s="23" t="s">
        <v>176</v>
      </c>
      <c r="AY326" s="23" t="s">
        <v>571</v>
      </c>
      <c r="AZ326" s="23">
        <f>VALUE(0)</f>
        <v>0</v>
      </c>
      <c r="BA326" s="23">
        <f>VALUE(0)</f>
        <v>0</v>
      </c>
      <c r="BB326" s="23">
        <f>VALUE(0)</f>
        <v>0</v>
      </c>
      <c r="BC326" s="23">
        <f>VALUE(0)</f>
        <v>0</v>
      </c>
      <c r="BD326" s="23">
        <f>VALUE(0)</f>
        <v>0</v>
      </c>
      <c r="BE326" s="23">
        <f>VALUE(0)</f>
        <v>0</v>
      </c>
      <c r="BF326" s="23">
        <f>VALUE(0)</f>
        <v>0</v>
      </c>
      <c r="BG326" s="23">
        <f>VALUE(0)</f>
        <v>0</v>
      </c>
      <c r="BH326" s="23">
        <f>VALUE(0)</f>
        <v>0</v>
      </c>
      <c r="BI326" s="23">
        <f>VALUE(0)</f>
        <v>0</v>
      </c>
      <c r="BJ326" s="23">
        <f>VALUE(0)</f>
        <v>0</v>
      </c>
      <c r="BK326" s="12">
        <f>$AX$326*24</f>
        <v>0</v>
      </c>
      <c r="BL326" s="12">
        <f>$AY$326*24</f>
        <v>3.1000000000000005</v>
      </c>
      <c r="BM326" s="12">
        <f>$BJ$326*24</f>
        <v>0</v>
      </c>
      <c r="BN326" s="12">
        <f>VALUE($I$326)/100</f>
        <v>1</v>
      </c>
      <c r="BO326" s="12">
        <v>0</v>
      </c>
      <c r="BP326" s="12">
        <v>0</v>
      </c>
      <c r="BQ326" s="12">
        <v>0</v>
      </c>
      <c r="BR326" s="12">
        <v>0</v>
      </c>
      <c r="BS326" s="12">
        <v>0</v>
      </c>
      <c r="BT326" s="12">
        <v>0</v>
      </c>
      <c r="BU326" s="12">
        <v>0</v>
      </c>
      <c r="BV326" s="12">
        <v>0</v>
      </c>
      <c r="BW326" s="12">
        <v>0</v>
      </c>
      <c r="BX326" s="12">
        <v>0</v>
      </c>
      <c r="BY326" s="12">
        <v>0</v>
      </c>
      <c r="BZ326" s="12">
        <v>0</v>
      </c>
      <c r="CA326" s="12">
        <v>0</v>
      </c>
    </row>
    <row r="327" spans="1:79" hidden="1" x14ac:dyDescent="0.2">
      <c r="A327" s="12" t="s">
        <v>147</v>
      </c>
      <c r="B327" s="12" t="s">
        <v>148</v>
      </c>
      <c r="C327" s="12" t="s">
        <v>148</v>
      </c>
      <c r="D327" s="22" t="s">
        <v>576</v>
      </c>
      <c r="E327" s="22" t="s">
        <v>161</v>
      </c>
      <c r="F327" s="22" t="s">
        <v>1316</v>
      </c>
      <c r="G327" s="22" t="s">
        <v>1118</v>
      </c>
      <c r="H327" s="22" t="s">
        <v>166</v>
      </c>
      <c r="I327" s="22" t="s">
        <v>151</v>
      </c>
      <c r="J327" s="22" t="s">
        <v>162</v>
      </c>
      <c r="K327" s="22" t="s">
        <v>101</v>
      </c>
      <c r="L327" s="54" t="s">
        <v>156</v>
      </c>
      <c r="M327" s="24" t="s">
        <v>156</v>
      </c>
      <c r="N327" s="24" t="s">
        <v>153</v>
      </c>
      <c r="O327" s="23" t="s">
        <v>153</v>
      </c>
      <c r="P327" s="23" t="s">
        <v>153</v>
      </c>
      <c r="Q327" s="23" t="s">
        <v>153</v>
      </c>
      <c r="R327" s="23" t="s">
        <v>153</v>
      </c>
      <c r="S327" s="23" t="s">
        <v>153</v>
      </c>
      <c r="T327" s="23" t="s">
        <v>153</v>
      </c>
      <c r="U327" s="24" t="s">
        <v>153</v>
      </c>
      <c r="V327" s="54" t="s">
        <v>153</v>
      </c>
      <c r="W327" s="23" t="s">
        <v>153</v>
      </c>
      <c r="X327" s="23" t="s">
        <v>153</v>
      </c>
      <c r="Y327" s="23" t="s">
        <v>153</v>
      </c>
      <c r="Z327" s="23" t="s">
        <v>153</v>
      </c>
      <c r="AA327" s="23" t="s">
        <v>153</v>
      </c>
      <c r="AB327" s="24" t="s">
        <v>153</v>
      </c>
      <c r="AC327" s="23" t="s">
        <v>153</v>
      </c>
      <c r="AD327" s="23" t="s">
        <v>153</v>
      </c>
      <c r="AE327" s="23" t="s">
        <v>153</v>
      </c>
      <c r="AF327" s="23" t="s">
        <v>153</v>
      </c>
      <c r="AG327" s="23" t="s">
        <v>153</v>
      </c>
      <c r="AH327" s="23" t="s">
        <v>153</v>
      </c>
      <c r="AI327" s="24" t="s">
        <v>153</v>
      </c>
      <c r="AJ327" s="30" t="s">
        <v>28</v>
      </c>
      <c r="AK327" s="30" t="s">
        <v>28</v>
      </c>
      <c r="AL327" s="30" t="s">
        <v>28</v>
      </c>
      <c r="AM327" s="30" t="s">
        <v>28</v>
      </c>
      <c r="AN327" s="30" t="s">
        <v>28</v>
      </c>
      <c r="AO327" s="28" t="s">
        <v>163</v>
      </c>
      <c r="AP327" s="23">
        <f>VALUE(17)</f>
        <v>17</v>
      </c>
      <c r="AQ327" s="23">
        <f>VALUE(0)</f>
        <v>0</v>
      </c>
      <c r="AR327" s="23">
        <f>VALUE(0)</f>
        <v>0</v>
      </c>
      <c r="AS327" s="23">
        <f>VALUE(0)</f>
        <v>0</v>
      </c>
      <c r="AT327" s="23">
        <f>VALUE(0)</f>
        <v>0</v>
      </c>
      <c r="AU327" s="23">
        <f>VALUE(1)</f>
        <v>1</v>
      </c>
      <c r="AV327" s="23">
        <f>VALUE(2.5)</f>
        <v>2.5</v>
      </c>
      <c r="AW327" s="23">
        <f>VALUE(0)</f>
        <v>0</v>
      </c>
      <c r="AX327" s="23" t="s">
        <v>1317</v>
      </c>
      <c r="AY327" s="23">
        <f>VALUE(0)</f>
        <v>0</v>
      </c>
      <c r="AZ327" s="23">
        <f>VALUE(0)</f>
        <v>0</v>
      </c>
      <c r="BA327" s="23">
        <f>VALUE(0)</f>
        <v>0</v>
      </c>
      <c r="BB327" s="23">
        <f>VALUE(0)</f>
        <v>0</v>
      </c>
      <c r="BC327" s="23">
        <f>VALUE(0)</f>
        <v>0</v>
      </c>
      <c r="BD327" s="23">
        <f>VALUE(0)</f>
        <v>0</v>
      </c>
      <c r="BE327" s="23">
        <f>VALUE(0)</f>
        <v>0</v>
      </c>
      <c r="BF327" s="23">
        <f>VALUE(0)</f>
        <v>0</v>
      </c>
      <c r="BG327" s="23">
        <f>VALUE(0)</f>
        <v>0</v>
      </c>
      <c r="BH327" s="23">
        <f>VALUE(0)</f>
        <v>0</v>
      </c>
      <c r="BI327" s="23">
        <f>VALUE(0)</f>
        <v>0</v>
      </c>
      <c r="BJ327" s="23">
        <f>VALUE(0)</f>
        <v>0</v>
      </c>
      <c r="BK327" s="12">
        <f>$AX$327*24</f>
        <v>33</v>
      </c>
      <c r="BL327" s="12">
        <f>$AY$327*24</f>
        <v>0</v>
      </c>
      <c r="BM327" s="12">
        <f>$BJ$327*24</f>
        <v>0</v>
      </c>
      <c r="BN327" s="12">
        <f>VALUE($I$327)/100</f>
        <v>1</v>
      </c>
      <c r="BO327" s="12">
        <v>0</v>
      </c>
      <c r="BP327" s="12">
        <v>0</v>
      </c>
      <c r="BQ327" s="12">
        <v>5</v>
      </c>
      <c r="BR327" s="12">
        <v>0</v>
      </c>
      <c r="BS327" s="12">
        <v>0</v>
      </c>
      <c r="BT327" s="12">
        <v>0</v>
      </c>
      <c r="BU327" s="12">
        <v>0</v>
      </c>
      <c r="BV327" s="12">
        <v>0</v>
      </c>
      <c r="BW327" s="12">
        <v>0</v>
      </c>
      <c r="BX327" s="12">
        <v>0</v>
      </c>
      <c r="BY327" s="12">
        <v>0</v>
      </c>
      <c r="BZ327" s="12">
        <v>0</v>
      </c>
      <c r="CA327" s="12">
        <v>0</v>
      </c>
    </row>
    <row r="328" spans="1:79" x14ac:dyDescent="0.2">
      <c r="A328" s="12" t="s">
        <v>147</v>
      </c>
      <c r="B328" s="12" t="s">
        <v>148</v>
      </c>
      <c r="C328" s="12" t="s">
        <v>148</v>
      </c>
      <c r="D328" s="22" t="s">
        <v>577</v>
      </c>
      <c r="E328" s="22" t="s">
        <v>161</v>
      </c>
      <c r="F328" s="22" t="s">
        <v>1119</v>
      </c>
      <c r="G328" s="22" t="s">
        <v>1120</v>
      </c>
      <c r="H328" s="22" t="s">
        <v>166</v>
      </c>
      <c r="I328" s="22" t="s">
        <v>151</v>
      </c>
      <c r="J328" s="22" t="s">
        <v>162</v>
      </c>
      <c r="K328" s="22" t="s">
        <v>101</v>
      </c>
      <c r="L328" s="54" t="s">
        <v>153</v>
      </c>
      <c r="M328" s="23" t="s">
        <v>153</v>
      </c>
      <c r="N328" s="24" t="s">
        <v>153</v>
      </c>
      <c r="O328" s="28" t="s">
        <v>163</v>
      </c>
      <c r="P328" s="28" t="s">
        <v>163</v>
      </c>
      <c r="Q328" s="28" t="s">
        <v>163</v>
      </c>
      <c r="R328" s="23" t="s">
        <v>153</v>
      </c>
      <c r="S328" s="23" t="s">
        <v>153</v>
      </c>
      <c r="T328" s="23" t="s">
        <v>153</v>
      </c>
      <c r="U328" s="24" t="s">
        <v>153</v>
      </c>
      <c r="V328" s="54" t="s">
        <v>153</v>
      </c>
      <c r="W328" s="23" t="s">
        <v>153</v>
      </c>
      <c r="X328" s="23" t="s">
        <v>153</v>
      </c>
      <c r="Y328" s="24" t="s">
        <v>156</v>
      </c>
      <c r="Z328" s="24" t="s">
        <v>156</v>
      </c>
      <c r="AA328" s="24" t="s">
        <v>156</v>
      </c>
      <c r="AB328" s="24" t="s">
        <v>153</v>
      </c>
      <c r="AC328" s="28" t="s">
        <v>338</v>
      </c>
      <c r="AD328" s="28" t="s">
        <v>338</v>
      </c>
      <c r="AE328" s="28" t="s">
        <v>338</v>
      </c>
      <c r="AF328" s="28" t="s">
        <v>338</v>
      </c>
      <c r="AG328" s="28" t="s">
        <v>338</v>
      </c>
      <c r="AH328" s="28" t="s">
        <v>338</v>
      </c>
      <c r="AI328" s="24" t="s">
        <v>153</v>
      </c>
      <c r="AJ328" s="23" t="s">
        <v>153</v>
      </c>
      <c r="AK328" s="23" t="s">
        <v>153</v>
      </c>
      <c r="AL328" s="23" t="s">
        <v>153</v>
      </c>
      <c r="AM328" s="23" t="s">
        <v>153</v>
      </c>
      <c r="AN328" s="23" t="s">
        <v>153</v>
      </c>
      <c r="AO328" s="23" t="s">
        <v>153</v>
      </c>
      <c r="AP328" s="23">
        <f>VALUE(12)</f>
        <v>12</v>
      </c>
      <c r="AQ328" s="23">
        <f>VALUE(0)</f>
        <v>0</v>
      </c>
      <c r="AR328" s="23">
        <f>VALUE(0)</f>
        <v>0</v>
      </c>
      <c r="AS328" s="23">
        <f>VALUE(0)</f>
        <v>0</v>
      </c>
      <c r="AT328" s="23">
        <f>VALUE(6)</f>
        <v>6</v>
      </c>
      <c r="AU328" s="23">
        <f>VALUE(3)</f>
        <v>3</v>
      </c>
      <c r="AV328" s="23">
        <f>VALUE(12)</f>
        <v>12</v>
      </c>
      <c r="AW328" s="23">
        <f>VALUE(0)</f>
        <v>0</v>
      </c>
      <c r="AX328" s="23" t="s">
        <v>1318</v>
      </c>
      <c r="AY328" s="23">
        <f>VALUE(0)</f>
        <v>0</v>
      </c>
      <c r="AZ328" s="23">
        <f>VALUE(0)</f>
        <v>0</v>
      </c>
      <c r="BA328" s="23">
        <f>VALUE(0)</f>
        <v>0</v>
      </c>
      <c r="BB328" s="23">
        <f>VALUE(0)</f>
        <v>0</v>
      </c>
      <c r="BC328" s="23">
        <f>VALUE(0)</f>
        <v>0</v>
      </c>
      <c r="BD328" s="23">
        <f>VALUE(0)</f>
        <v>0</v>
      </c>
      <c r="BE328" s="23">
        <f>VALUE(0)</f>
        <v>0</v>
      </c>
      <c r="BF328" s="23">
        <f>VALUE(0)</f>
        <v>0</v>
      </c>
      <c r="BG328" s="23">
        <f>VALUE(0)</f>
        <v>0</v>
      </c>
      <c r="BH328" s="23">
        <f>VALUE(0)</f>
        <v>0</v>
      </c>
      <c r="BI328" s="23">
        <f>VALUE(0)</f>
        <v>0</v>
      </c>
      <c r="BJ328" s="23">
        <f>VALUE(0)</f>
        <v>0</v>
      </c>
      <c r="BK328" s="12">
        <f>$AX$328*24</f>
        <v>33.6</v>
      </c>
      <c r="BL328" s="12">
        <f>$AY$328*24</f>
        <v>0</v>
      </c>
      <c r="BM328" s="12">
        <f>$BJ$328*24</f>
        <v>0</v>
      </c>
      <c r="BN328" s="12">
        <f>VALUE($I$328)/100</f>
        <v>1</v>
      </c>
      <c r="BO328" s="12">
        <v>0</v>
      </c>
      <c r="BP328" s="12">
        <v>0</v>
      </c>
      <c r="BQ328" s="12">
        <v>0</v>
      </c>
      <c r="BR328" s="12">
        <v>0</v>
      </c>
      <c r="BS328" s="12">
        <v>0</v>
      </c>
      <c r="BT328" s="12">
        <v>0</v>
      </c>
      <c r="BU328" s="12">
        <v>0</v>
      </c>
      <c r="BV328" s="12">
        <v>0</v>
      </c>
      <c r="BW328" s="12">
        <v>0</v>
      </c>
      <c r="BX328" s="12">
        <v>0</v>
      </c>
      <c r="BY328" s="12">
        <v>6</v>
      </c>
      <c r="BZ328" s="12">
        <v>0</v>
      </c>
      <c r="CA328" s="12">
        <v>0</v>
      </c>
    </row>
    <row r="329" spans="1:79" hidden="1" x14ac:dyDescent="0.2">
      <c r="A329" s="12" t="s">
        <v>147</v>
      </c>
      <c r="B329" s="12" t="s">
        <v>148</v>
      </c>
      <c r="C329" s="12" t="s">
        <v>148</v>
      </c>
      <c r="D329" s="22" t="s">
        <v>159</v>
      </c>
      <c r="E329" s="22" t="s">
        <v>159</v>
      </c>
      <c r="F329" s="22" t="s">
        <v>1121</v>
      </c>
      <c r="G329" s="22" t="s">
        <v>1122</v>
      </c>
      <c r="H329" s="22" t="s">
        <v>150</v>
      </c>
      <c r="I329" s="22" t="s">
        <v>151</v>
      </c>
      <c r="J329" s="22" t="s">
        <v>162</v>
      </c>
      <c r="K329" s="22" t="s">
        <v>101</v>
      </c>
      <c r="L329" s="54" t="s">
        <v>153</v>
      </c>
      <c r="M329" s="23" t="s">
        <v>575</v>
      </c>
      <c r="N329" s="24" t="s">
        <v>153</v>
      </c>
      <c r="O329" s="23" t="s">
        <v>575</v>
      </c>
      <c r="P329" s="23" t="s">
        <v>575</v>
      </c>
      <c r="Q329" s="23" t="s">
        <v>575</v>
      </c>
      <c r="R329" s="23" t="s">
        <v>575</v>
      </c>
      <c r="S329" s="23" t="s">
        <v>575</v>
      </c>
      <c r="T329" s="23" t="s">
        <v>575</v>
      </c>
      <c r="U329" s="24" t="s">
        <v>153</v>
      </c>
      <c r="V329" s="54" t="s">
        <v>153</v>
      </c>
      <c r="W329" s="29" t="s">
        <v>163</v>
      </c>
      <c r="X329" s="29" t="s">
        <v>163</v>
      </c>
      <c r="Y329" s="29" t="s">
        <v>163</v>
      </c>
      <c r="Z329" s="29" t="s">
        <v>163</v>
      </c>
      <c r="AA329" s="29" t="s">
        <v>163</v>
      </c>
      <c r="AB329" s="24" t="s">
        <v>153</v>
      </c>
      <c r="AC329" s="23" t="s">
        <v>577</v>
      </c>
      <c r="AD329" s="23" t="s">
        <v>577</v>
      </c>
      <c r="AE329" s="23" t="s">
        <v>577</v>
      </c>
      <c r="AF329" s="23" t="s">
        <v>577</v>
      </c>
      <c r="AG329" s="23" t="s">
        <v>577</v>
      </c>
      <c r="AH329" s="23" t="s">
        <v>577</v>
      </c>
      <c r="AI329" s="24" t="s">
        <v>153</v>
      </c>
      <c r="AJ329" s="23" t="s">
        <v>576</v>
      </c>
      <c r="AK329" s="23" t="s">
        <v>576</v>
      </c>
      <c r="AL329" s="23" t="s">
        <v>576</v>
      </c>
      <c r="AM329" s="23" t="s">
        <v>576</v>
      </c>
      <c r="AN329" s="23" t="s">
        <v>576</v>
      </c>
      <c r="AO329" s="23" t="s">
        <v>576</v>
      </c>
      <c r="AP329" s="23">
        <f>VALUE(6)</f>
        <v>6</v>
      </c>
      <c r="AQ329" s="23">
        <f>VALUE(0)</f>
        <v>0</v>
      </c>
      <c r="AR329" s="23">
        <f>VALUE(5)</f>
        <v>5</v>
      </c>
      <c r="AS329" s="23">
        <f>VALUE(0)</f>
        <v>0</v>
      </c>
      <c r="AT329" s="23">
        <f>VALUE(0)</f>
        <v>0</v>
      </c>
      <c r="AU329" s="23">
        <f>VALUE(0)</f>
        <v>0</v>
      </c>
      <c r="AV329" s="23">
        <f>VALUE(2)</f>
        <v>2</v>
      </c>
      <c r="AW329" s="23">
        <f>VALUE(0)</f>
        <v>0</v>
      </c>
      <c r="AX329" s="23">
        <f>VALUE(0)</f>
        <v>0</v>
      </c>
      <c r="AY329" s="23" t="s">
        <v>578</v>
      </c>
      <c r="AZ329" s="23">
        <f>VALUE(0)</f>
        <v>0</v>
      </c>
      <c r="BA329" s="23">
        <f>VALUE(0)</f>
        <v>0</v>
      </c>
      <c r="BB329" s="23">
        <f>VALUE(0)</f>
        <v>0</v>
      </c>
      <c r="BC329" s="23">
        <f>VALUE(0)</f>
        <v>0</v>
      </c>
      <c r="BD329" s="23">
        <f>VALUE(0)</f>
        <v>0</v>
      </c>
      <c r="BE329" s="23">
        <f>VALUE(0)</f>
        <v>0</v>
      </c>
      <c r="BF329" s="23">
        <f>VALUE(0)</f>
        <v>0</v>
      </c>
      <c r="BG329" s="23">
        <f>VALUE(0)</f>
        <v>0</v>
      </c>
      <c r="BH329" s="23">
        <f>VALUE(0)</f>
        <v>0</v>
      </c>
      <c r="BI329" s="23">
        <f>VALUE(0)</f>
        <v>0</v>
      </c>
      <c r="BJ329" s="23">
        <f>VALUE(0)</f>
        <v>0</v>
      </c>
      <c r="BK329" s="12">
        <f>$AX$329*24</f>
        <v>0</v>
      </c>
      <c r="BL329" s="12">
        <f>$AY$329*24</f>
        <v>2.7666666666666666</v>
      </c>
      <c r="BM329" s="12">
        <f>$BJ$329*24</f>
        <v>0</v>
      </c>
      <c r="BN329" s="12">
        <f>VALUE($I$329)/100</f>
        <v>1</v>
      </c>
      <c r="BO329" s="12">
        <v>0</v>
      </c>
      <c r="BP329" s="12">
        <v>0</v>
      </c>
      <c r="BQ329" s="12">
        <v>0</v>
      </c>
      <c r="BR329" s="12">
        <v>0</v>
      </c>
      <c r="BS329" s="12">
        <v>0</v>
      </c>
      <c r="BT329" s="12">
        <v>5</v>
      </c>
      <c r="BU329" s="12">
        <v>0</v>
      </c>
      <c r="BV329" s="12">
        <v>0</v>
      </c>
      <c r="BW329" s="12">
        <v>0</v>
      </c>
      <c r="BX329" s="12">
        <v>0</v>
      </c>
      <c r="BY329" s="12">
        <v>0</v>
      </c>
      <c r="BZ329" s="12">
        <v>0</v>
      </c>
      <c r="CA329" s="12">
        <v>0</v>
      </c>
    </row>
    <row r="330" spans="1:79" hidden="1" x14ac:dyDescent="0.2">
      <c r="A330" s="12" t="s">
        <v>147</v>
      </c>
      <c r="B330" s="12" t="s">
        <v>148</v>
      </c>
      <c r="C330" s="12" t="s">
        <v>148</v>
      </c>
      <c r="D330" s="22" t="s">
        <v>1319</v>
      </c>
      <c r="E330" s="22" t="s">
        <v>161</v>
      </c>
      <c r="F330" s="22" t="s">
        <v>1123</v>
      </c>
      <c r="G330" s="22" t="s">
        <v>1124</v>
      </c>
      <c r="H330" s="22" t="s">
        <v>166</v>
      </c>
      <c r="I330" s="22" t="s">
        <v>151</v>
      </c>
      <c r="J330" s="22" t="s">
        <v>162</v>
      </c>
      <c r="K330" s="22" t="s">
        <v>101</v>
      </c>
      <c r="L330" s="54" t="s">
        <v>153</v>
      </c>
      <c r="M330" s="27" t="s">
        <v>153</v>
      </c>
      <c r="N330" s="27" t="s">
        <v>153</v>
      </c>
      <c r="O330" s="27" t="s">
        <v>153</v>
      </c>
      <c r="P330" s="27" t="s">
        <v>153</v>
      </c>
      <c r="Q330" s="27" t="s">
        <v>153</v>
      </c>
      <c r="R330" s="27" t="s">
        <v>153</v>
      </c>
      <c r="S330" s="27" t="s">
        <v>153</v>
      </c>
      <c r="T330" s="27" t="s">
        <v>153</v>
      </c>
      <c r="U330" s="27" t="s">
        <v>153</v>
      </c>
      <c r="V330" s="54" t="s">
        <v>153</v>
      </c>
      <c r="W330" s="27" t="s">
        <v>153</v>
      </c>
      <c r="X330" s="27" t="s">
        <v>153</v>
      </c>
      <c r="Y330" s="27" t="s">
        <v>153</v>
      </c>
      <c r="Z330" s="27" t="s">
        <v>153</v>
      </c>
      <c r="AA330" s="27" t="s">
        <v>153</v>
      </c>
      <c r="AB330" s="27" t="s">
        <v>153</v>
      </c>
      <c r="AC330" s="27" t="s">
        <v>153</v>
      </c>
      <c r="AD330" s="27" t="s">
        <v>153</v>
      </c>
      <c r="AE330" s="27" t="s">
        <v>153</v>
      </c>
      <c r="AF330" s="27" t="s">
        <v>153</v>
      </c>
      <c r="AG330" s="27" t="s">
        <v>153</v>
      </c>
      <c r="AH330" s="27" t="s">
        <v>153</v>
      </c>
      <c r="AI330" s="27" t="s">
        <v>153</v>
      </c>
      <c r="AJ330" s="27" t="s">
        <v>153</v>
      </c>
      <c r="AK330" s="27" t="s">
        <v>153</v>
      </c>
      <c r="AL330" s="27" t="s">
        <v>153</v>
      </c>
      <c r="AM330" s="27" t="s">
        <v>153</v>
      </c>
      <c r="AN330" s="27" t="s">
        <v>153</v>
      </c>
      <c r="AO330" s="27" t="s">
        <v>153</v>
      </c>
      <c r="AP330" s="23">
        <f>VALUE(0)</f>
        <v>0</v>
      </c>
      <c r="AQ330" s="23">
        <f>VALUE(0)</f>
        <v>0</v>
      </c>
      <c r="AR330" s="23">
        <f>VALUE(0)</f>
        <v>0</v>
      </c>
      <c r="AS330" s="23">
        <f>VALUE(0)</f>
        <v>0</v>
      </c>
      <c r="AT330" s="23">
        <f>VALUE(0)</f>
        <v>0</v>
      </c>
      <c r="AU330" s="23">
        <f>VALUE(0)</f>
        <v>0</v>
      </c>
      <c r="AV330" s="23">
        <f>VALUE(0)</f>
        <v>0</v>
      </c>
      <c r="AW330" s="23">
        <f>VALUE(0)</f>
        <v>0</v>
      </c>
      <c r="AX330" s="23">
        <f>VALUE(0)</f>
        <v>0</v>
      </c>
      <c r="AY330" s="23">
        <f>VALUE(0)</f>
        <v>0</v>
      </c>
      <c r="AZ330" s="23">
        <f>VALUE(0)</f>
        <v>0</v>
      </c>
      <c r="BA330" s="23">
        <f>VALUE(0)</f>
        <v>0</v>
      </c>
      <c r="BB330" s="23">
        <f>VALUE(0)</f>
        <v>0</v>
      </c>
      <c r="BC330" s="23">
        <f>VALUE(0)</f>
        <v>0</v>
      </c>
      <c r="BD330" s="23">
        <f>VALUE(0)</f>
        <v>0</v>
      </c>
      <c r="BE330" s="23">
        <f>VALUE(0)</f>
        <v>0</v>
      </c>
      <c r="BF330" s="23">
        <f>VALUE(0)</f>
        <v>0</v>
      </c>
      <c r="BG330" s="23">
        <f>VALUE(0)</f>
        <v>0</v>
      </c>
      <c r="BH330" s="23">
        <f>VALUE(0)</f>
        <v>0</v>
      </c>
      <c r="BI330" s="23">
        <f>VALUE(0)</f>
        <v>0</v>
      </c>
      <c r="BJ330" s="23">
        <f>VALUE(0)</f>
        <v>0</v>
      </c>
      <c r="BK330" s="12">
        <f>$AX$330*24</f>
        <v>0</v>
      </c>
      <c r="BL330" s="12">
        <f>$AY$330*24</f>
        <v>0</v>
      </c>
      <c r="BM330" s="12">
        <f>$BJ$330*24</f>
        <v>0</v>
      </c>
      <c r="BN330" s="12">
        <f>VALUE($I$330)/100</f>
        <v>1</v>
      </c>
      <c r="BO330" s="12">
        <v>0</v>
      </c>
      <c r="BP330" s="12">
        <v>0</v>
      </c>
      <c r="BQ330" s="12">
        <v>0</v>
      </c>
      <c r="BR330" s="12">
        <v>0</v>
      </c>
      <c r="BS330" s="12">
        <v>0</v>
      </c>
      <c r="BT330" s="12">
        <v>0</v>
      </c>
      <c r="BU330" s="12">
        <v>0</v>
      </c>
      <c r="BV330" s="12">
        <v>0</v>
      </c>
      <c r="BW330" s="12">
        <v>0</v>
      </c>
      <c r="BX330" s="12">
        <v>0</v>
      </c>
      <c r="BY330" s="12">
        <v>0</v>
      </c>
      <c r="BZ330" s="12">
        <v>0</v>
      </c>
      <c r="CA330" s="12">
        <v>0</v>
      </c>
    </row>
    <row r="331" spans="1:79" hidden="1" x14ac:dyDescent="0.2">
      <c r="A331" s="12" t="s">
        <v>147</v>
      </c>
      <c r="B331" s="12" t="s">
        <v>148</v>
      </c>
      <c r="C331" s="12" t="s">
        <v>148</v>
      </c>
      <c r="D331" s="22" t="s">
        <v>1312</v>
      </c>
      <c r="E331" s="22" t="s">
        <v>161</v>
      </c>
      <c r="F331" s="22" t="s">
        <v>1125</v>
      </c>
      <c r="G331" s="22" t="s">
        <v>1126</v>
      </c>
      <c r="H331" s="22" t="s">
        <v>166</v>
      </c>
      <c r="I331" s="22" t="s">
        <v>415</v>
      </c>
      <c r="J331" s="22" t="s">
        <v>162</v>
      </c>
      <c r="K331" s="22" t="s">
        <v>101</v>
      </c>
      <c r="L331" s="54" t="s">
        <v>153</v>
      </c>
      <c r="M331" s="23" t="s">
        <v>576</v>
      </c>
      <c r="N331" s="24" t="s">
        <v>153</v>
      </c>
      <c r="O331" s="24" t="s">
        <v>195</v>
      </c>
      <c r="P331" s="24" t="s">
        <v>195</v>
      </c>
      <c r="Q331" s="24" t="s">
        <v>195</v>
      </c>
      <c r="R331" s="23" t="s">
        <v>574</v>
      </c>
      <c r="S331" s="23" t="s">
        <v>574</v>
      </c>
      <c r="T331" s="23" t="s">
        <v>574</v>
      </c>
      <c r="U331" s="24" t="s">
        <v>153</v>
      </c>
      <c r="V331" s="54" t="s">
        <v>153</v>
      </c>
      <c r="W331" s="24" t="s">
        <v>195</v>
      </c>
      <c r="X331" s="24" t="s">
        <v>195</v>
      </c>
      <c r="Y331" s="23" t="s">
        <v>577</v>
      </c>
      <c r="Z331" s="23" t="s">
        <v>577</v>
      </c>
      <c r="AA331" s="23" t="s">
        <v>577</v>
      </c>
      <c r="AB331" s="24" t="s">
        <v>153</v>
      </c>
      <c r="AC331" s="24" t="s">
        <v>195</v>
      </c>
      <c r="AD331" s="24" t="s">
        <v>195</v>
      </c>
      <c r="AE331" s="24" t="s">
        <v>195</v>
      </c>
      <c r="AF331" s="23" t="s">
        <v>573</v>
      </c>
      <c r="AG331" s="23" t="s">
        <v>573</v>
      </c>
      <c r="AH331" s="23" t="s">
        <v>573</v>
      </c>
      <c r="AI331" s="24" t="s">
        <v>153</v>
      </c>
      <c r="AJ331" s="23" t="s">
        <v>513</v>
      </c>
      <c r="AK331" s="23" t="s">
        <v>513</v>
      </c>
      <c r="AL331" s="23" t="s">
        <v>513</v>
      </c>
      <c r="AM331" s="24" t="s">
        <v>195</v>
      </c>
      <c r="AN331" s="24" t="s">
        <v>195</v>
      </c>
      <c r="AO331" s="24" t="s">
        <v>195</v>
      </c>
      <c r="AP331" s="23">
        <f>VALUE(13)</f>
        <v>13</v>
      </c>
      <c r="AQ331" s="23">
        <f>VALUE(0)</f>
        <v>0</v>
      </c>
      <c r="AR331" s="23">
        <f>VALUE(0)</f>
        <v>0</v>
      </c>
      <c r="AS331" s="23">
        <f>VALUE(0)</f>
        <v>0</v>
      </c>
      <c r="AT331" s="23">
        <f>VALUE(0)</f>
        <v>0</v>
      </c>
      <c r="AU331" s="23">
        <f>VALUE(0)</f>
        <v>0</v>
      </c>
      <c r="AV331" s="23">
        <f>VALUE(1)</f>
        <v>1</v>
      </c>
      <c r="AW331" s="23">
        <f>VALUE(0)</f>
        <v>0</v>
      </c>
      <c r="AX331" s="23" t="s">
        <v>579</v>
      </c>
      <c r="AY331" s="23">
        <f>VALUE(0)</f>
        <v>0</v>
      </c>
      <c r="AZ331" s="23">
        <f>VALUE(0)</f>
        <v>0</v>
      </c>
      <c r="BA331" s="23">
        <f>VALUE(0)</f>
        <v>0</v>
      </c>
      <c r="BB331" s="23">
        <f>VALUE(0)</f>
        <v>0</v>
      </c>
      <c r="BC331" s="23">
        <f>VALUE(0)</f>
        <v>0</v>
      </c>
      <c r="BD331" s="23">
        <f>VALUE(0)</f>
        <v>0</v>
      </c>
      <c r="BE331" s="23">
        <f>VALUE(0)</f>
        <v>0</v>
      </c>
      <c r="BF331" s="23">
        <f>VALUE(0)</f>
        <v>0</v>
      </c>
      <c r="BG331" s="23">
        <f>VALUE(0)</f>
        <v>0</v>
      </c>
      <c r="BH331" s="23">
        <f>VALUE(0)</f>
        <v>0</v>
      </c>
      <c r="BI331" s="23">
        <f>VALUE(0)</f>
        <v>0</v>
      </c>
      <c r="BJ331" s="23">
        <f>VALUE(0)</f>
        <v>0</v>
      </c>
      <c r="BK331" s="12">
        <f>$AX$331*24</f>
        <v>4.75</v>
      </c>
      <c r="BL331" s="12">
        <f>$AY$331*24</f>
        <v>0</v>
      </c>
      <c r="BM331" s="12">
        <f>$BJ$331*24</f>
        <v>0</v>
      </c>
      <c r="BN331" s="12">
        <f>VALUE($I$331)/100</f>
        <v>0.5</v>
      </c>
      <c r="BO331" s="12">
        <v>0</v>
      </c>
      <c r="BP331" s="12">
        <v>0</v>
      </c>
      <c r="BQ331" s="12">
        <v>0</v>
      </c>
      <c r="BR331" s="12">
        <v>0</v>
      </c>
      <c r="BS331" s="12">
        <v>0</v>
      </c>
      <c r="BT331" s="12">
        <v>0</v>
      </c>
      <c r="BU331" s="12">
        <v>0</v>
      </c>
      <c r="BV331" s="12">
        <v>0</v>
      </c>
      <c r="BW331" s="12">
        <v>0</v>
      </c>
      <c r="BX331" s="12">
        <v>0</v>
      </c>
      <c r="BY331" s="12">
        <v>0</v>
      </c>
      <c r="BZ331" s="12">
        <v>0</v>
      </c>
      <c r="CA331" s="12">
        <v>0</v>
      </c>
    </row>
    <row r="332" spans="1:79" ht="15" hidden="1" x14ac:dyDescent="0.25">
      <c r="A332" s="12" t="s">
        <v>147</v>
      </c>
      <c r="B332" s="12" t="s">
        <v>148</v>
      </c>
      <c r="C332" s="12" t="s">
        <v>148</v>
      </c>
      <c r="D332" s="31" t="s">
        <v>333</v>
      </c>
      <c r="E332" s="31" t="s">
        <v>153</v>
      </c>
      <c r="F332" s="31" t="s">
        <v>175</v>
      </c>
      <c r="G332" s="31" t="s">
        <v>153</v>
      </c>
      <c r="H332" s="31" t="s">
        <v>153</v>
      </c>
      <c r="I332" s="31" t="s">
        <v>153</v>
      </c>
      <c r="J332" s="31" t="s">
        <v>153</v>
      </c>
      <c r="K332" s="31" t="s">
        <v>153</v>
      </c>
      <c r="L332" s="31">
        <f>VALUE(0)</f>
        <v>0</v>
      </c>
      <c r="M332" s="31">
        <f>VALUE(6)</f>
        <v>6</v>
      </c>
      <c r="N332" s="31">
        <f>VALUE(0)</f>
        <v>0</v>
      </c>
      <c r="O332" s="31">
        <f>VALUE(5)</f>
        <v>5</v>
      </c>
      <c r="P332" s="31">
        <f>VALUE(5)</f>
        <v>5</v>
      </c>
      <c r="Q332" s="31">
        <f>VALUE(5)</f>
        <v>5</v>
      </c>
      <c r="R332" s="31">
        <f>VALUE(7)</f>
        <v>7</v>
      </c>
      <c r="S332" s="31">
        <f>VALUE(7)</f>
        <v>7</v>
      </c>
      <c r="T332" s="31">
        <f>VALUE(7)</f>
        <v>7</v>
      </c>
      <c r="U332" s="31">
        <f>VALUE(0)</f>
        <v>0</v>
      </c>
      <c r="V332" s="31">
        <f>VALUE(0)</f>
        <v>0</v>
      </c>
      <c r="W332" s="31">
        <f>VALUE(5)</f>
        <v>5</v>
      </c>
      <c r="X332" s="31">
        <f>VALUE(5)</f>
        <v>5</v>
      </c>
      <c r="Y332" s="31">
        <f>VALUE(5)</f>
        <v>5</v>
      </c>
      <c r="Z332" s="31">
        <f>VALUE(5)</f>
        <v>5</v>
      </c>
      <c r="AA332" s="31">
        <f>VALUE(5)</f>
        <v>5</v>
      </c>
      <c r="AB332" s="31">
        <f>VALUE(0)</f>
        <v>0</v>
      </c>
      <c r="AC332" s="31">
        <f>VALUE(5)</f>
        <v>5</v>
      </c>
      <c r="AD332" s="31">
        <f>VALUE(5)</f>
        <v>5</v>
      </c>
      <c r="AE332" s="31">
        <f>VALUE(5)</f>
        <v>5</v>
      </c>
      <c r="AF332" s="31">
        <f>VALUE(5)</f>
        <v>5</v>
      </c>
      <c r="AG332" s="31">
        <f>VALUE(5)</f>
        <v>5</v>
      </c>
      <c r="AH332" s="31">
        <f>VALUE(5)</f>
        <v>5</v>
      </c>
      <c r="AI332" s="31">
        <f>VALUE(0)</f>
        <v>0</v>
      </c>
      <c r="AJ332" s="31">
        <f>VALUE(4)</f>
        <v>4</v>
      </c>
      <c r="AK332" s="31">
        <f>VALUE(4)</f>
        <v>4</v>
      </c>
      <c r="AL332" s="31">
        <f>VALUE(4)</f>
        <v>4</v>
      </c>
      <c r="AM332" s="31">
        <f>VALUE(4)</f>
        <v>4</v>
      </c>
      <c r="AN332" s="31">
        <f>VALUE(4)</f>
        <v>4</v>
      </c>
      <c r="AO332" s="31">
        <f>VALUE(4)</f>
        <v>4</v>
      </c>
      <c r="AP332" s="31">
        <v>0</v>
      </c>
      <c r="AQ332" s="31">
        <v>0</v>
      </c>
      <c r="AR332" s="31">
        <v>0</v>
      </c>
      <c r="AS332" s="31">
        <v>0</v>
      </c>
      <c r="AT332" s="31">
        <v>0</v>
      </c>
      <c r="AU332" s="31">
        <v>0</v>
      </c>
      <c r="AV332" s="31">
        <v>0</v>
      </c>
      <c r="AW332" s="31">
        <v>0</v>
      </c>
      <c r="AX332" s="31">
        <v>0</v>
      </c>
      <c r="AY332" s="31">
        <v>0</v>
      </c>
      <c r="AZ332" s="31">
        <v>0</v>
      </c>
      <c r="BA332" s="31">
        <v>0</v>
      </c>
      <c r="BB332" s="31">
        <v>0</v>
      </c>
      <c r="BC332" s="31">
        <v>0</v>
      </c>
      <c r="BD332" s="31">
        <v>0</v>
      </c>
      <c r="BE332" s="31">
        <v>0</v>
      </c>
      <c r="BF332" s="31">
        <v>0</v>
      </c>
      <c r="BG332" s="31">
        <v>0</v>
      </c>
      <c r="BH332" s="31">
        <v>0</v>
      </c>
      <c r="BI332" s="31">
        <v>0</v>
      </c>
      <c r="BJ332" s="31">
        <v>0</v>
      </c>
      <c r="BK332" s="12">
        <v>0</v>
      </c>
      <c r="BL332" s="12">
        <v>0</v>
      </c>
      <c r="BM332" s="12">
        <v>0</v>
      </c>
      <c r="BN332" s="12"/>
      <c r="BO332" s="12">
        <v>0</v>
      </c>
      <c r="BP332" s="12">
        <v>0</v>
      </c>
      <c r="BQ332" s="12">
        <v>0</v>
      </c>
      <c r="BR332" s="12">
        <v>0</v>
      </c>
      <c r="BS332" s="12">
        <v>0</v>
      </c>
      <c r="BT332" s="12">
        <v>0</v>
      </c>
      <c r="BU332" s="12">
        <v>0</v>
      </c>
      <c r="BV332" s="12">
        <v>0</v>
      </c>
      <c r="BW332" s="12">
        <v>0</v>
      </c>
      <c r="BX332" s="12">
        <v>0</v>
      </c>
      <c r="BY332" s="12">
        <v>0</v>
      </c>
      <c r="BZ332" s="12">
        <v>0</v>
      </c>
      <c r="CA332" s="12">
        <v>0</v>
      </c>
    </row>
    <row r="334" spans="1:79" x14ac:dyDescent="0.2">
      <c r="L334" s="40">
        <f>ROUND(SUBTOTAL(9,$L$10:$L$331),2)</f>
        <v>0</v>
      </c>
      <c r="M334" s="40">
        <f>ROUND(SUBTOTAL(9,$M$10:$M$331),2)</f>
        <v>0</v>
      </c>
      <c r="N334" s="40">
        <f>ROUND(SUBTOTAL(9,$N$10:$N$331),2)</f>
        <v>0</v>
      </c>
      <c r="O334" s="40">
        <f>ROUND(SUBTOTAL(9,$O$10:$O$331),2)</f>
        <v>0</v>
      </c>
      <c r="P334" s="40">
        <f>ROUND(SUBTOTAL(9,$P$10:$P$331),2)</f>
        <v>0</v>
      </c>
      <c r="Q334" s="40">
        <f>ROUND(SUBTOTAL(9,$Q$10:$Q$331),2)</f>
        <v>0</v>
      </c>
      <c r="R334" s="40">
        <f>ROUND(SUBTOTAL(9,$R$10:$R$331),2)</f>
        <v>0</v>
      </c>
      <c r="S334" s="40">
        <f>ROUND(SUBTOTAL(9,$S$10:$S$331),2)</f>
        <v>0</v>
      </c>
      <c r="T334" s="40">
        <f>ROUND(SUBTOTAL(9,$T$10:$T$331),2)</f>
        <v>0</v>
      </c>
      <c r="U334" s="40">
        <f>ROUND(SUBTOTAL(9,$U$10:$U$331),2)</f>
        <v>0</v>
      </c>
      <c r="V334" s="40">
        <f>ROUND(SUBTOTAL(9,$V$10:$V$331),2)</f>
        <v>0</v>
      </c>
      <c r="W334" s="40">
        <f>ROUND(SUBTOTAL(9,$W$10:$W$331),2)</f>
        <v>0</v>
      </c>
      <c r="X334" s="40">
        <f>ROUND(SUBTOTAL(9,$X$10:$X$331),2)</f>
        <v>0</v>
      </c>
      <c r="Y334" s="40">
        <f>ROUND(SUBTOTAL(9,$Y$10:$Y$331),2)</f>
        <v>0</v>
      </c>
      <c r="Z334" s="40">
        <f>ROUND(SUBTOTAL(9,$Z$10:$Z$331),2)</f>
        <v>0</v>
      </c>
      <c r="AA334" s="40">
        <f>ROUND(SUBTOTAL(9,$AA$10:$AA$331),2)</f>
        <v>0</v>
      </c>
      <c r="AB334" s="40">
        <f>ROUND(SUBTOTAL(9,$AB$10:$AB$331),2)</f>
        <v>0</v>
      </c>
      <c r="AC334" s="40">
        <f>ROUND(SUBTOTAL(9,$AC$10:$AC$331),2)</f>
        <v>0</v>
      </c>
      <c r="AD334" s="40">
        <f>ROUND(SUBTOTAL(9,$AD$10:$AD$331),2)</f>
        <v>0</v>
      </c>
      <c r="AE334" s="40">
        <f>ROUND(SUBTOTAL(9,$AE$10:$AE$331),2)</f>
        <v>0</v>
      </c>
      <c r="AF334" s="40">
        <f>ROUND(SUBTOTAL(9,$AF$10:$AF$331),2)</f>
        <v>0</v>
      </c>
      <c r="AG334" s="40">
        <f>ROUND(SUBTOTAL(9,$AG$10:$AG$331),2)</f>
        <v>0</v>
      </c>
      <c r="AH334" s="40">
        <f>ROUND(SUBTOTAL(9,$AH$10:$AH$331),2)</f>
        <v>0</v>
      </c>
      <c r="AI334" s="40">
        <f>ROUND(SUBTOTAL(9,$AI$10:$AI$331),2)</f>
        <v>0</v>
      </c>
      <c r="AJ334" s="40">
        <f>ROUND(SUBTOTAL(9,$AJ$10:$AJ$331),2)</f>
        <v>0</v>
      </c>
      <c r="AK334" s="40">
        <f>ROUND(SUBTOTAL(9,$AK$10:$AK$331),2)</f>
        <v>0</v>
      </c>
      <c r="AL334" s="40">
        <f>ROUND(SUBTOTAL(9,$AL$10:$AL$331),2)</f>
        <v>0</v>
      </c>
      <c r="AM334" s="40">
        <f>ROUND(SUBTOTAL(9,$AM$10:$AM$331),2)</f>
        <v>0</v>
      </c>
      <c r="AN334" s="40">
        <f>ROUND(SUBTOTAL(9,$AN$10:$AN$331),2)</f>
        <v>0</v>
      </c>
      <c r="AO334" s="40">
        <f>ROUND(SUBTOTAL(9,$AO$10:$AO$331),2)</f>
        <v>0</v>
      </c>
    </row>
  </sheetData>
  <autoFilter ref="A5:CA332" xr:uid="{E910DE60-6EC3-4A0B-A366-A82F21B54181}">
    <filterColumn colId="11" showButton="0"/>
    <filterColumn colId="12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5" showButton="0"/>
    <filterColumn colId="36" showButton="0"/>
    <filterColumn colId="37" showButton="0"/>
    <filterColumn colId="38" showButton="0"/>
    <filterColumn colId="39" showButton="0"/>
    <filterColumn colId="45">
      <customFilters>
        <customFilter operator="greaterThan" val="0"/>
      </customFilters>
    </filterColumn>
  </autoFilter>
  <mergeCells count="56">
    <mergeCell ref="BX5:BX9"/>
    <mergeCell ref="BY5:BY9"/>
    <mergeCell ref="BZ5:BZ9"/>
    <mergeCell ref="CA5:CA9"/>
    <mergeCell ref="D2:BL2"/>
    <mergeCell ref="D3:BL3"/>
    <mergeCell ref="BR5:BR9"/>
    <mergeCell ref="BS5:BS9"/>
    <mergeCell ref="BT5:BT9"/>
    <mergeCell ref="BU5:BU9"/>
    <mergeCell ref="BV5:BV9"/>
    <mergeCell ref="BW5:BW9"/>
    <mergeCell ref="BL5:BL9"/>
    <mergeCell ref="BM5:BM9"/>
    <mergeCell ref="BN5:BN9"/>
    <mergeCell ref="BO5:BO9"/>
    <mergeCell ref="BP5:BP9"/>
    <mergeCell ref="BQ5:BQ9"/>
    <mergeCell ref="BF5:BF9"/>
    <mergeCell ref="BG5:BG9"/>
    <mergeCell ref="BH5:BH9"/>
    <mergeCell ref="BI5:BI9"/>
    <mergeCell ref="BJ5:BJ9"/>
    <mergeCell ref="BK5:BK9"/>
    <mergeCell ref="AZ5:AZ9"/>
    <mergeCell ref="BA5:BA9"/>
    <mergeCell ref="BB5:BB9"/>
    <mergeCell ref="BC5:BC9"/>
    <mergeCell ref="BD5:BD9"/>
    <mergeCell ref="BE5:BE9"/>
    <mergeCell ref="AT5:AT9"/>
    <mergeCell ref="AU5:AU9"/>
    <mergeCell ref="AV5:AV9"/>
    <mergeCell ref="AW5:AW9"/>
    <mergeCell ref="AX5:AX9"/>
    <mergeCell ref="AY5:AY9"/>
    <mergeCell ref="AC5:AI5"/>
    <mergeCell ref="AJ5:AO5"/>
    <mergeCell ref="AP5:AP9"/>
    <mergeCell ref="AQ5:AQ9"/>
    <mergeCell ref="AR5:AR9"/>
    <mergeCell ref="AS5:AS9"/>
    <mergeCell ref="I5:I9"/>
    <mergeCell ref="J5:J9"/>
    <mergeCell ref="K5:K9"/>
    <mergeCell ref="L5:N5"/>
    <mergeCell ref="O5:U5"/>
    <mergeCell ref="V5:AB5"/>
    <mergeCell ref="A5:A9"/>
    <mergeCell ref="B5:B9"/>
    <mergeCell ref="C5:C9"/>
    <mergeCell ref="D5:D9"/>
    <mergeCell ref="E5:E9"/>
    <mergeCell ref="F5:F9"/>
    <mergeCell ref="G5:G9"/>
    <mergeCell ref="H5:H9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CEF0E-D2F0-4154-BE59-FE0F8184F956}">
  <sheetPr codeName="Feuil9" filterMode="1"/>
  <dimension ref="A2:CC334"/>
  <sheetViews>
    <sheetView showGridLines="0" zoomScale="70" zoomScaleNormal="70" workbookViewId="0">
      <selection activeCell="D3" sqref="D3:BL3"/>
    </sheetView>
  </sheetViews>
  <sheetFormatPr baseColWidth="10" defaultColWidth="9.1640625" defaultRowHeight="12" x14ac:dyDescent="0.2"/>
  <cols>
    <col min="1" max="1" width="35.83203125" style="40" bestFit="1" customWidth="1"/>
    <col min="2" max="3" width="73.6640625" style="40" bestFit="1" customWidth="1"/>
    <col min="4" max="6" width="36" style="40" customWidth="1"/>
    <col min="7" max="12" width="17.83203125" style="40" customWidth="1"/>
    <col min="13" max="13" width="11.1640625" style="40" customWidth="1"/>
    <col min="14" max="14" width="0.5" style="40" customWidth="1"/>
    <col min="15" max="62" width="17.83203125" style="40" customWidth="1"/>
    <col min="63" max="64" width="17" style="40" bestFit="1" customWidth="1"/>
    <col min="65" max="65" width="10.33203125" style="40" bestFit="1" customWidth="1"/>
    <col min="66" max="66" width="12.83203125" style="40" bestFit="1" customWidth="1"/>
    <col min="67" max="67" width="13.33203125" style="40" bestFit="1" customWidth="1"/>
    <col min="68" max="68" width="14" style="40" bestFit="1" customWidth="1"/>
    <col min="69" max="69" width="12.5" style="40" bestFit="1" customWidth="1"/>
    <col min="70" max="70" width="18.6640625" style="40" bestFit="1" customWidth="1"/>
    <col min="71" max="71" width="9.1640625" style="40" bestFit="1" customWidth="1"/>
    <col min="72" max="72" width="8.6640625" style="40" bestFit="1" customWidth="1"/>
    <col min="73" max="73" width="14.6640625" style="40" bestFit="1" customWidth="1"/>
    <col min="74" max="74" width="8.5" style="40" bestFit="1" customWidth="1"/>
    <col min="75" max="75" width="9.1640625" style="40" bestFit="1" customWidth="1"/>
    <col min="76" max="76" width="20" style="40" bestFit="1" customWidth="1"/>
    <col min="77" max="77" width="12.5" style="40" bestFit="1" customWidth="1"/>
    <col min="78" max="78" width="13.6640625" style="40" bestFit="1" customWidth="1"/>
    <col min="79" max="79" width="15.5" style="40" bestFit="1" customWidth="1"/>
    <col min="80" max="80" width="13.6640625" style="40" bestFit="1" customWidth="1"/>
    <col min="81" max="81" width="15.5" style="40" bestFit="1" customWidth="1"/>
    <col min="82" max="16384" width="9.1640625" style="40"/>
  </cols>
  <sheetData>
    <row r="2" spans="1:81" x14ac:dyDescent="0.2">
      <c r="D2" s="53" t="s">
        <v>22</v>
      </c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</row>
    <row r="3" spans="1:81" x14ac:dyDescent="0.2">
      <c r="D3" s="57" t="s">
        <v>580</v>
      </c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</row>
    <row r="4" spans="1:81" ht="34.5" customHeight="1" x14ac:dyDescent="0.2">
      <c r="AP4" s="16"/>
      <c r="AQ4" s="16">
        <f>ROUND(SUBTOTAL(9,$AQ$10:$AQ$332),2)</f>
        <v>2</v>
      </c>
      <c r="AR4" s="16">
        <f>ROUND(SUBTOTAL(9,$AR$10:$AR$332),2)</f>
        <v>2</v>
      </c>
      <c r="AS4" s="16">
        <f>ROUND(SUBTOTAL(9,$AS$10:$AS$332),2)</f>
        <v>0</v>
      </c>
      <c r="AT4" s="16">
        <f>ROUND(SUBTOTAL(9,$AT$10:$AT$332),2)</f>
        <v>0</v>
      </c>
      <c r="AU4" s="16">
        <f>ROUND(SUBTOTAL(9,$AU$10:$AU$332),2)</f>
        <v>0</v>
      </c>
      <c r="AV4" s="16"/>
      <c r="AW4" s="16">
        <f>ROUND(SUBTOTAL(9,$AW$10:$AW$332),2)</f>
        <v>3</v>
      </c>
      <c r="AX4" s="16">
        <f>ROUND(SUBTOTAL(9,$AX$10:$AX$332),2)</f>
        <v>0</v>
      </c>
      <c r="AY4" s="16">
        <f>ROUND(SUBTOTAL(9,$AY$10:$AY$332),2)</f>
        <v>0</v>
      </c>
      <c r="AZ4" s="16">
        <f>ROUND(SUBTOTAL(9,$AZ$10:$AZ$332),2)</f>
        <v>12</v>
      </c>
      <c r="BA4" s="16">
        <f>ROUND(SUBTOTAL(9,$BA$10:$BA$332),2)</f>
        <v>0</v>
      </c>
      <c r="BB4" s="16">
        <f>ROUND(SUBTOTAL(9,$BB$10:$BB$332),2)</f>
        <v>0</v>
      </c>
      <c r="BC4" s="16">
        <f>ROUND(SUBTOTAL(9,$BC$10:$BC$332),2)</f>
        <v>0</v>
      </c>
      <c r="BD4" s="16">
        <f>ROUND(SUBTOTAL(9,$BD$10:$BD$332),2)</f>
        <v>0</v>
      </c>
      <c r="BE4" s="16">
        <f>ROUND(SUBTOTAL(9,$BE$10:$BE$332),2)</f>
        <v>0</v>
      </c>
      <c r="BF4" s="16">
        <f>ROUND(SUBTOTAL(9,$BF$10:$BF$332),2)</f>
        <v>0</v>
      </c>
      <c r="BG4" s="16">
        <f>ROUND(SUBTOTAL(9,$BG$10:$BG$332),2)</f>
        <v>0</v>
      </c>
      <c r="BH4" s="16">
        <f>ROUND(SUBTOTAL(9,$BH$10:$BH$332),2)</f>
        <v>0</v>
      </c>
      <c r="BI4" s="16">
        <f>ROUND(SUBTOTAL(9,$BI$10:$BI$332),2)</f>
        <v>0</v>
      </c>
      <c r="BJ4" s="16">
        <f>ROUND(SUBTOTAL(9,$BJ$10:$BJ$332),2)</f>
        <v>0</v>
      </c>
      <c r="BK4" s="15">
        <f>ROUND(SUBTOTAL(9,$BK$10:$BK$332),2)</f>
        <v>11.77</v>
      </c>
      <c r="BL4" s="15">
        <f>ROUND(SUBTOTAL(9,$BL$10:$BL$332),2)</f>
        <v>0</v>
      </c>
      <c r="BM4" s="15">
        <f>ROUND(SUBTOTAL(9,$BM$10:$BM$332),2)</f>
        <v>0</v>
      </c>
      <c r="BN4" s="15">
        <f>ROUND(SUBTOTAL(9,$BN$10:$BN$332),2)</f>
        <v>2</v>
      </c>
      <c r="BO4" s="15">
        <f>ROUND(SUBTOTAL(9,$BO$10:$BO$332),2)</f>
        <v>0</v>
      </c>
      <c r="BP4" s="15">
        <f>ROUND(SUBTOTAL(9,$BP$10:$BP$332),2)</f>
        <v>0</v>
      </c>
      <c r="BQ4" s="15">
        <f>ROUND(SUBTOTAL(9,$BQ$10:$BQ$332),2)</f>
        <v>0</v>
      </c>
      <c r="BR4" s="15">
        <f>ROUND(SUBTOTAL(9,$BR$10:$BR$332),2)</f>
        <v>0</v>
      </c>
      <c r="BS4" s="17">
        <f>ROUND(SUBTOTAL(9,$BS$10:$BS$332),2)</f>
        <v>2</v>
      </c>
      <c r="BT4" s="17">
        <f>ROUND(SUBTOTAL(9,$BT$10:$BT$332),2)</f>
        <v>0</v>
      </c>
      <c r="BU4" s="17">
        <f>ROUND(SUBTOTAL(9,$BU$10:$BU$332),2)</f>
        <v>0</v>
      </c>
      <c r="BV4" s="17">
        <f>ROUND(SUBTOTAL(9,$BV$10:$BV$332),2)</f>
        <v>0</v>
      </c>
      <c r="BW4" s="17">
        <f>ROUND(SUBTOTAL(9,$BW$10:$BW$332),2)</f>
        <v>0</v>
      </c>
      <c r="BX4" s="17">
        <f>ROUND(SUBTOTAL(9,$BX$10:$BX$332),2)</f>
        <v>0</v>
      </c>
      <c r="BY4" s="21">
        <f>ROUND(SUBTOTAL(9,$BY$10:$BY$332),2)</f>
        <v>0</v>
      </c>
      <c r="BZ4" s="21">
        <f>ROUND(SUBTOTAL(9,$BZ$10:$BZ$332),2)</f>
        <v>0</v>
      </c>
      <c r="CA4" s="21">
        <f>ROUND(SUBTOTAL(9,$CA$10:$CA$332),2)</f>
        <v>0</v>
      </c>
      <c r="CB4" s="21" t="e">
        <f>ROUND(SUBTOTAL(9,#REF!),2)</f>
        <v>#REF!</v>
      </c>
      <c r="CC4" s="21" t="e">
        <f>ROUND(SUBTOTAL(9,#REF!),2)</f>
        <v>#REF!</v>
      </c>
    </row>
    <row r="5" spans="1:81" ht="26.25" customHeight="1" x14ac:dyDescent="0.2">
      <c r="A5" s="46" t="s">
        <v>42</v>
      </c>
      <c r="B5" s="46" t="s">
        <v>43</v>
      </c>
      <c r="C5" s="47" t="s">
        <v>20</v>
      </c>
      <c r="D5" s="42" t="s">
        <v>13</v>
      </c>
      <c r="E5" s="42" t="s">
        <v>14</v>
      </c>
      <c r="F5" s="42" t="s">
        <v>15</v>
      </c>
      <c r="G5" s="42" t="s">
        <v>16</v>
      </c>
      <c r="H5" s="42" t="s">
        <v>17</v>
      </c>
      <c r="I5" s="42" t="s">
        <v>18</v>
      </c>
      <c r="J5" s="42" t="s">
        <v>19</v>
      </c>
      <c r="K5" s="42" t="s">
        <v>20</v>
      </c>
      <c r="L5" s="45" t="s">
        <v>1127</v>
      </c>
      <c r="M5" s="45" t="s">
        <v>1127</v>
      </c>
      <c r="N5" s="45" t="s">
        <v>1127</v>
      </c>
      <c r="O5" s="45" t="s">
        <v>1128</v>
      </c>
      <c r="P5" s="45" t="s">
        <v>1128</v>
      </c>
      <c r="Q5" s="45" t="s">
        <v>1128</v>
      </c>
      <c r="R5" s="45" t="s">
        <v>1128</v>
      </c>
      <c r="S5" s="45" t="s">
        <v>1128</v>
      </c>
      <c r="T5" s="45" t="s">
        <v>1128</v>
      </c>
      <c r="U5" s="45" t="s">
        <v>1128</v>
      </c>
      <c r="V5" s="45" t="s">
        <v>1129</v>
      </c>
      <c r="W5" s="45" t="s">
        <v>1129</v>
      </c>
      <c r="X5" s="45" t="s">
        <v>1129</v>
      </c>
      <c r="Y5" s="45" t="s">
        <v>1129</v>
      </c>
      <c r="Z5" s="45" t="s">
        <v>1129</v>
      </c>
      <c r="AA5" s="45" t="s">
        <v>1129</v>
      </c>
      <c r="AB5" s="45" t="s">
        <v>1129</v>
      </c>
      <c r="AC5" s="45" t="s">
        <v>1130</v>
      </c>
      <c r="AD5" s="45" t="s">
        <v>1130</v>
      </c>
      <c r="AE5" s="45" t="s">
        <v>1130</v>
      </c>
      <c r="AF5" s="45" t="s">
        <v>1130</v>
      </c>
      <c r="AG5" s="45" t="s">
        <v>1130</v>
      </c>
      <c r="AH5" s="45" t="s">
        <v>1130</v>
      </c>
      <c r="AI5" s="45" t="s">
        <v>1130</v>
      </c>
      <c r="AJ5" s="45" t="s">
        <v>1131</v>
      </c>
      <c r="AK5" s="45" t="s">
        <v>1131</v>
      </c>
      <c r="AL5" s="45" t="s">
        <v>1131</v>
      </c>
      <c r="AM5" s="45" t="s">
        <v>1131</v>
      </c>
      <c r="AN5" s="45" t="s">
        <v>1131</v>
      </c>
      <c r="AO5" s="45" t="s">
        <v>1131</v>
      </c>
      <c r="AP5" s="41" t="s">
        <v>21</v>
      </c>
      <c r="AQ5" s="41" t="s">
        <v>22</v>
      </c>
      <c r="AR5" s="41" t="s">
        <v>23</v>
      </c>
      <c r="AS5" s="41" t="s">
        <v>24</v>
      </c>
      <c r="AT5" s="41" t="s">
        <v>25</v>
      </c>
      <c r="AU5" s="41" t="s">
        <v>26</v>
      </c>
      <c r="AV5" s="41" t="s">
        <v>27</v>
      </c>
      <c r="AW5" s="41" t="s">
        <v>28</v>
      </c>
      <c r="AX5" s="41" t="s">
        <v>29</v>
      </c>
      <c r="AY5" s="41" t="s">
        <v>30</v>
      </c>
      <c r="AZ5" s="41" t="s">
        <v>31</v>
      </c>
      <c r="BA5" s="41" t="s">
        <v>32</v>
      </c>
      <c r="BB5" s="41" t="s">
        <v>33</v>
      </c>
      <c r="BC5" s="41" t="s">
        <v>34</v>
      </c>
      <c r="BD5" s="41" t="s">
        <v>35</v>
      </c>
      <c r="BE5" s="41" t="s">
        <v>36</v>
      </c>
      <c r="BF5" s="41" t="s">
        <v>37</v>
      </c>
      <c r="BG5" s="41" t="s">
        <v>38</v>
      </c>
      <c r="BH5" s="41" t="s">
        <v>39</v>
      </c>
      <c r="BI5" s="41" t="s">
        <v>40</v>
      </c>
      <c r="BJ5" s="41" t="s">
        <v>41</v>
      </c>
      <c r="BK5" s="48" t="s">
        <v>44</v>
      </c>
      <c r="BL5" s="48" t="s">
        <v>45</v>
      </c>
      <c r="BM5" s="48" t="s">
        <v>46</v>
      </c>
      <c r="BN5" s="48" t="s">
        <v>47</v>
      </c>
      <c r="BO5" s="48" t="s">
        <v>48</v>
      </c>
      <c r="BP5" s="48" t="s">
        <v>49</v>
      </c>
      <c r="BQ5" s="48" t="s">
        <v>50</v>
      </c>
      <c r="BR5" s="48" t="s">
        <v>51</v>
      </c>
      <c r="BS5" s="50" t="s">
        <v>55</v>
      </c>
      <c r="BT5" s="50" t="s">
        <v>56</v>
      </c>
      <c r="BU5" s="50" t="s">
        <v>57</v>
      </c>
      <c r="BV5" s="50" t="s">
        <v>58</v>
      </c>
      <c r="BW5" s="50" t="s">
        <v>59</v>
      </c>
      <c r="BX5" s="50" t="s">
        <v>60</v>
      </c>
      <c r="BY5" s="49" t="s">
        <v>61</v>
      </c>
      <c r="BZ5" s="49" t="s">
        <v>62</v>
      </c>
      <c r="CA5" s="49" t="s">
        <v>63</v>
      </c>
    </row>
    <row r="6" spans="1:81" ht="75" hidden="1" x14ac:dyDescent="0.2">
      <c r="A6" s="46"/>
      <c r="B6" s="46"/>
      <c r="C6" s="47"/>
      <c r="D6" s="42"/>
      <c r="E6" s="42"/>
      <c r="F6" s="42"/>
      <c r="G6" s="42"/>
      <c r="H6" s="42"/>
      <c r="I6" s="42"/>
      <c r="J6" s="42"/>
      <c r="K6" s="42"/>
      <c r="L6" s="39" t="s">
        <v>1132</v>
      </c>
      <c r="M6" s="39" t="s">
        <v>1133</v>
      </c>
      <c r="N6" s="39" t="s">
        <v>1134</v>
      </c>
      <c r="O6" s="39" t="s">
        <v>1135</v>
      </c>
      <c r="P6" s="39" t="s">
        <v>1136</v>
      </c>
      <c r="Q6" s="39" t="s">
        <v>1137</v>
      </c>
      <c r="R6" s="39" t="s">
        <v>1138</v>
      </c>
      <c r="S6" s="39" t="s">
        <v>1139</v>
      </c>
      <c r="T6" s="39" t="s">
        <v>1140</v>
      </c>
      <c r="U6" s="39" t="s">
        <v>1141</v>
      </c>
      <c r="V6" s="39" t="s">
        <v>1142</v>
      </c>
      <c r="W6" s="39" t="s">
        <v>1143</v>
      </c>
      <c r="X6" s="39" t="s">
        <v>1144</v>
      </c>
      <c r="Y6" s="39" t="s">
        <v>1145</v>
      </c>
      <c r="Z6" s="39" t="s">
        <v>1146</v>
      </c>
      <c r="AA6" s="39" t="s">
        <v>1147</v>
      </c>
      <c r="AB6" s="39" t="s">
        <v>1148</v>
      </c>
      <c r="AC6" s="39" t="s">
        <v>1149</v>
      </c>
      <c r="AD6" s="39" t="s">
        <v>1150</v>
      </c>
      <c r="AE6" s="39" t="s">
        <v>1151</v>
      </c>
      <c r="AF6" s="39" t="s">
        <v>1152</v>
      </c>
      <c r="AG6" s="39" t="s">
        <v>1153</v>
      </c>
      <c r="AH6" s="39" t="s">
        <v>1154</v>
      </c>
      <c r="AI6" s="39" t="s">
        <v>1155</v>
      </c>
      <c r="AJ6" s="39" t="s">
        <v>1156</v>
      </c>
      <c r="AK6" s="39" t="s">
        <v>1157</v>
      </c>
      <c r="AL6" s="39" t="s">
        <v>1158</v>
      </c>
      <c r="AM6" s="39" t="s">
        <v>1159</v>
      </c>
      <c r="AN6" s="39" t="s">
        <v>1160</v>
      </c>
      <c r="AO6" s="39" t="s">
        <v>1161</v>
      </c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8"/>
      <c r="BL6" s="48"/>
      <c r="BM6" s="48"/>
      <c r="BN6" s="48"/>
      <c r="BO6" s="48"/>
      <c r="BP6" s="48"/>
      <c r="BQ6" s="48"/>
      <c r="BR6" s="48"/>
      <c r="BS6" s="51"/>
      <c r="BT6" s="51"/>
      <c r="BU6" s="51"/>
      <c r="BV6" s="51"/>
      <c r="BW6" s="51"/>
      <c r="BX6" s="51"/>
      <c r="BY6" s="49"/>
      <c r="BZ6" s="49"/>
      <c r="CA6" s="49"/>
    </row>
    <row r="7" spans="1:81" ht="15" hidden="1" x14ac:dyDescent="0.25">
      <c r="A7" s="46"/>
      <c r="B7" s="46"/>
      <c r="C7" s="47"/>
      <c r="D7" s="42"/>
      <c r="E7" s="42"/>
      <c r="F7" s="42"/>
      <c r="G7" s="42"/>
      <c r="H7" s="42"/>
      <c r="I7" s="42"/>
      <c r="J7" s="42"/>
      <c r="K7" s="42"/>
      <c r="L7" s="18"/>
      <c r="M7" s="18"/>
      <c r="N7" s="18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8"/>
      <c r="BL7" s="48"/>
      <c r="BM7" s="48"/>
      <c r="BN7" s="48"/>
      <c r="BO7" s="48"/>
      <c r="BP7" s="48"/>
      <c r="BQ7" s="48"/>
      <c r="BR7" s="48"/>
      <c r="BS7" s="51"/>
      <c r="BT7" s="51"/>
      <c r="BU7" s="51"/>
      <c r="BV7" s="51"/>
      <c r="BW7" s="51"/>
      <c r="BX7" s="51"/>
      <c r="BY7" s="49"/>
      <c r="BZ7" s="49"/>
      <c r="CA7" s="49"/>
    </row>
    <row r="8" spans="1:81" ht="15" hidden="1" x14ac:dyDescent="0.25">
      <c r="A8" s="46"/>
      <c r="B8" s="46"/>
      <c r="C8" s="47"/>
      <c r="D8" s="42"/>
      <c r="E8" s="42"/>
      <c r="F8" s="42"/>
      <c r="G8" s="42"/>
      <c r="H8" s="42"/>
      <c r="I8" s="42"/>
      <c r="J8" s="42"/>
      <c r="K8" s="42"/>
      <c r="L8" s="19"/>
      <c r="M8" s="19"/>
      <c r="N8" s="19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8"/>
      <c r="BL8" s="48"/>
      <c r="BM8" s="48"/>
      <c r="BN8" s="48"/>
      <c r="BO8" s="48"/>
      <c r="BP8" s="48"/>
      <c r="BQ8" s="48"/>
      <c r="BR8" s="48"/>
      <c r="BS8" s="51"/>
      <c r="BT8" s="51"/>
      <c r="BU8" s="51"/>
      <c r="BV8" s="51"/>
      <c r="BW8" s="51"/>
      <c r="BX8" s="51"/>
      <c r="BY8" s="49"/>
      <c r="BZ8" s="49"/>
      <c r="CA8" s="49"/>
    </row>
    <row r="9" spans="1:81" ht="15" hidden="1" x14ac:dyDescent="0.25">
      <c r="A9" s="46"/>
      <c r="B9" s="46"/>
      <c r="C9" s="47"/>
      <c r="D9" s="42"/>
      <c r="E9" s="42"/>
      <c r="F9" s="42"/>
      <c r="G9" s="42"/>
      <c r="H9" s="42"/>
      <c r="I9" s="42"/>
      <c r="J9" s="42"/>
      <c r="K9" s="42"/>
      <c r="L9" s="20"/>
      <c r="M9" s="20"/>
      <c r="N9" s="20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8"/>
      <c r="BL9" s="48"/>
      <c r="BM9" s="48"/>
      <c r="BN9" s="48"/>
      <c r="BO9" s="48"/>
      <c r="BP9" s="48"/>
      <c r="BQ9" s="48"/>
      <c r="BR9" s="48"/>
      <c r="BS9" s="52"/>
      <c r="BT9" s="52"/>
      <c r="BU9" s="52"/>
      <c r="BV9" s="52"/>
      <c r="BW9" s="52"/>
      <c r="BX9" s="52"/>
      <c r="BY9" s="49"/>
      <c r="BZ9" s="49"/>
      <c r="CA9" s="49"/>
    </row>
    <row r="10" spans="1:81" ht="16.5" hidden="1" x14ac:dyDescent="0.2">
      <c r="A10" s="12" t="s">
        <v>102</v>
      </c>
      <c r="B10" s="12" t="s">
        <v>103</v>
      </c>
      <c r="C10" s="12" t="s">
        <v>103</v>
      </c>
      <c r="D10" s="22" t="s">
        <v>1162</v>
      </c>
      <c r="E10" s="22" t="s">
        <v>149</v>
      </c>
      <c r="F10" s="22" t="s">
        <v>593</v>
      </c>
      <c r="G10" s="22" t="s">
        <v>594</v>
      </c>
      <c r="H10" s="22" t="s">
        <v>150</v>
      </c>
      <c r="I10" s="22" t="s">
        <v>151</v>
      </c>
      <c r="J10" s="22" t="s">
        <v>152</v>
      </c>
      <c r="K10" s="22" t="s">
        <v>64</v>
      </c>
      <c r="L10" s="54" t="s">
        <v>153</v>
      </c>
      <c r="M10" s="23" t="s">
        <v>154</v>
      </c>
      <c r="N10" s="24" t="s">
        <v>153</v>
      </c>
      <c r="O10" s="35" t="s">
        <v>170</v>
      </c>
      <c r="P10" s="35" t="s">
        <v>170</v>
      </c>
      <c r="Q10" s="26" t="s">
        <v>1163</v>
      </c>
      <c r="R10" s="25" t="s">
        <v>154</v>
      </c>
      <c r="S10" s="25" t="s">
        <v>154</v>
      </c>
      <c r="T10" s="34" t="s">
        <v>154</v>
      </c>
      <c r="U10" s="24" t="s">
        <v>153</v>
      </c>
      <c r="V10" s="54" t="s">
        <v>156</v>
      </c>
      <c r="W10" s="25" t="s">
        <v>1164</v>
      </c>
      <c r="X10" s="26" t="s">
        <v>1163</v>
      </c>
      <c r="Y10" s="26" t="s">
        <v>1163</v>
      </c>
      <c r="Z10" s="23" t="s">
        <v>157</v>
      </c>
      <c r="AA10" s="26" t="s">
        <v>1163</v>
      </c>
      <c r="AB10" s="24" t="s">
        <v>153</v>
      </c>
      <c r="AC10" s="23" t="s">
        <v>154</v>
      </c>
      <c r="AD10" s="23" t="s">
        <v>154</v>
      </c>
      <c r="AE10" s="23" t="s">
        <v>154</v>
      </c>
      <c r="AF10" s="26" t="s">
        <v>1163</v>
      </c>
      <c r="AG10" s="26" t="s">
        <v>1163</v>
      </c>
      <c r="AH10" s="24" t="s">
        <v>156</v>
      </c>
      <c r="AI10" s="24" t="s">
        <v>153</v>
      </c>
      <c r="AJ10" s="24" t="s">
        <v>156</v>
      </c>
      <c r="AK10" s="26" t="s">
        <v>1163</v>
      </c>
      <c r="AL10" s="26" t="s">
        <v>1163</v>
      </c>
      <c r="AM10" s="26" t="s">
        <v>1163</v>
      </c>
      <c r="AN10" s="26" t="s">
        <v>1163</v>
      </c>
      <c r="AO10" s="25" t="s">
        <v>157</v>
      </c>
      <c r="AP10" s="23">
        <f>VALUE(4)</f>
        <v>4</v>
      </c>
      <c r="AQ10" s="23">
        <f>VALUE(0)</f>
        <v>0</v>
      </c>
      <c r="AR10" s="23">
        <f>VALUE(0)</f>
        <v>0</v>
      </c>
      <c r="AS10" s="23">
        <f>VALUE(0)</f>
        <v>0</v>
      </c>
      <c r="AT10" s="23">
        <f>VALUE(0)</f>
        <v>0</v>
      </c>
      <c r="AU10" s="23">
        <f>VALUE(0)</f>
        <v>0</v>
      </c>
      <c r="AV10" s="23">
        <f>VALUE(10)</f>
        <v>10</v>
      </c>
      <c r="AW10" s="23">
        <f>VALUE(0)</f>
        <v>0</v>
      </c>
      <c r="AX10" s="23" t="s">
        <v>171</v>
      </c>
      <c r="AY10" s="23" t="s">
        <v>1165</v>
      </c>
      <c r="AZ10" s="23">
        <f>VALUE(0)</f>
        <v>0</v>
      </c>
      <c r="BA10" s="23">
        <f>VALUE(0)</f>
        <v>0</v>
      </c>
      <c r="BB10" s="23">
        <f>VALUE(0)</f>
        <v>0</v>
      </c>
      <c r="BC10" s="23">
        <f>VALUE(0)</f>
        <v>0</v>
      </c>
      <c r="BD10" s="23">
        <f>VALUE(1)</f>
        <v>1</v>
      </c>
      <c r="BE10" s="23">
        <f>VALUE(2)</f>
        <v>2</v>
      </c>
      <c r="BF10" s="23">
        <f>VALUE(0)</f>
        <v>0</v>
      </c>
      <c r="BG10" s="23">
        <f>VALUE(0)</f>
        <v>0</v>
      </c>
      <c r="BH10" s="23">
        <f>VALUE(0)</f>
        <v>0</v>
      </c>
      <c r="BI10" s="23">
        <f>VALUE(0)</f>
        <v>0</v>
      </c>
      <c r="BJ10" s="23">
        <f>VALUE(0)</f>
        <v>0</v>
      </c>
      <c r="BK10" s="12">
        <f>$AX$10*24</f>
        <v>5.833333333333333</v>
      </c>
      <c r="BL10" s="12">
        <f>$AY$10*24</f>
        <v>122.33333333333334</v>
      </c>
      <c r="BM10" s="12">
        <f>$BJ$10*24</f>
        <v>0</v>
      </c>
      <c r="BN10" s="12">
        <f>VALUE($I$10)/100</f>
        <v>1</v>
      </c>
      <c r="BO10" s="12">
        <v>0</v>
      </c>
      <c r="BP10" s="12">
        <v>0</v>
      </c>
      <c r="BQ10" s="12">
        <v>0</v>
      </c>
      <c r="BR10" s="12">
        <v>1</v>
      </c>
      <c r="BS10" s="12">
        <v>0</v>
      </c>
      <c r="BT10" s="12">
        <v>0</v>
      </c>
      <c r="BU10" s="12">
        <v>0</v>
      </c>
      <c r="BV10" s="12">
        <v>0</v>
      </c>
      <c r="BW10" s="12">
        <v>0</v>
      </c>
      <c r="BX10" s="12">
        <v>0</v>
      </c>
      <c r="BY10" s="12">
        <v>0</v>
      </c>
      <c r="BZ10" s="12">
        <v>0</v>
      </c>
      <c r="CA10" s="12">
        <v>0</v>
      </c>
    </row>
    <row r="11" spans="1:81" hidden="1" x14ac:dyDescent="0.2">
      <c r="A11" s="12" t="s">
        <v>102</v>
      </c>
      <c r="B11" s="12" t="s">
        <v>103</v>
      </c>
      <c r="C11" s="12" t="s">
        <v>103</v>
      </c>
      <c r="D11" s="22" t="s">
        <v>583</v>
      </c>
      <c r="E11" s="22" t="s">
        <v>159</v>
      </c>
      <c r="F11" s="22" t="s">
        <v>595</v>
      </c>
      <c r="G11" s="22" t="s">
        <v>596</v>
      </c>
      <c r="H11" s="22" t="s">
        <v>150</v>
      </c>
      <c r="I11" s="22" t="s">
        <v>151</v>
      </c>
      <c r="J11" s="22" t="s">
        <v>152</v>
      </c>
      <c r="K11" s="22" t="s">
        <v>64</v>
      </c>
      <c r="L11" s="54" t="s">
        <v>153</v>
      </c>
      <c r="M11" s="27" t="s">
        <v>153</v>
      </c>
      <c r="N11" s="27" t="s">
        <v>153</v>
      </c>
      <c r="O11" s="27" t="s">
        <v>153</v>
      </c>
      <c r="P11" s="27" t="s">
        <v>153</v>
      </c>
      <c r="Q11" s="27" t="s">
        <v>153</v>
      </c>
      <c r="R11" s="27" t="s">
        <v>153</v>
      </c>
      <c r="S11" s="27" t="s">
        <v>153</v>
      </c>
      <c r="T11" s="27" t="s">
        <v>153</v>
      </c>
      <c r="U11" s="27" t="s">
        <v>153</v>
      </c>
      <c r="V11" s="54" t="s">
        <v>156</v>
      </c>
      <c r="W11" s="27" t="s">
        <v>153</v>
      </c>
      <c r="X11" s="27" t="s">
        <v>153</v>
      </c>
      <c r="Y11" s="27" t="s">
        <v>153</v>
      </c>
      <c r="Z11" s="27" t="s">
        <v>153</v>
      </c>
      <c r="AA11" s="27" t="s">
        <v>153</v>
      </c>
      <c r="AB11" s="27" t="s">
        <v>153</v>
      </c>
      <c r="AC11" s="27" t="s">
        <v>153</v>
      </c>
      <c r="AD11" s="27" t="s">
        <v>153</v>
      </c>
      <c r="AE11" s="27" t="s">
        <v>153</v>
      </c>
      <c r="AF11" s="27" t="s">
        <v>153</v>
      </c>
      <c r="AG11" s="27" t="s">
        <v>153</v>
      </c>
      <c r="AH11" s="27" t="s">
        <v>153</v>
      </c>
      <c r="AI11" s="27" t="s">
        <v>153</v>
      </c>
      <c r="AJ11" s="27" t="s">
        <v>153</v>
      </c>
      <c r="AK11" s="27" t="s">
        <v>153</v>
      </c>
      <c r="AL11" s="27" t="s">
        <v>153</v>
      </c>
      <c r="AM11" s="27" t="s">
        <v>153</v>
      </c>
      <c r="AN11" s="27" t="s">
        <v>153</v>
      </c>
      <c r="AO11" s="27" t="s">
        <v>153</v>
      </c>
      <c r="AP11" s="23">
        <f>VALUE(0)</f>
        <v>0</v>
      </c>
      <c r="AQ11" s="23">
        <f>VALUE(0)</f>
        <v>0</v>
      </c>
      <c r="AR11" s="23">
        <f>VALUE(0)</f>
        <v>0</v>
      </c>
      <c r="AS11" s="23">
        <f>VALUE(0)</f>
        <v>0</v>
      </c>
      <c r="AT11" s="23">
        <f>VALUE(0)</f>
        <v>0</v>
      </c>
      <c r="AU11" s="23">
        <f>VALUE(0)</f>
        <v>0</v>
      </c>
      <c r="AV11" s="23">
        <f>VALUE(0)</f>
        <v>0</v>
      </c>
      <c r="AW11" s="23">
        <f>VALUE(0)</f>
        <v>0</v>
      </c>
      <c r="AX11" s="23">
        <f>VALUE(0)</f>
        <v>0</v>
      </c>
      <c r="AY11" s="23">
        <f>VALUE(0)</f>
        <v>0</v>
      </c>
      <c r="AZ11" s="23">
        <f>VALUE(0)</f>
        <v>0</v>
      </c>
      <c r="BA11" s="23">
        <f>VALUE(0)</f>
        <v>0</v>
      </c>
      <c r="BB11" s="23">
        <f>VALUE(0)</f>
        <v>0</v>
      </c>
      <c r="BC11" s="23">
        <f>VALUE(0)</f>
        <v>0</v>
      </c>
      <c r="BD11" s="23">
        <f>VALUE(0)</f>
        <v>0</v>
      </c>
      <c r="BE11" s="23">
        <f>VALUE(0)</f>
        <v>0</v>
      </c>
      <c r="BF11" s="23">
        <f>VALUE(0)</f>
        <v>0</v>
      </c>
      <c r="BG11" s="23">
        <f>VALUE(0)</f>
        <v>0</v>
      </c>
      <c r="BH11" s="23">
        <f>VALUE(0)</f>
        <v>0</v>
      </c>
      <c r="BI11" s="23">
        <f>VALUE(0)</f>
        <v>0</v>
      </c>
      <c r="BJ11" s="23">
        <f>VALUE(0)</f>
        <v>0</v>
      </c>
      <c r="BK11" s="12">
        <f>$AX$11*24</f>
        <v>0</v>
      </c>
      <c r="BL11" s="12">
        <f>$AY$11*24</f>
        <v>0</v>
      </c>
      <c r="BM11" s="12">
        <f>$BJ$11*24</f>
        <v>0</v>
      </c>
      <c r="BN11" s="12">
        <f>VALUE($I$11)/100</f>
        <v>1</v>
      </c>
      <c r="BO11" s="12">
        <v>0</v>
      </c>
      <c r="BP11" s="12">
        <v>0</v>
      </c>
      <c r="BQ11" s="12">
        <v>0</v>
      </c>
      <c r="BR11" s="12">
        <v>0</v>
      </c>
      <c r="BS11" s="12">
        <v>0</v>
      </c>
      <c r="BT11" s="12">
        <v>0</v>
      </c>
      <c r="BU11" s="12">
        <v>0</v>
      </c>
      <c r="BV11" s="12">
        <v>0</v>
      </c>
      <c r="BW11" s="12">
        <v>0</v>
      </c>
      <c r="BX11" s="12">
        <v>0</v>
      </c>
      <c r="BY11" s="12">
        <v>0</v>
      </c>
      <c r="BZ11" s="12">
        <v>0</v>
      </c>
      <c r="CA11" s="12">
        <v>0</v>
      </c>
    </row>
    <row r="12" spans="1:81" hidden="1" x14ac:dyDescent="0.2">
      <c r="A12" s="12" t="s">
        <v>102</v>
      </c>
      <c r="B12" s="12" t="s">
        <v>103</v>
      </c>
      <c r="C12" s="12" t="s">
        <v>103</v>
      </c>
      <c r="D12" s="22" t="s">
        <v>165</v>
      </c>
      <c r="E12" s="22" t="s">
        <v>161</v>
      </c>
      <c r="F12" s="22" t="s">
        <v>597</v>
      </c>
      <c r="G12" s="22" t="s">
        <v>598</v>
      </c>
      <c r="H12" s="22" t="s">
        <v>166</v>
      </c>
      <c r="I12" s="22" t="s">
        <v>151</v>
      </c>
      <c r="J12" s="22" t="s">
        <v>162</v>
      </c>
      <c r="K12" s="22" t="s">
        <v>64</v>
      </c>
      <c r="L12" s="54" t="s">
        <v>153</v>
      </c>
      <c r="M12" s="23" t="s">
        <v>153</v>
      </c>
      <c r="N12" s="24" t="s">
        <v>153</v>
      </c>
      <c r="O12" s="23" t="s">
        <v>153</v>
      </c>
      <c r="P12" s="23" t="s">
        <v>153</v>
      </c>
      <c r="Q12" s="23" t="s">
        <v>153</v>
      </c>
      <c r="R12" s="23" t="s">
        <v>153</v>
      </c>
      <c r="S12" s="23" t="s">
        <v>153</v>
      </c>
      <c r="T12" s="23" t="s">
        <v>153</v>
      </c>
      <c r="U12" s="24" t="s">
        <v>153</v>
      </c>
      <c r="V12" s="54" t="s">
        <v>153</v>
      </c>
      <c r="W12" s="23" t="s">
        <v>153</v>
      </c>
      <c r="X12" s="23" t="s">
        <v>153</v>
      </c>
      <c r="Y12" s="24" t="s">
        <v>156</v>
      </c>
      <c r="Z12" s="24" t="s">
        <v>156</v>
      </c>
      <c r="AA12" s="24" t="s">
        <v>156</v>
      </c>
      <c r="AB12" s="24" t="s">
        <v>153</v>
      </c>
      <c r="AC12" s="23" t="s">
        <v>153</v>
      </c>
      <c r="AD12" s="23" t="s">
        <v>153</v>
      </c>
      <c r="AE12" s="23" t="s">
        <v>153</v>
      </c>
      <c r="AF12" s="23" t="s">
        <v>153</v>
      </c>
      <c r="AG12" s="23" t="s">
        <v>153</v>
      </c>
      <c r="AH12" s="23" t="s">
        <v>153</v>
      </c>
      <c r="AI12" s="24" t="s">
        <v>153</v>
      </c>
      <c r="AJ12" s="23" t="s">
        <v>153</v>
      </c>
      <c r="AK12" s="23" t="s">
        <v>153</v>
      </c>
      <c r="AL12" s="23" t="s">
        <v>153</v>
      </c>
      <c r="AM12" s="23" t="s">
        <v>153</v>
      </c>
      <c r="AN12" s="23" t="s">
        <v>153</v>
      </c>
      <c r="AO12" s="23" t="s">
        <v>153</v>
      </c>
      <c r="AP12" s="23">
        <f>VALUE(2)</f>
        <v>2</v>
      </c>
      <c r="AQ12" s="23">
        <f>VALUE(0)</f>
        <v>0</v>
      </c>
      <c r="AR12" s="23">
        <f>VALUE(0)</f>
        <v>0</v>
      </c>
      <c r="AS12" s="23">
        <f>VALUE(0)</f>
        <v>0</v>
      </c>
      <c r="AT12" s="23">
        <f>VALUE(0)</f>
        <v>0</v>
      </c>
      <c r="AU12" s="23">
        <f>VALUE(0)</f>
        <v>0</v>
      </c>
      <c r="AV12" s="23">
        <f>VALUE(2)</f>
        <v>2</v>
      </c>
      <c r="AW12" s="23">
        <f>VALUE(0)</f>
        <v>0</v>
      </c>
      <c r="AX12" s="23" t="s">
        <v>1166</v>
      </c>
      <c r="AY12" s="23">
        <f>VALUE(0)</f>
        <v>0</v>
      </c>
      <c r="AZ12" s="23">
        <f>VALUE(0)</f>
        <v>0</v>
      </c>
      <c r="BA12" s="23">
        <f>VALUE(0)</f>
        <v>0</v>
      </c>
      <c r="BB12" s="23">
        <f>VALUE(0)</f>
        <v>0</v>
      </c>
      <c r="BC12" s="23">
        <f>VALUE(0)</f>
        <v>0</v>
      </c>
      <c r="BD12" s="23">
        <f>VALUE(0)</f>
        <v>0</v>
      </c>
      <c r="BE12" s="23">
        <f>VALUE(0)</f>
        <v>0</v>
      </c>
      <c r="BF12" s="23">
        <f>VALUE(0)</f>
        <v>0</v>
      </c>
      <c r="BG12" s="23">
        <f>VALUE(0)</f>
        <v>0</v>
      </c>
      <c r="BH12" s="23">
        <f>VALUE(0)</f>
        <v>0</v>
      </c>
      <c r="BI12" s="23">
        <f>VALUE(0)</f>
        <v>0</v>
      </c>
      <c r="BJ12" s="23">
        <f>VALUE(0)</f>
        <v>0</v>
      </c>
      <c r="BK12" s="12">
        <f>$AX$12*24</f>
        <v>30.466666666666665</v>
      </c>
      <c r="BL12" s="12">
        <f>$AY$12*24</f>
        <v>0</v>
      </c>
      <c r="BM12" s="12">
        <f>$BJ$12*24</f>
        <v>0</v>
      </c>
      <c r="BN12" s="12">
        <f>VALUE($I$12)/100</f>
        <v>1</v>
      </c>
      <c r="BO12" s="12">
        <v>0</v>
      </c>
      <c r="BP12" s="12">
        <v>0</v>
      </c>
      <c r="BQ12" s="12">
        <v>0</v>
      </c>
      <c r="BR12" s="12">
        <v>0</v>
      </c>
      <c r="BS12" s="12">
        <v>0</v>
      </c>
      <c r="BT12" s="12">
        <v>0</v>
      </c>
      <c r="BU12" s="12">
        <v>0</v>
      </c>
      <c r="BV12" s="12">
        <v>0</v>
      </c>
      <c r="BW12" s="12">
        <v>0</v>
      </c>
      <c r="BX12" s="12">
        <v>0</v>
      </c>
      <c r="BY12" s="12">
        <v>0</v>
      </c>
      <c r="BZ12" s="12">
        <v>0</v>
      </c>
      <c r="CA12" s="12">
        <v>0</v>
      </c>
    </row>
    <row r="13" spans="1:81" hidden="1" x14ac:dyDescent="0.2">
      <c r="A13" s="12" t="s">
        <v>102</v>
      </c>
      <c r="B13" s="12" t="s">
        <v>103</v>
      </c>
      <c r="C13" s="12" t="s">
        <v>103</v>
      </c>
      <c r="D13" s="22" t="s">
        <v>167</v>
      </c>
      <c r="E13" s="22" t="s">
        <v>161</v>
      </c>
      <c r="F13" s="22" t="s">
        <v>599</v>
      </c>
      <c r="G13" s="22" t="s">
        <v>600</v>
      </c>
      <c r="H13" s="22" t="s">
        <v>150</v>
      </c>
      <c r="I13" s="22" t="s">
        <v>151</v>
      </c>
      <c r="J13" s="22" t="s">
        <v>162</v>
      </c>
      <c r="K13" s="22" t="s">
        <v>64</v>
      </c>
      <c r="L13" s="54" t="s">
        <v>153</v>
      </c>
      <c r="M13" s="28" t="s">
        <v>163</v>
      </c>
      <c r="N13" s="24" t="s">
        <v>153</v>
      </c>
      <c r="O13" s="23" t="s">
        <v>153</v>
      </c>
      <c r="P13" s="23" t="s">
        <v>153</v>
      </c>
      <c r="Q13" s="23" t="s">
        <v>153</v>
      </c>
      <c r="R13" s="23" t="s">
        <v>153</v>
      </c>
      <c r="S13" s="23" t="s">
        <v>153</v>
      </c>
      <c r="T13" s="23" t="s">
        <v>153</v>
      </c>
      <c r="U13" s="24" t="s">
        <v>153</v>
      </c>
      <c r="V13" s="54" t="s">
        <v>156</v>
      </c>
      <c r="W13" s="24" t="s">
        <v>156</v>
      </c>
      <c r="X13" s="24" t="s">
        <v>156</v>
      </c>
      <c r="Y13" s="23" t="s">
        <v>153</v>
      </c>
      <c r="Z13" s="23" t="s">
        <v>153</v>
      </c>
      <c r="AA13" s="23" t="s">
        <v>153</v>
      </c>
      <c r="AB13" s="24" t="s">
        <v>153</v>
      </c>
      <c r="AC13" s="23" t="s">
        <v>153</v>
      </c>
      <c r="AD13" s="23" t="s">
        <v>153</v>
      </c>
      <c r="AE13" s="23" t="s">
        <v>153</v>
      </c>
      <c r="AF13" s="23" t="s">
        <v>153</v>
      </c>
      <c r="AG13" s="23" t="s">
        <v>153</v>
      </c>
      <c r="AH13" s="23" t="s">
        <v>153</v>
      </c>
      <c r="AI13" s="24" t="s">
        <v>153</v>
      </c>
      <c r="AJ13" s="23" t="s">
        <v>153</v>
      </c>
      <c r="AK13" s="23" t="s">
        <v>153</v>
      </c>
      <c r="AL13" s="23" t="s">
        <v>153</v>
      </c>
      <c r="AM13" s="23" t="s">
        <v>153</v>
      </c>
      <c r="AN13" s="23" t="s">
        <v>153</v>
      </c>
      <c r="AO13" s="30" t="s">
        <v>29</v>
      </c>
      <c r="AP13" s="23">
        <f>VALUE(1)</f>
        <v>1</v>
      </c>
      <c r="AQ13" s="23">
        <f>VALUE(0)</f>
        <v>0</v>
      </c>
      <c r="AR13" s="23">
        <f>VALUE(0)</f>
        <v>0</v>
      </c>
      <c r="AS13" s="23">
        <f>VALUE(0)</f>
        <v>0</v>
      </c>
      <c r="AT13" s="23">
        <f>VALUE(0)</f>
        <v>0</v>
      </c>
      <c r="AU13" s="23">
        <f>VALUE(1)</f>
        <v>1</v>
      </c>
      <c r="AV13" s="23">
        <f>VALUE(2)</f>
        <v>2</v>
      </c>
      <c r="AW13" s="23">
        <f>VALUE(0)</f>
        <v>0</v>
      </c>
      <c r="AX13" s="23" t="s">
        <v>1167</v>
      </c>
      <c r="AY13" s="23" t="s">
        <v>168</v>
      </c>
      <c r="AZ13" s="23">
        <f>VALUE(0)</f>
        <v>0</v>
      </c>
      <c r="BA13" s="23">
        <f>VALUE(0)</f>
        <v>0</v>
      </c>
      <c r="BB13" s="23">
        <f>VALUE(0)</f>
        <v>0</v>
      </c>
      <c r="BC13" s="23">
        <f>VALUE(0)</f>
        <v>0</v>
      </c>
      <c r="BD13" s="23">
        <f>VALUE(0)</f>
        <v>0</v>
      </c>
      <c r="BE13" s="23">
        <f>VALUE(0)</f>
        <v>0</v>
      </c>
      <c r="BF13" s="23">
        <f>VALUE(0)</f>
        <v>0</v>
      </c>
      <c r="BG13" s="23">
        <f>VALUE(0)</f>
        <v>0</v>
      </c>
      <c r="BH13" s="23">
        <f>VALUE(0)</f>
        <v>0</v>
      </c>
      <c r="BI13" s="23">
        <f>VALUE(0)</f>
        <v>0</v>
      </c>
      <c r="BJ13" s="23">
        <f>VALUE(0)</f>
        <v>0</v>
      </c>
      <c r="BK13" s="12">
        <f>$AX$13*24</f>
        <v>11.25</v>
      </c>
      <c r="BL13" s="12">
        <f>$AY$13*24</f>
        <v>18.05</v>
      </c>
      <c r="BM13" s="12">
        <f>$BJ$13*24</f>
        <v>0</v>
      </c>
      <c r="BN13" s="12">
        <f>VALUE($I$13)/100</f>
        <v>1</v>
      </c>
      <c r="BO13" s="12">
        <v>0</v>
      </c>
      <c r="BP13" s="12">
        <v>0</v>
      </c>
      <c r="BQ13" s="12">
        <v>0</v>
      </c>
      <c r="BR13" s="12">
        <v>0</v>
      </c>
      <c r="BS13" s="12">
        <v>0</v>
      </c>
      <c r="BT13" s="12">
        <v>0</v>
      </c>
      <c r="BU13" s="12">
        <v>0</v>
      </c>
      <c r="BV13" s="12">
        <v>0</v>
      </c>
      <c r="BW13" s="12">
        <v>0</v>
      </c>
      <c r="BX13" s="12">
        <v>0</v>
      </c>
      <c r="BY13" s="12">
        <v>0</v>
      </c>
      <c r="BZ13" s="12">
        <v>0</v>
      </c>
      <c r="CA13" s="12">
        <v>0</v>
      </c>
    </row>
    <row r="14" spans="1:81" hidden="1" x14ac:dyDescent="0.2">
      <c r="A14" s="12" t="s">
        <v>102</v>
      </c>
      <c r="B14" s="12" t="s">
        <v>103</v>
      </c>
      <c r="C14" s="12" t="s">
        <v>103</v>
      </c>
      <c r="D14" s="22" t="s">
        <v>169</v>
      </c>
      <c r="E14" s="22" t="s">
        <v>161</v>
      </c>
      <c r="F14" s="22" t="s">
        <v>601</v>
      </c>
      <c r="G14" s="22" t="s">
        <v>602</v>
      </c>
      <c r="H14" s="22" t="s">
        <v>150</v>
      </c>
      <c r="I14" s="22" t="s">
        <v>151</v>
      </c>
      <c r="J14" s="22" t="s">
        <v>162</v>
      </c>
      <c r="K14" s="22" t="s">
        <v>64</v>
      </c>
      <c r="L14" s="54" t="s">
        <v>153</v>
      </c>
      <c r="M14" s="28" t="s">
        <v>163</v>
      </c>
      <c r="N14" s="24" t="s">
        <v>153</v>
      </c>
      <c r="O14" s="23" t="s">
        <v>153</v>
      </c>
      <c r="P14" s="23" t="s">
        <v>153</v>
      </c>
      <c r="Q14" s="23" t="s">
        <v>153</v>
      </c>
      <c r="R14" s="24" t="s">
        <v>156</v>
      </c>
      <c r="S14" s="24" t="s">
        <v>156</v>
      </c>
      <c r="T14" s="24" t="s">
        <v>156</v>
      </c>
      <c r="U14" s="24" t="s">
        <v>153</v>
      </c>
      <c r="V14" s="54" t="s">
        <v>153</v>
      </c>
      <c r="W14" s="23" t="s">
        <v>153</v>
      </c>
      <c r="X14" s="23" t="s">
        <v>153</v>
      </c>
      <c r="Y14" s="23" t="s">
        <v>153</v>
      </c>
      <c r="Z14" s="23" t="s">
        <v>153</v>
      </c>
      <c r="AA14" s="23" t="s">
        <v>153</v>
      </c>
      <c r="AB14" s="24" t="s">
        <v>153</v>
      </c>
      <c r="AC14" s="23" t="s">
        <v>153</v>
      </c>
      <c r="AD14" s="23" t="s">
        <v>153</v>
      </c>
      <c r="AE14" s="23" t="s">
        <v>153</v>
      </c>
      <c r="AF14" s="23" t="s">
        <v>153</v>
      </c>
      <c r="AG14" s="23" t="s">
        <v>153</v>
      </c>
      <c r="AH14" s="23" t="s">
        <v>153</v>
      </c>
      <c r="AI14" s="24" t="s">
        <v>153</v>
      </c>
      <c r="AJ14" s="28" t="s">
        <v>163</v>
      </c>
      <c r="AK14" s="28" t="s">
        <v>163</v>
      </c>
      <c r="AL14" s="28" t="s">
        <v>163</v>
      </c>
      <c r="AM14" s="30" t="s">
        <v>28</v>
      </c>
      <c r="AN14" s="23" t="s">
        <v>153</v>
      </c>
      <c r="AO14" s="23" t="s">
        <v>153</v>
      </c>
      <c r="AP14" s="23">
        <f>VALUE(1)</f>
        <v>1</v>
      </c>
      <c r="AQ14" s="23">
        <f>VALUE(0)</f>
        <v>0</v>
      </c>
      <c r="AR14" s="23">
        <f>VALUE(0)</f>
        <v>0</v>
      </c>
      <c r="AS14" s="23">
        <f>VALUE(0)</f>
        <v>0</v>
      </c>
      <c r="AT14" s="23">
        <f>VALUE(0)</f>
        <v>0</v>
      </c>
      <c r="AU14" s="23">
        <f>VALUE(4)</f>
        <v>4</v>
      </c>
      <c r="AV14" s="23">
        <f>VALUE(0)</f>
        <v>0</v>
      </c>
      <c r="AW14" s="23">
        <f>VALUE(0)</f>
        <v>0</v>
      </c>
      <c r="AX14" s="23" t="s">
        <v>171</v>
      </c>
      <c r="AY14" s="23" t="s">
        <v>172</v>
      </c>
      <c r="AZ14" s="23">
        <f>VALUE(0)</f>
        <v>0</v>
      </c>
      <c r="BA14" s="23">
        <f>VALUE(0)</f>
        <v>0</v>
      </c>
      <c r="BB14" s="23">
        <f>VALUE(0)</f>
        <v>0</v>
      </c>
      <c r="BC14" s="23">
        <f>VALUE(0)</f>
        <v>0</v>
      </c>
      <c r="BD14" s="23">
        <f>VALUE(0)</f>
        <v>0</v>
      </c>
      <c r="BE14" s="23">
        <f>VALUE(0)</f>
        <v>0</v>
      </c>
      <c r="BF14" s="23">
        <f>VALUE(0)</f>
        <v>0</v>
      </c>
      <c r="BG14" s="23">
        <f>VALUE(0)</f>
        <v>0</v>
      </c>
      <c r="BH14" s="23">
        <f>VALUE(0)</f>
        <v>0</v>
      </c>
      <c r="BI14" s="23">
        <f>VALUE(0)</f>
        <v>0</v>
      </c>
      <c r="BJ14" s="23">
        <f>VALUE(0)</f>
        <v>0</v>
      </c>
      <c r="BK14" s="12">
        <f>$AX$14*24</f>
        <v>5.833333333333333</v>
      </c>
      <c r="BL14" s="12">
        <f>$AY$14*24</f>
        <v>6.9333333333333336</v>
      </c>
      <c r="BM14" s="12">
        <f>$BJ$14*24</f>
        <v>0</v>
      </c>
      <c r="BN14" s="12">
        <f>VALUE($I$14)/100</f>
        <v>1</v>
      </c>
      <c r="BO14" s="12">
        <v>0</v>
      </c>
      <c r="BP14" s="12">
        <v>0</v>
      </c>
      <c r="BQ14" s="12">
        <v>1</v>
      </c>
      <c r="BR14" s="12">
        <v>0</v>
      </c>
      <c r="BS14" s="12">
        <v>0</v>
      </c>
      <c r="BT14" s="12">
        <v>0</v>
      </c>
      <c r="BU14" s="12">
        <v>0</v>
      </c>
      <c r="BV14" s="12">
        <v>0</v>
      </c>
      <c r="BW14" s="12">
        <v>0</v>
      </c>
      <c r="BX14" s="12">
        <v>0</v>
      </c>
      <c r="BY14" s="12">
        <v>0</v>
      </c>
      <c r="BZ14" s="12">
        <v>0</v>
      </c>
      <c r="CA14" s="12">
        <v>0</v>
      </c>
    </row>
    <row r="15" spans="1:81" ht="15" hidden="1" x14ac:dyDescent="0.25">
      <c r="A15" s="12" t="s">
        <v>102</v>
      </c>
      <c r="B15" s="12" t="s">
        <v>103</v>
      </c>
      <c r="C15" s="12" t="s">
        <v>103</v>
      </c>
      <c r="D15" s="31" t="s">
        <v>174</v>
      </c>
      <c r="E15" s="31" t="s">
        <v>153</v>
      </c>
      <c r="F15" s="31" t="s">
        <v>175</v>
      </c>
      <c r="G15" s="31" t="s">
        <v>153</v>
      </c>
      <c r="H15" s="31" t="s">
        <v>153</v>
      </c>
      <c r="I15" s="31" t="s">
        <v>153</v>
      </c>
      <c r="J15" s="31" t="s">
        <v>153</v>
      </c>
      <c r="K15" s="31" t="s">
        <v>153</v>
      </c>
      <c r="L15" s="31">
        <f>VALUE(0)</f>
        <v>0</v>
      </c>
      <c r="M15" s="31">
        <f>VALUE(3)</f>
        <v>3</v>
      </c>
      <c r="N15" s="31">
        <f>VALUE(0)</f>
        <v>0</v>
      </c>
      <c r="O15" s="31">
        <f>VALUE(3)</f>
        <v>3</v>
      </c>
      <c r="P15" s="31">
        <f>VALUE(3)</f>
        <v>3</v>
      </c>
      <c r="Q15" s="31">
        <f>VALUE(4)</f>
        <v>4</v>
      </c>
      <c r="R15" s="31">
        <f>VALUE(3)</f>
        <v>3</v>
      </c>
      <c r="S15" s="31">
        <f>VALUE(3)</f>
        <v>3</v>
      </c>
      <c r="T15" s="31">
        <f>VALUE(2)</f>
        <v>2</v>
      </c>
      <c r="U15" s="31">
        <f>VALUE(0)</f>
        <v>0</v>
      </c>
      <c r="V15" s="31">
        <f>VALUE(0)</f>
        <v>0</v>
      </c>
      <c r="W15" s="31">
        <f>VALUE(4)</f>
        <v>4</v>
      </c>
      <c r="X15" s="31">
        <f>VALUE(4)</f>
        <v>4</v>
      </c>
      <c r="Y15" s="31">
        <f>VALUE(4)</f>
        <v>4</v>
      </c>
      <c r="Z15" s="31">
        <f>VALUE(4)</f>
        <v>4</v>
      </c>
      <c r="AA15" s="31">
        <f>VALUE(4)</f>
        <v>4</v>
      </c>
      <c r="AB15" s="31">
        <f>VALUE(0)</f>
        <v>0</v>
      </c>
      <c r="AC15" s="31">
        <f>VALUE(5)</f>
        <v>5</v>
      </c>
      <c r="AD15" s="31">
        <f>VALUE(5)</f>
        <v>5</v>
      </c>
      <c r="AE15" s="31">
        <f>VALUE(5)</f>
        <v>5</v>
      </c>
      <c r="AF15" s="31">
        <f>VALUE(5)</f>
        <v>5</v>
      </c>
      <c r="AG15" s="31">
        <f>VALUE(5)</f>
        <v>5</v>
      </c>
      <c r="AH15" s="31">
        <f>VALUE(4)</f>
        <v>4</v>
      </c>
      <c r="AI15" s="31">
        <f>VALUE(0)</f>
        <v>0</v>
      </c>
      <c r="AJ15" s="31">
        <f>VALUE(3)</f>
        <v>3</v>
      </c>
      <c r="AK15" s="31">
        <f>VALUE(4)</f>
        <v>4</v>
      </c>
      <c r="AL15" s="31">
        <f>VALUE(4)</f>
        <v>4</v>
      </c>
      <c r="AM15" s="31">
        <f>VALUE(4)</f>
        <v>4</v>
      </c>
      <c r="AN15" s="31">
        <f>VALUE(4)</f>
        <v>4</v>
      </c>
      <c r="AO15" s="31">
        <f>VALUE(3)</f>
        <v>3</v>
      </c>
      <c r="AP15" s="31">
        <v>0</v>
      </c>
      <c r="AQ15" s="31">
        <v>0</v>
      </c>
      <c r="AR15" s="31">
        <v>0</v>
      </c>
      <c r="AS15" s="31">
        <v>0</v>
      </c>
      <c r="AT15" s="31">
        <v>0</v>
      </c>
      <c r="AU15" s="31">
        <v>0</v>
      </c>
      <c r="AV15" s="31">
        <v>0</v>
      </c>
      <c r="AW15" s="31">
        <v>0</v>
      </c>
      <c r="AX15" s="31">
        <v>0</v>
      </c>
      <c r="AY15" s="31">
        <v>0</v>
      </c>
      <c r="AZ15" s="31">
        <v>0</v>
      </c>
      <c r="BA15" s="31">
        <v>0</v>
      </c>
      <c r="BB15" s="31">
        <v>0</v>
      </c>
      <c r="BC15" s="31">
        <v>0</v>
      </c>
      <c r="BD15" s="31">
        <v>0</v>
      </c>
      <c r="BE15" s="31">
        <v>0</v>
      </c>
      <c r="BF15" s="31">
        <v>0</v>
      </c>
      <c r="BG15" s="31">
        <v>0</v>
      </c>
      <c r="BH15" s="31">
        <v>0</v>
      </c>
      <c r="BI15" s="31">
        <v>0</v>
      </c>
      <c r="BJ15" s="31">
        <v>0</v>
      </c>
      <c r="BK15" s="12">
        <v>0</v>
      </c>
      <c r="BL15" s="12">
        <v>0</v>
      </c>
      <c r="BM15" s="12">
        <v>0</v>
      </c>
      <c r="BN15" s="12"/>
      <c r="BO15" s="12">
        <v>0</v>
      </c>
      <c r="BP15" s="12">
        <v>0</v>
      </c>
      <c r="BQ15" s="12">
        <v>0</v>
      </c>
      <c r="BR15" s="12">
        <v>0</v>
      </c>
      <c r="BS15" s="12">
        <v>0</v>
      </c>
      <c r="BT15" s="12">
        <v>0</v>
      </c>
      <c r="BU15" s="12">
        <v>0</v>
      </c>
      <c r="BV15" s="12">
        <v>0</v>
      </c>
      <c r="BW15" s="12">
        <v>0</v>
      </c>
      <c r="BX15" s="12">
        <v>0</v>
      </c>
      <c r="BY15" s="12">
        <v>0</v>
      </c>
      <c r="BZ15" s="12">
        <v>0</v>
      </c>
      <c r="CA15" s="12">
        <v>0</v>
      </c>
    </row>
    <row r="16" spans="1:81" hidden="1" x14ac:dyDescent="0.2">
      <c r="A16" s="12" t="s">
        <v>102</v>
      </c>
      <c r="B16" s="12" t="s">
        <v>104</v>
      </c>
      <c r="C16" s="12" t="s">
        <v>104</v>
      </c>
      <c r="D16" s="22" t="s">
        <v>177</v>
      </c>
      <c r="E16" s="22" t="s">
        <v>161</v>
      </c>
      <c r="F16" s="22" t="s">
        <v>603</v>
      </c>
      <c r="G16" s="22" t="s">
        <v>604</v>
      </c>
      <c r="H16" s="22" t="s">
        <v>166</v>
      </c>
      <c r="I16" s="22" t="s">
        <v>151</v>
      </c>
      <c r="J16" s="22" t="s">
        <v>178</v>
      </c>
      <c r="K16" s="22" t="s">
        <v>65</v>
      </c>
      <c r="L16" s="54" t="s">
        <v>153</v>
      </c>
      <c r="M16" s="24" t="s">
        <v>156</v>
      </c>
      <c r="N16" s="24" t="s">
        <v>153</v>
      </c>
      <c r="O16" s="23" t="s">
        <v>153</v>
      </c>
      <c r="P16" s="23" t="s">
        <v>153</v>
      </c>
      <c r="Q16" s="23" t="s">
        <v>153</v>
      </c>
      <c r="R16" s="23" t="s">
        <v>153</v>
      </c>
      <c r="S16" s="23" t="s">
        <v>153</v>
      </c>
      <c r="T16" s="24" t="s">
        <v>156</v>
      </c>
      <c r="U16" s="24" t="s">
        <v>153</v>
      </c>
      <c r="V16" s="54" t="s">
        <v>153</v>
      </c>
      <c r="W16" s="23" t="s">
        <v>153</v>
      </c>
      <c r="X16" s="23" t="s">
        <v>153</v>
      </c>
      <c r="Y16" s="23" t="s">
        <v>153</v>
      </c>
      <c r="Z16" s="23" t="s">
        <v>153</v>
      </c>
      <c r="AA16" s="24" t="s">
        <v>156</v>
      </c>
      <c r="AB16" s="24" t="s">
        <v>153</v>
      </c>
      <c r="AC16" s="23" t="s">
        <v>153</v>
      </c>
      <c r="AD16" s="23" t="s">
        <v>153</v>
      </c>
      <c r="AE16" s="23" t="s">
        <v>153</v>
      </c>
      <c r="AF16" s="23" t="s">
        <v>153</v>
      </c>
      <c r="AG16" s="23" t="s">
        <v>153</v>
      </c>
      <c r="AH16" s="24" t="s">
        <v>156</v>
      </c>
      <c r="AI16" s="24" t="s">
        <v>153</v>
      </c>
      <c r="AJ16" s="23" t="s">
        <v>153</v>
      </c>
      <c r="AK16" s="23" t="s">
        <v>153</v>
      </c>
      <c r="AL16" s="23" t="s">
        <v>153</v>
      </c>
      <c r="AM16" s="23" t="s">
        <v>153</v>
      </c>
      <c r="AN16" s="23" t="s">
        <v>153</v>
      </c>
      <c r="AO16" s="24" t="s">
        <v>156</v>
      </c>
      <c r="AP16" s="23">
        <f>VALUE(0)</f>
        <v>0</v>
      </c>
      <c r="AQ16" s="23">
        <f>VALUE(0)</f>
        <v>0</v>
      </c>
      <c r="AR16" s="23">
        <f>VALUE(0)</f>
        <v>0</v>
      </c>
      <c r="AS16" s="23">
        <f>VALUE(0)</f>
        <v>0</v>
      </c>
      <c r="AT16" s="23">
        <f>VALUE(0)</f>
        <v>0</v>
      </c>
      <c r="AU16" s="23">
        <f>VALUE(0)</f>
        <v>0</v>
      </c>
      <c r="AV16" s="23">
        <f>VALUE(3)</f>
        <v>3</v>
      </c>
      <c r="AW16" s="23">
        <f>VALUE(0)</f>
        <v>0</v>
      </c>
      <c r="AX16" s="23" t="s">
        <v>179</v>
      </c>
      <c r="AY16" s="23">
        <f>VALUE(0)</f>
        <v>0</v>
      </c>
      <c r="AZ16" s="23">
        <f>VALUE(0)</f>
        <v>0</v>
      </c>
      <c r="BA16" s="23">
        <f>VALUE(0)</f>
        <v>0</v>
      </c>
      <c r="BB16" s="23">
        <f>VALUE(0)</f>
        <v>0</v>
      </c>
      <c r="BC16" s="23">
        <f>VALUE(0)</f>
        <v>0</v>
      </c>
      <c r="BD16" s="23">
        <f>VALUE(0)</f>
        <v>0</v>
      </c>
      <c r="BE16" s="23">
        <f>VALUE(0)</f>
        <v>0</v>
      </c>
      <c r="BF16" s="23">
        <f>VALUE(0)</f>
        <v>0</v>
      </c>
      <c r="BG16" s="23">
        <f>VALUE(0)</f>
        <v>0</v>
      </c>
      <c r="BH16" s="23">
        <f>VALUE(0)</f>
        <v>0</v>
      </c>
      <c r="BI16" s="23">
        <f>VALUE(0)</f>
        <v>0</v>
      </c>
      <c r="BJ16" s="23">
        <f>VALUE(0)</f>
        <v>0</v>
      </c>
      <c r="BK16" s="12">
        <f>$AX$16*24</f>
        <v>6.4666666666666668</v>
      </c>
      <c r="BL16" s="12">
        <f>$AY$16*24</f>
        <v>0</v>
      </c>
      <c r="BM16" s="12">
        <f>$BJ$16*24</f>
        <v>0</v>
      </c>
      <c r="BN16" s="12">
        <f>VALUE($I$16)/100</f>
        <v>1</v>
      </c>
      <c r="BO16" s="12">
        <v>0</v>
      </c>
      <c r="BP16" s="12">
        <v>0</v>
      </c>
      <c r="BQ16" s="12">
        <v>0</v>
      </c>
      <c r="BR16" s="12">
        <v>0</v>
      </c>
      <c r="BS16" s="12">
        <v>0</v>
      </c>
      <c r="BT16" s="12">
        <v>0</v>
      </c>
      <c r="BU16" s="12">
        <v>0</v>
      </c>
      <c r="BV16" s="12">
        <v>0</v>
      </c>
      <c r="BW16" s="12">
        <v>0</v>
      </c>
      <c r="BX16" s="12">
        <v>0</v>
      </c>
      <c r="BY16" s="12">
        <v>0</v>
      </c>
      <c r="BZ16" s="12">
        <v>0</v>
      </c>
      <c r="CA16" s="12">
        <v>0</v>
      </c>
    </row>
    <row r="17" spans="1:79" hidden="1" x14ac:dyDescent="0.2">
      <c r="A17" s="12" t="s">
        <v>102</v>
      </c>
      <c r="B17" s="12" t="s">
        <v>104</v>
      </c>
      <c r="C17" s="12" t="s">
        <v>104</v>
      </c>
      <c r="D17" s="22" t="s">
        <v>180</v>
      </c>
      <c r="E17" s="22" t="s">
        <v>159</v>
      </c>
      <c r="F17" s="22" t="s">
        <v>605</v>
      </c>
      <c r="G17" s="22" t="s">
        <v>606</v>
      </c>
      <c r="H17" s="22" t="s">
        <v>166</v>
      </c>
      <c r="I17" s="22" t="s">
        <v>151</v>
      </c>
      <c r="J17" s="22" t="s">
        <v>181</v>
      </c>
      <c r="K17" s="22" t="s">
        <v>65</v>
      </c>
      <c r="L17" s="54" t="s">
        <v>153</v>
      </c>
      <c r="M17" s="28" t="s">
        <v>163</v>
      </c>
      <c r="N17" s="24" t="s">
        <v>153</v>
      </c>
      <c r="O17" s="23" t="s">
        <v>153</v>
      </c>
      <c r="P17" s="23" t="s">
        <v>153</v>
      </c>
      <c r="Q17" s="23" t="s">
        <v>153</v>
      </c>
      <c r="R17" s="23" t="s">
        <v>153</v>
      </c>
      <c r="S17" s="23" t="s">
        <v>153</v>
      </c>
      <c r="T17" s="23" t="s">
        <v>153</v>
      </c>
      <c r="U17" s="24" t="s">
        <v>153</v>
      </c>
      <c r="V17" s="54" t="s">
        <v>153</v>
      </c>
      <c r="W17" s="23" t="s">
        <v>183</v>
      </c>
      <c r="X17" s="23" t="s">
        <v>183</v>
      </c>
      <c r="Y17" s="23" t="s">
        <v>183</v>
      </c>
      <c r="Z17" s="23" t="s">
        <v>183</v>
      </c>
      <c r="AA17" s="23" t="s">
        <v>153</v>
      </c>
      <c r="AB17" s="24" t="s">
        <v>153</v>
      </c>
      <c r="AC17" s="23" t="s">
        <v>184</v>
      </c>
      <c r="AD17" s="23" t="s">
        <v>184</v>
      </c>
      <c r="AE17" s="23" t="s">
        <v>184</v>
      </c>
      <c r="AF17" s="25" t="s">
        <v>185</v>
      </c>
      <c r="AG17" s="25" t="s">
        <v>185</v>
      </c>
      <c r="AH17" s="23" t="s">
        <v>153</v>
      </c>
      <c r="AI17" s="24" t="s">
        <v>153</v>
      </c>
      <c r="AJ17" s="25" t="s">
        <v>185</v>
      </c>
      <c r="AK17" s="25" t="s">
        <v>185</v>
      </c>
      <c r="AL17" s="23" t="s">
        <v>153</v>
      </c>
      <c r="AM17" s="23" t="s">
        <v>153</v>
      </c>
      <c r="AN17" s="23" t="s">
        <v>153</v>
      </c>
      <c r="AO17" s="23" t="s">
        <v>153</v>
      </c>
      <c r="AP17" s="23">
        <f>VALUE(0)</f>
        <v>0</v>
      </c>
      <c r="AQ17" s="23">
        <f>VALUE(0)</f>
        <v>0</v>
      </c>
      <c r="AR17" s="23">
        <f>VALUE(0)</f>
        <v>0</v>
      </c>
      <c r="AS17" s="23">
        <f>VALUE(12)</f>
        <v>12</v>
      </c>
      <c r="AT17" s="23">
        <f>VALUE(0)</f>
        <v>0</v>
      </c>
      <c r="AU17" s="23">
        <f>VALUE(1)</f>
        <v>1</v>
      </c>
      <c r="AV17" s="23">
        <f>VALUE(1)</f>
        <v>1</v>
      </c>
      <c r="AW17" s="23">
        <f>VALUE(0)</f>
        <v>0</v>
      </c>
      <c r="AX17" s="23" t="s">
        <v>187</v>
      </c>
      <c r="AY17" s="23">
        <f>VALUE(0)</f>
        <v>0</v>
      </c>
      <c r="AZ17" s="23">
        <f>VALUE(0)</f>
        <v>0</v>
      </c>
      <c r="BA17" s="23">
        <f>VALUE(0)</f>
        <v>0</v>
      </c>
      <c r="BB17" s="23">
        <f>VALUE(0)</f>
        <v>0</v>
      </c>
      <c r="BC17" s="23">
        <f>VALUE(0)</f>
        <v>0</v>
      </c>
      <c r="BD17" s="23">
        <f>VALUE(0)</f>
        <v>0</v>
      </c>
      <c r="BE17" s="23">
        <f>VALUE(0)</f>
        <v>0</v>
      </c>
      <c r="BF17" s="23">
        <f>VALUE(0)</f>
        <v>0</v>
      </c>
      <c r="BG17" s="23">
        <f>VALUE(0)</f>
        <v>0</v>
      </c>
      <c r="BH17" s="23">
        <f>VALUE(0)</f>
        <v>0</v>
      </c>
      <c r="BI17" s="23">
        <f>VALUE(0)</f>
        <v>0</v>
      </c>
      <c r="BJ17" s="23">
        <f>VALUE(0)</f>
        <v>0</v>
      </c>
      <c r="BK17" s="12">
        <f>$AX$17*24</f>
        <v>6.1833333333333336</v>
      </c>
      <c r="BL17" s="12">
        <f>$AY$17*24</f>
        <v>0</v>
      </c>
      <c r="BM17" s="12">
        <f>$BJ$17*24</f>
        <v>0</v>
      </c>
      <c r="BN17" s="12">
        <f>VALUE($I$17)/100</f>
        <v>1</v>
      </c>
      <c r="BO17" s="12">
        <v>0</v>
      </c>
      <c r="BP17" s="12">
        <v>0</v>
      </c>
      <c r="BQ17" s="12">
        <v>0</v>
      </c>
      <c r="BR17" s="12">
        <v>0</v>
      </c>
      <c r="BS17" s="12">
        <v>0</v>
      </c>
      <c r="BT17" s="12">
        <v>0</v>
      </c>
      <c r="BU17" s="12">
        <v>0</v>
      </c>
      <c r="BV17" s="12">
        <v>0</v>
      </c>
      <c r="BW17" s="12">
        <v>0</v>
      </c>
      <c r="BX17" s="12">
        <v>0</v>
      </c>
      <c r="BY17" s="12">
        <v>0</v>
      </c>
      <c r="BZ17" s="12">
        <v>0</v>
      </c>
      <c r="CA17" s="12">
        <v>0</v>
      </c>
    </row>
    <row r="18" spans="1:79" x14ac:dyDescent="0.2">
      <c r="A18" s="12" t="s">
        <v>102</v>
      </c>
      <c r="B18" s="12" t="s">
        <v>104</v>
      </c>
      <c r="C18" s="12" t="s">
        <v>104</v>
      </c>
      <c r="D18" s="22" t="s">
        <v>186</v>
      </c>
      <c r="E18" s="22" t="s">
        <v>161</v>
      </c>
      <c r="F18" s="22" t="s">
        <v>607</v>
      </c>
      <c r="G18" s="22" t="s">
        <v>608</v>
      </c>
      <c r="H18" s="22" t="s">
        <v>150</v>
      </c>
      <c r="I18" s="22" t="s">
        <v>151</v>
      </c>
      <c r="J18" s="22" t="s">
        <v>181</v>
      </c>
      <c r="K18" s="22" t="s">
        <v>65</v>
      </c>
      <c r="L18" s="54" t="s">
        <v>153</v>
      </c>
      <c r="M18" s="32" t="s">
        <v>188</v>
      </c>
      <c r="N18" s="24" t="s">
        <v>153</v>
      </c>
      <c r="O18" s="32" t="s">
        <v>188</v>
      </c>
      <c r="P18" s="32" t="s">
        <v>188</v>
      </c>
      <c r="Q18" s="32" t="s">
        <v>188</v>
      </c>
      <c r="R18" s="32" t="s">
        <v>188</v>
      </c>
      <c r="S18" s="32" t="s">
        <v>188</v>
      </c>
      <c r="T18" s="32" t="s">
        <v>188</v>
      </c>
      <c r="U18" s="24" t="s">
        <v>153</v>
      </c>
      <c r="V18" s="54" t="s">
        <v>153</v>
      </c>
      <c r="W18" s="32" t="s">
        <v>188</v>
      </c>
      <c r="X18" s="32" t="s">
        <v>188</v>
      </c>
      <c r="Y18" s="32" t="s">
        <v>188</v>
      </c>
      <c r="Z18" s="32" t="s">
        <v>188</v>
      </c>
      <c r="AA18" s="32" t="s">
        <v>188</v>
      </c>
      <c r="AB18" s="24" t="s">
        <v>153</v>
      </c>
      <c r="AC18" s="23" t="s">
        <v>153</v>
      </c>
      <c r="AD18" s="23" t="s">
        <v>153</v>
      </c>
      <c r="AE18" s="23" t="s">
        <v>153</v>
      </c>
      <c r="AF18" s="23" t="s">
        <v>153</v>
      </c>
      <c r="AG18" s="23" t="s">
        <v>153</v>
      </c>
      <c r="AH18" s="23" t="s">
        <v>153</v>
      </c>
      <c r="AI18" s="24" t="s">
        <v>153</v>
      </c>
      <c r="AJ18" s="23" t="s">
        <v>153</v>
      </c>
      <c r="AK18" s="23" t="s">
        <v>153</v>
      </c>
      <c r="AL18" s="23" t="s">
        <v>153</v>
      </c>
      <c r="AM18" s="23" t="s">
        <v>153</v>
      </c>
      <c r="AN18" s="23" t="s">
        <v>153</v>
      </c>
      <c r="AO18" s="24" t="s">
        <v>156</v>
      </c>
      <c r="AP18" s="23">
        <f>VALUE(0)</f>
        <v>0</v>
      </c>
      <c r="AQ18" s="23">
        <f>VALUE(1)</f>
        <v>1</v>
      </c>
      <c r="AR18" s="23">
        <f>VALUE(0)</f>
        <v>0</v>
      </c>
      <c r="AS18" s="23">
        <f>VALUE(0)</f>
        <v>0</v>
      </c>
      <c r="AT18" s="23">
        <f>VALUE(0)</f>
        <v>0</v>
      </c>
      <c r="AU18" s="23">
        <f>VALUE(0)</f>
        <v>0</v>
      </c>
      <c r="AV18" s="23">
        <f>VALUE(10)</f>
        <v>10</v>
      </c>
      <c r="AW18" s="23">
        <f>VALUE(3)</f>
        <v>3</v>
      </c>
      <c r="AX18" s="23" t="s">
        <v>189</v>
      </c>
      <c r="AY18" s="23">
        <f>VALUE(0)</f>
        <v>0</v>
      </c>
      <c r="AZ18" s="23">
        <f>VALUE(12)</f>
        <v>12</v>
      </c>
      <c r="BA18" s="23">
        <f>VALUE(0)</f>
        <v>0</v>
      </c>
      <c r="BB18" s="23">
        <f>VALUE(0)</f>
        <v>0</v>
      </c>
      <c r="BC18" s="23">
        <f>VALUE(0)</f>
        <v>0</v>
      </c>
      <c r="BD18" s="23">
        <f>VALUE(0)</f>
        <v>0</v>
      </c>
      <c r="BE18" s="23">
        <f>VALUE(0)</f>
        <v>0</v>
      </c>
      <c r="BF18" s="23">
        <f>VALUE(0)</f>
        <v>0</v>
      </c>
      <c r="BG18" s="23">
        <f>VALUE(0)</f>
        <v>0</v>
      </c>
      <c r="BH18" s="23">
        <f>VALUE(0)</f>
        <v>0</v>
      </c>
      <c r="BI18" s="23">
        <f>VALUE(0)</f>
        <v>0</v>
      </c>
      <c r="BJ18" s="23">
        <f>VALUE(0)</f>
        <v>0</v>
      </c>
      <c r="BK18" s="12">
        <f>$AX$18*24</f>
        <v>11.766666666666667</v>
      </c>
      <c r="BL18" s="12">
        <f>$AY$18*24</f>
        <v>0</v>
      </c>
      <c r="BM18" s="12">
        <f>$BJ$18*24</f>
        <v>0</v>
      </c>
      <c r="BN18" s="12">
        <f>VALUE($I$18)/100</f>
        <v>1</v>
      </c>
      <c r="BO18" s="12">
        <v>0</v>
      </c>
      <c r="BP18" s="12">
        <v>0</v>
      </c>
      <c r="BQ18" s="12">
        <v>0</v>
      </c>
      <c r="BR18" s="12">
        <v>0</v>
      </c>
      <c r="BS18" s="12">
        <v>0</v>
      </c>
      <c r="BT18" s="12">
        <v>0</v>
      </c>
      <c r="BU18" s="12">
        <v>0</v>
      </c>
      <c r="BV18" s="12">
        <v>0</v>
      </c>
      <c r="BW18" s="12">
        <v>0</v>
      </c>
      <c r="BX18" s="12">
        <v>0</v>
      </c>
      <c r="BY18" s="12">
        <v>0</v>
      </c>
      <c r="BZ18" s="12">
        <v>0</v>
      </c>
      <c r="CA18" s="12">
        <v>0</v>
      </c>
    </row>
    <row r="19" spans="1:79" hidden="1" x14ac:dyDescent="0.2">
      <c r="A19" s="12" t="s">
        <v>102</v>
      </c>
      <c r="B19" s="12" t="s">
        <v>104</v>
      </c>
      <c r="C19" s="12" t="s">
        <v>104</v>
      </c>
      <c r="D19" s="22" t="s">
        <v>186</v>
      </c>
      <c r="E19" s="22" t="s">
        <v>161</v>
      </c>
      <c r="F19" s="22" t="s">
        <v>609</v>
      </c>
      <c r="G19" s="22" t="s">
        <v>610</v>
      </c>
      <c r="H19" s="22" t="s">
        <v>190</v>
      </c>
      <c r="I19" s="22" t="s">
        <v>151</v>
      </c>
      <c r="J19" s="22" t="s">
        <v>181</v>
      </c>
      <c r="K19" s="22" t="s">
        <v>65</v>
      </c>
      <c r="L19" s="54" t="s">
        <v>153</v>
      </c>
      <c r="M19" s="23" t="s">
        <v>153</v>
      </c>
      <c r="N19" s="24" t="s">
        <v>153</v>
      </c>
      <c r="O19" s="23" t="s">
        <v>153</v>
      </c>
      <c r="P19" s="23" t="s">
        <v>153</v>
      </c>
      <c r="Q19" s="23" t="s">
        <v>153</v>
      </c>
      <c r="R19" s="23" t="s">
        <v>153</v>
      </c>
      <c r="S19" s="23" t="s">
        <v>153</v>
      </c>
      <c r="T19" s="24" t="s">
        <v>156</v>
      </c>
      <c r="U19" s="24" t="s">
        <v>153</v>
      </c>
      <c r="V19" s="54" t="s">
        <v>153</v>
      </c>
      <c r="W19" s="23" t="s">
        <v>153</v>
      </c>
      <c r="X19" s="23" t="s">
        <v>153</v>
      </c>
      <c r="Y19" s="23" t="s">
        <v>153</v>
      </c>
      <c r="Z19" s="23" t="s">
        <v>153</v>
      </c>
      <c r="AA19" s="23" t="s">
        <v>153</v>
      </c>
      <c r="AB19" s="40" t="s">
        <v>153</v>
      </c>
      <c r="AC19" s="40" t="s">
        <v>153</v>
      </c>
      <c r="AD19" s="40" t="s">
        <v>153</v>
      </c>
      <c r="AE19" s="40" t="s">
        <v>153</v>
      </c>
      <c r="AF19" s="40" t="s">
        <v>153</v>
      </c>
      <c r="AG19" s="40" t="s">
        <v>153</v>
      </c>
      <c r="AH19" s="40" t="s">
        <v>153</v>
      </c>
      <c r="AI19" s="40" t="s">
        <v>153</v>
      </c>
      <c r="AJ19" s="40" t="s">
        <v>153</v>
      </c>
      <c r="AK19" s="40" t="s">
        <v>153</v>
      </c>
      <c r="AL19" s="40" t="s">
        <v>153</v>
      </c>
      <c r="AM19" s="40" t="s">
        <v>153</v>
      </c>
      <c r="AN19" s="40" t="s">
        <v>153</v>
      </c>
      <c r="AO19" s="40" t="s">
        <v>153</v>
      </c>
      <c r="AP19" s="23">
        <f>VALUE(0)</f>
        <v>0</v>
      </c>
      <c r="AQ19" s="23">
        <f>VALUE(0)</f>
        <v>0</v>
      </c>
      <c r="AR19" s="23">
        <f>VALUE(0)</f>
        <v>0</v>
      </c>
      <c r="AS19" s="23">
        <f>VALUE(0)</f>
        <v>0</v>
      </c>
      <c r="AT19" s="23">
        <f>VALUE(0)</f>
        <v>0</v>
      </c>
      <c r="AU19" s="23">
        <f>VALUE(0)</f>
        <v>0</v>
      </c>
      <c r="AV19" s="23">
        <f>VALUE(6)</f>
        <v>6</v>
      </c>
      <c r="AW19" s="23">
        <f>VALUE(0)</f>
        <v>0</v>
      </c>
      <c r="AX19" s="23" t="s">
        <v>1168</v>
      </c>
      <c r="AY19" s="23">
        <f>VALUE(0)</f>
        <v>0</v>
      </c>
      <c r="AZ19" s="23">
        <f>VALUE(0)</f>
        <v>0</v>
      </c>
      <c r="BA19" s="23">
        <f>VALUE(0)</f>
        <v>0</v>
      </c>
      <c r="BB19" s="23">
        <f>VALUE(0)</f>
        <v>0</v>
      </c>
      <c r="BC19" s="23">
        <f>VALUE(0)</f>
        <v>0</v>
      </c>
      <c r="BD19" s="23">
        <f>VALUE(0)</f>
        <v>0</v>
      </c>
      <c r="BE19" s="23">
        <f>VALUE(0)</f>
        <v>0</v>
      </c>
      <c r="BF19" s="23">
        <f>VALUE(0)</f>
        <v>0</v>
      </c>
      <c r="BG19" s="23">
        <f>VALUE(0)</f>
        <v>0</v>
      </c>
      <c r="BH19" s="23">
        <f>VALUE(0)</f>
        <v>0</v>
      </c>
      <c r="BI19" s="23">
        <f>VALUE(0)</f>
        <v>0</v>
      </c>
      <c r="BJ19" s="23">
        <f>VALUE(0)</f>
        <v>0</v>
      </c>
      <c r="BK19" s="12">
        <f>$AX$19*24</f>
        <v>18.75</v>
      </c>
      <c r="BL19" s="12">
        <f>$AY$19*24</f>
        <v>0</v>
      </c>
      <c r="BM19" s="12">
        <f>$BJ$19*24</f>
        <v>0</v>
      </c>
      <c r="BN19" s="12">
        <f>VALUE($I$19)/100</f>
        <v>1</v>
      </c>
      <c r="BO19" s="12">
        <v>0</v>
      </c>
      <c r="BP19" s="12">
        <v>0</v>
      </c>
      <c r="BQ19" s="12">
        <v>0</v>
      </c>
      <c r="BR19" s="12">
        <v>0</v>
      </c>
      <c r="BS19" s="12">
        <v>0</v>
      </c>
      <c r="BT19" s="12">
        <v>0</v>
      </c>
      <c r="BU19" s="12">
        <v>0</v>
      </c>
      <c r="BV19" s="12">
        <v>0</v>
      </c>
      <c r="BW19" s="12">
        <v>0</v>
      </c>
      <c r="BX19" s="12">
        <v>0</v>
      </c>
      <c r="BY19" s="12">
        <v>0</v>
      </c>
      <c r="BZ19" s="12">
        <v>0</v>
      </c>
      <c r="CA19" s="12">
        <v>0</v>
      </c>
    </row>
    <row r="20" spans="1:79" hidden="1" x14ac:dyDescent="0.2">
      <c r="A20" s="12" t="s">
        <v>102</v>
      </c>
      <c r="B20" s="12" t="s">
        <v>104</v>
      </c>
      <c r="C20" s="12" t="s">
        <v>104</v>
      </c>
      <c r="D20" s="22" t="s">
        <v>192</v>
      </c>
      <c r="E20" s="22" t="s">
        <v>173</v>
      </c>
      <c r="F20" s="22" t="s">
        <v>611</v>
      </c>
      <c r="G20" s="22" t="s">
        <v>612</v>
      </c>
      <c r="H20" s="22" t="s">
        <v>166</v>
      </c>
      <c r="I20" s="22" t="s">
        <v>151</v>
      </c>
      <c r="J20" s="22" t="s">
        <v>181</v>
      </c>
      <c r="K20" s="22" t="s">
        <v>65</v>
      </c>
      <c r="L20" s="54" t="s">
        <v>153</v>
      </c>
      <c r="M20" s="28" t="s">
        <v>163</v>
      </c>
      <c r="N20" s="24" t="s">
        <v>153</v>
      </c>
      <c r="O20" s="23" t="s">
        <v>153</v>
      </c>
      <c r="P20" s="23" t="s">
        <v>153</v>
      </c>
      <c r="Q20" s="23" t="s">
        <v>153</v>
      </c>
      <c r="R20" s="23" t="s">
        <v>153</v>
      </c>
      <c r="S20" s="23" t="s">
        <v>153</v>
      </c>
      <c r="T20" s="24" t="s">
        <v>156</v>
      </c>
      <c r="U20" s="24" t="s">
        <v>153</v>
      </c>
      <c r="V20" s="54" t="s">
        <v>153</v>
      </c>
      <c r="W20" s="23" t="s">
        <v>153</v>
      </c>
      <c r="X20" s="23" t="s">
        <v>153</v>
      </c>
      <c r="Y20" s="23" t="s">
        <v>153</v>
      </c>
      <c r="Z20" s="23" t="s">
        <v>153</v>
      </c>
      <c r="AA20" s="24" t="s">
        <v>156</v>
      </c>
      <c r="AB20" s="24" t="s">
        <v>153</v>
      </c>
      <c r="AC20" s="23" t="s">
        <v>153</v>
      </c>
      <c r="AD20" s="23" t="s">
        <v>153</v>
      </c>
      <c r="AE20" s="23" t="s">
        <v>153</v>
      </c>
      <c r="AF20" s="23" t="s">
        <v>153</v>
      </c>
      <c r="AG20" s="23" t="s">
        <v>153</v>
      </c>
      <c r="AH20" s="24" t="s">
        <v>156</v>
      </c>
      <c r="AI20" s="24" t="s">
        <v>153</v>
      </c>
      <c r="AJ20" s="23" t="s">
        <v>153</v>
      </c>
      <c r="AK20" s="23" t="s">
        <v>153</v>
      </c>
      <c r="AL20" s="23" t="s">
        <v>153</v>
      </c>
      <c r="AM20" s="23" t="s">
        <v>153</v>
      </c>
      <c r="AN20" s="23" t="s">
        <v>153</v>
      </c>
      <c r="AO20" s="24" t="s">
        <v>156</v>
      </c>
      <c r="AP20" s="23">
        <f>VALUE(0)</f>
        <v>0</v>
      </c>
      <c r="AQ20" s="23">
        <f>VALUE(0)</f>
        <v>0</v>
      </c>
      <c r="AR20" s="23">
        <f>VALUE(0)</f>
        <v>0</v>
      </c>
      <c r="AS20" s="23">
        <f>VALUE(0)</f>
        <v>0</v>
      </c>
      <c r="AT20" s="23">
        <f>VALUE(0)</f>
        <v>0</v>
      </c>
      <c r="AU20" s="23">
        <f>VALUE(1)</f>
        <v>1</v>
      </c>
      <c r="AV20" s="23">
        <f>VALUE(2.5)</f>
        <v>2.5</v>
      </c>
      <c r="AW20" s="23">
        <f>VALUE(0)</f>
        <v>0</v>
      </c>
      <c r="AX20" s="23" t="s">
        <v>193</v>
      </c>
      <c r="AY20" s="23">
        <f>VALUE(0)</f>
        <v>0</v>
      </c>
      <c r="AZ20" s="23">
        <f>VALUE(0)</f>
        <v>0</v>
      </c>
      <c r="BA20" s="23">
        <f>VALUE(0)</f>
        <v>0</v>
      </c>
      <c r="BB20" s="23">
        <f>VALUE(0)</f>
        <v>0</v>
      </c>
      <c r="BC20" s="23">
        <f>VALUE(0)</f>
        <v>0</v>
      </c>
      <c r="BD20" s="23">
        <f>VALUE(0)</f>
        <v>0</v>
      </c>
      <c r="BE20" s="23">
        <f>VALUE(0)</f>
        <v>0</v>
      </c>
      <c r="BF20" s="23">
        <f>VALUE(0)</f>
        <v>0</v>
      </c>
      <c r="BG20" s="23">
        <f>VALUE(0)</f>
        <v>0</v>
      </c>
      <c r="BH20" s="23">
        <f>VALUE(0)</f>
        <v>0</v>
      </c>
      <c r="BI20" s="23">
        <f>VALUE(0)</f>
        <v>0</v>
      </c>
      <c r="BJ20" s="23">
        <f>VALUE(0)</f>
        <v>0</v>
      </c>
      <c r="BK20" s="12">
        <f>$AX$20*24</f>
        <v>5.0333333333333332</v>
      </c>
      <c r="BL20" s="12">
        <f>$AY$20*24</f>
        <v>0</v>
      </c>
      <c r="BM20" s="12">
        <f>$BJ$20*24</f>
        <v>0</v>
      </c>
      <c r="BN20" s="12">
        <f>VALUE($I$20)/100</f>
        <v>1</v>
      </c>
      <c r="BO20" s="12">
        <v>0</v>
      </c>
      <c r="BP20" s="12">
        <v>0</v>
      </c>
      <c r="BQ20" s="12">
        <v>0</v>
      </c>
      <c r="BR20" s="12">
        <v>0</v>
      </c>
      <c r="BS20" s="12">
        <v>0</v>
      </c>
      <c r="BT20" s="12">
        <v>0</v>
      </c>
      <c r="BU20" s="12">
        <v>0</v>
      </c>
      <c r="BV20" s="12">
        <v>0</v>
      </c>
      <c r="BW20" s="12">
        <v>0</v>
      </c>
      <c r="BX20" s="12">
        <v>0</v>
      </c>
      <c r="BY20" s="12">
        <v>0</v>
      </c>
      <c r="BZ20" s="12">
        <v>0</v>
      </c>
      <c r="CA20" s="12">
        <v>0</v>
      </c>
    </row>
    <row r="21" spans="1:79" hidden="1" x14ac:dyDescent="0.2">
      <c r="A21" s="12" t="s">
        <v>102</v>
      </c>
      <c r="B21" s="12" t="s">
        <v>104</v>
      </c>
      <c r="C21" s="12" t="s">
        <v>104</v>
      </c>
      <c r="D21" s="22" t="s">
        <v>183</v>
      </c>
      <c r="E21" s="22" t="s">
        <v>161</v>
      </c>
      <c r="F21" s="22" t="s">
        <v>613</v>
      </c>
      <c r="G21" s="22" t="s">
        <v>614</v>
      </c>
      <c r="H21" s="22" t="s">
        <v>166</v>
      </c>
      <c r="I21" s="22" t="s">
        <v>194</v>
      </c>
      <c r="J21" s="22" t="s">
        <v>181</v>
      </c>
      <c r="K21" s="22" t="s">
        <v>65</v>
      </c>
      <c r="L21" s="54" t="s">
        <v>153</v>
      </c>
      <c r="M21" s="24" t="s">
        <v>156</v>
      </c>
      <c r="N21" s="24" t="s">
        <v>153</v>
      </c>
      <c r="O21" s="23" t="s">
        <v>153</v>
      </c>
      <c r="P21" s="23" t="s">
        <v>153</v>
      </c>
      <c r="Q21" s="23" t="s">
        <v>153</v>
      </c>
      <c r="R21" s="23" t="s">
        <v>153</v>
      </c>
      <c r="S21" s="23" t="s">
        <v>153</v>
      </c>
      <c r="T21" s="23" t="s">
        <v>153</v>
      </c>
      <c r="U21" s="24" t="s">
        <v>153</v>
      </c>
      <c r="V21" s="54" t="s">
        <v>153</v>
      </c>
      <c r="W21" s="24" t="s">
        <v>195</v>
      </c>
      <c r="X21" s="24" t="s">
        <v>195</v>
      </c>
      <c r="Y21" s="24" t="s">
        <v>195</v>
      </c>
      <c r="Z21" s="24" t="s">
        <v>195</v>
      </c>
      <c r="AA21" s="24" t="s">
        <v>195</v>
      </c>
      <c r="AB21" s="24" t="s">
        <v>153</v>
      </c>
      <c r="AC21" s="23" t="s">
        <v>153</v>
      </c>
      <c r="AD21" s="23" t="s">
        <v>153</v>
      </c>
      <c r="AE21" s="23" t="s">
        <v>153</v>
      </c>
      <c r="AF21" s="23" t="s">
        <v>153</v>
      </c>
      <c r="AG21" s="23" t="s">
        <v>153</v>
      </c>
      <c r="AH21" s="23" t="s">
        <v>153</v>
      </c>
      <c r="AI21" s="24" t="s">
        <v>153</v>
      </c>
      <c r="AJ21" s="23" t="s">
        <v>153</v>
      </c>
      <c r="AK21" s="23" t="s">
        <v>153</v>
      </c>
      <c r="AL21" s="23" t="s">
        <v>153</v>
      </c>
      <c r="AM21" s="23" t="s">
        <v>153</v>
      </c>
      <c r="AN21" s="23" t="s">
        <v>153</v>
      </c>
      <c r="AO21" s="24" t="s">
        <v>156</v>
      </c>
      <c r="AP21" s="23">
        <f>VALUE(0)</f>
        <v>0</v>
      </c>
      <c r="AQ21" s="23">
        <f>VALUE(0)</f>
        <v>0</v>
      </c>
      <c r="AR21" s="23">
        <f>VALUE(0)</f>
        <v>0</v>
      </c>
      <c r="AS21" s="23">
        <f>VALUE(0)</f>
        <v>0</v>
      </c>
      <c r="AT21" s="23">
        <f>VALUE(0)</f>
        <v>0</v>
      </c>
      <c r="AU21" s="23">
        <f>VALUE(0)</f>
        <v>0</v>
      </c>
      <c r="AV21" s="23">
        <f>VALUE(2)</f>
        <v>2</v>
      </c>
      <c r="AW21" s="23">
        <f>VALUE(0)</f>
        <v>0</v>
      </c>
      <c r="AX21" s="23" t="s">
        <v>1169</v>
      </c>
      <c r="AY21" s="23">
        <f>VALUE(0)</f>
        <v>0</v>
      </c>
      <c r="AZ21" s="23">
        <f>VALUE(0)</f>
        <v>0</v>
      </c>
      <c r="BA21" s="23">
        <f>VALUE(0)</f>
        <v>0</v>
      </c>
      <c r="BB21" s="23">
        <f>VALUE(0)</f>
        <v>0</v>
      </c>
      <c r="BC21" s="23">
        <f>VALUE(0)</f>
        <v>0</v>
      </c>
      <c r="BD21" s="23">
        <f>VALUE(0)</f>
        <v>0</v>
      </c>
      <c r="BE21" s="23">
        <f>VALUE(0)</f>
        <v>0</v>
      </c>
      <c r="BF21" s="23">
        <f>VALUE(0)</f>
        <v>0</v>
      </c>
      <c r="BG21" s="23">
        <f>VALUE(0)</f>
        <v>0</v>
      </c>
      <c r="BH21" s="23">
        <f>VALUE(0)</f>
        <v>0</v>
      </c>
      <c r="BI21" s="23">
        <f>VALUE(0)</f>
        <v>0</v>
      </c>
      <c r="BJ21" s="23">
        <f>VALUE(0)</f>
        <v>0</v>
      </c>
      <c r="BK21" s="12">
        <f>$AX$21*24</f>
        <v>17.7</v>
      </c>
      <c r="BL21" s="12">
        <f>$AY$21*24</f>
        <v>0</v>
      </c>
      <c r="BM21" s="12">
        <f>$BJ$21*24</f>
        <v>0</v>
      </c>
      <c r="BN21" s="12">
        <f>VALUE($I$21)/100</f>
        <v>0.8</v>
      </c>
      <c r="BO21" s="12">
        <v>0</v>
      </c>
      <c r="BP21" s="12">
        <v>0</v>
      </c>
      <c r="BQ21" s="12">
        <v>0</v>
      </c>
      <c r="BR21" s="12">
        <v>0</v>
      </c>
      <c r="BS21" s="12">
        <v>0</v>
      </c>
      <c r="BT21" s="12">
        <v>0</v>
      </c>
      <c r="BU21" s="12">
        <v>0</v>
      </c>
      <c r="BV21" s="12">
        <v>0</v>
      </c>
      <c r="BW21" s="12">
        <v>0</v>
      </c>
      <c r="BX21" s="12">
        <v>0</v>
      </c>
      <c r="BY21" s="12">
        <v>0</v>
      </c>
      <c r="BZ21" s="12">
        <v>0</v>
      </c>
      <c r="CA21" s="12">
        <v>0</v>
      </c>
    </row>
    <row r="22" spans="1:79" hidden="1" x14ac:dyDescent="0.2">
      <c r="A22" s="12" t="s">
        <v>102</v>
      </c>
      <c r="B22" s="12" t="s">
        <v>104</v>
      </c>
      <c r="C22" s="12" t="s">
        <v>104</v>
      </c>
      <c r="D22" s="22" t="s">
        <v>184</v>
      </c>
      <c r="E22" s="22" t="s">
        <v>161</v>
      </c>
      <c r="F22" s="22" t="s">
        <v>615</v>
      </c>
      <c r="G22" s="22" t="s">
        <v>616</v>
      </c>
      <c r="H22" s="22" t="s">
        <v>150</v>
      </c>
      <c r="I22" s="22" t="s">
        <v>151</v>
      </c>
      <c r="J22" s="22" t="s">
        <v>181</v>
      </c>
      <c r="K22" s="22" t="s">
        <v>65</v>
      </c>
      <c r="L22" s="54" t="s">
        <v>153</v>
      </c>
      <c r="M22" s="24" t="s">
        <v>156</v>
      </c>
      <c r="N22" s="24" t="s">
        <v>153</v>
      </c>
      <c r="O22" s="23" t="s">
        <v>153</v>
      </c>
      <c r="P22" s="23" t="s">
        <v>153</v>
      </c>
      <c r="Q22" s="23" t="s">
        <v>153</v>
      </c>
      <c r="R22" s="23" t="s">
        <v>153</v>
      </c>
      <c r="S22" s="23" t="s">
        <v>153</v>
      </c>
      <c r="T22" s="23" t="s">
        <v>153</v>
      </c>
      <c r="U22" s="24" t="s">
        <v>153</v>
      </c>
      <c r="V22" s="54" t="s">
        <v>153</v>
      </c>
      <c r="W22" s="23" t="s">
        <v>153</v>
      </c>
      <c r="X22" s="23" t="s">
        <v>153</v>
      </c>
      <c r="Y22" s="23" t="s">
        <v>153</v>
      </c>
      <c r="Z22" s="23" t="s">
        <v>153</v>
      </c>
      <c r="AA22" s="24" t="s">
        <v>156</v>
      </c>
      <c r="AB22" s="24" t="s">
        <v>153</v>
      </c>
      <c r="AC22" s="28" t="s">
        <v>163</v>
      </c>
      <c r="AD22" s="28" t="s">
        <v>163</v>
      </c>
      <c r="AE22" s="28" t="s">
        <v>163</v>
      </c>
      <c r="AF22" s="23" t="s">
        <v>153</v>
      </c>
      <c r="AG22" s="23" t="s">
        <v>153</v>
      </c>
      <c r="AH22" s="23" t="s">
        <v>153</v>
      </c>
      <c r="AI22" s="24" t="s">
        <v>153</v>
      </c>
      <c r="AJ22" s="23" t="s">
        <v>153</v>
      </c>
      <c r="AK22" s="23" t="s">
        <v>153</v>
      </c>
      <c r="AL22" s="23" t="s">
        <v>153</v>
      </c>
      <c r="AM22" s="23" t="s">
        <v>153</v>
      </c>
      <c r="AN22" s="23" t="s">
        <v>153</v>
      </c>
      <c r="AO22" s="24" t="s">
        <v>156</v>
      </c>
      <c r="AP22" s="23">
        <f>VALUE(0)</f>
        <v>0</v>
      </c>
      <c r="AQ22" s="23">
        <f>VALUE(0)</f>
        <v>0</v>
      </c>
      <c r="AR22" s="23">
        <f>VALUE(0)</f>
        <v>0</v>
      </c>
      <c r="AS22" s="23">
        <f>VALUE(0)</f>
        <v>0</v>
      </c>
      <c r="AT22" s="23">
        <f>VALUE(0)</f>
        <v>0</v>
      </c>
      <c r="AU22" s="23">
        <f>VALUE(3)</f>
        <v>3</v>
      </c>
      <c r="AV22" s="23">
        <f>VALUE(2)</f>
        <v>2</v>
      </c>
      <c r="AW22" s="23">
        <f>VALUE(0)</f>
        <v>0</v>
      </c>
      <c r="AX22" s="23" t="s">
        <v>171</v>
      </c>
      <c r="AY22" s="23" t="s">
        <v>196</v>
      </c>
      <c r="AZ22" s="23">
        <f>VALUE(0)</f>
        <v>0</v>
      </c>
      <c r="BA22" s="23">
        <f>VALUE(0)</f>
        <v>0</v>
      </c>
      <c r="BB22" s="23">
        <f>VALUE(0)</f>
        <v>0</v>
      </c>
      <c r="BC22" s="23">
        <f>VALUE(0)</f>
        <v>0</v>
      </c>
      <c r="BD22" s="23">
        <f>VALUE(0)</f>
        <v>0</v>
      </c>
      <c r="BE22" s="23">
        <f>VALUE(0)</f>
        <v>0</v>
      </c>
      <c r="BF22" s="23">
        <f>VALUE(0)</f>
        <v>0</v>
      </c>
      <c r="BG22" s="23">
        <f>VALUE(0)</f>
        <v>0</v>
      </c>
      <c r="BH22" s="23">
        <f>VALUE(0)</f>
        <v>0</v>
      </c>
      <c r="BI22" s="23">
        <f>VALUE(0)</f>
        <v>0</v>
      </c>
      <c r="BJ22" s="23">
        <f>VALUE(0)</f>
        <v>0</v>
      </c>
      <c r="BK22" s="12">
        <f>$AX$22*24</f>
        <v>5.833333333333333</v>
      </c>
      <c r="BL22" s="12">
        <f>$AY$22*24</f>
        <v>8.1</v>
      </c>
      <c r="BM22" s="12">
        <f>$BJ$22*24</f>
        <v>0</v>
      </c>
      <c r="BN22" s="12">
        <f>VALUE($I$22)/100</f>
        <v>1</v>
      </c>
      <c r="BO22" s="12">
        <v>0</v>
      </c>
      <c r="BP22" s="12">
        <v>0</v>
      </c>
      <c r="BQ22" s="12">
        <v>0</v>
      </c>
      <c r="BR22" s="12">
        <v>0</v>
      </c>
      <c r="BS22" s="12">
        <v>0</v>
      </c>
      <c r="BT22" s="12">
        <v>0</v>
      </c>
      <c r="BU22" s="12">
        <v>0</v>
      </c>
      <c r="BV22" s="12">
        <v>0</v>
      </c>
      <c r="BW22" s="12">
        <v>0</v>
      </c>
      <c r="BX22" s="12">
        <v>0</v>
      </c>
      <c r="BY22" s="12">
        <v>0</v>
      </c>
      <c r="BZ22" s="12">
        <v>0</v>
      </c>
      <c r="CA22" s="12">
        <v>0</v>
      </c>
    </row>
    <row r="23" spans="1:79" hidden="1" x14ac:dyDescent="0.2">
      <c r="A23" s="12" t="s">
        <v>102</v>
      </c>
      <c r="B23" s="12" t="s">
        <v>104</v>
      </c>
      <c r="C23" s="12" t="s">
        <v>104</v>
      </c>
      <c r="D23" s="22" t="s">
        <v>182</v>
      </c>
      <c r="E23" s="22" t="s">
        <v>161</v>
      </c>
      <c r="F23" s="22" t="s">
        <v>617</v>
      </c>
      <c r="G23" s="22" t="s">
        <v>618</v>
      </c>
      <c r="H23" s="22" t="s">
        <v>166</v>
      </c>
      <c r="I23" s="22" t="s">
        <v>151</v>
      </c>
      <c r="J23" s="22" t="s">
        <v>181</v>
      </c>
      <c r="K23" s="22" t="s">
        <v>65</v>
      </c>
      <c r="L23" s="54" t="s">
        <v>153</v>
      </c>
      <c r="M23" s="23" t="s">
        <v>153</v>
      </c>
      <c r="N23" s="24" t="s">
        <v>153</v>
      </c>
      <c r="O23" s="23" t="s">
        <v>153</v>
      </c>
      <c r="P23" s="23" t="s">
        <v>153</v>
      </c>
      <c r="Q23" s="23" t="s">
        <v>153</v>
      </c>
      <c r="R23" s="23" t="s">
        <v>153</v>
      </c>
      <c r="S23" s="23" t="s">
        <v>153</v>
      </c>
      <c r="T23" s="24" t="s">
        <v>156</v>
      </c>
      <c r="U23" s="24" t="s">
        <v>153</v>
      </c>
      <c r="V23" s="54" t="s">
        <v>153</v>
      </c>
      <c r="W23" s="23" t="s">
        <v>153</v>
      </c>
      <c r="X23" s="23" t="s">
        <v>153</v>
      </c>
      <c r="Y23" s="23" t="s">
        <v>153</v>
      </c>
      <c r="Z23" s="23" t="s">
        <v>153</v>
      </c>
      <c r="AA23" s="23" t="s">
        <v>153</v>
      </c>
      <c r="AB23" s="24" t="s">
        <v>153</v>
      </c>
      <c r="AC23" s="23" t="s">
        <v>153</v>
      </c>
      <c r="AD23" s="23" t="s">
        <v>153</v>
      </c>
      <c r="AE23" s="23" t="s">
        <v>153</v>
      </c>
      <c r="AF23" s="23" t="s">
        <v>153</v>
      </c>
      <c r="AG23" s="23" t="s">
        <v>153</v>
      </c>
      <c r="AH23" s="24" t="s">
        <v>156</v>
      </c>
      <c r="AI23" s="24" t="s">
        <v>153</v>
      </c>
      <c r="AJ23" s="23" t="s">
        <v>153</v>
      </c>
      <c r="AK23" s="23" t="s">
        <v>153</v>
      </c>
      <c r="AL23" s="23" t="s">
        <v>153</v>
      </c>
      <c r="AM23" s="23" t="s">
        <v>153</v>
      </c>
      <c r="AN23" s="23" t="s">
        <v>153</v>
      </c>
      <c r="AO23" s="23" t="s">
        <v>153</v>
      </c>
      <c r="AP23" s="23">
        <f>VALUE(0)</f>
        <v>0</v>
      </c>
      <c r="AQ23" s="23">
        <f>VALUE(0)</f>
        <v>0</v>
      </c>
      <c r="AR23" s="23">
        <f>VALUE(0)</f>
        <v>0</v>
      </c>
      <c r="AS23" s="23">
        <f>VALUE(0)</f>
        <v>0</v>
      </c>
      <c r="AT23" s="23">
        <f>VALUE(0)</f>
        <v>0</v>
      </c>
      <c r="AU23" s="23">
        <f>VALUE(0)</f>
        <v>0</v>
      </c>
      <c r="AV23" s="23">
        <f>VALUE(2)</f>
        <v>2</v>
      </c>
      <c r="AW23" s="23">
        <f>VALUE(0)</f>
        <v>0</v>
      </c>
      <c r="AX23" s="23" t="s">
        <v>197</v>
      </c>
      <c r="AY23" s="23">
        <f>VALUE(0)</f>
        <v>0</v>
      </c>
      <c r="AZ23" s="23">
        <f>VALUE(0)</f>
        <v>0</v>
      </c>
      <c r="BA23" s="23">
        <f>VALUE(0)</f>
        <v>0</v>
      </c>
      <c r="BB23" s="23">
        <f>VALUE(0)</f>
        <v>0</v>
      </c>
      <c r="BC23" s="23">
        <f>VALUE(0)</f>
        <v>0</v>
      </c>
      <c r="BD23" s="23">
        <f>VALUE(0)</f>
        <v>0</v>
      </c>
      <c r="BE23" s="23">
        <f>VALUE(0)</f>
        <v>0</v>
      </c>
      <c r="BF23" s="23">
        <f>VALUE(0)</f>
        <v>0</v>
      </c>
      <c r="BG23" s="23">
        <f>VALUE(0)</f>
        <v>0</v>
      </c>
      <c r="BH23" s="23">
        <f>VALUE(0)</f>
        <v>0</v>
      </c>
      <c r="BI23" s="23">
        <f>VALUE(0)</f>
        <v>0</v>
      </c>
      <c r="BJ23" s="23">
        <f>VALUE(0)</f>
        <v>0</v>
      </c>
      <c r="BK23" s="12">
        <f>$AX$23*24</f>
        <v>6.1333333333333346</v>
      </c>
      <c r="BL23" s="12">
        <f>$AY$23*24</f>
        <v>0</v>
      </c>
      <c r="BM23" s="12">
        <f>$BJ$23*24</f>
        <v>0</v>
      </c>
      <c r="BN23" s="12">
        <f>VALUE($I$23)/100</f>
        <v>1</v>
      </c>
      <c r="BO23" s="12">
        <v>0</v>
      </c>
      <c r="BP23" s="12">
        <v>0</v>
      </c>
      <c r="BQ23" s="12">
        <v>0</v>
      </c>
      <c r="BR23" s="12">
        <v>0</v>
      </c>
      <c r="BS23" s="12">
        <v>0</v>
      </c>
      <c r="BT23" s="12">
        <v>0</v>
      </c>
      <c r="BU23" s="12">
        <v>0</v>
      </c>
      <c r="BV23" s="12">
        <v>0</v>
      </c>
      <c r="BW23" s="12">
        <v>0</v>
      </c>
      <c r="BX23" s="12">
        <v>0</v>
      </c>
      <c r="BY23" s="12">
        <v>0</v>
      </c>
      <c r="BZ23" s="12">
        <v>0</v>
      </c>
      <c r="CA23" s="12">
        <v>0</v>
      </c>
    </row>
    <row r="24" spans="1:79" hidden="1" x14ac:dyDescent="0.2">
      <c r="A24" s="12" t="s">
        <v>102</v>
      </c>
      <c r="B24" s="12" t="s">
        <v>104</v>
      </c>
      <c r="C24" s="12" t="s">
        <v>104</v>
      </c>
      <c r="D24" s="22" t="s">
        <v>185</v>
      </c>
      <c r="E24" s="22" t="s">
        <v>161</v>
      </c>
      <c r="F24" s="22" t="s">
        <v>619</v>
      </c>
      <c r="G24" s="22" t="s">
        <v>620</v>
      </c>
      <c r="H24" s="22" t="s">
        <v>166</v>
      </c>
      <c r="I24" s="22" t="s">
        <v>151</v>
      </c>
      <c r="J24" s="22" t="s">
        <v>181</v>
      </c>
      <c r="K24" s="22" t="s">
        <v>65</v>
      </c>
      <c r="L24" s="54" t="s">
        <v>153</v>
      </c>
      <c r="M24" s="23" t="s">
        <v>153</v>
      </c>
      <c r="N24" s="24" t="s">
        <v>153</v>
      </c>
      <c r="O24" s="23" t="s">
        <v>153</v>
      </c>
      <c r="P24" s="23" t="s">
        <v>153</v>
      </c>
      <c r="Q24" s="23" t="s">
        <v>153</v>
      </c>
      <c r="R24" s="23" t="s">
        <v>153</v>
      </c>
      <c r="S24" s="23" t="s">
        <v>153</v>
      </c>
      <c r="T24" s="24" t="s">
        <v>156</v>
      </c>
      <c r="U24" s="24" t="s">
        <v>153</v>
      </c>
      <c r="V24" s="54" t="s">
        <v>153</v>
      </c>
      <c r="W24" s="23" t="s">
        <v>153</v>
      </c>
      <c r="X24" s="23" t="s">
        <v>153</v>
      </c>
      <c r="Y24" s="23" t="s">
        <v>153</v>
      </c>
      <c r="Z24" s="23" t="s">
        <v>153</v>
      </c>
      <c r="AA24" s="23" t="s">
        <v>153</v>
      </c>
      <c r="AB24" s="24" t="s">
        <v>153</v>
      </c>
      <c r="AC24" s="23" t="s">
        <v>153</v>
      </c>
      <c r="AD24" s="23" t="s">
        <v>153</v>
      </c>
      <c r="AE24" s="23" t="s">
        <v>153</v>
      </c>
      <c r="AF24" s="23" t="s">
        <v>153</v>
      </c>
      <c r="AG24" s="23" t="s">
        <v>153</v>
      </c>
      <c r="AH24" s="24" t="s">
        <v>156</v>
      </c>
      <c r="AI24" s="24" t="s">
        <v>153</v>
      </c>
      <c r="AJ24" s="23" t="s">
        <v>153</v>
      </c>
      <c r="AK24" s="23" t="s">
        <v>153</v>
      </c>
      <c r="AL24" s="23" t="s">
        <v>153</v>
      </c>
      <c r="AM24" s="23" t="s">
        <v>153</v>
      </c>
      <c r="AN24" s="23" t="s">
        <v>153</v>
      </c>
      <c r="AO24" s="23" t="s">
        <v>153</v>
      </c>
      <c r="AP24" s="23">
        <f>VALUE(0)</f>
        <v>0</v>
      </c>
      <c r="AQ24" s="23">
        <f>VALUE(0)</f>
        <v>0</v>
      </c>
      <c r="AR24" s="23">
        <f>VALUE(0)</f>
        <v>0</v>
      </c>
      <c r="AS24" s="23">
        <f>VALUE(0)</f>
        <v>0</v>
      </c>
      <c r="AT24" s="23">
        <f>VALUE(0)</f>
        <v>0</v>
      </c>
      <c r="AU24" s="23">
        <f>VALUE(0)</f>
        <v>0</v>
      </c>
      <c r="AV24" s="23">
        <f>VALUE(2.5)</f>
        <v>2.5</v>
      </c>
      <c r="AW24" s="23">
        <f>VALUE(0)</f>
        <v>0</v>
      </c>
      <c r="AX24" s="23" t="s">
        <v>198</v>
      </c>
      <c r="AY24" s="23">
        <f>VALUE(0)</f>
        <v>0</v>
      </c>
      <c r="AZ24" s="23">
        <f>VALUE(0)</f>
        <v>0</v>
      </c>
      <c r="BA24" s="23">
        <f>VALUE(0)</f>
        <v>0</v>
      </c>
      <c r="BB24" s="23">
        <f>VALUE(0)</f>
        <v>0</v>
      </c>
      <c r="BC24" s="23">
        <f>VALUE(0)</f>
        <v>0</v>
      </c>
      <c r="BD24" s="23">
        <f>VALUE(0)</f>
        <v>0</v>
      </c>
      <c r="BE24" s="23">
        <f>VALUE(0)</f>
        <v>0</v>
      </c>
      <c r="BF24" s="23">
        <f>VALUE(0)</f>
        <v>0</v>
      </c>
      <c r="BG24" s="23">
        <f>VALUE(0)</f>
        <v>0</v>
      </c>
      <c r="BH24" s="23">
        <f>VALUE(0)</f>
        <v>0</v>
      </c>
      <c r="BI24" s="23">
        <f>VALUE(0)</f>
        <v>0</v>
      </c>
      <c r="BJ24" s="23">
        <f>VALUE(0)</f>
        <v>0</v>
      </c>
      <c r="BK24" s="12">
        <f>$AX$24*24</f>
        <v>4.4333333333333336</v>
      </c>
      <c r="BL24" s="12">
        <f>$AY$24*24</f>
        <v>0</v>
      </c>
      <c r="BM24" s="12">
        <f>$BJ$24*24</f>
        <v>0</v>
      </c>
      <c r="BN24" s="12">
        <f>VALUE($I$24)/100</f>
        <v>1</v>
      </c>
      <c r="BO24" s="12">
        <v>0</v>
      </c>
      <c r="BP24" s="12">
        <v>0</v>
      </c>
      <c r="BQ24" s="12">
        <v>0</v>
      </c>
      <c r="BR24" s="12">
        <v>0</v>
      </c>
      <c r="BS24" s="12">
        <v>0</v>
      </c>
      <c r="BT24" s="12">
        <v>0</v>
      </c>
      <c r="BU24" s="12">
        <v>0</v>
      </c>
      <c r="BV24" s="12">
        <v>0</v>
      </c>
      <c r="BW24" s="12">
        <v>0</v>
      </c>
      <c r="BX24" s="12">
        <v>0</v>
      </c>
      <c r="BY24" s="12">
        <v>0</v>
      </c>
      <c r="BZ24" s="12">
        <v>0</v>
      </c>
      <c r="CA24" s="12">
        <v>0</v>
      </c>
    </row>
    <row r="25" spans="1:79" x14ac:dyDescent="0.2">
      <c r="A25" s="12" t="s">
        <v>102</v>
      </c>
      <c r="B25" s="12" t="s">
        <v>104</v>
      </c>
      <c r="C25" s="12" t="s">
        <v>104</v>
      </c>
      <c r="D25" s="22" t="s">
        <v>199</v>
      </c>
      <c r="E25" s="22" t="s">
        <v>161</v>
      </c>
      <c r="F25" s="22" t="s">
        <v>621</v>
      </c>
      <c r="G25" s="22" t="s">
        <v>622</v>
      </c>
      <c r="H25" s="22" t="s">
        <v>166</v>
      </c>
      <c r="I25" s="22" t="s">
        <v>151</v>
      </c>
      <c r="J25" s="22" t="s">
        <v>200</v>
      </c>
      <c r="K25" s="22" t="s">
        <v>65</v>
      </c>
      <c r="L25" s="54" t="s">
        <v>153</v>
      </c>
      <c r="M25" s="24" t="s">
        <v>156</v>
      </c>
      <c r="N25" s="24" t="s">
        <v>153</v>
      </c>
      <c r="O25" s="23" t="s">
        <v>153</v>
      </c>
      <c r="P25" s="23" t="s">
        <v>153</v>
      </c>
      <c r="Q25" s="23" t="s">
        <v>153</v>
      </c>
      <c r="R25" s="23" t="s">
        <v>153</v>
      </c>
      <c r="S25" s="23" t="s">
        <v>153</v>
      </c>
      <c r="T25" s="24" t="s">
        <v>156</v>
      </c>
      <c r="U25" s="24" t="s">
        <v>153</v>
      </c>
      <c r="V25" s="54" t="s">
        <v>153</v>
      </c>
      <c r="W25" s="23" t="s">
        <v>153</v>
      </c>
      <c r="X25" s="29" t="s">
        <v>218</v>
      </c>
      <c r="Y25" s="29" t="s">
        <v>218</v>
      </c>
      <c r="Z25" s="23" t="s">
        <v>153</v>
      </c>
      <c r="AA25" s="24" t="s">
        <v>156</v>
      </c>
      <c r="AB25" s="24" t="s">
        <v>153</v>
      </c>
      <c r="AC25" s="23" t="s">
        <v>153</v>
      </c>
      <c r="AD25" s="23" t="s">
        <v>153</v>
      </c>
      <c r="AE25" s="23" t="s">
        <v>153</v>
      </c>
      <c r="AF25" s="23" t="s">
        <v>153</v>
      </c>
      <c r="AG25" s="23" t="s">
        <v>153</v>
      </c>
      <c r="AH25" s="24" t="s">
        <v>156</v>
      </c>
      <c r="AI25" s="24" t="s">
        <v>153</v>
      </c>
      <c r="AJ25" s="23" t="s">
        <v>153</v>
      </c>
      <c r="AK25" s="23" t="s">
        <v>153</v>
      </c>
      <c r="AL25" s="23" t="s">
        <v>153</v>
      </c>
      <c r="AM25" s="23" t="s">
        <v>153</v>
      </c>
      <c r="AN25" s="23" t="s">
        <v>153</v>
      </c>
      <c r="AO25" s="24" t="s">
        <v>156</v>
      </c>
      <c r="AP25" s="23">
        <f>VALUE(0)</f>
        <v>0</v>
      </c>
      <c r="AQ25" s="23">
        <f>VALUE(1)</f>
        <v>1</v>
      </c>
      <c r="AR25" s="23">
        <f>VALUE(2)</f>
        <v>2</v>
      </c>
      <c r="AS25" s="23">
        <f>VALUE(0)</f>
        <v>0</v>
      </c>
      <c r="AT25" s="23">
        <f>VALUE(0)</f>
        <v>0</v>
      </c>
      <c r="AU25" s="23">
        <f>VALUE(0)</f>
        <v>0</v>
      </c>
      <c r="AV25" s="23">
        <f>VALUE(8.5)</f>
        <v>8.5</v>
      </c>
      <c r="AW25" s="23">
        <f>VALUE(0)</f>
        <v>0</v>
      </c>
      <c r="AX25" s="23" t="s">
        <v>176</v>
      </c>
      <c r="AY25" s="23">
        <f>VALUE(0)</f>
        <v>0</v>
      </c>
      <c r="AZ25" s="23">
        <f>VALUE(0)</f>
        <v>0</v>
      </c>
      <c r="BA25" s="23">
        <f>VALUE(0)</f>
        <v>0</v>
      </c>
      <c r="BB25" s="23">
        <f>VALUE(0)</f>
        <v>0</v>
      </c>
      <c r="BC25" s="23">
        <f>VALUE(0)</f>
        <v>0</v>
      </c>
      <c r="BD25" s="23">
        <f>VALUE(0)</f>
        <v>0</v>
      </c>
      <c r="BE25" s="23">
        <f>VALUE(0)</f>
        <v>0</v>
      </c>
      <c r="BF25" s="23">
        <f>VALUE(0)</f>
        <v>0</v>
      </c>
      <c r="BG25" s="23">
        <f>VALUE(0)</f>
        <v>0</v>
      </c>
      <c r="BH25" s="23">
        <f>VALUE(0)</f>
        <v>0</v>
      </c>
      <c r="BI25" s="23">
        <f>VALUE(0)</f>
        <v>0</v>
      </c>
      <c r="BJ25" s="23">
        <f>VALUE(0)</f>
        <v>0</v>
      </c>
      <c r="BK25" s="12">
        <f>$AX$25*24</f>
        <v>0</v>
      </c>
      <c r="BL25" s="12">
        <f>$AY$25*24</f>
        <v>0</v>
      </c>
      <c r="BM25" s="12">
        <f>$BJ$25*24</f>
        <v>0</v>
      </c>
      <c r="BN25" s="12">
        <f>VALUE($I$25)/100</f>
        <v>1</v>
      </c>
      <c r="BO25" s="12">
        <v>0</v>
      </c>
      <c r="BP25" s="12">
        <v>0</v>
      </c>
      <c r="BQ25" s="12">
        <v>0</v>
      </c>
      <c r="BR25" s="12">
        <v>0</v>
      </c>
      <c r="BS25" s="12">
        <v>2</v>
      </c>
      <c r="BT25" s="12">
        <v>0</v>
      </c>
      <c r="BU25" s="12">
        <v>0</v>
      </c>
      <c r="BV25" s="12">
        <v>0</v>
      </c>
      <c r="BW25" s="12">
        <v>0</v>
      </c>
      <c r="BX25" s="12">
        <v>0</v>
      </c>
      <c r="BY25" s="12">
        <v>0</v>
      </c>
      <c r="BZ25" s="12">
        <v>0</v>
      </c>
      <c r="CA25" s="12">
        <v>0</v>
      </c>
    </row>
    <row r="26" spans="1:79" ht="15" hidden="1" x14ac:dyDescent="0.25">
      <c r="A26" s="12" t="s">
        <v>102</v>
      </c>
      <c r="B26" s="12" t="s">
        <v>104</v>
      </c>
      <c r="C26" s="12" t="s">
        <v>104</v>
      </c>
      <c r="D26" s="31" t="s">
        <v>582</v>
      </c>
      <c r="E26" s="31" t="s">
        <v>153</v>
      </c>
      <c r="F26" s="31" t="s">
        <v>175</v>
      </c>
      <c r="G26" s="31" t="s">
        <v>153</v>
      </c>
      <c r="H26" s="31" t="s">
        <v>153</v>
      </c>
      <c r="I26" s="31" t="s">
        <v>153</v>
      </c>
      <c r="J26" s="31" t="s">
        <v>153</v>
      </c>
      <c r="K26" s="31" t="s">
        <v>153</v>
      </c>
      <c r="L26" s="31">
        <f>VALUE(0)</f>
        <v>0</v>
      </c>
      <c r="M26" s="31">
        <f>VALUE(3)</f>
        <v>3</v>
      </c>
      <c r="N26" s="31">
        <f>VALUE(0)</f>
        <v>0</v>
      </c>
      <c r="O26" s="31">
        <f>VALUE(9)</f>
        <v>9</v>
      </c>
      <c r="P26" s="31">
        <f>VALUE(9)</f>
        <v>9</v>
      </c>
      <c r="Q26" s="31">
        <f>VALUE(9)</f>
        <v>9</v>
      </c>
      <c r="R26" s="31">
        <f>VALUE(9)</f>
        <v>9</v>
      </c>
      <c r="S26" s="31">
        <f>VALUE(9)</f>
        <v>9</v>
      </c>
      <c r="T26" s="31">
        <f>VALUE(3)</f>
        <v>3</v>
      </c>
      <c r="U26" s="31">
        <f>VALUE(0)</f>
        <v>0</v>
      </c>
      <c r="V26" s="31">
        <f>VALUE(0)</f>
        <v>0</v>
      </c>
      <c r="W26" s="31">
        <f>VALUE(8)</f>
        <v>8</v>
      </c>
      <c r="X26" s="31">
        <f>VALUE(7)</f>
        <v>7</v>
      </c>
      <c r="Y26" s="31">
        <f>VALUE(7)</f>
        <v>7</v>
      </c>
      <c r="Z26" s="31">
        <f>VALUE(8)</f>
        <v>8</v>
      </c>
      <c r="AA26" s="31">
        <f>VALUE(4)</f>
        <v>4</v>
      </c>
      <c r="AB26" s="31">
        <f>VALUE(0)</f>
        <v>0</v>
      </c>
      <c r="AC26" s="31">
        <f>VALUE(8)</f>
        <v>8</v>
      </c>
      <c r="AD26" s="31">
        <f>VALUE(8)</f>
        <v>8</v>
      </c>
      <c r="AE26" s="31">
        <f>VALUE(8)</f>
        <v>8</v>
      </c>
      <c r="AF26" s="31">
        <f>VALUE(9)</f>
        <v>9</v>
      </c>
      <c r="AG26" s="31">
        <f>VALUE(9)</f>
        <v>9</v>
      </c>
      <c r="AH26" s="31">
        <f>VALUE(4)</f>
        <v>4</v>
      </c>
      <c r="AI26" s="31">
        <f>VALUE(0)</f>
        <v>0</v>
      </c>
      <c r="AJ26" s="31">
        <f>VALUE(9)</f>
        <v>9</v>
      </c>
      <c r="AK26" s="31">
        <f>VALUE(9)</f>
        <v>9</v>
      </c>
      <c r="AL26" s="31">
        <f>VALUE(9)</f>
        <v>9</v>
      </c>
      <c r="AM26" s="31">
        <f>VALUE(9)</f>
        <v>9</v>
      </c>
      <c r="AN26" s="31">
        <f>VALUE(9)</f>
        <v>9</v>
      </c>
      <c r="AO26" s="31">
        <f>VALUE(3)</f>
        <v>3</v>
      </c>
      <c r="AP26" s="31">
        <v>0</v>
      </c>
      <c r="AQ26" s="31">
        <v>0</v>
      </c>
      <c r="AR26" s="31">
        <v>0</v>
      </c>
      <c r="AS26" s="31">
        <v>0</v>
      </c>
      <c r="AT26" s="31">
        <v>0</v>
      </c>
      <c r="AU26" s="31">
        <v>0</v>
      </c>
      <c r="AV26" s="31">
        <v>0</v>
      </c>
      <c r="AW26" s="31">
        <v>0</v>
      </c>
      <c r="AX26" s="31">
        <v>0</v>
      </c>
      <c r="AY26" s="31">
        <v>0</v>
      </c>
      <c r="AZ26" s="31">
        <v>0</v>
      </c>
      <c r="BA26" s="31">
        <v>0</v>
      </c>
      <c r="BB26" s="31">
        <v>0</v>
      </c>
      <c r="BC26" s="31">
        <v>0</v>
      </c>
      <c r="BD26" s="31">
        <v>0</v>
      </c>
      <c r="BE26" s="31">
        <v>0</v>
      </c>
      <c r="BF26" s="31">
        <v>0</v>
      </c>
      <c r="BG26" s="31">
        <v>0</v>
      </c>
      <c r="BH26" s="31">
        <v>0</v>
      </c>
      <c r="BI26" s="31">
        <v>0</v>
      </c>
      <c r="BJ26" s="31">
        <v>0</v>
      </c>
      <c r="BK26" s="12">
        <v>0</v>
      </c>
      <c r="BL26" s="12">
        <v>0</v>
      </c>
      <c r="BM26" s="12">
        <v>0</v>
      </c>
      <c r="BN26" s="12"/>
      <c r="BO26" s="12">
        <v>0</v>
      </c>
      <c r="BP26" s="12">
        <v>0</v>
      </c>
      <c r="BQ26" s="12">
        <v>0</v>
      </c>
      <c r="BR26" s="12">
        <v>0</v>
      </c>
      <c r="BS26" s="12">
        <v>0</v>
      </c>
      <c r="BT26" s="12">
        <v>0</v>
      </c>
      <c r="BU26" s="12">
        <v>0</v>
      </c>
      <c r="BV26" s="12">
        <v>0</v>
      </c>
      <c r="BW26" s="12">
        <v>0</v>
      </c>
      <c r="BX26" s="12">
        <v>0</v>
      </c>
      <c r="BY26" s="12">
        <v>0</v>
      </c>
      <c r="BZ26" s="12">
        <v>0</v>
      </c>
      <c r="CA26" s="12">
        <v>0</v>
      </c>
    </row>
    <row r="27" spans="1:79" ht="16.5" hidden="1" x14ac:dyDescent="0.2">
      <c r="A27" s="12" t="s">
        <v>102</v>
      </c>
      <c r="B27" s="12" t="s">
        <v>105</v>
      </c>
      <c r="C27" s="12" t="s">
        <v>105</v>
      </c>
      <c r="D27" s="22" t="s">
        <v>1170</v>
      </c>
      <c r="E27" s="22" t="s">
        <v>149</v>
      </c>
      <c r="F27" s="22" t="s">
        <v>623</v>
      </c>
      <c r="G27" s="22" t="s">
        <v>624</v>
      </c>
      <c r="H27" s="22" t="s">
        <v>150</v>
      </c>
      <c r="I27" s="22" t="s">
        <v>151</v>
      </c>
      <c r="J27" s="22" t="s">
        <v>203</v>
      </c>
      <c r="K27" s="22" t="s">
        <v>66</v>
      </c>
      <c r="L27" s="54" t="s">
        <v>153</v>
      </c>
      <c r="M27" s="34" t="s">
        <v>204</v>
      </c>
      <c r="N27" s="24" t="s">
        <v>153</v>
      </c>
      <c r="O27" s="23" t="s">
        <v>205</v>
      </c>
      <c r="P27" s="23" t="s">
        <v>205</v>
      </c>
      <c r="Q27" s="26" t="s">
        <v>1171</v>
      </c>
      <c r="R27" s="26" t="s">
        <v>1171</v>
      </c>
      <c r="S27" s="23" t="s">
        <v>208</v>
      </c>
      <c r="T27" s="24" t="s">
        <v>156</v>
      </c>
      <c r="U27" s="24" t="s">
        <v>153</v>
      </c>
      <c r="V27" s="54" t="s">
        <v>153</v>
      </c>
      <c r="W27" s="26" t="s">
        <v>1171</v>
      </c>
      <c r="X27" s="26" t="s">
        <v>1171</v>
      </c>
      <c r="Y27" s="26" t="s">
        <v>1171</v>
      </c>
      <c r="Z27" s="26" t="s">
        <v>1171</v>
      </c>
      <c r="AA27" s="26" t="s">
        <v>1171</v>
      </c>
      <c r="AB27" s="24" t="s">
        <v>153</v>
      </c>
      <c r="AC27" s="26" t="s">
        <v>1171</v>
      </c>
      <c r="AD27" s="26" t="s">
        <v>1171</v>
      </c>
      <c r="AE27" s="26" t="s">
        <v>1171</v>
      </c>
      <c r="AF27" s="26" t="s">
        <v>1171</v>
      </c>
      <c r="AG27" s="26" t="s">
        <v>1171</v>
      </c>
      <c r="AH27" s="24" t="s">
        <v>156</v>
      </c>
      <c r="AI27" s="24" t="s">
        <v>153</v>
      </c>
      <c r="AJ27" s="26" t="s">
        <v>1171</v>
      </c>
      <c r="AK27" s="26" t="s">
        <v>1171</v>
      </c>
      <c r="AL27" s="26" t="s">
        <v>1171</v>
      </c>
      <c r="AM27" s="26" t="s">
        <v>1171</v>
      </c>
      <c r="AN27" s="26" t="s">
        <v>1171</v>
      </c>
      <c r="AO27" s="24" t="s">
        <v>156</v>
      </c>
      <c r="AP27" s="23">
        <f>VALUE(0)</f>
        <v>0</v>
      </c>
      <c r="AQ27" s="23">
        <f>VALUE(0)</f>
        <v>0</v>
      </c>
      <c r="AR27" s="23">
        <f>VALUE(0)</f>
        <v>0</v>
      </c>
      <c r="AS27" s="23">
        <f>VALUE(0)</f>
        <v>0</v>
      </c>
      <c r="AT27" s="23">
        <f>VALUE(0)</f>
        <v>0</v>
      </c>
      <c r="AU27" s="23">
        <f>VALUE(0)</f>
        <v>0</v>
      </c>
      <c r="AV27" s="23">
        <f>VALUE(2)</f>
        <v>2</v>
      </c>
      <c r="AW27" s="23">
        <f>VALUE(0)</f>
        <v>0</v>
      </c>
      <c r="AX27" s="23" t="s">
        <v>171</v>
      </c>
      <c r="AY27" s="23" t="s">
        <v>1172</v>
      </c>
      <c r="AZ27" s="23">
        <f>VALUE(0)</f>
        <v>0</v>
      </c>
      <c r="BA27" s="23">
        <f>VALUE(0)</f>
        <v>0</v>
      </c>
      <c r="BB27" s="23">
        <f>VALUE(0)</f>
        <v>0</v>
      </c>
      <c r="BC27" s="23">
        <f>VALUE(0)</f>
        <v>0</v>
      </c>
      <c r="BD27" s="23">
        <f>VALUE(0)</f>
        <v>0</v>
      </c>
      <c r="BE27" s="23">
        <f>VALUE(0)</f>
        <v>0</v>
      </c>
      <c r="BF27" s="23">
        <f>VALUE(0)</f>
        <v>0</v>
      </c>
      <c r="BG27" s="23">
        <f>VALUE(0)</f>
        <v>0</v>
      </c>
      <c r="BH27" s="23">
        <f>VALUE(0)</f>
        <v>0</v>
      </c>
      <c r="BI27" s="23">
        <f>VALUE(0)</f>
        <v>0</v>
      </c>
      <c r="BJ27" s="23">
        <f>VALUE(0)</f>
        <v>0</v>
      </c>
      <c r="BK27" s="12">
        <f>$AX$27*24</f>
        <v>5.833333333333333</v>
      </c>
      <c r="BL27" s="12">
        <f>$AY$27*24</f>
        <v>36.700000000000003</v>
      </c>
      <c r="BM27" s="12">
        <f>$BJ$27*24</f>
        <v>0</v>
      </c>
      <c r="BN27" s="12">
        <f>VALUE($I$27)/100</f>
        <v>1</v>
      </c>
      <c r="BO27" s="12">
        <v>0</v>
      </c>
      <c r="BP27" s="12">
        <v>0</v>
      </c>
      <c r="BQ27" s="12">
        <v>0</v>
      </c>
      <c r="BR27" s="12">
        <v>0</v>
      </c>
      <c r="BS27" s="12">
        <v>0</v>
      </c>
      <c r="BT27" s="12">
        <v>0</v>
      </c>
      <c r="BU27" s="12">
        <v>0</v>
      </c>
      <c r="BV27" s="12">
        <v>0</v>
      </c>
      <c r="BW27" s="12">
        <v>0</v>
      </c>
      <c r="BX27" s="12">
        <v>0</v>
      </c>
      <c r="BY27" s="12">
        <v>0</v>
      </c>
      <c r="BZ27" s="12">
        <v>0</v>
      </c>
      <c r="CA27" s="12">
        <v>0</v>
      </c>
    </row>
    <row r="28" spans="1:79" hidden="1" x14ac:dyDescent="0.2">
      <c r="A28" s="12" t="s">
        <v>102</v>
      </c>
      <c r="B28" s="12" t="s">
        <v>105</v>
      </c>
      <c r="C28" s="12" t="s">
        <v>105</v>
      </c>
      <c r="D28" s="22" t="s">
        <v>205</v>
      </c>
      <c r="E28" s="22" t="s">
        <v>161</v>
      </c>
      <c r="F28" s="22" t="s">
        <v>625</v>
      </c>
      <c r="G28" s="22" t="s">
        <v>626</v>
      </c>
      <c r="H28" s="22" t="s">
        <v>150</v>
      </c>
      <c r="I28" s="22" t="s">
        <v>151</v>
      </c>
      <c r="J28" s="22" t="s">
        <v>212</v>
      </c>
      <c r="K28" s="22" t="s">
        <v>66</v>
      </c>
      <c r="L28" s="54" t="s">
        <v>153</v>
      </c>
      <c r="M28" s="23" t="s">
        <v>153</v>
      </c>
      <c r="N28" s="24" t="s">
        <v>153</v>
      </c>
      <c r="O28" s="35" t="s">
        <v>170</v>
      </c>
      <c r="P28" s="35" t="s">
        <v>170</v>
      </c>
      <c r="Q28" s="23" t="s">
        <v>153</v>
      </c>
      <c r="R28" s="23" t="s">
        <v>153</v>
      </c>
      <c r="S28" s="23" t="s">
        <v>153</v>
      </c>
      <c r="T28" s="24" t="s">
        <v>156</v>
      </c>
      <c r="U28" s="24" t="s">
        <v>153</v>
      </c>
      <c r="V28" s="54" t="s">
        <v>153</v>
      </c>
      <c r="W28" s="23" t="s">
        <v>153</v>
      </c>
      <c r="X28" s="23" t="s">
        <v>153</v>
      </c>
      <c r="Y28" s="23" t="s">
        <v>153</v>
      </c>
      <c r="Z28" s="23" t="s">
        <v>153</v>
      </c>
      <c r="AA28" s="24" t="s">
        <v>156</v>
      </c>
      <c r="AB28" s="24" t="s">
        <v>153</v>
      </c>
      <c r="AC28" s="23" t="s">
        <v>153</v>
      </c>
      <c r="AD28" s="23" t="s">
        <v>153</v>
      </c>
      <c r="AE28" s="23" t="s">
        <v>153</v>
      </c>
      <c r="AF28" s="23" t="s">
        <v>153</v>
      </c>
      <c r="AG28" s="23" t="s">
        <v>153</v>
      </c>
      <c r="AH28" s="23" t="s">
        <v>153</v>
      </c>
      <c r="AI28" s="24" t="s">
        <v>153</v>
      </c>
      <c r="AJ28" s="23" t="s">
        <v>153</v>
      </c>
      <c r="AK28" s="23" t="s">
        <v>153</v>
      </c>
      <c r="AL28" s="23" t="s">
        <v>153</v>
      </c>
      <c r="AM28" s="23" t="s">
        <v>153</v>
      </c>
      <c r="AN28" s="23" t="s">
        <v>153</v>
      </c>
      <c r="AO28" s="24" t="s">
        <v>156</v>
      </c>
      <c r="AP28" s="23">
        <f>VALUE(0)</f>
        <v>0</v>
      </c>
      <c r="AQ28" s="23">
        <f>VALUE(0)</f>
        <v>0</v>
      </c>
      <c r="AR28" s="23">
        <f>VALUE(0)</f>
        <v>0</v>
      </c>
      <c r="AS28" s="23">
        <f>VALUE(0)</f>
        <v>0</v>
      </c>
      <c r="AT28" s="23">
        <f>VALUE(0)</f>
        <v>0</v>
      </c>
      <c r="AU28" s="23">
        <f>VALUE(0)</f>
        <v>0</v>
      </c>
      <c r="AV28" s="23">
        <f>VALUE(12)</f>
        <v>12</v>
      </c>
      <c r="AW28" s="23">
        <f>VALUE(0)</f>
        <v>0</v>
      </c>
      <c r="AX28" s="23" t="s">
        <v>171</v>
      </c>
      <c r="AY28" s="23" t="s">
        <v>213</v>
      </c>
      <c r="AZ28" s="23">
        <f>VALUE(0)</f>
        <v>0</v>
      </c>
      <c r="BA28" s="23">
        <f>VALUE(0)</f>
        <v>0</v>
      </c>
      <c r="BB28" s="23">
        <f>VALUE(0)</f>
        <v>0</v>
      </c>
      <c r="BC28" s="23">
        <f>VALUE(0)</f>
        <v>0</v>
      </c>
      <c r="BD28" s="23">
        <f>VALUE(0)</f>
        <v>0</v>
      </c>
      <c r="BE28" s="23">
        <f>VALUE(2)</f>
        <v>2</v>
      </c>
      <c r="BF28" s="23">
        <f>VALUE(0)</f>
        <v>0</v>
      </c>
      <c r="BG28" s="23">
        <f>VALUE(0)</f>
        <v>0</v>
      </c>
      <c r="BH28" s="23">
        <f>VALUE(0)</f>
        <v>0</v>
      </c>
      <c r="BI28" s="23">
        <f>VALUE(0)</f>
        <v>0</v>
      </c>
      <c r="BJ28" s="23">
        <f>VALUE(0)</f>
        <v>0</v>
      </c>
      <c r="BK28" s="12">
        <f>$AX$28*24</f>
        <v>5.833333333333333</v>
      </c>
      <c r="BL28" s="12">
        <f>$AY$28*24</f>
        <v>7.416666666666667</v>
      </c>
      <c r="BM28" s="12">
        <f>$BJ$28*24</f>
        <v>0</v>
      </c>
      <c r="BN28" s="12">
        <f>VALUE($I$28)/100</f>
        <v>1</v>
      </c>
      <c r="BO28" s="12">
        <v>0</v>
      </c>
      <c r="BP28" s="12">
        <v>0</v>
      </c>
      <c r="BQ28" s="12">
        <v>0</v>
      </c>
      <c r="BR28" s="12">
        <v>0</v>
      </c>
      <c r="BS28" s="12">
        <v>0</v>
      </c>
      <c r="BT28" s="12">
        <v>0</v>
      </c>
      <c r="BU28" s="12">
        <v>0</v>
      </c>
      <c r="BV28" s="12">
        <v>0</v>
      </c>
      <c r="BW28" s="12">
        <v>0</v>
      </c>
      <c r="BX28" s="12">
        <v>0</v>
      </c>
      <c r="BY28" s="12">
        <v>0</v>
      </c>
      <c r="BZ28" s="12">
        <v>0</v>
      </c>
      <c r="CA28" s="12">
        <v>0</v>
      </c>
    </row>
    <row r="29" spans="1:79" hidden="1" x14ac:dyDescent="0.2">
      <c r="A29" s="12" t="s">
        <v>102</v>
      </c>
      <c r="B29" s="12" t="s">
        <v>105</v>
      </c>
      <c r="C29" s="12" t="s">
        <v>105</v>
      </c>
      <c r="D29" s="22" t="s">
        <v>204</v>
      </c>
      <c r="E29" s="22" t="s">
        <v>161</v>
      </c>
      <c r="F29" s="22" t="s">
        <v>627</v>
      </c>
      <c r="G29" s="22" t="s">
        <v>628</v>
      </c>
      <c r="H29" s="22" t="s">
        <v>150</v>
      </c>
      <c r="I29" s="22" t="s">
        <v>151</v>
      </c>
      <c r="J29" s="22" t="s">
        <v>212</v>
      </c>
      <c r="K29" s="22" t="s">
        <v>66</v>
      </c>
      <c r="L29" s="54" t="s">
        <v>153</v>
      </c>
      <c r="M29" s="28" t="s">
        <v>163</v>
      </c>
      <c r="N29" s="24" t="s">
        <v>153</v>
      </c>
      <c r="O29" s="35" t="s">
        <v>170</v>
      </c>
      <c r="P29" s="35" t="s">
        <v>170</v>
      </c>
      <c r="Q29" s="23" t="s">
        <v>153</v>
      </c>
      <c r="R29" s="23" t="s">
        <v>153</v>
      </c>
      <c r="S29" s="23" t="s">
        <v>153</v>
      </c>
      <c r="T29" s="24" t="s">
        <v>156</v>
      </c>
      <c r="U29" s="24" t="s">
        <v>153</v>
      </c>
      <c r="V29" s="54" t="s">
        <v>153</v>
      </c>
      <c r="W29" s="23" t="s">
        <v>153</v>
      </c>
      <c r="X29" s="23" t="s">
        <v>153</v>
      </c>
      <c r="Y29" s="23" t="s">
        <v>153</v>
      </c>
      <c r="Z29" s="23" t="s">
        <v>153</v>
      </c>
      <c r="AA29" s="24" t="s">
        <v>156</v>
      </c>
      <c r="AB29" s="24" t="s">
        <v>153</v>
      </c>
      <c r="AC29" s="23" t="s">
        <v>153</v>
      </c>
      <c r="AD29" s="23" t="s">
        <v>153</v>
      </c>
      <c r="AE29" s="23" t="s">
        <v>153</v>
      </c>
      <c r="AF29" s="23" t="s">
        <v>153</v>
      </c>
      <c r="AG29" s="23" t="s">
        <v>153</v>
      </c>
      <c r="AH29" s="23" t="s">
        <v>153</v>
      </c>
      <c r="AI29" s="24" t="s">
        <v>153</v>
      </c>
      <c r="AJ29" s="23" t="s">
        <v>153</v>
      </c>
      <c r="AK29" s="23" t="s">
        <v>153</v>
      </c>
      <c r="AL29" s="23" t="s">
        <v>153</v>
      </c>
      <c r="AM29" s="23" t="s">
        <v>153</v>
      </c>
      <c r="AN29" s="23" t="s">
        <v>153</v>
      </c>
      <c r="AO29" s="24" t="s">
        <v>156</v>
      </c>
      <c r="AP29" s="23">
        <f>VALUE(0)</f>
        <v>0</v>
      </c>
      <c r="AQ29" s="23">
        <f>VALUE(0)</f>
        <v>0</v>
      </c>
      <c r="AR29" s="23">
        <f>VALUE(0)</f>
        <v>0</v>
      </c>
      <c r="AS29" s="23">
        <f>VALUE(0)</f>
        <v>0</v>
      </c>
      <c r="AT29" s="23">
        <f>VALUE(0)</f>
        <v>0</v>
      </c>
      <c r="AU29" s="23">
        <f>VALUE(1)</f>
        <v>1</v>
      </c>
      <c r="AV29" s="23">
        <f>VALUE(2)</f>
        <v>2</v>
      </c>
      <c r="AW29" s="23">
        <f>VALUE(0)</f>
        <v>0</v>
      </c>
      <c r="AX29" s="23" t="s">
        <v>171</v>
      </c>
      <c r="AY29" s="23" t="s">
        <v>215</v>
      </c>
      <c r="AZ29" s="23">
        <f>VALUE(0)</f>
        <v>0</v>
      </c>
      <c r="BA29" s="23">
        <f>VALUE(0)</f>
        <v>0</v>
      </c>
      <c r="BB29" s="23">
        <f>VALUE(0)</f>
        <v>0</v>
      </c>
      <c r="BC29" s="23">
        <f>VALUE(0)</f>
        <v>0</v>
      </c>
      <c r="BD29" s="23">
        <f>VALUE(0)</f>
        <v>0</v>
      </c>
      <c r="BE29" s="23">
        <f>VALUE(2)</f>
        <v>2</v>
      </c>
      <c r="BF29" s="23">
        <f>VALUE(0)</f>
        <v>0</v>
      </c>
      <c r="BG29" s="23">
        <f>VALUE(0)</f>
        <v>0</v>
      </c>
      <c r="BH29" s="23">
        <f>VALUE(0)</f>
        <v>0</v>
      </c>
      <c r="BI29" s="23">
        <f>VALUE(0)</f>
        <v>0</v>
      </c>
      <c r="BJ29" s="23">
        <f>VALUE(0)</f>
        <v>0</v>
      </c>
      <c r="BK29" s="12">
        <f>$AX$29*24</f>
        <v>5.833333333333333</v>
      </c>
      <c r="BL29" s="12">
        <f>$AY$29*24</f>
        <v>1.4</v>
      </c>
      <c r="BM29" s="12">
        <f>$BJ$29*24</f>
        <v>0</v>
      </c>
      <c r="BN29" s="12">
        <f>VALUE($I$29)/100</f>
        <v>1</v>
      </c>
      <c r="BO29" s="12">
        <v>0</v>
      </c>
      <c r="BP29" s="12">
        <v>0</v>
      </c>
      <c r="BQ29" s="12">
        <v>0</v>
      </c>
      <c r="BR29" s="12">
        <v>0</v>
      </c>
      <c r="BS29" s="12">
        <v>0</v>
      </c>
      <c r="BT29" s="12">
        <v>0</v>
      </c>
      <c r="BU29" s="12">
        <v>0</v>
      </c>
      <c r="BV29" s="12">
        <v>0</v>
      </c>
      <c r="BW29" s="12">
        <v>0</v>
      </c>
      <c r="BX29" s="12">
        <v>0</v>
      </c>
      <c r="BY29" s="12">
        <v>0</v>
      </c>
      <c r="BZ29" s="12">
        <v>0</v>
      </c>
      <c r="CA29" s="12">
        <v>0</v>
      </c>
    </row>
    <row r="30" spans="1:79" hidden="1" x14ac:dyDescent="0.2">
      <c r="A30" s="12" t="s">
        <v>102</v>
      </c>
      <c r="B30" s="12" t="s">
        <v>105</v>
      </c>
      <c r="C30" s="12" t="s">
        <v>105</v>
      </c>
      <c r="D30" s="22" t="s">
        <v>216</v>
      </c>
      <c r="E30" s="22" t="s">
        <v>161</v>
      </c>
      <c r="F30" s="22" t="s">
        <v>629</v>
      </c>
      <c r="G30" s="22" t="s">
        <v>630</v>
      </c>
      <c r="H30" s="22" t="s">
        <v>166</v>
      </c>
      <c r="I30" s="22" t="s">
        <v>151</v>
      </c>
      <c r="J30" s="22" t="s">
        <v>212</v>
      </c>
      <c r="K30" s="22" t="s">
        <v>66</v>
      </c>
      <c r="L30" s="54" t="s">
        <v>153</v>
      </c>
      <c r="M30" s="24" t="s">
        <v>156</v>
      </c>
      <c r="N30" s="24" t="s">
        <v>153</v>
      </c>
      <c r="O30" s="23" t="s">
        <v>153</v>
      </c>
      <c r="P30" s="23" t="s">
        <v>153</v>
      </c>
      <c r="Q30" s="23" t="s">
        <v>153</v>
      </c>
      <c r="R30" s="23" t="s">
        <v>153</v>
      </c>
      <c r="S30" s="23" t="s">
        <v>153</v>
      </c>
      <c r="T30" s="24" t="s">
        <v>156</v>
      </c>
      <c r="U30" s="24" t="s">
        <v>153</v>
      </c>
      <c r="V30" s="54" t="s">
        <v>153</v>
      </c>
      <c r="W30" s="28" t="s">
        <v>163</v>
      </c>
      <c r="X30" s="28" t="s">
        <v>163</v>
      </c>
      <c r="Y30" s="28" t="s">
        <v>163</v>
      </c>
      <c r="Z30" s="28" t="s">
        <v>163</v>
      </c>
      <c r="AA30" s="28" t="s">
        <v>163</v>
      </c>
      <c r="AB30" s="24" t="s">
        <v>153</v>
      </c>
      <c r="AC30" s="23" t="s">
        <v>153</v>
      </c>
      <c r="AD30" s="23" t="s">
        <v>153</v>
      </c>
      <c r="AE30" s="23" t="s">
        <v>153</v>
      </c>
      <c r="AF30" s="23" t="s">
        <v>153</v>
      </c>
      <c r="AG30" s="23" t="s">
        <v>153</v>
      </c>
      <c r="AH30" s="24" t="s">
        <v>156</v>
      </c>
      <c r="AI30" s="24" t="s">
        <v>153</v>
      </c>
      <c r="AJ30" s="23" t="s">
        <v>153</v>
      </c>
      <c r="AK30" s="23" t="s">
        <v>153</v>
      </c>
      <c r="AL30" s="23" t="s">
        <v>153</v>
      </c>
      <c r="AM30" s="23" t="s">
        <v>153</v>
      </c>
      <c r="AN30" s="23" t="s">
        <v>153</v>
      </c>
      <c r="AO30" s="24" t="s">
        <v>156</v>
      </c>
      <c r="AP30" s="23">
        <f>VALUE(0)</f>
        <v>0</v>
      </c>
      <c r="AQ30" s="23">
        <f>VALUE(0)</f>
        <v>0</v>
      </c>
      <c r="AR30" s="23">
        <f>VALUE(0)</f>
        <v>0</v>
      </c>
      <c r="AS30" s="23">
        <f>VALUE(0)</f>
        <v>0</v>
      </c>
      <c r="AT30" s="23">
        <f>VALUE(0)</f>
        <v>0</v>
      </c>
      <c r="AU30" s="23">
        <f>VALUE(5)</f>
        <v>5</v>
      </c>
      <c r="AV30" s="23">
        <f>VALUE(4)</f>
        <v>4</v>
      </c>
      <c r="AW30" s="23">
        <f>VALUE(0)</f>
        <v>0</v>
      </c>
      <c r="AX30" s="23" t="s">
        <v>217</v>
      </c>
      <c r="AY30" s="23">
        <f>VALUE(0)</f>
        <v>0</v>
      </c>
      <c r="AZ30" s="23">
        <f>VALUE(0)</f>
        <v>0</v>
      </c>
      <c r="BA30" s="23">
        <f>VALUE(0)</f>
        <v>0</v>
      </c>
      <c r="BB30" s="23">
        <f>VALUE(0)</f>
        <v>0</v>
      </c>
      <c r="BC30" s="23">
        <f>VALUE(0)</f>
        <v>0</v>
      </c>
      <c r="BD30" s="23">
        <f>VALUE(0)</f>
        <v>0</v>
      </c>
      <c r="BE30" s="23">
        <f>VALUE(0)</f>
        <v>0</v>
      </c>
      <c r="BF30" s="23">
        <f>VALUE(0)</f>
        <v>0</v>
      </c>
      <c r="BG30" s="23">
        <f>VALUE(0)</f>
        <v>0</v>
      </c>
      <c r="BH30" s="23">
        <f>VALUE(0)</f>
        <v>0</v>
      </c>
      <c r="BI30" s="23">
        <f>VALUE(0)</f>
        <v>0</v>
      </c>
      <c r="BJ30" s="23">
        <f>VALUE(0)</f>
        <v>0</v>
      </c>
      <c r="BK30" s="12">
        <f>$AX$30*24</f>
        <v>0.33333333333333331</v>
      </c>
      <c r="BL30" s="12">
        <f>$AY$30*24</f>
        <v>0</v>
      </c>
      <c r="BM30" s="12">
        <f>$BJ$30*24</f>
        <v>0</v>
      </c>
      <c r="BN30" s="12">
        <f>VALUE($I$30)/100</f>
        <v>1</v>
      </c>
      <c r="BO30" s="12">
        <v>0</v>
      </c>
      <c r="BP30" s="12">
        <v>0</v>
      </c>
      <c r="BQ30" s="12">
        <v>0</v>
      </c>
      <c r="BR30" s="12">
        <v>0</v>
      </c>
      <c r="BS30" s="12">
        <v>0</v>
      </c>
      <c r="BT30" s="12">
        <v>0</v>
      </c>
      <c r="BU30" s="12">
        <v>0</v>
      </c>
      <c r="BV30" s="12">
        <v>0</v>
      </c>
      <c r="BW30" s="12">
        <v>0</v>
      </c>
      <c r="BX30" s="12">
        <v>0</v>
      </c>
      <c r="BY30" s="12">
        <v>0</v>
      </c>
      <c r="BZ30" s="12">
        <v>0</v>
      </c>
      <c r="CA30" s="12">
        <v>0</v>
      </c>
    </row>
    <row r="31" spans="1:79" hidden="1" x14ac:dyDescent="0.2">
      <c r="A31" s="12" t="s">
        <v>102</v>
      </c>
      <c r="B31" s="12" t="s">
        <v>105</v>
      </c>
      <c r="C31" s="12" t="s">
        <v>105</v>
      </c>
      <c r="D31" s="22" t="s">
        <v>206</v>
      </c>
      <c r="E31" s="22" t="s">
        <v>161</v>
      </c>
      <c r="F31" s="22" t="s">
        <v>631</v>
      </c>
      <c r="G31" s="22" t="s">
        <v>632</v>
      </c>
      <c r="H31" s="22" t="s">
        <v>166</v>
      </c>
      <c r="I31" s="22" t="s">
        <v>151</v>
      </c>
      <c r="J31" s="22" t="s">
        <v>212</v>
      </c>
      <c r="K31" s="22" t="s">
        <v>66</v>
      </c>
      <c r="L31" s="54" t="s">
        <v>153</v>
      </c>
      <c r="M31" s="24" t="s">
        <v>156</v>
      </c>
      <c r="N31" s="24" t="s">
        <v>153</v>
      </c>
      <c r="O31" s="23" t="s">
        <v>153</v>
      </c>
      <c r="P31" s="29" t="s">
        <v>218</v>
      </c>
      <c r="Q31" s="29" t="s">
        <v>218</v>
      </c>
      <c r="R31" s="23" t="s">
        <v>153</v>
      </c>
      <c r="S31" s="23" t="s">
        <v>153</v>
      </c>
      <c r="T31" s="24" t="s">
        <v>156</v>
      </c>
      <c r="U31" s="24" t="s">
        <v>153</v>
      </c>
      <c r="V31" s="54" t="s">
        <v>153</v>
      </c>
      <c r="W31" s="23" t="s">
        <v>153</v>
      </c>
      <c r="X31" s="23" t="s">
        <v>153</v>
      </c>
      <c r="Y31" s="29" t="s">
        <v>218</v>
      </c>
      <c r="Z31" s="23" t="s">
        <v>153</v>
      </c>
      <c r="AA31" s="23" t="s">
        <v>153</v>
      </c>
      <c r="AB31" s="24" t="s">
        <v>153</v>
      </c>
      <c r="AC31" s="23" t="s">
        <v>153</v>
      </c>
      <c r="AD31" s="23" t="s">
        <v>153</v>
      </c>
      <c r="AE31" s="29" t="s">
        <v>218</v>
      </c>
      <c r="AF31" s="23" t="s">
        <v>153</v>
      </c>
      <c r="AG31" s="29" t="s">
        <v>218</v>
      </c>
      <c r="AH31" s="24" t="s">
        <v>156</v>
      </c>
      <c r="AI31" s="24" t="s">
        <v>153</v>
      </c>
      <c r="AJ31" s="23" t="s">
        <v>153</v>
      </c>
      <c r="AK31" s="23" t="s">
        <v>153</v>
      </c>
      <c r="AL31" s="29" t="s">
        <v>218</v>
      </c>
      <c r="AM31" s="23" t="s">
        <v>153</v>
      </c>
      <c r="AN31" s="23" t="s">
        <v>153</v>
      </c>
      <c r="AO31" s="24" t="s">
        <v>156</v>
      </c>
      <c r="AP31" s="23">
        <f>VALUE(0)</f>
        <v>0</v>
      </c>
      <c r="AQ31" s="23">
        <f>VALUE(0)</f>
        <v>0</v>
      </c>
      <c r="AR31" s="23">
        <f>VALUE(6)</f>
        <v>6</v>
      </c>
      <c r="AS31" s="23">
        <f>VALUE(0)</f>
        <v>0</v>
      </c>
      <c r="AT31" s="23">
        <f>VALUE(0)</f>
        <v>0</v>
      </c>
      <c r="AU31" s="23">
        <f>VALUE(0)</f>
        <v>0</v>
      </c>
      <c r="AV31" s="23">
        <f>VALUE(12)</f>
        <v>12</v>
      </c>
      <c r="AW31" s="23">
        <f>VALUE(0)</f>
        <v>0</v>
      </c>
      <c r="AX31" s="23" t="s">
        <v>1173</v>
      </c>
      <c r="AY31" s="23">
        <f>VALUE(0)</f>
        <v>0</v>
      </c>
      <c r="AZ31" s="23">
        <f>VALUE(0)</f>
        <v>0</v>
      </c>
      <c r="BA31" s="23">
        <f>VALUE(0)</f>
        <v>0</v>
      </c>
      <c r="BB31" s="23">
        <f>VALUE(0)</f>
        <v>0</v>
      </c>
      <c r="BC31" s="23">
        <f>VALUE(0)</f>
        <v>0</v>
      </c>
      <c r="BD31" s="23">
        <f>VALUE(0)</f>
        <v>0</v>
      </c>
      <c r="BE31" s="23">
        <f>VALUE(0)</f>
        <v>0</v>
      </c>
      <c r="BF31" s="23">
        <f>VALUE(0)</f>
        <v>0</v>
      </c>
      <c r="BG31" s="23">
        <f>VALUE(0)</f>
        <v>0</v>
      </c>
      <c r="BH31" s="23">
        <f>VALUE(0)</f>
        <v>0</v>
      </c>
      <c r="BI31" s="23">
        <f>VALUE(0)</f>
        <v>0</v>
      </c>
      <c r="BJ31" s="23">
        <f>VALUE(0)</f>
        <v>0</v>
      </c>
      <c r="BK31" s="12">
        <f>$AX$31*24</f>
        <v>17.683333333333334</v>
      </c>
      <c r="BL31" s="12">
        <f>$AY$31*24</f>
        <v>0</v>
      </c>
      <c r="BM31" s="12">
        <f>$BJ$31*24</f>
        <v>0</v>
      </c>
      <c r="BN31" s="12">
        <f>VALUE($I$31)/100</f>
        <v>1</v>
      </c>
      <c r="BO31" s="12">
        <v>0</v>
      </c>
      <c r="BP31" s="12">
        <v>0</v>
      </c>
      <c r="BQ31" s="12">
        <v>0</v>
      </c>
      <c r="BR31" s="12">
        <v>0</v>
      </c>
      <c r="BS31" s="12">
        <v>6</v>
      </c>
      <c r="BT31" s="12">
        <v>0</v>
      </c>
      <c r="BU31" s="12">
        <v>0</v>
      </c>
      <c r="BV31" s="12">
        <v>0</v>
      </c>
      <c r="BW31" s="12">
        <v>0</v>
      </c>
      <c r="BX31" s="12">
        <v>0</v>
      </c>
      <c r="BY31" s="12">
        <v>0</v>
      </c>
      <c r="BZ31" s="12">
        <v>0</v>
      </c>
      <c r="CA31" s="12">
        <v>0</v>
      </c>
    </row>
    <row r="32" spans="1:79" hidden="1" x14ac:dyDescent="0.2">
      <c r="A32" s="12" t="s">
        <v>102</v>
      </c>
      <c r="B32" s="12" t="s">
        <v>105</v>
      </c>
      <c r="C32" s="12" t="s">
        <v>105</v>
      </c>
      <c r="D32" s="22" t="s">
        <v>207</v>
      </c>
      <c r="E32" s="22" t="s">
        <v>161</v>
      </c>
      <c r="F32" s="22" t="s">
        <v>633</v>
      </c>
      <c r="G32" s="22" t="s">
        <v>634</v>
      </c>
      <c r="H32" s="22" t="s">
        <v>150</v>
      </c>
      <c r="I32" s="22" t="s">
        <v>151</v>
      </c>
      <c r="J32" s="22" t="s">
        <v>212</v>
      </c>
      <c r="K32" s="22" t="s">
        <v>66</v>
      </c>
      <c r="L32" s="54" t="s">
        <v>153</v>
      </c>
      <c r="M32" s="24" t="s">
        <v>156</v>
      </c>
      <c r="N32" s="24" t="s">
        <v>153</v>
      </c>
      <c r="O32" s="23" t="s">
        <v>153</v>
      </c>
      <c r="P32" s="23" t="s">
        <v>153</v>
      </c>
      <c r="Q32" s="23" t="s">
        <v>153</v>
      </c>
      <c r="R32" s="23" t="s">
        <v>153</v>
      </c>
      <c r="S32" s="23" t="s">
        <v>153</v>
      </c>
      <c r="T32" s="23" t="s">
        <v>153</v>
      </c>
      <c r="U32" s="24" t="s">
        <v>153</v>
      </c>
      <c r="V32" s="54" t="s">
        <v>153</v>
      </c>
      <c r="W32" s="23" t="s">
        <v>153</v>
      </c>
      <c r="X32" s="23" t="s">
        <v>153</v>
      </c>
      <c r="Y32" s="23" t="s">
        <v>153</v>
      </c>
      <c r="Z32" s="23" t="s">
        <v>153</v>
      </c>
      <c r="AA32" s="24" t="s">
        <v>156</v>
      </c>
      <c r="AB32" s="24" t="s">
        <v>153</v>
      </c>
      <c r="AC32" s="23" t="s">
        <v>153</v>
      </c>
      <c r="AD32" s="23" t="s">
        <v>153</v>
      </c>
      <c r="AE32" s="23" t="s">
        <v>153</v>
      </c>
      <c r="AF32" s="23" t="s">
        <v>153</v>
      </c>
      <c r="AG32" s="23" t="s">
        <v>153</v>
      </c>
      <c r="AH32" s="24" t="s">
        <v>156</v>
      </c>
      <c r="AI32" s="24" t="s">
        <v>153</v>
      </c>
      <c r="AJ32" s="23" t="s">
        <v>153</v>
      </c>
      <c r="AK32" s="23" t="s">
        <v>153</v>
      </c>
      <c r="AL32" s="23" t="s">
        <v>153</v>
      </c>
      <c r="AM32" s="23" t="s">
        <v>153</v>
      </c>
      <c r="AN32" s="23" t="s">
        <v>153</v>
      </c>
      <c r="AO32" s="23" t="s">
        <v>153</v>
      </c>
      <c r="AP32" s="23">
        <f>VALUE(0)</f>
        <v>0</v>
      </c>
      <c r="AQ32" s="23">
        <f>VALUE(0)</f>
        <v>0</v>
      </c>
      <c r="AR32" s="23">
        <f>VALUE(0)</f>
        <v>0</v>
      </c>
      <c r="AS32" s="23">
        <f>VALUE(0)</f>
        <v>0</v>
      </c>
      <c r="AT32" s="23">
        <f>VALUE(0)</f>
        <v>0</v>
      </c>
      <c r="AU32" s="23">
        <f>VALUE(0)</f>
        <v>0</v>
      </c>
      <c r="AV32" s="23">
        <f>VALUE(21)</f>
        <v>21</v>
      </c>
      <c r="AW32" s="23">
        <f>VALUE(0)</f>
        <v>0</v>
      </c>
      <c r="AX32" s="23" t="s">
        <v>176</v>
      </c>
      <c r="AY32" s="23" t="s">
        <v>219</v>
      </c>
      <c r="AZ32" s="23">
        <f>VALUE(0)</f>
        <v>0</v>
      </c>
      <c r="BA32" s="23">
        <f>VALUE(0)</f>
        <v>0</v>
      </c>
      <c r="BB32" s="23">
        <f>VALUE(0)</f>
        <v>0</v>
      </c>
      <c r="BC32" s="23">
        <f>VALUE(0)</f>
        <v>0</v>
      </c>
      <c r="BD32" s="23">
        <f>VALUE(0)</f>
        <v>0</v>
      </c>
      <c r="BE32" s="23">
        <f>VALUE(0)</f>
        <v>0</v>
      </c>
      <c r="BF32" s="23">
        <f>VALUE(0)</f>
        <v>0</v>
      </c>
      <c r="BG32" s="23">
        <f>VALUE(0)</f>
        <v>0</v>
      </c>
      <c r="BH32" s="23">
        <f>VALUE(0)</f>
        <v>0</v>
      </c>
      <c r="BI32" s="23">
        <f>VALUE(0)</f>
        <v>0</v>
      </c>
      <c r="BJ32" s="23">
        <f>VALUE(0)</f>
        <v>0</v>
      </c>
      <c r="BK32" s="12">
        <f>$AX$32*24</f>
        <v>0</v>
      </c>
      <c r="BL32" s="12">
        <f>$AY$32*24</f>
        <v>1.2333333333333334</v>
      </c>
      <c r="BM32" s="12">
        <f>$BJ$32*24</f>
        <v>0</v>
      </c>
      <c r="BN32" s="12">
        <f>VALUE($I$32)/100</f>
        <v>1</v>
      </c>
      <c r="BO32" s="12">
        <v>0</v>
      </c>
      <c r="BP32" s="12">
        <v>0</v>
      </c>
      <c r="BQ32" s="12">
        <v>0</v>
      </c>
      <c r="BR32" s="12">
        <v>0</v>
      </c>
      <c r="BS32" s="12">
        <v>0</v>
      </c>
      <c r="BT32" s="12">
        <v>0</v>
      </c>
      <c r="BU32" s="12">
        <v>0</v>
      </c>
      <c r="BV32" s="12">
        <v>0</v>
      </c>
      <c r="BW32" s="12">
        <v>0</v>
      </c>
      <c r="BX32" s="12">
        <v>0</v>
      </c>
      <c r="BY32" s="12">
        <v>0</v>
      </c>
      <c r="BZ32" s="12">
        <v>0</v>
      </c>
      <c r="CA32" s="12">
        <v>0</v>
      </c>
    </row>
    <row r="33" spans="1:79" hidden="1" x14ac:dyDescent="0.2">
      <c r="A33" s="12" t="s">
        <v>102</v>
      </c>
      <c r="B33" s="12" t="s">
        <v>105</v>
      </c>
      <c r="C33" s="12" t="s">
        <v>105</v>
      </c>
      <c r="D33" s="22" t="s">
        <v>220</v>
      </c>
      <c r="E33" s="22" t="s">
        <v>161</v>
      </c>
      <c r="F33" s="22" t="s">
        <v>635</v>
      </c>
      <c r="G33" s="22" t="s">
        <v>636</v>
      </c>
      <c r="H33" s="22" t="s">
        <v>166</v>
      </c>
      <c r="I33" s="22" t="s">
        <v>151</v>
      </c>
      <c r="J33" s="22" t="s">
        <v>212</v>
      </c>
      <c r="K33" s="22" t="s">
        <v>66</v>
      </c>
      <c r="L33" s="54" t="s">
        <v>153</v>
      </c>
      <c r="M33" s="24" t="s">
        <v>156</v>
      </c>
      <c r="N33" s="24" t="s">
        <v>153</v>
      </c>
      <c r="O33" s="23" t="s">
        <v>153</v>
      </c>
      <c r="P33" s="23" t="s">
        <v>153</v>
      </c>
      <c r="Q33" s="23" t="s">
        <v>153</v>
      </c>
      <c r="R33" s="23" t="s">
        <v>153</v>
      </c>
      <c r="S33" s="23" t="s">
        <v>153</v>
      </c>
      <c r="T33" s="23" t="s">
        <v>153</v>
      </c>
      <c r="U33" s="24" t="s">
        <v>153</v>
      </c>
      <c r="V33" s="54" t="s">
        <v>153</v>
      </c>
      <c r="W33" s="23" t="s">
        <v>153</v>
      </c>
      <c r="X33" s="23" t="s">
        <v>153</v>
      </c>
      <c r="Y33" s="23" t="s">
        <v>153</v>
      </c>
      <c r="Z33" s="23" t="s">
        <v>153</v>
      </c>
      <c r="AA33" s="24" t="s">
        <v>156</v>
      </c>
      <c r="AB33" s="24" t="s">
        <v>153</v>
      </c>
      <c r="AC33" s="23" t="s">
        <v>153</v>
      </c>
      <c r="AD33" s="23" t="s">
        <v>153</v>
      </c>
      <c r="AE33" s="23" t="s">
        <v>153</v>
      </c>
      <c r="AF33" s="23" t="s">
        <v>153</v>
      </c>
      <c r="AG33" s="23" t="s">
        <v>153</v>
      </c>
      <c r="AH33" s="24" t="s">
        <v>156</v>
      </c>
      <c r="AI33" s="24" t="s">
        <v>153</v>
      </c>
      <c r="AJ33" s="23" t="s">
        <v>153</v>
      </c>
      <c r="AK33" s="23" t="s">
        <v>153</v>
      </c>
      <c r="AL33" s="23" t="s">
        <v>153</v>
      </c>
      <c r="AM33" s="23" t="s">
        <v>153</v>
      </c>
      <c r="AN33" s="23" t="s">
        <v>153</v>
      </c>
      <c r="AO33" s="23" t="s">
        <v>153</v>
      </c>
      <c r="AP33" s="23">
        <f>VALUE(0)</f>
        <v>0</v>
      </c>
      <c r="AQ33" s="23">
        <f>VALUE(0)</f>
        <v>0</v>
      </c>
      <c r="AR33" s="23">
        <f>VALUE(0)</f>
        <v>0</v>
      </c>
      <c r="AS33" s="23">
        <f>VALUE(0)</f>
        <v>0</v>
      </c>
      <c r="AT33" s="23">
        <f>VALUE(0)</f>
        <v>0</v>
      </c>
      <c r="AU33" s="23">
        <f>VALUE(0)</f>
        <v>0</v>
      </c>
      <c r="AV33" s="23">
        <f>VALUE(11.5)</f>
        <v>11.5</v>
      </c>
      <c r="AW33" s="23">
        <f>VALUE(0)</f>
        <v>0</v>
      </c>
      <c r="AX33" s="23" t="s">
        <v>1174</v>
      </c>
      <c r="AY33" s="23">
        <f>VALUE(0)</f>
        <v>0</v>
      </c>
      <c r="AZ33" s="23">
        <f>VALUE(0)</f>
        <v>0</v>
      </c>
      <c r="BA33" s="23">
        <f>VALUE(0)</f>
        <v>0</v>
      </c>
      <c r="BB33" s="23">
        <f>VALUE(0)</f>
        <v>0</v>
      </c>
      <c r="BC33" s="23">
        <f>VALUE(0)</f>
        <v>0</v>
      </c>
      <c r="BD33" s="23">
        <f>VALUE(0)</f>
        <v>0</v>
      </c>
      <c r="BE33" s="23">
        <f>VALUE(0)</f>
        <v>0</v>
      </c>
      <c r="BF33" s="23">
        <f>VALUE(0)</f>
        <v>0</v>
      </c>
      <c r="BG33" s="23">
        <f>VALUE(0)</f>
        <v>0</v>
      </c>
      <c r="BH33" s="23">
        <f>VALUE(0)</f>
        <v>0</v>
      </c>
      <c r="BI33" s="23">
        <f>VALUE(0)</f>
        <v>0</v>
      </c>
      <c r="BJ33" s="23">
        <f>VALUE(0)</f>
        <v>0</v>
      </c>
      <c r="BK33" s="12">
        <f>$AX$33*24</f>
        <v>30.233333333333334</v>
      </c>
      <c r="BL33" s="12">
        <f>$AY$33*24</f>
        <v>0</v>
      </c>
      <c r="BM33" s="12">
        <f>$BJ$33*24</f>
        <v>0</v>
      </c>
      <c r="BN33" s="12">
        <f>VALUE($I$33)/100</f>
        <v>1</v>
      </c>
      <c r="BO33" s="12">
        <v>0</v>
      </c>
      <c r="BP33" s="12">
        <v>0</v>
      </c>
      <c r="BQ33" s="12">
        <v>0</v>
      </c>
      <c r="BR33" s="12">
        <v>0</v>
      </c>
      <c r="BS33" s="12">
        <v>0</v>
      </c>
      <c r="BT33" s="12">
        <v>0</v>
      </c>
      <c r="BU33" s="12">
        <v>0</v>
      </c>
      <c r="BV33" s="12">
        <v>0</v>
      </c>
      <c r="BW33" s="12">
        <v>0</v>
      </c>
      <c r="BX33" s="12">
        <v>0</v>
      </c>
      <c r="BY33" s="12">
        <v>0</v>
      </c>
      <c r="BZ33" s="12">
        <v>0</v>
      </c>
      <c r="CA33" s="12">
        <v>0</v>
      </c>
    </row>
    <row r="34" spans="1:79" ht="16.5" hidden="1" x14ac:dyDescent="0.2">
      <c r="A34" s="12" t="s">
        <v>102</v>
      </c>
      <c r="B34" s="12" t="s">
        <v>105</v>
      </c>
      <c r="C34" s="12" t="s">
        <v>105</v>
      </c>
      <c r="D34" s="22" t="s">
        <v>211</v>
      </c>
      <c r="E34" s="22" t="s">
        <v>161</v>
      </c>
      <c r="F34" s="22" t="s">
        <v>637</v>
      </c>
      <c r="G34" s="22" t="s">
        <v>638</v>
      </c>
      <c r="H34" s="22" t="s">
        <v>150</v>
      </c>
      <c r="I34" s="22" t="s">
        <v>151</v>
      </c>
      <c r="J34" s="22" t="s">
        <v>162</v>
      </c>
      <c r="K34" s="22" t="s">
        <v>66</v>
      </c>
      <c r="L34" s="54" t="s">
        <v>153</v>
      </c>
      <c r="M34" s="28" t="s">
        <v>163</v>
      </c>
      <c r="N34" s="24" t="s">
        <v>153</v>
      </c>
      <c r="O34" s="23" t="s">
        <v>153</v>
      </c>
      <c r="P34" s="26" t="s">
        <v>221</v>
      </c>
      <c r="Q34" s="26" t="s">
        <v>221</v>
      </c>
      <c r="R34" s="26" t="s">
        <v>221</v>
      </c>
      <c r="S34" s="26" t="s">
        <v>221</v>
      </c>
      <c r="T34" s="23" t="s">
        <v>222</v>
      </c>
      <c r="U34" s="24" t="s">
        <v>153</v>
      </c>
      <c r="V34" s="54" t="s">
        <v>153</v>
      </c>
      <c r="W34" s="26" t="s">
        <v>221</v>
      </c>
      <c r="X34" s="26" t="s">
        <v>221</v>
      </c>
      <c r="Y34" s="26" t="s">
        <v>221</v>
      </c>
      <c r="Z34" s="26" t="s">
        <v>221</v>
      </c>
      <c r="AA34" s="23" t="s">
        <v>222</v>
      </c>
      <c r="AB34" s="24" t="s">
        <v>153</v>
      </c>
      <c r="AC34" s="23" t="s">
        <v>153</v>
      </c>
      <c r="AD34" s="26" t="s">
        <v>221</v>
      </c>
      <c r="AE34" s="26" t="s">
        <v>221</v>
      </c>
      <c r="AF34" s="26" t="s">
        <v>221</v>
      </c>
      <c r="AG34" s="29" t="s">
        <v>1175</v>
      </c>
      <c r="AH34" s="29" t="s">
        <v>1175</v>
      </c>
      <c r="AI34" s="24" t="s">
        <v>153</v>
      </c>
      <c r="AJ34" s="23" t="s">
        <v>153</v>
      </c>
      <c r="AK34" s="26" t="s">
        <v>221</v>
      </c>
      <c r="AL34" s="26" t="s">
        <v>221</v>
      </c>
      <c r="AM34" s="26" t="s">
        <v>221</v>
      </c>
      <c r="AN34" s="26" t="s">
        <v>221</v>
      </c>
      <c r="AO34" s="23" t="s">
        <v>222</v>
      </c>
      <c r="AP34" s="23">
        <f>VALUE(0)</f>
        <v>0</v>
      </c>
      <c r="AQ34" s="23">
        <f>VALUE(0)</f>
        <v>0</v>
      </c>
      <c r="AR34" s="23">
        <f>VALUE(2)</f>
        <v>2</v>
      </c>
      <c r="AS34" s="23">
        <f>VALUE(0)</f>
        <v>0</v>
      </c>
      <c r="AT34" s="23">
        <f>VALUE(0)</f>
        <v>0</v>
      </c>
      <c r="AU34" s="23">
        <f>VALUE(1)</f>
        <v>1</v>
      </c>
      <c r="AV34" s="23">
        <f>VALUE(3)</f>
        <v>3</v>
      </c>
      <c r="AW34" s="23">
        <f>VALUE(0)</f>
        <v>0</v>
      </c>
      <c r="AX34" s="23" t="s">
        <v>1176</v>
      </c>
      <c r="AY34" s="23" t="s">
        <v>1177</v>
      </c>
      <c r="AZ34" s="23">
        <f>VALUE(0)</f>
        <v>0</v>
      </c>
      <c r="BA34" s="23">
        <f>VALUE(0)</f>
        <v>0</v>
      </c>
      <c r="BB34" s="23">
        <f>VALUE(0)</f>
        <v>0</v>
      </c>
      <c r="BC34" s="23">
        <f>VALUE(0)</f>
        <v>0</v>
      </c>
      <c r="BD34" s="23">
        <f>VALUE(0)</f>
        <v>0</v>
      </c>
      <c r="BE34" s="23">
        <f>VALUE(0)</f>
        <v>0</v>
      </c>
      <c r="BF34" s="23">
        <f>VALUE(0)</f>
        <v>0</v>
      </c>
      <c r="BG34" s="23">
        <f>VALUE(0)</f>
        <v>0</v>
      </c>
      <c r="BH34" s="23">
        <f>VALUE(0)</f>
        <v>0</v>
      </c>
      <c r="BI34" s="23">
        <f>VALUE(0)</f>
        <v>0</v>
      </c>
      <c r="BJ34" s="23">
        <f>VALUE(0)</f>
        <v>0</v>
      </c>
      <c r="BK34" s="12">
        <f>$AX$34*24</f>
        <v>9.5833333333333339</v>
      </c>
      <c r="BL34" s="12">
        <f>$AY$34*24</f>
        <v>5.0666666666666664</v>
      </c>
      <c r="BM34" s="12">
        <f>$BJ$34*24</f>
        <v>0</v>
      </c>
      <c r="BN34" s="12">
        <f>VALUE($I$34)/100</f>
        <v>1</v>
      </c>
      <c r="BO34" s="12">
        <v>0</v>
      </c>
      <c r="BP34" s="12">
        <v>0</v>
      </c>
      <c r="BQ34" s="12">
        <v>0</v>
      </c>
      <c r="BR34" s="12">
        <v>0</v>
      </c>
      <c r="BS34" s="12">
        <v>0</v>
      </c>
      <c r="BT34" s="12">
        <v>0</v>
      </c>
      <c r="BU34" s="12">
        <v>0</v>
      </c>
      <c r="BV34" s="12">
        <v>2</v>
      </c>
      <c r="BW34" s="12">
        <v>0</v>
      </c>
      <c r="BX34" s="12">
        <v>0</v>
      </c>
      <c r="BY34" s="12">
        <v>0</v>
      </c>
      <c r="BZ34" s="12">
        <v>0</v>
      </c>
      <c r="CA34" s="12">
        <v>0</v>
      </c>
    </row>
    <row r="35" spans="1:79" ht="16.5" hidden="1" x14ac:dyDescent="0.2">
      <c r="A35" s="12" t="s">
        <v>102</v>
      </c>
      <c r="B35" s="12" t="s">
        <v>105</v>
      </c>
      <c r="C35" s="12" t="s">
        <v>105</v>
      </c>
      <c r="D35" s="22" t="s">
        <v>223</v>
      </c>
      <c r="E35" s="22" t="s">
        <v>161</v>
      </c>
      <c r="F35" s="22" t="s">
        <v>639</v>
      </c>
      <c r="G35" s="22" t="s">
        <v>640</v>
      </c>
      <c r="H35" s="22" t="s">
        <v>190</v>
      </c>
      <c r="I35" s="22" t="s">
        <v>151</v>
      </c>
      <c r="J35" s="22" t="s">
        <v>181</v>
      </c>
      <c r="K35" s="22" t="s">
        <v>66</v>
      </c>
      <c r="L35" s="54" t="s">
        <v>153</v>
      </c>
      <c r="M35" s="23" t="s">
        <v>224</v>
      </c>
      <c r="N35" s="24" t="s">
        <v>153</v>
      </c>
      <c r="O35" s="26" t="s">
        <v>225</v>
      </c>
      <c r="P35" s="26" t="s">
        <v>225</v>
      </c>
      <c r="Q35" s="26" t="s">
        <v>225</v>
      </c>
      <c r="R35" s="26" t="s">
        <v>225</v>
      </c>
      <c r="S35" s="26" t="s">
        <v>225</v>
      </c>
      <c r="T35" s="26" t="s">
        <v>225</v>
      </c>
      <c r="U35" s="24" t="s">
        <v>153</v>
      </c>
      <c r="V35" s="54" t="s">
        <v>153</v>
      </c>
      <c r="W35" s="26" t="s">
        <v>225</v>
      </c>
      <c r="X35" s="40" t="s">
        <v>153</v>
      </c>
      <c r="Y35" s="40" t="s">
        <v>153</v>
      </c>
      <c r="Z35" s="40" t="s">
        <v>153</v>
      </c>
      <c r="AA35" s="40" t="s">
        <v>153</v>
      </c>
      <c r="AB35" s="40" t="s">
        <v>153</v>
      </c>
      <c r="AC35" s="40" t="s">
        <v>153</v>
      </c>
      <c r="AD35" s="40" t="s">
        <v>153</v>
      </c>
      <c r="AE35" s="40" t="s">
        <v>153</v>
      </c>
      <c r="AF35" s="40" t="s">
        <v>153</v>
      </c>
      <c r="AG35" s="40" t="s">
        <v>153</v>
      </c>
      <c r="AH35" s="40" t="s">
        <v>153</v>
      </c>
      <c r="AI35" s="40" t="s">
        <v>153</v>
      </c>
      <c r="AJ35" s="40" t="s">
        <v>153</v>
      </c>
      <c r="AK35" s="40" t="s">
        <v>153</v>
      </c>
      <c r="AL35" s="40" t="s">
        <v>153</v>
      </c>
      <c r="AM35" s="40" t="s">
        <v>153</v>
      </c>
      <c r="AN35" s="40" t="s">
        <v>153</v>
      </c>
      <c r="AO35" s="40" t="s">
        <v>153</v>
      </c>
      <c r="AP35" s="23">
        <f>VALUE(0)</f>
        <v>0</v>
      </c>
      <c r="AQ35" s="23">
        <f>VALUE(0)</f>
        <v>0</v>
      </c>
      <c r="AR35" s="23">
        <f>VALUE(0)</f>
        <v>0</v>
      </c>
      <c r="AS35" s="23">
        <f>VALUE(0)</f>
        <v>0</v>
      </c>
      <c r="AT35" s="23">
        <f>VALUE(0)</f>
        <v>0</v>
      </c>
      <c r="AU35" s="23">
        <f>VALUE(0)</f>
        <v>0</v>
      </c>
      <c r="AV35" s="23">
        <f>VALUE(17)</f>
        <v>17</v>
      </c>
      <c r="AW35" s="23">
        <f>VALUE(0)</f>
        <v>0</v>
      </c>
      <c r="AX35" s="23">
        <f>VALUE(0)</f>
        <v>0</v>
      </c>
      <c r="AY35" s="23">
        <f>VALUE(0)</f>
        <v>0</v>
      </c>
      <c r="AZ35" s="23">
        <f>VALUE(0)</f>
        <v>0</v>
      </c>
      <c r="BA35" s="23">
        <f>VALUE(0)</f>
        <v>0</v>
      </c>
      <c r="BB35" s="23">
        <f>VALUE(0)</f>
        <v>0</v>
      </c>
      <c r="BC35" s="23">
        <f>VALUE(0)</f>
        <v>0</v>
      </c>
      <c r="BD35" s="23">
        <f>VALUE(0)</f>
        <v>0</v>
      </c>
      <c r="BE35" s="23">
        <f>VALUE(0)</f>
        <v>0</v>
      </c>
      <c r="BF35" s="23">
        <f>VALUE(0)</f>
        <v>0</v>
      </c>
      <c r="BG35" s="23">
        <f>VALUE(0)</f>
        <v>0</v>
      </c>
      <c r="BH35" s="23">
        <f>VALUE(0)</f>
        <v>0</v>
      </c>
      <c r="BI35" s="23">
        <f>VALUE(0)</f>
        <v>0</v>
      </c>
      <c r="BJ35" s="23">
        <f>VALUE(0)</f>
        <v>0</v>
      </c>
      <c r="BK35" s="12">
        <f>$AX$35*24</f>
        <v>0</v>
      </c>
      <c r="BL35" s="12">
        <f>$AY$35*24</f>
        <v>0</v>
      </c>
      <c r="BM35" s="12">
        <f>$BJ$35*24</f>
        <v>0</v>
      </c>
      <c r="BN35" s="12">
        <f>VALUE($I$35)/100</f>
        <v>1</v>
      </c>
      <c r="BO35" s="12">
        <v>0</v>
      </c>
      <c r="BP35" s="12">
        <v>0</v>
      </c>
      <c r="BQ35" s="12">
        <v>0</v>
      </c>
      <c r="BR35" s="12">
        <v>0</v>
      </c>
      <c r="BS35" s="12">
        <v>0</v>
      </c>
      <c r="BT35" s="12">
        <v>0</v>
      </c>
      <c r="BU35" s="12">
        <v>0</v>
      </c>
      <c r="BV35" s="12">
        <v>0</v>
      </c>
      <c r="BW35" s="12">
        <v>0</v>
      </c>
      <c r="BX35" s="12">
        <v>0</v>
      </c>
      <c r="BY35" s="12">
        <v>0</v>
      </c>
      <c r="BZ35" s="12">
        <v>0</v>
      </c>
      <c r="CA35" s="12">
        <v>0</v>
      </c>
    </row>
    <row r="36" spans="1:79" hidden="1" x14ac:dyDescent="0.2">
      <c r="A36" s="12" t="s">
        <v>102</v>
      </c>
      <c r="B36" s="12" t="s">
        <v>105</v>
      </c>
      <c r="C36" s="12" t="s">
        <v>105</v>
      </c>
      <c r="D36" s="22" t="s">
        <v>210</v>
      </c>
      <c r="E36" s="22" t="s">
        <v>161</v>
      </c>
      <c r="F36" s="22" t="s">
        <v>641</v>
      </c>
      <c r="G36" s="22" t="s">
        <v>642</v>
      </c>
      <c r="H36" s="22" t="s">
        <v>150</v>
      </c>
      <c r="I36" s="22" t="s">
        <v>226</v>
      </c>
      <c r="J36" s="22" t="s">
        <v>181</v>
      </c>
      <c r="K36" s="22" t="s">
        <v>66</v>
      </c>
      <c r="L36" s="54" t="s">
        <v>153</v>
      </c>
      <c r="M36" s="24" t="s">
        <v>195</v>
      </c>
      <c r="N36" s="24" t="s">
        <v>153</v>
      </c>
      <c r="O36" s="23" t="s">
        <v>153</v>
      </c>
      <c r="P36" s="23" t="s">
        <v>153</v>
      </c>
      <c r="Q36" s="23" t="s">
        <v>153</v>
      </c>
      <c r="R36" s="23" t="s">
        <v>153</v>
      </c>
      <c r="S36" s="24" t="s">
        <v>195</v>
      </c>
      <c r="T36" s="24" t="s">
        <v>195</v>
      </c>
      <c r="U36" s="24" t="s">
        <v>153</v>
      </c>
      <c r="V36" s="54" t="s">
        <v>153</v>
      </c>
      <c r="W36" s="23" t="s">
        <v>153</v>
      </c>
      <c r="X36" s="23" t="s">
        <v>153</v>
      </c>
      <c r="Y36" s="23" t="s">
        <v>153</v>
      </c>
      <c r="Z36" s="24" t="s">
        <v>195</v>
      </c>
      <c r="AA36" s="24" t="s">
        <v>195</v>
      </c>
      <c r="AB36" s="24" t="s">
        <v>153</v>
      </c>
      <c r="AC36" s="23" t="s">
        <v>153</v>
      </c>
      <c r="AD36" s="23" t="s">
        <v>153</v>
      </c>
      <c r="AE36" s="23" t="s">
        <v>153</v>
      </c>
      <c r="AF36" s="23" t="s">
        <v>153</v>
      </c>
      <c r="AG36" s="24" t="s">
        <v>195</v>
      </c>
      <c r="AH36" s="24" t="s">
        <v>195</v>
      </c>
      <c r="AI36" s="24" t="s">
        <v>153</v>
      </c>
      <c r="AJ36" s="23" t="s">
        <v>153</v>
      </c>
      <c r="AK36" s="23" t="s">
        <v>153</v>
      </c>
      <c r="AL36" s="23" t="s">
        <v>153</v>
      </c>
      <c r="AM36" s="23" t="s">
        <v>153</v>
      </c>
      <c r="AN36" s="24" t="s">
        <v>195</v>
      </c>
      <c r="AO36" s="24" t="s">
        <v>195</v>
      </c>
      <c r="AP36" s="23">
        <f>VALUE(0)</f>
        <v>0</v>
      </c>
      <c r="AQ36" s="23">
        <f>VALUE(0)</f>
        <v>0</v>
      </c>
      <c r="AR36" s="23">
        <f>VALUE(0)</f>
        <v>0</v>
      </c>
      <c r="AS36" s="23">
        <f>VALUE(0)</f>
        <v>0</v>
      </c>
      <c r="AT36" s="23">
        <f>VALUE(0)</f>
        <v>0</v>
      </c>
      <c r="AU36" s="23">
        <f>VALUE(0)</f>
        <v>0</v>
      </c>
      <c r="AV36" s="23">
        <f>VALUE(12)</f>
        <v>12</v>
      </c>
      <c r="AW36" s="23">
        <f>VALUE(0)</f>
        <v>0</v>
      </c>
      <c r="AX36" s="23" t="s">
        <v>176</v>
      </c>
      <c r="AY36" s="23" t="s">
        <v>227</v>
      </c>
      <c r="AZ36" s="23">
        <f>VALUE(0)</f>
        <v>0</v>
      </c>
      <c r="BA36" s="23">
        <f>VALUE(0)</f>
        <v>0</v>
      </c>
      <c r="BB36" s="23">
        <f>VALUE(0)</f>
        <v>0</v>
      </c>
      <c r="BC36" s="23">
        <f>VALUE(0)</f>
        <v>0</v>
      </c>
      <c r="BD36" s="23">
        <f>VALUE(0)</f>
        <v>0</v>
      </c>
      <c r="BE36" s="23">
        <f>VALUE(0)</f>
        <v>0</v>
      </c>
      <c r="BF36" s="23">
        <f>VALUE(0)</f>
        <v>0</v>
      </c>
      <c r="BG36" s="23">
        <f>VALUE(0)</f>
        <v>0</v>
      </c>
      <c r="BH36" s="23">
        <f>VALUE(0)</f>
        <v>0</v>
      </c>
      <c r="BI36" s="23">
        <f>VALUE(0)</f>
        <v>0</v>
      </c>
      <c r="BJ36" s="23">
        <f>VALUE(0)</f>
        <v>0</v>
      </c>
      <c r="BK36" s="12">
        <f>$AX$36*24</f>
        <v>0</v>
      </c>
      <c r="BL36" s="12">
        <f>$AY$36*24</f>
        <v>2.8333333333333335</v>
      </c>
      <c r="BM36" s="12">
        <f>$BJ$36*24</f>
        <v>0</v>
      </c>
      <c r="BN36" s="12">
        <f>VALUE($I$36)/100</f>
        <v>0.42</v>
      </c>
      <c r="BO36" s="12">
        <v>0</v>
      </c>
      <c r="BP36" s="12">
        <v>0</v>
      </c>
      <c r="BQ36" s="12">
        <v>0</v>
      </c>
      <c r="BR36" s="12">
        <v>0</v>
      </c>
      <c r="BS36" s="12">
        <v>0</v>
      </c>
      <c r="BT36" s="12">
        <v>0</v>
      </c>
      <c r="BU36" s="12">
        <v>0</v>
      </c>
      <c r="BV36" s="12">
        <v>0</v>
      </c>
      <c r="BW36" s="12">
        <v>0</v>
      </c>
      <c r="BX36" s="12">
        <v>0</v>
      </c>
      <c r="BY36" s="12">
        <v>0</v>
      </c>
      <c r="BZ36" s="12">
        <v>0</v>
      </c>
      <c r="CA36" s="12">
        <v>0</v>
      </c>
    </row>
    <row r="37" spans="1:79" hidden="1" x14ac:dyDescent="0.2">
      <c r="A37" s="12" t="s">
        <v>102</v>
      </c>
      <c r="B37" s="12" t="s">
        <v>105</v>
      </c>
      <c r="C37" s="12" t="s">
        <v>105</v>
      </c>
      <c r="D37" s="22" t="s">
        <v>228</v>
      </c>
      <c r="E37" s="22" t="s">
        <v>161</v>
      </c>
      <c r="F37" s="22" t="s">
        <v>1178</v>
      </c>
      <c r="G37" s="22" t="s">
        <v>643</v>
      </c>
      <c r="H37" s="22" t="s">
        <v>150</v>
      </c>
      <c r="I37" s="22" t="s">
        <v>151</v>
      </c>
      <c r="J37" s="22" t="s">
        <v>181</v>
      </c>
      <c r="K37" s="22" t="s">
        <v>66</v>
      </c>
      <c r="L37" s="54" t="s">
        <v>153</v>
      </c>
      <c r="M37" s="28" t="s">
        <v>163</v>
      </c>
      <c r="N37" s="24" t="s">
        <v>153</v>
      </c>
      <c r="O37" s="28" t="s">
        <v>163</v>
      </c>
      <c r="P37" s="28" t="s">
        <v>163</v>
      </c>
      <c r="Q37" s="28" t="s">
        <v>163</v>
      </c>
      <c r="R37" s="28" t="s">
        <v>163</v>
      </c>
      <c r="S37" s="28" t="s">
        <v>163</v>
      </c>
      <c r="T37" s="28" t="s">
        <v>163</v>
      </c>
      <c r="U37" s="24" t="s">
        <v>153</v>
      </c>
      <c r="V37" s="54" t="s">
        <v>153</v>
      </c>
      <c r="W37" s="23" t="s">
        <v>153</v>
      </c>
      <c r="X37" s="23" t="s">
        <v>153</v>
      </c>
      <c r="Y37" s="23" t="s">
        <v>153</v>
      </c>
      <c r="Z37" s="23" t="s">
        <v>153</v>
      </c>
      <c r="AA37" s="24" t="s">
        <v>156</v>
      </c>
      <c r="AB37" s="24" t="s">
        <v>153</v>
      </c>
      <c r="AC37" s="23" t="s">
        <v>153</v>
      </c>
      <c r="AD37" s="23" t="s">
        <v>153</v>
      </c>
      <c r="AE37" s="23" t="s">
        <v>153</v>
      </c>
      <c r="AF37" s="23" t="s">
        <v>153</v>
      </c>
      <c r="AG37" s="23" t="s">
        <v>153</v>
      </c>
      <c r="AH37" s="23" t="s">
        <v>153</v>
      </c>
      <c r="AI37" s="24" t="s">
        <v>153</v>
      </c>
      <c r="AJ37" s="23" t="s">
        <v>153</v>
      </c>
      <c r="AK37" s="23" t="s">
        <v>153</v>
      </c>
      <c r="AL37" s="35" t="s">
        <v>170</v>
      </c>
      <c r="AM37" s="23" t="s">
        <v>153</v>
      </c>
      <c r="AN37" s="23" t="s">
        <v>153</v>
      </c>
      <c r="AO37" s="24" t="s">
        <v>156</v>
      </c>
      <c r="AP37" s="23">
        <f>VALUE(0)</f>
        <v>0</v>
      </c>
      <c r="AQ37" s="23">
        <f>VALUE(0)</f>
        <v>0</v>
      </c>
      <c r="AR37" s="23">
        <f>VALUE(0)</f>
        <v>0</v>
      </c>
      <c r="AS37" s="23">
        <f>VALUE(0)</f>
        <v>0</v>
      </c>
      <c r="AT37" s="23">
        <f>VALUE(0)</f>
        <v>0</v>
      </c>
      <c r="AU37" s="23">
        <f>VALUE(7)</f>
        <v>7</v>
      </c>
      <c r="AV37" s="23">
        <f>VALUE(3)</f>
        <v>3</v>
      </c>
      <c r="AW37" s="23">
        <f>VALUE(0)</f>
        <v>0</v>
      </c>
      <c r="AX37" s="23" t="s">
        <v>171</v>
      </c>
      <c r="AY37" s="23" t="s">
        <v>196</v>
      </c>
      <c r="AZ37" s="23">
        <f>VALUE(0)</f>
        <v>0</v>
      </c>
      <c r="BA37" s="23">
        <f>VALUE(0)</f>
        <v>0</v>
      </c>
      <c r="BB37" s="23">
        <f>VALUE(0)</f>
        <v>0</v>
      </c>
      <c r="BC37" s="23">
        <f>VALUE(0)</f>
        <v>0</v>
      </c>
      <c r="BD37" s="23">
        <f>VALUE(0)</f>
        <v>0</v>
      </c>
      <c r="BE37" s="23">
        <f>VALUE(1)</f>
        <v>1</v>
      </c>
      <c r="BF37" s="23">
        <f>VALUE(0)</f>
        <v>0</v>
      </c>
      <c r="BG37" s="23">
        <f>VALUE(0)</f>
        <v>0</v>
      </c>
      <c r="BH37" s="23">
        <f>VALUE(0)</f>
        <v>0</v>
      </c>
      <c r="BI37" s="23">
        <f>VALUE(0)</f>
        <v>0</v>
      </c>
      <c r="BJ37" s="23">
        <f>VALUE(0)</f>
        <v>0</v>
      </c>
      <c r="BK37" s="12">
        <f>$AX$37*24</f>
        <v>5.833333333333333</v>
      </c>
      <c r="BL37" s="12">
        <f>$AY$37*24</f>
        <v>8.1</v>
      </c>
      <c r="BM37" s="12">
        <f>$BJ$37*24</f>
        <v>0</v>
      </c>
      <c r="BN37" s="12">
        <f>VALUE($I$37)/100</f>
        <v>1</v>
      </c>
      <c r="BO37" s="12">
        <v>0</v>
      </c>
      <c r="BP37" s="12">
        <v>0</v>
      </c>
      <c r="BQ37" s="12">
        <v>0</v>
      </c>
      <c r="BR37" s="12">
        <v>0</v>
      </c>
      <c r="BS37" s="12">
        <v>0</v>
      </c>
      <c r="BT37" s="12">
        <v>0</v>
      </c>
      <c r="BU37" s="12">
        <v>0</v>
      </c>
      <c r="BV37" s="12">
        <v>0</v>
      </c>
      <c r="BW37" s="12">
        <v>0</v>
      </c>
      <c r="BX37" s="12">
        <v>0</v>
      </c>
      <c r="BY37" s="12">
        <v>0</v>
      </c>
      <c r="BZ37" s="12">
        <v>0</v>
      </c>
      <c r="CA37" s="12">
        <v>0</v>
      </c>
    </row>
    <row r="38" spans="1:79" hidden="1" x14ac:dyDescent="0.2">
      <c r="A38" s="12" t="s">
        <v>102</v>
      </c>
      <c r="B38" s="12" t="s">
        <v>105</v>
      </c>
      <c r="C38" s="12" t="s">
        <v>105</v>
      </c>
      <c r="D38" s="22" t="s">
        <v>229</v>
      </c>
      <c r="E38" s="22" t="s">
        <v>161</v>
      </c>
      <c r="F38" s="22" t="s">
        <v>644</v>
      </c>
      <c r="G38" s="22" t="s">
        <v>645</v>
      </c>
      <c r="H38" s="22" t="s">
        <v>150</v>
      </c>
      <c r="I38" s="22" t="s">
        <v>151</v>
      </c>
      <c r="J38" s="22" t="s">
        <v>181</v>
      </c>
      <c r="K38" s="22" t="s">
        <v>66</v>
      </c>
      <c r="L38" s="54" t="s">
        <v>153</v>
      </c>
      <c r="M38" s="28" t="s">
        <v>163</v>
      </c>
      <c r="N38" s="24" t="s">
        <v>153</v>
      </c>
      <c r="O38" s="23" t="s">
        <v>153</v>
      </c>
      <c r="P38" s="23" t="s">
        <v>153</v>
      </c>
      <c r="Q38" s="23" t="s">
        <v>153</v>
      </c>
      <c r="R38" s="23" t="s">
        <v>153</v>
      </c>
      <c r="S38" s="23" t="s">
        <v>153</v>
      </c>
      <c r="T38" s="24" t="s">
        <v>156</v>
      </c>
      <c r="U38" s="24" t="s">
        <v>153</v>
      </c>
      <c r="V38" s="54" t="s">
        <v>153</v>
      </c>
      <c r="W38" s="23" t="s">
        <v>153</v>
      </c>
      <c r="X38" s="23" t="s">
        <v>153</v>
      </c>
      <c r="Y38" s="23" t="s">
        <v>153</v>
      </c>
      <c r="Z38" s="23" t="s">
        <v>153</v>
      </c>
      <c r="AA38" s="24" t="s">
        <v>156</v>
      </c>
      <c r="AB38" s="24" t="s">
        <v>153</v>
      </c>
      <c r="AC38" s="23" t="s">
        <v>153</v>
      </c>
      <c r="AD38" s="23" t="s">
        <v>153</v>
      </c>
      <c r="AE38" s="23" t="s">
        <v>153</v>
      </c>
      <c r="AF38" s="23" t="s">
        <v>153</v>
      </c>
      <c r="AG38" s="23" t="s">
        <v>153</v>
      </c>
      <c r="AH38" s="23" t="s">
        <v>153</v>
      </c>
      <c r="AI38" s="24" t="s">
        <v>153</v>
      </c>
      <c r="AJ38" s="23" t="s">
        <v>153</v>
      </c>
      <c r="AK38" s="23" t="s">
        <v>153</v>
      </c>
      <c r="AL38" s="23" t="s">
        <v>153</v>
      </c>
      <c r="AM38" s="23" t="s">
        <v>153</v>
      </c>
      <c r="AN38" s="23" t="s">
        <v>153</v>
      </c>
      <c r="AO38" s="24" t="s">
        <v>156</v>
      </c>
      <c r="AP38" s="23">
        <f>VALUE(0)</f>
        <v>0</v>
      </c>
      <c r="AQ38" s="23">
        <f>VALUE(0)</f>
        <v>0</v>
      </c>
      <c r="AR38" s="23">
        <f>VALUE(0)</f>
        <v>0</v>
      </c>
      <c r="AS38" s="23">
        <f>VALUE(0)</f>
        <v>0</v>
      </c>
      <c r="AT38" s="23">
        <f>VALUE(0)</f>
        <v>0</v>
      </c>
      <c r="AU38" s="23">
        <f>VALUE(1)</f>
        <v>1</v>
      </c>
      <c r="AV38" s="23">
        <f>VALUE(9)</f>
        <v>9</v>
      </c>
      <c r="AW38" s="23">
        <f>VALUE(0)</f>
        <v>0</v>
      </c>
      <c r="AX38" s="23" t="s">
        <v>171</v>
      </c>
      <c r="AY38" s="23" t="s">
        <v>230</v>
      </c>
      <c r="AZ38" s="23">
        <f>VALUE(0)</f>
        <v>0</v>
      </c>
      <c r="BA38" s="23">
        <f>VALUE(0)</f>
        <v>0</v>
      </c>
      <c r="BB38" s="23">
        <f>VALUE(0)</f>
        <v>0</v>
      </c>
      <c r="BC38" s="23">
        <f>VALUE(0)</f>
        <v>0</v>
      </c>
      <c r="BD38" s="23">
        <f>VALUE(0)</f>
        <v>0</v>
      </c>
      <c r="BE38" s="23">
        <f>VALUE(0)</f>
        <v>0</v>
      </c>
      <c r="BF38" s="23">
        <f>VALUE(0)</f>
        <v>0</v>
      </c>
      <c r="BG38" s="23">
        <f>VALUE(0)</f>
        <v>0</v>
      </c>
      <c r="BH38" s="23">
        <f>VALUE(0)</f>
        <v>0</v>
      </c>
      <c r="BI38" s="23">
        <f>VALUE(0)</f>
        <v>0</v>
      </c>
      <c r="BJ38" s="23">
        <f>VALUE(0)</f>
        <v>0</v>
      </c>
      <c r="BK38" s="12">
        <f>$AX$38*24</f>
        <v>5.833333333333333</v>
      </c>
      <c r="BL38" s="12">
        <f>$AY$38*24</f>
        <v>2.3333333333333335</v>
      </c>
      <c r="BM38" s="12">
        <f>$BJ$38*24</f>
        <v>0</v>
      </c>
      <c r="BN38" s="12">
        <f>VALUE($I$38)/100</f>
        <v>1</v>
      </c>
      <c r="BO38" s="12">
        <v>0</v>
      </c>
      <c r="BP38" s="12">
        <v>0</v>
      </c>
      <c r="BQ38" s="12">
        <v>0</v>
      </c>
      <c r="BR38" s="12">
        <v>0</v>
      </c>
      <c r="BS38" s="12">
        <v>0</v>
      </c>
      <c r="BT38" s="12">
        <v>0</v>
      </c>
      <c r="BU38" s="12">
        <v>0</v>
      </c>
      <c r="BV38" s="12">
        <v>0</v>
      </c>
      <c r="BW38" s="12">
        <v>0</v>
      </c>
      <c r="BX38" s="12">
        <v>0</v>
      </c>
      <c r="BY38" s="12">
        <v>0</v>
      </c>
      <c r="BZ38" s="12">
        <v>0</v>
      </c>
      <c r="CA38" s="12">
        <v>0</v>
      </c>
    </row>
    <row r="39" spans="1:79" hidden="1" x14ac:dyDescent="0.2">
      <c r="A39" s="12" t="s">
        <v>102</v>
      </c>
      <c r="B39" s="12" t="s">
        <v>105</v>
      </c>
      <c r="C39" s="12" t="s">
        <v>105</v>
      </c>
      <c r="D39" s="22" t="s">
        <v>208</v>
      </c>
      <c r="E39" s="22" t="s">
        <v>161</v>
      </c>
      <c r="F39" s="22" t="s">
        <v>646</v>
      </c>
      <c r="G39" s="22" t="s">
        <v>647</v>
      </c>
      <c r="H39" s="22" t="s">
        <v>150</v>
      </c>
      <c r="I39" s="22" t="s">
        <v>151</v>
      </c>
      <c r="J39" s="22" t="s">
        <v>181</v>
      </c>
      <c r="K39" s="22" t="s">
        <v>66</v>
      </c>
      <c r="L39" s="54" t="s">
        <v>153</v>
      </c>
      <c r="M39" s="24" t="s">
        <v>156</v>
      </c>
      <c r="N39" s="24" t="s">
        <v>153</v>
      </c>
      <c r="O39" s="23" t="s">
        <v>153</v>
      </c>
      <c r="P39" s="23" t="s">
        <v>153</v>
      </c>
      <c r="Q39" s="23" t="s">
        <v>153</v>
      </c>
      <c r="R39" s="23" t="s">
        <v>153</v>
      </c>
      <c r="S39" s="33" t="s">
        <v>201</v>
      </c>
      <c r="T39" s="24" t="s">
        <v>156</v>
      </c>
      <c r="U39" s="24" t="s">
        <v>153</v>
      </c>
      <c r="V39" s="54" t="s">
        <v>153</v>
      </c>
      <c r="W39" s="23" t="s">
        <v>153</v>
      </c>
      <c r="X39" s="23" t="s">
        <v>153</v>
      </c>
      <c r="Y39" s="23" t="s">
        <v>153</v>
      </c>
      <c r="Z39" s="23" t="s">
        <v>153</v>
      </c>
      <c r="AA39" s="23" t="s">
        <v>153</v>
      </c>
      <c r="AB39" s="24" t="s">
        <v>153</v>
      </c>
      <c r="AC39" s="23" t="s">
        <v>153</v>
      </c>
      <c r="AD39" s="33" t="s">
        <v>201</v>
      </c>
      <c r="AE39" s="23" t="s">
        <v>153</v>
      </c>
      <c r="AF39" s="23" t="s">
        <v>153</v>
      </c>
      <c r="AG39" s="23" t="s">
        <v>153</v>
      </c>
      <c r="AH39" s="24" t="s">
        <v>156</v>
      </c>
      <c r="AI39" s="24" t="s">
        <v>153</v>
      </c>
      <c r="AJ39" s="28" t="s">
        <v>338</v>
      </c>
      <c r="AK39" s="28" t="s">
        <v>338</v>
      </c>
      <c r="AL39" s="28" t="s">
        <v>338</v>
      </c>
      <c r="AM39" s="23" t="s">
        <v>153</v>
      </c>
      <c r="AN39" s="23" t="s">
        <v>153</v>
      </c>
      <c r="AO39" s="24" t="s">
        <v>156</v>
      </c>
      <c r="AP39" s="23">
        <f>VALUE(0)</f>
        <v>0</v>
      </c>
      <c r="AQ39" s="23">
        <f>VALUE(0)</f>
        <v>0</v>
      </c>
      <c r="AR39" s="23">
        <f>VALUE(0)</f>
        <v>0</v>
      </c>
      <c r="AS39" s="23">
        <f>VALUE(0)</f>
        <v>0</v>
      </c>
      <c r="AT39" s="23">
        <f>VALUE(3)</f>
        <v>3</v>
      </c>
      <c r="AU39" s="23">
        <f>VALUE(0)</f>
        <v>0</v>
      </c>
      <c r="AV39" s="23">
        <f>VALUE(12)</f>
        <v>12</v>
      </c>
      <c r="AW39" s="23">
        <f>VALUE(0)</f>
        <v>0</v>
      </c>
      <c r="AX39" s="23" t="s">
        <v>171</v>
      </c>
      <c r="AY39" s="23" t="s">
        <v>1179</v>
      </c>
      <c r="AZ39" s="23">
        <f>VALUE(0)</f>
        <v>0</v>
      </c>
      <c r="BA39" s="23">
        <f>VALUE(0)</f>
        <v>0</v>
      </c>
      <c r="BB39" s="23">
        <f>VALUE(2)</f>
        <v>2</v>
      </c>
      <c r="BC39" s="23">
        <f>VALUE(0)</f>
        <v>0</v>
      </c>
      <c r="BD39" s="23">
        <f>VALUE(0)</f>
        <v>0</v>
      </c>
      <c r="BE39" s="23">
        <f>VALUE(0)</f>
        <v>0</v>
      </c>
      <c r="BF39" s="23">
        <f>VALUE(0)</f>
        <v>0</v>
      </c>
      <c r="BG39" s="23">
        <f>VALUE(0)</f>
        <v>0</v>
      </c>
      <c r="BH39" s="23">
        <f>VALUE(0)</f>
        <v>0</v>
      </c>
      <c r="BI39" s="23">
        <f>VALUE(0)</f>
        <v>0</v>
      </c>
      <c r="BJ39" s="23">
        <f>VALUE(0)</f>
        <v>0</v>
      </c>
      <c r="BK39" s="12">
        <f>$AX$39*24</f>
        <v>5.833333333333333</v>
      </c>
      <c r="BL39" s="12">
        <f>$AY$39*24</f>
        <v>13.7</v>
      </c>
      <c r="BM39" s="12">
        <f>$BJ$39*24</f>
        <v>0</v>
      </c>
      <c r="BN39" s="12">
        <f>VALUE($I$39)/100</f>
        <v>1</v>
      </c>
      <c r="BO39" s="12">
        <v>0</v>
      </c>
      <c r="BP39" s="12">
        <v>0</v>
      </c>
      <c r="BQ39" s="12">
        <v>0</v>
      </c>
      <c r="BR39" s="12">
        <v>0</v>
      </c>
      <c r="BS39" s="12">
        <v>0</v>
      </c>
      <c r="BT39" s="12">
        <v>0</v>
      </c>
      <c r="BU39" s="12">
        <v>0</v>
      </c>
      <c r="BV39" s="12">
        <v>0</v>
      </c>
      <c r="BW39" s="12">
        <v>0</v>
      </c>
      <c r="BX39" s="12">
        <v>0</v>
      </c>
      <c r="BY39" s="12">
        <v>3</v>
      </c>
      <c r="BZ39" s="12">
        <v>0</v>
      </c>
      <c r="CA39" s="12">
        <v>0</v>
      </c>
    </row>
    <row r="40" spans="1:79" hidden="1" x14ac:dyDescent="0.2">
      <c r="A40" s="12" t="s">
        <v>102</v>
      </c>
      <c r="B40" s="12" t="s">
        <v>105</v>
      </c>
      <c r="C40" s="12" t="s">
        <v>105</v>
      </c>
      <c r="D40" s="22" t="s">
        <v>232</v>
      </c>
      <c r="E40" s="22" t="s">
        <v>161</v>
      </c>
      <c r="F40" s="22" t="s">
        <v>648</v>
      </c>
      <c r="G40" s="22" t="s">
        <v>649</v>
      </c>
      <c r="H40" s="22" t="s">
        <v>150</v>
      </c>
      <c r="I40" s="22" t="s">
        <v>151</v>
      </c>
      <c r="J40" s="22" t="s">
        <v>181</v>
      </c>
      <c r="K40" s="22" t="s">
        <v>66</v>
      </c>
      <c r="L40" s="54" t="s">
        <v>153</v>
      </c>
      <c r="M40" s="24" t="s">
        <v>156</v>
      </c>
      <c r="N40" s="24" t="s">
        <v>153</v>
      </c>
      <c r="O40" s="23" t="s">
        <v>153</v>
      </c>
      <c r="P40" s="23" t="s">
        <v>153</v>
      </c>
      <c r="Q40" s="23" t="s">
        <v>153</v>
      </c>
      <c r="R40" s="23" t="s">
        <v>153</v>
      </c>
      <c r="S40" s="23" t="s">
        <v>153</v>
      </c>
      <c r="T40" s="24" t="s">
        <v>156</v>
      </c>
      <c r="U40" s="24" t="s">
        <v>153</v>
      </c>
      <c r="V40" s="54" t="s">
        <v>153</v>
      </c>
      <c r="W40" s="23" t="s">
        <v>153</v>
      </c>
      <c r="X40" s="23" t="s">
        <v>153</v>
      </c>
      <c r="Y40" s="23" t="s">
        <v>153</v>
      </c>
      <c r="Z40" s="23" t="s">
        <v>153</v>
      </c>
      <c r="AA40" s="23" t="s">
        <v>153</v>
      </c>
      <c r="AB40" s="24" t="s">
        <v>153</v>
      </c>
      <c r="AC40" s="23" t="s">
        <v>153</v>
      </c>
      <c r="AD40" s="23" t="s">
        <v>153</v>
      </c>
      <c r="AE40" s="23" t="s">
        <v>153</v>
      </c>
      <c r="AF40" s="23" t="s">
        <v>153</v>
      </c>
      <c r="AG40" s="23" t="s">
        <v>153</v>
      </c>
      <c r="AH40" s="24" t="s">
        <v>156</v>
      </c>
      <c r="AI40" s="24" t="s">
        <v>153</v>
      </c>
      <c r="AJ40" s="23" t="s">
        <v>153</v>
      </c>
      <c r="AK40" s="23" t="s">
        <v>153</v>
      </c>
      <c r="AL40" s="23" t="s">
        <v>153</v>
      </c>
      <c r="AM40" s="23" t="s">
        <v>153</v>
      </c>
      <c r="AN40" s="23" t="s">
        <v>153</v>
      </c>
      <c r="AO40" s="24" t="s">
        <v>156</v>
      </c>
      <c r="AP40" s="23">
        <f>VALUE(0)</f>
        <v>0</v>
      </c>
      <c r="AQ40" s="23">
        <f>VALUE(0)</f>
        <v>0</v>
      </c>
      <c r="AR40" s="23">
        <f>VALUE(0)</f>
        <v>0</v>
      </c>
      <c r="AS40" s="23">
        <f>VALUE(0)</f>
        <v>0</v>
      </c>
      <c r="AT40" s="23">
        <f>VALUE(0)</f>
        <v>0</v>
      </c>
      <c r="AU40" s="23">
        <f>VALUE(0)</f>
        <v>0</v>
      </c>
      <c r="AV40" s="23">
        <f>VALUE(7)</f>
        <v>7</v>
      </c>
      <c r="AW40" s="23">
        <f>VALUE(0)</f>
        <v>0</v>
      </c>
      <c r="AX40" s="23" t="s">
        <v>171</v>
      </c>
      <c r="AY40" s="23" t="s">
        <v>233</v>
      </c>
      <c r="AZ40" s="23">
        <f>VALUE(0)</f>
        <v>0</v>
      </c>
      <c r="BA40" s="23">
        <f>VALUE(0)</f>
        <v>0</v>
      </c>
      <c r="BB40" s="23">
        <f>VALUE(0)</f>
        <v>0</v>
      </c>
      <c r="BC40" s="23">
        <f>VALUE(0)</f>
        <v>0</v>
      </c>
      <c r="BD40" s="23">
        <f>VALUE(0)</f>
        <v>0</v>
      </c>
      <c r="BE40" s="23">
        <f>VALUE(0)</f>
        <v>0</v>
      </c>
      <c r="BF40" s="23">
        <f>VALUE(0)</f>
        <v>0</v>
      </c>
      <c r="BG40" s="23">
        <f>VALUE(0)</f>
        <v>0</v>
      </c>
      <c r="BH40" s="23">
        <f>VALUE(0)</f>
        <v>0</v>
      </c>
      <c r="BI40" s="23">
        <f>VALUE(0)</f>
        <v>0</v>
      </c>
      <c r="BJ40" s="23">
        <f>VALUE(0)</f>
        <v>0</v>
      </c>
      <c r="BK40" s="12">
        <f>$AX$40*24</f>
        <v>5.833333333333333</v>
      </c>
      <c r="BL40" s="12">
        <f>$AY$40*24</f>
        <v>20.6</v>
      </c>
      <c r="BM40" s="12">
        <f>$BJ$40*24</f>
        <v>0</v>
      </c>
      <c r="BN40" s="12">
        <f>VALUE($I$40)/100</f>
        <v>1</v>
      </c>
      <c r="BO40" s="12">
        <v>0</v>
      </c>
      <c r="BP40" s="12">
        <v>0</v>
      </c>
      <c r="BQ40" s="12">
        <v>0</v>
      </c>
      <c r="BR40" s="12">
        <v>0</v>
      </c>
      <c r="BS40" s="12">
        <v>0</v>
      </c>
      <c r="BT40" s="12">
        <v>0</v>
      </c>
      <c r="BU40" s="12">
        <v>0</v>
      </c>
      <c r="BV40" s="12">
        <v>0</v>
      </c>
      <c r="BW40" s="12">
        <v>0</v>
      </c>
      <c r="BX40" s="12">
        <v>0</v>
      </c>
      <c r="BY40" s="12">
        <v>0</v>
      </c>
      <c r="BZ40" s="12">
        <v>0</v>
      </c>
      <c r="CA40" s="12">
        <v>0</v>
      </c>
    </row>
    <row r="41" spans="1:79" hidden="1" x14ac:dyDescent="0.2">
      <c r="A41" s="12" t="s">
        <v>102</v>
      </c>
      <c r="B41" s="12" t="s">
        <v>105</v>
      </c>
      <c r="C41" s="12" t="s">
        <v>105</v>
      </c>
      <c r="D41" s="22" t="s">
        <v>234</v>
      </c>
      <c r="E41" s="22" t="s">
        <v>161</v>
      </c>
      <c r="F41" s="22" t="s">
        <v>650</v>
      </c>
      <c r="G41" s="22" t="s">
        <v>651</v>
      </c>
      <c r="H41" s="22" t="s">
        <v>166</v>
      </c>
      <c r="I41" s="22" t="s">
        <v>151</v>
      </c>
      <c r="J41" s="22" t="s">
        <v>181</v>
      </c>
      <c r="K41" s="22" t="s">
        <v>66</v>
      </c>
      <c r="L41" s="54" t="s">
        <v>153</v>
      </c>
      <c r="M41" s="24" t="s">
        <v>156</v>
      </c>
      <c r="N41" s="24" t="s">
        <v>153</v>
      </c>
      <c r="O41" s="23" t="s">
        <v>153</v>
      </c>
      <c r="P41" s="23" t="s">
        <v>153</v>
      </c>
      <c r="Q41" s="23" t="s">
        <v>153</v>
      </c>
      <c r="R41" s="23" t="s">
        <v>153</v>
      </c>
      <c r="S41" s="23" t="s">
        <v>153</v>
      </c>
      <c r="T41" s="23" t="s">
        <v>153</v>
      </c>
      <c r="U41" s="24" t="s">
        <v>153</v>
      </c>
      <c r="V41" s="54" t="s">
        <v>153</v>
      </c>
      <c r="W41" s="23" t="s">
        <v>153</v>
      </c>
      <c r="X41" s="23" t="s">
        <v>153</v>
      </c>
      <c r="Y41" s="23" t="s">
        <v>153</v>
      </c>
      <c r="Z41" s="23" t="s">
        <v>153</v>
      </c>
      <c r="AA41" s="24" t="s">
        <v>156</v>
      </c>
      <c r="AB41" s="24" t="s">
        <v>153</v>
      </c>
      <c r="AC41" s="23" t="s">
        <v>153</v>
      </c>
      <c r="AD41" s="23" t="s">
        <v>153</v>
      </c>
      <c r="AE41" s="23" t="s">
        <v>153</v>
      </c>
      <c r="AF41" s="23" t="s">
        <v>153</v>
      </c>
      <c r="AG41" s="23" t="s">
        <v>153</v>
      </c>
      <c r="AH41" s="24" t="s">
        <v>156</v>
      </c>
      <c r="AI41" s="24" t="s">
        <v>153</v>
      </c>
      <c r="AJ41" s="23" t="s">
        <v>153</v>
      </c>
      <c r="AK41" s="23" t="s">
        <v>153</v>
      </c>
      <c r="AL41" s="23" t="s">
        <v>153</v>
      </c>
      <c r="AM41" s="23" t="s">
        <v>153</v>
      </c>
      <c r="AN41" s="23" t="s">
        <v>153</v>
      </c>
      <c r="AO41" s="23" t="s">
        <v>153</v>
      </c>
      <c r="AP41" s="23">
        <f>VALUE(0)</f>
        <v>0</v>
      </c>
      <c r="AQ41" s="23">
        <f>VALUE(0)</f>
        <v>0</v>
      </c>
      <c r="AR41" s="23">
        <f>VALUE(0)</f>
        <v>0</v>
      </c>
      <c r="AS41" s="23">
        <f>VALUE(0)</f>
        <v>0</v>
      </c>
      <c r="AT41" s="23">
        <f>VALUE(0)</f>
        <v>0</v>
      </c>
      <c r="AU41" s="23">
        <f>VALUE(0)</f>
        <v>0</v>
      </c>
      <c r="AV41" s="23">
        <f>VALUE(8)</f>
        <v>8</v>
      </c>
      <c r="AW41" s="23">
        <f>VALUE(0)</f>
        <v>0</v>
      </c>
      <c r="AX41" s="23" t="s">
        <v>1180</v>
      </c>
      <c r="AY41" s="23">
        <f>VALUE(0)</f>
        <v>0</v>
      </c>
      <c r="AZ41" s="23">
        <f>VALUE(0)</f>
        <v>0</v>
      </c>
      <c r="BA41" s="23">
        <f>VALUE(0)</f>
        <v>0</v>
      </c>
      <c r="BB41" s="23">
        <f>VALUE(0)</f>
        <v>0</v>
      </c>
      <c r="BC41" s="23">
        <f>VALUE(0)</f>
        <v>0</v>
      </c>
      <c r="BD41" s="23">
        <f>VALUE(0)</f>
        <v>0</v>
      </c>
      <c r="BE41" s="23">
        <f>VALUE(0)</f>
        <v>0</v>
      </c>
      <c r="BF41" s="23">
        <f>VALUE(0)</f>
        <v>0</v>
      </c>
      <c r="BG41" s="23">
        <f>VALUE(0)</f>
        <v>0</v>
      </c>
      <c r="BH41" s="23">
        <f>VALUE(0)</f>
        <v>0</v>
      </c>
      <c r="BI41" s="23">
        <f>VALUE(0)</f>
        <v>0</v>
      </c>
      <c r="BJ41" s="23">
        <f>VALUE(0)</f>
        <v>0</v>
      </c>
      <c r="BK41" s="12">
        <f>$AX$41*24</f>
        <v>10.383333333333333</v>
      </c>
      <c r="BL41" s="12">
        <f>$AY$41*24</f>
        <v>0</v>
      </c>
      <c r="BM41" s="12">
        <f>$BJ$41*24</f>
        <v>0</v>
      </c>
      <c r="BN41" s="12">
        <f>VALUE($I$41)/100</f>
        <v>1</v>
      </c>
      <c r="BO41" s="12">
        <v>0</v>
      </c>
      <c r="BP41" s="12">
        <v>0</v>
      </c>
      <c r="BQ41" s="12">
        <v>0</v>
      </c>
      <c r="BR41" s="12">
        <v>0</v>
      </c>
      <c r="BS41" s="12">
        <v>0</v>
      </c>
      <c r="BT41" s="12">
        <v>0</v>
      </c>
      <c r="BU41" s="12">
        <v>0</v>
      </c>
      <c r="BV41" s="12">
        <v>0</v>
      </c>
      <c r="BW41" s="12">
        <v>0</v>
      </c>
      <c r="BX41" s="12">
        <v>0</v>
      </c>
      <c r="BY41" s="12">
        <v>0</v>
      </c>
      <c r="BZ41" s="12">
        <v>0</v>
      </c>
      <c r="CA41" s="12">
        <v>0</v>
      </c>
    </row>
    <row r="42" spans="1:79" hidden="1" x14ac:dyDescent="0.2">
      <c r="A42" s="12" t="s">
        <v>102</v>
      </c>
      <c r="B42" s="12" t="s">
        <v>105</v>
      </c>
      <c r="C42" s="12" t="s">
        <v>105</v>
      </c>
      <c r="D42" s="22" t="s">
        <v>231</v>
      </c>
      <c r="E42" s="22" t="s">
        <v>161</v>
      </c>
      <c r="F42" s="22" t="s">
        <v>652</v>
      </c>
      <c r="G42" s="22" t="s">
        <v>653</v>
      </c>
      <c r="H42" s="22" t="s">
        <v>150</v>
      </c>
      <c r="I42" s="22" t="s">
        <v>151</v>
      </c>
      <c r="J42" s="22" t="s">
        <v>181</v>
      </c>
      <c r="K42" s="22" t="s">
        <v>66</v>
      </c>
      <c r="L42" s="54" t="s">
        <v>153</v>
      </c>
      <c r="M42" s="24" t="s">
        <v>156</v>
      </c>
      <c r="N42" s="24" t="s">
        <v>153</v>
      </c>
      <c r="O42" s="28" t="s">
        <v>163</v>
      </c>
      <c r="P42" s="28" t="s">
        <v>163</v>
      </c>
      <c r="Q42" s="28" t="s">
        <v>163</v>
      </c>
      <c r="R42" s="28" t="s">
        <v>163</v>
      </c>
      <c r="S42" s="28" t="s">
        <v>163</v>
      </c>
      <c r="T42" s="28" t="s">
        <v>163</v>
      </c>
      <c r="U42" s="24" t="s">
        <v>153</v>
      </c>
      <c r="V42" s="54" t="s">
        <v>153</v>
      </c>
      <c r="W42" s="23" t="s">
        <v>153</v>
      </c>
      <c r="X42" s="23" t="s">
        <v>153</v>
      </c>
      <c r="Y42" s="23" t="s">
        <v>153</v>
      </c>
      <c r="Z42" s="23" t="s">
        <v>153</v>
      </c>
      <c r="AA42" s="24" t="s">
        <v>156</v>
      </c>
      <c r="AB42" s="24" t="s">
        <v>153</v>
      </c>
      <c r="AC42" s="23" t="s">
        <v>153</v>
      </c>
      <c r="AD42" s="23" t="s">
        <v>153</v>
      </c>
      <c r="AE42" s="23" t="s">
        <v>153</v>
      </c>
      <c r="AF42" s="23" t="s">
        <v>153</v>
      </c>
      <c r="AG42" s="23" t="s">
        <v>153</v>
      </c>
      <c r="AH42" s="24" t="s">
        <v>156</v>
      </c>
      <c r="AI42" s="24" t="s">
        <v>153</v>
      </c>
      <c r="AJ42" s="23" t="s">
        <v>153</v>
      </c>
      <c r="AK42" s="23" t="s">
        <v>153</v>
      </c>
      <c r="AL42" s="23" t="s">
        <v>153</v>
      </c>
      <c r="AM42" s="23" t="s">
        <v>153</v>
      </c>
      <c r="AN42" s="23" t="s">
        <v>153</v>
      </c>
      <c r="AO42" s="23" t="s">
        <v>153</v>
      </c>
      <c r="AP42" s="23">
        <f>VALUE(0)</f>
        <v>0</v>
      </c>
      <c r="AQ42" s="23">
        <f>VALUE(0)</f>
        <v>0</v>
      </c>
      <c r="AR42" s="23">
        <f>VALUE(0)</f>
        <v>0</v>
      </c>
      <c r="AS42" s="23">
        <f>VALUE(0)</f>
        <v>0</v>
      </c>
      <c r="AT42" s="23">
        <f>VALUE(0)</f>
        <v>0</v>
      </c>
      <c r="AU42" s="23">
        <f>VALUE(6)</f>
        <v>6</v>
      </c>
      <c r="AV42" s="23">
        <f>VALUE(6)</f>
        <v>6</v>
      </c>
      <c r="AW42" s="23">
        <f>VALUE(0)</f>
        <v>0</v>
      </c>
      <c r="AX42" s="23">
        <f>VALUE(0)</f>
        <v>0</v>
      </c>
      <c r="AY42" s="23" t="s">
        <v>235</v>
      </c>
      <c r="AZ42" s="23">
        <f>VALUE(0)</f>
        <v>0</v>
      </c>
      <c r="BA42" s="23">
        <f>VALUE(0)</f>
        <v>0</v>
      </c>
      <c r="BB42" s="23">
        <f>VALUE(0)</f>
        <v>0</v>
      </c>
      <c r="BC42" s="23">
        <f>VALUE(0)</f>
        <v>0</v>
      </c>
      <c r="BD42" s="23">
        <f>VALUE(0)</f>
        <v>0</v>
      </c>
      <c r="BE42" s="23">
        <f>VALUE(0)</f>
        <v>0</v>
      </c>
      <c r="BF42" s="23">
        <f>VALUE(0)</f>
        <v>0</v>
      </c>
      <c r="BG42" s="23">
        <f>VALUE(0)</f>
        <v>0</v>
      </c>
      <c r="BH42" s="23">
        <f>VALUE(0)</f>
        <v>0</v>
      </c>
      <c r="BI42" s="23">
        <f>VALUE(0)</f>
        <v>0</v>
      </c>
      <c r="BJ42" s="23">
        <f>VALUE(0)</f>
        <v>0</v>
      </c>
      <c r="BK42" s="12">
        <f>$AX$42*24</f>
        <v>0</v>
      </c>
      <c r="BL42" s="12">
        <f>$AY$42*24</f>
        <v>2.8</v>
      </c>
      <c r="BM42" s="12">
        <f>$BJ$42*24</f>
        <v>0</v>
      </c>
      <c r="BN42" s="12">
        <f>VALUE($I$42)/100</f>
        <v>1</v>
      </c>
      <c r="BO42" s="12">
        <v>0</v>
      </c>
      <c r="BP42" s="12">
        <v>0</v>
      </c>
      <c r="BQ42" s="12">
        <v>0</v>
      </c>
      <c r="BR42" s="12">
        <v>0</v>
      </c>
      <c r="BS42" s="12">
        <v>0</v>
      </c>
      <c r="BT42" s="12">
        <v>0</v>
      </c>
      <c r="BU42" s="12">
        <v>0</v>
      </c>
      <c r="BV42" s="12">
        <v>0</v>
      </c>
      <c r="BW42" s="12">
        <v>0</v>
      </c>
      <c r="BX42" s="12">
        <v>0</v>
      </c>
      <c r="BY42" s="12">
        <v>0</v>
      </c>
      <c r="BZ42" s="12">
        <v>0</v>
      </c>
      <c r="CA42" s="12">
        <v>0</v>
      </c>
    </row>
    <row r="43" spans="1:79" hidden="1" x14ac:dyDescent="0.2">
      <c r="A43" s="12" t="s">
        <v>102</v>
      </c>
      <c r="B43" s="12" t="s">
        <v>105</v>
      </c>
      <c r="C43" s="12" t="s">
        <v>105</v>
      </c>
      <c r="D43" s="22" t="s">
        <v>209</v>
      </c>
      <c r="E43" s="22" t="s">
        <v>161</v>
      </c>
      <c r="F43" s="22" t="s">
        <v>654</v>
      </c>
      <c r="G43" s="22" t="s">
        <v>655</v>
      </c>
      <c r="H43" s="22" t="s">
        <v>166</v>
      </c>
      <c r="I43" s="22" t="s">
        <v>151</v>
      </c>
      <c r="J43" s="22" t="s">
        <v>181</v>
      </c>
      <c r="K43" s="22" t="s">
        <v>66</v>
      </c>
      <c r="L43" s="54" t="s">
        <v>153</v>
      </c>
      <c r="M43" s="24" t="s">
        <v>156</v>
      </c>
      <c r="N43" s="24" t="s">
        <v>153</v>
      </c>
      <c r="O43" s="23" t="s">
        <v>153</v>
      </c>
      <c r="P43" s="23" t="s">
        <v>153</v>
      </c>
      <c r="Q43" s="23" t="s">
        <v>153</v>
      </c>
      <c r="R43" s="23" t="s">
        <v>153</v>
      </c>
      <c r="S43" s="23" t="s">
        <v>153</v>
      </c>
      <c r="T43" s="23" t="s">
        <v>153</v>
      </c>
      <c r="U43" s="24" t="s">
        <v>153</v>
      </c>
      <c r="V43" s="54" t="s">
        <v>153</v>
      </c>
      <c r="W43" s="23" t="s">
        <v>153</v>
      </c>
      <c r="X43" s="23" t="s">
        <v>153</v>
      </c>
      <c r="Y43" s="23" t="s">
        <v>153</v>
      </c>
      <c r="Z43" s="23" t="s">
        <v>153</v>
      </c>
      <c r="AA43" s="24" t="s">
        <v>156</v>
      </c>
      <c r="AB43" s="24" t="s">
        <v>153</v>
      </c>
      <c r="AC43" s="23" t="s">
        <v>153</v>
      </c>
      <c r="AD43" s="23" t="s">
        <v>153</v>
      </c>
      <c r="AE43" s="23" t="s">
        <v>153</v>
      </c>
      <c r="AF43" s="23" t="s">
        <v>153</v>
      </c>
      <c r="AG43" s="23" t="s">
        <v>153</v>
      </c>
      <c r="AH43" s="24" t="s">
        <v>156</v>
      </c>
      <c r="AI43" s="24" t="s">
        <v>153</v>
      </c>
      <c r="AJ43" s="23" t="s">
        <v>153</v>
      </c>
      <c r="AK43" s="23" t="s">
        <v>153</v>
      </c>
      <c r="AL43" s="23" t="s">
        <v>153</v>
      </c>
      <c r="AM43" s="23" t="s">
        <v>153</v>
      </c>
      <c r="AN43" s="23" t="s">
        <v>153</v>
      </c>
      <c r="AO43" s="23" t="s">
        <v>153</v>
      </c>
      <c r="AP43" s="23">
        <f>VALUE(0)</f>
        <v>0</v>
      </c>
      <c r="AQ43" s="23">
        <f>VALUE(0)</f>
        <v>0</v>
      </c>
      <c r="AR43" s="23">
        <f>VALUE(0)</f>
        <v>0</v>
      </c>
      <c r="AS43" s="23">
        <f>VALUE(0)</f>
        <v>0</v>
      </c>
      <c r="AT43" s="23">
        <f>VALUE(0)</f>
        <v>0</v>
      </c>
      <c r="AU43" s="23">
        <f>VALUE(0)</f>
        <v>0</v>
      </c>
      <c r="AV43" s="23">
        <f>VALUE(8.5)</f>
        <v>8.5</v>
      </c>
      <c r="AW43" s="23">
        <f>VALUE(0)</f>
        <v>0</v>
      </c>
      <c r="AX43" s="23" t="s">
        <v>236</v>
      </c>
      <c r="AY43" s="23">
        <f>VALUE(0)</f>
        <v>0</v>
      </c>
      <c r="AZ43" s="23">
        <f>VALUE(0)</f>
        <v>0</v>
      </c>
      <c r="BA43" s="23">
        <f>VALUE(0)</f>
        <v>0</v>
      </c>
      <c r="BB43" s="23">
        <f>VALUE(0)</f>
        <v>0</v>
      </c>
      <c r="BC43" s="23">
        <f>VALUE(0)</f>
        <v>0</v>
      </c>
      <c r="BD43" s="23">
        <f>VALUE(0)</f>
        <v>0</v>
      </c>
      <c r="BE43" s="23">
        <f>VALUE(0)</f>
        <v>0</v>
      </c>
      <c r="BF43" s="23">
        <f>VALUE(0)</f>
        <v>0</v>
      </c>
      <c r="BG43" s="23">
        <f>VALUE(0)</f>
        <v>0</v>
      </c>
      <c r="BH43" s="23">
        <f>VALUE(0)</f>
        <v>0</v>
      </c>
      <c r="BI43" s="23">
        <f>VALUE(0)</f>
        <v>0</v>
      </c>
      <c r="BJ43" s="23">
        <f>VALUE(0)</f>
        <v>0</v>
      </c>
      <c r="BK43" s="12">
        <f>$AX$43*24</f>
        <v>12.666666666666668</v>
      </c>
      <c r="BL43" s="12">
        <f>$AY$43*24</f>
        <v>0</v>
      </c>
      <c r="BM43" s="12">
        <f>$BJ$43*24</f>
        <v>0</v>
      </c>
      <c r="BN43" s="12">
        <f>VALUE($I$43)/100</f>
        <v>1</v>
      </c>
      <c r="BO43" s="12">
        <v>0</v>
      </c>
      <c r="BP43" s="12">
        <v>0</v>
      </c>
      <c r="BQ43" s="12">
        <v>0</v>
      </c>
      <c r="BR43" s="12">
        <v>0</v>
      </c>
      <c r="BS43" s="12">
        <v>0</v>
      </c>
      <c r="BT43" s="12">
        <v>0</v>
      </c>
      <c r="BU43" s="12">
        <v>0</v>
      </c>
      <c r="BV43" s="12">
        <v>0</v>
      </c>
      <c r="BW43" s="12">
        <v>0</v>
      </c>
      <c r="BX43" s="12">
        <v>0</v>
      </c>
      <c r="BY43" s="12">
        <v>0</v>
      </c>
      <c r="BZ43" s="12">
        <v>0</v>
      </c>
      <c r="CA43" s="12">
        <v>0</v>
      </c>
    </row>
    <row r="44" spans="1:79" ht="16.5" hidden="1" x14ac:dyDescent="0.2">
      <c r="A44" s="12" t="s">
        <v>102</v>
      </c>
      <c r="B44" s="12" t="s">
        <v>105</v>
      </c>
      <c r="C44" s="12" t="s">
        <v>105</v>
      </c>
      <c r="D44" s="22" t="s">
        <v>237</v>
      </c>
      <c r="E44" s="22" t="s">
        <v>173</v>
      </c>
      <c r="F44" s="22" t="s">
        <v>656</v>
      </c>
      <c r="G44" s="22" t="s">
        <v>657</v>
      </c>
      <c r="H44" s="22" t="s">
        <v>166</v>
      </c>
      <c r="I44" s="22" t="s">
        <v>151</v>
      </c>
      <c r="J44" s="22" t="s">
        <v>181</v>
      </c>
      <c r="K44" s="22" t="s">
        <v>66</v>
      </c>
      <c r="L44" s="54" t="s">
        <v>153</v>
      </c>
      <c r="M44" s="34" t="s">
        <v>229</v>
      </c>
      <c r="N44" s="24" t="s">
        <v>153</v>
      </c>
      <c r="O44" s="23" t="s">
        <v>231</v>
      </c>
      <c r="P44" s="23" t="s">
        <v>231</v>
      </c>
      <c r="Q44" s="23" t="s">
        <v>231</v>
      </c>
      <c r="R44" s="23" t="s">
        <v>231</v>
      </c>
      <c r="S44" s="23" t="s">
        <v>231</v>
      </c>
      <c r="T44" s="23" t="s">
        <v>231</v>
      </c>
      <c r="U44" s="24" t="s">
        <v>153</v>
      </c>
      <c r="V44" s="54" t="s">
        <v>153</v>
      </c>
      <c r="W44" s="26" t="s">
        <v>1181</v>
      </c>
      <c r="X44" s="26" t="s">
        <v>1181</v>
      </c>
      <c r="Y44" s="33" t="s">
        <v>201</v>
      </c>
      <c r="Z44" s="26" t="s">
        <v>1181</v>
      </c>
      <c r="AA44" s="24" t="s">
        <v>156</v>
      </c>
      <c r="AB44" s="24" t="s">
        <v>153</v>
      </c>
      <c r="AC44" s="26" t="s">
        <v>1181</v>
      </c>
      <c r="AD44" s="26" t="s">
        <v>1181</v>
      </c>
      <c r="AE44" s="26" t="s">
        <v>1181</v>
      </c>
      <c r="AF44" s="26" t="s">
        <v>1181</v>
      </c>
      <c r="AG44" s="26" t="s">
        <v>1181</v>
      </c>
      <c r="AH44" s="24" t="s">
        <v>156</v>
      </c>
      <c r="AI44" s="24" t="s">
        <v>153</v>
      </c>
      <c r="AJ44" s="28" t="s">
        <v>163</v>
      </c>
      <c r="AK44" s="28" t="s">
        <v>163</v>
      </c>
      <c r="AL44" s="28" t="s">
        <v>163</v>
      </c>
      <c r="AM44" s="28" t="s">
        <v>163</v>
      </c>
      <c r="AN44" s="28" t="s">
        <v>163</v>
      </c>
      <c r="AO44" s="28" t="s">
        <v>163</v>
      </c>
      <c r="AP44" s="23">
        <f>VALUE(4)</f>
        <v>4</v>
      </c>
      <c r="AQ44" s="23">
        <f>VALUE(0)</f>
        <v>0</v>
      </c>
      <c r="AR44" s="23">
        <f>VALUE(0)</f>
        <v>0</v>
      </c>
      <c r="AS44" s="23">
        <f>VALUE(0)</f>
        <v>0</v>
      </c>
      <c r="AT44" s="23">
        <f>VALUE(0)</f>
        <v>0</v>
      </c>
      <c r="AU44" s="23">
        <f>VALUE(6)</f>
        <v>6</v>
      </c>
      <c r="AV44" s="23">
        <f>VALUE(6.5)</f>
        <v>6.5</v>
      </c>
      <c r="AW44" s="23">
        <f>VALUE(0)</f>
        <v>0</v>
      </c>
      <c r="AX44" s="23" t="s">
        <v>1182</v>
      </c>
      <c r="AY44" s="23">
        <f>VALUE(0)</f>
        <v>0</v>
      </c>
      <c r="AZ44" s="23">
        <f>VALUE(0)</f>
        <v>0</v>
      </c>
      <c r="BA44" s="23">
        <f>VALUE(0)</f>
        <v>0</v>
      </c>
      <c r="BB44" s="23">
        <f>VALUE(1)</f>
        <v>1</v>
      </c>
      <c r="BC44" s="23">
        <f>VALUE(0)</f>
        <v>0</v>
      </c>
      <c r="BD44" s="23">
        <f>VALUE(0)</f>
        <v>0</v>
      </c>
      <c r="BE44" s="23">
        <f>VALUE(0)</f>
        <v>0</v>
      </c>
      <c r="BF44" s="23">
        <f>VALUE(0)</f>
        <v>0</v>
      </c>
      <c r="BG44" s="23">
        <f>VALUE(0)</f>
        <v>0</v>
      </c>
      <c r="BH44" s="23">
        <f>VALUE(0)</f>
        <v>0</v>
      </c>
      <c r="BI44" s="23">
        <f>VALUE(0)</f>
        <v>0</v>
      </c>
      <c r="BJ44" s="23">
        <f>VALUE(0)</f>
        <v>0</v>
      </c>
      <c r="BK44" s="12">
        <f>$AX$44*24</f>
        <v>78.11666666666666</v>
      </c>
      <c r="BL44" s="12">
        <f>$AY$44*24</f>
        <v>0</v>
      </c>
      <c r="BM44" s="12">
        <f>$BJ$44*24</f>
        <v>0</v>
      </c>
      <c r="BN44" s="12">
        <f>VALUE($I$44)/100</f>
        <v>1</v>
      </c>
      <c r="BO44" s="12">
        <v>0</v>
      </c>
      <c r="BP44" s="12">
        <v>0</v>
      </c>
      <c r="BQ44" s="12">
        <v>0</v>
      </c>
      <c r="BR44" s="12">
        <v>0</v>
      </c>
      <c r="BS44" s="12">
        <v>0</v>
      </c>
      <c r="BT44" s="12">
        <v>0</v>
      </c>
      <c r="BU44" s="12">
        <v>0</v>
      </c>
      <c r="BV44" s="12">
        <v>0</v>
      </c>
      <c r="BW44" s="12">
        <v>0</v>
      </c>
      <c r="BX44" s="12">
        <v>0</v>
      </c>
      <c r="BY44" s="12">
        <v>0</v>
      </c>
      <c r="BZ44" s="12">
        <v>0</v>
      </c>
      <c r="CA44" s="12">
        <v>0</v>
      </c>
    </row>
    <row r="45" spans="1:79" hidden="1" x14ac:dyDescent="0.2">
      <c r="A45" s="12" t="s">
        <v>102</v>
      </c>
      <c r="B45" s="12" t="s">
        <v>105</v>
      </c>
      <c r="C45" s="12" t="s">
        <v>105</v>
      </c>
      <c r="D45" s="22" t="s">
        <v>238</v>
      </c>
      <c r="E45" s="22" t="s">
        <v>159</v>
      </c>
      <c r="F45" s="22" t="s">
        <v>658</v>
      </c>
      <c r="G45" s="22" t="s">
        <v>659</v>
      </c>
      <c r="H45" s="22" t="s">
        <v>166</v>
      </c>
      <c r="I45" s="22" t="s">
        <v>151</v>
      </c>
      <c r="J45" s="22" t="s">
        <v>181</v>
      </c>
      <c r="K45" s="22" t="s">
        <v>66</v>
      </c>
      <c r="L45" s="54" t="s">
        <v>153</v>
      </c>
      <c r="M45" s="32" t="s">
        <v>188</v>
      </c>
      <c r="N45" s="24" t="s">
        <v>153</v>
      </c>
      <c r="O45" s="32" t="s">
        <v>188</v>
      </c>
      <c r="P45" s="32" t="s">
        <v>188</v>
      </c>
      <c r="Q45" s="32" t="s">
        <v>188</v>
      </c>
      <c r="R45" s="32" t="s">
        <v>188</v>
      </c>
      <c r="S45" s="32" t="s">
        <v>188</v>
      </c>
      <c r="T45" s="32" t="s">
        <v>188</v>
      </c>
      <c r="U45" s="24" t="s">
        <v>153</v>
      </c>
      <c r="V45" s="54" t="s">
        <v>153</v>
      </c>
      <c r="W45" s="32" t="s">
        <v>188</v>
      </c>
      <c r="X45" s="32" t="s">
        <v>188</v>
      </c>
      <c r="Y45" s="32" t="s">
        <v>188</v>
      </c>
      <c r="Z45" s="32" t="s">
        <v>188</v>
      </c>
      <c r="AA45" s="32" t="s">
        <v>188</v>
      </c>
      <c r="AB45" s="24" t="s">
        <v>153</v>
      </c>
      <c r="AC45" s="32" t="s">
        <v>188</v>
      </c>
      <c r="AD45" s="32" t="s">
        <v>188</v>
      </c>
      <c r="AE45" s="32" t="s">
        <v>188</v>
      </c>
      <c r="AF45" s="32" t="s">
        <v>188</v>
      </c>
      <c r="AG45" s="32" t="s">
        <v>188</v>
      </c>
      <c r="AH45" s="32" t="s">
        <v>188</v>
      </c>
      <c r="AI45" s="24" t="s">
        <v>153</v>
      </c>
      <c r="AJ45" s="32" t="s">
        <v>188</v>
      </c>
      <c r="AK45" s="32" t="s">
        <v>188</v>
      </c>
      <c r="AL45" s="32" t="s">
        <v>188</v>
      </c>
      <c r="AM45" s="32" t="s">
        <v>188</v>
      </c>
      <c r="AN45" s="32" t="s">
        <v>188</v>
      </c>
      <c r="AO45" s="32" t="s">
        <v>188</v>
      </c>
      <c r="AP45" s="23">
        <f>VALUE(0)</f>
        <v>0</v>
      </c>
      <c r="AQ45" s="23">
        <f>VALUE(0)</f>
        <v>0</v>
      </c>
      <c r="AR45" s="23">
        <f>VALUE(0)</f>
        <v>0</v>
      </c>
      <c r="AS45" s="23">
        <f>VALUE(0)</f>
        <v>0</v>
      </c>
      <c r="AT45" s="23">
        <f>VALUE(0)</f>
        <v>0</v>
      </c>
      <c r="AU45" s="23">
        <f>VALUE(0)</f>
        <v>0</v>
      </c>
      <c r="AV45" s="23">
        <f>VALUE(32)</f>
        <v>32</v>
      </c>
      <c r="AW45" s="23">
        <f>VALUE(3)</f>
        <v>3</v>
      </c>
      <c r="AX45" s="23" t="s">
        <v>239</v>
      </c>
      <c r="AY45" s="23">
        <f>VALUE(0)</f>
        <v>0</v>
      </c>
      <c r="AZ45" s="23">
        <f>VALUE(0)</f>
        <v>0</v>
      </c>
      <c r="BA45" s="23">
        <f>VALUE(0)</f>
        <v>0</v>
      </c>
      <c r="BB45" s="23">
        <f>VALUE(0)</f>
        <v>0</v>
      </c>
      <c r="BC45" s="23">
        <f>VALUE(0)</f>
        <v>0</v>
      </c>
      <c r="BD45" s="23">
        <f>VALUE(0)</f>
        <v>0</v>
      </c>
      <c r="BE45" s="23">
        <f>VALUE(0)</f>
        <v>0</v>
      </c>
      <c r="BF45" s="23">
        <f>VALUE(0)</f>
        <v>0</v>
      </c>
      <c r="BG45" s="23">
        <f>VALUE(0)</f>
        <v>0</v>
      </c>
      <c r="BH45" s="23">
        <f>VALUE(24)</f>
        <v>24</v>
      </c>
      <c r="BI45" s="23">
        <f>VALUE(0)</f>
        <v>0</v>
      </c>
      <c r="BJ45" s="23">
        <f>VALUE(0)</f>
        <v>0</v>
      </c>
      <c r="BK45" s="12">
        <f>$AX$45*24</f>
        <v>17.95</v>
      </c>
      <c r="BL45" s="12">
        <f>$AY$45*24</f>
        <v>0</v>
      </c>
      <c r="BM45" s="12">
        <f>$BJ$45*24</f>
        <v>0</v>
      </c>
      <c r="BN45" s="12">
        <f>VALUE($I$45)/100</f>
        <v>1</v>
      </c>
      <c r="BO45" s="12">
        <v>0</v>
      </c>
      <c r="BP45" s="12">
        <v>0</v>
      </c>
      <c r="BQ45" s="12">
        <v>0</v>
      </c>
      <c r="BR45" s="12">
        <v>0</v>
      </c>
      <c r="BS45" s="12">
        <v>0</v>
      </c>
      <c r="BT45" s="12">
        <v>0</v>
      </c>
      <c r="BU45" s="12">
        <v>0</v>
      </c>
      <c r="BV45" s="12">
        <v>0</v>
      </c>
      <c r="BW45" s="12">
        <v>0</v>
      </c>
      <c r="BX45" s="12">
        <v>0</v>
      </c>
      <c r="BY45" s="12">
        <v>0</v>
      </c>
      <c r="BZ45" s="12">
        <v>0</v>
      </c>
      <c r="CA45" s="12">
        <v>0</v>
      </c>
    </row>
    <row r="46" spans="1:79" hidden="1" x14ac:dyDescent="0.2">
      <c r="A46" s="12" t="s">
        <v>102</v>
      </c>
      <c r="B46" s="12" t="s">
        <v>105</v>
      </c>
      <c r="C46" s="12" t="s">
        <v>105</v>
      </c>
      <c r="D46" s="22" t="s">
        <v>240</v>
      </c>
      <c r="E46" s="22" t="s">
        <v>159</v>
      </c>
      <c r="F46" s="22" t="s">
        <v>660</v>
      </c>
      <c r="G46" s="22" t="s">
        <v>661</v>
      </c>
      <c r="H46" s="22" t="s">
        <v>166</v>
      </c>
      <c r="I46" s="22" t="s">
        <v>151</v>
      </c>
      <c r="J46" s="22" t="s">
        <v>181</v>
      </c>
      <c r="K46" s="22" t="s">
        <v>66</v>
      </c>
      <c r="L46" s="54" t="s">
        <v>153</v>
      </c>
      <c r="M46" s="23" t="s">
        <v>228</v>
      </c>
      <c r="N46" s="24" t="s">
        <v>153</v>
      </c>
      <c r="O46" s="23" t="s">
        <v>228</v>
      </c>
      <c r="P46" s="23" t="s">
        <v>228</v>
      </c>
      <c r="Q46" s="23" t="s">
        <v>228</v>
      </c>
      <c r="R46" s="23" t="s">
        <v>228</v>
      </c>
      <c r="S46" s="23" t="s">
        <v>228</v>
      </c>
      <c r="T46" s="24" t="s">
        <v>156</v>
      </c>
      <c r="U46" s="24" t="s">
        <v>153</v>
      </c>
      <c r="V46" s="54" t="s">
        <v>153</v>
      </c>
      <c r="W46" s="23" t="s">
        <v>216</v>
      </c>
      <c r="X46" s="23" t="s">
        <v>216</v>
      </c>
      <c r="Y46" s="23" t="s">
        <v>216</v>
      </c>
      <c r="Z46" s="23" t="s">
        <v>216</v>
      </c>
      <c r="AA46" s="24" t="s">
        <v>156</v>
      </c>
      <c r="AB46" s="24" t="s">
        <v>153</v>
      </c>
      <c r="AC46" s="23" t="s">
        <v>153</v>
      </c>
      <c r="AD46" s="23" t="s">
        <v>153</v>
      </c>
      <c r="AE46" s="23" t="s">
        <v>153</v>
      </c>
      <c r="AF46" s="23" t="s">
        <v>153</v>
      </c>
      <c r="AG46" s="23" t="s">
        <v>153</v>
      </c>
      <c r="AH46" s="23" t="s">
        <v>153</v>
      </c>
      <c r="AI46" s="24" t="s">
        <v>153</v>
      </c>
      <c r="AJ46" s="23" t="s">
        <v>153</v>
      </c>
      <c r="AK46" s="23" t="s">
        <v>153</v>
      </c>
      <c r="AL46" s="23" t="s">
        <v>153</v>
      </c>
      <c r="AM46" s="23" t="s">
        <v>153</v>
      </c>
      <c r="AN46" s="23" t="s">
        <v>153</v>
      </c>
      <c r="AO46" s="24" t="s">
        <v>156</v>
      </c>
      <c r="AP46" s="23">
        <f>VALUE(0)</f>
        <v>0</v>
      </c>
      <c r="AQ46" s="23">
        <f>VALUE(0)</f>
        <v>0</v>
      </c>
      <c r="AR46" s="23">
        <f>VALUE(0)</f>
        <v>0</v>
      </c>
      <c r="AS46" s="23">
        <f>VALUE(11)</f>
        <v>11</v>
      </c>
      <c r="AT46" s="23">
        <f>VALUE(0)</f>
        <v>0</v>
      </c>
      <c r="AU46" s="23">
        <f>VALUE(0)</f>
        <v>0</v>
      </c>
      <c r="AV46" s="23">
        <f>VALUE(9)</f>
        <v>9</v>
      </c>
      <c r="AW46" s="23">
        <f>VALUE(0)</f>
        <v>0</v>
      </c>
      <c r="AX46" s="23" t="s">
        <v>241</v>
      </c>
      <c r="AY46" s="23">
        <f>VALUE(0)</f>
        <v>0</v>
      </c>
      <c r="AZ46" s="23">
        <f>VALUE(0)</f>
        <v>0</v>
      </c>
      <c r="BA46" s="23">
        <f>VALUE(0)</f>
        <v>0</v>
      </c>
      <c r="BB46" s="23">
        <f>VALUE(0)</f>
        <v>0</v>
      </c>
      <c r="BC46" s="23">
        <f>VALUE(0)</f>
        <v>0</v>
      </c>
      <c r="BD46" s="23">
        <f>VALUE(0)</f>
        <v>0</v>
      </c>
      <c r="BE46" s="23">
        <f>VALUE(0)</f>
        <v>0</v>
      </c>
      <c r="BF46" s="23">
        <f>VALUE(0)</f>
        <v>0</v>
      </c>
      <c r="BG46" s="23">
        <f>VALUE(0)</f>
        <v>0</v>
      </c>
      <c r="BH46" s="23">
        <f>VALUE(0)</f>
        <v>0</v>
      </c>
      <c r="BI46" s="23">
        <f>VALUE(0)</f>
        <v>0</v>
      </c>
      <c r="BJ46" s="23">
        <f>VALUE(0)</f>
        <v>0</v>
      </c>
      <c r="BK46" s="12">
        <f>$AX$46*24</f>
        <v>24.133333333333333</v>
      </c>
      <c r="BL46" s="12">
        <f>$AY$46*24</f>
        <v>0</v>
      </c>
      <c r="BM46" s="12">
        <f>$BJ$46*24</f>
        <v>0</v>
      </c>
      <c r="BN46" s="12">
        <f>VALUE($I$46)/100</f>
        <v>1</v>
      </c>
      <c r="BO46" s="12">
        <v>0</v>
      </c>
      <c r="BP46" s="12">
        <v>0</v>
      </c>
      <c r="BQ46" s="12">
        <v>0</v>
      </c>
      <c r="BR46" s="12">
        <v>0</v>
      </c>
      <c r="BS46" s="12">
        <v>0</v>
      </c>
      <c r="BT46" s="12">
        <v>0</v>
      </c>
      <c r="BU46" s="12">
        <v>0</v>
      </c>
      <c r="BV46" s="12">
        <v>0</v>
      </c>
      <c r="BW46" s="12">
        <v>0</v>
      </c>
      <c r="BX46" s="12">
        <v>0</v>
      </c>
      <c r="BY46" s="12">
        <v>0</v>
      </c>
      <c r="BZ46" s="12">
        <v>0</v>
      </c>
      <c r="CA46" s="12">
        <v>0</v>
      </c>
    </row>
    <row r="47" spans="1:79" ht="15" hidden="1" x14ac:dyDescent="0.25">
      <c r="A47" s="12" t="s">
        <v>102</v>
      </c>
      <c r="B47" s="12" t="s">
        <v>105</v>
      </c>
      <c r="C47" s="12" t="s">
        <v>105</v>
      </c>
      <c r="D47" s="31" t="s">
        <v>1183</v>
      </c>
      <c r="E47" s="31" t="s">
        <v>153</v>
      </c>
      <c r="F47" s="31" t="s">
        <v>175</v>
      </c>
      <c r="G47" s="31" t="s">
        <v>153</v>
      </c>
      <c r="H47" s="31" t="s">
        <v>153</v>
      </c>
      <c r="I47" s="31" t="s">
        <v>153</v>
      </c>
      <c r="J47" s="31" t="s">
        <v>153</v>
      </c>
      <c r="K47" s="31" t="s">
        <v>153</v>
      </c>
      <c r="L47" s="31">
        <f>VALUE(0)</f>
        <v>0</v>
      </c>
      <c r="M47" s="31">
        <f>VALUE(3)</f>
        <v>3</v>
      </c>
      <c r="N47" s="31">
        <f>VALUE(0)</f>
        <v>0</v>
      </c>
      <c r="O47" s="31">
        <f>VALUE(15)</f>
        <v>15</v>
      </c>
      <c r="P47" s="31">
        <f>VALUE(14)</f>
        <v>14</v>
      </c>
      <c r="Q47" s="31">
        <f>VALUE(16)</f>
        <v>16</v>
      </c>
      <c r="R47" s="31">
        <f>VALUE(17)</f>
        <v>17</v>
      </c>
      <c r="S47" s="31">
        <f>VALUE(15)</f>
        <v>15</v>
      </c>
      <c r="T47" s="31">
        <f>VALUE(7)</f>
        <v>7</v>
      </c>
      <c r="U47" s="31">
        <f>VALUE(0)</f>
        <v>0</v>
      </c>
      <c r="V47" s="31">
        <f>VALUE(0)</f>
        <v>0</v>
      </c>
      <c r="W47" s="31">
        <f>VALUE(18)</f>
        <v>18</v>
      </c>
      <c r="X47" s="31">
        <f>VALUE(17)</f>
        <v>17</v>
      </c>
      <c r="Y47" s="31">
        <f>VALUE(15)</f>
        <v>15</v>
      </c>
      <c r="Z47" s="31">
        <f>VALUE(16)</f>
        <v>16</v>
      </c>
      <c r="AA47" s="31">
        <f>VALUE(5)</f>
        <v>5</v>
      </c>
      <c r="AB47" s="31">
        <f>VALUE(0)</f>
        <v>0</v>
      </c>
      <c r="AC47" s="31">
        <f>VALUE(18)</f>
        <v>18</v>
      </c>
      <c r="AD47" s="31">
        <f>VALUE(17)</f>
        <v>17</v>
      </c>
      <c r="AE47" s="31">
        <f>VALUE(17)</f>
        <v>17</v>
      </c>
      <c r="AF47" s="31">
        <f>VALUE(18)</f>
        <v>18</v>
      </c>
      <c r="AG47" s="31">
        <f>VALUE(15)</f>
        <v>15</v>
      </c>
      <c r="AH47" s="31">
        <f>VALUE(5)</f>
        <v>5</v>
      </c>
      <c r="AI47" s="31">
        <f>VALUE(0)</f>
        <v>0</v>
      </c>
      <c r="AJ47" s="31">
        <f>VALUE(16)</f>
        <v>16</v>
      </c>
      <c r="AK47" s="31">
        <f>VALUE(16)</f>
        <v>16</v>
      </c>
      <c r="AL47" s="31">
        <f>VALUE(14)</f>
        <v>14</v>
      </c>
      <c r="AM47" s="31">
        <f>VALUE(17)</f>
        <v>17</v>
      </c>
      <c r="AN47" s="31">
        <f>VALUE(16)</f>
        <v>16</v>
      </c>
      <c r="AO47" s="31">
        <f>VALUE(6)</f>
        <v>6</v>
      </c>
      <c r="AP47" s="31">
        <v>0</v>
      </c>
      <c r="AQ47" s="31">
        <v>0</v>
      </c>
      <c r="AR47" s="31">
        <v>0</v>
      </c>
      <c r="AS47" s="31">
        <v>0</v>
      </c>
      <c r="AT47" s="31">
        <v>0</v>
      </c>
      <c r="AU47" s="31">
        <v>0</v>
      </c>
      <c r="AV47" s="31">
        <v>0</v>
      </c>
      <c r="AW47" s="31">
        <v>0</v>
      </c>
      <c r="AX47" s="31">
        <v>0</v>
      </c>
      <c r="AY47" s="31">
        <v>0</v>
      </c>
      <c r="AZ47" s="31">
        <v>0</v>
      </c>
      <c r="BA47" s="31">
        <v>0</v>
      </c>
      <c r="BB47" s="31">
        <v>0</v>
      </c>
      <c r="BC47" s="31">
        <v>0</v>
      </c>
      <c r="BD47" s="31">
        <v>0</v>
      </c>
      <c r="BE47" s="31">
        <v>0</v>
      </c>
      <c r="BF47" s="31">
        <v>0</v>
      </c>
      <c r="BG47" s="31">
        <v>0</v>
      </c>
      <c r="BH47" s="31">
        <v>0</v>
      </c>
      <c r="BI47" s="31">
        <v>0</v>
      </c>
      <c r="BJ47" s="31">
        <v>0</v>
      </c>
      <c r="BK47" s="12">
        <v>0</v>
      </c>
      <c r="BL47" s="12">
        <v>0</v>
      </c>
      <c r="BM47" s="12">
        <v>0</v>
      </c>
      <c r="BN47" s="12"/>
      <c r="BO47" s="12">
        <v>0</v>
      </c>
      <c r="BP47" s="12">
        <v>0</v>
      </c>
      <c r="BQ47" s="12">
        <v>0</v>
      </c>
      <c r="BR47" s="12">
        <v>0</v>
      </c>
      <c r="BS47" s="12">
        <v>0</v>
      </c>
      <c r="BT47" s="12">
        <v>0</v>
      </c>
      <c r="BU47" s="12">
        <v>0</v>
      </c>
      <c r="BV47" s="12">
        <v>0</v>
      </c>
      <c r="BW47" s="12">
        <v>0</v>
      </c>
      <c r="BX47" s="12">
        <v>0</v>
      </c>
      <c r="BY47" s="12">
        <v>0</v>
      </c>
      <c r="BZ47" s="12">
        <v>0</v>
      </c>
      <c r="CA47" s="12">
        <v>0</v>
      </c>
    </row>
    <row r="48" spans="1:79" hidden="1" x14ac:dyDescent="0.2">
      <c r="A48" s="12" t="s">
        <v>102</v>
      </c>
      <c r="B48" s="12" t="s">
        <v>106</v>
      </c>
      <c r="C48" s="12" t="s">
        <v>106</v>
      </c>
      <c r="D48" s="22" t="s">
        <v>243</v>
      </c>
      <c r="E48" s="22" t="s">
        <v>173</v>
      </c>
      <c r="F48" s="22" t="s">
        <v>662</v>
      </c>
      <c r="G48" s="22" t="s">
        <v>663</v>
      </c>
      <c r="H48" s="22" t="s">
        <v>150</v>
      </c>
      <c r="I48" s="22" t="s">
        <v>151</v>
      </c>
      <c r="J48" s="22" t="s">
        <v>162</v>
      </c>
      <c r="K48" s="22" t="s">
        <v>67</v>
      </c>
      <c r="L48" s="54" t="s">
        <v>153</v>
      </c>
      <c r="M48" s="24" t="s">
        <v>153</v>
      </c>
      <c r="N48" s="24" t="s">
        <v>153</v>
      </c>
      <c r="O48" s="23" t="s">
        <v>153</v>
      </c>
      <c r="P48" s="23" t="s">
        <v>153</v>
      </c>
      <c r="Q48" s="23" t="s">
        <v>153</v>
      </c>
      <c r="R48" s="23" t="s">
        <v>153</v>
      </c>
      <c r="S48" s="23" t="s">
        <v>153</v>
      </c>
      <c r="T48" s="24" t="s">
        <v>153</v>
      </c>
      <c r="U48" s="24" t="s">
        <v>153</v>
      </c>
      <c r="V48" s="54" t="s">
        <v>153</v>
      </c>
      <c r="W48" s="23" t="s">
        <v>153</v>
      </c>
      <c r="X48" s="23" t="s">
        <v>153</v>
      </c>
      <c r="Y48" s="23" t="s">
        <v>153</v>
      </c>
      <c r="Z48" s="23" t="s">
        <v>153</v>
      </c>
      <c r="AA48" s="24" t="s">
        <v>153</v>
      </c>
      <c r="AB48" s="24" t="s">
        <v>153</v>
      </c>
      <c r="AC48" s="23" t="s">
        <v>153</v>
      </c>
      <c r="AD48" s="23" t="s">
        <v>153</v>
      </c>
      <c r="AE48" s="23" t="s">
        <v>153</v>
      </c>
      <c r="AF48" s="23" t="s">
        <v>153</v>
      </c>
      <c r="AG48" s="23" t="s">
        <v>153</v>
      </c>
      <c r="AH48" s="24" t="s">
        <v>153</v>
      </c>
      <c r="AI48" s="24" t="s">
        <v>153</v>
      </c>
      <c r="AJ48" s="23" t="s">
        <v>153</v>
      </c>
      <c r="AK48" s="23" t="s">
        <v>153</v>
      </c>
      <c r="AL48" s="23" t="s">
        <v>153</v>
      </c>
      <c r="AM48" s="23" t="s">
        <v>153</v>
      </c>
      <c r="AN48" s="23" t="s">
        <v>153</v>
      </c>
      <c r="AO48" s="24" t="s">
        <v>153</v>
      </c>
      <c r="AP48" s="23">
        <f>VALUE(0)</f>
        <v>0</v>
      </c>
      <c r="AQ48" s="23">
        <f>VALUE(0)</f>
        <v>0</v>
      </c>
      <c r="AR48" s="23">
        <f>VALUE(0)</f>
        <v>0</v>
      </c>
      <c r="AS48" s="23">
        <f>VALUE(0)</f>
        <v>0</v>
      </c>
      <c r="AT48" s="23">
        <f>VALUE(0)</f>
        <v>0</v>
      </c>
      <c r="AU48" s="23">
        <f>VALUE(0)</f>
        <v>0</v>
      </c>
      <c r="AV48" s="23">
        <f>VALUE(1)</f>
        <v>1</v>
      </c>
      <c r="AW48" s="23">
        <f>VALUE(0)</f>
        <v>0</v>
      </c>
      <c r="AX48" s="23" t="s">
        <v>158</v>
      </c>
      <c r="AY48" s="23" t="s">
        <v>244</v>
      </c>
      <c r="AZ48" s="23">
        <f>VALUE(0)</f>
        <v>0</v>
      </c>
      <c r="BA48" s="23">
        <f>VALUE(0)</f>
        <v>0</v>
      </c>
      <c r="BB48" s="23">
        <f>VALUE(0)</f>
        <v>0</v>
      </c>
      <c r="BC48" s="23">
        <f>VALUE(0)</f>
        <v>0</v>
      </c>
      <c r="BD48" s="23">
        <f>VALUE(0)</f>
        <v>0</v>
      </c>
      <c r="BE48" s="23">
        <f>VALUE(0)</f>
        <v>0</v>
      </c>
      <c r="BF48" s="23">
        <f>VALUE(0)</f>
        <v>0</v>
      </c>
      <c r="BG48" s="23">
        <f>VALUE(0)</f>
        <v>0</v>
      </c>
      <c r="BH48" s="23">
        <f>VALUE(0)</f>
        <v>0</v>
      </c>
      <c r="BI48" s="23">
        <f>VALUE(0)</f>
        <v>0</v>
      </c>
      <c r="BJ48" s="23">
        <f>VALUE(0)</f>
        <v>0</v>
      </c>
      <c r="BK48" s="12">
        <f>$AX$48*24</f>
        <v>11.666666666666666</v>
      </c>
      <c r="BL48" s="12">
        <f>$AY$48*24</f>
        <v>0.23333333333333334</v>
      </c>
      <c r="BM48" s="12">
        <f>$BJ$48*24</f>
        <v>0</v>
      </c>
      <c r="BN48" s="12">
        <f>VALUE($I$48)/100</f>
        <v>1</v>
      </c>
      <c r="BO48" s="12">
        <v>0</v>
      </c>
      <c r="BP48" s="12">
        <v>0</v>
      </c>
      <c r="BQ48" s="12">
        <v>0</v>
      </c>
      <c r="BR48" s="12">
        <v>0</v>
      </c>
      <c r="BS48" s="12">
        <v>0</v>
      </c>
      <c r="BT48" s="12">
        <v>0</v>
      </c>
      <c r="BU48" s="12">
        <v>0</v>
      </c>
      <c r="BV48" s="12">
        <v>0</v>
      </c>
      <c r="BW48" s="12">
        <v>0</v>
      </c>
      <c r="BX48" s="12">
        <v>0</v>
      </c>
      <c r="BY48" s="12">
        <v>0</v>
      </c>
      <c r="BZ48" s="12">
        <v>0</v>
      </c>
      <c r="CA48" s="12">
        <v>0</v>
      </c>
    </row>
    <row r="49" spans="1:79" hidden="1" x14ac:dyDescent="0.2">
      <c r="A49" s="12" t="s">
        <v>102</v>
      </c>
      <c r="B49" s="12" t="s">
        <v>106</v>
      </c>
      <c r="C49" s="12" t="s">
        <v>106</v>
      </c>
      <c r="D49" s="22" t="s">
        <v>243</v>
      </c>
      <c r="E49" s="22" t="s">
        <v>173</v>
      </c>
      <c r="F49" s="22" t="s">
        <v>1184</v>
      </c>
      <c r="G49" s="22" t="s">
        <v>664</v>
      </c>
      <c r="H49" s="22" t="s">
        <v>166</v>
      </c>
      <c r="I49" s="22" t="s">
        <v>151</v>
      </c>
      <c r="J49" s="22" t="s">
        <v>162</v>
      </c>
      <c r="K49" s="22" t="s">
        <v>67</v>
      </c>
      <c r="L49" s="54" t="s">
        <v>153</v>
      </c>
      <c r="M49" s="24" t="s">
        <v>153</v>
      </c>
      <c r="N49" s="24" t="s">
        <v>153</v>
      </c>
      <c r="O49" s="23" t="s">
        <v>153</v>
      </c>
      <c r="P49" s="23" t="s">
        <v>153</v>
      </c>
      <c r="Q49" s="23" t="s">
        <v>153</v>
      </c>
      <c r="R49" s="23" t="s">
        <v>153</v>
      </c>
      <c r="S49" s="23" t="s">
        <v>153</v>
      </c>
      <c r="T49" s="24" t="s">
        <v>153</v>
      </c>
      <c r="U49" s="24" t="s">
        <v>153</v>
      </c>
      <c r="V49" s="54" t="s">
        <v>153</v>
      </c>
      <c r="W49" s="23" t="s">
        <v>153</v>
      </c>
      <c r="X49" s="23" t="s">
        <v>153</v>
      </c>
      <c r="Y49" s="23" t="s">
        <v>153</v>
      </c>
      <c r="Z49" s="23" t="s">
        <v>153</v>
      </c>
      <c r="AA49" s="24" t="s">
        <v>153</v>
      </c>
      <c r="AB49" s="24" t="s">
        <v>153</v>
      </c>
      <c r="AC49" s="23" t="s">
        <v>153</v>
      </c>
      <c r="AD49" s="23" t="s">
        <v>153</v>
      </c>
      <c r="AE49" s="23" t="s">
        <v>153</v>
      </c>
      <c r="AF49" s="23" t="s">
        <v>153</v>
      </c>
      <c r="AG49" s="23" t="s">
        <v>153</v>
      </c>
      <c r="AH49" s="24" t="s">
        <v>153</v>
      </c>
      <c r="AI49" s="24" t="s">
        <v>153</v>
      </c>
      <c r="AJ49" s="23" t="s">
        <v>153</v>
      </c>
      <c r="AK49" s="23" t="s">
        <v>153</v>
      </c>
      <c r="AL49" s="23" t="s">
        <v>153</v>
      </c>
      <c r="AM49" s="23" t="s">
        <v>153</v>
      </c>
      <c r="AN49" s="23" t="s">
        <v>153</v>
      </c>
      <c r="AO49" s="24" t="s">
        <v>153</v>
      </c>
      <c r="AP49" s="23">
        <f>VALUE(1)</f>
        <v>1</v>
      </c>
      <c r="AQ49" s="23">
        <f>VALUE(0)</f>
        <v>0</v>
      </c>
      <c r="AR49" s="23">
        <f>VALUE(0)</f>
        <v>0</v>
      </c>
      <c r="AS49" s="23">
        <f>VALUE(0)</f>
        <v>0</v>
      </c>
      <c r="AT49" s="23">
        <f>VALUE(0)</f>
        <v>0</v>
      </c>
      <c r="AU49" s="23">
        <f>VALUE(0)</f>
        <v>0</v>
      </c>
      <c r="AV49" s="23">
        <f>VALUE(8.5)</f>
        <v>8.5</v>
      </c>
      <c r="AW49" s="23">
        <f>VALUE(0)</f>
        <v>0</v>
      </c>
      <c r="AX49" s="23" t="s">
        <v>245</v>
      </c>
      <c r="AY49" s="23">
        <f>VALUE(0)</f>
        <v>0</v>
      </c>
      <c r="AZ49" s="23">
        <f>VALUE(0)</f>
        <v>0</v>
      </c>
      <c r="BA49" s="23">
        <f>VALUE(0)</f>
        <v>0</v>
      </c>
      <c r="BB49" s="23">
        <f>VALUE(0)</f>
        <v>0</v>
      </c>
      <c r="BC49" s="23">
        <f>VALUE(0)</f>
        <v>0</v>
      </c>
      <c r="BD49" s="23">
        <f>VALUE(0)</f>
        <v>0</v>
      </c>
      <c r="BE49" s="23">
        <f>VALUE(0)</f>
        <v>0</v>
      </c>
      <c r="BF49" s="23">
        <f>VALUE(0)</f>
        <v>0</v>
      </c>
      <c r="BG49" s="23">
        <f>VALUE(0)</f>
        <v>0</v>
      </c>
      <c r="BH49" s="23">
        <f>VALUE(0)</f>
        <v>0</v>
      </c>
      <c r="BI49" s="23">
        <f>VALUE(0)</f>
        <v>0</v>
      </c>
      <c r="BJ49" s="23">
        <f>VALUE(0)</f>
        <v>0</v>
      </c>
      <c r="BK49" s="12">
        <f>$AX$49*24</f>
        <v>92.38333333333334</v>
      </c>
      <c r="BL49" s="12">
        <f>$AY$49*24</f>
        <v>0</v>
      </c>
      <c r="BM49" s="12">
        <f>$BJ$49*24</f>
        <v>0</v>
      </c>
      <c r="BN49" s="12">
        <f>VALUE($I$49)/100</f>
        <v>1</v>
      </c>
      <c r="BO49" s="12">
        <v>0</v>
      </c>
      <c r="BP49" s="12">
        <v>0</v>
      </c>
      <c r="BQ49" s="12">
        <v>0</v>
      </c>
      <c r="BR49" s="12">
        <v>0</v>
      </c>
      <c r="BS49" s="12">
        <v>0</v>
      </c>
      <c r="BT49" s="12">
        <v>0</v>
      </c>
      <c r="BU49" s="12">
        <v>0</v>
      </c>
      <c r="BV49" s="12">
        <v>0</v>
      </c>
      <c r="BW49" s="12">
        <v>0</v>
      </c>
      <c r="BX49" s="12">
        <v>0</v>
      </c>
      <c r="BY49" s="12">
        <v>0</v>
      </c>
      <c r="BZ49" s="12">
        <v>0</v>
      </c>
      <c r="CA49" s="12">
        <v>0</v>
      </c>
    </row>
    <row r="50" spans="1:79" ht="15" hidden="1" x14ac:dyDescent="0.25">
      <c r="A50" s="12" t="s">
        <v>102</v>
      </c>
      <c r="B50" s="12" t="s">
        <v>106</v>
      </c>
      <c r="C50" s="12" t="s">
        <v>106</v>
      </c>
      <c r="D50" s="31" t="s">
        <v>246</v>
      </c>
      <c r="E50" s="31" t="s">
        <v>153</v>
      </c>
      <c r="F50" s="31" t="s">
        <v>175</v>
      </c>
      <c r="G50" s="31" t="s">
        <v>153</v>
      </c>
      <c r="H50" s="31" t="s">
        <v>153</v>
      </c>
      <c r="I50" s="31" t="s">
        <v>153</v>
      </c>
      <c r="J50" s="31" t="s">
        <v>153</v>
      </c>
      <c r="K50" s="31" t="s">
        <v>153</v>
      </c>
      <c r="L50" s="31">
        <f>VALUE(0)</f>
        <v>0</v>
      </c>
      <c r="M50" s="31">
        <f>VALUE(0)</f>
        <v>0</v>
      </c>
      <c r="N50" s="31">
        <f>VALUE(0)</f>
        <v>0</v>
      </c>
      <c r="O50" s="31">
        <f>VALUE(2)</f>
        <v>2</v>
      </c>
      <c r="P50" s="31">
        <f>VALUE(2)</f>
        <v>2</v>
      </c>
      <c r="Q50" s="31">
        <f>VALUE(2)</f>
        <v>2</v>
      </c>
      <c r="R50" s="31">
        <f>VALUE(2)</f>
        <v>2</v>
      </c>
      <c r="S50" s="31">
        <f>VALUE(2)</f>
        <v>2</v>
      </c>
      <c r="T50" s="31">
        <f>VALUE(0)</f>
        <v>0</v>
      </c>
      <c r="U50" s="31">
        <f>VALUE(0)</f>
        <v>0</v>
      </c>
      <c r="V50" s="31">
        <f>VALUE(0)</f>
        <v>0</v>
      </c>
      <c r="W50" s="31">
        <f>VALUE(2)</f>
        <v>2</v>
      </c>
      <c r="X50" s="31">
        <f>VALUE(2)</f>
        <v>2</v>
      </c>
      <c r="Y50" s="31">
        <f>VALUE(2)</f>
        <v>2</v>
      </c>
      <c r="Z50" s="31">
        <f>VALUE(2)</f>
        <v>2</v>
      </c>
      <c r="AA50" s="31">
        <f>VALUE(0)</f>
        <v>0</v>
      </c>
      <c r="AB50" s="31">
        <f>VALUE(0)</f>
        <v>0</v>
      </c>
      <c r="AC50" s="31">
        <f>VALUE(2)</f>
        <v>2</v>
      </c>
      <c r="AD50" s="31">
        <f>VALUE(2)</f>
        <v>2</v>
      </c>
      <c r="AE50" s="31">
        <f>VALUE(2)</f>
        <v>2</v>
      </c>
      <c r="AF50" s="31">
        <f>VALUE(2)</f>
        <v>2</v>
      </c>
      <c r="AG50" s="31">
        <f>VALUE(2)</f>
        <v>2</v>
      </c>
      <c r="AH50" s="31">
        <f>VALUE(0)</f>
        <v>0</v>
      </c>
      <c r="AI50" s="31">
        <f>VALUE(0)</f>
        <v>0</v>
      </c>
      <c r="AJ50" s="31">
        <f>VALUE(2)</f>
        <v>2</v>
      </c>
      <c r="AK50" s="31">
        <f>VALUE(2)</f>
        <v>2</v>
      </c>
      <c r="AL50" s="31">
        <f>VALUE(2)</f>
        <v>2</v>
      </c>
      <c r="AM50" s="31">
        <f>VALUE(2)</f>
        <v>2</v>
      </c>
      <c r="AN50" s="31">
        <f>VALUE(2)</f>
        <v>2</v>
      </c>
      <c r="AO50" s="31">
        <f>VALUE(0)</f>
        <v>0</v>
      </c>
      <c r="AP50" s="31">
        <v>0</v>
      </c>
      <c r="AQ50" s="31">
        <v>0</v>
      </c>
      <c r="AR50" s="31">
        <v>0</v>
      </c>
      <c r="AS50" s="31">
        <v>0</v>
      </c>
      <c r="AT50" s="31">
        <v>0</v>
      </c>
      <c r="AU50" s="31">
        <v>0</v>
      </c>
      <c r="AV50" s="31">
        <v>0</v>
      </c>
      <c r="AW50" s="31">
        <v>0</v>
      </c>
      <c r="AX50" s="31">
        <v>0</v>
      </c>
      <c r="AY50" s="31">
        <v>0</v>
      </c>
      <c r="AZ50" s="31">
        <v>0</v>
      </c>
      <c r="BA50" s="31">
        <v>0</v>
      </c>
      <c r="BB50" s="31">
        <v>0</v>
      </c>
      <c r="BC50" s="31">
        <v>0</v>
      </c>
      <c r="BD50" s="31">
        <v>0</v>
      </c>
      <c r="BE50" s="31">
        <v>0</v>
      </c>
      <c r="BF50" s="31">
        <v>0</v>
      </c>
      <c r="BG50" s="31">
        <v>0</v>
      </c>
      <c r="BH50" s="31">
        <v>0</v>
      </c>
      <c r="BI50" s="31">
        <v>0</v>
      </c>
      <c r="BJ50" s="31">
        <v>0</v>
      </c>
      <c r="BK50" s="12">
        <v>0</v>
      </c>
      <c r="BL50" s="12">
        <v>0</v>
      </c>
      <c r="BM50" s="12">
        <v>0</v>
      </c>
      <c r="BN50" s="12"/>
      <c r="BO50" s="12">
        <v>0</v>
      </c>
      <c r="BP50" s="12">
        <v>0</v>
      </c>
      <c r="BQ50" s="12">
        <v>0</v>
      </c>
      <c r="BR50" s="12">
        <v>0</v>
      </c>
      <c r="BS50" s="12">
        <v>0</v>
      </c>
      <c r="BT50" s="12">
        <v>0</v>
      </c>
      <c r="BU50" s="12">
        <v>0</v>
      </c>
      <c r="BV50" s="12">
        <v>0</v>
      </c>
      <c r="BW50" s="12">
        <v>0</v>
      </c>
      <c r="BX50" s="12">
        <v>0</v>
      </c>
      <c r="BY50" s="12">
        <v>0</v>
      </c>
      <c r="BZ50" s="12">
        <v>0</v>
      </c>
      <c r="CA50" s="12">
        <v>0</v>
      </c>
    </row>
    <row r="51" spans="1:79" hidden="1" x14ac:dyDescent="0.2">
      <c r="A51" s="12" t="s">
        <v>102</v>
      </c>
      <c r="B51" s="12" t="s">
        <v>107</v>
      </c>
      <c r="C51" s="12" t="s">
        <v>107</v>
      </c>
      <c r="D51" s="22" t="s">
        <v>247</v>
      </c>
      <c r="E51" s="22" t="s">
        <v>149</v>
      </c>
      <c r="F51" s="22" t="s">
        <v>665</v>
      </c>
      <c r="G51" s="22" t="s">
        <v>666</v>
      </c>
      <c r="H51" s="22" t="s">
        <v>166</v>
      </c>
      <c r="I51" s="22" t="s">
        <v>151</v>
      </c>
      <c r="J51" s="22" t="s">
        <v>152</v>
      </c>
      <c r="K51" s="22" t="s">
        <v>68</v>
      </c>
      <c r="L51" s="54" t="s">
        <v>153</v>
      </c>
      <c r="M51" s="24" t="s">
        <v>156</v>
      </c>
      <c r="N51" s="24" t="s">
        <v>153</v>
      </c>
      <c r="O51" s="24" t="s">
        <v>156</v>
      </c>
      <c r="P51" s="23" t="s">
        <v>153</v>
      </c>
      <c r="Q51" s="23" t="s">
        <v>153</v>
      </c>
      <c r="R51" s="23" t="s">
        <v>153</v>
      </c>
      <c r="S51" s="23" t="s">
        <v>153</v>
      </c>
      <c r="T51" s="23" t="s">
        <v>153</v>
      </c>
      <c r="U51" s="24" t="s">
        <v>153</v>
      </c>
      <c r="V51" s="54" t="s">
        <v>153</v>
      </c>
      <c r="W51" s="28" t="s">
        <v>338</v>
      </c>
      <c r="X51" s="28" t="s">
        <v>338</v>
      </c>
      <c r="Y51" s="23" t="s">
        <v>153</v>
      </c>
      <c r="Z51" s="23" t="s">
        <v>153</v>
      </c>
      <c r="AA51" s="24" t="s">
        <v>156</v>
      </c>
      <c r="AB51" s="24" t="s">
        <v>153</v>
      </c>
      <c r="AC51" s="24" t="s">
        <v>156</v>
      </c>
      <c r="AD51" s="23" t="s">
        <v>153</v>
      </c>
      <c r="AE51" s="23" t="s">
        <v>153</v>
      </c>
      <c r="AF51" s="23" t="s">
        <v>153</v>
      </c>
      <c r="AG51" s="23" t="s">
        <v>153</v>
      </c>
      <c r="AH51" s="23" t="s">
        <v>153</v>
      </c>
      <c r="AI51" s="24" t="s">
        <v>153</v>
      </c>
      <c r="AJ51" s="23" t="s">
        <v>153</v>
      </c>
      <c r="AK51" s="23" t="s">
        <v>153</v>
      </c>
      <c r="AL51" s="23" t="s">
        <v>153</v>
      </c>
      <c r="AM51" s="23" t="s">
        <v>153</v>
      </c>
      <c r="AN51" s="23" t="s">
        <v>153</v>
      </c>
      <c r="AO51" s="24" t="s">
        <v>156</v>
      </c>
      <c r="AP51" s="23">
        <f>VALUE(0)</f>
        <v>0</v>
      </c>
      <c r="AQ51" s="23">
        <f>VALUE(0)</f>
        <v>0</v>
      </c>
      <c r="AR51" s="23">
        <f>VALUE(0)</f>
        <v>0</v>
      </c>
      <c r="AS51" s="23">
        <f>VALUE(0)</f>
        <v>0</v>
      </c>
      <c r="AT51" s="23">
        <f>VALUE(2)</f>
        <v>2</v>
      </c>
      <c r="AU51" s="23">
        <f>VALUE(0)</f>
        <v>0</v>
      </c>
      <c r="AV51" s="23">
        <f>VALUE(4)</f>
        <v>4</v>
      </c>
      <c r="AW51" s="23">
        <f>VALUE(0)</f>
        <v>0</v>
      </c>
      <c r="AX51" s="23" t="s">
        <v>248</v>
      </c>
      <c r="AY51" s="23">
        <f>VALUE(0)</f>
        <v>0</v>
      </c>
      <c r="AZ51" s="23">
        <f>VALUE(0)</f>
        <v>0</v>
      </c>
      <c r="BA51" s="23">
        <f>VALUE(0)</f>
        <v>0</v>
      </c>
      <c r="BB51" s="23">
        <f>VALUE(0)</f>
        <v>0</v>
      </c>
      <c r="BC51" s="23">
        <f>VALUE(0)</f>
        <v>0</v>
      </c>
      <c r="BD51" s="23">
        <f>VALUE(0)</f>
        <v>0</v>
      </c>
      <c r="BE51" s="23">
        <f>VALUE(0)</f>
        <v>0</v>
      </c>
      <c r="BF51" s="23">
        <f>VALUE(0)</f>
        <v>0</v>
      </c>
      <c r="BG51" s="23">
        <f>VALUE(0)</f>
        <v>0</v>
      </c>
      <c r="BH51" s="23">
        <f>VALUE(0)</f>
        <v>0</v>
      </c>
      <c r="BI51" s="23">
        <f>VALUE(0)</f>
        <v>0</v>
      </c>
      <c r="BJ51" s="23">
        <f>VALUE(0)</f>
        <v>0</v>
      </c>
      <c r="BK51" s="12">
        <f>$AX$51*24</f>
        <v>16.333333333333332</v>
      </c>
      <c r="BL51" s="12">
        <f>$AY$51*24</f>
        <v>0</v>
      </c>
      <c r="BM51" s="12">
        <f>$BJ$51*24</f>
        <v>0</v>
      </c>
      <c r="BN51" s="12">
        <f>VALUE($I$51)/100</f>
        <v>1</v>
      </c>
      <c r="BO51" s="12">
        <v>0</v>
      </c>
      <c r="BP51" s="12">
        <v>0</v>
      </c>
      <c r="BQ51" s="12">
        <v>0</v>
      </c>
      <c r="BR51" s="12">
        <v>0</v>
      </c>
      <c r="BS51" s="12">
        <v>0</v>
      </c>
      <c r="BT51" s="12">
        <v>0</v>
      </c>
      <c r="BU51" s="12">
        <v>0</v>
      </c>
      <c r="BV51" s="12">
        <v>0</v>
      </c>
      <c r="BW51" s="12">
        <v>0</v>
      </c>
      <c r="BX51" s="12">
        <v>0</v>
      </c>
      <c r="BY51" s="12">
        <v>2</v>
      </c>
      <c r="BZ51" s="12">
        <v>0</v>
      </c>
      <c r="CA51" s="12">
        <v>0</v>
      </c>
    </row>
    <row r="52" spans="1:79" hidden="1" x14ac:dyDescent="0.2">
      <c r="A52" s="12" t="s">
        <v>102</v>
      </c>
      <c r="B52" s="12" t="s">
        <v>107</v>
      </c>
      <c r="C52" s="12" t="s">
        <v>107</v>
      </c>
      <c r="D52" s="22" t="s">
        <v>249</v>
      </c>
      <c r="E52" s="22" t="s">
        <v>149</v>
      </c>
      <c r="F52" s="22" t="s">
        <v>667</v>
      </c>
      <c r="G52" s="22" t="s">
        <v>668</v>
      </c>
      <c r="H52" s="22" t="s">
        <v>166</v>
      </c>
      <c r="I52" s="22" t="s">
        <v>151</v>
      </c>
      <c r="J52" s="22" t="s">
        <v>152</v>
      </c>
      <c r="K52" s="22" t="s">
        <v>68</v>
      </c>
      <c r="L52" s="54" t="s">
        <v>153</v>
      </c>
      <c r="M52" s="23" t="s">
        <v>153</v>
      </c>
      <c r="N52" s="24" t="s">
        <v>153</v>
      </c>
      <c r="O52" s="23" t="s">
        <v>153</v>
      </c>
      <c r="P52" s="23" t="s">
        <v>153</v>
      </c>
      <c r="Q52" s="23" t="s">
        <v>153</v>
      </c>
      <c r="R52" s="23" t="s">
        <v>153</v>
      </c>
      <c r="S52" s="23" t="s">
        <v>153</v>
      </c>
      <c r="T52" s="24" t="s">
        <v>156</v>
      </c>
      <c r="U52" s="24" t="s">
        <v>153</v>
      </c>
      <c r="V52" s="54" t="s">
        <v>156</v>
      </c>
      <c r="W52" s="23" t="s">
        <v>153</v>
      </c>
      <c r="X52" s="23" t="s">
        <v>153</v>
      </c>
      <c r="Y52" s="23" t="s">
        <v>153</v>
      </c>
      <c r="Z52" s="23" t="s">
        <v>153</v>
      </c>
      <c r="AA52" s="23" t="s">
        <v>153</v>
      </c>
      <c r="AB52" s="24" t="s">
        <v>153</v>
      </c>
      <c r="AC52" s="23" t="s">
        <v>153</v>
      </c>
      <c r="AD52" s="23" t="s">
        <v>153</v>
      </c>
      <c r="AE52" s="23" t="s">
        <v>153</v>
      </c>
      <c r="AF52" s="23" t="s">
        <v>153</v>
      </c>
      <c r="AG52" s="23" t="s">
        <v>153</v>
      </c>
      <c r="AH52" s="24" t="s">
        <v>156</v>
      </c>
      <c r="AI52" s="24" t="s">
        <v>153</v>
      </c>
      <c r="AJ52" s="24" t="s">
        <v>156</v>
      </c>
      <c r="AK52" s="23" t="s">
        <v>153</v>
      </c>
      <c r="AL52" s="23" t="s">
        <v>153</v>
      </c>
      <c r="AM52" s="23" t="s">
        <v>153</v>
      </c>
      <c r="AN52" s="23" t="s">
        <v>153</v>
      </c>
      <c r="AO52" s="23" t="s">
        <v>153</v>
      </c>
      <c r="AP52" s="23">
        <f>VALUE(0)</f>
        <v>0</v>
      </c>
      <c r="AQ52" s="23">
        <f>VALUE(0)</f>
        <v>0</v>
      </c>
      <c r="AR52" s="23">
        <f>VALUE(0)</f>
        <v>0</v>
      </c>
      <c r="AS52" s="23">
        <f>VALUE(0)</f>
        <v>0</v>
      </c>
      <c r="AT52" s="23">
        <f>VALUE(0)</f>
        <v>0</v>
      </c>
      <c r="AU52" s="23">
        <f>VALUE(0)</f>
        <v>0</v>
      </c>
      <c r="AV52" s="23">
        <f>VALUE(3)</f>
        <v>3</v>
      </c>
      <c r="AW52" s="23">
        <f>VALUE(0)</f>
        <v>0</v>
      </c>
      <c r="AX52" s="23" t="s">
        <v>1185</v>
      </c>
      <c r="AY52" s="23">
        <f>VALUE(0)</f>
        <v>0</v>
      </c>
      <c r="AZ52" s="23">
        <f>VALUE(0)</f>
        <v>0</v>
      </c>
      <c r="BA52" s="23">
        <f>VALUE(0)</f>
        <v>0</v>
      </c>
      <c r="BB52" s="23">
        <f>VALUE(0)</f>
        <v>0</v>
      </c>
      <c r="BC52" s="23">
        <f>VALUE(0)</f>
        <v>0</v>
      </c>
      <c r="BD52" s="23">
        <f>VALUE(0)</f>
        <v>0</v>
      </c>
      <c r="BE52" s="23">
        <f>VALUE(0)</f>
        <v>0</v>
      </c>
      <c r="BF52" s="23">
        <f>VALUE(0)</f>
        <v>0</v>
      </c>
      <c r="BG52" s="23">
        <f>VALUE(0)</f>
        <v>0</v>
      </c>
      <c r="BH52" s="23">
        <f>VALUE(0)</f>
        <v>0</v>
      </c>
      <c r="BI52" s="23">
        <f>VALUE(0)</f>
        <v>0</v>
      </c>
      <c r="BJ52" s="23">
        <f>VALUE(0)</f>
        <v>0</v>
      </c>
      <c r="BK52" s="12">
        <f>$AX$52*24</f>
        <v>88.75</v>
      </c>
      <c r="BL52" s="12">
        <f>$AY$52*24</f>
        <v>0</v>
      </c>
      <c r="BM52" s="12">
        <f>$BJ$52*24</f>
        <v>0</v>
      </c>
      <c r="BN52" s="12">
        <f>VALUE($I$52)/100</f>
        <v>1</v>
      </c>
      <c r="BO52" s="12">
        <v>0</v>
      </c>
      <c r="BP52" s="12">
        <v>0</v>
      </c>
      <c r="BQ52" s="12">
        <v>0</v>
      </c>
      <c r="BR52" s="12">
        <v>0</v>
      </c>
      <c r="BS52" s="12">
        <v>0</v>
      </c>
      <c r="BT52" s="12">
        <v>0</v>
      </c>
      <c r="BU52" s="12">
        <v>0</v>
      </c>
      <c r="BV52" s="12">
        <v>0</v>
      </c>
      <c r="BW52" s="12">
        <v>0</v>
      </c>
      <c r="BX52" s="12">
        <v>0</v>
      </c>
      <c r="BY52" s="12">
        <v>0</v>
      </c>
      <c r="BZ52" s="12">
        <v>0</v>
      </c>
      <c r="CA52" s="12">
        <v>0</v>
      </c>
    </row>
    <row r="53" spans="1:79" hidden="1" x14ac:dyDescent="0.2">
      <c r="A53" s="12" t="s">
        <v>102</v>
      </c>
      <c r="B53" s="12" t="s">
        <v>107</v>
      </c>
      <c r="C53" s="12" t="s">
        <v>107</v>
      </c>
      <c r="D53" s="22" t="s">
        <v>250</v>
      </c>
      <c r="E53" s="22" t="s">
        <v>149</v>
      </c>
      <c r="F53" s="22" t="s">
        <v>669</v>
      </c>
      <c r="G53" s="22" t="s">
        <v>670</v>
      </c>
      <c r="H53" s="22" t="s">
        <v>166</v>
      </c>
      <c r="I53" s="22" t="s">
        <v>151</v>
      </c>
      <c r="J53" s="22" t="s">
        <v>152</v>
      </c>
      <c r="K53" s="22" t="s">
        <v>68</v>
      </c>
      <c r="L53" s="54" t="s">
        <v>153</v>
      </c>
      <c r="M53" s="23" t="s">
        <v>153</v>
      </c>
      <c r="N53" s="24" t="s">
        <v>153</v>
      </c>
      <c r="O53" s="23" t="s">
        <v>153</v>
      </c>
      <c r="P53" s="23" t="s">
        <v>153</v>
      </c>
      <c r="Q53" s="23" t="s">
        <v>153</v>
      </c>
      <c r="R53" s="23" t="s">
        <v>153</v>
      </c>
      <c r="S53" s="23" t="s">
        <v>153</v>
      </c>
      <c r="T53" s="24" t="s">
        <v>156</v>
      </c>
      <c r="U53" s="24" t="s">
        <v>153</v>
      </c>
      <c r="V53" s="54" t="s">
        <v>156</v>
      </c>
      <c r="W53" s="23" t="s">
        <v>153</v>
      </c>
      <c r="X53" s="23" t="s">
        <v>153</v>
      </c>
      <c r="Y53" s="23" t="s">
        <v>153</v>
      </c>
      <c r="Z53" s="23" t="s">
        <v>153</v>
      </c>
      <c r="AA53" s="23" t="s">
        <v>153</v>
      </c>
      <c r="AB53" s="24" t="s">
        <v>153</v>
      </c>
      <c r="AC53" s="23" t="s">
        <v>153</v>
      </c>
      <c r="AD53" s="23" t="s">
        <v>153</v>
      </c>
      <c r="AE53" s="23" t="s">
        <v>153</v>
      </c>
      <c r="AF53" s="23" t="s">
        <v>153</v>
      </c>
      <c r="AG53" s="23" t="s">
        <v>153</v>
      </c>
      <c r="AH53" s="24" t="s">
        <v>156</v>
      </c>
      <c r="AI53" s="24" t="s">
        <v>153</v>
      </c>
      <c r="AJ53" s="24" t="s">
        <v>156</v>
      </c>
      <c r="AK53" s="23" t="s">
        <v>153</v>
      </c>
      <c r="AL53" s="23" t="s">
        <v>153</v>
      </c>
      <c r="AM53" s="23" t="s">
        <v>153</v>
      </c>
      <c r="AN53" s="23" t="s">
        <v>153</v>
      </c>
      <c r="AO53" s="23" t="s">
        <v>153</v>
      </c>
      <c r="AP53" s="23">
        <f>VALUE(0)</f>
        <v>0</v>
      </c>
      <c r="AQ53" s="23">
        <f>VALUE(0)</f>
        <v>0</v>
      </c>
      <c r="AR53" s="23">
        <f>VALUE(0)</f>
        <v>0</v>
      </c>
      <c r="AS53" s="23">
        <f>VALUE(0)</f>
        <v>0</v>
      </c>
      <c r="AT53" s="23">
        <f>VALUE(0)</f>
        <v>0</v>
      </c>
      <c r="AU53" s="23">
        <f>VALUE(0)</f>
        <v>0</v>
      </c>
      <c r="AV53" s="23">
        <f>VALUE(0)</f>
        <v>0</v>
      </c>
      <c r="AW53" s="23">
        <f>VALUE(0)</f>
        <v>0</v>
      </c>
      <c r="AX53" s="23" t="s">
        <v>1186</v>
      </c>
      <c r="AY53" s="23">
        <f>VALUE(0)</f>
        <v>0</v>
      </c>
      <c r="AZ53" s="23">
        <f>VALUE(0)</f>
        <v>0</v>
      </c>
      <c r="BA53" s="23">
        <f>VALUE(0)</f>
        <v>0</v>
      </c>
      <c r="BB53" s="23">
        <f>VALUE(0)</f>
        <v>0</v>
      </c>
      <c r="BC53" s="23">
        <f>VALUE(0)</f>
        <v>0</v>
      </c>
      <c r="BD53" s="23">
        <f>VALUE(0)</f>
        <v>0</v>
      </c>
      <c r="BE53" s="23">
        <f>VALUE(0)</f>
        <v>0</v>
      </c>
      <c r="BF53" s="23">
        <f>VALUE(0)</f>
        <v>0</v>
      </c>
      <c r="BG53" s="23">
        <f>VALUE(0)</f>
        <v>0</v>
      </c>
      <c r="BH53" s="23">
        <f>VALUE(0)</f>
        <v>0</v>
      </c>
      <c r="BI53" s="23">
        <f>VALUE(0)</f>
        <v>0</v>
      </c>
      <c r="BJ53" s="23">
        <f>VALUE(0)</f>
        <v>0</v>
      </c>
      <c r="BK53" s="12">
        <f>$AX$53*24</f>
        <v>4.833333333333333</v>
      </c>
      <c r="BL53" s="12">
        <f>$AY$53*24</f>
        <v>0</v>
      </c>
      <c r="BM53" s="12">
        <f>$BJ$53*24</f>
        <v>0</v>
      </c>
      <c r="BN53" s="12">
        <f>VALUE($I$53)/100</f>
        <v>1</v>
      </c>
      <c r="BO53" s="12">
        <v>0</v>
      </c>
      <c r="BP53" s="12">
        <v>0</v>
      </c>
      <c r="BQ53" s="12">
        <v>0</v>
      </c>
      <c r="BR53" s="12">
        <v>0</v>
      </c>
      <c r="BS53" s="12">
        <v>0</v>
      </c>
      <c r="BT53" s="12">
        <v>0</v>
      </c>
      <c r="BU53" s="12">
        <v>0</v>
      </c>
      <c r="BV53" s="12">
        <v>0</v>
      </c>
      <c r="BW53" s="12">
        <v>0</v>
      </c>
      <c r="BX53" s="12">
        <v>0</v>
      </c>
      <c r="BY53" s="12">
        <v>0</v>
      </c>
      <c r="BZ53" s="12">
        <v>0</v>
      </c>
      <c r="CA53" s="12">
        <v>0</v>
      </c>
    </row>
    <row r="54" spans="1:79" hidden="1" x14ac:dyDescent="0.2">
      <c r="A54" s="12" t="s">
        <v>102</v>
      </c>
      <c r="B54" s="12" t="s">
        <v>107</v>
      </c>
      <c r="C54" s="12" t="s">
        <v>107</v>
      </c>
      <c r="D54" s="22" t="s">
        <v>251</v>
      </c>
      <c r="E54" s="22" t="s">
        <v>149</v>
      </c>
      <c r="F54" s="22" t="s">
        <v>671</v>
      </c>
      <c r="G54" s="22" t="s">
        <v>672</v>
      </c>
      <c r="H54" s="22" t="s">
        <v>166</v>
      </c>
      <c r="I54" s="22" t="s">
        <v>151</v>
      </c>
      <c r="J54" s="22" t="s">
        <v>152</v>
      </c>
      <c r="K54" s="22" t="s">
        <v>68</v>
      </c>
      <c r="L54" s="54" t="s">
        <v>153</v>
      </c>
      <c r="M54" s="24" t="s">
        <v>156</v>
      </c>
      <c r="N54" s="24" t="s">
        <v>153</v>
      </c>
      <c r="O54" s="24" t="s">
        <v>156</v>
      </c>
      <c r="P54" s="23" t="s">
        <v>153</v>
      </c>
      <c r="Q54" s="23" t="s">
        <v>153</v>
      </c>
      <c r="R54" s="23" t="s">
        <v>153</v>
      </c>
      <c r="S54" s="23" t="s">
        <v>153</v>
      </c>
      <c r="T54" s="23" t="s">
        <v>153</v>
      </c>
      <c r="U54" s="24" t="s">
        <v>153</v>
      </c>
      <c r="V54" s="54" t="s">
        <v>153</v>
      </c>
      <c r="W54" s="23" t="s">
        <v>153</v>
      </c>
      <c r="X54" s="23" t="s">
        <v>153</v>
      </c>
      <c r="Y54" s="23" t="s">
        <v>153</v>
      </c>
      <c r="Z54" s="23" t="s">
        <v>153</v>
      </c>
      <c r="AA54" s="24" t="s">
        <v>156</v>
      </c>
      <c r="AB54" s="24" t="s">
        <v>153</v>
      </c>
      <c r="AC54" s="24" t="s">
        <v>156</v>
      </c>
      <c r="AD54" s="23" t="s">
        <v>153</v>
      </c>
      <c r="AE54" s="23" t="s">
        <v>153</v>
      </c>
      <c r="AF54" s="23" t="s">
        <v>153</v>
      </c>
      <c r="AG54" s="23" t="s">
        <v>153</v>
      </c>
      <c r="AH54" s="23" t="s">
        <v>153</v>
      </c>
      <c r="AI54" s="24" t="s">
        <v>153</v>
      </c>
      <c r="AJ54" s="23" t="s">
        <v>153</v>
      </c>
      <c r="AK54" s="23" t="s">
        <v>153</v>
      </c>
      <c r="AL54" s="23" t="s">
        <v>153</v>
      </c>
      <c r="AM54" s="23" t="s">
        <v>153</v>
      </c>
      <c r="AN54" s="23" t="s">
        <v>153</v>
      </c>
      <c r="AO54" s="24" t="s">
        <v>156</v>
      </c>
      <c r="AP54" s="23">
        <f>VALUE(0)</f>
        <v>0</v>
      </c>
      <c r="AQ54" s="23">
        <f>VALUE(0)</f>
        <v>0</v>
      </c>
      <c r="AR54" s="23">
        <f>VALUE(0)</f>
        <v>0</v>
      </c>
      <c r="AS54" s="23">
        <f>VALUE(0)</f>
        <v>0</v>
      </c>
      <c r="AT54" s="23">
        <f>VALUE(0)</f>
        <v>0</v>
      </c>
      <c r="AU54" s="23">
        <f>VALUE(0)</f>
        <v>0</v>
      </c>
      <c r="AV54" s="23">
        <f>VALUE(2.5)</f>
        <v>2.5</v>
      </c>
      <c r="AW54" s="23">
        <f>VALUE(0)</f>
        <v>0</v>
      </c>
      <c r="AX54" s="23" t="s">
        <v>252</v>
      </c>
      <c r="AY54" s="23">
        <f>VALUE(0)</f>
        <v>0</v>
      </c>
      <c r="AZ54" s="23">
        <f>VALUE(0)</f>
        <v>0</v>
      </c>
      <c r="BA54" s="23">
        <f>VALUE(0)</f>
        <v>0</v>
      </c>
      <c r="BB54" s="23">
        <f>VALUE(0)</f>
        <v>0</v>
      </c>
      <c r="BC54" s="23">
        <f>VALUE(0)</f>
        <v>0</v>
      </c>
      <c r="BD54" s="23">
        <f>VALUE(0)</f>
        <v>0</v>
      </c>
      <c r="BE54" s="23">
        <f>VALUE(0)</f>
        <v>0</v>
      </c>
      <c r="BF54" s="23">
        <f>VALUE(0)</f>
        <v>0</v>
      </c>
      <c r="BG54" s="23">
        <f>VALUE(0)</f>
        <v>0</v>
      </c>
      <c r="BH54" s="23">
        <f>VALUE(0)</f>
        <v>0</v>
      </c>
      <c r="BI54" s="23">
        <f>VALUE(0)</f>
        <v>0</v>
      </c>
      <c r="BJ54" s="23">
        <f>VALUE(0)</f>
        <v>0</v>
      </c>
      <c r="BK54" s="12">
        <f>$AX$54*24</f>
        <v>7.25</v>
      </c>
      <c r="BL54" s="12">
        <f>$AY$54*24</f>
        <v>0</v>
      </c>
      <c r="BM54" s="12">
        <f>$BJ$54*24</f>
        <v>0</v>
      </c>
      <c r="BN54" s="12">
        <f>VALUE($I$54)/100</f>
        <v>1</v>
      </c>
      <c r="BO54" s="12">
        <v>0</v>
      </c>
      <c r="BP54" s="12">
        <v>0</v>
      </c>
      <c r="BQ54" s="12">
        <v>0</v>
      </c>
      <c r="BR54" s="12">
        <v>0</v>
      </c>
      <c r="BS54" s="12">
        <v>0</v>
      </c>
      <c r="BT54" s="12">
        <v>0</v>
      </c>
      <c r="BU54" s="12">
        <v>0</v>
      </c>
      <c r="BV54" s="12">
        <v>0</v>
      </c>
      <c r="BW54" s="12">
        <v>0</v>
      </c>
      <c r="BX54" s="12">
        <v>0</v>
      </c>
      <c r="BY54" s="12">
        <v>0</v>
      </c>
      <c r="BZ54" s="12">
        <v>0</v>
      </c>
      <c r="CA54" s="12">
        <v>0</v>
      </c>
    </row>
    <row r="55" spans="1:79" hidden="1" x14ac:dyDescent="0.2">
      <c r="A55" s="12" t="s">
        <v>102</v>
      </c>
      <c r="B55" s="12" t="s">
        <v>107</v>
      </c>
      <c r="C55" s="12" t="s">
        <v>107</v>
      </c>
      <c r="D55" s="22" t="s">
        <v>253</v>
      </c>
      <c r="E55" s="22" t="s">
        <v>149</v>
      </c>
      <c r="F55" s="22" t="s">
        <v>673</v>
      </c>
      <c r="G55" s="22" t="s">
        <v>674</v>
      </c>
      <c r="H55" s="22" t="s">
        <v>166</v>
      </c>
      <c r="I55" s="22" t="s">
        <v>151</v>
      </c>
      <c r="J55" s="22" t="s">
        <v>152</v>
      </c>
      <c r="K55" s="22" t="s">
        <v>68</v>
      </c>
      <c r="L55" s="54" t="s">
        <v>153</v>
      </c>
      <c r="M55" s="23" t="s">
        <v>153</v>
      </c>
      <c r="N55" s="24" t="s">
        <v>153</v>
      </c>
      <c r="O55" s="23" t="s">
        <v>153</v>
      </c>
      <c r="P55" s="23" t="s">
        <v>153</v>
      </c>
      <c r="Q55" s="23" t="s">
        <v>153</v>
      </c>
      <c r="R55" s="23" t="s">
        <v>153</v>
      </c>
      <c r="S55" s="23" t="s">
        <v>153</v>
      </c>
      <c r="T55" s="24" t="s">
        <v>156</v>
      </c>
      <c r="U55" s="24" t="s">
        <v>153</v>
      </c>
      <c r="V55" s="54" t="s">
        <v>156</v>
      </c>
      <c r="W55" s="23" t="s">
        <v>153</v>
      </c>
      <c r="X55" s="23" t="s">
        <v>153</v>
      </c>
      <c r="Y55" s="23" t="s">
        <v>153</v>
      </c>
      <c r="Z55" s="23" t="s">
        <v>153</v>
      </c>
      <c r="AA55" s="23" t="s">
        <v>153</v>
      </c>
      <c r="AB55" s="24" t="s">
        <v>153</v>
      </c>
      <c r="AC55" s="23" t="s">
        <v>153</v>
      </c>
      <c r="AD55" s="23" t="s">
        <v>153</v>
      </c>
      <c r="AE55" s="23" t="s">
        <v>153</v>
      </c>
      <c r="AF55" s="23" t="s">
        <v>153</v>
      </c>
      <c r="AG55" s="23" t="s">
        <v>153</v>
      </c>
      <c r="AH55" s="24" t="s">
        <v>156</v>
      </c>
      <c r="AI55" s="24" t="s">
        <v>153</v>
      </c>
      <c r="AJ55" s="24" t="s">
        <v>156</v>
      </c>
      <c r="AK55" s="23" t="s">
        <v>153</v>
      </c>
      <c r="AL55" s="23" t="s">
        <v>153</v>
      </c>
      <c r="AM55" s="23" t="s">
        <v>153</v>
      </c>
      <c r="AN55" s="23" t="s">
        <v>153</v>
      </c>
      <c r="AO55" s="23" t="s">
        <v>153</v>
      </c>
      <c r="AP55" s="23">
        <f>VALUE(0)</f>
        <v>0</v>
      </c>
      <c r="AQ55" s="23">
        <f>VALUE(0)</f>
        <v>0</v>
      </c>
      <c r="AR55" s="23">
        <f>VALUE(0)</f>
        <v>0</v>
      </c>
      <c r="AS55" s="23">
        <f>VALUE(0)</f>
        <v>0</v>
      </c>
      <c r="AT55" s="23">
        <f>VALUE(0)</f>
        <v>0</v>
      </c>
      <c r="AU55" s="23">
        <f>VALUE(0)</f>
        <v>0</v>
      </c>
      <c r="AV55" s="23">
        <f>VALUE(9.5)</f>
        <v>9.5</v>
      </c>
      <c r="AW55" s="23">
        <f>VALUE(0)</f>
        <v>0</v>
      </c>
      <c r="AX55" s="23" t="s">
        <v>1187</v>
      </c>
      <c r="AY55" s="23">
        <f>VALUE(0)</f>
        <v>0</v>
      </c>
      <c r="AZ55" s="23">
        <f>VALUE(0)</f>
        <v>0</v>
      </c>
      <c r="BA55" s="23">
        <f>VALUE(0)</f>
        <v>0</v>
      </c>
      <c r="BB55" s="23">
        <f>VALUE(0)</f>
        <v>0</v>
      </c>
      <c r="BC55" s="23">
        <f>VALUE(0)</f>
        <v>0</v>
      </c>
      <c r="BD55" s="23">
        <f>VALUE(0)</f>
        <v>0</v>
      </c>
      <c r="BE55" s="23">
        <f>VALUE(0)</f>
        <v>0</v>
      </c>
      <c r="BF55" s="23">
        <f>VALUE(0)</f>
        <v>0</v>
      </c>
      <c r="BG55" s="23">
        <f>VALUE(0)</f>
        <v>0</v>
      </c>
      <c r="BH55" s="23">
        <f>VALUE(0)</f>
        <v>0</v>
      </c>
      <c r="BI55" s="23">
        <f>VALUE(0)</f>
        <v>0</v>
      </c>
      <c r="BJ55" s="23">
        <f>VALUE(0)</f>
        <v>0</v>
      </c>
      <c r="BK55" s="12">
        <f>$AX$55*24</f>
        <v>8.85</v>
      </c>
      <c r="BL55" s="12">
        <f>$AY$55*24</f>
        <v>0</v>
      </c>
      <c r="BM55" s="12">
        <f>$BJ$55*24</f>
        <v>0</v>
      </c>
      <c r="BN55" s="12">
        <f>VALUE($I$55)/100</f>
        <v>1</v>
      </c>
      <c r="BO55" s="12">
        <v>0</v>
      </c>
      <c r="BP55" s="12">
        <v>0</v>
      </c>
      <c r="BQ55" s="12">
        <v>0</v>
      </c>
      <c r="BR55" s="12">
        <v>0</v>
      </c>
      <c r="BS55" s="12">
        <v>0</v>
      </c>
      <c r="BT55" s="12">
        <v>0</v>
      </c>
      <c r="BU55" s="12">
        <v>0</v>
      </c>
      <c r="BV55" s="12">
        <v>0</v>
      </c>
      <c r="BW55" s="12">
        <v>0</v>
      </c>
      <c r="BX55" s="12">
        <v>0</v>
      </c>
      <c r="BY55" s="12">
        <v>0</v>
      </c>
      <c r="BZ55" s="12">
        <v>0</v>
      </c>
      <c r="CA55" s="12">
        <v>0</v>
      </c>
    </row>
    <row r="56" spans="1:79" hidden="1" x14ac:dyDescent="0.2">
      <c r="A56" s="12" t="s">
        <v>102</v>
      </c>
      <c r="B56" s="12" t="s">
        <v>107</v>
      </c>
      <c r="C56" s="12" t="s">
        <v>107</v>
      </c>
      <c r="D56" s="22" t="s">
        <v>254</v>
      </c>
      <c r="E56" s="22" t="s">
        <v>149</v>
      </c>
      <c r="F56" s="22" t="s">
        <v>675</v>
      </c>
      <c r="G56" s="22" t="s">
        <v>676</v>
      </c>
      <c r="H56" s="22" t="s">
        <v>150</v>
      </c>
      <c r="I56" s="22" t="s">
        <v>151</v>
      </c>
      <c r="J56" s="22" t="s">
        <v>152</v>
      </c>
      <c r="K56" s="22" t="s">
        <v>68</v>
      </c>
      <c r="L56" s="54" t="s">
        <v>153</v>
      </c>
      <c r="M56" s="23" t="s">
        <v>153</v>
      </c>
      <c r="N56" s="24" t="s">
        <v>153</v>
      </c>
      <c r="O56" s="23" t="s">
        <v>153</v>
      </c>
      <c r="P56" s="23" t="s">
        <v>153</v>
      </c>
      <c r="Q56" s="24" t="s">
        <v>156</v>
      </c>
      <c r="R56" s="23" t="s">
        <v>153</v>
      </c>
      <c r="S56" s="23" t="s">
        <v>153</v>
      </c>
      <c r="T56" s="24" t="s">
        <v>156</v>
      </c>
      <c r="U56" s="24" t="s">
        <v>153</v>
      </c>
      <c r="V56" s="54" t="s">
        <v>153</v>
      </c>
      <c r="W56" s="23" t="s">
        <v>153</v>
      </c>
      <c r="X56" s="23" t="s">
        <v>153</v>
      </c>
      <c r="Y56" s="23" t="s">
        <v>153</v>
      </c>
      <c r="Z56" s="23" t="s">
        <v>153</v>
      </c>
      <c r="AA56" s="28" t="s">
        <v>338</v>
      </c>
      <c r="AB56" s="24" t="s">
        <v>153</v>
      </c>
      <c r="AC56" s="23" t="s">
        <v>153</v>
      </c>
      <c r="AD56" s="23" t="s">
        <v>153</v>
      </c>
      <c r="AE56" s="24" t="s">
        <v>156</v>
      </c>
      <c r="AF56" s="23" t="s">
        <v>153</v>
      </c>
      <c r="AG56" s="23" t="s">
        <v>153</v>
      </c>
      <c r="AH56" s="24" t="s">
        <v>156</v>
      </c>
      <c r="AI56" s="24" t="s">
        <v>153</v>
      </c>
      <c r="AJ56" s="23" t="s">
        <v>153</v>
      </c>
      <c r="AK56" s="23" t="s">
        <v>153</v>
      </c>
      <c r="AL56" s="23" t="s">
        <v>153</v>
      </c>
      <c r="AM56" s="23" t="s">
        <v>153</v>
      </c>
      <c r="AN56" s="23" t="s">
        <v>153</v>
      </c>
      <c r="AO56" s="23" t="s">
        <v>153</v>
      </c>
      <c r="AP56" s="23">
        <f>VALUE(0)</f>
        <v>0</v>
      </c>
      <c r="AQ56" s="23">
        <f>VALUE(0)</f>
        <v>0</v>
      </c>
      <c r="AR56" s="23">
        <f>VALUE(0)</f>
        <v>0</v>
      </c>
      <c r="AS56" s="23">
        <f>VALUE(0)</f>
        <v>0</v>
      </c>
      <c r="AT56" s="23">
        <f>VALUE(1)</f>
        <v>1</v>
      </c>
      <c r="AU56" s="23">
        <f>VALUE(0)</f>
        <v>0</v>
      </c>
      <c r="AV56" s="23">
        <f>VALUE(8)</f>
        <v>8</v>
      </c>
      <c r="AW56" s="23">
        <f>VALUE(0)</f>
        <v>0</v>
      </c>
      <c r="AX56" s="23" t="s">
        <v>171</v>
      </c>
      <c r="AY56" s="23" t="s">
        <v>255</v>
      </c>
      <c r="AZ56" s="23">
        <f>VALUE(0)</f>
        <v>0</v>
      </c>
      <c r="BA56" s="23">
        <f>VALUE(0)</f>
        <v>0</v>
      </c>
      <c r="BB56" s="23">
        <f>VALUE(0)</f>
        <v>0</v>
      </c>
      <c r="BC56" s="23">
        <f>VALUE(0)</f>
        <v>0</v>
      </c>
      <c r="BD56" s="23">
        <f>VALUE(0)</f>
        <v>0</v>
      </c>
      <c r="BE56" s="23">
        <f>VALUE(0)</f>
        <v>0</v>
      </c>
      <c r="BF56" s="23">
        <f>VALUE(0)</f>
        <v>0</v>
      </c>
      <c r="BG56" s="23">
        <f>VALUE(0)</f>
        <v>0</v>
      </c>
      <c r="BH56" s="23">
        <f>VALUE(0)</f>
        <v>0</v>
      </c>
      <c r="BI56" s="23">
        <f>VALUE(0)</f>
        <v>0</v>
      </c>
      <c r="BJ56" s="23">
        <f>VALUE(0)</f>
        <v>0</v>
      </c>
      <c r="BK56" s="12">
        <f>$AX$56*24</f>
        <v>5.833333333333333</v>
      </c>
      <c r="BL56" s="12">
        <f>$AY$56*24</f>
        <v>2.5</v>
      </c>
      <c r="BM56" s="12">
        <f>$BJ$56*24</f>
        <v>0</v>
      </c>
      <c r="BN56" s="12">
        <f>VALUE($I$56)/100</f>
        <v>1</v>
      </c>
      <c r="BO56" s="12">
        <v>0</v>
      </c>
      <c r="BP56" s="12">
        <v>0</v>
      </c>
      <c r="BQ56" s="12">
        <v>0</v>
      </c>
      <c r="BR56" s="12">
        <v>0</v>
      </c>
      <c r="BS56" s="12">
        <v>0</v>
      </c>
      <c r="BT56" s="12">
        <v>0</v>
      </c>
      <c r="BU56" s="12">
        <v>0</v>
      </c>
      <c r="BV56" s="12">
        <v>0</v>
      </c>
      <c r="BW56" s="12">
        <v>0</v>
      </c>
      <c r="BX56" s="12">
        <v>0</v>
      </c>
      <c r="BY56" s="12">
        <v>1</v>
      </c>
      <c r="BZ56" s="12">
        <v>0</v>
      </c>
      <c r="CA56" s="12">
        <v>0</v>
      </c>
    </row>
    <row r="57" spans="1:79" hidden="1" x14ac:dyDescent="0.2">
      <c r="A57" s="12" t="s">
        <v>102</v>
      </c>
      <c r="B57" s="12" t="s">
        <v>107</v>
      </c>
      <c r="C57" s="12" t="s">
        <v>107</v>
      </c>
      <c r="D57" s="22" t="s">
        <v>256</v>
      </c>
      <c r="E57" s="22" t="s">
        <v>149</v>
      </c>
      <c r="F57" s="22" t="s">
        <v>677</v>
      </c>
      <c r="G57" s="22" t="s">
        <v>678</v>
      </c>
      <c r="H57" s="22" t="s">
        <v>150</v>
      </c>
      <c r="I57" s="22" t="s">
        <v>151</v>
      </c>
      <c r="J57" s="22" t="s">
        <v>152</v>
      </c>
      <c r="K57" s="22" t="s">
        <v>68</v>
      </c>
      <c r="L57" s="54" t="s">
        <v>153</v>
      </c>
      <c r="M57" s="28" t="s">
        <v>163</v>
      </c>
      <c r="N57" s="24" t="s">
        <v>153</v>
      </c>
      <c r="O57" s="23" t="s">
        <v>153</v>
      </c>
      <c r="P57" s="23" t="s">
        <v>153</v>
      </c>
      <c r="Q57" s="23" t="s">
        <v>153</v>
      </c>
      <c r="R57" s="23" t="s">
        <v>153</v>
      </c>
      <c r="S57" s="23" t="s">
        <v>153</v>
      </c>
      <c r="T57" s="24" t="s">
        <v>156</v>
      </c>
      <c r="U57" s="24" t="s">
        <v>153</v>
      </c>
      <c r="V57" s="54" t="s">
        <v>153</v>
      </c>
      <c r="W57" s="23" t="s">
        <v>153</v>
      </c>
      <c r="X57" s="24" t="s">
        <v>156</v>
      </c>
      <c r="Y57" s="23" t="s">
        <v>153</v>
      </c>
      <c r="Z57" s="23" t="s">
        <v>153</v>
      </c>
      <c r="AA57" s="23" t="s">
        <v>153</v>
      </c>
      <c r="AB57" s="24" t="s">
        <v>153</v>
      </c>
      <c r="AC57" s="23" t="s">
        <v>153</v>
      </c>
      <c r="AD57" s="23" t="s">
        <v>153</v>
      </c>
      <c r="AE57" s="23" t="s">
        <v>153</v>
      </c>
      <c r="AF57" s="23" t="s">
        <v>153</v>
      </c>
      <c r="AG57" s="23" t="s">
        <v>153</v>
      </c>
      <c r="AH57" s="24" t="s">
        <v>156</v>
      </c>
      <c r="AI57" s="24" t="s">
        <v>153</v>
      </c>
      <c r="AJ57" s="23" t="s">
        <v>153</v>
      </c>
      <c r="AK57" s="23" t="s">
        <v>153</v>
      </c>
      <c r="AL57" s="24" t="s">
        <v>156</v>
      </c>
      <c r="AM57" s="23" t="s">
        <v>153</v>
      </c>
      <c r="AN57" s="23" t="s">
        <v>153</v>
      </c>
      <c r="AO57" s="23" t="s">
        <v>153</v>
      </c>
      <c r="AP57" s="23">
        <f>VALUE(0)</f>
        <v>0</v>
      </c>
      <c r="AQ57" s="23">
        <f>VALUE(0)</f>
        <v>0</v>
      </c>
      <c r="AR57" s="23">
        <f>VALUE(0)</f>
        <v>0</v>
      </c>
      <c r="AS57" s="23">
        <f>VALUE(0)</f>
        <v>0</v>
      </c>
      <c r="AT57" s="23">
        <f>VALUE(0)</f>
        <v>0</v>
      </c>
      <c r="AU57" s="23">
        <f>VALUE(1)</f>
        <v>1</v>
      </c>
      <c r="AV57" s="23">
        <f>VALUE(12)</f>
        <v>12</v>
      </c>
      <c r="AW57" s="23">
        <f>VALUE(0)</f>
        <v>0</v>
      </c>
      <c r="AX57" s="23" t="s">
        <v>1188</v>
      </c>
      <c r="AY57" s="23" t="s">
        <v>171</v>
      </c>
      <c r="AZ57" s="23">
        <f>VALUE(0)</f>
        <v>0</v>
      </c>
      <c r="BA57" s="23">
        <f>VALUE(0)</f>
        <v>0</v>
      </c>
      <c r="BB57" s="23">
        <f>VALUE(0)</f>
        <v>0</v>
      </c>
      <c r="BC57" s="23">
        <f>VALUE(0)</f>
        <v>0</v>
      </c>
      <c r="BD57" s="23">
        <f>VALUE(0)</f>
        <v>0</v>
      </c>
      <c r="BE57" s="23">
        <f>VALUE(0)</f>
        <v>0</v>
      </c>
      <c r="BF57" s="23">
        <f>VALUE(0)</f>
        <v>0</v>
      </c>
      <c r="BG57" s="23">
        <f>VALUE(0)</f>
        <v>0</v>
      </c>
      <c r="BH57" s="23">
        <f>VALUE(0)</f>
        <v>0</v>
      </c>
      <c r="BI57" s="23">
        <f>VALUE(0)</f>
        <v>0</v>
      </c>
      <c r="BJ57" s="23">
        <f>VALUE(0)</f>
        <v>0</v>
      </c>
      <c r="BK57" s="12">
        <f>$AX$57*24</f>
        <v>24.5</v>
      </c>
      <c r="BL57" s="12">
        <f>$AY$57*24</f>
        <v>5.833333333333333</v>
      </c>
      <c r="BM57" s="12">
        <f>$BJ$57*24</f>
        <v>0</v>
      </c>
      <c r="BN57" s="12">
        <f>VALUE($I$57)/100</f>
        <v>1</v>
      </c>
      <c r="BO57" s="12">
        <v>0</v>
      </c>
      <c r="BP57" s="12">
        <v>0</v>
      </c>
      <c r="BQ57" s="12">
        <v>0</v>
      </c>
      <c r="BR57" s="12">
        <v>0</v>
      </c>
      <c r="BS57" s="12">
        <v>0</v>
      </c>
      <c r="BT57" s="12">
        <v>0</v>
      </c>
      <c r="BU57" s="12">
        <v>0</v>
      </c>
      <c r="BV57" s="12">
        <v>0</v>
      </c>
      <c r="BW57" s="12">
        <v>0</v>
      </c>
      <c r="BX57" s="12">
        <v>0</v>
      </c>
      <c r="BY57" s="12">
        <v>0</v>
      </c>
      <c r="BZ57" s="12">
        <v>0</v>
      </c>
      <c r="CA57" s="12">
        <v>0</v>
      </c>
    </row>
    <row r="58" spans="1:79" hidden="1" x14ac:dyDescent="0.2">
      <c r="A58" s="12" t="s">
        <v>102</v>
      </c>
      <c r="B58" s="12" t="s">
        <v>107</v>
      </c>
      <c r="C58" s="12" t="s">
        <v>107</v>
      </c>
      <c r="D58" s="22" t="s">
        <v>258</v>
      </c>
      <c r="E58" s="22" t="s">
        <v>149</v>
      </c>
      <c r="F58" s="22" t="s">
        <v>679</v>
      </c>
      <c r="G58" s="22" t="s">
        <v>680</v>
      </c>
      <c r="H58" s="22" t="s">
        <v>150</v>
      </c>
      <c r="I58" s="22" t="s">
        <v>151</v>
      </c>
      <c r="J58" s="22" t="s">
        <v>152</v>
      </c>
      <c r="K58" s="22" t="s">
        <v>68</v>
      </c>
      <c r="L58" s="54" t="s">
        <v>153</v>
      </c>
      <c r="M58" s="24" t="s">
        <v>156</v>
      </c>
      <c r="N58" s="24" t="s">
        <v>153</v>
      </c>
      <c r="O58" s="24" t="s">
        <v>156</v>
      </c>
      <c r="P58" s="28" t="s">
        <v>163</v>
      </c>
      <c r="Q58" s="28" t="s">
        <v>163</v>
      </c>
      <c r="R58" s="28" t="s">
        <v>163</v>
      </c>
      <c r="S58" s="28" t="s">
        <v>163</v>
      </c>
      <c r="T58" s="28" t="s">
        <v>163</v>
      </c>
      <c r="U58" s="24" t="s">
        <v>153</v>
      </c>
      <c r="V58" s="54" t="s">
        <v>153</v>
      </c>
      <c r="W58" s="28" t="s">
        <v>163</v>
      </c>
      <c r="X58" s="28" t="s">
        <v>163</v>
      </c>
      <c r="Y58" s="28" t="s">
        <v>163</v>
      </c>
      <c r="Z58" s="28" t="s">
        <v>163</v>
      </c>
      <c r="AA58" s="28" t="s">
        <v>163</v>
      </c>
      <c r="AB58" s="24" t="s">
        <v>153</v>
      </c>
      <c r="AC58" s="28" t="s">
        <v>163</v>
      </c>
      <c r="AD58" s="23" t="s">
        <v>153</v>
      </c>
      <c r="AE58" s="23" t="s">
        <v>153</v>
      </c>
      <c r="AF58" s="23" t="s">
        <v>153</v>
      </c>
      <c r="AG58" s="23" t="s">
        <v>153</v>
      </c>
      <c r="AH58" s="23" t="s">
        <v>153</v>
      </c>
      <c r="AI58" s="24" t="s">
        <v>153</v>
      </c>
      <c r="AJ58" s="23" t="s">
        <v>153</v>
      </c>
      <c r="AK58" s="23" t="s">
        <v>153</v>
      </c>
      <c r="AL58" s="23" t="s">
        <v>153</v>
      </c>
      <c r="AM58" s="23" t="s">
        <v>153</v>
      </c>
      <c r="AN58" s="23" t="s">
        <v>153</v>
      </c>
      <c r="AO58" s="24" t="s">
        <v>156</v>
      </c>
      <c r="AP58" s="23">
        <f>VALUE(0)</f>
        <v>0</v>
      </c>
      <c r="AQ58" s="23">
        <f>VALUE(0)</f>
        <v>0</v>
      </c>
      <c r="AR58" s="23">
        <f>VALUE(0)</f>
        <v>0</v>
      </c>
      <c r="AS58" s="23">
        <f>VALUE(0)</f>
        <v>0</v>
      </c>
      <c r="AT58" s="23">
        <f>VALUE(0)</f>
        <v>0</v>
      </c>
      <c r="AU58" s="23">
        <f>VALUE(11)</f>
        <v>11</v>
      </c>
      <c r="AV58" s="23">
        <f>VALUE(0.5)</f>
        <v>0.5</v>
      </c>
      <c r="AW58" s="23">
        <f>VALUE(0)</f>
        <v>0</v>
      </c>
      <c r="AX58" s="23" t="s">
        <v>176</v>
      </c>
      <c r="AY58" s="23" t="s">
        <v>259</v>
      </c>
      <c r="AZ58" s="23">
        <f>VALUE(0)</f>
        <v>0</v>
      </c>
      <c r="BA58" s="23">
        <f>VALUE(0)</f>
        <v>0</v>
      </c>
      <c r="BB58" s="23">
        <f>VALUE(0)</f>
        <v>0</v>
      </c>
      <c r="BC58" s="23">
        <f>VALUE(0)</f>
        <v>0</v>
      </c>
      <c r="BD58" s="23">
        <f>VALUE(0)</f>
        <v>0</v>
      </c>
      <c r="BE58" s="23">
        <f>VALUE(0)</f>
        <v>0</v>
      </c>
      <c r="BF58" s="23">
        <f>VALUE(0)</f>
        <v>0</v>
      </c>
      <c r="BG58" s="23">
        <f>VALUE(0)</f>
        <v>0</v>
      </c>
      <c r="BH58" s="23">
        <f>VALUE(0)</f>
        <v>0</v>
      </c>
      <c r="BI58" s="23">
        <f>VALUE(0)</f>
        <v>0</v>
      </c>
      <c r="BJ58" s="23">
        <f>VALUE(0)</f>
        <v>0</v>
      </c>
      <c r="BK58" s="12">
        <f>$AX$58*24</f>
        <v>0</v>
      </c>
      <c r="BL58" s="12">
        <f>$AY$58*24</f>
        <v>6.5</v>
      </c>
      <c r="BM58" s="12">
        <f>$BJ$58*24</f>
        <v>0</v>
      </c>
      <c r="BN58" s="12">
        <f>VALUE($I$58)/100</f>
        <v>1</v>
      </c>
      <c r="BO58" s="12">
        <v>0</v>
      </c>
      <c r="BP58" s="12">
        <v>0</v>
      </c>
      <c r="BQ58" s="12">
        <v>0</v>
      </c>
      <c r="BR58" s="12">
        <v>0</v>
      </c>
      <c r="BS58" s="12">
        <v>0</v>
      </c>
      <c r="BT58" s="12">
        <v>0</v>
      </c>
      <c r="BU58" s="12">
        <v>0</v>
      </c>
      <c r="BV58" s="12">
        <v>0</v>
      </c>
      <c r="BW58" s="12">
        <v>0</v>
      </c>
      <c r="BX58" s="12">
        <v>0</v>
      </c>
      <c r="BY58" s="12">
        <v>0</v>
      </c>
      <c r="BZ58" s="12">
        <v>0</v>
      </c>
      <c r="CA58" s="12">
        <v>0</v>
      </c>
    </row>
    <row r="59" spans="1:79" ht="15" hidden="1" x14ac:dyDescent="0.25">
      <c r="A59" s="12" t="s">
        <v>102</v>
      </c>
      <c r="B59" s="12" t="s">
        <v>107</v>
      </c>
      <c r="C59" s="12" t="s">
        <v>107</v>
      </c>
      <c r="D59" s="31" t="s">
        <v>333</v>
      </c>
      <c r="E59" s="31" t="s">
        <v>153</v>
      </c>
      <c r="F59" s="31" t="s">
        <v>175</v>
      </c>
      <c r="G59" s="31" t="s">
        <v>153</v>
      </c>
      <c r="H59" s="31" t="s">
        <v>153</v>
      </c>
      <c r="I59" s="31" t="s">
        <v>153</v>
      </c>
      <c r="J59" s="31" t="s">
        <v>153</v>
      </c>
      <c r="K59" s="31" t="s">
        <v>153</v>
      </c>
      <c r="L59" s="31">
        <f>VALUE(0)</f>
        <v>0</v>
      </c>
      <c r="M59" s="31">
        <f>VALUE(4)</f>
        <v>4</v>
      </c>
      <c r="N59" s="31">
        <f>VALUE(0)</f>
        <v>0</v>
      </c>
      <c r="O59" s="31">
        <f>VALUE(5)</f>
        <v>5</v>
      </c>
      <c r="P59" s="31">
        <f>VALUE(7)</f>
        <v>7</v>
      </c>
      <c r="Q59" s="31">
        <f>VALUE(6)</f>
        <v>6</v>
      </c>
      <c r="R59" s="31">
        <f>VALUE(7)</f>
        <v>7</v>
      </c>
      <c r="S59" s="31">
        <f>VALUE(7)</f>
        <v>7</v>
      </c>
      <c r="T59" s="31">
        <f>VALUE(2)</f>
        <v>2</v>
      </c>
      <c r="U59" s="31">
        <f>VALUE(0)</f>
        <v>0</v>
      </c>
      <c r="V59" s="31">
        <f>VALUE(0)</f>
        <v>0</v>
      </c>
      <c r="W59" s="31">
        <f>VALUE(6)</f>
        <v>6</v>
      </c>
      <c r="X59" s="31">
        <f>VALUE(5)</f>
        <v>5</v>
      </c>
      <c r="Y59" s="31">
        <f>VALUE(7)</f>
        <v>7</v>
      </c>
      <c r="Z59" s="31">
        <f>VALUE(7)</f>
        <v>7</v>
      </c>
      <c r="AA59" s="31">
        <f>VALUE(4)</f>
        <v>4</v>
      </c>
      <c r="AB59" s="31">
        <f>VALUE(0)</f>
        <v>0</v>
      </c>
      <c r="AC59" s="31">
        <f>VALUE(5)</f>
        <v>5</v>
      </c>
      <c r="AD59" s="31">
        <f>VALUE(8)</f>
        <v>8</v>
      </c>
      <c r="AE59" s="31">
        <f>VALUE(7)</f>
        <v>7</v>
      </c>
      <c r="AF59" s="31">
        <f>VALUE(8)</f>
        <v>8</v>
      </c>
      <c r="AG59" s="31">
        <f>VALUE(8)</f>
        <v>8</v>
      </c>
      <c r="AH59" s="31">
        <f>VALUE(3)</f>
        <v>3</v>
      </c>
      <c r="AI59" s="31">
        <f>VALUE(0)</f>
        <v>0</v>
      </c>
      <c r="AJ59" s="31">
        <f>VALUE(5)</f>
        <v>5</v>
      </c>
      <c r="AK59" s="31">
        <f>VALUE(8)</f>
        <v>8</v>
      </c>
      <c r="AL59" s="31">
        <f>VALUE(7)</f>
        <v>7</v>
      </c>
      <c r="AM59" s="31">
        <f>VALUE(8)</f>
        <v>8</v>
      </c>
      <c r="AN59" s="31">
        <f>VALUE(8)</f>
        <v>8</v>
      </c>
      <c r="AO59" s="31">
        <f>VALUE(5)</f>
        <v>5</v>
      </c>
      <c r="AP59" s="31">
        <v>0</v>
      </c>
      <c r="AQ59" s="31">
        <v>0</v>
      </c>
      <c r="AR59" s="31">
        <v>0</v>
      </c>
      <c r="AS59" s="31">
        <v>0</v>
      </c>
      <c r="AT59" s="31">
        <v>0</v>
      </c>
      <c r="AU59" s="31">
        <v>0</v>
      </c>
      <c r="AV59" s="31">
        <v>0</v>
      </c>
      <c r="AW59" s="31">
        <v>0</v>
      </c>
      <c r="AX59" s="31">
        <v>0</v>
      </c>
      <c r="AY59" s="31">
        <v>0</v>
      </c>
      <c r="AZ59" s="31">
        <v>0</v>
      </c>
      <c r="BA59" s="31">
        <v>0</v>
      </c>
      <c r="BB59" s="31">
        <v>0</v>
      </c>
      <c r="BC59" s="31">
        <v>0</v>
      </c>
      <c r="BD59" s="31">
        <v>0</v>
      </c>
      <c r="BE59" s="31">
        <v>0</v>
      </c>
      <c r="BF59" s="31">
        <v>0</v>
      </c>
      <c r="BG59" s="31">
        <v>0</v>
      </c>
      <c r="BH59" s="31">
        <v>0</v>
      </c>
      <c r="BI59" s="31">
        <v>0</v>
      </c>
      <c r="BJ59" s="31">
        <v>0</v>
      </c>
      <c r="BK59" s="12">
        <v>0</v>
      </c>
      <c r="BL59" s="12">
        <v>0</v>
      </c>
      <c r="BM59" s="12">
        <v>0</v>
      </c>
      <c r="BN59" s="12"/>
      <c r="BO59" s="12">
        <v>0</v>
      </c>
      <c r="BP59" s="12">
        <v>0</v>
      </c>
      <c r="BQ59" s="12">
        <v>0</v>
      </c>
      <c r="BR59" s="12">
        <v>0</v>
      </c>
      <c r="BS59" s="12">
        <v>0</v>
      </c>
      <c r="BT59" s="12">
        <v>0</v>
      </c>
      <c r="BU59" s="12">
        <v>0</v>
      </c>
      <c r="BV59" s="12">
        <v>0</v>
      </c>
      <c r="BW59" s="12">
        <v>0</v>
      </c>
      <c r="BX59" s="12">
        <v>0</v>
      </c>
      <c r="BY59" s="12">
        <v>0</v>
      </c>
      <c r="BZ59" s="12">
        <v>0</v>
      </c>
      <c r="CA59" s="12">
        <v>0</v>
      </c>
    </row>
    <row r="60" spans="1:79" hidden="1" x14ac:dyDescent="0.2">
      <c r="A60" s="12" t="s">
        <v>102</v>
      </c>
      <c r="B60" s="12" t="s">
        <v>108</v>
      </c>
      <c r="C60" s="12" t="s">
        <v>108</v>
      </c>
      <c r="D60" s="22" t="s">
        <v>260</v>
      </c>
      <c r="E60" s="22" t="s">
        <v>173</v>
      </c>
      <c r="F60" s="22" t="s">
        <v>681</v>
      </c>
      <c r="G60" s="22" t="s">
        <v>682</v>
      </c>
      <c r="H60" s="22" t="s">
        <v>150</v>
      </c>
      <c r="I60" s="22" t="s">
        <v>151</v>
      </c>
      <c r="J60" s="22" t="s">
        <v>162</v>
      </c>
      <c r="K60" s="22" t="s">
        <v>69</v>
      </c>
      <c r="L60" s="54" t="s">
        <v>156</v>
      </c>
      <c r="M60" s="23" t="s">
        <v>153</v>
      </c>
      <c r="N60" s="24" t="s">
        <v>153</v>
      </c>
      <c r="O60" s="23" t="s">
        <v>153</v>
      </c>
      <c r="P60" s="23" t="s">
        <v>153</v>
      </c>
      <c r="Q60" s="24" t="s">
        <v>156</v>
      </c>
      <c r="R60" s="23" t="s">
        <v>153</v>
      </c>
      <c r="S60" s="23" t="s">
        <v>153</v>
      </c>
      <c r="T60" s="23" t="s">
        <v>153</v>
      </c>
      <c r="U60" s="24" t="s">
        <v>153</v>
      </c>
      <c r="V60" s="54" t="s">
        <v>153</v>
      </c>
      <c r="W60" s="23" t="s">
        <v>153</v>
      </c>
      <c r="X60" s="23" t="s">
        <v>153</v>
      </c>
      <c r="Y60" s="24" t="s">
        <v>156</v>
      </c>
      <c r="Z60" s="23" t="s">
        <v>153</v>
      </c>
      <c r="AA60" s="23" t="s">
        <v>153</v>
      </c>
      <c r="AB60" s="24" t="s">
        <v>153</v>
      </c>
      <c r="AC60" s="23" t="s">
        <v>153</v>
      </c>
      <c r="AD60" s="23" t="s">
        <v>153</v>
      </c>
      <c r="AE60" s="24" t="s">
        <v>156</v>
      </c>
      <c r="AF60" s="23" t="s">
        <v>153</v>
      </c>
      <c r="AG60" s="23" t="s">
        <v>153</v>
      </c>
      <c r="AH60" s="23" t="s">
        <v>153</v>
      </c>
      <c r="AI60" s="24" t="s">
        <v>153</v>
      </c>
      <c r="AJ60" s="23" t="s">
        <v>153</v>
      </c>
      <c r="AK60" s="23" t="s">
        <v>153</v>
      </c>
      <c r="AL60" s="23" t="s">
        <v>153</v>
      </c>
      <c r="AM60" s="23" t="s">
        <v>153</v>
      </c>
      <c r="AN60" s="24" t="s">
        <v>156</v>
      </c>
      <c r="AO60" s="30" t="s">
        <v>29</v>
      </c>
      <c r="AP60" s="23">
        <f>VALUE(0)</f>
        <v>0</v>
      </c>
      <c r="AQ60" s="23">
        <f>VALUE(0)</f>
        <v>0</v>
      </c>
      <c r="AR60" s="23">
        <f>VALUE(0)</f>
        <v>0</v>
      </c>
      <c r="AS60" s="23">
        <f>VALUE(0)</f>
        <v>0</v>
      </c>
      <c r="AT60" s="23">
        <f>VALUE(0)</f>
        <v>0</v>
      </c>
      <c r="AU60" s="23">
        <f>VALUE(0)</f>
        <v>0</v>
      </c>
      <c r="AV60" s="23">
        <f>VALUE(6)</f>
        <v>6</v>
      </c>
      <c r="AW60" s="23">
        <f>VALUE(0)</f>
        <v>0</v>
      </c>
      <c r="AX60" s="23" t="s">
        <v>445</v>
      </c>
      <c r="AY60" s="23" t="s">
        <v>1189</v>
      </c>
      <c r="AZ60" s="23">
        <f>VALUE(0)</f>
        <v>0</v>
      </c>
      <c r="BA60" s="23">
        <f>VALUE(0)</f>
        <v>0</v>
      </c>
      <c r="BB60" s="23">
        <f>VALUE(0)</f>
        <v>0</v>
      </c>
      <c r="BC60" s="23">
        <f>VALUE(0)</f>
        <v>0</v>
      </c>
      <c r="BD60" s="23">
        <f>VALUE(0)</f>
        <v>0</v>
      </c>
      <c r="BE60" s="23">
        <f>VALUE(0)</f>
        <v>0</v>
      </c>
      <c r="BF60" s="23">
        <f>VALUE(0)</f>
        <v>0</v>
      </c>
      <c r="BG60" s="23">
        <f>VALUE(0)</f>
        <v>0</v>
      </c>
      <c r="BH60" s="23">
        <f>VALUE(0)</f>
        <v>0</v>
      </c>
      <c r="BI60" s="23">
        <f>VALUE(0)</f>
        <v>0</v>
      </c>
      <c r="BJ60" s="23">
        <f>VALUE(0)</f>
        <v>0</v>
      </c>
      <c r="BK60" s="12">
        <f>$AX$60*24</f>
        <v>17.5</v>
      </c>
      <c r="BL60" s="12">
        <f>$AY$60*24</f>
        <v>142</v>
      </c>
      <c r="BM60" s="12">
        <f>$BJ$60*24</f>
        <v>0</v>
      </c>
      <c r="BN60" s="12">
        <f>VALUE($I$60)/100</f>
        <v>1</v>
      </c>
      <c r="BO60" s="12">
        <v>0</v>
      </c>
      <c r="BP60" s="12">
        <v>0</v>
      </c>
      <c r="BQ60" s="12">
        <v>0</v>
      </c>
      <c r="BR60" s="12">
        <v>0</v>
      </c>
      <c r="BS60" s="12">
        <v>0</v>
      </c>
      <c r="BT60" s="12">
        <v>0</v>
      </c>
      <c r="BU60" s="12">
        <v>0</v>
      </c>
      <c r="BV60" s="12">
        <v>0</v>
      </c>
      <c r="BW60" s="12">
        <v>0</v>
      </c>
      <c r="BX60" s="12">
        <v>0</v>
      </c>
      <c r="BY60" s="12">
        <v>0</v>
      </c>
      <c r="BZ60" s="12">
        <v>0</v>
      </c>
      <c r="CA60" s="12">
        <v>0</v>
      </c>
    </row>
    <row r="61" spans="1:79" ht="15" hidden="1" x14ac:dyDescent="0.25">
      <c r="A61" s="12" t="s">
        <v>102</v>
      </c>
      <c r="B61" s="12" t="s">
        <v>108</v>
      </c>
      <c r="C61" s="12" t="s">
        <v>108</v>
      </c>
      <c r="D61" s="31" t="s">
        <v>262</v>
      </c>
      <c r="E61" s="31" t="s">
        <v>153</v>
      </c>
      <c r="F61" s="31" t="s">
        <v>175</v>
      </c>
      <c r="G61" s="31" t="s">
        <v>153</v>
      </c>
      <c r="H61" s="31" t="s">
        <v>153</v>
      </c>
      <c r="I61" s="31" t="s">
        <v>153</v>
      </c>
      <c r="J61" s="31" t="s">
        <v>153</v>
      </c>
      <c r="K61" s="31" t="s">
        <v>153</v>
      </c>
      <c r="L61" s="31">
        <f>VALUE(0)</f>
        <v>0</v>
      </c>
      <c r="M61" s="31">
        <f>VALUE(1)</f>
        <v>1</v>
      </c>
      <c r="N61" s="31">
        <f>VALUE(0)</f>
        <v>0</v>
      </c>
      <c r="O61" s="31">
        <f>VALUE(1)</f>
        <v>1</v>
      </c>
      <c r="P61" s="31">
        <f>VALUE(1)</f>
        <v>1</v>
      </c>
      <c r="Q61" s="31">
        <f>VALUE(0)</f>
        <v>0</v>
      </c>
      <c r="R61" s="31">
        <f>VALUE(1)</f>
        <v>1</v>
      </c>
      <c r="S61" s="31">
        <f>VALUE(1)</f>
        <v>1</v>
      </c>
      <c r="T61" s="31">
        <f>VALUE(1)</f>
        <v>1</v>
      </c>
      <c r="U61" s="31">
        <f>VALUE(0)</f>
        <v>0</v>
      </c>
      <c r="V61" s="31">
        <f>VALUE(0)</f>
        <v>0</v>
      </c>
      <c r="W61" s="31">
        <f>VALUE(1)</f>
        <v>1</v>
      </c>
      <c r="X61" s="31">
        <f>VALUE(1)</f>
        <v>1</v>
      </c>
      <c r="Y61" s="31">
        <f>VALUE(0)</f>
        <v>0</v>
      </c>
      <c r="Z61" s="31">
        <f>VALUE(1)</f>
        <v>1</v>
      </c>
      <c r="AA61" s="31">
        <f>VALUE(1)</f>
        <v>1</v>
      </c>
      <c r="AB61" s="31">
        <f>VALUE(0)</f>
        <v>0</v>
      </c>
      <c r="AC61" s="31">
        <f>VALUE(1)</f>
        <v>1</v>
      </c>
      <c r="AD61" s="31">
        <f>VALUE(1)</f>
        <v>1</v>
      </c>
      <c r="AE61" s="31">
        <f>VALUE(0)</f>
        <v>0</v>
      </c>
      <c r="AF61" s="31">
        <f>VALUE(1)</f>
        <v>1</v>
      </c>
      <c r="AG61" s="31">
        <f>VALUE(1)</f>
        <v>1</v>
      </c>
      <c r="AH61" s="31">
        <f>VALUE(1)</f>
        <v>1</v>
      </c>
      <c r="AI61" s="31">
        <f>VALUE(0)</f>
        <v>0</v>
      </c>
      <c r="AJ61" s="31">
        <f>VALUE(1)</f>
        <v>1</v>
      </c>
      <c r="AK61" s="31">
        <f>VALUE(1)</f>
        <v>1</v>
      </c>
      <c r="AL61" s="31">
        <f>VALUE(1)</f>
        <v>1</v>
      </c>
      <c r="AM61" s="31">
        <f>VALUE(1)</f>
        <v>1</v>
      </c>
      <c r="AN61" s="31">
        <f>VALUE(0)</f>
        <v>0</v>
      </c>
      <c r="AO61" s="31">
        <f>VALUE(0)</f>
        <v>0</v>
      </c>
      <c r="AP61" s="31">
        <v>0</v>
      </c>
      <c r="AQ61" s="31">
        <v>0</v>
      </c>
      <c r="AR61" s="31">
        <v>0</v>
      </c>
      <c r="AS61" s="31">
        <v>0</v>
      </c>
      <c r="AT61" s="31">
        <v>0</v>
      </c>
      <c r="AU61" s="31">
        <v>0</v>
      </c>
      <c r="AV61" s="31">
        <v>0</v>
      </c>
      <c r="AW61" s="31">
        <v>0</v>
      </c>
      <c r="AX61" s="31">
        <v>0</v>
      </c>
      <c r="AY61" s="31">
        <v>0</v>
      </c>
      <c r="AZ61" s="31">
        <v>0</v>
      </c>
      <c r="BA61" s="31">
        <v>0</v>
      </c>
      <c r="BB61" s="31">
        <v>0</v>
      </c>
      <c r="BC61" s="31">
        <v>0</v>
      </c>
      <c r="BD61" s="31">
        <v>0</v>
      </c>
      <c r="BE61" s="31">
        <v>0</v>
      </c>
      <c r="BF61" s="31">
        <v>0</v>
      </c>
      <c r="BG61" s="31">
        <v>0</v>
      </c>
      <c r="BH61" s="31">
        <v>0</v>
      </c>
      <c r="BI61" s="31">
        <v>0</v>
      </c>
      <c r="BJ61" s="31">
        <v>0</v>
      </c>
      <c r="BK61" s="12">
        <v>0</v>
      </c>
      <c r="BL61" s="12">
        <v>0</v>
      </c>
      <c r="BM61" s="12">
        <v>0</v>
      </c>
      <c r="BN61" s="12"/>
      <c r="BO61" s="12">
        <v>0</v>
      </c>
      <c r="BP61" s="12">
        <v>0</v>
      </c>
      <c r="BQ61" s="12">
        <v>0</v>
      </c>
      <c r="BR61" s="12">
        <v>0</v>
      </c>
      <c r="BS61" s="12">
        <v>0</v>
      </c>
      <c r="BT61" s="12">
        <v>0</v>
      </c>
      <c r="BU61" s="12">
        <v>0</v>
      </c>
      <c r="BV61" s="12">
        <v>0</v>
      </c>
      <c r="BW61" s="12">
        <v>0</v>
      </c>
      <c r="BX61" s="12">
        <v>0</v>
      </c>
      <c r="BY61" s="12">
        <v>0</v>
      </c>
      <c r="BZ61" s="12">
        <v>0</v>
      </c>
      <c r="CA61" s="12">
        <v>0</v>
      </c>
    </row>
    <row r="62" spans="1:79" hidden="1" x14ac:dyDescent="0.2">
      <c r="A62" s="12" t="s">
        <v>102</v>
      </c>
      <c r="B62" s="12" t="s">
        <v>109</v>
      </c>
      <c r="C62" s="12" t="s">
        <v>109</v>
      </c>
      <c r="D62" s="22" t="s">
        <v>263</v>
      </c>
      <c r="E62" s="22" t="s">
        <v>161</v>
      </c>
      <c r="F62" s="22" t="s">
        <v>683</v>
      </c>
      <c r="G62" s="22" t="s">
        <v>684</v>
      </c>
      <c r="H62" s="22" t="s">
        <v>150</v>
      </c>
      <c r="I62" s="22" t="s">
        <v>151</v>
      </c>
      <c r="J62" s="22" t="s">
        <v>264</v>
      </c>
      <c r="K62" s="22" t="s">
        <v>70</v>
      </c>
      <c r="L62" s="54" t="s">
        <v>153</v>
      </c>
      <c r="M62" s="23" t="s">
        <v>153</v>
      </c>
      <c r="N62" s="24" t="s">
        <v>153</v>
      </c>
      <c r="O62" s="23" t="s">
        <v>153</v>
      </c>
      <c r="P62" s="23" t="s">
        <v>153</v>
      </c>
      <c r="Q62" s="23" t="s">
        <v>153</v>
      </c>
      <c r="R62" s="23" t="s">
        <v>153</v>
      </c>
      <c r="S62" s="23" t="s">
        <v>153</v>
      </c>
      <c r="T62" s="24" t="s">
        <v>156</v>
      </c>
      <c r="U62" s="24" t="s">
        <v>153</v>
      </c>
      <c r="V62" s="54" t="s">
        <v>153</v>
      </c>
      <c r="W62" s="23" t="s">
        <v>153</v>
      </c>
      <c r="X62" s="23" t="s">
        <v>153</v>
      </c>
      <c r="Y62" s="23" t="s">
        <v>153</v>
      </c>
      <c r="Z62" s="23" t="s">
        <v>153</v>
      </c>
      <c r="AA62" s="23" t="s">
        <v>153</v>
      </c>
      <c r="AB62" s="24" t="s">
        <v>153</v>
      </c>
      <c r="AC62" s="23" t="s">
        <v>153</v>
      </c>
      <c r="AD62" s="23" t="s">
        <v>153</v>
      </c>
      <c r="AE62" s="23" t="s">
        <v>153</v>
      </c>
      <c r="AF62" s="23" t="s">
        <v>153</v>
      </c>
      <c r="AG62" s="23" t="s">
        <v>153</v>
      </c>
      <c r="AH62" s="24" t="s">
        <v>156</v>
      </c>
      <c r="AI62" s="24" t="s">
        <v>153</v>
      </c>
      <c r="AJ62" s="23" t="s">
        <v>153</v>
      </c>
      <c r="AK62" s="23" t="s">
        <v>153</v>
      </c>
      <c r="AL62" s="23" t="s">
        <v>153</v>
      </c>
      <c r="AM62" s="23" t="s">
        <v>153</v>
      </c>
      <c r="AN62" s="23" t="s">
        <v>153</v>
      </c>
      <c r="AO62" s="23" t="s">
        <v>153</v>
      </c>
      <c r="AP62" s="23">
        <f>VALUE(0)</f>
        <v>0</v>
      </c>
      <c r="AQ62" s="23">
        <f>VALUE(0)</f>
        <v>0</v>
      </c>
      <c r="AR62" s="23">
        <f>VALUE(0)</f>
        <v>0</v>
      </c>
      <c r="AS62" s="23">
        <f>VALUE(0)</f>
        <v>0</v>
      </c>
      <c r="AT62" s="23">
        <f>VALUE(0)</f>
        <v>0</v>
      </c>
      <c r="AU62" s="23">
        <f>VALUE(0)</f>
        <v>0</v>
      </c>
      <c r="AV62" s="23">
        <f>VALUE(5)</f>
        <v>5</v>
      </c>
      <c r="AW62" s="23">
        <f>VALUE(0)</f>
        <v>0</v>
      </c>
      <c r="AX62" s="23" t="s">
        <v>171</v>
      </c>
      <c r="AY62" s="23" t="s">
        <v>265</v>
      </c>
      <c r="AZ62" s="23">
        <f>VALUE(0)</f>
        <v>0</v>
      </c>
      <c r="BA62" s="23">
        <f>VALUE(0)</f>
        <v>0</v>
      </c>
      <c r="BB62" s="23">
        <f>VALUE(0)</f>
        <v>0</v>
      </c>
      <c r="BC62" s="23">
        <f>VALUE(0)</f>
        <v>0</v>
      </c>
      <c r="BD62" s="23">
        <f>VALUE(0)</f>
        <v>0</v>
      </c>
      <c r="BE62" s="23">
        <f>VALUE(0)</f>
        <v>0</v>
      </c>
      <c r="BF62" s="23">
        <f>VALUE(0)</f>
        <v>0</v>
      </c>
      <c r="BG62" s="23">
        <f>VALUE(0)</f>
        <v>0</v>
      </c>
      <c r="BH62" s="23">
        <f>VALUE(0)</f>
        <v>0</v>
      </c>
      <c r="BI62" s="23">
        <f>VALUE(0)</f>
        <v>0</v>
      </c>
      <c r="BJ62" s="23">
        <f>VALUE(0)</f>
        <v>0</v>
      </c>
      <c r="BK62" s="12">
        <f>$AX$62*24</f>
        <v>5.833333333333333</v>
      </c>
      <c r="BL62" s="12">
        <f>$AY$62*24</f>
        <v>5.7666666666666666</v>
      </c>
      <c r="BM62" s="12">
        <f>$BJ$62*24</f>
        <v>0</v>
      </c>
      <c r="BN62" s="12">
        <f>VALUE($I$62)/100</f>
        <v>1</v>
      </c>
      <c r="BO62" s="12">
        <v>0</v>
      </c>
      <c r="BP62" s="12">
        <v>0</v>
      </c>
      <c r="BQ62" s="12">
        <v>0</v>
      </c>
      <c r="BR62" s="12">
        <v>0</v>
      </c>
      <c r="BS62" s="12">
        <v>0</v>
      </c>
      <c r="BT62" s="12">
        <v>0</v>
      </c>
      <c r="BU62" s="12">
        <v>0</v>
      </c>
      <c r="BV62" s="12">
        <v>0</v>
      </c>
      <c r="BW62" s="12">
        <v>0</v>
      </c>
      <c r="BX62" s="12">
        <v>0</v>
      </c>
      <c r="BY62" s="12">
        <v>0</v>
      </c>
      <c r="BZ62" s="12">
        <v>0</v>
      </c>
      <c r="CA62" s="12">
        <v>0</v>
      </c>
    </row>
    <row r="63" spans="1:79" ht="16.5" hidden="1" x14ac:dyDescent="0.2">
      <c r="A63" s="12" t="s">
        <v>102</v>
      </c>
      <c r="B63" s="12" t="s">
        <v>109</v>
      </c>
      <c r="C63" s="12" t="s">
        <v>109</v>
      </c>
      <c r="D63" s="22" t="s">
        <v>266</v>
      </c>
      <c r="E63" s="22" t="s">
        <v>173</v>
      </c>
      <c r="F63" s="22" t="s">
        <v>685</v>
      </c>
      <c r="G63" s="22" t="s">
        <v>686</v>
      </c>
      <c r="H63" s="22" t="s">
        <v>150</v>
      </c>
      <c r="I63" s="22" t="s">
        <v>151</v>
      </c>
      <c r="J63" s="22" t="s">
        <v>181</v>
      </c>
      <c r="K63" s="22" t="s">
        <v>70</v>
      </c>
      <c r="L63" s="54" t="s">
        <v>153</v>
      </c>
      <c r="M63" s="24" t="s">
        <v>156</v>
      </c>
      <c r="N63" s="24" t="s">
        <v>153</v>
      </c>
      <c r="O63" s="28" t="s">
        <v>163</v>
      </c>
      <c r="P63" s="28" t="s">
        <v>163</v>
      </c>
      <c r="Q63" s="28" t="s">
        <v>163</v>
      </c>
      <c r="R63" s="28" t="s">
        <v>163</v>
      </c>
      <c r="S63" s="28" t="s">
        <v>163</v>
      </c>
      <c r="T63" s="28" t="s">
        <v>163</v>
      </c>
      <c r="U63" s="24" t="s">
        <v>153</v>
      </c>
      <c r="V63" s="54" t="s">
        <v>153</v>
      </c>
      <c r="W63" s="26" t="s">
        <v>267</v>
      </c>
      <c r="X63" s="26" t="s">
        <v>267</v>
      </c>
      <c r="Y63" s="26" t="s">
        <v>267</v>
      </c>
      <c r="Z63" s="26" t="s">
        <v>267</v>
      </c>
      <c r="AA63" s="24" t="s">
        <v>156</v>
      </c>
      <c r="AB63" s="24" t="s">
        <v>153</v>
      </c>
      <c r="AC63" s="28" t="s">
        <v>163</v>
      </c>
      <c r="AD63" s="28" t="s">
        <v>163</v>
      </c>
      <c r="AE63" s="28" t="s">
        <v>163</v>
      </c>
      <c r="AF63" s="28" t="s">
        <v>163</v>
      </c>
      <c r="AG63" s="28" t="s">
        <v>163</v>
      </c>
      <c r="AH63" s="28" t="s">
        <v>163</v>
      </c>
      <c r="AI63" s="24" t="s">
        <v>153</v>
      </c>
      <c r="AJ63" s="26" t="s">
        <v>267</v>
      </c>
      <c r="AK63" s="26" t="s">
        <v>267</v>
      </c>
      <c r="AL63" s="26" t="s">
        <v>267</v>
      </c>
      <c r="AM63" s="26" t="s">
        <v>267</v>
      </c>
      <c r="AN63" s="26" t="s">
        <v>267</v>
      </c>
      <c r="AO63" s="24" t="s">
        <v>156</v>
      </c>
      <c r="AP63" s="23">
        <f>VALUE(0)</f>
        <v>0</v>
      </c>
      <c r="AQ63" s="23">
        <f>VALUE(0)</f>
        <v>0</v>
      </c>
      <c r="AR63" s="23">
        <f>VALUE(0)</f>
        <v>0</v>
      </c>
      <c r="AS63" s="23">
        <f>VALUE(0)</f>
        <v>0</v>
      </c>
      <c r="AT63" s="23">
        <f>VALUE(0)</f>
        <v>0</v>
      </c>
      <c r="AU63" s="23">
        <f>VALUE(12)</f>
        <v>12</v>
      </c>
      <c r="AV63" s="23">
        <f>VALUE(2)</f>
        <v>2</v>
      </c>
      <c r="AW63" s="23">
        <f>VALUE(0)</f>
        <v>0</v>
      </c>
      <c r="AX63" s="23" t="s">
        <v>268</v>
      </c>
      <c r="AY63" s="23" t="s">
        <v>269</v>
      </c>
      <c r="AZ63" s="23">
        <f>VALUE(0)</f>
        <v>0</v>
      </c>
      <c r="BA63" s="23">
        <f>VALUE(0)</f>
        <v>0</v>
      </c>
      <c r="BB63" s="23">
        <f>VALUE(0)</f>
        <v>0</v>
      </c>
      <c r="BC63" s="23">
        <f>VALUE(0)</f>
        <v>0</v>
      </c>
      <c r="BD63" s="23">
        <f>VALUE(0)</f>
        <v>0</v>
      </c>
      <c r="BE63" s="23">
        <f>VALUE(0)</f>
        <v>0</v>
      </c>
      <c r="BF63" s="23">
        <f>VALUE(0)</f>
        <v>0</v>
      </c>
      <c r="BG63" s="23">
        <f>VALUE(0)</f>
        <v>0</v>
      </c>
      <c r="BH63" s="23">
        <f>VALUE(0)</f>
        <v>0</v>
      </c>
      <c r="BI63" s="23">
        <f>VALUE(0)</f>
        <v>0</v>
      </c>
      <c r="BJ63" s="23">
        <f>VALUE(0)</f>
        <v>0</v>
      </c>
      <c r="BK63" s="12">
        <f>$AX$63*24</f>
        <v>5.5333333333333332</v>
      </c>
      <c r="BL63" s="12">
        <f>$AY$63*24</f>
        <v>2.25</v>
      </c>
      <c r="BM63" s="12">
        <f>$BJ$63*24</f>
        <v>0</v>
      </c>
      <c r="BN63" s="12">
        <f>VALUE($I$63)/100</f>
        <v>1</v>
      </c>
      <c r="BO63" s="12">
        <v>0</v>
      </c>
      <c r="BP63" s="12">
        <v>0</v>
      </c>
      <c r="BQ63" s="12">
        <v>0</v>
      </c>
      <c r="BR63" s="12">
        <v>0</v>
      </c>
      <c r="BS63" s="12">
        <v>0</v>
      </c>
      <c r="BT63" s="12">
        <v>0</v>
      </c>
      <c r="BU63" s="12">
        <v>0</v>
      </c>
      <c r="BV63" s="12">
        <v>0</v>
      </c>
      <c r="BW63" s="12">
        <v>0</v>
      </c>
      <c r="BX63" s="12">
        <v>0</v>
      </c>
      <c r="BY63" s="12">
        <v>0</v>
      </c>
      <c r="BZ63" s="12">
        <v>0</v>
      </c>
      <c r="CA63" s="12">
        <v>0</v>
      </c>
    </row>
    <row r="64" spans="1:79" hidden="1" x14ac:dyDescent="0.2">
      <c r="A64" s="12" t="s">
        <v>102</v>
      </c>
      <c r="B64" s="12" t="s">
        <v>109</v>
      </c>
      <c r="C64" s="12" t="s">
        <v>109</v>
      </c>
      <c r="D64" s="22" t="s">
        <v>270</v>
      </c>
      <c r="E64" s="22" t="s">
        <v>161</v>
      </c>
      <c r="F64" s="22" t="s">
        <v>687</v>
      </c>
      <c r="G64" s="22" t="s">
        <v>688</v>
      </c>
      <c r="H64" s="22" t="s">
        <v>150</v>
      </c>
      <c r="I64" s="22" t="s">
        <v>151</v>
      </c>
      <c r="J64" s="22" t="s">
        <v>181</v>
      </c>
      <c r="K64" s="22" t="s">
        <v>70</v>
      </c>
      <c r="L64" s="54" t="s">
        <v>153</v>
      </c>
      <c r="M64" s="24" t="s">
        <v>156</v>
      </c>
      <c r="N64" s="24" t="s">
        <v>153</v>
      </c>
      <c r="O64" s="23" t="s">
        <v>153</v>
      </c>
      <c r="P64" s="23" t="s">
        <v>153</v>
      </c>
      <c r="Q64" s="23" t="s">
        <v>153</v>
      </c>
      <c r="R64" s="23" t="s">
        <v>153</v>
      </c>
      <c r="S64" s="23" t="s">
        <v>153</v>
      </c>
      <c r="T64" s="23" t="s">
        <v>153</v>
      </c>
      <c r="U64" s="24" t="s">
        <v>153</v>
      </c>
      <c r="V64" s="54" t="s">
        <v>153</v>
      </c>
      <c r="W64" s="23" t="s">
        <v>153</v>
      </c>
      <c r="X64" s="23" t="s">
        <v>153</v>
      </c>
      <c r="Y64" s="23" t="s">
        <v>153</v>
      </c>
      <c r="Z64" s="23" t="s">
        <v>153</v>
      </c>
      <c r="AA64" s="24" t="s">
        <v>156</v>
      </c>
      <c r="AB64" s="24" t="s">
        <v>153</v>
      </c>
      <c r="AC64" s="23" t="s">
        <v>153</v>
      </c>
      <c r="AD64" s="23" t="s">
        <v>153</v>
      </c>
      <c r="AE64" s="23" t="s">
        <v>153</v>
      </c>
      <c r="AF64" s="23" t="s">
        <v>153</v>
      </c>
      <c r="AG64" s="23" t="s">
        <v>153</v>
      </c>
      <c r="AH64" s="23" t="s">
        <v>153</v>
      </c>
      <c r="AI64" s="24" t="s">
        <v>153</v>
      </c>
      <c r="AJ64" s="23" t="s">
        <v>153</v>
      </c>
      <c r="AK64" s="23" t="s">
        <v>153</v>
      </c>
      <c r="AL64" s="23" t="s">
        <v>153</v>
      </c>
      <c r="AM64" s="23" t="s">
        <v>153</v>
      </c>
      <c r="AN64" s="23" t="s">
        <v>153</v>
      </c>
      <c r="AO64" s="24" t="s">
        <v>156</v>
      </c>
      <c r="AP64" s="23">
        <f>VALUE(0)</f>
        <v>0</v>
      </c>
      <c r="AQ64" s="23">
        <f>VALUE(0)</f>
        <v>0</v>
      </c>
      <c r="AR64" s="23">
        <f>VALUE(0)</f>
        <v>0</v>
      </c>
      <c r="AS64" s="23">
        <f>VALUE(0)</f>
        <v>0</v>
      </c>
      <c r="AT64" s="23">
        <f>VALUE(0)</f>
        <v>0</v>
      </c>
      <c r="AU64" s="23">
        <f>VALUE(0)</f>
        <v>0</v>
      </c>
      <c r="AV64" s="23">
        <f>VALUE(4)</f>
        <v>4</v>
      </c>
      <c r="AW64" s="23">
        <f>VALUE(0)</f>
        <v>0</v>
      </c>
      <c r="AX64" s="23" t="s">
        <v>271</v>
      </c>
      <c r="AY64" s="23">
        <f>VALUE(0)</f>
        <v>0</v>
      </c>
      <c r="AZ64" s="23">
        <f>VALUE(0)</f>
        <v>0</v>
      </c>
      <c r="BA64" s="23">
        <f>VALUE(0)</f>
        <v>0</v>
      </c>
      <c r="BB64" s="23">
        <f>VALUE(0)</f>
        <v>0</v>
      </c>
      <c r="BC64" s="23">
        <f>VALUE(0)</f>
        <v>0</v>
      </c>
      <c r="BD64" s="23">
        <f>VALUE(0)</f>
        <v>0</v>
      </c>
      <c r="BE64" s="23">
        <f>VALUE(0)</f>
        <v>0</v>
      </c>
      <c r="BF64" s="23">
        <f>VALUE(0)</f>
        <v>0</v>
      </c>
      <c r="BG64" s="23">
        <f>VALUE(0)</f>
        <v>0</v>
      </c>
      <c r="BH64" s="23">
        <f>VALUE(0)</f>
        <v>0</v>
      </c>
      <c r="BI64" s="23">
        <f>VALUE(0)</f>
        <v>0</v>
      </c>
      <c r="BJ64" s="23">
        <f>VALUE(0)</f>
        <v>0</v>
      </c>
      <c r="BK64" s="12">
        <f>$AX$64*24</f>
        <v>13.783333333333331</v>
      </c>
      <c r="BL64" s="12">
        <f>$AY$64*24</f>
        <v>0</v>
      </c>
      <c r="BM64" s="12">
        <f>$BJ$64*24</f>
        <v>0</v>
      </c>
      <c r="BN64" s="12">
        <f>VALUE($I$64)/100</f>
        <v>1</v>
      </c>
      <c r="BO64" s="12">
        <v>0</v>
      </c>
      <c r="BP64" s="12">
        <v>0</v>
      </c>
      <c r="BQ64" s="12">
        <v>0</v>
      </c>
      <c r="BR64" s="12">
        <v>0</v>
      </c>
      <c r="BS64" s="12">
        <v>0</v>
      </c>
      <c r="BT64" s="12">
        <v>0</v>
      </c>
      <c r="BU64" s="12">
        <v>0</v>
      </c>
      <c r="BV64" s="12">
        <v>0</v>
      </c>
      <c r="BW64" s="12">
        <v>0</v>
      </c>
      <c r="BX64" s="12">
        <v>0</v>
      </c>
      <c r="BY64" s="12">
        <v>0</v>
      </c>
      <c r="BZ64" s="12">
        <v>0</v>
      </c>
      <c r="CA64" s="12">
        <v>0</v>
      </c>
    </row>
    <row r="65" spans="1:79" hidden="1" x14ac:dyDescent="0.2">
      <c r="A65" s="12" t="s">
        <v>102</v>
      </c>
      <c r="B65" s="12" t="s">
        <v>109</v>
      </c>
      <c r="C65" s="12" t="s">
        <v>109</v>
      </c>
      <c r="D65" s="22" t="s">
        <v>240</v>
      </c>
      <c r="E65" s="22" t="s">
        <v>159</v>
      </c>
      <c r="F65" s="22" t="s">
        <v>689</v>
      </c>
      <c r="G65" s="22" t="s">
        <v>690</v>
      </c>
      <c r="H65" s="22" t="s">
        <v>150</v>
      </c>
      <c r="I65" s="22" t="s">
        <v>151</v>
      </c>
      <c r="J65" s="22" t="s">
        <v>181</v>
      </c>
      <c r="K65" s="22" t="s">
        <v>70</v>
      </c>
      <c r="L65" s="54" t="s">
        <v>153</v>
      </c>
      <c r="M65" s="24" t="s">
        <v>156</v>
      </c>
      <c r="N65" s="24" t="s">
        <v>153</v>
      </c>
      <c r="O65" s="23" t="s">
        <v>153</v>
      </c>
      <c r="P65" s="23" t="s">
        <v>153</v>
      </c>
      <c r="Q65" s="23" t="s">
        <v>153</v>
      </c>
      <c r="R65" s="23" t="s">
        <v>153</v>
      </c>
      <c r="S65" s="23" t="s">
        <v>153</v>
      </c>
      <c r="T65" s="23" t="s">
        <v>153</v>
      </c>
      <c r="U65" s="24" t="s">
        <v>153</v>
      </c>
      <c r="V65" s="54" t="s">
        <v>153</v>
      </c>
      <c r="W65" s="28" t="s">
        <v>163</v>
      </c>
      <c r="X65" s="28" t="s">
        <v>163</v>
      </c>
      <c r="Y65" s="28" t="s">
        <v>163</v>
      </c>
      <c r="Z65" s="28" t="s">
        <v>163</v>
      </c>
      <c r="AA65" s="28" t="s">
        <v>163</v>
      </c>
      <c r="AB65" s="24" t="s">
        <v>153</v>
      </c>
      <c r="AC65" s="23" t="s">
        <v>153</v>
      </c>
      <c r="AD65" s="23" t="s">
        <v>153</v>
      </c>
      <c r="AE65" s="23" t="s">
        <v>153</v>
      </c>
      <c r="AF65" s="23" t="s">
        <v>153</v>
      </c>
      <c r="AG65" s="23" t="s">
        <v>153</v>
      </c>
      <c r="AH65" s="23" t="s">
        <v>153</v>
      </c>
      <c r="AI65" s="24" t="s">
        <v>153</v>
      </c>
      <c r="AJ65" s="23" t="s">
        <v>153</v>
      </c>
      <c r="AK65" s="23" t="s">
        <v>153</v>
      </c>
      <c r="AL65" s="23" t="s">
        <v>153</v>
      </c>
      <c r="AM65" s="23" t="s">
        <v>153</v>
      </c>
      <c r="AN65" s="23" t="s">
        <v>153</v>
      </c>
      <c r="AO65" s="24" t="s">
        <v>156</v>
      </c>
      <c r="AP65" s="23">
        <f>VALUE(0)</f>
        <v>0</v>
      </c>
      <c r="AQ65" s="23">
        <f>VALUE(0)</f>
        <v>0</v>
      </c>
      <c r="AR65" s="23">
        <f>VALUE(0)</f>
        <v>0</v>
      </c>
      <c r="AS65" s="23">
        <f>VALUE(17)</f>
        <v>17</v>
      </c>
      <c r="AT65" s="23">
        <f>VALUE(0)</f>
        <v>0</v>
      </c>
      <c r="AU65" s="23">
        <f>VALUE(5)</f>
        <v>5</v>
      </c>
      <c r="AV65" s="23">
        <f>VALUE(0)</f>
        <v>0</v>
      </c>
      <c r="AW65" s="23">
        <f>VALUE(0)</f>
        <v>0</v>
      </c>
      <c r="AX65" s="23" t="s">
        <v>176</v>
      </c>
      <c r="AY65" s="23" t="s">
        <v>272</v>
      </c>
      <c r="AZ65" s="23">
        <f>VALUE(0)</f>
        <v>0</v>
      </c>
      <c r="BA65" s="23">
        <f>VALUE(0)</f>
        <v>0</v>
      </c>
      <c r="BB65" s="23">
        <f>VALUE(0)</f>
        <v>0</v>
      </c>
      <c r="BC65" s="23">
        <f>VALUE(0)</f>
        <v>0</v>
      </c>
      <c r="BD65" s="23">
        <f>VALUE(0)</f>
        <v>0</v>
      </c>
      <c r="BE65" s="23">
        <f>VALUE(0)</f>
        <v>0</v>
      </c>
      <c r="BF65" s="23">
        <f>VALUE(0)</f>
        <v>0</v>
      </c>
      <c r="BG65" s="23">
        <f>VALUE(0)</f>
        <v>0</v>
      </c>
      <c r="BH65" s="23">
        <f>VALUE(0)</f>
        <v>0</v>
      </c>
      <c r="BI65" s="23">
        <f>VALUE(0)</f>
        <v>0</v>
      </c>
      <c r="BJ65" s="23">
        <f>VALUE(0)</f>
        <v>0</v>
      </c>
      <c r="BK65" s="12">
        <f>$AX$65*24</f>
        <v>0</v>
      </c>
      <c r="BL65" s="12">
        <f>$AY$65*24</f>
        <v>11.833333333333334</v>
      </c>
      <c r="BM65" s="12">
        <f>$BJ$65*24</f>
        <v>0</v>
      </c>
      <c r="BN65" s="12">
        <f>VALUE($I$65)/100</f>
        <v>1</v>
      </c>
      <c r="BO65" s="12">
        <v>0</v>
      </c>
      <c r="BP65" s="12">
        <v>0</v>
      </c>
      <c r="BQ65" s="12">
        <v>0</v>
      </c>
      <c r="BR65" s="12">
        <v>0</v>
      </c>
      <c r="BS65" s="12">
        <v>0</v>
      </c>
      <c r="BT65" s="12">
        <v>0</v>
      </c>
      <c r="BU65" s="12">
        <v>0</v>
      </c>
      <c r="BV65" s="12">
        <v>0</v>
      </c>
      <c r="BW65" s="12">
        <v>0</v>
      </c>
      <c r="BX65" s="12">
        <v>0</v>
      </c>
      <c r="BY65" s="12">
        <v>0</v>
      </c>
      <c r="BZ65" s="12">
        <v>0</v>
      </c>
      <c r="CA65" s="12">
        <v>0</v>
      </c>
    </row>
    <row r="66" spans="1:79" hidden="1" x14ac:dyDescent="0.2">
      <c r="A66" s="12" t="s">
        <v>102</v>
      </c>
      <c r="B66" s="12" t="s">
        <v>109</v>
      </c>
      <c r="C66" s="12" t="s">
        <v>109</v>
      </c>
      <c r="D66" s="22" t="s">
        <v>273</v>
      </c>
      <c r="E66" s="22" t="s">
        <v>161</v>
      </c>
      <c r="F66" s="22" t="s">
        <v>691</v>
      </c>
      <c r="G66" s="22" t="s">
        <v>692</v>
      </c>
      <c r="H66" s="22" t="s">
        <v>150</v>
      </c>
      <c r="I66" s="22" t="s">
        <v>151</v>
      </c>
      <c r="J66" s="22" t="s">
        <v>181</v>
      </c>
      <c r="K66" s="22" t="s">
        <v>70</v>
      </c>
      <c r="L66" s="54" t="s">
        <v>153</v>
      </c>
      <c r="M66" s="23" t="s">
        <v>153</v>
      </c>
      <c r="N66" s="24" t="s">
        <v>153</v>
      </c>
      <c r="O66" s="28" t="s">
        <v>338</v>
      </c>
      <c r="P66" s="23" t="s">
        <v>153</v>
      </c>
      <c r="Q66" s="23" t="s">
        <v>153</v>
      </c>
      <c r="R66" s="23" t="s">
        <v>153</v>
      </c>
      <c r="S66" s="23" t="s">
        <v>153</v>
      </c>
      <c r="T66" s="23" t="s">
        <v>153</v>
      </c>
      <c r="U66" s="24" t="s">
        <v>153</v>
      </c>
      <c r="V66" s="54" t="s">
        <v>156</v>
      </c>
      <c r="W66" s="24" t="s">
        <v>156</v>
      </c>
      <c r="X66" s="23" t="s">
        <v>153</v>
      </c>
      <c r="Y66" s="23" t="s">
        <v>153</v>
      </c>
      <c r="Z66" s="23" t="s">
        <v>153</v>
      </c>
      <c r="AA66" s="23" t="s">
        <v>153</v>
      </c>
      <c r="AB66" s="24" t="s">
        <v>153</v>
      </c>
      <c r="AC66" s="23" t="s">
        <v>153</v>
      </c>
      <c r="AD66" s="23" t="s">
        <v>153</v>
      </c>
      <c r="AE66" s="23" t="s">
        <v>153</v>
      </c>
      <c r="AF66" s="23" t="s">
        <v>153</v>
      </c>
      <c r="AG66" s="23" t="s">
        <v>153</v>
      </c>
      <c r="AH66" s="23" t="s">
        <v>153</v>
      </c>
      <c r="AI66" s="24" t="s">
        <v>153</v>
      </c>
      <c r="AJ66" s="23" t="s">
        <v>153</v>
      </c>
      <c r="AK66" s="23" t="s">
        <v>153</v>
      </c>
      <c r="AL66" s="23" t="s">
        <v>153</v>
      </c>
      <c r="AM66" s="23" t="s">
        <v>153</v>
      </c>
      <c r="AN66" s="23" t="s">
        <v>153</v>
      </c>
      <c r="AO66" s="23" t="s">
        <v>153</v>
      </c>
      <c r="AP66" s="23">
        <f>VALUE(0)</f>
        <v>0</v>
      </c>
      <c r="AQ66" s="23">
        <f>VALUE(0)</f>
        <v>0</v>
      </c>
      <c r="AR66" s="23">
        <f>VALUE(0)</f>
        <v>0</v>
      </c>
      <c r="AS66" s="23">
        <f>VALUE(0)</f>
        <v>0</v>
      </c>
      <c r="AT66" s="23">
        <f>VALUE(1)</f>
        <v>1</v>
      </c>
      <c r="AU66" s="23">
        <f>VALUE(0)</f>
        <v>0</v>
      </c>
      <c r="AV66" s="23">
        <f>VALUE(5)</f>
        <v>5</v>
      </c>
      <c r="AW66" s="23">
        <f>VALUE(0)</f>
        <v>0</v>
      </c>
      <c r="AX66" s="23" t="s">
        <v>176</v>
      </c>
      <c r="AY66" s="23">
        <f>VALUE(0)</f>
        <v>0</v>
      </c>
      <c r="AZ66" s="23">
        <f>VALUE(0)</f>
        <v>0</v>
      </c>
      <c r="BA66" s="23">
        <f>VALUE(0)</f>
        <v>0</v>
      </c>
      <c r="BB66" s="23">
        <f>VALUE(0)</f>
        <v>0</v>
      </c>
      <c r="BC66" s="23">
        <f>VALUE(0)</f>
        <v>0</v>
      </c>
      <c r="BD66" s="23">
        <f>VALUE(0)</f>
        <v>0</v>
      </c>
      <c r="BE66" s="23">
        <f>VALUE(0)</f>
        <v>0</v>
      </c>
      <c r="BF66" s="23">
        <f>VALUE(0)</f>
        <v>0</v>
      </c>
      <c r="BG66" s="23">
        <f>VALUE(0)</f>
        <v>0</v>
      </c>
      <c r="BH66" s="23">
        <f>VALUE(0)</f>
        <v>0</v>
      </c>
      <c r="BI66" s="23">
        <f>VALUE(0)</f>
        <v>0</v>
      </c>
      <c r="BJ66" s="23">
        <f>VALUE(0)</f>
        <v>0</v>
      </c>
      <c r="BK66" s="12">
        <f>$AX$66*24</f>
        <v>0</v>
      </c>
      <c r="BL66" s="12">
        <f>$AY$66*24</f>
        <v>0</v>
      </c>
      <c r="BM66" s="12">
        <f>$BJ$66*24</f>
        <v>0</v>
      </c>
      <c r="BN66" s="12">
        <f>VALUE($I$66)/100</f>
        <v>1</v>
      </c>
      <c r="BO66" s="12">
        <v>0</v>
      </c>
      <c r="BP66" s="12">
        <v>0</v>
      </c>
      <c r="BQ66" s="12">
        <v>0</v>
      </c>
      <c r="BR66" s="12">
        <v>0</v>
      </c>
      <c r="BS66" s="12">
        <v>0</v>
      </c>
      <c r="BT66" s="12">
        <v>0</v>
      </c>
      <c r="BU66" s="12">
        <v>0</v>
      </c>
      <c r="BV66" s="12">
        <v>0</v>
      </c>
      <c r="BW66" s="12">
        <v>0</v>
      </c>
      <c r="BX66" s="12">
        <v>0</v>
      </c>
      <c r="BY66" s="12">
        <v>1</v>
      </c>
      <c r="BZ66" s="12">
        <v>0</v>
      </c>
      <c r="CA66" s="12">
        <v>0</v>
      </c>
    </row>
    <row r="67" spans="1:79" hidden="1" x14ac:dyDescent="0.2">
      <c r="A67" s="12" t="s">
        <v>102</v>
      </c>
      <c r="B67" s="12" t="s">
        <v>109</v>
      </c>
      <c r="C67" s="12" t="s">
        <v>109</v>
      </c>
      <c r="D67" s="22" t="s">
        <v>274</v>
      </c>
      <c r="E67" s="22" t="s">
        <v>161</v>
      </c>
      <c r="F67" s="22" t="s">
        <v>693</v>
      </c>
      <c r="G67" s="22" t="s">
        <v>694</v>
      </c>
      <c r="H67" s="22" t="s">
        <v>166</v>
      </c>
      <c r="I67" s="22" t="s">
        <v>151</v>
      </c>
      <c r="J67" s="22" t="s">
        <v>181</v>
      </c>
      <c r="K67" s="22" t="s">
        <v>70</v>
      </c>
      <c r="L67" s="54" t="s">
        <v>153</v>
      </c>
      <c r="M67" s="23" t="s">
        <v>153</v>
      </c>
      <c r="N67" s="24" t="s">
        <v>153</v>
      </c>
      <c r="O67" s="23" t="s">
        <v>153</v>
      </c>
      <c r="P67" s="23" t="s">
        <v>153</v>
      </c>
      <c r="Q67" s="23" t="s">
        <v>153</v>
      </c>
      <c r="R67" s="23" t="s">
        <v>153</v>
      </c>
      <c r="S67" s="23" t="s">
        <v>153</v>
      </c>
      <c r="T67" s="23" t="s">
        <v>153</v>
      </c>
      <c r="U67" s="24" t="s">
        <v>153</v>
      </c>
      <c r="V67" s="54" t="s">
        <v>153</v>
      </c>
      <c r="W67" s="23" t="s">
        <v>153</v>
      </c>
      <c r="X67" s="23" t="s">
        <v>153</v>
      </c>
      <c r="Y67" s="23" t="s">
        <v>153</v>
      </c>
      <c r="Z67" s="23" t="s">
        <v>153</v>
      </c>
      <c r="AA67" s="23" t="s">
        <v>153</v>
      </c>
      <c r="AB67" s="24" t="s">
        <v>153</v>
      </c>
      <c r="AC67" s="24" t="s">
        <v>156</v>
      </c>
      <c r="AD67" s="24" t="s">
        <v>156</v>
      </c>
      <c r="AE67" s="23" t="s">
        <v>153</v>
      </c>
      <c r="AF67" s="23" t="s">
        <v>153</v>
      </c>
      <c r="AG67" s="23" t="s">
        <v>153</v>
      </c>
      <c r="AH67" s="23" t="s">
        <v>153</v>
      </c>
      <c r="AI67" s="24" t="s">
        <v>153</v>
      </c>
      <c r="AJ67" s="23" t="s">
        <v>153</v>
      </c>
      <c r="AK67" s="23" t="s">
        <v>153</v>
      </c>
      <c r="AL67" s="23" t="s">
        <v>153</v>
      </c>
      <c r="AM67" s="23" t="s">
        <v>153</v>
      </c>
      <c r="AN67" s="23" t="s">
        <v>153</v>
      </c>
      <c r="AO67" s="23" t="s">
        <v>153</v>
      </c>
      <c r="AP67" s="23">
        <f>VALUE(0)</f>
        <v>0</v>
      </c>
      <c r="AQ67" s="23">
        <f>VALUE(0)</f>
        <v>0</v>
      </c>
      <c r="AR67" s="23">
        <f>VALUE(0)</f>
        <v>0</v>
      </c>
      <c r="AS67" s="23">
        <f>VALUE(0)</f>
        <v>0</v>
      </c>
      <c r="AT67" s="23">
        <f>VALUE(0)</f>
        <v>0</v>
      </c>
      <c r="AU67" s="23">
        <f>VALUE(0)</f>
        <v>0</v>
      </c>
      <c r="AV67" s="23">
        <f>VALUE(2.5)</f>
        <v>2.5</v>
      </c>
      <c r="AW67" s="23">
        <f>VALUE(0)</f>
        <v>0</v>
      </c>
      <c r="AX67" s="23" t="s">
        <v>275</v>
      </c>
      <c r="AY67" s="23">
        <f>VALUE(0)</f>
        <v>0</v>
      </c>
      <c r="AZ67" s="23">
        <f>VALUE(0)</f>
        <v>0</v>
      </c>
      <c r="BA67" s="23">
        <f>VALUE(0)</f>
        <v>0</v>
      </c>
      <c r="BB67" s="23">
        <f>VALUE(0)</f>
        <v>0</v>
      </c>
      <c r="BC67" s="23">
        <f>VALUE(0)</f>
        <v>0</v>
      </c>
      <c r="BD67" s="23">
        <f>VALUE(0)</f>
        <v>0</v>
      </c>
      <c r="BE67" s="23">
        <f>VALUE(0)</f>
        <v>0</v>
      </c>
      <c r="BF67" s="23">
        <f>VALUE(0)</f>
        <v>0</v>
      </c>
      <c r="BG67" s="23">
        <f>VALUE(0)</f>
        <v>0</v>
      </c>
      <c r="BH67" s="23">
        <f>VALUE(0)</f>
        <v>0</v>
      </c>
      <c r="BI67" s="23">
        <f>VALUE(0)</f>
        <v>0</v>
      </c>
      <c r="BJ67" s="23">
        <f>VALUE(0)</f>
        <v>0</v>
      </c>
      <c r="BK67" s="12">
        <f>$AX$67*24</f>
        <v>4.2166666666666668</v>
      </c>
      <c r="BL67" s="12">
        <f>$AY$67*24</f>
        <v>0</v>
      </c>
      <c r="BM67" s="12">
        <f>$BJ$67*24</f>
        <v>0</v>
      </c>
      <c r="BN67" s="12">
        <f>VALUE($I$67)/100</f>
        <v>1</v>
      </c>
      <c r="BO67" s="12">
        <v>0</v>
      </c>
      <c r="BP67" s="12">
        <v>0</v>
      </c>
      <c r="BQ67" s="12">
        <v>0</v>
      </c>
      <c r="BR67" s="12">
        <v>0</v>
      </c>
      <c r="BS67" s="12">
        <v>0</v>
      </c>
      <c r="BT67" s="12">
        <v>0</v>
      </c>
      <c r="BU67" s="12">
        <v>0</v>
      </c>
      <c r="BV67" s="12">
        <v>0</v>
      </c>
      <c r="BW67" s="12">
        <v>0</v>
      </c>
      <c r="BX67" s="12">
        <v>0</v>
      </c>
      <c r="BY67" s="12">
        <v>0</v>
      </c>
      <c r="BZ67" s="12">
        <v>0</v>
      </c>
      <c r="CA67" s="12">
        <v>0</v>
      </c>
    </row>
    <row r="68" spans="1:79" hidden="1" x14ac:dyDescent="0.2">
      <c r="A68" s="12" t="s">
        <v>102</v>
      </c>
      <c r="B68" s="12" t="s">
        <v>109</v>
      </c>
      <c r="C68" s="12" t="s">
        <v>109</v>
      </c>
      <c r="D68" s="22" t="s">
        <v>276</v>
      </c>
      <c r="E68" s="22" t="s">
        <v>161</v>
      </c>
      <c r="F68" s="22" t="s">
        <v>695</v>
      </c>
      <c r="G68" s="22" t="s">
        <v>696</v>
      </c>
      <c r="H68" s="22" t="s">
        <v>150</v>
      </c>
      <c r="I68" s="22" t="s">
        <v>151</v>
      </c>
      <c r="J68" s="22" t="s">
        <v>181</v>
      </c>
      <c r="K68" s="22" t="s">
        <v>70</v>
      </c>
      <c r="L68" s="54" t="s">
        <v>153</v>
      </c>
      <c r="M68" s="23" t="s">
        <v>153</v>
      </c>
      <c r="N68" s="24" t="s">
        <v>153</v>
      </c>
      <c r="O68" s="24" t="s">
        <v>156</v>
      </c>
      <c r="P68" s="24" t="s">
        <v>156</v>
      </c>
      <c r="Q68" s="23" t="s">
        <v>153</v>
      </c>
      <c r="R68" s="23" t="s">
        <v>153</v>
      </c>
      <c r="S68" s="23" t="s">
        <v>153</v>
      </c>
      <c r="T68" s="23" t="s">
        <v>153</v>
      </c>
      <c r="U68" s="24" t="s">
        <v>153</v>
      </c>
      <c r="V68" s="54" t="s">
        <v>153</v>
      </c>
      <c r="W68" s="33" t="s">
        <v>201</v>
      </c>
      <c r="X68" s="33" t="s">
        <v>201</v>
      </c>
      <c r="Y68" s="33" t="s">
        <v>201</v>
      </c>
      <c r="Z68" s="33" t="s">
        <v>201</v>
      </c>
      <c r="AA68" s="33" t="s">
        <v>201</v>
      </c>
      <c r="AB68" s="24" t="s">
        <v>153</v>
      </c>
      <c r="AC68" s="33" t="s">
        <v>201</v>
      </c>
      <c r="AD68" s="33" t="s">
        <v>201</v>
      </c>
      <c r="AE68" s="33" t="s">
        <v>201</v>
      </c>
      <c r="AF68" s="33" t="s">
        <v>201</v>
      </c>
      <c r="AG68" s="33" t="s">
        <v>201</v>
      </c>
      <c r="AH68" s="33" t="s">
        <v>201</v>
      </c>
      <c r="AI68" s="24" t="s">
        <v>153</v>
      </c>
      <c r="AJ68" s="24" t="s">
        <v>156</v>
      </c>
      <c r="AK68" s="24" t="s">
        <v>156</v>
      </c>
      <c r="AL68" s="28" t="s">
        <v>163</v>
      </c>
      <c r="AM68" s="28" t="s">
        <v>163</v>
      </c>
      <c r="AN68" s="28" t="s">
        <v>163</v>
      </c>
      <c r="AO68" s="28" t="s">
        <v>163</v>
      </c>
      <c r="AP68" s="23">
        <f>VALUE(0)</f>
        <v>0</v>
      </c>
      <c r="AQ68" s="23">
        <f>VALUE(0)</f>
        <v>0</v>
      </c>
      <c r="AR68" s="23">
        <f>VALUE(0)</f>
        <v>0</v>
      </c>
      <c r="AS68" s="23">
        <f>VALUE(0)</f>
        <v>0</v>
      </c>
      <c r="AT68" s="23">
        <f>VALUE(0)</f>
        <v>0</v>
      </c>
      <c r="AU68" s="23">
        <f>VALUE(4)</f>
        <v>4</v>
      </c>
      <c r="AV68" s="23">
        <f>VALUE(6)</f>
        <v>6</v>
      </c>
      <c r="AW68" s="23">
        <f>VALUE(0)</f>
        <v>0</v>
      </c>
      <c r="AX68" s="23" t="s">
        <v>277</v>
      </c>
      <c r="AY68" s="23">
        <f>VALUE(0)</f>
        <v>0</v>
      </c>
      <c r="AZ68" s="23">
        <f>VALUE(0)</f>
        <v>0</v>
      </c>
      <c r="BA68" s="23">
        <f>VALUE(0)</f>
        <v>0</v>
      </c>
      <c r="BB68" s="23">
        <f>VALUE(11)</f>
        <v>11</v>
      </c>
      <c r="BC68" s="23">
        <f>VALUE(0)</f>
        <v>0</v>
      </c>
      <c r="BD68" s="23">
        <f>VALUE(0)</f>
        <v>0</v>
      </c>
      <c r="BE68" s="23">
        <f>VALUE(0)</f>
        <v>0</v>
      </c>
      <c r="BF68" s="23">
        <f>VALUE(0)</f>
        <v>0</v>
      </c>
      <c r="BG68" s="23">
        <f>VALUE(0)</f>
        <v>0</v>
      </c>
      <c r="BH68" s="23">
        <f>VALUE(0)</f>
        <v>0</v>
      </c>
      <c r="BI68" s="23">
        <f>VALUE(0)</f>
        <v>0</v>
      </c>
      <c r="BJ68" s="23">
        <f>VALUE(0)</f>
        <v>0</v>
      </c>
      <c r="BK68" s="12">
        <f>$AX$68*24</f>
        <v>28.716666666666661</v>
      </c>
      <c r="BL68" s="12">
        <f>$AY$68*24</f>
        <v>0</v>
      </c>
      <c r="BM68" s="12">
        <f>$BJ$68*24</f>
        <v>0</v>
      </c>
      <c r="BN68" s="12">
        <f>VALUE($I$68)/100</f>
        <v>1</v>
      </c>
      <c r="BO68" s="12">
        <v>0</v>
      </c>
      <c r="BP68" s="12">
        <v>0</v>
      </c>
      <c r="BQ68" s="12">
        <v>0</v>
      </c>
      <c r="BR68" s="12">
        <v>0</v>
      </c>
      <c r="BS68" s="12">
        <v>0</v>
      </c>
      <c r="BT68" s="12">
        <v>0</v>
      </c>
      <c r="BU68" s="12">
        <v>0</v>
      </c>
      <c r="BV68" s="12">
        <v>0</v>
      </c>
      <c r="BW68" s="12">
        <v>0</v>
      </c>
      <c r="BX68" s="12">
        <v>0</v>
      </c>
      <c r="BY68" s="12">
        <v>0</v>
      </c>
      <c r="BZ68" s="12">
        <v>0</v>
      </c>
      <c r="CA68" s="12">
        <v>0</v>
      </c>
    </row>
    <row r="69" spans="1:79" hidden="1" x14ac:dyDescent="0.2">
      <c r="A69" s="12" t="s">
        <v>102</v>
      </c>
      <c r="B69" s="12" t="s">
        <v>109</v>
      </c>
      <c r="C69" s="12" t="s">
        <v>109</v>
      </c>
      <c r="D69" s="22" t="s">
        <v>278</v>
      </c>
      <c r="E69" s="22" t="s">
        <v>161</v>
      </c>
      <c r="F69" s="22" t="s">
        <v>697</v>
      </c>
      <c r="G69" s="22" t="s">
        <v>698</v>
      </c>
      <c r="H69" s="22" t="s">
        <v>279</v>
      </c>
      <c r="I69" s="22" t="s">
        <v>151</v>
      </c>
      <c r="J69" s="22" t="s">
        <v>181</v>
      </c>
      <c r="K69" s="22" t="s">
        <v>70</v>
      </c>
      <c r="L69" s="54" t="s">
        <v>153</v>
      </c>
      <c r="M69" s="23" t="s">
        <v>153</v>
      </c>
      <c r="N69" s="24" t="s">
        <v>153</v>
      </c>
      <c r="O69" s="23" t="s">
        <v>266</v>
      </c>
      <c r="P69" s="23" t="s">
        <v>266</v>
      </c>
      <c r="Q69" s="23" t="s">
        <v>266</v>
      </c>
      <c r="R69" s="23" t="s">
        <v>266</v>
      </c>
      <c r="S69" s="23" t="s">
        <v>266</v>
      </c>
      <c r="T69" s="23" t="s">
        <v>266</v>
      </c>
      <c r="U69" s="24" t="s">
        <v>153</v>
      </c>
      <c r="V69" s="54" t="s">
        <v>153</v>
      </c>
      <c r="W69" s="23" t="s">
        <v>240</v>
      </c>
      <c r="X69" s="23" t="s">
        <v>240</v>
      </c>
      <c r="Y69" s="23" t="s">
        <v>240</v>
      </c>
      <c r="Z69" s="23" t="s">
        <v>240</v>
      </c>
      <c r="AA69" s="23" t="s">
        <v>240</v>
      </c>
      <c r="AB69" s="24" t="s">
        <v>153</v>
      </c>
      <c r="AC69" s="27" t="s">
        <v>153</v>
      </c>
      <c r="AD69" s="27" t="s">
        <v>153</v>
      </c>
      <c r="AE69" s="27" t="s">
        <v>153</v>
      </c>
      <c r="AF69" s="27" t="s">
        <v>153</v>
      </c>
      <c r="AG69" s="27" t="s">
        <v>153</v>
      </c>
      <c r="AH69" s="27" t="s">
        <v>153</v>
      </c>
      <c r="AI69" s="24" t="s">
        <v>153</v>
      </c>
      <c r="AJ69" s="27" t="s">
        <v>153</v>
      </c>
      <c r="AK69" s="27" t="s">
        <v>153</v>
      </c>
      <c r="AL69" s="27" t="s">
        <v>153</v>
      </c>
      <c r="AM69" s="27" t="s">
        <v>153</v>
      </c>
      <c r="AN69" s="27" t="s">
        <v>153</v>
      </c>
      <c r="AO69" s="27" t="s">
        <v>153</v>
      </c>
      <c r="AP69" s="23">
        <f>VALUE(0)</f>
        <v>0</v>
      </c>
      <c r="AQ69" s="23">
        <f>VALUE(0)</f>
        <v>0</v>
      </c>
      <c r="AR69" s="23">
        <f>VALUE(0)</f>
        <v>0</v>
      </c>
      <c r="AS69" s="23">
        <f>VALUE(0)</f>
        <v>0</v>
      </c>
      <c r="AT69" s="23">
        <f>VALUE(0)</f>
        <v>0</v>
      </c>
      <c r="AU69" s="23">
        <f>VALUE(0)</f>
        <v>0</v>
      </c>
      <c r="AV69" s="23">
        <f>VALUE(0)</f>
        <v>0</v>
      </c>
      <c r="AW69" s="23">
        <f>VALUE(0)</f>
        <v>0</v>
      </c>
      <c r="AX69" s="23">
        <f>VALUE(0)</f>
        <v>0</v>
      </c>
      <c r="AY69" s="23">
        <f>VALUE(0)</f>
        <v>0</v>
      </c>
      <c r="AZ69" s="23">
        <f>VALUE(0)</f>
        <v>0</v>
      </c>
      <c r="BA69" s="23">
        <f>VALUE(0)</f>
        <v>0</v>
      </c>
      <c r="BB69" s="23">
        <f>VALUE(0)</f>
        <v>0</v>
      </c>
      <c r="BC69" s="23">
        <f>VALUE(0)</f>
        <v>0</v>
      </c>
      <c r="BD69" s="23">
        <f>VALUE(0)</f>
        <v>0</v>
      </c>
      <c r="BE69" s="23">
        <f>VALUE(0)</f>
        <v>0</v>
      </c>
      <c r="BF69" s="23">
        <f>VALUE(0)</f>
        <v>0</v>
      </c>
      <c r="BG69" s="23">
        <f>VALUE(0)</f>
        <v>0</v>
      </c>
      <c r="BH69" s="23">
        <f>VALUE(0)</f>
        <v>0</v>
      </c>
      <c r="BI69" s="23">
        <f>VALUE(0)</f>
        <v>0</v>
      </c>
      <c r="BJ69" s="23">
        <f>VALUE(0)</f>
        <v>0</v>
      </c>
      <c r="BK69" s="12">
        <f>$AX$69*24</f>
        <v>0</v>
      </c>
      <c r="BL69" s="12">
        <f>$AY$69*24</f>
        <v>0</v>
      </c>
      <c r="BM69" s="12">
        <f>$BJ$69*24</f>
        <v>0</v>
      </c>
      <c r="BN69" s="12">
        <f>VALUE($I$69)/100</f>
        <v>1</v>
      </c>
      <c r="BO69" s="12">
        <v>0</v>
      </c>
      <c r="BP69" s="12">
        <v>0</v>
      </c>
      <c r="BQ69" s="12">
        <v>0</v>
      </c>
      <c r="BR69" s="12">
        <v>0</v>
      </c>
      <c r="BS69" s="12">
        <v>0</v>
      </c>
      <c r="BT69" s="12">
        <v>0</v>
      </c>
      <c r="BU69" s="12">
        <v>0</v>
      </c>
      <c r="BV69" s="12">
        <v>0</v>
      </c>
      <c r="BW69" s="12">
        <v>0</v>
      </c>
      <c r="BX69" s="12">
        <v>0</v>
      </c>
      <c r="BY69" s="12">
        <v>0</v>
      </c>
      <c r="BZ69" s="12">
        <v>0</v>
      </c>
      <c r="CA69" s="12">
        <v>0</v>
      </c>
    </row>
    <row r="70" spans="1:79" hidden="1" x14ac:dyDescent="0.2">
      <c r="A70" s="12" t="s">
        <v>102</v>
      </c>
      <c r="B70" s="12" t="s">
        <v>109</v>
      </c>
      <c r="C70" s="12" t="s">
        <v>109</v>
      </c>
      <c r="D70" s="22" t="s">
        <v>278</v>
      </c>
      <c r="E70" s="22" t="s">
        <v>161</v>
      </c>
      <c r="F70" s="22" t="s">
        <v>699</v>
      </c>
      <c r="G70" s="22" t="s">
        <v>700</v>
      </c>
      <c r="H70" s="22" t="s">
        <v>150</v>
      </c>
      <c r="I70" s="22" t="s">
        <v>151</v>
      </c>
      <c r="J70" s="22" t="s">
        <v>181</v>
      </c>
      <c r="K70" s="22" t="s">
        <v>70</v>
      </c>
      <c r="L70" s="54" t="s">
        <v>153</v>
      </c>
      <c r="M70" s="28" t="s">
        <v>163</v>
      </c>
      <c r="N70" s="24" t="s">
        <v>153</v>
      </c>
      <c r="O70" s="23" t="s">
        <v>153</v>
      </c>
      <c r="P70" s="23" t="s">
        <v>153</v>
      </c>
      <c r="Q70" s="23" t="s">
        <v>153</v>
      </c>
      <c r="R70" s="23" t="s">
        <v>153</v>
      </c>
      <c r="S70" s="23" t="s">
        <v>153</v>
      </c>
      <c r="T70" s="24" t="s">
        <v>156</v>
      </c>
      <c r="U70" s="24" t="s">
        <v>153</v>
      </c>
      <c r="V70" s="54" t="s">
        <v>153</v>
      </c>
      <c r="W70" s="23" t="s">
        <v>153</v>
      </c>
      <c r="X70" s="23" t="s">
        <v>153</v>
      </c>
      <c r="Y70" s="23" t="s">
        <v>153</v>
      </c>
      <c r="Z70" s="23" t="s">
        <v>153</v>
      </c>
      <c r="AA70" s="23" t="s">
        <v>153</v>
      </c>
      <c r="AB70" s="24" t="s">
        <v>153</v>
      </c>
      <c r="AC70" s="23" t="s">
        <v>153</v>
      </c>
      <c r="AD70" s="23" t="s">
        <v>153</v>
      </c>
      <c r="AE70" s="23" t="s">
        <v>153</v>
      </c>
      <c r="AF70" s="23" t="s">
        <v>153</v>
      </c>
      <c r="AG70" s="23" t="s">
        <v>153</v>
      </c>
      <c r="AH70" s="24" t="s">
        <v>156</v>
      </c>
      <c r="AI70" s="24" t="s">
        <v>153</v>
      </c>
      <c r="AJ70" s="23" t="s">
        <v>153</v>
      </c>
      <c r="AK70" s="23" t="s">
        <v>153</v>
      </c>
      <c r="AL70" s="23" t="s">
        <v>153</v>
      </c>
      <c r="AM70" s="23" t="s">
        <v>153</v>
      </c>
      <c r="AN70" s="23" t="s">
        <v>153</v>
      </c>
      <c r="AO70" s="23" t="s">
        <v>153</v>
      </c>
      <c r="AP70" s="23">
        <f>VALUE(0)</f>
        <v>0</v>
      </c>
      <c r="AQ70" s="23">
        <f>VALUE(0)</f>
        <v>0</v>
      </c>
      <c r="AR70" s="23">
        <f>VALUE(0)</f>
        <v>0</v>
      </c>
      <c r="AS70" s="23">
        <f>VALUE(0)</f>
        <v>0</v>
      </c>
      <c r="AT70" s="23">
        <f>VALUE(0)</f>
        <v>0</v>
      </c>
      <c r="AU70" s="23">
        <f>VALUE(1)</f>
        <v>1</v>
      </c>
      <c r="AV70" s="23">
        <f>VALUE(7)</f>
        <v>7</v>
      </c>
      <c r="AW70" s="23">
        <f>VALUE(0)</f>
        <v>0</v>
      </c>
      <c r="AX70" s="23">
        <f>VALUE(0)</f>
        <v>0</v>
      </c>
      <c r="AY70" s="23" t="s">
        <v>281</v>
      </c>
      <c r="AZ70" s="23">
        <f>VALUE(0)</f>
        <v>0</v>
      </c>
      <c r="BA70" s="23">
        <f>VALUE(0)</f>
        <v>0</v>
      </c>
      <c r="BB70" s="23">
        <f>VALUE(0)</f>
        <v>0</v>
      </c>
      <c r="BC70" s="23">
        <f>VALUE(0)</f>
        <v>0</v>
      </c>
      <c r="BD70" s="23">
        <f>VALUE(0)</f>
        <v>0</v>
      </c>
      <c r="BE70" s="23">
        <f>VALUE(0)</f>
        <v>0</v>
      </c>
      <c r="BF70" s="23">
        <f>VALUE(0)</f>
        <v>0</v>
      </c>
      <c r="BG70" s="23">
        <f>VALUE(0)</f>
        <v>0</v>
      </c>
      <c r="BH70" s="23">
        <f>VALUE(0)</f>
        <v>0</v>
      </c>
      <c r="BI70" s="23">
        <f>VALUE(0)</f>
        <v>0</v>
      </c>
      <c r="BJ70" s="23">
        <f>VALUE(0)</f>
        <v>0</v>
      </c>
      <c r="BK70" s="12">
        <f>$AX$70*24</f>
        <v>0</v>
      </c>
      <c r="BL70" s="12">
        <f>$AY$70*24</f>
        <v>6.7166666666666668</v>
      </c>
      <c r="BM70" s="12">
        <f>$BJ$70*24</f>
        <v>0</v>
      </c>
      <c r="BN70" s="12">
        <f>VALUE($I$70)/100</f>
        <v>1</v>
      </c>
      <c r="BO70" s="12">
        <v>0</v>
      </c>
      <c r="BP70" s="12">
        <v>0</v>
      </c>
      <c r="BQ70" s="12">
        <v>0</v>
      </c>
      <c r="BR70" s="12">
        <v>0</v>
      </c>
      <c r="BS70" s="12">
        <v>0</v>
      </c>
      <c r="BT70" s="12">
        <v>0</v>
      </c>
      <c r="BU70" s="12">
        <v>0</v>
      </c>
      <c r="BV70" s="12">
        <v>0</v>
      </c>
      <c r="BW70" s="12">
        <v>0</v>
      </c>
      <c r="BX70" s="12">
        <v>0</v>
      </c>
      <c r="BY70" s="12">
        <v>0</v>
      </c>
      <c r="BZ70" s="12">
        <v>0</v>
      </c>
      <c r="CA70" s="12">
        <v>0</v>
      </c>
    </row>
    <row r="71" spans="1:79" hidden="1" x14ac:dyDescent="0.2">
      <c r="A71" s="12" t="s">
        <v>102</v>
      </c>
      <c r="B71" s="12" t="s">
        <v>109</v>
      </c>
      <c r="C71" s="12" t="s">
        <v>109</v>
      </c>
      <c r="D71" s="22" t="s">
        <v>280</v>
      </c>
      <c r="E71" s="22" t="s">
        <v>161</v>
      </c>
      <c r="F71" s="22" t="s">
        <v>701</v>
      </c>
      <c r="G71" s="22" t="s">
        <v>702</v>
      </c>
      <c r="H71" s="22" t="s">
        <v>166</v>
      </c>
      <c r="I71" s="22" t="s">
        <v>151</v>
      </c>
      <c r="J71" s="22" t="s">
        <v>181</v>
      </c>
      <c r="K71" s="22" t="s">
        <v>70</v>
      </c>
      <c r="L71" s="54" t="s">
        <v>153</v>
      </c>
      <c r="M71" s="23" t="s">
        <v>153</v>
      </c>
      <c r="N71" s="24" t="s">
        <v>153</v>
      </c>
      <c r="O71" s="23" t="s">
        <v>153</v>
      </c>
      <c r="P71" s="23" t="s">
        <v>153</v>
      </c>
      <c r="Q71" s="23" t="s">
        <v>153</v>
      </c>
      <c r="R71" s="23" t="s">
        <v>153</v>
      </c>
      <c r="S71" s="23" t="s">
        <v>153</v>
      </c>
      <c r="T71" s="24" t="s">
        <v>156</v>
      </c>
      <c r="U71" s="24" t="s">
        <v>153</v>
      </c>
      <c r="V71" s="54" t="s">
        <v>153</v>
      </c>
      <c r="W71" s="23" t="s">
        <v>153</v>
      </c>
      <c r="X71" s="23" t="s">
        <v>153</v>
      </c>
      <c r="Y71" s="23" t="s">
        <v>153</v>
      </c>
      <c r="Z71" s="23" t="s">
        <v>153</v>
      </c>
      <c r="AA71" s="23" t="s">
        <v>153</v>
      </c>
      <c r="AB71" s="24" t="s">
        <v>153</v>
      </c>
      <c r="AC71" s="23" t="s">
        <v>153</v>
      </c>
      <c r="AD71" s="23" t="s">
        <v>153</v>
      </c>
      <c r="AE71" s="23" t="s">
        <v>153</v>
      </c>
      <c r="AF71" s="23" t="s">
        <v>153</v>
      </c>
      <c r="AG71" s="23" t="s">
        <v>153</v>
      </c>
      <c r="AH71" s="24" t="s">
        <v>156</v>
      </c>
      <c r="AI71" s="24" t="s">
        <v>153</v>
      </c>
      <c r="AJ71" s="28" t="s">
        <v>163</v>
      </c>
      <c r="AK71" s="28" t="s">
        <v>163</v>
      </c>
      <c r="AL71" s="28" t="s">
        <v>163</v>
      </c>
      <c r="AM71" s="28" t="s">
        <v>163</v>
      </c>
      <c r="AN71" s="28" t="s">
        <v>163</v>
      </c>
      <c r="AO71" s="28" t="s">
        <v>163</v>
      </c>
      <c r="AP71" s="23">
        <f>VALUE(0)</f>
        <v>0</v>
      </c>
      <c r="AQ71" s="23">
        <f>VALUE(0)</f>
        <v>0</v>
      </c>
      <c r="AR71" s="23">
        <f>VALUE(0)</f>
        <v>0</v>
      </c>
      <c r="AS71" s="23">
        <f>VALUE(0)</f>
        <v>0</v>
      </c>
      <c r="AT71" s="23">
        <f>VALUE(0)</f>
        <v>0</v>
      </c>
      <c r="AU71" s="23">
        <f>VALUE(6)</f>
        <v>6</v>
      </c>
      <c r="AV71" s="23">
        <f>VALUE(1)</f>
        <v>1</v>
      </c>
      <c r="AW71" s="23">
        <f>VALUE(0)</f>
        <v>0</v>
      </c>
      <c r="AX71" s="23" t="s">
        <v>282</v>
      </c>
      <c r="AY71" s="23">
        <f>VALUE(0)</f>
        <v>0</v>
      </c>
      <c r="AZ71" s="23">
        <f>VALUE(0)</f>
        <v>0</v>
      </c>
      <c r="BA71" s="23">
        <f>VALUE(0)</f>
        <v>0</v>
      </c>
      <c r="BB71" s="23">
        <f>VALUE(0)</f>
        <v>0</v>
      </c>
      <c r="BC71" s="23">
        <f>VALUE(0)</f>
        <v>0</v>
      </c>
      <c r="BD71" s="23">
        <f>VALUE(0)</f>
        <v>0</v>
      </c>
      <c r="BE71" s="23">
        <f>VALUE(0)</f>
        <v>0</v>
      </c>
      <c r="BF71" s="23">
        <f>VALUE(0)</f>
        <v>0</v>
      </c>
      <c r="BG71" s="23">
        <f>VALUE(0)</f>
        <v>0</v>
      </c>
      <c r="BH71" s="23">
        <f>VALUE(0)</f>
        <v>0</v>
      </c>
      <c r="BI71" s="23">
        <f>VALUE(0)</f>
        <v>0</v>
      </c>
      <c r="BJ71" s="23">
        <f>VALUE(0)</f>
        <v>0</v>
      </c>
      <c r="BK71" s="12">
        <f>$AX$71*24</f>
        <v>5.9833333333333334</v>
      </c>
      <c r="BL71" s="12">
        <f>$AY$71*24</f>
        <v>0</v>
      </c>
      <c r="BM71" s="12">
        <f>$BJ$71*24</f>
        <v>0</v>
      </c>
      <c r="BN71" s="12">
        <f>VALUE($I$71)/100</f>
        <v>1</v>
      </c>
      <c r="BO71" s="12">
        <v>0</v>
      </c>
      <c r="BP71" s="12">
        <v>0</v>
      </c>
      <c r="BQ71" s="12">
        <v>0</v>
      </c>
      <c r="BR71" s="12">
        <v>0</v>
      </c>
      <c r="BS71" s="12">
        <v>0</v>
      </c>
      <c r="BT71" s="12">
        <v>0</v>
      </c>
      <c r="BU71" s="12">
        <v>0</v>
      </c>
      <c r="BV71" s="12">
        <v>0</v>
      </c>
      <c r="BW71" s="12">
        <v>0</v>
      </c>
      <c r="BX71" s="12">
        <v>0</v>
      </c>
      <c r="BY71" s="12">
        <v>0</v>
      </c>
      <c r="BZ71" s="12">
        <v>0</v>
      </c>
      <c r="CA71" s="12">
        <v>0</v>
      </c>
    </row>
    <row r="72" spans="1:79" hidden="1" x14ac:dyDescent="0.2">
      <c r="A72" s="12" t="s">
        <v>102</v>
      </c>
      <c r="B72" s="12" t="s">
        <v>109</v>
      </c>
      <c r="C72" s="12" t="s">
        <v>109</v>
      </c>
      <c r="D72" s="22" t="s">
        <v>283</v>
      </c>
      <c r="E72" s="22" t="s">
        <v>161</v>
      </c>
      <c r="F72" s="22" t="s">
        <v>703</v>
      </c>
      <c r="G72" s="22" t="s">
        <v>704</v>
      </c>
      <c r="H72" s="22" t="s">
        <v>166</v>
      </c>
      <c r="I72" s="22" t="s">
        <v>151</v>
      </c>
      <c r="J72" s="22" t="s">
        <v>181</v>
      </c>
      <c r="K72" s="22" t="s">
        <v>70</v>
      </c>
      <c r="L72" s="54" t="s">
        <v>153</v>
      </c>
      <c r="M72" s="28" t="s">
        <v>163</v>
      </c>
      <c r="N72" s="24" t="s">
        <v>153</v>
      </c>
      <c r="O72" s="23" t="s">
        <v>153</v>
      </c>
      <c r="P72" s="23" t="s">
        <v>153</v>
      </c>
      <c r="Q72" s="23" t="s">
        <v>153</v>
      </c>
      <c r="R72" s="23" t="s">
        <v>153</v>
      </c>
      <c r="S72" s="23" t="s">
        <v>153</v>
      </c>
      <c r="T72" s="23" t="s">
        <v>153</v>
      </c>
      <c r="U72" s="24" t="s">
        <v>153</v>
      </c>
      <c r="V72" s="54" t="s">
        <v>153</v>
      </c>
      <c r="W72" s="23" t="s">
        <v>153</v>
      </c>
      <c r="X72" s="23" t="s">
        <v>153</v>
      </c>
      <c r="Y72" s="23" t="s">
        <v>153</v>
      </c>
      <c r="Z72" s="23" t="s">
        <v>153</v>
      </c>
      <c r="AA72" s="24" t="s">
        <v>156</v>
      </c>
      <c r="AB72" s="24" t="s">
        <v>153</v>
      </c>
      <c r="AC72" s="23" t="s">
        <v>153</v>
      </c>
      <c r="AD72" s="23" t="s">
        <v>153</v>
      </c>
      <c r="AE72" s="23" t="s">
        <v>153</v>
      </c>
      <c r="AF72" s="23" t="s">
        <v>153</v>
      </c>
      <c r="AG72" s="23" t="s">
        <v>153</v>
      </c>
      <c r="AH72" s="23" t="s">
        <v>153</v>
      </c>
      <c r="AI72" s="24" t="s">
        <v>153</v>
      </c>
      <c r="AJ72" s="23" t="s">
        <v>153</v>
      </c>
      <c r="AK72" s="23" t="s">
        <v>153</v>
      </c>
      <c r="AL72" s="23" t="s">
        <v>153</v>
      </c>
      <c r="AM72" s="23" t="s">
        <v>153</v>
      </c>
      <c r="AN72" s="23" t="s">
        <v>153</v>
      </c>
      <c r="AO72" s="24" t="s">
        <v>156</v>
      </c>
      <c r="AP72" s="23">
        <f>VALUE(0)</f>
        <v>0</v>
      </c>
      <c r="AQ72" s="23">
        <f>VALUE(0)</f>
        <v>0</v>
      </c>
      <c r="AR72" s="23">
        <f>VALUE(0)</f>
        <v>0</v>
      </c>
      <c r="AS72" s="23">
        <f>VALUE(0)</f>
        <v>0</v>
      </c>
      <c r="AT72" s="23">
        <f>VALUE(0)</f>
        <v>0</v>
      </c>
      <c r="AU72" s="23">
        <f>VALUE(1)</f>
        <v>1</v>
      </c>
      <c r="AV72" s="23">
        <f>VALUE(4.5)</f>
        <v>4.5</v>
      </c>
      <c r="AW72" s="23">
        <f>VALUE(0)</f>
        <v>0</v>
      </c>
      <c r="AX72" s="23" t="s">
        <v>284</v>
      </c>
      <c r="AY72" s="23">
        <f>VALUE(0)</f>
        <v>0</v>
      </c>
      <c r="AZ72" s="23">
        <f>VALUE(0)</f>
        <v>0</v>
      </c>
      <c r="BA72" s="23">
        <f>VALUE(0)</f>
        <v>0</v>
      </c>
      <c r="BB72" s="23">
        <f>VALUE(0)</f>
        <v>0</v>
      </c>
      <c r="BC72" s="23">
        <f>VALUE(0)</f>
        <v>0</v>
      </c>
      <c r="BD72" s="23">
        <f>VALUE(0)</f>
        <v>0</v>
      </c>
      <c r="BE72" s="23">
        <f>VALUE(0)</f>
        <v>0</v>
      </c>
      <c r="BF72" s="23">
        <f>VALUE(0)</f>
        <v>0</v>
      </c>
      <c r="BG72" s="23">
        <f>VALUE(0)</f>
        <v>0</v>
      </c>
      <c r="BH72" s="23">
        <f>VALUE(0)</f>
        <v>0</v>
      </c>
      <c r="BI72" s="23">
        <f>VALUE(0)</f>
        <v>0</v>
      </c>
      <c r="BJ72" s="23">
        <f>VALUE(0)</f>
        <v>0</v>
      </c>
      <c r="BK72" s="12">
        <f>$AX$72*24</f>
        <v>12.966666666666665</v>
      </c>
      <c r="BL72" s="12">
        <f>$AY$72*24</f>
        <v>0</v>
      </c>
      <c r="BM72" s="12">
        <f>$BJ$72*24</f>
        <v>0</v>
      </c>
      <c r="BN72" s="12">
        <f>VALUE($I$72)/100</f>
        <v>1</v>
      </c>
      <c r="BO72" s="12">
        <v>0</v>
      </c>
      <c r="BP72" s="12">
        <v>0</v>
      </c>
      <c r="BQ72" s="12">
        <v>0</v>
      </c>
      <c r="BR72" s="12">
        <v>0</v>
      </c>
      <c r="BS72" s="12">
        <v>0</v>
      </c>
      <c r="BT72" s="12">
        <v>0</v>
      </c>
      <c r="BU72" s="12">
        <v>0</v>
      </c>
      <c r="BV72" s="12">
        <v>0</v>
      </c>
      <c r="BW72" s="12">
        <v>0</v>
      </c>
      <c r="BX72" s="12">
        <v>0</v>
      </c>
      <c r="BY72" s="12">
        <v>0</v>
      </c>
      <c r="BZ72" s="12">
        <v>0</v>
      </c>
      <c r="CA72" s="12">
        <v>0</v>
      </c>
    </row>
    <row r="73" spans="1:79" hidden="1" x14ac:dyDescent="0.2">
      <c r="A73" s="12" t="s">
        <v>102</v>
      </c>
      <c r="B73" s="12" t="s">
        <v>109</v>
      </c>
      <c r="C73" s="12" t="s">
        <v>109</v>
      </c>
      <c r="D73" s="22" t="s">
        <v>285</v>
      </c>
      <c r="E73" s="22" t="s">
        <v>161</v>
      </c>
      <c r="F73" s="22" t="s">
        <v>705</v>
      </c>
      <c r="G73" s="22" t="s">
        <v>706</v>
      </c>
      <c r="H73" s="22" t="s">
        <v>166</v>
      </c>
      <c r="I73" s="22" t="s">
        <v>151</v>
      </c>
      <c r="J73" s="22" t="s">
        <v>181</v>
      </c>
      <c r="K73" s="22" t="s">
        <v>70</v>
      </c>
      <c r="L73" s="54" t="s">
        <v>153</v>
      </c>
      <c r="M73" s="23" t="s">
        <v>153</v>
      </c>
      <c r="N73" s="24" t="s">
        <v>153</v>
      </c>
      <c r="O73" s="23" t="s">
        <v>153</v>
      </c>
      <c r="P73" s="23" t="s">
        <v>153</v>
      </c>
      <c r="Q73" s="23" t="s">
        <v>153</v>
      </c>
      <c r="R73" s="23" t="s">
        <v>153</v>
      </c>
      <c r="S73" s="23" t="s">
        <v>153</v>
      </c>
      <c r="T73" s="24" t="s">
        <v>156</v>
      </c>
      <c r="U73" s="24" t="s">
        <v>153</v>
      </c>
      <c r="V73" s="54" t="s">
        <v>153</v>
      </c>
      <c r="W73" s="23" t="s">
        <v>153</v>
      </c>
      <c r="X73" s="23" t="s">
        <v>153</v>
      </c>
      <c r="Y73" s="23" t="s">
        <v>153</v>
      </c>
      <c r="Z73" s="23" t="s">
        <v>153</v>
      </c>
      <c r="AA73" s="23" t="s">
        <v>153</v>
      </c>
      <c r="AB73" s="24" t="s">
        <v>153</v>
      </c>
      <c r="AC73" s="23" t="s">
        <v>153</v>
      </c>
      <c r="AD73" s="23" t="s">
        <v>153</v>
      </c>
      <c r="AE73" s="23" t="s">
        <v>153</v>
      </c>
      <c r="AF73" s="23" t="s">
        <v>153</v>
      </c>
      <c r="AG73" s="23" t="s">
        <v>153</v>
      </c>
      <c r="AH73" s="24" t="s">
        <v>156</v>
      </c>
      <c r="AI73" s="24" t="s">
        <v>153</v>
      </c>
      <c r="AJ73" s="23" t="s">
        <v>153</v>
      </c>
      <c r="AK73" s="23" t="s">
        <v>153</v>
      </c>
      <c r="AL73" s="23" t="s">
        <v>153</v>
      </c>
      <c r="AM73" s="23" t="s">
        <v>153</v>
      </c>
      <c r="AN73" s="23" t="s">
        <v>153</v>
      </c>
      <c r="AO73" s="23" t="s">
        <v>153</v>
      </c>
      <c r="AP73" s="23">
        <f>VALUE(0)</f>
        <v>0</v>
      </c>
      <c r="AQ73" s="23">
        <f>VALUE(0)</f>
        <v>0</v>
      </c>
      <c r="AR73" s="23">
        <f>VALUE(0)</f>
        <v>0</v>
      </c>
      <c r="AS73" s="23">
        <f>VALUE(0)</f>
        <v>0</v>
      </c>
      <c r="AT73" s="23">
        <f>VALUE(0)</f>
        <v>0</v>
      </c>
      <c r="AU73" s="23">
        <f>VALUE(0)</f>
        <v>0</v>
      </c>
      <c r="AV73" s="23">
        <f>VALUE(5.5)</f>
        <v>5.5</v>
      </c>
      <c r="AW73" s="23">
        <f>VALUE(0)</f>
        <v>0</v>
      </c>
      <c r="AX73" s="23" t="s">
        <v>286</v>
      </c>
      <c r="AY73" s="23">
        <f>VALUE(0)</f>
        <v>0</v>
      </c>
      <c r="AZ73" s="23">
        <f>VALUE(0)</f>
        <v>0</v>
      </c>
      <c r="BA73" s="23">
        <f>VALUE(0)</f>
        <v>0</v>
      </c>
      <c r="BB73" s="23">
        <f>VALUE(0)</f>
        <v>0</v>
      </c>
      <c r="BC73" s="23">
        <f>VALUE(0)</f>
        <v>0</v>
      </c>
      <c r="BD73" s="23">
        <f>VALUE(0)</f>
        <v>0</v>
      </c>
      <c r="BE73" s="23">
        <f>VALUE(0)</f>
        <v>0</v>
      </c>
      <c r="BF73" s="23">
        <f>VALUE(0)</f>
        <v>0</v>
      </c>
      <c r="BG73" s="23">
        <f>VALUE(0)</f>
        <v>0</v>
      </c>
      <c r="BH73" s="23">
        <f>VALUE(0)</f>
        <v>0</v>
      </c>
      <c r="BI73" s="23">
        <f>VALUE(0)</f>
        <v>0</v>
      </c>
      <c r="BJ73" s="23">
        <f>VALUE(0)</f>
        <v>0</v>
      </c>
      <c r="BK73" s="12">
        <f>$AX$73*24</f>
        <v>8.7333333333333325</v>
      </c>
      <c r="BL73" s="12">
        <f>$AY$73*24</f>
        <v>0</v>
      </c>
      <c r="BM73" s="12">
        <f>$BJ$73*24</f>
        <v>0</v>
      </c>
      <c r="BN73" s="12">
        <f>VALUE($I$73)/100</f>
        <v>1</v>
      </c>
      <c r="BO73" s="12">
        <v>0</v>
      </c>
      <c r="BP73" s="12">
        <v>0</v>
      </c>
      <c r="BQ73" s="12">
        <v>0</v>
      </c>
      <c r="BR73" s="12">
        <v>0</v>
      </c>
      <c r="BS73" s="12">
        <v>0</v>
      </c>
      <c r="BT73" s="12">
        <v>0</v>
      </c>
      <c r="BU73" s="12">
        <v>0</v>
      </c>
      <c r="BV73" s="12">
        <v>0</v>
      </c>
      <c r="BW73" s="12">
        <v>0</v>
      </c>
      <c r="BX73" s="12">
        <v>0</v>
      </c>
      <c r="BY73" s="12">
        <v>0</v>
      </c>
      <c r="BZ73" s="12">
        <v>0</v>
      </c>
      <c r="CA73" s="12">
        <v>0</v>
      </c>
    </row>
    <row r="74" spans="1:79" ht="15" hidden="1" x14ac:dyDescent="0.25">
      <c r="A74" s="12" t="s">
        <v>102</v>
      </c>
      <c r="B74" s="12" t="s">
        <v>109</v>
      </c>
      <c r="C74" s="12" t="s">
        <v>109</v>
      </c>
      <c r="D74" s="31" t="s">
        <v>585</v>
      </c>
      <c r="E74" s="31" t="s">
        <v>153</v>
      </c>
      <c r="F74" s="31" t="s">
        <v>175</v>
      </c>
      <c r="G74" s="31" t="s">
        <v>153</v>
      </c>
      <c r="H74" s="31" t="s">
        <v>153</v>
      </c>
      <c r="I74" s="31" t="s">
        <v>153</v>
      </c>
      <c r="J74" s="31" t="s">
        <v>153</v>
      </c>
      <c r="K74" s="31" t="s">
        <v>153</v>
      </c>
      <c r="L74" s="31">
        <f>VALUE(0)</f>
        <v>0</v>
      </c>
      <c r="M74" s="31">
        <f>VALUE(7)</f>
        <v>7</v>
      </c>
      <c r="N74" s="31">
        <f>VALUE(0)</f>
        <v>0</v>
      </c>
      <c r="O74" s="31">
        <f>VALUE(9)</f>
        <v>9</v>
      </c>
      <c r="P74" s="31">
        <f>VALUE(10)</f>
        <v>10</v>
      </c>
      <c r="Q74" s="31">
        <f>VALUE(11)</f>
        <v>11</v>
      </c>
      <c r="R74" s="31">
        <f>VALUE(11)</f>
        <v>11</v>
      </c>
      <c r="S74" s="31">
        <f>VALUE(11)</f>
        <v>11</v>
      </c>
      <c r="T74" s="31">
        <f>VALUE(7)</f>
        <v>7</v>
      </c>
      <c r="U74" s="31">
        <f>VALUE(0)</f>
        <v>0</v>
      </c>
      <c r="V74" s="31">
        <f>VALUE(0)</f>
        <v>0</v>
      </c>
      <c r="W74" s="31">
        <f>VALUE(9)</f>
        <v>9</v>
      </c>
      <c r="X74" s="31">
        <f>VALUE(10)</f>
        <v>10</v>
      </c>
      <c r="Y74" s="31">
        <f>VALUE(10)</f>
        <v>10</v>
      </c>
      <c r="Z74" s="31">
        <f>VALUE(10)</f>
        <v>10</v>
      </c>
      <c r="AA74" s="31">
        <f>VALUE(7)</f>
        <v>7</v>
      </c>
      <c r="AB74" s="31">
        <f>VALUE(0)</f>
        <v>0</v>
      </c>
      <c r="AC74" s="31">
        <f>VALUE(8)</f>
        <v>8</v>
      </c>
      <c r="AD74" s="31">
        <f>VALUE(8)</f>
        <v>8</v>
      </c>
      <c r="AE74" s="31">
        <f>VALUE(9)</f>
        <v>9</v>
      </c>
      <c r="AF74" s="31">
        <f>VALUE(9)</f>
        <v>9</v>
      </c>
      <c r="AG74" s="31">
        <f>VALUE(9)</f>
        <v>9</v>
      </c>
      <c r="AH74" s="31">
        <f>VALUE(5)</f>
        <v>5</v>
      </c>
      <c r="AI74" s="31">
        <f>VALUE(0)</f>
        <v>0</v>
      </c>
      <c r="AJ74" s="31">
        <f>VALUE(9)</f>
        <v>9</v>
      </c>
      <c r="AK74" s="31">
        <f>VALUE(9)</f>
        <v>9</v>
      </c>
      <c r="AL74" s="31">
        <f>VALUE(9)</f>
        <v>9</v>
      </c>
      <c r="AM74" s="31">
        <f>VALUE(9)</f>
        <v>9</v>
      </c>
      <c r="AN74" s="31">
        <f>VALUE(9)</f>
        <v>9</v>
      </c>
      <c r="AO74" s="31">
        <f>VALUE(5)</f>
        <v>5</v>
      </c>
      <c r="AP74" s="31">
        <v>0</v>
      </c>
      <c r="AQ74" s="31">
        <v>0</v>
      </c>
      <c r="AR74" s="31">
        <v>0</v>
      </c>
      <c r="AS74" s="31">
        <v>0</v>
      </c>
      <c r="AT74" s="31">
        <v>0</v>
      </c>
      <c r="AU74" s="31">
        <v>0</v>
      </c>
      <c r="AV74" s="31">
        <v>0</v>
      </c>
      <c r="AW74" s="31">
        <v>0</v>
      </c>
      <c r="AX74" s="31">
        <v>0</v>
      </c>
      <c r="AY74" s="31">
        <v>0</v>
      </c>
      <c r="AZ74" s="31">
        <v>0</v>
      </c>
      <c r="BA74" s="31">
        <v>0</v>
      </c>
      <c r="BB74" s="31">
        <v>0</v>
      </c>
      <c r="BC74" s="31">
        <v>0</v>
      </c>
      <c r="BD74" s="31">
        <v>0</v>
      </c>
      <c r="BE74" s="31">
        <v>0</v>
      </c>
      <c r="BF74" s="31">
        <v>0</v>
      </c>
      <c r="BG74" s="31">
        <v>0</v>
      </c>
      <c r="BH74" s="31">
        <v>0</v>
      </c>
      <c r="BI74" s="31">
        <v>0</v>
      </c>
      <c r="BJ74" s="31">
        <v>0</v>
      </c>
      <c r="BK74" s="12">
        <v>0</v>
      </c>
      <c r="BL74" s="12">
        <v>0</v>
      </c>
      <c r="BM74" s="12">
        <v>0</v>
      </c>
      <c r="BN74" s="12"/>
      <c r="BO74" s="12">
        <v>0</v>
      </c>
      <c r="BP74" s="12">
        <v>0</v>
      </c>
      <c r="BQ74" s="12">
        <v>0</v>
      </c>
      <c r="BR74" s="12">
        <v>0</v>
      </c>
      <c r="BS74" s="12">
        <v>0</v>
      </c>
      <c r="BT74" s="12">
        <v>0</v>
      </c>
      <c r="BU74" s="12">
        <v>0</v>
      </c>
      <c r="BV74" s="12">
        <v>0</v>
      </c>
      <c r="BW74" s="12">
        <v>0</v>
      </c>
      <c r="BX74" s="12">
        <v>0</v>
      </c>
      <c r="BY74" s="12">
        <v>0</v>
      </c>
      <c r="BZ74" s="12">
        <v>0</v>
      </c>
      <c r="CA74" s="12">
        <v>0</v>
      </c>
    </row>
    <row r="75" spans="1:79" ht="16.5" hidden="1" x14ac:dyDescent="0.2">
      <c r="A75" s="12" t="s">
        <v>102</v>
      </c>
      <c r="B75" s="12" t="s">
        <v>110</v>
      </c>
      <c r="C75" s="12" t="s">
        <v>110</v>
      </c>
      <c r="D75" s="22" t="s">
        <v>1190</v>
      </c>
      <c r="E75" s="22" t="s">
        <v>161</v>
      </c>
      <c r="F75" s="22" t="s">
        <v>707</v>
      </c>
      <c r="G75" s="22" t="s">
        <v>708</v>
      </c>
      <c r="H75" s="22" t="s">
        <v>150</v>
      </c>
      <c r="I75" s="22" t="s">
        <v>151</v>
      </c>
      <c r="J75" s="22" t="s">
        <v>264</v>
      </c>
      <c r="K75" s="22" t="s">
        <v>71</v>
      </c>
      <c r="L75" s="54" t="s">
        <v>153</v>
      </c>
      <c r="M75" s="23" t="s">
        <v>287</v>
      </c>
      <c r="N75" s="24" t="s">
        <v>153</v>
      </c>
      <c r="O75" s="26" t="s">
        <v>1191</v>
      </c>
      <c r="P75" s="26" t="s">
        <v>1191</v>
      </c>
      <c r="Q75" s="26" t="s">
        <v>1191</v>
      </c>
      <c r="R75" s="24" t="s">
        <v>156</v>
      </c>
      <c r="S75" s="24" t="s">
        <v>156</v>
      </c>
      <c r="T75" s="24" t="s">
        <v>156</v>
      </c>
      <c r="U75" s="24" t="s">
        <v>153</v>
      </c>
      <c r="V75" s="54" t="s">
        <v>153</v>
      </c>
      <c r="W75" s="26" t="s">
        <v>1191</v>
      </c>
      <c r="X75" s="26" t="s">
        <v>1191</v>
      </c>
      <c r="Y75" s="23" t="s">
        <v>291</v>
      </c>
      <c r="Z75" s="23" t="s">
        <v>291</v>
      </c>
      <c r="AA75" s="26" t="s">
        <v>1191</v>
      </c>
      <c r="AB75" s="24" t="s">
        <v>153</v>
      </c>
      <c r="AC75" s="26" t="s">
        <v>1191</v>
      </c>
      <c r="AD75" s="26" t="s">
        <v>1191</v>
      </c>
      <c r="AE75" s="26" t="s">
        <v>1191</v>
      </c>
      <c r="AF75" s="26" t="s">
        <v>1191</v>
      </c>
      <c r="AG75" s="26" t="s">
        <v>1191</v>
      </c>
      <c r="AH75" s="26" t="s">
        <v>1191</v>
      </c>
      <c r="AI75" s="24" t="s">
        <v>153</v>
      </c>
      <c r="AJ75" s="26" t="s">
        <v>1191</v>
      </c>
      <c r="AK75" s="26" t="s">
        <v>1191</v>
      </c>
      <c r="AL75" s="26" t="s">
        <v>1191</v>
      </c>
      <c r="AM75" s="23" t="s">
        <v>288</v>
      </c>
      <c r="AN75" s="23" t="s">
        <v>288</v>
      </c>
      <c r="AO75" s="23" t="s">
        <v>288</v>
      </c>
      <c r="AP75" s="23">
        <f>VALUE(51)</f>
        <v>51</v>
      </c>
      <c r="AQ75" s="23">
        <f>VALUE(0)</f>
        <v>0</v>
      </c>
      <c r="AR75" s="23">
        <f>VALUE(0)</f>
        <v>0</v>
      </c>
      <c r="AS75" s="23">
        <f>VALUE(0)</f>
        <v>0</v>
      </c>
      <c r="AT75" s="23">
        <f>VALUE(0)</f>
        <v>0</v>
      </c>
      <c r="AU75" s="23">
        <f>VALUE(0)</f>
        <v>0</v>
      </c>
      <c r="AV75" s="23">
        <f>VALUE(8)</f>
        <v>8</v>
      </c>
      <c r="AW75" s="23">
        <f>VALUE(0)</f>
        <v>0</v>
      </c>
      <c r="AX75" s="23" t="s">
        <v>289</v>
      </c>
      <c r="AY75" s="23" t="s">
        <v>290</v>
      </c>
      <c r="AZ75" s="23">
        <f>VALUE(0)</f>
        <v>0</v>
      </c>
      <c r="BA75" s="23">
        <f>VALUE(0)</f>
        <v>0</v>
      </c>
      <c r="BB75" s="23">
        <f>VALUE(0)</f>
        <v>0</v>
      </c>
      <c r="BC75" s="23">
        <f>VALUE(0)</f>
        <v>0</v>
      </c>
      <c r="BD75" s="23">
        <f>VALUE(0)</f>
        <v>0</v>
      </c>
      <c r="BE75" s="23">
        <f>VALUE(0)</f>
        <v>0</v>
      </c>
      <c r="BF75" s="23">
        <f>VALUE(0)</f>
        <v>0</v>
      </c>
      <c r="BG75" s="23">
        <f>VALUE(0)</f>
        <v>0</v>
      </c>
      <c r="BH75" s="23">
        <f>VALUE(0)</f>
        <v>0</v>
      </c>
      <c r="BI75" s="23">
        <f>VALUE(0)</f>
        <v>0</v>
      </c>
      <c r="BJ75" s="23">
        <f>VALUE(0)</f>
        <v>0</v>
      </c>
      <c r="BK75" s="12">
        <f>$AX$75*24</f>
        <v>5.583333333333333</v>
      </c>
      <c r="BL75" s="12">
        <f>$AY$75*24</f>
        <v>4.4000000000000004</v>
      </c>
      <c r="BM75" s="12">
        <f>$BJ$75*24</f>
        <v>0</v>
      </c>
      <c r="BN75" s="12">
        <f>VALUE($I$75)/100</f>
        <v>1</v>
      </c>
      <c r="BO75" s="12">
        <v>0</v>
      </c>
      <c r="BP75" s="12">
        <v>0</v>
      </c>
      <c r="BQ75" s="12">
        <v>0</v>
      </c>
      <c r="BR75" s="12">
        <v>0</v>
      </c>
      <c r="BS75" s="12">
        <v>0</v>
      </c>
      <c r="BT75" s="12">
        <v>0</v>
      </c>
      <c r="BU75" s="12">
        <v>0</v>
      </c>
      <c r="BV75" s="12">
        <v>0</v>
      </c>
      <c r="BW75" s="12">
        <v>0</v>
      </c>
      <c r="BX75" s="12">
        <v>0</v>
      </c>
      <c r="BY75" s="12">
        <v>0</v>
      </c>
      <c r="BZ75" s="12">
        <v>0</v>
      </c>
      <c r="CA75" s="12">
        <v>0</v>
      </c>
    </row>
    <row r="76" spans="1:79" hidden="1" x14ac:dyDescent="0.2">
      <c r="A76" s="12" t="s">
        <v>102</v>
      </c>
      <c r="B76" s="12" t="s">
        <v>110</v>
      </c>
      <c r="C76" s="12" t="s">
        <v>110</v>
      </c>
      <c r="D76" s="22" t="s">
        <v>291</v>
      </c>
      <c r="E76" s="22" t="s">
        <v>161</v>
      </c>
      <c r="F76" s="22" t="s">
        <v>709</v>
      </c>
      <c r="G76" s="22" t="s">
        <v>710</v>
      </c>
      <c r="H76" s="22" t="s">
        <v>150</v>
      </c>
      <c r="I76" s="22" t="s">
        <v>151</v>
      </c>
      <c r="J76" s="22" t="s">
        <v>162</v>
      </c>
      <c r="K76" s="22" t="s">
        <v>71</v>
      </c>
      <c r="L76" s="54" t="s">
        <v>153</v>
      </c>
      <c r="M76" s="23" t="s">
        <v>153</v>
      </c>
      <c r="N76" s="24" t="s">
        <v>153</v>
      </c>
      <c r="O76" s="23" t="s">
        <v>153</v>
      </c>
      <c r="P76" s="23" t="s">
        <v>153</v>
      </c>
      <c r="Q76" s="23" t="s">
        <v>153</v>
      </c>
      <c r="R76" s="29" t="s">
        <v>29</v>
      </c>
      <c r="S76" s="29" t="s">
        <v>29</v>
      </c>
      <c r="T76" s="23" t="s">
        <v>153</v>
      </c>
      <c r="U76" s="24" t="s">
        <v>153</v>
      </c>
      <c r="V76" s="54" t="s">
        <v>153</v>
      </c>
      <c r="W76" s="23" t="s">
        <v>153</v>
      </c>
      <c r="X76" s="23" t="s">
        <v>153</v>
      </c>
      <c r="Y76" s="29" t="s">
        <v>29</v>
      </c>
      <c r="Z76" s="29" t="s">
        <v>29</v>
      </c>
      <c r="AA76" s="23" t="s">
        <v>153</v>
      </c>
      <c r="AB76" s="24" t="s">
        <v>153</v>
      </c>
      <c r="AC76" s="23" t="s">
        <v>153</v>
      </c>
      <c r="AD76" s="23" t="s">
        <v>153</v>
      </c>
      <c r="AE76" s="23" t="s">
        <v>153</v>
      </c>
      <c r="AF76" s="24" t="s">
        <v>156</v>
      </c>
      <c r="AG76" s="24" t="s">
        <v>156</v>
      </c>
      <c r="AH76" s="24" t="s">
        <v>156</v>
      </c>
      <c r="AI76" s="24" t="s">
        <v>153</v>
      </c>
      <c r="AJ76" s="28" t="s">
        <v>163</v>
      </c>
      <c r="AK76" s="28" t="s">
        <v>163</v>
      </c>
      <c r="AL76" s="28" t="s">
        <v>163</v>
      </c>
      <c r="AM76" s="28" t="s">
        <v>163</v>
      </c>
      <c r="AN76" s="28" t="s">
        <v>163</v>
      </c>
      <c r="AO76" s="28" t="s">
        <v>163</v>
      </c>
      <c r="AP76" s="23">
        <f>VALUE(32)</f>
        <v>32</v>
      </c>
      <c r="AQ76" s="23">
        <f>VALUE(0)</f>
        <v>0</v>
      </c>
      <c r="AR76" s="23">
        <f>VALUE(4)</f>
        <v>4</v>
      </c>
      <c r="AS76" s="23">
        <f>VALUE(0)</f>
        <v>0</v>
      </c>
      <c r="AT76" s="23">
        <f>VALUE(0)</f>
        <v>0</v>
      </c>
      <c r="AU76" s="23">
        <f>VALUE(6)</f>
        <v>6</v>
      </c>
      <c r="AV76" s="23">
        <f>VALUE(6)</f>
        <v>6</v>
      </c>
      <c r="AW76" s="23">
        <f>VALUE(0)</f>
        <v>0</v>
      </c>
      <c r="AX76" s="23" t="s">
        <v>292</v>
      </c>
      <c r="AY76" s="23" t="s">
        <v>176</v>
      </c>
      <c r="AZ76" s="23">
        <f>VALUE(0)</f>
        <v>0</v>
      </c>
      <c r="BA76" s="23">
        <f>VALUE(0)</f>
        <v>0</v>
      </c>
      <c r="BB76" s="23">
        <f>VALUE(0)</f>
        <v>0</v>
      </c>
      <c r="BC76" s="23">
        <f>VALUE(0)</f>
        <v>0</v>
      </c>
      <c r="BD76" s="23">
        <f>VALUE(0)</f>
        <v>0</v>
      </c>
      <c r="BE76" s="23">
        <f>VALUE(0)</f>
        <v>0</v>
      </c>
      <c r="BF76" s="23">
        <f>VALUE(0)</f>
        <v>0</v>
      </c>
      <c r="BG76" s="23">
        <f>VALUE(0)</f>
        <v>0</v>
      </c>
      <c r="BH76" s="23">
        <f>VALUE(0)</f>
        <v>0</v>
      </c>
      <c r="BI76" s="23">
        <f>VALUE(0)</f>
        <v>0</v>
      </c>
      <c r="BJ76" s="23">
        <f>VALUE(0)</f>
        <v>0</v>
      </c>
      <c r="BK76" s="12">
        <f>$AX$76*24</f>
        <v>3.6499999999999995</v>
      </c>
      <c r="BL76" s="12">
        <f>$AY$76*24</f>
        <v>0</v>
      </c>
      <c r="BM76" s="12">
        <f>$BJ$76*24</f>
        <v>0</v>
      </c>
      <c r="BN76" s="12">
        <f>VALUE($I$76)/100</f>
        <v>1</v>
      </c>
      <c r="BO76" s="12">
        <v>0</v>
      </c>
      <c r="BP76" s="12">
        <v>0</v>
      </c>
      <c r="BQ76" s="12">
        <v>0</v>
      </c>
      <c r="BR76" s="12">
        <v>0</v>
      </c>
      <c r="BS76" s="12">
        <v>0</v>
      </c>
      <c r="BT76" s="12">
        <v>0</v>
      </c>
      <c r="BU76" s="12">
        <v>0</v>
      </c>
      <c r="BV76" s="12">
        <v>0</v>
      </c>
      <c r="BW76" s="12">
        <v>0</v>
      </c>
      <c r="BX76" s="12">
        <v>0</v>
      </c>
      <c r="BY76" s="12">
        <v>0</v>
      </c>
      <c r="BZ76" s="12">
        <v>0</v>
      </c>
      <c r="CA76" s="12">
        <v>0</v>
      </c>
    </row>
    <row r="77" spans="1:79" hidden="1" x14ac:dyDescent="0.2">
      <c r="A77" s="12" t="s">
        <v>102</v>
      </c>
      <c r="B77" s="12" t="s">
        <v>110</v>
      </c>
      <c r="C77" s="12" t="s">
        <v>110</v>
      </c>
      <c r="D77" s="22" t="s">
        <v>293</v>
      </c>
      <c r="E77" s="22" t="s">
        <v>161</v>
      </c>
      <c r="F77" s="22" t="s">
        <v>711</v>
      </c>
      <c r="G77" s="22" t="s">
        <v>712</v>
      </c>
      <c r="H77" s="22" t="s">
        <v>150</v>
      </c>
      <c r="I77" s="22" t="s">
        <v>151</v>
      </c>
      <c r="J77" s="22" t="s">
        <v>162</v>
      </c>
      <c r="K77" s="22" t="s">
        <v>71</v>
      </c>
      <c r="L77" s="54" t="s">
        <v>153</v>
      </c>
      <c r="M77" s="24" t="s">
        <v>156</v>
      </c>
      <c r="N77" s="24" t="s">
        <v>153</v>
      </c>
      <c r="O77" s="24" t="s">
        <v>156</v>
      </c>
      <c r="P77" s="24" t="s">
        <v>156</v>
      </c>
      <c r="Q77" s="24" t="s">
        <v>156</v>
      </c>
      <c r="R77" s="28" t="s">
        <v>163</v>
      </c>
      <c r="S77" s="28" t="s">
        <v>163</v>
      </c>
      <c r="T77" s="28" t="s">
        <v>163</v>
      </c>
      <c r="U77" s="24" t="s">
        <v>153</v>
      </c>
      <c r="V77" s="54" t="s">
        <v>153</v>
      </c>
      <c r="W77" s="28" t="s">
        <v>163</v>
      </c>
      <c r="X77" s="28" t="s">
        <v>163</v>
      </c>
      <c r="Y77" s="28" t="s">
        <v>163</v>
      </c>
      <c r="Z77" s="28" t="s">
        <v>163</v>
      </c>
      <c r="AA77" s="28" t="s">
        <v>163</v>
      </c>
      <c r="AB77" s="24" t="s">
        <v>153</v>
      </c>
      <c r="AC77" s="23" t="s">
        <v>153</v>
      </c>
      <c r="AD77" s="23" t="s">
        <v>153</v>
      </c>
      <c r="AE77" s="23" t="s">
        <v>153</v>
      </c>
      <c r="AF77" s="23" t="s">
        <v>153</v>
      </c>
      <c r="AG77" s="23" t="s">
        <v>153</v>
      </c>
      <c r="AH77" s="23" t="s">
        <v>153</v>
      </c>
      <c r="AI77" s="24" t="s">
        <v>153</v>
      </c>
      <c r="AJ77" s="23" t="s">
        <v>153</v>
      </c>
      <c r="AK77" s="23" t="s">
        <v>153</v>
      </c>
      <c r="AL77" s="23" t="s">
        <v>153</v>
      </c>
      <c r="AM77" s="23" t="s">
        <v>153</v>
      </c>
      <c r="AN77" s="23" t="s">
        <v>153</v>
      </c>
      <c r="AO77" s="23" t="s">
        <v>153</v>
      </c>
      <c r="AP77" s="23">
        <f>VALUE(49)</f>
        <v>49</v>
      </c>
      <c r="AQ77" s="23">
        <f>VALUE(0)</f>
        <v>0</v>
      </c>
      <c r="AR77" s="23">
        <f>VALUE(0)</f>
        <v>0</v>
      </c>
      <c r="AS77" s="23">
        <f>VALUE(0)</f>
        <v>0</v>
      </c>
      <c r="AT77" s="23">
        <f>VALUE(0)</f>
        <v>0</v>
      </c>
      <c r="AU77" s="23">
        <f>VALUE(8)</f>
        <v>8</v>
      </c>
      <c r="AV77" s="23">
        <f>VALUE(7)</f>
        <v>7</v>
      </c>
      <c r="AW77" s="23">
        <f>VALUE(0)</f>
        <v>0</v>
      </c>
      <c r="AX77" s="23" t="s">
        <v>294</v>
      </c>
      <c r="AY77" s="23" t="s">
        <v>295</v>
      </c>
      <c r="AZ77" s="23">
        <f>VALUE(0)</f>
        <v>0</v>
      </c>
      <c r="BA77" s="23">
        <f>VALUE(0)</f>
        <v>0</v>
      </c>
      <c r="BB77" s="23">
        <f>VALUE(0)</f>
        <v>0</v>
      </c>
      <c r="BC77" s="23">
        <f>VALUE(0)</f>
        <v>0</v>
      </c>
      <c r="BD77" s="23">
        <f>VALUE(0)</f>
        <v>0</v>
      </c>
      <c r="BE77" s="23">
        <f>VALUE(0)</f>
        <v>0</v>
      </c>
      <c r="BF77" s="23">
        <f>VALUE(0)</f>
        <v>0</v>
      </c>
      <c r="BG77" s="23">
        <f>VALUE(0)</f>
        <v>0</v>
      </c>
      <c r="BH77" s="23">
        <f>VALUE(0)</f>
        <v>0</v>
      </c>
      <c r="BI77" s="23">
        <f>VALUE(0)</f>
        <v>0</v>
      </c>
      <c r="BJ77" s="23">
        <f>VALUE(0)</f>
        <v>0</v>
      </c>
      <c r="BK77" s="12">
        <f>$AX$77*24</f>
        <v>2.1666666666666665</v>
      </c>
      <c r="BL77" s="12">
        <f>$AY$77*24</f>
        <v>0.73333333333333328</v>
      </c>
      <c r="BM77" s="12">
        <f>$BJ$77*24</f>
        <v>0</v>
      </c>
      <c r="BN77" s="12">
        <f>VALUE($I$77)/100</f>
        <v>1</v>
      </c>
      <c r="BO77" s="12">
        <v>0</v>
      </c>
      <c r="BP77" s="12">
        <v>0</v>
      </c>
      <c r="BQ77" s="12">
        <v>0</v>
      </c>
      <c r="BR77" s="12">
        <v>0</v>
      </c>
      <c r="BS77" s="12">
        <v>0</v>
      </c>
      <c r="BT77" s="12">
        <v>0</v>
      </c>
      <c r="BU77" s="12">
        <v>0</v>
      </c>
      <c r="BV77" s="12">
        <v>0</v>
      </c>
      <c r="BW77" s="12">
        <v>0</v>
      </c>
      <c r="BX77" s="12">
        <v>0</v>
      </c>
      <c r="BY77" s="12">
        <v>0</v>
      </c>
      <c r="BZ77" s="12">
        <v>0</v>
      </c>
      <c r="CA77" s="12">
        <v>0</v>
      </c>
    </row>
    <row r="78" spans="1:79" hidden="1" x14ac:dyDescent="0.2">
      <c r="A78" s="12" t="s">
        <v>102</v>
      </c>
      <c r="B78" s="12" t="s">
        <v>110</v>
      </c>
      <c r="C78" s="12" t="s">
        <v>110</v>
      </c>
      <c r="D78" s="22" t="s">
        <v>288</v>
      </c>
      <c r="E78" s="22" t="s">
        <v>161</v>
      </c>
      <c r="F78" s="22" t="s">
        <v>713</v>
      </c>
      <c r="G78" s="22" t="s">
        <v>714</v>
      </c>
      <c r="H78" s="22" t="s">
        <v>166</v>
      </c>
      <c r="I78" s="22" t="s">
        <v>151</v>
      </c>
      <c r="J78" s="22" t="s">
        <v>162</v>
      </c>
      <c r="K78" s="22" t="s">
        <v>71</v>
      </c>
      <c r="L78" s="54" t="s">
        <v>153</v>
      </c>
      <c r="M78" s="28" t="s">
        <v>163</v>
      </c>
      <c r="N78" s="24" t="s">
        <v>153</v>
      </c>
      <c r="O78" s="23" t="s">
        <v>153</v>
      </c>
      <c r="P78" s="23" t="s">
        <v>153</v>
      </c>
      <c r="Q78" s="23" t="s">
        <v>153</v>
      </c>
      <c r="R78" s="23" t="s">
        <v>153</v>
      </c>
      <c r="S78" s="23" t="s">
        <v>153</v>
      </c>
      <c r="T78" s="23" t="s">
        <v>153</v>
      </c>
      <c r="U78" s="24" t="s">
        <v>153</v>
      </c>
      <c r="V78" s="54" t="s">
        <v>153</v>
      </c>
      <c r="W78" s="23" t="s">
        <v>153</v>
      </c>
      <c r="X78" s="23" t="s">
        <v>153</v>
      </c>
      <c r="Y78" s="23" t="s">
        <v>153</v>
      </c>
      <c r="Z78" s="23" t="s">
        <v>153</v>
      </c>
      <c r="AA78" s="23" t="s">
        <v>153</v>
      </c>
      <c r="AB78" s="24" t="s">
        <v>153</v>
      </c>
      <c r="AC78" s="23" t="s">
        <v>153</v>
      </c>
      <c r="AD78" s="23" t="s">
        <v>153</v>
      </c>
      <c r="AE78" s="23" t="s">
        <v>153</v>
      </c>
      <c r="AF78" s="23" t="s">
        <v>153</v>
      </c>
      <c r="AG78" s="23" t="s">
        <v>153</v>
      </c>
      <c r="AH78" s="23" t="s">
        <v>153</v>
      </c>
      <c r="AI78" s="24" t="s">
        <v>153</v>
      </c>
      <c r="AJ78" s="23" t="s">
        <v>153</v>
      </c>
      <c r="AK78" s="23" t="s">
        <v>153</v>
      </c>
      <c r="AL78" s="23" t="s">
        <v>153</v>
      </c>
      <c r="AM78" s="24" t="s">
        <v>156</v>
      </c>
      <c r="AN78" s="24" t="s">
        <v>156</v>
      </c>
      <c r="AO78" s="24" t="s">
        <v>156</v>
      </c>
      <c r="AP78" s="23">
        <f>VALUE(46)</f>
        <v>46</v>
      </c>
      <c r="AQ78" s="23">
        <f>VALUE(0)</f>
        <v>0</v>
      </c>
      <c r="AR78" s="23">
        <f>VALUE(0)</f>
        <v>0</v>
      </c>
      <c r="AS78" s="23">
        <f>VALUE(0)</f>
        <v>0</v>
      </c>
      <c r="AT78" s="23">
        <f>VALUE(0)</f>
        <v>0</v>
      </c>
      <c r="AU78" s="23">
        <f>VALUE(1)</f>
        <v>1</v>
      </c>
      <c r="AV78" s="23">
        <f>VALUE(6)</f>
        <v>6</v>
      </c>
      <c r="AW78" s="23">
        <f>VALUE(0)</f>
        <v>0</v>
      </c>
      <c r="AX78" s="23" t="s">
        <v>1192</v>
      </c>
      <c r="AY78" s="23">
        <f>VALUE(0)</f>
        <v>0</v>
      </c>
      <c r="AZ78" s="23">
        <f>VALUE(0)</f>
        <v>0</v>
      </c>
      <c r="BA78" s="23">
        <f>VALUE(0)</f>
        <v>0</v>
      </c>
      <c r="BB78" s="23">
        <f>VALUE(0)</f>
        <v>0</v>
      </c>
      <c r="BC78" s="23">
        <f>VALUE(0)</f>
        <v>0</v>
      </c>
      <c r="BD78" s="23">
        <f>VALUE(0)</f>
        <v>0</v>
      </c>
      <c r="BE78" s="23">
        <f>VALUE(0)</f>
        <v>0</v>
      </c>
      <c r="BF78" s="23">
        <f>VALUE(0)</f>
        <v>0</v>
      </c>
      <c r="BG78" s="23">
        <f>VALUE(0)</f>
        <v>0</v>
      </c>
      <c r="BH78" s="23">
        <f>VALUE(0)</f>
        <v>0</v>
      </c>
      <c r="BI78" s="23">
        <f>VALUE(0)</f>
        <v>0</v>
      </c>
      <c r="BJ78" s="23">
        <f>VALUE(0)</f>
        <v>0</v>
      </c>
      <c r="BK78" s="12">
        <f>$AX$78*24</f>
        <v>61.45</v>
      </c>
      <c r="BL78" s="12">
        <f>$AY$78*24</f>
        <v>0</v>
      </c>
      <c r="BM78" s="12">
        <f>$BJ$78*24</f>
        <v>0</v>
      </c>
      <c r="BN78" s="12">
        <f>VALUE($I$78)/100</f>
        <v>1</v>
      </c>
      <c r="BO78" s="12">
        <v>0</v>
      </c>
      <c r="BP78" s="12">
        <v>0</v>
      </c>
      <c r="BQ78" s="12">
        <v>0</v>
      </c>
      <c r="BR78" s="12">
        <v>0</v>
      </c>
      <c r="BS78" s="12">
        <v>0</v>
      </c>
      <c r="BT78" s="12">
        <v>0</v>
      </c>
      <c r="BU78" s="12">
        <v>0</v>
      </c>
      <c r="BV78" s="12">
        <v>0</v>
      </c>
      <c r="BW78" s="12">
        <v>0</v>
      </c>
      <c r="BX78" s="12">
        <v>0</v>
      </c>
      <c r="BY78" s="12">
        <v>0</v>
      </c>
      <c r="BZ78" s="12">
        <v>0</v>
      </c>
      <c r="CA78" s="12">
        <v>0</v>
      </c>
    </row>
    <row r="79" spans="1:79" hidden="1" x14ac:dyDescent="0.2">
      <c r="A79" s="12" t="s">
        <v>102</v>
      </c>
      <c r="B79" s="12" t="s">
        <v>110</v>
      </c>
      <c r="C79" s="12" t="s">
        <v>110</v>
      </c>
      <c r="D79" s="22" t="s">
        <v>296</v>
      </c>
      <c r="E79" s="22" t="s">
        <v>161</v>
      </c>
      <c r="F79" s="22" t="s">
        <v>715</v>
      </c>
      <c r="G79" s="22" t="s">
        <v>716</v>
      </c>
      <c r="H79" s="22" t="s">
        <v>150</v>
      </c>
      <c r="I79" s="22" t="s">
        <v>151</v>
      </c>
      <c r="J79" s="22" t="s">
        <v>162</v>
      </c>
      <c r="K79" s="22" t="s">
        <v>71</v>
      </c>
      <c r="L79" s="54" t="s">
        <v>153</v>
      </c>
      <c r="M79" s="23" t="s">
        <v>153</v>
      </c>
      <c r="N79" s="24" t="s">
        <v>153</v>
      </c>
      <c r="O79" s="23" t="s">
        <v>153</v>
      </c>
      <c r="P79" s="23" t="s">
        <v>153</v>
      </c>
      <c r="Q79" s="23" t="s">
        <v>153</v>
      </c>
      <c r="R79" s="23" t="s">
        <v>153</v>
      </c>
      <c r="S79" s="23" t="s">
        <v>153</v>
      </c>
      <c r="T79" s="23" t="s">
        <v>153</v>
      </c>
      <c r="U79" s="24" t="s">
        <v>153</v>
      </c>
      <c r="V79" s="54" t="s">
        <v>153</v>
      </c>
      <c r="W79" s="23" t="s">
        <v>153</v>
      </c>
      <c r="X79" s="23" t="s">
        <v>153</v>
      </c>
      <c r="Y79" s="24" t="s">
        <v>156</v>
      </c>
      <c r="Z79" s="24" t="s">
        <v>156</v>
      </c>
      <c r="AA79" s="24" t="s">
        <v>156</v>
      </c>
      <c r="AB79" s="24" t="s">
        <v>153</v>
      </c>
      <c r="AC79" s="28" t="s">
        <v>163</v>
      </c>
      <c r="AD79" s="28" t="s">
        <v>163</v>
      </c>
      <c r="AE79" s="28" t="s">
        <v>163</v>
      </c>
      <c r="AF79" s="23" t="s">
        <v>153</v>
      </c>
      <c r="AG79" s="23" t="s">
        <v>153</v>
      </c>
      <c r="AH79" s="23" t="s">
        <v>153</v>
      </c>
      <c r="AI79" s="24" t="s">
        <v>153</v>
      </c>
      <c r="AJ79" s="23" t="s">
        <v>153</v>
      </c>
      <c r="AK79" s="23" t="s">
        <v>153</v>
      </c>
      <c r="AL79" s="23" t="s">
        <v>153</v>
      </c>
      <c r="AM79" s="23" t="s">
        <v>153</v>
      </c>
      <c r="AN79" s="23" t="s">
        <v>153</v>
      </c>
      <c r="AO79" s="23" t="s">
        <v>153</v>
      </c>
      <c r="AP79" s="23">
        <f>VALUE(54)</f>
        <v>54</v>
      </c>
      <c r="AQ79" s="23">
        <f>VALUE(0)</f>
        <v>0</v>
      </c>
      <c r="AR79" s="23">
        <f>VALUE(0)</f>
        <v>0</v>
      </c>
      <c r="AS79" s="23">
        <f>VALUE(0)</f>
        <v>0</v>
      </c>
      <c r="AT79" s="23">
        <f>VALUE(0)</f>
        <v>0</v>
      </c>
      <c r="AU79" s="23">
        <f>VALUE(3)</f>
        <v>3</v>
      </c>
      <c r="AV79" s="23">
        <f>VALUE(13)</f>
        <v>13</v>
      </c>
      <c r="AW79" s="23">
        <f>VALUE(0)</f>
        <v>0</v>
      </c>
      <c r="AX79" s="23" t="s">
        <v>158</v>
      </c>
      <c r="AY79" s="23" t="s">
        <v>297</v>
      </c>
      <c r="AZ79" s="23">
        <f>VALUE(0)</f>
        <v>0</v>
      </c>
      <c r="BA79" s="23">
        <f>VALUE(0)</f>
        <v>0</v>
      </c>
      <c r="BB79" s="23">
        <f>VALUE(0)</f>
        <v>0</v>
      </c>
      <c r="BC79" s="23">
        <f>VALUE(0)</f>
        <v>0</v>
      </c>
      <c r="BD79" s="23">
        <f>VALUE(0)</f>
        <v>0</v>
      </c>
      <c r="BE79" s="23">
        <f>VALUE(0)</f>
        <v>0</v>
      </c>
      <c r="BF79" s="23">
        <f>VALUE(0)</f>
        <v>0</v>
      </c>
      <c r="BG79" s="23">
        <f>VALUE(0)</f>
        <v>0</v>
      </c>
      <c r="BH79" s="23">
        <f>VALUE(0)</f>
        <v>0</v>
      </c>
      <c r="BI79" s="23">
        <f>VALUE(0)</f>
        <v>0</v>
      </c>
      <c r="BJ79" s="23">
        <f>VALUE(0)</f>
        <v>0</v>
      </c>
      <c r="BK79" s="12">
        <f>$AX$79*24</f>
        <v>11.666666666666666</v>
      </c>
      <c r="BL79" s="12">
        <f>$AY$79*24</f>
        <v>2.4500000000000002</v>
      </c>
      <c r="BM79" s="12">
        <f>$BJ$79*24</f>
        <v>0</v>
      </c>
      <c r="BN79" s="12">
        <f>VALUE($I$79)/100</f>
        <v>1</v>
      </c>
      <c r="BO79" s="12">
        <v>0</v>
      </c>
      <c r="BP79" s="12">
        <v>0</v>
      </c>
      <c r="BQ79" s="12">
        <v>0</v>
      </c>
      <c r="BR79" s="12">
        <v>0</v>
      </c>
      <c r="BS79" s="12">
        <v>0</v>
      </c>
      <c r="BT79" s="12">
        <v>0</v>
      </c>
      <c r="BU79" s="12">
        <v>0</v>
      </c>
      <c r="BV79" s="12">
        <v>0</v>
      </c>
      <c r="BW79" s="12">
        <v>0</v>
      </c>
      <c r="BX79" s="12">
        <v>0</v>
      </c>
      <c r="BY79" s="12">
        <v>0</v>
      </c>
      <c r="BZ79" s="12">
        <v>0</v>
      </c>
      <c r="CA79" s="12">
        <v>0</v>
      </c>
    </row>
    <row r="80" spans="1:79" hidden="1" x14ac:dyDescent="0.2">
      <c r="A80" s="12" t="s">
        <v>102</v>
      </c>
      <c r="B80" s="12" t="s">
        <v>110</v>
      </c>
      <c r="C80" s="12" t="s">
        <v>110</v>
      </c>
      <c r="D80" s="22" t="s">
        <v>298</v>
      </c>
      <c r="E80" s="22" t="s">
        <v>161</v>
      </c>
      <c r="F80" s="22" t="s">
        <v>717</v>
      </c>
      <c r="G80" s="22" t="s">
        <v>718</v>
      </c>
      <c r="H80" s="22" t="s">
        <v>150</v>
      </c>
      <c r="I80" s="22" t="s">
        <v>151</v>
      </c>
      <c r="J80" s="22" t="s">
        <v>162</v>
      </c>
      <c r="K80" s="22" t="s">
        <v>71</v>
      </c>
      <c r="L80" s="54" t="s">
        <v>153</v>
      </c>
      <c r="M80" s="23" t="s">
        <v>153</v>
      </c>
      <c r="N80" s="24" t="s">
        <v>153</v>
      </c>
      <c r="O80" s="23" t="s">
        <v>153</v>
      </c>
      <c r="P80" s="23" t="s">
        <v>153</v>
      </c>
      <c r="Q80" s="23" t="s">
        <v>153</v>
      </c>
      <c r="R80" s="23" t="s">
        <v>153</v>
      </c>
      <c r="S80" s="23" t="s">
        <v>153</v>
      </c>
      <c r="T80" s="23" t="s">
        <v>153</v>
      </c>
      <c r="U80" s="24" t="s">
        <v>153</v>
      </c>
      <c r="V80" s="54" t="s">
        <v>156</v>
      </c>
      <c r="W80" s="24" t="s">
        <v>156</v>
      </c>
      <c r="X80" s="24" t="s">
        <v>156</v>
      </c>
      <c r="Y80" s="23" t="s">
        <v>153</v>
      </c>
      <c r="Z80" s="23" t="s">
        <v>153</v>
      </c>
      <c r="AA80" s="23" t="s">
        <v>153</v>
      </c>
      <c r="AB80" s="24" t="s">
        <v>153</v>
      </c>
      <c r="AC80" s="23" t="s">
        <v>153</v>
      </c>
      <c r="AD80" s="23" t="s">
        <v>153</v>
      </c>
      <c r="AE80" s="23" t="s">
        <v>153</v>
      </c>
      <c r="AF80" s="23" t="s">
        <v>153</v>
      </c>
      <c r="AG80" s="23" t="s">
        <v>153</v>
      </c>
      <c r="AH80" s="23" t="s">
        <v>153</v>
      </c>
      <c r="AI80" s="24" t="s">
        <v>153</v>
      </c>
      <c r="AJ80" s="23" t="s">
        <v>153</v>
      </c>
      <c r="AK80" s="23" t="s">
        <v>153</v>
      </c>
      <c r="AL80" s="23" t="s">
        <v>153</v>
      </c>
      <c r="AM80" s="23" t="s">
        <v>153</v>
      </c>
      <c r="AN80" s="23" t="s">
        <v>153</v>
      </c>
      <c r="AO80" s="23" t="s">
        <v>153</v>
      </c>
      <c r="AP80" s="23">
        <f>VALUE(59)</f>
        <v>59</v>
      </c>
      <c r="AQ80" s="23">
        <f>VALUE(0)</f>
        <v>0</v>
      </c>
      <c r="AR80" s="23">
        <f>VALUE(0)</f>
        <v>0</v>
      </c>
      <c r="AS80" s="23">
        <f>VALUE(0)</f>
        <v>0</v>
      </c>
      <c r="AT80" s="23">
        <f>VALUE(0)</f>
        <v>0</v>
      </c>
      <c r="AU80" s="23">
        <f>VALUE(0)</f>
        <v>0</v>
      </c>
      <c r="AV80" s="23">
        <f>VALUE(6)</f>
        <v>6</v>
      </c>
      <c r="AW80" s="23">
        <f>VALUE(0)</f>
        <v>0</v>
      </c>
      <c r="AX80" s="23">
        <f>VALUE(0)</f>
        <v>0</v>
      </c>
      <c r="AY80" s="23">
        <f>VALUE(0)</f>
        <v>0</v>
      </c>
      <c r="AZ80" s="23">
        <f>VALUE(0)</f>
        <v>0</v>
      </c>
      <c r="BA80" s="23">
        <f>VALUE(0)</f>
        <v>0</v>
      </c>
      <c r="BB80" s="23">
        <f>VALUE(0)</f>
        <v>0</v>
      </c>
      <c r="BC80" s="23">
        <f>VALUE(0)</f>
        <v>0</v>
      </c>
      <c r="BD80" s="23">
        <f>VALUE(0)</f>
        <v>0</v>
      </c>
      <c r="BE80" s="23">
        <f>VALUE(0)</f>
        <v>0</v>
      </c>
      <c r="BF80" s="23">
        <f>VALUE(0)</f>
        <v>0</v>
      </c>
      <c r="BG80" s="23">
        <f>VALUE(0)</f>
        <v>0</v>
      </c>
      <c r="BH80" s="23">
        <f>VALUE(0)</f>
        <v>0</v>
      </c>
      <c r="BI80" s="23">
        <f>VALUE(0)</f>
        <v>0</v>
      </c>
      <c r="BJ80" s="23">
        <f>VALUE(0)</f>
        <v>0</v>
      </c>
      <c r="BK80" s="12">
        <f>$AX$80*24</f>
        <v>0</v>
      </c>
      <c r="BL80" s="12">
        <f>$AY$80*24</f>
        <v>0</v>
      </c>
      <c r="BM80" s="12">
        <f>$BJ$80*24</f>
        <v>0</v>
      </c>
      <c r="BN80" s="12">
        <f>VALUE($I$80)/100</f>
        <v>1</v>
      </c>
      <c r="BO80" s="12">
        <v>0</v>
      </c>
      <c r="BP80" s="12">
        <v>0</v>
      </c>
      <c r="BQ80" s="12">
        <v>0</v>
      </c>
      <c r="BR80" s="12">
        <v>0</v>
      </c>
      <c r="BS80" s="12">
        <v>0</v>
      </c>
      <c r="BT80" s="12">
        <v>0</v>
      </c>
      <c r="BU80" s="12">
        <v>0</v>
      </c>
      <c r="BV80" s="12">
        <v>0</v>
      </c>
      <c r="BW80" s="12">
        <v>0</v>
      </c>
      <c r="BX80" s="12">
        <v>0</v>
      </c>
      <c r="BY80" s="12">
        <v>0</v>
      </c>
      <c r="BZ80" s="12">
        <v>0</v>
      </c>
      <c r="CA80" s="12">
        <v>0</v>
      </c>
    </row>
    <row r="81" spans="1:79" hidden="1" x14ac:dyDescent="0.2">
      <c r="A81" s="12" t="s">
        <v>102</v>
      </c>
      <c r="B81" s="12" t="s">
        <v>110</v>
      </c>
      <c r="C81" s="12" t="s">
        <v>110</v>
      </c>
      <c r="D81" s="22" t="s">
        <v>287</v>
      </c>
      <c r="E81" s="22" t="s">
        <v>161</v>
      </c>
      <c r="F81" s="22" t="s">
        <v>719</v>
      </c>
      <c r="G81" s="22" t="s">
        <v>720</v>
      </c>
      <c r="H81" s="22" t="s">
        <v>150</v>
      </c>
      <c r="I81" s="22" t="s">
        <v>151</v>
      </c>
      <c r="J81" s="22" t="s">
        <v>162</v>
      </c>
      <c r="K81" s="22" t="s">
        <v>71</v>
      </c>
      <c r="L81" s="54" t="s">
        <v>156</v>
      </c>
      <c r="M81" s="24" t="s">
        <v>156</v>
      </c>
      <c r="N81" s="24" t="s">
        <v>153</v>
      </c>
      <c r="O81" s="28" t="s">
        <v>163</v>
      </c>
      <c r="P81" s="28" t="s">
        <v>163</v>
      </c>
      <c r="Q81" s="28" t="s">
        <v>163</v>
      </c>
      <c r="R81" s="23" t="s">
        <v>153</v>
      </c>
      <c r="S81" s="23" t="s">
        <v>153</v>
      </c>
      <c r="T81" s="23" t="s">
        <v>153</v>
      </c>
      <c r="U81" s="24" t="s">
        <v>153</v>
      </c>
      <c r="V81" s="54" t="s">
        <v>153</v>
      </c>
      <c r="W81" s="23" t="s">
        <v>153</v>
      </c>
      <c r="X81" s="23" t="s">
        <v>153</v>
      </c>
      <c r="Y81" s="23" t="s">
        <v>153</v>
      </c>
      <c r="Z81" s="23" t="s">
        <v>153</v>
      </c>
      <c r="AA81" s="23" t="s">
        <v>153</v>
      </c>
      <c r="AB81" s="24" t="s">
        <v>153</v>
      </c>
      <c r="AC81" s="23" t="s">
        <v>153</v>
      </c>
      <c r="AD81" s="23" t="s">
        <v>153</v>
      </c>
      <c r="AE81" s="23" t="s">
        <v>153</v>
      </c>
      <c r="AF81" s="23" t="s">
        <v>153</v>
      </c>
      <c r="AG81" s="23" t="s">
        <v>153</v>
      </c>
      <c r="AH81" s="23" t="s">
        <v>153</v>
      </c>
      <c r="AI81" s="24" t="s">
        <v>153</v>
      </c>
      <c r="AJ81" s="24" t="s">
        <v>156</v>
      </c>
      <c r="AK81" s="24" t="s">
        <v>156</v>
      </c>
      <c r="AL81" s="24" t="s">
        <v>156</v>
      </c>
      <c r="AM81" s="23" t="s">
        <v>153</v>
      </c>
      <c r="AN81" s="23" t="s">
        <v>153</v>
      </c>
      <c r="AO81" s="23" t="s">
        <v>153</v>
      </c>
      <c r="AP81" s="23">
        <f>VALUE(51)</f>
        <v>51</v>
      </c>
      <c r="AQ81" s="23">
        <f>VALUE(0)</f>
        <v>0</v>
      </c>
      <c r="AR81" s="23">
        <f>VALUE(0)</f>
        <v>0</v>
      </c>
      <c r="AS81" s="23">
        <f>VALUE(0)</f>
        <v>0</v>
      </c>
      <c r="AT81" s="23">
        <f>VALUE(0)</f>
        <v>0</v>
      </c>
      <c r="AU81" s="23">
        <f>VALUE(3)</f>
        <v>3</v>
      </c>
      <c r="AV81" s="23">
        <f>VALUE(8)</f>
        <v>8</v>
      </c>
      <c r="AW81" s="23">
        <f>VALUE(0)</f>
        <v>0</v>
      </c>
      <c r="AX81" s="23" t="s">
        <v>1193</v>
      </c>
      <c r="AY81" s="23" t="s">
        <v>299</v>
      </c>
      <c r="AZ81" s="23">
        <f>VALUE(0)</f>
        <v>0</v>
      </c>
      <c r="BA81" s="23">
        <f>VALUE(0)</f>
        <v>0</v>
      </c>
      <c r="BB81" s="23">
        <f>VALUE(0)</f>
        <v>0</v>
      </c>
      <c r="BC81" s="23">
        <f>VALUE(0)</f>
        <v>0</v>
      </c>
      <c r="BD81" s="23">
        <f>VALUE(0)</f>
        <v>0</v>
      </c>
      <c r="BE81" s="23">
        <f>VALUE(0)</f>
        <v>0</v>
      </c>
      <c r="BF81" s="23">
        <f>VALUE(0)</f>
        <v>0</v>
      </c>
      <c r="BG81" s="23">
        <f>VALUE(0)</f>
        <v>0</v>
      </c>
      <c r="BH81" s="23">
        <f>VALUE(0)</f>
        <v>0</v>
      </c>
      <c r="BI81" s="23">
        <f>VALUE(0)</f>
        <v>0</v>
      </c>
      <c r="BJ81" s="23">
        <f>VALUE(0)</f>
        <v>0</v>
      </c>
      <c r="BK81" s="12">
        <f>$AX$81*24</f>
        <v>4.5</v>
      </c>
      <c r="BL81" s="12">
        <f>$AY$81*24</f>
        <v>1.65</v>
      </c>
      <c r="BM81" s="12">
        <f>$BJ$81*24</f>
        <v>0</v>
      </c>
      <c r="BN81" s="12">
        <f>VALUE($I$81)/100</f>
        <v>1</v>
      </c>
      <c r="BO81" s="12">
        <v>0</v>
      </c>
      <c r="BP81" s="12">
        <v>0</v>
      </c>
      <c r="BQ81" s="12">
        <v>0</v>
      </c>
      <c r="BR81" s="12">
        <v>0</v>
      </c>
      <c r="BS81" s="12">
        <v>0</v>
      </c>
      <c r="BT81" s="12">
        <v>0</v>
      </c>
      <c r="BU81" s="12">
        <v>0</v>
      </c>
      <c r="BV81" s="12">
        <v>0</v>
      </c>
      <c r="BW81" s="12">
        <v>0</v>
      </c>
      <c r="BX81" s="12">
        <v>0</v>
      </c>
      <c r="BY81" s="12">
        <v>0</v>
      </c>
      <c r="BZ81" s="12">
        <v>0</v>
      </c>
      <c r="CA81" s="12">
        <v>0</v>
      </c>
    </row>
    <row r="82" spans="1:79" hidden="1" x14ac:dyDescent="0.2">
      <c r="A82" s="12" t="s">
        <v>102</v>
      </c>
      <c r="B82" s="12" t="s">
        <v>110</v>
      </c>
      <c r="C82" s="12" t="s">
        <v>110</v>
      </c>
      <c r="D82" s="22" t="s">
        <v>300</v>
      </c>
      <c r="E82" s="22" t="s">
        <v>161</v>
      </c>
      <c r="F82" s="22" t="s">
        <v>721</v>
      </c>
      <c r="G82" s="22" t="s">
        <v>722</v>
      </c>
      <c r="H82" s="22" t="s">
        <v>150</v>
      </c>
      <c r="I82" s="22" t="s">
        <v>151</v>
      </c>
      <c r="J82" s="22" t="s">
        <v>162</v>
      </c>
      <c r="K82" s="22" t="s">
        <v>71</v>
      </c>
      <c r="L82" s="54" t="s">
        <v>153</v>
      </c>
      <c r="M82" s="23" t="s">
        <v>153</v>
      </c>
      <c r="N82" s="24" t="s">
        <v>153</v>
      </c>
      <c r="O82" s="23" t="s">
        <v>153</v>
      </c>
      <c r="P82" s="23" t="s">
        <v>153</v>
      </c>
      <c r="Q82" s="23" t="s">
        <v>153</v>
      </c>
      <c r="R82" s="23" t="s">
        <v>153</v>
      </c>
      <c r="S82" s="23" t="s">
        <v>153</v>
      </c>
      <c r="T82" s="23" t="s">
        <v>153</v>
      </c>
      <c r="U82" s="24" t="s">
        <v>153</v>
      </c>
      <c r="V82" s="54" t="s">
        <v>153</v>
      </c>
      <c r="W82" s="23" t="s">
        <v>153</v>
      </c>
      <c r="X82" s="23" t="s">
        <v>153</v>
      </c>
      <c r="Y82" s="23" t="s">
        <v>153</v>
      </c>
      <c r="Z82" s="23" t="s">
        <v>153</v>
      </c>
      <c r="AA82" s="23" t="s">
        <v>153</v>
      </c>
      <c r="AB82" s="24" t="s">
        <v>153</v>
      </c>
      <c r="AC82" s="23" t="s">
        <v>153</v>
      </c>
      <c r="AD82" s="23" t="s">
        <v>153</v>
      </c>
      <c r="AE82" s="23" t="s">
        <v>153</v>
      </c>
      <c r="AF82" s="23" t="s">
        <v>153</v>
      </c>
      <c r="AG82" s="23" t="s">
        <v>153</v>
      </c>
      <c r="AH82" s="23" t="s">
        <v>153</v>
      </c>
      <c r="AI82" s="24" t="s">
        <v>153</v>
      </c>
      <c r="AJ82" s="23" t="s">
        <v>153</v>
      </c>
      <c r="AK82" s="23" t="s">
        <v>153</v>
      </c>
      <c r="AL82" s="23" t="s">
        <v>153</v>
      </c>
      <c r="AM82" s="24" t="s">
        <v>156</v>
      </c>
      <c r="AN82" s="24" t="s">
        <v>156</v>
      </c>
      <c r="AO82" s="24" t="s">
        <v>156</v>
      </c>
      <c r="AP82" s="23">
        <f>VALUE(56)</f>
        <v>56</v>
      </c>
      <c r="AQ82" s="23">
        <f>VALUE(0)</f>
        <v>0</v>
      </c>
      <c r="AR82" s="23">
        <f>VALUE(0)</f>
        <v>0</v>
      </c>
      <c r="AS82" s="23">
        <f>VALUE(0)</f>
        <v>0</v>
      </c>
      <c r="AT82" s="23">
        <f>VALUE(0)</f>
        <v>0</v>
      </c>
      <c r="AU82" s="23">
        <f>VALUE(0)</f>
        <v>0</v>
      </c>
      <c r="AV82" s="23">
        <f>VALUE(7)</f>
        <v>7</v>
      </c>
      <c r="AW82" s="23">
        <f>VALUE(0)</f>
        <v>0</v>
      </c>
      <c r="AX82" s="23" t="s">
        <v>1193</v>
      </c>
      <c r="AY82" s="23" t="s">
        <v>301</v>
      </c>
      <c r="AZ82" s="23">
        <f>VALUE(0)</f>
        <v>0</v>
      </c>
      <c r="BA82" s="23">
        <f>VALUE(0)</f>
        <v>0</v>
      </c>
      <c r="BB82" s="23">
        <f>VALUE(0)</f>
        <v>0</v>
      </c>
      <c r="BC82" s="23">
        <f>VALUE(0)</f>
        <v>0</v>
      </c>
      <c r="BD82" s="23">
        <f>VALUE(0)</f>
        <v>0</v>
      </c>
      <c r="BE82" s="23">
        <f>VALUE(0)</f>
        <v>0</v>
      </c>
      <c r="BF82" s="23">
        <f>VALUE(0)</f>
        <v>0</v>
      </c>
      <c r="BG82" s="23">
        <f>VALUE(0)</f>
        <v>0</v>
      </c>
      <c r="BH82" s="23">
        <f>VALUE(0)</f>
        <v>0</v>
      </c>
      <c r="BI82" s="23">
        <f>VALUE(0)</f>
        <v>0</v>
      </c>
      <c r="BJ82" s="23">
        <f>VALUE(0)</f>
        <v>0</v>
      </c>
      <c r="BK82" s="12">
        <f>$AX$82*24</f>
        <v>4.5</v>
      </c>
      <c r="BL82" s="12">
        <f>$AY$82*24</f>
        <v>25.216666666666665</v>
      </c>
      <c r="BM82" s="12">
        <f>$BJ$82*24</f>
        <v>0</v>
      </c>
      <c r="BN82" s="12">
        <f>VALUE($I$82)/100</f>
        <v>1</v>
      </c>
      <c r="BO82" s="12">
        <v>0</v>
      </c>
      <c r="BP82" s="12">
        <v>0</v>
      </c>
      <c r="BQ82" s="12">
        <v>0</v>
      </c>
      <c r="BR82" s="12">
        <v>0</v>
      </c>
      <c r="BS82" s="12">
        <v>0</v>
      </c>
      <c r="BT82" s="12">
        <v>0</v>
      </c>
      <c r="BU82" s="12">
        <v>0</v>
      </c>
      <c r="BV82" s="12">
        <v>0</v>
      </c>
      <c r="BW82" s="12">
        <v>0</v>
      </c>
      <c r="BX82" s="12">
        <v>0</v>
      </c>
      <c r="BY82" s="12">
        <v>0</v>
      </c>
      <c r="BZ82" s="12">
        <v>0</v>
      </c>
      <c r="CA82" s="12">
        <v>0</v>
      </c>
    </row>
    <row r="83" spans="1:79" hidden="1" x14ac:dyDescent="0.2">
      <c r="A83" s="12" t="s">
        <v>102</v>
      </c>
      <c r="B83" s="12" t="s">
        <v>110</v>
      </c>
      <c r="C83" s="12" t="s">
        <v>110</v>
      </c>
      <c r="D83" s="22" t="s">
        <v>302</v>
      </c>
      <c r="E83" s="22" t="s">
        <v>159</v>
      </c>
      <c r="F83" s="22" t="s">
        <v>303</v>
      </c>
      <c r="G83" s="22" t="s">
        <v>304</v>
      </c>
      <c r="H83" s="22" t="s">
        <v>150</v>
      </c>
      <c r="I83" s="22" t="s">
        <v>151</v>
      </c>
      <c r="J83" s="22" t="s">
        <v>162</v>
      </c>
      <c r="K83" s="22" t="s">
        <v>71</v>
      </c>
      <c r="L83" s="54" t="s">
        <v>153</v>
      </c>
      <c r="M83" s="23" t="s">
        <v>288</v>
      </c>
      <c r="N83" s="24" t="s">
        <v>153</v>
      </c>
      <c r="O83" s="23" t="s">
        <v>287</v>
      </c>
      <c r="P83" s="23" t="s">
        <v>287</v>
      </c>
      <c r="Q83" s="23" t="s">
        <v>287</v>
      </c>
      <c r="R83" s="23" t="s">
        <v>291</v>
      </c>
      <c r="S83" s="23" t="s">
        <v>291</v>
      </c>
      <c r="T83" s="23" t="s">
        <v>305</v>
      </c>
      <c r="U83" s="24" t="s">
        <v>153</v>
      </c>
      <c r="V83" s="54" t="s">
        <v>153</v>
      </c>
      <c r="W83" s="23" t="s">
        <v>293</v>
      </c>
      <c r="X83" s="23" t="s">
        <v>293</v>
      </c>
      <c r="Y83" s="23" t="s">
        <v>293</v>
      </c>
      <c r="Z83" s="23" t="s">
        <v>293</v>
      </c>
      <c r="AA83" s="23" t="s">
        <v>293</v>
      </c>
      <c r="AB83" s="24" t="s">
        <v>153</v>
      </c>
      <c r="AC83" s="23" t="s">
        <v>296</v>
      </c>
      <c r="AD83" s="23" t="s">
        <v>296</v>
      </c>
      <c r="AE83" s="23" t="s">
        <v>296</v>
      </c>
      <c r="AF83" s="24" t="s">
        <v>156</v>
      </c>
      <c r="AG83" s="24" t="s">
        <v>156</v>
      </c>
      <c r="AH83" s="24" t="s">
        <v>156</v>
      </c>
      <c r="AI83" s="24" t="s">
        <v>153</v>
      </c>
      <c r="AJ83" s="23" t="s">
        <v>287</v>
      </c>
      <c r="AK83" s="23" t="s">
        <v>287</v>
      </c>
      <c r="AL83" s="23" t="s">
        <v>287</v>
      </c>
      <c r="AM83" s="23" t="s">
        <v>300</v>
      </c>
      <c r="AN83" s="23" t="s">
        <v>300</v>
      </c>
      <c r="AO83" s="23" t="s">
        <v>300</v>
      </c>
      <c r="AP83" s="23">
        <f>VALUE(51)</f>
        <v>51</v>
      </c>
      <c r="AQ83" s="23">
        <f>VALUE(0)</f>
        <v>0</v>
      </c>
      <c r="AR83" s="23">
        <f>VALUE(0)</f>
        <v>0</v>
      </c>
      <c r="AS83" s="23">
        <f>VALUE(0)</f>
        <v>0</v>
      </c>
      <c r="AT83" s="23">
        <f>VALUE(0)</f>
        <v>0</v>
      </c>
      <c r="AU83" s="23">
        <f>VALUE(0)</f>
        <v>0</v>
      </c>
      <c r="AV83" s="23">
        <f>VALUE(2)</f>
        <v>2</v>
      </c>
      <c r="AW83" s="23">
        <f>VALUE(0)</f>
        <v>0</v>
      </c>
      <c r="AX83" s="23" t="s">
        <v>1193</v>
      </c>
      <c r="AY83" s="23" t="s">
        <v>306</v>
      </c>
      <c r="AZ83" s="23">
        <f>VALUE(0)</f>
        <v>0</v>
      </c>
      <c r="BA83" s="23">
        <f>VALUE(0)</f>
        <v>0</v>
      </c>
      <c r="BB83" s="23">
        <f>VALUE(0)</f>
        <v>0</v>
      </c>
      <c r="BC83" s="23">
        <f>VALUE(0)</f>
        <v>0</v>
      </c>
      <c r="BD83" s="23">
        <f>VALUE(0)</f>
        <v>0</v>
      </c>
      <c r="BE83" s="23">
        <f>VALUE(0)</f>
        <v>0</v>
      </c>
      <c r="BF83" s="23">
        <f>VALUE(0)</f>
        <v>0</v>
      </c>
      <c r="BG83" s="23">
        <f>VALUE(0)</f>
        <v>0</v>
      </c>
      <c r="BH83" s="23">
        <f>VALUE(0)</f>
        <v>0</v>
      </c>
      <c r="BI83" s="23">
        <f>VALUE(0)</f>
        <v>0</v>
      </c>
      <c r="BJ83" s="23">
        <f>VALUE(0)</f>
        <v>0</v>
      </c>
      <c r="BK83" s="12">
        <f>$AX$83*24</f>
        <v>4.5</v>
      </c>
      <c r="BL83" s="12">
        <f>$AY$83*24</f>
        <v>6.5499999999999989</v>
      </c>
      <c r="BM83" s="12">
        <f>$BJ$83*24</f>
        <v>0</v>
      </c>
      <c r="BN83" s="12">
        <f>VALUE($I$83)/100</f>
        <v>1</v>
      </c>
      <c r="BO83" s="12">
        <v>0</v>
      </c>
      <c r="BP83" s="12">
        <v>0</v>
      </c>
      <c r="BQ83" s="12">
        <v>0</v>
      </c>
      <c r="BR83" s="12">
        <v>0</v>
      </c>
      <c r="BS83" s="12">
        <v>0</v>
      </c>
      <c r="BT83" s="12">
        <v>0</v>
      </c>
      <c r="BU83" s="12">
        <v>0</v>
      </c>
      <c r="BV83" s="12">
        <v>0</v>
      </c>
      <c r="BW83" s="12">
        <v>0</v>
      </c>
      <c r="BX83" s="12">
        <v>0</v>
      </c>
      <c r="BY83" s="12">
        <v>0</v>
      </c>
      <c r="BZ83" s="12">
        <v>0</v>
      </c>
      <c r="CA83" s="12">
        <v>0</v>
      </c>
    </row>
    <row r="84" spans="1:79" hidden="1" x14ac:dyDescent="0.2">
      <c r="A84" s="12" t="s">
        <v>102</v>
      </c>
      <c r="B84" s="12" t="s">
        <v>110</v>
      </c>
      <c r="C84" s="12" t="s">
        <v>110</v>
      </c>
      <c r="D84" s="22" t="s">
        <v>307</v>
      </c>
      <c r="E84" s="22" t="s">
        <v>173</v>
      </c>
      <c r="F84" s="22" t="s">
        <v>723</v>
      </c>
      <c r="G84" s="22" t="s">
        <v>724</v>
      </c>
      <c r="H84" s="22" t="s">
        <v>150</v>
      </c>
      <c r="I84" s="22" t="s">
        <v>151</v>
      </c>
      <c r="J84" s="22" t="s">
        <v>162</v>
      </c>
      <c r="K84" s="22" t="s">
        <v>71</v>
      </c>
      <c r="L84" s="54" t="s">
        <v>153</v>
      </c>
      <c r="M84" s="23" t="s">
        <v>293</v>
      </c>
      <c r="N84" s="24" t="s">
        <v>153</v>
      </c>
      <c r="O84" s="23" t="s">
        <v>293</v>
      </c>
      <c r="P84" s="23" t="s">
        <v>293</v>
      </c>
      <c r="Q84" s="23" t="s">
        <v>293</v>
      </c>
      <c r="R84" s="23" t="s">
        <v>293</v>
      </c>
      <c r="S84" s="23" t="s">
        <v>293</v>
      </c>
      <c r="T84" s="23" t="s">
        <v>293</v>
      </c>
      <c r="U84" s="24" t="s">
        <v>153</v>
      </c>
      <c r="V84" s="54" t="s">
        <v>153</v>
      </c>
      <c r="W84" s="23" t="s">
        <v>298</v>
      </c>
      <c r="X84" s="23" t="s">
        <v>298</v>
      </c>
      <c r="Y84" s="23" t="s">
        <v>296</v>
      </c>
      <c r="Z84" s="23" t="s">
        <v>296</v>
      </c>
      <c r="AA84" s="23" t="s">
        <v>296</v>
      </c>
      <c r="AB84" s="24" t="s">
        <v>153</v>
      </c>
      <c r="AC84" s="24" t="s">
        <v>156</v>
      </c>
      <c r="AD84" s="24" t="s">
        <v>156</v>
      </c>
      <c r="AE84" s="24" t="s">
        <v>156</v>
      </c>
      <c r="AF84" s="23" t="s">
        <v>291</v>
      </c>
      <c r="AG84" s="23" t="s">
        <v>291</v>
      </c>
      <c r="AH84" s="23" t="s">
        <v>291</v>
      </c>
      <c r="AI84" s="24" t="s">
        <v>153</v>
      </c>
      <c r="AJ84" s="23" t="s">
        <v>291</v>
      </c>
      <c r="AK84" s="23" t="s">
        <v>291</v>
      </c>
      <c r="AL84" s="23" t="s">
        <v>291</v>
      </c>
      <c r="AM84" s="23" t="s">
        <v>291</v>
      </c>
      <c r="AN84" s="23" t="s">
        <v>291</v>
      </c>
      <c r="AO84" s="23" t="s">
        <v>291</v>
      </c>
      <c r="AP84" s="23">
        <f>VALUE(54)</f>
        <v>54</v>
      </c>
      <c r="AQ84" s="23">
        <f>VALUE(0)</f>
        <v>0</v>
      </c>
      <c r="AR84" s="23">
        <f>VALUE(0)</f>
        <v>0</v>
      </c>
      <c r="AS84" s="23">
        <f>VALUE(0)</f>
        <v>0</v>
      </c>
      <c r="AT84" s="23">
        <f>VALUE(0)</f>
        <v>0</v>
      </c>
      <c r="AU84" s="23">
        <f>VALUE(0)</f>
        <v>0</v>
      </c>
      <c r="AV84" s="23">
        <f>VALUE(4)</f>
        <v>4</v>
      </c>
      <c r="AW84" s="23">
        <f>VALUE(0)</f>
        <v>0</v>
      </c>
      <c r="AX84" s="23" t="s">
        <v>171</v>
      </c>
      <c r="AY84" s="23" t="s">
        <v>308</v>
      </c>
      <c r="AZ84" s="23">
        <f>VALUE(0)</f>
        <v>0</v>
      </c>
      <c r="BA84" s="23">
        <f>VALUE(0)</f>
        <v>0</v>
      </c>
      <c r="BB84" s="23">
        <f>VALUE(0)</f>
        <v>0</v>
      </c>
      <c r="BC84" s="23">
        <f>VALUE(0)</f>
        <v>0</v>
      </c>
      <c r="BD84" s="23">
        <f>VALUE(0)</f>
        <v>0</v>
      </c>
      <c r="BE84" s="23">
        <f>VALUE(0)</f>
        <v>0</v>
      </c>
      <c r="BF84" s="23">
        <f>VALUE(0)</f>
        <v>0</v>
      </c>
      <c r="BG84" s="23">
        <f>VALUE(0)</f>
        <v>0</v>
      </c>
      <c r="BH84" s="23">
        <f>VALUE(0)</f>
        <v>0</v>
      </c>
      <c r="BI84" s="23">
        <f>VALUE(0)</f>
        <v>0</v>
      </c>
      <c r="BJ84" s="23">
        <f>VALUE(0)</f>
        <v>0</v>
      </c>
      <c r="BK84" s="12">
        <f>$AX$84*24</f>
        <v>5.833333333333333</v>
      </c>
      <c r="BL84" s="12">
        <f>$AY$84*24</f>
        <v>3.7833333333333332</v>
      </c>
      <c r="BM84" s="12">
        <f>$BJ$84*24</f>
        <v>0</v>
      </c>
      <c r="BN84" s="12">
        <f>VALUE($I$84)/100</f>
        <v>1</v>
      </c>
      <c r="BO84" s="12">
        <v>0</v>
      </c>
      <c r="BP84" s="12">
        <v>0</v>
      </c>
      <c r="BQ84" s="12">
        <v>0</v>
      </c>
      <c r="BR84" s="12">
        <v>0</v>
      </c>
      <c r="BS84" s="12">
        <v>0</v>
      </c>
      <c r="BT84" s="12">
        <v>0</v>
      </c>
      <c r="BU84" s="12">
        <v>0</v>
      </c>
      <c r="BV84" s="12">
        <v>0</v>
      </c>
      <c r="BW84" s="12">
        <v>0</v>
      </c>
      <c r="BX84" s="12">
        <v>0</v>
      </c>
      <c r="BY84" s="12">
        <v>0</v>
      </c>
      <c r="BZ84" s="12">
        <v>0</v>
      </c>
      <c r="CA84" s="12">
        <v>0</v>
      </c>
    </row>
    <row r="85" spans="1:79" ht="15" hidden="1" x14ac:dyDescent="0.25">
      <c r="A85" s="12" t="s">
        <v>102</v>
      </c>
      <c r="B85" s="12" t="s">
        <v>110</v>
      </c>
      <c r="C85" s="12" t="s">
        <v>110</v>
      </c>
      <c r="D85" s="31" t="s">
        <v>582</v>
      </c>
      <c r="E85" s="31" t="s">
        <v>153</v>
      </c>
      <c r="F85" s="31" t="s">
        <v>175</v>
      </c>
      <c r="G85" s="31" t="s">
        <v>153</v>
      </c>
      <c r="H85" s="31" t="s">
        <v>153</v>
      </c>
      <c r="I85" s="31" t="s">
        <v>153</v>
      </c>
      <c r="J85" s="31" t="s">
        <v>153</v>
      </c>
      <c r="K85" s="31" t="s">
        <v>153</v>
      </c>
      <c r="L85" s="31">
        <f>VALUE(0)</f>
        <v>0</v>
      </c>
      <c r="M85" s="31">
        <f>VALUE(7)</f>
        <v>7</v>
      </c>
      <c r="N85" s="31">
        <f>VALUE(0)</f>
        <v>0</v>
      </c>
      <c r="O85" s="31">
        <f>VALUE(8)</f>
        <v>8</v>
      </c>
      <c r="P85" s="31">
        <f>VALUE(8)</f>
        <v>8</v>
      </c>
      <c r="Q85" s="31">
        <f>VALUE(8)</f>
        <v>8</v>
      </c>
      <c r="R85" s="31">
        <f>VALUE(7)</f>
        <v>7</v>
      </c>
      <c r="S85" s="31">
        <f>VALUE(7)</f>
        <v>7</v>
      </c>
      <c r="T85" s="31">
        <f>VALUE(8)</f>
        <v>8</v>
      </c>
      <c r="U85" s="31">
        <f>VALUE(0)</f>
        <v>0</v>
      </c>
      <c r="V85" s="31">
        <f>VALUE(0)</f>
        <v>0</v>
      </c>
      <c r="W85" s="31">
        <f>VALUE(8)</f>
        <v>8</v>
      </c>
      <c r="X85" s="31">
        <f>VALUE(8)</f>
        <v>8</v>
      </c>
      <c r="Y85" s="31">
        <f>VALUE(7)</f>
        <v>7</v>
      </c>
      <c r="Z85" s="31">
        <f>VALUE(7)</f>
        <v>7</v>
      </c>
      <c r="AA85" s="31">
        <f>VALUE(8)</f>
        <v>8</v>
      </c>
      <c r="AB85" s="31">
        <f>VALUE(0)</f>
        <v>0</v>
      </c>
      <c r="AC85" s="31">
        <f>VALUE(8)</f>
        <v>8</v>
      </c>
      <c r="AD85" s="31">
        <f>VALUE(8)</f>
        <v>8</v>
      </c>
      <c r="AE85" s="31">
        <f>VALUE(8)</f>
        <v>8</v>
      </c>
      <c r="AF85" s="31">
        <f>VALUE(8)</f>
        <v>8</v>
      </c>
      <c r="AG85" s="31">
        <f>VALUE(8)</f>
        <v>8</v>
      </c>
      <c r="AH85" s="31">
        <f>VALUE(8)</f>
        <v>8</v>
      </c>
      <c r="AI85" s="31">
        <f>VALUE(0)</f>
        <v>0</v>
      </c>
      <c r="AJ85" s="31">
        <f>VALUE(8)</f>
        <v>8</v>
      </c>
      <c r="AK85" s="31">
        <f>VALUE(8)</f>
        <v>8</v>
      </c>
      <c r="AL85" s="31">
        <f>VALUE(8)</f>
        <v>8</v>
      </c>
      <c r="AM85" s="31">
        <f>VALUE(7)</f>
        <v>7</v>
      </c>
      <c r="AN85" s="31">
        <f>VALUE(7)</f>
        <v>7</v>
      </c>
      <c r="AO85" s="31">
        <f>VALUE(7)</f>
        <v>7</v>
      </c>
      <c r="AP85" s="31">
        <v>0</v>
      </c>
      <c r="AQ85" s="31">
        <v>0</v>
      </c>
      <c r="AR85" s="31">
        <v>0</v>
      </c>
      <c r="AS85" s="31">
        <v>0</v>
      </c>
      <c r="AT85" s="31">
        <v>0</v>
      </c>
      <c r="AU85" s="31">
        <v>0</v>
      </c>
      <c r="AV85" s="31">
        <v>0</v>
      </c>
      <c r="AW85" s="31">
        <v>0</v>
      </c>
      <c r="AX85" s="31">
        <v>0</v>
      </c>
      <c r="AY85" s="31">
        <v>0</v>
      </c>
      <c r="AZ85" s="31">
        <v>0</v>
      </c>
      <c r="BA85" s="31">
        <v>0</v>
      </c>
      <c r="BB85" s="31">
        <v>0</v>
      </c>
      <c r="BC85" s="31">
        <v>0</v>
      </c>
      <c r="BD85" s="31">
        <v>0</v>
      </c>
      <c r="BE85" s="31">
        <v>0</v>
      </c>
      <c r="BF85" s="31">
        <v>0</v>
      </c>
      <c r="BG85" s="31">
        <v>0</v>
      </c>
      <c r="BH85" s="31">
        <v>0</v>
      </c>
      <c r="BI85" s="31">
        <v>0</v>
      </c>
      <c r="BJ85" s="31">
        <v>0</v>
      </c>
      <c r="BK85" s="12">
        <v>0</v>
      </c>
      <c r="BL85" s="12">
        <v>0</v>
      </c>
      <c r="BM85" s="12">
        <v>0</v>
      </c>
      <c r="BN85" s="12"/>
      <c r="BO85" s="12">
        <v>0</v>
      </c>
      <c r="BP85" s="12">
        <v>0</v>
      </c>
      <c r="BQ85" s="12">
        <v>0</v>
      </c>
      <c r="BR85" s="12">
        <v>0</v>
      </c>
      <c r="BS85" s="12">
        <v>0</v>
      </c>
      <c r="BT85" s="12">
        <v>0</v>
      </c>
      <c r="BU85" s="12">
        <v>0</v>
      </c>
      <c r="BV85" s="12">
        <v>0</v>
      </c>
      <c r="BW85" s="12">
        <v>0</v>
      </c>
      <c r="BX85" s="12">
        <v>0</v>
      </c>
      <c r="BY85" s="12">
        <v>0</v>
      </c>
      <c r="BZ85" s="12">
        <v>0</v>
      </c>
      <c r="CA85" s="12">
        <v>0</v>
      </c>
    </row>
    <row r="86" spans="1:79" hidden="1" x14ac:dyDescent="0.2">
      <c r="A86" s="12" t="s">
        <v>102</v>
      </c>
      <c r="B86" s="12" t="s">
        <v>111</v>
      </c>
      <c r="C86" s="12" t="s">
        <v>111</v>
      </c>
      <c r="D86" s="22" t="s">
        <v>310</v>
      </c>
      <c r="E86" s="22" t="s">
        <v>159</v>
      </c>
      <c r="F86" s="22" t="s">
        <v>725</v>
      </c>
      <c r="G86" s="22" t="s">
        <v>726</v>
      </c>
      <c r="H86" s="22" t="s">
        <v>166</v>
      </c>
      <c r="I86" s="22" t="s">
        <v>151</v>
      </c>
      <c r="J86" s="22" t="s">
        <v>311</v>
      </c>
      <c r="K86" s="22" t="s">
        <v>72</v>
      </c>
      <c r="L86" s="54" t="s">
        <v>153</v>
      </c>
      <c r="M86" s="23" t="s">
        <v>153</v>
      </c>
      <c r="N86" s="24" t="s">
        <v>153</v>
      </c>
      <c r="O86" s="23" t="s">
        <v>153</v>
      </c>
      <c r="P86" s="23" t="s">
        <v>153</v>
      </c>
      <c r="Q86" s="29" t="s">
        <v>218</v>
      </c>
      <c r="R86" s="23" t="s">
        <v>153</v>
      </c>
      <c r="S86" s="23" t="s">
        <v>153</v>
      </c>
      <c r="T86" s="23" t="s">
        <v>153</v>
      </c>
      <c r="U86" s="24" t="s">
        <v>153</v>
      </c>
      <c r="V86" s="54" t="s">
        <v>153</v>
      </c>
      <c r="W86" s="23" t="s">
        <v>313</v>
      </c>
      <c r="X86" s="23" t="s">
        <v>313</v>
      </c>
      <c r="Y86" s="23" t="s">
        <v>313</v>
      </c>
      <c r="Z86" s="23" t="s">
        <v>313</v>
      </c>
      <c r="AA86" s="23" t="s">
        <v>313</v>
      </c>
      <c r="AB86" s="24" t="s">
        <v>153</v>
      </c>
      <c r="AC86" s="23" t="s">
        <v>153</v>
      </c>
      <c r="AD86" s="23" t="s">
        <v>153</v>
      </c>
      <c r="AE86" s="29" t="s">
        <v>218</v>
      </c>
      <c r="AF86" s="23" t="s">
        <v>153</v>
      </c>
      <c r="AG86" s="23" t="s">
        <v>153</v>
      </c>
      <c r="AH86" s="23" t="s">
        <v>153</v>
      </c>
      <c r="AI86" s="24" t="s">
        <v>153</v>
      </c>
      <c r="AJ86" s="23" t="s">
        <v>314</v>
      </c>
      <c r="AK86" s="23" t="s">
        <v>314</v>
      </c>
      <c r="AL86" s="23" t="s">
        <v>314</v>
      </c>
      <c r="AM86" s="23" t="s">
        <v>314</v>
      </c>
      <c r="AN86" s="23" t="s">
        <v>314</v>
      </c>
      <c r="AO86" s="23" t="s">
        <v>153</v>
      </c>
      <c r="AP86" s="23">
        <f>VALUE(0)</f>
        <v>0</v>
      </c>
      <c r="AQ86" s="23">
        <f>VALUE(0)</f>
        <v>0</v>
      </c>
      <c r="AR86" s="23">
        <f>VALUE(2)</f>
        <v>2</v>
      </c>
      <c r="AS86" s="23">
        <f>VALUE(12)</f>
        <v>12</v>
      </c>
      <c r="AT86" s="23">
        <f>VALUE(0)</f>
        <v>0</v>
      </c>
      <c r="AU86" s="23">
        <f>VALUE(0)</f>
        <v>0</v>
      </c>
      <c r="AV86" s="23">
        <f>VALUE(2)</f>
        <v>2</v>
      </c>
      <c r="AW86" s="23">
        <f>VALUE(0)</f>
        <v>0</v>
      </c>
      <c r="AX86" s="23" t="s">
        <v>1194</v>
      </c>
      <c r="AY86" s="23">
        <f>VALUE(0)</f>
        <v>0</v>
      </c>
      <c r="AZ86" s="23">
        <f>VALUE(0)</f>
        <v>0</v>
      </c>
      <c r="BA86" s="23">
        <f>VALUE(0)</f>
        <v>0</v>
      </c>
      <c r="BB86" s="23">
        <f>VALUE(0)</f>
        <v>0</v>
      </c>
      <c r="BC86" s="23">
        <f>VALUE(0)</f>
        <v>0</v>
      </c>
      <c r="BD86" s="23">
        <f>VALUE(0)</f>
        <v>0</v>
      </c>
      <c r="BE86" s="23">
        <f>VALUE(0)</f>
        <v>0</v>
      </c>
      <c r="BF86" s="23">
        <f>VALUE(0)</f>
        <v>0</v>
      </c>
      <c r="BG86" s="23">
        <f>VALUE(0)</f>
        <v>0</v>
      </c>
      <c r="BH86" s="23">
        <f>VALUE(0)</f>
        <v>0</v>
      </c>
      <c r="BI86" s="23">
        <f>VALUE(0)</f>
        <v>0</v>
      </c>
      <c r="BJ86" s="23">
        <f>VALUE(0)</f>
        <v>0</v>
      </c>
      <c r="BK86" s="12">
        <f>$AX$86*24</f>
        <v>20.666666666666668</v>
      </c>
      <c r="BL86" s="12">
        <f>$AY$86*24</f>
        <v>0</v>
      </c>
      <c r="BM86" s="12">
        <f>$BJ$86*24</f>
        <v>0</v>
      </c>
      <c r="BN86" s="12">
        <f>VALUE($I$86)/100</f>
        <v>1</v>
      </c>
      <c r="BO86" s="12">
        <v>0</v>
      </c>
      <c r="BP86" s="12">
        <v>0</v>
      </c>
      <c r="BQ86" s="12">
        <v>0</v>
      </c>
      <c r="BR86" s="12">
        <v>0</v>
      </c>
      <c r="BS86" s="12">
        <v>2</v>
      </c>
      <c r="BT86" s="12">
        <v>0</v>
      </c>
      <c r="BU86" s="12">
        <v>0</v>
      </c>
      <c r="BV86" s="12">
        <v>0</v>
      </c>
      <c r="BW86" s="12">
        <v>0</v>
      </c>
      <c r="BX86" s="12">
        <v>0</v>
      </c>
      <c r="BY86" s="12">
        <v>0</v>
      </c>
      <c r="BZ86" s="12">
        <v>0</v>
      </c>
      <c r="CA86" s="12">
        <v>0</v>
      </c>
    </row>
    <row r="87" spans="1:79" hidden="1" x14ac:dyDescent="0.2">
      <c r="A87" s="12" t="s">
        <v>102</v>
      </c>
      <c r="B87" s="12" t="s">
        <v>111</v>
      </c>
      <c r="C87" s="12" t="s">
        <v>111</v>
      </c>
      <c r="D87" s="22" t="s">
        <v>313</v>
      </c>
      <c r="E87" s="22" t="s">
        <v>161</v>
      </c>
      <c r="F87" s="22" t="s">
        <v>727</v>
      </c>
      <c r="G87" s="22" t="s">
        <v>728</v>
      </c>
      <c r="H87" s="22" t="s">
        <v>166</v>
      </c>
      <c r="I87" s="22" t="s">
        <v>151</v>
      </c>
      <c r="J87" s="22" t="s">
        <v>311</v>
      </c>
      <c r="K87" s="22" t="s">
        <v>72</v>
      </c>
      <c r="L87" s="54" t="s">
        <v>153</v>
      </c>
      <c r="M87" s="23" t="s">
        <v>153</v>
      </c>
      <c r="N87" s="24" t="s">
        <v>153</v>
      </c>
      <c r="O87" s="23" t="s">
        <v>153</v>
      </c>
      <c r="P87" s="23" t="s">
        <v>153</v>
      </c>
      <c r="Q87" s="23" t="s">
        <v>153</v>
      </c>
      <c r="R87" s="23" t="s">
        <v>153</v>
      </c>
      <c r="S87" s="23" t="s">
        <v>153</v>
      </c>
      <c r="T87" s="24" t="s">
        <v>156</v>
      </c>
      <c r="U87" s="24" t="s">
        <v>153</v>
      </c>
      <c r="V87" s="54" t="s">
        <v>153</v>
      </c>
      <c r="W87" s="28" t="s">
        <v>163</v>
      </c>
      <c r="X87" s="28" t="s">
        <v>163</v>
      </c>
      <c r="Y87" s="28" t="s">
        <v>163</v>
      </c>
      <c r="Z87" s="28" t="s">
        <v>163</v>
      </c>
      <c r="AA87" s="28" t="s">
        <v>163</v>
      </c>
      <c r="AB87" s="24" t="s">
        <v>153</v>
      </c>
      <c r="AC87" s="23" t="s">
        <v>153</v>
      </c>
      <c r="AD87" s="23" t="s">
        <v>153</v>
      </c>
      <c r="AE87" s="23" t="s">
        <v>153</v>
      </c>
      <c r="AF87" s="23" t="s">
        <v>153</v>
      </c>
      <c r="AG87" s="23" t="s">
        <v>153</v>
      </c>
      <c r="AH87" s="24" t="s">
        <v>156</v>
      </c>
      <c r="AI87" s="24" t="s">
        <v>153</v>
      </c>
      <c r="AJ87" s="23" t="s">
        <v>153</v>
      </c>
      <c r="AK87" s="23" t="s">
        <v>153</v>
      </c>
      <c r="AL87" s="23" t="s">
        <v>153</v>
      </c>
      <c r="AM87" s="23" t="s">
        <v>153</v>
      </c>
      <c r="AN87" s="23" t="s">
        <v>153</v>
      </c>
      <c r="AO87" s="23" t="s">
        <v>153</v>
      </c>
      <c r="AP87" s="23">
        <f>VALUE(0)</f>
        <v>0</v>
      </c>
      <c r="AQ87" s="23">
        <f>VALUE(0)</f>
        <v>0</v>
      </c>
      <c r="AR87" s="23">
        <f>VALUE(0)</f>
        <v>0</v>
      </c>
      <c r="AS87" s="23">
        <f>VALUE(0)</f>
        <v>0</v>
      </c>
      <c r="AT87" s="23">
        <f>VALUE(0)</f>
        <v>0</v>
      </c>
      <c r="AU87" s="23">
        <f>VALUE(5)</f>
        <v>5</v>
      </c>
      <c r="AV87" s="23">
        <f>VALUE(2)</f>
        <v>2</v>
      </c>
      <c r="AW87" s="23">
        <f>VALUE(0)</f>
        <v>0</v>
      </c>
      <c r="AX87" s="23" t="s">
        <v>1195</v>
      </c>
      <c r="AY87" s="23">
        <f>VALUE(0)</f>
        <v>0</v>
      </c>
      <c r="AZ87" s="23">
        <f>VALUE(0)</f>
        <v>0</v>
      </c>
      <c r="BA87" s="23">
        <f>VALUE(0)</f>
        <v>0</v>
      </c>
      <c r="BB87" s="23">
        <f>VALUE(0)</f>
        <v>0</v>
      </c>
      <c r="BC87" s="23">
        <f>VALUE(0)</f>
        <v>0</v>
      </c>
      <c r="BD87" s="23">
        <f>VALUE(0)</f>
        <v>0</v>
      </c>
      <c r="BE87" s="23">
        <f>VALUE(0)</f>
        <v>0</v>
      </c>
      <c r="BF87" s="23">
        <f>VALUE(0)</f>
        <v>0</v>
      </c>
      <c r="BG87" s="23">
        <f>VALUE(0)</f>
        <v>0</v>
      </c>
      <c r="BH87" s="23">
        <f>VALUE(0)</f>
        <v>0</v>
      </c>
      <c r="BI87" s="23">
        <f>VALUE(0)</f>
        <v>0</v>
      </c>
      <c r="BJ87" s="23">
        <f>VALUE(0)</f>
        <v>0</v>
      </c>
      <c r="BK87" s="12">
        <f>$AX$87*24</f>
        <v>11.783333333333333</v>
      </c>
      <c r="BL87" s="12">
        <f>$AY$87*24</f>
        <v>0</v>
      </c>
      <c r="BM87" s="12">
        <f>$BJ$87*24</f>
        <v>0</v>
      </c>
      <c r="BN87" s="12">
        <f>VALUE($I$87)/100</f>
        <v>1</v>
      </c>
      <c r="BO87" s="12">
        <v>0</v>
      </c>
      <c r="BP87" s="12">
        <v>0</v>
      </c>
      <c r="BQ87" s="12">
        <v>0</v>
      </c>
      <c r="BR87" s="12">
        <v>0</v>
      </c>
      <c r="BS87" s="12">
        <v>0</v>
      </c>
      <c r="BT87" s="12">
        <v>0</v>
      </c>
      <c r="BU87" s="12">
        <v>0</v>
      </c>
      <c r="BV87" s="12">
        <v>0</v>
      </c>
      <c r="BW87" s="12">
        <v>0</v>
      </c>
      <c r="BX87" s="12">
        <v>0</v>
      </c>
      <c r="BY87" s="12">
        <v>0</v>
      </c>
      <c r="BZ87" s="12">
        <v>0</v>
      </c>
      <c r="CA87" s="12">
        <v>0</v>
      </c>
    </row>
    <row r="88" spans="1:79" hidden="1" x14ac:dyDescent="0.2">
      <c r="A88" s="12" t="s">
        <v>102</v>
      </c>
      <c r="B88" s="12" t="s">
        <v>111</v>
      </c>
      <c r="C88" s="12" t="s">
        <v>111</v>
      </c>
      <c r="D88" s="22" t="s">
        <v>314</v>
      </c>
      <c r="E88" s="22" t="s">
        <v>161</v>
      </c>
      <c r="F88" s="22" t="s">
        <v>729</v>
      </c>
      <c r="G88" s="22" t="s">
        <v>730</v>
      </c>
      <c r="H88" s="22" t="s">
        <v>150</v>
      </c>
      <c r="I88" s="22" t="s">
        <v>151</v>
      </c>
      <c r="J88" s="22" t="s">
        <v>311</v>
      </c>
      <c r="K88" s="22" t="s">
        <v>72</v>
      </c>
      <c r="L88" s="54" t="s">
        <v>153</v>
      </c>
      <c r="M88" s="23" t="s">
        <v>153</v>
      </c>
      <c r="N88" s="24" t="s">
        <v>153</v>
      </c>
      <c r="O88" s="23" t="s">
        <v>153</v>
      </c>
      <c r="P88" s="23" t="s">
        <v>153</v>
      </c>
      <c r="Q88" s="23" t="s">
        <v>153</v>
      </c>
      <c r="R88" s="23" t="s">
        <v>153</v>
      </c>
      <c r="S88" s="23" t="s">
        <v>153</v>
      </c>
      <c r="T88" s="24" t="s">
        <v>156</v>
      </c>
      <c r="U88" s="24" t="s">
        <v>153</v>
      </c>
      <c r="V88" s="54" t="s">
        <v>153</v>
      </c>
      <c r="W88" s="23" t="s">
        <v>153</v>
      </c>
      <c r="X88" s="23" t="s">
        <v>153</v>
      </c>
      <c r="Y88" s="23" t="s">
        <v>153</v>
      </c>
      <c r="Z88" s="23" t="s">
        <v>153</v>
      </c>
      <c r="AA88" s="24" t="s">
        <v>156</v>
      </c>
      <c r="AB88" s="24" t="s">
        <v>153</v>
      </c>
      <c r="AC88" s="23" t="s">
        <v>153</v>
      </c>
      <c r="AD88" s="23" t="s">
        <v>153</v>
      </c>
      <c r="AE88" s="23" t="s">
        <v>153</v>
      </c>
      <c r="AF88" s="23" t="s">
        <v>153</v>
      </c>
      <c r="AG88" s="23" t="s">
        <v>153</v>
      </c>
      <c r="AH88" s="24" t="s">
        <v>156</v>
      </c>
      <c r="AI88" s="24" t="s">
        <v>153</v>
      </c>
      <c r="AJ88" s="29" t="s">
        <v>163</v>
      </c>
      <c r="AK88" s="29" t="s">
        <v>163</v>
      </c>
      <c r="AL88" s="29" t="s">
        <v>163</v>
      </c>
      <c r="AM88" s="29" t="s">
        <v>163</v>
      </c>
      <c r="AN88" s="29" t="s">
        <v>163</v>
      </c>
      <c r="AO88" s="23" t="s">
        <v>153</v>
      </c>
      <c r="AP88" s="23">
        <f>VALUE(0)</f>
        <v>0</v>
      </c>
      <c r="AQ88" s="23">
        <f>VALUE(0)</f>
        <v>0</v>
      </c>
      <c r="AR88" s="23">
        <f>VALUE(5)</f>
        <v>5</v>
      </c>
      <c r="AS88" s="23">
        <f>VALUE(0)</f>
        <v>0</v>
      </c>
      <c r="AT88" s="23">
        <f>VALUE(0)</f>
        <v>0</v>
      </c>
      <c r="AU88" s="23">
        <f>VALUE(0)</f>
        <v>0</v>
      </c>
      <c r="AV88" s="23">
        <f>VALUE(8)</f>
        <v>8</v>
      </c>
      <c r="AW88" s="23">
        <f>VALUE(0)</f>
        <v>0</v>
      </c>
      <c r="AX88" s="23" t="s">
        <v>171</v>
      </c>
      <c r="AY88" s="23" t="s">
        <v>315</v>
      </c>
      <c r="AZ88" s="23">
        <f>VALUE(0)</f>
        <v>0</v>
      </c>
      <c r="BA88" s="23">
        <f>VALUE(0)</f>
        <v>0</v>
      </c>
      <c r="BB88" s="23">
        <f>VALUE(0)</f>
        <v>0</v>
      </c>
      <c r="BC88" s="23">
        <f>VALUE(0)</f>
        <v>0</v>
      </c>
      <c r="BD88" s="23">
        <f>VALUE(0)</f>
        <v>0</v>
      </c>
      <c r="BE88" s="23">
        <f>VALUE(0)</f>
        <v>0</v>
      </c>
      <c r="BF88" s="23">
        <f>VALUE(0)</f>
        <v>0</v>
      </c>
      <c r="BG88" s="23">
        <f>VALUE(0)</f>
        <v>0</v>
      </c>
      <c r="BH88" s="23">
        <f>VALUE(0)</f>
        <v>0</v>
      </c>
      <c r="BI88" s="23">
        <f>VALUE(0)</f>
        <v>0</v>
      </c>
      <c r="BJ88" s="23">
        <f>VALUE(0)</f>
        <v>0</v>
      </c>
      <c r="BK88" s="12">
        <f>$AX$88*24</f>
        <v>5.833333333333333</v>
      </c>
      <c r="BL88" s="12">
        <f>$AY$88*24</f>
        <v>8.4666666666666668</v>
      </c>
      <c r="BM88" s="12">
        <f>$BJ$88*24</f>
        <v>0</v>
      </c>
      <c r="BN88" s="12">
        <f>VALUE($I$88)/100</f>
        <v>1</v>
      </c>
      <c r="BO88" s="12">
        <v>0</v>
      </c>
      <c r="BP88" s="12">
        <v>0</v>
      </c>
      <c r="BQ88" s="12">
        <v>0</v>
      </c>
      <c r="BR88" s="12">
        <v>0</v>
      </c>
      <c r="BS88" s="12">
        <v>0</v>
      </c>
      <c r="BT88" s="12">
        <v>5</v>
      </c>
      <c r="BU88" s="12">
        <v>0</v>
      </c>
      <c r="BV88" s="12">
        <v>0</v>
      </c>
      <c r="BW88" s="12">
        <v>0</v>
      </c>
      <c r="BX88" s="12">
        <v>0</v>
      </c>
      <c r="BY88" s="12">
        <v>0</v>
      </c>
      <c r="BZ88" s="12">
        <v>0</v>
      </c>
      <c r="CA88" s="12">
        <v>0</v>
      </c>
    </row>
    <row r="89" spans="1:79" ht="16.5" hidden="1" x14ac:dyDescent="0.2">
      <c r="A89" s="12" t="s">
        <v>102</v>
      </c>
      <c r="B89" s="12" t="s">
        <v>111</v>
      </c>
      <c r="C89" s="12" t="s">
        <v>111</v>
      </c>
      <c r="D89" s="22" t="s">
        <v>312</v>
      </c>
      <c r="E89" s="22" t="s">
        <v>161</v>
      </c>
      <c r="F89" s="22" t="s">
        <v>731</v>
      </c>
      <c r="G89" s="22" t="s">
        <v>732</v>
      </c>
      <c r="H89" s="22" t="s">
        <v>150</v>
      </c>
      <c r="I89" s="22" t="s">
        <v>151</v>
      </c>
      <c r="J89" s="22" t="s">
        <v>311</v>
      </c>
      <c r="K89" s="22" t="s">
        <v>72</v>
      </c>
      <c r="L89" s="54" t="s">
        <v>153</v>
      </c>
      <c r="M89" s="24" t="s">
        <v>156</v>
      </c>
      <c r="N89" s="24" t="s">
        <v>153</v>
      </c>
      <c r="O89" s="26" t="s">
        <v>316</v>
      </c>
      <c r="P89" s="26" t="s">
        <v>316</v>
      </c>
      <c r="Q89" s="26" t="s">
        <v>316</v>
      </c>
      <c r="R89" s="26" t="s">
        <v>316</v>
      </c>
      <c r="S89" s="26" t="s">
        <v>316</v>
      </c>
      <c r="T89" s="24" t="s">
        <v>156</v>
      </c>
      <c r="U89" s="24" t="s">
        <v>153</v>
      </c>
      <c r="V89" s="54" t="s">
        <v>153</v>
      </c>
      <c r="W89" s="26" t="s">
        <v>316</v>
      </c>
      <c r="X89" s="26" t="s">
        <v>316</v>
      </c>
      <c r="Y89" s="26" t="s">
        <v>316</v>
      </c>
      <c r="Z89" s="29" t="s">
        <v>218</v>
      </c>
      <c r="AA89" s="23" t="s">
        <v>153</v>
      </c>
      <c r="AB89" s="24" t="s">
        <v>153</v>
      </c>
      <c r="AC89" s="26" t="s">
        <v>316</v>
      </c>
      <c r="AD89" s="26" t="s">
        <v>316</v>
      </c>
      <c r="AE89" s="26" t="s">
        <v>316</v>
      </c>
      <c r="AF89" s="26" t="s">
        <v>316</v>
      </c>
      <c r="AG89" s="26" t="s">
        <v>316</v>
      </c>
      <c r="AH89" s="24" t="s">
        <v>156</v>
      </c>
      <c r="AI89" s="24" t="s">
        <v>153</v>
      </c>
      <c r="AJ89" s="26" t="s">
        <v>316</v>
      </c>
      <c r="AK89" s="26" t="s">
        <v>316</v>
      </c>
      <c r="AL89" s="26" t="s">
        <v>316</v>
      </c>
      <c r="AM89" s="26" t="s">
        <v>316</v>
      </c>
      <c r="AN89" s="26" t="s">
        <v>316</v>
      </c>
      <c r="AO89" s="24" t="s">
        <v>156</v>
      </c>
      <c r="AP89" s="23">
        <f>VALUE(0)</f>
        <v>0</v>
      </c>
      <c r="AQ89" s="23">
        <f>VALUE(0)</f>
        <v>0</v>
      </c>
      <c r="AR89" s="23">
        <f>VALUE(1)</f>
        <v>1</v>
      </c>
      <c r="AS89" s="23">
        <f>VALUE(0)</f>
        <v>0</v>
      </c>
      <c r="AT89" s="23">
        <f>VALUE(0)</f>
        <v>0</v>
      </c>
      <c r="AU89" s="23">
        <f>VALUE(0)</f>
        <v>0</v>
      </c>
      <c r="AV89" s="23">
        <f>VALUE(5)</f>
        <v>5</v>
      </c>
      <c r="AW89" s="23">
        <f>VALUE(0)</f>
        <v>0</v>
      </c>
      <c r="AX89" s="23" t="s">
        <v>317</v>
      </c>
      <c r="AY89" s="23" t="s">
        <v>318</v>
      </c>
      <c r="AZ89" s="23">
        <f>VALUE(0)</f>
        <v>0</v>
      </c>
      <c r="BA89" s="23">
        <f>VALUE(0)</f>
        <v>0</v>
      </c>
      <c r="BB89" s="23">
        <f>VALUE(0)</f>
        <v>0</v>
      </c>
      <c r="BC89" s="23">
        <f>VALUE(0)</f>
        <v>0</v>
      </c>
      <c r="BD89" s="23">
        <f>VALUE(0)</f>
        <v>0</v>
      </c>
      <c r="BE89" s="23">
        <f>VALUE(0)</f>
        <v>0</v>
      </c>
      <c r="BF89" s="23">
        <f>VALUE(0)</f>
        <v>0</v>
      </c>
      <c r="BG89" s="23">
        <f>VALUE(0)</f>
        <v>0</v>
      </c>
      <c r="BH89" s="23">
        <f>VALUE(0)</f>
        <v>0</v>
      </c>
      <c r="BI89" s="23">
        <f>VALUE(0)</f>
        <v>0</v>
      </c>
      <c r="BJ89" s="23">
        <f>VALUE(0)</f>
        <v>0</v>
      </c>
      <c r="BK89" s="12">
        <f>$AX$89*24</f>
        <v>1.0833333333333333</v>
      </c>
      <c r="BL89" s="12">
        <f>$AY$89*24</f>
        <v>4.0166666666666666</v>
      </c>
      <c r="BM89" s="12">
        <f>$BJ$89*24</f>
        <v>0</v>
      </c>
      <c r="BN89" s="12">
        <f>VALUE($I$89)/100</f>
        <v>1</v>
      </c>
      <c r="BO89" s="12">
        <v>0</v>
      </c>
      <c r="BP89" s="12">
        <v>0</v>
      </c>
      <c r="BQ89" s="12">
        <v>0</v>
      </c>
      <c r="BR89" s="12">
        <v>0</v>
      </c>
      <c r="BS89" s="12">
        <v>1</v>
      </c>
      <c r="BT89" s="12">
        <v>0</v>
      </c>
      <c r="BU89" s="12">
        <v>0</v>
      </c>
      <c r="BV89" s="12">
        <v>0</v>
      </c>
      <c r="BW89" s="12">
        <v>0</v>
      </c>
      <c r="BX89" s="12">
        <v>0</v>
      </c>
      <c r="BY89" s="12">
        <v>0</v>
      </c>
      <c r="BZ89" s="12">
        <v>0</v>
      </c>
      <c r="CA89" s="12">
        <v>0</v>
      </c>
    </row>
    <row r="90" spans="1:79" hidden="1" x14ac:dyDescent="0.2">
      <c r="A90" s="12" t="s">
        <v>102</v>
      </c>
      <c r="B90" s="12" t="s">
        <v>111</v>
      </c>
      <c r="C90" s="12" t="s">
        <v>111</v>
      </c>
      <c r="D90" s="22" t="s">
        <v>319</v>
      </c>
      <c r="E90" s="22" t="s">
        <v>161</v>
      </c>
      <c r="F90" s="22" t="s">
        <v>733</v>
      </c>
      <c r="G90" s="22" t="s">
        <v>734</v>
      </c>
      <c r="H90" s="22" t="s">
        <v>166</v>
      </c>
      <c r="I90" s="22" t="s">
        <v>151</v>
      </c>
      <c r="J90" s="22" t="s">
        <v>311</v>
      </c>
      <c r="K90" s="22" t="s">
        <v>72</v>
      </c>
      <c r="L90" s="54" t="s">
        <v>153</v>
      </c>
      <c r="M90" s="24" t="s">
        <v>156</v>
      </c>
      <c r="N90" s="24" t="s">
        <v>153</v>
      </c>
      <c r="O90" s="23" t="s">
        <v>153</v>
      </c>
      <c r="P90" s="23" t="s">
        <v>153</v>
      </c>
      <c r="Q90" s="23" t="s">
        <v>153</v>
      </c>
      <c r="R90" s="23" t="s">
        <v>153</v>
      </c>
      <c r="S90" s="23" t="s">
        <v>153</v>
      </c>
      <c r="T90" s="24" t="s">
        <v>156</v>
      </c>
      <c r="U90" s="24" t="s">
        <v>153</v>
      </c>
      <c r="V90" s="54" t="s">
        <v>153</v>
      </c>
      <c r="W90" s="23" t="s">
        <v>153</v>
      </c>
      <c r="X90" s="23" t="s">
        <v>153</v>
      </c>
      <c r="Y90" s="23" t="s">
        <v>153</v>
      </c>
      <c r="Z90" s="23" t="s">
        <v>153</v>
      </c>
      <c r="AA90" s="24" t="s">
        <v>156</v>
      </c>
      <c r="AB90" s="24" t="s">
        <v>153</v>
      </c>
      <c r="AC90" s="23" t="s">
        <v>153</v>
      </c>
      <c r="AD90" s="23" t="s">
        <v>153</v>
      </c>
      <c r="AE90" s="23" t="s">
        <v>153</v>
      </c>
      <c r="AF90" s="23" t="s">
        <v>153</v>
      </c>
      <c r="AG90" s="23" t="s">
        <v>153</v>
      </c>
      <c r="AH90" s="23" t="s">
        <v>153</v>
      </c>
      <c r="AI90" s="24" t="s">
        <v>153</v>
      </c>
      <c r="AJ90" s="23" t="s">
        <v>153</v>
      </c>
      <c r="AK90" s="23" t="s">
        <v>153</v>
      </c>
      <c r="AL90" s="23" t="s">
        <v>153</v>
      </c>
      <c r="AM90" s="23" t="s">
        <v>153</v>
      </c>
      <c r="AN90" s="23" t="s">
        <v>153</v>
      </c>
      <c r="AO90" s="24" t="s">
        <v>156</v>
      </c>
      <c r="AP90" s="23">
        <f>VALUE(0)</f>
        <v>0</v>
      </c>
      <c r="AQ90" s="23">
        <f>VALUE(0)</f>
        <v>0</v>
      </c>
      <c r="AR90" s="23">
        <f>VALUE(0)</f>
        <v>0</v>
      </c>
      <c r="AS90" s="23">
        <f>VALUE(0)</f>
        <v>0</v>
      </c>
      <c r="AT90" s="23">
        <f>VALUE(0)</f>
        <v>0</v>
      </c>
      <c r="AU90" s="23">
        <f>VALUE(0)</f>
        <v>0</v>
      </c>
      <c r="AV90" s="23">
        <f>VALUE(3)</f>
        <v>3</v>
      </c>
      <c r="AW90" s="23">
        <f>VALUE(0)</f>
        <v>0</v>
      </c>
      <c r="AX90" s="23" t="s">
        <v>320</v>
      </c>
      <c r="AY90" s="23">
        <f>VALUE(0)</f>
        <v>0</v>
      </c>
      <c r="AZ90" s="23">
        <f>VALUE(0)</f>
        <v>0</v>
      </c>
      <c r="BA90" s="23">
        <f>VALUE(0)</f>
        <v>0</v>
      </c>
      <c r="BB90" s="23">
        <f>VALUE(0)</f>
        <v>0</v>
      </c>
      <c r="BC90" s="23">
        <f>VALUE(0)</f>
        <v>0</v>
      </c>
      <c r="BD90" s="23">
        <f>VALUE(0)</f>
        <v>0</v>
      </c>
      <c r="BE90" s="23">
        <f>VALUE(0)</f>
        <v>0</v>
      </c>
      <c r="BF90" s="23">
        <f>VALUE(0)</f>
        <v>0</v>
      </c>
      <c r="BG90" s="23">
        <f>VALUE(0)</f>
        <v>0</v>
      </c>
      <c r="BH90" s="23">
        <f>VALUE(0)</f>
        <v>0</v>
      </c>
      <c r="BI90" s="23">
        <f>VALUE(0)</f>
        <v>0</v>
      </c>
      <c r="BJ90" s="23">
        <f>VALUE(0)</f>
        <v>0</v>
      </c>
      <c r="BK90" s="12">
        <f>$AX$90*24</f>
        <v>8.4166666666666661</v>
      </c>
      <c r="BL90" s="12">
        <f>$AY$90*24</f>
        <v>0</v>
      </c>
      <c r="BM90" s="12">
        <f>$BJ$90*24</f>
        <v>0</v>
      </c>
      <c r="BN90" s="12">
        <f>VALUE($I$90)/100</f>
        <v>1</v>
      </c>
      <c r="BO90" s="12">
        <v>0</v>
      </c>
      <c r="BP90" s="12">
        <v>0</v>
      </c>
      <c r="BQ90" s="12">
        <v>0</v>
      </c>
      <c r="BR90" s="12">
        <v>0</v>
      </c>
      <c r="BS90" s="12">
        <v>0</v>
      </c>
      <c r="BT90" s="12">
        <v>0</v>
      </c>
      <c r="BU90" s="12">
        <v>0</v>
      </c>
      <c r="BV90" s="12">
        <v>0</v>
      </c>
      <c r="BW90" s="12">
        <v>0</v>
      </c>
      <c r="BX90" s="12">
        <v>0</v>
      </c>
      <c r="BY90" s="12">
        <v>0</v>
      </c>
      <c r="BZ90" s="12">
        <v>0</v>
      </c>
      <c r="CA90" s="12">
        <v>0</v>
      </c>
    </row>
    <row r="91" spans="1:79" hidden="1" x14ac:dyDescent="0.2">
      <c r="A91" s="12" t="s">
        <v>102</v>
      </c>
      <c r="B91" s="12" t="s">
        <v>111</v>
      </c>
      <c r="C91" s="12" t="s">
        <v>111</v>
      </c>
      <c r="D91" s="22" t="s">
        <v>321</v>
      </c>
      <c r="E91" s="22" t="s">
        <v>161</v>
      </c>
      <c r="F91" s="22" t="s">
        <v>735</v>
      </c>
      <c r="G91" s="22" t="s">
        <v>736</v>
      </c>
      <c r="H91" s="22" t="s">
        <v>150</v>
      </c>
      <c r="I91" s="22" t="s">
        <v>151</v>
      </c>
      <c r="J91" s="22" t="s">
        <v>311</v>
      </c>
      <c r="K91" s="22" t="s">
        <v>72</v>
      </c>
      <c r="L91" s="54" t="s">
        <v>153</v>
      </c>
      <c r="M91" s="24" t="s">
        <v>156</v>
      </c>
      <c r="N91" s="24" t="s">
        <v>153</v>
      </c>
      <c r="O91" s="23" t="s">
        <v>153</v>
      </c>
      <c r="P91" s="23" t="s">
        <v>153</v>
      </c>
      <c r="Q91" s="23" t="s">
        <v>153</v>
      </c>
      <c r="R91" s="23" t="s">
        <v>153</v>
      </c>
      <c r="S91" s="23" t="s">
        <v>153</v>
      </c>
      <c r="T91" s="23" t="s">
        <v>153</v>
      </c>
      <c r="U91" s="24" t="s">
        <v>153</v>
      </c>
      <c r="V91" s="54" t="s">
        <v>153</v>
      </c>
      <c r="W91" s="23" t="s">
        <v>153</v>
      </c>
      <c r="X91" s="23" t="s">
        <v>153</v>
      </c>
      <c r="Y91" s="23" t="s">
        <v>153</v>
      </c>
      <c r="Z91" s="23" t="s">
        <v>153</v>
      </c>
      <c r="AA91" s="24" t="s">
        <v>156</v>
      </c>
      <c r="AB91" s="24" t="s">
        <v>153</v>
      </c>
      <c r="AC91" s="23" t="s">
        <v>153</v>
      </c>
      <c r="AD91" s="23" t="s">
        <v>153</v>
      </c>
      <c r="AE91" s="23" t="s">
        <v>153</v>
      </c>
      <c r="AF91" s="23" t="s">
        <v>153</v>
      </c>
      <c r="AG91" s="23" t="s">
        <v>153</v>
      </c>
      <c r="AH91" s="24" t="s">
        <v>156</v>
      </c>
      <c r="AI91" s="24" t="s">
        <v>153</v>
      </c>
      <c r="AJ91" s="23" t="s">
        <v>153</v>
      </c>
      <c r="AK91" s="23" t="s">
        <v>153</v>
      </c>
      <c r="AL91" s="23" t="s">
        <v>153</v>
      </c>
      <c r="AM91" s="23" t="s">
        <v>153</v>
      </c>
      <c r="AN91" s="23" t="s">
        <v>153</v>
      </c>
      <c r="AO91" s="24" t="s">
        <v>156</v>
      </c>
      <c r="AP91" s="23">
        <f>VALUE(0)</f>
        <v>0</v>
      </c>
      <c r="AQ91" s="23">
        <f>VALUE(0)</f>
        <v>0</v>
      </c>
      <c r="AR91" s="23">
        <f>VALUE(0)</f>
        <v>0</v>
      </c>
      <c r="AS91" s="23">
        <f>VALUE(0)</f>
        <v>0</v>
      </c>
      <c r="AT91" s="23">
        <f>VALUE(0)</f>
        <v>0</v>
      </c>
      <c r="AU91" s="23">
        <f>VALUE(0)</f>
        <v>0</v>
      </c>
      <c r="AV91" s="23">
        <f>VALUE(4)</f>
        <v>4</v>
      </c>
      <c r="AW91" s="23">
        <f>VALUE(0)</f>
        <v>0</v>
      </c>
      <c r="AX91" s="23" t="s">
        <v>176</v>
      </c>
      <c r="AY91" s="23" t="s">
        <v>322</v>
      </c>
      <c r="AZ91" s="23">
        <f>VALUE(0)</f>
        <v>0</v>
      </c>
      <c r="BA91" s="23">
        <f>VALUE(0)</f>
        <v>0</v>
      </c>
      <c r="BB91" s="23">
        <f>VALUE(0)</f>
        <v>0</v>
      </c>
      <c r="BC91" s="23">
        <f>VALUE(0)</f>
        <v>0</v>
      </c>
      <c r="BD91" s="23">
        <f>VALUE(0)</f>
        <v>0</v>
      </c>
      <c r="BE91" s="23">
        <f>VALUE(0)</f>
        <v>0</v>
      </c>
      <c r="BF91" s="23">
        <f>VALUE(0)</f>
        <v>0</v>
      </c>
      <c r="BG91" s="23">
        <f>VALUE(0)</f>
        <v>0</v>
      </c>
      <c r="BH91" s="23">
        <f>VALUE(0)</f>
        <v>0</v>
      </c>
      <c r="BI91" s="23">
        <f>VALUE(0)</f>
        <v>0</v>
      </c>
      <c r="BJ91" s="23">
        <f>VALUE(0)</f>
        <v>0</v>
      </c>
      <c r="BK91" s="12">
        <f>$AX$91*24</f>
        <v>0</v>
      </c>
      <c r="BL91" s="12">
        <f>$AY$91*24</f>
        <v>16.166666666666668</v>
      </c>
      <c r="BM91" s="12">
        <f>$BJ$91*24</f>
        <v>0</v>
      </c>
      <c r="BN91" s="12">
        <f>VALUE($I$91)/100</f>
        <v>1</v>
      </c>
      <c r="BO91" s="12">
        <v>0</v>
      </c>
      <c r="BP91" s="12">
        <v>0</v>
      </c>
      <c r="BQ91" s="12">
        <v>0</v>
      </c>
      <c r="BR91" s="12">
        <v>0</v>
      </c>
      <c r="BS91" s="12">
        <v>0</v>
      </c>
      <c r="BT91" s="12">
        <v>0</v>
      </c>
      <c r="BU91" s="12">
        <v>0</v>
      </c>
      <c r="BV91" s="12">
        <v>0</v>
      </c>
      <c r="BW91" s="12">
        <v>0</v>
      </c>
      <c r="BX91" s="12">
        <v>0</v>
      </c>
      <c r="BY91" s="12">
        <v>0</v>
      </c>
      <c r="BZ91" s="12">
        <v>0</v>
      </c>
      <c r="CA91" s="12">
        <v>0</v>
      </c>
    </row>
    <row r="92" spans="1:79" ht="15" hidden="1" x14ac:dyDescent="0.25">
      <c r="A92" s="12" t="s">
        <v>102</v>
      </c>
      <c r="B92" s="12" t="s">
        <v>111</v>
      </c>
      <c r="C92" s="12" t="s">
        <v>111</v>
      </c>
      <c r="D92" s="31" t="s">
        <v>323</v>
      </c>
      <c r="E92" s="31" t="s">
        <v>153</v>
      </c>
      <c r="F92" s="31" t="s">
        <v>175</v>
      </c>
      <c r="G92" s="31" t="s">
        <v>153</v>
      </c>
      <c r="H92" s="31" t="s">
        <v>153</v>
      </c>
      <c r="I92" s="31" t="s">
        <v>153</v>
      </c>
      <c r="J92" s="31" t="s">
        <v>153</v>
      </c>
      <c r="K92" s="31" t="s">
        <v>153</v>
      </c>
      <c r="L92" s="31">
        <f>VALUE(0)</f>
        <v>0</v>
      </c>
      <c r="M92" s="31">
        <f>VALUE(3)</f>
        <v>3</v>
      </c>
      <c r="N92" s="31">
        <f>VALUE(0)</f>
        <v>0</v>
      </c>
      <c r="O92" s="31">
        <f>VALUE(6)</f>
        <v>6</v>
      </c>
      <c r="P92" s="31">
        <f>VALUE(6)</f>
        <v>6</v>
      </c>
      <c r="Q92" s="31">
        <f>VALUE(5)</f>
        <v>5</v>
      </c>
      <c r="R92" s="31">
        <f>VALUE(6)</f>
        <v>6</v>
      </c>
      <c r="S92" s="31">
        <f>VALUE(6)</f>
        <v>6</v>
      </c>
      <c r="T92" s="31">
        <f>VALUE(2)</f>
        <v>2</v>
      </c>
      <c r="U92" s="31">
        <f>VALUE(0)</f>
        <v>0</v>
      </c>
      <c r="V92" s="31">
        <f>VALUE(0)</f>
        <v>0</v>
      </c>
      <c r="W92" s="31">
        <f>VALUE(5)</f>
        <v>5</v>
      </c>
      <c r="X92" s="31">
        <f>VALUE(5)</f>
        <v>5</v>
      </c>
      <c r="Y92" s="31">
        <f>VALUE(5)</f>
        <v>5</v>
      </c>
      <c r="Z92" s="31">
        <f>VALUE(4)</f>
        <v>4</v>
      </c>
      <c r="AA92" s="31">
        <f>VALUE(2)</f>
        <v>2</v>
      </c>
      <c r="AB92" s="31">
        <f>VALUE(0)</f>
        <v>0</v>
      </c>
      <c r="AC92" s="31">
        <f>VALUE(6)</f>
        <v>6</v>
      </c>
      <c r="AD92" s="31">
        <f>VALUE(6)</f>
        <v>6</v>
      </c>
      <c r="AE92" s="31">
        <f>VALUE(5)</f>
        <v>5</v>
      </c>
      <c r="AF92" s="31">
        <f>VALUE(6)</f>
        <v>6</v>
      </c>
      <c r="AG92" s="31">
        <f>VALUE(6)</f>
        <v>6</v>
      </c>
      <c r="AH92" s="31">
        <f>VALUE(2)</f>
        <v>2</v>
      </c>
      <c r="AI92" s="31">
        <f>VALUE(0)</f>
        <v>0</v>
      </c>
      <c r="AJ92" s="31">
        <f>VALUE(5)</f>
        <v>5</v>
      </c>
      <c r="AK92" s="31">
        <f>VALUE(5)</f>
        <v>5</v>
      </c>
      <c r="AL92" s="31">
        <f>VALUE(5)</f>
        <v>5</v>
      </c>
      <c r="AM92" s="31">
        <f>VALUE(5)</f>
        <v>5</v>
      </c>
      <c r="AN92" s="31">
        <f>VALUE(5)</f>
        <v>5</v>
      </c>
      <c r="AO92" s="31">
        <f>VALUE(3)</f>
        <v>3</v>
      </c>
      <c r="AP92" s="31">
        <v>0</v>
      </c>
      <c r="AQ92" s="31">
        <v>0</v>
      </c>
      <c r="AR92" s="31">
        <v>0</v>
      </c>
      <c r="AS92" s="31">
        <v>0</v>
      </c>
      <c r="AT92" s="31">
        <v>0</v>
      </c>
      <c r="AU92" s="31">
        <v>0</v>
      </c>
      <c r="AV92" s="31">
        <v>0</v>
      </c>
      <c r="AW92" s="31">
        <v>0</v>
      </c>
      <c r="AX92" s="31">
        <v>0</v>
      </c>
      <c r="AY92" s="31">
        <v>0</v>
      </c>
      <c r="AZ92" s="31">
        <v>0</v>
      </c>
      <c r="BA92" s="31">
        <v>0</v>
      </c>
      <c r="BB92" s="31">
        <v>0</v>
      </c>
      <c r="BC92" s="31">
        <v>0</v>
      </c>
      <c r="BD92" s="31">
        <v>0</v>
      </c>
      <c r="BE92" s="31">
        <v>0</v>
      </c>
      <c r="BF92" s="31">
        <v>0</v>
      </c>
      <c r="BG92" s="31">
        <v>0</v>
      </c>
      <c r="BH92" s="31">
        <v>0</v>
      </c>
      <c r="BI92" s="31">
        <v>0</v>
      </c>
      <c r="BJ92" s="31">
        <v>0</v>
      </c>
      <c r="BK92" s="12">
        <v>0</v>
      </c>
      <c r="BL92" s="12">
        <v>0</v>
      </c>
      <c r="BM92" s="12">
        <v>0</v>
      </c>
      <c r="BN92" s="12"/>
      <c r="BO92" s="12">
        <v>0</v>
      </c>
      <c r="BP92" s="12">
        <v>0</v>
      </c>
      <c r="BQ92" s="12">
        <v>0</v>
      </c>
      <c r="BR92" s="12">
        <v>0</v>
      </c>
      <c r="BS92" s="12">
        <v>0</v>
      </c>
      <c r="BT92" s="12">
        <v>0</v>
      </c>
      <c r="BU92" s="12">
        <v>0</v>
      </c>
      <c r="BV92" s="12">
        <v>0</v>
      </c>
      <c r="BW92" s="12">
        <v>0</v>
      </c>
      <c r="BX92" s="12">
        <v>0</v>
      </c>
      <c r="BY92" s="12">
        <v>0</v>
      </c>
      <c r="BZ92" s="12">
        <v>0</v>
      </c>
      <c r="CA92" s="12">
        <v>0</v>
      </c>
    </row>
    <row r="93" spans="1:79" hidden="1" x14ac:dyDescent="0.2">
      <c r="A93" s="12" t="s">
        <v>102</v>
      </c>
      <c r="B93" s="12" t="s">
        <v>112</v>
      </c>
      <c r="C93" s="12" t="s">
        <v>112</v>
      </c>
      <c r="D93" s="22" t="s">
        <v>324</v>
      </c>
      <c r="E93" s="22" t="s">
        <v>161</v>
      </c>
      <c r="F93" s="22" t="s">
        <v>735</v>
      </c>
      <c r="G93" s="22" t="s">
        <v>736</v>
      </c>
      <c r="H93" s="22" t="s">
        <v>150</v>
      </c>
      <c r="I93" s="22" t="s">
        <v>151</v>
      </c>
      <c r="J93" s="22" t="s">
        <v>162</v>
      </c>
      <c r="K93" s="22" t="s">
        <v>73</v>
      </c>
      <c r="L93" s="54" t="s">
        <v>153</v>
      </c>
      <c r="M93" s="23" t="s">
        <v>153</v>
      </c>
      <c r="N93" s="24" t="s">
        <v>153</v>
      </c>
      <c r="O93" s="23" t="s">
        <v>153</v>
      </c>
      <c r="P93" s="23" t="s">
        <v>153</v>
      </c>
      <c r="Q93" s="23" t="s">
        <v>153</v>
      </c>
      <c r="R93" s="23" t="s">
        <v>153</v>
      </c>
      <c r="S93" s="23" t="s">
        <v>153</v>
      </c>
      <c r="T93" s="23" t="s">
        <v>153</v>
      </c>
      <c r="U93" s="24" t="s">
        <v>153</v>
      </c>
      <c r="V93" s="54" t="s">
        <v>153</v>
      </c>
      <c r="W93" s="23" t="s">
        <v>153</v>
      </c>
      <c r="X93" s="23" t="s">
        <v>153</v>
      </c>
      <c r="Y93" s="23" t="s">
        <v>153</v>
      </c>
      <c r="Z93" s="23" t="s">
        <v>153</v>
      </c>
      <c r="AA93" s="23" t="s">
        <v>153</v>
      </c>
      <c r="AB93" s="24" t="s">
        <v>153</v>
      </c>
      <c r="AC93" s="23" t="s">
        <v>153</v>
      </c>
      <c r="AD93" s="23" t="s">
        <v>153</v>
      </c>
      <c r="AE93" s="23" t="s">
        <v>153</v>
      </c>
      <c r="AF93" s="23" t="s">
        <v>153</v>
      </c>
      <c r="AG93" s="23" t="s">
        <v>153</v>
      </c>
      <c r="AH93" s="23" t="s">
        <v>153</v>
      </c>
      <c r="AI93" s="24" t="s">
        <v>153</v>
      </c>
      <c r="AJ93" s="24" t="s">
        <v>156</v>
      </c>
      <c r="AK93" s="24" t="s">
        <v>156</v>
      </c>
      <c r="AL93" s="24" t="s">
        <v>156</v>
      </c>
      <c r="AM93" s="23" t="s">
        <v>153</v>
      </c>
      <c r="AN93" s="23" t="s">
        <v>153</v>
      </c>
      <c r="AO93" s="23" t="s">
        <v>153</v>
      </c>
      <c r="AP93" s="23">
        <f>VALUE(0)</f>
        <v>0</v>
      </c>
      <c r="AQ93" s="23">
        <f>VALUE(0)</f>
        <v>0</v>
      </c>
      <c r="AR93" s="23">
        <f>VALUE(0)</f>
        <v>0</v>
      </c>
      <c r="AS93" s="23">
        <f>VALUE(0)</f>
        <v>0</v>
      </c>
      <c r="AT93" s="23">
        <f>VALUE(0)</f>
        <v>0</v>
      </c>
      <c r="AU93" s="23">
        <f>VALUE(0)</f>
        <v>0</v>
      </c>
      <c r="AV93" s="23">
        <f>VALUE(32)</f>
        <v>32</v>
      </c>
      <c r="AW93" s="23">
        <f>VALUE(5)</f>
        <v>5</v>
      </c>
      <c r="AX93" s="23" t="s">
        <v>171</v>
      </c>
      <c r="AY93" s="23" t="s">
        <v>325</v>
      </c>
      <c r="AZ93" s="23">
        <f>VALUE(0)</f>
        <v>0</v>
      </c>
      <c r="BA93" s="23">
        <f>VALUE(0)</f>
        <v>0</v>
      </c>
      <c r="BB93" s="23">
        <f>VALUE(0)</f>
        <v>0</v>
      </c>
      <c r="BC93" s="23">
        <f>VALUE(0)</f>
        <v>0</v>
      </c>
      <c r="BD93" s="23">
        <f>VALUE(0)</f>
        <v>0</v>
      </c>
      <c r="BE93" s="23">
        <f>VALUE(0)</f>
        <v>0</v>
      </c>
      <c r="BF93" s="23">
        <f>VALUE(0)</f>
        <v>0</v>
      </c>
      <c r="BG93" s="23">
        <f>VALUE(0)</f>
        <v>0</v>
      </c>
      <c r="BH93" s="23">
        <f>VALUE(0)</f>
        <v>0</v>
      </c>
      <c r="BI93" s="23">
        <f>VALUE(0)</f>
        <v>0</v>
      </c>
      <c r="BJ93" s="23">
        <f>VALUE(0)</f>
        <v>0</v>
      </c>
      <c r="BK93" s="12">
        <f>$AX$93*24</f>
        <v>5.833333333333333</v>
      </c>
      <c r="BL93" s="12">
        <f>$AY$93*24</f>
        <v>31.533333333333331</v>
      </c>
      <c r="BM93" s="12">
        <f>$BJ$93*24</f>
        <v>0</v>
      </c>
      <c r="BN93" s="12">
        <f>VALUE($I$93)/100</f>
        <v>1</v>
      </c>
      <c r="BO93" s="12">
        <v>0</v>
      </c>
      <c r="BP93" s="12">
        <v>0</v>
      </c>
      <c r="BQ93" s="12">
        <v>0</v>
      </c>
      <c r="BR93" s="12">
        <v>0</v>
      </c>
      <c r="BS93" s="12">
        <v>0</v>
      </c>
      <c r="BT93" s="12">
        <v>0</v>
      </c>
      <c r="BU93" s="12">
        <v>0</v>
      </c>
      <c r="BV93" s="12">
        <v>0</v>
      </c>
      <c r="BW93" s="12">
        <v>0</v>
      </c>
      <c r="BX93" s="12">
        <v>0</v>
      </c>
      <c r="BY93" s="12">
        <v>0</v>
      </c>
      <c r="BZ93" s="12">
        <v>0</v>
      </c>
      <c r="CA93" s="12">
        <v>0</v>
      </c>
    </row>
    <row r="94" spans="1:79" hidden="1" x14ac:dyDescent="0.2">
      <c r="A94" s="12" t="s">
        <v>102</v>
      </c>
      <c r="B94" s="12" t="s">
        <v>112</v>
      </c>
      <c r="C94" s="12" t="s">
        <v>112</v>
      </c>
      <c r="D94" s="22" t="s">
        <v>157</v>
      </c>
      <c r="E94" s="22" t="s">
        <v>161</v>
      </c>
      <c r="F94" s="22" t="s">
        <v>737</v>
      </c>
      <c r="G94" s="22" t="s">
        <v>738</v>
      </c>
      <c r="H94" s="22" t="s">
        <v>150</v>
      </c>
      <c r="I94" s="22" t="s">
        <v>151</v>
      </c>
      <c r="J94" s="22" t="s">
        <v>162</v>
      </c>
      <c r="K94" s="22" t="s">
        <v>73</v>
      </c>
      <c r="L94" s="54" t="s">
        <v>153</v>
      </c>
      <c r="M94" s="23" t="s">
        <v>153</v>
      </c>
      <c r="N94" s="24" t="s">
        <v>153</v>
      </c>
      <c r="O94" s="23" t="s">
        <v>153</v>
      </c>
      <c r="P94" s="23" t="s">
        <v>153</v>
      </c>
      <c r="Q94" s="23" t="s">
        <v>153</v>
      </c>
      <c r="R94" s="25" t="s">
        <v>1196</v>
      </c>
      <c r="S94" s="25" t="s">
        <v>1196</v>
      </c>
      <c r="T94" s="25" t="s">
        <v>1196</v>
      </c>
      <c r="U94" s="24" t="s">
        <v>153</v>
      </c>
      <c r="V94" s="54" t="s">
        <v>153</v>
      </c>
      <c r="W94" s="23" t="s">
        <v>154</v>
      </c>
      <c r="X94" s="23" t="s">
        <v>154</v>
      </c>
      <c r="Y94" s="23" t="s">
        <v>154</v>
      </c>
      <c r="Z94" s="23" t="s">
        <v>154</v>
      </c>
      <c r="AA94" s="23" t="s">
        <v>154</v>
      </c>
      <c r="AB94" s="24" t="s">
        <v>153</v>
      </c>
      <c r="AC94" s="28" t="s">
        <v>163</v>
      </c>
      <c r="AD94" s="28" t="s">
        <v>163</v>
      </c>
      <c r="AE94" s="28" t="s">
        <v>163</v>
      </c>
      <c r="AF94" s="28" t="s">
        <v>163</v>
      </c>
      <c r="AG94" s="28" t="s">
        <v>163</v>
      </c>
      <c r="AH94" s="28" t="s">
        <v>163</v>
      </c>
      <c r="AI94" s="24" t="s">
        <v>153</v>
      </c>
      <c r="AJ94" s="23" t="s">
        <v>154</v>
      </c>
      <c r="AK94" s="23" t="s">
        <v>154</v>
      </c>
      <c r="AL94" s="23" t="s">
        <v>154</v>
      </c>
      <c r="AM94" s="24" t="s">
        <v>156</v>
      </c>
      <c r="AN94" s="24" t="s">
        <v>156</v>
      </c>
      <c r="AO94" s="24" t="s">
        <v>156</v>
      </c>
      <c r="AP94" s="23">
        <f>VALUE(3)</f>
        <v>3</v>
      </c>
      <c r="AQ94" s="23">
        <f>VALUE(0)</f>
        <v>0</v>
      </c>
      <c r="AR94" s="23">
        <f>VALUE(0)</f>
        <v>0</v>
      </c>
      <c r="AS94" s="23">
        <f>VALUE(0)</f>
        <v>0</v>
      </c>
      <c r="AT94" s="23">
        <f>VALUE(0)</f>
        <v>0</v>
      </c>
      <c r="AU94" s="23">
        <f>VALUE(6)</f>
        <v>6</v>
      </c>
      <c r="AV94" s="23">
        <f>VALUE(2)</f>
        <v>2</v>
      </c>
      <c r="AW94" s="23">
        <f>VALUE(0)</f>
        <v>0</v>
      </c>
      <c r="AX94" s="23" t="s">
        <v>171</v>
      </c>
      <c r="AY94" s="23" t="s">
        <v>326</v>
      </c>
      <c r="AZ94" s="23">
        <f>VALUE(0)</f>
        <v>0</v>
      </c>
      <c r="BA94" s="23">
        <f>VALUE(0)</f>
        <v>0</v>
      </c>
      <c r="BB94" s="23">
        <f>VALUE(0)</f>
        <v>0</v>
      </c>
      <c r="BC94" s="23">
        <f>VALUE(0)</f>
        <v>0</v>
      </c>
      <c r="BD94" s="23">
        <f>VALUE(3)</f>
        <v>3</v>
      </c>
      <c r="BE94" s="23">
        <f>VALUE(0)</f>
        <v>0</v>
      </c>
      <c r="BF94" s="23">
        <f>VALUE(0)</f>
        <v>0</v>
      </c>
      <c r="BG94" s="23">
        <f>VALUE(0)</f>
        <v>0</v>
      </c>
      <c r="BH94" s="23">
        <f>VALUE(0)</f>
        <v>0</v>
      </c>
      <c r="BI94" s="23">
        <f>VALUE(0)</f>
        <v>0</v>
      </c>
      <c r="BJ94" s="23">
        <f>VALUE(0)</f>
        <v>0</v>
      </c>
      <c r="BK94" s="12">
        <f>$AX$94*24</f>
        <v>5.833333333333333</v>
      </c>
      <c r="BL94" s="12">
        <f>$AY$94*24</f>
        <v>11.633333333333333</v>
      </c>
      <c r="BM94" s="12">
        <f>$BJ$94*24</f>
        <v>0</v>
      </c>
      <c r="BN94" s="12">
        <f>VALUE($I$94)/100</f>
        <v>1</v>
      </c>
      <c r="BO94" s="12">
        <v>0</v>
      </c>
      <c r="BP94" s="12">
        <v>0</v>
      </c>
      <c r="BQ94" s="12">
        <v>0</v>
      </c>
      <c r="BR94" s="12">
        <v>3</v>
      </c>
      <c r="BS94" s="12">
        <v>0</v>
      </c>
      <c r="BT94" s="12">
        <v>0</v>
      </c>
      <c r="BU94" s="12">
        <v>0</v>
      </c>
      <c r="BV94" s="12">
        <v>0</v>
      </c>
      <c r="BW94" s="12">
        <v>0</v>
      </c>
      <c r="BX94" s="12">
        <v>0</v>
      </c>
      <c r="BY94" s="12">
        <v>0</v>
      </c>
      <c r="BZ94" s="12">
        <v>0</v>
      </c>
      <c r="CA94" s="12">
        <v>0</v>
      </c>
    </row>
    <row r="95" spans="1:79" hidden="1" x14ac:dyDescent="0.2">
      <c r="A95" s="12" t="s">
        <v>102</v>
      </c>
      <c r="B95" s="12" t="s">
        <v>112</v>
      </c>
      <c r="C95" s="12" t="s">
        <v>112</v>
      </c>
      <c r="D95" s="22" t="s">
        <v>327</v>
      </c>
      <c r="E95" s="22" t="s">
        <v>161</v>
      </c>
      <c r="F95" s="22" t="s">
        <v>739</v>
      </c>
      <c r="G95" s="22" t="s">
        <v>740</v>
      </c>
      <c r="H95" s="22" t="s">
        <v>166</v>
      </c>
      <c r="I95" s="22" t="s">
        <v>151</v>
      </c>
      <c r="J95" s="22" t="s">
        <v>162</v>
      </c>
      <c r="K95" s="22" t="s">
        <v>73</v>
      </c>
      <c r="L95" s="54" t="s">
        <v>153</v>
      </c>
      <c r="M95" s="28" t="s">
        <v>163</v>
      </c>
      <c r="N95" s="24" t="s">
        <v>153</v>
      </c>
      <c r="O95" s="23" t="s">
        <v>153</v>
      </c>
      <c r="P95" s="23" t="s">
        <v>153</v>
      </c>
      <c r="Q95" s="23" t="s">
        <v>153</v>
      </c>
      <c r="R95" s="23" t="s">
        <v>153</v>
      </c>
      <c r="S95" s="23" t="s">
        <v>153</v>
      </c>
      <c r="T95" s="23" t="s">
        <v>153</v>
      </c>
      <c r="U95" s="24" t="s">
        <v>153</v>
      </c>
      <c r="V95" s="54" t="s">
        <v>153</v>
      </c>
      <c r="W95" s="23" t="s">
        <v>153</v>
      </c>
      <c r="X95" s="23" t="s">
        <v>153</v>
      </c>
      <c r="Y95" s="23" t="s">
        <v>153</v>
      </c>
      <c r="Z95" s="29" t="s">
        <v>218</v>
      </c>
      <c r="AA95" s="23" t="s">
        <v>153</v>
      </c>
      <c r="AB95" s="24" t="s">
        <v>153</v>
      </c>
      <c r="AC95" s="24" t="s">
        <v>156</v>
      </c>
      <c r="AD95" s="24" t="s">
        <v>156</v>
      </c>
      <c r="AE95" s="24" t="s">
        <v>156</v>
      </c>
      <c r="AF95" s="23" t="s">
        <v>153</v>
      </c>
      <c r="AG95" s="23" t="s">
        <v>153</v>
      </c>
      <c r="AH95" s="23" t="s">
        <v>153</v>
      </c>
      <c r="AI95" s="24" t="s">
        <v>153</v>
      </c>
      <c r="AJ95" s="23" t="s">
        <v>153</v>
      </c>
      <c r="AK95" s="23" t="s">
        <v>153</v>
      </c>
      <c r="AL95" s="23" t="s">
        <v>153</v>
      </c>
      <c r="AM95" s="23" t="s">
        <v>153</v>
      </c>
      <c r="AN95" s="23" t="s">
        <v>153</v>
      </c>
      <c r="AO95" s="23" t="s">
        <v>153</v>
      </c>
      <c r="AP95" s="23">
        <f>VALUE(6)</f>
        <v>6</v>
      </c>
      <c r="AQ95" s="23">
        <f>VALUE(0)</f>
        <v>0</v>
      </c>
      <c r="AR95" s="23">
        <f>VALUE(1)</f>
        <v>1</v>
      </c>
      <c r="AS95" s="23">
        <f>VALUE(0)</f>
        <v>0</v>
      </c>
      <c r="AT95" s="23">
        <f>VALUE(0)</f>
        <v>0</v>
      </c>
      <c r="AU95" s="23">
        <f>VALUE(1)</f>
        <v>1</v>
      </c>
      <c r="AV95" s="23">
        <f>VALUE(2)</f>
        <v>2</v>
      </c>
      <c r="AW95" s="23">
        <f>VALUE(0)</f>
        <v>0</v>
      </c>
      <c r="AX95" s="23" t="s">
        <v>328</v>
      </c>
      <c r="AY95" s="23">
        <f>VALUE(0)</f>
        <v>0</v>
      </c>
      <c r="AZ95" s="23">
        <f>VALUE(0)</f>
        <v>0</v>
      </c>
      <c r="BA95" s="23">
        <f>VALUE(0)</f>
        <v>0</v>
      </c>
      <c r="BB95" s="23">
        <f>VALUE(0)</f>
        <v>0</v>
      </c>
      <c r="BC95" s="23">
        <f>VALUE(0)</f>
        <v>0</v>
      </c>
      <c r="BD95" s="23">
        <f>VALUE(0)</f>
        <v>0</v>
      </c>
      <c r="BE95" s="23">
        <f>VALUE(0)</f>
        <v>0</v>
      </c>
      <c r="BF95" s="23">
        <f>VALUE(0)</f>
        <v>0</v>
      </c>
      <c r="BG95" s="23">
        <f>VALUE(0)</f>
        <v>0</v>
      </c>
      <c r="BH95" s="23">
        <f>VALUE(0)</f>
        <v>0</v>
      </c>
      <c r="BI95" s="23">
        <f>VALUE(0)</f>
        <v>0</v>
      </c>
      <c r="BJ95" s="23">
        <f>VALUE(0)</f>
        <v>0</v>
      </c>
      <c r="BK95" s="12">
        <f>$AX$95*24</f>
        <v>28.683333333333337</v>
      </c>
      <c r="BL95" s="12">
        <f>$AY$95*24</f>
        <v>0</v>
      </c>
      <c r="BM95" s="12">
        <f>$BJ$95*24</f>
        <v>0</v>
      </c>
      <c r="BN95" s="12">
        <f>VALUE($I$95)/100</f>
        <v>1</v>
      </c>
      <c r="BO95" s="12">
        <v>0</v>
      </c>
      <c r="BP95" s="12">
        <v>0</v>
      </c>
      <c r="BQ95" s="12">
        <v>0</v>
      </c>
      <c r="BR95" s="12">
        <v>0</v>
      </c>
      <c r="BS95" s="12">
        <v>1</v>
      </c>
      <c r="BT95" s="12">
        <v>0</v>
      </c>
      <c r="BU95" s="12">
        <v>0</v>
      </c>
      <c r="BV95" s="12">
        <v>0</v>
      </c>
      <c r="BW95" s="12">
        <v>0</v>
      </c>
      <c r="BX95" s="12">
        <v>0</v>
      </c>
      <c r="BY95" s="12">
        <v>0</v>
      </c>
      <c r="BZ95" s="12">
        <v>0</v>
      </c>
      <c r="CA95" s="12">
        <v>0</v>
      </c>
    </row>
    <row r="96" spans="1:79" hidden="1" x14ac:dyDescent="0.2">
      <c r="A96" s="12" t="s">
        <v>102</v>
      </c>
      <c r="B96" s="12" t="s">
        <v>112</v>
      </c>
      <c r="C96" s="12" t="s">
        <v>112</v>
      </c>
      <c r="D96" s="22" t="s">
        <v>154</v>
      </c>
      <c r="E96" s="22" t="s">
        <v>161</v>
      </c>
      <c r="F96" s="22" t="s">
        <v>741</v>
      </c>
      <c r="G96" s="22" t="s">
        <v>742</v>
      </c>
      <c r="H96" s="22" t="s">
        <v>150</v>
      </c>
      <c r="I96" s="22" t="s">
        <v>151</v>
      </c>
      <c r="J96" s="22" t="s">
        <v>162</v>
      </c>
      <c r="K96" s="22" t="s">
        <v>73</v>
      </c>
      <c r="L96" s="54" t="s">
        <v>153</v>
      </c>
      <c r="M96" s="28" t="s">
        <v>163</v>
      </c>
      <c r="N96" s="24" t="s">
        <v>153</v>
      </c>
      <c r="O96" s="35" t="s">
        <v>170</v>
      </c>
      <c r="P96" s="35" t="s">
        <v>170</v>
      </c>
      <c r="Q96" s="25" t="s">
        <v>169</v>
      </c>
      <c r="R96" s="23" t="s">
        <v>169</v>
      </c>
      <c r="S96" s="23" t="s">
        <v>169</v>
      </c>
      <c r="T96" s="23" t="s">
        <v>169</v>
      </c>
      <c r="U96" s="24" t="s">
        <v>153</v>
      </c>
      <c r="V96" s="54" t="s">
        <v>153</v>
      </c>
      <c r="W96" s="23" t="s">
        <v>167</v>
      </c>
      <c r="X96" s="23" t="s">
        <v>167</v>
      </c>
      <c r="Y96" s="23" t="s">
        <v>157</v>
      </c>
      <c r="Z96" s="23" t="s">
        <v>327</v>
      </c>
      <c r="AA96" s="23" t="s">
        <v>157</v>
      </c>
      <c r="AB96" s="24" t="s">
        <v>153</v>
      </c>
      <c r="AC96" s="23" t="s">
        <v>157</v>
      </c>
      <c r="AD96" s="23" t="s">
        <v>157</v>
      </c>
      <c r="AE96" s="23" t="s">
        <v>157</v>
      </c>
      <c r="AF96" s="34" t="s">
        <v>157</v>
      </c>
      <c r="AG96" s="34" t="s">
        <v>157</v>
      </c>
      <c r="AH96" s="34" t="s">
        <v>157</v>
      </c>
      <c r="AI96" s="24" t="s">
        <v>153</v>
      </c>
      <c r="AJ96" s="23" t="s">
        <v>169</v>
      </c>
      <c r="AK96" s="23" t="s">
        <v>169</v>
      </c>
      <c r="AL96" s="23" t="s">
        <v>169</v>
      </c>
      <c r="AM96" s="25" t="s">
        <v>157</v>
      </c>
      <c r="AN96" s="25" t="s">
        <v>157</v>
      </c>
      <c r="AO96" s="25" t="s">
        <v>157</v>
      </c>
      <c r="AP96" s="23">
        <f>VALUE(4)</f>
        <v>4</v>
      </c>
      <c r="AQ96" s="23">
        <f>VALUE(0)</f>
        <v>0</v>
      </c>
      <c r="AR96" s="23">
        <f>VALUE(0)</f>
        <v>0</v>
      </c>
      <c r="AS96" s="23">
        <f>VALUE(0)</f>
        <v>0</v>
      </c>
      <c r="AT96" s="23">
        <f>VALUE(0)</f>
        <v>0</v>
      </c>
      <c r="AU96" s="23">
        <f>VALUE(1)</f>
        <v>1</v>
      </c>
      <c r="AV96" s="23">
        <f>VALUE(1)</f>
        <v>1</v>
      </c>
      <c r="AW96" s="23">
        <f>VALUE(0)</f>
        <v>0</v>
      </c>
      <c r="AX96" s="23">
        <f>VALUE(0)</f>
        <v>0</v>
      </c>
      <c r="AY96" s="23">
        <f>VALUE(0)</f>
        <v>0</v>
      </c>
      <c r="AZ96" s="23">
        <f>VALUE(0)</f>
        <v>0</v>
      </c>
      <c r="BA96" s="23">
        <f>VALUE(0)</f>
        <v>0</v>
      </c>
      <c r="BB96" s="23">
        <f>VALUE(0)</f>
        <v>0</v>
      </c>
      <c r="BC96" s="23">
        <f>VALUE(0)</f>
        <v>0</v>
      </c>
      <c r="BD96" s="23">
        <f>VALUE(0)</f>
        <v>0</v>
      </c>
      <c r="BE96" s="23">
        <f>VALUE(2)</f>
        <v>2</v>
      </c>
      <c r="BF96" s="23">
        <f>VALUE(0)</f>
        <v>0</v>
      </c>
      <c r="BG96" s="23">
        <f>VALUE(0)</f>
        <v>0</v>
      </c>
      <c r="BH96" s="23">
        <f>VALUE(0)</f>
        <v>0</v>
      </c>
      <c r="BI96" s="23">
        <f>VALUE(0)</f>
        <v>0</v>
      </c>
      <c r="BJ96" s="23">
        <f>VALUE(0)</f>
        <v>0</v>
      </c>
      <c r="BK96" s="12">
        <f>$AX$96*24</f>
        <v>0</v>
      </c>
      <c r="BL96" s="12">
        <f>$AY$96*24</f>
        <v>0</v>
      </c>
      <c r="BM96" s="12">
        <f>$BJ$96*24</f>
        <v>0</v>
      </c>
      <c r="BN96" s="12">
        <f>VALUE($I$96)/100</f>
        <v>1</v>
      </c>
      <c r="BO96" s="12">
        <v>0</v>
      </c>
      <c r="BP96" s="12">
        <v>0</v>
      </c>
      <c r="BQ96" s="12">
        <v>0</v>
      </c>
      <c r="BR96" s="12">
        <v>0</v>
      </c>
      <c r="BS96" s="12">
        <v>0</v>
      </c>
      <c r="BT96" s="12">
        <v>0</v>
      </c>
      <c r="BU96" s="12">
        <v>0</v>
      </c>
      <c r="BV96" s="12">
        <v>0</v>
      </c>
      <c r="BW96" s="12">
        <v>0</v>
      </c>
      <c r="BX96" s="12">
        <v>0</v>
      </c>
      <c r="BY96" s="12">
        <v>0</v>
      </c>
      <c r="BZ96" s="12">
        <v>0</v>
      </c>
      <c r="CA96" s="12">
        <v>0</v>
      </c>
    </row>
    <row r="97" spans="1:79" ht="16.5" hidden="1" x14ac:dyDescent="0.2">
      <c r="A97" s="12" t="s">
        <v>102</v>
      </c>
      <c r="B97" s="12" t="s">
        <v>112</v>
      </c>
      <c r="C97" s="12" t="s">
        <v>112</v>
      </c>
      <c r="D97" s="22" t="s">
        <v>329</v>
      </c>
      <c r="E97" s="22" t="s">
        <v>159</v>
      </c>
      <c r="F97" s="22" t="s">
        <v>743</v>
      </c>
      <c r="G97" s="22" t="s">
        <v>744</v>
      </c>
      <c r="H97" s="22" t="s">
        <v>150</v>
      </c>
      <c r="I97" s="22" t="s">
        <v>151</v>
      </c>
      <c r="J97" s="22" t="s">
        <v>162</v>
      </c>
      <c r="K97" s="22" t="s">
        <v>73</v>
      </c>
      <c r="L97" s="54" t="s">
        <v>153</v>
      </c>
      <c r="M97" s="23" t="s">
        <v>327</v>
      </c>
      <c r="N97" s="24" t="s">
        <v>153</v>
      </c>
      <c r="O97" s="26" t="s">
        <v>1197</v>
      </c>
      <c r="P97" s="26" t="s">
        <v>1197</v>
      </c>
      <c r="Q97" s="26" t="s">
        <v>1197</v>
      </c>
      <c r="R97" s="26" t="s">
        <v>1197</v>
      </c>
      <c r="S97" s="26" t="s">
        <v>1197</v>
      </c>
      <c r="T97" s="26" t="s">
        <v>1197</v>
      </c>
      <c r="U97" s="24" t="s">
        <v>153</v>
      </c>
      <c r="V97" s="54" t="s">
        <v>153</v>
      </c>
      <c r="W97" s="28" t="s">
        <v>163</v>
      </c>
      <c r="X97" s="26" t="s">
        <v>1197</v>
      </c>
      <c r="Y97" s="26" t="s">
        <v>1197</v>
      </c>
      <c r="Z97" s="26" t="s">
        <v>1197</v>
      </c>
      <c r="AA97" s="26" t="s">
        <v>1197</v>
      </c>
      <c r="AB97" s="24" t="s">
        <v>153</v>
      </c>
      <c r="AC97" s="28" t="s">
        <v>163</v>
      </c>
      <c r="AD97" s="28" t="s">
        <v>163</v>
      </c>
      <c r="AE97" s="28" t="s">
        <v>163</v>
      </c>
      <c r="AF97" s="28" t="s">
        <v>163</v>
      </c>
      <c r="AG97" s="28" t="s">
        <v>163</v>
      </c>
      <c r="AH97" s="28" t="s">
        <v>163</v>
      </c>
      <c r="AI97" s="24" t="s">
        <v>153</v>
      </c>
      <c r="AJ97" s="26" t="s">
        <v>1197</v>
      </c>
      <c r="AK97" s="26" t="s">
        <v>1197</v>
      </c>
      <c r="AL97" s="26" t="s">
        <v>1197</v>
      </c>
      <c r="AM97" s="26" t="s">
        <v>1197</v>
      </c>
      <c r="AN97" s="26" t="s">
        <v>1197</v>
      </c>
      <c r="AO97" s="26" t="s">
        <v>1197</v>
      </c>
      <c r="AP97" s="23">
        <f>VALUE(3)</f>
        <v>3</v>
      </c>
      <c r="AQ97" s="23">
        <f>VALUE(0)</f>
        <v>0</v>
      </c>
      <c r="AR97" s="23">
        <f>VALUE(0)</f>
        <v>0</v>
      </c>
      <c r="AS97" s="23">
        <f>VALUE(0)</f>
        <v>0</v>
      </c>
      <c r="AT97" s="23">
        <f>VALUE(0)</f>
        <v>0</v>
      </c>
      <c r="AU97" s="23">
        <f>VALUE(7)</f>
        <v>7</v>
      </c>
      <c r="AV97" s="23">
        <f>VALUE(0)</f>
        <v>0</v>
      </c>
      <c r="AW97" s="23">
        <f>VALUE(0)</f>
        <v>0</v>
      </c>
      <c r="AX97" s="23" t="s">
        <v>176</v>
      </c>
      <c r="AY97" s="23" t="s">
        <v>330</v>
      </c>
      <c r="AZ97" s="23">
        <f>VALUE(0)</f>
        <v>0</v>
      </c>
      <c r="BA97" s="23">
        <f>VALUE(0)</f>
        <v>0</v>
      </c>
      <c r="BB97" s="23">
        <f>VALUE(0)</f>
        <v>0</v>
      </c>
      <c r="BC97" s="23">
        <f>VALUE(0)</f>
        <v>0</v>
      </c>
      <c r="BD97" s="23">
        <f>VALUE(0)</f>
        <v>0</v>
      </c>
      <c r="BE97" s="23">
        <f>VALUE(0)</f>
        <v>0</v>
      </c>
      <c r="BF97" s="23">
        <f>VALUE(0)</f>
        <v>0</v>
      </c>
      <c r="BG97" s="23">
        <f>VALUE(0)</f>
        <v>0</v>
      </c>
      <c r="BH97" s="23">
        <f>VALUE(0)</f>
        <v>0</v>
      </c>
      <c r="BI97" s="23">
        <f>VALUE(0)</f>
        <v>0</v>
      </c>
      <c r="BJ97" s="23">
        <f>VALUE(0)</f>
        <v>0</v>
      </c>
      <c r="BK97" s="12">
        <f>$AX$97*24</f>
        <v>0</v>
      </c>
      <c r="BL97" s="12">
        <f>$AY$97*24</f>
        <v>22.9</v>
      </c>
      <c r="BM97" s="12">
        <f>$BJ$97*24</f>
        <v>0</v>
      </c>
      <c r="BN97" s="12">
        <f>VALUE($I$97)/100</f>
        <v>1</v>
      </c>
      <c r="BO97" s="12">
        <v>0</v>
      </c>
      <c r="BP97" s="12">
        <v>0</v>
      </c>
      <c r="BQ97" s="12">
        <v>0</v>
      </c>
      <c r="BR97" s="12">
        <v>0</v>
      </c>
      <c r="BS97" s="12">
        <v>0</v>
      </c>
      <c r="BT97" s="12">
        <v>0</v>
      </c>
      <c r="BU97" s="12">
        <v>0</v>
      </c>
      <c r="BV97" s="12">
        <v>0</v>
      </c>
      <c r="BW97" s="12">
        <v>0</v>
      </c>
      <c r="BX97" s="12">
        <v>0</v>
      </c>
      <c r="BY97" s="12">
        <v>0</v>
      </c>
      <c r="BZ97" s="12">
        <v>0</v>
      </c>
      <c r="CA97" s="12">
        <v>0</v>
      </c>
    </row>
    <row r="98" spans="1:79" ht="16.5" hidden="1" x14ac:dyDescent="0.2">
      <c r="A98" s="12" t="s">
        <v>102</v>
      </c>
      <c r="B98" s="12" t="s">
        <v>112</v>
      </c>
      <c r="C98" s="12" t="s">
        <v>112</v>
      </c>
      <c r="D98" s="22" t="s">
        <v>159</v>
      </c>
      <c r="E98" s="22" t="s">
        <v>159</v>
      </c>
      <c r="F98" s="22" t="s">
        <v>745</v>
      </c>
      <c r="G98" s="22" t="s">
        <v>746</v>
      </c>
      <c r="H98" s="22" t="s">
        <v>150</v>
      </c>
      <c r="I98" s="22" t="s">
        <v>151</v>
      </c>
      <c r="J98" s="22" t="s">
        <v>162</v>
      </c>
      <c r="K98" s="22" t="s">
        <v>73</v>
      </c>
      <c r="L98" s="54" t="s">
        <v>153</v>
      </c>
      <c r="M98" s="23" t="s">
        <v>169</v>
      </c>
      <c r="N98" s="24" t="s">
        <v>153</v>
      </c>
      <c r="O98" s="23" t="s">
        <v>160</v>
      </c>
      <c r="P98" s="23" t="s">
        <v>160</v>
      </c>
      <c r="Q98" s="23" t="s">
        <v>160</v>
      </c>
      <c r="R98" s="23" t="s">
        <v>160</v>
      </c>
      <c r="S98" s="23" t="s">
        <v>160</v>
      </c>
      <c r="T98" s="23" t="s">
        <v>160</v>
      </c>
      <c r="U98" s="24" t="s">
        <v>153</v>
      </c>
      <c r="V98" s="54" t="s">
        <v>153</v>
      </c>
      <c r="W98" s="26" t="s">
        <v>1197</v>
      </c>
      <c r="X98" s="28" t="s">
        <v>163</v>
      </c>
      <c r="Y98" s="28" t="s">
        <v>163</v>
      </c>
      <c r="Z98" s="28" t="s">
        <v>163</v>
      </c>
      <c r="AA98" s="28" t="s">
        <v>163</v>
      </c>
      <c r="AB98" s="24" t="s">
        <v>153</v>
      </c>
      <c r="AC98" s="26" t="s">
        <v>1197</v>
      </c>
      <c r="AD98" s="26" t="s">
        <v>1197</v>
      </c>
      <c r="AE98" s="26" t="s">
        <v>1197</v>
      </c>
      <c r="AF98" s="23" t="s">
        <v>154</v>
      </c>
      <c r="AG98" s="23" t="s">
        <v>154</v>
      </c>
      <c r="AH98" s="23" t="s">
        <v>154</v>
      </c>
      <c r="AI98" s="24" t="s">
        <v>153</v>
      </c>
      <c r="AJ98" s="23" t="s">
        <v>324</v>
      </c>
      <c r="AK98" s="23" t="s">
        <v>324</v>
      </c>
      <c r="AL98" s="23" t="s">
        <v>324</v>
      </c>
      <c r="AM98" s="23" t="s">
        <v>169</v>
      </c>
      <c r="AN98" s="23" t="s">
        <v>160</v>
      </c>
      <c r="AO98" s="23" t="s">
        <v>160</v>
      </c>
      <c r="AP98" s="23">
        <f>VALUE(3)</f>
        <v>3</v>
      </c>
      <c r="AQ98" s="23">
        <f>VALUE(0)</f>
        <v>0</v>
      </c>
      <c r="AR98" s="23">
        <f>VALUE(0)</f>
        <v>0</v>
      </c>
      <c r="AS98" s="23">
        <f>VALUE(0)</f>
        <v>0</v>
      </c>
      <c r="AT98" s="23">
        <f>VALUE(0)</f>
        <v>0</v>
      </c>
      <c r="AU98" s="23">
        <f>VALUE(4)</f>
        <v>4</v>
      </c>
      <c r="AV98" s="23">
        <f>VALUE(2)</f>
        <v>2</v>
      </c>
      <c r="AW98" s="23">
        <f>VALUE(0)</f>
        <v>0</v>
      </c>
      <c r="AX98" s="23" t="s">
        <v>171</v>
      </c>
      <c r="AY98" s="23" t="s">
        <v>331</v>
      </c>
      <c r="AZ98" s="23">
        <f>VALUE(0)</f>
        <v>0</v>
      </c>
      <c r="BA98" s="23">
        <f>VALUE(0)</f>
        <v>0</v>
      </c>
      <c r="BB98" s="23">
        <f>VALUE(0)</f>
        <v>0</v>
      </c>
      <c r="BC98" s="23">
        <f>VALUE(0)</f>
        <v>0</v>
      </c>
      <c r="BD98" s="23">
        <f>VALUE(0)</f>
        <v>0</v>
      </c>
      <c r="BE98" s="23">
        <f>VALUE(0)</f>
        <v>0</v>
      </c>
      <c r="BF98" s="23">
        <f>VALUE(0)</f>
        <v>0</v>
      </c>
      <c r="BG98" s="23">
        <f>VALUE(0)</f>
        <v>0</v>
      </c>
      <c r="BH98" s="23">
        <f>VALUE(0)</f>
        <v>0</v>
      </c>
      <c r="BI98" s="23">
        <f>VALUE(0)</f>
        <v>0</v>
      </c>
      <c r="BJ98" s="23">
        <f>VALUE(0)</f>
        <v>0</v>
      </c>
      <c r="BK98" s="12">
        <f>$AX$98*24</f>
        <v>5.833333333333333</v>
      </c>
      <c r="BL98" s="12">
        <f>$AY$98*24</f>
        <v>16.416666666666668</v>
      </c>
      <c r="BM98" s="12">
        <f>$BJ$98*24</f>
        <v>0</v>
      </c>
      <c r="BN98" s="12">
        <f>VALUE($I$98)/100</f>
        <v>1</v>
      </c>
      <c r="BO98" s="12">
        <v>0</v>
      </c>
      <c r="BP98" s="12">
        <v>0</v>
      </c>
      <c r="BQ98" s="12">
        <v>0</v>
      </c>
      <c r="BR98" s="12">
        <v>0</v>
      </c>
      <c r="BS98" s="12">
        <v>0</v>
      </c>
      <c r="BT98" s="12">
        <v>0</v>
      </c>
      <c r="BU98" s="12">
        <v>0</v>
      </c>
      <c r="BV98" s="12">
        <v>0</v>
      </c>
      <c r="BW98" s="12">
        <v>0</v>
      </c>
      <c r="BX98" s="12">
        <v>0</v>
      </c>
      <c r="BY98" s="12">
        <v>0</v>
      </c>
      <c r="BZ98" s="12">
        <v>0</v>
      </c>
      <c r="CA98" s="12">
        <v>0</v>
      </c>
    </row>
    <row r="99" spans="1:79" hidden="1" x14ac:dyDescent="0.2">
      <c r="A99" s="12" t="s">
        <v>102</v>
      </c>
      <c r="B99" s="12" t="s">
        <v>112</v>
      </c>
      <c r="C99" s="12" t="s">
        <v>112</v>
      </c>
      <c r="D99" s="22" t="s">
        <v>1198</v>
      </c>
      <c r="E99" s="22" t="s">
        <v>332</v>
      </c>
      <c r="F99" s="22" t="s">
        <v>747</v>
      </c>
      <c r="G99" s="22" t="s">
        <v>748</v>
      </c>
      <c r="H99" s="22" t="s">
        <v>150</v>
      </c>
      <c r="I99" s="22" t="s">
        <v>151</v>
      </c>
      <c r="J99" s="22" t="s">
        <v>162</v>
      </c>
      <c r="K99" s="22" t="s">
        <v>73</v>
      </c>
      <c r="L99" s="54" t="s">
        <v>153</v>
      </c>
      <c r="M99" s="23" t="s">
        <v>167</v>
      </c>
      <c r="N99" s="24" t="s">
        <v>153</v>
      </c>
      <c r="O99" s="23" t="s">
        <v>154</v>
      </c>
      <c r="P99" s="23" t="s">
        <v>154</v>
      </c>
      <c r="Q99" s="23" t="s">
        <v>154</v>
      </c>
      <c r="R99" s="23" t="s">
        <v>157</v>
      </c>
      <c r="S99" s="23" t="s">
        <v>157</v>
      </c>
      <c r="T99" s="23" t="s">
        <v>157</v>
      </c>
      <c r="U99" s="24" t="s">
        <v>153</v>
      </c>
      <c r="V99" s="54" t="s">
        <v>153</v>
      </c>
      <c r="W99" s="25" t="s">
        <v>157</v>
      </c>
      <c r="X99" s="23" t="s">
        <v>157</v>
      </c>
      <c r="Y99" s="23" t="s">
        <v>165</v>
      </c>
      <c r="Z99" s="23" t="s">
        <v>165</v>
      </c>
      <c r="AA99" s="23" t="s">
        <v>165</v>
      </c>
      <c r="AB99" s="24" t="s">
        <v>153</v>
      </c>
      <c r="AC99" s="23" t="s">
        <v>327</v>
      </c>
      <c r="AD99" s="23" t="s">
        <v>327</v>
      </c>
      <c r="AE99" s="23" t="s">
        <v>327</v>
      </c>
      <c r="AF99" s="23" t="s">
        <v>153</v>
      </c>
      <c r="AG99" s="23" t="s">
        <v>153</v>
      </c>
      <c r="AH99" s="23" t="s">
        <v>153</v>
      </c>
      <c r="AI99" s="24" t="s">
        <v>153</v>
      </c>
      <c r="AJ99" s="23" t="s">
        <v>157</v>
      </c>
      <c r="AK99" s="23" t="s">
        <v>157</v>
      </c>
      <c r="AL99" s="23" t="s">
        <v>157</v>
      </c>
      <c r="AM99" s="25" t="s">
        <v>157</v>
      </c>
      <c r="AN99" s="25" t="s">
        <v>157</v>
      </c>
      <c r="AO99" s="23" t="s">
        <v>167</v>
      </c>
      <c r="AP99" s="23">
        <f>VALUE(4)</f>
        <v>4</v>
      </c>
      <c r="AQ99" s="23">
        <f>VALUE(0)</f>
        <v>0</v>
      </c>
      <c r="AR99" s="23">
        <f>VALUE(0)</f>
        <v>0</v>
      </c>
      <c r="AS99" s="23">
        <f>VALUE(3)</f>
        <v>3</v>
      </c>
      <c r="AT99" s="23">
        <f>VALUE(0)</f>
        <v>0</v>
      </c>
      <c r="AU99" s="23">
        <f>VALUE(0)</f>
        <v>0</v>
      </c>
      <c r="AV99" s="23">
        <f>VALUE(2)</f>
        <v>2</v>
      </c>
      <c r="AW99" s="23">
        <f>VALUE(0)</f>
        <v>0</v>
      </c>
      <c r="AX99" s="23" t="s">
        <v>158</v>
      </c>
      <c r="AY99" s="23" t="s">
        <v>171</v>
      </c>
      <c r="AZ99" s="23">
        <f>VALUE(0)</f>
        <v>0</v>
      </c>
      <c r="BA99" s="23">
        <f>VALUE(0)</f>
        <v>0</v>
      </c>
      <c r="BB99" s="23">
        <f>VALUE(0)</f>
        <v>0</v>
      </c>
      <c r="BC99" s="23">
        <f>VALUE(0)</f>
        <v>0</v>
      </c>
      <c r="BD99" s="23">
        <f>VALUE(0)</f>
        <v>0</v>
      </c>
      <c r="BE99" s="23">
        <f>VALUE(0)</f>
        <v>0</v>
      </c>
      <c r="BF99" s="23">
        <f>VALUE(0)</f>
        <v>0</v>
      </c>
      <c r="BG99" s="23">
        <f>VALUE(0)</f>
        <v>0</v>
      </c>
      <c r="BH99" s="23">
        <f>VALUE(0)</f>
        <v>0</v>
      </c>
      <c r="BI99" s="23">
        <f>VALUE(0)</f>
        <v>0</v>
      </c>
      <c r="BJ99" s="23">
        <f>VALUE(0)</f>
        <v>0</v>
      </c>
      <c r="BK99" s="12">
        <f>$AX$99*24</f>
        <v>11.666666666666666</v>
      </c>
      <c r="BL99" s="12">
        <f>$AY$99*24</f>
        <v>5.833333333333333</v>
      </c>
      <c r="BM99" s="12">
        <f>$BJ$99*24</f>
        <v>0</v>
      </c>
      <c r="BN99" s="12">
        <f>VALUE($I$99)/100</f>
        <v>1</v>
      </c>
      <c r="BO99" s="12">
        <v>0</v>
      </c>
      <c r="BP99" s="12">
        <v>0</v>
      </c>
      <c r="BQ99" s="12">
        <v>0</v>
      </c>
      <c r="BR99" s="12">
        <v>0</v>
      </c>
      <c r="BS99" s="12">
        <v>0</v>
      </c>
      <c r="BT99" s="12">
        <v>0</v>
      </c>
      <c r="BU99" s="12">
        <v>0</v>
      </c>
      <c r="BV99" s="12">
        <v>0</v>
      </c>
      <c r="BW99" s="12">
        <v>0</v>
      </c>
      <c r="BX99" s="12">
        <v>0</v>
      </c>
      <c r="BY99" s="12">
        <v>0</v>
      </c>
      <c r="BZ99" s="12">
        <v>0</v>
      </c>
      <c r="CA99" s="12">
        <v>0</v>
      </c>
    </row>
    <row r="100" spans="1:79" ht="15" hidden="1" x14ac:dyDescent="0.25">
      <c r="A100" s="12" t="s">
        <v>102</v>
      </c>
      <c r="B100" s="12" t="s">
        <v>112</v>
      </c>
      <c r="C100" s="12" t="s">
        <v>112</v>
      </c>
      <c r="D100" s="31" t="s">
        <v>590</v>
      </c>
      <c r="E100" s="31" t="s">
        <v>153</v>
      </c>
      <c r="F100" s="31" t="s">
        <v>175</v>
      </c>
      <c r="G100" s="31" t="s">
        <v>153</v>
      </c>
      <c r="H100" s="31" t="s">
        <v>153</v>
      </c>
      <c r="I100" s="31" t="s">
        <v>153</v>
      </c>
      <c r="J100" s="31" t="s">
        <v>153</v>
      </c>
      <c r="K100" s="31" t="s">
        <v>153</v>
      </c>
      <c r="L100" s="31">
        <f>VALUE(0)</f>
        <v>0</v>
      </c>
      <c r="M100" s="31">
        <f>VALUE(5)</f>
        <v>5</v>
      </c>
      <c r="N100" s="31">
        <f>VALUE(0)</f>
        <v>0</v>
      </c>
      <c r="O100" s="31">
        <f>VALUE(6)</f>
        <v>6</v>
      </c>
      <c r="P100" s="31">
        <f>VALUE(6)</f>
        <v>6</v>
      </c>
      <c r="Q100" s="31">
        <f>VALUE(7)</f>
        <v>7</v>
      </c>
      <c r="R100" s="31">
        <f>VALUE(7)</f>
        <v>7</v>
      </c>
      <c r="S100" s="31">
        <f>VALUE(7)</f>
        <v>7</v>
      </c>
      <c r="T100" s="31">
        <f>VALUE(7)</f>
        <v>7</v>
      </c>
      <c r="U100" s="31">
        <f>VALUE(0)</f>
        <v>0</v>
      </c>
      <c r="V100" s="31">
        <f>VALUE(0)</f>
        <v>0</v>
      </c>
      <c r="W100" s="31">
        <f>VALUE(6)</f>
        <v>6</v>
      </c>
      <c r="X100" s="31">
        <f>VALUE(6)</f>
        <v>6</v>
      </c>
      <c r="Y100" s="31">
        <f>VALUE(6)</f>
        <v>6</v>
      </c>
      <c r="Z100" s="31">
        <f>VALUE(5)</f>
        <v>5</v>
      </c>
      <c r="AA100" s="31">
        <f>VALUE(6)</f>
        <v>6</v>
      </c>
      <c r="AB100" s="31">
        <f>VALUE(0)</f>
        <v>0</v>
      </c>
      <c r="AC100" s="31">
        <f>VALUE(4)</f>
        <v>4</v>
      </c>
      <c r="AD100" s="31">
        <f>VALUE(4)</f>
        <v>4</v>
      </c>
      <c r="AE100" s="31">
        <f>VALUE(4)</f>
        <v>4</v>
      </c>
      <c r="AF100" s="31">
        <f>VALUE(4)</f>
        <v>4</v>
      </c>
      <c r="AG100" s="31">
        <f>VALUE(4)</f>
        <v>4</v>
      </c>
      <c r="AH100" s="31">
        <f>VALUE(4)</f>
        <v>4</v>
      </c>
      <c r="AI100" s="31">
        <f>VALUE(0)</f>
        <v>0</v>
      </c>
      <c r="AJ100" s="31">
        <f>VALUE(6)</f>
        <v>6</v>
      </c>
      <c r="AK100" s="31">
        <f>VALUE(6)</f>
        <v>6</v>
      </c>
      <c r="AL100" s="31">
        <f>VALUE(6)</f>
        <v>6</v>
      </c>
      <c r="AM100" s="31">
        <f>VALUE(6)</f>
        <v>6</v>
      </c>
      <c r="AN100" s="31">
        <f>VALUE(6)</f>
        <v>6</v>
      </c>
      <c r="AO100" s="31">
        <f>VALUE(6)</f>
        <v>6</v>
      </c>
      <c r="AP100" s="31">
        <v>0</v>
      </c>
      <c r="AQ100" s="31">
        <v>0</v>
      </c>
      <c r="AR100" s="31">
        <v>0</v>
      </c>
      <c r="AS100" s="31">
        <v>0</v>
      </c>
      <c r="AT100" s="31">
        <v>0</v>
      </c>
      <c r="AU100" s="31">
        <v>0</v>
      </c>
      <c r="AV100" s="31">
        <v>0</v>
      </c>
      <c r="AW100" s="31">
        <v>0</v>
      </c>
      <c r="AX100" s="31">
        <v>0</v>
      </c>
      <c r="AY100" s="31">
        <v>0</v>
      </c>
      <c r="AZ100" s="31">
        <v>0</v>
      </c>
      <c r="BA100" s="31">
        <v>0</v>
      </c>
      <c r="BB100" s="31">
        <v>0</v>
      </c>
      <c r="BC100" s="31">
        <v>0</v>
      </c>
      <c r="BD100" s="31">
        <v>0</v>
      </c>
      <c r="BE100" s="31">
        <v>0</v>
      </c>
      <c r="BF100" s="31">
        <v>0</v>
      </c>
      <c r="BG100" s="31">
        <v>0</v>
      </c>
      <c r="BH100" s="31">
        <v>0</v>
      </c>
      <c r="BI100" s="31">
        <v>0</v>
      </c>
      <c r="BJ100" s="31">
        <v>0</v>
      </c>
      <c r="BK100" s="12">
        <v>0</v>
      </c>
      <c r="BL100" s="12">
        <v>0</v>
      </c>
      <c r="BM100" s="12">
        <v>0</v>
      </c>
      <c r="BN100" s="12"/>
      <c r="BO100" s="12">
        <v>0</v>
      </c>
      <c r="BP100" s="12">
        <v>0</v>
      </c>
      <c r="BQ100" s="12">
        <v>0</v>
      </c>
      <c r="BR100" s="12">
        <v>0</v>
      </c>
      <c r="BS100" s="12">
        <v>0</v>
      </c>
      <c r="BT100" s="12">
        <v>0</v>
      </c>
      <c r="BU100" s="12">
        <v>0</v>
      </c>
      <c r="BV100" s="12">
        <v>0</v>
      </c>
      <c r="BW100" s="12">
        <v>0</v>
      </c>
      <c r="BX100" s="12">
        <v>0</v>
      </c>
      <c r="BY100" s="12">
        <v>0</v>
      </c>
      <c r="BZ100" s="12">
        <v>0</v>
      </c>
      <c r="CA100" s="12">
        <v>0</v>
      </c>
    </row>
    <row r="101" spans="1:79" hidden="1" x14ac:dyDescent="0.2">
      <c r="A101" s="12" t="s">
        <v>113</v>
      </c>
      <c r="B101" s="12" t="s">
        <v>114</v>
      </c>
      <c r="C101" s="12" t="s">
        <v>114</v>
      </c>
      <c r="D101" s="22" t="s">
        <v>334</v>
      </c>
      <c r="E101" s="22" t="s">
        <v>149</v>
      </c>
      <c r="F101" s="22" t="s">
        <v>749</v>
      </c>
      <c r="G101" s="22" t="s">
        <v>750</v>
      </c>
      <c r="H101" s="22" t="s">
        <v>150</v>
      </c>
      <c r="I101" s="22" t="s">
        <v>151</v>
      </c>
      <c r="J101" s="22" t="s">
        <v>335</v>
      </c>
      <c r="K101" s="22" t="s">
        <v>74</v>
      </c>
      <c r="L101" s="54" t="s">
        <v>153</v>
      </c>
      <c r="M101" s="24" t="s">
        <v>153</v>
      </c>
      <c r="N101" s="24" t="s">
        <v>153</v>
      </c>
      <c r="O101" s="23" t="s">
        <v>153</v>
      </c>
      <c r="P101" s="23" t="s">
        <v>153</v>
      </c>
      <c r="Q101" s="24" t="s">
        <v>156</v>
      </c>
      <c r="R101" s="23" t="s">
        <v>153</v>
      </c>
      <c r="S101" s="23" t="s">
        <v>153</v>
      </c>
      <c r="T101" s="24" t="s">
        <v>153</v>
      </c>
      <c r="U101" s="24" t="s">
        <v>153</v>
      </c>
      <c r="V101" s="54" t="s">
        <v>153</v>
      </c>
      <c r="W101" s="23" t="s">
        <v>153</v>
      </c>
      <c r="X101" s="23" t="s">
        <v>153</v>
      </c>
      <c r="Y101" s="23" t="s">
        <v>153</v>
      </c>
      <c r="Z101" s="23" t="s">
        <v>153</v>
      </c>
      <c r="AA101" s="24" t="s">
        <v>153</v>
      </c>
      <c r="AB101" s="24" t="s">
        <v>153</v>
      </c>
      <c r="AC101" s="23" t="s">
        <v>153</v>
      </c>
      <c r="AD101" s="23" t="s">
        <v>153</v>
      </c>
      <c r="AE101" s="24" t="s">
        <v>156</v>
      </c>
      <c r="AF101" s="23" t="s">
        <v>153</v>
      </c>
      <c r="AG101" s="23" t="s">
        <v>153</v>
      </c>
      <c r="AH101" s="24" t="s">
        <v>153</v>
      </c>
      <c r="AI101" s="24" t="s">
        <v>153</v>
      </c>
      <c r="AJ101" s="23" t="s">
        <v>153</v>
      </c>
      <c r="AK101" s="23" t="s">
        <v>153</v>
      </c>
      <c r="AL101" s="23" t="s">
        <v>153</v>
      </c>
      <c r="AM101" s="23" t="s">
        <v>153</v>
      </c>
      <c r="AN101" s="23" t="s">
        <v>153</v>
      </c>
      <c r="AO101" s="24" t="s">
        <v>153</v>
      </c>
      <c r="AP101" s="23">
        <f>VALUE(0)</f>
        <v>0</v>
      </c>
      <c r="AQ101" s="23">
        <f>VALUE(0)</f>
        <v>0</v>
      </c>
      <c r="AR101" s="23">
        <f>VALUE(0)</f>
        <v>0</v>
      </c>
      <c r="AS101" s="23">
        <f>VALUE(0)</f>
        <v>0</v>
      </c>
      <c r="AT101" s="23">
        <f>VALUE(0)</f>
        <v>0</v>
      </c>
      <c r="AU101" s="23">
        <f>VALUE(0)</f>
        <v>0</v>
      </c>
      <c r="AV101" s="23">
        <f>VALUE(6)</f>
        <v>6</v>
      </c>
      <c r="AW101" s="23">
        <f>VALUE(0)</f>
        <v>0</v>
      </c>
      <c r="AX101" s="23" t="s">
        <v>1199</v>
      </c>
      <c r="AY101" s="23">
        <f>VALUE(0)</f>
        <v>0</v>
      </c>
      <c r="AZ101" s="23">
        <f>VALUE(0)</f>
        <v>0</v>
      </c>
      <c r="BA101" s="23">
        <f>VALUE(0)</f>
        <v>0</v>
      </c>
      <c r="BB101" s="23">
        <f>VALUE(0)</f>
        <v>0</v>
      </c>
      <c r="BC101" s="23">
        <f>VALUE(0)</f>
        <v>0</v>
      </c>
      <c r="BD101" s="23">
        <f>VALUE(0)</f>
        <v>0</v>
      </c>
      <c r="BE101" s="23">
        <f>VALUE(0)</f>
        <v>0</v>
      </c>
      <c r="BF101" s="23">
        <f>VALUE(0)</f>
        <v>0</v>
      </c>
      <c r="BG101" s="23">
        <f>VALUE(0)</f>
        <v>0</v>
      </c>
      <c r="BH101" s="23">
        <f>VALUE(0)</f>
        <v>0</v>
      </c>
      <c r="BI101" s="23">
        <f>VALUE(0)</f>
        <v>0</v>
      </c>
      <c r="BJ101" s="23">
        <f>VALUE(0)</f>
        <v>0</v>
      </c>
      <c r="BK101" s="12">
        <f>$AX$101*24</f>
        <v>7</v>
      </c>
      <c r="BL101" s="12">
        <f>$AY$101*24</f>
        <v>0</v>
      </c>
      <c r="BM101" s="12">
        <f>$BJ$101*24</f>
        <v>0</v>
      </c>
      <c r="BN101" s="12">
        <f>VALUE($I$101)/100</f>
        <v>1</v>
      </c>
      <c r="BO101" s="12">
        <v>0</v>
      </c>
      <c r="BP101" s="12">
        <v>0</v>
      </c>
      <c r="BQ101" s="12">
        <v>0</v>
      </c>
      <c r="BR101" s="12">
        <v>0</v>
      </c>
      <c r="BS101" s="12">
        <v>0</v>
      </c>
      <c r="BT101" s="12">
        <v>0</v>
      </c>
      <c r="BU101" s="12">
        <v>0</v>
      </c>
      <c r="BV101" s="12">
        <v>0</v>
      </c>
      <c r="BW101" s="12">
        <v>0</v>
      </c>
      <c r="BX101" s="12">
        <v>0</v>
      </c>
      <c r="BY101" s="12">
        <v>0</v>
      </c>
      <c r="BZ101" s="12">
        <v>0</v>
      </c>
      <c r="CA101" s="12">
        <v>0</v>
      </c>
    </row>
    <row r="102" spans="1:79" ht="15" hidden="1" x14ac:dyDescent="0.25">
      <c r="A102" s="12" t="s">
        <v>113</v>
      </c>
      <c r="B102" s="12" t="s">
        <v>114</v>
      </c>
      <c r="C102" s="12" t="s">
        <v>114</v>
      </c>
      <c r="D102" s="31" t="s">
        <v>262</v>
      </c>
      <c r="E102" s="31" t="s">
        <v>153</v>
      </c>
      <c r="F102" s="31" t="s">
        <v>175</v>
      </c>
      <c r="G102" s="31" t="s">
        <v>153</v>
      </c>
      <c r="H102" s="31" t="s">
        <v>153</v>
      </c>
      <c r="I102" s="31" t="s">
        <v>153</v>
      </c>
      <c r="J102" s="31" t="s">
        <v>153</v>
      </c>
      <c r="K102" s="31" t="s">
        <v>153</v>
      </c>
      <c r="L102" s="31">
        <f>VALUE(0)</f>
        <v>0</v>
      </c>
      <c r="M102" s="31">
        <f>VALUE(0)</f>
        <v>0</v>
      </c>
      <c r="N102" s="31">
        <f>VALUE(0)</f>
        <v>0</v>
      </c>
      <c r="O102" s="31">
        <f>VALUE(1)</f>
        <v>1</v>
      </c>
      <c r="P102" s="31">
        <f>VALUE(1)</f>
        <v>1</v>
      </c>
      <c r="Q102" s="31">
        <f>VALUE(0)</f>
        <v>0</v>
      </c>
      <c r="R102" s="31">
        <f>VALUE(1)</f>
        <v>1</v>
      </c>
      <c r="S102" s="31">
        <f>VALUE(1)</f>
        <v>1</v>
      </c>
      <c r="T102" s="31">
        <f>VALUE(0)</f>
        <v>0</v>
      </c>
      <c r="U102" s="31">
        <f>VALUE(0)</f>
        <v>0</v>
      </c>
      <c r="V102" s="31">
        <f>VALUE(0)</f>
        <v>0</v>
      </c>
      <c r="W102" s="31">
        <f>VALUE(1)</f>
        <v>1</v>
      </c>
      <c r="X102" s="31">
        <f>VALUE(1)</f>
        <v>1</v>
      </c>
      <c r="Y102" s="31">
        <f>VALUE(1)</f>
        <v>1</v>
      </c>
      <c r="Z102" s="31">
        <f>VALUE(1)</f>
        <v>1</v>
      </c>
      <c r="AA102" s="31">
        <f>VALUE(0)</f>
        <v>0</v>
      </c>
      <c r="AB102" s="31">
        <f>VALUE(0)</f>
        <v>0</v>
      </c>
      <c r="AC102" s="31">
        <f>VALUE(1)</f>
        <v>1</v>
      </c>
      <c r="AD102" s="31">
        <f>VALUE(1)</f>
        <v>1</v>
      </c>
      <c r="AE102" s="31">
        <f>VALUE(0)</f>
        <v>0</v>
      </c>
      <c r="AF102" s="31">
        <f>VALUE(1)</f>
        <v>1</v>
      </c>
      <c r="AG102" s="31">
        <f>VALUE(1)</f>
        <v>1</v>
      </c>
      <c r="AH102" s="31">
        <f>VALUE(0)</f>
        <v>0</v>
      </c>
      <c r="AI102" s="31">
        <f>VALUE(0)</f>
        <v>0</v>
      </c>
      <c r="AJ102" s="31">
        <f>VALUE(1)</f>
        <v>1</v>
      </c>
      <c r="AK102" s="31">
        <f>VALUE(1)</f>
        <v>1</v>
      </c>
      <c r="AL102" s="31">
        <f>VALUE(1)</f>
        <v>1</v>
      </c>
      <c r="AM102" s="31">
        <f>VALUE(1)</f>
        <v>1</v>
      </c>
      <c r="AN102" s="31">
        <f>VALUE(1)</f>
        <v>1</v>
      </c>
      <c r="AO102" s="31">
        <f>VALUE(0)</f>
        <v>0</v>
      </c>
      <c r="AP102" s="31">
        <v>0</v>
      </c>
      <c r="AQ102" s="31">
        <v>0</v>
      </c>
      <c r="AR102" s="31">
        <v>0</v>
      </c>
      <c r="AS102" s="31">
        <v>0</v>
      </c>
      <c r="AT102" s="31">
        <v>0</v>
      </c>
      <c r="AU102" s="31">
        <v>0</v>
      </c>
      <c r="AV102" s="31">
        <v>0</v>
      </c>
      <c r="AW102" s="31">
        <v>0</v>
      </c>
      <c r="AX102" s="31">
        <v>0</v>
      </c>
      <c r="AY102" s="31">
        <v>0</v>
      </c>
      <c r="AZ102" s="31">
        <v>0</v>
      </c>
      <c r="BA102" s="31">
        <v>0</v>
      </c>
      <c r="BB102" s="31">
        <v>0</v>
      </c>
      <c r="BC102" s="31">
        <v>0</v>
      </c>
      <c r="BD102" s="31">
        <v>0</v>
      </c>
      <c r="BE102" s="31">
        <v>0</v>
      </c>
      <c r="BF102" s="31">
        <v>0</v>
      </c>
      <c r="BG102" s="31">
        <v>0</v>
      </c>
      <c r="BH102" s="31">
        <v>0</v>
      </c>
      <c r="BI102" s="31">
        <v>0</v>
      </c>
      <c r="BJ102" s="31">
        <v>0</v>
      </c>
      <c r="BK102" s="12">
        <v>0</v>
      </c>
      <c r="BL102" s="12">
        <v>0</v>
      </c>
      <c r="BM102" s="12">
        <v>0</v>
      </c>
      <c r="BN102" s="12"/>
      <c r="BO102" s="12">
        <v>0</v>
      </c>
      <c r="BP102" s="12">
        <v>0</v>
      </c>
      <c r="BQ102" s="12">
        <v>0</v>
      </c>
      <c r="BR102" s="12">
        <v>0</v>
      </c>
      <c r="BS102" s="12">
        <v>0</v>
      </c>
      <c r="BT102" s="12">
        <v>0</v>
      </c>
      <c r="BU102" s="12">
        <v>0</v>
      </c>
      <c r="BV102" s="12">
        <v>0</v>
      </c>
      <c r="BW102" s="12">
        <v>0</v>
      </c>
      <c r="BX102" s="12">
        <v>0</v>
      </c>
      <c r="BY102" s="12">
        <v>0</v>
      </c>
      <c r="BZ102" s="12">
        <v>0</v>
      </c>
      <c r="CA102" s="12">
        <v>0</v>
      </c>
    </row>
    <row r="103" spans="1:79" hidden="1" x14ac:dyDescent="0.2">
      <c r="A103" s="12" t="s">
        <v>113</v>
      </c>
      <c r="B103" s="12" t="s">
        <v>115</v>
      </c>
      <c r="C103" s="12" t="s">
        <v>115</v>
      </c>
      <c r="D103" s="22" t="s">
        <v>336</v>
      </c>
      <c r="E103" s="22" t="s">
        <v>149</v>
      </c>
      <c r="F103" s="22" t="s">
        <v>749</v>
      </c>
      <c r="G103" s="22" t="s">
        <v>750</v>
      </c>
      <c r="H103" s="22" t="s">
        <v>166</v>
      </c>
      <c r="I103" s="22" t="s">
        <v>151</v>
      </c>
      <c r="J103" s="22" t="s">
        <v>337</v>
      </c>
      <c r="K103" s="22" t="s">
        <v>75</v>
      </c>
      <c r="L103" s="54" t="s">
        <v>153</v>
      </c>
      <c r="M103" s="24" t="s">
        <v>153</v>
      </c>
      <c r="N103" s="24" t="s">
        <v>153</v>
      </c>
      <c r="O103" s="23" t="s">
        <v>153</v>
      </c>
      <c r="P103" s="23" t="s">
        <v>153</v>
      </c>
      <c r="Q103" s="23" t="s">
        <v>153</v>
      </c>
      <c r="R103" s="23" t="s">
        <v>153</v>
      </c>
      <c r="S103" s="23" t="s">
        <v>153</v>
      </c>
      <c r="T103" s="24" t="s">
        <v>153</v>
      </c>
      <c r="U103" s="24" t="s">
        <v>153</v>
      </c>
      <c r="V103" s="54" t="s">
        <v>153</v>
      </c>
      <c r="W103" s="23" t="s">
        <v>153</v>
      </c>
      <c r="X103" s="23" t="s">
        <v>153</v>
      </c>
      <c r="Y103" s="23" t="s">
        <v>153</v>
      </c>
      <c r="Z103" s="23" t="s">
        <v>153</v>
      </c>
      <c r="AA103" s="24" t="s">
        <v>153</v>
      </c>
      <c r="AB103" s="24" t="s">
        <v>153</v>
      </c>
      <c r="AC103" s="23" t="s">
        <v>153</v>
      </c>
      <c r="AD103" s="23" t="s">
        <v>153</v>
      </c>
      <c r="AE103" s="23" t="s">
        <v>153</v>
      </c>
      <c r="AF103" s="23" t="s">
        <v>153</v>
      </c>
      <c r="AG103" s="23" t="s">
        <v>153</v>
      </c>
      <c r="AH103" s="24" t="s">
        <v>153</v>
      </c>
      <c r="AI103" s="24" t="s">
        <v>153</v>
      </c>
      <c r="AJ103" s="23" t="s">
        <v>153</v>
      </c>
      <c r="AK103" s="23" t="s">
        <v>153</v>
      </c>
      <c r="AL103" s="23" t="s">
        <v>153</v>
      </c>
      <c r="AM103" s="23" t="s">
        <v>153</v>
      </c>
      <c r="AN103" s="23" t="s">
        <v>153</v>
      </c>
      <c r="AO103" s="24" t="s">
        <v>153</v>
      </c>
      <c r="AP103" s="23">
        <f>VALUE(0)</f>
        <v>0</v>
      </c>
      <c r="AQ103" s="23">
        <f>VALUE(0)</f>
        <v>0</v>
      </c>
      <c r="AR103" s="23">
        <f>VALUE(0)</f>
        <v>0</v>
      </c>
      <c r="AS103" s="23">
        <f>VALUE(0)</f>
        <v>0</v>
      </c>
      <c r="AT103" s="23">
        <f>VALUE(0)</f>
        <v>0</v>
      </c>
      <c r="AU103" s="23">
        <f>VALUE(0)</f>
        <v>0</v>
      </c>
      <c r="AV103" s="23">
        <f>VALUE(4)</f>
        <v>4</v>
      </c>
      <c r="AW103" s="23">
        <f>VALUE(0)</f>
        <v>0</v>
      </c>
      <c r="AX103" s="23">
        <f>VALUE(0)</f>
        <v>0</v>
      </c>
      <c r="AY103" s="23">
        <f>VALUE(0)</f>
        <v>0</v>
      </c>
      <c r="AZ103" s="23">
        <f>VALUE(0)</f>
        <v>0</v>
      </c>
      <c r="BA103" s="23">
        <f>VALUE(0)</f>
        <v>0</v>
      </c>
      <c r="BB103" s="23">
        <f>VALUE(0)</f>
        <v>0</v>
      </c>
      <c r="BC103" s="23">
        <f>VALUE(0)</f>
        <v>0</v>
      </c>
      <c r="BD103" s="23">
        <f>VALUE(0)</f>
        <v>0</v>
      </c>
      <c r="BE103" s="23">
        <f>VALUE(0)</f>
        <v>0</v>
      </c>
      <c r="BF103" s="23">
        <f>VALUE(0)</f>
        <v>0</v>
      </c>
      <c r="BG103" s="23">
        <f>VALUE(0)</f>
        <v>0</v>
      </c>
      <c r="BH103" s="23">
        <f>VALUE(0)</f>
        <v>0</v>
      </c>
      <c r="BI103" s="23">
        <f>VALUE(0)</f>
        <v>0</v>
      </c>
      <c r="BJ103" s="23">
        <f>VALUE(0)</f>
        <v>0</v>
      </c>
      <c r="BK103" s="12">
        <f>$AX$103*24</f>
        <v>0</v>
      </c>
      <c r="BL103" s="12">
        <f>$AY$103*24</f>
        <v>0</v>
      </c>
      <c r="BM103" s="12">
        <f>$BJ$103*24</f>
        <v>0</v>
      </c>
      <c r="BN103" s="12">
        <f>VALUE($I$103)/100</f>
        <v>1</v>
      </c>
      <c r="BO103" s="12">
        <v>0</v>
      </c>
      <c r="BP103" s="12">
        <v>0</v>
      </c>
      <c r="BQ103" s="12">
        <v>0</v>
      </c>
      <c r="BR103" s="12">
        <v>0</v>
      </c>
      <c r="BS103" s="12">
        <v>0</v>
      </c>
      <c r="BT103" s="12">
        <v>0</v>
      </c>
      <c r="BU103" s="12">
        <v>0</v>
      </c>
      <c r="BV103" s="12">
        <v>0</v>
      </c>
      <c r="BW103" s="12">
        <v>0</v>
      </c>
      <c r="BX103" s="12">
        <v>0</v>
      </c>
      <c r="BY103" s="12">
        <v>0</v>
      </c>
      <c r="BZ103" s="12">
        <v>0</v>
      </c>
      <c r="CA103" s="12">
        <v>0</v>
      </c>
    </row>
    <row r="104" spans="1:79" hidden="1" x14ac:dyDescent="0.2">
      <c r="A104" s="12" t="s">
        <v>113</v>
      </c>
      <c r="B104" s="12" t="s">
        <v>115</v>
      </c>
      <c r="C104" s="12" t="s">
        <v>115</v>
      </c>
      <c r="D104" s="22" t="s">
        <v>339</v>
      </c>
      <c r="E104" s="22" t="s">
        <v>173</v>
      </c>
      <c r="F104" s="22" t="s">
        <v>1200</v>
      </c>
      <c r="G104" s="22" t="s">
        <v>751</v>
      </c>
      <c r="H104" s="22" t="s">
        <v>166</v>
      </c>
      <c r="I104" s="22" t="s">
        <v>151</v>
      </c>
      <c r="J104" s="22" t="s">
        <v>340</v>
      </c>
      <c r="K104" s="22" t="s">
        <v>75</v>
      </c>
      <c r="L104" s="54" t="s">
        <v>153</v>
      </c>
      <c r="M104" s="24" t="s">
        <v>153</v>
      </c>
      <c r="N104" s="24" t="s">
        <v>153</v>
      </c>
      <c r="O104" s="23" t="s">
        <v>153</v>
      </c>
      <c r="P104" s="23" t="s">
        <v>153</v>
      </c>
      <c r="Q104" s="23" t="s">
        <v>153</v>
      </c>
      <c r="R104" s="23" t="s">
        <v>153</v>
      </c>
      <c r="S104" s="23" t="s">
        <v>153</v>
      </c>
      <c r="T104" s="24" t="s">
        <v>153</v>
      </c>
      <c r="U104" s="24" t="s">
        <v>153</v>
      </c>
      <c r="V104" s="54" t="s">
        <v>153</v>
      </c>
      <c r="W104" s="23" t="s">
        <v>153</v>
      </c>
      <c r="X104" s="23" t="s">
        <v>153</v>
      </c>
      <c r="Y104" s="23" t="s">
        <v>153</v>
      </c>
      <c r="Z104" s="23" t="s">
        <v>153</v>
      </c>
      <c r="AA104" s="24" t="s">
        <v>153</v>
      </c>
      <c r="AB104" s="24" t="s">
        <v>153</v>
      </c>
      <c r="AC104" s="23" t="s">
        <v>153</v>
      </c>
      <c r="AD104" s="23" t="s">
        <v>153</v>
      </c>
      <c r="AE104" s="23" t="s">
        <v>153</v>
      </c>
      <c r="AF104" s="23" t="s">
        <v>153</v>
      </c>
      <c r="AG104" s="23" t="s">
        <v>153</v>
      </c>
      <c r="AH104" s="24" t="s">
        <v>153</v>
      </c>
      <c r="AI104" s="24" t="s">
        <v>153</v>
      </c>
      <c r="AJ104" s="23" t="s">
        <v>153</v>
      </c>
      <c r="AK104" s="23" t="s">
        <v>153</v>
      </c>
      <c r="AL104" s="23" t="s">
        <v>153</v>
      </c>
      <c r="AM104" s="23" t="s">
        <v>153</v>
      </c>
      <c r="AN104" s="23" t="s">
        <v>153</v>
      </c>
      <c r="AO104" s="24" t="s">
        <v>153</v>
      </c>
      <c r="AP104" s="23">
        <f>VALUE(0)</f>
        <v>0</v>
      </c>
      <c r="AQ104" s="23">
        <f>VALUE(0)</f>
        <v>0</v>
      </c>
      <c r="AR104" s="23">
        <f>VALUE(0)</f>
        <v>0</v>
      </c>
      <c r="AS104" s="23">
        <f>VALUE(0)</f>
        <v>0</v>
      </c>
      <c r="AT104" s="23">
        <f>VALUE(0)</f>
        <v>0</v>
      </c>
      <c r="AU104" s="23">
        <f>VALUE(0)</f>
        <v>0</v>
      </c>
      <c r="AV104" s="23">
        <f>VALUE(6)</f>
        <v>6</v>
      </c>
      <c r="AW104" s="23">
        <f>VALUE(0)</f>
        <v>0</v>
      </c>
      <c r="AX104" s="23" t="s">
        <v>341</v>
      </c>
      <c r="AY104" s="23">
        <f>VALUE(0)</f>
        <v>0</v>
      </c>
      <c r="AZ104" s="23">
        <f>VALUE(0)</f>
        <v>0</v>
      </c>
      <c r="BA104" s="23">
        <f>VALUE(0)</f>
        <v>0</v>
      </c>
      <c r="BB104" s="23">
        <f>VALUE(0)</f>
        <v>0</v>
      </c>
      <c r="BC104" s="23">
        <f>VALUE(0)</f>
        <v>0</v>
      </c>
      <c r="BD104" s="23">
        <f>VALUE(0)</f>
        <v>0</v>
      </c>
      <c r="BE104" s="23">
        <f>VALUE(0)</f>
        <v>0</v>
      </c>
      <c r="BF104" s="23">
        <f>VALUE(0)</f>
        <v>0</v>
      </c>
      <c r="BG104" s="23">
        <f>VALUE(0)</f>
        <v>0</v>
      </c>
      <c r="BH104" s="23">
        <f>VALUE(0)</f>
        <v>0</v>
      </c>
      <c r="BI104" s="23">
        <f>VALUE(0)</f>
        <v>0</v>
      </c>
      <c r="BJ104" s="23">
        <f>VALUE(0)</f>
        <v>0</v>
      </c>
      <c r="BK104" s="12">
        <f>$AX$104*24</f>
        <v>0.78333333333333344</v>
      </c>
      <c r="BL104" s="12">
        <f>$AY$104*24</f>
        <v>0</v>
      </c>
      <c r="BM104" s="12">
        <f>$BJ$104*24</f>
        <v>0</v>
      </c>
      <c r="BN104" s="12">
        <f>VALUE($I$104)/100</f>
        <v>1</v>
      </c>
      <c r="BO104" s="12">
        <v>0</v>
      </c>
      <c r="BP104" s="12">
        <v>0</v>
      </c>
      <c r="BQ104" s="12">
        <v>0</v>
      </c>
      <c r="BR104" s="12">
        <v>0</v>
      </c>
      <c r="BS104" s="12">
        <v>0</v>
      </c>
      <c r="BT104" s="12">
        <v>0</v>
      </c>
      <c r="BU104" s="12">
        <v>0</v>
      </c>
      <c r="BV104" s="12">
        <v>0</v>
      </c>
      <c r="BW104" s="12">
        <v>0</v>
      </c>
      <c r="BX104" s="12">
        <v>0</v>
      </c>
      <c r="BY104" s="12">
        <v>0</v>
      </c>
      <c r="BZ104" s="12">
        <v>0</v>
      </c>
      <c r="CA104" s="12">
        <v>0</v>
      </c>
    </row>
    <row r="105" spans="1:79" ht="15" hidden="1" x14ac:dyDescent="0.25">
      <c r="A105" s="12" t="s">
        <v>113</v>
      </c>
      <c r="B105" s="12" t="s">
        <v>115</v>
      </c>
      <c r="C105" s="12" t="s">
        <v>115</v>
      </c>
      <c r="D105" s="31" t="s">
        <v>246</v>
      </c>
      <c r="E105" s="31" t="s">
        <v>153</v>
      </c>
      <c r="F105" s="31" t="s">
        <v>175</v>
      </c>
      <c r="G105" s="31" t="s">
        <v>153</v>
      </c>
      <c r="H105" s="31" t="s">
        <v>153</v>
      </c>
      <c r="I105" s="31" t="s">
        <v>153</v>
      </c>
      <c r="J105" s="31" t="s">
        <v>153</v>
      </c>
      <c r="K105" s="31" t="s">
        <v>153</v>
      </c>
      <c r="L105" s="31">
        <f>VALUE(0)</f>
        <v>0</v>
      </c>
      <c r="M105" s="31">
        <f>VALUE(0)</f>
        <v>0</v>
      </c>
      <c r="N105" s="31">
        <f>VALUE(0)</f>
        <v>0</v>
      </c>
      <c r="O105" s="31">
        <f>VALUE(2)</f>
        <v>2</v>
      </c>
      <c r="P105" s="31">
        <f>VALUE(2)</f>
        <v>2</v>
      </c>
      <c r="Q105" s="31">
        <f>VALUE(2)</f>
        <v>2</v>
      </c>
      <c r="R105" s="31">
        <f>VALUE(2)</f>
        <v>2</v>
      </c>
      <c r="S105" s="31">
        <f>VALUE(2)</f>
        <v>2</v>
      </c>
      <c r="T105" s="31">
        <f>VALUE(0)</f>
        <v>0</v>
      </c>
      <c r="U105" s="31">
        <f>VALUE(0)</f>
        <v>0</v>
      </c>
      <c r="V105" s="31">
        <f>VALUE(0)</f>
        <v>0</v>
      </c>
      <c r="W105" s="31">
        <f>VALUE(2)</f>
        <v>2</v>
      </c>
      <c r="X105" s="31">
        <f>VALUE(2)</f>
        <v>2</v>
      </c>
      <c r="Y105" s="31">
        <f>VALUE(2)</f>
        <v>2</v>
      </c>
      <c r="Z105" s="31">
        <f>VALUE(2)</f>
        <v>2</v>
      </c>
      <c r="AA105" s="31">
        <f>VALUE(0)</f>
        <v>0</v>
      </c>
      <c r="AB105" s="31">
        <f>VALUE(0)</f>
        <v>0</v>
      </c>
      <c r="AC105" s="31">
        <f>VALUE(2)</f>
        <v>2</v>
      </c>
      <c r="AD105" s="31">
        <f>VALUE(2)</f>
        <v>2</v>
      </c>
      <c r="AE105" s="31">
        <f>VALUE(2)</f>
        <v>2</v>
      </c>
      <c r="AF105" s="31">
        <f>VALUE(2)</f>
        <v>2</v>
      </c>
      <c r="AG105" s="31">
        <f>VALUE(2)</f>
        <v>2</v>
      </c>
      <c r="AH105" s="31">
        <f>VALUE(0)</f>
        <v>0</v>
      </c>
      <c r="AI105" s="31">
        <f>VALUE(0)</f>
        <v>0</v>
      </c>
      <c r="AJ105" s="31">
        <f>VALUE(2)</f>
        <v>2</v>
      </c>
      <c r="AK105" s="31">
        <f>VALUE(2)</f>
        <v>2</v>
      </c>
      <c r="AL105" s="31">
        <f>VALUE(2)</f>
        <v>2</v>
      </c>
      <c r="AM105" s="31">
        <f>VALUE(2)</f>
        <v>2</v>
      </c>
      <c r="AN105" s="31">
        <f>VALUE(2)</f>
        <v>2</v>
      </c>
      <c r="AO105" s="31">
        <f>VALUE(0)</f>
        <v>0</v>
      </c>
      <c r="AP105" s="31">
        <v>0</v>
      </c>
      <c r="AQ105" s="31">
        <v>0</v>
      </c>
      <c r="AR105" s="31">
        <v>0</v>
      </c>
      <c r="AS105" s="31">
        <v>0</v>
      </c>
      <c r="AT105" s="31">
        <v>0</v>
      </c>
      <c r="AU105" s="31">
        <v>0</v>
      </c>
      <c r="AV105" s="31">
        <v>0</v>
      </c>
      <c r="AW105" s="31">
        <v>0</v>
      </c>
      <c r="AX105" s="31">
        <v>0</v>
      </c>
      <c r="AY105" s="31">
        <v>0</v>
      </c>
      <c r="AZ105" s="31">
        <v>0</v>
      </c>
      <c r="BA105" s="31">
        <v>0</v>
      </c>
      <c r="BB105" s="31">
        <v>0</v>
      </c>
      <c r="BC105" s="31">
        <v>0</v>
      </c>
      <c r="BD105" s="31">
        <v>0</v>
      </c>
      <c r="BE105" s="31">
        <v>0</v>
      </c>
      <c r="BF105" s="31">
        <v>0</v>
      </c>
      <c r="BG105" s="31">
        <v>0</v>
      </c>
      <c r="BH105" s="31">
        <v>0</v>
      </c>
      <c r="BI105" s="31">
        <v>0</v>
      </c>
      <c r="BJ105" s="31">
        <v>0</v>
      </c>
      <c r="BK105" s="12">
        <v>0</v>
      </c>
      <c r="BL105" s="12">
        <v>0</v>
      </c>
      <c r="BM105" s="12">
        <v>0</v>
      </c>
      <c r="BN105" s="12"/>
      <c r="BO105" s="12">
        <v>0</v>
      </c>
      <c r="BP105" s="12">
        <v>0</v>
      </c>
      <c r="BQ105" s="12">
        <v>0</v>
      </c>
      <c r="BR105" s="12">
        <v>0</v>
      </c>
      <c r="BS105" s="12">
        <v>0</v>
      </c>
      <c r="BT105" s="12">
        <v>0</v>
      </c>
      <c r="BU105" s="12">
        <v>0</v>
      </c>
      <c r="BV105" s="12">
        <v>0</v>
      </c>
      <c r="BW105" s="12">
        <v>0</v>
      </c>
      <c r="BX105" s="12">
        <v>0</v>
      </c>
      <c r="BY105" s="12">
        <v>0</v>
      </c>
      <c r="BZ105" s="12">
        <v>0</v>
      </c>
      <c r="CA105" s="12">
        <v>0</v>
      </c>
    </row>
    <row r="106" spans="1:79" hidden="1" x14ac:dyDescent="0.2">
      <c r="A106" s="12" t="s">
        <v>113</v>
      </c>
      <c r="B106" s="12" t="s">
        <v>116</v>
      </c>
      <c r="C106" s="12" t="s">
        <v>116</v>
      </c>
      <c r="D106" s="22" t="s">
        <v>342</v>
      </c>
      <c r="E106" s="22" t="s">
        <v>173</v>
      </c>
      <c r="F106" s="22" t="s">
        <v>752</v>
      </c>
      <c r="G106" s="22" t="s">
        <v>753</v>
      </c>
      <c r="H106" s="22" t="s">
        <v>166</v>
      </c>
      <c r="I106" s="22" t="s">
        <v>343</v>
      </c>
      <c r="J106" s="22" t="s">
        <v>344</v>
      </c>
      <c r="K106" s="22" t="s">
        <v>76</v>
      </c>
      <c r="L106" s="54" t="s">
        <v>153</v>
      </c>
      <c r="M106" s="24" t="s">
        <v>153</v>
      </c>
      <c r="N106" s="24" t="s">
        <v>153</v>
      </c>
      <c r="O106" s="23" t="s">
        <v>153</v>
      </c>
      <c r="P106" s="23" t="s">
        <v>153</v>
      </c>
      <c r="Q106" s="23" t="s">
        <v>153</v>
      </c>
      <c r="R106" s="23" t="s">
        <v>153</v>
      </c>
      <c r="S106" s="23" t="s">
        <v>153</v>
      </c>
      <c r="T106" s="24" t="s">
        <v>153</v>
      </c>
      <c r="U106" s="24" t="s">
        <v>153</v>
      </c>
      <c r="V106" s="54" t="s">
        <v>156</v>
      </c>
      <c r="W106" s="23" t="s">
        <v>153</v>
      </c>
      <c r="X106" s="23" t="s">
        <v>153</v>
      </c>
      <c r="Y106" s="23" t="s">
        <v>153</v>
      </c>
      <c r="Z106" s="23" t="s">
        <v>153</v>
      </c>
      <c r="AA106" s="24" t="s">
        <v>153</v>
      </c>
      <c r="AB106" s="24" t="s">
        <v>153</v>
      </c>
      <c r="AC106" s="23" t="s">
        <v>153</v>
      </c>
      <c r="AD106" s="23" t="s">
        <v>153</v>
      </c>
      <c r="AE106" s="23" t="s">
        <v>153</v>
      </c>
      <c r="AF106" s="23" t="s">
        <v>153</v>
      </c>
      <c r="AG106" s="23" t="s">
        <v>153</v>
      </c>
      <c r="AH106" s="24" t="s">
        <v>153</v>
      </c>
      <c r="AI106" s="24" t="s">
        <v>153</v>
      </c>
      <c r="AJ106" s="24" t="s">
        <v>156</v>
      </c>
      <c r="AK106" s="23" t="s">
        <v>153</v>
      </c>
      <c r="AL106" s="23" t="s">
        <v>153</v>
      </c>
      <c r="AM106" s="23" t="s">
        <v>153</v>
      </c>
      <c r="AN106" s="23" t="s">
        <v>153</v>
      </c>
      <c r="AO106" s="24" t="s">
        <v>153</v>
      </c>
      <c r="AP106" s="23">
        <f>VALUE(0)</f>
        <v>0</v>
      </c>
      <c r="AQ106" s="23">
        <f>VALUE(0)</f>
        <v>0</v>
      </c>
      <c r="AR106" s="23">
        <f>VALUE(0)</f>
        <v>0</v>
      </c>
      <c r="AS106" s="23">
        <f>VALUE(0)</f>
        <v>0</v>
      </c>
      <c r="AT106" s="23">
        <f>VALUE(0)</f>
        <v>0</v>
      </c>
      <c r="AU106" s="23">
        <f>VALUE(0)</f>
        <v>0</v>
      </c>
      <c r="AV106" s="23">
        <f>VALUE(13)</f>
        <v>13</v>
      </c>
      <c r="AW106" s="23">
        <f>VALUE(0)</f>
        <v>0</v>
      </c>
      <c r="AX106" s="23" t="s">
        <v>1201</v>
      </c>
      <c r="AY106" s="23">
        <f>VALUE(0)</f>
        <v>0</v>
      </c>
      <c r="AZ106" s="23">
        <f>VALUE(0)</f>
        <v>0</v>
      </c>
      <c r="BA106" s="23">
        <f>VALUE(0)</f>
        <v>0</v>
      </c>
      <c r="BB106" s="23">
        <f>VALUE(0)</f>
        <v>0</v>
      </c>
      <c r="BC106" s="23">
        <f>VALUE(0)</f>
        <v>0</v>
      </c>
      <c r="BD106" s="23">
        <f>VALUE(0)</f>
        <v>0</v>
      </c>
      <c r="BE106" s="23">
        <f>VALUE(0)</f>
        <v>0</v>
      </c>
      <c r="BF106" s="23">
        <f>VALUE(0)</f>
        <v>0</v>
      </c>
      <c r="BG106" s="23">
        <f>VALUE(0)</f>
        <v>0</v>
      </c>
      <c r="BH106" s="23">
        <f>VALUE(0)</f>
        <v>0</v>
      </c>
      <c r="BI106" s="23">
        <f>VALUE(0)</f>
        <v>0</v>
      </c>
      <c r="BJ106" s="23">
        <f>VALUE(0)</f>
        <v>0</v>
      </c>
      <c r="BK106" s="12">
        <f>$AX$106*24</f>
        <v>77.566666666666663</v>
      </c>
      <c r="BL106" s="12">
        <f>$AY$106*24</f>
        <v>0</v>
      </c>
      <c r="BM106" s="12">
        <f>$BJ$106*24</f>
        <v>0</v>
      </c>
      <c r="BN106" s="12">
        <f>VALUE($I$106)/100</f>
        <v>0.7</v>
      </c>
      <c r="BO106" s="12">
        <v>0</v>
      </c>
      <c r="BP106" s="12">
        <v>0</v>
      </c>
      <c r="BQ106" s="12">
        <v>0</v>
      </c>
      <c r="BR106" s="12">
        <v>0</v>
      </c>
      <c r="BS106" s="12">
        <v>0</v>
      </c>
      <c r="BT106" s="12">
        <v>0</v>
      </c>
      <c r="BU106" s="12">
        <v>0</v>
      </c>
      <c r="BV106" s="12">
        <v>0</v>
      </c>
      <c r="BW106" s="12">
        <v>0</v>
      </c>
      <c r="BX106" s="12">
        <v>0</v>
      </c>
      <c r="BY106" s="12">
        <v>0</v>
      </c>
      <c r="BZ106" s="12">
        <v>0</v>
      </c>
      <c r="CA106" s="12">
        <v>0</v>
      </c>
    </row>
    <row r="107" spans="1:79" hidden="1" x14ac:dyDescent="0.2">
      <c r="A107" s="12" t="s">
        <v>113</v>
      </c>
      <c r="B107" s="12" t="s">
        <v>116</v>
      </c>
      <c r="C107" s="12" t="s">
        <v>116</v>
      </c>
      <c r="D107" s="22" t="s">
        <v>1202</v>
      </c>
      <c r="E107" s="22" t="s">
        <v>173</v>
      </c>
      <c r="F107" s="22" t="s">
        <v>754</v>
      </c>
      <c r="G107" s="22" t="s">
        <v>755</v>
      </c>
      <c r="H107" s="22" t="s">
        <v>190</v>
      </c>
      <c r="I107" s="22" t="s">
        <v>151</v>
      </c>
      <c r="J107" s="22" t="s">
        <v>1203</v>
      </c>
      <c r="K107" s="22" t="s">
        <v>76</v>
      </c>
      <c r="L107" s="54" t="s">
        <v>153</v>
      </c>
      <c r="M107" s="23" t="s">
        <v>153</v>
      </c>
      <c r="N107" s="24" t="s">
        <v>153</v>
      </c>
      <c r="O107" s="23" t="s">
        <v>153</v>
      </c>
      <c r="P107" s="28" t="s">
        <v>163</v>
      </c>
      <c r="Q107" s="28" t="s">
        <v>163</v>
      </c>
      <c r="R107" s="23" t="s">
        <v>153</v>
      </c>
      <c r="S107" s="23" t="s">
        <v>153</v>
      </c>
      <c r="T107" s="23" t="s">
        <v>153</v>
      </c>
      <c r="U107" s="24" t="s">
        <v>153</v>
      </c>
      <c r="V107" s="54" t="s">
        <v>153</v>
      </c>
      <c r="W107" s="28" t="s">
        <v>163</v>
      </c>
      <c r="X107" s="28" t="s">
        <v>163</v>
      </c>
      <c r="Y107" s="23" t="s">
        <v>153</v>
      </c>
      <c r="Z107" s="23" t="s">
        <v>153</v>
      </c>
      <c r="AA107" s="23" t="s">
        <v>153</v>
      </c>
      <c r="AB107" s="24" t="s">
        <v>153</v>
      </c>
      <c r="AC107" s="23" t="s">
        <v>153</v>
      </c>
      <c r="AD107" s="28" t="s">
        <v>163</v>
      </c>
      <c r="AE107" s="28" t="s">
        <v>163</v>
      </c>
      <c r="AF107" s="23" t="s">
        <v>153</v>
      </c>
      <c r="AG107" s="23" t="s">
        <v>153</v>
      </c>
      <c r="AH107" s="23" t="s">
        <v>153</v>
      </c>
      <c r="AI107" s="24" t="s">
        <v>153</v>
      </c>
      <c r="AJ107" s="23" t="s">
        <v>153</v>
      </c>
      <c r="AK107" s="28" t="s">
        <v>163</v>
      </c>
      <c r="AL107" s="28" t="s">
        <v>163</v>
      </c>
      <c r="AM107" s="23" t="s">
        <v>153</v>
      </c>
      <c r="AN107" s="35" t="s">
        <v>170</v>
      </c>
      <c r="AO107" s="23" t="s">
        <v>153</v>
      </c>
      <c r="AP107" s="23">
        <f>VALUE(0)</f>
        <v>0</v>
      </c>
      <c r="AQ107" s="23">
        <f>VALUE(0)</f>
        <v>0</v>
      </c>
      <c r="AR107" s="23">
        <f>VALUE(0)</f>
        <v>0</v>
      </c>
      <c r="AS107" s="23">
        <f>VALUE(0)</f>
        <v>0</v>
      </c>
      <c r="AT107" s="23">
        <f>VALUE(0)</f>
        <v>0</v>
      </c>
      <c r="AU107" s="23">
        <f>VALUE(8)</f>
        <v>8</v>
      </c>
      <c r="AV107" s="23">
        <f>VALUE(0)</f>
        <v>0</v>
      </c>
      <c r="AW107" s="23">
        <f>VALUE(0)</f>
        <v>0</v>
      </c>
      <c r="AX107" s="23" t="s">
        <v>345</v>
      </c>
      <c r="AY107" s="23">
        <f>VALUE(0)</f>
        <v>0</v>
      </c>
      <c r="AZ107" s="23">
        <f>VALUE(0)</f>
        <v>0</v>
      </c>
      <c r="BA107" s="23">
        <f>VALUE(0)</f>
        <v>0</v>
      </c>
      <c r="BB107" s="23">
        <f>VALUE(0)</f>
        <v>0</v>
      </c>
      <c r="BC107" s="23">
        <f>VALUE(0)</f>
        <v>0</v>
      </c>
      <c r="BD107" s="23">
        <f>VALUE(0)</f>
        <v>0</v>
      </c>
      <c r="BE107" s="23">
        <f>VALUE(1)</f>
        <v>1</v>
      </c>
      <c r="BF107" s="23">
        <f>VALUE(0)</f>
        <v>0</v>
      </c>
      <c r="BG107" s="23">
        <f>VALUE(0)</f>
        <v>0</v>
      </c>
      <c r="BH107" s="23">
        <f>VALUE(0)</f>
        <v>0</v>
      </c>
      <c r="BI107" s="23">
        <f>VALUE(0)</f>
        <v>0</v>
      </c>
      <c r="BJ107" s="23">
        <f>VALUE(0)</f>
        <v>0</v>
      </c>
      <c r="BK107" s="12">
        <f>$AX$107*24</f>
        <v>0.25</v>
      </c>
      <c r="BL107" s="12">
        <f>$AY$107*24</f>
        <v>0</v>
      </c>
      <c r="BM107" s="12">
        <f>$BJ$107*24</f>
        <v>0</v>
      </c>
      <c r="BN107" s="12">
        <f>VALUE($I$107)/100</f>
        <v>1</v>
      </c>
      <c r="BO107" s="12">
        <v>0</v>
      </c>
      <c r="BP107" s="12">
        <v>0</v>
      </c>
      <c r="BQ107" s="12">
        <v>0</v>
      </c>
      <c r="BR107" s="12">
        <v>0</v>
      </c>
      <c r="BS107" s="12">
        <v>0</v>
      </c>
      <c r="BT107" s="12">
        <v>0</v>
      </c>
      <c r="BU107" s="12">
        <v>0</v>
      </c>
      <c r="BV107" s="12">
        <v>0</v>
      </c>
      <c r="BW107" s="12">
        <v>0</v>
      </c>
      <c r="BX107" s="12">
        <v>0</v>
      </c>
      <c r="BY107" s="12">
        <v>0</v>
      </c>
      <c r="BZ107" s="12">
        <v>0</v>
      </c>
      <c r="CA107" s="12">
        <v>0</v>
      </c>
    </row>
    <row r="108" spans="1:79" ht="15" hidden="1" x14ac:dyDescent="0.25">
      <c r="A108" s="12" t="s">
        <v>113</v>
      </c>
      <c r="B108" s="12" t="s">
        <v>116</v>
      </c>
      <c r="C108" s="12" t="s">
        <v>116</v>
      </c>
      <c r="D108" s="31" t="s">
        <v>246</v>
      </c>
      <c r="E108" s="31" t="s">
        <v>153</v>
      </c>
      <c r="F108" s="31" t="s">
        <v>175</v>
      </c>
      <c r="G108" s="31" t="s">
        <v>153</v>
      </c>
      <c r="H108" s="31" t="s">
        <v>153</v>
      </c>
      <c r="I108" s="31" t="s">
        <v>153</v>
      </c>
      <c r="J108" s="31" t="s">
        <v>153</v>
      </c>
      <c r="K108" s="31" t="s">
        <v>153</v>
      </c>
      <c r="L108" s="31">
        <f>VALUE(0)</f>
        <v>0</v>
      </c>
      <c r="M108" s="31">
        <f>VALUE(1)</f>
        <v>1</v>
      </c>
      <c r="N108" s="31">
        <f>VALUE(0)</f>
        <v>0</v>
      </c>
      <c r="O108" s="31">
        <f>VALUE(2)</f>
        <v>2</v>
      </c>
      <c r="P108" s="31">
        <f>VALUE(1)</f>
        <v>1</v>
      </c>
      <c r="Q108" s="31">
        <f>VALUE(1)</f>
        <v>1</v>
      </c>
      <c r="R108" s="31">
        <f>VALUE(2)</f>
        <v>2</v>
      </c>
      <c r="S108" s="31">
        <f>VALUE(2)</f>
        <v>2</v>
      </c>
      <c r="T108" s="31">
        <f>VALUE(1)</f>
        <v>1</v>
      </c>
      <c r="U108" s="31">
        <f>VALUE(0)</f>
        <v>0</v>
      </c>
      <c r="V108" s="31">
        <f>VALUE(0)</f>
        <v>0</v>
      </c>
      <c r="W108" s="31">
        <f>VALUE(1)</f>
        <v>1</v>
      </c>
      <c r="X108" s="31">
        <f>VALUE(1)</f>
        <v>1</v>
      </c>
      <c r="Y108" s="31">
        <f>VALUE(2)</f>
        <v>2</v>
      </c>
      <c r="Z108" s="31">
        <f>VALUE(2)</f>
        <v>2</v>
      </c>
      <c r="AA108" s="31">
        <f>VALUE(1)</f>
        <v>1</v>
      </c>
      <c r="AB108" s="31">
        <f>VALUE(0)</f>
        <v>0</v>
      </c>
      <c r="AC108" s="31">
        <f>VALUE(2)</f>
        <v>2</v>
      </c>
      <c r="AD108" s="31">
        <f>VALUE(1)</f>
        <v>1</v>
      </c>
      <c r="AE108" s="31">
        <f>VALUE(1)</f>
        <v>1</v>
      </c>
      <c r="AF108" s="31">
        <f>VALUE(2)</f>
        <v>2</v>
      </c>
      <c r="AG108" s="31">
        <f>VALUE(2)</f>
        <v>2</v>
      </c>
      <c r="AH108" s="31">
        <f>VALUE(1)</f>
        <v>1</v>
      </c>
      <c r="AI108" s="31">
        <f>VALUE(0)</f>
        <v>0</v>
      </c>
      <c r="AJ108" s="31">
        <f>VALUE(1)</f>
        <v>1</v>
      </c>
      <c r="AK108" s="31">
        <f>VALUE(1)</f>
        <v>1</v>
      </c>
      <c r="AL108" s="31">
        <f>VALUE(1)</f>
        <v>1</v>
      </c>
      <c r="AM108" s="31">
        <f>VALUE(2)</f>
        <v>2</v>
      </c>
      <c r="AN108" s="31">
        <f>VALUE(1)</f>
        <v>1</v>
      </c>
      <c r="AO108" s="31">
        <f>VALUE(1)</f>
        <v>1</v>
      </c>
      <c r="AP108" s="31">
        <v>0</v>
      </c>
      <c r="AQ108" s="31">
        <v>0</v>
      </c>
      <c r="AR108" s="31">
        <v>0</v>
      </c>
      <c r="AS108" s="31">
        <v>0</v>
      </c>
      <c r="AT108" s="31">
        <v>0</v>
      </c>
      <c r="AU108" s="31">
        <v>0</v>
      </c>
      <c r="AV108" s="31">
        <v>0</v>
      </c>
      <c r="AW108" s="31">
        <v>0</v>
      </c>
      <c r="AX108" s="31">
        <v>0</v>
      </c>
      <c r="AY108" s="31">
        <v>0</v>
      </c>
      <c r="AZ108" s="31">
        <v>0</v>
      </c>
      <c r="BA108" s="31">
        <v>0</v>
      </c>
      <c r="BB108" s="31">
        <v>0</v>
      </c>
      <c r="BC108" s="31">
        <v>0</v>
      </c>
      <c r="BD108" s="31">
        <v>0</v>
      </c>
      <c r="BE108" s="31">
        <v>0</v>
      </c>
      <c r="BF108" s="31">
        <v>0</v>
      </c>
      <c r="BG108" s="31">
        <v>0</v>
      </c>
      <c r="BH108" s="31">
        <v>0</v>
      </c>
      <c r="BI108" s="31">
        <v>0</v>
      </c>
      <c r="BJ108" s="31">
        <v>0</v>
      </c>
      <c r="BK108" s="12">
        <v>0</v>
      </c>
      <c r="BL108" s="12">
        <v>0</v>
      </c>
      <c r="BM108" s="12">
        <v>0</v>
      </c>
      <c r="BN108" s="12"/>
      <c r="BO108" s="12">
        <v>0</v>
      </c>
      <c r="BP108" s="12">
        <v>0</v>
      </c>
      <c r="BQ108" s="12">
        <v>0</v>
      </c>
      <c r="BR108" s="12">
        <v>0</v>
      </c>
      <c r="BS108" s="12">
        <v>0</v>
      </c>
      <c r="BT108" s="12">
        <v>0</v>
      </c>
      <c r="BU108" s="12">
        <v>0</v>
      </c>
      <c r="BV108" s="12">
        <v>0</v>
      </c>
      <c r="BW108" s="12">
        <v>0</v>
      </c>
      <c r="BX108" s="12">
        <v>0</v>
      </c>
      <c r="BY108" s="12">
        <v>0</v>
      </c>
      <c r="BZ108" s="12">
        <v>0</v>
      </c>
      <c r="CA108" s="12">
        <v>0</v>
      </c>
    </row>
    <row r="109" spans="1:79" hidden="1" x14ac:dyDescent="0.2">
      <c r="A109" s="12" t="s">
        <v>113</v>
      </c>
      <c r="B109" s="12" t="s">
        <v>117</v>
      </c>
      <c r="C109" s="12" t="s">
        <v>117</v>
      </c>
      <c r="D109" s="22" t="s">
        <v>346</v>
      </c>
      <c r="E109" s="22" t="s">
        <v>149</v>
      </c>
      <c r="F109" s="22" t="s">
        <v>756</v>
      </c>
      <c r="G109" s="22" t="s">
        <v>757</v>
      </c>
      <c r="H109" s="22" t="s">
        <v>166</v>
      </c>
      <c r="I109" s="22" t="s">
        <v>151</v>
      </c>
      <c r="J109" s="22" t="s">
        <v>347</v>
      </c>
      <c r="K109" s="22" t="s">
        <v>77</v>
      </c>
      <c r="L109" s="54" t="s">
        <v>153</v>
      </c>
      <c r="M109" s="24" t="s">
        <v>153</v>
      </c>
      <c r="N109" s="24" t="s">
        <v>153</v>
      </c>
      <c r="O109" s="23" t="s">
        <v>153</v>
      </c>
      <c r="P109" s="23" t="s">
        <v>153</v>
      </c>
      <c r="Q109" s="23" t="s">
        <v>153</v>
      </c>
      <c r="R109" s="23" t="s">
        <v>153</v>
      </c>
      <c r="S109" s="23" t="s">
        <v>153</v>
      </c>
      <c r="T109" s="24" t="s">
        <v>153</v>
      </c>
      <c r="U109" s="24" t="s">
        <v>153</v>
      </c>
      <c r="V109" s="54" t="s">
        <v>153</v>
      </c>
      <c r="W109" s="23" t="s">
        <v>153</v>
      </c>
      <c r="X109" s="24" t="s">
        <v>156</v>
      </c>
      <c r="Y109" s="23" t="s">
        <v>153</v>
      </c>
      <c r="Z109" s="23" t="s">
        <v>153</v>
      </c>
      <c r="AA109" s="24" t="s">
        <v>153</v>
      </c>
      <c r="AB109" s="24" t="s">
        <v>153</v>
      </c>
      <c r="AC109" s="23" t="s">
        <v>153</v>
      </c>
      <c r="AD109" s="23" t="s">
        <v>153</v>
      </c>
      <c r="AE109" s="23" t="s">
        <v>153</v>
      </c>
      <c r="AF109" s="23" t="s">
        <v>153</v>
      </c>
      <c r="AG109" s="23" t="s">
        <v>153</v>
      </c>
      <c r="AH109" s="24" t="s">
        <v>153</v>
      </c>
      <c r="AI109" s="24" t="s">
        <v>153</v>
      </c>
      <c r="AJ109" s="23" t="s">
        <v>153</v>
      </c>
      <c r="AK109" s="23" t="s">
        <v>153</v>
      </c>
      <c r="AL109" s="24" t="s">
        <v>156</v>
      </c>
      <c r="AM109" s="23" t="s">
        <v>153</v>
      </c>
      <c r="AN109" s="23" t="s">
        <v>153</v>
      </c>
      <c r="AO109" s="24" t="s">
        <v>153</v>
      </c>
      <c r="AP109" s="23">
        <f>VALUE(0)</f>
        <v>0</v>
      </c>
      <c r="AQ109" s="23">
        <f>VALUE(0)</f>
        <v>0</v>
      </c>
      <c r="AR109" s="23">
        <f>VALUE(0)</f>
        <v>0</v>
      </c>
      <c r="AS109" s="23">
        <f>VALUE(0)</f>
        <v>0</v>
      </c>
      <c r="AT109" s="23">
        <f>VALUE(0)</f>
        <v>0</v>
      </c>
      <c r="AU109" s="23">
        <f>VALUE(0)</f>
        <v>0</v>
      </c>
      <c r="AV109" s="23">
        <f>VALUE(8)</f>
        <v>8</v>
      </c>
      <c r="AW109" s="23">
        <f>VALUE(0)</f>
        <v>0</v>
      </c>
      <c r="AX109" s="23" t="s">
        <v>1204</v>
      </c>
      <c r="AY109" s="23">
        <f>VALUE(0)</f>
        <v>0</v>
      </c>
      <c r="AZ109" s="23">
        <f>VALUE(0)</f>
        <v>0</v>
      </c>
      <c r="BA109" s="23">
        <f>VALUE(0)</f>
        <v>0</v>
      </c>
      <c r="BB109" s="23">
        <f>VALUE(0)</f>
        <v>0</v>
      </c>
      <c r="BC109" s="23">
        <f>VALUE(0)</f>
        <v>0</v>
      </c>
      <c r="BD109" s="23">
        <f>VALUE(0)</f>
        <v>0</v>
      </c>
      <c r="BE109" s="23">
        <f>VALUE(0)</f>
        <v>0</v>
      </c>
      <c r="BF109" s="23">
        <f>VALUE(0)</f>
        <v>0</v>
      </c>
      <c r="BG109" s="23">
        <f>VALUE(0)</f>
        <v>0</v>
      </c>
      <c r="BH109" s="23">
        <f>VALUE(0)</f>
        <v>0</v>
      </c>
      <c r="BI109" s="23">
        <f>VALUE(0)</f>
        <v>0</v>
      </c>
      <c r="BJ109" s="23">
        <f>VALUE(0)</f>
        <v>0</v>
      </c>
      <c r="BK109" s="12">
        <f>$AX$109*24</f>
        <v>4.8666666666666671</v>
      </c>
      <c r="BL109" s="12">
        <f>$AY$109*24</f>
        <v>0</v>
      </c>
      <c r="BM109" s="12">
        <f>$BJ$109*24</f>
        <v>0</v>
      </c>
      <c r="BN109" s="12">
        <f>VALUE($I$109)/100</f>
        <v>1</v>
      </c>
      <c r="BO109" s="12">
        <v>0</v>
      </c>
      <c r="BP109" s="12">
        <v>0</v>
      </c>
      <c r="BQ109" s="12">
        <v>0</v>
      </c>
      <c r="BR109" s="12">
        <v>0</v>
      </c>
      <c r="BS109" s="12">
        <v>0</v>
      </c>
      <c r="BT109" s="12">
        <v>0</v>
      </c>
      <c r="BU109" s="12">
        <v>0</v>
      </c>
      <c r="BV109" s="12">
        <v>0</v>
      </c>
      <c r="BW109" s="12">
        <v>0</v>
      </c>
      <c r="BX109" s="12">
        <v>0</v>
      </c>
      <c r="BY109" s="12">
        <v>0</v>
      </c>
      <c r="BZ109" s="12">
        <v>0</v>
      </c>
      <c r="CA109" s="12">
        <v>0</v>
      </c>
    </row>
    <row r="110" spans="1:79" hidden="1" x14ac:dyDescent="0.2">
      <c r="A110" s="12" t="s">
        <v>113</v>
      </c>
      <c r="B110" s="12" t="s">
        <v>117</v>
      </c>
      <c r="C110" s="12" t="s">
        <v>117</v>
      </c>
      <c r="D110" s="22" t="s">
        <v>348</v>
      </c>
      <c r="E110" s="22" t="s">
        <v>173</v>
      </c>
      <c r="F110" s="22" t="s">
        <v>758</v>
      </c>
      <c r="G110" s="22" t="s">
        <v>759</v>
      </c>
      <c r="H110" s="22" t="s">
        <v>349</v>
      </c>
      <c r="I110" s="22" t="s">
        <v>151</v>
      </c>
      <c r="J110" s="22" t="s">
        <v>347</v>
      </c>
      <c r="K110" s="22" t="s">
        <v>77</v>
      </c>
      <c r="L110" s="54" t="s">
        <v>153</v>
      </c>
      <c r="M110" s="24" t="s">
        <v>153</v>
      </c>
      <c r="N110" s="24" t="s">
        <v>153</v>
      </c>
      <c r="O110" s="23" t="s">
        <v>153</v>
      </c>
      <c r="P110" s="23" t="s">
        <v>153</v>
      </c>
      <c r="Q110" s="23" t="s">
        <v>153</v>
      </c>
      <c r="R110" s="23" t="s">
        <v>153</v>
      </c>
      <c r="S110" s="23" t="s">
        <v>153</v>
      </c>
      <c r="T110" s="24" t="s">
        <v>153</v>
      </c>
      <c r="U110" s="24" t="s">
        <v>153</v>
      </c>
      <c r="V110" s="54" t="s">
        <v>156</v>
      </c>
      <c r="W110" s="23" t="s">
        <v>153</v>
      </c>
      <c r="X110" s="23" t="s">
        <v>153</v>
      </c>
      <c r="Y110" s="23" t="s">
        <v>153</v>
      </c>
      <c r="Z110" s="23" t="s">
        <v>153</v>
      </c>
      <c r="AA110" s="24" t="s">
        <v>153</v>
      </c>
      <c r="AB110" s="24" t="s">
        <v>153</v>
      </c>
      <c r="AC110" s="23" t="s">
        <v>153</v>
      </c>
      <c r="AD110" s="23" t="s">
        <v>153</v>
      </c>
      <c r="AE110" s="23" t="s">
        <v>153</v>
      </c>
      <c r="AF110" s="23" t="s">
        <v>153</v>
      </c>
      <c r="AG110" s="23" t="s">
        <v>153</v>
      </c>
      <c r="AH110" s="24" t="s">
        <v>153</v>
      </c>
      <c r="AI110" s="24" t="s">
        <v>153</v>
      </c>
      <c r="AJ110" s="24" t="s">
        <v>156</v>
      </c>
      <c r="AK110" s="23" t="s">
        <v>153</v>
      </c>
      <c r="AL110" s="23" t="s">
        <v>153</v>
      </c>
      <c r="AM110" s="23" t="s">
        <v>153</v>
      </c>
      <c r="AN110" s="23" t="s">
        <v>153</v>
      </c>
      <c r="AO110" s="24" t="s">
        <v>153</v>
      </c>
      <c r="AP110" s="23">
        <f>VALUE(0)</f>
        <v>0</v>
      </c>
      <c r="AQ110" s="23">
        <f>VALUE(0)</f>
        <v>0</v>
      </c>
      <c r="AR110" s="23">
        <f>VALUE(0)</f>
        <v>0</v>
      </c>
      <c r="AS110" s="23">
        <f>VALUE(0)</f>
        <v>0</v>
      </c>
      <c r="AT110" s="23">
        <f>VALUE(0)</f>
        <v>0</v>
      </c>
      <c r="AU110" s="23">
        <f>VALUE(0)</f>
        <v>0</v>
      </c>
      <c r="AV110" s="23">
        <f>VALUE(10)</f>
        <v>10</v>
      </c>
      <c r="AW110" s="23">
        <f>VALUE(0)</f>
        <v>0</v>
      </c>
      <c r="AX110" s="23" t="s">
        <v>1199</v>
      </c>
      <c r="AY110" s="23">
        <f>VALUE(0)</f>
        <v>0</v>
      </c>
      <c r="AZ110" s="23">
        <f>VALUE(0)</f>
        <v>0</v>
      </c>
      <c r="BA110" s="23">
        <f>VALUE(0)</f>
        <v>0</v>
      </c>
      <c r="BB110" s="23">
        <f>VALUE(0)</f>
        <v>0</v>
      </c>
      <c r="BC110" s="23">
        <f>VALUE(0)</f>
        <v>0</v>
      </c>
      <c r="BD110" s="23">
        <f>VALUE(0)</f>
        <v>0</v>
      </c>
      <c r="BE110" s="23">
        <f>VALUE(0)</f>
        <v>0</v>
      </c>
      <c r="BF110" s="23">
        <f>VALUE(0)</f>
        <v>0</v>
      </c>
      <c r="BG110" s="23">
        <f>VALUE(0)</f>
        <v>0</v>
      </c>
      <c r="BH110" s="23">
        <f>VALUE(0)</f>
        <v>0</v>
      </c>
      <c r="BI110" s="23">
        <f>VALUE(0)</f>
        <v>0</v>
      </c>
      <c r="BJ110" s="23">
        <f>VALUE(0)</f>
        <v>0</v>
      </c>
      <c r="BK110" s="12">
        <f>$AX$110*24</f>
        <v>7</v>
      </c>
      <c r="BL110" s="12">
        <f>$AY$110*24</f>
        <v>0</v>
      </c>
      <c r="BM110" s="12">
        <f>$BJ$110*24</f>
        <v>0</v>
      </c>
      <c r="BN110" s="12">
        <f>VALUE($I$110)/100</f>
        <v>1</v>
      </c>
      <c r="BO110" s="12">
        <v>0</v>
      </c>
      <c r="BP110" s="12">
        <v>0</v>
      </c>
      <c r="BQ110" s="12">
        <v>0</v>
      </c>
      <c r="BR110" s="12">
        <v>0</v>
      </c>
      <c r="BS110" s="12">
        <v>0</v>
      </c>
      <c r="BT110" s="12">
        <v>0</v>
      </c>
      <c r="BU110" s="12">
        <v>0</v>
      </c>
      <c r="BV110" s="12">
        <v>0</v>
      </c>
      <c r="BW110" s="12">
        <v>0</v>
      </c>
      <c r="BX110" s="12">
        <v>0</v>
      </c>
      <c r="BY110" s="12">
        <v>0</v>
      </c>
      <c r="BZ110" s="12">
        <v>0</v>
      </c>
      <c r="CA110" s="12">
        <v>0</v>
      </c>
    </row>
    <row r="111" spans="1:79" hidden="1" x14ac:dyDescent="0.2">
      <c r="A111" s="12" t="s">
        <v>113</v>
      </c>
      <c r="B111" s="12" t="s">
        <v>117</v>
      </c>
      <c r="C111" s="12" t="s">
        <v>117</v>
      </c>
      <c r="D111" s="22" t="s">
        <v>350</v>
      </c>
      <c r="E111" s="22" t="s">
        <v>149</v>
      </c>
      <c r="F111" s="22" t="s">
        <v>760</v>
      </c>
      <c r="G111" s="22" t="s">
        <v>761</v>
      </c>
      <c r="H111" s="22" t="s">
        <v>166</v>
      </c>
      <c r="I111" s="22" t="s">
        <v>151</v>
      </c>
      <c r="J111" s="22" t="s">
        <v>351</v>
      </c>
      <c r="K111" s="22" t="s">
        <v>77</v>
      </c>
      <c r="L111" s="54" t="s">
        <v>153</v>
      </c>
      <c r="M111" s="24" t="s">
        <v>153</v>
      </c>
      <c r="N111" s="24" t="s">
        <v>153</v>
      </c>
      <c r="O111" s="23" t="s">
        <v>153</v>
      </c>
      <c r="P111" s="23" t="s">
        <v>153</v>
      </c>
      <c r="Q111" s="23" t="s">
        <v>153</v>
      </c>
      <c r="R111" s="23" t="s">
        <v>153</v>
      </c>
      <c r="S111" s="23" t="s">
        <v>153</v>
      </c>
      <c r="T111" s="24" t="s">
        <v>153</v>
      </c>
      <c r="U111" s="24" t="s">
        <v>153</v>
      </c>
      <c r="V111" s="54" t="s">
        <v>153</v>
      </c>
      <c r="W111" s="30" t="s">
        <v>28</v>
      </c>
      <c r="X111" s="23" t="s">
        <v>153</v>
      </c>
      <c r="Y111" s="23" t="s">
        <v>153</v>
      </c>
      <c r="Z111" s="23" t="s">
        <v>153</v>
      </c>
      <c r="AA111" s="24" t="s">
        <v>153</v>
      </c>
      <c r="AB111" s="24" t="s">
        <v>153</v>
      </c>
      <c r="AC111" s="23" t="s">
        <v>153</v>
      </c>
      <c r="AD111" s="23" t="s">
        <v>153</v>
      </c>
      <c r="AE111" s="23" t="s">
        <v>153</v>
      </c>
      <c r="AF111" s="23" t="s">
        <v>153</v>
      </c>
      <c r="AG111" s="23" t="s">
        <v>153</v>
      </c>
      <c r="AH111" s="24" t="s">
        <v>153</v>
      </c>
      <c r="AI111" s="24" t="s">
        <v>153</v>
      </c>
      <c r="AJ111" s="23" t="s">
        <v>153</v>
      </c>
      <c r="AK111" s="23" t="s">
        <v>153</v>
      </c>
      <c r="AL111" s="23" t="s">
        <v>153</v>
      </c>
      <c r="AM111" s="23" t="s">
        <v>153</v>
      </c>
      <c r="AN111" s="23" t="s">
        <v>153</v>
      </c>
      <c r="AO111" s="24" t="s">
        <v>153</v>
      </c>
      <c r="AP111" s="23">
        <f>VALUE(0)</f>
        <v>0</v>
      </c>
      <c r="AQ111" s="23">
        <f>VALUE(0)</f>
        <v>0</v>
      </c>
      <c r="AR111" s="23">
        <f>VALUE(0)</f>
        <v>0</v>
      </c>
      <c r="AS111" s="23">
        <f>VALUE(0)</f>
        <v>0</v>
      </c>
      <c r="AT111" s="23">
        <f>VALUE(0)</f>
        <v>0</v>
      </c>
      <c r="AU111" s="23">
        <f>VALUE(0)</f>
        <v>0</v>
      </c>
      <c r="AV111" s="23">
        <f>VALUE(4)</f>
        <v>4</v>
      </c>
      <c r="AW111" s="23">
        <f>VALUE(0)</f>
        <v>0</v>
      </c>
      <c r="AX111" s="23" t="s">
        <v>352</v>
      </c>
      <c r="AY111" s="23">
        <f>VALUE(0)</f>
        <v>0</v>
      </c>
      <c r="AZ111" s="23">
        <f>VALUE(0)</f>
        <v>0</v>
      </c>
      <c r="BA111" s="23">
        <f>VALUE(0)</f>
        <v>0</v>
      </c>
      <c r="BB111" s="23">
        <f>VALUE(0)</f>
        <v>0</v>
      </c>
      <c r="BC111" s="23">
        <f>VALUE(0)</f>
        <v>0</v>
      </c>
      <c r="BD111" s="23">
        <f>VALUE(0)</f>
        <v>0</v>
      </c>
      <c r="BE111" s="23">
        <f>VALUE(0)</f>
        <v>0</v>
      </c>
      <c r="BF111" s="23">
        <f>VALUE(0)</f>
        <v>0</v>
      </c>
      <c r="BG111" s="23">
        <f>VALUE(0)</f>
        <v>0</v>
      </c>
      <c r="BH111" s="23">
        <f>VALUE(0)</f>
        <v>0</v>
      </c>
      <c r="BI111" s="23">
        <f>VALUE(0)</f>
        <v>0</v>
      </c>
      <c r="BJ111" s="23">
        <f>VALUE(0)</f>
        <v>0</v>
      </c>
      <c r="BK111" s="12">
        <f>$AX$111*24</f>
        <v>12.183333333333334</v>
      </c>
      <c r="BL111" s="12">
        <f>$AY$111*24</f>
        <v>0</v>
      </c>
      <c r="BM111" s="12">
        <f>$BJ$111*24</f>
        <v>0</v>
      </c>
      <c r="BN111" s="12">
        <f>VALUE($I$111)/100</f>
        <v>1</v>
      </c>
      <c r="BO111" s="12">
        <v>0</v>
      </c>
      <c r="BP111" s="12">
        <v>0</v>
      </c>
      <c r="BQ111" s="12">
        <v>1</v>
      </c>
      <c r="BR111" s="12">
        <v>0</v>
      </c>
      <c r="BS111" s="12">
        <v>0</v>
      </c>
      <c r="BT111" s="12">
        <v>0</v>
      </c>
      <c r="BU111" s="12">
        <v>0</v>
      </c>
      <c r="BV111" s="12">
        <v>0</v>
      </c>
      <c r="BW111" s="12">
        <v>0</v>
      </c>
      <c r="BX111" s="12">
        <v>0</v>
      </c>
      <c r="BY111" s="12">
        <v>0</v>
      </c>
      <c r="BZ111" s="12">
        <v>0</v>
      </c>
      <c r="CA111" s="12">
        <v>0</v>
      </c>
    </row>
    <row r="112" spans="1:79" hidden="1" x14ac:dyDescent="0.2">
      <c r="A112" s="12" t="s">
        <v>113</v>
      </c>
      <c r="B112" s="12" t="s">
        <v>117</v>
      </c>
      <c r="C112" s="12" t="s">
        <v>117</v>
      </c>
      <c r="D112" s="22" t="s">
        <v>353</v>
      </c>
      <c r="E112" s="22" t="s">
        <v>149</v>
      </c>
      <c r="F112" s="22" t="s">
        <v>762</v>
      </c>
      <c r="G112" s="22" t="s">
        <v>763</v>
      </c>
      <c r="H112" s="22" t="s">
        <v>150</v>
      </c>
      <c r="I112" s="22" t="s">
        <v>151</v>
      </c>
      <c r="J112" s="22" t="s">
        <v>351</v>
      </c>
      <c r="K112" s="22" t="s">
        <v>77</v>
      </c>
      <c r="L112" s="54" t="s">
        <v>153</v>
      </c>
      <c r="M112" s="24" t="s">
        <v>153</v>
      </c>
      <c r="N112" s="24" t="s">
        <v>153</v>
      </c>
      <c r="O112" s="23" t="s">
        <v>153</v>
      </c>
      <c r="P112" s="23" t="s">
        <v>153</v>
      </c>
      <c r="Q112" s="23" t="s">
        <v>153</v>
      </c>
      <c r="R112" s="23" t="s">
        <v>153</v>
      </c>
      <c r="S112" s="23" t="s">
        <v>153</v>
      </c>
      <c r="T112" s="24" t="s">
        <v>153</v>
      </c>
      <c r="U112" s="24" t="s">
        <v>153</v>
      </c>
      <c r="V112" s="54" t="s">
        <v>153</v>
      </c>
      <c r="W112" s="23" t="s">
        <v>153</v>
      </c>
      <c r="X112" s="23" t="s">
        <v>153</v>
      </c>
      <c r="Y112" s="23" t="s">
        <v>153</v>
      </c>
      <c r="Z112" s="23" t="s">
        <v>153</v>
      </c>
      <c r="AA112" s="24" t="s">
        <v>153</v>
      </c>
      <c r="AB112" s="24" t="s">
        <v>153</v>
      </c>
      <c r="AC112" s="28" t="s">
        <v>163</v>
      </c>
      <c r="AD112" s="28" t="s">
        <v>163</v>
      </c>
      <c r="AE112" s="28" t="s">
        <v>163</v>
      </c>
      <c r="AF112" s="28" t="s">
        <v>163</v>
      </c>
      <c r="AG112" s="28" t="s">
        <v>163</v>
      </c>
      <c r="AH112" s="24" t="s">
        <v>153</v>
      </c>
      <c r="AI112" s="24" t="s">
        <v>153</v>
      </c>
      <c r="AJ112" s="28" t="s">
        <v>163</v>
      </c>
      <c r="AK112" s="28" t="s">
        <v>163</v>
      </c>
      <c r="AL112" s="28" t="s">
        <v>163</v>
      </c>
      <c r="AM112" s="28" t="s">
        <v>163</v>
      </c>
      <c r="AN112" s="28" t="s">
        <v>163</v>
      </c>
      <c r="AO112" s="24" t="s">
        <v>153</v>
      </c>
      <c r="AP112" s="23">
        <f>VALUE(0)</f>
        <v>0</v>
      </c>
      <c r="AQ112" s="23">
        <f>VALUE(0)</f>
        <v>0</v>
      </c>
      <c r="AR112" s="23">
        <f>VALUE(0)</f>
        <v>0</v>
      </c>
      <c r="AS112" s="23">
        <f>VALUE(0)</f>
        <v>0</v>
      </c>
      <c r="AT112" s="23">
        <f>VALUE(0)</f>
        <v>0</v>
      </c>
      <c r="AU112" s="23">
        <f>VALUE(10)</f>
        <v>10</v>
      </c>
      <c r="AV112" s="23">
        <f>VALUE(0)</f>
        <v>0</v>
      </c>
      <c r="AW112" s="23">
        <f>VALUE(0)</f>
        <v>0</v>
      </c>
      <c r="AX112" s="23" t="s">
        <v>176</v>
      </c>
      <c r="AY112" s="23" t="s">
        <v>354</v>
      </c>
      <c r="AZ112" s="23">
        <f>VALUE(0)</f>
        <v>0</v>
      </c>
      <c r="BA112" s="23">
        <f>VALUE(0)</f>
        <v>0</v>
      </c>
      <c r="BB112" s="23">
        <f>VALUE(0)</f>
        <v>0</v>
      </c>
      <c r="BC112" s="23">
        <f>VALUE(0)</f>
        <v>0</v>
      </c>
      <c r="BD112" s="23">
        <f>VALUE(0)</f>
        <v>0</v>
      </c>
      <c r="BE112" s="23">
        <f>VALUE(0)</f>
        <v>0</v>
      </c>
      <c r="BF112" s="23">
        <f>VALUE(0)</f>
        <v>0</v>
      </c>
      <c r="BG112" s="23">
        <f>VALUE(0)</f>
        <v>0</v>
      </c>
      <c r="BH112" s="23">
        <f>VALUE(0)</f>
        <v>0</v>
      </c>
      <c r="BI112" s="23">
        <f>VALUE(0)</f>
        <v>0</v>
      </c>
      <c r="BJ112" s="23">
        <f>VALUE(0)</f>
        <v>0</v>
      </c>
      <c r="BK112" s="12">
        <f>$AX$112*24</f>
        <v>0</v>
      </c>
      <c r="BL112" s="12">
        <f>$AY$112*24</f>
        <v>35.549999999999997</v>
      </c>
      <c r="BM112" s="12">
        <f>$BJ$112*24</f>
        <v>0</v>
      </c>
      <c r="BN112" s="12">
        <f>VALUE($I$112)/100</f>
        <v>1</v>
      </c>
      <c r="BO112" s="12">
        <v>0</v>
      </c>
      <c r="BP112" s="12">
        <v>0</v>
      </c>
      <c r="BQ112" s="12">
        <v>0</v>
      </c>
      <c r="BR112" s="12">
        <v>0</v>
      </c>
      <c r="BS112" s="12">
        <v>0</v>
      </c>
      <c r="BT112" s="12">
        <v>0</v>
      </c>
      <c r="BU112" s="12">
        <v>0</v>
      </c>
      <c r="BV112" s="12">
        <v>0</v>
      </c>
      <c r="BW112" s="12">
        <v>0</v>
      </c>
      <c r="BX112" s="12">
        <v>0</v>
      </c>
      <c r="BY112" s="12">
        <v>0</v>
      </c>
      <c r="BZ112" s="12">
        <v>0</v>
      </c>
      <c r="CA112" s="12">
        <v>0</v>
      </c>
    </row>
    <row r="113" spans="1:79" ht="15" hidden="1" x14ac:dyDescent="0.25">
      <c r="A113" s="12" t="s">
        <v>113</v>
      </c>
      <c r="B113" s="12" t="s">
        <v>117</v>
      </c>
      <c r="C113" s="12" t="s">
        <v>117</v>
      </c>
      <c r="D113" s="31" t="s">
        <v>355</v>
      </c>
      <c r="E113" s="31" t="s">
        <v>153</v>
      </c>
      <c r="F113" s="31" t="s">
        <v>175</v>
      </c>
      <c r="G113" s="31" t="s">
        <v>153</v>
      </c>
      <c r="H113" s="31" t="s">
        <v>153</v>
      </c>
      <c r="I113" s="31" t="s">
        <v>153</v>
      </c>
      <c r="J113" s="31" t="s">
        <v>153</v>
      </c>
      <c r="K113" s="31" t="s">
        <v>153</v>
      </c>
      <c r="L113" s="31">
        <f>VALUE(0)</f>
        <v>0</v>
      </c>
      <c r="M113" s="31">
        <f>VALUE(0)</f>
        <v>0</v>
      </c>
      <c r="N113" s="31">
        <f>VALUE(0)</f>
        <v>0</v>
      </c>
      <c r="O113" s="31">
        <f>VALUE(4)</f>
        <v>4</v>
      </c>
      <c r="P113" s="31">
        <f>VALUE(4)</f>
        <v>4</v>
      </c>
      <c r="Q113" s="31">
        <f>VALUE(4)</f>
        <v>4</v>
      </c>
      <c r="R113" s="31">
        <f>VALUE(4)</f>
        <v>4</v>
      </c>
      <c r="S113" s="31">
        <f>VALUE(4)</f>
        <v>4</v>
      </c>
      <c r="T113" s="31">
        <f>VALUE(0)</f>
        <v>0</v>
      </c>
      <c r="U113" s="31">
        <f>VALUE(0)</f>
        <v>0</v>
      </c>
      <c r="V113" s="31">
        <f>VALUE(0)</f>
        <v>0</v>
      </c>
      <c r="W113" s="31">
        <f>VALUE(3)</f>
        <v>3</v>
      </c>
      <c r="X113" s="31">
        <f>VALUE(3)</f>
        <v>3</v>
      </c>
      <c r="Y113" s="31">
        <f>VALUE(4)</f>
        <v>4</v>
      </c>
      <c r="Z113" s="31">
        <f>VALUE(4)</f>
        <v>4</v>
      </c>
      <c r="AA113" s="31">
        <f>VALUE(0)</f>
        <v>0</v>
      </c>
      <c r="AB113" s="31">
        <f>VALUE(0)</f>
        <v>0</v>
      </c>
      <c r="AC113" s="31">
        <f>VALUE(3)</f>
        <v>3</v>
      </c>
      <c r="AD113" s="31">
        <f>VALUE(3)</f>
        <v>3</v>
      </c>
      <c r="AE113" s="31">
        <f>VALUE(3)</f>
        <v>3</v>
      </c>
      <c r="AF113" s="31">
        <f>VALUE(3)</f>
        <v>3</v>
      </c>
      <c r="AG113" s="31">
        <f>VALUE(3)</f>
        <v>3</v>
      </c>
      <c r="AH113" s="31">
        <f>VALUE(0)</f>
        <v>0</v>
      </c>
      <c r="AI113" s="31">
        <f>VALUE(0)</f>
        <v>0</v>
      </c>
      <c r="AJ113" s="31">
        <f>VALUE(2)</f>
        <v>2</v>
      </c>
      <c r="AK113" s="31">
        <f>VALUE(3)</f>
        <v>3</v>
      </c>
      <c r="AL113" s="31">
        <f>VALUE(2)</f>
        <v>2</v>
      </c>
      <c r="AM113" s="31">
        <f>VALUE(3)</f>
        <v>3</v>
      </c>
      <c r="AN113" s="31">
        <f>VALUE(3)</f>
        <v>3</v>
      </c>
      <c r="AO113" s="31">
        <f>VALUE(0)</f>
        <v>0</v>
      </c>
      <c r="AP113" s="31">
        <v>0</v>
      </c>
      <c r="AQ113" s="31">
        <v>0</v>
      </c>
      <c r="AR113" s="31">
        <v>0</v>
      </c>
      <c r="AS113" s="31">
        <v>0</v>
      </c>
      <c r="AT113" s="31">
        <v>0</v>
      </c>
      <c r="AU113" s="31">
        <v>0</v>
      </c>
      <c r="AV113" s="31">
        <v>0</v>
      </c>
      <c r="AW113" s="31">
        <v>0</v>
      </c>
      <c r="AX113" s="31">
        <v>0</v>
      </c>
      <c r="AY113" s="31">
        <v>0</v>
      </c>
      <c r="AZ113" s="31">
        <v>0</v>
      </c>
      <c r="BA113" s="31">
        <v>0</v>
      </c>
      <c r="BB113" s="31">
        <v>0</v>
      </c>
      <c r="BC113" s="31">
        <v>0</v>
      </c>
      <c r="BD113" s="31">
        <v>0</v>
      </c>
      <c r="BE113" s="31">
        <v>0</v>
      </c>
      <c r="BF113" s="31">
        <v>0</v>
      </c>
      <c r="BG113" s="31">
        <v>0</v>
      </c>
      <c r="BH113" s="31">
        <v>0</v>
      </c>
      <c r="BI113" s="31">
        <v>0</v>
      </c>
      <c r="BJ113" s="31">
        <v>0</v>
      </c>
      <c r="BK113" s="12">
        <v>0</v>
      </c>
      <c r="BL113" s="12">
        <v>0</v>
      </c>
      <c r="BM113" s="12">
        <v>0</v>
      </c>
      <c r="BN113" s="12"/>
      <c r="BO113" s="12">
        <v>0</v>
      </c>
      <c r="BP113" s="12">
        <v>0</v>
      </c>
      <c r="BQ113" s="12">
        <v>0</v>
      </c>
      <c r="BR113" s="12">
        <v>0</v>
      </c>
      <c r="BS113" s="12">
        <v>0</v>
      </c>
      <c r="BT113" s="12">
        <v>0</v>
      </c>
      <c r="BU113" s="12">
        <v>0</v>
      </c>
      <c r="BV113" s="12">
        <v>0</v>
      </c>
      <c r="BW113" s="12">
        <v>0</v>
      </c>
      <c r="BX113" s="12">
        <v>0</v>
      </c>
      <c r="BY113" s="12">
        <v>0</v>
      </c>
      <c r="BZ113" s="12">
        <v>0</v>
      </c>
      <c r="CA113" s="12">
        <v>0</v>
      </c>
    </row>
    <row r="114" spans="1:79" hidden="1" x14ac:dyDescent="0.2">
      <c r="A114" s="12" t="s">
        <v>113</v>
      </c>
      <c r="B114" s="12" t="s">
        <v>118</v>
      </c>
      <c r="C114" s="12" t="s">
        <v>118</v>
      </c>
      <c r="D114" s="22" t="s">
        <v>356</v>
      </c>
      <c r="E114" s="22" t="s">
        <v>149</v>
      </c>
      <c r="F114" s="22" t="s">
        <v>764</v>
      </c>
      <c r="G114" s="22" t="s">
        <v>765</v>
      </c>
      <c r="H114" s="22" t="s">
        <v>166</v>
      </c>
      <c r="I114" s="22" t="s">
        <v>151</v>
      </c>
      <c r="J114" s="22" t="s">
        <v>357</v>
      </c>
      <c r="K114" s="22" t="s">
        <v>78</v>
      </c>
      <c r="L114" s="54" t="s">
        <v>153</v>
      </c>
      <c r="M114" s="24" t="s">
        <v>153</v>
      </c>
      <c r="N114" s="24" t="s">
        <v>153</v>
      </c>
      <c r="O114" s="23" t="s">
        <v>153</v>
      </c>
      <c r="P114" s="23" t="s">
        <v>153</v>
      </c>
      <c r="Q114" s="30" t="s">
        <v>1205</v>
      </c>
      <c r="R114" s="23" t="s">
        <v>153</v>
      </c>
      <c r="S114" s="23" t="s">
        <v>153</v>
      </c>
      <c r="T114" s="24" t="s">
        <v>153</v>
      </c>
      <c r="U114" s="24" t="s">
        <v>153</v>
      </c>
      <c r="V114" s="54" t="s">
        <v>153</v>
      </c>
      <c r="W114" s="23" t="s">
        <v>153</v>
      </c>
      <c r="X114" s="23" t="s">
        <v>153</v>
      </c>
      <c r="Y114" s="23" t="s">
        <v>153</v>
      </c>
      <c r="Z114" s="23" t="s">
        <v>153</v>
      </c>
      <c r="AA114" s="24" t="s">
        <v>153</v>
      </c>
      <c r="AB114" s="24" t="s">
        <v>153</v>
      </c>
      <c r="AC114" s="23" t="s">
        <v>153</v>
      </c>
      <c r="AD114" s="23" t="s">
        <v>153</v>
      </c>
      <c r="AE114" s="23" t="s">
        <v>153</v>
      </c>
      <c r="AF114" s="23" t="s">
        <v>153</v>
      </c>
      <c r="AG114" s="23" t="s">
        <v>153</v>
      </c>
      <c r="AH114" s="24" t="s">
        <v>153</v>
      </c>
      <c r="AI114" s="24" t="s">
        <v>153</v>
      </c>
      <c r="AJ114" s="23" t="s">
        <v>153</v>
      </c>
      <c r="AK114" s="23" t="s">
        <v>153</v>
      </c>
      <c r="AL114" s="23" t="s">
        <v>153</v>
      </c>
      <c r="AM114" s="23" t="s">
        <v>153</v>
      </c>
      <c r="AN114" s="23" t="s">
        <v>153</v>
      </c>
      <c r="AO114" s="24" t="s">
        <v>153</v>
      </c>
      <c r="AP114" s="23">
        <f>VALUE(0)</f>
        <v>0</v>
      </c>
      <c r="AQ114" s="23">
        <f>VALUE(0)</f>
        <v>0</v>
      </c>
      <c r="AR114" s="23">
        <f>VALUE(0)</f>
        <v>0</v>
      </c>
      <c r="AS114" s="23">
        <f>VALUE(0)</f>
        <v>0</v>
      </c>
      <c r="AT114" s="23">
        <f>VALUE(0)</f>
        <v>0</v>
      </c>
      <c r="AU114" s="23">
        <f>VALUE(0)</f>
        <v>0</v>
      </c>
      <c r="AV114" s="23">
        <f>VALUE(18)</f>
        <v>18</v>
      </c>
      <c r="AW114" s="23">
        <f>VALUE(0)</f>
        <v>0</v>
      </c>
      <c r="AX114" s="23">
        <f>VALUE(0)</f>
        <v>0</v>
      </c>
      <c r="AY114" s="23">
        <f>VALUE(0)</f>
        <v>0</v>
      </c>
      <c r="AZ114" s="23">
        <f>VALUE(0)</f>
        <v>0</v>
      </c>
      <c r="BA114" s="23">
        <f>VALUE(0)</f>
        <v>0</v>
      </c>
      <c r="BB114" s="23">
        <f>VALUE(0)</f>
        <v>0</v>
      </c>
      <c r="BC114" s="23">
        <f>VALUE(0)</f>
        <v>0</v>
      </c>
      <c r="BD114" s="23">
        <f>VALUE(0)</f>
        <v>0</v>
      </c>
      <c r="BE114" s="23">
        <f>VALUE(0)</f>
        <v>0</v>
      </c>
      <c r="BF114" s="23">
        <f>VALUE(0)</f>
        <v>0</v>
      </c>
      <c r="BG114" s="23">
        <f>VALUE(0)</f>
        <v>0</v>
      </c>
      <c r="BH114" s="23">
        <f>VALUE(0)</f>
        <v>0</v>
      </c>
      <c r="BI114" s="23">
        <f>VALUE(0)</f>
        <v>0</v>
      </c>
      <c r="BJ114" s="23">
        <f>VALUE(0)</f>
        <v>0</v>
      </c>
      <c r="BK114" s="12">
        <f>$AX$114*24</f>
        <v>0</v>
      </c>
      <c r="BL114" s="12">
        <f>$AY$114*24</f>
        <v>0</v>
      </c>
      <c r="BM114" s="12">
        <f>$BJ$114*24</f>
        <v>0</v>
      </c>
      <c r="BN114" s="12">
        <f>VALUE($I$114)/100</f>
        <v>1</v>
      </c>
      <c r="BO114" s="12">
        <v>0</v>
      </c>
      <c r="BP114" s="12">
        <v>0</v>
      </c>
      <c r="BQ114" s="12">
        <v>0</v>
      </c>
      <c r="BR114" s="12">
        <v>0</v>
      </c>
      <c r="BS114" s="12">
        <v>0</v>
      </c>
      <c r="BT114" s="12">
        <v>0</v>
      </c>
      <c r="BU114" s="12">
        <v>0</v>
      </c>
      <c r="BV114" s="12">
        <v>0</v>
      </c>
      <c r="BW114" s="12">
        <v>0</v>
      </c>
      <c r="BX114" s="12">
        <v>0</v>
      </c>
      <c r="BY114" s="12">
        <v>0</v>
      </c>
      <c r="BZ114" s="12">
        <v>0</v>
      </c>
      <c r="CA114" s="12">
        <v>0</v>
      </c>
    </row>
    <row r="115" spans="1:79" hidden="1" x14ac:dyDescent="0.2">
      <c r="A115" s="12" t="s">
        <v>113</v>
      </c>
      <c r="B115" s="12" t="s">
        <v>118</v>
      </c>
      <c r="C115" s="12" t="s">
        <v>118</v>
      </c>
      <c r="D115" s="22" t="s">
        <v>358</v>
      </c>
      <c r="E115" s="22" t="s">
        <v>149</v>
      </c>
      <c r="F115" s="22" t="s">
        <v>766</v>
      </c>
      <c r="G115" s="22" t="s">
        <v>767</v>
      </c>
      <c r="H115" s="22" t="s">
        <v>166</v>
      </c>
      <c r="I115" s="22" t="s">
        <v>151</v>
      </c>
      <c r="J115" s="22" t="s">
        <v>359</v>
      </c>
      <c r="K115" s="22" t="s">
        <v>78</v>
      </c>
      <c r="L115" s="54" t="s">
        <v>153</v>
      </c>
      <c r="M115" s="24" t="s">
        <v>153</v>
      </c>
      <c r="N115" s="24" t="s">
        <v>153</v>
      </c>
      <c r="O115" s="24" t="s">
        <v>156</v>
      </c>
      <c r="P115" s="23" t="s">
        <v>153</v>
      </c>
      <c r="Q115" s="23" t="s">
        <v>153</v>
      </c>
      <c r="R115" s="23" t="s">
        <v>153</v>
      </c>
      <c r="S115" s="23" t="s">
        <v>153</v>
      </c>
      <c r="T115" s="24" t="s">
        <v>153</v>
      </c>
      <c r="U115" s="24" t="s">
        <v>153</v>
      </c>
      <c r="V115" s="54" t="s">
        <v>153</v>
      </c>
      <c r="W115" s="23" t="s">
        <v>153</v>
      </c>
      <c r="X115" s="23" t="s">
        <v>153</v>
      </c>
      <c r="Y115" s="23" t="s">
        <v>153</v>
      </c>
      <c r="Z115" s="23" t="s">
        <v>153</v>
      </c>
      <c r="AA115" s="24" t="s">
        <v>153</v>
      </c>
      <c r="AB115" s="24" t="s">
        <v>153</v>
      </c>
      <c r="AC115" s="24" t="s">
        <v>156</v>
      </c>
      <c r="AD115" s="23" t="s">
        <v>153</v>
      </c>
      <c r="AE115" s="23" t="s">
        <v>153</v>
      </c>
      <c r="AF115" s="23" t="s">
        <v>153</v>
      </c>
      <c r="AG115" s="23" t="s">
        <v>153</v>
      </c>
      <c r="AH115" s="24" t="s">
        <v>153</v>
      </c>
      <c r="AI115" s="24" t="s">
        <v>153</v>
      </c>
      <c r="AJ115" s="23" t="s">
        <v>153</v>
      </c>
      <c r="AK115" s="23" t="s">
        <v>153</v>
      </c>
      <c r="AL115" s="23" t="s">
        <v>153</v>
      </c>
      <c r="AM115" s="23" t="s">
        <v>153</v>
      </c>
      <c r="AN115" s="23" t="s">
        <v>153</v>
      </c>
      <c r="AO115" s="24" t="s">
        <v>153</v>
      </c>
      <c r="AP115" s="23">
        <f>VALUE(0)</f>
        <v>0</v>
      </c>
      <c r="AQ115" s="23">
        <f>VALUE(0)</f>
        <v>0</v>
      </c>
      <c r="AR115" s="23">
        <f>VALUE(0)</f>
        <v>0</v>
      </c>
      <c r="AS115" s="23">
        <f>VALUE(0)</f>
        <v>0</v>
      </c>
      <c r="AT115" s="23">
        <f>VALUE(0)</f>
        <v>0</v>
      </c>
      <c r="AU115" s="23">
        <f>VALUE(0)</f>
        <v>0</v>
      </c>
      <c r="AV115" s="23">
        <f>VALUE(5.5)</f>
        <v>5.5</v>
      </c>
      <c r="AW115" s="23">
        <f>VALUE(0)</f>
        <v>0</v>
      </c>
      <c r="AX115" s="23" t="s">
        <v>1206</v>
      </c>
      <c r="AY115" s="23">
        <f>VALUE(0)</f>
        <v>0</v>
      </c>
      <c r="AZ115" s="23">
        <f>VALUE(0)</f>
        <v>0</v>
      </c>
      <c r="BA115" s="23">
        <f>VALUE(0)</f>
        <v>0</v>
      </c>
      <c r="BB115" s="23">
        <f>VALUE(0)</f>
        <v>0</v>
      </c>
      <c r="BC115" s="23">
        <f>VALUE(0)</f>
        <v>0</v>
      </c>
      <c r="BD115" s="23">
        <f>VALUE(0)</f>
        <v>0</v>
      </c>
      <c r="BE115" s="23">
        <f>VALUE(0)</f>
        <v>0</v>
      </c>
      <c r="BF115" s="23">
        <f>VALUE(0)</f>
        <v>0</v>
      </c>
      <c r="BG115" s="23">
        <f>VALUE(0)</f>
        <v>0</v>
      </c>
      <c r="BH115" s="23">
        <f>VALUE(0)</f>
        <v>0</v>
      </c>
      <c r="BI115" s="23">
        <f>VALUE(0)</f>
        <v>0</v>
      </c>
      <c r="BJ115" s="23">
        <f>VALUE(0)</f>
        <v>0</v>
      </c>
      <c r="BK115" s="12">
        <f>$AX$115*24</f>
        <v>7.8000000000000007</v>
      </c>
      <c r="BL115" s="12">
        <f>$AY$115*24</f>
        <v>0</v>
      </c>
      <c r="BM115" s="12">
        <f>$BJ$115*24</f>
        <v>0</v>
      </c>
      <c r="BN115" s="12">
        <f>VALUE($I$115)/100</f>
        <v>1</v>
      </c>
      <c r="BO115" s="12">
        <v>0</v>
      </c>
      <c r="BP115" s="12">
        <v>0</v>
      </c>
      <c r="BQ115" s="12">
        <v>0</v>
      </c>
      <c r="BR115" s="12">
        <v>0</v>
      </c>
      <c r="BS115" s="12">
        <v>0</v>
      </c>
      <c r="BT115" s="12">
        <v>0</v>
      </c>
      <c r="BU115" s="12">
        <v>0</v>
      </c>
      <c r="BV115" s="12">
        <v>0</v>
      </c>
      <c r="BW115" s="12">
        <v>0</v>
      </c>
      <c r="BX115" s="12">
        <v>0</v>
      </c>
      <c r="BY115" s="12">
        <v>0</v>
      </c>
      <c r="BZ115" s="12">
        <v>0</v>
      </c>
      <c r="CA115" s="12">
        <v>0</v>
      </c>
    </row>
    <row r="116" spans="1:79" ht="15" hidden="1" x14ac:dyDescent="0.25">
      <c r="A116" s="12" t="s">
        <v>113</v>
      </c>
      <c r="B116" s="12" t="s">
        <v>118</v>
      </c>
      <c r="C116" s="12" t="s">
        <v>118</v>
      </c>
      <c r="D116" s="31" t="s">
        <v>246</v>
      </c>
      <c r="E116" s="31" t="s">
        <v>153</v>
      </c>
      <c r="F116" s="31" t="s">
        <v>175</v>
      </c>
      <c r="G116" s="31" t="s">
        <v>153</v>
      </c>
      <c r="H116" s="31" t="s">
        <v>153</v>
      </c>
      <c r="I116" s="31" t="s">
        <v>153</v>
      </c>
      <c r="J116" s="31" t="s">
        <v>153</v>
      </c>
      <c r="K116" s="31" t="s">
        <v>153</v>
      </c>
      <c r="L116" s="31">
        <f>VALUE(0)</f>
        <v>0</v>
      </c>
      <c r="M116" s="31">
        <f>VALUE(0)</f>
        <v>0</v>
      </c>
      <c r="N116" s="31">
        <f>VALUE(0)</f>
        <v>0</v>
      </c>
      <c r="O116" s="31">
        <f>VALUE(1)</f>
        <v>1</v>
      </c>
      <c r="P116" s="31">
        <f>VALUE(2)</f>
        <v>2</v>
      </c>
      <c r="Q116" s="31">
        <f>VALUE(1)</f>
        <v>1</v>
      </c>
      <c r="R116" s="31">
        <f>VALUE(2)</f>
        <v>2</v>
      </c>
      <c r="S116" s="31">
        <f>VALUE(2)</f>
        <v>2</v>
      </c>
      <c r="T116" s="31">
        <f>VALUE(0)</f>
        <v>0</v>
      </c>
      <c r="U116" s="31">
        <f>VALUE(0)</f>
        <v>0</v>
      </c>
      <c r="V116" s="31">
        <f>VALUE(0)</f>
        <v>0</v>
      </c>
      <c r="W116" s="31">
        <f>VALUE(2)</f>
        <v>2</v>
      </c>
      <c r="X116" s="31">
        <f>VALUE(2)</f>
        <v>2</v>
      </c>
      <c r="Y116" s="31">
        <f>VALUE(2)</f>
        <v>2</v>
      </c>
      <c r="Z116" s="31">
        <f>VALUE(2)</f>
        <v>2</v>
      </c>
      <c r="AA116" s="31">
        <f>VALUE(0)</f>
        <v>0</v>
      </c>
      <c r="AB116" s="31">
        <f>VALUE(0)</f>
        <v>0</v>
      </c>
      <c r="AC116" s="31">
        <f>VALUE(1)</f>
        <v>1</v>
      </c>
      <c r="AD116" s="31">
        <f>VALUE(2)</f>
        <v>2</v>
      </c>
      <c r="AE116" s="31">
        <f>VALUE(2)</f>
        <v>2</v>
      </c>
      <c r="AF116" s="31">
        <f>VALUE(2)</f>
        <v>2</v>
      </c>
      <c r="AG116" s="31">
        <f>VALUE(2)</f>
        <v>2</v>
      </c>
      <c r="AH116" s="31">
        <f>VALUE(0)</f>
        <v>0</v>
      </c>
      <c r="AI116" s="31">
        <f>VALUE(0)</f>
        <v>0</v>
      </c>
      <c r="AJ116" s="31">
        <f>VALUE(2)</f>
        <v>2</v>
      </c>
      <c r="AK116" s="31">
        <f>VALUE(2)</f>
        <v>2</v>
      </c>
      <c r="AL116" s="31">
        <f>VALUE(2)</f>
        <v>2</v>
      </c>
      <c r="AM116" s="31">
        <f>VALUE(2)</f>
        <v>2</v>
      </c>
      <c r="AN116" s="31">
        <f>VALUE(2)</f>
        <v>2</v>
      </c>
      <c r="AO116" s="31">
        <f>VALUE(0)</f>
        <v>0</v>
      </c>
      <c r="AP116" s="31">
        <v>0</v>
      </c>
      <c r="AQ116" s="31">
        <v>0</v>
      </c>
      <c r="AR116" s="31">
        <v>0</v>
      </c>
      <c r="AS116" s="31">
        <v>0</v>
      </c>
      <c r="AT116" s="31">
        <v>0</v>
      </c>
      <c r="AU116" s="31">
        <v>0</v>
      </c>
      <c r="AV116" s="31">
        <v>0</v>
      </c>
      <c r="AW116" s="31">
        <v>0</v>
      </c>
      <c r="AX116" s="31">
        <v>0</v>
      </c>
      <c r="AY116" s="31">
        <v>0</v>
      </c>
      <c r="AZ116" s="31">
        <v>0</v>
      </c>
      <c r="BA116" s="31">
        <v>0</v>
      </c>
      <c r="BB116" s="31">
        <v>0</v>
      </c>
      <c r="BC116" s="31">
        <v>0</v>
      </c>
      <c r="BD116" s="31">
        <v>0</v>
      </c>
      <c r="BE116" s="31">
        <v>0</v>
      </c>
      <c r="BF116" s="31">
        <v>0</v>
      </c>
      <c r="BG116" s="31">
        <v>0</v>
      </c>
      <c r="BH116" s="31">
        <v>0</v>
      </c>
      <c r="BI116" s="31">
        <v>0</v>
      </c>
      <c r="BJ116" s="31">
        <v>0</v>
      </c>
      <c r="BK116" s="12">
        <v>0</v>
      </c>
      <c r="BL116" s="12">
        <v>0</v>
      </c>
      <c r="BM116" s="12">
        <v>0</v>
      </c>
      <c r="BN116" s="12"/>
      <c r="BO116" s="12">
        <v>0</v>
      </c>
      <c r="BP116" s="12">
        <v>0</v>
      </c>
      <c r="BQ116" s="12">
        <v>0</v>
      </c>
      <c r="BR116" s="12">
        <v>0</v>
      </c>
      <c r="BS116" s="12">
        <v>0</v>
      </c>
      <c r="BT116" s="12">
        <v>0</v>
      </c>
      <c r="BU116" s="12">
        <v>0</v>
      </c>
      <c r="BV116" s="12">
        <v>0</v>
      </c>
      <c r="BW116" s="12">
        <v>0</v>
      </c>
      <c r="BX116" s="12">
        <v>0</v>
      </c>
      <c r="BY116" s="12">
        <v>0</v>
      </c>
      <c r="BZ116" s="12">
        <v>0</v>
      </c>
      <c r="CA116" s="12">
        <v>0</v>
      </c>
    </row>
    <row r="117" spans="1:79" ht="15" hidden="1" x14ac:dyDescent="0.25">
      <c r="A117" s="12" t="s">
        <v>113</v>
      </c>
      <c r="B117" s="12" t="s">
        <v>119</v>
      </c>
      <c r="C117" s="12" t="s">
        <v>119</v>
      </c>
      <c r="D117" s="31" t="s">
        <v>488</v>
      </c>
      <c r="E117" s="31" t="s">
        <v>153</v>
      </c>
      <c r="F117" s="31" t="s">
        <v>175</v>
      </c>
      <c r="G117" s="31" t="s">
        <v>153</v>
      </c>
      <c r="H117" s="31" t="s">
        <v>153</v>
      </c>
      <c r="I117" s="31" t="s">
        <v>153</v>
      </c>
      <c r="J117" s="31" t="s">
        <v>153</v>
      </c>
      <c r="K117" s="31" t="s">
        <v>153</v>
      </c>
      <c r="L117" s="31">
        <f>VALUE(0)</f>
        <v>0</v>
      </c>
      <c r="M117" s="31">
        <f>VALUE(0)</f>
        <v>0</v>
      </c>
      <c r="N117" s="31">
        <f>VALUE(0)</f>
        <v>0</v>
      </c>
      <c r="O117" s="31">
        <f>VALUE(0)</f>
        <v>0</v>
      </c>
      <c r="P117" s="31">
        <f>VALUE(0)</f>
        <v>0</v>
      </c>
      <c r="Q117" s="31">
        <f>VALUE(0)</f>
        <v>0</v>
      </c>
      <c r="R117" s="31">
        <f>VALUE(0)</f>
        <v>0</v>
      </c>
      <c r="S117" s="31">
        <f>VALUE(0)</f>
        <v>0</v>
      </c>
      <c r="T117" s="31">
        <f>VALUE(0)</f>
        <v>0</v>
      </c>
      <c r="U117" s="31">
        <f>VALUE(0)</f>
        <v>0</v>
      </c>
      <c r="V117" s="31">
        <f>VALUE(0)</f>
        <v>0</v>
      </c>
      <c r="W117" s="31">
        <f>VALUE(0)</f>
        <v>0</v>
      </c>
      <c r="X117" s="31">
        <f>VALUE(0)</f>
        <v>0</v>
      </c>
      <c r="Y117" s="31">
        <f>VALUE(0)</f>
        <v>0</v>
      </c>
      <c r="Z117" s="31">
        <f>VALUE(0)</f>
        <v>0</v>
      </c>
      <c r="AA117" s="31">
        <f>VALUE(0)</f>
        <v>0</v>
      </c>
      <c r="AB117" s="31">
        <f>VALUE(0)</f>
        <v>0</v>
      </c>
      <c r="AC117" s="31">
        <f>VALUE(0)</f>
        <v>0</v>
      </c>
      <c r="AD117" s="31">
        <f>VALUE(0)</f>
        <v>0</v>
      </c>
      <c r="AE117" s="31">
        <f>VALUE(0)</f>
        <v>0</v>
      </c>
      <c r="AF117" s="31">
        <f>VALUE(0)</f>
        <v>0</v>
      </c>
      <c r="AG117" s="31">
        <f>VALUE(0)</f>
        <v>0</v>
      </c>
      <c r="AH117" s="31">
        <f>VALUE(0)</f>
        <v>0</v>
      </c>
      <c r="AI117" s="31">
        <f>VALUE(0)</f>
        <v>0</v>
      </c>
      <c r="AJ117" s="31">
        <f>VALUE(0)</f>
        <v>0</v>
      </c>
      <c r="AK117" s="31">
        <f>VALUE(0)</f>
        <v>0</v>
      </c>
      <c r="AL117" s="31">
        <f>VALUE(0)</f>
        <v>0</v>
      </c>
      <c r="AM117" s="31">
        <f>VALUE(0)</f>
        <v>0</v>
      </c>
      <c r="AN117" s="31">
        <f>VALUE(0)</f>
        <v>0</v>
      </c>
      <c r="AO117" s="31">
        <f>VALUE(0)</f>
        <v>0</v>
      </c>
      <c r="AP117" s="31">
        <v>0</v>
      </c>
      <c r="AQ117" s="31">
        <v>0</v>
      </c>
      <c r="AR117" s="31">
        <v>0</v>
      </c>
      <c r="AS117" s="31">
        <v>0</v>
      </c>
      <c r="AT117" s="31">
        <v>0</v>
      </c>
      <c r="AU117" s="31">
        <v>0</v>
      </c>
      <c r="AV117" s="31">
        <v>0</v>
      </c>
      <c r="AW117" s="31">
        <v>0</v>
      </c>
      <c r="AX117" s="31">
        <v>0</v>
      </c>
      <c r="AY117" s="31">
        <v>0</v>
      </c>
      <c r="AZ117" s="31">
        <v>0</v>
      </c>
      <c r="BA117" s="31">
        <v>0</v>
      </c>
      <c r="BB117" s="31">
        <v>0</v>
      </c>
      <c r="BC117" s="31">
        <v>0</v>
      </c>
      <c r="BD117" s="31">
        <v>0</v>
      </c>
      <c r="BE117" s="31">
        <v>0</v>
      </c>
      <c r="BF117" s="31">
        <v>0</v>
      </c>
      <c r="BG117" s="31">
        <v>0</v>
      </c>
      <c r="BH117" s="31">
        <v>0</v>
      </c>
      <c r="BI117" s="31">
        <v>0</v>
      </c>
      <c r="BJ117" s="31">
        <v>0</v>
      </c>
      <c r="BK117" s="12">
        <v>0</v>
      </c>
      <c r="BL117" s="12">
        <v>0</v>
      </c>
      <c r="BM117" s="12">
        <v>0</v>
      </c>
      <c r="BN117" s="12"/>
      <c r="BO117" s="12">
        <v>0</v>
      </c>
      <c r="BP117" s="12">
        <v>0</v>
      </c>
      <c r="BQ117" s="12">
        <v>0</v>
      </c>
      <c r="BR117" s="12">
        <v>0</v>
      </c>
      <c r="BS117" s="12">
        <v>0</v>
      </c>
      <c r="BT117" s="12">
        <v>0</v>
      </c>
      <c r="BU117" s="12">
        <v>0</v>
      </c>
      <c r="BV117" s="12">
        <v>0</v>
      </c>
      <c r="BW117" s="12">
        <v>0</v>
      </c>
      <c r="BX117" s="12">
        <v>0</v>
      </c>
      <c r="BY117" s="12">
        <v>0</v>
      </c>
      <c r="BZ117" s="12">
        <v>0</v>
      </c>
      <c r="CA117" s="12">
        <v>0</v>
      </c>
    </row>
    <row r="118" spans="1:79" hidden="1" x14ac:dyDescent="0.2">
      <c r="A118" s="12" t="s">
        <v>120</v>
      </c>
      <c r="B118" s="12" t="s">
        <v>121</v>
      </c>
      <c r="C118" s="12" t="s">
        <v>121</v>
      </c>
      <c r="D118" s="22" t="s">
        <v>360</v>
      </c>
      <c r="E118" s="22" t="s">
        <v>161</v>
      </c>
      <c r="F118" s="22" t="s">
        <v>768</v>
      </c>
      <c r="G118" s="22" t="s">
        <v>769</v>
      </c>
      <c r="H118" s="22" t="s">
        <v>150</v>
      </c>
      <c r="I118" s="22" t="s">
        <v>151</v>
      </c>
      <c r="J118" s="22" t="s">
        <v>311</v>
      </c>
      <c r="K118" s="22" t="s">
        <v>80</v>
      </c>
      <c r="L118" s="54" t="s">
        <v>153</v>
      </c>
      <c r="M118" s="24" t="s">
        <v>156</v>
      </c>
      <c r="N118" s="24" t="s">
        <v>153</v>
      </c>
      <c r="O118" s="28" t="s">
        <v>163</v>
      </c>
      <c r="P118" s="28" t="s">
        <v>163</v>
      </c>
      <c r="Q118" s="28" t="s">
        <v>163</v>
      </c>
      <c r="R118" s="28" t="s">
        <v>163</v>
      </c>
      <c r="S118" s="28" t="s">
        <v>163</v>
      </c>
      <c r="T118" s="28" t="s">
        <v>163</v>
      </c>
      <c r="U118" s="24" t="s">
        <v>153</v>
      </c>
      <c r="V118" s="54" t="s">
        <v>153</v>
      </c>
      <c r="W118" s="23" t="s">
        <v>153</v>
      </c>
      <c r="X118" s="23" t="s">
        <v>153</v>
      </c>
      <c r="Y118" s="23" t="s">
        <v>153</v>
      </c>
      <c r="Z118" s="23" t="s">
        <v>153</v>
      </c>
      <c r="AA118" s="24" t="s">
        <v>156</v>
      </c>
      <c r="AB118" s="24" t="s">
        <v>153</v>
      </c>
      <c r="AC118" s="23" t="s">
        <v>153</v>
      </c>
      <c r="AD118" s="23" t="s">
        <v>153</v>
      </c>
      <c r="AE118" s="23" t="s">
        <v>153</v>
      </c>
      <c r="AF118" s="23" t="s">
        <v>153</v>
      </c>
      <c r="AG118" s="23" t="s">
        <v>153</v>
      </c>
      <c r="AH118" s="24" t="s">
        <v>156</v>
      </c>
      <c r="AI118" s="24" t="s">
        <v>153</v>
      </c>
      <c r="AJ118" s="23" t="s">
        <v>153</v>
      </c>
      <c r="AK118" s="23" t="s">
        <v>153</v>
      </c>
      <c r="AL118" s="23" t="s">
        <v>153</v>
      </c>
      <c r="AM118" s="23" t="s">
        <v>153</v>
      </c>
      <c r="AN118" s="23" t="s">
        <v>153</v>
      </c>
      <c r="AO118" s="24" t="s">
        <v>156</v>
      </c>
      <c r="AP118" s="23">
        <f>VALUE(0)</f>
        <v>0</v>
      </c>
      <c r="AQ118" s="23">
        <f>VALUE(0)</f>
        <v>0</v>
      </c>
      <c r="AR118" s="23">
        <f>VALUE(0)</f>
        <v>0</v>
      </c>
      <c r="AS118" s="23">
        <f>VALUE(0)</f>
        <v>0</v>
      </c>
      <c r="AT118" s="23">
        <f>VALUE(0)</f>
        <v>0</v>
      </c>
      <c r="AU118" s="23">
        <f>VALUE(6)</f>
        <v>6</v>
      </c>
      <c r="AV118" s="23">
        <f>VALUE(8)</f>
        <v>8</v>
      </c>
      <c r="AW118" s="23">
        <f>VALUE(0)</f>
        <v>0</v>
      </c>
      <c r="AX118" s="23" t="s">
        <v>171</v>
      </c>
      <c r="AY118" s="23" t="s">
        <v>1207</v>
      </c>
      <c r="AZ118" s="23">
        <f>VALUE(0)</f>
        <v>0</v>
      </c>
      <c r="BA118" s="23">
        <f>VALUE(0)</f>
        <v>0</v>
      </c>
      <c r="BB118" s="23">
        <f>VALUE(0)</f>
        <v>0</v>
      </c>
      <c r="BC118" s="23">
        <f>VALUE(0)</f>
        <v>0</v>
      </c>
      <c r="BD118" s="23">
        <f>VALUE(0)</f>
        <v>0</v>
      </c>
      <c r="BE118" s="23">
        <f>VALUE(0)</f>
        <v>0</v>
      </c>
      <c r="BF118" s="23">
        <f>VALUE(0)</f>
        <v>0</v>
      </c>
      <c r="BG118" s="23">
        <f>VALUE(0)</f>
        <v>0</v>
      </c>
      <c r="BH118" s="23">
        <f>VALUE(0)</f>
        <v>0</v>
      </c>
      <c r="BI118" s="23">
        <f>VALUE(0)</f>
        <v>0</v>
      </c>
      <c r="BJ118" s="23">
        <f>VALUE(0)</f>
        <v>0</v>
      </c>
      <c r="BK118" s="12">
        <f>$AX$118*24</f>
        <v>5.833333333333333</v>
      </c>
      <c r="BL118" s="12">
        <f>$AY$118*24</f>
        <v>74.11666666666666</v>
      </c>
      <c r="BM118" s="12">
        <f>$BJ$118*24</f>
        <v>0</v>
      </c>
      <c r="BN118" s="12">
        <f>VALUE($I$118)/100</f>
        <v>1</v>
      </c>
      <c r="BO118" s="12">
        <v>0</v>
      </c>
      <c r="BP118" s="12">
        <v>0</v>
      </c>
      <c r="BQ118" s="12">
        <v>0</v>
      </c>
      <c r="BR118" s="12">
        <v>0</v>
      </c>
      <c r="BS118" s="12">
        <v>0</v>
      </c>
      <c r="BT118" s="12">
        <v>0</v>
      </c>
      <c r="BU118" s="12">
        <v>0</v>
      </c>
      <c r="BV118" s="12">
        <v>0</v>
      </c>
      <c r="BW118" s="12">
        <v>0</v>
      </c>
      <c r="BX118" s="12">
        <v>0</v>
      </c>
      <c r="BY118" s="12">
        <v>0</v>
      </c>
      <c r="BZ118" s="12">
        <v>0</v>
      </c>
      <c r="CA118" s="12">
        <v>0</v>
      </c>
    </row>
    <row r="119" spans="1:79" ht="16.5" hidden="1" x14ac:dyDescent="0.2">
      <c r="A119" s="12" t="s">
        <v>120</v>
      </c>
      <c r="B119" s="12" t="s">
        <v>121</v>
      </c>
      <c r="C119" s="12" t="s">
        <v>121</v>
      </c>
      <c r="D119" s="22" t="s">
        <v>361</v>
      </c>
      <c r="E119" s="22" t="s">
        <v>161</v>
      </c>
      <c r="F119" s="22" t="s">
        <v>770</v>
      </c>
      <c r="G119" s="22" t="s">
        <v>771</v>
      </c>
      <c r="H119" s="22" t="s">
        <v>150</v>
      </c>
      <c r="I119" s="22" t="s">
        <v>151</v>
      </c>
      <c r="J119" s="22" t="s">
        <v>162</v>
      </c>
      <c r="K119" s="22" t="s">
        <v>80</v>
      </c>
      <c r="L119" s="54" t="s">
        <v>153</v>
      </c>
      <c r="M119" s="23" t="s">
        <v>153</v>
      </c>
      <c r="N119" s="24" t="s">
        <v>153</v>
      </c>
      <c r="O119" s="24" t="s">
        <v>156</v>
      </c>
      <c r="P119" s="24" t="s">
        <v>156</v>
      </c>
      <c r="Q119" s="24" t="s">
        <v>156</v>
      </c>
      <c r="R119" s="26" t="s">
        <v>362</v>
      </c>
      <c r="S119" s="26" t="s">
        <v>362</v>
      </c>
      <c r="T119" s="23" t="s">
        <v>153</v>
      </c>
      <c r="U119" s="24" t="s">
        <v>153</v>
      </c>
      <c r="V119" s="54" t="s">
        <v>153</v>
      </c>
      <c r="W119" s="28" t="s">
        <v>163</v>
      </c>
      <c r="X119" s="28" t="s">
        <v>163</v>
      </c>
      <c r="Y119" s="28" t="s">
        <v>163</v>
      </c>
      <c r="Z119" s="28" t="s">
        <v>163</v>
      </c>
      <c r="AA119" s="28" t="s">
        <v>163</v>
      </c>
      <c r="AB119" s="24" t="s">
        <v>153</v>
      </c>
      <c r="AC119" s="28" t="s">
        <v>163</v>
      </c>
      <c r="AD119" s="28" t="s">
        <v>163</v>
      </c>
      <c r="AE119" s="28" t="s">
        <v>163</v>
      </c>
      <c r="AF119" s="28" t="s">
        <v>163</v>
      </c>
      <c r="AG119" s="26" t="s">
        <v>362</v>
      </c>
      <c r="AH119" s="23" t="s">
        <v>153</v>
      </c>
      <c r="AI119" s="24" t="s">
        <v>153</v>
      </c>
      <c r="AJ119" s="26" t="s">
        <v>362</v>
      </c>
      <c r="AK119" s="26" t="s">
        <v>362</v>
      </c>
      <c r="AL119" s="26" t="s">
        <v>362</v>
      </c>
      <c r="AM119" s="26" t="s">
        <v>362</v>
      </c>
      <c r="AN119" s="26" t="s">
        <v>362</v>
      </c>
      <c r="AO119" s="23" t="s">
        <v>153</v>
      </c>
      <c r="AP119" s="23">
        <f>VALUE(2)</f>
        <v>2</v>
      </c>
      <c r="AQ119" s="23">
        <f>VALUE(0)</f>
        <v>0</v>
      </c>
      <c r="AR119" s="23">
        <f>VALUE(0)</f>
        <v>0</v>
      </c>
      <c r="AS119" s="23">
        <f>VALUE(0)</f>
        <v>0</v>
      </c>
      <c r="AT119" s="23">
        <f>VALUE(0)</f>
        <v>0</v>
      </c>
      <c r="AU119" s="23">
        <f>VALUE(9)</f>
        <v>9</v>
      </c>
      <c r="AV119" s="23">
        <f>VALUE(3)</f>
        <v>3</v>
      </c>
      <c r="AW119" s="23">
        <f>VALUE(0)</f>
        <v>0</v>
      </c>
      <c r="AX119" s="23" t="s">
        <v>171</v>
      </c>
      <c r="AY119" s="23" t="s">
        <v>363</v>
      </c>
      <c r="AZ119" s="23">
        <f>VALUE(0)</f>
        <v>0</v>
      </c>
      <c r="BA119" s="23">
        <f>VALUE(0)</f>
        <v>0</v>
      </c>
      <c r="BB119" s="23">
        <f>VALUE(0)</f>
        <v>0</v>
      </c>
      <c r="BC119" s="23">
        <f>VALUE(0)</f>
        <v>0</v>
      </c>
      <c r="BD119" s="23">
        <f>VALUE(0)</f>
        <v>0</v>
      </c>
      <c r="BE119" s="23">
        <f>VALUE(0)</f>
        <v>0</v>
      </c>
      <c r="BF119" s="23">
        <f>VALUE(0)</f>
        <v>0</v>
      </c>
      <c r="BG119" s="23">
        <f>VALUE(0)</f>
        <v>0</v>
      </c>
      <c r="BH119" s="23">
        <f>VALUE(0)</f>
        <v>0</v>
      </c>
      <c r="BI119" s="23">
        <f>VALUE(0)</f>
        <v>0</v>
      </c>
      <c r="BJ119" s="23">
        <f>VALUE(0)</f>
        <v>0</v>
      </c>
      <c r="BK119" s="12">
        <f>$AX$119*24</f>
        <v>5.833333333333333</v>
      </c>
      <c r="BL119" s="12">
        <f>$AY$119*24</f>
        <v>20.033333333333335</v>
      </c>
      <c r="BM119" s="12">
        <f>$BJ$119*24</f>
        <v>0</v>
      </c>
      <c r="BN119" s="12">
        <f>VALUE($I$119)/100</f>
        <v>1</v>
      </c>
      <c r="BO119" s="12">
        <v>0</v>
      </c>
      <c r="BP119" s="12">
        <v>0</v>
      </c>
      <c r="BQ119" s="12">
        <v>0</v>
      </c>
      <c r="BR119" s="12">
        <v>0</v>
      </c>
      <c r="BS119" s="12">
        <v>0</v>
      </c>
      <c r="BT119" s="12">
        <v>0</v>
      </c>
      <c r="BU119" s="12">
        <v>0</v>
      </c>
      <c r="BV119" s="12">
        <v>0</v>
      </c>
      <c r="BW119" s="12">
        <v>0</v>
      </c>
      <c r="BX119" s="12">
        <v>0</v>
      </c>
      <c r="BY119" s="12">
        <v>0</v>
      </c>
      <c r="BZ119" s="12">
        <v>0</v>
      </c>
      <c r="CA119" s="12">
        <v>0</v>
      </c>
    </row>
    <row r="120" spans="1:79" hidden="1" x14ac:dyDescent="0.2">
      <c r="A120" s="12" t="s">
        <v>120</v>
      </c>
      <c r="B120" s="12" t="s">
        <v>121</v>
      </c>
      <c r="C120" s="12" t="s">
        <v>121</v>
      </c>
      <c r="D120" s="22" t="s">
        <v>364</v>
      </c>
      <c r="E120" s="22" t="s">
        <v>161</v>
      </c>
      <c r="F120" s="22" t="s">
        <v>772</v>
      </c>
      <c r="G120" s="22" t="s">
        <v>773</v>
      </c>
      <c r="H120" s="22" t="s">
        <v>150</v>
      </c>
      <c r="I120" s="22" t="s">
        <v>151</v>
      </c>
      <c r="J120" s="22" t="s">
        <v>162</v>
      </c>
      <c r="K120" s="22" t="s">
        <v>80</v>
      </c>
      <c r="L120" s="54" t="s">
        <v>153</v>
      </c>
      <c r="M120" s="23" t="s">
        <v>153</v>
      </c>
      <c r="N120" s="24" t="s">
        <v>153</v>
      </c>
      <c r="O120" s="23" t="s">
        <v>153</v>
      </c>
      <c r="P120" s="23" t="s">
        <v>153</v>
      </c>
      <c r="Q120" s="23" t="s">
        <v>153</v>
      </c>
      <c r="R120" s="23" t="s">
        <v>153</v>
      </c>
      <c r="S120" s="23" t="s">
        <v>153</v>
      </c>
      <c r="T120" s="23" t="s">
        <v>153</v>
      </c>
      <c r="U120" s="24" t="s">
        <v>153</v>
      </c>
      <c r="V120" s="54" t="s">
        <v>153</v>
      </c>
      <c r="W120" s="23" t="s">
        <v>153</v>
      </c>
      <c r="X120" s="23" t="s">
        <v>153</v>
      </c>
      <c r="Y120" s="23" t="s">
        <v>153</v>
      </c>
      <c r="Z120" s="23" t="s">
        <v>153</v>
      </c>
      <c r="AA120" s="23" t="s">
        <v>153</v>
      </c>
      <c r="AB120" s="24" t="s">
        <v>153</v>
      </c>
      <c r="AC120" s="23" t="s">
        <v>153</v>
      </c>
      <c r="AD120" s="23" t="s">
        <v>153</v>
      </c>
      <c r="AE120" s="23" t="s">
        <v>153</v>
      </c>
      <c r="AF120" s="23" t="s">
        <v>153</v>
      </c>
      <c r="AG120" s="24" t="s">
        <v>156</v>
      </c>
      <c r="AH120" s="24" t="s">
        <v>156</v>
      </c>
      <c r="AI120" s="24" t="s">
        <v>153</v>
      </c>
      <c r="AJ120" s="23" t="s">
        <v>153</v>
      </c>
      <c r="AK120" s="23" t="s">
        <v>153</v>
      </c>
      <c r="AL120" s="23" t="s">
        <v>153</v>
      </c>
      <c r="AM120" s="23" t="s">
        <v>153</v>
      </c>
      <c r="AN120" s="23" t="s">
        <v>153</v>
      </c>
      <c r="AO120" s="23" t="s">
        <v>153</v>
      </c>
      <c r="AP120" s="23">
        <f>VALUE(0)</f>
        <v>0</v>
      </c>
      <c r="AQ120" s="23">
        <f>VALUE(0)</f>
        <v>0</v>
      </c>
      <c r="AR120" s="23">
        <f>VALUE(0)</f>
        <v>0</v>
      </c>
      <c r="AS120" s="23">
        <f>VALUE(0)</f>
        <v>0</v>
      </c>
      <c r="AT120" s="23">
        <f>VALUE(0)</f>
        <v>0</v>
      </c>
      <c r="AU120" s="23">
        <f>VALUE(0)</f>
        <v>0</v>
      </c>
      <c r="AV120" s="23">
        <f>VALUE(10)</f>
        <v>10</v>
      </c>
      <c r="AW120" s="23">
        <f>VALUE(0)</f>
        <v>0</v>
      </c>
      <c r="AX120" s="23" t="s">
        <v>365</v>
      </c>
      <c r="AY120" s="23">
        <f>VALUE(0)</f>
        <v>0</v>
      </c>
      <c r="AZ120" s="23">
        <f>VALUE(0)</f>
        <v>0</v>
      </c>
      <c r="BA120" s="23">
        <f>VALUE(0)</f>
        <v>0</v>
      </c>
      <c r="BB120" s="23">
        <f>VALUE(0)</f>
        <v>0</v>
      </c>
      <c r="BC120" s="23">
        <f>VALUE(0)</f>
        <v>0</v>
      </c>
      <c r="BD120" s="23">
        <f>VALUE(0)</f>
        <v>0</v>
      </c>
      <c r="BE120" s="23">
        <f>VALUE(0)</f>
        <v>0</v>
      </c>
      <c r="BF120" s="23">
        <f>VALUE(0)</f>
        <v>0</v>
      </c>
      <c r="BG120" s="23">
        <f>VALUE(0)</f>
        <v>0</v>
      </c>
      <c r="BH120" s="23">
        <f>VALUE(0)</f>
        <v>0</v>
      </c>
      <c r="BI120" s="23">
        <f>VALUE(0)</f>
        <v>0</v>
      </c>
      <c r="BJ120" s="23">
        <f>VALUE(0)</f>
        <v>0</v>
      </c>
      <c r="BK120" s="12">
        <f>$AX$120*24</f>
        <v>5.3166666666666664</v>
      </c>
      <c r="BL120" s="12">
        <f>$AY$120*24</f>
        <v>0</v>
      </c>
      <c r="BM120" s="12">
        <f>$BJ$120*24</f>
        <v>0</v>
      </c>
      <c r="BN120" s="12">
        <f>VALUE($I$120)/100</f>
        <v>1</v>
      </c>
      <c r="BO120" s="12">
        <v>0</v>
      </c>
      <c r="BP120" s="12">
        <v>0</v>
      </c>
      <c r="BQ120" s="12">
        <v>0</v>
      </c>
      <c r="BR120" s="12">
        <v>0</v>
      </c>
      <c r="BS120" s="12">
        <v>0</v>
      </c>
      <c r="BT120" s="12">
        <v>0</v>
      </c>
      <c r="BU120" s="12">
        <v>0</v>
      </c>
      <c r="BV120" s="12">
        <v>0</v>
      </c>
      <c r="BW120" s="12">
        <v>0</v>
      </c>
      <c r="BX120" s="12">
        <v>0</v>
      </c>
      <c r="BY120" s="12">
        <v>0</v>
      </c>
      <c r="BZ120" s="12">
        <v>0</v>
      </c>
      <c r="CA120" s="12">
        <v>0</v>
      </c>
    </row>
    <row r="121" spans="1:79" ht="16.5" hidden="1" x14ac:dyDescent="0.2">
      <c r="A121" s="12" t="s">
        <v>120</v>
      </c>
      <c r="B121" s="12" t="s">
        <v>121</v>
      </c>
      <c r="C121" s="12" t="s">
        <v>121</v>
      </c>
      <c r="D121" s="22" t="s">
        <v>366</v>
      </c>
      <c r="E121" s="22" t="s">
        <v>159</v>
      </c>
      <c r="F121" s="22" t="s">
        <v>774</v>
      </c>
      <c r="G121" s="22" t="s">
        <v>775</v>
      </c>
      <c r="H121" s="22" t="s">
        <v>150</v>
      </c>
      <c r="I121" s="22" t="s">
        <v>151</v>
      </c>
      <c r="J121" s="22" t="s">
        <v>162</v>
      </c>
      <c r="K121" s="22" t="s">
        <v>80</v>
      </c>
      <c r="L121" s="54" t="s">
        <v>153</v>
      </c>
      <c r="M121" s="23" t="s">
        <v>222</v>
      </c>
      <c r="N121" s="24" t="s">
        <v>153</v>
      </c>
      <c r="O121" s="23" t="s">
        <v>153</v>
      </c>
      <c r="P121" s="23" t="s">
        <v>153</v>
      </c>
      <c r="Q121" s="23" t="s">
        <v>360</v>
      </c>
      <c r="R121" s="23" t="s">
        <v>360</v>
      </c>
      <c r="S121" s="23" t="s">
        <v>360</v>
      </c>
      <c r="T121" s="26" t="s">
        <v>367</v>
      </c>
      <c r="U121" s="24" t="s">
        <v>153</v>
      </c>
      <c r="V121" s="54" t="s">
        <v>153</v>
      </c>
      <c r="W121" s="23" t="s">
        <v>361</v>
      </c>
      <c r="X121" s="23" t="s">
        <v>361</v>
      </c>
      <c r="Y121" s="23" t="s">
        <v>361</v>
      </c>
      <c r="Z121" s="23" t="s">
        <v>361</v>
      </c>
      <c r="AA121" s="23" t="s">
        <v>361</v>
      </c>
      <c r="AB121" s="24" t="s">
        <v>153</v>
      </c>
      <c r="AC121" s="25" t="s">
        <v>361</v>
      </c>
      <c r="AD121" s="23" t="s">
        <v>153</v>
      </c>
      <c r="AE121" s="23" t="s">
        <v>153</v>
      </c>
      <c r="AF121" s="23" t="s">
        <v>153</v>
      </c>
      <c r="AG121" s="23" t="s">
        <v>364</v>
      </c>
      <c r="AH121" s="23" t="s">
        <v>364</v>
      </c>
      <c r="AI121" s="24" t="s">
        <v>153</v>
      </c>
      <c r="AJ121" s="23" t="s">
        <v>153</v>
      </c>
      <c r="AK121" s="23" t="s">
        <v>153</v>
      </c>
      <c r="AL121" s="23" t="s">
        <v>153</v>
      </c>
      <c r="AM121" s="23" t="s">
        <v>153</v>
      </c>
      <c r="AN121" s="24" t="s">
        <v>257</v>
      </c>
      <c r="AO121" s="24" t="s">
        <v>257</v>
      </c>
      <c r="AP121" s="23">
        <f>VALUE(0)</f>
        <v>0</v>
      </c>
      <c r="AQ121" s="23">
        <f>VALUE(0)</f>
        <v>0</v>
      </c>
      <c r="AR121" s="23">
        <f>VALUE(0)</f>
        <v>0</v>
      </c>
      <c r="AS121" s="23">
        <f>VALUE(7)</f>
        <v>7</v>
      </c>
      <c r="AT121" s="23">
        <f>VALUE(0)</f>
        <v>0</v>
      </c>
      <c r="AU121" s="23">
        <f>VALUE(0)</f>
        <v>0</v>
      </c>
      <c r="AV121" s="23">
        <f>VALUE(6)</f>
        <v>6</v>
      </c>
      <c r="AW121" s="23">
        <f>VALUE(0)</f>
        <v>0</v>
      </c>
      <c r="AX121" s="23" t="s">
        <v>227</v>
      </c>
      <c r="AY121" s="23" t="s">
        <v>368</v>
      </c>
      <c r="AZ121" s="23">
        <f>VALUE(0)</f>
        <v>0</v>
      </c>
      <c r="BA121" s="23">
        <f>VALUE(0)</f>
        <v>0</v>
      </c>
      <c r="BB121" s="23">
        <f>VALUE(0)</f>
        <v>0</v>
      </c>
      <c r="BC121" s="23">
        <f>VALUE(0)</f>
        <v>0</v>
      </c>
      <c r="BD121" s="23">
        <f>VALUE(0)</f>
        <v>0</v>
      </c>
      <c r="BE121" s="23">
        <f>VALUE(0)</f>
        <v>0</v>
      </c>
      <c r="BF121" s="23">
        <f>VALUE(0)</f>
        <v>0</v>
      </c>
      <c r="BG121" s="23">
        <f>VALUE(0)</f>
        <v>0</v>
      </c>
      <c r="BH121" s="23">
        <f>VALUE(0)</f>
        <v>0</v>
      </c>
      <c r="BI121" s="23">
        <f>VALUE(0)</f>
        <v>0</v>
      </c>
      <c r="BJ121" s="23">
        <f>VALUE(0)</f>
        <v>0</v>
      </c>
      <c r="BK121" s="12">
        <f>$AX$121*24</f>
        <v>2.8333333333333335</v>
      </c>
      <c r="BL121" s="12">
        <f>$AY$121*24</f>
        <v>3.55</v>
      </c>
      <c r="BM121" s="12">
        <f>$BJ$121*24</f>
        <v>0</v>
      </c>
      <c r="BN121" s="12">
        <f>VALUE($I$121)/100</f>
        <v>1</v>
      </c>
      <c r="BO121" s="12">
        <v>0</v>
      </c>
      <c r="BP121" s="12">
        <v>0</v>
      </c>
      <c r="BQ121" s="12">
        <v>0</v>
      </c>
      <c r="BR121" s="12">
        <v>1</v>
      </c>
      <c r="BS121" s="12">
        <v>0</v>
      </c>
      <c r="BT121" s="12">
        <v>0</v>
      </c>
      <c r="BU121" s="12">
        <v>0</v>
      </c>
      <c r="BV121" s="12">
        <v>0</v>
      </c>
      <c r="BW121" s="12">
        <v>0</v>
      </c>
      <c r="BX121" s="12">
        <v>0</v>
      </c>
      <c r="BY121" s="12">
        <v>0</v>
      </c>
      <c r="BZ121" s="12">
        <v>0</v>
      </c>
      <c r="CA121" s="12">
        <v>0</v>
      </c>
    </row>
    <row r="122" spans="1:79" ht="16.5" hidden="1" x14ac:dyDescent="0.2">
      <c r="A122" s="12" t="s">
        <v>120</v>
      </c>
      <c r="B122" s="12" t="s">
        <v>121</v>
      </c>
      <c r="C122" s="12" t="s">
        <v>121</v>
      </c>
      <c r="D122" s="22" t="s">
        <v>369</v>
      </c>
      <c r="E122" s="22" t="s">
        <v>173</v>
      </c>
      <c r="F122" s="22" t="s">
        <v>776</v>
      </c>
      <c r="G122" s="22" t="s">
        <v>777</v>
      </c>
      <c r="H122" s="22" t="s">
        <v>150</v>
      </c>
      <c r="I122" s="22" t="s">
        <v>151</v>
      </c>
      <c r="J122" s="22" t="s">
        <v>162</v>
      </c>
      <c r="K122" s="22" t="s">
        <v>80</v>
      </c>
      <c r="L122" s="54" t="s">
        <v>153</v>
      </c>
      <c r="M122" s="29" t="s">
        <v>170</v>
      </c>
      <c r="N122" s="24" t="s">
        <v>153</v>
      </c>
      <c r="O122" s="29" t="s">
        <v>170</v>
      </c>
      <c r="P122" s="29" t="s">
        <v>170</v>
      </c>
      <c r="Q122" s="29" t="s">
        <v>170</v>
      </c>
      <c r="R122" s="29" t="s">
        <v>170</v>
      </c>
      <c r="S122" s="29" t="s">
        <v>170</v>
      </c>
      <c r="T122" s="29" t="s">
        <v>170</v>
      </c>
      <c r="U122" s="24" t="s">
        <v>153</v>
      </c>
      <c r="V122" s="54" t="s">
        <v>153</v>
      </c>
      <c r="W122" s="29" t="s">
        <v>170</v>
      </c>
      <c r="X122" s="29" t="s">
        <v>170</v>
      </c>
      <c r="Y122" s="29" t="s">
        <v>170</v>
      </c>
      <c r="Z122" s="29" t="s">
        <v>170</v>
      </c>
      <c r="AA122" s="26" t="s">
        <v>370</v>
      </c>
      <c r="AB122" s="24" t="s">
        <v>153</v>
      </c>
      <c r="AC122" s="25" t="s">
        <v>1208</v>
      </c>
      <c r="AD122" s="23" t="s">
        <v>361</v>
      </c>
      <c r="AE122" s="23" t="s">
        <v>361</v>
      </c>
      <c r="AF122" s="23" t="s">
        <v>361</v>
      </c>
      <c r="AG122" s="24" t="s">
        <v>156</v>
      </c>
      <c r="AH122" s="24" t="s">
        <v>156</v>
      </c>
      <c r="AI122" s="24" t="s">
        <v>153</v>
      </c>
      <c r="AJ122" s="26" t="s">
        <v>1209</v>
      </c>
      <c r="AK122" s="26" t="s">
        <v>1209</v>
      </c>
      <c r="AL122" s="26" t="s">
        <v>1209</v>
      </c>
      <c r="AM122" s="26" t="s">
        <v>367</v>
      </c>
      <c r="AN122" s="26" t="s">
        <v>367</v>
      </c>
      <c r="AO122" s="26" t="s">
        <v>367</v>
      </c>
      <c r="AP122" s="23">
        <f>VALUE(10)</f>
        <v>10</v>
      </c>
      <c r="AQ122" s="23">
        <f>VALUE(0)</f>
        <v>0</v>
      </c>
      <c r="AR122" s="23">
        <f>VALUE(11)</f>
        <v>11</v>
      </c>
      <c r="AS122" s="23">
        <f>VALUE(0)</f>
        <v>0</v>
      </c>
      <c r="AT122" s="23">
        <f>VALUE(0)</f>
        <v>0</v>
      </c>
      <c r="AU122" s="23">
        <f>VALUE(0)</f>
        <v>0</v>
      </c>
      <c r="AV122" s="23">
        <f>VALUE(6)</f>
        <v>6</v>
      </c>
      <c r="AW122" s="23">
        <f>VALUE(0)</f>
        <v>0</v>
      </c>
      <c r="AX122" s="23" t="s">
        <v>171</v>
      </c>
      <c r="AY122" s="23" t="s">
        <v>371</v>
      </c>
      <c r="AZ122" s="23">
        <f>VALUE(0)</f>
        <v>0</v>
      </c>
      <c r="BA122" s="23">
        <f>VALUE(0)</f>
        <v>0</v>
      </c>
      <c r="BB122" s="23">
        <f>VALUE(0)</f>
        <v>0</v>
      </c>
      <c r="BC122" s="23">
        <f>VALUE(0)</f>
        <v>0</v>
      </c>
      <c r="BD122" s="23">
        <f>VALUE(4)</f>
        <v>4</v>
      </c>
      <c r="BE122" s="23">
        <f>VALUE(0)</f>
        <v>0</v>
      </c>
      <c r="BF122" s="23">
        <f>VALUE(0)</f>
        <v>0</v>
      </c>
      <c r="BG122" s="23">
        <f>VALUE(0)</f>
        <v>0</v>
      </c>
      <c r="BH122" s="23">
        <f>VALUE(0)</f>
        <v>0</v>
      </c>
      <c r="BI122" s="23">
        <f>VALUE(0)</f>
        <v>0</v>
      </c>
      <c r="BJ122" s="23">
        <f>VALUE(0)</f>
        <v>0</v>
      </c>
      <c r="BK122" s="12">
        <f>$AX$122*24</f>
        <v>5.833333333333333</v>
      </c>
      <c r="BL122" s="12">
        <f>$AY$122*24</f>
        <v>6.2166666666666668</v>
      </c>
      <c r="BM122" s="12">
        <f>$BJ$122*24</f>
        <v>0</v>
      </c>
      <c r="BN122" s="12">
        <f>VALUE($I$122)/100</f>
        <v>1</v>
      </c>
      <c r="BO122" s="12">
        <v>0</v>
      </c>
      <c r="BP122" s="12">
        <v>0</v>
      </c>
      <c r="BQ122" s="12">
        <v>0</v>
      </c>
      <c r="BR122" s="12">
        <v>1</v>
      </c>
      <c r="BS122" s="12">
        <v>0</v>
      </c>
      <c r="BT122" s="12">
        <v>0</v>
      </c>
      <c r="BU122" s="12">
        <v>11</v>
      </c>
      <c r="BV122" s="12">
        <v>0</v>
      </c>
      <c r="BW122" s="12">
        <v>0</v>
      </c>
      <c r="BX122" s="12">
        <v>0</v>
      </c>
      <c r="BY122" s="12">
        <v>0</v>
      </c>
      <c r="BZ122" s="12">
        <v>0</v>
      </c>
      <c r="CA122" s="12">
        <v>0</v>
      </c>
    </row>
    <row r="123" spans="1:79" ht="16.5" hidden="1" x14ac:dyDescent="0.2">
      <c r="A123" s="12" t="s">
        <v>120</v>
      </c>
      <c r="B123" s="12" t="s">
        <v>121</v>
      </c>
      <c r="C123" s="12" t="s">
        <v>121</v>
      </c>
      <c r="D123" s="22" t="s">
        <v>372</v>
      </c>
      <c r="E123" s="22" t="s">
        <v>173</v>
      </c>
      <c r="F123" s="22" t="s">
        <v>778</v>
      </c>
      <c r="G123" s="22" t="s">
        <v>779</v>
      </c>
      <c r="H123" s="22" t="s">
        <v>150</v>
      </c>
      <c r="I123" s="22" t="s">
        <v>151</v>
      </c>
      <c r="J123" s="22" t="s">
        <v>162</v>
      </c>
      <c r="K123" s="22" t="s">
        <v>80</v>
      </c>
      <c r="L123" s="54" t="s">
        <v>153</v>
      </c>
      <c r="M123" s="24" t="s">
        <v>156</v>
      </c>
      <c r="N123" s="24" t="s">
        <v>153</v>
      </c>
      <c r="O123" s="26" t="s">
        <v>367</v>
      </c>
      <c r="P123" s="26" t="s">
        <v>367</v>
      </c>
      <c r="Q123" s="26" t="s">
        <v>367</v>
      </c>
      <c r="R123" s="26" t="s">
        <v>367</v>
      </c>
      <c r="S123" s="26" t="s">
        <v>367</v>
      </c>
      <c r="T123" s="28" t="s">
        <v>163</v>
      </c>
      <c r="U123" s="24" t="s">
        <v>153</v>
      </c>
      <c r="V123" s="54" t="s">
        <v>153</v>
      </c>
      <c r="W123" s="26" t="s">
        <v>367</v>
      </c>
      <c r="X123" s="26" t="s">
        <v>367</v>
      </c>
      <c r="Y123" s="26" t="s">
        <v>367</v>
      </c>
      <c r="Z123" s="26" t="s">
        <v>367</v>
      </c>
      <c r="AA123" s="26" t="s">
        <v>367</v>
      </c>
      <c r="AB123" s="24" t="s">
        <v>153</v>
      </c>
      <c r="AC123" s="26" t="s">
        <v>367</v>
      </c>
      <c r="AD123" s="26" t="s">
        <v>367</v>
      </c>
      <c r="AE123" s="26" t="s">
        <v>367</v>
      </c>
      <c r="AF123" s="26" t="s">
        <v>367</v>
      </c>
      <c r="AG123" s="26" t="s">
        <v>367</v>
      </c>
      <c r="AH123" s="26" t="s">
        <v>367</v>
      </c>
      <c r="AI123" s="24" t="s">
        <v>153</v>
      </c>
      <c r="AJ123" s="26" t="s">
        <v>367</v>
      </c>
      <c r="AK123" s="26" t="s">
        <v>367</v>
      </c>
      <c r="AL123" s="26" t="s">
        <v>367</v>
      </c>
      <c r="AM123" s="24" t="s">
        <v>156</v>
      </c>
      <c r="AN123" s="24" t="s">
        <v>156</v>
      </c>
      <c r="AO123" s="24" t="s">
        <v>156</v>
      </c>
      <c r="AP123" s="23">
        <f>VALUE(2)</f>
        <v>2</v>
      </c>
      <c r="AQ123" s="23">
        <f>VALUE(0)</f>
        <v>0</v>
      </c>
      <c r="AR123" s="23">
        <f>VALUE(0)</f>
        <v>0</v>
      </c>
      <c r="AS123" s="23">
        <f>VALUE(0)</f>
        <v>0</v>
      </c>
      <c r="AT123" s="23">
        <f>VALUE(0)</f>
        <v>0</v>
      </c>
      <c r="AU123" s="23">
        <f>VALUE(1)</f>
        <v>1</v>
      </c>
      <c r="AV123" s="23">
        <f>VALUE(6)</f>
        <v>6</v>
      </c>
      <c r="AW123" s="23">
        <f>VALUE(0)</f>
        <v>0</v>
      </c>
      <c r="AX123" s="23" t="s">
        <v>176</v>
      </c>
      <c r="AY123" s="23" t="s">
        <v>373</v>
      </c>
      <c r="AZ123" s="23">
        <f>VALUE(0)</f>
        <v>0</v>
      </c>
      <c r="BA123" s="23">
        <f>VALUE(0)</f>
        <v>0</v>
      </c>
      <c r="BB123" s="23">
        <f>VALUE(0)</f>
        <v>0</v>
      </c>
      <c r="BC123" s="23">
        <f>VALUE(0)</f>
        <v>0</v>
      </c>
      <c r="BD123" s="23">
        <f>VALUE(0)</f>
        <v>0</v>
      </c>
      <c r="BE123" s="23">
        <f>VALUE(0)</f>
        <v>0</v>
      </c>
      <c r="BF123" s="23">
        <f>VALUE(0)</f>
        <v>0</v>
      </c>
      <c r="BG123" s="23">
        <f>VALUE(0)</f>
        <v>0</v>
      </c>
      <c r="BH123" s="23">
        <f>VALUE(0)</f>
        <v>0</v>
      </c>
      <c r="BI123" s="23">
        <f>VALUE(0)</f>
        <v>0</v>
      </c>
      <c r="BJ123" s="23">
        <f>VALUE(0)</f>
        <v>0</v>
      </c>
      <c r="BK123" s="12">
        <f>$AX$123*24</f>
        <v>0</v>
      </c>
      <c r="BL123" s="12">
        <f>$AY$123*24</f>
        <v>12.166666666666666</v>
      </c>
      <c r="BM123" s="12">
        <f>$BJ$123*24</f>
        <v>0</v>
      </c>
      <c r="BN123" s="12">
        <f>VALUE($I$123)/100</f>
        <v>1</v>
      </c>
      <c r="BO123" s="12">
        <v>0</v>
      </c>
      <c r="BP123" s="12">
        <v>0</v>
      </c>
      <c r="BQ123" s="12">
        <v>0</v>
      </c>
      <c r="BR123" s="12">
        <v>0</v>
      </c>
      <c r="BS123" s="12">
        <v>0</v>
      </c>
      <c r="BT123" s="12">
        <v>0</v>
      </c>
      <c r="BU123" s="12">
        <v>0</v>
      </c>
      <c r="BV123" s="12">
        <v>0</v>
      </c>
      <c r="BW123" s="12">
        <v>0</v>
      </c>
      <c r="BX123" s="12">
        <v>0</v>
      </c>
      <c r="BY123" s="12">
        <v>0</v>
      </c>
      <c r="BZ123" s="12">
        <v>0</v>
      </c>
      <c r="CA123" s="12">
        <v>0</v>
      </c>
    </row>
    <row r="124" spans="1:79" ht="15" hidden="1" x14ac:dyDescent="0.25">
      <c r="A124" s="12" t="s">
        <v>120</v>
      </c>
      <c r="B124" s="12" t="s">
        <v>121</v>
      </c>
      <c r="C124" s="12" t="s">
        <v>121</v>
      </c>
      <c r="D124" s="31" t="s">
        <v>323</v>
      </c>
      <c r="E124" s="31" t="s">
        <v>153</v>
      </c>
      <c r="F124" s="31" t="s">
        <v>175</v>
      </c>
      <c r="G124" s="31" t="s">
        <v>153</v>
      </c>
      <c r="H124" s="31" t="s">
        <v>153</v>
      </c>
      <c r="I124" s="31" t="s">
        <v>153</v>
      </c>
      <c r="J124" s="31" t="s">
        <v>153</v>
      </c>
      <c r="K124" s="31" t="s">
        <v>153</v>
      </c>
      <c r="L124" s="31">
        <f>VALUE(0)</f>
        <v>0</v>
      </c>
      <c r="M124" s="31">
        <f>VALUE(3)</f>
        <v>3</v>
      </c>
      <c r="N124" s="31">
        <f>VALUE(0)</f>
        <v>0</v>
      </c>
      <c r="O124" s="31">
        <f>VALUE(2)</f>
        <v>2</v>
      </c>
      <c r="P124" s="31">
        <f>VALUE(2)</f>
        <v>2</v>
      </c>
      <c r="Q124" s="31">
        <f>VALUE(3)</f>
        <v>3</v>
      </c>
      <c r="R124" s="31">
        <f>VALUE(4)</f>
        <v>4</v>
      </c>
      <c r="S124" s="31">
        <f>VALUE(4)</f>
        <v>4</v>
      </c>
      <c r="T124" s="31">
        <f>VALUE(3)</f>
        <v>3</v>
      </c>
      <c r="U124" s="31">
        <f>VALUE(0)</f>
        <v>0</v>
      </c>
      <c r="V124" s="31">
        <f>VALUE(0)</f>
        <v>0</v>
      </c>
      <c r="W124" s="31">
        <f>VALUE(4)</f>
        <v>4</v>
      </c>
      <c r="X124" s="31">
        <f>VALUE(4)</f>
        <v>4</v>
      </c>
      <c r="Y124" s="31">
        <f>VALUE(4)</f>
        <v>4</v>
      </c>
      <c r="Z124" s="31">
        <f>VALUE(4)</f>
        <v>4</v>
      </c>
      <c r="AA124" s="31">
        <f>VALUE(4)</f>
        <v>4</v>
      </c>
      <c r="AB124" s="31">
        <f>VALUE(0)</f>
        <v>0</v>
      </c>
      <c r="AC124" s="31">
        <f>VALUE(5)</f>
        <v>5</v>
      </c>
      <c r="AD124" s="31">
        <f>VALUE(5)</f>
        <v>5</v>
      </c>
      <c r="AE124" s="31">
        <f>VALUE(5)</f>
        <v>5</v>
      </c>
      <c r="AF124" s="31">
        <f>VALUE(5)</f>
        <v>5</v>
      </c>
      <c r="AG124" s="31">
        <f>VALUE(4)</f>
        <v>4</v>
      </c>
      <c r="AH124" s="31">
        <f>VALUE(3)</f>
        <v>3</v>
      </c>
      <c r="AI124" s="31">
        <f>VALUE(0)</f>
        <v>0</v>
      </c>
      <c r="AJ124" s="31">
        <f>VALUE(6)</f>
        <v>6</v>
      </c>
      <c r="AK124" s="31">
        <f>VALUE(6)</f>
        <v>6</v>
      </c>
      <c r="AL124" s="31">
        <f>VALUE(6)</f>
        <v>6</v>
      </c>
      <c r="AM124" s="31">
        <f>VALUE(5)</f>
        <v>5</v>
      </c>
      <c r="AN124" s="31">
        <f>VALUE(4)</f>
        <v>4</v>
      </c>
      <c r="AO124" s="31">
        <f>VALUE(3)</f>
        <v>3</v>
      </c>
      <c r="AP124" s="31">
        <v>0</v>
      </c>
      <c r="AQ124" s="31">
        <v>0</v>
      </c>
      <c r="AR124" s="31">
        <v>0</v>
      </c>
      <c r="AS124" s="31">
        <v>0</v>
      </c>
      <c r="AT124" s="31">
        <v>0</v>
      </c>
      <c r="AU124" s="31">
        <v>0</v>
      </c>
      <c r="AV124" s="31">
        <v>0</v>
      </c>
      <c r="AW124" s="31">
        <v>0</v>
      </c>
      <c r="AX124" s="31">
        <v>0</v>
      </c>
      <c r="AY124" s="31">
        <v>0</v>
      </c>
      <c r="AZ124" s="31">
        <v>0</v>
      </c>
      <c r="BA124" s="31">
        <v>0</v>
      </c>
      <c r="BB124" s="31">
        <v>0</v>
      </c>
      <c r="BC124" s="31">
        <v>0</v>
      </c>
      <c r="BD124" s="31">
        <v>0</v>
      </c>
      <c r="BE124" s="31">
        <v>0</v>
      </c>
      <c r="BF124" s="31">
        <v>0</v>
      </c>
      <c r="BG124" s="31">
        <v>0</v>
      </c>
      <c r="BH124" s="31">
        <v>0</v>
      </c>
      <c r="BI124" s="31">
        <v>0</v>
      </c>
      <c r="BJ124" s="31">
        <v>0</v>
      </c>
      <c r="BK124" s="12">
        <v>0</v>
      </c>
      <c r="BL124" s="12">
        <v>0</v>
      </c>
      <c r="BM124" s="12">
        <v>0</v>
      </c>
      <c r="BN124" s="12"/>
      <c r="BO124" s="12">
        <v>0</v>
      </c>
      <c r="BP124" s="12">
        <v>0</v>
      </c>
      <c r="BQ124" s="12">
        <v>0</v>
      </c>
      <c r="BR124" s="12">
        <v>0</v>
      </c>
      <c r="BS124" s="12">
        <v>0</v>
      </c>
      <c r="BT124" s="12">
        <v>0</v>
      </c>
      <c r="BU124" s="12">
        <v>0</v>
      </c>
      <c r="BV124" s="12">
        <v>0</v>
      </c>
      <c r="BW124" s="12">
        <v>0</v>
      </c>
      <c r="BX124" s="12">
        <v>0</v>
      </c>
      <c r="BY124" s="12">
        <v>0</v>
      </c>
      <c r="BZ124" s="12">
        <v>0</v>
      </c>
      <c r="CA124" s="12">
        <v>0</v>
      </c>
    </row>
    <row r="125" spans="1:79" ht="16.5" hidden="1" x14ac:dyDescent="0.2">
      <c r="A125" s="12" t="s">
        <v>120</v>
      </c>
      <c r="B125" s="12" t="s">
        <v>122</v>
      </c>
      <c r="C125" s="12" t="s">
        <v>122</v>
      </c>
      <c r="D125" s="22" t="s">
        <v>374</v>
      </c>
      <c r="E125" s="22" t="s">
        <v>173</v>
      </c>
      <c r="F125" s="22" t="s">
        <v>780</v>
      </c>
      <c r="G125" s="22" t="s">
        <v>781</v>
      </c>
      <c r="H125" s="22" t="s">
        <v>150</v>
      </c>
      <c r="I125" s="22" t="s">
        <v>151</v>
      </c>
      <c r="J125" s="22" t="s">
        <v>162</v>
      </c>
      <c r="K125" s="22" t="s">
        <v>81</v>
      </c>
      <c r="L125" s="54" t="s">
        <v>153</v>
      </c>
      <c r="M125" s="26" t="s">
        <v>591</v>
      </c>
      <c r="N125" s="24" t="s">
        <v>153</v>
      </c>
      <c r="O125" s="23" t="s">
        <v>391</v>
      </c>
      <c r="P125" s="23" t="s">
        <v>391</v>
      </c>
      <c r="Q125" s="26" t="s">
        <v>591</v>
      </c>
      <c r="R125" s="26" t="s">
        <v>591</v>
      </c>
      <c r="S125" s="26" t="s">
        <v>591</v>
      </c>
      <c r="T125" s="26" t="s">
        <v>591</v>
      </c>
      <c r="U125" s="24" t="s">
        <v>153</v>
      </c>
      <c r="V125" s="54" t="s">
        <v>153</v>
      </c>
      <c r="W125" s="26" t="s">
        <v>591</v>
      </c>
      <c r="X125" s="26" t="s">
        <v>591</v>
      </c>
      <c r="Y125" s="26" t="s">
        <v>591</v>
      </c>
      <c r="Z125" s="26" t="s">
        <v>591</v>
      </c>
      <c r="AA125" s="26" t="s">
        <v>591</v>
      </c>
      <c r="AB125" s="24" t="s">
        <v>153</v>
      </c>
      <c r="AC125" s="26" t="s">
        <v>591</v>
      </c>
      <c r="AD125" s="26" t="s">
        <v>591</v>
      </c>
      <c r="AE125" s="26" t="s">
        <v>591</v>
      </c>
      <c r="AF125" s="26" t="s">
        <v>591</v>
      </c>
      <c r="AG125" s="24" t="s">
        <v>156</v>
      </c>
      <c r="AH125" s="24" t="s">
        <v>156</v>
      </c>
      <c r="AI125" s="24" t="s">
        <v>153</v>
      </c>
      <c r="AJ125" s="25" t="s">
        <v>385</v>
      </c>
      <c r="AK125" s="26" t="s">
        <v>1210</v>
      </c>
      <c r="AL125" s="25" t="s">
        <v>429</v>
      </c>
      <c r="AM125" s="25" t="s">
        <v>429</v>
      </c>
      <c r="AN125" s="25" t="s">
        <v>429</v>
      </c>
      <c r="AO125" s="25" t="s">
        <v>429</v>
      </c>
      <c r="AP125" s="23">
        <f>VALUE(1)</f>
        <v>1</v>
      </c>
      <c r="AQ125" s="23">
        <f>VALUE(0)</f>
        <v>0</v>
      </c>
      <c r="AR125" s="23">
        <f>VALUE(0)</f>
        <v>0</v>
      </c>
      <c r="AS125" s="23">
        <f>VALUE(0)</f>
        <v>0</v>
      </c>
      <c r="AT125" s="23">
        <f>VALUE(0)</f>
        <v>0</v>
      </c>
      <c r="AU125" s="23">
        <f>VALUE(0)</f>
        <v>0</v>
      </c>
      <c r="AV125" s="23">
        <f>VALUE(5)</f>
        <v>5</v>
      </c>
      <c r="AW125" s="23">
        <f>VALUE(0)</f>
        <v>0</v>
      </c>
      <c r="AX125" s="23" t="s">
        <v>171</v>
      </c>
      <c r="AY125" s="23" t="s">
        <v>387</v>
      </c>
      <c r="AZ125" s="23">
        <f>VALUE(0)</f>
        <v>0</v>
      </c>
      <c r="BA125" s="23">
        <f>VALUE(0)</f>
        <v>0</v>
      </c>
      <c r="BB125" s="23">
        <f>VALUE(0)</f>
        <v>0</v>
      </c>
      <c r="BC125" s="23">
        <f>VALUE(0)</f>
        <v>0</v>
      </c>
      <c r="BD125" s="23">
        <f>VALUE(0)</f>
        <v>0</v>
      </c>
      <c r="BE125" s="23">
        <f>VALUE(0)</f>
        <v>0</v>
      </c>
      <c r="BF125" s="23">
        <f>VALUE(0)</f>
        <v>0</v>
      </c>
      <c r="BG125" s="23">
        <f>VALUE(0)</f>
        <v>0</v>
      </c>
      <c r="BH125" s="23">
        <f>VALUE(0)</f>
        <v>0</v>
      </c>
      <c r="BI125" s="23">
        <f>VALUE(0)</f>
        <v>0</v>
      </c>
      <c r="BJ125" s="23">
        <f>VALUE(0)</f>
        <v>0</v>
      </c>
      <c r="BK125" s="12">
        <f>$AX$125*24</f>
        <v>5.833333333333333</v>
      </c>
      <c r="BL125" s="12">
        <f>$AY$125*24</f>
        <v>3.35</v>
      </c>
      <c r="BM125" s="12">
        <f>$BJ$125*24</f>
        <v>0</v>
      </c>
      <c r="BN125" s="12">
        <f>VALUE($I$125)/100</f>
        <v>1</v>
      </c>
      <c r="BO125" s="12">
        <v>0</v>
      </c>
      <c r="BP125" s="12">
        <v>0</v>
      </c>
      <c r="BQ125" s="12">
        <v>0</v>
      </c>
      <c r="BR125" s="12">
        <v>0</v>
      </c>
      <c r="BS125" s="12">
        <v>0</v>
      </c>
      <c r="BT125" s="12">
        <v>0</v>
      </c>
      <c r="BU125" s="12">
        <v>0</v>
      </c>
      <c r="BV125" s="12">
        <v>0</v>
      </c>
      <c r="BW125" s="12">
        <v>0</v>
      </c>
      <c r="BX125" s="12">
        <v>0</v>
      </c>
      <c r="BY125" s="12">
        <v>0</v>
      </c>
      <c r="BZ125" s="12">
        <v>0</v>
      </c>
      <c r="CA125" s="12">
        <v>0</v>
      </c>
    </row>
    <row r="126" spans="1:79" hidden="1" x14ac:dyDescent="0.2">
      <c r="A126" s="12" t="s">
        <v>120</v>
      </c>
      <c r="B126" s="12" t="s">
        <v>122</v>
      </c>
      <c r="C126" s="12" t="s">
        <v>122</v>
      </c>
      <c r="D126" s="22" t="s">
        <v>377</v>
      </c>
      <c r="E126" s="22" t="s">
        <v>159</v>
      </c>
      <c r="F126" s="22" t="s">
        <v>782</v>
      </c>
      <c r="G126" s="22" t="s">
        <v>783</v>
      </c>
      <c r="H126" s="22" t="s">
        <v>150</v>
      </c>
      <c r="I126" s="22" t="s">
        <v>151</v>
      </c>
      <c r="J126" s="22" t="s">
        <v>162</v>
      </c>
      <c r="K126" s="22" t="s">
        <v>81</v>
      </c>
      <c r="L126" s="54" t="s">
        <v>153</v>
      </c>
      <c r="M126" s="28" t="s">
        <v>163</v>
      </c>
      <c r="N126" s="24" t="s">
        <v>153</v>
      </c>
      <c r="O126" s="25" t="s">
        <v>388</v>
      </c>
      <c r="P126" s="24" t="s">
        <v>156</v>
      </c>
      <c r="Q126" s="23" t="s">
        <v>153</v>
      </c>
      <c r="R126" s="23" t="s">
        <v>153</v>
      </c>
      <c r="S126" s="23" t="s">
        <v>153</v>
      </c>
      <c r="T126" s="23" t="s">
        <v>153</v>
      </c>
      <c r="U126" s="24" t="s">
        <v>153</v>
      </c>
      <c r="V126" s="54" t="s">
        <v>153</v>
      </c>
      <c r="W126" s="23" t="s">
        <v>153</v>
      </c>
      <c r="X126" s="23" t="s">
        <v>153</v>
      </c>
      <c r="Y126" s="23" t="s">
        <v>153</v>
      </c>
      <c r="Z126" s="23" t="s">
        <v>153</v>
      </c>
      <c r="AA126" s="23" t="s">
        <v>153</v>
      </c>
      <c r="AB126" s="24" t="s">
        <v>153</v>
      </c>
      <c r="AC126" s="23" t="s">
        <v>153</v>
      </c>
      <c r="AD126" s="23" t="s">
        <v>153</v>
      </c>
      <c r="AE126" s="24" t="s">
        <v>156</v>
      </c>
      <c r="AF126" s="24" t="s">
        <v>156</v>
      </c>
      <c r="AG126" s="23" t="s">
        <v>386</v>
      </c>
      <c r="AH126" s="23" t="s">
        <v>392</v>
      </c>
      <c r="AI126" s="24" t="s">
        <v>153</v>
      </c>
      <c r="AJ126" s="23" t="s">
        <v>153</v>
      </c>
      <c r="AK126" s="23" t="s">
        <v>153</v>
      </c>
      <c r="AL126" s="23" t="s">
        <v>153</v>
      </c>
      <c r="AM126" s="23" t="s">
        <v>153</v>
      </c>
      <c r="AN126" s="23" t="s">
        <v>153</v>
      </c>
      <c r="AO126" s="23" t="s">
        <v>153</v>
      </c>
      <c r="AP126" s="23">
        <f>VALUE(0)</f>
        <v>0</v>
      </c>
      <c r="AQ126" s="23">
        <f>VALUE(0)</f>
        <v>0</v>
      </c>
      <c r="AR126" s="23">
        <f>VALUE(0)</f>
        <v>0</v>
      </c>
      <c r="AS126" s="23">
        <f>VALUE(17)</f>
        <v>17</v>
      </c>
      <c r="AT126" s="23">
        <f>VALUE(0)</f>
        <v>0</v>
      </c>
      <c r="AU126" s="23">
        <f>VALUE(1)</f>
        <v>1</v>
      </c>
      <c r="AV126" s="23">
        <f>VALUE(0)</f>
        <v>0</v>
      </c>
      <c r="AW126" s="23">
        <f>VALUE(0)</f>
        <v>0</v>
      </c>
      <c r="AX126" s="23" t="s">
        <v>394</v>
      </c>
      <c r="AY126" s="23" t="s">
        <v>395</v>
      </c>
      <c r="AZ126" s="23">
        <f>VALUE(0)</f>
        <v>0</v>
      </c>
      <c r="BA126" s="23">
        <f>VALUE(0)</f>
        <v>0</v>
      </c>
      <c r="BB126" s="23">
        <f>VALUE(0)</f>
        <v>0</v>
      </c>
      <c r="BC126" s="23">
        <f>VALUE(0)</f>
        <v>0</v>
      </c>
      <c r="BD126" s="23">
        <f>VALUE(0)</f>
        <v>0</v>
      </c>
      <c r="BE126" s="23">
        <f>VALUE(0)</f>
        <v>0</v>
      </c>
      <c r="BF126" s="23">
        <f>VALUE(0)</f>
        <v>0</v>
      </c>
      <c r="BG126" s="23">
        <f>VALUE(0)</f>
        <v>0</v>
      </c>
      <c r="BH126" s="23">
        <f>VALUE(0)</f>
        <v>0</v>
      </c>
      <c r="BI126" s="23">
        <f>VALUE(0)</f>
        <v>0</v>
      </c>
      <c r="BJ126" s="23">
        <f>VALUE(0)</f>
        <v>0</v>
      </c>
      <c r="BK126" s="12">
        <f>$AX$126*24</f>
        <v>9.3333333333333339</v>
      </c>
      <c r="BL126" s="12">
        <f>$AY$126*24</f>
        <v>12.033333333333333</v>
      </c>
      <c r="BM126" s="12">
        <f>$BJ$126*24</f>
        <v>0</v>
      </c>
      <c r="BN126" s="12">
        <f>VALUE($I$126)/100</f>
        <v>1</v>
      </c>
      <c r="BO126" s="12">
        <v>0</v>
      </c>
      <c r="BP126" s="12">
        <v>0</v>
      </c>
      <c r="BQ126" s="12">
        <v>0</v>
      </c>
      <c r="BR126" s="12">
        <v>0</v>
      </c>
      <c r="BS126" s="12">
        <v>0</v>
      </c>
      <c r="BT126" s="12">
        <v>0</v>
      </c>
      <c r="BU126" s="12">
        <v>0</v>
      </c>
      <c r="BV126" s="12">
        <v>0</v>
      </c>
      <c r="BW126" s="12">
        <v>0</v>
      </c>
      <c r="BX126" s="12">
        <v>0</v>
      </c>
      <c r="BY126" s="12">
        <v>0</v>
      </c>
      <c r="BZ126" s="12">
        <v>0</v>
      </c>
      <c r="CA126" s="12">
        <v>0</v>
      </c>
    </row>
    <row r="127" spans="1:79" hidden="1" x14ac:dyDescent="0.2">
      <c r="A127" s="12" t="s">
        <v>120</v>
      </c>
      <c r="B127" s="12" t="s">
        <v>122</v>
      </c>
      <c r="C127" s="12" t="s">
        <v>122</v>
      </c>
      <c r="D127" s="22" t="s">
        <v>396</v>
      </c>
      <c r="E127" s="22" t="s">
        <v>159</v>
      </c>
      <c r="F127" s="22" t="s">
        <v>784</v>
      </c>
      <c r="G127" s="22" t="s">
        <v>785</v>
      </c>
      <c r="H127" s="22" t="s">
        <v>166</v>
      </c>
      <c r="I127" s="22" t="s">
        <v>151</v>
      </c>
      <c r="J127" s="22" t="s">
        <v>162</v>
      </c>
      <c r="K127" s="22" t="s">
        <v>81</v>
      </c>
      <c r="L127" s="54" t="s">
        <v>153</v>
      </c>
      <c r="M127" s="28" t="s">
        <v>163</v>
      </c>
      <c r="N127" s="24" t="s">
        <v>153</v>
      </c>
      <c r="O127" s="28" t="s">
        <v>163</v>
      </c>
      <c r="P127" s="28" t="s">
        <v>163</v>
      </c>
      <c r="Q127" s="28" t="s">
        <v>163</v>
      </c>
      <c r="R127" s="28" t="s">
        <v>163</v>
      </c>
      <c r="S127" s="28" t="s">
        <v>163</v>
      </c>
      <c r="T127" s="28" t="s">
        <v>163</v>
      </c>
      <c r="U127" s="24" t="s">
        <v>153</v>
      </c>
      <c r="V127" s="54" t="s">
        <v>153</v>
      </c>
      <c r="W127" s="23" t="s">
        <v>391</v>
      </c>
      <c r="X127" s="23" t="s">
        <v>391</v>
      </c>
      <c r="Y127" s="23" t="s">
        <v>391</v>
      </c>
      <c r="Z127" s="23" t="s">
        <v>391</v>
      </c>
      <c r="AA127" s="23" t="s">
        <v>391</v>
      </c>
      <c r="AB127" s="24" t="s">
        <v>153</v>
      </c>
      <c r="AC127" s="24" t="s">
        <v>156</v>
      </c>
      <c r="AD127" s="24" t="s">
        <v>156</v>
      </c>
      <c r="AE127" s="23" t="s">
        <v>383</v>
      </c>
      <c r="AF127" s="23" t="s">
        <v>383</v>
      </c>
      <c r="AG127" s="23" t="s">
        <v>383</v>
      </c>
      <c r="AH127" s="23" t="s">
        <v>383</v>
      </c>
      <c r="AI127" s="24" t="s">
        <v>153</v>
      </c>
      <c r="AJ127" s="23" t="s">
        <v>153</v>
      </c>
      <c r="AK127" s="23" t="s">
        <v>153</v>
      </c>
      <c r="AL127" s="29" t="s">
        <v>218</v>
      </c>
      <c r="AM127" s="23" t="s">
        <v>153</v>
      </c>
      <c r="AN127" s="23" t="s">
        <v>153</v>
      </c>
      <c r="AO127" s="23" t="s">
        <v>153</v>
      </c>
      <c r="AP127" s="23">
        <f>VALUE(0)</f>
        <v>0</v>
      </c>
      <c r="AQ127" s="23">
        <f>VALUE(0)</f>
        <v>0</v>
      </c>
      <c r="AR127" s="23">
        <f>VALUE(1)</f>
        <v>1</v>
      </c>
      <c r="AS127" s="23">
        <f>VALUE(5)</f>
        <v>5</v>
      </c>
      <c r="AT127" s="23">
        <f>VALUE(0)</f>
        <v>0</v>
      </c>
      <c r="AU127" s="23">
        <f>VALUE(7)</f>
        <v>7</v>
      </c>
      <c r="AV127" s="23">
        <f>VALUE(2.5)</f>
        <v>2.5</v>
      </c>
      <c r="AW127" s="23">
        <f>VALUE(0)</f>
        <v>0</v>
      </c>
      <c r="AX127" s="23" t="s">
        <v>1211</v>
      </c>
      <c r="AY127" s="23">
        <f>VALUE(0)</f>
        <v>0</v>
      </c>
      <c r="AZ127" s="23">
        <f>VALUE(0)</f>
        <v>0</v>
      </c>
      <c r="BA127" s="23">
        <f>VALUE(0)</f>
        <v>0</v>
      </c>
      <c r="BB127" s="23">
        <f>VALUE(0)</f>
        <v>0</v>
      </c>
      <c r="BC127" s="23">
        <f>VALUE(0)</f>
        <v>0</v>
      </c>
      <c r="BD127" s="23">
        <f>VALUE(0)</f>
        <v>0</v>
      </c>
      <c r="BE127" s="23">
        <f>VALUE(0)</f>
        <v>0</v>
      </c>
      <c r="BF127" s="23">
        <f>VALUE(0)</f>
        <v>0</v>
      </c>
      <c r="BG127" s="23">
        <f>VALUE(0)</f>
        <v>0</v>
      </c>
      <c r="BH127" s="23">
        <f>VALUE(0)</f>
        <v>0</v>
      </c>
      <c r="BI127" s="23">
        <f>VALUE(0)</f>
        <v>0</v>
      </c>
      <c r="BJ127" s="23">
        <f>VALUE(0)</f>
        <v>0</v>
      </c>
      <c r="BK127" s="12">
        <f>$AX$127*24</f>
        <v>53.283333333333331</v>
      </c>
      <c r="BL127" s="12">
        <f>$AY$127*24</f>
        <v>0</v>
      </c>
      <c r="BM127" s="12">
        <f>$BJ$127*24</f>
        <v>0</v>
      </c>
      <c r="BN127" s="12">
        <f>VALUE($I$127)/100</f>
        <v>1</v>
      </c>
      <c r="BO127" s="12">
        <v>0</v>
      </c>
      <c r="BP127" s="12">
        <v>0</v>
      </c>
      <c r="BQ127" s="12">
        <v>0</v>
      </c>
      <c r="BR127" s="12">
        <v>0</v>
      </c>
      <c r="BS127" s="12">
        <v>1</v>
      </c>
      <c r="BT127" s="12">
        <v>0</v>
      </c>
      <c r="BU127" s="12">
        <v>0</v>
      </c>
      <c r="BV127" s="12">
        <v>0</v>
      </c>
      <c r="BW127" s="12">
        <v>0</v>
      </c>
      <c r="BX127" s="12">
        <v>0</v>
      </c>
      <c r="BY127" s="12">
        <v>0</v>
      </c>
      <c r="BZ127" s="12">
        <v>0</v>
      </c>
      <c r="CA127" s="12">
        <v>0</v>
      </c>
    </row>
    <row r="128" spans="1:79" hidden="1" x14ac:dyDescent="0.2">
      <c r="A128" s="12" t="s">
        <v>120</v>
      </c>
      <c r="B128" s="12" t="s">
        <v>122</v>
      </c>
      <c r="C128" s="12" t="s">
        <v>122</v>
      </c>
      <c r="D128" s="22" t="s">
        <v>399</v>
      </c>
      <c r="E128" s="22" t="s">
        <v>173</v>
      </c>
      <c r="F128" s="22" t="s">
        <v>786</v>
      </c>
      <c r="G128" s="22" t="s">
        <v>787</v>
      </c>
      <c r="H128" s="22" t="s">
        <v>150</v>
      </c>
      <c r="I128" s="22" t="s">
        <v>151</v>
      </c>
      <c r="J128" s="22" t="s">
        <v>162</v>
      </c>
      <c r="K128" s="22" t="s">
        <v>81</v>
      </c>
      <c r="L128" s="54" t="s">
        <v>153</v>
      </c>
      <c r="M128" s="23" t="s">
        <v>386</v>
      </c>
      <c r="N128" s="24" t="s">
        <v>153</v>
      </c>
      <c r="O128" s="23" t="s">
        <v>386</v>
      </c>
      <c r="P128" s="23" t="s">
        <v>386</v>
      </c>
      <c r="Q128" s="28" t="s">
        <v>163</v>
      </c>
      <c r="R128" s="28" t="s">
        <v>163</v>
      </c>
      <c r="S128" s="28" t="s">
        <v>163</v>
      </c>
      <c r="T128" s="28" t="s">
        <v>163</v>
      </c>
      <c r="U128" s="24" t="s">
        <v>153</v>
      </c>
      <c r="V128" s="54" t="s">
        <v>153</v>
      </c>
      <c r="W128" s="28" t="s">
        <v>163</v>
      </c>
      <c r="X128" s="23" t="s">
        <v>386</v>
      </c>
      <c r="Y128" s="23" t="s">
        <v>386</v>
      </c>
      <c r="Z128" s="24" t="s">
        <v>156</v>
      </c>
      <c r="AA128" s="24" t="s">
        <v>156</v>
      </c>
      <c r="AB128" s="24" t="s">
        <v>153</v>
      </c>
      <c r="AC128" s="23" t="s">
        <v>392</v>
      </c>
      <c r="AD128" s="25" t="s">
        <v>392</v>
      </c>
      <c r="AE128" s="23" t="s">
        <v>392</v>
      </c>
      <c r="AF128" s="23" t="s">
        <v>392</v>
      </c>
      <c r="AG128" s="23" t="s">
        <v>392</v>
      </c>
      <c r="AH128" s="28" t="s">
        <v>163</v>
      </c>
      <c r="AI128" s="24" t="s">
        <v>153</v>
      </c>
      <c r="AJ128" s="23" t="s">
        <v>392</v>
      </c>
      <c r="AK128" s="23" t="s">
        <v>392</v>
      </c>
      <c r="AL128" s="23" t="s">
        <v>392</v>
      </c>
      <c r="AM128" s="23" t="s">
        <v>392</v>
      </c>
      <c r="AN128" s="23" t="s">
        <v>392</v>
      </c>
      <c r="AO128" s="23" t="s">
        <v>392</v>
      </c>
      <c r="AP128" s="23">
        <f>VALUE(0)</f>
        <v>0</v>
      </c>
      <c r="AQ128" s="23">
        <f>VALUE(0)</f>
        <v>0</v>
      </c>
      <c r="AR128" s="23">
        <f>VALUE(0)</f>
        <v>0</v>
      </c>
      <c r="AS128" s="23">
        <f>VALUE(0)</f>
        <v>0</v>
      </c>
      <c r="AT128" s="23">
        <f>VALUE(0)</f>
        <v>0</v>
      </c>
      <c r="AU128" s="23">
        <f>VALUE(6)</f>
        <v>6</v>
      </c>
      <c r="AV128" s="23">
        <f>VALUE(5)</f>
        <v>5</v>
      </c>
      <c r="AW128" s="23">
        <f>VALUE(0)</f>
        <v>0</v>
      </c>
      <c r="AX128" s="23" t="s">
        <v>171</v>
      </c>
      <c r="AY128" s="23">
        <f>VALUE(0)</f>
        <v>0</v>
      </c>
      <c r="AZ128" s="23">
        <f>VALUE(0)</f>
        <v>0</v>
      </c>
      <c r="BA128" s="23">
        <f>VALUE(0)</f>
        <v>0</v>
      </c>
      <c r="BB128" s="23">
        <f>VALUE(0)</f>
        <v>0</v>
      </c>
      <c r="BC128" s="23">
        <f>VALUE(0)</f>
        <v>0</v>
      </c>
      <c r="BD128" s="23">
        <f>VALUE(0)</f>
        <v>0</v>
      </c>
      <c r="BE128" s="23">
        <f>VALUE(0)</f>
        <v>0</v>
      </c>
      <c r="BF128" s="23">
        <f>VALUE(0)</f>
        <v>0</v>
      </c>
      <c r="BG128" s="23">
        <f>VALUE(0)</f>
        <v>0</v>
      </c>
      <c r="BH128" s="23">
        <f>VALUE(0)</f>
        <v>0</v>
      </c>
      <c r="BI128" s="23">
        <f>VALUE(0)</f>
        <v>0</v>
      </c>
      <c r="BJ128" s="23">
        <f>VALUE(0)</f>
        <v>0</v>
      </c>
      <c r="BK128" s="12">
        <f>$AX$128*24</f>
        <v>5.833333333333333</v>
      </c>
      <c r="BL128" s="12">
        <f>$AY$128*24</f>
        <v>0</v>
      </c>
      <c r="BM128" s="12">
        <f>$BJ$128*24</f>
        <v>0</v>
      </c>
      <c r="BN128" s="12">
        <f>VALUE($I$128)/100</f>
        <v>1</v>
      </c>
      <c r="BO128" s="12">
        <v>0</v>
      </c>
      <c r="BP128" s="12">
        <v>0</v>
      </c>
      <c r="BQ128" s="12">
        <v>0</v>
      </c>
      <c r="BR128" s="12">
        <v>0</v>
      </c>
      <c r="BS128" s="12">
        <v>0</v>
      </c>
      <c r="BT128" s="12">
        <v>0</v>
      </c>
      <c r="BU128" s="12">
        <v>0</v>
      </c>
      <c r="BV128" s="12">
        <v>0</v>
      </c>
      <c r="BW128" s="12">
        <v>0</v>
      </c>
      <c r="BX128" s="12">
        <v>0</v>
      </c>
      <c r="BY128" s="12">
        <v>0</v>
      </c>
      <c r="BZ128" s="12">
        <v>0</v>
      </c>
      <c r="CA128" s="12">
        <v>0</v>
      </c>
    </row>
    <row r="129" spans="1:79" ht="15" hidden="1" x14ac:dyDescent="0.25">
      <c r="A129" s="12" t="s">
        <v>120</v>
      </c>
      <c r="B129" s="12" t="s">
        <v>122</v>
      </c>
      <c r="C129" s="12" t="s">
        <v>122</v>
      </c>
      <c r="D129" s="31" t="s">
        <v>355</v>
      </c>
      <c r="E129" s="31" t="s">
        <v>153</v>
      </c>
      <c r="F129" s="31" t="s">
        <v>175</v>
      </c>
      <c r="G129" s="31" t="s">
        <v>153</v>
      </c>
      <c r="H129" s="31" t="s">
        <v>153</v>
      </c>
      <c r="I129" s="31" t="s">
        <v>153</v>
      </c>
      <c r="J129" s="31" t="s">
        <v>153</v>
      </c>
      <c r="K129" s="31" t="s">
        <v>153</v>
      </c>
      <c r="L129" s="31">
        <f>VALUE(0)</f>
        <v>0</v>
      </c>
      <c r="M129" s="31">
        <f>VALUE(2)</f>
        <v>2</v>
      </c>
      <c r="N129" s="31">
        <f>VALUE(0)</f>
        <v>0</v>
      </c>
      <c r="O129" s="31">
        <f>VALUE(3)</f>
        <v>3</v>
      </c>
      <c r="P129" s="31">
        <f>VALUE(2)</f>
        <v>2</v>
      </c>
      <c r="Q129" s="31">
        <f>VALUE(2)</f>
        <v>2</v>
      </c>
      <c r="R129" s="31">
        <f>VALUE(2)</f>
        <v>2</v>
      </c>
      <c r="S129" s="31">
        <f>VALUE(2)</f>
        <v>2</v>
      </c>
      <c r="T129" s="31">
        <f>VALUE(2)</f>
        <v>2</v>
      </c>
      <c r="U129" s="31">
        <f>VALUE(0)</f>
        <v>0</v>
      </c>
      <c r="V129" s="31">
        <f>VALUE(0)</f>
        <v>0</v>
      </c>
      <c r="W129" s="31">
        <f>VALUE(3)</f>
        <v>3</v>
      </c>
      <c r="X129" s="31">
        <f>VALUE(4)</f>
        <v>4</v>
      </c>
      <c r="Y129" s="31">
        <f>VALUE(4)</f>
        <v>4</v>
      </c>
      <c r="Z129" s="31">
        <f>VALUE(3)</f>
        <v>3</v>
      </c>
      <c r="AA129" s="31">
        <f>VALUE(3)</f>
        <v>3</v>
      </c>
      <c r="AB129" s="31">
        <f>VALUE(0)</f>
        <v>0</v>
      </c>
      <c r="AC129" s="31">
        <f>VALUE(3)</f>
        <v>3</v>
      </c>
      <c r="AD129" s="31">
        <f>VALUE(3)</f>
        <v>3</v>
      </c>
      <c r="AE129" s="31">
        <f>VALUE(3)</f>
        <v>3</v>
      </c>
      <c r="AF129" s="31">
        <f>VALUE(3)</f>
        <v>3</v>
      </c>
      <c r="AG129" s="31">
        <f>VALUE(3)</f>
        <v>3</v>
      </c>
      <c r="AH129" s="31">
        <f>VALUE(2)</f>
        <v>2</v>
      </c>
      <c r="AI129" s="31">
        <f>VALUE(0)</f>
        <v>0</v>
      </c>
      <c r="AJ129" s="31">
        <f>VALUE(4)</f>
        <v>4</v>
      </c>
      <c r="AK129" s="31">
        <f>VALUE(4)</f>
        <v>4</v>
      </c>
      <c r="AL129" s="31">
        <f>VALUE(3)</f>
        <v>3</v>
      </c>
      <c r="AM129" s="31">
        <f>VALUE(4)</f>
        <v>4</v>
      </c>
      <c r="AN129" s="31">
        <f>VALUE(4)</f>
        <v>4</v>
      </c>
      <c r="AO129" s="31">
        <f>VALUE(4)</f>
        <v>4</v>
      </c>
      <c r="AP129" s="31">
        <v>0</v>
      </c>
      <c r="AQ129" s="31">
        <v>0</v>
      </c>
      <c r="AR129" s="31">
        <v>0</v>
      </c>
      <c r="AS129" s="31">
        <v>0</v>
      </c>
      <c r="AT129" s="31">
        <v>0</v>
      </c>
      <c r="AU129" s="31">
        <v>0</v>
      </c>
      <c r="AV129" s="31">
        <v>0</v>
      </c>
      <c r="AW129" s="31">
        <v>0</v>
      </c>
      <c r="AX129" s="31">
        <v>0</v>
      </c>
      <c r="AY129" s="31">
        <v>0</v>
      </c>
      <c r="AZ129" s="31">
        <v>0</v>
      </c>
      <c r="BA129" s="31">
        <v>0</v>
      </c>
      <c r="BB129" s="31">
        <v>0</v>
      </c>
      <c r="BC129" s="31">
        <v>0</v>
      </c>
      <c r="BD129" s="31">
        <v>0</v>
      </c>
      <c r="BE129" s="31">
        <v>0</v>
      </c>
      <c r="BF129" s="31">
        <v>0</v>
      </c>
      <c r="BG129" s="31">
        <v>0</v>
      </c>
      <c r="BH129" s="31">
        <v>0</v>
      </c>
      <c r="BI129" s="31">
        <v>0</v>
      </c>
      <c r="BJ129" s="31">
        <v>0</v>
      </c>
      <c r="BK129" s="12">
        <v>0</v>
      </c>
      <c r="BL129" s="12">
        <v>0</v>
      </c>
      <c r="BM129" s="12">
        <v>0</v>
      </c>
      <c r="BN129" s="12"/>
      <c r="BO129" s="12">
        <v>0</v>
      </c>
      <c r="BP129" s="12">
        <v>0</v>
      </c>
      <c r="BQ129" s="12">
        <v>0</v>
      </c>
      <c r="BR129" s="12">
        <v>0</v>
      </c>
      <c r="BS129" s="12">
        <v>0</v>
      </c>
      <c r="BT129" s="12">
        <v>0</v>
      </c>
      <c r="BU129" s="12">
        <v>0</v>
      </c>
      <c r="BV129" s="12">
        <v>0</v>
      </c>
      <c r="BW129" s="12">
        <v>0</v>
      </c>
      <c r="BX129" s="12">
        <v>0</v>
      </c>
      <c r="BY129" s="12">
        <v>0</v>
      </c>
      <c r="BZ129" s="12">
        <v>0</v>
      </c>
      <c r="CA129" s="12">
        <v>0</v>
      </c>
    </row>
    <row r="130" spans="1:79" ht="16.5" hidden="1" x14ac:dyDescent="0.2">
      <c r="A130" s="12" t="s">
        <v>120</v>
      </c>
      <c r="B130" s="12" t="s">
        <v>1320</v>
      </c>
      <c r="C130" s="12" t="s">
        <v>1320</v>
      </c>
      <c r="D130" s="22" t="s">
        <v>1170</v>
      </c>
      <c r="E130" s="22" t="s">
        <v>149</v>
      </c>
      <c r="F130" s="22" t="s">
        <v>788</v>
      </c>
      <c r="G130" s="22" t="s">
        <v>789</v>
      </c>
      <c r="H130" s="22" t="s">
        <v>150</v>
      </c>
      <c r="I130" s="22" t="s">
        <v>151</v>
      </c>
      <c r="J130" s="22" t="s">
        <v>152</v>
      </c>
      <c r="K130" s="22" t="s">
        <v>1212</v>
      </c>
      <c r="L130" s="54" t="s">
        <v>153</v>
      </c>
      <c r="M130" s="24" t="s">
        <v>156</v>
      </c>
      <c r="N130" s="24" t="s">
        <v>153</v>
      </c>
      <c r="O130" s="24" t="s">
        <v>156</v>
      </c>
      <c r="P130" s="26" t="s">
        <v>1213</v>
      </c>
      <c r="Q130" s="26" t="s">
        <v>1213</v>
      </c>
      <c r="R130" s="26" t="s">
        <v>1213</v>
      </c>
      <c r="S130" s="26" t="s">
        <v>1213</v>
      </c>
      <c r="T130" s="26" t="s">
        <v>1213</v>
      </c>
      <c r="U130" s="24" t="s">
        <v>153</v>
      </c>
      <c r="V130" s="54" t="s">
        <v>153</v>
      </c>
      <c r="W130" s="26" t="s">
        <v>1213</v>
      </c>
      <c r="X130" s="26" t="s">
        <v>155</v>
      </c>
      <c r="Y130" s="26" t="s">
        <v>155</v>
      </c>
      <c r="Z130" s="26" t="s">
        <v>1213</v>
      </c>
      <c r="AA130" s="24" t="s">
        <v>156</v>
      </c>
      <c r="AB130" s="24" t="s">
        <v>153</v>
      </c>
      <c r="AC130" s="24" t="s">
        <v>156</v>
      </c>
      <c r="AD130" s="26" t="s">
        <v>1213</v>
      </c>
      <c r="AE130" s="26" t="s">
        <v>1213</v>
      </c>
      <c r="AF130" s="26" t="s">
        <v>1213</v>
      </c>
      <c r="AG130" s="26" t="s">
        <v>1213</v>
      </c>
      <c r="AH130" s="26" t="s">
        <v>1213</v>
      </c>
      <c r="AI130" s="24" t="s">
        <v>153</v>
      </c>
      <c r="AJ130" s="26" t="s">
        <v>1213</v>
      </c>
      <c r="AK130" s="35" t="s">
        <v>170</v>
      </c>
      <c r="AL130" s="35" t="s">
        <v>170</v>
      </c>
      <c r="AM130" s="35" t="s">
        <v>170</v>
      </c>
      <c r="AN130" s="35" t="s">
        <v>170</v>
      </c>
      <c r="AO130" s="24" t="s">
        <v>156</v>
      </c>
      <c r="AP130" s="23">
        <f>VALUE(0)</f>
        <v>0</v>
      </c>
      <c r="AQ130" s="23">
        <f>VALUE(0)</f>
        <v>0</v>
      </c>
      <c r="AR130" s="23">
        <f>VALUE(0)</f>
        <v>0</v>
      </c>
      <c r="AS130" s="23">
        <f>VALUE(0)</f>
        <v>0</v>
      </c>
      <c r="AT130" s="23">
        <f>VALUE(0)</f>
        <v>0</v>
      </c>
      <c r="AU130" s="23">
        <f>VALUE(0)</f>
        <v>0</v>
      </c>
      <c r="AV130" s="23">
        <f>VALUE(13)</f>
        <v>13</v>
      </c>
      <c r="AW130" s="23">
        <f>VALUE(0)</f>
        <v>0</v>
      </c>
      <c r="AX130" s="23" t="s">
        <v>1214</v>
      </c>
      <c r="AY130" s="23">
        <f>VALUE(0)</f>
        <v>0</v>
      </c>
      <c r="AZ130" s="23">
        <f>VALUE(0)</f>
        <v>0</v>
      </c>
      <c r="BA130" s="23">
        <f>VALUE(0)</f>
        <v>0</v>
      </c>
      <c r="BB130" s="23">
        <f>VALUE(0)</f>
        <v>0</v>
      </c>
      <c r="BC130" s="23">
        <f>VALUE(0)</f>
        <v>0</v>
      </c>
      <c r="BD130" s="23">
        <f>VALUE(0)</f>
        <v>0</v>
      </c>
      <c r="BE130" s="23">
        <f>VALUE(5)</f>
        <v>5</v>
      </c>
      <c r="BF130" s="23">
        <f>VALUE(0)</f>
        <v>0</v>
      </c>
      <c r="BG130" s="23">
        <f>VALUE(0)</f>
        <v>0</v>
      </c>
      <c r="BH130" s="23">
        <f>VALUE(0)</f>
        <v>0</v>
      </c>
      <c r="BI130" s="23">
        <f>VALUE(0)</f>
        <v>0</v>
      </c>
      <c r="BJ130" s="23">
        <f>VALUE(0)</f>
        <v>0</v>
      </c>
      <c r="BK130" s="12">
        <f>$AX$130*24</f>
        <v>18.016666666666666</v>
      </c>
      <c r="BL130" s="12">
        <f>$AY$130*24</f>
        <v>0</v>
      </c>
      <c r="BM130" s="12">
        <f>$BJ$130*24</f>
        <v>0</v>
      </c>
      <c r="BN130" s="12">
        <f>VALUE($I$130)/100</f>
        <v>1</v>
      </c>
      <c r="BO130" s="12">
        <v>0</v>
      </c>
      <c r="BP130" s="12">
        <v>0</v>
      </c>
      <c r="BQ130" s="12">
        <v>0</v>
      </c>
      <c r="BR130" s="12">
        <v>0</v>
      </c>
      <c r="BS130" s="12">
        <v>0</v>
      </c>
      <c r="BT130" s="12">
        <v>0</v>
      </c>
      <c r="BU130" s="12">
        <v>0</v>
      </c>
      <c r="BV130" s="12">
        <v>0</v>
      </c>
      <c r="BW130" s="12">
        <v>0</v>
      </c>
      <c r="BX130" s="12">
        <v>0</v>
      </c>
      <c r="BY130" s="12">
        <v>0</v>
      </c>
      <c r="BZ130" s="12">
        <v>0</v>
      </c>
      <c r="CA130" s="12">
        <v>0</v>
      </c>
    </row>
    <row r="131" spans="1:79" hidden="1" x14ac:dyDescent="0.2">
      <c r="A131" s="12" t="s">
        <v>120</v>
      </c>
      <c r="B131" s="12" t="s">
        <v>1320</v>
      </c>
      <c r="C131" s="12" t="s">
        <v>1320</v>
      </c>
      <c r="D131" s="22" t="s">
        <v>400</v>
      </c>
      <c r="E131" s="22" t="s">
        <v>161</v>
      </c>
      <c r="F131" s="22" t="s">
        <v>790</v>
      </c>
      <c r="G131" s="22" t="s">
        <v>791</v>
      </c>
      <c r="H131" s="22" t="s">
        <v>150</v>
      </c>
      <c r="I131" s="22" t="s">
        <v>151</v>
      </c>
      <c r="J131" s="22" t="s">
        <v>162</v>
      </c>
      <c r="K131" s="22" t="s">
        <v>1212</v>
      </c>
      <c r="L131" s="54" t="s">
        <v>153</v>
      </c>
      <c r="M131" s="23" t="s">
        <v>153</v>
      </c>
      <c r="N131" s="24" t="s">
        <v>153</v>
      </c>
      <c r="O131" s="23" t="s">
        <v>153</v>
      </c>
      <c r="P131" s="23" t="s">
        <v>153</v>
      </c>
      <c r="Q131" s="23" t="s">
        <v>153</v>
      </c>
      <c r="R131" s="23" t="s">
        <v>153</v>
      </c>
      <c r="S131" s="23" t="s">
        <v>153</v>
      </c>
      <c r="T131" s="23" t="s">
        <v>153</v>
      </c>
      <c r="U131" s="24" t="s">
        <v>153</v>
      </c>
      <c r="V131" s="54" t="s">
        <v>153</v>
      </c>
      <c r="W131" s="23" t="s">
        <v>153</v>
      </c>
      <c r="X131" s="23" t="s">
        <v>153</v>
      </c>
      <c r="Y131" s="23" t="s">
        <v>153</v>
      </c>
      <c r="Z131" s="23" t="s">
        <v>153</v>
      </c>
      <c r="AA131" s="23" t="s">
        <v>153</v>
      </c>
      <c r="AB131" s="24" t="s">
        <v>153</v>
      </c>
      <c r="AC131" s="23" t="s">
        <v>153</v>
      </c>
      <c r="AD131" s="23" t="s">
        <v>153</v>
      </c>
      <c r="AE131" s="23" t="s">
        <v>153</v>
      </c>
      <c r="AF131" s="23" t="s">
        <v>153</v>
      </c>
      <c r="AG131" s="23" t="s">
        <v>153</v>
      </c>
      <c r="AH131" s="23" t="s">
        <v>153</v>
      </c>
      <c r="AI131" s="24" t="s">
        <v>153</v>
      </c>
      <c r="AJ131" s="23" t="s">
        <v>153</v>
      </c>
      <c r="AK131" s="23" t="s">
        <v>153</v>
      </c>
      <c r="AL131" s="23" t="s">
        <v>153</v>
      </c>
      <c r="AM131" s="23" t="s">
        <v>153</v>
      </c>
      <c r="AN131" s="24" t="s">
        <v>156</v>
      </c>
      <c r="AO131" s="24" t="s">
        <v>156</v>
      </c>
      <c r="AP131" s="23">
        <f>VALUE(2)</f>
        <v>2</v>
      </c>
      <c r="AQ131" s="23">
        <f>VALUE(0)</f>
        <v>0</v>
      </c>
      <c r="AR131" s="23">
        <f>VALUE(0)</f>
        <v>0</v>
      </c>
      <c r="AS131" s="23">
        <f>VALUE(0)</f>
        <v>0</v>
      </c>
      <c r="AT131" s="23">
        <f>VALUE(0)</f>
        <v>0</v>
      </c>
      <c r="AU131" s="23">
        <f>VALUE(0)</f>
        <v>0</v>
      </c>
      <c r="AV131" s="23">
        <f>VALUE(1)</f>
        <v>1</v>
      </c>
      <c r="AW131" s="23">
        <f>VALUE(0)</f>
        <v>0</v>
      </c>
      <c r="AX131" s="23" t="s">
        <v>171</v>
      </c>
      <c r="AY131" s="23" t="s">
        <v>309</v>
      </c>
      <c r="AZ131" s="23">
        <f>VALUE(0)</f>
        <v>0</v>
      </c>
      <c r="BA131" s="23">
        <f>VALUE(0)</f>
        <v>0</v>
      </c>
      <c r="BB131" s="23">
        <f>VALUE(0)</f>
        <v>0</v>
      </c>
      <c r="BC131" s="23">
        <f>VALUE(0)</f>
        <v>0</v>
      </c>
      <c r="BD131" s="23">
        <f>VALUE(0)</f>
        <v>0</v>
      </c>
      <c r="BE131" s="23">
        <f>VALUE(0)</f>
        <v>0</v>
      </c>
      <c r="BF131" s="23">
        <f>VALUE(0)</f>
        <v>0</v>
      </c>
      <c r="BG131" s="23">
        <f>VALUE(0)</f>
        <v>0</v>
      </c>
      <c r="BH131" s="23">
        <f>VALUE(0)</f>
        <v>0</v>
      </c>
      <c r="BI131" s="23">
        <f>VALUE(0)</f>
        <v>0</v>
      </c>
      <c r="BJ131" s="23">
        <f>VALUE(0)</f>
        <v>0</v>
      </c>
      <c r="BK131" s="12">
        <f>$AX$131*24</f>
        <v>5.833333333333333</v>
      </c>
      <c r="BL131" s="12">
        <f>$AY$131*24</f>
        <v>4.583333333333333</v>
      </c>
      <c r="BM131" s="12">
        <f>$BJ$131*24</f>
        <v>0</v>
      </c>
      <c r="BN131" s="12">
        <f>VALUE($I$131)/100</f>
        <v>1</v>
      </c>
      <c r="BO131" s="12">
        <v>0</v>
      </c>
      <c r="BP131" s="12">
        <v>0</v>
      </c>
      <c r="BQ131" s="12">
        <v>0</v>
      </c>
      <c r="BR131" s="12">
        <v>0</v>
      </c>
      <c r="BS131" s="12">
        <v>0</v>
      </c>
      <c r="BT131" s="12">
        <v>0</v>
      </c>
      <c r="BU131" s="12">
        <v>0</v>
      </c>
      <c r="BV131" s="12">
        <v>0</v>
      </c>
      <c r="BW131" s="12">
        <v>0</v>
      </c>
      <c r="BX131" s="12">
        <v>0</v>
      </c>
      <c r="BY131" s="12">
        <v>0</v>
      </c>
      <c r="BZ131" s="12">
        <v>0</v>
      </c>
      <c r="CA131" s="12">
        <v>0</v>
      </c>
    </row>
    <row r="132" spans="1:79" hidden="1" x14ac:dyDescent="0.2">
      <c r="A132" s="12" t="s">
        <v>120</v>
      </c>
      <c r="B132" s="12" t="s">
        <v>1320</v>
      </c>
      <c r="C132" s="12" t="s">
        <v>1320</v>
      </c>
      <c r="D132" s="22" t="s">
        <v>401</v>
      </c>
      <c r="E132" s="22" t="s">
        <v>161</v>
      </c>
      <c r="F132" s="22" t="s">
        <v>792</v>
      </c>
      <c r="G132" s="22" t="s">
        <v>793</v>
      </c>
      <c r="H132" s="22" t="s">
        <v>166</v>
      </c>
      <c r="I132" s="22" t="s">
        <v>151</v>
      </c>
      <c r="J132" s="22" t="s">
        <v>162</v>
      </c>
      <c r="K132" s="22" t="s">
        <v>1212</v>
      </c>
      <c r="L132" s="54" t="s">
        <v>153</v>
      </c>
      <c r="M132" s="23" t="s">
        <v>153</v>
      </c>
      <c r="N132" s="24" t="s">
        <v>153</v>
      </c>
      <c r="O132" s="23" t="s">
        <v>153</v>
      </c>
      <c r="P132" s="23" t="s">
        <v>153</v>
      </c>
      <c r="Q132" s="23" t="s">
        <v>153</v>
      </c>
      <c r="R132" s="23" t="s">
        <v>153</v>
      </c>
      <c r="S132" s="23" t="s">
        <v>153</v>
      </c>
      <c r="T132" s="23" t="s">
        <v>153</v>
      </c>
      <c r="U132" s="24" t="s">
        <v>153</v>
      </c>
      <c r="V132" s="54" t="s">
        <v>153</v>
      </c>
      <c r="W132" s="23" t="s">
        <v>153</v>
      </c>
      <c r="X132" s="23" t="s">
        <v>153</v>
      </c>
      <c r="Y132" s="23" t="s">
        <v>153</v>
      </c>
      <c r="Z132" s="23" t="s">
        <v>153</v>
      </c>
      <c r="AA132" s="23" t="s">
        <v>153</v>
      </c>
      <c r="AB132" s="24" t="s">
        <v>153</v>
      </c>
      <c r="AC132" s="23" t="s">
        <v>153</v>
      </c>
      <c r="AD132" s="23" t="s">
        <v>153</v>
      </c>
      <c r="AE132" s="23" t="s">
        <v>153</v>
      </c>
      <c r="AF132" s="23" t="s">
        <v>153</v>
      </c>
      <c r="AG132" s="24" t="s">
        <v>156</v>
      </c>
      <c r="AH132" s="24" t="s">
        <v>156</v>
      </c>
      <c r="AI132" s="24" t="s">
        <v>153</v>
      </c>
      <c r="AJ132" s="23" t="s">
        <v>153</v>
      </c>
      <c r="AK132" s="23" t="s">
        <v>153</v>
      </c>
      <c r="AL132" s="23" t="s">
        <v>153</v>
      </c>
      <c r="AM132" s="23" t="s">
        <v>153</v>
      </c>
      <c r="AN132" s="23" t="s">
        <v>153</v>
      </c>
      <c r="AO132" s="23" t="s">
        <v>153</v>
      </c>
      <c r="AP132" s="23">
        <f>VALUE(0)</f>
        <v>0</v>
      </c>
      <c r="AQ132" s="23">
        <f>VALUE(0)</f>
        <v>0</v>
      </c>
      <c r="AR132" s="23">
        <f>VALUE(0)</f>
        <v>0</v>
      </c>
      <c r="AS132" s="23">
        <f>VALUE(0)</f>
        <v>0</v>
      </c>
      <c r="AT132" s="23">
        <f>VALUE(0)</f>
        <v>0</v>
      </c>
      <c r="AU132" s="23">
        <f>VALUE(0)</f>
        <v>0</v>
      </c>
      <c r="AV132" s="23">
        <f>VALUE(4)</f>
        <v>4</v>
      </c>
      <c r="AW132" s="23">
        <f>VALUE(0)</f>
        <v>0</v>
      </c>
      <c r="AX132" s="23" t="s">
        <v>402</v>
      </c>
      <c r="AY132" s="23">
        <f>VALUE(0)</f>
        <v>0</v>
      </c>
      <c r="AZ132" s="23">
        <f>VALUE(0)</f>
        <v>0</v>
      </c>
      <c r="BA132" s="23">
        <f>VALUE(0)</f>
        <v>0</v>
      </c>
      <c r="BB132" s="23">
        <f>VALUE(0)</f>
        <v>0</v>
      </c>
      <c r="BC132" s="23">
        <f>VALUE(0)</f>
        <v>0</v>
      </c>
      <c r="BD132" s="23">
        <f>VALUE(0)</f>
        <v>0</v>
      </c>
      <c r="BE132" s="23">
        <f>VALUE(0)</f>
        <v>0</v>
      </c>
      <c r="BF132" s="23">
        <f>VALUE(0)</f>
        <v>0</v>
      </c>
      <c r="BG132" s="23">
        <f>VALUE(0)</f>
        <v>0</v>
      </c>
      <c r="BH132" s="23">
        <f>VALUE(0)</f>
        <v>0</v>
      </c>
      <c r="BI132" s="23">
        <f>VALUE(0)</f>
        <v>0</v>
      </c>
      <c r="BJ132" s="23">
        <f>VALUE(0)</f>
        <v>0</v>
      </c>
      <c r="BK132" s="12">
        <f>$AX$132*24</f>
        <v>20.45</v>
      </c>
      <c r="BL132" s="12">
        <f>$AY$132*24</f>
        <v>0</v>
      </c>
      <c r="BM132" s="12">
        <f>$BJ$132*24</f>
        <v>0</v>
      </c>
      <c r="BN132" s="12">
        <f>VALUE($I$132)/100</f>
        <v>1</v>
      </c>
      <c r="BO132" s="12">
        <v>0</v>
      </c>
      <c r="BP132" s="12">
        <v>0</v>
      </c>
      <c r="BQ132" s="12">
        <v>0</v>
      </c>
      <c r="BR132" s="12">
        <v>0</v>
      </c>
      <c r="BS132" s="12">
        <v>0</v>
      </c>
      <c r="BT132" s="12">
        <v>0</v>
      </c>
      <c r="BU132" s="12">
        <v>0</v>
      </c>
      <c r="BV132" s="12">
        <v>0</v>
      </c>
      <c r="BW132" s="12">
        <v>0</v>
      </c>
      <c r="BX132" s="12">
        <v>0</v>
      </c>
      <c r="BY132" s="12">
        <v>0</v>
      </c>
      <c r="BZ132" s="12">
        <v>0</v>
      </c>
      <c r="CA132" s="12">
        <v>0</v>
      </c>
    </row>
    <row r="133" spans="1:79" hidden="1" x14ac:dyDescent="0.2">
      <c r="A133" s="12" t="s">
        <v>120</v>
      </c>
      <c r="B133" s="12" t="s">
        <v>1320</v>
      </c>
      <c r="C133" s="12" t="s">
        <v>1320</v>
      </c>
      <c r="D133" s="22" t="s">
        <v>381</v>
      </c>
      <c r="E133" s="22" t="s">
        <v>161</v>
      </c>
      <c r="F133" s="22" t="s">
        <v>794</v>
      </c>
      <c r="G133" s="22" t="s">
        <v>795</v>
      </c>
      <c r="H133" s="22" t="s">
        <v>191</v>
      </c>
      <c r="I133" s="22" t="s">
        <v>151</v>
      </c>
      <c r="J133" s="22" t="s">
        <v>162</v>
      </c>
      <c r="K133" s="22" t="s">
        <v>1212</v>
      </c>
      <c r="L133" s="54" t="s">
        <v>153</v>
      </c>
      <c r="M133" s="27" t="s">
        <v>153</v>
      </c>
      <c r="N133" s="24" t="s">
        <v>153</v>
      </c>
      <c r="O133" s="27" t="s">
        <v>153</v>
      </c>
      <c r="P133" s="27" t="s">
        <v>153</v>
      </c>
      <c r="Q133" s="27" t="s">
        <v>153</v>
      </c>
      <c r="R133" s="23" t="s">
        <v>153</v>
      </c>
      <c r="S133" s="23" t="s">
        <v>153</v>
      </c>
      <c r="T133" s="23" t="s">
        <v>153</v>
      </c>
      <c r="U133" s="24" t="s">
        <v>153</v>
      </c>
      <c r="V133" s="54" t="s">
        <v>153</v>
      </c>
      <c r="W133" s="23" t="s">
        <v>153</v>
      </c>
      <c r="X133" s="23" t="s">
        <v>153</v>
      </c>
      <c r="Y133" s="23" t="s">
        <v>153</v>
      </c>
      <c r="Z133" s="23" t="s">
        <v>153</v>
      </c>
      <c r="AA133" s="23" t="s">
        <v>153</v>
      </c>
      <c r="AB133" s="24" t="s">
        <v>153</v>
      </c>
      <c r="AC133" s="23" t="s">
        <v>153</v>
      </c>
      <c r="AD133" s="23" t="s">
        <v>153</v>
      </c>
      <c r="AE133" s="23" t="s">
        <v>153</v>
      </c>
      <c r="AF133" s="23" t="s">
        <v>153</v>
      </c>
      <c r="AG133" s="23" t="s">
        <v>153</v>
      </c>
      <c r="AH133" s="23" t="s">
        <v>153</v>
      </c>
      <c r="AI133" s="24" t="s">
        <v>153</v>
      </c>
      <c r="AJ133" s="27" t="s">
        <v>153</v>
      </c>
      <c r="AK133" s="27" t="s">
        <v>153</v>
      </c>
      <c r="AL133" s="27" t="s">
        <v>153</v>
      </c>
      <c r="AM133" s="27" t="s">
        <v>153</v>
      </c>
      <c r="AN133" s="27" t="s">
        <v>153</v>
      </c>
      <c r="AO133" s="27" t="s">
        <v>153</v>
      </c>
      <c r="AP133" s="23">
        <f>VALUE(0)</f>
        <v>0</v>
      </c>
      <c r="AQ133" s="23">
        <f>VALUE(0)</f>
        <v>0</v>
      </c>
      <c r="AR133" s="23">
        <f>VALUE(0)</f>
        <v>0</v>
      </c>
      <c r="AS133" s="23">
        <f>VALUE(0)</f>
        <v>0</v>
      </c>
      <c r="AT133" s="23">
        <f>VALUE(0)</f>
        <v>0</v>
      </c>
      <c r="AU133" s="23">
        <f>VALUE(0)</f>
        <v>0</v>
      </c>
      <c r="AV133" s="23">
        <f>VALUE(0)</f>
        <v>0</v>
      </c>
      <c r="AW133" s="23">
        <f>VALUE(0)</f>
        <v>0</v>
      </c>
      <c r="AX133" s="23">
        <f>VALUE(0)</f>
        <v>0</v>
      </c>
      <c r="AY133" s="23">
        <f>VALUE(0)</f>
        <v>0</v>
      </c>
      <c r="AZ133" s="23">
        <f>VALUE(0)</f>
        <v>0</v>
      </c>
      <c r="BA133" s="23">
        <f>VALUE(0)</f>
        <v>0</v>
      </c>
      <c r="BB133" s="23">
        <f>VALUE(0)</f>
        <v>0</v>
      </c>
      <c r="BC133" s="23">
        <f>VALUE(0)</f>
        <v>0</v>
      </c>
      <c r="BD133" s="23">
        <f>VALUE(0)</f>
        <v>0</v>
      </c>
      <c r="BE133" s="23">
        <f>VALUE(0)</f>
        <v>0</v>
      </c>
      <c r="BF133" s="23">
        <f>VALUE(0)</f>
        <v>0</v>
      </c>
      <c r="BG133" s="23">
        <f>VALUE(0)</f>
        <v>0</v>
      </c>
      <c r="BH133" s="23">
        <f>VALUE(0)</f>
        <v>0</v>
      </c>
      <c r="BI133" s="23">
        <f>VALUE(0)</f>
        <v>0</v>
      </c>
      <c r="BJ133" s="23">
        <f>VALUE(0)</f>
        <v>0</v>
      </c>
      <c r="BK133" s="12">
        <f>$AX$133*24</f>
        <v>0</v>
      </c>
      <c r="BL133" s="12">
        <f>$AY$133*24</f>
        <v>0</v>
      </c>
      <c r="BM133" s="12">
        <f>$BJ$133*24</f>
        <v>0</v>
      </c>
      <c r="BN133" s="12">
        <f>VALUE($I$133)/100</f>
        <v>1</v>
      </c>
      <c r="BO133" s="12">
        <v>0</v>
      </c>
      <c r="BP133" s="12">
        <v>0</v>
      </c>
      <c r="BQ133" s="12">
        <v>0</v>
      </c>
      <c r="BR133" s="12">
        <v>0</v>
      </c>
      <c r="BS133" s="12">
        <v>0</v>
      </c>
      <c r="BT133" s="12">
        <v>0</v>
      </c>
      <c r="BU133" s="12">
        <v>0</v>
      </c>
      <c r="BV133" s="12">
        <v>0</v>
      </c>
      <c r="BW133" s="12">
        <v>0</v>
      </c>
      <c r="BX133" s="12">
        <v>0</v>
      </c>
      <c r="BY133" s="12">
        <v>0</v>
      </c>
      <c r="BZ133" s="12">
        <v>0</v>
      </c>
      <c r="CA133" s="12">
        <v>0</v>
      </c>
    </row>
    <row r="134" spans="1:79" hidden="1" x14ac:dyDescent="0.2">
      <c r="A134" s="12" t="s">
        <v>120</v>
      </c>
      <c r="B134" s="12" t="s">
        <v>1320</v>
      </c>
      <c r="C134" s="12" t="s">
        <v>1320</v>
      </c>
      <c r="D134" s="22" t="s">
        <v>381</v>
      </c>
      <c r="E134" s="22" t="s">
        <v>161</v>
      </c>
      <c r="F134" s="22" t="s">
        <v>796</v>
      </c>
      <c r="G134" s="22" t="s">
        <v>797</v>
      </c>
      <c r="H134" s="22" t="s">
        <v>150</v>
      </c>
      <c r="I134" s="22" t="s">
        <v>151</v>
      </c>
      <c r="J134" s="22" t="s">
        <v>162</v>
      </c>
      <c r="K134" s="22" t="s">
        <v>1212</v>
      </c>
      <c r="L134" s="54" t="s">
        <v>153</v>
      </c>
      <c r="M134" s="23" t="s">
        <v>153</v>
      </c>
      <c r="N134" s="24" t="s">
        <v>153</v>
      </c>
      <c r="O134" s="23" t="s">
        <v>153</v>
      </c>
      <c r="P134" s="23" t="s">
        <v>153</v>
      </c>
      <c r="Q134" s="23" t="s">
        <v>153</v>
      </c>
      <c r="R134" s="23" t="s">
        <v>153</v>
      </c>
      <c r="S134" s="23" t="s">
        <v>153</v>
      </c>
      <c r="T134" s="23" t="s">
        <v>153</v>
      </c>
      <c r="U134" s="24" t="s">
        <v>153</v>
      </c>
      <c r="V134" s="54" t="s">
        <v>156</v>
      </c>
      <c r="W134" s="24" t="s">
        <v>156</v>
      </c>
      <c r="X134" s="28" t="s">
        <v>163</v>
      </c>
      <c r="Y134" s="28" t="s">
        <v>163</v>
      </c>
      <c r="Z134" s="28" t="s">
        <v>163</v>
      </c>
      <c r="AA134" s="28" t="s">
        <v>163</v>
      </c>
      <c r="AB134" s="24" t="s">
        <v>153</v>
      </c>
      <c r="AC134" s="28" t="s">
        <v>163</v>
      </c>
      <c r="AD134" s="28" t="s">
        <v>163</v>
      </c>
      <c r="AE134" s="28" t="s">
        <v>163</v>
      </c>
      <c r="AF134" s="28" t="s">
        <v>163</v>
      </c>
      <c r="AG134" s="28" t="s">
        <v>163</v>
      </c>
      <c r="AH134" s="28" t="s">
        <v>163</v>
      </c>
      <c r="AI134" s="24" t="s">
        <v>153</v>
      </c>
      <c r="AJ134" s="23" t="s">
        <v>153</v>
      </c>
      <c r="AK134" s="23" t="s">
        <v>153</v>
      </c>
      <c r="AL134" s="23" t="s">
        <v>153</v>
      </c>
      <c r="AM134" s="23" t="s">
        <v>153</v>
      </c>
      <c r="AN134" s="23" t="s">
        <v>153</v>
      </c>
      <c r="AO134" s="23" t="s">
        <v>153</v>
      </c>
      <c r="AP134" s="23">
        <f>VALUE(3)</f>
        <v>3</v>
      </c>
      <c r="AQ134" s="23">
        <f>VALUE(0)</f>
        <v>0</v>
      </c>
      <c r="AR134" s="23">
        <f>VALUE(0)</f>
        <v>0</v>
      </c>
      <c r="AS134" s="23">
        <f>VALUE(0)</f>
        <v>0</v>
      </c>
      <c r="AT134" s="23">
        <f>VALUE(0)</f>
        <v>0</v>
      </c>
      <c r="AU134" s="23">
        <f>VALUE(10)</f>
        <v>10</v>
      </c>
      <c r="AV134" s="23">
        <f>VALUE(9)</f>
        <v>9</v>
      </c>
      <c r="AW134" s="23">
        <f>VALUE(0)</f>
        <v>0</v>
      </c>
      <c r="AX134" s="23" t="s">
        <v>171</v>
      </c>
      <c r="AY134" s="23" t="s">
        <v>403</v>
      </c>
      <c r="AZ134" s="23">
        <f>VALUE(0)</f>
        <v>0</v>
      </c>
      <c r="BA134" s="23">
        <f>VALUE(0)</f>
        <v>0</v>
      </c>
      <c r="BB134" s="23">
        <f>VALUE(0)</f>
        <v>0</v>
      </c>
      <c r="BC134" s="23">
        <f>VALUE(0)</f>
        <v>0</v>
      </c>
      <c r="BD134" s="23">
        <f>VALUE(0)</f>
        <v>0</v>
      </c>
      <c r="BE134" s="23">
        <f>VALUE(0)</f>
        <v>0</v>
      </c>
      <c r="BF134" s="23">
        <f>VALUE(0)</f>
        <v>0</v>
      </c>
      <c r="BG134" s="23">
        <f>VALUE(0)</f>
        <v>0</v>
      </c>
      <c r="BH134" s="23">
        <f>VALUE(0)</f>
        <v>0</v>
      </c>
      <c r="BI134" s="23">
        <f>VALUE(0)</f>
        <v>0</v>
      </c>
      <c r="BJ134" s="23">
        <f>VALUE(0)</f>
        <v>0</v>
      </c>
      <c r="BK134" s="12">
        <f>$AX$134*24</f>
        <v>5.833333333333333</v>
      </c>
      <c r="BL134" s="12">
        <f>$AY$134*24</f>
        <v>2.1</v>
      </c>
      <c r="BM134" s="12">
        <f>$BJ$134*24</f>
        <v>0</v>
      </c>
      <c r="BN134" s="12">
        <f>VALUE($I$134)/100</f>
        <v>1</v>
      </c>
      <c r="BO134" s="12">
        <v>0</v>
      </c>
      <c r="BP134" s="12">
        <v>0</v>
      </c>
      <c r="BQ134" s="12">
        <v>0</v>
      </c>
      <c r="BR134" s="12">
        <v>0</v>
      </c>
      <c r="BS134" s="12">
        <v>0</v>
      </c>
      <c r="BT134" s="12">
        <v>0</v>
      </c>
      <c r="BU134" s="12">
        <v>0</v>
      </c>
      <c r="BV134" s="12">
        <v>0</v>
      </c>
      <c r="BW134" s="12">
        <v>0</v>
      </c>
      <c r="BX134" s="12">
        <v>0</v>
      </c>
      <c r="BY134" s="12">
        <v>0</v>
      </c>
      <c r="BZ134" s="12">
        <v>0</v>
      </c>
      <c r="CA134" s="12">
        <v>0</v>
      </c>
    </row>
    <row r="135" spans="1:79" hidden="1" x14ac:dyDescent="0.2">
      <c r="A135" s="12" t="s">
        <v>120</v>
      </c>
      <c r="B135" s="12" t="s">
        <v>1320</v>
      </c>
      <c r="C135" s="12" t="s">
        <v>1320</v>
      </c>
      <c r="D135" s="22" t="s">
        <v>375</v>
      </c>
      <c r="E135" s="22" t="s">
        <v>161</v>
      </c>
      <c r="F135" s="22" t="s">
        <v>798</v>
      </c>
      <c r="G135" s="22" t="s">
        <v>799</v>
      </c>
      <c r="H135" s="22" t="s">
        <v>150</v>
      </c>
      <c r="I135" s="22" t="s">
        <v>151</v>
      </c>
      <c r="J135" s="22" t="s">
        <v>162</v>
      </c>
      <c r="K135" s="22" t="s">
        <v>1212</v>
      </c>
      <c r="L135" s="54" t="s">
        <v>153</v>
      </c>
      <c r="M135" s="23" t="s">
        <v>153</v>
      </c>
      <c r="N135" s="24" t="s">
        <v>153</v>
      </c>
      <c r="O135" s="24" t="s">
        <v>156</v>
      </c>
      <c r="P135" s="24" t="s">
        <v>156</v>
      </c>
      <c r="Q135" s="23" t="s">
        <v>153</v>
      </c>
      <c r="R135" s="23" t="s">
        <v>153</v>
      </c>
      <c r="S135" s="23" t="s">
        <v>153</v>
      </c>
      <c r="T135" s="23" t="s">
        <v>153</v>
      </c>
      <c r="U135" s="24" t="s">
        <v>153</v>
      </c>
      <c r="V135" s="54" t="s">
        <v>153</v>
      </c>
      <c r="W135" s="23" t="s">
        <v>153</v>
      </c>
      <c r="X135" s="23" t="s">
        <v>153</v>
      </c>
      <c r="Y135" s="23" t="s">
        <v>153</v>
      </c>
      <c r="Z135" s="23" t="s">
        <v>153</v>
      </c>
      <c r="AA135" s="23" t="s">
        <v>153</v>
      </c>
      <c r="AB135" s="24" t="s">
        <v>153</v>
      </c>
      <c r="AC135" s="23" t="s">
        <v>153</v>
      </c>
      <c r="AD135" s="23" t="s">
        <v>153</v>
      </c>
      <c r="AE135" s="23" t="s">
        <v>153</v>
      </c>
      <c r="AF135" s="23" t="s">
        <v>153</v>
      </c>
      <c r="AG135" s="23" t="s">
        <v>153</v>
      </c>
      <c r="AH135" s="23" t="s">
        <v>153</v>
      </c>
      <c r="AI135" s="24" t="s">
        <v>153</v>
      </c>
      <c r="AJ135" s="23" t="s">
        <v>153</v>
      </c>
      <c r="AK135" s="23" t="s">
        <v>153</v>
      </c>
      <c r="AL135" s="23" t="s">
        <v>153</v>
      </c>
      <c r="AM135" s="23" t="s">
        <v>153</v>
      </c>
      <c r="AN135" s="23" t="s">
        <v>153</v>
      </c>
      <c r="AO135" s="23" t="s">
        <v>153</v>
      </c>
      <c r="AP135" s="23">
        <f>VALUE(0)</f>
        <v>0</v>
      </c>
      <c r="AQ135" s="23">
        <f>VALUE(0)</f>
        <v>0</v>
      </c>
      <c r="AR135" s="23">
        <f>VALUE(0)</f>
        <v>0</v>
      </c>
      <c r="AS135" s="23">
        <f>VALUE(0)</f>
        <v>0</v>
      </c>
      <c r="AT135" s="23">
        <f>VALUE(0)</f>
        <v>0</v>
      </c>
      <c r="AU135" s="23">
        <f>VALUE(0)</f>
        <v>0</v>
      </c>
      <c r="AV135" s="23">
        <f>VALUE(9)</f>
        <v>9</v>
      </c>
      <c r="AW135" s="23">
        <f>VALUE(0)</f>
        <v>0</v>
      </c>
      <c r="AX135" s="23" t="s">
        <v>404</v>
      </c>
      <c r="AY135" s="23">
        <f>VALUE(0)</f>
        <v>0</v>
      </c>
      <c r="AZ135" s="23">
        <f>VALUE(0)</f>
        <v>0</v>
      </c>
      <c r="BA135" s="23">
        <f>VALUE(0)</f>
        <v>0</v>
      </c>
      <c r="BB135" s="23">
        <f>VALUE(0)</f>
        <v>0</v>
      </c>
      <c r="BC135" s="23">
        <f>VALUE(0)</f>
        <v>0</v>
      </c>
      <c r="BD135" s="23">
        <f>VALUE(0)</f>
        <v>0</v>
      </c>
      <c r="BE135" s="23">
        <f>VALUE(0)</f>
        <v>0</v>
      </c>
      <c r="BF135" s="23">
        <f>VALUE(0)</f>
        <v>0</v>
      </c>
      <c r="BG135" s="23">
        <f>VALUE(0)</f>
        <v>0</v>
      </c>
      <c r="BH135" s="23">
        <f>VALUE(0)</f>
        <v>0</v>
      </c>
      <c r="BI135" s="23">
        <f>VALUE(0)</f>
        <v>0</v>
      </c>
      <c r="BJ135" s="23">
        <f>VALUE(0)</f>
        <v>0</v>
      </c>
      <c r="BK135" s="12">
        <f>$AX$135*24</f>
        <v>4.8499999999999996</v>
      </c>
      <c r="BL135" s="12">
        <f>$AY$135*24</f>
        <v>0</v>
      </c>
      <c r="BM135" s="12">
        <f>$BJ$135*24</f>
        <v>0</v>
      </c>
      <c r="BN135" s="12">
        <f>VALUE($I$135)/100</f>
        <v>1</v>
      </c>
      <c r="BO135" s="12">
        <v>0</v>
      </c>
      <c r="BP135" s="12">
        <v>0</v>
      </c>
      <c r="BQ135" s="12">
        <v>0</v>
      </c>
      <c r="BR135" s="12">
        <v>0</v>
      </c>
      <c r="BS135" s="12">
        <v>0</v>
      </c>
      <c r="BT135" s="12">
        <v>0</v>
      </c>
      <c r="BU135" s="12">
        <v>0</v>
      </c>
      <c r="BV135" s="12">
        <v>0</v>
      </c>
      <c r="BW135" s="12">
        <v>0</v>
      </c>
      <c r="BX135" s="12">
        <v>0</v>
      </c>
      <c r="BY135" s="12">
        <v>0</v>
      </c>
      <c r="BZ135" s="12">
        <v>0</v>
      </c>
      <c r="CA135" s="12">
        <v>0</v>
      </c>
    </row>
    <row r="136" spans="1:79" hidden="1" x14ac:dyDescent="0.2">
      <c r="A136" s="12" t="s">
        <v>120</v>
      </c>
      <c r="B136" s="12" t="s">
        <v>1320</v>
      </c>
      <c r="C136" s="12" t="s">
        <v>1320</v>
      </c>
      <c r="D136" s="22" t="s">
        <v>405</v>
      </c>
      <c r="E136" s="22" t="s">
        <v>161</v>
      </c>
      <c r="F136" s="22" t="s">
        <v>800</v>
      </c>
      <c r="G136" s="22" t="s">
        <v>801</v>
      </c>
      <c r="H136" s="22" t="s">
        <v>150</v>
      </c>
      <c r="I136" s="22" t="s">
        <v>151</v>
      </c>
      <c r="J136" s="22" t="s">
        <v>162</v>
      </c>
      <c r="K136" s="22" t="s">
        <v>1212</v>
      </c>
      <c r="L136" s="54" t="s">
        <v>153</v>
      </c>
      <c r="M136" s="23" t="s">
        <v>153</v>
      </c>
      <c r="N136" s="24" t="s">
        <v>153</v>
      </c>
      <c r="O136" s="23" t="s">
        <v>153</v>
      </c>
      <c r="P136" s="23" t="s">
        <v>153</v>
      </c>
      <c r="Q136" s="23" t="s">
        <v>153</v>
      </c>
      <c r="R136" s="23" t="s">
        <v>153</v>
      </c>
      <c r="S136" s="23" t="s">
        <v>153</v>
      </c>
      <c r="T136" s="23" t="s">
        <v>153</v>
      </c>
      <c r="U136" s="24" t="s">
        <v>153</v>
      </c>
      <c r="V136" s="54" t="s">
        <v>153</v>
      </c>
      <c r="W136" s="23" t="s">
        <v>153</v>
      </c>
      <c r="X136" s="23" t="s">
        <v>153</v>
      </c>
      <c r="Y136" s="23" t="s">
        <v>153</v>
      </c>
      <c r="Z136" s="23" t="s">
        <v>153</v>
      </c>
      <c r="AA136" s="23" t="s">
        <v>153</v>
      </c>
      <c r="AB136" s="24" t="s">
        <v>153</v>
      </c>
      <c r="AC136" s="23" t="s">
        <v>153</v>
      </c>
      <c r="AD136" s="23" t="s">
        <v>153</v>
      </c>
      <c r="AE136" s="24" t="s">
        <v>156</v>
      </c>
      <c r="AF136" s="24" t="s">
        <v>156</v>
      </c>
      <c r="AG136" s="23" t="s">
        <v>153</v>
      </c>
      <c r="AH136" s="23" t="s">
        <v>153</v>
      </c>
      <c r="AI136" s="24" t="s">
        <v>153</v>
      </c>
      <c r="AJ136" s="23" t="s">
        <v>153</v>
      </c>
      <c r="AK136" s="23" t="s">
        <v>153</v>
      </c>
      <c r="AL136" s="23" t="s">
        <v>153</v>
      </c>
      <c r="AM136" s="23" t="s">
        <v>153</v>
      </c>
      <c r="AN136" s="23" t="s">
        <v>153</v>
      </c>
      <c r="AO136" s="23" t="s">
        <v>153</v>
      </c>
      <c r="AP136" s="23">
        <f>VALUE(3)</f>
        <v>3</v>
      </c>
      <c r="AQ136" s="23">
        <f>VALUE(0)</f>
        <v>0</v>
      </c>
      <c r="AR136" s="23">
        <f>VALUE(0)</f>
        <v>0</v>
      </c>
      <c r="AS136" s="23">
        <f>VALUE(0)</f>
        <v>0</v>
      </c>
      <c r="AT136" s="23">
        <f>VALUE(0)</f>
        <v>0</v>
      </c>
      <c r="AU136" s="23">
        <f>VALUE(0)</f>
        <v>0</v>
      </c>
      <c r="AV136" s="23">
        <f>VALUE(0)</f>
        <v>0</v>
      </c>
      <c r="AW136" s="23">
        <f>VALUE(0)</f>
        <v>0</v>
      </c>
      <c r="AX136" s="23" t="s">
        <v>171</v>
      </c>
      <c r="AY136" s="23" t="s">
        <v>406</v>
      </c>
      <c r="AZ136" s="23">
        <f>VALUE(0)</f>
        <v>0</v>
      </c>
      <c r="BA136" s="23">
        <f>VALUE(0)</f>
        <v>0</v>
      </c>
      <c r="BB136" s="23">
        <f>VALUE(0)</f>
        <v>0</v>
      </c>
      <c r="BC136" s="23">
        <f>VALUE(0)</f>
        <v>0</v>
      </c>
      <c r="BD136" s="23">
        <f>VALUE(0)</f>
        <v>0</v>
      </c>
      <c r="BE136" s="23">
        <f>VALUE(0)</f>
        <v>0</v>
      </c>
      <c r="BF136" s="23">
        <f>VALUE(0)</f>
        <v>0</v>
      </c>
      <c r="BG136" s="23">
        <f>VALUE(0)</f>
        <v>0</v>
      </c>
      <c r="BH136" s="23">
        <f>VALUE(0)</f>
        <v>0</v>
      </c>
      <c r="BI136" s="23">
        <f>VALUE(0)</f>
        <v>0</v>
      </c>
      <c r="BJ136" s="23">
        <f>VALUE(0)</f>
        <v>0</v>
      </c>
      <c r="BK136" s="12">
        <f>$AX$136*24</f>
        <v>5.833333333333333</v>
      </c>
      <c r="BL136" s="12">
        <f>$AY$136*24</f>
        <v>9.9</v>
      </c>
      <c r="BM136" s="12">
        <f>$BJ$136*24</f>
        <v>0</v>
      </c>
      <c r="BN136" s="12">
        <f>VALUE($I$136)/100</f>
        <v>1</v>
      </c>
      <c r="BO136" s="12">
        <v>0</v>
      </c>
      <c r="BP136" s="12">
        <v>0</v>
      </c>
      <c r="BQ136" s="12">
        <v>0</v>
      </c>
      <c r="BR136" s="12">
        <v>0</v>
      </c>
      <c r="BS136" s="12">
        <v>0</v>
      </c>
      <c r="BT136" s="12">
        <v>0</v>
      </c>
      <c r="BU136" s="12">
        <v>0</v>
      </c>
      <c r="BV136" s="12">
        <v>0</v>
      </c>
      <c r="BW136" s="12">
        <v>0</v>
      </c>
      <c r="BX136" s="12">
        <v>0</v>
      </c>
      <c r="BY136" s="12">
        <v>0</v>
      </c>
      <c r="BZ136" s="12">
        <v>0</v>
      </c>
      <c r="CA136" s="12">
        <v>0</v>
      </c>
    </row>
    <row r="137" spans="1:79" hidden="1" x14ac:dyDescent="0.2">
      <c r="A137" s="12" t="s">
        <v>120</v>
      </c>
      <c r="B137" s="12" t="s">
        <v>1320</v>
      </c>
      <c r="C137" s="12" t="s">
        <v>1320</v>
      </c>
      <c r="D137" s="22" t="s">
        <v>383</v>
      </c>
      <c r="E137" s="22" t="s">
        <v>161</v>
      </c>
      <c r="F137" s="22" t="s">
        <v>802</v>
      </c>
      <c r="G137" s="22" t="s">
        <v>803</v>
      </c>
      <c r="H137" s="22" t="s">
        <v>166</v>
      </c>
      <c r="I137" s="22" t="s">
        <v>151</v>
      </c>
      <c r="J137" s="22" t="s">
        <v>162</v>
      </c>
      <c r="K137" s="22" t="s">
        <v>1212</v>
      </c>
      <c r="L137" s="54" t="s">
        <v>153</v>
      </c>
      <c r="M137" s="23" t="s">
        <v>153</v>
      </c>
      <c r="N137" s="24" t="s">
        <v>153</v>
      </c>
      <c r="O137" s="23" t="s">
        <v>153</v>
      </c>
      <c r="P137" s="23" t="s">
        <v>153</v>
      </c>
      <c r="Q137" s="23" t="s">
        <v>153</v>
      </c>
      <c r="R137" s="23" t="s">
        <v>153</v>
      </c>
      <c r="S137" s="23" t="s">
        <v>153</v>
      </c>
      <c r="T137" s="23" t="s">
        <v>153</v>
      </c>
      <c r="U137" s="24" t="s">
        <v>153</v>
      </c>
      <c r="V137" s="54" t="s">
        <v>153</v>
      </c>
      <c r="W137" s="23" t="s">
        <v>153</v>
      </c>
      <c r="X137" s="23" t="s">
        <v>153</v>
      </c>
      <c r="Y137" s="23" t="s">
        <v>153</v>
      </c>
      <c r="Z137" s="24" t="s">
        <v>156</v>
      </c>
      <c r="AA137" s="24" t="s">
        <v>156</v>
      </c>
      <c r="AB137" s="24" t="s">
        <v>153</v>
      </c>
      <c r="AC137" s="29" t="s">
        <v>163</v>
      </c>
      <c r="AD137" s="29" t="s">
        <v>163</v>
      </c>
      <c r="AE137" s="29" t="s">
        <v>163</v>
      </c>
      <c r="AF137" s="29" t="s">
        <v>163</v>
      </c>
      <c r="AG137" s="29" t="s">
        <v>163</v>
      </c>
      <c r="AH137" s="29" t="s">
        <v>163</v>
      </c>
      <c r="AI137" s="24" t="s">
        <v>153</v>
      </c>
      <c r="AJ137" s="23" t="s">
        <v>153</v>
      </c>
      <c r="AK137" s="23" t="s">
        <v>153</v>
      </c>
      <c r="AL137" s="23" t="s">
        <v>153</v>
      </c>
      <c r="AM137" s="23" t="s">
        <v>153</v>
      </c>
      <c r="AN137" s="23" t="s">
        <v>153</v>
      </c>
      <c r="AO137" s="23" t="s">
        <v>153</v>
      </c>
      <c r="AP137" s="23">
        <f>VALUE(3)</f>
        <v>3</v>
      </c>
      <c r="AQ137" s="23">
        <f>VALUE(0)</f>
        <v>0</v>
      </c>
      <c r="AR137" s="23">
        <f>VALUE(6)</f>
        <v>6</v>
      </c>
      <c r="AS137" s="23">
        <f>VALUE(0)</f>
        <v>0</v>
      </c>
      <c r="AT137" s="23">
        <f>VALUE(0)</f>
        <v>0</v>
      </c>
      <c r="AU137" s="23">
        <f>VALUE(0)</f>
        <v>0</v>
      </c>
      <c r="AV137" s="23">
        <f>VALUE(6)</f>
        <v>6</v>
      </c>
      <c r="AW137" s="23">
        <f>VALUE(3)</f>
        <v>3</v>
      </c>
      <c r="AX137" s="23" t="s">
        <v>1215</v>
      </c>
      <c r="AY137" s="23">
        <f>VALUE(0)</f>
        <v>0</v>
      </c>
      <c r="AZ137" s="23">
        <f>VALUE(0)</f>
        <v>0</v>
      </c>
      <c r="BA137" s="23">
        <f>VALUE(0)</f>
        <v>0</v>
      </c>
      <c r="BB137" s="23">
        <f>VALUE(0)</f>
        <v>0</v>
      </c>
      <c r="BC137" s="23">
        <f>VALUE(0)</f>
        <v>0</v>
      </c>
      <c r="BD137" s="23">
        <f>VALUE(0)</f>
        <v>0</v>
      </c>
      <c r="BE137" s="23">
        <f>VALUE(0)</f>
        <v>0</v>
      </c>
      <c r="BF137" s="23">
        <f>VALUE(0)</f>
        <v>0</v>
      </c>
      <c r="BG137" s="23">
        <f>VALUE(0)</f>
        <v>0</v>
      </c>
      <c r="BH137" s="23">
        <f>VALUE(0)</f>
        <v>0</v>
      </c>
      <c r="BI137" s="23">
        <f>VALUE(0)</f>
        <v>0</v>
      </c>
      <c r="BJ137" s="23">
        <f>VALUE(0)</f>
        <v>0</v>
      </c>
      <c r="BK137" s="12">
        <f>$AX$137*24</f>
        <v>27</v>
      </c>
      <c r="BL137" s="12">
        <f>$AY$137*24</f>
        <v>0</v>
      </c>
      <c r="BM137" s="12">
        <f>$BJ$137*24</f>
        <v>0</v>
      </c>
      <c r="BN137" s="12">
        <f>VALUE($I$137)/100</f>
        <v>1</v>
      </c>
      <c r="BO137" s="12">
        <v>0</v>
      </c>
      <c r="BP137" s="12">
        <v>0</v>
      </c>
      <c r="BQ137" s="12">
        <v>0</v>
      </c>
      <c r="BR137" s="12">
        <v>0</v>
      </c>
      <c r="BS137" s="12">
        <v>0</v>
      </c>
      <c r="BT137" s="12">
        <v>6</v>
      </c>
      <c r="BU137" s="12">
        <v>0</v>
      </c>
      <c r="BV137" s="12">
        <v>0</v>
      </c>
      <c r="BW137" s="12">
        <v>0</v>
      </c>
      <c r="BX137" s="12">
        <v>0</v>
      </c>
      <c r="BY137" s="12">
        <v>0</v>
      </c>
      <c r="BZ137" s="12">
        <v>0</v>
      </c>
      <c r="CA137" s="12">
        <v>0</v>
      </c>
    </row>
    <row r="138" spans="1:79" hidden="1" x14ac:dyDescent="0.2">
      <c r="A138" s="12" t="s">
        <v>120</v>
      </c>
      <c r="B138" s="12" t="s">
        <v>1320</v>
      </c>
      <c r="C138" s="12" t="s">
        <v>1320</v>
      </c>
      <c r="D138" s="22" t="s">
        <v>397</v>
      </c>
      <c r="E138" s="22" t="s">
        <v>161</v>
      </c>
      <c r="F138" s="22" t="s">
        <v>804</v>
      </c>
      <c r="G138" s="22" t="s">
        <v>805</v>
      </c>
      <c r="H138" s="22" t="s">
        <v>150</v>
      </c>
      <c r="I138" s="22" t="s">
        <v>151</v>
      </c>
      <c r="J138" s="22" t="s">
        <v>162</v>
      </c>
      <c r="K138" s="22" t="s">
        <v>1212</v>
      </c>
      <c r="L138" s="54" t="s">
        <v>153</v>
      </c>
      <c r="M138" s="28" t="s">
        <v>163</v>
      </c>
      <c r="N138" s="24" t="s">
        <v>153</v>
      </c>
      <c r="O138" s="28" t="s">
        <v>163</v>
      </c>
      <c r="P138" s="28" t="s">
        <v>163</v>
      </c>
      <c r="Q138" s="28" t="s">
        <v>163</v>
      </c>
      <c r="R138" s="28" t="s">
        <v>163</v>
      </c>
      <c r="S138" s="28" t="s">
        <v>163</v>
      </c>
      <c r="T138" s="28" t="s">
        <v>163</v>
      </c>
      <c r="U138" s="24" t="s">
        <v>153</v>
      </c>
      <c r="V138" s="54" t="s">
        <v>153</v>
      </c>
      <c r="W138" s="28" t="s">
        <v>163</v>
      </c>
      <c r="X138" s="28" t="s">
        <v>163</v>
      </c>
      <c r="Y138" s="28" t="s">
        <v>163</v>
      </c>
      <c r="Z138" s="28" t="s">
        <v>163</v>
      </c>
      <c r="AA138" s="28" t="s">
        <v>163</v>
      </c>
      <c r="AB138" s="24" t="s">
        <v>153</v>
      </c>
      <c r="AC138" s="23" t="s">
        <v>153</v>
      </c>
      <c r="AD138" s="23" t="s">
        <v>153</v>
      </c>
      <c r="AE138" s="23" t="s">
        <v>153</v>
      </c>
      <c r="AF138" s="23" t="s">
        <v>153</v>
      </c>
      <c r="AG138" s="23" t="s">
        <v>153</v>
      </c>
      <c r="AH138" s="23" t="s">
        <v>153</v>
      </c>
      <c r="AI138" s="24" t="s">
        <v>153</v>
      </c>
      <c r="AJ138" s="23" t="s">
        <v>153</v>
      </c>
      <c r="AK138" s="23" t="s">
        <v>153</v>
      </c>
      <c r="AL138" s="23" t="s">
        <v>153</v>
      </c>
      <c r="AM138" s="23" t="s">
        <v>153</v>
      </c>
      <c r="AN138" s="23" t="s">
        <v>153</v>
      </c>
      <c r="AO138" s="23" t="s">
        <v>153</v>
      </c>
      <c r="AP138" s="23">
        <f>VALUE(0)</f>
        <v>0</v>
      </c>
      <c r="AQ138" s="23">
        <f>VALUE(0)</f>
        <v>0</v>
      </c>
      <c r="AR138" s="23">
        <f>VALUE(0)</f>
        <v>0</v>
      </c>
      <c r="AS138" s="23">
        <f>VALUE(0)</f>
        <v>0</v>
      </c>
      <c r="AT138" s="23">
        <f>VALUE(0)</f>
        <v>0</v>
      </c>
      <c r="AU138" s="23">
        <f>VALUE(12)</f>
        <v>12</v>
      </c>
      <c r="AV138" s="23">
        <f>VALUE(5)</f>
        <v>5</v>
      </c>
      <c r="AW138" s="23">
        <f>VALUE(0)</f>
        <v>0</v>
      </c>
      <c r="AX138" s="23">
        <f>VALUE(0)</f>
        <v>0</v>
      </c>
      <c r="AY138" s="23">
        <f>VALUE(0)</f>
        <v>0</v>
      </c>
      <c r="AZ138" s="23">
        <f>VALUE(0)</f>
        <v>0</v>
      </c>
      <c r="BA138" s="23">
        <f>VALUE(0)</f>
        <v>0</v>
      </c>
      <c r="BB138" s="23">
        <f>VALUE(0)</f>
        <v>0</v>
      </c>
      <c r="BC138" s="23">
        <f>VALUE(0)</f>
        <v>0</v>
      </c>
      <c r="BD138" s="23">
        <f>VALUE(0)</f>
        <v>0</v>
      </c>
      <c r="BE138" s="23">
        <f>VALUE(0)</f>
        <v>0</v>
      </c>
      <c r="BF138" s="23">
        <f>VALUE(0)</f>
        <v>0</v>
      </c>
      <c r="BG138" s="23">
        <f>VALUE(0)</f>
        <v>0</v>
      </c>
      <c r="BH138" s="23">
        <f>VALUE(0)</f>
        <v>0</v>
      </c>
      <c r="BI138" s="23">
        <f>VALUE(0)</f>
        <v>0</v>
      </c>
      <c r="BJ138" s="23">
        <f>VALUE(0)</f>
        <v>0</v>
      </c>
      <c r="BK138" s="12">
        <f>$AX$138*24</f>
        <v>0</v>
      </c>
      <c r="BL138" s="12">
        <f>$AY$138*24</f>
        <v>0</v>
      </c>
      <c r="BM138" s="12">
        <f>$BJ$138*24</f>
        <v>0</v>
      </c>
      <c r="BN138" s="12">
        <f>VALUE($I$138)/100</f>
        <v>1</v>
      </c>
      <c r="BO138" s="12">
        <v>0</v>
      </c>
      <c r="BP138" s="12">
        <v>0</v>
      </c>
      <c r="BQ138" s="12">
        <v>0</v>
      </c>
      <c r="BR138" s="12">
        <v>0</v>
      </c>
      <c r="BS138" s="12">
        <v>0</v>
      </c>
      <c r="BT138" s="12">
        <v>0</v>
      </c>
      <c r="BU138" s="12">
        <v>0</v>
      </c>
      <c r="BV138" s="12">
        <v>0</v>
      </c>
      <c r="BW138" s="12">
        <v>0</v>
      </c>
      <c r="BX138" s="12">
        <v>0</v>
      </c>
      <c r="BY138" s="12">
        <v>0</v>
      </c>
      <c r="BZ138" s="12">
        <v>0</v>
      </c>
      <c r="CA138" s="12">
        <v>0</v>
      </c>
    </row>
    <row r="139" spans="1:79" hidden="1" x14ac:dyDescent="0.2">
      <c r="A139" s="12" t="s">
        <v>120</v>
      </c>
      <c r="B139" s="12" t="s">
        <v>1320</v>
      </c>
      <c r="C139" s="12" t="s">
        <v>1320</v>
      </c>
      <c r="D139" s="22" t="s">
        <v>397</v>
      </c>
      <c r="E139" s="22" t="s">
        <v>161</v>
      </c>
      <c r="F139" s="22" t="s">
        <v>806</v>
      </c>
      <c r="G139" s="22" t="s">
        <v>807</v>
      </c>
      <c r="H139" s="22" t="s">
        <v>190</v>
      </c>
      <c r="I139" s="22" t="s">
        <v>151</v>
      </c>
      <c r="J139" s="22" t="s">
        <v>162</v>
      </c>
      <c r="K139" s="22" t="s">
        <v>1212</v>
      </c>
      <c r="L139" s="54" t="s">
        <v>153</v>
      </c>
      <c r="M139" s="23" t="s">
        <v>153</v>
      </c>
      <c r="N139" s="24" t="s">
        <v>153</v>
      </c>
      <c r="O139" s="23" t="s">
        <v>153</v>
      </c>
      <c r="P139" s="23" t="s">
        <v>153</v>
      </c>
      <c r="Q139" s="23" t="s">
        <v>153</v>
      </c>
      <c r="R139" s="23" t="s">
        <v>153</v>
      </c>
      <c r="S139" s="23" t="s">
        <v>153</v>
      </c>
      <c r="T139" s="23" t="s">
        <v>153</v>
      </c>
      <c r="U139" s="24" t="s">
        <v>153</v>
      </c>
      <c r="V139" s="54" t="s">
        <v>153</v>
      </c>
      <c r="W139" s="23" t="s">
        <v>153</v>
      </c>
      <c r="X139" s="23" t="s">
        <v>153</v>
      </c>
      <c r="Y139" s="23" t="s">
        <v>153</v>
      </c>
      <c r="Z139" s="23" t="s">
        <v>153</v>
      </c>
      <c r="AA139" s="23" t="s">
        <v>153</v>
      </c>
      <c r="AB139" s="40" t="s">
        <v>153</v>
      </c>
      <c r="AC139" s="40" t="s">
        <v>153</v>
      </c>
      <c r="AD139" s="40" t="s">
        <v>153</v>
      </c>
      <c r="AE139" s="40" t="s">
        <v>153</v>
      </c>
      <c r="AF139" s="40" t="s">
        <v>153</v>
      </c>
      <c r="AG139" s="40" t="s">
        <v>153</v>
      </c>
      <c r="AH139" s="40" t="s">
        <v>153</v>
      </c>
      <c r="AI139" s="40" t="s">
        <v>153</v>
      </c>
      <c r="AJ139" s="40" t="s">
        <v>153</v>
      </c>
      <c r="AK139" s="40" t="s">
        <v>153</v>
      </c>
      <c r="AL139" s="40" t="s">
        <v>153</v>
      </c>
      <c r="AM139" s="40" t="s">
        <v>153</v>
      </c>
      <c r="AN139" s="40" t="s">
        <v>153</v>
      </c>
      <c r="AO139" s="40" t="s">
        <v>153</v>
      </c>
      <c r="AP139" s="23">
        <f>VALUE(0)</f>
        <v>0</v>
      </c>
      <c r="AQ139" s="23">
        <f>VALUE(0)</f>
        <v>0</v>
      </c>
      <c r="AR139" s="23">
        <f>VALUE(0)</f>
        <v>0</v>
      </c>
      <c r="AS139" s="23">
        <f>VALUE(0)</f>
        <v>0</v>
      </c>
      <c r="AT139" s="23">
        <f>VALUE(0)</f>
        <v>0</v>
      </c>
      <c r="AU139" s="23">
        <f>VALUE(0)</f>
        <v>0</v>
      </c>
      <c r="AV139" s="23">
        <f>VALUE(3)</f>
        <v>3</v>
      </c>
      <c r="AW139" s="23">
        <f>VALUE(0)</f>
        <v>0</v>
      </c>
      <c r="AX139" s="23">
        <f>VALUE(0)</f>
        <v>0</v>
      </c>
      <c r="AY139" s="23">
        <f>VALUE(0)</f>
        <v>0</v>
      </c>
      <c r="AZ139" s="23">
        <f>VALUE(0)</f>
        <v>0</v>
      </c>
      <c r="BA139" s="23">
        <f>VALUE(0)</f>
        <v>0</v>
      </c>
      <c r="BB139" s="23">
        <f>VALUE(0)</f>
        <v>0</v>
      </c>
      <c r="BC139" s="23">
        <f>VALUE(0)</f>
        <v>0</v>
      </c>
      <c r="BD139" s="23">
        <f>VALUE(0)</f>
        <v>0</v>
      </c>
      <c r="BE139" s="23">
        <f>VALUE(0)</f>
        <v>0</v>
      </c>
      <c r="BF139" s="23">
        <f>VALUE(0)</f>
        <v>0</v>
      </c>
      <c r="BG139" s="23">
        <f>VALUE(0)</f>
        <v>0</v>
      </c>
      <c r="BH139" s="23">
        <f>VALUE(0)</f>
        <v>0</v>
      </c>
      <c r="BI139" s="23">
        <f>VALUE(0)</f>
        <v>0</v>
      </c>
      <c r="BJ139" s="23">
        <f>VALUE(0)</f>
        <v>0</v>
      </c>
      <c r="BK139" s="12">
        <f>$AX$139*24</f>
        <v>0</v>
      </c>
      <c r="BL139" s="12">
        <f>$AY$139*24</f>
        <v>0</v>
      </c>
      <c r="BM139" s="12">
        <f>$BJ$139*24</f>
        <v>0</v>
      </c>
      <c r="BN139" s="12">
        <f>VALUE($I$139)/100</f>
        <v>1</v>
      </c>
      <c r="BO139" s="12">
        <v>0</v>
      </c>
      <c r="BP139" s="12">
        <v>0</v>
      </c>
      <c r="BQ139" s="12">
        <v>0</v>
      </c>
      <c r="BR139" s="12">
        <v>0</v>
      </c>
      <c r="BS139" s="12">
        <v>0</v>
      </c>
      <c r="BT139" s="12">
        <v>0</v>
      </c>
      <c r="BU139" s="12">
        <v>0</v>
      </c>
      <c r="BV139" s="12">
        <v>0</v>
      </c>
      <c r="BW139" s="12">
        <v>0</v>
      </c>
      <c r="BX139" s="12">
        <v>0</v>
      </c>
      <c r="BY139" s="12">
        <v>0</v>
      </c>
      <c r="BZ139" s="12">
        <v>0</v>
      </c>
      <c r="CA139" s="12">
        <v>0</v>
      </c>
    </row>
    <row r="140" spans="1:79" hidden="1" x14ac:dyDescent="0.2">
      <c r="A140" s="12" t="s">
        <v>120</v>
      </c>
      <c r="B140" s="12" t="s">
        <v>1320</v>
      </c>
      <c r="C140" s="12" t="s">
        <v>1320</v>
      </c>
      <c r="D140" s="22" t="s">
        <v>398</v>
      </c>
      <c r="E140" s="22" t="s">
        <v>161</v>
      </c>
      <c r="F140" s="22" t="s">
        <v>808</v>
      </c>
      <c r="G140" s="22" t="s">
        <v>809</v>
      </c>
      <c r="H140" s="22" t="s">
        <v>166</v>
      </c>
      <c r="I140" s="22" t="s">
        <v>194</v>
      </c>
      <c r="J140" s="22" t="s">
        <v>162</v>
      </c>
      <c r="K140" s="22" t="s">
        <v>1212</v>
      </c>
      <c r="L140" s="54" t="s">
        <v>156</v>
      </c>
      <c r="M140" s="24" t="s">
        <v>156</v>
      </c>
      <c r="N140" s="24" t="s">
        <v>153</v>
      </c>
      <c r="O140" s="23" t="s">
        <v>153</v>
      </c>
      <c r="P140" s="23" t="s">
        <v>153</v>
      </c>
      <c r="Q140" s="23" t="s">
        <v>153</v>
      </c>
      <c r="R140" s="23" t="s">
        <v>153</v>
      </c>
      <c r="S140" s="23" t="s">
        <v>153</v>
      </c>
      <c r="T140" s="23" t="s">
        <v>153</v>
      </c>
      <c r="U140" s="24" t="s">
        <v>153</v>
      </c>
      <c r="V140" s="54" t="s">
        <v>153</v>
      </c>
      <c r="W140" s="23" t="s">
        <v>153</v>
      </c>
      <c r="X140" s="23" t="s">
        <v>153</v>
      </c>
      <c r="Y140" s="23" t="s">
        <v>153</v>
      </c>
      <c r="Z140" s="23" t="s">
        <v>153</v>
      </c>
      <c r="AA140" s="23" t="s">
        <v>153</v>
      </c>
      <c r="AB140" s="24" t="s">
        <v>153</v>
      </c>
      <c r="AC140" s="23" t="s">
        <v>153</v>
      </c>
      <c r="AD140" s="23" t="s">
        <v>153</v>
      </c>
      <c r="AE140" s="23" t="s">
        <v>153</v>
      </c>
      <c r="AF140" s="23" t="s">
        <v>153</v>
      </c>
      <c r="AG140" s="23" t="s">
        <v>153</v>
      </c>
      <c r="AH140" s="23" t="s">
        <v>153</v>
      </c>
      <c r="AI140" s="24" t="s">
        <v>153</v>
      </c>
      <c r="AJ140" s="24" t="s">
        <v>195</v>
      </c>
      <c r="AK140" s="24" t="s">
        <v>195</v>
      </c>
      <c r="AL140" s="24" t="s">
        <v>195</v>
      </c>
      <c r="AM140" s="24" t="s">
        <v>195</v>
      </c>
      <c r="AN140" s="24" t="s">
        <v>195</v>
      </c>
      <c r="AO140" s="24" t="s">
        <v>195</v>
      </c>
      <c r="AP140" s="23">
        <f>VALUE(0)</f>
        <v>0</v>
      </c>
      <c r="AQ140" s="23">
        <f>VALUE(0)</f>
        <v>0</v>
      </c>
      <c r="AR140" s="23">
        <f>VALUE(0)</f>
        <v>0</v>
      </c>
      <c r="AS140" s="23">
        <f>VALUE(0)</f>
        <v>0</v>
      </c>
      <c r="AT140" s="23">
        <f>VALUE(0)</f>
        <v>0</v>
      </c>
      <c r="AU140" s="23">
        <f>VALUE(0)</f>
        <v>0</v>
      </c>
      <c r="AV140" s="23">
        <f>VALUE(1.5)</f>
        <v>1.5</v>
      </c>
      <c r="AW140" s="23">
        <f>VALUE(3)</f>
        <v>3</v>
      </c>
      <c r="AX140" s="23" t="s">
        <v>1216</v>
      </c>
      <c r="AY140" s="23">
        <f>VALUE(0)</f>
        <v>0</v>
      </c>
      <c r="AZ140" s="23">
        <f>VALUE(0)</f>
        <v>0</v>
      </c>
      <c r="BA140" s="23">
        <f>VALUE(0)</f>
        <v>0</v>
      </c>
      <c r="BB140" s="23">
        <f>VALUE(0)</f>
        <v>0</v>
      </c>
      <c r="BC140" s="23">
        <f>VALUE(0)</f>
        <v>0</v>
      </c>
      <c r="BD140" s="23">
        <f>VALUE(0)</f>
        <v>0</v>
      </c>
      <c r="BE140" s="23">
        <f>VALUE(0)</f>
        <v>0</v>
      </c>
      <c r="BF140" s="23">
        <f>VALUE(0)</f>
        <v>0</v>
      </c>
      <c r="BG140" s="23">
        <f>VALUE(0)</f>
        <v>0</v>
      </c>
      <c r="BH140" s="23">
        <f>VALUE(0)</f>
        <v>0</v>
      </c>
      <c r="BI140" s="23">
        <f>VALUE(0)</f>
        <v>0</v>
      </c>
      <c r="BJ140" s="23">
        <f>VALUE(0)</f>
        <v>0</v>
      </c>
      <c r="BK140" s="12">
        <f>$AX$140*24</f>
        <v>13.833333333333336</v>
      </c>
      <c r="BL140" s="12">
        <f>$AY$140*24</f>
        <v>0</v>
      </c>
      <c r="BM140" s="12">
        <f>$BJ$140*24</f>
        <v>0</v>
      </c>
      <c r="BN140" s="12">
        <f>VALUE($I$140)/100</f>
        <v>0.8</v>
      </c>
      <c r="BO140" s="12">
        <v>0</v>
      </c>
      <c r="BP140" s="12">
        <v>0</v>
      </c>
      <c r="BQ140" s="12">
        <v>0</v>
      </c>
      <c r="BR140" s="12">
        <v>0</v>
      </c>
      <c r="BS140" s="12">
        <v>0</v>
      </c>
      <c r="BT140" s="12">
        <v>0</v>
      </c>
      <c r="BU140" s="12">
        <v>0</v>
      </c>
      <c r="BV140" s="12">
        <v>0</v>
      </c>
      <c r="BW140" s="12">
        <v>0</v>
      </c>
      <c r="BX140" s="12">
        <v>0</v>
      </c>
      <c r="BY140" s="12">
        <v>0</v>
      </c>
      <c r="BZ140" s="12">
        <v>0</v>
      </c>
      <c r="CA140" s="12">
        <v>0</v>
      </c>
    </row>
    <row r="141" spans="1:79" hidden="1" x14ac:dyDescent="0.2">
      <c r="A141" s="12" t="s">
        <v>120</v>
      </c>
      <c r="B141" s="12" t="s">
        <v>1320</v>
      </c>
      <c r="C141" s="12" t="s">
        <v>1320</v>
      </c>
      <c r="D141" s="22" t="s">
        <v>1217</v>
      </c>
      <c r="E141" s="22" t="s">
        <v>159</v>
      </c>
      <c r="F141" s="22" t="s">
        <v>810</v>
      </c>
      <c r="G141" s="22" t="s">
        <v>811</v>
      </c>
      <c r="H141" s="22" t="s">
        <v>150</v>
      </c>
      <c r="I141" s="22" t="s">
        <v>151</v>
      </c>
      <c r="J141" s="22" t="s">
        <v>162</v>
      </c>
      <c r="K141" s="22" t="s">
        <v>1212</v>
      </c>
      <c r="L141" s="54" t="s">
        <v>153</v>
      </c>
      <c r="M141" s="23" t="s">
        <v>391</v>
      </c>
      <c r="N141" s="24" t="s">
        <v>153</v>
      </c>
      <c r="O141" s="28" t="s">
        <v>163</v>
      </c>
      <c r="P141" s="28" t="s">
        <v>163</v>
      </c>
      <c r="Q141" s="28" t="s">
        <v>163</v>
      </c>
      <c r="R141" s="28" t="s">
        <v>163</v>
      </c>
      <c r="S141" s="28" t="s">
        <v>163</v>
      </c>
      <c r="T141" s="28" t="s">
        <v>163</v>
      </c>
      <c r="U141" s="24" t="s">
        <v>153</v>
      </c>
      <c r="V141" s="54" t="s">
        <v>153</v>
      </c>
      <c r="W141" s="23" t="s">
        <v>260</v>
      </c>
      <c r="X141" s="23" t="s">
        <v>260</v>
      </c>
      <c r="Y141" s="23" t="s">
        <v>260</v>
      </c>
      <c r="Z141" s="23" t="s">
        <v>260</v>
      </c>
      <c r="AA141" s="23" t="s">
        <v>260</v>
      </c>
      <c r="AB141" s="24" t="s">
        <v>153</v>
      </c>
      <c r="AC141" s="23" t="s">
        <v>260</v>
      </c>
      <c r="AD141" s="23" t="s">
        <v>260</v>
      </c>
      <c r="AE141" s="23" t="s">
        <v>260</v>
      </c>
      <c r="AF141" s="23" t="s">
        <v>260</v>
      </c>
      <c r="AG141" s="24" t="s">
        <v>156</v>
      </c>
      <c r="AH141" s="24" t="s">
        <v>156</v>
      </c>
      <c r="AI141" s="24" t="s">
        <v>153</v>
      </c>
      <c r="AJ141" s="23" t="s">
        <v>260</v>
      </c>
      <c r="AK141" s="23" t="s">
        <v>260</v>
      </c>
      <c r="AL141" s="23" t="s">
        <v>260</v>
      </c>
      <c r="AM141" s="23" t="s">
        <v>260</v>
      </c>
      <c r="AN141" s="23" t="s">
        <v>260</v>
      </c>
      <c r="AO141" s="23" t="s">
        <v>260</v>
      </c>
      <c r="AP141" s="23">
        <f>VALUE(2)</f>
        <v>2</v>
      </c>
      <c r="AQ141" s="23">
        <f>VALUE(0)</f>
        <v>0</v>
      </c>
      <c r="AR141" s="23">
        <f>VALUE(0)</f>
        <v>0</v>
      </c>
      <c r="AS141" s="23">
        <f>VALUE(0)</f>
        <v>0</v>
      </c>
      <c r="AT141" s="23">
        <f>VALUE(0)</f>
        <v>0</v>
      </c>
      <c r="AU141" s="23">
        <f>VALUE(6)</f>
        <v>6</v>
      </c>
      <c r="AV141" s="23">
        <f>VALUE(0)</f>
        <v>0</v>
      </c>
      <c r="AW141" s="23">
        <f>VALUE(0)</f>
        <v>0</v>
      </c>
      <c r="AX141" s="23" t="s">
        <v>171</v>
      </c>
      <c r="AY141" s="23" t="s">
        <v>407</v>
      </c>
      <c r="AZ141" s="23">
        <f>VALUE(0)</f>
        <v>0</v>
      </c>
      <c r="BA141" s="23">
        <f>VALUE(0)</f>
        <v>0</v>
      </c>
      <c r="BB141" s="23">
        <f>VALUE(0)</f>
        <v>0</v>
      </c>
      <c r="BC141" s="23">
        <f>VALUE(0)</f>
        <v>0</v>
      </c>
      <c r="BD141" s="23">
        <f>VALUE(0)</f>
        <v>0</v>
      </c>
      <c r="BE141" s="23">
        <f>VALUE(0)</f>
        <v>0</v>
      </c>
      <c r="BF141" s="23">
        <f>VALUE(0)</f>
        <v>0</v>
      </c>
      <c r="BG141" s="23">
        <f>VALUE(0)</f>
        <v>0</v>
      </c>
      <c r="BH141" s="23">
        <f>VALUE(0)</f>
        <v>0</v>
      </c>
      <c r="BI141" s="23">
        <f>VALUE(0)</f>
        <v>0</v>
      </c>
      <c r="BJ141" s="23">
        <f>VALUE(0)</f>
        <v>0</v>
      </c>
      <c r="BK141" s="12">
        <f>$AX$141*24</f>
        <v>5.833333333333333</v>
      </c>
      <c r="BL141" s="12">
        <f>$AY$141*24</f>
        <v>1.2166666666666668</v>
      </c>
      <c r="BM141" s="12">
        <f>$BJ$141*24</f>
        <v>0</v>
      </c>
      <c r="BN141" s="12">
        <f>VALUE($I$141)/100</f>
        <v>1</v>
      </c>
      <c r="BO141" s="12">
        <v>0</v>
      </c>
      <c r="BP141" s="12">
        <v>0</v>
      </c>
      <c r="BQ141" s="12">
        <v>0</v>
      </c>
      <c r="BR141" s="12">
        <v>0</v>
      </c>
      <c r="BS141" s="12">
        <v>0</v>
      </c>
      <c r="BT141" s="12">
        <v>0</v>
      </c>
      <c r="BU141" s="12">
        <v>0</v>
      </c>
      <c r="BV141" s="12">
        <v>0</v>
      </c>
      <c r="BW141" s="12">
        <v>0</v>
      </c>
      <c r="BX141" s="12">
        <v>0</v>
      </c>
      <c r="BY141" s="12">
        <v>0</v>
      </c>
      <c r="BZ141" s="12">
        <v>0</v>
      </c>
      <c r="CA141" s="12">
        <v>0</v>
      </c>
    </row>
    <row r="142" spans="1:79" hidden="1" x14ac:dyDescent="0.2">
      <c r="A142" s="12" t="s">
        <v>120</v>
      </c>
      <c r="B142" s="12" t="s">
        <v>1320</v>
      </c>
      <c r="C142" s="12" t="s">
        <v>1320</v>
      </c>
      <c r="D142" s="22" t="s">
        <v>1218</v>
      </c>
      <c r="E142" s="22" t="s">
        <v>332</v>
      </c>
      <c r="F142" s="22" t="s">
        <v>812</v>
      </c>
      <c r="G142" s="22" t="s">
        <v>813</v>
      </c>
      <c r="H142" s="22" t="s">
        <v>150</v>
      </c>
      <c r="I142" s="22" t="s">
        <v>151</v>
      </c>
      <c r="J142" s="22" t="s">
        <v>162</v>
      </c>
      <c r="K142" s="22" t="s">
        <v>1212</v>
      </c>
      <c r="L142" s="54" t="s">
        <v>153</v>
      </c>
      <c r="M142" s="23" t="s">
        <v>398</v>
      </c>
      <c r="N142" s="24" t="s">
        <v>153</v>
      </c>
      <c r="O142" s="23" t="s">
        <v>375</v>
      </c>
      <c r="P142" s="23" t="s">
        <v>375</v>
      </c>
      <c r="Q142" s="23" t="s">
        <v>391</v>
      </c>
      <c r="R142" s="23" t="s">
        <v>391</v>
      </c>
      <c r="S142" s="23" t="s">
        <v>391</v>
      </c>
      <c r="T142" s="23" t="s">
        <v>391</v>
      </c>
      <c r="U142" s="24" t="s">
        <v>153</v>
      </c>
      <c r="V142" s="54" t="s">
        <v>153</v>
      </c>
      <c r="W142" s="25" t="s">
        <v>1219</v>
      </c>
      <c r="X142" s="24" t="s">
        <v>156</v>
      </c>
      <c r="Y142" s="24" t="s">
        <v>156</v>
      </c>
      <c r="Z142" s="23" t="s">
        <v>383</v>
      </c>
      <c r="AA142" s="23" t="s">
        <v>383</v>
      </c>
      <c r="AB142" s="24" t="s">
        <v>153</v>
      </c>
      <c r="AC142" s="23" t="s">
        <v>383</v>
      </c>
      <c r="AD142" s="23" t="s">
        <v>383</v>
      </c>
      <c r="AE142" s="23" t="s">
        <v>405</v>
      </c>
      <c r="AF142" s="23" t="s">
        <v>405</v>
      </c>
      <c r="AG142" s="23" t="s">
        <v>401</v>
      </c>
      <c r="AH142" s="23" t="s">
        <v>401</v>
      </c>
      <c r="AI142" s="24" t="s">
        <v>153</v>
      </c>
      <c r="AJ142" s="23" t="s">
        <v>398</v>
      </c>
      <c r="AK142" s="23" t="s">
        <v>398</v>
      </c>
      <c r="AL142" s="23" t="s">
        <v>391</v>
      </c>
      <c r="AM142" s="23" t="s">
        <v>391</v>
      </c>
      <c r="AN142" s="23" t="s">
        <v>400</v>
      </c>
      <c r="AO142" s="23" t="s">
        <v>400</v>
      </c>
      <c r="AP142" s="23">
        <f>VALUE(0)</f>
        <v>0</v>
      </c>
      <c r="AQ142" s="23">
        <f>VALUE(0)</f>
        <v>0</v>
      </c>
      <c r="AR142" s="23">
        <f>VALUE(0)</f>
        <v>0</v>
      </c>
      <c r="AS142" s="23">
        <f>VALUE(0)</f>
        <v>0</v>
      </c>
      <c r="AT142" s="23">
        <f>VALUE(0)</f>
        <v>0</v>
      </c>
      <c r="AU142" s="23">
        <f>VALUE(0)</f>
        <v>0</v>
      </c>
      <c r="AV142" s="23">
        <f>VALUE(5)</f>
        <v>5</v>
      </c>
      <c r="AW142" s="23">
        <f>VALUE(0)</f>
        <v>0</v>
      </c>
      <c r="AX142" s="23" t="s">
        <v>248</v>
      </c>
      <c r="AY142" s="23">
        <f>VALUE(0)</f>
        <v>0</v>
      </c>
      <c r="AZ142" s="23">
        <f>VALUE(0)</f>
        <v>0</v>
      </c>
      <c r="BA142" s="23">
        <f>VALUE(0)</f>
        <v>0</v>
      </c>
      <c r="BB142" s="23">
        <f>VALUE(0)</f>
        <v>0</v>
      </c>
      <c r="BC142" s="23">
        <f>VALUE(0)</f>
        <v>0</v>
      </c>
      <c r="BD142" s="23">
        <f>VALUE(1)</f>
        <v>1</v>
      </c>
      <c r="BE142" s="23">
        <f>VALUE(0)</f>
        <v>0</v>
      </c>
      <c r="BF142" s="23">
        <f>VALUE(0)</f>
        <v>0</v>
      </c>
      <c r="BG142" s="23">
        <f>VALUE(0)</f>
        <v>0</v>
      </c>
      <c r="BH142" s="23">
        <f>VALUE(0)</f>
        <v>0</v>
      </c>
      <c r="BI142" s="23">
        <f>VALUE(0)</f>
        <v>0</v>
      </c>
      <c r="BJ142" s="23">
        <f>VALUE(0)</f>
        <v>0</v>
      </c>
      <c r="BK142" s="12">
        <f>$AX$142*24</f>
        <v>16.333333333333332</v>
      </c>
      <c r="BL142" s="12">
        <f>$AY$142*24</f>
        <v>0</v>
      </c>
      <c r="BM142" s="12">
        <f>$BJ$142*24</f>
        <v>0</v>
      </c>
      <c r="BN142" s="12">
        <f>VALUE($I$142)/100</f>
        <v>1</v>
      </c>
      <c r="BO142" s="12">
        <v>0</v>
      </c>
      <c r="BP142" s="12">
        <v>0</v>
      </c>
      <c r="BQ142" s="12">
        <v>0</v>
      </c>
      <c r="BR142" s="12">
        <v>1</v>
      </c>
      <c r="BS142" s="12">
        <v>0</v>
      </c>
      <c r="BT142" s="12">
        <v>0</v>
      </c>
      <c r="BU142" s="12">
        <v>0</v>
      </c>
      <c r="BV142" s="12">
        <v>0</v>
      </c>
      <c r="BW142" s="12">
        <v>0</v>
      </c>
      <c r="BX142" s="12">
        <v>0</v>
      </c>
      <c r="BY142" s="12">
        <v>0</v>
      </c>
      <c r="BZ142" s="12">
        <v>0</v>
      </c>
      <c r="CA142" s="12">
        <v>0</v>
      </c>
    </row>
    <row r="143" spans="1:79" ht="15" hidden="1" x14ac:dyDescent="0.25">
      <c r="A143" s="12" t="s">
        <v>120</v>
      </c>
      <c r="B143" s="12" t="s">
        <v>1320</v>
      </c>
      <c r="C143" s="12" t="s">
        <v>1320</v>
      </c>
      <c r="D143" s="31" t="s">
        <v>202</v>
      </c>
      <c r="E143" s="31" t="s">
        <v>153</v>
      </c>
      <c r="F143" s="31" t="s">
        <v>175</v>
      </c>
      <c r="G143" s="31" t="s">
        <v>153</v>
      </c>
      <c r="H143" s="31" t="s">
        <v>153</v>
      </c>
      <c r="I143" s="31" t="s">
        <v>153</v>
      </c>
      <c r="J143" s="31" t="s">
        <v>153</v>
      </c>
      <c r="K143" s="31" t="s">
        <v>153</v>
      </c>
      <c r="L143" s="31">
        <f>VALUE(0)</f>
        <v>0</v>
      </c>
      <c r="M143" s="31">
        <f>VALUE(9)</f>
        <v>9</v>
      </c>
      <c r="N143" s="31">
        <f>VALUE(0)</f>
        <v>0</v>
      </c>
      <c r="O143" s="31">
        <f>VALUE(8)</f>
        <v>8</v>
      </c>
      <c r="P143" s="31">
        <f>VALUE(9)</f>
        <v>9</v>
      </c>
      <c r="Q143" s="31">
        <f>VALUE(10)</f>
        <v>10</v>
      </c>
      <c r="R143" s="31">
        <f>VALUE(11)</f>
        <v>11</v>
      </c>
      <c r="S143" s="31">
        <f>VALUE(11)</f>
        <v>11</v>
      </c>
      <c r="T143" s="31">
        <f>VALUE(11)</f>
        <v>11</v>
      </c>
      <c r="U143" s="31">
        <f>VALUE(0)</f>
        <v>0</v>
      </c>
      <c r="V143" s="31">
        <f>VALUE(0)</f>
        <v>0</v>
      </c>
      <c r="W143" s="31">
        <f>VALUE(11)</f>
        <v>11</v>
      </c>
      <c r="X143" s="31">
        <f>VALUE(9)</f>
        <v>9</v>
      </c>
      <c r="Y143" s="31">
        <f>VALUE(9)</f>
        <v>9</v>
      </c>
      <c r="Z143" s="31">
        <f>VALUE(10)</f>
        <v>10</v>
      </c>
      <c r="AA143" s="31">
        <f>VALUE(9)</f>
        <v>9</v>
      </c>
      <c r="AB143" s="31">
        <f>VALUE(0)</f>
        <v>0</v>
      </c>
      <c r="AC143" s="31">
        <f>VALUE(9)</f>
        <v>9</v>
      </c>
      <c r="AD143" s="31">
        <f>VALUE(10)</f>
        <v>10</v>
      </c>
      <c r="AE143" s="31">
        <f>VALUE(9)</f>
        <v>9</v>
      </c>
      <c r="AF143" s="31">
        <f>VALUE(9)</f>
        <v>9</v>
      </c>
      <c r="AG143" s="31">
        <f>VALUE(8)</f>
        <v>8</v>
      </c>
      <c r="AH143" s="31">
        <f>VALUE(8)</f>
        <v>8</v>
      </c>
      <c r="AI143" s="31">
        <f>VALUE(0)</f>
        <v>0</v>
      </c>
      <c r="AJ143" s="31">
        <f>VALUE(10)</f>
        <v>10</v>
      </c>
      <c r="AK143" s="31">
        <f>VALUE(9)</f>
        <v>9</v>
      </c>
      <c r="AL143" s="31">
        <f>VALUE(9)</f>
        <v>9</v>
      </c>
      <c r="AM143" s="31">
        <f>VALUE(9)</f>
        <v>9</v>
      </c>
      <c r="AN143" s="31">
        <f>VALUE(8)</f>
        <v>8</v>
      </c>
      <c r="AO143" s="31">
        <f>VALUE(8)</f>
        <v>8</v>
      </c>
      <c r="AP143" s="31">
        <v>0</v>
      </c>
      <c r="AQ143" s="31">
        <v>0</v>
      </c>
      <c r="AR143" s="31">
        <v>0</v>
      </c>
      <c r="AS143" s="31">
        <v>0</v>
      </c>
      <c r="AT143" s="31">
        <v>0</v>
      </c>
      <c r="AU143" s="31">
        <v>0</v>
      </c>
      <c r="AV143" s="31">
        <v>0</v>
      </c>
      <c r="AW143" s="31">
        <v>0</v>
      </c>
      <c r="AX143" s="31">
        <v>0</v>
      </c>
      <c r="AY143" s="31">
        <v>0</v>
      </c>
      <c r="AZ143" s="31">
        <v>0</v>
      </c>
      <c r="BA143" s="31">
        <v>0</v>
      </c>
      <c r="BB143" s="31">
        <v>0</v>
      </c>
      <c r="BC143" s="31">
        <v>0</v>
      </c>
      <c r="BD143" s="31">
        <v>0</v>
      </c>
      <c r="BE143" s="31">
        <v>0</v>
      </c>
      <c r="BF143" s="31">
        <v>0</v>
      </c>
      <c r="BG143" s="31">
        <v>0</v>
      </c>
      <c r="BH143" s="31">
        <v>0</v>
      </c>
      <c r="BI143" s="31">
        <v>0</v>
      </c>
      <c r="BJ143" s="31">
        <v>0</v>
      </c>
      <c r="BK143" s="12">
        <v>0</v>
      </c>
      <c r="BL143" s="12">
        <v>0</v>
      </c>
      <c r="BM143" s="12">
        <v>0</v>
      </c>
      <c r="BN143" s="12"/>
      <c r="BO143" s="12">
        <v>0</v>
      </c>
      <c r="BP143" s="12">
        <v>0</v>
      </c>
      <c r="BQ143" s="12">
        <v>0</v>
      </c>
      <c r="BR143" s="12">
        <v>0</v>
      </c>
      <c r="BS143" s="12">
        <v>0</v>
      </c>
      <c r="BT143" s="12">
        <v>0</v>
      </c>
      <c r="BU143" s="12">
        <v>0</v>
      </c>
      <c r="BV143" s="12">
        <v>0</v>
      </c>
      <c r="BW143" s="12">
        <v>0</v>
      </c>
      <c r="BX143" s="12">
        <v>0</v>
      </c>
      <c r="BY143" s="12">
        <v>0</v>
      </c>
      <c r="BZ143" s="12">
        <v>0</v>
      </c>
      <c r="CA143" s="12">
        <v>0</v>
      </c>
    </row>
    <row r="144" spans="1:79" hidden="1" x14ac:dyDescent="0.2">
      <c r="A144" s="12" t="s">
        <v>120</v>
      </c>
      <c r="B144" s="12" t="s">
        <v>123</v>
      </c>
      <c r="C144" s="12" t="s">
        <v>123</v>
      </c>
      <c r="D144" s="22" t="s">
        <v>392</v>
      </c>
      <c r="E144" s="22" t="s">
        <v>161</v>
      </c>
      <c r="F144" s="22" t="s">
        <v>814</v>
      </c>
      <c r="G144" s="22" t="s">
        <v>815</v>
      </c>
      <c r="H144" s="22" t="s">
        <v>150</v>
      </c>
      <c r="I144" s="22" t="s">
        <v>151</v>
      </c>
      <c r="J144" s="22" t="s">
        <v>162</v>
      </c>
      <c r="K144" s="22" t="s">
        <v>82</v>
      </c>
      <c r="L144" s="54" t="s">
        <v>153</v>
      </c>
      <c r="M144" s="23" t="s">
        <v>153</v>
      </c>
      <c r="N144" s="24" t="s">
        <v>153</v>
      </c>
      <c r="O144" s="23" t="s">
        <v>153</v>
      </c>
      <c r="P144" s="23" t="s">
        <v>153</v>
      </c>
      <c r="Q144" s="23" t="s">
        <v>153</v>
      </c>
      <c r="R144" s="23" t="s">
        <v>153</v>
      </c>
      <c r="S144" s="23" t="s">
        <v>153</v>
      </c>
      <c r="T144" s="23" t="s">
        <v>153</v>
      </c>
      <c r="U144" s="24" t="s">
        <v>153</v>
      </c>
      <c r="V144" s="54" t="s">
        <v>153</v>
      </c>
      <c r="W144" s="23" t="s">
        <v>153</v>
      </c>
      <c r="X144" s="23" t="s">
        <v>153</v>
      </c>
      <c r="Y144" s="23" t="s">
        <v>153</v>
      </c>
      <c r="Z144" s="23" t="s">
        <v>153</v>
      </c>
      <c r="AA144" s="23" t="s">
        <v>153</v>
      </c>
      <c r="AB144" s="24" t="s">
        <v>153</v>
      </c>
      <c r="AC144" s="24" t="s">
        <v>156</v>
      </c>
      <c r="AD144" s="23" t="s">
        <v>153</v>
      </c>
      <c r="AE144" s="24" t="s">
        <v>156</v>
      </c>
      <c r="AF144" s="24" t="s">
        <v>156</v>
      </c>
      <c r="AG144" s="24" t="s">
        <v>156</v>
      </c>
      <c r="AH144" s="28" t="s">
        <v>163</v>
      </c>
      <c r="AI144" s="24" t="s">
        <v>153</v>
      </c>
      <c r="AJ144" s="28" t="s">
        <v>163</v>
      </c>
      <c r="AK144" s="28" t="s">
        <v>163</v>
      </c>
      <c r="AL144" s="28" t="s">
        <v>163</v>
      </c>
      <c r="AM144" s="28" t="s">
        <v>163</v>
      </c>
      <c r="AN144" s="28" t="s">
        <v>163</v>
      </c>
      <c r="AO144" s="28" t="s">
        <v>163</v>
      </c>
      <c r="AP144" s="23">
        <f>VALUE(0)</f>
        <v>0</v>
      </c>
      <c r="AQ144" s="23">
        <f>VALUE(0)</f>
        <v>0</v>
      </c>
      <c r="AR144" s="23">
        <f>VALUE(0)</f>
        <v>0</v>
      </c>
      <c r="AS144" s="23">
        <f>VALUE(0)</f>
        <v>0</v>
      </c>
      <c r="AT144" s="23">
        <f>VALUE(0)</f>
        <v>0</v>
      </c>
      <c r="AU144" s="23">
        <f>VALUE(7)</f>
        <v>7</v>
      </c>
      <c r="AV144" s="23">
        <f>VALUE(2)</f>
        <v>2</v>
      </c>
      <c r="AW144" s="23">
        <f>VALUE(0)</f>
        <v>0</v>
      </c>
      <c r="AX144" s="23">
        <f>VALUE(0)</f>
        <v>0</v>
      </c>
      <c r="AY144" s="23" t="s">
        <v>408</v>
      </c>
      <c r="AZ144" s="23">
        <f>VALUE(0)</f>
        <v>0</v>
      </c>
      <c r="BA144" s="23">
        <f>VALUE(0)</f>
        <v>0</v>
      </c>
      <c r="BB144" s="23">
        <f>VALUE(0)</f>
        <v>0</v>
      </c>
      <c r="BC144" s="23">
        <f>VALUE(0)</f>
        <v>0</v>
      </c>
      <c r="BD144" s="23">
        <f>VALUE(0)</f>
        <v>0</v>
      </c>
      <c r="BE144" s="23">
        <f>VALUE(0)</f>
        <v>0</v>
      </c>
      <c r="BF144" s="23">
        <f>VALUE(0)</f>
        <v>0</v>
      </c>
      <c r="BG144" s="23">
        <f>VALUE(0)</f>
        <v>0</v>
      </c>
      <c r="BH144" s="23">
        <f>VALUE(0)</f>
        <v>0</v>
      </c>
      <c r="BI144" s="23">
        <f>VALUE(0)</f>
        <v>0</v>
      </c>
      <c r="BJ144" s="23">
        <f>VALUE(0)</f>
        <v>0</v>
      </c>
      <c r="BK144" s="12">
        <f>$AX$144*24</f>
        <v>0</v>
      </c>
      <c r="BL144" s="12">
        <f>$AY$144*24</f>
        <v>10.75</v>
      </c>
      <c r="BM144" s="12">
        <f>$BJ$144*24</f>
        <v>0</v>
      </c>
      <c r="BN144" s="12">
        <f>VALUE($I$144)/100</f>
        <v>1</v>
      </c>
      <c r="BO144" s="12">
        <v>0</v>
      </c>
      <c r="BP144" s="12">
        <v>0</v>
      </c>
      <c r="BQ144" s="12">
        <v>0</v>
      </c>
      <c r="BR144" s="12">
        <v>0</v>
      </c>
      <c r="BS144" s="12">
        <v>0</v>
      </c>
      <c r="BT144" s="12">
        <v>0</v>
      </c>
      <c r="BU144" s="12">
        <v>0</v>
      </c>
      <c r="BV144" s="12">
        <v>0</v>
      </c>
      <c r="BW144" s="12">
        <v>0</v>
      </c>
      <c r="BX144" s="12">
        <v>0</v>
      </c>
      <c r="BY144" s="12">
        <v>0</v>
      </c>
      <c r="BZ144" s="12">
        <v>0</v>
      </c>
      <c r="CA144" s="12">
        <v>0</v>
      </c>
    </row>
    <row r="145" spans="1:79" hidden="1" x14ac:dyDescent="0.2">
      <c r="A145" s="12" t="s">
        <v>120</v>
      </c>
      <c r="B145" s="12" t="s">
        <v>123</v>
      </c>
      <c r="C145" s="12" t="s">
        <v>123</v>
      </c>
      <c r="D145" s="22" t="s">
        <v>386</v>
      </c>
      <c r="E145" s="22" t="s">
        <v>161</v>
      </c>
      <c r="F145" s="22" t="s">
        <v>816</v>
      </c>
      <c r="G145" s="22" t="s">
        <v>817</v>
      </c>
      <c r="H145" s="22" t="s">
        <v>150</v>
      </c>
      <c r="I145" s="22" t="s">
        <v>151</v>
      </c>
      <c r="J145" s="22" t="s">
        <v>162</v>
      </c>
      <c r="K145" s="22" t="s">
        <v>82</v>
      </c>
      <c r="L145" s="54" t="s">
        <v>153</v>
      </c>
      <c r="M145" s="28" t="s">
        <v>163</v>
      </c>
      <c r="N145" s="24" t="s">
        <v>153</v>
      </c>
      <c r="O145" s="29" t="s">
        <v>218</v>
      </c>
      <c r="P145" s="29" t="s">
        <v>218</v>
      </c>
      <c r="Q145" s="23" t="s">
        <v>153</v>
      </c>
      <c r="R145" s="23" t="s">
        <v>153</v>
      </c>
      <c r="S145" s="23" t="s">
        <v>153</v>
      </c>
      <c r="T145" s="23" t="s">
        <v>153</v>
      </c>
      <c r="U145" s="24" t="s">
        <v>153</v>
      </c>
      <c r="V145" s="54" t="s">
        <v>153</v>
      </c>
      <c r="W145" s="23" t="s">
        <v>153</v>
      </c>
      <c r="X145" s="24" t="s">
        <v>156</v>
      </c>
      <c r="Y145" s="24" t="s">
        <v>156</v>
      </c>
      <c r="Z145" s="23" t="s">
        <v>153</v>
      </c>
      <c r="AA145" s="23" t="s">
        <v>153</v>
      </c>
      <c r="AB145" s="24" t="s">
        <v>153</v>
      </c>
      <c r="AC145" s="23" t="s">
        <v>153</v>
      </c>
      <c r="AD145" s="23" t="s">
        <v>153</v>
      </c>
      <c r="AE145" s="23" t="s">
        <v>153</v>
      </c>
      <c r="AF145" s="23" t="s">
        <v>153</v>
      </c>
      <c r="AG145" s="29" t="s">
        <v>218</v>
      </c>
      <c r="AH145" s="23" t="s">
        <v>153</v>
      </c>
      <c r="AI145" s="24" t="s">
        <v>153</v>
      </c>
      <c r="AJ145" s="23" t="s">
        <v>153</v>
      </c>
      <c r="AK145" s="23" t="s">
        <v>153</v>
      </c>
      <c r="AL145" s="23" t="s">
        <v>153</v>
      </c>
      <c r="AM145" s="23" t="s">
        <v>153</v>
      </c>
      <c r="AN145" s="23" t="s">
        <v>153</v>
      </c>
      <c r="AO145" s="23" t="s">
        <v>153</v>
      </c>
      <c r="AP145" s="23">
        <f>VALUE(0)</f>
        <v>0</v>
      </c>
      <c r="AQ145" s="23">
        <f>VALUE(0)</f>
        <v>0</v>
      </c>
      <c r="AR145" s="23">
        <f>VALUE(3)</f>
        <v>3</v>
      </c>
      <c r="AS145" s="23">
        <f>VALUE(0)</f>
        <v>0</v>
      </c>
      <c r="AT145" s="23">
        <f>VALUE(0)</f>
        <v>0</v>
      </c>
      <c r="AU145" s="23">
        <f>VALUE(1)</f>
        <v>1</v>
      </c>
      <c r="AV145" s="23">
        <f>VALUE(2)</f>
        <v>2</v>
      </c>
      <c r="AW145" s="23">
        <f>VALUE(0)</f>
        <v>0</v>
      </c>
      <c r="AX145" s="23" t="s">
        <v>158</v>
      </c>
      <c r="AY145" s="23">
        <f>VALUE(0)</f>
        <v>0</v>
      </c>
      <c r="AZ145" s="23">
        <f>VALUE(0)</f>
        <v>0</v>
      </c>
      <c r="BA145" s="23">
        <f>VALUE(0)</f>
        <v>0</v>
      </c>
      <c r="BB145" s="23">
        <f>VALUE(0)</f>
        <v>0</v>
      </c>
      <c r="BC145" s="23">
        <f>VALUE(0)</f>
        <v>0</v>
      </c>
      <c r="BD145" s="23">
        <f>VALUE(0)</f>
        <v>0</v>
      </c>
      <c r="BE145" s="23">
        <f>VALUE(0)</f>
        <v>0</v>
      </c>
      <c r="BF145" s="23">
        <f>VALUE(0)</f>
        <v>0</v>
      </c>
      <c r="BG145" s="23">
        <f>VALUE(0)</f>
        <v>0</v>
      </c>
      <c r="BH145" s="23">
        <f>VALUE(0)</f>
        <v>0</v>
      </c>
      <c r="BI145" s="23">
        <f>VALUE(0)</f>
        <v>0</v>
      </c>
      <c r="BJ145" s="23">
        <f>VALUE(0)</f>
        <v>0</v>
      </c>
      <c r="BK145" s="12">
        <f>$AX$145*24</f>
        <v>11.666666666666666</v>
      </c>
      <c r="BL145" s="12">
        <f>$AY$145*24</f>
        <v>0</v>
      </c>
      <c r="BM145" s="12">
        <f>$BJ$145*24</f>
        <v>0</v>
      </c>
      <c r="BN145" s="12">
        <f>VALUE($I$145)/100</f>
        <v>1</v>
      </c>
      <c r="BO145" s="12">
        <v>0</v>
      </c>
      <c r="BP145" s="12">
        <v>0</v>
      </c>
      <c r="BQ145" s="12">
        <v>0</v>
      </c>
      <c r="BR145" s="12">
        <v>0</v>
      </c>
      <c r="BS145" s="12">
        <v>3</v>
      </c>
      <c r="BT145" s="12">
        <v>0</v>
      </c>
      <c r="BU145" s="12">
        <v>0</v>
      </c>
      <c r="BV145" s="12">
        <v>0</v>
      </c>
      <c r="BW145" s="12">
        <v>0</v>
      </c>
      <c r="BX145" s="12">
        <v>0</v>
      </c>
      <c r="BY145" s="12">
        <v>0</v>
      </c>
      <c r="BZ145" s="12">
        <v>0</v>
      </c>
      <c r="CA145" s="12">
        <v>0</v>
      </c>
    </row>
    <row r="146" spans="1:79" hidden="1" x14ac:dyDescent="0.2">
      <c r="A146" s="12" t="s">
        <v>120</v>
      </c>
      <c r="B146" s="12" t="s">
        <v>123</v>
      </c>
      <c r="C146" s="12" t="s">
        <v>123</v>
      </c>
      <c r="D146" s="22" t="s">
        <v>409</v>
      </c>
      <c r="E146" s="22" t="s">
        <v>161</v>
      </c>
      <c r="F146" s="22" t="s">
        <v>818</v>
      </c>
      <c r="G146" s="22" t="s">
        <v>819</v>
      </c>
      <c r="H146" s="22" t="s">
        <v>150</v>
      </c>
      <c r="I146" s="22" t="s">
        <v>151</v>
      </c>
      <c r="J146" s="22" t="s">
        <v>162</v>
      </c>
      <c r="K146" s="22" t="s">
        <v>82</v>
      </c>
      <c r="L146" s="54" t="s">
        <v>153</v>
      </c>
      <c r="M146" s="23" t="s">
        <v>153</v>
      </c>
      <c r="N146" s="24" t="s">
        <v>153</v>
      </c>
      <c r="O146" s="24" t="s">
        <v>156</v>
      </c>
      <c r="P146" s="24" t="s">
        <v>156</v>
      </c>
      <c r="Q146" s="28" t="s">
        <v>163</v>
      </c>
      <c r="R146" s="28" t="s">
        <v>163</v>
      </c>
      <c r="S146" s="28" t="s">
        <v>163</v>
      </c>
      <c r="T146" s="28" t="s">
        <v>163</v>
      </c>
      <c r="U146" s="24" t="s">
        <v>153</v>
      </c>
      <c r="V146" s="54" t="s">
        <v>153</v>
      </c>
      <c r="W146" s="23" t="s">
        <v>153</v>
      </c>
      <c r="X146" s="23" t="s">
        <v>153</v>
      </c>
      <c r="Y146" s="23" t="s">
        <v>153</v>
      </c>
      <c r="Z146" s="23" t="s">
        <v>153</v>
      </c>
      <c r="AA146" s="23" t="s">
        <v>153</v>
      </c>
      <c r="AB146" s="24" t="s">
        <v>153</v>
      </c>
      <c r="AC146" s="23" t="s">
        <v>153</v>
      </c>
      <c r="AD146" s="23" t="s">
        <v>153</v>
      </c>
      <c r="AE146" s="23" t="s">
        <v>153</v>
      </c>
      <c r="AF146" s="23" t="s">
        <v>153</v>
      </c>
      <c r="AG146" s="23" t="s">
        <v>153</v>
      </c>
      <c r="AH146" s="23" t="s">
        <v>153</v>
      </c>
      <c r="AI146" s="24" t="s">
        <v>153</v>
      </c>
      <c r="AJ146" s="23" t="s">
        <v>153</v>
      </c>
      <c r="AK146" s="23" t="s">
        <v>153</v>
      </c>
      <c r="AL146" s="23" t="s">
        <v>153</v>
      </c>
      <c r="AM146" s="23" t="s">
        <v>153</v>
      </c>
      <c r="AN146" s="23" t="s">
        <v>153</v>
      </c>
      <c r="AO146" s="23" t="s">
        <v>153</v>
      </c>
      <c r="AP146" s="23">
        <f>VALUE(0)</f>
        <v>0</v>
      </c>
      <c r="AQ146" s="23">
        <f>VALUE(0)</f>
        <v>0</v>
      </c>
      <c r="AR146" s="23">
        <f>VALUE(0)</f>
        <v>0</v>
      </c>
      <c r="AS146" s="23">
        <f>VALUE(0)</f>
        <v>0</v>
      </c>
      <c r="AT146" s="23">
        <f>VALUE(0)</f>
        <v>0</v>
      </c>
      <c r="AU146" s="23">
        <f>VALUE(4)</f>
        <v>4</v>
      </c>
      <c r="AV146" s="23">
        <f>VALUE(3)</f>
        <v>3</v>
      </c>
      <c r="AW146" s="23">
        <f>VALUE(0)</f>
        <v>0</v>
      </c>
      <c r="AX146" s="23" t="s">
        <v>410</v>
      </c>
      <c r="AY146" s="23" t="s">
        <v>176</v>
      </c>
      <c r="AZ146" s="23">
        <f>VALUE(0)</f>
        <v>0</v>
      </c>
      <c r="BA146" s="23">
        <f>VALUE(0)</f>
        <v>0</v>
      </c>
      <c r="BB146" s="23">
        <f>VALUE(0)</f>
        <v>0</v>
      </c>
      <c r="BC146" s="23">
        <f>VALUE(0)</f>
        <v>0</v>
      </c>
      <c r="BD146" s="23">
        <f>VALUE(0)</f>
        <v>0</v>
      </c>
      <c r="BE146" s="23">
        <f>VALUE(0)</f>
        <v>0</v>
      </c>
      <c r="BF146" s="23">
        <f>VALUE(0)</f>
        <v>0</v>
      </c>
      <c r="BG146" s="23">
        <f>VALUE(0)</f>
        <v>0</v>
      </c>
      <c r="BH146" s="23">
        <f>VALUE(0)</f>
        <v>0</v>
      </c>
      <c r="BI146" s="23">
        <f>VALUE(0)</f>
        <v>0</v>
      </c>
      <c r="BJ146" s="23">
        <f>VALUE(0)</f>
        <v>0</v>
      </c>
      <c r="BK146" s="12">
        <f>$AX$146*24</f>
        <v>5.55</v>
      </c>
      <c r="BL146" s="12">
        <f>$AY$146*24</f>
        <v>0</v>
      </c>
      <c r="BM146" s="12">
        <f>$BJ$146*24</f>
        <v>0</v>
      </c>
      <c r="BN146" s="12">
        <f>VALUE($I$146)/100</f>
        <v>1</v>
      </c>
      <c r="BO146" s="12">
        <v>0</v>
      </c>
      <c r="BP146" s="12">
        <v>0</v>
      </c>
      <c r="BQ146" s="12">
        <v>0</v>
      </c>
      <c r="BR146" s="12">
        <v>0</v>
      </c>
      <c r="BS146" s="12">
        <v>0</v>
      </c>
      <c r="BT146" s="12">
        <v>0</v>
      </c>
      <c r="BU146" s="12">
        <v>0</v>
      </c>
      <c r="BV146" s="12">
        <v>0</v>
      </c>
      <c r="BW146" s="12">
        <v>0</v>
      </c>
      <c r="BX146" s="12">
        <v>0</v>
      </c>
      <c r="BY146" s="12">
        <v>0</v>
      </c>
      <c r="BZ146" s="12">
        <v>0</v>
      </c>
      <c r="CA146" s="12">
        <v>0</v>
      </c>
    </row>
    <row r="147" spans="1:79" hidden="1" x14ac:dyDescent="0.2">
      <c r="A147" s="12" t="s">
        <v>120</v>
      </c>
      <c r="B147" s="12" t="s">
        <v>123</v>
      </c>
      <c r="C147" s="12" t="s">
        <v>123</v>
      </c>
      <c r="D147" s="22" t="s">
        <v>411</v>
      </c>
      <c r="E147" s="22" t="s">
        <v>161</v>
      </c>
      <c r="F147" s="22" t="s">
        <v>820</v>
      </c>
      <c r="G147" s="22" t="s">
        <v>821</v>
      </c>
      <c r="H147" s="22" t="s">
        <v>150</v>
      </c>
      <c r="I147" s="22" t="s">
        <v>151</v>
      </c>
      <c r="J147" s="22" t="s">
        <v>162</v>
      </c>
      <c r="K147" s="22" t="s">
        <v>82</v>
      </c>
      <c r="L147" s="54" t="s">
        <v>153</v>
      </c>
      <c r="M147" s="23" t="s">
        <v>153</v>
      </c>
      <c r="N147" s="24" t="s">
        <v>153</v>
      </c>
      <c r="O147" s="23" t="s">
        <v>153</v>
      </c>
      <c r="P147" s="23" t="s">
        <v>153</v>
      </c>
      <c r="Q147" s="23" t="s">
        <v>153</v>
      </c>
      <c r="R147" s="23" t="s">
        <v>153</v>
      </c>
      <c r="S147" s="23" t="s">
        <v>153</v>
      </c>
      <c r="T147" s="23" t="s">
        <v>153</v>
      </c>
      <c r="U147" s="24" t="s">
        <v>153</v>
      </c>
      <c r="V147" s="54" t="s">
        <v>153</v>
      </c>
      <c r="W147" s="23" t="s">
        <v>153</v>
      </c>
      <c r="X147" s="23" t="s">
        <v>153</v>
      </c>
      <c r="Y147" s="23" t="s">
        <v>153</v>
      </c>
      <c r="Z147" s="23" t="s">
        <v>153</v>
      </c>
      <c r="AA147" s="23" t="s">
        <v>153</v>
      </c>
      <c r="AB147" s="24" t="s">
        <v>153</v>
      </c>
      <c r="AC147" s="23" t="s">
        <v>153</v>
      </c>
      <c r="AD147" s="23" t="s">
        <v>153</v>
      </c>
      <c r="AE147" s="23" t="s">
        <v>153</v>
      </c>
      <c r="AF147" s="23" t="s">
        <v>153</v>
      </c>
      <c r="AG147" s="23" t="s">
        <v>153</v>
      </c>
      <c r="AH147" s="23" t="s">
        <v>153</v>
      </c>
      <c r="AI147" s="24" t="s">
        <v>153</v>
      </c>
      <c r="AJ147" s="23" t="s">
        <v>153</v>
      </c>
      <c r="AK147" s="23" t="s">
        <v>153</v>
      </c>
      <c r="AL147" s="23" t="s">
        <v>153</v>
      </c>
      <c r="AM147" s="23" t="s">
        <v>153</v>
      </c>
      <c r="AN147" s="24" t="s">
        <v>156</v>
      </c>
      <c r="AO147" s="24" t="s">
        <v>156</v>
      </c>
      <c r="AP147" s="23">
        <f>VALUE(0)</f>
        <v>0</v>
      </c>
      <c r="AQ147" s="23">
        <f>VALUE(0)</f>
        <v>0</v>
      </c>
      <c r="AR147" s="23">
        <f>VALUE(0)</f>
        <v>0</v>
      </c>
      <c r="AS147" s="23">
        <f>VALUE(0)</f>
        <v>0</v>
      </c>
      <c r="AT147" s="23">
        <f>VALUE(0)</f>
        <v>0</v>
      </c>
      <c r="AU147" s="23">
        <f>VALUE(0)</f>
        <v>0</v>
      </c>
      <c r="AV147" s="23">
        <f>VALUE(2.5)</f>
        <v>2.5</v>
      </c>
      <c r="AW147" s="23">
        <f>VALUE(0)</f>
        <v>0</v>
      </c>
      <c r="AX147" s="23" t="s">
        <v>171</v>
      </c>
      <c r="AY147" s="23" t="s">
        <v>412</v>
      </c>
      <c r="AZ147" s="23">
        <f>VALUE(0)</f>
        <v>0</v>
      </c>
      <c r="BA147" s="23">
        <f>VALUE(0)</f>
        <v>0</v>
      </c>
      <c r="BB147" s="23">
        <f>VALUE(0)</f>
        <v>0</v>
      </c>
      <c r="BC147" s="23">
        <f>VALUE(0)</f>
        <v>0</v>
      </c>
      <c r="BD147" s="23">
        <f>VALUE(0)</f>
        <v>0</v>
      </c>
      <c r="BE147" s="23">
        <f>VALUE(0)</f>
        <v>0</v>
      </c>
      <c r="BF147" s="23">
        <f>VALUE(0)</f>
        <v>0</v>
      </c>
      <c r="BG147" s="23">
        <f>VALUE(0)</f>
        <v>0</v>
      </c>
      <c r="BH147" s="23">
        <f>VALUE(0)</f>
        <v>0</v>
      </c>
      <c r="BI147" s="23">
        <f>VALUE(0)</f>
        <v>0</v>
      </c>
      <c r="BJ147" s="23">
        <f>VALUE(0)</f>
        <v>0</v>
      </c>
      <c r="BK147" s="12">
        <f>$AX$147*24</f>
        <v>5.833333333333333</v>
      </c>
      <c r="BL147" s="12">
        <f>$AY$147*24</f>
        <v>3.9666666666666668</v>
      </c>
      <c r="BM147" s="12">
        <f>$BJ$147*24</f>
        <v>0</v>
      </c>
      <c r="BN147" s="12">
        <f>VALUE($I$147)/100</f>
        <v>1</v>
      </c>
      <c r="BO147" s="12">
        <v>0</v>
      </c>
      <c r="BP147" s="12">
        <v>0</v>
      </c>
      <c r="BQ147" s="12">
        <v>0</v>
      </c>
      <c r="BR147" s="12">
        <v>0</v>
      </c>
      <c r="BS147" s="12">
        <v>0</v>
      </c>
      <c r="BT147" s="12">
        <v>0</v>
      </c>
      <c r="BU147" s="12">
        <v>0</v>
      </c>
      <c r="BV147" s="12">
        <v>0</v>
      </c>
      <c r="BW147" s="12">
        <v>0</v>
      </c>
      <c r="BX147" s="12">
        <v>0</v>
      </c>
      <c r="BY147" s="12">
        <v>0</v>
      </c>
      <c r="BZ147" s="12">
        <v>0</v>
      </c>
      <c r="CA147" s="12">
        <v>0</v>
      </c>
    </row>
    <row r="148" spans="1:79" hidden="1" x14ac:dyDescent="0.2">
      <c r="A148" s="12" t="s">
        <v>120</v>
      </c>
      <c r="B148" s="12" t="s">
        <v>123</v>
      </c>
      <c r="C148" s="12" t="s">
        <v>123</v>
      </c>
      <c r="D148" s="22" t="s">
        <v>413</v>
      </c>
      <c r="E148" s="22" t="s">
        <v>161</v>
      </c>
      <c r="F148" s="22" t="s">
        <v>822</v>
      </c>
      <c r="G148" s="22" t="s">
        <v>823</v>
      </c>
      <c r="H148" s="22" t="s">
        <v>150</v>
      </c>
      <c r="I148" s="22" t="s">
        <v>151</v>
      </c>
      <c r="J148" s="22" t="s">
        <v>162</v>
      </c>
      <c r="K148" s="22" t="s">
        <v>82</v>
      </c>
      <c r="L148" s="54" t="s">
        <v>153</v>
      </c>
      <c r="M148" s="23" t="s">
        <v>153</v>
      </c>
      <c r="N148" s="24" t="s">
        <v>153</v>
      </c>
      <c r="O148" s="23" t="s">
        <v>153</v>
      </c>
      <c r="P148" s="23" t="s">
        <v>153</v>
      </c>
      <c r="Q148" s="23" t="s">
        <v>153</v>
      </c>
      <c r="R148" s="23" t="s">
        <v>153</v>
      </c>
      <c r="S148" s="23" t="s">
        <v>153</v>
      </c>
      <c r="T148" s="23" t="s">
        <v>153</v>
      </c>
      <c r="U148" s="24" t="s">
        <v>153</v>
      </c>
      <c r="V148" s="54" t="s">
        <v>153</v>
      </c>
      <c r="W148" s="23" t="s">
        <v>153</v>
      </c>
      <c r="X148" s="35" t="s">
        <v>170</v>
      </c>
      <c r="Y148" s="35" t="s">
        <v>170</v>
      </c>
      <c r="Z148" s="35" t="s">
        <v>170</v>
      </c>
      <c r="AA148" s="23" t="s">
        <v>153</v>
      </c>
      <c r="AB148" s="24" t="s">
        <v>153</v>
      </c>
      <c r="AC148" s="33" t="s">
        <v>201</v>
      </c>
      <c r="AD148" s="33" t="s">
        <v>201</v>
      </c>
      <c r="AE148" s="33" t="s">
        <v>201</v>
      </c>
      <c r="AF148" s="33" t="s">
        <v>201</v>
      </c>
      <c r="AG148" s="24" t="s">
        <v>156</v>
      </c>
      <c r="AH148" s="24" t="s">
        <v>156</v>
      </c>
      <c r="AI148" s="24" t="s">
        <v>153</v>
      </c>
      <c r="AJ148" s="23" t="s">
        <v>153</v>
      </c>
      <c r="AK148" s="23" t="s">
        <v>153</v>
      </c>
      <c r="AL148" s="33" t="s">
        <v>201</v>
      </c>
      <c r="AM148" s="23" t="s">
        <v>153</v>
      </c>
      <c r="AN148" s="23" t="s">
        <v>153</v>
      </c>
      <c r="AO148" s="23" t="s">
        <v>153</v>
      </c>
      <c r="AP148" s="23">
        <f>VALUE(0)</f>
        <v>0</v>
      </c>
      <c r="AQ148" s="23">
        <f>VALUE(0)</f>
        <v>0</v>
      </c>
      <c r="AR148" s="23">
        <f>VALUE(0)</f>
        <v>0</v>
      </c>
      <c r="AS148" s="23">
        <f>VALUE(0)</f>
        <v>0</v>
      </c>
      <c r="AT148" s="23">
        <f>VALUE(0)</f>
        <v>0</v>
      </c>
      <c r="AU148" s="23">
        <f>VALUE(0)</f>
        <v>0</v>
      </c>
      <c r="AV148" s="23">
        <f>VALUE(8)</f>
        <v>8</v>
      </c>
      <c r="AW148" s="23">
        <f>VALUE(0)</f>
        <v>0</v>
      </c>
      <c r="AX148" s="23" t="s">
        <v>158</v>
      </c>
      <c r="AY148" s="23" t="s">
        <v>414</v>
      </c>
      <c r="AZ148" s="23">
        <f>VALUE(0)</f>
        <v>0</v>
      </c>
      <c r="BA148" s="23">
        <f>VALUE(0)</f>
        <v>0</v>
      </c>
      <c r="BB148" s="23">
        <f>VALUE(5)</f>
        <v>5</v>
      </c>
      <c r="BC148" s="23">
        <f>VALUE(0)</f>
        <v>0</v>
      </c>
      <c r="BD148" s="23">
        <f>VALUE(0)</f>
        <v>0</v>
      </c>
      <c r="BE148" s="23">
        <f>VALUE(3)</f>
        <v>3</v>
      </c>
      <c r="BF148" s="23">
        <f>VALUE(0)</f>
        <v>0</v>
      </c>
      <c r="BG148" s="23">
        <f>VALUE(0)</f>
        <v>0</v>
      </c>
      <c r="BH148" s="23">
        <f>VALUE(0)</f>
        <v>0</v>
      </c>
      <c r="BI148" s="23">
        <f>VALUE(0)</f>
        <v>0</v>
      </c>
      <c r="BJ148" s="23">
        <f>VALUE(0)</f>
        <v>0</v>
      </c>
      <c r="BK148" s="12">
        <f>$AX$148*24</f>
        <v>11.666666666666666</v>
      </c>
      <c r="BL148" s="12">
        <f>$AY$148*24</f>
        <v>36.4</v>
      </c>
      <c r="BM148" s="12">
        <f>$BJ$148*24</f>
        <v>0</v>
      </c>
      <c r="BN148" s="12">
        <f>VALUE($I$148)/100</f>
        <v>1</v>
      </c>
      <c r="BO148" s="12">
        <v>0</v>
      </c>
      <c r="BP148" s="12">
        <v>0</v>
      </c>
      <c r="BQ148" s="12">
        <v>0</v>
      </c>
      <c r="BR148" s="12">
        <v>0</v>
      </c>
      <c r="BS148" s="12">
        <v>0</v>
      </c>
      <c r="BT148" s="12">
        <v>0</v>
      </c>
      <c r="BU148" s="12">
        <v>0</v>
      </c>
      <c r="BV148" s="12">
        <v>0</v>
      </c>
      <c r="BW148" s="12">
        <v>0</v>
      </c>
      <c r="BX148" s="12">
        <v>0</v>
      </c>
      <c r="BY148" s="12">
        <v>0</v>
      </c>
      <c r="BZ148" s="12">
        <v>0</v>
      </c>
      <c r="CA148" s="12">
        <v>0</v>
      </c>
    </row>
    <row r="149" spans="1:79" hidden="1" x14ac:dyDescent="0.2">
      <c r="A149" s="12" t="s">
        <v>120</v>
      </c>
      <c r="B149" s="12" t="s">
        <v>123</v>
      </c>
      <c r="C149" s="12" t="s">
        <v>123</v>
      </c>
      <c r="D149" s="22" t="s">
        <v>1220</v>
      </c>
      <c r="E149" s="22" t="s">
        <v>159</v>
      </c>
      <c r="F149" s="22" t="s">
        <v>824</v>
      </c>
      <c r="G149" s="22" t="s">
        <v>825</v>
      </c>
      <c r="H149" s="22" t="s">
        <v>150</v>
      </c>
      <c r="I149" s="22" t="s">
        <v>151</v>
      </c>
      <c r="J149" s="22" t="s">
        <v>162</v>
      </c>
      <c r="K149" s="22" t="s">
        <v>82</v>
      </c>
      <c r="L149" s="54" t="s">
        <v>153</v>
      </c>
      <c r="M149" s="23" t="s">
        <v>153</v>
      </c>
      <c r="N149" s="24" t="s">
        <v>153</v>
      </c>
      <c r="O149" s="23" t="s">
        <v>153</v>
      </c>
      <c r="P149" s="23" t="s">
        <v>153</v>
      </c>
      <c r="Q149" s="23" t="s">
        <v>153</v>
      </c>
      <c r="R149" s="23" t="s">
        <v>153</v>
      </c>
      <c r="S149" s="24" t="s">
        <v>156</v>
      </c>
      <c r="T149" s="24" t="s">
        <v>156</v>
      </c>
      <c r="U149" s="24" t="s">
        <v>153</v>
      </c>
      <c r="V149" s="54" t="s">
        <v>153</v>
      </c>
      <c r="W149" s="23" t="s">
        <v>153</v>
      </c>
      <c r="X149" s="23" t="s">
        <v>153</v>
      </c>
      <c r="Y149" s="23" t="s">
        <v>153</v>
      </c>
      <c r="Z149" s="23" t="s">
        <v>153</v>
      </c>
      <c r="AA149" s="23" t="s">
        <v>153</v>
      </c>
      <c r="AB149" s="24" t="s">
        <v>153</v>
      </c>
      <c r="AC149" s="23" t="s">
        <v>153</v>
      </c>
      <c r="AD149" s="23" t="s">
        <v>153</v>
      </c>
      <c r="AE149" s="23" t="s">
        <v>153</v>
      </c>
      <c r="AF149" s="23" t="s">
        <v>153</v>
      </c>
      <c r="AG149" s="23" t="s">
        <v>153</v>
      </c>
      <c r="AH149" s="23" t="s">
        <v>153</v>
      </c>
      <c r="AI149" s="24" t="s">
        <v>153</v>
      </c>
      <c r="AJ149" s="23" t="s">
        <v>153</v>
      </c>
      <c r="AK149" s="23" t="s">
        <v>153</v>
      </c>
      <c r="AL149" s="23" t="s">
        <v>153</v>
      </c>
      <c r="AM149" s="23" t="s">
        <v>153</v>
      </c>
      <c r="AN149" s="23" t="s">
        <v>153</v>
      </c>
      <c r="AO149" s="23" t="s">
        <v>153</v>
      </c>
      <c r="AP149" s="23">
        <f>VALUE(0)</f>
        <v>0</v>
      </c>
      <c r="AQ149" s="23">
        <f>VALUE(0)</f>
        <v>0</v>
      </c>
      <c r="AR149" s="23">
        <f>VALUE(0)</f>
        <v>0</v>
      </c>
      <c r="AS149" s="23">
        <f>VALUE(22)</f>
        <v>22</v>
      </c>
      <c r="AT149" s="23">
        <f>VALUE(0)</f>
        <v>0</v>
      </c>
      <c r="AU149" s="23">
        <f>VALUE(0)</f>
        <v>0</v>
      </c>
      <c r="AV149" s="23">
        <f>VALUE(2)</f>
        <v>2</v>
      </c>
      <c r="AW149" s="23">
        <f>VALUE(0)</f>
        <v>0</v>
      </c>
      <c r="AX149" s="23" t="s">
        <v>171</v>
      </c>
      <c r="AY149" s="23">
        <f>VALUE(0)</f>
        <v>0</v>
      </c>
      <c r="AZ149" s="23">
        <f>VALUE(0)</f>
        <v>0</v>
      </c>
      <c r="BA149" s="23">
        <f>VALUE(0)</f>
        <v>0</v>
      </c>
      <c r="BB149" s="23">
        <f>VALUE(0)</f>
        <v>0</v>
      </c>
      <c r="BC149" s="23">
        <f>VALUE(0)</f>
        <v>0</v>
      </c>
      <c r="BD149" s="23">
        <f>VALUE(0)</f>
        <v>0</v>
      </c>
      <c r="BE149" s="23">
        <f>VALUE(0)</f>
        <v>0</v>
      </c>
      <c r="BF149" s="23">
        <f>VALUE(0)</f>
        <v>0</v>
      </c>
      <c r="BG149" s="23">
        <f>VALUE(0)</f>
        <v>0</v>
      </c>
      <c r="BH149" s="23">
        <f>VALUE(0)</f>
        <v>0</v>
      </c>
      <c r="BI149" s="23">
        <f>VALUE(0)</f>
        <v>0</v>
      </c>
      <c r="BJ149" s="23">
        <f>VALUE(0)</f>
        <v>0</v>
      </c>
      <c r="BK149" s="12">
        <f>$AX$149*24</f>
        <v>5.833333333333333</v>
      </c>
      <c r="BL149" s="12">
        <f>$AY$149*24</f>
        <v>0</v>
      </c>
      <c r="BM149" s="12">
        <f>$BJ$149*24</f>
        <v>0</v>
      </c>
      <c r="BN149" s="12">
        <f>VALUE($I$149)/100</f>
        <v>1</v>
      </c>
      <c r="BO149" s="12">
        <v>0</v>
      </c>
      <c r="BP149" s="12">
        <v>0</v>
      </c>
      <c r="BQ149" s="12">
        <v>0</v>
      </c>
      <c r="BR149" s="12">
        <v>0</v>
      </c>
      <c r="BS149" s="12">
        <v>0</v>
      </c>
      <c r="BT149" s="12">
        <v>0</v>
      </c>
      <c r="BU149" s="12">
        <v>0</v>
      </c>
      <c r="BV149" s="12">
        <v>0</v>
      </c>
      <c r="BW149" s="12">
        <v>0</v>
      </c>
      <c r="BX149" s="12">
        <v>0</v>
      </c>
      <c r="BY149" s="12">
        <v>0</v>
      </c>
      <c r="BZ149" s="12">
        <v>0</v>
      </c>
      <c r="CA149" s="12">
        <v>0</v>
      </c>
    </row>
    <row r="150" spans="1:79" ht="15" hidden="1" x14ac:dyDescent="0.25">
      <c r="A150" s="12" t="s">
        <v>120</v>
      </c>
      <c r="B150" s="12" t="s">
        <v>123</v>
      </c>
      <c r="C150" s="12" t="s">
        <v>123</v>
      </c>
      <c r="D150" s="31" t="s">
        <v>323</v>
      </c>
      <c r="E150" s="31" t="s">
        <v>153</v>
      </c>
      <c r="F150" s="31" t="s">
        <v>175</v>
      </c>
      <c r="G150" s="31" t="s">
        <v>153</v>
      </c>
      <c r="H150" s="31" t="s">
        <v>153</v>
      </c>
      <c r="I150" s="31" t="s">
        <v>153</v>
      </c>
      <c r="J150" s="31" t="s">
        <v>153</v>
      </c>
      <c r="K150" s="31" t="s">
        <v>153</v>
      </c>
      <c r="L150" s="31">
        <f>VALUE(0)</f>
        <v>0</v>
      </c>
      <c r="M150" s="31">
        <f>VALUE(5)</f>
        <v>5</v>
      </c>
      <c r="N150" s="31">
        <f>VALUE(0)</f>
        <v>0</v>
      </c>
      <c r="O150" s="31">
        <f>VALUE(4)</f>
        <v>4</v>
      </c>
      <c r="P150" s="31">
        <f>VALUE(4)</f>
        <v>4</v>
      </c>
      <c r="Q150" s="31">
        <f>VALUE(5)</f>
        <v>5</v>
      </c>
      <c r="R150" s="31">
        <f>VALUE(5)</f>
        <v>5</v>
      </c>
      <c r="S150" s="31">
        <f>VALUE(4)</f>
        <v>4</v>
      </c>
      <c r="T150" s="31">
        <f>VALUE(4)</f>
        <v>4</v>
      </c>
      <c r="U150" s="31">
        <f>VALUE(0)</f>
        <v>0</v>
      </c>
      <c r="V150" s="31">
        <f>VALUE(0)</f>
        <v>0</v>
      </c>
      <c r="W150" s="31">
        <f>VALUE(6)</f>
        <v>6</v>
      </c>
      <c r="X150" s="31">
        <f>VALUE(4)</f>
        <v>4</v>
      </c>
      <c r="Y150" s="31">
        <f>VALUE(4)</f>
        <v>4</v>
      </c>
      <c r="Z150" s="31">
        <f>VALUE(5)</f>
        <v>5</v>
      </c>
      <c r="AA150" s="31">
        <f>VALUE(6)</f>
        <v>6</v>
      </c>
      <c r="AB150" s="31">
        <f>VALUE(0)</f>
        <v>0</v>
      </c>
      <c r="AC150" s="31">
        <f>VALUE(4)</f>
        <v>4</v>
      </c>
      <c r="AD150" s="31">
        <f>VALUE(5)</f>
        <v>5</v>
      </c>
      <c r="AE150" s="31">
        <f>VALUE(4)</f>
        <v>4</v>
      </c>
      <c r="AF150" s="31">
        <f>VALUE(4)</f>
        <v>4</v>
      </c>
      <c r="AG150" s="31">
        <f>VALUE(3)</f>
        <v>3</v>
      </c>
      <c r="AH150" s="31">
        <f>VALUE(4)</f>
        <v>4</v>
      </c>
      <c r="AI150" s="31">
        <f>VALUE(0)</f>
        <v>0</v>
      </c>
      <c r="AJ150" s="31">
        <f>VALUE(5)</f>
        <v>5</v>
      </c>
      <c r="AK150" s="31">
        <f>VALUE(5)</f>
        <v>5</v>
      </c>
      <c r="AL150" s="31">
        <f>VALUE(4)</f>
        <v>4</v>
      </c>
      <c r="AM150" s="31">
        <f>VALUE(5)</f>
        <v>5</v>
      </c>
      <c r="AN150" s="31">
        <f>VALUE(4)</f>
        <v>4</v>
      </c>
      <c r="AO150" s="31">
        <f>VALUE(4)</f>
        <v>4</v>
      </c>
      <c r="AP150" s="31">
        <v>0</v>
      </c>
      <c r="AQ150" s="31">
        <v>0</v>
      </c>
      <c r="AR150" s="31">
        <v>0</v>
      </c>
      <c r="AS150" s="31">
        <v>0</v>
      </c>
      <c r="AT150" s="31">
        <v>0</v>
      </c>
      <c r="AU150" s="31">
        <v>0</v>
      </c>
      <c r="AV150" s="31">
        <v>0</v>
      </c>
      <c r="AW150" s="31">
        <v>0</v>
      </c>
      <c r="AX150" s="31">
        <v>0</v>
      </c>
      <c r="AY150" s="31">
        <v>0</v>
      </c>
      <c r="AZ150" s="31">
        <v>0</v>
      </c>
      <c r="BA150" s="31">
        <v>0</v>
      </c>
      <c r="BB150" s="31">
        <v>0</v>
      </c>
      <c r="BC150" s="31">
        <v>0</v>
      </c>
      <c r="BD150" s="31">
        <v>0</v>
      </c>
      <c r="BE150" s="31">
        <v>0</v>
      </c>
      <c r="BF150" s="31">
        <v>0</v>
      </c>
      <c r="BG150" s="31">
        <v>0</v>
      </c>
      <c r="BH150" s="31">
        <v>0</v>
      </c>
      <c r="BI150" s="31">
        <v>0</v>
      </c>
      <c r="BJ150" s="31">
        <v>0</v>
      </c>
      <c r="BK150" s="12">
        <v>0</v>
      </c>
      <c r="BL150" s="12">
        <v>0</v>
      </c>
      <c r="BM150" s="12">
        <v>0</v>
      </c>
      <c r="BN150" s="12"/>
      <c r="BO150" s="12">
        <v>0</v>
      </c>
      <c r="BP150" s="12">
        <v>0</v>
      </c>
      <c r="BQ150" s="12">
        <v>0</v>
      </c>
      <c r="BR150" s="12">
        <v>0</v>
      </c>
      <c r="BS150" s="12">
        <v>0</v>
      </c>
      <c r="BT150" s="12">
        <v>0</v>
      </c>
      <c r="BU150" s="12">
        <v>0</v>
      </c>
      <c r="BV150" s="12">
        <v>0</v>
      </c>
      <c r="BW150" s="12">
        <v>0</v>
      </c>
      <c r="BX150" s="12">
        <v>0</v>
      </c>
      <c r="BY150" s="12">
        <v>0</v>
      </c>
      <c r="BZ150" s="12">
        <v>0</v>
      </c>
      <c r="CA150" s="12">
        <v>0</v>
      </c>
    </row>
    <row r="151" spans="1:79" hidden="1" x14ac:dyDescent="0.2">
      <c r="A151" s="12" t="s">
        <v>120</v>
      </c>
      <c r="B151" s="12" t="s">
        <v>124</v>
      </c>
      <c r="C151" s="12" t="s">
        <v>124</v>
      </c>
      <c r="D151" s="22" t="s">
        <v>388</v>
      </c>
      <c r="E151" s="22" t="s">
        <v>161</v>
      </c>
      <c r="F151" s="22" t="s">
        <v>826</v>
      </c>
      <c r="G151" s="22" t="s">
        <v>827</v>
      </c>
      <c r="H151" s="22" t="s">
        <v>150</v>
      </c>
      <c r="I151" s="22" t="s">
        <v>151</v>
      </c>
      <c r="J151" s="22" t="s">
        <v>162</v>
      </c>
      <c r="K151" s="22" t="s">
        <v>83</v>
      </c>
      <c r="L151" s="54" t="s">
        <v>153</v>
      </c>
      <c r="M151" s="32" t="s">
        <v>416</v>
      </c>
      <c r="N151" s="24" t="s">
        <v>153</v>
      </c>
      <c r="O151" s="23" t="s">
        <v>153</v>
      </c>
      <c r="P151" s="23" t="s">
        <v>153</v>
      </c>
      <c r="Q151" s="23" t="s">
        <v>153</v>
      </c>
      <c r="R151" s="23" t="s">
        <v>153</v>
      </c>
      <c r="S151" s="23" t="s">
        <v>153</v>
      </c>
      <c r="T151" s="23" t="s">
        <v>153</v>
      </c>
      <c r="U151" s="24" t="s">
        <v>153</v>
      </c>
      <c r="V151" s="54" t="s">
        <v>153</v>
      </c>
      <c r="W151" s="25" t="s">
        <v>393</v>
      </c>
      <c r="X151" s="25" t="s">
        <v>393</v>
      </c>
      <c r="Y151" s="25" t="s">
        <v>393</v>
      </c>
      <c r="Z151" s="25" t="s">
        <v>393</v>
      </c>
      <c r="AA151" s="25" t="s">
        <v>393</v>
      </c>
      <c r="AB151" s="24" t="s">
        <v>153</v>
      </c>
      <c r="AC151" s="25" t="s">
        <v>393</v>
      </c>
      <c r="AD151" s="25" t="s">
        <v>393</v>
      </c>
      <c r="AE151" s="25" t="s">
        <v>393</v>
      </c>
      <c r="AF151" s="25" t="s">
        <v>393</v>
      </c>
      <c r="AG151" s="25" t="s">
        <v>393</v>
      </c>
      <c r="AH151" s="25" t="s">
        <v>393</v>
      </c>
      <c r="AI151" s="24" t="s">
        <v>153</v>
      </c>
      <c r="AJ151" s="25" t="s">
        <v>393</v>
      </c>
      <c r="AK151" s="25" t="s">
        <v>393</v>
      </c>
      <c r="AL151" s="25" t="s">
        <v>393</v>
      </c>
      <c r="AM151" s="25" t="s">
        <v>393</v>
      </c>
      <c r="AN151" s="25" t="s">
        <v>393</v>
      </c>
      <c r="AO151" s="25" t="s">
        <v>393</v>
      </c>
      <c r="AP151" s="23">
        <f>VALUE(0)</f>
        <v>0</v>
      </c>
      <c r="AQ151" s="23">
        <f>VALUE(0)</f>
        <v>0</v>
      </c>
      <c r="AR151" s="23">
        <f>VALUE(0)</f>
        <v>0</v>
      </c>
      <c r="AS151" s="23">
        <f>VALUE(0)</f>
        <v>0</v>
      </c>
      <c r="AT151" s="23">
        <f>VALUE(0)</f>
        <v>0</v>
      </c>
      <c r="AU151" s="23">
        <f>VALUE(0)</f>
        <v>0</v>
      </c>
      <c r="AV151" s="23">
        <f>VALUE(11)</f>
        <v>11</v>
      </c>
      <c r="AW151" s="23">
        <f>VALUE(0)</f>
        <v>0</v>
      </c>
      <c r="AX151" s="23" t="s">
        <v>171</v>
      </c>
      <c r="AY151" s="23" t="s">
        <v>417</v>
      </c>
      <c r="AZ151" s="23">
        <f>VALUE(0)</f>
        <v>0</v>
      </c>
      <c r="BA151" s="23">
        <f>VALUE(1)</f>
        <v>1</v>
      </c>
      <c r="BB151" s="23">
        <f>VALUE(0)</f>
        <v>0</v>
      </c>
      <c r="BC151" s="23">
        <f>VALUE(0)</f>
        <v>0</v>
      </c>
      <c r="BD151" s="23">
        <f>VALUE(0)</f>
        <v>0</v>
      </c>
      <c r="BE151" s="23">
        <f>VALUE(0)</f>
        <v>0</v>
      </c>
      <c r="BF151" s="23">
        <f>VALUE(0)</f>
        <v>0</v>
      </c>
      <c r="BG151" s="23">
        <f>VALUE(0)</f>
        <v>0</v>
      </c>
      <c r="BH151" s="23">
        <f>VALUE(0)</f>
        <v>0</v>
      </c>
      <c r="BI151" s="23">
        <f>VALUE(0)</f>
        <v>0</v>
      </c>
      <c r="BJ151" s="23">
        <f>VALUE(0)</f>
        <v>0</v>
      </c>
      <c r="BK151" s="12">
        <f>$AX$151*24</f>
        <v>5.833333333333333</v>
      </c>
      <c r="BL151" s="12">
        <f>$AY$151*24</f>
        <v>16.533333333333335</v>
      </c>
      <c r="BM151" s="12">
        <f>$BJ$151*24</f>
        <v>0</v>
      </c>
      <c r="BN151" s="12">
        <f>VALUE($I$151)/100</f>
        <v>1</v>
      </c>
      <c r="BO151" s="12">
        <v>0</v>
      </c>
      <c r="BP151" s="12">
        <v>0</v>
      </c>
      <c r="BQ151" s="12">
        <v>0</v>
      </c>
      <c r="BR151" s="12">
        <v>0</v>
      </c>
      <c r="BS151" s="12">
        <v>0</v>
      </c>
      <c r="BT151" s="12">
        <v>0</v>
      </c>
      <c r="BU151" s="12">
        <v>0</v>
      </c>
      <c r="BV151" s="12">
        <v>0</v>
      </c>
      <c r="BW151" s="12">
        <v>0</v>
      </c>
      <c r="BX151" s="12">
        <v>0</v>
      </c>
      <c r="BY151" s="12">
        <v>0</v>
      </c>
      <c r="BZ151" s="12">
        <v>0</v>
      </c>
      <c r="CA151" s="12">
        <v>0</v>
      </c>
    </row>
    <row r="152" spans="1:79" hidden="1" x14ac:dyDescent="0.2">
      <c r="A152" s="12" t="s">
        <v>120</v>
      </c>
      <c r="B152" s="12" t="s">
        <v>124</v>
      </c>
      <c r="C152" s="12" t="s">
        <v>124</v>
      </c>
      <c r="D152" s="22" t="s">
        <v>418</v>
      </c>
      <c r="E152" s="22" t="s">
        <v>161</v>
      </c>
      <c r="F152" s="22" t="s">
        <v>828</v>
      </c>
      <c r="G152" s="22" t="s">
        <v>829</v>
      </c>
      <c r="H152" s="22" t="s">
        <v>166</v>
      </c>
      <c r="I152" s="22" t="s">
        <v>151</v>
      </c>
      <c r="J152" s="22" t="s">
        <v>162</v>
      </c>
      <c r="K152" s="22" t="s">
        <v>83</v>
      </c>
      <c r="L152" s="54" t="s">
        <v>153</v>
      </c>
      <c r="M152" s="23" t="s">
        <v>153</v>
      </c>
      <c r="N152" s="24" t="s">
        <v>153</v>
      </c>
      <c r="O152" s="24" t="s">
        <v>156</v>
      </c>
      <c r="P152" s="24" t="s">
        <v>156</v>
      </c>
      <c r="Q152" s="23" t="s">
        <v>153</v>
      </c>
      <c r="R152" s="23" t="s">
        <v>153</v>
      </c>
      <c r="S152" s="23" t="s">
        <v>153</v>
      </c>
      <c r="T152" s="23" t="s">
        <v>153</v>
      </c>
      <c r="U152" s="24" t="s">
        <v>153</v>
      </c>
      <c r="V152" s="54" t="s">
        <v>153</v>
      </c>
      <c r="W152" s="23" t="s">
        <v>153</v>
      </c>
      <c r="X152" s="23" t="s">
        <v>153</v>
      </c>
      <c r="Y152" s="23" t="s">
        <v>153</v>
      </c>
      <c r="Z152" s="23" t="s">
        <v>153</v>
      </c>
      <c r="AA152" s="23" t="s">
        <v>153</v>
      </c>
      <c r="AB152" s="24" t="s">
        <v>153</v>
      </c>
      <c r="AC152" s="23" t="s">
        <v>153</v>
      </c>
      <c r="AD152" s="23" t="s">
        <v>153</v>
      </c>
      <c r="AE152" s="23" t="s">
        <v>153</v>
      </c>
      <c r="AF152" s="23" t="s">
        <v>153</v>
      </c>
      <c r="AG152" s="23" t="s">
        <v>153</v>
      </c>
      <c r="AH152" s="23" t="s">
        <v>153</v>
      </c>
      <c r="AI152" s="24" t="s">
        <v>153</v>
      </c>
      <c r="AJ152" s="28" t="s">
        <v>163</v>
      </c>
      <c r="AK152" s="28" t="s">
        <v>163</v>
      </c>
      <c r="AL152" s="23" t="s">
        <v>153</v>
      </c>
      <c r="AM152" s="23" t="s">
        <v>153</v>
      </c>
      <c r="AN152" s="23" t="s">
        <v>153</v>
      </c>
      <c r="AO152" s="23" t="s">
        <v>153</v>
      </c>
      <c r="AP152" s="23">
        <f>VALUE(0)</f>
        <v>0</v>
      </c>
      <c r="AQ152" s="23">
        <f>VALUE(0)</f>
        <v>0</v>
      </c>
      <c r="AR152" s="23">
        <f>VALUE(0)</f>
        <v>0</v>
      </c>
      <c r="AS152" s="23">
        <f>VALUE(0)</f>
        <v>0</v>
      </c>
      <c r="AT152" s="23">
        <f>VALUE(0)</f>
        <v>0</v>
      </c>
      <c r="AU152" s="23">
        <f>VALUE(2)</f>
        <v>2</v>
      </c>
      <c r="AV152" s="23">
        <f>VALUE(1)</f>
        <v>1</v>
      </c>
      <c r="AW152" s="23">
        <f>VALUE(0)</f>
        <v>0</v>
      </c>
      <c r="AX152" s="23" t="s">
        <v>1221</v>
      </c>
      <c r="AY152" s="23">
        <f>VALUE(0)</f>
        <v>0</v>
      </c>
      <c r="AZ152" s="23">
        <f>VALUE(0)</f>
        <v>0</v>
      </c>
      <c r="BA152" s="23">
        <f>VALUE(0)</f>
        <v>0</v>
      </c>
      <c r="BB152" s="23">
        <f>VALUE(0)</f>
        <v>0</v>
      </c>
      <c r="BC152" s="23">
        <f>VALUE(0)</f>
        <v>0</v>
      </c>
      <c r="BD152" s="23">
        <f>VALUE(0)</f>
        <v>0</v>
      </c>
      <c r="BE152" s="23">
        <f>VALUE(0)</f>
        <v>0</v>
      </c>
      <c r="BF152" s="23">
        <f>VALUE(0)</f>
        <v>0</v>
      </c>
      <c r="BG152" s="23">
        <f>VALUE(0)</f>
        <v>0</v>
      </c>
      <c r="BH152" s="23">
        <f>VALUE(0)</f>
        <v>0</v>
      </c>
      <c r="BI152" s="23">
        <f>VALUE(0)</f>
        <v>0</v>
      </c>
      <c r="BJ152" s="23">
        <f>VALUE(0)</f>
        <v>0</v>
      </c>
      <c r="BK152" s="12">
        <f>$AX$152*24</f>
        <v>47.85</v>
      </c>
      <c r="BL152" s="12">
        <f>$AY$152*24</f>
        <v>0</v>
      </c>
      <c r="BM152" s="12">
        <f>$BJ$152*24</f>
        <v>0</v>
      </c>
      <c r="BN152" s="12">
        <f>VALUE($I$152)/100</f>
        <v>1</v>
      </c>
      <c r="BO152" s="12">
        <v>0</v>
      </c>
      <c r="BP152" s="12">
        <v>0</v>
      </c>
      <c r="BQ152" s="12">
        <v>0</v>
      </c>
      <c r="BR152" s="12">
        <v>0</v>
      </c>
      <c r="BS152" s="12">
        <v>0</v>
      </c>
      <c r="BT152" s="12">
        <v>0</v>
      </c>
      <c r="BU152" s="12">
        <v>0</v>
      </c>
      <c r="BV152" s="12">
        <v>0</v>
      </c>
      <c r="BW152" s="12">
        <v>0</v>
      </c>
      <c r="BX152" s="12">
        <v>0</v>
      </c>
      <c r="BY152" s="12">
        <v>0</v>
      </c>
      <c r="BZ152" s="12">
        <v>0</v>
      </c>
      <c r="CA152" s="12">
        <v>0</v>
      </c>
    </row>
    <row r="153" spans="1:79" hidden="1" x14ac:dyDescent="0.2">
      <c r="A153" s="12" t="s">
        <v>120</v>
      </c>
      <c r="B153" s="12" t="s">
        <v>124</v>
      </c>
      <c r="C153" s="12" t="s">
        <v>124</v>
      </c>
      <c r="D153" s="22" t="s">
        <v>419</v>
      </c>
      <c r="E153" s="22" t="s">
        <v>161</v>
      </c>
      <c r="F153" s="22" t="s">
        <v>1222</v>
      </c>
      <c r="G153" s="22" t="s">
        <v>830</v>
      </c>
      <c r="H153" s="22" t="s">
        <v>150</v>
      </c>
      <c r="I153" s="22" t="s">
        <v>151</v>
      </c>
      <c r="J153" s="22" t="s">
        <v>162</v>
      </c>
      <c r="K153" s="22" t="s">
        <v>83</v>
      </c>
      <c r="L153" s="54" t="s">
        <v>153</v>
      </c>
      <c r="M153" s="23" t="s">
        <v>153</v>
      </c>
      <c r="N153" s="24" t="s">
        <v>153</v>
      </c>
      <c r="O153" s="28" t="s">
        <v>163</v>
      </c>
      <c r="P153" s="28" t="s">
        <v>163</v>
      </c>
      <c r="Q153" s="28" t="s">
        <v>163</v>
      </c>
      <c r="R153" s="28" t="s">
        <v>163</v>
      </c>
      <c r="S153" s="28" t="s">
        <v>163</v>
      </c>
      <c r="T153" s="28" t="s">
        <v>163</v>
      </c>
      <c r="U153" s="24" t="s">
        <v>153</v>
      </c>
      <c r="V153" s="54" t="s">
        <v>153</v>
      </c>
      <c r="W153" s="23" t="s">
        <v>153</v>
      </c>
      <c r="X153" s="23" t="s">
        <v>153</v>
      </c>
      <c r="Y153" s="23" t="s">
        <v>153</v>
      </c>
      <c r="Z153" s="23" t="s">
        <v>153</v>
      </c>
      <c r="AA153" s="23" t="s">
        <v>153</v>
      </c>
      <c r="AB153" s="24" t="s">
        <v>153</v>
      </c>
      <c r="AC153" s="23" t="s">
        <v>153</v>
      </c>
      <c r="AD153" s="23" t="s">
        <v>153</v>
      </c>
      <c r="AE153" s="23" t="s">
        <v>153</v>
      </c>
      <c r="AF153" s="23" t="s">
        <v>153</v>
      </c>
      <c r="AG153" s="23" t="s">
        <v>153</v>
      </c>
      <c r="AH153" s="23" t="s">
        <v>153</v>
      </c>
      <c r="AI153" s="24" t="s">
        <v>153</v>
      </c>
      <c r="AJ153" s="23" t="s">
        <v>153</v>
      </c>
      <c r="AK153" s="23" t="s">
        <v>153</v>
      </c>
      <c r="AL153" s="24" t="s">
        <v>156</v>
      </c>
      <c r="AM153" s="24" t="s">
        <v>156</v>
      </c>
      <c r="AN153" s="23" t="s">
        <v>153</v>
      </c>
      <c r="AO153" s="23" t="s">
        <v>153</v>
      </c>
      <c r="AP153" s="23">
        <f>VALUE(0)</f>
        <v>0</v>
      </c>
      <c r="AQ153" s="23">
        <f>VALUE(0)</f>
        <v>0</v>
      </c>
      <c r="AR153" s="23">
        <f>VALUE(0)</f>
        <v>0</v>
      </c>
      <c r="AS153" s="23">
        <f>VALUE(0)</f>
        <v>0</v>
      </c>
      <c r="AT153" s="23">
        <f>VALUE(0)</f>
        <v>0</v>
      </c>
      <c r="AU153" s="23">
        <f>VALUE(6)</f>
        <v>6</v>
      </c>
      <c r="AV153" s="23">
        <f>VALUE(5)</f>
        <v>5</v>
      </c>
      <c r="AW153" s="23">
        <f>VALUE(0)</f>
        <v>0</v>
      </c>
      <c r="AX153" s="23" t="s">
        <v>171</v>
      </c>
      <c r="AY153" s="23" t="s">
        <v>1223</v>
      </c>
      <c r="AZ153" s="23">
        <f>VALUE(0)</f>
        <v>0</v>
      </c>
      <c r="BA153" s="23">
        <f>VALUE(0)</f>
        <v>0</v>
      </c>
      <c r="BB153" s="23">
        <f>VALUE(0)</f>
        <v>0</v>
      </c>
      <c r="BC153" s="23">
        <f>VALUE(0)</f>
        <v>0</v>
      </c>
      <c r="BD153" s="23">
        <f>VALUE(0)</f>
        <v>0</v>
      </c>
      <c r="BE153" s="23">
        <f>VALUE(0)</f>
        <v>0</v>
      </c>
      <c r="BF153" s="23">
        <f>VALUE(0)</f>
        <v>0</v>
      </c>
      <c r="BG153" s="23">
        <f>VALUE(0)</f>
        <v>0</v>
      </c>
      <c r="BH153" s="23">
        <f>VALUE(0)</f>
        <v>0</v>
      </c>
      <c r="BI153" s="23">
        <f>VALUE(0)</f>
        <v>0</v>
      </c>
      <c r="BJ153" s="23">
        <f>VALUE(0)</f>
        <v>0</v>
      </c>
      <c r="BK153" s="12">
        <f>$AX$153*24</f>
        <v>5.833333333333333</v>
      </c>
      <c r="BL153" s="12">
        <f>$AY$153*24</f>
        <v>58.3</v>
      </c>
      <c r="BM153" s="12">
        <f>$BJ$153*24</f>
        <v>0</v>
      </c>
      <c r="BN153" s="12">
        <f>VALUE($I$153)/100</f>
        <v>1</v>
      </c>
      <c r="BO153" s="12">
        <v>0</v>
      </c>
      <c r="BP153" s="12">
        <v>0</v>
      </c>
      <c r="BQ153" s="12">
        <v>0</v>
      </c>
      <c r="BR153" s="12">
        <v>0</v>
      </c>
      <c r="BS153" s="12">
        <v>0</v>
      </c>
      <c r="BT153" s="12">
        <v>0</v>
      </c>
      <c r="BU153" s="12">
        <v>0</v>
      </c>
      <c r="BV153" s="12">
        <v>0</v>
      </c>
      <c r="BW153" s="12">
        <v>0</v>
      </c>
      <c r="BX153" s="12">
        <v>0</v>
      </c>
      <c r="BY153" s="12">
        <v>0</v>
      </c>
      <c r="BZ153" s="12">
        <v>0</v>
      </c>
      <c r="CA153" s="12">
        <v>0</v>
      </c>
    </row>
    <row r="154" spans="1:79" hidden="1" x14ac:dyDescent="0.2">
      <c r="A154" s="12" t="s">
        <v>120</v>
      </c>
      <c r="B154" s="12" t="s">
        <v>124</v>
      </c>
      <c r="C154" s="12" t="s">
        <v>124</v>
      </c>
      <c r="D154" s="22" t="s">
        <v>376</v>
      </c>
      <c r="E154" s="22" t="s">
        <v>161</v>
      </c>
      <c r="F154" s="22" t="s">
        <v>831</v>
      </c>
      <c r="G154" s="22" t="s">
        <v>832</v>
      </c>
      <c r="H154" s="22" t="s">
        <v>242</v>
      </c>
      <c r="I154" s="22" t="s">
        <v>151</v>
      </c>
      <c r="J154" s="22" t="s">
        <v>162</v>
      </c>
      <c r="K154" s="22" t="s">
        <v>83</v>
      </c>
      <c r="L154" s="54" t="s">
        <v>153</v>
      </c>
      <c r="M154" s="23" t="s">
        <v>153</v>
      </c>
      <c r="N154" s="24" t="s">
        <v>153</v>
      </c>
      <c r="O154" s="23" t="s">
        <v>153</v>
      </c>
      <c r="P154" s="23" t="s">
        <v>153</v>
      </c>
      <c r="Q154" s="23" t="s">
        <v>153</v>
      </c>
      <c r="R154" s="23" t="s">
        <v>153</v>
      </c>
      <c r="S154" s="23" t="s">
        <v>153</v>
      </c>
      <c r="T154" s="23" t="s">
        <v>153</v>
      </c>
      <c r="U154" s="24" t="s">
        <v>153</v>
      </c>
      <c r="V154" s="54" t="s">
        <v>153</v>
      </c>
      <c r="W154" s="27" t="s">
        <v>153</v>
      </c>
      <c r="X154" s="27" t="s">
        <v>153</v>
      </c>
      <c r="Y154" s="27" t="s">
        <v>153</v>
      </c>
      <c r="Z154" s="27" t="s">
        <v>153</v>
      </c>
      <c r="AA154" s="27" t="s">
        <v>153</v>
      </c>
      <c r="AB154" s="24" t="s">
        <v>153</v>
      </c>
      <c r="AC154" s="27" t="s">
        <v>153</v>
      </c>
      <c r="AD154" s="27" t="s">
        <v>153</v>
      </c>
      <c r="AE154" s="27" t="s">
        <v>153</v>
      </c>
      <c r="AF154" s="27" t="s">
        <v>153</v>
      </c>
      <c r="AG154" s="27" t="s">
        <v>153</v>
      </c>
      <c r="AH154" s="27" t="s">
        <v>153</v>
      </c>
      <c r="AI154" s="24" t="s">
        <v>153</v>
      </c>
      <c r="AJ154" s="27" t="s">
        <v>153</v>
      </c>
      <c r="AK154" s="27" t="s">
        <v>153</v>
      </c>
      <c r="AL154" s="27" t="s">
        <v>153</v>
      </c>
      <c r="AM154" s="27" t="s">
        <v>153</v>
      </c>
      <c r="AN154" s="27" t="s">
        <v>153</v>
      </c>
      <c r="AO154" s="27" t="s">
        <v>153</v>
      </c>
      <c r="AP154" s="23">
        <f>VALUE(0)</f>
        <v>0</v>
      </c>
      <c r="AQ154" s="23">
        <f>VALUE(0)</f>
        <v>0</v>
      </c>
      <c r="AR154" s="23">
        <f>VALUE(0)</f>
        <v>0</v>
      </c>
      <c r="AS154" s="23">
        <f>VALUE(0)</f>
        <v>0</v>
      </c>
      <c r="AT154" s="23">
        <f>VALUE(0)</f>
        <v>0</v>
      </c>
      <c r="AU154" s="23">
        <f>VALUE(0)</f>
        <v>0</v>
      </c>
      <c r="AV154" s="23">
        <f>VALUE(0)</f>
        <v>0</v>
      </c>
      <c r="AW154" s="23">
        <f>VALUE(0)</f>
        <v>0</v>
      </c>
      <c r="AX154" s="23">
        <f>VALUE(0)</f>
        <v>0</v>
      </c>
      <c r="AY154" s="23">
        <f>VALUE(0)</f>
        <v>0</v>
      </c>
      <c r="AZ154" s="23">
        <f>VALUE(0)</f>
        <v>0</v>
      </c>
      <c r="BA154" s="23">
        <f>VALUE(0)</f>
        <v>0</v>
      </c>
      <c r="BB154" s="23">
        <f>VALUE(0)</f>
        <v>0</v>
      </c>
      <c r="BC154" s="23">
        <f>VALUE(0)</f>
        <v>0</v>
      </c>
      <c r="BD154" s="23">
        <f>VALUE(0)</f>
        <v>0</v>
      </c>
      <c r="BE154" s="23">
        <f>VALUE(0)</f>
        <v>0</v>
      </c>
      <c r="BF154" s="23">
        <f>VALUE(0)</f>
        <v>0</v>
      </c>
      <c r="BG154" s="23">
        <f>VALUE(0)</f>
        <v>0</v>
      </c>
      <c r="BH154" s="23">
        <f>VALUE(0)</f>
        <v>0</v>
      </c>
      <c r="BI154" s="23">
        <f>VALUE(0)</f>
        <v>0</v>
      </c>
      <c r="BJ154" s="23">
        <f>VALUE(0)</f>
        <v>0</v>
      </c>
      <c r="BK154" s="12">
        <f>$AX$154*24</f>
        <v>0</v>
      </c>
      <c r="BL154" s="12">
        <f>$AY$154*24</f>
        <v>0</v>
      </c>
      <c r="BM154" s="12">
        <f>$BJ$154*24</f>
        <v>0</v>
      </c>
      <c r="BN154" s="12">
        <f>VALUE($I$154)/100</f>
        <v>1</v>
      </c>
      <c r="BO154" s="12">
        <v>0</v>
      </c>
      <c r="BP154" s="12">
        <v>0</v>
      </c>
      <c r="BQ154" s="12">
        <v>0</v>
      </c>
      <c r="BR154" s="12">
        <v>0</v>
      </c>
      <c r="BS154" s="12">
        <v>0</v>
      </c>
      <c r="BT154" s="12">
        <v>0</v>
      </c>
      <c r="BU154" s="12">
        <v>0</v>
      </c>
      <c r="BV154" s="12">
        <v>0</v>
      </c>
      <c r="BW154" s="12">
        <v>0</v>
      </c>
      <c r="BX154" s="12">
        <v>0</v>
      </c>
      <c r="BY154" s="12">
        <v>0</v>
      </c>
      <c r="BZ154" s="12">
        <v>0</v>
      </c>
      <c r="CA154" s="12">
        <v>0</v>
      </c>
    </row>
    <row r="155" spans="1:79" hidden="1" x14ac:dyDescent="0.2">
      <c r="A155" s="12" t="s">
        <v>120</v>
      </c>
      <c r="B155" s="12" t="s">
        <v>124</v>
      </c>
      <c r="C155" s="12" t="s">
        <v>124</v>
      </c>
      <c r="D155" s="22" t="s">
        <v>382</v>
      </c>
      <c r="E155" s="22" t="s">
        <v>161</v>
      </c>
      <c r="F155" s="22" t="s">
        <v>1224</v>
      </c>
      <c r="G155" s="22" t="s">
        <v>833</v>
      </c>
      <c r="H155" s="22" t="s">
        <v>190</v>
      </c>
      <c r="I155" s="22" t="s">
        <v>151</v>
      </c>
      <c r="J155" s="22" t="s">
        <v>162</v>
      </c>
      <c r="K155" s="22" t="s">
        <v>83</v>
      </c>
      <c r="L155" s="54" t="s">
        <v>153</v>
      </c>
      <c r="M155" s="23" t="s">
        <v>153</v>
      </c>
      <c r="N155" s="24" t="s">
        <v>153</v>
      </c>
      <c r="O155" s="23" t="s">
        <v>153</v>
      </c>
      <c r="P155" s="23" t="s">
        <v>153</v>
      </c>
      <c r="Q155" s="23" t="s">
        <v>153</v>
      </c>
      <c r="R155" s="23" t="s">
        <v>153</v>
      </c>
      <c r="S155" s="23" t="s">
        <v>153</v>
      </c>
      <c r="T155" s="23" t="s">
        <v>153</v>
      </c>
      <c r="U155" s="24" t="s">
        <v>153</v>
      </c>
      <c r="V155" s="54" t="s">
        <v>153</v>
      </c>
      <c r="W155" s="40" t="s">
        <v>153</v>
      </c>
      <c r="X155" s="40" t="s">
        <v>153</v>
      </c>
      <c r="Y155" s="40" t="s">
        <v>153</v>
      </c>
      <c r="Z155" s="40" t="s">
        <v>153</v>
      </c>
      <c r="AA155" s="40" t="s">
        <v>153</v>
      </c>
      <c r="AB155" s="40" t="s">
        <v>153</v>
      </c>
      <c r="AC155" s="40" t="s">
        <v>153</v>
      </c>
      <c r="AD155" s="40" t="s">
        <v>153</v>
      </c>
      <c r="AE155" s="40" t="s">
        <v>153</v>
      </c>
      <c r="AF155" s="40" t="s">
        <v>153</v>
      </c>
      <c r="AG155" s="40" t="s">
        <v>153</v>
      </c>
      <c r="AH155" s="40" t="s">
        <v>153</v>
      </c>
      <c r="AI155" s="40" t="s">
        <v>153</v>
      </c>
      <c r="AJ155" s="40" t="s">
        <v>153</v>
      </c>
      <c r="AK155" s="40" t="s">
        <v>153</v>
      </c>
      <c r="AL155" s="40" t="s">
        <v>153</v>
      </c>
      <c r="AM155" s="40" t="s">
        <v>153</v>
      </c>
      <c r="AN155" s="40" t="s">
        <v>153</v>
      </c>
      <c r="AO155" s="40" t="s">
        <v>153</v>
      </c>
      <c r="AP155" s="23">
        <f>VALUE(0)</f>
        <v>0</v>
      </c>
      <c r="AQ155" s="23">
        <f>VALUE(0)</f>
        <v>0</v>
      </c>
      <c r="AR155" s="23">
        <f>VALUE(0)</f>
        <v>0</v>
      </c>
      <c r="AS155" s="23">
        <f>VALUE(0)</f>
        <v>0</v>
      </c>
      <c r="AT155" s="23">
        <f>VALUE(0)</f>
        <v>0</v>
      </c>
      <c r="AU155" s="23">
        <f>VALUE(0)</f>
        <v>0</v>
      </c>
      <c r="AV155" s="23">
        <f>VALUE(18)</f>
        <v>18</v>
      </c>
      <c r="AW155" s="23">
        <f>VALUE(0)</f>
        <v>0</v>
      </c>
      <c r="AX155" s="23">
        <f>VALUE(0)</f>
        <v>0</v>
      </c>
      <c r="AY155" s="23">
        <f>VALUE(0)</f>
        <v>0</v>
      </c>
      <c r="AZ155" s="23">
        <f>VALUE(0)</f>
        <v>0</v>
      </c>
      <c r="BA155" s="23">
        <f>VALUE(0)</f>
        <v>0</v>
      </c>
      <c r="BB155" s="23">
        <f>VALUE(0)</f>
        <v>0</v>
      </c>
      <c r="BC155" s="23">
        <f>VALUE(0)</f>
        <v>0</v>
      </c>
      <c r="BD155" s="23">
        <f>VALUE(0)</f>
        <v>0</v>
      </c>
      <c r="BE155" s="23">
        <f>VALUE(0)</f>
        <v>0</v>
      </c>
      <c r="BF155" s="23">
        <f>VALUE(0)</f>
        <v>0</v>
      </c>
      <c r="BG155" s="23">
        <f>VALUE(0)</f>
        <v>0</v>
      </c>
      <c r="BH155" s="23">
        <f>VALUE(0)</f>
        <v>0</v>
      </c>
      <c r="BI155" s="23">
        <f>VALUE(0)</f>
        <v>0</v>
      </c>
      <c r="BJ155" s="23">
        <f>VALUE(0)</f>
        <v>0</v>
      </c>
      <c r="BK155" s="12">
        <f>$AX$155*24</f>
        <v>0</v>
      </c>
      <c r="BL155" s="12">
        <f>$AY$155*24</f>
        <v>0</v>
      </c>
      <c r="BM155" s="12">
        <f>$BJ$155*24</f>
        <v>0</v>
      </c>
      <c r="BN155" s="12">
        <f>VALUE($I$155)/100</f>
        <v>1</v>
      </c>
      <c r="BO155" s="12">
        <v>0</v>
      </c>
      <c r="BP155" s="12">
        <v>0</v>
      </c>
      <c r="BQ155" s="12">
        <v>0</v>
      </c>
      <c r="BR155" s="12">
        <v>0</v>
      </c>
      <c r="BS155" s="12">
        <v>0</v>
      </c>
      <c r="BT155" s="12">
        <v>0</v>
      </c>
      <c r="BU155" s="12">
        <v>0</v>
      </c>
      <c r="BV155" s="12">
        <v>0</v>
      </c>
      <c r="BW155" s="12">
        <v>0</v>
      </c>
      <c r="BX155" s="12">
        <v>0</v>
      </c>
      <c r="BY155" s="12">
        <v>0</v>
      </c>
      <c r="BZ155" s="12">
        <v>0</v>
      </c>
      <c r="CA155" s="12">
        <v>0</v>
      </c>
    </row>
    <row r="156" spans="1:79" hidden="1" x14ac:dyDescent="0.2">
      <c r="A156" s="12" t="s">
        <v>120</v>
      </c>
      <c r="B156" s="12" t="s">
        <v>124</v>
      </c>
      <c r="C156" s="12" t="s">
        <v>124</v>
      </c>
      <c r="D156" s="22" t="s">
        <v>382</v>
      </c>
      <c r="E156" s="22" t="s">
        <v>161</v>
      </c>
      <c r="F156" s="22" t="s">
        <v>834</v>
      </c>
      <c r="G156" s="22" t="s">
        <v>835</v>
      </c>
      <c r="H156" s="22" t="s">
        <v>166</v>
      </c>
      <c r="I156" s="22" t="s">
        <v>151</v>
      </c>
      <c r="J156" s="22" t="s">
        <v>162</v>
      </c>
      <c r="K156" s="22" t="s">
        <v>83</v>
      </c>
      <c r="L156" s="54" t="s">
        <v>153</v>
      </c>
      <c r="M156" s="32" t="s">
        <v>188</v>
      </c>
      <c r="N156" s="24" t="s">
        <v>153</v>
      </c>
      <c r="O156" s="32" t="s">
        <v>188</v>
      </c>
      <c r="P156" s="32" t="s">
        <v>188</v>
      </c>
      <c r="Q156" s="32" t="s">
        <v>188</v>
      </c>
      <c r="R156" s="32" t="s">
        <v>188</v>
      </c>
      <c r="S156" s="32" t="s">
        <v>188</v>
      </c>
      <c r="T156" s="32" t="s">
        <v>188</v>
      </c>
      <c r="U156" s="24" t="s">
        <v>153</v>
      </c>
      <c r="V156" s="54" t="s">
        <v>156</v>
      </c>
      <c r="W156" s="24" t="s">
        <v>156</v>
      </c>
      <c r="X156" s="23" t="s">
        <v>153</v>
      </c>
      <c r="Y156" s="23" t="s">
        <v>153</v>
      </c>
      <c r="Z156" s="23" t="s">
        <v>153</v>
      </c>
      <c r="AA156" s="23" t="s">
        <v>153</v>
      </c>
      <c r="AB156" s="24" t="s">
        <v>153</v>
      </c>
      <c r="AC156" s="23" t="s">
        <v>153</v>
      </c>
      <c r="AD156" s="23" t="s">
        <v>153</v>
      </c>
      <c r="AE156" s="23" t="s">
        <v>153</v>
      </c>
      <c r="AF156" s="23" t="s">
        <v>153</v>
      </c>
      <c r="AG156" s="23" t="s">
        <v>153</v>
      </c>
      <c r="AH156" s="23" t="s">
        <v>153</v>
      </c>
      <c r="AI156" s="24" t="s">
        <v>153</v>
      </c>
      <c r="AJ156" s="23" t="s">
        <v>153</v>
      </c>
      <c r="AK156" s="23" t="s">
        <v>153</v>
      </c>
      <c r="AL156" s="23" t="s">
        <v>153</v>
      </c>
      <c r="AM156" s="23" t="s">
        <v>153</v>
      </c>
      <c r="AN156" s="23" t="s">
        <v>153</v>
      </c>
      <c r="AO156" s="23" t="s">
        <v>153</v>
      </c>
      <c r="AP156" s="23">
        <f>VALUE(0)</f>
        <v>0</v>
      </c>
      <c r="AQ156" s="23">
        <f>VALUE(0)</f>
        <v>0</v>
      </c>
      <c r="AR156" s="23">
        <f>VALUE(0)</f>
        <v>0</v>
      </c>
      <c r="AS156" s="23">
        <f>VALUE(0)</f>
        <v>0</v>
      </c>
      <c r="AT156" s="23">
        <f>VALUE(0)</f>
        <v>0</v>
      </c>
      <c r="AU156" s="23">
        <f>VALUE(0)</f>
        <v>0</v>
      </c>
      <c r="AV156" s="23">
        <f>VALUE(29.5)</f>
        <v>29.5</v>
      </c>
      <c r="AW156" s="23">
        <f>VALUE(0)</f>
        <v>0</v>
      </c>
      <c r="AX156" s="23" t="s">
        <v>1225</v>
      </c>
      <c r="AY156" s="23">
        <f>VALUE(0)</f>
        <v>0</v>
      </c>
      <c r="AZ156" s="23">
        <f>VALUE(7)</f>
        <v>7</v>
      </c>
      <c r="BA156" s="23">
        <f>VALUE(0)</f>
        <v>0</v>
      </c>
      <c r="BB156" s="23">
        <f>VALUE(0)</f>
        <v>0</v>
      </c>
      <c r="BC156" s="23">
        <f>VALUE(0)</f>
        <v>0</v>
      </c>
      <c r="BD156" s="23">
        <f>VALUE(0)</f>
        <v>0</v>
      </c>
      <c r="BE156" s="23">
        <f>VALUE(0)</f>
        <v>0</v>
      </c>
      <c r="BF156" s="23">
        <f>VALUE(0)</f>
        <v>0</v>
      </c>
      <c r="BG156" s="23">
        <f>VALUE(0)</f>
        <v>0</v>
      </c>
      <c r="BH156" s="23">
        <f>VALUE(0)</f>
        <v>0</v>
      </c>
      <c r="BI156" s="23">
        <f>VALUE(0)</f>
        <v>0</v>
      </c>
      <c r="BJ156" s="23">
        <f>VALUE(0)</f>
        <v>0</v>
      </c>
      <c r="BK156" s="12">
        <f>$AX$156*24</f>
        <v>31.966666666666665</v>
      </c>
      <c r="BL156" s="12">
        <f>$AY$156*24</f>
        <v>0</v>
      </c>
      <c r="BM156" s="12">
        <f>$BJ$156*24</f>
        <v>0</v>
      </c>
      <c r="BN156" s="12">
        <f>VALUE($I$156)/100</f>
        <v>1</v>
      </c>
      <c r="BO156" s="12">
        <v>0</v>
      </c>
      <c r="BP156" s="12">
        <v>0</v>
      </c>
      <c r="BQ156" s="12">
        <v>0</v>
      </c>
      <c r="BR156" s="12">
        <v>0</v>
      </c>
      <c r="BS156" s="12">
        <v>0</v>
      </c>
      <c r="BT156" s="12">
        <v>0</v>
      </c>
      <c r="BU156" s="12">
        <v>0</v>
      </c>
      <c r="BV156" s="12">
        <v>0</v>
      </c>
      <c r="BW156" s="12">
        <v>0</v>
      </c>
      <c r="BX156" s="12">
        <v>0</v>
      </c>
      <c r="BY156" s="12">
        <v>0</v>
      </c>
      <c r="BZ156" s="12">
        <v>0</v>
      </c>
      <c r="CA156" s="12">
        <v>0</v>
      </c>
    </row>
    <row r="157" spans="1:79" hidden="1" x14ac:dyDescent="0.2">
      <c r="A157" s="12" t="s">
        <v>120</v>
      </c>
      <c r="B157" s="12" t="s">
        <v>124</v>
      </c>
      <c r="C157" s="12" t="s">
        <v>124</v>
      </c>
      <c r="D157" s="22" t="s">
        <v>420</v>
      </c>
      <c r="E157" s="22" t="s">
        <v>161</v>
      </c>
      <c r="F157" s="22" t="s">
        <v>1226</v>
      </c>
      <c r="G157" s="22" t="s">
        <v>836</v>
      </c>
      <c r="H157" s="22" t="s">
        <v>150</v>
      </c>
      <c r="I157" s="22" t="s">
        <v>151</v>
      </c>
      <c r="J157" s="22" t="s">
        <v>162</v>
      </c>
      <c r="K157" s="22" t="s">
        <v>83</v>
      </c>
      <c r="L157" s="54" t="s">
        <v>153</v>
      </c>
      <c r="M157" s="23" t="s">
        <v>153</v>
      </c>
      <c r="N157" s="24" t="s">
        <v>153</v>
      </c>
      <c r="O157" s="24" t="s">
        <v>156</v>
      </c>
      <c r="P157" s="24" t="s">
        <v>156</v>
      </c>
      <c r="Q157" s="23" t="s">
        <v>153</v>
      </c>
      <c r="R157" s="23" t="s">
        <v>153</v>
      </c>
      <c r="S157" s="23" t="s">
        <v>153</v>
      </c>
      <c r="T157" s="23" t="s">
        <v>153</v>
      </c>
      <c r="U157" s="24" t="s">
        <v>153</v>
      </c>
      <c r="V157" s="54" t="s">
        <v>153</v>
      </c>
      <c r="W157" s="23" t="s">
        <v>153</v>
      </c>
      <c r="X157" s="23" t="s">
        <v>153</v>
      </c>
      <c r="Y157" s="23" t="s">
        <v>153</v>
      </c>
      <c r="Z157" s="23" t="s">
        <v>153</v>
      </c>
      <c r="AA157" s="23" t="s">
        <v>153</v>
      </c>
      <c r="AB157" s="24" t="s">
        <v>153</v>
      </c>
      <c r="AC157" s="23" t="s">
        <v>153</v>
      </c>
      <c r="AD157" s="23" t="s">
        <v>153</v>
      </c>
      <c r="AE157" s="23" t="s">
        <v>153</v>
      </c>
      <c r="AF157" s="23" t="s">
        <v>153</v>
      </c>
      <c r="AG157" s="23" t="s">
        <v>153</v>
      </c>
      <c r="AH157" s="23" t="s">
        <v>153</v>
      </c>
      <c r="AI157" s="24" t="s">
        <v>153</v>
      </c>
      <c r="AJ157" s="23" t="s">
        <v>153</v>
      </c>
      <c r="AK157" s="23" t="s">
        <v>153</v>
      </c>
      <c r="AL157" s="23" t="s">
        <v>153</v>
      </c>
      <c r="AM157" s="23" t="s">
        <v>153</v>
      </c>
      <c r="AN157" s="23" t="s">
        <v>153</v>
      </c>
      <c r="AO157" s="23" t="s">
        <v>153</v>
      </c>
      <c r="AP157" s="23">
        <f>VALUE(0)</f>
        <v>0</v>
      </c>
      <c r="AQ157" s="23">
        <f>VALUE(0)</f>
        <v>0</v>
      </c>
      <c r="AR157" s="23">
        <f>VALUE(0)</f>
        <v>0</v>
      </c>
      <c r="AS157" s="23">
        <f>VALUE(0)</f>
        <v>0</v>
      </c>
      <c r="AT157" s="23">
        <f>VALUE(0)</f>
        <v>0</v>
      </c>
      <c r="AU157" s="23">
        <f>VALUE(0)</f>
        <v>0</v>
      </c>
      <c r="AV157" s="23">
        <f>VALUE(3)</f>
        <v>3</v>
      </c>
      <c r="AW157" s="23">
        <f>VALUE(0)</f>
        <v>0</v>
      </c>
      <c r="AX157" s="23">
        <f>VALUE(0)</f>
        <v>0</v>
      </c>
      <c r="AY157" s="23" t="s">
        <v>421</v>
      </c>
      <c r="AZ157" s="23">
        <f>VALUE(0)</f>
        <v>0</v>
      </c>
      <c r="BA157" s="23">
        <f>VALUE(0)</f>
        <v>0</v>
      </c>
      <c r="BB157" s="23">
        <f>VALUE(0)</f>
        <v>0</v>
      </c>
      <c r="BC157" s="23">
        <f>VALUE(0)</f>
        <v>0</v>
      </c>
      <c r="BD157" s="23">
        <f>VALUE(0)</f>
        <v>0</v>
      </c>
      <c r="BE157" s="23">
        <f>VALUE(0)</f>
        <v>0</v>
      </c>
      <c r="BF157" s="23">
        <f>VALUE(0)</f>
        <v>0</v>
      </c>
      <c r="BG157" s="23">
        <f>VALUE(0)</f>
        <v>0</v>
      </c>
      <c r="BH157" s="23">
        <f>VALUE(0)</f>
        <v>0</v>
      </c>
      <c r="BI157" s="23">
        <f>VALUE(0)</f>
        <v>0</v>
      </c>
      <c r="BJ157" s="23">
        <f>VALUE(0)</f>
        <v>0</v>
      </c>
      <c r="BK157" s="12">
        <f>$AX$157*24</f>
        <v>0</v>
      </c>
      <c r="BL157" s="12">
        <f>$AY$157*24</f>
        <v>5.85</v>
      </c>
      <c r="BM157" s="12">
        <f>$BJ$157*24</f>
        <v>0</v>
      </c>
      <c r="BN157" s="12">
        <f>VALUE($I$157)/100</f>
        <v>1</v>
      </c>
      <c r="BO157" s="12">
        <v>0</v>
      </c>
      <c r="BP157" s="12">
        <v>0</v>
      </c>
      <c r="BQ157" s="12">
        <v>0</v>
      </c>
      <c r="BR157" s="12">
        <v>0</v>
      </c>
      <c r="BS157" s="12">
        <v>0</v>
      </c>
      <c r="BT157" s="12">
        <v>0</v>
      </c>
      <c r="BU157" s="12">
        <v>0</v>
      </c>
      <c r="BV157" s="12">
        <v>0</v>
      </c>
      <c r="BW157" s="12">
        <v>0</v>
      </c>
      <c r="BX157" s="12">
        <v>0</v>
      </c>
      <c r="BY157" s="12">
        <v>0</v>
      </c>
      <c r="BZ157" s="12">
        <v>0</v>
      </c>
      <c r="CA157" s="12">
        <v>0</v>
      </c>
    </row>
    <row r="158" spans="1:79" hidden="1" x14ac:dyDescent="0.2">
      <c r="A158" s="12" t="s">
        <v>120</v>
      </c>
      <c r="B158" s="12" t="s">
        <v>124</v>
      </c>
      <c r="C158" s="12" t="s">
        <v>124</v>
      </c>
      <c r="D158" s="22" t="s">
        <v>390</v>
      </c>
      <c r="E158" s="22" t="s">
        <v>161</v>
      </c>
      <c r="F158" s="22" t="s">
        <v>837</v>
      </c>
      <c r="G158" s="22" t="s">
        <v>838</v>
      </c>
      <c r="H158" s="22" t="s">
        <v>150</v>
      </c>
      <c r="I158" s="22" t="s">
        <v>151</v>
      </c>
      <c r="J158" s="22" t="s">
        <v>162</v>
      </c>
      <c r="K158" s="22" t="s">
        <v>83</v>
      </c>
      <c r="L158" s="54" t="s">
        <v>153</v>
      </c>
      <c r="M158" s="23" t="s">
        <v>153</v>
      </c>
      <c r="N158" s="24" t="s">
        <v>153</v>
      </c>
      <c r="O158" s="23" t="s">
        <v>153</v>
      </c>
      <c r="P158" s="23" t="s">
        <v>153</v>
      </c>
      <c r="Q158" s="23" t="s">
        <v>153</v>
      </c>
      <c r="R158" s="23" t="s">
        <v>153</v>
      </c>
      <c r="S158" s="23" t="s">
        <v>153</v>
      </c>
      <c r="T158" s="23" t="s">
        <v>153</v>
      </c>
      <c r="U158" s="24" t="s">
        <v>153</v>
      </c>
      <c r="V158" s="54" t="s">
        <v>153</v>
      </c>
      <c r="W158" s="23" t="s">
        <v>153</v>
      </c>
      <c r="X158" s="23" t="s">
        <v>153</v>
      </c>
      <c r="Y158" s="23" t="s">
        <v>153</v>
      </c>
      <c r="Z158" s="23" t="s">
        <v>153</v>
      </c>
      <c r="AA158" s="23" t="s">
        <v>153</v>
      </c>
      <c r="AB158" s="24" t="s">
        <v>153</v>
      </c>
      <c r="AC158" s="23" t="s">
        <v>153</v>
      </c>
      <c r="AD158" s="23" t="s">
        <v>153</v>
      </c>
      <c r="AE158" s="23" t="s">
        <v>153</v>
      </c>
      <c r="AF158" s="23" t="s">
        <v>153</v>
      </c>
      <c r="AG158" s="23" t="s">
        <v>153</v>
      </c>
      <c r="AH158" s="23" t="s">
        <v>153</v>
      </c>
      <c r="AI158" s="24" t="s">
        <v>153</v>
      </c>
      <c r="AJ158" s="23" t="s">
        <v>153</v>
      </c>
      <c r="AK158" s="23" t="s">
        <v>153</v>
      </c>
      <c r="AL158" s="24" t="s">
        <v>156</v>
      </c>
      <c r="AM158" s="24" t="s">
        <v>156</v>
      </c>
      <c r="AN158" s="23" t="s">
        <v>153</v>
      </c>
      <c r="AO158" s="23" t="s">
        <v>153</v>
      </c>
      <c r="AP158" s="23">
        <f>VALUE(0)</f>
        <v>0</v>
      </c>
      <c r="AQ158" s="23">
        <f>VALUE(0)</f>
        <v>0</v>
      </c>
      <c r="AR158" s="23">
        <f>VALUE(0)</f>
        <v>0</v>
      </c>
      <c r="AS158" s="23">
        <f>VALUE(0)</f>
        <v>0</v>
      </c>
      <c r="AT158" s="23">
        <f>VALUE(0)</f>
        <v>0</v>
      </c>
      <c r="AU158" s="23">
        <f>VALUE(0)</f>
        <v>0</v>
      </c>
      <c r="AV158" s="23">
        <f>VALUE(2)</f>
        <v>2</v>
      </c>
      <c r="AW158" s="23">
        <f>VALUE(0)</f>
        <v>0</v>
      </c>
      <c r="AX158" s="23" t="s">
        <v>255</v>
      </c>
      <c r="AY158" s="23" t="s">
        <v>422</v>
      </c>
      <c r="AZ158" s="23">
        <f>VALUE(0)</f>
        <v>0</v>
      </c>
      <c r="BA158" s="23">
        <f>VALUE(0)</f>
        <v>0</v>
      </c>
      <c r="BB158" s="23">
        <f>VALUE(0)</f>
        <v>0</v>
      </c>
      <c r="BC158" s="23">
        <f>VALUE(0)</f>
        <v>0</v>
      </c>
      <c r="BD158" s="23">
        <f>VALUE(0)</f>
        <v>0</v>
      </c>
      <c r="BE158" s="23">
        <f>VALUE(0)</f>
        <v>0</v>
      </c>
      <c r="BF158" s="23">
        <f>VALUE(0)</f>
        <v>0</v>
      </c>
      <c r="BG158" s="23">
        <f>VALUE(0)</f>
        <v>0</v>
      </c>
      <c r="BH158" s="23">
        <f>VALUE(0)</f>
        <v>0</v>
      </c>
      <c r="BI158" s="23">
        <f>VALUE(0)</f>
        <v>0</v>
      </c>
      <c r="BJ158" s="23">
        <f>VALUE(0)</f>
        <v>0</v>
      </c>
      <c r="BK158" s="12">
        <f>$AX$158*24</f>
        <v>2.5</v>
      </c>
      <c r="BL158" s="12">
        <f>$AY$158*24</f>
        <v>3.8166666666666664</v>
      </c>
      <c r="BM158" s="12">
        <f>$BJ$158*24</f>
        <v>0</v>
      </c>
      <c r="BN158" s="12">
        <f>VALUE($I$158)/100</f>
        <v>1</v>
      </c>
      <c r="BO158" s="12">
        <v>0</v>
      </c>
      <c r="BP158" s="12">
        <v>0</v>
      </c>
      <c r="BQ158" s="12">
        <v>0</v>
      </c>
      <c r="BR158" s="12">
        <v>0</v>
      </c>
      <c r="BS158" s="12">
        <v>0</v>
      </c>
      <c r="BT158" s="12">
        <v>0</v>
      </c>
      <c r="BU158" s="12">
        <v>0</v>
      </c>
      <c r="BV158" s="12">
        <v>0</v>
      </c>
      <c r="BW158" s="12">
        <v>0</v>
      </c>
      <c r="BX158" s="12">
        <v>0</v>
      </c>
      <c r="BY158" s="12">
        <v>0</v>
      </c>
      <c r="BZ158" s="12">
        <v>0</v>
      </c>
      <c r="CA158" s="12">
        <v>0</v>
      </c>
    </row>
    <row r="159" spans="1:79" hidden="1" x14ac:dyDescent="0.2">
      <c r="A159" s="12" t="s">
        <v>120</v>
      </c>
      <c r="B159" s="12" t="s">
        <v>124</v>
      </c>
      <c r="C159" s="12" t="s">
        <v>124</v>
      </c>
      <c r="D159" s="22" t="s">
        <v>384</v>
      </c>
      <c r="E159" s="22" t="s">
        <v>161</v>
      </c>
      <c r="F159" s="22" t="s">
        <v>839</v>
      </c>
      <c r="G159" s="22" t="s">
        <v>840</v>
      </c>
      <c r="H159" s="22" t="s">
        <v>150</v>
      </c>
      <c r="I159" s="22" t="s">
        <v>151</v>
      </c>
      <c r="J159" s="22" t="s">
        <v>162</v>
      </c>
      <c r="K159" s="22" t="s">
        <v>83</v>
      </c>
      <c r="L159" s="54" t="s">
        <v>153</v>
      </c>
      <c r="M159" s="23" t="s">
        <v>153</v>
      </c>
      <c r="N159" s="24" t="s">
        <v>153</v>
      </c>
      <c r="O159" s="23" t="s">
        <v>153</v>
      </c>
      <c r="P159" s="23" t="s">
        <v>153</v>
      </c>
      <c r="Q159" s="23" t="s">
        <v>153</v>
      </c>
      <c r="R159" s="23" t="s">
        <v>153</v>
      </c>
      <c r="S159" s="23" t="s">
        <v>153</v>
      </c>
      <c r="T159" s="23" t="s">
        <v>153</v>
      </c>
      <c r="U159" s="24" t="s">
        <v>153</v>
      </c>
      <c r="V159" s="54" t="s">
        <v>153</v>
      </c>
      <c r="W159" s="23" t="s">
        <v>153</v>
      </c>
      <c r="X159" s="23" t="s">
        <v>153</v>
      </c>
      <c r="Y159" s="23" t="s">
        <v>153</v>
      </c>
      <c r="Z159" s="23" t="s">
        <v>153</v>
      </c>
      <c r="AA159" s="23" t="s">
        <v>153</v>
      </c>
      <c r="AB159" s="24" t="s">
        <v>153</v>
      </c>
      <c r="AC159" s="23" t="s">
        <v>153</v>
      </c>
      <c r="AD159" s="23" t="s">
        <v>153</v>
      </c>
      <c r="AE159" s="23" t="s">
        <v>153</v>
      </c>
      <c r="AF159" s="23" t="s">
        <v>153</v>
      </c>
      <c r="AG159" s="23" t="s">
        <v>153</v>
      </c>
      <c r="AH159" s="23" t="s">
        <v>153</v>
      </c>
      <c r="AI159" s="24" t="s">
        <v>153</v>
      </c>
      <c r="AJ159" s="23" t="s">
        <v>153</v>
      </c>
      <c r="AK159" s="23" t="s">
        <v>153</v>
      </c>
      <c r="AL159" s="23" t="s">
        <v>153</v>
      </c>
      <c r="AM159" s="23" t="s">
        <v>153</v>
      </c>
      <c r="AN159" s="24" t="s">
        <v>156</v>
      </c>
      <c r="AO159" s="24" t="s">
        <v>156</v>
      </c>
      <c r="AP159" s="23">
        <f>VALUE(0)</f>
        <v>0</v>
      </c>
      <c r="AQ159" s="23">
        <f>VALUE(0)</f>
        <v>0</v>
      </c>
      <c r="AR159" s="23">
        <f>VALUE(0)</f>
        <v>0</v>
      </c>
      <c r="AS159" s="23">
        <f>VALUE(0)</f>
        <v>0</v>
      </c>
      <c r="AT159" s="23">
        <f>VALUE(0)</f>
        <v>0</v>
      </c>
      <c r="AU159" s="23">
        <f>VALUE(0)</f>
        <v>0</v>
      </c>
      <c r="AV159" s="23">
        <f>VALUE(3)</f>
        <v>3</v>
      </c>
      <c r="AW159" s="23">
        <f>VALUE(0)</f>
        <v>0</v>
      </c>
      <c r="AX159" s="23" t="s">
        <v>171</v>
      </c>
      <c r="AY159" s="23" t="s">
        <v>1227</v>
      </c>
      <c r="AZ159" s="23">
        <f>VALUE(0)</f>
        <v>0</v>
      </c>
      <c r="BA159" s="23">
        <f>VALUE(0)</f>
        <v>0</v>
      </c>
      <c r="BB159" s="23">
        <f>VALUE(0)</f>
        <v>0</v>
      </c>
      <c r="BC159" s="23">
        <f>VALUE(0)</f>
        <v>0</v>
      </c>
      <c r="BD159" s="23">
        <f>VALUE(0)</f>
        <v>0</v>
      </c>
      <c r="BE159" s="23">
        <f>VALUE(0)</f>
        <v>0</v>
      </c>
      <c r="BF159" s="23">
        <f>VALUE(0)</f>
        <v>0</v>
      </c>
      <c r="BG159" s="23">
        <f>VALUE(0)</f>
        <v>0</v>
      </c>
      <c r="BH159" s="23">
        <f>VALUE(0)</f>
        <v>0</v>
      </c>
      <c r="BI159" s="23">
        <f>VALUE(0)</f>
        <v>0</v>
      </c>
      <c r="BJ159" s="23">
        <f>VALUE(0)</f>
        <v>0</v>
      </c>
      <c r="BK159" s="12">
        <f>$AX$159*24</f>
        <v>5.833333333333333</v>
      </c>
      <c r="BL159" s="12">
        <f>$AY$159*24</f>
        <v>44.9</v>
      </c>
      <c r="BM159" s="12">
        <f>$BJ$159*24</f>
        <v>0</v>
      </c>
      <c r="BN159" s="12">
        <f>VALUE($I$159)/100</f>
        <v>1</v>
      </c>
      <c r="BO159" s="12">
        <v>0</v>
      </c>
      <c r="BP159" s="12">
        <v>0</v>
      </c>
      <c r="BQ159" s="12">
        <v>0</v>
      </c>
      <c r="BR159" s="12">
        <v>0</v>
      </c>
      <c r="BS159" s="12">
        <v>0</v>
      </c>
      <c r="BT159" s="12">
        <v>0</v>
      </c>
      <c r="BU159" s="12">
        <v>0</v>
      </c>
      <c r="BV159" s="12">
        <v>0</v>
      </c>
      <c r="BW159" s="12">
        <v>0</v>
      </c>
      <c r="BX159" s="12">
        <v>0</v>
      </c>
      <c r="BY159" s="12">
        <v>0</v>
      </c>
      <c r="BZ159" s="12">
        <v>0</v>
      </c>
      <c r="CA159" s="12">
        <v>0</v>
      </c>
    </row>
    <row r="160" spans="1:79" hidden="1" x14ac:dyDescent="0.2">
      <c r="A160" s="12" t="s">
        <v>120</v>
      </c>
      <c r="B160" s="12" t="s">
        <v>124</v>
      </c>
      <c r="C160" s="12" t="s">
        <v>124</v>
      </c>
      <c r="D160" s="22" t="s">
        <v>423</v>
      </c>
      <c r="E160" s="22" t="s">
        <v>161</v>
      </c>
      <c r="F160" s="22" t="s">
        <v>1228</v>
      </c>
      <c r="G160" s="22" t="s">
        <v>841</v>
      </c>
      <c r="H160" s="22" t="s">
        <v>150</v>
      </c>
      <c r="I160" s="22" t="s">
        <v>151</v>
      </c>
      <c r="J160" s="22" t="s">
        <v>162</v>
      </c>
      <c r="K160" s="22" t="s">
        <v>83</v>
      </c>
      <c r="L160" s="54" t="s">
        <v>153</v>
      </c>
      <c r="M160" s="28" t="s">
        <v>163</v>
      </c>
      <c r="N160" s="24" t="s">
        <v>153</v>
      </c>
      <c r="O160" s="23" t="s">
        <v>153</v>
      </c>
      <c r="P160" s="23" t="s">
        <v>153</v>
      </c>
      <c r="Q160" s="23" t="s">
        <v>153</v>
      </c>
      <c r="R160" s="23" t="s">
        <v>153</v>
      </c>
      <c r="S160" s="23" t="s">
        <v>153</v>
      </c>
      <c r="T160" s="23" t="s">
        <v>153</v>
      </c>
      <c r="U160" s="24" t="s">
        <v>153</v>
      </c>
      <c r="V160" s="54" t="s">
        <v>153</v>
      </c>
      <c r="W160" s="23" t="s">
        <v>153</v>
      </c>
      <c r="X160" s="23" t="s">
        <v>153</v>
      </c>
      <c r="Y160" s="23" t="s">
        <v>153</v>
      </c>
      <c r="Z160" s="24" t="s">
        <v>156</v>
      </c>
      <c r="AA160" s="24" t="s">
        <v>156</v>
      </c>
      <c r="AB160" s="24" t="s">
        <v>153</v>
      </c>
      <c r="AC160" s="23" t="s">
        <v>153</v>
      </c>
      <c r="AD160" s="23" t="s">
        <v>153</v>
      </c>
      <c r="AE160" s="23" t="s">
        <v>153</v>
      </c>
      <c r="AF160" s="23" t="s">
        <v>153</v>
      </c>
      <c r="AG160" s="23" t="s">
        <v>153</v>
      </c>
      <c r="AH160" s="23" t="s">
        <v>153</v>
      </c>
      <c r="AI160" s="24" t="s">
        <v>153</v>
      </c>
      <c r="AJ160" s="23" t="s">
        <v>153</v>
      </c>
      <c r="AK160" s="23" t="s">
        <v>153</v>
      </c>
      <c r="AL160" s="23" t="s">
        <v>153</v>
      </c>
      <c r="AM160" s="23" t="s">
        <v>153</v>
      </c>
      <c r="AN160" s="23" t="s">
        <v>153</v>
      </c>
      <c r="AO160" s="23" t="s">
        <v>153</v>
      </c>
      <c r="AP160" s="23">
        <f>VALUE(3)</f>
        <v>3</v>
      </c>
      <c r="AQ160" s="23">
        <f>VALUE(0)</f>
        <v>0</v>
      </c>
      <c r="AR160" s="23">
        <f>VALUE(0)</f>
        <v>0</v>
      </c>
      <c r="AS160" s="23">
        <f>VALUE(0)</f>
        <v>0</v>
      </c>
      <c r="AT160" s="23">
        <f>VALUE(0)</f>
        <v>0</v>
      </c>
      <c r="AU160" s="23">
        <f>VALUE(1)</f>
        <v>1</v>
      </c>
      <c r="AV160" s="23">
        <f>VALUE(4)</f>
        <v>4</v>
      </c>
      <c r="AW160" s="23">
        <f>VALUE(0)</f>
        <v>0</v>
      </c>
      <c r="AX160" s="23" t="s">
        <v>176</v>
      </c>
      <c r="AY160" s="23" t="s">
        <v>424</v>
      </c>
      <c r="AZ160" s="23">
        <f>VALUE(0)</f>
        <v>0</v>
      </c>
      <c r="BA160" s="23">
        <f>VALUE(0)</f>
        <v>0</v>
      </c>
      <c r="BB160" s="23">
        <f>VALUE(0)</f>
        <v>0</v>
      </c>
      <c r="BC160" s="23">
        <f>VALUE(0)</f>
        <v>0</v>
      </c>
      <c r="BD160" s="23">
        <f>VALUE(0)</f>
        <v>0</v>
      </c>
      <c r="BE160" s="23">
        <f>VALUE(0)</f>
        <v>0</v>
      </c>
      <c r="BF160" s="23">
        <f>VALUE(0)</f>
        <v>0</v>
      </c>
      <c r="BG160" s="23">
        <f>VALUE(0)</f>
        <v>0</v>
      </c>
      <c r="BH160" s="23">
        <f>VALUE(0)</f>
        <v>0</v>
      </c>
      <c r="BI160" s="23">
        <f>VALUE(0)</f>
        <v>0</v>
      </c>
      <c r="BJ160" s="23">
        <f>VALUE(0)</f>
        <v>0</v>
      </c>
      <c r="BK160" s="12">
        <f>$AX$160*24</f>
        <v>0</v>
      </c>
      <c r="BL160" s="12">
        <f>$AY$160*24</f>
        <v>2.4666666666666668</v>
      </c>
      <c r="BM160" s="12">
        <f>$BJ$160*24</f>
        <v>0</v>
      </c>
      <c r="BN160" s="12">
        <f>VALUE($I$160)/100</f>
        <v>1</v>
      </c>
      <c r="BO160" s="12">
        <v>0</v>
      </c>
      <c r="BP160" s="12">
        <v>0</v>
      </c>
      <c r="BQ160" s="12">
        <v>0</v>
      </c>
      <c r="BR160" s="12">
        <v>0</v>
      </c>
      <c r="BS160" s="12">
        <v>0</v>
      </c>
      <c r="BT160" s="12">
        <v>0</v>
      </c>
      <c r="BU160" s="12">
        <v>0</v>
      </c>
      <c r="BV160" s="12">
        <v>0</v>
      </c>
      <c r="BW160" s="12">
        <v>0</v>
      </c>
      <c r="BX160" s="12">
        <v>0</v>
      </c>
      <c r="BY160" s="12">
        <v>0</v>
      </c>
      <c r="BZ160" s="12">
        <v>0</v>
      </c>
      <c r="CA160" s="12">
        <v>0</v>
      </c>
    </row>
    <row r="161" spans="1:79" hidden="1" x14ac:dyDescent="0.2">
      <c r="A161" s="12" t="s">
        <v>120</v>
      </c>
      <c r="B161" s="12" t="s">
        <v>124</v>
      </c>
      <c r="C161" s="12" t="s">
        <v>124</v>
      </c>
      <c r="D161" s="22" t="s">
        <v>380</v>
      </c>
      <c r="E161" s="22" t="s">
        <v>161</v>
      </c>
      <c r="F161" s="22" t="s">
        <v>842</v>
      </c>
      <c r="G161" s="22" t="s">
        <v>843</v>
      </c>
      <c r="H161" s="22" t="s">
        <v>166</v>
      </c>
      <c r="I161" s="22" t="s">
        <v>151</v>
      </c>
      <c r="J161" s="22" t="s">
        <v>162</v>
      </c>
      <c r="K161" s="22" t="s">
        <v>83</v>
      </c>
      <c r="L161" s="54" t="s">
        <v>153</v>
      </c>
      <c r="M161" s="23" t="s">
        <v>153</v>
      </c>
      <c r="N161" s="24" t="s">
        <v>153</v>
      </c>
      <c r="O161" s="23" t="s">
        <v>153</v>
      </c>
      <c r="P161" s="23" t="s">
        <v>153</v>
      </c>
      <c r="Q161" s="23" t="s">
        <v>153</v>
      </c>
      <c r="R161" s="23" t="s">
        <v>153</v>
      </c>
      <c r="S161" s="24" t="s">
        <v>156</v>
      </c>
      <c r="T161" s="24" t="s">
        <v>156</v>
      </c>
      <c r="U161" s="24" t="s">
        <v>153</v>
      </c>
      <c r="V161" s="54" t="s">
        <v>153</v>
      </c>
      <c r="W161" s="28" t="s">
        <v>163</v>
      </c>
      <c r="X161" s="28" t="s">
        <v>163</v>
      </c>
      <c r="Y161" s="28" t="s">
        <v>163</v>
      </c>
      <c r="Z161" s="28" t="s">
        <v>163</v>
      </c>
      <c r="AA161" s="28" t="s">
        <v>163</v>
      </c>
      <c r="AB161" s="24" t="s">
        <v>153</v>
      </c>
      <c r="AC161" s="23" t="s">
        <v>153</v>
      </c>
      <c r="AD161" s="23" t="s">
        <v>153</v>
      </c>
      <c r="AE161" s="23" t="s">
        <v>153</v>
      </c>
      <c r="AF161" s="23" t="s">
        <v>153</v>
      </c>
      <c r="AG161" s="23" t="s">
        <v>153</v>
      </c>
      <c r="AH161" s="23" t="s">
        <v>153</v>
      </c>
      <c r="AI161" s="24" t="s">
        <v>153</v>
      </c>
      <c r="AJ161" s="23" t="s">
        <v>153</v>
      </c>
      <c r="AK161" s="23" t="s">
        <v>153</v>
      </c>
      <c r="AL161" s="23" t="s">
        <v>153</v>
      </c>
      <c r="AM161" s="23" t="s">
        <v>153</v>
      </c>
      <c r="AN161" s="23" t="s">
        <v>153</v>
      </c>
      <c r="AO161" s="23" t="s">
        <v>153</v>
      </c>
      <c r="AP161" s="23">
        <f>VALUE(0)</f>
        <v>0</v>
      </c>
      <c r="AQ161" s="23">
        <f>VALUE(0)</f>
        <v>0</v>
      </c>
      <c r="AR161" s="23">
        <f>VALUE(0)</f>
        <v>0</v>
      </c>
      <c r="AS161" s="23">
        <f>VALUE(0)</f>
        <v>0</v>
      </c>
      <c r="AT161" s="23">
        <f>VALUE(0)</f>
        <v>0</v>
      </c>
      <c r="AU161" s="23">
        <f>VALUE(5)</f>
        <v>5</v>
      </c>
      <c r="AV161" s="23">
        <f>VALUE(0.5)</f>
        <v>0.5</v>
      </c>
      <c r="AW161" s="23">
        <f>VALUE(0)</f>
        <v>0</v>
      </c>
      <c r="AX161" s="23" t="s">
        <v>1229</v>
      </c>
      <c r="AY161" s="23">
        <f>VALUE(0)</f>
        <v>0</v>
      </c>
      <c r="AZ161" s="23">
        <f>VALUE(0)</f>
        <v>0</v>
      </c>
      <c r="BA161" s="23">
        <f>VALUE(0)</f>
        <v>0</v>
      </c>
      <c r="BB161" s="23">
        <f>VALUE(0)</f>
        <v>0</v>
      </c>
      <c r="BC161" s="23">
        <f>VALUE(0)</f>
        <v>0</v>
      </c>
      <c r="BD161" s="23">
        <f>VALUE(0)</f>
        <v>0</v>
      </c>
      <c r="BE161" s="23">
        <f>VALUE(0)</f>
        <v>0</v>
      </c>
      <c r="BF161" s="23">
        <f>VALUE(0)</f>
        <v>0</v>
      </c>
      <c r="BG161" s="23">
        <f>VALUE(0)</f>
        <v>0</v>
      </c>
      <c r="BH161" s="23">
        <f>VALUE(0)</f>
        <v>0</v>
      </c>
      <c r="BI161" s="23">
        <f>VALUE(0)</f>
        <v>0</v>
      </c>
      <c r="BJ161" s="23">
        <f>VALUE(0)</f>
        <v>0</v>
      </c>
      <c r="BK161" s="12">
        <f>$AX$161*24</f>
        <v>55.349999999999994</v>
      </c>
      <c r="BL161" s="12">
        <f>$AY$161*24</f>
        <v>0</v>
      </c>
      <c r="BM161" s="12">
        <f>$BJ$161*24</f>
        <v>0</v>
      </c>
      <c r="BN161" s="12">
        <f>VALUE($I$161)/100</f>
        <v>1</v>
      </c>
      <c r="BO161" s="12">
        <v>0</v>
      </c>
      <c r="BP161" s="12">
        <v>0</v>
      </c>
      <c r="BQ161" s="12">
        <v>0</v>
      </c>
      <c r="BR161" s="12">
        <v>0</v>
      </c>
      <c r="BS161" s="12">
        <v>0</v>
      </c>
      <c r="BT161" s="12">
        <v>0</v>
      </c>
      <c r="BU161" s="12">
        <v>0</v>
      </c>
      <c r="BV161" s="12">
        <v>0</v>
      </c>
      <c r="BW161" s="12">
        <v>0</v>
      </c>
      <c r="BX161" s="12">
        <v>0</v>
      </c>
      <c r="BY161" s="12">
        <v>0</v>
      </c>
      <c r="BZ161" s="12">
        <v>0</v>
      </c>
      <c r="CA161" s="12">
        <v>0</v>
      </c>
    </row>
    <row r="162" spans="1:79" hidden="1" x14ac:dyDescent="0.2">
      <c r="A162" s="12" t="s">
        <v>120</v>
      </c>
      <c r="B162" s="12" t="s">
        <v>124</v>
      </c>
      <c r="C162" s="12" t="s">
        <v>124</v>
      </c>
      <c r="D162" s="22" t="s">
        <v>426</v>
      </c>
      <c r="E162" s="22" t="s">
        <v>161</v>
      </c>
      <c r="F162" s="22" t="s">
        <v>844</v>
      </c>
      <c r="G162" s="22" t="s">
        <v>845</v>
      </c>
      <c r="H162" s="22" t="s">
        <v>150</v>
      </c>
      <c r="I162" s="22" t="s">
        <v>151</v>
      </c>
      <c r="J162" s="22" t="s">
        <v>162</v>
      </c>
      <c r="K162" s="22" t="s">
        <v>83</v>
      </c>
      <c r="L162" s="54" t="s">
        <v>153</v>
      </c>
      <c r="M162" s="23" t="s">
        <v>153</v>
      </c>
      <c r="N162" s="24" t="s">
        <v>153</v>
      </c>
      <c r="O162" s="23" t="s">
        <v>153</v>
      </c>
      <c r="P162" s="23" t="s">
        <v>153</v>
      </c>
      <c r="Q162" s="23" t="s">
        <v>153</v>
      </c>
      <c r="R162" s="23" t="s">
        <v>153</v>
      </c>
      <c r="S162" s="23" t="s">
        <v>153</v>
      </c>
      <c r="T162" s="23" t="s">
        <v>153</v>
      </c>
      <c r="U162" s="24" t="s">
        <v>153</v>
      </c>
      <c r="V162" s="54" t="s">
        <v>153</v>
      </c>
      <c r="W162" s="23" t="s">
        <v>153</v>
      </c>
      <c r="X162" s="23" t="s">
        <v>153</v>
      </c>
      <c r="Y162" s="23" t="s">
        <v>153</v>
      </c>
      <c r="Z162" s="23" t="s">
        <v>153</v>
      </c>
      <c r="AA162" s="23" t="s">
        <v>153</v>
      </c>
      <c r="AB162" s="24" t="s">
        <v>153</v>
      </c>
      <c r="AC162" s="24" t="s">
        <v>156</v>
      </c>
      <c r="AD162" s="24" t="s">
        <v>156</v>
      </c>
      <c r="AE162" s="23" t="s">
        <v>153</v>
      </c>
      <c r="AF162" s="23" t="s">
        <v>153</v>
      </c>
      <c r="AG162" s="23" t="s">
        <v>153</v>
      </c>
      <c r="AH162" s="23" t="s">
        <v>153</v>
      </c>
      <c r="AI162" s="24" t="s">
        <v>153</v>
      </c>
      <c r="AJ162" s="23" t="s">
        <v>153</v>
      </c>
      <c r="AK162" s="23" t="s">
        <v>153</v>
      </c>
      <c r="AL162" s="23" t="s">
        <v>153</v>
      </c>
      <c r="AM162" s="23" t="s">
        <v>153</v>
      </c>
      <c r="AN162" s="23" t="s">
        <v>153</v>
      </c>
      <c r="AO162" s="23" t="s">
        <v>153</v>
      </c>
      <c r="AP162" s="23">
        <f>VALUE(0)</f>
        <v>0</v>
      </c>
      <c r="AQ162" s="23">
        <f>VALUE(0)</f>
        <v>0</v>
      </c>
      <c r="AR162" s="23">
        <f>VALUE(0)</f>
        <v>0</v>
      </c>
      <c r="AS162" s="23">
        <f>VALUE(0)</f>
        <v>0</v>
      </c>
      <c r="AT162" s="23">
        <f>VALUE(0)</f>
        <v>0</v>
      </c>
      <c r="AU162" s="23">
        <f>VALUE(0)</f>
        <v>0</v>
      </c>
      <c r="AV162" s="23">
        <f>VALUE(6)</f>
        <v>6</v>
      </c>
      <c r="AW162" s="23">
        <f>VALUE(0)</f>
        <v>0</v>
      </c>
      <c r="AX162" s="23" t="s">
        <v>171</v>
      </c>
      <c r="AY162" s="23" t="s">
        <v>427</v>
      </c>
      <c r="AZ162" s="23">
        <f>VALUE(0)</f>
        <v>0</v>
      </c>
      <c r="BA162" s="23">
        <f>VALUE(0)</f>
        <v>0</v>
      </c>
      <c r="BB162" s="23">
        <f>VALUE(0)</f>
        <v>0</v>
      </c>
      <c r="BC162" s="23">
        <f>VALUE(0)</f>
        <v>0</v>
      </c>
      <c r="BD162" s="23">
        <f>VALUE(0)</f>
        <v>0</v>
      </c>
      <c r="BE162" s="23">
        <f>VALUE(0)</f>
        <v>0</v>
      </c>
      <c r="BF162" s="23">
        <f>VALUE(0)</f>
        <v>0</v>
      </c>
      <c r="BG162" s="23">
        <f>VALUE(0)</f>
        <v>0</v>
      </c>
      <c r="BH162" s="23">
        <f>VALUE(0)</f>
        <v>0</v>
      </c>
      <c r="BI162" s="23">
        <f>VALUE(0)</f>
        <v>0</v>
      </c>
      <c r="BJ162" s="23">
        <f>VALUE(0)</f>
        <v>0</v>
      </c>
      <c r="BK162" s="12">
        <f>$AX$162*24</f>
        <v>5.833333333333333</v>
      </c>
      <c r="BL162" s="12">
        <f>$AY$162*24</f>
        <v>9.0500000000000007</v>
      </c>
      <c r="BM162" s="12">
        <f>$BJ$162*24</f>
        <v>0</v>
      </c>
      <c r="BN162" s="12">
        <f>VALUE($I$162)/100</f>
        <v>1</v>
      </c>
      <c r="BO162" s="12">
        <v>0</v>
      </c>
      <c r="BP162" s="12">
        <v>0</v>
      </c>
      <c r="BQ162" s="12">
        <v>0</v>
      </c>
      <c r="BR162" s="12">
        <v>0</v>
      </c>
      <c r="BS162" s="12">
        <v>0</v>
      </c>
      <c r="BT162" s="12">
        <v>0</v>
      </c>
      <c r="BU162" s="12">
        <v>0</v>
      </c>
      <c r="BV162" s="12">
        <v>0</v>
      </c>
      <c r="BW162" s="12">
        <v>0</v>
      </c>
      <c r="BX162" s="12">
        <v>0</v>
      </c>
      <c r="BY162" s="12">
        <v>0</v>
      </c>
      <c r="BZ162" s="12">
        <v>0</v>
      </c>
      <c r="CA162" s="12">
        <v>0</v>
      </c>
    </row>
    <row r="163" spans="1:79" hidden="1" x14ac:dyDescent="0.2">
      <c r="A163" s="12" t="s">
        <v>120</v>
      </c>
      <c r="B163" s="12" t="s">
        <v>124</v>
      </c>
      <c r="C163" s="12" t="s">
        <v>124</v>
      </c>
      <c r="D163" s="22" t="s">
        <v>385</v>
      </c>
      <c r="E163" s="22" t="s">
        <v>161</v>
      </c>
      <c r="F163" s="22" t="s">
        <v>846</v>
      </c>
      <c r="G163" s="22" t="s">
        <v>847</v>
      </c>
      <c r="H163" s="22" t="s">
        <v>150</v>
      </c>
      <c r="I163" s="22" t="s">
        <v>151</v>
      </c>
      <c r="J163" s="22" t="s">
        <v>162</v>
      </c>
      <c r="K163" s="22" t="s">
        <v>83</v>
      </c>
      <c r="L163" s="54" t="s">
        <v>156</v>
      </c>
      <c r="M163" s="24" t="s">
        <v>156</v>
      </c>
      <c r="N163" s="24" t="s">
        <v>153</v>
      </c>
      <c r="O163" s="23" t="s">
        <v>153</v>
      </c>
      <c r="P163" s="23" t="s">
        <v>153</v>
      </c>
      <c r="Q163" s="23" t="s">
        <v>153</v>
      </c>
      <c r="R163" s="23" t="s">
        <v>153</v>
      </c>
      <c r="S163" s="23" t="s">
        <v>153</v>
      </c>
      <c r="T163" s="23" t="s">
        <v>153</v>
      </c>
      <c r="U163" s="24" t="s">
        <v>153</v>
      </c>
      <c r="V163" s="54" t="s">
        <v>153</v>
      </c>
      <c r="W163" s="23" t="s">
        <v>153</v>
      </c>
      <c r="X163" s="23" t="s">
        <v>153</v>
      </c>
      <c r="Y163" s="23" t="s">
        <v>153</v>
      </c>
      <c r="Z163" s="23" t="s">
        <v>153</v>
      </c>
      <c r="AA163" s="23" t="s">
        <v>153</v>
      </c>
      <c r="AB163" s="24" t="s">
        <v>153</v>
      </c>
      <c r="AC163" s="23" t="s">
        <v>153</v>
      </c>
      <c r="AD163" s="23" t="s">
        <v>153</v>
      </c>
      <c r="AE163" s="23" t="s">
        <v>153</v>
      </c>
      <c r="AF163" s="23" t="s">
        <v>153</v>
      </c>
      <c r="AG163" s="23" t="s">
        <v>153</v>
      </c>
      <c r="AH163" s="23" t="s">
        <v>153</v>
      </c>
      <c r="AI163" s="24" t="s">
        <v>153</v>
      </c>
      <c r="AJ163" s="24" t="s">
        <v>156</v>
      </c>
      <c r="AK163" s="24" t="s">
        <v>156</v>
      </c>
      <c r="AL163" s="28" t="s">
        <v>163</v>
      </c>
      <c r="AM163" s="28" t="s">
        <v>163</v>
      </c>
      <c r="AN163" s="28" t="s">
        <v>163</v>
      </c>
      <c r="AO163" s="28" t="s">
        <v>163</v>
      </c>
      <c r="AP163" s="23">
        <f>VALUE(3)</f>
        <v>3</v>
      </c>
      <c r="AQ163" s="23">
        <f>VALUE(0)</f>
        <v>0</v>
      </c>
      <c r="AR163" s="23">
        <f>VALUE(0)</f>
        <v>0</v>
      </c>
      <c r="AS163" s="23">
        <f>VALUE(0)</f>
        <v>0</v>
      </c>
      <c r="AT163" s="23">
        <f>VALUE(0)</f>
        <v>0</v>
      </c>
      <c r="AU163" s="23">
        <f>VALUE(4)</f>
        <v>4</v>
      </c>
      <c r="AV163" s="23">
        <f>VALUE(7)</f>
        <v>7</v>
      </c>
      <c r="AW163" s="23">
        <f>VALUE(0)</f>
        <v>0</v>
      </c>
      <c r="AX163" s="23" t="s">
        <v>445</v>
      </c>
      <c r="AY163" s="23" t="s">
        <v>1230</v>
      </c>
      <c r="AZ163" s="23">
        <f>VALUE(0)</f>
        <v>0</v>
      </c>
      <c r="BA163" s="23">
        <f>VALUE(0)</f>
        <v>0</v>
      </c>
      <c r="BB163" s="23">
        <f>VALUE(0)</f>
        <v>0</v>
      </c>
      <c r="BC163" s="23">
        <f>VALUE(0)</f>
        <v>0</v>
      </c>
      <c r="BD163" s="23">
        <f>VALUE(0)</f>
        <v>0</v>
      </c>
      <c r="BE163" s="23">
        <f>VALUE(0)</f>
        <v>0</v>
      </c>
      <c r="BF163" s="23">
        <f>VALUE(0)</f>
        <v>0</v>
      </c>
      <c r="BG163" s="23">
        <f>VALUE(0)</f>
        <v>0</v>
      </c>
      <c r="BH163" s="23">
        <f>VALUE(0)</f>
        <v>0</v>
      </c>
      <c r="BI163" s="23">
        <f>VALUE(0)</f>
        <v>0</v>
      </c>
      <c r="BJ163" s="23">
        <f>VALUE(0)</f>
        <v>0</v>
      </c>
      <c r="BK163" s="12">
        <f>$AX$163*24</f>
        <v>17.5</v>
      </c>
      <c r="BL163" s="12">
        <f>$AY$163*24</f>
        <v>22.033333333333335</v>
      </c>
      <c r="BM163" s="12">
        <f>$BJ$163*24</f>
        <v>0</v>
      </c>
      <c r="BN163" s="12">
        <f>VALUE($I$163)/100</f>
        <v>1</v>
      </c>
      <c r="BO163" s="12">
        <v>0</v>
      </c>
      <c r="BP163" s="12">
        <v>0</v>
      </c>
      <c r="BQ163" s="12">
        <v>0</v>
      </c>
      <c r="BR163" s="12">
        <v>0</v>
      </c>
      <c r="BS163" s="12">
        <v>0</v>
      </c>
      <c r="BT163" s="12">
        <v>0</v>
      </c>
      <c r="BU163" s="12">
        <v>0</v>
      </c>
      <c r="BV163" s="12">
        <v>0</v>
      </c>
      <c r="BW163" s="12">
        <v>0</v>
      </c>
      <c r="BX163" s="12">
        <v>0</v>
      </c>
      <c r="BY163" s="12">
        <v>0</v>
      </c>
      <c r="BZ163" s="12">
        <v>0</v>
      </c>
      <c r="CA163" s="12">
        <v>0</v>
      </c>
    </row>
    <row r="164" spans="1:79" hidden="1" x14ac:dyDescent="0.2">
      <c r="A164" s="12" t="s">
        <v>120</v>
      </c>
      <c r="B164" s="12" t="s">
        <v>124</v>
      </c>
      <c r="C164" s="12" t="s">
        <v>124</v>
      </c>
      <c r="D164" s="22" t="s">
        <v>378</v>
      </c>
      <c r="E164" s="22" t="s">
        <v>161</v>
      </c>
      <c r="F164" s="22" t="s">
        <v>848</v>
      </c>
      <c r="G164" s="22" t="s">
        <v>849</v>
      </c>
      <c r="H164" s="22" t="s">
        <v>150</v>
      </c>
      <c r="I164" s="22" t="s">
        <v>151</v>
      </c>
      <c r="J164" s="22" t="s">
        <v>162</v>
      </c>
      <c r="K164" s="22" t="s">
        <v>83</v>
      </c>
      <c r="L164" s="54" t="s">
        <v>153</v>
      </c>
      <c r="M164" s="23" t="s">
        <v>153</v>
      </c>
      <c r="N164" s="24" t="s">
        <v>153</v>
      </c>
      <c r="O164" s="23" t="s">
        <v>153</v>
      </c>
      <c r="P164" s="23" t="s">
        <v>153</v>
      </c>
      <c r="Q164" s="23" t="s">
        <v>153</v>
      </c>
      <c r="R164" s="23" t="s">
        <v>153</v>
      </c>
      <c r="S164" s="23" t="s">
        <v>153</v>
      </c>
      <c r="T164" s="23" t="s">
        <v>153</v>
      </c>
      <c r="U164" s="24" t="s">
        <v>153</v>
      </c>
      <c r="V164" s="54" t="s">
        <v>153</v>
      </c>
      <c r="W164" s="30" t="s">
        <v>29</v>
      </c>
      <c r="X164" s="24" t="s">
        <v>156</v>
      </c>
      <c r="Y164" s="24" t="s">
        <v>156</v>
      </c>
      <c r="Z164" s="28" t="s">
        <v>163</v>
      </c>
      <c r="AA164" s="28" t="s">
        <v>163</v>
      </c>
      <c r="AB164" s="24" t="s">
        <v>153</v>
      </c>
      <c r="AC164" s="28" t="s">
        <v>163</v>
      </c>
      <c r="AD164" s="28" t="s">
        <v>163</v>
      </c>
      <c r="AE164" s="28" t="s">
        <v>163</v>
      </c>
      <c r="AF164" s="28" t="s">
        <v>163</v>
      </c>
      <c r="AG164" s="28" t="s">
        <v>163</v>
      </c>
      <c r="AH164" s="28" t="s">
        <v>163</v>
      </c>
      <c r="AI164" s="24" t="s">
        <v>153</v>
      </c>
      <c r="AJ164" s="28" t="s">
        <v>163</v>
      </c>
      <c r="AK164" s="28" t="s">
        <v>163</v>
      </c>
      <c r="AL164" s="28" t="s">
        <v>163</v>
      </c>
      <c r="AM164" s="28" t="s">
        <v>163</v>
      </c>
      <c r="AN164" s="28" t="s">
        <v>163</v>
      </c>
      <c r="AO164" s="28" t="s">
        <v>163</v>
      </c>
      <c r="AP164" s="23">
        <f>VALUE(0)</f>
        <v>0</v>
      </c>
      <c r="AQ164" s="23">
        <f>VALUE(0)</f>
        <v>0</v>
      </c>
      <c r="AR164" s="23">
        <f>VALUE(0)</f>
        <v>0</v>
      </c>
      <c r="AS164" s="23">
        <f>VALUE(0)</f>
        <v>0</v>
      </c>
      <c r="AT164" s="23">
        <f>VALUE(0)</f>
        <v>0</v>
      </c>
      <c r="AU164" s="23">
        <f>VALUE(14)</f>
        <v>14</v>
      </c>
      <c r="AV164" s="23">
        <f>VALUE(0)</f>
        <v>0</v>
      </c>
      <c r="AW164" s="23">
        <f>VALUE(0)</f>
        <v>0</v>
      </c>
      <c r="AX164" s="23" t="s">
        <v>171</v>
      </c>
      <c r="AY164" s="23" t="s">
        <v>428</v>
      </c>
      <c r="AZ164" s="23">
        <f>VALUE(0)</f>
        <v>0</v>
      </c>
      <c r="BA164" s="23">
        <f>VALUE(0)</f>
        <v>0</v>
      </c>
      <c r="BB164" s="23">
        <f>VALUE(0)</f>
        <v>0</v>
      </c>
      <c r="BC164" s="23">
        <f>VALUE(0)</f>
        <v>0</v>
      </c>
      <c r="BD164" s="23">
        <f>VALUE(0)</f>
        <v>0</v>
      </c>
      <c r="BE164" s="23">
        <f>VALUE(0)</f>
        <v>0</v>
      </c>
      <c r="BF164" s="23">
        <f>VALUE(0)</f>
        <v>0</v>
      </c>
      <c r="BG164" s="23">
        <f>VALUE(0)</f>
        <v>0</v>
      </c>
      <c r="BH164" s="23">
        <f>VALUE(0)</f>
        <v>0</v>
      </c>
      <c r="BI164" s="23">
        <f>VALUE(0)</f>
        <v>0</v>
      </c>
      <c r="BJ164" s="23">
        <f>VALUE(0)</f>
        <v>0</v>
      </c>
      <c r="BK164" s="12">
        <f>$AX$164*24</f>
        <v>5.833333333333333</v>
      </c>
      <c r="BL164" s="12">
        <f>$AY$164*24</f>
        <v>8.7666666666666675</v>
      </c>
      <c r="BM164" s="12">
        <f>$BJ$164*24</f>
        <v>0</v>
      </c>
      <c r="BN164" s="12">
        <f>VALUE($I$164)/100</f>
        <v>1</v>
      </c>
      <c r="BO164" s="12">
        <v>0</v>
      </c>
      <c r="BP164" s="12">
        <v>0</v>
      </c>
      <c r="BQ164" s="12">
        <v>0</v>
      </c>
      <c r="BR164" s="12">
        <v>0</v>
      </c>
      <c r="BS164" s="12">
        <v>0</v>
      </c>
      <c r="BT164" s="12">
        <v>0</v>
      </c>
      <c r="BU164" s="12">
        <v>0</v>
      </c>
      <c r="BV164" s="12">
        <v>0</v>
      </c>
      <c r="BW164" s="12">
        <v>0</v>
      </c>
      <c r="BX164" s="12">
        <v>0</v>
      </c>
      <c r="BY164" s="12">
        <v>0</v>
      </c>
      <c r="BZ164" s="12">
        <v>0</v>
      </c>
      <c r="CA164" s="12">
        <v>0</v>
      </c>
    </row>
    <row r="165" spans="1:79" hidden="1" x14ac:dyDescent="0.2">
      <c r="A165" s="12" t="s">
        <v>120</v>
      </c>
      <c r="B165" s="12" t="s">
        <v>124</v>
      </c>
      <c r="C165" s="12" t="s">
        <v>124</v>
      </c>
      <c r="D165" s="22" t="s">
        <v>378</v>
      </c>
      <c r="E165" s="22" t="s">
        <v>161</v>
      </c>
      <c r="F165" s="22" t="s">
        <v>1231</v>
      </c>
      <c r="G165" s="22" t="s">
        <v>850</v>
      </c>
      <c r="H165" s="22" t="s">
        <v>191</v>
      </c>
      <c r="I165" s="22" t="s">
        <v>151</v>
      </c>
      <c r="J165" s="22" t="s">
        <v>162</v>
      </c>
      <c r="K165" s="22" t="s">
        <v>83</v>
      </c>
      <c r="L165" s="54" t="s">
        <v>153</v>
      </c>
      <c r="M165" s="27" t="s">
        <v>153</v>
      </c>
      <c r="N165" s="24" t="s">
        <v>153</v>
      </c>
      <c r="O165" s="27" t="s">
        <v>153</v>
      </c>
      <c r="P165" s="27" t="s">
        <v>153</v>
      </c>
      <c r="Q165" s="27" t="s">
        <v>153</v>
      </c>
      <c r="R165" s="23" t="s">
        <v>1232</v>
      </c>
      <c r="S165" s="23" t="s">
        <v>1232</v>
      </c>
      <c r="T165" s="23" t="s">
        <v>1232</v>
      </c>
      <c r="U165" s="24" t="s">
        <v>153</v>
      </c>
      <c r="V165" s="54" t="s">
        <v>153</v>
      </c>
      <c r="W165" s="23" t="s">
        <v>153</v>
      </c>
      <c r="X165" s="23" t="s">
        <v>153</v>
      </c>
      <c r="Y165" s="23" t="s">
        <v>153</v>
      </c>
      <c r="Z165" s="23" t="s">
        <v>153</v>
      </c>
      <c r="AA165" s="23" t="s">
        <v>153</v>
      </c>
      <c r="AB165" s="24" t="s">
        <v>153</v>
      </c>
      <c r="AC165" s="23" t="s">
        <v>153</v>
      </c>
      <c r="AD165" s="23" t="s">
        <v>153</v>
      </c>
      <c r="AE165" s="23" t="s">
        <v>153</v>
      </c>
      <c r="AF165" s="23" t="s">
        <v>153</v>
      </c>
      <c r="AG165" s="23" t="s">
        <v>153</v>
      </c>
      <c r="AH165" s="23" t="s">
        <v>153</v>
      </c>
      <c r="AI165" s="24" t="s">
        <v>153</v>
      </c>
      <c r="AJ165" s="23" t="s">
        <v>153</v>
      </c>
      <c r="AK165" s="23" t="s">
        <v>153</v>
      </c>
      <c r="AL165" s="23" t="s">
        <v>153</v>
      </c>
      <c r="AM165" s="23" t="s">
        <v>153</v>
      </c>
      <c r="AN165" s="23" t="s">
        <v>153</v>
      </c>
      <c r="AO165" s="23" t="s">
        <v>153</v>
      </c>
      <c r="AP165" s="23">
        <f>VALUE(0)</f>
        <v>0</v>
      </c>
      <c r="AQ165" s="23">
        <f>VALUE(0)</f>
        <v>0</v>
      </c>
      <c r="AR165" s="23">
        <f>VALUE(0)</f>
        <v>0</v>
      </c>
      <c r="AS165" s="23">
        <f>VALUE(0)</f>
        <v>0</v>
      </c>
      <c r="AT165" s="23">
        <f>VALUE(0)</f>
        <v>0</v>
      </c>
      <c r="AU165" s="23">
        <f>VALUE(0)</f>
        <v>0</v>
      </c>
      <c r="AV165" s="23">
        <f>VALUE(0)</f>
        <v>0</v>
      </c>
      <c r="AW165" s="23">
        <f>VALUE(0)</f>
        <v>0</v>
      </c>
      <c r="AX165" s="23">
        <f>VALUE(0)</f>
        <v>0</v>
      </c>
      <c r="AY165" s="23">
        <f>VALUE(0)</f>
        <v>0</v>
      </c>
      <c r="AZ165" s="23">
        <f>VALUE(0)</f>
        <v>0</v>
      </c>
      <c r="BA165" s="23">
        <f>VALUE(0)</f>
        <v>0</v>
      </c>
      <c r="BB165" s="23">
        <f>VALUE(0)</f>
        <v>0</v>
      </c>
      <c r="BC165" s="23">
        <f>VALUE(0)</f>
        <v>0</v>
      </c>
      <c r="BD165" s="23">
        <f>VALUE(3)</f>
        <v>3</v>
      </c>
      <c r="BE165" s="23">
        <f>VALUE(0)</f>
        <v>0</v>
      </c>
      <c r="BF165" s="23">
        <f>VALUE(0)</f>
        <v>0</v>
      </c>
      <c r="BG165" s="23">
        <f>VALUE(0)</f>
        <v>0</v>
      </c>
      <c r="BH165" s="23">
        <f>VALUE(0)</f>
        <v>0</v>
      </c>
      <c r="BI165" s="23">
        <f>VALUE(0)</f>
        <v>0</v>
      </c>
      <c r="BJ165" s="23">
        <f>VALUE(0)</f>
        <v>0</v>
      </c>
      <c r="BK165" s="12">
        <f>$AX$165*24</f>
        <v>0</v>
      </c>
      <c r="BL165" s="12">
        <f>$AY$165*24</f>
        <v>0</v>
      </c>
      <c r="BM165" s="12">
        <f>$BJ$165*24</f>
        <v>0</v>
      </c>
      <c r="BN165" s="12">
        <f>VALUE($I$165)/100</f>
        <v>1</v>
      </c>
      <c r="BO165" s="12">
        <v>0</v>
      </c>
      <c r="BP165" s="12">
        <v>0</v>
      </c>
      <c r="BQ165" s="12">
        <v>0</v>
      </c>
      <c r="BR165" s="12">
        <v>0</v>
      </c>
      <c r="BS165" s="12">
        <v>0</v>
      </c>
      <c r="BT165" s="12">
        <v>0</v>
      </c>
      <c r="BU165" s="12">
        <v>0</v>
      </c>
      <c r="BV165" s="12">
        <v>0</v>
      </c>
      <c r="BW165" s="12">
        <v>0</v>
      </c>
      <c r="BX165" s="12">
        <v>0</v>
      </c>
      <c r="BY165" s="12">
        <v>0</v>
      </c>
      <c r="BZ165" s="12">
        <v>0</v>
      </c>
      <c r="CA165" s="12">
        <v>0</v>
      </c>
    </row>
    <row r="166" spans="1:79" hidden="1" x14ac:dyDescent="0.2">
      <c r="A166" s="12" t="s">
        <v>120</v>
      </c>
      <c r="B166" s="12" t="s">
        <v>124</v>
      </c>
      <c r="C166" s="12" t="s">
        <v>124</v>
      </c>
      <c r="D166" s="22" t="s">
        <v>389</v>
      </c>
      <c r="E166" s="22" t="s">
        <v>161</v>
      </c>
      <c r="F166" s="22" t="s">
        <v>851</v>
      </c>
      <c r="G166" s="22" t="s">
        <v>852</v>
      </c>
      <c r="H166" s="22" t="s">
        <v>279</v>
      </c>
      <c r="I166" s="22" t="s">
        <v>151</v>
      </c>
      <c r="J166" s="22" t="s">
        <v>162</v>
      </c>
      <c r="K166" s="22" t="s">
        <v>83</v>
      </c>
      <c r="L166" s="54" t="s">
        <v>153</v>
      </c>
      <c r="M166" s="27" t="s">
        <v>153</v>
      </c>
      <c r="N166" s="24" t="s">
        <v>153</v>
      </c>
      <c r="O166" s="23" t="s">
        <v>153</v>
      </c>
      <c r="P166" s="23" t="s">
        <v>153</v>
      </c>
      <c r="Q166" s="25" t="s">
        <v>1233</v>
      </c>
      <c r="R166" s="25" t="s">
        <v>1233</v>
      </c>
      <c r="S166" s="23" t="s">
        <v>380</v>
      </c>
      <c r="T166" s="23" t="s">
        <v>380</v>
      </c>
      <c r="U166" s="24" t="s">
        <v>153</v>
      </c>
      <c r="V166" s="54" t="s">
        <v>153</v>
      </c>
      <c r="W166" s="23" t="s">
        <v>380</v>
      </c>
      <c r="X166" s="23" t="s">
        <v>380</v>
      </c>
      <c r="Y166" s="23" t="s">
        <v>380</v>
      </c>
      <c r="Z166" s="23" t="s">
        <v>380</v>
      </c>
      <c r="AA166" s="23" t="s">
        <v>380</v>
      </c>
      <c r="AB166" s="24" t="s">
        <v>153</v>
      </c>
      <c r="AC166" s="23" t="s">
        <v>388</v>
      </c>
      <c r="AD166" s="23" t="s">
        <v>388</v>
      </c>
      <c r="AE166" s="23" t="s">
        <v>388</v>
      </c>
      <c r="AF166" s="23" t="s">
        <v>388</v>
      </c>
      <c r="AG166" s="23" t="s">
        <v>388</v>
      </c>
      <c r="AH166" s="23" t="s">
        <v>388</v>
      </c>
      <c r="AI166" s="24" t="s">
        <v>153</v>
      </c>
      <c r="AJ166" s="23" t="s">
        <v>388</v>
      </c>
      <c r="AK166" s="23" t="s">
        <v>388</v>
      </c>
      <c r="AL166" s="23" t="s">
        <v>388</v>
      </c>
      <c r="AM166" s="23" t="s">
        <v>388</v>
      </c>
      <c r="AN166" s="23" t="s">
        <v>388</v>
      </c>
      <c r="AO166" s="23" t="s">
        <v>388</v>
      </c>
      <c r="AP166" s="23">
        <f>VALUE(0)</f>
        <v>0</v>
      </c>
      <c r="AQ166" s="23">
        <f>VALUE(0)</f>
        <v>0</v>
      </c>
      <c r="AR166" s="23">
        <f>VALUE(0)</f>
        <v>0</v>
      </c>
      <c r="AS166" s="23">
        <f>VALUE(0)</f>
        <v>0</v>
      </c>
      <c r="AT166" s="23">
        <f>VALUE(0)</f>
        <v>0</v>
      </c>
      <c r="AU166" s="23">
        <f>VALUE(0)</f>
        <v>0</v>
      </c>
      <c r="AV166" s="23">
        <f>VALUE(0)</f>
        <v>0</v>
      </c>
      <c r="AW166" s="23">
        <f>VALUE(0)</f>
        <v>0</v>
      </c>
      <c r="AX166" s="23">
        <f>VALUE(0)</f>
        <v>0</v>
      </c>
      <c r="AY166" s="23">
        <f>VALUE(0)</f>
        <v>0</v>
      </c>
      <c r="AZ166" s="23">
        <f>VALUE(0)</f>
        <v>0</v>
      </c>
      <c r="BA166" s="23">
        <f>VALUE(0)</f>
        <v>0</v>
      </c>
      <c r="BB166" s="23">
        <f>VALUE(0)</f>
        <v>0</v>
      </c>
      <c r="BC166" s="23">
        <f>VALUE(0)</f>
        <v>0</v>
      </c>
      <c r="BD166" s="23">
        <f>VALUE(2)</f>
        <v>2</v>
      </c>
      <c r="BE166" s="23">
        <f>VALUE(0)</f>
        <v>0</v>
      </c>
      <c r="BF166" s="23">
        <f>VALUE(0)</f>
        <v>0</v>
      </c>
      <c r="BG166" s="23">
        <f>VALUE(0)</f>
        <v>0</v>
      </c>
      <c r="BH166" s="23">
        <f>VALUE(0)</f>
        <v>0</v>
      </c>
      <c r="BI166" s="23">
        <f>VALUE(0)</f>
        <v>0</v>
      </c>
      <c r="BJ166" s="23">
        <f>VALUE(0)</f>
        <v>0</v>
      </c>
      <c r="BK166" s="12">
        <f>$AX$166*24</f>
        <v>0</v>
      </c>
      <c r="BL166" s="12">
        <f>$AY$166*24</f>
        <v>0</v>
      </c>
      <c r="BM166" s="12">
        <f>$BJ$166*24</f>
        <v>0</v>
      </c>
      <c r="BN166" s="12">
        <f>VALUE($I$166)/100</f>
        <v>1</v>
      </c>
      <c r="BO166" s="12">
        <v>0</v>
      </c>
      <c r="BP166" s="12">
        <v>0</v>
      </c>
      <c r="BQ166" s="12">
        <v>0</v>
      </c>
      <c r="BR166" s="12">
        <v>2</v>
      </c>
      <c r="BS166" s="12">
        <v>0</v>
      </c>
      <c r="BT166" s="12">
        <v>0</v>
      </c>
      <c r="BU166" s="12">
        <v>0</v>
      </c>
      <c r="BV166" s="12">
        <v>0</v>
      </c>
      <c r="BW166" s="12">
        <v>0</v>
      </c>
      <c r="BX166" s="12">
        <v>0</v>
      </c>
      <c r="BY166" s="12">
        <v>0</v>
      </c>
      <c r="BZ166" s="12">
        <v>0</v>
      </c>
      <c r="CA166" s="12">
        <v>0</v>
      </c>
    </row>
    <row r="167" spans="1:79" hidden="1" x14ac:dyDescent="0.2">
      <c r="A167" s="12" t="s">
        <v>120</v>
      </c>
      <c r="B167" s="12" t="s">
        <v>124</v>
      </c>
      <c r="C167" s="12" t="s">
        <v>124</v>
      </c>
      <c r="D167" s="22" t="s">
        <v>379</v>
      </c>
      <c r="E167" s="22" t="s">
        <v>161</v>
      </c>
      <c r="F167" s="22" t="s">
        <v>853</v>
      </c>
      <c r="G167" s="22" t="s">
        <v>854</v>
      </c>
      <c r="H167" s="22" t="s">
        <v>166</v>
      </c>
      <c r="I167" s="22" t="s">
        <v>151</v>
      </c>
      <c r="J167" s="22" t="s">
        <v>162</v>
      </c>
      <c r="K167" s="22" t="s">
        <v>83</v>
      </c>
      <c r="L167" s="54" t="s">
        <v>153</v>
      </c>
      <c r="M167" s="23" t="s">
        <v>153</v>
      </c>
      <c r="N167" s="24" t="s">
        <v>153</v>
      </c>
      <c r="O167" s="23" t="s">
        <v>153</v>
      </c>
      <c r="P167" s="23" t="s">
        <v>153</v>
      </c>
      <c r="Q167" s="23" t="s">
        <v>153</v>
      </c>
      <c r="R167" s="23" t="s">
        <v>153</v>
      </c>
      <c r="S167" s="23" t="s">
        <v>153</v>
      </c>
      <c r="T167" s="23" t="s">
        <v>153</v>
      </c>
      <c r="U167" s="24" t="s">
        <v>153</v>
      </c>
      <c r="V167" s="54" t="s">
        <v>153</v>
      </c>
      <c r="W167" s="23" t="s">
        <v>153</v>
      </c>
      <c r="X167" s="23" t="s">
        <v>153</v>
      </c>
      <c r="Y167" s="23" t="s">
        <v>153</v>
      </c>
      <c r="Z167" s="23" t="s">
        <v>153</v>
      </c>
      <c r="AA167" s="23" t="s">
        <v>153</v>
      </c>
      <c r="AB167" s="24" t="s">
        <v>153</v>
      </c>
      <c r="AC167" s="23" t="s">
        <v>153</v>
      </c>
      <c r="AD167" s="23" t="s">
        <v>153</v>
      </c>
      <c r="AE167" s="23" t="s">
        <v>153</v>
      </c>
      <c r="AF167" s="23" t="s">
        <v>153</v>
      </c>
      <c r="AG167" s="23" t="s">
        <v>153</v>
      </c>
      <c r="AH167" s="23" t="s">
        <v>153</v>
      </c>
      <c r="AI167" s="24" t="s">
        <v>153</v>
      </c>
      <c r="AJ167" s="23" t="s">
        <v>153</v>
      </c>
      <c r="AK167" s="23" t="s">
        <v>153</v>
      </c>
      <c r="AL167" s="23" t="s">
        <v>153</v>
      </c>
      <c r="AM167" s="23" t="s">
        <v>153</v>
      </c>
      <c r="AN167" s="24" t="s">
        <v>156</v>
      </c>
      <c r="AO167" s="24" t="s">
        <v>156</v>
      </c>
      <c r="AP167" s="23">
        <f>VALUE(1)</f>
        <v>1</v>
      </c>
      <c r="AQ167" s="23">
        <f>VALUE(0)</f>
        <v>0</v>
      </c>
      <c r="AR167" s="23">
        <f>VALUE(0)</f>
        <v>0</v>
      </c>
      <c r="AS167" s="23">
        <f>VALUE(0)</f>
        <v>0</v>
      </c>
      <c r="AT167" s="23">
        <f>VALUE(0)</f>
        <v>0</v>
      </c>
      <c r="AU167" s="23">
        <f>VALUE(0)</f>
        <v>0</v>
      </c>
      <c r="AV167" s="23">
        <f>VALUE(1)</f>
        <v>1</v>
      </c>
      <c r="AW167" s="23">
        <f>VALUE(3)</f>
        <v>3</v>
      </c>
      <c r="AX167" s="23" t="s">
        <v>1234</v>
      </c>
      <c r="AY167" s="23">
        <f>VALUE(0)</f>
        <v>0</v>
      </c>
      <c r="AZ167" s="23">
        <f>VALUE(0)</f>
        <v>0</v>
      </c>
      <c r="BA167" s="23">
        <f>VALUE(0)</f>
        <v>0</v>
      </c>
      <c r="BB167" s="23">
        <f>VALUE(0)</f>
        <v>0</v>
      </c>
      <c r="BC167" s="23">
        <f>VALUE(0)</f>
        <v>0</v>
      </c>
      <c r="BD167" s="23">
        <f>VALUE(0)</f>
        <v>0</v>
      </c>
      <c r="BE167" s="23">
        <f>VALUE(0)</f>
        <v>0</v>
      </c>
      <c r="BF167" s="23">
        <f>VALUE(0)</f>
        <v>0</v>
      </c>
      <c r="BG167" s="23">
        <f>VALUE(0)</f>
        <v>0</v>
      </c>
      <c r="BH167" s="23">
        <f>VALUE(0)</f>
        <v>0</v>
      </c>
      <c r="BI167" s="23">
        <f>VALUE(0)</f>
        <v>0</v>
      </c>
      <c r="BJ167" s="23">
        <f>VALUE(0)</f>
        <v>0</v>
      </c>
      <c r="BK167" s="12">
        <f>$AX$167*24</f>
        <v>9.8833333333333329</v>
      </c>
      <c r="BL167" s="12">
        <f>$AY$167*24</f>
        <v>0</v>
      </c>
      <c r="BM167" s="12">
        <f>$BJ$167*24</f>
        <v>0</v>
      </c>
      <c r="BN167" s="12">
        <f>VALUE($I$167)/100</f>
        <v>1</v>
      </c>
      <c r="BO167" s="12">
        <v>0</v>
      </c>
      <c r="BP167" s="12">
        <v>0</v>
      </c>
      <c r="BQ167" s="12">
        <v>0</v>
      </c>
      <c r="BR167" s="12">
        <v>0</v>
      </c>
      <c r="BS167" s="12">
        <v>0</v>
      </c>
      <c r="BT167" s="12">
        <v>0</v>
      </c>
      <c r="BU167" s="12">
        <v>0</v>
      </c>
      <c r="BV167" s="12">
        <v>0</v>
      </c>
      <c r="BW167" s="12">
        <v>0</v>
      </c>
      <c r="BX167" s="12">
        <v>0</v>
      </c>
      <c r="BY167" s="12">
        <v>0</v>
      </c>
      <c r="BZ167" s="12">
        <v>0</v>
      </c>
      <c r="CA167" s="12">
        <v>0</v>
      </c>
    </row>
    <row r="168" spans="1:79" hidden="1" x14ac:dyDescent="0.2">
      <c r="A168" s="12" t="s">
        <v>120</v>
      </c>
      <c r="B168" s="12" t="s">
        <v>124</v>
      </c>
      <c r="C168" s="12" t="s">
        <v>124</v>
      </c>
      <c r="D168" s="22" t="s">
        <v>429</v>
      </c>
      <c r="E168" s="22" t="s">
        <v>161</v>
      </c>
      <c r="F168" s="22" t="s">
        <v>1235</v>
      </c>
      <c r="G168" s="22" t="s">
        <v>855</v>
      </c>
      <c r="H168" s="22" t="s">
        <v>166</v>
      </c>
      <c r="I168" s="22" t="s">
        <v>151</v>
      </c>
      <c r="J168" s="22" t="s">
        <v>162</v>
      </c>
      <c r="K168" s="22" t="s">
        <v>83</v>
      </c>
      <c r="L168" s="54" t="s">
        <v>153</v>
      </c>
      <c r="M168" s="29" t="s">
        <v>1175</v>
      </c>
      <c r="N168" s="24" t="s">
        <v>153</v>
      </c>
      <c r="O168" s="29" t="s">
        <v>1175</v>
      </c>
      <c r="P168" s="29" t="s">
        <v>1175</v>
      </c>
      <c r="Q168" s="29" t="s">
        <v>1175</v>
      </c>
      <c r="R168" s="29" t="s">
        <v>1175</v>
      </c>
      <c r="S168" s="29" t="s">
        <v>1175</v>
      </c>
      <c r="T168" s="29" t="s">
        <v>1175</v>
      </c>
      <c r="U168" s="24" t="s">
        <v>153</v>
      </c>
      <c r="V168" s="54" t="s">
        <v>153</v>
      </c>
      <c r="W168" s="29" t="s">
        <v>1175</v>
      </c>
      <c r="X168" s="29" t="s">
        <v>1175</v>
      </c>
      <c r="Y168" s="29" t="s">
        <v>1175</v>
      </c>
      <c r="Z168" s="29" t="s">
        <v>1175</v>
      </c>
      <c r="AA168" s="29" t="s">
        <v>1175</v>
      </c>
      <c r="AB168" s="24" t="s">
        <v>153</v>
      </c>
      <c r="AC168" s="23" t="s">
        <v>153</v>
      </c>
      <c r="AD168" s="23" t="s">
        <v>153</v>
      </c>
      <c r="AE168" s="23" t="s">
        <v>153</v>
      </c>
      <c r="AF168" s="23" t="s">
        <v>153</v>
      </c>
      <c r="AG168" s="24" t="s">
        <v>156</v>
      </c>
      <c r="AH168" s="24" t="s">
        <v>156</v>
      </c>
      <c r="AI168" s="24" t="s">
        <v>153</v>
      </c>
      <c r="AJ168" s="23" t="s">
        <v>153</v>
      </c>
      <c r="AK168" s="23" t="s">
        <v>153</v>
      </c>
      <c r="AL168" s="23" t="s">
        <v>153</v>
      </c>
      <c r="AM168" s="23" t="s">
        <v>153</v>
      </c>
      <c r="AN168" s="23" t="s">
        <v>153</v>
      </c>
      <c r="AO168" s="23" t="s">
        <v>153</v>
      </c>
      <c r="AP168" s="23">
        <f>VALUE(0)</f>
        <v>0</v>
      </c>
      <c r="AQ168" s="23">
        <f>VALUE(0)</f>
        <v>0</v>
      </c>
      <c r="AR168" s="23">
        <f>VALUE(12)</f>
        <v>12</v>
      </c>
      <c r="AS168" s="23">
        <f>VALUE(0)</f>
        <v>0</v>
      </c>
      <c r="AT168" s="23">
        <f>VALUE(0)</f>
        <v>0</v>
      </c>
      <c r="AU168" s="23">
        <f>VALUE(0)</f>
        <v>0</v>
      </c>
      <c r="AV168" s="23">
        <f>VALUE(32)</f>
        <v>32</v>
      </c>
      <c r="AW168" s="23">
        <f>VALUE(4)</f>
        <v>4</v>
      </c>
      <c r="AX168" s="23" t="s">
        <v>430</v>
      </c>
      <c r="AY168" s="23">
        <f>VALUE(0)</f>
        <v>0</v>
      </c>
      <c r="AZ168" s="23">
        <f>VALUE(0)</f>
        <v>0</v>
      </c>
      <c r="BA168" s="23">
        <f>VALUE(0)</f>
        <v>0</v>
      </c>
      <c r="BB168" s="23">
        <f>VALUE(0)</f>
        <v>0</v>
      </c>
      <c r="BC168" s="23">
        <f>VALUE(0)</f>
        <v>0</v>
      </c>
      <c r="BD168" s="23">
        <f>VALUE(0)</f>
        <v>0</v>
      </c>
      <c r="BE168" s="23">
        <f>VALUE(0)</f>
        <v>0</v>
      </c>
      <c r="BF168" s="23">
        <f>VALUE(0)</f>
        <v>0</v>
      </c>
      <c r="BG168" s="23">
        <f>VALUE(0)</f>
        <v>0</v>
      </c>
      <c r="BH168" s="23">
        <f>VALUE(0)</f>
        <v>0</v>
      </c>
      <c r="BI168" s="23">
        <f>VALUE(0)</f>
        <v>0</v>
      </c>
      <c r="BJ168" s="23">
        <f>VALUE(0)</f>
        <v>0</v>
      </c>
      <c r="BK168" s="12">
        <f>$AX$168*24</f>
        <v>28.216666666666665</v>
      </c>
      <c r="BL168" s="12">
        <f>$AY$168*24</f>
        <v>0</v>
      </c>
      <c r="BM168" s="12">
        <f>$BJ$168*24</f>
        <v>0</v>
      </c>
      <c r="BN168" s="12">
        <f>VALUE($I$168)/100</f>
        <v>1</v>
      </c>
      <c r="BO168" s="12">
        <v>0</v>
      </c>
      <c r="BP168" s="12">
        <v>0</v>
      </c>
      <c r="BQ168" s="12">
        <v>0</v>
      </c>
      <c r="BR168" s="12">
        <v>0</v>
      </c>
      <c r="BS168" s="12">
        <v>0</v>
      </c>
      <c r="BT168" s="12">
        <v>0</v>
      </c>
      <c r="BU168" s="12">
        <v>0</v>
      </c>
      <c r="BV168" s="12">
        <v>12</v>
      </c>
      <c r="BW168" s="12">
        <v>0</v>
      </c>
      <c r="BX168" s="12">
        <v>0</v>
      </c>
      <c r="BY168" s="12">
        <v>0</v>
      </c>
      <c r="BZ168" s="12">
        <v>0</v>
      </c>
      <c r="CA168" s="12">
        <v>0</v>
      </c>
    </row>
    <row r="169" spans="1:79" hidden="1" x14ac:dyDescent="0.2">
      <c r="A169" s="12" t="s">
        <v>120</v>
      </c>
      <c r="B169" s="12" t="s">
        <v>124</v>
      </c>
      <c r="C169" s="12" t="s">
        <v>124</v>
      </c>
      <c r="D169" s="22" t="s">
        <v>429</v>
      </c>
      <c r="E169" s="22" t="s">
        <v>161</v>
      </c>
      <c r="F169" s="22" t="s">
        <v>856</v>
      </c>
      <c r="G169" s="22" t="s">
        <v>857</v>
      </c>
      <c r="H169" s="22" t="s">
        <v>190</v>
      </c>
      <c r="I169" s="22" t="s">
        <v>151</v>
      </c>
      <c r="J169" s="22" t="s">
        <v>162</v>
      </c>
      <c r="K169" s="22" t="s">
        <v>83</v>
      </c>
      <c r="L169" s="54" t="s">
        <v>153</v>
      </c>
      <c r="M169" s="23" t="s">
        <v>153</v>
      </c>
      <c r="N169" s="24" t="s">
        <v>153</v>
      </c>
      <c r="O169" s="40" t="s">
        <v>153</v>
      </c>
      <c r="P169" s="23" t="s">
        <v>153</v>
      </c>
      <c r="Q169" s="23" t="s">
        <v>153</v>
      </c>
      <c r="R169" s="23" t="s">
        <v>153</v>
      </c>
      <c r="S169" s="23" t="s">
        <v>153</v>
      </c>
      <c r="T169" s="23" t="s">
        <v>153</v>
      </c>
      <c r="U169" s="24" t="s">
        <v>153</v>
      </c>
      <c r="V169" s="40" t="s">
        <v>153</v>
      </c>
      <c r="W169" s="40" t="s">
        <v>153</v>
      </c>
      <c r="X169" s="40" t="s">
        <v>153</v>
      </c>
      <c r="Y169" s="40" t="s">
        <v>153</v>
      </c>
      <c r="Z169" s="40" t="s">
        <v>153</v>
      </c>
      <c r="AA169" s="40" t="s">
        <v>153</v>
      </c>
      <c r="AB169" s="40" t="s">
        <v>153</v>
      </c>
      <c r="AC169" s="40" t="s">
        <v>153</v>
      </c>
      <c r="AD169" s="40" t="s">
        <v>153</v>
      </c>
      <c r="AE169" s="40" t="s">
        <v>153</v>
      </c>
      <c r="AF169" s="40" t="s">
        <v>153</v>
      </c>
      <c r="AG169" s="40" t="s">
        <v>153</v>
      </c>
      <c r="AH169" s="40" t="s">
        <v>153</v>
      </c>
      <c r="AI169" s="40" t="s">
        <v>153</v>
      </c>
      <c r="AJ169" s="40" t="s">
        <v>153</v>
      </c>
      <c r="AK169" s="40" t="s">
        <v>153</v>
      </c>
      <c r="AL169" s="40" t="s">
        <v>153</v>
      </c>
      <c r="AM169" s="40" t="s">
        <v>153</v>
      </c>
      <c r="AN169" s="40" t="s">
        <v>153</v>
      </c>
      <c r="AO169" s="40" t="s">
        <v>153</v>
      </c>
      <c r="AP169" s="23">
        <f>VALUE(0)</f>
        <v>0</v>
      </c>
      <c r="AQ169" s="23">
        <f>VALUE(0)</f>
        <v>0</v>
      </c>
      <c r="AR169" s="23">
        <f>VALUE(0)</f>
        <v>0</v>
      </c>
      <c r="AS169" s="23">
        <f>VALUE(0)</f>
        <v>0</v>
      </c>
      <c r="AT169" s="23">
        <f>VALUE(0)</f>
        <v>0</v>
      </c>
      <c r="AU169" s="23">
        <f>VALUE(0)</f>
        <v>0</v>
      </c>
      <c r="AV169" s="23">
        <f>VALUE(4)</f>
        <v>4</v>
      </c>
      <c r="AW169" s="23">
        <f>VALUE(0)</f>
        <v>0</v>
      </c>
      <c r="AX169" s="23" t="s">
        <v>171</v>
      </c>
      <c r="AY169" s="23">
        <f>VALUE(0)</f>
        <v>0</v>
      </c>
      <c r="AZ169" s="23">
        <f>VALUE(0)</f>
        <v>0</v>
      </c>
      <c r="BA169" s="23">
        <f>VALUE(0)</f>
        <v>0</v>
      </c>
      <c r="BB169" s="23">
        <f>VALUE(0)</f>
        <v>0</v>
      </c>
      <c r="BC169" s="23">
        <f>VALUE(0)</f>
        <v>0</v>
      </c>
      <c r="BD169" s="23">
        <f>VALUE(0)</f>
        <v>0</v>
      </c>
      <c r="BE169" s="23">
        <f>VALUE(0)</f>
        <v>0</v>
      </c>
      <c r="BF169" s="23">
        <f>VALUE(0)</f>
        <v>0</v>
      </c>
      <c r="BG169" s="23">
        <f>VALUE(0)</f>
        <v>0</v>
      </c>
      <c r="BH169" s="23">
        <f>VALUE(0)</f>
        <v>0</v>
      </c>
      <c r="BI169" s="23">
        <f>VALUE(0)</f>
        <v>0</v>
      </c>
      <c r="BJ169" s="23">
        <f>VALUE(0)</f>
        <v>0</v>
      </c>
      <c r="BK169" s="12">
        <f>$AX$169*24</f>
        <v>5.833333333333333</v>
      </c>
      <c r="BL169" s="12">
        <f>$AY$169*24</f>
        <v>0</v>
      </c>
      <c r="BM169" s="12">
        <f>$BJ$169*24</f>
        <v>0</v>
      </c>
      <c r="BN169" s="12">
        <f>VALUE($I$169)/100</f>
        <v>1</v>
      </c>
      <c r="BO169" s="12">
        <v>0</v>
      </c>
      <c r="BP169" s="12">
        <v>0</v>
      </c>
      <c r="BQ169" s="12">
        <v>0</v>
      </c>
      <c r="BR169" s="12">
        <v>0</v>
      </c>
      <c r="BS169" s="12">
        <v>0</v>
      </c>
      <c r="BT169" s="12">
        <v>0</v>
      </c>
      <c r="BU169" s="12">
        <v>0</v>
      </c>
      <c r="BV169" s="12">
        <v>0</v>
      </c>
      <c r="BW169" s="12">
        <v>0</v>
      </c>
      <c r="BX169" s="12">
        <v>0</v>
      </c>
      <c r="BY169" s="12">
        <v>0</v>
      </c>
      <c r="BZ169" s="12">
        <v>0</v>
      </c>
      <c r="CA169" s="12">
        <v>0</v>
      </c>
    </row>
    <row r="170" spans="1:79" hidden="1" x14ac:dyDescent="0.2">
      <c r="A170" s="12" t="s">
        <v>120</v>
      </c>
      <c r="B170" s="12" t="s">
        <v>124</v>
      </c>
      <c r="C170" s="12" t="s">
        <v>124</v>
      </c>
      <c r="D170" s="22" t="s">
        <v>431</v>
      </c>
      <c r="E170" s="22" t="s">
        <v>159</v>
      </c>
      <c r="F170" s="22" t="s">
        <v>858</v>
      </c>
      <c r="G170" s="22" t="s">
        <v>859</v>
      </c>
      <c r="H170" s="22" t="s">
        <v>150</v>
      </c>
      <c r="I170" s="22" t="s">
        <v>151</v>
      </c>
      <c r="J170" s="22" t="s">
        <v>162</v>
      </c>
      <c r="K170" s="22" t="s">
        <v>83</v>
      </c>
      <c r="L170" s="54" t="s">
        <v>153</v>
      </c>
      <c r="M170" s="28" t="s">
        <v>163</v>
      </c>
      <c r="N170" s="24" t="s">
        <v>153</v>
      </c>
      <c r="O170" s="28" t="s">
        <v>163</v>
      </c>
      <c r="P170" s="25" t="s">
        <v>388</v>
      </c>
      <c r="Q170" s="25" t="s">
        <v>388</v>
      </c>
      <c r="R170" s="25" t="s">
        <v>388</v>
      </c>
      <c r="S170" s="24" t="s">
        <v>156</v>
      </c>
      <c r="T170" s="24" t="s">
        <v>156</v>
      </c>
      <c r="U170" s="24" t="s">
        <v>153</v>
      </c>
      <c r="V170" s="54" t="s">
        <v>153</v>
      </c>
      <c r="W170" s="23" t="s">
        <v>429</v>
      </c>
      <c r="X170" s="23" t="s">
        <v>429</v>
      </c>
      <c r="Y170" s="23" t="s">
        <v>429</v>
      </c>
      <c r="Z170" s="23" t="s">
        <v>429</v>
      </c>
      <c r="AA170" s="23" t="s">
        <v>429</v>
      </c>
      <c r="AB170" s="24" t="s">
        <v>153</v>
      </c>
      <c r="AC170" s="25" t="s">
        <v>429</v>
      </c>
      <c r="AD170" s="25" t="s">
        <v>429</v>
      </c>
      <c r="AE170" s="25" t="s">
        <v>429</v>
      </c>
      <c r="AF170" s="25" t="s">
        <v>429</v>
      </c>
      <c r="AG170" s="29" t="s">
        <v>163</v>
      </c>
      <c r="AH170" s="29" t="s">
        <v>163</v>
      </c>
      <c r="AI170" s="24" t="s">
        <v>153</v>
      </c>
      <c r="AJ170" s="25" t="s">
        <v>1236</v>
      </c>
      <c r="AK170" s="23" t="s">
        <v>385</v>
      </c>
      <c r="AL170" s="23" t="s">
        <v>385</v>
      </c>
      <c r="AM170" s="23" t="s">
        <v>385</v>
      </c>
      <c r="AN170" s="23" t="s">
        <v>385</v>
      </c>
      <c r="AO170" s="23" t="s">
        <v>385</v>
      </c>
      <c r="AP170" s="23">
        <f>VALUE(0)</f>
        <v>0</v>
      </c>
      <c r="AQ170" s="23">
        <f>VALUE(0)</f>
        <v>0</v>
      </c>
      <c r="AR170" s="23">
        <f>VALUE(2)</f>
        <v>2</v>
      </c>
      <c r="AS170" s="23">
        <f>VALUE(0)</f>
        <v>0</v>
      </c>
      <c r="AT170" s="23">
        <f>VALUE(0)</f>
        <v>0</v>
      </c>
      <c r="AU170" s="23">
        <f>VALUE(2)</f>
        <v>2</v>
      </c>
      <c r="AV170" s="23">
        <f>VALUE(2)</f>
        <v>2</v>
      </c>
      <c r="AW170" s="23">
        <f>VALUE(0)</f>
        <v>0</v>
      </c>
      <c r="AX170" s="23" t="s">
        <v>1237</v>
      </c>
      <c r="AY170" s="23">
        <f>VALUE(0)</f>
        <v>0</v>
      </c>
      <c r="AZ170" s="23">
        <f>VALUE(0)</f>
        <v>0</v>
      </c>
      <c r="BA170" s="23">
        <f>VALUE(0)</f>
        <v>0</v>
      </c>
      <c r="BB170" s="23">
        <f>VALUE(0)</f>
        <v>0</v>
      </c>
      <c r="BC170" s="23">
        <f>VALUE(0)</f>
        <v>0</v>
      </c>
      <c r="BD170" s="23">
        <f>VALUE(1)</f>
        <v>1</v>
      </c>
      <c r="BE170" s="23">
        <f>VALUE(0)</f>
        <v>0</v>
      </c>
      <c r="BF170" s="23">
        <f>VALUE(0)</f>
        <v>0</v>
      </c>
      <c r="BG170" s="23">
        <f>VALUE(0)</f>
        <v>0</v>
      </c>
      <c r="BH170" s="23">
        <f>VALUE(0)</f>
        <v>0</v>
      </c>
      <c r="BI170" s="23">
        <f>VALUE(0)</f>
        <v>0</v>
      </c>
      <c r="BJ170" s="23">
        <f>VALUE(0)</f>
        <v>0</v>
      </c>
      <c r="BK170" s="12">
        <f>$AX$170*24</f>
        <v>12.866666666666667</v>
      </c>
      <c r="BL170" s="12">
        <f>$AY$170*24</f>
        <v>0</v>
      </c>
      <c r="BM170" s="12">
        <f>$BJ$170*24</f>
        <v>0</v>
      </c>
      <c r="BN170" s="12">
        <f>VALUE($I$170)/100</f>
        <v>1</v>
      </c>
      <c r="BO170" s="12">
        <v>0</v>
      </c>
      <c r="BP170" s="12">
        <v>0</v>
      </c>
      <c r="BQ170" s="12">
        <v>0</v>
      </c>
      <c r="BR170" s="12">
        <v>1</v>
      </c>
      <c r="BS170" s="12">
        <v>0</v>
      </c>
      <c r="BT170" s="12">
        <v>2</v>
      </c>
      <c r="BU170" s="12">
        <v>0</v>
      </c>
      <c r="BV170" s="12">
        <v>0</v>
      </c>
      <c r="BW170" s="12">
        <v>0</v>
      </c>
      <c r="BX170" s="12">
        <v>0</v>
      </c>
      <c r="BY170" s="12">
        <v>0</v>
      </c>
      <c r="BZ170" s="12">
        <v>0</v>
      </c>
      <c r="CA170" s="12">
        <v>0</v>
      </c>
    </row>
    <row r="171" spans="1:79" hidden="1" x14ac:dyDescent="0.2">
      <c r="A171" s="12" t="s">
        <v>120</v>
      </c>
      <c r="B171" s="12" t="s">
        <v>124</v>
      </c>
      <c r="C171" s="12" t="s">
        <v>124</v>
      </c>
      <c r="D171" s="22" t="s">
        <v>433</v>
      </c>
      <c r="E171" s="22" t="s">
        <v>332</v>
      </c>
      <c r="F171" s="22" t="s">
        <v>860</v>
      </c>
      <c r="G171" s="22" t="s">
        <v>861</v>
      </c>
      <c r="H171" s="22" t="s">
        <v>150</v>
      </c>
      <c r="I171" s="22" t="s">
        <v>151</v>
      </c>
      <c r="J171" s="22" t="s">
        <v>162</v>
      </c>
      <c r="K171" s="22" t="s">
        <v>83</v>
      </c>
      <c r="L171" s="54" t="s">
        <v>153</v>
      </c>
      <c r="M171" s="23" t="s">
        <v>385</v>
      </c>
      <c r="N171" s="24" t="s">
        <v>153</v>
      </c>
      <c r="O171" s="23" t="s">
        <v>418</v>
      </c>
      <c r="P171" s="23" t="s">
        <v>418</v>
      </c>
      <c r="Q171" s="23" t="s">
        <v>389</v>
      </c>
      <c r="R171" s="23" t="s">
        <v>389</v>
      </c>
      <c r="S171" s="23" t="s">
        <v>389</v>
      </c>
      <c r="T171" s="23" t="s">
        <v>389</v>
      </c>
      <c r="U171" s="24" t="s">
        <v>153</v>
      </c>
      <c r="V171" s="54" t="s">
        <v>153</v>
      </c>
      <c r="W171" s="23" t="s">
        <v>388</v>
      </c>
      <c r="X171" s="23" t="s">
        <v>388</v>
      </c>
      <c r="Y171" s="23" t="s">
        <v>388</v>
      </c>
      <c r="Z171" s="24" t="s">
        <v>156</v>
      </c>
      <c r="AA171" s="24" t="s">
        <v>156</v>
      </c>
      <c r="AB171" s="24" t="s">
        <v>153</v>
      </c>
      <c r="AC171" s="24" t="s">
        <v>156</v>
      </c>
      <c r="AD171" s="24" t="s">
        <v>156</v>
      </c>
      <c r="AE171" s="28" t="s">
        <v>163</v>
      </c>
      <c r="AF171" s="28" t="s">
        <v>163</v>
      </c>
      <c r="AG171" s="28" t="s">
        <v>163</v>
      </c>
      <c r="AH171" s="28" t="s">
        <v>163</v>
      </c>
      <c r="AI171" s="24" t="s">
        <v>153</v>
      </c>
      <c r="AJ171" s="25" t="s">
        <v>429</v>
      </c>
      <c r="AK171" s="25" t="s">
        <v>429</v>
      </c>
      <c r="AL171" s="23" t="s">
        <v>419</v>
      </c>
      <c r="AM171" s="23" t="s">
        <v>419</v>
      </c>
      <c r="AN171" s="23" t="s">
        <v>384</v>
      </c>
      <c r="AO171" s="23" t="s">
        <v>384</v>
      </c>
      <c r="AP171" s="23">
        <f>VALUE(0)</f>
        <v>0</v>
      </c>
      <c r="AQ171" s="23">
        <f>VALUE(0)</f>
        <v>0</v>
      </c>
      <c r="AR171" s="23">
        <f>VALUE(0)</f>
        <v>0</v>
      </c>
      <c r="AS171" s="23">
        <f>VALUE(0)</f>
        <v>0</v>
      </c>
      <c r="AT171" s="23">
        <f>VALUE(0)</f>
        <v>0</v>
      </c>
      <c r="AU171" s="23">
        <f>VALUE(4)</f>
        <v>4</v>
      </c>
      <c r="AV171" s="23">
        <f>VALUE(4)</f>
        <v>4</v>
      </c>
      <c r="AW171" s="23">
        <f>VALUE(0)</f>
        <v>0</v>
      </c>
      <c r="AX171" s="23" t="s">
        <v>176</v>
      </c>
      <c r="AY171" s="23" t="s">
        <v>176</v>
      </c>
      <c r="AZ171" s="23">
        <f>VALUE(0)</f>
        <v>0</v>
      </c>
      <c r="BA171" s="23">
        <f>VALUE(0)</f>
        <v>0</v>
      </c>
      <c r="BB171" s="23">
        <f>VALUE(0)</f>
        <v>0</v>
      </c>
      <c r="BC171" s="23">
        <f>VALUE(0)</f>
        <v>0</v>
      </c>
      <c r="BD171" s="23">
        <f>VALUE(0)</f>
        <v>0</v>
      </c>
      <c r="BE171" s="23">
        <f>VALUE(0)</f>
        <v>0</v>
      </c>
      <c r="BF171" s="23">
        <f>VALUE(0)</f>
        <v>0</v>
      </c>
      <c r="BG171" s="23">
        <f>VALUE(0)</f>
        <v>0</v>
      </c>
      <c r="BH171" s="23">
        <f>VALUE(0)</f>
        <v>0</v>
      </c>
      <c r="BI171" s="23">
        <f>VALUE(0)</f>
        <v>0</v>
      </c>
      <c r="BJ171" s="23">
        <f>VALUE(0)</f>
        <v>0</v>
      </c>
      <c r="BK171" s="12">
        <f>$AX$171*24</f>
        <v>0</v>
      </c>
      <c r="BL171" s="12">
        <f>$AY$171*24</f>
        <v>0</v>
      </c>
      <c r="BM171" s="12">
        <f>$BJ$171*24</f>
        <v>0</v>
      </c>
      <c r="BN171" s="12">
        <f>VALUE($I$171)/100</f>
        <v>1</v>
      </c>
      <c r="BO171" s="12">
        <v>0</v>
      </c>
      <c r="BP171" s="12">
        <v>0</v>
      </c>
      <c r="BQ171" s="12">
        <v>0</v>
      </c>
      <c r="BR171" s="12">
        <v>0</v>
      </c>
      <c r="BS171" s="12">
        <v>0</v>
      </c>
      <c r="BT171" s="12">
        <v>0</v>
      </c>
      <c r="BU171" s="12">
        <v>0</v>
      </c>
      <c r="BV171" s="12">
        <v>0</v>
      </c>
      <c r="BW171" s="12">
        <v>0</v>
      </c>
      <c r="BX171" s="12">
        <v>0</v>
      </c>
      <c r="BY171" s="12">
        <v>0</v>
      </c>
      <c r="BZ171" s="12">
        <v>0</v>
      </c>
      <c r="CA171" s="12">
        <v>0</v>
      </c>
    </row>
    <row r="172" spans="1:79" hidden="1" x14ac:dyDescent="0.2">
      <c r="A172" s="12" t="s">
        <v>120</v>
      </c>
      <c r="B172" s="12" t="s">
        <v>124</v>
      </c>
      <c r="C172" s="12" t="s">
        <v>124</v>
      </c>
      <c r="D172" s="22" t="s">
        <v>434</v>
      </c>
      <c r="E172" s="22" t="s">
        <v>332</v>
      </c>
      <c r="F172" s="22" t="s">
        <v>862</v>
      </c>
      <c r="G172" s="22" t="s">
        <v>863</v>
      </c>
      <c r="H172" s="22" t="s">
        <v>150</v>
      </c>
      <c r="I172" s="22" t="s">
        <v>151</v>
      </c>
      <c r="J172" s="22" t="s">
        <v>162</v>
      </c>
      <c r="K172" s="22" t="s">
        <v>83</v>
      </c>
      <c r="L172" s="54" t="s">
        <v>153</v>
      </c>
      <c r="M172" s="23" t="s">
        <v>423</v>
      </c>
      <c r="N172" s="24" t="s">
        <v>153</v>
      </c>
      <c r="O172" s="23" t="s">
        <v>420</v>
      </c>
      <c r="P172" s="23" t="s">
        <v>420</v>
      </c>
      <c r="Q172" s="24" t="s">
        <v>156</v>
      </c>
      <c r="R172" s="24" t="s">
        <v>156</v>
      </c>
      <c r="S172" s="25" t="s">
        <v>388</v>
      </c>
      <c r="T172" s="25" t="s">
        <v>388</v>
      </c>
      <c r="U172" s="24" t="s">
        <v>153</v>
      </c>
      <c r="V172" s="54" t="s">
        <v>153</v>
      </c>
      <c r="W172" s="23" t="s">
        <v>382</v>
      </c>
      <c r="X172" s="25" t="s">
        <v>1238</v>
      </c>
      <c r="Y172" s="25" t="s">
        <v>1238</v>
      </c>
      <c r="Z172" s="23" t="s">
        <v>423</v>
      </c>
      <c r="AA172" s="23" t="s">
        <v>423</v>
      </c>
      <c r="AB172" s="24" t="s">
        <v>153</v>
      </c>
      <c r="AC172" s="23" t="s">
        <v>426</v>
      </c>
      <c r="AD172" s="23" t="s">
        <v>426</v>
      </c>
      <c r="AE172" s="23" t="s">
        <v>389</v>
      </c>
      <c r="AF172" s="23" t="s">
        <v>389</v>
      </c>
      <c r="AG172" s="23" t="s">
        <v>429</v>
      </c>
      <c r="AH172" s="23" t="s">
        <v>429</v>
      </c>
      <c r="AI172" s="24" t="s">
        <v>153</v>
      </c>
      <c r="AJ172" s="23" t="s">
        <v>418</v>
      </c>
      <c r="AK172" s="23" t="s">
        <v>418</v>
      </c>
      <c r="AL172" s="23" t="s">
        <v>390</v>
      </c>
      <c r="AM172" s="23" t="s">
        <v>390</v>
      </c>
      <c r="AN172" s="23" t="s">
        <v>379</v>
      </c>
      <c r="AO172" s="23" t="s">
        <v>379</v>
      </c>
      <c r="AP172" s="23">
        <f>VALUE(0)</f>
        <v>0</v>
      </c>
      <c r="AQ172" s="23">
        <f>VALUE(0)</f>
        <v>0</v>
      </c>
      <c r="AR172" s="23">
        <f>VALUE(0)</f>
        <v>0</v>
      </c>
      <c r="AS172" s="23">
        <f>VALUE(0)</f>
        <v>0</v>
      </c>
      <c r="AT172" s="23">
        <f>VALUE(0)</f>
        <v>0</v>
      </c>
      <c r="AU172" s="23">
        <f>VALUE(0)</f>
        <v>0</v>
      </c>
      <c r="AV172" s="23">
        <f>VALUE(2)</f>
        <v>2</v>
      </c>
      <c r="AW172" s="23">
        <f>VALUE(0)</f>
        <v>0</v>
      </c>
      <c r="AX172" s="23" t="s">
        <v>171</v>
      </c>
      <c r="AY172" s="23">
        <f>VALUE(0)</f>
        <v>0</v>
      </c>
      <c r="AZ172" s="23">
        <f>VALUE(0)</f>
        <v>0</v>
      </c>
      <c r="BA172" s="23">
        <f>VALUE(0)</f>
        <v>0</v>
      </c>
      <c r="BB172" s="23">
        <f>VALUE(0)</f>
        <v>0</v>
      </c>
      <c r="BC172" s="23">
        <f>VALUE(0)</f>
        <v>0</v>
      </c>
      <c r="BD172" s="23">
        <f>VALUE(2)</f>
        <v>2</v>
      </c>
      <c r="BE172" s="23">
        <f>VALUE(0)</f>
        <v>0</v>
      </c>
      <c r="BF172" s="23">
        <f>VALUE(0)</f>
        <v>0</v>
      </c>
      <c r="BG172" s="23">
        <f>VALUE(0)</f>
        <v>0</v>
      </c>
      <c r="BH172" s="23">
        <f>VALUE(0)</f>
        <v>0</v>
      </c>
      <c r="BI172" s="23">
        <f>VALUE(0)</f>
        <v>0</v>
      </c>
      <c r="BJ172" s="23">
        <f>VALUE(0)</f>
        <v>0</v>
      </c>
      <c r="BK172" s="12">
        <f>$AX$172*24</f>
        <v>5.833333333333333</v>
      </c>
      <c r="BL172" s="12">
        <f>$AY$172*24</f>
        <v>0</v>
      </c>
      <c r="BM172" s="12">
        <f>$BJ$172*24</f>
        <v>0</v>
      </c>
      <c r="BN172" s="12">
        <f>VALUE($I$172)/100</f>
        <v>1</v>
      </c>
      <c r="BO172" s="12">
        <v>0</v>
      </c>
      <c r="BP172" s="12">
        <v>0</v>
      </c>
      <c r="BQ172" s="12">
        <v>0</v>
      </c>
      <c r="BR172" s="12">
        <v>2</v>
      </c>
      <c r="BS172" s="12">
        <v>0</v>
      </c>
      <c r="BT172" s="12">
        <v>0</v>
      </c>
      <c r="BU172" s="12">
        <v>0</v>
      </c>
      <c r="BV172" s="12">
        <v>0</v>
      </c>
      <c r="BW172" s="12">
        <v>0</v>
      </c>
      <c r="BX172" s="12">
        <v>0</v>
      </c>
      <c r="BY172" s="12">
        <v>0</v>
      </c>
      <c r="BZ172" s="12">
        <v>0</v>
      </c>
      <c r="CA172" s="12">
        <v>0</v>
      </c>
    </row>
    <row r="173" spans="1:79" hidden="1" x14ac:dyDescent="0.2">
      <c r="A173" s="12" t="s">
        <v>120</v>
      </c>
      <c r="B173" s="12" t="s">
        <v>124</v>
      </c>
      <c r="C173" s="12" t="s">
        <v>124</v>
      </c>
      <c r="D173" s="22" t="s">
        <v>435</v>
      </c>
      <c r="E173" s="22" t="s">
        <v>173</v>
      </c>
      <c r="F173" s="22" t="s">
        <v>1239</v>
      </c>
      <c r="G173" s="22" t="s">
        <v>864</v>
      </c>
      <c r="H173" s="22" t="s">
        <v>150</v>
      </c>
      <c r="I173" s="22" t="s">
        <v>151</v>
      </c>
      <c r="J173" s="22" t="s">
        <v>162</v>
      </c>
      <c r="K173" s="22" t="s">
        <v>83</v>
      </c>
      <c r="L173" s="54" t="s">
        <v>153</v>
      </c>
      <c r="M173" s="23" t="s">
        <v>389</v>
      </c>
      <c r="N173" s="24" t="s">
        <v>153</v>
      </c>
      <c r="O173" s="23" t="s">
        <v>419</v>
      </c>
      <c r="P173" s="23" t="s">
        <v>419</v>
      </c>
      <c r="Q173" s="23" t="s">
        <v>419</v>
      </c>
      <c r="R173" s="23" t="s">
        <v>419</v>
      </c>
      <c r="S173" s="23" t="s">
        <v>419</v>
      </c>
      <c r="T173" s="23" t="s">
        <v>419</v>
      </c>
      <c r="U173" s="24" t="s">
        <v>153</v>
      </c>
      <c r="V173" s="54" t="s">
        <v>153</v>
      </c>
      <c r="W173" s="23" t="s">
        <v>389</v>
      </c>
      <c r="X173" s="23" t="s">
        <v>389</v>
      </c>
      <c r="Y173" s="23" t="s">
        <v>389</v>
      </c>
      <c r="Z173" s="23" t="s">
        <v>389</v>
      </c>
      <c r="AA173" s="23" t="s">
        <v>389</v>
      </c>
      <c r="AB173" s="24" t="s">
        <v>153</v>
      </c>
      <c r="AC173" s="23" t="s">
        <v>389</v>
      </c>
      <c r="AD173" s="23" t="s">
        <v>389</v>
      </c>
      <c r="AE173" s="24" t="s">
        <v>156</v>
      </c>
      <c r="AF173" s="24" t="s">
        <v>156</v>
      </c>
      <c r="AG173" s="23" t="s">
        <v>389</v>
      </c>
      <c r="AH173" s="23" t="s">
        <v>389</v>
      </c>
      <c r="AI173" s="24" t="s">
        <v>153</v>
      </c>
      <c r="AJ173" s="23" t="s">
        <v>389</v>
      </c>
      <c r="AK173" s="23" t="s">
        <v>389</v>
      </c>
      <c r="AL173" s="23" t="s">
        <v>389</v>
      </c>
      <c r="AM173" s="23" t="s">
        <v>389</v>
      </c>
      <c r="AN173" s="23" t="s">
        <v>389</v>
      </c>
      <c r="AO173" s="23" t="s">
        <v>389</v>
      </c>
      <c r="AP173" s="23">
        <f>VALUE(0)</f>
        <v>0</v>
      </c>
      <c r="AQ173" s="23">
        <f>VALUE(0)</f>
        <v>0</v>
      </c>
      <c r="AR173" s="23">
        <f>VALUE(0)</f>
        <v>0</v>
      </c>
      <c r="AS173" s="23">
        <f>VALUE(0)</f>
        <v>0</v>
      </c>
      <c r="AT173" s="23">
        <f>VALUE(0)</f>
        <v>0</v>
      </c>
      <c r="AU173" s="23">
        <f>VALUE(0)</f>
        <v>0</v>
      </c>
      <c r="AV173" s="23">
        <f>VALUE(1)</f>
        <v>1</v>
      </c>
      <c r="AW173" s="23">
        <f>VALUE(0)</f>
        <v>0</v>
      </c>
      <c r="AX173" s="23">
        <f>VALUE(0)</f>
        <v>0</v>
      </c>
      <c r="AY173" s="23">
        <f>VALUE(0)</f>
        <v>0</v>
      </c>
      <c r="AZ173" s="23">
        <f>VALUE(0)</f>
        <v>0</v>
      </c>
      <c r="BA173" s="23">
        <f>VALUE(0)</f>
        <v>0</v>
      </c>
      <c r="BB173" s="23">
        <f>VALUE(0)</f>
        <v>0</v>
      </c>
      <c r="BC173" s="23">
        <f>VALUE(0)</f>
        <v>0</v>
      </c>
      <c r="BD173" s="23">
        <f>VALUE(0)</f>
        <v>0</v>
      </c>
      <c r="BE173" s="23">
        <f>VALUE(0)</f>
        <v>0</v>
      </c>
      <c r="BF173" s="23">
        <f>VALUE(0)</f>
        <v>0</v>
      </c>
      <c r="BG173" s="23">
        <f>VALUE(0)</f>
        <v>0</v>
      </c>
      <c r="BH173" s="23">
        <f>VALUE(0)</f>
        <v>0</v>
      </c>
      <c r="BI173" s="23">
        <f>VALUE(0)</f>
        <v>0</v>
      </c>
      <c r="BJ173" s="23">
        <f>VALUE(0)</f>
        <v>0</v>
      </c>
      <c r="BK173" s="12">
        <f>$AX$173*24</f>
        <v>0</v>
      </c>
      <c r="BL173" s="12">
        <f>$AY$173*24</f>
        <v>0</v>
      </c>
      <c r="BM173" s="12">
        <f>$BJ$173*24</f>
        <v>0</v>
      </c>
      <c r="BN173" s="12">
        <f>VALUE($I$173)/100</f>
        <v>1</v>
      </c>
      <c r="BO173" s="12">
        <v>0</v>
      </c>
      <c r="BP173" s="12">
        <v>0</v>
      </c>
      <c r="BQ173" s="12">
        <v>0</v>
      </c>
      <c r="BR173" s="12">
        <v>0</v>
      </c>
      <c r="BS173" s="12">
        <v>0</v>
      </c>
      <c r="BT173" s="12">
        <v>0</v>
      </c>
      <c r="BU173" s="12">
        <v>0</v>
      </c>
      <c r="BV173" s="12">
        <v>0</v>
      </c>
      <c r="BW173" s="12">
        <v>0</v>
      </c>
      <c r="BX173" s="12">
        <v>0</v>
      </c>
      <c r="BY173" s="12">
        <v>0</v>
      </c>
      <c r="BZ173" s="12">
        <v>0</v>
      </c>
      <c r="CA173" s="12">
        <v>0</v>
      </c>
    </row>
    <row r="174" spans="1:79" hidden="1" x14ac:dyDescent="0.2">
      <c r="A174" s="12" t="s">
        <v>120</v>
      </c>
      <c r="B174" s="12" t="s">
        <v>124</v>
      </c>
      <c r="C174" s="12" t="s">
        <v>124</v>
      </c>
      <c r="D174" s="22" t="s">
        <v>1240</v>
      </c>
      <c r="E174" s="22" t="s">
        <v>173</v>
      </c>
      <c r="F174" s="22" t="s">
        <v>865</v>
      </c>
      <c r="G174" s="22" t="s">
        <v>866</v>
      </c>
      <c r="H174" s="22" t="s">
        <v>150</v>
      </c>
      <c r="I174" s="22" t="s">
        <v>415</v>
      </c>
      <c r="J174" s="22" t="s">
        <v>162</v>
      </c>
      <c r="K174" s="22" t="s">
        <v>83</v>
      </c>
      <c r="L174" s="54" t="s">
        <v>153</v>
      </c>
      <c r="M174" s="28" t="s">
        <v>163</v>
      </c>
      <c r="N174" s="24" t="s">
        <v>153</v>
      </c>
      <c r="O174" s="23" t="s">
        <v>153</v>
      </c>
      <c r="P174" s="23" t="s">
        <v>153</v>
      </c>
      <c r="Q174" s="23" t="s">
        <v>153</v>
      </c>
      <c r="R174" s="23" t="s">
        <v>153</v>
      </c>
      <c r="S174" s="23" t="s">
        <v>153</v>
      </c>
      <c r="T174" s="23" t="s">
        <v>153</v>
      </c>
      <c r="U174" s="24" t="s">
        <v>153</v>
      </c>
      <c r="V174" s="54" t="s">
        <v>153</v>
      </c>
      <c r="W174" s="25" t="s">
        <v>393</v>
      </c>
      <c r="X174" s="25" t="s">
        <v>393</v>
      </c>
      <c r="Y174" s="25" t="s">
        <v>393</v>
      </c>
      <c r="Z174" s="25" t="s">
        <v>393</v>
      </c>
      <c r="AA174" s="25" t="s">
        <v>393</v>
      </c>
      <c r="AB174" s="24" t="s">
        <v>153</v>
      </c>
      <c r="AC174" s="25" t="s">
        <v>393</v>
      </c>
      <c r="AD174" s="25" t="s">
        <v>393</v>
      </c>
      <c r="AE174" s="25" t="s">
        <v>393</v>
      </c>
      <c r="AF174" s="25" t="s">
        <v>393</v>
      </c>
      <c r="AG174" s="25" t="s">
        <v>393</v>
      </c>
      <c r="AH174" s="25" t="s">
        <v>393</v>
      </c>
      <c r="AI174" s="24" t="s">
        <v>153</v>
      </c>
      <c r="AJ174" s="25" t="s">
        <v>393</v>
      </c>
      <c r="AK174" s="25" t="s">
        <v>393</v>
      </c>
      <c r="AL174" s="25" t="s">
        <v>393</v>
      </c>
      <c r="AM174" s="25" t="s">
        <v>393</v>
      </c>
      <c r="AN174" s="25" t="s">
        <v>393</v>
      </c>
      <c r="AO174" s="25" t="s">
        <v>393</v>
      </c>
      <c r="AP174" s="23">
        <f>VALUE(0)</f>
        <v>0</v>
      </c>
      <c r="AQ174" s="23">
        <f>VALUE(0)</f>
        <v>0</v>
      </c>
      <c r="AR174" s="23">
        <f>VALUE(0)</f>
        <v>0</v>
      </c>
      <c r="AS174" s="23">
        <f>VALUE(0)</f>
        <v>0</v>
      </c>
      <c r="AT174" s="23">
        <f>VALUE(0)</f>
        <v>0</v>
      </c>
      <c r="AU174" s="23">
        <f>VALUE(1)</f>
        <v>1</v>
      </c>
      <c r="AV174" s="23">
        <f>VALUE(0)</f>
        <v>0</v>
      </c>
      <c r="AW174" s="23">
        <f>VALUE(0)</f>
        <v>0</v>
      </c>
      <c r="AX174" s="23">
        <f>VALUE(0)</f>
        <v>0</v>
      </c>
      <c r="AY174" s="23" t="s">
        <v>436</v>
      </c>
      <c r="AZ174" s="23">
        <f>VALUE(0)</f>
        <v>0</v>
      </c>
      <c r="BA174" s="23">
        <f>VALUE(0)</f>
        <v>0</v>
      </c>
      <c r="BB174" s="23">
        <f>VALUE(0)</f>
        <v>0</v>
      </c>
      <c r="BC174" s="23">
        <f>VALUE(0)</f>
        <v>0</v>
      </c>
      <c r="BD174" s="23">
        <f>VALUE(0)</f>
        <v>0</v>
      </c>
      <c r="BE174" s="23">
        <f>VALUE(0)</f>
        <v>0</v>
      </c>
      <c r="BF174" s="23">
        <f>VALUE(0)</f>
        <v>0</v>
      </c>
      <c r="BG174" s="23">
        <f>VALUE(0)</f>
        <v>0</v>
      </c>
      <c r="BH174" s="23">
        <f>VALUE(0)</f>
        <v>0</v>
      </c>
      <c r="BI174" s="23">
        <f>VALUE(0)</f>
        <v>0</v>
      </c>
      <c r="BJ174" s="23">
        <f>VALUE(0)</f>
        <v>0</v>
      </c>
      <c r="BK174" s="12">
        <f>$AX$174*24</f>
        <v>0</v>
      </c>
      <c r="BL174" s="12">
        <f>$AY$174*24</f>
        <v>12.533333333333335</v>
      </c>
      <c r="BM174" s="12">
        <f>$BJ$174*24</f>
        <v>0</v>
      </c>
      <c r="BN174" s="12">
        <f>VALUE($I$174)/100</f>
        <v>0.5</v>
      </c>
      <c r="BO174" s="12">
        <v>0</v>
      </c>
      <c r="BP174" s="12">
        <v>0</v>
      </c>
      <c r="BQ174" s="12">
        <v>0</v>
      </c>
      <c r="BR174" s="12">
        <v>0</v>
      </c>
      <c r="BS174" s="12">
        <v>0</v>
      </c>
      <c r="BT174" s="12">
        <v>0</v>
      </c>
      <c r="BU174" s="12">
        <v>0</v>
      </c>
      <c r="BV174" s="12">
        <v>0</v>
      </c>
      <c r="BW174" s="12">
        <v>0</v>
      </c>
      <c r="BX174" s="12">
        <v>0</v>
      </c>
      <c r="BY174" s="12">
        <v>0</v>
      </c>
      <c r="BZ174" s="12">
        <v>0</v>
      </c>
      <c r="CA174" s="12">
        <v>0</v>
      </c>
    </row>
    <row r="175" spans="1:79" hidden="1" x14ac:dyDescent="0.2">
      <c r="A175" s="12" t="s">
        <v>120</v>
      </c>
      <c r="B175" s="12" t="s">
        <v>124</v>
      </c>
      <c r="C175" s="12" t="s">
        <v>124</v>
      </c>
      <c r="D175" s="22" t="s">
        <v>393</v>
      </c>
      <c r="E175" s="22" t="s">
        <v>173</v>
      </c>
      <c r="F175" s="22" t="s">
        <v>867</v>
      </c>
      <c r="G175" s="22" t="s">
        <v>868</v>
      </c>
      <c r="H175" s="22" t="s">
        <v>190</v>
      </c>
      <c r="I175" s="22" t="s">
        <v>151</v>
      </c>
      <c r="J175" s="22" t="s">
        <v>162</v>
      </c>
      <c r="K175" s="22" t="s">
        <v>83</v>
      </c>
      <c r="L175" s="54" t="s">
        <v>153</v>
      </c>
      <c r="M175" s="23" t="s">
        <v>153</v>
      </c>
      <c r="N175" s="24" t="s">
        <v>153</v>
      </c>
      <c r="O175" s="23" t="s">
        <v>153</v>
      </c>
      <c r="P175" s="23" t="s">
        <v>153</v>
      </c>
      <c r="Q175" s="23" t="s">
        <v>153</v>
      </c>
      <c r="R175" s="23" t="s">
        <v>153</v>
      </c>
      <c r="S175" s="23" t="s">
        <v>153</v>
      </c>
      <c r="T175" s="23" t="s">
        <v>153</v>
      </c>
      <c r="U175" s="24" t="s">
        <v>153</v>
      </c>
      <c r="V175" s="54" t="s">
        <v>153</v>
      </c>
      <c r="W175" s="23" t="s">
        <v>153</v>
      </c>
      <c r="X175" s="23" t="s">
        <v>153</v>
      </c>
      <c r="Y175" s="23" t="s">
        <v>153</v>
      </c>
      <c r="Z175" s="23" t="s">
        <v>153</v>
      </c>
      <c r="AA175" s="23" t="s">
        <v>153</v>
      </c>
      <c r="AB175" s="40" t="s">
        <v>153</v>
      </c>
      <c r="AC175" s="40" t="s">
        <v>153</v>
      </c>
      <c r="AD175" s="40" t="s">
        <v>153</v>
      </c>
      <c r="AE175" s="40" t="s">
        <v>153</v>
      </c>
      <c r="AF175" s="40" t="s">
        <v>153</v>
      </c>
      <c r="AG175" s="40" t="s">
        <v>153</v>
      </c>
      <c r="AH175" s="40" t="s">
        <v>153</v>
      </c>
      <c r="AI175" s="40" t="s">
        <v>153</v>
      </c>
      <c r="AJ175" s="40" t="s">
        <v>153</v>
      </c>
      <c r="AK175" s="40" t="s">
        <v>153</v>
      </c>
      <c r="AL175" s="40" t="s">
        <v>153</v>
      </c>
      <c r="AM175" s="40" t="s">
        <v>153</v>
      </c>
      <c r="AN175" s="40" t="s">
        <v>153</v>
      </c>
      <c r="AO175" s="40" t="s">
        <v>153</v>
      </c>
      <c r="AP175" s="23">
        <f>VALUE(0)</f>
        <v>0</v>
      </c>
      <c r="AQ175" s="23">
        <f>VALUE(0)</f>
        <v>0</v>
      </c>
      <c r="AR175" s="23">
        <f>VALUE(0)</f>
        <v>0</v>
      </c>
      <c r="AS175" s="23">
        <f>VALUE(0)</f>
        <v>0</v>
      </c>
      <c r="AT175" s="23">
        <f>VALUE(0)</f>
        <v>0</v>
      </c>
      <c r="AU175" s="23">
        <f>VALUE(0)</f>
        <v>0</v>
      </c>
      <c r="AV175" s="23">
        <f>VALUE(3)</f>
        <v>3</v>
      </c>
      <c r="AW175" s="23">
        <f>VALUE(0)</f>
        <v>0</v>
      </c>
      <c r="AX175" s="23">
        <f>VALUE(0)</f>
        <v>0</v>
      </c>
      <c r="AY175" s="23">
        <f>VALUE(0)</f>
        <v>0</v>
      </c>
      <c r="AZ175" s="23">
        <f>VALUE(0)</f>
        <v>0</v>
      </c>
      <c r="BA175" s="23">
        <f>VALUE(0)</f>
        <v>0</v>
      </c>
      <c r="BB175" s="23">
        <f>VALUE(0)</f>
        <v>0</v>
      </c>
      <c r="BC175" s="23">
        <f>VALUE(0)</f>
        <v>0</v>
      </c>
      <c r="BD175" s="23">
        <f>VALUE(0)</f>
        <v>0</v>
      </c>
      <c r="BE175" s="23">
        <f>VALUE(0)</f>
        <v>0</v>
      </c>
      <c r="BF175" s="23">
        <f>VALUE(0)</f>
        <v>0</v>
      </c>
      <c r="BG175" s="23">
        <f>VALUE(0)</f>
        <v>0</v>
      </c>
      <c r="BH175" s="23">
        <f>VALUE(0)</f>
        <v>0</v>
      </c>
      <c r="BI175" s="23">
        <f>VALUE(0)</f>
        <v>0</v>
      </c>
      <c r="BJ175" s="23">
        <f>VALUE(0)</f>
        <v>0</v>
      </c>
      <c r="BK175" s="12">
        <f>$AX$175*24</f>
        <v>0</v>
      </c>
      <c r="BL175" s="12">
        <f>$AY$175*24</f>
        <v>0</v>
      </c>
      <c r="BM175" s="12">
        <f>$BJ$175*24</f>
        <v>0</v>
      </c>
      <c r="BN175" s="12">
        <f>VALUE($I$175)/100</f>
        <v>1</v>
      </c>
      <c r="BO175" s="12">
        <v>0</v>
      </c>
      <c r="BP175" s="12">
        <v>0</v>
      </c>
      <c r="BQ175" s="12">
        <v>0</v>
      </c>
      <c r="BR175" s="12">
        <v>0</v>
      </c>
      <c r="BS175" s="12">
        <v>0</v>
      </c>
      <c r="BT175" s="12">
        <v>0</v>
      </c>
      <c r="BU175" s="12">
        <v>0</v>
      </c>
      <c r="BV175" s="12">
        <v>0</v>
      </c>
      <c r="BW175" s="12">
        <v>0</v>
      </c>
      <c r="BX175" s="12">
        <v>0</v>
      </c>
      <c r="BY175" s="12">
        <v>0</v>
      </c>
      <c r="BZ175" s="12">
        <v>0</v>
      </c>
      <c r="CA175" s="12">
        <v>0</v>
      </c>
    </row>
    <row r="176" spans="1:79" ht="15" hidden="1" x14ac:dyDescent="0.25">
      <c r="A176" s="12" t="s">
        <v>120</v>
      </c>
      <c r="B176" s="12" t="s">
        <v>124</v>
      </c>
      <c r="C176" s="12" t="s">
        <v>124</v>
      </c>
      <c r="D176" s="31" t="s">
        <v>581</v>
      </c>
      <c r="E176" s="31" t="s">
        <v>153</v>
      </c>
      <c r="F176" s="31" t="s">
        <v>175</v>
      </c>
      <c r="G176" s="31" t="s">
        <v>153</v>
      </c>
      <c r="H176" s="31" t="s">
        <v>153</v>
      </c>
      <c r="I176" s="31" t="s">
        <v>153</v>
      </c>
      <c r="J176" s="31" t="s">
        <v>153</v>
      </c>
      <c r="K176" s="31" t="s">
        <v>153</v>
      </c>
      <c r="L176" s="31">
        <f>VALUE(0)</f>
        <v>0</v>
      </c>
      <c r="M176" s="31">
        <f>VALUE(16)</f>
        <v>16</v>
      </c>
      <c r="N176" s="31">
        <f>VALUE(0)</f>
        <v>0</v>
      </c>
      <c r="O176" s="31">
        <f>VALUE(17)</f>
        <v>17</v>
      </c>
      <c r="P176" s="31">
        <f>VALUE(19)</f>
        <v>19</v>
      </c>
      <c r="Q176" s="31">
        <f>VALUE(20)</f>
        <v>20</v>
      </c>
      <c r="R176" s="31">
        <f>VALUE(21)</f>
        <v>21</v>
      </c>
      <c r="S176" s="31">
        <f>VALUE(20)</f>
        <v>20</v>
      </c>
      <c r="T176" s="31">
        <f>VALUE(20)</f>
        <v>20</v>
      </c>
      <c r="U176" s="31">
        <f>VALUE(0)</f>
        <v>0</v>
      </c>
      <c r="V176" s="31">
        <f>VALUE(0)</f>
        <v>0</v>
      </c>
      <c r="W176" s="31">
        <f>VALUE(18)</f>
        <v>18</v>
      </c>
      <c r="X176" s="31">
        <f>VALUE(19)</f>
        <v>19</v>
      </c>
      <c r="Y176" s="31">
        <f>VALUE(19)</f>
        <v>19</v>
      </c>
      <c r="Z176" s="31">
        <f>VALUE(17)</f>
        <v>17</v>
      </c>
      <c r="AA176" s="31">
        <f>VALUE(17)</f>
        <v>17</v>
      </c>
      <c r="AB176" s="31">
        <f>VALUE(0)</f>
        <v>0</v>
      </c>
      <c r="AC176" s="31">
        <f>VALUE(18)</f>
        <v>18</v>
      </c>
      <c r="AD176" s="31">
        <f>VALUE(18)</f>
        <v>18</v>
      </c>
      <c r="AE176" s="31">
        <f>VALUE(18)</f>
        <v>18</v>
      </c>
      <c r="AF176" s="31">
        <f>VALUE(18)</f>
        <v>18</v>
      </c>
      <c r="AG176" s="31">
        <f>VALUE(17)</f>
        <v>17</v>
      </c>
      <c r="AH176" s="31">
        <f>VALUE(17)</f>
        <v>17</v>
      </c>
      <c r="AI176" s="31">
        <f>VALUE(0)</f>
        <v>0</v>
      </c>
      <c r="AJ176" s="31">
        <f>VALUE(18)</f>
        <v>18</v>
      </c>
      <c r="AK176" s="31">
        <f>VALUE(18)</f>
        <v>18</v>
      </c>
      <c r="AL176" s="31">
        <f>VALUE(17)</f>
        <v>17</v>
      </c>
      <c r="AM176" s="31">
        <f>VALUE(17)</f>
        <v>17</v>
      </c>
      <c r="AN176" s="31">
        <f>VALUE(17)</f>
        <v>17</v>
      </c>
      <c r="AO176" s="31">
        <f>VALUE(17)</f>
        <v>17</v>
      </c>
      <c r="AP176" s="31">
        <v>0</v>
      </c>
      <c r="AQ176" s="31">
        <v>0</v>
      </c>
      <c r="AR176" s="31">
        <v>0</v>
      </c>
      <c r="AS176" s="31">
        <v>0</v>
      </c>
      <c r="AT176" s="31">
        <v>0</v>
      </c>
      <c r="AU176" s="31">
        <v>0</v>
      </c>
      <c r="AV176" s="31">
        <v>0</v>
      </c>
      <c r="AW176" s="31">
        <v>0</v>
      </c>
      <c r="AX176" s="31">
        <v>0</v>
      </c>
      <c r="AY176" s="31">
        <v>0</v>
      </c>
      <c r="AZ176" s="31">
        <v>0</v>
      </c>
      <c r="BA176" s="31">
        <v>0</v>
      </c>
      <c r="BB176" s="31">
        <v>0</v>
      </c>
      <c r="BC176" s="31">
        <v>0</v>
      </c>
      <c r="BD176" s="31">
        <v>0</v>
      </c>
      <c r="BE176" s="31">
        <v>0</v>
      </c>
      <c r="BF176" s="31">
        <v>0</v>
      </c>
      <c r="BG176" s="31">
        <v>0</v>
      </c>
      <c r="BH176" s="31">
        <v>0</v>
      </c>
      <c r="BI176" s="31">
        <v>0</v>
      </c>
      <c r="BJ176" s="31">
        <v>0</v>
      </c>
      <c r="BK176" s="12">
        <v>0</v>
      </c>
      <c r="BL176" s="12">
        <v>0</v>
      </c>
      <c r="BM176" s="12">
        <v>0</v>
      </c>
      <c r="BN176" s="12"/>
      <c r="BO176" s="12">
        <v>0</v>
      </c>
      <c r="BP176" s="12">
        <v>0</v>
      </c>
      <c r="BQ176" s="12">
        <v>0</v>
      </c>
      <c r="BR176" s="12">
        <v>0</v>
      </c>
      <c r="BS176" s="12">
        <v>0</v>
      </c>
      <c r="BT176" s="12">
        <v>0</v>
      </c>
      <c r="BU176" s="12">
        <v>0</v>
      </c>
      <c r="BV176" s="12">
        <v>0</v>
      </c>
      <c r="BW176" s="12">
        <v>0</v>
      </c>
      <c r="BX176" s="12">
        <v>0</v>
      </c>
      <c r="BY176" s="12">
        <v>0</v>
      </c>
      <c r="BZ176" s="12">
        <v>0</v>
      </c>
      <c r="CA176" s="12">
        <v>0</v>
      </c>
    </row>
    <row r="177" spans="1:79" hidden="1" x14ac:dyDescent="0.2">
      <c r="A177" s="12" t="s">
        <v>120</v>
      </c>
      <c r="B177" s="12" t="s">
        <v>125</v>
      </c>
      <c r="C177" s="12" t="s">
        <v>125</v>
      </c>
      <c r="D177" s="22" t="s">
        <v>437</v>
      </c>
      <c r="E177" s="22" t="s">
        <v>161</v>
      </c>
      <c r="F177" s="22" t="s">
        <v>869</v>
      </c>
      <c r="G177" s="22" t="s">
        <v>870</v>
      </c>
      <c r="H177" s="22" t="s">
        <v>190</v>
      </c>
      <c r="I177" s="22" t="s">
        <v>151</v>
      </c>
      <c r="J177" s="22" t="s">
        <v>162</v>
      </c>
      <c r="K177" s="22" t="s">
        <v>84</v>
      </c>
      <c r="L177" s="54" t="s">
        <v>153</v>
      </c>
      <c r="M177" s="23" t="s">
        <v>153</v>
      </c>
      <c r="N177" s="24" t="s">
        <v>153</v>
      </c>
      <c r="O177" s="23" t="s">
        <v>153</v>
      </c>
      <c r="P177" s="23" t="s">
        <v>153</v>
      </c>
      <c r="Q177" s="23" t="s">
        <v>153</v>
      </c>
      <c r="R177" s="23" t="s">
        <v>153</v>
      </c>
      <c r="S177" s="23" t="s">
        <v>153</v>
      </c>
      <c r="T177" s="23" t="s">
        <v>153</v>
      </c>
      <c r="U177" s="24" t="s">
        <v>153</v>
      </c>
      <c r="V177" s="54" t="s">
        <v>153</v>
      </c>
      <c r="W177" s="23" t="s">
        <v>153</v>
      </c>
      <c r="X177" s="23" t="s">
        <v>153</v>
      </c>
      <c r="Y177" s="23" t="s">
        <v>153</v>
      </c>
      <c r="Z177" s="23" t="s">
        <v>153</v>
      </c>
      <c r="AA177" s="23" t="s">
        <v>153</v>
      </c>
      <c r="AB177" s="24" t="s">
        <v>153</v>
      </c>
      <c r="AC177" s="23" t="s">
        <v>153</v>
      </c>
      <c r="AD177" s="23" t="s">
        <v>153</v>
      </c>
      <c r="AE177" s="23" t="s">
        <v>153</v>
      </c>
      <c r="AF177" s="23" t="s">
        <v>153</v>
      </c>
      <c r="AG177" s="23" t="s">
        <v>153</v>
      </c>
      <c r="AH177" s="23" t="s">
        <v>153</v>
      </c>
      <c r="AI177" s="24" t="s">
        <v>153</v>
      </c>
      <c r="AJ177" s="23" t="s">
        <v>153</v>
      </c>
      <c r="AK177" s="23" t="s">
        <v>153</v>
      </c>
      <c r="AL177" s="23" t="s">
        <v>153</v>
      </c>
      <c r="AM177" s="23" t="s">
        <v>153</v>
      </c>
      <c r="AN177" s="23" t="s">
        <v>153</v>
      </c>
      <c r="AO177" s="23" t="s">
        <v>153</v>
      </c>
      <c r="AP177" s="23">
        <f>VALUE(2)</f>
        <v>2</v>
      </c>
      <c r="AQ177" s="23">
        <f>VALUE(0)</f>
        <v>0</v>
      </c>
      <c r="AR177" s="23">
        <f>VALUE(0)</f>
        <v>0</v>
      </c>
      <c r="AS177" s="23">
        <f>VALUE(0)</f>
        <v>0</v>
      </c>
      <c r="AT177" s="23">
        <f>VALUE(0)</f>
        <v>0</v>
      </c>
      <c r="AU177" s="23">
        <f>VALUE(0)</f>
        <v>0</v>
      </c>
      <c r="AV177" s="23">
        <f>VALUE(7)</f>
        <v>7</v>
      </c>
      <c r="AW177" s="23">
        <f>VALUE(0)</f>
        <v>0</v>
      </c>
      <c r="AX177" s="23">
        <f>VALUE(0)</f>
        <v>0</v>
      </c>
      <c r="AY177" s="23">
        <f>VALUE(0)</f>
        <v>0</v>
      </c>
      <c r="AZ177" s="23">
        <f>VALUE(0)</f>
        <v>0</v>
      </c>
      <c r="BA177" s="23">
        <f>VALUE(0)</f>
        <v>0</v>
      </c>
      <c r="BB177" s="23">
        <f>VALUE(0)</f>
        <v>0</v>
      </c>
      <c r="BC177" s="23">
        <f>VALUE(0)</f>
        <v>0</v>
      </c>
      <c r="BD177" s="23">
        <f>VALUE(0)</f>
        <v>0</v>
      </c>
      <c r="BE177" s="23">
        <f>VALUE(0)</f>
        <v>0</v>
      </c>
      <c r="BF177" s="23">
        <f>VALUE(0)</f>
        <v>0</v>
      </c>
      <c r="BG177" s="23">
        <f>VALUE(0)</f>
        <v>0</v>
      </c>
      <c r="BH177" s="23">
        <f>VALUE(0)</f>
        <v>0</v>
      </c>
      <c r="BI177" s="23">
        <f>VALUE(0)</f>
        <v>0</v>
      </c>
      <c r="BJ177" s="23">
        <f>VALUE(0)</f>
        <v>0</v>
      </c>
      <c r="BK177" s="12">
        <f>$AX$177*24</f>
        <v>0</v>
      </c>
      <c r="BL177" s="12">
        <f>$AY$177*24</f>
        <v>0</v>
      </c>
      <c r="BM177" s="12">
        <f>$BJ$177*24</f>
        <v>0</v>
      </c>
      <c r="BN177" s="12">
        <f>VALUE($I$177)/100</f>
        <v>1</v>
      </c>
      <c r="BO177" s="12">
        <v>0</v>
      </c>
      <c r="BP177" s="12">
        <v>0</v>
      </c>
      <c r="BQ177" s="12">
        <v>0</v>
      </c>
      <c r="BR177" s="12">
        <v>0</v>
      </c>
      <c r="BS177" s="12">
        <v>0</v>
      </c>
      <c r="BT177" s="12">
        <v>0</v>
      </c>
      <c r="BU177" s="12">
        <v>0</v>
      </c>
      <c r="BV177" s="12">
        <v>0</v>
      </c>
      <c r="BW177" s="12">
        <v>0</v>
      </c>
      <c r="BX177" s="12">
        <v>0</v>
      </c>
      <c r="BY177" s="12">
        <v>0</v>
      </c>
      <c r="BZ177" s="12">
        <v>0</v>
      </c>
      <c r="CA177" s="12">
        <v>0</v>
      </c>
    </row>
    <row r="178" spans="1:79" hidden="1" x14ac:dyDescent="0.2">
      <c r="A178" s="12" t="s">
        <v>120</v>
      </c>
      <c r="B178" s="12" t="s">
        <v>125</v>
      </c>
      <c r="C178" s="12" t="s">
        <v>125</v>
      </c>
      <c r="D178" s="22" t="s">
        <v>438</v>
      </c>
      <c r="E178" s="22" t="s">
        <v>161</v>
      </c>
      <c r="F178" s="22" t="s">
        <v>871</v>
      </c>
      <c r="G178" s="22" t="s">
        <v>872</v>
      </c>
      <c r="H178" s="22" t="s">
        <v>150</v>
      </c>
      <c r="I178" s="22" t="s">
        <v>151</v>
      </c>
      <c r="J178" s="22" t="s">
        <v>162</v>
      </c>
      <c r="K178" s="22" t="s">
        <v>84</v>
      </c>
      <c r="L178" s="54" t="s">
        <v>153</v>
      </c>
      <c r="M178" s="23" t="s">
        <v>153</v>
      </c>
      <c r="N178" s="24" t="s">
        <v>153</v>
      </c>
      <c r="O178" s="23" t="s">
        <v>153</v>
      </c>
      <c r="P178" s="23" t="s">
        <v>153</v>
      </c>
      <c r="Q178" s="23" t="s">
        <v>153</v>
      </c>
      <c r="R178" s="23" t="s">
        <v>153</v>
      </c>
      <c r="S178" s="23" t="s">
        <v>153</v>
      </c>
      <c r="T178" s="23" t="s">
        <v>153</v>
      </c>
      <c r="U178" s="24" t="s">
        <v>153</v>
      </c>
      <c r="V178" s="54" t="s">
        <v>153</v>
      </c>
      <c r="W178" s="23" t="s">
        <v>153</v>
      </c>
      <c r="X178" s="23" t="s">
        <v>153</v>
      </c>
      <c r="Y178" s="23" t="s">
        <v>153</v>
      </c>
      <c r="Z178" s="23" t="s">
        <v>153</v>
      </c>
      <c r="AA178" s="23" t="s">
        <v>153</v>
      </c>
      <c r="AB178" s="24" t="s">
        <v>153</v>
      </c>
      <c r="AC178" s="29" t="s">
        <v>163</v>
      </c>
      <c r="AD178" s="29" t="s">
        <v>163</v>
      </c>
      <c r="AE178" s="24" t="s">
        <v>156</v>
      </c>
      <c r="AF178" s="24" t="s">
        <v>156</v>
      </c>
      <c r="AG178" s="28" t="s">
        <v>163</v>
      </c>
      <c r="AH178" s="28" t="s">
        <v>163</v>
      </c>
      <c r="AI178" s="24" t="s">
        <v>153</v>
      </c>
      <c r="AJ178" s="28" t="s">
        <v>163</v>
      </c>
      <c r="AK178" s="28" t="s">
        <v>163</v>
      </c>
      <c r="AL178" s="28" t="s">
        <v>163</v>
      </c>
      <c r="AM178" s="28" t="s">
        <v>163</v>
      </c>
      <c r="AN178" s="28" t="s">
        <v>163</v>
      </c>
      <c r="AO178" s="28" t="s">
        <v>163</v>
      </c>
      <c r="AP178" s="23">
        <f>VALUE(7)</f>
        <v>7</v>
      </c>
      <c r="AQ178" s="23">
        <f>VALUE(0)</f>
        <v>0</v>
      </c>
      <c r="AR178" s="23">
        <f>VALUE(2)</f>
        <v>2</v>
      </c>
      <c r="AS178" s="23">
        <f>VALUE(0)</f>
        <v>0</v>
      </c>
      <c r="AT178" s="23">
        <f>VALUE(0)</f>
        <v>0</v>
      </c>
      <c r="AU178" s="23">
        <f>VALUE(8)</f>
        <v>8</v>
      </c>
      <c r="AV178" s="23">
        <f>VALUE(1)</f>
        <v>1</v>
      </c>
      <c r="AW178" s="23">
        <f>VALUE(0)</f>
        <v>0</v>
      </c>
      <c r="AX178" s="23" t="s">
        <v>176</v>
      </c>
      <c r="AY178" s="23" t="s">
        <v>439</v>
      </c>
      <c r="AZ178" s="23">
        <f>VALUE(0)</f>
        <v>0</v>
      </c>
      <c r="BA178" s="23">
        <f>VALUE(0)</f>
        <v>0</v>
      </c>
      <c r="BB178" s="23">
        <f>VALUE(0)</f>
        <v>0</v>
      </c>
      <c r="BC178" s="23">
        <f>VALUE(0)</f>
        <v>0</v>
      </c>
      <c r="BD178" s="23">
        <f>VALUE(0)</f>
        <v>0</v>
      </c>
      <c r="BE178" s="23">
        <f>VALUE(0)</f>
        <v>0</v>
      </c>
      <c r="BF178" s="23">
        <f>VALUE(0)</f>
        <v>0</v>
      </c>
      <c r="BG178" s="23">
        <f>VALUE(0)</f>
        <v>0</v>
      </c>
      <c r="BH178" s="23">
        <f>VALUE(0)</f>
        <v>0</v>
      </c>
      <c r="BI178" s="23">
        <f>VALUE(0)</f>
        <v>0</v>
      </c>
      <c r="BJ178" s="23">
        <f>VALUE(0)</f>
        <v>0</v>
      </c>
      <c r="BK178" s="12">
        <f>$AX$178*24</f>
        <v>0</v>
      </c>
      <c r="BL178" s="12">
        <f>$AY$178*24</f>
        <v>8.3333333333333329E-2</v>
      </c>
      <c r="BM178" s="12">
        <f>$BJ$178*24</f>
        <v>0</v>
      </c>
      <c r="BN178" s="12">
        <f>VALUE($I$178)/100</f>
        <v>1</v>
      </c>
      <c r="BO178" s="12">
        <v>0</v>
      </c>
      <c r="BP178" s="12">
        <v>0</v>
      </c>
      <c r="BQ178" s="12">
        <v>0</v>
      </c>
      <c r="BR178" s="12">
        <v>0</v>
      </c>
      <c r="BS178" s="12">
        <v>0</v>
      </c>
      <c r="BT178" s="12">
        <v>2</v>
      </c>
      <c r="BU178" s="12">
        <v>0</v>
      </c>
      <c r="BV178" s="12">
        <v>0</v>
      </c>
      <c r="BW178" s="12">
        <v>0</v>
      </c>
      <c r="BX178" s="12">
        <v>0</v>
      </c>
      <c r="BY178" s="12">
        <v>0</v>
      </c>
      <c r="BZ178" s="12">
        <v>0</v>
      </c>
      <c r="CA178" s="12">
        <v>0</v>
      </c>
    </row>
    <row r="179" spans="1:79" hidden="1" x14ac:dyDescent="0.2">
      <c r="A179" s="12" t="s">
        <v>120</v>
      </c>
      <c r="B179" s="12" t="s">
        <v>125</v>
      </c>
      <c r="C179" s="12" t="s">
        <v>125</v>
      </c>
      <c r="D179" s="22" t="s">
        <v>440</v>
      </c>
      <c r="E179" s="22" t="s">
        <v>161</v>
      </c>
      <c r="F179" s="22" t="s">
        <v>873</v>
      </c>
      <c r="G179" s="22" t="s">
        <v>874</v>
      </c>
      <c r="H179" s="22" t="s">
        <v>150</v>
      </c>
      <c r="I179" s="22" t="s">
        <v>151</v>
      </c>
      <c r="J179" s="22" t="s">
        <v>162</v>
      </c>
      <c r="K179" s="22" t="s">
        <v>84</v>
      </c>
      <c r="L179" s="54" t="s">
        <v>153</v>
      </c>
      <c r="M179" s="23" t="s">
        <v>153</v>
      </c>
      <c r="N179" s="24" t="s">
        <v>153</v>
      </c>
      <c r="O179" s="23" t="s">
        <v>153</v>
      </c>
      <c r="P179" s="23" t="s">
        <v>153</v>
      </c>
      <c r="Q179" s="23" t="s">
        <v>153</v>
      </c>
      <c r="R179" s="23" t="s">
        <v>153</v>
      </c>
      <c r="S179" s="23" t="s">
        <v>153</v>
      </c>
      <c r="T179" s="23" t="s">
        <v>153</v>
      </c>
      <c r="U179" s="24" t="s">
        <v>153</v>
      </c>
      <c r="V179" s="54" t="s">
        <v>153</v>
      </c>
      <c r="W179" s="23" t="s">
        <v>153</v>
      </c>
      <c r="X179" s="23" t="s">
        <v>153</v>
      </c>
      <c r="Y179" s="23" t="s">
        <v>153</v>
      </c>
      <c r="Z179" s="24" t="s">
        <v>156</v>
      </c>
      <c r="AA179" s="24" t="s">
        <v>156</v>
      </c>
      <c r="AB179" s="24" t="s">
        <v>153</v>
      </c>
      <c r="AC179" s="23" t="s">
        <v>153</v>
      </c>
      <c r="AD179" s="23" t="s">
        <v>153</v>
      </c>
      <c r="AE179" s="23" t="s">
        <v>153</v>
      </c>
      <c r="AF179" s="23" t="s">
        <v>153</v>
      </c>
      <c r="AG179" s="23" t="s">
        <v>153</v>
      </c>
      <c r="AH179" s="23" t="s">
        <v>153</v>
      </c>
      <c r="AI179" s="24" t="s">
        <v>153</v>
      </c>
      <c r="AJ179" s="23" t="s">
        <v>153</v>
      </c>
      <c r="AK179" s="23" t="s">
        <v>153</v>
      </c>
      <c r="AL179" s="23" t="s">
        <v>153</v>
      </c>
      <c r="AM179" s="23" t="s">
        <v>153</v>
      </c>
      <c r="AN179" s="23" t="s">
        <v>153</v>
      </c>
      <c r="AO179" s="23" t="s">
        <v>153</v>
      </c>
      <c r="AP179" s="23">
        <f>VALUE(18)</f>
        <v>18</v>
      </c>
      <c r="AQ179" s="23">
        <f>VALUE(0)</f>
        <v>0</v>
      </c>
      <c r="AR179" s="23">
        <f>VALUE(0)</f>
        <v>0</v>
      </c>
      <c r="AS179" s="23">
        <f>VALUE(0)</f>
        <v>0</v>
      </c>
      <c r="AT179" s="23">
        <f>VALUE(0)</f>
        <v>0</v>
      </c>
      <c r="AU179" s="23">
        <f>VALUE(0)</f>
        <v>0</v>
      </c>
      <c r="AV179" s="23">
        <f>VALUE(0)</f>
        <v>0</v>
      </c>
      <c r="AW179" s="23">
        <f>VALUE(0)</f>
        <v>0</v>
      </c>
      <c r="AX179" s="23" t="s">
        <v>158</v>
      </c>
      <c r="AY179" s="23" t="s">
        <v>441</v>
      </c>
      <c r="AZ179" s="23">
        <f>VALUE(0)</f>
        <v>0</v>
      </c>
      <c r="BA179" s="23">
        <f>VALUE(0)</f>
        <v>0</v>
      </c>
      <c r="BB179" s="23">
        <f>VALUE(0)</f>
        <v>0</v>
      </c>
      <c r="BC179" s="23">
        <f>VALUE(0)</f>
        <v>0</v>
      </c>
      <c r="BD179" s="23">
        <f>VALUE(0)</f>
        <v>0</v>
      </c>
      <c r="BE179" s="23">
        <f>VALUE(0)</f>
        <v>0</v>
      </c>
      <c r="BF179" s="23">
        <f>VALUE(0)</f>
        <v>0</v>
      </c>
      <c r="BG179" s="23">
        <f>VALUE(0)</f>
        <v>0</v>
      </c>
      <c r="BH179" s="23">
        <f>VALUE(0)</f>
        <v>0</v>
      </c>
      <c r="BI179" s="23">
        <f>VALUE(0)</f>
        <v>0</v>
      </c>
      <c r="BJ179" s="23">
        <f>VALUE(0)</f>
        <v>0</v>
      </c>
      <c r="BK179" s="12">
        <f>$AX$179*24</f>
        <v>11.666666666666666</v>
      </c>
      <c r="BL179" s="12">
        <f>$AY$179*24</f>
        <v>16.183333333333334</v>
      </c>
      <c r="BM179" s="12">
        <f>$BJ$179*24</f>
        <v>0</v>
      </c>
      <c r="BN179" s="12">
        <f>VALUE($I$179)/100</f>
        <v>1</v>
      </c>
      <c r="BO179" s="12">
        <v>0</v>
      </c>
      <c r="BP179" s="12">
        <v>0</v>
      </c>
      <c r="BQ179" s="12">
        <v>0</v>
      </c>
      <c r="BR179" s="12">
        <v>0</v>
      </c>
      <c r="BS179" s="12">
        <v>0</v>
      </c>
      <c r="BT179" s="12">
        <v>0</v>
      </c>
      <c r="BU179" s="12">
        <v>0</v>
      </c>
      <c r="BV179" s="12">
        <v>0</v>
      </c>
      <c r="BW179" s="12">
        <v>0</v>
      </c>
      <c r="BX179" s="12">
        <v>0</v>
      </c>
      <c r="BY179" s="12">
        <v>0</v>
      </c>
      <c r="BZ179" s="12">
        <v>0</v>
      </c>
      <c r="CA179" s="12">
        <v>0</v>
      </c>
    </row>
    <row r="180" spans="1:79" hidden="1" x14ac:dyDescent="0.2">
      <c r="A180" s="12" t="s">
        <v>120</v>
      </c>
      <c r="B180" s="12" t="s">
        <v>125</v>
      </c>
      <c r="C180" s="12" t="s">
        <v>125</v>
      </c>
      <c r="D180" s="22" t="s">
        <v>442</v>
      </c>
      <c r="E180" s="22" t="s">
        <v>161</v>
      </c>
      <c r="F180" s="22" t="s">
        <v>875</v>
      </c>
      <c r="G180" s="22" t="s">
        <v>876</v>
      </c>
      <c r="H180" s="22" t="s">
        <v>150</v>
      </c>
      <c r="I180" s="22" t="s">
        <v>151</v>
      </c>
      <c r="J180" s="22" t="s">
        <v>162</v>
      </c>
      <c r="K180" s="22" t="s">
        <v>84</v>
      </c>
      <c r="L180" s="54" t="s">
        <v>153</v>
      </c>
      <c r="M180" s="29" t="s">
        <v>163</v>
      </c>
      <c r="N180" s="24" t="s">
        <v>153</v>
      </c>
      <c r="O180" s="23" t="s">
        <v>153</v>
      </c>
      <c r="P180" s="23" t="s">
        <v>153</v>
      </c>
      <c r="Q180" s="23" t="s">
        <v>153</v>
      </c>
      <c r="R180" s="23" t="s">
        <v>153</v>
      </c>
      <c r="S180" s="24" t="s">
        <v>156</v>
      </c>
      <c r="T180" s="24" t="s">
        <v>156</v>
      </c>
      <c r="U180" s="24" t="s">
        <v>153</v>
      </c>
      <c r="V180" s="54" t="s">
        <v>153</v>
      </c>
      <c r="W180" s="23" t="s">
        <v>153</v>
      </c>
      <c r="X180" s="23" t="s">
        <v>153</v>
      </c>
      <c r="Y180" s="23" t="s">
        <v>153</v>
      </c>
      <c r="Z180" s="23" t="s">
        <v>153</v>
      </c>
      <c r="AA180" s="23" t="s">
        <v>153</v>
      </c>
      <c r="AB180" s="24" t="s">
        <v>153</v>
      </c>
      <c r="AC180" s="23" t="s">
        <v>153</v>
      </c>
      <c r="AD180" s="23" t="s">
        <v>153</v>
      </c>
      <c r="AE180" s="23" t="s">
        <v>153</v>
      </c>
      <c r="AF180" s="23" t="s">
        <v>153</v>
      </c>
      <c r="AG180" s="23" t="s">
        <v>153</v>
      </c>
      <c r="AH180" s="23" t="s">
        <v>153</v>
      </c>
      <c r="AI180" s="24" t="s">
        <v>153</v>
      </c>
      <c r="AJ180" s="23" t="s">
        <v>153</v>
      </c>
      <c r="AK180" s="23" t="s">
        <v>153</v>
      </c>
      <c r="AL180" s="23" t="s">
        <v>153</v>
      </c>
      <c r="AM180" s="23" t="s">
        <v>153</v>
      </c>
      <c r="AN180" s="23" t="s">
        <v>153</v>
      </c>
      <c r="AO180" s="23" t="s">
        <v>153</v>
      </c>
      <c r="AP180" s="23">
        <f>VALUE(16)</f>
        <v>16</v>
      </c>
      <c r="AQ180" s="23">
        <f>VALUE(0)</f>
        <v>0</v>
      </c>
      <c r="AR180" s="23">
        <f>VALUE(1)</f>
        <v>1</v>
      </c>
      <c r="AS180" s="23">
        <f>VALUE(0)</f>
        <v>0</v>
      </c>
      <c r="AT180" s="23">
        <f>VALUE(0)</f>
        <v>0</v>
      </c>
      <c r="AU180" s="23">
        <f>VALUE(0)</f>
        <v>0</v>
      </c>
      <c r="AV180" s="23">
        <f>VALUE(0)</f>
        <v>0</v>
      </c>
      <c r="AW180" s="23">
        <f>VALUE(0)</f>
        <v>0</v>
      </c>
      <c r="AX180" s="23" t="s">
        <v>176</v>
      </c>
      <c r="AY180" s="23" t="s">
        <v>443</v>
      </c>
      <c r="AZ180" s="23">
        <f>VALUE(0)</f>
        <v>0</v>
      </c>
      <c r="BA180" s="23">
        <f>VALUE(0)</f>
        <v>0</v>
      </c>
      <c r="BB180" s="23">
        <f>VALUE(0)</f>
        <v>0</v>
      </c>
      <c r="BC180" s="23">
        <f>VALUE(0)</f>
        <v>0</v>
      </c>
      <c r="BD180" s="23">
        <f>VALUE(0)</f>
        <v>0</v>
      </c>
      <c r="BE180" s="23">
        <f>VALUE(0)</f>
        <v>0</v>
      </c>
      <c r="BF180" s="23">
        <f>VALUE(0)</f>
        <v>0</v>
      </c>
      <c r="BG180" s="23">
        <f>VALUE(0)</f>
        <v>0</v>
      </c>
      <c r="BH180" s="23">
        <f>VALUE(0)</f>
        <v>0</v>
      </c>
      <c r="BI180" s="23">
        <f>VALUE(0)</f>
        <v>0</v>
      </c>
      <c r="BJ180" s="23">
        <f>VALUE(0)</f>
        <v>0</v>
      </c>
      <c r="BK180" s="12">
        <f>$AX$180*24</f>
        <v>0</v>
      </c>
      <c r="BL180" s="12">
        <f>$AY$180*24</f>
        <v>5.4333333333333336</v>
      </c>
      <c r="BM180" s="12">
        <f>$BJ$180*24</f>
        <v>0</v>
      </c>
      <c r="BN180" s="12">
        <f>VALUE($I$180)/100</f>
        <v>1</v>
      </c>
      <c r="BO180" s="12">
        <v>0</v>
      </c>
      <c r="BP180" s="12">
        <v>0</v>
      </c>
      <c r="BQ180" s="12">
        <v>0</v>
      </c>
      <c r="BR180" s="12">
        <v>0</v>
      </c>
      <c r="BS180" s="12">
        <v>0</v>
      </c>
      <c r="BT180" s="12">
        <v>1</v>
      </c>
      <c r="BU180" s="12">
        <v>0</v>
      </c>
      <c r="BV180" s="12">
        <v>0</v>
      </c>
      <c r="BW180" s="12">
        <v>0</v>
      </c>
      <c r="BX180" s="12">
        <v>0</v>
      </c>
      <c r="BY180" s="12">
        <v>0</v>
      </c>
      <c r="BZ180" s="12">
        <v>0</v>
      </c>
      <c r="CA180" s="12">
        <v>0</v>
      </c>
    </row>
    <row r="181" spans="1:79" hidden="1" x14ac:dyDescent="0.2">
      <c r="A181" s="12" t="s">
        <v>120</v>
      </c>
      <c r="B181" s="12" t="s">
        <v>125</v>
      </c>
      <c r="C181" s="12" t="s">
        <v>125</v>
      </c>
      <c r="D181" s="22" t="s">
        <v>444</v>
      </c>
      <c r="E181" s="22" t="s">
        <v>161</v>
      </c>
      <c r="F181" s="22" t="s">
        <v>877</v>
      </c>
      <c r="G181" s="22" t="s">
        <v>878</v>
      </c>
      <c r="H181" s="22" t="s">
        <v>150</v>
      </c>
      <c r="I181" s="22" t="s">
        <v>151</v>
      </c>
      <c r="J181" s="22" t="s">
        <v>162</v>
      </c>
      <c r="K181" s="22" t="s">
        <v>84</v>
      </c>
      <c r="L181" s="54" t="s">
        <v>156</v>
      </c>
      <c r="M181" s="24" t="s">
        <v>156</v>
      </c>
      <c r="N181" s="24" t="s">
        <v>153</v>
      </c>
      <c r="O181" s="28" t="s">
        <v>163</v>
      </c>
      <c r="P181" s="28" t="s">
        <v>163</v>
      </c>
      <c r="Q181" s="28" t="s">
        <v>163</v>
      </c>
      <c r="R181" s="29" t="s">
        <v>163</v>
      </c>
      <c r="S181" s="29" t="s">
        <v>163</v>
      </c>
      <c r="T181" s="29" t="s">
        <v>163</v>
      </c>
      <c r="U181" s="24" t="s">
        <v>153</v>
      </c>
      <c r="V181" s="54" t="s">
        <v>153</v>
      </c>
      <c r="W181" s="55" t="s">
        <v>1241</v>
      </c>
      <c r="X181" s="55" t="s">
        <v>1241</v>
      </c>
      <c r="Y181" s="55" t="s">
        <v>1241</v>
      </c>
      <c r="Z181" s="55" t="s">
        <v>1241</v>
      </c>
      <c r="AA181" s="55" t="s">
        <v>1241</v>
      </c>
      <c r="AB181" s="24" t="s">
        <v>153</v>
      </c>
      <c r="AC181" s="23" t="s">
        <v>153</v>
      </c>
      <c r="AD181" s="23" t="s">
        <v>153</v>
      </c>
      <c r="AE181" s="23" t="s">
        <v>153</v>
      </c>
      <c r="AF181" s="23" t="s">
        <v>153</v>
      </c>
      <c r="AG181" s="23" t="s">
        <v>153</v>
      </c>
      <c r="AH181" s="23" t="s">
        <v>153</v>
      </c>
      <c r="AI181" s="24" t="s">
        <v>153</v>
      </c>
      <c r="AJ181" s="24" t="s">
        <v>156</v>
      </c>
      <c r="AK181" s="24" t="s">
        <v>156</v>
      </c>
      <c r="AL181" s="23" t="s">
        <v>153</v>
      </c>
      <c r="AM181" s="23" t="s">
        <v>153</v>
      </c>
      <c r="AN181" s="23" t="s">
        <v>153</v>
      </c>
      <c r="AO181" s="23" t="s">
        <v>153</v>
      </c>
      <c r="AP181" s="23">
        <f>VALUE(14)</f>
        <v>14</v>
      </c>
      <c r="AQ181" s="23">
        <f>VALUE(0)</f>
        <v>0</v>
      </c>
      <c r="AR181" s="23">
        <f>VALUE(3)</f>
        <v>3</v>
      </c>
      <c r="AS181" s="23">
        <f>VALUE(0)</f>
        <v>0</v>
      </c>
      <c r="AT181" s="23">
        <f>VALUE(0)</f>
        <v>0</v>
      </c>
      <c r="AU181" s="23">
        <f>VALUE(3)</f>
        <v>3</v>
      </c>
      <c r="AV181" s="23">
        <f>VALUE(1)</f>
        <v>1</v>
      </c>
      <c r="AW181" s="23">
        <f>VALUE(0)</f>
        <v>0</v>
      </c>
      <c r="AX181" s="23" t="s">
        <v>158</v>
      </c>
      <c r="AY181" s="23" t="s">
        <v>446</v>
      </c>
      <c r="AZ181" s="23">
        <f>VALUE(0)</f>
        <v>0</v>
      </c>
      <c r="BA181" s="23">
        <f>VALUE(0)</f>
        <v>0</v>
      </c>
      <c r="BB181" s="23">
        <f>VALUE(0)</f>
        <v>0</v>
      </c>
      <c r="BC181" s="23">
        <f>VALUE(0)</f>
        <v>0</v>
      </c>
      <c r="BD181" s="23">
        <f>VALUE(0)</f>
        <v>0</v>
      </c>
      <c r="BE181" s="23">
        <f>VALUE(0)</f>
        <v>0</v>
      </c>
      <c r="BF181" s="23">
        <f>VALUE(0)</f>
        <v>0</v>
      </c>
      <c r="BG181" s="23">
        <f>VALUE(0)</f>
        <v>0</v>
      </c>
      <c r="BH181" s="23">
        <f>VALUE(0)</f>
        <v>0</v>
      </c>
      <c r="BI181" s="23">
        <f>VALUE(0)</f>
        <v>0</v>
      </c>
      <c r="BJ181" s="23">
        <f>VALUE(0)</f>
        <v>0</v>
      </c>
      <c r="BK181" s="12">
        <f>$AX$181*24</f>
        <v>11.666666666666666</v>
      </c>
      <c r="BL181" s="12">
        <f>$AY$181*24</f>
        <v>21.433333333333334</v>
      </c>
      <c r="BM181" s="12">
        <f>$BJ$181*24</f>
        <v>0</v>
      </c>
      <c r="BN181" s="12">
        <f>VALUE($I$181)/100</f>
        <v>1</v>
      </c>
      <c r="BO181" s="12">
        <v>0</v>
      </c>
      <c r="BP181" s="12">
        <v>5</v>
      </c>
      <c r="BQ181" s="12">
        <v>0</v>
      </c>
      <c r="BR181" s="12">
        <v>0</v>
      </c>
      <c r="BS181" s="12">
        <v>0</v>
      </c>
      <c r="BT181" s="12">
        <v>3</v>
      </c>
      <c r="BU181" s="12">
        <v>0</v>
      </c>
      <c r="BV181" s="12">
        <v>0</v>
      </c>
      <c r="BW181" s="12">
        <v>0</v>
      </c>
      <c r="BX181" s="12">
        <v>0</v>
      </c>
      <c r="BY181" s="12">
        <v>0</v>
      </c>
      <c r="BZ181" s="12">
        <v>0</v>
      </c>
      <c r="CA181" s="12">
        <v>0</v>
      </c>
    </row>
    <row r="182" spans="1:79" hidden="1" x14ac:dyDescent="0.2">
      <c r="A182" s="12" t="s">
        <v>120</v>
      </c>
      <c r="B182" s="12" t="s">
        <v>125</v>
      </c>
      <c r="C182" s="12" t="s">
        <v>125</v>
      </c>
      <c r="D182" s="22" t="s">
        <v>444</v>
      </c>
      <c r="E182" s="22" t="s">
        <v>161</v>
      </c>
      <c r="F182" s="22" t="s">
        <v>879</v>
      </c>
      <c r="G182" s="22" t="s">
        <v>880</v>
      </c>
      <c r="H182" s="22" t="s">
        <v>190</v>
      </c>
      <c r="I182" s="22" t="s">
        <v>151</v>
      </c>
      <c r="J182" s="22" t="s">
        <v>162</v>
      </c>
      <c r="K182" s="22" t="s">
        <v>84</v>
      </c>
      <c r="L182" s="54" t="s">
        <v>153</v>
      </c>
      <c r="M182" s="23" t="s">
        <v>153</v>
      </c>
      <c r="N182" s="24" t="s">
        <v>153</v>
      </c>
      <c r="O182" s="23" t="s">
        <v>153</v>
      </c>
      <c r="P182" s="23" t="s">
        <v>153</v>
      </c>
      <c r="Q182" s="23" t="s">
        <v>153</v>
      </c>
      <c r="R182" s="23" t="s">
        <v>153</v>
      </c>
      <c r="S182" s="23" t="s">
        <v>153</v>
      </c>
      <c r="T182" s="23" t="s">
        <v>153</v>
      </c>
      <c r="U182" s="24" t="s">
        <v>153</v>
      </c>
      <c r="V182" s="54" t="s">
        <v>153</v>
      </c>
      <c r="W182" s="23" t="s">
        <v>153</v>
      </c>
      <c r="X182" s="23" t="s">
        <v>153</v>
      </c>
      <c r="Y182" s="23" t="s">
        <v>153</v>
      </c>
      <c r="Z182" s="23" t="s">
        <v>153</v>
      </c>
      <c r="AA182" s="23" t="s">
        <v>153</v>
      </c>
      <c r="AB182" s="40" t="s">
        <v>153</v>
      </c>
      <c r="AC182" s="40" t="s">
        <v>153</v>
      </c>
      <c r="AD182" s="40" t="s">
        <v>153</v>
      </c>
      <c r="AE182" s="40" t="s">
        <v>153</v>
      </c>
      <c r="AF182" s="40" t="s">
        <v>153</v>
      </c>
      <c r="AG182" s="40" t="s">
        <v>153</v>
      </c>
      <c r="AH182" s="40" t="s">
        <v>153</v>
      </c>
      <c r="AI182" s="40" t="s">
        <v>153</v>
      </c>
      <c r="AJ182" s="40" t="s">
        <v>153</v>
      </c>
      <c r="AK182" s="40" t="s">
        <v>153</v>
      </c>
      <c r="AL182" s="40" t="s">
        <v>153</v>
      </c>
      <c r="AM182" s="40" t="s">
        <v>153</v>
      </c>
      <c r="AN182" s="40" t="s">
        <v>153</v>
      </c>
      <c r="AO182" s="40" t="s">
        <v>153</v>
      </c>
      <c r="AP182" s="23">
        <f>VALUE(2)</f>
        <v>2</v>
      </c>
      <c r="AQ182" s="23">
        <f>VALUE(0)</f>
        <v>0</v>
      </c>
      <c r="AR182" s="23">
        <f>VALUE(0)</f>
        <v>0</v>
      </c>
      <c r="AS182" s="23">
        <f>VALUE(0)</f>
        <v>0</v>
      </c>
      <c r="AT182" s="23">
        <f>VALUE(0)</f>
        <v>0</v>
      </c>
      <c r="AU182" s="23">
        <f>VALUE(0)</f>
        <v>0</v>
      </c>
      <c r="AV182" s="23">
        <f>VALUE(6)</f>
        <v>6</v>
      </c>
      <c r="AW182" s="23">
        <f>VALUE(0)</f>
        <v>0</v>
      </c>
      <c r="AX182" s="23">
        <f>VALUE(0)</f>
        <v>0</v>
      </c>
      <c r="AY182" s="23">
        <f>VALUE(0)</f>
        <v>0</v>
      </c>
      <c r="AZ182" s="23">
        <f>VALUE(0)</f>
        <v>0</v>
      </c>
      <c r="BA182" s="23">
        <f>VALUE(0)</f>
        <v>0</v>
      </c>
      <c r="BB182" s="23">
        <f>VALUE(0)</f>
        <v>0</v>
      </c>
      <c r="BC182" s="23">
        <f>VALUE(0)</f>
        <v>0</v>
      </c>
      <c r="BD182" s="23">
        <f>VALUE(0)</f>
        <v>0</v>
      </c>
      <c r="BE182" s="23">
        <f>VALUE(0)</f>
        <v>0</v>
      </c>
      <c r="BF182" s="23">
        <f>VALUE(0)</f>
        <v>0</v>
      </c>
      <c r="BG182" s="23">
        <f>VALUE(0)</f>
        <v>0</v>
      </c>
      <c r="BH182" s="23">
        <f>VALUE(0)</f>
        <v>0</v>
      </c>
      <c r="BI182" s="23">
        <f>VALUE(0)</f>
        <v>0</v>
      </c>
      <c r="BJ182" s="23">
        <f>VALUE(0)</f>
        <v>0</v>
      </c>
      <c r="BK182" s="12">
        <f>$AX$182*24</f>
        <v>0</v>
      </c>
      <c r="BL182" s="12">
        <f>$AY$182*24</f>
        <v>0</v>
      </c>
      <c r="BM182" s="12">
        <f>$BJ$182*24</f>
        <v>0</v>
      </c>
      <c r="BN182" s="12">
        <f>VALUE($I$182)/100</f>
        <v>1</v>
      </c>
      <c r="BO182" s="12">
        <v>0</v>
      </c>
      <c r="BP182" s="12">
        <v>0</v>
      </c>
      <c r="BQ182" s="12">
        <v>0</v>
      </c>
      <c r="BR182" s="12">
        <v>0</v>
      </c>
      <c r="BS182" s="12">
        <v>0</v>
      </c>
      <c r="BT182" s="12">
        <v>0</v>
      </c>
      <c r="BU182" s="12">
        <v>0</v>
      </c>
      <c r="BV182" s="12">
        <v>0</v>
      </c>
      <c r="BW182" s="12">
        <v>0</v>
      </c>
      <c r="BX182" s="12">
        <v>0</v>
      </c>
      <c r="BY182" s="12">
        <v>0</v>
      </c>
      <c r="BZ182" s="12">
        <v>0</v>
      </c>
      <c r="CA182" s="12">
        <v>0</v>
      </c>
    </row>
    <row r="183" spans="1:79" hidden="1" x14ac:dyDescent="0.2">
      <c r="A183" s="12" t="s">
        <v>120</v>
      </c>
      <c r="B183" s="12" t="s">
        <v>125</v>
      </c>
      <c r="C183" s="12" t="s">
        <v>125</v>
      </c>
      <c r="D183" s="22" t="s">
        <v>447</v>
      </c>
      <c r="E183" s="22" t="s">
        <v>161</v>
      </c>
      <c r="F183" s="22" t="s">
        <v>881</v>
      </c>
      <c r="G183" s="22" t="s">
        <v>882</v>
      </c>
      <c r="H183" s="22" t="s">
        <v>166</v>
      </c>
      <c r="I183" s="22" t="s">
        <v>151</v>
      </c>
      <c r="J183" s="22" t="s">
        <v>162</v>
      </c>
      <c r="K183" s="22" t="s">
        <v>84</v>
      </c>
      <c r="L183" s="54" t="s">
        <v>153</v>
      </c>
      <c r="M183" s="28" t="s">
        <v>163</v>
      </c>
      <c r="N183" s="24" t="s">
        <v>153</v>
      </c>
      <c r="O183" s="23" t="s">
        <v>153</v>
      </c>
      <c r="P183" s="23" t="s">
        <v>153</v>
      </c>
      <c r="Q183" s="23" t="s">
        <v>153</v>
      </c>
      <c r="R183" s="23" t="s">
        <v>153</v>
      </c>
      <c r="S183" s="23" t="s">
        <v>153</v>
      </c>
      <c r="T183" s="23" t="s">
        <v>153</v>
      </c>
      <c r="U183" s="24" t="s">
        <v>153</v>
      </c>
      <c r="V183" s="54" t="s">
        <v>153</v>
      </c>
      <c r="W183" s="23" t="s">
        <v>153</v>
      </c>
      <c r="X183" s="23" t="s">
        <v>153</v>
      </c>
      <c r="Y183" s="23" t="s">
        <v>153</v>
      </c>
      <c r="Z183" s="23" t="s">
        <v>153</v>
      </c>
      <c r="AA183" s="23" t="s">
        <v>153</v>
      </c>
      <c r="AB183" s="24" t="s">
        <v>153</v>
      </c>
      <c r="AC183" s="24" t="s">
        <v>156</v>
      </c>
      <c r="AD183" s="24" t="s">
        <v>156</v>
      </c>
      <c r="AE183" s="23" t="s">
        <v>153</v>
      </c>
      <c r="AF183" s="23" t="s">
        <v>153</v>
      </c>
      <c r="AG183" s="23" t="s">
        <v>153</v>
      </c>
      <c r="AH183" s="23" t="s">
        <v>153</v>
      </c>
      <c r="AI183" s="24" t="s">
        <v>153</v>
      </c>
      <c r="AJ183" s="23" t="s">
        <v>153</v>
      </c>
      <c r="AK183" s="23" t="s">
        <v>153</v>
      </c>
      <c r="AL183" s="23" t="s">
        <v>153</v>
      </c>
      <c r="AM183" s="23" t="s">
        <v>153</v>
      </c>
      <c r="AN183" s="23" t="s">
        <v>153</v>
      </c>
      <c r="AO183" s="23" t="s">
        <v>153</v>
      </c>
      <c r="AP183" s="23">
        <f>VALUE(18)</f>
        <v>18</v>
      </c>
      <c r="AQ183" s="23">
        <f>VALUE(0)</f>
        <v>0</v>
      </c>
      <c r="AR183" s="23">
        <f>VALUE(0)</f>
        <v>0</v>
      </c>
      <c r="AS183" s="23">
        <f>VALUE(0)</f>
        <v>0</v>
      </c>
      <c r="AT183" s="23">
        <f>VALUE(0)</f>
        <v>0</v>
      </c>
      <c r="AU183" s="23">
        <f>VALUE(1)</f>
        <v>1</v>
      </c>
      <c r="AV183" s="23">
        <f>VALUE(2)</f>
        <v>2</v>
      </c>
      <c r="AW183" s="23">
        <f>VALUE(0)</f>
        <v>0</v>
      </c>
      <c r="AX183" s="23" t="s">
        <v>1242</v>
      </c>
      <c r="AY183" s="23">
        <f>VALUE(0)</f>
        <v>0</v>
      </c>
      <c r="AZ183" s="23">
        <f>VALUE(0)</f>
        <v>0</v>
      </c>
      <c r="BA183" s="23">
        <f>VALUE(0)</f>
        <v>0</v>
      </c>
      <c r="BB183" s="23">
        <f>VALUE(0)</f>
        <v>0</v>
      </c>
      <c r="BC183" s="23">
        <f>VALUE(0)</f>
        <v>0</v>
      </c>
      <c r="BD183" s="23">
        <f>VALUE(0)</f>
        <v>0</v>
      </c>
      <c r="BE183" s="23">
        <f>VALUE(0)</f>
        <v>0</v>
      </c>
      <c r="BF183" s="23">
        <f>VALUE(0)</f>
        <v>0</v>
      </c>
      <c r="BG183" s="23">
        <f>VALUE(0)</f>
        <v>0</v>
      </c>
      <c r="BH183" s="23">
        <f>VALUE(0)</f>
        <v>0</v>
      </c>
      <c r="BI183" s="23">
        <f>VALUE(0)</f>
        <v>0</v>
      </c>
      <c r="BJ183" s="23">
        <f>VALUE(0)</f>
        <v>0</v>
      </c>
      <c r="BK183" s="12">
        <f>$AX$183*24</f>
        <v>20.166666666666668</v>
      </c>
      <c r="BL183" s="12">
        <f>$AY$183*24</f>
        <v>0</v>
      </c>
      <c r="BM183" s="12">
        <f>$BJ$183*24</f>
        <v>0</v>
      </c>
      <c r="BN183" s="12">
        <f>VALUE($I$183)/100</f>
        <v>1</v>
      </c>
      <c r="BO183" s="12">
        <v>0</v>
      </c>
      <c r="BP183" s="12">
        <v>0</v>
      </c>
      <c r="BQ183" s="12">
        <v>0</v>
      </c>
      <c r="BR183" s="12">
        <v>0</v>
      </c>
      <c r="BS183" s="12">
        <v>0</v>
      </c>
      <c r="BT183" s="12">
        <v>0</v>
      </c>
      <c r="BU183" s="12">
        <v>0</v>
      </c>
      <c r="BV183" s="12">
        <v>0</v>
      </c>
      <c r="BW183" s="12">
        <v>0</v>
      </c>
      <c r="BX183" s="12">
        <v>0</v>
      </c>
      <c r="BY183" s="12">
        <v>0</v>
      </c>
      <c r="BZ183" s="12">
        <v>0</v>
      </c>
      <c r="CA183" s="12">
        <v>0</v>
      </c>
    </row>
    <row r="184" spans="1:79" hidden="1" x14ac:dyDescent="0.2">
      <c r="A184" s="12" t="s">
        <v>120</v>
      </c>
      <c r="B184" s="12" t="s">
        <v>125</v>
      </c>
      <c r="C184" s="12" t="s">
        <v>125</v>
      </c>
      <c r="D184" s="22" t="s">
        <v>447</v>
      </c>
      <c r="E184" s="22" t="s">
        <v>161</v>
      </c>
      <c r="F184" s="22" t="s">
        <v>1243</v>
      </c>
      <c r="G184" s="22" t="s">
        <v>883</v>
      </c>
      <c r="H184" s="22" t="s">
        <v>279</v>
      </c>
      <c r="I184" s="22" t="s">
        <v>151</v>
      </c>
      <c r="J184" s="22" t="s">
        <v>162</v>
      </c>
      <c r="K184" s="22" t="s">
        <v>84</v>
      </c>
      <c r="L184" s="54" t="s">
        <v>153</v>
      </c>
      <c r="M184" s="23" t="s">
        <v>153</v>
      </c>
      <c r="N184" s="24" t="s">
        <v>153</v>
      </c>
      <c r="O184" s="23" t="s">
        <v>448</v>
      </c>
      <c r="P184" s="23" t="s">
        <v>448</v>
      </c>
      <c r="Q184" s="23" t="s">
        <v>448</v>
      </c>
      <c r="R184" s="23" t="s">
        <v>448</v>
      </c>
      <c r="S184" s="23" t="s">
        <v>448</v>
      </c>
      <c r="T184" s="23" t="s">
        <v>448</v>
      </c>
      <c r="U184" s="24" t="s">
        <v>153</v>
      </c>
      <c r="V184" s="54" t="s">
        <v>153</v>
      </c>
      <c r="W184" s="27" t="s">
        <v>153</v>
      </c>
      <c r="X184" s="27" t="s">
        <v>153</v>
      </c>
      <c r="Y184" s="27" t="s">
        <v>153</v>
      </c>
      <c r="Z184" s="27" t="s">
        <v>153</v>
      </c>
      <c r="AA184" s="27" t="s">
        <v>153</v>
      </c>
      <c r="AB184" s="24" t="s">
        <v>153</v>
      </c>
      <c r="AC184" s="27" t="s">
        <v>153</v>
      </c>
      <c r="AD184" s="27" t="s">
        <v>153</v>
      </c>
      <c r="AE184" s="27" t="s">
        <v>153</v>
      </c>
      <c r="AF184" s="27" t="s">
        <v>153</v>
      </c>
      <c r="AG184" s="27" t="s">
        <v>153</v>
      </c>
      <c r="AH184" s="27" t="s">
        <v>153</v>
      </c>
      <c r="AI184" s="24" t="s">
        <v>153</v>
      </c>
      <c r="AJ184" s="27" t="s">
        <v>153</v>
      </c>
      <c r="AK184" s="27" t="s">
        <v>153</v>
      </c>
      <c r="AL184" s="27" t="s">
        <v>153</v>
      </c>
      <c r="AM184" s="27" t="s">
        <v>153</v>
      </c>
      <c r="AN184" s="27" t="s">
        <v>153</v>
      </c>
      <c r="AO184" s="27" t="s">
        <v>153</v>
      </c>
      <c r="AP184" s="23">
        <f>VALUE(0)</f>
        <v>0</v>
      </c>
      <c r="AQ184" s="23">
        <f>VALUE(0)</f>
        <v>0</v>
      </c>
      <c r="AR184" s="23">
        <f>VALUE(0)</f>
        <v>0</v>
      </c>
      <c r="AS184" s="23">
        <f>VALUE(0)</f>
        <v>0</v>
      </c>
      <c r="AT184" s="23">
        <f>VALUE(0)</f>
        <v>0</v>
      </c>
      <c r="AU184" s="23">
        <f>VALUE(0)</f>
        <v>0</v>
      </c>
      <c r="AV184" s="23">
        <f>VALUE(0)</f>
        <v>0</v>
      </c>
      <c r="AW184" s="23">
        <f>VALUE(0)</f>
        <v>0</v>
      </c>
      <c r="AX184" s="23">
        <f>VALUE(0)</f>
        <v>0</v>
      </c>
      <c r="AY184" s="23">
        <f>VALUE(0)</f>
        <v>0</v>
      </c>
      <c r="AZ184" s="23">
        <f>VALUE(0)</f>
        <v>0</v>
      </c>
      <c r="BA184" s="23">
        <f>VALUE(0)</f>
        <v>0</v>
      </c>
      <c r="BB184" s="23">
        <f>VALUE(0)</f>
        <v>0</v>
      </c>
      <c r="BC184" s="23">
        <f>VALUE(0)</f>
        <v>0</v>
      </c>
      <c r="BD184" s="23">
        <f>VALUE(0)</f>
        <v>0</v>
      </c>
      <c r="BE184" s="23">
        <f>VALUE(0)</f>
        <v>0</v>
      </c>
      <c r="BF184" s="23">
        <f>VALUE(0)</f>
        <v>0</v>
      </c>
      <c r="BG184" s="23">
        <f>VALUE(0)</f>
        <v>0</v>
      </c>
      <c r="BH184" s="23">
        <f>VALUE(0)</f>
        <v>0</v>
      </c>
      <c r="BI184" s="23">
        <f>VALUE(0)</f>
        <v>0</v>
      </c>
      <c r="BJ184" s="23">
        <f>VALUE(0)</f>
        <v>0</v>
      </c>
      <c r="BK184" s="12">
        <f>$AX$184*24</f>
        <v>0</v>
      </c>
      <c r="BL184" s="12">
        <f>$AY$184*24</f>
        <v>0</v>
      </c>
      <c r="BM184" s="12">
        <f>$BJ$184*24</f>
        <v>0</v>
      </c>
      <c r="BN184" s="12">
        <f>VALUE($I$184)/100</f>
        <v>1</v>
      </c>
      <c r="BO184" s="12">
        <v>0</v>
      </c>
      <c r="BP184" s="12">
        <v>0</v>
      </c>
      <c r="BQ184" s="12">
        <v>0</v>
      </c>
      <c r="BR184" s="12">
        <v>0</v>
      </c>
      <c r="BS184" s="12">
        <v>0</v>
      </c>
      <c r="BT184" s="12">
        <v>0</v>
      </c>
      <c r="BU184" s="12">
        <v>0</v>
      </c>
      <c r="BV184" s="12">
        <v>0</v>
      </c>
      <c r="BW184" s="12">
        <v>0</v>
      </c>
      <c r="BX184" s="12">
        <v>0</v>
      </c>
      <c r="BY184" s="12">
        <v>0</v>
      </c>
      <c r="BZ184" s="12">
        <v>0</v>
      </c>
      <c r="CA184" s="12">
        <v>0</v>
      </c>
    </row>
    <row r="185" spans="1:79" hidden="1" x14ac:dyDescent="0.2">
      <c r="A185" s="12" t="s">
        <v>120</v>
      </c>
      <c r="B185" s="12" t="s">
        <v>125</v>
      </c>
      <c r="C185" s="12" t="s">
        <v>125</v>
      </c>
      <c r="D185" s="22" t="s">
        <v>451</v>
      </c>
      <c r="E185" s="22" t="s">
        <v>161</v>
      </c>
      <c r="F185" s="22" t="s">
        <v>884</v>
      </c>
      <c r="G185" s="22" t="s">
        <v>885</v>
      </c>
      <c r="H185" s="22" t="s">
        <v>166</v>
      </c>
      <c r="I185" s="22" t="s">
        <v>194</v>
      </c>
      <c r="J185" s="22" t="s">
        <v>162</v>
      </c>
      <c r="K185" s="22" t="s">
        <v>84</v>
      </c>
      <c r="L185" s="54" t="s">
        <v>153</v>
      </c>
      <c r="M185" s="24" t="s">
        <v>195</v>
      </c>
      <c r="N185" s="24" t="s">
        <v>153</v>
      </c>
      <c r="O185" s="23" t="s">
        <v>153</v>
      </c>
      <c r="P185" s="23" t="s">
        <v>153</v>
      </c>
      <c r="Q185" s="23" t="s">
        <v>153</v>
      </c>
      <c r="R185" s="23" t="s">
        <v>153</v>
      </c>
      <c r="S185" s="23" t="s">
        <v>153</v>
      </c>
      <c r="T185" s="23" t="s">
        <v>153</v>
      </c>
      <c r="U185" s="24" t="s">
        <v>153</v>
      </c>
      <c r="V185" s="54" t="s">
        <v>153</v>
      </c>
      <c r="W185" s="23" t="s">
        <v>153</v>
      </c>
      <c r="X185" s="24" t="s">
        <v>156</v>
      </c>
      <c r="Y185" s="24" t="s">
        <v>156</v>
      </c>
      <c r="Z185" s="23" t="s">
        <v>153</v>
      </c>
      <c r="AA185" s="23" t="s">
        <v>153</v>
      </c>
      <c r="AB185" s="24" t="s">
        <v>153</v>
      </c>
      <c r="AC185" s="23" t="s">
        <v>153</v>
      </c>
      <c r="AD185" s="23" t="s">
        <v>153</v>
      </c>
      <c r="AE185" s="23" t="s">
        <v>153</v>
      </c>
      <c r="AF185" s="24" t="s">
        <v>195</v>
      </c>
      <c r="AG185" s="24" t="s">
        <v>195</v>
      </c>
      <c r="AH185" s="24" t="s">
        <v>195</v>
      </c>
      <c r="AI185" s="24" t="s">
        <v>153</v>
      </c>
      <c r="AJ185" s="23" t="s">
        <v>153</v>
      </c>
      <c r="AK185" s="23" t="s">
        <v>153</v>
      </c>
      <c r="AL185" s="23" t="s">
        <v>153</v>
      </c>
      <c r="AM185" s="23" t="s">
        <v>153</v>
      </c>
      <c r="AN185" s="23" t="s">
        <v>153</v>
      </c>
      <c r="AO185" s="23" t="s">
        <v>153</v>
      </c>
      <c r="AP185" s="23">
        <f>VALUE(15)</f>
        <v>15</v>
      </c>
      <c r="AQ185" s="23">
        <f>VALUE(0)</f>
        <v>0</v>
      </c>
      <c r="AR185" s="23">
        <f>VALUE(0)</f>
        <v>0</v>
      </c>
      <c r="AS185" s="23">
        <f>VALUE(0)</f>
        <v>0</v>
      </c>
      <c r="AT185" s="23">
        <f>VALUE(0)</f>
        <v>0</v>
      </c>
      <c r="AU185" s="23">
        <f>VALUE(0)</f>
        <v>0</v>
      </c>
      <c r="AV185" s="23">
        <f>VALUE(1)</f>
        <v>1</v>
      </c>
      <c r="AW185" s="23">
        <f>VALUE(0)</f>
        <v>0</v>
      </c>
      <c r="AX185" s="23" t="s">
        <v>452</v>
      </c>
      <c r="AY185" s="23">
        <f>VALUE(0)</f>
        <v>0</v>
      </c>
      <c r="AZ185" s="23">
        <f>VALUE(0)</f>
        <v>0</v>
      </c>
      <c r="BA185" s="23">
        <f>VALUE(0)</f>
        <v>0</v>
      </c>
      <c r="BB185" s="23">
        <f>VALUE(0)</f>
        <v>0</v>
      </c>
      <c r="BC185" s="23">
        <f>VALUE(0)</f>
        <v>0</v>
      </c>
      <c r="BD185" s="23">
        <f>VALUE(0)</f>
        <v>0</v>
      </c>
      <c r="BE185" s="23">
        <f>VALUE(0)</f>
        <v>0</v>
      </c>
      <c r="BF185" s="23">
        <f>VALUE(0)</f>
        <v>0</v>
      </c>
      <c r="BG185" s="23">
        <f>VALUE(0)</f>
        <v>0</v>
      </c>
      <c r="BH185" s="23">
        <f>VALUE(0)</f>
        <v>0</v>
      </c>
      <c r="BI185" s="23">
        <f>VALUE(0)</f>
        <v>0</v>
      </c>
      <c r="BJ185" s="23">
        <f>VALUE(0)</f>
        <v>0</v>
      </c>
      <c r="BK185" s="12">
        <f>$AX$185*24</f>
        <v>21.266666666666666</v>
      </c>
      <c r="BL185" s="12">
        <f>$AY$185*24</f>
        <v>0</v>
      </c>
      <c r="BM185" s="12">
        <f>$BJ$185*24</f>
        <v>0</v>
      </c>
      <c r="BN185" s="12">
        <f>VALUE($I$185)/100</f>
        <v>0.8</v>
      </c>
      <c r="BO185" s="12">
        <v>0</v>
      </c>
      <c r="BP185" s="12">
        <v>0</v>
      </c>
      <c r="BQ185" s="12">
        <v>0</v>
      </c>
      <c r="BR185" s="12">
        <v>0</v>
      </c>
      <c r="BS185" s="12">
        <v>0</v>
      </c>
      <c r="BT185" s="12">
        <v>0</v>
      </c>
      <c r="BU185" s="12">
        <v>0</v>
      </c>
      <c r="BV185" s="12">
        <v>0</v>
      </c>
      <c r="BW185" s="12">
        <v>0</v>
      </c>
      <c r="BX185" s="12">
        <v>0</v>
      </c>
      <c r="BY185" s="12">
        <v>0</v>
      </c>
      <c r="BZ185" s="12">
        <v>0</v>
      </c>
      <c r="CA185" s="12">
        <v>0</v>
      </c>
    </row>
    <row r="186" spans="1:79" hidden="1" x14ac:dyDescent="0.2">
      <c r="A186" s="12" t="s">
        <v>120</v>
      </c>
      <c r="B186" s="12" t="s">
        <v>125</v>
      </c>
      <c r="C186" s="12" t="s">
        <v>125</v>
      </c>
      <c r="D186" s="22" t="s">
        <v>453</v>
      </c>
      <c r="E186" s="22" t="s">
        <v>161</v>
      </c>
      <c r="F186" s="22" t="s">
        <v>1244</v>
      </c>
      <c r="G186" s="22" t="s">
        <v>886</v>
      </c>
      <c r="H186" s="22" t="s">
        <v>150</v>
      </c>
      <c r="I186" s="22" t="s">
        <v>151</v>
      </c>
      <c r="J186" s="22" t="s">
        <v>162</v>
      </c>
      <c r="K186" s="22" t="s">
        <v>84</v>
      </c>
      <c r="L186" s="54" t="s">
        <v>153</v>
      </c>
      <c r="M186" s="23" t="s">
        <v>153</v>
      </c>
      <c r="N186" s="24" t="s">
        <v>153</v>
      </c>
      <c r="O186" s="23" t="s">
        <v>153</v>
      </c>
      <c r="P186" s="23" t="s">
        <v>153</v>
      </c>
      <c r="Q186" s="24" t="s">
        <v>156</v>
      </c>
      <c r="R186" s="24" t="s">
        <v>156</v>
      </c>
      <c r="S186" s="23" t="s">
        <v>153</v>
      </c>
      <c r="T186" s="23" t="s">
        <v>153</v>
      </c>
      <c r="U186" s="24" t="s">
        <v>153</v>
      </c>
      <c r="V186" s="54" t="s">
        <v>153</v>
      </c>
      <c r="W186" s="23" t="s">
        <v>153</v>
      </c>
      <c r="X186" s="23" t="s">
        <v>153</v>
      </c>
      <c r="Y186" s="23" t="s">
        <v>153</v>
      </c>
      <c r="Z186" s="23" t="s">
        <v>153</v>
      </c>
      <c r="AA186" s="23" t="s">
        <v>153</v>
      </c>
      <c r="AB186" s="24" t="s">
        <v>153</v>
      </c>
      <c r="AC186" s="23" t="s">
        <v>153</v>
      </c>
      <c r="AD186" s="23" t="s">
        <v>153</v>
      </c>
      <c r="AE186" s="23" t="s">
        <v>153</v>
      </c>
      <c r="AF186" s="23" t="s">
        <v>153</v>
      </c>
      <c r="AG186" s="23" t="s">
        <v>153</v>
      </c>
      <c r="AH186" s="23" t="s">
        <v>153</v>
      </c>
      <c r="AI186" s="24" t="s">
        <v>153</v>
      </c>
      <c r="AJ186" s="23" t="s">
        <v>153</v>
      </c>
      <c r="AK186" s="23" t="s">
        <v>153</v>
      </c>
      <c r="AL186" s="23" t="s">
        <v>153</v>
      </c>
      <c r="AM186" s="23" t="s">
        <v>153</v>
      </c>
      <c r="AN186" s="23" t="s">
        <v>153</v>
      </c>
      <c r="AO186" s="23" t="s">
        <v>153</v>
      </c>
      <c r="AP186" s="23">
        <f>VALUE(17)</f>
        <v>17</v>
      </c>
      <c r="AQ186" s="23">
        <f>VALUE(0)</f>
        <v>0</v>
      </c>
      <c r="AR186" s="23">
        <f>VALUE(0)</f>
        <v>0</v>
      </c>
      <c r="AS186" s="23">
        <f>VALUE(0)</f>
        <v>0</v>
      </c>
      <c r="AT186" s="23">
        <f>VALUE(0)</f>
        <v>0</v>
      </c>
      <c r="AU186" s="23">
        <f>VALUE(0)</f>
        <v>0</v>
      </c>
      <c r="AV186" s="23">
        <f>VALUE(4)</f>
        <v>4</v>
      </c>
      <c r="AW186" s="23">
        <f>VALUE(0)</f>
        <v>0</v>
      </c>
      <c r="AX186" s="23" t="s">
        <v>445</v>
      </c>
      <c r="AY186" s="23" t="s">
        <v>187</v>
      </c>
      <c r="AZ186" s="23">
        <f>VALUE(0)</f>
        <v>0</v>
      </c>
      <c r="BA186" s="23">
        <f>VALUE(0)</f>
        <v>0</v>
      </c>
      <c r="BB186" s="23">
        <f>VALUE(0)</f>
        <v>0</v>
      </c>
      <c r="BC186" s="23">
        <f>VALUE(0)</f>
        <v>0</v>
      </c>
      <c r="BD186" s="23">
        <f>VALUE(0)</f>
        <v>0</v>
      </c>
      <c r="BE186" s="23">
        <f>VALUE(0)</f>
        <v>0</v>
      </c>
      <c r="BF186" s="23">
        <f>VALUE(0)</f>
        <v>0</v>
      </c>
      <c r="BG186" s="23">
        <f>VALUE(0)</f>
        <v>0</v>
      </c>
      <c r="BH186" s="23">
        <f>VALUE(0)</f>
        <v>0</v>
      </c>
      <c r="BI186" s="23">
        <f>VALUE(0)</f>
        <v>0</v>
      </c>
      <c r="BJ186" s="23">
        <f>VALUE(0)</f>
        <v>0</v>
      </c>
      <c r="BK186" s="12">
        <f>$AX$186*24</f>
        <v>17.5</v>
      </c>
      <c r="BL186" s="12">
        <f>$AY$186*24</f>
        <v>6.1833333333333336</v>
      </c>
      <c r="BM186" s="12">
        <f>$BJ$186*24</f>
        <v>0</v>
      </c>
      <c r="BN186" s="12">
        <f>VALUE($I$186)/100</f>
        <v>1</v>
      </c>
      <c r="BO186" s="12">
        <v>0</v>
      </c>
      <c r="BP186" s="12">
        <v>0</v>
      </c>
      <c r="BQ186" s="12">
        <v>0</v>
      </c>
      <c r="BR186" s="12">
        <v>0</v>
      </c>
      <c r="BS186" s="12">
        <v>0</v>
      </c>
      <c r="BT186" s="12">
        <v>0</v>
      </c>
      <c r="BU186" s="12">
        <v>0</v>
      </c>
      <c r="BV186" s="12">
        <v>0</v>
      </c>
      <c r="BW186" s="12">
        <v>0</v>
      </c>
      <c r="BX186" s="12">
        <v>0</v>
      </c>
      <c r="BY186" s="12">
        <v>0</v>
      </c>
      <c r="BZ186" s="12">
        <v>0</v>
      </c>
      <c r="CA186" s="12">
        <v>0</v>
      </c>
    </row>
    <row r="187" spans="1:79" hidden="1" x14ac:dyDescent="0.2">
      <c r="A187" s="12" t="s">
        <v>120</v>
      </c>
      <c r="B187" s="12" t="s">
        <v>125</v>
      </c>
      <c r="C187" s="12" t="s">
        <v>125</v>
      </c>
      <c r="D187" s="22" t="s">
        <v>454</v>
      </c>
      <c r="E187" s="22" t="s">
        <v>161</v>
      </c>
      <c r="F187" s="22" t="s">
        <v>887</v>
      </c>
      <c r="G187" s="22" t="s">
        <v>888</v>
      </c>
      <c r="H187" s="22" t="s">
        <v>150</v>
      </c>
      <c r="I187" s="22" t="s">
        <v>151</v>
      </c>
      <c r="J187" s="22" t="s">
        <v>162</v>
      </c>
      <c r="K187" s="22" t="s">
        <v>84</v>
      </c>
      <c r="L187" s="54" t="s">
        <v>153</v>
      </c>
      <c r="M187" s="23" t="s">
        <v>153</v>
      </c>
      <c r="N187" s="24" t="s">
        <v>153</v>
      </c>
      <c r="O187" s="23" t="s">
        <v>153</v>
      </c>
      <c r="P187" s="23" t="s">
        <v>153</v>
      </c>
      <c r="Q187" s="23" t="s">
        <v>153</v>
      </c>
      <c r="R187" s="23" t="s">
        <v>153</v>
      </c>
      <c r="S187" s="23" t="s">
        <v>153</v>
      </c>
      <c r="T187" s="23" t="s">
        <v>153</v>
      </c>
      <c r="U187" s="24" t="s">
        <v>153</v>
      </c>
      <c r="V187" s="54" t="s">
        <v>153</v>
      </c>
      <c r="W187" s="28" t="s">
        <v>163</v>
      </c>
      <c r="X187" s="28" t="s">
        <v>163</v>
      </c>
      <c r="Y187" s="28" t="s">
        <v>163</v>
      </c>
      <c r="Z187" s="28" t="s">
        <v>163</v>
      </c>
      <c r="AA187" s="28" t="s">
        <v>163</v>
      </c>
      <c r="AB187" s="24" t="s">
        <v>153</v>
      </c>
      <c r="AC187" s="23" t="s">
        <v>153</v>
      </c>
      <c r="AD187" s="23" t="s">
        <v>153</v>
      </c>
      <c r="AE187" s="23" t="s">
        <v>153</v>
      </c>
      <c r="AF187" s="23" t="s">
        <v>153</v>
      </c>
      <c r="AG187" s="23" t="s">
        <v>153</v>
      </c>
      <c r="AH187" s="23" t="s">
        <v>153</v>
      </c>
      <c r="AI187" s="24" t="s">
        <v>153</v>
      </c>
      <c r="AJ187" s="23" t="s">
        <v>153</v>
      </c>
      <c r="AK187" s="23" t="s">
        <v>153</v>
      </c>
      <c r="AL187" s="23" t="s">
        <v>153</v>
      </c>
      <c r="AM187" s="23" t="s">
        <v>153</v>
      </c>
      <c r="AN187" s="24" t="s">
        <v>156</v>
      </c>
      <c r="AO187" s="24" t="s">
        <v>156</v>
      </c>
      <c r="AP187" s="23">
        <f>VALUE(12)</f>
        <v>12</v>
      </c>
      <c r="AQ187" s="23">
        <f>VALUE(0)</f>
        <v>0</v>
      </c>
      <c r="AR187" s="23">
        <f>VALUE(0)</f>
        <v>0</v>
      </c>
      <c r="AS187" s="23">
        <f>VALUE(0)</f>
        <v>0</v>
      </c>
      <c r="AT187" s="23">
        <f>VALUE(0)</f>
        <v>0</v>
      </c>
      <c r="AU187" s="23">
        <f>VALUE(5)</f>
        <v>5</v>
      </c>
      <c r="AV187" s="23">
        <f>VALUE(3)</f>
        <v>3</v>
      </c>
      <c r="AW187" s="23">
        <f>VALUE(0)</f>
        <v>0</v>
      </c>
      <c r="AX187" s="23">
        <f>VALUE(0)</f>
        <v>0</v>
      </c>
      <c r="AY187" s="23" t="s">
        <v>455</v>
      </c>
      <c r="AZ187" s="23">
        <f>VALUE(0)</f>
        <v>0</v>
      </c>
      <c r="BA187" s="23">
        <f>VALUE(0)</f>
        <v>0</v>
      </c>
      <c r="BB187" s="23">
        <f>VALUE(0)</f>
        <v>0</v>
      </c>
      <c r="BC187" s="23">
        <f>VALUE(0)</f>
        <v>0</v>
      </c>
      <c r="BD187" s="23">
        <f>VALUE(0)</f>
        <v>0</v>
      </c>
      <c r="BE187" s="23">
        <f>VALUE(0)</f>
        <v>0</v>
      </c>
      <c r="BF187" s="23">
        <f>VALUE(0)</f>
        <v>0</v>
      </c>
      <c r="BG187" s="23">
        <f>VALUE(0)</f>
        <v>0</v>
      </c>
      <c r="BH187" s="23">
        <f>VALUE(0)</f>
        <v>0</v>
      </c>
      <c r="BI187" s="23">
        <f>VALUE(0)</f>
        <v>0</v>
      </c>
      <c r="BJ187" s="23">
        <f>VALUE(0)</f>
        <v>0</v>
      </c>
      <c r="BK187" s="12">
        <f>$AX$187*24</f>
        <v>0</v>
      </c>
      <c r="BL187" s="12">
        <f>$AY$187*24</f>
        <v>3.2333333333333334</v>
      </c>
      <c r="BM187" s="12">
        <f>$BJ$187*24</f>
        <v>0</v>
      </c>
      <c r="BN187" s="12">
        <f>VALUE($I$187)/100</f>
        <v>1</v>
      </c>
      <c r="BO187" s="12">
        <v>0</v>
      </c>
      <c r="BP187" s="12">
        <v>0</v>
      </c>
      <c r="BQ187" s="12">
        <v>0</v>
      </c>
      <c r="BR187" s="12">
        <v>0</v>
      </c>
      <c r="BS187" s="12">
        <v>0</v>
      </c>
      <c r="BT187" s="12">
        <v>0</v>
      </c>
      <c r="BU187" s="12">
        <v>0</v>
      </c>
      <c r="BV187" s="12">
        <v>0</v>
      </c>
      <c r="BW187" s="12">
        <v>0</v>
      </c>
      <c r="BX187" s="12">
        <v>0</v>
      </c>
      <c r="BY187" s="12">
        <v>0</v>
      </c>
      <c r="BZ187" s="12">
        <v>0</v>
      </c>
      <c r="CA187" s="12">
        <v>0</v>
      </c>
    </row>
    <row r="188" spans="1:79" hidden="1" x14ac:dyDescent="0.2">
      <c r="A188" s="12" t="s">
        <v>120</v>
      </c>
      <c r="B188" s="12" t="s">
        <v>125</v>
      </c>
      <c r="C188" s="12" t="s">
        <v>125</v>
      </c>
      <c r="D188" s="22" t="s">
        <v>456</v>
      </c>
      <c r="E188" s="22" t="s">
        <v>161</v>
      </c>
      <c r="F188" s="22" t="s">
        <v>1245</v>
      </c>
      <c r="G188" s="22" t="s">
        <v>889</v>
      </c>
      <c r="H188" s="22" t="s">
        <v>190</v>
      </c>
      <c r="I188" s="22" t="s">
        <v>151</v>
      </c>
      <c r="J188" s="22" t="s">
        <v>162</v>
      </c>
      <c r="K188" s="22" t="s">
        <v>84</v>
      </c>
      <c r="L188" s="54" t="s">
        <v>153</v>
      </c>
      <c r="M188" s="23" t="s">
        <v>153</v>
      </c>
      <c r="N188" s="24" t="s">
        <v>153</v>
      </c>
      <c r="O188" s="23" t="s">
        <v>153</v>
      </c>
      <c r="P188" s="23" t="s">
        <v>153</v>
      </c>
      <c r="Q188" s="23" t="s">
        <v>153</v>
      </c>
      <c r="R188" s="23" t="s">
        <v>153</v>
      </c>
      <c r="S188" s="23" t="s">
        <v>153</v>
      </c>
      <c r="T188" s="23" t="s">
        <v>153</v>
      </c>
      <c r="U188" s="24" t="s">
        <v>153</v>
      </c>
      <c r="V188" s="54" t="s">
        <v>153</v>
      </c>
      <c r="W188" s="23" t="s">
        <v>153</v>
      </c>
      <c r="X188" s="23" t="s">
        <v>153</v>
      </c>
      <c r="Y188" s="23" t="s">
        <v>153</v>
      </c>
      <c r="Z188" s="23" t="s">
        <v>153</v>
      </c>
      <c r="AA188" s="23" t="s">
        <v>153</v>
      </c>
      <c r="AB188" s="24" t="s">
        <v>153</v>
      </c>
      <c r="AC188" s="23" t="s">
        <v>153</v>
      </c>
      <c r="AD188" s="23" t="s">
        <v>153</v>
      </c>
      <c r="AE188" s="23" t="s">
        <v>153</v>
      </c>
      <c r="AF188" s="23" t="s">
        <v>153</v>
      </c>
      <c r="AG188" s="24" t="s">
        <v>156</v>
      </c>
      <c r="AH188" s="24" t="s">
        <v>156</v>
      </c>
      <c r="AI188" s="24" t="s">
        <v>153</v>
      </c>
      <c r="AJ188" s="23" t="s">
        <v>153</v>
      </c>
      <c r="AK188" s="23" t="s">
        <v>153</v>
      </c>
      <c r="AL188" s="23" t="s">
        <v>153</v>
      </c>
      <c r="AM188" s="23" t="s">
        <v>153</v>
      </c>
      <c r="AN188" s="23" t="s">
        <v>153</v>
      </c>
      <c r="AO188" s="23" t="s">
        <v>153</v>
      </c>
      <c r="AP188" s="23">
        <f>VALUE(0)</f>
        <v>0</v>
      </c>
      <c r="AQ188" s="23">
        <f>VALUE(0)</f>
        <v>0</v>
      </c>
      <c r="AR188" s="23">
        <f>VALUE(0)</f>
        <v>0</v>
      </c>
      <c r="AS188" s="23">
        <f>VALUE(0)</f>
        <v>0</v>
      </c>
      <c r="AT188" s="23">
        <f>VALUE(0)</f>
        <v>0</v>
      </c>
      <c r="AU188" s="23">
        <f>VALUE(0)</f>
        <v>0</v>
      </c>
      <c r="AV188" s="23">
        <f>VALUE(7)</f>
        <v>7</v>
      </c>
      <c r="AW188" s="23">
        <f>VALUE(0)</f>
        <v>0</v>
      </c>
      <c r="AX188" s="23">
        <f>VALUE(0)</f>
        <v>0</v>
      </c>
      <c r="AY188" s="23">
        <f>VALUE(0)</f>
        <v>0</v>
      </c>
      <c r="AZ188" s="23">
        <f>VALUE(0)</f>
        <v>0</v>
      </c>
      <c r="BA188" s="23">
        <f>VALUE(0)</f>
        <v>0</v>
      </c>
      <c r="BB188" s="23">
        <f>VALUE(0)</f>
        <v>0</v>
      </c>
      <c r="BC188" s="23">
        <f>VALUE(0)</f>
        <v>0</v>
      </c>
      <c r="BD188" s="23">
        <f>VALUE(0)</f>
        <v>0</v>
      </c>
      <c r="BE188" s="23">
        <f>VALUE(0)</f>
        <v>0</v>
      </c>
      <c r="BF188" s="23">
        <f>VALUE(0)</f>
        <v>0</v>
      </c>
      <c r="BG188" s="23">
        <f>VALUE(0)</f>
        <v>0</v>
      </c>
      <c r="BH188" s="23">
        <f>VALUE(0)</f>
        <v>0</v>
      </c>
      <c r="BI188" s="23">
        <f>VALUE(0)</f>
        <v>0</v>
      </c>
      <c r="BJ188" s="23">
        <f>VALUE(0)</f>
        <v>0</v>
      </c>
      <c r="BK188" s="12">
        <f>$AX$188*24</f>
        <v>0</v>
      </c>
      <c r="BL188" s="12">
        <f>$AY$188*24</f>
        <v>0</v>
      </c>
      <c r="BM188" s="12">
        <f>$BJ$188*24</f>
        <v>0</v>
      </c>
      <c r="BN188" s="12">
        <f>VALUE($I$188)/100</f>
        <v>1</v>
      </c>
      <c r="BO188" s="12">
        <v>0</v>
      </c>
      <c r="BP188" s="12">
        <v>0</v>
      </c>
      <c r="BQ188" s="12">
        <v>0</v>
      </c>
      <c r="BR188" s="12">
        <v>0</v>
      </c>
      <c r="BS188" s="12">
        <v>0</v>
      </c>
      <c r="BT188" s="12">
        <v>0</v>
      </c>
      <c r="BU188" s="12">
        <v>0</v>
      </c>
      <c r="BV188" s="12">
        <v>0</v>
      </c>
      <c r="BW188" s="12">
        <v>0</v>
      </c>
      <c r="BX188" s="12">
        <v>0</v>
      </c>
      <c r="BY188" s="12">
        <v>0</v>
      </c>
      <c r="BZ188" s="12">
        <v>0</v>
      </c>
      <c r="CA188" s="12">
        <v>0</v>
      </c>
    </row>
    <row r="189" spans="1:79" hidden="1" x14ac:dyDescent="0.2">
      <c r="A189" s="12" t="s">
        <v>120</v>
      </c>
      <c r="B189" s="12" t="s">
        <v>125</v>
      </c>
      <c r="C189" s="12" t="s">
        <v>125</v>
      </c>
      <c r="D189" s="22" t="s">
        <v>456</v>
      </c>
      <c r="E189" s="22" t="s">
        <v>161</v>
      </c>
      <c r="F189" s="22" t="s">
        <v>890</v>
      </c>
      <c r="G189" s="22" t="s">
        <v>891</v>
      </c>
      <c r="H189" s="22" t="s">
        <v>150</v>
      </c>
      <c r="I189" s="22" t="s">
        <v>151</v>
      </c>
      <c r="J189" s="22" t="s">
        <v>162</v>
      </c>
      <c r="K189" s="22" t="s">
        <v>84</v>
      </c>
      <c r="L189" s="54" t="s">
        <v>153</v>
      </c>
      <c r="M189" s="32" t="s">
        <v>416</v>
      </c>
      <c r="N189" s="24" t="s">
        <v>153</v>
      </c>
      <c r="O189" s="32" t="s">
        <v>416</v>
      </c>
      <c r="P189" s="32" t="s">
        <v>416</v>
      </c>
      <c r="Q189" s="32" t="s">
        <v>416</v>
      </c>
      <c r="R189" s="32" t="s">
        <v>416</v>
      </c>
      <c r="S189" s="32" t="s">
        <v>416</v>
      </c>
      <c r="T189" s="32" t="s">
        <v>416</v>
      </c>
      <c r="U189" s="24" t="s">
        <v>153</v>
      </c>
      <c r="V189" s="54" t="s">
        <v>153</v>
      </c>
      <c r="W189" s="32" t="s">
        <v>416</v>
      </c>
      <c r="X189" s="32" t="s">
        <v>416</v>
      </c>
      <c r="Y189" s="32" t="s">
        <v>416</v>
      </c>
      <c r="Z189" s="32" t="s">
        <v>416</v>
      </c>
      <c r="AA189" s="32" t="s">
        <v>416</v>
      </c>
      <c r="AB189" s="24" t="s">
        <v>153</v>
      </c>
      <c r="AC189" s="32" t="s">
        <v>416</v>
      </c>
      <c r="AD189" s="32" t="s">
        <v>416</v>
      </c>
      <c r="AE189" s="32" t="s">
        <v>416</v>
      </c>
      <c r="AF189" s="32" t="s">
        <v>416</v>
      </c>
      <c r="AG189" s="32" t="s">
        <v>416</v>
      </c>
      <c r="AH189" s="32" t="s">
        <v>416</v>
      </c>
      <c r="AI189" s="24" t="s">
        <v>153</v>
      </c>
      <c r="AJ189" s="32" t="s">
        <v>416</v>
      </c>
      <c r="AK189" s="32" t="s">
        <v>416</v>
      </c>
      <c r="AL189" s="32" t="s">
        <v>416</v>
      </c>
      <c r="AM189" s="32" t="s">
        <v>416</v>
      </c>
      <c r="AN189" s="32" t="s">
        <v>416</v>
      </c>
      <c r="AO189" s="32" t="s">
        <v>416</v>
      </c>
      <c r="AP189" s="23">
        <f>VALUE(3)</f>
        <v>3</v>
      </c>
      <c r="AQ189" s="23">
        <f>VALUE(0)</f>
        <v>0</v>
      </c>
      <c r="AR189" s="23">
        <f>VALUE(0)</f>
        <v>0</v>
      </c>
      <c r="AS189" s="23">
        <f>VALUE(0)</f>
        <v>0</v>
      </c>
      <c r="AT189" s="23">
        <f>VALUE(0)</f>
        <v>0</v>
      </c>
      <c r="AU189" s="23">
        <f>VALUE(0)</f>
        <v>0</v>
      </c>
      <c r="AV189" s="23">
        <f>VALUE(2)</f>
        <v>2</v>
      </c>
      <c r="AW189" s="23">
        <f>VALUE(0)</f>
        <v>0</v>
      </c>
      <c r="AX189" s="23" t="s">
        <v>158</v>
      </c>
      <c r="AY189" s="23" t="s">
        <v>457</v>
      </c>
      <c r="AZ189" s="23">
        <f>VALUE(0)</f>
        <v>0</v>
      </c>
      <c r="BA189" s="23">
        <f>VALUE(24)</f>
        <v>24</v>
      </c>
      <c r="BB189" s="23">
        <f>VALUE(0)</f>
        <v>0</v>
      </c>
      <c r="BC189" s="23">
        <f>VALUE(0)</f>
        <v>0</v>
      </c>
      <c r="BD189" s="23">
        <f>VALUE(0)</f>
        <v>0</v>
      </c>
      <c r="BE189" s="23">
        <f>VALUE(0)</f>
        <v>0</v>
      </c>
      <c r="BF189" s="23">
        <f>VALUE(0)</f>
        <v>0</v>
      </c>
      <c r="BG189" s="23">
        <f>VALUE(0)</f>
        <v>0</v>
      </c>
      <c r="BH189" s="23">
        <f>VALUE(0)</f>
        <v>0</v>
      </c>
      <c r="BI189" s="23">
        <f>VALUE(0)</f>
        <v>0</v>
      </c>
      <c r="BJ189" s="23">
        <f>VALUE(0)</f>
        <v>0</v>
      </c>
      <c r="BK189" s="12">
        <f>$AX$189*24</f>
        <v>11.666666666666666</v>
      </c>
      <c r="BL189" s="12">
        <f>$AY$189*24</f>
        <v>26.766666666666666</v>
      </c>
      <c r="BM189" s="12">
        <f>$BJ$189*24</f>
        <v>0</v>
      </c>
      <c r="BN189" s="12">
        <f>VALUE($I$189)/100</f>
        <v>1</v>
      </c>
      <c r="BO189" s="12">
        <v>0</v>
      </c>
      <c r="BP189" s="12">
        <v>0</v>
      </c>
      <c r="BQ189" s="12">
        <v>0</v>
      </c>
      <c r="BR189" s="12">
        <v>0</v>
      </c>
      <c r="BS189" s="12">
        <v>0</v>
      </c>
      <c r="BT189" s="12">
        <v>0</v>
      </c>
      <c r="BU189" s="12">
        <v>0</v>
      </c>
      <c r="BV189" s="12">
        <v>0</v>
      </c>
      <c r="BW189" s="12">
        <v>0</v>
      </c>
      <c r="BX189" s="12">
        <v>0</v>
      </c>
      <c r="BY189" s="12">
        <v>0</v>
      </c>
      <c r="BZ189" s="12">
        <v>0</v>
      </c>
      <c r="CA189" s="12">
        <v>0</v>
      </c>
    </row>
    <row r="190" spans="1:79" hidden="1" x14ac:dyDescent="0.2">
      <c r="A190" s="12" t="s">
        <v>120</v>
      </c>
      <c r="B190" s="12" t="s">
        <v>125</v>
      </c>
      <c r="C190" s="12" t="s">
        <v>125</v>
      </c>
      <c r="D190" s="22" t="s">
        <v>458</v>
      </c>
      <c r="E190" s="22" t="s">
        <v>161</v>
      </c>
      <c r="F190" s="22" t="s">
        <v>892</v>
      </c>
      <c r="G190" s="22" t="s">
        <v>893</v>
      </c>
      <c r="H190" s="22" t="s">
        <v>150</v>
      </c>
      <c r="I190" s="22" t="s">
        <v>151</v>
      </c>
      <c r="J190" s="22" t="s">
        <v>162</v>
      </c>
      <c r="K190" s="22" t="s">
        <v>84</v>
      </c>
      <c r="L190" s="54" t="s">
        <v>153</v>
      </c>
      <c r="M190" s="23" t="s">
        <v>459</v>
      </c>
      <c r="N190" s="24" t="s">
        <v>153</v>
      </c>
      <c r="O190" s="23" t="s">
        <v>459</v>
      </c>
      <c r="P190" s="23" t="s">
        <v>459</v>
      </c>
      <c r="Q190" s="23" t="s">
        <v>459</v>
      </c>
      <c r="R190" s="23" t="s">
        <v>459</v>
      </c>
      <c r="S190" s="23" t="s">
        <v>459</v>
      </c>
      <c r="T190" s="23" t="s">
        <v>459</v>
      </c>
      <c r="U190" s="24" t="s">
        <v>153</v>
      </c>
      <c r="V190" s="54" t="s">
        <v>153</v>
      </c>
      <c r="W190" s="23" t="s">
        <v>459</v>
      </c>
      <c r="X190" s="23" t="s">
        <v>459</v>
      </c>
      <c r="Y190" s="23" t="s">
        <v>459</v>
      </c>
      <c r="Z190" s="23" t="s">
        <v>459</v>
      </c>
      <c r="AA190" s="23" t="s">
        <v>459</v>
      </c>
      <c r="AB190" s="24" t="s">
        <v>153</v>
      </c>
      <c r="AC190" s="23" t="s">
        <v>459</v>
      </c>
      <c r="AD190" s="23" t="s">
        <v>459</v>
      </c>
      <c r="AE190" s="23" t="s">
        <v>459</v>
      </c>
      <c r="AF190" s="23" t="s">
        <v>459</v>
      </c>
      <c r="AG190" s="23" t="s">
        <v>459</v>
      </c>
      <c r="AH190" s="23" t="s">
        <v>459</v>
      </c>
      <c r="AI190" s="24" t="s">
        <v>153</v>
      </c>
      <c r="AJ190" s="23" t="s">
        <v>459</v>
      </c>
      <c r="AK190" s="23" t="s">
        <v>459</v>
      </c>
      <c r="AL190" s="24" t="s">
        <v>156</v>
      </c>
      <c r="AM190" s="24" t="s">
        <v>156</v>
      </c>
      <c r="AN190" s="23" t="s">
        <v>459</v>
      </c>
      <c r="AO190" s="23" t="s">
        <v>459</v>
      </c>
      <c r="AP190" s="23">
        <f>VALUE(17)</f>
        <v>17</v>
      </c>
      <c r="AQ190" s="23">
        <f>VALUE(0)</f>
        <v>0</v>
      </c>
      <c r="AR190" s="23">
        <f>VALUE(0)</f>
        <v>0</v>
      </c>
      <c r="AS190" s="23">
        <f>VALUE(0)</f>
        <v>0</v>
      </c>
      <c r="AT190" s="23">
        <f>VALUE(0)</f>
        <v>0</v>
      </c>
      <c r="AU190" s="23">
        <f>VALUE(0)</f>
        <v>0</v>
      </c>
      <c r="AV190" s="23">
        <f>VALUE(2)</f>
        <v>2</v>
      </c>
      <c r="AW190" s="23">
        <f>VALUE(0)</f>
        <v>0</v>
      </c>
      <c r="AX190" s="23">
        <f>VALUE(0)</f>
        <v>0</v>
      </c>
      <c r="AY190" s="23" t="s">
        <v>460</v>
      </c>
      <c r="AZ190" s="23">
        <f>VALUE(0)</f>
        <v>0</v>
      </c>
      <c r="BA190" s="23">
        <f>VALUE(0)</f>
        <v>0</v>
      </c>
      <c r="BB190" s="23">
        <f>VALUE(0)</f>
        <v>0</v>
      </c>
      <c r="BC190" s="23">
        <f>VALUE(0)</f>
        <v>0</v>
      </c>
      <c r="BD190" s="23">
        <f>VALUE(0)</f>
        <v>0</v>
      </c>
      <c r="BE190" s="23">
        <f>VALUE(0)</f>
        <v>0</v>
      </c>
      <c r="BF190" s="23">
        <f>VALUE(0)</f>
        <v>0</v>
      </c>
      <c r="BG190" s="23">
        <f>VALUE(0)</f>
        <v>0</v>
      </c>
      <c r="BH190" s="23">
        <f>VALUE(0)</f>
        <v>0</v>
      </c>
      <c r="BI190" s="23">
        <f>VALUE(0)</f>
        <v>0</v>
      </c>
      <c r="BJ190" s="23">
        <f>VALUE(0)</f>
        <v>0</v>
      </c>
      <c r="BK190" s="12">
        <f>$AX$190*24</f>
        <v>0</v>
      </c>
      <c r="BL190" s="12">
        <f>$AY$190*24</f>
        <v>4.3666666666666663</v>
      </c>
      <c r="BM190" s="12">
        <f>$BJ$190*24</f>
        <v>0</v>
      </c>
      <c r="BN190" s="12">
        <f>VALUE($I$190)/100</f>
        <v>1</v>
      </c>
      <c r="BO190" s="12">
        <v>0</v>
      </c>
      <c r="BP190" s="12">
        <v>0</v>
      </c>
      <c r="BQ190" s="12">
        <v>0</v>
      </c>
      <c r="BR190" s="12">
        <v>0</v>
      </c>
      <c r="BS190" s="12">
        <v>0</v>
      </c>
      <c r="BT190" s="12">
        <v>0</v>
      </c>
      <c r="BU190" s="12">
        <v>0</v>
      </c>
      <c r="BV190" s="12">
        <v>0</v>
      </c>
      <c r="BW190" s="12">
        <v>0</v>
      </c>
      <c r="BX190" s="12">
        <v>0</v>
      </c>
      <c r="BY190" s="12">
        <v>0</v>
      </c>
      <c r="BZ190" s="12">
        <v>0</v>
      </c>
      <c r="CA190" s="12">
        <v>0</v>
      </c>
    </row>
    <row r="191" spans="1:79" hidden="1" x14ac:dyDescent="0.2">
      <c r="A191" s="12" t="s">
        <v>120</v>
      </c>
      <c r="B191" s="12" t="s">
        <v>125</v>
      </c>
      <c r="C191" s="12" t="s">
        <v>125</v>
      </c>
      <c r="D191" s="22" t="s">
        <v>587</v>
      </c>
      <c r="E191" s="22" t="s">
        <v>173</v>
      </c>
      <c r="F191" s="22" t="s">
        <v>894</v>
      </c>
      <c r="G191" s="22" t="s">
        <v>895</v>
      </c>
      <c r="H191" s="22" t="s">
        <v>150</v>
      </c>
      <c r="I191" s="22" t="s">
        <v>151</v>
      </c>
      <c r="J191" s="22" t="s">
        <v>162</v>
      </c>
      <c r="K191" s="22" t="s">
        <v>84</v>
      </c>
      <c r="L191" s="54" t="s">
        <v>153</v>
      </c>
      <c r="M191" s="23" t="s">
        <v>442</v>
      </c>
      <c r="N191" s="24" t="s">
        <v>153</v>
      </c>
      <c r="O191" s="25" t="s">
        <v>1246</v>
      </c>
      <c r="P191" s="25" t="s">
        <v>1247</v>
      </c>
      <c r="Q191" s="25" t="s">
        <v>1247</v>
      </c>
      <c r="R191" s="25" t="s">
        <v>1247</v>
      </c>
      <c r="S191" s="25" t="s">
        <v>451</v>
      </c>
      <c r="T191" s="25" t="s">
        <v>451</v>
      </c>
      <c r="U191" s="24" t="s">
        <v>153</v>
      </c>
      <c r="V191" s="54" t="s">
        <v>156</v>
      </c>
      <c r="W191" s="24" t="s">
        <v>156</v>
      </c>
      <c r="X191" s="28" t="s">
        <v>163</v>
      </c>
      <c r="Y191" s="25" t="s">
        <v>1246</v>
      </c>
      <c r="Z191" s="25" t="s">
        <v>1246</v>
      </c>
      <c r="AA191" s="25" t="s">
        <v>1246</v>
      </c>
      <c r="AB191" s="24" t="s">
        <v>153</v>
      </c>
      <c r="AC191" s="23" t="s">
        <v>438</v>
      </c>
      <c r="AD191" s="23" t="s">
        <v>438</v>
      </c>
      <c r="AE191" s="25" t="s">
        <v>438</v>
      </c>
      <c r="AF191" s="25" t="s">
        <v>438</v>
      </c>
      <c r="AG191" s="23" t="s">
        <v>438</v>
      </c>
      <c r="AH191" s="23" t="s">
        <v>438</v>
      </c>
      <c r="AI191" s="24" t="s">
        <v>153</v>
      </c>
      <c r="AJ191" s="23" t="s">
        <v>438</v>
      </c>
      <c r="AK191" s="23" t="s">
        <v>438</v>
      </c>
      <c r="AL191" s="23" t="s">
        <v>438</v>
      </c>
      <c r="AM191" s="23" t="s">
        <v>438</v>
      </c>
      <c r="AN191" s="23" t="s">
        <v>438</v>
      </c>
      <c r="AO191" s="23" t="s">
        <v>438</v>
      </c>
      <c r="AP191" s="23">
        <f>VALUE(4)</f>
        <v>4</v>
      </c>
      <c r="AQ191" s="23">
        <f>VALUE(0)</f>
        <v>0</v>
      </c>
      <c r="AR191" s="23">
        <f>VALUE(0)</f>
        <v>0</v>
      </c>
      <c r="AS191" s="23">
        <f>VALUE(0)</f>
        <v>0</v>
      </c>
      <c r="AT191" s="23">
        <f>VALUE(0)</f>
        <v>0</v>
      </c>
      <c r="AU191" s="23">
        <f>VALUE(1)</f>
        <v>1</v>
      </c>
      <c r="AV191" s="23">
        <f>VALUE(3)</f>
        <v>3</v>
      </c>
      <c r="AW191" s="23">
        <f>VALUE(0)</f>
        <v>0</v>
      </c>
      <c r="AX191" s="23">
        <f>VALUE(0)</f>
        <v>0</v>
      </c>
      <c r="AY191" s="23">
        <f>VALUE(0)</f>
        <v>0</v>
      </c>
      <c r="AZ191" s="23">
        <f>VALUE(0)</f>
        <v>0</v>
      </c>
      <c r="BA191" s="23">
        <f>VALUE(0)</f>
        <v>0</v>
      </c>
      <c r="BB191" s="23">
        <f>VALUE(0)</f>
        <v>0</v>
      </c>
      <c r="BC191" s="23">
        <f>VALUE(0)</f>
        <v>0</v>
      </c>
      <c r="BD191" s="23">
        <f>VALUE(7)</f>
        <v>7</v>
      </c>
      <c r="BE191" s="23">
        <f>VALUE(0)</f>
        <v>0</v>
      </c>
      <c r="BF191" s="23">
        <f>VALUE(0)</f>
        <v>0</v>
      </c>
      <c r="BG191" s="23">
        <f>VALUE(0)</f>
        <v>0</v>
      </c>
      <c r="BH191" s="23">
        <f>VALUE(0)</f>
        <v>0</v>
      </c>
      <c r="BI191" s="23">
        <f>VALUE(0)</f>
        <v>0</v>
      </c>
      <c r="BJ191" s="23">
        <f>VALUE(0)</f>
        <v>0</v>
      </c>
      <c r="BK191" s="12">
        <f>$AX$191*24</f>
        <v>0</v>
      </c>
      <c r="BL191" s="12">
        <f>$AY$191*24</f>
        <v>0</v>
      </c>
      <c r="BM191" s="12">
        <f>$BJ$191*24</f>
        <v>0</v>
      </c>
      <c r="BN191" s="12">
        <f>VALUE($I$191)/100</f>
        <v>1</v>
      </c>
      <c r="BO191" s="12">
        <v>0</v>
      </c>
      <c r="BP191" s="12">
        <v>0</v>
      </c>
      <c r="BQ191" s="12">
        <v>0</v>
      </c>
      <c r="BR191" s="12">
        <v>7</v>
      </c>
      <c r="BS191" s="12">
        <v>0</v>
      </c>
      <c r="BT191" s="12">
        <v>0</v>
      </c>
      <c r="BU191" s="12">
        <v>0</v>
      </c>
      <c r="BV191" s="12">
        <v>0</v>
      </c>
      <c r="BW191" s="12">
        <v>0</v>
      </c>
      <c r="BX191" s="12">
        <v>0</v>
      </c>
      <c r="BY191" s="12">
        <v>0</v>
      </c>
      <c r="BZ191" s="12">
        <v>0</v>
      </c>
      <c r="CA191" s="12">
        <v>0</v>
      </c>
    </row>
    <row r="192" spans="1:79" hidden="1" x14ac:dyDescent="0.2">
      <c r="A192" s="12" t="s">
        <v>120</v>
      </c>
      <c r="B192" s="12" t="s">
        <v>125</v>
      </c>
      <c r="C192" s="12" t="s">
        <v>125</v>
      </c>
      <c r="D192" s="22" t="s">
        <v>461</v>
      </c>
      <c r="E192" s="22" t="s">
        <v>332</v>
      </c>
      <c r="F192" s="22" t="s">
        <v>896</v>
      </c>
      <c r="G192" s="22" t="s">
        <v>897</v>
      </c>
      <c r="H192" s="22" t="s">
        <v>150</v>
      </c>
      <c r="I192" s="22" t="s">
        <v>151</v>
      </c>
      <c r="J192" s="22" t="s">
        <v>162</v>
      </c>
      <c r="K192" s="22" t="s">
        <v>84</v>
      </c>
      <c r="L192" s="54" t="s">
        <v>153</v>
      </c>
      <c r="M192" s="23" t="s">
        <v>451</v>
      </c>
      <c r="N192" s="24" t="s">
        <v>153</v>
      </c>
      <c r="O192" s="24" t="s">
        <v>156</v>
      </c>
      <c r="P192" s="24" t="s">
        <v>156</v>
      </c>
      <c r="Q192" s="23" t="s">
        <v>453</v>
      </c>
      <c r="R192" s="23" t="s">
        <v>453</v>
      </c>
      <c r="S192" s="23" t="s">
        <v>442</v>
      </c>
      <c r="T192" s="23" t="s">
        <v>442</v>
      </c>
      <c r="U192" s="24" t="s">
        <v>153</v>
      </c>
      <c r="V192" s="54" t="s">
        <v>153</v>
      </c>
      <c r="W192" s="25" t="s">
        <v>438</v>
      </c>
      <c r="X192" s="23" t="s">
        <v>451</v>
      </c>
      <c r="Y192" s="23" t="s">
        <v>451</v>
      </c>
      <c r="Z192" s="23" t="s">
        <v>440</v>
      </c>
      <c r="AA192" s="23" t="s">
        <v>440</v>
      </c>
      <c r="AB192" s="24" t="s">
        <v>153</v>
      </c>
      <c r="AC192" s="23" t="s">
        <v>447</v>
      </c>
      <c r="AD192" s="23" t="s">
        <v>447</v>
      </c>
      <c r="AE192" s="25" t="s">
        <v>438</v>
      </c>
      <c r="AF192" s="25" t="s">
        <v>438</v>
      </c>
      <c r="AG192" s="23" t="s">
        <v>456</v>
      </c>
      <c r="AH192" s="23" t="s">
        <v>456</v>
      </c>
      <c r="AI192" s="24" t="s">
        <v>153</v>
      </c>
      <c r="AJ192" s="23" t="s">
        <v>444</v>
      </c>
      <c r="AK192" s="23" t="s">
        <v>444</v>
      </c>
      <c r="AL192" s="23" t="s">
        <v>459</v>
      </c>
      <c r="AM192" s="23" t="s">
        <v>459</v>
      </c>
      <c r="AN192" s="23" t="s">
        <v>454</v>
      </c>
      <c r="AO192" s="23" t="s">
        <v>454</v>
      </c>
      <c r="AP192" s="23">
        <f>VALUE(11)</f>
        <v>11</v>
      </c>
      <c r="AQ192" s="23">
        <f>VALUE(0)</f>
        <v>0</v>
      </c>
      <c r="AR192" s="23">
        <f>VALUE(0)</f>
        <v>0</v>
      </c>
      <c r="AS192" s="23">
        <f>VALUE(0)</f>
        <v>0</v>
      </c>
      <c r="AT192" s="23">
        <f>VALUE(0)</f>
        <v>0</v>
      </c>
      <c r="AU192" s="23">
        <f>VALUE(0)</f>
        <v>0</v>
      </c>
      <c r="AV192" s="23">
        <f>VALUE(2)</f>
        <v>2</v>
      </c>
      <c r="AW192" s="23">
        <f>VALUE(0)</f>
        <v>0</v>
      </c>
      <c r="AX192" s="23">
        <f>VALUE(0)</f>
        <v>0</v>
      </c>
      <c r="AY192" s="23">
        <f>VALUE(0)</f>
        <v>0</v>
      </c>
      <c r="AZ192" s="23">
        <f>VALUE(0)</f>
        <v>0</v>
      </c>
      <c r="BA192" s="23">
        <f>VALUE(0)</f>
        <v>0</v>
      </c>
      <c r="BB192" s="23">
        <f>VALUE(0)</f>
        <v>0</v>
      </c>
      <c r="BC192" s="23">
        <f>VALUE(0)</f>
        <v>0</v>
      </c>
      <c r="BD192" s="23">
        <f>VALUE(0)</f>
        <v>0</v>
      </c>
      <c r="BE192" s="23">
        <f>VALUE(0)</f>
        <v>0</v>
      </c>
      <c r="BF192" s="23">
        <f>VALUE(0)</f>
        <v>0</v>
      </c>
      <c r="BG192" s="23">
        <f>VALUE(0)</f>
        <v>0</v>
      </c>
      <c r="BH192" s="23">
        <f>VALUE(0)</f>
        <v>0</v>
      </c>
      <c r="BI192" s="23">
        <f>VALUE(0)</f>
        <v>0</v>
      </c>
      <c r="BJ192" s="23">
        <f>VALUE(0)</f>
        <v>0</v>
      </c>
      <c r="BK192" s="12">
        <f>$AX$192*24</f>
        <v>0</v>
      </c>
      <c r="BL192" s="12">
        <f>$AY$192*24</f>
        <v>0</v>
      </c>
      <c r="BM192" s="12">
        <f>$BJ$192*24</f>
        <v>0</v>
      </c>
      <c r="BN192" s="12">
        <f>VALUE($I$192)/100</f>
        <v>1</v>
      </c>
      <c r="BO192" s="12">
        <v>0</v>
      </c>
      <c r="BP192" s="12">
        <v>0</v>
      </c>
      <c r="BQ192" s="12">
        <v>0</v>
      </c>
      <c r="BR192" s="12">
        <v>0</v>
      </c>
      <c r="BS192" s="12">
        <v>0</v>
      </c>
      <c r="BT192" s="12">
        <v>0</v>
      </c>
      <c r="BU192" s="12">
        <v>0</v>
      </c>
      <c r="BV192" s="12">
        <v>0</v>
      </c>
      <c r="BW192" s="12">
        <v>0</v>
      </c>
      <c r="BX192" s="12">
        <v>0</v>
      </c>
      <c r="BY192" s="12">
        <v>0</v>
      </c>
      <c r="BZ192" s="12">
        <v>0</v>
      </c>
      <c r="CA192" s="12">
        <v>0</v>
      </c>
    </row>
    <row r="193" spans="1:79" ht="15" hidden="1" x14ac:dyDescent="0.25">
      <c r="A193" s="12" t="s">
        <v>120</v>
      </c>
      <c r="B193" s="12" t="s">
        <v>125</v>
      </c>
      <c r="C193" s="12" t="s">
        <v>125</v>
      </c>
      <c r="D193" s="31" t="s">
        <v>1248</v>
      </c>
      <c r="E193" s="31" t="s">
        <v>153</v>
      </c>
      <c r="F193" s="31" t="s">
        <v>175</v>
      </c>
      <c r="G193" s="31" t="s">
        <v>153</v>
      </c>
      <c r="H193" s="31" t="s">
        <v>153</v>
      </c>
      <c r="I193" s="31" t="s">
        <v>153</v>
      </c>
      <c r="J193" s="31" t="s">
        <v>153</v>
      </c>
      <c r="K193" s="31" t="s">
        <v>153</v>
      </c>
      <c r="L193" s="31">
        <f>VALUE(0)</f>
        <v>0</v>
      </c>
      <c r="M193" s="31">
        <f>VALUE(11)</f>
        <v>11</v>
      </c>
      <c r="N193" s="31">
        <f>VALUE(0)</f>
        <v>0</v>
      </c>
      <c r="O193" s="31">
        <f>VALUE(13)</f>
        <v>13</v>
      </c>
      <c r="P193" s="31">
        <f>VALUE(13)</f>
        <v>13</v>
      </c>
      <c r="Q193" s="31">
        <f>VALUE(13)</f>
        <v>13</v>
      </c>
      <c r="R193" s="31">
        <f>VALUE(13)</f>
        <v>13</v>
      </c>
      <c r="S193" s="31">
        <f>VALUE(13)</f>
        <v>13</v>
      </c>
      <c r="T193" s="31">
        <f>VALUE(13)</f>
        <v>13</v>
      </c>
      <c r="U193" s="31">
        <f>VALUE(0)</f>
        <v>0</v>
      </c>
      <c r="V193" s="31">
        <f>VALUE(0)</f>
        <v>0</v>
      </c>
      <c r="W193" s="31">
        <f>VALUE(11)</f>
        <v>11</v>
      </c>
      <c r="X193" s="31">
        <f>VALUE(10)</f>
        <v>10</v>
      </c>
      <c r="Y193" s="31">
        <f>VALUE(11)</f>
        <v>11</v>
      </c>
      <c r="Z193" s="31">
        <f>VALUE(11)</f>
        <v>11</v>
      </c>
      <c r="AA193" s="31">
        <f>VALUE(11)</f>
        <v>11</v>
      </c>
      <c r="AB193" s="31">
        <f>VALUE(0)</f>
        <v>0</v>
      </c>
      <c r="AC193" s="31">
        <f>VALUE(11)</f>
        <v>11</v>
      </c>
      <c r="AD193" s="31">
        <f>VALUE(11)</f>
        <v>11</v>
      </c>
      <c r="AE193" s="31">
        <f>VALUE(12)</f>
        <v>12</v>
      </c>
      <c r="AF193" s="31">
        <f>VALUE(11)</f>
        <v>11</v>
      </c>
      <c r="AG193" s="31">
        <f>VALUE(10)</f>
        <v>10</v>
      </c>
      <c r="AH193" s="31">
        <f>VALUE(10)</f>
        <v>10</v>
      </c>
      <c r="AI193" s="31">
        <f>VALUE(0)</f>
        <v>0</v>
      </c>
      <c r="AJ193" s="31">
        <f>VALUE(11)</f>
        <v>11</v>
      </c>
      <c r="AK193" s="31">
        <f>VALUE(11)</f>
        <v>11</v>
      </c>
      <c r="AL193" s="31">
        <f>VALUE(11)</f>
        <v>11</v>
      </c>
      <c r="AM193" s="31">
        <f>VALUE(11)</f>
        <v>11</v>
      </c>
      <c r="AN193" s="31">
        <f>VALUE(11)</f>
        <v>11</v>
      </c>
      <c r="AO193" s="31">
        <f>VALUE(11)</f>
        <v>11</v>
      </c>
      <c r="AP193" s="31">
        <v>0</v>
      </c>
      <c r="AQ193" s="31">
        <v>0</v>
      </c>
      <c r="AR193" s="31">
        <v>0</v>
      </c>
      <c r="AS193" s="31">
        <v>0</v>
      </c>
      <c r="AT193" s="31">
        <v>0</v>
      </c>
      <c r="AU193" s="31">
        <v>0</v>
      </c>
      <c r="AV193" s="31">
        <v>0</v>
      </c>
      <c r="AW193" s="31">
        <v>0</v>
      </c>
      <c r="AX193" s="31">
        <v>0</v>
      </c>
      <c r="AY193" s="31">
        <v>0</v>
      </c>
      <c r="AZ193" s="31">
        <v>0</v>
      </c>
      <c r="BA193" s="31">
        <v>0</v>
      </c>
      <c r="BB193" s="31">
        <v>0</v>
      </c>
      <c r="BC193" s="31">
        <v>0</v>
      </c>
      <c r="BD193" s="31">
        <v>0</v>
      </c>
      <c r="BE193" s="31">
        <v>0</v>
      </c>
      <c r="BF193" s="31">
        <v>0</v>
      </c>
      <c r="BG193" s="31">
        <v>0</v>
      </c>
      <c r="BH193" s="31">
        <v>0</v>
      </c>
      <c r="BI193" s="31">
        <v>0</v>
      </c>
      <c r="BJ193" s="31">
        <v>0</v>
      </c>
      <c r="BK193" s="12">
        <v>0</v>
      </c>
      <c r="BL193" s="12">
        <v>0</v>
      </c>
      <c r="BM193" s="12">
        <v>0</v>
      </c>
      <c r="BN193" s="12"/>
      <c r="BO193" s="12">
        <v>0</v>
      </c>
      <c r="BP193" s="12">
        <v>0</v>
      </c>
      <c r="BQ193" s="12">
        <v>0</v>
      </c>
      <c r="BR193" s="12">
        <v>0</v>
      </c>
      <c r="BS193" s="12">
        <v>0</v>
      </c>
      <c r="BT193" s="12">
        <v>0</v>
      </c>
      <c r="BU193" s="12">
        <v>0</v>
      </c>
      <c r="BV193" s="12">
        <v>0</v>
      </c>
      <c r="BW193" s="12">
        <v>0</v>
      </c>
      <c r="BX193" s="12">
        <v>0</v>
      </c>
      <c r="BY193" s="12">
        <v>0</v>
      </c>
      <c r="BZ193" s="12">
        <v>0</v>
      </c>
      <c r="CA193" s="12">
        <v>0</v>
      </c>
    </row>
    <row r="194" spans="1:79" hidden="1" x14ac:dyDescent="0.2">
      <c r="A194" s="12" t="s">
        <v>120</v>
      </c>
      <c r="B194" s="12" t="s">
        <v>126</v>
      </c>
      <c r="C194" s="12" t="s">
        <v>126</v>
      </c>
      <c r="D194" s="22" t="s">
        <v>462</v>
      </c>
      <c r="E194" s="22" t="s">
        <v>161</v>
      </c>
      <c r="F194" s="22" t="s">
        <v>898</v>
      </c>
      <c r="G194" s="22" t="s">
        <v>899</v>
      </c>
      <c r="H194" s="22" t="s">
        <v>150</v>
      </c>
      <c r="I194" s="22" t="s">
        <v>151</v>
      </c>
      <c r="J194" s="22" t="s">
        <v>162</v>
      </c>
      <c r="K194" s="22" t="s">
        <v>85</v>
      </c>
      <c r="L194" s="54" t="s">
        <v>153</v>
      </c>
      <c r="M194" s="23" t="s">
        <v>153</v>
      </c>
      <c r="N194" s="24" t="s">
        <v>153</v>
      </c>
      <c r="O194" s="28" t="s">
        <v>163</v>
      </c>
      <c r="P194" s="28" t="s">
        <v>163</v>
      </c>
      <c r="Q194" s="28" t="s">
        <v>163</v>
      </c>
      <c r="R194" s="28" t="s">
        <v>163</v>
      </c>
      <c r="S194" s="28" t="s">
        <v>163</v>
      </c>
      <c r="T194" s="28" t="s">
        <v>163</v>
      </c>
      <c r="U194" s="24" t="s">
        <v>153</v>
      </c>
      <c r="V194" s="54" t="s">
        <v>153</v>
      </c>
      <c r="W194" s="23" t="s">
        <v>153</v>
      </c>
      <c r="X194" s="23" t="s">
        <v>153</v>
      </c>
      <c r="Y194" s="23" t="s">
        <v>153</v>
      </c>
      <c r="Z194" s="23" t="s">
        <v>153</v>
      </c>
      <c r="AA194" s="23" t="s">
        <v>153</v>
      </c>
      <c r="AB194" s="24" t="s">
        <v>153</v>
      </c>
      <c r="AC194" s="23" t="s">
        <v>153</v>
      </c>
      <c r="AD194" s="23" t="s">
        <v>153</v>
      </c>
      <c r="AE194" s="23" t="s">
        <v>153</v>
      </c>
      <c r="AF194" s="23" t="s">
        <v>153</v>
      </c>
      <c r="AG194" s="23" t="s">
        <v>153</v>
      </c>
      <c r="AH194" s="23" t="s">
        <v>153</v>
      </c>
      <c r="AI194" s="24" t="s">
        <v>153</v>
      </c>
      <c r="AJ194" s="23" t="s">
        <v>153</v>
      </c>
      <c r="AK194" s="23" t="s">
        <v>153</v>
      </c>
      <c r="AL194" s="23" t="s">
        <v>153</v>
      </c>
      <c r="AM194" s="23" t="s">
        <v>153</v>
      </c>
      <c r="AN194" s="23" t="s">
        <v>153</v>
      </c>
      <c r="AO194" s="23" t="s">
        <v>153</v>
      </c>
      <c r="AP194" s="23">
        <f>VALUE(2)</f>
        <v>2</v>
      </c>
      <c r="AQ194" s="23">
        <f>VALUE(0)</f>
        <v>0</v>
      </c>
      <c r="AR194" s="23">
        <f>VALUE(0)</f>
        <v>0</v>
      </c>
      <c r="AS194" s="23">
        <f>VALUE(0)</f>
        <v>0</v>
      </c>
      <c r="AT194" s="23">
        <f>VALUE(0)</f>
        <v>0</v>
      </c>
      <c r="AU194" s="23">
        <f>VALUE(6)</f>
        <v>6</v>
      </c>
      <c r="AV194" s="23">
        <f>VALUE(0)</f>
        <v>0</v>
      </c>
      <c r="AW194" s="23">
        <f>VALUE(0)</f>
        <v>0</v>
      </c>
      <c r="AX194" s="23" t="s">
        <v>463</v>
      </c>
      <c r="AY194" s="23" t="s">
        <v>1249</v>
      </c>
      <c r="AZ194" s="23">
        <f>VALUE(0)</f>
        <v>0</v>
      </c>
      <c r="BA194" s="23">
        <f>VALUE(0)</f>
        <v>0</v>
      </c>
      <c r="BB194" s="23">
        <f>VALUE(0)</f>
        <v>0</v>
      </c>
      <c r="BC194" s="23">
        <f>VALUE(0)</f>
        <v>0</v>
      </c>
      <c r="BD194" s="23">
        <f>VALUE(0)</f>
        <v>0</v>
      </c>
      <c r="BE194" s="23">
        <f>VALUE(0)</f>
        <v>0</v>
      </c>
      <c r="BF194" s="23">
        <f>VALUE(0)</f>
        <v>0</v>
      </c>
      <c r="BG194" s="23">
        <f>VALUE(0)</f>
        <v>0</v>
      </c>
      <c r="BH194" s="23">
        <f>VALUE(0)</f>
        <v>0</v>
      </c>
      <c r="BI194" s="23">
        <f>VALUE(0)</f>
        <v>0</v>
      </c>
      <c r="BJ194" s="23">
        <f>VALUE(0)</f>
        <v>0</v>
      </c>
      <c r="BK194" s="12">
        <f>$AX$194*24</f>
        <v>11.316666666666666</v>
      </c>
      <c r="BL194" s="12">
        <f>$AY$194*24</f>
        <v>56.350000000000009</v>
      </c>
      <c r="BM194" s="12">
        <f>$BJ$194*24</f>
        <v>0</v>
      </c>
      <c r="BN194" s="12">
        <f>VALUE($I$194)/100</f>
        <v>1</v>
      </c>
      <c r="BO194" s="12">
        <v>0</v>
      </c>
      <c r="BP194" s="12">
        <v>0</v>
      </c>
      <c r="BQ194" s="12">
        <v>0</v>
      </c>
      <c r="BR194" s="12">
        <v>0</v>
      </c>
      <c r="BS194" s="12">
        <v>0</v>
      </c>
      <c r="BT194" s="12">
        <v>0</v>
      </c>
      <c r="BU194" s="12">
        <v>0</v>
      </c>
      <c r="BV194" s="12">
        <v>0</v>
      </c>
      <c r="BW194" s="12">
        <v>0</v>
      </c>
      <c r="BX194" s="12">
        <v>0</v>
      </c>
      <c r="BY194" s="12">
        <v>0</v>
      </c>
      <c r="BZ194" s="12">
        <v>0</v>
      </c>
      <c r="CA194" s="12">
        <v>0</v>
      </c>
    </row>
    <row r="195" spans="1:79" hidden="1" x14ac:dyDescent="0.2">
      <c r="A195" s="12" t="s">
        <v>120</v>
      </c>
      <c r="B195" s="12" t="s">
        <v>126</v>
      </c>
      <c r="C195" s="12" t="s">
        <v>126</v>
      </c>
      <c r="D195" s="22" t="s">
        <v>449</v>
      </c>
      <c r="E195" s="22" t="s">
        <v>161</v>
      </c>
      <c r="F195" s="22" t="s">
        <v>900</v>
      </c>
      <c r="G195" s="22" t="s">
        <v>901</v>
      </c>
      <c r="H195" s="22" t="s">
        <v>166</v>
      </c>
      <c r="I195" s="22" t="s">
        <v>151</v>
      </c>
      <c r="J195" s="22" t="s">
        <v>162</v>
      </c>
      <c r="K195" s="22" t="s">
        <v>85</v>
      </c>
      <c r="L195" s="54" t="s">
        <v>156</v>
      </c>
      <c r="M195" s="24" t="s">
        <v>156</v>
      </c>
      <c r="N195" s="24" t="s">
        <v>153</v>
      </c>
      <c r="O195" s="23" t="s">
        <v>153</v>
      </c>
      <c r="P195" s="23" t="s">
        <v>153</v>
      </c>
      <c r="Q195" s="23" t="s">
        <v>153</v>
      </c>
      <c r="R195" s="23" t="s">
        <v>153</v>
      </c>
      <c r="S195" s="23" t="s">
        <v>153</v>
      </c>
      <c r="T195" s="23" t="s">
        <v>153</v>
      </c>
      <c r="U195" s="24" t="s">
        <v>153</v>
      </c>
      <c r="V195" s="54" t="s">
        <v>153</v>
      </c>
      <c r="W195" s="28" t="s">
        <v>163</v>
      </c>
      <c r="X195" s="28" t="s">
        <v>163</v>
      </c>
      <c r="Y195" s="28" t="s">
        <v>163</v>
      </c>
      <c r="Z195" s="28" t="s">
        <v>163</v>
      </c>
      <c r="AA195" s="28" t="s">
        <v>163</v>
      </c>
      <c r="AB195" s="24" t="s">
        <v>153</v>
      </c>
      <c r="AC195" s="23" t="s">
        <v>153</v>
      </c>
      <c r="AD195" s="23" t="s">
        <v>153</v>
      </c>
      <c r="AE195" s="23" t="s">
        <v>153</v>
      </c>
      <c r="AF195" s="23" t="s">
        <v>153</v>
      </c>
      <c r="AG195" s="23" t="s">
        <v>153</v>
      </c>
      <c r="AH195" s="23" t="s">
        <v>153</v>
      </c>
      <c r="AI195" s="24" t="s">
        <v>153</v>
      </c>
      <c r="AJ195" s="28" t="s">
        <v>163</v>
      </c>
      <c r="AK195" s="28" t="s">
        <v>163</v>
      </c>
      <c r="AL195" s="28" t="s">
        <v>163</v>
      </c>
      <c r="AM195" s="28" t="s">
        <v>163</v>
      </c>
      <c r="AN195" s="28" t="s">
        <v>163</v>
      </c>
      <c r="AO195" s="28" t="s">
        <v>163</v>
      </c>
      <c r="AP195" s="23">
        <f>VALUE(2)</f>
        <v>2</v>
      </c>
      <c r="AQ195" s="23">
        <f>VALUE(0)</f>
        <v>0</v>
      </c>
      <c r="AR195" s="23">
        <f>VALUE(0)</f>
        <v>0</v>
      </c>
      <c r="AS195" s="23">
        <f>VALUE(0)</f>
        <v>0</v>
      </c>
      <c r="AT195" s="23">
        <f>VALUE(0)</f>
        <v>0</v>
      </c>
      <c r="AU195" s="23">
        <f>VALUE(11)</f>
        <v>11</v>
      </c>
      <c r="AV195" s="23">
        <f>VALUE(7)</f>
        <v>7</v>
      </c>
      <c r="AW195" s="23">
        <f>VALUE(0)</f>
        <v>0</v>
      </c>
      <c r="AX195" s="23" t="s">
        <v>1250</v>
      </c>
      <c r="AY195" s="23">
        <f>VALUE(0)</f>
        <v>0</v>
      </c>
      <c r="AZ195" s="23">
        <f>VALUE(0)</f>
        <v>0</v>
      </c>
      <c r="BA195" s="23">
        <f>VALUE(0)</f>
        <v>0</v>
      </c>
      <c r="BB195" s="23">
        <f>VALUE(0)</f>
        <v>0</v>
      </c>
      <c r="BC195" s="23">
        <f>VALUE(0)</f>
        <v>0</v>
      </c>
      <c r="BD195" s="23">
        <f>VALUE(0)</f>
        <v>0</v>
      </c>
      <c r="BE195" s="23">
        <f>VALUE(0)</f>
        <v>0</v>
      </c>
      <c r="BF195" s="23">
        <f>VALUE(0)</f>
        <v>0</v>
      </c>
      <c r="BG195" s="23">
        <f>VALUE(0)</f>
        <v>0</v>
      </c>
      <c r="BH195" s="23">
        <f>VALUE(0)</f>
        <v>0</v>
      </c>
      <c r="BI195" s="23">
        <f>VALUE(0)</f>
        <v>0</v>
      </c>
      <c r="BJ195" s="23">
        <f>VALUE(0)</f>
        <v>0</v>
      </c>
      <c r="BK195" s="12">
        <f>$AX$195*24</f>
        <v>18.55</v>
      </c>
      <c r="BL195" s="12">
        <f>$AY$195*24</f>
        <v>0</v>
      </c>
      <c r="BM195" s="12">
        <f>$BJ$195*24</f>
        <v>0</v>
      </c>
      <c r="BN195" s="12">
        <f>VALUE($I$195)/100</f>
        <v>1</v>
      </c>
      <c r="BO195" s="12">
        <v>0</v>
      </c>
      <c r="BP195" s="12">
        <v>0</v>
      </c>
      <c r="BQ195" s="12">
        <v>0</v>
      </c>
      <c r="BR195" s="12">
        <v>0</v>
      </c>
      <c r="BS195" s="12">
        <v>0</v>
      </c>
      <c r="BT195" s="12">
        <v>0</v>
      </c>
      <c r="BU195" s="12">
        <v>0</v>
      </c>
      <c r="BV195" s="12">
        <v>0</v>
      </c>
      <c r="BW195" s="12">
        <v>0</v>
      </c>
      <c r="BX195" s="12">
        <v>0</v>
      </c>
      <c r="BY195" s="12">
        <v>0</v>
      </c>
      <c r="BZ195" s="12">
        <v>0</v>
      </c>
      <c r="CA195" s="12">
        <v>0</v>
      </c>
    </row>
    <row r="196" spans="1:79" hidden="1" x14ac:dyDescent="0.2">
      <c r="A196" s="12" t="s">
        <v>120</v>
      </c>
      <c r="B196" s="12" t="s">
        <v>126</v>
      </c>
      <c r="C196" s="12" t="s">
        <v>126</v>
      </c>
      <c r="D196" s="22" t="s">
        <v>448</v>
      </c>
      <c r="E196" s="22" t="s">
        <v>161</v>
      </c>
      <c r="F196" s="22" t="s">
        <v>902</v>
      </c>
      <c r="G196" s="22" t="s">
        <v>903</v>
      </c>
      <c r="H196" s="22" t="s">
        <v>150</v>
      </c>
      <c r="I196" s="22" t="s">
        <v>151</v>
      </c>
      <c r="J196" s="22" t="s">
        <v>162</v>
      </c>
      <c r="K196" s="22" t="s">
        <v>85</v>
      </c>
      <c r="L196" s="54" t="s">
        <v>153</v>
      </c>
      <c r="M196" s="23" t="s">
        <v>153</v>
      </c>
      <c r="N196" s="24" t="s">
        <v>153</v>
      </c>
      <c r="O196" s="23" t="s">
        <v>462</v>
      </c>
      <c r="P196" s="23" t="s">
        <v>462</v>
      </c>
      <c r="Q196" s="23" t="s">
        <v>462</v>
      </c>
      <c r="R196" s="23" t="s">
        <v>462</v>
      </c>
      <c r="S196" s="25" t="s">
        <v>454</v>
      </c>
      <c r="T196" s="25" t="s">
        <v>454</v>
      </c>
      <c r="U196" s="24" t="s">
        <v>153</v>
      </c>
      <c r="V196" s="54" t="s">
        <v>153</v>
      </c>
      <c r="W196" s="23" t="s">
        <v>454</v>
      </c>
      <c r="X196" s="23" t="s">
        <v>454</v>
      </c>
      <c r="Y196" s="23" t="s">
        <v>454</v>
      </c>
      <c r="Z196" s="23" t="s">
        <v>454</v>
      </c>
      <c r="AA196" s="23" t="s">
        <v>454</v>
      </c>
      <c r="AB196" s="24" t="s">
        <v>153</v>
      </c>
      <c r="AC196" s="23" t="s">
        <v>153</v>
      </c>
      <c r="AD196" s="23" t="s">
        <v>153</v>
      </c>
      <c r="AE196" s="23" t="s">
        <v>153</v>
      </c>
      <c r="AF196" s="23" t="s">
        <v>451</v>
      </c>
      <c r="AG196" s="23" t="s">
        <v>451</v>
      </c>
      <c r="AH196" s="23" t="s">
        <v>451</v>
      </c>
      <c r="AI196" s="24" t="s">
        <v>153</v>
      </c>
      <c r="AJ196" s="23" t="s">
        <v>153</v>
      </c>
      <c r="AK196" s="23" t="s">
        <v>153</v>
      </c>
      <c r="AL196" s="23" t="s">
        <v>153</v>
      </c>
      <c r="AM196" s="23" t="s">
        <v>153</v>
      </c>
      <c r="AN196" s="23" t="s">
        <v>153</v>
      </c>
      <c r="AO196" s="23" t="s">
        <v>153</v>
      </c>
      <c r="AP196" s="23">
        <f>VALUE(7)</f>
        <v>7</v>
      </c>
      <c r="AQ196" s="23">
        <f>VALUE(0)</f>
        <v>0</v>
      </c>
      <c r="AR196" s="23">
        <f>VALUE(0)</f>
        <v>0</v>
      </c>
      <c r="AS196" s="23">
        <f>VALUE(0)</f>
        <v>0</v>
      </c>
      <c r="AT196" s="23">
        <f>VALUE(0)</f>
        <v>0</v>
      </c>
      <c r="AU196" s="23">
        <f>VALUE(0)</f>
        <v>0</v>
      </c>
      <c r="AV196" s="23">
        <f>VALUE(18)</f>
        <v>18</v>
      </c>
      <c r="AW196" s="23">
        <f>VALUE(0)</f>
        <v>0</v>
      </c>
      <c r="AX196" s="23">
        <f>VALUE(0)</f>
        <v>0</v>
      </c>
      <c r="AY196" s="23">
        <f>VALUE(0)</f>
        <v>0</v>
      </c>
      <c r="AZ196" s="23">
        <f>VALUE(0)</f>
        <v>0</v>
      </c>
      <c r="BA196" s="23">
        <f>VALUE(0)</f>
        <v>0</v>
      </c>
      <c r="BB196" s="23">
        <f>VALUE(0)</f>
        <v>0</v>
      </c>
      <c r="BC196" s="23">
        <f>VALUE(0)</f>
        <v>0</v>
      </c>
      <c r="BD196" s="23">
        <f>VALUE(0)</f>
        <v>0</v>
      </c>
      <c r="BE196" s="23">
        <f>VALUE(0)</f>
        <v>0</v>
      </c>
      <c r="BF196" s="23">
        <f>VALUE(0)</f>
        <v>0</v>
      </c>
      <c r="BG196" s="23">
        <f>VALUE(0)</f>
        <v>0</v>
      </c>
      <c r="BH196" s="23">
        <f>VALUE(0)</f>
        <v>0</v>
      </c>
      <c r="BI196" s="23">
        <f>VALUE(0)</f>
        <v>0</v>
      </c>
      <c r="BJ196" s="23">
        <f>VALUE(0)</f>
        <v>0</v>
      </c>
      <c r="BK196" s="12">
        <f>$AX$196*24</f>
        <v>0</v>
      </c>
      <c r="BL196" s="12">
        <f>$AY$196*24</f>
        <v>0</v>
      </c>
      <c r="BM196" s="12">
        <f>$BJ$196*24</f>
        <v>0</v>
      </c>
      <c r="BN196" s="12">
        <f>VALUE($I$196)/100</f>
        <v>1</v>
      </c>
      <c r="BO196" s="12">
        <v>0</v>
      </c>
      <c r="BP196" s="12">
        <v>0</v>
      </c>
      <c r="BQ196" s="12">
        <v>0</v>
      </c>
      <c r="BR196" s="12">
        <v>0</v>
      </c>
      <c r="BS196" s="12">
        <v>0</v>
      </c>
      <c r="BT196" s="12">
        <v>0</v>
      </c>
      <c r="BU196" s="12">
        <v>0</v>
      </c>
      <c r="BV196" s="12">
        <v>0</v>
      </c>
      <c r="BW196" s="12">
        <v>0</v>
      </c>
      <c r="BX196" s="12">
        <v>0</v>
      </c>
      <c r="BY196" s="12">
        <v>0</v>
      </c>
      <c r="BZ196" s="12">
        <v>0</v>
      </c>
      <c r="CA196" s="12">
        <v>0</v>
      </c>
    </row>
    <row r="197" spans="1:79" hidden="1" x14ac:dyDescent="0.2">
      <c r="A197" s="12" t="s">
        <v>120</v>
      </c>
      <c r="B197" s="12" t="s">
        <v>126</v>
      </c>
      <c r="C197" s="12" t="s">
        <v>126</v>
      </c>
      <c r="D197" s="22" t="s">
        <v>450</v>
      </c>
      <c r="E197" s="22" t="s">
        <v>161</v>
      </c>
      <c r="F197" s="22" t="s">
        <v>904</v>
      </c>
      <c r="G197" s="22" t="s">
        <v>905</v>
      </c>
      <c r="H197" s="22" t="s">
        <v>242</v>
      </c>
      <c r="I197" s="22" t="s">
        <v>151</v>
      </c>
      <c r="J197" s="22" t="s">
        <v>162</v>
      </c>
      <c r="K197" s="22" t="s">
        <v>85</v>
      </c>
      <c r="L197" s="54" t="s">
        <v>153</v>
      </c>
      <c r="M197" s="23" t="s">
        <v>153</v>
      </c>
      <c r="N197" s="24" t="s">
        <v>153</v>
      </c>
      <c r="O197" s="23" t="s">
        <v>153</v>
      </c>
      <c r="P197" s="23" t="s">
        <v>153</v>
      </c>
      <c r="Q197" s="23" t="s">
        <v>153</v>
      </c>
      <c r="R197" s="23" t="s">
        <v>153</v>
      </c>
      <c r="S197" s="23" t="s">
        <v>153</v>
      </c>
      <c r="T197" s="23" t="s">
        <v>153</v>
      </c>
      <c r="U197" s="24" t="s">
        <v>153</v>
      </c>
      <c r="V197" s="54" t="s">
        <v>153</v>
      </c>
      <c r="W197" s="23" t="s">
        <v>153</v>
      </c>
      <c r="X197" s="23" t="s">
        <v>153</v>
      </c>
      <c r="Y197" s="23" t="s">
        <v>153</v>
      </c>
      <c r="Z197" s="23" t="s">
        <v>153</v>
      </c>
      <c r="AA197" s="23" t="s">
        <v>153</v>
      </c>
      <c r="AB197" s="24" t="s">
        <v>153</v>
      </c>
      <c r="AC197" s="27" t="s">
        <v>153</v>
      </c>
      <c r="AD197" s="27" t="s">
        <v>153</v>
      </c>
      <c r="AE197" s="27" t="s">
        <v>153</v>
      </c>
      <c r="AF197" s="27" t="s">
        <v>153</v>
      </c>
      <c r="AG197" s="27" t="s">
        <v>153</v>
      </c>
      <c r="AH197" s="27" t="s">
        <v>153</v>
      </c>
      <c r="AI197" s="24" t="s">
        <v>153</v>
      </c>
      <c r="AJ197" s="27" t="s">
        <v>153</v>
      </c>
      <c r="AK197" s="27" t="s">
        <v>153</v>
      </c>
      <c r="AL197" s="27" t="s">
        <v>153</v>
      </c>
      <c r="AM197" s="27" t="s">
        <v>153</v>
      </c>
      <c r="AN197" s="27" t="s">
        <v>153</v>
      </c>
      <c r="AO197" s="27" t="s">
        <v>153</v>
      </c>
      <c r="AP197" s="23">
        <f>VALUE(0)</f>
        <v>0</v>
      </c>
      <c r="AQ197" s="23">
        <f>VALUE(0)</f>
        <v>0</v>
      </c>
      <c r="AR197" s="23">
        <f>VALUE(0)</f>
        <v>0</v>
      </c>
      <c r="AS197" s="23">
        <f>VALUE(0)</f>
        <v>0</v>
      </c>
      <c r="AT197" s="23">
        <f>VALUE(0)</f>
        <v>0</v>
      </c>
      <c r="AU197" s="23">
        <f>VALUE(0)</f>
        <v>0</v>
      </c>
      <c r="AV197" s="23">
        <f>VALUE(0)</f>
        <v>0</v>
      </c>
      <c r="AW197" s="23">
        <f>VALUE(0)</f>
        <v>0</v>
      </c>
      <c r="AX197" s="23">
        <f>VALUE(0)</f>
        <v>0</v>
      </c>
      <c r="AY197" s="23">
        <f>VALUE(0)</f>
        <v>0</v>
      </c>
      <c r="AZ197" s="23">
        <f>VALUE(0)</f>
        <v>0</v>
      </c>
      <c r="BA197" s="23">
        <f>VALUE(0)</f>
        <v>0</v>
      </c>
      <c r="BB197" s="23">
        <f>VALUE(0)</f>
        <v>0</v>
      </c>
      <c r="BC197" s="23">
        <f>VALUE(0)</f>
        <v>0</v>
      </c>
      <c r="BD197" s="23">
        <f>VALUE(0)</f>
        <v>0</v>
      </c>
      <c r="BE197" s="23">
        <f>VALUE(0)</f>
        <v>0</v>
      </c>
      <c r="BF197" s="23">
        <f>VALUE(0)</f>
        <v>0</v>
      </c>
      <c r="BG197" s="23">
        <f>VALUE(0)</f>
        <v>0</v>
      </c>
      <c r="BH197" s="23">
        <f>VALUE(0)</f>
        <v>0</v>
      </c>
      <c r="BI197" s="23">
        <f>VALUE(0)</f>
        <v>0</v>
      </c>
      <c r="BJ197" s="23">
        <f>VALUE(0)</f>
        <v>0</v>
      </c>
      <c r="BK197" s="12">
        <f>$AX$197*24</f>
        <v>0</v>
      </c>
      <c r="BL197" s="12">
        <f>$AY$197*24</f>
        <v>0</v>
      </c>
      <c r="BM197" s="12">
        <f>$BJ$197*24</f>
        <v>0</v>
      </c>
      <c r="BN197" s="12">
        <f>VALUE($I$197)/100</f>
        <v>1</v>
      </c>
      <c r="BO197" s="12">
        <v>0</v>
      </c>
      <c r="BP197" s="12">
        <v>0</v>
      </c>
      <c r="BQ197" s="12">
        <v>0</v>
      </c>
      <c r="BR197" s="12">
        <v>0</v>
      </c>
      <c r="BS197" s="12">
        <v>0</v>
      </c>
      <c r="BT197" s="12">
        <v>0</v>
      </c>
      <c r="BU197" s="12">
        <v>0</v>
      </c>
      <c r="BV197" s="12">
        <v>0</v>
      </c>
      <c r="BW197" s="12">
        <v>0</v>
      </c>
      <c r="BX197" s="12">
        <v>0</v>
      </c>
      <c r="BY197" s="12">
        <v>0</v>
      </c>
      <c r="BZ197" s="12">
        <v>0</v>
      </c>
      <c r="CA197" s="12">
        <v>0</v>
      </c>
    </row>
    <row r="198" spans="1:79" hidden="1" x14ac:dyDescent="0.2">
      <c r="A198" s="12" t="s">
        <v>120</v>
      </c>
      <c r="B198" s="12" t="s">
        <v>126</v>
      </c>
      <c r="C198" s="12" t="s">
        <v>126</v>
      </c>
      <c r="D198" s="22" t="s">
        <v>450</v>
      </c>
      <c r="E198" s="22" t="s">
        <v>161</v>
      </c>
      <c r="F198" s="22" t="s">
        <v>906</v>
      </c>
      <c r="G198" s="22" t="s">
        <v>907</v>
      </c>
      <c r="H198" s="22" t="s">
        <v>150</v>
      </c>
      <c r="I198" s="22" t="s">
        <v>151</v>
      </c>
      <c r="J198" s="22" t="s">
        <v>162</v>
      </c>
      <c r="K198" s="22" t="s">
        <v>85</v>
      </c>
      <c r="L198" s="54" t="s">
        <v>153</v>
      </c>
      <c r="M198" s="23" t="s">
        <v>153</v>
      </c>
      <c r="N198" s="24" t="s">
        <v>153</v>
      </c>
      <c r="O198" s="29" t="s">
        <v>163</v>
      </c>
      <c r="P198" s="29" t="s">
        <v>163</v>
      </c>
      <c r="Q198" s="29" t="s">
        <v>163</v>
      </c>
      <c r="R198" s="29" t="s">
        <v>163</v>
      </c>
      <c r="S198" s="29" t="s">
        <v>163</v>
      </c>
      <c r="T198" s="29" t="s">
        <v>163</v>
      </c>
      <c r="U198" s="24" t="s">
        <v>153</v>
      </c>
      <c r="V198" s="54" t="s">
        <v>153</v>
      </c>
      <c r="W198" s="29" t="s">
        <v>163</v>
      </c>
      <c r="X198" s="29" t="s">
        <v>163</v>
      </c>
      <c r="Y198" s="29" t="s">
        <v>163</v>
      </c>
      <c r="Z198" s="29" t="s">
        <v>163</v>
      </c>
      <c r="AA198" s="29" t="s">
        <v>163</v>
      </c>
      <c r="AB198" s="24" t="s">
        <v>153</v>
      </c>
      <c r="AC198" s="23" t="s">
        <v>153</v>
      </c>
      <c r="AD198" s="23" t="s">
        <v>153</v>
      </c>
      <c r="AE198" s="23" t="s">
        <v>153</v>
      </c>
      <c r="AF198" s="23" t="s">
        <v>153</v>
      </c>
      <c r="AG198" s="23" t="s">
        <v>153</v>
      </c>
      <c r="AH198" s="23" t="s">
        <v>153</v>
      </c>
      <c r="AI198" s="24" t="s">
        <v>153</v>
      </c>
      <c r="AJ198" s="23" t="s">
        <v>153</v>
      </c>
      <c r="AK198" s="23" t="s">
        <v>153</v>
      </c>
      <c r="AL198" s="23" t="s">
        <v>153</v>
      </c>
      <c r="AM198" s="23" t="s">
        <v>153</v>
      </c>
      <c r="AN198" s="23" t="s">
        <v>153</v>
      </c>
      <c r="AO198" s="23" t="s">
        <v>153</v>
      </c>
      <c r="AP198" s="23">
        <f>VALUE(4)</f>
        <v>4</v>
      </c>
      <c r="AQ198" s="23">
        <f>VALUE(0)</f>
        <v>0</v>
      </c>
      <c r="AR198" s="23">
        <f>VALUE(11)</f>
        <v>11</v>
      </c>
      <c r="AS198" s="23">
        <f>VALUE(0)</f>
        <v>0</v>
      </c>
      <c r="AT198" s="23">
        <f>VALUE(0)</f>
        <v>0</v>
      </c>
      <c r="AU198" s="23">
        <f>VALUE(0)</f>
        <v>0</v>
      </c>
      <c r="AV198" s="23">
        <f>VALUE(8)</f>
        <v>8</v>
      </c>
      <c r="AW198" s="23">
        <f>VALUE(0)</f>
        <v>0</v>
      </c>
      <c r="AX198" s="23" t="s">
        <v>171</v>
      </c>
      <c r="AY198" s="23" t="s">
        <v>465</v>
      </c>
      <c r="AZ198" s="23">
        <f>VALUE(0)</f>
        <v>0</v>
      </c>
      <c r="BA198" s="23">
        <f>VALUE(0)</f>
        <v>0</v>
      </c>
      <c r="BB198" s="23">
        <f>VALUE(0)</f>
        <v>0</v>
      </c>
      <c r="BC198" s="23">
        <f>VALUE(0)</f>
        <v>0</v>
      </c>
      <c r="BD198" s="23">
        <f>VALUE(0)</f>
        <v>0</v>
      </c>
      <c r="BE198" s="23">
        <f>VALUE(0)</f>
        <v>0</v>
      </c>
      <c r="BF198" s="23">
        <f>VALUE(0)</f>
        <v>0</v>
      </c>
      <c r="BG198" s="23">
        <f>VALUE(0)</f>
        <v>0</v>
      </c>
      <c r="BH198" s="23">
        <f>VALUE(0)</f>
        <v>0</v>
      </c>
      <c r="BI198" s="23">
        <f>VALUE(0)</f>
        <v>0</v>
      </c>
      <c r="BJ198" s="23">
        <f>VALUE(0)</f>
        <v>0</v>
      </c>
      <c r="BK198" s="12">
        <f>$AX$198*24</f>
        <v>5.833333333333333</v>
      </c>
      <c r="BL198" s="12">
        <f>$AY$198*24</f>
        <v>6.25</v>
      </c>
      <c r="BM198" s="12">
        <f>$BJ$198*24</f>
        <v>0</v>
      </c>
      <c r="BN198" s="12">
        <f>VALUE($I$198)/100</f>
        <v>1</v>
      </c>
      <c r="BO198" s="12">
        <v>0</v>
      </c>
      <c r="BP198" s="12">
        <v>0</v>
      </c>
      <c r="BQ198" s="12">
        <v>0</v>
      </c>
      <c r="BR198" s="12">
        <v>0</v>
      </c>
      <c r="BS198" s="12">
        <v>0</v>
      </c>
      <c r="BT198" s="12">
        <v>11</v>
      </c>
      <c r="BU198" s="12">
        <v>0</v>
      </c>
      <c r="BV198" s="12">
        <v>0</v>
      </c>
      <c r="BW198" s="12">
        <v>0</v>
      </c>
      <c r="BX198" s="12">
        <v>0</v>
      </c>
      <c r="BY198" s="12">
        <v>0</v>
      </c>
      <c r="BZ198" s="12">
        <v>0</v>
      </c>
      <c r="CA198" s="12">
        <v>0</v>
      </c>
    </row>
    <row r="199" spans="1:79" hidden="1" x14ac:dyDescent="0.2">
      <c r="A199" s="12" t="s">
        <v>120</v>
      </c>
      <c r="B199" s="12" t="s">
        <v>126</v>
      </c>
      <c r="C199" s="12" t="s">
        <v>126</v>
      </c>
      <c r="D199" s="22" t="s">
        <v>466</v>
      </c>
      <c r="E199" s="22" t="s">
        <v>161</v>
      </c>
      <c r="F199" s="22" t="s">
        <v>908</v>
      </c>
      <c r="G199" s="22" t="s">
        <v>909</v>
      </c>
      <c r="H199" s="22" t="s">
        <v>166</v>
      </c>
      <c r="I199" s="22" t="s">
        <v>151</v>
      </c>
      <c r="J199" s="22" t="s">
        <v>162</v>
      </c>
      <c r="K199" s="22" t="s">
        <v>85</v>
      </c>
      <c r="L199" s="54" t="s">
        <v>153</v>
      </c>
      <c r="M199" s="23" t="s">
        <v>153</v>
      </c>
      <c r="N199" s="24" t="s">
        <v>153</v>
      </c>
      <c r="O199" s="23" t="s">
        <v>153</v>
      </c>
      <c r="P199" s="23" t="s">
        <v>153</v>
      </c>
      <c r="Q199" s="23" t="s">
        <v>153</v>
      </c>
      <c r="R199" s="23" t="s">
        <v>153</v>
      </c>
      <c r="S199" s="23" t="s">
        <v>153</v>
      </c>
      <c r="T199" s="23" t="s">
        <v>153</v>
      </c>
      <c r="U199" s="24" t="s">
        <v>153</v>
      </c>
      <c r="V199" s="54" t="s">
        <v>153</v>
      </c>
      <c r="W199" s="23" t="s">
        <v>153</v>
      </c>
      <c r="X199" s="23" t="s">
        <v>153</v>
      </c>
      <c r="Y199" s="23" t="s">
        <v>153</v>
      </c>
      <c r="Z199" s="23" t="s">
        <v>153</v>
      </c>
      <c r="AA199" s="23" t="s">
        <v>153</v>
      </c>
      <c r="AB199" s="24" t="s">
        <v>153</v>
      </c>
      <c r="AC199" s="23" t="s">
        <v>153</v>
      </c>
      <c r="AD199" s="23" t="s">
        <v>153</v>
      </c>
      <c r="AE199" s="23" t="s">
        <v>153</v>
      </c>
      <c r="AF199" s="23" t="s">
        <v>153</v>
      </c>
      <c r="AG199" s="23" t="s">
        <v>153</v>
      </c>
      <c r="AH199" s="23" t="s">
        <v>153</v>
      </c>
      <c r="AI199" s="24" t="s">
        <v>153</v>
      </c>
      <c r="AJ199" s="23" t="s">
        <v>153</v>
      </c>
      <c r="AK199" s="23" t="s">
        <v>153</v>
      </c>
      <c r="AL199" s="23" t="s">
        <v>153</v>
      </c>
      <c r="AM199" s="24" t="s">
        <v>156</v>
      </c>
      <c r="AN199" s="24" t="s">
        <v>156</v>
      </c>
      <c r="AO199" s="24" t="s">
        <v>156</v>
      </c>
      <c r="AP199" s="23">
        <f>VALUE(2)</f>
        <v>2</v>
      </c>
      <c r="AQ199" s="23">
        <f>VALUE(0)</f>
        <v>0</v>
      </c>
      <c r="AR199" s="23">
        <f>VALUE(0)</f>
        <v>0</v>
      </c>
      <c r="AS199" s="23">
        <f>VALUE(0)</f>
        <v>0</v>
      </c>
      <c r="AT199" s="23">
        <f>VALUE(0)</f>
        <v>0</v>
      </c>
      <c r="AU199" s="23">
        <f>VALUE(0)</f>
        <v>0</v>
      </c>
      <c r="AV199" s="23">
        <f>VALUE(9)</f>
        <v>9</v>
      </c>
      <c r="AW199" s="23">
        <f>VALUE(0)</f>
        <v>0</v>
      </c>
      <c r="AX199" s="23" t="s">
        <v>1251</v>
      </c>
      <c r="AY199" s="23">
        <f>VALUE(0)</f>
        <v>0</v>
      </c>
      <c r="AZ199" s="23">
        <f>VALUE(0)</f>
        <v>0</v>
      </c>
      <c r="BA199" s="23">
        <f>VALUE(0)</f>
        <v>0</v>
      </c>
      <c r="BB199" s="23">
        <f>VALUE(0)</f>
        <v>0</v>
      </c>
      <c r="BC199" s="23">
        <f>VALUE(0)</f>
        <v>0</v>
      </c>
      <c r="BD199" s="23">
        <f>VALUE(0)</f>
        <v>0</v>
      </c>
      <c r="BE199" s="23">
        <f>VALUE(0)</f>
        <v>0</v>
      </c>
      <c r="BF199" s="23">
        <f>VALUE(0)</f>
        <v>0</v>
      </c>
      <c r="BG199" s="23">
        <f>VALUE(0)</f>
        <v>0</v>
      </c>
      <c r="BH199" s="23">
        <f>VALUE(0)</f>
        <v>0</v>
      </c>
      <c r="BI199" s="23">
        <f>VALUE(0)</f>
        <v>0</v>
      </c>
      <c r="BJ199" s="23">
        <f>VALUE(0)</f>
        <v>0</v>
      </c>
      <c r="BK199" s="12">
        <f>$AX$199*24</f>
        <v>32.6</v>
      </c>
      <c r="BL199" s="12">
        <f>$AY$199*24</f>
        <v>0</v>
      </c>
      <c r="BM199" s="12">
        <f>$BJ$199*24</f>
        <v>0</v>
      </c>
      <c r="BN199" s="12">
        <f>VALUE($I$199)/100</f>
        <v>1</v>
      </c>
      <c r="BO199" s="12">
        <v>0</v>
      </c>
      <c r="BP199" s="12">
        <v>0</v>
      </c>
      <c r="BQ199" s="12">
        <v>0</v>
      </c>
      <c r="BR199" s="12">
        <v>0</v>
      </c>
      <c r="BS199" s="12">
        <v>0</v>
      </c>
      <c r="BT199" s="12">
        <v>0</v>
      </c>
      <c r="BU199" s="12">
        <v>0</v>
      </c>
      <c r="BV199" s="12">
        <v>0</v>
      </c>
      <c r="BW199" s="12">
        <v>0</v>
      </c>
      <c r="BX199" s="12">
        <v>0</v>
      </c>
      <c r="BY199" s="12">
        <v>0</v>
      </c>
      <c r="BZ199" s="12">
        <v>0</v>
      </c>
      <c r="CA199" s="12">
        <v>0</v>
      </c>
    </row>
    <row r="200" spans="1:79" hidden="1" x14ac:dyDescent="0.2">
      <c r="A200" s="12" t="s">
        <v>120</v>
      </c>
      <c r="B200" s="12" t="s">
        <v>126</v>
      </c>
      <c r="C200" s="12" t="s">
        <v>126</v>
      </c>
      <c r="D200" s="22" t="s">
        <v>467</v>
      </c>
      <c r="E200" s="22" t="s">
        <v>161</v>
      </c>
      <c r="F200" s="22" t="s">
        <v>910</v>
      </c>
      <c r="G200" s="22" t="s">
        <v>911</v>
      </c>
      <c r="H200" s="22" t="s">
        <v>150</v>
      </c>
      <c r="I200" s="22" t="s">
        <v>151</v>
      </c>
      <c r="J200" s="22" t="s">
        <v>162</v>
      </c>
      <c r="K200" s="22" t="s">
        <v>85</v>
      </c>
      <c r="L200" s="54" t="s">
        <v>153</v>
      </c>
      <c r="M200" s="28" t="s">
        <v>163</v>
      </c>
      <c r="N200" s="24" t="s">
        <v>153</v>
      </c>
      <c r="O200" s="23" t="s">
        <v>153</v>
      </c>
      <c r="P200" s="23" t="s">
        <v>153</v>
      </c>
      <c r="Q200" s="23" t="s">
        <v>153</v>
      </c>
      <c r="R200" s="23" t="s">
        <v>153</v>
      </c>
      <c r="S200" s="23" t="s">
        <v>153</v>
      </c>
      <c r="T200" s="23" t="s">
        <v>153</v>
      </c>
      <c r="U200" s="24" t="s">
        <v>153</v>
      </c>
      <c r="V200" s="54" t="s">
        <v>153</v>
      </c>
      <c r="W200" s="23" t="s">
        <v>153</v>
      </c>
      <c r="X200" s="23" t="s">
        <v>153</v>
      </c>
      <c r="Y200" s="23" t="s">
        <v>153</v>
      </c>
      <c r="Z200" s="23" t="s">
        <v>153</v>
      </c>
      <c r="AA200" s="23" t="s">
        <v>153</v>
      </c>
      <c r="AB200" s="24" t="s">
        <v>153</v>
      </c>
      <c r="AC200" s="24" t="s">
        <v>156</v>
      </c>
      <c r="AD200" s="24" t="s">
        <v>156</v>
      </c>
      <c r="AE200" s="24" t="s">
        <v>156</v>
      </c>
      <c r="AF200" s="28" t="s">
        <v>163</v>
      </c>
      <c r="AG200" s="28" t="s">
        <v>163</v>
      </c>
      <c r="AH200" s="28" t="s">
        <v>163</v>
      </c>
      <c r="AI200" s="24" t="s">
        <v>153</v>
      </c>
      <c r="AJ200" s="23" t="s">
        <v>153</v>
      </c>
      <c r="AK200" s="23" t="s">
        <v>153</v>
      </c>
      <c r="AL200" s="23" t="s">
        <v>153</v>
      </c>
      <c r="AM200" s="23" t="s">
        <v>153</v>
      </c>
      <c r="AN200" s="23" t="s">
        <v>153</v>
      </c>
      <c r="AO200" s="23" t="s">
        <v>153</v>
      </c>
      <c r="AP200" s="23">
        <f>VALUE(2)</f>
        <v>2</v>
      </c>
      <c r="AQ200" s="23">
        <f>VALUE(0)</f>
        <v>0</v>
      </c>
      <c r="AR200" s="23">
        <f>VALUE(0)</f>
        <v>0</v>
      </c>
      <c r="AS200" s="23">
        <f>VALUE(0)</f>
        <v>0</v>
      </c>
      <c r="AT200" s="23">
        <f>VALUE(0)</f>
        <v>0</v>
      </c>
      <c r="AU200" s="23">
        <f>VALUE(4)</f>
        <v>4</v>
      </c>
      <c r="AV200" s="23">
        <f>VALUE(13)</f>
        <v>13</v>
      </c>
      <c r="AW200" s="23">
        <f>VALUE(0)</f>
        <v>0</v>
      </c>
      <c r="AX200" s="23" t="s">
        <v>171</v>
      </c>
      <c r="AY200" s="23" t="s">
        <v>176</v>
      </c>
      <c r="AZ200" s="23">
        <f>VALUE(0)</f>
        <v>0</v>
      </c>
      <c r="BA200" s="23">
        <f>VALUE(0)</f>
        <v>0</v>
      </c>
      <c r="BB200" s="23">
        <f>VALUE(0)</f>
        <v>0</v>
      </c>
      <c r="BC200" s="23">
        <f>VALUE(0)</f>
        <v>0</v>
      </c>
      <c r="BD200" s="23">
        <f>VALUE(0)</f>
        <v>0</v>
      </c>
      <c r="BE200" s="23">
        <f>VALUE(0)</f>
        <v>0</v>
      </c>
      <c r="BF200" s="23">
        <f>VALUE(0)</f>
        <v>0</v>
      </c>
      <c r="BG200" s="23">
        <f>VALUE(0)</f>
        <v>0</v>
      </c>
      <c r="BH200" s="23">
        <f>VALUE(0)</f>
        <v>0</v>
      </c>
      <c r="BI200" s="23">
        <f>VALUE(0)</f>
        <v>0</v>
      </c>
      <c r="BJ200" s="23">
        <f>VALUE(0)</f>
        <v>0</v>
      </c>
      <c r="BK200" s="12">
        <f>$AX$200*24</f>
        <v>5.833333333333333</v>
      </c>
      <c r="BL200" s="12">
        <f>$AY$200*24</f>
        <v>0</v>
      </c>
      <c r="BM200" s="12">
        <f>$BJ$200*24</f>
        <v>0</v>
      </c>
      <c r="BN200" s="12">
        <f>VALUE($I$200)/100</f>
        <v>1</v>
      </c>
      <c r="BO200" s="12">
        <v>0</v>
      </c>
      <c r="BP200" s="12">
        <v>0</v>
      </c>
      <c r="BQ200" s="12">
        <v>0</v>
      </c>
      <c r="BR200" s="12">
        <v>0</v>
      </c>
      <c r="BS200" s="12">
        <v>0</v>
      </c>
      <c r="BT200" s="12">
        <v>0</v>
      </c>
      <c r="BU200" s="12">
        <v>0</v>
      </c>
      <c r="BV200" s="12">
        <v>0</v>
      </c>
      <c r="BW200" s="12">
        <v>0</v>
      </c>
      <c r="BX200" s="12">
        <v>0</v>
      </c>
      <c r="BY200" s="12">
        <v>0</v>
      </c>
      <c r="BZ200" s="12">
        <v>0</v>
      </c>
      <c r="CA200" s="12">
        <v>0</v>
      </c>
    </row>
    <row r="201" spans="1:79" hidden="1" x14ac:dyDescent="0.2">
      <c r="A201" s="12" t="s">
        <v>120</v>
      </c>
      <c r="B201" s="12" t="s">
        <v>126</v>
      </c>
      <c r="C201" s="12" t="s">
        <v>126</v>
      </c>
      <c r="D201" s="22" t="s">
        <v>468</v>
      </c>
      <c r="E201" s="22" t="s">
        <v>161</v>
      </c>
      <c r="F201" s="22" t="s">
        <v>912</v>
      </c>
      <c r="G201" s="22" t="s">
        <v>913</v>
      </c>
      <c r="H201" s="22" t="s">
        <v>166</v>
      </c>
      <c r="I201" s="22" t="s">
        <v>194</v>
      </c>
      <c r="J201" s="22" t="s">
        <v>162</v>
      </c>
      <c r="K201" s="22" t="s">
        <v>85</v>
      </c>
      <c r="L201" s="54" t="s">
        <v>153</v>
      </c>
      <c r="M201" s="23" t="s">
        <v>153</v>
      </c>
      <c r="N201" s="24" t="s">
        <v>153</v>
      </c>
      <c r="O201" s="24" t="s">
        <v>195</v>
      </c>
      <c r="P201" s="24" t="s">
        <v>195</v>
      </c>
      <c r="Q201" s="24" t="s">
        <v>195</v>
      </c>
      <c r="R201" s="24" t="s">
        <v>195</v>
      </c>
      <c r="S201" s="24" t="s">
        <v>195</v>
      </c>
      <c r="T201" s="24" t="s">
        <v>195</v>
      </c>
      <c r="U201" s="24" t="s">
        <v>153</v>
      </c>
      <c r="V201" s="54" t="s">
        <v>153</v>
      </c>
      <c r="W201" s="23" t="s">
        <v>153</v>
      </c>
      <c r="X201" s="23" t="s">
        <v>153</v>
      </c>
      <c r="Y201" s="23" t="s">
        <v>153</v>
      </c>
      <c r="Z201" s="23" t="s">
        <v>153</v>
      </c>
      <c r="AA201" s="23" t="s">
        <v>153</v>
      </c>
      <c r="AB201" s="24" t="s">
        <v>153</v>
      </c>
      <c r="AC201" s="23" t="s">
        <v>153</v>
      </c>
      <c r="AD201" s="23" t="s">
        <v>153</v>
      </c>
      <c r="AE201" s="23" t="s">
        <v>153</v>
      </c>
      <c r="AF201" s="23" t="s">
        <v>153</v>
      </c>
      <c r="AG201" s="23" t="s">
        <v>153</v>
      </c>
      <c r="AH201" s="23" t="s">
        <v>153</v>
      </c>
      <c r="AI201" s="24" t="s">
        <v>153</v>
      </c>
      <c r="AJ201" s="23" t="s">
        <v>153</v>
      </c>
      <c r="AK201" s="23" t="s">
        <v>153</v>
      </c>
      <c r="AL201" s="23" t="s">
        <v>153</v>
      </c>
      <c r="AM201" s="24" t="s">
        <v>195</v>
      </c>
      <c r="AN201" s="24" t="s">
        <v>195</v>
      </c>
      <c r="AO201" s="24" t="s">
        <v>195</v>
      </c>
      <c r="AP201" s="23">
        <f>VALUE(2)</f>
        <v>2</v>
      </c>
      <c r="AQ201" s="23">
        <f>VALUE(0)</f>
        <v>0</v>
      </c>
      <c r="AR201" s="23">
        <f>VALUE(0)</f>
        <v>0</v>
      </c>
      <c r="AS201" s="23">
        <f>VALUE(0)</f>
        <v>0</v>
      </c>
      <c r="AT201" s="23">
        <f>VALUE(0)</f>
        <v>0</v>
      </c>
      <c r="AU201" s="23">
        <f>VALUE(0)</f>
        <v>0</v>
      </c>
      <c r="AV201" s="23">
        <f>VALUE(1.5)</f>
        <v>1.5</v>
      </c>
      <c r="AW201" s="23">
        <f>VALUE(0)</f>
        <v>0</v>
      </c>
      <c r="AX201" s="23" t="s">
        <v>1252</v>
      </c>
      <c r="AY201" s="23">
        <f>VALUE(0)</f>
        <v>0</v>
      </c>
      <c r="AZ201" s="23">
        <f>VALUE(0)</f>
        <v>0</v>
      </c>
      <c r="BA201" s="23">
        <f>VALUE(0)</f>
        <v>0</v>
      </c>
      <c r="BB201" s="23">
        <f>VALUE(0)</f>
        <v>0</v>
      </c>
      <c r="BC201" s="23">
        <f>VALUE(0)</f>
        <v>0</v>
      </c>
      <c r="BD201" s="23">
        <f>VALUE(0)</f>
        <v>0</v>
      </c>
      <c r="BE201" s="23">
        <f>VALUE(0)</f>
        <v>0</v>
      </c>
      <c r="BF201" s="23">
        <f>VALUE(0)</f>
        <v>0</v>
      </c>
      <c r="BG201" s="23">
        <f>VALUE(0)</f>
        <v>0</v>
      </c>
      <c r="BH201" s="23">
        <f>VALUE(0)</f>
        <v>0</v>
      </c>
      <c r="BI201" s="23">
        <f>VALUE(0)</f>
        <v>0</v>
      </c>
      <c r="BJ201" s="23">
        <f>VALUE(0)</f>
        <v>0</v>
      </c>
      <c r="BK201" s="12">
        <f>$AX$201*24</f>
        <v>39.56666666666667</v>
      </c>
      <c r="BL201" s="12">
        <f>$AY$201*24</f>
        <v>0</v>
      </c>
      <c r="BM201" s="12">
        <f>$BJ$201*24</f>
        <v>0</v>
      </c>
      <c r="BN201" s="12">
        <f>VALUE($I$201)/100</f>
        <v>0.8</v>
      </c>
      <c r="BO201" s="12">
        <v>0</v>
      </c>
      <c r="BP201" s="12">
        <v>0</v>
      </c>
      <c r="BQ201" s="12">
        <v>0</v>
      </c>
      <c r="BR201" s="12">
        <v>0</v>
      </c>
      <c r="BS201" s="12">
        <v>0</v>
      </c>
      <c r="BT201" s="12">
        <v>0</v>
      </c>
      <c r="BU201" s="12">
        <v>0</v>
      </c>
      <c r="BV201" s="12">
        <v>0</v>
      </c>
      <c r="BW201" s="12">
        <v>0</v>
      </c>
      <c r="BX201" s="12">
        <v>0</v>
      </c>
      <c r="BY201" s="12">
        <v>0</v>
      </c>
      <c r="BZ201" s="12">
        <v>0</v>
      </c>
      <c r="CA201" s="12">
        <v>0</v>
      </c>
    </row>
    <row r="202" spans="1:79" hidden="1" x14ac:dyDescent="0.2">
      <c r="A202" s="12" t="s">
        <v>120</v>
      </c>
      <c r="B202" s="12" t="s">
        <v>126</v>
      </c>
      <c r="C202" s="12" t="s">
        <v>126</v>
      </c>
      <c r="D202" s="22" t="s">
        <v>469</v>
      </c>
      <c r="E202" s="22" t="s">
        <v>173</v>
      </c>
      <c r="F202" s="22" t="s">
        <v>914</v>
      </c>
      <c r="G202" s="22" t="s">
        <v>915</v>
      </c>
      <c r="H202" s="22" t="s">
        <v>279</v>
      </c>
      <c r="I202" s="22" t="s">
        <v>151</v>
      </c>
      <c r="J202" s="22" t="s">
        <v>162</v>
      </c>
      <c r="K202" s="22" t="s">
        <v>85</v>
      </c>
      <c r="L202" s="54" t="s">
        <v>153</v>
      </c>
      <c r="M202" s="23" t="s">
        <v>469</v>
      </c>
      <c r="N202" s="24" t="s">
        <v>153</v>
      </c>
      <c r="O202" s="23" t="s">
        <v>469</v>
      </c>
      <c r="P202" s="23" t="s">
        <v>469</v>
      </c>
      <c r="Q202" s="23" t="s">
        <v>469</v>
      </c>
      <c r="R202" s="23" t="s">
        <v>469</v>
      </c>
      <c r="S202" s="23" t="s">
        <v>469</v>
      </c>
      <c r="T202" s="23" t="s">
        <v>469</v>
      </c>
      <c r="U202" s="24" t="s">
        <v>153</v>
      </c>
      <c r="V202" s="54" t="s">
        <v>153</v>
      </c>
      <c r="W202" s="27" t="s">
        <v>153</v>
      </c>
      <c r="X202" s="27" t="s">
        <v>153</v>
      </c>
      <c r="Y202" s="27" t="s">
        <v>153</v>
      </c>
      <c r="Z202" s="27" t="s">
        <v>153</v>
      </c>
      <c r="AA202" s="27" t="s">
        <v>153</v>
      </c>
      <c r="AB202" s="24" t="s">
        <v>153</v>
      </c>
      <c r="AC202" s="27" t="s">
        <v>153</v>
      </c>
      <c r="AD202" s="27" t="s">
        <v>153</v>
      </c>
      <c r="AE202" s="27" t="s">
        <v>153</v>
      </c>
      <c r="AF202" s="27" t="s">
        <v>153</v>
      </c>
      <c r="AG202" s="27" t="s">
        <v>153</v>
      </c>
      <c r="AH202" s="27" t="s">
        <v>153</v>
      </c>
      <c r="AI202" s="24" t="s">
        <v>153</v>
      </c>
      <c r="AJ202" s="27" t="s">
        <v>153</v>
      </c>
      <c r="AK202" s="27" t="s">
        <v>153</v>
      </c>
      <c r="AL202" s="27" t="s">
        <v>153</v>
      </c>
      <c r="AM202" s="27" t="s">
        <v>153</v>
      </c>
      <c r="AN202" s="27" t="s">
        <v>153</v>
      </c>
      <c r="AO202" s="27" t="s">
        <v>153</v>
      </c>
      <c r="AP202" s="23">
        <f>VALUE(0)</f>
        <v>0</v>
      </c>
      <c r="AQ202" s="23">
        <f>VALUE(0)</f>
        <v>0</v>
      </c>
      <c r="AR202" s="23">
        <f>VALUE(0)</f>
        <v>0</v>
      </c>
      <c r="AS202" s="23">
        <f>VALUE(0)</f>
        <v>0</v>
      </c>
      <c r="AT202" s="23">
        <f>VALUE(0)</f>
        <v>0</v>
      </c>
      <c r="AU202" s="23">
        <f>VALUE(0)</f>
        <v>0</v>
      </c>
      <c r="AV202" s="23">
        <f>VALUE(0)</f>
        <v>0</v>
      </c>
      <c r="AW202" s="23">
        <f>VALUE(0)</f>
        <v>0</v>
      </c>
      <c r="AX202" s="23">
        <f>VALUE(0)</f>
        <v>0</v>
      </c>
      <c r="AY202" s="23">
        <f>VALUE(0)</f>
        <v>0</v>
      </c>
      <c r="AZ202" s="23">
        <f>VALUE(0)</f>
        <v>0</v>
      </c>
      <c r="BA202" s="23">
        <f>VALUE(0)</f>
        <v>0</v>
      </c>
      <c r="BB202" s="23">
        <f>VALUE(0)</f>
        <v>0</v>
      </c>
      <c r="BC202" s="23">
        <f>VALUE(0)</f>
        <v>0</v>
      </c>
      <c r="BD202" s="23">
        <f>VALUE(0)</f>
        <v>0</v>
      </c>
      <c r="BE202" s="23">
        <f>VALUE(0)</f>
        <v>0</v>
      </c>
      <c r="BF202" s="23">
        <f>VALUE(0)</f>
        <v>0</v>
      </c>
      <c r="BG202" s="23">
        <f>VALUE(0)</f>
        <v>0</v>
      </c>
      <c r="BH202" s="23">
        <f>VALUE(0)</f>
        <v>0</v>
      </c>
      <c r="BI202" s="23">
        <f>VALUE(0)</f>
        <v>0</v>
      </c>
      <c r="BJ202" s="23">
        <f>VALUE(0)</f>
        <v>0</v>
      </c>
      <c r="BK202" s="12">
        <f>$AX$202*24</f>
        <v>0</v>
      </c>
      <c r="BL202" s="12">
        <f>$AY$202*24</f>
        <v>0</v>
      </c>
      <c r="BM202" s="12">
        <f>$BJ$202*24</f>
        <v>0</v>
      </c>
      <c r="BN202" s="12">
        <f>VALUE($I$202)/100</f>
        <v>1</v>
      </c>
      <c r="BO202" s="12">
        <v>0</v>
      </c>
      <c r="BP202" s="12">
        <v>0</v>
      </c>
      <c r="BQ202" s="12">
        <v>0</v>
      </c>
      <c r="BR202" s="12">
        <v>0</v>
      </c>
      <c r="BS202" s="12">
        <v>0</v>
      </c>
      <c r="BT202" s="12">
        <v>0</v>
      </c>
      <c r="BU202" s="12">
        <v>0</v>
      </c>
      <c r="BV202" s="12">
        <v>0</v>
      </c>
      <c r="BW202" s="12">
        <v>0</v>
      </c>
      <c r="BX202" s="12">
        <v>0</v>
      </c>
      <c r="BY202" s="12">
        <v>0</v>
      </c>
      <c r="BZ202" s="12">
        <v>0</v>
      </c>
      <c r="CA202" s="12">
        <v>0</v>
      </c>
    </row>
    <row r="203" spans="1:79" hidden="1" x14ac:dyDescent="0.2">
      <c r="A203" s="12" t="s">
        <v>120</v>
      </c>
      <c r="B203" s="12" t="s">
        <v>126</v>
      </c>
      <c r="C203" s="12" t="s">
        <v>126</v>
      </c>
      <c r="D203" s="22" t="s">
        <v>469</v>
      </c>
      <c r="E203" s="22" t="s">
        <v>161</v>
      </c>
      <c r="F203" s="22" t="s">
        <v>916</v>
      </c>
      <c r="G203" s="22" t="s">
        <v>917</v>
      </c>
      <c r="H203" s="22" t="s">
        <v>150</v>
      </c>
      <c r="I203" s="22" t="s">
        <v>151</v>
      </c>
      <c r="J203" s="22" t="s">
        <v>162</v>
      </c>
      <c r="K203" s="22" t="s">
        <v>85</v>
      </c>
      <c r="L203" s="54" t="s">
        <v>153</v>
      </c>
      <c r="M203" s="23" t="s">
        <v>467</v>
      </c>
      <c r="N203" s="24" t="s">
        <v>153</v>
      </c>
      <c r="O203" s="25" t="s">
        <v>449</v>
      </c>
      <c r="P203" s="25" t="s">
        <v>1253</v>
      </c>
      <c r="Q203" s="25" t="s">
        <v>1253</v>
      </c>
      <c r="R203" s="25" t="s">
        <v>1253</v>
      </c>
      <c r="S203" s="23" t="s">
        <v>468</v>
      </c>
      <c r="T203" s="23" t="s">
        <v>468</v>
      </c>
      <c r="U203" s="24" t="s">
        <v>153</v>
      </c>
      <c r="V203" s="54" t="s">
        <v>153</v>
      </c>
      <c r="W203" s="23" t="s">
        <v>449</v>
      </c>
      <c r="X203" s="23" t="s">
        <v>449</v>
      </c>
      <c r="Y203" s="23" t="s">
        <v>449</v>
      </c>
      <c r="Z203" s="23" t="s">
        <v>449</v>
      </c>
      <c r="AA203" s="23" t="s">
        <v>449</v>
      </c>
      <c r="AB203" s="24" t="s">
        <v>153</v>
      </c>
      <c r="AC203" s="23" t="s">
        <v>467</v>
      </c>
      <c r="AD203" s="23" t="s">
        <v>459</v>
      </c>
      <c r="AE203" s="23" t="s">
        <v>459</v>
      </c>
      <c r="AF203" s="24" t="s">
        <v>156</v>
      </c>
      <c r="AG203" s="24" t="s">
        <v>156</v>
      </c>
      <c r="AH203" s="24" t="s">
        <v>156</v>
      </c>
      <c r="AI203" s="24" t="s">
        <v>153</v>
      </c>
      <c r="AJ203" s="23" t="s">
        <v>459</v>
      </c>
      <c r="AK203" s="23" t="s">
        <v>459</v>
      </c>
      <c r="AL203" s="23" t="s">
        <v>459</v>
      </c>
      <c r="AM203" s="23" t="s">
        <v>459</v>
      </c>
      <c r="AN203" s="23" t="s">
        <v>459</v>
      </c>
      <c r="AO203" s="23" t="s">
        <v>459</v>
      </c>
      <c r="AP203" s="23">
        <f>VALUE(12)</f>
        <v>12</v>
      </c>
      <c r="AQ203" s="23">
        <f>VALUE(0)</f>
        <v>0</v>
      </c>
      <c r="AR203" s="23">
        <f>VALUE(0)</f>
        <v>0</v>
      </c>
      <c r="AS203" s="23">
        <f>VALUE(0)</f>
        <v>0</v>
      </c>
      <c r="AT203" s="23">
        <f>VALUE(0)</f>
        <v>0</v>
      </c>
      <c r="AU203" s="23">
        <f>VALUE(0)</f>
        <v>0</v>
      </c>
      <c r="AV203" s="23">
        <f>VALUE(4)</f>
        <v>4</v>
      </c>
      <c r="AW203" s="23">
        <f>VALUE(0)</f>
        <v>0</v>
      </c>
      <c r="AX203" s="23" t="s">
        <v>171</v>
      </c>
      <c r="AY203" s="23" t="s">
        <v>470</v>
      </c>
      <c r="AZ203" s="23">
        <f>VALUE(0)</f>
        <v>0</v>
      </c>
      <c r="BA203" s="23">
        <f>VALUE(0)</f>
        <v>0</v>
      </c>
      <c r="BB203" s="23">
        <f>VALUE(0)</f>
        <v>0</v>
      </c>
      <c r="BC203" s="23">
        <f>VALUE(0)</f>
        <v>0</v>
      </c>
      <c r="BD203" s="23">
        <f>VALUE(3)</f>
        <v>3</v>
      </c>
      <c r="BE203" s="23">
        <f>VALUE(0)</f>
        <v>0</v>
      </c>
      <c r="BF203" s="23">
        <f>VALUE(0)</f>
        <v>0</v>
      </c>
      <c r="BG203" s="23">
        <f>VALUE(0)</f>
        <v>0</v>
      </c>
      <c r="BH203" s="23">
        <f>VALUE(0)</f>
        <v>0</v>
      </c>
      <c r="BI203" s="23">
        <f>VALUE(0)</f>
        <v>0</v>
      </c>
      <c r="BJ203" s="23">
        <f>VALUE(0)</f>
        <v>0</v>
      </c>
      <c r="BK203" s="12">
        <f>$AX$203*24</f>
        <v>5.833333333333333</v>
      </c>
      <c r="BL203" s="12">
        <f>$AY$203*24</f>
        <v>10</v>
      </c>
      <c r="BM203" s="12">
        <f>$BJ$203*24</f>
        <v>0</v>
      </c>
      <c r="BN203" s="12">
        <f>VALUE($I$203)/100</f>
        <v>1</v>
      </c>
      <c r="BO203" s="12">
        <v>0</v>
      </c>
      <c r="BP203" s="12">
        <v>0</v>
      </c>
      <c r="BQ203" s="12">
        <v>0</v>
      </c>
      <c r="BR203" s="12">
        <v>3</v>
      </c>
      <c r="BS203" s="12">
        <v>0</v>
      </c>
      <c r="BT203" s="12">
        <v>0</v>
      </c>
      <c r="BU203" s="12">
        <v>0</v>
      </c>
      <c r="BV203" s="12">
        <v>0</v>
      </c>
      <c r="BW203" s="12">
        <v>0</v>
      </c>
      <c r="BX203" s="12">
        <v>0</v>
      </c>
      <c r="BY203" s="12">
        <v>0</v>
      </c>
      <c r="BZ203" s="12">
        <v>0</v>
      </c>
      <c r="CA203" s="12">
        <v>0</v>
      </c>
    </row>
    <row r="204" spans="1:79" hidden="1" x14ac:dyDescent="0.2">
      <c r="A204" s="12" t="s">
        <v>120</v>
      </c>
      <c r="B204" s="12" t="s">
        <v>126</v>
      </c>
      <c r="C204" s="12" t="s">
        <v>126</v>
      </c>
      <c r="D204" s="22" t="s">
        <v>589</v>
      </c>
      <c r="E204" s="22" t="s">
        <v>173</v>
      </c>
      <c r="F204" s="22" t="s">
        <v>918</v>
      </c>
      <c r="G204" s="22" t="s">
        <v>919</v>
      </c>
      <c r="H204" s="22" t="s">
        <v>150</v>
      </c>
      <c r="I204" s="22" t="s">
        <v>151</v>
      </c>
      <c r="J204" s="22" t="s">
        <v>162</v>
      </c>
      <c r="K204" s="22" t="s">
        <v>85</v>
      </c>
      <c r="L204" s="54" t="s">
        <v>153</v>
      </c>
      <c r="M204" s="23" t="s">
        <v>449</v>
      </c>
      <c r="N204" s="24" t="s">
        <v>153</v>
      </c>
      <c r="O204" s="25" t="s">
        <v>464</v>
      </c>
      <c r="P204" s="25" t="s">
        <v>464</v>
      </c>
      <c r="Q204" s="25" t="s">
        <v>464</v>
      </c>
      <c r="R204" s="25" t="s">
        <v>464</v>
      </c>
      <c r="S204" s="25" t="s">
        <v>464</v>
      </c>
      <c r="T204" s="25" t="s">
        <v>464</v>
      </c>
      <c r="U204" s="24" t="s">
        <v>153</v>
      </c>
      <c r="V204" s="54" t="s">
        <v>153</v>
      </c>
      <c r="W204" s="25" t="s">
        <v>464</v>
      </c>
      <c r="X204" s="25" t="s">
        <v>464</v>
      </c>
      <c r="Y204" s="25" t="s">
        <v>464</v>
      </c>
      <c r="Z204" s="25" t="s">
        <v>464</v>
      </c>
      <c r="AA204" s="25" t="s">
        <v>464</v>
      </c>
      <c r="AB204" s="24" t="s">
        <v>153</v>
      </c>
      <c r="AC204" s="23" t="s">
        <v>464</v>
      </c>
      <c r="AD204" s="25" t="s">
        <v>450</v>
      </c>
      <c r="AE204" s="25" t="s">
        <v>450</v>
      </c>
      <c r="AF204" s="25" t="s">
        <v>450</v>
      </c>
      <c r="AG204" s="25" t="s">
        <v>450</v>
      </c>
      <c r="AH204" s="25" t="s">
        <v>450</v>
      </c>
      <c r="AI204" s="24" t="s">
        <v>153</v>
      </c>
      <c r="AJ204" s="24" t="s">
        <v>156</v>
      </c>
      <c r="AK204" s="24" t="s">
        <v>156</v>
      </c>
      <c r="AL204" s="24" t="s">
        <v>156</v>
      </c>
      <c r="AM204" s="23" t="s">
        <v>468</v>
      </c>
      <c r="AN204" s="23" t="s">
        <v>468</v>
      </c>
      <c r="AO204" s="23" t="s">
        <v>468</v>
      </c>
      <c r="AP204" s="23">
        <f>VALUE(4)</f>
        <v>4</v>
      </c>
      <c r="AQ204" s="23">
        <f>VALUE(0)</f>
        <v>0</v>
      </c>
      <c r="AR204" s="23">
        <f>VALUE(0)</f>
        <v>0</v>
      </c>
      <c r="AS204" s="23">
        <f>VALUE(0)</f>
        <v>0</v>
      </c>
      <c r="AT204" s="23">
        <f>VALUE(0)</f>
        <v>0</v>
      </c>
      <c r="AU204" s="23">
        <f>VALUE(0)</f>
        <v>0</v>
      </c>
      <c r="AV204" s="23">
        <f>VALUE(1)</f>
        <v>1</v>
      </c>
      <c r="AW204" s="23">
        <f>VALUE(0)</f>
        <v>0</v>
      </c>
      <c r="AX204" s="23" t="s">
        <v>171</v>
      </c>
      <c r="AY204" s="23">
        <f>VALUE(0)</f>
        <v>0</v>
      </c>
      <c r="AZ204" s="23">
        <f>VALUE(0)</f>
        <v>0</v>
      </c>
      <c r="BA204" s="23">
        <f>VALUE(0)</f>
        <v>0</v>
      </c>
      <c r="BB204" s="23">
        <f>VALUE(0)</f>
        <v>0</v>
      </c>
      <c r="BC204" s="23">
        <f>VALUE(0)</f>
        <v>0</v>
      </c>
      <c r="BD204" s="23">
        <f>VALUE(0)</f>
        <v>0</v>
      </c>
      <c r="BE204" s="23">
        <f>VALUE(0)</f>
        <v>0</v>
      </c>
      <c r="BF204" s="23">
        <f>VALUE(0)</f>
        <v>0</v>
      </c>
      <c r="BG204" s="23">
        <f>VALUE(0)</f>
        <v>0</v>
      </c>
      <c r="BH204" s="23">
        <f>VALUE(0)</f>
        <v>0</v>
      </c>
      <c r="BI204" s="23">
        <f>VALUE(0)</f>
        <v>0</v>
      </c>
      <c r="BJ204" s="23">
        <f>VALUE(0)</f>
        <v>0</v>
      </c>
      <c r="BK204" s="12">
        <f>$AX$204*24</f>
        <v>5.833333333333333</v>
      </c>
      <c r="BL204" s="12">
        <f>$AY$204*24</f>
        <v>0</v>
      </c>
      <c r="BM204" s="12">
        <f>$BJ$204*24</f>
        <v>0</v>
      </c>
      <c r="BN204" s="12">
        <f>VALUE($I$204)/100</f>
        <v>1</v>
      </c>
      <c r="BO204" s="12">
        <v>0</v>
      </c>
      <c r="BP204" s="12">
        <v>0</v>
      </c>
      <c r="BQ204" s="12">
        <v>0</v>
      </c>
      <c r="BR204" s="12">
        <v>0</v>
      </c>
      <c r="BS204" s="12">
        <v>0</v>
      </c>
      <c r="BT204" s="12">
        <v>0</v>
      </c>
      <c r="BU204" s="12">
        <v>0</v>
      </c>
      <c r="BV204" s="12">
        <v>0</v>
      </c>
      <c r="BW204" s="12">
        <v>0</v>
      </c>
      <c r="BX204" s="12">
        <v>0</v>
      </c>
      <c r="BY204" s="12">
        <v>0</v>
      </c>
      <c r="BZ204" s="12">
        <v>0</v>
      </c>
      <c r="CA204" s="12">
        <v>0</v>
      </c>
    </row>
    <row r="205" spans="1:79" hidden="1" x14ac:dyDescent="0.2">
      <c r="A205" s="12" t="s">
        <v>120</v>
      </c>
      <c r="B205" s="12" t="s">
        <v>126</v>
      </c>
      <c r="C205" s="12" t="s">
        <v>126</v>
      </c>
      <c r="D205" s="22" t="s">
        <v>1254</v>
      </c>
      <c r="E205" s="22" t="s">
        <v>159</v>
      </c>
      <c r="F205" s="22" t="s">
        <v>920</v>
      </c>
      <c r="G205" s="22" t="s">
        <v>921</v>
      </c>
      <c r="H205" s="22" t="s">
        <v>150</v>
      </c>
      <c r="I205" s="22" t="s">
        <v>151</v>
      </c>
      <c r="J205" s="22" t="s">
        <v>162</v>
      </c>
      <c r="K205" s="22" t="s">
        <v>85</v>
      </c>
      <c r="L205" s="54" t="s">
        <v>153</v>
      </c>
      <c r="M205" s="23" t="s">
        <v>464</v>
      </c>
      <c r="N205" s="24" t="s">
        <v>153</v>
      </c>
      <c r="O205" s="25" t="s">
        <v>464</v>
      </c>
      <c r="P205" s="25" t="s">
        <v>464</v>
      </c>
      <c r="Q205" s="25" t="s">
        <v>464</v>
      </c>
      <c r="R205" s="25" t="s">
        <v>464</v>
      </c>
      <c r="S205" s="25" t="s">
        <v>464</v>
      </c>
      <c r="T205" s="25" t="s">
        <v>464</v>
      </c>
      <c r="U205" s="24" t="s">
        <v>153</v>
      </c>
      <c r="V205" s="54" t="s">
        <v>153</v>
      </c>
      <c r="W205" s="25" t="s">
        <v>464</v>
      </c>
      <c r="X205" s="25" t="s">
        <v>464</v>
      </c>
      <c r="Y205" s="25" t="s">
        <v>464</v>
      </c>
      <c r="Z205" s="25" t="s">
        <v>464</v>
      </c>
      <c r="AA205" s="25" t="s">
        <v>464</v>
      </c>
      <c r="AB205" s="24" t="s">
        <v>153</v>
      </c>
      <c r="AC205" s="24" t="s">
        <v>156</v>
      </c>
      <c r="AD205" s="24" t="s">
        <v>156</v>
      </c>
      <c r="AE205" s="24" t="s">
        <v>156</v>
      </c>
      <c r="AF205" s="23" t="s">
        <v>464</v>
      </c>
      <c r="AG205" s="23" t="s">
        <v>464</v>
      </c>
      <c r="AH205" s="23" t="s">
        <v>464</v>
      </c>
      <c r="AI205" s="24" t="s">
        <v>153</v>
      </c>
      <c r="AJ205" s="23" t="s">
        <v>464</v>
      </c>
      <c r="AK205" s="23" t="s">
        <v>464</v>
      </c>
      <c r="AL205" s="23" t="s">
        <v>464</v>
      </c>
      <c r="AM205" s="23" t="s">
        <v>464</v>
      </c>
      <c r="AN205" s="23" t="s">
        <v>464</v>
      </c>
      <c r="AO205" s="23" t="s">
        <v>464</v>
      </c>
      <c r="AP205" s="23">
        <f>VALUE(2)</f>
        <v>2</v>
      </c>
      <c r="AQ205" s="23">
        <f>VALUE(0)</f>
        <v>0</v>
      </c>
      <c r="AR205" s="23">
        <f>VALUE(0)</f>
        <v>0</v>
      </c>
      <c r="AS205" s="23">
        <f>VALUE(0)</f>
        <v>0</v>
      </c>
      <c r="AT205" s="23">
        <f>VALUE(0)</f>
        <v>0</v>
      </c>
      <c r="AU205" s="23">
        <f>VALUE(0)</f>
        <v>0</v>
      </c>
      <c r="AV205" s="23">
        <f>VALUE(6)</f>
        <v>6</v>
      </c>
      <c r="AW205" s="23">
        <f>VALUE(0)</f>
        <v>0</v>
      </c>
      <c r="AX205" s="23" t="s">
        <v>171</v>
      </c>
      <c r="AY205" s="23" t="s">
        <v>471</v>
      </c>
      <c r="AZ205" s="23">
        <f>VALUE(0)</f>
        <v>0</v>
      </c>
      <c r="BA205" s="23">
        <f>VALUE(0)</f>
        <v>0</v>
      </c>
      <c r="BB205" s="23">
        <f>VALUE(0)</f>
        <v>0</v>
      </c>
      <c r="BC205" s="23">
        <f>VALUE(0)</f>
        <v>0</v>
      </c>
      <c r="BD205" s="23">
        <f>VALUE(0)</f>
        <v>0</v>
      </c>
      <c r="BE205" s="23">
        <f>VALUE(0)</f>
        <v>0</v>
      </c>
      <c r="BF205" s="23">
        <f>VALUE(0)</f>
        <v>0</v>
      </c>
      <c r="BG205" s="23">
        <f>VALUE(0)</f>
        <v>0</v>
      </c>
      <c r="BH205" s="23">
        <f>VALUE(0)</f>
        <v>0</v>
      </c>
      <c r="BI205" s="23">
        <f>VALUE(0)</f>
        <v>0</v>
      </c>
      <c r="BJ205" s="23">
        <f>VALUE(0)</f>
        <v>0</v>
      </c>
      <c r="BK205" s="12">
        <f>$AX$205*24</f>
        <v>5.833333333333333</v>
      </c>
      <c r="BL205" s="12">
        <f>$AY$205*24</f>
        <v>4.3166666666666664</v>
      </c>
      <c r="BM205" s="12">
        <f>$BJ$205*24</f>
        <v>0</v>
      </c>
      <c r="BN205" s="12">
        <f>VALUE($I$205)/100</f>
        <v>1</v>
      </c>
      <c r="BO205" s="12">
        <v>0</v>
      </c>
      <c r="BP205" s="12">
        <v>0</v>
      </c>
      <c r="BQ205" s="12">
        <v>0</v>
      </c>
      <c r="BR205" s="12">
        <v>0</v>
      </c>
      <c r="BS205" s="12">
        <v>0</v>
      </c>
      <c r="BT205" s="12">
        <v>0</v>
      </c>
      <c r="BU205" s="12">
        <v>0</v>
      </c>
      <c r="BV205" s="12">
        <v>0</v>
      </c>
      <c r="BW205" s="12">
        <v>0</v>
      </c>
      <c r="BX205" s="12">
        <v>0</v>
      </c>
      <c r="BY205" s="12">
        <v>0</v>
      </c>
      <c r="BZ205" s="12">
        <v>0</v>
      </c>
      <c r="CA205" s="12">
        <v>0</v>
      </c>
    </row>
    <row r="206" spans="1:79" hidden="1" x14ac:dyDescent="0.2">
      <c r="A206" s="12" t="s">
        <v>120</v>
      </c>
      <c r="B206" s="12" t="s">
        <v>126</v>
      </c>
      <c r="C206" s="12" t="s">
        <v>126</v>
      </c>
      <c r="D206" s="22" t="s">
        <v>472</v>
      </c>
      <c r="E206" s="22" t="s">
        <v>332</v>
      </c>
      <c r="F206" s="22" t="s">
        <v>922</v>
      </c>
      <c r="G206" s="22" t="s">
        <v>923</v>
      </c>
      <c r="H206" s="22" t="s">
        <v>150</v>
      </c>
      <c r="I206" s="22" t="s">
        <v>151</v>
      </c>
      <c r="J206" s="22" t="s">
        <v>162</v>
      </c>
      <c r="K206" s="22" t="s">
        <v>85</v>
      </c>
      <c r="L206" s="54" t="s">
        <v>153</v>
      </c>
      <c r="M206" s="28" t="s">
        <v>163</v>
      </c>
      <c r="N206" s="24" t="s">
        <v>153</v>
      </c>
      <c r="O206" s="23" t="s">
        <v>468</v>
      </c>
      <c r="P206" s="25" t="s">
        <v>468</v>
      </c>
      <c r="Q206" s="25" t="s">
        <v>468</v>
      </c>
      <c r="R206" s="25" t="s">
        <v>468</v>
      </c>
      <c r="S206" s="23" t="s">
        <v>462</v>
      </c>
      <c r="T206" s="23" t="s">
        <v>462</v>
      </c>
      <c r="U206" s="24" t="s">
        <v>153</v>
      </c>
      <c r="V206" s="54" t="s">
        <v>156</v>
      </c>
      <c r="W206" s="24" t="s">
        <v>156</v>
      </c>
      <c r="X206" s="24" t="s">
        <v>156</v>
      </c>
      <c r="Y206" s="23" t="s">
        <v>153</v>
      </c>
      <c r="Z206" s="23" t="s">
        <v>153</v>
      </c>
      <c r="AA206" s="23" t="s">
        <v>153</v>
      </c>
      <c r="AB206" s="24" t="s">
        <v>153</v>
      </c>
      <c r="AC206" s="25" t="s">
        <v>450</v>
      </c>
      <c r="AD206" s="23" t="s">
        <v>467</v>
      </c>
      <c r="AE206" s="23" t="s">
        <v>467</v>
      </c>
      <c r="AF206" s="23" t="s">
        <v>459</v>
      </c>
      <c r="AG206" s="23" t="s">
        <v>459</v>
      </c>
      <c r="AH206" s="23" t="s">
        <v>459</v>
      </c>
      <c r="AI206" s="24" t="s">
        <v>153</v>
      </c>
      <c r="AJ206" s="23" t="s">
        <v>153</v>
      </c>
      <c r="AK206" s="23" t="s">
        <v>153</v>
      </c>
      <c r="AL206" s="23" t="s">
        <v>153</v>
      </c>
      <c r="AM206" s="23" t="s">
        <v>466</v>
      </c>
      <c r="AN206" s="23" t="s">
        <v>466</v>
      </c>
      <c r="AO206" s="23" t="s">
        <v>466</v>
      </c>
      <c r="AP206" s="23">
        <f>VALUE(2)</f>
        <v>2</v>
      </c>
      <c r="AQ206" s="23">
        <f>VALUE(0)</f>
        <v>0</v>
      </c>
      <c r="AR206" s="23">
        <f>VALUE(0)</f>
        <v>0</v>
      </c>
      <c r="AS206" s="23">
        <f>VALUE(6)</f>
        <v>6</v>
      </c>
      <c r="AT206" s="23">
        <f>VALUE(0)</f>
        <v>0</v>
      </c>
      <c r="AU206" s="23">
        <f>VALUE(1)</f>
        <v>1</v>
      </c>
      <c r="AV206" s="23">
        <f>VALUE(3)</f>
        <v>3</v>
      </c>
      <c r="AW206" s="23">
        <f>VALUE(0)</f>
        <v>0</v>
      </c>
      <c r="AX206" s="23" t="s">
        <v>176</v>
      </c>
      <c r="AY206" s="23" t="s">
        <v>473</v>
      </c>
      <c r="AZ206" s="23">
        <f>VALUE(0)</f>
        <v>0</v>
      </c>
      <c r="BA206" s="23">
        <f>VALUE(0)</f>
        <v>0</v>
      </c>
      <c r="BB206" s="23">
        <f>VALUE(0)</f>
        <v>0</v>
      </c>
      <c r="BC206" s="23">
        <f>VALUE(0)</f>
        <v>0</v>
      </c>
      <c r="BD206" s="23">
        <f>VALUE(0)</f>
        <v>0</v>
      </c>
      <c r="BE206" s="23">
        <f>VALUE(0)</f>
        <v>0</v>
      </c>
      <c r="BF206" s="23">
        <f>VALUE(0)</f>
        <v>0</v>
      </c>
      <c r="BG206" s="23">
        <f>VALUE(0)</f>
        <v>0</v>
      </c>
      <c r="BH206" s="23">
        <f>VALUE(0)</f>
        <v>0</v>
      </c>
      <c r="BI206" s="23">
        <f>VALUE(0)</f>
        <v>0</v>
      </c>
      <c r="BJ206" s="23">
        <f>VALUE(0)</f>
        <v>0</v>
      </c>
      <c r="BK206" s="12">
        <f>$AX$206*24</f>
        <v>0</v>
      </c>
      <c r="BL206" s="12">
        <f>$AY$206*24</f>
        <v>3.6833333333333336</v>
      </c>
      <c r="BM206" s="12">
        <f>$BJ$206*24</f>
        <v>0</v>
      </c>
      <c r="BN206" s="12">
        <f>VALUE($I$206)/100</f>
        <v>1</v>
      </c>
      <c r="BO206" s="12">
        <v>0</v>
      </c>
      <c r="BP206" s="12">
        <v>0</v>
      </c>
      <c r="BQ206" s="12">
        <v>0</v>
      </c>
      <c r="BR206" s="12">
        <v>0</v>
      </c>
      <c r="BS206" s="12">
        <v>0</v>
      </c>
      <c r="BT206" s="12">
        <v>0</v>
      </c>
      <c r="BU206" s="12">
        <v>0</v>
      </c>
      <c r="BV206" s="12">
        <v>0</v>
      </c>
      <c r="BW206" s="12">
        <v>0</v>
      </c>
      <c r="BX206" s="12">
        <v>0</v>
      </c>
      <c r="BY206" s="12">
        <v>0</v>
      </c>
      <c r="BZ206" s="12">
        <v>0</v>
      </c>
      <c r="CA206" s="12">
        <v>0</v>
      </c>
    </row>
    <row r="207" spans="1:79" ht="15" hidden="1" x14ac:dyDescent="0.25">
      <c r="A207" s="12" t="s">
        <v>120</v>
      </c>
      <c r="B207" s="12" t="s">
        <v>126</v>
      </c>
      <c r="C207" s="12" t="s">
        <v>126</v>
      </c>
      <c r="D207" s="31" t="s">
        <v>202</v>
      </c>
      <c r="E207" s="31" t="s">
        <v>153</v>
      </c>
      <c r="F207" s="31" t="s">
        <v>175</v>
      </c>
      <c r="G207" s="31" t="s">
        <v>153</v>
      </c>
      <c r="H207" s="31" t="s">
        <v>153</v>
      </c>
      <c r="I207" s="31" t="s">
        <v>153</v>
      </c>
      <c r="J207" s="31" t="s">
        <v>153</v>
      </c>
      <c r="K207" s="31" t="s">
        <v>153</v>
      </c>
      <c r="L207" s="31">
        <f>VALUE(0)</f>
        <v>0</v>
      </c>
      <c r="M207" s="31">
        <f>VALUE(10)</f>
        <v>10</v>
      </c>
      <c r="N207" s="31">
        <f>VALUE(0)</f>
        <v>0</v>
      </c>
      <c r="O207" s="31">
        <f>VALUE(10)</f>
        <v>10</v>
      </c>
      <c r="P207" s="31">
        <f>VALUE(10)</f>
        <v>10</v>
      </c>
      <c r="Q207" s="31">
        <f>VALUE(10)</f>
        <v>10</v>
      </c>
      <c r="R207" s="31">
        <f>VALUE(10)</f>
        <v>10</v>
      </c>
      <c r="S207" s="31">
        <f>VALUE(10)</f>
        <v>10</v>
      </c>
      <c r="T207" s="31">
        <f>VALUE(10)</f>
        <v>10</v>
      </c>
      <c r="U207" s="31">
        <f>VALUE(0)</f>
        <v>0</v>
      </c>
      <c r="V207" s="31">
        <f>VALUE(0)</f>
        <v>0</v>
      </c>
      <c r="W207" s="31">
        <f>VALUE(9)</f>
        <v>9</v>
      </c>
      <c r="X207" s="31">
        <f>VALUE(9)</f>
        <v>9</v>
      </c>
      <c r="Y207" s="31">
        <f>VALUE(10)</f>
        <v>10</v>
      </c>
      <c r="Z207" s="31">
        <f>VALUE(10)</f>
        <v>10</v>
      </c>
      <c r="AA207" s="31">
        <f>VALUE(10)</f>
        <v>10</v>
      </c>
      <c r="AB207" s="31">
        <f>VALUE(0)</f>
        <v>0</v>
      </c>
      <c r="AC207" s="31">
        <f>VALUE(9)</f>
        <v>9</v>
      </c>
      <c r="AD207" s="31">
        <f>VALUE(9)</f>
        <v>9</v>
      </c>
      <c r="AE207" s="31">
        <f>VALUE(9)</f>
        <v>9</v>
      </c>
      <c r="AF207" s="31">
        <f>VALUE(9)</f>
        <v>9</v>
      </c>
      <c r="AG207" s="31">
        <f>VALUE(9)</f>
        <v>9</v>
      </c>
      <c r="AH207" s="31">
        <f>VALUE(9)</f>
        <v>9</v>
      </c>
      <c r="AI207" s="31">
        <f>VALUE(0)</f>
        <v>0</v>
      </c>
      <c r="AJ207" s="31">
        <f>VALUE(9)</f>
        <v>9</v>
      </c>
      <c r="AK207" s="31">
        <f>VALUE(9)</f>
        <v>9</v>
      </c>
      <c r="AL207" s="31">
        <f>VALUE(9)</f>
        <v>9</v>
      </c>
      <c r="AM207" s="31">
        <f>VALUE(8)</f>
        <v>8</v>
      </c>
      <c r="AN207" s="31">
        <f>VALUE(8)</f>
        <v>8</v>
      </c>
      <c r="AO207" s="31">
        <f>VALUE(8)</f>
        <v>8</v>
      </c>
      <c r="AP207" s="31">
        <v>0</v>
      </c>
      <c r="AQ207" s="31">
        <v>0</v>
      </c>
      <c r="AR207" s="31">
        <v>0</v>
      </c>
      <c r="AS207" s="31">
        <v>0</v>
      </c>
      <c r="AT207" s="31">
        <v>0</v>
      </c>
      <c r="AU207" s="31">
        <v>0</v>
      </c>
      <c r="AV207" s="31">
        <v>0</v>
      </c>
      <c r="AW207" s="31">
        <v>0</v>
      </c>
      <c r="AX207" s="31">
        <v>0</v>
      </c>
      <c r="AY207" s="31">
        <v>0</v>
      </c>
      <c r="AZ207" s="31">
        <v>0</v>
      </c>
      <c r="BA207" s="31">
        <v>0</v>
      </c>
      <c r="BB207" s="31">
        <v>0</v>
      </c>
      <c r="BC207" s="31">
        <v>0</v>
      </c>
      <c r="BD207" s="31">
        <v>0</v>
      </c>
      <c r="BE207" s="31">
        <v>0</v>
      </c>
      <c r="BF207" s="31">
        <v>0</v>
      </c>
      <c r="BG207" s="31">
        <v>0</v>
      </c>
      <c r="BH207" s="31">
        <v>0</v>
      </c>
      <c r="BI207" s="31">
        <v>0</v>
      </c>
      <c r="BJ207" s="31">
        <v>0</v>
      </c>
      <c r="BK207" s="12">
        <v>0</v>
      </c>
      <c r="BL207" s="12">
        <v>0</v>
      </c>
      <c r="BM207" s="12">
        <v>0</v>
      </c>
      <c r="BN207" s="12"/>
      <c r="BO207" s="12">
        <v>0</v>
      </c>
      <c r="BP207" s="12">
        <v>0</v>
      </c>
      <c r="BQ207" s="12">
        <v>0</v>
      </c>
      <c r="BR207" s="12">
        <v>0</v>
      </c>
      <c r="BS207" s="12">
        <v>0</v>
      </c>
      <c r="BT207" s="12">
        <v>0</v>
      </c>
      <c r="BU207" s="12">
        <v>0</v>
      </c>
      <c r="BV207" s="12">
        <v>0</v>
      </c>
      <c r="BW207" s="12">
        <v>0</v>
      </c>
      <c r="BX207" s="12">
        <v>0</v>
      </c>
      <c r="BY207" s="12">
        <v>0</v>
      </c>
      <c r="BZ207" s="12">
        <v>0</v>
      </c>
      <c r="CA207" s="12">
        <v>0</v>
      </c>
    </row>
    <row r="208" spans="1:79" hidden="1" x14ac:dyDescent="0.2">
      <c r="A208" s="12" t="s">
        <v>127</v>
      </c>
      <c r="B208" s="12" t="s">
        <v>128</v>
      </c>
      <c r="C208" s="12" t="s">
        <v>128</v>
      </c>
      <c r="D208" s="22" t="s">
        <v>474</v>
      </c>
      <c r="E208" s="22" t="s">
        <v>173</v>
      </c>
      <c r="F208" s="22" t="s">
        <v>924</v>
      </c>
      <c r="G208" s="22" t="s">
        <v>925</v>
      </c>
      <c r="H208" s="22" t="s">
        <v>150</v>
      </c>
      <c r="I208" s="22" t="s">
        <v>415</v>
      </c>
      <c r="J208" s="22" t="s">
        <v>162</v>
      </c>
      <c r="K208" s="22" t="s">
        <v>86</v>
      </c>
      <c r="L208" s="54" t="s">
        <v>153</v>
      </c>
      <c r="M208" s="33" t="s">
        <v>475</v>
      </c>
      <c r="N208" s="24" t="s">
        <v>153</v>
      </c>
      <c r="O208" s="33" t="s">
        <v>475</v>
      </c>
      <c r="P208" s="33" t="s">
        <v>475</v>
      </c>
      <c r="Q208" s="33" t="s">
        <v>475</v>
      </c>
      <c r="R208" s="33" t="s">
        <v>475</v>
      </c>
      <c r="S208" s="33" t="s">
        <v>475</v>
      </c>
      <c r="T208" s="33" t="s">
        <v>475</v>
      </c>
      <c r="U208" s="24" t="s">
        <v>153</v>
      </c>
      <c r="V208" s="54" t="s">
        <v>153</v>
      </c>
      <c r="W208" s="33" t="s">
        <v>475</v>
      </c>
      <c r="X208" s="33" t="s">
        <v>475</v>
      </c>
      <c r="Y208" s="33" t="s">
        <v>475</v>
      </c>
      <c r="Z208" s="33" t="s">
        <v>475</v>
      </c>
      <c r="AA208" s="33" t="s">
        <v>475</v>
      </c>
      <c r="AB208" s="24" t="s">
        <v>153</v>
      </c>
      <c r="AC208" s="33" t="s">
        <v>475</v>
      </c>
      <c r="AD208" s="33" t="s">
        <v>475</v>
      </c>
      <c r="AE208" s="33" t="s">
        <v>475</v>
      </c>
      <c r="AF208" s="33" t="s">
        <v>475</v>
      </c>
      <c r="AG208" s="33" t="s">
        <v>475</v>
      </c>
      <c r="AH208" s="33" t="s">
        <v>475</v>
      </c>
      <c r="AI208" s="24" t="s">
        <v>153</v>
      </c>
      <c r="AJ208" s="33" t="s">
        <v>475</v>
      </c>
      <c r="AK208" s="33" t="s">
        <v>475</v>
      </c>
      <c r="AL208" s="33" t="s">
        <v>475</v>
      </c>
      <c r="AM208" s="33" t="s">
        <v>475</v>
      </c>
      <c r="AN208" s="33" t="s">
        <v>475</v>
      </c>
      <c r="AO208" s="33" t="s">
        <v>475</v>
      </c>
      <c r="AP208" s="23">
        <f>VALUE(0)</f>
        <v>0</v>
      </c>
      <c r="AQ208" s="23">
        <f>VALUE(0)</f>
        <v>0</v>
      </c>
      <c r="AR208" s="23">
        <f>VALUE(0)</f>
        <v>0</v>
      </c>
      <c r="AS208" s="23">
        <f>VALUE(0)</f>
        <v>0</v>
      </c>
      <c r="AT208" s="23">
        <f>VALUE(0)</f>
        <v>0</v>
      </c>
      <c r="AU208" s="23">
        <f>VALUE(0)</f>
        <v>0</v>
      </c>
      <c r="AV208" s="23">
        <f>VALUE(0)</f>
        <v>0</v>
      </c>
      <c r="AW208" s="23">
        <f>VALUE(4)</f>
        <v>4</v>
      </c>
      <c r="AX208" s="23">
        <f>VALUE(0)</f>
        <v>0</v>
      </c>
      <c r="AY208" s="23" t="s">
        <v>476</v>
      </c>
      <c r="AZ208" s="23">
        <f>VALUE(0)</f>
        <v>0</v>
      </c>
      <c r="BA208" s="23">
        <f>VALUE(0)</f>
        <v>0</v>
      </c>
      <c r="BB208" s="23">
        <f>VALUE(0)</f>
        <v>0</v>
      </c>
      <c r="BC208" s="23">
        <f>VALUE(0)</f>
        <v>0</v>
      </c>
      <c r="BD208" s="23">
        <f>VALUE(0)</f>
        <v>0</v>
      </c>
      <c r="BE208" s="23">
        <f>VALUE(0)</f>
        <v>0</v>
      </c>
      <c r="BF208" s="23">
        <f>VALUE(0)</f>
        <v>0</v>
      </c>
      <c r="BG208" s="23">
        <f>VALUE(0)</f>
        <v>0</v>
      </c>
      <c r="BH208" s="23">
        <f>VALUE(0)</f>
        <v>0</v>
      </c>
      <c r="BI208" s="23">
        <f>VALUE(0)</f>
        <v>0</v>
      </c>
      <c r="BJ208" s="23">
        <f>VALUE(0)</f>
        <v>0</v>
      </c>
      <c r="BK208" s="12">
        <f>$AX$208*24</f>
        <v>0</v>
      </c>
      <c r="BL208" s="12">
        <f>$AY$208*24</f>
        <v>5.2833333333333332</v>
      </c>
      <c r="BM208" s="12">
        <f>$BJ$208*24</f>
        <v>0</v>
      </c>
      <c r="BN208" s="12">
        <f>VALUE($I$208)/100</f>
        <v>0.5</v>
      </c>
      <c r="BO208" s="12">
        <v>0</v>
      </c>
      <c r="BP208" s="12">
        <v>0</v>
      </c>
      <c r="BQ208" s="12">
        <v>0</v>
      </c>
      <c r="BR208" s="12">
        <v>0</v>
      </c>
      <c r="BS208" s="12">
        <v>0</v>
      </c>
      <c r="BT208" s="12">
        <v>0</v>
      </c>
      <c r="BU208" s="12">
        <v>0</v>
      </c>
      <c r="BV208" s="12">
        <v>0</v>
      </c>
      <c r="BW208" s="12">
        <v>0</v>
      </c>
      <c r="BX208" s="12">
        <v>0</v>
      </c>
      <c r="BY208" s="12">
        <v>0</v>
      </c>
      <c r="BZ208" s="12">
        <v>0</v>
      </c>
      <c r="CA208" s="12">
        <v>0</v>
      </c>
    </row>
    <row r="209" spans="1:79" ht="15" hidden="1" x14ac:dyDescent="0.25">
      <c r="A209" s="12" t="s">
        <v>127</v>
      </c>
      <c r="B209" s="12" t="s">
        <v>128</v>
      </c>
      <c r="C209" s="12" t="s">
        <v>128</v>
      </c>
      <c r="D209" s="31" t="s">
        <v>262</v>
      </c>
      <c r="E209" s="31" t="s">
        <v>153</v>
      </c>
      <c r="F209" s="31" t="s">
        <v>175</v>
      </c>
      <c r="G209" s="31" t="s">
        <v>153</v>
      </c>
      <c r="H209" s="31" t="s">
        <v>153</v>
      </c>
      <c r="I209" s="31" t="s">
        <v>153</v>
      </c>
      <c r="J209" s="31" t="s">
        <v>153</v>
      </c>
      <c r="K209" s="31" t="s">
        <v>153</v>
      </c>
      <c r="L209" s="31">
        <f>VALUE(0)</f>
        <v>0</v>
      </c>
      <c r="M209" s="31">
        <f>VALUE(0)</f>
        <v>0</v>
      </c>
      <c r="N209" s="31">
        <f>VALUE(0)</f>
        <v>0</v>
      </c>
      <c r="O209" s="31">
        <f>VALUE(0)</f>
        <v>0</v>
      </c>
      <c r="P209" s="31">
        <f>VALUE(0)</f>
        <v>0</v>
      </c>
      <c r="Q209" s="31">
        <f>VALUE(0)</f>
        <v>0</v>
      </c>
      <c r="R209" s="31">
        <f>VALUE(0)</f>
        <v>0</v>
      </c>
      <c r="S209" s="31">
        <f>VALUE(0)</f>
        <v>0</v>
      </c>
      <c r="T209" s="31">
        <f>VALUE(0)</f>
        <v>0</v>
      </c>
      <c r="U209" s="31">
        <f>VALUE(0)</f>
        <v>0</v>
      </c>
      <c r="V209" s="31">
        <f>VALUE(0)</f>
        <v>0</v>
      </c>
      <c r="W209" s="31">
        <f>VALUE(0)</f>
        <v>0</v>
      </c>
      <c r="X209" s="31">
        <f>VALUE(0)</f>
        <v>0</v>
      </c>
      <c r="Y209" s="31">
        <f>VALUE(0)</f>
        <v>0</v>
      </c>
      <c r="Z209" s="31">
        <f>VALUE(0)</f>
        <v>0</v>
      </c>
      <c r="AA209" s="31">
        <f>VALUE(0)</f>
        <v>0</v>
      </c>
      <c r="AB209" s="31">
        <f>VALUE(0)</f>
        <v>0</v>
      </c>
      <c r="AC209" s="31">
        <f>VALUE(0)</f>
        <v>0</v>
      </c>
      <c r="AD209" s="31">
        <f>VALUE(0)</f>
        <v>0</v>
      </c>
      <c r="AE209" s="31">
        <f>VALUE(0)</f>
        <v>0</v>
      </c>
      <c r="AF209" s="31">
        <f>VALUE(0)</f>
        <v>0</v>
      </c>
      <c r="AG209" s="31">
        <f>VALUE(0)</f>
        <v>0</v>
      </c>
      <c r="AH209" s="31">
        <f>VALUE(0)</f>
        <v>0</v>
      </c>
      <c r="AI209" s="31">
        <f>VALUE(0)</f>
        <v>0</v>
      </c>
      <c r="AJ209" s="31">
        <f>VALUE(0)</f>
        <v>0</v>
      </c>
      <c r="AK209" s="31">
        <f>VALUE(0)</f>
        <v>0</v>
      </c>
      <c r="AL209" s="31">
        <f>VALUE(0)</f>
        <v>0</v>
      </c>
      <c r="AM209" s="31">
        <f>VALUE(0)</f>
        <v>0</v>
      </c>
      <c r="AN209" s="31">
        <f>VALUE(0)</f>
        <v>0</v>
      </c>
      <c r="AO209" s="31">
        <f>VALUE(0)</f>
        <v>0</v>
      </c>
      <c r="AP209" s="31">
        <v>0</v>
      </c>
      <c r="AQ209" s="31">
        <v>0</v>
      </c>
      <c r="AR209" s="31">
        <v>0</v>
      </c>
      <c r="AS209" s="31">
        <v>0</v>
      </c>
      <c r="AT209" s="31">
        <v>0</v>
      </c>
      <c r="AU209" s="31">
        <v>0</v>
      </c>
      <c r="AV209" s="31">
        <v>0</v>
      </c>
      <c r="AW209" s="31">
        <v>0</v>
      </c>
      <c r="AX209" s="31">
        <v>0</v>
      </c>
      <c r="AY209" s="31">
        <v>0</v>
      </c>
      <c r="AZ209" s="31">
        <v>0</v>
      </c>
      <c r="BA209" s="31">
        <v>0</v>
      </c>
      <c r="BB209" s="31">
        <v>0</v>
      </c>
      <c r="BC209" s="31">
        <v>0</v>
      </c>
      <c r="BD209" s="31">
        <v>0</v>
      </c>
      <c r="BE209" s="31">
        <v>0</v>
      </c>
      <c r="BF209" s="31">
        <v>0</v>
      </c>
      <c r="BG209" s="31">
        <v>0</v>
      </c>
      <c r="BH209" s="31">
        <v>0</v>
      </c>
      <c r="BI209" s="31">
        <v>0</v>
      </c>
      <c r="BJ209" s="31">
        <v>0</v>
      </c>
      <c r="BK209" s="12">
        <v>0</v>
      </c>
      <c r="BL209" s="12">
        <v>0</v>
      </c>
      <c r="BM209" s="12">
        <v>0</v>
      </c>
      <c r="BN209" s="12"/>
      <c r="BO209" s="12">
        <v>0</v>
      </c>
      <c r="BP209" s="12">
        <v>0</v>
      </c>
      <c r="BQ209" s="12">
        <v>0</v>
      </c>
      <c r="BR209" s="12">
        <v>0</v>
      </c>
      <c r="BS209" s="12">
        <v>0</v>
      </c>
      <c r="BT209" s="12">
        <v>0</v>
      </c>
      <c r="BU209" s="12">
        <v>0</v>
      </c>
      <c r="BV209" s="12">
        <v>0</v>
      </c>
      <c r="BW209" s="12">
        <v>0</v>
      </c>
      <c r="BX209" s="12">
        <v>0</v>
      </c>
      <c r="BY209" s="12">
        <v>0</v>
      </c>
      <c r="BZ209" s="12">
        <v>0</v>
      </c>
      <c r="CA209" s="12">
        <v>0</v>
      </c>
    </row>
    <row r="210" spans="1:79" hidden="1" x14ac:dyDescent="0.2">
      <c r="A210" s="12" t="s">
        <v>127</v>
      </c>
      <c r="B210" s="12" t="s">
        <v>129</v>
      </c>
      <c r="C210" s="12" t="s">
        <v>129</v>
      </c>
      <c r="D210" s="22" t="s">
        <v>477</v>
      </c>
      <c r="E210" s="22" t="s">
        <v>173</v>
      </c>
      <c r="F210" s="22" t="s">
        <v>924</v>
      </c>
      <c r="G210" s="22" t="s">
        <v>925</v>
      </c>
      <c r="H210" s="22" t="s">
        <v>166</v>
      </c>
      <c r="I210" s="22" t="s">
        <v>151</v>
      </c>
      <c r="J210" s="22" t="s">
        <v>162</v>
      </c>
      <c r="K210" s="22" t="s">
        <v>87</v>
      </c>
      <c r="L210" s="54" t="s">
        <v>153</v>
      </c>
      <c r="M210" s="32" t="s">
        <v>188</v>
      </c>
      <c r="N210" s="24" t="s">
        <v>153</v>
      </c>
      <c r="O210" s="32" t="s">
        <v>188</v>
      </c>
      <c r="P210" s="32" t="s">
        <v>188</v>
      </c>
      <c r="Q210" s="32" t="s">
        <v>188</v>
      </c>
      <c r="R210" s="32" t="s">
        <v>188</v>
      </c>
      <c r="S210" s="32" t="s">
        <v>188</v>
      </c>
      <c r="T210" s="32" t="s">
        <v>188</v>
      </c>
      <c r="U210" s="24" t="s">
        <v>153</v>
      </c>
      <c r="V210" s="54" t="s">
        <v>153</v>
      </c>
      <c r="W210" s="32" t="s">
        <v>188</v>
      </c>
      <c r="X210" s="32" t="s">
        <v>188</v>
      </c>
      <c r="Y210" s="32" t="s">
        <v>188</v>
      </c>
      <c r="Z210" s="32" t="s">
        <v>188</v>
      </c>
      <c r="AA210" s="32" t="s">
        <v>188</v>
      </c>
      <c r="AB210" s="24" t="s">
        <v>153</v>
      </c>
      <c r="AC210" s="32" t="s">
        <v>188</v>
      </c>
      <c r="AD210" s="32" t="s">
        <v>188</v>
      </c>
      <c r="AE210" s="32" t="s">
        <v>188</v>
      </c>
      <c r="AF210" s="32" t="s">
        <v>188</v>
      </c>
      <c r="AG210" s="32" t="s">
        <v>188</v>
      </c>
      <c r="AH210" s="32" t="s">
        <v>188</v>
      </c>
      <c r="AI210" s="24" t="s">
        <v>153</v>
      </c>
      <c r="AJ210" s="32" t="s">
        <v>188</v>
      </c>
      <c r="AK210" s="32" t="s">
        <v>188</v>
      </c>
      <c r="AL210" s="32" t="s">
        <v>188</v>
      </c>
      <c r="AM210" s="32" t="s">
        <v>188</v>
      </c>
      <c r="AN210" s="32" t="s">
        <v>188</v>
      </c>
      <c r="AO210" s="32" t="s">
        <v>188</v>
      </c>
      <c r="AP210" s="23">
        <f>VALUE(0)</f>
        <v>0</v>
      </c>
      <c r="AQ210" s="23">
        <f>VALUE(0)</f>
        <v>0</v>
      </c>
      <c r="AR210" s="23">
        <f>VALUE(0)</f>
        <v>0</v>
      </c>
      <c r="AS210" s="23">
        <f>VALUE(0)</f>
        <v>0</v>
      </c>
      <c r="AT210" s="23">
        <f>VALUE(0)</f>
        <v>0</v>
      </c>
      <c r="AU210" s="23">
        <f>VALUE(0)</f>
        <v>0</v>
      </c>
      <c r="AV210" s="23">
        <f>VALUE(0.5)</f>
        <v>0.5</v>
      </c>
      <c r="AW210" s="23">
        <f>VALUE(4)</f>
        <v>4</v>
      </c>
      <c r="AX210" s="23" t="s">
        <v>1255</v>
      </c>
      <c r="AY210" s="23">
        <f>VALUE(0)</f>
        <v>0</v>
      </c>
      <c r="AZ210" s="23">
        <f>VALUE(0)</f>
        <v>0</v>
      </c>
      <c r="BA210" s="23">
        <f>VALUE(0)</f>
        <v>0</v>
      </c>
      <c r="BB210" s="23">
        <f>VALUE(0)</f>
        <v>0</v>
      </c>
      <c r="BC210" s="23">
        <f>VALUE(0)</f>
        <v>0</v>
      </c>
      <c r="BD210" s="23">
        <f>VALUE(0)</f>
        <v>0</v>
      </c>
      <c r="BE210" s="23">
        <f>VALUE(0)</f>
        <v>0</v>
      </c>
      <c r="BF210" s="23">
        <f>VALUE(0)</f>
        <v>0</v>
      </c>
      <c r="BG210" s="23">
        <f>VALUE(0)</f>
        <v>0</v>
      </c>
      <c r="BH210" s="23">
        <f>VALUE(24)</f>
        <v>24</v>
      </c>
      <c r="BI210" s="23">
        <f>VALUE(0)</f>
        <v>0</v>
      </c>
      <c r="BJ210" s="23">
        <f>VALUE(0)</f>
        <v>0</v>
      </c>
      <c r="BK210" s="12">
        <f>$AX$210*24</f>
        <v>8.3833333333333329</v>
      </c>
      <c r="BL210" s="12">
        <f>$AY$210*24</f>
        <v>0</v>
      </c>
      <c r="BM210" s="12">
        <f>$BJ$210*24</f>
        <v>0</v>
      </c>
      <c r="BN210" s="12">
        <f>VALUE($I$210)/100</f>
        <v>1</v>
      </c>
      <c r="BO210" s="12">
        <v>0</v>
      </c>
      <c r="BP210" s="12">
        <v>0</v>
      </c>
      <c r="BQ210" s="12">
        <v>0</v>
      </c>
      <c r="BR210" s="12">
        <v>0</v>
      </c>
      <c r="BS210" s="12">
        <v>0</v>
      </c>
      <c r="BT210" s="12">
        <v>0</v>
      </c>
      <c r="BU210" s="12">
        <v>0</v>
      </c>
      <c r="BV210" s="12">
        <v>0</v>
      </c>
      <c r="BW210" s="12">
        <v>0</v>
      </c>
      <c r="BX210" s="12">
        <v>0</v>
      </c>
      <c r="BY210" s="12">
        <v>0</v>
      </c>
      <c r="BZ210" s="12">
        <v>0</v>
      </c>
      <c r="CA210" s="12">
        <v>0</v>
      </c>
    </row>
    <row r="211" spans="1:79" ht="15" hidden="1" x14ac:dyDescent="0.25">
      <c r="A211" s="12" t="s">
        <v>127</v>
      </c>
      <c r="B211" s="12" t="s">
        <v>129</v>
      </c>
      <c r="C211" s="12" t="s">
        <v>129</v>
      </c>
      <c r="D211" s="31" t="s">
        <v>262</v>
      </c>
      <c r="E211" s="31" t="s">
        <v>153</v>
      </c>
      <c r="F211" s="31" t="s">
        <v>175</v>
      </c>
      <c r="G211" s="31" t="s">
        <v>153</v>
      </c>
      <c r="H211" s="31" t="s">
        <v>153</v>
      </c>
      <c r="I211" s="31" t="s">
        <v>153</v>
      </c>
      <c r="J211" s="31" t="s">
        <v>153</v>
      </c>
      <c r="K211" s="31" t="s">
        <v>153</v>
      </c>
      <c r="L211" s="31">
        <f>VALUE(0)</f>
        <v>0</v>
      </c>
      <c r="M211" s="31">
        <f>VALUE(0)</f>
        <v>0</v>
      </c>
      <c r="N211" s="31">
        <f>VALUE(0)</f>
        <v>0</v>
      </c>
      <c r="O211" s="31">
        <f>VALUE(0)</f>
        <v>0</v>
      </c>
      <c r="P211" s="31">
        <f>VALUE(0)</f>
        <v>0</v>
      </c>
      <c r="Q211" s="31">
        <f>VALUE(0)</f>
        <v>0</v>
      </c>
      <c r="R211" s="31">
        <f>VALUE(0)</f>
        <v>0</v>
      </c>
      <c r="S211" s="31">
        <f>VALUE(0)</f>
        <v>0</v>
      </c>
      <c r="T211" s="31">
        <f>VALUE(0)</f>
        <v>0</v>
      </c>
      <c r="U211" s="31">
        <f>VALUE(0)</f>
        <v>0</v>
      </c>
      <c r="V211" s="31">
        <f>VALUE(0)</f>
        <v>0</v>
      </c>
      <c r="W211" s="31">
        <f>VALUE(0)</f>
        <v>0</v>
      </c>
      <c r="X211" s="31">
        <f>VALUE(0)</f>
        <v>0</v>
      </c>
      <c r="Y211" s="31">
        <f>VALUE(0)</f>
        <v>0</v>
      </c>
      <c r="Z211" s="31">
        <f>VALUE(0)</f>
        <v>0</v>
      </c>
      <c r="AA211" s="31">
        <f>VALUE(0)</f>
        <v>0</v>
      </c>
      <c r="AB211" s="31">
        <f>VALUE(0)</f>
        <v>0</v>
      </c>
      <c r="AC211" s="31">
        <f>VALUE(0)</f>
        <v>0</v>
      </c>
      <c r="AD211" s="31">
        <f>VALUE(0)</f>
        <v>0</v>
      </c>
      <c r="AE211" s="31">
        <f>VALUE(0)</f>
        <v>0</v>
      </c>
      <c r="AF211" s="31">
        <f>VALUE(0)</f>
        <v>0</v>
      </c>
      <c r="AG211" s="31">
        <f>VALUE(0)</f>
        <v>0</v>
      </c>
      <c r="AH211" s="31">
        <f>VALUE(0)</f>
        <v>0</v>
      </c>
      <c r="AI211" s="31">
        <f>VALUE(0)</f>
        <v>0</v>
      </c>
      <c r="AJ211" s="31">
        <f>VALUE(0)</f>
        <v>0</v>
      </c>
      <c r="AK211" s="31">
        <f>VALUE(0)</f>
        <v>0</v>
      </c>
      <c r="AL211" s="31">
        <f>VALUE(0)</f>
        <v>0</v>
      </c>
      <c r="AM211" s="31">
        <f>VALUE(0)</f>
        <v>0</v>
      </c>
      <c r="AN211" s="31">
        <f>VALUE(0)</f>
        <v>0</v>
      </c>
      <c r="AO211" s="31">
        <f>VALUE(0)</f>
        <v>0</v>
      </c>
      <c r="AP211" s="31">
        <v>0</v>
      </c>
      <c r="AQ211" s="31">
        <v>0</v>
      </c>
      <c r="AR211" s="31">
        <v>0</v>
      </c>
      <c r="AS211" s="31">
        <v>0</v>
      </c>
      <c r="AT211" s="31">
        <v>0</v>
      </c>
      <c r="AU211" s="31">
        <v>0</v>
      </c>
      <c r="AV211" s="31">
        <v>0</v>
      </c>
      <c r="AW211" s="31">
        <v>0</v>
      </c>
      <c r="AX211" s="31">
        <v>0</v>
      </c>
      <c r="AY211" s="31">
        <v>0</v>
      </c>
      <c r="AZ211" s="31">
        <v>0</v>
      </c>
      <c r="BA211" s="31">
        <v>0</v>
      </c>
      <c r="BB211" s="31">
        <v>0</v>
      </c>
      <c r="BC211" s="31">
        <v>0</v>
      </c>
      <c r="BD211" s="31">
        <v>0</v>
      </c>
      <c r="BE211" s="31">
        <v>0</v>
      </c>
      <c r="BF211" s="31">
        <v>0</v>
      </c>
      <c r="BG211" s="31">
        <v>0</v>
      </c>
      <c r="BH211" s="31">
        <v>0</v>
      </c>
      <c r="BI211" s="31">
        <v>0</v>
      </c>
      <c r="BJ211" s="31">
        <v>0</v>
      </c>
      <c r="BK211" s="12">
        <v>0</v>
      </c>
      <c r="BL211" s="12">
        <v>0</v>
      </c>
      <c r="BM211" s="12">
        <v>0</v>
      </c>
      <c r="BN211" s="12"/>
      <c r="BO211" s="12">
        <v>0</v>
      </c>
      <c r="BP211" s="12">
        <v>0</v>
      </c>
      <c r="BQ211" s="12">
        <v>0</v>
      </c>
      <c r="BR211" s="12">
        <v>0</v>
      </c>
      <c r="BS211" s="12">
        <v>0</v>
      </c>
      <c r="BT211" s="12">
        <v>0</v>
      </c>
      <c r="BU211" s="12">
        <v>0</v>
      </c>
      <c r="BV211" s="12">
        <v>0</v>
      </c>
      <c r="BW211" s="12">
        <v>0</v>
      </c>
      <c r="BX211" s="12">
        <v>0</v>
      </c>
      <c r="BY211" s="12">
        <v>0</v>
      </c>
      <c r="BZ211" s="12">
        <v>0</v>
      </c>
      <c r="CA211" s="12">
        <v>0</v>
      </c>
    </row>
    <row r="212" spans="1:79" hidden="1" x14ac:dyDescent="0.2">
      <c r="A212" s="12" t="s">
        <v>127</v>
      </c>
      <c r="B212" s="12" t="s">
        <v>130</v>
      </c>
      <c r="C212" s="12" t="s">
        <v>130</v>
      </c>
      <c r="D212" s="22" t="s">
        <v>478</v>
      </c>
      <c r="E212" s="22" t="s">
        <v>173</v>
      </c>
      <c r="F212" s="22" t="s">
        <v>926</v>
      </c>
      <c r="G212" s="22" t="s">
        <v>927</v>
      </c>
      <c r="H212" s="22" t="s">
        <v>150</v>
      </c>
      <c r="I212" s="22" t="s">
        <v>151</v>
      </c>
      <c r="J212" s="22" t="s">
        <v>162</v>
      </c>
      <c r="K212" s="22" t="s">
        <v>88</v>
      </c>
      <c r="L212" s="54" t="s">
        <v>153</v>
      </c>
      <c r="M212" s="33" t="s">
        <v>475</v>
      </c>
      <c r="N212" s="24" t="s">
        <v>153</v>
      </c>
      <c r="O212" s="33" t="s">
        <v>475</v>
      </c>
      <c r="P212" s="33" t="s">
        <v>475</v>
      </c>
      <c r="Q212" s="33" t="s">
        <v>475</v>
      </c>
      <c r="R212" s="33" t="s">
        <v>475</v>
      </c>
      <c r="S212" s="33" t="s">
        <v>475</v>
      </c>
      <c r="T212" s="33" t="s">
        <v>475</v>
      </c>
      <c r="U212" s="24" t="s">
        <v>153</v>
      </c>
      <c r="V212" s="54" t="s">
        <v>156</v>
      </c>
      <c r="W212" s="33" t="s">
        <v>475</v>
      </c>
      <c r="X212" s="33" t="s">
        <v>475</v>
      </c>
      <c r="Y212" s="33" t="s">
        <v>475</v>
      </c>
      <c r="Z212" s="33" t="s">
        <v>475</v>
      </c>
      <c r="AA212" s="33" t="s">
        <v>475</v>
      </c>
      <c r="AB212" s="24" t="s">
        <v>153</v>
      </c>
      <c r="AC212" s="33" t="s">
        <v>475</v>
      </c>
      <c r="AD212" s="33" t="s">
        <v>475</v>
      </c>
      <c r="AE212" s="33" t="s">
        <v>475</v>
      </c>
      <c r="AF212" s="33" t="s">
        <v>475</v>
      </c>
      <c r="AG212" s="33" t="s">
        <v>475</v>
      </c>
      <c r="AH212" s="33" t="s">
        <v>475</v>
      </c>
      <c r="AI212" s="24" t="s">
        <v>153</v>
      </c>
      <c r="AJ212" s="33" t="s">
        <v>475</v>
      </c>
      <c r="AK212" s="33" t="s">
        <v>475</v>
      </c>
      <c r="AL212" s="33" t="s">
        <v>475</v>
      </c>
      <c r="AM212" s="33" t="s">
        <v>475</v>
      </c>
      <c r="AN212" s="33" t="s">
        <v>475</v>
      </c>
      <c r="AO212" s="33" t="s">
        <v>475</v>
      </c>
      <c r="AP212" s="23">
        <f>VALUE(0)</f>
        <v>0</v>
      </c>
      <c r="AQ212" s="23">
        <f>VALUE(0)</f>
        <v>0</v>
      </c>
      <c r="AR212" s="23">
        <f>VALUE(0)</f>
        <v>0</v>
      </c>
      <c r="AS212" s="23">
        <f>VALUE(0)</f>
        <v>0</v>
      </c>
      <c r="AT212" s="23">
        <f>VALUE(0)</f>
        <v>0</v>
      </c>
      <c r="AU212" s="23">
        <f>VALUE(0)</f>
        <v>0</v>
      </c>
      <c r="AV212" s="23">
        <f>VALUE(0)</f>
        <v>0</v>
      </c>
      <c r="AW212" s="23">
        <f>VALUE(5)</f>
        <v>5</v>
      </c>
      <c r="AX212" s="23" t="s">
        <v>1256</v>
      </c>
      <c r="AY212" s="23">
        <f>VALUE(0)</f>
        <v>0</v>
      </c>
      <c r="AZ212" s="23">
        <f>VALUE(0)</f>
        <v>0</v>
      </c>
      <c r="BA212" s="23">
        <f>VALUE(0)</f>
        <v>0</v>
      </c>
      <c r="BB212" s="23">
        <f>VALUE(0)</f>
        <v>0</v>
      </c>
      <c r="BC212" s="23">
        <f>VALUE(0)</f>
        <v>0</v>
      </c>
      <c r="BD212" s="23">
        <f>VALUE(0)</f>
        <v>0</v>
      </c>
      <c r="BE212" s="23">
        <f>VALUE(0)</f>
        <v>0</v>
      </c>
      <c r="BF212" s="23">
        <f>VALUE(0)</f>
        <v>0</v>
      </c>
      <c r="BG212" s="23">
        <f>VALUE(0)</f>
        <v>0</v>
      </c>
      <c r="BH212" s="23">
        <f>VALUE(0)</f>
        <v>0</v>
      </c>
      <c r="BI212" s="23">
        <f>VALUE(0)</f>
        <v>0</v>
      </c>
      <c r="BJ212" s="23">
        <f>VALUE(0)</f>
        <v>0</v>
      </c>
      <c r="BK212" s="12">
        <f>$AX$212*24</f>
        <v>22.5</v>
      </c>
      <c r="BL212" s="12">
        <f>$AY$212*24</f>
        <v>0</v>
      </c>
      <c r="BM212" s="12">
        <f>$BJ$212*24</f>
        <v>0</v>
      </c>
      <c r="BN212" s="12">
        <f>VALUE($I$212)/100</f>
        <v>1</v>
      </c>
      <c r="BO212" s="12">
        <v>0</v>
      </c>
      <c r="BP212" s="12">
        <v>0</v>
      </c>
      <c r="BQ212" s="12">
        <v>0</v>
      </c>
      <c r="BR212" s="12">
        <v>0</v>
      </c>
      <c r="BS212" s="12">
        <v>0</v>
      </c>
      <c r="BT212" s="12">
        <v>0</v>
      </c>
      <c r="BU212" s="12">
        <v>0</v>
      </c>
      <c r="BV212" s="12">
        <v>0</v>
      </c>
      <c r="BW212" s="12">
        <v>0</v>
      </c>
      <c r="BX212" s="12">
        <v>0</v>
      </c>
      <c r="BY212" s="12">
        <v>0</v>
      </c>
      <c r="BZ212" s="12">
        <v>0</v>
      </c>
      <c r="CA212" s="12">
        <v>0</v>
      </c>
    </row>
    <row r="213" spans="1:79" hidden="1" x14ac:dyDescent="0.2">
      <c r="A213" s="12" t="s">
        <v>127</v>
      </c>
      <c r="B213" s="12" t="s">
        <v>130</v>
      </c>
      <c r="C213" s="12" t="s">
        <v>130</v>
      </c>
      <c r="D213" s="22" t="s">
        <v>478</v>
      </c>
      <c r="E213" s="22" t="s">
        <v>173</v>
      </c>
      <c r="F213" s="22" t="s">
        <v>928</v>
      </c>
      <c r="G213" s="22" t="s">
        <v>929</v>
      </c>
      <c r="H213" s="22" t="s">
        <v>150</v>
      </c>
      <c r="I213" s="22" t="s">
        <v>151</v>
      </c>
      <c r="J213" s="22" t="s">
        <v>162</v>
      </c>
      <c r="K213" s="22" t="s">
        <v>88</v>
      </c>
      <c r="L213" s="54" t="s">
        <v>153</v>
      </c>
      <c r="M213" s="33" t="s">
        <v>475</v>
      </c>
      <c r="N213" s="24" t="s">
        <v>153</v>
      </c>
      <c r="O213" s="33" t="s">
        <v>475</v>
      </c>
      <c r="P213" s="33" t="s">
        <v>475</v>
      </c>
      <c r="Q213" s="33" t="s">
        <v>475</v>
      </c>
      <c r="R213" s="33" t="s">
        <v>475</v>
      </c>
      <c r="S213" s="33" t="s">
        <v>475</v>
      </c>
      <c r="T213" s="33" t="s">
        <v>475</v>
      </c>
      <c r="U213" s="24" t="s">
        <v>153</v>
      </c>
      <c r="V213" s="54" t="s">
        <v>153</v>
      </c>
      <c r="W213" s="33" t="s">
        <v>475</v>
      </c>
      <c r="X213" s="33" t="s">
        <v>475</v>
      </c>
      <c r="Y213" s="33" t="s">
        <v>475</v>
      </c>
      <c r="Z213" s="33" t="s">
        <v>475</v>
      </c>
      <c r="AA213" s="33" t="s">
        <v>475</v>
      </c>
      <c r="AB213" s="24" t="s">
        <v>153</v>
      </c>
      <c r="AC213" s="33" t="s">
        <v>475</v>
      </c>
      <c r="AD213" s="33" t="s">
        <v>475</v>
      </c>
      <c r="AE213" s="33" t="s">
        <v>475</v>
      </c>
      <c r="AF213" s="33" t="s">
        <v>475</v>
      </c>
      <c r="AG213" s="33" t="s">
        <v>475</v>
      </c>
      <c r="AH213" s="33" t="s">
        <v>475</v>
      </c>
      <c r="AI213" s="24" t="s">
        <v>153</v>
      </c>
      <c r="AJ213" s="33" t="s">
        <v>475</v>
      </c>
      <c r="AK213" s="33" t="s">
        <v>475</v>
      </c>
      <c r="AL213" s="33" t="s">
        <v>475</v>
      </c>
      <c r="AM213" s="33" t="s">
        <v>475</v>
      </c>
      <c r="AN213" s="33" t="s">
        <v>475</v>
      </c>
      <c r="AO213" s="33" t="s">
        <v>475</v>
      </c>
      <c r="AP213" s="23">
        <f>VALUE(0)</f>
        <v>0</v>
      </c>
      <c r="AQ213" s="23">
        <f>VALUE(0)</f>
        <v>0</v>
      </c>
      <c r="AR213" s="23">
        <f>VALUE(0)</f>
        <v>0</v>
      </c>
      <c r="AS213" s="23">
        <f>VALUE(0)</f>
        <v>0</v>
      </c>
      <c r="AT213" s="23">
        <f>VALUE(0)</f>
        <v>0</v>
      </c>
      <c r="AU213" s="23">
        <f>VALUE(0)</f>
        <v>0</v>
      </c>
      <c r="AV213" s="23">
        <f>VALUE(0)</f>
        <v>0</v>
      </c>
      <c r="AW213" s="23">
        <f>VALUE(0)</f>
        <v>0</v>
      </c>
      <c r="AX213" s="23" t="s">
        <v>171</v>
      </c>
      <c r="AY213" s="23" t="s">
        <v>214</v>
      </c>
      <c r="AZ213" s="23">
        <f>VALUE(0)</f>
        <v>0</v>
      </c>
      <c r="BA213" s="23">
        <f>VALUE(0)</f>
        <v>0</v>
      </c>
      <c r="BB213" s="23">
        <f>VALUE(0)</f>
        <v>0</v>
      </c>
      <c r="BC213" s="23">
        <f>VALUE(0)</f>
        <v>0</v>
      </c>
      <c r="BD213" s="23">
        <f>VALUE(0)</f>
        <v>0</v>
      </c>
      <c r="BE213" s="23">
        <f>VALUE(0)</f>
        <v>0</v>
      </c>
      <c r="BF213" s="23">
        <f>VALUE(0)</f>
        <v>0</v>
      </c>
      <c r="BG213" s="23">
        <f>VALUE(0)</f>
        <v>0</v>
      </c>
      <c r="BH213" s="23">
        <f>VALUE(0)</f>
        <v>0</v>
      </c>
      <c r="BI213" s="23">
        <f>VALUE(0)</f>
        <v>0</v>
      </c>
      <c r="BJ213" s="23">
        <f>VALUE(0)</f>
        <v>0</v>
      </c>
      <c r="BK213" s="12">
        <f>$AX$213*24</f>
        <v>5.833333333333333</v>
      </c>
      <c r="BL213" s="12">
        <f>$AY$213*24</f>
        <v>2.4</v>
      </c>
      <c r="BM213" s="12">
        <f>$BJ$213*24</f>
        <v>0</v>
      </c>
      <c r="BN213" s="12">
        <f>VALUE($I$213)/100</f>
        <v>1</v>
      </c>
      <c r="BO213" s="12">
        <v>0</v>
      </c>
      <c r="BP213" s="12">
        <v>0</v>
      </c>
      <c r="BQ213" s="12">
        <v>0</v>
      </c>
      <c r="BR213" s="12">
        <v>0</v>
      </c>
      <c r="BS213" s="12">
        <v>0</v>
      </c>
      <c r="BT213" s="12">
        <v>0</v>
      </c>
      <c r="BU213" s="12">
        <v>0</v>
      </c>
      <c r="BV213" s="12">
        <v>0</v>
      </c>
      <c r="BW213" s="12">
        <v>0</v>
      </c>
      <c r="BX213" s="12">
        <v>0</v>
      </c>
      <c r="BY213" s="12">
        <v>0</v>
      </c>
      <c r="BZ213" s="12">
        <v>0</v>
      </c>
      <c r="CA213" s="12">
        <v>0</v>
      </c>
    </row>
    <row r="214" spans="1:79" hidden="1" x14ac:dyDescent="0.2">
      <c r="A214" s="12" t="s">
        <v>127</v>
      </c>
      <c r="B214" s="12" t="s">
        <v>130</v>
      </c>
      <c r="C214" s="12" t="s">
        <v>130</v>
      </c>
      <c r="D214" s="22" t="s">
        <v>478</v>
      </c>
      <c r="E214" s="22" t="s">
        <v>173</v>
      </c>
      <c r="F214" s="22" t="s">
        <v>1257</v>
      </c>
      <c r="G214" s="22" t="s">
        <v>930</v>
      </c>
      <c r="H214" s="22" t="s">
        <v>166</v>
      </c>
      <c r="I214" s="22" t="s">
        <v>151</v>
      </c>
      <c r="J214" s="22" t="s">
        <v>162</v>
      </c>
      <c r="K214" s="22" t="s">
        <v>88</v>
      </c>
      <c r="L214" s="54" t="s">
        <v>153</v>
      </c>
      <c r="M214" s="33" t="s">
        <v>475</v>
      </c>
      <c r="N214" s="24" t="s">
        <v>153</v>
      </c>
      <c r="O214" s="33" t="s">
        <v>475</v>
      </c>
      <c r="P214" s="33" t="s">
        <v>475</v>
      </c>
      <c r="Q214" s="33" t="s">
        <v>475</v>
      </c>
      <c r="R214" s="33" t="s">
        <v>475</v>
      </c>
      <c r="S214" s="33" t="s">
        <v>475</v>
      </c>
      <c r="T214" s="33" t="s">
        <v>475</v>
      </c>
      <c r="U214" s="24" t="s">
        <v>153</v>
      </c>
      <c r="V214" s="54" t="s">
        <v>153</v>
      </c>
      <c r="W214" s="33" t="s">
        <v>475</v>
      </c>
      <c r="X214" s="33" t="s">
        <v>475</v>
      </c>
      <c r="Y214" s="33" t="s">
        <v>475</v>
      </c>
      <c r="Z214" s="33" t="s">
        <v>475</v>
      </c>
      <c r="AA214" s="33" t="s">
        <v>475</v>
      </c>
      <c r="AB214" s="24" t="s">
        <v>153</v>
      </c>
      <c r="AC214" s="33" t="s">
        <v>475</v>
      </c>
      <c r="AD214" s="33" t="s">
        <v>475</v>
      </c>
      <c r="AE214" s="33" t="s">
        <v>475</v>
      </c>
      <c r="AF214" s="33" t="s">
        <v>475</v>
      </c>
      <c r="AG214" s="33" t="s">
        <v>475</v>
      </c>
      <c r="AH214" s="33" t="s">
        <v>475</v>
      </c>
      <c r="AI214" s="24" t="s">
        <v>153</v>
      </c>
      <c r="AJ214" s="33" t="s">
        <v>475</v>
      </c>
      <c r="AK214" s="33" t="s">
        <v>475</v>
      </c>
      <c r="AL214" s="33" t="s">
        <v>475</v>
      </c>
      <c r="AM214" s="33" t="s">
        <v>475</v>
      </c>
      <c r="AN214" s="33" t="s">
        <v>475</v>
      </c>
      <c r="AO214" s="33" t="s">
        <v>475</v>
      </c>
      <c r="AP214" s="23">
        <f>VALUE(0)</f>
        <v>0</v>
      </c>
      <c r="AQ214" s="23">
        <f>VALUE(0)</f>
        <v>0</v>
      </c>
      <c r="AR214" s="23">
        <f>VALUE(0)</f>
        <v>0</v>
      </c>
      <c r="AS214" s="23">
        <f>VALUE(0)</f>
        <v>0</v>
      </c>
      <c r="AT214" s="23">
        <f>VALUE(0)</f>
        <v>0</v>
      </c>
      <c r="AU214" s="23">
        <f>VALUE(0)</f>
        <v>0</v>
      </c>
      <c r="AV214" s="23">
        <f>VALUE(0.5)</f>
        <v>0.5</v>
      </c>
      <c r="AW214" s="23">
        <f>VALUE(0)</f>
        <v>0</v>
      </c>
      <c r="AX214" s="23" t="s">
        <v>479</v>
      </c>
      <c r="AY214" s="23">
        <f>VALUE(0)</f>
        <v>0</v>
      </c>
      <c r="AZ214" s="23">
        <f>VALUE(0)</f>
        <v>0</v>
      </c>
      <c r="BA214" s="23">
        <f>VALUE(0)</f>
        <v>0</v>
      </c>
      <c r="BB214" s="23">
        <f>VALUE(0)</f>
        <v>0</v>
      </c>
      <c r="BC214" s="23">
        <f>VALUE(0)</f>
        <v>0</v>
      </c>
      <c r="BD214" s="23">
        <f>VALUE(0)</f>
        <v>0</v>
      </c>
      <c r="BE214" s="23">
        <f>VALUE(0)</f>
        <v>0</v>
      </c>
      <c r="BF214" s="23">
        <f>VALUE(0)</f>
        <v>0</v>
      </c>
      <c r="BG214" s="23">
        <f>VALUE(0)</f>
        <v>0</v>
      </c>
      <c r="BH214" s="23">
        <f>VALUE(0)</f>
        <v>0</v>
      </c>
      <c r="BI214" s="23">
        <f>VALUE(0)</f>
        <v>0</v>
      </c>
      <c r="BJ214" s="23">
        <f>VALUE(0)</f>
        <v>0</v>
      </c>
      <c r="BK214" s="12">
        <f>$AX$214*24</f>
        <v>4.5999999999999996</v>
      </c>
      <c r="BL214" s="12">
        <f>$AY$214*24</f>
        <v>0</v>
      </c>
      <c r="BM214" s="12">
        <f>$BJ$214*24</f>
        <v>0</v>
      </c>
      <c r="BN214" s="12">
        <f>VALUE($I$214)/100</f>
        <v>1</v>
      </c>
      <c r="BO214" s="12">
        <v>0</v>
      </c>
      <c r="BP214" s="12">
        <v>0</v>
      </c>
      <c r="BQ214" s="12">
        <v>0</v>
      </c>
      <c r="BR214" s="12">
        <v>0</v>
      </c>
      <c r="BS214" s="12">
        <v>0</v>
      </c>
      <c r="BT214" s="12">
        <v>0</v>
      </c>
      <c r="BU214" s="12">
        <v>0</v>
      </c>
      <c r="BV214" s="12">
        <v>0</v>
      </c>
      <c r="BW214" s="12">
        <v>0</v>
      </c>
      <c r="BX214" s="12">
        <v>0</v>
      </c>
      <c r="BY214" s="12">
        <v>0</v>
      </c>
      <c r="BZ214" s="12">
        <v>0</v>
      </c>
      <c r="CA214" s="12">
        <v>0</v>
      </c>
    </row>
    <row r="215" spans="1:79" ht="15" hidden="1" x14ac:dyDescent="0.25">
      <c r="A215" s="12" t="s">
        <v>127</v>
      </c>
      <c r="B215" s="12" t="s">
        <v>130</v>
      </c>
      <c r="C215" s="12" t="s">
        <v>130</v>
      </c>
      <c r="D215" s="31" t="s">
        <v>1258</v>
      </c>
      <c r="E215" s="31" t="s">
        <v>153</v>
      </c>
      <c r="F215" s="31" t="s">
        <v>175</v>
      </c>
      <c r="G215" s="31" t="s">
        <v>153</v>
      </c>
      <c r="H215" s="31" t="s">
        <v>153</v>
      </c>
      <c r="I215" s="31" t="s">
        <v>153</v>
      </c>
      <c r="J215" s="31" t="s">
        <v>153</v>
      </c>
      <c r="K215" s="31" t="s">
        <v>153</v>
      </c>
      <c r="L215" s="31">
        <f>VALUE(0)</f>
        <v>0</v>
      </c>
      <c r="M215" s="31">
        <f>VALUE(0)</f>
        <v>0</v>
      </c>
      <c r="N215" s="31">
        <f>VALUE(0)</f>
        <v>0</v>
      </c>
      <c r="O215" s="31">
        <f>VALUE(0)</f>
        <v>0</v>
      </c>
      <c r="P215" s="31">
        <f>VALUE(0)</f>
        <v>0</v>
      </c>
      <c r="Q215" s="31">
        <f>VALUE(0)</f>
        <v>0</v>
      </c>
      <c r="R215" s="31">
        <f>VALUE(0)</f>
        <v>0</v>
      </c>
      <c r="S215" s="31">
        <f>VALUE(0)</f>
        <v>0</v>
      </c>
      <c r="T215" s="31">
        <f>VALUE(0)</f>
        <v>0</v>
      </c>
      <c r="U215" s="31">
        <f>VALUE(0)</f>
        <v>0</v>
      </c>
      <c r="V215" s="31">
        <f>VALUE(0)</f>
        <v>0</v>
      </c>
      <c r="W215" s="31">
        <f>VALUE(0)</f>
        <v>0</v>
      </c>
      <c r="X215" s="31">
        <f>VALUE(0)</f>
        <v>0</v>
      </c>
      <c r="Y215" s="31">
        <f>VALUE(0)</f>
        <v>0</v>
      </c>
      <c r="Z215" s="31">
        <f>VALUE(0)</f>
        <v>0</v>
      </c>
      <c r="AA215" s="31">
        <f>VALUE(0)</f>
        <v>0</v>
      </c>
      <c r="AB215" s="31">
        <f>VALUE(0)</f>
        <v>0</v>
      </c>
      <c r="AC215" s="31">
        <f>VALUE(0)</f>
        <v>0</v>
      </c>
      <c r="AD215" s="31">
        <f>VALUE(0)</f>
        <v>0</v>
      </c>
      <c r="AE215" s="31">
        <f>VALUE(0)</f>
        <v>0</v>
      </c>
      <c r="AF215" s="31">
        <f>VALUE(0)</f>
        <v>0</v>
      </c>
      <c r="AG215" s="31">
        <f>VALUE(0)</f>
        <v>0</v>
      </c>
      <c r="AH215" s="31">
        <f>VALUE(0)</f>
        <v>0</v>
      </c>
      <c r="AI215" s="31">
        <f>VALUE(0)</f>
        <v>0</v>
      </c>
      <c r="AJ215" s="31">
        <f>VALUE(0)</f>
        <v>0</v>
      </c>
      <c r="AK215" s="31">
        <f>VALUE(0)</f>
        <v>0</v>
      </c>
      <c r="AL215" s="31">
        <f>VALUE(0)</f>
        <v>0</v>
      </c>
      <c r="AM215" s="31">
        <f>VALUE(0)</f>
        <v>0</v>
      </c>
      <c r="AN215" s="31">
        <f>VALUE(0)</f>
        <v>0</v>
      </c>
      <c r="AO215" s="31">
        <f>VALUE(0)</f>
        <v>0</v>
      </c>
      <c r="AP215" s="31">
        <v>0</v>
      </c>
      <c r="AQ215" s="31">
        <v>0</v>
      </c>
      <c r="AR215" s="31">
        <v>0</v>
      </c>
      <c r="AS215" s="31">
        <v>0</v>
      </c>
      <c r="AT215" s="31">
        <v>0</v>
      </c>
      <c r="AU215" s="31">
        <v>0</v>
      </c>
      <c r="AV215" s="31">
        <v>0</v>
      </c>
      <c r="AW215" s="31">
        <v>0</v>
      </c>
      <c r="AX215" s="31">
        <v>0</v>
      </c>
      <c r="AY215" s="31">
        <v>0</v>
      </c>
      <c r="AZ215" s="31">
        <v>0</v>
      </c>
      <c r="BA215" s="31">
        <v>0</v>
      </c>
      <c r="BB215" s="31">
        <v>0</v>
      </c>
      <c r="BC215" s="31">
        <v>0</v>
      </c>
      <c r="BD215" s="31">
        <v>0</v>
      </c>
      <c r="BE215" s="31">
        <v>0</v>
      </c>
      <c r="BF215" s="31">
        <v>0</v>
      </c>
      <c r="BG215" s="31">
        <v>0</v>
      </c>
      <c r="BH215" s="31">
        <v>0</v>
      </c>
      <c r="BI215" s="31">
        <v>0</v>
      </c>
      <c r="BJ215" s="31">
        <v>0</v>
      </c>
      <c r="BK215" s="12">
        <v>0</v>
      </c>
      <c r="BL215" s="12">
        <v>0</v>
      </c>
      <c r="BM215" s="12">
        <v>0</v>
      </c>
      <c r="BN215" s="12"/>
      <c r="BO215" s="12">
        <v>0</v>
      </c>
      <c r="BP215" s="12">
        <v>0</v>
      </c>
      <c r="BQ215" s="12">
        <v>0</v>
      </c>
      <c r="BR215" s="12">
        <v>0</v>
      </c>
      <c r="BS215" s="12">
        <v>0</v>
      </c>
      <c r="BT215" s="12">
        <v>0</v>
      </c>
      <c r="BU215" s="12">
        <v>0</v>
      </c>
      <c r="BV215" s="12">
        <v>0</v>
      </c>
      <c r="BW215" s="12">
        <v>0</v>
      </c>
      <c r="BX215" s="12">
        <v>0</v>
      </c>
      <c r="BY215" s="12">
        <v>0</v>
      </c>
      <c r="BZ215" s="12">
        <v>0</v>
      </c>
      <c r="CA215" s="12">
        <v>0</v>
      </c>
    </row>
    <row r="216" spans="1:79" hidden="1" x14ac:dyDescent="0.2">
      <c r="A216" s="12" t="s">
        <v>127</v>
      </c>
      <c r="B216" s="12" t="s">
        <v>131</v>
      </c>
      <c r="C216" s="12" t="s">
        <v>131</v>
      </c>
      <c r="D216" s="22" t="s">
        <v>480</v>
      </c>
      <c r="E216" s="22" t="s">
        <v>173</v>
      </c>
      <c r="F216" s="22" t="s">
        <v>931</v>
      </c>
      <c r="G216" s="22" t="s">
        <v>932</v>
      </c>
      <c r="H216" s="22" t="s">
        <v>150</v>
      </c>
      <c r="I216" s="22" t="s">
        <v>343</v>
      </c>
      <c r="J216" s="22" t="s">
        <v>162</v>
      </c>
      <c r="K216" s="22" t="s">
        <v>89</v>
      </c>
      <c r="L216" s="54" t="s">
        <v>153</v>
      </c>
      <c r="M216" s="33" t="s">
        <v>475</v>
      </c>
      <c r="N216" s="24" t="s">
        <v>153</v>
      </c>
      <c r="O216" s="33" t="s">
        <v>475</v>
      </c>
      <c r="P216" s="33" t="s">
        <v>475</v>
      </c>
      <c r="Q216" s="33" t="s">
        <v>475</v>
      </c>
      <c r="R216" s="33" t="s">
        <v>475</v>
      </c>
      <c r="S216" s="33" t="s">
        <v>475</v>
      </c>
      <c r="T216" s="33" t="s">
        <v>475</v>
      </c>
      <c r="U216" s="24" t="s">
        <v>153</v>
      </c>
      <c r="V216" s="54" t="s">
        <v>153</v>
      </c>
      <c r="W216" s="33" t="s">
        <v>475</v>
      </c>
      <c r="X216" s="33" t="s">
        <v>475</v>
      </c>
      <c r="Y216" s="33" t="s">
        <v>475</v>
      </c>
      <c r="Z216" s="33" t="s">
        <v>475</v>
      </c>
      <c r="AA216" s="33" t="s">
        <v>475</v>
      </c>
      <c r="AB216" s="24" t="s">
        <v>153</v>
      </c>
      <c r="AC216" s="33" t="s">
        <v>475</v>
      </c>
      <c r="AD216" s="33" t="s">
        <v>475</v>
      </c>
      <c r="AE216" s="33" t="s">
        <v>475</v>
      </c>
      <c r="AF216" s="33" t="s">
        <v>475</v>
      </c>
      <c r="AG216" s="33" t="s">
        <v>475</v>
      </c>
      <c r="AH216" s="33" t="s">
        <v>475</v>
      </c>
      <c r="AI216" s="24" t="s">
        <v>153</v>
      </c>
      <c r="AJ216" s="33" t="s">
        <v>475</v>
      </c>
      <c r="AK216" s="33" t="s">
        <v>475</v>
      </c>
      <c r="AL216" s="33" t="s">
        <v>475</v>
      </c>
      <c r="AM216" s="33" t="s">
        <v>475</v>
      </c>
      <c r="AN216" s="33" t="s">
        <v>475</v>
      </c>
      <c r="AO216" s="33" t="s">
        <v>475</v>
      </c>
      <c r="AP216" s="23">
        <f>VALUE(0)</f>
        <v>0</v>
      </c>
      <c r="AQ216" s="23">
        <f>VALUE(0)</f>
        <v>0</v>
      </c>
      <c r="AR216" s="23">
        <f>VALUE(0)</f>
        <v>0</v>
      </c>
      <c r="AS216" s="23">
        <f>VALUE(0)</f>
        <v>0</v>
      </c>
      <c r="AT216" s="23">
        <f>VALUE(0)</f>
        <v>0</v>
      </c>
      <c r="AU216" s="23">
        <f>VALUE(0)</f>
        <v>0</v>
      </c>
      <c r="AV216" s="23">
        <f>VALUE(0)</f>
        <v>0</v>
      </c>
      <c r="AW216" s="23">
        <f>VALUE(0)</f>
        <v>0</v>
      </c>
      <c r="AX216" s="23" t="s">
        <v>481</v>
      </c>
      <c r="AY216" s="23" t="s">
        <v>403</v>
      </c>
      <c r="AZ216" s="23">
        <f>VALUE(0)</f>
        <v>0</v>
      </c>
      <c r="BA216" s="23">
        <f>VALUE(0)</f>
        <v>0</v>
      </c>
      <c r="BB216" s="23">
        <f>VALUE(0)</f>
        <v>0</v>
      </c>
      <c r="BC216" s="23">
        <f>VALUE(0)</f>
        <v>0</v>
      </c>
      <c r="BD216" s="23">
        <f>VALUE(0)</f>
        <v>0</v>
      </c>
      <c r="BE216" s="23">
        <f>VALUE(0)</f>
        <v>0</v>
      </c>
      <c r="BF216" s="23">
        <f>VALUE(0)</f>
        <v>0</v>
      </c>
      <c r="BG216" s="23">
        <f>VALUE(0)</f>
        <v>0</v>
      </c>
      <c r="BH216" s="23">
        <f>VALUE(0)</f>
        <v>0</v>
      </c>
      <c r="BI216" s="23">
        <f>VALUE(0)</f>
        <v>0</v>
      </c>
      <c r="BJ216" s="23">
        <f>VALUE(0)</f>
        <v>0</v>
      </c>
      <c r="BK216" s="12">
        <f>$AX$216*24</f>
        <v>8.1666666666666661</v>
      </c>
      <c r="BL216" s="12">
        <f>$AY$216*24</f>
        <v>2.1</v>
      </c>
      <c r="BM216" s="12">
        <f>$BJ$216*24</f>
        <v>0</v>
      </c>
      <c r="BN216" s="12">
        <f>VALUE($I$216)/100</f>
        <v>0.7</v>
      </c>
      <c r="BO216" s="12">
        <v>0</v>
      </c>
      <c r="BP216" s="12">
        <v>0</v>
      </c>
      <c r="BQ216" s="12">
        <v>0</v>
      </c>
      <c r="BR216" s="12">
        <v>0</v>
      </c>
      <c r="BS216" s="12">
        <v>0</v>
      </c>
      <c r="BT216" s="12">
        <v>0</v>
      </c>
      <c r="BU216" s="12">
        <v>0</v>
      </c>
      <c r="BV216" s="12">
        <v>0</v>
      </c>
      <c r="BW216" s="12">
        <v>0</v>
      </c>
      <c r="BX216" s="12">
        <v>0</v>
      </c>
      <c r="BY216" s="12">
        <v>0</v>
      </c>
      <c r="BZ216" s="12">
        <v>0</v>
      </c>
      <c r="CA216" s="12">
        <v>0</v>
      </c>
    </row>
    <row r="217" spans="1:79" hidden="1" x14ac:dyDescent="0.2">
      <c r="A217" s="12" t="s">
        <v>127</v>
      </c>
      <c r="B217" s="12" t="s">
        <v>131</v>
      </c>
      <c r="C217" s="12" t="s">
        <v>131</v>
      </c>
      <c r="D217" s="22" t="s">
        <v>480</v>
      </c>
      <c r="E217" s="22" t="s">
        <v>173</v>
      </c>
      <c r="F217" s="22" t="s">
        <v>933</v>
      </c>
      <c r="G217" s="22" t="s">
        <v>934</v>
      </c>
      <c r="H217" s="22" t="s">
        <v>150</v>
      </c>
      <c r="I217" s="22" t="s">
        <v>343</v>
      </c>
      <c r="J217" s="22" t="s">
        <v>162</v>
      </c>
      <c r="K217" s="22" t="s">
        <v>89</v>
      </c>
      <c r="L217" s="54" t="s">
        <v>156</v>
      </c>
      <c r="M217" s="33" t="s">
        <v>475</v>
      </c>
      <c r="N217" s="24" t="s">
        <v>153</v>
      </c>
      <c r="O217" s="33" t="s">
        <v>475</v>
      </c>
      <c r="P217" s="33" t="s">
        <v>475</v>
      </c>
      <c r="Q217" s="33" t="s">
        <v>475</v>
      </c>
      <c r="R217" s="33" t="s">
        <v>475</v>
      </c>
      <c r="S217" s="33" t="s">
        <v>475</v>
      </c>
      <c r="T217" s="33" t="s">
        <v>475</v>
      </c>
      <c r="U217" s="24" t="s">
        <v>153</v>
      </c>
      <c r="V217" s="54" t="s">
        <v>153</v>
      </c>
      <c r="W217" s="33" t="s">
        <v>475</v>
      </c>
      <c r="X217" s="33" t="s">
        <v>475</v>
      </c>
      <c r="Y217" s="33" t="s">
        <v>475</v>
      </c>
      <c r="Z217" s="33" t="s">
        <v>475</v>
      </c>
      <c r="AA217" s="33" t="s">
        <v>475</v>
      </c>
      <c r="AB217" s="24" t="s">
        <v>153</v>
      </c>
      <c r="AC217" s="33" t="s">
        <v>475</v>
      </c>
      <c r="AD217" s="33" t="s">
        <v>475</v>
      </c>
      <c r="AE217" s="33" t="s">
        <v>475</v>
      </c>
      <c r="AF217" s="33" t="s">
        <v>475</v>
      </c>
      <c r="AG217" s="33" t="s">
        <v>475</v>
      </c>
      <c r="AH217" s="33" t="s">
        <v>475</v>
      </c>
      <c r="AI217" s="24" t="s">
        <v>153</v>
      </c>
      <c r="AJ217" s="33" t="s">
        <v>475</v>
      </c>
      <c r="AK217" s="33" t="s">
        <v>475</v>
      </c>
      <c r="AL217" s="33" t="s">
        <v>475</v>
      </c>
      <c r="AM217" s="33" t="s">
        <v>475</v>
      </c>
      <c r="AN217" s="33" t="s">
        <v>475</v>
      </c>
      <c r="AO217" s="33" t="s">
        <v>475</v>
      </c>
      <c r="AP217" s="23">
        <f>VALUE(0)</f>
        <v>0</v>
      </c>
      <c r="AQ217" s="23">
        <f>VALUE(0)</f>
        <v>0</v>
      </c>
      <c r="AR217" s="23">
        <f>VALUE(0)</f>
        <v>0</v>
      </c>
      <c r="AS217" s="23">
        <f>VALUE(0)</f>
        <v>0</v>
      </c>
      <c r="AT217" s="23">
        <f>VALUE(0)</f>
        <v>0</v>
      </c>
      <c r="AU217" s="23">
        <f>VALUE(0)</f>
        <v>0</v>
      </c>
      <c r="AV217" s="23">
        <f>VALUE(0)</f>
        <v>0</v>
      </c>
      <c r="AW217" s="23">
        <f>VALUE(0)</f>
        <v>0</v>
      </c>
      <c r="AX217" s="23" t="s">
        <v>1259</v>
      </c>
      <c r="AY217" s="23" t="s">
        <v>482</v>
      </c>
      <c r="AZ217" s="23">
        <f>VALUE(0)</f>
        <v>0</v>
      </c>
      <c r="BA217" s="23">
        <f>VALUE(0)</f>
        <v>0</v>
      </c>
      <c r="BB217" s="23">
        <f>VALUE(0)</f>
        <v>0</v>
      </c>
      <c r="BC217" s="23">
        <f>VALUE(0)</f>
        <v>0</v>
      </c>
      <c r="BD217" s="23">
        <f>VALUE(0)</f>
        <v>0</v>
      </c>
      <c r="BE217" s="23">
        <f>VALUE(0)</f>
        <v>0</v>
      </c>
      <c r="BF217" s="23">
        <f>VALUE(0)</f>
        <v>0</v>
      </c>
      <c r="BG217" s="23">
        <f>VALUE(0)</f>
        <v>0</v>
      </c>
      <c r="BH217" s="23">
        <f>VALUE(0)</f>
        <v>0</v>
      </c>
      <c r="BI217" s="23">
        <f>VALUE(0)</f>
        <v>0</v>
      </c>
      <c r="BJ217" s="23">
        <f>VALUE(0)</f>
        <v>0</v>
      </c>
      <c r="BK217" s="12">
        <f>$AX$217*24</f>
        <v>12.25</v>
      </c>
      <c r="BL217" s="12">
        <f>$AY$217*24</f>
        <v>2.85</v>
      </c>
      <c r="BM217" s="12">
        <f>$BJ$217*24</f>
        <v>0</v>
      </c>
      <c r="BN217" s="12">
        <f>VALUE($I$217)/100</f>
        <v>0.7</v>
      </c>
      <c r="BO217" s="12">
        <v>0</v>
      </c>
      <c r="BP217" s="12">
        <v>0</v>
      </c>
      <c r="BQ217" s="12">
        <v>0</v>
      </c>
      <c r="BR217" s="12">
        <v>0</v>
      </c>
      <c r="BS217" s="12">
        <v>0</v>
      </c>
      <c r="BT217" s="12">
        <v>0</v>
      </c>
      <c r="BU217" s="12">
        <v>0</v>
      </c>
      <c r="BV217" s="12">
        <v>0</v>
      </c>
      <c r="BW217" s="12">
        <v>0</v>
      </c>
      <c r="BX217" s="12">
        <v>0</v>
      </c>
      <c r="BY217" s="12">
        <v>0</v>
      </c>
      <c r="BZ217" s="12">
        <v>0</v>
      </c>
      <c r="CA217" s="12">
        <v>0</v>
      </c>
    </row>
    <row r="218" spans="1:79" hidden="1" x14ac:dyDescent="0.2">
      <c r="A218" s="12" t="s">
        <v>127</v>
      </c>
      <c r="B218" s="12" t="s">
        <v>131</v>
      </c>
      <c r="C218" s="12" t="s">
        <v>131</v>
      </c>
      <c r="D218" s="22" t="s">
        <v>480</v>
      </c>
      <c r="E218" s="22" t="s">
        <v>173</v>
      </c>
      <c r="F218" s="22" t="s">
        <v>935</v>
      </c>
      <c r="G218" s="22" t="s">
        <v>936</v>
      </c>
      <c r="H218" s="22" t="s">
        <v>150</v>
      </c>
      <c r="I218" s="22" t="s">
        <v>343</v>
      </c>
      <c r="J218" s="22" t="s">
        <v>162</v>
      </c>
      <c r="K218" s="22" t="s">
        <v>89</v>
      </c>
      <c r="L218" s="54" t="s">
        <v>156</v>
      </c>
      <c r="M218" s="33" t="s">
        <v>475</v>
      </c>
      <c r="N218" s="24" t="s">
        <v>153</v>
      </c>
      <c r="O218" s="33" t="s">
        <v>475</v>
      </c>
      <c r="P218" s="33" t="s">
        <v>475</v>
      </c>
      <c r="Q218" s="33" t="s">
        <v>475</v>
      </c>
      <c r="R218" s="33" t="s">
        <v>475</v>
      </c>
      <c r="S218" s="33" t="s">
        <v>475</v>
      </c>
      <c r="T218" s="33" t="s">
        <v>475</v>
      </c>
      <c r="U218" s="24" t="s">
        <v>153</v>
      </c>
      <c r="V218" s="54" t="s">
        <v>153</v>
      </c>
      <c r="W218" s="33" t="s">
        <v>475</v>
      </c>
      <c r="X218" s="33" t="s">
        <v>475</v>
      </c>
      <c r="Y218" s="33" t="s">
        <v>475</v>
      </c>
      <c r="Z218" s="33" t="s">
        <v>475</v>
      </c>
      <c r="AA218" s="33" t="s">
        <v>475</v>
      </c>
      <c r="AB218" s="24" t="s">
        <v>153</v>
      </c>
      <c r="AC218" s="33" t="s">
        <v>475</v>
      </c>
      <c r="AD218" s="33" t="s">
        <v>475</v>
      </c>
      <c r="AE218" s="33" t="s">
        <v>475</v>
      </c>
      <c r="AF218" s="33" t="s">
        <v>475</v>
      </c>
      <c r="AG218" s="33" t="s">
        <v>475</v>
      </c>
      <c r="AH218" s="33" t="s">
        <v>475</v>
      </c>
      <c r="AI218" s="24" t="s">
        <v>153</v>
      </c>
      <c r="AJ218" s="33" t="s">
        <v>475</v>
      </c>
      <c r="AK218" s="33" t="s">
        <v>475</v>
      </c>
      <c r="AL218" s="33" t="s">
        <v>475</v>
      </c>
      <c r="AM218" s="33" t="s">
        <v>475</v>
      </c>
      <c r="AN218" s="33" t="s">
        <v>475</v>
      </c>
      <c r="AO218" s="33" t="s">
        <v>475</v>
      </c>
      <c r="AP218" s="23">
        <f>VALUE(0)</f>
        <v>0</v>
      </c>
      <c r="AQ218" s="23">
        <f>VALUE(0)</f>
        <v>0</v>
      </c>
      <c r="AR218" s="23">
        <f>VALUE(0)</f>
        <v>0</v>
      </c>
      <c r="AS218" s="23">
        <f>VALUE(0)</f>
        <v>0</v>
      </c>
      <c r="AT218" s="23">
        <f>VALUE(0)</f>
        <v>0</v>
      </c>
      <c r="AU218" s="23">
        <f>VALUE(0)</f>
        <v>0</v>
      </c>
      <c r="AV218" s="23">
        <f>VALUE(0)</f>
        <v>0</v>
      </c>
      <c r="AW218" s="23">
        <f>VALUE(0)</f>
        <v>0</v>
      </c>
      <c r="AX218" s="23" t="s">
        <v>421</v>
      </c>
      <c r="AY218" s="23">
        <f>VALUE(0)</f>
        <v>0</v>
      </c>
      <c r="AZ218" s="23">
        <f>VALUE(0)</f>
        <v>0</v>
      </c>
      <c r="BA218" s="23">
        <f>VALUE(0)</f>
        <v>0</v>
      </c>
      <c r="BB218" s="23">
        <f>VALUE(0)</f>
        <v>0</v>
      </c>
      <c r="BC218" s="23">
        <f>VALUE(0)</f>
        <v>0</v>
      </c>
      <c r="BD218" s="23">
        <f>VALUE(0)</f>
        <v>0</v>
      </c>
      <c r="BE218" s="23">
        <f>VALUE(0)</f>
        <v>0</v>
      </c>
      <c r="BF218" s="23">
        <f>VALUE(0)</f>
        <v>0</v>
      </c>
      <c r="BG218" s="23">
        <f>VALUE(0)</f>
        <v>0</v>
      </c>
      <c r="BH218" s="23">
        <f>VALUE(0)</f>
        <v>0</v>
      </c>
      <c r="BI218" s="23">
        <f>VALUE(0)</f>
        <v>0</v>
      </c>
      <c r="BJ218" s="23">
        <f>VALUE(0)</f>
        <v>0</v>
      </c>
      <c r="BK218" s="12">
        <f>$AX$218*24</f>
        <v>5.85</v>
      </c>
      <c r="BL218" s="12">
        <f>$AY$218*24</f>
        <v>0</v>
      </c>
      <c r="BM218" s="12">
        <f>$BJ$218*24</f>
        <v>0</v>
      </c>
      <c r="BN218" s="12">
        <f>VALUE($I$218)/100</f>
        <v>0.7</v>
      </c>
      <c r="BO218" s="12">
        <v>0</v>
      </c>
      <c r="BP218" s="12">
        <v>0</v>
      </c>
      <c r="BQ218" s="12">
        <v>0</v>
      </c>
      <c r="BR218" s="12">
        <v>0</v>
      </c>
      <c r="BS218" s="12">
        <v>0</v>
      </c>
      <c r="BT218" s="12">
        <v>0</v>
      </c>
      <c r="BU218" s="12">
        <v>0</v>
      </c>
      <c r="BV218" s="12">
        <v>0</v>
      </c>
      <c r="BW218" s="12">
        <v>0</v>
      </c>
      <c r="BX218" s="12">
        <v>0</v>
      </c>
      <c r="BY218" s="12">
        <v>0</v>
      </c>
      <c r="BZ218" s="12">
        <v>0</v>
      </c>
      <c r="CA218" s="12">
        <v>0</v>
      </c>
    </row>
    <row r="219" spans="1:79" hidden="1" x14ac:dyDescent="0.2">
      <c r="A219" s="12" t="s">
        <v>127</v>
      </c>
      <c r="B219" s="12" t="s">
        <v>131</v>
      </c>
      <c r="C219" s="12" t="s">
        <v>131</v>
      </c>
      <c r="D219" s="22" t="s">
        <v>480</v>
      </c>
      <c r="E219" s="22" t="s">
        <v>173</v>
      </c>
      <c r="F219" s="22" t="s">
        <v>937</v>
      </c>
      <c r="G219" s="22" t="s">
        <v>938</v>
      </c>
      <c r="H219" s="22" t="s">
        <v>166</v>
      </c>
      <c r="I219" s="22" t="s">
        <v>343</v>
      </c>
      <c r="J219" s="22" t="s">
        <v>162</v>
      </c>
      <c r="K219" s="22" t="s">
        <v>89</v>
      </c>
      <c r="L219" s="54" t="s">
        <v>153</v>
      </c>
      <c r="M219" s="33" t="s">
        <v>475</v>
      </c>
      <c r="N219" s="24" t="s">
        <v>153</v>
      </c>
      <c r="O219" s="33" t="s">
        <v>475</v>
      </c>
      <c r="P219" s="33" t="s">
        <v>475</v>
      </c>
      <c r="Q219" s="33" t="s">
        <v>475</v>
      </c>
      <c r="R219" s="33" t="s">
        <v>475</v>
      </c>
      <c r="S219" s="33" t="s">
        <v>475</v>
      </c>
      <c r="T219" s="33" t="s">
        <v>475</v>
      </c>
      <c r="U219" s="24" t="s">
        <v>153</v>
      </c>
      <c r="V219" s="54" t="s">
        <v>153</v>
      </c>
      <c r="W219" s="33" t="s">
        <v>475</v>
      </c>
      <c r="X219" s="33" t="s">
        <v>475</v>
      </c>
      <c r="Y219" s="33" t="s">
        <v>475</v>
      </c>
      <c r="Z219" s="33" t="s">
        <v>475</v>
      </c>
      <c r="AA219" s="33" t="s">
        <v>475</v>
      </c>
      <c r="AB219" s="24" t="s">
        <v>153</v>
      </c>
      <c r="AC219" s="33" t="s">
        <v>475</v>
      </c>
      <c r="AD219" s="33" t="s">
        <v>475</v>
      </c>
      <c r="AE219" s="33" t="s">
        <v>475</v>
      </c>
      <c r="AF219" s="33" t="s">
        <v>475</v>
      </c>
      <c r="AG219" s="33" t="s">
        <v>475</v>
      </c>
      <c r="AH219" s="33" t="s">
        <v>475</v>
      </c>
      <c r="AI219" s="24" t="s">
        <v>153</v>
      </c>
      <c r="AJ219" s="33" t="s">
        <v>475</v>
      </c>
      <c r="AK219" s="33" t="s">
        <v>475</v>
      </c>
      <c r="AL219" s="33" t="s">
        <v>475</v>
      </c>
      <c r="AM219" s="33" t="s">
        <v>475</v>
      </c>
      <c r="AN219" s="33" t="s">
        <v>475</v>
      </c>
      <c r="AO219" s="33" t="s">
        <v>475</v>
      </c>
      <c r="AP219" s="23">
        <f>VALUE(0)</f>
        <v>0</v>
      </c>
      <c r="AQ219" s="23">
        <f>VALUE(0)</f>
        <v>0</v>
      </c>
      <c r="AR219" s="23">
        <f>VALUE(0)</f>
        <v>0</v>
      </c>
      <c r="AS219" s="23">
        <f>VALUE(0)</f>
        <v>0</v>
      </c>
      <c r="AT219" s="23">
        <f>VALUE(0)</f>
        <v>0</v>
      </c>
      <c r="AU219" s="23">
        <f>VALUE(0)</f>
        <v>0</v>
      </c>
      <c r="AV219" s="23">
        <f>VALUE(0)</f>
        <v>0</v>
      </c>
      <c r="AW219" s="23">
        <f>VALUE(0)</f>
        <v>0</v>
      </c>
      <c r="AX219" s="23" t="s">
        <v>483</v>
      </c>
      <c r="AY219" s="23">
        <f>VALUE(0)</f>
        <v>0</v>
      </c>
      <c r="AZ219" s="23">
        <f>VALUE(0)</f>
        <v>0</v>
      </c>
      <c r="BA219" s="23">
        <f>VALUE(0)</f>
        <v>0</v>
      </c>
      <c r="BB219" s="23">
        <f>VALUE(0)</f>
        <v>0</v>
      </c>
      <c r="BC219" s="23">
        <f>VALUE(0)</f>
        <v>0</v>
      </c>
      <c r="BD219" s="23">
        <f>VALUE(0)</f>
        <v>0</v>
      </c>
      <c r="BE219" s="23">
        <f>VALUE(0)</f>
        <v>0</v>
      </c>
      <c r="BF219" s="23">
        <f>VALUE(0)</f>
        <v>0</v>
      </c>
      <c r="BG219" s="23">
        <f>VALUE(0)</f>
        <v>0</v>
      </c>
      <c r="BH219" s="23">
        <f>VALUE(0)</f>
        <v>0</v>
      </c>
      <c r="BI219" s="23">
        <f>VALUE(0)</f>
        <v>0</v>
      </c>
      <c r="BJ219" s="23">
        <f>VALUE(0)</f>
        <v>0</v>
      </c>
      <c r="BK219" s="12">
        <f>$AX$219*24</f>
        <v>4.7333333333333334</v>
      </c>
      <c r="BL219" s="12">
        <f>$AY$219*24</f>
        <v>0</v>
      </c>
      <c r="BM219" s="12">
        <f>$BJ$219*24</f>
        <v>0</v>
      </c>
      <c r="BN219" s="12">
        <f>VALUE($I$219)/100</f>
        <v>0.7</v>
      </c>
      <c r="BO219" s="12">
        <v>0</v>
      </c>
      <c r="BP219" s="12">
        <v>0</v>
      </c>
      <c r="BQ219" s="12">
        <v>0</v>
      </c>
      <c r="BR219" s="12">
        <v>0</v>
      </c>
      <c r="BS219" s="12">
        <v>0</v>
      </c>
      <c r="BT219" s="12">
        <v>0</v>
      </c>
      <c r="BU219" s="12">
        <v>0</v>
      </c>
      <c r="BV219" s="12">
        <v>0</v>
      </c>
      <c r="BW219" s="12">
        <v>0</v>
      </c>
      <c r="BX219" s="12">
        <v>0</v>
      </c>
      <c r="BY219" s="12">
        <v>0</v>
      </c>
      <c r="BZ219" s="12">
        <v>0</v>
      </c>
      <c r="CA219" s="12">
        <v>0</v>
      </c>
    </row>
    <row r="220" spans="1:79" hidden="1" x14ac:dyDescent="0.2">
      <c r="A220" s="12" t="s">
        <v>127</v>
      </c>
      <c r="B220" s="12" t="s">
        <v>131</v>
      </c>
      <c r="C220" s="12" t="s">
        <v>131</v>
      </c>
      <c r="D220" s="22" t="s">
        <v>480</v>
      </c>
      <c r="E220" s="22" t="s">
        <v>173</v>
      </c>
      <c r="F220" s="22" t="s">
        <v>939</v>
      </c>
      <c r="G220" s="22" t="s">
        <v>940</v>
      </c>
      <c r="H220" s="22" t="s">
        <v>166</v>
      </c>
      <c r="I220" s="22" t="s">
        <v>343</v>
      </c>
      <c r="J220" s="22" t="s">
        <v>162</v>
      </c>
      <c r="K220" s="22" t="s">
        <v>89</v>
      </c>
      <c r="L220" s="54" t="s">
        <v>153</v>
      </c>
      <c r="M220" s="33" t="s">
        <v>475</v>
      </c>
      <c r="N220" s="24" t="s">
        <v>153</v>
      </c>
      <c r="O220" s="33" t="s">
        <v>475</v>
      </c>
      <c r="P220" s="33" t="s">
        <v>475</v>
      </c>
      <c r="Q220" s="33" t="s">
        <v>475</v>
      </c>
      <c r="R220" s="33" t="s">
        <v>475</v>
      </c>
      <c r="S220" s="33" t="s">
        <v>475</v>
      </c>
      <c r="T220" s="33" t="s">
        <v>475</v>
      </c>
      <c r="U220" s="24" t="s">
        <v>153</v>
      </c>
      <c r="V220" s="54" t="s">
        <v>153</v>
      </c>
      <c r="W220" s="33" t="s">
        <v>475</v>
      </c>
      <c r="X220" s="33" t="s">
        <v>475</v>
      </c>
      <c r="Y220" s="33" t="s">
        <v>475</v>
      </c>
      <c r="Z220" s="33" t="s">
        <v>475</v>
      </c>
      <c r="AA220" s="33" t="s">
        <v>475</v>
      </c>
      <c r="AB220" s="24" t="s">
        <v>153</v>
      </c>
      <c r="AC220" s="33" t="s">
        <v>475</v>
      </c>
      <c r="AD220" s="33" t="s">
        <v>475</v>
      </c>
      <c r="AE220" s="33" t="s">
        <v>475</v>
      </c>
      <c r="AF220" s="33" t="s">
        <v>475</v>
      </c>
      <c r="AG220" s="33" t="s">
        <v>475</v>
      </c>
      <c r="AH220" s="33" t="s">
        <v>475</v>
      </c>
      <c r="AI220" s="24" t="s">
        <v>153</v>
      </c>
      <c r="AJ220" s="33" t="s">
        <v>475</v>
      </c>
      <c r="AK220" s="33" t="s">
        <v>475</v>
      </c>
      <c r="AL220" s="33" t="s">
        <v>475</v>
      </c>
      <c r="AM220" s="33" t="s">
        <v>475</v>
      </c>
      <c r="AN220" s="33" t="s">
        <v>475</v>
      </c>
      <c r="AO220" s="33" t="s">
        <v>475</v>
      </c>
      <c r="AP220" s="23">
        <f>VALUE(0)</f>
        <v>0</v>
      </c>
      <c r="AQ220" s="23">
        <f>VALUE(0)</f>
        <v>0</v>
      </c>
      <c r="AR220" s="23">
        <f>VALUE(0)</f>
        <v>0</v>
      </c>
      <c r="AS220" s="23">
        <f>VALUE(0)</f>
        <v>0</v>
      </c>
      <c r="AT220" s="23">
        <f>VALUE(0)</f>
        <v>0</v>
      </c>
      <c r="AU220" s="23">
        <f>VALUE(0)</f>
        <v>0</v>
      </c>
      <c r="AV220" s="23">
        <f>VALUE(0)</f>
        <v>0</v>
      </c>
      <c r="AW220" s="23">
        <f>VALUE(0)</f>
        <v>0</v>
      </c>
      <c r="AX220" s="23" t="s">
        <v>403</v>
      </c>
      <c r="AY220" s="23">
        <f>VALUE(0)</f>
        <v>0</v>
      </c>
      <c r="AZ220" s="23">
        <f>VALUE(0)</f>
        <v>0</v>
      </c>
      <c r="BA220" s="23">
        <f>VALUE(0)</f>
        <v>0</v>
      </c>
      <c r="BB220" s="23">
        <f>VALUE(0)</f>
        <v>0</v>
      </c>
      <c r="BC220" s="23">
        <f>VALUE(0)</f>
        <v>0</v>
      </c>
      <c r="BD220" s="23">
        <f>VALUE(0)</f>
        <v>0</v>
      </c>
      <c r="BE220" s="23">
        <f>VALUE(0)</f>
        <v>0</v>
      </c>
      <c r="BF220" s="23">
        <f>VALUE(0)</f>
        <v>0</v>
      </c>
      <c r="BG220" s="23">
        <f>VALUE(0)</f>
        <v>0</v>
      </c>
      <c r="BH220" s="23">
        <f>VALUE(0)</f>
        <v>0</v>
      </c>
      <c r="BI220" s="23">
        <f>VALUE(0)</f>
        <v>0</v>
      </c>
      <c r="BJ220" s="23">
        <f>VALUE(0)</f>
        <v>0</v>
      </c>
      <c r="BK220" s="12">
        <f>$AX$220*24</f>
        <v>2.1</v>
      </c>
      <c r="BL220" s="12">
        <f>$AY$220*24</f>
        <v>0</v>
      </c>
      <c r="BM220" s="12">
        <f>$BJ$220*24</f>
        <v>0</v>
      </c>
      <c r="BN220" s="12">
        <f>VALUE($I$220)/100</f>
        <v>0.7</v>
      </c>
      <c r="BO220" s="12">
        <v>0</v>
      </c>
      <c r="BP220" s="12">
        <v>0</v>
      </c>
      <c r="BQ220" s="12">
        <v>0</v>
      </c>
      <c r="BR220" s="12">
        <v>0</v>
      </c>
      <c r="BS220" s="12">
        <v>0</v>
      </c>
      <c r="BT220" s="12">
        <v>0</v>
      </c>
      <c r="BU220" s="12">
        <v>0</v>
      </c>
      <c r="BV220" s="12">
        <v>0</v>
      </c>
      <c r="BW220" s="12">
        <v>0</v>
      </c>
      <c r="BX220" s="12">
        <v>0</v>
      </c>
      <c r="BY220" s="12">
        <v>0</v>
      </c>
      <c r="BZ220" s="12">
        <v>0</v>
      </c>
      <c r="CA220" s="12">
        <v>0</v>
      </c>
    </row>
    <row r="221" spans="1:79" hidden="1" x14ac:dyDescent="0.2">
      <c r="A221" s="12" t="s">
        <v>127</v>
      </c>
      <c r="B221" s="12" t="s">
        <v>131</v>
      </c>
      <c r="C221" s="12" t="s">
        <v>131</v>
      </c>
      <c r="D221" s="22" t="s">
        <v>480</v>
      </c>
      <c r="E221" s="22" t="s">
        <v>173</v>
      </c>
      <c r="F221" s="22" t="s">
        <v>941</v>
      </c>
      <c r="G221" s="22" t="s">
        <v>942</v>
      </c>
      <c r="H221" s="22" t="s">
        <v>166</v>
      </c>
      <c r="I221" s="22" t="s">
        <v>343</v>
      </c>
      <c r="J221" s="22" t="s">
        <v>162</v>
      </c>
      <c r="K221" s="22" t="s">
        <v>89</v>
      </c>
      <c r="L221" s="54" t="s">
        <v>153</v>
      </c>
      <c r="M221" s="33" t="s">
        <v>475</v>
      </c>
      <c r="N221" s="24" t="s">
        <v>153</v>
      </c>
      <c r="O221" s="33" t="s">
        <v>475</v>
      </c>
      <c r="P221" s="33" t="s">
        <v>475</v>
      </c>
      <c r="Q221" s="33" t="s">
        <v>475</v>
      </c>
      <c r="R221" s="33" t="s">
        <v>475</v>
      </c>
      <c r="S221" s="33" t="s">
        <v>475</v>
      </c>
      <c r="T221" s="33" t="s">
        <v>475</v>
      </c>
      <c r="U221" s="24" t="s">
        <v>153</v>
      </c>
      <c r="V221" s="54" t="s">
        <v>153</v>
      </c>
      <c r="W221" s="33" t="s">
        <v>475</v>
      </c>
      <c r="X221" s="33" t="s">
        <v>475</v>
      </c>
      <c r="Y221" s="33" t="s">
        <v>475</v>
      </c>
      <c r="Z221" s="33" t="s">
        <v>475</v>
      </c>
      <c r="AA221" s="33" t="s">
        <v>475</v>
      </c>
      <c r="AB221" s="24" t="s">
        <v>153</v>
      </c>
      <c r="AC221" s="33" t="s">
        <v>475</v>
      </c>
      <c r="AD221" s="33" t="s">
        <v>475</v>
      </c>
      <c r="AE221" s="33" t="s">
        <v>475</v>
      </c>
      <c r="AF221" s="33" t="s">
        <v>475</v>
      </c>
      <c r="AG221" s="33" t="s">
        <v>475</v>
      </c>
      <c r="AH221" s="33" t="s">
        <v>475</v>
      </c>
      <c r="AI221" s="24" t="s">
        <v>153</v>
      </c>
      <c r="AJ221" s="33" t="s">
        <v>475</v>
      </c>
      <c r="AK221" s="33" t="s">
        <v>475</v>
      </c>
      <c r="AL221" s="33" t="s">
        <v>475</v>
      </c>
      <c r="AM221" s="33" t="s">
        <v>475</v>
      </c>
      <c r="AN221" s="33" t="s">
        <v>475</v>
      </c>
      <c r="AO221" s="33" t="s">
        <v>475</v>
      </c>
      <c r="AP221" s="23">
        <f>VALUE(0)</f>
        <v>0</v>
      </c>
      <c r="AQ221" s="23">
        <f>VALUE(0)</f>
        <v>0</v>
      </c>
      <c r="AR221" s="23">
        <f>VALUE(0)</f>
        <v>0</v>
      </c>
      <c r="AS221" s="23">
        <f>VALUE(0)</f>
        <v>0</v>
      </c>
      <c r="AT221" s="23">
        <f>VALUE(0)</f>
        <v>0</v>
      </c>
      <c r="AU221" s="23">
        <f>VALUE(0)</f>
        <v>0</v>
      </c>
      <c r="AV221" s="23">
        <f>VALUE(0)</f>
        <v>0</v>
      </c>
      <c r="AW221" s="23">
        <f>VALUE(0)</f>
        <v>0</v>
      </c>
      <c r="AX221" s="23" t="s">
        <v>484</v>
      </c>
      <c r="AY221" s="23">
        <f>VALUE(0)</f>
        <v>0</v>
      </c>
      <c r="AZ221" s="23">
        <f>VALUE(0)</f>
        <v>0</v>
      </c>
      <c r="BA221" s="23">
        <f>VALUE(0)</f>
        <v>0</v>
      </c>
      <c r="BB221" s="23">
        <f>VALUE(0)</f>
        <v>0</v>
      </c>
      <c r="BC221" s="23">
        <f>VALUE(0)</f>
        <v>0</v>
      </c>
      <c r="BD221" s="23">
        <f>VALUE(0)</f>
        <v>0</v>
      </c>
      <c r="BE221" s="23">
        <f>VALUE(0)</f>
        <v>0</v>
      </c>
      <c r="BF221" s="23">
        <f>VALUE(0)</f>
        <v>0</v>
      </c>
      <c r="BG221" s="23">
        <f>VALUE(0)</f>
        <v>0</v>
      </c>
      <c r="BH221" s="23">
        <f>VALUE(0)</f>
        <v>0</v>
      </c>
      <c r="BI221" s="23">
        <f>VALUE(0)</f>
        <v>0</v>
      </c>
      <c r="BJ221" s="23">
        <f>VALUE(0)</f>
        <v>0</v>
      </c>
      <c r="BK221" s="12">
        <f>$AX$221*24</f>
        <v>12.75</v>
      </c>
      <c r="BL221" s="12">
        <f>$AY$221*24</f>
        <v>0</v>
      </c>
      <c r="BM221" s="12">
        <f>$BJ$221*24</f>
        <v>0</v>
      </c>
      <c r="BN221" s="12">
        <f>VALUE($I$221)/100</f>
        <v>0.7</v>
      </c>
      <c r="BO221" s="12">
        <v>0</v>
      </c>
      <c r="BP221" s="12">
        <v>0</v>
      </c>
      <c r="BQ221" s="12">
        <v>0</v>
      </c>
      <c r="BR221" s="12">
        <v>0</v>
      </c>
      <c r="BS221" s="12">
        <v>0</v>
      </c>
      <c r="BT221" s="12">
        <v>0</v>
      </c>
      <c r="BU221" s="12">
        <v>0</v>
      </c>
      <c r="BV221" s="12">
        <v>0</v>
      </c>
      <c r="BW221" s="12">
        <v>0</v>
      </c>
      <c r="BX221" s="12">
        <v>0</v>
      </c>
      <c r="BY221" s="12">
        <v>0</v>
      </c>
      <c r="BZ221" s="12">
        <v>0</v>
      </c>
      <c r="CA221" s="12">
        <v>0</v>
      </c>
    </row>
    <row r="222" spans="1:79" hidden="1" x14ac:dyDescent="0.2">
      <c r="A222" s="12" t="s">
        <v>127</v>
      </c>
      <c r="B222" s="12" t="s">
        <v>131</v>
      </c>
      <c r="C222" s="12" t="s">
        <v>131</v>
      </c>
      <c r="D222" s="22" t="s">
        <v>480</v>
      </c>
      <c r="E222" s="22" t="s">
        <v>173</v>
      </c>
      <c r="F222" s="22" t="s">
        <v>943</v>
      </c>
      <c r="G222" s="22" t="s">
        <v>944</v>
      </c>
      <c r="H222" s="22" t="s">
        <v>150</v>
      </c>
      <c r="I222" s="22" t="s">
        <v>343</v>
      </c>
      <c r="J222" s="22" t="s">
        <v>162</v>
      </c>
      <c r="K222" s="22" t="s">
        <v>89</v>
      </c>
      <c r="L222" s="54" t="s">
        <v>153</v>
      </c>
      <c r="M222" s="33" t="s">
        <v>475</v>
      </c>
      <c r="N222" s="24" t="s">
        <v>153</v>
      </c>
      <c r="O222" s="33" t="s">
        <v>475</v>
      </c>
      <c r="P222" s="33" t="s">
        <v>475</v>
      </c>
      <c r="Q222" s="33" t="s">
        <v>475</v>
      </c>
      <c r="R222" s="33" t="s">
        <v>475</v>
      </c>
      <c r="S222" s="33" t="s">
        <v>475</v>
      </c>
      <c r="T222" s="33" t="s">
        <v>475</v>
      </c>
      <c r="U222" s="24" t="s">
        <v>153</v>
      </c>
      <c r="V222" s="54" t="s">
        <v>153</v>
      </c>
      <c r="W222" s="33" t="s">
        <v>475</v>
      </c>
      <c r="X222" s="33" t="s">
        <v>475</v>
      </c>
      <c r="Y222" s="33" t="s">
        <v>475</v>
      </c>
      <c r="Z222" s="33" t="s">
        <v>475</v>
      </c>
      <c r="AA222" s="33" t="s">
        <v>475</v>
      </c>
      <c r="AB222" s="24" t="s">
        <v>153</v>
      </c>
      <c r="AC222" s="33" t="s">
        <v>475</v>
      </c>
      <c r="AD222" s="33" t="s">
        <v>475</v>
      </c>
      <c r="AE222" s="33" t="s">
        <v>475</v>
      </c>
      <c r="AF222" s="33" t="s">
        <v>475</v>
      </c>
      <c r="AG222" s="33" t="s">
        <v>475</v>
      </c>
      <c r="AH222" s="33" t="s">
        <v>475</v>
      </c>
      <c r="AI222" s="24" t="s">
        <v>153</v>
      </c>
      <c r="AJ222" s="33" t="s">
        <v>475</v>
      </c>
      <c r="AK222" s="33" t="s">
        <v>475</v>
      </c>
      <c r="AL222" s="33" t="s">
        <v>475</v>
      </c>
      <c r="AM222" s="33" t="s">
        <v>475</v>
      </c>
      <c r="AN222" s="33" t="s">
        <v>475</v>
      </c>
      <c r="AO222" s="33" t="s">
        <v>475</v>
      </c>
      <c r="AP222" s="23">
        <f>VALUE(0)</f>
        <v>0</v>
      </c>
      <c r="AQ222" s="23">
        <f>VALUE(0)</f>
        <v>0</v>
      </c>
      <c r="AR222" s="23">
        <f>VALUE(0)</f>
        <v>0</v>
      </c>
      <c r="AS222" s="23">
        <f>VALUE(0)</f>
        <v>0</v>
      </c>
      <c r="AT222" s="23">
        <f>VALUE(0)</f>
        <v>0</v>
      </c>
      <c r="AU222" s="23">
        <f>VALUE(0)</f>
        <v>0</v>
      </c>
      <c r="AV222" s="23">
        <f>VALUE(0)</f>
        <v>0</v>
      </c>
      <c r="AW222" s="23">
        <f>VALUE(0)</f>
        <v>0</v>
      </c>
      <c r="AX222" s="23" t="s">
        <v>309</v>
      </c>
      <c r="AY222" s="23" t="s">
        <v>485</v>
      </c>
      <c r="AZ222" s="23">
        <f>VALUE(0)</f>
        <v>0</v>
      </c>
      <c r="BA222" s="23">
        <f>VALUE(0)</f>
        <v>0</v>
      </c>
      <c r="BB222" s="23">
        <f>VALUE(0)</f>
        <v>0</v>
      </c>
      <c r="BC222" s="23">
        <f>VALUE(0)</f>
        <v>0</v>
      </c>
      <c r="BD222" s="23">
        <f>VALUE(0)</f>
        <v>0</v>
      </c>
      <c r="BE222" s="23">
        <f>VALUE(0)</f>
        <v>0</v>
      </c>
      <c r="BF222" s="23">
        <f>VALUE(0)</f>
        <v>0</v>
      </c>
      <c r="BG222" s="23">
        <f>VALUE(0)</f>
        <v>0</v>
      </c>
      <c r="BH222" s="23">
        <f>VALUE(0)</f>
        <v>0</v>
      </c>
      <c r="BI222" s="23">
        <f>VALUE(0)</f>
        <v>0</v>
      </c>
      <c r="BJ222" s="23">
        <f>VALUE(0)</f>
        <v>0</v>
      </c>
      <c r="BK222" s="12">
        <f>$AX$222*24</f>
        <v>4.583333333333333</v>
      </c>
      <c r="BL222" s="12">
        <f>$AY$222*24</f>
        <v>3.8333333333333339</v>
      </c>
      <c r="BM222" s="12">
        <f>$BJ$222*24</f>
        <v>0</v>
      </c>
      <c r="BN222" s="12">
        <f>VALUE($I$222)/100</f>
        <v>0.7</v>
      </c>
      <c r="BO222" s="12">
        <v>0</v>
      </c>
      <c r="BP222" s="12">
        <v>0</v>
      </c>
      <c r="BQ222" s="12">
        <v>0</v>
      </c>
      <c r="BR222" s="12">
        <v>0</v>
      </c>
      <c r="BS222" s="12">
        <v>0</v>
      </c>
      <c r="BT222" s="12">
        <v>0</v>
      </c>
      <c r="BU222" s="12">
        <v>0</v>
      </c>
      <c r="BV222" s="12">
        <v>0</v>
      </c>
      <c r="BW222" s="12">
        <v>0</v>
      </c>
      <c r="BX222" s="12">
        <v>0</v>
      </c>
      <c r="BY222" s="12">
        <v>0</v>
      </c>
      <c r="BZ222" s="12">
        <v>0</v>
      </c>
      <c r="CA222" s="12">
        <v>0</v>
      </c>
    </row>
    <row r="223" spans="1:79" hidden="1" x14ac:dyDescent="0.2">
      <c r="A223" s="12" t="s">
        <v>127</v>
      </c>
      <c r="B223" s="12" t="s">
        <v>131</v>
      </c>
      <c r="C223" s="12" t="s">
        <v>131</v>
      </c>
      <c r="D223" s="22" t="s">
        <v>480</v>
      </c>
      <c r="E223" s="22" t="s">
        <v>173</v>
      </c>
      <c r="F223" s="22" t="s">
        <v>945</v>
      </c>
      <c r="G223" s="22" t="s">
        <v>946</v>
      </c>
      <c r="H223" s="22" t="s">
        <v>166</v>
      </c>
      <c r="I223" s="22" t="s">
        <v>343</v>
      </c>
      <c r="J223" s="22" t="s">
        <v>162</v>
      </c>
      <c r="K223" s="22" t="s">
        <v>89</v>
      </c>
      <c r="L223" s="54" t="s">
        <v>153</v>
      </c>
      <c r="M223" s="33" t="s">
        <v>475</v>
      </c>
      <c r="N223" s="24" t="s">
        <v>153</v>
      </c>
      <c r="O223" s="33" t="s">
        <v>475</v>
      </c>
      <c r="P223" s="33" t="s">
        <v>475</v>
      </c>
      <c r="Q223" s="33" t="s">
        <v>475</v>
      </c>
      <c r="R223" s="33" t="s">
        <v>475</v>
      </c>
      <c r="S223" s="33" t="s">
        <v>475</v>
      </c>
      <c r="T223" s="33" t="s">
        <v>475</v>
      </c>
      <c r="U223" s="24" t="s">
        <v>153</v>
      </c>
      <c r="V223" s="54" t="s">
        <v>156</v>
      </c>
      <c r="W223" s="33" t="s">
        <v>475</v>
      </c>
      <c r="X223" s="33" t="s">
        <v>475</v>
      </c>
      <c r="Y223" s="33" t="s">
        <v>475</v>
      </c>
      <c r="Z223" s="33" t="s">
        <v>475</v>
      </c>
      <c r="AA223" s="33" t="s">
        <v>475</v>
      </c>
      <c r="AB223" s="24" t="s">
        <v>153</v>
      </c>
      <c r="AC223" s="33" t="s">
        <v>475</v>
      </c>
      <c r="AD223" s="33" t="s">
        <v>475</v>
      </c>
      <c r="AE223" s="33" t="s">
        <v>475</v>
      </c>
      <c r="AF223" s="33" t="s">
        <v>475</v>
      </c>
      <c r="AG223" s="33" t="s">
        <v>475</v>
      </c>
      <c r="AH223" s="33" t="s">
        <v>475</v>
      </c>
      <c r="AI223" s="24" t="s">
        <v>153</v>
      </c>
      <c r="AJ223" s="33" t="s">
        <v>475</v>
      </c>
      <c r="AK223" s="33" t="s">
        <v>475</v>
      </c>
      <c r="AL223" s="33" t="s">
        <v>475</v>
      </c>
      <c r="AM223" s="33" t="s">
        <v>475</v>
      </c>
      <c r="AN223" s="33" t="s">
        <v>475</v>
      </c>
      <c r="AO223" s="33" t="s">
        <v>475</v>
      </c>
      <c r="AP223" s="23">
        <f>VALUE(0)</f>
        <v>0</v>
      </c>
      <c r="AQ223" s="23">
        <f>VALUE(0)</f>
        <v>0</v>
      </c>
      <c r="AR223" s="23">
        <f>VALUE(0)</f>
        <v>0</v>
      </c>
      <c r="AS223" s="23">
        <f>VALUE(0)</f>
        <v>0</v>
      </c>
      <c r="AT223" s="23">
        <f>VALUE(0)</f>
        <v>0</v>
      </c>
      <c r="AU223" s="23">
        <f>VALUE(0)</f>
        <v>0</v>
      </c>
      <c r="AV223" s="23">
        <f>VALUE(0)</f>
        <v>0</v>
      </c>
      <c r="AW223" s="23">
        <f>VALUE(0)</f>
        <v>0</v>
      </c>
      <c r="AX223" s="23" t="s">
        <v>487</v>
      </c>
      <c r="AY223" s="23">
        <f>VALUE(0)</f>
        <v>0</v>
      </c>
      <c r="AZ223" s="23">
        <f>VALUE(0)</f>
        <v>0</v>
      </c>
      <c r="BA223" s="23">
        <f>VALUE(0)</f>
        <v>0</v>
      </c>
      <c r="BB223" s="23">
        <f>VALUE(0)</f>
        <v>0</v>
      </c>
      <c r="BC223" s="23">
        <f>VALUE(0)</f>
        <v>0</v>
      </c>
      <c r="BD223" s="23">
        <f>VALUE(0)</f>
        <v>0</v>
      </c>
      <c r="BE223" s="23">
        <f>VALUE(0)</f>
        <v>0</v>
      </c>
      <c r="BF223" s="23">
        <f>VALUE(0)</f>
        <v>0</v>
      </c>
      <c r="BG223" s="23">
        <f>VALUE(0)</f>
        <v>0</v>
      </c>
      <c r="BH223" s="23">
        <f>VALUE(0)</f>
        <v>0</v>
      </c>
      <c r="BI223" s="23">
        <f>VALUE(0)</f>
        <v>0</v>
      </c>
      <c r="BJ223" s="23">
        <f>VALUE(0)</f>
        <v>0</v>
      </c>
      <c r="BK223" s="12">
        <f>$AX$223*24</f>
        <v>4.083333333333333</v>
      </c>
      <c r="BL223" s="12">
        <f>$AY$223*24</f>
        <v>0</v>
      </c>
      <c r="BM223" s="12">
        <f>$BJ$223*24</f>
        <v>0</v>
      </c>
      <c r="BN223" s="12">
        <f>VALUE($I$223)/100</f>
        <v>0.7</v>
      </c>
      <c r="BO223" s="12">
        <v>0</v>
      </c>
      <c r="BP223" s="12">
        <v>0</v>
      </c>
      <c r="BQ223" s="12">
        <v>0</v>
      </c>
      <c r="BR223" s="12">
        <v>0</v>
      </c>
      <c r="BS223" s="12">
        <v>0</v>
      </c>
      <c r="BT223" s="12">
        <v>0</v>
      </c>
      <c r="BU223" s="12">
        <v>0</v>
      </c>
      <c r="BV223" s="12">
        <v>0</v>
      </c>
      <c r="BW223" s="12">
        <v>0</v>
      </c>
      <c r="BX223" s="12">
        <v>0</v>
      </c>
      <c r="BY223" s="12">
        <v>0</v>
      </c>
      <c r="BZ223" s="12">
        <v>0</v>
      </c>
      <c r="CA223" s="12">
        <v>0</v>
      </c>
    </row>
    <row r="224" spans="1:79" hidden="1" x14ac:dyDescent="0.2">
      <c r="A224" s="12" t="s">
        <v>127</v>
      </c>
      <c r="B224" s="12" t="s">
        <v>131</v>
      </c>
      <c r="C224" s="12" t="s">
        <v>131</v>
      </c>
      <c r="D224" s="22" t="s">
        <v>480</v>
      </c>
      <c r="E224" s="22" t="s">
        <v>173</v>
      </c>
      <c r="F224" s="22" t="s">
        <v>947</v>
      </c>
      <c r="G224" s="22" t="s">
        <v>948</v>
      </c>
      <c r="H224" s="22" t="s">
        <v>166</v>
      </c>
      <c r="I224" s="22" t="s">
        <v>343</v>
      </c>
      <c r="J224" s="22" t="s">
        <v>162</v>
      </c>
      <c r="K224" s="22" t="s">
        <v>89</v>
      </c>
      <c r="L224" s="54" t="s">
        <v>153</v>
      </c>
      <c r="M224" s="33" t="s">
        <v>475</v>
      </c>
      <c r="N224" s="24" t="s">
        <v>153</v>
      </c>
      <c r="O224" s="33" t="s">
        <v>475</v>
      </c>
      <c r="P224" s="33" t="s">
        <v>475</v>
      </c>
      <c r="Q224" s="33" t="s">
        <v>475</v>
      </c>
      <c r="R224" s="33" t="s">
        <v>475</v>
      </c>
      <c r="S224" s="33" t="s">
        <v>475</v>
      </c>
      <c r="T224" s="33" t="s">
        <v>475</v>
      </c>
      <c r="U224" s="24" t="s">
        <v>153</v>
      </c>
      <c r="V224" s="54" t="s">
        <v>156</v>
      </c>
      <c r="W224" s="33" t="s">
        <v>475</v>
      </c>
      <c r="X224" s="33" t="s">
        <v>475</v>
      </c>
      <c r="Y224" s="33" t="s">
        <v>475</v>
      </c>
      <c r="Z224" s="33" t="s">
        <v>475</v>
      </c>
      <c r="AA224" s="33" t="s">
        <v>475</v>
      </c>
      <c r="AB224" s="24" t="s">
        <v>153</v>
      </c>
      <c r="AC224" s="33" t="s">
        <v>475</v>
      </c>
      <c r="AD224" s="33" t="s">
        <v>475</v>
      </c>
      <c r="AE224" s="33" t="s">
        <v>475</v>
      </c>
      <c r="AF224" s="33" t="s">
        <v>475</v>
      </c>
      <c r="AG224" s="33" t="s">
        <v>475</v>
      </c>
      <c r="AH224" s="33" t="s">
        <v>475</v>
      </c>
      <c r="AI224" s="24" t="s">
        <v>153</v>
      </c>
      <c r="AJ224" s="33" t="s">
        <v>475</v>
      </c>
      <c r="AK224" s="33" t="s">
        <v>475</v>
      </c>
      <c r="AL224" s="33" t="s">
        <v>475</v>
      </c>
      <c r="AM224" s="33" t="s">
        <v>475</v>
      </c>
      <c r="AN224" s="33" t="s">
        <v>475</v>
      </c>
      <c r="AO224" s="33" t="s">
        <v>475</v>
      </c>
      <c r="AP224" s="23">
        <f>VALUE(0)</f>
        <v>0</v>
      </c>
      <c r="AQ224" s="23">
        <f>VALUE(0)</f>
        <v>0</v>
      </c>
      <c r="AR224" s="23">
        <f>VALUE(0)</f>
        <v>0</v>
      </c>
      <c r="AS224" s="23">
        <f>VALUE(0)</f>
        <v>0</v>
      </c>
      <c r="AT224" s="23">
        <f>VALUE(0)</f>
        <v>0</v>
      </c>
      <c r="AU224" s="23">
        <f>VALUE(0)</f>
        <v>0</v>
      </c>
      <c r="AV224" s="23">
        <f>VALUE(0)</f>
        <v>0</v>
      </c>
      <c r="AW224" s="23">
        <f>VALUE(0)</f>
        <v>0</v>
      </c>
      <c r="AX224" s="23" t="s">
        <v>1260</v>
      </c>
      <c r="AY224" s="23">
        <f>VALUE(0)</f>
        <v>0</v>
      </c>
      <c r="AZ224" s="23">
        <f>VALUE(0)</f>
        <v>0</v>
      </c>
      <c r="BA224" s="23">
        <f>VALUE(0)</f>
        <v>0</v>
      </c>
      <c r="BB224" s="23">
        <f>VALUE(0)</f>
        <v>0</v>
      </c>
      <c r="BC224" s="23">
        <f>VALUE(0)</f>
        <v>0</v>
      </c>
      <c r="BD224" s="23">
        <f>VALUE(0)</f>
        <v>0</v>
      </c>
      <c r="BE224" s="23">
        <f>VALUE(0)</f>
        <v>0</v>
      </c>
      <c r="BF224" s="23">
        <f>VALUE(0)</f>
        <v>0</v>
      </c>
      <c r="BG224" s="23">
        <f>VALUE(0)</f>
        <v>0</v>
      </c>
      <c r="BH224" s="23">
        <f>VALUE(0)</f>
        <v>0</v>
      </c>
      <c r="BI224" s="23">
        <f>VALUE(0)</f>
        <v>0</v>
      </c>
      <c r="BJ224" s="23">
        <f>VALUE(0)</f>
        <v>0</v>
      </c>
      <c r="BK224" s="12">
        <f>$AX$224*24</f>
        <v>11.733333333333333</v>
      </c>
      <c r="BL224" s="12">
        <f>$AY$224*24</f>
        <v>0</v>
      </c>
      <c r="BM224" s="12">
        <f>$BJ$224*24</f>
        <v>0</v>
      </c>
      <c r="BN224" s="12">
        <f>VALUE($I$224)/100</f>
        <v>0.7</v>
      </c>
      <c r="BO224" s="12">
        <v>0</v>
      </c>
      <c r="BP224" s="12">
        <v>0</v>
      </c>
      <c r="BQ224" s="12">
        <v>0</v>
      </c>
      <c r="BR224" s="12">
        <v>0</v>
      </c>
      <c r="BS224" s="12">
        <v>0</v>
      </c>
      <c r="BT224" s="12">
        <v>0</v>
      </c>
      <c r="BU224" s="12">
        <v>0</v>
      </c>
      <c r="BV224" s="12">
        <v>0</v>
      </c>
      <c r="BW224" s="12">
        <v>0</v>
      </c>
      <c r="BX224" s="12">
        <v>0</v>
      </c>
      <c r="BY224" s="12">
        <v>0</v>
      </c>
      <c r="BZ224" s="12">
        <v>0</v>
      </c>
      <c r="CA224" s="12">
        <v>0</v>
      </c>
    </row>
    <row r="225" spans="1:79" hidden="1" x14ac:dyDescent="0.2">
      <c r="A225" s="12" t="s">
        <v>127</v>
      </c>
      <c r="B225" s="12" t="s">
        <v>131</v>
      </c>
      <c r="C225" s="12" t="s">
        <v>131</v>
      </c>
      <c r="D225" s="22" t="s">
        <v>480</v>
      </c>
      <c r="E225" s="22" t="s">
        <v>173</v>
      </c>
      <c r="F225" s="22" t="s">
        <v>949</v>
      </c>
      <c r="G225" s="22" t="s">
        <v>950</v>
      </c>
      <c r="H225" s="22" t="s">
        <v>166</v>
      </c>
      <c r="I225" s="22" t="s">
        <v>343</v>
      </c>
      <c r="J225" s="22" t="s">
        <v>162</v>
      </c>
      <c r="K225" s="22" t="s">
        <v>89</v>
      </c>
      <c r="L225" s="54" t="s">
        <v>153</v>
      </c>
      <c r="M225" s="24" t="s">
        <v>153</v>
      </c>
      <c r="N225" s="24" t="s">
        <v>153</v>
      </c>
      <c r="O225" s="33" t="s">
        <v>475</v>
      </c>
      <c r="P225" s="33" t="s">
        <v>475</v>
      </c>
      <c r="Q225" s="33" t="s">
        <v>475</v>
      </c>
      <c r="R225" s="33" t="s">
        <v>475</v>
      </c>
      <c r="S225" s="33" t="s">
        <v>475</v>
      </c>
      <c r="T225" s="24" t="s">
        <v>153</v>
      </c>
      <c r="U225" s="24" t="s">
        <v>153</v>
      </c>
      <c r="V225" s="54" t="s">
        <v>153</v>
      </c>
      <c r="W225" s="33" t="s">
        <v>475</v>
      </c>
      <c r="X225" s="33" t="s">
        <v>475</v>
      </c>
      <c r="Y225" s="33" t="s">
        <v>475</v>
      </c>
      <c r="Z225" s="33" t="s">
        <v>475</v>
      </c>
      <c r="AA225" s="24" t="s">
        <v>153</v>
      </c>
      <c r="AB225" s="24" t="s">
        <v>153</v>
      </c>
      <c r="AC225" s="33" t="s">
        <v>475</v>
      </c>
      <c r="AD225" s="33" t="s">
        <v>475</v>
      </c>
      <c r="AE225" s="33" t="s">
        <v>475</v>
      </c>
      <c r="AF225" s="33" t="s">
        <v>475</v>
      </c>
      <c r="AG225" s="33" t="s">
        <v>475</v>
      </c>
      <c r="AH225" s="24" t="s">
        <v>153</v>
      </c>
      <c r="AI225" s="24" t="s">
        <v>153</v>
      </c>
      <c r="AJ225" s="33" t="s">
        <v>475</v>
      </c>
      <c r="AK225" s="33" t="s">
        <v>475</v>
      </c>
      <c r="AL225" s="33" t="s">
        <v>475</v>
      </c>
      <c r="AM225" s="33" t="s">
        <v>475</v>
      </c>
      <c r="AN225" s="33" t="s">
        <v>475</v>
      </c>
      <c r="AO225" s="24" t="s">
        <v>153</v>
      </c>
      <c r="AP225" s="23">
        <f>VALUE(0)</f>
        <v>0</v>
      </c>
      <c r="AQ225" s="23">
        <f>VALUE(0)</f>
        <v>0</v>
      </c>
      <c r="AR225" s="23">
        <f>VALUE(0)</f>
        <v>0</v>
      </c>
      <c r="AS225" s="23">
        <f>VALUE(0)</f>
        <v>0</v>
      </c>
      <c r="AT225" s="23">
        <f>VALUE(0)</f>
        <v>0</v>
      </c>
      <c r="AU225" s="23">
        <f>VALUE(0)</f>
        <v>0</v>
      </c>
      <c r="AV225" s="23">
        <f>VALUE(0)</f>
        <v>0</v>
      </c>
      <c r="AW225" s="23">
        <f>VALUE(0)</f>
        <v>0</v>
      </c>
      <c r="AX225" s="23" t="s">
        <v>1261</v>
      </c>
      <c r="AY225" s="23">
        <f>VALUE(0)</f>
        <v>0</v>
      </c>
      <c r="AZ225" s="23">
        <f>VALUE(0)</f>
        <v>0</v>
      </c>
      <c r="BA225" s="23">
        <f>VALUE(0)</f>
        <v>0</v>
      </c>
      <c r="BB225" s="23">
        <f>VALUE(0)</f>
        <v>0</v>
      </c>
      <c r="BC225" s="23">
        <f>VALUE(0)</f>
        <v>0</v>
      </c>
      <c r="BD225" s="23">
        <f>VALUE(0)</f>
        <v>0</v>
      </c>
      <c r="BE225" s="23">
        <f>VALUE(0)</f>
        <v>0</v>
      </c>
      <c r="BF225" s="23">
        <f>VALUE(0)</f>
        <v>0</v>
      </c>
      <c r="BG225" s="23">
        <f>VALUE(0)</f>
        <v>0</v>
      </c>
      <c r="BH225" s="23">
        <f>VALUE(0)</f>
        <v>0</v>
      </c>
      <c r="BI225" s="23">
        <f>VALUE(0)</f>
        <v>0</v>
      </c>
      <c r="BJ225" s="23">
        <f>VALUE(0)</f>
        <v>0</v>
      </c>
      <c r="BK225" s="12">
        <f>$AX$225*24</f>
        <v>16.350000000000001</v>
      </c>
      <c r="BL225" s="12">
        <f>$AY$225*24</f>
        <v>0</v>
      </c>
      <c r="BM225" s="12">
        <f>$BJ$225*24</f>
        <v>0</v>
      </c>
      <c r="BN225" s="12">
        <f>VALUE($I$225)/100</f>
        <v>0.7</v>
      </c>
      <c r="BO225" s="12">
        <v>0</v>
      </c>
      <c r="BP225" s="12">
        <v>0</v>
      </c>
      <c r="BQ225" s="12">
        <v>0</v>
      </c>
      <c r="BR225" s="12">
        <v>0</v>
      </c>
      <c r="BS225" s="12">
        <v>0</v>
      </c>
      <c r="BT225" s="12">
        <v>0</v>
      </c>
      <c r="BU225" s="12">
        <v>0</v>
      </c>
      <c r="BV225" s="12">
        <v>0</v>
      </c>
      <c r="BW225" s="12">
        <v>0</v>
      </c>
      <c r="BX225" s="12">
        <v>0</v>
      </c>
      <c r="BY225" s="12">
        <v>0</v>
      </c>
      <c r="BZ225" s="12">
        <v>0</v>
      </c>
      <c r="CA225" s="12">
        <v>0</v>
      </c>
    </row>
    <row r="226" spans="1:79" hidden="1" x14ac:dyDescent="0.2">
      <c r="A226" s="12" t="s">
        <v>127</v>
      </c>
      <c r="B226" s="12" t="s">
        <v>131</v>
      </c>
      <c r="C226" s="12" t="s">
        <v>131</v>
      </c>
      <c r="D226" s="22" t="s">
        <v>480</v>
      </c>
      <c r="E226" s="22" t="s">
        <v>173</v>
      </c>
      <c r="F226" s="22" t="s">
        <v>951</v>
      </c>
      <c r="G226" s="22" t="s">
        <v>952</v>
      </c>
      <c r="H226" s="22" t="s">
        <v>166</v>
      </c>
      <c r="I226" s="22" t="s">
        <v>343</v>
      </c>
      <c r="J226" s="22" t="s">
        <v>162</v>
      </c>
      <c r="K226" s="22" t="s">
        <v>89</v>
      </c>
      <c r="L226" s="54" t="s">
        <v>153</v>
      </c>
      <c r="M226" s="33" t="s">
        <v>475</v>
      </c>
      <c r="N226" s="24" t="s">
        <v>153</v>
      </c>
      <c r="O226" s="33" t="s">
        <v>475</v>
      </c>
      <c r="P226" s="33" t="s">
        <v>475</v>
      </c>
      <c r="Q226" s="33" t="s">
        <v>475</v>
      </c>
      <c r="R226" s="33" t="s">
        <v>475</v>
      </c>
      <c r="S226" s="33" t="s">
        <v>475</v>
      </c>
      <c r="T226" s="33" t="s">
        <v>475</v>
      </c>
      <c r="U226" s="24" t="s">
        <v>153</v>
      </c>
      <c r="V226" s="54" t="s">
        <v>153</v>
      </c>
      <c r="W226" s="33" t="s">
        <v>475</v>
      </c>
      <c r="X226" s="33" t="s">
        <v>475</v>
      </c>
      <c r="Y226" s="33" t="s">
        <v>475</v>
      </c>
      <c r="Z226" s="33" t="s">
        <v>475</v>
      </c>
      <c r="AA226" s="33" t="s">
        <v>475</v>
      </c>
      <c r="AB226" s="24" t="s">
        <v>153</v>
      </c>
      <c r="AC226" s="33" t="s">
        <v>475</v>
      </c>
      <c r="AD226" s="33" t="s">
        <v>475</v>
      </c>
      <c r="AE226" s="33" t="s">
        <v>475</v>
      </c>
      <c r="AF226" s="33" t="s">
        <v>475</v>
      </c>
      <c r="AG226" s="33" t="s">
        <v>475</v>
      </c>
      <c r="AH226" s="33" t="s">
        <v>475</v>
      </c>
      <c r="AI226" s="24" t="s">
        <v>153</v>
      </c>
      <c r="AJ226" s="33" t="s">
        <v>475</v>
      </c>
      <c r="AK226" s="33" t="s">
        <v>475</v>
      </c>
      <c r="AL226" s="33" t="s">
        <v>475</v>
      </c>
      <c r="AM226" s="33" t="s">
        <v>475</v>
      </c>
      <c r="AN226" s="33" t="s">
        <v>475</v>
      </c>
      <c r="AO226" s="33" t="s">
        <v>475</v>
      </c>
      <c r="AP226" s="23">
        <f>VALUE(0)</f>
        <v>0</v>
      </c>
      <c r="AQ226" s="23">
        <f>VALUE(0)</f>
        <v>0</v>
      </c>
      <c r="AR226" s="23">
        <f>VALUE(0)</f>
        <v>0</v>
      </c>
      <c r="AS226" s="23">
        <f>VALUE(0)</f>
        <v>0</v>
      </c>
      <c r="AT226" s="23">
        <f>VALUE(0)</f>
        <v>0</v>
      </c>
      <c r="AU226" s="23">
        <f>VALUE(0)</f>
        <v>0</v>
      </c>
      <c r="AV226" s="23">
        <f>VALUE(0)</f>
        <v>0</v>
      </c>
      <c r="AW226" s="23">
        <f>VALUE(0)</f>
        <v>0</v>
      </c>
      <c r="AX226" s="23" t="s">
        <v>486</v>
      </c>
      <c r="AY226" s="23">
        <f>VALUE(0)</f>
        <v>0</v>
      </c>
      <c r="AZ226" s="23">
        <f>VALUE(0)</f>
        <v>0</v>
      </c>
      <c r="BA226" s="23">
        <f>VALUE(0)</f>
        <v>0</v>
      </c>
      <c r="BB226" s="23">
        <f>VALUE(0)</f>
        <v>0</v>
      </c>
      <c r="BC226" s="23">
        <f>VALUE(0)</f>
        <v>0</v>
      </c>
      <c r="BD226" s="23">
        <f>VALUE(0)</f>
        <v>0</v>
      </c>
      <c r="BE226" s="23">
        <f>VALUE(0)</f>
        <v>0</v>
      </c>
      <c r="BF226" s="23">
        <f>VALUE(0)</f>
        <v>0</v>
      </c>
      <c r="BG226" s="23">
        <f>VALUE(0)</f>
        <v>0</v>
      </c>
      <c r="BH226" s="23">
        <f>VALUE(0)</f>
        <v>0</v>
      </c>
      <c r="BI226" s="23">
        <f>VALUE(0)</f>
        <v>0</v>
      </c>
      <c r="BJ226" s="23">
        <f>VALUE(0)</f>
        <v>0</v>
      </c>
      <c r="BK226" s="12">
        <f>$AX$226*24</f>
        <v>8.5666666666666664</v>
      </c>
      <c r="BL226" s="12">
        <f>$AY$226*24</f>
        <v>0</v>
      </c>
      <c r="BM226" s="12">
        <f>$BJ$226*24</f>
        <v>0</v>
      </c>
      <c r="BN226" s="12">
        <f>VALUE($I$226)/100</f>
        <v>0.7</v>
      </c>
      <c r="BO226" s="12">
        <v>0</v>
      </c>
      <c r="BP226" s="12">
        <v>0</v>
      </c>
      <c r="BQ226" s="12">
        <v>0</v>
      </c>
      <c r="BR226" s="12">
        <v>0</v>
      </c>
      <c r="BS226" s="12">
        <v>0</v>
      </c>
      <c r="BT226" s="12">
        <v>0</v>
      </c>
      <c r="BU226" s="12">
        <v>0</v>
      </c>
      <c r="BV226" s="12">
        <v>0</v>
      </c>
      <c r="BW226" s="12">
        <v>0</v>
      </c>
      <c r="BX226" s="12">
        <v>0</v>
      </c>
      <c r="BY226" s="12">
        <v>0</v>
      </c>
      <c r="BZ226" s="12">
        <v>0</v>
      </c>
      <c r="CA226" s="12">
        <v>0</v>
      </c>
    </row>
    <row r="227" spans="1:79" hidden="1" x14ac:dyDescent="0.2">
      <c r="A227" s="12" t="s">
        <v>127</v>
      </c>
      <c r="B227" s="12" t="s">
        <v>131</v>
      </c>
      <c r="C227" s="12" t="s">
        <v>131</v>
      </c>
      <c r="D227" s="22" t="s">
        <v>480</v>
      </c>
      <c r="E227" s="22" t="s">
        <v>173</v>
      </c>
      <c r="F227" s="22" t="s">
        <v>1262</v>
      </c>
      <c r="G227" s="22" t="s">
        <v>953</v>
      </c>
      <c r="H227" s="22" t="s">
        <v>166</v>
      </c>
      <c r="I227" s="22" t="s">
        <v>343</v>
      </c>
      <c r="J227" s="22" t="s">
        <v>162</v>
      </c>
      <c r="K227" s="22" t="s">
        <v>89</v>
      </c>
      <c r="L227" s="54" t="s">
        <v>153</v>
      </c>
      <c r="M227" s="33" t="s">
        <v>475</v>
      </c>
      <c r="N227" s="24" t="s">
        <v>153</v>
      </c>
      <c r="O227" s="33" t="s">
        <v>475</v>
      </c>
      <c r="P227" s="33" t="s">
        <v>475</v>
      </c>
      <c r="Q227" s="33" t="s">
        <v>475</v>
      </c>
      <c r="R227" s="33" t="s">
        <v>475</v>
      </c>
      <c r="S227" s="33" t="s">
        <v>475</v>
      </c>
      <c r="T227" s="33" t="s">
        <v>475</v>
      </c>
      <c r="U227" s="24" t="s">
        <v>153</v>
      </c>
      <c r="V227" s="54" t="s">
        <v>153</v>
      </c>
      <c r="W227" s="33" t="s">
        <v>475</v>
      </c>
      <c r="X227" s="33" t="s">
        <v>475</v>
      </c>
      <c r="Y227" s="33" t="s">
        <v>475</v>
      </c>
      <c r="Z227" s="33" t="s">
        <v>475</v>
      </c>
      <c r="AA227" s="33" t="s">
        <v>475</v>
      </c>
      <c r="AB227" s="24" t="s">
        <v>153</v>
      </c>
      <c r="AC227" s="33" t="s">
        <v>475</v>
      </c>
      <c r="AD227" s="33" t="s">
        <v>475</v>
      </c>
      <c r="AE227" s="33" t="s">
        <v>475</v>
      </c>
      <c r="AF227" s="33" t="s">
        <v>475</v>
      </c>
      <c r="AG227" s="33" t="s">
        <v>475</v>
      </c>
      <c r="AH227" s="33" t="s">
        <v>475</v>
      </c>
      <c r="AI227" s="24" t="s">
        <v>153</v>
      </c>
      <c r="AJ227" s="33" t="s">
        <v>475</v>
      </c>
      <c r="AK227" s="33" t="s">
        <v>475</v>
      </c>
      <c r="AL227" s="33" t="s">
        <v>475</v>
      </c>
      <c r="AM227" s="33" t="s">
        <v>475</v>
      </c>
      <c r="AN227" s="33" t="s">
        <v>475</v>
      </c>
      <c r="AO227" s="33" t="s">
        <v>475</v>
      </c>
      <c r="AP227" s="23">
        <f>VALUE(0)</f>
        <v>0</v>
      </c>
      <c r="AQ227" s="23">
        <f>VALUE(0)</f>
        <v>0</v>
      </c>
      <c r="AR227" s="23">
        <f>VALUE(0)</f>
        <v>0</v>
      </c>
      <c r="AS227" s="23">
        <f>VALUE(0)</f>
        <v>0</v>
      </c>
      <c r="AT227" s="23">
        <f>VALUE(0)</f>
        <v>0</v>
      </c>
      <c r="AU227" s="23">
        <f>VALUE(0)</f>
        <v>0</v>
      </c>
      <c r="AV227" s="23">
        <f>VALUE(0)</f>
        <v>0</v>
      </c>
      <c r="AW227" s="23">
        <f>VALUE(0)</f>
        <v>0</v>
      </c>
      <c r="AX227" s="23" t="s">
        <v>487</v>
      </c>
      <c r="AY227" s="23">
        <f>VALUE(0)</f>
        <v>0</v>
      </c>
      <c r="AZ227" s="23">
        <f>VALUE(0)</f>
        <v>0</v>
      </c>
      <c r="BA227" s="23">
        <f>VALUE(0)</f>
        <v>0</v>
      </c>
      <c r="BB227" s="23">
        <f>VALUE(0)</f>
        <v>0</v>
      </c>
      <c r="BC227" s="23">
        <f>VALUE(0)</f>
        <v>0</v>
      </c>
      <c r="BD227" s="23">
        <f>VALUE(0)</f>
        <v>0</v>
      </c>
      <c r="BE227" s="23">
        <f>VALUE(0)</f>
        <v>0</v>
      </c>
      <c r="BF227" s="23">
        <f>VALUE(0)</f>
        <v>0</v>
      </c>
      <c r="BG227" s="23">
        <f>VALUE(0)</f>
        <v>0</v>
      </c>
      <c r="BH227" s="23">
        <f>VALUE(0)</f>
        <v>0</v>
      </c>
      <c r="BI227" s="23">
        <f>VALUE(0)</f>
        <v>0</v>
      </c>
      <c r="BJ227" s="23">
        <f>VALUE(0)</f>
        <v>0</v>
      </c>
      <c r="BK227" s="12">
        <f>$AX$227*24</f>
        <v>4.083333333333333</v>
      </c>
      <c r="BL227" s="12">
        <f>$AY$227*24</f>
        <v>0</v>
      </c>
      <c r="BM227" s="12">
        <f>$BJ$227*24</f>
        <v>0</v>
      </c>
      <c r="BN227" s="12">
        <f>VALUE($I$227)/100</f>
        <v>0.7</v>
      </c>
      <c r="BO227" s="12">
        <v>0</v>
      </c>
      <c r="BP227" s="12">
        <v>0</v>
      </c>
      <c r="BQ227" s="12">
        <v>0</v>
      </c>
      <c r="BR227" s="12">
        <v>0</v>
      </c>
      <c r="BS227" s="12">
        <v>0</v>
      </c>
      <c r="BT227" s="12">
        <v>0</v>
      </c>
      <c r="BU227" s="12">
        <v>0</v>
      </c>
      <c r="BV227" s="12">
        <v>0</v>
      </c>
      <c r="BW227" s="12">
        <v>0</v>
      </c>
      <c r="BX227" s="12">
        <v>0</v>
      </c>
      <c r="BY227" s="12">
        <v>0</v>
      </c>
      <c r="BZ227" s="12">
        <v>0</v>
      </c>
      <c r="CA227" s="12">
        <v>0</v>
      </c>
    </row>
    <row r="228" spans="1:79" hidden="1" x14ac:dyDescent="0.2">
      <c r="A228" s="12" t="s">
        <v>127</v>
      </c>
      <c r="B228" s="12" t="s">
        <v>131</v>
      </c>
      <c r="C228" s="12" t="s">
        <v>131</v>
      </c>
      <c r="D228" s="22" t="s">
        <v>480</v>
      </c>
      <c r="E228" s="22" t="s">
        <v>173</v>
      </c>
      <c r="F228" s="22" t="s">
        <v>954</v>
      </c>
      <c r="G228" s="22" t="s">
        <v>955</v>
      </c>
      <c r="H228" s="22" t="s">
        <v>166</v>
      </c>
      <c r="I228" s="22" t="s">
        <v>343</v>
      </c>
      <c r="J228" s="22" t="s">
        <v>162</v>
      </c>
      <c r="K228" s="22" t="s">
        <v>89</v>
      </c>
      <c r="L228" s="54" t="s">
        <v>153</v>
      </c>
      <c r="M228" s="33" t="s">
        <v>475</v>
      </c>
      <c r="N228" s="24" t="s">
        <v>153</v>
      </c>
      <c r="O228" s="33" t="s">
        <v>475</v>
      </c>
      <c r="P228" s="33" t="s">
        <v>475</v>
      </c>
      <c r="Q228" s="33" t="s">
        <v>475</v>
      </c>
      <c r="R228" s="33" t="s">
        <v>475</v>
      </c>
      <c r="S228" s="33" t="s">
        <v>475</v>
      </c>
      <c r="T228" s="33" t="s">
        <v>475</v>
      </c>
      <c r="U228" s="24" t="s">
        <v>153</v>
      </c>
      <c r="V228" s="54" t="s">
        <v>153</v>
      </c>
      <c r="W228" s="33" t="s">
        <v>475</v>
      </c>
      <c r="X228" s="33" t="s">
        <v>475</v>
      </c>
      <c r="Y228" s="33" t="s">
        <v>475</v>
      </c>
      <c r="Z228" s="33" t="s">
        <v>475</v>
      </c>
      <c r="AA228" s="33" t="s">
        <v>475</v>
      </c>
      <c r="AB228" s="24" t="s">
        <v>153</v>
      </c>
      <c r="AC228" s="33" t="s">
        <v>475</v>
      </c>
      <c r="AD228" s="33" t="s">
        <v>475</v>
      </c>
      <c r="AE228" s="33" t="s">
        <v>475</v>
      </c>
      <c r="AF228" s="33" t="s">
        <v>475</v>
      </c>
      <c r="AG228" s="33" t="s">
        <v>475</v>
      </c>
      <c r="AH228" s="33" t="s">
        <v>475</v>
      </c>
      <c r="AI228" s="24" t="s">
        <v>153</v>
      </c>
      <c r="AJ228" s="33" t="s">
        <v>475</v>
      </c>
      <c r="AK228" s="33" t="s">
        <v>475</v>
      </c>
      <c r="AL228" s="33" t="s">
        <v>475</v>
      </c>
      <c r="AM228" s="33" t="s">
        <v>475</v>
      </c>
      <c r="AN228" s="33" t="s">
        <v>475</v>
      </c>
      <c r="AO228" s="33" t="s">
        <v>475</v>
      </c>
      <c r="AP228" s="23">
        <f>VALUE(0)</f>
        <v>0</v>
      </c>
      <c r="AQ228" s="23">
        <f>VALUE(0)</f>
        <v>0</v>
      </c>
      <c r="AR228" s="23">
        <f>VALUE(0)</f>
        <v>0</v>
      </c>
      <c r="AS228" s="23">
        <f>VALUE(0)</f>
        <v>0</v>
      </c>
      <c r="AT228" s="23">
        <f>VALUE(0)</f>
        <v>0</v>
      </c>
      <c r="AU228" s="23">
        <f>VALUE(0)</f>
        <v>0</v>
      </c>
      <c r="AV228" s="23">
        <f>VALUE(2.5)</f>
        <v>2.5</v>
      </c>
      <c r="AW228" s="23">
        <f>VALUE(0)</f>
        <v>0</v>
      </c>
      <c r="AX228" s="23" t="s">
        <v>290</v>
      </c>
      <c r="AY228" s="23">
        <f>VALUE(0)</f>
        <v>0</v>
      </c>
      <c r="AZ228" s="23">
        <f>VALUE(0)</f>
        <v>0</v>
      </c>
      <c r="BA228" s="23">
        <f>VALUE(0)</f>
        <v>0</v>
      </c>
      <c r="BB228" s="23">
        <f>VALUE(0)</f>
        <v>0</v>
      </c>
      <c r="BC228" s="23">
        <f>VALUE(0)</f>
        <v>0</v>
      </c>
      <c r="BD228" s="23">
        <f>VALUE(0)</f>
        <v>0</v>
      </c>
      <c r="BE228" s="23">
        <f>VALUE(0)</f>
        <v>0</v>
      </c>
      <c r="BF228" s="23">
        <f>VALUE(0)</f>
        <v>0</v>
      </c>
      <c r="BG228" s="23">
        <f>VALUE(0)</f>
        <v>0</v>
      </c>
      <c r="BH228" s="23">
        <f>VALUE(0)</f>
        <v>0</v>
      </c>
      <c r="BI228" s="23">
        <f>VALUE(0)</f>
        <v>0</v>
      </c>
      <c r="BJ228" s="23">
        <f>VALUE(0)</f>
        <v>0</v>
      </c>
      <c r="BK228" s="12">
        <f>$AX$228*24</f>
        <v>4.4000000000000004</v>
      </c>
      <c r="BL228" s="12">
        <f>$AY$228*24</f>
        <v>0</v>
      </c>
      <c r="BM228" s="12">
        <f>$BJ$228*24</f>
        <v>0</v>
      </c>
      <c r="BN228" s="12">
        <f>VALUE($I$228)/100</f>
        <v>0.7</v>
      </c>
      <c r="BO228" s="12">
        <v>0</v>
      </c>
      <c r="BP228" s="12">
        <v>0</v>
      </c>
      <c r="BQ228" s="12">
        <v>0</v>
      </c>
      <c r="BR228" s="12">
        <v>0</v>
      </c>
      <c r="BS228" s="12">
        <v>0</v>
      </c>
      <c r="BT228" s="12">
        <v>0</v>
      </c>
      <c r="BU228" s="12">
        <v>0</v>
      </c>
      <c r="BV228" s="12">
        <v>0</v>
      </c>
      <c r="BW228" s="12">
        <v>0</v>
      </c>
      <c r="BX228" s="12">
        <v>0</v>
      </c>
      <c r="BY228" s="12">
        <v>0</v>
      </c>
      <c r="BZ228" s="12">
        <v>0</v>
      </c>
      <c r="CA228" s="12">
        <v>0</v>
      </c>
    </row>
    <row r="229" spans="1:79" hidden="1" x14ac:dyDescent="0.2">
      <c r="A229" s="12" t="s">
        <v>127</v>
      </c>
      <c r="B229" s="12" t="s">
        <v>131</v>
      </c>
      <c r="C229" s="12" t="s">
        <v>131</v>
      </c>
      <c r="D229" s="22" t="s">
        <v>480</v>
      </c>
      <c r="E229" s="22" t="s">
        <v>173</v>
      </c>
      <c r="F229" s="22" t="s">
        <v>956</v>
      </c>
      <c r="G229" s="22" t="s">
        <v>957</v>
      </c>
      <c r="H229" s="22" t="s">
        <v>166</v>
      </c>
      <c r="I229" s="22" t="s">
        <v>343</v>
      </c>
      <c r="J229" s="22" t="s">
        <v>162</v>
      </c>
      <c r="K229" s="22" t="s">
        <v>89</v>
      </c>
      <c r="L229" s="54" t="s">
        <v>153</v>
      </c>
      <c r="M229" s="24" t="s">
        <v>156</v>
      </c>
      <c r="N229" s="24" t="s">
        <v>153</v>
      </c>
      <c r="O229" s="24" t="s">
        <v>156</v>
      </c>
      <c r="P229" s="23" t="s">
        <v>153</v>
      </c>
      <c r="Q229" s="23" t="s">
        <v>153</v>
      </c>
      <c r="R229" s="23" t="s">
        <v>153</v>
      </c>
      <c r="S229" s="23" t="s">
        <v>153</v>
      </c>
      <c r="T229" s="23" t="s">
        <v>153</v>
      </c>
      <c r="U229" s="24" t="s">
        <v>153</v>
      </c>
      <c r="V229" s="54" t="s">
        <v>153</v>
      </c>
      <c r="W229" s="23" t="s">
        <v>153</v>
      </c>
      <c r="X229" s="23" t="s">
        <v>153</v>
      </c>
      <c r="Y229" s="23" t="s">
        <v>153</v>
      </c>
      <c r="Z229" s="23" t="s">
        <v>153</v>
      </c>
      <c r="AA229" s="24" t="s">
        <v>156</v>
      </c>
      <c r="AB229" s="24" t="s">
        <v>153</v>
      </c>
      <c r="AC229" s="24" t="s">
        <v>156</v>
      </c>
      <c r="AD229" s="23" t="s">
        <v>153</v>
      </c>
      <c r="AE229" s="23" t="s">
        <v>153</v>
      </c>
      <c r="AF229" s="23" t="s">
        <v>153</v>
      </c>
      <c r="AG229" s="23" t="s">
        <v>153</v>
      </c>
      <c r="AH229" s="23" t="s">
        <v>153</v>
      </c>
      <c r="AI229" s="24" t="s">
        <v>153</v>
      </c>
      <c r="AJ229" s="23" t="s">
        <v>153</v>
      </c>
      <c r="AK229" s="23" t="s">
        <v>153</v>
      </c>
      <c r="AL229" s="23" t="s">
        <v>153</v>
      </c>
      <c r="AM229" s="23" t="s">
        <v>153</v>
      </c>
      <c r="AN229" s="23" t="s">
        <v>153</v>
      </c>
      <c r="AO229" s="24" t="s">
        <v>156</v>
      </c>
      <c r="AP229" s="23">
        <f>VALUE(0)</f>
        <v>0</v>
      </c>
      <c r="AQ229" s="23">
        <f>VALUE(0)</f>
        <v>0</v>
      </c>
      <c r="AR229" s="23">
        <f>VALUE(0)</f>
        <v>0</v>
      </c>
      <c r="AS229" s="23">
        <f>VALUE(0)</f>
        <v>0</v>
      </c>
      <c r="AT229" s="23">
        <f>VALUE(0)</f>
        <v>0</v>
      </c>
      <c r="AU229" s="23">
        <f>VALUE(0)</f>
        <v>0</v>
      </c>
      <c r="AV229" s="23">
        <f>VALUE(0)</f>
        <v>0</v>
      </c>
      <c r="AW229" s="23">
        <f>VALUE(0)</f>
        <v>0</v>
      </c>
      <c r="AX229" s="23" t="s">
        <v>487</v>
      </c>
      <c r="AY229" s="23">
        <f>VALUE(0)</f>
        <v>0</v>
      </c>
      <c r="AZ229" s="23">
        <f>VALUE(0)</f>
        <v>0</v>
      </c>
      <c r="BA229" s="23">
        <f>VALUE(0)</f>
        <v>0</v>
      </c>
      <c r="BB229" s="23">
        <f>VALUE(0)</f>
        <v>0</v>
      </c>
      <c r="BC229" s="23">
        <f>VALUE(0)</f>
        <v>0</v>
      </c>
      <c r="BD229" s="23">
        <f>VALUE(0)</f>
        <v>0</v>
      </c>
      <c r="BE229" s="23">
        <f>VALUE(0)</f>
        <v>0</v>
      </c>
      <c r="BF229" s="23">
        <f>VALUE(0)</f>
        <v>0</v>
      </c>
      <c r="BG229" s="23">
        <f>VALUE(0)</f>
        <v>0</v>
      </c>
      <c r="BH229" s="23">
        <f>VALUE(0)</f>
        <v>0</v>
      </c>
      <c r="BI229" s="23">
        <f>VALUE(0)</f>
        <v>0</v>
      </c>
      <c r="BJ229" s="23">
        <f>VALUE(0)</f>
        <v>0</v>
      </c>
      <c r="BK229" s="12">
        <f>$AX$229*24</f>
        <v>4.083333333333333</v>
      </c>
      <c r="BL229" s="12">
        <f>$AY$229*24</f>
        <v>0</v>
      </c>
      <c r="BM229" s="12">
        <f>$BJ$229*24</f>
        <v>0</v>
      </c>
      <c r="BN229" s="12">
        <f>VALUE($I$229)/100</f>
        <v>0.7</v>
      </c>
      <c r="BO229" s="12">
        <v>0</v>
      </c>
      <c r="BP229" s="12">
        <v>0</v>
      </c>
      <c r="BQ229" s="12">
        <v>0</v>
      </c>
      <c r="BR229" s="12">
        <v>0</v>
      </c>
      <c r="BS229" s="12">
        <v>0</v>
      </c>
      <c r="BT229" s="12">
        <v>0</v>
      </c>
      <c r="BU229" s="12">
        <v>0</v>
      </c>
      <c r="BV229" s="12">
        <v>0</v>
      </c>
      <c r="BW229" s="12">
        <v>0</v>
      </c>
      <c r="BX229" s="12">
        <v>0</v>
      </c>
      <c r="BY229" s="12">
        <v>0</v>
      </c>
      <c r="BZ229" s="12">
        <v>0</v>
      </c>
      <c r="CA229" s="12">
        <v>0</v>
      </c>
    </row>
    <row r="230" spans="1:79" hidden="1" x14ac:dyDescent="0.2">
      <c r="A230" s="12" t="s">
        <v>127</v>
      </c>
      <c r="B230" s="12" t="s">
        <v>131</v>
      </c>
      <c r="C230" s="12" t="s">
        <v>131</v>
      </c>
      <c r="D230" s="22" t="s">
        <v>480</v>
      </c>
      <c r="E230" s="22" t="s">
        <v>173</v>
      </c>
      <c r="F230" s="22" t="s">
        <v>958</v>
      </c>
      <c r="G230" s="22" t="s">
        <v>959</v>
      </c>
      <c r="H230" s="22" t="s">
        <v>150</v>
      </c>
      <c r="I230" s="22" t="s">
        <v>343</v>
      </c>
      <c r="J230" s="22" t="s">
        <v>162</v>
      </c>
      <c r="K230" s="22" t="s">
        <v>89</v>
      </c>
      <c r="L230" s="54" t="s">
        <v>153</v>
      </c>
      <c r="M230" s="33" t="s">
        <v>475</v>
      </c>
      <c r="N230" s="24" t="s">
        <v>153</v>
      </c>
      <c r="O230" s="33" t="s">
        <v>475</v>
      </c>
      <c r="P230" s="33" t="s">
        <v>475</v>
      </c>
      <c r="Q230" s="33" t="s">
        <v>475</v>
      </c>
      <c r="R230" s="33" t="s">
        <v>475</v>
      </c>
      <c r="S230" s="33" t="s">
        <v>475</v>
      </c>
      <c r="T230" s="33" t="s">
        <v>475</v>
      </c>
      <c r="U230" s="24" t="s">
        <v>153</v>
      </c>
      <c r="V230" s="54" t="s">
        <v>153</v>
      </c>
      <c r="W230" s="33" t="s">
        <v>475</v>
      </c>
      <c r="X230" s="33" t="s">
        <v>475</v>
      </c>
      <c r="Y230" s="33" t="s">
        <v>475</v>
      </c>
      <c r="Z230" s="33" t="s">
        <v>475</v>
      </c>
      <c r="AA230" s="33" t="s">
        <v>475</v>
      </c>
      <c r="AB230" s="24" t="s">
        <v>153</v>
      </c>
      <c r="AC230" s="33" t="s">
        <v>475</v>
      </c>
      <c r="AD230" s="33" t="s">
        <v>475</v>
      </c>
      <c r="AE230" s="33" t="s">
        <v>475</v>
      </c>
      <c r="AF230" s="33" t="s">
        <v>475</v>
      </c>
      <c r="AG230" s="33" t="s">
        <v>475</v>
      </c>
      <c r="AH230" s="33" t="s">
        <v>475</v>
      </c>
      <c r="AI230" s="24" t="s">
        <v>153</v>
      </c>
      <c r="AJ230" s="33" t="s">
        <v>475</v>
      </c>
      <c r="AK230" s="33" t="s">
        <v>475</v>
      </c>
      <c r="AL230" s="33" t="s">
        <v>475</v>
      </c>
      <c r="AM230" s="33" t="s">
        <v>475</v>
      </c>
      <c r="AN230" s="33" t="s">
        <v>475</v>
      </c>
      <c r="AO230" s="33" t="s">
        <v>475</v>
      </c>
      <c r="AP230" s="23">
        <f>VALUE(0)</f>
        <v>0</v>
      </c>
      <c r="AQ230" s="23">
        <f>VALUE(0)</f>
        <v>0</v>
      </c>
      <c r="AR230" s="23">
        <f>VALUE(0)</f>
        <v>0</v>
      </c>
      <c r="AS230" s="23">
        <f>VALUE(0)</f>
        <v>0</v>
      </c>
      <c r="AT230" s="23">
        <f>VALUE(0)</f>
        <v>0</v>
      </c>
      <c r="AU230" s="23">
        <f>VALUE(0)</f>
        <v>0</v>
      </c>
      <c r="AV230" s="23">
        <f>VALUE(0)</f>
        <v>0</v>
      </c>
      <c r="AW230" s="23">
        <f>VALUE(0)</f>
        <v>0</v>
      </c>
      <c r="AX230" s="23" t="s">
        <v>487</v>
      </c>
      <c r="AY230" s="23">
        <f>VALUE(0)</f>
        <v>0</v>
      </c>
      <c r="AZ230" s="23">
        <f>VALUE(0)</f>
        <v>0</v>
      </c>
      <c r="BA230" s="23">
        <f>VALUE(0)</f>
        <v>0</v>
      </c>
      <c r="BB230" s="23">
        <f>VALUE(0)</f>
        <v>0</v>
      </c>
      <c r="BC230" s="23">
        <f>VALUE(0)</f>
        <v>0</v>
      </c>
      <c r="BD230" s="23">
        <f>VALUE(0)</f>
        <v>0</v>
      </c>
      <c r="BE230" s="23">
        <f>VALUE(0)</f>
        <v>0</v>
      </c>
      <c r="BF230" s="23">
        <f>VALUE(0)</f>
        <v>0</v>
      </c>
      <c r="BG230" s="23">
        <f>VALUE(0)</f>
        <v>0</v>
      </c>
      <c r="BH230" s="23">
        <f>VALUE(0)</f>
        <v>0</v>
      </c>
      <c r="BI230" s="23">
        <f>VALUE(0)</f>
        <v>0</v>
      </c>
      <c r="BJ230" s="23">
        <f>VALUE(0)</f>
        <v>0</v>
      </c>
      <c r="BK230" s="12">
        <f>$AX$230*24</f>
        <v>4.083333333333333</v>
      </c>
      <c r="BL230" s="12">
        <f>$AY$230*24</f>
        <v>0</v>
      </c>
      <c r="BM230" s="12">
        <f>$BJ$230*24</f>
        <v>0</v>
      </c>
      <c r="BN230" s="12">
        <f>VALUE($I$230)/100</f>
        <v>0.7</v>
      </c>
      <c r="BO230" s="12">
        <v>0</v>
      </c>
      <c r="BP230" s="12">
        <v>0</v>
      </c>
      <c r="BQ230" s="12">
        <v>0</v>
      </c>
      <c r="BR230" s="12">
        <v>0</v>
      </c>
      <c r="BS230" s="12">
        <v>0</v>
      </c>
      <c r="BT230" s="12">
        <v>0</v>
      </c>
      <c r="BU230" s="12">
        <v>0</v>
      </c>
      <c r="BV230" s="12">
        <v>0</v>
      </c>
      <c r="BW230" s="12">
        <v>0</v>
      </c>
      <c r="BX230" s="12">
        <v>0</v>
      </c>
      <c r="BY230" s="12">
        <v>0</v>
      </c>
      <c r="BZ230" s="12">
        <v>0</v>
      </c>
      <c r="CA230" s="12">
        <v>0</v>
      </c>
    </row>
    <row r="231" spans="1:79" hidden="1" x14ac:dyDescent="0.2">
      <c r="A231" s="12" t="s">
        <v>127</v>
      </c>
      <c r="B231" s="12" t="s">
        <v>131</v>
      </c>
      <c r="C231" s="12" t="s">
        <v>131</v>
      </c>
      <c r="D231" s="22" t="s">
        <v>480</v>
      </c>
      <c r="E231" s="22" t="s">
        <v>173</v>
      </c>
      <c r="F231" s="22" t="s">
        <v>960</v>
      </c>
      <c r="G231" s="22" t="s">
        <v>961</v>
      </c>
      <c r="H231" s="22" t="s">
        <v>166</v>
      </c>
      <c r="I231" s="22" t="s">
        <v>343</v>
      </c>
      <c r="J231" s="22" t="s">
        <v>181</v>
      </c>
      <c r="K231" s="22" t="s">
        <v>89</v>
      </c>
      <c r="L231" s="54" t="s">
        <v>153</v>
      </c>
      <c r="M231" s="33" t="s">
        <v>475</v>
      </c>
      <c r="N231" s="24" t="s">
        <v>153</v>
      </c>
      <c r="O231" s="33" t="s">
        <v>475</v>
      </c>
      <c r="P231" s="33" t="s">
        <v>475</v>
      </c>
      <c r="Q231" s="33" t="s">
        <v>475</v>
      </c>
      <c r="R231" s="33" t="s">
        <v>475</v>
      </c>
      <c r="S231" s="33" t="s">
        <v>475</v>
      </c>
      <c r="T231" s="33" t="s">
        <v>475</v>
      </c>
      <c r="U231" s="24" t="s">
        <v>153</v>
      </c>
      <c r="V231" s="54" t="s">
        <v>153</v>
      </c>
      <c r="W231" s="33" t="s">
        <v>475</v>
      </c>
      <c r="X231" s="33" t="s">
        <v>475</v>
      </c>
      <c r="Y231" s="33" t="s">
        <v>475</v>
      </c>
      <c r="Z231" s="33" t="s">
        <v>475</v>
      </c>
      <c r="AA231" s="33" t="s">
        <v>475</v>
      </c>
      <c r="AB231" s="24" t="s">
        <v>153</v>
      </c>
      <c r="AC231" s="33" t="s">
        <v>475</v>
      </c>
      <c r="AD231" s="33" t="s">
        <v>475</v>
      </c>
      <c r="AE231" s="33" t="s">
        <v>475</v>
      </c>
      <c r="AF231" s="33" t="s">
        <v>475</v>
      </c>
      <c r="AG231" s="33" t="s">
        <v>475</v>
      </c>
      <c r="AH231" s="33" t="s">
        <v>475</v>
      </c>
      <c r="AI231" s="24" t="s">
        <v>153</v>
      </c>
      <c r="AJ231" s="33" t="s">
        <v>475</v>
      </c>
      <c r="AK231" s="33" t="s">
        <v>475</v>
      </c>
      <c r="AL231" s="33" t="s">
        <v>475</v>
      </c>
      <c r="AM231" s="33" t="s">
        <v>475</v>
      </c>
      <c r="AN231" s="33" t="s">
        <v>475</v>
      </c>
      <c r="AO231" s="33" t="s">
        <v>475</v>
      </c>
      <c r="AP231" s="23">
        <f>VALUE(0)</f>
        <v>0</v>
      </c>
      <c r="AQ231" s="23">
        <f>VALUE(0)</f>
        <v>0</v>
      </c>
      <c r="AR231" s="23">
        <f>VALUE(0)</f>
        <v>0</v>
      </c>
      <c r="AS231" s="23">
        <f>VALUE(0)</f>
        <v>0</v>
      </c>
      <c r="AT231" s="23">
        <f>VALUE(0)</f>
        <v>0</v>
      </c>
      <c r="AU231" s="23">
        <f>VALUE(0)</f>
        <v>0</v>
      </c>
      <c r="AV231" s="23">
        <f>VALUE(1.5)</f>
        <v>1.5</v>
      </c>
      <c r="AW231" s="23">
        <f>VALUE(0)</f>
        <v>0</v>
      </c>
      <c r="AX231" s="23" t="s">
        <v>171</v>
      </c>
      <c r="AY231" s="23">
        <f>VALUE(0)</f>
        <v>0</v>
      </c>
      <c r="AZ231" s="23">
        <f>VALUE(0)</f>
        <v>0</v>
      </c>
      <c r="BA231" s="23">
        <f>VALUE(0)</f>
        <v>0</v>
      </c>
      <c r="BB231" s="23">
        <f>VALUE(0)</f>
        <v>0</v>
      </c>
      <c r="BC231" s="23">
        <f>VALUE(0)</f>
        <v>0</v>
      </c>
      <c r="BD231" s="23">
        <f>VALUE(0)</f>
        <v>0</v>
      </c>
      <c r="BE231" s="23">
        <f>VALUE(0)</f>
        <v>0</v>
      </c>
      <c r="BF231" s="23">
        <f>VALUE(0)</f>
        <v>0</v>
      </c>
      <c r="BG231" s="23">
        <f>VALUE(0)</f>
        <v>0</v>
      </c>
      <c r="BH231" s="23">
        <f>VALUE(0)</f>
        <v>0</v>
      </c>
      <c r="BI231" s="23">
        <f>VALUE(0)</f>
        <v>0</v>
      </c>
      <c r="BJ231" s="23">
        <f>VALUE(0)</f>
        <v>0</v>
      </c>
      <c r="BK231" s="12">
        <f>$AX$231*24</f>
        <v>5.833333333333333</v>
      </c>
      <c r="BL231" s="12">
        <f>$AY$231*24</f>
        <v>0</v>
      </c>
      <c r="BM231" s="12">
        <f>$BJ$231*24</f>
        <v>0</v>
      </c>
      <c r="BN231" s="12">
        <f>VALUE($I$231)/100</f>
        <v>0.7</v>
      </c>
      <c r="BO231" s="12">
        <v>0</v>
      </c>
      <c r="BP231" s="12">
        <v>0</v>
      </c>
      <c r="BQ231" s="12">
        <v>0</v>
      </c>
      <c r="BR231" s="12">
        <v>0</v>
      </c>
      <c r="BS231" s="12">
        <v>0</v>
      </c>
      <c r="BT231" s="12">
        <v>0</v>
      </c>
      <c r="BU231" s="12">
        <v>0</v>
      </c>
      <c r="BV231" s="12">
        <v>0</v>
      </c>
      <c r="BW231" s="12">
        <v>0</v>
      </c>
      <c r="BX231" s="12">
        <v>0</v>
      </c>
      <c r="BY231" s="12">
        <v>0</v>
      </c>
      <c r="BZ231" s="12">
        <v>0</v>
      </c>
      <c r="CA231" s="12">
        <v>0</v>
      </c>
    </row>
    <row r="232" spans="1:79" ht="15" hidden="1" x14ac:dyDescent="0.25">
      <c r="A232" s="12" t="s">
        <v>127</v>
      </c>
      <c r="B232" s="12" t="s">
        <v>131</v>
      </c>
      <c r="C232" s="12" t="s">
        <v>131</v>
      </c>
      <c r="D232" s="31" t="s">
        <v>1248</v>
      </c>
      <c r="E232" s="31" t="s">
        <v>153</v>
      </c>
      <c r="F232" s="31" t="s">
        <v>175</v>
      </c>
      <c r="G232" s="31" t="s">
        <v>153</v>
      </c>
      <c r="H232" s="31" t="s">
        <v>153</v>
      </c>
      <c r="I232" s="31" t="s">
        <v>153</v>
      </c>
      <c r="J232" s="31" t="s">
        <v>153</v>
      </c>
      <c r="K232" s="31" t="s">
        <v>153</v>
      </c>
      <c r="L232" s="31">
        <f>VALUE(0)</f>
        <v>0</v>
      </c>
      <c r="M232" s="31">
        <f>VALUE(0)</f>
        <v>0</v>
      </c>
      <c r="N232" s="31">
        <f>VALUE(0)</f>
        <v>0</v>
      </c>
      <c r="O232" s="31">
        <f>VALUE(0)</f>
        <v>0</v>
      </c>
      <c r="P232" s="31">
        <f>VALUE(1)</f>
        <v>1</v>
      </c>
      <c r="Q232" s="31">
        <f>VALUE(1)</f>
        <v>1</v>
      </c>
      <c r="R232" s="31">
        <f>VALUE(1)</f>
        <v>1</v>
      </c>
      <c r="S232" s="31">
        <f>VALUE(1)</f>
        <v>1</v>
      </c>
      <c r="T232" s="31">
        <f>VALUE(1)</f>
        <v>1</v>
      </c>
      <c r="U232" s="31">
        <f>VALUE(0)</f>
        <v>0</v>
      </c>
      <c r="V232" s="31">
        <f>VALUE(0)</f>
        <v>0</v>
      </c>
      <c r="W232" s="31">
        <f>VALUE(1)</f>
        <v>1</v>
      </c>
      <c r="X232" s="31">
        <f>VALUE(1)</f>
        <v>1</v>
      </c>
      <c r="Y232" s="31">
        <f>VALUE(1)</f>
        <v>1</v>
      </c>
      <c r="Z232" s="31">
        <f>VALUE(1)</f>
        <v>1</v>
      </c>
      <c r="AA232" s="31">
        <f>VALUE(0)</f>
        <v>0</v>
      </c>
      <c r="AB232" s="31">
        <f>VALUE(0)</f>
        <v>0</v>
      </c>
      <c r="AC232" s="31">
        <f>VALUE(0)</f>
        <v>0</v>
      </c>
      <c r="AD232" s="31">
        <f>VALUE(1)</f>
        <v>1</v>
      </c>
      <c r="AE232" s="31">
        <f>VALUE(1)</f>
        <v>1</v>
      </c>
      <c r="AF232" s="31">
        <f>VALUE(1)</f>
        <v>1</v>
      </c>
      <c r="AG232" s="31">
        <f>VALUE(1)</f>
        <v>1</v>
      </c>
      <c r="AH232" s="31">
        <f>VALUE(1)</f>
        <v>1</v>
      </c>
      <c r="AI232" s="31">
        <f>VALUE(0)</f>
        <v>0</v>
      </c>
      <c r="AJ232" s="31">
        <f>VALUE(1)</f>
        <v>1</v>
      </c>
      <c r="AK232" s="31">
        <f>VALUE(1)</f>
        <v>1</v>
      </c>
      <c r="AL232" s="31">
        <f>VALUE(1)</f>
        <v>1</v>
      </c>
      <c r="AM232" s="31">
        <f>VALUE(1)</f>
        <v>1</v>
      </c>
      <c r="AN232" s="31">
        <f>VALUE(1)</f>
        <v>1</v>
      </c>
      <c r="AO232" s="31">
        <f>VALUE(0)</f>
        <v>0</v>
      </c>
      <c r="AP232" s="31">
        <v>0</v>
      </c>
      <c r="AQ232" s="31">
        <v>0</v>
      </c>
      <c r="AR232" s="31">
        <v>0</v>
      </c>
      <c r="AS232" s="31">
        <v>0</v>
      </c>
      <c r="AT232" s="31">
        <v>0</v>
      </c>
      <c r="AU232" s="31">
        <v>0</v>
      </c>
      <c r="AV232" s="31">
        <v>0</v>
      </c>
      <c r="AW232" s="31">
        <v>0</v>
      </c>
      <c r="AX232" s="31">
        <v>0</v>
      </c>
      <c r="AY232" s="31">
        <v>0</v>
      </c>
      <c r="AZ232" s="31">
        <v>0</v>
      </c>
      <c r="BA232" s="31">
        <v>0</v>
      </c>
      <c r="BB232" s="31">
        <v>0</v>
      </c>
      <c r="BC232" s="31">
        <v>0</v>
      </c>
      <c r="BD232" s="31">
        <v>0</v>
      </c>
      <c r="BE232" s="31">
        <v>0</v>
      </c>
      <c r="BF232" s="31">
        <v>0</v>
      </c>
      <c r="BG232" s="31">
        <v>0</v>
      </c>
      <c r="BH232" s="31">
        <v>0</v>
      </c>
      <c r="BI232" s="31">
        <v>0</v>
      </c>
      <c r="BJ232" s="31">
        <v>0</v>
      </c>
      <c r="BK232" s="12">
        <v>0</v>
      </c>
      <c r="BL232" s="12">
        <v>0</v>
      </c>
      <c r="BM232" s="12">
        <v>0</v>
      </c>
      <c r="BN232" s="12"/>
      <c r="BO232" s="12">
        <v>0</v>
      </c>
      <c r="BP232" s="12">
        <v>0</v>
      </c>
      <c r="BQ232" s="12">
        <v>0</v>
      </c>
      <c r="BR232" s="12">
        <v>0</v>
      </c>
      <c r="BS232" s="12">
        <v>0</v>
      </c>
      <c r="BT232" s="12">
        <v>0</v>
      </c>
      <c r="BU232" s="12">
        <v>0</v>
      </c>
      <c r="BV232" s="12">
        <v>0</v>
      </c>
      <c r="BW232" s="12">
        <v>0</v>
      </c>
      <c r="BX232" s="12">
        <v>0</v>
      </c>
      <c r="BY232" s="12">
        <v>0</v>
      </c>
      <c r="BZ232" s="12">
        <v>0</v>
      </c>
      <c r="CA232" s="12">
        <v>0</v>
      </c>
    </row>
    <row r="233" spans="1:79" ht="15" hidden="1" x14ac:dyDescent="0.25">
      <c r="A233" s="12" t="s">
        <v>132</v>
      </c>
      <c r="B233" s="12" t="s">
        <v>133</v>
      </c>
      <c r="C233" s="12" t="s">
        <v>133</v>
      </c>
      <c r="D233" s="31" t="s">
        <v>488</v>
      </c>
      <c r="E233" s="31" t="s">
        <v>153</v>
      </c>
      <c r="F233" s="31" t="s">
        <v>175</v>
      </c>
      <c r="G233" s="31" t="s">
        <v>153</v>
      </c>
      <c r="H233" s="31" t="s">
        <v>153</v>
      </c>
      <c r="I233" s="31" t="s">
        <v>153</v>
      </c>
      <c r="J233" s="31" t="s">
        <v>153</v>
      </c>
      <c r="K233" s="31" t="s">
        <v>153</v>
      </c>
      <c r="L233" s="31">
        <f>VALUE(0)</f>
        <v>0</v>
      </c>
      <c r="M233" s="31">
        <f>VALUE(0)</f>
        <v>0</v>
      </c>
      <c r="N233" s="31">
        <f>VALUE(0)</f>
        <v>0</v>
      </c>
      <c r="O233" s="31">
        <f>VALUE(0)</f>
        <v>0</v>
      </c>
      <c r="P233" s="31">
        <f>VALUE(0)</f>
        <v>0</v>
      </c>
      <c r="Q233" s="31">
        <f>VALUE(0)</f>
        <v>0</v>
      </c>
      <c r="R233" s="31">
        <f>VALUE(0)</f>
        <v>0</v>
      </c>
      <c r="S233" s="31">
        <f>VALUE(0)</f>
        <v>0</v>
      </c>
      <c r="T233" s="31">
        <f>VALUE(0)</f>
        <v>0</v>
      </c>
      <c r="U233" s="31">
        <f>VALUE(0)</f>
        <v>0</v>
      </c>
      <c r="V233" s="31">
        <f>VALUE(0)</f>
        <v>0</v>
      </c>
      <c r="W233" s="31">
        <f>VALUE(0)</f>
        <v>0</v>
      </c>
      <c r="X233" s="31">
        <f>VALUE(0)</f>
        <v>0</v>
      </c>
      <c r="Y233" s="31">
        <f>VALUE(0)</f>
        <v>0</v>
      </c>
      <c r="Z233" s="31">
        <f>VALUE(0)</f>
        <v>0</v>
      </c>
      <c r="AA233" s="31">
        <f>VALUE(0)</f>
        <v>0</v>
      </c>
      <c r="AB233" s="31">
        <f>VALUE(0)</f>
        <v>0</v>
      </c>
      <c r="AC233" s="31">
        <f>VALUE(0)</f>
        <v>0</v>
      </c>
      <c r="AD233" s="31">
        <f>VALUE(0)</f>
        <v>0</v>
      </c>
      <c r="AE233" s="31">
        <f>VALUE(0)</f>
        <v>0</v>
      </c>
      <c r="AF233" s="31">
        <f>VALUE(0)</f>
        <v>0</v>
      </c>
      <c r="AG233" s="31">
        <f>VALUE(0)</f>
        <v>0</v>
      </c>
      <c r="AH233" s="31">
        <f>VALUE(0)</f>
        <v>0</v>
      </c>
      <c r="AI233" s="31">
        <f>VALUE(0)</f>
        <v>0</v>
      </c>
      <c r="AJ233" s="31">
        <f>VALUE(0)</f>
        <v>0</v>
      </c>
      <c r="AK233" s="31">
        <f>VALUE(0)</f>
        <v>0</v>
      </c>
      <c r="AL233" s="31">
        <f>VALUE(0)</f>
        <v>0</v>
      </c>
      <c r="AM233" s="31">
        <f>VALUE(0)</f>
        <v>0</v>
      </c>
      <c r="AN233" s="31">
        <f>VALUE(0)</f>
        <v>0</v>
      </c>
      <c r="AO233" s="31">
        <f>VALUE(0)</f>
        <v>0</v>
      </c>
      <c r="AP233" s="31">
        <v>0</v>
      </c>
      <c r="AQ233" s="31">
        <v>0</v>
      </c>
      <c r="AR233" s="31">
        <v>0</v>
      </c>
      <c r="AS233" s="31">
        <v>0</v>
      </c>
      <c r="AT233" s="31">
        <v>0</v>
      </c>
      <c r="AU233" s="31">
        <v>0</v>
      </c>
      <c r="AV233" s="31">
        <v>0</v>
      </c>
      <c r="AW233" s="31">
        <v>0</v>
      </c>
      <c r="AX233" s="31">
        <v>0</v>
      </c>
      <c r="AY233" s="31">
        <v>0</v>
      </c>
      <c r="AZ233" s="31">
        <v>0</v>
      </c>
      <c r="BA233" s="31">
        <v>0</v>
      </c>
      <c r="BB233" s="31">
        <v>0</v>
      </c>
      <c r="BC233" s="31">
        <v>0</v>
      </c>
      <c r="BD233" s="31">
        <v>0</v>
      </c>
      <c r="BE233" s="31">
        <v>0</v>
      </c>
      <c r="BF233" s="31">
        <v>0</v>
      </c>
      <c r="BG233" s="31">
        <v>0</v>
      </c>
      <c r="BH233" s="31">
        <v>0</v>
      </c>
      <c r="BI233" s="31">
        <v>0</v>
      </c>
      <c r="BJ233" s="31">
        <v>0</v>
      </c>
      <c r="BK233" s="12">
        <v>0</v>
      </c>
      <c r="BL233" s="12">
        <v>0</v>
      </c>
      <c r="BM233" s="12">
        <v>0</v>
      </c>
      <c r="BN233" s="12"/>
      <c r="BO233" s="12">
        <v>0</v>
      </c>
      <c r="BP233" s="12">
        <v>0</v>
      </c>
      <c r="BQ233" s="12">
        <v>0</v>
      </c>
      <c r="BR233" s="12">
        <v>0</v>
      </c>
      <c r="BS233" s="12">
        <v>0</v>
      </c>
      <c r="BT233" s="12">
        <v>0</v>
      </c>
      <c r="BU233" s="12">
        <v>0</v>
      </c>
      <c r="BV233" s="12">
        <v>0</v>
      </c>
      <c r="BW233" s="12">
        <v>0</v>
      </c>
      <c r="BX233" s="12">
        <v>0</v>
      </c>
      <c r="BY233" s="12">
        <v>0</v>
      </c>
      <c r="BZ233" s="12">
        <v>0</v>
      </c>
      <c r="CA233" s="12">
        <v>0</v>
      </c>
    </row>
    <row r="234" spans="1:79" ht="15" hidden="1" x14ac:dyDescent="0.25">
      <c r="A234" s="12" t="s">
        <v>132</v>
      </c>
      <c r="B234" s="12" t="s">
        <v>134</v>
      </c>
      <c r="C234" s="12" t="s">
        <v>134</v>
      </c>
      <c r="D234" s="31" t="s">
        <v>488</v>
      </c>
      <c r="E234" s="31" t="s">
        <v>153</v>
      </c>
      <c r="F234" s="31" t="s">
        <v>175</v>
      </c>
      <c r="G234" s="31" t="s">
        <v>153</v>
      </c>
      <c r="H234" s="31" t="s">
        <v>153</v>
      </c>
      <c r="I234" s="31" t="s">
        <v>153</v>
      </c>
      <c r="J234" s="31" t="s">
        <v>153</v>
      </c>
      <c r="K234" s="31" t="s">
        <v>153</v>
      </c>
      <c r="L234" s="31">
        <f>VALUE(0)</f>
        <v>0</v>
      </c>
      <c r="M234" s="31">
        <f>VALUE(0)</f>
        <v>0</v>
      </c>
      <c r="N234" s="31">
        <f>VALUE(0)</f>
        <v>0</v>
      </c>
      <c r="O234" s="31">
        <f>VALUE(0)</f>
        <v>0</v>
      </c>
      <c r="P234" s="31">
        <f>VALUE(0)</f>
        <v>0</v>
      </c>
      <c r="Q234" s="31">
        <f>VALUE(0)</f>
        <v>0</v>
      </c>
      <c r="R234" s="31">
        <f>VALUE(0)</f>
        <v>0</v>
      </c>
      <c r="S234" s="31">
        <f>VALUE(0)</f>
        <v>0</v>
      </c>
      <c r="T234" s="31">
        <f>VALUE(0)</f>
        <v>0</v>
      </c>
      <c r="U234" s="31">
        <f>VALUE(0)</f>
        <v>0</v>
      </c>
      <c r="V234" s="31">
        <f>VALUE(0)</f>
        <v>0</v>
      </c>
      <c r="W234" s="31">
        <f>VALUE(0)</f>
        <v>0</v>
      </c>
      <c r="X234" s="31">
        <f>VALUE(0)</f>
        <v>0</v>
      </c>
      <c r="Y234" s="31">
        <f>VALUE(0)</f>
        <v>0</v>
      </c>
      <c r="Z234" s="31">
        <f>VALUE(0)</f>
        <v>0</v>
      </c>
      <c r="AA234" s="31">
        <f>VALUE(0)</f>
        <v>0</v>
      </c>
      <c r="AB234" s="31">
        <f>VALUE(0)</f>
        <v>0</v>
      </c>
      <c r="AC234" s="31">
        <f>VALUE(0)</f>
        <v>0</v>
      </c>
      <c r="AD234" s="31">
        <f>VALUE(0)</f>
        <v>0</v>
      </c>
      <c r="AE234" s="31">
        <f>VALUE(0)</f>
        <v>0</v>
      </c>
      <c r="AF234" s="31">
        <f>VALUE(0)</f>
        <v>0</v>
      </c>
      <c r="AG234" s="31">
        <f>VALUE(0)</f>
        <v>0</v>
      </c>
      <c r="AH234" s="31">
        <f>VALUE(0)</f>
        <v>0</v>
      </c>
      <c r="AI234" s="31">
        <f>VALUE(0)</f>
        <v>0</v>
      </c>
      <c r="AJ234" s="31">
        <f>VALUE(0)</f>
        <v>0</v>
      </c>
      <c r="AK234" s="31">
        <f>VALUE(0)</f>
        <v>0</v>
      </c>
      <c r="AL234" s="31">
        <f>VALUE(0)</f>
        <v>0</v>
      </c>
      <c r="AM234" s="31">
        <f>VALUE(0)</f>
        <v>0</v>
      </c>
      <c r="AN234" s="31">
        <f>VALUE(0)</f>
        <v>0</v>
      </c>
      <c r="AO234" s="31">
        <f>VALUE(0)</f>
        <v>0</v>
      </c>
      <c r="AP234" s="31">
        <v>0</v>
      </c>
      <c r="AQ234" s="31">
        <v>0</v>
      </c>
      <c r="AR234" s="31">
        <v>0</v>
      </c>
      <c r="AS234" s="31">
        <v>0</v>
      </c>
      <c r="AT234" s="31">
        <v>0</v>
      </c>
      <c r="AU234" s="31">
        <v>0</v>
      </c>
      <c r="AV234" s="31">
        <v>0</v>
      </c>
      <c r="AW234" s="31">
        <v>0</v>
      </c>
      <c r="AX234" s="31">
        <v>0</v>
      </c>
      <c r="AY234" s="31">
        <v>0</v>
      </c>
      <c r="AZ234" s="31">
        <v>0</v>
      </c>
      <c r="BA234" s="31">
        <v>0</v>
      </c>
      <c r="BB234" s="31">
        <v>0</v>
      </c>
      <c r="BC234" s="31">
        <v>0</v>
      </c>
      <c r="BD234" s="31">
        <v>0</v>
      </c>
      <c r="BE234" s="31">
        <v>0</v>
      </c>
      <c r="BF234" s="31">
        <v>0</v>
      </c>
      <c r="BG234" s="31">
        <v>0</v>
      </c>
      <c r="BH234" s="31">
        <v>0</v>
      </c>
      <c r="BI234" s="31">
        <v>0</v>
      </c>
      <c r="BJ234" s="31">
        <v>0</v>
      </c>
      <c r="BK234" s="12">
        <v>0</v>
      </c>
      <c r="BL234" s="12">
        <v>0</v>
      </c>
      <c r="BM234" s="12">
        <v>0</v>
      </c>
      <c r="BN234" s="12"/>
      <c r="BO234" s="12">
        <v>0</v>
      </c>
      <c r="BP234" s="12">
        <v>0</v>
      </c>
      <c r="BQ234" s="12">
        <v>0</v>
      </c>
      <c r="BR234" s="12">
        <v>0</v>
      </c>
      <c r="BS234" s="12">
        <v>0</v>
      </c>
      <c r="BT234" s="12">
        <v>0</v>
      </c>
      <c r="BU234" s="12">
        <v>0</v>
      </c>
      <c r="BV234" s="12">
        <v>0</v>
      </c>
      <c r="BW234" s="12">
        <v>0</v>
      </c>
      <c r="BX234" s="12">
        <v>0</v>
      </c>
      <c r="BY234" s="12">
        <v>0</v>
      </c>
      <c r="BZ234" s="12">
        <v>0</v>
      </c>
      <c r="CA234" s="12">
        <v>0</v>
      </c>
    </row>
    <row r="235" spans="1:79" ht="16.5" hidden="1" x14ac:dyDescent="0.2">
      <c r="A235" s="12" t="s">
        <v>135</v>
      </c>
      <c r="B235" s="12" t="s">
        <v>136</v>
      </c>
      <c r="C235" s="12" t="s">
        <v>136</v>
      </c>
      <c r="D235" s="22" t="s">
        <v>1263</v>
      </c>
      <c r="E235" s="22" t="s">
        <v>149</v>
      </c>
      <c r="F235" s="22" t="s">
        <v>962</v>
      </c>
      <c r="G235" s="22" t="s">
        <v>963</v>
      </c>
      <c r="H235" s="22" t="s">
        <v>150</v>
      </c>
      <c r="I235" s="22" t="s">
        <v>151</v>
      </c>
      <c r="J235" s="22" t="s">
        <v>152</v>
      </c>
      <c r="K235" s="22" t="s">
        <v>92</v>
      </c>
      <c r="L235" s="54" t="s">
        <v>153</v>
      </c>
      <c r="M235" s="24" t="s">
        <v>156</v>
      </c>
      <c r="N235" s="24" t="s">
        <v>153</v>
      </c>
      <c r="O235" s="34" t="s">
        <v>489</v>
      </c>
      <c r="P235" s="23" t="s">
        <v>489</v>
      </c>
      <c r="Q235" s="23" t="s">
        <v>489</v>
      </c>
      <c r="R235" s="23" t="s">
        <v>489</v>
      </c>
      <c r="S235" s="23" t="s">
        <v>490</v>
      </c>
      <c r="T235" s="23" t="s">
        <v>490</v>
      </c>
      <c r="U235" s="24" t="s">
        <v>153</v>
      </c>
      <c r="V235" s="54" t="s">
        <v>153</v>
      </c>
      <c r="W235" s="26" t="s">
        <v>1264</v>
      </c>
      <c r="X235" s="26" t="s">
        <v>155</v>
      </c>
      <c r="Y235" s="23" t="s">
        <v>155</v>
      </c>
      <c r="Z235" s="25" t="s">
        <v>1265</v>
      </c>
      <c r="AA235" s="24" t="s">
        <v>156</v>
      </c>
      <c r="AB235" s="24" t="s">
        <v>153</v>
      </c>
      <c r="AC235" s="34" t="s">
        <v>492</v>
      </c>
      <c r="AD235" s="23" t="s">
        <v>492</v>
      </c>
      <c r="AE235" s="23" t="s">
        <v>491</v>
      </c>
      <c r="AF235" s="26" t="s">
        <v>1264</v>
      </c>
      <c r="AG235" s="26" t="s">
        <v>1264</v>
      </c>
      <c r="AH235" s="29" t="s">
        <v>163</v>
      </c>
      <c r="AI235" s="24" t="s">
        <v>153</v>
      </c>
      <c r="AJ235" s="29" t="s">
        <v>163</v>
      </c>
      <c r="AK235" s="35" t="s">
        <v>170</v>
      </c>
      <c r="AL235" s="35" t="s">
        <v>170</v>
      </c>
      <c r="AM235" s="35" t="s">
        <v>170</v>
      </c>
      <c r="AN235" s="35" t="s">
        <v>170</v>
      </c>
      <c r="AO235" s="24" t="s">
        <v>156</v>
      </c>
      <c r="AP235" s="23">
        <f>VALUE(0)</f>
        <v>0</v>
      </c>
      <c r="AQ235" s="23">
        <f>VALUE(0)</f>
        <v>0</v>
      </c>
      <c r="AR235" s="23">
        <f>VALUE(2)</f>
        <v>2</v>
      </c>
      <c r="AS235" s="23">
        <f>VALUE(0)</f>
        <v>0</v>
      </c>
      <c r="AT235" s="23">
        <f>VALUE(0)</f>
        <v>0</v>
      </c>
      <c r="AU235" s="23">
        <f>VALUE(0)</f>
        <v>0</v>
      </c>
      <c r="AV235" s="23">
        <f>VALUE(19)</f>
        <v>19</v>
      </c>
      <c r="AW235" s="23">
        <f>VALUE(0)</f>
        <v>0</v>
      </c>
      <c r="AX235" s="23" t="s">
        <v>171</v>
      </c>
      <c r="AY235" s="23" t="s">
        <v>292</v>
      </c>
      <c r="AZ235" s="23">
        <f>VALUE(0)</f>
        <v>0</v>
      </c>
      <c r="BA235" s="23">
        <f>VALUE(0)</f>
        <v>0</v>
      </c>
      <c r="BB235" s="23">
        <f>VALUE(0)</f>
        <v>0</v>
      </c>
      <c r="BC235" s="23">
        <f>VALUE(0)</f>
        <v>0</v>
      </c>
      <c r="BD235" s="23">
        <f>VALUE(2)</f>
        <v>2</v>
      </c>
      <c r="BE235" s="23">
        <f>VALUE(5)</f>
        <v>5</v>
      </c>
      <c r="BF235" s="23">
        <f>VALUE(0)</f>
        <v>0</v>
      </c>
      <c r="BG235" s="23">
        <f>VALUE(0)</f>
        <v>0</v>
      </c>
      <c r="BH235" s="23">
        <f>VALUE(0)</f>
        <v>0</v>
      </c>
      <c r="BI235" s="23">
        <f>VALUE(0)</f>
        <v>0</v>
      </c>
      <c r="BJ235" s="23">
        <f>VALUE(0)</f>
        <v>0</v>
      </c>
      <c r="BK235" s="12">
        <f>$AX$235*24</f>
        <v>5.833333333333333</v>
      </c>
      <c r="BL235" s="12">
        <f>$AY$235*24</f>
        <v>3.6499999999999995</v>
      </c>
      <c r="BM235" s="12">
        <f>$BJ$235*24</f>
        <v>0</v>
      </c>
      <c r="BN235" s="12">
        <f>VALUE($I$235)/100</f>
        <v>1</v>
      </c>
      <c r="BO235" s="12">
        <v>0</v>
      </c>
      <c r="BP235" s="12">
        <v>0</v>
      </c>
      <c r="BQ235" s="12">
        <v>0</v>
      </c>
      <c r="BR235" s="12">
        <v>1</v>
      </c>
      <c r="BS235" s="12">
        <v>0</v>
      </c>
      <c r="BT235" s="12">
        <v>2</v>
      </c>
      <c r="BU235" s="12">
        <v>0</v>
      </c>
      <c r="BV235" s="12">
        <v>0</v>
      </c>
      <c r="BW235" s="12">
        <v>0</v>
      </c>
      <c r="BX235" s="12">
        <v>0</v>
      </c>
      <c r="BY235" s="12">
        <v>0</v>
      </c>
      <c r="BZ235" s="12">
        <v>0</v>
      </c>
      <c r="CA235" s="12">
        <v>0</v>
      </c>
    </row>
    <row r="236" spans="1:79" hidden="1" x14ac:dyDescent="0.2">
      <c r="A236" s="12" t="s">
        <v>135</v>
      </c>
      <c r="B236" s="12" t="s">
        <v>136</v>
      </c>
      <c r="C236" s="12" t="s">
        <v>136</v>
      </c>
      <c r="D236" s="22" t="s">
        <v>494</v>
      </c>
      <c r="E236" s="22" t="s">
        <v>161</v>
      </c>
      <c r="F236" s="22" t="s">
        <v>964</v>
      </c>
      <c r="G236" s="22" t="s">
        <v>965</v>
      </c>
      <c r="H236" s="22" t="s">
        <v>150</v>
      </c>
      <c r="I236" s="22" t="s">
        <v>151</v>
      </c>
      <c r="J236" s="22" t="s">
        <v>162</v>
      </c>
      <c r="K236" s="22" t="s">
        <v>92</v>
      </c>
      <c r="L236" s="54" t="s">
        <v>153</v>
      </c>
      <c r="M236" s="23" t="s">
        <v>153</v>
      </c>
      <c r="N236" s="24" t="s">
        <v>153</v>
      </c>
      <c r="O236" s="23" t="s">
        <v>153</v>
      </c>
      <c r="P236" s="23" t="s">
        <v>153</v>
      </c>
      <c r="Q236" s="23" t="s">
        <v>153</v>
      </c>
      <c r="R236" s="23" t="s">
        <v>153</v>
      </c>
      <c r="S236" s="23" t="s">
        <v>153</v>
      </c>
      <c r="T236" s="23" t="s">
        <v>153</v>
      </c>
      <c r="U236" s="24" t="s">
        <v>153</v>
      </c>
      <c r="V236" s="54" t="s">
        <v>153</v>
      </c>
      <c r="W236" s="28" t="s">
        <v>338</v>
      </c>
      <c r="X236" s="28" t="s">
        <v>338</v>
      </c>
      <c r="Y236" s="28" t="s">
        <v>338</v>
      </c>
      <c r="Z236" s="28" t="s">
        <v>338</v>
      </c>
      <c r="AA236" s="28" t="s">
        <v>338</v>
      </c>
      <c r="AB236" s="24" t="s">
        <v>153</v>
      </c>
      <c r="AC236" s="23" t="s">
        <v>153</v>
      </c>
      <c r="AD236" s="23" t="s">
        <v>153</v>
      </c>
      <c r="AE236" s="23" t="s">
        <v>153</v>
      </c>
      <c r="AF236" s="23" t="s">
        <v>153</v>
      </c>
      <c r="AG236" s="24" t="s">
        <v>156</v>
      </c>
      <c r="AH236" s="24" t="s">
        <v>156</v>
      </c>
      <c r="AI236" s="24" t="s">
        <v>153</v>
      </c>
      <c r="AJ236" s="23" t="s">
        <v>153</v>
      </c>
      <c r="AK236" s="23" t="s">
        <v>153</v>
      </c>
      <c r="AL236" s="23" t="s">
        <v>153</v>
      </c>
      <c r="AM236" s="23" t="s">
        <v>153</v>
      </c>
      <c r="AN236" s="23" t="s">
        <v>153</v>
      </c>
      <c r="AO236" s="23" t="s">
        <v>153</v>
      </c>
      <c r="AP236" s="23">
        <f>VALUE(0)</f>
        <v>0</v>
      </c>
      <c r="AQ236" s="23">
        <f>VALUE(0)</f>
        <v>0</v>
      </c>
      <c r="AR236" s="23">
        <f>VALUE(0)</f>
        <v>0</v>
      </c>
      <c r="AS236" s="23">
        <f>VALUE(0)</f>
        <v>0</v>
      </c>
      <c r="AT236" s="23">
        <f>VALUE(5)</f>
        <v>5</v>
      </c>
      <c r="AU236" s="23">
        <f>VALUE(0)</f>
        <v>0</v>
      </c>
      <c r="AV236" s="23">
        <f>VALUE(8)</f>
        <v>8</v>
      </c>
      <c r="AW236" s="23">
        <f>VALUE(0)</f>
        <v>0</v>
      </c>
      <c r="AX236" s="23" t="s">
        <v>171</v>
      </c>
      <c r="AY236" s="23" t="s">
        <v>424</v>
      </c>
      <c r="AZ236" s="23">
        <f>VALUE(0)</f>
        <v>0</v>
      </c>
      <c r="BA236" s="23">
        <f>VALUE(0)</f>
        <v>0</v>
      </c>
      <c r="BB236" s="23">
        <f>VALUE(0)</f>
        <v>0</v>
      </c>
      <c r="BC236" s="23">
        <f>VALUE(0)</f>
        <v>0</v>
      </c>
      <c r="BD236" s="23">
        <f>VALUE(0)</f>
        <v>0</v>
      </c>
      <c r="BE236" s="23">
        <f>VALUE(0)</f>
        <v>0</v>
      </c>
      <c r="BF236" s="23">
        <f>VALUE(0)</f>
        <v>0</v>
      </c>
      <c r="BG236" s="23">
        <f>VALUE(0)</f>
        <v>0</v>
      </c>
      <c r="BH236" s="23">
        <f>VALUE(0)</f>
        <v>0</v>
      </c>
      <c r="BI236" s="23">
        <f>VALUE(0)</f>
        <v>0</v>
      </c>
      <c r="BJ236" s="23">
        <f>VALUE(0)</f>
        <v>0</v>
      </c>
      <c r="BK236" s="12">
        <f>$AX$236*24</f>
        <v>5.833333333333333</v>
      </c>
      <c r="BL236" s="12">
        <f>$AY$236*24</f>
        <v>2.4666666666666668</v>
      </c>
      <c r="BM236" s="12">
        <f>$BJ$236*24</f>
        <v>0</v>
      </c>
      <c r="BN236" s="12">
        <f>VALUE($I$236)/100</f>
        <v>1</v>
      </c>
      <c r="BO236" s="12">
        <v>0</v>
      </c>
      <c r="BP236" s="12">
        <v>0</v>
      </c>
      <c r="BQ236" s="12">
        <v>0</v>
      </c>
      <c r="BR236" s="12">
        <v>0</v>
      </c>
      <c r="BS236" s="12">
        <v>0</v>
      </c>
      <c r="BT236" s="12">
        <v>0</v>
      </c>
      <c r="BU236" s="12">
        <v>0</v>
      </c>
      <c r="BV236" s="12">
        <v>0</v>
      </c>
      <c r="BW236" s="12">
        <v>0</v>
      </c>
      <c r="BX236" s="12">
        <v>0</v>
      </c>
      <c r="BY236" s="12">
        <v>5</v>
      </c>
      <c r="BZ236" s="12">
        <v>0</v>
      </c>
      <c r="CA236" s="12">
        <v>0</v>
      </c>
    </row>
    <row r="237" spans="1:79" hidden="1" x14ac:dyDescent="0.2">
      <c r="A237" s="12" t="s">
        <v>135</v>
      </c>
      <c r="B237" s="12" t="s">
        <v>136</v>
      </c>
      <c r="C237" s="12" t="s">
        <v>136</v>
      </c>
      <c r="D237" s="22" t="s">
        <v>495</v>
      </c>
      <c r="E237" s="22" t="s">
        <v>161</v>
      </c>
      <c r="F237" s="22" t="s">
        <v>966</v>
      </c>
      <c r="G237" s="22" t="s">
        <v>967</v>
      </c>
      <c r="H237" s="22" t="s">
        <v>150</v>
      </c>
      <c r="I237" s="22" t="s">
        <v>151</v>
      </c>
      <c r="J237" s="22" t="s">
        <v>162</v>
      </c>
      <c r="K237" s="22" t="s">
        <v>92</v>
      </c>
      <c r="L237" s="54" t="s">
        <v>153</v>
      </c>
      <c r="M237" s="23" t="s">
        <v>153</v>
      </c>
      <c r="N237" s="24" t="s">
        <v>153</v>
      </c>
      <c r="O237" s="23" t="s">
        <v>153</v>
      </c>
      <c r="P237" s="23" t="s">
        <v>153</v>
      </c>
      <c r="Q237" s="23" t="s">
        <v>153</v>
      </c>
      <c r="R237" s="23" t="s">
        <v>153</v>
      </c>
      <c r="S237" s="23" t="s">
        <v>153</v>
      </c>
      <c r="T237" s="23" t="s">
        <v>153</v>
      </c>
      <c r="U237" s="24" t="s">
        <v>153</v>
      </c>
      <c r="V237" s="54" t="s">
        <v>156</v>
      </c>
      <c r="W237" s="24" t="s">
        <v>156</v>
      </c>
      <c r="X237" s="23" t="s">
        <v>153</v>
      </c>
      <c r="Y237" s="23" t="s">
        <v>153</v>
      </c>
      <c r="Z237" s="23" t="s">
        <v>153</v>
      </c>
      <c r="AA237" s="23" t="s">
        <v>153</v>
      </c>
      <c r="AB237" s="24" t="s">
        <v>153</v>
      </c>
      <c r="AC237" s="23" t="s">
        <v>153</v>
      </c>
      <c r="AD237" s="23" t="s">
        <v>153</v>
      </c>
      <c r="AE237" s="23" t="s">
        <v>153</v>
      </c>
      <c r="AF237" s="23" t="s">
        <v>153</v>
      </c>
      <c r="AG237" s="23" t="s">
        <v>153</v>
      </c>
      <c r="AH237" s="23" t="s">
        <v>153</v>
      </c>
      <c r="AI237" s="24" t="s">
        <v>153</v>
      </c>
      <c r="AJ237" s="23" t="s">
        <v>153</v>
      </c>
      <c r="AK237" s="23" t="s">
        <v>153</v>
      </c>
      <c r="AL237" s="23" t="s">
        <v>153</v>
      </c>
      <c r="AM237" s="23" t="s">
        <v>153</v>
      </c>
      <c r="AN237" s="23" t="s">
        <v>153</v>
      </c>
      <c r="AO237" s="23" t="s">
        <v>153</v>
      </c>
      <c r="AP237" s="23">
        <f>VALUE(0)</f>
        <v>0</v>
      </c>
      <c r="AQ237" s="23">
        <f>VALUE(0)</f>
        <v>0</v>
      </c>
      <c r="AR237" s="23">
        <f>VALUE(0)</f>
        <v>0</v>
      </c>
      <c r="AS237" s="23">
        <f>VALUE(0)</f>
        <v>0</v>
      </c>
      <c r="AT237" s="23">
        <f>VALUE(0)</f>
        <v>0</v>
      </c>
      <c r="AU237" s="23">
        <f>VALUE(0)</f>
        <v>0</v>
      </c>
      <c r="AV237" s="23">
        <f>VALUE(11)</f>
        <v>11</v>
      </c>
      <c r="AW237" s="23">
        <f>VALUE(0)</f>
        <v>0</v>
      </c>
      <c r="AX237" s="23" t="s">
        <v>158</v>
      </c>
      <c r="AY237" s="23" t="s">
        <v>496</v>
      </c>
      <c r="AZ237" s="23">
        <f>VALUE(0)</f>
        <v>0</v>
      </c>
      <c r="BA237" s="23">
        <f>VALUE(0)</f>
        <v>0</v>
      </c>
      <c r="BB237" s="23">
        <f>VALUE(0)</f>
        <v>0</v>
      </c>
      <c r="BC237" s="23">
        <f>VALUE(0)</f>
        <v>0</v>
      </c>
      <c r="BD237" s="23">
        <f>VALUE(0)</f>
        <v>0</v>
      </c>
      <c r="BE237" s="23">
        <f>VALUE(0)</f>
        <v>0</v>
      </c>
      <c r="BF237" s="23">
        <f>VALUE(0)</f>
        <v>0</v>
      </c>
      <c r="BG237" s="23">
        <f>VALUE(0)</f>
        <v>0</v>
      </c>
      <c r="BH237" s="23">
        <f>VALUE(0)</f>
        <v>0</v>
      </c>
      <c r="BI237" s="23">
        <f>VALUE(0)</f>
        <v>0</v>
      </c>
      <c r="BJ237" s="23">
        <f>VALUE(0)</f>
        <v>0</v>
      </c>
      <c r="BK237" s="12">
        <f>$AX$237*24</f>
        <v>11.666666666666666</v>
      </c>
      <c r="BL237" s="12">
        <f>$AY$237*24</f>
        <v>0.71666666666666667</v>
      </c>
      <c r="BM237" s="12">
        <f>$BJ$237*24</f>
        <v>0</v>
      </c>
      <c r="BN237" s="12">
        <f>VALUE($I$237)/100</f>
        <v>1</v>
      </c>
      <c r="BO237" s="12">
        <v>0</v>
      </c>
      <c r="BP237" s="12">
        <v>0</v>
      </c>
      <c r="BQ237" s="12">
        <v>0</v>
      </c>
      <c r="BR237" s="12">
        <v>0</v>
      </c>
      <c r="BS237" s="12">
        <v>0</v>
      </c>
      <c r="BT237" s="12">
        <v>0</v>
      </c>
      <c r="BU237" s="12">
        <v>0</v>
      </c>
      <c r="BV237" s="12">
        <v>0</v>
      </c>
      <c r="BW237" s="12">
        <v>0</v>
      </c>
      <c r="BX237" s="12">
        <v>0</v>
      </c>
      <c r="BY237" s="12">
        <v>0</v>
      </c>
      <c r="BZ237" s="12">
        <v>0</v>
      </c>
      <c r="CA237" s="12">
        <v>0</v>
      </c>
    </row>
    <row r="238" spans="1:79" hidden="1" x14ac:dyDescent="0.2">
      <c r="A238" s="12" t="s">
        <v>135</v>
      </c>
      <c r="B238" s="12" t="s">
        <v>136</v>
      </c>
      <c r="C238" s="12" t="s">
        <v>136</v>
      </c>
      <c r="D238" s="22" t="s">
        <v>497</v>
      </c>
      <c r="E238" s="22" t="s">
        <v>161</v>
      </c>
      <c r="F238" s="22" t="s">
        <v>968</v>
      </c>
      <c r="G238" s="22" t="s">
        <v>969</v>
      </c>
      <c r="H238" s="22" t="s">
        <v>150</v>
      </c>
      <c r="I238" s="22" t="s">
        <v>151</v>
      </c>
      <c r="J238" s="22" t="s">
        <v>162</v>
      </c>
      <c r="K238" s="22" t="s">
        <v>92</v>
      </c>
      <c r="L238" s="28" t="s">
        <v>338</v>
      </c>
      <c r="M238" s="28" t="s">
        <v>338</v>
      </c>
      <c r="N238" s="24" t="s">
        <v>153</v>
      </c>
      <c r="O238" s="23" t="s">
        <v>153</v>
      </c>
      <c r="P238" s="23" t="s">
        <v>153</v>
      </c>
      <c r="Q238" s="23" t="s">
        <v>153</v>
      </c>
      <c r="R238" s="23" t="s">
        <v>153</v>
      </c>
      <c r="S238" s="23" t="s">
        <v>153</v>
      </c>
      <c r="T238" s="23" t="s">
        <v>153</v>
      </c>
      <c r="U238" s="24" t="s">
        <v>153</v>
      </c>
      <c r="V238" s="54" t="s">
        <v>153</v>
      </c>
      <c r="W238" s="23" t="s">
        <v>153</v>
      </c>
      <c r="X238" s="23" t="s">
        <v>153</v>
      </c>
      <c r="Y238" s="23" t="s">
        <v>153</v>
      </c>
      <c r="Z238" s="23" t="s">
        <v>153</v>
      </c>
      <c r="AA238" s="23" t="s">
        <v>153</v>
      </c>
      <c r="AB238" s="24" t="s">
        <v>153</v>
      </c>
      <c r="AC238" s="23" t="s">
        <v>153</v>
      </c>
      <c r="AD238" s="23" t="s">
        <v>153</v>
      </c>
      <c r="AE238" s="23" t="s">
        <v>153</v>
      </c>
      <c r="AF238" s="23" t="s">
        <v>153</v>
      </c>
      <c r="AG238" s="23" t="s">
        <v>153</v>
      </c>
      <c r="AH238" s="23" t="s">
        <v>153</v>
      </c>
      <c r="AI238" s="24" t="s">
        <v>153</v>
      </c>
      <c r="AJ238" s="23" t="s">
        <v>153</v>
      </c>
      <c r="AK238" s="23" t="s">
        <v>153</v>
      </c>
      <c r="AL238" s="24" t="s">
        <v>156</v>
      </c>
      <c r="AM238" s="24" t="s">
        <v>156</v>
      </c>
      <c r="AN238" s="23" t="s">
        <v>153</v>
      </c>
      <c r="AO238" s="23" t="s">
        <v>153</v>
      </c>
      <c r="AP238" s="23">
        <f>VALUE(0)</f>
        <v>0</v>
      </c>
      <c r="AQ238" s="23">
        <f>VALUE(0)</f>
        <v>0</v>
      </c>
      <c r="AR238" s="23">
        <f>VALUE(0)</f>
        <v>0</v>
      </c>
      <c r="AS238" s="23">
        <f>VALUE(0)</f>
        <v>0</v>
      </c>
      <c r="AT238" s="23">
        <f>VALUE(2)</f>
        <v>2</v>
      </c>
      <c r="AU238" s="23">
        <f>VALUE(0)</f>
        <v>0</v>
      </c>
      <c r="AV238" s="23">
        <f>VALUE(6)</f>
        <v>6</v>
      </c>
      <c r="AW238" s="23">
        <f>VALUE(0)</f>
        <v>0</v>
      </c>
      <c r="AX238" s="23" t="s">
        <v>176</v>
      </c>
      <c r="AY238" s="23" t="s">
        <v>432</v>
      </c>
      <c r="AZ238" s="23">
        <f>VALUE(0)</f>
        <v>0</v>
      </c>
      <c r="BA238" s="23">
        <f>VALUE(0)</f>
        <v>0</v>
      </c>
      <c r="BB238" s="23">
        <f>VALUE(0)</f>
        <v>0</v>
      </c>
      <c r="BC238" s="23">
        <f>VALUE(0)</f>
        <v>0</v>
      </c>
      <c r="BD238" s="23">
        <f>VALUE(0)</f>
        <v>0</v>
      </c>
      <c r="BE238" s="23">
        <f>VALUE(0)</f>
        <v>0</v>
      </c>
      <c r="BF238" s="23">
        <f>VALUE(0)</f>
        <v>0</v>
      </c>
      <c r="BG238" s="23">
        <f>VALUE(0)</f>
        <v>0</v>
      </c>
      <c r="BH238" s="23">
        <f>VALUE(0)</f>
        <v>0</v>
      </c>
      <c r="BI238" s="23">
        <f>VALUE(0)</f>
        <v>0</v>
      </c>
      <c r="BJ238" s="23">
        <f>VALUE(0)</f>
        <v>0</v>
      </c>
      <c r="BK238" s="12">
        <f>$AX$238*24</f>
        <v>0</v>
      </c>
      <c r="BL238" s="12">
        <f>$AY$238*24</f>
        <v>3</v>
      </c>
      <c r="BM238" s="12">
        <f>$BJ$238*24</f>
        <v>0</v>
      </c>
      <c r="BN238" s="12">
        <f>VALUE($I$238)/100</f>
        <v>1</v>
      </c>
      <c r="BO238" s="12">
        <v>0</v>
      </c>
      <c r="BP238" s="12">
        <v>0</v>
      </c>
      <c r="BQ238" s="12">
        <v>0</v>
      </c>
      <c r="BR238" s="12">
        <v>0</v>
      </c>
      <c r="BS238" s="12">
        <v>0</v>
      </c>
      <c r="BT238" s="12">
        <v>0</v>
      </c>
      <c r="BU238" s="12">
        <v>0</v>
      </c>
      <c r="BV238" s="12">
        <v>0</v>
      </c>
      <c r="BW238" s="12">
        <v>0</v>
      </c>
      <c r="BX238" s="12">
        <v>0</v>
      </c>
      <c r="BY238" s="12">
        <v>2</v>
      </c>
      <c r="BZ238" s="12">
        <v>0</v>
      </c>
      <c r="CA238" s="12">
        <v>0</v>
      </c>
    </row>
    <row r="239" spans="1:79" hidden="1" x14ac:dyDescent="0.2">
      <c r="A239" s="12" t="s">
        <v>135</v>
      </c>
      <c r="B239" s="12" t="s">
        <v>136</v>
      </c>
      <c r="C239" s="12" t="s">
        <v>136</v>
      </c>
      <c r="D239" s="22" t="s">
        <v>491</v>
      </c>
      <c r="E239" s="22" t="s">
        <v>161</v>
      </c>
      <c r="F239" s="22" t="s">
        <v>970</v>
      </c>
      <c r="G239" s="22" t="s">
        <v>971</v>
      </c>
      <c r="H239" s="22" t="s">
        <v>150</v>
      </c>
      <c r="I239" s="22" t="s">
        <v>151</v>
      </c>
      <c r="J239" s="22" t="s">
        <v>162</v>
      </c>
      <c r="K239" s="22" t="s">
        <v>92</v>
      </c>
      <c r="L239" s="54" t="s">
        <v>153</v>
      </c>
      <c r="M239" s="23" t="s">
        <v>153</v>
      </c>
      <c r="N239" s="24" t="s">
        <v>153</v>
      </c>
      <c r="O239" s="29" t="s">
        <v>163</v>
      </c>
      <c r="P239" s="29" t="s">
        <v>163</v>
      </c>
      <c r="Q239" s="29" t="s">
        <v>163</v>
      </c>
      <c r="R239" s="29" t="s">
        <v>163</v>
      </c>
      <c r="S239" s="29" t="s">
        <v>163</v>
      </c>
      <c r="T239" s="29" t="s">
        <v>163</v>
      </c>
      <c r="U239" s="24" t="s">
        <v>153</v>
      </c>
      <c r="V239" s="54" t="s">
        <v>153</v>
      </c>
      <c r="W239" s="23" t="s">
        <v>153</v>
      </c>
      <c r="X239" s="23" t="s">
        <v>153</v>
      </c>
      <c r="Y239" s="23" t="s">
        <v>153</v>
      </c>
      <c r="Z239" s="23" t="s">
        <v>153</v>
      </c>
      <c r="AA239" s="23" t="s">
        <v>153</v>
      </c>
      <c r="AB239" s="24" t="s">
        <v>153</v>
      </c>
      <c r="AC239" s="23" t="s">
        <v>153</v>
      </c>
      <c r="AD239" s="23" t="s">
        <v>153</v>
      </c>
      <c r="AE239" s="24" t="s">
        <v>156</v>
      </c>
      <c r="AF239" s="24" t="s">
        <v>156</v>
      </c>
      <c r="AG239" s="23" t="s">
        <v>153</v>
      </c>
      <c r="AH239" s="23" t="s">
        <v>153</v>
      </c>
      <c r="AI239" s="24" t="s">
        <v>153</v>
      </c>
      <c r="AJ239" s="23" t="s">
        <v>153</v>
      </c>
      <c r="AK239" s="23" t="s">
        <v>153</v>
      </c>
      <c r="AL239" s="23" t="s">
        <v>153</v>
      </c>
      <c r="AM239" s="23" t="s">
        <v>153</v>
      </c>
      <c r="AN239" s="23" t="s">
        <v>153</v>
      </c>
      <c r="AO239" s="23" t="s">
        <v>153</v>
      </c>
      <c r="AP239" s="23">
        <f>VALUE(0)</f>
        <v>0</v>
      </c>
      <c r="AQ239" s="23">
        <f>VALUE(0)</f>
        <v>0</v>
      </c>
      <c r="AR239" s="23">
        <f>VALUE(6)</f>
        <v>6</v>
      </c>
      <c r="AS239" s="23">
        <f>VALUE(0)</f>
        <v>0</v>
      </c>
      <c r="AT239" s="23">
        <f>VALUE(0)</f>
        <v>0</v>
      </c>
      <c r="AU239" s="23">
        <f>VALUE(0)</f>
        <v>0</v>
      </c>
      <c r="AV239" s="23">
        <f>VALUE(11)</f>
        <v>11</v>
      </c>
      <c r="AW239" s="23">
        <f>VALUE(0)</f>
        <v>0</v>
      </c>
      <c r="AX239" s="23" t="s">
        <v>261</v>
      </c>
      <c r="AY239" s="23" t="s">
        <v>1266</v>
      </c>
      <c r="AZ239" s="23">
        <f>VALUE(0)</f>
        <v>0</v>
      </c>
      <c r="BA239" s="23">
        <f>VALUE(0)</f>
        <v>0</v>
      </c>
      <c r="BB239" s="23">
        <f>VALUE(0)</f>
        <v>0</v>
      </c>
      <c r="BC239" s="23">
        <f>VALUE(0)</f>
        <v>0</v>
      </c>
      <c r="BD239" s="23">
        <f>VALUE(0)</f>
        <v>0</v>
      </c>
      <c r="BE239" s="23">
        <f>VALUE(0)</f>
        <v>0</v>
      </c>
      <c r="BF239" s="23">
        <f>VALUE(0)</f>
        <v>0</v>
      </c>
      <c r="BG239" s="23">
        <f>VALUE(0)</f>
        <v>0</v>
      </c>
      <c r="BH239" s="23">
        <f>VALUE(0)</f>
        <v>0</v>
      </c>
      <c r="BI239" s="23">
        <f>VALUE(0)</f>
        <v>0</v>
      </c>
      <c r="BJ239" s="23">
        <f>VALUE(0)</f>
        <v>0</v>
      </c>
      <c r="BK239" s="12">
        <f>$AX$239*24</f>
        <v>23.333333333333332</v>
      </c>
      <c r="BL239" s="12">
        <f>$AY$239*24</f>
        <v>38.450000000000003</v>
      </c>
      <c r="BM239" s="12">
        <f>$BJ$239*24</f>
        <v>0</v>
      </c>
      <c r="BN239" s="12">
        <f>VALUE($I$239)/100</f>
        <v>1</v>
      </c>
      <c r="BO239" s="12">
        <v>0</v>
      </c>
      <c r="BP239" s="12">
        <v>0</v>
      </c>
      <c r="BQ239" s="12">
        <v>0</v>
      </c>
      <c r="BR239" s="12">
        <v>0</v>
      </c>
      <c r="BS239" s="12">
        <v>0</v>
      </c>
      <c r="BT239" s="12">
        <v>6</v>
      </c>
      <c r="BU239" s="12">
        <v>0</v>
      </c>
      <c r="BV239" s="12">
        <v>0</v>
      </c>
      <c r="BW239" s="12">
        <v>0</v>
      </c>
      <c r="BX239" s="12">
        <v>0</v>
      </c>
      <c r="BY239" s="12">
        <v>0</v>
      </c>
      <c r="BZ239" s="12">
        <v>0</v>
      </c>
      <c r="CA239" s="12">
        <v>0</v>
      </c>
    </row>
    <row r="240" spans="1:79" hidden="1" x14ac:dyDescent="0.2">
      <c r="A240" s="12" t="s">
        <v>135</v>
      </c>
      <c r="B240" s="12" t="s">
        <v>136</v>
      </c>
      <c r="C240" s="12" t="s">
        <v>136</v>
      </c>
      <c r="D240" s="22" t="s">
        <v>498</v>
      </c>
      <c r="E240" s="22" t="s">
        <v>161</v>
      </c>
      <c r="F240" s="22" t="s">
        <v>972</v>
      </c>
      <c r="G240" s="22" t="s">
        <v>973</v>
      </c>
      <c r="H240" s="22" t="s">
        <v>150</v>
      </c>
      <c r="I240" s="22" t="s">
        <v>151</v>
      </c>
      <c r="J240" s="22" t="s">
        <v>162</v>
      </c>
      <c r="K240" s="22" t="s">
        <v>92</v>
      </c>
      <c r="L240" s="54" t="s">
        <v>153</v>
      </c>
      <c r="M240" s="23" t="s">
        <v>153</v>
      </c>
      <c r="N240" s="24" t="s">
        <v>153</v>
      </c>
      <c r="O240" s="23" t="s">
        <v>153</v>
      </c>
      <c r="P240" s="23" t="s">
        <v>153</v>
      </c>
      <c r="Q240" s="23" t="s">
        <v>153</v>
      </c>
      <c r="R240" s="23" t="s">
        <v>153</v>
      </c>
      <c r="S240" s="23" t="s">
        <v>153</v>
      </c>
      <c r="T240" s="23" t="s">
        <v>153</v>
      </c>
      <c r="U240" s="24" t="s">
        <v>153</v>
      </c>
      <c r="V240" s="54" t="s">
        <v>153</v>
      </c>
      <c r="W240" s="23" t="s">
        <v>153</v>
      </c>
      <c r="X240" s="23" t="s">
        <v>153</v>
      </c>
      <c r="Y240" s="23" t="s">
        <v>153</v>
      </c>
      <c r="Z240" s="24" t="s">
        <v>156</v>
      </c>
      <c r="AA240" s="24" t="s">
        <v>156</v>
      </c>
      <c r="AB240" s="24" t="s">
        <v>153</v>
      </c>
      <c r="AC240" s="28" t="s">
        <v>338</v>
      </c>
      <c r="AD240" s="28" t="s">
        <v>338</v>
      </c>
      <c r="AE240" s="28" t="s">
        <v>338</v>
      </c>
      <c r="AF240" s="23" t="s">
        <v>153</v>
      </c>
      <c r="AG240" s="23" t="s">
        <v>153</v>
      </c>
      <c r="AH240" s="23" t="s">
        <v>153</v>
      </c>
      <c r="AI240" s="24" t="s">
        <v>153</v>
      </c>
      <c r="AJ240" s="23" t="s">
        <v>153</v>
      </c>
      <c r="AK240" s="23" t="s">
        <v>153</v>
      </c>
      <c r="AL240" s="23" t="s">
        <v>153</v>
      </c>
      <c r="AM240" s="23" t="s">
        <v>153</v>
      </c>
      <c r="AN240" s="23" t="s">
        <v>153</v>
      </c>
      <c r="AO240" s="23" t="s">
        <v>153</v>
      </c>
      <c r="AP240" s="23">
        <f>VALUE(0)</f>
        <v>0</v>
      </c>
      <c r="AQ240" s="23">
        <f>VALUE(0)</f>
        <v>0</v>
      </c>
      <c r="AR240" s="23">
        <f>VALUE(0)</f>
        <v>0</v>
      </c>
      <c r="AS240" s="23">
        <f>VALUE(0)</f>
        <v>0</v>
      </c>
      <c r="AT240" s="23">
        <f>VALUE(3)</f>
        <v>3</v>
      </c>
      <c r="AU240" s="23">
        <f>VALUE(0)</f>
        <v>0</v>
      </c>
      <c r="AV240" s="23">
        <f>VALUE(6)</f>
        <v>6</v>
      </c>
      <c r="AW240" s="23">
        <f>VALUE(0)</f>
        <v>0</v>
      </c>
      <c r="AX240" s="23" t="s">
        <v>176</v>
      </c>
      <c r="AY240" s="23" t="s">
        <v>499</v>
      </c>
      <c r="AZ240" s="23">
        <f>VALUE(0)</f>
        <v>0</v>
      </c>
      <c r="BA240" s="23">
        <f>VALUE(0)</f>
        <v>0</v>
      </c>
      <c r="BB240" s="23">
        <f>VALUE(0)</f>
        <v>0</v>
      </c>
      <c r="BC240" s="23">
        <f>VALUE(0)</f>
        <v>0</v>
      </c>
      <c r="BD240" s="23">
        <f>VALUE(0)</f>
        <v>0</v>
      </c>
      <c r="BE240" s="23">
        <f>VALUE(0)</f>
        <v>0</v>
      </c>
      <c r="BF240" s="23">
        <f>VALUE(0)</f>
        <v>0</v>
      </c>
      <c r="BG240" s="23">
        <f>VALUE(0)</f>
        <v>0</v>
      </c>
      <c r="BH240" s="23">
        <f>VALUE(0)</f>
        <v>0</v>
      </c>
      <c r="BI240" s="23">
        <f>VALUE(0)</f>
        <v>0</v>
      </c>
      <c r="BJ240" s="23">
        <f>VALUE(0)</f>
        <v>0</v>
      </c>
      <c r="BK240" s="12">
        <f>$AX$240*24</f>
        <v>0</v>
      </c>
      <c r="BL240" s="12">
        <f>$AY$240*24</f>
        <v>16.716666666666665</v>
      </c>
      <c r="BM240" s="12">
        <f>$BJ$240*24</f>
        <v>0</v>
      </c>
      <c r="BN240" s="12">
        <f>VALUE($I$240)/100</f>
        <v>1</v>
      </c>
      <c r="BO240" s="12">
        <v>0</v>
      </c>
      <c r="BP240" s="12">
        <v>0</v>
      </c>
      <c r="BQ240" s="12">
        <v>0</v>
      </c>
      <c r="BR240" s="12">
        <v>0</v>
      </c>
      <c r="BS240" s="12">
        <v>0</v>
      </c>
      <c r="BT240" s="12">
        <v>0</v>
      </c>
      <c r="BU240" s="12">
        <v>0</v>
      </c>
      <c r="BV240" s="12">
        <v>0</v>
      </c>
      <c r="BW240" s="12">
        <v>0</v>
      </c>
      <c r="BX240" s="12">
        <v>0</v>
      </c>
      <c r="BY240" s="12">
        <v>3</v>
      </c>
      <c r="BZ240" s="12">
        <v>0</v>
      </c>
      <c r="CA240" s="12">
        <v>0</v>
      </c>
    </row>
    <row r="241" spans="1:79" hidden="1" x14ac:dyDescent="0.2">
      <c r="A241" s="12" t="s">
        <v>135</v>
      </c>
      <c r="B241" s="12" t="s">
        <v>136</v>
      </c>
      <c r="C241" s="12" t="s">
        <v>136</v>
      </c>
      <c r="D241" s="22" t="s">
        <v>500</v>
      </c>
      <c r="E241" s="22" t="s">
        <v>161</v>
      </c>
      <c r="F241" s="22" t="s">
        <v>974</v>
      </c>
      <c r="G241" s="22" t="s">
        <v>975</v>
      </c>
      <c r="H241" s="22" t="s">
        <v>150</v>
      </c>
      <c r="I241" s="22" t="s">
        <v>151</v>
      </c>
      <c r="J241" s="22" t="s">
        <v>162</v>
      </c>
      <c r="K241" s="22" t="s">
        <v>92</v>
      </c>
      <c r="L241" s="54" t="s">
        <v>156</v>
      </c>
      <c r="M241" s="23" t="s">
        <v>153</v>
      </c>
      <c r="N241" s="24" t="s">
        <v>153</v>
      </c>
      <c r="O241" s="23" t="s">
        <v>153</v>
      </c>
      <c r="P241" s="23" t="s">
        <v>153</v>
      </c>
      <c r="Q241" s="23" t="s">
        <v>153</v>
      </c>
      <c r="R241" s="29" t="s">
        <v>163</v>
      </c>
      <c r="S241" s="29" t="s">
        <v>163</v>
      </c>
      <c r="T241" s="29" t="s">
        <v>163</v>
      </c>
      <c r="U241" s="24" t="s">
        <v>153</v>
      </c>
      <c r="V241" s="54" t="s">
        <v>153</v>
      </c>
      <c r="W241" s="29" t="s">
        <v>163</v>
      </c>
      <c r="X241" s="23" t="s">
        <v>153</v>
      </c>
      <c r="Y241" s="23" t="s">
        <v>153</v>
      </c>
      <c r="Z241" s="23" t="s">
        <v>153</v>
      </c>
      <c r="AA241" s="23" t="s">
        <v>153</v>
      </c>
      <c r="AB241" s="24" t="s">
        <v>153</v>
      </c>
      <c r="AC241" s="23" t="s">
        <v>153</v>
      </c>
      <c r="AD241" s="23" t="s">
        <v>153</v>
      </c>
      <c r="AE241" s="23" t="s">
        <v>153</v>
      </c>
      <c r="AF241" s="23" t="s">
        <v>153</v>
      </c>
      <c r="AG241" s="23" t="s">
        <v>153</v>
      </c>
      <c r="AH241" s="23" t="s">
        <v>153</v>
      </c>
      <c r="AI241" s="24" t="s">
        <v>153</v>
      </c>
      <c r="AJ241" s="24" t="s">
        <v>156</v>
      </c>
      <c r="AK241" s="24" t="s">
        <v>156</v>
      </c>
      <c r="AL241" s="23" t="s">
        <v>153</v>
      </c>
      <c r="AM241" s="23" t="s">
        <v>153</v>
      </c>
      <c r="AN241" s="23" t="s">
        <v>153</v>
      </c>
      <c r="AO241" s="23" t="s">
        <v>153</v>
      </c>
      <c r="AP241" s="23">
        <f>VALUE(0)</f>
        <v>0</v>
      </c>
      <c r="AQ241" s="23">
        <f>VALUE(0)</f>
        <v>0</v>
      </c>
      <c r="AR241" s="23">
        <f>VALUE(4)</f>
        <v>4</v>
      </c>
      <c r="AS241" s="23">
        <f>VALUE(0)</f>
        <v>0</v>
      </c>
      <c r="AT241" s="23">
        <f>VALUE(0)</f>
        <v>0</v>
      </c>
      <c r="AU241" s="23">
        <f>VALUE(0)</f>
        <v>0</v>
      </c>
      <c r="AV241" s="23">
        <f>VALUE(10)</f>
        <v>10</v>
      </c>
      <c r="AW241" s="23">
        <f>VALUE(0)</f>
        <v>0</v>
      </c>
      <c r="AX241" s="23" t="s">
        <v>158</v>
      </c>
      <c r="AY241" s="23" t="s">
        <v>352</v>
      </c>
      <c r="AZ241" s="23">
        <f>VALUE(0)</f>
        <v>0</v>
      </c>
      <c r="BA241" s="23">
        <f>VALUE(0)</f>
        <v>0</v>
      </c>
      <c r="BB241" s="23">
        <f>VALUE(0)</f>
        <v>0</v>
      </c>
      <c r="BC241" s="23">
        <f>VALUE(0)</f>
        <v>0</v>
      </c>
      <c r="BD241" s="23">
        <f>VALUE(0)</f>
        <v>0</v>
      </c>
      <c r="BE241" s="23">
        <f>VALUE(0)</f>
        <v>0</v>
      </c>
      <c r="BF241" s="23">
        <f>VALUE(0)</f>
        <v>0</v>
      </c>
      <c r="BG241" s="23">
        <f>VALUE(0)</f>
        <v>0</v>
      </c>
      <c r="BH241" s="23">
        <f>VALUE(0)</f>
        <v>0</v>
      </c>
      <c r="BI241" s="23">
        <f>VALUE(0)</f>
        <v>0</v>
      </c>
      <c r="BJ241" s="23">
        <f>VALUE(0)</f>
        <v>0</v>
      </c>
      <c r="BK241" s="12">
        <f>$AX$241*24</f>
        <v>11.666666666666666</v>
      </c>
      <c r="BL241" s="12">
        <f>$AY$241*24</f>
        <v>12.183333333333334</v>
      </c>
      <c r="BM241" s="12">
        <f>$BJ$241*24</f>
        <v>0</v>
      </c>
      <c r="BN241" s="12">
        <f>VALUE($I$241)/100</f>
        <v>1</v>
      </c>
      <c r="BO241" s="12">
        <v>0</v>
      </c>
      <c r="BP241" s="12">
        <v>0</v>
      </c>
      <c r="BQ241" s="12">
        <v>0</v>
      </c>
      <c r="BR241" s="12">
        <v>0</v>
      </c>
      <c r="BS241" s="12">
        <v>0</v>
      </c>
      <c r="BT241" s="12">
        <v>4</v>
      </c>
      <c r="BU241" s="12">
        <v>0</v>
      </c>
      <c r="BV241" s="12">
        <v>0</v>
      </c>
      <c r="BW241" s="12">
        <v>0</v>
      </c>
      <c r="BX241" s="12">
        <v>0</v>
      </c>
      <c r="BY241" s="12">
        <v>0</v>
      </c>
      <c r="BZ241" s="12">
        <v>0</v>
      </c>
      <c r="CA241" s="12">
        <v>0</v>
      </c>
    </row>
    <row r="242" spans="1:79" hidden="1" x14ac:dyDescent="0.2">
      <c r="A242" s="12" t="s">
        <v>135</v>
      </c>
      <c r="B242" s="12" t="s">
        <v>136</v>
      </c>
      <c r="C242" s="12" t="s">
        <v>136</v>
      </c>
      <c r="D242" s="22" t="s">
        <v>489</v>
      </c>
      <c r="E242" s="22" t="s">
        <v>161</v>
      </c>
      <c r="F242" s="22" t="s">
        <v>976</v>
      </c>
      <c r="G242" s="22" t="s">
        <v>977</v>
      </c>
      <c r="H242" s="22" t="s">
        <v>150</v>
      </c>
      <c r="I242" s="22" t="s">
        <v>151</v>
      </c>
      <c r="J242" s="22" t="s">
        <v>162</v>
      </c>
      <c r="K242" s="22" t="s">
        <v>92</v>
      </c>
      <c r="L242" s="54" t="s">
        <v>153</v>
      </c>
      <c r="M242" s="23" t="s">
        <v>153</v>
      </c>
      <c r="N242" s="24" t="s">
        <v>153</v>
      </c>
      <c r="O242" s="35" t="s">
        <v>170</v>
      </c>
      <c r="P242" s="35" t="s">
        <v>170</v>
      </c>
      <c r="Q242" s="24" t="s">
        <v>156</v>
      </c>
      <c r="R242" s="24" t="s">
        <v>156</v>
      </c>
      <c r="S242" s="23" t="s">
        <v>153</v>
      </c>
      <c r="T242" s="23" t="s">
        <v>153</v>
      </c>
      <c r="U242" s="24" t="s">
        <v>153</v>
      </c>
      <c r="V242" s="54" t="s">
        <v>153</v>
      </c>
      <c r="W242" s="23" t="s">
        <v>153</v>
      </c>
      <c r="X242" s="23" t="s">
        <v>153</v>
      </c>
      <c r="Y242" s="23" t="s">
        <v>153</v>
      </c>
      <c r="Z242" s="23" t="s">
        <v>153</v>
      </c>
      <c r="AA242" s="23" t="s">
        <v>153</v>
      </c>
      <c r="AB242" s="24" t="s">
        <v>153</v>
      </c>
      <c r="AC242" s="23" t="s">
        <v>153</v>
      </c>
      <c r="AD242" s="23" t="s">
        <v>153</v>
      </c>
      <c r="AE242" s="23" t="s">
        <v>153</v>
      </c>
      <c r="AF242" s="23" t="s">
        <v>153</v>
      </c>
      <c r="AG242" s="23" t="s">
        <v>153</v>
      </c>
      <c r="AH242" s="23" t="s">
        <v>153</v>
      </c>
      <c r="AI242" s="24" t="s">
        <v>153</v>
      </c>
      <c r="AJ242" s="23" t="s">
        <v>153</v>
      </c>
      <c r="AK242" s="23" t="s">
        <v>153</v>
      </c>
      <c r="AL242" s="23" t="s">
        <v>153</v>
      </c>
      <c r="AM242" s="23" t="s">
        <v>153</v>
      </c>
      <c r="AN242" s="23" t="s">
        <v>153</v>
      </c>
      <c r="AO242" s="23" t="s">
        <v>153</v>
      </c>
      <c r="AP242" s="23">
        <f>VALUE(0)</f>
        <v>0</v>
      </c>
      <c r="AQ242" s="23">
        <f>VALUE(0)</f>
        <v>0</v>
      </c>
      <c r="AR242" s="23">
        <f>VALUE(0)</f>
        <v>0</v>
      </c>
      <c r="AS242" s="23">
        <f>VALUE(0)</f>
        <v>0</v>
      </c>
      <c r="AT242" s="23">
        <f>VALUE(0)</f>
        <v>0</v>
      </c>
      <c r="AU242" s="23">
        <f>VALUE(0)</f>
        <v>0</v>
      </c>
      <c r="AV242" s="23">
        <f>VALUE(16)</f>
        <v>16</v>
      </c>
      <c r="AW242" s="23">
        <f>VALUE(0)</f>
        <v>0</v>
      </c>
      <c r="AX242" s="23" t="s">
        <v>171</v>
      </c>
      <c r="AY242" s="23" t="s">
        <v>501</v>
      </c>
      <c r="AZ242" s="23">
        <f>VALUE(0)</f>
        <v>0</v>
      </c>
      <c r="BA242" s="23">
        <f>VALUE(0)</f>
        <v>0</v>
      </c>
      <c r="BB242" s="23">
        <f>VALUE(0)</f>
        <v>0</v>
      </c>
      <c r="BC242" s="23">
        <f>VALUE(0)</f>
        <v>0</v>
      </c>
      <c r="BD242" s="23">
        <f>VALUE(0)</f>
        <v>0</v>
      </c>
      <c r="BE242" s="23">
        <f>VALUE(2)</f>
        <v>2</v>
      </c>
      <c r="BF242" s="23">
        <f>VALUE(0)</f>
        <v>0</v>
      </c>
      <c r="BG242" s="23">
        <f>VALUE(0)</f>
        <v>0</v>
      </c>
      <c r="BH242" s="23">
        <f>VALUE(0)</f>
        <v>0</v>
      </c>
      <c r="BI242" s="23">
        <f>VALUE(0)</f>
        <v>0</v>
      </c>
      <c r="BJ242" s="23">
        <f>VALUE(0)</f>
        <v>0</v>
      </c>
      <c r="BK242" s="12">
        <f>$AX$242*24</f>
        <v>5.833333333333333</v>
      </c>
      <c r="BL242" s="12">
        <f>$AY$242*24</f>
        <v>78.533333333333331</v>
      </c>
      <c r="BM242" s="12">
        <f>$BJ$242*24</f>
        <v>0</v>
      </c>
      <c r="BN242" s="12">
        <f>VALUE($I$242)/100</f>
        <v>1</v>
      </c>
      <c r="BO242" s="12">
        <v>0</v>
      </c>
      <c r="BP242" s="12">
        <v>0</v>
      </c>
      <c r="BQ242" s="12">
        <v>0</v>
      </c>
      <c r="BR242" s="12">
        <v>0</v>
      </c>
      <c r="BS242" s="12">
        <v>0</v>
      </c>
      <c r="BT242" s="12">
        <v>0</v>
      </c>
      <c r="BU242" s="12">
        <v>0</v>
      </c>
      <c r="BV242" s="12">
        <v>0</v>
      </c>
      <c r="BW242" s="12">
        <v>0</v>
      </c>
      <c r="BX242" s="12">
        <v>0</v>
      </c>
      <c r="BY242" s="12">
        <v>0</v>
      </c>
      <c r="BZ242" s="12">
        <v>0</v>
      </c>
      <c r="CA242" s="12">
        <v>0</v>
      </c>
    </row>
    <row r="243" spans="1:79" hidden="1" x14ac:dyDescent="0.2">
      <c r="A243" s="12" t="s">
        <v>135</v>
      </c>
      <c r="B243" s="12" t="s">
        <v>136</v>
      </c>
      <c r="C243" s="12" t="s">
        <v>136</v>
      </c>
      <c r="D243" s="22" t="s">
        <v>502</v>
      </c>
      <c r="E243" s="22" t="s">
        <v>173</v>
      </c>
      <c r="F243" s="22" t="s">
        <v>978</v>
      </c>
      <c r="G243" s="22" t="s">
        <v>979</v>
      </c>
      <c r="H243" s="22" t="s">
        <v>150</v>
      </c>
      <c r="I243" s="22" t="s">
        <v>151</v>
      </c>
      <c r="J243" s="22" t="s">
        <v>162</v>
      </c>
      <c r="K243" s="22" t="s">
        <v>92</v>
      </c>
      <c r="L243" s="54" t="s">
        <v>153</v>
      </c>
      <c r="M243" s="24" t="s">
        <v>156</v>
      </c>
      <c r="N243" s="24" t="s">
        <v>153</v>
      </c>
      <c r="O243" s="23" t="s">
        <v>492</v>
      </c>
      <c r="P243" s="23" t="s">
        <v>492</v>
      </c>
      <c r="Q243" s="23" t="s">
        <v>492</v>
      </c>
      <c r="R243" s="23" t="s">
        <v>492</v>
      </c>
      <c r="S243" s="23" t="s">
        <v>492</v>
      </c>
      <c r="T243" s="23" t="s">
        <v>492</v>
      </c>
      <c r="U243" s="24" t="s">
        <v>153</v>
      </c>
      <c r="V243" s="54" t="s">
        <v>153</v>
      </c>
      <c r="W243" s="23" t="s">
        <v>492</v>
      </c>
      <c r="X243" s="23" t="s">
        <v>492</v>
      </c>
      <c r="Y243" s="23" t="s">
        <v>492</v>
      </c>
      <c r="Z243" s="23" t="s">
        <v>492</v>
      </c>
      <c r="AA243" s="23" t="s">
        <v>492</v>
      </c>
      <c r="AB243" s="24" t="s">
        <v>153</v>
      </c>
      <c r="AC243" s="24" t="s">
        <v>156</v>
      </c>
      <c r="AD243" s="24" t="s">
        <v>156</v>
      </c>
      <c r="AE243" s="23" t="s">
        <v>492</v>
      </c>
      <c r="AF243" s="23" t="s">
        <v>492</v>
      </c>
      <c r="AG243" s="23" t="s">
        <v>492</v>
      </c>
      <c r="AH243" s="23" t="s">
        <v>492</v>
      </c>
      <c r="AI243" s="24" t="s">
        <v>153</v>
      </c>
      <c r="AJ243" s="23" t="s">
        <v>492</v>
      </c>
      <c r="AK243" s="23" t="s">
        <v>492</v>
      </c>
      <c r="AL243" s="23" t="s">
        <v>492</v>
      </c>
      <c r="AM243" s="23" t="s">
        <v>492</v>
      </c>
      <c r="AN243" s="23" t="s">
        <v>492</v>
      </c>
      <c r="AO243" s="23" t="s">
        <v>492</v>
      </c>
      <c r="AP243" s="23">
        <f>VALUE(9)</f>
        <v>9</v>
      </c>
      <c r="AQ243" s="23">
        <f>VALUE(0)</f>
        <v>0</v>
      </c>
      <c r="AR243" s="23">
        <f>VALUE(0)</f>
        <v>0</v>
      </c>
      <c r="AS243" s="23">
        <f>VALUE(0)</f>
        <v>0</v>
      </c>
      <c r="AT243" s="23">
        <f>VALUE(0)</f>
        <v>0</v>
      </c>
      <c r="AU243" s="23">
        <f>VALUE(0)</f>
        <v>0</v>
      </c>
      <c r="AV243" s="23">
        <f>VALUE(8)</f>
        <v>8</v>
      </c>
      <c r="AW243" s="23">
        <f>VALUE(0)</f>
        <v>0</v>
      </c>
      <c r="AX243" s="23" t="s">
        <v>171</v>
      </c>
      <c r="AY243" s="23" t="s">
        <v>425</v>
      </c>
      <c r="AZ243" s="23">
        <f>VALUE(0)</f>
        <v>0</v>
      </c>
      <c r="BA243" s="23">
        <f>VALUE(0)</f>
        <v>0</v>
      </c>
      <c r="BB243" s="23">
        <f>VALUE(0)</f>
        <v>0</v>
      </c>
      <c r="BC243" s="23">
        <f>VALUE(0)</f>
        <v>0</v>
      </c>
      <c r="BD243" s="23">
        <f>VALUE(0)</f>
        <v>0</v>
      </c>
      <c r="BE243" s="23">
        <f>VALUE(0)</f>
        <v>0</v>
      </c>
      <c r="BF243" s="23">
        <f>VALUE(0)</f>
        <v>0</v>
      </c>
      <c r="BG243" s="23">
        <f>VALUE(0)</f>
        <v>0</v>
      </c>
      <c r="BH243" s="23">
        <f>VALUE(0)</f>
        <v>0</v>
      </c>
      <c r="BI243" s="23">
        <f>VALUE(0)</f>
        <v>0</v>
      </c>
      <c r="BJ243" s="23">
        <f>VALUE(0)</f>
        <v>0</v>
      </c>
      <c r="BK243" s="12">
        <f>$AX$243*24</f>
        <v>5.833333333333333</v>
      </c>
      <c r="BL243" s="12">
        <f>$AY$243*24</f>
        <v>1.4166666666666667</v>
      </c>
      <c r="BM243" s="12">
        <f>$BJ$243*24</f>
        <v>0</v>
      </c>
      <c r="BN243" s="12">
        <f>VALUE($I$243)/100</f>
        <v>1</v>
      </c>
      <c r="BO243" s="12">
        <v>0</v>
      </c>
      <c r="BP243" s="12">
        <v>0</v>
      </c>
      <c r="BQ243" s="12">
        <v>0</v>
      </c>
      <c r="BR243" s="12">
        <v>0</v>
      </c>
      <c r="BS243" s="12">
        <v>0</v>
      </c>
      <c r="BT243" s="12">
        <v>0</v>
      </c>
      <c r="BU243" s="12">
        <v>0</v>
      </c>
      <c r="BV243" s="12">
        <v>0</v>
      </c>
      <c r="BW243" s="12">
        <v>0</v>
      </c>
      <c r="BX243" s="12">
        <v>0</v>
      </c>
      <c r="BY243" s="12">
        <v>0</v>
      </c>
      <c r="BZ243" s="12">
        <v>0</v>
      </c>
      <c r="CA243" s="12">
        <v>0</v>
      </c>
    </row>
    <row r="244" spans="1:79" hidden="1" x14ac:dyDescent="0.2">
      <c r="A244" s="12" t="s">
        <v>135</v>
      </c>
      <c r="B244" s="12" t="s">
        <v>136</v>
      </c>
      <c r="C244" s="12" t="s">
        <v>136</v>
      </c>
      <c r="D244" s="22" t="s">
        <v>503</v>
      </c>
      <c r="E244" s="22" t="s">
        <v>159</v>
      </c>
      <c r="F244" s="22" t="s">
        <v>980</v>
      </c>
      <c r="G244" s="22" t="s">
        <v>981</v>
      </c>
      <c r="H244" s="22" t="s">
        <v>150</v>
      </c>
      <c r="I244" s="22" t="s">
        <v>151</v>
      </c>
      <c r="J244" s="22" t="s">
        <v>162</v>
      </c>
      <c r="K244" s="22" t="s">
        <v>92</v>
      </c>
      <c r="L244" s="54" t="s">
        <v>153</v>
      </c>
      <c r="M244" s="23" t="s">
        <v>490</v>
      </c>
      <c r="N244" s="24" t="s">
        <v>153</v>
      </c>
      <c r="O244" s="23" t="s">
        <v>490</v>
      </c>
      <c r="P244" s="23" t="s">
        <v>490</v>
      </c>
      <c r="Q244" s="23" t="s">
        <v>490</v>
      </c>
      <c r="R244" s="23" t="s">
        <v>490</v>
      </c>
      <c r="S244" s="24" t="s">
        <v>156</v>
      </c>
      <c r="T244" s="24" t="s">
        <v>156</v>
      </c>
      <c r="U244" s="24" t="s">
        <v>153</v>
      </c>
      <c r="V244" s="54" t="s">
        <v>153</v>
      </c>
      <c r="W244" s="23" t="s">
        <v>490</v>
      </c>
      <c r="X244" s="23" t="s">
        <v>490</v>
      </c>
      <c r="Y244" s="23" t="s">
        <v>490</v>
      </c>
      <c r="Z244" s="23" t="s">
        <v>490</v>
      </c>
      <c r="AA244" s="23" t="s">
        <v>490</v>
      </c>
      <c r="AB244" s="24" t="s">
        <v>153</v>
      </c>
      <c r="AC244" s="23" t="s">
        <v>490</v>
      </c>
      <c r="AD244" s="23" t="s">
        <v>490</v>
      </c>
      <c r="AE244" s="23" t="s">
        <v>490</v>
      </c>
      <c r="AF244" s="23" t="s">
        <v>490</v>
      </c>
      <c r="AG244" s="23" t="s">
        <v>490</v>
      </c>
      <c r="AH244" s="23" t="s">
        <v>490</v>
      </c>
      <c r="AI244" s="24" t="s">
        <v>153</v>
      </c>
      <c r="AJ244" s="23" t="s">
        <v>490</v>
      </c>
      <c r="AK244" s="23" t="s">
        <v>490</v>
      </c>
      <c r="AL244" s="23" t="s">
        <v>490</v>
      </c>
      <c r="AM244" s="23" t="s">
        <v>490</v>
      </c>
      <c r="AN244" s="23" t="s">
        <v>490</v>
      </c>
      <c r="AO244" s="23" t="s">
        <v>490</v>
      </c>
      <c r="AP244" s="23">
        <f>VALUE(0)</f>
        <v>0</v>
      </c>
      <c r="AQ244" s="23">
        <f>VALUE(0)</f>
        <v>0</v>
      </c>
      <c r="AR244" s="23">
        <f>VALUE(0)</f>
        <v>0</v>
      </c>
      <c r="AS244" s="23">
        <f>VALUE(0)</f>
        <v>0</v>
      </c>
      <c r="AT244" s="23">
        <f>VALUE(0)</f>
        <v>0</v>
      </c>
      <c r="AU244" s="23">
        <f>VALUE(0)</f>
        <v>0</v>
      </c>
      <c r="AV244" s="23">
        <f>VALUE(6)</f>
        <v>6</v>
      </c>
      <c r="AW244" s="23">
        <f>VALUE(0)</f>
        <v>0</v>
      </c>
      <c r="AX244" s="23" t="s">
        <v>171</v>
      </c>
      <c r="AY244" s="23" t="s">
        <v>504</v>
      </c>
      <c r="AZ244" s="23">
        <f>VALUE(0)</f>
        <v>0</v>
      </c>
      <c r="BA244" s="23">
        <f>VALUE(0)</f>
        <v>0</v>
      </c>
      <c r="BB244" s="23">
        <f>VALUE(0)</f>
        <v>0</v>
      </c>
      <c r="BC244" s="23">
        <f>VALUE(0)</f>
        <v>0</v>
      </c>
      <c r="BD244" s="23">
        <f>VALUE(0)</f>
        <v>0</v>
      </c>
      <c r="BE244" s="23">
        <f>VALUE(0)</f>
        <v>0</v>
      </c>
      <c r="BF244" s="23">
        <f>VALUE(0)</f>
        <v>0</v>
      </c>
      <c r="BG244" s="23">
        <f>VALUE(0)</f>
        <v>0</v>
      </c>
      <c r="BH244" s="23">
        <f>VALUE(0)</f>
        <v>0</v>
      </c>
      <c r="BI244" s="23">
        <f>VALUE(0)</f>
        <v>0</v>
      </c>
      <c r="BJ244" s="23">
        <f>VALUE(0)</f>
        <v>0</v>
      </c>
      <c r="BK244" s="12">
        <f>$AX$244*24</f>
        <v>5.833333333333333</v>
      </c>
      <c r="BL244" s="12">
        <f>$AY$244*24</f>
        <v>23.783333333333335</v>
      </c>
      <c r="BM244" s="12">
        <f>$BJ$244*24</f>
        <v>0</v>
      </c>
      <c r="BN244" s="12">
        <f>VALUE($I$244)/100</f>
        <v>1</v>
      </c>
      <c r="BO244" s="12">
        <v>0</v>
      </c>
      <c r="BP244" s="12">
        <v>0</v>
      </c>
      <c r="BQ244" s="12">
        <v>0</v>
      </c>
      <c r="BR244" s="12">
        <v>0</v>
      </c>
      <c r="BS244" s="12">
        <v>0</v>
      </c>
      <c r="BT244" s="12">
        <v>0</v>
      </c>
      <c r="BU244" s="12">
        <v>0</v>
      </c>
      <c r="BV244" s="12">
        <v>0</v>
      </c>
      <c r="BW244" s="12">
        <v>0</v>
      </c>
      <c r="BX244" s="12">
        <v>0</v>
      </c>
      <c r="BY244" s="12">
        <v>0</v>
      </c>
      <c r="BZ244" s="12">
        <v>0</v>
      </c>
      <c r="CA244" s="12">
        <v>0</v>
      </c>
    </row>
    <row r="245" spans="1:79" hidden="1" x14ac:dyDescent="0.2">
      <c r="A245" s="12" t="s">
        <v>135</v>
      </c>
      <c r="B245" s="12" t="s">
        <v>136</v>
      </c>
      <c r="C245" s="12" t="s">
        <v>136</v>
      </c>
      <c r="D245" s="22" t="s">
        <v>505</v>
      </c>
      <c r="E245" s="22" t="s">
        <v>173</v>
      </c>
      <c r="F245" s="22" t="s">
        <v>982</v>
      </c>
      <c r="G245" s="22" t="s">
        <v>983</v>
      </c>
      <c r="H245" s="22" t="s">
        <v>150</v>
      </c>
      <c r="I245" s="22" t="s">
        <v>151</v>
      </c>
      <c r="J245" s="22" t="s">
        <v>162</v>
      </c>
      <c r="K245" s="22" t="s">
        <v>92</v>
      </c>
      <c r="L245" s="54" t="s">
        <v>153</v>
      </c>
      <c r="M245" s="23" t="s">
        <v>492</v>
      </c>
      <c r="N245" s="24" t="s">
        <v>153</v>
      </c>
      <c r="O245" s="23" t="s">
        <v>491</v>
      </c>
      <c r="P245" s="23" t="s">
        <v>491</v>
      </c>
      <c r="Q245" s="23" t="s">
        <v>491</v>
      </c>
      <c r="R245" s="23" t="s">
        <v>491</v>
      </c>
      <c r="S245" s="23" t="s">
        <v>491</v>
      </c>
      <c r="T245" s="23" t="s">
        <v>491</v>
      </c>
      <c r="U245" s="24" t="s">
        <v>153</v>
      </c>
      <c r="V245" s="54" t="s">
        <v>153</v>
      </c>
      <c r="W245" s="23" t="s">
        <v>495</v>
      </c>
      <c r="X245" s="23" t="s">
        <v>153</v>
      </c>
      <c r="Y245" s="23" t="s">
        <v>153</v>
      </c>
      <c r="Z245" s="23" t="s">
        <v>498</v>
      </c>
      <c r="AA245" s="23" t="s">
        <v>498</v>
      </c>
      <c r="AB245" s="24" t="s">
        <v>153</v>
      </c>
      <c r="AC245" s="23" t="s">
        <v>498</v>
      </c>
      <c r="AD245" s="23" t="s">
        <v>498</v>
      </c>
      <c r="AE245" s="23" t="s">
        <v>498</v>
      </c>
      <c r="AF245" s="23" t="s">
        <v>491</v>
      </c>
      <c r="AG245" s="23" t="s">
        <v>494</v>
      </c>
      <c r="AH245" s="23" t="s">
        <v>494</v>
      </c>
      <c r="AI245" s="24" t="s">
        <v>153</v>
      </c>
      <c r="AJ245" s="23" t="s">
        <v>500</v>
      </c>
      <c r="AK245" s="23" t="s">
        <v>500</v>
      </c>
      <c r="AL245" s="23" t="s">
        <v>497</v>
      </c>
      <c r="AM245" s="23" t="s">
        <v>497</v>
      </c>
      <c r="AN245" s="24" t="s">
        <v>156</v>
      </c>
      <c r="AO245" s="24" t="s">
        <v>156</v>
      </c>
      <c r="AP245" s="23">
        <f>VALUE(0)</f>
        <v>0</v>
      </c>
      <c r="AQ245" s="23">
        <f>VALUE(0)</f>
        <v>0</v>
      </c>
      <c r="AR245" s="23">
        <f>VALUE(0)</f>
        <v>0</v>
      </c>
      <c r="AS245" s="23">
        <f>VALUE(0)</f>
        <v>0</v>
      </c>
      <c r="AT245" s="23">
        <f>VALUE(0)</f>
        <v>0</v>
      </c>
      <c r="AU245" s="23">
        <f>VALUE(0)</f>
        <v>0</v>
      </c>
      <c r="AV245" s="23">
        <f>VALUE(10)</f>
        <v>10</v>
      </c>
      <c r="AW245" s="23">
        <f>VALUE(0)</f>
        <v>0</v>
      </c>
      <c r="AX245" s="23" t="s">
        <v>158</v>
      </c>
      <c r="AY245" s="23" t="s">
        <v>171</v>
      </c>
      <c r="AZ245" s="23">
        <f>VALUE(0)</f>
        <v>0</v>
      </c>
      <c r="BA245" s="23">
        <f>VALUE(0)</f>
        <v>0</v>
      </c>
      <c r="BB245" s="23">
        <f>VALUE(0)</f>
        <v>0</v>
      </c>
      <c r="BC245" s="23">
        <f>VALUE(0)</f>
        <v>0</v>
      </c>
      <c r="BD245" s="23">
        <f>VALUE(0)</f>
        <v>0</v>
      </c>
      <c r="BE245" s="23">
        <f>VALUE(0)</f>
        <v>0</v>
      </c>
      <c r="BF245" s="23">
        <f>VALUE(0)</f>
        <v>0</v>
      </c>
      <c r="BG245" s="23">
        <f>VALUE(0)</f>
        <v>0</v>
      </c>
      <c r="BH245" s="23">
        <f>VALUE(0)</f>
        <v>0</v>
      </c>
      <c r="BI245" s="23">
        <f>VALUE(0)</f>
        <v>0</v>
      </c>
      <c r="BJ245" s="23">
        <f>VALUE(0)</f>
        <v>0</v>
      </c>
      <c r="BK245" s="12">
        <f>$AX$245*24</f>
        <v>11.666666666666666</v>
      </c>
      <c r="BL245" s="12">
        <f>$AY$245*24</f>
        <v>5.833333333333333</v>
      </c>
      <c r="BM245" s="12">
        <f>$BJ$245*24</f>
        <v>0</v>
      </c>
      <c r="BN245" s="12">
        <f>VALUE($I$245)/100</f>
        <v>1</v>
      </c>
      <c r="BO245" s="12">
        <v>0</v>
      </c>
      <c r="BP245" s="12">
        <v>0</v>
      </c>
      <c r="BQ245" s="12">
        <v>0</v>
      </c>
      <c r="BR245" s="12">
        <v>0</v>
      </c>
      <c r="BS245" s="12">
        <v>0</v>
      </c>
      <c r="BT245" s="12">
        <v>0</v>
      </c>
      <c r="BU245" s="12">
        <v>0</v>
      </c>
      <c r="BV245" s="12">
        <v>0</v>
      </c>
      <c r="BW245" s="12">
        <v>0</v>
      </c>
      <c r="BX245" s="12">
        <v>0</v>
      </c>
      <c r="BY245" s="12">
        <v>0</v>
      </c>
      <c r="BZ245" s="12">
        <v>0</v>
      </c>
      <c r="CA245" s="12">
        <v>0</v>
      </c>
    </row>
    <row r="246" spans="1:79" hidden="1" x14ac:dyDescent="0.2">
      <c r="A246" s="12" t="s">
        <v>135</v>
      </c>
      <c r="B246" s="12" t="s">
        <v>136</v>
      </c>
      <c r="C246" s="12" t="s">
        <v>136</v>
      </c>
      <c r="D246" s="22" t="s">
        <v>493</v>
      </c>
      <c r="E246" s="22" t="s">
        <v>161</v>
      </c>
      <c r="F246" s="22" t="s">
        <v>984</v>
      </c>
      <c r="G246" s="22" t="s">
        <v>985</v>
      </c>
      <c r="H246" s="22" t="s">
        <v>150</v>
      </c>
      <c r="I246" s="22" t="s">
        <v>1268</v>
      </c>
      <c r="J246" s="22" t="s">
        <v>181</v>
      </c>
      <c r="K246" s="22" t="s">
        <v>92</v>
      </c>
      <c r="L246" s="54" t="s">
        <v>153</v>
      </c>
      <c r="M246" s="24" t="s">
        <v>195</v>
      </c>
      <c r="N246" s="24" t="s">
        <v>153</v>
      </c>
      <c r="O246" s="24" t="s">
        <v>195</v>
      </c>
      <c r="P246" s="23" t="s">
        <v>153</v>
      </c>
      <c r="Q246" s="23" t="s">
        <v>153</v>
      </c>
      <c r="R246" s="23" t="s">
        <v>153</v>
      </c>
      <c r="S246" s="23" t="s">
        <v>153</v>
      </c>
      <c r="T246" s="23" t="s">
        <v>153</v>
      </c>
      <c r="U246" s="24" t="s">
        <v>153</v>
      </c>
      <c r="V246" s="54" t="s">
        <v>153</v>
      </c>
      <c r="W246" s="23" t="s">
        <v>153</v>
      </c>
      <c r="X246" s="23" t="s">
        <v>153</v>
      </c>
      <c r="Y246" s="23" t="s">
        <v>153</v>
      </c>
      <c r="Z246" s="23" t="s">
        <v>153</v>
      </c>
      <c r="AA246" s="24" t="s">
        <v>195</v>
      </c>
      <c r="AB246" s="24" t="s">
        <v>153</v>
      </c>
      <c r="AC246" s="24" t="s">
        <v>195</v>
      </c>
      <c r="AD246" s="23" t="s">
        <v>153</v>
      </c>
      <c r="AE246" s="23" t="s">
        <v>153</v>
      </c>
      <c r="AF246" s="23" t="s">
        <v>153</v>
      </c>
      <c r="AG246" s="23" t="s">
        <v>153</v>
      </c>
      <c r="AH246" s="23" t="s">
        <v>153</v>
      </c>
      <c r="AI246" s="24" t="s">
        <v>153</v>
      </c>
      <c r="AJ246" s="23" t="s">
        <v>153</v>
      </c>
      <c r="AK246" s="23" t="s">
        <v>153</v>
      </c>
      <c r="AL246" s="23" t="s">
        <v>153</v>
      </c>
      <c r="AM246" s="23" t="s">
        <v>153</v>
      </c>
      <c r="AN246" s="23" t="s">
        <v>153</v>
      </c>
      <c r="AO246" s="24" t="s">
        <v>195</v>
      </c>
      <c r="AP246" s="23">
        <f>VALUE(0)</f>
        <v>0</v>
      </c>
      <c r="AQ246" s="23">
        <f>VALUE(0)</f>
        <v>0</v>
      </c>
      <c r="AR246" s="23">
        <f>VALUE(0)</f>
        <v>0</v>
      </c>
      <c r="AS246" s="23">
        <f>VALUE(0)</f>
        <v>0</v>
      </c>
      <c r="AT246" s="23">
        <f>VALUE(0)</f>
        <v>0</v>
      </c>
      <c r="AU246" s="23">
        <f>VALUE(0)</f>
        <v>0</v>
      </c>
      <c r="AV246" s="23">
        <f>VALUE(12)</f>
        <v>12</v>
      </c>
      <c r="AW246" s="23">
        <f>VALUE(0)</f>
        <v>0</v>
      </c>
      <c r="AX246" s="23" t="s">
        <v>506</v>
      </c>
      <c r="AY246" s="23" t="s">
        <v>164</v>
      </c>
      <c r="AZ246" s="23">
        <f>VALUE(0)</f>
        <v>0</v>
      </c>
      <c r="BA246" s="23">
        <f>VALUE(0)</f>
        <v>0</v>
      </c>
      <c r="BB246" s="23">
        <f>VALUE(0)</f>
        <v>0</v>
      </c>
      <c r="BC246" s="23">
        <f>VALUE(0)</f>
        <v>0</v>
      </c>
      <c r="BD246" s="23">
        <f>VALUE(0)</f>
        <v>0</v>
      </c>
      <c r="BE246" s="23">
        <f>VALUE(0)</f>
        <v>0</v>
      </c>
      <c r="BF246" s="23">
        <f>VALUE(0)</f>
        <v>0</v>
      </c>
      <c r="BG246" s="23">
        <f>VALUE(0)</f>
        <v>0</v>
      </c>
      <c r="BH246" s="23">
        <f>VALUE(0)</f>
        <v>0</v>
      </c>
      <c r="BI246" s="23">
        <f>VALUE(0)</f>
        <v>0</v>
      </c>
      <c r="BJ246" s="23">
        <f>VALUE(0)</f>
        <v>0</v>
      </c>
      <c r="BK246" s="12">
        <f>$AX$246*24</f>
        <v>4</v>
      </c>
      <c r="BL246" s="12">
        <f>$AY$246*24</f>
        <v>1.1666666666666667</v>
      </c>
      <c r="BM246" s="12">
        <f>$BJ$246*24</f>
        <v>0</v>
      </c>
      <c r="BN246" s="12">
        <f>VALUE($I$246)/100</f>
        <v>0.68</v>
      </c>
      <c r="BO246" s="12">
        <v>0</v>
      </c>
      <c r="BP246" s="12">
        <v>0</v>
      </c>
      <c r="BQ246" s="12">
        <v>0</v>
      </c>
      <c r="BR246" s="12">
        <v>0</v>
      </c>
      <c r="BS246" s="12">
        <v>0</v>
      </c>
      <c r="BT246" s="12">
        <v>0</v>
      </c>
      <c r="BU246" s="12">
        <v>0</v>
      </c>
      <c r="BV246" s="12">
        <v>0</v>
      </c>
      <c r="BW246" s="12">
        <v>0</v>
      </c>
      <c r="BX246" s="12">
        <v>0</v>
      </c>
      <c r="BY246" s="12">
        <v>0</v>
      </c>
      <c r="BZ246" s="12">
        <v>0</v>
      </c>
      <c r="CA246" s="12">
        <v>0</v>
      </c>
    </row>
    <row r="247" spans="1:79" ht="15" hidden="1" x14ac:dyDescent="0.25">
      <c r="A247" s="12" t="s">
        <v>135</v>
      </c>
      <c r="B247" s="12" t="s">
        <v>136</v>
      </c>
      <c r="C247" s="12" t="s">
        <v>136</v>
      </c>
      <c r="D247" s="31" t="s">
        <v>585</v>
      </c>
      <c r="E247" s="31" t="s">
        <v>153</v>
      </c>
      <c r="F247" s="31" t="s">
        <v>175</v>
      </c>
      <c r="G247" s="31" t="s">
        <v>153</v>
      </c>
      <c r="H247" s="31" t="s">
        <v>153</v>
      </c>
      <c r="I247" s="31" t="s">
        <v>153</v>
      </c>
      <c r="J247" s="31" t="s">
        <v>153</v>
      </c>
      <c r="K247" s="31" t="s">
        <v>153</v>
      </c>
      <c r="L247" s="31">
        <f>VALUE(0)</f>
        <v>0</v>
      </c>
      <c r="M247" s="31">
        <f>VALUE(8)</f>
        <v>8</v>
      </c>
      <c r="N247" s="31">
        <f>VALUE(0)</f>
        <v>0</v>
      </c>
      <c r="O247" s="31">
        <f>VALUE(8)</f>
        <v>8</v>
      </c>
      <c r="P247" s="31">
        <f>VALUE(10)</f>
        <v>10</v>
      </c>
      <c r="Q247" s="31">
        <f>VALUE(10)</f>
        <v>10</v>
      </c>
      <c r="R247" s="31">
        <f>VALUE(9)</f>
        <v>9</v>
      </c>
      <c r="S247" s="31">
        <f>VALUE(9)</f>
        <v>9</v>
      </c>
      <c r="T247" s="31">
        <f>VALUE(9)</f>
        <v>9</v>
      </c>
      <c r="U247" s="31">
        <f>VALUE(0)</f>
        <v>0</v>
      </c>
      <c r="V247" s="31">
        <f>VALUE(0)</f>
        <v>0</v>
      </c>
      <c r="W247" s="31">
        <f>VALUE(9)</f>
        <v>9</v>
      </c>
      <c r="X247" s="31">
        <f>VALUE(10)</f>
        <v>10</v>
      </c>
      <c r="Y247" s="31">
        <f>VALUE(10)</f>
        <v>10</v>
      </c>
      <c r="Z247" s="31">
        <f>VALUE(10)</f>
        <v>10</v>
      </c>
      <c r="AA247" s="31">
        <f>VALUE(8)</f>
        <v>8</v>
      </c>
      <c r="AB247" s="31">
        <f>VALUE(0)</f>
        <v>0</v>
      </c>
      <c r="AC247" s="31">
        <f>VALUE(8)</f>
        <v>8</v>
      </c>
      <c r="AD247" s="31">
        <f>VALUE(10)</f>
        <v>10</v>
      </c>
      <c r="AE247" s="31">
        <f>VALUE(10)</f>
        <v>10</v>
      </c>
      <c r="AF247" s="31">
        <f>VALUE(11)</f>
        <v>11</v>
      </c>
      <c r="AG247" s="31">
        <f>VALUE(11)</f>
        <v>11</v>
      </c>
      <c r="AH247" s="31">
        <f>VALUE(10)</f>
        <v>10</v>
      </c>
      <c r="AI247" s="31">
        <f>VALUE(0)</f>
        <v>0</v>
      </c>
      <c r="AJ247" s="31">
        <f>VALUE(10)</f>
        <v>10</v>
      </c>
      <c r="AK247" s="31">
        <f>VALUE(10)</f>
        <v>10</v>
      </c>
      <c r="AL247" s="31">
        <f>VALUE(10)</f>
        <v>10</v>
      </c>
      <c r="AM247" s="31">
        <f>VALUE(10)</f>
        <v>10</v>
      </c>
      <c r="AN247" s="31">
        <f>VALUE(10)</f>
        <v>10</v>
      </c>
      <c r="AO247" s="31">
        <f>VALUE(9)</f>
        <v>9</v>
      </c>
      <c r="AP247" s="31">
        <v>0</v>
      </c>
      <c r="AQ247" s="31">
        <v>0</v>
      </c>
      <c r="AR247" s="31">
        <v>0</v>
      </c>
      <c r="AS247" s="31">
        <v>0</v>
      </c>
      <c r="AT247" s="31">
        <v>0</v>
      </c>
      <c r="AU247" s="31">
        <v>0</v>
      </c>
      <c r="AV247" s="31">
        <v>0</v>
      </c>
      <c r="AW247" s="31">
        <v>0</v>
      </c>
      <c r="AX247" s="31">
        <v>0</v>
      </c>
      <c r="AY247" s="31">
        <v>0</v>
      </c>
      <c r="AZ247" s="31">
        <v>0</v>
      </c>
      <c r="BA247" s="31">
        <v>0</v>
      </c>
      <c r="BB247" s="31">
        <v>0</v>
      </c>
      <c r="BC247" s="31">
        <v>0</v>
      </c>
      <c r="BD247" s="31">
        <v>0</v>
      </c>
      <c r="BE247" s="31">
        <v>0</v>
      </c>
      <c r="BF247" s="31">
        <v>0</v>
      </c>
      <c r="BG247" s="31">
        <v>0</v>
      </c>
      <c r="BH247" s="31">
        <v>0</v>
      </c>
      <c r="BI247" s="31">
        <v>0</v>
      </c>
      <c r="BJ247" s="31">
        <v>0</v>
      </c>
      <c r="BK247" s="12">
        <v>0</v>
      </c>
      <c r="BL247" s="12">
        <v>0</v>
      </c>
      <c r="BM247" s="12">
        <v>0</v>
      </c>
      <c r="BN247" s="12"/>
      <c r="BO247" s="12">
        <v>0</v>
      </c>
      <c r="BP247" s="12">
        <v>0</v>
      </c>
      <c r="BQ247" s="12">
        <v>0</v>
      </c>
      <c r="BR247" s="12">
        <v>0</v>
      </c>
      <c r="BS247" s="12">
        <v>0</v>
      </c>
      <c r="BT247" s="12">
        <v>0</v>
      </c>
      <c r="BU247" s="12">
        <v>0</v>
      </c>
      <c r="BV247" s="12">
        <v>0</v>
      </c>
      <c r="BW247" s="12">
        <v>0</v>
      </c>
      <c r="BX247" s="12">
        <v>0</v>
      </c>
      <c r="BY247" s="12">
        <v>0</v>
      </c>
      <c r="BZ247" s="12">
        <v>0</v>
      </c>
      <c r="CA247" s="12">
        <v>0</v>
      </c>
    </row>
    <row r="248" spans="1:79" hidden="1" x14ac:dyDescent="0.2">
      <c r="A248" s="12" t="s">
        <v>137</v>
      </c>
      <c r="B248" s="12" t="s">
        <v>138</v>
      </c>
      <c r="C248" s="12" t="s">
        <v>138</v>
      </c>
      <c r="D248" s="22" t="s">
        <v>491</v>
      </c>
      <c r="E248" s="22" t="s">
        <v>161</v>
      </c>
      <c r="F248" s="22" t="s">
        <v>986</v>
      </c>
      <c r="G248" s="22" t="s">
        <v>987</v>
      </c>
      <c r="H248" s="22" t="s">
        <v>150</v>
      </c>
      <c r="I248" s="22" t="s">
        <v>151</v>
      </c>
      <c r="J248" s="22" t="s">
        <v>162</v>
      </c>
      <c r="K248" s="22" t="s">
        <v>93</v>
      </c>
      <c r="L248" s="54" t="s">
        <v>153</v>
      </c>
      <c r="M248" s="23" t="s">
        <v>153</v>
      </c>
      <c r="N248" s="24" t="s">
        <v>153</v>
      </c>
      <c r="O248" s="23" t="s">
        <v>153</v>
      </c>
      <c r="P248" s="23" t="s">
        <v>153</v>
      </c>
      <c r="Q248" s="23" t="s">
        <v>153</v>
      </c>
      <c r="R248" s="23" t="s">
        <v>153</v>
      </c>
      <c r="S248" s="23" t="s">
        <v>153</v>
      </c>
      <c r="T248" s="23" t="s">
        <v>153</v>
      </c>
      <c r="U248" s="24" t="s">
        <v>153</v>
      </c>
      <c r="V248" s="54" t="s">
        <v>156</v>
      </c>
      <c r="W248" s="24" t="s">
        <v>156</v>
      </c>
      <c r="X248" s="28" t="s">
        <v>163</v>
      </c>
      <c r="Y248" s="28" t="s">
        <v>163</v>
      </c>
      <c r="Z248" s="23" t="s">
        <v>153</v>
      </c>
      <c r="AA248" s="23" t="s">
        <v>153</v>
      </c>
      <c r="AB248" s="24" t="s">
        <v>153</v>
      </c>
      <c r="AC248" s="23" t="s">
        <v>153</v>
      </c>
      <c r="AD248" s="23" t="s">
        <v>153</v>
      </c>
      <c r="AE248" s="23" t="s">
        <v>153</v>
      </c>
      <c r="AF248" s="23" t="s">
        <v>153</v>
      </c>
      <c r="AG248" s="23" t="s">
        <v>153</v>
      </c>
      <c r="AH248" s="23" t="s">
        <v>153</v>
      </c>
      <c r="AI248" s="24" t="s">
        <v>153</v>
      </c>
      <c r="AJ248" s="23" t="s">
        <v>153</v>
      </c>
      <c r="AK248" s="23" t="s">
        <v>153</v>
      </c>
      <c r="AL248" s="23" t="s">
        <v>153</v>
      </c>
      <c r="AM248" s="23" t="s">
        <v>153</v>
      </c>
      <c r="AN248" s="23" t="s">
        <v>153</v>
      </c>
      <c r="AO248" s="23" t="s">
        <v>153</v>
      </c>
      <c r="AP248" s="23">
        <f>VALUE(0)</f>
        <v>0</v>
      </c>
      <c r="AQ248" s="23">
        <f>VALUE(0)</f>
        <v>0</v>
      </c>
      <c r="AR248" s="23">
        <f>VALUE(0)</f>
        <v>0</v>
      </c>
      <c r="AS248" s="23">
        <f>VALUE(0)</f>
        <v>0</v>
      </c>
      <c r="AT248" s="23">
        <f>VALUE(0)</f>
        <v>0</v>
      </c>
      <c r="AU248" s="23">
        <f>VALUE(2)</f>
        <v>2</v>
      </c>
      <c r="AV248" s="23">
        <f>VALUE(2)</f>
        <v>2</v>
      </c>
      <c r="AW248" s="23">
        <f>VALUE(0)</f>
        <v>0</v>
      </c>
      <c r="AX248" s="23" t="s">
        <v>158</v>
      </c>
      <c r="AY248" s="23" t="s">
        <v>507</v>
      </c>
      <c r="AZ248" s="23">
        <f>VALUE(0)</f>
        <v>0</v>
      </c>
      <c r="BA248" s="23">
        <f>VALUE(0)</f>
        <v>0</v>
      </c>
      <c r="BB248" s="23">
        <f>VALUE(0)</f>
        <v>0</v>
      </c>
      <c r="BC248" s="23">
        <f>VALUE(0)</f>
        <v>0</v>
      </c>
      <c r="BD248" s="23">
        <f>VALUE(0)</f>
        <v>0</v>
      </c>
      <c r="BE248" s="23">
        <f>VALUE(0)</f>
        <v>0</v>
      </c>
      <c r="BF248" s="23">
        <f>VALUE(0)</f>
        <v>0</v>
      </c>
      <c r="BG248" s="23">
        <f>VALUE(0)</f>
        <v>0</v>
      </c>
      <c r="BH248" s="23">
        <f>VALUE(0)</f>
        <v>0</v>
      </c>
      <c r="BI248" s="23">
        <f>VALUE(0)</f>
        <v>0</v>
      </c>
      <c r="BJ248" s="23">
        <f>VALUE(0)</f>
        <v>0</v>
      </c>
      <c r="BK248" s="12">
        <f>$AX$248*24</f>
        <v>11.666666666666666</v>
      </c>
      <c r="BL248" s="12">
        <f>$AY$248*24</f>
        <v>1.9333333333333336</v>
      </c>
      <c r="BM248" s="12">
        <f>$BJ$248*24</f>
        <v>0</v>
      </c>
      <c r="BN248" s="12">
        <f>VALUE($I$248)/100</f>
        <v>1</v>
      </c>
      <c r="BO248" s="12">
        <v>0</v>
      </c>
      <c r="BP248" s="12">
        <v>0</v>
      </c>
      <c r="BQ248" s="12">
        <v>0</v>
      </c>
      <c r="BR248" s="12">
        <v>0</v>
      </c>
      <c r="BS248" s="12">
        <v>0</v>
      </c>
      <c r="BT248" s="12">
        <v>0</v>
      </c>
      <c r="BU248" s="12">
        <v>0</v>
      </c>
      <c r="BV248" s="12">
        <v>0</v>
      </c>
      <c r="BW248" s="12">
        <v>0</v>
      </c>
      <c r="BX248" s="12">
        <v>0</v>
      </c>
      <c r="BY248" s="12">
        <v>0</v>
      </c>
      <c r="BZ248" s="12">
        <v>0</v>
      </c>
      <c r="CA248" s="12">
        <v>0</v>
      </c>
    </row>
    <row r="249" spans="1:79" hidden="1" x14ac:dyDescent="0.2">
      <c r="A249" s="12" t="s">
        <v>137</v>
      </c>
      <c r="B249" s="12" t="s">
        <v>138</v>
      </c>
      <c r="C249" s="12" t="s">
        <v>138</v>
      </c>
      <c r="D249" s="22" t="s">
        <v>492</v>
      </c>
      <c r="E249" s="22" t="s">
        <v>161</v>
      </c>
      <c r="F249" s="22" t="s">
        <v>988</v>
      </c>
      <c r="G249" s="22" t="s">
        <v>989</v>
      </c>
      <c r="H249" s="22" t="s">
        <v>150</v>
      </c>
      <c r="I249" s="22" t="s">
        <v>151</v>
      </c>
      <c r="J249" s="22" t="s">
        <v>162</v>
      </c>
      <c r="K249" s="22" t="s">
        <v>93</v>
      </c>
      <c r="L249" s="54" t="s">
        <v>153</v>
      </c>
      <c r="M249" s="28" t="s">
        <v>163</v>
      </c>
      <c r="N249" s="24" t="s">
        <v>153</v>
      </c>
      <c r="O249" s="28" t="s">
        <v>163</v>
      </c>
      <c r="P249" s="28" t="s">
        <v>163</v>
      </c>
      <c r="Q249" s="23" t="s">
        <v>153</v>
      </c>
      <c r="R249" s="23" t="s">
        <v>153</v>
      </c>
      <c r="S249" s="23" t="s">
        <v>153</v>
      </c>
      <c r="T249" s="23" t="s">
        <v>153</v>
      </c>
      <c r="U249" s="24" t="s">
        <v>153</v>
      </c>
      <c r="V249" s="54" t="s">
        <v>153</v>
      </c>
      <c r="W249" s="30" t="s">
        <v>28</v>
      </c>
      <c r="X249" s="23" t="s">
        <v>153</v>
      </c>
      <c r="Y249" s="23" t="s">
        <v>153</v>
      </c>
      <c r="Z249" s="23" t="s">
        <v>153</v>
      </c>
      <c r="AA249" s="23" t="s">
        <v>153</v>
      </c>
      <c r="AB249" s="24" t="s">
        <v>153</v>
      </c>
      <c r="AC249" s="23" t="s">
        <v>153</v>
      </c>
      <c r="AD249" s="23" t="s">
        <v>153</v>
      </c>
      <c r="AE249" s="24" t="s">
        <v>156</v>
      </c>
      <c r="AF249" s="24" t="s">
        <v>156</v>
      </c>
      <c r="AG249" s="23" t="s">
        <v>153</v>
      </c>
      <c r="AH249" s="23" t="s">
        <v>153</v>
      </c>
      <c r="AI249" s="24" t="s">
        <v>153</v>
      </c>
      <c r="AJ249" s="23" t="s">
        <v>153</v>
      </c>
      <c r="AK249" s="23" t="s">
        <v>153</v>
      </c>
      <c r="AL249" s="23" t="s">
        <v>153</v>
      </c>
      <c r="AM249" s="23" t="s">
        <v>153</v>
      </c>
      <c r="AN249" s="23" t="s">
        <v>153</v>
      </c>
      <c r="AO249" s="23" t="s">
        <v>153</v>
      </c>
      <c r="AP249" s="23">
        <f>VALUE(0)</f>
        <v>0</v>
      </c>
      <c r="AQ249" s="23">
        <f>VALUE(0)</f>
        <v>0</v>
      </c>
      <c r="AR249" s="23">
        <f>VALUE(0)</f>
        <v>0</v>
      </c>
      <c r="AS249" s="23">
        <f>VALUE(0)</f>
        <v>0</v>
      </c>
      <c r="AT249" s="23">
        <f>VALUE(0)</f>
        <v>0</v>
      </c>
      <c r="AU249" s="23">
        <f>VALUE(3)</f>
        <v>3</v>
      </c>
      <c r="AV249" s="23">
        <f>VALUE(2)</f>
        <v>2</v>
      </c>
      <c r="AW249" s="23">
        <f>VALUE(0)</f>
        <v>0</v>
      </c>
      <c r="AX249" s="23" t="s">
        <v>445</v>
      </c>
      <c r="AY249" s="23" t="s">
        <v>508</v>
      </c>
      <c r="AZ249" s="23">
        <f>VALUE(0)</f>
        <v>0</v>
      </c>
      <c r="BA249" s="23">
        <f>VALUE(0)</f>
        <v>0</v>
      </c>
      <c r="BB249" s="23">
        <f>VALUE(0)</f>
        <v>0</v>
      </c>
      <c r="BC249" s="23">
        <f>VALUE(0)</f>
        <v>0</v>
      </c>
      <c r="BD249" s="23">
        <f>VALUE(0)</f>
        <v>0</v>
      </c>
      <c r="BE249" s="23">
        <f>VALUE(0)</f>
        <v>0</v>
      </c>
      <c r="BF249" s="23">
        <f>VALUE(0)</f>
        <v>0</v>
      </c>
      <c r="BG249" s="23">
        <f>VALUE(0)</f>
        <v>0</v>
      </c>
      <c r="BH249" s="23">
        <f>VALUE(0)</f>
        <v>0</v>
      </c>
      <c r="BI249" s="23">
        <f>VALUE(0)</f>
        <v>0</v>
      </c>
      <c r="BJ249" s="23">
        <f>VALUE(0)</f>
        <v>0</v>
      </c>
      <c r="BK249" s="12">
        <f>$AX$249*24</f>
        <v>17.5</v>
      </c>
      <c r="BL249" s="12">
        <f>$AY$249*24</f>
        <v>6.35</v>
      </c>
      <c r="BM249" s="12">
        <f>$BJ$249*24</f>
        <v>0</v>
      </c>
      <c r="BN249" s="12">
        <f>VALUE($I$249)/100</f>
        <v>1</v>
      </c>
      <c r="BO249" s="12">
        <v>0</v>
      </c>
      <c r="BP249" s="12">
        <v>0</v>
      </c>
      <c r="BQ249" s="12">
        <v>1</v>
      </c>
      <c r="BR249" s="12">
        <v>0</v>
      </c>
      <c r="BS249" s="12">
        <v>0</v>
      </c>
      <c r="BT249" s="12">
        <v>0</v>
      </c>
      <c r="BU249" s="12">
        <v>0</v>
      </c>
      <c r="BV249" s="12">
        <v>0</v>
      </c>
      <c r="BW249" s="12">
        <v>0</v>
      </c>
      <c r="BX249" s="12">
        <v>0</v>
      </c>
      <c r="BY249" s="12">
        <v>0</v>
      </c>
      <c r="BZ249" s="12">
        <v>0</v>
      </c>
      <c r="CA249" s="12">
        <v>0</v>
      </c>
    </row>
    <row r="250" spans="1:79" hidden="1" x14ac:dyDescent="0.2">
      <c r="A250" s="12" t="s">
        <v>137</v>
      </c>
      <c r="B250" s="12" t="s">
        <v>138</v>
      </c>
      <c r="C250" s="12" t="s">
        <v>138</v>
      </c>
      <c r="D250" s="22" t="s">
        <v>500</v>
      </c>
      <c r="E250" s="22" t="s">
        <v>161</v>
      </c>
      <c r="F250" s="22" t="s">
        <v>1269</v>
      </c>
      <c r="G250" s="22" t="s">
        <v>990</v>
      </c>
      <c r="H250" s="22" t="s">
        <v>166</v>
      </c>
      <c r="I250" s="22" t="s">
        <v>151</v>
      </c>
      <c r="J250" s="22" t="s">
        <v>162</v>
      </c>
      <c r="K250" s="22" t="s">
        <v>93</v>
      </c>
      <c r="L250" s="54" t="s">
        <v>153</v>
      </c>
      <c r="M250" s="23" t="s">
        <v>153</v>
      </c>
      <c r="N250" s="24" t="s">
        <v>153</v>
      </c>
      <c r="O250" s="23" t="s">
        <v>153</v>
      </c>
      <c r="P250" s="23" t="s">
        <v>153</v>
      </c>
      <c r="Q250" s="23" t="s">
        <v>153</v>
      </c>
      <c r="R250" s="23" t="s">
        <v>153</v>
      </c>
      <c r="S250" s="23" t="s">
        <v>153</v>
      </c>
      <c r="T250" s="23" t="s">
        <v>153</v>
      </c>
      <c r="U250" s="24" t="s">
        <v>153</v>
      </c>
      <c r="V250" s="54" t="s">
        <v>153</v>
      </c>
      <c r="W250" s="23" t="s">
        <v>153</v>
      </c>
      <c r="X250" s="23" t="s">
        <v>153</v>
      </c>
      <c r="Y250" s="23" t="s">
        <v>153</v>
      </c>
      <c r="Z250" s="24" t="s">
        <v>156</v>
      </c>
      <c r="AA250" s="24" t="s">
        <v>156</v>
      </c>
      <c r="AB250" s="24" t="s">
        <v>153</v>
      </c>
      <c r="AC250" s="28" t="s">
        <v>163</v>
      </c>
      <c r="AD250" s="28" t="s">
        <v>163</v>
      </c>
      <c r="AE250" s="28" t="s">
        <v>163</v>
      </c>
      <c r="AF250" s="28" t="s">
        <v>163</v>
      </c>
      <c r="AG250" s="28" t="s">
        <v>163</v>
      </c>
      <c r="AH250" s="28" t="s">
        <v>163</v>
      </c>
      <c r="AI250" s="24" t="s">
        <v>153</v>
      </c>
      <c r="AJ250" s="23" t="s">
        <v>153</v>
      </c>
      <c r="AK250" s="23" t="s">
        <v>153</v>
      </c>
      <c r="AL250" s="23" t="s">
        <v>153</v>
      </c>
      <c r="AM250" s="23" t="s">
        <v>153</v>
      </c>
      <c r="AN250" s="23" t="s">
        <v>153</v>
      </c>
      <c r="AO250" s="23" t="s">
        <v>153</v>
      </c>
      <c r="AP250" s="23">
        <f>VALUE(0)</f>
        <v>0</v>
      </c>
      <c r="AQ250" s="23">
        <f>VALUE(0)</f>
        <v>0</v>
      </c>
      <c r="AR250" s="23">
        <f>VALUE(0)</f>
        <v>0</v>
      </c>
      <c r="AS250" s="23">
        <f>VALUE(0)</f>
        <v>0</v>
      </c>
      <c r="AT250" s="23">
        <f>VALUE(0)</f>
        <v>0</v>
      </c>
      <c r="AU250" s="23">
        <f>VALUE(6)</f>
        <v>6</v>
      </c>
      <c r="AV250" s="23">
        <f>VALUE(2)</f>
        <v>2</v>
      </c>
      <c r="AW250" s="23">
        <f>VALUE(1)</f>
        <v>1</v>
      </c>
      <c r="AX250" s="23" t="s">
        <v>394</v>
      </c>
      <c r="AY250" s="23">
        <f>VALUE(0)</f>
        <v>0</v>
      </c>
      <c r="AZ250" s="23">
        <f>VALUE(0)</f>
        <v>0</v>
      </c>
      <c r="BA250" s="23">
        <f>VALUE(0)</f>
        <v>0</v>
      </c>
      <c r="BB250" s="23">
        <f>VALUE(0)</f>
        <v>0</v>
      </c>
      <c r="BC250" s="23">
        <f>VALUE(0)</f>
        <v>0</v>
      </c>
      <c r="BD250" s="23">
        <f>VALUE(0)</f>
        <v>0</v>
      </c>
      <c r="BE250" s="23">
        <f>VALUE(0)</f>
        <v>0</v>
      </c>
      <c r="BF250" s="23">
        <f>VALUE(0)</f>
        <v>0</v>
      </c>
      <c r="BG250" s="23">
        <f>VALUE(0)</f>
        <v>0</v>
      </c>
      <c r="BH250" s="23">
        <f>VALUE(0)</f>
        <v>0</v>
      </c>
      <c r="BI250" s="23">
        <f>VALUE(0)</f>
        <v>0</v>
      </c>
      <c r="BJ250" s="23">
        <f>VALUE(0)</f>
        <v>0</v>
      </c>
      <c r="BK250" s="12">
        <f>$AX$250*24</f>
        <v>9.3333333333333339</v>
      </c>
      <c r="BL250" s="12">
        <f>$AY$250*24</f>
        <v>0</v>
      </c>
      <c r="BM250" s="12">
        <f>$BJ$250*24</f>
        <v>0</v>
      </c>
      <c r="BN250" s="12">
        <f>VALUE($I$250)/100</f>
        <v>1</v>
      </c>
      <c r="BO250" s="12">
        <v>0</v>
      </c>
      <c r="BP250" s="12">
        <v>0</v>
      </c>
      <c r="BQ250" s="12">
        <v>0</v>
      </c>
      <c r="BR250" s="12">
        <v>0</v>
      </c>
      <c r="BS250" s="12">
        <v>0</v>
      </c>
      <c r="BT250" s="12">
        <v>0</v>
      </c>
      <c r="BU250" s="12">
        <v>0</v>
      </c>
      <c r="BV250" s="12">
        <v>0</v>
      </c>
      <c r="BW250" s="12">
        <v>0</v>
      </c>
      <c r="BX250" s="12">
        <v>0</v>
      </c>
      <c r="BY250" s="12">
        <v>0</v>
      </c>
      <c r="BZ250" s="12">
        <v>0</v>
      </c>
      <c r="CA250" s="12">
        <v>0</v>
      </c>
    </row>
    <row r="251" spans="1:79" hidden="1" x14ac:dyDescent="0.2">
      <c r="A251" s="12" t="s">
        <v>137</v>
      </c>
      <c r="B251" s="12" t="s">
        <v>138</v>
      </c>
      <c r="C251" s="12" t="s">
        <v>138</v>
      </c>
      <c r="D251" s="22" t="s">
        <v>489</v>
      </c>
      <c r="E251" s="22" t="s">
        <v>161</v>
      </c>
      <c r="F251" s="22" t="s">
        <v>991</v>
      </c>
      <c r="G251" s="22" t="s">
        <v>992</v>
      </c>
      <c r="H251" s="22" t="s">
        <v>150</v>
      </c>
      <c r="I251" s="22" t="s">
        <v>151</v>
      </c>
      <c r="J251" s="22" t="s">
        <v>162</v>
      </c>
      <c r="K251" s="22" t="s">
        <v>93</v>
      </c>
      <c r="L251" s="54" t="s">
        <v>153</v>
      </c>
      <c r="M251" s="23" t="s">
        <v>153</v>
      </c>
      <c r="N251" s="24" t="s">
        <v>153</v>
      </c>
      <c r="O251" s="23" t="s">
        <v>153</v>
      </c>
      <c r="P251" s="23" t="s">
        <v>153</v>
      </c>
      <c r="Q251" s="23" t="s">
        <v>153</v>
      </c>
      <c r="R251" s="23" t="s">
        <v>153</v>
      </c>
      <c r="S251" s="23" t="s">
        <v>153</v>
      </c>
      <c r="T251" s="23" t="s">
        <v>153</v>
      </c>
      <c r="U251" s="24" t="s">
        <v>153</v>
      </c>
      <c r="V251" s="54" t="s">
        <v>153</v>
      </c>
      <c r="W251" s="23" t="s">
        <v>153</v>
      </c>
      <c r="X251" s="23" t="s">
        <v>153</v>
      </c>
      <c r="Y251" s="23" t="s">
        <v>153</v>
      </c>
      <c r="Z251" s="23" t="s">
        <v>153</v>
      </c>
      <c r="AA251" s="23" t="s">
        <v>153</v>
      </c>
      <c r="AB251" s="24" t="s">
        <v>153</v>
      </c>
      <c r="AC251" s="23" t="s">
        <v>153</v>
      </c>
      <c r="AD251" s="23" t="s">
        <v>153</v>
      </c>
      <c r="AE251" s="23" t="s">
        <v>153</v>
      </c>
      <c r="AF251" s="23" t="s">
        <v>153</v>
      </c>
      <c r="AG251" s="23" t="s">
        <v>153</v>
      </c>
      <c r="AH251" s="23" t="s">
        <v>153</v>
      </c>
      <c r="AI251" s="24" t="s">
        <v>153</v>
      </c>
      <c r="AJ251" s="24" t="s">
        <v>156</v>
      </c>
      <c r="AK251" s="24" t="s">
        <v>156</v>
      </c>
      <c r="AL251" s="24" t="s">
        <v>156</v>
      </c>
      <c r="AM251" s="24" t="s">
        <v>156</v>
      </c>
      <c r="AN251" s="23" t="s">
        <v>153</v>
      </c>
      <c r="AO251" s="23" t="s">
        <v>153</v>
      </c>
      <c r="AP251" s="23">
        <f>VALUE(0)</f>
        <v>0</v>
      </c>
      <c r="AQ251" s="23">
        <f>VALUE(0)</f>
        <v>0</v>
      </c>
      <c r="AR251" s="23">
        <f>VALUE(0)</f>
        <v>0</v>
      </c>
      <c r="AS251" s="23">
        <f>VALUE(0)</f>
        <v>0</v>
      </c>
      <c r="AT251" s="23">
        <f>VALUE(0)</f>
        <v>0</v>
      </c>
      <c r="AU251" s="23">
        <f>VALUE(0)</f>
        <v>0</v>
      </c>
      <c r="AV251" s="23">
        <f>VALUE(0)</f>
        <v>0</v>
      </c>
      <c r="AW251" s="23">
        <f>VALUE(0)</f>
        <v>0</v>
      </c>
      <c r="AX251" s="23" t="s">
        <v>290</v>
      </c>
      <c r="AY251" s="23" t="s">
        <v>509</v>
      </c>
      <c r="AZ251" s="23">
        <f>VALUE(0)</f>
        <v>0</v>
      </c>
      <c r="BA251" s="23">
        <f>VALUE(0)</f>
        <v>0</v>
      </c>
      <c r="BB251" s="23">
        <f>VALUE(0)</f>
        <v>0</v>
      </c>
      <c r="BC251" s="23">
        <f>VALUE(0)</f>
        <v>0</v>
      </c>
      <c r="BD251" s="23">
        <f>VALUE(0)</f>
        <v>0</v>
      </c>
      <c r="BE251" s="23">
        <f>VALUE(0)</f>
        <v>0</v>
      </c>
      <c r="BF251" s="23">
        <f>VALUE(0)</f>
        <v>0</v>
      </c>
      <c r="BG251" s="23">
        <f>VALUE(0)</f>
        <v>0</v>
      </c>
      <c r="BH251" s="23">
        <f>VALUE(0)</f>
        <v>0</v>
      </c>
      <c r="BI251" s="23">
        <f>VALUE(0)</f>
        <v>0</v>
      </c>
      <c r="BJ251" s="23">
        <f>VALUE(0)</f>
        <v>0</v>
      </c>
      <c r="BK251" s="12">
        <f>$AX$251*24</f>
        <v>4.4000000000000004</v>
      </c>
      <c r="BL251" s="12">
        <f>$AY$251*24</f>
        <v>5.95</v>
      </c>
      <c r="BM251" s="12">
        <f>$BJ$251*24</f>
        <v>0</v>
      </c>
      <c r="BN251" s="12">
        <f>VALUE($I$251)/100</f>
        <v>1</v>
      </c>
      <c r="BO251" s="12">
        <v>0</v>
      </c>
      <c r="BP251" s="12">
        <v>0</v>
      </c>
      <c r="BQ251" s="12">
        <v>0</v>
      </c>
      <c r="BR251" s="12">
        <v>0</v>
      </c>
      <c r="BS251" s="12">
        <v>0</v>
      </c>
      <c r="BT251" s="12">
        <v>0</v>
      </c>
      <c r="BU251" s="12">
        <v>0</v>
      </c>
      <c r="BV251" s="12">
        <v>0</v>
      </c>
      <c r="BW251" s="12">
        <v>0</v>
      </c>
      <c r="BX251" s="12">
        <v>0</v>
      </c>
      <c r="BY251" s="12">
        <v>0</v>
      </c>
      <c r="BZ251" s="12">
        <v>0</v>
      </c>
      <c r="CA251" s="12">
        <v>0</v>
      </c>
    </row>
    <row r="252" spans="1:79" hidden="1" x14ac:dyDescent="0.2">
      <c r="A252" s="12" t="s">
        <v>137</v>
      </c>
      <c r="B252" s="12" t="s">
        <v>138</v>
      </c>
      <c r="C252" s="12" t="s">
        <v>138</v>
      </c>
      <c r="D252" s="22" t="s">
        <v>510</v>
      </c>
      <c r="E252" s="22" t="s">
        <v>161</v>
      </c>
      <c r="F252" s="22" t="s">
        <v>993</v>
      </c>
      <c r="G252" s="22" t="s">
        <v>994</v>
      </c>
      <c r="H252" s="22" t="s">
        <v>166</v>
      </c>
      <c r="I252" s="22" t="s">
        <v>151</v>
      </c>
      <c r="J252" s="22" t="s">
        <v>162</v>
      </c>
      <c r="K252" s="22" t="s">
        <v>93</v>
      </c>
      <c r="L252" s="54" t="s">
        <v>156</v>
      </c>
      <c r="M252" s="23" t="s">
        <v>153</v>
      </c>
      <c r="N252" s="24" t="s">
        <v>153</v>
      </c>
      <c r="O252" s="23" t="s">
        <v>153</v>
      </c>
      <c r="P252" s="23" t="s">
        <v>153</v>
      </c>
      <c r="Q252" s="23" t="s">
        <v>153</v>
      </c>
      <c r="R252" s="23" t="s">
        <v>153</v>
      </c>
      <c r="S252" s="23" t="s">
        <v>153</v>
      </c>
      <c r="T252" s="23" t="s">
        <v>153</v>
      </c>
      <c r="U252" s="24" t="s">
        <v>153</v>
      </c>
      <c r="V252" s="54" t="s">
        <v>153</v>
      </c>
      <c r="W252" s="23" t="s">
        <v>153</v>
      </c>
      <c r="X252" s="23" t="s">
        <v>153</v>
      </c>
      <c r="Y252" s="23" t="s">
        <v>153</v>
      </c>
      <c r="Z252" s="23" t="s">
        <v>153</v>
      </c>
      <c r="AA252" s="24" t="s">
        <v>156</v>
      </c>
      <c r="AB252" s="24" t="s">
        <v>153</v>
      </c>
      <c r="AC252" s="24" t="s">
        <v>156</v>
      </c>
      <c r="AD252" s="24" t="s">
        <v>156</v>
      </c>
      <c r="AE252" s="23" t="s">
        <v>153</v>
      </c>
      <c r="AF252" s="23" t="s">
        <v>153</v>
      </c>
      <c r="AG252" s="23" t="s">
        <v>153</v>
      </c>
      <c r="AH252" s="23" t="s">
        <v>153</v>
      </c>
      <c r="AI252" s="24" t="s">
        <v>153</v>
      </c>
      <c r="AJ252" s="23" t="s">
        <v>153</v>
      </c>
      <c r="AK252" s="23" t="s">
        <v>153</v>
      </c>
      <c r="AL252" s="23" t="s">
        <v>153</v>
      </c>
      <c r="AM252" s="23" t="s">
        <v>153</v>
      </c>
      <c r="AN252" s="23" t="s">
        <v>153</v>
      </c>
      <c r="AO252" s="23" t="s">
        <v>153</v>
      </c>
      <c r="AP252" s="23">
        <f>VALUE(0)</f>
        <v>0</v>
      </c>
      <c r="AQ252" s="23">
        <f>VALUE(0)</f>
        <v>0</v>
      </c>
      <c r="AR252" s="23">
        <f>VALUE(0)</f>
        <v>0</v>
      </c>
      <c r="AS252" s="23">
        <f>VALUE(0)</f>
        <v>0</v>
      </c>
      <c r="AT252" s="23">
        <f>VALUE(0)</f>
        <v>0</v>
      </c>
      <c r="AU252" s="23">
        <f>VALUE(0)</f>
        <v>0</v>
      </c>
      <c r="AV252" s="23">
        <f>VALUE(2.5)</f>
        <v>2.5</v>
      </c>
      <c r="AW252" s="23">
        <f>VALUE(0)</f>
        <v>0</v>
      </c>
      <c r="AX252" s="23" t="s">
        <v>1270</v>
      </c>
      <c r="AY252" s="23">
        <f>VALUE(0)</f>
        <v>0</v>
      </c>
      <c r="AZ252" s="23">
        <f>VALUE(0)</f>
        <v>0</v>
      </c>
      <c r="BA252" s="23">
        <f>VALUE(0)</f>
        <v>0</v>
      </c>
      <c r="BB252" s="23">
        <f>VALUE(0)</f>
        <v>0</v>
      </c>
      <c r="BC252" s="23">
        <f>VALUE(0)</f>
        <v>0</v>
      </c>
      <c r="BD252" s="23">
        <f>VALUE(0)</f>
        <v>0</v>
      </c>
      <c r="BE252" s="23">
        <f>VALUE(0)</f>
        <v>0</v>
      </c>
      <c r="BF252" s="23">
        <f>VALUE(0)</f>
        <v>0</v>
      </c>
      <c r="BG252" s="23">
        <f>VALUE(0)</f>
        <v>0</v>
      </c>
      <c r="BH252" s="23">
        <f>VALUE(0)</f>
        <v>0</v>
      </c>
      <c r="BI252" s="23">
        <f>VALUE(0)</f>
        <v>0</v>
      </c>
      <c r="BJ252" s="23">
        <f>VALUE(0)</f>
        <v>0</v>
      </c>
      <c r="BK252" s="12">
        <f>$AX$252*24</f>
        <v>2</v>
      </c>
      <c r="BL252" s="12">
        <f>$AY$252*24</f>
        <v>0</v>
      </c>
      <c r="BM252" s="12">
        <f>$BJ$252*24</f>
        <v>0</v>
      </c>
      <c r="BN252" s="12">
        <f>VALUE($I$252)/100</f>
        <v>1</v>
      </c>
      <c r="BO252" s="12">
        <v>0</v>
      </c>
      <c r="BP252" s="12">
        <v>0</v>
      </c>
      <c r="BQ252" s="12">
        <v>0</v>
      </c>
      <c r="BR252" s="12">
        <v>0</v>
      </c>
      <c r="BS252" s="12">
        <v>0</v>
      </c>
      <c r="BT252" s="12">
        <v>0</v>
      </c>
      <c r="BU252" s="12">
        <v>0</v>
      </c>
      <c r="BV252" s="12">
        <v>0</v>
      </c>
      <c r="BW252" s="12">
        <v>0</v>
      </c>
      <c r="BX252" s="12">
        <v>0</v>
      </c>
      <c r="BY252" s="12">
        <v>0</v>
      </c>
      <c r="BZ252" s="12">
        <v>0</v>
      </c>
      <c r="CA252" s="12">
        <v>0</v>
      </c>
    </row>
    <row r="253" spans="1:79" hidden="1" x14ac:dyDescent="0.2">
      <c r="A253" s="12" t="s">
        <v>137</v>
      </c>
      <c r="B253" s="12" t="s">
        <v>138</v>
      </c>
      <c r="C253" s="12" t="s">
        <v>138</v>
      </c>
      <c r="D253" s="22" t="s">
        <v>1271</v>
      </c>
      <c r="E253" s="22" t="s">
        <v>159</v>
      </c>
      <c r="F253" s="22" t="s">
        <v>995</v>
      </c>
      <c r="G253" s="22" t="s">
        <v>996</v>
      </c>
      <c r="H253" s="22" t="s">
        <v>150</v>
      </c>
      <c r="I253" s="22" t="s">
        <v>151</v>
      </c>
      <c r="J253" s="22" t="s">
        <v>162</v>
      </c>
      <c r="K253" s="22" t="s">
        <v>93</v>
      </c>
      <c r="L253" s="54" t="s">
        <v>153</v>
      </c>
      <c r="M253" s="28" t="s">
        <v>163</v>
      </c>
      <c r="N253" s="24" t="s">
        <v>153</v>
      </c>
      <c r="O253" s="25" t="s">
        <v>511</v>
      </c>
      <c r="P253" s="25" t="s">
        <v>511</v>
      </c>
      <c r="Q253" s="24" t="s">
        <v>156</v>
      </c>
      <c r="R253" s="24" t="s">
        <v>156</v>
      </c>
      <c r="S253" s="23" t="s">
        <v>490</v>
      </c>
      <c r="T253" s="23" t="s">
        <v>490</v>
      </c>
      <c r="U253" s="24" t="s">
        <v>153</v>
      </c>
      <c r="V253" s="54" t="s">
        <v>153</v>
      </c>
      <c r="W253" s="25" t="s">
        <v>513</v>
      </c>
      <c r="X253" s="23" t="s">
        <v>511</v>
      </c>
      <c r="Y253" s="23" t="s">
        <v>511</v>
      </c>
      <c r="Z253" s="23" t="s">
        <v>500</v>
      </c>
      <c r="AA253" s="23" t="s">
        <v>500</v>
      </c>
      <c r="AB253" s="24" t="s">
        <v>153</v>
      </c>
      <c r="AC253" s="23" t="s">
        <v>500</v>
      </c>
      <c r="AD253" s="23" t="s">
        <v>500</v>
      </c>
      <c r="AE253" s="23" t="s">
        <v>500</v>
      </c>
      <c r="AF253" s="23" t="s">
        <v>500</v>
      </c>
      <c r="AG253" s="23" t="s">
        <v>500</v>
      </c>
      <c r="AH253" s="23" t="s">
        <v>500</v>
      </c>
      <c r="AI253" s="24" t="s">
        <v>153</v>
      </c>
      <c r="AJ253" s="25" t="s">
        <v>522</v>
      </c>
      <c r="AK253" s="25" t="s">
        <v>522</v>
      </c>
      <c r="AL253" s="23" t="s">
        <v>498</v>
      </c>
      <c r="AM253" s="23" t="s">
        <v>498</v>
      </c>
      <c r="AN253" s="24" t="s">
        <v>156</v>
      </c>
      <c r="AO253" s="24" t="s">
        <v>156</v>
      </c>
      <c r="AP253" s="23">
        <f>VALUE(0)</f>
        <v>0</v>
      </c>
      <c r="AQ253" s="23">
        <f>VALUE(0)</f>
        <v>0</v>
      </c>
      <c r="AR253" s="23">
        <f>VALUE(0)</f>
        <v>0</v>
      </c>
      <c r="AS253" s="23">
        <f>VALUE(0)</f>
        <v>0</v>
      </c>
      <c r="AT253" s="23">
        <f>VALUE(0)</f>
        <v>0</v>
      </c>
      <c r="AU253" s="23">
        <f>VALUE(1)</f>
        <v>1</v>
      </c>
      <c r="AV253" s="23">
        <f>VALUE(3)</f>
        <v>3</v>
      </c>
      <c r="AW253" s="23">
        <f>VALUE(0)</f>
        <v>0</v>
      </c>
      <c r="AX253" s="23" t="s">
        <v>176</v>
      </c>
      <c r="AY253" s="23">
        <f>VALUE(0)</f>
        <v>0</v>
      </c>
      <c r="AZ253" s="23">
        <f>VALUE(0)</f>
        <v>0</v>
      </c>
      <c r="BA253" s="23">
        <f>VALUE(0)</f>
        <v>0</v>
      </c>
      <c r="BB253" s="23">
        <f>VALUE(0)</f>
        <v>0</v>
      </c>
      <c r="BC253" s="23">
        <f>VALUE(0)</f>
        <v>0</v>
      </c>
      <c r="BD253" s="23">
        <f>VALUE(0)</f>
        <v>0</v>
      </c>
      <c r="BE253" s="23">
        <f>VALUE(0)</f>
        <v>0</v>
      </c>
      <c r="BF253" s="23">
        <f>VALUE(0)</f>
        <v>0</v>
      </c>
      <c r="BG253" s="23">
        <f>VALUE(0)</f>
        <v>0</v>
      </c>
      <c r="BH253" s="23">
        <f>VALUE(0)</f>
        <v>0</v>
      </c>
      <c r="BI253" s="23">
        <f>VALUE(0)</f>
        <v>0</v>
      </c>
      <c r="BJ253" s="23">
        <f>VALUE(0)</f>
        <v>0</v>
      </c>
      <c r="BK253" s="12">
        <f>$AX$253*24</f>
        <v>0</v>
      </c>
      <c r="BL253" s="12">
        <f>$AY$253*24</f>
        <v>0</v>
      </c>
      <c r="BM253" s="12">
        <f>$BJ$253*24</f>
        <v>0</v>
      </c>
      <c r="BN253" s="12">
        <f>VALUE($I$253)/100</f>
        <v>1</v>
      </c>
      <c r="BO253" s="12">
        <v>0</v>
      </c>
      <c r="BP253" s="12">
        <v>0</v>
      </c>
      <c r="BQ253" s="12">
        <v>0</v>
      </c>
      <c r="BR253" s="12">
        <v>0</v>
      </c>
      <c r="BS253" s="12">
        <v>0</v>
      </c>
      <c r="BT253" s="12">
        <v>0</v>
      </c>
      <c r="BU253" s="12">
        <v>0</v>
      </c>
      <c r="BV253" s="12">
        <v>0</v>
      </c>
      <c r="BW253" s="12">
        <v>0</v>
      </c>
      <c r="BX253" s="12">
        <v>0</v>
      </c>
      <c r="BY253" s="12">
        <v>0</v>
      </c>
      <c r="BZ253" s="12">
        <v>0</v>
      </c>
      <c r="CA253" s="12">
        <v>0</v>
      </c>
    </row>
    <row r="254" spans="1:79" hidden="1" x14ac:dyDescent="0.2">
      <c r="A254" s="12" t="s">
        <v>137</v>
      </c>
      <c r="B254" s="12" t="s">
        <v>138</v>
      </c>
      <c r="C254" s="12" t="s">
        <v>138</v>
      </c>
      <c r="D254" s="22" t="s">
        <v>307</v>
      </c>
      <c r="E254" s="22" t="s">
        <v>173</v>
      </c>
      <c r="F254" s="22" t="s">
        <v>997</v>
      </c>
      <c r="G254" s="22" t="s">
        <v>998</v>
      </c>
      <c r="H254" s="22" t="s">
        <v>150</v>
      </c>
      <c r="I254" s="22" t="s">
        <v>151</v>
      </c>
      <c r="J254" s="22" t="s">
        <v>162</v>
      </c>
      <c r="K254" s="22" t="s">
        <v>93</v>
      </c>
      <c r="L254" s="54" t="s">
        <v>153</v>
      </c>
      <c r="M254" s="23" t="s">
        <v>497</v>
      </c>
      <c r="N254" s="24" t="s">
        <v>153</v>
      </c>
      <c r="O254" s="28" t="s">
        <v>163</v>
      </c>
      <c r="P254" s="28" t="s">
        <v>163</v>
      </c>
      <c r="Q254" s="28" t="s">
        <v>163</v>
      </c>
      <c r="R254" s="28" t="s">
        <v>163</v>
      </c>
      <c r="S254" s="28" t="s">
        <v>163</v>
      </c>
      <c r="T254" s="28" t="s">
        <v>163</v>
      </c>
      <c r="U254" s="24" t="s">
        <v>153</v>
      </c>
      <c r="V254" s="54" t="s">
        <v>153</v>
      </c>
      <c r="W254" s="23" t="s">
        <v>492</v>
      </c>
      <c r="X254" s="24" t="s">
        <v>156</v>
      </c>
      <c r="Y254" s="24" t="s">
        <v>156</v>
      </c>
      <c r="Z254" s="25" t="s">
        <v>510</v>
      </c>
      <c r="AA254" s="23" t="s">
        <v>510</v>
      </c>
      <c r="AB254" s="24" t="s">
        <v>153</v>
      </c>
      <c r="AC254" s="23" t="s">
        <v>510</v>
      </c>
      <c r="AD254" s="23" t="s">
        <v>510</v>
      </c>
      <c r="AE254" s="23" t="s">
        <v>492</v>
      </c>
      <c r="AF254" s="23" t="s">
        <v>492</v>
      </c>
      <c r="AG254" s="23" t="s">
        <v>493</v>
      </c>
      <c r="AH254" s="23" t="s">
        <v>493</v>
      </c>
      <c r="AI254" s="24" t="s">
        <v>153</v>
      </c>
      <c r="AJ254" s="23" t="s">
        <v>489</v>
      </c>
      <c r="AK254" s="23" t="s">
        <v>489</v>
      </c>
      <c r="AL254" s="23" t="s">
        <v>489</v>
      </c>
      <c r="AM254" s="23" t="s">
        <v>489</v>
      </c>
      <c r="AN254" s="25" t="s">
        <v>513</v>
      </c>
      <c r="AO254" s="25" t="s">
        <v>513</v>
      </c>
      <c r="AP254" s="23">
        <f>VALUE(0)</f>
        <v>0</v>
      </c>
      <c r="AQ254" s="23">
        <f>VALUE(0)</f>
        <v>0</v>
      </c>
      <c r="AR254" s="23">
        <f>VALUE(0)</f>
        <v>0</v>
      </c>
      <c r="AS254" s="23">
        <f>VALUE(0)</f>
        <v>0</v>
      </c>
      <c r="AT254" s="23">
        <f>VALUE(0)</f>
        <v>0</v>
      </c>
      <c r="AU254" s="23">
        <f>VALUE(6)</f>
        <v>6</v>
      </c>
      <c r="AV254" s="23">
        <f>VALUE(2)</f>
        <v>2</v>
      </c>
      <c r="AW254" s="23">
        <f>VALUE(0)</f>
        <v>0</v>
      </c>
      <c r="AX254" s="23" t="s">
        <v>158</v>
      </c>
      <c r="AY254" s="23" t="s">
        <v>345</v>
      </c>
      <c r="AZ254" s="23">
        <f>VALUE(0)</f>
        <v>0</v>
      </c>
      <c r="BA254" s="23">
        <f>VALUE(0)</f>
        <v>0</v>
      </c>
      <c r="BB254" s="23">
        <f>VALUE(0)</f>
        <v>0</v>
      </c>
      <c r="BC254" s="23">
        <f>VALUE(0)</f>
        <v>0</v>
      </c>
      <c r="BD254" s="23">
        <f>VALUE(0)</f>
        <v>0</v>
      </c>
      <c r="BE254" s="23">
        <f>VALUE(0)</f>
        <v>0</v>
      </c>
      <c r="BF254" s="23">
        <f>VALUE(0)</f>
        <v>0</v>
      </c>
      <c r="BG254" s="23">
        <f>VALUE(0)</f>
        <v>0</v>
      </c>
      <c r="BH254" s="23">
        <f>VALUE(0)</f>
        <v>0</v>
      </c>
      <c r="BI254" s="23">
        <f>VALUE(0)</f>
        <v>0</v>
      </c>
      <c r="BJ254" s="23">
        <f>VALUE(0)</f>
        <v>0</v>
      </c>
      <c r="BK254" s="12">
        <f>$AX$254*24</f>
        <v>11.666666666666666</v>
      </c>
      <c r="BL254" s="12">
        <f>$AY$254*24</f>
        <v>0.25</v>
      </c>
      <c r="BM254" s="12">
        <f>$BJ$254*24</f>
        <v>0</v>
      </c>
      <c r="BN254" s="12">
        <f>VALUE($I$254)/100</f>
        <v>1</v>
      </c>
      <c r="BO254" s="12">
        <v>0</v>
      </c>
      <c r="BP254" s="12">
        <v>0</v>
      </c>
      <c r="BQ254" s="12">
        <v>0</v>
      </c>
      <c r="BR254" s="12">
        <v>0</v>
      </c>
      <c r="BS254" s="12">
        <v>0</v>
      </c>
      <c r="BT254" s="12">
        <v>0</v>
      </c>
      <c r="BU254" s="12">
        <v>0</v>
      </c>
      <c r="BV254" s="12">
        <v>0</v>
      </c>
      <c r="BW254" s="12">
        <v>0</v>
      </c>
      <c r="BX254" s="12">
        <v>0</v>
      </c>
      <c r="BY254" s="12">
        <v>0</v>
      </c>
      <c r="BZ254" s="12">
        <v>0</v>
      </c>
      <c r="CA254" s="12">
        <v>0</v>
      </c>
    </row>
    <row r="255" spans="1:79" hidden="1" x14ac:dyDescent="0.2">
      <c r="A255" s="12" t="s">
        <v>137</v>
      </c>
      <c r="B255" s="12" t="s">
        <v>138</v>
      </c>
      <c r="C255" s="12" t="s">
        <v>138</v>
      </c>
      <c r="D255" s="22" t="s">
        <v>493</v>
      </c>
      <c r="E255" s="22" t="s">
        <v>161</v>
      </c>
      <c r="F255" s="22" t="s">
        <v>999</v>
      </c>
      <c r="G255" s="22" t="s">
        <v>1000</v>
      </c>
      <c r="H255" s="22" t="s">
        <v>166</v>
      </c>
      <c r="I255" s="22" t="s">
        <v>151</v>
      </c>
      <c r="J255" s="22" t="s">
        <v>181</v>
      </c>
      <c r="K255" s="22" t="s">
        <v>93</v>
      </c>
      <c r="L255" s="54" t="s">
        <v>153</v>
      </c>
      <c r="M255" s="23" t="s">
        <v>153</v>
      </c>
      <c r="N255" s="24" t="s">
        <v>153</v>
      </c>
      <c r="O255" s="23" t="s">
        <v>153</v>
      </c>
      <c r="P255" s="23" t="s">
        <v>153</v>
      </c>
      <c r="Q255" s="23" t="s">
        <v>153</v>
      </c>
      <c r="R255" s="23" t="s">
        <v>153</v>
      </c>
      <c r="S255" s="23" t="s">
        <v>153</v>
      </c>
      <c r="T255" s="23" t="s">
        <v>153</v>
      </c>
      <c r="U255" s="24" t="s">
        <v>153</v>
      </c>
      <c r="V255" s="54" t="s">
        <v>153</v>
      </c>
      <c r="W255" s="23" t="s">
        <v>153</v>
      </c>
      <c r="X255" s="23" t="s">
        <v>153</v>
      </c>
      <c r="Y255" s="23" t="s">
        <v>153</v>
      </c>
      <c r="Z255" s="23" t="s">
        <v>153</v>
      </c>
      <c r="AA255" s="23" t="s">
        <v>153</v>
      </c>
      <c r="AB255" s="24" t="s">
        <v>153</v>
      </c>
      <c r="AC255" s="23" t="s">
        <v>153</v>
      </c>
      <c r="AD255" s="23" t="s">
        <v>153</v>
      </c>
      <c r="AE255" s="23" t="s">
        <v>153</v>
      </c>
      <c r="AF255" s="23" t="s">
        <v>153</v>
      </c>
      <c r="AG255" s="24" t="s">
        <v>156</v>
      </c>
      <c r="AH255" s="24" t="s">
        <v>156</v>
      </c>
      <c r="AI255" s="24" t="s">
        <v>153</v>
      </c>
      <c r="AJ255" s="23" t="s">
        <v>153</v>
      </c>
      <c r="AK255" s="23" t="s">
        <v>153</v>
      </c>
      <c r="AL255" s="23" t="s">
        <v>153</v>
      </c>
      <c r="AM255" s="23" t="s">
        <v>153</v>
      </c>
      <c r="AN255" s="23" t="s">
        <v>153</v>
      </c>
      <c r="AO255" s="23" t="s">
        <v>153</v>
      </c>
      <c r="AP255" s="23">
        <f>VALUE(0)</f>
        <v>0</v>
      </c>
      <c r="AQ255" s="23">
        <f>VALUE(0)</f>
        <v>0</v>
      </c>
      <c r="AR255" s="23">
        <f>VALUE(0)</f>
        <v>0</v>
      </c>
      <c r="AS255" s="23">
        <f>VALUE(0)</f>
        <v>0</v>
      </c>
      <c r="AT255" s="23">
        <f>VALUE(0)</f>
        <v>0</v>
      </c>
      <c r="AU255" s="23">
        <f>VALUE(0)</f>
        <v>0</v>
      </c>
      <c r="AV255" s="23">
        <f>VALUE(0)</f>
        <v>0</v>
      </c>
      <c r="AW255" s="23">
        <f>VALUE(0)</f>
        <v>0</v>
      </c>
      <c r="AX255" s="23" t="s">
        <v>1272</v>
      </c>
      <c r="AY255" s="23">
        <f>VALUE(0)</f>
        <v>0</v>
      </c>
      <c r="AZ255" s="23">
        <f>VALUE(0)</f>
        <v>0</v>
      </c>
      <c r="BA255" s="23">
        <f>VALUE(0)</f>
        <v>0</v>
      </c>
      <c r="BB255" s="23">
        <f>VALUE(0)</f>
        <v>0</v>
      </c>
      <c r="BC255" s="23">
        <f>VALUE(0)</f>
        <v>0</v>
      </c>
      <c r="BD255" s="23">
        <f>VALUE(0)</f>
        <v>0</v>
      </c>
      <c r="BE255" s="23">
        <f>VALUE(0)</f>
        <v>0</v>
      </c>
      <c r="BF255" s="23">
        <f>VALUE(0)</f>
        <v>0</v>
      </c>
      <c r="BG255" s="23">
        <f>VALUE(0)</f>
        <v>0</v>
      </c>
      <c r="BH255" s="23">
        <f>VALUE(0)</f>
        <v>0</v>
      </c>
      <c r="BI255" s="23">
        <f>VALUE(0)</f>
        <v>0</v>
      </c>
      <c r="BJ255" s="23">
        <f>VALUE(0)</f>
        <v>0</v>
      </c>
      <c r="BK255" s="12">
        <f>$AX$255*24</f>
        <v>18.649999999999999</v>
      </c>
      <c r="BL255" s="12">
        <f>$AY$255*24</f>
        <v>0</v>
      </c>
      <c r="BM255" s="12">
        <f>$BJ$255*24</f>
        <v>0</v>
      </c>
      <c r="BN255" s="12">
        <f>VALUE($I$255)/100</f>
        <v>1</v>
      </c>
      <c r="BO255" s="12">
        <v>0</v>
      </c>
      <c r="BP255" s="12">
        <v>0</v>
      </c>
      <c r="BQ255" s="12">
        <v>0</v>
      </c>
      <c r="BR255" s="12">
        <v>0</v>
      </c>
      <c r="BS255" s="12">
        <v>0</v>
      </c>
      <c r="BT255" s="12">
        <v>0</v>
      </c>
      <c r="BU255" s="12">
        <v>0</v>
      </c>
      <c r="BV255" s="12">
        <v>0</v>
      </c>
      <c r="BW255" s="12">
        <v>0</v>
      </c>
      <c r="BX255" s="12">
        <v>0</v>
      </c>
      <c r="BY255" s="12">
        <v>0</v>
      </c>
      <c r="BZ255" s="12">
        <v>0</v>
      </c>
      <c r="CA255" s="12">
        <v>0</v>
      </c>
    </row>
    <row r="256" spans="1:79" ht="15" hidden="1" x14ac:dyDescent="0.25">
      <c r="A256" s="12" t="s">
        <v>137</v>
      </c>
      <c r="B256" s="12" t="s">
        <v>138</v>
      </c>
      <c r="C256" s="12" t="s">
        <v>138</v>
      </c>
      <c r="D256" s="31" t="s">
        <v>333</v>
      </c>
      <c r="E256" s="31" t="s">
        <v>153</v>
      </c>
      <c r="F256" s="31" t="s">
        <v>175</v>
      </c>
      <c r="G256" s="31" t="s">
        <v>153</v>
      </c>
      <c r="H256" s="31" t="s">
        <v>153</v>
      </c>
      <c r="I256" s="31" t="s">
        <v>153</v>
      </c>
      <c r="J256" s="31" t="s">
        <v>153</v>
      </c>
      <c r="K256" s="31" t="s">
        <v>153</v>
      </c>
      <c r="L256" s="31">
        <f>VALUE(0)</f>
        <v>0</v>
      </c>
      <c r="M256" s="31">
        <f>VALUE(6)</f>
        <v>6</v>
      </c>
      <c r="N256" s="31">
        <f>VALUE(0)</f>
        <v>0</v>
      </c>
      <c r="O256" s="31">
        <f>VALUE(6)</f>
        <v>6</v>
      </c>
      <c r="P256" s="31">
        <f>VALUE(6)</f>
        <v>6</v>
      </c>
      <c r="Q256" s="31">
        <f>VALUE(6)</f>
        <v>6</v>
      </c>
      <c r="R256" s="31">
        <f>VALUE(6)</f>
        <v>6</v>
      </c>
      <c r="S256" s="31">
        <f>VALUE(7)</f>
        <v>7</v>
      </c>
      <c r="T256" s="31">
        <f>VALUE(7)</f>
        <v>7</v>
      </c>
      <c r="U256" s="31">
        <f>VALUE(0)</f>
        <v>0</v>
      </c>
      <c r="V256" s="31">
        <f>VALUE(0)</f>
        <v>0</v>
      </c>
      <c r="W256" s="31">
        <f>VALUE(6)</f>
        <v>6</v>
      </c>
      <c r="X256" s="31">
        <f>VALUE(6)</f>
        <v>6</v>
      </c>
      <c r="Y256" s="31">
        <f>VALUE(6)</f>
        <v>6</v>
      </c>
      <c r="Z256" s="31">
        <f>VALUE(7)</f>
        <v>7</v>
      </c>
      <c r="AA256" s="31">
        <f>VALUE(6)</f>
        <v>6</v>
      </c>
      <c r="AB256" s="31">
        <f>VALUE(0)</f>
        <v>0</v>
      </c>
      <c r="AC256" s="31">
        <f>VALUE(6)</f>
        <v>6</v>
      </c>
      <c r="AD256" s="31">
        <f>VALUE(6)</f>
        <v>6</v>
      </c>
      <c r="AE256" s="31">
        <f>VALUE(6)</f>
        <v>6</v>
      </c>
      <c r="AF256" s="31">
        <f>VALUE(6)</f>
        <v>6</v>
      </c>
      <c r="AG256" s="31">
        <f>VALUE(6)</f>
        <v>6</v>
      </c>
      <c r="AH256" s="31">
        <f>VALUE(6)</f>
        <v>6</v>
      </c>
      <c r="AI256" s="31">
        <f>VALUE(0)</f>
        <v>0</v>
      </c>
      <c r="AJ256" s="31">
        <f>VALUE(7)</f>
        <v>7</v>
      </c>
      <c r="AK256" s="31">
        <f>VALUE(7)</f>
        <v>7</v>
      </c>
      <c r="AL256" s="31">
        <f>VALUE(7)</f>
        <v>7</v>
      </c>
      <c r="AM256" s="31">
        <f>VALUE(7)</f>
        <v>7</v>
      </c>
      <c r="AN256" s="31">
        <f>VALUE(7)</f>
        <v>7</v>
      </c>
      <c r="AO256" s="31">
        <f>VALUE(7)</f>
        <v>7</v>
      </c>
      <c r="AP256" s="31">
        <v>0</v>
      </c>
      <c r="AQ256" s="31">
        <v>0</v>
      </c>
      <c r="AR256" s="31">
        <v>0</v>
      </c>
      <c r="AS256" s="31">
        <v>0</v>
      </c>
      <c r="AT256" s="31">
        <v>0</v>
      </c>
      <c r="AU256" s="31">
        <v>0</v>
      </c>
      <c r="AV256" s="31">
        <v>0</v>
      </c>
      <c r="AW256" s="31">
        <v>0</v>
      </c>
      <c r="AX256" s="31">
        <v>0</v>
      </c>
      <c r="AY256" s="31">
        <v>0</v>
      </c>
      <c r="AZ256" s="31">
        <v>0</v>
      </c>
      <c r="BA256" s="31">
        <v>0</v>
      </c>
      <c r="BB256" s="31">
        <v>0</v>
      </c>
      <c r="BC256" s="31">
        <v>0</v>
      </c>
      <c r="BD256" s="31">
        <v>0</v>
      </c>
      <c r="BE256" s="31">
        <v>0</v>
      </c>
      <c r="BF256" s="31">
        <v>0</v>
      </c>
      <c r="BG256" s="31">
        <v>0</v>
      </c>
      <c r="BH256" s="31">
        <v>0</v>
      </c>
      <c r="BI256" s="31">
        <v>0</v>
      </c>
      <c r="BJ256" s="31">
        <v>0</v>
      </c>
      <c r="BK256" s="12">
        <v>0</v>
      </c>
      <c r="BL256" s="12">
        <v>0</v>
      </c>
      <c r="BM256" s="12">
        <v>0</v>
      </c>
      <c r="BN256" s="12"/>
      <c r="BO256" s="12">
        <v>0</v>
      </c>
      <c r="BP256" s="12">
        <v>0</v>
      </c>
      <c r="BQ256" s="12">
        <v>0</v>
      </c>
      <c r="BR256" s="12">
        <v>0</v>
      </c>
      <c r="BS256" s="12">
        <v>0</v>
      </c>
      <c r="BT256" s="12">
        <v>0</v>
      </c>
      <c r="BU256" s="12">
        <v>0</v>
      </c>
      <c r="BV256" s="12">
        <v>0</v>
      </c>
      <c r="BW256" s="12">
        <v>0</v>
      </c>
      <c r="BX256" s="12">
        <v>0</v>
      </c>
      <c r="BY256" s="12">
        <v>0</v>
      </c>
      <c r="BZ256" s="12">
        <v>0</v>
      </c>
      <c r="CA256" s="12">
        <v>0</v>
      </c>
    </row>
    <row r="257" spans="1:79" hidden="1" x14ac:dyDescent="0.2">
      <c r="A257" s="12" t="s">
        <v>137</v>
      </c>
      <c r="B257" s="12" t="s">
        <v>139</v>
      </c>
      <c r="C257" s="12" t="s">
        <v>139</v>
      </c>
      <c r="D257" s="22" t="s">
        <v>514</v>
      </c>
      <c r="E257" s="22" t="s">
        <v>161</v>
      </c>
      <c r="F257" s="22" t="s">
        <v>1001</v>
      </c>
      <c r="G257" s="22" t="s">
        <v>1002</v>
      </c>
      <c r="H257" s="22" t="s">
        <v>166</v>
      </c>
      <c r="I257" s="22" t="s">
        <v>151</v>
      </c>
      <c r="J257" s="22" t="s">
        <v>162</v>
      </c>
      <c r="K257" s="22" t="s">
        <v>94</v>
      </c>
      <c r="L257" s="54" t="s">
        <v>153</v>
      </c>
      <c r="M257" s="23" t="s">
        <v>153</v>
      </c>
      <c r="N257" s="24" t="s">
        <v>153</v>
      </c>
      <c r="O257" s="23" t="s">
        <v>153</v>
      </c>
      <c r="P257" s="23" t="s">
        <v>153</v>
      </c>
      <c r="Q257" s="23" t="s">
        <v>153</v>
      </c>
      <c r="R257" s="23" t="s">
        <v>153</v>
      </c>
      <c r="S257" s="23" t="s">
        <v>153</v>
      </c>
      <c r="T257" s="23" t="s">
        <v>153</v>
      </c>
      <c r="U257" s="24" t="s">
        <v>153</v>
      </c>
      <c r="V257" s="54" t="s">
        <v>153</v>
      </c>
      <c r="W257" s="28" t="s">
        <v>163</v>
      </c>
      <c r="X257" s="23" t="s">
        <v>153</v>
      </c>
      <c r="Y257" s="23" t="s">
        <v>153</v>
      </c>
      <c r="Z257" s="23" t="s">
        <v>153</v>
      </c>
      <c r="AA257" s="23" t="s">
        <v>153</v>
      </c>
      <c r="AB257" s="24" t="s">
        <v>153</v>
      </c>
      <c r="AC257" s="23" t="s">
        <v>153</v>
      </c>
      <c r="AD257" s="23" t="s">
        <v>153</v>
      </c>
      <c r="AE257" s="23" t="s">
        <v>153</v>
      </c>
      <c r="AF257" s="23" t="s">
        <v>153</v>
      </c>
      <c r="AG257" s="24" t="s">
        <v>156</v>
      </c>
      <c r="AH257" s="24" t="s">
        <v>156</v>
      </c>
      <c r="AI257" s="24" t="s">
        <v>153</v>
      </c>
      <c r="AJ257" s="23" t="s">
        <v>153</v>
      </c>
      <c r="AK257" s="23" t="s">
        <v>153</v>
      </c>
      <c r="AL257" s="23" t="s">
        <v>153</v>
      </c>
      <c r="AM257" s="23" t="s">
        <v>153</v>
      </c>
      <c r="AN257" s="29" t="s">
        <v>218</v>
      </c>
      <c r="AO257" s="29" t="s">
        <v>218</v>
      </c>
      <c r="AP257" s="23">
        <f>VALUE(0)</f>
        <v>0</v>
      </c>
      <c r="AQ257" s="23">
        <f>VALUE(0)</f>
        <v>0</v>
      </c>
      <c r="AR257" s="23">
        <f>VALUE(2)</f>
        <v>2</v>
      </c>
      <c r="AS257" s="23">
        <f>VALUE(0)</f>
        <v>0</v>
      </c>
      <c r="AT257" s="23">
        <f>VALUE(0)</f>
        <v>0</v>
      </c>
      <c r="AU257" s="23">
        <f>VALUE(1)</f>
        <v>1</v>
      </c>
      <c r="AV257" s="23">
        <f>VALUE(7)</f>
        <v>7</v>
      </c>
      <c r="AW257" s="23">
        <f>VALUE(0)</f>
        <v>0</v>
      </c>
      <c r="AX257" s="23" t="s">
        <v>1273</v>
      </c>
      <c r="AY257" s="23">
        <f>VALUE(0)</f>
        <v>0</v>
      </c>
      <c r="AZ257" s="23">
        <f>VALUE(0)</f>
        <v>0</v>
      </c>
      <c r="BA257" s="23">
        <f>VALUE(0)</f>
        <v>0</v>
      </c>
      <c r="BB257" s="23">
        <f>VALUE(0)</f>
        <v>0</v>
      </c>
      <c r="BC257" s="23">
        <f>VALUE(0)</f>
        <v>0</v>
      </c>
      <c r="BD257" s="23">
        <f>VALUE(0)</f>
        <v>0</v>
      </c>
      <c r="BE257" s="23">
        <f>VALUE(0)</f>
        <v>0</v>
      </c>
      <c r="BF257" s="23">
        <f>VALUE(0)</f>
        <v>0</v>
      </c>
      <c r="BG257" s="23">
        <f>VALUE(0)</f>
        <v>0</v>
      </c>
      <c r="BH257" s="23">
        <f>VALUE(0)</f>
        <v>0</v>
      </c>
      <c r="BI257" s="23">
        <f>VALUE(0)</f>
        <v>0</v>
      </c>
      <c r="BJ257" s="23">
        <f>VALUE(0)</f>
        <v>0</v>
      </c>
      <c r="BK257" s="12">
        <f>$AX$257*24</f>
        <v>11.583333333333334</v>
      </c>
      <c r="BL257" s="12">
        <f>$AY$257*24</f>
        <v>0</v>
      </c>
      <c r="BM257" s="12">
        <f>$BJ$257*24</f>
        <v>0</v>
      </c>
      <c r="BN257" s="12">
        <f>VALUE($I$257)/100</f>
        <v>1</v>
      </c>
      <c r="BO257" s="12">
        <v>0</v>
      </c>
      <c r="BP257" s="12">
        <v>0</v>
      </c>
      <c r="BQ257" s="12">
        <v>0</v>
      </c>
      <c r="BR257" s="12">
        <v>0</v>
      </c>
      <c r="BS257" s="12">
        <v>2</v>
      </c>
      <c r="BT257" s="12">
        <v>0</v>
      </c>
      <c r="BU257" s="12">
        <v>0</v>
      </c>
      <c r="BV257" s="12">
        <v>0</v>
      </c>
      <c r="BW257" s="12">
        <v>0</v>
      </c>
      <c r="BX257" s="12">
        <v>0</v>
      </c>
      <c r="BY257" s="12">
        <v>0</v>
      </c>
      <c r="BZ257" s="12">
        <v>0</v>
      </c>
      <c r="CA257" s="12">
        <v>0</v>
      </c>
    </row>
    <row r="258" spans="1:79" hidden="1" x14ac:dyDescent="0.2">
      <c r="A258" s="12" t="s">
        <v>137</v>
      </c>
      <c r="B258" s="12" t="s">
        <v>139</v>
      </c>
      <c r="C258" s="12" t="s">
        <v>139</v>
      </c>
      <c r="D258" s="22" t="s">
        <v>511</v>
      </c>
      <c r="E258" s="22" t="s">
        <v>161</v>
      </c>
      <c r="F258" s="22" t="s">
        <v>1003</v>
      </c>
      <c r="G258" s="22" t="s">
        <v>1004</v>
      </c>
      <c r="H258" s="22" t="s">
        <v>150</v>
      </c>
      <c r="I258" s="22" t="s">
        <v>151</v>
      </c>
      <c r="J258" s="22" t="s">
        <v>162</v>
      </c>
      <c r="K258" s="22" t="s">
        <v>94</v>
      </c>
      <c r="L258" s="54" t="s">
        <v>153</v>
      </c>
      <c r="M258" s="28" t="s">
        <v>163</v>
      </c>
      <c r="N258" s="24" t="s">
        <v>153</v>
      </c>
      <c r="O258" s="23" t="s">
        <v>153</v>
      </c>
      <c r="P258" s="23" t="s">
        <v>153</v>
      </c>
      <c r="Q258" s="23" t="s">
        <v>153</v>
      </c>
      <c r="R258" s="23" t="s">
        <v>498</v>
      </c>
      <c r="S258" s="23" t="s">
        <v>498</v>
      </c>
      <c r="T258" s="23" t="s">
        <v>498</v>
      </c>
      <c r="U258" s="24" t="s">
        <v>153</v>
      </c>
      <c r="V258" s="54" t="s">
        <v>153</v>
      </c>
      <c r="W258" s="23" t="s">
        <v>498</v>
      </c>
      <c r="X258" s="23" t="s">
        <v>498</v>
      </c>
      <c r="Y258" s="23" t="s">
        <v>498</v>
      </c>
      <c r="Z258" s="23" t="s">
        <v>498</v>
      </c>
      <c r="AA258" s="23" t="s">
        <v>498</v>
      </c>
      <c r="AB258" s="24" t="s">
        <v>153</v>
      </c>
      <c r="AC258" s="23" t="s">
        <v>498</v>
      </c>
      <c r="AD258" s="23" t="s">
        <v>498</v>
      </c>
      <c r="AE258" s="23" t="s">
        <v>498</v>
      </c>
      <c r="AF258" s="23" t="s">
        <v>498</v>
      </c>
      <c r="AG258" s="23" t="s">
        <v>498</v>
      </c>
      <c r="AH258" s="23" t="s">
        <v>498</v>
      </c>
      <c r="AI258" s="24" t="s">
        <v>153</v>
      </c>
      <c r="AJ258" s="23" t="s">
        <v>498</v>
      </c>
      <c r="AK258" s="23" t="s">
        <v>498</v>
      </c>
      <c r="AL258" s="24" t="s">
        <v>156</v>
      </c>
      <c r="AM258" s="24" t="s">
        <v>156</v>
      </c>
      <c r="AN258" s="23" t="s">
        <v>498</v>
      </c>
      <c r="AO258" s="23" t="s">
        <v>498</v>
      </c>
      <c r="AP258" s="23">
        <f>VALUE(0)</f>
        <v>0</v>
      </c>
      <c r="AQ258" s="23">
        <f>VALUE(0)</f>
        <v>0</v>
      </c>
      <c r="AR258" s="23">
        <f>VALUE(0)</f>
        <v>0</v>
      </c>
      <c r="AS258" s="23">
        <f>VALUE(0)</f>
        <v>0</v>
      </c>
      <c r="AT258" s="23">
        <f>VALUE(0)</f>
        <v>0</v>
      </c>
      <c r="AU258" s="23">
        <f>VALUE(1)</f>
        <v>1</v>
      </c>
      <c r="AV258" s="23">
        <f>VALUE(0)</f>
        <v>0</v>
      </c>
      <c r="AW258" s="23">
        <f>VALUE(0)</f>
        <v>0</v>
      </c>
      <c r="AX258" s="23" t="s">
        <v>515</v>
      </c>
      <c r="AY258" s="23" t="s">
        <v>1274</v>
      </c>
      <c r="AZ258" s="23">
        <f>VALUE(0)</f>
        <v>0</v>
      </c>
      <c r="BA258" s="23">
        <f>VALUE(0)</f>
        <v>0</v>
      </c>
      <c r="BB258" s="23">
        <f>VALUE(0)</f>
        <v>0</v>
      </c>
      <c r="BC258" s="23">
        <f>VALUE(0)</f>
        <v>0</v>
      </c>
      <c r="BD258" s="23">
        <f>VALUE(0)</f>
        <v>0</v>
      </c>
      <c r="BE258" s="23">
        <f>VALUE(0)</f>
        <v>0</v>
      </c>
      <c r="BF258" s="23">
        <f>VALUE(0)</f>
        <v>0</v>
      </c>
      <c r="BG258" s="23">
        <f>VALUE(0)</f>
        <v>0</v>
      </c>
      <c r="BH258" s="23">
        <f>VALUE(0)</f>
        <v>0</v>
      </c>
      <c r="BI258" s="23">
        <f>VALUE(0)</f>
        <v>0</v>
      </c>
      <c r="BJ258" s="23">
        <f>VALUE(0)</f>
        <v>0</v>
      </c>
      <c r="BK258" s="12">
        <f>$AX$258*24</f>
        <v>5.1166666666666663</v>
      </c>
      <c r="BL258" s="12">
        <f>$AY$258*24</f>
        <v>6.7333333333333334</v>
      </c>
      <c r="BM258" s="12">
        <f>$BJ$258*24</f>
        <v>0</v>
      </c>
      <c r="BN258" s="12">
        <f>VALUE($I$258)/100</f>
        <v>1</v>
      </c>
      <c r="BO258" s="12">
        <v>0</v>
      </c>
      <c r="BP258" s="12">
        <v>0</v>
      </c>
      <c r="BQ258" s="12">
        <v>0</v>
      </c>
      <c r="BR258" s="12">
        <v>0</v>
      </c>
      <c r="BS258" s="12">
        <v>0</v>
      </c>
      <c r="BT258" s="12">
        <v>0</v>
      </c>
      <c r="BU258" s="12">
        <v>0</v>
      </c>
      <c r="BV258" s="12">
        <v>0</v>
      </c>
      <c r="BW258" s="12">
        <v>0</v>
      </c>
      <c r="BX258" s="12">
        <v>0</v>
      </c>
      <c r="BY258" s="12">
        <v>0</v>
      </c>
      <c r="BZ258" s="12">
        <v>0</v>
      </c>
      <c r="CA258" s="12">
        <v>0</v>
      </c>
    </row>
    <row r="259" spans="1:79" hidden="1" x14ac:dyDescent="0.2">
      <c r="A259" s="12" t="s">
        <v>137</v>
      </c>
      <c r="B259" s="12" t="s">
        <v>139</v>
      </c>
      <c r="C259" s="12" t="s">
        <v>139</v>
      </c>
      <c r="D259" s="22" t="s">
        <v>512</v>
      </c>
      <c r="E259" s="22" t="s">
        <v>161</v>
      </c>
      <c r="F259" s="22" t="s">
        <v>1005</v>
      </c>
      <c r="G259" s="22" t="s">
        <v>1006</v>
      </c>
      <c r="H259" s="22" t="s">
        <v>150</v>
      </c>
      <c r="I259" s="22" t="s">
        <v>151</v>
      </c>
      <c r="J259" s="22" t="s">
        <v>162</v>
      </c>
      <c r="K259" s="22" t="s">
        <v>94</v>
      </c>
      <c r="L259" s="54" t="s">
        <v>153</v>
      </c>
      <c r="M259" s="23" t="s">
        <v>153</v>
      </c>
      <c r="N259" s="24" t="s">
        <v>153</v>
      </c>
      <c r="O259" s="24" t="s">
        <v>156</v>
      </c>
      <c r="P259" s="24" t="s">
        <v>156</v>
      </c>
      <c r="Q259" s="23" t="s">
        <v>153</v>
      </c>
      <c r="R259" s="28" t="s">
        <v>163</v>
      </c>
      <c r="S259" s="28" t="s">
        <v>163</v>
      </c>
      <c r="T259" s="28" t="s">
        <v>163</v>
      </c>
      <c r="U259" s="24" t="s">
        <v>153</v>
      </c>
      <c r="V259" s="54" t="s">
        <v>153</v>
      </c>
      <c r="W259" s="28" t="s">
        <v>163</v>
      </c>
      <c r="X259" s="28" t="s">
        <v>163</v>
      </c>
      <c r="Y259" s="28" t="s">
        <v>163</v>
      </c>
      <c r="Z259" s="28" t="s">
        <v>163</v>
      </c>
      <c r="AA259" s="28" t="s">
        <v>163</v>
      </c>
      <c r="AB259" s="24" t="s">
        <v>153</v>
      </c>
      <c r="AC259" s="23" t="s">
        <v>153</v>
      </c>
      <c r="AD259" s="23" t="s">
        <v>153</v>
      </c>
      <c r="AE259" s="23" t="s">
        <v>153</v>
      </c>
      <c r="AF259" s="23" t="s">
        <v>153</v>
      </c>
      <c r="AG259" s="23" t="s">
        <v>153</v>
      </c>
      <c r="AH259" s="23" t="s">
        <v>153</v>
      </c>
      <c r="AI259" s="24" t="s">
        <v>153</v>
      </c>
      <c r="AJ259" s="23" t="s">
        <v>153</v>
      </c>
      <c r="AK259" s="23" t="s">
        <v>153</v>
      </c>
      <c r="AL259" s="24" t="s">
        <v>156</v>
      </c>
      <c r="AM259" s="24" t="s">
        <v>156</v>
      </c>
      <c r="AN259" s="23" t="s">
        <v>153</v>
      </c>
      <c r="AO259" s="23" t="s">
        <v>153</v>
      </c>
      <c r="AP259" s="23">
        <f>VALUE(0)</f>
        <v>0</v>
      </c>
      <c r="AQ259" s="23">
        <f>VALUE(0)</f>
        <v>0</v>
      </c>
      <c r="AR259" s="23">
        <f>VALUE(0)</f>
        <v>0</v>
      </c>
      <c r="AS259" s="23">
        <f>VALUE(0)</f>
        <v>0</v>
      </c>
      <c r="AT259" s="23">
        <f>VALUE(0)</f>
        <v>0</v>
      </c>
      <c r="AU259" s="23">
        <f>VALUE(8)</f>
        <v>8</v>
      </c>
      <c r="AV259" s="23">
        <f>VALUE(1)</f>
        <v>1</v>
      </c>
      <c r="AW259" s="23">
        <f>VALUE(0)</f>
        <v>0</v>
      </c>
      <c r="AX259" s="23" t="s">
        <v>171</v>
      </c>
      <c r="AY259" s="23" t="s">
        <v>516</v>
      </c>
      <c r="AZ259" s="23">
        <f>VALUE(0)</f>
        <v>0</v>
      </c>
      <c r="BA259" s="23">
        <f>VALUE(0)</f>
        <v>0</v>
      </c>
      <c r="BB259" s="23">
        <f>VALUE(0)</f>
        <v>0</v>
      </c>
      <c r="BC259" s="23">
        <f>VALUE(0)</f>
        <v>0</v>
      </c>
      <c r="BD259" s="23">
        <f>VALUE(0)</f>
        <v>0</v>
      </c>
      <c r="BE259" s="23">
        <f>VALUE(0)</f>
        <v>0</v>
      </c>
      <c r="BF259" s="23">
        <f>VALUE(0)</f>
        <v>0</v>
      </c>
      <c r="BG259" s="23">
        <f>VALUE(0)</f>
        <v>0</v>
      </c>
      <c r="BH259" s="23">
        <f>VALUE(0)</f>
        <v>0</v>
      </c>
      <c r="BI259" s="23">
        <f>VALUE(0)</f>
        <v>0</v>
      </c>
      <c r="BJ259" s="23">
        <f>VALUE(0)</f>
        <v>0</v>
      </c>
      <c r="BK259" s="12">
        <f>$AX$259*24</f>
        <v>5.833333333333333</v>
      </c>
      <c r="BL259" s="12">
        <f>$AY$259*24</f>
        <v>11.883333333333333</v>
      </c>
      <c r="BM259" s="12">
        <f>$BJ$259*24</f>
        <v>0</v>
      </c>
      <c r="BN259" s="12">
        <f>VALUE($I$259)/100</f>
        <v>1</v>
      </c>
      <c r="BO259" s="12">
        <v>0</v>
      </c>
      <c r="BP259" s="12">
        <v>0</v>
      </c>
      <c r="BQ259" s="12">
        <v>0</v>
      </c>
      <c r="BR259" s="12">
        <v>0</v>
      </c>
      <c r="BS259" s="12">
        <v>0</v>
      </c>
      <c r="BT259" s="12">
        <v>0</v>
      </c>
      <c r="BU259" s="12">
        <v>0</v>
      </c>
      <c r="BV259" s="12">
        <v>0</v>
      </c>
      <c r="BW259" s="12">
        <v>0</v>
      </c>
      <c r="BX259" s="12">
        <v>0</v>
      </c>
      <c r="BY259" s="12">
        <v>0</v>
      </c>
      <c r="BZ259" s="12">
        <v>0</v>
      </c>
      <c r="CA259" s="12">
        <v>0</v>
      </c>
    </row>
    <row r="260" spans="1:79" hidden="1" x14ac:dyDescent="0.2">
      <c r="A260" s="12" t="s">
        <v>137</v>
      </c>
      <c r="B260" s="12" t="s">
        <v>139</v>
      </c>
      <c r="C260" s="12" t="s">
        <v>139</v>
      </c>
      <c r="D260" s="22" t="s">
        <v>512</v>
      </c>
      <c r="E260" s="22" t="s">
        <v>161</v>
      </c>
      <c r="F260" s="22" t="s">
        <v>1007</v>
      </c>
      <c r="G260" s="22" t="s">
        <v>1008</v>
      </c>
      <c r="H260" s="22" t="s">
        <v>191</v>
      </c>
      <c r="I260" s="22" t="s">
        <v>151</v>
      </c>
      <c r="J260" s="22" t="s">
        <v>162</v>
      </c>
      <c r="K260" s="22" t="s">
        <v>94</v>
      </c>
      <c r="L260" s="54" t="s">
        <v>153</v>
      </c>
      <c r="M260" s="23" t="s">
        <v>1275</v>
      </c>
      <c r="N260" s="24" t="s">
        <v>153</v>
      </c>
      <c r="O260" s="23" t="s">
        <v>153</v>
      </c>
      <c r="P260" s="23" t="s">
        <v>153</v>
      </c>
      <c r="Q260" s="23" t="s">
        <v>153</v>
      </c>
      <c r="R260" s="23" t="s">
        <v>153</v>
      </c>
      <c r="S260" s="23" t="s">
        <v>153</v>
      </c>
      <c r="T260" s="23" t="s">
        <v>153</v>
      </c>
      <c r="U260" s="24" t="s">
        <v>153</v>
      </c>
      <c r="V260" s="54" t="s">
        <v>153</v>
      </c>
      <c r="W260" s="23" t="s">
        <v>153</v>
      </c>
      <c r="X260" s="23" t="s">
        <v>153</v>
      </c>
      <c r="Y260" s="23" t="s">
        <v>153</v>
      </c>
      <c r="Z260" s="23" t="s">
        <v>153</v>
      </c>
      <c r="AA260" s="23" t="s">
        <v>153</v>
      </c>
      <c r="AB260" s="24" t="s">
        <v>153</v>
      </c>
      <c r="AC260" s="27" t="s">
        <v>153</v>
      </c>
      <c r="AD260" s="27" t="s">
        <v>153</v>
      </c>
      <c r="AE260" s="27" t="s">
        <v>153</v>
      </c>
      <c r="AF260" s="27" t="s">
        <v>153</v>
      </c>
      <c r="AG260" s="27" t="s">
        <v>153</v>
      </c>
      <c r="AH260" s="27" t="s">
        <v>153</v>
      </c>
      <c r="AI260" s="24" t="s">
        <v>153</v>
      </c>
      <c r="AJ260" s="27" t="s">
        <v>153</v>
      </c>
      <c r="AK260" s="27" t="s">
        <v>153</v>
      </c>
      <c r="AL260" s="27" t="s">
        <v>153</v>
      </c>
      <c r="AM260" s="27" t="s">
        <v>153</v>
      </c>
      <c r="AN260" s="27" t="s">
        <v>153</v>
      </c>
      <c r="AO260" s="27" t="s">
        <v>153</v>
      </c>
      <c r="AP260" s="23">
        <f>VALUE(0)</f>
        <v>0</v>
      </c>
      <c r="AQ260" s="23">
        <f>VALUE(0)</f>
        <v>0</v>
      </c>
      <c r="AR260" s="23">
        <f>VALUE(0)</f>
        <v>0</v>
      </c>
      <c r="AS260" s="23">
        <f>VALUE(0)</f>
        <v>0</v>
      </c>
      <c r="AT260" s="23">
        <f>VALUE(0)</f>
        <v>0</v>
      </c>
      <c r="AU260" s="23">
        <f>VALUE(0)</f>
        <v>0</v>
      </c>
      <c r="AV260" s="23">
        <f>VALUE(0)</f>
        <v>0</v>
      </c>
      <c r="AW260" s="23">
        <f>VALUE(0)</f>
        <v>0</v>
      </c>
      <c r="AX260" s="23">
        <f>VALUE(0)</f>
        <v>0</v>
      </c>
      <c r="AY260" s="23">
        <f>VALUE(0)</f>
        <v>0</v>
      </c>
      <c r="AZ260" s="23">
        <f>VALUE(0)</f>
        <v>0</v>
      </c>
      <c r="BA260" s="23">
        <f>VALUE(0)</f>
        <v>0</v>
      </c>
      <c r="BB260" s="23">
        <f>VALUE(0)</f>
        <v>0</v>
      </c>
      <c r="BC260" s="23">
        <f>VALUE(0)</f>
        <v>0</v>
      </c>
      <c r="BD260" s="23">
        <f>VALUE(1)</f>
        <v>1</v>
      </c>
      <c r="BE260" s="23">
        <f>VALUE(0)</f>
        <v>0</v>
      </c>
      <c r="BF260" s="23">
        <f>VALUE(0)</f>
        <v>0</v>
      </c>
      <c r="BG260" s="23">
        <f>VALUE(0)</f>
        <v>0</v>
      </c>
      <c r="BH260" s="23">
        <f>VALUE(0)</f>
        <v>0</v>
      </c>
      <c r="BI260" s="23">
        <f>VALUE(0)</f>
        <v>0</v>
      </c>
      <c r="BJ260" s="23">
        <f>VALUE(0)</f>
        <v>0</v>
      </c>
      <c r="BK260" s="12">
        <f>$AX$260*24</f>
        <v>0</v>
      </c>
      <c r="BL260" s="12">
        <f>$AY$260*24</f>
        <v>0</v>
      </c>
      <c r="BM260" s="12">
        <f>$BJ$260*24</f>
        <v>0</v>
      </c>
      <c r="BN260" s="12">
        <f>VALUE($I$260)/100</f>
        <v>1</v>
      </c>
      <c r="BO260" s="12">
        <v>0</v>
      </c>
      <c r="BP260" s="12">
        <v>0</v>
      </c>
      <c r="BQ260" s="12">
        <v>0</v>
      </c>
      <c r="BR260" s="12">
        <v>0</v>
      </c>
      <c r="BS260" s="12">
        <v>0</v>
      </c>
      <c r="BT260" s="12">
        <v>0</v>
      </c>
      <c r="BU260" s="12">
        <v>0</v>
      </c>
      <c r="BV260" s="12">
        <v>0</v>
      </c>
      <c r="BW260" s="12">
        <v>0</v>
      </c>
      <c r="BX260" s="12">
        <v>0</v>
      </c>
      <c r="BY260" s="12">
        <v>0</v>
      </c>
      <c r="BZ260" s="12">
        <v>0</v>
      </c>
      <c r="CA260" s="12">
        <v>0</v>
      </c>
    </row>
    <row r="261" spans="1:79" hidden="1" x14ac:dyDescent="0.2">
      <c r="A261" s="12" t="s">
        <v>137</v>
      </c>
      <c r="B261" s="12" t="s">
        <v>139</v>
      </c>
      <c r="C261" s="12" t="s">
        <v>139</v>
      </c>
      <c r="D261" s="22" t="s">
        <v>494</v>
      </c>
      <c r="E261" s="22" t="s">
        <v>161</v>
      </c>
      <c r="F261" s="22" t="s">
        <v>1009</v>
      </c>
      <c r="G261" s="22" t="s">
        <v>1010</v>
      </c>
      <c r="H261" s="22" t="s">
        <v>150</v>
      </c>
      <c r="I261" s="22" t="s">
        <v>151</v>
      </c>
      <c r="J261" s="22" t="s">
        <v>162</v>
      </c>
      <c r="K261" s="22" t="s">
        <v>94</v>
      </c>
      <c r="L261" s="54" t="s">
        <v>153</v>
      </c>
      <c r="M261" s="23" t="s">
        <v>153</v>
      </c>
      <c r="N261" s="24" t="s">
        <v>153</v>
      </c>
      <c r="O261" s="23" t="s">
        <v>153</v>
      </c>
      <c r="P261" s="23" t="s">
        <v>153</v>
      </c>
      <c r="Q261" s="23" t="s">
        <v>153</v>
      </c>
      <c r="R261" s="23" t="s">
        <v>153</v>
      </c>
      <c r="S261" s="23" t="s">
        <v>153</v>
      </c>
      <c r="T261" s="23" t="s">
        <v>153</v>
      </c>
      <c r="U261" s="24" t="s">
        <v>153</v>
      </c>
      <c r="V261" s="54" t="s">
        <v>153</v>
      </c>
      <c r="W261" s="23" t="s">
        <v>153</v>
      </c>
      <c r="X261" s="23" t="s">
        <v>153</v>
      </c>
      <c r="Y261" s="23" t="s">
        <v>153</v>
      </c>
      <c r="Z261" s="23" t="s">
        <v>153</v>
      </c>
      <c r="AA261" s="23" t="s">
        <v>153</v>
      </c>
      <c r="AB261" s="24" t="s">
        <v>153</v>
      </c>
      <c r="AC261" s="23" t="s">
        <v>153</v>
      </c>
      <c r="AD261" s="23" t="s">
        <v>153</v>
      </c>
      <c r="AE261" s="24" t="s">
        <v>156</v>
      </c>
      <c r="AF261" s="24" t="s">
        <v>156</v>
      </c>
      <c r="AG261" s="23" t="s">
        <v>153</v>
      </c>
      <c r="AH261" s="23" t="s">
        <v>153</v>
      </c>
      <c r="AI261" s="24" t="s">
        <v>153</v>
      </c>
      <c r="AJ261" s="23" t="s">
        <v>153</v>
      </c>
      <c r="AK261" s="23" t="s">
        <v>153</v>
      </c>
      <c r="AL261" s="23" t="s">
        <v>153</v>
      </c>
      <c r="AM261" s="23" t="s">
        <v>153</v>
      </c>
      <c r="AN261" s="23" t="s">
        <v>153</v>
      </c>
      <c r="AO261" s="23" t="s">
        <v>153</v>
      </c>
      <c r="AP261" s="23">
        <f>VALUE(0)</f>
        <v>0</v>
      </c>
      <c r="AQ261" s="23">
        <f>VALUE(0)</f>
        <v>0</v>
      </c>
      <c r="AR261" s="23">
        <f>VALUE(0)</f>
        <v>0</v>
      </c>
      <c r="AS261" s="23">
        <f>VALUE(0)</f>
        <v>0</v>
      </c>
      <c r="AT261" s="23">
        <f>VALUE(0)</f>
        <v>0</v>
      </c>
      <c r="AU261" s="23">
        <f>VALUE(0)</f>
        <v>0</v>
      </c>
      <c r="AV261" s="23">
        <f>VALUE(2)</f>
        <v>2</v>
      </c>
      <c r="AW261" s="23">
        <f>VALUE(0)</f>
        <v>0</v>
      </c>
      <c r="AX261" s="23" t="s">
        <v>171</v>
      </c>
      <c r="AY261" s="23" t="s">
        <v>517</v>
      </c>
      <c r="AZ261" s="23">
        <f>VALUE(0)</f>
        <v>0</v>
      </c>
      <c r="BA261" s="23">
        <f>VALUE(0)</f>
        <v>0</v>
      </c>
      <c r="BB261" s="23">
        <f>VALUE(0)</f>
        <v>0</v>
      </c>
      <c r="BC261" s="23">
        <f>VALUE(0)</f>
        <v>0</v>
      </c>
      <c r="BD261" s="23">
        <f>VALUE(0)</f>
        <v>0</v>
      </c>
      <c r="BE261" s="23">
        <f>VALUE(0)</f>
        <v>0</v>
      </c>
      <c r="BF261" s="23">
        <f>VALUE(0)</f>
        <v>0</v>
      </c>
      <c r="BG261" s="23">
        <f>VALUE(0)</f>
        <v>0</v>
      </c>
      <c r="BH261" s="23">
        <f>VALUE(0)</f>
        <v>0</v>
      </c>
      <c r="BI261" s="23">
        <f>VALUE(0)</f>
        <v>0</v>
      </c>
      <c r="BJ261" s="23">
        <f>VALUE(0)</f>
        <v>0</v>
      </c>
      <c r="BK261" s="12">
        <f>$AX$261*24</f>
        <v>5.833333333333333</v>
      </c>
      <c r="BL261" s="12">
        <f>$AY$261*24</f>
        <v>1.3</v>
      </c>
      <c r="BM261" s="12">
        <f>$BJ$261*24</f>
        <v>0</v>
      </c>
      <c r="BN261" s="12">
        <f>VALUE($I$261)/100</f>
        <v>1</v>
      </c>
      <c r="BO261" s="12">
        <v>0</v>
      </c>
      <c r="BP261" s="12">
        <v>0</v>
      </c>
      <c r="BQ261" s="12">
        <v>0</v>
      </c>
      <c r="BR261" s="12">
        <v>0</v>
      </c>
      <c r="BS261" s="12">
        <v>0</v>
      </c>
      <c r="BT261" s="12">
        <v>0</v>
      </c>
      <c r="BU261" s="12">
        <v>0</v>
      </c>
      <c r="BV261" s="12">
        <v>0</v>
      </c>
      <c r="BW261" s="12">
        <v>0</v>
      </c>
      <c r="BX261" s="12">
        <v>0</v>
      </c>
      <c r="BY261" s="12">
        <v>0</v>
      </c>
      <c r="BZ261" s="12">
        <v>0</v>
      </c>
      <c r="CA261" s="12">
        <v>0</v>
      </c>
    </row>
    <row r="262" spans="1:79" hidden="1" x14ac:dyDescent="0.2">
      <c r="A262" s="12" t="s">
        <v>137</v>
      </c>
      <c r="B262" s="12" t="s">
        <v>139</v>
      </c>
      <c r="C262" s="12" t="s">
        <v>139</v>
      </c>
      <c r="D262" s="22" t="s">
        <v>495</v>
      </c>
      <c r="E262" s="22" t="s">
        <v>161</v>
      </c>
      <c r="F262" s="22" t="s">
        <v>1011</v>
      </c>
      <c r="G262" s="22" t="s">
        <v>1012</v>
      </c>
      <c r="H262" s="22" t="s">
        <v>150</v>
      </c>
      <c r="I262" s="22" t="s">
        <v>151</v>
      </c>
      <c r="J262" s="22" t="s">
        <v>162</v>
      </c>
      <c r="K262" s="22" t="s">
        <v>94</v>
      </c>
      <c r="L262" s="54" t="s">
        <v>153</v>
      </c>
      <c r="M262" s="23" t="s">
        <v>153</v>
      </c>
      <c r="N262" s="24" t="s">
        <v>153</v>
      </c>
      <c r="O262" s="23" t="s">
        <v>153</v>
      </c>
      <c r="P262" s="23" t="s">
        <v>153</v>
      </c>
      <c r="Q262" s="23" t="s">
        <v>153</v>
      </c>
      <c r="R262" s="23" t="s">
        <v>153</v>
      </c>
      <c r="S262" s="23" t="s">
        <v>153</v>
      </c>
      <c r="T262" s="23" t="s">
        <v>153</v>
      </c>
      <c r="U262" s="24" t="s">
        <v>153</v>
      </c>
      <c r="V262" s="54" t="s">
        <v>153</v>
      </c>
      <c r="W262" s="28" t="s">
        <v>163</v>
      </c>
      <c r="X262" s="23" t="s">
        <v>153</v>
      </c>
      <c r="Y262" s="23" t="s">
        <v>153</v>
      </c>
      <c r="Z262" s="24" t="s">
        <v>156</v>
      </c>
      <c r="AA262" s="24" t="s">
        <v>156</v>
      </c>
      <c r="AB262" s="24" t="s">
        <v>153</v>
      </c>
      <c r="AC262" s="23" t="s">
        <v>153</v>
      </c>
      <c r="AD262" s="23" t="s">
        <v>153</v>
      </c>
      <c r="AE262" s="23" t="s">
        <v>153</v>
      </c>
      <c r="AF262" s="23" t="s">
        <v>153</v>
      </c>
      <c r="AG262" s="23" t="s">
        <v>153</v>
      </c>
      <c r="AH262" s="23" t="s">
        <v>153</v>
      </c>
      <c r="AI262" s="24" t="s">
        <v>153</v>
      </c>
      <c r="AJ262" s="23" t="s">
        <v>153</v>
      </c>
      <c r="AK262" s="23" t="s">
        <v>153</v>
      </c>
      <c r="AL262" s="23" t="s">
        <v>153</v>
      </c>
      <c r="AM262" s="23" t="s">
        <v>153</v>
      </c>
      <c r="AN262" s="23" t="s">
        <v>153</v>
      </c>
      <c r="AO262" s="23" t="s">
        <v>153</v>
      </c>
      <c r="AP262" s="23">
        <f>VALUE(0)</f>
        <v>0</v>
      </c>
      <c r="AQ262" s="23">
        <f>VALUE(0)</f>
        <v>0</v>
      </c>
      <c r="AR262" s="23">
        <f>VALUE(0)</f>
        <v>0</v>
      </c>
      <c r="AS262" s="23">
        <f>VALUE(0)</f>
        <v>0</v>
      </c>
      <c r="AT262" s="23">
        <f>VALUE(0)</f>
        <v>0</v>
      </c>
      <c r="AU262" s="23">
        <f>VALUE(1)</f>
        <v>1</v>
      </c>
      <c r="AV262" s="23">
        <f>VALUE(0)</f>
        <v>0</v>
      </c>
      <c r="AW262" s="23">
        <f>VALUE(0)</f>
        <v>0</v>
      </c>
      <c r="AX262" s="23" t="s">
        <v>171</v>
      </c>
      <c r="AY262" s="23" t="s">
        <v>404</v>
      </c>
      <c r="AZ262" s="23">
        <f>VALUE(0)</f>
        <v>0</v>
      </c>
      <c r="BA262" s="23">
        <f>VALUE(0)</f>
        <v>0</v>
      </c>
      <c r="BB262" s="23">
        <f>VALUE(0)</f>
        <v>0</v>
      </c>
      <c r="BC262" s="23">
        <f>VALUE(0)</f>
        <v>0</v>
      </c>
      <c r="BD262" s="23">
        <f>VALUE(0)</f>
        <v>0</v>
      </c>
      <c r="BE262" s="23">
        <f>VALUE(0)</f>
        <v>0</v>
      </c>
      <c r="BF262" s="23">
        <f>VALUE(0)</f>
        <v>0</v>
      </c>
      <c r="BG262" s="23">
        <f>VALUE(0)</f>
        <v>0</v>
      </c>
      <c r="BH262" s="23">
        <f>VALUE(0)</f>
        <v>0</v>
      </c>
      <c r="BI262" s="23">
        <f>VALUE(0)</f>
        <v>0</v>
      </c>
      <c r="BJ262" s="23">
        <f>VALUE(0)</f>
        <v>0</v>
      </c>
      <c r="BK262" s="12">
        <f>$AX$262*24</f>
        <v>5.833333333333333</v>
      </c>
      <c r="BL262" s="12">
        <f>$AY$262*24</f>
        <v>4.8499999999999996</v>
      </c>
      <c r="BM262" s="12">
        <f>$BJ$262*24</f>
        <v>0</v>
      </c>
      <c r="BN262" s="12">
        <f>VALUE($I$262)/100</f>
        <v>1</v>
      </c>
      <c r="BO262" s="12">
        <v>0</v>
      </c>
      <c r="BP262" s="12">
        <v>0</v>
      </c>
      <c r="BQ262" s="12">
        <v>0</v>
      </c>
      <c r="BR262" s="12">
        <v>0</v>
      </c>
      <c r="BS262" s="12">
        <v>0</v>
      </c>
      <c r="BT262" s="12">
        <v>0</v>
      </c>
      <c r="BU262" s="12">
        <v>0</v>
      </c>
      <c r="BV262" s="12">
        <v>0</v>
      </c>
      <c r="BW262" s="12">
        <v>0</v>
      </c>
      <c r="BX262" s="12">
        <v>0</v>
      </c>
      <c r="BY262" s="12">
        <v>0</v>
      </c>
      <c r="BZ262" s="12">
        <v>0</v>
      </c>
      <c r="CA262" s="12">
        <v>0</v>
      </c>
    </row>
    <row r="263" spans="1:79" hidden="1" x14ac:dyDescent="0.2">
      <c r="A263" s="12" t="s">
        <v>137</v>
      </c>
      <c r="B263" s="12" t="s">
        <v>139</v>
      </c>
      <c r="C263" s="12" t="s">
        <v>139</v>
      </c>
      <c r="D263" s="22" t="s">
        <v>490</v>
      </c>
      <c r="E263" s="22" t="s">
        <v>161</v>
      </c>
      <c r="F263" s="22" t="s">
        <v>1013</v>
      </c>
      <c r="G263" s="22" t="s">
        <v>1014</v>
      </c>
      <c r="H263" s="22" t="s">
        <v>191</v>
      </c>
      <c r="I263" s="22" t="s">
        <v>151</v>
      </c>
      <c r="J263" s="22" t="s">
        <v>162</v>
      </c>
      <c r="K263" s="22" t="s">
        <v>94</v>
      </c>
      <c r="L263" s="54" t="s">
        <v>153</v>
      </c>
      <c r="M263" s="23" t="s">
        <v>153</v>
      </c>
      <c r="N263" s="24" t="s">
        <v>153</v>
      </c>
      <c r="O263" s="27" t="s">
        <v>153</v>
      </c>
      <c r="P263" s="27" t="s">
        <v>153</v>
      </c>
      <c r="Q263" s="27" t="s">
        <v>153</v>
      </c>
      <c r="R263" s="27" t="s">
        <v>153</v>
      </c>
      <c r="S263" s="27" t="s">
        <v>153</v>
      </c>
      <c r="T263" s="27" t="s">
        <v>153</v>
      </c>
      <c r="U263" s="24" t="s">
        <v>153</v>
      </c>
      <c r="V263" s="54" t="s">
        <v>153</v>
      </c>
      <c r="W263" s="27" t="s">
        <v>153</v>
      </c>
      <c r="X263" s="27" t="s">
        <v>153</v>
      </c>
      <c r="Y263" s="27" t="s">
        <v>153</v>
      </c>
      <c r="Z263" s="27" t="s">
        <v>153</v>
      </c>
      <c r="AA263" s="27" t="s">
        <v>153</v>
      </c>
      <c r="AB263" s="24" t="s">
        <v>153</v>
      </c>
      <c r="AC263" s="27" t="s">
        <v>153</v>
      </c>
      <c r="AD263" s="27" t="s">
        <v>153</v>
      </c>
      <c r="AE263" s="27" t="s">
        <v>153</v>
      </c>
      <c r="AF263" s="27" t="s">
        <v>153</v>
      </c>
      <c r="AG263" s="27" t="s">
        <v>153</v>
      </c>
      <c r="AH263" s="27" t="s">
        <v>153</v>
      </c>
      <c r="AI263" s="24" t="s">
        <v>153</v>
      </c>
      <c r="AJ263" s="27" t="s">
        <v>153</v>
      </c>
      <c r="AK263" s="27" t="s">
        <v>153</v>
      </c>
      <c r="AL263" s="27" t="s">
        <v>153</v>
      </c>
      <c r="AM263" s="27" t="s">
        <v>153</v>
      </c>
      <c r="AN263" s="27" t="s">
        <v>153</v>
      </c>
      <c r="AO263" s="27" t="s">
        <v>153</v>
      </c>
      <c r="AP263" s="23">
        <f>VALUE(0)</f>
        <v>0</v>
      </c>
      <c r="AQ263" s="23">
        <f>VALUE(0)</f>
        <v>0</v>
      </c>
      <c r="AR263" s="23">
        <f>VALUE(0)</f>
        <v>0</v>
      </c>
      <c r="AS263" s="23">
        <f>VALUE(0)</f>
        <v>0</v>
      </c>
      <c r="AT263" s="23">
        <f>VALUE(0)</f>
        <v>0</v>
      </c>
      <c r="AU263" s="23">
        <f>VALUE(0)</f>
        <v>0</v>
      </c>
      <c r="AV263" s="23">
        <f>VALUE(0)</f>
        <v>0</v>
      </c>
      <c r="AW263" s="23">
        <f>VALUE(0)</f>
        <v>0</v>
      </c>
      <c r="AX263" s="23">
        <f>VALUE(0)</f>
        <v>0</v>
      </c>
      <c r="AY263" s="23">
        <f>VALUE(0)</f>
        <v>0</v>
      </c>
      <c r="AZ263" s="23">
        <f>VALUE(0)</f>
        <v>0</v>
      </c>
      <c r="BA263" s="23">
        <f>VALUE(0)</f>
        <v>0</v>
      </c>
      <c r="BB263" s="23">
        <f>VALUE(0)</f>
        <v>0</v>
      </c>
      <c r="BC263" s="23">
        <f>VALUE(0)</f>
        <v>0</v>
      </c>
      <c r="BD263" s="23">
        <f>VALUE(0)</f>
        <v>0</v>
      </c>
      <c r="BE263" s="23">
        <f>VALUE(0)</f>
        <v>0</v>
      </c>
      <c r="BF263" s="23">
        <f>VALUE(0)</f>
        <v>0</v>
      </c>
      <c r="BG263" s="23">
        <f>VALUE(0)</f>
        <v>0</v>
      </c>
      <c r="BH263" s="23">
        <f>VALUE(0)</f>
        <v>0</v>
      </c>
      <c r="BI263" s="23">
        <f>VALUE(0)</f>
        <v>0</v>
      </c>
      <c r="BJ263" s="23">
        <f>VALUE(0)</f>
        <v>0</v>
      </c>
      <c r="BK263" s="12">
        <f>$AX$263*24</f>
        <v>0</v>
      </c>
      <c r="BL263" s="12">
        <f>$AY$263*24</f>
        <v>0</v>
      </c>
      <c r="BM263" s="12">
        <f>$BJ$263*24</f>
        <v>0</v>
      </c>
      <c r="BN263" s="12">
        <f>VALUE($I$263)/100</f>
        <v>1</v>
      </c>
      <c r="BO263" s="12">
        <v>0</v>
      </c>
      <c r="BP263" s="12">
        <v>0</v>
      </c>
      <c r="BQ263" s="12">
        <v>0</v>
      </c>
      <c r="BR263" s="12">
        <v>0</v>
      </c>
      <c r="BS263" s="12">
        <v>0</v>
      </c>
      <c r="BT263" s="12">
        <v>0</v>
      </c>
      <c r="BU263" s="12">
        <v>0</v>
      </c>
      <c r="BV263" s="12">
        <v>0</v>
      </c>
      <c r="BW263" s="12">
        <v>0</v>
      </c>
      <c r="BX263" s="12">
        <v>0</v>
      </c>
      <c r="BY263" s="12">
        <v>0</v>
      </c>
      <c r="BZ263" s="12">
        <v>0</v>
      </c>
      <c r="CA263" s="12">
        <v>0</v>
      </c>
    </row>
    <row r="264" spans="1:79" hidden="1" x14ac:dyDescent="0.2">
      <c r="A264" s="12" t="s">
        <v>137</v>
      </c>
      <c r="B264" s="12" t="s">
        <v>139</v>
      </c>
      <c r="C264" s="12" t="s">
        <v>139</v>
      </c>
      <c r="D264" s="22" t="s">
        <v>490</v>
      </c>
      <c r="E264" s="22" t="s">
        <v>161</v>
      </c>
      <c r="F264" s="22" t="s">
        <v>1015</v>
      </c>
      <c r="G264" s="22" t="s">
        <v>1016</v>
      </c>
      <c r="H264" s="22" t="s">
        <v>150</v>
      </c>
      <c r="I264" s="22" t="s">
        <v>151</v>
      </c>
      <c r="J264" s="22" t="s">
        <v>162</v>
      </c>
      <c r="K264" s="22" t="s">
        <v>94</v>
      </c>
      <c r="L264" s="54" t="s">
        <v>153</v>
      </c>
      <c r="M264" s="28" t="s">
        <v>163</v>
      </c>
      <c r="N264" s="24" t="s">
        <v>153</v>
      </c>
      <c r="O264" s="23" t="s">
        <v>153</v>
      </c>
      <c r="P264" s="23" t="s">
        <v>153</v>
      </c>
      <c r="Q264" s="23" t="s">
        <v>153</v>
      </c>
      <c r="R264" s="23" t="s">
        <v>153</v>
      </c>
      <c r="S264" s="24" t="s">
        <v>156</v>
      </c>
      <c r="T264" s="24" t="s">
        <v>156</v>
      </c>
      <c r="U264" s="24" t="s">
        <v>153</v>
      </c>
      <c r="V264" s="54" t="s">
        <v>153</v>
      </c>
      <c r="W264" s="23" t="s">
        <v>153</v>
      </c>
      <c r="X264" s="23" t="s">
        <v>153</v>
      </c>
      <c r="Y264" s="23" t="s">
        <v>153</v>
      </c>
      <c r="Z264" s="23" t="s">
        <v>153</v>
      </c>
      <c r="AA264" s="23" t="s">
        <v>153</v>
      </c>
      <c r="AB264" s="24" t="s">
        <v>153</v>
      </c>
      <c r="AC264" s="23" t="s">
        <v>153</v>
      </c>
      <c r="AD264" s="23" t="s">
        <v>153</v>
      </c>
      <c r="AE264" s="23" t="s">
        <v>153</v>
      </c>
      <c r="AF264" s="23" t="s">
        <v>153</v>
      </c>
      <c r="AG264" s="23" t="s">
        <v>153</v>
      </c>
      <c r="AH264" s="23" t="s">
        <v>153</v>
      </c>
      <c r="AI264" s="24" t="s">
        <v>153</v>
      </c>
      <c r="AJ264" s="24" t="s">
        <v>156</v>
      </c>
      <c r="AK264" s="24" t="s">
        <v>156</v>
      </c>
      <c r="AL264" s="23" t="s">
        <v>153</v>
      </c>
      <c r="AM264" s="23" t="s">
        <v>153</v>
      </c>
      <c r="AN264" s="23" t="s">
        <v>153</v>
      </c>
      <c r="AO264" s="23" t="s">
        <v>153</v>
      </c>
      <c r="AP264" s="23">
        <f>VALUE(0)</f>
        <v>0</v>
      </c>
      <c r="AQ264" s="23">
        <f>VALUE(0)</f>
        <v>0</v>
      </c>
      <c r="AR264" s="23">
        <f>VALUE(0)</f>
        <v>0</v>
      </c>
      <c r="AS264" s="23">
        <f>VALUE(0)</f>
        <v>0</v>
      </c>
      <c r="AT264" s="23">
        <f>VALUE(0)</f>
        <v>0</v>
      </c>
      <c r="AU264" s="23">
        <f>VALUE(1)</f>
        <v>1</v>
      </c>
      <c r="AV264" s="23">
        <f>VALUE(0)</f>
        <v>0</v>
      </c>
      <c r="AW264" s="23">
        <f>VALUE(0)</f>
        <v>0</v>
      </c>
      <c r="AX264" s="23" t="s">
        <v>171</v>
      </c>
      <c r="AY264" s="23" t="s">
        <v>518</v>
      </c>
      <c r="AZ264" s="23">
        <f>VALUE(0)</f>
        <v>0</v>
      </c>
      <c r="BA264" s="23">
        <f>VALUE(0)</f>
        <v>0</v>
      </c>
      <c r="BB264" s="23">
        <f>VALUE(0)</f>
        <v>0</v>
      </c>
      <c r="BC264" s="23">
        <f>VALUE(0)</f>
        <v>0</v>
      </c>
      <c r="BD264" s="23">
        <f>VALUE(0)</f>
        <v>0</v>
      </c>
      <c r="BE264" s="23">
        <f>VALUE(0)</f>
        <v>0</v>
      </c>
      <c r="BF264" s="23">
        <f>VALUE(0)</f>
        <v>0</v>
      </c>
      <c r="BG264" s="23">
        <f>VALUE(0)</f>
        <v>0</v>
      </c>
      <c r="BH264" s="23">
        <f>VALUE(0)</f>
        <v>0</v>
      </c>
      <c r="BI264" s="23">
        <f>VALUE(0)</f>
        <v>0</v>
      </c>
      <c r="BJ264" s="23">
        <f>VALUE(0)</f>
        <v>0</v>
      </c>
      <c r="BK264" s="12">
        <f>$AX$264*24</f>
        <v>5.833333333333333</v>
      </c>
      <c r="BL264" s="12">
        <f>$AY$264*24</f>
        <v>3.8500000000000005</v>
      </c>
      <c r="BM264" s="12">
        <f>$BJ$264*24</f>
        <v>0</v>
      </c>
      <c r="BN264" s="12">
        <f>VALUE($I$264)/100</f>
        <v>1</v>
      </c>
      <c r="BO264" s="12">
        <v>0</v>
      </c>
      <c r="BP264" s="12">
        <v>0</v>
      </c>
      <c r="BQ264" s="12">
        <v>0</v>
      </c>
      <c r="BR264" s="12">
        <v>0</v>
      </c>
      <c r="BS264" s="12">
        <v>0</v>
      </c>
      <c r="BT264" s="12">
        <v>0</v>
      </c>
      <c r="BU264" s="12">
        <v>0</v>
      </c>
      <c r="BV264" s="12">
        <v>0</v>
      </c>
      <c r="BW264" s="12">
        <v>0</v>
      </c>
      <c r="BX264" s="12">
        <v>0</v>
      </c>
      <c r="BY264" s="12">
        <v>0</v>
      </c>
      <c r="BZ264" s="12">
        <v>0</v>
      </c>
      <c r="CA264" s="12">
        <v>0</v>
      </c>
    </row>
    <row r="265" spans="1:79" hidden="1" x14ac:dyDescent="0.2">
      <c r="A265" s="12" t="s">
        <v>137</v>
      </c>
      <c r="B265" s="12" t="s">
        <v>139</v>
      </c>
      <c r="C265" s="12" t="s">
        <v>139</v>
      </c>
      <c r="D265" s="22" t="s">
        <v>497</v>
      </c>
      <c r="E265" s="22" t="s">
        <v>161</v>
      </c>
      <c r="F265" s="22" t="s">
        <v>1276</v>
      </c>
      <c r="G265" s="22" t="s">
        <v>1017</v>
      </c>
      <c r="H265" s="22" t="s">
        <v>166</v>
      </c>
      <c r="I265" s="22" t="s">
        <v>151</v>
      </c>
      <c r="J265" s="22" t="s">
        <v>162</v>
      </c>
      <c r="K265" s="22" t="s">
        <v>94</v>
      </c>
      <c r="L265" s="54" t="s">
        <v>156</v>
      </c>
      <c r="M265" s="24" t="s">
        <v>156</v>
      </c>
      <c r="N265" s="24" t="s">
        <v>153</v>
      </c>
      <c r="O265" s="23" t="s">
        <v>153</v>
      </c>
      <c r="P265" s="23" t="s">
        <v>153</v>
      </c>
      <c r="Q265" s="23" t="s">
        <v>153</v>
      </c>
      <c r="R265" s="23" t="s">
        <v>153</v>
      </c>
      <c r="S265" s="23" t="s">
        <v>153</v>
      </c>
      <c r="T265" s="23" t="s">
        <v>153</v>
      </c>
      <c r="U265" s="24" t="s">
        <v>153</v>
      </c>
      <c r="V265" s="54" t="s">
        <v>153</v>
      </c>
      <c r="W265" s="23" t="s">
        <v>153</v>
      </c>
      <c r="X265" s="23" t="s">
        <v>153</v>
      </c>
      <c r="Y265" s="23" t="s">
        <v>153</v>
      </c>
      <c r="Z265" s="23" t="s">
        <v>153</v>
      </c>
      <c r="AA265" s="23" t="s">
        <v>153</v>
      </c>
      <c r="AB265" s="24" t="s">
        <v>153</v>
      </c>
      <c r="AC265" s="24" t="s">
        <v>156</v>
      </c>
      <c r="AD265" s="24" t="s">
        <v>156</v>
      </c>
      <c r="AE265" s="55" t="s">
        <v>1277</v>
      </c>
      <c r="AF265" s="55" t="s">
        <v>1277</v>
      </c>
      <c r="AG265" s="55" t="s">
        <v>1277</v>
      </c>
      <c r="AH265" s="55" t="s">
        <v>1277</v>
      </c>
      <c r="AI265" s="24" t="s">
        <v>153</v>
      </c>
      <c r="AJ265" s="23" t="s">
        <v>153</v>
      </c>
      <c r="AK265" s="23" t="s">
        <v>153</v>
      </c>
      <c r="AL265" s="23" t="s">
        <v>153</v>
      </c>
      <c r="AM265" s="23" t="s">
        <v>153</v>
      </c>
      <c r="AN265" s="23" t="s">
        <v>153</v>
      </c>
      <c r="AO265" s="23" t="s">
        <v>153</v>
      </c>
      <c r="AP265" s="23">
        <f>VALUE(0)</f>
        <v>0</v>
      </c>
      <c r="AQ265" s="23">
        <f>VALUE(0)</f>
        <v>0</v>
      </c>
      <c r="AR265" s="23">
        <f>VALUE(0)</f>
        <v>0</v>
      </c>
      <c r="AS265" s="23">
        <f>VALUE(0)</f>
        <v>0</v>
      </c>
      <c r="AT265" s="23">
        <f>VALUE(0)</f>
        <v>0</v>
      </c>
      <c r="AU265" s="23">
        <f>VALUE(0)</f>
        <v>0</v>
      </c>
      <c r="AV265" s="23">
        <f>VALUE(3)</f>
        <v>3</v>
      </c>
      <c r="AW265" s="23">
        <f>VALUE(0)</f>
        <v>0</v>
      </c>
      <c r="AX265" s="23" t="s">
        <v>1278</v>
      </c>
      <c r="AY265" s="23">
        <f>VALUE(0)</f>
        <v>0</v>
      </c>
      <c r="AZ265" s="23">
        <f>VALUE(0)</f>
        <v>0</v>
      </c>
      <c r="BA265" s="23">
        <f>VALUE(0)</f>
        <v>0</v>
      </c>
      <c r="BB265" s="23">
        <f>VALUE(0)</f>
        <v>0</v>
      </c>
      <c r="BC265" s="23">
        <f>VALUE(0)</f>
        <v>0</v>
      </c>
      <c r="BD265" s="23">
        <f>VALUE(0)</f>
        <v>0</v>
      </c>
      <c r="BE265" s="23">
        <f>VALUE(0)</f>
        <v>0</v>
      </c>
      <c r="BF265" s="23">
        <f>VALUE(0)</f>
        <v>0</v>
      </c>
      <c r="BG265" s="23">
        <f>VALUE(0)</f>
        <v>0</v>
      </c>
      <c r="BH265" s="23">
        <f>VALUE(0)</f>
        <v>0</v>
      </c>
      <c r="BI265" s="23">
        <f>VALUE(0)</f>
        <v>0</v>
      </c>
      <c r="BJ265" s="23">
        <f>VALUE(0)</f>
        <v>0</v>
      </c>
      <c r="BK265" s="12">
        <f>$AX$265*24</f>
        <v>6.3166666666666664</v>
      </c>
      <c r="BL265" s="12">
        <f>$AY$265*24</f>
        <v>0</v>
      </c>
      <c r="BM265" s="12">
        <f>$BJ$265*24</f>
        <v>0</v>
      </c>
      <c r="BN265" s="12">
        <f>VALUE($I$265)/100</f>
        <v>1</v>
      </c>
      <c r="BO265" s="12">
        <v>0</v>
      </c>
      <c r="BP265" s="12">
        <v>0</v>
      </c>
      <c r="BQ265" s="12">
        <v>0</v>
      </c>
      <c r="BR265" s="12">
        <v>0</v>
      </c>
      <c r="BS265" s="12">
        <v>0</v>
      </c>
      <c r="BT265" s="12">
        <v>0</v>
      </c>
      <c r="BU265" s="12">
        <v>0</v>
      </c>
      <c r="BV265" s="12">
        <v>0</v>
      </c>
      <c r="BW265" s="12">
        <v>0</v>
      </c>
      <c r="BX265" s="12">
        <v>0</v>
      </c>
      <c r="BY265" s="12">
        <v>0</v>
      </c>
      <c r="BZ265" s="12">
        <v>0</v>
      </c>
      <c r="CA265" s="12">
        <v>0</v>
      </c>
    </row>
    <row r="266" spans="1:79" hidden="1" x14ac:dyDescent="0.2">
      <c r="A266" s="12" t="s">
        <v>137</v>
      </c>
      <c r="B266" s="12" t="s">
        <v>139</v>
      </c>
      <c r="C266" s="12" t="s">
        <v>139</v>
      </c>
      <c r="D266" s="22" t="s">
        <v>519</v>
      </c>
      <c r="E266" s="22" t="s">
        <v>173</v>
      </c>
      <c r="F266" s="22" t="s">
        <v>1018</v>
      </c>
      <c r="G266" s="22" t="s">
        <v>1019</v>
      </c>
      <c r="H266" s="22" t="s">
        <v>190</v>
      </c>
      <c r="I266" s="22" t="s">
        <v>151</v>
      </c>
      <c r="J266" s="22" t="s">
        <v>162</v>
      </c>
      <c r="K266" s="22" t="s">
        <v>94</v>
      </c>
      <c r="L266" s="54" t="s">
        <v>153</v>
      </c>
      <c r="M266" s="23" t="s">
        <v>498</v>
      </c>
      <c r="N266" s="24" t="s">
        <v>153</v>
      </c>
      <c r="O266" s="23" t="s">
        <v>498</v>
      </c>
      <c r="P266" s="23" t="s">
        <v>498</v>
      </c>
      <c r="Q266" s="23" t="s">
        <v>498</v>
      </c>
      <c r="R266" s="23" t="s">
        <v>511</v>
      </c>
      <c r="S266" s="23" t="s">
        <v>511</v>
      </c>
      <c r="T266" s="23" t="s">
        <v>511</v>
      </c>
      <c r="U266" s="40" t="s">
        <v>153</v>
      </c>
      <c r="V266" s="40" t="s">
        <v>153</v>
      </c>
      <c r="W266" s="40" t="s">
        <v>153</v>
      </c>
      <c r="X266" s="40" t="s">
        <v>153</v>
      </c>
      <c r="Y266" s="40" t="s">
        <v>153</v>
      </c>
      <c r="Z266" s="40" t="s">
        <v>153</v>
      </c>
      <c r="AA266" s="40" t="s">
        <v>153</v>
      </c>
      <c r="AB266" s="40" t="s">
        <v>153</v>
      </c>
      <c r="AC266" s="40" t="s">
        <v>153</v>
      </c>
      <c r="AD266" s="40" t="s">
        <v>153</v>
      </c>
      <c r="AE266" s="40" t="s">
        <v>153</v>
      </c>
      <c r="AF266" s="40" t="s">
        <v>153</v>
      </c>
      <c r="AG266" s="40" t="s">
        <v>153</v>
      </c>
      <c r="AH266" s="40" t="s">
        <v>153</v>
      </c>
      <c r="AI266" s="40" t="s">
        <v>153</v>
      </c>
      <c r="AJ266" s="40" t="s">
        <v>153</v>
      </c>
      <c r="AK266" s="40" t="s">
        <v>153</v>
      </c>
      <c r="AL266" s="40" t="s">
        <v>153</v>
      </c>
      <c r="AM266" s="40" t="s">
        <v>153</v>
      </c>
      <c r="AN266" s="40" t="s">
        <v>153</v>
      </c>
      <c r="AO266" s="40" t="s">
        <v>153</v>
      </c>
      <c r="AP266" s="23">
        <f>VALUE(0)</f>
        <v>0</v>
      </c>
      <c r="AQ266" s="23">
        <f>VALUE(0)</f>
        <v>0</v>
      </c>
      <c r="AR266" s="23">
        <f>VALUE(0)</f>
        <v>0</v>
      </c>
      <c r="AS266" s="23">
        <f>VALUE(0)</f>
        <v>0</v>
      </c>
      <c r="AT266" s="23">
        <f>VALUE(0)</f>
        <v>0</v>
      </c>
      <c r="AU266" s="23">
        <f>VALUE(0)</f>
        <v>0</v>
      </c>
      <c r="AV266" s="23">
        <f>VALUE(4)</f>
        <v>4</v>
      </c>
      <c r="AW266" s="23">
        <f>VALUE(0)</f>
        <v>0</v>
      </c>
      <c r="AX266" s="23">
        <f>VALUE(0)</f>
        <v>0</v>
      </c>
      <c r="AY266" s="23">
        <f>VALUE(0)</f>
        <v>0</v>
      </c>
      <c r="AZ266" s="23">
        <f>VALUE(0)</f>
        <v>0</v>
      </c>
      <c r="BA266" s="23">
        <f>VALUE(0)</f>
        <v>0</v>
      </c>
      <c r="BB266" s="23">
        <f>VALUE(0)</f>
        <v>0</v>
      </c>
      <c r="BC266" s="23">
        <f>VALUE(0)</f>
        <v>0</v>
      </c>
      <c r="BD266" s="23">
        <f>VALUE(0)</f>
        <v>0</v>
      </c>
      <c r="BE266" s="23">
        <f>VALUE(0)</f>
        <v>0</v>
      </c>
      <c r="BF266" s="23">
        <f>VALUE(0)</f>
        <v>0</v>
      </c>
      <c r="BG266" s="23">
        <f>VALUE(0)</f>
        <v>0</v>
      </c>
      <c r="BH266" s="23">
        <f>VALUE(0)</f>
        <v>0</v>
      </c>
      <c r="BI266" s="23">
        <f>VALUE(0)</f>
        <v>0</v>
      </c>
      <c r="BJ266" s="23">
        <f>VALUE(0)</f>
        <v>0</v>
      </c>
      <c r="BK266" s="12">
        <f>$AX$266*24</f>
        <v>0</v>
      </c>
      <c r="BL266" s="12">
        <f>$AY$266*24</f>
        <v>0</v>
      </c>
      <c r="BM266" s="12">
        <f>$BJ$266*24</f>
        <v>0</v>
      </c>
      <c r="BN266" s="12">
        <f>VALUE($I$266)/100</f>
        <v>1</v>
      </c>
      <c r="BO266" s="12">
        <v>0</v>
      </c>
      <c r="BP266" s="12">
        <v>0</v>
      </c>
      <c r="BQ266" s="12">
        <v>0</v>
      </c>
      <c r="BR266" s="12">
        <v>0</v>
      </c>
      <c r="BS266" s="12">
        <v>0</v>
      </c>
      <c r="BT266" s="12">
        <v>0</v>
      </c>
      <c r="BU266" s="12">
        <v>0</v>
      </c>
      <c r="BV266" s="12">
        <v>0</v>
      </c>
      <c r="BW266" s="12">
        <v>0</v>
      </c>
      <c r="BX266" s="12">
        <v>0</v>
      </c>
      <c r="BY266" s="12">
        <v>0</v>
      </c>
      <c r="BZ266" s="12">
        <v>0</v>
      </c>
      <c r="CA266" s="12">
        <v>0</v>
      </c>
    </row>
    <row r="267" spans="1:79" hidden="1" x14ac:dyDescent="0.2">
      <c r="A267" s="12" t="s">
        <v>137</v>
      </c>
      <c r="B267" s="12" t="s">
        <v>139</v>
      </c>
      <c r="C267" s="12" t="s">
        <v>139</v>
      </c>
      <c r="D267" s="22" t="s">
        <v>519</v>
      </c>
      <c r="E267" s="22" t="s">
        <v>159</v>
      </c>
      <c r="F267" s="22" t="s">
        <v>1020</v>
      </c>
      <c r="G267" s="22" t="s">
        <v>1021</v>
      </c>
      <c r="H267" s="22" t="s">
        <v>150</v>
      </c>
      <c r="I267" s="22" t="s">
        <v>151</v>
      </c>
      <c r="J267" s="22" t="s">
        <v>162</v>
      </c>
      <c r="K267" s="22" t="s">
        <v>94</v>
      </c>
      <c r="L267" s="54" t="s">
        <v>153</v>
      </c>
      <c r="M267" s="23" t="s">
        <v>492</v>
      </c>
      <c r="N267" s="24" t="s">
        <v>153</v>
      </c>
      <c r="O267" s="23" t="s">
        <v>492</v>
      </c>
      <c r="P267" s="23" t="s">
        <v>492</v>
      </c>
      <c r="Q267" s="24" t="s">
        <v>156</v>
      </c>
      <c r="R267" s="24" t="s">
        <v>156</v>
      </c>
      <c r="S267" s="28" t="s">
        <v>163</v>
      </c>
      <c r="T267" s="28" t="s">
        <v>163</v>
      </c>
      <c r="U267" s="24" t="s">
        <v>153</v>
      </c>
      <c r="V267" s="54" t="s">
        <v>153</v>
      </c>
      <c r="W267" s="28" t="s">
        <v>163</v>
      </c>
      <c r="X267" s="28" t="s">
        <v>163</v>
      </c>
      <c r="Y267" s="28" t="s">
        <v>163</v>
      </c>
      <c r="Z267" s="28" t="s">
        <v>163</v>
      </c>
      <c r="AA267" s="28" t="s">
        <v>163</v>
      </c>
      <c r="AB267" s="24" t="s">
        <v>153</v>
      </c>
      <c r="AC267" s="28" t="s">
        <v>163</v>
      </c>
      <c r="AD267" s="25" t="s">
        <v>588</v>
      </c>
      <c r="AE267" s="25" t="s">
        <v>588</v>
      </c>
      <c r="AF267" s="25" t="s">
        <v>588</v>
      </c>
      <c r="AG267" s="23" t="s">
        <v>511</v>
      </c>
      <c r="AH267" s="23" t="s">
        <v>511</v>
      </c>
      <c r="AI267" s="24" t="s">
        <v>153</v>
      </c>
      <c r="AJ267" s="23" t="s">
        <v>511</v>
      </c>
      <c r="AK267" s="23" t="s">
        <v>511</v>
      </c>
      <c r="AL267" s="23" t="s">
        <v>511</v>
      </c>
      <c r="AM267" s="23" t="s">
        <v>511</v>
      </c>
      <c r="AN267" s="24" t="s">
        <v>156</v>
      </c>
      <c r="AO267" s="24" t="s">
        <v>156</v>
      </c>
      <c r="AP267" s="23">
        <f>VALUE(22)</f>
        <v>22</v>
      </c>
      <c r="AQ267" s="23">
        <f>VALUE(0)</f>
        <v>0</v>
      </c>
      <c r="AR267" s="23">
        <f>VALUE(0)</f>
        <v>0</v>
      </c>
      <c r="AS267" s="23">
        <f>VALUE(0)</f>
        <v>0</v>
      </c>
      <c r="AT267" s="23">
        <f>VALUE(0)</f>
        <v>0</v>
      </c>
      <c r="AU267" s="23">
        <f>VALUE(8)</f>
        <v>8</v>
      </c>
      <c r="AV267" s="23">
        <f>VALUE(0)</f>
        <v>0</v>
      </c>
      <c r="AW267" s="23">
        <f>VALUE(0)</f>
        <v>0</v>
      </c>
      <c r="AX267" s="23">
        <f>VALUE(0)</f>
        <v>0</v>
      </c>
      <c r="AY267" s="23">
        <f>VALUE(0)</f>
        <v>0</v>
      </c>
      <c r="AZ267" s="23">
        <f>VALUE(0)</f>
        <v>0</v>
      </c>
      <c r="BA267" s="23">
        <f>VALUE(0)</f>
        <v>0</v>
      </c>
      <c r="BB267" s="23">
        <f>VALUE(0)</f>
        <v>0</v>
      </c>
      <c r="BC267" s="23">
        <f>VALUE(0)</f>
        <v>0</v>
      </c>
      <c r="BD267" s="23">
        <f>VALUE(3)</f>
        <v>3</v>
      </c>
      <c r="BE267" s="23">
        <f>VALUE(0)</f>
        <v>0</v>
      </c>
      <c r="BF267" s="23">
        <f>VALUE(0)</f>
        <v>0</v>
      </c>
      <c r="BG267" s="23">
        <f>VALUE(0)</f>
        <v>0</v>
      </c>
      <c r="BH267" s="23">
        <f>VALUE(0)</f>
        <v>0</v>
      </c>
      <c r="BI267" s="23">
        <f>VALUE(0)</f>
        <v>0</v>
      </c>
      <c r="BJ267" s="23">
        <f>VALUE(0)</f>
        <v>0</v>
      </c>
      <c r="BK267" s="12">
        <f>$AX$267*24</f>
        <v>0</v>
      </c>
      <c r="BL267" s="12">
        <f>$AY$267*24</f>
        <v>0</v>
      </c>
      <c r="BM267" s="12">
        <f>$BJ$267*24</f>
        <v>0</v>
      </c>
      <c r="BN267" s="12">
        <f>VALUE($I$267)/100</f>
        <v>1</v>
      </c>
      <c r="BO267" s="12">
        <v>0</v>
      </c>
      <c r="BP267" s="12">
        <v>0</v>
      </c>
      <c r="BQ267" s="12">
        <v>0</v>
      </c>
      <c r="BR267" s="12">
        <v>3</v>
      </c>
      <c r="BS267" s="12">
        <v>0</v>
      </c>
      <c r="BT267" s="12">
        <v>0</v>
      </c>
      <c r="BU267" s="12">
        <v>0</v>
      </c>
      <c r="BV267" s="12">
        <v>0</v>
      </c>
      <c r="BW267" s="12">
        <v>0</v>
      </c>
      <c r="BX267" s="12">
        <v>0</v>
      </c>
      <c r="BY267" s="12">
        <v>0</v>
      </c>
      <c r="BZ267" s="12">
        <v>0</v>
      </c>
      <c r="CA267" s="12">
        <v>0</v>
      </c>
    </row>
    <row r="268" spans="1:79" ht="16.5" hidden="1" x14ac:dyDescent="0.2">
      <c r="A268" s="12" t="s">
        <v>137</v>
      </c>
      <c r="B268" s="12" t="s">
        <v>139</v>
      </c>
      <c r="C268" s="12" t="s">
        <v>139</v>
      </c>
      <c r="D268" s="22" t="s">
        <v>1279</v>
      </c>
      <c r="E268" s="22" t="s">
        <v>173</v>
      </c>
      <c r="F268" s="22" t="s">
        <v>1022</v>
      </c>
      <c r="G268" s="22" t="s">
        <v>1023</v>
      </c>
      <c r="H268" s="22" t="s">
        <v>150</v>
      </c>
      <c r="I268" s="22" t="s">
        <v>151</v>
      </c>
      <c r="J268" s="22" t="s">
        <v>162</v>
      </c>
      <c r="K268" s="22" t="s">
        <v>94</v>
      </c>
      <c r="L268" s="54" t="s">
        <v>153</v>
      </c>
      <c r="M268" s="32" t="s">
        <v>188</v>
      </c>
      <c r="N268" s="24" t="s">
        <v>153</v>
      </c>
      <c r="O268" s="32" t="s">
        <v>188</v>
      </c>
      <c r="P268" s="32" t="s">
        <v>188</v>
      </c>
      <c r="Q268" s="32" t="s">
        <v>188</v>
      </c>
      <c r="R268" s="32" t="s">
        <v>188</v>
      </c>
      <c r="S268" s="32" t="s">
        <v>188</v>
      </c>
      <c r="T268" s="32" t="s">
        <v>188</v>
      </c>
      <c r="U268" s="24" t="s">
        <v>153</v>
      </c>
      <c r="V268" s="54" t="s">
        <v>153</v>
      </c>
      <c r="W268" s="26" t="s">
        <v>1280</v>
      </c>
      <c r="X268" s="24" t="s">
        <v>156</v>
      </c>
      <c r="Y268" s="24" t="s">
        <v>156</v>
      </c>
      <c r="Z268" s="26" t="s">
        <v>1280</v>
      </c>
      <c r="AA268" s="26" t="s">
        <v>1280</v>
      </c>
      <c r="AB268" s="24" t="s">
        <v>153</v>
      </c>
      <c r="AC268" s="26" t="s">
        <v>1280</v>
      </c>
      <c r="AD268" s="26" t="s">
        <v>1280</v>
      </c>
      <c r="AE268" s="26" t="s">
        <v>1280</v>
      </c>
      <c r="AF268" s="26" t="s">
        <v>1280</v>
      </c>
      <c r="AG268" s="26" t="s">
        <v>1280</v>
      </c>
      <c r="AH268" s="26" t="s">
        <v>1280</v>
      </c>
      <c r="AI268" s="24" t="s">
        <v>153</v>
      </c>
      <c r="AJ268" s="26" t="s">
        <v>1280</v>
      </c>
      <c r="AK268" s="26" t="s">
        <v>1280</v>
      </c>
      <c r="AL268" s="26" t="s">
        <v>1280</v>
      </c>
      <c r="AM268" s="26" t="s">
        <v>1280</v>
      </c>
      <c r="AN268" s="26" t="s">
        <v>1280</v>
      </c>
      <c r="AO268" s="26" t="s">
        <v>1280</v>
      </c>
      <c r="AP268" s="23">
        <f>VALUE(0)</f>
        <v>0</v>
      </c>
      <c r="AQ268" s="23">
        <f>VALUE(0)</f>
        <v>0</v>
      </c>
      <c r="AR268" s="23">
        <f>VALUE(0)</f>
        <v>0</v>
      </c>
      <c r="AS268" s="23">
        <f>VALUE(0)</f>
        <v>0</v>
      </c>
      <c r="AT268" s="23">
        <f>VALUE(0)</f>
        <v>0</v>
      </c>
      <c r="AU268" s="23">
        <f>VALUE(0)</f>
        <v>0</v>
      </c>
      <c r="AV268" s="23">
        <f>VALUE(32)</f>
        <v>32</v>
      </c>
      <c r="AW268" s="23">
        <f>VALUE(0)</f>
        <v>0</v>
      </c>
      <c r="AX268" s="23" t="s">
        <v>520</v>
      </c>
      <c r="AY268" s="23" t="s">
        <v>1281</v>
      </c>
      <c r="AZ268" s="23">
        <f>VALUE(7)</f>
        <v>7</v>
      </c>
      <c r="BA268" s="23">
        <f>VALUE(0)</f>
        <v>0</v>
      </c>
      <c r="BB268" s="23">
        <f>VALUE(0)</f>
        <v>0</v>
      </c>
      <c r="BC268" s="23">
        <f>VALUE(0)</f>
        <v>0</v>
      </c>
      <c r="BD268" s="23">
        <f>VALUE(0)</f>
        <v>0</v>
      </c>
      <c r="BE268" s="23">
        <f>VALUE(0)</f>
        <v>0</v>
      </c>
      <c r="BF268" s="23">
        <f>VALUE(0)</f>
        <v>0</v>
      </c>
      <c r="BG268" s="23">
        <f>VALUE(0)</f>
        <v>0</v>
      </c>
      <c r="BH268" s="23">
        <f>VALUE(0)</f>
        <v>0</v>
      </c>
      <c r="BI268" s="23">
        <f>VALUE(0)</f>
        <v>0</v>
      </c>
      <c r="BJ268" s="23">
        <f>VALUE(0)</f>
        <v>0</v>
      </c>
      <c r="BK268" s="12">
        <f>$AX$268*24</f>
        <v>9.4833333333333325</v>
      </c>
      <c r="BL268" s="12">
        <f>$AY$268*24</f>
        <v>33.15</v>
      </c>
      <c r="BM268" s="12">
        <f>$BJ$268*24</f>
        <v>0</v>
      </c>
      <c r="BN268" s="12">
        <f>VALUE($I$268)/100</f>
        <v>1</v>
      </c>
      <c r="BO268" s="12">
        <v>0</v>
      </c>
      <c r="BP268" s="12">
        <v>0</v>
      </c>
      <c r="BQ268" s="12">
        <v>0</v>
      </c>
      <c r="BR268" s="12">
        <v>0</v>
      </c>
      <c r="BS268" s="12">
        <v>0</v>
      </c>
      <c r="BT268" s="12">
        <v>0</v>
      </c>
      <c r="BU268" s="12">
        <v>0</v>
      </c>
      <c r="BV268" s="12">
        <v>0</v>
      </c>
      <c r="BW268" s="12">
        <v>0</v>
      </c>
      <c r="BX268" s="12">
        <v>0</v>
      </c>
      <c r="BY268" s="12">
        <v>0</v>
      </c>
      <c r="BZ268" s="12">
        <v>0</v>
      </c>
      <c r="CA268" s="12">
        <v>0</v>
      </c>
    </row>
    <row r="269" spans="1:79" hidden="1" x14ac:dyDescent="0.2">
      <c r="A269" s="12" t="s">
        <v>137</v>
      </c>
      <c r="B269" s="12" t="s">
        <v>139</v>
      </c>
      <c r="C269" s="12" t="s">
        <v>139</v>
      </c>
      <c r="D269" s="22" t="s">
        <v>521</v>
      </c>
      <c r="E269" s="22" t="s">
        <v>173</v>
      </c>
      <c r="F269" s="22" t="s">
        <v>1024</v>
      </c>
      <c r="G269" s="22" t="s">
        <v>1025</v>
      </c>
      <c r="H269" s="22" t="s">
        <v>150</v>
      </c>
      <c r="I269" s="22" t="s">
        <v>151</v>
      </c>
      <c r="J269" s="22" t="s">
        <v>162</v>
      </c>
      <c r="K269" s="22" t="s">
        <v>94</v>
      </c>
      <c r="L269" s="54" t="s">
        <v>153</v>
      </c>
      <c r="M269" s="23" t="s">
        <v>511</v>
      </c>
      <c r="N269" s="24" t="s">
        <v>153</v>
      </c>
      <c r="O269" s="28" t="s">
        <v>163</v>
      </c>
      <c r="P269" s="28" t="s">
        <v>163</v>
      </c>
      <c r="Q269" s="28" t="s">
        <v>163</v>
      </c>
      <c r="R269" s="28" t="s">
        <v>163</v>
      </c>
      <c r="S269" s="28" t="s">
        <v>163</v>
      </c>
      <c r="T269" s="28" t="s">
        <v>163</v>
      </c>
      <c r="U269" s="24" t="s">
        <v>153</v>
      </c>
      <c r="V269" s="54" t="s">
        <v>153</v>
      </c>
      <c r="W269" s="23" t="s">
        <v>511</v>
      </c>
      <c r="X269" s="24" t="s">
        <v>156</v>
      </c>
      <c r="Y269" s="24" t="s">
        <v>156</v>
      </c>
      <c r="Z269" s="23" t="s">
        <v>511</v>
      </c>
      <c r="AA269" s="23" t="s">
        <v>511</v>
      </c>
      <c r="AB269" s="24" t="s">
        <v>153</v>
      </c>
      <c r="AC269" s="23" t="s">
        <v>511</v>
      </c>
      <c r="AD269" s="25" t="s">
        <v>511</v>
      </c>
      <c r="AE269" s="25" t="s">
        <v>511</v>
      </c>
      <c r="AF269" s="25" t="s">
        <v>511</v>
      </c>
      <c r="AG269" s="23" t="s">
        <v>514</v>
      </c>
      <c r="AH269" s="23" t="s">
        <v>514</v>
      </c>
      <c r="AI269" s="24" t="s">
        <v>153</v>
      </c>
      <c r="AJ269" s="23" t="s">
        <v>490</v>
      </c>
      <c r="AK269" s="23" t="s">
        <v>490</v>
      </c>
      <c r="AL269" s="23" t="s">
        <v>512</v>
      </c>
      <c r="AM269" s="23" t="s">
        <v>512</v>
      </c>
      <c r="AN269" s="23" t="s">
        <v>514</v>
      </c>
      <c r="AO269" s="23" t="s">
        <v>514</v>
      </c>
      <c r="AP269" s="23">
        <f>VALUE(0)</f>
        <v>0</v>
      </c>
      <c r="AQ269" s="23">
        <f>VALUE(0)</f>
        <v>0</v>
      </c>
      <c r="AR269" s="23">
        <f>VALUE(0)</f>
        <v>0</v>
      </c>
      <c r="AS269" s="23">
        <f>VALUE(0)</f>
        <v>0</v>
      </c>
      <c r="AT269" s="23">
        <f>VALUE(0)</f>
        <v>0</v>
      </c>
      <c r="AU269" s="23">
        <f>VALUE(6)</f>
        <v>6</v>
      </c>
      <c r="AV269" s="23">
        <f>VALUE(1)</f>
        <v>1</v>
      </c>
      <c r="AW269" s="23">
        <f>VALUE(0)</f>
        <v>0</v>
      </c>
      <c r="AX269" s="23" t="s">
        <v>515</v>
      </c>
      <c r="AY269" s="23" t="s">
        <v>523</v>
      </c>
      <c r="AZ269" s="23">
        <f>VALUE(0)</f>
        <v>0</v>
      </c>
      <c r="BA269" s="23">
        <f>VALUE(0)</f>
        <v>0</v>
      </c>
      <c r="BB269" s="23">
        <f>VALUE(0)</f>
        <v>0</v>
      </c>
      <c r="BC269" s="23">
        <f>VALUE(0)</f>
        <v>0</v>
      </c>
      <c r="BD269" s="23">
        <f>VALUE(0)</f>
        <v>0</v>
      </c>
      <c r="BE269" s="23">
        <f>VALUE(0)</f>
        <v>0</v>
      </c>
      <c r="BF269" s="23">
        <f>VALUE(0)</f>
        <v>0</v>
      </c>
      <c r="BG269" s="23">
        <f>VALUE(0)</f>
        <v>0</v>
      </c>
      <c r="BH269" s="23">
        <f>VALUE(0)</f>
        <v>0</v>
      </c>
      <c r="BI269" s="23">
        <f>VALUE(0)</f>
        <v>0</v>
      </c>
      <c r="BJ269" s="23">
        <f>VALUE(0)</f>
        <v>0</v>
      </c>
      <c r="BK269" s="12">
        <f>$AX$269*24</f>
        <v>5.1166666666666663</v>
      </c>
      <c r="BL269" s="12">
        <f>$AY$269*24</f>
        <v>4.3833333333333337</v>
      </c>
      <c r="BM269" s="12">
        <f>$BJ$269*24</f>
        <v>0</v>
      </c>
      <c r="BN269" s="12">
        <f>VALUE($I$269)/100</f>
        <v>1</v>
      </c>
      <c r="BO269" s="12">
        <v>0</v>
      </c>
      <c r="BP269" s="12">
        <v>0</v>
      </c>
      <c r="BQ269" s="12">
        <v>0</v>
      </c>
      <c r="BR269" s="12">
        <v>0</v>
      </c>
      <c r="BS269" s="12">
        <v>0</v>
      </c>
      <c r="BT269" s="12">
        <v>0</v>
      </c>
      <c r="BU269" s="12">
        <v>0</v>
      </c>
      <c r="BV269" s="12">
        <v>0</v>
      </c>
      <c r="BW269" s="12">
        <v>0</v>
      </c>
      <c r="BX269" s="12">
        <v>0</v>
      </c>
      <c r="BY269" s="12">
        <v>0</v>
      </c>
      <c r="BZ269" s="12">
        <v>0</v>
      </c>
      <c r="CA269" s="12">
        <v>0</v>
      </c>
    </row>
    <row r="270" spans="1:79" ht="15" hidden="1" x14ac:dyDescent="0.25">
      <c r="A270" s="12" t="s">
        <v>137</v>
      </c>
      <c r="B270" s="12" t="s">
        <v>139</v>
      </c>
      <c r="C270" s="12" t="s">
        <v>139</v>
      </c>
      <c r="D270" s="31" t="s">
        <v>202</v>
      </c>
      <c r="E270" s="31" t="s">
        <v>153</v>
      </c>
      <c r="F270" s="31" t="s">
        <v>175</v>
      </c>
      <c r="G270" s="31" t="s">
        <v>153</v>
      </c>
      <c r="H270" s="31" t="s">
        <v>153</v>
      </c>
      <c r="I270" s="31" t="s">
        <v>153</v>
      </c>
      <c r="J270" s="31" t="s">
        <v>153</v>
      </c>
      <c r="K270" s="31" t="s">
        <v>153</v>
      </c>
      <c r="L270" s="31">
        <f>VALUE(0)</f>
        <v>0</v>
      </c>
      <c r="M270" s="31">
        <f>VALUE(9)</f>
        <v>9</v>
      </c>
      <c r="N270" s="31">
        <f>VALUE(0)</f>
        <v>0</v>
      </c>
      <c r="O270" s="31">
        <f>VALUE(9)</f>
        <v>9</v>
      </c>
      <c r="P270" s="31">
        <f>VALUE(9)</f>
        <v>9</v>
      </c>
      <c r="Q270" s="31">
        <f>VALUE(9)</f>
        <v>9</v>
      </c>
      <c r="R270" s="31">
        <f>VALUE(8)</f>
        <v>8</v>
      </c>
      <c r="S270" s="31">
        <f>VALUE(7)</f>
        <v>7</v>
      </c>
      <c r="T270" s="31">
        <f>VALUE(7)</f>
        <v>7</v>
      </c>
      <c r="U270" s="31">
        <f>VALUE(0)</f>
        <v>0</v>
      </c>
      <c r="V270" s="31">
        <f>VALUE(0)</f>
        <v>0</v>
      </c>
      <c r="W270" s="31">
        <f>VALUE(7)</f>
        <v>7</v>
      </c>
      <c r="X270" s="31">
        <f>VALUE(7)</f>
        <v>7</v>
      </c>
      <c r="Y270" s="31">
        <f>VALUE(7)</f>
        <v>7</v>
      </c>
      <c r="Z270" s="31">
        <f>VALUE(8)</f>
        <v>8</v>
      </c>
      <c r="AA270" s="31">
        <f>VALUE(8)</f>
        <v>8</v>
      </c>
      <c r="AB270" s="31">
        <f>VALUE(0)</f>
        <v>0</v>
      </c>
      <c r="AC270" s="31">
        <f>VALUE(8)</f>
        <v>8</v>
      </c>
      <c r="AD270" s="31">
        <f>VALUE(9)</f>
        <v>9</v>
      </c>
      <c r="AE270" s="31">
        <f>VALUE(8)</f>
        <v>8</v>
      </c>
      <c r="AF270" s="31">
        <f>VALUE(8)</f>
        <v>8</v>
      </c>
      <c r="AG270" s="31">
        <f>VALUE(8)</f>
        <v>8</v>
      </c>
      <c r="AH270" s="31">
        <f>VALUE(8)</f>
        <v>8</v>
      </c>
      <c r="AI270" s="31">
        <f>VALUE(0)</f>
        <v>0</v>
      </c>
      <c r="AJ270" s="31">
        <f>VALUE(9)</f>
        <v>9</v>
      </c>
      <c r="AK270" s="31">
        <f>VALUE(9)</f>
        <v>9</v>
      </c>
      <c r="AL270" s="31">
        <f>VALUE(8)</f>
        <v>8</v>
      </c>
      <c r="AM270" s="31">
        <f>VALUE(8)</f>
        <v>8</v>
      </c>
      <c r="AN270" s="31">
        <f>VALUE(8)</f>
        <v>8</v>
      </c>
      <c r="AO270" s="31">
        <f>VALUE(8)</f>
        <v>8</v>
      </c>
      <c r="AP270" s="31">
        <v>0</v>
      </c>
      <c r="AQ270" s="31">
        <v>0</v>
      </c>
      <c r="AR270" s="31">
        <v>0</v>
      </c>
      <c r="AS270" s="31">
        <v>0</v>
      </c>
      <c r="AT270" s="31">
        <v>0</v>
      </c>
      <c r="AU270" s="31">
        <v>0</v>
      </c>
      <c r="AV270" s="31">
        <v>0</v>
      </c>
      <c r="AW270" s="31">
        <v>0</v>
      </c>
      <c r="AX270" s="31">
        <v>0</v>
      </c>
      <c r="AY270" s="31">
        <v>0</v>
      </c>
      <c r="AZ270" s="31">
        <v>0</v>
      </c>
      <c r="BA270" s="31">
        <v>0</v>
      </c>
      <c r="BB270" s="31">
        <v>0</v>
      </c>
      <c r="BC270" s="31">
        <v>0</v>
      </c>
      <c r="BD270" s="31">
        <v>0</v>
      </c>
      <c r="BE270" s="31">
        <v>0</v>
      </c>
      <c r="BF270" s="31">
        <v>0</v>
      </c>
      <c r="BG270" s="31">
        <v>0</v>
      </c>
      <c r="BH270" s="31">
        <v>0</v>
      </c>
      <c r="BI270" s="31">
        <v>0</v>
      </c>
      <c r="BJ270" s="31">
        <v>0</v>
      </c>
      <c r="BK270" s="12">
        <v>0</v>
      </c>
      <c r="BL270" s="12">
        <v>0</v>
      </c>
      <c r="BM270" s="12">
        <v>0</v>
      </c>
      <c r="BN270" s="12"/>
      <c r="BO270" s="12">
        <v>0</v>
      </c>
      <c r="BP270" s="12">
        <v>0</v>
      </c>
      <c r="BQ270" s="12">
        <v>0</v>
      </c>
      <c r="BR270" s="12">
        <v>0</v>
      </c>
      <c r="BS270" s="12">
        <v>0</v>
      </c>
      <c r="BT270" s="12">
        <v>0</v>
      </c>
      <c r="BU270" s="12">
        <v>0</v>
      </c>
      <c r="BV270" s="12">
        <v>0</v>
      </c>
      <c r="BW270" s="12">
        <v>0</v>
      </c>
      <c r="BX270" s="12">
        <v>0</v>
      </c>
      <c r="BY270" s="12">
        <v>0</v>
      </c>
      <c r="BZ270" s="12">
        <v>0</v>
      </c>
      <c r="CA270" s="12">
        <v>0</v>
      </c>
    </row>
    <row r="271" spans="1:79" hidden="1" x14ac:dyDescent="0.2">
      <c r="A271" s="12" t="s">
        <v>137</v>
      </c>
      <c r="B271" s="12" t="s">
        <v>140</v>
      </c>
      <c r="C271" s="12" t="s">
        <v>140</v>
      </c>
      <c r="D271" s="22" t="s">
        <v>513</v>
      </c>
      <c r="E271" s="22" t="s">
        <v>149</v>
      </c>
      <c r="F271" s="22" t="s">
        <v>1026</v>
      </c>
      <c r="G271" s="22" t="s">
        <v>1027</v>
      </c>
      <c r="H271" s="22" t="s">
        <v>150</v>
      </c>
      <c r="I271" s="22" t="s">
        <v>151</v>
      </c>
      <c r="J271" s="22" t="s">
        <v>524</v>
      </c>
      <c r="K271" s="22" t="s">
        <v>95</v>
      </c>
      <c r="L271" s="54" t="s">
        <v>153</v>
      </c>
      <c r="M271" s="32" t="s">
        <v>188</v>
      </c>
      <c r="N271" s="24" t="s">
        <v>153</v>
      </c>
      <c r="O271" s="32" t="s">
        <v>188</v>
      </c>
      <c r="P271" s="23" t="s">
        <v>459</v>
      </c>
      <c r="Q271" s="23" t="s">
        <v>459</v>
      </c>
      <c r="R271" s="23" t="s">
        <v>459</v>
      </c>
      <c r="S271" s="23" t="s">
        <v>459</v>
      </c>
      <c r="T271" s="23" t="s">
        <v>459</v>
      </c>
      <c r="U271" s="24" t="s">
        <v>153</v>
      </c>
      <c r="V271" s="54" t="s">
        <v>153</v>
      </c>
      <c r="W271" s="23" t="s">
        <v>459</v>
      </c>
      <c r="X271" s="23" t="s">
        <v>459</v>
      </c>
      <c r="Y271" s="23" t="s">
        <v>459</v>
      </c>
      <c r="Z271" s="24" t="s">
        <v>156</v>
      </c>
      <c r="AA271" s="24" t="s">
        <v>156</v>
      </c>
      <c r="AB271" s="24" t="s">
        <v>153</v>
      </c>
      <c r="AC271" s="23" t="s">
        <v>459</v>
      </c>
      <c r="AD271" s="23" t="s">
        <v>459</v>
      </c>
      <c r="AE271" s="23" t="s">
        <v>459</v>
      </c>
      <c r="AF271" s="23" t="s">
        <v>459</v>
      </c>
      <c r="AG271" s="23" t="s">
        <v>459</v>
      </c>
      <c r="AH271" s="23" t="s">
        <v>459</v>
      </c>
      <c r="AI271" s="24" t="s">
        <v>153</v>
      </c>
      <c r="AJ271" s="23" t="s">
        <v>459</v>
      </c>
      <c r="AK271" s="23" t="s">
        <v>459</v>
      </c>
      <c r="AL271" s="23" t="s">
        <v>459</v>
      </c>
      <c r="AM271" s="23" t="s">
        <v>459</v>
      </c>
      <c r="AN271" s="23" t="s">
        <v>459</v>
      </c>
      <c r="AO271" s="23" t="s">
        <v>459</v>
      </c>
      <c r="AP271" s="23">
        <f>VALUE(0)</f>
        <v>0</v>
      </c>
      <c r="AQ271" s="23">
        <f>VALUE(0)</f>
        <v>0</v>
      </c>
      <c r="AR271" s="23">
        <f>VALUE(0)</f>
        <v>0</v>
      </c>
      <c r="AS271" s="23">
        <f>VALUE(0)</f>
        <v>0</v>
      </c>
      <c r="AT271" s="23">
        <f>VALUE(0)</f>
        <v>0</v>
      </c>
      <c r="AU271" s="23">
        <f>VALUE(0)</f>
        <v>0</v>
      </c>
      <c r="AV271" s="23">
        <f>VALUE(11)</f>
        <v>11</v>
      </c>
      <c r="AW271" s="23">
        <f>VALUE(0)</f>
        <v>0</v>
      </c>
      <c r="AX271" s="23" t="s">
        <v>1282</v>
      </c>
      <c r="AY271" s="23" t="s">
        <v>176</v>
      </c>
      <c r="AZ271" s="23">
        <f>VALUE(2)</f>
        <v>2</v>
      </c>
      <c r="BA271" s="23">
        <f>VALUE(0)</f>
        <v>0</v>
      </c>
      <c r="BB271" s="23">
        <f>VALUE(0)</f>
        <v>0</v>
      </c>
      <c r="BC271" s="23">
        <f>VALUE(0)</f>
        <v>0</v>
      </c>
      <c r="BD271" s="23">
        <f>VALUE(0)</f>
        <v>0</v>
      </c>
      <c r="BE271" s="23">
        <f>VALUE(0)</f>
        <v>0</v>
      </c>
      <c r="BF271" s="23">
        <f>VALUE(0)</f>
        <v>0</v>
      </c>
      <c r="BG271" s="23">
        <f>VALUE(0)</f>
        <v>0</v>
      </c>
      <c r="BH271" s="23">
        <f>VALUE(0)</f>
        <v>0</v>
      </c>
      <c r="BI271" s="23">
        <f>VALUE(0)</f>
        <v>0</v>
      </c>
      <c r="BJ271" s="23">
        <f>VALUE(0)</f>
        <v>0</v>
      </c>
      <c r="BK271" s="12">
        <f>$AX$271*24</f>
        <v>1.8333333333333335</v>
      </c>
      <c r="BL271" s="12">
        <f>$AY$271*24</f>
        <v>0</v>
      </c>
      <c r="BM271" s="12">
        <f>$BJ$271*24</f>
        <v>0</v>
      </c>
      <c r="BN271" s="12">
        <f>VALUE($I$271)/100</f>
        <v>1</v>
      </c>
      <c r="BO271" s="12">
        <v>0</v>
      </c>
      <c r="BP271" s="12">
        <v>0</v>
      </c>
      <c r="BQ271" s="12">
        <v>0</v>
      </c>
      <c r="BR271" s="12">
        <v>0</v>
      </c>
      <c r="BS271" s="12">
        <v>0</v>
      </c>
      <c r="BT271" s="12">
        <v>0</v>
      </c>
      <c r="BU271" s="12">
        <v>0</v>
      </c>
      <c r="BV271" s="12">
        <v>0</v>
      </c>
      <c r="BW271" s="12">
        <v>0</v>
      </c>
      <c r="BX271" s="12">
        <v>0</v>
      </c>
      <c r="BY271" s="12">
        <v>0</v>
      </c>
      <c r="BZ271" s="12">
        <v>0</v>
      </c>
      <c r="CA271" s="12">
        <v>0</v>
      </c>
    </row>
    <row r="272" spans="1:79" ht="15" hidden="1" x14ac:dyDescent="0.25">
      <c r="A272" s="12" t="s">
        <v>137</v>
      </c>
      <c r="B272" s="12" t="s">
        <v>140</v>
      </c>
      <c r="C272" s="12" t="s">
        <v>140</v>
      </c>
      <c r="D272" s="31" t="s">
        <v>262</v>
      </c>
      <c r="E272" s="31" t="s">
        <v>153</v>
      </c>
      <c r="F272" s="31" t="s">
        <v>175</v>
      </c>
      <c r="G272" s="31" t="s">
        <v>153</v>
      </c>
      <c r="H272" s="31" t="s">
        <v>153</v>
      </c>
      <c r="I272" s="31" t="s">
        <v>153</v>
      </c>
      <c r="J272" s="31" t="s">
        <v>153</v>
      </c>
      <c r="K272" s="31" t="s">
        <v>153</v>
      </c>
      <c r="L272" s="31">
        <f>VALUE(0)</f>
        <v>0</v>
      </c>
      <c r="M272" s="31">
        <f>VALUE(0)</f>
        <v>0</v>
      </c>
      <c r="N272" s="31">
        <f>VALUE(0)</f>
        <v>0</v>
      </c>
      <c r="O272" s="31">
        <f>VALUE(0)</f>
        <v>0</v>
      </c>
      <c r="P272" s="31">
        <f>VALUE(1)</f>
        <v>1</v>
      </c>
      <c r="Q272" s="31">
        <f>VALUE(1)</f>
        <v>1</v>
      </c>
      <c r="R272" s="31">
        <f>VALUE(1)</f>
        <v>1</v>
      </c>
      <c r="S272" s="31">
        <f>VALUE(1)</f>
        <v>1</v>
      </c>
      <c r="T272" s="31">
        <f>VALUE(1)</f>
        <v>1</v>
      </c>
      <c r="U272" s="31">
        <f>VALUE(0)</f>
        <v>0</v>
      </c>
      <c r="V272" s="31">
        <f>VALUE(0)</f>
        <v>0</v>
      </c>
      <c r="W272" s="31">
        <f>VALUE(1)</f>
        <v>1</v>
      </c>
      <c r="X272" s="31">
        <f>VALUE(1)</f>
        <v>1</v>
      </c>
      <c r="Y272" s="31">
        <f>VALUE(1)</f>
        <v>1</v>
      </c>
      <c r="Z272" s="31">
        <f>VALUE(0)</f>
        <v>0</v>
      </c>
      <c r="AA272" s="31">
        <f>VALUE(0)</f>
        <v>0</v>
      </c>
      <c r="AB272" s="31">
        <f>VALUE(0)</f>
        <v>0</v>
      </c>
      <c r="AC272" s="31">
        <f>VALUE(1)</f>
        <v>1</v>
      </c>
      <c r="AD272" s="31">
        <f>VALUE(1)</f>
        <v>1</v>
      </c>
      <c r="AE272" s="31">
        <f>VALUE(1)</f>
        <v>1</v>
      </c>
      <c r="AF272" s="31">
        <f>VALUE(1)</f>
        <v>1</v>
      </c>
      <c r="AG272" s="31">
        <f>VALUE(1)</f>
        <v>1</v>
      </c>
      <c r="AH272" s="31">
        <f>VALUE(1)</f>
        <v>1</v>
      </c>
      <c r="AI272" s="31">
        <f>VALUE(0)</f>
        <v>0</v>
      </c>
      <c r="AJ272" s="31">
        <f>VALUE(1)</f>
        <v>1</v>
      </c>
      <c r="AK272" s="31">
        <f>VALUE(1)</f>
        <v>1</v>
      </c>
      <c r="AL272" s="31">
        <f>VALUE(1)</f>
        <v>1</v>
      </c>
      <c r="AM272" s="31">
        <f>VALUE(1)</f>
        <v>1</v>
      </c>
      <c r="AN272" s="31">
        <f>VALUE(1)</f>
        <v>1</v>
      </c>
      <c r="AO272" s="31">
        <f>VALUE(1)</f>
        <v>1</v>
      </c>
      <c r="AP272" s="31">
        <v>0</v>
      </c>
      <c r="AQ272" s="31">
        <v>0</v>
      </c>
      <c r="AR272" s="31">
        <v>0</v>
      </c>
      <c r="AS272" s="31">
        <v>0</v>
      </c>
      <c r="AT272" s="31">
        <v>0</v>
      </c>
      <c r="AU272" s="31">
        <v>0</v>
      </c>
      <c r="AV272" s="31">
        <v>0</v>
      </c>
      <c r="AW272" s="31">
        <v>0</v>
      </c>
      <c r="AX272" s="31">
        <v>0</v>
      </c>
      <c r="AY272" s="31">
        <v>0</v>
      </c>
      <c r="AZ272" s="31">
        <v>0</v>
      </c>
      <c r="BA272" s="31">
        <v>0</v>
      </c>
      <c r="BB272" s="31">
        <v>0</v>
      </c>
      <c r="BC272" s="31">
        <v>0</v>
      </c>
      <c r="BD272" s="31">
        <v>0</v>
      </c>
      <c r="BE272" s="31">
        <v>0</v>
      </c>
      <c r="BF272" s="31">
        <v>0</v>
      </c>
      <c r="BG272" s="31">
        <v>0</v>
      </c>
      <c r="BH272" s="31">
        <v>0</v>
      </c>
      <c r="BI272" s="31">
        <v>0</v>
      </c>
      <c r="BJ272" s="31">
        <v>0</v>
      </c>
      <c r="BK272" s="12">
        <v>0</v>
      </c>
      <c r="BL272" s="12">
        <v>0</v>
      </c>
      <c r="BM272" s="12">
        <v>0</v>
      </c>
      <c r="BN272" s="12"/>
      <c r="BO272" s="12">
        <v>0</v>
      </c>
      <c r="BP272" s="12">
        <v>0</v>
      </c>
      <c r="BQ272" s="12">
        <v>0</v>
      </c>
      <c r="BR272" s="12">
        <v>0</v>
      </c>
      <c r="BS272" s="12">
        <v>0</v>
      </c>
      <c r="BT272" s="12">
        <v>0</v>
      </c>
      <c r="BU272" s="12">
        <v>0</v>
      </c>
      <c r="BV272" s="12">
        <v>0</v>
      </c>
      <c r="BW272" s="12">
        <v>0</v>
      </c>
      <c r="BX272" s="12">
        <v>0</v>
      </c>
      <c r="BY272" s="12">
        <v>0</v>
      </c>
      <c r="BZ272" s="12">
        <v>0</v>
      </c>
      <c r="CA272" s="12">
        <v>0</v>
      </c>
    </row>
    <row r="273" spans="1:79" hidden="1" x14ac:dyDescent="0.2">
      <c r="A273" s="12" t="s">
        <v>141</v>
      </c>
      <c r="B273" s="12" t="s">
        <v>142</v>
      </c>
      <c r="C273" s="12" t="s">
        <v>142</v>
      </c>
      <c r="D273" s="22" t="s">
        <v>525</v>
      </c>
      <c r="E273" s="22" t="s">
        <v>161</v>
      </c>
      <c r="F273" s="22" t="s">
        <v>1028</v>
      </c>
      <c r="G273" s="22" t="s">
        <v>1029</v>
      </c>
      <c r="H273" s="22" t="s">
        <v>279</v>
      </c>
      <c r="I273" s="22" t="s">
        <v>151</v>
      </c>
      <c r="J273" s="22" t="s">
        <v>181</v>
      </c>
      <c r="K273" s="22" t="s">
        <v>96</v>
      </c>
      <c r="L273" s="54" t="s">
        <v>153</v>
      </c>
      <c r="M273" s="23" t="s">
        <v>153</v>
      </c>
      <c r="N273" s="24" t="s">
        <v>153</v>
      </c>
      <c r="O273" s="23" t="s">
        <v>153</v>
      </c>
      <c r="P273" s="23" t="s">
        <v>153</v>
      </c>
      <c r="Q273" s="23" t="s">
        <v>153</v>
      </c>
      <c r="R273" s="23" t="s">
        <v>153</v>
      </c>
      <c r="S273" s="23" t="s">
        <v>153</v>
      </c>
      <c r="T273" s="23" t="s">
        <v>153</v>
      </c>
      <c r="U273" s="24" t="s">
        <v>153</v>
      </c>
      <c r="V273" s="54" t="s">
        <v>153</v>
      </c>
      <c r="W273" s="27" t="s">
        <v>153</v>
      </c>
      <c r="X273" s="27" t="s">
        <v>153</v>
      </c>
      <c r="Y273" s="27" t="s">
        <v>153</v>
      </c>
      <c r="Z273" s="27" t="s">
        <v>153</v>
      </c>
      <c r="AA273" s="27" t="s">
        <v>153</v>
      </c>
      <c r="AB273" s="24" t="s">
        <v>153</v>
      </c>
      <c r="AC273" s="27" t="s">
        <v>153</v>
      </c>
      <c r="AD273" s="27" t="s">
        <v>153</v>
      </c>
      <c r="AE273" s="27" t="s">
        <v>153</v>
      </c>
      <c r="AF273" s="27" t="s">
        <v>153</v>
      </c>
      <c r="AG273" s="27" t="s">
        <v>153</v>
      </c>
      <c r="AH273" s="27" t="s">
        <v>153</v>
      </c>
      <c r="AI273" s="24" t="s">
        <v>153</v>
      </c>
      <c r="AJ273" s="27" t="s">
        <v>153</v>
      </c>
      <c r="AK273" s="27" t="s">
        <v>153</v>
      </c>
      <c r="AL273" s="27" t="s">
        <v>153</v>
      </c>
      <c r="AM273" s="27" t="s">
        <v>153</v>
      </c>
      <c r="AN273" s="27" t="s">
        <v>153</v>
      </c>
      <c r="AO273" s="27" t="s">
        <v>153</v>
      </c>
      <c r="AP273" s="23">
        <f>VALUE(0)</f>
        <v>0</v>
      </c>
      <c r="AQ273" s="23">
        <f>VALUE(0)</f>
        <v>0</v>
      </c>
      <c r="AR273" s="23">
        <f>VALUE(0)</f>
        <v>0</v>
      </c>
      <c r="AS273" s="23">
        <f>VALUE(0)</f>
        <v>0</v>
      </c>
      <c r="AT273" s="23">
        <f>VALUE(0)</f>
        <v>0</v>
      </c>
      <c r="AU273" s="23">
        <f>VALUE(0)</f>
        <v>0</v>
      </c>
      <c r="AV273" s="23">
        <f>VALUE(0)</f>
        <v>0</v>
      </c>
      <c r="AW273" s="23">
        <f>VALUE(0)</f>
        <v>0</v>
      </c>
      <c r="AX273" s="23">
        <f>VALUE(0)</f>
        <v>0</v>
      </c>
      <c r="AY273" s="23">
        <f>VALUE(0)</f>
        <v>0</v>
      </c>
      <c r="AZ273" s="23">
        <f>VALUE(0)</f>
        <v>0</v>
      </c>
      <c r="BA273" s="23">
        <f>VALUE(0)</f>
        <v>0</v>
      </c>
      <c r="BB273" s="23">
        <f>VALUE(0)</f>
        <v>0</v>
      </c>
      <c r="BC273" s="23">
        <f>VALUE(0)</f>
        <v>0</v>
      </c>
      <c r="BD273" s="23">
        <f>VALUE(0)</f>
        <v>0</v>
      </c>
      <c r="BE273" s="23">
        <f>VALUE(0)</f>
        <v>0</v>
      </c>
      <c r="BF273" s="23">
        <f>VALUE(0)</f>
        <v>0</v>
      </c>
      <c r="BG273" s="23">
        <f>VALUE(0)</f>
        <v>0</v>
      </c>
      <c r="BH273" s="23">
        <f>VALUE(0)</f>
        <v>0</v>
      </c>
      <c r="BI273" s="23">
        <f>VALUE(0)</f>
        <v>0</v>
      </c>
      <c r="BJ273" s="23">
        <f>VALUE(0)</f>
        <v>0</v>
      </c>
      <c r="BK273" s="12">
        <f>$AX$273*24</f>
        <v>0</v>
      </c>
      <c r="BL273" s="12">
        <f>$AY$273*24</f>
        <v>0</v>
      </c>
      <c r="BM273" s="12">
        <f>$BJ$273*24</f>
        <v>0</v>
      </c>
      <c r="BN273" s="12">
        <f>VALUE($I$273)/100</f>
        <v>1</v>
      </c>
      <c r="BO273" s="12">
        <v>0</v>
      </c>
      <c r="BP273" s="12">
        <v>0</v>
      </c>
      <c r="BQ273" s="12">
        <v>0</v>
      </c>
      <c r="BR273" s="12">
        <v>0</v>
      </c>
      <c r="BS273" s="12">
        <v>0</v>
      </c>
      <c r="BT273" s="12">
        <v>0</v>
      </c>
      <c r="BU273" s="12">
        <v>0</v>
      </c>
      <c r="BV273" s="12">
        <v>0</v>
      </c>
      <c r="BW273" s="12">
        <v>0</v>
      </c>
      <c r="BX273" s="12">
        <v>0</v>
      </c>
      <c r="BY273" s="12">
        <v>0</v>
      </c>
      <c r="BZ273" s="12">
        <v>0</v>
      </c>
      <c r="CA273" s="12">
        <v>0</v>
      </c>
    </row>
    <row r="274" spans="1:79" ht="16.5" hidden="1" x14ac:dyDescent="0.2">
      <c r="A274" s="12" t="s">
        <v>141</v>
      </c>
      <c r="B274" s="12" t="s">
        <v>142</v>
      </c>
      <c r="C274" s="12" t="s">
        <v>142</v>
      </c>
      <c r="D274" s="22" t="s">
        <v>525</v>
      </c>
      <c r="E274" s="22" t="s">
        <v>161</v>
      </c>
      <c r="F274" s="22" t="s">
        <v>1030</v>
      </c>
      <c r="G274" s="22" t="s">
        <v>1031</v>
      </c>
      <c r="H274" s="22" t="s">
        <v>150</v>
      </c>
      <c r="I274" s="22" t="s">
        <v>151</v>
      </c>
      <c r="J274" s="22" t="s">
        <v>181</v>
      </c>
      <c r="K274" s="22" t="s">
        <v>96</v>
      </c>
      <c r="L274" s="54" t="s">
        <v>153</v>
      </c>
      <c r="M274" s="32" t="s">
        <v>188</v>
      </c>
      <c r="N274" s="24" t="s">
        <v>153</v>
      </c>
      <c r="O274" s="32" t="s">
        <v>188</v>
      </c>
      <c r="P274" s="32" t="s">
        <v>188</v>
      </c>
      <c r="Q274" s="32" t="s">
        <v>188</v>
      </c>
      <c r="R274" s="32" t="s">
        <v>188</v>
      </c>
      <c r="S274" s="32" t="s">
        <v>188</v>
      </c>
      <c r="T274" s="32" t="s">
        <v>188</v>
      </c>
      <c r="U274" s="24" t="s">
        <v>153</v>
      </c>
      <c r="V274" s="54" t="s">
        <v>156</v>
      </c>
      <c r="W274" s="24" t="s">
        <v>156</v>
      </c>
      <c r="X274" s="23" t="s">
        <v>153</v>
      </c>
      <c r="Y274" s="23" t="s">
        <v>153</v>
      </c>
      <c r="Z274" s="23" t="s">
        <v>153</v>
      </c>
      <c r="AA274" s="26" t="s">
        <v>1283</v>
      </c>
      <c r="AB274" s="24" t="s">
        <v>153</v>
      </c>
      <c r="AC274" s="23" t="s">
        <v>153</v>
      </c>
      <c r="AD274" s="23" t="s">
        <v>153</v>
      </c>
      <c r="AE274" s="23" t="s">
        <v>153</v>
      </c>
      <c r="AF274" s="23" t="s">
        <v>153</v>
      </c>
      <c r="AG274" s="23" t="s">
        <v>153</v>
      </c>
      <c r="AH274" s="26" t="s">
        <v>1283</v>
      </c>
      <c r="AI274" s="24" t="s">
        <v>153</v>
      </c>
      <c r="AJ274" s="23" t="s">
        <v>153</v>
      </c>
      <c r="AK274" s="23" t="s">
        <v>153</v>
      </c>
      <c r="AL274" s="23" t="s">
        <v>153</v>
      </c>
      <c r="AM274" s="23" t="s">
        <v>153</v>
      </c>
      <c r="AN274" s="23" t="s">
        <v>153</v>
      </c>
      <c r="AO274" s="26" t="s">
        <v>1283</v>
      </c>
      <c r="AP274" s="23">
        <f>VALUE(0)</f>
        <v>0</v>
      </c>
      <c r="AQ274" s="23">
        <f>VALUE(0)</f>
        <v>0</v>
      </c>
      <c r="AR274" s="23">
        <f>VALUE(0)</f>
        <v>0</v>
      </c>
      <c r="AS274" s="23">
        <f>VALUE(0)</f>
        <v>0</v>
      </c>
      <c r="AT274" s="23">
        <f>VALUE(0)</f>
        <v>0</v>
      </c>
      <c r="AU274" s="23">
        <f>VALUE(0)</f>
        <v>0</v>
      </c>
      <c r="AV274" s="23">
        <f>VALUE(32)</f>
        <v>32</v>
      </c>
      <c r="AW274" s="23">
        <f>VALUE(0)</f>
        <v>0</v>
      </c>
      <c r="AX274" s="23" t="s">
        <v>171</v>
      </c>
      <c r="AY274" s="23" t="s">
        <v>586</v>
      </c>
      <c r="AZ274" s="23">
        <f>VALUE(7)</f>
        <v>7</v>
      </c>
      <c r="BA274" s="23">
        <f>VALUE(0)</f>
        <v>0</v>
      </c>
      <c r="BB274" s="23">
        <f>VALUE(0)</f>
        <v>0</v>
      </c>
      <c r="BC274" s="23">
        <f>VALUE(0)</f>
        <v>0</v>
      </c>
      <c r="BD274" s="23">
        <f>VALUE(0)</f>
        <v>0</v>
      </c>
      <c r="BE274" s="23">
        <f>VALUE(0)</f>
        <v>0</v>
      </c>
      <c r="BF274" s="23">
        <f>VALUE(0)</f>
        <v>0</v>
      </c>
      <c r="BG274" s="23">
        <f>VALUE(0)</f>
        <v>0</v>
      </c>
      <c r="BH274" s="23">
        <f>VALUE(0)</f>
        <v>0</v>
      </c>
      <c r="BI274" s="23">
        <f>VALUE(0)</f>
        <v>0</v>
      </c>
      <c r="BJ274" s="23">
        <f>VALUE(0)</f>
        <v>0</v>
      </c>
      <c r="BK274" s="12">
        <f>$AX$274*24</f>
        <v>5.833333333333333</v>
      </c>
      <c r="BL274" s="12">
        <f>$AY$274*24</f>
        <v>6.2333333333333343</v>
      </c>
      <c r="BM274" s="12">
        <f>$BJ$274*24</f>
        <v>0</v>
      </c>
      <c r="BN274" s="12">
        <f>VALUE($I$274)/100</f>
        <v>1</v>
      </c>
      <c r="BO274" s="12">
        <v>0</v>
      </c>
      <c r="BP274" s="12">
        <v>0</v>
      </c>
      <c r="BQ274" s="12">
        <v>0</v>
      </c>
      <c r="BR274" s="12">
        <v>0</v>
      </c>
      <c r="BS274" s="12">
        <v>0</v>
      </c>
      <c r="BT274" s="12">
        <v>0</v>
      </c>
      <c r="BU274" s="12">
        <v>0</v>
      </c>
      <c r="BV274" s="12">
        <v>0</v>
      </c>
      <c r="BW274" s="12">
        <v>0</v>
      </c>
      <c r="BX274" s="12">
        <v>0</v>
      </c>
      <c r="BY274" s="12">
        <v>0</v>
      </c>
      <c r="BZ274" s="12">
        <v>0</v>
      </c>
      <c r="CA274" s="12">
        <v>0</v>
      </c>
    </row>
    <row r="275" spans="1:79" ht="16.5" hidden="1" x14ac:dyDescent="0.2">
      <c r="A275" s="12" t="s">
        <v>141</v>
      </c>
      <c r="B275" s="12" t="s">
        <v>142</v>
      </c>
      <c r="C275" s="12" t="s">
        <v>142</v>
      </c>
      <c r="D275" s="22" t="s">
        <v>182</v>
      </c>
      <c r="E275" s="22" t="s">
        <v>161</v>
      </c>
      <c r="F275" s="22" t="s">
        <v>1032</v>
      </c>
      <c r="G275" s="22" t="s">
        <v>1033</v>
      </c>
      <c r="H275" s="22" t="s">
        <v>150</v>
      </c>
      <c r="I275" s="22" t="s">
        <v>151</v>
      </c>
      <c r="J275" s="22" t="s">
        <v>181</v>
      </c>
      <c r="K275" s="22" t="s">
        <v>96</v>
      </c>
      <c r="L275" s="54" t="s">
        <v>153</v>
      </c>
      <c r="M275" s="26" t="s">
        <v>526</v>
      </c>
      <c r="N275" s="24" t="s">
        <v>153</v>
      </c>
      <c r="O275" s="23" t="s">
        <v>153</v>
      </c>
      <c r="P275" s="23" t="s">
        <v>153</v>
      </c>
      <c r="Q275" s="23" t="s">
        <v>153</v>
      </c>
      <c r="R275" s="23" t="s">
        <v>153</v>
      </c>
      <c r="S275" s="23" t="s">
        <v>153</v>
      </c>
      <c r="T275" s="24" t="s">
        <v>156</v>
      </c>
      <c r="U275" s="24" t="s">
        <v>153</v>
      </c>
      <c r="V275" s="54" t="s">
        <v>153</v>
      </c>
      <c r="W275" s="23" t="s">
        <v>153</v>
      </c>
      <c r="X275" s="23" t="s">
        <v>153</v>
      </c>
      <c r="Y275" s="23" t="s">
        <v>153</v>
      </c>
      <c r="Z275" s="28" t="s">
        <v>163</v>
      </c>
      <c r="AA275" s="28" t="s">
        <v>163</v>
      </c>
      <c r="AB275" s="24" t="s">
        <v>153</v>
      </c>
      <c r="AC275" s="28" t="s">
        <v>163</v>
      </c>
      <c r="AD275" s="28" t="s">
        <v>163</v>
      </c>
      <c r="AE275" s="23" t="s">
        <v>153</v>
      </c>
      <c r="AF275" s="23" t="s">
        <v>153</v>
      </c>
      <c r="AG275" s="23" t="s">
        <v>153</v>
      </c>
      <c r="AH275" s="24" t="s">
        <v>156</v>
      </c>
      <c r="AI275" s="24" t="s">
        <v>153</v>
      </c>
      <c r="AJ275" s="23" t="s">
        <v>153</v>
      </c>
      <c r="AK275" s="23" t="s">
        <v>153</v>
      </c>
      <c r="AL275" s="23" t="s">
        <v>153</v>
      </c>
      <c r="AM275" s="23" t="s">
        <v>153</v>
      </c>
      <c r="AN275" s="23" t="s">
        <v>153</v>
      </c>
      <c r="AO275" s="26" t="s">
        <v>526</v>
      </c>
      <c r="AP275" s="23">
        <f>VALUE(0)</f>
        <v>0</v>
      </c>
      <c r="AQ275" s="23">
        <f>VALUE(0)</f>
        <v>0</v>
      </c>
      <c r="AR275" s="23">
        <f>VALUE(0)</f>
        <v>0</v>
      </c>
      <c r="AS275" s="23">
        <f>VALUE(0)</f>
        <v>0</v>
      </c>
      <c r="AT275" s="23">
        <f>VALUE(0)</f>
        <v>0</v>
      </c>
      <c r="AU275" s="23">
        <f>VALUE(4)</f>
        <v>4</v>
      </c>
      <c r="AV275" s="23">
        <f>VALUE(1)</f>
        <v>1</v>
      </c>
      <c r="AW275" s="23">
        <f>VALUE(0)</f>
        <v>0</v>
      </c>
      <c r="AX275" s="23" t="s">
        <v>176</v>
      </c>
      <c r="AY275" s="23" t="s">
        <v>408</v>
      </c>
      <c r="AZ275" s="23">
        <f>VALUE(0)</f>
        <v>0</v>
      </c>
      <c r="BA275" s="23">
        <f>VALUE(0)</f>
        <v>0</v>
      </c>
      <c r="BB275" s="23">
        <f>VALUE(0)</f>
        <v>0</v>
      </c>
      <c r="BC275" s="23">
        <f>VALUE(0)</f>
        <v>0</v>
      </c>
      <c r="BD275" s="23">
        <f>VALUE(0)</f>
        <v>0</v>
      </c>
      <c r="BE275" s="23">
        <f>VALUE(0)</f>
        <v>0</v>
      </c>
      <c r="BF275" s="23">
        <f>VALUE(0)</f>
        <v>0</v>
      </c>
      <c r="BG275" s="23">
        <f>VALUE(0)</f>
        <v>0</v>
      </c>
      <c r="BH275" s="23">
        <f>VALUE(0)</f>
        <v>0</v>
      </c>
      <c r="BI275" s="23">
        <f>VALUE(0)</f>
        <v>0</v>
      </c>
      <c r="BJ275" s="23">
        <f>VALUE(0)</f>
        <v>0</v>
      </c>
      <c r="BK275" s="12">
        <f>$AX$275*24</f>
        <v>0</v>
      </c>
      <c r="BL275" s="12">
        <f>$AY$275*24</f>
        <v>10.75</v>
      </c>
      <c r="BM275" s="12">
        <f>$BJ$275*24</f>
        <v>0</v>
      </c>
      <c r="BN275" s="12">
        <f>VALUE($I$275)/100</f>
        <v>1</v>
      </c>
      <c r="BO275" s="12">
        <v>0</v>
      </c>
      <c r="BP275" s="12">
        <v>0</v>
      </c>
      <c r="BQ275" s="12">
        <v>0</v>
      </c>
      <c r="BR275" s="12">
        <v>0</v>
      </c>
      <c r="BS275" s="12">
        <v>0</v>
      </c>
      <c r="BT275" s="12">
        <v>0</v>
      </c>
      <c r="BU275" s="12">
        <v>0</v>
      </c>
      <c r="BV275" s="12">
        <v>0</v>
      </c>
      <c r="BW275" s="12">
        <v>0</v>
      </c>
      <c r="BX275" s="12">
        <v>0</v>
      </c>
      <c r="BY275" s="12">
        <v>0</v>
      </c>
      <c r="BZ275" s="12">
        <v>0</v>
      </c>
      <c r="CA275" s="12">
        <v>0</v>
      </c>
    </row>
    <row r="276" spans="1:79" ht="16.5" hidden="1" x14ac:dyDescent="0.2">
      <c r="A276" s="12" t="s">
        <v>141</v>
      </c>
      <c r="B276" s="12" t="s">
        <v>142</v>
      </c>
      <c r="C276" s="12" t="s">
        <v>142</v>
      </c>
      <c r="D276" s="22" t="s">
        <v>185</v>
      </c>
      <c r="E276" s="22" t="s">
        <v>161</v>
      </c>
      <c r="F276" s="22" t="s">
        <v>1284</v>
      </c>
      <c r="G276" s="22" t="s">
        <v>1034</v>
      </c>
      <c r="H276" s="22" t="s">
        <v>166</v>
      </c>
      <c r="I276" s="22" t="s">
        <v>151</v>
      </c>
      <c r="J276" s="22" t="s">
        <v>181</v>
      </c>
      <c r="K276" s="22" t="s">
        <v>96</v>
      </c>
      <c r="L276" s="54" t="s">
        <v>153</v>
      </c>
      <c r="M276" s="24" t="s">
        <v>156</v>
      </c>
      <c r="N276" s="24" t="s">
        <v>153</v>
      </c>
      <c r="O276" s="28" t="s">
        <v>163</v>
      </c>
      <c r="P276" s="23" t="s">
        <v>153</v>
      </c>
      <c r="Q276" s="23" t="s">
        <v>153</v>
      </c>
      <c r="R276" s="23" t="s">
        <v>153</v>
      </c>
      <c r="S276" s="23" t="s">
        <v>153</v>
      </c>
      <c r="T276" s="26" t="s">
        <v>527</v>
      </c>
      <c r="U276" s="24" t="s">
        <v>153</v>
      </c>
      <c r="V276" s="54" t="s">
        <v>153</v>
      </c>
      <c r="W276" s="23" t="s">
        <v>153</v>
      </c>
      <c r="X276" s="23" t="s">
        <v>153</v>
      </c>
      <c r="Y276" s="23" t="s">
        <v>153</v>
      </c>
      <c r="Z276" s="23" t="s">
        <v>153</v>
      </c>
      <c r="AA276" s="24" t="s">
        <v>156</v>
      </c>
      <c r="AB276" s="24" t="s">
        <v>153</v>
      </c>
      <c r="AC276" s="28" t="s">
        <v>163</v>
      </c>
      <c r="AD276" s="28" t="s">
        <v>163</v>
      </c>
      <c r="AE276" s="28" t="s">
        <v>163</v>
      </c>
      <c r="AF276" s="28" t="s">
        <v>163</v>
      </c>
      <c r="AG276" s="28" t="s">
        <v>163</v>
      </c>
      <c r="AH276" s="28" t="s">
        <v>163</v>
      </c>
      <c r="AI276" s="24" t="s">
        <v>153</v>
      </c>
      <c r="AJ276" s="23" t="s">
        <v>153</v>
      </c>
      <c r="AK276" s="23" t="s">
        <v>153</v>
      </c>
      <c r="AL276" s="23" t="s">
        <v>153</v>
      </c>
      <c r="AM276" s="23" t="s">
        <v>153</v>
      </c>
      <c r="AN276" s="23" t="s">
        <v>153</v>
      </c>
      <c r="AO276" s="24" t="s">
        <v>156</v>
      </c>
      <c r="AP276" s="23">
        <f>VALUE(0)</f>
        <v>0</v>
      </c>
      <c r="AQ276" s="23">
        <f>VALUE(0)</f>
        <v>0</v>
      </c>
      <c r="AR276" s="23">
        <f>VALUE(0)</f>
        <v>0</v>
      </c>
      <c r="AS276" s="23">
        <f>VALUE(0)</f>
        <v>0</v>
      </c>
      <c r="AT276" s="23">
        <f>VALUE(0)</f>
        <v>0</v>
      </c>
      <c r="AU276" s="23">
        <f>VALUE(7)</f>
        <v>7</v>
      </c>
      <c r="AV276" s="23">
        <f>VALUE(1)</f>
        <v>1</v>
      </c>
      <c r="AW276" s="23">
        <f>VALUE(0)</f>
        <v>0</v>
      </c>
      <c r="AX276" s="23" t="s">
        <v>1285</v>
      </c>
      <c r="AY276" s="23">
        <f>VALUE(0)</f>
        <v>0</v>
      </c>
      <c r="AZ276" s="23">
        <f>VALUE(0)</f>
        <v>0</v>
      </c>
      <c r="BA276" s="23">
        <f>VALUE(0)</f>
        <v>0</v>
      </c>
      <c r="BB276" s="23">
        <f>VALUE(0)</f>
        <v>0</v>
      </c>
      <c r="BC276" s="23">
        <f>VALUE(0)</f>
        <v>0</v>
      </c>
      <c r="BD276" s="23">
        <f>VALUE(0)</f>
        <v>0</v>
      </c>
      <c r="BE276" s="23">
        <f>VALUE(0)</f>
        <v>0</v>
      </c>
      <c r="BF276" s="23">
        <f>VALUE(0)</f>
        <v>0</v>
      </c>
      <c r="BG276" s="23">
        <f>VALUE(0)</f>
        <v>0</v>
      </c>
      <c r="BH276" s="23">
        <f>VALUE(0)</f>
        <v>0</v>
      </c>
      <c r="BI276" s="23">
        <f>VALUE(0)</f>
        <v>0</v>
      </c>
      <c r="BJ276" s="23">
        <f>VALUE(0)</f>
        <v>0</v>
      </c>
      <c r="BK276" s="12">
        <f>$AX$276*24</f>
        <v>17.016666666666666</v>
      </c>
      <c r="BL276" s="12">
        <f>$AY$276*24</f>
        <v>0</v>
      </c>
      <c r="BM276" s="12">
        <f>$BJ$276*24</f>
        <v>0</v>
      </c>
      <c r="BN276" s="12">
        <f>VALUE($I$276)/100</f>
        <v>1</v>
      </c>
      <c r="BO276" s="12">
        <v>0</v>
      </c>
      <c r="BP276" s="12">
        <v>0</v>
      </c>
      <c r="BQ276" s="12">
        <v>0</v>
      </c>
      <c r="BR276" s="12">
        <v>0</v>
      </c>
      <c r="BS276" s="12">
        <v>0</v>
      </c>
      <c r="BT276" s="12">
        <v>0</v>
      </c>
      <c r="BU276" s="12">
        <v>0</v>
      </c>
      <c r="BV276" s="12">
        <v>0</v>
      </c>
      <c r="BW276" s="12">
        <v>0</v>
      </c>
      <c r="BX276" s="12">
        <v>0</v>
      </c>
      <c r="BY276" s="12">
        <v>0</v>
      </c>
      <c r="BZ276" s="12">
        <v>0</v>
      </c>
      <c r="CA276" s="12">
        <v>0</v>
      </c>
    </row>
    <row r="277" spans="1:79" ht="15" hidden="1" x14ac:dyDescent="0.25">
      <c r="A277" s="12" t="s">
        <v>141</v>
      </c>
      <c r="B277" s="12" t="s">
        <v>142</v>
      </c>
      <c r="C277" s="12" t="s">
        <v>142</v>
      </c>
      <c r="D277" s="31" t="s">
        <v>355</v>
      </c>
      <c r="E277" s="31" t="s">
        <v>153</v>
      </c>
      <c r="F277" s="31" t="s">
        <v>175</v>
      </c>
      <c r="G277" s="31" t="s">
        <v>153</v>
      </c>
      <c r="H277" s="31" t="s">
        <v>153</v>
      </c>
      <c r="I277" s="31" t="s">
        <v>153</v>
      </c>
      <c r="J277" s="31" t="s">
        <v>153</v>
      </c>
      <c r="K277" s="31" t="s">
        <v>153</v>
      </c>
      <c r="L277" s="31">
        <f>VALUE(0)</f>
        <v>0</v>
      </c>
      <c r="M277" s="31">
        <f>VALUE(2)</f>
        <v>2</v>
      </c>
      <c r="N277" s="31">
        <f>VALUE(0)</f>
        <v>0</v>
      </c>
      <c r="O277" s="31">
        <f>VALUE(2)</f>
        <v>2</v>
      </c>
      <c r="P277" s="31">
        <f>VALUE(3)</f>
        <v>3</v>
      </c>
      <c r="Q277" s="31">
        <f>VALUE(3)</f>
        <v>3</v>
      </c>
      <c r="R277" s="31">
        <f>VALUE(3)</f>
        <v>3</v>
      </c>
      <c r="S277" s="31">
        <f>VALUE(3)</f>
        <v>3</v>
      </c>
      <c r="T277" s="31">
        <f>VALUE(2)</f>
        <v>2</v>
      </c>
      <c r="U277" s="31">
        <f>VALUE(0)</f>
        <v>0</v>
      </c>
      <c r="V277" s="31">
        <f>VALUE(0)</f>
        <v>0</v>
      </c>
      <c r="W277" s="31">
        <f>VALUE(2)</f>
        <v>2</v>
      </c>
      <c r="X277" s="31">
        <f>VALUE(3)</f>
        <v>3</v>
      </c>
      <c r="Y277" s="31">
        <f>VALUE(3)</f>
        <v>3</v>
      </c>
      <c r="Z277" s="31">
        <f>VALUE(2)</f>
        <v>2</v>
      </c>
      <c r="AA277" s="31">
        <f>VALUE(1)</f>
        <v>1</v>
      </c>
      <c r="AB277" s="31">
        <f>VALUE(0)</f>
        <v>0</v>
      </c>
      <c r="AC277" s="31">
        <f>VALUE(1)</f>
        <v>1</v>
      </c>
      <c r="AD277" s="31">
        <f>VALUE(1)</f>
        <v>1</v>
      </c>
      <c r="AE277" s="31">
        <f>VALUE(2)</f>
        <v>2</v>
      </c>
      <c r="AF277" s="31">
        <f>VALUE(2)</f>
        <v>2</v>
      </c>
      <c r="AG277" s="31">
        <f>VALUE(2)</f>
        <v>2</v>
      </c>
      <c r="AH277" s="31">
        <f>VALUE(1)</f>
        <v>1</v>
      </c>
      <c r="AI277" s="31">
        <f>VALUE(0)</f>
        <v>0</v>
      </c>
      <c r="AJ277" s="31">
        <f>VALUE(3)</f>
        <v>3</v>
      </c>
      <c r="AK277" s="31">
        <f>VALUE(3)</f>
        <v>3</v>
      </c>
      <c r="AL277" s="31">
        <f>VALUE(3)</f>
        <v>3</v>
      </c>
      <c r="AM277" s="31">
        <f>VALUE(3)</f>
        <v>3</v>
      </c>
      <c r="AN277" s="31">
        <f>VALUE(3)</f>
        <v>3</v>
      </c>
      <c r="AO277" s="31">
        <f>VALUE(2)</f>
        <v>2</v>
      </c>
      <c r="AP277" s="31">
        <v>0</v>
      </c>
      <c r="AQ277" s="31">
        <v>0</v>
      </c>
      <c r="AR277" s="31">
        <v>0</v>
      </c>
      <c r="AS277" s="31">
        <v>0</v>
      </c>
      <c r="AT277" s="31">
        <v>0</v>
      </c>
      <c r="AU277" s="31">
        <v>0</v>
      </c>
      <c r="AV277" s="31">
        <v>0</v>
      </c>
      <c r="AW277" s="31">
        <v>0</v>
      </c>
      <c r="AX277" s="31">
        <v>0</v>
      </c>
      <c r="AY277" s="31">
        <v>0</v>
      </c>
      <c r="AZ277" s="31">
        <v>0</v>
      </c>
      <c r="BA277" s="31">
        <v>0</v>
      </c>
      <c r="BB277" s="31">
        <v>0</v>
      </c>
      <c r="BC277" s="31">
        <v>0</v>
      </c>
      <c r="BD277" s="31">
        <v>0</v>
      </c>
      <c r="BE277" s="31">
        <v>0</v>
      </c>
      <c r="BF277" s="31">
        <v>0</v>
      </c>
      <c r="BG277" s="31">
        <v>0</v>
      </c>
      <c r="BH277" s="31">
        <v>0</v>
      </c>
      <c r="BI277" s="31">
        <v>0</v>
      </c>
      <c r="BJ277" s="31">
        <v>0</v>
      </c>
      <c r="BK277" s="12">
        <v>0</v>
      </c>
      <c r="BL277" s="12">
        <v>0</v>
      </c>
      <c r="BM277" s="12">
        <v>0</v>
      </c>
      <c r="BN277" s="12"/>
      <c r="BO277" s="12">
        <v>0</v>
      </c>
      <c r="BP277" s="12">
        <v>0</v>
      </c>
      <c r="BQ277" s="12">
        <v>0</v>
      </c>
      <c r="BR277" s="12">
        <v>0</v>
      </c>
      <c r="BS277" s="12">
        <v>0</v>
      </c>
      <c r="BT277" s="12">
        <v>0</v>
      </c>
      <c r="BU277" s="12">
        <v>0</v>
      </c>
      <c r="BV277" s="12">
        <v>0</v>
      </c>
      <c r="BW277" s="12">
        <v>0</v>
      </c>
      <c r="BX277" s="12">
        <v>0</v>
      </c>
      <c r="BY277" s="12">
        <v>0</v>
      </c>
      <c r="BZ277" s="12">
        <v>0</v>
      </c>
      <c r="CA277" s="12">
        <v>0</v>
      </c>
    </row>
    <row r="278" spans="1:79" hidden="1" x14ac:dyDescent="0.2">
      <c r="A278" s="12" t="s">
        <v>141</v>
      </c>
      <c r="B278" s="12" t="s">
        <v>143</v>
      </c>
      <c r="C278" s="12" t="s">
        <v>143</v>
      </c>
      <c r="D278" s="22" t="s">
        <v>528</v>
      </c>
      <c r="E278" s="22" t="s">
        <v>159</v>
      </c>
      <c r="F278" s="22" t="s">
        <v>1035</v>
      </c>
      <c r="G278" s="22" t="s">
        <v>1036</v>
      </c>
      <c r="H278" s="22" t="s">
        <v>166</v>
      </c>
      <c r="I278" s="22" t="s">
        <v>151</v>
      </c>
      <c r="J278" s="22" t="s">
        <v>524</v>
      </c>
      <c r="K278" s="22" t="s">
        <v>97</v>
      </c>
      <c r="L278" s="54" t="s">
        <v>153</v>
      </c>
      <c r="M278" s="23" t="s">
        <v>287</v>
      </c>
      <c r="N278" s="24" t="s">
        <v>153</v>
      </c>
      <c r="O278" s="23" t="s">
        <v>584</v>
      </c>
      <c r="P278" s="23" t="s">
        <v>584</v>
      </c>
      <c r="Q278" s="23" t="s">
        <v>300</v>
      </c>
      <c r="R278" s="23" t="s">
        <v>300</v>
      </c>
      <c r="S278" s="23" t="s">
        <v>300</v>
      </c>
      <c r="T278" s="23" t="s">
        <v>300</v>
      </c>
      <c r="U278" s="24" t="s">
        <v>153</v>
      </c>
      <c r="V278" s="54" t="s">
        <v>156</v>
      </c>
      <c r="W278" s="24" t="s">
        <v>156</v>
      </c>
      <c r="X278" s="23" t="s">
        <v>529</v>
      </c>
      <c r="Y278" s="23" t="s">
        <v>529</v>
      </c>
      <c r="Z278" s="23" t="s">
        <v>529</v>
      </c>
      <c r="AA278" s="23" t="s">
        <v>529</v>
      </c>
      <c r="AB278" s="24" t="s">
        <v>153</v>
      </c>
      <c r="AC278" s="23" t="s">
        <v>300</v>
      </c>
      <c r="AD278" s="23" t="s">
        <v>300</v>
      </c>
      <c r="AE278" s="23" t="s">
        <v>300</v>
      </c>
      <c r="AF278" s="23" t="s">
        <v>300</v>
      </c>
      <c r="AG278" s="23" t="s">
        <v>529</v>
      </c>
      <c r="AH278" s="23" t="s">
        <v>529</v>
      </c>
      <c r="AI278" s="24" t="s">
        <v>153</v>
      </c>
      <c r="AJ278" s="23" t="s">
        <v>584</v>
      </c>
      <c r="AK278" s="23" t="s">
        <v>584</v>
      </c>
      <c r="AL278" s="23" t="s">
        <v>300</v>
      </c>
      <c r="AM278" s="23" t="s">
        <v>300</v>
      </c>
      <c r="AN278" s="23" t="s">
        <v>584</v>
      </c>
      <c r="AO278" s="23" t="s">
        <v>584</v>
      </c>
      <c r="AP278" s="23">
        <f>VALUE(22)</f>
        <v>22</v>
      </c>
      <c r="AQ278" s="23">
        <f>VALUE(0)</f>
        <v>0</v>
      </c>
      <c r="AR278" s="23">
        <f>VALUE(0)</f>
        <v>0</v>
      </c>
      <c r="AS278" s="23">
        <f>VALUE(0)</f>
        <v>0</v>
      </c>
      <c r="AT278" s="23">
        <f>VALUE(0)</f>
        <v>0</v>
      </c>
      <c r="AU278" s="23">
        <f>VALUE(0)</f>
        <v>0</v>
      </c>
      <c r="AV278" s="23">
        <f>VALUE(2)</f>
        <v>2</v>
      </c>
      <c r="AW278" s="23">
        <f>VALUE(0)</f>
        <v>0</v>
      </c>
      <c r="AX278" s="23" t="s">
        <v>1287</v>
      </c>
      <c r="AY278" s="23">
        <f>VALUE(0)</f>
        <v>0</v>
      </c>
      <c r="AZ278" s="23">
        <f>VALUE(0)</f>
        <v>0</v>
      </c>
      <c r="BA278" s="23">
        <f>VALUE(0)</f>
        <v>0</v>
      </c>
      <c r="BB278" s="23">
        <f>VALUE(0)</f>
        <v>0</v>
      </c>
      <c r="BC278" s="23">
        <f>VALUE(0)</f>
        <v>0</v>
      </c>
      <c r="BD278" s="23">
        <f>VALUE(0)</f>
        <v>0</v>
      </c>
      <c r="BE278" s="23">
        <f>VALUE(0)</f>
        <v>0</v>
      </c>
      <c r="BF278" s="23">
        <f>VALUE(0)</f>
        <v>0</v>
      </c>
      <c r="BG278" s="23">
        <f>VALUE(0)</f>
        <v>0</v>
      </c>
      <c r="BH278" s="23">
        <f>VALUE(0)</f>
        <v>0</v>
      </c>
      <c r="BI278" s="23">
        <f>VALUE(0)</f>
        <v>0</v>
      </c>
      <c r="BJ278" s="23">
        <f>VALUE(0)</f>
        <v>0</v>
      </c>
      <c r="BK278" s="12">
        <f>$AX$278*24</f>
        <v>1.1499999999999999</v>
      </c>
      <c r="BL278" s="12">
        <f>$AY$278*24</f>
        <v>0</v>
      </c>
      <c r="BM278" s="12">
        <f>$BJ$278*24</f>
        <v>0</v>
      </c>
      <c r="BN278" s="12">
        <f>VALUE($I$278)/100</f>
        <v>1</v>
      </c>
      <c r="BO278" s="12">
        <v>0</v>
      </c>
      <c r="BP278" s="12">
        <v>0</v>
      </c>
      <c r="BQ278" s="12">
        <v>0</v>
      </c>
      <c r="BR278" s="12">
        <v>0</v>
      </c>
      <c r="BS278" s="12">
        <v>0</v>
      </c>
      <c r="BT278" s="12">
        <v>0</v>
      </c>
      <c r="BU278" s="12">
        <v>0</v>
      </c>
      <c r="BV278" s="12">
        <v>0</v>
      </c>
      <c r="BW278" s="12">
        <v>0</v>
      </c>
      <c r="BX278" s="12">
        <v>0</v>
      </c>
      <c r="BY278" s="12">
        <v>0</v>
      </c>
      <c r="BZ278" s="12">
        <v>0</v>
      </c>
      <c r="CA278" s="12">
        <v>0</v>
      </c>
    </row>
    <row r="279" spans="1:79" ht="16.5" hidden="1" x14ac:dyDescent="0.2">
      <c r="A279" s="12" t="s">
        <v>141</v>
      </c>
      <c r="B279" s="12" t="s">
        <v>143</v>
      </c>
      <c r="C279" s="12" t="s">
        <v>143</v>
      </c>
      <c r="D279" s="22" t="s">
        <v>1288</v>
      </c>
      <c r="E279" s="22" t="s">
        <v>161</v>
      </c>
      <c r="F279" s="22" t="s">
        <v>1037</v>
      </c>
      <c r="G279" s="22" t="s">
        <v>1038</v>
      </c>
      <c r="H279" s="22" t="s">
        <v>166</v>
      </c>
      <c r="I279" s="22" t="s">
        <v>151</v>
      </c>
      <c r="J279" s="22" t="s">
        <v>530</v>
      </c>
      <c r="K279" s="22" t="s">
        <v>97</v>
      </c>
      <c r="L279" s="54" t="s">
        <v>153</v>
      </c>
      <c r="M279" s="26" t="s">
        <v>531</v>
      </c>
      <c r="N279" s="24" t="s">
        <v>153</v>
      </c>
      <c r="O279" s="23" t="s">
        <v>300</v>
      </c>
      <c r="P279" s="23" t="s">
        <v>300</v>
      </c>
      <c r="Q279" s="26" t="s">
        <v>531</v>
      </c>
      <c r="R279" s="26" t="s">
        <v>531</v>
      </c>
      <c r="S279" s="26" t="s">
        <v>531</v>
      </c>
      <c r="T279" s="26" t="s">
        <v>531</v>
      </c>
      <c r="U279" s="24" t="s">
        <v>153</v>
      </c>
      <c r="V279" s="54" t="s">
        <v>153</v>
      </c>
      <c r="W279" s="23" t="s">
        <v>529</v>
      </c>
      <c r="X279" s="26" t="s">
        <v>531</v>
      </c>
      <c r="Y279" s="26" t="s">
        <v>531</v>
      </c>
      <c r="Z279" s="26" t="s">
        <v>531</v>
      </c>
      <c r="AA279" s="26" t="s">
        <v>531</v>
      </c>
      <c r="AB279" s="24" t="s">
        <v>153</v>
      </c>
      <c r="AC279" s="23" t="s">
        <v>380</v>
      </c>
      <c r="AD279" s="23" t="s">
        <v>380</v>
      </c>
      <c r="AE279" s="26" t="s">
        <v>531</v>
      </c>
      <c r="AF279" s="26" t="s">
        <v>531</v>
      </c>
      <c r="AG279" s="26" t="s">
        <v>531</v>
      </c>
      <c r="AH279" s="26" t="s">
        <v>531</v>
      </c>
      <c r="AI279" s="24" t="s">
        <v>153</v>
      </c>
      <c r="AJ279" s="24" t="s">
        <v>156</v>
      </c>
      <c r="AK279" s="24" t="s">
        <v>156</v>
      </c>
      <c r="AL279" s="26" t="s">
        <v>531</v>
      </c>
      <c r="AM279" s="26" t="s">
        <v>531</v>
      </c>
      <c r="AN279" s="26" t="s">
        <v>531</v>
      </c>
      <c r="AO279" s="26" t="s">
        <v>531</v>
      </c>
      <c r="AP279" s="23">
        <f>VALUE(31)</f>
        <v>31</v>
      </c>
      <c r="AQ279" s="23">
        <f>VALUE(0)</f>
        <v>0</v>
      </c>
      <c r="AR279" s="23">
        <f>VALUE(0)</f>
        <v>0</v>
      </c>
      <c r="AS279" s="23">
        <f>VALUE(0)</f>
        <v>0</v>
      </c>
      <c r="AT279" s="23">
        <f>VALUE(0)</f>
        <v>0</v>
      </c>
      <c r="AU279" s="23">
        <f>VALUE(0)</f>
        <v>0</v>
      </c>
      <c r="AV279" s="23">
        <f>VALUE(2)</f>
        <v>2</v>
      </c>
      <c r="AW279" s="23">
        <f>VALUE(0)</f>
        <v>0</v>
      </c>
      <c r="AX279" s="23" t="s">
        <v>425</v>
      </c>
      <c r="AY279" s="23">
        <f>VALUE(0)</f>
        <v>0</v>
      </c>
      <c r="AZ279" s="23">
        <f>VALUE(0)</f>
        <v>0</v>
      </c>
      <c r="BA279" s="23">
        <f>VALUE(0)</f>
        <v>0</v>
      </c>
      <c r="BB279" s="23">
        <f>VALUE(0)</f>
        <v>0</v>
      </c>
      <c r="BC279" s="23">
        <f>VALUE(0)</f>
        <v>0</v>
      </c>
      <c r="BD279" s="23">
        <f>VALUE(0)</f>
        <v>0</v>
      </c>
      <c r="BE279" s="23">
        <f>VALUE(0)</f>
        <v>0</v>
      </c>
      <c r="BF279" s="23">
        <f>VALUE(0)</f>
        <v>0</v>
      </c>
      <c r="BG279" s="23">
        <f>VALUE(0)</f>
        <v>0</v>
      </c>
      <c r="BH279" s="23">
        <f>VALUE(0)</f>
        <v>0</v>
      </c>
      <c r="BI279" s="23">
        <f>VALUE(0)</f>
        <v>0</v>
      </c>
      <c r="BJ279" s="23">
        <f>VALUE(0)</f>
        <v>0</v>
      </c>
      <c r="BK279" s="12">
        <f>$AX$279*24</f>
        <v>1.4166666666666667</v>
      </c>
      <c r="BL279" s="12">
        <f>$AY$279*24</f>
        <v>0</v>
      </c>
      <c r="BM279" s="12">
        <f>$BJ$279*24</f>
        <v>0</v>
      </c>
      <c r="BN279" s="12">
        <f>VALUE($I$279)/100</f>
        <v>1</v>
      </c>
      <c r="BO279" s="12">
        <v>0</v>
      </c>
      <c r="BP279" s="12">
        <v>0</v>
      </c>
      <c r="BQ279" s="12">
        <v>0</v>
      </c>
      <c r="BR279" s="12">
        <v>0</v>
      </c>
      <c r="BS279" s="12">
        <v>0</v>
      </c>
      <c r="BT279" s="12">
        <v>0</v>
      </c>
      <c r="BU279" s="12">
        <v>0</v>
      </c>
      <c r="BV279" s="12">
        <v>0</v>
      </c>
      <c r="BW279" s="12">
        <v>0</v>
      </c>
      <c r="BX279" s="12">
        <v>0</v>
      </c>
      <c r="BY279" s="12">
        <v>0</v>
      </c>
      <c r="BZ279" s="12">
        <v>0</v>
      </c>
      <c r="CA279" s="12">
        <v>0</v>
      </c>
    </row>
    <row r="280" spans="1:79" hidden="1" x14ac:dyDescent="0.2">
      <c r="A280" s="12" t="s">
        <v>141</v>
      </c>
      <c r="B280" s="12" t="s">
        <v>143</v>
      </c>
      <c r="C280" s="12" t="s">
        <v>143</v>
      </c>
      <c r="D280" s="22" t="s">
        <v>287</v>
      </c>
      <c r="E280" s="22" t="s">
        <v>161</v>
      </c>
      <c r="F280" s="22" t="s">
        <v>1039</v>
      </c>
      <c r="G280" s="22" t="s">
        <v>1040</v>
      </c>
      <c r="H280" s="22" t="s">
        <v>150</v>
      </c>
      <c r="I280" s="22" t="s">
        <v>1289</v>
      </c>
      <c r="J280" s="22" t="s">
        <v>162</v>
      </c>
      <c r="K280" s="22" t="s">
        <v>97</v>
      </c>
      <c r="L280" s="54" t="s">
        <v>153</v>
      </c>
      <c r="M280" s="24" t="s">
        <v>195</v>
      </c>
      <c r="N280" s="24" t="s">
        <v>153</v>
      </c>
      <c r="O280" s="23" t="s">
        <v>153</v>
      </c>
      <c r="P280" s="23" t="s">
        <v>153</v>
      </c>
      <c r="Q280" s="23" t="s">
        <v>153</v>
      </c>
      <c r="R280" s="23" t="s">
        <v>153</v>
      </c>
      <c r="S280" s="23" t="s">
        <v>153</v>
      </c>
      <c r="T280" s="23" t="s">
        <v>153</v>
      </c>
      <c r="U280" s="24" t="s">
        <v>153</v>
      </c>
      <c r="V280" s="54" t="s">
        <v>153</v>
      </c>
      <c r="W280" s="23" t="s">
        <v>153</v>
      </c>
      <c r="X280" s="24" t="s">
        <v>156</v>
      </c>
      <c r="Y280" s="24" t="s">
        <v>156</v>
      </c>
      <c r="Z280" s="23" t="s">
        <v>153</v>
      </c>
      <c r="AA280" s="23" t="s">
        <v>153</v>
      </c>
      <c r="AB280" s="24" t="s">
        <v>153</v>
      </c>
      <c r="AC280" s="23" t="s">
        <v>153</v>
      </c>
      <c r="AD280" s="23" t="s">
        <v>153</v>
      </c>
      <c r="AE280" s="23" t="s">
        <v>153</v>
      </c>
      <c r="AF280" s="23" t="s">
        <v>153</v>
      </c>
      <c r="AG280" s="23" t="s">
        <v>153</v>
      </c>
      <c r="AH280" s="23" t="s">
        <v>153</v>
      </c>
      <c r="AI280" s="24" t="s">
        <v>153</v>
      </c>
      <c r="AJ280" s="23" t="s">
        <v>153</v>
      </c>
      <c r="AK280" s="23" t="s">
        <v>153</v>
      </c>
      <c r="AL280" s="23" t="s">
        <v>153</v>
      </c>
      <c r="AM280" s="23" t="s">
        <v>153</v>
      </c>
      <c r="AN280" s="23" t="s">
        <v>153</v>
      </c>
      <c r="AO280" s="23" t="s">
        <v>153</v>
      </c>
      <c r="AP280" s="23">
        <f>VALUE(0)</f>
        <v>0</v>
      </c>
      <c r="AQ280" s="23">
        <f>VALUE(0)</f>
        <v>0</v>
      </c>
      <c r="AR280" s="23">
        <f>VALUE(0)</f>
        <v>0</v>
      </c>
      <c r="AS280" s="23">
        <f>VALUE(0)</f>
        <v>0</v>
      </c>
      <c r="AT280" s="23">
        <f>VALUE(0)</f>
        <v>0</v>
      </c>
      <c r="AU280" s="23">
        <f>VALUE(0)</f>
        <v>0</v>
      </c>
      <c r="AV280" s="23">
        <f>VALUE(5.5)</f>
        <v>5.5</v>
      </c>
      <c r="AW280" s="23">
        <f>VALUE(0)</f>
        <v>0</v>
      </c>
      <c r="AX280" s="23" t="s">
        <v>532</v>
      </c>
      <c r="AY280" s="23" t="s">
        <v>407</v>
      </c>
      <c r="AZ280" s="23">
        <f>VALUE(0)</f>
        <v>0</v>
      </c>
      <c r="BA280" s="23">
        <f>VALUE(0)</f>
        <v>0</v>
      </c>
      <c r="BB280" s="23">
        <f>VALUE(0)</f>
        <v>0</v>
      </c>
      <c r="BC280" s="23">
        <f>VALUE(0)</f>
        <v>0</v>
      </c>
      <c r="BD280" s="23">
        <f>VALUE(0)</f>
        <v>0</v>
      </c>
      <c r="BE280" s="23">
        <f>VALUE(0)</f>
        <v>0</v>
      </c>
      <c r="BF280" s="23">
        <f>VALUE(0)</f>
        <v>0</v>
      </c>
      <c r="BG280" s="23">
        <f>VALUE(0)</f>
        <v>0</v>
      </c>
      <c r="BH280" s="23">
        <f>VALUE(0)</f>
        <v>0</v>
      </c>
      <c r="BI280" s="23">
        <f>VALUE(0)</f>
        <v>0</v>
      </c>
      <c r="BJ280" s="23">
        <f>VALUE(0)</f>
        <v>0</v>
      </c>
      <c r="BK280" s="12">
        <f>$AX$280*24</f>
        <v>11.65</v>
      </c>
      <c r="BL280" s="12">
        <f>$AY$280*24</f>
        <v>1.2166666666666668</v>
      </c>
      <c r="BM280" s="12">
        <f>$BJ$280*24</f>
        <v>0</v>
      </c>
      <c r="BN280" s="12">
        <f>VALUE($I$280)/100</f>
        <v>0.79</v>
      </c>
      <c r="BO280" s="12">
        <v>0</v>
      </c>
      <c r="BP280" s="12">
        <v>0</v>
      </c>
      <c r="BQ280" s="12">
        <v>0</v>
      </c>
      <c r="BR280" s="12">
        <v>0</v>
      </c>
      <c r="BS280" s="12">
        <v>0</v>
      </c>
      <c r="BT280" s="12">
        <v>0</v>
      </c>
      <c r="BU280" s="12">
        <v>0</v>
      </c>
      <c r="BV280" s="12">
        <v>0</v>
      </c>
      <c r="BW280" s="12">
        <v>0</v>
      </c>
      <c r="BX280" s="12">
        <v>0</v>
      </c>
      <c r="BY280" s="12">
        <v>0</v>
      </c>
      <c r="BZ280" s="12">
        <v>0</v>
      </c>
      <c r="CA280" s="12">
        <v>0</v>
      </c>
    </row>
    <row r="281" spans="1:79" hidden="1" x14ac:dyDescent="0.2">
      <c r="A281" s="12" t="s">
        <v>141</v>
      </c>
      <c r="B281" s="12" t="s">
        <v>143</v>
      </c>
      <c r="C281" s="12" t="s">
        <v>143</v>
      </c>
      <c r="D281" s="22" t="s">
        <v>529</v>
      </c>
      <c r="E281" s="22" t="s">
        <v>161</v>
      </c>
      <c r="F281" s="22" t="s">
        <v>1041</v>
      </c>
      <c r="G281" s="22" t="s">
        <v>1042</v>
      </c>
      <c r="H281" s="22" t="s">
        <v>150</v>
      </c>
      <c r="I281" s="22" t="s">
        <v>151</v>
      </c>
      <c r="J281" s="22" t="s">
        <v>162</v>
      </c>
      <c r="K281" s="22" t="s">
        <v>97</v>
      </c>
      <c r="L281" s="54" t="s">
        <v>153</v>
      </c>
      <c r="M281" s="23" t="s">
        <v>153</v>
      </c>
      <c r="N281" s="24" t="s">
        <v>153</v>
      </c>
      <c r="O281" s="23" t="s">
        <v>153</v>
      </c>
      <c r="P281" s="23" t="s">
        <v>153</v>
      </c>
      <c r="Q281" s="23" t="s">
        <v>153</v>
      </c>
      <c r="R281" s="23" t="s">
        <v>153</v>
      </c>
      <c r="S281" s="23" t="s">
        <v>153</v>
      </c>
      <c r="T281" s="23" t="s">
        <v>153</v>
      </c>
      <c r="U281" s="24" t="s">
        <v>153</v>
      </c>
      <c r="V281" s="54" t="s">
        <v>153</v>
      </c>
      <c r="W281" s="28" t="s">
        <v>163</v>
      </c>
      <c r="X281" s="28" t="s">
        <v>163</v>
      </c>
      <c r="Y281" s="28" t="s">
        <v>163</v>
      </c>
      <c r="Z281" s="28" t="s">
        <v>163</v>
      </c>
      <c r="AA281" s="28" t="s">
        <v>163</v>
      </c>
      <c r="AB281" s="24" t="s">
        <v>153</v>
      </c>
      <c r="AC281" s="23" t="s">
        <v>153</v>
      </c>
      <c r="AD281" s="23" t="s">
        <v>153</v>
      </c>
      <c r="AE281" s="23" t="s">
        <v>153</v>
      </c>
      <c r="AF281" s="23" t="s">
        <v>153</v>
      </c>
      <c r="AG281" s="24" t="s">
        <v>156</v>
      </c>
      <c r="AH281" s="24" t="s">
        <v>156</v>
      </c>
      <c r="AI281" s="24" t="s">
        <v>153</v>
      </c>
      <c r="AJ281" s="23" t="s">
        <v>153</v>
      </c>
      <c r="AK281" s="23" t="s">
        <v>153</v>
      </c>
      <c r="AL281" s="23" t="s">
        <v>153</v>
      </c>
      <c r="AM281" s="23" t="s">
        <v>153</v>
      </c>
      <c r="AN281" s="23" t="s">
        <v>153</v>
      </c>
      <c r="AO281" s="23" t="s">
        <v>153</v>
      </c>
      <c r="AP281" s="23">
        <f>VALUE(41)</f>
        <v>41</v>
      </c>
      <c r="AQ281" s="23">
        <f>VALUE(0)</f>
        <v>0</v>
      </c>
      <c r="AR281" s="23">
        <f>VALUE(0)</f>
        <v>0</v>
      </c>
      <c r="AS281" s="23">
        <f>VALUE(0)</f>
        <v>0</v>
      </c>
      <c r="AT281" s="23">
        <f>VALUE(0)</f>
        <v>0</v>
      </c>
      <c r="AU281" s="23">
        <f>VALUE(5)</f>
        <v>5</v>
      </c>
      <c r="AV281" s="23">
        <f>VALUE(4)</f>
        <v>4</v>
      </c>
      <c r="AW281" s="23">
        <f>VALUE(0)</f>
        <v>0</v>
      </c>
      <c r="AX281" s="23" t="s">
        <v>1290</v>
      </c>
      <c r="AY281" s="23" t="s">
        <v>1291</v>
      </c>
      <c r="AZ281" s="23">
        <f>VALUE(0)</f>
        <v>0</v>
      </c>
      <c r="BA281" s="23">
        <f>VALUE(0)</f>
        <v>0</v>
      </c>
      <c r="BB281" s="23">
        <f>VALUE(0)</f>
        <v>0</v>
      </c>
      <c r="BC281" s="23">
        <f>VALUE(0)</f>
        <v>0</v>
      </c>
      <c r="BD281" s="23">
        <f>VALUE(0)</f>
        <v>0</v>
      </c>
      <c r="BE281" s="23">
        <f>VALUE(0)</f>
        <v>0</v>
      </c>
      <c r="BF281" s="23">
        <f>VALUE(0)</f>
        <v>0</v>
      </c>
      <c r="BG281" s="23">
        <f>VALUE(0)</f>
        <v>0</v>
      </c>
      <c r="BH281" s="23">
        <f>VALUE(0)</f>
        <v>0</v>
      </c>
      <c r="BI281" s="23">
        <f>VALUE(0)</f>
        <v>0</v>
      </c>
      <c r="BJ281" s="23">
        <f>VALUE(0)</f>
        <v>0</v>
      </c>
      <c r="BK281" s="12">
        <f>$AX$281*24</f>
        <v>3.9333333333333336</v>
      </c>
      <c r="BL281" s="12">
        <f>$AY$281*24</f>
        <v>4.7833333333333332</v>
      </c>
      <c r="BM281" s="12">
        <f>$BJ$281*24</f>
        <v>0</v>
      </c>
      <c r="BN281" s="12">
        <f>VALUE($I$281)/100</f>
        <v>1</v>
      </c>
      <c r="BO281" s="12">
        <v>0</v>
      </c>
      <c r="BP281" s="12">
        <v>0</v>
      </c>
      <c r="BQ281" s="12">
        <v>0</v>
      </c>
      <c r="BR281" s="12">
        <v>0</v>
      </c>
      <c r="BS281" s="12">
        <v>0</v>
      </c>
      <c r="BT281" s="12">
        <v>0</v>
      </c>
      <c r="BU281" s="12">
        <v>0</v>
      </c>
      <c r="BV281" s="12">
        <v>0</v>
      </c>
      <c r="BW281" s="12">
        <v>0</v>
      </c>
      <c r="BX281" s="12">
        <v>0</v>
      </c>
      <c r="BY281" s="12">
        <v>0</v>
      </c>
      <c r="BZ281" s="12">
        <v>0</v>
      </c>
      <c r="CA281" s="12">
        <v>0</v>
      </c>
    </row>
    <row r="282" spans="1:79" hidden="1" x14ac:dyDescent="0.2">
      <c r="A282" s="12" t="s">
        <v>141</v>
      </c>
      <c r="B282" s="12" t="s">
        <v>143</v>
      </c>
      <c r="C282" s="12" t="s">
        <v>143</v>
      </c>
      <c r="D282" s="22" t="s">
        <v>426</v>
      </c>
      <c r="E282" s="22" t="s">
        <v>161</v>
      </c>
      <c r="F282" s="22" t="s">
        <v>1043</v>
      </c>
      <c r="G282" s="22" t="s">
        <v>1044</v>
      </c>
      <c r="H282" s="22" t="s">
        <v>150</v>
      </c>
      <c r="I282" s="22" t="s">
        <v>151</v>
      </c>
      <c r="J282" s="22" t="s">
        <v>162</v>
      </c>
      <c r="K282" s="22" t="s">
        <v>97</v>
      </c>
      <c r="L282" s="54" t="s">
        <v>153</v>
      </c>
      <c r="M282" s="23" t="s">
        <v>153</v>
      </c>
      <c r="N282" s="24" t="s">
        <v>153</v>
      </c>
      <c r="O282" s="23" t="s">
        <v>153</v>
      </c>
      <c r="P282" s="23" t="s">
        <v>153</v>
      </c>
      <c r="Q282" s="23" t="s">
        <v>153</v>
      </c>
      <c r="R282" s="23" t="s">
        <v>153</v>
      </c>
      <c r="S282" s="23" t="s">
        <v>153</v>
      </c>
      <c r="T282" s="23" t="s">
        <v>153</v>
      </c>
      <c r="U282" s="24" t="s">
        <v>153</v>
      </c>
      <c r="V282" s="54" t="s">
        <v>153</v>
      </c>
      <c r="W282" s="28" t="s">
        <v>163</v>
      </c>
      <c r="X282" s="28" t="s">
        <v>163</v>
      </c>
      <c r="Y282" s="28" t="s">
        <v>163</v>
      </c>
      <c r="Z282" s="28" t="s">
        <v>163</v>
      </c>
      <c r="AA282" s="28" t="s">
        <v>163</v>
      </c>
      <c r="AB282" s="24" t="s">
        <v>153</v>
      </c>
      <c r="AC282" s="28" t="s">
        <v>163</v>
      </c>
      <c r="AD282" s="28" t="s">
        <v>163</v>
      </c>
      <c r="AE282" s="28" t="s">
        <v>163</v>
      </c>
      <c r="AF282" s="28" t="s">
        <v>163</v>
      </c>
      <c r="AG282" s="28" t="s">
        <v>163</v>
      </c>
      <c r="AH282" s="28" t="s">
        <v>163</v>
      </c>
      <c r="AI282" s="24" t="s">
        <v>153</v>
      </c>
      <c r="AJ282" s="23" t="s">
        <v>153</v>
      </c>
      <c r="AK282" s="23" t="s">
        <v>153</v>
      </c>
      <c r="AL282" s="23" t="s">
        <v>153</v>
      </c>
      <c r="AM282" s="23" t="s">
        <v>153</v>
      </c>
      <c r="AN282" s="23" t="s">
        <v>153</v>
      </c>
      <c r="AO282" s="23" t="s">
        <v>153</v>
      </c>
      <c r="AP282" s="23">
        <f>VALUE(30)</f>
        <v>30</v>
      </c>
      <c r="AQ282" s="23">
        <f>VALUE(0)</f>
        <v>0</v>
      </c>
      <c r="AR282" s="23">
        <f>VALUE(0)</f>
        <v>0</v>
      </c>
      <c r="AS282" s="23">
        <f>VALUE(0)</f>
        <v>0</v>
      </c>
      <c r="AT282" s="23">
        <f>VALUE(0)</f>
        <v>0</v>
      </c>
      <c r="AU282" s="23">
        <f>VALUE(11)</f>
        <v>11</v>
      </c>
      <c r="AV282" s="23">
        <f>VALUE(3)</f>
        <v>3</v>
      </c>
      <c r="AW282" s="23">
        <f>VALUE(0)</f>
        <v>0</v>
      </c>
      <c r="AX282" s="23" t="s">
        <v>445</v>
      </c>
      <c r="AY282" s="23">
        <f>VALUE(0)</f>
        <v>0</v>
      </c>
      <c r="AZ282" s="23">
        <f>VALUE(0)</f>
        <v>0</v>
      </c>
      <c r="BA282" s="23">
        <f>VALUE(0)</f>
        <v>0</v>
      </c>
      <c r="BB282" s="23">
        <f>VALUE(0)</f>
        <v>0</v>
      </c>
      <c r="BC282" s="23">
        <f>VALUE(0)</f>
        <v>0</v>
      </c>
      <c r="BD282" s="23">
        <f>VALUE(0)</f>
        <v>0</v>
      </c>
      <c r="BE282" s="23">
        <f>VALUE(0)</f>
        <v>0</v>
      </c>
      <c r="BF282" s="23">
        <f>VALUE(0)</f>
        <v>0</v>
      </c>
      <c r="BG282" s="23">
        <f>VALUE(0)</f>
        <v>0</v>
      </c>
      <c r="BH282" s="23">
        <f>VALUE(0)</f>
        <v>0</v>
      </c>
      <c r="BI282" s="23">
        <f>VALUE(0)</f>
        <v>0</v>
      </c>
      <c r="BJ282" s="23">
        <f>VALUE(0)</f>
        <v>0</v>
      </c>
      <c r="BK282" s="12">
        <f>$AX$282*24</f>
        <v>17.5</v>
      </c>
      <c r="BL282" s="12">
        <f>$AY$282*24</f>
        <v>0</v>
      </c>
      <c r="BM282" s="12">
        <f>$BJ$282*24</f>
        <v>0</v>
      </c>
      <c r="BN282" s="12">
        <f>VALUE($I$282)/100</f>
        <v>1</v>
      </c>
      <c r="BO282" s="12">
        <v>0</v>
      </c>
      <c r="BP282" s="12">
        <v>0</v>
      </c>
      <c r="BQ282" s="12">
        <v>0</v>
      </c>
      <c r="BR282" s="12">
        <v>0</v>
      </c>
      <c r="BS282" s="12">
        <v>0</v>
      </c>
      <c r="BT282" s="12">
        <v>0</v>
      </c>
      <c r="BU282" s="12">
        <v>0</v>
      </c>
      <c r="BV282" s="12">
        <v>0</v>
      </c>
      <c r="BW282" s="12">
        <v>0</v>
      </c>
      <c r="BX282" s="12">
        <v>0</v>
      </c>
      <c r="BY282" s="12">
        <v>0</v>
      </c>
      <c r="BZ282" s="12">
        <v>0</v>
      </c>
      <c r="CA282" s="12">
        <v>0</v>
      </c>
    </row>
    <row r="283" spans="1:79" hidden="1" x14ac:dyDescent="0.2">
      <c r="A283" s="12" t="s">
        <v>141</v>
      </c>
      <c r="B283" s="12" t="s">
        <v>143</v>
      </c>
      <c r="C283" s="12" t="s">
        <v>143</v>
      </c>
      <c r="D283" s="22" t="s">
        <v>385</v>
      </c>
      <c r="E283" s="22" t="s">
        <v>161</v>
      </c>
      <c r="F283" s="22" t="s">
        <v>1045</v>
      </c>
      <c r="G283" s="22" t="s">
        <v>1046</v>
      </c>
      <c r="H283" s="22" t="s">
        <v>166</v>
      </c>
      <c r="I283" s="22" t="s">
        <v>151</v>
      </c>
      <c r="J283" s="22" t="s">
        <v>162</v>
      </c>
      <c r="K283" s="22" t="s">
        <v>97</v>
      </c>
      <c r="L283" s="54" t="s">
        <v>153</v>
      </c>
      <c r="M283" s="23" t="s">
        <v>153</v>
      </c>
      <c r="N283" s="24" t="s">
        <v>153</v>
      </c>
      <c r="O283" s="23" t="s">
        <v>153</v>
      </c>
      <c r="P283" s="23" t="s">
        <v>153</v>
      </c>
      <c r="Q283" s="23" t="s">
        <v>153</v>
      </c>
      <c r="R283" s="23" t="s">
        <v>153</v>
      </c>
      <c r="S283" s="23" t="s">
        <v>153</v>
      </c>
      <c r="T283" s="23" t="s">
        <v>153</v>
      </c>
      <c r="U283" s="24" t="s">
        <v>153</v>
      </c>
      <c r="V283" s="54" t="s">
        <v>153</v>
      </c>
      <c r="W283" s="23" t="s">
        <v>153</v>
      </c>
      <c r="X283" s="23" t="s">
        <v>153</v>
      </c>
      <c r="Y283" s="23" t="s">
        <v>153</v>
      </c>
      <c r="Z283" s="23" t="s">
        <v>153</v>
      </c>
      <c r="AA283" s="23" t="s">
        <v>153</v>
      </c>
      <c r="AB283" s="24" t="s">
        <v>153</v>
      </c>
      <c r="AC283" s="23" t="s">
        <v>153</v>
      </c>
      <c r="AD283" s="23" t="s">
        <v>153</v>
      </c>
      <c r="AE283" s="23" t="s">
        <v>153</v>
      </c>
      <c r="AF283" s="23" t="s">
        <v>153</v>
      </c>
      <c r="AG283" s="23" t="s">
        <v>153</v>
      </c>
      <c r="AH283" s="23" t="s">
        <v>153</v>
      </c>
      <c r="AI283" s="24" t="s">
        <v>153</v>
      </c>
      <c r="AJ283" s="28" t="s">
        <v>163</v>
      </c>
      <c r="AK283" s="28" t="s">
        <v>163</v>
      </c>
      <c r="AL283" s="28" t="s">
        <v>163</v>
      </c>
      <c r="AM283" s="30" t="s">
        <v>28</v>
      </c>
      <c r="AN283" s="24" t="s">
        <v>156</v>
      </c>
      <c r="AO283" s="24" t="s">
        <v>156</v>
      </c>
      <c r="AP283" s="23">
        <f>VALUE(40)</f>
        <v>40</v>
      </c>
      <c r="AQ283" s="23">
        <f>VALUE(0)</f>
        <v>0</v>
      </c>
      <c r="AR283" s="23">
        <f>VALUE(0)</f>
        <v>0</v>
      </c>
      <c r="AS283" s="23">
        <f>VALUE(0)</f>
        <v>0</v>
      </c>
      <c r="AT283" s="23">
        <f>VALUE(0)</f>
        <v>0</v>
      </c>
      <c r="AU283" s="23">
        <f>VALUE(3)</f>
        <v>3</v>
      </c>
      <c r="AV283" s="23">
        <f>VALUE(3)</f>
        <v>3</v>
      </c>
      <c r="AW283" s="23">
        <f>VALUE(0)</f>
        <v>0</v>
      </c>
      <c r="AX283" s="23" t="s">
        <v>533</v>
      </c>
      <c r="AY283" s="23">
        <f>VALUE(0)</f>
        <v>0</v>
      </c>
      <c r="AZ283" s="23">
        <f>VALUE(0)</f>
        <v>0</v>
      </c>
      <c r="BA283" s="23">
        <f>VALUE(0)</f>
        <v>0</v>
      </c>
      <c r="BB283" s="23">
        <f>VALUE(0)</f>
        <v>0</v>
      </c>
      <c r="BC283" s="23">
        <f>VALUE(0)</f>
        <v>0</v>
      </c>
      <c r="BD283" s="23">
        <f>VALUE(0)</f>
        <v>0</v>
      </c>
      <c r="BE283" s="23">
        <f>VALUE(0)</f>
        <v>0</v>
      </c>
      <c r="BF283" s="23">
        <f>VALUE(0)</f>
        <v>0</v>
      </c>
      <c r="BG283" s="23">
        <f>VALUE(0)</f>
        <v>0</v>
      </c>
      <c r="BH283" s="23">
        <f>VALUE(0)</f>
        <v>0</v>
      </c>
      <c r="BI283" s="23">
        <f>VALUE(0)</f>
        <v>0</v>
      </c>
      <c r="BJ283" s="23">
        <f>VALUE(0)</f>
        <v>0</v>
      </c>
      <c r="BK283" s="12">
        <f>$AX$283*24</f>
        <v>1.0166666666666666</v>
      </c>
      <c r="BL283" s="12">
        <f>$AY$283*24</f>
        <v>0</v>
      </c>
      <c r="BM283" s="12">
        <f>$BJ$283*24</f>
        <v>0</v>
      </c>
      <c r="BN283" s="12">
        <f>VALUE($I$283)/100</f>
        <v>1</v>
      </c>
      <c r="BO283" s="12">
        <v>0</v>
      </c>
      <c r="BP283" s="12">
        <v>0</v>
      </c>
      <c r="BQ283" s="12">
        <v>1</v>
      </c>
      <c r="BR283" s="12">
        <v>0</v>
      </c>
      <c r="BS283" s="12">
        <v>0</v>
      </c>
      <c r="BT283" s="12">
        <v>0</v>
      </c>
      <c r="BU283" s="12">
        <v>0</v>
      </c>
      <c r="BV283" s="12">
        <v>0</v>
      </c>
      <c r="BW283" s="12">
        <v>0</v>
      </c>
      <c r="BX283" s="12">
        <v>0</v>
      </c>
      <c r="BY283" s="12">
        <v>0</v>
      </c>
      <c r="BZ283" s="12">
        <v>0</v>
      </c>
      <c r="CA283" s="12">
        <v>0</v>
      </c>
    </row>
    <row r="284" spans="1:79" hidden="1" x14ac:dyDescent="0.2">
      <c r="A284" s="12" t="s">
        <v>141</v>
      </c>
      <c r="B284" s="12" t="s">
        <v>143</v>
      </c>
      <c r="C284" s="12" t="s">
        <v>143</v>
      </c>
      <c r="D284" s="22" t="s">
        <v>378</v>
      </c>
      <c r="E284" s="22" t="s">
        <v>161</v>
      </c>
      <c r="F284" s="22" t="s">
        <v>1292</v>
      </c>
      <c r="G284" s="22" t="s">
        <v>1047</v>
      </c>
      <c r="H284" s="22" t="s">
        <v>166</v>
      </c>
      <c r="I284" s="22" t="s">
        <v>151</v>
      </c>
      <c r="J284" s="22" t="s">
        <v>162</v>
      </c>
      <c r="K284" s="22" t="s">
        <v>97</v>
      </c>
      <c r="L284" s="54" t="s">
        <v>153</v>
      </c>
      <c r="M284" s="23" t="s">
        <v>153</v>
      </c>
      <c r="N284" s="24" t="s">
        <v>153</v>
      </c>
      <c r="O284" s="23" t="s">
        <v>153</v>
      </c>
      <c r="P284" s="23" t="s">
        <v>153</v>
      </c>
      <c r="Q284" s="23" t="s">
        <v>153</v>
      </c>
      <c r="R284" s="23" t="s">
        <v>153</v>
      </c>
      <c r="S284" s="23" t="s">
        <v>153</v>
      </c>
      <c r="T284" s="23" t="s">
        <v>153</v>
      </c>
      <c r="U284" s="24" t="s">
        <v>153</v>
      </c>
      <c r="V284" s="54" t="s">
        <v>153</v>
      </c>
      <c r="W284" s="23" t="s">
        <v>153</v>
      </c>
      <c r="X284" s="23" t="s">
        <v>153</v>
      </c>
      <c r="Y284" s="23" t="s">
        <v>153</v>
      </c>
      <c r="Z284" s="23" t="s">
        <v>153</v>
      </c>
      <c r="AA284" s="23" t="s">
        <v>153</v>
      </c>
      <c r="AB284" s="24" t="s">
        <v>153</v>
      </c>
      <c r="AC284" s="23" t="s">
        <v>153</v>
      </c>
      <c r="AD284" s="23" t="s">
        <v>153</v>
      </c>
      <c r="AE284" s="23" t="s">
        <v>153</v>
      </c>
      <c r="AF284" s="23" t="s">
        <v>153</v>
      </c>
      <c r="AG284" s="23" t="s">
        <v>153</v>
      </c>
      <c r="AH284" s="23" t="s">
        <v>153</v>
      </c>
      <c r="AI284" s="24" t="s">
        <v>153</v>
      </c>
      <c r="AJ284" s="23" t="s">
        <v>153</v>
      </c>
      <c r="AK284" s="23" t="s">
        <v>153</v>
      </c>
      <c r="AL284" s="23" t="s">
        <v>153</v>
      </c>
      <c r="AM284" s="23" t="s">
        <v>153</v>
      </c>
      <c r="AN284" s="23" t="s">
        <v>153</v>
      </c>
      <c r="AO284" s="23" t="s">
        <v>153</v>
      </c>
      <c r="AP284" s="23">
        <f>VALUE(44)</f>
        <v>44</v>
      </c>
      <c r="AQ284" s="23">
        <f>VALUE(0)</f>
        <v>0</v>
      </c>
      <c r="AR284" s="23">
        <f>VALUE(0)</f>
        <v>0</v>
      </c>
      <c r="AS284" s="23">
        <f>VALUE(0)</f>
        <v>0</v>
      </c>
      <c r="AT284" s="23">
        <f>VALUE(0)</f>
        <v>0</v>
      </c>
      <c r="AU284" s="23">
        <f>VALUE(0)</f>
        <v>0</v>
      </c>
      <c r="AV284" s="23">
        <f>VALUE(6)</f>
        <v>6</v>
      </c>
      <c r="AW284" s="23">
        <f>VALUE(0)</f>
        <v>0</v>
      </c>
      <c r="AX284" s="23" t="s">
        <v>1293</v>
      </c>
      <c r="AY284" s="23">
        <f>VALUE(0)</f>
        <v>0</v>
      </c>
      <c r="AZ284" s="23">
        <f>VALUE(0)</f>
        <v>0</v>
      </c>
      <c r="BA284" s="23">
        <f>VALUE(0)</f>
        <v>0</v>
      </c>
      <c r="BB284" s="23">
        <f>VALUE(0)</f>
        <v>0</v>
      </c>
      <c r="BC284" s="23">
        <f>VALUE(0)</f>
        <v>0</v>
      </c>
      <c r="BD284" s="23">
        <f>VALUE(0)</f>
        <v>0</v>
      </c>
      <c r="BE284" s="23">
        <f>VALUE(0)</f>
        <v>0</v>
      </c>
      <c r="BF284" s="23">
        <f>VALUE(0)</f>
        <v>0</v>
      </c>
      <c r="BG284" s="23">
        <f>VALUE(0)</f>
        <v>0</v>
      </c>
      <c r="BH284" s="23">
        <f>VALUE(0)</f>
        <v>0</v>
      </c>
      <c r="BI284" s="23">
        <f>VALUE(0)</f>
        <v>0</v>
      </c>
      <c r="BJ284" s="23">
        <f>VALUE(0)</f>
        <v>0</v>
      </c>
      <c r="BK284" s="12">
        <f>$AX$284*24</f>
        <v>35.333333333333336</v>
      </c>
      <c r="BL284" s="12">
        <f>$AY$284*24</f>
        <v>0</v>
      </c>
      <c r="BM284" s="12">
        <f>$BJ$284*24</f>
        <v>0</v>
      </c>
      <c r="BN284" s="12">
        <f>VALUE($I$284)/100</f>
        <v>1</v>
      </c>
      <c r="BO284" s="12">
        <v>0</v>
      </c>
      <c r="BP284" s="12">
        <v>0</v>
      </c>
      <c r="BQ284" s="12">
        <v>0</v>
      </c>
      <c r="BR284" s="12">
        <v>0</v>
      </c>
      <c r="BS284" s="12">
        <v>0</v>
      </c>
      <c r="BT284" s="12">
        <v>0</v>
      </c>
      <c r="BU284" s="12">
        <v>0</v>
      </c>
      <c r="BV284" s="12">
        <v>0</v>
      </c>
      <c r="BW284" s="12">
        <v>0</v>
      </c>
      <c r="BX284" s="12">
        <v>0</v>
      </c>
      <c r="BY284" s="12">
        <v>0</v>
      </c>
      <c r="BZ284" s="12">
        <v>0</v>
      </c>
      <c r="CA284" s="12">
        <v>0</v>
      </c>
    </row>
    <row r="285" spans="1:79" hidden="1" x14ac:dyDescent="0.2">
      <c r="A285" s="12" t="s">
        <v>141</v>
      </c>
      <c r="B285" s="12" t="s">
        <v>143</v>
      </c>
      <c r="C285" s="12" t="s">
        <v>143</v>
      </c>
      <c r="D285" s="22" t="s">
        <v>389</v>
      </c>
      <c r="E285" s="22" t="s">
        <v>161</v>
      </c>
      <c r="F285" s="22" t="s">
        <v>1048</v>
      </c>
      <c r="G285" s="22" t="s">
        <v>1049</v>
      </c>
      <c r="H285" s="22" t="s">
        <v>279</v>
      </c>
      <c r="I285" s="22" t="s">
        <v>151</v>
      </c>
      <c r="J285" s="22" t="s">
        <v>162</v>
      </c>
      <c r="K285" s="22" t="s">
        <v>97</v>
      </c>
      <c r="L285" s="54" t="s">
        <v>153</v>
      </c>
      <c r="M285" s="23" t="s">
        <v>153</v>
      </c>
      <c r="N285" s="24" t="s">
        <v>153</v>
      </c>
      <c r="O285" s="23" t="s">
        <v>153</v>
      </c>
      <c r="P285" s="23" t="s">
        <v>153</v>
      </c>
      <c r="Q285" s="23" t="s">
        <v>153</v>
      </c>
      <c r="R285" s="23" t="s">
        <v>153</v>
      </c>
      <c r="S285" s="23" t="s">
        <v>153</v>
      </c>
      <c r="T285" s="23" t="s">
        <v>153</v>
      </c>
      <c r="U285" s="24" t="s">
        <v>153</v>
      </c>
      <c r="V285" s="54" t="s">
        <v>153</v>
      </c>
      <c r="W285" s="23" t="s">
        <v>426</v>
      </c>
      <c r="X285" s="23" t="s">
        <v>426</v>
      </c>
      <c r="Y285" s="23" t="s">
        <v>426</v>
      </c>
      <c r="Z285" s="23" t="s">
        <v>426</v>
      </c>
      <c r="AA285" s="23" t="s">
        <v>426</v>
      </c>
      <c r="AB285" s="24" t="s">
        <v>153</v>
      </c>
      <c r="AC285" s="23" t="s">
        <v>426</v>
      </c>
      <c r="AD285" s="23" t="s">
        <v>426</v>
      </c>
      <c r="AE285" s="23" t="s">
        <v>426</v>
      </c>
      <c r="AF285" s="23" t="s">
        <v>426</v>
      </c>
      <c r="AG285" s="23" t="s">
        <v>426</v>
      </c>
      <c r="AH285" s="23" t="s">
        <v>426</v>
      </c>
      <c r="AI285" s="24" t="s">
        <v>153</v>
      </c>
      <c r="AJ285" s="23" t="s">
        <v>385</v>
      </c>
      <c r="AK285" s="23" t="s">
        <v>385</v>
      </c>
      <c r="AL285" s="23" t="s">
        <v>385</v>
      </c>
      <c r="AM285" s="23" t="s">
        <v>385</v>
      </c>
      <c r="AN285" s="23" t="s">
        <v>385</v>
      </c>
      <c r="AO285" s="23" t="s">
        <v>385</v>
      </c>
      <c r="AP285" s="23">
        <f>VALUE(0)</f>
        <v>0</v>
      </c>
      <c r="AQ285" s="23">
        <f>VALUE(0)</f>
        <v>0</v>
      </c>
      <c r="AR285" s="23">
        <f>VALUE(0)</f>
        <v>0</v>
      </c>
      <c r="AS285" s="23">
        <f>VALUE(0)</f>
        <v>0</v>
      </c>
      <c r="AT285" s="23">
        <f>VALUE(0)</f>
        <v>0</v>
      </c>
      <c r="AU285" s="23">
        <f>VALUE(0)</f>
        <v>0</v>
      </c>
      <c r="AV285" s="23">
        <f>VALUE(0)</f>
        <v>0</v>
      </c>
      <c r="AW285" s="23">
        <f>VALUE(0)</f>
        <v>0</v>
      </c>
      <c r="AX285" s="23">
        <f>VALUE(0)</f>
        <v>0</v>
      </c>
      <c r="AY285" s="23">
        <f>VALUE(0)</f>
        <v>0</v>
      </c>
      <c r="AZ285" s="23">
        <f>VALUE(0)</f>
        <v>0</v>
      </c>
      <c r="BA285" s="23">
        <f>VALUE(0)</f>
        <v>0</v>
      </c>
      <c r="BB285" s="23">
        <f>VALUE(0)</f>
        <v>0</v>
      </c>
      <c r="BC285" s="23">
        <f>VALUE(0)</f>
        <v>0</v>
      </c>
      <c r="BD285" s="23">
        <f>VALUE(0)</f>
        <v>0</v>
      </c>
      <c r="BE285" s="23">
        <f>VALUE(0)</f>
        <v>0</v>
      </c>
      <c r="BF285" s="23">
        <f>VALUE(0)</f>
        <v>0</v>
      </c>
      <c r="BG285" s="23">
        <f>VALUE(0)</f>
        <v>0</v>
      </c>
      <c r="BH285" s="23">
        <f>VALUE(0)</f>
        <v>0</v>
      </c>
      <c r="BI285" s="23">
        <f>VALUE(0)</f>
        <v>0</v>
      </c>
      <c r="BJ285" s="23">
        <f>VALUE(0)</f>
        <v>0</v>
      </c>
      <c r="BK285" s="12">
        <f>$AX$285*24</f>
        <v>0</v>
      </c>
      <c r="BL285" s="12">
        <f>$AY$285*24</f>
        <v>0</v>
      </c>
      <c r="BM285" s="12">
        <f>$BJ$285*24</f>
        <v>0</v>
      </c>
      <c r="BN285" s="12">
        <f>VALUE($I$285)/100</f>
        <v>1</v>
      </c>
      <c r="BO285" s="12">
        <v>0</v>
      </c>
      <c r="BP285" s="12">
        <v>0</v>
      </c>
      <c r="BQ285" s="12">
        <v>0</v>
      </c>
      <c r="BR285" s="12">
        <v>0</v>
      </c>
      <c r="BS285" s="12">
        <v>0</v>
      </c>
      <c r="BT285" s="12">
        <v>0</v>
      </c>
      <c r="BU285" s="12">
        <v>0</v>
      </c>
      <c r="BV285" s="12">
        <v>0</v>
      </c>
      <c r="BW285" s="12">
        <v>0</v>
      </c>
      <c r="BX285" s="12">
        <v>0</v>
      </c>
      <c r="BY285" s="12">
        <v>0</v>
      </c>
      <c r="BZ285" s="12">
        <v>0</v>
      </c>
      <c r="CA285" s="12">
        <v>0</v>
      </c>
    </row>
    <row r="286" spans="1:79" hidden="1" x14ac:dyDescent="0.2">
      <c r="A286" s="12" t="s">
        <v>141</v>
      </c>
      <c r="B286" s="12" t="s">
        <v>143</v>
      </c>
      <c r="C286" s="12" t="s">
        <v>143</v>
      </c>
      <c r="D286" s="22" t="s">
        <v>379</v>
      </c>
      <c r="E286" s="22" t="s">
        <v>161</v>
      </c>
      <c r="F286" s="22" t="s">
        <v>1050</v>
      </c>
      <c r="G286" s="22" t="s">
        <v>1051</v>
      </c>
      <c r="H286" s="22" t="s">
        <v>166</v>
      </c>
      <c r="I286" s="22" t="s">
        <v>151</v>
      </c>
      <c r="J286" s="22" t="s">
        <v>162</v>
      </c>
      <c r="K286" s="22" t="s">
        <v>97</v>
      </c>
      <c r="L286" s="54" t="s">
        <v>156</v>
      </c>
      <c r="M286" s="24" t="s">
        <v>156</v>
      </c>
      <c r="N286" s="24" t="s">
        <v>153</v>
      </c>
      <c r="O286" s="23" t="s">
        <v>153</v>
      </c>
      <c r="P286" s="23" t="s">
        <v>153</v>
      </c>
      <c r="Q286" s="23" t="s">
        <v>153</v>
      </c>
      <c r="R286" s="23" t="s">
        <v>153</v>
      </c>
      <c r="S286" s="23" t="s">
        <v>153</v>
      </c>
      <c r="T286" s="23" t="s">
        <v>153</v>
      </c>
      <c r="U286" s="24" t="s">
        <v>153</v>
      </c>
      <c r="V286" s="54" t="s">
        <v>153</v>
      </c>
      <c r="W286" s="23" t="s">
        <v>153</v>
      </c>
      <c r="X286" s="23" t="s">
        <v>153</v>
      </c>
      <c r="Y286" s="23" t="s">
        <v>153</v>
      </c>
      <c r="Z286" s="23" t="s">
        <v>153</v>
      </c>
      <c r="AA286" s="23" t="s">
        <v>153</v>
      </c>
      <c r="AB286" s="24" t="s">
        <v>153</v>
      </c>
      <c r="AC286" s="23" t="s">
        <v>153</v>
      </c>
      <c r="AD286" s="23" t="s">
        <v>153</v>
      </c>
      <c r="AE286" s="23" t="s">
        <v>153</v>
      </c>
      <c r="AF286" s="23" t="s">
        <v>153</v>
      </c>
      <c r="AG286" s="23" t="s">
        <v>153</v>
      </c>
      <c r="AH286" s="23" t="s">
        <v>153</v>
      </c>
      <c r="AI286" s="24" t="s">
        <v>153</v>
      </c>
      <c r="AJ286" s="23" t="s">
        <v>153</v>
      </c>
      <c r="AK286" s="23" t="s">
        <v>153</v>
      </c>
      <c r="AL286" s="23" t="s">
        <v>153</v>
      </c>
      <c r="AM286" s="23" t="s">
        <v>153</v>
      </c>
      <c r="AN286" s="23" t="s">
        <v>153</v>
      </c>
      <c r="AO286" s="23" t="s">
        <v>153</v>
      </c>
      <c r="AP286" s="23">
        <f>VALUE(41)</f>
        <v>41</v>
      </c>
      <c r="AQ286" s="23">
        <f>VALUE(0)</f>
        <v>0</v>
      </c>
      <c r="AR286" s="23">
        <f>VALUE(0)</f>
        <v>0</v>
      </c>
      <c r="AS286" s="23">
        <f>VALUE(0)</f>
        <v>0</v>
      </c>
      <c r="AT286" s="23">
        <f>VALUE(0)</f>
        <v>0</v>
      </c>
      <c r="AU286" s="23">
        <f>VALUE(0)</f>
        <v>0</v>
      </c>
      <c r="AV286" s="23">
        <f>VALUE(6)</f>
        <v>6</v>
      </c>
      <c r="AW286" s="23">
        <f>VALUE(0)</f>
        <v>0</v>
      </c>
      <c r="AX286" s="23" t="s">
        <v>1294</v>
      </c>
      <c r="AY286" s="23">
        <f>VALUE(0)</f>
        <v>0</v>
      </c>
      <c r="AZ286" s="23">
        <f>VALUE(0)</f>
        <v>0</v>
      </c>
      <c r="BA286" s="23">
        <f>VALUE(0)</f>
        <v>0</v>
      </c>
      <c r="BB286" s="23">
        <f>VALUE(0)</f>
        <v>0</v>
      </c>
      <c r="BC286" s="23">
        <f>VALUE(0)</f>
        <v>0</v>
      </c>
      <c r="BD286" s="23">
        <f>VALUE(0)</f>
        <v>0</v>
      </c>
      <c r="BE286" s="23">
        <f>VALUE(0)</f>
        <v>0</v>
      </c>
      <c r="BF286" s="23">
        <f>VALUE(0)</f>
        <v>0</v>
      </c>
      <c r="BG286" s="23">
        <f>VALUE(0)</f>
        <v>0</v>
      </c>
      <c r="BH286" s="23">
        <f>VALUE(0)</f>
        <v>0</v>
      </c>
      <c r="BI286" s="23">
        <f>VALUE(0)</f>
        <v>0</v>
      </c>
      <c r="BJ286" s="23">
        <f>VALUE(0)</f>
        <v>0</v>
      </c>
      <c r="BK286" s="12">
        <f>$AX$286*24</f>
        <v>12.133333333333333</v>
      </c>
      <c r="BL286" s="12">
        <f>$AY$286*24</f>
        <v>0</v>
      </c>
      <c r="BM286" s="12">
        <f>$BJ$286*24</f>
        <v>0</v>
      </c>
      <c r="BN286" s="12">
        <f>VALUE($I$286)/100</f>
        <v>1</v>
      </c>
      <c r="BO286" s="12">
        <v>0</v>
      </c>
      <c r="BP286" s="12">
        <v>0</v>
      </c>
      <c r="BQ286" s="12">
        <v>0</v>
      </c>
      <c r="BR286" s="12">
        <v>0</v>
      </c>
      <c r="BS286" s="12">
        <v>0</v>
      </c>
      <c r="BT286" s="12">
        <v>0</v>
      </c>
      <c r="BU286" s="12">
        <v>0</v>
      </c>
      <c r="BV286" s="12">
        <v>0</v>
      </c>
      <c r="BW286" s="12">
        <v>0</v>
      </c>
      <c r="BX286" s="12">
        <v>0</v>
      </c>
      <c r="BY286" s="12">
        <v>0</v>
      </c>
      <c r="BZ286" s="12">
        <v>0</v>
      </c>
      <c r="CA286" s="12">
        <v>0</v>
      </c>
    </row>
    <row r="287" spans="1:79" hidden="1" x14ac:dyDescent="0.2">
      <c r="A287" s="12" t="s">
        <v>141</v>
      </c>
      <c r="B287" s="12" t="s">
        <v>143</v>
      </c>
      <c r="C287" s="12" t="s">
        <v>143</v>
      </c>
      <c r="D287" s="22" t="s">
        <v>429</v>
      </c>
      <c r="E287" s="22" t="s">
        <v>161</v>
      </c>
      <c r="F287" s="22" t="s">
        <v>1052</v>
      </c>
      <c r="G287" s="22" t="s">
        <v>1053</v>
      </c>
      <c r="H287" s="22" t="s">
        <v>166</v>
      </c>
      <c r="I287" s="22" t="s">
        <v>151</v>
      </c>
      <c r="J287" s="22" t="s">
        <v>162</v>
      </c>
      <c r="K287" s="22" t="s">
        <v>97</v>
      </c>
      <c r="L287" s="54" t="s">
        <v>153</v>
      </c>
      <c r="M287" s="23" t="s">
        <v>153</v>
      </c>
      <c r="N287" s="24" t="s">
        <v>153</v>
      </c>
      <c r="O287" s="23" t="s">
        <v>153</v>
      </c>
      <c r="P287" s="23" t="s">
        <v>153</v>
      </c>
      <c r="Q287" s="23" t="s">
        <v>153</v>
      </c>
      <c r="R287" s="23" t="s">
        <v>153</v>
      </c>
      <c r="S287" s="24" t="s">
        <v>156</v>
      </c>
      <c r="T287" s="24" t="s">
        <v>156</v>
      </c>
      <c r="U287" s="24" t="s">
        <v>153</v>
      </c>
      <c r="V287" s="54" t="s">
        <v>153</v>
      </c>
      <c r="W287" s="23" t="s">
        <v>153</v>
      </c>
      <c r="X287" s="23" t="s">
        <v>153</v>
      </c>
      <c r="Y287" s="23" t="s">
        <v>153</v>
      </c>
      <c r="Z287" s="23" t="s">
        <v>153</v>
      </c>
      <c r="AA287" s="23" t="s">
        <v>153</v>
      </c>
      <c r="AB287" s="24" t="s">
        <v>153</v>
      </c>
      <c r="AC287" s="28" t="s">
        <v>163</v>
      </c>
      <c r="AD287" s="28" t="s">
        <v>163</v>
      </c>
      <c r="AE287" s="28" t="s">
        <v>163</v>
      </c>
      <c r="AF287" s="28" t="s">
        <v>163</v>
      </c>
      <c r="AG287" s="28" t="s">
        <v>163</v>
      </c>
      <c r="AH287" s="28" t="s">
        <v>163</v>
      </c>
      <c r="AI287" s="24" t="s">
        <v>153</v>
      </c>
      <c r="AJ287" s="28" t="s">
        <v>163</v>
      </c>
      <c r="AK287" s="28" t="s">
        <v>163</v>
      </c>
      <c r="AL287" s="28" t="s">
        <v>163</v>
      </c>
      <c r="AM287" s="28" t="s">
        <v>163</v>
      </c>
      <c r="AN287" s="23" t="s">
        <v>153</v>
      </c>
      <c r="AO287" s="23" t="s">
        <v>153</v>
      </c>
      <c r="AP287" s="23">
        <f>VALUE(36)</f>
        <v>36</v>
      </c>
      <c r="AQ287" s="23">
        <f>VALUE(0)</f>
        <v>0</v>
      </c>
      <c r="AR287" s="23">
        <f>VALUE(0)</f>
        <v>0</v>
      </c>
      <c r="AS287" s="23">
        <f>VALUE(0)</f>
        <v>0</v>
      </c>
      <c r="AT287" s="23">
        <f>VALUE(0)</f>
        <v>0</v>
      </c>
      <c r="AU287" s="23">
        <f>VALUE(10)</f>
        <v>10</v>
      </c>
      <c r="AV287" s="23">
        <f>VALUE(0)</f>
        <v>0</v>
      </c>
      <c r="AW287" s="23">
        <f>VALUE(0)</f>
        <v>0</v>
      </c>
      <c r="AX287" s="23" t="s">
        <v>1295</v>
      </c>
      <c r="AY287" s="23">
        <f>VALUE(0)</f>
        <v>0</v>
      </c>
      <c r="AZ287" s="23">
        <f>VALUE(0)</f>
        <v>0</v>
      </c>
      <c r="BA287" s="23">
        <f>VALUE(0)</f>
        <v>0</v>
      </c>
      <c r="BB287" s="23">
        <f>VALUE(0)</f>
        <v>0</v>
      </c>
      <c r="BC287" s="23">
        <f>VALUE(0)</f>
        <v>0</v>
      </c>
      <c r="BD287" s="23">
        <f>VALUE(0)</f>
        <v>0</v>
      </c>
      <c r="BE287" s="23">
        <f>VALUE(0)</f>
        <v>0</v>
      </c>
      <c r="BF287" s="23">
        <f>VALUE(0)</f>
        <v>0</v>
      </c>
      <c r="BG287" s="23">
        <f>VALUE(0)</f>
        <v>0</v>
      </c>
      <c r="BH287" s="23">
        <f>VALUE(0)</f>
        <v>0</v>
      </c>
      <c r="BI287" s="23">
        <f>VALUE(0)</f>
        <v>0</v>
      </c>
      <c r="BJ287" s="23">
        <f>VALUE(0)</f>
        <v>0</v>
      </c>
      <c r="BK287" s="12">
        <f>$AX$287*24</f>
        <v>4.5333333333333332</v>
      </c>
      <c r="BL287" s="12">
        <f>$AY$287*24</f>
        <v>0</v>
      </c>
      <c r="BM287" s="12">
        <f>$BJ$287*24</f>
        <v>0</v>
      </c>
      <c r="BN287" s="12">
        <f>VALUE($I$287)/100</f>
        <v>1</v>
      </c>
      <c r="BO287" s="12">
        <v>0</v>
      </c>
      <c r="BP287" s="12">
        <v>0</v>
      </c>
      <c r="BQ287" s="12">
        <v>0</v>
      </c>
      <c r="BR287" s="12">
        <v>0</v>
      </c>
      <c r="BS287" s="12">
        <v>0</v>
      </c>
      <c r="BT287" s="12">
        <v>0</v>
      </c>
      <c r="BU287" s="12">
        <v>0</v>
      </c>
      <c r="BV287" s="12">
        <v>0</v>
      </c>
      <c r="BW287" s="12">
        <v>0</v>
      </c>
      <c r="BX287" s="12">
        <v>0</v>
      </c>
      <c r="BY287" s="12">
        <v>0</v>
      </c>
      <c r="BZ287" s="12">
        <v>0</v>
      </c>
      <c r="CA287" s="12">
        <v>0</v>
      </c>
    </row>
    <row r="288" spans="1:79" hidden="1" x14ac:dyDescent="0.2">
      <c r="A288" s="12" t="s">
        <v>141</v>
      </c>
      <c r="B288" s="12" t="s">
        <v>143</v>
      </c>
      <c r="C288" s="12" t="s">
        <v>143</v>
      </c>
      <c r="D288" s="22" t="s">
        <v>534</v>
      </c>
      <c r="E288" s="22" t="s">
        <v>159</v>
      </c>
      <c r="F288" s="22" t="s">
        <v>535</v>
      </c>
      <c r="G288" s="22" t="s">
        <v>1054</v>
      </c>
      <c r="H288" s="22" t="s">
        <v>166</v>
      </c>
      <c r="I288" s="22" t="s">
        <v>151</v>
      </c>
      <c r="J288" s="22" t="s">
        <v>162</v>
      </c>
      <c r="K288" s="22" t="s">
        <v>97</v>
      </c>
      <c r="L288" s="54" t="s">
        <v>153</v>
      </c>
      <c r="M288" s="23" t="s">
        <v>300</v>
      </c>
      <c r="N288" s="24" t="s">
        <v>153</v>
      </c>
      <c r="O288" s="28" t="s">
        <v>163</v>
      </c>
      <c r="P288" s="28" t="s">
        <v>163</v>
      </c>
      <c r="Q288" s="28" t="s">
        <v>163</v>
      </c>
      <c r="R288" s="28" t="s">
        <v>163</v>
      </c>
      <c r="S288" s="28" t="s">
        <v>163</v>
      </c>
      <c r="T288" s="28" t="s">
        <v>163</v>
      </c>
      <c r="U288" s="24" t="s">
        <v>153</v>
      </c>
      <c r="V288" s="54" t="s">
        <v>153</v>
      </c>
      <c r="W288" s="23" t="s">
        <v>389</v>
      </c>
      <c r="X288" s="23" t="s">
        <v>389</v>
      </c>
      <c r="Y288" s="23" t="s">
        <v>389</v>
      </c>
      <c r="Z288" s="23" t="s">
        <v>389</v>
      </c>
      <c r="AA288" s="23" t="s">
        <v>389</v>
      </c>
      <c r="AB288" s="24" t="s">
        <v>153</v>
      </c>
      <c r="AC288" s="23" t="s">
        <v>185</v>
      </c>
      <c r="AD288" s="23" t="s">
        <v>185</v>
      </c>
      <c r="AE288" s="24" t="s">
        <v>156</v>
      </c>
      <c r="AF288" s="24" t="s">
        <v>156</v>
      </c>
      <c r="AG288" s="23" t="s">
        <v>185</v>
      </c>
      <c r="AH288" s="23" t="s">
        <v>185</v>
      </c>
      <c r="AI288" s="24" t="s">
        <v>153</v>
      </c>
      <c r="AJ288" s="23" t="s">
        <v>389</v>
      </c>
      <c r="AK288" s="23" t="s">
        <v>389</v>
      </c>
      <c r="AL288" s="23" t="s">
        <v>389</v>
      </c>
      <c r="AM288" s="23" t="s">
        <v>389</v>
      </c>
      <c r="AN288" s="23" t="s">
        <v>389</v>
      </c>
      <c r="AO288" s="23" t="s">
        <v>389</v>
      </c>
      <c r="AP288" s="23">
        <f>VALUE(24)</f>
        <v>24</v>
      </c>
      <c r="AQ288" s="23">
        <f>VALUE(0)</f>
        <v>0</v>
      </c>
      <c r="AR288" s="23">
        <f>VALUE(0)</f>
        <v>0</v>
      </c>
      <c r="AS288" s="23">
        <f>VALUE(0)</f>
        <v>0</v>
      </c>
      <c r="AT288" s="23">
        <f>VALUE(0)</f>
        <v>0</v>
      </c>
      <c r="AU288" s="23">
        <f>VALUE(6)</f>
        <v>6</v>
      </c>
      <c r="AV288" s="23">
        <f>VALUE(4)</f>
        <v>4</v>
      </c>
      <c r="AW288" s="23">
        <f>VALUE(0)</f>
        <v>0</v>
      </c>
      <c r="AX288" s="23" t="s">
        <v>1296</v>
      </c>
      <c r="AY288" s="23">
        <f>VALUE(0)</f>
        <v>0</v>
      </c>
      <c r="AZ288" s="23">
        <f>VALUE(0)</f>
        <v>0</v>
      </c>
      <c r="BA288" s="23">
        <f>VALUE(0)</f>
        <v>0</v>
      </c>
      <c r="BB288" s="23">
        <f>VALUE(0)</f>
        <v>0</v>
      </c>
      <c r="BC288" s="23">
        <f>VALUE(0)</f>
        <v>0</v>
      </c>
      <c r="BD288" s="23">
        <f>VALUE(0)</f>
        <v>0</v>
      </c>
      <c r="BE288" s="23">
        <f>VALUE(0)</f>
        <v>0</v>
      </c>
      <c r="BF288" s="23">
        <f>VALUE(0)</f>
        <v>0</v>
      </c>
      <c r="BG288" s="23">
        <f>VALUE(0)</f>
        <v>0</v>
      </c>
      <c r="BH288" s="23">
        <f>VALUE(0)</f>
        <v>0</v>
      </c>
      <c r="BI288" s="23">
        <f>VALUE(0)</f>
        <v>0</v>
      </c>
      <c r="BJ288" s="23">
        <f>VALUE(0)</f>
        <v>0</v>
      </c>
      <c r="BK288" s="12">
        <f>$AX$288*24</f>
        <v>35.700000000000003</v>
      </c>
      <c r="BL288" s="12">
        <f>$AY$288*24</f>
        <v>0</v>
      </c>
      <c r="BM288" s="12">
        <f>$BJ$288*24</f>
        <v>0</v>
      </c>
      <c r="BN288" s="12">
        <f>VALUE($I$288)/100</f>
        <v>1</v>
      </c>
      <c r="BO288" s="12">
        <v>0</v>
      </c>
      <c r="BP288" s="12">
        <v>0</v>
      </c>
      <c r="BQ288" s="12">
        <v>0</v>
      </c>
      <c r="BR288" s="12">
        <v>0</v>
      </c>
      <c r="BS288" s="12">
        <v>0</v>
      </c>
      <c r="BT288" s="12">
        <v>0</v>
      </c>
      <c r="BU288" s="12">
        <v>0</v>
      </c>
      <c r="BV288" s="12">
        <v>0</v>
      </c>
      <c r="BW288" s="12">
        <v>0</v>
      </c>
      <c r="BX288" s="12">
        <v>0</v>
      </c>
      <c r="BY288" s="12">
        <v>0</v>
      </c>
      <c r="BZ288" s="12">
        <v>0</v>
      </c>
      <c r="CA288" s="12">
        <v>0</v>
      </c>
    </row>
    <row r="289" spans="1:79" hidden="1" x14ac:dyDescent="0.2">
      <c r="A289" s="12" t="s">
        <v>141</v>
      </c>
      <c r="B289" s="12" t="s">
        <v>143</v>
      </c>
      <c r="C289" s="12" t="s">
        <v>143</v>
      </c>
      <c r="D289" s="22" t="s">
        <v>536</v>
      </c>
      <c r="E289" s="22" t="s">
        <v>159</v>
      </c>
      <c r="F289" s="22" t="s">
        <v>1055</v>
      </c>
      <c r="G289" s="22" t="s">
        <v>1056</v>
      </c>
      <c r="H289" s="22" t="s">
        <v>150</v>
      </c>
      <c r="I289" s="22" t="s">
        <v>151</v>
      </c>
      <c r="J289" s="22" t="s">
        <v>162</v>
      </c>
      <c r="K289" s="22" t="s">
        <v>97</v>
      </c>
      <c r="L289" s="54" t="s">
        <v>153</v>
      </c>
      <c r="M289" s="27" t="s">
        <v>153</v>
      </c>
      <c r="N289" s="27" t="s">
        <v>153</v>
      </c>
      <c r="O289" s="27" t="s">
        <v>153</v>
      </c>
      <c r="P289" s="27" t="s">
        <v>153</v>
      </c>
      <c r="Q289" s="27" t="s">
        <v>153</v>
      </c>
      <c r="R289" s="27" t="s">
        <v>153</v>
      </c>
      <c r="S289" s="27" t="s">
        <v>153</v>
      </c>
      <c r="T289" s="27" t="s">
        <v>153</v>
      </c>
      <c r="U289" s="27" t="s">
        <v>153</v>
      </c>
      <c r="V289" s="54" t="s">
        <v>153</v>
      </c>
      <c r="W289" s="27" t="s">
        <v>153</v>
      </c>
      <c r="X289" s="27" t="s">
        <v>153</v>
      </c>
      <c r="Y289" s="27" t="s">
        <v>153</v>
      </c>
      <c r="Z289" s="27" t="s">
        <v>153</v>
      </c>
      <c r="AA289" s="27" t="s">
        <v>153</v>
      </c>
      <c r="AB289" s="27" t="s">
        <v>153</v>
      </c>
      <c r="AC289" s="27" t="s">
        <v>153</v>
      </c>
      <c r="AD289" s="27" t="s">
        <v>153</v>
      </c>
      <c r="AE289" s="27" t="s">
        <v>153</v>
      </c>
      <c r="AF289" s="27" t="s">
        <v>153</v>
      </c>
      <c r="AG289" s="27" t="s">
        <v>153</v>
      </c>
      <c r="AH289" s="27" t="s">
        <v>153</v>
      </c>
      <c r="AI289" s="27" t="s">
        <v>153</v>
      </c>
      <c r="AJ289" s="27" t="s">
        <v>153</v>
      </c>
      <c r="AK289" s="27" t="s">
        <v>153</v>
      </c>
      <c r="AL289" s="27" t="s">
        <v>153</v>
      </c>
      <c r="AM289" s="27" t="s">
        <v>153</v>
      </c>
      <c r="AN289" s="27" t="s">
        <v>153</v>
      </c>
      <c r="AO289" s="27" t="s">
        <v>153</v>
      </c>
      <c r="AP289" s="23">
        <f>VALUE(0)</f>
        <v>0</v>
      </c>
      <c r="AQ289" s="23">
        <f>VALUE(0)</f>
        <v>0</v>
      </c>
      <c r="AR289" s="23">
        <f>VALUE(0)</f>
        <v>0</v>
      </c>
      <c r="AS289" s="23">
        <f>VALUE(0)</f>
        <v>0</v>
      </c>
      <c r="AT289" s="23">
        <f>VALUE(0)</f>
        <v>0</v>
      </c>
      <c r="AU289" s="23">
        <f>VALUE(0)</f>
        <v>0</v>
      </c>
      <c r="AV289" s="23">
        <f>VALUE(0)</f>
        <v>0</v>
      </c>
      <c r="AW289" s="23">
        <f>VALUE(0)</f>
        <v>0</v>
      </c>
      <c r="AX289" s="23">
        <f>VALUE(0)</f>
        <v>0</v>
      </c>
      <c r="AY289" s="23">
        <f>VALUE(0)</f>
        <v>0</v>
      </c>
      <c r="AZ289" s="23">
        <f>VALUE(0)</f>
        <v>0</v>
      </c>
      <c r="BA289" s="23">
        <f>VALUE(0)</f>
        <v>0</v>
      </c>
      <c r="BB289" s="23">
        <f>VALUE(0)</f>
        <v>0</v>
      </c>
      <c r="BC289" s="23">
        <f>VALUE(0)</f>
        <v>0</v>
      </c>
      <c r="BD289" s="23">
        <f>VALUE(0)</f>
        <v>0</v>
      </c>
      <c r="BE289" s="23">
        <f>VALUE(0)</f>
        <v>0</v>
      </c>
      <c r="BF289" s="23">
        <f>VALUE(0)</f>
        <v>0</v>
      </c>
      <c r="BG289" s="23">
        <f>VALUE(0)</f>
        <v>0</v>
      </c>
      <c r="BH289" s="23">
        <f>VALUE(0)</f>
        <v>0</v>
      </c>
      <c r="BI289" s="23">
        <f>VALUE(0)</f>
        <v>0</v>
      </c>
      <c r="BJ289" s="23">
        <f>VALUE(0)</f>
        <v>0</v>
      </c>
      <c r="BK289" s="12">
        <f>$AX$289*24</f>
        <v>0</v>
      </c>
      <c r="BL289" s="12">
        <f>$AY$289*24</f>
        <v>0</v>
      </c>
      <c r="BM289" s="12">
        <f>$BJ$289*24</f>
        <v>0</v>
      </c>
      <c r="BN289" s="12">
        <f>VALUE($I$289)/100</f>
        <v>1</v>
      </c>
      <c r="BO289" s="12">
        <v>0</v>
      </c>
      <c r="BP289" s="12">
        <v>0</v>
      </c>
      <c r="BQ289" s="12">
        <v>0</v>
      </c>
      <c r="BR289" s="12">
        <v>0</v>
      </c>
      <c r="BS289" s="12">
        <v>0</v>
      </c>
      <c r="BT289" s="12">
        <v>0</v>
      </c>
      <c r="BU289" s="12">
        <v>0</v>
      </c>
      <c r="BV289" s="12">
        <v>0</v>
      </c>
      <c r="BW289" s="12">
        <v>0</v>
      </c>
      <c r="BX289" s="12">
        <v>0</v>
      </c>
      <c r="BY289" s="12">
        <v>0</v>
      </c>
      <c r="BZ289" s="12">
        <v>0</v>
      </c>
      <c r="CA289" s="12">
        <v>0</v>
      </c>
    </row>
    <row r="290" spans="1:79" hidden="1" x14ac:dyDescent="0.2">
      <c r="A290" s="12" t="s">
        <v>141</v>
      </c>
      <c r="B290" s="12" t="s">
        <v>143</v>
      </c>
      <c r="C290" s="12" t="s">
        <v>143</v>
      </c>
      <c r="D290" s="22" t="s">
        <v>435</v>
      </c>
      <c r="E290" s="22" t="s">
        <v>173</v>
      </c>
      <c r="F290" s="22" t="s">
        <v>1057</v>
      </c>
      <c r="G290" s="22" t="s">
        <v>1058</v>
      </c>
      <c r="H290" s="22" t="s">
        <v>150</v>
      </c>
      <c r="I290" s="22" t="s">
        <v>151</v>
      </c>
      <c r="J290" s="22" t="s">
        <v>162</v>
      </c>
      <c r="K290" s="22" t="s">
        <v>97</v>
      </c>
      <c r="L290" s="54" t="s">
        <v>153</v>
      </c>
      <c r="M290" s="23" t="s">
        <v>380</v>
      </c>
      <c r="N290" s="24" t="s">
        <v>153</v>
      </c>
      <c r="O290" s="23" t="s">
        <v>380</v>
      </c>
      <c r="P290" s="23" t="s">
        <v>380</v>
      </c>
      <c r="Q290" s="23" t="s">
        <v>380</v>
      </c>
      <c r="R290" s="23" t="s">
        <v>380</v>
      </c>
      <c r="S290" s="23" t="s">
        <v>380</v>
      </c>
      <c r="T290" s="23" t="s">
        <v>380</v>
      </c>
      <c r="U290" s="24" t="s">
        <v>153</v>
      </c>
      <c r="V290" s="54" t="s">
        <v>153</v>
      </c>
      <c r="W290" s="23" t="s">
        <v>380</v>
      </c>
      <c r="X290" s="23" t="s">
        <v>380</v>
      </c>
      <c r="Y290" s="23" t="s">
        <v>380</v>
      </c>
      <c r="Z290" s="23" t="s">
        <v>380</v>
      </c>
      <c r="AA290" s="23" t="s">
        <v>380</v>
      </c>
      <c r="AB290" s="24" t="s">
        <v>153</v>
      </c>
      <c r="AC290" s="24" t="s">
        <v>156</v>
      </c>
      <c r="AD290" s="24" t="s">
        <v>156</v>
      </c>
      <c r="AE290" s="23" t="s">
        <v>380</v>
      </c>
      <c r="AF290" s="23" t="s">
        <v>380</v>
      </c>
      <c r="AG290" s="23" t="s">
        <v>380</v>
      </c>
      <c r="AH290" s="23" t="s">
        <v>380</v>
      </c>
      <c r="AI290" s="24" t="s">
        <v>153</v>
      </c>
      <c r="AJ290" s="23" t="s">
        <v>380</v>
      </c>
      <c r="AK290" s="23" t="s">
        <v>380</v>
      </c>
      <c r="AL290" s="23" t="s">
        <v>380</v>
      </c>
      <c r="AM290" s="23" t="s">
        <v>380</v>
      </c>
      <c r="AN290" s="23" t="s">
        <v>380</v>
      </c>
      <c r="AO290" s="23" t="s">
        <v>380</v>
      </c>
      <c r="AP290" s="23">
        <f>VALUE(32)</f>
        <v>32</v>
      </c>
      <c r="AQ290" s="23">
        <f>VALUE(0)</f>
        <v>0</v>
      </c>
      <c r="AR290" s="23">
        <f>VALUE(0)</f>
        <v>0</v>
      </c>
      <c r="AS290" s="23">
        <f>VALUE(0)</f>
        <v>0</v>
      </c>
      <c r="AT290" s="23">
        <f>VALUE(0)</f>
        <v>0</v>
      </c>
      <c r="AU290" s="23">
        <f>VALUE(0)</f>
        <v>0</v>
      </c>
      <c r="AV290" s="23">
        <f>VALUE(6)</f>
        <v>6</v>
      </c>
      <c r="AW290" s="23">
        <f>VALUE(0)</f>
        <v>0</v>
      </c>
      <c r="AX290" s="23">
        <f>VALUE(0)</f>
        <v>0</v>
      </c>
      <c r="AY290" s="23">
        <f>VALUE(0)</f>
        <v>0</v>
      </c>
      <c r="AZ290" s="23">
        <f>VALUE(0)</f>
        <v>0</v>
      </c>
      <c r="BA290" s="23">
        <f>VALUE(0)</f>
        <v>0</v>
      </c>
      <c r="BB290" s="23">
        <f>VALUE(0)</f>
        <v>0</v>
      </c>
      <c r="BC290" s="23">
        <f>VALUE(0)</f>
        <v>0</v>
      </c>
      <c r="BD290" s="23">
        <f>VALUE(0)</f>
        <v>0</v>
      </c>
      <c r="BE290" s="23">
        <f>VALUE(0)</f>
        <v>0</v>
      </c>
      <c r="BF290" s="23">
        <f>VALUE(0)</f>
        <v>0</v>
      </c>
      <c r="BG290" s="23">
        <f>VALUE(0)</f>
        <v>0</v>
      </c>
      <c r="BH290" s="23">
        <f>VALUE(0)</f>
        <v>0</v>
      </c>
      <c r="BI290" s="23">
        <f>VALUE(0)</f>
        <v>0</v>
      </c>
      <c r="BJ290" s="23">
        <f>VALUE(0)</f>
        <v>0</v>
      </c>
      <c r="BK290" s="12">
        <f>$AX$290*24</f>
        <v>0</v>
      </c>
      <c r="BL290" s="12">
        <f>$AY$290*24</f>
        <v>0</v>
      </c>
      <c r="BM290" s="12">
        <f>$BJ$290*24</f>
        <v>0</v>
      </c>
      <c r="BN290" s="12">
        <f>VALUE($I$290)/100</f>
        <v>1</v>
      </c>
      <c r="BO290" s="12">
        <v>0</v>
      </c>
      <c r="BP290" s="12">
        <v>0</v>
      </c>
      <c r="BQ290" s="12">
        <v>0</v>
      </c>
      <c r="BR290" s="12">
        <v>0</v>
      </c>
      <c r="BS290" s="12">
        <v>0</v>
      </c>
      <c r="BT290" s="12">
        <v>0</v>
      </c>
      <c r="BU290" s="12">
        <v>0</v>
      </c>
      <c r="BV290" s="12">
        <v>0</v>
      </c>
      <c r="BW290" s="12">
        <v>0</v>
      </c>
      <c r="BX290" s="12">
        <v>0</v>
      </c>
      <c r="BY290" s="12">
        <v>0</v>
      </c>
      <c r="BZ290" s="12">
        <v>0</v>
      </c>
      <c r="CA290" s="12">
        <v>0</v>
      </c>
    </row>
    <row r="291" spans="1:79" ht="15" hidden="1" x14ac:dyDescent="0.25">
      <c r="A291" s="12" t="s">
        <v>141</v>
      </c>
      <c r="B291" s="12" t="s">
        <v>143</v>
      </c>
      <c r="C291" s="12" t="s">
        <v>143</v>
      </c>
      <c r="D291" s="31" t="s">
        <v>202</v>
      </c>
      <c r="E291" s="31" t="s">
        <v>153</v>
      </c>
      <c r="F291" s="31" t="s">
        <v>175</v>
      </c>
      <c r="G291" s="31" t="s">
        <v>153</v>
      </c>
      <c r="H291" s="31" t="s">
        <v>153</v>
      </c>
      <c r="I291" s="31" t="s">
        <v>153</v>
      </c>
      <c r="J291" s="31" t="s">
        <v>153</v>
      </c>
      <c r="K291" s="31" t="s">
        <v>153</v>
      </c>
      <c r="L291" s="31">
        <f>VALUE(0)</f>
        <v>0</v>
      </c>
      <c r="M291" s="31">
        <f>VALUE(10)</f>
        <v>10</v>
      </c>
      <c r="N291" s="31">
        <f>VALUE(0)</f>
        <v>0</v>
      </c>
      <c r="O291" s="31">
        <f>VALUE(11)</f>
        <v>11</v>
      </c>
      <c r="P291" s="31">
        <f>VALUE(11)</f>
        <v>11</v>
      </c>
      <c r="Q291" s="31">
        <f>VALUE(11)</f>
        <v>11</v>
      </c>
      <c r="R291" s="31">
        <f>VALUE(11)</f>
        <v>11</v>
      </c>
      <c r="S291" s="31">
        <f>VALUE(10)</f>
        <v>10</v>
      </c>
      <c r="T291" s="31">
        <f>VALUE(10)</f>
        <v>10</v>
      </c>
      <c r="U291" s="31">
        <f>VALUE(0)</f>
        <v>0</v>
      </c>
      <c r="V291" s="31">
        <f>VALUE(0)</f>
        <v>0</v>
      </c>
      <c r="W291" s="31">
        <f>VALUE(10)</f>
        <v>10</v>
      </c>
      <c r="X291" s="31">
        <f>VALUE(10)</f>
        <v>10</v>
      </c>
      <c r="Y291" s="31">
        <f>VALUE(10)</f>
        <v>10</v>
      </c>
      <c r="Z291" s="31">
        <f>VALUE(11)</f>
        <v>11</v>
      </c>
      <c r="AA291" s="31">
        <f>VALUE(11)</f>
        <v>11</v>
      </c>
      <c r="AB291" s="31">
        <f>VALUE(0)</f>
        <v>0</v>
      </c>
      <c r="AC291" s="31">
        <f>VALUE(10)</f>
        <v>10</v>
      </c>
      <c r="AD291" s="31">
        <f>VALUE(10)</f>
        <v>10</v>
      </c>
      <c r="AE291" s="31">
        <f>VALUE(10)</f>
        <v>10</v>
      </c>
      <c r="AF291" s="31">
        <f>VALUE(10)</f>
        <v>10</v>
      </c>
      <c r="AG291" s="31">
        <f>VALUE(10)</f>
        <v>10</v>
      </c>
      <c r="AH291" s="31">
        <f>VALUE(10)</f>
        <v>10</v>
      </c>
      <c r="AI291" s="31">
        <f>VALUE(0)</f>
        <v>0</v>
      </c>
      <c r="AJ291" s="31">
        <f>VALUE(10)</f>
        <v>10</v>
      </c>
      <c r="AK291" s="31">
        <f>VALUE(10)</f>
        <v>10</v>
      </c>
      <c r="AL291" s="31">
        <f>VALUE(10)</f>
        <v>10</v>
      </c>
      <c r="AM291" s="31">
        <f>VALUE(10)</f>
        <v>10</v>
      </c>
      <c r="AN291" s="31">
        <f>VALUE(12)</f>
        <v>12</v>
      </c>
      <c r="AO291" s="31">
        <f>VALUE(12)</f>
        <v>12</v>
      </c>
      <c r="AP291" s="31">
        <v>0</v>
      </c>
      <c r="AQ291" s="31">
        <v>0</v>
      </c>
      <c r="AR291" s="31">
        <v>0</v>
      </c>
      <c r="AS291" s="31">
        <v>0</v>
      </c>
      <c r="AT291" s="31">
        <v>0</v>
      </c>
      <c r="AU291" s="31">
        <v>0</v>
      </c>
      <c r="AV291" s="31">
        <v>0</v>
      </c>
      <c r="AW291" s="31">
        <v>0</v>
      </c>
      <c r="AX291" s="31">
        <v>0</v>
      </c>
      <c r="AY291" s="31">
        <v>0</v>
      </c>
      <c r="AZ291" s="31">
        <v>0</v>
      </c>
      <c r="BA291" s="31">
        <v>0</v>
      </c>
      <c r="BB291" s="31">
        <v>0</v>
      </c>
      <c r="BC291" s="31">
        <v>0</v>
      </c>
      <c r="BD291" s="31">
        <v>0</v>
      </c>
      <c r="BE291" s="31">
        <v>0</v>
      </c>
      <c r="BF291" s="31">
        <v>0</v>
      </c>
      <c r="BG291" s="31">
        <v>0</v>
      </c>
      <c r="BH291" s="31">
        <v>0</v>
      </c>
      <c r="BI291" s="31">
        <v>0</v>
      </c>
      <c r="BJ291" s="31">
        <v>0</v>
      </c>
      <c r="BK291" s="12">
        <v>0</v>
      </c>
      <c r="BL291" s="12">
        <v>0</v>
      </c>
      <c r="BM291" s="12">
        <v>0</v>
      </c>
      <c r="BN291" s="12"/>
      <c r="BO291" s="12">
        <v>0</v>
      </c>
      <c r="BP291" s="12">
        <v>0</v>
      </c>
      <c r="BQ291" s="12">
        <v>0</v>
      </c>
      <c r="BR291" s="12">
        <v>0</v>
      </c>
      <c r="BS291" s="12">
        <v>0</v>
      </c>
      <c r="BT291" s="12">
        <v>0</v>
      </c>
      <c r="BU291" s="12">
        <v>0</v>
      </c>
      <c r="BV291" s="12">
        <v>0</v>
      </c>
      <c r="BW291" s="12">
        <v>0</v>
      </c>
      <c r="BX291" s="12">
        <v>0</v>
      </c>
      <c r="BY291" s="12">
        <v>0</v>
      </c>
      <c r="BZ291" s="12">
        <v>0</v>
      </c>
      <c r="CA291" s="12">
        <v>0</v>
      </c>
    </row>
    <row r="292" spans="1:79" hidden="1" x14ac:dyDescent="0.2">
      <c r="A292" s="12" t="s">
        <v>141</v>
      </c>
      <c r="B292" s="12" t="s">
        <v>144</v>
      </c>
      <c r="C292" s="12" t="s">
        <v>144</v>
      </c>
      <c r="D292" s="22" t="s">
        <v>1286</v>
      </c>
      <c r="E292" s="22" t="s">
        <v>149</v>
      </c>
      <c r="F292" s="22" t="s">
        <v>1059</v>
      </c>
      <c r="G292" s="22" t="s">
        <v>1060</v>
      </c>
      <c r="H292" s="22" t="s">
        <v>166</v>
      </c>
      <c r="I292" s="22" t="s">
        <v>151</v>
      </c>
      <c r="J292" s="22" t="s">
        <v>524</v>
      </c>
      <c r="K292" s="22" t="s">
        <v>98</v>
      </c>
      <c r="L292" s="54" t="s">
        <v>153</v>
      </c>
      <c r="M292" s="30" t="s">
        <v>28</v>
      </c>
      <c r="N292" s="24" t="s">
        <v>153</v>
      </c>
      <c r="O292" s="28" t="s">
        <v>163</v>
      </c>
      <c r="P292" s="28" t="s">
        <v>163</v>
      </c>
      <c r="Q292" s="28" t="s">
        <v>163</v>
      </c>
      <c r="R292" s="28" t="s">
        <v>163</v>
      </c>
      <c r="S292" s="28" t="s">
        <v>163</v>
      </c>
      <c r="T292" s="28" t="s">
        <v>163</v>
      </c>
      <c r="U292" s="24" t="s">
        <v>153</v>
      </c>
      <c r="V292" s="54" t="s">
        <v>153</v>
      </c>
      <c r="W292" s="23" t="s">
        <v>153</v>
      </c>
      <c r="X292" s="23" t="s">
        <v>537</v>
      </c>
      <c r="Y292" s="23" t="s">
        <v>537</v>
      </c>
      <c r="Z292" s="23" t="s">
        <v>537</v>
      </c>
      <c r="AA292" s="23" t="s">
        <v>537</v>
      </c>
      <c r="AB292" s="24" t="s">
        <v>153</v>
      </c>
      <c r="AC292" s="23" t="s">
        <v>182</v>
      </c>
      <c r="AD292" s="23" t="s">
        <v>182</v>
      </c>
      <c r="AE292" s="23" t="s">
        <v>538</v>
      </c>
      <c r="AF292" s="23" t="s">
        <v>538</v>
      </c>
      <c r="AG292" s="23" t="s">
        <v>539</v>
      </c>
      <c r="AH292" s="23" t="s">
        <v>539</v>
      </c>
      <c r="AI292" s="24" t="s">
        <v>153</v>
      </c>
      <c r="AJ292" s="25" t="s">
        <v>539</v>
      </c>
      <c r="AK292" s="25" t="s">
        <v>539</v>
      </c>
      <c r="AL292" s="25" t="s">
        <v>539</v>
      </c>
      <c r="AM292" s="25" t="s">
        <v>539</v>
      </c>
      <c r="AN292" s="25" t="s">
        <v>539</v>
      </c>
      <c r="AO292" s="25" t="s">
        <v>539</v>
      </c>
      <c r="AP292" s="23">
        <f>VALUE(23)</f>
        <v>23</v>
      </c>
      <c r="AQ292" s="23">
        <f>VALUE(0)</f>
        <v>0</v>
      </c>
      <c r="AR292" s="23">
        <f>VALUE(0)</f>
        <v>0</v>
      </c>
      <c r="AS292" s="23">
        <f>VALUE(0)</f>
        <v>0</v>
      </c>
      <c r="AT292" s="23">
        <f>VALUE(0)</f>
        <v>0</v>
      </c>
      <c r="AU292" s="23">
        <f>VALUE(6)</f>
        <v>6</v>
      </c>
      <c r="AV292" s="23">
        <f>VALUE(2)</f>
        <v>2</v>
      </c>
      <c r="AW292" s="23">
        <f>VALUE(0)</f>
        <v>0</v>
      </c>
      <c r="AX292" s="23" t="s">
        <v>1297</v>
      </c>
      <c r="AY292" s="23">
        <f>VALUE(0)</f>
        <v>0</v>
      </c>
      <c r="AZ292" s="23">
        <f>VALUE(0)</f>
        <v>0</v>
      </c>
      <c r="BA292" s="23">
        <f>VALUE(0)</f>
        <v>0</v>
      </c>
      <c r="BB292" s="23">
        <f>VALUE(0)</f>
        <v>0</v>
      </c>
      <c r="BC292" s="23">
        <f>VALUE(0)</f>
        <v>0</v>
      </c>
      <c r="BD292" s="23">
        <f>VALUE(0)</f>
        <v>0</v>
      </c>
      <c r="BE292" s="23">
        <f>VALUE(0)</f>
        <v>0</v>
      </c>
      <c r="BF292" s="23">
        <f>VALUE(0)</f>
        <v>0</v>
      </c>
      <c r="BG292" s="23">
        <f>VALUE(0)</f>
        <v>0</v>
      </c>
      <c r="BH292" s="23">
        <f>VALUE(0)</f>
        <v>0</v>
      </c>
      <c r="BI292" s="23">
        <f>VALUE(0)</f>
        <v>0</v>
      </c>
      <c r="BJ292" s="23">
        <f>VALUE(0)</f>
        <v>0</v>
      </c>
      <c r="BK292" s="12">
        <f>$AX$292*24</f>
        <v>96.483333333333334</v>
      </c>
      <c r="BL292" s="12">
        <f>$AY$292*24</f>
        <v>0</v>
      </c>
      <c r="BM292" s="12">
        <f>$BJ$292*24</f>
        <v>0</v>
      </c>
      <c r="BN292" s="12">
        <f>VALUE($I$292)/100</f>
        <v>1</v>
      </c>
      <c r="BO292" s="12">
        <v>0</v>
      </c>
      <c r="BP292" s="12">
        <v>0</v>
      </c>
      <c r="BQ292" s="12">
        <v>1</v>
      </c>
      <c r="BR292" s="12">
        <v>0</v>
      </c>
      <c r="BS292" s="12">
        <v>0</v>
      </c>
      <c r="BT292" s="12">
        <v>0</v>
      </c>
      <c r="BU292" s="12">
        <v>0</v>
      </c>
      <c r="BV292" s="12">
        <v>0</v>
      </c>
      <c r="BW292" s="12">
        <v>0</v>
      </c>
      <c r="BX292" s="12">
        <v>0</v>
      </c>
      <c r="BY292" s="12">
        <v>0</v>
      </c>
      <c r="BZ292" s="12">
        <v>0</v>
      </c>
      <c r="CA292" s="12">
        <v>0</v>
      </c>
    </row>
    <row r="293" spans="1:79" ht="16.5" hidden="1" x14ac:dyDescent="0.2">
      <c r="A293" s="12" t="s">
        <v>141</v>
      </c>
      <c r="B293" s="12" t="s">
        <v>144</v>
      </c>
      <c r="C293" s="12" t="s">
        <v>144</v>
      </c>
      <c r="D293" s="22" t="s">
        <v>1298</v>
      </c>
      <c r="E293" s="22" t="s">
        <v>161</v>
      </c>
      <c r="F293" s="22" t="s">
        <v>1061</v>
      </c>
      <c r="G293" s="22" t="s">
        <v>1062</v>
      </c>
      <c r="H293" s="22" t="s">
        <v>150</v>
      </c>
      <c r="I293" s="22" t="s">
        <v>151</v>
      </c>
      <c r="J293" s="22" t="s">
        <v>530</v>
      </c>
      <c r="K293" s="22" t="s">
        <v>98</v>
      </c>
      <c r="L293" s="54" t="s">
        <v>153</v>
      </c>
      <c r="M293" s="26" t="s">
        <v>1299</v>
      </c>
      <c r="N293" s="24" t="s">
        <v>153</v>
      </c>
      <c r="O293" s="23" t="s">
        <v>540</v>
      </c>
      <c r="P293" s="23" t="s">
        <v>540</v>
      </c>
      <c r="Q293" s="23" t="s">
        <v>153</v>
      </c>
      <c r="R293" s="23" t="s">
        <v>153</v>
      </c>
      <c r="S293" s="23" t="s">
        <v>153</v>
      </c>
      <c r="T293" s="26" t="s">
        <v>1299</v>
      </c>
      <c r="U293" s="24" t="s">
        <v>153</v>
      </c>
      <c r="V293" s="54" t="s">
        <v>153</v>
      </c>
      <c r="W293" s="23" t="s">
        <v>153</v>
      </c>
      <c r="X293" s="23" t="s">
        <v>153</v>
      </c>
      <c r="Y293" s="23" t="s">
        <v>153</v>
      </c>
      <c r="Z293" s="23" t="s">
        <v>153</v>
      </c>
      <c r="AA293" s="26" t="s">
        <v>1299</v>
      </c>
      <c r="AB293" s="24" t="s">
        <v>153</v>
      </c>
      <c r="AC293" s="23" t="s">
        <v>153</v>
      </c>
      <c r="AD293" s="23" t="s">
        <v>153</v>
      </c>
      <c r="AE293" s="23" t="s">
        <v>153</v>
      </c>
      <c r="AF293" s="23" t="s">
        <v>153</v>
      </c>
      <c r="AG293" s="23" t="s">
        <v>153</v>
      </c>
      <c r="AH293" s="26" t="s">
        <v>1299</v>
      </c>
      <c r="AI293" s="24" t="s">
        <v>153</v>
      </c>
      <c r="AJ293" s="23" t="s">
        <v>153</v>
      </c>
      <c r="AK293" s="23" t="s">
        <v>153</v>
      </c>
      <c r="AL293" s="24" t="s">
        <v>156</v>
      </c>
      <c r="AM293" s="24" t="s">
        <v>156</v>
      </c>
      <c r="AN293" s="23" t="s">
        <v>153</v>
      </c>
      <c r="AO293" s="26" t="s">
        <v>1299</v>
      </c>
      <c r="AP293" s="23">
        <f>VALUE(32)</f>
        <v>32</v>
      </c>
      <c r="AQ293" s="23">
        <f>VALUE(0)</f>
        <v>0</v>
      </c>
      <c r="AR293" s="23">
        <f>VALUE(0)</f>
        <v>0</v>
      </c>
      <c r="AS293" s="23">
        <f>VALUE(0)</f>
        <v>0</v>
      </c>
      <c r="AT293" s="23">
        <f>VALUE(0)</f>
        <v>0</v>
      </c>
      <c r="AU293" s="23">
        <f>VALUE(0)</f>
        <v>0</v>
      </c>
      <c r="AV293" s="23">
        <f>VALUE(2)</f>
        <v>2</v>
      </c>
      <c r="AW293" s="23">
        <f>VALUE(0)</f>
        <v>0</v>
      </c>
      <c r="AX293" s="23" t="s">
        <v>158</v>
      </c>
      <c r="AY293" s="23" t="s">
        <v>1300</v>
      </c>
      <c r="AZ293" s="23">
        <f>VALUE(0)</f>
        <v>0</v>
      </c>
      <c r="BA293" s="23">
        <f>VALUE(0)</f>
        <v>0</v>
      </c>
      <c r="BB293" s="23">
        <f>VALUE(0)</f>
        <v>0</v>
      </c>
      <c r="BC293" s="23">
        <f>VALUE(0)</f>
        <v>0</v>
      </c>
      <c r="BD293" s="23">
        <f>VALUE(0)</f>
        <v>0</v>
      </c>
      <c r="BE293" s="23">
        <f>VALUE(0)</f>
        <v>0</v>
      </c>
      <c r="BF293" s="23">
        <f>VALUE(0)</f>
        <v>0</v>
      </c>
      <c r="BG293" s="23">
        <f>VALUE(0)</f>
        <v>0</v>
      </c>
      <c r="BH293" s="23">
        <f>VALUE(0)</f>
        <v>0</v>
      </c>
      <c r="BI293" s="23">
        <f>VALUE(0)</f>
        <v>0</v>
      </c>
      <c r="BJ293" s="23">
        <f>VALUE(0)</f>
        <v>0</v>
      </c>
      <c r="BK293" s="12">
        <f>$AX$293*24</f>
        <v>11.666666666666666</v>
      </c>
      <c r="BL293" s="12">
        <f>$AY$293*24</f>
        <v>5.7</v>
      </c>
      <c r="BM293" s="12">
        <f>$BJ$293*24</f>
        <v>0</v>
      </c>
      <c r="BN293" s="12">
        <f>VALUE($I$293)/100</f>
        <v>1</v>
      </c>
      <c r="BO293" s="12">
        <v>0</v>
      </c>
      <c r="BP293" s="12">
        <v>0</v>
      </c>
      <c r="BQ293" s="12">
        <v>0</v>
      </c>
      <c r="BR293" s="12">
        <v>0</v>
      </c>
      <c r="BS293" s="12">
        <v>0</v>
      </c>
      <c r="BT293" s="12">
        <v>0</v>
      </c>
      <c r="BU293" s="12">
        <v>0</v>
      </c>
      <c r="BV293" s="12">
        <v>0</v>
      </c>
      <c r="BW293" s="12">
        <v>0</v>
      </c>
      <c r="BX293" s="12">
        <v>0</v>
      </c>
      <c r="BY293" s="12">
        <v>0</v>
      </c>
      <c r="BZ293" s="12">
        <v>0</v>
      </c>
      <c r="CA293" s="12">
        <v>0</v>
      </c>
    </row>
    <row r="294" spans="1:79" hidden="1" x14ac:dyDescent="0.2">
      <c r="A294" s="12" t="s">
        <v>141</v>
      </c>
      <c r="B294" s="12" t="s">
        <v>144</v>
      </c>
      <c r="C294" s="12" t="s">
        <v>144</v>
      </c>
      <c r="D294" s="22" t="s">
        <v>542</v>
      </c>
      <c r="E294" s="22" t="s">
        <v>161</v>
      </c>
      <c r="F294" s="22" t="s">
        <v>1063</v>
      </c>
      <c r="G294" s="22" t="s">
        <v>1064</v>
      </c>
      <c r="H294" s="22" t="s">
        <v>166</v>
      </c>
      <c r="I294" s="22" t="s">
        <v>151</v>
      </c>
      <c r="J294" s="22" t="s">
        <v>162</v>
      </c>
      <c r="K294" s="22" t="s">
        <v>98</v>
      </c>
      <c r="L294" s="54" t="s">
        <v>153</v>
      </c>
      <c r="M294" s="23" t="s">
        <v>153</v>
      </c>
      <c r="N294" s="24" t="s">
        <v>153</v>
      </c>
      <c r="O294" s="23" t="s">
        <v>153</v>
      </c>
      <c r="P294" s="23" t="s">
        <v>153</v>
      </c>
      <c r="Q294" s="23" t="s">
        <v>153</v>
      </c>
      <c r="R294" s="23" t="s">
        <v>153</v>
      </c>
      <c r="S294" s="24" t="s">
        <v>156</v>
      </c>
      <c r="T294" s="24" t="s">
        <v>156</v>
      </c>
      <c r="U294" s="24" t="s">
        <v>153</v>
      </c>
      <c r="V294" s="54" t="s">
        <v>153</v>
      </c>
      <c r="W294" s="23" t="s">
        <v>153</v>
      </c>
      <c r="X294" s="23" t="s">
        <v>153</v>
      </c>
      <c r="Y294" s="23" t="s">
        <v>153</v>
      </c>
      <c r="Z294" s="23" t="s">
        <v>153</v>
      </c>
      <c r="AA294" s="23" t="s">
        <v>153</v>
      </c>
      <c r="AB294" s="24" t="s">
        <v>153</v>
      </c>
      <c r="AC294" s="23" t="s">
        <v>153</v>
      </c>
      <c r="AD294" s="23" t="s">
        <v>153</v>
      </c>
      <c r="AE294" s="23" t="s">
        <v>153</v>
      </c>
      <c r="AF294" s="23" t="s">
        <v>153</v>
      </c>
      <c r="AG294" s="23" t="s">
        <v>153</v>
      </c>
      <c r="AH294" s="23" t="s">
        <v>153</v>
      </c>
      <c r="AI294" s="24" t="s">
        <v>153</v>
      </c>
      <c r="AJ294" s="23" t="s">
        <v>153</v>
      </c>
      <c r="AK294" s="23" t="s">
        <v>153</v>
      </c>
      <c r="AL294" s="23" t="s">
        <v>153</v>
      </c>
      <c r="AM294" s="23" t="s">
        <v>153</v>
      </c>
      <c r="AN294" s="23" t="s">
        <v>153</v>
      </c>
      <c r="AO294" s="23" t="s">
        <v>153</v>
      </c>
      <c r="AP294" s="23">
        <f>VALUE(30)</f>
        <v>30</v>
      </c>
      <c r="AQ294" s="23">
        <f>VALUE(0)</f>
        <v>0</v>
      </c>
      <c r="AR294" s="23">
        <f>VALUE(0)</f>
        <v>0</v>
      </c>
      <c r="AS294" s="23">
        <f>VALUE(0)</f>
        <v>0</v>
      </c>
      <c r="AT294" s="23">
        <f>VALUE(0)</f>
        <v>0</v>
      </c>
      <c r="AU294" s="23">
        <f>VALUE(0)</f>
        <v>0</v>
      </c>
      <c r="AV294" s="23">
        <f>VALUE(8)</f>
        <v>8</v>
      </c>
      <c r="AW294" s="23">
        <f>VALUE(0)</f>
        <v>0</v>
      </c>
      <c r="AX294" s="23" t="s">
        <v>1301</v>
      </c>
      <c r="AY294" s="23">
        <f>VALUE(0)</f>
        <v>0</v>
      </c>
      <c r="AZ294" s="23">
        <f>VALUE(0)</f>
        <v>0</v>
      </c>
      <c r="BA294" s="23">
        <f>VALUE(0)</f>
        <v>0</v>
      </c>
      <c r="BB294" s="23">
        <f>VALUE(0)</f>
        <v>0</v>
      </c>
      <c r="BC294" s="23">
        <f>VALUE(0)</f>
        <v>0</v>
      </c>
      <c r="BD294" s="23">
        <f>VALUE(0)</f>
        <v>0</v>
      </c>
      <c r="BE294" s="23">
        <f>VALUE(0)</f>
        <v>0</v>
      </c>
      <c r="BF294" s="23">
        <f>VALUE(0)</f>
        <v>0</v>
      </c>
      <c r="BG294" s="23">
        <f>VALUE(0)</f>
        <v>0</v>
      </c>
      <c r="BH294" s="23">
        <f>VALUE(0)</f>
        <v>0</v>
      </c>
      <c r="BI294" s="23">
        <f>VALUE(0)</f>
        <v>0</v>
      </c>
      <c r="BJ294" s="23">
        <f>VALUE(0)</f>
        <v>0</v>
      </c>
      <c r="BK294" s="12">
        <f>$AX$294*24</f>
        <v>18.816666666666666</v>
      </c>
      <c r="BL294" s="12">
        <f>$AY$294*24</f>
        <v>0</v>
      </c>
      <c r="BM294" s="12">
        <f>$BJ$294*24</f>
        <v>0</v>
      </c>
      <c r="BN294" s="12">
        <f>VALUE($I$294)/100</f>
        <v>1</v>
      </c>
      <c r="BO294" s="12">
        <v>0</v>
      </c>
      <c r="BP294" s="12">
        <v>0</v>
      </c>
      <c r="BQ294" s="12">
        <v>0</v>
      </c>
      <c r="BR294" s="12">
        <v>0</v>
      </c>
      <c r="BS294" s="12">
        <v>0</v>
      </c>
      <c r="BT294" s="12">
        <v>0</v>
      </c>
      <c r="BU294" s="12">
        <v>0</v>
      </c>
      <c r="BV294" s="12">
        <v>0</v>
      </c>
      <c r="BW294" s="12">
        <v>0</v>
      </c>
      <c r="BX294" s="12">
        <v>0</v>
      </c>
      <c r="BY294" s="12">
        <v>0</v>
      </c>
      <c r="BZ294" s="12">
        <v>0</v>
      </c>
      <c r="CA294" s="12">
        <v>0</v>
      </c>
    </row>
    <row r="295" spans="1:79" hidden="1" x14ac:dyDescent="0.2">
      <c r="A295" s="12" t="s">
        <v>141</v>
      </c>
      <c r="B295" s="12" t="s">
        <v>144</v>
      </c>
      <c r="C295" s="12" t="s">
        <v>144</v>
      </c>
      <c r="D295" s="22" t="s">
        <v>537</v>
      </c>
      <c r="E295" s="22" t="s">
        <v>161</v>
      </c>
      <c r="F295" s="22" t="s">
        <v>1065</v>
      </c>
      <c r="G295" s="22" t="s">
        <v>1066</v>
      </c>
      <c r="H295" s="22" t="s">
        <v>150</v>
      </c>
      <c r="I295" s="22" t="s">
        <v>151</v>
      </c>
      <c r="J295" s="22" t="s">
        <v>162</v>
      </c>
      <c r="K295" s="22" t="s">
        <v>98</v>
      </c>
      <c r="L295" s="54" t="s">
        <v>153</v>
      </c>
      <c r="M295" s="23" t="s">
        <v>153</v>
      </c>
      <c r="N295" s="24" t="s">
        <v>153</v>
      </c>
      <c r="O295" s="23" t="s">
        <v>153</v>
      </c>
      <c r="P295" s="23" t="s">
        <v>153</v>
      </c>
      <c r="Q295" s="24" t="s">
        <v>156</v>
      </c>
      <c r="R295" s="24" t="s">
        <v>156</v>
      </c>
      <c r="S295" s="23" t="s">
        <v>153</v>
      </c>
      <c r="T295" s="23" t="s">
        <v>153</v>
      </c>
      <c r="U295" s="24" t="s">
        <v>153</v>
      </c>
      <c r="V295" s="54" t="s">
        <v>153</v>
      </c>
      <c r="W295" s="28" t="s">
        <v>163</v>
      </c>
      <c r="X295" s="28" t="s">
        <v>163</v>
      </c>
      <c r="Y295" s="28" t="s">
        <v>163</v>
      </c>
      <c r="Z295" s="28" t="s">
        <v>163</v>
      </c>
      <c r="AA295" s="28" t="s">
        <v>163</v>
      </c>
      <c r="AB295" s="24" t="s">
        <v>153</v>
      </c>
      <c r="AC295" s="28" t="s">
        <v>163</v>
      </c>
      <c r="AD295" s="28" t="s">
        <v>163</v>
      </c>
      <c r="AE295" s="28" t="s">
        <v>163</v>
      </c>
      <c r="AF295" s="28" t="s">
        <v>163</v>
      </c>
      <c r="AG295" s="28" t="s">
        <v>163</v>
      </c>
      <c r="AH295" s="28" t="s">
        <v>163</v>
      </c>
      <c r="AI295" s="24" t="s">
        <v>153</v>
      </c>
      <c r="AJ295" s="23" t="s">
        <v>153</v>
      </c>
      <c r="AK295" s="23" t="s">
        <v>153</v>
      </c>
      <c r="AL295" s="23" t="s">
        <v>153</v>
      </c>
      <c r="AM295" s="23" t="s">
        <v>153</v>
      </c>
      <c r="AN295" s="23" t="s">
        <v>153</v>
      </c>
      <c r="AO295" s="23" t="s">
        <v>153</v>
      </c>
      <c r="AP295" s="23">
        <f>VALUE(35)</f>
        <v>35</v>
      </c>
      <c r="AQ295" s="23">
        <f>VALUE(0)</f>
        <v>0</v>
      </c>
      <c r="AR295" s="23">
        <f>VALUE(0)</f>
        <v>0</v>
      </c>
      <c r="AS295" s="23">
        <f>VALUE(0)</f>
        <v>0</v>
      </c>
      <c r="AT295" s="23">
        <f>VALUE(0)</f>
        <v>0</v>
      </c>
      <c r="AU295" s="23">
        <f>VALUE(11)</f>
        <v>11</v>
      </c>
      <c r="AV295" s="23">
        <f>VALUE(2)</f>
        <v>2</v>
      </c>
      <c r="AW295" s="23">
        <f>VALUE(0)</f>
        <v>0</v>
      </c>
      <c r="AX295" s="23">
        <f>VALUE(0)</f>
        <v>0</v>
      </c>
      <c r="AY295" s="23" t="s">
        <v>543</v>
      </c>
      <c r="AZ295" s="23">
        <f>VALUE(0)</f>
        <v>0</v>
      </c>
      <c r="BA295" s="23">
        <f>VALUE(0)</f>
        <v>0</v>
      </c>
      <c r="BB295" s="23">
        <f>VALUE(0)</f>
        <v>0</v>
      </c>
      <c r="BC295" s="23">
        <f>VALUE(0)</f>
        <v>0</v>
      </c>
      <c r="BD295" s="23">
        <f>VALUE(0)</f>
        <v>0</v>
      </c>
      <c r="BE295" s="23">
        <f>VALUE(0)</f>
        <v>0</v>
      </c>
      <c r="BF295" s="23">
        <f>VALUE(0)</f>
        <v>0</v>
      </c>
      <c r="BG295" s="23">
        <f>VALUE(0)</f>
        <v>0</v>
      </c>
      <c r="BH295" s="23">
        <f>VALUE(0)</f>
        <v>0</v>
      </c>
      <c r="BI295" s="23">
        <f>VALUE(0)</f>
        <v>0</v>
      </c>
      <c r="BJ295" s="23">
        <f>VALUE(0)</f>
        <v>0</v>
      </c>
      <c r="BK295" s="12">
        <f>$AX$295*24</f>
        <v>0</v>
      </c>
      <c r="BL295" s="12">
        <f>$AY$295*24</f>
        <v>33.116666666666667</v>
      </c>
      <c r="BM295" s="12">
        <f>$BJ$295*24</f>
        <v>0</v>
      </c>
      <c r="BN295" s="12">
        <f>VALUE($I$295)/100</f>
        <v>1</v>
      </c>
      <c r="BO295" s="12">
        <v>0</v>
      </c>
      <c r="BP295" s="12">
        <v>0</v>
      </c>
      <c r="BQ295" s="12">
        <v>0</v>
      </c>
      <c r="BR295" s="12">
        <v>0</v>
      </c>
      <c r="BS295" s="12">
        <v>0</v>
      </c>
      <c r="BT295" s="12">
        <v>0</v>
      </c>
      <c r="BU295" s="12">
        <v>0</v>
      </c>
      <c r="BV295" s="12">
        <v>0</v>
      </c>
      <c r="BW295" s="12">
        <v>0</v>
      </c>
      <c r="BX295" s="12">
        <v>0</v>
      </c>
      <c r="BY295" s="12">
        <v>0</v>
      </c>
      <c r="BZ295" s="12">
        <v>0</v>
      </c>
      <c r="CA295" s="12">
        <v>0</v>
      </c>
    </row>
    <row r="296" spans="1:79" hidden="1" x14ac:dyDescent="0.2">
      <c r="A296" s="12" t="s">
        <v>141</v>
      </c>
      <c r="B296" s="12" t="s">
        <v>144</v>
      </c>
      <c r="C296" s="12" t="s">
        <v>144</v>
      </c>
      <c r="D296" s="22" t="s">
        <v>539</v>
      </c>
      <c r="E296" s="22" t="s">
        <v>161</v>
      </c>
      <c r="F296" s="22" t="s">
        <v>1302</v>
      </c>
      <c r="G296" s="22" t="s">
        <v>1067</v>
      </c>
      <c r="H296" s="22" t="s">
        <v>150</v>
      </c>
      <c r="I296" s="22" t="s">
        <v>151</v>
      </c>
      <c r="J296" s="22" t="s">
        <v>162</v>
      </c>
      <c r="K296" s="22" t="s">
        <v>98</v>
      </c>
      <c r="L296" s="54" t="s">
        <v>153</v>
      </c>
      <c r="M296" s="23" t="s">
        <v>153</v>
      </c>
      <c r="N296" s="24" t="s">
        <v>153</v>
      </c>
      <c r="O296" s="23" t="s">
        <v>153</v>
      </c>
      <c r="P296" s="23" t="s">
        <v>153</v>
      </c>
      <c r="Q296" s="23" t="s">
        <v>153</v>
      </c>
      <c r="R296" s="23" t="s">
        <v>153</v>
      </c>
      <c r="S296" s="23" t="s">
        <v>153</v>
      </c>
      <c r="T296" s="23" t="s">
        <v>153</v>
      </c>
      <c r="U296" s="24" t="s">
        <v>153</v>
      </c>
      <c r="V296" s="54" t="s">
        <v>153</v>
      </c>
      <c r="W296" s="23" t="s">
        <v>153</v>
      </c>
      <c r="X296" s="23" t="s">
        <v>153</v>
      </c>
      <c r="Y296" s="23" t="s">
        <v>153</v>
      </c>
      <c r="Z296" s="23" t="s">
        <v>153</v>
      </c>
      <c r="AA296" s="23" t="s">
        <v>153</v>
      </c>
      <c r="AB296" s="24" t="s">
        <v>153</v>
      </c>
      <c r="AC296" s="23" t="s">
        <v>153</v>
      </c>
      <c r="AD296" s="23" t="s">
        <v>153</v>
      </c>
      <c r="AE296" s="23" t="s">
        <v>153</v>
      </c>
      <c r="AF296" s="23" t="s">
        <v>153</v>
      </c>
      <c r="AG296" s="24" t="s">
        <v>156</v>
      </c>
      <c r="AH296" s="24" t="s">
        <v>156</v>
      </c>
      <c r="AI296" s="24" t="s">
        <v>153</v>
      </c>
      <c r="AJ296" s="23" t="s">
        <v>153</v>
      </c>
      <c r="AK296" s="23" t="s">
        <v>153</v>
      </c>
      <c r="AL296" s="23" t="s">
        <v>153</v>
      </c>
      <c r="AM296" s="23" t="s">
        <v>153</v>
      </c>
      <c r="AN296" s="23" t="s">
        <v>153</v>
      </c>
      <c r="AO296" s="23" t="s">
        <v>153</v>
      </c>
      <c r="AP296" s="23">
        <f>VALUE(34)</f>
        <v>34</v>
      </c>
      <c r="AQ296" s="23">
        <f>VALUE(0)</f>
        <v>0</v>
      </c>
      <c r="AR296" s="23">
        <f>VALUE(0)</f>
        <v>0</v>
      </c>
      <c r="AS296" s="23">
        <f>VALUE(0)</f>
        <v>0</v>
      </c>
      <c r="AT296" s="23">
        <f>VALUE(0)</f>
        <v>0</v>
      </c>
      <c r="AU296" s="23">
        <f>VALUE(0)</f>
        <v>0</v>
      </c>
      <c r="AV296" s="23">
        <f>VALUE(2)</f>
        <v>2</v>
      </c>
      <c r="AW296" s="23">
        <f>VALUE(0)</f>
        <v>0</v>
      </c>
      <c r="AX296" s="23" t="s">
        <v>158</v>
      </c>
      <c r="AY296" s="23" t="s">
        <v>544</v>
      </c>
      <c r="AZ296" s="23">
        <f>VALUE(0)</f>
        <v>0</v>
      </c>
      <c r="BA296" s="23">
        <f>VALUE(0)</f>
        <v>0</v>
      </c>
      <c r="BB296" s="23">
        <f>VALUE(0)</f>
        <v>0</v>
      </c>
      <c r="BC296" s="23">
        <f>VALUE(0)</f>
        <v>0</v>
      </c>
      <c r="BD296" s="23">
        <f>VALUE(0)</f>
        <v>0</v>
      </c>
      <c r="BE296" s="23">
        <f>VALUE(0)</f>
        <v>0</v>
      </c>
      <c r="BF296" s="23">
        <f>VALUE(0)</f>
        <v>0</v>
      </c>
      <c r="BG296" s="23">
        <f>VALUE(0)</f>
        <v>0</v>
      </c>
      <c r="BH296" s="23">
        <f>VALUE(0)</f>
        <v>0</v>
      </c>
      <c r="BI296" s="23">
        <f>VALUE(0)</f>
        <v>0</v>
      </c>
      <c r="BJ296" s="23">
        <f>VALUE(0)</f>
        <v>0</v>
      </c>
      <c r="BK296" s="12">
        <f>$AX$296*24</f>
        <v>11.666666666666666</v>
      </c>
      <c r="BL296" s="12">
        <f>$AY$296*24</f>
        <v>21.933333333333334</v>
      </c>
      <c r="BM296" s="12">
        <f>$BJ$296*24</f>
        <v>0</v>
      </c>
      <c r="BN296" s="12">
        <f>VALUE($I$296)/100</f>
        <v>1</v>
      </c>
      <c r="BO296" s="12">
        <v>0</v>
      </c>
      <c r="BP296" s="12">
        <v>0</v>
      </c>
      <c r="BQ296" s="12">
        <v>0</v>
      </c>
      <c r="BR296" s="12">
        <v>0</v>
      </c>
      <c r="BS296" s="12">
        <v>0</v>
      </c>
      <c r="BT296" s="12">
        <v>0</v>
      </c>
      <c r="BU296" s="12">
        <v>0</v>
      </c>
      <c r="BV296" s="12">
        <v>0</v>
      </c>
      <c r="BW296" s="12">
        <v>0</v>
      </c>
      <c r="BX296" s="12">
        <v>0</v>
      </c>
      <c r="BY296" s="12">
        <v>0</v>
      </c>
      <c r="BZ296" s="12">
        <v>0</v>
      </c>
      <c r="CA296" s="12">
        <v>0</v>
      </c>
    </row>
    <row r="297" spans="1:79" hidden="1" x14ac:dyDescent="0.2">
      <c r="A297" s="12" t="s">
        <v>141</v>
      </c>
      <c r="B297" s="12" t="s">
        <v>144</v>
      </c>
      <c r="C297" s="12" t="s">
        <v>144</v>
      </c>
      <c r="D297" s="22" t="s">
        <v>545</v>
      </c>
      <c r="E297" s="22" t="s">
        <v>161</v>
      </c>
      <c r="F297" s="22" t="s">
        <v>1068</v>
      </c>
      <c r="G297" s="22" t="s">
        <v>1069</v>
      </c>
      <c r="H297" s="22" t="s">
        <v>150</v>
      </c>
      <c r="I297" s="22" t="s">
        <v>151</v>
      </c>
      <c r="J297" s="22" t="s">
        <v>162</v>
      </c>
      <c r="K297" s="22" t="s">
        <v>98</v>
      </c>
      <c r="L297" s="54" t="s">
        <v>153</v>
      </c>
      <c r="M297" s="23" t="s">
        <v>153</v>
      </c>
      <c r="N297" s="24" t="s">
        <v>153</v>
      </c>
      <c r="O297" s="23" t="s">
        <v>153</v>
      </c>
      <c r="P297" s="23" t="s">
        <v>153</v>
      </c>
      <c r="Q297" s="23" t="s">
        <v>153</v>
      </c>
      <c r="R297" s="23" t="s">
        <v>153</v>
      </c>
      <c r="S297" s="23" t="s">
        <v>153</v>
      </c>
      <c r="T297" s="23" t="s">
        <v>153</v>
      </c>
      <c r="U297" s="24" t="s">
        <v>153</v>
      </c>
      <c r="V297" s="54" t="s">
        <v>153</v>
      </c>
      <c r="W297" s="23" t="s">
        <v>153</v>
      </c>
      <c r="X297" s="23" t="s">
        <v>153</v>
      </c>
      <c r="Y297" s="23" t="s">
        <v>153</v>
      </c>
      <c r="Z297" s="23" t="s">
        <v>153</v>
      </c>
      <c r="AA297" s="23" t="s">
        <v>153</v>
      </c>
      <c r="AB297" s="24" t="s">
        <v>153</v>
      </c>
      <c r="AC297" s="23" t="s">
        <v>153</v>
      </c>
      <c r="AD297" s="23" t="s">
        <v>153</v>
      </c>
      <c r="AE297" s="23" t="s">
        <v>153</v>
      </c>
      <c r="AF297" s="23" t="s">
        <v>153</v>
      </c>
      <c r="AG297" s="23" t="s">
        <v>153</v>
      </c>
      <c r="AH297" s="23" t="s">
        <v>153</v>
      </c>
      <c r="AI297" s="24" t="s">
        <v>153</v>
      </c>
      <c r="AJ297" s="23" t="s">
        <v>153</v>
      </c>
      <c r="AK297" s="23" t="s">
        <v>153</v>
      </c>
      <c r="AL297" s="23" t="s">
        <v>153</v>
      </c>
      <c r="AM297" s="23" t="s">
        <v>153</v>
      </c>
      <c r="AN297" s="24" t="s">
        <v>156</v>
      </c>
      <c r="AO297" s="24" t="s">
        <v>156</v>
      </c>
      <c r="AP297" s="23">
        <f>VALUE(34)</f>
        <v>34</v>
      </c>
      <c r="AQ297" s="23">
        <f>VALUE(0)</f>
        <v>0</v>
      </c>
      <c r="AR297" s="23">
        <f>VALUE(0)</f>
        <v>0</v>
      </c>
      <c r="AS297" s="23">
        <f>VALUE(0)</f>
        <v>0</v>
      </c>
      <c r="AT297" s="23">
        <f>VALUE(0)</f>
        <v>0</v>
      </c>
      <c r="AU297" s="23">
        <f>VALUE(0)</f>
        <v>0</v>
      </c>
      <c r="AV297" s="23">
        <f>VALUE(2)</f>
        <v>2</v>
      </c>
      <c r="AW297" s="23">
        <f>VALUE(0)</f>
        <v>0</v>
      </c>
      <c r="AX297" s="23" t="s">
        <v>176</v>
      </c>
      <c r="AY297" s="23" t="s">
        <v>244</v>
      </c>
      <c r="AZ297" s="23">
        <f>VALUE(0)</f>
        <v>0</v>
      </c>
      <c r="BA297" s="23">
        <f>VALUE(0)</f>
        <v>0</v>
      </c>
      <c r="BB297" s="23">
        <f>VALUE(0)</f>
        <v>0</v>
      </c>
      <c r="BC297" s="23">
        <f>VALUE(0)</f>
        <v>0</v>
      </c>
      <c r="BD297" s="23">
        <f>VALUE(0)</f>
        <v>0</v>
      </c>
      <c r="BE297" s="23">
        <f>VALUE(0)</f>
        <v>0</v>
      </c>
      <c r="BF297" s="23">
        <f>VALUE(0)</f>
        <v>0</v>
      </c>
      <c r="BG297" s="23">
        <f>VALUE(0)</f>
        <v>0</v>
      </c>
      <c r="BH297" s="23">
        <f>VALUE(0)</f>
        <v>0</v>
      </c>
      <c r="BI297" s="23">
        <f>VALUE(0)</f>
        <v>0</v>
      </c>
      <c r="BJ297" s="23">
        <f>VALUE(0)</f>
        <v>0</v>
      </c>
      <c r="BK297" s="12">
        <f>$AX$297*24</f>
        <v>0</v>
      </c>
      <c r="BL297" s="12">
        <f>$AY$297*24</f>
        <v>0.23333333333333334</v>
      </c>
      <c r="BM297" s="12">
        <f>$BJ$297*24</f>
        <v>0</v>
      </c>
      <c r="BN297" s="12">
        <f>VALUE($I$297)/100</f>
        <v>1</v>
      </c>
      <c r="BO297" s="12">
        <v>0</v>
      </c>
      <c r="BP297" s="12">
        <v>0</v>
      </c>
      <c r="BQ297" s="12">
        <v>0</v>
      </c>
      <c r="BR297" s="12">
        <v>0</v>
      </c>
      <c r="BS297" s="12">
        <v>0</v>
      </c>
      <c r="BT297" s="12">
        <v>0</v>
      </c>
      <c r="BU297" s="12">
        <v>0</v>
      </c>
      <c r="BV297" s="12">
        <v>0</v>
      </c>
      <c r="BW297" s="12">
        <v>0</v>
      </c>
      <c r="BX297" s="12">
        <v>0</v>
      </c>
      <c r="BY297" s="12">
        <v>0</v>
      </c>
      <c r="BZ297" s="12">
        <v>0</v>
      </c>
      <c r="CA297" s="12">
        <v>0</v>
      </c>
    </row>
    <row r="298" spans="1:79" hidden="1" x14ac:dyDescent="0.2">
      <c r="A298" s="12" t="s">
        <v>141</v>
      </c>
      <c r="B298" s="12" t="s">
        <v>144</v>
      </c>
      <c r="C298" s="12" t="s">
        <v>144</v>
      </c>
      <c r="D298" s="22" t="s">
        <v>546</v>
      </c>
      <c r="E298" s="22" t="s">
        <v>161</v>
      </c>
      <c r="F298" s="22" t="s">
        <v>1070</v>
      </c>
      <c r="G298" s="22" t="s">
        <v>1071</v>
      </c>
      <c r="H298" s="22" t="s">
        <v>190</v>
      </c>
      <c r="I298" s="22" t="s">
        <v>151</v>
      </c>
      <c r="J298" s="22" t="s">
        <v>162</v>
      </c>
      <c r="K298" s="22" t="s">
        <v>98</v>
      </c>
      <c r="L298" s="27" t="s">
        <v>153</v>
      </c>
      <c r="M298" s="27" t="s">
        <v>153</v>
      </c>
      <c r="N298" s="27" t="s">
        <v>153</v>
      </c>
      <c r="O298" s="27" t="s">
        <v>153</v>
      </c>
      <c r="P298" s="27" t="s">
        <v>153</v>
      </c>
      <c r="Q298" s="27" t="s">
        <v>153</v>
      </c>
      <c r="R298" s="27" t="s">
        <v>153</v>
      </c>
      <c r="S298" s="27" t="s">
        <v>153</v>
      </c>
      <c r="T298" s="27" t="s">
        <v>153</v>
      </c>
      <c r="U298" s="27" t="s">
        <v>153</v>
      </c>
      <c r="V298" s="27" t="s">
        <v>153</v>
      </c>
      <c r="W298" s="27" t="s">
        <v>153</v>
      </c>
      <c r="X298" s="27" t="s">
        <v>153</v>
      </c>
      <c r="Y298" s="27" t="s">
        <v>153</v>
      </c>
      <c r="Z298" s="27" t="s">
        <v>153</v>
      </c>
      <c r="AA298" s="27" t="s">
        <v>153</v>
      </c>
      <c r="AB298" s="40" t="s">
        <v>153</v>
      </c>
      <c r="AC298" s="40" t="s">
        <v>153</v>
      </c>
      <c r="AD298" s="40" t="s">
        <v>153</v>
      </c>
      <c r="AE298" s="40" t="s">
        <v>153</v>
      </c>
      <c r="AF298" s="40" t="s">
        <v>153</v>
      </c>
      <c r="AG298" s="40" t="s">
        <v>153</v>
      </c>
      <c r="AH298" s="40" t="s">
        <v>153</v>
      </c>
      <c r="AI298" s="40" t="s">
        <v>153</v>
      </c>
      <c r="AJ298" s="40" t="s">
        <v>153</v>
      </c>
      <c r="AK298" s="40" t="s">
        <v>153</v>
      </c>
      <c r="AL298" s="40" t="s">
        <v>153</v>
      </c>
      <c r="AM298" s="40" t="s">
        <v>153</v>
      </c>
      <c r="AN298" s="40" t="s">
        <v>153</v>
      </c>
      <c r="AO298" s="40" t="s">
        <v>153</v>
      </c>
      <c r="AP298" s="23">
        <f>VALUE(1)</f>
        <v>1</v>
      </c>
      <c r="AQ298" s="23">
        <f>VALUE(0)</f>
        <v>0</v>
      </c>
      <c r="AR298" s="23">
        <f>VALUE(0)</f>
        <v>0</v>
      </c>
      <c r="AS298" s="23">
        <f>VALUE(0)</f>
        <v>0</v>
      </c>
      <c r="AT298" s="23">
        <f>VALUE(0)</f>
        <v>0</v>
      </c>
      <c r="AU298" s="23">
        <f>VALUE(0)</f>
        <v>0</v>
      </c>
      <c r="AV298" s="23">
        <f>VALUE(3)</f>
        <v>3</v>
      </c>
      <c r="AW298" s="23">
        <f>VALUE(0)</f>
        <v>0</v>
      </c>
      <c r="AX298" s="23">
        <f>VALUE(0)</f>
        <v>0</v>
      </c>
      <c r="AY298" s="23">
        <f>VALUE(0)</f>
        <v>0</v>
      </c>
      <c r="AZ298" s="23">
        <f>VALUE(0)</f>
        <v>0</v>
      </c>
      <c r="BA298" s="23">
        <f>VALUE(0)</f>
        <v>0</v>
      </c>
      <c r="BB298" s="23">
        <f>VALUE(0)</f>
        <v>0</v>
      </c>
      <c r="BC298" s="23">
        <f>VALUE(0)</f>
        <v>0</v>
      </c>
      <c r="BD298" s="23">
        <f>VALUE(0)</f>
        <v>0</v>
      </c>
      <c r="BE298" s="23">
        <f>VALUE(0)</f>
        <v>0</v>
      </c>
      <c r="BF298" s="23">
        <f>VALUE(0)</f>
        <v>0</v>
      </c>
      <c r="BG298" s="23">
        <f>VALUE(0)</f>
        <v>0</v>
      </c>
      <c r="BH298" s="23">
        <f>VALUE(0)</f>
        <v>0</v>
      </c>
      <c r="BI298" s="23">
        <f>VALUE(0)</f>
        <v>0</v>
      </c>
      <c r="BJ298" s="23">
        <f>VALUE(0)</f>
        <v>0</v>
      </c>
      <c r="BK298" s="12">
        <f>$AX$298*24</f>
        <v>0</v>
      </c>
      <c r="BL298" s="12">
        <f>$AY$298*24</f>
        <v>0</v>
      </c>
      <c r="BM298" s="12">
        <f>$BJ$298*24</f>
        <v>0</v>
      </c>
      <c r="BN298" s="12">
        <f>VALUE($I$298)/100</f>
        <v>1</v>
      </c>
      <c r="BO298" s="12">
        <v>0</v>
      </c>
      <c r="BP298" s="12">
        <v>0</v>
      </c>
      <c r="BQ298" s="12">
        <v>0</v>
      </c>
      <c r="BR298" s="12">
        <v>0</v>
      </c>
      <c r="BS298" s="12">
        <v>0</v>
      </c>
      <c r="BT298" s="12">
        <v>0</v>
      </c>
      <c r="BU298" s="12">
        <v>0</v>
      </c>
      <c r="BV298" s="12">
        <v>0</v>
      </c>
      <c r="BW298" s="12">
        <v>0</v>
      </c>
      <c r="BX298" s="12">
        <v>0</v>
      </c>
      <c r="BY298" s="12">
        <v>0</v>
      </c>
      <c r="BZ298" s="12">
        <v>0</v>
      </c>
      <c r="CA298" s="12">
        <v>0</v>
      </c>
    </row>
    <row r="299" spans="1:79" hidden="1" x14ac:dyDescent="0.2">
      <c r="A299" s="12" t="s">
        <v>141</v>
      </c>
      <c r="B299" s="12" t="s">
        <v>144</v>
      </c>
      <c r="C299" s="12" t="s">
        <v>144</v>
      </c>
      <c r="D299" s="22" t="s">
        <v>546</v>
      </c>
      <c r="E299" s="22" t="s">
        <v>161</v>
      </c>
      <c r="F299" s="22" t="s">
        <v>1303</v>
      </c>
      <c r="G299" s="22" t="s">
        <v>1072</v>
      </c>
      <c r="H299" s="22" t="s">
        <v>153</v>
      </c>
      <c r="I299" s="22" t="s">
        <v>151</v>
      </c>
      <c r="J299" s="22" t="s">
        <v>162</v>
      </c>
      <c r="K299" s="22" t="s">
        <v>98</v>
      </c>
      <c r="L299" s="54" t="s">
        <v>153</v>
      </c>
      <c r="M299" s="23" t="s">
        <v>153</v>
      </c>
      <c r="N299" s="40" t="s">
        <v>153</v>
      </c>
      <c r="O299" s="40" t="s">
        <v>153</v>
      </c>
      <c r="P299" s="40" t="s">
        <v>153</v>
      </c>
      <c r="Q299" s="40" t="s">
        <v>153</v>
      </c>
      <c r="R299" s="40" t="s">
        <v>153</v>
      </c>
      <c r="S299" s="40" t="s">
        <v>153</v>
      </c>
      <c r="T299" s="40" t="s">
        <v>153</v>
      </c>
      <c r="U299" s="40" t="s">
        <v>153</v>
      </c>
      <c r="V299" s="40" t="s">
        <v>153</v>
      </c>
      <c r="W299" s="40" t="s">
        <v>153</v>
      </c>
      <c r="X299" s="40" t="s">
        <v>153</v>
      </c>
      <c r="Y299" s="40" t="s">
        <v>153</v>
      </c>
      <c r="Z299" s="40" t="s">
        <v>153</v>
      </c>
      <c r="AA299" s="40" t="s">
        <v>153</v>
      </c>
      <c r="AB299" s="40" t="s">
        <v>153</v>
      </c>
      <c r="AC299" s="40" t="s">
        <v>153</v>
      </c>
      <c r="AD299" s="40" t="s">
        <v>153</v>
      </c>
      <c r="AE299" s="40" t="s">
        <v>153</v>
      </c>
      <c r="AF299" s="40" t="s">
        <v>153</v>
      </c>
      <c r="AG299" s="40" t="s">
        <v>153</v>
      </c>
      <c r="AH299" s="40" t="s">
        <v>153</v>
      </c>
      <c r="AI299" s="40" t="s">
        <v>153</v>
      </c>
      <c r="AJ299" s="40" t="s">
        <v>153</v>
      </c>
      <c r="AK299" s="40" t="s">
        <v>153</v>
      </c>
      <c r="AL299" s="40" t="s">
        <v>153</v>
      </c>
      <c r="AM299" s="40" t="s">
        <v>153</v>
      </c>
      <c r="AN299" s="40" t="s">
        <v>153</v>
      </c>
      <c r="AO299" s="40" t="s">
        <v>153</v>
      </c>
      <c r="AP299" s="23">
        <f>VALUE(9)</f>
        <v>9</v>
      </c>
      <c r="AQ299" s="23">
        <f>VALUE(0)</f>
        <v>0</v>
      </c>
      <c r="AR299" s="23">
        <f>VALUE(0)</f>
        <v>0</v>
      </c>
      <c r="AS299" s="23">
        <f>VALUE(0)</f>
        <v>0</v>
      </c>
      <c r="AT299" s="23">
        <f>VALUE(0)</f>
        <v>0</v>
      </c>
      <c r="AU299" s="23">
        <f>VALUE(0)</f>
        <v>0</v>
      </c>
      <c r="AV299" s="23">
        <f>VALUE(0)</f>
        <v>0</v>
      </c>
      <c r="AW299" s="23">
        <f>VALUE(0)</f>
        <v>0</v>
      </c>
      <c r="AX299" s="23">
        <f>VALUE(0)</f>
        <v>0</v>
      </c>
      <c r="AY299" s="23">
        <f>VALUE(0)</f>
        <v>0</v>
      </c>
      <c r="AZ299" s="23">
        <f>VALUE(0)</f>
        <v>0</v>
      </c>
      <c r="BA299" s="23">
        <f>VALUE(0)</f>
        <v>0</v>
      </c>
      <c r="BB299" s="23">
        <f>VALUE(0)</f>
        <v>0</v>
      </c>
      <c r="BC299" s="23">
        <f>VALUE(0)</f>
        <v>0</v>
      </c>
      <c r="BD299" s="23">
        <f>VALUE(0)</f>
        <v>0</v>
      </c>
      <c r="BE299" s="23">
        <f>VALUE(0)</f>
        <v>0</v>
      </c>
      <c r="BF299" s="23">
        <f>VALUE(0)</f>
        <v>0</v>
      </c>
      <c r="BG299" s="23">
        <f>VALUE(0)</f>
        <v>0</v>
      </c>
      <c r="BH299" s="23">
        <f>VALUE(0)</f>
        <v>0</v>
      </c>
      <c r="BI299" s="23">
        <f>VALUE(0)</f>
        <v>0</v>
      </c>
      <c r="BJ299" s="23">
        <f>VALUE(0)</f>
        <v>0</v>
      </c>
      <c r="BK299" s="12">
        <f>$AX$299*24</f>
        <v>0</v>
      </c>
      <c r="BL299" s="12">
        <f>$AY$299*24</f>
        <v>0</v>
      </c>
      <c r="BM299" s="12">
        <f>$BJ$299*24</f>
        <v>0</v>
      </c>
      <c r="BN299" s="12">
        <f>VALUE($I$299)/100</f>
        <v>1</v>
      </c>
      <c r="BO299" s="12">
        <v>0</v>
      </c>
      <c r="BP299" s="12">
        <v>0</v>
      </c>
      <c r="BQ299" s="12">
        <v>0</v>
      </c>
      <c r="BR299" s="12">
        <v>0</v>
      </c>
      <c r="BS299" s="12">
        <v>0</v>
      </c>
      <c r="BT299" s="12">
        <v>0</v>
      </c>
      <c r="BU299" s="12">
        <v>0</v>
      </c>
      <c r="BV299" s="12">
        <v>0</v>
      </c>
      <c r="BW299" s="12">
        <v>0</v>
      </c>
      <c r="BX299" s="12">
        <v>0</v>
      </c>
      <c r="BY299" s="12">
        <v>0</v>
      </c>
      <c r="BZ299" s="12">
        <v>0</v>
      </c>
      <c r="CA299" s="12">
        <v>0</v>
      </c>
    </row>
    <row r="300" spans="1:79" hidden="1" x14ac:dyDescent="0.2">
      <c r="A300" s="12" t="s">
        <v>141</v>
      </c>
      <c r="B300" s="12" t="s">
        <v>144</v>
      </c>
      <c r="C300" s="12" t="s">
        <v>144</v>
      </c>
      <c r="D300" s="22" t="s">
        <v>540</v>
      </c>
      <c r="E300" s="22" t="s">
        <v>161</v>
      </c>
      <c r="F300" s="22" t="s">
        <v>1073</v>
      </c>
      <c r="G300" s="22" t="s">
        <v>1074</v>
      </c>
      <c r="H300" s="22" t="s">
        <v>150</v>
      </c>
      <c r="I300" s="22" t="s">
        <v>151</v>
      </c>
      <c r="J300" s="22" t="s">
        <v>162</v>
      </c>
      <c r="K300" s="22" t="s">
        <v>98</v>
      </c>
      <c r="L300" s="54" t="s">
        <v>153</v>
      </c>
      <c r="M300" s="28" t="s">
        <v>163</v>
      </c>
      <c r="N300" s="24" t="s">
        <v>153</v>
      </c>
      <c r="O300" s="28" t="s">
        <v>163</v>
      </c>
      <c r="P300" s="28" t="s">
        <v>163</v>
      </c>
      <c r="Q300" s="23" t="s">
        <v>538</v>
      </c>
      <c r="R300" s="23" t="s">
        <v>538</v>
      </c>
      <c r="S300" s="23" t="s">
        <v>153</v>
      </c>
      <c r="T300" s="23" t="s">
        <v>153</v>
      </c>
      <c r="U300" s="24" t="s">
        <v>153</v>
      </c>
      <c r="V300" s="54" t="s">
        <v>153</v>
      </c>
      <c r="W300" s="23" t="s">
        <v>153</v>
      </c>
      <c r="X300" s="23" t="s">
        <v>153</v>
      </c>
      <c r="Y300" s="23" t="s">
        <v>153</v>
      </c>
      <c r="Z300" s="23" t="s">
        <v>153</v>
      </c>
      <c r="AA300" s="23" t="s">
        <v>153</v>
      </c>
      <c r="AB300" s="24" t="s">
        <v>153</v>
      </c>
      <c r="AC300" s="23" t="s">
        <v>153</v>
      </c>
      <c r="AD300" s="23" t="s">
        <v>153</v>
      </c>
      <c r="AE300" s="23" t="s">
        <v>153</v>
      </c>
      <c r="AF300" s="23" t="s">
        <v>153</v>
      </c>
      <c r="AG300" s="23" t="s">
        <v>153</v>
      </c>
      <c r="AH300" s="23" t="s">
        <v>153</v>
      </c>
      <c r="AI300" s="24" t="s">
        <v>153</v>
      </c>
      <c r="AJ300" s="23" t="s">
        <v>153</v>
      </c>
      <c r="AK300" s="23" t="s">
        <v>153</v>
      </c>
      <c r="AL300" s="23" t="s">
        <v>153</v>
      </c>
      <c r="AM300" s="23" t="s">
        <v>153</v>
      </c>
      <c r="AN300" s="23" t="s">
        <v>153</v>
      </c>
      <c r="AO300" s="23" t="s">
        <v>153</v>
      </c>
      <c r="AP300" s="23">
        <f>VALUE(38)</f>
        <v>38</v>
      </c>
      <c r="AQ300" s="23">
        <f>VALUE(0)</f>
        <v>0</v>
      </c>
      <c r="AR300" s="23">
        <f>VALUE(0)</f>
        <v>0</v>
      </c>
      <c r="AS300" s="23">
        <f>VALUE(0)</f>
        <v>0</v>
      </c>
      <c r="AT300" s="23">
        <f>VALUE(0)</f>
        <v>0</v>
      </c>
      <c r="AU300" s="23">
        <f>VALUE(3)</f>
        <v>3</v>
      </c>
      <c r="AV300" s="23">
        <f>VALUE(3)</f>
        <v>3</v>
      </c>
      <c r="AW300" s="23">
        <f>VALUE(0)</f>
        <v>0</v>
      </c>
      <c r="AX300" s="23" t="s">
        <v>171</v>
      </c>
      <c r="AY300" s="23">
        <f>VALUE(0)</f>
        <v>0</v>
      </c>
      <c r="AZ300" s="23">
        <f>VALUE(0)</f>
        <v>0</v>
      </c>
      <c r="BA300" s="23">
        <f>VALUE(0)</f>
        <v>0</v>
      </c>
      <c r="BB300" s="23">
        <f>VALUE(0)</f>
        <v>0</v>
      </c>
      <c r="BC300" s="23">
        <f>VALUE(0)</f>
        <v>0</v>
      </c>
      <c r="BD300" s="23">
        <f>VALUE(0)</f>
        <v>0</v>
      </c>
      <c r="BE300" s="23">
        <f>VALUE(0)</f>
        <v>0</v>
      </c>
      <c r="BF300" s="23">
        <f>VALUE(0)</f>
        <v>0</v>
      </c>
      <c r="BG300" s="23">
        <f>VALUE(0)</f>
        <v>0</v>
      </c>
      <c r="BH300" s="23">
        <f>VALUE(0)</f>
        <v>0</v>
      </c>
      <c r="BI300" s="23">
        <f>VALUE(0)</f>
        <v>0</v>
      </c>
      <c r="BJ300" s="23">
        <f>VALUE(0)</f>
        <v>0</v>
      </c>
      <c r="BK300" s="12">
        <f>$AX$300*24</f>
        <v>5.833333333333333</v>
      </c>
      <c r="BL300" s="12">
        <f>$AY$300*24</f>
        <v>0</v>
      </c>
      <c r="BM300" s="12">
        <f>$BJ$300*24</f>
        <v>0</v>
      </c>
      <c r="BN300" s="12">
        <f>VALUE($I$300)/100</f>
        <v>1</v>
      </c>
      <c r="BO300" s="12">
        <v>0</v>
      </c>
      <c r="BP300" s="12">
        <v>0</v>
      </c>
      <c r="BQ300" s="12">
        <v>0</v>
      </c>
      <c r="BR300" s="12">
        <v>0</v>
      </c>
      <c r="BS300" s="12">
        <v>0</v>
      </c>
      <c r="BT300" s="12">
        <v>0</v>
      </c>
      <c r="BU300" s="12">
        <v>0</v>
      </c>
      <c r="BV300" s="12">
        <v>0</v>
      </c>
      <c r="BW300" s="12">
        <v>0</v>
      </c>
      <c r="BX300" s="12">
        <v>0</v>
      </c>
      <c r="BY300" s="12">
        <v>0</v>
      </c>
      <c r="BZ300" s="12">
        <v>0</v>
      </c>
      <c r="CA300" s="12">
        <v>0</v>
      </c>
    </row>
    <row r="301" spans="1:79" hidden="1" x14ac:dyDescent="0.2">
      <c r="A301" s="12" t="s">
        <v>141</v>
      </c>
      <c r="B301" s="12" t="s">
        <v>144</v>
      </c>
      <c r="C301" s="12" t="s">
        <v>144</v>
      </c>
      <c r="D301" s="22" t="s">
        <v>547</v>
      </c>
      <c r="E301" s="22" t="s">
        <v>161</v>
      </c>
      <c r="F301" s="22" t="s">
        <v>1075</v>
      </c>
      <c r="G301" s="22" t="s">
        <v>1076</v>
      </c>
      <c r="H301" s="22" t="s">
        <v>150</v>
      </c>
      <c r="I301" s="22" t="s">
        <v>151</v>
      </c>
      <c r="J301" s="22" t="s">
        <v>162</v>
      </c>
      <c r="K301" s="22" t="s">
        <v>98</v>
      </c>
      <c r="L301" s="54" t="s">
        <v>153</v>
      </c>
      <c r="M301" s="29" t="s">
        <v>218</v>
      </c>
      <c r="N301" s="24" t="s">
        <v>153</v>
      </c>
      <c r="O301" s="29" t="s">
        <v>218</v>
      </c>
      <c r="P301" s="29" t="s">
        <v>218</v>
      </c>
      <c r="Q301" s="29" t="s">
        <v>218</v>
      </c>
      <c r="R301" s="29" t="s">
        <v>218</v>
      </c>
      <c r="S301" s="29" t="s">
        <v>218</v>
      </c>
      <c r="T301" s="29" t="s">
        <v>218</v>
      </c>
      <c r="U301" s="24" t="s">
        <v>153</v>
      </c>
      <c r="V301" s="54" t="s">
        <v>153</v>
      </c>
      <c r="W301" s="29" t="s">
        <v>218</v>
      </c>
      <c r="X301" s="29" t="s">
        <v>218</v>
      </c>
      <c r="Y301" s="29" t="s">
        <v>218</v>
      </c>
      <c r="Z301" s="29" t="s">
        <v>218</v>
      </c>
      <c r="AA301" s="29" t="s">
        <v>218</v>
      </c>
      <c r="AB301" s="24" t="s">
        <v>153</v>
      </c>
      <c r="AC301" s="29" t="s">
        <v>218</v>
      </c>
      <c r="AD301" s="29" t="s">
        <v>218</v>
      </c>
      <c r="AE301" s="29" t="s">
        <v>218</v>
      </c>
      <c r="AF301" s="29" t="s">
        <v>218</v>
      </c>
      <c r="AG301" s="29" t="s">
        <v>218</v>
      </c>
      <c r="AH301" s="29" t="s">
        <v>218</v>
      </c>
      <c r="AI301" s="24" t="s">
        <v>153</v>
      </c>
      <c r="AJ301" s="29" t="s">
        <v>218</v>
      </c>
      <c r="AK301" s="29" t="s">
        <v>218</v>
      </c>
      <c r="AL301" s="29" t="s">
        <v>218</v>
      </c>
      <c r="AM301" s="29" t="s">
        <v>218</v>
      </c>
      <c r="AN301" s="29" t="s">
        <v>218</v>
      </c>
      <c r="AO301" s="29" t="s">
        <v>218</v>
      </c>
      <c r="AP301" s="23">
        <f>VALUE(11)</f>
        <v>11</v>
      </c>
      <c r="AQ301" s="23">
        <f>VALUE(0)</f>
        <v>0</v>
      </c>
      <c r="AR301" s="23">
        <f>VALUE(24)</f>
        <v>24</v>
      </c>
      <c r="AS301" s="23">
        <f>VALUE(0)</f>
        <v>0</v>
      </c>
      <c r="AT301" s="23">
        <f>VALUE(0)</f>
        <v>0</v>
      </c>
      <c r="AU301" s="23">
        <f>VALUE(0)</f>
        <v>0</v>
      </c>
      <c r="AV301" s="23">
        <f>VALUE(14)</f>
        <v>14</v>
      </c>
      <c r="AW301" s="23">
        <f>VALUE(0)</f>
        <v>0</v>
      </c>
      <c r="AX301" s="23" t="s">
        <v>171</v>
      </c>
      <c r="AY301" s="23" t="s">
        <v>548</v>
      </c>
      <c r="AZ301" s="23">
        <f>VALUE(0)</f>
        <v>0</v>
      </c>
      <c r="BA301" s="23">
        <f>VALUE(0)</f>
        <v>0</v>
      </c>
      <c r="BB301" s="23">
        <f>VALUE(0)</f>
        <v>0</v>
      </c>
      <c r="BC301" s="23">
        <f>VALUE(0)</f>
        <v>0</v>
      </c>
      <c r="BD301" s="23">
        <f>VALUE(0)</f>
        <v>0</v>
      </c>
      <c r="BE301" s="23">
        <f>VALUE(0)</f>
        <v>0</v>
      </c>
      <c r="BF301" s="23">
        <f>VALUE(0)</f>
        <v>0</v>
      </c>
      <c r="BG301" s="23">
        <f>VALUE(0)</f>
        <v>0</v>
      </c>
      <c r="BH301" s="23">
        <f>VALUE(0)</f>
        <v>0</v>
      </c>
      <c r="BI301" s="23">
        <f>VALUE(0)</f>
        <v>0</v>
      </c>
      <c r="BJ301" s="23">
        <f>VALUE(0)</f>
        <v>0</v>
      </c>
      <c r="BK301" s="12">
        <f>$AX$301*24</f>
        <v>5.833333333333333</v>
      </c>
      <c r="BL301" s="12">
        <f>$AY$301*24</f>
        <v>4.6166666666666671</v>
      </c>
      <c r="BM301" s="12">
        <f>$BJ$301*24</f>
        <v>0</v>
      </c>
      <c r="BN301" s="12">
        <f>VALUE($I$301)/100</f>
        <v>1</v>
      </c>
      <c r="BO301" s="12">
        <v>0</v>
      </c>
      <c r="BP301" s="12">
        <v>0</v>
      </c>
      <c r="BQ301" s="12">
        <v>0</v>
      </c>
      <c r="BR301" s="12">
        <v>0</v>
      </c>
      <c r="BS301" s="12">
        <v>24</v>
      </c>
      <c r="BT301" s="12">
        <v>0</v>
      </c>
      <c r="BU301" s="12">
        <v>0</v>
      </c>
      <c r="BV301" s="12">
        <v>0</v>
      </c>
      <c r="BW301" s="12">
        <v>0</v>
      </c>
      <c r="BX301" s="12">
        <v>0</v>
      </c>
      <c r="BY301" s="12">
        <v>0</v>
      </c>
      <c r="BZ301" s="12">
        <v>0</v>
      </c>
      <c r="CA301" s="12">
        <v>0</v>
      </c>
    </row>
    <row r="302" spans="1:79" hidden="1" x14ac:dyDescent="0.2">
      <c r="A302" s="12" t="s">
        <v>141</v>
      </c>
      <c r="B302" s="12" t="s">
        <v>144</v>
      </c>
      <c r="C302" s="12" t="s">
        <v>144</v>
      </c>
      <c r="D302" s="22" t="s">
        <v>547</v>
      </c>
      <c r="E302" s="22" t="s">
        <v>161</v>
      </c>
      <c r="F302" s="22" t="s">
        <v>1304</v>
      </c>
      <c r="G302" s="22" t="s">
        <v>1077</v>
      </c>
      <c r="H302" s="22" t="s">
        <v>190</v>
      </c>
      <c r="I302" s="22" t="s">
        <v>151</v>
      </c>
      <c r="J302" s="22" t="s">
        <v>162</v>
      </c>
      <c r="K302" s="22" t="s">
        <v>98</v>
      </c>
      <c r="L302" s="54" t="s">
        <v>153</v>
      </c>
      <c r="M302" s="23" t="s">
        <v>153</v>
      </c>
      <c r="N302" s="24" t="s">
        <v>153</v>
      </c>
      <c r="O302" s="29" t="s">
        <v>163</v>
      </c>
      <c r="P302" s="23" t="s">
        <v>153</v>
      </c>
      <c r="Q302" s="23" t="s">
        <v>153</v>
      </c>
      <c r="R302" s="23" t="s">
        <v>153</v>
      </c>
      <c r="S302" s="23" t="s">
        <v>153</v>
      </c>
      <c r="T302" s="23" t="s">
        <v>153</v>
      </c>
      <c r="U302" s="24" t="s">
        <v>153</v>
      </c>
      <c r="V302" s="54" t="s">
        <v>153</v>
      </c>
      <c r="W302" s="23" t="s">
        <v>153</v>
      </c>
      <c r="X302" s="23" t="s">
        <v>153</v>
      </c>
      <c r="Y302" s="23" t="s">
        <v>153</v>
      </c>
      <c r="Z302" s="23" t="s">
        <v>153</v>
      </c>
      <c r="AA302" s="23" t="s">
        <v>153</v>
      </c>
      <c r="AB302" s="24" t="s">
        <v>153</v>
      </c>
      <c r="AC302" s="23" t="s">
        <v>153</v>
      </c>
      <c r="AD302" s="23" t="s">
        <v>153</v>
      </c>
      <c r="AE302" s="23" t="s">
        <v>153</v>
      </c>
      <c r="AF302" s="23" t="s">
        <v>153</v>
      </c>
      <c r="AG302" s="23" t="s">
        <v>153</v>
      </c>
      <c r="AH302" s="23" t="s">
        <v>153</v>
      </c>
      <c r="AI302" s="24" t="s">
        <v>153</v>
      </c>
      <c r="AJ302" s="23" t="s">
        <v>153</v>
      </c>
      <c r="AK302" s="23" t="s">
        <v>153</v>
      </c>
      <c r="AL302" s="23" t="s">
        <v>153</v>
      </c>
      <c r="AM302" s="23" t="s">
        <v>153</v>
      </c>
      <c r="AN302" s="23" t="s">
        <v>153</v>
      </c>
      <c r="AO302" s="23" t="s">
        <v>153</v>
      </c>
      <c r="AP302" s="23">
        <f>VALUE(6)</f>
        <v>6</v>
      </c>
      <c r="AQ302" s="23">
        <f>VALUE(0)</f>
        <v>0</v>
      </c>
      <c r="AR302" s="23">
        <f>VALUE(1)</f>
        <v>1</v>
      </c>
      <c r="AS302" s="23">
        <f>VALUE(0)</f>
        <v>0</v>
      </c>
      <c r="AT302" s="23">
        <f>VALUE(0)</f>
        <v>0</v>
      </c>
      <c r="AU302" s="23">
        <f>VALUE(0)</f>
        <v>0</v>
      </c>
      <c r="AV302" s="23">
        <f>VALUE(8)</f>
        <v>8</v>
      </c>
      <c r="AW302" s="23">
        <f>VALUE(0)</f>
        <v>0</v>
      </c>
      <c r="AX302" s="23" t="s">
        <v>171</v>
      </c>
      <c r="AY302" s="23">
        <f>VALUE(0)</f>
        <v>0</v>
      </c>
      <c r="AZ302" s="23">
        <f>VALUE(0)</f>
        <v>0</v>
      </c>
      <c r="BA302" s="23">
        <f>VALUE(0)</f>
        <v>0</v>
      </c>
      <c r="BB302" s="23">
        <f>VALUE(0)</f>
        <v>0</v>
      </c>
      <c r="BC302" s="23">
        <f>VALUE(0)</f>
        <v>0</v>
      </c>
      <c r="BD302" s="23">
        <f>VALUE(0)</f>
        <v>0</v>
      </c>
      <c r="BE302" s="23">
        <f>VALUE(0)</f>
        <v>0</v>
      </c>
      <c r="BF302" s="23">
        <f>VALUE(0)</f>
        <v>0</v>
      </c>
      <c r="BG302" s="23">
        <f>VALUE(0)</f>
        <v>0</v>
      </c>
      <c r="BH302" s="23">
        <f>VALUE(0)</f>
        <v>0</v>
      </c>
      <c r="BI302" s="23">
        <f>VALUE(0)</f>
        <v>0</v>
      </c>
      <c r="BJ302" s="23">
        <f>VALUE(0)</f>
        <v>0</v>
      </c>
      <c r="BK302" s="12">
        <f>$AX$302*24</f>
        <v>5.833333333333333</v>
      </c>
      <c r="BL302" s="12">
        <f>$AY$302*24</f>
        <v>0</v>
      </c>
      <c r="BM302" s="12">
        <f>$BJ$302*24</f>
        <v>0</v>
      </c>
      <c r="BN302" s="12">
        <f>VALUE($I$302)/100</f>
        <v>1</v>
      </c>
      <c r="BO302" s="12">
        <v>0</v>
      </c>
      <c r="BP302" s="12">
        <v>0</v>
      </c>
      <c r="BQ302" s="12">
        <v>0</v>
      </c>
      <c r="BR302" s="12">
        <v>0</v>
      </c>
      <c r="BS302" s="12">
        <v>0</v>
      </c>
      <c r="BT302" s="12">
        <v>1</v>
      </c>
      <c r="BU302" s="12">
        <v>0</v>
      </c>
      <c r="BV302" s="12">
        <v>0</v>
      </c>
      <c r="BW302" s="12">
        <v>0</v>
      </c>
      <c r="BX302" s="12">
        <v>0</v>
      </c>
      <c r="BY302" s="12">
        <v>0</v>
      </c>
      <c r="BZ302" s="12">
        <v>0</v>
      </c>
      <c r="CA302" s="12">
        <v>0</v>
      </c>
    </row>
    <row r="303" spans="1:79" hidden="1" x14ac:dyDescent="0.2">
      <c r="A303" s="12" t="s">
        <v>141</v>
      </c>
      <c r="B303" s="12" t="s">
        <v>144</v>
      </c>
      <c r="C303" s="12" t="s">
        <v>144</v>
      </c>
      <c r="D303" s="22" t="s">
        <v>1279</v>
      </c>
      <c r="E303" s="22" t="s">
        <v>173</v>
      </c>
      <c r="F303" s="22" t="s">
        <v>1078</v>
      </c>
      <c r="G303" s="22" t="s">
        <v>1079</v>
      </c>
      <c r="H303" s="22" t="s">
        <v>150</v>
      </c>
      <c r="I303" s="22" t="s">
        <v>151</v>
      </c>
      <c r="J303" s="22" t="s">
        <v>162</v>
      </c>
      <c r="K303" s="22" t="s">
        <v>98</v>
      </c>
      <c r="L303" s="54" t="s">
        <v>153</v>
      </c>
      <c r="M303" s="27" t="s">
        <v>153</v>
      </c>
      <c r="N303" s="27" t="s">
        <v>153</v>
      </c>
      <c r="O303" s="27" t="s">
        <v>153</v>
      </c>
      <c r="P303" s="27" t="s">
        <v>153</v>
      </c>
      <c r="Q303" s="27" t="s">
        <v>153</v>
      </c>
      <c r="R303" s="27" t="s">
        <v>153</v>
      </c>
      <c r="S303" s="27" t="s">
        <v>153</v>
      </c>
      <c r="T303" s="27" t="s">
        <v>153</v>
      </c>
      <c r="U303" s="27" t="s">
        <v>153</v>
      </c>
      <c r="V303" s="54" t="s">
        <v>153</v>
      </c>
      <c r="W303" s="27" t="s">
        <v>153</v>
      </c>
      <c r="X303" s="27" t="s">
        <v>153</v>
      </c>
      <c r="Y303" s="27" t="s">
        <v>153</v>
      </c>
      <c r="Z303" s="27" t="s">
        <v>153</v>
      </c>
      <c r="AA303" s="27" t="s">
        <v>153</v>
      </c>
      <c r="AB303" s="27" t="s">
        <v>153</v>
      </c>
      <c r="AC303" s="27" t="s">
        <v>153</v>
      </c>
      <c r="AD303" s="27" t="s">
        <v>153</v>
      </c>
      <c r="AE303" s="27" t="s">
        <v>153</v>
      </c>
      <c r="AF303" s="27" t="s">
        <v>153</v>
      </c>
      <c r="AG303" s="27" t="s">
        <v>153</v>
      </c>
      <c r="AH303" s="27" t="s">
        <v>153</v>
      </c>
      <c r="AI303" s="27" t="s">
        <v>153</v>
      </c>
      <c r="AJ303" s="27" t="s">
        <v>153</v>
      </c>
      <c r="AK303" s="27" t="s">
        <v>153</v>
      </c>
      <c r="AL303" s="27" t="s">
        <v>153</v>
      </c>
      <c r="AM303" s="27" t="s">
        <v>153</v>
      </c>
      <c r="AN303" s="27" t="s">
        <v>153</v>
      </c>
      <c r="AO303" s="27" t="s">
        <v>153</v>
      </c>
      <c r="AP303" s="23">
        <f>VALUE(0)</f>
        <v>0</v>
      </c>
      <c r="AQ303" s="23">
        <f>VALUE(0)</f>
        <v>0</v>
      </c>
      <c r="AR303" s="23">
        <f>VALUE(0)</f>
        <v>0</v>
      </c>
      <c r="AS303" s="23">
        <f>VALUE(0)</f>
        <v>0</v>
      </c>
      <c r="AT303" s="23">
        <f>VALUE(0)</f>
        <v>0</v>
      </c>
      <c r="AU303" s="23">
        <f>VALUE(0)</f>
        <v>0</v>
      </c>
      <c r="AV303" s="23">
        <f>VALUE(0)</f>
        <v>0</v>
      </c>
      <c r="AW303" s="23">
        <f>VALUE(0)</f>
        <v>0</v>
      </c>
      <c r="AX303" s="23">
        <f>VALUE(0)</f>
        <v>0</v>
      </c>
      <c r="AY303" s="23">
        <f>VALUE(0)</f>
        <v>0</v>
      </c>
      <c r="AZ303" s="23">
        <f>VALUE(0)</f>
        <v>0</v>
      </c>
      <c r="BA303" s="23">
        <f>VALUE(0)</f>
        <v>0</v>
      </c>
      <c r="BB303" s="23">
        <f>VALUE(0)</f>
        <v>0</v>
      </c>
      <c r="BC303" s="23">
        <f>VALUE(0)</f>
        <v>0</v>
      </c>
      <c r="BD303" s="23">
        <f>VALUE(0)</f>
        <v>0</v>
      </c>
      <c r="BE303" s="23">
        <f>VALUE(0)</f>
        <v>0</v>
      </c>
      <c r="BF303" s="23">
        <f>VALUE(0)</f>
        <v>0</v>
      </c>
      <c r="BG303" s="23">
        <f>VALUE(0)</f>
        <v>0</v>
      </c>
      <c r="BH303" s="23">
        <f>VALUE(0)</f>
        <v>0</v>
      </c>
      <c r="BI303" s="23">
        <f>VALUE(0)</f>
        <v>0</v>
      </c>
      <c r="BJ303" s="23">
        <f>VALUE(0)</f>
        <v>0</v>
      </c>
      <c r="BK303" s="12">
        <f>$AX$303*24</f>
        <v>0</v>
      </c>
      <c r="BL303" s="12">
        <f>$AY$303*24</f>
        <v>0</v>
      </c>
      <c r="BM303" s="12">
        <f>$BJ$303*24</f>
        <v>0</v>
      </c>
      <c r="BN303" s="12">
        <f>VALUE($I$303)/100</f>
        <v>1</v>
      </c>
      <c r="BO303" s="12">
        <v>0</v>
      </c>
      <c r="BP303" s="12">
        <v>0</v>
      </c>
      <c r="BQ303" s="12">
        <v>0</v>
      </c>
      <c r="BR303" s="12">
        <v>0</v>
      </c>
      <c r="BS303" s="12">
        <v>0</v>
      </c>
      <c r="BT303" s="12">
        <v>0</v>
      </c>
      <c r="BU303" s="12">
        <v>0</v>
      </c>
      <c r="BV303" s="12">
        <v>0</v>
      </c>
      <c r="BW303" s="12">
        <v>0</v>
      </c>
      <c r="BX303" s="12">
        <v>0</v>
      </c>
      <c r="BY303" s="12">
        <v>0</v>
      </c>
      <c r="BZ303" s="12">
        <v>0</v>
      </c>
      <c r="CA303" s="12">
        <v>0</v>
      </c>
    </row>
    <row r="304" spans="1:79" ht="16.5" hidden="1" x14ac:dyDescent="0.2">
      <c r="A304" s="12" t="s">
        <v>141</v>
      </c>
      <c r="B304" s="12" t="s">
        <v>144</v>
      </c>
      <c r="C304" s="12" t="s">
        <v>144</v>
      </c>
      <c r="D304" s="22" t="s">
        <v>549</v>
      </c>
      <c r="E304" s="22" t="s">
        <v>173</v>
      </c>
      <c r="F304" s="22" t="s">
        <v>1080</v>
      </c>
      <c r="G304" s="22" t="s">
        <v>1081</v>
      </c>
      <c r="H304" s="22" t="s">
        <v>166</v>
      </c>
      <c r="I304" s="22" t="s">
        <v>151</v>
      </c>
      <c r="J304" s="22" t="s">
        <v>162</v>
      </c>
      <c r="K304" s="22" t="s">
        <v>98</v>
      </c>
      <c r="L304" s="54" t="s">
        <v>153</v>
      </c>
      <c r="M304" s="26" t="s">
        <v>550</v>
      </c>
      <c r="N304" s="24" t="s">
        <v>153</v>
      </c>
      <c r="O304" s="23" t="s">
        <v>185</v>
      </c>
      <c r="P304" s="25" t="s">
        <v>1305</v>
      </c>
      <c r="Q304" s="23" t="s">
        <v>540</v>
      </c>
      <c r="R304" s="23" t="s">
        <v>540</v>
      </c>
      <c r="S304" s="23" t="s">
        <v>542</v>
      </c>
      <c r="T304" s="23" t="s">
        <v>542</v>
      </c>
      <c r="U304" s="24" t="s">
        <v>153</v>
      </c>
      <c r="V304" s="54" t="s">
        <v>153</v>
      </c>
      <c r="W304" s="23" t="s">
        <v>537</v>
      </c>
      <c r="X304" s="24" t="s">
        <v>156</v>
      </c>
      <c r="Y304" s="24" t="s">
        <v>156</v>
      </c>
      <c r="Z304" s="23" t="s">
        <v>182</v>
      </c>
      <c r="AA304" s="23" t="s">
        <v>182</v>
      </c>
      <c r="AB304" s="24" t="s">
        <v>153</v>
      </c>
      <c r="AC304" s="23" t="s">
        <v>537</v>
      </c>
      <c r="AD304" s="23" t="s">
        <v>537</v>
      </c>
      <c r="AE304" s="23" t="s">
        <v>537</v>
      </c>
      <c r="AF304" s="23" t="s">
        <v>537</v>
      </c>
      <c r="AG304" s="23" t="s">
        <v>537</v>
      </c>
      <c r="AH304" s="23" t="s">
        <v>537</v>
      </c>
      <c r="AI304" s="24" t="s">
        <v>153</v>
      </c>
      <c r="AJ304" s="28" t="s">
        <v>163</v>
      </c>
      <c r="AK304" s="28" t="s">
        <v>163</v>
      </c>
      <c r="AL304" s="28" t="s">
        <v>163</v>
      </c>
      <c r="AM304" s="28" t="s">
        <v>163</v>
      </c>
      <c r="AN304" s="28" t="s">
        <v>163</v>
      </c>
      <c r="AO304" s="28" t="s">
        <v>163</v>
      </c>
      <c r="AP304" s="23">
        <f>VALUE(14)</f>
        <v>14</v>
      </c>
      <c r="AQ304" s="23">
        <f>VALUE(0)</f>
        <v>0</v>
      </c>
      <c r="AR304" s="23">
        <f>VALUE(0)</f>
        <v>0</v>
      </c>
      <c r="AS304" s="23">
        <f>VALUE(0)</f>
        <v>0</v>
      </c>
      <c r="AT304" s="23">
        <f>VALUE(0)</f>
        <v>0</v>
      </c>
      <c r="AU304" s="23">
        <f>VALUE(6)</f>
        <v>6</v>
      </c>
      <c r="AV304" s="23">
        <f>VALUE(6)</f>
        <v>6</v>
      </c>
      <c r="AW304" s="23">
        <f>VALUE(0)</f>
        <v>0</v>
      </c>
      <c r="AX304" s="23" t="s">
        <v>551</v>
      </c>
      <c r="AY304" s="23">
        <f>VALUE(0)</f>
        <v>0</v>
      </c>
      <c r="AZ304" s="23">
        <f>VALUE(0)</f>
        <v>0</v>
      </c>
      <c r="BA304" s="23">
        <f>VALUE(0)</f>
        <v>0</v>
      </c>
      <c r="BB304" s="23">
        <f>VALUE(0)</f>
        <v>0</v>
      </c>
      <c r="BC304" s="23">
        <f>VALUE(0)</f>
        <v>0</v>
      </c>
      <c r="BD304" s="23">
        <f>VALUE(1)</f>
        <v>1</v>
      </c>
      <c r="BE304" s="23">
        <f>VALUE(0)</f>
        <v>0</v>
      </c>
      <c r="BF304" s="23">
        <f>VALUE(0)</f>
        <v>0</v>
      </c>
      <c r="BG304" s="23">
        <f>VALUE(0)</f>
        <v>0</v>
      </c>
      <c r="BH304" s="23">
        <f>VALUE(0)</f>
        <v>0</v>
      </c>
      <c r="BI304" s="23">
        <f>VALUE(0)</f>
        <v>0</v>
      </c>
      <c r="BJ304" s="23">
        <f>VALUE(0)</f>
        <v>0</v>
      </c>
      <c r="BK304" s="12">
        <f>$AX$304*24</f>
        <v>20.283333333333335</v>
      </c>
      <c r="BL304" s="12">
        <f>$AY$304*24</f>
        <v>0</v>
      </c>
      <c r="BM304" s="12">
        <f>$BJ$304*24</f>
        <v>0</v>
      </c>
      <c r="BN304" s="12">
        <f>VALUE($I$304)/100</f>
        <v>1</v>
      </c>
      <c r="BO304" s="12">
        <v>0</v>
      </c>
      <c r="BP304" s="12">
        <v>0</v>
      </c>
      <c r="BQ304" s="12">
        <v>0</v>
      </c>
      <c r="BR304" s="12">
        <v>1</v>
      </c>
      <c r="BS304" s="12">
        <v>0</v>
      </c>
      <c r="BT304" s="12">
        <v>0</v>
      </c>
      <c r="BU304" s="12">
        <v>0</v>
      </c>
      <c r="BV304" s="12">
        <v>0</v>
      </c>
      <c r="BW304" s="12">
        <v>0</v>
      </c>
      <c r="BX304" s="12">
        <v>0</v>
      </c>
      <c r="BY304" s="12">
        <v>0</v>
      </c>
      <c r="BZ304" s="12">
        <v>0</v>
      </c>
      <c r="CA304" s="12">
        <v>0</v>
      </c>
    </row>
    <row r="305" spans="1:79" ht="15" hidden="1" x14ac:dyDescent="0.25">
      <c r="A305" s="12" t="s">
        <v>141</v>
      </c>
      <c r="B305" s="12" t="s">
        <v>144</v>
      </c>
      <c r="C305" s="12" t="s">
        <v>144</v>
      </c>
      <c r="D305" s="31" t="s">
        <v>202</v>
      </c>
      <c r="E305" s="31" t="s">
        <v>153</v>
      </c>
      <c r="F305" s="31" t="s">
        <v>175</v>
      </c>
      <c r="G305" s="31" t="s">
        <v>153</v>
      </c>
      <c r="H305" s="31" t="s">
        <v>153</v>
      </c>
      <c r="I305" s="31" t="s">
        <v>153</v>
      </c>
      <c r="J305" s="31" t="s">
        <v>153</v>
      </c>
      <c r="K305" s="31" t="s">
        <v>153</v>
      </c>
      <c r="L305" s="31">
        <f>VALUE(0)</f>
        <v>0</v>
      </c>
      <c r="M305" s="31">
        <f>VALUE(9)</f>
        <v>9</v>
      </c>
      <c r="N305" s="31">
        <f>VALUE(0)</f>
        <v>0</v>
      </c>
      <c r="O305" s="31">
        <f>VALUE(7)</f>
        <v>7</v>
      </c>
      <c r="P305" s="31">
        <f>VALUE(8)</f>
        <v>8</v>
      </c>
      <c r="Q305" s="31">
        <f>VALUE(8)</f>
        <v>8</v>
      </c>
      <c r="R305" s="31">
        <f>VALUE(8)</f>
        <v>8</v>
      </c>
      <c r="S305" s="31">
        <f>VALUE(8)</f>
        <v>8</v>
      </c>
      <c r="T305" s="31">
        <f>VALUE(8)</f>
        <v>8</v>
      </c>
      <c r="U305" s="31">
        <f>VALUE(0)</f>
        <v>0</v>
      </c>
      <c r="V305" s="31">
        <f>VALUE(0)</f>
        <v>0</v>
      </c>
      <c r="W305" s="31">
        <f>VALUE(9)</f>
        <v>9</v>
      </c>
      <c r="X305" s="31">
        <f>VALUE(8)</f>
        <v>8</v>
      </c>
      <c r="Y305" s="31">
        <f>VALUE(8)</f>
        <v>8</v>
      </c>
      <c r="Z305" s="31">
        <f>VALUE(9)</f>
        <v>9</v>
      </c>
      <c r="AA305" s="31">
        <f>VALUE(9)</f>
        <v>9</v>
      </c>
      <c r="AB305" s="31">
        <f>VALUE(0)</f>
        <v>0</v>
      </c>
      <c r="AC305" s="31">
        <f>VALUE(9)</f>
        <v>9</v>
      </c>
      <c r="AD305" s="31">
        <f>VALUE(9)</f>
        <v>9</v>
      </c>
      <c r="AE305" s="31">
        <f>VALUE(8)</f>
        <v>8</v>
      </c>
      <c r="AF305" s="31">
        <f>VALUE(8)</f>
        <v>8</v>
      </c>
      <c r="AG305" s="31">
        <f>VALUE(8)</f>
        <v>8</v>
      </c>
      <c r="AH305" s="31">
        <f>VALUE(8)</f>
        <v>8</v>
      </c>
      <c r="AI305" s="31">
        <f>VALUE(0)</f>
        <v>0</v>
      </c>
      <c r="AJ305" s="31">
        <f>VALUE(9)</f>
        <v>9</v>
      </c>
      <c r="AK305" s="31">
        <f>VALUE(9)</f>
        <v>9</v>
      </c>
      <c r="AL305" s="31">
        <f>VALUE(8)</f>
        <v>8</v>
      </c>
      <c r="AM305" s="31">
        <f>VALUE(8)</f>
        <v>8</v>
      </c>
      <c r="AN305" s="31">
        <f>VALUE(8)</f>
        <v>8</v>
      </c>
      <c r="AO305" s="31">
        <f>VALUE(8)</f>
        <v>8</v>
      </c>
      <c r="AP305" s="31">
        <v>0</v>
      </c>
      <c r="AQ305" s="31">
        <v>0</v>
      </c>
      <c r="AR305" s="31">
        <v>0</v>
      </c>
      <c r="AS305" s="31">
        <v>0</v>
      </c>
      <c r="AT305" s="31">
        <v>0</v>
      </c>
      <c r="AU305" s="31">
        <v>0</v>
      </c>
      <c r="AV305" s="31">
        <v>0</v>
      </c>
      <c r="AW305" s="31">
        <v>0</v>
      </c>
      <c r="AX305" s="31">
        <v>0</v>
      </c>
      <c r="AY305" s="31">
        <v>0</v>
      </c>
      <c r="AZ305" s="31">
        <v>0</v>
      </c>
      <c r="BA305" s="31">
        <v>0</v>
      </c>
      <c r="BB305" s="31">
        <v>0</v>
      </c>
      <c r="BC305" s="31">
        <v>0</v>
      </c>
      <c r="BD305" s="31">
        <v>0</v>
      </c>
      <c r="BE305" s="31">
        <v>0</v>
      </c>
      <c r="BF305" s="31">
        <v>0</v>
      </c>
      <c r="BG305" s="31">
        <v>0</v>
      </c>
      <c r="BH305" s="31">
        <v>0</v>
      </c>
      <c r="BI305" s="31">
        <v>0</v>
      </c>
      <c r="BJ305" s="31">
        <v>0</v>
      </c>
      <c r="BK305" s="12">
        <v>0</v>
      </c>
      <c r="BL305" s="12">
        <v>0</v>
      </c>
      <c r="BM305" s="12">
        <v>0</v>
      </c>
      <c r="BN305" s="12"/>
      <c r="BO305" s="12">
        <v>0</v>
      </c>
      <c r="BP305" s="12">
        <v>0</v>
      </c>
      <c r="BQ305" s="12">
        <v>0</v>
      </c>
      <c r="BR305" s="12">
        <v>0</v>
      </c>
      <c r="BS305" s="12">
        <v>0</v>
      </c>
      <c r="BT305" s="12">
        <v>0</v>
      </c>
      <c r="BU305" s="12">
        <v>0</v>
      </c>
      <c r="BV305" s="12">
        <v>0</v>
      </c>
      <c r="BW305" s="12">
        <v>0</v>
      </c>
      <c r="BX305" s="12">
        <v>0</v>
      </c>
      <c r="BY305" s="12">
        <v>0</v>
      </c>
      <c r="BZ305" s="12">
        <v>0</v>
      </c>
      <c r="CA305" s="12">
        <v>0</v>
      </c>
    </row>
    <row r="306" spans="1:79" ht="16.5" hidden="1" x14ac:dyDescent="0.2">
      <c r="A306" s="12" t="s">
        <v>141</v>
      </c>
      <c r="B306" s="12" t="s">
        <v>145</v>
      </c>
      <c r="C306" s="12" t="s">
        <v>145</v>
      </c>
      <c r="D306" s="22" t="s">
        <v>1286</v>
      </c>
      <c r="E306" s="22" t="s">
        <v>149</v>
      </c>
      <c r="F306" s="22" t="s">
        <v>1082</v>
      </c>
      <c r="G306" s="22" t="s">
        <v>1083</v>
      </c>
      <c r="H306" s="22" t="s">
        <v>166</v>
      </c>
      <c r="I306" s="22" t="s">
        <v>151</v>
      </c>
      <c r="J306" s="22" t="s">
        <v>524</v>
      </c>
      <c r="K306" s="22" t="s">
        <v>99</v>
      </c>
      <c r="L306" s="54" t="s">
        <v>153</v>
      </c>
      <c r="M306" s="23" t="s">
        <v>562</v>
      </c>
      <c r="N306" s="24" t="s">
        <v>153</v>
      </c>
      <c r="O306" s="25" t="s">
        <v>552</v>
      </c>
      <c r="P306" s="26" t="s">
        <v>1306</v>
      </c>
      <c r="Q306" s="23" t="s">
        <v>553</v>
      </c>
      <c r="R306" s="23" t="s">
        <v>553</v>
      </c>
      <c r="S306" s="23" t="s">
        <v>553</v>
      </c>
      <c r="T306" s="23" t="s">
        <v>553</v>
      </c>
      <c r="U306" s="24" t="s">
        <v>153</v>
      </c>
      <c r="V306" s="54" t="s">
        <v>153</v>
      </c>
      <c r="W306" s="26" t="s">
        <v>1306</v>
      </c>
      <c r="X306" s="23" t="s">
        <v>287</v>
      </c>
      <c r="Y306" s="23" t="s">
        <v>287</v>
      </c>
      <c r="Z306" s="29" t="s">
        <v>218</v>
      </c>
      <c r="AA306" s="23" t="s">
        <v>552</v>
      </c>
      <c r="AB306" s="24" t="s">
        <v>153</v>
      </c>
      <c r="AC306" s="26" t="s">
        <v>1306</v>
      </c>
      <c r="AD306" s="26" t="s">
        <v>1306</v>
      </c>
      <c r="AE306" s="23" t="s">
        <v>1307</v>
      </c>
      <c r="AF306" s="23" t="s">
        <v>1307</v>
      </c>
      <c r="AG306" s="23" t="s">
        <v>1307</v>
      </c>
      <c r="AH306" s="23" t="s">
        <v>1307</v>
      </c>
      <c r="AI306" s="24" t="s">
        <v>153</v>
      </c>
      <c r="AJ306" s="23" t="s">
        <v>554</v>
      </c>
      <c r="AK306" s="23" t="s">
        <v>554</v>
      </c>
      <c r="AL306" s="23" t="s">
        <v>1308</v>
      </c>
      <c r="AM306" s="23" t="s">
        <v>1308</v>
      </c>
      <c r="AN306" s="23" t="s">
        <v>555</v>
      </c>
      <c r="AO306" s="23" t="s">
        <v>555</v>
      </c>
      <c r="AP306" s="23">
        <f>VALUE(29)</f>
        <v>29</v>
      </c>
      <c r="AQ306" s="23">
        <f>VALUE(0)</f>
        <v>0</v>
      </c>
      <c r="AR306" s="23">
        <f>VALUE(1)</f>
        <v>1</v>
      </c>
      <c r="AS306" s="23">
        <f>VALUE(0)</f>
        <v>0</v>
      </c>
      <c r="AT306" s="23">
        <f>VALUE(0)</f>
        <v>0</v>
      </c>
      <c r="AU306" s="23">
        <f>VALUE(0)</f>
        <v>0</v>
      </c>
      <c r="AV306" s="23">
        <f>VALUE(3)</f>
        <v>3</v>
      </c>
      <c r="AW306" s="23">
        <f>VALUE(0)</f>
        <v>0</v>
      </c>
      <c r="AX306" s="23" t="s">
        <v>1309</v>
      </c>
      <c r="AY306" s="23">
        <f>VALUE(0)</f>
        <v>0</v>
      </c>
      <c r="AZ306" s="23">
        <f>VALUE(0)</f>
        <v>0</v>
      </c>
      <c r="BA306" s="23">
        <f>VALUE(0)</f>
        <v>0</v>
      </c>
      <c r="BB306" s="23">
        <f>VALUE(0)</f>
        <v>0</v>
      </c>
      <c r="BC306" s="23">
        <f>VALUE(0)</f>
        <v>0</v>
      </c>
      <c r="BD306" s="23">
        <f>VALUE(0)</f>
        <v>0</v>
      </c>
      <c r="BE306" s="23">
        <f>VALUE(0)</f>
        <v>0</v>
      </c>
      <c r="BF306" s="23">
        <f>VALUE(0)</f>
        <v>0</v>
      </c>
      <c r="BG306" s="23">
        <f>VALUE(0)</f>
        <v>0</v>
      </c>
      <c r="BH306" s="23">
        <f>VALUE(0)</f>
        <v>0</v>
      </c>
      <c r="BI306" s="23">
        <f>VALUE(0)</f>
        <v>0</v>
      </c>
      <c r="BJ306" s="23">
        <f>VALUE(0)</f>
        <v>0</v>
      </c>
      <c r="BK306" s="12">
        <f>$AX$306*24</f>
        <v>36.1</v>
      </c>
      <c r="BL306" s="12">
        <f>$AY$306*24</f>
        <v>0</v>
      </c>
      <c r="BM306" s="12">
        <f>$BJ$306*24</f>
        <v>0</v>
      </c>
      <c r="BN306" s="12">
        <f>VALUE($I$306)/100</f>
        <v>1</v>
      </c>
      <c r="BO306" s="12">
        <v>0</v>
      </c>
      <c r="BP306" s="12">
        <v>0</v>
      </c>
      <c r="BQ306" s="12">
        <v>0</v>
      </c>
      <c r="BR306" s="12">
        <v>0</v>
      </c>
      <c r="BS306" s="12">
        <v>1</v>
      </c>
      <c r="BT306" s="12">
        <v>0</v>
      </c>
      <c r="BU306" s="12">
        <v>0</v>
      </c>
      <c r="BV306" s="12">
        <v>0</v>
      </c>
      <c r="BW306" s="12">
        <v>0</v>
      </c>
      <c r="BX306" s="12">
        <v>0</v>
      </c>
      <c r="BY306" s="12">
        <v>0</v>
      </c>
      <c r="BZ306" s="12">
        <v>0</v>
      </c>
      <c r="CA306" s="12">
        <v>0</v>
      </c>
    </row>
    <row r="307" spans="1:79" hidden="1" x14ac:dyDescent="0.2">
      <c r="A307" s="12" t="s">
        <v>141</v>
      </c>
      <c r="B307" s="12" t="s">
        <v>145</v>
      </c>
      <c r="C307" s="12" t="s">
        <v>145</v>
      </c>
      <c r="D307" s="22" t="s">
        <v>556</v>
      </c>
      <c r="E307" s="22" t="s">
        <v>161</v>
      </c>
      <c r="F307" s="22" t="s">
        <v>1084</v>
      </c>
      <c r="G307" s="22" t="s">
        <v>1085</v>
      </c>
      <c r="H307" s="22" t="s">
        <v>150</v>
      </c>
      <c r="I307" s="22" t="s">
        <v>557</v>
      </c>
      <c r="J307" s="22" t="s">
        <v>530</v>
      </c>
      <c r="K307" s="22" t="s">
        <v>99</v>
      </c>
      <c r="L307" s="54" t="s">
        <v>153</v>
      </c>
      <c r="M307" s="24" t="s">
        <v>195</v>
      </c>
      <c r="N307" s="24" t="s">
        <v>153</v>
      </c>
      <c r="O307" s="23" t="s">
        <v>558</v>
      </c>
      <c r="P307" s="23" t="s">
        <v>558</v>
      </c>
      <c r="Q307" s="23" t="s">
        <v>153</v>
      </c>
      <c r="R307" s="23" t="s">
        <v>153</v>
      </c>
      <c r="S307" s="23" t="s">
        <v>153</v>
      </c>
      <c r="T307" s="23" t="s">
        <v>153</v>
      </c>
      <c r="U307" s="24" t="s">
        <v>153</v>
      </c>
      <c r="V307" s="54" t="s">
        <v>153</v>
      </c>
      <c r="W307" s="23" t="s">
        <v>153</v>
      </c>
      <c r="X307" s="23" t="s">
        <v>153</v>
      </c>
      <c r="Y307" s="23" t="s">
        <v>153</v>
      </c>
      <c r="Z307" s="23" t="s">
        <v>552</v>
      </c>
      <c r="AA307" s="23" t="s">
        <v>153</v>
      </c>
      <c r="AB307" s="24" t="s">
        <v>153</v>
      </c>
      <c r="AC307" s="23" t="s">
        <v>153</v>
      </c>
      <c r="AD307" s="23" t="s">
        <v>153</v>
      </c>
      <c r="AE307" s="23" t="s">
        <v>153</v>
      </c>
      <c r="AF307" s="23" t="s">
        <v>153</v>
      </c>
      <c r="AG307" s="23" t="s">
        <v>153</v>
      </c>
      <c r="AH307" s="23" t="s">
        <v>153</v>
      </c>
      <c r="AI307" s="24" t="s">
        <v>153</v>
      </c>
      <c r="AJ307" s="23" t="s">
        <v>153</v>
      </c>
      <c r="AK307" s="23" t="s">
        <v>153</v>
      </c>
      <c r="AL307" s="24" t="s">
        <v>156</v>
      </c>
      <c r="AM307" s="24" t="s">
        <v>156</v>
      </c>
      <c r="AN307" s="23" t="s">
        <v>153</v>
      </c>
      <c r="AO307" s="23" t="s">
        <v>153</v>
      </c>
      <c r="AP307" s="23">
        <f>VALUE(22)</f>
        <v>22</v>
      </c>
      <c r="AQ307" s="23">
        <f>VALUE(0)</f>
        <v>0</v>
      </c>
      <c r="AR307" s="23">
        <f>VALUE(0)</f>
        <v>0</v>
      </c>
      <c r="AS307" s="23">
        <f>VALUE(0)</f>
        <v>0</v>
      </c>
      <c r="AT307" s="23">
        <f>VALUE(0)</f>
        <v>0</v>
      </c>
      <c r="AU307" s="23">
        <f>VALUE(0)</f>
        <v>0</v>
      </c>
      <c r="AV307" s="23">
        <f>VALUE(2)</f>
        <v>2</v>
      </c>
      <c r="AW307" s="23">
        <f>VALUE(0)</f>
        <v>0</v>
      </c>
      <c r="AX307" s="23" t="s">
        <v>289</v>
      </c>
      <c r="AY307" s="23" t="s">
        <v>255</v>
      </c>
      <c r="AZ307" s="23">
        <f>VALUE(0)</f>
        <v>0</v>
      </c>
      <c r="BA307" s="23">
        <f>VALUE(0)</f>
        <v>0</v>
      </c>
      <c r="BB307" s="23">
        <f>VALUE(0)</f>
        <v>0</v>
      </c>
      <c r="BC307" s="23">
        <f>VALUE(0)</f>
        <v>0</v>
      </c>
      <c r="BD307" s="23">
        <f>VALUE(0)</f>
        <v>0</v>
      </c>
      <c r="BE307" s="23">
        <f>VALUE(0)</f>
        <v>0</v>
      </c>
      <c r="BF307" s="23">
        <f>VALUE(0)</f>
        <v>0</v>
      </c>
      <c r="BG307" s="23">
        <f>VALUE(0)</f>
        <v>0</v>
      </c>
      <c r="BH307" s="23">
        <f>VALUE(0)</f>
        <v>0</v>
      </c>
      <c r="BI307" s="23">
        <f>VALUE(0)</f>
        <v>0</v>
      </c>
      <c r="BJ307" s="23">
        <f>VALUE(0)</f>
        <v>0</v>
      </c>
      <c r="BK307" s="12">
        <f>$AX$307*24</f>
        <v>5.583333333333333</v>
      </c>
      <c r="BL307" s="12">
        <f>$AY$307*24</f>
        <v>2.5</v>
      </c>
      <c r="BM307" s="12">
        <f>$BJ$307*24</f>
        <v>0</v>
      </c>
      <c r="BN307" s="12">
        <f>VALUE($I$307)/100</f>
        <v>0.78</v>
      </c>
      <c r="BO307" s="12">
        <v>0</v>
      </c>
      <c r="BP307" s="12">
        <v>0</v>
      </c>
      <c r="BQ307" s="12">
        <v>0</v>
      </c>
      <c r="BR307" s="12">
        <v>0</v>
      </c>
      <c r="BS307" s="12">
        <v>0</v>
      </c>
      <c r="BT307" s="12">
        <v>0</v>
      </c>
      <c r="BU307" s="12">
        <v>0</v>
      </c>
      <c r="BV307" s="12">
        <v>0</v>
      </c>
      <c r="BW307" s="12">
        <v>0</v>
      </c>
      <c r="BX307" s="12">
        <v>0</v>
      </c>
      <c r="BY307" s="12">
        <v>0</v>
      </c>
      <c r="BZ307" s="12">
        <v>0</v>
      </c>
      <c r="CA307" s="12">
        <v>0</v>
      </c>
    </row>
    <row r="308" spans="1:79" hidden="1" x14ac:dyDescent="0.2">
      <c r="A308" s="12" t="s">
        <v>141</v>
      </c>
      <c r="B308" s="12" t="s">
        <v>145</v>
      </c>
      <c r="C308" s="12" t="s">
        <v>145</v>
      </c>
      <c r="D308" s="22" t="s">
        <v>555</v>
      </c>
      <c r="E308" s="22" t="s">
        <v>161</v>
      </c>
      <c r="F308" s="22" t="s">
        <v>1086</v>
      </c>
      <c r="G308" s="22" t="s">
        <v>1087</v>
      </c>
      <c r="H308" s="22" t="s">
        <v>166</v>
      </c>
      <c r="I308" s="22" t="s">
        <v>151</v>
      </c>
      <c r="J308" s="22" t="s">
        <v>162</v>
      </c>
      <c r="K308" s="22" t="s">
        <v>99</v>
      </c>
      <c r="L308" s="54" t="s">
        <v>153</v>
      </c>
      <c r="M308" s="23" t="s">
        <v>153</v>
      </c>
      <c r="N308" s="24" t="s">
        <v>153</v>
      </c>
      <c r="O308" s="28" t="s">
        <v>163</v>
      </c>
      <c r="P308" s="28" t="s">
        <v>163</v>
      </c>
      <c r="Q308" s="28" t="s">
        <v>163</v>
      </c>
      <c r="R308" s="28" t="s">
        <v>163</v>
      </c>
      <c r="S308" s="28" t="s">
        <v>163</v>
      </c>
      <c r="T308" s="28" t="s">
        <v>163</v>
      </c>
      <c r="U308" s="24" t="s">
        <v>153</v>
      </c>
      <c r="V308" s="54" t="s">
        <v>153</v>
      </c>
      <c r="W308" s="23" t="s">
        <v>153</v>
      </c>
      <c r="X308" s="23" t="s">
        <v>153</v>
      </c>
      <c r="Y308" s="23" t="s">
        <v>153</v>
      </c>
      <c r="Z308" s="23" t="s">
        <v>153</v>
      </c>
      <c r="AA308" s="23" t="s">
        <v>153</v>
      </c>
      <c r="AB308" s="24" t="s">
        <v>153</v>
      </c>
      <c r="AC308" s="23" t="s">
        <v>153</v>
      </c>
      <c r="AD308" s="23" t="s">
        <v>153</v>
      </c>
      <c r="AE308" s="23" t="s">
        <v>153</v>
      </c>
      <c r="AF308" s="23" t="s">
        <v>153</v>
      </c>
      <c r="AG308" s="23" t="s">
        <v>153</v>
      </c>
      <c r="AH308" s="23" t="s">
        <v>153</v>
      </c>
      <c r="AI308" s="24" t="s">
        <v>153</v>
      </c>
      <c r="AJ308" s="23" t="s">
        <v>153</v>
      </c>
      <c r="AK308" s="23" t="s">
        <v>153</v>
      </c>
      <c r="AL308" s="23" t="s">
        <v>153</v>
      </c>
      <c r="AM308" s="23" t="s">
        <v>153</v>
      </c>
      <c r="AN308" s="24" t="s">
        <v>156</v>
      </c>
      <c r="AO308" s="24" t="s">
        <v>156</v>
      </c>
      <c r="AP308" s="23">
        <f>VALUE(32)</f>
        <v>32</v>
      </c>
      <c r="AQ308" s="23">
        <f>VALUE(0)</f>
        <v>0</v>
      </c>
      <c r="AR308" s="23">
        <f>VALUE(0)</f>
        <v>0</v>
      </c>
      <c r="AS308" s="23">
        <f>VALUE(0)</f>
        <v>0</v>
      </c>
      <c r="AT308" s="23">
        <f>VALUE(0)</f>
        <v>0</v>
      </c>
      <c r="AU308" s="23">
        <f>VALUE(6)</f>
        <v>6</v>
      </c>
      <c r="AV308" s="23">
        <f>VALUE(0)</f>
        <v>0</v>
      </c>
      <c r="AW308" s="23">
        <f>VALUE(2)</f>
        <v>2</v>
      </c>
      <c r="AX308" s="23" t="s">
        <v>560</v>
      </c>
      <c r="AY308" s="23">
        <f>VALUE(0)</f>
        <v>0</v>
      </c>
      <c r="AZ308" s="23">
        <f>VALUE(0)</f>
        <v>0</v>
      </c>
      <c r="BA308" s="23">
        <f>VALUE(0)</f>
        <v>0</v>
      </c>
      <c r="BB308" s="23">
        <f>VALUE(0)</f>
        <v>0</v>
      </c>
      <c r="BC308" s="23">
        <f>VALUE(0)</f>
        <v>0</v>
      </c>
      <c r="BD308" s="23">
        <f>VALUE(0)</f>
        <v>0</v>
      </c>
      <c r="BE308" s="23">
        <f>VALUE(0)</f>
        <v>0</v>
      </c>
      <c r="BF308" s="23">
        <f>VALUE(0)</f>
        <v>0</v>
      </c>
      <c r="BG308" s="23">
        <f>VALUE(0)</f>
        <v>0</v>
      </c>
      <c r="BH308" s="23">
        <f>VALUE(0)</f>
        <v>0</v>
      </c>
      <c r="BI308" s="23">
        <f>VALUE(0)</f>
        <v>0</v>
      </c>
      <c r="BJ308" s="23">
        <f>VALUE(0)</f>
        <v>0</v>
      </c>
      <c r="BK308" s="12">
        <f>$AX$308*24</f>
        <v>1.3166666666666667</v>
      </c>
      <c r="BL308" s="12">
        <f>$AY$308*24</f>
        <v>0</v>
      </c>
      <c r="BM308" s="12">
        <f>$BJ$308*24</f>
        <v>0</v>
      </c>
      <c r="BN308" s="12">
        <f>VALUE($I$308)/100</f>
        <v>1</v>
      </c>
      <c r="BO308" s="12">
        <v>0</v>
      </c>
      <c r="BP308" s="12">
        <v>0</v>
      </c>
      <c r="BQ308" s="12">
        <v>0</v>
      </c>
      <c r="BR308" s="12">
        <v>0</v>
      </c>
      <c r="BS308" s="12">
        <v>0</v>
      </c>
      <c r="BT308" s="12">
        <v>0</v>
      </c>
      <c r="BU308" s="12">
        <v>0</v>
      </c>
      <c r="BV308" s="12">
        <v>0</v>
      </c>
      <c r="BW308" s="12">
        <v>0</v>
      </c>
      <c r="BX308" s="12">
        <v>0</v>
      </c>
      <c r="BY308" s="12">
        <v>0</v>
      </c>
      <c r="BZ308" s="12">
        <v>0</v>
      </c>
      <c r="CA308" s="12">
        <v>0</v>
      </c>
    </row>
    <row r="309" spans="1:79" hidden="1" x14ac:dyDescent="0.2">
      <c r="A309" s="12" t="s">
        <v>141</v>
      </c>
      <c r="B309" s="12" t="s">
        <v>145</v>
      </c>
      <c r="C309" s="12" t="s">
        <v>145</v>
      </c>
      <c r="D309" s="22" t="s">
        <v>555</v>
      </c>
      <c r="E309" s="22" t="s">
        <v>161</v>
      </c>
      <c r="F309" s="22" t="s">
        <v>1088</v>
      </c>
      <c r="G309" s="22" t="s">
        <v>1089</v>
      </c>
      <c r="H309" s="22" t="s">
        <v>150</v>
      </c>
      <c r="I309" s="22" t="s">
        <v>343</v>
      </c>
      <c r="J309" s="22" t="s">
        <v>162</v>
      </c>
      <c r="K309" s="22" t="s">
        <v>99</v>
      </c>
      <c r="L309" s="54" t="s">
        <v>153</v>
      </c>
      <c r="M309" s="33" t="s">
        <v>475</v>
      </c>
      <c r="N309" s="24" t="s">
        <v>153</v>
      </c>
      <c r="O309" s="33" t="s">
        <v>475</v>
      </c>
      <c r="P309" s="33" t="s">
        <v>475</v>
      </c>
      <c r="Q309" s="33" t="s">
        <v>475</v>
      </c>
      <c r="R309" s="33" t="s">
        <v>475</v>
      </c>
      <c r="S309" s="33" t="s">
        <v>475</v>
      </c>
      <c r="T309" s="33" t="s">
        <v>475</v>
      </c>
      <c r="U309" s="24" t="s">
        <v>153</v>
      </c>
      <c r="V309" s="54" t="s">
        <v>156</v>
      </c>
      <c r="W309" s="33" t="s">
        <v>475</v>
      </c>
      <c r="X309" s="33" t="s">
        <v>475</v>
      </c>
      <c r="Y309" s="33" t="s">
        <v>475</v>
      </c>
      <c r="Z309" s="33" t="s">
        <v>475</v>
      </c>
      <c r="AA309" s="33" t="s">
        <v>475</v>
      </c>
      <c r="AB309" s="24" t="s">
        <v>153</v>
      </c>
      <c r="AC309" s="33" t="s">
        <v>475</v>
      </c>
      <c r="AD309" s="33" t="s">
        <v>475</v>
      </c>
      <c r="AE309" s="33" t="s">
        <v>475</v>
      </c>
      <c r="AF309" s="33" t="s">
        <v>475</v>
      </c>
      <c r="AG309" s="33" t="s">
        <v>475</v>
      </c>
      <c r="AH309" s="33" t="s">
        <v>475</v>
      </c>
      <c r="AI309" s="24" t="s">
        <v>153</v>
      </c>
      <c r="AJ309" s="33" t="s">
        <v>475</v>
      </c>
      <c r="AK309" s="33" t="s">
        <v>475</v>
      </c>
      <c r="AL309" s="33" t="s">
        <v>475</v>
      </c>
      <c r="AM309" s="33" t="s">
        <v>475</v>
      </c>
      <c r="AN309" s="33" t="s">
        <v>475</v>
      </c>
      <c r="AO309" s="33" t="s">
        <v>475</v>
      </c>
      <c r="AP309" s="23">
        <f>VALUE(0)</f>
        <v>0</v>
      </c>
      <c r="AQ309" s="23">
        <f>VALUE(0)</f>
        <v>0</v>
      </c>
      <c r="AR309" s="23">
        <f>VALUE(0)</f>
        <v>0</v>
      </c>
      <c r="AS309" s="23">
        <f>VALUE(0)</f>
        <v>0</v>
      </c>
      <c r="AT309" s="23">
        <f>VALUE(0)</f>
        <v>0</v>
      </c>
      <c r="AU309" s="23">
        <f>VALUE(0)</f>
        <v>0</v>
      </c>
      <c r="AV309" s="23">
        <f>VALUE(0)</f>
        <v>0</v>
      </c>
      <c r="AW309" s="23">
        <f>VALUE(0)</f>
        <v>0</v>
      </c>
      <c r="AX309" s="23" t="s">
        <v>487</v>
      </c>
      <c r="AY309" s="23" t="s">
        <v>176</v>
      </c>
      <c r="AZ309" s="23">
        <f>VALUE(0)</f>
        <v>0</v>
      </c>
      <c r="BA309" s="23">
        <f>VALUE(0)</f>
        <v>0</v>
      </c>
      <c r="BB309" s="23">
        <f>VALUE(0)</f>
        <v>0</v>
      </c>
      <c r="BC309" s="23">
        <f>VALUE(0)</f>
        <v>0</v>
      </c>
      <c r="BD309" s="23">
        <f>VALUE(0)</f>
        <v>0</v>
      </c>
      <c r="BE309" s="23">
        <f>VALUE(0)</f>
        <v>0</v>
      </c>
      <c r="BF309" s="23">
        <f>VALUE(0)</f>
        <v>0</v>
      </c>
      <c r="BG309" s="23">
        <f>VALUE(0)</f>
        <v>0</v>
      </c>
      <c r="BH309" s="23">
        <f>VALUE(0)</f>
        <v>0</v>
      </c>
      <c r="BI309" s="23">
        <f>VALUE(0)</f>
        <v>0</v>
      </c>
      <c r="BJ309" s="23">
        <f>VALUE(0)</f>
        <v>0</v>
      </c>
      <c r="BK309" s="12">
        <f>$AX$309*24</f>
        <v>4.083333333333333</v>
      </c>
      <c r="BL309" s="12">
        <f>$AY$309*24</f>
        <v>0</v>
      </c>
      <c r="BM309" s="12">
        <f>$BJ$309*24</f>
        <v>0</v>
      </c>
      <c r="BN309" s="12">
        <f>VALUE($I$309)/100</f>
        <v>0.7</v>
      </c>
      <c r="BO309" s="12">
        <v>0</v>
      </c>
      <c r="BP309" s="12">
        <v>0</v>
      </c>
      <c r="BQ309" s="12">
        <v>0</v>
      </c>
      <c r="BR309" s="12">
        <v>0</v>
      </c>
      <c r="BS309" s="12">
        <v>0</v>
      </c>
      <c r="BT309" s="12">
        <v>0</v>
      </c>
      <c r="BU309" s="12">
        <v>0</v>
      </c>
      <c r="BV309" s="12">
        <v>0</v>
      </c>
      <c r="BW309" s="12">
        <v>0</v>
      </c>
      <c r="BX309" s="12">
        <v>0</v>
      </c>
      <c r="BY309" s="12">
        <v>0</v>
      </c>
      <c r="BZ309" s="12">
        <v>0</v>
      </c>
      <c r="CA309" s="12">
        <v>0</v>
      </c>
    </row>
    <row r="310" spans="1:79" hidden="1" x14ac:dyDescent="0.2">
      <c r="A310" s="12" t="s">
        <v>141</v>
      </c>
      <c r="B310" s="12" t="s">
        <v>145</v>
      </c>
      <c r="C310" s="12" t="s">
        <v>145</v>
      </c>
      <c r="D310" s="22" t="s">
        <v>553</v>
      </c>
      <c r="E310" s="22" t="s">
        <v>161</v>
      </c>
      <c r="F310" s="22" t="s">
        <v>1310</v>
      </c>
      <c r="G310" s="22" t="s">
        <v>1090</v>
      </c>
      <c r="H310" s="22" t="s">
        <v>150</v>
      </c>
      <c r="I310" s="22" t="s">
        <v>151</v>
      </c>
      <c r="J310" s="22" t="s">
        <v>162</v>
      </c>
      <c r="K310" s="22" t="s">
        <v>99</v>
      </c>
      <c r="L310" s="54" t="s">
        <v>153</v>
      </c>
      <c r="M310" s="23" t="s">
        <v>153</v>
      </c>
      <c r="N310" s="24" t="s">
        <v>153</v>
      </c>
      <c r="O310" s="23" t="s">
        <v>153</v>
      </c>
      <c r="P310" s="23" t="s">
        <v>153</v>
      </c>
      <c r="Q310" s="24" t="s">
        <v>156</v>
      </c>
      <c r="R310" s="24" t="s">
        <v>156</v>
      </c>
      <c r="S310" s="28" t="s">
        <v>163</v>
      </c>
      <c r="T310" s="28" t="s">
        <v>163</v>
      </c>
      <c r="U310" s="24" t="s">
        <v>153</v>
      </c>
      <c r="V310" s="54" t="s">
        <v>153</v>
      </c>
      <c r="W310" s="23" t="s">
        <v>153</v>
      </c>
      <c r="X310" s="23" t="s">
        <v>153</v>
      </c>
      <c r="Y310" s="23" t="s">
        <v>153</v>
      </c>
      <c r="Z310" s="23" t="s">
        <v>153</v>
      </c>
      <c r="AA310" s="23" t="s">
        <v>153</v>
      </c>
      <c r="AB310" s="24" t="s">
        <v>153</v>
      </c>
      <c r="AC310" s="23" t="s">
        <v>153</v>
      </c>
      <c r="AD310" s="23" t="s">
        <v>153</v>
      </c>
      <c r="AE310" s="23" t="s">
        <v>153</v>
      </c>
      <c r="AF310" s="23" t="s">
        <v>153</v>
      </c>
      <c r="AG310" s="23" t="s">
        <v>153</v>
      </c>
      <c r="AH310" s="23" t="s">
        <v>153</v>
      </c>
      <c r="AI310" s="24" t="s">
        <v>153</v>
      </c>
      <c r="AJ310" s="23" t="s">
        <v>153</v>
      </c>
      <c r="AK310" s="23" t="s">
        <v>153</v>
      </c>
      <c r="AL310" s="23" t="s">
        <v>153</v>
      </c>
      <c r="AM310" s="23" t="s">
        <v>153</v>
      </c>
      <c r="AN310" s="23" t="s">
        <v>153</v>
      </c>
      <c r="AO310" s="23" t="s">
        <v>153</v>
      </c>
      <c r="AP310" s="23">
        <f>VALUE(28)</f>
        <v>28</v>
      </c>
      <c r="AQ310" s="23">
        <f>VALUE(0)</f>
        <v>0</v>
      </c>
      <c r="AR310" s="23">
        <f>VALUE(0)</f>
        <v>0</v>
      </c>
      <c r="AS310" s="23">
        <f>VALUE(0)</f>
        <v>0</v>
      </c>
      <c r="AT310" s="23">
        <f>VALUE(0)</f>
        <v>0</v>
      </c>
      <c r="AU310" s="23">
        <f>VALUE(2)</f>
        <v>2</v>
      </c>
      <c r="AV310" s="23">
        <f>VALUE(2)</f>
        <v>2</v>
      </c>
      <c r="AW310" s="23">
        <f>VALUE(0)</f>
        <v>0</v>
      </c>
      <c r="AX310" s="23" t="s">
        <v>176</v>
      </c>
      <c r="AY310" s="23" t="s">
        <v>561</v>
      </c>
      <c r="AZ310" s="23">
        <f>VALUE(0)</f>
        <v>0</v>
      </c>
      <c r="BA310" s="23">
        <f>VALUE(0)</f>
        <v>0</v>
      </c>
      <c r="BB310" s="23">
        <f>VALUE(0)</f>
        <v>0</v>
      </c>
      <c r="BC310" s="23">
        <f>VALUE(0)</f>
        <v>0</v>
      </c>
      <c r="BD310" s="23">
        <f>VALUE(0)</f>
        <v>0</v>
      </c>
      <c r="BE310" s="23">
        <f>VALUE(0)</f>
        <v>0</v>
      </c>
      <c r="BF310" s="23">
        <f>VALUE(0)</f>
        <v>0</v>
      </c>
      <c r="BG310" s="23">
        <f>VALUE(0)</f>
        <v>0</v>
      </c>
      <c r="BH310" s="23">
        <f>VALUE(0)</f>
        <v>0</v>
      </c>
      <c r="BI310" s="23">
        <f>VALUE(0)</f>
        <v>0</v>
      </c>
      <c r="BJ310" s="23">
        <f>VALUE(0)</f>
        <v>0</v>
      </c>
      <c r="BK310" s="12">
        <f>$AX$310*24</f>
        <v>0</v>
      </c>
      <c r="BL310" s="12">
        <f>$AY$310*24</f>
        <v>7.0666666666666664</v>
      </c>
      <c r="BM310" s="12">
        <f>$BJ$310*24</f>
        <v>0</v>
      </c>
      <c r="BN310" s="12">
        <f>VALUE($I$310)/100</f>
        <v>1</v>
      </c>
      <c r="BO310" s="12">
        <v>0</v>
      </c>
      <c r="BP310" s="12">
        <v>0</v>
      </c>
      <c r="BQ310" s="12">
        <v>0</v>
      </c>
      <c r="BR310" s="12">
        <v>0</v>
      </c>
      <c r="BS310" s="12">
        <v>0</v>
      </c>
      <c r="BT310" s="12">
        <v>0</v>
      </c>
      <c r="BU310" s="12">
        <v>0</v>
      </c>
      <c r="BV310" s="12">
        <v>0</v>
      </c>
      <c r="BW310" s="12">
        <v>0</v>
      </c>
      <c r="BX310" s="12">
        <v>0</v>
      </c>
      <c r="BY310" s="12">
        <v>0</v>
      </c>
      <c r="BZ310" s="12">
        <v>0</v>
      </c>
      <c r="CA310" s="12">
        <v>0</v>
      </c>
    </row>
    <row r="311" spans="1:79" hidden="1" x14ac:dyDescent="0.2">
      <c r="A311" s="12" t="s">
        <v>141</v>
      </c>
      <c r="B311" s="12" t="s">
        <v>145</v>
      </c>
      <c r="C311" s="12" t="s">
        <v>145</v>
      </c>
      <c r="D311" s="22" t="s">
        <v>562</v>
      </c>
      <c r="E311" s="22" t="s">
        <v>161</v>
      </c>
      <c r="F311" s="22" t="s">
        <v>1091</v>
      </c>
      <c r="G311" s="22" t="s">
        <v>1092</v>
      </c>
      <c r="H311" s="22" t="s">
        <v>166</v>
      </c>
      <c r="I311" s="22" t="s">
        <v>194</v>
      </c>
      <c r="J311" s="22" t="s">
        <v>162</v>
      </c>
      <c r="K311" s="22" t="s">
        <v>99</v>
      </c>
      <c r="L311" s="54" t="s">
        <v>153</v>
      </c>
      <c r="M311" s="28" t="s">
        <v>163</v>
      </c>
      <c r="N311" s="24" t="s">
        <v>153</v>
      </c>
      <c r="O311" s="23" t="s">
        <v>153</v>
      </c>
      <c r="P311" s="23" t="s">
        <v>153</v>
      </c>
      <c r="Q311" s="23" t="s">
        <v>153</v>
      </c>
      <c r="R311" s="23" t="s">
        <v>153</v>
      </c>
      <c r="S311" s="23" t="s">
        <v>153</v>
      </c>
      <c r="T311" s="23" t="s">
        <v>153</v>
      </c>
      <c r="U311" s="24" t="s">
        <v>153</v>
      </c>
      <c r="V311" s="54" t="s">
        <v>153</v>
      </c>
      <c r="W311" s="24" t="s">
        <v>195</v>
      </c>
      <c r="X311" s="24" t="s">
        <v>195</v>
      </c>
      <c r="Y311" s="24" t="s">
        <v>195</v>
      </c>
      <c r="Z311" s="24" t="s">
        <v>195</v>
      </c>
      <c r="AA311" s="24" t="s">
        <v>195</v>
      </c>
      <c r="AB311" s="24" t="s">
        <v>153</v>
      </c>
      <c r="AC311" s="23" t="s">
        <v>153</v>
      </c>
      <c r="AD311" s="23" t="s">
        <v>153</v>
      </c>
      <c r="AE311" s="23" t="s">
        <v>153</v>
      </c>
      <c r="AF311" s="23" t="s">
        <v>153</v>
      </c>
      <c r="AG311" s="23" t="s">
        <v>153</v>
      </c>
      <c r="AH311" s="23" t="s">
        <v>153</v>
      </c>
      <c r="AI311" s="24" t="s">
        <v>153</v>
      </c>
      <c r="AJ311" s="23" t="s">
        <v>153</v>
      </c>
      <c r="AK311" s="23" t="s">
        <v>153</v>
      </c>
      <c r="AL311" s="23" t="s">
        <v>153</v>
      </c>
      <c r="AM311" s="23" t="s">
        <v>153</v>
      </c>
      <c r="AN311" s="23" t="s">
        <v>153</v>
      </c>
      <c r="AO311" s="23" t="s">
        <v>153</v>
      </c>
      <c r="AP311" s="23">
        <f>VALUE(24)</f>
        <v>24</v>
      </c>
      <c r="AQ311" s="23">
        <f>VALUE(0)</f>
        <v>0</v>
      </c>
      <c r="AR311" s="23">
        <f>VALUE(0)</f>
        <v>0</v>
      </c>
      <c r="AS311" s="23">
        <f>VALUE(0)</f>
        <v>0</v>
      </c>
      <c r="AT311" s="23">
        <f>VALUE(0)</f>
        <v>0</v>
      </c>
      <c r="AU311" s="23">
        <f>VALUE(1)</f>
        <v>1</v>
      </c>
      <c r="AV311" s="23">
        <f>VALUE(19)</f>
        <v>19</v>
      </c>
      <c r="AW311" s="23">
        <f>VALUE(0)</f>
        <v>0</v>
      </c>
      <c r="AX311" s="23" t="s">
        <v>1311</v>
      </c>
      <c r="AY311" s="23">
        <f>VALUE(0)</f>
        <v>0</v>
      </c>
      <c r="AZ311" s="23">
        <f>VALUE(0)</f>
        <v>0</v>
      </c>
      <c r="BA311" s="23">
        <f>VALUE(0)</f>
        <v>0</v>
      </c>
      <c r="BB311" s="23">
        <f>VALUE(0)</f>
        <v>0</v>
      </c>
      <c r="BC311" s="23">
        <f>VALUE(0)</f>
        <v>0</v>
      </c>
      <c r="BD311" s="23">
        <f>VALUE(0)</f>
        <v>0</v>
      </c>
      <c r="BE311" s="23">
        <f>VALUE(0)</f>
        <v>0</v>
      </c>
      <c r="BF311" s="23">
        <f>VALUE(0)</f>
        <v>0</v>
      </c>
      <c r="BG311" s="23">
        <f>VALUE(0)</f>
        <v>0</v>
      </c>
      <c r="BH311" s="23">
        <f>VALUE(0)</f>
        <v>0</v>
      </c>
      <c r="BI311" s="23">
        <f>VALUE(0)</f>
        <v>0</v>
      </c>
      <c r="BJ311" s="23">
        <f>VALUE(0)</f>
        <v>0</v>
      </c>
      <c r="BK311" s="12">
        <f>$AX$311*24</f>
        <v>10.9</v>
      </c>
      <c r="BL311" s="12">
        <f>$AY$311*24</f>
        <v>0</v>
      </c>
      <c r="BM311" s="12">
        <f>$BJ$311*24</f>
        <v>0</v>
      </c>
      <c r="BN311" s="12">
        <f>VALUE($I$311)/100</f>
        <v>0.8</v>
      </c>
      <c r="BO311" s="12">
        <v>0</v>
      </c>
      <c r="BP311" s="12">
        <v>0</v>
      </c>
      <c r="BQ311" s="12">
        <v>0</v>
      </c>
      <c r="BR311" s="12">
        <v>0</v>
      </c>
      <c r="BS311" s="12">
        <v>0</v>
      </c>
      <c r="BT311" s="12">
        <v>0</v>
      </c>
      <c r="BU311" s="12">
        <v>0</v>
      </c>
      <c r="BV311" s="12">
        <v>0</v>
      </c>
      <c r="BW311" s="12">
        <v>0</v>
      </c>
      <c r="BX311" s="12">
        <v>0</v>
      </c>
      <c r="BY311" s="12">
        <v>0</v>
      </c>
      <c r="BZ311" s="12">
        <v>0</v>
      </c>
      <c r="CA311" s="12">
        <v>0</v>
      </c>
    </row>
    <row r="312" spans="1:79" hidden="1" x14ac:dyDescent="0.2">
      <c r="A312" s="12" t="s">
        <v>141</v>
      </c>
      <c r="B312" s="12" t="s">
        <v>145</v>
      </c>
      <c r="C312" s="12" t="s">
        <v>145</v>
      </c>
      <c r="D312" s="22" t="s">
        <v>558</v>
      </c>
      <c r="E312" s="22" t="s">
        <v>161</v>
      </c>
      <c r="F312" s="22" t="s">
        <v>1093</v>
      </c>
      <c r="G312" s="22" t="s">
        <v>1094</v>
      </c>
      <c r="H312" s="22" t="s">
        <v>150</v>
      </c>
      <c r="I312" s="22" t="s">
        <v>563</v>
      </c>
      <c r="J312" s="22" t="s">
        <v>162</v>
      </c>
      <c r="K312" s="22" t="s">
        <v>99</v>
      </c>
      <c r="L312" s="54" t="s">
        <v>153</v>
      </c>
      <c r="M312" s="23" t="s">
        <v>153</v>
      </c>
      <c r="N312" s="24" t="s">
        <v>153</v>
      </c>
      <c r="O312" s="24" t="s">
        <v>156</v>
      </c>
      <c r="P312" s="24" t="s">
        <v>156</v>
      </c>
      <c r="Q312" s="23" t="s">
        <v>153</v>
      </c>
      <c r="R312" s="23" t="s">
        <v>153</v>
      </c>
      <c r="S312" s="23" t="s">
        <v>153</v>
      </c>
      <c r="T312" s="23" t="s">
        <v>153</v>
      </c>
      <c r="U312" s="24" t="s">
        <v>153</v>
      </c>
      <c r="V312" s="54" t="s">
        <v>153</v>
      </c>
      <c r="W312" s="23" t="s">
        <v>153</v>
      </c>
      <c r="X312" s="23" t="s">
        <v>153</v>
      </c>
      <c r="Y312" s="23" t="s">
        <v>153</v>
      </c>
      <c r="Z312" s="23" t="s">
        <v>153</v>
      </c>
      <c r="AA312" s="23" t="s">
        <v>153</v>
      </c>
      <c r="AB312" s="24" t="s">
        <v>153</v>
      </c>
      <c r="AC312" s="23" t="s">
        <v>153</v>
      </c>
      <c r="AD312" s="23" t="s">
        <v>153</v>
      </c>
      <c r="AE312" s="23" t="s">
        <v>153</v>
      </c>
      <c r="AF312" s="23" t="s">
        <v>153</v>
      </c>
      <c r="AG312" s="23" t="s">
        <v>153</v>
      </c>
      <c r="AH312" s="23" t="s">
        <v>153</v>
      </c>
      <c r="AI312" s="24" t="s">
        <v>153</v>
      </c>
      <c r="AJ312" s="24" t="s">
        <v>195</v>
      </c>
      <c r="AK312" s="24" t="s">
        <v>195</v>
      </c>
      <c r="AL312" s="24" t="s">
        <v>195</v>
      </c>
      <c r="AM312" s="24" t="s">
        <v>195</v>
      </c>
      <c r="AN312" s="24" t="s">
        <v>195</v>
      </c>
      <c r="AO312" s="24" t="s">
        <v>195</v>
      </c>
      <c r="AP312" s="23">
        <f>VALUE(28)</f>
        <v>28</v>
      </c>
      <c r="AQ312" s="23">
        <f>VALUE(0)</f>
        <v>0</v>
      </c>
      <c r="AR312" s="23">
        <f>VALUE(0)</f>
        <v>0</v>
      </c>
      <c r="AS312" s="23">
        <f>VALUE(0)</f>
        <v>0</v>
      </c>
      <c r="AT312" s="23">
        <f>VALUE(0)</f>
        <v>0</v>
      </c>
      <c r="AU312" s="23">
        <f>VALUE(0)</f>
        <v>0</v>
      </c>
      <c r="AV312" s="23">
        <f>VALUE(0)</f>
        <v>0</v>
      </c>
      <c r="AW312" s="23">
        <f>VALUE(0)</f>
        <v>0</v>
      </c>
      <c r="AX312" s="23" t="s">
        <v>564</v>
      </c>
      <c r="AY312" s="23">
        <f>VALUE(0)</f>
        <v>0</v>
      </c>
      <c r="AZ312" s="23">
        <f>VALUE(0)</f>
        <v>0</v>
      </c>
      <c r="BA312" s="23">
        <f>VALUE(0)</f>
        <v>0</v>
      </c>
      <c r="BB312" s="23">
        <f>VALUE(0)</f>
        <v>0</v>
      </c>
      <c r="BC312" s="23">
        <f>VALUE(0)</f>
        <v>0</v>
      </c>
      <c r="BD312" s="23">
        <f>VALUE(0)</f>
        <v>0</v>
      </c>
      <c r="BE312" s="23">
        <f>VALUE(0)</f>
        <v>0</v>
      </c>
      <c r="BF312" s="23">
        <f>VALUE(0)</f>
        <v>0</v>
      </c>
      <c r="BG312" s="23">
        <f>VALUE(0)</f>
        <v>0</v>
      </c>
      <c r="BH312" s="23">
        <f>VALUE(0)</f>
        <v>0</v>
      </c>
      <c r="BI312" s="23">
        <f>VALUE(0)</f>
        <v>0</v>
      </c>
      <c r="BJ312" s="23">
        <f>VALUE(0)</f>
        <v>0</v>
      </c>
      <c r="BK312" s="12">
        <f>$AX$312*24</f>
        <v>5.8</v>
      </c>
      <c r="BL312" s="12">
        <f>$AY$312*24</f>
        <v>0</v>
      </c>
      <c r="BM312" s="12">
        <f>$BJ$312*24</f>
        <v>0</v>
      </c>
      <c r="BN312" s="12">
        <f>VALUE($I$312)/100</f>
        <v>0.77</v>
      </c>
      <c r="BO312" s="12">
        <v>0</v>
      </c>
      <c r="BP312" s="12">
        <v>0</v>
      </c>
      <c r="BQ312" s="12">
        <v>0</v>
      </c>
      <c r="BR312" s="12">
        <v>0</v>
      </c>
      <c r="BS312" s="12">
        <v>0</v>
      </c>
      <c r="BT312" s="12">
        <v>0</v>
      </c>
      <c r="BU312" s="12">
        <v>0</v>
      </c>
      <c r="BV312" s="12">
        <v>0</v>
      </c>
      <c r="BW312" s="12">
        <v>0</v>
      </c>
      <c r="BX312" s="12">
        <v>0</v>
      </c>
      <c r="BY312" s="12">
        <v>0</v>
      </c>
      <c r="BZ312" s="12">
        <v>0</v>
      </c>
      <c r="CA312" s="12">
        <v>0</v>
      </c>
    </row>
    <row r="313" spans="1:79" hidden="1" x14ac:dyDescent="0.2">
      <c r="A313" s="12" t="s">
        <v>141</v>
      </c>
      <c r="B313" s="12" t="s">
        <v>145</v>
      </c>
      <c r="C313" s="12" t="s">
        <v>145</v>
      </c>
      <c r="D313" s="22" t="s">
        <v>558</v>
      </c>
      <c r="E313" s="22" t="s">
        <v>161</v>
      </c>
      <c r="F313" s="22" t="s">
        <v>1095</v>
      </c>
      <c r="G313" s="22" t="s">
        <v>1096</v>
      </c>
      <c r="H313" s="22" t="s">
        <v>150</v>
      </c>
      <c r="I313" s="22" t="s">
        <v>151</v>
      </c>
      <c r="J313" s="22" t="s">
        <v>162</v>
      </c>
      <c r="K313" s="22" t="s">
        <v>99</v>
      </c>
      <c r="L313" s="54" t="s">
        <v>153</v>
      </c>
      <c r="M313" s="23" t="s">
        <v>554</v>
      </c>
      <c r="N313" s="24" t="s">
        <v>153</v>
      </c>
      <c r="O313" s="23" t="s">
        <v>554</v>
      </c>
      <c r="P313" s="23" t="s">
        <v>554</v>
      </c>
      <c r="Q313" s="23" t="s">
        <v>554</v>
      </c>
      <c r="R313" s="23" t="s">
        <v>554</v>
      </c>
      <c r="S313" s="23" t="s">
        <v>554</v>
      </c>
      <c r="T313" s="23" t="s">
        <v>554</v>
      </c>
      <c r="U313" s="24" t="s">
        <v>153</v>
      </c>
      <c r="V313" s="54" t="s">
        <v>153</v>
      </c>
      <c r="W313" s="23" t="s">
        <v>554</v>
      </c>
      <c r="X313" s="23" t="s">
        <v>554</v>
      </c>
      <c r="Y313" s="23" t="s">
        <v>554</v>
      </c>
      <c r="Z313" s="23" t="s">
        <v>554</v>
      </c>
      <c r="AA313" s="23" t="s">
        <v>554</v>
      </c>
      <c r="AB313" s="24" t="s">
        <v>153</v>
      </c>
      <c r="AC313" s="23" t="s">
        <v>554</v>
      </c>
      <c r="AD313" s="23" t="s">
        <v>554</v>
      </c>
      <c r="AE313" s="23" t="s">
        <v>554</v>
      </c>
      <c r="AF313" s="23" t="s">
        <v>554</v>
      </c>
      <c r="AG313" s="23" t="s">
        <v>554</v>
      </c>
      <c r="AH313" s="23" t="s">
        <v>554</v>
      </c>
      <c r="AI313" s="24" t="s">
        <v>153</v>
      </c>
      <c r="AJ313" s="24" t="s">
        <v>156</v>
      </c>
      <c r="AK313" s="24" t="s">
        <v>156</v>
      </c>
      <c r="AL313" s="23" t="s">
        <v>554</v>
      </c>
      <c r="AM313" s="23" t="s">
        <v>554</v>
      </c>
      <c r="AN313" s="28" t="s">
        <v>163</v>
      </c>
      <c r="AO313" s="28" t="s">
        <v>163</v>
      </c>
      <c r="AP313" s="23">
        <f>VALUE(25)</f>
        <v>25</v>
      </c>
      <c r="AQ313" s="23">
        <f>VALUE(0)</f>
        <v>0</v>
      </c>
      <c r="AR313" s="23">
        <f>VALUE(0)</f>
        <v>0</v>
      </c>
      <c r="AS313" s="23">
        <f>VALUE(0)</f>
        <v>0</v>
      </c>
      <c r="AT313" s="23">
        <f>VALUE(0)</f>
        <v>0</v>
      </c>
      <c r="AU313" s="23">
        <f>VALUE(2)</f>
        <v>2</v>
      </c>
      <c r="AV313" s="23">
        <f>VALUE(3)</f>
        <v>3</v>
      </c>
      <c r="AW313" s="23">
        <f>VALUE(0)</f>
        <v>0</v>
      </c>
      <c r="AX313" s="23" t="s">
        <v>176</v>
      </c>
      <c r="AY313" s="23" t="s">
        <v>565</v>
      </c>
      <c r="AZ313" s="23">
        <f>VALUE(0)</f>
        <v>0</v>
      </c>
      <c r="BA313" s="23">
        <f>VALUE(0)</f>
        <v>0</v>
      </c>
      <c r="BB313" s="23">
        <f>VALUE(0)</f>
        <v>0</v>
      </c>
      <c r="BC313" s="23">
        <f>VALUE(0)</f>
        <v>0</v>
      </c>
      <c r="BD313" s="23">
        <f>VALUE(0)</f>
        <v>0</v>
      </c>
      <c r="BE313" s="23">
        <f>VALUE(0)</f>
        <v>0</v>
      </c>
      <c r="BF313" s="23">
        <f>VALUE(0)</f>
        <v>0</v>
      </c>
      <c r="BG313" s="23">
        <f>VALUE(0)</f>
        <v>0</v>
      </c>
      <c r="BH313" s="23">
        <f>VALUE(0)</f>
        <v>0</v>
      </c>
      <c r="BI313" s="23">
        <f>VALUE(0)</f>
        <v>0</v>
      </c>
      <c r="BJ313" s="23">
        <f>VALUE(0)</f>
        <v>0</v>
      </c>
      <c r="BK313" s="12">
        <f>$AX$313*24</f>
        <v>0</v>
      </c>
      <c r="BL313" s="12">
        <f>$AY$313*24</f>
        <v>24.6</v>
      </c>
      <c r="BM313" s="12">
        <f>$BJ$313*24</f>
        <v>0</v>
      </c>
      <c r="BN313" s="12">
        <f>VALUE($I$313)/100</f>
        <v>1</v>
      </c>
      <c r="BO313" s="12">
        <v>0</v>
      </c>
      <c r="BP313" s="12">
        <v>0</v>
      </c>
      <c r="BQ313" s="12">
        <v>0</v>
      </c>
      <c r="BR313" s="12">
        <v>0</v>
      </c>
      <c r="BS313" s="12">
        <v>0</v>
      </c>
      <c r="BT313" s="12">
        <v>0</v>
      </c>
      <c r="BU313" s="12">
        <v>0</v>
      </c>
      <c r="BV313" s="12">
        <v>0</v>
      </c>
      <c r="BW313" s="12">
        <v>0</v>
      </c>
      <c r="BX313" s="12">
        <v>0</v>
      </c>
      <c r="BY313" s="12">
        <v>0</v>
      </c>
      <c r="BZ313" s="12">
        <v>0</v>
      </c>
      <c r="CA313" s="12">
        <v>0</v>
      </c>
    </row>
    <row r="314" spans="1:79" hidden="1" x14ac:dyDescent="0.2">
      <c r="A314" s="12" t="s">
        <v>141</v>
      </c>
      <c r="B314" s="12" t="s">
        <v>145</v>
      </c>
      <c r="C314" s="12" t="s">
        <v>145</v>
      </c>
      <c r="D314" s="22" t="s">
        <v>552</v>
      </c>
      <c r="E314" s="22" t="s">
        <v>161</v>
      </c>
      <c r="F314" s="22" t="s">
        <v>1097</v>
      </c>
      <c r="G314" s="22" t="s">
        <v>1098</v>
      </c>
      <c r="H314" s="22" t="s">
        <v>150</v>
      </c>
      <c r="I314" s="22" t="s">
        <v>566</v>
      </c>
      <c r="J314" s="22" t="s">
        <v>162</v>
      </c>
      <c r="K314" s="22" t="s">
        <v>99</v>
      </c>
      <c r="L314" s="54" t="s">
        <v>153</v>
      </c>
      <c r="M314" s="23" t="s">
        <v>153</v>
      </c>
      <c r="N314" s="24" t="s">
        <v>153</v>
      </c>
      <c r="O314" s="23" t="s">
        <v>153</v>
      </c>
      <c r="P314" s="23" t="s">
        <v>153</v>
      </c>
      <c r="Q314" s="23" t="s">
        <v>153</v>
      </c>
      <c r="R314" s="23" t="s">
        <v>153</v>
      </c>
      <c r="S314" s="23" t="s">
        <v>153</v>
      </c>
      <c r="T314" s="23" t="s">
        <v>153</v>
      </c>
      <c r="U314" s="24" t="s">
        <v>153</v>
      </c>
      <c r="V314" s="54" t="s">
        <v>153</v>
      </c>
      <c r="W314" s="23" t="s">
        <v>153</v>
      </c>
      <c r="X314" s="23" t="s">
        <v>153</v>
      </c>
      <c r="Y314" s="23" t="s">
        <v>153</v>
      </c>
      <c r="Z314" s="24" t="s">
        <v>156</v>
      </c>
      <c r="AA314" s="24" t="s">
        <v>156</v>
      </c>
      <c r="AB314" s="24" t="s">
        <v>153</v>
      </c>
      <c r="AC314" s="24" t="s">
        <v>195</v>
      </c>
      <c r="AD314" s="24" t="s">
        <v>195</v>
      </c>
      <c r="AE314" s="24" t="s">
        <v>195</v>
      </c>
      <c r="AF314" s="24" t="s">
        <v>195</v>
      </c>
      <c r="AG314" s="24" t="s">
        <v>195</v>
      </c>
      <c r="AH314" s="24" t="s">
        <v>195</v>
      </c>
      <c r="AI314" s="24" t="s">
        <v>153</v>
      </c>
      <c r="AJ314" s="23" t="s">
        <v>153</v>
      </c>
      <c r="AK314" s="23" t="s">
        <v>153</v>
      </c>
      <c r="AL314" s="23" t="s">
        <v>153</v>
      </c>
      <c r="AM314" s="23" t="s">
        <v>153</v>
      </c>
      <c r="AN314" s="23" t="s">
        <v>153</v>
      </c>
      <c r="AO314" s="23" t="s">
        <v>153</v>
      </c>
      <c r="AP314" s="23">
        <f>VALUE(22)</f>
        <v>22</v>
      </c>
      <c r="AQ314" s="23">
        <f>VALUE(0)</f>
        <v>0</v>
      </c>
      <c r="AR314" s="23">
        <f>VALUE(0)</f>
        <v>0</v>
      </c>
      <c r="AS314" s="23">
        <f>VALUE(0)</f>
        <v>0</v>
      </c>
      <c r="AT314" s="23">
        <f>VALUE(0)</f>
        <v>0</v>
      </c>
      <c r="AU314" s="23">
        <f>VALUE(0)</f>
        <v>0</v>
      </c>
      <c r="AV314" s="23">
        <f>VALUE(6)</f>
        <v>6</v>
      </c>
      <c r="AW314" s="23">
        <f>VALUE(2)</f>
        <v>2</v>
      </c>
      <c r="AX314" s="23" t="s">
        <v>567</v>
      </c>
      <c r="AY314" s="23" t="s">
        <v>485</v>
      </c>
      <c r="AZ314" s="23">
        <f>VALUE(0)</f>
        <v>0</v>
      </c>
      <c r="BA314" s="23">
        <f>VALUE(0)</f>
        <v>0</v>
      </c>
      <c r="BB314" s="23">
        <f>VALUE(0)</f>
        <v>0</v>
      </c>
      <c r="BC314" s="23">
        <f>VALUE(0)</f>
        <v>0</v>
      </c>
      <c r="BD314" s="23">
        <f>VALUE(0)</f>
        <v>0</v>
      </c>
      <c r="BE314" s="23">
        <f>VALUE(0)</f>
        <v>0</v>
      </c>
      <c r="BF314" s="23">
        <f>VALUE(0)</f>
        <v>0</v>
      </c>
      <c r="BG314" s="23">
        <f>VALUE(0)</f>
        <v>0</v>
      </c>
      <c r="BH314" s="23">
        <f>VALUE(0)</f>
        <v>0</v>
      </c>
      <c r="BI314" s="23">
        <f>VALUE(0)</f>
        <v>0</v>
      </c>
      <c r="BJ314" s="23">
        <f>VALUE(0)</f>
        <v>0</v>
      </c>
      <c r="BK314" s="12">
        <f>$AX$314*24</f>
        <v>2.5833333333333335</v>
      </c>
      <c r="BL314" s="12">
        <f>$AY$314*24</f>
        <v>3.8333333333333339</v>
      </c>
      <c r="BM314" s="12">
        <f>$BJ$314*24</f>
        <v>0</v>
      </c>
      <c r="BN314" s="12">
        <f>VALUE($I$314)/100</f>
        <v>0.76</v>
      </c>
      <c r="BO314" s="12">
        <v>0</v>
      </c>
      <c r="BP314" s="12">
        <v>0</v>
      </c>
      <c r="BQ314" s="12">
        <v>0</v>
      </c>
      <c r="BR314" s="12">
        <v>0</v>
      </c>
      <c r="BS314" s="12">
        <v>0</v>
      </c>
      <c r="BT314" s="12">
        <v>0</v>
      </c>
      <c r="BU314" s="12">
        <v>0</v>
      </c>
      <c r="BV314" s="12">
        <v>0</v>
      </c>
      <c r="BW314" s="12">
        <v>0</v>
      </c>
      <c r="BX314" s="12">
        <v>0</v>
      </c>
      <c r="BY314" s="12">
        <v>0</v>
      </c>
      <c r="BZ314" s="12">
        <v>0</v>
      </c>
      <c r="CA314" s="12">
        <v>0</v>
      </c>
    </row>
    <row r="315" spans="1:79" hidden="1" x14ac:dyDescent="0.2">
      <c r="A315" s="12" t="s">
        <v>141</v>
      </c>
      <c r="B315" s="12" t="s">
        <v>145</v>
      </c>
      <c r="C315" s="12" t="s">
        <v>145</v>
      </c>
      <c r="D315" s="22" t="s">
        <v>568</v>
      </c>
      <c r="E315" s="22" t="s">
        <v>161</v>
      </c>
      <c r="F315" s="22" t="s">
        <v>1099</v>
      </c>
      <c r="G315" s="22" t="s">
        <v>1100</v>
      </c>
      <c r="H315" s="22" t="s">
        <v>166</v>
      </c>
      <c r="I315" s="22" t="s">
        <v>151</v>
      </c>
      <c r="J315" s="22" t="s">
        <v>162</v>
      </c>
      <c r="K315" s="22" t="s">
        <v>99</v>
      </c>
      <c r="L315" s="54" t="s">
        <v>153</v>
      </c>
      <c r="M315" s="23" t="s">
        <v>153</v>
      </c>
      <c r="N315" s="24" t="s">
        <v>153</v>
      </c>
      <c r="O315" s="23" t="s">
        <v>153</v>
      </c>
      <c r="P315" s="23" t="s">
        <v>153</v>
      </c>
      <c r="Q315" s="23" t="s">
        <v>153</v>
      </c>
      <c r="R315" s="23" t="s">
        <v>153</v>
      </c>
      <c r="S315" s="24" t="s">
        <v>156</v>
      </c>
      <c r="T315" s="24" t="s">
        <v>156</v>
      </c>
      <c r="U315" s="24" t="s">
        <v>153</v>
      </c>
      <c r="V315" s="54" t="s">
        <v>153</v>
      </c>
      <c r="W315" s="23" t="s">
        <v>153</v>
      </c>
      <c r="X315" s="23" t="s">
        <v>153</v>
      </c>
      <c r="Y315" s="23" t="s">
        <v>153</v>
      </c>
      <c r="Z315" s="23" t="s">
        <v>153</v>
      </c>
      <c r="AA315" s="23" t="s">
        <v>153</v>
      </c>
      <c r="AB315" s="24" t="s">
        <v>153</v>
      </c>
      <c r="AC315" s="28" t="s">
        <v>163</v>
      </c>
      <c r="AD315" s="28" t="s">
        <v>163</v>
      </c>
      <c r="AE315" s="28" t="s">
        <v>163</v>
      </c>
      <c r="AF315" s="28" t="s">
        <v>163</v>
      </c>
      <c r="AG315" s="28" t="s">
        <v>163</v>
      </c>
      <c r="AH315" s="28" t="s">
        <v>163</v>
      </c>
      <c r="AI315" s="24" t="s">
        <v>153</v>
      </c>
      <c r="AJ315" s="28" t="s">
        <v>163</v>
      </c>
      <c r="AK315" s="28" t="s">
        <v>163</v>
      </c>
      <c r="AL315" s="28" t="s">
        <v>163</v>
      </c>
      <c r="AM315" s="28" t="s">
        <v>163</v>
      </c>
      <c r="AN315" s="28" t="s">
        <v>163</v>
      </c>
      <c r="AO315" s="28" t="s">
        <v>163</v>
      </c>
      <c r="AP315" s="23">
        <f>VALUE(0)</f>
        <v>0</v>
      </c>
      <c r="AQ315" s="23">
        <f>VALUE(0)</f>
        <v>0</v>
      </c>
      <c r="AR315" s="23">
        <f>VALUE(0)</f>
        <v>0</v>
      </c>
      <c r="AS315" s="23">
        <f>VALUE(0)</f>
        <v>0</v>
      </c>
      <c r="AT315" s="23">
        <f>VALUE(0)</f>
        <v>0</v>
      </c>
      <c r="AU315" s="23">
        <f>VALUE(12)</f>
        <v>12</v>
      </c>
      <c r="AV315" s="23">
        <f>VALUE(9)</f>
        <v>9</v>
      </c>
      <c r="AW315" s="23">
        <f>VALUE(0)</f>
        <v>0</v>
      </c>
      <c r="AX315" s="23" t="s">
        <v>569</v>
      </c>
      <c r="AY315" s="23">
        <f>VALUE(0)</f>
        <v>0</v>
      </c>
      <c r="AZ315" s="23">
        <f>VALUE(0)</f>
        <v>0</v>
      </c>
      <c r="BA315" s="23">
        <f>VALUE(0)</f>
        <v>0</v>
      </c>
      <c r="BB315" s="23">
        <f>VALUE(0)</f>
        <v>0</v>
      </c>
      <c r="BC315" s="23">
        <f>VALUE(0)</f>
        <v>0</v>
      </c>
      <c r="BD315" s="23">
        <f>VALUE(0)</f>
        <v>0</v>
      </c>
      <c r="BE315" s="23">
        <f>VALUE(0)</f>
        <v>0</v>
      </c>
      <c r="BF315" s="23">
        <f>VALUE(0)</f>
        <v>0</v>
      </c>
      <c r="BG315" s="23">
        <f>VALUE(0)</f>
        <v>0</v>
      </c>
      <c r="BH315" s="23">
        <f>VALUE(0)</f>
        <v>0</v>
      </c>
      <c r="BI315" s="23">
        <f>VALUE(0)</f>
        <v>0</v>
      </c>
      <c r="BJ315" s="23">
        <f>VALUE(0)</f>
        <v>0</v>
      </c>
      <c r="BK315" s="12">
        <f>$AX$315*24</f>
        <v>7.2833333333333332</v>
      </c>
      <c r="BL315" s="12">
        <f>$AY$315*24</f>
        <v>0</v>
      </c>
      <c r="BM315" s="12">
        <f>$BJ$315*24</f>
        <v>0</v>
      </c>
      <c r="BN315" s="12">
        <f>VALUE($I$315)/100</f>
        <v>1</v>
      </c>
      <c r="BO315" s="12">
        <v>0</v>
      </c>
      <c r="BP315" s="12">
        <v>0</v>
      </c>
      <c r="BQ315" s="12">
        <v>0</v>
      </c>
      <c r="BR315" s="12">
        <v>0</v>
      </c>
      <c r="BS315" s="12">
        <v>0</v>
      </c>
      <c r="BT315" s="12">
        <v>0</v>
      </c>
      <c r="BU315" s="12">
        <v>0</v>
      </c>
      <c r="BV315" s="12">
        <v>0</v>
      </c>
      <c r="BW315" s="12">
        <v>0</v>
      </c>
      <c r="BX315" s="12">
        <v>0</v>
      </c>
      <c r="BY315" s="12">
        <v>0</v>
      </c>
      <c r="BZ315" s="12">
        <v>0</v>
      </c>
      <c r="CA315" s="12">
        <v>0</v>
      </c>
    </row>
    <row r="316" spans="1:79" hidden="1" x14ac:dyDescent="0.2">
      <c r="A316" s="12" t="s">
        <v>141</v>
      </c>
      <c r="B316" s="12" t="s">
        <v>145</v>
      </c>
      <c r="C316" s="12" t="s">
        <v>145</v>
      </c>
      <c r="D316" s="22" t="s">
        <v>1267</v>
      </c>
      <c r="E316" s="22" t="s">
        <v>173</v>
      </c>
      <c r="F316" s="22" t="s">
        <v>1101</v>
      </c>
      <c r="G316" s="22" t="s">
        <v>1102</v>
      </c>
      <c r="H316" s="22" t="s">
        <v>150</v>
      </c>
      <c r="I316" s="22" t="s">
        <v>151</v>
      </c>
      <c r="J316" s="22" t="s">
        <v>162</v>
      </c>
      <c r="K316" s="22" t="s">
        <v>99</v>
      </c>
      <c r="L316" s="54" t="s">
        <v>153</v>
      </c>
      <c r="M316" s="27" t="s">
        <v>153</v>
      </c>
      <c r="N316" s="27" t="s">
        <v>153</v>
      </c>
      <c r="O316" s="27" t="s">
        <v>153</v>
      </c>
      <c r="P316" s="27" t="s">
        <v>153</v>
      </c>
      <c r="Q316" s="27" t="s">
        <v>153</v>
      </c>
      <c r="R316" s="27" t="s">
        <v>153</v>
      </c>
      <c r="S316" s="27" t="s">
        <v>153</v>
      </c>
      <c r="T316" s="27" t="s">
        <v>153</v>
      </c>
      <c r="U316" s="27" t="s">
        <v>153</v>
      </c>
      <c r="V316" s="54" t="s">
        <v>153</v>
      </c>
      <c r="W316" s="27" t="s">
        <v>153</v>
      </c>
      <c r="X316" s="27" t="s">
        <v>153</v>
      </c>
      <c r="Y316" s="27" t="s">
        <v>153</v>
      </c>
      <c r="Z316" s="27" t="s">
        <v>153</v>
      </c>
      <c r="AA316" s="27" t="s">
        <v>153</v>
      </c>
      <c r="AB316" s="27" t="s">
        <v>153</v>
      </c>
      <c r="AC316" s="27" t="s">
        <v>153</v>
      </c>
      <c r="AD316" s="27" t="s">
        <v>153</v>
      </c>
      <c r="AE316" s="27" t="s">
        <v>153</v>
      </c>
      <c r="AF316" s="27" t="s">
        <v>153</v>
      </c>
      <c r="AG316" s="27" t="s">
        <v>153</v>
      </c>
      <c r="AH316" s="27" t="s">
        <v>153</v>
      </c>
      <c r="AI316" s="27" t="s">
        <v>153</v>
      </c>
      <c r="AJ316" s="27" t="s">
        <v>153</v>
      </c>
      <c r="AK316" s="27" t="s">
        <v>153</v>
      </c>
      <c r="AL316" s="27" t="s">
        <v>153</v>
      </c>
      <c r="AM316" s="27" t="s">
        <v>153</v>
      </c>
      <c r="AN316" s="27" t="s">
        <v>153</v>
      </c>
      <c r="AO316" s="27" t="s">
        <v>153</v>
      </c>
      <c r="AP316" s="23">
        <f>VALUE(0)</f>
        <v>0</v>
      </c>
      <c r="AQ316" s="23">
        <f>VALUE(0)</f>
        <v>0</v>
      </c>
      <c r="AR316" s="23">
        <f>VALUE(0)</f>
        <v>0</v>
      </c>
      <c r="AS316" s="23">
        <f>VALUE(0)</f>
        <v>0</v>
      </c>
      <c r="AT316" s="23">
        <f>VALUE(0)</f>
        <v>0</v>
      </c>
      <c r="AU316" s="23">
        <f>VALUE(0)</f>
        <v>0</v>
      </c>
      <c r="AV316" s="23">
        <f>VALUE(0)</f>
        <v>0</v>
      </c>
      <c r="AW316" s="23">
        <f>VALUE(0)</f>
        <v>0</v>
      </c>
      <c r="AX316" s="23">
        <f>VALUE(0)</f>
        <v>0</v>
      </c>
      <c r="AY316" s="23">
        <f>VALUE(0)</f>
        <v>0</v>
      </c>
      <c r="AZ316" s="23">
        <f>VALUE(0)</f>
        <v>0</v>
      </c>
      <c r="BA316" s="23">
        <f>VALUE(0)</f>
        <v>0</v>
      </c>
      <c r="BB316" s="23">
        <f>VALUE(0)</f>
        <v>0</v>
      </c>
      <c r="BC316" s="23">
        <f>VALUE(0)</f>
        <v>0</v>
      </c>
      <c r="BD316" s="23">
        <f>VALUE(0)</f>
        <v>0</v>
      </c>
      <c r="BE316" s="23">
        <f>VALUE(0)</f>
        <v>0</v>
      </c>
      <c r="BF316" s="23">
        <f>VALUE(0)</f>
        <v>0</v>
      </c>
      <c r="BG316" s="23">
        <f>VALUE(0)</f>
        <v>0</v>
      </c>
      <c r="BH316" s="23">
        <f>VALUE(0)</f>
        <v>0</v>
      </c>
      <c r="BI316" s="23">
        <f>VALUE(0)</f>
        <v>0</v>
      </c>
      <c r="BJ316" s="23">
        <f>VALUE(0)</f>
        <v>0</v>
      </c>
      <c r="BK316" s="12">
        <f>$AX$316*24</f>
        <v>0</v>
      </c>
      <c r="BL316" s="12">
        <f>$AY$316*24</f>
        <v>0</v>
      </c>
      <c r="BM316" s="12">
        <f>$BJ$316*24</f>
        <v>0</v>
      </c>
      <c r="BN316" s="12">
        <f>VALUE($I$316)/100</f>
        <v>1</v>
      </c>
      <c r="BO316" s="12">
        <v>0</v>
      </c>
      <c r="BP316" s="12">
        <v>0</v>
      </c>
      <c r="BQ316" s="12">
        <v>0</v>
      </c>
      <c r="BR316" s="12">
        <v>0</v>
      </c>
      <c r="BS316" s="12">
        <v>0</v>
      </c>
      <c r="BT316" s="12">
        <v>0</v>
      </c>
      <c r="BU316" s="12">
        <v>0</v>
      </c>
      <c r="BV316" s="12">
        <v>0</v>
      </c>
      <c r="BW316" s="12">
        <v>0</v>
      </c>
      <c r="BX316" s="12">
        <v>0</v>
      </c>
      <c r="BY316" s="12">
        <v>0</v>
      </c>
      <c r="BZ316" s="12">
        <v>0</v>
      </c>
      <c r="CA316" s="12">
        <v>0</v>
      </c>
    </row>
    <row r="317" spans="1:79" ht="16.5" hidden="1" x14ac:dyDescent="0.2">
      <c r="A317" s="12" t="s">
        <v>141</v>
      </c>
      <c r="B317" s="12" t="s">
        <v>145</v>
      </c>
      <c r="C317" s="12" t="s">
        <v>145</v>
      </c>
      <c r="D317" s="22" t="s">
        <v>570</v>
      </c>
      <c r="E317" s="22" t="s">
        <v>161</v>
      </c>
      <c r="F317" s="22" t="s">
        <v>1103</v>
      </c>
      <c r="G317" s="22" t="s">
        <v>1104</v>
      </c>
      <c r="H317" s="22" t="s">
        <v>150</v>
      </c>
      <c r="I317" s="22" t="s">
        <v>151</v>
      </c>
      <c r="J317" s="22" t="s">
        <v>162</v>
      </c>
      <c r="K317" s="22" t="s">
        <v>99</v>
      </c>
      <c r="L317" s="54" t="s">
        <v>156</v>
      </c>
      <c r="M317" s="24" t="s">
        <v>156</v>
      </c>
      <c r="N317" s="24" t="s">
        <v>153</v>
      </c>
      <c r="O317" s="26" t="s">
        <v>550</v>
      </c>
      <c r="P317" s="26" t="s">
        <v>550</v>
      </c>
      <c r="Q317" s="26" t="s">
        <v>550</v>
      </c>
      <c r="R317" s="26" t="s">
        <v>550</v>
      </c>
      <c r="S317" s="23" t="s">
        <v>459</v>
      </c>
      <c r="T317" s="26" t="s">
        <v>550</v>
      </c>
      <c r="U317" s="24" t="s">
        <v>153</v>
      </c>
      <c r="V317" s="54" t="s">
        <v>153</v>
      </c>
      <c r="W317" s="26" t="s">
        <v>550</v>
      </c>
      <c r="X317" s="26" t="s">
        <v>550</v>
      </c>
      <c r="Y317" s="26" t="s">
        <v>550</v>
      </c>
      <c r="Z317" s="23" t="s">
        <v>459</v>
      </c>
      <c r="AA317" s="26" t="s">
        <v>550</v>
      </c>
      <c r="AB317" s="24" t="s">
        <v>153</v>
      </c>
      <c r="AC317" s="26" t="s">
        <v>550</v>
      </c>
      <c r="AD317" s="26" t="s">
        <v>550</v>
      </c>
      <c r="AE317" s="26" t="s">
        <v>550</v>
      </c>
      <c r="AF317" s="26" t="s">
        <v>550</v>
      </c>
      <c r="AG317" s="23" t="s">
        <v>459</v>
      </c>
      <c r="AH317" s="26" t="s">
        <v>550</v>
      </c>
      <c r="AI317" s="24" t="s">
        <v>153</v>
      </c>
      <c r="AJ317" s="26" t="s">
        <v>550</v>
      </c>
      <c r="AK317" s="26" t="s">
        <v>550</v>
      </c>
      <c r="AL317" s="26" t="s">
        <v>550</v>
      </c>
      <c r="AM317" s="26" t="s">
        <v>550</v>
      </c>
      <c r="AN317" s="23" t="s">
        <v>459</v>
      </c>
      <c r="AO317" s="26" t="s">
        <v>550</v>
      </c>
      <c r="AP317" s="23">
        <f>VALUE(0)</f>
        <v>0</v>
      </c>
      <c r="AQ317" s="23">
        <f>VALUE(0)</f>
        <v>0</v>
      </c>
      <c r="AR317" s="23">
        <f>VALUE(0)</f>
        <v>0</v>
      </c>
      <c r="AS317" s="23">
        <f>VALUE(0)</f>
        <v>0</v>
      </c>
      <c r="AT317" s="23">
        <f>VALUE(0)</f>
        <v>0</v>
      </c>
      <c r="AU317" s="23">
        <f>VALUE(0)</f>
        <v>0</v>
      </c>
      <c r="AV317" s="23">
        <f>VALUE(8)</f>
        <v>8</v>
      </c>
      <c r="AW317" s="23">
        <f>VALUE(0)</f>
        <v>0</v>
      </c>
      <c r="AX317" s="23" t="s">
        <v>176</v>
      </c>
      <c r="AY317" s="23" t="s">
        <v>571</v>
      </c>
      <c r="AZ317" s="23">
        <f>VALUE(0)</f>
        <v>0</v>
      </c>
      <c r="BA317" s="23">
        <f>VALUE(0)</f>
        <v>0</v>
      </c>
      <c r="BB317" s="23">
        <f>VALUE(0)</f>
        <v>0</v>
      </c>
      <c r="BC317" s="23">
        <f>VALUE(0)</f>
        <v>0</v>
      </c>
      <c r="BD317" s="23">
        <f>VALUE(0)</f>
        <v>0</v>
      </c>
      <c r="BE317" s="23">
        <f>VALUE(0)</f>
        <v>0</v>
      </c>
      <c r="BF317" s="23">
        <f>VALUE(0)</f>
        <v>0</v>
      </c>
      <c r="BG317" s="23">
        <f>VALUE(0)</f>
        <v>0</v>
      </c>
      <c r="BH317" s="23">
        <f>VALUE(0)</f>
        <v>0</v>
      </c>
      <c r="BI317" s="23">
        <f>VALUE(0)</f>
        <v>0</v>
      </c>
      <c r="BJ317" s="23">
        <f>VALUE(0)</f>
        <v>0</v>
      </c>
      <c r="BK317" s="12">
        <f>$AX$317*24</f>
        <v>0</v>
      </c>
      <c r="BL317" s="12">
        <f>$AY$317*24</f>
        <v>3.1000000000000005</v>
      </c>
      <c r="BM317" s="12">
        <f>$BJ$317*24</f>
        <v>0</v>
      </c>
      <c r="BN317" s="12">
        <f>VALUE($I$317)/100</f>
        <v>1</v>
      </c>
      <c r="BO317" s="12">
        <v>0</v>
      </c>
      <c r="BP317" s="12">
        <v>0</v>
      </c>
      <c r="BQ317" s="12">
        <v>0</v>
      </c>
      <c r="BR317" s="12">
        <v>0</v>
      </c>
      <c r="BS317" s="12">
        <v>0</v>
      </c>
      <c r="BT317" s="12">
        <v>0</v>
      </c>
      <c r="BU317" s="12">
        <v>0</v>
      </c>
      <c r="BV317" s="12">
        <v>0</v>
      </c>
      <c r="BW317" s="12">
        <v>0</v>
      </c>
      <c r="BX317" s="12">
        <v>0</v>
      </c>
      <c r="BY317" s="12">
        <v>0</v>
      </c>
      <c r="BZ317" s="12">
        <v>0</v>
      </c>
      <c r="CA317" s="12">
        <v>0</v>
      </c>
    </row>
    <row r="318" spans="1:79" hidden="1" x14ac:dyDescent="0.2">
      <c r="A318" s="12" t="s">
        <v>141</v>
      </c>
      <c r="B318" s="12" t="s">
        <v>145</v>
      </c>
      <c r="C318" s="12" t="s">
        <v>145</v>
      </c>
      <c r="D318" s="22" t="s">
        <v>1312</v>
      </c>
      <c r="E318" s="22" t="s">
        <v>173</v>
      </c>
      <c r="F318" s="22" t="s">
        <v>1105</v>
      </c>
      <c r="G318" s="22" t="s">
        <v>1106</v>
      </c>
      <c r="H318" s="22" t="s">
        <v>150</v>
      </c>
      <c r="I318" s="22" t="s">
        <v>151</v>
      </c>
      <c r="J318" s="22" t="s">
        <v>162</v>
      </c>
      <c r="K318" s="22" t="s">
        <v>99</v>
      </c>
      <c r="L318" s="54" t="s">
        <v>153</v>
      </c>
      <c r="M318" s="23" t="s">
        <v>1308</v>
      </c>
      <c r="N318" s="24" t="s">
        <v>153</v>
      </c>
      <c r="O318" s="23" t="s">
        <v>555</v>
      </c>
      <c r="P318" s="23" t="s">
        <v>555</v>
      </c>
      <c r="Q318" s="23" t="s">
        <v>555</v>
      </c>
      <c r="R318" s="23" t="s">
        <v>555</v>
      </c>
      <c r="S318" s="23" t="s">
        <v>568</v>
      </c>
      <c r="T318" s="23" t="s">
        <v>568</v>
      </c>
      <c r="U318" s="24" t="s">
        <v>153</v>
      </c>
      <c r="V318" s="54" t="s">
        <v>153</v>
      </c>
      <c r="W318" s="23" t="s">
        <v>562</v>
      </c>
      <c r="X318" s="23" t="s">
        <v>562</v>
      </c>
      <c r="Y318" s="23" t="s">
        <v>562</v>
      </c>
      <c r="Z318" s="23" t="s">
        <v>562</v>
      </c>
      <c r="AA318" s="23" t="s">
        <v>562</v>
      </c>
      <c r="AB318" s="24" t="s">
        <v>153</v>
      </c>
      <c r="AC318" s="23" t="s">
        <v>1307</v>
      </c>
      <c r="AD318" s="23" t="s">
        <v>1307</v>
      </c>
      <c r="AE318" s="24" t="s">
        <v>156</v>
      </c>
      <c r="AF318" s="24" t="s">
        <v>156</v>
      </c>
      <c r="AG318" s="23" t="s">
        <v>389</v>
      </c>
      <c r="AH318" s="23" t="s">
        <v>389</v>
      </c>
      <c r="AI318" s="24" t="s">
        <v>153</v>
      </c>
      <c r="AJ318" s="23" t="s">
        <v>1307</v>
      </c>
      <c r="AK318" s="23" t="s">
        <v>1307</v>
      </c>
      <c r="AL318" s="23" t="s">
        <v>1307</v>
      </c>
      <c r="AM318" s="23" t="s">
        <v>1307</v>
      </c>
      <c r="AN318" s="23" t="s">
        <v>1307</v>
      </c>
      <c r="AO318" s="23" t="s">
        <v>1307</v>
      </c>
      <c r="AP318" s="23">
        <f>VALUE(35)</f>
        <v>35</v>
      </c>
      <c r="AQ318" s="23">
        <f>VALUE(0)</f>
        <v>0</v>
      </c>
      <c r="AR318" s="23">
        <f>VALUE(0)</f>
        <v>0</v>
      </c>
      <c r="AS318" s="23">
        <f>VALUE(0)</f>
        <v>0</v>
      </c>
      <c r="AT318" s="23">
        <f>VALUE(0)</f>
        <v>0</v>
      </c>
      <c r="AU318" s="23">
        <f>VALUE(0)</f>
        <v>0</v>
      </c>
      <c r="AV318" s="23">
        <f>VALUE(2)</f>
        <v>2</v>
      </c>
      <c r="AW318" s="23">
        <f>VALUE(0)</f>
        <v>0</v>
      </c>
      <c r="AX318" s="23" t="s">
        <v>171</v>
      </c>
      <c r="AY318" s="23" t="s">
        <v>1313</v>
      </c>
      <c r="AZ318" s="23">
        <f>VALUE(0)</f>
        <v>0</v>
      </c>
      <c r="BA318" s="23">
        <f>VALUE(0)</f>
        <v>0</v>
      </c>
      <c r="BB318" s="23">
        <f>VALUE(0)</f>
        <v>0</v>
      </c>
      <c r="BC318" s="23">
        <f>VALUE(0)</f>
        <v>0</v>
      </c>
      <c r="BD318" s="23">
        <f>VALUE(0)</f>
        <v>0</v>
      </c>
      <c r="BE318" s="23">
        <f>VALUE(0)</f>
        <v>0</v>
      </c>
      <c r="BF318" s="23">
        <f>VALUE(0)</f>
        <v>0</v>
      </c>
      <c r="BG318" s="23">
        <f>VALUE(0)</f>
        <v>0</v>
      </c>
      <c r="BH318" s="23">
        <f>VALUE(0)</f>
        <v>0</v>
      </c>
      <c r="BI318" s="23">
        <f>VALUE(0)</f>
        <v>0</v>
      </c>
      <c r="BJ318" s="23">
        <f>VALUE(0)</f>
        <v>0</v>
      </c>
      <c r="BK318" s="12">
        <f>$AX$318*24</f>
        <v>5.833333333333333</v>
      </c>
      <c r="BL318" s="12">
        <f>$AY$318*24</f>
        <v>18.533333333333335</v>
      </c>
      <c r="BM318" s="12">
        <f>$BJ$318*24</f>
        <v>0</v>
      </c>
      <c r="BN318" s="12">
        <f>VALUE($I$318)/100</f>
        <v>1</v>
      </c>
      <c r="BO318" s="12">
        <v>0</v>
      </c>
      <c r="BP318" s="12">
        <v>0</v>
      </c>
      <c r="BQ318" s="12">
        <v>0</v>
      </c>
      <c r="BR318" s="12">
        <v>0</v>
      </c>
      <c r="BS318" s="12">
        <v>0</v>
      </c>
      <c r="BT318" s="12">
        <v>0</v>
      </c>
      <c r="BU318" s="12">
        <v>0</v>
      </c>
      <c r="BV318" s="12">
        <v>0</v>
      </c>
      <c r="BW318" s="12">
        <v>0</v>
      </c>
      <c r="BX318" s="12">
        <v>0</v>
      </c>
      <c r="BY318" s="12">
        <v>0</v>
      </c>
      <c r="BZ318" s="12">
        <v>0</v>
      </c>
      <c r="CA318" s="12">
        <v>0</v>
      </c>
    </row>
    <row r="319" spans="1:79" hidden="1" x14ac:dyDescent="0.2">
      <c r="A319" s="12" t="s">
        <v>141</v>
      </c>
      <c r="B319" s="12" t="s">
        <v>145</v>
      </c>
      <c r="C319" s="12" t="s">
        <v>145</v>
      </c>
      <c r="D319" s="22" t="s">
        <v>536</v>
      </c>
      <c r="E319" s="22" t="s">
        <v>159</v>
      </c>
      <c r="F319" s="22" t="s">
        <v>1107</v>
      </c>
      <c r="G319" s="22" t="s">
        <v>1108</v>
      </c>
      <c r="H319" s="22" t="s">
        <v>150</v>
      </c>
      <c r="I319" s="22" t="s">
        <v>151</v>
      </c>
      <c r="J319" s="22" t="s">
        <v>162</v>
      </c>
      <c r="K319" s="22" t="s">
        <v>99</v>
      </c>
      <c r="L319" s="54" t="s">
        <v>153</v>
      </c>
      <c r="M319" s="27" t="s">
        <v>153</v>
      </c>
      <c r="N319" s="27" t="s">
        <v>153</v>
      </c>
      <c r="O319" s="27" t="s">
        <v>153</v>
      </c>
      <c r="P319" s="27" t="s">
        <v>153</v>
      </c>
      <c r="Q319" s="27" t="s">
        <v>153</v>
      </c>
      <c r="R319" s="27" t="s">
        <v>153</v>
      </c>
      <c r="S319" s="27" t="s">
        <v>153</v>
      </c>
      <c r="T319" s="27" t="s">
        <v>153</v>
      </c>
      <c r="U319" s="27" t="s">
        <v>153</v>
      </c>
      <c r="V319" s="54" t="s">
        <v>153</v>
      </c>
      <c r="W319" s="27" t="s">
        <v>153</v>
      </c>
      <c r="X319" s="27" t="s">
        <v>153</v>
      </c>
      <c r="Y319" s="27" t="s">
        <v>153</v>
      </c>
      <c r="Z319" s="27" t="s">
        <v>153</v>
      </c>
      <c r="AA319" s="27" t="s">
        <v>153</v>
      </c>
      <c r="AB319" s="27" t="s">
        <v>153</v>
      </c>
      <c r="AC319" s="27" t="s">
        <v>153</v>
      </c>
      <c r="AD319" s="27" t="s">
        <v>153</v>
      </c>
      <c r="AE319" s="27" t="s">
        <v>153</v>
      </c>
      <c r="AF319" s="27" t="s">
        <v>153</v>
      </c>
      <c r="AG319" s="27" t="s">
        <v>153</v>
      </c>
      <c r="AH319" s="27" t="s">
        <v>153</v>
      </c>
      <c r="AI319" s="27" t="s">
        <v>153</v>
      </c>
      <c r="AJ319" s="27" t="s">
        <v>153</v>
      </c>
      <c r="AK319" s="27" t="s">
        <v>153</v>
      </c>
      <c r="AL319" s="27" t="s">
        <v>153</v>
      </c>
      <c r="AM319" s="27" t="s">
        <v>153</v>
      </c>
      <c r="AN319" s="27" t="s">
        <v>153</v>
      </c>
      <c r="AO319" s="27" t="s">
        <v>153</v>
      </c>
      <c r="AP319" s="23">
        <f>VALUE(0)</f>
        <v>0</v>
      </c>
      <c r="AQ319" s="23">
        <f>VALUE(0)</f>
        <v>0</v>
      </c>
      <c r="AR319" s="23">
        <f>VALUE(0)</f>
        <v>0</v>
      </c>
      <c r="AS319" s="23">
        <f>VALUE(0)</f>
        <v>0</v>
      </c>
      <c r="AT319" s="23">
        <f>VALUE(0)</f>
        <v>0</v>
      </c>
      <c r="AU319" s="23">
        <f>VALUE(0)</f>
        <v>0</v>
      </c>
      <c r="AV319" s="23">
        <f>VALUE(0)</f>
        <v>0</v>
      </c>
      <c r="AW319" s="23">
        <f>VALUE(0)</f>
        <v>0</v>
      </c>
      <c r="AX319" s="23">
        <f>VALUE(0)</f>
        <v>0</v>
      </c>
      <c r="AY319" s="23">
        <f>VALUE(0)</f>
        <v>0</v>
      </c>
      <c r="AZ319" s="23">
        <f>VALUE(0)</f>
        <v>0</v>
      </c>
      <c r="BA319" s="23">
        <f>VALUE(0)</f>
        <v>0</v>
      </c>
      <c r="BB319" s="23">
        <f>VALUE(0)</f>
        <v>0</v>
      </c>
      <c r="BC319" s="23">
        <f>VALUE(0)</f>
        <v>0</v>
      </c>
      <c r="BD319" s="23">
        <f>VALUE(0)</f>
        <v>0</v>
      </c>
      <c r="BE319" s="23">
        <f>VALUE(0)</f>
        <v>0</v>
      </c>
      <c r="BF319" s="23">
        <f>VALUE(0)</f>
        <v>0</v>
      </c>
      <c r="BG319" s="23">
        <f>VALUE(0)</f>
        <v>0</v>
      </c>
      <c r="BH319" s="23">
        <f>VALUE(0)</f>
        <v>0</v>
      </c>
      <c r="BI319" s="23">
        <f>VALUE(0)</f>
        <v>0</v>
      </c>
      <c r="BJ319" s="23">
        <f>VALUE(0)</f>
        <v>0</v>
      </c>
      <c r="BK319" s="12">
        <f>$AX$319*24</f>
        <v>0</v>
      </c>
      <c r="BL319" s="12">
        <f>$AY$319*24</f>
        <v>0</v>
      </c>
      <c r="BM319" s="12">
        <f>$BJ$319*24</f>
        <v>0</v>
      </c>
      <c r="BN319" s="12">
        <f>VALUE($I$319)/100</f>
        <v>1</v>
      </c>
      <c r="BO319" s="12">
        <v>0</v>
      </c>
      <c r="BP319" s="12">
        <v>0</v>
      </c>
      <c r="BQ319" s="12">
        <v>0</v>
      </c>
      <c r="BR319" s="12">
        <v>0</v>
      </c>
      <c r="BS319" s="12">
        <v>0</v>
      </c>
      <c r="BT319" s="12">
        <v>0</v>
      </c>
      <c r="BU319" s="12">
        <v>0</v>
      </c>
      <c r="BV319" s="12">
        <v>0</v>
      </c>
      <c r="BW319" s="12">
        <v>0</v>
      </c>
      <c r="BX319" s="12">
        <v>0</v>
      </c>
      <c r="BY319" s="12">
        <v>0</v>
      </c>
      <c r="BZ319" s="12">
        <v>0</v>
      </c>
      <c r="CA319" s="12">
        <v>0</v>
      </c>
    </row>
    <row r="320" spans="1:79" ht="15" hidden="1" x14ac:dyDescent="0.25">
      <c r="A320" s="12" t="s">
        <v>141</v>
      </c>
      <c r="B320" s="12" t="s">
        <v>145</v>
      </c>
      <c r="C320" s="12" t="s">
        <v>145</v>
      </c>
      <c r="D320" s="31" t="s">
        <v>202</v>
      </c>
      <c r="E320" s="31" t="s">
        <v>153</v>
      </c>
      <c r="F320" s="31" t="s">
        <v>175</v>
      </c>
      <c r="G320" s="31" t="s">
        <v>153</v>
      </c>
      <c r="H320" s="31" t="s">
        <v>153</v>
      </c>
      <c r="I320" s="31" t="s">
        <v>153</v>
      </c>
      <c r="J320" s="31" t="s">
        <v>153</v>
      </c>
      <c r="K320" s="31" t="s">
        <v>153</v>
      </c>
      <c r="L320" s="31">
        <f>VALUE(0)</f>
        <v>0</v>
      </c>
      <c r="M320" s="31">
        <f>VALUE(8)</f>
        <v>8</v>
      </c>
      <c r="N320" s="31">
        <f>VALUE(0)</f>
        <v>0</v>
      </c>
      <c r="O320" s="31">
        <f>VALUE(10)</f>
        <v>10</v>
      </c>
      <c r="P320" s="31">
        <f>VALUE(10)</f>
        <v>10</v>
      </c>
      <c r="Q320" s="31">
        <f>VALUE(10)</f>
        <v>10</v>
      </c>
      <c r="R320" s="31">
        <f>VALUE(10)</f>
        <v>10</v>
      </c>
      <c r="S320" s="31">
        <f>VALUE(9)</f>
        <v>9</v>
      </c>
      <c r="T320" s="31">
        <f>VALUE(9)</f>
        <v>9</v>
      </c>
      <c r="U320" s="31">
        <f>VALUE(0)</f>
        <v>0</v>
      </c>
      <c r="V320" s="31">
        <f>VALUE(0)</f>
        <v>0</v>
      </c>
      <c r="W320" s="31">
        <f>VALUE(11)</f>
        <v>11</v>
      </c>
      <c r="X320" s="31">
        <f>VALUE(11)</f>
        <v>11</v>
      </c>
      <c r="Y320" s="31">
        <f>VALUE(11)</f>
        <v>11</v>
      </c>
      <c r="Z320" s="31">
        <f>VALUE(9)</f>
        <v>9</v>
      </c>
      <c r="AA320" s="31">
        <f>VALUE(10)</f>
        <v>10</v>
      </c>
      <c r="AB320" s="31">
        <f>VALUE(0)</f>
        <v>0</v>
      </c>
      <c r="AC320" s="31">
        <f>VALUE(9)</f>
        <v>9</v>
      </c>
      <c r="AD320" s="31">
        <f>VALUE(9)</f>
        <v>9</v>
      </c>
      <c r="AE320" s="31">
        <f>VALUE(9)</f>
        <v>9</v>
      </c>
      <c r="AF320" s="31">
        <f>VALUE(9)</f>
        <v>9</v>
      </c>
      <c r="AG320" s="31">
        <f>VALUE(10)</f>
        <v>10</v>
      </c>
      <c r="AH320" s="31">
        <f>VALUE(10)</f>
        <v>10</v>
      </c>
      <c r="AI320" s="31">
        <f>VALUE(0)</f>
        <v>0</v>
      </c>
      <c r="AJ320" s="31">
        <f>VALUE(9)</f>
        <v>9</v>
      </c>
      <c r="AK320" s="31">
        <f>VALUE(9)</f>
        <v>9</v>
      </c>
      <c r="AL320" s="31">
        <f>VALUE(9)</f>
        <v>9</v>
      </c>
      <c r="AM320" s="31">
        <f>VALUE(9)</f>
        <v>9</v>
      </c>
      <c r="AN320" s="31">
        <f>VALUE(8)</f>
        <v>8</v>
      </c>
      <c r="AO320" s="31">
        <f>VALUE(8)</f>
        <v>8</v>
      </c>
      <c r="AP320" s="31">
        <v>0</v>
      </c>
      <c r="AQ320" s="31">
        <v>0</v>
      </c>
      <c r="AR320" s="31">
        <v>0</v>
      </c>
      <c r="AS320" s="31">
        <v>0</v>
      </c>
      <c r="AT320" s="31">
        <v>0</v>
      </c>
      <c r="AU320" s="31">
        <v>0</v>
      </c>
      <c r="AV320" s="31">
        <v>0</v>
      </c>
      <c r="AW320" s="31">
        <v>0</v>
      </c>
      <c r="AX320" s="31">
        <v>0</v>
      </c>
      <c r="AY320" s="31">
        <v>0</v>
      </c>
      <c r="AZ320" s="31">
        <v>0</v>
      </c>
      <c r="BA320" s="31">
        <v>0</v>
      </c>
      <c r="BB320" s="31">
        <v>0</v>
      </c>
      <c r="BC320" s="31">
        <v>0</v>
      </c>
      <c r="BD320" s="31">
        <v>0</v>
      </c>
      <c r="BE320" s="31">
        <v>0</v>
      </c>
      <c r="BF320" s="31">
        <v>0</v>
      </c>
      <c r="BG320" s="31">
        <v>0</v>
      </c>
      <c r="BH320" s="31">
        <v>0</v>
      </c>
      <c r="BI320" s="31">
        <v>0</v>
      </c>
      <c r="BJ320" s="31">
        <v>0</v>
      </c>
      <c r="BK320" s="12">
        <v>0</v>
      </c>
      <c r="BL320" s="12">
        <v>0</v>
      </c>
      <c r="BM320" s="12">
        <v>0</v>
      </c>
      <c r="BN320" s="12"/>
      <c r="BO320" s="12">
        <v>0</v>
      </c>
      <c r="BP320" s="12">
        <v>0</v>
      </c>
      <c r="BQ320" s="12">
        <v>0</v>
      </c>
      <c r="BR320" s="12">
        <v>0</v>
      </c>
      <c r="BS320" s="12">
        <v>0</v>
      </c>
      <c r="BT320" s="12">
        <v>0</v>
      </c>
      <c r="BU320" s="12">
        <v>0</v>
      </c>
      <c r="BV320" s="12">
        <v>0</v>
      </c>
      <c r="BW320" s="12">
        <v>0</v>
      </c>
      <c r="BX320" s="12">
        <v>0</v>
      </c>
      <c r="BY320" s="12">
        <v>0</v>
      </c>
      <c r="BZ320" s="12">
        <v>0</v>
      </c>
      <c r="CA320" s="12">
        <v>0</v>
      </c>
    </row>
    <row r="321" spans="1:79" ht="16.5" hidden="1" x14ac:dyDescent="0.2">
      <c r="A321" s="12" t="s">
        <v>141</v>
      </c>
      <c r="B321" s="12" t="s">
        <v>146</v>
      </c>
      <c r="C321" s="12" t="s">
        <v>146</v>
      </c>
      <c r="D321" s="22" t="s">
        <v>572</v>
      </c>
      <c r="E321" s="22" t="s">
        <v>173</v>
      </c>
      <c r="F321" s="22" t="s">
        <v>1109</v>
      </c>
      <c r="G321" s="22" t="s">
        <v>1110</v>
      </c>
      <c r="H321" s="22" t="s">
        <v>150</v>
      </c>
      <c r="I321" s="22" t="s">
        <v>151</v>
      </c>
      <c r="J321" s="22" t="s">
        <v>162</v>
      </c>
      <c r="K321" s="22" t="s">
        <v>100</v>
      </c>
      <c r="L321" s="54" t="s">
        <v>153</v>
      </c>
      <c r="M321" s="23" t="s">
        <v>1307</v>
      </c>
      <c r="N321" s="24" t="s">
        <v>153</v>
      </c>
      <c r="O321" s="23" t="s">
        <v>547</v>
      </c>
      <c r="P321" s="25" t="s">
        <v>552</v>
      </c>
      <c r="Q321" s="25" t="s">
        <v>552</v>
      </c>
      <c r="R321" s="25" t="s">
        <v>552</v>
      </c>
      <c r="S321" s="25" t="s">
        <v>552</v>
      </c>
      <c r="T321" s="25" t="s">
        <v>552</v>
      </c>
      <c r="U321" s="24" t="s">
        <v>153</v>
      </c>
      <c r="V321" s="54" t="s">
        <v>153</v>
      </c>
      <c r="W321" s="23" t="s">
        <v>153</v>
      </c>
      <c r="X321" s="23" t="s">
        <v>153</v>
      </c>
      <c r="Y321" s="23" t="s">
        <v>153</v>
      </c>
      <c r="Z321" s="23" t="s">
        <v>153</v>
      </c>
      <c r="AA321" s="26" t="s">
        <v>1314</v>
      </c>
      <c r="AB321" s="24" t="s">
        <v>153</v>
      </c>
      <c r="AC321" s="23" t="s">
        <v>552</v>
      </c>
      <c r="AD321" s="23" t="s">
        <v>552</v>
      </c>
      <c r="AE321" s="23" t="s">
        <v>552</v>
      </c>
      <c r="AF321" s="23" t="s">
        <v>552</v>
      </c>
      <c r="AG321" s="23" t="s">
        <v>552</v>
      </c>
      <c r="AH321" s="23" t="s">
        <v>552</v>
      </c>
      <c r="AI321" s="24" t="s">
        <v>153</v>
      </c>
      <c r="AJ321" s="24" t="s">
        <v>156</v>
      </c>
      <c r="AK321" s="24" t="s">
        <v>156</v>
      </c>
      <c r="AL321" s="23" t="s">
        <v>541</v>
      </c>
      <c r="AM321" s="23" t="s">
        <v>541</v>
      </c>
      <c r="AN321" s="23" t="s">
        <v>554</v>
      </c>
      <c r="AO321" s="23" t="s">
        <v>554</v>
      </c>
      <c r="AP321" s="23">
        <f>VALUE(23)</f>
        <v>23</v>
      </c>
      <c r="AQ321" s="23">
        <f>VALUE(0)</f>
        <v>0</v>
      </c>
      <c r="AR321" s="23">
        <f>VALUE(0)</f>
        <v>0</v>
      </c>
      <c r="AS321" s="23">
        <f>VALUE(0)</f>
        <v>0</v>
      </c>
      <c r="AT321" s="23">
        <f>VALUE(0)</f>
        <v>0</v>
      </c>
      <c r="AU321" s="23">
        <f>VALUE(0)</f>
        <v>0</v>
      </c>
      <c r="AV321" s="23">
        <f>VALUE(5)</f>
        <v>5</v>
      </c>
      <c r="AW321" s="23">
        <f>VALUE(0)</f>
        <v>0</v>
      </c>
      <c r="AX321" s="23">
        <f>VALUE(0)</f>
        <v>0</v>
      </c>
      <c r="AY321" s="23">
        <f>VALUE(0)</f>
        <v>0</v>
      </c>
      <c r="AZ321" s="23">
        <f>VALUE(0)</f>
        <v>0</v>
      </c>
      <c r="BA321" s="23">
        <f>VALUE(0)</f>
        <v>0</v>
      </c>
      <c r="BB321" s="23">
        <f>VALUE(0)</f>
        <v>0</v>
      </c>
      <c r="BC321" s="23">
        <f>VALUE(0)</f>
        <v>0</v>
      </c>
      <c r="BD321" s="23">
        <f>VALUE(0)</f>
        <v>0</v>
      </c>
      <c r="BE321" s="23">
        <f>VALUE(0)</f>
        <v>0</v>
      </c>
      <c r="BF321" s="23">
        <f>VALUE(0)</f>
        <v>0</v>
      </c>
      <c r="BG321" s="23">
        <f>VALUE(0)</f>
        <v>0</v>
      </c>
      <c r="BH321" s="23">
        <f>VALUE(0)</f>
        <v>0</v>
      </c>
      <c r="BI321" s="23">
        <f>VALUE(0)</f>
        <v>0</v>
      </c>
      <c r="BJ321" s="23">
        <f>VALUE(0)</f>
        <v>0</v>
      </c>
      <c r="BK321" s="12">
        <f>$AX$321*24</f>
        <v>0</v>
      </c>
      <c r="BL321" s="12">
        <f>$AY$321*24</f>
        <v>0</v>
      </c>
      <c r="BM321" s="12">
        <f>$BJ$321*24</f>
        <v>0</v>
      </c>
      <c r="BN321" s="12">
        <f>VALUE($I$321)/100</f>
        <v>1</v>
      </c>
      <c r="BO321" s="12">
        <v>0</v>
      </c>
      <c r="BP321" s="12">
        <v>0</v>
      </c>
      <c r="BQ321" s="12">
        <v>0</v>
      </c>
      <c r="BR321" s="12">
        <v>0</v>
      </c>
      <c r="BS321" s="12">
        <v>0</v>
      </c>
      <c r="BT321" s="12">
        <v>0</v>
      </c>
      <c r="BU321" s="12">
        <v>0</v>
      </c>
      <c r="BV321" s="12">
        <v>0</v>
      </c>
      <c r="BW321" s="12">
        <v>0</v>
      </c>
      <c r="BX321" s="12">
        <v>0</v>
      </c>
      <c r="BY321" s="12">
        <v>0</v>
      </c>
      <c r="BZ321" s="12">
        <v>0</v>
      </c>
      <c r="CA321" s="12">
        <v>0</v>
      </c>
    </row>
    <row r="322" spans="1:79" hidden="1" x14ac:dyDescent="0.2">
      <c r="A322" s="12" t="s">
        <v>141</v>
      </c>
      <c r="B322" s="12" t="s">
        <v>146</v>
      </c>
      <c r="C322" s="12" t="s">
        <v>146</v>
      </c>
      <c r="D322" s="22" t="s">
        <v>435</v>
      </c>
      <c r="E322" s="22" t="s">
        <v>173</v>
      </c>
      <c r="F322" s="22" t="s">
        <v>1111</v>
      </c>
      <c r="G322" s="22" t="s">
        <v>1112</v>
      </c>
      <c r="H322" s="22" t="s">
        <v>150</v>
      </c>
      <c r="I322" s="22" t="s">
        <v>151</v>
      </c>
      <c r="J322" s="22" t="s">
        <v>162</v>
      </c>
      <c r="K322" s="22" t="s">
        <v>100</v>
      </c>
      <c r="L322" s="54" t="s">
        <v>153</v>
      </c>
      <c r="M322" s="23" t="s">
        <v>559</v>
      </c>
      <c r="N322" s="24" t="s">
        <v>153</v>
      </c>
      <c r="O322" s="23" t="s">
        <v>559</v>
      </c>
      <c r="P322" s="23" t="s">
        <v>559</v>
      </c>
      <c r="Q322" s="23" t="s">
        <v>559</v>
      </c>
      <c r="R322" s="23" t="s">
        <v>559</v>
      </c>
      <c r="S322" s="23" t="s">
        <v>559</v>
      </c>
      <c r="T322" s="23" t="s">
        <v>559</v>
      </c>
      <c r="U322" s="24" t="s">
        <v>153</v>
      </c>
      <c r="V322" s="54" t="s">
        <v>153</v>
      </c>
      <c r="W322" s="23" t="s">
        <v>153</v>
      </c>
      <c r="X322" s="23" t="s">
        <v>153</v>
      </c>
      <c r="Y322" s="23" t="s">
        <v>153</v>
      </c>
      <c r="Z322" s="23" t="s">
        <v>153</v>
      </c>
      <c r="AA322" s="23" t="s">
        <v>153</v>
      </c>
      <c r="AB322" s="24" t="s">
        <v>153</v>
      </c>
      <c r="AC322" s="23" t="s">
        <v>559</v>
      </c>
      <c r="AD322" s="23" t="s">
        <v>559</v>
      </c>
      <c r="AE322" s="29" t="s">
        <v>1175</v>
      </c>
      <c r="AF322" s="29" t="s">
        <v>1175</v>
      </c>
      <c r="AG322" s="24" t="s">
        <v>156</v>
      </c>
      <c r="AH322" s="24" t="s">
        <v>156</v>
      </c>
      <c r="AI322" s="24" t="s">
        <v>153</v>
      </c>
      <c r="AJ322" s="23" t="s">
        <v>559</v>
      </c>
      <c r="AK322" s="23" t="s">
        <v>559</v>
      </c>
      <c r="AL322" s="23" t="s">
        <v>559</v>
      </c>
      <c r="AM322" s="23" t="s">
        <v>559</v>
      </c>
      <c r="AN322" s="23" t="s">
        <v>559</v>
      </c>
      <c r="AO322" s="23" t="s">
        <v>559</v>
      </c>
      <c r="AP322" s="23">
        <f>VALUE(35)</f>
        <v>35</v>
      </c>
      <c r="AQ322" s="23">
        <f>VALUE(0)</f>
        <v>0</v>
      </c>
      <c r="AR322" s="23">
        <f>VALUE(2)</f>
        <v>2</v>
      </c>
      <c r="AS322" s="23">
        <f>VALUE(0)</f>
        <v>0</v>
      </c>
      <c r="AT322" s="23">
        <f>VALUE(0)</f>
        <v>0</v>
      </c>
      <c r="AU322" s="23">
        <f>VALUE(0)</f>
        <v>0</v>
      </c>
      <c r="AV322" s="23">
        <f>VALUE(11)</f>
        <v>11</v>
      </c>
      <c r="AW322" s="23">
        <f>VALUE(0)</f>
        <v>0</v>
      </c>
      <c r="AX322" s="23">
        <f>VALUE(0)</f>
        <v>0</v>
      </c>
      <c r="AY322" s="23">
        <f>VALUE(0)</f>
        <v>0</v>
      </c>
      <c r="AZ322" s="23">
        <f>VALUE(0)</f>
        <v>0</v>
      </c>
      <c r="BA322" s="23">
        <f>VALUE(0)</f>
        <v>0</v>
      </c>
      <c r="BB322" s="23">
        <f>VALUE(0)</f>
        <v>0</v>
      </c>
      <c r="BC322" s="23">
        <f>VALUE(0)</f>
        <v>0</v>
      </c>
      <c r="BD322" s="23">
        <f>VALUE(0)</f>
        <v>0</v>
      </c>
      <c r="BE322" s="23">
        <f>VALUE(0)</f>
        <v>0</v>
      </c>
      <c r="BF322" s="23">
        <f>VALUE(0)</f>
        <v>0</v>
      </c>
      <c r="BG322" s="23">
        <f>VALUE(0)</f>
        <v>0</v>
      </c>
      <c r="BH322" s="23">
        <f>VALUE(0)</f>
        <v>0</v>
      </c>
      <c r="BI322" s="23">
        <f>VALUE(0)</f>
        <v>0</v>
      </c>
      <c r="BJ322" s="23">
        <f>VALUE(0)</f>
        <v>0</v>
      </c>
      <c r="BK322" s="12">
        <f>$AX$322*24</f>
        <v>0</v>
      </c>
      <c r="BL322" s="12">
        <f>$AY$322*24</f>
        <v>0</v>
      </c>
      <c r="BM322" s="12">
        <f>$BJ$322*24</f>
        <v>0</v>
      </c>
      <c r="BN322" s="12">
        <f>VALUE($I$322)/100</f>
        <v>1</v>
      </c>
      <c r="BO322" s="12">
        <v>0</v>
      </c>
      <c r="BP322" s="12">
        <v>0</v>
      </c>
      <c r="BQ322" s="12">
        <v>0</v>
      </c>
      <c r="BR322" s="12">
        <v>0</v>
      </c>
      <c r="BS322" s="12">
        <v>0</v>
      </c>
      <c r="BT322" s="12">
        <v>0</v>
      </c>
      <c r="BU322" s="12">
        <v>0</v>
      </c>
      <c r="BV322" s="12">
        <v>2</v>
      </c>
      <c r="BW322" s="12">
        <v>0</v>
      </c>
      <c r="BX322" s="12">
        <v>0</v>
      </c>
      <c r="BY322" s="12">
        <v>0</v>
      </c>
      <c r="BZ322" s="12">
        <v>0</v>
      </c>
      <c r="CA322" s="12">
        <v>0</v>
      </c>
    </row>
    <row r="323" spans="1:79" ht="15" hidden="1" x14ac:dyDescent="0.25">
      <c r="A323" s="12" t="s">
        <v>141</v>
      </c>
      <c r="B323" s="12" t="s">
        <v>146</v>
      </c>
      <c r="C323" s="12" t="s">
        <v>146</v>
      </c>
      <c r="D323" s="31" t="s">
        <v>246</v>
      </c>
      <c r="E323" s="31" t="s">
        <v>153</v>
      </c>
      <c r="F323" s="31" t="s">
        <v>175</v>
      </c>
      <c r="G323" s="31" t="s">
        <v>153</v>
      </c>
      <c r="H323" s="31" t="s">
        <v>153</v>
      </c>
      <c r="I323" s="31" t="s">
        <v>153</v>
      </c>
      <c r="J323" s="31" t="s">
        <v>153</v>
      </c>
      <c r="K323" s="31" t="s">
        <v>153</v>
      </c>
      <c r="L323" s="31">
        <f>VALUE(0)</f>
        <v>0</v>
      </c>
      <c r="M323" s="31">
        <f>VALUE(2)</f>
        <v>2</v>
      </c>
      <c r="N323" s="31">
        <f>VALUE(0)</f>
        <v>0</v>
      </c>
      <c r="O323" s="31">
        <f>VALUE(2)</f>
        <v>2</v>
      </c>
      <c r="P323" s="31">
        <f>VALUE(2)</f>
        <v>2</v>
      </c>
      <c r="Q323" s="31">
        <f>VALUE(2)</f>
        <v>2</v>
      </c>
      <c r="R323" s="31">
        <f>VALUE(2)</f>
        <v>2</v>
      </c>
      <c r="S323" s="31">
        <f>VALUE(2)</f>
        <v>2</v>
      </c>
      <c r="T323" s="31">
        <f>VALUE(2)</f>
        <v>2</v>
      </c>
      <c r="U323" s="31">
        <f>VALUE(0)</f>
        <v>0</v>
      </c>
      <c r="V323" s="31">
        <f>VALUE(0)</f>
        <v>0</v>
      </c>
      <c r="W323" s="31">
        <f>VALUE(2)</f>
        <v>2</v>
      </c>
      <c r="X323" s="31">
        <f>VALUE(2)</f>
        <v>2</v>
      </c>
      <c r="Y323" s="31">
        <f>VALUE(2)</f>
        <v>2</v>
      </c>
      <c r="Z323" s="31">
        <f>VALUE(2)</f>
        <v>2</v>
      </c>
      <c r="AA323" s="31">
        <f>VALUE(2)</f>
        <v>2</v>
      </c>
      <c r="AB323" s="31">
        <f>VALUE(0)</f>
        <v>0</v>
      </c>
      <c r="AC323" s="31">
        <f>VALUE(2)</f>
        <v>2</v>
      </c>
      <c r="AD323" s="31">
        <f>VALUE(2)</f>
        <v>2</v>
      </c>
      <c r="AE323" s="31">
        <f>VALUE(1)</f>
        <v>1</v>
      </c>
      <c r="AF323" s="31">
        <f>VALUE(1)</f>
        <v>1</v>
      </c>
      <c r="AG323" s="31">
        <f>VALUE(1)</f>
        <v>1</v>
      </c>
      <c r="AH323" s="31">
        <f>VALUE(1)</f>
        <v>1</v>
      </c>
      <c r="AI323" s="31">
        <f>VALUE(0)</f>
        <v>0</v>
      </c>
      <c r="AJ323" s="31">
        <f>VALUE(1)</f>
        <v>1</v>
      </c>
      <c r="AK323" s="31">
        <f>VALUE(1)</f>
        <v>1</v>
      </c>
      <c r="AL323" s="31">
        <f>VALUE(2)</f>
        <v>2</v>
      </c>
      <c r="AM323" s="31">
        <f>VALUE(2)</f>
        <v>2</v>
      </c>
      <c r="AN323" s="31">
        <f>VALUE(2)</f>
        <v>2</v>
      </c>
      <c r="AO323" s="31">
        <f>VALUE(2)</f>
        <v>2</v>
      </c>
      <c r="AP323" s="31">
        <v>0</v>
      </c>
      <c r="AQ323" s="31">
        <v>0</v>
      </c>
      <c r="AR323" s="31">
        <v>0</v>
      </c>
      <c r="AS323" s="31">
        <v>0</v>
      </c>
      <c r="AT323" s="31">
        <v>0</v>
      </c>
      <c r="AU323" s="31">
        <v>0</v>
      </c>
      <c r="AV323" s="31">
        <v>0</v>
      </c>
      <c r="AW323" s="31">
        <v>0</v>
      </c>
      <c r="AX323" s="31">
        <v>0</v>
      </c>
      <c r="AY323" s="31">
        <v>0</v>
      </c>
      <c r="AZ323" s="31">
        <v>0</v>
      </c>
      <c r="BA323" s="31">
        <v>0</v>
      </c>
      <c r="BB323" s="31">
        <v>0</v>
      </c>
      <c r="BC323" s="31">
        <v>0</v>
      </c>
      <c r="BD323" s="31">
        <v>0</v>
      </c>
      <c r="BE323" s="31">
        <v>0</v>
      </c>
      <c r="BF323" s="31">
        <v>0</v>
      </c>
      <c r="BG323" s="31">
        <v>0</v>
      </c>
      <c r="BH323" s="31">
        <v>0</v>
      </c>
      <c r="BI323" s="31">
        <v>0</v>
      </c>
      <c r="BJ323" s="31">
        <v>0</v>
      </c>
      <c r="BK323" s="12">
        <v>0</v>
      </c>
      <c r="BL323" s="12">
        <v>0</v>
      </c>
      <c r="BM323" s="12">
        <v>0</v>
      </c>
      <c r="BN323" s="12"/>
      <c r="BO323" s="12">
        <v>0</v>
      </c>
      <c r="BP323" s="12">
        <v>0</v>
      </c>
      <c r="BQ323" s="12">
        <v>0</v>
      </c>
      <c r="BR323" s="12">
        <v>0</v>
      </c>
      <c r="BS323" s="12">
        <v>0</v>
      </c>
      <c r="BT323" s="12">
        <v>0</v>
      </c>
      <c r="BU323" s="12">
        <v>0</v>
      </c>
      <c r="BV323" s="12">
        <v>0</v>
      </c>
      <c r="BW323" s="12">
        <v>0</v>
      </c>
      <c r="BX323" s="12">
        <v>0</v>
      </c>
      <c r="BY323" s="12">
        <v>0</v>
      </c>
      <c r="BZ323" s="12">
        <v>0</v>
      </c>
      <c r="CA323" s="12">
        <v>0</v>
      </c>
    </row>
    <row r="324" spans="1:79" hidden="1" x14ac:dyDescent="0.2">
      <c r="A324" s="12" t="s">
        <v>147</v>
      </c>
      <c r="B324" s="12" t="s">
        <v>148</v>
      </c>
      <c r="C324" s="12" t="s">
        <v>148</v>
      </c>
      <c r="D324" s="22" t="s">
        <v>573</v>
      </c>
      <c r="E324" s="22" t="s">
        <v>161</v>
      </c>
      <c r="F324" s="22" t="s">
        <v>1113</v>
      </c>
      <c r="G324" s="22" t="s">
        <v>1114</v>
      </c>
      <c r="H324" s="22" t="s">
        <v>166</v>
      </c>
      <c r="I324" s="22" t="s">
        <v>151</v>
      </c>
      <c r="J324" s="22" t="s">
        <v>162</v>
      </c>
      <c r="K324" s="22" t="s">
        <v>101</v>
      </c>
      <c r="L324" s="54" t="s">
        <v>153</v>
      </c>
      <c r="M324" s="23" t="s">
        <v>153</v>
      </c>
      <c r="N324" s="24" t="s">
        <v>153</v>
      </c>
      <c r="O324" s="23" t="s">
        <v>153</v>
      </c>
      <c r="P324" s="23" t="s">
        <v>153</v>
      </c>
      <c r="Q324" s="23" t="s">
        <v>153</v>
      </c>
      <c r="R324" s="23" t="s">
        <v>153</v>
      </c>
      <c r="S324" s="23" t="s">
        <v>153</v>
      </c>
      <c r="T324" s="23" t="s">
        <v>153</v>
      </c>
      <c r="U324" s="24" t="s">
        <v>153</v>
      </c>
      <c r="V324" s="54" t="s">
        <v>153</v>
      </c>
      <c r="W324" s="23" t="s">
        <v>153</v>
      </c>
      <c r="X324" s="23" t="s">
        <v>153</v>
      </c>
      <c r="Y324" s="23" t="s">
        <v>153</v>
      </c>
      <c r="Z324" s="23" t="s">
        <v>153</v>
      </c>
      <c r="AA324" s="23" t="s">
        <v>153</v>
      </c>
      <c r="AB324" s="24" t="s">
        <v>153</v>
      </c>
      <c r="AC324" s="23" t="s">
        <v>153</v>
      </c>
      <c r="AD324" s="23" t="s">
        <v>153</v>
      </c>
      <c r="AE324" s="23" t="s">
        <v>153</v>
      </c>
      <c r="AF324" s="24" t="s">
        <v>156</v>
      </c>
      <c r="AG324" s="24" t="s">
        <v>156</v>
      </c>
      <c r="AH324" s="24" t="s">
        <v>156</v>
      </c>
      <c r="AI324" s="24" t="s">
        <v>153</v>
      </c>
      <c r="AJ324" s="28" t="s">
        <v>338</v>
      </c>
      <c r="AK324" s="28" t="s">
        <v>338</v>
      </c>
      <c r="AL324" s="28" t="s">
        <v>338</v>
      </c>
      <c r="AM324" s="23" t="s">
        <v>153</v>
      </c>
      <c r="AN324" s="23" t="s">
        <v>153</v>
      </c>
      <c r="AO324" s="23" t="s">
        <v>153</v>
      </c>
      <c r="AP324" s="23">
        <f>VALUE(6)</f>
        <v>6</v>
      </c>
      <c r="AQ324" s="23">
        <f>VALUE(0)</f>
        <v>0</v>
      </c>
      <c r="AR324" s="23">
        <f>VALUE(0)</f>
        <v>0</v>
      </c>
      <c r="AS324" s="23">
        <f>VALUE(0)</f>
        <v>0</v>
      </c>
      <c r="AT324" s="23">
        <f>VALUE(3)</f>
        <v>3</v>
      </c>
      <c r="AU324" s="23">
        <f>VALUE(0)</f>
        <v>0</v>
      </c>
      <c r="AV324" s="23">
        <f>VALUE(5.5)</f>
        <v>5.5</v>
      </c>
      <c r="AW324" s="23">
        <f>VALUE(0)</f>
        <v>0</v>
      </c>
      <c r="AX324" s="23" t="s">
        <v>504</v>
      </c>
      <c r="AY324" s="23">
        <f>VALUE(0)</f>
        <v>0</v>
      </c>
      <c r="AZ324" s="23">
        <f>VALUE(0)</f>
        <v>0</v>
      </c>
      <c r="BA324" s="23">
        <f>VALUE(0)</f>
        <v>0</v>
      </c>
      <c r="BB324" s="23">
        <f>VALUE(0)</f>
        <v>0</v>
      </c>
      <c r="BC324" s="23">
        <f>VALUE(0)</f>
        <v>0</v>
      </c>
      <c r="BD324" s="23">
        <f>VALUE(0)</f>
        <v>0</v>
      </c>
      <c r="BE324" s="23">
        <f>VALUE(0)</f>
        <v>0</v>
      </c>
      <c r="BF324" s="23">
        <f>VALUE(0)</f>
        <v>0</v>
      </c>
      <c r="BG324" s="23">
        <f>VALUE(0)</f>
        <v>0</v>
      </c>
      <c r="BH324" s="23">
        <f>VALUE(0)</f>
        <v>0</v>
      </c>
      <c r="BI324" s="23">
        <f>VALUE(0)</f>
        <v>0</v>
      </c>
      <c r="BJ324" s="23">
        <f>VALUE(0)</f>
        <v>0</v>
      </c>
      <c r="BK324" s="12">
        <f>$AX$324*24</f>
        <v>23.783333333333335</v>
      </c>
      <c r="BL324" s="12">
        <f>$AY$324*24</f>
        <v>0</v>
      </c>
      <c r="BM324" s="12">
        <f>$BJ$324*24</f>
        <v>0</v>
      </c>
      <c r="BN324" s="12">
        <f>VALUE($I$324)/100</f>
        <v>1</v>
      </c>
      <c r="BO324" s="12">
        <v>0</v>
      </c>
      <c r="BP324" s="12">
        <v>0</v>
      </c>
      <c r="BQ324" s="12">
        <v>0</v>
      </c>
      <c r="BR324" s="12">
        <v>0</v>
      </c>
      <c r="BS324" s="12">
        <v>0</v>
      </c>
      <c r="BT324" s="12">
        <v>0</v>
      </c>
      <c r="BU324" s="12">
        <v>0</v>
      </c>
      <c r="BV324" s="12">
        <v>0</v>
      </c>
      <c r="BW324" s="12">
        <v>0</v>
      </c>
      <c r="BX324" s="12">
        <v>0</v>
      </c>
      <c r="BY324" s="12">
        <v>3</v>
      </c>
      <c r="BZ324" s="12">
        <v>0</v>
      </c>
      <c r="CA324" s="12">
        <v>0</v>
      </c>
    </row>
    <row r="325" spans="1:79" hidden="1" x14ac:dyDescent="0.2">
      <c r="A325" s="12" t="s">
        <v>147</v>
      </c>
      <c r="B325" s="12" t="s">
        <v>148</v>
      </c>
      <c r="C325" s="12" t="s">
        <v>148</v>
      </c>
      <c r="D325" s="22" t="s">
        <v>574</v>
      </c>
      <c r="E325" s="22" t="s">
        <v>161</v>
      </c>
      <c r="F325" s="22" t="s">
        <v>1115</v>
      </c>
      <c r="G325" s="22" t="s">
        <v>1116</v>
      </c>
      <c r="H325" s="22" t="s">
        <v>190</v>
      </c>
      <c r="I325" s="22" t="s">
        <v>151</v>
      </c>
      <c r="J325" s="22" t="s">
        <v>162</v>
      </c>
      <c r="K325" s="22" t="s">
        <v>101</v>
      </c>
      <c r="L325" s="54" t="s">
        <v>153</v>
      </c>
      <c r="M325" s="23" t="s">
        <v>153</v>
      </c>
      <c r="N325" s="24" t="s">
        <v>153</v>
      </c>
      <c r="O325" s="23" t="s">
        <v>153</v>
      </c>
      <c r="P325" s="23" t="s">
        <v>153</v>
      </c>
      <c r="Q325" s="23" t="s">
        <v>153</v>
      </c>
      <c r="R325" s="23" t="s">
        <v>153</v>
      </c>
      <c r="S325" s="23" t="s">
        <v>153</v>
      </c>
      <c r="T325" s="23" t="s">
        <v>153</v>
      </c>
      <c r="U325" s="40" t="s">
        <v>153</v>
      </c>
      <c r="V325" s="40" t="s">
        <v>153</v>
      </c>
      <c r="W325" s="40" t="s">
        <v>153</v>
      </c>
      <c r="X325" s="40" t="s">
        <v>153</v>
      </c>
      <c r="Y325" s="40" t="s">
        <v>153</v>
      </c>
      <c r="Z325" s="40" t="s">
        <v>153</v>
      </c>
      <c r="AA325" s="40" t="s">
        <v>153</v>
      </c>
      <c r="AB325" s="40" t="s">
        <v>153</v>
      </c>
      <c r="AC325" s="40" t="s">
        <v>153</v>
      </c>
      <c r="AD325" s="40" t="s">
        <v>153</v>
      </c>
      <c r="AE325" s="40" t="s">
        <v>153</v>
      </c>
      <c r="AF325" s="40" t="s">
        <v>153</v>
      </c>
      <c r="AG325" s="40" t="s">
        <v>153</v>
      </c>
      <c r="AH325" s="40" t="s">
        <v>153</v>
      </c>
      <c r="AI325" s="40" t="s">
        <v>153</v>
      </c>
      <c r="AJ325" s="40" t="s">
        <v>153</v>
      </c>
      <c r="AK325" s="40" t="s">
        <v>153</v>
      </c>
      <c r="AL325" s="40" t="s">
        <v>153</v>
      </c>
      <c r="AM325" s="40" t="s">
        <v>153</v>
      </c>
      <c r="AN325" s="40" t="s">
        <v>153</v>
      </c>
      <c r="AO325" s="40" t="s">
        <v>153</v>
      </c>
      <c r="AP325" s="23">
        <f>VALUE(0)</f>
        <v>0</v>
      </c>
      <c r="AQ325" s="23">
        <f>VALUE(0)</f>
        <v>0</v>
      </c>
      <c r="AR325" s="23">
        <f>VALUE(0)</f>
        <v>0</v>
      </c>
      <c r="AS325" s="23">
        <f>VALUE(0)</f>
        <v>0</v>
      </c>
      <c r="AT325" s="23">
        <f>VALUE(0)</f>
        <v>0</v>
      </c>
      <c r="AU325" s="23">
        <f>VALUE(0)</f>
        <v>0</v>
      </c>
      <c r="AV325" s="23">
        <f>VALUE(2)</f>
        <v>2</v>
      </c>
      <c r="AW325" s="23">
        <f>VALUE(0)</f>
        <v>0</v>
      </c>
      <c r="AX325" s="23">
        <f>VALUE(0)</f>
        <v>0</v>
      </c>
      <c r="AY325" s="23">
        <f>VALUE(0)</f>
        <v>0</v>
      </c>
      <c r="AZ325" s="23">
        <f>VALUE(0)</f>
        <v>0</v>
      </c>
      <c r="BA325" s="23">
        <f>VALUE(0)</f>
        <v>0</v>
      </c>
      <c r="BB325" s="23">
        <f>VALUE(0)</f>
        <v>0</v>
      </c>
      <c r="BC325" s="23">
        <f>VALUE(0)</f>
        <v>0</v>
      </c>
      <c r="BD325" s="23">
        <f>VALUE(0)</f>
        <v>0</v>
      </c>
      <c r="BE325" s="23">
        <f>VALUE(0)</f>
        <v>0</v>
      </c>
      <c r="BF325" s="23">
        <f>VALUE(0)</f>
        <v>0</v>
      </c>
      <c r="BG325" s="23">
        <f>VALUE(0)</f>
        <v>0</v>
      </c>
      <c r="BH325" s="23">
        <f>VALUE(0)</f>
        <v>0</v>
      </c>
      <c r="BI325" s="23">
        <f>VALUE(0)</f>
        <v>0</v>
      </c>
      <c r="BJ325" s="23">
        <f>VALUE(0)</f>
        <v>0</v>
      </c>
      <c r="BK325" s="12">
        <f>$AX$325*24</f>
        <v>0</v>
      </c>
      <c r="BL325" s="12">
        <f>$AY$325*24</f>
        <v>0</v>
      </c>
      <c r="BM325" s="12">
        <f>$BJ$325*24</f>
        <v>0</v>
      </c>
      <c r="BN325" s="12">
        <f>VALUE($I$325)/100</f>
        <v>1</v>
      </c>
      <c r="BO325" s="12">
        <v>0</v>
      </c>
      <c r="BP325" s="12">
        <v>0</v>
      </c>
      <c r="BQ325" s="12">
        <v>0</v>
      </c>
      <c r="BR325" s="12">
        <v>0</v>
      </c>
      <c r="BS325" s="12">
        <v>0</v>
      </c>
      <c r="BT325" s="12">
        <v>0</v>
      </c>
      <c r="BU325" s="12">
        <v>0</v>
      </c>
      <c r="BV325" s="12">
        <v>0</v>
      </c>
      <c r="BW325" s="12">
        <v>0</v>
      </c>
      <c r="BX325" s="12">
        <v>0</v>
      </c>
      <c r="BY325" s="12">
        <v>0</v>
      </c>
      <c r="BZ325" s="12">
        <v>0</v>
      </c>
      <c r="CA325" s="12">
        <v>0</v>
      </c>
    </row>
    <row r="326" spans="1:79" hidden="1" x14ac:dyDescent="0.2">
      <c r="A326" s="12" t="s">
        <v>147</v>
      </c>
      <c r="B326" s="12" t="s">
        <v>148</v>
      </c>
      <c r="C326" s="12" t="s">
        <v>148</v>
      </c>
      <c r="D326" s="22" t="s">
        <v>575</v>
      </c>
      <c r="E326" s="22" t="s">
        <v>161</v>
      </c>
      <c r="F326" s="22" t="s">
        <v>1315</v>
      </c>
      <c r="G326" s="22" t="s">
        <v>1117</v>
      </c>
      <c r="H326" s="22" t="s">
        <v>150</v>
      </c>
      <c r="I326" s="22" t="s">
        <v>151</v>
      </c>
      <c r="J326" s="22" t="s">
        <v>162</v>
      </c>
      <c r="K326" s="22" t="s">
        <v>101</v>
      </c>
      <c r="L326" s="54" t="s">
        <v>153</v>
      </c>
      <c r="M326" s="28" t="s">
        <v>163</v>
      </c>
      <c r="N326" s="24" t="s">
        <v>153</v>
      </c>
      <c r="O326" s="28" t="s">
        <v>163</v>
      </c>
      <c r="P326" s="28" t="s">
        <v>163</v>
      </c>
      <c r="Q326" s="28" t="s">
        <v>163</v>
      </c>
      <c r="R326" s="28" t="s">
        <v>163</v>
      </c>
      <c r="S326" s="28" t="s">
        <v>163</v>
      </c>
      <c r="T326" s="28" t="s">
        <v>163</v>
      </c>
      <c r="U326" s="24" t="s">
        <v>153</v>
      </c>
      <c r="V326" s="54" t="s">
        <v>153</v>
      </c>
      <c r="W326" s="23" t="s">
        <v>153</v>
      </c>
      <c r="X326" s="23" t="s">
        <v>153</v>
      </c>
      <c r="Y326" s="23" t="s">
        <v>153</v>
      </c>
      <c r="Z326" s="23" t="s">
        <v>153</v>
      </c>
      <c r="AA326" s="23" t="s">
        <v>153</v>
      </c>
      <c r="AB326" s="24" t="s">
        <v>153</v>
      </c>
      <c r="AC326" s="23" t="s">
        <v>153</v>
      </c>
      <c r="AD326" s="23" t="s">
        <v>153</v>
      </c>
      <c r="AE326" s="23" t="s">
        <v>153</v>
      </c>
      <c r="AF326" s="23" t="s">
        <v>153</v>
      </c>
      <c r="AG326" s="23" t="s">
        <v>153</v>
      </c>
      <c r="AH326" s="23" t="s">
        <v>153</v>
      </c>
      <c r="AI326" s="24" t="s">
        <v>153</v>
      </c>
      <c r="AJ326" s="23" t="s">
        <v>153</v>
      </c>
      <c r="AK326" s="23" t="s">
        <v>153</v>
      </c>
      <c r="AL326" s="23" t="s">
        <v>153</v>
      </c>
      <c r="AM326" s="23" t="s">
        <v>153</v>
      </c>
      <c r="AN326" s="23" t="s">
        <v>153</v>
      </c>
      <c r="AO326" s="23" t="s">
        <v>153</v>
      </c>
      <c r="AP326" s="23">
        <f>VALUE(7)</f>
        <v>7</v>
      </c>
      <c r="AQ326" s="23">
        <f>VALUE(0)</f>
        <v>0</v>
      </c>
      <c r="AR326" s="23">
        <f>VALUE(0)</f>
        <v>0</v>
      </c>
      <c r="AS326" s="23">
        <f>VALUE(0)</f>
        <v>0</v>
      </c>
      <c r="AT326" s="23">
        <f>VALUE(0)</f>
        <v>0</v>
      </c>
      <c r="AU326" s="23">
        <f>VALUE(7)</f>
        <v>7</v>
      </c>
      <c r="AV326" s="23">
        <f>VALUE(0)</f>
        <v>0</v>
      </c>
      <c r="AW326" s="23">
        <f>VALUE(0)</f>
        <v>0</v>
      </c>
      <c r="AX326" s="23" t="s">
        <v>176</v>
      </c>
      <c r="AY326" s="23" t="s">
        <v>571</v>
      </c>
      <c r="AZ326" s="23">
        <f>VALUE(0)</f>
        <v>0</v>
      </c>
      <c r="BA326" s="23">
        <f>VALUE(0)</f>
        <v>0</v>
      </c>
      <c r="BB326" s="23">
        <f>VALUE(0)</f>
        <v>0</v>
      </c>
      <c r="BC326" s="23">
        <f>VALUE(0)</f>
        <v>0</v>
      </c>
      <c r="BD326" s="23">
        <f>VALUE(0)</f>
        <v>0</v>
      </c>
      <c r="BE326" s="23">
        <f>VALUE(0)</f>
        <v>0</v>
      </c>
      <c r="BF326" s="23">
        <f>VALUE(0)</f>
        <v>0</v>
      </c>
      <c r="BG326" s="23">
        <f>VALUE(0)</f>
        <v>0</v>
      </c>
      <c r="BH326" s="23">
        <f>VALUE(0)</f>
        <v>0</v>
      </c>
      <c r="BI326" s="23">
        <f>VALUE(0)</f>
        <v>0</v>
      </c>
      <c r="BJ326" s="23">
        <f>VALUE(0)</f>
        <v>0</v>
      </c>
      <c r="BK326" s="12">
        <f>$AX$326*24</f>
        <v>0</v>
      </c>
      <c r="BL326" s="12">
        <f>$AY$326*24</f>
        <v>3.1000000000000005</v>
      </c>
      <c r="BM326" s="12">
        <f>$BJ$326*24</f>
        <v>0</v>
      </c>
      <c r="BN326" s="12">
        <f>VALUE($I$326)/100</f>
        <v>1</v>
      </c>
      <c r="BO326" s="12">
        <v>0</v>
      </c>
      <c r="BP326" s="12">
        <v>0</v>
      </c>
      <c r="BQ326" s="12">
        <v>0</v>
      </c>
      <c r="BR326" s="12">
        <v>0</v>
      </c>
      <c r="BS326" s="12">
        <v>0</v>
      </c>
      <c r="BT326" s="12">
        <v>0</v>
      </c>
      <c r="BU326" s="12">
        <v>0</v>
      </c>
      <c r="BV326" s="12">
        <v>0</v>
      </c>
      <c r="BW326" s="12">
        <v>0</v>
      </c>
      <c r="BX326" s="12">
        <v>0</v>
      </c>
      <c r="BY326" s="12">
        <v>0</v>
      </c>
      <c r="BZ326" s="12">
        <v>0</v>
      </c>
      <c r="CA326" s="12">
        <v>0</v>
      </c>
    </row>
    <row r="327" spans="1:79" hidden="1" x14ac:dyDescent="0.2">
      <c r="A327" s="12" t="s">
        <v>147</v>
      </c>
      <c r="B327" s="12" t="s">
        <v>148</v>
      </c>
      <c r="C327" s="12" t="s">
        <v>148</v>
      </c>
      <c r="D327" s="22" t="s">
        <v>576</v>
      </c>
      <c r="E327" s="22" t="s">
        <v>161</v>
      </c>
      <c r="F327" s="22" t="s">
        <v>1316</v>
      </c>
      <c r="G327" s="22" t="s">
        <v>1118</v>
      </c>
      <c r="H327" s="22" t="s">
        <v>166</v>
      </c>
      <c r="I327" s="22" t="s">
        <v>151</v>
      </c>
      <c r="J327" s="22" t="s">
        <v>162</v>
      </c>
      <c r="K327" s="22" t="s">
        <v>101</v>
      </c>
      <c r="L327" s="54" t="s">
        <v>156</v>
      </c>
      <c r="M327" s="24" t="s">
        <v>156</v>
      </c>
      <c r="N327" s="24" t="s">
        <v>153</v>
      </c>
      <c r="O327" s="23" t="s">
        <v>153</v>
      </c>
      <c r="P327" s="23" t="s">
        <v>153</v>
      </c>
      <c r="Q327" s="23" t="s">
        <v>153</v>
      </c>
      <c r="R327" s="23" t="s">
        <v>153</v>
      </c>
      <c r="S327" s="23" t="s">
        <v>153</v>
      </c>
      <c r="T327" s="23" t="s">
        <v>153</v>
      </c>
      <c r="U327" s="24" t="s">
        <v>153</v>
      </c>
      <c r="V327" s="54" t="s">
        <v>153</v>
      </c>
      <c r="W327" s="23" t="s">
        <v>153</v>
      </c>
      <c r="X327" s="23" t="s">
        <v>153</v>
      </c>
      <c r="Y327" s="23" t="s">
        <v>153</v>
      </c>
      <c r="Z327" s="23" t="s">
        <v>153</v>
      </c>
      <c r="AA327" s="23" t="s">
        <v>153</v>
      </c>
      <c r="AB327" s="24" t="s">
        <v>153</v>
      </c>
      <c r="AC327" s="23" t="s">
        <v>153</v>
      </c>
      <c r="AD327" s="23" t="s">
        <v>153</v>
      </c>
      <c r="AE327" s="23" t="s">
        <v>153</v>
      </c>
      <c r="AF327" s="23" t="s">
        <v>153</v>
      </c>
      <c r="AG327" s="23" t="s">
        <v>153</v>
      </c>
      <c r="AH327" s="23" t="s">
        <v>153</v>
      </c>
      <c r="AI327" s="24" t="s">
        <v>153</v>
      </c>
      <c r="AJ327" s="30" t="s">
        <v>28</v>
      </c>
      <c r="AK327" s="30" t="s">
        <v>28</v>
      </c>
      <c r="AL327" s="30" t="s">
        <v>28</v>
      </c>
      <c r="AM327" s="30" t="s">
        <v>28</v>
      </c>
      <c r="AN327" s="30" t="s">
        <v>28</v>
      </c>
      <c r="AO327" s="28" t="s">
        <v>163</v>
      </c>
      <c r="AP327" s="23">
        <f>VALUE(17)</f>
        <v>17</v>
      </c>
      <c r="AQ327" s="23">
        <f>VALUE(0)</f>
        <v>0</v>
      </c>
      <c r="AR327" s="23">
        <f>VALUE(0)</f>
        <v>0</v>
      </c>
      <c r="AS327" s="23">
        <f>VALUE(0)</f>
        <v>0</v>
      </c>
      <c r="AT327" s="23">
        <f>VALUE(0)</f>
        <v>0</v>
      </c>
      <c r="AU327" s="23">
        <f>VALUE(1)</f>
        <v>1</v>
      </c>
      <c r="AV327" s="23">
        <f>VALUE(2.5)</f>
        <v>2.5</v>
      </c>
      <c r="AW327" s="23">
        <f>VALUE(0)</f>
        <v>0</v>
      </c>
      <c r="AX327" s="23" t="s">
        <v>1317</v>
      </c>
      <c r="AY327" s="23">
        <f>VALUE(0)</f>
        <v>0</v>
      </c>
      <c r="AZ327" s="23">
        <f>VALUE(0)</f>
        <v>0</v>
      </c>
      <c r="BA327" s="23">
        <f>VALUE(0)</f>
        <v>0</v>
      </c>
      <c r="BB327" s="23">
        <f>VALUE(0)</f>
        <v>0</v>
      </c>
      <c r="BC327" s="23">
        <f>VALUE(0)</f>
        <v>0</v>
      </c>
      <c r="BD327" s="23">
        <f>VALUE(0)</f>
        <v>0</v>
      </c>
      <c r="BE327" s="23">
        <f>VALUE(0)</f>
        <v>0</v>
      </c>
      <c r="BF327" s="23">
        <f>VALUE(0)</f>
        <v>0</v>
      </c>
      <c r="BG327" s="23">
        <f>VALUE(0)</f>
        <v>0</v>
      </c>
      <c r="BH327" s="23">
        <f>VALUE(0)</f>
        <v>0</v>
      </c>
      <c r="BI327" s="23">
        <f>VALUE(0)</f>
        <v>0</v>
      </c>
      <c r="BJ327" s="23">
        <f>VALUE(0)</f>
        <v>0</v>
      </c>
      <c r="BK327" s="12">
        <f>$AX$327*24</f>
        <v>33</v>
      </c>
      <c r="BL327" s="12">
        <f>$AY$327*24</f>
        <v>0</v>
      </c>
      <c r="BM327" s="12">
        <f>$BJ$327*24</f>
        <v>0</v>
      </c>
      <c r="BN327" s="12">
        <f>VALUE($I$327)/100</f>
        <v>1</v>
      </c>
      <c r="BO327" s="12">
        <v>0</v>
      </c>
      <c r="BP327" s="12">
        <v>0</v>
      </c>
      <c r="BQ327" s="12">
        <v>5</v>
      </c>
      <c r="BR327" s="12">
        <v>0</v>
      </c>
      <c r="BS327" s="12">
        <v>0</v>
      </c>
      <c r="BT327" s="12">
        <v>0</v>
      </c>
      <c r="BU327" s="12">
        <v>0</v>
      </c>
      <c r="BV327" s="12">
        <v>0</v>
      </c>
      <c r="BW327" s="12">
        <v>0</v>
      </c>
      <c r="BX327" s="12">
        <v>0</v>
      </c>
      <c r="BY327" s="12">
        <v>0</v>
      </c>
      <c r="BZ327" s="12">
        <v>0</v>
      </c>
      <c r="CA327" s="12">
        <v>0</v>
      </c>
    </row>
    <row r="328" spans="1:79" hidden="1" x14ac:dyDescent="0.2">
      <c r="A328" s="12" t="s">
        <v>147</v>
      </c>
      <c r="B328" s="12" t="s">
        <v>148</v>
      </c>
      <c r="C328" s="12" t="s">
        <v>148</v>
      </c>
      <c r="D328" s="22" t="s">
        <v>577</v>
      </c>
      <c r="E328" s="22" t="s">
        <v>161</v>
      </c>
      <c r="F328" s="22" t="s">
        <v>1119</v>
      </c>
      <c r="G328" s="22" t="s">
        <v>1120</v>
      </c>
      <c r="H328" s="22" t="s">
        <v>166</v>
      </c>
      <c r="I328" s="22" t="s">
        <v>151</v>
      </c>
      <c r="J328" s="22" t="s">
        <v>162</v>
      </c>
      <c r="K328" s="22" t="s">
        <v>101</v>
      </c>
      <c r="L328" s="54" t="s">
        <v>153</v>
      </c>
      <c r="M328" s="23" t="s">
        <v>153</v>
      </c>
      <c r="N328" s="24" t="s">
        <v>153</v>
      </c>
      <c r="O328" s="28" t="s">
        <v>163</v>
      </c>
      <c r="P328" s="28" t="s">
        <v>163</v>
      </c>
      <c r="Q328" s="28" t="s">
        <v>163</v>
      </c>
      <c r="R328" s="23" t="s">
        <v>153</v>
      </c>
      <c r="S328" s="23" t="s">
        <v>153</v>
      </c>
      <c r="T328" s="23" t="s">
        <v>153</v>
      </c>
      <c r="U328" s="24" t="s">
        <v>153</v>
      </c>
      <c r="V328" s="54" t="s">
        <v>153</v>
      </c>
      <c r="W328" s="23" t="s">
        <v>153</v>
      </c>
      <c r="X328" s="23" t="s">
        <v>153</v>
      </c>
      <c r="Y328" s="24" t="s">
        <v>156</v>
      </c>
      <c r="Z328" s="24" t="s">
        <v>156</v>
      </c>
      <c r="AA328" s="24" t="s">
        <v>156</v>
      </c>
      <c r="AB328" s="24" t="s">
        <v>153</v>
      </c>
      <c r="AC328" s="28" t="s">
        <v>338</v>
      </c>
      <c r="AD328" s="28" t="s">
        <v>338</v>
      </c>
      <c r="AE328" s="28" t="s">
        <v>338</v>
      </c>
      <c r="AF328" s="28" t="s">
        <v>338</v>
      </c>
      <c r="AG328" s="28" t="s">
        <v>338</v>
      </c>
      <c r="AH328" s="28" t="s">
        <v>338</v>
      </c>
      <c r="AI328" s="24" t="s">
        <v>153</v>
      </c>
      <c r="AJ328" s="23" t="s">
        <v>153</v>
      </c>
      <c r="AK328" s="23" t="s">
        <v>153</v>
      </c>
      <c r="AL328" s="23" t="s">
        <v>153</v>
      </c>
      <c r="AM328" s="23" t="s">
        <v>153</v>
      </c>
      <c r="AN328" s="23" t="s">
        <v>153</v>
      </c>
      <c r="AO328" s="23" t="s">
        <v>153</v>
      </c>
      <c r="AP328" s="23">
        <f>VALUE(12)</f>
        <v>12</v>
      </c>
      <c r="AQ328" s="23">
        <f>VALUE(0)</f>
        <v>0</v>
      </c>
      <c r="AR328" s="23">
        <f>VALUE(0)</f>
        <v>0</v>
      </c>
      <c r="AS328" s="23">
        <f>VALUE(0)</f>
        <v>0</v>
      </c>
      <c r="AT328" s="23">
        <f>VALUE(6)</f>
        <v>6</v>
      </c>
      <c r="AU328" s="23">
        <f>VALUE(3)</f>
        <v>3</v>
      </c>
      <c r="AV328" s="23">
        <f>VALUE(12)</f>
        <v>12</v>
      </c>
      <c r="AW328" s="23">
        <f>VALUE(0)</f>
        <v>0</v>
      </c>
      <c r="AX328" s="23" t="s">
        <v>1318</v>
      </c>
      <c r="AY328" s="23">
        <f>VALUE(0)</f>
        <v>0</v>
      </c>
      <c r="AZ328" s="23">
        <f>VALUE(0)</f>
        <v>0</v>
      </c>
      <c r="BA328" s="23">
        <f>VALUE(0)</f>
        <v>0</v>
      </c>
      <c r="BB328" s="23">
        <f>VALUE(0)</f>
        <v>0</v>
      </c>
      <c r="BC328" s="23">
        <f>VALUE(0)</f>
        <v>0</v>
      </c>
      <c r="BD328" s="23">
        <f>VALUE(0)</f>
        <v>0</v>
      </c>
      <c r="BE328" s="23">
        <f>VALUE(0)</f>
        <v>0</v>
      </c>
      <c r="BF328" s="23">
        <f>VALUE(0)</f>
        <v>0</v>
      </c>
      <c r="BG328" s="23">
        <f>VALUE(0)</f>
        <v>0</v>
      </c>
      <c r="BH328" s="23">
        <f>VALUE(0)</f>
        <v>0</v>
      </c>
      <c r="BI328" s="23">
        <f>VALUE(0)</f>
        <v>0</v>
      </c>
      <c r="BJ328" s="23">
        <f>VALUE(0)</f>
        <v>0</v>
      </c>
      <c r="BK328" s="12">
        <f>$AX$328*24</f>
        <v>33.6</v>
      </c>
      <c r="BL328" s="12">
        <f>$AY$328*24</f>
        <v>0</v>
      </c>
      <c r="BM328" s="12">
        <f>$BJ$328*24</f>
        <v>0</v>
      </c>
      <c r="BN328" s="12">
        <f>VALUE($I$328)/100</f>
        <v>1</v>
      </c>
      <c r="BO328" s="12">
        <v>0</v>
      </c>
      <c r="BP328" s="12">
        <v>0</v>
      </c>
      <c r="BQ328" s="12">
        <v>0</v>
      </c>
      <c r="BR328" s="12">
        <v>0</v>
      </c>
      <c r="BS328" s="12">
        <v>0</v>
      </c>
      <c r="BT328" s="12">
        <v>0</v>
      </c>
      <c r="BU328" s="12">
        <v>0</v>
      </c>
      <c r="BV328" s="12">
        <v>0</v>
      </c>
      <c r="BW328" s="12">
        <v>0</v>
      </c>
      <c r="BX328" s="12">
        <v>0</v>
      </c>
      <c r="BY328" s="12">
        <v>6</v>
      </c>
      <c r="BZ328" s="12">
        <v>0</v>
      </c>
      <c r="CA328" s="12">
        <v>0</v>
      </c>
    </row>
    <row r="329" spans="1:79" hidden="1" x14ac:dyDescent="0.2">
      <c r="A329" s="12" t="s">
        <v>147</v>
      </c>
      <c r="B329" s="12" t="s">
        <v>148</v>
      </c>
      <c r="C329" s="12" t="s">
        <v>148</v>
      </c>
      <c r="D329" s="22" t="s">
        <v>159</v>
      </c>
      <c r="E329" s="22" t="s">
        <v>159</v>
      </c>
      <c r="F329" s="22" t="s">
        <v>1121</v>
      </c>
      <c r="G329" s="22" t="s">
        <v>1122</v>
      </c>
      <c r="H329" s="22" t="s">
        <v>150</v>
      </c>
      <c r="I329" s="22" t="s">
        <v>151</v>
      </c>
      <c r="J329" s="22" t="s">
        <v>162</v>
      </c>
      <c r="K329" s="22" t="s">
        <v>101</v>
      </c>
      <c r="L329" s="54" t="s">
        <v>153</v>
      </c>
      <c r="M329" s="23" t="s">
        <v>575</v>
      </c>
      <c r="N329" s="24" t="s">
        <v>153</v>
      </c>
      <c r="O329" s="23" t="s">
        <v>575</v>
      </c>
      <c r="P329" s="23" t="s">
        <v>575</v>
      </c>
      <c r="Q329" s="23" t="s">
        <v>575</v>
      </c>
      <c r="R329" s="23" t="s">
        <v>575</v>
      </c>
      <c r="S329" s="23" t="s">
        <v>575</v>
      </c>
      <c r="T329" s="23" t="s">
        <v>575</v>
      </c>
      <c r="U329" s="24" t="s">
        <v>153</v>
      </c>
      <c r="V329" s="54" t="s">
        <v>153</v>
      </c>
      <c r="W329" s="29" t="s">
        <v>163</v>
      </c>
      <c r="X329" s="29" t="s">
        <v>163</v>
      </c>
      <c r="Y329" s="29" t="s">
        <v>163</v>
      </c>
      <c r="Z329" s="29" t="s">
        <v>163</v>
      </c>
      <c r="AA329" s="29" t="s">
        <v>163</v>
      </c>
      <c r="AB329" s="24" t="s">
        <v>153</v>
      </c>
      <c r="AC329" s="23" t="s">
        <v>577</v>
      </c>
      <c r="AD329" s="23" t="s">
        <v>577</v>
      </c>
      <c r="AE329" s="23" t="s">
        <v>577</v>
      </c>
      <c r="AF329" s="23" t="s">
        <v>577</v>
      </c>
      <c r="AG329" s="23" t="s">
        <v>577</v>
      </c>
      <c r="AH329" s="23" t="s">
        <v>577</v>
      </c>
      <c r="AI329" s="24" t="s">
        <v>153</v>
      </c>
      <c r="AJ329" s="23" t="s">
        <v>576</v>
      </c>
      <c r="AK329" s="23" t="s">
        <v>576</v>
      </c>
      <c r="AL329" s="23" t="s">
        <v>576</v>
      </c>
      <c r="AM329" s="23" t="s">
        <v>576</v>
      </c>
      <c r="AN329" s="23" t="s">
        <v>576</v>
      </c>
      <c r="AO329" s="23" t="s">
        <v>576</v>
      </c>
      <c r="AP329" s="23">
        <f>VALUE(6)</f>
        <v>6</v>
      </c>
      <c r="AQ329" s="23">
        <f>VALUE(0)</f>
        <v>0</v>
      </c>
      <c r="AR329" s="23">
        <f>VALUE(5)</f>
        <v>5</v>
      </c>
      <c r="AS329" s="23">
        <f>VALUE(0)</f>
        <v>0</v>
      </c>
      <c r="AT329" s="23">
        <f>VALUE(0)</f>
        <v>0</v>
      </c>
      <c r="AU329" s="23">
        <f>VALUE(0)</f>
        <v>0</v>
      </c>
      <c r="AV329" s="23">
        <f>VALUE(2)</f>
        <v>2</v>
      </c>
      <c r="AW329" s="23">
        <f>VALUE(0)</f>
        <v>0</v>
      </c>
      <c r="AX329" s="23">
        <f>VALUE(0)</f>
        <v>0</v>
      </c>
      <c r="AY329" s="23" t="s">
        <v>578</v>
      </c>
      <c r="AZ329" s="23">
        <f>VALUE(0)</f>
        <v>0</v>
      </c>
      <c r="BA329" s="23">
        <f>VALUE(0)</f>
        <v>0</v>
      </c>
      <c r="BB329" s="23">
        <f>VALUE(0)</f>
        <v>0</v>
      </c>
      <c r="BC329" s="23">
        <f>VALUE(0)</f>
        <v>0</v>
      </c>
      <c r="BD329" s="23">
        <f>VALUE(0)</f>
        <v>0</v>
      </c>
      <c r="BE329" s="23">
        <f>VALUE(0)</f>
        <v>0</v>
      </c>
      <c r="BF329" s="23">
        <f>VALUE(0)</f>
        <v>0</v>
      </c>
      <c r="BG329" s="23">
        <f>VALUE(0)</f>
        <v>0</v>
      </c>
      <c r="BH329" s="23">
        <f>VALUE(0)</f>
        <v>0</v>
      </c>
      <c r="BI329" s="23">
        <f>VALUE(0)</f>
        <v>0</v>
      </c>
      <c r="BJ329" s="23">
        <f>VALUE(0)</f>
        <v>0</v>
      </c>
      <c r="BK329" s="12">
        <f>$AX$329*24</f>
        <v>0</v>
      </c>
      <c r="BL329" s="12">
        <f>$AY$329*24</f>
        <v>2.7666666666666666</v>
      </c>
      <c r="BM329" s="12">
        <f>$BJ$329*24</f>
        <v>0</v>
      </c>
      <c r="BN329" s="12">
        <f>VALUE($I$329)/100</f>
        <v>1</v>
      </c>
      <c r="BO329" s="12">
        <v>0</v>
      </c>
      <c r="BP329" s="12">
        <v>0</v>
      </c>
      <c r="BQ329" s="12">
        <v>0</v>
      </c>
      <c r="BR329" s="12">
        <v>0</v>
      </c>
      <c r="BS329" s="12">
        <v>0</v>
      </c>
      <c r="BT329" s="12">
        <v>5</v>
      </c>
      <c r="BU329" s="12">
        <v>0</v>
      </c>
      <c r="BV329" s="12">
        <v>0</v>
      </c>
      <c r="BW329" s="12">
        <v>0</v>
      </c>
      <c r="BX329" s="12">
        <v>0</v>
      </c>
      <c r="BY329" s="12">
        <v>0</v>
      </c>
      <c r="BZ329" s="12">
        <v>0</v>
      </c>
      <c r="CA329" s="12">
        <v>0</v>
      </c>
    </row>
    <row r="330" spans="1:79" hidden="1" x14ac:dyDescent="0.2">
      <c r="A330" s="12" t="s">
        <v>147</v>
      </c>
      <c r="B330" s="12" t="s">
        <v>148</v>
      </c>
      <c r="C330" s="12" t="s">
        <v>148</v>
      </c>
      <c r="D330" s="22" t="s">
        <v>1319</v>
      </c>
      <c r="E330" s="22" t="s">
        <v>161</v>
      </c>
      <c r="F330" s="22" t="s">
        <v>1123</v>
      </c>
      <c r="G330" s="22" t="s">
        <v>1124</v>
      </c>
      <c r="H330" s="22" t="s">
        <v>166</v>
      </c>
      <c r="I330" s="22" t="s">
        <v>151</v>
      </c>
      <c r="J330" s="22" t="s">
        <v>162</v>
      </c>
      <c r="K330" s="22" t="s">
        <v>101</v>
      </c>
      <c r="L330" s="54" t="s">
        <v>153</v>
      </c>
      <c r="M330" s="27" t="s">
        <v>153</v>
      </c>
      <c r="N330" s="27" t="s">
        <v>153</v>
      </c>
      <c r="O330" s="27" t="s">
        <v>153</v>
      </c>
      <c r="P330" s="27" t="s">
        <v>153</v>
      </c>
      <c r="Q330" s="27" t="s">
        <v>153</v>
      </c>
      <c r="R330" s="27" t="s">
        <v>153</v>
      </c>
      <c r="S330" s="27" t="s">
        <v>153</v>
      </c>
      <c r="T330" s="27" t="s">
        <v>153</v>
      </c>
      <c r="U330" s="27" t="s">
        <v>153</v>
      </c>
      <c r="V330" s="54" t="s">
        <v>153</v>
      </c>
      <c r="W330" s="27" t="s">
        <v>153</v>
      </c>
      <c r="X330" s="27" t="s">
        <v>153</v>
      </c>
      <c r="Y330" s="27" t="s">
        <v>153</v>
      </c>
      <c r="Z330" s="27" t="s">
        <v>153</v>
      </c>
      <c r="AA330" s="27" t="s">
        <v>153</v>
      </c>
      <c r="AB330" s="27" t="s">
        <v>153</v>
      </c>
      <c r="AC330" s="27" t="s">
        <v>153</v>
      </c>
      <c r="AD330" s="27" t="s">
        <v>153</v>
      </c>
      <c r="AE330" s="27" t="s">
        <v>153</v>
      </c>
      <c r="AF330" s="27" t="s">
        <v>153</v>
      </c>
      <c r="AG330" s="27" t="s">
        <v>153</v>
      </c>
      <c r="AH330" s="27" t="s">
        <v>153</v>
      </c>
      <c r="AI330" s="27" t="s">
        <v>153</v>
      </c>
      <c r="AJ330" s="27" t="s">
        <v>153</v>
      </c>
      <c r="AK330" s="27" t="s">
        <v>153</v>
      </c>
      <c r="AL330" s="27" t="s">
        <v>153</v>
      </c>
      <c r="AM330" s="27" t="s">
        <v>153</v>
      </c>
      <c r="AN330" s="27" t="s">
        <v>153</v>
      </c>
      <c r="AO330" s="27" t="s">
        <v>153</v>
      </c>
      <c r="AP330" s="23">
        <f>VALUE(0)</f>
        <v>0</v>
      </c>
      <c r="AQ330" s="23">
        <f>VALUE(0)</f>
        <v>0</v>
      </c>
      <c r="AR330" s="23">
        <f>VALUE(0)</f>
        <v>0</v>
      </c>
      <c r="AS330" s="23">
        <f>VALUE(0)</f>
        <v>0</v>
      </c>
      <c r="AT330" s="23">
        <f>VALUE(0)</f>
        <v>0</v>
      </c>
      <c r="AU330" s="23">
        <f>VALUE(0)</f>
        <v>0</v>
      </c>
      <c r="AV330" s="23">
        <f>VALUE(0)</f>
        <v>0</v>
      </c>
      <c r="AW330" s="23">
        <f>VALUE(0)</f>
        <v>0</v>
      </c>
      <c r="AX330" s="23">
        <f>VALUE(0)</f>
        <v>0</v>
      </c>
      <c r="AY330" s="23">
        <f>VALUE(0)</f>
        <v>0</v>
      </c>
      <c r="AZ330" s="23">
        <f>VALUE(0)</f>
        <v>0</v>
      </c>
      <c r="BA330" s="23">
        <f>VALUE(0)</f>
        <v>0</v>
      </c>
      <c r="BB330" s="23">
        <f>VALUE(0)</f>
        <v>0</v>
      </c>
      <c r="BC330" s="23">
        <f>VALUE(0)</f>
        <v>0</v>
      </c>
      <c r="BD330" s="23">
        <f>VALUE(0)</f>
        <v>0</v>
      </c>
      <c r="BE330" s="23">
        <f>VALUE(0)</f>
        <v>0</v>
      </c>
      <c r="BF330" s="23">
        <f>VALUE(0)</f>
        <v>0</v>
      </c>
      <c r="BG330" s="23">
        <f>VALUE(0)</f>
        <v>0</v>
      </c>
      <c r="BH330" s="23">
        <f>VALUE(0)</f>
        <v>0</v>
      </c>
      <c r="BI330" s="23">
        <f>VALUE(0)</f>
        <v>0</v>
      </c>
      <c r="BJ330" s="23">
        <f>VALUE(0)</f>
        <v>0</v>
      </c>
      <c r="BK330" s="12">
        <f>$AX$330*24</f>
        <v>0</v>
      </c>
      <c r="BL330" s="12">
        <f>$AY$330*24</f>
        <v>0</v>
      </c>
      <c r="BM330" s="12">
        <f>$BJ$330*24</f>
        <v>0</v>
      </c>
      <c r="BN330" s="12">
        <f>VALUE($I$330)/100</f>
        <v>1</v>
      </c>
      <c r="BO330" s="12">
        <v>0</v>
      </c>
      <c r="BP330" s="12">
        <v>0</v>
      </c>
      <c r="BQ330" s="12">
        <v>0</v>
      </c>
      <c r="BR330" s="12">
        <v>0</v>
      </c>
      <c r="BS330" s="12">
        <v>0</v>
      </c>
      <c r="BT330" s="12">
        <v>0</v>
      </c>
      <c r="BU330" s="12">
        <v>0</v>
      </c>
      <c r="BV330" s="12">
        <v>0</v>
      </c>
      <c r="BW330" s="12">
        <v>0</v>
      </c>
      <c r="BX330" s="12">
        <v>0</v>
      </c>
      <c r="BY330" s="12">
        <v>0</v>
      </c>
      <c r="BZ330" s="12">
        <v>0</v>
      </c>
      <c r="CA330" s="12">
        <v>0</v>
      </c>
    </row>
    <row r="331" spans="1:79" hidden="1" x14ac:dyDescent="0.2">
      <c r="A331" s="12" t="s">
        <v>147</v>
      </c>
      <c r="B331" s="12" t="s">
        <v>148</v>
      </c>
      <c r="C331" s="12" t="s">
        <v>148</v>
      </c>
      <c r="D331" s="22" t="s">
        <v>1312</v>
      </c>
      <c r="E331" s="22" t="s">
        <v>161</v>
      </c>
      <c r="F331" s="22" t="s">
        <v>1125</v>
      </c>
      <c r="G331" s="22" t="s">
        <v>1126</v>
      </c>
      <c r="H331" s="22" t="s">
        <v>166</v>
      </c>
      <c r="I331" s="22" t="s">
        <v>415</v>
      </c>
      <c r="J331" s="22" t="s">
        <v>162</v>
      </c>
      <c r="K331" s="22" t="s">
        <v>101</v>
      </c>
      <c r="L331" s="54" t="s">
        <v>153</v>
      </c>
      <c r="M331" s="23" t="s">
        <v>576</v>
      </c>
      <c r="N331" s="24" t="s">
        <v>153</v>
      </c>
      <c r="O331" s="24" t="s">
        <v>195</v>
      </c>
      <c r="P331" s="24" t="s">
        <v>195</v>
      </c>
      <c r="Q331" s="24" t="s">
        <v>195</v>
      </c>
      <c r="R331" s="23" t="s">
        <v>574</v>
      </c>
      <c r="S331" s="23" t="s">
        <v>574</v>
      </c>
      <c r="T331" s="23" t="s">
        <v>574</v>
      </c>
      <c r="U331" s="24" t="s">
        <v>153</v>
      </c>
      <c r="V331" s="54" t="s">
        <v>153</v>
      </c>
      <c r="W331" s="24" t="s">
        <v>195</v>
      </c>
      <c r="X331" s="24" t="s">
        <v>195</v>
      </c>
      <c r="Y331" s="23" t="s">
        <v>577</v>
      </c>
      <c r="Z331" s="23" t="s">
        <v>577</v>
      </c>
      <c r="AA331" s="23" t="s">
        <v>577</v>
      </c>
      <c r="AB331" s="24" t="s">
        <v>153</v>
      </c>
      <c r="AC331" s="24" t="s">
        <v>195</v>
      </c>
      <c r="AD331" s="24" t="s">
        <v>195</v>
      </c>
      <c r="AE331" s="24" t="s">
        <v>195</v>
      </c>
      <c r="AF331" s="23" t="s">
        <v>573</v>
      </c>
      <c r="AG331" s="23" t="s">
        <v>573</v>
      </c>
      <c r="AH331" s="23" t="s">
        <v>573</v>
      </c>
      <c r="AI331" s="24" t="s">
        <v>153</v>
      </c>
      <c r="AJ331" s="23" t="s">
        <v>513</v>
      </c>
      <c r="AK331" s="23" t="s">
        <v>513</v>
      </c>
      <c r="AL331" s="23" t="s">
        <v>513</v>
      </c>
      <c r="AM331" s="24" t="s">
        <v>195</v>
      </c>
      <c r="AN331" s="24" t="s">
        <v>195</v>
      </c>
      <c r="AO331" s="24" t="s">
        <v>195</v>
      </c>
      <c r="AP331" s="23">
        <f>VALUE(13)</f>
        <v>13</v>
      </c>
      <c r="AQ331" s="23">
        <f>VALUE(0)</f>
        <v>0</v>
      </c>
      <c r="AR331" s="23">
        <f>VALUE(0)</f>
        <v>0</v>
      </c>
      <c r="AS331" s="23">
        <f>VALUE(0)</f>
        <v>0</v>
      </c>
      <c r="AT331" s="23">
        <f>VALUE(0)</f>
        <v>0</v>
      </c>
      <c r="AU331" s="23">
        <f>VALUE(0)</f>
        <v>0</v>
      </c>
      <c r="AV331" s="23">
        <f>VALUE(1)</f>
        <v>1</v>
      </c>
      <c r="AW331" s="23">
        <f>VALUE(0)</f>
        <v>0</v>
      </c>
      <c r="AX331" s="23" t="s">
        <v>579</v>
      </c>
      <c r="AY331" s="23">
        <f>VALUE(0)</f>
        <v>0</v>
      </c>
      <c r="AZ331" s="23">
        <f>VALUE(0)</f>
        <v>0</v>
      </c>
      <c r="BA331" s="23">
        <f>VALUE(0)</f>
        <v>0</v>
      </c>
      <c r="BB331" s="23">
        <f>VALUE(0)</f>
        <v>0</v>
      </c>
      <c r="BC331" s="23">
        <f>VALUE(0)</f>
        <v>0</v>
      </c>
      <c r="BD331" s="23">
        <f>VALUE(0)</f>
        <v>0</v>
      </c>
      <c r="BE331" s="23">
        <f>VALUE(0)</f>
        <v>0</v>
      </c>
      <c r="BF331" s="23">
        <f>VALUE(0)</f>
        <v>0</v>
      </c>
      <c r="BG331" s="23">
        <f>VALUE(0)</f>
        <v>0</v>
      </c>
      <c r="BH331" s="23">
        <f>VALUE(0)</f>
        <v>0</v>
      </c>
      <c r="BI331" s="23">
        <f>VALUE(0)</f>
        <v>0</v>
      </c>
      <c r="BJ331" s="23">
        <f>VALUE(0)</f>
        <v>0</v>
      </c>
      <c r="BK331" s="12">
        <f>$AX$331*24</f>
        <v>4.75</v>
      </c>
      <c r="BL331" s="12">
        <f>$AY$331*24</f>
        <v>0</v>
      </c>
      <c r="BM331" s="12">
        <f>$BJ$331*24</f>
        <v>0</v>
      </c>
      <c r="BN331" s="12">
        <f>VALUE($I$331)/100</f>
        <v>0.5</v>
      </c>
      <c r="BO331" s="12">
        <v>0</v>
      </c>
      <c r="BP331" s="12">
        <v>0</v>
      </c>
      <c r="BQ331" s="12">
        <v>0</v>
      </c>
      <c r="BR331" s="12">
        <v>0</v>
      </c>
      <c r="BS331" s="12">
        <v>0</v>
      </c>
      <c r="BT331" s="12">
        <v>0</v>
      </c>
      <c r="BU331" s="12">
        <v>0</v>
      </c>
      <c r="BV331" s="12">
        <v>0</v>
      </c>
      <c r="BW331" s="12">
        <v>0</v>
      </c>
      <c r="BX331" s="12">
        <v>0</v>
      </c>
      <c r="BY331" s="12">
        <v>0</v>
      </c>
      <c r="BZ331" s="12">
        <v>0</v>
      </c>
      <c r="CA331" s="12">
        <v>0</v>
      </c>
    </row>
    <row r="332" spans="1:79" ht="15" hidden="1" x14ac:dyDescent="0.25">
      <c r="A332" s="12" t="s">
        <v>147</v>
      </c>
      <c r="B332" s="12" t="s">
        <v>148</v>
      </c>
      <c r="C332" s="12" t="s">
        <v>148</v>
      </c>
      <c r="D332" s="31" t="s">
        <v>333</v>
      </c>
      <c r="E332" s="31" t="s">
        <v>153</v>
      </c>
      <c r="F332" s="31" t="s">
        <v>175</v>
      </c>
      <c r="G332" s="31" t="s">
        <v>153</v>
      </c>
      <c r="H332" s="31" t="s">
        <v>153</v>
      </c>
      <c r="I332" s="31" t="s">
        <v>153</v>
      </c>
      <c r="J332" s="31" t="s">
        <v>153</v>
      </c>
      <c r="K332" s="31" t="s">
        <v>153</v>
      </c>
      <c r="L332" s="31">
        <f>VALUE(0)</f>
        <v>0</v>
      </c>
      <c r="M332" s="31">
        <f>VALUE(6)</f>
        <v>6</v>
      </c>
      <c r="N332" s="31">
        <f>VALUE(0)</f>
        <v>0</v>
      </c>
      <c r="O332" s="31">
        <f>VALUE(5)</f>
        <v>5</v>
      </c>
      <c r="P332" s="31">
        <f>VALUE(5)</f>
        <v>5</v>
      </c>
      <c r="Q332" s="31">
        <f>VALUE(5)</f>
        <v>5</v>
      </c>
      <c r="R332" s="31">
        <f>VALUE(7)</f>
        <v>7</v>
      </c>
      <c r="S332" s="31">
        <f>VALUE(7)</f>
        <v>7</v>
      </c>
      <c r="T332" s="31">
        <f>VALUE(7)</f>
        <v>7</v>
      </c>
      <c r="U332" s="31">
        <f>VALUE(0)</f>
        <v>0</v>
      </c>
      <c r="V332" s="31">
        <f>VALUE(0)</f>
        <v>0</v>
      </c>
      <c r="W332" s="31">
        <f>VALUE(5)</f>
        <v>5</v>
      </c>
      <c r="X332" s="31">
        <f>VALUE(5)</f>
        <v>5</v>
      </c>
      <c r="Y332" s="31">
        <f>VALUE(5)</f>
        <v>5</v>
      </c>
      <c r="Z332" s="31">
        <f>VALUE(5)</f>
        <v>5</v>
      </c>
      <c r="AA332" s="31">
        <f>VALUE(5)</f>
        <v>5</v>
      </c>
      <c r="AB332" s="31">
        <f>VALUE(0)</f>
        <v>0</v>
      </c>
      <c r="AC332" s="31">
        <f>VALUE(5)</f>
        <v>5</v>
      </c>
      <c r="AD332" s="31">
        <f>VALUE(5)</f>
        <v>5</v>
      </c>
      <c r="AE332" s="31">
        <f>VALUE(5)</f>
        <v>5</v>
      </c>
      <c r="AF332" s="31">
        <f>VALUE(5)</f>
        <v>5</v>
      </c>
      <c r="AG332" s="31">
        <f>VALUE(5)</f>
        <v>5</v>
      </c>
      <c r="AH332" s="31">
        <f>VALUE(5)</f>
        <v>5</v>
      </c>
      <c r="AI332" s="31">
        <f>VALUE(0)</f>
        <v>0</v>
      </c>
      <c r="AJ332" s="31">
        <f>VALUE(4)</f>
        <v>4</v>
      </c>
      <c r="AK332" s="31">
        <f>VALUE(4)</f>
        <v>4</v>
      </c>
      <c r="AL332" s="31">
        <f>VALUE(4)</f>
        <v>4</v>
      </c>
      <c r="AM332" s="31">
        <f>VALUE(4)</f>
        <v>4</v>
      </c>
      <c r="AN332" s="31">
        <f>VALUE(4)</f>
        <v>4</v>
      </c>
      <c r="AO332" s="31">
        <f>VALUE(4)</f>
        <v>4</v>
      </c>
      <c r="AP332" s="31">
        <v>0</v>
      </c>
      <c r="AQ332" s="31">
        <v>0</v>
      </c>
      <c r="AR332" s="31">
        <v>0</v>
      </c>
      <c r="AS332" s="31">
        <v>0</v>
      </c>
      <c r="AT332" s="31">
        <v>0</v>
      </c>
      <c r="AU332" s="31">
        <v>0</v>
      </c>
      <c r="AV332" s="31">
        <v>0</v>
      </c>
      <c r="AW332" s="31">
        <v>0</v>
      </c>
      <c r="AX332" s="31">
        <v>0</v>
      </c>
      <c r="AY332" s="31">
        <v>0</v>
      </c>
      <c r="AZ332" s="31">
        <v>0</v>
      </c>
      <c r="BA332" s="31">
        <v>0</v>
      </c>
      <c r="BB332" s="31">
        <v>0</v>
      </c>
      <c r="BC332" s="31">
        <v>0</v>
      </c>
      <c r="BD332" s="31">
        <v>0</v>
      </c>
      <c r="BE332" s="31">
        <v>0</v>
      </c>
      <c r="BF332" s="31">
        <v>0</v>
      </c>
      <c r="BG332" s="31">
        <v>0</v>
      </c>
      <c r="BH332" s="31">
        <v>0</v>
      </c>
      <c r="BI332" s="31">
        <v>0</v>
      </c>
      <c r="BJ332" s="31">
        <v>0</v>
      </c>
      <c r="BK332" s="12">
        <v>0</v>
      </c>
      <c r="BL332" s="12">
        <v>0</v>
      </c>
      <c r="BM332" s="12">
        <v>0</v>
      </c>
      <c r="BN332" s="12"/>
      <c r="BO332" s="12">
        <v>0</v>
      </c>
      <c r="BP332" s="12">
        <v>0</v>
      </c>
      <c r="BQ332" s="12">
        <v>0</v>
      </c>
      <c r="BR332" s="12">
        <v>0</v>
      </c>
      <c r="BS332" s="12">
        <v>0</v>
      </c>
      <c r="BT332" s="12">
        <v>0</v>
      </c>
      <c r="BU332" s="12">
        <v>0</v>
      </c>
      <c r="BV332" s="12">
        <v>0</v>
      </c>
      <c r="BW332" s="12">
        <v>0</v>
      </c>
      <c r="BX332" s="12">
        <v>0</v>
      </c>
      <c r="BY332" s="12">
        <v>0</v>
      </c>
      <c r="BZ332" s="12">
        <v>0</v>
      </c>
      <c r="CA332" s="12">
        <v>0</v>
      </c>
    </row>
    <row r="334" spans="1:79" x14ac:dyDescent="0.2">
      <c r="L334" s="40">
        <f>ROUND(SUBTOTAL(9,$L$10:$L$331),2)</f>
        <v>0</v>
      </c>
      <c r="M334" s="40">
        <f>ROUND(SUBTOTAL(9,$M$10:$M$331),2)</f>
        <v>0</v>
      </c>
      <c r="N334" s="40">
        <f>ROUND(SUBTOTAL(9,$N$10:$N$331),2)</f>
        <v>0</v>
      </c>
      <c r="O334" s="40">
        <f>ROUND(SUBTOTAL(9,$O$10:$O$331),2)</f>
        <v>0</v>
      </c>
      <c r="P334" s="40">
        <f>ROUND(SUBTOTAL(9,$P$10:$P$331),2)</f>
        <v>0</v>
      </c>
      <c r="Q334" s="40">
        <f>ROUND(SUBTOTAL(9,$Q$10:$Q$331),2)</f>
        <v>0</v>
      </c>
      <c r="R334" s="40">
        <f>ROUND(SUBTOTAL(9,$R$10:$R$331),2)</f>
        <v>0</v>
      </c>
      <c r="S334" s="40">
        <f>ROUND(SUBTOTAL(9,$S$10:$S$331),2)</f>
        <v>0</v>
      </c>
      <c r="T334" s="40">
        <f>ROUND(SUBTOTAL(9,$T$10:$T$331),2)</f>
        <v>0</v>
      </c>
      <c r="U334" s="40">
        <f>ROUND(SUBTOTAL(9,$U$10:$U$331),2)</f>
        <v>0</v>
      </c>
      <c r="V334" s="40">
        <f>ROUND(SUBTOTAL(9,$V$10:$V$331),2)</f>
        <v>0</v>
      </c>
      <c r="W334" s="40">
        <f>ROUND(SUBTOTAL(9,$W$10:$W$331),2)</f>
        <v>0</v>
      </c>
      <c r="X334" s="40">
        <f>ROUND(SUBTOTAL(9,$X$10:$X$331),2)</f>
        <v>0</v>
      </c>
      <c r="Y334" s="40">
        <f>ROUND(SUBTOTAL(9,$Y$10:$Y$331),2)</f>
        <v>0</v>
      </c>
      <c r="Z334" s="40">
        <f>ROUND(SUBTOTAL(9,$Z$10:$Z$331),2)</f>
        <v>0</v>
      </c>
      <c r="AA334" s="40">
        <f>ROUND(SUBTOTAL(9,$AA$10:$AA$331),2)</f>
        <v>0</v>
      </c>
      <c r="AB334" s="40">
        <f>ROUND(SUBTOTAL(9,$AB$10:$AB$331),2)</f>
        <v>0</v>
      </c>
      <c r="AC334" s="40">
        <f>ROUND(SUBTOTAL(9,$AC$10:$AC$331),2)</f>
        <v>0</v>
      </c>
      <c r="AD334" s="40">
        <f>ROUND(SUBTOTAL(9,$AD$10:$AD$331),2)</f>
        <v>0</v>
      </c>
      <c r="AE334" s="40">
        <f>ROUND(SUBTOTAL(9,$AE$10:$AE$331),2)</f>
        <v>0</v>
      </c>
      <c r="AF334" s="40">
        <f>ROUND(SUBTOTAL(9,$AF$10:$AF$331),2)</f>
        <v>0</v>
      </c>
      <c r="AG334" s="40">
        <f>ROUND(SUBTOTAL(9,$AG$10:$AG$331),2)</f>
        <v>0</v>
      </c>
      <c r="AH334" s="40">
        <f>ROUND(SUBTOTAL(9,$AH$10:$AH$331),2)</f>
        <v>0</v>
      </c>
      <c r="AI334" s="40">
        <f>ROUND(SUBTOTAL(9,$AI$10:$AI$331),2)</f>
        <v>0</v>
      </c>
      <c r="AJ334" s="40">
        <f>ROUND(SUBTOTAL(9,$AJ$10:$AJ$331),2)</f>
        <v>0</v>
      </c>
      <c r="AK334" s="40">
        <f>ROUND(SUBTOTAL(9,$AK$10:$AK$331),2)</f>
        <v>0</v>
      </c>
      <c r="AL334" s="40">
        <f>ROUND(SUBTOTAL(9,$AL$10:$AL$331),2)</f>
        <v>0</v>
      </c>
      <c r="AM334" s="40">
        <f>ROUND(SUBTOTAL(9,$AM$10:$AM$331),2)</f>
        <v>0</v>
      </c>
      <c r="AN334" s="40">
        <f>ROUND(SUBTOTAL(9,$AN$10:$AN$331),2)</f>
        <v>0</v>
      </c>
      <c r="AO334" s="40">
        <f>ROUND(SUBTOTAL(9,$AO$10:$AO$331),2)</f>
        <v>0</v>
      </c>
    </row>
  </sheetData>
  <autoFilter ref="A5:CA332" xr:uid="{E910DE60-6EC3-4A0B-A366-A82F21B54181}">
    <filterColumn colId="11" showButton="0"/>
    <filterColumn colId="12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5" showButton="0"/>
    <filterColumn colId="36" showButton="0"/>
    <filterColumn colId="37" showButton="0"/>
    <filterColumn colId="38" showButton="0"/>
    <filterColumn colId="39" showButton="0"/>
    <filterColumn colId="42">
      <customFilters>
        <customFilter operator="greaterThan" val="0"/>
      </customFilters>
    </filterColumn>
  </autoFilter>
  <mergeCells count="56">
    <mergeCell ref="BX5:BX9"/>
    <mergeCell ref="BY5:BY9"/>
    <mergeCell ref="BZ5:BZ9"/>
    <mergeCell ref="CA5:CA9"/>
    <mergeCell ref="D2:BL2"/>
    <mergeCell ref="D3:BL3"/>
    <mergeCell ref="BR5:BR9"/>
    <mergeCell ref="BS5:BS9"/>
    <mergeCell ref="BT5:BT9"/>
    <mergeCell ref="BU5:BU9"/>
    <mergeCell ref="BV5:BV9"/>
    <mergeCell ref="BW5:BW9"/>
    <mergeCell ref="BL5:BL9"/>
    <mergeCell ref="BM5:BM9"/>
    <mergeCell ref="BN5:BN9"/>
    <mergeCell ref="BO5:BO9"/>
    <mergeCell ref="BP5:BP9"/>
    <mergeCell ref="BQ5:BQ9"/>
    <mergeCell ref="BF5:BF9"/>
    <mergeCell ref="BG5:BG9"/>
    <mergeCell ref="BH5:BH9"/>
    <mergeCell ref="BI5:BI9"/>
    <mergeCell ref="BJ5:BJ9"/>
    <mergeCell ref="BK5:BK9"/>
    <mergeCell ref="AZ5:AZ9"/>
    <mergeCell ref="BA5:BA9"/>
    <mergeCell ref="BB5:BB9"/>
    <mergeCell ref="BC5:BC9"/>
    <mergeCell ref="BD5:BD9"/>
    <mergeCell ref="BE5:BE9"/>
    <mergeCell ref="AT5:AT9"/>
    <mergeCell ref="AU5:AU9"/>
    <mergeCell ref="AV5:AV9"/>
    <mergeCell ref="AW5:AW9"/>
    <mergeCell ref="AX5:AX9"/>
    <mergeCell ref="AY5:AY9"/>
    <mergeCell ref="AC5:AI5"/>
    <mergeCell ref="AJ5:AO5"/>
    <mergeCell ref="AP5:AP9"/>
    <mergeCell ref="AQ5:AQ9"/>
    <mergeCell ref="AR5:AR9"/>
    <mergeCell ref="AS5:AS9"/>
    <mergeCell ref="I5:I9"/>
    <mergeCell ref="J5:J9"/>
    <mergeCell ref="K5:K9"/>
    <mergeCell ref="L5:N5"/>
    <mergeCell ref="O5:U5"/>
    <mergeCell ref="V5:AB5"/>
    <mergeCell ref="A5:A9"/>
    <mergeCell ref="B5:B9"/>
    <mergeCell ref="C5:C9"/>
    <mergeCell ref="D5:D9"/>
    <mergeCell ref="E5:E9"/>
    <mergeCell ref="F5:F9"/>
    <mergeCell ref="G5:G9"/>
    <mergeCell ref="H5:H9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Modop</vt:lpstr>
      <vt:lpstr>PARAMETRES</vt:lpstr>
      <vt:lpstr>PLANNING</vt:lpstr>
      <vt:lpstr>ABSENCES PREVISIONNELLES</vt:lpstr>
      <vt:lpstr>MRP SANS PA</vt:lpstr>
      <vt:lpstr>ABSENCES A VALIDER</vt:lpstr>
      <vt:lpstr>JOURS SANS AFFECTATION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Romain</cp:lastModifiedBy>
  <cp:lastPrinted>2019-10-22T09:30:14Z</cp:lastPrinted>
  <dcterms:created xsi:type="dcterms:W3CDTF">2019-06-13T11:10:18Z</dcterms:created>
  <dcterms:modified xsi:type="dcterms:W3CDTF">2020-07-07T13:36:20Z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